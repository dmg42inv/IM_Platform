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7.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xr:revisionPtr revIDLastSave="1367" documentId="13_ncr:1_{BC3139A2-13A7-45EA-B962-4585DC8277B0}" xr6:coauthVersionLast="47" xr6:coauthVersionMax="47" xr10:uidLastSave="{074DEEE1-8ED1-4C4F-97A7-C961B1B8B443}"/>
  <bookViews>
    <workbookView xWindow="-120" yWindow="-120" windowWidth="29040" windowHeight="15720" tabRatio="882" activeTab="1" xr2:uid="{00000000-000D-0000-FFFF-FFFF00000000}"/>
  </bookViews>
  <sheets>
    <sheet name="D1" sheetId="51" r:id="rId1"/>
    <sheet name="1. Live" sheetId="75" r:id="rId2"/>
    <sheet name="2. Exited" sheetId="87" r:id="rId3"/>
    <sheet name="CF (Equity, Debt)" sheetId="17" r:id="rId4"/>
    <sheet name="CF (Funds)" sheetId="40" r:id="rId5"/>
    <sheet name="NAV" sheetId="37" r:id="rId6"/>
    <sheet name="B. %" sheetId="44" r:id="rId7"/>
    <sheet name="E. Board" sheetId="28" state="hidden" r:id="rId8"/>
    <sheet name="A. All deals (a)" sheetId="14" r:id="rId9"/>
    <sheet name="9. All deals (b)" sheetId="80" state="hidden" r:id="rId10"/>
    <sheet name="8. WLD Grant C-133" sheetId="89" state="hidden" r:id="rId11"/>
    <sheet name="8. NewSpace" sheetId="77" state="hidden" r:id="rId12"/>
    <sheet name="MGX" sheetId="90" r:id="rId13"/>
    <sheet name="C. Log" sheetId="68" r:id="rId14"/>
    <sheet name="check-Jul25" sheetId="92" state="hidden" r:id="rId15"/>
    <sheet name="check-diff" sheetId="93" r:id="rId16"/>
    <sheet name="8. Glossary" sheetId="81" state="hidden" r:id="rId17"/>
  </sheets>
  <definedNames>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Live'!$A$1:$T$60</definedName>
    <definedName name="_xlnm.Print_Area" localSheetId="2">'2. Exited'!$A$1:$T$42</definedName>
    <definedName name="_xlnm.Print_Area" localSheetId="16">'8. Glossary'!$A$1:$D$30</definedName>
    <definedName name="_xlnm.Print_Area" localSheetId="9">'9. All deals (b)'!$A$1:$S$102</definedName>
    <definedName name="_xlnm.Print_Area" localSheetId="0">'D1'!$A$1:$P$23</definedName>
    <definedName name="_xlnm.Print_Area" localSheetId="5">NAV!$A$1:$H$48</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3" i="14" l="1"/>
  <c r="C29" i="90"/>
  <c r="C28" i="90"/>
  <c r="C30" i="90" s="1"/>
  <c r="C21" i="90"/>
  <c r="C20" i="90"/>
  <c r="C22" i="90" s="1"/>
  <c r="K9" i="90"/>
  <c r="K8" i="90"/>
  <c r="K7" i="90"/>
  <c r="K6" i="90"/>
  <c r="I7" i="90"/>
  <c r="I6" i="90"/>
  <c r="C36" i="90" l="1"/>
  <c r="C24" i="90"/>
  <c r="C37" i="90"/>
  <c r="H14" i="90" s="1"/>
  <c r="C27" i="90"/>
  <c r="C35" i="90"/>
  <c r="C19" i="90"/>
  <c r="E49" i="37" l="1"/>
  <c r="N53" i="14" s="1"/>
  <c r="C34" i="90"/>
  <c r="E31" i="44"/>
  <c r="E14" i="90" l="1"/>
  <c r="K14" i="90" s="1"/>
  <c r="K53" i="14"/>
  <c r="D37" i="90"/>
  <c r="N54" i="17" l="1"/>
  <c r="N53" i="17"/>
  <c r="N52" i="17"/>
  <c r="N51" i="17"/>
  <c r="M51" i="17"/>
  <c r="E45" i="37" l="1"/>
  <c r="Q10" i="93"/>
  <c r="S10" i="93"/>
  <c r="T10" i="93"/>
  <c r="U10" i="93"/>
  <c r="V10" i="93"/>
  <c r="W10" i="93"/>
  <c r="X10" i="93"/>
  <c r="Y10" i="93"/>
  <c r="Z10" i="93"/>
  <c r="AA10" i="93"/>
  <c r="AB10" i="93"/>
  <c r="AC10" i="93"/>
  <c r="AD10" i="93"/>
  <c r="AE10" i="93"/>
  <c r="AF10" i="93"/>
  <c r="AG10" i="93"/>
  <c r="AH10" i="93"/>
  <c r="AI10" i="93"/>
  <c r="AJ10" i="93"/>
  <c r="AK10" i="93"/>
  <c r="AL10" i="93"/>
  <c r="AM10" i="93"/>
  <c r="AN10" i="93"/>
  <c r="AO10" i="93"/>
  <c r="AP10" i="93"/>
  <c r="AQ10" i="93"/>
  <c r="AR10" i="93"/>
  <c r="AS10" i="93"/>
  <c r="AT10" i="93"/>
  <c r="AU10" i="93"/>
  <c r="AV10" i="93"/>
  <c r="AW10" i="93"/>
  <c r="AX10" i="93"/>
  <c r="AY10" i="93"/>
  <c r="AZ10" i="93"/>
  <c r="BA10" i="93"/>
  <c r="BB10" i="93"/>
  <c r="BC10" i="93"/>
  <c r="BD10" i="93"/>
  <c r="BE10" i="93"/>
  <c r="BF10" i="93"/>
  <c r="BG10" i="93"/>
  <c r="BH10" i="93"/>
  <c r="BI10" i="93"/>
  <c r="BJ10" i="93"/>
  <c r="BK10" i="93"/>
  <c r="BL10" i="93"/>
  <c r="BM10" i="93"/>
  <c r="BN10" i="93"/>
  <c r="BO10" i="93"/>
  <c r="BP10" i="93"/>
  <c r="BQ10" i="93"/>
  <c r="BR10" i="93"/>
  <c r="BS10" i="93"/>
  <c r="BT10" i="93"/>
  <c r="BU10" i="93"/>
  <c r="BV10" i="93"/>
  <c r="BW10" i="93"/>
  <c r="BX10" i="93"/>
  <c r="BY10" i="93"/>
  <c r="BZ10" i="93"/>
  <c r="CA10" i="93"/>
  <c r="CB10" i="93"/>
  <c r="CC10" i="93"/>
  <c r="CD10" i="93"/>
  <c r="CE10" i="93"/>
  <c r="CF10" i="93"/>
  <c r="CG10" i="93"/>
  <c r="CH10" i="93"/>
  <c r="CI10" i="93"/>
  <c r="CJ10" i="93"/>
  <c r="CK10" i="93"/>
  <c r="CL10" i="93"/>
  <c r="CM10" i="93"/>
  <c r="CN10" i="93"/>
  <c r="CO10" i="93"/>
  <c r="CP10" i="93"/>
  <c r="CQ10" i="93"/>
  <c r="CR10" i="93"/>
  <c r="CS10" i="93"/>
  <c r="CT10" i="93"/>
  <c r="CU10" i="93"/>
  <c r="CV10" i="93"/>
  <c r="CW10" i="93"/>
  <c r="Q11" i="93"/>
  <c r="S11" i="93"/>
  <c r="T11" i="93"/>
  <c r="U11" i="93"/>
  <c r="V11" i="93"/>
  <c r="W11" i="93"/>
  <c r="X11" i="93"/>
  <c r="Y11" i="93"/>
  <c r="Z11" i="93"/>
  <c r="AA11" i="93"/>
  <c r="AB11" i="93"/>
  <c r="AC11" i="93"/>
  <c r="AD11" i="93"/>
  <c r="AE11" i="93"/>
  <c r="AF11" i="93"/>
  <c r="AG11" i="93"/>
  <c r="AH11" i="93"/>
  <c r="AI11" i="93"/>
  <c r="AJ11" i="93"/>
  <c r="AK11" i="93"/>
  <c r="AL11" i="93"/>
  <c r="AM11" i="93"/>
  <c r="AN11" i="93"/>
  <c r="AO11" i="93"/>
  <c r="AP11" i="93"/>
  <c r="AQ11" i="93"/>
  <c r="AR11" i="93"/>
  <c r="AS11" i="93"/>
  <c r="AT11" i="93"/>
  <c r="AU11" i="93"/>
  <c r="AV11" i="93"/>
  <c r="AW11" i="93"/>
  <c r="AX11" i="93"/>
  <c r="AY11" i="93"/>
  <c r="AZ11" i="93"/>
  <c r="BA11" i="93"/>
  <c r="BB11" i="93"/>
  <c r="BC11" i="93"/>
  <c r="BD11" i="93"/>
  <c r="BE11" i="93"/>
  <c r="BF11" i="93"/>
  <c r="BG11" i="93"/>
  <c r="BH11" i="93"/>
  <c r="BI11" i="93"/>
  <c r="BJ11" i="93"/>
  <c r="BK11" i="93"/>
  <c r="BL11" i="93"/>
  <c r="BM11" i="93"/>
  <c r="BN11" i="93"/>
  <c r="BO11" i="93"/>
  <c r="BP11" i="93"/>
  <c r="BQ11" i="93"/>
  <c r="BR11" i="93"/>
  <c r="BS11" i="93"/>
  <c r="BT11" i="93"/>
  <c r="BU11" i="93"/>
  <c r="BV11" i="93"/>
  <c r="BW11" i="93"/>
  <c r="BX11" i="93"/>
  <c r="BY11" i="93"/>
  <c r="BZ11" i="93"/>
  <c r="CA11" i="93"/>
  <c r="CB11" i="93"/>
  <c r="CC11" i="93"/>
  <c r="CD11" i="93"/>
  <c r="CE11" i="93"/>
  <c r="CF11" i="93"/>
  <c r="CG11" i="93"/>
  <c r="CH11" i="93"/>
  <c r="CI11" i="93"/>
  <c r="CJ11" i="93"/>
  <c r="CK11" i="93"/>
  <c r="CL11" i="93"/>
  <c r="CM11" i="93"/>
  <c r="CN11" i="93"/>
  <c r="CO11" i="93"/>
  <c r="CP11" i="93"/>
  <c r="CQ11" i="93"/>
  <c r="CR11" i="93"/>
  <c r="CS11" i="93"/>
  <c r="CT11" i="93"/>
  <c r="CU11" i="93"/>
  <c r="CV11" i="93"/>
  <c r="CW11" i="93"/>
  <c r="Q12" i="93"/>
  <c r="S12" i="93"/>
  <c r="T12" i="93"/>
  <c r="U12" i="93"/>
  <c r="V12" i="93"/>
  <c r="W12" i="93"/>
  <c r="X12" i="93"/>
  <c r="Y12" i="93"/>
  <c r="Z12" i="93"/>
  <c r="AA12" i="93"/>
  <c r="AB12" i="93"/>
  <c r="AC12" i="93"/>
  <c r="AD12" i="93"/>
  <c r="AE12" i="93"/>
  <c r="AF12" i="93"/>
  <c r="AG12" i="93"/>
  <c r="AH12" i="93"/>
  <c r="AI12" i="93"/>
  <c r="AJ12" i="93"/>
  <c r="AK12" i="93"/>
  <c r="AL12" i="93"/>
  <c r="AM12" i="93"/>
  <c r="AN12" i="93"/>
  <c r="AO12" i="93"/>
  <c r="AP12" i="93"/>
  <c r="AQ12" i="93"/>
  <c r="AR12" i="93"/>
  <c r="AS12" i="93"/>
  <c r="AT12" i="93"/>
  <c r="AU12" i="93"/>
  <c r="AV12" i="93"/>
  <c r="AW12" i="93"/>
  <c r="AX12" i="93"/>
  <c r="AY12" i="93"/>
  <c r="AZ12" i="93"/>
  <c r="BA12" i="93"/>
  <c r="BB12" i="93"/>
  <c r="BC12" i="93"/>
  <c r="BD12" i="93"/>
  <c r="BE12" i="93"/>
  <c r="BF12" i="93"/>
  <c r="BG12" i="93"/>
  <c r="BH12" i="93"/>
  <c r="BI12" i="93"/>
  <c r="BJ12" i="93"/>
  <c r="BK12" i="93"/>
  <c r="BL12" i="93"/>
  <c r="BM12" i="93"/>
  <c r="BN12" i="93"/>
  <c r="BO12" i="93"/>
  <c r="BP12" i="93"/>
  <c r="BQ12" i="93"/>
  <c r="BR12" i="93"/>
  <c r="BS12" i="93"/>
  <c r="BT12" i="93"/>
  <c r="BU12" i="93"/>
  <c r="BV12" i="93"/>
  <c r="BW12" i="93"/>
  <c r="BX12" i="93"/>
  <c r="BY12" i="93"/>
  <c r="BZ12" i="93"/>
  <c r="CA12" i="93"/>
  <c r="CB12" i="93"/>
  <c r="CC12" i="93"/>
  <c r="CD12" i="93"/>
  <c r="CE12" i="93"/>
  <c r="CF12" i="93"/>
  <c r="CG12" i="93"/>
  <c r="CH12" i="93"/>
  <c r="CI12" i="93"/>
  <c r="CJ12" i="93"/>
  <c r="CK12" i="93"/>
  <c r="CL12" i="93"/>
  <c r="CM12" i="93"/>
  <c r="CN12" i="93"/>
  <c r="CO12" i="93"/>
  <c r="CP12" i="93"/>
  <c r="CQ12" i="93"/>
  <c r="CR12" i="93"/>
  <c r="CS12" i="93"/>
  <c r="CT12" i="93"/>
  <c r="CU12" i="93"/>
  <c r="CV12" i="93"/>
  <c r="CW12" i="93"/>
  <c r="Q13" i="93"/>
  <c r="S13" i="93"/>
  <c r="T13" i="93"/>
  <c r="U13" i="93"/>
  <c r="V13" i="93"/>
  <c r="W13" i="93"/>
  <c r="X13" i="93"/>
  <c r="Y13" i="93"/>
  <c r="Z13" i="93"/>
  <c r="AA13" i="93"/>
  <c r="AB13" i="93"/>
  <c r="AC13" i="93"/>
  <c r="AD13" i="93"/>
  <c r="AE13" i="93"/>
  <c r="AF13" i="93"/>
  <c r="AG13" i="93"/>
  <c r="AH13" i="93"/>
  <c r="AI13" i="93"/>
  <c r="AJ13" i="93"/>
  <c r="AK13" i="93"/>
  <c r="AL13" i="93"/>
  <c r="AM13" i="93"/>
  <c r="AN13" i="93"/>
  <c r="AO13" i="93"/>
  <c r="AP13" i="93"/>
  <c r="AQ13" i="93"/>
  <c r="AR13" i="93"/>
  <c r="AS13" i="93"/>
  <c r="AT13" i="93"/>
  <c r="AU13" i="93"/>
  <c r="AV13" i="93"/>
  <c r="AW13" i="93"/>
  <c r="AX13" i="93"/>
  <c r="AY13" i="93"/>
  <c r="AZ13" i="93"/>
  <c r="BA13" i="93"/>
  <c r="BB13" i="93"/>
  <c r="BC13" i="93"/>
  <c r="BD13" i="93"/>
  <c r="BE13" i="93"/>
  <c r="BF13" i="93"/>
  <c r="BG13" i="93"/>
  <c r="BH13" i="93"/>
  <c r="BI13" i="93"/>
  <c r="BJ13" i="93"/>
  <c r="BK13" i="93"/>
  <c r="BL13" i="93"/>
  <c r="BM13" i="93"/>
  <c r="BN13" i="93"/>
  <c r="BO13" i="93"/>
  <c r="BP13" i="93"/>
  <c r="BQ13" i="93"/>
  <c r="BR13" i="93"/>
  <c r="BS13" i="93"/>
  <c r="BT13" i="93"/>
  <c r="BU13" i="93"/>
  <c r="BV13" i="93"/>
  <c r="BW13" i="93"/>
  <c r="BX13" i="93"/>
  <c r="BY13" i="93"/>
  <c r="BZ13" i="93"/>
  <c r="CA13" i="93"/>
  <c r="CB13" i="93"/>
  <c r="CC13" i="93"/>
  <c r="CD13" i="93"/>
  <c r="CE13" i="93"/>
  <c r="CF13" i="93"/>
  <c r="CG13" i="93"/>
  <c r="CH13" i="93"/>
  <c r="CI13" i="93"/>
  <c r="CJ13" i="93"/>
  <c r="CK13" i="93"/>
  <c r="CL13" i="93"/>
  <c r="CM13" i="93"/>
  <c r="CN13" i="93"/>
  <c r="CO13" i="93"/>
  <c r="CP13" i="93"/>
  <c r="CQ13" i="93"/>
  <c r="CR13" i="93"/>
  <c r="CS13" i="93"/>
  <c r="CT13" i="93"/>
  <c r="CU13" i="93"/>
  <c r="CV13" i="93"/>
  <c r="CW13" i="93"/>
  <c r="Q14" i="93"/>
  <c r="S14" i="93"/>
  <c r="T14" i="93"/>
  <c r="U14" i="93"/>
  <c r="V14" i="93"/>
  <c r="W14" i="93"/>
  <c r="X14" i="93"/>
  <c r="Y14" i="93"/>
  <c r="Z14" i="93"/>
  <c r="AA14" i="93"/>
  <c r="AB14" i="93"/>
  <c r="AC14" i="93"/>
  <c r="AD14" i="93"/>
  <c r="AE14" i="93"/>
  <c r="AF14" i="93"/>
  <c r="AG14" i="93"/>
  <c r="AH14" i="93"/>
  <c r="AI14" i="93"/>
  <c r="AJ14" i="93"/>
  <c r="AK14" i="93"/>
  <c r="AL14" i="93"/>
  <c r="AM14" i="93"/>
  <c r="AN14" i="93"/>
  <c r="AO14" i="93"/>
  <c r="AP14" i="93"/>
  <c r="AQ14" i="93"/>
  <c r="AR14" i="93"/>
  <c r="AS14" i="93"/>
  <c r="AT14" i="93"/>
  <c r="AU14" i="93"/>
  <c r="AV14" i="93"/>
  <c r="AW14" i="93"/>
  <c r="AX14" i="93"/>
  <c r="AY14" i="93"/>
  <c r="AZ14" i="93"/>
  <c r="BA14" i="93"/>
  <c r="BB14" i="93"/>
  <c r="BC14" i="93"/>
  <c r="BD14" i="93"/>
  <c r="BE14" i="93"/>
  <c r="BF14" i="93"/>
  <c r="BG14" i="93"/>
  <c r="BH14" i="93"/>
  <c r="BI14" i="93"/>
  <c r="BJ14" i="93"/>
  <c r="BK14" i="93"/>
  <c r="BL14" i="93"/>
  <c r="BM14" i="93"/>
  <c r="BN14" i="93"/>
  <c r="BO14" i="93"/>
  <c r="BP14" i="93"/>
  <c r="BQ14" i="93"/>
  <c r="BR14" i="93"/>
  <c r="BS14" i="93"/>
  <c r="BT14" i="93"/>
  <c r="BU14" i="93"/>
  <c r="BV14" i="93"/>
  <c r="BW14" i="93"/>
  <c r="BX14" i="93"/>
  <c r="BY14" i="93"/>
  <c r="BZ14" i="93"/>
  <c r="CA14" i="93"/>
  <c r="CB14" i="93"/>
  <c r="CC14" i="93"/>
  <c r="CD14" i="93"/>
  <c r="CE14" i="93"/>
  <c r="CF14" i="93"/>
  <c r="CG14" i="93"/>
  <c r="CH14" i="93"/>
  <c r="CI14" i="93"/>
  <c r="CJ14" i="93"/>
  <c r="CK14" i="93"/>
  <c r="CL14" i="93"/>
  <c r="CM14" i="93"/>
  <c r="CN14" i="93"/>
  <c r="CO14" i="93"/>
  <c r="CP14" i="93"/>
  <c r="CQ14" i="93"/>
  <c r="CR14" i="93"/>
  <c r="CS14" i="93"/>
  <c r="CT14" i="93"/>
  <c r="CU14" i="93"/>
  <c r="CV14" i="93"/>
  <c r="CW14" i="93"/>
  <c r="Q15" i="93"/>
  <c r="S15" i="93"/>
  <c r="T15" i="93"/>
  <c r="U15" i="93"/>
  <c r="V15" i="93"/>
  <c r="W15" i="93"/>
  <c r="X15" i="93"/>
  <c r="Y15" i="93"/>
  <c r="Z15" i="93"/>
  <c r="AA15" i="93"/>
  <c r="AB15" i="93"/>
  <c r="AC15" i="93"/>
  <c r="AD15" i="93"/>
  <c r="AE15" i="93"/>
  <c r="AF15" i="93"/>
  <c r="AG15" i="93"/>
  <c r="AH15" i="93"/>
  <c r="AI15" i="93"/>
  <c r="AJ15" i="93"/>
  <c r="AK15" i="93"/>
  <c r="AL15" i="93"/>
  <c r="AM15" i="93"/>
  <c r="AN15" i="93"/>
  <c r="AO15" i="93"/>
  <c r="AP15" i="93"/>
  <c r="AQ15" i="93"/>
  <c r="AR15" i="93"/>
  <c r="AS15" i="93"/>
  <c r="AT15" i="93"/>
  <c r="AU15" i="93"/>
  <c r="AV15" i="93"/>
  <c r="AW15" i="93"/>
  <c r="AX15" i="93"/>
  <c r="AY15" i="93"/>
  <c r="AZ15" i="93"/>
  <c r="BA15" i="93"/>
  <c r="BB15" i="93"/>
  <c r="BC15" i="93"/>
  <c r="BD15" i="93"/>
  <c r="BE15" i="93"/>
  <c r="BF15" i="93"/>
  <c r="BG15" i="93"/>
  <c r="BH15" i="93"/>
  <c r="BI15" i="93"/>
  <c r="BJ15" i="93"/>
  <c r="BK15" i="93"/>
  <c r="BL15" i="93"/>
  <c r="BM15" i="93"/>
  <c r="BN15" i="93"/>
  <c r="BO15" i="93"/>
  <c r="BP15" i="93"/>
  <c r="BQ15" i="93"/>
  <c r="BR15" i="93"/>
  <c r="BS15" i="93"/>
  <c r="BT15" i="93"/>
  <c r="BU15" i="93"/>
  <c r="BV15" i="93"/>
  <c r="BW15" i="93"/>
  <c r="BX15" i="93"/>
  <c r="BY15" i="93"/>
  <c r="BZ15" i="93"/>
  <c r="CA15" i="93"/>
  <c r="CB15" i="93"/>
  <c r="CC15" i="93"/>
  <c r="CD15" i="93"/>
  <c r="CE15" i="93"/>
  <c r="CF15" i="93"/>
  <c r="CG15" i="93"/>
  <c r="CH15" i="93"/>
  <c r="CI15" i="93"/>
  <c r="CJ15" i="93"/>
  <c r="CK15" i="93"/>
  <c r="CL15" i="93"/>
  <c r="CM15" i="93"/>
  <c r="CN15" i="93"/>
  <c r="CO15" i="93"/>
  <c r="CP15" i="93"/>
  <c r="CQ15" i="93"/>
  <c r="CR15" i="93"/>
  <c r="CS15" i="93"/>
  <c r="CT15" i="93"/>
  <c r="CU15" i="93"/>
  <c r="CV15" i="93"/>
  <c r="CW15" i="93"/>
  <c r="Q16" i="93"/>
  <c r="S16" i="93"/>
  <c r="T16" i="93"/>
  <c r="U16" i="93"/>
  <c r="V16" i="93"/>
  <c r="W16" i="93"/>
  <c r="X16" i="93"/>
  <c r="Y16" i="93"/>
  <c r="Z16" i="93"/>
  <c r="AA16" i="93"/>
  <c r="AB16" i="93"/>
  <c r="AC16" i="93"/>
  <c r="AD16" i="93"/>
  <c r="AE16" i="93"/>
  <c r="AF16" i="93"/>
  <c r="AG16" i="93"/>
  <c r="AH16" i="93"/>
  <c r="AI16" i="93"/>
  <c r="AJ16" i="93"/>
  <c r="AK16" i="93"/>
  <c r="AL16" i="93"/>
  <c r="AM16" i="93"/>
  <c r="AN16" i="93"/>
  <c r="AO16" i="93"/>
  <c r="AP16" i="93"/>
  <c r="AQ16" i="93"/>
  <c r="AR16" i="93"/>
  <c r="AS16" i="93"/>
  <c r="AT16" i="93"/>
  <c r="AU16" i="93"/>
  <c r="AV16" i="93"/>
  <c r="AW16" i="93"/>
  <c r="AX16" i="93"/>
  <c r="AY16" i="93"/>
  <c r="AZ16" i="93"/>
  <c r="BA16" i="93"/>
  <c r="BB16" i="93"/>
  <c r="BC16" i="93"/>
  <c r="BD16" i="93"/>
  <c r="BE16" i="93"/>
  <c r="BF16" i="93"/>
  <c r="BG16" i="93"/>
  <c r="BH16" i="93"/>
  <c r="BI16" i="93"/>
  <c r="BJ16" i="93"/>
  <c r="BK16" i="93"/>
  <c r="BL16" i="93"/>
  <c r="BM16" i="93"/>
  <c r="BN16" i="93"/>
  <c r="BO16" i="93"/>
  <c r="BP16" i="93"/>
  <c r="BQ16" i="93"/>
  <c r="BR16" i="93"/>
  <c r="BS16" i="93"/>
  <c r="BT16" i="93"/>
  <c r="BU16" i="93"/>
  <c r="BV16" i="93"/>
  <c r="BW16" i="93"/>
  <c r="BX16" i="93"/>
  <c r="BY16" i="93"/>
  <c r="BZ16" i="93"/>
  <c r="CA16" i="93"/>
  <c r="CB16" i="93"/>
  <c r="CC16" i="93"/>
  <c r="CD16" i="93"/>
  <c r="CE16" i="93"/>
  <c r="CF16" i="93"/>
  <c r="CG16" i="93"/>
  <c r="CH16" i="93"/>
  <c r="CI16" i="93"/>
  <c r="CJ16" i="93"/>
  <c r="CK16" i="93"/>
  <c r="CL16" i="93"/>
  <c r="CM16" i="93"/>
  <c r="CN16" i="93"/>
  <c r="CO16" i="93"/>
  <c r="CP16" i="93"/>
  <c r="CQ16" i="93"/>
  <c r="CR16" i="93"/>
  <c r="CS16" i="93"/>
  <c r="CT16" i="93"/>
  <c r="CU16" i="93"/>
  <c r="CV16" i="93"/>
  <c r="CW16" i="93"/>
  <c r="Q17" i="93"/>
  <c r="S17" i="93"/>
  <c r="T17" i="93"/>
  <c r="U17" i="93"/>
  <c r="V17" i="93"/>
  <c r="W17" i="93"/>
  <c r="X17" i="93"/>
  <c r="Y17" i="93"/>
  <c r="Z17" i="93"/>
  <c r="AA17" i="93"/>
  <c r="AB17" i="93"/>
  <c r="AC17" i="93"/>
  <c r="AD17" i="93"/>
  <c r="AE17" i="93"/>
  <c r="AF17" i="93"/>
  <c r="AG17" i="93"/>
  <c r="AH17" i="93"/>
  <c r="AI17" i="93"/>
  <c r="AJ17" i="93"/>
  <c r="AK17" i="93"/>
  <c r="AL17" i="93"/>
  <c r="AM17" i="93"/>
  <c r="AN17" i="93"/>
  <c r="AO17" i="93"/>
  <c r="AP17" i="93"/>
  <c r="AQ17" i="93"/>
  <c r="AR17" i="93"/>
  <c r="AS17" i="93"/>
  <c r="AT17" i="93"/>
  <c r="AU17" i="93"/>
  <c r="AV17" i="93"/>
  <c r="AW17" i="93"/>
  <c r="AX17" i="93"/>
  <c r="AY17" i="93"/>
  <c r="AZ17" i="93"/>
  <c r="BA17" i="93"/>
  <c r="BB17" i="93"/>
  <c r="BC17" i="93"/>
  <c r="BD17" i="93"/>
  <c r="BE17" i="93"/>
  <c r="BF17" i="93"/>
  <c r="BG17" i="93"/>
  <c r="BH17" i="93"/>
  <c r="BI17" i="93"/>
  <c r="BJ17" i="93"/>
  <c r="BK17" i="93"/>
  <c r="BL17" i="93"/>
  <c r="BM17" i="93"/>
  <c r="BN17" i="93"/>
  <c r="BO17" i="93"/>
  <c r="BP17" i="93"/>
  <c r="BQ17" i="93"/>
  <c r="BR17" i="93"/>
  <c r="BS17" i="93"/>
  <c r="BT17" i="93"/>
  <c r="BU17" i="93"/>
  <c r="BV17" i="93"/>
  <c r="BW17" i="93"/>
  <c r="BX17" i="93"/>
  <c r="BY17" i="93"/>
  <c r="BZ17" i="93"/>
  <c r="CA17" i="93"/>
  <c r="CB17" i="93"/>
  <c r="CC17" i="93"/>
  <c r="CD17" i="93"/>
  <c r="CE17" i="93"/>
  <c r="CF17" i="93"/>
  <c r="CG17" i="93"/>
  <c r="CH17" i="93"/>
  <c r="CI17" i="93"/>
  <c r="CJ17" i="93"/>
  <c r="CK17" i="93"/>
  <c r="CL17" i="93"/>
  <c r="CM17" i="93"/>
  <c r="CN17" i="93"/>
  <c r="CO17" i="93"/>
  <c r="CP17" i="93"/>
  <c r="CQ17" i="93"/>
  <c r="CR17" i="93"/>
  <c r="CS17" i="93"/>
  <c r="CT17" i="93"/>
  <c r="CU17" i="93"/>
  <c r="CV17" i="93"/>
  <c r="CW17" i="93"/>
  <c r="Q18" i="93"/>
  <c r="S18" i="93"/>
  <c r="T18" i="93"/>
  <c r="U18" i="93"/>
  <c r="V18" i="93"/>
  <c r="W18" i="93"/>
  <c r="X18" i="93"/>
  <c r="Y18" i="93"/>
  <c r="Z18" i="93"/>
  <c r="AA18" i="93"/>
  <c r="AB18" i="93"/>
  <c r="AC18" i="93"/>
  <c r="AD18" i="93"/>
  <c r="AE18" i="93"/>
  <c r="AF18" i="93"/>
  <c r="AG18" i="93"/>
  <c r="AH18" i="93"/>
  <c r="AI18" i="93"/>
  <c r="AJ18" i="93"/>
  <c r="AK18" i="93"/>
  <c r="AL18" i="93"/>
  <c r="AM18" i="93"/>
  <c r="AN18" i="93"/>
  <c r="AO18" i="93"/>
  <c r="AP18" i="93"/>
  <c r="AQ18" i="93"/>
  <c r="AR18" i="93"/>
  <c r="AS18" i="93"/>
  <c r="AT18" i="93"/>
  <c r="AU18" i="93"/>
  <c r="AV18" i="93"/>
  <c r="AW18" i="93"/>
  <c r="AX18" i="93"/>
  <c r="AY18" i="93"/>
  <c r="AZ18" i="93"/>
  <c r="BA18" i="93"/>
  <c r="BB18" i="93"/>
  <c r="BC18" i="93"/>
  <c r="BD18" i="93"/>
  <c r="BE18" i="93"/>
  <c r="BF18" i="93"/>
  <c r="BG18" i="93"/>
  <c r="BH18" i="93"/>
  <c r="BI18" i="93"/>
  <c r="BJ18" i="93"/>
  <c r="BK18" i="93"/>
  <c r="BL18" i="93"/>
  <c r="BM18" i="93"/>
  <c r="BN18" i="93"/>
  <c r="BO18" i="93"/>
  <c r="BP18" i="93"/>
  <c r="BQ18" i="93"/>
  <c r="BR18" i="93"/>
  <c r="BS18" i="93"/>
  <c r="BT18" i="93"/>
  <c r="BU18" i="93"/>
  <c r="BV18" i="93"/>
  <c r="BW18" i="93"/>
  <c r="BX18" i="93"/>
  <c r="BY18" i="93"/>
  <c r="BZ18" i="93"/>
  <c r="CA18" i="93"/>
  <c r="CB18" i="93"/>
  <c r="CC18" i="93"/>
  <c r="CD18" i="93"/>
  <c r="CE18" i="93"/>
  <c r="CF18" i="93"/>
  <c r="CG18" i="93"/>
  <c r="CH18" i="93"/>
  <c r="CI18" i="93"/>
  <c r="CJ18" i="93"/>
  <c r="CK18" i="93"/>
  <c r="CL18" i="93"/>
  <c r="CM18" i="93"/>
  <c r="CN18" i="93"/>
  <c r="CO18" i="93"/>
  <c r="CP18" i="93"/>
  <c r="CQ18" i="93"/>
  <c r="CR18" i="93"/>
  <c r="CS18" i="93"/>
  <c r="CT18" i="93"/>
  <c r="CU18" i="93"/>
  <c r="CV18" i="93"/>
  <c r="CW18" i="93"/>
  <c r="J19" i="93"/>
  <c r="K19" i="93"/>
  <c r="L19" i="93"/>
  <c r="M19" i="93"/>
  <c r="N19" i="93"/>
  <c r="O19" i="93"/>
  <c r="P19" i="93"/>
  <c r="Q19" i="93"/>
  <c r="R19" i="93"/>
  <c r="S19" i="93"/>
  <c r="T19" i="93"/>
  <c r="U19" i="93"/>
  <c r="V19" i="93"/>
  <c r="W19" i="93"/>
  <c r="X19" i="93"/>
  <c r="Y19" i="93"/>
  <c r="Z19" i="93"/>
  <c r="AA19" i="93"/>
  <c r="AB19" i="93"/>
  <c r="AC19" i="93"/>
  <c r="AD19" i="93"/>
  <c r="AE19" i="93"/>
  <c r="AF19" i="93"/>
  <c r="AG19" i="93"/>
  <c r="AH19" i="93"/>
  <c r="AI19" i="93"/>
  <c r="AJ19" i="93"/>
  <c r="AK19" i="93"/>
  <c r="AL19" i="93"/>
  <c r="AM19" i="93"/>
  <c r="AN19" i="93"/>
  <c r="AO19" i="93"/>
  <c r="AP19" i="93"/>
  <c r="AQ19" i="93"/>
  <c r="AR19" i="93"/>
  <c r="AS19" i="93"/>
  <c r="AT19" i="93"/>
  <c r="AU19" i="93"/>
  <c r="AV19" i="93"/>
  <c r="AW19" i="93"/>
  <c r="AX19" i="93"/>
  <c r="AY19" i="93"/>
  <c r="AZ19" i="93"/>
  <c r="BA19" i="93"/>
  <c r="BB19" i="93"/>
  <c r="BC19" i="93"/>
  <c r="BD19" i="93"/>
  <c r="BE19" i="93"/>
  <c r="BF19" i="93"/>
  <c r="BG19" i="93"/>
  <c r="BH19" i="93"/>
  <c r="BI19" i="93"/>
  <c r="BJ19" i="93"/>
  <c r="BK19" i="93"/>
  <c r="BL19" i="93"/>
  <c r="BM19" i="93"/>
  <c r="BN19" i="93"/>
  <c r="BO19" i="93"/>
  <c r="BP19" i="93"/>
  <c r="BQ19" i="93"/>
  <c r="BR19" i="93"/>
  <c r="BS19" i="93"/>
  <c r="BT19" i="93"/>
  <c r="BU19" i="93"/>
  <c r="BV19" i="93"/>
  <c r="BW19" i="93"/>
  <c r="BX19" i="93"/>
  <c r="BY19" i="93"/>
  <c r="BZ19" i="93"/>
  <c r="CA19" i="93"/>
  <c r="CB19" i="93"/>
  <c r="CC19" i="93"/>
  <c r="CD19" i="93"/>
  <c r="CE19" i="93"/>
  <c r="CF19" i="93"/>
  <c r="CG19" i="93"/>
  <c r="CH19" i="93"/>
  <c r="CI19" i="93"/>
  <c r="CJ19" i="93"/>
  <c r="CK19" i="93"/>
  <c r="CL19" i="93"/>
  <c r="CM19" i="93"/>
  <c r="CN19" i="93"/>
  <c r="CO19" i="93"/>
  <c r="CP19" i="93"/>
  <c r="CQ19" i="93"/>
  <c r="CR19" i="93"/>
  <c r="CS19" i="93"/>
  <c r="CT19" i="93"/>
  <c r="CU19" i="93"/>
  <c r="CV19" i="93"/>
  <c r="CW19" i="93"/>
  <c r="J20" i="93"/>
  <c r="S20" i="93"/>
  <c r="T20" i="93"/>
  <c r="U20" i="93"/>
  <c r="V20" i="93"/>
  <c r="W20" i="93"/>
  <c r="X20" i="93"/>
  <c r="Y20" i="93"/>
  <c r="Z20" i="93"/>
  <c r="AA20" i="93"/>
  <c r="AB20" i="93"/>
  <c r="AC20" i="93"/>
  <c r="AD20" i="93"/>
  <c r="AE20" i="93"/>
  <c r="AF20" i="93"/>
  <c r="AG20" i="93"/>
  <c r="AH20" i="93"/>
  <c r="AI20" i="93"/>
  <c r="AJ20" i="93"/>
  <c r="AK20" i="93"/>
  <c r="AL20" i="93"/>
  <c r="AM20" i="93"/>
  <c r="AN20" i="93"/>
  <c r="AO20" i="93"/>
  <c r="AP20" i="93"/>
  <c r="AQ20" i="93"/>
  <c r="AR20" i="93"/>
  <c r="AS20" i="93"/>
  <c r="AT20" i="93"/>
  <c r="AU20" i="93"/>
  <c r="AV20" i="93"/>
  <c r="AW20" i="93"/>
  <c r="AX20" i="93"/>
  <c r="AY20" i="93"/>
  <c r="AZ20" i="93"/>
  <c r="BA20" i="93"/>
  <c r="BB20" i="93"/>
  <c r="BC20" i="93"/>
  <c r="BD20" i="93"/>
  <c r="BE20" i="93"/>
  <c r="BF20" i="93"/>
  <c r="BG20" i="93"/>
  <c r="BH20" i="93"/>
  <c r="BI20" i="93"/>
  <c r="BJ20" i="93"/>
  <c r="BK20" i="93"/>
  <c r="BL20" i="93"/>
  <c r="BM20" i="93"/>
  <c r="BN20" i="93"/>
  <c r="BO20" i="93"/>
  <c r="BP20" i="93"/>
  <c r="BQ20" i="93"/>
  <c r="BR20" i="93"/>
  <c r="BS20" i="93"/>
  <c r="BT20" i="93"/>
  <c r="BU20" i="93"/>
  <c r="BV20" i="93"/>
  <c r="BW20" i="93"/>
  <c r="BX20" i="93"/>
  <c r="BY20" i="93"/>
  <c r="BZ20" i="93"/>
  <c r="CA20" i="93"/>
  <c r="CB20" i="93"/>
  <c r="CC20" i="93"/>
  <c r="CD20" i="93"/>
  <c r="CE20" i="93"/>
  <c r="CF20" i="93"/>
  <c r="CG20" i="93"/>
  <c r="CH20" i="93"/>
  <c r="CI20" i="93"/>
  <c r="CJ20" i="93"/>
  <c r="CK20" i="93"/>
  <c r="CL20" i="93"/>
  <c r="CM20" i="93"/>
  <c r="CN20" i="93"/>
  <c r="CO20" i="93"/>
  <c r="CP20" i="93"/>
  <c r="CQ20" i="93"/>
  <c r="CR20" i="93"/>
  <c r="CS20" i="93"/>
  <c r="CT20" i="93"/>
  <c r="CU20" i="93"/>
  <c r="CV20" i="93"/>
  <c r="CW20" i="93"/>
  <c r="J21" i="93"/>
  <c r="K21" i="93"/>
  <c r="L21" i="93"/>
  <c r="M21" i="93"/>
  <c r="N21" i="93"/>
  <c r="O21" i="93"/>
  <c r="P21" i="93"/>
  <c r="Q21" i="93"/>
  <c r="R21" i="93"/>
  <c r="S21" i="93"/>
  <c r="T21" i="93"/>
  <c r="U21" i="93"/>
  <c r="V21" i="93"/>
  <c r="W21" i="93"/>
  <c r="X21" i="93"/>
  <c r="Y21" i="93"/>
  <c r="Z21" i="93"/>
  <c r="AA21" i="93"/>
  <c r="AB21" i="93"/>
  <c r="AC21" i="93"/>
  <c r="AD21" i="93"/>
  <c r="AE21" i="93"/>
  <c r="AF21" i="93"/>
  <c r="AG21" i="93"/>
  <c r="AH21" i="93"/>
  <c r="AI21" i="93"/>
  <c r="AJ21" i="93"/>
  <c r="AK21" i="93"/>
  <c r="AL21" i="93"/>
  <c r="AM21" i="93"/>
  <c r="AN21" i="93"/>
  <c r="AO21" i="93"/>
  <c r="AP21" i="93"/>
  <c r="AQ21" i="93"/>
  <c r="AR21" i="93"/>
  <c r="AS21" i="93"/>
  <c r="AT21" i="93"/>
  <c r="AU21" i="93"/>
  <c r="AV21" i="93"/>
  <c r="AW21" i="93"/>
  <c r="AX21" i="93"/>
  <c r="AY21" i="93"/>
  <c r="AZ21" i="93"/>
  <c r="BA21" i="93"/>
  <c r="BB21" i="93"/>
  <c r="BC21" i="93"/>
  <c r="BD21" i="93"/>
  <c r="BE21" i="93"/>
  <c r="BF21" i="93"/>
  <c r="BG21" i="93"/>
  <c r="BH21" i="93"/>
  <c r="BI21" i="93"/>
  <c r="BJ21" i="93"/>
  <c r="BK21" i="93"/>
  <c r="BL21" i="93"/>
  <c r="BM21" i="93"/>
  <c r="BN21" i="93"/>
  <c r="BO21" i="93"/>
  <c r="BP21" i="93"/>
  <c r="BQ21" i="93"/>
  <c r="BR21" i="93"/>
  <c r="BS21" i="93"/>
  <c r="BT21" i="93"/>
  <c r="BU21" i="93"/>
  <c r="BV21" i="93"/>
  <c r="BW21" i="93"/>
  <c r="BX21" i="93"/>
  <c r="BY21" i="93"/>
  <c r="BZ21" i="93"/>
  <c r="CA21" i="93"/>
  <c r="CB21" i="93"/>
  <c r="CC21" i="93"/>
  <c r="CD21" i="93"/>
  <c r="CE21" i="93"/>
  <c r="CF21" i="93"/>
  <c r="CG21" i="93"/>
  <c r="CH21" i="93"/>
  <c r="CI21" i="93"/>
  <c r="CJ21" i="93"/>
  <c r="CK21" i="93"/>
  <c r="CL21" i="93"/>
  <c r="CM21" i="93"/>
  <c r="CN21" i="93"/>
  <c r="CO21" i="93"/>
  <c r="CP21" i="93"/>
  <c r="CQ21" i="93"/>
  <c r="CR21" i="93"/>
  <c r="CS21" i="93"/>
  <c r="CT21" i="93"/>
  <c r="CU21" i="93"/>
  <c r="CV21" i="93"/>
  <c r="CW21" i="93"/>
  <c r="J22" i="93"/>
  <c r="K22" i="93"/>
  <c r="L22" i="93"/>
  <c r="M22" i="93"/>
  <c r="N22" i="93"/>
  <c r="O22" i="93"/>
  <c r="P22" i="93"/>
  <c r="Q22" i="93"/>
  <c r="R22" i="93"/>
  <c r="S22" i="93"/>
  <c r="T22" i="93"/>
  <c r="U22" i="93"/>
  <c r="V22" i="93"/>
  <c r="W22" i="93"/>
  <c r="X22" i="93"/>
  <c r="Y22" i="93"/>
  <c r="Z22" i="93"/>
  <c r="AA22" i="93"/>
  <c r="AB22" i="93"/>
  <c r="AC22" i="93"/>
  <c r="AD22" i="93"/>
  <c r="AE22" i="93"/>
  <c r="AF22" i="93"/>
  <c r="AG22" i="93"/>
  <c r="AH22" i="93"/>
  <c r="AI22" i="93"/>
  <c r="AJ22" i="93"/>
  <c r="AK22" i="93"/>
  <c r="AL22" i="93"/>
  <c r="AM22" i="93"/>
  <c r="AN22" i="93"/>
  <c r="AO22" i="93"/>
  <c r="AP22" i="93"/>
  <c r="AQ22" i="93"/>
  <c r="AR22" i="93"/>
  <c r="AS22" i="93"/>
  <c r="AT22" i="93"/>
  <c r="AU22" i="93"/>
  <c r="AV22" i="93"/>
  <c r="AW22" i="93"/>
  <c r="AX22" i="93"/>
  <c r="AY22" i="93"/>
  <c r="AZ22" i="93"/>
  <c r="BA22" i="93"/>
  <c r="BB22" i="93"/>
  <c r="BC22" i="93"/>
  <c r="BD22" i="93"/>
  <c r="BE22" i="93"/>
  <c r="BF22" i="93"/>
  <c r="BG22" i="93"/>
  <c r="BH22" i="93"/>
  <c r="BI22" i="93"/>
  <c r="BJ22" i="93"/>
  <c r="BK22" i="93"/>
  <c r="BL22" i="93"/>
  <c r="BM22" i="93"/>
  <c r="BN22" i="93"/>
  <c r="BO22" i="93"/>
  <c r="BP22" i="93"/>
  <c r="BQ22" i="93"/>
  <c r="BR22" i="93"/>
  <c r="BS22" i="93"/>
  <c r="BT22" i="93"/>
  <c r="BU22" i="93"/>
  <c r="BV22" i="93"/>
  <c r="BW22" i="93"/>
  <c r="BX22" i="93"/>
  <c r="BY22" i="93"/>
  <c r="BZ22" i="93"/>
  <c r="CA22" i="93"/>
  <c r="CB22" i="93"/>
  <c r="CC22" i="93"/>
  <c r="CD22" i="93"/>
  <c r="CE22" i="93"/>
  <c r="CF22" i="93"/>
  <c r="CG22" i="93"/>
  <c r="CH22" i="93"/>
  <c r="CI22" i="93"/>
  <c r="CJ22" i="93"/>
  <c r="CK22" i="93"/>
  <c r="CL22" i="93"/>
  <c r="CM22" i="93"/>
  <c r="CN22" i="93"/>
  <c r="CO22" i="93"/>
  <c r="CP22" i="93"/>
  <c r="CQ22" i="93"/>
  <c r="CR22" i="93"/>
  <c r="CS22" i="93"/>
  <c r="CT22" i="93"/>
  <c r="CU22" i="93"/>
  <c r="CV22" i="93"/>
  <c r="CW22" i="93"/>
  <c r="Q23" i="93"/>
  <c r="S23" i="93"/>
  <c r="T23" i="93"/>
  <c r="U23" i="93"/>
  <c r="V23" i="93"/>
  <c r="W23" i="93"/>
  <c r="X23" i="93"/>
  <c r="Y23" i="93"/>
  <c r="Z23" i="93"/>
  <c r="AA23" i="93"/>
  <c r="AB23" i="93"/>
  <c r="AC23" i="93"/>
  <c r="AD23" i="93"/>
  <c r="AE23" i="93"/>
  <c r="AF23" i="93"/>
  <c r="AG23" i="93"/>
  <c r="AH23" i="93"/>
  <c r="AI23" i="93"/>
  <c r="AJ23" i="93"/>
  <c r="AK23" i="93"/>
  <c r="AL23" i="93"/>
  <c r="AM23" i="93"/>
  <c r="AN23" i="93"/>
  <c r="AO23" i="93"/>
  <c r="AP23" i="93"/>
  <c r="AQ23" i="93"/>
  <c r="AR23" i="93"/>
  <c r="AS23" i="93"/>
  <c r="AT23" i="93"/>
  <c r="AU23" i="93"/>
  <c r="AV23" i="93"/>
  <c r="AW23" i="93"/>
  <c r="AX23" i="93"/>
  <c r="AY23" i="93"/>
  <c r="AZ23" i="93"/>
  <c r="BA23" i="93"/>
  <c r="BB23" i="93"/>
  <c r="BC23" i="93"/>
  <c r="BD23" i="93"/>
  <c r="BE23" i="93"/>
  <c r="BF23" i="93"/>
  <c r="BG23" i="93"/>
  <c r="BH23" i="93"/>
  <c r="BI23" i="93"/>
  <c r="BJ23" i="93"/>
  <c r="BK23" i="93"/>
  <c r="BL23" i="93"/>
  <c r="BM23" i="93"/>
  <c r="BN23" i="93"/>
  <c r="BO23" i="93"/>
  <c r="BP23" i="93"/>
  <c r="BQ23" i="93"/>
  <c r="BR23" i="93"/>
  <c r="BS23" i="93"/>
  <c r="BT23" i="93"/>
  <c r="BU23" i="93"/>
  <c r="BV23" i="93"/>
  <c r="BW23" i="93"/>
  <c r="BX23" i="93"/>
  <c r="BY23" i="93"/>
  <c r="BZ23" i="93"/>
  <c r="CA23" i="93"/>
  <c r="CB23" i="93"/>
  <c r="CC23" i="93"/>
  <c r="CD23" i="93"/>
  <c r="CE23" i="93"/>
  <c r="CF23" i="93"/>
  <c r="CG23" i="93"/>
  <c r="CH23" i="93"/>
  <c r="CI23" i="93"/>
  <c r="CJ23" i="93"/>
  <c r="CK23" i="93"/>
  <c r="CL23" i="93"/>
  <c r="CM23" i="93"/>
  <c r="CN23" i="93"/>
  <c r="CO23" i="93"/>
  <c r="CP23" i="93"/>
  <c r="CQ23" i="93"/>
  <c r="CR23" i="93"/>
  <c r="CS23" i="93"/>
  <c r="CT23" i="93"/>
  <c r="CU23" i="93"/>
  <c r="CV23" i="93"/>
  <c r="CW23" i="93"/>
  <c r="Q24" i="93"/>
  <c r="S24" i="93"/>
  <c r="T24" i="93"/>
  <c r="U24" i="93"/>
  <c r="V24" i="93"/>
  <c r="W24" i="93"/>
  <c r="X24" i="93"/>
  <c r="Y24" i="93"/>
  <c r="Z24" i="93"/>
  <c r="AA24" i="93"/>
  <c r="AB24" i="93"/>
  <c r="AC24" i="93"/>
  <c r="AD24" i="93"/>
  <c r="AE24" i="93"/>
  <c r="AF24" i="93"/>
  <c r="AG24" i="93"/>
  <c r="AH24" i="93"/>
  <c r="AI24" i="93"/>
  <c r="AJ24" i="93"/>
  <c r="AK24" i="93"/>
  <c r="AL24" i="93"/>
  <c r="AM24" i="93"/>
  <c r="AN24" i="93"/>
  <c r="AO24" i="93"/>
  <c r="AP24" i="93"/>
  <c r="AQ24" i="93"/>
  <c r="AR24" i="93"/>
  <c r="AS24" i="93"/>
  <c r="AT24" i="93"/>
  <c r="AU24" i="93"/>
  <c r="AV24" i="93"/>
  <c r="AW24" i="93"/>
  <c r="AX24" i="93"/>
  <c r="AY24" i="93"/>
  <c r="AZ24" i="93"/>
  <c r="BA24" i="93"/>
  <c r="BB24" i="93"/>
  <c r="BC24" i="93"/>
  <c r="BD24" i="93"/>
  <c r="BE24" i="93"/>
  <c r="BF24" i="93"/>
  <c r="BG24" i="93"/>
  <c r="BH24" i="93"/>
  <c r="BI24" i="93"/>
  <c r="BJ24" i="93"/>
  <c r="BK24" i="93"/>
  <c r="BL24" i="93"/>
  <c r="BM24" i="93"/>
  <c r="BN24" i="93"/>
  <c r="BO24" i="93"/>
  <c r="BP24" i="93"/>
  <c r="BQ24" i="93"/>
  <c r="BR24" i="93"/>
  <c r="BS24" i="93"/>
  <c r="BT24" i="93"/>
  <c r="BU24" i="93"/>
  <c r="BV24" i="93"/>
  <c r="BW24" i="93"/>
  <c r="BX24" i="93"/>
  <c r="BY24" i="93"/>
  <c r="BZ24" i="93"/>
  <c r="CA24" i="93"/>
  <c r="CB24" i="93"/>
  <c r="CC24" i="93"/>
  <c r="CD24" i="93"/>
  <c r="CE24" i="93"/>
  <c r="CF24" i="93"/>
  <c r="CG24" i="93"/>
  <c r="CH24" i="93"/>
  <c r="CI24" i="93"/>
  <c r="CJ24" i="93"/>
  <c r="CK24" i="93"/>
  <c r="CL24" i="93"/>
  <c r="CM24" i="93"/>
  <c r="CN24" i="93"/>
  <c r="CO24" i="93"/>
  <c r="CP24" i="93"/>
  <c r="CQ24" i="93"/>
  <c r="CR24" i="93"/>
  <c r="CS24" i="93"/>
  <c r="CT24" i="93"/>
  <c r="CU24" i="93"/>
  <c r="CV24" i="93"/>
  <c r="CW24" i="93"/>
  <c r="Q25" i="93"/>
  <c r="S25" i="93"/>
  <c r="T25" i="93"/>
  <c r="U25" i="93"/>
  <c r="V25" i="93"/>
  <c r="W25" i="93"/>
  <c r="X25" i="93"/>
  <c r="Y25" i="93"/>
  <c r="Z25" i="93"/>
  <c r="AA25" i="93"/>
  <c r="AB25" i="93"/>
  <c r="AC25" i="93"/>
  <c r="AD25" i="93"/>
  <c r="AE25" i="93"/>
  <c r="AF25" i="93"/>
  <c r="AG25" i="93"/>
  <c r="AH25" i="93"/>
  <c r="AI25" i="93"/>
  <c r="AJ25" i="93"/>
  <c r="AK25" i="93"/>
  <c r="AL25" i="93"/>
  <c r="AM25" i="93"/>
  <c r="AN25" i="93"/>
  <c r="AO25" i="93"/>
  <c r="AP25" i="93"/>
  <c r="AQ25" i="93"/>
  <c r="AR25" i="93"/>
  <c r="AS25" i="93"/>
  <c r="AT25" i="93"/>
  <c r="AU25" i="93"/>
  <c r="AV25" i="93"/>
  <c r="AW25" i="93"/>
  <c r="AX25" i="93"/>
  <c r="AY25" i="93"/>
  <c r="AZ25" i="93"/>
  <c r="BA25" i="93"/>
  <c r="BB25" i="93"/>
  <c r="BC25" i="93"/>
  <c r="BD25" i="93"/>
  <c r="BE25" i="93"/>
  <c r="BF25" i="93"/>
  <c r="BG25" i="93"/>
  <c r="BH25" i="93"/>
  <c r="BI25" i="93"/>
  <c r="BJ25" i="93"/>
  <c r="BK25" i="93"/>
  <c r="BL25" i="93"/>
  <c r="BM25" i="93"/>
  <c r="BN25" i="93"/>
  <c r="BO25" i="93"/>
  <c r="BP25" i="93"/>
  <c r="BQ25" i="93"/>
  <c r="BR25" i="93"/>
  <c r="BS25" i="93"/>
  <c r="BT25" i="93"/>
  <c r="BU25" i="93"/>
  <c r="BV25" i="93"/>
  <c r="BW25" i="93"/>
  <c r="BX25" i="93"/>
  <c r="BY25" i="93"/>
  <c r="BZ25" i="93"/>
  <c r="CA25" i="93"/>
  <c r="CB25" i="93"/>
  <c r="CC25" i="93"/>
  <c r="CD25" i="93"/>
  <c r="CE25" i="93"/>
  <c r="CF25" i="93"/>
  <c r="CG25" i="93"/>
  <c r="CH25" i="93"/>
  <c r="CI25" i="93"/>
  <c r="CJ25" i="93"/>
  <c r="CK25" i="93"/>
  <c r="CL25" i="93"/>
  <c r="CM25" i="93"/>
  <c r="CN25" i="93"/>
  <c r="CO25" i="93"/>
  <c r="CP25" i="93"/>
  <c r="CQ25" i="93"/>
  <c r="CR25" i="93"/>
  <c r="CS25" i="93"/>
  <c r="CT25" i="93"/>
  <c r="CU25" i="93"/>
  <c r="CV25" i="93"/>
  <c r="CW25" i="93"/>
  <c r="Q26" i="93"/>
  <c r="S26" i="93"/>
  <c r="T26" i="93"/>
  <c r="U26" i="93"/>
  <c r="V26" i="93"/>
  <c r="W26" i="93"/>
  <c r="X26" i="93"/>
  <c r="Y26" i="93"/>
  <c r="Z26" i="93"/>
  <c r="AA26" i="93"/>
  <c r="AB26" i="93"/>
  <c r="AC26" i="93"/>
  <c r="AD26" i="93"/>
  <c r="AE26" i="93"/>
  <c r="AF26" i="93"/>
  <c r="AG26" i="93"/>
  <c r="AH26" i="93"/>
  <c r="AI26" i="93"/>
  <c r="AJ26" i="93"/>
  <c r="AK26" i="93"/>
  <c r="AL26" i="93"/>
  <c r="AM26" i="93"/>
  <c r="AN26" i="93"/>
  <c r="AO26" i="93"/>
  <c r="AP26" i="93"/>
  <c r="AQ26" i="93"/>
  <c r="AR26" i="93"/>
  <c r="AS26" i="93"/>
  <c r="AT26" i="93"/>
  <c r="AU26" i="93"/>
  <c r="AV26" i="93"/>
  <c r="AW26" i="93"/>
  <c r="AX26" i="93"/>
  <c r="AY26" i="93"/>
  <c r="AZ26" i="93"/>
  <c r="BA26" i="93"/>
  <c r="BB26" i="93"/>
  <c r="BC26" i="93"/>
  <c r="BD26" i="93"/>
  <c r="BE26" i="93"/>
  <c r="BF26" i="93"/>
  <c r="BG26" i="93"/>
  <c r="BH26" i="93"/>
  <c r="BI26" i="93"/>
  <c r="BJ26" i="93"/>
  <c r="BK26" i="93"/>
  <c r="BL26" i="93"/>
  <c r="BM26" i="93"/>
  <c r="BN26" i="93"/>
  <c r="BO26" i="93"/>
  <c r="BP26" i="93"/>
  <c r="BQ26" i="93"/>
  <c r="BR26" i="93"/>
  <c r="BS26" i="93"/>
  <c r="BT26" i="93"/>
  <c r="BU26" i="93"/>
  <c r="BV26" i="93"/>
  <c r="BW26" i="93"/>
  <c r="BX26" i="93"/>
  <c r="BY26" i="93"/>
  <c r="BZ26" i="93"/>
  <c r="CA26" i="93"/>
  <c r="CB26" i="93"/>
  <c r="CC26" i="93"/>
  <c r="CD26" i="93"/>
  <c r="CE26" i="93"/>
  <c r="CF26" i="93"/>
  <c r="CG26" i="93"/>
  <c r="CH26" i="93"/>
  <c r="CI26" i="93"/>
  <c r="CJ26" i="93"/>
  <c r="CK26" i="93"/>
  <c r="CL26" i="93"/>
  <c r="CM26" i="93"/>
  <c r="CN26" i="93"/>
  <c r="CO26" i="93"/>
  <c r="CP26" i="93"/>
  <c r="CQ26" i="93"/>
  <c r="CR26" i="93"/>
  <c r="CS26" i="93"/>
  <c r="CT26" i="93"/>
  <c r="CU26" i="93"/>
  <c r="CV26" i="93"/>
  <c r="CW26" i="93"/>
  <c r="Q27" i="93"/>
  <c r="S27" i="93"/>
  <c r="T27" i="93"/>
  <c r="U27" i="93"/>
  <c r="V27" i="93"/>
  <c r="W27" i="93"/>
  <c r="X27" i="93"/>
  <c r="Y27" i="93"/>
  <c r="Z27" i="93"/>
  <c r="AA27" i="93"/>
  <c r="AB27" i="93"/>
  <c r="AC27" i="93"/>
  <c r="AD27" i="93"/>
  <c r="AE27" i="93"/>
  <c r="AF27" i="93"/>
  <c r="AG27" i="93"/>
  <c r="AH27" i="93"/>
  <c r="AI27" i="93"/>
  <c r="AJ27" i="93"/>
  <c r="AK27" i="93"/>
  <c r="AL27" i="93"/>
  <c r="AM27" i="93"/>
  <c r="AN27" i="93"/>
  <c r="AO27" i="93"/>
  <c r="AP27" i="93"/>
  <c r="AQ27" i="93"/>
  <c r="AR27" i="93"/>
  <c r="AS27" i="93"/>
  <c r="AT27" i="93"/>
  <c r="AU27" i="93"/>
  <c r="AV27" i="93"/>
  <c r="AW27" i="93"/>
  <c r="AX27" i="93"/>
  <c r="AY27" i="93"/>
  <c r="AZ27" i="93"/>
  <c r="BA27" i="93"/>
  <c r="BB27" i="93"/>
  <c r="BC27" i="93"/>
  <c r="BD27" i="93"/>
  <c r="BE27" i="93"/>
  <c r="BF27" i="93"/>
  <c r="BG27" i="93"/>
  <c r="BH27" i="93"/>
  <c r="BI27" i="93"/>
  <c r="BJ27" i="93"/>
  <c r="BK27" i="93"/>
  <c r="BL27" i="93"/>
  <c r="BM27" i="93"/>
  <c r="BN27" i="93"/>
  <c r="BO27" i="93"/>
  <c r="BP27" i="93"/>
  <c r="BQ27" i="93"/>
  <c r="BR27" i="93"/>
  <c r="BS27" i="93"/>
  <c r="BT27" i="93"/>
  <c r="BU27" i="93"/>
  <c r="BV27" i="93"/>
  <c r="BW27" i="93"/>
  <c r="BX27" i="93"/>
  <c r="BY27" i="93"/>
  <c r="BZ27" i="93"/>
  <c r="CA27" i="93"/>
  <c r="CB27" i="93"/>
  <c r="CC27" i="93"/>
  <c r="CD27" i="93"/>
  <c r="CE27" i="93"/>
  <c r="CF27" i="93"/>
  <c r="CG27" i="93"/>
  <c r="CH27" i="93"/>
  <c r="CI27" i="93"/>
  <c r="CJ27" i="93"/>
  <c r="CK27" i="93"/>
  <c r="CL27" i="93"/>
  <c r="CM27" i="93"/>
  <c r="CN27" i="93"/>
  <c r="CO27" i="93"/>
  <c r="CP27" i="93"/>
  <c r="CQ27" i="93"/>
  <c r="CR27" i="93"/>
  <c r="CS27" i="93"/>
  <c r="CT27" i="93"/>
  <c r="CU27" i="93"/>
  <c r="CV27" i="93"/>
  <c r="CW27" i="93"/>
  <c r="Q28" i="93"/>
  <c r="S28" i="93"/>
  <c r="T28" i="93"/>
  <c r="U28" i="93"/>
  <c r="V28" i="93"/>
  <c r="W28" i="93"/>
  <c r="X28" i="93"/>
  <c r="Y28" i="93"/>
  <c r="Z28" i="93"/>
  <c r="AA28" i="93"/>
  <c r="AB28" i="93"/>
  <c r="AC28" i="93"/>
  <c r="AD28" i="93"/>
  <c r="AE28" i="93"/>
  <c r="AF28" i="93"/>
  <c r="AG28" i="93"/>
  <c r="AH28" i="93"/>
  <c r="AI28" i="93"/>
  <c r="AJ28" i="93"/>
  <c r="AK28" i="93"/>
  <c r="AL28" i="93"/>
  <c r="AM28" i="93"/>
  <c r="AN28" i="93"/>
  <c r="AO28" i="93"/>
  <c r="AP28" i="93"/>
  <c r="AQ28" i="93"/>
  <c r="AR28" i="93"/>
  <c r="AS28" i="93"/>
  <c r="AT28" i="93"/>
  <c r="AU28" i="93"/>
  <c r="AV28" i="93"/>
  <c r="AW28" i="93"/>
  <c r="AX28" i="93"/>
  <c r="AY28" i="93"/>
  <c r="AZ28" i="93"/>
  <c r="BA28" i="93"/>
  <c r="BB28" i="93"/>
  <c r="BC28" i="93"/>
  <c r="BD28" i="93"/>
  <c r="BE28" i="93"/>
  <c r="BF28" i="93"/>
  <c r="BG28" i="93"/>
  <c r="BH28" i="93"/>
  <c r="BI28" i="93"/>
  <c r="BJ28" i="93"/>
  <c r="BK28" i="93"/>
  <c r="BL28" i="93"/>
  <c r="BM28" i="93"/>
  <c r="BN28" i="93"/>
  <c r="BO28" i="93"/>
  <c r="BP28" i="93"/>
  <c r="BQ28" i="93"/>
  <c r="BR28" i="93"/>
  <c r="BS28" i="93"/>
  <c r="BT28" i="93"/>
  <c r="BU28" i="93"/>
  <c r="BV28" i="93"/>
  <c r="BW28" i="93"/>
  <c r="BX28" i="93"/>
  <c r="BY28" i="93"/>
  <c r="BZ28" i="93"/>
  <c r="CA28" i="93"/>
  <c r="CB28" i="93"/>
  <c r="CC28" i="93"/>
  <c r="CD28" i="93"/>
  <c r="CE28" i="93"/>
  <c r="CF28" i="93"/>
  <c r="CG28" i="93"/>
  <c r="CH28" i="93"/>
  <c r="CI28" i="93"/>
  <c r="CJ28" i="93"/>
  <c r="CK28" i="93"/>
  <c r="CL28" i="93"/>
  <c r="CM28" i="93"/>
  <c r="CN28" i="93"/>
  <c r="CO28" i="93"/>
  <c r="CP28" i="93"/>
  <c r="CQ28" i="93"/>
  <c r="CR28" i="93"/>
  <c r="CS28" i="93"/>
  <c r="CT28" i="93"/>
  <c r="CU28" i="93"/>
  <c r="CV28" i="93"/>
  <c r="CW28" i="93"/>
  <c r="J29" i="93"/>
  <c r="K29" i="93"/>
  <c r="L29" i="93"/>
  <c r="M29" i="93"/>
  <c r="N29" i="93"/>
  <c r="O29" i="93"/>
  <c r="P29" i="93"/>
  <c r="Q29" i="93"/>
  <c r="R29" i="93"/>
  <c r="S29" i="93"/>
  <c r="T29" i="93"/>
  <c r="U29" i="93"/>
  <c r="V29" i="93"/>
  <c r="W29" i="93"/>
  <c r="X29" i="93"/>
  <c r="Y29" i="93"/>
  <c r="Z29" i="93"/>
  <c r="AA29" i="93"/>
  <c r="AB29" i="93"/>
  <c r="AC29" i="93"/>
  <c r="AD29" i="93"/>
  <c r="AE29" i="93"/>
  <c r="AF29" i="93"/>
  <c r="AG29" i="93"/>
  <c r="AH29" i="93"/>
  <c r="AI29" i="93"/>
  <c r="AJ29" i="93"/>
  <c r="AK29" i="93"/>
  <c r="AL29" i="93"/>
  <c r="AM29" i="93"/>
  <c r="AN29" i="93"/>
  <c r="AO29" i="93"/>
  <c r="AP29" i="93"/>
  <c r="AQ29" i="93"/>
  <c r="AR29" i="93"/>
  <c r="AS29" i="93"/>
  <c r="AT29" i="93"/>
  <c r="AU29" i="93"/>
  <c r="AV29" i="93"/>
  <c r="AW29" i="93"/>
  <c r="AX29" i="93"/>
  <c r="AY29" i="93"/>
  <c r="AZ29" i="93"/>
  <c r="BA29" i="93"/>
  <c r="BB29" i="93"/>
  <c r="BC29" i="93"/>
  <c r="BD29" i="93"/>
  <c r="BE29" i="93"/>
  <c r="BF29" i="93"/>
  <c r="BG29" i="93"/>
  <c r="BH29" i="93"/>
  <c r="BI29" i="93"/>
  <c r="BJ29" i="93"/>
  <c r="BK29" i="93"/>
  <c r="BL29" i="93"/>
  <c r="BM29" i="93"/>
  <c r="BN29" i="93"/>
  <c r="BO29" i="93"/>
  <c r="BP29" i="93"/>
  <c r="BQ29" i="93"/>
  <c r="BR29" i="93"/>
  <c r="BS29" i="93"/>
  <c r="BT29" i="93"/>
  <c r="BU29" i="93"/>
  <c r="BV29" i="93"/>
  <c r="BW29" i="93"/>
  <c r="BX29" i="93"/>
  <c r="BY29" i="93"/>
  <c r="BZ29" i="93"/>
  <c r="CA29" i="93"/>
  <c r="CB29" i="93"/>
  <c r="CC29" i="93"/>
  <c r="CD29" i="93"/>
  <c r="CE29" i="93"/>
  <c r="CF29" i="93"/>
  <c r="CG29" i="93"/>
  <c r="CH29" i="93"/>
  <c r="CI29" i="93"/>
  <c r="CJ29" i="93"/>
  <c r="CK29" i="93"/>
  <c r="CL29" i="93"/>
  <c r="CM29" i="93"/>
  <c r="CN29" i="93"/>
  <c r="CO29" i="93"/>
  <c r="CP29" i="93"/>
  <c r="CQ29" i="93"/>
  <c r="CR29" i="93"/>
  <c r="CS29" i="93"/>
  <c r="CT29" i="93"/>
  <c r="CU29" i="93"/>
  <c r="CV29" i="93"/>
  <c r="CW29" i="93"/>
  <c r="J30" i="93"/>
  <c r="S30" i="93"/>
  <c r="T30" i="93"/>
  <c r="U30" i="93"/>
  <c r="V30" i="93"/>
  <c r="W30" i="93"/>
  <c r="X30" i="93"/>
  <c r="Y30" i="93"/>
  <c r="Z30" i="93"/>
  <c r="AA30" i="93"/>
  <c r="AB30" i="93"/>
  <c r="AC30" i="93"/>
  <c r="AD30" i="93"/>
  <c r="AE30" i="93"/>
  <c r="AF30" i="93"/>
  <c r="AG30" i="93"/>
  <c r="AH30" i="93"/>
  <c r="AI30" i="93"/>
  <c r="AJ30" i="93"/>
  <c r="AK30" i="93"/>
  <c r="AL30" i="93"/>
  <c r="AM30" i="93"/>
  <c r="AN30" i="93"/>
  <c r="AO30" i="93"/>
  <c r="AP30" i="93"/>
  <c r="AQ30" i="93"/>
  <c r="AR30" i="93"/>
  <c r="AS30" i="93"/>
  <c r="AT30" i="93"/>
  <c r="AU30" i="93"/>
  <c r="AV30" i="93"/>
  <c r="AW30" i="93"/>
  <c r="AX30" i="93"/>
  <c r="AY30" i="93"/>
  <c r="AZ30" i="93"/>
  <c r="BA30" i="93"/>
  <c r="BB30" i="93"/>
  <c r="BC30" i="93"/>
  <c r="BD30" i="93"/>
  <c r="BE30" i="93"/>
  <c r="BF30" i="93"/>
  <c r="BG30" i="93"/>
  <c r="BH30" i="93"/>
  <c r="BI30" i="93"/>
  <c r="BJ30" i="93"/>
  <c r="BK30" i="93"/>
  <c r="BL30" i="93"/>
  <c r="BM30" i="93"/>
  <c r="BN30" i="93"/>
  <c r="BO30" i="93"/>
  <c r="BP30" i="93"/>
  <c r="BQ30" i="93"/>
  <c r="BR30" i="93"/>
  <c r="BS30" i="93"/>
  <c r="BT30" i="93"/>
  <c r="BU30" i="93"/>
  <c r="BV30" i="93"/>
  <c r="BW30" i="93"/>
  <c r="BX30" i="93"/>
  <c r="BY30" i="93"/>
  <c r="BZ30" i="93"/>
  <c r="CA30" i="93"/>
  <c r="CB30" i="93"/>
  <c r="CC30" i="93"/>
  <c r="CD30" i="93"/>
  <c r="CE30" i="93"/>
  <c r="CF30" i="93"/>
  <c r="CG30" i="93"/>
  <c r="CH30" i="93"/>
  <c r="CI30" i="93"/>
  <c r="CJ30" i="93"/>
  <c r="CK30" i="93"/>
  <c r="CL30" i="93"/>
  <c r="CM30" i="93"/>
  <c r="CN30" i="93"/>
  <c r="CO30" i="93"/>
  <c r="CP30" i="93"/>
  <c r="CQ30" i="93"/>
  <c r="CR30" i="93"/>
  <c r="CS30" i="93"/>
  <c r="CT30" i="93"/>
  <c r="CU30" i="93"/>
  <c r="CV30" i="93"/>
  <c r="CW30" i="93"/>
  <c r="J31" i="93"/>
  <c r="K31" i="93"/>
  <c r="L31" i="93"/>
  <c r="M31" i="93"/>
  <c r="N31" i="93"/>
  <c r="O31" i="93"/>
  <c r="P31" i="93"/>
  <c r="Q31" i="93"/>
  <c r="R31" i="93"/>
  <c r="S31" i="93"/>
  <c r="T31" i="93"/>
  <c r="U31" i="93"/>
  <c r="V31" i="93"/>
  <c r="W31" i="93"/>
  <c r="X31" i="93"/>
  <c r="Y31" i="93"/>
  <c r="Z31" i="93"/>
  <c r="AA31" i="93"/>
  <c r="AB31" i="93"/>
  <c r="AC31" i="93"/>
  <c r="AD31" i="93"/>
  <c r="AE31" i="93"/>
  <c r="AF31" i="93"/>
  <c r="AG31" i="93"/>
  <c r="AH31" i="93"/>
  <c r="AI31" i="93"/>
  <c r="AJ31" i="93"/>
  <c r="AK31" i="93"/>
  <c r="AL31" i="93"/>
  <c r="AM31" i="93"/>
  <c r="AN31" i="93"/>
  <c r="AO31" i="93"/>
  <c r="AP31" i="93"/>
  <c r="AQ31" i="93"/>
  <c r="AR31" i="93"/>
  <c r="AS31" i="93"/>
  <c r="AT31" i="93"/>
  <c r="AU31" i="93"/>
  <c r="AV31" i="93"/>
  <c r="AW31" i="93"/>
  <c r="AX31" i="93"/>
  <c r="AY31" i="93"/>
  <c r="AZ31" i="93"/>
  <c r="BA31" i="93"/>
  <c r="BB31" i="93"/>
  <c r="BC31" i="93"/>
  <c r="BD31" i="93"/>
  <c r="BE31" i="93"/>
  <c r="BF31" i="93"/>
  <c r="BG31" i="93"/>
  <c r="BH31" i="93"/>
  <c r="BI31" i="93"/>
  <c r="BJ31" i="93"/>
  <c r="BK31" i="93"/>
  <c r="BL31" i="93"/>
  <c r="BM31" i="93"/>
  <c r="BN31" i="93"/>
  <c r="BO31" i="93"/>
  <c r="BP31" i="93"/>
  <c r="BQ31" i="93"/>
  <c r="BR31" i="93"/>
  <c r="BS31" i="93"/>
  <c r="BT31" i="93"/>
  <c r="BU31" i="93"/>
  <c r="BV31" i="93"/>
  <c r="BW31" i="93"/>
  <c r="BX31" i="93"/>
  <c r="BY31" i="93"/>
  <c r="BZ31" i="93"/>
  <c r="CA31" i="93"/>
  <c r="CB31" i="93"/>
  <c r="CC31" i="93"/>
  <c r="CD31" i="93"/>
  <c r="CE31" i="93"/>
  <c r="CF31" i="93"/>
  <c r="CG31" i="93"/>
  <c r="CH31" i="93"/>
  <c r="CI31" i="93"/>
  <c r="CJ31" i="93"/>
  <c r="CK31" i="93"/>
  <c r="CL31" i="93"/>
  <c r="CM31" i="93"/>
  <c r="CN31" i="93"/>
  <c r="CO31" i="93"/>
  <c r="CP31" i="93"/>
  <c r="CQ31" i="93"/>
  <c r="CR31" i="93"/>
  <c r="CS31" i="93"/>
  <c r="CT31" i="93"/>
  <c r="CU31" i="93"/>
  <c r="CV31" i="93"/>
  <c r="CW31" i="93"/>
  <c r="J32" i="93"/>
  <c r="K32" i="93"/>
  <c r="L32" i="93"/>
  <c r="M32" i="93"/>
  <c r="N32" i="93"/>
  <c r="O32" i="93"/>
  <c r="P32" i="93"/>
  <c r="Q32" i="93"/>
  <c r="R32" i="93"/>
  <c r="S32" i="93"/>
  <c r="T32" i="93"/>
  <c r="U32" i="93"/>
  <c r="V32" i="93"/>
  <c r="W32" i="93"/>
  <c r="X32" i="93"/>
  <c r="Y32" i="93"/>
  <c r="Z32" i="93"/>
  <c r="AA32" i="93"/>
  <c r="AB32" i="93"/>
  <c r="AC32" i="93"/>
  <c r="AD32" i="93"/>
  <c r="AE32" i="93"/>
  <c r="AF32" i="93"/>
  <c r="AG32" i="93"/>
  <c r="AH32" i="93"/>
  <c r="AI32" i="93"/>
  <c r="AJ32" i="93"/>
  <c r="AK32" i="93"/>
  <c r="AL32" i="93"/>
  <c r="AM32" i="93"/>
  <c r="AN32" i="93"/>
  <c r="AO32" i="93"/>
  <c r="AP32" i="93"/>
  <c r="AQ32" i="93"/>
  <c r="AR32" i="93"/>
  <c r="AS32" i="93"/>
  <c r="AT32" i="93"/>
  <c r="AU32" i="93"/>
  <c r="AV32" i="93"/>
  <c r="AW32" i="93"/>
  <c r="AX32" i="93"/>
  <c r="AY32" i="93"/>
  <c r="AZ32" i="93"/>
  <c r="BA32" i="93"/>
  <c r="BB32" i="93"/>
  <c r="BC32" i="93"/>
  <c r="BD32" i="93"/>
  <c r="BE32" i="93"/>
  <c r="BF32" i="93"/>
  <c r="BG32" i="93"/>
  <c r="BH32" i="93"/>
  <c r="BI32" i="93"/>
  <c r="BJ32" i="93"/>
  <c r="BK32" i="93"/>
  <c r="BL32" i="93"/>
  <c r="BM32" i="93"/>
  <c r="BN32" i="93"/>
  <c r="BO32" i="93"/>
  <c r="BP32" i="93"/>
  <c r="BQ32" i="93"/>
  <c r="BR32" i="93"/>
  <c r="BS32" i="93"/>
  <c r="BT32" i="93"/>
  <c r="BU32" i="93"/>
  <c r="BV32" i="93"/>
  <c r="BW32" i="93"/>
  <c r="BX32" i="93"/>
  <c r="BY32" i="93"/>
  <c r="BZ32" i="93"/>
  <c r="CA32" i="93"/>
  <c r="CB32" i="93"/>
  <c r="CC32" i="93"/>
  <c r="CD32" i="93"/>
  <c r="CE32" i="93"/>
  <c r="CF32" i="93"/>
  <c r="CG32" i="93"/>
  <c r="CH32" i="93"/>
  <c r="CI32" i="93"/>
  <c r="CJ32" i="93"/>
  <c r="CK32" i="93"/>
  <c r="CL32" i="93"/>
  <c r="CM32" i="93"/>
  <c r="CN32" i="93"/>
  <c r="CO32" i="93"/>
  <c r="CP32" i="93"/>
  <c r="CQ32" i="93"/>
  <c r="CR32" i="93"/>
  <c r="CS32" i="93"/>
  <c r="CT32" i="93"/>
  <c r="CU32" i="93"/>
  <c r="CV32" i="93"/>
  <c r="CW32" i="93"/>
  <c r="Q33" i="93"/>
  <c r="S33" i="93"/>
  <c r="T33" i="93"/>
  <c r="U33" i="93"/>
  <c r="V33" i="93"/>
  <c r="W33" i="93"/>
  <c r="X33" i="93"/>
  <c r="Y33" i="93"/>
  <c r="Z33" i="93"/>
  <c r="AA33" i="93"/>
  <c r="AB33" i="93"/>
  <c r="AC33" i="93"/>
  <c r="AD33" i="93"/>
  <c r="AE33" i="93"/>
  <c r="AF33" i="93"/>
  <c r="AG33" i="93"/>
  <c r="AH33" i="93"/>
  <c r="AI33" i="93"/>
  <c r="AJ33" i="93"/>
  <c r="AK33" i="93"/>
  <c r="AL33" i="93"/>
  <c r="AM33" i="93"/>
  <c r="AN33" i="93"/>
  <c r="AO33" i="93"/>
  <c r="AP33" i="93"/>
  <c r="AQ33" i="93"/>
  <c r="AR33" i="93"/>
  <c r="AS33" i="93"/>
  <c r="AT33" i="93"/>
  <c r="AU33" i="93"/>
  <c r="AV33" i="93"/>
  <c r="AW33" i="93"/>
  <c r="AX33" i="93"/>
  <c r="AY33" i="93"/>
  <c r="AZ33" i="93"/>
  <c r="BA33" i="93"/>
  <c r="BB33" i="93"/>
  <c r="BC33" i="93"/>
  <c r="BD33" i="93"/>
  <c r="BE33" i="93"/>
  <c r="BF33" i="93"/>
  <c r="BG33" i="93"/>
  <c r="BH33" i="93"/>
  <c r="BI33" i="93"/>
  <c r="BJ33" i="93"/>
  <c r="BK33" i="93"/>
  <c r="BL33" i="93"/>
  <c r="BM33" i="93"/>
  <c r="BN33" i="93"/>
  <c r="BO33" i="93"/>
  <c r="BP33" i="93"/>
  <c r="BQ33" i="93"/>
  <c r="BR33" i="93"/>
  <c r="BS33" i="93"/>
  <c r="BT33" i="93"/>
  <c r="BU33" i="93"/>
  <c r="BV33" i="93"/>
  <c r="BW33" i="93"/>
  <c r="BX33" i="93"/>
  <c r="BY33" i="93"/>
  <c r="BZ33" i="93"/>
  <c r="CA33" i="93"/>
  <c r="CB33" i="93"/>
  <c r="CC33" i="93"/>
  <c r="CD33" i="93"/>
  <c r="CE33" i="93"/>
  <c r="CF33" i="93"/>
  <c r="CG33" i="93"/>
  <c r="CH33" i="93"/>
  <c r="CI33" i="93"/>
  <c r="CJ33" i="93"/>
  <c r="CK33" i="93"/>
  <c r="CL33" i="93"/>
  <c r="CM33" i="93"/>
  <c r="CN33" i="93"/>
  <c r="CO33" i="93"/>
  <c r="CP33" i="93"/>
  <c r="CQ33" i="93"/>
  <c r="CR33" i="93"/>
  <c r="CS33" i="93"/>
  <c r="CT33" i="93"/>
  <c r="CU33" i="93"/>
  <c r="CV33" i="93"/>
  <c r="CW33" i="93"/>
  <c r="Q34" i="93"/>
  <c r="S34" i="93"/>
  <c r="T34" i="93"/>
  <c r="U34" i="93"/>
  <c r="V34" i="93"/>
  <c r="W34" i="93"/>
  <c r="X34" i="93"/>
  <c r="Y34" i="93"/>
  <c r="Z34" i="93"/>
  <c r="AA34" i="93"/>
  <c r="AB34" i="93"/>
  <c r="AC34" i="93"/>
  <c r="AD34" i="93"/>
  <c r="AE34" i="93"/>
  <c r="AF34" i="93"/>
  <c r="AG34" i="93"/>
  <c r="AH34" i="93"/>
  <c r="AI34" i="93"/>
  <c r="AJ34" i="93"/>
  <c r="AK34" i="93"/>
  <c r="AL34" i="93"/>
  <c r="AM34" i="93"/>
  <c r="AN34" i="93"/>
  <c r="AO34" i="93"/>
  <c r="AP34" i="93"/>
  <c r="AQ34" i="93"/>
  <c r="AR34" i="93"/>
  <c r="AS34" i="93"/>
  <c r="AT34" i="93"/>
  <c r="AU34" i="93"/>
  <c r="AV34" i="93"/>
  <c r="AW34" i="93"/>
  <c r="AX34" i="93"/>
  <c r="AY34" i="93"/>
  <c r="AZ34" i="93"/>
  <c r="BA34" i="93"/>
  <c r="BB34" i="93"/>
  <c r="BC34" i="93"/>
  <c r="BD34" i="93"/>
  <c r="BE34" i="93"/>
  <c r="BF34" i="93"/>
  <c r="BG34" i="93"/>
  <c r="BH34" i="93"/>
  <c r="BI34" i="93"/>
  <c r="BJ34" i="93"/>
  <c r="BK34" i="93"/>
  <c r="BL34" i="93"/>
  <c r="BM34" i="93"/>
  <c r="BN34" i="93"/>
  <c r="BO34" i="93"/>
  <c r="BP34" i="93"/>
  <c r="BQ34" i="93"/>
  <c r="BR34" i="93"/>
  <c r="BS34" i="93"/>
  <c r="BT34" i="93"/>
  <c r="BU34" i="93"/>
  <c r="BV34" i="93"/>
  <c r="BW34" i="93"/>
  <c r="BX34" i="93"/>
  <c r="BY34" i="93"/>
  <c r="BZ34" i="93"/>
  <c r="CA34" i="93"/>
  <c r="CB34" i="93"/>
  <c r="CC34" i="93"/>
  <c r="CD34" i="93"/>
  <c r="CE34" i="93"/>
  <c r="CF34" i="93"/>
  <c r="CG34" i="93"/>
  <c r="CH34" i="93"/>
  <c r="CI34" i="93"/>
  <c r="CJ34" i="93"/>
  <c r="CK34" i="93"/>
  <c r="CL34" i="93"/>
  <c r="CM34" i="93"/>
  <c r="CN34" i="93"/>
  <c r="CO34" i="93"/>
  <c r="CP34" i="93"/>
  <c r="CQ34" i="93"/>
  <c r="CR34" i="93"/>
  <c r="CS34" i="93"/>
  <c r="CT34" i="93"/>
  <c r="CU34" i="93"/>
  <c r="CV34" i="93"/>
  <c r="CW34" i="93"/>
  <c r="Q35" i="93"/>
  <c r="T35" i="93"/>
  <c r="U35" i="93"/>
  <c r="V35" i="93"/>
  <c r="W35" i="93"/>
  <c r="X35" i="93"/>
  <c r="Y35" i="93"/>
  <c r="Z35" i="93"/>
  <c r="AA35" i="93"/>
  <c r="AB35" i="93"/>
  <c r="AC35" i="93"/>
  <c r="AD35" i="93"/>
  <c r="AE35" i="93"/>
  <c r="AF35" i="93"/>
  <c r="AG35" i="93"/>
  <c r="AH35" i="93"/>
  <c r="AI35" i="93"/>
  <c r="AJ35" i="93"/>
  <c r="AK35" i="93"/>
  <c r="AL35" i="93"/>
  <c r="AM35" i="93"/>
  <c r="AN35" i="93"/>
  <c r="AO35" i="93"/>
  <c r="AP35" i="93"/>
  <c r="AQ35" i="93"/>
  <c r="AR35" i="93"/>
  <c r="AS35" i="93"/>
  <c r="AT35" i="93"/>
  <c r="AU35" i="93"/>
  <c r="AV35" i="93"/>
  <c r="AW35" i="93"/>
  <c r="AX35" i="93"/>
  <c r="AY35" i="93"/>
  <c r="AZ35" i="93"/>
  <c r="BA35" i="93"/>
  <c r="BB35" i="93"/>
  <c r="BC35" i="93"/>
  <c r="BD35" i="93"/>
  <c r="BE35" i="93"/>
  <c r="BF35" i="93"/>
  <c r="BG35" i="93"/>
  <c r="BH35" i="93"/>
  <c r="BI35" i="93"/>
  <c r="BJ35" i="93"/>
  <c r="BK35" i="93"/>
  <c r="BL35" i="93"/>
  <c r="BM35" i="93"/>
  <c r="BN35" i="93"/>
  <c r="BO35" i="93"/>
  <c r="BP35" i="93"/>
  <c r="BQ35" i="93"/>
  <c r="BR35" i="93"/>
  <c r="BS35" i="93"/>
  <c r="BT35" i="93"/>
  <c r="BU35" i="93"/>
  <c r="BV35" i="93"/>
  <c r="BW35" i="93"/>
  <c r="BX35" i="93"/>
  <c r="BY35" i="93"/>
  <c r="BZ35" i="93"/>
  <c r="CA35" i="93"/>
  <c r="CB35" i="93"/>
  <c r="CC35" i="93"/>
  <c r="CD35" i="93"/>
  <c r="CE35" i="93"/>
  <c r="CF35" i="93"/>
  <c r="CG35" i="93"/>
  <c r="CH35" i="93"/>
  <c r="CI35" i="93"/>
  <c r="CJ35" i="93"/>
  <c r="CK35" i="93"/>
  <c r="CL35" i="93"/>
  <c r="CM35" i="93"/>
  <c r="CN35" i="93"/>
  <c r="CO35" i="93"/>
  <c r="CP35" i="93"/>
  <c r="CQ35" i="93"/>
  <c r="CR35" i="93"/>
  <c r="CS35" i="93"/>
  <c r="CT35" i="93"/>
  <c r="CU35" i="93"/>
  <c r="CV35" i="93"/>
  <c r="CW35" i="93"/>
  <c r="Q36" i="93"/>
  <c r="T36" i="93"/>
  <c r="U36" i="93"/>
  <c r="V36" i="93"/>
  <c r="W36" i="93"/>
  <c r="X36" i="93"/>
  <c r="Y36" i="93"/>
  <c r="Z36" i="93"/>
  <c r="AA36" i="93"/>
  <c r="AB36" i="93"/>
  <c r="AC36" i="93"/>
  <c r="AD36" i="93"/>
  <c r="AE36" i="93"/>
  <c r="AF36" i="93"/>
  <c r="AG36" i="93"/>
  <c r="AH36" i="93"/>
  <c r="AI36" i="93"/>
  <c r="AJ36" i="93"/>
  <c r="AK36" i="93"/>
  <c r="AL36" i="93"/>
  <c r="AM36" i="93"/>
  <c r="AN36" i="93"/>
  <c r="AO36" i="93"/>
  <c r="AP36" i="93"/>
  <c r="AQ36" i="93"/>
  <c r="AR36" i="93"/>
  <c r="AS36" i="93"/>
  <c r="AT36" i="93"/>
  <c r="AU36" i="93"/>
  <c r="AV36" i="93"/>
  <c r="AW36" i="93"/>
  <c r="AX36" i="93"/>
  <c r="AY36" i="93"/>
  <c r="AZ36" i="93"/>
  <c r="BA36" i="93"/>
  <c r="BB36" i="93"/>
  <c r="BC36" i="93"/>
  <c r="BD36" i="93"/>
  <c r="BE36" i="93"/>
  <c r="BF36" i="93"/>
  <c r="BG36" i="93"/>
  <c r="BH36" i="93"/>
  <c r="BI36" i="93"/>
  <c r="BJ36" i="93"/>
  <c r="BK36" i="93"/>
  <c r="BL36" i="93"/>
  <c r="BM36" i="93"/>
  <c r="BN36" i="93"/>
  <c r="BO36" i="93"/>
  <c r="BP36" i="93"/>
  <c r="BQ36" i="93"/>
  <c r="BR36" i="93"/>
  <c r="BS36" i="93"/>
  <c r="BT36" i="93"/>
  <c r="BU36" i="93"/>
  <c r="BV36" i="93"/>
  <c r="BW36" i="93"/>
  <c r="BX36" i="93"/>
  <c r="BY36" i="93"/>
  <c r="BZ36" i="93"/>
  <c r="CA36" i="93"/>
  <c r="CB36" i="93"/>
  <c r="CC36" i="93"/>
  <c r="CD36" i="93"/>
  <c r="CE36" i="93"/>
  <c r="CF36" i="93"/>
  <c r="CG36" i="93"/>
  <c r="CH36" i="93"/>
  <c r="CI36" i="93"/>
  <c r="CJ36" i="93"/>
  <c r="CK36" i="93"/>
  <c r="CL36" i="93"/>
  <c r="CM36" i="93"/>
  <c r="CN36" i="93"/>
  <c r="CO36" i="93"/>
  <c r="CP36" i="93"/>
  <c r="CQ36" i="93"/>
  <c r="CR36" i="93"/>
  <c r="CS36" i="93"/>
  <c r="CT36" i="93"/>
  <c r="CU36" i="93"/>
  <c r="CV36" i="93"/>
  <c r="CW36" i="93"/>
  <c r="Q37" i="93"/>
  <c r="S37" i="93"/>
  <c r="T37" i="93"/>
  <c r="U37" i="93"/>
  <c r="V37" i="93"/>
  <c r="W37" i="93"/>
  <c r="X37" i="93"/>
  <c r="Y37" i="93"/>
  <c r="Z37" i="93"/>
  <c r="AA37" i="93"/>
  <c r="AB37" i="93"/>
  <c r="AC37" i="93"/>
  <c r="AD37" i="93"/>
  <c r="AE37" i="93"/>
  <c r="AF37" i="93"/>
  <c r="AG37" i="93"/>
  <c r="AH37" i="93"/>
  <c r="AI37" i="93"/>
  <c r="AJ37" i="93"/>
  <c r="AK37" i="93"/>
  <c r="AL37" i="93"/>
  <c r="AM37" i="93"/>
  <c r="AN37" i="93"/>
  <c r="AO37" i="93"/>
  <c r="AP37" i="93"/>
  <c r="AQ37" i="93"/>
  <c r="AR37" i="93"/>
  <c r="AS37" i="93"/>
  <c r="AT37" i="93"/>
  <c r="AU37" i="93"/>
  <c r="AV37" i="93"/>
  <c r="AW37" i="93"/>
  <c r="AX37" i="93"/>
  <c r="AY37" i="93"/>
  <c r="AZ37" i="93"/>
  <c r="BA37" i="93"/>
  <c r="BB37" i="93"/>
  <c r="BC37" i="93"/>
  <c r="BD37" i="93"/>
  <c r="BE37" i="93"/>
  <c r="BF37" i="93"/>
  <c r="BG37" i="93"/>
  <c r="BH37" i="93"/>
  <c r="BI37" i="93"/>
  <c r="BJ37" i="93"/>
  <c r="BK37" i="93"/>
  <c r="BL37" i="93"/>
  <c r="BM37" i="93"/>
  <c r="BN37" i="93"/>
  <c r="BO37" i="93"/>
  <c r="BP37" i="93"/>
  <c r="BQ37" i="93"/>
  <c r="BR37" i="93"/>
  <c r="BS37" i="93"/>
  <c r="BT37" i="93"/>
  <c r="BU37" i="93"/>
  <c r="BV37" i="93"/>
  <c r="BW37" i="93"/>
  <c r="BX37" i="93"/>
  <c r="BY37" i="93"/>
  <c r="BZ37" i="93"/>
  <c r="CA37" i="93"/>
  <c r="CB37" i="93"/>
  <c r="CC37" i="93"/>
  <c r="CD37" i="93"/>
  <c r="CE37" i="93"/>
  <c r="CF37" i="93"/>
  <c r="CG37" i="93"/>
  <c r="CH37" i="93"/>
  <c r="CI37" i="93"/>
  <c r="CJ37" i="93"/>
  <c r="CK37" i="93"/>
  <c r="CL37" i="93"/>
  <c r="CM37" i="93"/>
  <c r="CN37" i="93"/>
  <c r="CO37" i="93"/>
  <c r="CP37" i="93"/>
  <c r="CQ37" i="93"/>
  <c r="CR37" i="93"/>
  <c r="CS37" i="93"/>
  <c r="CT37" i="93"/>
  <c r="CU37" i="93"/>
  <c r="CV37" i="93"/>
  <c r="CW37" i="93"/>
  <c r="Q38" i="93"/>
  <c r="S38" i="93"/>
  <c r="T38" i="93"/>
  <c r="U38" i="93"/>
  <c r="V38" i="93"/>
  <c r="W38" i="93"/>
  <c r="X38" i="93"/>
  <c r="Y38" i="93"/>
  <c r="Z38" i="93"/>
  <c r="AA38" i="93"/>
  <c r="AB38" i="93"/>
  <c r="AC38" i="93"/>
  <c r="AD38" i="93"/>
  <c r="AE38" i="93"/>
  <c r="AF38" i="93"/>
  <c r="AG38" i="93"/>
  <c r="AH38" i="93"/>
  <c r="AI38" i="93"/>
  <c r="AJ38" i="93"/>
  <c r="AK38" i="93"/>
  <c r="AL38" i="93"/>
  <c r="AM38" i="93"/>
  <c r="AN38" i="93"/>
  <c r="AO38" i="93"/>
  <c r="AP38" i="93"/>
  <c r="AQ38" i="93"/>
  <c r="AR38" i="93"/>
  <c r="AS38" i="93"/>
  <c r="AT38" i="93"/>
  <c r="AU38" i="93"/>
  <c r="AV38" i="93"/>
  <c r="AW38" i="93"/>
  <c r="AX38" i="93"/>
  <c r="AY38" i="93"/>
  <c r="AZ38" i="93"/>
  <c r="BA38" i="93"/>
  <c r="BB38" i="93"/>
  <c r="BC38" i="93"/>
  <c r="BD38" i="93"/>
  <c r="BE38" i="93"/>
  <c r="BF38" i="93"/>
  <c r="BG38" i="93"/>
  <c r="BH38" i="93"/>
  <c r="BI38" i="93"/>
  <c r="BJ38" i="93"/>
  <c r="BK38" i="93"/>
  <c r="BL38" i="93"/>
  <c r="BM38" i="93"/>
  <c r="BN38" i="93"/>
  <c r="BO38" i="93"/>
  <c r="BP38" i="93"/>
  <c r="BQ38" i="93"/>
  <c r="BR38" i="93"/>
  <c r="BS38" i="93"/>
  <c r="BT38" i="93"/>
  <c r="BU38" i="93"/>
  <c r="BV38" i="93"/>
  <c r="BW38" i="93"/>
  <c r="BX38" i="93"/>
  <c r="BY38" i="93"/>
  <c r="BZ38" i="93"/>
  <c r="CA38" i="93"/>
  <c r="CB38" i="93"/>
  <c r="CC38" i="93"/>
  <c r="CD38" i="93"/>
  <c r="CE38" i="93"/>
  <c r="CF38" i="93"/>
  <c r="CG38" i="93"/>
  <c r="CH38" i="93"/>
  <c r="CI38" i="93"/>
  <c r="CJ38" i="93"/>
  <c r="CK38" i="93"/>
  <c r="CL38" i="93"/>
  <c r="CM38" i="93"/>
  <c r="CN38" i="93"/>
  <c r="CO38" i="93"/>
  <c r="CP38" i="93"/>
  <c r="CQ38" i="93"/>
  <c r="CR38" i="93"/>
  <c r="CS38" i="93"/>
  <c r="CT38" i="93"/>
  <c r="CU38" i="93"/>
  <c r="CV38" i="93"/>
  <c r="CW38" i="93"/>
  <c r="J39" i="93"/>
  <c r="K39" i="93"/>
  <c r="L39" i="93"/>
  <c r="M39" i="93"/>
  <c r="N39" i="93"/>
  <c r="O39" i="93"/>
  <c r="P39" i="93"/>
  <c r="Q39" i="93"/>
  <c r="R39" i="93"/>
  <c r="S39" i="93"/>
  <c r="T39" i="93"/>
  <c r="U39" i="93"/>
  <c r="V39" i="93"/>
  <c r="W39" i="93"/>
  <c r="X39" i="93"/>
  <c r="Y39" i="93"/>
  <c r="Z39" i="93"/>
  <c r="AA39" i="93"/>
  <c r="AB39" i="93"/>
  <c r="AC39" i="93"/>
  <c r="AD39" i="93"/>
  <c r="AE39" i="93"/>
  <c r="AF39" i="93"/>
  <c r="AG39" i="93"/>
  <c r="AH39" i="93"/>
  <c r="AI39" i="93"/>
  <c r="AJ39" i="93"/>
  <c r="AK39" i="93"/>
  <c r="AL39" i="93"/>
  <c r="AM39" i="93"/>
  <c r="AN39" i="93"/>
  <c r="AO39" i="93"/>
  <c r="AP39" i="93"/>
  <c r="AQ39" i="93"/>
  <c r="AR39" i="93"/>
  <c r="AS39" i="93"/>
  <c r="AT39" i="93"/>
  <c r="AU39" i="93"/>
  <c r="AV39" i="93"/>
  <c r="AW39" i="93"/>
  <c r="AX39" i="93"/>
  <c r="AY39" i="93"/>
  <c r="AZ39" i="93"/>
  <c r="BA39" i="93"/>
  <c r="BB39" i="93"/>
  <c r="BC39" i="93"/>
  <c r="BD39" i="93"/>
  <c r="BE39" i="93"/>
  <c r="BF39" i="93"/>
  <c r="BG39" i="93"/>
  <c r="BH39" i="93"/>
  <c r="BI39" i="93"/>
  <c r="BJ39" i="93"/>
  <c r="BK39" i="93"/>
  <c r="BL39" i="93"/>
  <c r="BM39" i="93"/>
  <c r="BN39" i="93"/>
  <c r="BO39" i="93"/>
  <c r="BP39" i="93"/>
  <c r="BQ39" i="93"/>
  <c r="BR39" i="93"/>
  <c r="BS39" i="93"/>
  <c r="BT39" i="93"/>
  <c r="BU39" i="93"/>
  <c r="BV39" i="93"/>
  <c r="BW39" i="93"/>
  <c r="BX39" i="93"/>
  <c r="BY39" i="93"/>
  <c r="BZ39" i="93"/>
  <c r="CA39" i="93"/>
  <c r="CB39" i="93"/>
  <c r="CC39" i="93"/>
  <c r="CD39" i="93"/>
  <c r="CE39" i="93"/>
  <c r="CF39" i="93"/>
  <c r="CG39" i="93"/>
  <c r="CH39" i="93"/>
  <c r="CI39" i="93"/>
  <c r="CJ39" i="93"/>
  <c r="CK39" i="93"/>
  <c r="CL39" i="93"/>
  <c r="CM39" i="93"/>
  <c r="CN39" i="93"/>
  <c r="CO39" i="93"/>
  <c r="CP39" i="93"/>
  <c r="CQ39" i="93"/>
  <c r="CR39" i="93"/>
  <c r="CS39" i="93"/>
  <c r="CT39" i="93"/>
  <c r="CU39" i="93"/>
  <c r="CV39" i="93"/>
  <c r="CW39" i="93"/>
  <c r="J40" i="93"/>
  <c r="S40" i="93"/>
  <c r="T40" i="93"/>
  <c r="U40" i="93"/>
  <c r="V40" i="93"/>
  <c r="W40" i="93"/>
  <c r="X40" i="93"/>
  <c r="Y40" i="93"/>
  <c r="Z40" i="93"/>
  <c r="AA40" i="93"/>
  <c r="AB40" i="93"/>
  <c r="AC40" i="93"/>
  <c r="AD40" i="93"/>
  <c r="AE40" i="93"/>
  <c r="AF40" i="93"/>
  <c r="AG40" i="93"/>
  <c r="AH40" i="93"/>
  <c r="AI40" i="93"/>
  <c r="AJ40" i="93"/>
  <c r="AK40" i="93"/>
  <c r="AL40" i="93"/>
  <c r="AM40" i="93"/>
  <c r="AN40" i="93"/>
  <c r="AO40" i="93"/>
  <c r="AP40" i="93"/>
  <c r="AQ40" i="93"/>
  <c r="AR40" i="93"/>
  <c r="AS40" i="93"/>
  <c r="AT40" i="93"/>
  <c r="AU40" i="93"/>
  <c r="AV40" i="93"/>
  <c r="AW40" i="93"/>
  <c r="AX40" i="93"/>
  <c r="AY40" i="93"/>
  <c r="AZ40" i="93"/>
  <c r="BA40" i="93"/>
  <c r="BB40" i="93"/>
  <c r="BC40" i="93"/>
  <c r="BD40" i="93"/>
  <c r="BE40" i="93"/>
  <c r="BF40" i="93"/>
  <c r="BG40" i="93"/>
  <c r="BH40" i="93"/>
  <c r="BI40" i="93"/>
  <c r="BJ40" i="93"/>
  <c r="BK40" i="93"/>
  <c r="BL40" i="93"/>
  <c r="BM40" i="93"/>
  <c r="BN40" i="93"/>
  <c r="BO40" i="93"/>
  <c r="BP40" i="93"/>
  <c r="BQ40" i="93"/>
  <c r="BR40" i="93"/>
  <c r="BS40" i="93"/>
  <c r="BT40" i="93"/>
  <c r="BU40" i="93"/>
  <c r="BV40" i="93"/>
  <c r="BW40" i="93"/>
  <c r="BX40" i="93"/>
  <c r="BY40" i="93"/>
  <c r="BZ40" i="93"/>
  <c r="CA40" i="93"/>
  <c r="CB40" i="93"/>
  <c r="CC40" i="93"/>
  <c r="CD40" i="93"/>
  <c r="CE40" i="93"/>
  <c r="CF40" i="93"/>
  <c r="CG40" i="93"/>
  <c r="CH40" i="93"/>
  <c r="CI40" i="93"/>
  <c r="CJ40" i="93"/>
  <c r="CK40" i="93"/>
  <c r="CL40" i="93"/>
  <c r="CM40" i="93"/>
  <c r="CN40" i="93"/>
  <c r="CO40" i="93"/>
  <c r="CP40" i="93"/>
  <c r="CQ40" i="93"/>
  <c r="CR40" i="93"/>
  <c r="CS40" i="93"/>
  <c r="CT40" i="93"/>
  <c r="CU40" i="93"/>
  <c r="CV40" i="93"/>
  <c r="CW40" i="93"/>
  <c r="J41" i="93"/>
  <c r="K41" i="93"/>
  <c r="L41" i="93"/>
  <c r="M41" i="93"/>
  <c r="N41" i="93"/>
  <c r="O41" i="93"/>
  <c r="P41" i="93"/>
  <c r="Q41" i="93"/>
  <c r="R41" i="93"/>
  <c r="S41" i="93"/>
  <c r="T41" i="93"/>
  <c r="U41" i="93"/>
  <c r="V41" i="93"/>
  <c r="W41" i="93"/>
  <c r="X41" i="93"/>
  <c r="Y41" i="93"/>
  <c r="Z41" i="93"/>
  <c r="AA41" i="93"/>
  <c r="AB41" i="93"/>
  <c r="AC41" i="93"/>
  <c r="AD41" i="93"/>
  <c r="AE41" i="93"/>
  <c r="AF41" i="93"/>
  <c r="AG41" i="93"/>
  <c r="AH41" i="93"/>
  <c r="AI41" i="93"/>
  <c r="AJ41" i="93"/>
  <c r="AK41" i="93"/>
  <c r="AL41" i="93"/>
  <c r="AM41" i="93"/>
  <c r="AN41" i="93"/>
  <c r="AO41" i="93"/>
  <c r="AP41" i="93"/>
  <c r="AQ41" i="93"/>
  <c r="AR41" i="93"/>
  <c r="AS41" i="93"/>
  <c r="AT41" i="93"/>
  <c r="AU41" i="93"/>
  <c r="AV41" i="93"/>
  <c r="AW41" i="93"/>
  <c r="AX41" i="93"/>
  <c r="AY41" i="93"/>
  <c r="AZ41" i="93"/>
  <c r="BA41" i="93"/>
  <c r="BB41" i="93"/>
  <c r="BC41" i="93"/>
  <c r="BD41" i="93"/>
  <c r="BE41" i="93"/>
  <c r="BF41" i="93"/>
  <c r="BG41" i="93"/>
  <c r="BH41" i="93"/>
  <c r="BI41" i="93"/>
  <c r="BJ41" i="93"/>
  <c r="BK41" i="93"/>
  <c r="BL41" i="93"/>
  <c r="BM41" i="93"/>
  <c r="BN41" i="93"/>
  <c r="BO41" i="93"/>
  <c r="BP41" i="93"/>
  <c r="BQ41" i="93"/>
  <c r="BR41" i="93"/>
  <c r="BS41" i="93"/>
  <c r="BT41" i="93"/>
  <c r="BU41" i="93"/>
  <c r="BV41" i="93"/>
  <c r="BW41" i="93"/>
  <c r="BX41" i="93"/>
  <c r="BY41" i="93"/>
  <c r="BZ41" i="93"/>
  <c r="CA41" i="93"/>
  <c r="CB41" i="93"/>
  <c r="CC41" i="93"/>
  <c r="CD41" i="93"/>
  <c r="CE41" i="93"/>
  <c r="CF41" i="93"/>
  <c r="CG41" i="93"/>
  <c r="CH41" i="93"/>
  <c r="CI41" i="93"/>
  <c r="CJ41" i="93"/>
  <c r="CK41" i="93"/>
  <c r="CL41" i="93"/>
  <c r="CM41" i="93"/>
  <c r="CN41" i="93"/>
  <c r="CO41" i="93"/>
  <c r="CP41" i="93"/>
  <c r="CQ41" i="93"/>
  <c r="CR41" i="93"/>
  <c r="CS41" i="93"/>
  <c r="CT41" i="93"/>
  <c r="CU41" i="93"/>
  <c r="CV41" i="93"/>
  <c r="CW41" i="93"/>
  <c r="J42" i="93"/>
  <c r="K42" i="93"/>
  <c r="L42" i="93"/>
  <c r="M42" i="93"/>
  <c r="N42" i="93"/>
  <c r="O42" i="93"/>
  <c r="P42" i="93"/>
  <c r="Q42" i="93"/>
  <c r="R42" i="93"/>
  <c r="S42" i="93"/>
  <c r="T42" i="93"/>
  <c r="U42" i="93"/>
  <c r="V42" i="93"/>
  <c r="W42" i="93"/>
  <c r="X42" i="93"/>
  <c r="Y42" i="93"/>
  <c r="Z42" i="93"/>
  <c r="AA42" i="93"/>
  <c r="AB42" i="93"/>
  <c r="AC42" i="93"/>
  <c r="AD42" i="93"/>
  <c r="AE42" i="93"/>
  <c r="AF42" i="93"/>
  <c r="AG42" i="93"/>
  <c r="AH42" i="93"/>
  <c r="AI42" i="93"/>
  <c r="AJ42" i="93"/>
  <c r="AK42" i="93"/>
  <c r="AL42" i="93"/>
  <c r="AM42" i="93"/>
  <c r="AN42" i="93"/>
  <c r="AO42" i="93"/>
  <c r="AP42" i="93"/>
  <c r="AQ42" i="93"/>
  <c r="AR42" i="93"/>
  <c r="AS42" i="93"/>
  <c r="AT42" i="93"/>
  <c r="AU42" i="93"/>
  <c r="AV42" i="93"/>
  <c r="AW42" i="93"/>
  <c r="AX42" i="93"/>
  <c r="AY42" i="93"/>
  <c r="AZ42" i="93"/>
  <c r="BA42" i="93"/>
  <c r="BB42" i="93"/>
  <c r="BC42" i="93"/>
  <c r="BD42" i="93"/>
  <c r="BE42" i="93"/>
  <c r="BF42" i="93"/>
  <c r="BG42" i="93"/>
  <c r="BH42" i="93"/>
  <c r="BI42" i="93"/>
  <c r="BJ42" i="93"/>
  <c r="BK42" i="93"/>
  <c r="BL42" i="93"/>
  <c r="BM42" i="93"/>
  <c r="BN42" i="93"/>
  <c r="BO42" i="93"/>
  <c r="BP42" i="93"/>
  <c r="BQ42" i="93"/>
  <c r="BR42" i="93"/>
  <c r="BS42" i="93"/>
  <c r="BT42" i="93"/>
  <c r="BU42" i="93"/>
  <c r="BV42" i="93"/>
  <c r="BW42" i="93"/>
  <c r="BX42" i="93"/>
  <c r="BY42" i="93"/>
  <c r="BZ42" i="93"/>
  <c r="CA42" i="93"/>
  <c r="CB42" i="93"/>
  <c r="CC42" i="93"/>
  <c r="CD42" i="93"/>
  <c r="CE42" i="93"/>
  <c r="CF42" i="93"/>
  <c r="CG42" i="93"/>
  <c r="CH42" i="93"/>
  <c r="CI42" i="93"/>
  <c r="CJ42" i="93"/>
  <c r="CK42" i="93"/>
  <c r="CL42" i="93"/>
  <c r="CM42" i="93"/>
  <c r="CN42" i="93"/>
  <c r="CO42" i="93"/>
  <c r="CP42" i="93"/>
  <c r="CQ42" i="93"/>
  <c r="CR42" i="93"/>
  <c r="CS42" i="93"/>
  <c r="CT42" i="93"/>
  <c r="CU42" i="93"/>
  <c r="CV42" i="93"/>
  <c r="CW42" i="93"/>
  <c r="Q43" i="93"/>
  <c r="S43" i="93"/>
  <c r="T43" i="93"/>
  <c r="U43" i="93"/>
  <c r="V43" i="93"/>
  <c r="W43" i="93"/>
  <c r="X43" i="93"/>
  <c r="Y43" i="93"/>
  <c r="Z43" i="93"/>
  <c r="AA43" i="93"/>
  <c r="AB43" i="93"/>
  <c r="AC43" i="93"/>
  <c r="AD43" i="93"/>
  <c r="AE43" i="93"/>
  <c r="AF43" i="93"/>
  <c r="AG43" i="93"/>
  <c r="AH43" i="93"/>
  <c r="AI43" i="93"/>
  <c r="AJ43" i="93"/>
  <c r="AK43" i="93"/>
  <c r="AL43" i="93"/>
  <c r="AM43" i="93"/>
  <c r="AN43" i="93"/>
  <c r="AO43" i="93"/>
  <c r="AP43" i="93"/>
  <c r="AQ43" i="93"/>
  <c r="AR43" i="93"/>
  <c r="AS43" i="93"/>
  <c r="AT43" i="93"/>
  <c r="AU43" i="93"/>
  <c r="AV43" i="93"/>
  <c r="AW43" i="93"/>
  <c r="AX43" i="93"/>
  <c r="AY43" i="93"/>
  <c r="AZ43" i="93"/>
  <c r="BA43" i="93"/>
  <c r="BB43" i="93"/>
  <c r="BC43" i="93"/>
  <c r="BD43" i="93"/>
  <c r="BE43" i="93"/>
  <c r="BF43" i="93"/>
  <c r="BG43" i="93"/>
  <c r="BH43" i="93"/>
  <c r="BI43" i="93"/>
  <c r="BJ43" i="93"/>
  <c r="BK43" i="93"/>
  <c r="BL43" i="93"/>
  <c r="BM43" i="93"/>
  <c r="BN43" i="93"/>
  <c r="BO43" i="93"/>
  <c r="BP43" i="93"/>
  <c r="BQ43" i="93"/>
  <c r="BR43" i="93"/>
  <c r="BS43" i="93"/>
  <c r="BT43" i="93"/>
  <c r="BU43" i="93"/>
  <c r="BV43" i="93"/>
  <c r="BW43" i="93"/>
  <c r="BX43" i="93"/>
  <c r="BY43" i="93"/>
  <c r="BZ43" i="93"/>
  <c r="CA43" i="93"/>
  <c r="CB43" i="93"/>
  <c r="CC43" i="93"/>
  <c r="CD43" i="93"/>
  <c r="CE43" i="93"/>
  <c r="CF43" i="93"/>
  <c r="CG43" i="93"/>
  <c r="CH43" i="93"/>
  <c r="CI43" i="93"/>
  <c r="CJ43" i="93"/>
  <c r="CK43" i="93"/>
  <c r="CL43" i="93"/>
  <c r="CM43" i="93"/>
  <c r="CN43" i="93"/>
  <c r="CO43" i="93"/>
  <c r="CP43" i="93"/>
  <c r="CQ43" i="93"/>
  <c r="CR43" i="93"/>
  <c r="CS43" i="93"/>
  <c r="CT43" i="93"/>
  <c r="CU43" i="93"/>
  <c r="CV43" i="93"/>
  <c r="CW43" i="93"/>
  <c r="J44" i="93"/>
  <c r="K44" i="93"/>
  <c r="L44" i="93"/>
  <c r="M44" i="93"/>
  <c r="N44" i="93"/>
  <c r="O44" i="93"/>
  <c r="P44" i="93"/>
  <c r="Q44" i="93"/>
  <c r="R44" i="93"/>
  <c r="S44" i="93"/>
  <c r="T44" i="93"/>
  <c r="U44" i="93"/>
  <c r="V44" i="93"/>
  <c r="W44" i="93"/>
  <c r="X44" i="93"/>
  <c r="Y44" i="93"/>
  <c r="Z44" i="93"/>
  <c r="AA44" i="93"/>
  <c r="AB44" i="93"/>
  <c r="AC44" i="93"/>
  <c r="AD44" i="93"/>
  <c r="AE44" i="93"/>
  <c r="AF44" i="93"/>
  <c r="AG44" i="93"/>
  <c r="AH44" i="93"/>
  <c r="AI44" i="93"/>
  <c r="AJ44" i="93"/>
  <c r="AK44" i="93"/>
  <c r="AL44" i="93"/>
  <c r="AM44" i="93"/>
  <c r="AN44" i="93"/>
  <c r="AO44" i="93"/>
  <c r="AP44" i="93"/>
  <c r="AQ44" i="93"/>
  <c r="AR44" i="93"/>
  <c r="AS44" i="93"/>
  <c r="AT44" i="93"/>
  <c r="AU44" i="93"/>
  <c r="AV44" i="93"/>
  <c r="AW44" i="93"/>
  <c r="AX44" i="93"/>
  <c r="AY44" i="93"/>
  <c r="AZ44" i="93"/>
  <c r="BA44" i="93"/>
  <c r="BB44" i="93"/>
  <c r="BC44" i="93"/>
  <c r="BD44" i="93"/>
  <c r="BE44" i="93"/>
  <c r="BF44" i="93"/>
  <c r="BG44" i="93"/>
  <c r="BH44" i="93"/>
  <c r="BI44" i="93"/>
  <c r="BJ44" i="93"/>
  <c r="BK44" i="93"/>
  <c r="BL44" i="93"/>
  <c r="BM44" i="93"/>
  <c r="BN44" i="93"/>
  <c r="BO44" i="93"/>
  <c r="BP44" i="93"/>
  <c r="BQ44" i="93"/>
  <c r="BR44" i="93"/>
  <c r="BS44" i="93"/>
  <c r="BT44" i="93"/>
  <c r="BU44" i="93"/>
  <c r="BV44" i="93"/>
  <c r="BW44" i="93"/>
  <c r="BX44" i="93"/>
  <c r="BY44" i="93"/>
  <c r="BZ44" i="93"/>
  <c r="CA44" i="93"/>
  <c r="CB44" i="93"/>
  <c r="CC44" i="93"/>
  <c r="CD44" i="93"/>
  <c r="CE44" i="93"/>
  <c r="CF44" i="93"/>
  <c r="CG44" i="93"/>
  <c r="CH44" i="93"/>
  <c r="CI44" i="93"/>
  <c r="CJ44" i="93"/>
  <c r="CK44" i="93"/>
  <c r="CL44" i="93"/>
  <c r="CM44" i="93"/>
  <c r="CN44" i="93"/>
  <c r="CO44" i="93"/>
  <c r="CP44" i="93"/>
  <c r="CQ44" i="93"/>
  <c r="CR44" i="93"/>
  <c r="CS44" i="93"/>
  <c r="CT44" i="93"/>
  <c r="CU44" i="93"/>
  <c r="CV44" i="93"/>
  <c r="CW44" i="93"/>
  <c r="J45" i="93"/>
  <c r="S45" i="93"/>
  <c r="T45" i="93"/>
  <c r="U45" i="93"/>
  <c r="V45" i="93"/>
  <c r="W45" i="93"/>
  <c r="X45" i="93"/>
  <c r="Y45" i="93"/>
  <c r="Z45" i="93"/>
  <c r="AA45" i="93"/>
  <c r="AB45" i="93"/>
  <c r="AC45" i="93"/>
  <c r="AD45" i="93"/>
  <c r="AE45" i="93"/>
  <c r="AF45" i="93"/>
  <c r="AG45" i="93"/>
  <c r="AH45" i="93"/>
  <c r="AI45" i="93"/>
  <c r="AJ45" i="93"/>
  <c r="AK45" i="93"/>
  <c r="AL45" i="93"/>
  <c r="AM45" i="93"/>
  <c r="AN45" i="93"/>
  <c r="AO45" i="93"/>
  <c r="AP45" i="93"/>
  <c r="AQ45" i="93"/>
  <c r="AR45" i="93"/>
  <c r="AS45" i="93"/>
  <c r="AT45" i="93"/>
  <c r="AU45" i="93"/>
  <c r="AV45" i="93"/>
  <c r="AW45" i="93"/>
  <c r="AX45" i="93"/>
  <c r="AY45" i="93"/>
  <c r="AZ45" i="93"/>
  <c r="BA45" i="93"/>
  <c r="BB45" i="93"/>
  <c r="BC45" i="93"/>
  <c r="BD45" i="93"/>
  <c r="BE45" i="93"/>
  <c r="BF45" i="93"/>
  <c r="BG45" i="93"/>
  <c r="BH45" i="93"/>
  <c r="BI45" i="93"/>
  <c r="BJ45" i="93"/>
  <c r="BK45" i="93"/>
  <c r="BL45" i="93"/>
  <c r="BM45" i="93"/>
  <c r="BN45" i="93"/>
  <c r="BO45" i="93"/>
  <c r="BP45" i="93"/>
  <c r="BQ45" i="93"/>
  <c r="BR45" i="93"/>
  <c r="BS45" i="93"/>
  <c r="BT45" i="93"/>
  <c r="BU45" i="93"/>
  <c r="BV45" i="93"/>
  <c r="BW45" i="93"/>
  <c r="BX45" i="93"/>
  <c r="BY45" i="93"/>
  <c r="BZ45" i="93"/>
  <c r="CA45" i="93"/>
  <c r="CB45" i="93"/>
  <c r="CC45" i="93"/>
  <c r="CD45" i="93"/>
  <c r="CE45" i="93"/>
  <c r="CF45" i="93"/>
  <c r="CG45" i="93"/>
  <c r="CH45" i="93"/>
  <c r="CI45" i="93"/>
  <c r="CJ45" i="93"/>
  <c r="CK45" i="93"/>
  <c r="CL45" i="93"/>
  <c r="CM45" i="93"/>
  <c r="CN45" i="93"/>
  <c r="CO45" i="93"/>
  <c r="CP45" i="93"/>
  <c r="CQ45" i="93"/>
  <c r="CR45" i="93"/>
  <c r="CS45" i="93"/>
  <c r="CT45" i="93"/>
  <c r="CU45" i="93"/>
  <c r="CV45" i="93"/>
  <c r="CW45" i="93"/>
  <c r="J46" i="93"/>
  <c r="K46" i="93"/>
  <c r="L46" i="93"/>
  <c r="M46" i="93"/>
  <c r="N46" i="93"/>
  <c r="O46" i="93"/>
  <c r="P46" i="93"/>
  <c r="Q46" i="93"/>
  <c r="R46" i="93"/>
  <c r="S46" i="93"/>
  <c r="T46" i="93"/>
  <c r="U46" i="93"/>
  <c r="V46" i="93"/>
  <c r="W46" i="93"/>
  <c r="X46" i="93"/>
  <c r="Y46" i="93"/>
  <c r="Z46" i="93"/>
  <c r="AA46" i="93"/>
  <c r="AB46" i="93"/>
  <c r="AC46" i="93"/>
  <c r="AD46" i="93"/>
  <c r="AE46" i="93"/>
  <c r="AF46" i="93"/>
  <c r="AG46" i="93"/>
  <c r="AH46" i="93"/>
  <c r="AI46" i="93"/>
  <c r="AJ46" i="93"/>
  <c r="AK46" i="93"/>
  <c r="AL46" i="93"/>
  <c r="AM46" i="93"/>
  <c r="AN46" i="93"/>
  <c r="AO46" i="93"/>
  <c r="AP46" i="93"/>
  <c r="AQ46" i="93"/>
  <c r="AR46" i="93"/>
  <c r="AS46" i="93"/>
  <c r="AT46" i="93"/>
  <c r="AU46" i="93"/>
  <c r="AV46" i="93"/>
  <c r="AW46" i="93"/>
  <c r="AX46" i="93"/>
  <c r="AY46" i="93"/>
  <c r="AZ46" i="93"/>
  <c r="BA46" i="93"/>
  <c r="BB46" i="93"/>
  <c r="BC46" i="93"/>
  <c r="BD46" i="93"/>
  <c r="BE46" i="93"/>
  <c r="BF46" i="93"/>
  <c r="BG46" i="93"/>
  <c r="BH46" i="93"/>
  <c r="BI46" i="93"/>
  <c r="BJ46" i="93"/>
  <c r="BK46" i="93"/>
  <c r="BL46" i="93"/>
  <c r="BM46" i="93"/>
  <c r="BN46" i="93"/>
  <c r="BO46" i="93"/>
  <c r="BP46" i="93"/>
  <c r="BQ46" i="93"/>
  <c r="BR46" i="93"/>
  <c r="BS46" i="93"/>
  <c r="BT46" i="93"/>
  <c r="BU46" i="93"/>
  <c r="BV46" i="93"/>
  <c r="BW46" i="93"/>
  <c r="BX46" i="93"/>
  <c r="BY46" i="93"/>
  <c r="BZ46" i="93"/>
  <c r="CA46" i="93"/>
  <c r="CB46" i="93"/>
  <c r="CC46" i="93"/>
  <c r="CD46" i="93"/>
  <c r="CE46" i="93"/>
  <c r="CF46" i="93"/>
  <c r="CG46" i="93"/>
  <c r="CH46" i="93"/>
  <c r="CI46" i="93"/>
  <c r="CJ46" i="93"/>
  <c r="CK46" i="93"/>
  <c r="CL46" i="93"/>
  <c r="CM46" i="93"/>
  <c r="CN46" i="93"/>
  <c r="CO46" i="93"/>
  <c r="CP46" i="93"/>
  <c r="CQ46" i="93"/>
  <c r="CR46" i="93"/>
  <c r="CS46" i="93"/>
  <c r="CT46" i="93"/>
  <c r="CU46" i="93"/>
  <c r="CV46" i="93"/>
  <c r="CW46" i="93"/>
  <c r="J47" i="93"/>
  <c r="K47" i="93"/>
  <c r="L47" i="93"/>
  <c r="M47" i="93"/>
  <c r="N47" i="93"/>
  <c r="O47" i="93"/>
  <c r="P47" i="93"/>
  <c r="Q47" i="93"/>
  <c r="R47" i="93"/>
  <c r="S47" i="93"/>
  <c r="T47" i="93"/>
  <c r="U47" i="93"/>
  <c r="V47" i="93"/>
  <c r="W47" i="93"/>
  <c r="X47" i="93"/>
  <c r="Y47" i="93"/>
  <c r="Z47" i="93"/>
  <c r="AA47" i="93"/>
  <c r="AB47" i="93"/>
  <c r="AC47" i="93"/>
  <c r="AD47" i="93"/>
  <c r="AE47" i="93"/>
  <c r="AF47" i="93"/>
  <c r="AG47" i="93"/>
  <c r="AH47" i="93"/>
  <c r="AI47" i="93"/>
  <c r="AJ47" i="93"/>
  <c r="AK47" i="93"/>
  <c r="AL47" i="93"/>
  <c r="AM47" i="93"/>
  <c r="AN47" i="93"/>
  <c r="AO47" i="93"/>
  <c r="AP47" i="93"/>
  <c r="AQ47" i="93"/>
  <c r="AR47" i="93"/>
  <c r="AS47" i="93"/>
  <c r="AT47" i="93"/>
  <c r="AU47" i="93"/>
  <c r="AV47" i="93"/>
  <c r="AW47" i="93"/>
  <c r="AX47" i="93"/>
  <c r="AY47" i="93"/>
  <c r="AZ47" i="93"/>
  <c r="BA47" i="93"/>
  <c r="BB47" i="93"/>
  <c r="BC47" i="93"/>
  <c r="BD47" i="93"/>
  <c r="BE47" i="93"/>
  <c r="BF47" i="93"/>
  <c r="BG47" i="93"/>
  <c r="BH47" i="93"/>
  <c r="BI47" i="93"/>
  <c r="BJ47" i="93"/>
  <c r="BK47" i="93"/>
  <c r="BL47" i="93"/>
  <c r="BM47" i="93"/>
  <c r="BN47" i="93"/>
  <c r="BO47" i="93"/>
  <c r="BP47" i="93"/>
  <c r="BQ47" i="93"/>
  <c r="BR47" i="93"/>
  <c r="BS47" i="93"/>
  <c r="BT47" i="93"/>
  <c r="BU47" i="93"/>
  <c r="BV47" i="93"/>
  <c r="BW47" i="93"/>
  <c r="BX47" i="93"/>
  <c r="BY47" i="93"/>
  <c r="BZ47" i="93"/>
  <c r="CA47" i="93"/>
  <c r="CB47" i="93"/>
  <c r="CC47" i="93"/>
  <c r="CD47" i="93"/>
  <c r="CE47" i="93"/>
  <c r="CF47" i="93"/>
  <c r="CG47" i="93"/>
  <c r="CH47" i="93"/>
  <c r="CI47" i="93"/>
  <c r="CJ47" i="93"/>
  <c r="CK47" i="93"/>
  <c r="CL47" i="93"/>
  <c r="CM47" i="93"/>
  <c r="CN47" i="93"/>
  <c r="CO47" i="93"/>
  <c r="CP47" i="93"/>
  <c r="CQ47" i="93"/>
  <c r="CR47" i="93"/>
  <c r="CS47" i="93"/>
  <c r="CT47" i="93"/>
  <c r="CU47" i="93"/>
  <c r="CV47" i="93"/>
  <c r="CW47" i="93"/>
  <c r="Q48" i="93"/>
  <c r="S48" i="93"/>
  <c r="T48" i="93"/>
  <c r="U48" i="93"/>
  <c r="V48" i="93"/>
  <c r="W48" i="93"/>
  <c r="X48" i="93"/>
  <c r="Y48" i="93"/>
  <c r="Z48" i="93"/>
  <c r="AA48" i="93"/>
  <c r="AB48" i="93"/>
  <c r="AC48" i="93"/>
  <c r="AD48" i="93"/>
  <c r="AE48" i="93"/>
  <c r="AF48" i="93"/>
  <c r="AG48" i="93"/>
  <c r="AH48" i="93"/>
  <c r="AI48" i="93"/>
  <c r="AJ48" i="93"/>
  <c r="AK48" i="93"/>
  <c r="AL48" i="93"/>
  <c r="AM48" i="93"/>
  <c r="AN48" i="93"/>
  <c r="AO48" i="93"/>
  <c r="AP48" i="93"/>
  <c r="AQ48" i="93"/>
  <c r="AR48" i="93"/>
  <c r="AS48" i="93"/>
  <c r="AT48" i="93"/>
  <c r="AU48" i="93"/>
  <c r="AV48" i="93"/>
  <c r="AW48" i="93"/>
  <c r="AX48" i="93"/>
  <c r="AY48" i="93"/>
  <c r="AZ48" i="93"/>
  <c r="BA48" i="93"/>
  <c r="BB48" i="93"/>
  <c r="BC48" i="93"/>
  <c r="BD48" i="93"/>
  <c r="BE48" i="93"/>
  <c r="BF48" i="93"/>
  <c r="BG48" i="93"/>
  <c r="BH48" i="93"/>
  <c r="BI48" i="93"/>
  <c r="BJ48" i="93"/>
  <c r="BK48" i="93"/>
  <c r="BL48" i="93"/>
  <c r="BM48" i="93"/>
  <c r="BN48" i="93"/>
  <c r="BO48" i="93"/>
  <c r="BP48" i="93"/>
  <c r="BQ48" i="93"/>
  <c r="BR48" i="93"/>
  <c r="BS48" i="93"/>
  <c r="BT48" i="93"/>
  <c r="BU48" i="93"/>
  <c r="BV48" i="93"/>
  <c r="BW48" i="93"/>
  <c r="BX48" i="93"/>
  <c r="BY48" i="93"/>
  <c r="BZ48" i="93"/>
  <c r="CA48" i="93"/>
  <c r="CB48" i="93"/>
  <c r="CC48" i="93"/>
  <c r="CD48" i="93"/>
  <c r="CE48" i="93"/>
  <c r="CF48" i="93"/>
  <c r="CG48" i="93"/>
  <c r="CH48" i="93"/>
  <c r="CI48" i="93"/>
  <c r="CJ48" i="93"/>
  <c r="CK48" i="93"/>
  <c r="CL48" i="93"/>
  <c r="CM48" i="93"/>
  <c r="CN48" i="93"/>
  <c r="CO48" i="93"/>
  <c r="CP48" i="93"/>
  <c r="CQ48" i="93"/>
  <c r="CR48" i="93"/>
  <c r="CS48" i="93"/>
  <c r="CT48" i="93"/>
  <c r="CU48" i="93"/>
  <c r="CV48" i="93"/>
  <c r="CW48" i="93"/>
  <c r="Q49" i="93"/>
  <c r="S49" i="93"/>
  <c r="T49" i="93"/>
  <c r="U49" i="93"/>
  <c r="V49" i="93"/>
  <c r="W49" i="93"/>
  <c r="X49" i="93"/>
  <c r="Y49" i="93"/>
  <c r="Z49" i="93"/>
  <c r="AA49" i="93"/>
  <c r="AB49" i="93"/>
  <c r="AC49" i="93"/>
  <c r="AD49" i="93"/>
  <c r="AE49" i="93"/>
  <c r="AF49" i="93"/>
  <c r="AG49" i="93"/>
  <c r="AH49" i="93"/>
  <c r="AI49" i="93"/>
  <c r="AJ49" i="93"/>
  <c r="AK49" i="93"/>
  <c r="AL49" i="93"/>
  <c r="AM49" i="93"/>
  <c r="AN49" i="93"/>
  <c r="AO49" i="93"/>
  <c r="AP49" i="93"/>
  <c r="AQ49" i="93"/>
  <c r="AR49" i="93"/>
  <c r="AS49" i="93"/>
  <c r="AT49" i="93"/>
  <c r="AU49" i="93"/>
  <c r="AV49" i="93"/>
  <c r="AW49" i="93"/>
  <c r="AX49" i="93"/>
  <c r="AY49" i="93"/>
  <c r="AZ49" i="93"/>
  <c r="BA49" i="93"/>
  <c r="BB49" i="93"/>
  <c r="BC49" i="93"/>
  <c r="BD49" i="93"/>
  <c r="BE49" i="93"/>
  <c r="BF49" i="93"/>
  <c r="BG49" i="93"/>
  <c r="BH49" i="93"/>
  <c r="BI49" i="93"/>
  <c r="BJ49" i="93"/>
  <c r="BK49" i="93"/>
  <c r="BL49" i="93"/>
  <c r="BM49" i="93"/>
  <c r="BN49" i="93"/>
  <c r="BO49" i="93"/>
  <c r="BP49" i="93"/>
  <c r="BQ49" i="93"/>
  <c r="BR49" i="93"/>
  <c r="BS49" i="93"/>
  <c r="BT49" i="93"/>
  <c r="BU49" i="93"/>
  <c r="BV49" i="93"/>
  <c r="BW49" i="93"/>
  <c r="BX49" i="93"/>
  <c r="BY49" i="93"/>
  <c r="BZ49" i="93"/>
  <c r="CA49" i="93"/>
  <c r="CB49" i="93"/>
  <c r="CC49" i="93"/>
  <c r="CD49" i="93"/>
  <c r="CE49" i="93"/>
  <c r="CF49" i="93"/>
  <c r="CG49" i="93"/>
  <c r="CH49" i="93"/>
  <c r="CI49" i="93"/>
  <c r="CJ49" i="93"/>
  <c r="CK49" i="93"/>
  <c r="CL49" i="93"/>
  <c r="CM49" i="93"/>
  <c r="CN49" i="93"/>
  <c r="CO49" i="93"/>
  <c r="CP49" i="93"/>
  <c r="CQ49" i="93"/>
  <c r="CR49" i="93"/>
  <c r="CS49" i="93"/>
  <c r="CT49" i="93"/>
  <c r="CU49" i="93"/>
  <c r="CV49" i="93"/>
  <c r="CW49" i="93"/>
  <c r="Q50" i="93"/>
  <c r="S50" i="93"/>
  <c r="T50" i="93"/>
  <c r="U50" i="93"/>
  <c r="V50" i="93"/>
  <c r="W50" i="93"/>
  <c r="X50" i="93"/>
  <c r="Y50" i="93"/>
  <c r="Z50" i="93"/>
  <c r="AA50" i="93"/>
  <c r="AB50" i="93"/>
  <c r="AC50" i="93"/>
  <c r="AD50" i="93"/>
  <c r="AE50" i="93"/>
  <c r="AF50" i="93"/>
  <c r="AG50" i="93"/>
  <c r="AH50" i="93"/>
  <c r="AI50" i="93"/>
  <c r="AJ50" i="93"/>
  <c r="AK50" i="93"/>
  <c r="AL50" i="93"/>
  <c r="AM50" i="93"/>
  <c r="AN50" i="93"/>
  <c r="AO50" i="93"/>
  <c r="AP50" i="93"/>
  <c r="AQ50" i="93"/>
  <c r="AR50" i="93"/>
  <c r="AS50" i="93"/>
  <c r="AT50" i="93"/>
  <c r="AU50" i="93"/>
  <c r="AV50" i="93"/>
  <c r="AW50" i="93"/>
  <c r="AX50" i="93"/>
  <c r="AY50" i="93"/>
  <c r="AZ50" i="93"/>
  <c r="BA50" i="93"/>
  <c r="BB50" i="93"/>
  <c r="BC50" i="93"/>
  <c r="BD50" i="93"/>
  <c r="BE50" i="93"/>
  <c r="BF50" i="93"/>
  <c r="BG50" i="93"/>
  <c r="BH50" i="93"/>
  <c r="BI50" i="93"/>
  <c r="BJ50" i="93"/>
  <c r="BK50" i="93"/>
  <c r="BL50" i="93"/>
  <c r="BM50" i="93"/>
  <c r="BN50" i="93"/>
  <c r="BO50" i="93"/>
  <c r="BP50" i="93"/>
  <c r="BQ50" i="93"/>
  <c r="BR50" i="93"/>
  <c r="BS50" i="93"/>
  <c r="BT50" i="93"/>
  <c r="BU50" i="93"/>
  <c r="BV50" i="93"/>
  <c r="BW50" i="93"/>
  <c r="BX50" i="93"/>
  <c r="BY50" i="93"/>
  <c r="BZ50" i="93"/>
  <c r="CA50" i="93"/>
  <c r="CB50" i="93"/>
  <c r="CC50" i="93"/>
  <c r="CD50" i="93"/>
  <c r="CE50" i="93"/>
  <c r="CF50" i="93"/>
  <c r="CG50" i="93"/>
  <c r="CH50" i="93"/>
  <c r="CI50" i="93"/>
  <c r="CJ50" i="93"/>
  <c r="CK50" i="93"/>
  <c r="CL50" i="93"/>
  <c r="CM50" i="93"/>
  <c r="CN50" i="93"/>
  <c r="CO50" i="93"/>
  <c r="CP50" i="93"/>
  <c r="CQ50" i="93"/>
  <c r="CR50" i="93"/>
  <c r="CS50" i="93"/>
  <c r="CT50" i="93"/>
  <c r="CU50" i="93"/>
  <c r="CV50" i="93"/>
  <c r="CW50" i="93"/>
  <c r="J51" i="93"/>
  <c r="K51" i="93"/>
  <c r="L51" i="93"/>
  <c r="M51" i="93"/>
  <c r="N51" i="93"/>
  <c r="O51" i="93"/>
  <c r="P51" i="93"/>
  <c r="Q51" i="93"/>
  <c r="R51" i="93"/>
  <c r="S51" i="93"/>
  <c r="T51" i="93"/>
  <c r="U51" i="93"/>
  <c r="V51" i="93"/>
  <c r="W51" i="93"/>
  <c r="X51" i="93"/>
  <c r="Y51" i="93"/>
  <c r="Z51" i="93"/>
  <c r="AA51" i="93"/>
  <c r="AB51" i="93"/>
  <c r="AC51" i="93"/>
  <c r="AD51" i="93"/>
  <c r="AE51" i="93"/>
  <c r="AF51" i="93"/>
  <c r="AG51" i="93"/>
  <c r="AH51" i="93"/>
  <c r="AI51" i="93"/>
  <c r="AJ51" i="93"/>
  <c r="AK51" i="93"/>
  <c r="AL51" i="93"/>
  <c r="AM51" i="93"/>
  <c r="AN51" i="93"/>
  <c r="AO51" i="93"/>
  <c r="AP51" i="93"/>
  <c r="AQ51" i="93"/>
  <c r="AR51" i="93"/>
  <c r="AS51" i="93"/>
  <c r="AT51" i="93"/>
  <c r="AU51" i="93"/>
  <c r="AV51" i="93"/>
  <c r="AW51" i="93"/>
  <c r="AX51" i="93"/>
  <c r="AY51" i="93"/>
  <c r="AZ51" i="93"/>
  <c r="BA51" i="93"/>
  <c r="BB51" i="93"/>
  <c r="BC51" i="93"/>
  <c r="BD51" i="93"/>
  <c r="BE51" i="93"/>
  <c r="BF51" i="93"/>
  <c r="BG51" i="93"/>
  <c r="BH51" i="93"/>
  <c r="BI51" i="93"/>
  <c r="BJ51" i="93"/>
  <c r="BK51" i="93"/>
  <c r="BL51" i="93"/>
  <c r="BM51" i="93"/>
  <c r="BN51" i="93"/>
  <c r="BO51" i="93"/>
  <c r="BP51" i="93"/>
  <c r="BQ51" i="93"/>
  <c r="BR51" i="93"/>
  <c r="BS51" i="93"/>
  <c r="BT51" i="93"/>
  <c r="BU51" i="93"/>
  <c r="BV51" i="93"/>
  <c r="BW51" i="93"/>
  <c r="BX51" i="93"/>
  <c r="BY51" i="93"/>
  <c r="BZ51" i="93"/>
  <c r="CA51" i="93"/>
  <c r="CB51" i="93"/>
  <c r="CC51" i="93"/>
  <c r="CD51" i="93"/>
  <c r="CE51" i="93"/>
  <c r="CF51" i="93"/>
  <c r="CG51" i="93"/>
  <c r="CH51" i="93"/>
  <c r="CI51" i="93"/>
  <c r="CJ51" i="93"/>
  <c r="CK51" i="93"/>
  <c r="CL51" i="93"/>
  <c r="CM51" i="93"/>
  <c r="CN51" i="93"/>
  <c r="CO51" i="93"/>
  <c r="CP51" i="93"/>
  <c r="CQ51" i="93"/>
  <c r="CR51" i="93"/>
  <c r="CS51" i="93"/>
  <c r="CT51" i="93"/>
  <c r="CU51" i="93"/>
  <c r="CV51" i="93"/>
  <c r="CW51" i="93"/>
  <c r="J52" i="93"/>
  <c r="S52" i="93"/>
  <c r="T52" i="93"/>
  <c r="U52" i="93"/>
  <c r="V52" i="93"/>
  <c r="W52" i="93"/>
  <c r="X52" i="93"/>
  <c r="Y52" i="93"/>
  <c r="Z52" i="93"/>
  <c r="AA52" i="93"/>
  <c r="AB52" i="93"/>
  <c r="AC52" i="93"/>
  <c r="AD52" i="93"/>
  <c r="AE52" i="93"/>
  <c r="AF52" i="93"/>
  <c r="AG52" i="93"/>
  <c r="AH52" i="93"/>
  <c r="AI52" i="93"/>
  <c r="AJ52" i="93"/>
  <c r="AK52" i="93"/>
  <c r="AL52" i="93"/>
  <c r="AM52" i="93"/>
  <c r="AN52" i="93"/>
  <c r="AO52" i="93"/>
  <c r="AP52" i="93"/>
  <c r="AQ52" i="93"/>
  <c r="AR52" i="93"/>
  <c r="AS52" i="93"/>
  <c r="AT52" i="93"/>
  <c r="AU52" i="93"/>
  <c r="AV52" i="93"/>
  <c r="AW52" i="93"/>
  <c r="AX52" i="93"/>
  <c r="AY52" i="93"/>
  <c r="AZ52" i="93"/>
  <c r="BA52" i="93"/>
  <c r="BB52" i="93"/>
  <c r="BC52" i="93"/>
  <c r="BD52" i="93"/>
  <c r="BE52" i="93"/>
  <c r="BF52" i="93"/>
  <c r="BG52" i="93"/>
  <c r="BH52" i="93"/>
  <c r="BI52" i="93"/>
  <c r="BJ52" i="93"/>
  <c r="BK52" i="93"/>
  <c r="BL52" i="93"/>
  <c r="BM52" i="93"/>
  <c r="BN52" i="93"/>
  <c r="BO52" i="93"/>
  <c r="BP52" i="93"/>
  <c r="BQ52" i="93"/>
  <c r="BR52" i="93"/>
  <c r="BS52" i="93"/>
  <c r="BT52" i="93"/>
  <c r="BU52" i="93"/>
  <c r="BV52" i="93"/>
  <c r="BW52" i="93"/>
  <c r="BX52" i="93"/>
  <c r="BY52" i="93"/>
  <c r="BZ52" i="93"/>
  <c r="CA52" i="93"/>
  <c r="CB52" i="93"/>
  <c r="CC52" i="93"/>
  <c r="CD52" i="93"/>
  <c r="CE52" i="93"/>
  <c r="CF52" i="93"/>
  <c r="CG52" i="93"/>
  <c r="CH52" i="93"/>
  <c r="CI52" i="93"/>
  <c r="CJ52" i="93"/>
  <c r="CK52" i="93"/>
  <c r="CL52" i="93"/>
  <c r="CM52" i="93"/>
  <c r="CN52" i="93"/>
  <c r="CO52" i="93"/>
  <c r="CP52" i="93"/>
  <c r="CQ52" i="93"/>
  <c r="CR52" i="93"/>
  <c r="CS52" i="93"/>
  <c r="CT52" i="93"/>
  <c r="CU52" i="93"/>
  <c r="CV52" i="93"/>
  <c r="CW52" i="93"/>
  <c r="J53" i="93"/>
  <c r="K53" i="93"/>
  <c r="L53" i="93"/>
  <c r="M53" i="93"/>
  <c r="N53" i="93"/>
  <c r="O53" i="93"/>
  <c r="P53" i="93"/>
  <c r="Q53" i="93"/>
  <c r="R53" i="93"/>
  <c r="S53" i="93"/>
  <c r="T53" i="93"/>
  <c r="U53" i="93"/>
  <c r="V53" i="93"/>
  <c r="W53" i="93"/>
  <c r="X53" i="93"/>
  <c r="Y53" i="93"/>
  <c r="Z53" i="93"/>
  <c r="AA53" i="93"/>
  <c r="AB53" i="93"/>
  <c r="AC53" i="93"/>
  <c r="AD53" i="93"/>
  <c r="AE53" i="93"/>
  <c r="AF53" i="93"/>
  <c r="AG53" i="93"/>
  <c r="AH53" i="93"/>
  <c r="AI53" i="93"/>
  <c r="AJ53" i="93"/>
  <c r="AK53" i="93"/>
  <c r="AL53" i="93"/>
  <c r="AM53" i="93"/>
  <c r="AN53" i="93"/>
  <c r="AO53" i="93"/>
  <c r="AP53" i="93"/>
  <c r="AQ53" i="93"/>
  <c r="AR53" i="93"/>
  <c r="AS53" i="93"/>
  <c r="AT53" i="93"/>
  <c r="AU53" i="93"/>
  <c r="AV53" i="93"/>
  <c r="AW53" i="93"/>
  <c r="AX53" i="93"/>
  <c r="AY53" i="93"/>
  <c r="AZ53" i="93"/>
  <c r="BA53" i="93"/>
  <c r="BB53" i="93"/>
  <c r="BC53" i="93"/>
  <c r="BD53" i="93"/>
  <c r="BE53" i="93"/>
  <c r="BF53" i="93"/>
  <c r="BG53" i="93"/>
  <c r="BH53" i="93"/>
  <c r="BI53" i="93"/>
  <c r="BJ53" i="93"/>
  <c r="BK53" i="93"/>
  <c r="BL53" i="93"/>
  <c r="BM53" i="93"/>
  <c r="BN53" i="93"/>
  <c r="BO53" i="93"/>
  <c r="BP53" i="93"/>
  <c r="BQ53" i="93"/>
  <c r="BR53" i="93"/>
  <c r="BS53" i="93"/>
  <c r="BT53" i="93"/>
  <c r="BU53" i="93"/>
  <c r="BV53" i="93"/>
  <c r="BW53" i="93"/>
  <c r="BX53" i="93"/>
  <c r="BY53" i="93"/>
  <c r="BZ53" i="93"/>
  <c r="CA53" i="93"/>
  <c r="CB53" i="93"/>
  <c r="CC53" i="93"/>
  <c r="CD53" i="93"/>
  <c r="CE53" i="93"/>
  <c r="CF53" i="93"/>
  <c r="CG53" i="93"/>
  <c r="CH53" i="93"/>
  <c r="CI53" i="93"/>
  <c r="CJ53" i="93"/>
  <c r="CK53" i="93"/>
  <c r="CL53" i="93"/>
  <c r="CM53" i="93"/>
  <c r="CN53" i="93"/>
  <c r="CO53" i="93"/>
  <c r="CP53" i="93"/>
  <c r="CQ53" i="93"/>
  <c r="CR53" i="93"/>
  <c r="CS53" i="93"/>
  <c r="CT53" i="93"/>
  <c r="CU53" i="93"/>
  <c r="CV53" i="93"/>
  <c r="CW53" i="93"/>
  <c r="J54" i="93"/>
  <c r="S54" i="93"/>
  <c r="T54" i="93"/>
  <c r="U54" i="93"/>
  <c r="V54" i="93"/>
  <c r="W54" i="93"/>
  <c r="X54" i="93"/>
  <c r="Y54" i="93"/>
  <c r="Z54" i="93"/>
  <c r="AA54" i="93"/>
  <c r="AB54" i="93"/>
  <c r="AC54" i="93"/>
  <c r="AD54" i="93"/>
  <c r="AE54" i="93"/>
  <c r="AF54" i="93"/>
  <c r="AG54" i="93"/>
  <c r="AH54" i="93"/>
  <c r="AI54" i="93"/>
  <c r="AJ54" i="93"/>
  <c r="AK54" i="93"/>
  <c r="AL54" i="93"/>
  <c r="AM54" i="93"/>
  <c r="AN54" i="93"/>
  <c r="AO54" i="93"/>
  <c r="AP54" i="93"/>
  <c r="AQ54" i="93"/>
  <c r="AR54" i="93"/>
  <c r="AS54" i="93"/>
  <c r="AT54" i="93"/>
  <c r="AU54" i="93"/>
  <c r="AV54" i="93"/>
  <c r="AW54" i="93"/>
  <c r="AX54" i="93"/>
  <c r="AY54" i="93"/>
  <c r="AZ54" i="93"/>
  <c r="BA54" i="93"/>
  <c r="BB54" i="93"/>
  <c r="BC54" i="93"/>
  <c r="BD54" i="93"/>
  <c r="BE54" i="93"/>
  <c r="BF54" i="93"/>
  <c r="BG54" i="93"/>
  <c r="BH54" i="93"/>
  <c r="BI54" i="93"/>
  <c r="BJ54" i="93"/>
  <c r="BK54" i="93"/>
  <c r="BL54" i="93"/>
  <c r="BM54" i="93"/>
  <c r="BN54" i="93"/>
  <c r="BO54" i="93"/>
  <c r="BP54" i="93"/>
  <c r="BQ54" i="93"/>
  <c r="BR54" i="93"/>
  <c r="BS54" i="93"/>
  <c r="BT54" i="93"/>
  <c r="BU54" i="93"/>
  <c r="BV54" i="93"/>
  <c r="BW54" i="93"/>
  <c r="BX54" i="93"/>
  <c r="BY54" i="93"/>
  <c r="BZ54" i="93"/>
  <c r="CA54" i="93"/>
  <c r="CB54" i="93"/>
  <c r="CC54" i="93"/>
  <c r="CD54" i="93"/>
  <c r="CE54" i="93"/>
  <c r="CF54" i="93"/>
  <c r="CG54" i="93"/>
  <c r="CH54" i="93"/>
  <c r="CI54" i="93"/>
  <c r="CJ54" i="93"/>
  <c r="CK54" i="93"/>
  <c r="CL54" i="93"/>
  <c r="CM54" i="93"/>
  <c r="CN54" i="93"/>
  <c r="CO54" i="93"/>
  <c r="CP54" i="93"/>
  <c r="CQ54" i="93"/>
  <c r="CR54" i="93"/>
  <c r="CS54" i="93"/>
  <c r="CT54" i="93"/>
  <c r="CU54" i="93"/>
  <c r="CV54" i="93"/>
  <c r="CW54" i="93"/>
  <c r="J55" i="93"/>
  <c r="K55" i="93"/>
  <c r="L55" i="93"/>
  <c r="M55" i="93"/>
  <c r="N55" i="93"/>
  <c r="O55" i="93"/>
  <c r="P55" i="93"/>
  <c r="Q55" i="93"/>
  <c r="R55" i="93"/>
  <c r="S55" i="93"/>
  <c r="T55" i="93"/>
  <c r="U55" i="93"/>
  <c r="V55" i="93"/>
  <c r="W55" i="93"/>
  <c r="X55" i="93"/>
  <c r="Y55" i="93"/>
  <c r="Z55" i="93"/>
  <c r="AA55" i="93"/>
  <c r="AB55" i="93"/>
  <c r="AC55" i="93"/>
  <c r="AD55" i="93"/>
  <c r="AE55" i="93"/>
  <c r="AF55" i="93"/>
  <c r="AG55" i="93"/>
  <c r="AH55" i="93"/>
  <c r="AI55" i="93"/>
  <c r="AJ55" i="93"/>
  <c r="AK55" i="93"/>
  <c r="AL55" i="93"/>
  <c r="AM55" i="93"/>
  <c r="AN55" i="93"/>
  <c r="AO55" i="93"/>
  <c r="AP55" i="93"/>
  <c r="AQ55" i="93"/>
  <c r="AR55" i="93"/>
  <c r="AS55" i="93"/>
  <c r="AT55" i="93"/>
  <c r="AU55" i="93"/>
  <c r="AV55" i="93"/>
  <c r="AW55" i="93"/>
  <c r="AX55" i="93"/>
  <c r="AY55" i="93"/>
  <c r="AZ55" i="93"/>
  <c r="BA55" i="93"/>
  <c r="BB55" i="93"/>
  <c r="BC55" i="93"/>
  <c r="BD55" i="93"/>
  <c r="BE55" i="93"/>
  <c r="BF55" i="93"/>
  <c r="BG55" i="93"/>
  <c r="BH55" i="93"/>
  <c r="BI55" i="93"/>
  <c r="BJ55" i="93"/>
  <c r="BK55" i="93"/>
  <c r="BL55" i="93"/>
  <c r="BM55" i="93"/>
  <c r="BN55" i="93"/>
  <c r="BO55" i="93"/>
  <c r="BP55" i="93"/>
  <c r="BQ55" i="93"/>
  <c r="BR55" i="93"/>
  <c r="BS55" i="93"/>
  <c r="BT55" i="93"/>
  <c r="BU55" i="93"/>
  <c r="BV55" i="93"/>
  <c r="BW55" i="93"/>
  <c r="BX55" i="93"/>
  <c r="BY55" i="93"/>
  <c r="BZ55" i="93"/>
  <c r="CA55" i="93"/>
  <c r="CB55" i="93"/>
  <c r="CC55" i="93"/>
  <c r="CD55" i="93"/>
  <c r="CE55" i="93"/>
  <c r="CF55" i="93"/>
  <c r="CG55" i="93"/>
  <c r="CH55" i="93"/>
  <c r="CI55" i="93"/>
  <c r="CJ55" i="93"/>
  <c r="CK55" i="93"/>
  <c r="CL55" i="93"/>
  <c r="CM55" i="93"/>
  <c r="CN55" i="93"/>
  <c r="CO55" i="93"/>
  <c r="CP55" i="93"/>
  <c r="CQ55" i="93"/>
  <c r="CR55" i="93"/>
  <c r="CS55" i="93"/>
  <c r="CT55" i="93"/>
  <c r="CU55" i="93"/>
  <c r="CV55" i="93"/>
  <c r="CW55" i="93"/>
  <c r="J56" i="93"/>
  <c r="K56" i="93"/>
  <c r="L56" i="93"/>
  <c r="M56" i="93"/>
  <c r="N56" i="93"/>
  <c r="O56" i="93"/>
  <c r="P56" i="93"/>
  <c r="Q56" i="93"/>
  <c r="R56" i="93"/>
  <c r="S56" i="93"/>
  <c r="T56" i="93"/>
  <c r="U56" i="93"/>
  <c r="V56" i="93"/>
  <c r="W56" i="93"/>
  <c r="X56" i="93"/>
  <c r="Y56" i="93"/>
  <c r="Z56" i="93"/>
  <c r="AA56" i="93"/>
  <c r="AB56" i="93"/>
  <c r="AC56" i="93"/>
  <c r="AD56" i="93"/>
  <c r="AE56" i="93"/>
  <c r="AF56" i="93"/>
  <c r="AG56" i="93"/>
  <c r="AH56" i="93"/>
  <c r="AI56" i="93"/>
  <c r="AJ56" i="93"/>
  <c r="AK56" i="93"/>
  <c r="AL56" i="93"/>
  <c r="AM56" i="93"/>
  <c r="AN56" i="93"/>
  <c r="AO56" i="93"/>
  <c r="AP56" i="93"/>
  <c r="AQ56" i="93"/>
  <c r="AR56" i="93"/>
  <c r="AS56" i="93"/>
  <c r="AT56" i="93"/>
  <c r="AU56" i="93"/>
  <c r="AV56" i="93"/>
  <c r="AW56" i="93"/>
  <c r="AX56" i="93"/>
  <c r="AY56" i="93"/>
  <c r="AZ56" i="93"/>
  <c r="BA56" i="93"/>
  <c r="BB56" i="93"/>
  <c r="BC56" i="93"/>
  <c r="BD56" i="93"/>
  <c r="BE56" i="93"/>
  <c r="BF56" i="93"/>
  <c r="BG56" i="93"/>
  <c r="BH56" i="93"/>
  <c r="BI56" i="93"/>
  <c r="BJ56" i="93"/>
  <c r="BK56" i="93"/>
  <c r="BL56" i="93"/>
  <c r="BM56" i="93"/>
  <c r="BN56" i="93"/>
  <c r="BO56" i="93"/>
  <c r="BP56" i="93"/>
  <c r="BQ56" i="93"/>
  <c r="BR56" i="93"/>
  <c r="BS56" i="93"/>
  <c r="BT56" i="93"/>
  <c r="BU56" i="93"/>
  <c r="BV56" i="93"/>
  <c r="BW56" i="93"/>
  <c r="BX56" i="93"/>
  <c r="BY56" i="93"/>
  <c r="BZ56" i="93"/>
  <c r="CA56" i="93"/>
  <c r="CB56" i="93"/>
  <c r="CC56" i="93"/>
  <c r="CD56" i="93"/>
  <c r="CE56" i="93"/>
  <c r="CF56" i="93"/>
  <c r="CG56" i="93"/>
  <c r="CH56" i="93"/>
  <c r="CI56" i="93"/>
  <c r="CJ56" i="93"/>
  <c r="CK56" i="93"/>
  <c r="CL56" i="93"/>
  <c r="CM56" i="93"/>
  <c r="CN56" i="93"/>
  <c r="CO56" i="93"/>
  <c r="CP56" i="93"/>
  <c r="CQ56" i="93"/>
  <c r="CR56" i="93"/>
  <c r="CS56" i="93"/>
  <c r="CT56" i="93"/>
  <c r="CU56" i="93"/>
  <c r="CV56" i="93"/>
  <c r="CW56" i="93"/>
  <c r="J61" i="93"/>
  <c r="K61" i="93"/>
  <c r="L61" i="93"/>
  <c r="M61" i="93"/>
  <c r="N61" i="93"/>
  <c r="O61" i="93"/>
  <c r="P61" i="93"/>
  <c r="Q61" i="93"/>
  <c r="R61" i="93"/>
  <c r="S61" i="93"/>
  <c r="T61" i="93"/>
  <c r="U61" i="93"/>
  <c r="V61" i="93"/>
  <c r="W61" i="93"/>
  <c r="X61" i="93"/>
  <c r="Y61" i="93"/>
  <c r="Z61" i="93"/>
  <c r="AA61" i="93"/>
  <c r="AB61" i="93"/>
  <c r="AC61" i="93"/>
  <c r="AD61" i="93"/>
  <c r="AE61" i="93"/>
  <c r="AF61" i="93"/>
  <c r="AG61" i="93"/>
  <c r="AH61" i="93"/>
  <c r="AI61" i="93"/>
  <c r="AJ61" i="93"/>
  <c r="AK61" i="93"/>
  <c r="AL61" i="93"/>
  <c r="AM61" i="93"/>
  <c r="AN61" i="93"/>
  <c r="AO61" i="93"/>
  <c r="AP61" i="93"/>
  <c r="AQ61" i="93"/>
  <c r="AR61" i="93"/>
  <c r="AS61" i="93"/>
  <c r="AT61" i="93"/>
  <c r="AU61" i="93"/>
  <c r="AV61" i="93"/>
  <c r="AW61" i="93"/>
  <c r="AX61" i="93"/>
  <c r="AY61" i="93"/>
  <c r="AZ61" i="93"/>
  <c r="BA61" i="93"/>
  <c r="BB61" i="93"/>
  <c r="BC61" i="93"/>
  <c r="BD61" i="93"/>
  <c r="BE61" i="93"/>
  <c r="BF61" i="93"/>
  <c r="BG61" i="93"/>
  <c r="BH61" i="93"/>
  <c r="BI61" i="93"/>
  <c r="BJ61" i="93"/>
  <c r="BK61" i="93"/>
  <c r="BL61" i="93"/>
  <c r="BM61" i="93"/>
  <c r="BN61" i="93"/>
  <c r="BO61" i="93"/>
  <c r="BP61" i="93"/>
  <c r="BQ61" i="93"/>
  <c r="BR61" i="93"/>
  <c r="BS61" i="93"/>
  <c r="BT61" i="93"/>
  <c r="BU61" i="93"/>
  <c r="BV61" i="93"/>
  <c r="BW61" i="93"/>
  <c r="BX61" i="93"/>
  <c r="BY61" i="93"/>
  <c r="BZ61" i="93"/>
  <c r="CA61" i="93"/>
  <c r="CB61" i="93"/>
  <c r="CC61" i="93"/>
  <c r="CD61" i="93"/>
  <c r="CE61" i="93"/>
  <c r="CF61" i="93"/>
  <c r="CG61" i="93"/>
  <c r="CH61" i="93"/>
  <c r="CI61" i="93"/>
  <c r="CJ61" i="93"/>
  <c r="CK61" i="93"/>
  <c r="CL61" i="93"/>
  <c r="CM61" i="93"/>
  <c r="CN61" i="93"/>
  <c r="CO61" i="93"/>
  <c r="CP61" i="93"/>
  <c r="CQ61" i="93"/>
  <c r="CR61" i="93"/>
  <c r="CS61" i="93"/>
  <c r="CT61" i="93"/>
  <c r="CU61" i="93"/>
  <c r="CV61" i="93"/>
  <c r="CW61" i="93"/>
  <c r="J62" i="93"/>
  <c r="K62" i="93"/>
  <c r="L62" i="93"/>
  <c r="M62" i="93"/>
  <c r="N62" i="93"/>
  <c r="O62" i="93"/>
  <c r="P62" i="93"/>
  <c r="Q62" i="93"/>
  <c r="R62" i="93"/>
  <c r="S62" i="93"/>
  <c r="T62" i="93"/>
  <c r="U62" i="93"/>
  <c r="V62" i="93"/>
  <c r="W62" i="93"/>
  <c r="X62" i="93"/>
  <c r="Y62" i="93"/>
  <c r="Z62" i="93"/>
  <c r="AA62" i="93"/>
  <c r="AB62" i="93"/>
  <c r="AC62" i="93"/>
  <c r="AD62" i="93"/>
  <c r="AE62" i="93"/>
  <c r="AF62" i="93"/>
  <c r="AG62" i="93"/>
  <c r="AH62" i="93"/>
  <c r="AI62" i="93"/>
  <c r="AJ62" i="93"/>
  <c r="AK62" i="93"/>
  <c r="AL62" i="93"/>
  <c r="AM62" i="93"/>
  <c r="AN62" i="93"/>
  <c r="AO62" i="93"/>
  <c r="AP62" i="93"/>
  <c r="AQ62" i="93"/>
  <c r="AR62" i="93"/>
  <c r="AS62" i="93"/>
  <c r="AT62" i="93"/>
  <c r="AU62" i="93"/>
  <c r="AV62" i="93"/>
  <c r="AW62" i="93"/>
  <c r="AX62" i="93"/>
  <c r="AY62" i="93"/>
  <c r="AZ62" i="93"/>
  <c r="BA62" i="93"/>
  <c r="BB62" i="93"/>
  <c r="BC62" i="93"/>
  <c r="BD62" i="93"/>
  <c r="BE62" i="93"/>
  <c r="BF62" i="93"/>
  <c r="BG62" i="93"/>
  <c r="BH62" i="93"/>
  <c r="BI62" i="93"/>
  <c r="BJ62" i="93"/>
  <c r="BK62" i="93"/>
  <c r="BL62" i="93"/>
  <c r="BM62" i="93"/>
  <c r="BN62" i="93"/>
  <c r="BO62" i="93"/>
  <c r="BP62" i="93"/>
  <c r="BQ62" i="93"/>
  <c r="BR62" i="93"/>
  <c r="BS62" i="93"/>
  <c r="BT62" i="93"/>
  <c r="BU62" i="93"/>
  <c r="BV62" i="93"/>
  <c r="BW62" i="93"/>
  <c r="BX62" i="93"/>
  <c r="BY62" i="93"/>
  <c r="BZ62" i="93"/>
  <c r="CA62" i="93"/>
  <c r="CB62" i="93"/>
  <c r="CC62" i="93"/>
  <c r="CD62" i="93"/>
  <c r="CE62" i="93"/>
  <c r="CF62" i="93"/>
  <c r="CG62" i="93"/>
  <c r="CH62" i="93"/>
  <c r="CI62" i="93"/>
  <c r="CJ62" i="93"/>
  <c r="CK62" i="93"/>
  <c r="CL62" i="93"/>
  <c r="CM62" i="93"/>
  <c r="CN62" i="93"/>
  <c r="CO62" i="93"/>
  <c r="CP62" i="93"/>
  <c r="CQ62" i="93"/>
  <c r="CR62" i="93"/>
  <c r="CS62" i="93"/>
  <c r="CT62" i="93"/>
  <c r="CU62" i="93"/>
  <c r="CV62" i="93"/>
  <c r="CW62" i="93"/>
  <c r="J63" i="93"/>
  <c r="K63" i="93"/>
  <c r="L63" i="93"/>
  <c r="M63" i="93"/>
  <c r="N63" i="93"/>
  <c r="O63" i="93"/>
  <c r="P63" i="93"/>
  <c r="Q63" i="93"/>
  <c r="R63" i="93"/>
  <c r="S63" i="93"/>
  <c r="T63" i="93"/>
  <c r="U63" i="93"/>
  <c r="V63" i="93"/>
  <c r="W63" i="93"/>
  <c r="X63" i="93"/>
  <c r="Y63" i="93"/>
  <c r="Z63" i="93"/>
  <c r="AA63" i="93"/>
  <c r="AB63" i="93"/>
  <c r="AC63" i="93"/>
  <c r="AD63" i="93"/>
  <c r="AE63" i="93"/>
  <c r="AF63" i="93"/>
  <c r="AG63" i="93"/>
  <c r="AH63" i="93"/>
  <c r="AI63" i="93"/>
  <c r="AJ63" i="93"/>
  <c r="AK63" i="93"/>
  <c r="AL63" i="93"/>
  <c r="AM63" i="93"/>
  <c r="AN63" i="93"/>
  <c r="AO63" i="93"/>
  <c r="AP63" i="93"/>
  <c r="AQ63" i="93"/>
  <c r="AR63" i="93"/>
  <c r="AS63" i="93"/>
  <c r="AT63" i="93"/>
  <c r="AU63" i="93"/>
  <c r="AV63" i="93"/>
  <c r="AW63" i="93"/>
  <c r="AX63" i="93"/>
  <c r="AY63" i="93"/>
  <c r="AZ63" i="93"/>
  <c r="BA63" i="93"/>
  <c r="BB63" i="93"/>
  <c r="BC63" i="93"/>
  <c r="BD63" i="93"/>
  <c r="BE63" i="93"/>
  <c r="BF63" i="93"/>
  <c r="BG63" i="93"/>
  <c r="BH63" i="93"/>
  <c r="BI63" i="93"/>
  <c r="BJ63" i="93"/>
  <c r="BK63" i="93"/>
  <c r="BL63" i="93"/>
  <c r="BM63" i="93"/>
  <c r="BN63" i="93"/>
  <c r="BO63" i="93"/>
  <c r="BP63" i="93"/>
  <c r="BQ63" i="93"/>
  <c r="BR63" i="93"/>
  <c r="BS63" i="93"/>
  <c r="BT63" i="93"/>
  <c r="BU63" i="93"/>
  <c r="BV63" i="93"/>
  <c r="BW63" i="93"/>
  <c r="BX63" i="93"/>
  <c r="BY63" i="93"/>
  <c r="BZ63" i="93"/>
  <c r="CA63" i="93"/>
  <c r="CB63" i="93"/>
  <c r="CC63" i="93"/>
  <c r="CD63" i="93"/>
  <c r="CE63" i="93"/>
  <c r="CF63" i="93"/>
  <c r="CG63" i="93"/>
  <c r="CH63" i="93"/>
  <c r="CI63" i="93"/>
  <c r="CJ63" i="93"/>
  <c r="CK63" i="93"/>
  <c r="CL63" i="93"/>
  <c r="CM63" i="93"/>
  <c r="CN63" i="93"/>
  <c r="CO63" i="93"/>
  <c r="CP63" i="93"/>
  <c r="CQ63" i="93"/>
  <c r="CR63" i="93"/>
  <c r="CS63" i="93"/>
  <c r="CT63" i="93"/>
  <c r="CU63" i="93"/>
  <c r="CV63" i="93"/>
  <c r="CW63" i="93"/>
  <c r="J64" i="93"/>
  <c r="K64" i="93"/>
  <c r="L64" i="93"/>
  <c r="M64" i="93"/>
  <c r="N64" i="93"/>
  <c r="O64" i="93"/>
  <c r="P64" i="93"/>
  <c r="Q64" i="93"/>
  <c r="R64" i="93"/>
  <c r="S64" i="93"/>
  <c r="T64" i="93"/>
  <c r="U64" i="93"/>
  <c r="V64" i="93"/>
  <c r="W64" i="93"/>
  <c r="X64" i="93"/>
  <c r="Y64" i="93"/>
  <c r="Z64" i="93"/>
  <c r="AA64" i="93"/>
  <c r="AB64" i="93"/>
  <c r="AC64" i="93"/>
  <c r="AD64" i="93"/>
  <c r="AE64" i="93"/>
  <c r="AF64" i="93"/>
  <c r="AG64" i="93"/>
  <c r="AH64" i="93"/>
  <c r="AI64" i="93"/>
  <c r="AJ64" i="93"/>
  <c r="AK64" i="93"/>
  <c r="AL64" i="93"/>
  <c r="AM64" i="93"/>
  <c r="AN64" i="93"/>
  <c r="AO64" i="93"/>
  <c r="AP64" i="93"/>
  <c r="AQ64" i="93"/>
  <c r="AR64" i="93"/>
  <c r="AS64" i="93"/>
  <c r="AT64" i="93"/>
  <c r="AU64" i="93"/>
  <c r="AV64" i="93"/>
  <c r="AW64" i="93"/>
  <c r="AX64" i="93"/>
  <c r="AY64" i="93"/>
  <c r="AZ64" i="93"/>
  <c r="BA64" i="93"/>
  <c r="BB64" i="93"/>
  <c r="BC64" i="93"/>
  <c r="BD64" i="93"/>
  <c r="BE64" i="93"/>
  <c r="BF64" i="93"/>
  <c r="BG64" i="93"/>
  <c r="BH64" i="93"/>
  <c r="BI64" i="93"/>
  <c r="BJ64" i="93"/>
  <c r="BK64" i="93"/>
  <c r="BL64" i="93"/>
  <c r="BM64" i="93"/>
  <c r="BN64" i="93"/>
  <c r="BO64" i="93"/>
  <c r="BP64" i="93"/>
  <c r="BQ64" i="93"/>
  <c r="BR64" i="93"/>
  <c r="BS64" i="93"/>
  <c r="BT64" i="93"/>
  <c r="BU64" i="93"/>
  <c r="BV64" i="93"/>
  <c r="BW64" i="93"/>
  <c r="BX64" i="93"/>
  <c r="BY64" i="93"/>
  <c r="BZ64" i="93"/>
  <c r="CA64" i="93"/>
  <c r="CB64" i="93"/>
  <c r="CC64" i="93"/>
  <c r="CD64" i="93"/>
  <c r="CE64" i="93"/>
  <c r="CF64" i="93"/>
  <c r="CG64" i="93"/>
  <c r="CH64" i="93"/>
  <c r="CI64" i="93"/>
  <c r="CJ64" i="93"/>
  <c r="CK64" i="93"/>
  <c r="CL64" i="93"/>
  <c r="CM64" i="93"/>
  <c r="CN64" i="93"/>
  <c r="CO64" i="93"/>
  <c r="CP64" i="93"/>
  <c r="CQ64" i="93"/>
  <c r="CR64" i="93"/>
  <c r="CS64" i="93"/>
  <c r="CT64" i="93"/>
  <c r="CU64" i="93"/>
  <c r="CV64" i="93"/>
  <c r="CW64" i="93"/>
  <c r="J65" i="93"/>
  <c r="K65" i="93"/>
  <c r="L65" i="93"/>
  <c r="M65" i="93"/>
  <c r="N65" i="93"/>
  <c r="O65" i="93"/>
  <c r="P65" i="93"/>
  <c r="Q65" i="93"/>
  <c r="R65" i="93"/>
  <c r="S65" i="93"/>
  <c r="T65" i="93"/>
  <c r="U65" i="93"/>
  <c r="V65" i="93"/>
  <c r="W65" i="93"/>
  <c r="X65" i="93"/>
  <c r="Y65" i="93"/>
  <c r="Z65" i="93"/>
  <c r="AA65" i="93"/>
  <c r="AB65" i="93"/>
  <c r="AC65" i="93"/>
  <c r="AD65" i="93"/>
  <c r="AE65" i="93"/>
  <c r="AF65" i="93"/>
  <c r="AG65" i="93"/>
  <c r="AH65" i="93"/>
  <c r="AI65" i="93"/>
  <c r="AJ65" i="93"/>
  <c r="AK65" i="93"/>
  <c r="AL65" i="93"/>
  <c r="AM65" i="93"/>
  <c r="AN65" i="93"/>
  <c r="AO65" i="93"/>
  <c r="AP65" i="93"/>
  <c r="AQ65" i="93"/>
  <c r="AR65" i="93"/>
  <c r="AS65" i="93"/>
  <c r="AT65" i="93"/>
  <c r="AU65" i="93"/>
  <c r="AV65" i="93"/>
  <c r="AW65" i="93"/>
  <c r="AX65" i="93"/>
  <c r="AY65" i="93"/>
  <c r="AZ65" i="93"/>
  <c r="BA65" i="93"/>
  <c r="BB65" i="93"/>
  <c r="BC65" i="93"/>
  <c r="BD65" i="93"/>
  <c r="BE65" i="93"/>
  <c r="BF65" i="93"/>
  <c r="BG65" i="93"/>
  <c r="BH65" i="93"/>
  <c r="BI65" i="93"/>
  <c r="BJ65" i="93"/>
  <c r="BK65" i="93"/>
  <c r="BL65" i="93"/>
  <c r="BM65" i="93"/>
  <c r="BN65" i="93"/>
  <c r="BO65" i="93"/>
  <c r="BP65" i="93"/>
  <c r="BQ65" i="93"/>
  <c r="BR65" i="93"/>
  <c r="BS65" i="93"/>
  <c r="BT65" i="93"/>
  <c r="BU65" i="93"/>
  <c r="BV65" i="93"/>
  <c r="BW65" i="93"/>
  <c r="BX65" i="93"/>
  <c r="BY65" i="93"/>
  <c r="BZ65" i="93"/>
  <c r="CA65" i="93"/>
  <c r="CB65" i="93"/>
  <c r="CC65" i="93"/>
  <c r="CD65" i="93"/>
  <c r="CE65" i="93"/>
  <c r="CF65" i="93"/>
  <c r="CG65" i="93"/>
  <c r="CH65" i="93"/>
  <c r="CI65" i="93"/>
  <c r="CJ65" i="93"/>
  <c r="CK65" i="93"/>
  <c r="CL65" i="93"/>
  <c r="CM65" i="93"/>
  <c r="CN65" i="93"/>
  <c r="CO65" i="93"/>
  <c r="CP65" i="93"/>
  <c r="CQ65" i="93"/>
  <c r="CR65" i="93"/>
  <c r="CS65" i="93"/>
  <c r="CT65" i="93"/>
  <c r="CU65" i="93"/>
  <c r="CV65" i="93"/>
  <c r="CW65" i="93"/>
  <c r="J66" i="93"/>
  <c r="K66" i="93"/>
  <c r="L66" i="93"/>
  <c r="M66" i="93"/>
  <c r="N66" i="93"/>
  <c r="O66" i="93"/>
  <c r="P66" i="93"/>
  <c r="Q66" i="93"/>
  <c r="R66" i="93"/>
  <c r="S66" i="93"/>
  <c r="T66" i="93"/>
  <c r="U66" i="93"/>
  <c r="V66" i="93"/>
  <c r="W66" i="93"/>
  <c r="X66" i="93"/>
  <c r="Y66" i="93"/>
  <c r="Z66" i="93"/>
  <c r="AA66" i="93"/>
  <c r="AB66" i="93"/>
  <c r="AC66" i="93"/>
  <c r="AD66" i="93"/>
  <c r="AE66" i="93"/>
  <c r="AF66" i="93"/>
  <c r="AG66" i="93"/>
  <c r="AH66" i="93"/>
  <c r="AI66" i="93"/>
  <c r="AJ66" i="93"/>
  <c r="AK66" i="93"/>
  <c r="AL66" i="93"/>
  <c r="AM66" i="93"/>
  <c r="AN66" i="93"/>
  <c r="AO66" i="93"/>
  <c r="AP66" i="93"/>
  <c r="AQ66" i="93"/>
  <c r="AR66" i="93"/>
  <c r="AS66" i="93"/>
  <c r="AT66" i="93"/>
  <c r="AU66" i="93"/>
  <c r="AV66" i="93"/>
  <c r="AW66" i="93"/>
  <c r="AX66" i="93"/>
  <c r="AY66" i="93"/>
  <c r="AZ66" i="93"/>
  <c r="BA66" i="93"/>
  <c r="BB66" i="93"/>
  <c r="BC66" i="93"/>
  <c r="BD66" i="93"/>
  <c r="BE66" i="93"/>
  <c r="BF66" i="93"/>
  <c r="BG66" i="93"/>
  <c r="BH66" i="93"/>
  <c r="BI66" i="93"/>
  <c r="BJ66" i="93"/>
  <c r="BK66" i="93"/>
  <c r="BL66" i="93"/>
  <c r="BM66" i="93"/>
  <c r="BN66" i="93"/>
  <c r="BO66" i="93"/>
  <c r="BP66" i="93"/>
  <c r="BQ66" i="93"/>
  <c r="BR66" i="93"/>
  <c r="BS66" i="93"/>
  <c r="BT66" i="93"/>
  <c r="BU66" i="93"/>
  <c r="BV66" i="93"/>
  <c r="BW66" i="93"/>
  <c r="BX66" i="93"/>
  <c r="BY66" i="93"/>
  <c r="BZ66" i="93"/>
  <c r="CA66" i="93"/>
  <c r="CB66" i="93"/>
  <c r="CC66" i="93"/>
  <c r="CD66" i="93"/>
  <c r="CE66" i="93"/>
  <c r="CF66" i="93"/>
  <c r="CG66" i="93"/>
  <c r="CH66" i="93"/>
  <c r="CI66" i="93"/>
  <c r="CJ66" i="93"/>
  <c r="CK66" i="93"/>
  <c r="CL66" i="93"/>
  <c r="CM66" i="93"/>
  <c r="CN66" i="93"/>
  <c r="CO66" i="93"/>
  <c r="CP66" i="93"/>
  <c r="CQ66" i="93"/>
  <c r="CR66" i="93"/>
  <c r="CS66" i="93"/>
  <c r="CT66" i="93"/>
  <c r="CU66" i="93"/>
  <c r="CV66" i="93"/>
  <c r="CW66" i="93"/>
  <c r="J67" i="93"/>
  <c r="K67" i="93"/>
  <c r="L67" i="93"/>
  <c r="M67" i="93"/>
  <c r="N67" i="93"/>
  <c r="O67" i="93"/>
  <c r="P67" i="93"/>
  <c r="Q67" i="93"/>
  <c r="R67" i="93"/>
  <c r="S67" i="93"/>
  <c r="T67" i="93"/>
  <c r="U67" i="93"/>
  <c r="V67" i="93"/>
  <c r="W67" i="93"/>
  <c r="X67" i="93"/>
  <c r="Y67" i="93"/>
  <c r="Z67" i="93"/>
  <c r="AA67" i="93"/>
  <c r="AB67" i="93"/>
  <c r="AC67" i="93"/>
  <c r="AD67" i="93"/>
  <c r="AE67" i="93"/>
  <c r="AF67" i="93"/>
  <c r="AG67" i="93"/>
  <c r="AH67" i="93"/>
  <c r="AI67" i="93"/>
  <c r="AJ67" i="93"/>
  <c r="AK67" i="93"/>
  <c r="AL67" i="93"/>
  <c r="AM67" i="93"/>
  <c r="AN67" i="93"/>
  <c r="AO67" i="93"/>
  <c r="AP67" i="93"/>
  <c r="AQ67" i="93"/>
  <c r="AR67" i="93"/>
  <c r="AS67" i="93"/>
  <c r="AT67" i="93"/>
  <c r="AU67" i="93"/>
  <c r="AV67" i="93"/>
  <c r="AW67" i="93"/>
  <c r="AX67" i="93"/>
  <c r="AY67" i="93"/>
  <c r="AZ67" i="93"/>
  <c r="BA67" i="93"/>
  <c r="BB67" i="93"/>
  <c r="BC67" i="93"/>
  <c r="BD67" i="93"/>
  <c r="BE67" i="93"/>
  <c r="BF67" i="93"/>
  <c r="BG67" i="93"/>
  <c r="BH67" i="93"/>
  <c r="BI67" i="93"/>
  <c r="BJ67" i="93"/>
  <c r="BK67" i="93"/>
  <c r="BL67" i="93"/>
  <c r="BM67" i="93"/>
  <c r="BN67" i="93"/>
  <c r="BO67" i="93"/>
  <c r="BP67" i="93"/>
  <c r="BQ67" i="93"/>
  <c r="BR67" i="93"/>
  <c r="BS67" i="93"/>
  <c r="BT67" i="93"/>
  <c r="BU67" i="93"/>
  <c r="BV67" i="93"/>
  <c r="BW67" i="93"/>
  <c r="BX67" i="93"/>
  <c r="BY67" i="93"/>
  <c r="BZ67" i="93"/>
  <c r="CA67" i="93"/>
  <c r="CB67" i="93"/>
  <c r="CC67" i="93"/>
  <c r="CD67" i="93"/>
  <c r="CE67" i="93"/>
  <c r="CF67" i="93"/>
  <c r="CG67" i="93"/>
  <c r="CH67" i="93"/>
  <c r="CI67" i="93"/>
  <c r="CJ67" i="93"/>
  <c r="CK67" i="93"/>
  <c r="CL67" i="93"/>
  <c r="CM67" i="93"/>
  <c r="CN67" i="93"/>
  <c r="CO67" i="93"/>
  <c r="CP67" i="93"/>
  <c r="CQ67" i="93"/>
  <c r="CR67" i="93"/>
  <c r="CS67" i="93"/>
  <c r="CT67" i="93"/>
  <c r="CU67" i="93"/>
  <c r="CV67" i="93"/>
  <c r="CW67" i="93"/>
  <c r="J68" i="93"/>
  <c r="K68" i="93"/>
  <c r="L68" i="93"/>
  <c r="M68" i="93"/>
  <c r="N68" i="93"/>
  <c r="O68" i="93"/>
  <c r="P68" i="93"/>
  <c r="Q68" i="93"/>
  <c r="R68" i="93"/>
  <c r="S68" i="93"/>
  <c r="T68" i="93"/>
  <c r="U68" i="93"/>
  <c r="V68" i="93"/>
  <c r="W68" i="93"/>
  <c r="X68" i="93"/>
  <c r="Y68" i="93"/>
  <c r="Z68" i="93"/>
  <c r="AA68" i="93"/>
  <c r="AB68" i="93"/>
  <c r="AC68" i="93"/>
  <c r="AD68" i="93"/>
  <c r="AE68" i="93"/>
  <c r="AF68" i="93"/>
  <c r="AG68" i="93"/>
  <c r="AH68" i="93"/>
  <c r="AI68" i="93"/>
  <c r="AJ68" i="93"/>
  <c r="AK68" i="93"/>
  <c r="AL68" i="93"/>
  <c r="AM68" i="93"/>
  <c r="AN68" i="93"/>
  <c r="AO68" i="93"/>
  <c r="AP68" i="93"/>
  <c r="AQ68" i="93"/>
  <c r="AR68" i="93"/>
  <c r="AS68" i="93"/>
  <c r="AT68" i="93"/>
  <c r="AU68" i="93"/>
  <c r="AV68" i="93"/>
  <c r="AW68" i="93"/>
  <c r="AX68" i="93"/>
  <c r="AY68" i="93"/>
  <c r="AZ68" i="93"/>
  <c r="BA68" i="93"/>
  <c r="BB68" i="93"/>
  <c r="BC68" i="93"/>
  <c r="BD68" i="93"/>
  <c r="BE68" i="93"/>
  <c r="BF68" i="93"/>
  <c r="BG68" i="93"/>
  <c r="BH68" i="93"/>
  <c r="BI68" i="93"/>
  <c r="BJ68" i="93"/>
  <c r="BK68" i="93"/>
  <c r="BL68" i="93"/>
  <c r="BM68" i="93"/>
  <c r="BN68" i="93"/>
  <c r="BO68" i="93"/>
  <c r="BP68" i="93"/>
  <c r="BQ68" i="93"/>
  <c r="BR68" i="93"/>
  <c r="BS68" i="93"/>
  <c r="BT68" i="93"/>
  <c r="BU68" i="93"/>
  <c r="BV68" i="93"/>
  <c r="BW68" i="93"/>
  <c r="BX68" i="93"/>
  <c r="BY68" i="93"/>
  <c r="BZ68" i="93"/>
  <c r="CA68" i="93"/>
  <c r="CB68" i="93"/>
  <c r="CC68" i="93"/>
  <c r="CD68" i="93"/>
  <c r="CE68" i="93"/>
  <c r="CF68" i="93"/>
  <c r="CG68" i="93"/>
  <c r="CH68" i="93"/>
  <c r="CI68" i="93"/>
  <c r="CJ68" i="93"/>
  <c r="CK68" i="93"/>
  <c r="CL68" i="93"/>
  <c r="CM68" i="93"/>
  <c r="CN68" i="93"/>
  <c r="CO68" i="93"/>
  <c r="CP68" i="93"/>
  <c r="CQ68" i="93"/>
  <c r="CR68" i="93"/>
  <c r="CS68" i="93"/>
  <c r="CT68" i="93"/>
  <c r="CU68" i="93"/>
  <c r="CV68" i="93"/>
  <c r="CW68" i="93"/>
  <c r="J69" i="93"/>
  <c r="K69" i="93"/>
  <c r="L69" i="93"/>
  <c r="M69" i="93"/>
  <c r="N69" i="93"/>
  <c r="O69" i="93"/>
  <c r="P69" i="93"/>
  <c r="Q69" i="93"/>
  <c r="R69" i="93"/>
  <c r="S69" i="93"/>
  <c r="T69" i="93"/>
  <c r="U69" i="93"/>
  <c r="V69" i="93"/>
  <c r="W69" i="93"/>
  <c r="X69" i="93"/>
  <c r="Y69" i="93"/>
  <c r="Z69" i="93"/>
  <c r="AA69" i="93"/>
  <c r="AB69" i="93"/>
  <c r="AC69" i="93"/>
  <c r="AD69" i="93"/>
  <c r="AE69" i="93"/>
  <c r="AF69" i="93"/>
  <c r="AG69" i="93"/>
  <c r="AH69" i="93"/>
  <c r="AI69" i="93"/>
  <c r="AJ69" i="93"/>
  <c r="AK69" i="93"/>
  <c r="AL69" i="93"/>
  <c r="AM69" i="93"/>
  <c r="AN69" i="93"/>
  <c r="AO69" i="93"/>
  <c r="AP69" i="93"/>
  <c r="AQ69" i="93"/>
  <c r="AR69" i="93"/>
  <c r="AS69" i="93"/>
  <c r="AT69" i="93"/>
  <c r="AU69" i="93"/>
  <c r="AV69" i="93"/>
  <c r="AW69" i="93"/>
  <c r="AX69" i="93"/>
  <c r="AY69" i="93"/>
  <c r="AZ69" i="93"/>
  <c r="BA69" i="93"/>
  <c r="BB69" i="93"/>
  <c r="BC69" i="93"/>
  <c r="BD69" i="93"/>
  <c r="BE69" i="93"/>
  <c r="BF69" i="93"/>
  <c r="BG69" i="93"/>
  <c r="BH69" i="93"/>
  <c r="BI69" i="93"/>
  <c r="BJ69" i="93"/>
  <c r="BK69" i="93"/>
  <c r="BL69" i="93"/>
  <c r="BM69" i="93"/>
  <c r="BN69" i="93"/>
  <c r="BO69" i="93"/>
  <c r="BP69" i="93"/>
  <c r="BQ69" i="93"/>
  <c r="BR69" i="93"/>
  <c r="BS69" i="93"/>
  <c r="BT69" i="93"/>
  <c r="BU69" i="93"/>
  <c r="BV69" i="93"/>
  <c r="BW69" i="93"/>
  <c r="BX69" i="93"/>
  <c r="BY69" i="93"/>
  <c r="BZ69" i="93"/>
  <c r="CA69" i="93"/>
  <c r="CB69" i="93"/>
  <c r="CC69" i="93"/>
  <c r="CD69" i="93"/>
  <c r="CE69" i="93"/>
  <c r="CF69" i="93"/>
  <c r="CG69" i="93"/>
  <c r="CH69" i="93"/>
  <c r="CI69" i="93"/>
  <c r="CJ69" i="93"/>
  <c r="CK69" i="93"/>
  <c r="CL69" i="93"/>
  <c r="CM69" i="93"/>
  <c r="CN69" i="93"/>
  <c r="CO69" i="93"/>
  <c r="CP69" i="93"/>
  <c r="CQ69" i="93"/>
  <c r="CR69" i="93"/>
  <c r="CS69" i="93"/>
  <c r="CT69" i="93"/>
  <c r="CU69" i="93"/>
  <c r="CV69" i="93"/>
  <c r="CW69" i="93"/>
  <c r="J70" i="93"/>
  <c r="K70" i="93"/>
  <c r="L70" i="93"/>
  <c r="M70" i="93"/>
  <c r="N70" i="93"/>
  <c r="O70" i="93"/>
  <c r="P70" i="93"/>
  <c r="Q70" i="93"/>
  <c r="R70" i="93"/>
  <c r="S70" i="93"/>
  <c r="T70" i="93"/>
  <c r="U70" i="93"/>
  <c r="V70" i="93"/>
  <c r="W70" i="93"/>
  <c r="X70" i="93"/>
  <c r="Y70" i="93"/>
  <c r="Z70" i="93"/>
  <c r="AA70" i="93"/>
  <c r="AB70" i="93"/>
  <c r="AC70" i="93"/>
  <c r="AD70" i="93"/>
  <c r="AE70" i="93"/>
  <c r="AF70" i="93"/>
  <c r="AG70" i="93"/>
  <c r="AH70" i="93"/>
  <c r="AI70" i="93"/>
  <c r="AJ70" i="93"/>
  <c r="AK70" i="93"/>
  <c r="AL70" i="93"/>
  <c r="AM70" i="93"/>
  <c r="AN70" i="93"/>
  <c r="AO70" i="93"/>
  <c r="AP70" i="93"/>
  <c r="AQ70" i="93"/>
  <c r="AR70" i="93"/>
  <c r="AS70" i="93"/>
  <c r="AT70" i="93"/>
  <c r="AU70" i="93"/>
  <c r="AV70" i="93"/>
  <c r="AW70" i="93"/>
  <c r="AX70" i="93"/>
  <c r="AY70" i="93"/>
  <c r="AZ70" i="93"/>
  <c r="BA70" i="93"/>
  <c r="BB70" i="93"/>
  <c r="BC70" i="93"/>
  <c r="BD70" i="93"/>
  <c r="BE70" i="93"/>
  <c r="BF70" i="93"/>
  <c r="BG70" i="93"/>
  <c r="BH70" i="93"/>
  <c r="BI70" i="93"/>
  <c r="BJ70" i="93"/>
  <c r="BK70" i="93"/>
  <c r="BL70" i="93"/>
  <c r="BM70" i="93"/>
  <c r="BN70" i="93"/>
  <c r="BO70" i="93"/>
  <c r="BP70" i="93"/>
  <c r="BQ70" i="93"/>
  <c r="BR70" i="93"/>
  <c r="BS70" i="93"/>
  <c r="BT70" i="93"/>
  <c r="BU70" i="93"/>
  <c r="BV70" i="93"/>
  <c r="BW70" i="93"/>
  <c r="BX70" i="93"/>
  <c r="BY70" i="93"/>
  <c r="BZ70" i="93"/>
  <c r="CA70" i="93"/>
  <c r="CB70" i="93"/>
  <c r="CC70" i="93"/>
  <c r="CD70" i="93"/>
  <c r="CE70" i="93"/>
  <c r="CF70" i="93"/>
  <c r="CG70" i="93"/>
  <c r="CH70" i="93"/>
  <c r="CI70" i="93"/>
  <c r="CJ70" i="93"/>
  <c r="CK70" i="93"/>
  <c r="CL70" i="93"/>
  <c r="CM70" i="93"/>
  <c r="CN70" i="93"/>
  <c r="CO70" i="93"/>
  <c r="CP70" i="93"/>
  <c r="CQ70" i="93"/>
  <c r="CR70" i="93"/>
  <c r="CS70" i="93"/>
  <c r="CT70" i="93"/>
  <c r="CU70" i="93"/>
  <c r="CV70" i="93"/>
  <c r="CW70" i="93"/>
  <c r="J71" i="93"/>
  <c r="K71" i="93"/>
  <c r="L71" i="93"/>
  <c r="M71" i="93"/>
  <c r="N71" i="93"/>
  <c r="O71" i="93"/>
  <c r="P71" i="93"/>
  <c r="Q71" i="93"/>
  <c r="R71" i="93"/>
  <c r="S71" i="93"/>
  <c r="T71" i="93"/>
  <c r="U71" i="93"/>
  <c r="V71" i="93"/>
  <c r="W71" i="93"/>
  <c r="X71" i="93"/>
  <c r="Y71" i="93"/>
  <c r="Z71" i="93"/>
  <c r="AA71" i="93"/>
  <c r="AB71" i="93"/>
  <c r="AC71" i="93"/>
  <c r="AD71" i="93"/>
  <c r="AE71" i="93"/>
  <c r="AF71" i="93"/>
  <c r="AG71" i="93"/>
  <c r="AH71" i="93"/>
  <c r="AI71" i="93"/>
  <c r="AJ71" i="93"/>
  <c r="AK71" i="93"/>
  <c r="AL71" i="93"/>
  <c r="AM71" i="93"/>
  <c r="AN71" i="93"/>
  <c r="AO71" i="93"/>
  <c r="AP71" i="93"/>
  <c r="AQ71" i="93"/>
  <c r="AR71" i="93"/>
  <c r="AS71" i="93"/>
  <c r="AT71" i="93"/>
  <c r="AU71" i="93"/>
  <c r="AV71" i="93"/>
  <c r="AW71" i="93"/>
  <c r="AX71" i="93"/>
  <c r="AY71" i="93"/>
  <c r="AZ71" i="93"/>
  <c r="BA71" i="93"/>
  <c r="BB71" i="93"/>
  <c r="BC71" i="93"/>
  <c r="BD71" i="93"/>
  <c r="BE71" i="93"/>
  <c r="BF71" i="93"/>
  <c r="BG71" i="93"/>
  <c r="BH71" i="93"/>
  <c r="BI71" i="93"/>
  <c r="BJ71" i="93"/>
  <c r="BK71" i="93"/>
  <c r="BL71" i="93"/>
  <c r="BM71" i="93"/>
  <c r="BN71" i="93"/>
  <c r="BO71" i="93"/>
  <c r="BP71" i="93"/>
  <c r="BQ71" i="93"/>
  <c r="BR71" i="93"/>
  <c r="BS71" i="93"/>
  <c r="BT71" i="93"/>
  <c r="BU71" i="93"/>
  <c r="BV71" i="93"/>
  <c r="BW71" i="93"/>
  <c r="BX71" i="93"/>
  <c r="BY71" i="93"/>
  <c r="BZ71" i="93"/>
  <c r="CA71" i="93"/>
  <c r="CB71" i="93"/>
  <c r="CC71" i="93"/>
  <c r="CD71" i="93"/>
  <c r="CE71" i="93"/>
  <c r="CF71" i="93"/>
  <c r="CG71" i="93"/>
  <c r="CH71" i="93"/>
  <c r="CI71" i="93"/>
  <c r="CJ71" i="93"/>
  <c r="CK71" i="93"/>
  <c r="CL71" i="93"/>
  <c r="CM71" i="93"/>
  <c r="CN71" i="93"/>
  <c r="CO71" i="93"/>
  <c r="CP71" i="93"/>
  <c r="CQ71" i="93"/>
  <c r="CR71" i="93"/>
  <c r="CS71" i="93"/>
  <c r="CT71" i="93"/>
  <c r="CU71" i="93"/>
  <c r="CV71" i="93"/>
  <c r="CW71" i="93"/>
  <c r="J72" i="93"/>
  <c r="K72" i="93"/>
  <c r="L72" i="93"/>
  <c r="M72" i="93"/>
  <c r="N72" i="93"/>
  <c r="O72" i="93"/>
  <c r="P72" i="93"/>
  <c r="Q72" i="93"/>
  <c r="R72" i="93"/>
  <c r="S72" i="93"/>
  <c r="T72" i="93"/>
  <c r="U72" i="93"/>
  <c r="V72" i="93"/>
  <c r="W72" i="93"/>
  <c r="X72" i="93"/>
  <c r="Y72" i="93"/>
  <c r="Z72" i="93"/>
  <c r="AA72" i="93"/>
  <c r="AB72" i="93"/>
  <c r="AC72" i="93"/>
  <c r="AD72" i="93"/>
  <c r="AE72" i="93"/>
  <c r="AF72" i="93"/>
  <c r="AG72" i="93"/>
  <c r="AH72" i="93"/>
  <c r="AI72" i="93"/>
  <c r="AJ72" i="93"/>
  <c r="AK72" i="93"/>
  <c r="AL72" i="93"/>
  <c r="AM72" i="93"/>
  <c r="AN72" i="93"/>
  <c r="AO72" i="93"/>
  <c r="AP72" i="93"/>
  <c r="AQ72" i="93"/>
  <c r="AR72" i="93"/>
  <c r="AS72" i="93"/>
  <c r="AT72" i="93"/>
  <c r="AU72" i="93"/>
  <c r="AV72" i="93"/>
  <c r="AW72" i="93"/>
  <c r="AX72" i="93"/>
  <c r="AY72" i="93"/>
  <c r="AZ72" i="93"/>
  <c r="BA72" i="93"/>
  <c r="BB72" i="93"/>
  <c r="BC72" i="93"/>
  <c r="BD72" i="93"/>
  <c r="BE72" i="93"/>
  <c r="BF72" i="93"/>
  <c r="BG72" i="93"/>
  <c r="BH72" i="93"/>
  <c r="BI72" i="93"/>
  <c r="BJ72" i="93"/>
  <c r="BK72" i="93"/>
  <c r="BL72" i="93"/>
  <c r="BM72" i="93"/>
  <c r="BN72" i="93"/>
  <c r="BO72" i="93"/>
  <c r="BP72" i="93"/>
  <c r="BQ72" i="93"/>
  <c r="BR72" i="93"/>
  <c r="BS72" i="93"/>
  <c r="BT72" i="93"/>
  <c r="BU72" i="93"/>
  <c r="BV72" i="93"/>
  <c r="BW72" i="93"/>
  <c r="BX72" i="93"/>
  <c r="BY72" i="93"/>
  <c r="BZ72" i="93"/>
  <c r="CA72" i="93"/>
  <c r="CB72" i="93"/>
  <c r="CC72" i="93"/>
  <c r="CD72" i="93"/>
  <c r="CE72" i="93"/>
  <c r="CF72" i="93"/>
  <c r="CG72" i="93"/>
  <c r="CH72" i="93"/>
  <c r="CI72" i="93"/>
  <c r="CJ72" i="93"/>
  <c r="CK72" i="93"/>
  <c r="CL72" i="93"/>
  <c r="CM72" i="93"/>
  <c r="CN72" i="93"/>
  <c r="CO72" i="93"/>
  <c r="CP72" i="93"/>
  <c r="CQ72" i="93"/>
  <c r="CR72" i="93"/>
  <c r="CS72" i="93"/>
  <c r="CT72" i="93"/>
  <c r="CU72" i="93"/>
  <c r="CV72" i="93"/>
  <c r="CW72" i="93"/>
  <c r="J73" i="93"/>
  <c r="K73" i="93"/>
  <c r="L73" i="93"/>
  <c r="M73" i="93"/>
  <c r="N73" i="93"/>
  <c r="O73" i="93"/>
  <c r="P73" i="93"/>
  <c r="Q73" i="93"/>
  <c r="R73" i="93"/>
  <c r="S73" i="93"/>
  <c r="T73" i="93"/>
  <c r="U73" i="93"/>
  <c r="V73" i="93"/>
  <c r="W73" i="93"/>
  <c r="X73" i="93"/>
  <c r="Y73" i="93"/>
  <c r="Z73" i="93"/>
  <c r="AA73" i="93"/>
  <c r="AB73" i="93"/>
  <c r="AC73" i="93"/>
  <c r="AD73" i="93"/>
  <c r="AE73" i="93"/>
  <c r="AF73" i="93"/>
  <c r="AG73" i="93"/>
  <c r="AH73" i="93"/>
  <c r="AI73" i="93"/>
  <c r="AJ73" i="93"/>
  <c r="AK73" i="93"/>
  <c r="AL73" i="93"/>
  <c r="AM73" i="93"/>
  <c r="AN73" i="93"/>
  <c r="AO73" i="93"/>
  <c r="AP73" i="93"/>
  <c r="AQ73" i="93"/>
  <c r="AR73" i="93"/>
  <c r="AS73" i="93"/>
  <c r="AT73" i="93"/>
  <c r="AU73" i="93"/>
  <c r="AV73" i="93"/>
  <c r="AW73" i="93"/>
  <c r="AX73" i="93"/>
  <c r="AY73" i="93"/>
  <c r="AZ73" i="93"/>
  <c r="BA73" i="93"/>
  <c r="BB73" i="93"/>
  <c r="BC73" i="93"/>
  <c r="BD73" i="93"/>
  <c r="BE73" i="93"/>
  <c r="BF73" i="93"/>
  <c r="BG73" i="93"/>
  <c r="BH73" i="93"/>
  <c r="BI73" i="93"/>
  <c r="BJ73" i="93"/>
  <c r="BK73" i="93"/>
  <c r="BL73" i="93"/>
  <c r="BM73" i="93"/>
  <c r="BN73" i="93"/>
  <c r="BO73" i="93"/>
  <c r="BP73" i="93"/>
  <c r="BQ73" i="93"/>
  <c r="BR73" i="93"/>
  <c r="BS73" i="93"/>
  <c r="BT73" i="93"/>
  <c r="BU73" i="93"/>
  <c r="BV73" i="93"/>
  <c r="BW73" i="93"/>
  <c r="BX73" i="93"/>
  <c r="BY73" i="93"/>
  <c r="BZ73" i="93"/>
  <c r="CA73" i="93"/>
  <c r="CB73" i="93"/>
  <c r="CC73" i="93"/>
  <c r="CD73" i="93"/>
  <c r="CE73" i="93"/>
  <c r="CF73" i="93"/>
  <c r="CG73" i="93"/>
  <c r="CH73" i="93"/>
  <c r="CI73" i="93"/>
  <c r="CJ73" i="93"/>
  <c r="CK73" i="93"/>
  <c r="CL73" i="93"/>
  <c r="CM73" i="93"/>
  <c r="CN73" i="93"/>
  <c r="CO73" i="93"/>
  <c r="CP73" i="93"/>
  <c r="CQ73" i="93"/>
  <c r="CR73" i="93"/>
  <c r="CS73" i="93"/>
  <c r="CT73" i="93"/>
  <c r="CU73" i="93"/>
  <c r="CV73" i="93"/>
  <c r="CW73" i="93"/>
  <c r="J74" i="93"/>
  <c r="K74" i="93"/>
  <c r="L74" i="93"/>
  <c r="M74" i="93"/>
  <c r="N74" i="93"/>
  <c r="O74" i="93"/>
  <c r="P74" i="93"/>
  <c r="Q74" i="93"/>
  <c r="R74" i="93"/>
  <c r="S74" i="93"/>
  <c r="T74" i="93"/>
  <c r="U74" i="93"/>
  <c r="V74" i="93"/>
  <c r="W74" i="93"/>
  <c r="X74" i="93"/>
  <c r="Y74" i="93"/>
  <c r="Z74" i="93"/>
  <c r="AA74" i="93"/>
  <c r="AB74" i="93"/>
  <c r="AC74" i="93"/>
  <c r="AD74" i="93"/>
  <c r="AE74" i="93"/>
  <c r="AF74" i="93"/>
  <c r="AG74" i="93"/>
  <c r="AH74" i="93"/>
  <c r="AI74" i="93"/>
  <c r="AJ74" i="93"/>
  <c r="AK74" i="93"/>
  <c r="AL74" i="93"/>
  <c r="AM74" i="93"/>
  <c r="AN74" i="93"/>
  <c r="AO74" i="93"/>
  <c r="AP74" i="93"/>
  <c r="AQ74" i="93"/>
  <c r="AR74" i="93"/>
  <c r="AS74" i="93"/>
  <c r="AT74" i="93"/>
  <c r="AU74" i="93"/>
  <c r="AV74" i="93"/>
  <c r="AW74" i="93"/>
  <c r="AX74" i="93"/>
  <c r="AY74" i="93"/>
  <c r="AZ74" i="93"/>
  <c r="BA74" i="93"/>
  <c r="BB74" i="93"/>
  <c r="BC74" i="93"/>
  <c r="BD74" i="93"/>
  <c r="BE74" i="93"/>
  <c r="BF74" i="93"/>
  <c r="BG74" i="93"/>
  <c r="BH74" i="93"/>
  <c r="BI74" i="93"/>
  <c r="BJ74" i="93"/>
  <c r="BK74" i="93"/>
  <c r="BL74" i="93"/>
  <c r="BM74" i="93"/>
  <c r="BN74" i="93"/>
  <c r="BO74" i="93"/>
  <c r="BP74" i="93"/>
  <c r="BQ74" i="93"/>
  <c r="BR74" i="93"/>
  <c r="BS74" i="93"/>
  <c r="BT74" i="93"/>
  <c r="BU74" i="93"/>
  <c r="BV74" i="93"/>
  <c r="BW74" i="93"/>
  <c r="BX74" i="93"/>
  <c r="BY74" i="93"/>
  <c r="BZ74" i="93"/>
  <c r="CA74" i="93"/>
  <c r="CB74" i="93"/>
  <c r="CC74" i="93"/>
  <c r="CD74" i="93"/>
  <c r="CE74" i="93"/>
  <c r="CF74" i="93"/>
  <c r="CG74" i="93"/>
  <c r="CH74" i="93"/>
  <c r="CI74" i="93"/>
  <c r="CJ74" i="93"/>
  <c r="CK74" i="93"/>
  <c r="CL74" i="93"/>
  <c r="CM74" i="93"/>
  <c r="CN74" i="93"/>
  <c r="CO74" i="93"/>
  <c r="CP74" i="93"/>
  <c r="CQ74" i="93"/>
  <c r="CR74" i="93"/>
  <c r="CS74" i="93"/>
  <c r="CT74" i="93"/>
  <c r="CU74" i="93"/>
  <c r="CV74" i="93"/>
  <c r="CW74" i="93"/>
  <c r="J75" i="93"/>
  <c r="K75" i="93"/>
  <c r="L75" i="93"/>
  <c r="M75" i="93"/>
  <c r="N75" i="93"/>
  <c r="O75" i="93"/>
  <c r="P75" i="93"/>
  <c r="Q75" i="93"/>
  <c r="R75" i="93"/>
  <c r="S75" i="93"/>
  <c r="T75" i="93"/>
  <c r="U75" i="93"/>
  <c r="V75" i="93"/>
  <c r="W75" i="93"/>
  <c r="X75" i="93"/>
  <c r="Y75" i="93"/>
  <c r="Z75" i="93"/>
  <c r="AA75" i="93"/>
  <c r="AB75" i="93"/>
  <c r="AC75" i="93"/>
  <c r="AD75" i="93"/>
  <c r="AE75" i="93"/>
  <c r="AF75" i="93"/>
  <c r="AG75" i="93"/>
  <c r="AH75" i="93"/>
  <c r="AI75" i="93"/>
  <c r="AJ75" i="93"/>
  <c r="AK75" i="93"/>
  <c r="AL75" i="93"/>
  <c r="AM75" i="93"/>
  <c r="AN75" i="93"/>
  <c r="AO75" i="93"/>
  <c r="AP75" i="93"/>
  <c r="AQ75" i="93"/>
  <c r="AR75" i="93"/>
  <c r="AS75" i="93"/>
  <c r="AT75" i="93"/>
  <c r="AU75" i="93"/>
  <c r="AV75" i="93"/>
  <c r="AW75" i="93"/>
  <c r="AX75" i="93"/>
  <c r="AY75" i="93"/>
  <c r="AZ75" i="93"/>
  <c r="BA75" i="93"/>
  <c r="BB75" i="93"/>
  <c r="BC75" i="93"/>
  <c r="BD75" i="93"/>
  <c r="BE75" i="93"/>
  <c r="BF75" i="93"/>
  <c r="BG75" i="93"/>
  <c r="BH75" i="93"/>
  <c r="BI75" i="93"/>
  <c r="BJ75" i="93"/>
  <c r="BK75" i="93"/>
  <c r="BL75" i="93"/>
  <c r="BM75" i="93"/>
  <c r="BN75" i="93"/>
  <c r="BO75" i="93"/>
  <c r="BP75" i="93"/>
  <c r="BQ75" i="93"/>
  <c r="BR75" i="93"/>
  <c r="BS75" i="93"/>
  <c r="BT75" i="93"/>
  <c r="BU75" i="93"/>
  <c r="BV75" i="93"/>
  <c r="BW75" i="93"/>
  <c r="BX75" i="93"/>
  <c r="BY75" i="93"/>
  <c r="BZ75" i="93"/>
  <c r="CA75" i="93"/>
  <c r="CB75" i="93"/>
  <c r="CC75" i="93"/>
  <c r="CD75" i="93"/>
  <c r="CE75" i="93"/>
  <c r="CF75" i="93"/>
  <c r="CG75" i="93"/>
  <c r="CH75" i="93"/>
  <c r="CI75" i="93"/>
  <c r="CJ75" i="93"/>
  <c r="CK75" i="93"/>
  <c r="CL75" i="93"/>
  <c r="CM75" i="93"/>
  <c r="CN75" i="93"/>
  <c r="CO75" i="93"/>
  <c r="CP75" i="93"/>
  <c r="CQ75" i="93"/>
  <c r="CR75" i="93"/>
  <c r="CS75" i="93"/>
  <c r="CT75" i="93"/>
  <c r="CU75" i="93"/>
  <c r="CV75" i="93"/>
  <c r="CW75" i="93"/>
  <c r="J76" i="93"/>
  <c r="K76" i="93"/>
  <c r="L76" i="93"/>
  <c r="M76" i="93"/>
  <c r="N76" i="93"/>
  <c r="O76" i="93"/>
  <c r="P76" i="93"/>
  <c r="Q76" i="93"/>
  <c r="R76" i="93"/>
  <c r="S76" i="93"/>
  <c r="T76" i="93"/>
  <c r="U76" i="93"/>
  <c r="V76" i="93"/>
  <c r="W76" i="93"/>
  <c r="X76" i="93"/>
  <c r="Y76" i="93"/>
  <c r="Z76" i="93"/>
  <c r="AA76" i="93"/>
  <c r="AB76" i="93"/>
  <c r="AC76" i="93"/>
  <c r="AD76" i="93"/>
  <c r="AE76" i="93"/>
  <c r="AF76" i="93"/>
  <c r="AG76" i="93"/>
  <c r="AH76" i="93"/>
  <c r="AI76" i="93"/>
  <c r="AJ76" i="93"/>
  <c r="AK76" i="93"/>
  <c r="AL76" i="93"/>
  <c r="AM76" i="93"/>
  <c r="AN76" i="93"/>
  <c r="AO76" i="93"/>
  <c r="AP76" i="93"/>
  <c r="AQ76" i="93"/>
  <c r="AR76" i="93"/>
  <c r="AS76" i="93"/>
  <c r="AT76" i="93"/>
  <c r="AU76" i="93"/>
  <c r="AV76" i="93"/>
  <c r="AW76" i="93"/>
  <c r="AX76" i="93"/>
  <c r="AY76" i="93"/>
  <c r="AZ76" i="93"/>
  <c r="BA76" i="93"/>
  <c r="BB76" i="93"/>
  <c r="BC76" i="93"/>
  <c r="BD76" i="93"/>
  <c r="BE76" i="93"/>
  <c r="BF76" i="93"/>
  <c r="BG76" i="93"/>
  <c r="BH76" i="93"/>
  <c r="BI76" i="93"/>
  <c r="BJ76" i="93"/>
  <c r="BK76" i="93"/>
  <c r="BL76" i="93"/>
  <c r="BM76" i="93"/>
  <c r="BN76" i="93"/>
  <c r="BO76" i="93"/>
  <c r="BP76" i="93"/>
  <c r="BQ76" i="93"/>
  <c r="BR76" i="93"/>
  <c r="BS76" i="93"/>
  <c r="BT76" i="93"/>
  <c r="BU76" i="93"/>
  <c r="BV76" i="93"/>
  <c r="BW76" i="93"/>
  <c r="BX76" i="93"/>
  <c r="BY76" i="93"/>
  <c r="BZ76" i="93"/>
  <c r="CA76" i="93"/>
  <c r="CB76" i="93"/>
  <c r="CC76" i="93"/>
  <c r="CD76" i="93"/>
  <c r="CE76" i="93"/>
  <c r="CF76" i="93"/>
  <c r="CG76" i="93"/>
  <c r="CH76" i="93"/>
  <c r="CI76" i="93"/>
  <c r="CJ76" i="93"/>
  <c r="CK76" i="93"/>
  <c r="CL76" i="93"/>
  <c r="CM76" i="93"/>
  <c r="CN76" i="93"/>
  <c r="CO76" i="93"/>
  <c r="CP76" i="93"/>
  <c r="CQ76" i="93"/>
  <c r="CR76" i="93"/>
  <c r="CS76" i="93"/>
  <c r="CT76" i="93"/>
  <c r="CU76" i="93"/>
  <c r="CV76" i="93"/>
  <c r="CW76" i="93"/>
  <c r="J77" i="93"/>
  <c r="K77" i="93"/>
  <c r="L77" i="93"/>
  <c r="M77" i="93"/>
  <c r="N77" i="93"/>
  <c r="O77" i="93"/>
  <c r="P77" i="93"/>
  <c r="Q77" i="93"/>
  <c r="R77" i="93"/>
  <c r="S77" i="93"/>
  <c r="T77" i="93"/>
  <c r="U77" i="93"/>
  <c r="V77" i="93"/>
  <c r="W77" i="93"/>
  <c r="X77" i="93"/>
  <c r="Y77" i="93"/>
  <c r="Z77" i="93"/>
  <c r="AA77" i="93"/>
  <c r="AB77" i="93"/>
  <c r="AC77" i="93"/>
  <c r="AD77" i="93"/>
  <c r="AE77" i="93"/>
  <c r="AF77" i="93"/>
  <c r="AG77" i="93"/>
  <c r="AH77" i="93"/>
  <c r="AI77" i="93"/>
  <c r="AJ77" i="93"/>
  <c r="AK77" i="93"/>
  <c r="AL77" i="93"/>
  <c r="AM77" i="93"/>
  <c r="AN77" i="93"/>
  <c r="AO77" i="93"/>
  <c r="AP77" i="93"/>
  <c r="AQ77" i="93"/>
  <c r="AR77" i="93"/>
  <c r="AS77" i="93"/>
  <c r="AT77" i="93"/>
  <c r="AU77" i="93"/>
  <c r="AV77" i="93"/>
  <c r="AW77" i="93"/>
  <c r="AX77" i="93"/>
  <c r="AY77" i="93"/>
  <c r="AZ77" i="93"/>
  <c r="BA77" i="93"/>
  <c r="BB77" i="93"/>
  <c r="BC77" i="93"/>
  <c r="BD77" i="93"/>
  <c r="BE77" i="93"/>
  <c r="BF77" i="93"/>
  <c r="BG77" i="93"/>
  <c r="BH77" i="93"/>
  <c r="BI77" i="93"/>
  <c r="BJ77" i="93"/>
  <c r="BK77" i="93"/>
  <c r="BL77" i="93"/>
  <c r="BM77" i="93"/>
  <c r="BN77" i="93"/>
  <c r="BO77" i="93"/>
  <c r="BP77" i="93"/>
  <c r="BQ77" i="93"/>
  <c r="BR77" i="93"/>
  <c r="BS77" i="93"/>
  <c r="BT77" i="93"/>
  <c r="BU77" i="93"/>
  <c r="BV77" i="93"/>
  <c r="BW77" i="93"/>
  <c r="BX77" i="93"/>
  <c r="BY77" i="93"/>
  <c r="BZ77" i="93"/>
  <c r="CA77" i="93"/>
  <c r="CB77" i="93"/>
  <c r="CC77" i="93"/>
  <c r="CD77" i="93"/>
  <c r="CE77" i="93"/>
  <c r="CF77" i="93"/>
  <c r="CG77" i="93"/>
  <c r="CH77" i="93"/>
  <c r="CI77" i="93"/>
  <c r="CJ77" i="93"/>
  <c r="CK77" i="93"/>
  <c r="CL77" i="93"/>
  <c r="CM77" i="93"/>
  <c r="CN77" i="93"/>
  <c r="CO77" i="93"/>
  <c r="CP77" i="93"/>
  <c r="CQ77" i="93"/>
  <c r="CR77" i="93"/>
  <c r="CS77" i="93"/>
  <c r="CT77" i="93"/>
  <c r="CU77" i="93"/>
  <c r="CV77" i="93"/>
  <c r="CW77" i="93"/>
  <c r="J78" i="93"/>
  <c r="K78" i="93"/>
  <c r="L78" i="93"/>
  <c r="M78" i="93"/>
  <c r="N78" i="93"/>
  <c r="O78" i="93"/>
  <c r="P78" i="93"/>
  <c r="Q78" i="93"/>
  <c r="R78" i="93"/>
  <c r="S78" i="93"/>
  <c r="T78" i="93"/>
  <c r="U78" i="93"/>
  <c r="V78" i="93"/>
  <c r="W78" i="93"/>
  <c r="X78" i="93"/>
  <c r="Y78" i="93"/>
  <c r="Z78" i="93"/>
  <c r="AA78" i="93"/>
  <c r="AB78" i="93"/>
  <c r="AC78" i="93"/>
  <c r="AD78" i="93"/>
  <c r="AE78" i="93"/>
  <c r="AF78" i="93"/>
  <c r="AG78" i="93"/>
  <c r="AH78" i="93"/>
  <c r="AI78" i="93"/>
  <c r="AJ78" i="93"/>
  <c r="AK78" i="93"/>
  <c r="AL78" i="93"/>
  <c r="AM78" i="93"/>
  <c r="AN78" i="93"/>
  <c r="AO78" i="93"/>
  <c r="AP78" i="93"/>
  <c r="AQ78" i="93"/>
  <c r="AR78" i="93"/>
  <c r="AS78" i="93"/>
  <c r="AT78" i="93"/>
  <c r="AU78" i="93"/>
  <c r="AV78" i="93"/>
  <c r="AW78" i="93"/>
  <c r="AX78" i="93"/>
  <c r="AY78" i="93"/>
  <c r="AZ78" i="93"/>
  <c r="BA78" i="93"/>
  <c r="BB78" i="93"/>
  <c r="BC78" i="93"/>
  <c r="BD78" i="93"/>
  <c r="BE78" i="93"/>
  <c r="BF78" i="93"/>
  <c r="BG78" i="93"/>
  <c r="BH78" i="93"/>
  <c r="BI78" i="93"/>
  <c r="BJ78" i="93"/>
  <c r="BK78" i="93"/>
  <c r="BL78" i="93"/>
  <c r="BM78" i="93"/>
  <c r="BN78" i="93"/>
  <c r="BO78" i="93"/>
  <c r="BP78" i="93"/>
  <c r="BQ78" i="93"/>
  <c r="BR78" i="93"/>
  <c r="BS78" i="93"/>
  <c r="BT78" i="93"/>
  <c r="BU78" i="93"/>
  <c r="BV78" i="93"/>
  <c r="BW78" i="93"/>
  <c r="BX78" i="93"/>
  <c r="BY78" i="93"/>
  <c r="BZ78" i="93"/>
  <c r="CA78" i="93"/>
  <c r="CB78" i="93"/>
  <c r="CC78" i="93"/>
  <c r="CD78" i="93"/>
  <c r="CE78" i="93"/>
  <c r="CF78" i="93"/>
  <c r="CG78" i="93"/>
  <c r="CH78" i="93"/>
  <c r="CI78" i="93"/>
  <c r="CJ78" i="93"/>
  <c r="CK78" i="93"/>
  <c r="CL78" i="93"/>
  <c r="CM78" i="93"/>
  <c r="CN78" i="93"/>
  <c r="CO78" i="93"/>
  <c r="CP78" i="93"/>
  <c r="CQ78" i="93"/>
  <c r="CR78" i="93"/>
  <c r="CS78" i="93"/>
  <c r="CT78" i="93"/>
  <c r="CU78" i="93"/>
  <c r="CV78" i="93"/>
  <c r="CW78" i="93"/>
  <c r="J79" i="93"/>
  <c r="K79" i="93"/>
  <c r="L79" i="93"/>
  <c r="M79" i="93"/>
  <c r="N79" i="93"/>
  <c r="O79" i="93"/>
  <c r="P79" i="93"/>
  <c r="Q79" i="93"/>
  <c r="R79" i="93"/>
  <c r="S79" i="93"/>
  <c r="T79" i="93"/>
  <c r="U79" i="93"/>
  <c r="V79" i="93"/>
  <c r="W79" i="93"/>
  <c r="X79" i="93"/>
  <c r="Y79" i="93"/>
  <c r="Z79" i="93"/>
  <c r="AA79" i="93"/>
  <c r="AB79" i="93"/>
  <c r="AC79" i="93"/>
  <c r="AD79" i="93"/>
  <c r="AE79" i="93"/>
  <c r="AF79" i="93"/>
  <c r="AG79" i="93"/>
  <c r="AH79" i="93"/>
  <c r="AI79" i="93"/>
  <c r="AJ79" i="93"/>
  <c r="AK79" i="93"/>
  <c r="AL79" i="93"/>
  <c r="AM79" i="93"/>
  <c r="AN79" i="93"/>
  <c r="AO79" i="93"/>
  <c r="AP79" i="93"/>
  <c r="AQ79" i="93"/>
  <c r="AR79" i="93"/>
  <c r="AS79" i="93"/>
  <c r="AT79" i="93"/>
  <c r="AU79" i="93"/>
  <c r="AV79" i="93"/>
  <c r="AW79" i="93"/>
  <c r="AX79" i="93"/>
  <c r="AY79" i="93"/>
  <c r="AZ79" i="93"/>
  <c r="BA79" i="93"/>
  <c r="BB79" i="93"/>
  <c r="BC79" i="93"/>
  <c r="BD79" i="93"/>
  <c r="BE79" i="93"/>
  <c r="BF79" i="93"/>
  <c r="BG79" i="93"/>
  <c r="BH79" i="93"/>
  <c r="BI79" i="93"/>
  <c r="BJ79" i="93"/>
  <c r="BK79" i="93"/>
  <c r="BL79" i="93"/>
  <c r="BM79" i="93"/>
  <c r="BN79" i="93"/>
  <c r="BO79" i="93"/>
  <c r="BP79" i="93"/>
  <c r="BQ79" i="93"/>
  <c r="BR79" i="93"/>
  <c r="BS79" i="93"/>
  <c r="BT79" i="93"/>
  <c r="BU79" i="93"/>
  <c r="BV79" i="93"/>
  <c r="BW79" i="93"/>
  <c r="BX79" i="93"/>
  <c r="BY79" i="93"/>
  <c r="BZ79" i="93"/>
  <c r="CA79" i="93"/>
  <c r="CB79" i="93"/>
  <c r="CC79" i="93"/>
  <c r="CD79" i="93"/>
  <c r="CE79" i="93"/>
  <c r="CF79" i="93"/>
  <c r="CG79" i="93"/>
  <c r="CH79" i="93"/>
  <c r="CI79" i="93"/>
  <c r="CJ79" i="93"/>
  <c r="CK79" i="93"/>
  <c r="CL79" i="93"/>
  <c r="CM79" i="93"/>
  <c r="CN79" i="93"/>
  <c r="CO79" i="93"/>
  <c r="CP79" i="93"/>
  <c r="CQ79" i="93"/>
  <c r="CR79" i="93"/>
  <c r="CS79" i="93"/>
  <c r="CT79" i="93"/>
  <c r="CU79" i="93"/>
  <c r="CV79" i="93"/>
  <c r="CW79" i="93"/>
  <c r="J80" i="93"/>
  <c r="K80" i="93"/>
  <c r="L80" i="93"/>
  <c r="M80" i="93"/>
  <c r="N80" i="93"/>
  <c r="O80" i="93"/>
  <c r="P80" i="93"/>
  <c r="Q80" i="93"/>
  <c r="R80" i="93"/>
  <c r="S80" i="93"/>
  <c r="T80" i="93"/>
  <c r="U80" i="93"/>
  <c r="V80" i="93"/>
  <c r="W80" i="93"/>
  <c r="X80" i="93"/>
  <c r="Y80" i="93"/>
  <c r="Z80" i="93"/>
  <c r="AA80" i="93"/>
  <c r="AB80" i="93"/>
  <c r="AC80" i="93"/>
  <c r="AD80" i="93"/>
  <c r="AE80" i="93"/>
  <c r="AF80" i="93"/>
  <c r="AG80" i="93"/>
  <c r="AH80" i="93"/>
  <c r="AI80" i="93"/>
  <c r="AJ80" i="93"/>
  <c r="AK80" i="93"/>
  <c r="AL80" i="93"/>
  <c r="AM80" i="93"/>
  <c r="AN80" i="93"/>
  <c r="AO80" i="93"/>
  <c r="AP80" i="93"/>
  <c r="AQ80" i="93"/>
  <c r="AR80" i="93"/>
  <c r="AS80" i="93"/>
  <c r="AT80" i="93"/>
  <c r="AU80" i="93"/>
  <c r="AV80" i="93"/>
  <c r="AW80" i="93"/>
  <c r="AX80" i="93"/>
  <c r="AY80" i="93"/>
  <c r="AZ80" i="93"/>
  <c r="BA80" i="93"/>
  <c r="BB80" i="93"/>
  <c r="BC80" i="93"/>
  <c r="BD80" i="93"/>
  <c r="BE80" i="93"/>
  <c r="BF80" i="93"/>
  <c r="BG80" i="93"/>
  <c r="BH80" i="93"/>
  <c r="BI80" i="93"/>
  <c r="BJ80" i="93"/>
  <c r="BK80" i="93"/>
  <c r="BL80" i="93"/>
  <c r="BM80" i="93"/>
  <c r="BN80" i="93"/>
  <c r="BO80" i="93"/>
  <c r="BP80" i="93"/>
  <c r="BQ80" i="93"/>
  <c r="BR80" i="93"/>
  <c r="BS80" i="93"/>
  <c r="BT80" i="93"/>
  <c r="BU80" i="93"/>
  <c r="BV80" i="93"/>
  <c r="BW80" i="93"/>
  <c r="BX80" i="93"/>
  <c r="BY80" i="93"/>
  <c r="BZ80" i="93"/>
  <c r="CA80" i="93"/>
  <c r="CB80" i="93"/>
  <c r="CC80" i="93"/>
  <c r="CD80" i="93"/>
  <c r="CE80" i="93"/>
  <c r="CF80" i="93"/>
  <c r="CG80" i="93"/>
  <c r="CH80" i="93"/>
  <c r="CI80" i="93"/>
  <c r="CJ80" i="93"/>
  <c r="CK80" i="93"/>
  <c r="CL80" i="93"/>
  <c r="CM80" i="93"/>
  <c r="CN80" i="93"/>
  <c r="CO80" i="93"/>
  <c r="CP80" i="93"/>
  <c r="CQ80" i="93"/>
  <c r="CR80" i="93"/>
  <c r="CS80" i="93"/>
  <c r="CT80" i="93"/>
  <c r="CU80" i="93"/>
  <c r="CV80" i="93"/>
  <c r="CW80" i="93"/>
  <c r="J81" i="93"/>
  <c r="K81" i="93"/>
  <c r="L81" i="93"/>
  <c r="M81" i="93"/>
  <c r="N81" i="93"/>
  <c r="O81" i="93"/>
  <c r="P81" i="93"/>
  <c r="Q81" i="93"/>
  <c r="R81" i="93"/>
  <c r="S81" i="93"/>
  <c r="T81" i="93"/>
  <c r="U81" i="93"/>
  <c r="V81" i="93"/>
  <c r="W81" i="93"/>
  <c r="X81" i="93"/>
  <c r="Y81" i="93"/>
  <c r="Z81" i="93"/>
  <c r="AA81" i="93"/>
  <c r="AB81" i="93"/>
  <c r="AC81" i="93"/>
  <c r="AD81" i="93"/>
  <c r="AE81" i="93"/>
  <c r="AF81" i="93"/>
  <c r="AG81" i="93"/>
  <c r="AH81" i="93"/>
  <c r="AI81" i="93"/>
  <c r="AJ81" i="93"/>
  <c r="AK81" i="93"/>
  <c r="AL81" i="93"/>
  <c r="AM81" i="93"/>
  <c r="AN81" i="93"/>
  <c r="AO81" i="93"/>
  <c r="AP81" i="93"/>
  <c r="AQ81" i="93"/>
  <c r="AR81" i="93"/>
  <c r="AS81" i="93"/>
  <c r="AT81" i="93"/>
  <c r="AU81" i="93"/>
  <c r="AV81" i="93"/>
  <c r="AW81" i="93"/>
  <c r="AX81" i="93"/>
  <c r="AY81" i="93"/>
  <c r="AZ81" i="93"/>
  <c r="BA81" i="93"/>
  <c r="BB81" i="93"/>
  <c r="BC81" i="93"/>
  <c r="BD81" i="93"/>
  <c r="BE81" i="93"/>
  <c r="BF81" i="93"/>
  <c r="BG81" i="93"/>
  <c r="BH81" i="93"/>
  <c r="BI81" i="93"/>
  <c r="BJ81" i="93"/>
  <c r="BK81" i="93"/>
  <c r="BL81" i="93"/>
  <c r="BM81" i="93"/>
  <c r="BN81" i="93"/>
  <c r="BO81" i="93"/>
  <c r="BP81" i="93"/>
  <c r="BQ81" i="93"/>
  <c r="BR81" i="93"/>
  <c r="BS81" i="93"/>
  <c r="BT81" i="93"/>
  <c r="BU81" i="93"/>
  <c r="BV81" i="93"/>
  <c r="BW81" i="93"/>
  <c r="BX81" i="93"/>
  <c r="BY81" i="93"/>
  <c r="BZ81" i="93"/>
  <c r="CA81" i="93"/>
  <c r="CB81" i="93"/>
  <c r="CC81" i="93"/>
  <c r="CD81" i="93"/>
  <c r="CE81" i="93"/>
  <c r="CF81" i="93"/>
  <c r="CG81" i="93"/>
  <c r="CH81" i="93"/>
  <c r="CI81" i="93"/>
  <c r="CJ81" i="93"/>
  <c r="CK81" i="93"/>
  <c r="CL81" i="93"/>
  <c r="CM81" i="93"/>
  <c r="CN81" i="93"/>
  <c r="CO81" i="93"/>
  <c r="CP81" i="93"/>
  <c r="CQ81" i="93"/>
  <c r="CR81" i="93"/>
  <c r="CS81" i="93"/>
  <c r="CT81" i="93"/>
  <c r="CU81" i="93"/>
  <c r="CV81" i="93"/>
  <c r="CW81" i="93"/>
  <c r="J82" i="93"/>
  <c r="K82" i="93"/>
  <c r="L82" i="93"/>
  <c r="M82" i="93"/>
  <c r="N82" i="93"/>
  <c r="O82" i="93"/>
  <c r="P82" i="93"/>
  <c r="Q82" i="93"/>
  <c r="R82" i="93"/>
  <c r="S82" i="93"/>
  <c r="T82" i="93"/>
  <c r="U82" i="93"/>
  <c r="V82" i="93"/>
  <c r="W82" i="93"/>
  <c r="X82" i="93"/>
  <c r="Y82" i="93"/>
  <c r="Z82" i="93"/>
  <c r="AA82" i="93"/>
  <c r="AB82" i="93"/>
  <c r="AC82" i="93"/>
  <c r="AD82" i="93"/>
  <c r="AE82" i="93"/>
  <c r="AF82" i="93"/>
  <c r="AG82" i="93"/>
  <c r="AH82" i="93"/>
  <c r="AI82" i="93"/>
  <c r="AJ82" i="93"/>
  <c r="AK82" i="93"/>
  <c r="AL82" i="93"/>
  <c r="AM82" i="93"/>
  <c r="AN82" i="93"/>
  <c r="AO82" i="93"/>
  <c r="AP82" i="93"/>
  <c r="AQ82" i="93"/>
  <c r="AR82" i="93"/>
  <c r="AS82" i="93"/>
  <c r="AT82" i="93"/>
  <c r="AU82" i="93"/>
  <c r="AV82" i="93"/>
  <c r="AW82" i="93"/>
  <c r="AX82" i="93"/>
  <c r="AY82" i="93"/>
  <c r="AZ82" i="93"/>
  <c r="BA82" i="93"/>
  <c r="BB82" i="93"/>
  <c r="BC82" i="93"/>
  <c r="BD82" i="93"/>
  <c r="BE82" i="93"/>
  <c r="BF82" i="93"/>
  <c r="BG82" i="93"/>
  <c r="BH82" i="93"/>
  <c r="BI82" i="93"/>
  <c r="BJ82" i="93"/>
  <c r="BK82" i="93"/>
  <c r="BL82" i="93"/>
  <c r="BM82" i="93"/>
  <c r="BN82" i="93"/>
  <c r="BO82" i="93"/>
  <c r="BP82" i="93"/>
  <c r="BQ82" i="93"/>
  <c r="BR82" i="93"/>
  <c r="BS82" i="93"/>
  <c r="BT82" i="93"/>
  <c r="BU82" i="93"/>
  <c r="BV82" i="93"/>
  <c r="BW82" i="93"/>
  <c r="BX82" i="93"/>
  <c r="BY82" i="93"/>
  <c r="BZ82" i="93"/>
  <c r="CA82" i="93"/>
  <c r="CB82" i="93"/>
  <c r="CC82" i="93"/>
  <c r="CD82" i="93"/>
  <c r="CE82" i="93"/>
  <c r="CF82" i="93"/>
  <c r="CG82" i="93"/>
  <c r="CH82" i="93"/>
  <c r="CI82" i="93"/>
  <c r="CJ82" i="93"/>
  <c r="CK82" i="93"/>
  <c r="CL82" i="93"/>
  <c r="CM82" i="93"/>
  <c r="CN82" i="93"/>
  <c r="CO82" i="93"/>
  <c r="CP82" i="93"/>
  <c r="CQ82" i="93"/>
  <c r="CR82" i="93"/>
  <c r="CS82" i="93"/>
  <c r="CT82" i="93"/>
  <c r="CU82" i="93"/>
  <c r="CV82" i="93"/>
  <c r="CW82" i="93"/>
  <c r="J83" i="93"/>
  <c r="K83" i="93"/>
  <c r="L83" i="93"/>
  <c r="M83" i="93"/>
  <c r="N83" i="93"/>
  <c r="O83" i="93"/>
  <c r="P83" i="93"/>
  <c r="Q83" i="93"/>
  <c r="R83" i="93"/>
  <c r="S83" i="93"/>
  <c r="T83" i="93"/>
  <c r="U83" i="93"/>
  <c r="V83" i="93"/>
  <c r="W83" i="93"/>
  <c r="X83" i="93"/>
  <c r="Y83" i="93"/>
  <c r="Z83" i="93"/>
  <c r="AA83" i="93"/>
  <c r="AB83" i="93"/>
  <c r="AC83" i="93"/>
  <c r="AD83" i="93"/>
  <c r="AE83" i="93"/>
  <c r="AF83" i="93"/>
  <c r="AG83" i="93"/>
  <c r="AH83" i="93"/>
  <c r="AI83" i="93"/>
  <c r="AJ83" i="93"/>
  <c r="AK83" i="93"/>
  <c r="AL83" i="93"/>
  <c r="AM83" i="93"/>
  <c r="AN83" i="93"/>
  <c r="AO83" i="93"/>
  <c r="AP83" i="93"/>
  <c r="AQ83" i="93"/>
  <c r="AR83" i="93"/>
  <c r="AS83" i="93"/>
  <c r="AT83" i="93"/>
  <c r="AU83" i="93"/>
  <c r="AV83" i="93"/>
  <c r="AW83" i="93"/>
  <c r="AX83" i="93"/>
  <c r="AY83" i="93"/>
  <c r="AZ83" i="93"/>
  <c r="BA83" i="93"/>
  <c r="BB83" i="93"/>
  <c r="BC83" i="93"/>
  <c r="BD83" i="93"/>
  <c r="BE83" i="93"/>
  <c r="BF83" i="93"/>
  <c r="BG83" i="93"/>
  <c r="BH83" i="93"/>
  <c r="BI83" i="93"/>
  <c r="BJ83" i="93"/>
  <c r="BK83" i="93"/>
  <c r="BL83" i="93"/>
  <c r="BM83" i="93"/>
  <c r="BN83" i="93"/>
  <c r="BO83" i="93"/>
  <c r="BP83" i="93"/>
  <c r="BQ83" i="93"/>
  <c r="BR83" i="93"/>
  <c r="BS83" i="93"/>
  <c r="BT83" i="93"/>
  <c r="BU83" i="93"/>
  <c r="BV83" i="93"/>
  <c r="BW83" i="93"/>
  <c r="BX83" i="93"/>
  <c r="BY83" i="93"/>
  <c r="BZ83" i="93"/>
  <c r="CA83" i="93"/>
  <c r="CB83" i="93"/>
  <c r="CC83" i="93"/>
  <c r="CD83" i="93"/>
  <c r="CE83" i="93"/>
  <c r="CF83" i="93"/>
  <c r="CG83" i="93"/>
  <c r="CH83" i="93"/>
  <c r="CI83" i="93"/>
  <c r="CJ83" i="93"/>
  <c r="CK83" i="93"/>
  <c r="CL83" i="93"/>
  <c r="CM83" i="93"/>
  <c r="CN83" i="93"/>
  <c r="CO83" i="93"/>
  <c r="CP83" i="93"/>
  <c r="CQ83" i="93"/>
  <c r="CR83" i="93"/>
  <c r="CS83" i="93"/>
  <c r="CT83" i="93"/>
  <c r="CU83" i="93"/>
  <c r="CV83" i="93"/>
  <c r="CW83" i="93"/>
  <c r="J84" i="93"/>
  <c r="K84" i="93"/>
  <c r="L84" i="93"/>
  <c r="M84" i="93"/>
  <c r="N84" i="93"/>
  <c r="O84" i="93"/>
  <c r="P84" i="93"/>
  <c r="Q84" i="93"/>
  <c r="R84" i="93"/>
  <c r="S84" i="93"/>
  <c r="T84" i="93"/>
  <c r="U84" i="93"/>
  <c r="V84" i="93"/>
  <c r="W84" i="93"/>
  <c r="X84" i="93"/>
  <c r="Y84" i="93"/>
  <c r="Z84" i="93"/>
  <c r="AA84" i="93"/>
  <c r="AB84" i="93"/>
  <c r="AC84" i="93"/>
  <c r="AD84" i="93"/>
  <c r="AE84" i="93"/>
  <c r="AF84" i="93"/>
  <c r="AG84" i="93"/>
  <c r="AH84" i="93"/>
  <c r="AI84" i="93"/>
  <c r="AJ84" i="93"/>
  <c r="AK84" i="93"/>
  <c r="AL84" i="93"/>
  <c r="AM84" i="93"/>
  <c r="AN84" i="93"/>
  <c r="AO84" i="93"/>
  <c r="AP84" i="93"/>
  <c r="AQ84" i="93"/>
  <c r="AR84" i="93"/>
  <c r="AS84" i="93"/>
  <c r="AT84" i="93"/>
  <c r="AU84" i="93"/>
  <c r="AV84" i="93"/>
  <c r="AW84" i="93"/>
  <c r="AX84" i="93"/>
  <c r="AY84" i="93"/>
  <c r="AZ84" i="93"/>
  <c r="BA84" i="93"/>
  <c r="BB84" i="93"/>
  <c r="BC84" i="93"/>
  <c r="BD84" i="93"/>
  <c r="BE84" i="93"/>
  <c r="BF84" i="93"/>
  <c r="BG84" i="93"/>
  <c r="BH84" i="93"/>
  <c r="BI84" i="93"/>
  <c r="BJ84" i="93"/>
  <c r="BK84" i="93"/>
  <c r="BL84" i="93"/>
  <c r="BM84" i="93"/>
  <c r="BN84" i="93"/>
  <c r="BO84" i="93"/>
  <c r="BP84" i="93"/>
  <c r="BQ84" i="93"/>
  <c r="BR84" i="93"/>
  <c r="BS84" i="93"/>
  <c r="BT84" i="93"/>
  <c r="BU84" i="93"/>
  <c r="BV84" i="93"/>
  <c r="BW84" i="93"/>
  <c r="BX84" i="93"/>
  <c r="BY84" i="93"/>
  <c r="BZ84" i="93"/>
  <c r="CA84" i="93"/>
  <c r="CB84" i="93"/>
  <c r="CC84" i="93"/>
  <c r="CD84" i="93"/>
  <c r="CE84" i="93"/>
  <c r="CF84" i="93"/>
  <c r="CG84" i="93"/>
  <c r="CH84" i="93"/>
  <c r="CI84" i="93"/>
  <c r="CJ84" i="93"/>
  <c r="CK84" i="93"/>
  <c r="CL84" i="93"/>
  <c r="CM84" i="93"/>
  <c r="CN84" i="93"/>
  <c r="CO84" i="93"/>
  <c r="CP84" i="93"/>
  <c r="CQ84" i="93"/>
  <c r="CR84" i="93"/>
  <c r="CS84" i="93"/>
  <c r="CT84" i="93"/>
  <c r="CU84" i="93"/>
  <c r="CV84" i="93"/>
  <c r="CW84" i="93"/>
  <c r="J85" i="93"/>
  <c r="K85" i="93"/>
  <c r="L85" i="93"/>
  <c r="M85" i="93"/>
  <c r="N85" i="93"/>
  <c r="O85" i="93"/>
  <c r="P85" i="93"/>
  <c r="Q85" i="93"/>
  <c r="R85" i="93"/>
  <c r="S85" i="93"/>
  <c r="T85" i="93"/>
  <c r="U85" i="93"/>
  <c r="V85" i="93"/>
  <c r="W85" i="93"/>
  <c r="X85" i="93"/>
  <c r="Y85" i="93"/>
  <c r="Z85" i="93"/>
  <c r="AA85" i="93"/>
  <c r="AB85" i="93"/>
  <c r="AC85" i="93"/>
  <c r="AD85" i="93"/>
  <c r="AE85" i="93"/>
  <c r="AF85" i="93"/>
  <c r="AG85" i="93"/>
  <c r="AH85" i="93"/>
  <c r="AI85" i="93"/>
  <c r="AJ85" i="93"/>
  <c r="AK85" i="93"/>
  <c r="AL85" i="93"/>
  <c r="AM85" i="93"/>
  <c r="AN85" i="93"/>
  <c r="AO85" i="93"/>
  <c r="AP85" i="93"/>
  <c r="AQ85" i="93"/>
  <c r="AR85" i="93"/>
  <c r="AS85" i="93"/>
  <c r="AT85" i="93"/>
  <c r="AU85" i="93"/>
  <c r="AV85" i="93"/>
  <c r="AW85" i="93"/>
  <c r="AX85" i="93"/>
  <c r="AY85" i="93"/>
  <c r="AZ85" i="93"/>
  <c r="BA85" i="93"/>
  <c r="BB85" i="93"/>
  <c r="BC85" i="93"/>
  <c r="BD85" i="93"/>
  <c r="BE85" i="93"/>
  <c r="BF85" i="93"/>
  <c r="BG85" i="93"/>
  <c r="BH85" i="93"/>
  <c r="BI85" i="93"/>
  <c r="BJ85" i="93"/>
  <c r="BK85" i="93"/>
  <c r="BL85" i="93"/>
  <c r="BM85" i="93"/>
  <c r="BN85" i="93"/>
  <c r="BO85" i="93"/>
  <c r="BP85" i="93"/>
  <c r="BQ85" i="93"/>
  <c r="BR85" i="93"/>
  <c r="BS85" i="93"/>
  <c r="BT85" i="93"/>
  <c r="BU85" i="93"/>
  <c r="BV85" i="93"/>
  <c r="BW85" i="93"/>
  <c r="BX85" i="93"/>
  <c r="BY85" i="93"/>
  <c r="BZ85" i="93"/>
  <c r="CA85" i="93"/>
  <c r="CB85" i="93"/>
  <c r="CC85" i="93"/>
  <c r="CD85" i="93"/>
  <c r="CE85" i="93"/>
  <c r="CF85" i="93"/>
  <c r="CG85" i="93"/>
  <c r="CH85" i="93"/>
  <c r="CI85" i="93"/>
  <c r="CJ85" i="93"/>
  <c r="CK85" i="93"/>
  <c r="CL85" i="93"/>
  <c r="CM85" i="93"/>
  <c r="CN85" i="93"/>
  <c r="CO85" i="93"/>
  <c r="CP85" i="93"/>
  <c r="CQ85" i="93"/>
  <c r="CR85" i="93"/>
  <c r="CS85" i="93"/>
  <c r="CT85" i="93"/>
  <c r="CU85" i="93"/>
  <c r="CV85" i="93"/>
  <c r="CW85" i="93"/>
  <c r="J86" i="93"/>
  <c r="K86" i="93"/>
  <c r="L86" i="93"/>
  <c r="M86" i="93"/>
  <c r="N86" i="93"/>
  <c r="O86" i="93"/>
  <c r="P86" i="93"/>
  <c r="Q86" i="93"/>
  <c r="R86" i="93"/>
  <c r="S86" i="93"/>
  <c r="T86" i="93"/>
  <c r="U86" i="93"/>
  <c r="V86" i="93"/>
  <c r="W86" i="93"/>
  <c r="X86" i="93"/>
  <c r="Y86" i="93"/>
  <c r="Z86" i="93"/>
  <c r="AA86" i="93"/>
  <c r="AB86" i="93"/>
  <c r="AC86" i="93"/>
  <c r="AD86" i="93"/>
  <c r="AE86" i="93"/>
  <c r="AF86" i="93"/>
  <c r="AG86" i="93"/>
  <c r="AH86" i="93"/>
  <c r="AI86" i="93"/>
  <c r="AJ86" i="93"/>
  <c r="AK86" i="93"/>
  <c r="AL86" i="93"/>
  <c r="AM86" i="93"/>
  <c r="AN86" i="93"/>
  <c r="AO86" i="93"/>
  <c r="AP86" i="93"/>
  <c r="AQ86" i="93"/>
  <c r="AR86" i="93"/>
  <c r="AS86" i="93"/>
  <c r="AT86" i="93"/>
  <c r="AU86" i="93"/>
  <c r="AV86" i="93"/>
  <c r="AW86" i="93"/>
  <c r="AX86" i="93"/>
  <c r="AY86" i="93"/>
  <c r="AZ86" i="93"/>
  <c r="BA86" i="93"/>
  <c r="BB86" i="93"/>
  <c r="BC86" i="93"/>
  <c r="BD86" i="93"/>
  <c r="BE86" i="93"/>
  <c r="BF86" i="93"/>
  <c r="BG86" i="93"/>
  <c r="BH86" i="93"/>
  <c r="BI86" i="93"/>
  <c r="BJ86" i="93"/>
  <c r="BK86" i="93"/>
  <c r="BL86" i="93"/>
  <c r="BM86" i="93"/>
  <c r="BN86" i="93"/>
  <c r="BO86" i="93"/>
  <c r="BP86" i="93"/>
  <c r="BQ86" i="93"/>
  <c r="BR86" i="93"/>
  <c r="BS86" i="93"/>
  <c r="BT86" i="93"/>
  <c r="BU86" i="93"/>
  <c r="BV86" i="93"/>
  <c r="BW86" i="93"/>
  <c r="BX86" i="93"/>
  <c r="BY86" i="93"/>
  <c r="BZ86" i="93"/>
  <c r="CA86" i="93"/>
  <c r="CB86" i="93"/>
  <c r="CC86" i="93"/>
  <c r="CD86" i="93"/>
  <c r="CE86" i="93"/>
  <c r="CF86" i="93"/>
  <c r="CG86" i="93"/>
  <c r="CH86" i="93"/>
  <c r="CI86" i="93"/>
  <c r="CJ86" i="93"/>
  <c r="CK86" i="93"/>
  <c r="CL86" i="93"/>
  <c r="CM86" i="93"/>
  <c r="CN86" i="93"/>
  <c r="CO86" i="93"/>
  <c r="CP86" i="93"/>
  <c r="CQ86" i="93"/>
  <c r="CR86" i="93"/>
  <c r="CS86" i="93"/>
  <c r="CT86" i="93"/>
  <c r="CU86" i="93"/>
  <c r="CV86" i="93"/>
  <c r="CW86" i="93"/>
  <c r="J87" i="93"/>
  <c r="K87" i="93"/>
  <c r="L87" i="93"/>
  <c r="M87" i="93"/>
  <c r="N87" i="93"/>
  <c r="O87" i="93"/>
  <c r="P87" i="93"/>
  <c r="Q87" i="93"/>
  <c r="R87" i="93"/>
  <c r="S87" i="93"/>
  <c r="T87" i="93"/>
  <c r="U87" i="93"/>
  <c r="V87" i="93"/>
  <c r="W87" i="93"/>
  <c r="X87" i="93"/>
  <c r="Y87" i="93"/>
  <c r="Z87" i="93"/>
  <c r="AA87" i="93"/>
  <c r="AB87" i="93"/>
  <c r="AC87" i="93"/>
  <c r="AD87" i="93"/>
  <c r="AE87" i="93"/>
  <c r="AF87" i="93"/>
  <c r="AG87" i="93"/>
  <c r="AH87" i="93"/>
  <c r="AI87" i="93"/>
  <c r="AJ87" i="93"/>
  <c r="AK87" i="93"/>
  <c r="AL87" i="93"/>
  <c r="AM87" i="93"/>
  <c r="AN87" i="93"/>
  <c r="AO87" i="93"/>
  <c r="AP87" i="93"/>
  <c r="AQ87" i="93"/>
  <c r="AR87" i="93"/>
  <c r="AS87" i="93"/>
  <c r="AT87" i="93"/>
  <c r="AU87" i="93"/>
  <c r="AV87" i="93"/>
  <c r="AW87" i="93"/>
  <c r="AX87" i="93"/>
  <c r="AY87" i="93"/>
  <c r="AZ87" i="93"/>
  <c r="BA87" i="93"/>
  <c r="BB87" i="93"/>
  <c r="BC87" i="93"/>
  <c r="BD87" i="93"/>
  <c r="BE87" i="93"/>
  <c r="BF87" i="93"/>
  <c r="BG87" i="93"/>
  <c r="BH87" i="93"/>
  <c r="BI87" i="93"/>
  <c r="BJ87" i="93"/>
  <c r="BK87" i="93"/>
  <c r="BL87" i="93"/>
  <c r="BM87" i="93"/>
  <c r="BN87" i="93"/>
  <c r="BO87" i="93"/>
  <c r="BP87" i="93"/>
  <c r="BQ87" i="93"/>
  <c r="BR87" i="93"/>
  <c r="BS87" i="93"/>
  <c r="BT87" i="93"/>
  <c r="BU87" i="93"/>
  <c r="BV87" i="93"/>
  <c r="BW87" i="93"/>
  <c r="BX87" i="93"/>
  <c r="BY87" i="93"/>
  <c r="BZ87" i="93"/>
  <c r="CA87" i="93"/>
  <c r="CB87" i="93"/>
  <c r="CC87" i="93"/>
  <c r="CD87" i="93"/>
  <c r="CE87" i="93"/>
  <c r="CF87" i="93"/>
  <c r="CG87" i="93"/>
  <c r="CH87" i="93"/>
  <c r="CI87" i="93"/>
  <c r="CJ87" i="93"/>
  <c r="CK87" i="93"/>
  <c r="CL87" i="93"/>
  <c r="CM87" i="93"/>
  <c r="CN87" i="93"/>
  <c r="CO87" i="93"/>
  <c r="CP87" i="93"/>
  <c r="CQ87" i="93"/>
  <c r="CR87" i="93"/>
  <c r="CS87" i="93"/>
  <c r="CT87" i="93"/>
  <c r="CU87" i="93"/>
  <c r="CV87" i="93"/>
  <c r="CW87" i="93"/>
  <c r="J88" i="93"/>
  <c r="K88" i="93"/>
  <c r="L88" i="93"/>
  <c r="M88" i="93"/>
  <c r="N88" i="93"/>
  <c r="O88" i="93"/>
  <c r="P88" i="93"/>
  <c r="Q88" i="93"/>
  <c r="R88" i="93"/>
  <c r="S88" i="93"/>
  <c r="T88" i="93"/>
  <c r="U88" i="93"/>
  <c r="V88" i="93"/>
  <c r="W88" i="93"/>
  <c r="X88" i="93"/>
  <c r="Y88" i="93"/>
  <c r="Z88" i="93"/>
  <c r="AA88" i="93"/>
  <c r="AB88" i="93"/>
  <c r="AC88" i="93"/>
  <c r="AD88" i="93"/>
  <c r="AE88" i="93"/>
  <c r="AF88" i="93"/>
  <c r="AG88" i="93"/>
  <c r="AH88" i="93"/>
  <c r="AI88" i="93"/>
  <c r="AJ88" i="93"/>
  <c r="AK88" i="93"/>
  <c r="AL88" i="93"/>
  <c r="AM88" i="93"/>
  <c r="AN88" i="93"/>
  <c r="AO88" i="93"/>
  <c r="AP88" i="93"/>
  <c r="AQ88" i="93"/>
  <c r="AR88" i="93"/>
  <c r="AS88" i="93"/>
  <c r="AT88" i="93"/>
  <c r="AU88" i="93"/>
  <c r="AV88" i="93"/>
  <c r="AW88" i="93"/>
  <c r="AX88" i="93"/>
  <c r="AY88" i="93"/>
  <c r="AZ88" i="93"/>
  <c r="BA88" i="93"/>
  <c r="BB88" i="93"/>
  <c r="BC88" i="93"/>
  <c r="BD88" i="93"/>
  <c r="BE88" i="93"/>
  <c r="BF88" i="93"/>
  <c r="BG88" i="93"/>
  <c r="BH88" i="93"/>
  <c r="BI88" i="93"/>
  <c r="BJ88" i="93"/>
  <c r="BK88" i="93"/>
  <c r="BL88" i="93"/>
  <c r="BM88" i="93"/>
  <c r="BN88" i="93"/>
  <c r="BO88" i="93"/>
  <c r="BP88" i="93"/>
  <c r="BQ88" i="93"/>
  <c r="BR88" i="93"/>
  <c r="BS88" i="93"/>
  <c r="BT88" i="93"/>
  <c r="BU88" i="93"/>
  <c r="BV88" i="93"/>
  <c r="BW88" i="93"/>
  <c r="BX88" i="93"/>
  <c r="BY88" i="93"/>
  <c r="BZ88" i="93"/>
  <c r="CA88" i="93"/>
  <c r="CB88" i="93"/>
  <c r="CC88" i="93"/>
  <c r="CD88" i="93"/>
  <c r="CE88" i="93"/>
  <c r="CF88" i="93"/>
  <c r="CG88" i="93"/>
  <c r="CH88" i="93"/>
  <c r="CI88" i="93"/>
  <c r="CJ88" i="93"/>
  <c r="CK88" i="93"/>
  <c r="CL88" i="93"/>
  <c r="CM88" i="93"/>
  <c r="CN88" i="93"/>
  <c r="CO88" i="93"/>
  <c r="CP88" i="93"/>
  <c r="CQ88" i="93"/>
  <c r="CR88" i="93"/>
  <c r="CS88" i="93"/>
  <c r="CT88" i="93"/>
  <c r="CU88" i="93"/>
  <c r="CV88" i="93"/>
  <c r="CW88" i="93"/>
  <c r="J89" i="93"/>
  <c r="K89" i="93"/>
  <c r="L89" i="93"/>
  <c r="M89" i="93"/>
  <c r="N89" i="93"/>
  <c r="O89" i="93"/>
  <c r="P89" i="93"/>
  <c r="Q89" i="93"/>
  <c r="R89" i="93"/>
  <c r="S89" i="93"/>
  <c r="T89" i="93"/>
  <c r="U89" i="93"/>
  <c r="V89" i="93"/>
  <c r="W89" i="93"/>
  <c r="X89" i="93"/>
  <c r="Y89" i="93"/>
  <c r="Z89" i="93"/>
  <c r="AA89" i="93"/>
  <c r="AB89" i="93"/>
  <c r="AC89" i="93"/>
  <c r="AD89" i="93"/>
  <c r="AE89" i="93"/>
  <c r="AF89" i="93"/>
  <c r="AG89" i="93"/>
  <c r="AH89" i="93"/>
  <c r="AI89" i="93"/>
  <c r="AJ89" i="93"/>
  <c r="AK89" i="93"/>
  <c r="AL89" i="93"/>
  <c r="AM89" i="93"/>
  <c r="AN89" i="93"/>
  <c r="AO89" i="93"/>
  <c r="AP89" i="93"/>
  <c r="AQ89" i="93"/>
  <c r="AR89" i="93"/>
  <c r="AS89" i="93"/>
  <c r="AT89" i="93"/>
  <c r="AU89" i="93"/>
  <c r="AV89" i="93"/>
  <c r="AW89" i="93"/>
  <c r="AX89" i="93"/>
  <c r="AY89" i="93"/>
  <c r="AZ89" i="93"/>
  <c r="BA89" i="93"/>
  <c r="BB89" i="93"/>
  <c r="BC89" i="93"/>
  <c r="BD89" i="93"/>
  <c r="BE89" i="93"/>
  <c r="BF89" i="93"/>
  <c r="BG89" i="93"/>
  <c r="BH89" i="93"/>
  <c r="BI89" i="93"/>
  <c r="BJ89" i="93"/>
  <c r="BK89" i="93"/>
  <c r="BL89" i="93"/>
  <c r="BM89" i="93"/>
  <c r="BN89" i="93"/>
  <c r="BO89" i="93"/>
  <c r="BP89" i="93"/>
  <c r="BQ89" i="93"/>
  <c r="BR89" i="93"/>
  <c r="BS89" i="93"/>
  <c r="BT89" i="93"/>
  <c r="BU89" i="93"/>
  <c r="BV89" i="93"/>
  <c r="BW89" i="93"/>
  <c r="BX89" i="93"/>
  <c r="BY89" i="93"/>
  <c r="BZ89" i="93"/>
  <c r="CA89" i="93"/>
  <c r="CB89" i="93"/>
  <c r="CC89" i="93"/>
  <c r="CD89" i="93"/>
  <c r="CE89" i="93"/>
  <c r="CF89" i="93"/>
  <c r="CG89" i="93"/>
  <c r="CH89" i="93"/>
  <c r="CI89" i="93"/>
  <c r="CJ89" i="93"/>
  <c r="CK89" i="93"/>
  <c r="CL89" i="93"/>
  <c r="CM89" i="93"/>
  <c r="CN89" i="93"/>
  <c r="CO89" i="93"/>
  <c r="CP89" i="93"/>
  <c r="CQ89" i="93"/>
  <c r="CR89" i="93"/>
  <c r="CS89" i="93"/>
  <c r="CT89" i="93"/>
  <c r="CU89" i="93"/>
  <c r="CV89" i="93"/>
  <c r="CW89" i="93"/>
  <c r="J90" i="93"/>
  <c r="K90" i="93"/>
  <c r="L90" i="93"/>
  <c r="M90" i="93"/>
  <c r="N90" i="93"/>
  <c r="O90" i="93"/>
  <c r="P90" i="93"/>
  <c r="Q90" i="93"/>
  <c r="R90" i="93"/>
  <c r="S90" i="93"/>
  <c r="T90" i="93"/>
  <c r="U90" i="93"/>
  <c r="V90" i="93"/>
  <c r="W90" i="93"/>
  <c r="X90" i="93"/>
  <c r="Y90" i="93"/>
  <c r="Z90" i="93"/>
  <c r="AA90" i="93"/>
  <c r="AB90" i="93"/>
  <c r="AC90" i="93"/>
  <c r="AD90" i="93"/>
  <c r="AE90" i="93"/>
  <c r="AF90" i="93"/>
  <c r="AG90" i="93"/>
  <c r="AH90" i="93"/>
  <c r="AI90" i="93"/>
  <c r="AJ90" i="93"/>
  <c r="AK90" i="93"/>
  <c r="AL90" i="93"/>
  <c r="AM90" i="93"/>
  <c r="AN90" i="93"/>
  <c r="AO90" i="93"/>
  <c r="AP90" i="93"/>
  <c r="AQ90" i="93"/>
  <c r="AR90" i="93"/>
  <c r="AS90" i="93"/>
  <c r="AT90" i="93"/>
  <c r="AU90" i="93"/>
  <c r="AV90" i="93"/>
  <c r="AW90" i="93"/>
  <c r="AX90" i="93"/>
  <c r="AY90" i="93"/>
  <c r="AZ90" i="93"/>
  <c r="BA90" i="93"/>
  <c r="BB90" i="93"/>
  <c r="BC90" i="93"/>
  <c r="BD90" i="93"/>
  <c r="BE90" i="93"/>
  <c r="BF90" i="93"/>
  <c r="BG90" i="93"/>
  <c r="BH90" i="93"/>
  <c r="BI90" i="93"/>
  <c r="BJ90" i="93"/>
  <c r="BK90" i="93"/>
  <c r="BL90" i="93"/>
  <c r="BM90" i="93"/>
  <c r="BN90" i="93"/>
  <c r="BO90" i="93"/>
  <c r="BP90" i="93"/>
  <c r="BQ90" i="93"/>
  <c r="BR90" i="93"/>
  <c r="BS90" i="93"/>
  <c r="BT90" i="93"/>
  <c r="BU90" i="93"/>
  <c r="BV90" i="93"/>
  <c r="BW90" i="93"/>
  <c r="BX90" i="93"/>
  <c r="BY90" i="93"/>
  <c r="BZ90" i="93"/>
  <c r="CA90" i="93"/>
  <c r="CB90" i="93"/>
  <c r="CC90" i="93"/>
  <c r="CD90" i="93"/>
  <c r="CE90" i="93"/>
  <c r="CF90" i="93"/>
  <c r="CG90" i="93"/>
  <c r="CH90" i="93"/>
  <c r="CI90" i="93"/>
  <c r="CJ90" i="93"/>
  <c r="CK90" i="93"/>
  <c r="CL90" i="93"/>
  <c r="CM90" i="93"/>
  <c r="CN90" i="93"/>
  <c r="CO90" i="93"/>
  <c r="CP90" i="93"/>
  <c r="CQ90" i="93"/>
  <c r="CR90" i="93"/>
  <c r="CS90" i="93"/>
  <c r="CT90" i="93"/>
  <c r="CU90" i="93"/>
  <c r="CV90" i="93"/>
  <c r="CW90" i="93"/>
  <c r="J91" i="93"/>
  <c r="K91" i="93"/>
  <c r="L91" i="93"/>
  <c r="M91" i="93"/>
  <c r="N91" i="93"/>
  <c r="O91" i="93"/>
  <c r="P91" i="93"/>
  <c r="Q91" i="93"/>
  <c r="R91" i="93"/>
  <c r="S91" i="93"/>
  <c r="T91" i="93"/>
  <c r="U91" i="93"/>
  <c r="V91" i="93"/>
  <c r="W91" i="93"/>
  <c r="X91" i="93"/>
  <c r="Y91" i="93"/>
  <c r="Z91" i="93"/>
  <c r="AA91" i="93"/>
  <c r="AB91" i="93"/>
  <c r="AC91" i="93"/>
  <c r="AD91" i="93"/>
  <c r="AE91" i="93"/>
  <c r="AF91" i="93"/>
  <c r="AG91" i="93"/>
  <c r="AH91" i="93"/>
  <c r="AI91" i="93"/>
  <c r="AJ91" i="93"/>
  <c r="AK91" i="93"/>
  <c r="AL91" i="93"/>
  <c r="AM91" i="93"/>
  <c r="AN91" i="93"/>
  <c r="AO91" i="93"/>
  <c r="AP91" i="93"/>
  <c r="AQ91" i="93"/>
  <c r="AR91" i="93"/>
  <c r="AS91" i="93"/>
  <c r="AT91" i="93"/>
  <c r="AU91" i="93"/>
  <c r="AV91" i="93"/>
  <c r="AW91" i="93"/>
  <c r="AX91" i="93"/>
  <c r="AY91" i="93"/>
  <c r="AZ91" i="93"/>
  <c r="BA91" i="93"/>
  <c r="BB91" i="93"/>
  <c r="BC91" i="93"/>
  <c r="BD91" i="93"/>
  <c r="BE91" i="93"/>
  <c r="BF91" i="93"/>
  <c r="BG91" i="93"/>
  <c r="BH91" i="93"/>
  <c r="BI91" i="93"/>
  <c r="BJ91" i="93"/>
  <c r="BK91" i="93"/>
  <c r="BL91" i="93"/>
  <c r="BM91" i="93"/>
  <c r="BN91" i="93"/>
  <c r="BO91" i="93"/>
  <c r="BP91" i="93"/>
  <c r="BQ91" i="93"/>
  <c r="BR91" i="93"/>
  <c r="BS91" i="93"/>
  <c r="BT91" i="93"/>
  <c r="BU91" i="93"/>
  <c r="BV91" i="93"/>
  <c r="BW91" i="93"/>
  <c r="BX91" i="93"/>
  <c r="BY91" i="93"/>
  <c r="BZ91" i="93"/>
  <c r="CA91" i="93"/>
  <c r="CB91" i="93"/>
  <c r="CC91" i="93"/>
  <c r="CD91" i="93"/>
  <c r="CE91" i="93"/>
  <c r="CF91" i="93"/>
  <c r="CG91" i="93"/>
  <c r="CH91" i="93"/>
  <c r="CI91" i="93"/>
  <c r="CJ91" i="93"/>
  <c r="CK91" i="93"/>
  <c r="CL91" i="93"/>
  <c r="CM91" i="93"/>
  <c r="CN91" i="93"/>
  <c r="CO91" i="93"/>
  <c r="CP91" i="93"/>
  <c r="CQ91" i="93"/>
  <c r="CR91" i="93"/>
  <c r="CS91" i="93"/>
  <c r="CT91" i="93"/>
  <c r="CU91" i="93"/>
  <c r="CV91" i="93"/>
  <c r="CW91" i="93"/>
  <c r="J92" i="93"/>
  <c r="K92" i="93"/>
  <c r="L92" i="93"/>
  <c r="M92" i="93"/>
  <c r="N92" i="93"/>
  <c r="O92" i="93"/>
  <c r="P92" i="93"/>
  <c r="Q92" i="93"/>
  <c r="R92" i="93"/>
  <c r="S92" i="93"/>
  <c r="T92" i="93"/>
  <c r="U92" i="93"/>
  <c r="V92" i="93"/>
  <c r="W92" i="93"/>
  <c r="X92" i="93"/>
  <c r="Y92" i="93"/>
  <c r="Z92" i="93"/>
  <c r="AA92" i="93"/>
  <c r="AB92" i="93"/>
  <c r="AC92" i="93"/>
  <c r="AD92" i="93"/>
  <c r="AE92" i="93"/>
  <c r="AF92" i="93"/>
  <c r="AG92" i="93"/>
  <c r="AH92" i="93"/>
  <c r="AI92" i="93"/>
  <c r="AJ92" i="93"/>
  <c r="AK92" i="93"/>
  <c r="AL92" i="93"/>
  <c r="AM92" i="93"/>
  <c r="AN92" i="93"/>
  <c r="AO92" i="93"/>
  <c r="AP92" i="93"/>
  <c r="AQ92" i="93"/>
  <c r="AR92" i="93"/>
  <c r="AS92" i="93"/>
  <c r="AT92" i="93"/>
  <c r="AU92" i="93"/>
  <c r="AV92" i="93"/>
  <c r="AW92" i="93"/>
  <c r="AX92" i="93"/>
  <c r="AY92" i="93"/>
  <c r="AZ92" i="93"/>
  <c r="BA92" i="93"/>
  <c r="BB92" i="93"/>
  <c r="BC92" i="93"/>
  <c r="BD92" i="93"/>
  <c r="BE92" i="93"/>
  <c r="BF92" i="93"/>
  <c r="BG92" i="93"/>
  <c r="BH92" i="93"/>
  <c r="BI92" i="93"/>
  <c r="BJ92" i="93"/>
  <c r="BK92" i="93"/>
  <c r="BL92" i="93"/>
  <c r="BM92" i="93"/>
  <c r="BN92" i="93"/>
  <c r="BO92" i="93"/>
  <c r="BP92" i="93"/>
  <c r="BQ92" i="93"/>
  <c r="BR92" i="93"/>
  <c r="BS92" i="93"/>
  <c r="BT92" i="93"/>
  <c r="BU92" i="93"/>
  <c r="BV92" i="93"/>
  <c r="BW92" i="93"/>
  <c r="BX92" i="93"/>
  <c r="BY92" i="93"/>
  <c r="BZ92" i="93"/>
  <c r="CA92" i="93"/>
  <c r="CB92" i="93"/>
  <c r="CC92" i="93"/>
  <c r="CD92" i="93"/>
  <c r="CE92" i="93"/>
  <c r="CF92" i="93"/>
  <c r="CG92" i="93"/>
  <c r="CH92" i="93"/>
  <c r="CI92" i="93"/>
  <c r="CJ92" i="93"/>
  <c r="CK92" i="93"/>
  <c r="CL92" i="93"/>
  <c r="CM92" i="93"/>
  <c r="CN92" i="93"/>
  <c r="CO92" i="93"/>
  <c r="CP92" i="93"/>
  <c r="CQ92" i="93"/>
  <c r="CR92" i="93"/>
  <c r="CS92" i="93"/>
  <c r="CT92" i="93"/>
  <c r="CU92" i="93"/>
  <c r="CV92" i="93"/>
  <c r="CW92" i="93"/>
  <c r="J93" i="93"/>
  <c r="K93" i="93"/>
  <c r="L93" i="93"/>
  <c r="M93" i="93"/>
  <c r="N93" i="93"/>
  <c r="O93" i="93"/>
  <c r="P93" i="93"/>
  <c r="Q93" i="93"/>
  <c r="R93" i="93"/>
  <c r="S93" i="93"/>
  <c r="T93" i="93"/>
  <c r="U93" i="93"/>
  <c r="V93" i="93"/>
  <c r="W93" i="93"/>
  <c r="X93" i="93"/>
  <c r="Y93" i="93"/>
  <c r="Z93" i="93"/>
  <c r="AA93" i="93"/>
  <c r="AB93" i="93"/>
  <c r="AC93" i="93"/>
  <c r="AD93" i="93"/>
  <c r="AE93" i="93"/>
  <c r="AF93" i="93"/>
  <c r="AG93" i="93"/>
  <c r="AH93" i="93"/>
  <c r="AI93" i="93"/>
  <c r="AJ93" i="93"/>
  <c r="AK93" i="93"/>
  <c r="AL93" i="93"/>
  <c r="AM93" i="93"/>
  <c r="AN93" i="93"/>
  <c r="AO93" i="93"/>
  <c r="AP93" i="93"/>
  <c r="AQ93" i="93"/>
  <c r="AR93" i="93"/>
  <c r="AS93" i="93"/>
  <c r="AT93" i="93"/>
  <c r="AU93" i="93"/>
  <c r="AV93" i="93"/>
  <c r="AW93" i="93"/>
  <c r="AX93" i="93"/>
  <c r="AY93" i="93"/>
  <c r="AZ93" i="93"/>
  <c r="BA93" i="93"/>
  <c r="BB93" i="93"/>
  <c r="BC93" i="93"/>
  <c r="BD93" i="93"/>
  <c r="BE93" i="93"/>
  <c r="BF93" i="93"/>
  <c r="BG93" i="93"/>
  <c r="BH93" i="93"/>
  <c r="BI93" i="93"/>
  <c r="BJ93" i="93"/>
  <c r="BK93" i="93"/>
  <c r="BL93" i="93"/>
  <c r="BM93" i="93"/>
  <c r="BN93" i="93"/>
  <c r="BO93" i="93"/>
  <c r="BP93" i="93"/>
  <c r="BQ93" i="93"/>
  <c r="BR93" i="93"/>
  <c r="BS93" i="93"/>
  <c r="BT93" i="93"/>
  <c r="BU93" i="93"/>
  <c r="BV93" i="93"/>
  <c r="BW93" i="93"/>
  <c r="BX93" i="93"/>
  <c r="BY93" i="93"/>
  <c r="BZ93" i="93"/>
  <c r="CA93" i="93"/>
  <c r="CB93" i="93"/>
  <c r="CC93" i="93"/>
  <c r="CD93" i="93"/>
  <c r="CE93" i="93"/>
  <c r="CF93" i="93"/>
  <c r="CG93" i="93"/>
  <c r="CH93" i="93"/>
  <c r="CI93" i="93"/>
  <c r="CJ93" i="93"/>
  <c r="CK93" i="93"/>
  <c r="CL93" i="93"/>
  <c r="CM93" i="93"/>
  <c r="CN93" i="93"/>
  <c r="CO93" i="93"/>
  <c r="CP93" i="93"/>
  <c r="CQ93" i="93"/>
  <c r="CR93" i="93"/>
  <c r="CS93" i="93"/>
  <c r="CT93" i="93"/>
  <c r="CU93" i="93"/>
  <c r="CV93" i="93"/>
  <c r="CW93" i="93"/>
  <c r="J94" i="93"/>
  <c r="K94" i="93"/>
  <c r="L94" i="93"/>
  <c r="M94" i="93"/>
  <c r="N94" i="93"/>
  <c r="O94" i="93"/>
  <c r="P94" i="93"/>
  <c r="Q94" i="93"/>
  <c r="R94" i="93"/>
  <c r="S94" i="93"/>
  <c r="T94" i="93"/>
  <c r="U94" i="93"/>
  <c r="V94" i="93"/>
  <c r="W94" i="93"/>
  <c r="X94" i="93"/>
  <c r="Y94" i="93"/>
  <c r="Z94" i="93"/>
  <c r="AA94" i="93"/>
  <c r="AB94" i="93"/>
  <c r="AC94" i="93"/>
  <c r="AD94" i="93"/>
  <c r="AE94" i="93"/>
  <c r="AF94" i="93"/>
  <c r="AG94" i="93"/>
  <c r="AH94" i="93"/>
  <c r="AI94" i="93"/>
  <c r="AJ94" i="93"/>
  <c r="AK94" i="93"/>
  <c r="AL94" i="93"/>
  <c r="AM94" i="93"/>
  <c r="AN94" i="93"/>
  <c r="AO94" i="93"/>
  <c r="AP94" i="93"/>
  <c r="AQ94" i="93"/>
  <c r="AR94" i="93"/>
  <c r="AS94" i="93"/>
  <c r="AT94" i="93"/>
  <c r="AU94" i="93"/>
  <c r="AV94" i="93"/>
  <c r="AW94" i="93"/>
  <c r="AX94" i="93"/>
  <c r="AY94" i="93"/>
  <c r="AZ94" i="93"/>
  <c r="BA94" i="93"/>
  <c r="BB94" i="93"/>
  <c r="BC94" i="93"/>
  <c r="BD94" i="93"/>
  <c r="BE94" i="93"/>
  <c r="BF94" i="93"/>
  <c r="BG94" i="93"/>
  <c r="BH94" i="93"/>
  <c r="BI94" i="93"/>
  <c r="BJ94" i="93"/>
  <c r="BK94" i="93"/>
  <c r="BL94" i="93"/>
  <c r="BM94" i="93"/>
  <c r="BN94" i="93"/>
  <c r="BO94" i="93"/>
  <c r="BP94" i="93"/>
  <c r="BQ94" i="93"/>
  <c r="BR94" i="93"/>
  <c r="BS94" i="93"/>
  <c r="BT94" i="93"/>
  <c r="BU94" i="93"/>
  <c r="BV94" i="93"/>
  <c r="BW94" i="93"/>
  <c r="BX94" i="93"/>
  <c r="BY94" i="93"/>
  <c r="BZ94" i="93"/>
  <c r="CA94" i="93"/>
  <c r="CB94" i="93"/>
  <c r="CC94" i="93"/>
  <c r="CD94" i="93"/>
  <c r="CE94" i="93"/>
  <c r="CF94" i="93"/>
  <c r="CG94" i="93"/>
  <c r="CH94" i="93"/>
  <c r="CI94" i="93"/>
  <c r="CJ94" i="93"/>
  <c r="CK94" i="93"/>
  <c r="CL94" i="93"/>
  <c r="CM94" i="93"/>
  <c r="CN94" i="93"/>
  <c r="CO94" i="93"/>
  <c r="CP94" i="93"/>
  <c r="CQ94" i="93"/>
  <c r="CR94" i="93"/>
  <c r="CS94" i="93"/>
  <c r="CT94" i="93"/>
  <c r="CU94" i="93"/>
  <c r="CV94" i="93"/>
  <c r="CW94" i="93"/>
  <c r="J95" i="93"/>
  <c r="K95" i="93"/>
  <c r="L95" i="93"/>
  <c r="M95" i="93"/>
  <c r="N95" i="93"/>
  <c r="O95" i="93"/>
  <c r="P95" i="93"/>
  <c r="Q95" i="93"/>
  <c r="R95" i="93"/>
  <c r="S95" i="93"/>
  <c r="T95" i="93"/>
  <c r="U95" i="93"/>
  <c r="V95" i="93"/>
  <c r="W95" i="93"/>
  <c r="X95" i="93"/>
  <c r="Y95" i="93"/>
  <c r="Z95" i="93"/>
  <c r="AA95" i="93"/>
  <c r="AB95" i="93"/>
  <c r="AC95" i="93"/>
  <c r="AD95" i="93"/>
  <c r="AE95" i="93"/>
  <c r="AF95" i="93"/>
  <c r="AG95" i="93"/>
  <c r="AH95" i="93"/>
  <c r="AI95" i="93"/>
  <c r="AJ95" i="93"/>
  <c r="AK95" i="93"/>
  <c r="AL95" i="93"/>
  <c r="AM95" i="93"/>
  <c r="AN95" i="93"/>
  <c r="AO95" i="93"/>
  <c r="AP95" i="93"/>
  <c r="AQ95" i="93"/>
  <c r="AR95" i="93"/>
  <c r="AS95" i="93"/>
  <c r="AT95" i="93"/>
  <c r="AU95" i="93"/>
  <c r="AV95" i="93"/>
  <c r="AW95" i="93"/>
  <c r="AX95" i="93"/>
  <c r="AY95" i="93"/>
  <c r="AZ95" i="93"/>
  <c r="BA95" i="93"/>
  <c r="BB95" i="93"/>
  <c r="BC95" i="93"/>
  <c r="BD95" i="93"/>
  <c r="BE95" i="93"/>
  <c r="BF95" i="93"/>
  <c r="BG95" i="93"/>
  <c r="BH95" i="93"/>
  <c r="BI95" i="93"/>
  <c r="BJ95" i="93"/>
  <c r="BK95" i="93"/>
  <c r="BL95" i="93"/>
  <c r="BM95" i="93"/>
  <c r="BN95" i="93"/>
  <c r="BO95" i="93"/>
  <c r="BP95" i="93"/>
  <c r="BQ95" i="93"/>
  <c r="BR95" i="93"/>
  <c r="BS95" i="93"/>
  <c r="BT95" i="93"/>
  <c r="BU95" i="93"/>
  <c r="BV95" i="93"/>
  <c r="BW95" i="93"/>
  <c r="BX95" i="93"/>
  <c r="BY95" i="93"/>
  <c r="BZ95" i="93"/>
  <c r="CA95" i="93"/>
  <c r="CB95" i="93"/>
  <c r="CC95" i="93"/>
  <c r="CD95" i="93"/>
  <c r="CE95" i="93"/>
  <c r="CF95" i="93"/>
  <c r="CG95" i="93"/>
  <c r="CH95" i="93"/>
  <c r="CI95" i="93"/>
  <c r="CJ95" i="93"/>
  <c r="CK95" i="93"/>
  <c r="CL95" i="93"/>
  <c r="CM95" i="93"/>
  <c r="CN95" i="93"/>
  <c r="CO95" i="93"/>
  <c r="CP95" i="93"/>
  <c r="CQ95" i="93"/>
  <c r="CR95" i="93"/>
  <c r="CS95" i="93"/>
  <c r="CT95" i="93"/>
  <c r="CU95" i="93"/>
  <c r="CV95" i="93"/>
  <c r="CW95" i="93"/>
  <c r="J96" i="93"/>
  <c r="K96" i="93"/>
  <c r="L96" i="93"/>
  <c r="M96" i="93"/>
  <c r="N96" i="93"/>
  <c r="O96" i="93"/>
  <c r="P96" i="93"/>
  <c r="Q96" i="93"/>
  <c r="R96" i="93"/>
  <c r="S96" i="93"/>
  <c r="T96" i="93"/>
  <c r="U96" i="93"/>
  <c r="V96" i="93"/>
  <c r="W96" i="93"/>
  <c r="X96" i="93"/>
  <c r="Y96" i="93"/>
  <c r="Z96" i="93"/>
  <c r="AA96" i="93"/>
  <c r="AB96" i="93"/>
  <c r="AC96" i="93"/>
  <c r="AD96" i="93"/>
  <c r="AE96" i="93"/>
  <c r="AF96" i="93"/>
  <c r="AG96" i="93"/>
  <c r="AH96" i="93"/>
  <c r="AI96" i="93"/>
  <c r="AJ96" i="93"/>
  <c r="AK96" i="93"/>
  <c r="AL96" i="93"/>
  <c r="AM96" i="93"/>
  <c r="AN96" i="93"/>
  <c r="AO96" i="93"/>
  <c r="AP96" i="93"/>
  <c r="AQ96" i="93"/>
  <c r="AR96" i="93"/>
  <c r="AS96" i="93"/>
  <c r="AT96" i="93"/>
  <c r="AU96" i="93"/>
  <c r="AV96" i="93"/>
  <c r="AW96" i="93"/>
  <c r="AX96" i="93"/>
  <c r="AY96" i="93"/>
  <c r="AZ96" i="93"/>
  <c r="BA96" i="93"/>
  <c r="BB96" i="93"/>
  <c r="BC96" i="93"/>
  <c r="BD96" i="93"/>
  <c r="BE96" i="93"/>
  <c r="BF96" i="93"/>
  <c r="BG96" i="93"/>
  <c r="BH96" i="93"/>
  <c r="BI96" i="93"/>
  <c r="BJ96" i="93"/>
  <c r="BK96" i="93"/>
  <c r="BL96" i="93"/>
  <c r="BM96" i="93"/>
  <c r="BN96" i="93"/>
  <c r="BO96" i="93"/>
  <c r="BP96" i="93"/>
  <c r="BQ96" i="93"/>
  <c r="BR96" i="93"/>
  <c r="BS96" i="93"/>
  <c r="BT96" i="93"/>
  <c r="BU96" i="93"/>
  <c r="BV96" i="93"/>
  <c r="BW96" i="93"/>
  <c r="BX96" i="93"/>
  <c r="BY96" i="93"/>
  <c r="BZ96" i="93"/>
  <c r="CA96" i="93"/>
  <c r="CB96" i="93"/>
  <c r="CC96" i="93"/>
  <c r="CD96" i="93"/>
  <c r="CE96" i="93"/>
  <c r="CF96" i="93"/>
  <c r="CG96" i="93"/>
  <c r="CH96" i="93"/>
  <c r="CI96" i="93"/>
  <c r="CJ96" i="93"/>
  <c r="CK96" i="93"/>
  <c r="CL96" i="93"/>
  <c r="CM96" i="93"/>
  <c r="CN96" i="93"/>
  <c r="CO96" i="93"/>
  <c r="CP96" i="93"/>
  <c r="CQ96" i="93"/>
  <c r="CR96" i="93"/>
  <c r="CS96" i="93"/>
  <c r="CT96" i="93"/>
  <c r="CU96" i="93"/>
  <c r="CV96" i="93"/>
  <c r="CW96" i="93"/>
  <c r="J97" i="93"/>
  <c r="K97" i="93"/>
  <c r="L97" i="93"/>
  <c r="M97" i="93"/>
  <c r="N97" i="93"/>
  <c r="O97" i="93"/>
  <c r="P97" i="93"/>
  <c r="Q97" i="93"/>
  <c r="R97" i="93"/>
  <c r="S97" i="93"/>
  <c r="T97" i="93"/>
  <c r="U97" i="93"/>
  <c r="V97" i="93"/>
  <c r="W97" i="93"/>
  <c r="X97" i="93"/>
  <c r="Y97" i="93"/>
  <c r="Z97" i="93"/>
  <c r="AA97" i="93"/>
  <c r="AB97" i="93"/>
  <c r="AC97" i="93"/>
  <c r="AD97" i="93"/>
  <c r="AE97" i="93"/>
  <c r="AF97" i="93"/>
  <c r="AG97" i="93"/>
  <c r="AH97" i="93"/>
  <c r="AI97" i="93"/>
  <c r="AJ97" i="93"/>
  <c r="AK97" i="93"/>
  <c r="AL97" i="93"/>
  <c r="AM97" i="93"/>
  <c r="AN97" i="93"/>
  <c r="AO97" i="93"/>
  <c r="AP97" i="93"/>
  <c r="AQ97" i="93"/>
  <c r="AR97" i="93"/>
  <c r="AS97" i="93"/>
  <c r="AT97" i="93"/>
  <c r="AU97" i="93"/>
  <c r="AV97" i="93"/>
  <c r="AW97" i="93"/>
  <c r="AX97" i="93"/>
  <c r="AY97" i="93"/>
  <c r="AZ97" i="93"/>
  <c r="BA97" i="93"/>
  <c r="BB97" i="93"/>
  <c r="BC97" i="93"/>
  <c r="BD97" i="93"/>
  <c r="BE97" i="93"/>
  <c r="BF97" i="93"/>
  <c r="BG97" i="93"/>
  <c r="BH97" i="93"/>
  <c r="BI97" i="93"/>
  <c r="BJ97" i="93"/>
  <c r="BK97" i="93"/>
  <c r="BL97" i="93"/>
  <c r="BM97" i="93"/>
  <c r="BN97" i="93"/>
  <c r="BO97" i="93"/>
  <c r="BP97" i="93"/>
  <c r="BQ97" i="93"/>
  <c r="BR97" i="93"/>
  <c r="BS97" i="93"/>
  <c r="BT97" i="93"/>
  <c r="BU97" i="93"/>
  <c r="BV97" i="93"/>
  <c r="BW97" i="93"/>
  <c r="BX97" i="93"/>
  <c r="BY97" i="93"/>
  <c r="BZ97" i="93"/>
  <c r="CA97" i="93"/>
  <c r="CB97" i="93"/>
  <c r="CC97" i="93"/>
  <c r="CD97" i="93"/>
  <c r="CE97" i="93"/>
  <c r="CF97" i="93"/>
  <c r="CG97" i="93"/>
  <c r="CH97" i="93"/>
  <c r="CI97" i="93"/>
  <c r="CJ97" i="93"/>
  <c r="CK97" i="93"/>
  <c r="CL97" i="93"/>
  <c r="CM97" i="93"/>
  <c r="CN97" i="93"/>
  <c r="CO97" i="93"/>
  <c r="CP97" i="93"/>
  <c r="CQ97" i="93"/>
  <c r="CR97" i="93"/>
  <c r="CS97" i="93"/>
  <c r="CT97" i="93"/>
  <c r="CU97" i="93"/>
  <c r="CV97" i="93"/>
  <c r="CW97" i="93"/>
  <c r="J98" i="93"/>
  <c r="K98" i="93"/>
  <c r="L98" i="93"/>
  <c r="M98" i="93"/>
  <c r="N98" i="93"/>
  <c r="O98" i="93"/>
  <c r="P98" i="93"/>
  <c r="Q98" i="93"/>
  <c r="R98" i="93"/>
  <c r="S98" i="93"/>
  <c r="T98" i="93"/>
  <c r="U98" i="93"/>
  <c r="V98" i="93"/>
  <c r="W98" i="93"/>
  <c r="X98" i="93"/>
  <c r="Y98" i="93"/>
  <c r="Z98" i="93"/>
  <c r="AA98" i="93"/>
  <c r="AB98" i="93"/>
  <c r="AC98" i="93"/>
  <c r="AD98" i="93"/>
  <c r="AE98" i="93"/>
  <c r="AF98" i="93"/>
  <c r="AG98" i="93"/>
  <c r="AH98" i="93"/>
  <c r="AI98" i="93"/>
  <c r="AJ98" i="93"/>
  <c r="AK98" i="93"/>
  <c r="AL98" i="93"/>
  <c r="AM98" i="93"/>
  <c r="AN98" i="93"/>
  <c r="AO98" i="93"/>
  <c r="AP98" i="93"/>
  <c r="AQ98" i="93"/>
  <c r="AR98" i="93"/>
  <c r="AS98" i="93"/>
  <c r="AT98" i="93"/>
  <c r="AU98" i="93"/>
  <c r="AV98" i="93"/>
  <c r="AW98" i="93"/>
  <c r="AX98" i="93"/>
  <c r="AY98" i="93"/>
  <c r="AZ98" i="93"/>
  <c r="BA98" i="93"/>
  <c r="BB98" i="93"/>
  <c r="BC98" i="93"/>
  <c r="BD98" i="93"/>
  <c r="BE98" i="93"/>
  <c r="BF98" i="93"/>
  <c r="BG98" i="93"/>
  <c r="BH98" i="93"/>
  <c r="BI98" i="93"/>
  <c r="BJ98" i="93"/>
  <c r="BK98" i="93"/>
  <c r="BL98" i="93"/>
  <c r="BM98" i="93"/>
  <c r="BN98" i="93"/>
  <c r="BO98" i="93"/>
  <c r="BP98" i="93"/>
  <c r="BQ98" i="93"/>
  <c r="BR98" i="93"/>
  <c r="BS98" i="93"/>
  <c r="BT98" i="93"/>
  <c r="BU98" i="93"/>
  <c r="BV98" i="93"/>
  <c r="BW98" i="93"/>
  <c r="BX98" i="93"/>
  <c r="BY98" i="93"/>
  <c r="BZ98" i="93"/>
  <c r="CA98" i="93"/>
  <c r="CB98" i="93"/>
  <c r="CC98" i="93"/>
  <c r="CD98" i="93"/>
  <c r="CE98" i="93"/>
  <c r="CF98" i="93"/>
  <c r="CG98" i="93"/>
  <c r="CH98" i="93"/>
  <c r="CI98" i="93"/>
  <c r="CJ98" i="93"/>
  <c r="CK98" i="93"/>
  <c r="CL98" i="93"/>
  <c r="CM98" i="93"/>
  <c r="CN98" i="93"/>
  <c r="CO98" i="93"/>
  <c r="CP98" i="93"/>
  <c r="CQ98" i="93"/>
  <c r="CR98" i="93"/>
  <c r="CS98" i="93"/>
  <c r="CT98" i="93"/>
  <c r="CU98" i="93"/>
  <c r="CV98" i="93"/>
  <c r="CW98" i="93"/>
  <c r="J99" i="93"/>
  <c r="K99" i="93"/>
  <c r="L99" i="93"/>
  <c r="M99" i="93"/>
  <c r="N99" i="93"/>
  <c r="O99" i="93"/>
  <c r="P99" i="93"/>
  <c r="Q99" i="93"/>
  <c r="R99" i="93"/>
  <c r="S99" i="93"/>
  <c r="T99" i="93"/>
  <c r="U99" i="93"/>
  <c r="V99" i="93"/>
  <c r="W99" i="93"/>
  <c r="X99" i="93"/>
  <c r="Y99" i="93"/>
  <c r="Z99" i="93"/>
  <c r="AA99" i="93"/>
  <c r="AB99" i="93"/>
  <c r="AC99" i="93"/>
  <c r="AD99" i="93"/>
  <c r="AE99" i="93"/>
  <c r="AF99" i="93"/>
  <c r="AG99" i="93"/>
  <c r="AH99" i="93"/>
  <c r="AI99" i="93"/>
  <c r="AJ99" i="93"/>
  <c r="AK99" i="93"/>
  <c r="AL99" i="93"/>
  <c r="AM99" i="93"/>
  <c r="AN99" i="93"/>
  <c r="AO99" i="93"/>
  <c r="AP99" i="93"/>
  <c r="AQ99" i="93"/>
  <c r="AR99" i="93"/>
  <c r="AS99" i="93"/>
  <c r="AT99" i="93"/>
  <c r="AU99" i="93"/>
  <c r="AV99" i="93"/>
  <c r="AW99" i="93"/>
  <c r="AX99" i="93"/>
  <c r="AY99" i="93"/>
  <c r="AZ99" i="93"/>
  <c r="BA99" i="93"/>
  <c r="BB99" i="93"/>
  <c r="BC99" i="93"/>
  <c r="BD99" i="93"/>
  <c r="BE99" i="93"/>
  <c r="BF99" i="93"/>
  <c r="BG99" i="93"/>
  <c r="BH99" i="93"/>
  <c r="BI99" i="93"/>
  <c r="BJ99" i="93"/>
  <c r="BK99" i="93"/>
  <c r="BL99" i="93"/>
  <c r="BM99" i="93"/>
  <c r="BN99" i="93"/>
  <c r="BO99" i="93"/>
  <c r="BP99" i="93"/>
  <c r="BQ99" i="93"/>
  <c r="BR99" i="93"/>
  <c r="BS99" i="93"/>
  <c r="BT99" i="93"/>
  <c r="BU99" i="93"/>
  <c r="BV99" i="93"/>
  <c r="BW99" i="93"/>
  <c r="BX99" i="93"/>
  <c r="BY99" i="93"/>
  <c r="BZ99" i="93"/>
  <c r="CA99" i="93"/>
  <c r="CB99" i="93"/>
  <c r="CC99" i="93"/>
  <c r="CD99" i="93"/>
  <c r="CE99" i="93"/>
  <c r="CF99" i="93"/>
  <c r="CG99" i="93"/>
  <c r="CH99" i="93"/>
  <c r="CI99" i="93"/>
  <c r="CJ99" i="93"/>
  <c r="CK99" i="93"/>
  <c r="CL99" i="93"/>
  <c r="CM99" i="93"/>
  <c r="CN99" i="93"/>
  <c r="CO99" i="93"/>
  <c r="CP99" i="93"/>
  <c r="CQ99" i="93"/>
  <c r="CR99" i="93"/>
  <c r="CS99" i="93"/>
  <c r="CT99" i="93"/>
  <c r="CU99" i="93"/>
  <c r="CV99" i="93"/>
  <c r="CW99" i="93"/>
  <c r="J100" i="93"/>
  <c r="K100" i="93"/>
  <c r="L100" i="93"/>
  <c r="M100" i="93"/>
  <c r="N100" i="93"/>
  <c r="O100" i="93"/>
  <c r="P100" i="93"/>
  <c r="Q100" i="93"/>
  <c r="R100" i="93"/>
  <c r="S100" i="93"/>
  <c r="T100" i="93"/>
  <c r="U100" i="93"/>
  <c r="V100" i="93"/>
  <c r="W100" i="93"/>
  <c r="X100" i="93"/>
  <c r="Y100" i="93"/>
  <c r="Z100" i="93"/>
  <c r="AA100" i="93"/>
  <c r="AB100" i="93"/>
  <c r="AC100" i="93"/>
  <c r="AD100" i="93"/>
  <c r="AE100" i="93"/>
  <c r="AF100" i="93"/>
  <c r="AG100" i="93"/>
  <c r="AH100" i="93"/>
  <c r="AI100" i="93"/>
  <c r="AJ100" i="93"/>
  <c r="AK100" i="93"/>
  <c r="AL100" i="93"/>
  <c r="AM100" i="93"/>
  <c r="AN100" i="93"/>
  <c r="AO100" i="93"/>
  <c r="AP100" i="93"/>
  <c r="AQ100" i="93"/>
  <c r="AR100" i="93"/>
  <c r="AS100" i="93"/>
  <c r="AT100" i="93"/>
  <c r="AU100" i="93"/>
  <c r="AV100" i="93"/>
  <c r="AW100" i="93"/>
  <c r="AX100" i="93"/>
  <c r="AY100" i="93"/>
  <c r="AZ100" i="93"/>
  <c r="BA100" i="93"/>
  <c r="BB100" i="93"/>
  <c r="BC100" i="93"/>
  <c r="BD100" i="93"/>
  <c r="BE100" i="93"/>
  <c r="BF100" i="93"/>
  <c r="BG100" i="93"/>
  <c r="BH100" i="93"/>
  <c r="BI100" i="93"/>
  <c r="BJ100" i="93"/>
  <c r="BK100" i="93"/>
  <c r="BL100" i="93"/>
  <c r="BM100" i="93"/>
  <c r="BN100" i="93"/>
  <c r="BO100" i="93"/>
  <c r="BP100" i="93"/>
  <c r="BQ100" i="93"/>
  <c r="BR100" i="93"/>
  <c r="BS100" i="93"/>
  <c r="BT100" i="93"/>
  <c r="BU100" i="93"/>
  <c r="BV100" i="93"/>
  <c r="BW100" i="93"/>
  <c r="BX100" i="93"/>
  <c r="BY100" i="93"/>
  <c r="BZ100" i="93"/>
  <c r="CA100" i="93"/>
  <c r="CB100" i="93"/>
  <c r="CC100" i="93"/>
  <c r="CD100" i="93"/>
  <c r="CE100" i="93"/>
  <c r="CF100" i="93"/>
  <c r="CG100" i="93"/>
  <c r="CH100" i="93"/>
  <c r="CI100" i="93"/>
  <c r="CJ100" i="93"/>
  <c r="CK100" i="93"/>
  <c r="CL100" i="93"/>
  <c r="CM100" i="93"/>
  <c r="CN100" i="93"/>
  <c r="CO100" i="93"/>
  <c r="CP100" i="93"/>
  <c r="CQ100" i="93"/>
  <c r="CR100" i="93"/>
  <c r="CS100" i="93"/>
  <c r="CT100" i="93"/>
  <c r="CU100" i="93"/>
  <c r="CV100" i="93"/>
  <c r="CW100" i="93"/>
  <c r="J101" i="93"/>
  <c r="K101" i="93"/>
  <c r="L101" i="93"/>
  <c r="M101" i="93"/>
  <c r="N101" i="93"/>
  <c r="O101" i="93"/>
  <c r="P101" i="93"/>
  <c r="Q101" i="93"/>
  <c r="R101" i="93"/>
  <c r="S101" i="93"/>
  <c r="T101" i="93"/>
  <c r="U101" i="93"/>
  <c r="V101" i="93"/>
  <c r="W101" i="93"/>
  <c r="X101" i="93"/>
  <c r="Y101" i="93"/>
  <c r="Z101" i="93"/>
  <c r="AA101" i="93"/>
  <c r="AB101" i="93"/>
  <c r="AC101" i="93"/>
  <c r="AD101" i="93"/>
  <c r="AE101" i="93"/>
  <c r="AF101" i="93"/>
  <c r="AG101" i="93"/>
  <c r="AH101" i="93"/>
  <c r="AI101" i="93"/>
  <c r="AJ101" i="93"/>
  <c r="AK101" i="93"/>
  <c r="AL101" i="93"/>
  <c r="AM101" i="93"/>
  <c r="AN101" i="93"/>
  <c r="AO101" i="93"/>
  <c r="AP101" i="93"/>
  <c r="AQ101" i="93"/>
  <c r="AR101" i="93"/>
  <c r="AS101" i="93"/>
  <c r="AT101" i="93"/>
  <c r="AU101" i="93"/>
  <c r="AV101" i="93"/>
  <c r="AW101" i="93"/>
  <c r="AX101" i="93"/>
  <c r="AY101" i="93"/>
  <c r="AZ101" i="93"/>
  <c r="BA101" i="93"/>
  <c r="BB101" i="93"/>
  <c r="BC101" i="93"/>
  <c r="BD101" i="93"/>
  <c r="BE101" i="93"/>
  <c r="BF101" i="93"/>
  <c r="BG101" i="93"/>
  <c r="BH101" i="93"/>
  <c r="BI101" i="93"/>
  <c r="BJ101" i="93"/>
  <c r="BK101" i="93"/>
  <c r="BL101" i="93"/>
  <c r="BM101" i="93"/>
  <c r="BN101" i="93"/>
  <c r="BO101" i="93"/>
  <c r="BP101" i="93"/>
  <c r="BQ101" i="93"/>
  <c r="BR101" i="93"/>
  <c r="BS101" i="93"/>
  <c r="BT101" i="93"/>
  <c r="BU101" i="93"/>
  <c r="BV101" i="93"/>
  <c r="BW101" i="93"/>
  <c r="BX101" i="93"/>
  <c r="BY101" i="93"/>
  <c r="BZ101" i="93"/>
  <c r="CA101" i="93"/>
  <c r="CB101" i="93"/>
  <c r="CC101" i="93"/>
  <c r="CD101" i="93"/>
  <c r="CE101" i="93"/>
  <c r="CF101" i="93"/>
  <c r="CG101" i="93"/>
  <c r="CH101" i="93"/>
  <c r="CI101" i="93"/>
  <c r="CJ101" i="93"/>
  <c r="CK101" i="93"/>
  <c r="CL101" i="93"/>
  <c r="CM101" i="93"/>
  <c r="CN101" i="93"/>
  <c r="CO101" i="93"/>
  <c r="CP101" i="93"/>
  <c r="CQ101" i="93"/>
  <c r="CR101" i="93"/>
  <c r="CS101" i="93"/>
  <c r="CT101" i="93"/>
  <c r="CU101" i="93"/>
  <c r="CV101" i="93"/>
  <c r="CW101" i="93"/>
  <c r="J102" i="93"/>
  <c r="K102" i="93"/>
  <c r="L102" i="93"/>
  <c r="M102" i="93"/>
  <c r="N102" i="93"/>
  <c r="O102" i="93"/>
  <c r="P102" i="93"/>
  <c r="Q102" i="93"/>
  <c r="R102" i="93"/>
  <c r="S102" i="93"/>
  <c r="T102" i="93"/>
  <c r="U102" i="93"/>
  <c r="V102" i="93"/>
  <c r="W102" i="93"/>
  <c r="X102" i="93"/>
  <c r="Y102" i="93"/>
  <c r="Z102" i="93"/>
  <c r="AA102" i="93"/>
  <c r="AB102" i="93"/>
  <c r="AC102" i="93"/>
  <c r="AD102" i="93"/>
  <c r="AE102" i="93"/>
  <c r="AF102" i="93"/>
  <c r="AG102" i="93"/>
  <c r="AH102" i="93"/>
  <c r="AI102" i="93"/>
  <c r="AJ102" i="93"/>
  <c r="AK102" i="93"/>
  <c r="AL102" i="93"/>
  <c r="AM102" i="93"/>
  <c r="AN102" i="93"/>
  <c r="AO102" i="93"/>
  <c r="AP102" i="93"/>
  <c r="AQ102" i="93"/>
  <c r="AR102" i="93"/>
  <c r="AS102" i="93"/>
  <c r="AT102" i="93"/>
  <c r="AU102" i="93"/>
  <c r="AV102" i="93"/>
  <c r="AW102" i="93"/>
  <c r="AX102" i="93"/>
  <c r="AY102" i="93"/>
  <c r="AZ102" i="93"/>
  <c r="BA102" i="93"/>
  <c r="BB102" i="93"/>
  <c r="BC102" i="93"/>
  <c r="BD102" i="93"/>
  <c r="BE102" i="93"/>
  <c r="BF102" i="93"/>
  <c r="BG102" i="93"/>
  <c r="BH102" i="93"/>
  <c r="BI102" i="93"/>
  <c r="BJ102" i="93"/>
  <c r="BK102" i="93"/>
  <c r="BL102" i="93"/>
  <c r="BM102" i="93"/>
  <c r="BN102" i="93"/>
  <c r="BO102" i="93"/>
  <c r="BP102" i="93"/>
  <c r="BQ102" i="93"/>
  <c r="BR102" i="93"/>
  <c r="BS102" i="93"/>
  <c r="BT102" i="93"/>
  <c r="BU102" i="93"/>
  <c r="BV102" i="93"/>
  <c r="BW102" i="93"/>
  <c r="BX102" i="93"/>
  <c r="BY102" i="93"/>
  <c r="BZ102" i="93"/>
  <c r="CA102" i="93"/>
  <c r="CB102" i="93"/>
  <c r="CC102" i="93"/>
  <c r="CD102" i="93"/>
  <c r="CE102" i="93"/>
  <c r="CF102" i="93"/>
  <c r="CG102" i="93"/>
  <c r="CH102" i="93"/>
  <c r="CI102" i="93"/>
  <c r="CJ102" i="93"/>
  <c r="CK102" i="93"/>
  <c r="CL102" i="93"/>
  <c r="CM102" i="93"/>
  <c r="CN102" i="93"/>
  <c r="CO102" i="93"/>
  <c r="CP102" i="93"/>
  <c r="CQ102" i="93"/>
  <c r="CR102" i="93"/>
  <c r="CS102" i="93"/>
  <c r="CT102" i="93"/>
  <c r="CU102" i="93"/>
  <c r="CV102" i="93"/>
  <c r="CW102" i="93"/>
  <c r="J103" i="93"/>
  <c r="K103" i="93"/>
  <c r="L103" i="93"/>
  <c r="M103" i="93"/>
  <c r="N103" i="93"/>
  <c r="O103" i="93"/>
  <c r="P103" i="93"/>
  <c r="Q103" i="93"/>
  <c r="R103" i="93"/>
  <c r="S103" i="93"/>
  <c r="T103" i="93"/>
  <c r="U103" i="93"/>
  <c r="V103" i="93"/>
  <c r="W103" i="93"/>
  <c r="X103" i="93"/>
  <c r="Y103" i="93"/>
  <c r="Z103" i="93"/>
  <c r="AA103" i="93"/>
  <c r="AB103" i="93"/>
  <c r="AC103" i="93"/>
  <c r="AD103" i="93"/>
  <c r="AE103" i="93"/>
  <c r="AF103" i="93"/>
  <c r="AG103" i="93"/>
  <c r="AH103" i="93"/>
  <c r="AI103" i="93"/>
  <c r="AJ103" i="93"/>
  <c r="AK103" i="93"/>
  <c r="AL103" i="93"/>
  <c r="AM103" i="93"/>
  <c r="AN103" i="93"/>
  <c r="AO103" i="93"/>
  <c r="AP103" i="93"/>
  <c r="AQ103" i="93"/>
  <c r="AR103" i="93"/>
  <c r="AS103" i="93"/>
  <c r="AT103" i="93"/>
  <c r="AU103" i="93"/>
  <c r="AV103" i="93"/>
  <c r="AW103" i="93"/>
  <c r="AX103" i="93"/>
  <c r="AY103" i="93"/>
  <c r="AZ103" i="93"/>
  <c r="BA103" i="93"/>
  <c r="BB103" i="93"/>
  <c r="BC103" i="93"/>
  <c r="BD103" i="93"/>
  <c r="BE103" i="93"/>
  <c r="BF103" i="93"/>
  <c r="BG103" i="93"/>
  <c r="BH103" i="93"/>
  <c r="BI103" i="93"/>
  <c r="BJ103" i="93"/>
  <c r="BK103" i="93"/>
  <c r="BL103" i="93"/>
  <c r="BM103" i="93"/>
  <c r="BN103" i="93"/>
  <c r="BO103" i="93"/>
  <c r="BP103" i="93"/>
  <c r="BQ103" i="93"/>
  <c r="BR103" i="93"/>
  <c r="BS103" i="93"/>
  <c r="BT103" i="93"/>
  <c r="BU103" i="93"/>
  <c r="BV103" i="93"/>
  <c r="BW103" i="93"/>
  <c r="BX103" i="93"/>
  <c r="BY103" i="93"/>
  <c r="BZ103" i="93"/>
  <c r="CA103" i="93"/>
  <c r="CB103" i="93"/>
  <c r="CC103" i="93"/>
  <c r="CD103" i="93"/>
  <c r="CE103" i="93"/>
  <c r="CF103" i="93"/>
  <c r="CG103" i="93"/>
  <c r="CH103" i="93"/>
  <c r="CI103" i="93"/>
  <c r="CJ103" i="93"/>
  <c r="CK103" i="93"/>
  <c r="CL103" i="93"/>
  <c r="CM103" i="93"/>
  <c r="CN103" i="93"/>
  <c r="CO103" i="93"/>
  <c r="CP103" i="93"/>
  <c r="CQ103" i="93"/>
  <c r="CR103" i="93"/>
  <c r="CS103" i="93"/>
  <c r="CT103" i="93"/>
  <c r="CU103" i="93"/>
  <c r="CV103" i="93"/>
  <c r="CW103" i="93"/>
  <c r="J104" i="93"/>
  <c r="K104" i="93"/>
  <c r="L104" i="93"/>
  <c r="M104" i="93"/>
  <c r="N104" i="93"/>
  <c r="O104" i="93"/>
  <c r="P104" i="93"/>
  <c r="Q104" i="93"/>
  <c r="R104" i="93"/>
  <c r="S104" i="93"/>
  <c r="T104" i="93"/>
  <c r="U104" i="93"/>
  <c r="V104" i="93"/>
  <c r="W104" i="93"/>
  <c r="X104" i="93"/>
  <c r="Y104" i="93"/>
  <c r="Z104" i="93"/>
  <c r="AA104" i="93"/>
  <c r="AB104" i="93"/>
  <c r="AC104" i="93"/>
  <c r="AD104" i="93"/>
  <c r="AE104" i="93"/>
  <c r="AF104" i="93"/>
  <c r="AG104" i="93"/>
  <c r="AH104" i="93"/>
  <c r="AI104" i="93"/>
  <c r="AJ104" i="93"/>
  <c r="AK104" i="93"/>
  <c r="AL104" i="93"/>
  <c r="AM104" i="93"/>
  <c r="AN104" i="93"/>
  <c r="AO104" i="93"/>
  <c r="AP104" i="93"/>
  <c r="AQ104" i="93"/>
  <c r="AR104" i="93"/>
  <c r="AS104" i="93"/>
  <c r="AT104" i="93"/>
  <c r="AU104" i="93"/>
  <c r="AV104" i="93"/>
  <c r="AW104" i="93"/>
  <c r="AX104" i="93"/>
  <c r="AY104" i="93"/>
  <c r="AZ104" i="93"/>
  <c r="BA104" i="93"/>
  <c r="BB104" i="93"/>
  <c r="BC104" i="93"/>
  <c r="BD104" i="93"/>
  <c r="BE104" i="93"/>
  <c r="BF104" i="93"/>
  <c r="BG104" i="93"/>
  <c r="BH104" i="93"/>
  <c r="BI104" i="93"/>
  <c r="BJ104" i="93"/>
  <c r="BK104" i="93"/>
  <c r="BL104" i="93"/>
  <c r="BM104" i="93"/>
  <c r="BN104" i="93"/>
  <c r="BO104" i="93"/>
  <c r="BP104" i="93"/>
  <c r="BQ104" i="93"/>
  <c r="BR104" i="93"/>
  <c r="BS104" i="93"/>
  <c r="BT104" i="93"/>
  <c r="BU104" i="93"/>
  <c r="BV104" i="93"/>
  <c r="BW104" i="93"/>
  <c r="BX104" i="93"/>
  <c r="BY104" i="93"/>
  <c r="BZ104" i="93"/>
  <c r="CA104" i="93"/>
  <c r="CB104" i="93"/>
  <c r="CC104" i="93"/>
  <c r="CD104" i="93"/>
  <c r="CE104" i="93"/>
  <c r="CF104" i="93"/>
  <c r="CG104" i="93"/>
  <c r="CH104" i="93"/>
  <c r="CI104" i="93"/>
  <c r="CJ104" i="93"/>
  <c r="CK104" i="93"/>
  <c r="CL104" i="93"/>
  <c r="CM104" i="93"/>
  <c r="CN104" i="93"/>
  <c r="CO104" i="93"/>
  <c r="CP104" i="93"/>
  <c r="CQ104" i="93"/>
  <c r="CR104" i="93"/>
  <c r="CS104" i="93"/>
  <c r="CT104" i="93"/>
  <c r="CU104" i="93"/>
  <c r="CV104" i="93"/>
  <c r="CW104" i="93"/>
  <c r="J105" i="93"/>
  <c r="K105" i="93"/>
  <c r="L105" i="93"/>
  <c r="M105" i="93"/>
  <c r="N105" i="93"/>
  <c r="O105" i="93"/>
  <c r="P105" i="93"/>
  <c r="Q105" i="93"/>
  <c r="R105" i="93"/>
  <c r="S105" i="93"/>
  <c r="T105" i="93"/>
  <c r="U105" i="93"/>
  <c r="V105" i="93"/>
  <c r="W105" i="93"/>
  <c r="X105" i="93"/>
  <c r="Y105" i="93"/>
  <c r="Z105" i="93"/>
  <c r="AA105" i="93"/>
  <c r="AB105" i="93"/>
  <c r="AC105" i="93"/>
  <c r="AD105" i="93"/>
  <c r="AE105" i="93"/>
  <c r="AF105" i="93"/>
  <c r="AG105" i="93"/>
  <c r="AH105" i="93"/>
  <c r="AI105" i="93"/>
  <c r="AJ105" i="93"/>
  <c r="AK105" i="93"/>
  <c r="AL105" i="93"/>
  <c r="AM105" i="93"/>
  <c r="AN105" i="93"/>
  <c r="AO105" i="93"/>
  <c r="AP105" i="93"/>
  <c r="AQ105" i="93"/>
  <c r="AR105" i="93"/>
  <c r="AS105" i="93"/>
  <c r="AT105" i="93"/>
  <c r="AU105" i="93"/>
  <c r="AV105" i="93"/>
  <c r="AW105" i="93"/>
  <c r="AX105" i="93"/>
  <c r="AY105" i="93"/>
  <c r="AZ105" i="93"/>
  <c r="BA105" i="93"/>
  <c r="BB105" i="93"/>
  <c r="BC105" i="93"/>
  <c r="BD105" i="93"/>
  <c r="BE105" i="93"/>
  <c r="BF105" i="93"/>
  <c r="BG105" i="93"/>
  <c r="BH105" i="93"/>
  <c r="BI105" i="93"/>
  <c r="BJ105" i="93"/>
  <c r="BK105" i="93"/>
  <c r="BL105" i="93"/>
  <c r="BM105" i="93"/>
  <c r="BN105" i="93"/>
  <c r="BO105" i="93"/>
  <c r="BP105" i="93"/>
  <c r="BQ105" i="93"/>
  <c r="BR105" i="93"/>
  <c r="BS105" i="93"/>
  <c r="BT105" i="93"/>
  <c r="BU105" i="93"/>
  <c r="BV105" i="93"/>
  <c r="BW105" i="93"/>
  <c r="BX105" i="93"/>
  <c r="BY105" i="93"/>
  <c r="BZ105" i="93"/>
  <c r="CA105" i="93"/>
  <c r="CB105" i="93"/>
  <c r="CC105" i="93"/>
  <c r="CD105" i="93"/>
  <c r="CE105" i="93"/>
  <c r="CF105" i="93"/>
  <c r="CG105" i="93"/>
  <c r="CH105" i="93"/>
  <c r="CI105" i="93"/>
  <c r="CJ105" i="93"/>
  <c r="CK105" i="93"/>
  <c r="CL105" i="93"/>
  <c r="CM105" i="93"/>
  <c r="CN105" i="93"/>
  <c r="CO105" i="93"/>
  <c r="CP105" i="93"/>
  <c r="CQ105" i="93"/>
  <c r="CR105" i="93"/>
  <c r="CS105" i="93"/>
  <c r="CT105" i="93"/>
  <c r="CU105" i="93"/>
  <c r="CV105" i="93"/>
  <c r="CW105" i="93"/>
  <c r="J106" i="93"/>
  <c r="K106" i="93"/>
  <c r="L106" i="93"/>
  <c r="M106" i="93"/>
  <c r="N106" i="93"/>
  <c r="O106" i="93"/>
  <c r="P106" i="93"/>
  <c r="Q106" i="93"/>
  <c r="R106" i="93"/>
  <c r="S106" i="93"/>
  <c r="T106" i="93"/>
  <c r="U106" i="93"/>
  <c r="V106" i="93"/>
  <c r="W106" i="93"/>
  <c r="X106" i="93"/>
  <c r="Y106" i="93"/>
  <c r="Z106" i="93"/>
  <c r="AA106" i="93"/>
  <c r="AB106" i="93"/>
  <c r="AC106" i="93"/>
  <c r="AD106" i="93"/>
  <c r="AE106" i="93"/>
  <c r="AF106" i="93"/>
  <c r="AG106" i="93"/>
  <c r="AH106" i="93"/>
  <c r="AI106" i="93"/>
  <c r="AJ106" i="93"/>
  <c r="AK106" i="93"/>
  <c r="AL106" i="93"/>
  <c r="AM106" i="93"/>
  <c r="AN106" i="93"/>
  <c r="AO106" i="93"/>
  <c r="AP106" i="93"/>
  <c r="AQ106" i="93"/>
  <c r="AR106" i="93"/>
  <c r="AS106" i="93"/>
  <c r="AT106" i="93"/>
  <c r="AU106" i="93"/>
  <c r="AV106" i="93"/>
  <c r="AW106" i="93"/>
  <c r="AX106" i="93"/>
  <c r="AY106" i="93"/>
  <c r="AZ106" i="93"/>
  <c r="BA106" i="93"/>
  <c r="BB106" i="93"/>
  <c r="BC106" i="93"/>
  <c r="BD106" i="93"/>
  <c r="BE106" i="93"/>
  <c r="BF106" i="93"/>
  <c r="BG106" i="93"/>
  <c r="BH106" i="93"/>
  <c r="BI106" i="93"/>
  <c r="BJ106" i="93"/>
  <c r="BK106" i="93"/>
  <c r="BL106" i="93"/>
  <c r="BM106" i="93"/>
  <c r="BN106" i="93"/>
  <c r="BO106" i="93"/>
  <c r="BP106" i="93"/>
  <c r="BQ106" i="93"/>
  <c r="BR106" i="93"/>
  <c r="BS106" i="93"/>
  <c r="BT106" i="93"/>
  <c r="BU106" i="93"/>
  <c r="BV106" i="93"/>
  <c r="BW106" i="93"/>
  <c r="BX106" i="93"/>
  <c r="BY106" i="93"/>
  <c r="BZ106" i="93"/>
  <c r="CA106" i="93"/>
  <c r="CB106" i="93"/>
  <c r="CC106" i="93"/>
  <c r="CD106" i="93"/>
  <c r="CE106" i="93"/>
  <c r="CF106" i="93"/>
  <c r="CG106" i="93"/>
  <c r="CH106" i="93"/>
  <c r="CI106" i="93"/>
  <c r="CJ106" i="93"/>
  <c r="CK106" i="93"/>
  <c r="CL106" i="93"/>
  <c r="CM106" i="93"/>
  <c r="CN106" i="93"/>
  <c r="CO106" i="93"/>
  <c r="CP106" i="93"/>
  <c r="CQ106" i="93"/>
  <c r="CR106" i="93"/>
  <c r="CS106" i="93"/>
  <c r="CT106" i="93"/>
  <c r="CU106" i="93"/>
  <c r="CV106" i="93"/>
  <c r="CW106" i="93"/>
  <c r="J107" i="93"/>
  <c r="K107" i="93"/>
  <c r="L107" i="93"/>
  <c r="M107" i="93"/>
  <c r="N107" i="93"/>
  <c r="O107" i="93"/>
  <c r="P107" i="93"/>
  <c r="Q107" i="93"/>
  <c r="R107" i="93"/>
  <c r="S107" i="93"/>
  <c r="T107" i="93"/>
  <c r="U107" i="93"/>
  <c r="V107" i="93"/>
  <c r="W107" i="93"/>
  <c r="X107" i="93"/>
  <c r="Y107" i="93"/>
  <c r="Z107" i="93"/>
  <c r="AA107" i="93"/>
  <c r="AB107" i="93"/>
  <c r="AC107" i="93"/>
  <c r="AD107" i="93"/>
  <c r="AE107" i="93"/>
  <c r="AF107" i="93"/>
  <c r="AG107" i="93"/>
  <c r="AH107" i="93"/>
  <c r="AI107" i="93"/>
  <c r="AJ107" i="93"/>
  <c r="AK107" i="93"/>
  <c r="AL107" i="93"/>
  <c r="AM107" i="93"/>
  <c r="AN107" i="93"/>
  <c r="AO107" i="93"/>
  <c r="AP107" i="93"/>
  <c r="AQ107" i="93"/>
  <c r="AR107" i="93"/>
  <c r="AS107" i="93"/>
  <c r="AT107" i="93"/>
  <c r="AU107" i="93"/>
  <c r="AV107" i="93"/>
  <c r="AW107" i="93"/>
  <c r="AX107" i="93"/>
  <c r="AY107" i="93"/>
  <c r="AZ107" i="93"/>
  <c r="BA107" i="93"/>
  <c r="BB107" i="93"/>
  <c r="BC107" i="93"/>
  <c r="BD107" i="93"/>
  <c r="BE107" i="93"/>
  <c r="BF107" i="93"/>
  <c r="BG107" i="93"/>
  <c r="BH107" i="93"/>
  <c r="BI107" i="93"/>
  <c r="BJ107" i="93"/>
  <c r="BK107" i="93"/>
  <c r="BL107" i="93"/>
  <c r="BM107" i="93"/>
  <c r="BN107" i="93"/>
  <c r="BO107" i="93"/>
  <c r="BP107" i="93"/>
  <c r="BQ107" i="93"/>
  <c r="BR107" i="93"/>
  <c r="BS107" i="93"/>
  <c r="BT107" i="93"/>
  <c r="BU107" i="93"/>
  <c r="BV107" i="93"/>
  <c r="BW107" i="93"/>
  <c r="BX107" i="93"/>
  <c r="BY107" i="93"/>
  <c r="BZ107" i="93"/>
  <c r="CA107" i="93"/>
  <c r="CB107" i="93"/>
  <c r="CC107" i="93"/>
  <c r="CD107" i="93"/>
  <c r="CE107" i="93"/>
  <c r="CF107" i="93"/>
  <c r="CG107" i="93"/>
  <c r="CH107" i="93"/>
  <c r="CI107" i="93"/>
  <c r="CJ107" i="93"/>
  <c r="CK107" i="93"/>
  <c r="CL107" i="93"/>
  <c r="CM107" i="93"/>
  <c r="CN107" i="93"/>
  <c r="CO107" i="93"/>
  <c r="CP107" i="93"/>
  <c r="CQ107" i="93"/>
  <c r="CR107" i="93"/>
  <c r="CS107" i="93"/>
  <c r="CT107" i="93"/>
  <c r="CU107" i="93"/>
  <c r="CV107" i="93"/>
  <c r="CW107" i="93"/>
  <c r="J108" i="93"/>
  <c r="K108" i="93"/>
  <c r="L108" i="93"/>
  <c r="M108" i="93"/>
  <c r="N108" i="93"/>
  <c r="O108" i="93"/>
  <c r="P108" i="93"/>
  <c r="Q108" i="93"/>
  <c r="R108" i="93"/>
  <c r="S108" i="93"/>
  <c r="T108" i="93"/>
  <c r="U108" i="93"/>
  <c r="V108" i="93"/>
  <c r="W108" i="93"/>
  <c r="X108" i="93"/>
  <c r="Y108" i="93"/>
  <c r="Z108" i="93"/>
  <c r="AA108" i="93"/>
  <c r="AB108" i="93"/>
  <c r="AC108" i="93"/>
  <c r="AD108" i="93"/>
  <c r="AE108" i="93"/>
  <c r="AF108" i="93"/>
  <c r="AG108" i="93"/>
  <c r="AH108" i="93"/>
  <c r="AI108" i="93"/>
  <c r="AJ108" i="93"/>
  <c r="AK108" i="93"/>
  <c r="AL108" i="93"/>
  <c r="AM108" i="93"/>
  <c r="AN108" i="93"/>
  <c r="AO108" i="93"/>
  <c r="AP108" i="93"/>
  <c r="AQ108" i="93"/>
  <c r="AR108" i="93"/>
  <c r="AS108" i="93"/>
  <c r="AT108" i="93"/>
  <c r="AU108" i="93"/>
  <c r="AV108" i="93"/>
  <c r="AW108" i="93"/>
  <c r="AX108" i="93"/>
  <c r="AY108" i="93"/>
  <c r="AZ108" i="93"/>
  <c r="BA108" i="93"/>
  <c r="BB108" i="93"/>
  <c r="BC108" i="93"/>
  <c r="BD108" i="93"/>
  <c r="BE108" i="93"/>
  <c r="BF108" i="93"/>
  <c r="BG108" i="93"/>
  <c r="BH108" i="93"/>
  <c r="BI108" i="93"/>
  <c r="BJ108" i="93"/>
  <c r="BK108" i="93"/>
  <c r="BL108" i="93"/>
  <c r="BM108" i="93"/>
  <c r="BN108" i="93"/>
  <c r="BO108" i="93"/>
  <c r="BP108" i="93"/>
  <c r="BQ108" i="93"/>
  <c r="BR108" i="93"/>
  <c r="BS108" i="93"/>
  <c r="BT108" i="93"/>
  <c r="BU108" i="93"/>
  <c r="BV108" i="93"/>
  <c r="BW108" i="93"/>
  <c r="BX108" i="93"/>
  <c r="BY108" i="93"/>
  <c r="BZ108" i="93"/>
  <c r="CA108" i="93"/>
  <c r="CB108" i="93"/>
  <c r="CC108" i="93"/>
  <c r="CD108" i="93"/>
  <c r="CE108" i="93"/>
  <c r="CF108" i="93"/>
  <c r="CG108" i="93"/>
  <c r="CH108" i="93"/>
  <c r="CI108" i="93"/>
  <c r="CJ108" i="93"/>
  <c r="CK108" i="93"/>
  <c r="CL108" i="93"/>
  <c r="CM108" i="93"/>
  <c r="CN108" i="93"/>
  <c r="CO108" i="93"/>
  <c r="CP108" i="93"/>
  <c r="CQ108" i="93"/>
  <c r="CR108" i="93"/>
  <c r="CS108" i="93"/>
  <c r="CT108" i="93"/>
  <c r="CU108" i="93"/>
  <c r="CV108" i="93"/>
  <c r="CW108" i="93"/>
  <c r="J109" i="93"/>
  <c r="K109" i="93"/>
  <c r="L109" i="93"/>
  <c r="M109" i="93"/>
  <c r="N109" i="93"/>
  <c r="O109" i="93"/>
  <c r="P109" i="93"/>
  <c r="Q109" i="93"/>
  <c r="R109" i="93"/>
  <c r="S109" i="93"/>
  <c r="T109" i="93"/>
  <c r="U109" i="93"/>
  <c r="V109" i="93"/>
  <c r="W109" i="93"/>
  <c r="X109" i="93"/>
  <c r="Y109" i="93"/>
  <c r="Z109" i="93"/>
  <c r="AA109" i="93"/>
  <c r="AB109" i="93"/>
  <c r="AC109" i="93"/>
  <c r="AD109" i="93"/>
  <c r="AE109" i="93"/>
  <c r="AF109" i="93"/>
  <c r="AG109" i="93"/>
  <c r="AH109" i="93"/>
  <c r="AI109" i="93"/>
  <c r="AJ109" i="93"/>
  <c r="AK109" i="93"/>
  <c r="AL109" i="93"/>
  <c r="AM109" i="93"/>
  <c r="AN109" i="93"/>
  <c r="AO109" i="93"/>
  <c r="AP109" i="93"/>
  <c r="AQ109" i="93"/>
  <c r="AR109" i="93"/>
  <c r="AS109" i="93"/>
  <c r="AT109" i="93"/>
  <c r="AU109" i="93"/>
  <c r="AV109" i="93"/>
  <c r="AW109" i="93"/>
  <c r="AX109" i="93"/>
  <c r="AY109" i="93"/>
  <c r="AZ109" i="93"/>
  <c r="BA109" i="93"/>
  <c r="BB109" i="93"/>
  <c r="BC109" i="93"/>
  <c r="BD109" i="93"/>
  <c r="BE109" i="93"/>
  <c r="BF109" i="93"/>
  <c r="BG109" i="93"/>
  <c r="BH109" i="93"/>
  <c r="BI109" i="93"/>
  <c r="BJ109" i="93"/>
  <c r="BK109" i="93"/>
  <c r="BL109" i="93"/>
  <c r="BM109" i="93"/>
  <c r="BN109" i="93"/>
  <c r="BO109" i="93"/>
  <c r="BP109" i="93"/>
  <c r="BQ109" i="93"/>
  <c r="BR109" i="93"/>
  <c r="BS109" i="93"/>
  <c r="BT109" i="93"/>
  <c r="BU109" i="93"/>
  <c r="BV109" i="93"/>
  <c r="BW109" i="93"/>
  <c r="BX109" i="93"/>
  <c r="BY109" i="93"/>
  <c r="BZ109" i="93"/>
  <c r="CA109" i="93"/>
  <c r="CB109" i="93"/>
  <c r="CC109" i="93"/>
  <c r="CD109" i="93"/>
  <c r="CE109" i="93"/>
  <c r="CF109" i="93"/>
  <c r="CG109" i="93"/>
  <c r="CH109" i="93"/>
  <c r="CI109" i="93"/>
  <c r="CJ109" i="93"/>
  <c r="CK109" i="93"/>
  <c r="CL109" i="93"/>
  <c r="CM109" i="93"/>
  <c r="CN109" i="93"/>
  <c r="CO109" i="93"/>
  <c r="CP109" i="93"/>
  <c r="CQ109" i="93"/>
  <c r="CR109" i="93"/>
  <c r="CS109" i="93"/>
  <c r="CT109" i="93"/>
  <c r="CU109" i="93"/>
  <c r="CV109" i="93"/>
  <c r="CW109" i="93"/>
  <c r="J110" i="93"/>
  <c r="K110" i="93"/>
  <c r="L110" i="93"/>
  <c r="M110" i="93"/>
  <c r="N110" i="93"/>
  <c r="O110" i="93"/>
  <c r="P110" i="93"/>
  <c r="Q110" i="93"/>
  <c r="R110" i="93"/>
  <c r="S110" i="93"/>
  <c r="T110" i="93"/>
  <c r="U110" i="93"/>
  <c r="V110" i="93"/>
  <c r="W110" i="93"/>
  <c r="X110" i="93"/>
  <c r="Y110" i="93"/>
  <c r="Z110" i="93"/>
  <c r="AA110" i="93"/>
  <c r="AB110" i="93"/>
  <c r="AC110" i="93"/>
  <c r="AD110" i="93"/>
  <c r="AE110" i="93"/>
  <c r="AF110" i="93"/>
  <c r="AG110" i="93"/>
  <c r="AH110" i="93"/>
  <c r="AI110" i="93"/>
  <c r="AJ110" i="93"/>
  <c r="AK110" i="93"/>
  <c r="AL110" i="93"/>
  <c r="AM110" i="93"/>
  <c r="AN110" i="93"/>
  <c r="AO110" i="93"/>
  <c r="AP110" i="93"/>
  <c r="AQ110" i="93"/>
  <c r="AR110" i="93"/>
  <c r="AS110" i="93"/>
  <c r="AT110" i="93"/>
  <c r="AU110" i="93"/>
  <c r="AV110" i="93"/>
  <c r="AW110" i="93"/>
  <c r="AX110" i="93"/>
  <c r="AY110" i="93"/>
  <c r="AZ110" i="93"/>
  <c r="BA110" i="93"/>
  <c r="BB110" i="93"/>
  <c r="BC110" i="93"/>
  <c r="BD110" i="93"/>
  <c r="BE110" i="93"/>
  <c r="BF110" i="93"/>
  <c r="BG110" i="93"/>
  <c r="BH110" i="93"/>
  <c r="BI110" i="93"/>
  <c r="BJ110" i="93"/>
  <c r="BK110" i="93"/>
  <c r="BL110" i="93"/>
  <c r="BM110" i="93"/>
  <c r="BN110" i="93"/>
  <c r="BO110" i="93"/>
  <c r="BP110" i="93"/>
  <c r="BQ110" i="93"/>
  <c r="BR110" i="93"/>
  <c r="BS110" i="93"/>
  <c r="BT110" i="93"/>
  <c r="BU110" i="93"/>
  <c r="BV110" i="93"/>
  <c r="BW110" i="93"/>
  <c r="BX110" i="93"/>
  <c r="BY110" i="93"/>
  <c r="BZ110" i="93"/>
  <c r="CA110" i="93"/>
  <c r="CB110" i="93"/>
  <c r="CC110" i="93"/>
  <c r="CD110" i="93"/>
  <c r="CE110" i="93"/>
  <c r="CF110" i="93"/>
  <c r="CG110" i="93"/>
  <c r="CH110" i="93"/>
  <c r="CI110" i="93"/>
  <c r="CJ110" i="93"/>
  <c r="CK110" i="93"/>
  <c r="CL110" i="93"/>
  <c r="CM110" i="93"/>
  <c r="CN110" i="93"/>
  <c r="CO110" i="93"/>
  <c r="CP110" i="93"/>
  <c r="CQ110" i="93"/>
  <c r="CR110" i="93"/>
  <c r="CS110" i="93"/>
  <c r="CT110" i="93"/>
  <c r="CU110" i="93"/>
  <c r="CV110" i="93"/>
  <c r="CW110" i="93"/>
  <c r="J111" i="93"/>
  <c r="K111" i="93"/>
  <c r="L111" i="93"/>
  <c r="M111" i="93"/>
  <c r="N111" i="93"/>
  <c r="O111" i="93"/>
  <c r="P111" i="93"/>
  <c r="Q111" i="93"/>
  <c r="R111" i="93"/>
  <c r="S111" i="93"/>
  <c r="T111" i="93"/>
  <c r="U111" i="93"/>
  <c r="V111" i="93"/>
  <c r="W111" i="93"/>
  <c r="X111" i="93"/>
  <c r="Y111" i="93"/>
  <c r="Z111" i="93"/>
  <c r="AA111" i="93"/>
  <c r="AB111" i="93"/>
  <c r="AC111" i="93"/>
  <c r="AD111" i="93"/>
  <c r="AE111" i="93"/>
  <c r="AF111" i="93"/>
  <c r="AG111" i="93"/>
  <c r="AH111" i="93"/>
  <c r="AI111" i="93"/>
  <c r="AJ111" i="93"/>
  <c r="AK111" i="93"/>
  <c r="AL111" i="93"/>
  <c r="AM111" i="93"/>
  <c r="AN111" i="93"/>
  <c r="AO111" i="93"/>
  <c r="AP111" i="93"/>
  <c r="AQ111" i="93"/>
  <c r="AR111" i="93"/>
  <c r="AS111" i="93"/>
  <c r="AT111" i="93"/>
  <c r="AU111" i="93"/>
  <c r="AV111" i="93"/>
  <c r="AW111" i="93"/>
  <c r="AX111" i="93"/>
  <c r="AY111" i="93"/>
  <c r="AZ111" i="93"/>
  <c r="BA111" i="93"/>
  <c r="BB111" i="93"/>
  <c r="BC111" i="93"/>
  <c r="BD111" i="93"/>
  <c r="BE111" i="93"/>
  <c r="BF111" i="93"/>
  <c r="BG111" i="93"/>
  <c r="BH111" i="93"/>
  <c r="BI111" i="93"/>
  <c r="BJ111" i="93"/>
  <c r="BK111" i="93"/>
  <c r="BL111" i="93"/>
  <c r="BM111" i="93"/>
  <c r="BN111" i="93"/>
  <c r="BO111" i="93"/>
  <c r="BP111" i="93"/>
  <c r="BQ111" i="93"/>
  <c r="BR111" i="93"/>
  <c r="BS111" i="93"/>
  <c r="BT111" i="93"/>
  <c r="BU111" i="93"/>
  <c r="BV111" i="93"/>
  <c r="BW111" i="93"/>
  <c r="BX111" i="93"/>
  <c r="BY111" i="93"/>
  <c r="BZ111" i="93"/>
  <c r="CA111" i="93"/>
  <c r="CB111" i="93"/>
  <c r="CC111" i="93"/>
  <c r="CD111" i="93"/>
  <c r="CE111" i="93"/>
  <c r="CF111" i="93"/>
  <c r="CG111" i="93"/>
  <c r="CH111" i="93"/>
  <c r="CI111" i="93"/>
  <c r="CJ111" i="93"/>
  <c r="CK111" i="93"/>
  <c r="CL111" i="93"/>
  <c r="CM111" i="93"/>
  <c r="CN111" i="93"/>
  <c r="CO111" i="93"/>
  <c r="CP111" i="93"/>
  <c r="CQ111" i="93"/>
  <c r="CR111" i="93"/>
  <c r="CS111" i="93"/>
  <c r="CT111" i="93"/>
  <c r="CU111" i="93"/>
  <c r="CV111" i="93"/>
  <c r="CW111" i="93"/>
  <c r="J112" i="93"/>
  <c r="K112" i="93"/>
  <c r="L112" i="93"/>
  <c r="M112" i="93"/>
  <c r="N112" i="93"/>
  <c r="O112" i="93"/>
  <c r="P112" i="93"/>
  <c r="Q112" i="93"/>
  <c r="R112" i="93"/>
  <c r="S112" i="93"/>
  <c r="T112" i="93"/>
  <c r="U112" i="93"/>
  <c r="V112" i="93"/>
  <c r="W112" i="93"/>
  <c r="X112" i="93"/>
  <c r="Y112" i="93"/>
  <c r="Z112" i="93"/>
  <c r="AA112" i="93"/>
  <c r="AB112" i="93"/>
  <c r="AC112" i="93"/>
  <c r="AD112" i="93"/>
  <c r="AE112" i="93"/>
  <c r="AF112" i="93"/>
  <c r="AG112" i="93"/>
  <c r="AH112" i="93"/>
  <c r="AI112" i="93"/>
  <c r="AJ112" i="93"/>
  <c r="AK112" i="93"/>
  <c r="AL112" i="93"/>
  <c r="AM112" i="93"/>
  <c r="AN112" i="93"/>
  <c r="AO112" i="93"/>
  <c r="AP112" i="93"/>
  <c r="AQ112" i="93"/>
  <c r="AR112" i="93"/>
  <c r="AS112" i="93"/>
  <c r="AT112" i="93"/>
  <c r="AU112" i="93"/>
  <c r="AV112" i="93"/>
  <c r="AW112" i="93"/>
  <c r="AX112" i="93"/>
  <c r="AY112" i="93"/>
  <c r="AZ112" i="93"/>
  <c r="BA112" i="93"/>
  <c r="BB112" i="93"/>
  <c r="BC112" i="93"/>
  <c r="BD112" i="93"/>
  <c r="BE112" i="93"/>
  <c r="BF112" i="93"/>
  <c r="BG112" i="93"/>
  <c r="BH112" i="93"/>
  <c r="BI112" i="93"/>
  <c r="BJ112" i="93"/>
  <c r="BK112" i="93"/>
  <c r="BL112" i="93"/>
  <c r="BM112" i="93"/>
  <c r="BN112" i="93"/>
  <c r="BO112" i="93"/>
  <c r="BP112" i="93"/>
  <c r="BQ112" i="93"/>
  <c r="BR112" i="93"/>
  <c r="BS112" i="93"/>
  <c r="BT112" i="93"/>
  <c r="BU112" i="93"/>
  <c r="BV112" i="93"/>
  <c r="BW112" i="93"/>
  <c r="BX112" i="93"/>
  <c r="BY112" i="93"/>
  <c r="BZ112" i="93"/>
  <c r="CA112" i="93"/>
  <c r="CB112" i="93"/>
  <c r="CC112" i="93"/>
  <c r="CD112" i="93"/>
  <c r="CE112" i="93"/>
  <c r="CF112" i="93"/>
  <c r="CG112" i="93"/>
  <c r="CH112" i="93"/>
  <c r="CI112" i="93"/>
  <c r="CJ112" i="93"/>
  <c r="CK112" i="93"/>
  <c r="CL112" i="93"/>
  <c r="CM112" i="93"/>
  <c r="CN112" i="93"/>
  <c r="CO112" i="93"/>
  <c r="CP112" i="93"/>
  <c r="CQ112" i="93"/>
  <c r="CR112" i="93"/>
  <c r="CS112" i="93"/>
  <c r="CT112" i="93"/>
  <c r="CU112" i="93"/>
  <c r="CV112" i="93"/>
  <c r="CW112" i="93"/>
  <c r="J113" i="93"/>
  <c r="K113" i="93"/>
  <c r="L113" i="93"/>
  <c r="M113" i="93"/>
  <c r="N113" i="93"/>
  <c r="O113" i="93"/>
  <c r="P113" i="93"/>
  <c r="Q113" i="93"/>
  <c r="R113" i="93"/>
  <c r="S113" i="93"/>
  <c r="T113" i="93"/>
  <c r="U113" i="93"/>
  <c r="V113" i="93"/>
  <c r="W113" i="93"/>
  <c r="X113" i="93"/>
  <c r="Y113" i="93"/>
  <c r="Z113" i="93"/>
  <c r="AA113" i="93"/>
  <c r="AB113" i="93"/>
  <c r="AC113" i="93"/>
  <c r="AD113" i="93"/>
  <c r="AE113" i="93"/>
  <c r="AF113" i="93"/>
  <c r="AG113" i="93"/>
  <c r="AH113" i="93"/>
  <c r="AI113" i="93"/>
  <c r="AJ113" i="93"/>
  <c r="AK113" i="93"/>
  <c r="AL113" i="93"/>
  <c r="AM113" i="93"/>
  <c r="AN113" i="93"/>
  <c r="AO113" i="93"/>
  <c r="AP113" i="93"/>
  <c r="AQ113" i="93"/>
  <c r="AR113" i="93"/>
  <c r="AS113" i="93"/>
  <c r="AT113" i="93"/>
  <c r="AU113" i="93"/>
  <c r="AV113" i="93"/>
  <c r="AW113" i="93"/>
  <c r="AX113" i="93"/>
  <c r="AY113" i="93"/>
  <c r="AZ113" i="93"/>
  <c r="BA113" i="93"/>
  <c r="BB113" i="93"/>
  <c r="BC113" i="93"/>
  <c r="BD113" i="93"/>
  <c r="BE113" i="93"/>
  <c r="BF113" i="93"/>
  <c r="BG113" i="93"/>
  <c r="BH113" i="93"/>
  <c r="BI113" i="93"/>
  <c r="BJ113" i="93"/>
  <c r="BK113" i="93"/>
  <c r="BL113" i="93"/>
  <c r="BM113" i="93"/>
  <c r="BN113" i="93"/>
  <c r="BO113" i="93"/>
  <c r="BP113" i="93"/>
  <c r="BQ113" i="93"/>
  <c r="BR113" i="93"/>
  <c r="BS113" i="93"/>
  <c r="BT113" i="93"/>
  <c r="BU113" i="93"/>
  <c r="BV113" i="93"/>
  <c r="BW113" i="93"/>
  <c r="BX113" i="93"/>
  <c r="BY113" i="93"/>
  <c r="BZ113" i="93"/>
  <c r="CA113" i="93"/>
  <c r="CB113" i="93"/>
  <c r="CC113" i="93"/>
  <c r="CD113" i="93"/>
  <c r="CE113" i="93"/>
  <c r="CF113" i="93"/>
  <c r="CG113" i="93"/>
  <c r="CH113" i="93"/>
  <c r="CI113" i="93"/>
  <c r="CJ113" i="93"/>
  <c r="CK113" i="93"/>
  <c r="CL113" i="93"/>
  <c r="CM113" i="93"/>
  <c r="CN113" i="93"/>
  <c r="CO113" i="93"/>
  <c r="CP113" i="93"/>
  <c r="CQ113" i="93"/>
  <c r="CR113" i="93"/>
  <c r="CS113" i="93"/>
  <c r="CT113" i="93"/>
  <c r="CU113" i="93"/>
  <c r="CV113" i="93"/>
  <c r="CW113" i="93"/>
  <c r="J114" i="93"/>
  <c r="K114" i="93"/>
  <c r="L114" i="93"/>
  <c r="M114" i="93"/>
  <c r="N114" i="93"/>
  <c r="O114" i="93"/>
  <c r="P114" i="93"/>
  <c r="Q114" i="93"/>
  <c r="R114" i="93"/>
  <c r="S114" i="93"/>
  <c r="T114" i="93"/>
  <c r="U114" i="93"/>
  <c r="V114" i="93"/>
  <c r="W114" i="93"/>
  <c r="X114" i="93"/>
  <c r="Y114" i="93"/>
  <c r="Z114" i="93"/>
  <c r="AA114" i="93"/>
  <c r="AB114" i="93"/>
  <c r="AC114" i="93"/>
  <c r="AD114" i="93"/>
  <c r="AE114" i="93"/>
  <c r="AF114" i="93"/>
  <c r="AG114" i="93"/>
  <c r="AH114" i="93"/>
  <c r="AI114" i="93"/>
  <c r="AJ114" i="93"/>
  <c r="AK114" i="93"/>
  <c r="AL114" i="93"/>
  <c r="AM114" i="93"/>
  <c r="AN114" i="93"/>
  <c r="AO114" i="93"/>
  <c r="AP114" i="93"/>
  <c r="AQ114" i="93"/>
  <c r="AR114" i="93"/>
  <c r="AS114" i="93"/>
  <c r="AT114" i="93"/>
  <c r="AU114" i="93"/>
  <c r="AV114" i="93"/>
  <c r="AW114" i="93"/>
  <c r="AX114" i="93"/>
  <c r="AY114" i="93"/>
  <c r="AZ114" i="93"/>
  <c r="BA114" i="93"/>
  <c r="BB114" i="93"/>
  <c r="BC114" i="93"/>
  <c r="BD114" i="93"/>
  <c r="BE114" i="93"/>
  <c r="BF114" i="93"/>
  <c r="BG114" i="93"/>
  <c r="BH114" i="93"/>
  <c r="BI114" i="93"/>
  <c r="BJ114" i="93"/>
  <c r="BK114" i="93"/>
  <c r="BL114" i="93"/>
  <c r="BM114" i="93"/>
  <c r="BN114" i="93"/>
  <c r="BO114" i="93"/>
  <c r="BP114" i="93"/>
  <c r="BQ114" i="93"/>
  <c r="BR114" i="93"/>
  <c r="BS114" i="93"/>
  <c r="BT114" i="93"/>
  <c r="BU114" i="93"/>
  <c r="BV114" i="93"/>
  <c r="BW114" i="93"/>
  <c r="BX114" i="93"/>
  <c r="BY114" i="93"/>
  <c r="BZ114" i="93"/>
  <c r="CA114" i="93"/>
  <c r="CB114" i="93"/>
  <c r="CC114" i="93"/>
  <c r="CD114" i="93"/>
  <c r="CE114" i="93"/>
  <c r="CF114" i="93"/>
  <c r="CG114" i="93"/>
  <c r="CH114" i="93"/>
  <c r="CI114" i="93"/>
  <c r="CJ114" i="93"/>
  <c r="CK114" i="93"/>
  <c r="CL114" i="93"/>
  <c r="CM114" i="93"/>
  <c r="CN114" i="93"/>
  <c r="CO114" i="93"/>
  <c r="CP114" i="93"/>
  <c r="CQ114" i="93"/>
  <c r="CR114" i="93"/>
  <c r="CS114" i="93"/>
  <c r="CT114" i="93"/>
  <c r="CU114" i="93"/>
  <c r="CV114" i="93"/>
  <c r="CW114" i="93"/>
  <c r="J115" i="93"/>
  <c r="K115" i="93"/>
  <c r="L115" i="93"/>
  <c r="M115" i="93"/>
  <c r="N115" i="93"/>
  <c r="O115" i="93"/>
  <c r="P115" i="93"/>
  <c r="Q115" i="93"/>
  <c r="R115" i="93"/>
  <c r="S115" i="93"/>
  <c r="T115" i="93"/>
  <c r="U115" i="93"/>
  <c r="V115" i="93"/>
  <c r="W115" i="93"/>
  <c r="X115" i="93"/>
  <c r="Y115" i="93"/>
  <c r="Z115" i="93"/>
  <c r="AA115" i="93"/>
  <c r="AB115" i="93"/>
  <c r="AC115" i="93"/>
  <c r="AD115" i="93"/>
  <c r="AE115" i="93"/>
  <c r="AF115" i="93"/>
  <c r="AG115" i="93"/>
  <c r="AH115" i="93"/>
  <c r="AI115" i="93"/>
  <c r="AJ115" i="93"/>
  <c r="AK115" i="93"/>
  <c r="AL115" i="93"/>
  <c r="AM115" i="93"/>
  <c r="AN115" i="93"/>
  <c r="AO115" i="93"/>
  <c r="AP115" i="93"/>
  <c r="AQ115" i="93"/>
  <c r="AR115" i="93"/>
  <c r="AS115" i="93"/>
  <c r="AT115" i="93"/>
  <c r="AU115" i="93"/>
  <c r="AV115" i="93"/>
  <c r="AW115" i="93"/>
  <c r="AX115" i="93"/>
  <c r="AY115" i="93"/>
  <c r="AZ115" i="93"/>
  <c r="BA115" i="93"/>
  <c r="BB115" i="93"/>
  <c r="BC115" i="93"/>
  <c r="BD115" i="93"/>
  <c r="BE115" i="93"/>
  <c r="BF115" i="93"/>
  <c r="BG115" i="93"/>
  <c r="BH115" i="93"/>
  <c r="BI115" i="93"/>
  <c r="BJ115" i="93"/>
  <c r="BK115" i="93"/>
  <c r="BL115" i="93"/>
  <c r="BM115" i="93"/>
  <c r="BN115" i="93"/>
  <c r="BO115" i="93"/>
  <c r="BP115" i="93"/>
  <c r="BQ115" i="93"/>
  <c r="BR115" i="93"/>
  <c r="BS115" i="93"/>
  <c r="BT115" i="93"/>
  <c r="BU115" i="93"/>
  <c r="BV115" i="93"/>
  <c r="BW115" i="93"/>
  <c r="BX115" i="93"/>
  <c r="BY115" i="93"/>
  <c r="BZ115" i="93"/>
  <c r="CA115" i="93"/>
  <c r="CB115" i="93"/>
  <c r="CC115" i="93"/>
  <c r="CD115" i="93"/>
  <c r="CE115" i="93"/>
  <c r="CF115" i="93"/>
  <c r="CG115" i="93"/>
  <c r="CH115" i="93"/>
  <c r="CI115" i="93"/>
  <c r="CJ115" i="93"/>
  <c r="CK115" i="93"/>
  <c r="CL115" i="93"/>
  <c r="CM115" i="93"/>
  <c r="CN115" i="93"/>
  <c r="CO115" i="93"/>
  <c r="CP115" i="93"/>
  <c r="CQ115" i="93"/>
  <c r="CR115" i="93"/>
  <c r="CS115" i="93"/>
  <c r="CT115" i="93"/>
  <c r="CU115" i="93"/>
  <c r="CV115" i="93"/>
  <c r="CW115" i="93"/>
  <c r="J116" i="93"/>
  <c r="K116" i="93"/>
  <c r="L116" i="93"/>
  <c r="M116" i="93"/>
  <c r="N116" i="93"/>
  <c r="O116" i="93"/>
  <c r="P116" i="93"/>
  <c r="Q116" i="93"/>
  <c r="R116" i="93"/>
  <c r="S116" i="93"/>
  <c r="T116" i="93"/>
  <c r="U116" i="93"/>
  <c r="V116" i="93"/>
  <c r="W116" i="93"/>
  <c r="X116" i="93"/>
  <c r="Y116" i="93"/>
  <c r="Z116" i="93"/>
  <c r="AA116" i="93"/>
  <c r="AB116" i="93"/>
  <c r="AC116" i="93"/>
  <c r="AD116" i="93"/>
  <c r="AE116" i="93"/>
  <c r="AF116" i="93"/>
  <c r="AG116" i="93"/>
  <c r="AH116" i="93"/>
  <c r="AI116" i="93"/>
  <c r="AJ116" i="93"/>
  <c r="AK116" i="93"/>
  <c r="AL116" i="93"/>
  <c r="AM116" i="93"/>
  <c r="AN116" i="93"/>
  <c r="AO116" i="93"/>
  <c r="AP116" i="93"/>
  <c r="AQ116" i="93"/>
  <c r="AR116" i="93"/>
  <c r="AS116" i="93"/>
  <c r="AT116" i="93"/>
  <c r="AU116" i="93"/>
  <c r="AV116" i="93"/>
  <c r="AW116" i="93"/>
  <c r="AX116" i="93"/>
  <c r="AY116" i="93"/>
  <c r="AZ116" i="93"/>
  <c r="BA116" i="93"/>
  <c r="BB116" i="93"/>
  <c r="BC116" i="93"/>
  <c r="BD116" i="93"/>
  <c r="BE116" i="93"/>
  <c r="BF116" i="93"/>
  <c r="BG116" i="93"/>
  <c r="BH116" i="93"/>
  <c r="BI116" i="93"/>
  <c r="BJ116" i="93"/>
  <c r="BK116" i="93"/>
  <c r="BL116" i="93"/>
  <c r="BM116" i="93"/>
  <c r="BN116" i="93"/>
  <c r="BO116" i="93"/>
  <c r="BP116" i="93"/>
  <c r="BQ116" i="93"/>
  <c r="BR116" i="93"/>
  <c r="BS116" i="93"/>
  <c r="BT116" i="93"/>
  <c r="BU116" i="93"/>
  <c r="BV116" i="93"/>
  <c r="BW116" i="93"/>
  <c r="BX116" i="93"/>
  <c r="BY116" i="93"/>
  <c r="BZ116" i="93"/>
  <c r="CA116" i="93"/>
  <c r="CB116" i="93"/>
  <c r="CC116" i="93"/>
  <c r="CD116" i="93"/>
  <c r="CE116" i="93"/>
  <c r="CF116" i="93"/>
  <c r="CG116" i="93"/>
  <c r="CH116" i="93"/>
  <c r="CI116" i="93"/>
  <c r="CJ116" i="93"/>
  <c r="CK116" i="93"/>
  <c r="CL116" i="93"/>
  <c r="CM116" i="93"/>
  <c r="CN116" i="93"/>
  <c r="CO116" i="93"/>
  <c r="CP116" i="93"/>
  <c r="CQ116" i="93"/>
  <c r="CR116" i="93"/>
  <c r="CS116" i="93"/>
  <c r="CT116" i="93"/>
  <c r="CU116" i="93"/>
  <c r="CV116" i="93"/>
  <c r="CW116" i="93"/>
  <c r="J117" i="93"/>
  <c r="K117" i="93"/>
  <c r="L117" i="93"/>
  <c r="M117" i="93"/>
  <c r="N117" i="93"/>
  <c r="O117" i="93"/>
  <c r="P117" i="93"/>
  <c r="Q117" i="93"/>
  <c r="R117" i="93"/>
  <c r="S117" i="93"/>
  <c r="T117" i="93"/>
  <c r="U117" i="93"/>
  <c r="V117" i="93"/>
  <c r="W117" i="93"/>
  <c r="X117" i="93"/>
  <c r="Y117" i="93"/>
  <c r="Z117" i="93"/>
  <c r="AA117" i="93"/>
  <c r="AB117" i="93"/>
  <c r="AC117" i="93"/>
  <c r="AD117" i="93"/>
  <c r="AE117" i="93"/>
  <c r="AF117" i="93"/>
  <c r="AG117" i="93"/>
  <c r="AH117" i="93"/>
  <c r="AI117" i="93"/>
  <c r="AJ117" i="93"/>
  <c r="AK117" i="93"/>
  <c r="AL117" i="93"/>
  <c r="AM117" i="93"/>
  <c r="AN117" i="93"/>
  <c r="AO117" i="93"/>
  <c r="AP117" i="93"/>
  <c r="AQ117" i="93"/>
  <c r="AR117" i="93"/>
  <c r="AS117" i="93"/>
  <c r="AT117" i="93"/>
  <c r="AU117" i="93"/>
  <c r="AV117" i="93"/>
  <c r="AW117" i="93"/>
  <c r="AX117" i="93"/>
  <c r="AY117" i="93"/>
  <c r="AZ117" i="93"/>
  <c r="BA117" i="93"/>
  <c r="BB117" i="93"/>
  <c r="BC117" i="93"/>
  <c r="BD117" i="93"/>
  <c r="BE117" i="93"/>
  <c r="BF117" i="93"/>
  <c r="BG117" i="93"/>
  <c r="BH117" i="93"/>
  <c r="BI117" i="93"/>
  <c r="BJ117" i="93"/>
  <c r="BK117" i="93"/>
  <c r="BL117" i="93"/>
  <c r="BM117" i="93"/>
  <c r="BN117" i="93"/>
  <c r="BO117" i="93"/>
  <c r="BP117" i="93"/>
  <c r="BQ117" i="93"/>
  <c r="BR117" i="93"/>
  <c r="BS117" i="93"/>
  <c r="BT117" i="93"/>
  <c r="BU117" i="93"/>
  <c r="BV117" i="93"/>
  <c r="BW117" i="93"/>
  <c r="BX117" i="93"/>
  <c r="BY117" i="93"/>
  <c r="BZ117" i="93"/>
  <c r="CA117" i="93"/>
  <c r="CB117" i="93"/>
  <c r="CC117" i="93"/>
  <c r="CD117" i="93"/>
  <c r="CE117" i="93"/>
  <c r="CF117" i="93"/>
  <c r="CG117" i="93"/>
  <c r="CH117" i="93"/>
  <c r="CI117" i="93"/>
  <c r="CJ117" i="93"/>
  <c r="CK117" i="93"/>
  <c r="CL117" i="93"/>
  <c r="CM117" i="93"/>
  <c r="CN117" i="93"/>
  <c r="CO117" i="93"/>
  <c r="CP117" i="93"/>
  <c r="CQ117" i="93"/>
  <c r="CR117" i="93"/>
  <c r="CS117" i="93"/>
  <c r="CT117" i="93"/>
  <c r="CU117" i="93"/>
  <c r="CV117" i="93"/>
  <c r="CW117" i="93"/>
  <c r="J118" i="93"/>
  <c r="K118" i="93"/>
  <c r="L118" i="93"/>
  <c r="M118" i="93"/>
  <c r="N118" i="93"/>
  <c r="O118" i="93"/>
  <c r="P118" i="93"/>
  <c r="Q118" i="93"/>
  <c r="R118" i="93"/>
  <c r="S118" i="93"/>
  <c r="T118" i="93"/>
  <c r="U118" i="93"/>
  <c r="V118" i="93"/>
  <c r="W118" i="93"/>
  <c r="X118" i="93"/>
  <c r="Y118" i="93"/>
  <c r="Z118" i="93"/>
  <c r="AA118" i="93"/>
  <c r="AB118" i="93"/>
  <c r="AC118" i="93"/>
  <c r="AD118" i="93"/>
  <c r="AE118" i="93"/>
  <c r="AF118" i="93"/>
  <c r="AG118" i="93"/>
  <c r="AH118" i="93"/>
  <c r="AI118" i="93"/>
  <c r="AJ118" i="93"/>
  <c r="AK118" i="93"/>
  <c r="AL118" i="93"/>
  <c r="AM118" i="93"/>
  <c r="AN118" i="93"/>
  <c r="AO118" i="93"/>
  <c r="AP118" i="93"/>
  <c r="AQ118" i="93"/>
  <c r="AR118" i="93"/>
  <c r="AS118" i="93"/>
  <c r="AT118" i="93"/>
  <c r="AU118" i="93"/>
  <c r="AV118" i="93"/>
  <c r="AW118" i="93"/>
  <c r="AX118" i="93"/>
  <c r="AY118" i="93"/>
  <c r="AZ118" i="93"/>
  <c r="BA118" i="93"/>
  <c r="BB118" i="93"/>
  <c r="BC118" i="93"/>
  <c r="BD118" i="93"/>
  <c r="BE118" i="93"/>
  <c r="BF118" i="93"/>
  <c r="BG118" i="93"/>
  <c r="BH118" i="93"/>
  <c r="BI118" i="93"/>
  <c r="BJ118" i="93"/>
  <c r="BK118" i="93"/>
  <c r="BL118" i="93"/>
  <c r="BM118" i="93"/>
  <c r="BN118" i="93"/>
  <c r="BO118" i="93"/>
  <c r="BP118" i="93"/>
  <c r="BQ118" i="93"/>
  <c r="BR118" i="93"/>
  <c r="BS118" i="93"/>
  <c r="BT118" i="93"/>
  <c r="BU118" i="93"/>
  <c r="BV118" i="93"/>
  <c r="BW118" i="93"/>
  <c r="BX118" i="93"/>
  <c r="BY118" i="93"/>
  <c r="BZ118" i="93"/>
  <c r="CA118" i="93"/>
  <c r="CB118" i="93"/>
  <c r="CC118" i="93"/>
  <c r="CD118" i="93"/>
  <c r="CE118" i="93"/>
  <c r="CF118" i="93"/>
  <c r="CG118" i="93"/>
  <c r="CH118" i="93"/>
  <c r="CI118" i="93"/>
  <c r="CJ118" i="93"/>
  <c r="CK118" i="93"/>
  <c r="CL118" i="93"/>
  <c r="CM118" i="93"/>
  <c r="CN118" i="93"/>
  <c r="CO118" i="93"/>
  <c r="CP118" i="93"/>
  <c r="CQ118" i="93"/>
  <c r="CR118" i="93"/>
  <c r="CS118" i="93"/>
  <c r="CT118" i="93"/>
  <c r="CU118" i="93"/>
  <c r="CV118" i="93"/>
  <c r="CW118" i="93"/>
  <c r="J119" i="93"/>
  <c r="K119" i="93"/>
  <c r="L119" i="93"/>
  <c r="M119" i="93"/>
  <c r="N119" i="93"/>
  <c r="O119" i="93"/>
  <c r="P119" i="93"/>
  <c r="Q119" i="93"/>
  <c r="R119" i="93"/>
  <c r="S119" i="93"/>
  <c r="T119" i="93"/>
  <c r="U119" i="93"/>
  <c r="V119" i="93"/>
  <c r="W119" i="93"/>
  <c r="X119" i="93"/>
  <c r="Y119" i="93"/>
  <c r="Z119" i="93"/>
  <c r="AA119" i="93"/>
  <c r="AB119" i="93"/>
  <c r="AC119" i="93"/>
  <c r="AD119" i="93"/>
  <c r="AE119" i="93"/>
  <c r="AF119" i="93"/>
  <c r="AG119" i="93"/>
  <c r="AH119" i="93"/>
  <c r="AI119" i="93"/>
  <c r="AJ119" i="93"/>
  <c r="AK119" i="93"/>
  <c r="AL119" i="93"/>
  <c r="AM119" i="93"/>
  <c r="AN119" i="93"/>
  <c r="AO119" i="93"/>
  <c r="AP119" i="93"/>
  <c r="AQ119" i="93"/>
  <c r="AR119" i="93"/>
  <c r="AS119" i="93"/>
  <c r="AT119" i="93"/>
  <c r="AU119" i="93"/>
  <c r="AV119" i="93"/>
  <c r="AW119" i="93"/>
  <c r="AX119" i="93"/>
  <c r="AY119" i="93"/>
  <c r="AZ119" i="93"/>
  <c r="BA119" i="93"/>
  <c r="BB119" i="93"/>
  <c r="BC119" i="93"/>
  <c r="BD119" i="93"/>
  <c r="BE119" i="93"/>
  <c r="BF119" i="93"/>
  <c r="BG119" i="93"/>
  <c r="BH119" i="93"/>
  <c r="BI119" i="93"/>
  <c r="BJ119" i="93"/>
  <c r="BK119" i="93"/>
  <c r="BL119" i="93"/>
  <c r="BM119" i="93"/>
  <c r="BN119" i="93"/>
  <c r="BO119" i="93"/>
  <c r="BP119" i="93"/>
  <c r="BQ119" i="93"/>
  <c r="BR119" i="93"/>
  <c r="BS119" i="93"/>
  <c r="BT119" i="93"/>
  <c r="BU119" i="93"/>
  <c r="BV119" i="93"/>
  <c r="BW119" i="93"/>
  <c r="BX119" i="93"/>
  <c r="BY119" i="93"/>
  <c r="BZ119" i="93"/>
  <c r="CA119" i="93"/>
  <c r="CB119" i="93"/>
  <c r="CC119" i="93"/>
  <c r="CD119" i="93"/>
  <c r="CE119" i="93"/>
  <c r="CF119" i="93"/>
  <c r="CG119" i="93"/>
  <c r="CH119" i="93"/>
  <c r="CI119" i="93"/>
  <c r="CJ119" i="93"/>
  <c r="CK119" i="93"/>
  <c r="CL119" i="93"/>
  <c r="CM119" i="93"/>
  <c r="CN119" i="93"/>
  <c r="CO119" i="93"/>
  <c r="CP119" i="93"/>
  <c r="CQ119" i="93"/>
  <c r="CR119" i="93"/>
  <c r="CS119" i="93"/>
  <c r="CT119" i="93"/>
  <c r="CU119" i="93"/>
  <c r="CV119" i="93"/>
  <c r="CW119" i="93"/>
  <c r="J120" i="93"/>
  <c r="K120" i="93"/>
  <c r="L120" i="93"/>
  <c r="M120" i="93"/>
  <c r="N120" i="93"/>
  <c r="O120" i="93"/>
  <c r="P120" i="93"/>
  <c r="Q120" i="93"/>
  <c r="R120" i="93"/>
  <c r="S120" i="93"/>
  <c r="T120" i="93"/>
  <c r="U120" i="93"/>
  <c r="V120" i="93"/>
  <c r="W120" i="93"/>
  <c r="X120" i="93"/>
  <c r="Y120" i="93"/>
  <c r="Z120" i="93"/>
  <c r="AA120" i="93"/>
  <c r="AB120" i="93"/>
  <c r="AC120" i="93"/>
  <c r="AD120" i="93"/>
  <c r="AE120" i="93"/>
  <c r="AF120" i="93"/>
  <c r="AG120" i="93"/>
  <c r="AH120" i="93"/>
  <c r="AI120" i="93"/>
  <c r="AJ120" i="93"/>
  <c r="AK120" i="93"/>
  <c r="AL120" i="93"/>
  <c r="AM120" i="93"/>
  <c r="AN120" i="93"/>
  <c r="AO120" i="93"/>
  <c r="AP120" i="93"/>
  <c r="AQ120" i="93"/>
  <c r="AR120" i="93"/>
  <c r="AS120" i="93"/>
  <c r="AT120" i="93"/>
  <c r="AU120" i="93"/>
  <c r="AV120" i="93"/>
  <c r="AW120" i="93"/>
  <c r="AX120" i="93"/>
  <c r="AY120" i="93"/>
  <c r="AZ120" i="93"/>
  <c r="BA120" i="93"/>
  <c r="BB120" i="93"/>
  <c r="BC120" i="93"/>
  <c r="BD120" i="93"/>
  <c r="BE120" i="93"/>
  <c r="BF120" i="93"/>
  <c r="BG120" i="93"/>
  <c r="BH120" i="93"/>
  <c r="BI120" i="93"/>
  <c r="BJ120" i="93"/>
  <c r="BK120" i="93"/>
  <c r="BL120" i="93"/>
  <c r="BM120" i="93"/>
  <c r="BN120" i="93"/>
  <c r="BO120" i="93"/>
  <c r="BP120" i="93"/>
  <c r="BQ120" i="93"/>
  <c r="BR120" i="93"/>
  <c r="BS120" i="93"/>
  <c r="BT120" i="93"/>
  <c r="BU120" i="93"/>
  <c r="BV120" i="93"/>
  <c r="BW120" i="93"/>
  <c r="BX120" i="93"/>
  <c r="BY120" i="93"/>
  <c r="BZ120" i="93"/>
  <c r="CA120" i="93"/>
  <c r="CB120" i="93"/>
  <c r="CC120" i="93"/>
  <c r="CD120" i="93"/>
  <c r="CE120" i="93"/>
  <c r="CF120" i="93"/>
  <c r="CG120" i="93"/>
  <c r="CH120" i="93"/>
  <c r="CI120" i="93"/>
  <c r="CJ120" i="93"/>
  <c r="CK120" i="93"/>
  <c r="CL120" i="93"/>
  <c r="CM120" i="93"/>
  <c r="CN120" i="93"/>
  <c r="CO120" i="93"/>
  <c r="CP120" i="93"/>
  <c r="CQ120" i="93"/>
  <c r="CR120" i="93"/>
  <c r="CS120" i="93"/>
  <c r="CT120" i="93"/>
  <c r="CU120" i="93"/>
  <c r="CV120" i="93"/>
  <c r="CW120" i="93"/>
  <c r="J121" i="93"/>
  <c r="K121" i="93"/>
  <c r="L121" i="93"/>
  <c r="M121" i="93"/>
  <c r="N121" i="93"/>
  <c r="O121" i="93"/>
  <c r="P121" i="93"/>
  <c r="Q121" i="93"/>
  <c r="R121" i="93"/>
  <c r="S121" i="93"/>
  <c r="T121" i="93"/>
  <c r="U121" i="93"/>
  <c r="V121" i="93"/>
  <c r="W121" i="93"/>
  <c r="X121" i="93"/>
  <c r="Y121" i="93"/>
  <c r="Z121" i="93"/>
  <c r="AA121" i="93"/>
  <c r="AB121" i="93"/>
  <c r="AC121" i="93"/>
  <c r="AD121" i="93"/>
  <c r="AE121" i="93"/>
  <c r="AF121" i="93"/>
  <c r="AG121" i="93"/>
  <c r="AH121" i="93"/>
  <c r="AI121" i="93"/>
  <c r="AJ121" i="93"/>
  <c r="AK121" i="93"/>
  <c r="AL121" i="93"/>
  <c r="AM121" i="93"/>
  <c r="AN121" i="93"/>
  <c r="AO121" i="93"/>
  <c r="AP121" i="93"/>
  <c r="AQ121" i="93"/>
  <c r="AR121" i="93"/>
  <c r="AS121" i="93"/>
  <c r="AT121" i="93"/>
  <c r="AU121" i="93"/>
  <c r="AV121" i="93"/>
  <c r="AW121" i="93"/>
  <c r="AX121" i="93"/>
  <c r="AY121" i="93"/>
  <c r="AZ121" i="93"/>
  <c r="BA121" i="93"/>
  <c r="BB121" i="93"/>
  <c r="BC121" i="93"/>
  <c r="BD121" i="93"/>
  <c r="BE121" i="93"/>
  <c r="BF121" i="93"/>
  <c r="BG121" i="93"/>
  <c r="BH121" i="93"/>
  <c r="BI121" i="93"/>
  <c r="BJ121" i="93"/>
  <c r="BK121" i="93"/>
  <c r="BL121" i="93"/>
  <c r="BM121" i="93"/>
  <c r="BN121" i="93"/>
  <c r="BO121" i="93"/>
  <c r="BP121" i="93"/>
  <c r="BQ121" i="93"/>
  <c r="BR121" i="93"/>
  <c r="BS121" i="93"/>
  <c r="BT121" i="93"/>
  <c r="BU121" i="93"/>
  <c r="BV121" i="93"/>
  <c r="BW121" i="93"/>
  <c r="BX121" i="93"/>
  <c r="BY121" i="93"/>
  <c r="BZ121" i="93"/>
  <c r="CA121" i="93"/>
  <c r="CB121" i="93"/>
  <c r="CC121" i="93"/>
  <c r="CD121" i="93"/>
  <c r="CE121" i="93"/>
  <c r="CF121" i="93"/>
  <c r="CG121" i="93"/>
  <c r="CH121" i="93"/>
  <c r="CI121" i="93"/>
  <c r="CJ121" i="93"/>
  <c r="CK121" i="93"/>
  <c r="CL121" i="93"/>
  <c r="CM121" i="93"/>
  <c r="CN121" i="93"/>
  <c r="CO121" i="93"/>
  <c r="CP121" i="93"/>
  <c r="CQ121" i="93"/>
  <c r="CR121" i="93"/>
  <c r="CS121" i="93"/>
  <c r="CT121" i="93"/>
  <c r="CU121" i="93"/>
  <c r="CV121" i="93"/>
  <c r="CW121" i="93"/>
  <c r="J122" i="93"/>
  <c r="K122" i="93"/>
  <c r="L122" i="93"/>
  <c r="M122" i="93"/>
  <c r="N122" i="93"/>
  <c r="O122" i="93"/>
  <c r="P122" i="93"/>
  <c r="Q122" i="93"/>
  <c r="R122" i="93"/>
  <c r="S122" i="93"/>
  <c r="T122" i="93"/>
  <c r="U122" i="93"/>
  <c r="V122" i="93"/>
  <c r="W122" i="93"/>
  <c r="X122" i="93"/>
  <c r="Y122" i="93"/>
  <c r="Z122" i="93"/>
  <c r="AA122" i="93"/>
  <c r="AB122" i="93"/>
  <c r="AC122" i="93"/>
  <c r="AD122" i="93"/>
  <c r="AE122" i="93"/>
  <c r="AF122" i="93"/>
  <c r="AG122" i="93"/>
  <c r="AH122" i="93"/>
  <c r="AI122" i="93"/>
  <c r="AJ122" i="93"/>
  <c r="AK122" i="93"/>
  <c r="AL122" i="93"/>
  <c r="AM122" i="93"/>
  <c r="AN122" i="93"/>
  <c r="AO122" i="93"/>
  <c r="AP122" i="93"/>
  <c r="AQ122" i="93"/>
  <c r="AR122" i="93"/>
  <c r="AS122" i="93"/>
  <c r="AT122" i="93"/>
  <c r="AU122" i="93"/>
  <c r="AV122" i="93"/>
  <c r="AW122" i="93"/>
  <c r="AX122" i="93"/>
  <c r="AY122" i="93"/>
  <c r="AZ122" i="93"/>
  <c r="BA122" i="93"/>
  <c r="BB122" i="93"/>
  <c r="BC122" i="93"/>
  <c r="BD122" i="93"/>
  <c r="BE122" i="93"/>
  <c r="BF122" i="93"/>
  <c r="BG122" i="93"/>
  <c r="BH122" i="93"/>
  <c r="BI122" i="93"/>
  <c r="BJ122" i="93"/>
  <c r="BK122" i="93"/>
  <c r="BL122" i="93"/>
  <c r="BM122" i="93"/>
  <c r="BN122" i="93"/>
  <c r="BO122" i="93"/>
  <c r="BP122" i="93"/>
  <c r="BQ122" i="93"/>
  <c r="BR122" i="93"/>
  <c r="BS122" i="93"/>
  <c r="BT122" i="93"/>
  <c r="BU122" i="93"/>
  <c r="BV122" i="93"/>
  <c r="BW122" i="93"/>
  <c r="BX122" i="93"/>
  <c r="BY122" i="93"/>
  <c r="BZ122" i="93"/>
  <c r="CA122" i="93"/>
  <c r="CB122" i="93"/>
  <c r="CC122" i="93"/>
  <c r="CD122" i="93"/>
  <c r="CE122" i="93"/>
  <c r="CF122" i="93"/>
  <c r="CG122" i="93"/>
  <c r="CH122" i="93"/>
  <c r="CI122" i="93"/>
  <c r="CJ122" i="93"/>
  <c r="CK122" i="93"/>
  <c r="CL122" i="93"/>
  <c r="CM122" i="93"/>
  <c r="CN122" i="93"/>
  <c r="CO122" i="93"/>
  <c r="CP122" i="93"/>
  <c r="CQ122" i="93"/>
  <c r="CR122" i="93"/>
  <c r="CS122" i="93"/>
  <c r="CT122" i="93"/>
  <c r="CU122" i="93"/>
  <c r="CV122" i="93"/>
  <c r="CW122" i="93"/>
  <c r="J123" i="93"/>
  <c r="K123" i="93"/>
  <c r="L123" i="93"/>
  <c r="M123" i="93"/>
  <c r="N123" i="93"/>
  <c r="O123" i="93"/>
  <c r="P123" i="93"/>
  <c r="Q123" i="93"/>
  <c r="R123" i="93"/>
  <c r="S123" i="93"/>
  <c r="T123" i="93"/>
  <c r="U123" i="93"/>
  <c r="V123" i="93"/>
  <c r="W123" i="93"/>
  <c r="X123" i="93"/>
  <c r="Y123" i="93"/>
  <c r="Z123" i="93"/>
  <c r="AA123" i="93"/>
  <c r="AB123" i="93"/>
  <c r="AC123" i="93"/>
  <c r="AD123" i="93"/>
  <c r="AE123" i="93"/>
  <c r="AF123" i="93"/>
  <c r="AG123" i="93"/>
  <c r="AH123" i="93"/>
  <c r="AI123" i="93"/>
  <c r="AJ123" i="93"/>
  <c r="AK123" i="93"/>
  <c r="AL123" i="93"/>
  <c r="AM123" i="93"/>
  <c r="AN123" i="93"/>
  <c r="AO123" i="93"/>
  <c r="AP123" i="93"/>
  <c r="AQ123" i="93"/>
  <c r="AR123" i="93"/>
  <c r="AS123" i="93"/>
  <c r="AT123" i="93"/>
  <c r="AU123" i="93"/>
  <c r="AV123" i="93"/>
  <c r="AW123" i="93"/>
  <c r="AX123" i="93"/>
  <c r="AY123" i="93"/>
  <c r="AZ123" i="93"/>
  <c r="BA123" i="93"/>
  <c r="BB123" i="93"/>
  <c r="BC123" i="93"/>
  <c r="BD123" i="93"/>
  <c r="BE123" i="93"/>
  <c r="BF123" i="93"/>
  <c r="BG123" i="93"/>
  <c r="BH123" i="93"/>
  <c r="BI123" i="93"/>
  <c r="BJ123" i="93"/>
  <c r="BK123" i="93"/>
  <c r="BL123" i="93"/>
  <c r="BM123" i="93"/>
  <c r="BN123" i="93"/>
  <c r="BO123" i="93"/>
  <c r="BP123" i="93"/>
  <c r="BQ123" i="93"/>
  <c r="BR123" i="93"/>
  <c r="BS123" i="93"/>
  <c r="BT123" i="93"/>
  <c r="BU123" i="93"/>
  <c r="BV123" i="93"/>
  <c r="BW123" i="93"/>
  <c r="BX123" i="93"/>
  <c r="BY123" i="93"/>
  <c r="BZ123" i="93"/>
  <c r="CA123" i="93"/>
  <c r="CB123" i="93"/>
  <c r="CC123" i="93"/>
  <c r="CD123" i="93"/>
  <c r="CE123" i="93"/>
  <c r="CF123" i="93"/>
  <c r="CG123" i="93"/>
  <c r="CH123" i="93"/>
  <c r="CI123" i="93"/>
  <c r="CJ123" i="93"/>
  <c r="CK123" i="93"/>
  <c r="CL123" i="93"/>
  <c r="CM123" i="93"/>
  <c r="CN123" i="93"/>
  <c r="CO123" i="93"/>
  <c r="CP123" i="93"/>
  <c r="CQ123" i="93"/>
  <c r="CR123" i="93"/>
  <c r="CS123" i="93"/>
  <c r="CT123" i="93"/>
  <c r="CU123" i="93"/>
  <c r="CV123" i="93"/>
  <c r="CW123" i="93"/>
  <c r="J124" i="93"/>
  <c r="K124" i="93"/>
  <c r="L124" i="93"/>
  <c r="M124" i="93"/>
  <c r="N124" i="93"/>
  <c r="O124" i="93"/>
  <c r="P124" i="93"/>
  <c r="Q124" i="93"/>
  <c r="R124" i="93"/>
  <c r="S124" i="93"/>
  <c r="T124" i="93"/>
  <c r="U124" i="93"/>
  <c r="V124" i="93"/>
  <c r="W124" i="93"/>
  <c r="X124" i="93"/>
  <c r="Y124" i="93"/>
  <c r="Z124" i="93"/>
  <c r="AA124" i="93"/>
  <c r="AB124" i="93"/>
  <c r="AC124" i="93"/>
  <c r="AD124" i="93"/>
  <c r="AE124" i="93"/>
  <c r="AF124" i="93"/>
  <c r="AG124" i="93"/>
  <c r="AH124" i="93"/>
  <c r="AI124" i="93"/>
  <c r="AJ124" i="93"/>
  <c r="AK124" i="93"/>
  <c r="AL124" i="93"/>
  <c r="AM124" i="93"/>
  <c r="AN124" i="93"/>
  <c r="AO124" i="93"/>
  <c r="AP124" i="93"/>
  <c r="AQ124" i="93"/>
  <c r="AR124" i="93"/>
  <c r="AS124" i="93"/>
  <c r="AT124" i="93"/>
  <c r="AU124" i="93"/>
  <c r="AV124" i="93"/>
  <c r="AW124" i="93"/>
  <c r="AX124" i="93"/>
  <c r="AY124" i="93"/>
  <c r="AZ124" i="93"/>
  <c r="BA124" i="93"/>
  <c r="BB124" i="93"/>
  <c r="BC124" i="93"/>
  <c r="BD124" i="93"/>
  <c r="BE124" i="93"/>
  <c r="BF124" i="93"/>
  <c r="BG124" i="93"/>
  <c r="BH124" i="93"/>
  <c r="BI124" i="93"/>
  <c r="BJ124" i="93"/>
  <c r="BK124" i="93"/>
  <c r="BL124" i="93"/>
  <c r="BM124" i="93"/>
  <c r="BN124" i="93"/>
  <c r="BO124" i="93"/>
  <c r="BP124" i="93"/>
  <c r="BQ124" i="93"/>
  <c r="BR124" i="93"/>
  <c r="BS124" i="93"/>
  <c r="BT124" i="93"/>
  <c r="BU124" i="93"/>
  <c r="BV124" i="93"/>
  <c r="BW124" i="93"/>
  <c r="BX124" i="93"/>
  <c r="BY124" i="93"/>
  <c r="BZ124" i="93"/>
  <c r="CA124" i="93"/>
  <c r="CB124" i="93"/>
  <c r="CC124" i="93"/>
  <c r="CD124" i="93"/>
  <c r="CE124" i="93"/>
  <c r="CF124" i="93"/>
  <c r="CG124" i="93"/>
  <c r="CH124" i="93"/>
  <c r="CI124" i="93"/>
  <c r="CJ124" i="93"/>
  <c r="CK124" i="93"/>
  <c r="CL124" i="93"/>
  <c r="CM124" i="93"/>
  <c r="CN124" i="93"/>
  <c r="CO124" i="93"/>
  <c r="CP124" i="93"/>
  <c r="CQ124" i="93"/>
  <c r="CR124" i="93"/>
  <c r="CS124" i="93"/>
  <c r="CT124" i="93"/>
  <c r="CU124" i="93"/>
  <c r="CV124" i="93"/>
  <c r="CW124" i="93"/>
  <c r="J125" i="93"/>
  <c r="K125" i="93"/>
  <c r="L125" i="93"/>
  <c r="M125" i="93"/>
  <c r="N125" i="93"/>
  <c r="O125" i="93"/>
  <c r="P125" i="93"/>
  <c r="Q125" i="93"/>
  <c r="R125" i="93"/>
  <c r="S125" i="93"/>
  <c r="T125" i="93"/>
  <c r="U125" i="93"/>
  <c r="V125" i="93"/>
  <c r="W125" i="93"/>
  <c r="X125" i="93"/>
  <c r="Y125" i="93"/>
  <c r="Z125" i="93"/>
  <c r="AA125" i="93"/>
  <c r="AB125" i="93"/>
  <c r="AC125" i="93"/>
  <c r="AD125" i="93"/>
  <c r="AE125" i="93"/>
  <c r="AF125" i="93"/>
  <c r="AG125" i="93"/>
  <c r="AH125" i="93"/>
  <c r="AI125" i="93"/>
  <c r="AJ125" i="93"/>
  <c r="AK125" i="93"/>
  <c r="AL125" i="93"/>
  <c r="AM125" i="93"/>
  <c r="AN125" i="93"/>
  <c r="AO125" i="93"/>
  <c r="AP125" i="93"/>
  <c r="AQ125" i="93"/>
  <c r="AR125" i="93"/>
  <c r="AS125" i="93"/>
  <c r="AT125" i="93"/>
  <c r="AU125" i="93"/>
  <c r="AV125" i="93"/>
  <c r="AW125" i="93"/>
  <c r="AX125" i="93"/>
  <c r="AY125" i="93"/>
  <c r="AZ125" i="93"/>
  <c r="BA125" i="93"/>
  <c r="BB125" i="93"/>
  <c r="BC125" i="93"/>
  <c r="BD125" i="93"/>
  <c r="BE125" i="93"/>
  <c r="BF125" i="93"/>
  <c r="BG125" i="93"/>
  <c r="BH125" i="93"/>
  <c r="BI125" i="93"/>
  <c r="BJ125" i="93"/>
  <c r="BK125" i="93"/>
  <c r="BL125" i="93"/>
  <c r="BM125" i="93"/>
  <c r="BN125" i="93"/>
  <c r="BO125" i="93"/>
  <c r="BP125" i="93"/>
  <c r="BQ125" i="93"/>
  <c r="BR125" i="93"/>
  <c r="BS125" i="93"/>
  <c r="BT125" i="93"/>
  <c r="BU125" i="93"/>
  <c r="BV125" i="93"/>
  <c r="BW125" i="93"/>
  <c r="BX125" i="93"/>
  <c r="BY125" i="93"/>
  <c r="BZ125" i="93"/>
  <c r="CA125" i="93"/>
  <c r="CB125" i="93"/>
  <c r="CC125" i="93"/>
  <c r="CD125" i="93"/>
  <c r="CE125" i="93"/>
  <c r="CF125" i="93"/>
  <c r="CG125" i="93"/>
  <c r="CH125" i="93"/>
  <c r="CI125" i="93"/>
  <c r="CJ125" i="93"/>
  <c r="CK125" i="93"/>
  <c r="CL125" i="93"/>
  <c r="CM125" i="93"/>
  <c r="CN125" i="93"/>
  <c r="CO125" i="93"/>
  <c r="CP125" i="93"/>
  <c r="CQ125" i="93"/>
  <c r="CR125" i="93"/>
  <c r="CS125" i="93"/>
  <c r="CT125" i="93"/>
  <c r="CU125" i="93"/>
  <c r="CV125" i="93"/>
  <c r="CW125" i="93"/>
  <c r="J126" i="93"/>
  <c r="K126" i="93"/>
  <c r="L126" i="93"/>
  <c r="M126" i="93"/>
  <c r="N126" i="93"/>
  <c r="O126" i="93"/>
  <c r="P126" i="93"/>
  <c r="Q126" i="93"/>
  <c r="R126" i="93"/>
  <c r="S126" i="93"/>
  <c r="T126" i="93"/>
  <c r="U126" i="93"/>
  <c r="V126" i="93"/>
  <c r="W126" i="93"/>
  <c r="X126" i="93"/>
  <c r="Y126" i="93"/>
  <c r="Z126" i="93"/>
  <c r="AA126" i="93"/>
  <c r="AB126" i="93"/>
  <c r="AC126" i="93"/>
  <c r="AD126" i="93"/>
  <c r="AE126" i="93"/>
  <c r="AF126" i="93"/>
  <c r="AG126" i="93"/>
  <c r="AH126" i="93"/>
  <c r="AI126" i="93"/>
  <c r="AJ126" i="93"/>
  <c r="AK126" i="93"/>
  <c r="AL126" i="93"/>
  <c r="AM126" i="93"/>
  <c r="AN126" i="93"/>
  <c r="AO126" i="93"/>
  <c r="AP126" i="93"/>
  <c r="AQ126" i="93"/>
  <c r="AR126" i="93"/>
  <c r="AS126" i="93"/>
  <c r="AT126" i="93"/>
  <c r="AU126" i="93"/>
  <c r="AV126" i="93"/>
  <c r="AW126" i="93"/>
  <c r="AX126" i="93"/>
  <c r="AY126" i="93"/>
  <c r="AZ126" i="93"/>
  <c r="BA126" i="93"/>
  <c r="BB126" i="93"/>
  <c r="BC126" i="93"/>
  <c r="BD126" i="93"/>
  <c r="BE126" i="93"/>
  <c r="BF126" i="93"/>
  <c r="BG126" i="93"/>
  <c r="BH126" i="93"/>
  <c r="BI126" i="93"/>
  <c r="BJ126" i="93"/>
  <c r="BK126" i="93"/>
  <c r="BL126" i="93"/>
  <c r="BM126" i="93"/>
  <c r="BN126" i="93"/>
  <c r="BO126" i="93"/>
  <c r="BP126" i="93"/>
  <c r="BQ126" i="93"/>
  <c r="BR126" i="93"/>
  <c r="BS126" i="93"/>
  <c r="BT126" i="93"/>
  <c r="BU126" i="93"/>
  <c r="BV126" i="93"/>
  <c r="BW126" i="93"/>
  <c r="BX126" i="93"/>
  <c r="BY126" i="93"/>
  <c r="BZ126" i="93"/>
  <c r="CA126" i="93"/>
  <c r="CB126" i="93"/>
  <c r="CC126" i="93"/>
  <c r="CD126" i="93"/>
  <c r="CE126" i="93"/>
  <c r="CF126" i="93"/>
  <c r="CG126" i="93"/>
  <c r="CH126" i="93"/>
  <c r="CI126" i="93"/>
  <c r="CJ126" i="93"/>
  <c r="CK126" i="93"/>
  <c r="CL126" i="93"/>
  <c r="CM126" i="93"/>
  <c r="CN126" i="93"/>
  <c r="CO126" i="93"/>
  <c r="CP126" i="93"/>
  <c r="CQ126" i="93"/>
  <c r="CR126" i="93"/>
  <c r="CS126" i="93"/>
  <c r="CT126" i="93"/>
  <c r="CU126" i="93"/>
  <c r="CV126" i="93"/>
  <c r="CW126" i="93"/>
  <c r="J127" i="93"/>
  <c r="K127" i="93"/>
  <c r="L127" i="93"/>
  <c r="M127" i="93"/>
  <c r="N127" i="93"/>
  <c r="O127" i="93"/>
  <c r="P127" i="93"/>
  <c r="Q127" i="93"/>
  <c r="R127" i="93"/>
  <c r="S127" i="93"/>
  <c r="T127" i="93"/>
  <c r="U127" i="93"/>
  <c r="V127" i="93"/>
  <c r="W127" i="93"/>
  <c r="X127" i="93"/>
  <c r="Y127" i="93"/>
  <c r="Z127" i="93"/>
  <c r="AA127" i="93"/>
  <c r="AB127" i="93"/>
  <c r="AC127" i="93"/>
  <c r="AD127" i="93"/>
  <c r="AE127" i="93"/>
  <c r="AF127" i="93"/>
  <c r="AG127" i="93"/>
  <c r="AH127" i="93"/>
  <c r="AI127" i="93"/>
  <c r="AJ127" i="93"/>
  <c r="AK127" i="93"/>
  <c r="AL127" i="93"/>
  <c r="AM127" i="93"/>
  <c r="AN127" i="93"/>
  <c r="AO127" i="93"/>
  <c r="AP127" i="93"/>
  <c r="AQ127" i="93"/>
  <c r="AR127" i="93"/>
  <c r="AS127" i="93"/>
  <c r="AT127" i="93"/>
  <c r="AU127" i="93"/>
  <c r="AV127" i="93"/>
  <c r="AW127" i="93"/>
  <c r="AX127" i="93"/>
  <c r="AY127" i="93"/>
  <c r="AZ127" i="93"/>
  <c r="BA127" i="93"/>
  <c r="BB127" i="93"/>
  <c r="BC127" i="93"/>
  <c r="BD127" i="93"/>
  <c r="BE127" i="93"/>
  <c r="BF127" i="93"/>
  <c r="BG127" i="93"/>
  <c r="BH127" i="93"/>
  <c r="BI127" i="93"/>
  <c r="BJ127" i="93"/>
  <c r="BK127" i="93"/>
  <c r="BL127" i="93"/>
  <c r="BM127" i="93"/>
  <c r="BN127" i="93"/>
  <c r="BO127" i="93"/>
  <c r="BP127" i="93"/>
  <c r="BQ127" i="93"/>
  <c r="BR127" i="93"/>
  <c r="BS127" i="93"/>
  <c r="BT127" i="93"/>
  <c r="BU127" i="93"/>
  <c r="BV127" i="93"/>
  <c r="BW127" i="93"/>
  <c r="BX127" i="93"/>
  <c r="BY127" i="93"/>
  <c r="BZ127" i="93"/>
  <c r="CA127" i="93"/>
  <c r="CB127" i="93"/>
  <c r="CC127" i="93"/>
  <c r="CD127" i="93"/>
  <c r="CE127" i="93"/>
  <c r="CF127" i="93"/>
  <c r="CG127" i="93"/>
  <c r="CH127" i="93"/>
  <c r="CI127" i="93"/>
  <c r="CJ127" i="93"/>
  <c r="CK127" i="93"/>
  <c r="CL127" i="93"/>
  <c r="CM127" i="93"/>
  <c r="CN127" i="93"/>
  <c r="CO127" i="93"/>
  <c r="CP127" i="93"/>
  <c r="CQ127" i="93"/>
  <c r="CR127" i="93"/>
  <c r="CS127" i="93"/>
  <c r="CT127" i="93"/>
  <c r="CU127" i="93"/>
  <c r="CV127" i="93"/>
  <c r="CW127" i="93"/>
  <c r="J128" i="93"/>
  <c r="K128" i="93"/>
  <c r="L128" i="93"/>
  <c r="M128" i="93"/>
  <c r="N128" i="93"/>
  <c r="O128" i="93"/>
  <c r="P128" i="93"/>
  <c r="Q128" i="93"/>
  <c r="R128" i="93"/>
  <c r="S128" i="93"/>
  <c r="T128" i="93"/>
  <c r="U128" i="93"/>
  <c r="V128" i="93"/>
  <c r="W128" i="93"/>
  <c r="X128" i="93"/>
  <c r="Y128" i="93"/>
  <c r="Z128" i="93"/>
  <c r="AA128" i="93"/>
  <c r="AB128" i="93"/>
  <c r="AC128" i="93"/>
  <c r="AD128" i="93"/>
  <c r="AE128" i="93"/>
  <c r="AF128" i="93"/>
  <c r="AG128" i="93"/>
  <c r="AH128" i="93"/>
  <c r="AI128" i="93"/>
  <c r="AJ128" i="93"/>
  <c r="AK128" i="93"/>
  <c r="AL128" i="93"/>
  <c r="AM128" i="93"/>
  <c r="AN128" i="93"/>
  <c r="AO128" i="93"/>
  <c r="AP128" i="93"/>
  <c r="AQ128" i="93"/>
  <c r="AR128" i="93"/>
  <c r="AS128" i="93"/>
  <c r="AT128" i="93"/>
  <c r="AU128" i="93"/>
  <c r="AV128" i="93"/>
  <c r="AW128" i="93"/>
  <c r="AX128" i="93"/>
  <c r="AY128" i="93"/>
  <c r="AZ128" i="93"/>
  <c r="BA128" i="93"/>
  <c r="BB128" i="93"/>
  <c r="BC128" i="93"/>
  <c r="BD128" i="93"/>
  <c r="BE128" i="93"/>
  <c r="BF128" i="93"/>
  <c r="BG128" i="93"/>
  <c r="BH128" i="93"/>
  <c r="BI128" i="93"/>
  <c r="BJ128" i="93"/>
  <c r="BK128" i="93"/>
  <c r="BL128" i="93"/>
  <c r="BM128" i="93"/>
  <c r="BN128" i="93"/>
  <c r="BO128" i="93"/>
  <c r="BP128" i="93"/>
  <c r="BQ128" i="93"/>
  <c r="BR128" i="93"/>
  <c r="BS128" i="93"/>
  <c r="BT128" i="93"/>
  <c r="BU128" i="93"/>
  <c r="BV128" i="93"/>
  <c r="BW128" i="93"/>
  <c r="BX128" i="93"/>
  <c r="BY128" i="93"/>
  <c r="BZ128" i="93"/>
  <c r="CA128" i="93"/>
  <c r="CB128" i="93"/>
  <c r="CC128" i="93"/>
  <c r="CD128" i="93"/>
  <c r="CE128" i="93"/>
  <c r="CF128" i="93"/>
  <c r="CG128" i="93"/>
  <c r="CH128" i="93"/>
  <c r="CI128" i="93"/>
  <c r="CJ128" i="93"/>
  <c r="CK128" i="93"/>
  <c r="CL128" i="93"/>
  <c r="CM128" i="93"/>
  <c r="CN128" i="93"/>
  <c r="CO128" i="93"/>
  <c r="CP128" i="93"/>
  <c r="CQ128" i="93"/>
  <c r="CR128" i="93"/>
  <c r="CS128" i="93"/>
  <c r="CT128" i="93"/>
  <c r="CU128" i="93"/>
  <c r="CV128" i="93"/>
  <c r="CW128" i="93"/>
  <c r="J129" i="93"/>
  <c r="K129" i="93"/>
  <c r="L129" i="93"/>
  <c r="M129" i="93"/>
  <c r="N129" i="93"/>
  <c r="O129" i="93"/>
  <c r="P129" i="93"/>
  <c r="Q129" i="93"/>
  <c r="R129" i="93"/>
  <c r="S129" i="93"/>
  <c r="T129" i="93"/>
  <c r="U129" i="93"/>
  <c r="V129" i="93"/>
  <c r="W129" i="93"/>
  <c r="X129" i="93"/>
  <c r="Y129" i="93"/>
  <c r="Z129" i="93"/>
  <c r="AA129" i="93"/>
  <c r="AB129" i="93"/>
  <c r="AC129" i="93"/>
  <c r="AD129" i="93"/>
  <c r="AE129" i="93"/>
  <c r="AF129" i="93"/>
  <c r="AG129" i="93"/>
  <c r="AH129" i="93"/>
  <c r="AI129" i="93"/>
  <c r="AJ129" i="93"/>
  <c r="AK129" i="93"/>
  <c r="AL129" i="93"/>
  <c r="AM129" i="93"/>
  <c r="AN129" i="93"/>
  <c r="AO129" i="93"/>
  <c r="AP129" i="93"/>
  <c r="AQ129" i="93"/>
  <c r="AR129" i="93"/>
  <c r="AS129" i="93"/>
  <c r="AT129" i="93"/>
  <c r="AU129" i="93"/>
  <c r="AV129" i="93"/>
  <c r="AW129" i="93"/>
  <c r="AX129" i="93"/>
  <c r="AY129" i="93"/>
  <c r="AZ129" i="93"/>
  <c r="BA129" i="93"/>
  <c r="BB129" i="93"/>
  <c r="BC129" i="93"/>
  <c r="BD129" i="93"/>
  <c r="BE129" i="93"/>
  <c r="BF129" i="93"/>
  <c r="BG129" i="93"/>
  <c r="BH129" i="93"/>
  <c r="BI129" i="93"/>
  <c r="BJ129" i="93"/>
  <c r="BK129" i="93"/>
  <c r="BL129" i="93"/>
  <c r="BM129" i="93"/>
  <c r="BN129" i="93"/>
  <c r="BO129" i="93"/>
  <c r="BP129" i="93"/>
  <c r="BQ129" i="93"/>
  <c r="BR129" i="93"/>
  <c r="BS129" i="93"/>
  <c r="BT129" i="93"/>
  <c r="BU129" i="93"/>
  <c r="BV129" i="93"/>
  <c r="BW129" i="93"/>
  <c r="BX129" i="93"/>
  <c r="BY129" i="93"/>
  <c r="BZ129" i="93"/>
  <c r="CA129" i="93"/>
  <c r="CB129" i="93"/>
  <c r="CC129" i="93"/>
  <c r="CD129" i="93"/>
  <c r="CE129" i="93"/>
  <c r="CF129" i="93"/>
  <c r="CG129" i="93"/>
  <c r="CH129" i="93"/>
  <c r="CI129" i="93"/>
  <c r="CJ129" i="93"/>
  <c r="CK129" i="93"/>
  <c r="CL129" i="93"/>
  <c r="CM129" i="93"/>
  <c r="CN129" i="93"/>
  <c r="CO129" i="93"/>
  <c r="CP129" i="93"/>
  <c r="CQ129" i="93"/>
  <c r="CR129" i="93"/>
  <c r="CS129" i="93"/>
  <c r="CT129" i="93"/>
  <c r="CU129" i="93"/>
  <c r="CV129" i="93"/>
  <c r="CW129" i="93"/>
  <c r="J130" i="93"/>
  <c r="K130" i="93"/>
  <c r="L130" i="93"/>
  <c r="M130" i="93"/>
  <c r="N130" i="93"/>
  <c r="O130" i="93"/>
  <c r="P130" i="93"/>
  <c r="Q130" i="93"/>
  <c r="R130" i="93"/>
  <c r="S130" i="93"/>
  <c r="T130" i="93"/>
  <c r="U130" i="93"/>
  <c r="V130" i="93"/>
  <c r="W130" i="93"/>
  <c r="X130" i="93"/>
  <c r="Y130" i="93"/>
  <c r="Z130" i="93"/>
  <c r="AA130" i="93"/>
  <c r="AB130" i="93"/>
  <c r="AC130" i="93"/>
  <c r="AD130" i="93"/>
  <c r="AE130" i="93"/>
  <c r="AF130" i="93"/>
  <c r="AG130" i="93"/>
  <c r="AH130" i="93"/>
  <c r="AI130" i="93"/>
  <c r="AJ130" i="93"/>
  <c r="AK130" i="93"/>
  <c r="AL130" i="93"/>
  <c r="AM130" i="93"/>
  <c r="AN130" i="93"/>
  <c r="AO130" i="93"/>
  <c r="AP130" i="93"/>
  <c r="AQ130" i="93"/>
  <c r="AR130" i="93"/>
  <c r="AS130" i="93"/>
  <c r="AT130" i="93"/>
  <c r="AU130" i="93"/>
  <c r="AV130" i="93"/>
  <c r="AW130" i="93"/>
  <c r="AX130" i="93"/>
  <c r="AY130" i="93"/>
  <c r="AZ130" i="93"/>
  <c r="BA130" i="93"/>
  <c r="BB130" i="93"/>
  <c r="BC130" i="93"/>
  <c r="BD130" i="93"/>
  <c r="BE130" i="93"/>
  <c r="BF130" i="93"/>
  <c r="BG130" i="93"/>
  <c r="BH130" i="93"/>
  <c r="BI130" i="93"/>
  <c r="BJ130" i="93"/>
  <c r="BK130" i="93"/>
  <c r="BL130" i="93"/>
  <c r="BM130" i="93"/>
  <c r="BN130" i="93"/>
  <c r="BO130" i="93"/>
  <c r="BP130" i="93"/>
  <c r="BQ130" i="93"/>
  <c r="BR130" i="93"/>
  <c r="BS130" i="93"/>
  <c r="BT130" i="93"/>
  <c r="BU130" i="93"/>
  <c r="BV130" i="93"/>
  <c r="BW130" i="93"/>
  <c r="BX130" i="93"/>
  <c r="BY130" i="93"/>
  <c r="BZ130" i="93"/>
  <c r="CA130" i="93"/>
  <c r="CB130" i="93"/>
  <c r="CC130" i="93"/>
  <c r="CD130" i="93"/>
  <c r="CE130" i="93"/>
  <c r="CF130" i="93"/>
  <c r="CG130" i="93"/>
  <c r="CH130" i="93"/>
  <c r="CI130" i="93"/>
  <c r="CJ130" i="93"/>
  <c r="CK130" i="93"/>
  <c r="CL130" i="93"/>
  <c r="CM130" i="93"/>
  <c r="CN130" i="93"/>
  <c r="CO130" i="93"/>
  <c r="CP130" i="93"/>
  <c r="CQ130" i="93"/>
  <c r="CR130" i="93"/>
  <c r="CS130" i="93"/>
  <c r="CT130" i="93"/>
  <c r="CU130" i="93"/>
  <c r="CV130" i="93"/>
  <c r="CW130" i="93"/>
  <c r="J131" i="93"/>
  <c r="K131" i="93"/>
  <c r="L131" i="93"/>
  <c r="M131" i="93"/>
  <c r="N131" i="93"/>
  <c r="O131" i="93"/>
  <c r="P131" i="93"/>
  <c r="Q131" i="93"/>
  <c r="R131" i="93"/>
  <c r="S131" i="93"/>
  <c r="T131" i="93"/>
  <c r="U131" i="93"/>
  <c r="V131" i="93"/>
  <c r="W131" i="93"/>
  <c r="X131" i="93"/>
  <c r="Y131" i="93"/>
  <c r="Z131" i="93"/>
  <c r="AA131" i="93"/>
  <c r="AB131" i="93"/>
  <c r="AC131" i="93"/>
  <c r="AD131" i="93"/>
  <c r="AE131" i="93"/>
  <c r="AF131" i="93"/>
  <c r="AG131" i="93"/>
  <c r="AH131" i="93"/>
  <c r="AI131" i="93"/>
  <c r="AJ131" i="93"/>
  <c r="AK131" i="93"/>
  <c r="AL131" i="93"/>
  <c r="AM131" i="93"/>
  <c r="AN131" i="93"/>
  <c r="AO131" i="93"/>
  <c r="AP131" i="93"/>
  <c r="AQ131" i="93"/>
  <c r="AR131" i="93"/>
  <c r="AS131" i="93"/>
  <c r="AT131" i="93"/>
  <c r="AU131" i="93"/>
  <c r="AV131" i="93"/>
  <c r="AW131" i="93"/>
  <c r="AX131" i="93"/>
  <c r="AY131" i="93"/>
  <c r="AZ131" i="93"/>
  <c r="BA131" i="93"/>
  <c r="BB131" i="93"/>
  <c r="BC131" i="93"/>
  <c r="BD131" i="93"/>
  <c r="BE131" i="93"/>
  <c r="BF131" i="93"/>
  <c r="BG131" i="93"/>
  <c r="BH131" i="93"/>
  <c r="BI131" i="93"/>
  <c r="BJ131" i="93"/>
  <c r="BK131" i="93"/>
  <c r="BL131" i="93"/>
  <c r="BM131" i="93"/>
  <c r="BN131" i="93"/>
  <c r="BO131" i="93"/>
  <c r="BP131" i="93"/>
  <c r="BQ131" i="93"/>
  <c r="BR131" i="93"/>
  <c r="BS131" i="93"/>
  <c r="BT131" i="93"/>
  <c r="BU131" i="93"/>
  <c r="BV131" i="93"/>
  <c r="BW131" i="93"/>
  <c r="BX131" i="93"/>
  <c r="BY131" i="93"/>
  <c r="BZ131" i="93"/>
  <c r="CA131" i="93"/>
  <c r="CB131" i="93"/>
  <c r="CC131" i="93"/>
  <c r="CD131" i="93"/>
  <c r="CE131" i="93"/>
  <c r="CF131" i="93"/>
  <c r="CG131" i="93"/>
  <c r="CH131" i="93"/>
  <c r="CI131" i="93"/>
  <c r="CJ131" i="93"/>
  <c r="CK131" i="93"/>
  <c r="CL131" i="93"/>
  <c r="CM131" i="93"/>
  <c r="CN131" i="93"/>
  <c r="CO131" i="93"/>
  <c r="CP131" i="93"/>
  <c r="CQ131" i="93"/>
  <c r="CR131" i="93"/>
  <c r="CS131" i="93"/>
  <c r="CT131" i="93"/>
  <c r="CU131" i="93"/>
  <c r="CV131" i="93"/>
  <c r="CW131" i="93"/>
  <c r="J132" i="93"/>
  <c r="K132" i="93"/>
  <c r="L132" i="93"/>
  <c r="M132" i="93"/>
  <c r="N132" i="93"/>
  <c r="O132" i="93"/>
  <c r="P132" i="93"/>
  <c r="Q132" i="93"/>
  <c r="R132" i="93"/>
  <c r="S132" i="93"/>
  <c r="T132" i="93"/>
  <c r="U132" i="93"/>
  <c r="V132" i="93"/>
  <c r="W132" i="93"/>
  <c r="X132" i="93"/>
  <c r="Y132" i="93"/>
  <c r="Z132" i="93"/>
  <c r="AA132" i="93"/>
  <c r="AB132" i="93"/>
  <c r="AC132" i="93"/>
  <c r="AD132" i="93"/>
  <c r="AE132" i="93"/>
  <c r="AF132" i="93"/>
  <c r="AG132" i="93"/>
  <c r="AH132" i="93"/>
  <c r="AI132" i="93"/>
  <c r="AJ132" i="93"/>
  <c r="AK132" i="93"/>
  <c r="AL132" i="93"/>
  <c r="AM132" i="93"/>
  <c r="AN132" i="93"/>
  <c r="AO132" i="93"/>
  <c r="AP132" i="93"/>
  <c r="AQ132" i="93"/>
  <c r="AR132" i="93"/>
  <c r="AS132" i="93"/>
  <c r="AT132" i="93"/>
  <c r="AU132" i="93"/>
  <c r="AV132" i="93"/>
  <c r="AW132" i="93"/>
  <c r="AX132" i="93"/>
  <c r="AY132" i="93"/>
  <c r="AZ132" i="93"/>
  <c r="BA132" i="93"/>
  <c r="BB132" i="93"/>
  <c r="BC132" i="93"/>
  <c r="BD132" i="93"/>
  <c r="BE132" i="93"/>
  <c r="BF132" i="93"/>
  <c r="BG132" i="93"/>
  <c r="BH132" i="93"/>
  <c r="BI132" i="93"/>
  <c r="BJ132" i="93"/>
  <c r="BK132" i="93"/>
  <c r="BL132" i="93"/>
  <c r="BM132" i="93"/>
  <c r="BN132" i="93"/>
  <c r="BO132" i="93"/>
  <c r="BP132" i="93"/>
  <c r="BQ132" i="93"/>
  <c r="BR132" i="93"/>
  <c r="BS132" i="93"/>
  <c r="BT132" i="93"/>
  <c r="BU132" i="93"/>
  <c r="BV132" i="93"/>
  <c r="BW132" i="93"/>
  <c r="BX132" i="93"/>
  <c r="BY132" i="93"/>
  <c r="BZ132" i="93"/>
  <c r="CA132" i="93"/>
  <c r="CB132" i="93"/>
  <c r="CC132" i="93"/>
  <c r="CD132" i="93"/>
  <c r="CE132" i="93"/>
  <c r="CF132" i="93"/>
  <c r="CG132" i="93"/>
  <c r="CH132" i="93"/>
  <c r="CI132" i="93"/>
  <c r="CJ132" i="93"/>
  <c r="CK132" i="93"/>
  <c r="CL132" i="93"/>
  <c r="CM132" i="93"/>
  <c r="CN132" i="93"/>
  <c r="CO132" i="93"/>
  <c r="CP132" i="93"/>
  <c r="CQ132" i="93"/>
  <c r="CR132" i="93"/>
  <c r="CS132" i="93"/>
  <c r="CT132" i="93"/>
  <c r="CU132" i="93"/>
  <c r="CV132" i="93"/>
  <c r="CW132" i="93"/>
  <c r="J133" i="93"/>
  <c r="K133" i="93"/>
  <c r="L133" i="93"/>
  <c r="M133" i="93"/>
  <c r="N133" i="93"/>
  <c r="O133" i="93"/>
  <c r="P133" i="93"/>
  <c r="Q133" i="93"/>
  <c r="R133" i="93"/>
  <c r="S133" i="93"/>
  <c r="T133" i="93"/>
  <c r="U133" i="93"/>
  <c r="V133" i="93"/>
  <c r="W133" i="93"/>
  <c r="X133" i="93"/>
  <c r="Y133" i="93"/>
  <c r="Z133" i="93"/>
  <c r="AA133" i="93"/>
  <c r="AB133" i="93"/>
  <c r="AC133" i="93"/>
  <c r="AD133" i="93"/>
  <c r="AE133" i="93"/>
  <c r="AF133" i="93"/>
  <c r="AG133" i="93"/>
  <c r="AH133" i="93"/>
  <c r="AI133" i="93"/>
  <c r="AJ133" i="93"/>
  <c r="AK133" i="93"/>
  <c r="AL133" i="93"/>
  <c r="AM133" i="93"/>
  <c r="AN133" i="93"/>
  <c r="AO133" i="93"/>
  <c r="AP133" i="93"/>
  <c r="AQ133" i="93"/>
  <c r="AR133" i="93"/>
  <c r="AS133" i="93"/>
  <c r="AT133" i="93"/>
  <c r="AU133" i="93"/>
  <c r="AV133" i="93"/>
  <c r="AW133" i="93"/>
  <c r="AX133" i="93"/>
  <c r="AY133" i="93"/>
  <c r="AZ133" i="93"/>
  <c r="BA133" i="93"/>
  <c r="BB133" i="93"/>
  <c r="BC133" i="93"/>
  <c r="BD133" i="93"/>
  <c r="BE133" i="93"/>
  <c r="BF133" i="93"/>
  <c r="BG133" i="93"/>
  <c r="BH133" i="93"/>
  <c r="BI133" i="93"/>
  <c r="BJ133" i="93"/>
  <c r="BK133" i="93"/>
  <c r="BL133" i="93"/>
  <c r="BM133" i="93"/>
  <c r="BN133" i="93"/>
  <c r="BO133" i="93"/>
  <c r="BP133" i="93"/>
  <c r="BQ133" i="93"/>
  <c r="BR133" i="93"/>
  <c r="BS133" i="93"/>
  <c r="BT133" i="93"/>
  <c r="BU133" i="93"/>
  <c r="BV133" i="93"/>
  <c r="BW133" i="93"/>
  <c r="BX133" i="93"/>
  <c r="BY133" i="93"/>
  <c r="BZ133" i="93"/>
  <c r="CA133" i="93"/>
  <c r="CB133" i="93"/>
  <c r="CC133" i="93"/>
  <c r="CD133" i="93"/>
  <c r="CE133" i="93"/>
  <c r="CF133" i="93"/>
  <c r="CG133" i="93"/>
  <c r="CH133" i="93"/>
  <c r="CI133" i="93"/>
  <c r="CJ133" i="93"/>
  <c r="CK133" i="93"/>
  <c r="CL133" i="93"/>
  <c r="CM133" i="93"/>
  <c r="CN133" i="93"/>
  <c r="CO133" i="93"/>
  <c r="CP133" i="93"/>
  <c r="CQ133" i="93"/>
  <c r="CR133" i="93"/>
  <c r="CS133" i="93"/>
  <c r="CT133" i="93"/>
  <c r="CU133" i="93"/>
  <c r="CV133" i="93"/>
  <c r="CW133" i="93"/>
  <c r="J134" i="93"/>
  <c r="K134" i="93"/>
  <c r="L134" i="93"/>
  <c r="M134" i="93"/>
  <c r="N134" i="93"/>
  <c r="O134" i="93"/>
  <c r="P134" i="93"/>
  <c r="Q134" i="93"/>
  <c r="R134" i="93"/>
  <c r="S134" i="93"/>
  <c r="T134" i="93"/>
  <c r="U134" i="93"/>
  <c r="V134" i="93"/>
  <c r="W134" i="93"/>
  <c r="X134" i="93"/>
  <c r="Y134" i="93"/>
  <c r="Z134" i="93"/>
  <c r="AA134" i="93"/>
  <c r="AB134" i="93"/>
  <c r="AC134" i="93"/>
  <c r="AD134" i="93"/>
  <c r="AE134" i="93"/>
  <c r="AF134" i="93"/>
  <c r="AG134" i="93"/>
  <c r="AH134" i="93"/>
  <c r="AI134" i="93"/>
  <c r="AJ134" i="93"/>
  <c r="AK134" i="93"/>
  <c r="AL134" i="93"/>
  <c r="AM134" i="93"/>
  <c r="AN134" i="93"/>
  <c r="AO134" i="93"/>
  <c r="AP134" i="93"/>
  <c r="AQ134" i="93"/>
  <c r="AR134" i="93"/>
  <c r="AS134" i="93"/>
  <c r="AT134" i="93"/>
  <c r="AU134" i="93"/>
  <c r="AV134" i="93"/>
  <c r="AW134" i="93"/>
  <c r="AX134" i="93"/>
  <c r="AY134" i="93"/>
  <c r="AZ134" i="93"/>
  <c r="BA134" i="93"/>
  <c r="BB134" i="93"/>
  <c r="BC134" i="93"/>
  <c r="BD134" i="93"/>
  <c r="BE134" i="93"/>
  <c r="BF134" i="93"/>
  <c r="BG134" i="93"/>
  <c r="BH134" i="93"/>
  <c r="BI134" i="93"/>
  <c r="BJ134" i="93"/>
  <c r="BK134" i="93"/>
  <c r="BL134" i="93"/>
  <c r="BM134" i="93"/>
  <c r="BN134" i="93"/>
  <c r="BO134" i="93"/>
  <c r="BP134" i="93"/>
  <c r="BQ134" i="93"/>
  <c r="BR134" i="93"/>
  <c r="BS134" i="93"/>
  <c r="BT134" i="93"/>
  <c r="BU134" i="93"/>
  <c r="BV134" i="93"/>
  <c r="BW134" i="93"/>
  <c r="BX134" i="93"/>
  <c r="BY134" i="93"/>
  <c r="BZ134" i="93"/>
  <c r="CA134" i="93"/>
  <c r="CB134" i="93"/>
  <c r="CC134" i="93"/>
  <c r="CD134" i="93"/>
  <c r="CE134" i="93"/>
  <c r="CF134" i="93"/>
  <c r="CG134" i="93"/>
  <c r="CH134" i="93"/>
  <c r="CI134" i="93"/>
  <c r="CJ134" i="93"/>
  <c r="CK134" i="93"/>
  <c r="CL134" i="93"/>
  <c r="CM134" i="93"/>
  <c r="CN134" i="93"/>
  <c r="CO134" i="93"/>
  <c r="CP134" i="93"/>
  <c r="CQ134" i="93"/>
  <c r="CR134" i="93"/>
  <c r="CS134" i="93"/>
  <c r="CT134" i="93"/>
  <c r="CU134" i="93"/>
  <c r="CV134" i="93"/>
  <c r="CW134" i="93"/>
  <c r="J135" i="93"/>
  <c r="K135" i="93"/>
  <c r="L135" i="93"/>
  <c r="M135" i="93"/>
  <c r="N135" i="93"/>
  <c r="O135" i="93"/>
  <c r="P135" i="93"/>
  <c r="Q135" i="93"/>
  <c r="R135" i="93"/>
  <c r="S135" i="93"/>
  <c r="T135" i="93"/>
  <c r="U135" i="93"/>
  <c r="V135" i="93"/>
  <c r="W135" i="93"/>
  <c r="X135" i="93"/>
  <c r="Y135" i="93"/>
  <c r="Z135" i="93"/>
  <c r="AA135" i="93"/>
  <c r="AB135" i="93"/>
  <c r="AC135" i="93"/>
  <c r="AD135" i="93"/>
  <c r="AE135" i="93"/>
  <c r="AF135" i="93"/>
  <c r="AG135" i="93"/>
  <c r="AH135" i="93"/>
  <c r="AI135" i="93"/>
  <c r="AJ135" i="93"/>
  <c r="AK135" i="93"/>
  <c r="AL135" i="93"/>
  <c r="AM135" i="93"/>
  <c r="AN135" i="93"/>
  <c r="AO135" i="93"/>
  <c r="AP135" i="93"/>
  <c r="AQ135" i="93"/>
  <c r="AR135" i="93"/>
  <c r="AS135" i="93"/>
  <c r="AT135" i="93"/>
  <c r="AU135" i="93"/>
  <c r="AV135" i="93"/>
  <c r="AW135" i="93"/>
  <c r="AX135" i="93"/>
  <c r="AY135" i="93"/>
  <c r="AZ135" i="93"/>
  <c r="BA135" i="93"/>
  <c r="BB135" i="93"/>
  <c r="BC135" i="93"/>
  <c r="BD135" i="93"/>
  <c r="BE135" i="93"/>
  <c r="BF135" i="93"/>
  <c r="BG135" i="93"/>
  <c r="BH135" i="93"/>
  <c r="BI135" i="93"/>
  <c r="BJ135" i="93"/>
  <c r="BK135" i="93"/>
  <c r="BL135" i="93"/>
  <c r="BM135" i="93"/>
  <c r="BN135" i="93"/>
  <c r="BO135" i="93"/>
  <c r="BP135" i="93"/>
  <c r="BQ135" i="93"/>
  <c r="BR135" i="93"/>
  <c r="BS135" i="93"/>
  <c r="BT135" i="93"/>
  <c r="BU135" i="93"/>
  <c r="BV135" i="93"/>
  <c r="BW135" i="93"/>
  <c r="BX135" i="93"/>
  <c r="BY135" i="93"/>
  <c r="BZ135" i="93"/>
  <c r="CA135" i="93"/>
  <c r="CB135" i="93"/>
  <c r="CC135" i="93"/>
  <c r="CD135" i="93"/>
  <c r="CE135" i="93"/>
  <c r="CF135" i="93"/>
  <c r="CG135" i="93"/>
  <c r="CH135" i="93"/>
  <c r="CI135" i="93"/>
  <c r="CJ135" i="93"/>
  <c r="CK135" i="93"/>
  <c r="CL135" i="93"/>
  <c r="CM135" i="93"/>
  <c r="CN135" i="93"/>
  <c r="CO135" i="93"/>
  <c r="CP135" i="93"/>
  <c r="CQ135" i="93"/>
  <c r="CR135" i="93"/>
  <c r="CS135" i="93"/>
  <c r="CT135" i="93"/>
  <c r="CU135" i="93"/>
  <c r="CV135" i="93"/>
  <c r="CW135" i="93"/>
  <c r="J136" i="93"/>
  <c r="K136" i="93"/>
  <c r="L136" i="93"/>
  <c r="M136" i="93"/>
  <c r="N136" i="93"/>
  <c r="O136" i="93"/>
  <c r="P136" i="93"/>
  <c r="Q136" i="93"/>
  <c r="R136" i="93"/>
  <c r="S136" i="93"/>
  <c r="T136" i="93"/>
  <c r="U136" i="93"/>
  <c r="V136" i="93"/>
  <c r="W136" i="93"/>
  <c r="X136" i="93"/>
  <c r="Y136" i="93"/>
  <c r="Z136" i="93"/>
  <c r="AA136" i="93"/>
  <c r="AB136" i="93"/>
  <c r="AC136" i="93"/>
  <c r="AD136" i="93"/>
  <c r="AE136" i="93"/>
  <c r="AF136" i="93"/>
  <c r="AG136" i="93"/>
  <c r="AH136" i="93"/>
  <c r="AI136" i="93"/>
  <c r="AJ136" i="93"/>
  <c r="AK136" i="93"/>
  <c r="AL136" i="93"/>
  <c r="AM136" i="93"/>
  <c r="AN136" i="93"/>
  <c r="AO136" i="93"/>
  <c r="AP136" i="93"/>
  <c r="AQ136" i="93"/>
  <c r="AR136" i="93"/>
  <c r="AS136" i="93"/>
  <c r="AT136" i="93"/>
  <c r="AU136" i="93"/>
  <c r="AV136" i="93"/>
  <c r="AW136" i="93"/>
  <c r="AX136" i="93"/>
  <c r="AY136" i="93"/>
  <c r="AZ136" i="93"/>
  <c r="BA136" i="93"/>
  <c r="BB136" i="93"/>
  <c r="BC136" i="93"/>
  <c r="BD136" i="93"/>
  <c r="BE136" i="93"/>
  <c r="BF136" i="93"/>
  <c r="BG136" i="93"/>
  <c r="BH136" i="93"/>
  <c r="BI136" i="93"/>
  <c r="BJ136" i="93"/>
  <c r="BK136" i="93"/>
  <c r="BL136" i="93"/>
  <c r="BM136" i="93"/>
  <c r="BN136" i="93"/>
  <c r="BO136" i="93"/>
  <c r="BP136" i="93"/>
  <c r="BQ136" i="93"/>
  <c r="BR136" i="93"/>
  <c r="BS136" i="93"/>
  <c r="BT136" i="93"/>
  <c r="BU136" i="93"/>
  <c r="BV136" i="93"/>
  <c r="BW136" i="93"/>
  <c r="BX136" i="93"/>
  <c r="BY136" i="93"/>
  <c r="BZ136" i="93"/>
  <c r="CA136" i="93"/>
  <c r="CB136" i="93"/>
  <c r="CC136" i="93"/>
  <c r="CD136" i="93"/>
  <c r="CE136" i="93"/>
  <c r="CF136" i="93"/>
  <c r="CG136" i="93"/>
  <c r="CH136" i="93"/>
  <c r="CI136" i="93"/>
  <c r="CJ136" i="93"/>
  <c r="CK136" i="93"/>
  <c r="CL136" i="93"/>
  <c r="CM136" i="93"/>
  <c r="CN136" i="93"/>
  <c r="CO136" i="93"/>
  <c r="CP136" i="93"/>
  <c r="CQ136" i="93"/>
  <c r="CR136" i="93"/>
  <c r="CS136" i="93"/>
  <c r="CT136" i="93"/>
  <c r="CU136" i="93"/>
  <c r="CV136" i="93"/>
  <c r="CW136" i="93"/>
  <c r="J137" i="93"/>
  <c r="K137" i="93"/>
  <c r="L137" i="93"/>
  <c r="M137" i="93"/>
  <c r="N137" i="93"/>
  <c r="O137" i="93"/>
  <c r="P137" i="93"/>
  <c r="Q137" i="93"/>
  <c r="R137" i="93"/>
  <c r="S137" i="93"/>
  <c r="T137" i="93"/>
  <c r="U137" i="93"/>
  <c r="V137" i="93"/>
  <c r="W137" i="93"/>
  <c r="X137" i="93"/>
  <c r="Y137" i="93"/>
  <c r="Z137" i="93"/>
  <c r="AA137" i="93"/>
  <c r="AB137" i="93"/>
  <c r="AC137" i="93"/>
  <c r="AD137" i="93"/>
  <c r="AE137" i="93"/>
  <c r="AF137" i="93"/>
  <c r="AG137" i="93"/>
  <c r="AH137" i="93"/>
  <c r="AI137" i="93"/>
  <c r="AJ137" i="93"/>
  <c r="AK137" i="93"/>
  <c r="AL137" i="93"/>
  <c r="AM137" i="93"/>
  <c r="AN137" i="93"/>
  <c r="AO137" i="93"/>
  <c r="AP137" i="93"/>
  <c r="AQ137" i="93"/>
  <c r="AR137" i="93"/>
  <c r="AS137" i="93"/>
  <c r="AT137" i="93"/>
  <c r="AU137" i="93"/>
  <c r="AV137" i="93"/>
  <c r="AW137" i="93"/>
  <c r="AX137" i="93"/>
  <c r="AY137" i="93"/>
  <c r="AZ137" i="93"/>
  <c r="BA137" i="93"/>
  <c r="BB137" i="93"/>
  <c r="BC137" i="93"/>
  <c r="BD137" i="93"/>
  <c r="BE137" i="93"/>
  <c r="BF137" i="93"/>
  <c r="BG137" i="93"/>
  <c r="BH137" i="93"/>
  <c r="BI137" i="93"/>
  <c r="BJ137" i="93"/>
  <c r="BK137" i="93"/>
  <c r="BL137" i="93"/>
  <c r="BM137" i="93"/>
  <c r="BN137" i="93"/>
  <c r="BO137" i="93"/>
  <c r="BP137" i="93"/>
  <c r="BQ137" i="93"/>
  <c r="BR137" i="93"/>
  <c r="BS137" i="93"/>
  <c r="BT137" i="93"/>
  <c r="BU137" i="93"/>
  <c r="BV137" i="93"/>
  <c r="BW137" i="93"/>
  <c r="BX137" i="93"/>
  <c r="BY137" i="93"/>
  <c r="BZ137" i="93"/>
  <c r="CA137" i="93"/>
  <c r="CB137" i="93"/>
  <c r="CC137" i="93"/>
  <c r="CD137" i="93"/>
  <c r="CE137" i="93"/>
  <c r="CF137" i="93"/>
  <c r="CG137" i="93"/>
  <c r="CH137" i="93"/>
  <c r="CI137" i="93"/>
  <c r="CJ137" i="93"/>
  <c r="CK137" i="93"/>
  <c r="CL137" i="93"/>
  <c r="CM137" i="93"/>
  <c r="CN137" i="93"/>
  <c r="CO137" i="93"/>
  <c r="CP137" i="93"/>
  <c r="CQ137" i="93"/>
  <c r="CR137" i="93"/>
  <c r="CS137" i="93"/>
  <c r="CT137" i="93"/>
  <c r="CU137" i="93"/>
  <c r="CV137" i="93"/>
  <c r="CW137" i="93"/>
  <c r="J138" i="93"/>
  <c r="K138" i="93"/>
  <c r="L138" i="93"/>
  <c r="M138" i="93"/>
  <c r="N138" i="93"/>
  <c r="O138" i="93"/>
  <c r="P138" i="93"/>
  <c r="Q138" i="93"/>
  <c r="R138" i="93"/>
  <c r="S138" i="93"/>
  <c r="T138" i="93"/>
  <c r="U138" i="93"/>
  <c r="V138" i="93"/>
  <c r="W138" i="93"/>
  <c r="X138" i="93"/>
  <c r="Y138" i="93"/>
  <c r="Z138" i="93"/>
  <c r="AA138" i="93"/>
  <c r="AB138" i="93"/>
  <c r="AC138" i="93"/>
  <c r="AD138" i="93"/>
  <c r="AE138" i="93"/>
  <c r="AF138" i="93"/>
  <c r="AG138" i="93"/>
  <c r="AH138" i="93"/>
  <c r="AI138" i="93"/>
  <c r="AJ138" i="93"/>
  <c r="AK138" i="93"/>
  <c r="AL138" i="93"/>
  <c r="AM138" i="93"/>
  <c r="AN138" i="93"/>
  <c r="AO138" i="93"/>
  <c r="AP138" i="93"/>
  <c r="AQ138" i="93"/>
  <c r="AR138" i="93"/>
  <c r="AS138" i="93"/>
  <c r="AT138" i="93"/>
  <c r="AU138" i="93"/>
  <c r="AV138" i="93"/>
  <c r="AW138" i="93"/>
  <c r="AX138" i="93"/>
  <c r="AY138" i="93"/>
  <c r="AZ138" i="93"/>
  <c r="BA138" i="93"/>
  <c r="BB138" i="93"/>
  <c r="BC138" i="93"/>
  <c r="BD138" i="93"/>
  <c r="BE138" i="93"/>
  <c r="BF138" i="93"/>
  <c r="BG138" i="93"/>
  <c r="BH138" i="93"/>
  <c r="BI138" i="93"/>
  <c r="BJ138" i="93"/>
  <c r="BK138" i="93"/>
  <c r="BL138" i="93"/>
  <c r="BM138" i="93"/>
  <c r="BN138" i="93"/>
  <c r="BO138" i="93"/>
  <c r="BP138" i="93"/>
  <c r="BQ138" i="93"/>
  <c r="BR138" i="93"/>
  <c r="BS138" i="93"/>
  <c r="BT138" i="93"/>
  <c r="BU138" i="93"/>
  <c r="BV138" i="93"/>
  <c r="BW138" i="93"/>
  <c r="BX138" i="93"/>
  <c r="BY138" i="93"/>
  <c r="BZ138" i="93"/>
  <c r="CA138" i="93"/>
  <c r="CB138" i="93"/>
  <c r="CC138" i="93"/>
  <c r="CD138" i="93"/>
  <c r="CE138" i="93"/>
  <c r="CF138" i="93"/>
  <c r="CG138" i="93"/>
  <c r="CH138" i="93"/>
  <c r="CI138" i="93"/>
  <c r="CJ138" i="93"/>
  <c r="CK138" i="93"/>
  <c r="CL138" i="93"/>
  <c r="CM138" i="93"/>
  <c r="CN138" i="93"/>
  <c r="CO138" i="93"/>
  <c r="CP138" i="93"/>
  <c r="CQ138" i="93"/>
  <c r="CR138" i="93"/>
  <c r="CS138" i="93"/>
  <c r="CT138" i="93"/>
  <c r="CU138" i="93"/>
  <c r="CV138" i="93"/>
  <c r="CW138" i="93"/>
  <c r="J139" i="93"/>
  <c r="K139" i="93"/>
  <c r="L139" i="93"/>
  <c r="M139" i="93"/>
  <c r="N139" i="93"/>
  <c r="O139" i="93"/>
  <c r="P139" i="93"/>
  <c r="Q139" i="93"/>
  <c r="R139" i="93"/>
  <c r="S139" i="93"/>
  <c r="T139" i="93"/>
  <c r="U139" i="93"/>
  <c r="V139" i="93"/>
  <c r="W139" i="93"/>
  <c r="X139" i="93"/>
  <c r="Y139" i="93"/>
  <c r="Z139" i="93"/>
  <c r="AA139" i="93"/>
  <c r="AB139" i="93"/>
  <c r="AC139" i="93"/>
  <c r="AD139" i="93"/>
  <c r="AE139" i="93"/>
  <c r="AF139" i="93"/>
  <c r="AG139" i="93"/>
  <c r="AH139" i="93"/>
  <c r="AI139" i="93"/>
  <c r="AJ139" i="93"/>
  <c r="AK139" i="93"/>
  <c r="AL139" i="93"/>
  <c r="AM139" i="93"/>
  <c r="AN139" i="93"/>
  <c r="AO139" i="93"/>
  <c r="AP139" i="93"/>
  <c r="AQ139" i="93"/>
  <c r="AR139" i="93"/>
  <c r="AS139" i="93"/>
  <c r="AT139" i="93"/>
  <c r="AU139" i="93"/>
  <c r="AV139" i="93"/>
  <c r="AW139" i="93"/>
  <c r="AX139" i="93"/>
  <c r="AY139" i="93"/>
  <c r="AZ139" i="93"/>
  <c r="BA139" i="93"/>
  <c r="BB139" i="93"/>
  <c r="BC139" i="93"/>
  <c r="BD139" i="93"/>
  <c r="BE139" i="93"/>
  <c r="BF139" i="93"/>
  <c r="BG139" i="93"/>
  <c r="BH139" i="93"/>
  <c r="BI139" i="93"/>
  <c r="BJ139" i="93"/>
  <c r="BK139" i="93"/>
  <c r="BL139" i="93"/>
  <c r="BM139" i="93"/>
  <c r="BN139" i="93"/>
  <c r="BO139" i="93"/>
  <c r="BP139" i="93"/>
  <c r="BQ139" i="93"/>
  <c r="BR139" i="93"/>
  <c r="BS139" i="93"/>
  <c r="BT139" i="93"/>
  <c r="BU139" i="93"/>
  <c r="BV139" i="93"/>
  <c r="BW139" i="93"/>
  <c r="BX139" i="93"/>
  <c r="BY139" i="93"/>
  <c r="BZ139" i="93"/>
  <c r="CA139" i="93"/>
  <c r="CB139" i="93"/>
  <c r="CC139" i="93"/>
  <c r="CD139" i="93"/>
  <c r="CE139" i="93"/>
  <c r="CF139" i="93"/>
  <c r="CG139" i="93"/>
  <c r="CH139" i="93"/>
  <c r="CI139" i="93"/>
  <c r="CJ139" i="93"/>
  <c r="CK139" i="93"/>
  <c r="CL139" i="93"/>
  <c r="CM139" i="93"/>
  <c r="CN139" i="93"/>
  <c r="CO139" i="93"/>
  <c r="CP139" i="93"/>
  <c r="CQ139" i="93"/>
  <c r="CR139" i="93"/>
  <c r="CS139" i="93"/>
  <c r="CT139" i="93"/>
  <c r="CU139" i="93"/>
  <c r="CV139" i="93"/>
  <c r="CW139" i="93"/>
  <c r="J140" i="93"/>
  <c r="K140" i="93"/>
  <c r="L140" i="93"/>
  <c r="M140" i="93"/>
  <c r="N140" i="93"/>
  <c r="O140" i="93"/>
  <c r="P140" i="93"/>
  <c r="Q140" i="93"/>
  <c r="R140" i="93"/>
  <c r="S140" i="93"/>
  <c r="T140" i="93"/>
  <c r="U140" i="93"/>
  <c r="V140" i="93"/>
  <c r="W140" i="93"/>
  <c r="X140" i="93"/>
  <c r="Y140" i="93"/>
  <c r="Z140" i="93"/>
  <c r="AA140" i="93"/>
  <c r="AB140" i="93"/>
  <c r="AC140" i="93"/>
  <c r="AD140" i="93"/>
  <c r="AE140" i="93"/>
  <c r="AF140" i="93"/>
  <c r="AG140" i="93"/>
  <c r="AH140" i="93"/>
  <c r="AI140" i="93"/>
  <c r="AJ140" i="93"/>
  <c r="AK140" i="93"/>
  <c r="AL140" i="93"/>
  <c r="AM140" i="93"/>
  <c r="AN140" i="93"/>
  <c r="AO140" i="93"/>
  <c r="AP140" i="93"/>
  <c r="AQ140" i="93"/>
  <c r="AR140" i="93"/>
  <c r="AS140" i="93"/>
  <c r="AT140" i="93"/>
  <c r="AU140" i="93"/>
  <c r="AV140" i="93"/>
  <c r="AW140" i="93"/>
  <c r="AX140" i="93"/>
  <c r="AY140" i="93"/>
  <c r="AZ140" i="93"/>
  <c r="BA140" i="93"/>
  <c r="BB140" i="93"/>
  <c r="BC140" i="93"/>
  <c r="BD140" i="93"/>
  <c r="BE140" i="93"/>
  <c r="BF140" i="93"/>
  <c r="BG140" i="93"/>
  <c r="BH140" i="93"/>
  <c r="BI140" i="93"/>
  <c r="BJ140" i="93"/>
  <c r="BK140" i="93"/>
  <c r="BL140" i="93"/>
  <c r="BM140" i="93"/>
  <c r="BN140" i="93"/>
  <c r="BO140" i="93"/>
  <c r="BP140" i="93"/>
  <c r="BQ140" i="93"/>
  <c r="BR140" i="93"/>
  <c r="BS140" i="93"/>
  <c r="BT140" i="93"/>
  <c r="BU140" i="93"/>
  <c r="BV140" i="93"/>
  <c r="BW140" i="93"/>
  <c r="BX140" i="93"/>
  <c r="BY140" i="93"/>
  <c r="BZ140" i="93"/>
  <c r="CA140" i="93"/>
  <c r="CB140" i="93"/>
  <c r="CC140" i="93"/>
  <c r="CD140" i="93"/>
  <c r="CE140" i="93"/>
  <c r="CF140" i="93"/>
  <c r="CG140" i="93"/>
  <c r="CH140" i="93"/>
  <c r="CI140" i="93"/>
  <c r="CJ140" i="93"/>
  <c r="CK140" i="93"/>
  <c r="CL140" i="93"/>
  <c r="CM140" i="93"/>
  <c r="CN140" i="93"/>
  <c r="CO140" i="93"/>
  <c r="CP140" i="93"/>
  <c r="CQ140" i="93"/>
  <c r="CR140" i="93"/>
  <c r="CS140" i="93"/>
  <c r="CT140" i="93"/>
  <c r="CU140" i="93"/>
  <c r="CV140" i="93"/>
  <c r="CW140" i="93"/>
  <c r="J141" i="93"/>
  <c r="K141" i="93"/>
  <c r="L141" i="93"/>
  <c r="M141" i="93"/>
  <c r="N141" i="93"/>
  <c r="O141" i="93"/>
  <c r="P141" i="93"/>
  <c r="Q141" i="93"/>
  <c r="R141" i="93"/>
  <c r="S141" i="93"/>
  <c r="T141" i="93"/>
  <c r="U141" i="93"/>
  <c r="V141" i="93"/>
  <c r="W141" i="93"/>
  <c r="X141" i="93"/>
  <c r="Y141" i="93"/>
  <c r="Z141" i="93"/>
  <c r="AA141" i="93"/>
  <c r="AB141" i="93"/>
  <c r="AC141" i="93"/>
  <c r="AD141" i="93"/>
  <c r="AE141" i="93"/>
  <c r="AF141" i="93"/>
  <c r="AG141" i="93"/>
  <c r="AH141" i="93"/>
  <c r="AI141" i="93"/>
  <c r="AJ141" i="93"/>
  <c r="AK141" i="93"/>
  <c r="AL141" i="93"/>
  <c r="AM141" i="93"/>
  <c r="AN141" i="93"/>
  <c r="AO141" i="93"/>
  <c r="AP141" i="93"/>
  <c r="AQ141" i="93"/>
  <c r="AR141" i="93"/>
  <c r="AS141" i="93"/>
  <c r="AT141" i="93"/>
  <c r="AU141" i="93"/>
  <c r="AV141" i="93"/>
  <c r="AW141" i="93"/>
  <c r="AX141" i="93"/>
  <c r="AY141" i="93"/>
  <c r="AZ141" i="93"/>
  <c r="BA141" i="93"/>
  <c r="BB141" i="93"/>
  <c r="BC141" i="93"/>
  <c r="BD141" i="93"/>
  <c r="BE141" i="93"/>
  <c r="BF141" i="93"/>
  <c r="BG141" i="93"/>
  <c r="BH141" i="93"/>
  <c r="BI141" i="93"/>
  <c r="BJ141" i="93"/>
  <c r="BK141" i="93"/>
  <c r="BL141" i="93"/>
  <c r="BM141" i="93"/>
  <c r="BN141" i="93"/>
  <c r="BO141" i="93"/>
  <c r="BP141" i="93"/>
  <c r="BQ141" i="93"/>
  <c r="BR141" i="93"/>
  <c r="BS141" i="93"/>
  <c r="BT141" i="93"/>
  <c r="BU141" i="93"/>
  <c r="BV141" i="93"/>
  <c r="BW141" i="93"/>
  <c r="BX141" i="93"/>
  <c r="BY141" i="93"/>
  <c r="BZ141" i="93"/>
  <c r="CA141" i="93"/>
  <c r="CB141" i="93"/>
  <c r="CC141" i="93"/>
  <c r="CD141" i="93"/>
  <c r="CE141" i="93"/>
  <c r="CF141" i="93"/>
  <c r="CG141" i="93"/>
  <c r="CH141" i="93"/>
  <c r="CI141" i="93"/>
  <c r="CJ141" i="93"/>
  <c r="CK141" i="93"/>
  <c r="CL141" i="93"/>
  <c r="CM141" i="93"/>
  <c r="CN141" i="93"/>
  <c r="CO141" i="93"/>
  <c r="CP141" i="93"/>
  <c r="CQ141" i="93"/>
  <c r="CR141" i="93"/>
  <c r="CS141" i="93"/>
  <c r="CT141" i="93"/>
  <c r="CU141" i="93"/>
  <c r="CV141" i="93"/>
  <c r="CW141" i="93"/>
  <c r="J142" i="93"/>
  <c r="K142" i="93"/>
  <c r="L142" i="93"/>
  <c r="M142" i="93"/>
  <c r="N142" i="93"/>
  <c r="O142" i="93"/>
  <c r="P142" i="93"/>
  <c r="Q142" i="93"/>
  <c r="R142" i="93"/>
  <c r="S142" i="93"/>
  <c r="T142" i="93"/>
  <c r="U142" i="93"/>
  <c r="V142" i="93"/>
  <c r="W142" i="93"/>
  <c r="X142" i="93"/>
  <c r="Y142" i="93"/>
  <c r="Z142" i="93"/>
  <c r="AA142" i="93"/>
  <c r="AB142" i="93"/>
  <c r="AC142" i="93"/>
  <c r="AD142" i="93"/>
  <c r="AE142" i="93"/>
  <c r="AF142" i="93"/>
  <c r="AG142" i="93"/>
  <c r="AH142" i="93"/>
  <c r="AI142" i="93"/>
  <c r="AJ142" i="93"/>
  <c r="AK142" i="93"/>
  <c r="AL142" i="93"/>
  <c r="AM142" i="93"/>
  <c r="AN142" i="93"/>
  <c r="AO142" i="93"/>
  <c r="AP142" i="93"/>
  <c r="AQ142" i="93"/>
  <c r="AR142" i="93"/>
  <c r="AS142" i="93"/>
  <c r="AT142" i="93"/>
  <c r="AU142" i="93"/>
  <c r="AV142" i="93"/>
  <c r="AW142" i="93"/>
  <c r="AX142" i="93"/>
  <c r="AY142" i="93"/>
  <c r="AZ142" i="93"/>
  <c r="BA142" i="93"/>
  <c r="BB142" i="93"/>
  <c r="BC142" i="93"/>
  <c r="BD142" i="93"/>
  <c r="BE142" i="93"/>
  <c r="BF142" i="93"/>
  <c r="BG142" i="93"/>
  <c r="BH142" i="93"/>
  <c r="BI142" i="93"/>
  <c r="BJ142" i="93"/>
  <c r="BK142" i="93"/>
  <c r="BL142" i="93"/>
  <c r="BM142" i="93"/>
  <c r="BN142" i="93"/>
  <c r="BO142" i="93"/>
  <c r="BP142" i="93"/>
  <c r="BQ142" i="93"/>
  <c r="BR142" i="93"/>
  <c r="BS142" i="93"/>
  <c r="BT142" i="93"/>
  <c r="BU142" i="93"/>
  <c r="BV142" i="93"/>
  <c r="BW142" i="93"/>
  <c r="BX142" i="93"/>
  <c r="BY142" i="93"/>
  <c r="BZ142" i="93"/>
  <c r="CA142" i="93"/>
  <c r="CB142" i="93"/>
  <c r="CC142" i="93"/>
  <c r="CD142" i="93"/>
  <c r="CE142" i="93"/>
  <c r="CF142" i="93"/>
  <c r="CG142" i="93"/>
  <c r="CH142" i="93"/>
  <c r="CI142" i="93"/>
  <c r="CJ142" i="93"/>
  <c r="CK142" i="93"/>
  <c r="CL142" i="93"/>
  <c r="CM142" i="93"/>
  <c r="CN142" i="93"/>
  <c r="CO142" i="93"/>
  <c r="CP142" i="93"/>
  <c r="CQ142" i="93"/>
  <c r="CR142" i="93"/>
  <c r="CS142" i="93"/>
  <c r="CT142" i="93"/>
  <c r="CU142" i="93"/>
  <c r="CV142" i="93"/>
  <c r="CW142" i="93"/>
  <c r="J143" i="93"/>
  <c r="K143" i="93"/>
  <c r="L143" i="93"/>
  <c r="M143" i="93"/>
  <c r="N143" i="93"/>
  <c r="O143" i="93"/>
  <c r="P143" i="93"/>
  <c r="Q143" i="93"/>
  <c r="R143" i="93"/>
  <c r="S143" i="93"/>
  <c r="T143" i="93"/>
  <c r="U143" i="93"/>
  <c r="V143" i="93"/>
  <c r="W143" i="93"/>
  <c r="X143" i="93"/>
  <c r="Y143" i="93"/>
  <c r="Z143" i="93"/>
  <c r="AA143" i="93"/>
  <c r="AB143" i="93"/>
  <c r="AC143" i="93"/>
  <c r="AD143" i="93"/>
  <c r="AE143" i="93"/>
  <c r="AF143" i="93"/>
  <c r="AG143" i="93"/>
  <c r="AH143" i="93"/>
  <c r="AI143" i="93"/>
  <c r="AJ143" i="93"/>
  <c r="AK143" i="93"/>
  <c r="AL143" i="93"/>
  <c r="AM143" i="93"/>
  <c r="AN143" i="93"/>
  <c r="AO143" i="93"/>
  <c r="AP143" i="93"/>
  <c r="AQ143" i="93"/>
  <c r="AR143" i="93"/>
  <c r="AS143" i="93"/>
  <c r="AT143" i="93"/>
  <c r="AU143" i="93"/>
  <c r="AV143" i="93"/>
  <c r="AW143" i="93"/>
  <c r="AX143" i="93"/>
  <c r="AY143" i="93"/>
  <c r="AZ143" i="93"/>
  <c r="BA143" i="93"/>
  <c r="BB143" i="93"/>
  <c r="BC143" i="93"/>
  <c r="BD143" i="93"/>
  <c r="BE143" i="93"/>
  <c r="BF143" i="93"/>
  <c r="BG143" i="93"/>
  <c r="BH143" i="93"/>
  <c r="BI143" i="93"/>
  <c r="BJ143" i="93"/>
  <c r="BK143" i="93"/>
  <c r="BL143" i="93"/>
  <c r="BM143" i="93"/>
  <c r="BN143" i="93"/>
  <c r="BO143" i="93"/>
  <c r="BP143" i="93"/>
  <c r="BQ143" i="93"/>
  <c r="BR143" i="93"/>
  <c r="BS143" i="93"/>
  <c r="BT143" i="93"/>
  <c r="BU143" i="93"/>
  <c r="BV143" i="93"/>
  <c r="BW143" i="93"/>
  <c r="BX143" i="93"/>
  <c r="BY143" i="93"/>
  <c r="BZ143" i="93"/>
  <c r="CA143" i="93"/>
  <c r="CB143" i="93"/>
  <c r="CC143" i="93"/>
  <c r="CD143" i="93"/>
  <c r="CE143" i="93"/>
  <c r="CF143" i="93"/>
  <c r="CG143" i="93"/>
  <c r="CH143" i="93"/>
  <c r="CI143" i="93"/>
  <c r="CJ143" i="93"/>
  <c r="CK143" i="93"/>
  <c r="CL143" i="93"/>
  <c r="CM143" i="93"/>
  <c r="CN143" i="93"/>
  <c r="CO143" i="93"/>
  <c r="CP143" i="93"/>
  <c r="CQ143" i="93"/>
  <c r="CR143" i="93"/>
  <c r="CS143" i="93"/>
  <c r="CT143" i="93"/>
  <c r="CU143" i="93"/>
  <c r="CV143" i="93"/>
  <c r="CW143" i="93"/>
  <c r="J144" i="93"/>
  <c r="K144" i="93"/>
  <c r="L144" i="93"/>
  <c r="M144" i="93"/>
  <c r="N144" i="93"/>
  <c r="O144" i="93"/>
  <c r="P144" i="93"/>
  <c r="Q144" i="93"/>
  <c r="R144" i="93"/>
  <c r="S144" i="93"/>
  <c r="T144" i="93"/>
  <c r="U144" i="93"/>
  <c r="V144" i="93"/>
  <c r="W144" i="93"/>
  <c r="X144" i="93"/>
  <c r="Y144" i="93"/>
  <c r="Z144" i="93"/>
  <c r="AA144" i="93"/>
  <c r="AB144" i="93"/>
  <c r="AC144" i="93"/>
  <c r="AD144" i="93"/>
  <c r="AE144" i="93"/>
  <c r="AF144" i="93"/>
  <c r="AG144" i="93"/>
  <c r="AH144" i="93"/>
  <c r="AI144" i="93"/>
  <c r="AJ144" i="93"/>
  <c r="AK144" i="93"/>
  <c r="AL144" i="93"/>
  <c r="AM144" i="93"/>
  <c r="AN144" i="93"/>
  <c r="AO144" i="93"/>
  <c r="AP144" i="93"/>
  <c r="AQ144" i="93"/>
  <c r="AR144" i="93"/>
  <c r="AS144" i="93"/>
  <c r="AT144" i="93"/>
  <c r="AU144" i="93"/>
  <c r="AV144" i="93"/>
  <c r="AW144" i="93"/>
  <c r="AX144" i="93"/>
  <c r="AY144" i="93"/>
  <c r="AZ144" i="93"/>
  <c r="BA144" i="93"/>
  <c r="BB144" i="93"/>
  <c r="BC144" i="93"/>
  <c r="BD144" i="93"/>
  <c r="BE144" i="93"/>
  <c r="BF144" i="93"/>
  <c r="BG144" i="93"/>
  <c r="BH144" i="93"/>
  <c r="BI144" i="93"/>
  <c r="BJ144" i="93"/>
  <c r="BK144" i="93"/>
  <c r="BL144" i="93"/>
  <c r="BM144" i="93"/>
  <c r="BN144" i="93"/>
  <c r="BO144" i="93"/>
  <c r="BP144" i="93"/>
  <c r="BQ144" i="93"/>
  <c r="BR144" i="93"/>
  <c r="BS144" i="93"/>
  <c r="BT144" i="93"/>
  <c r="BU144" i="93"/>
  <c r="BV144" i="93"/>
  <c r="BW144" i="93"/>
  <c r="BX144" i="93"/>
  <c r="BY144" i="93"/>
  <c r="BZ144" i="93"/>
  <c r="CA144" i="93"/>
  <c r="CB144" i="93"/>
  <c r="CC144" i="93"/>
  <c r="CD144" i="93"/>
  <c r="CE144" i="93"/>
  <c r="CF144" i="93"/>
  <c r="CG144" i="93"/>
  <c r="CH144" i="93"/>
  <c r="CI144" i="93"/>
  <c r="CJ144" i="93"/>
  <c r="CK144" i="93"/>
  <c r="CL144" i="93"/>
  <c r="CM144" i="93"/>
  <c r="CN144" i="93"/>
  <c r="CO144" i="93"/>
  <c r="CP144" i="93"/>
  <c r="CQ144" i="93"/>
  <c r="CR144" i="93"/>
  <c r="CS144" i="93"/>
  <c r="CT144" i="93"/>
  <c r="CU144" i="93"/>
  <c r="CV144" i="93"/>
  <c r="CW144" i="93"/>
  <c r="J145" i="93"/>
  <c r="K145" i="93"/>
  <c r="L145" i="93"/>
  <c r="M145" i="93"/>
  <c r="N145" i="93"/>
  <c r="O145" i="93"/>
  <c r="P145" i="93"/>
  <c r="Q145" i="93"/>
  <c r="R145" i="93"/>
  <c r="S145" i="93"/>
  <c r="T145" i="93"/>
  <c r="U145" i="93"/>
  <c r="V145" i="93"/>
  <c r="W145" i="93"/>
  <c r="X145" i="93"/>
  <c r="Y145" i="93"/>
  <c r="Z145" i="93"/>
  <c r="AA145" i="93"/>
  <c r="AB145" i="93"/>
  <c r="AC145" i="93"/>
  <c r="AD145" i="93"/>
  <c r="AE145" i="93"/>
  <c r="AF145" i="93"/>
  <c r="AG145" i="93"/>
  <c r="AH145" i="93"/>
  <c r="AI145" i="93"/>
  <c r="AJ145" i="93"/>
  <c r="AK145" i="93"/>
  <c r="AL145" i="93"/>
  <c r="AM145" i="93"/>
  <c r="AN145" i="93"/>
  <c r="AO145" i="93"/>
  <c r="AP145" i="93"/>
  <c r="AQ145" i="93"/>
  <c r="AR145" i="93"/>
  <c r="AS145" i="93"/>
  <c r="AT145" i="93"/>
  <c r="AU145" i="93"/>
  <c r="AV145" i="93"/>
  <c r="AW145" i="93"/>
  <c r="AX145" i="93"/>
  <c r="AY145" i="93"/>
  <c r="AZ145" i="93"/>
  <c r="BA145" i="93"/>
  <c r="BB145" i="93"/>
  <c r="BC145" i="93"/>
  <c r="BD145" i="93"/>
  <c r="BE145" i="93"/>
  <c r="BF145" i="93"/>
  <c r="BG145" i="93"/>
  <c r="BH145" i="93"/>
  <c r="BI145" i="93"/>
  <c r="BJ145" i="93"/>
  <c r="BK145" i="93"/>
  <c r="BL145" i="93"/>
  <c r="BM145" i="93"/>
  <c r="BN145" i="93"/>
  <c r="BO145" i="93"/>
  <c r="BP145" i="93"/>
  <c r="BQ145" i="93"/>
  <c r="BR145" i="93"/>
  <c r="BS145" i="93"/>
  <c r="BT145" i="93"/>
  <c r="BU145" i="93"/>
  <c r="BV145" i="93"/>
  <c r="BW145" i="93"/>
  <c r="BX145" i="93"/>
  <c r="BY145" i="93"/>
  <c r="BZ145" i="93"/>
  <c r="CA145" i="93"/>
  <c r="CB145" i="93"/>
  <c r="CC145" i="93"/>
  <c r="CD145" i="93"/>
  <c r="CE145" i="93"/>
  <c r="CF145" i="93"/>
  <c r="CG145" i="93"/>
  <c r="CH145" i="93"/>
  <c r="CI145" i="93"/>
  <c r="CJ145" i="93"/>
  <c r="CK145" i="93"/>
  <c r="CL145" i="93"/>
  <c r="CM145" i="93"/>
  <c r="CN145" i="93"/>
  <c r="CO145" i="93"/>
  <c r="CP145" i="93"/>
  <c r="CQ145" i="93"/>
  <c r="CR145" i="93"/>
  <c r="CS145" i="93"/>
  <c r="CT145" i="93"/>
  <c r="CU145" i="93"/>
  <c r="CV145" i="93"/>
  <c r="CW145" i="93"/>
  <c r="J146" i="93"/>
  <c r="K146" i="93"/>
  <c r="L146" i="93"/>
  <c r="M146" i="93"/>
  <c r="N146" i="93"/>
  <c r="O146" i="93"/>
  <c r="P146" i="93"/>
  <c r="Q146" i="93"/>
  <c r="R146" i="93"/>
  <c r="S146" i="93"/>
  <c r="T146" i="93"/>
  <c r="U146" i="93"/>
  <c r="V146" i="93"/>
  <c r="W146" i="93"/>
  <c r="X146" i="93"/>
  <c r="Y146" i="93"/>
  <c r="Z146" i="93"/>
  <c r="AA146" i="93"/>
  <c r="AB146" i="93"/>
  <c r="AC146" i="93"/>
  <c r="AD146" i="93"/>
  <c r="AE146" i="93"/>
  <c r="AF146" i="93"/>
  <c r="AG146" i="93"/>
  <c r="AH146" i="93"/>
  <c r="AI146" i="93"/>
  <c r="AJ146" i="93"/>
  <c r="AK146" i="93"/>
  <c r="AL146" i="93"/>
  <c r="AM146" i="93"/>
  <c r="AN146" i="93"/>
  <c r="AO146" i="93"/>
  <c r="AP146" i="93"/>
  <c r="AQ146" i="93"/>
  <c r="AR146" i="93"/>
  <c r="AS146" i="93"/>
  <c r="AT146" i="93"/>
  <c r="AU146" i="93"/>
  <c r="AV146" i="93"/>
  <c r="AW146" i="93"/>
  <c r="AX146" i="93"/>
  <c r="AY146" i="93"/>
  <c r="AZ146" i="93"/>
  <c r="BA146" i="93"/>
  <c r="BB146" i="93"/>
  <c r="BC146" i="93"/>
  <c r="BD146" i="93"/>
  <c r="BE146" i="93"/>
  <c r="BF146" i="93"/>
  <c r="BG146" i="93"/>
  <c r="BH146" i="93"/>
  <c r="BI146" i="93"/>
  <c r="BJ146" i="93"/>
  <c r="BK146" i="93"/>
  <c r="BL146" i="93"/>
  <c r="BM146" i="93"/>
  <c r="BN146" i="93"/>
  <c r="BO146" i="93"/>
  <c r="BP146" i="93"/>
  <c r="BQ146" i="93"/>
  <c r="BR146" i="93"/>
  <c r="BS146" i="93"/>
  <c r="BT146" i="93"/>
  <c r="BU146" i="93"/>
  <c r="BV146" i="93"/>
  <c r="BW146" i="93"/>
  <c r="BX146" i="93"/>
  <c r="BY146" i="93"/>
  <c r="BZ146" i="93"/>
  <c r="CA146" i="93"/>
  <c r="CB146" i="93"/>
  <c r="CC146" i="93"/>
  <c r="CD146" i="93"/>
  <c r="CE146" i="93"/>
  <c r="CF146" i="93"/>
  <c r="CG146" i="93"/>
  <c r="CH146" i="93"/>
  <c r="CI146" i="93"/>
  <c r="CJ146" i="93"/>
  <c r="CK146" i="93"/>
  <c r="CL146" i="93"/>
  <c r="CM146" i="93"/>
  <c r="CN146" i="93"/>
  <c r="CO146" i="93"/>
  <c r="CP146" i="93"/>
  <c r="CQ146" i="93"/>
  <c r="CR146" i="93"/>
  <c r="CS146" i="93"/>
  <c r="CT146" i="93"/>
  <c r="CU146" i="93"/>
  <c r="CV146" i="93"/>
  <c r="CW146" i="93"/>
  <c r="J147" i="93"/>
  <c r="K147" i="93"/>
  <c r="L147" i="93"/>
  <c r="M147" i="93"/>
  <c r="N147" i="93"/>
  <c r="O147" i="93"/>
  <c r="P147" i="93"/>
  <c r="Q147" i="93"/>
  <c r="R147" i="93"/>
  <c r="S147" i="93"/>
  <c r="T147" i="93"/>
  <c r="U147" i="93"/>
  <c r="V147" i="93"/>
  <c r="W147" i="93"/>
  <c r="X147" i="93"/>
  <c r="Y147" i="93"/>
  <c r="Z147" i="93"/>
  <c r="AA147" i="93"/>
  <c r="AB147" i="93"/>
  <c r="AC147" i="93"/>
  <c r="AD147" i="93"/>
  <c r="AE147" i="93"/>
  <c r="AF147" i="93"/>
  <c r="AG147" i="93"/>
  <c r="AH147" i="93"/>
  <c r="AI147" i="93"/>
  <c r="AJ147" i="93"/>
  <c r="AK147" i="93"/>
  <c r="AL147" i="93"/>
  <c r="AM147" i="93"/>
  <c r="AN147" i="93"/>
  <c r="AO147" i="93"/>
  <c r="AP147" i="93"/>
  <c r="AQ147" i="93"/>
  <c r="AR147" i="93"/>
  <c r="AS147" i="93"/>
  <c r="AT147" i="93"/>
  <c r="AU147" i="93"/>
  <c r="AV147" i="93"/>
  <c r="AW147" i="93"/>
  <c r="AX147" i="93"/>
  <c r="AY147" i="93"/>
  <c r="AZ147" i="93"/>
  <c r="BA147" i="93"/>
  <c r="BB147" i="93"/>
  <c r="BC147" i="93"/>
  <c r="BD147" i="93"/>
  <c r="BE147" i="93"/>
  <c r="BF147" i="93"/>
  <c r="BG147" i="93"/>
  <c r="BH147" i="93"/>
  <c r="BI147" i="93"/>
  <c r="BJ147" i="93"/>
  <c r="BK147" i="93"/>
  <c r="BL147" i="93"/>
  <c r="BM147" i="93"/>
  <c r="BN147" i="93"/>
  <c r="BO147" i="93"/>
  <c r="BP147" i="93"/>
  <c r="BQ147" i="93"/>
  <c r="BR147" i="93"/>
  <c r="BS147" i="93"/>
  <c r="BT147" i="93"/>
  <c r="BU147" i="93"/>
  <c r="BV147" i="93"/>
  <c r="BW147" i="93"/>
  <c r="BX147" i="93"/>
  <c r="BY147" i="93"/>
  <c r="BZ147" i="93"/>
  <c r="CA147" i="93"/>
  <c r="CB147" i="93"/>
  <c r="CC147" i="93"/>
  <c r="CD147" i="93"/>
  <c r="CE147" i="93"/>
  <c r="CF147" i="93"/>
  <c r="CG147" i="93"/>
  <c r="CH147" i="93"/>
  <c r="CI147" i="93"/>
  <c r="CJ147" i="93"/>
  <c r="CK147" i="93"/>
  <c r="CL147" i="93"/>
  <c r="CM147" i="93"/>
  <c r="CN147" i="93"/>
  <c r="CO147" i="93"/>
  <c r="CP147" i="93"/>
  <c r="CQ147" i="93"/>
  <c r="CR147" i="93"/>
  <c r="CS147" i="93"/>
  <c r="CT147" i="93"/>
  <c r="CU147" i="93"/>
  <c r="CV147" i="93"/>
  <c r="CW147" i="93"/>
  <c r="J148" i="93"/>
  <c r="K148" i="93"/>
  <c r="L148" i="93"/>
  <c r="M148" i="93"/>
  <c r="N148" i="93"/>
  <c r="O148" i="93"/>
  <c r="P148" i="93"/>
  <c r="Q148" i="93"/>
  <c r="R148" i="93"/>
  <c r="S148" i="93"/>
  <c r="T148" i="93"/>
  <c r="U148" i="93"/>
  <c r="V148" i="93"/>
  <c r="W148" i="93"/>
  <c r="X148" i="93"/>
  <c r="Y148" i="93"/>
  <c r="Z148" i="93"/>
  <c r="AA148" i="93"/>
  <c r="AB148" i="93"/>
  <c r="AC148" i="93"/>
  <c r="AD148" i="93"/>
  <c r="AE148" i="93"/>
  <c r="AF148" i="93"/>
  <c r="AG148" i="93"/>
  <c r="AH148" i="93"/>
  <c r="AI148" i="93"/>
  <c r="AJ148" i="93"/>
  <c r="AK148" i="93"/>
  <c r="AL148" i="93"/>
  <c r="AM148" i="93"/>
  <c r="AN148" i="93"/>
  <c r="AO148" i="93"/>
  <c r="AP148" i="93"/>
  <c r="AQ148" i="93"/>
  <c r="AR148" i="93"/>
  <c r="AS148" i="93"/>
  <c r="AT148" i="93"/>
  <c r="AU148" i="93"/>
  <c r="AV148" i="93"/>
  <c r="AW148" i="93"/>
  <c r="AX148" i="93"/>
  <c r="AY148" i="93"/>
  <c r="AZ148" i="93"/>
  <c r="BA148" i="93"/>
  <c r="BB148" i="93"/>
  <c r="BC148" i="93"/>
  <c r="BD148" i="93"/>
  <c r="BE148" i="93"/>
  <c r="BF148" i="93"/>
  <c r="BG148" i="93"/>
  <c r="BH148" i="93"/>
  <c r="BI148" i="93"/>
  <c r="BJ148" i="93"/>
  <c r="BK148" i="93"/>
  <c r="BL148" i="93"/>
  <c r="BM148" i="93"/>
  <c r="BN148" i="93"/>
  <c r="BO148" i="93"/>
  <c r="BP148" i="93"/>
  <c r="BQ148" i="93"/>
  <c r="BR148" i="93"/>
  <c r="BS148" i="93"/>
  <c r="BT148" i="93"/>
  <c r="BU148" i="93"/>
  <c r="BV148" i="93"/>
  <c r="BW148" i="93"/>
  <c r="BX148" i="93"/>
  <c r="BY148" i="93"/>
  <c r="BZ148" i="93"/>
  <c r="CA148" i="93"/>
  <c r="CB148" i="93"/>
  <c r="CC148" i="93"/>
  <c r="CD148" i="93"/>
  <c r="CE148" i="93"/>
  <c r="CF148" i="93"/>
  <c r="CG148" i="93"/>
  <c r="CH148" i="93"/>
  <c r="CI148" i="93"/>
  <c r="CJ148" i="93"/>
  <c r="CK148" i="93"/>
  <c r="CL148" i="93"/>
  <c r="CM148" i="93"/>
  <c r="CN148" i="93"/>
  <c r="CO148" i="93"/>
  <c r="CP148" i="93"/>
  <c r="CQ148" i="93"/>
  <c r="CR148" i="93"/>
  <c r="CS148" i="93"/>
  <c r="CT148" i="93"/>
  <c r="CU148" i="93"/>
  <c r="CV148" i="93"/>
  <c r="CW148" i="93"/>
  <c r="J149" i="93"/>
  <c r="K149" i="93"/>
  <c r="L149" i="93"/>
  <c r="M149" i="93"/>
  <c r="N149" i="93"/>
  <c r="O149" i="93"/>
  <c r="P149" i="93"/>
  <c r="Q149" i="93"/>
  <c r="R149" i="93"/>
  <c r="S149" i="93"/>
  <c r="T149" i="93"/>
  <c r="U149" i="93"/>
  <c r="V149" i="93"/>
  <c r="W149" i="93"/>
  <c r="X149" i="93"/>
  <c r="Y149" i="93"/>
  <c r="Z149" i="93"/>
  <c r="AA149" i="93"/>
  <c r="AB149" i="93"/>
  <c r="AC149" i="93"/>
  <c r="AD149" i="93"/>
  <c r="AE149" i="93"/>
  <c r="AF149" i="93"/>
  <c r="AG149" i="93"/>
  <c r="AH149" i="93"/>
  <c r="AI149" i="93"/>
  <c r="AJ149" i="93"/>
  <c r="AK149" i="93"/>
  <c r="AL149" i="93"/>
  <c r="AM149" i="93"/>
  <c r="AN149" i="93"/>
  <c r="AO149" i="93"/>
  <c r="AP149" i="93"/>
  <c r="AQ149" i="93"/>
  <c r="AR149" i="93"/>
  <c r="AS149" i="93"/>
  <c r="AT149" i="93"/>
  <c r="AU149" i="93"/>
  <c r="AV149" i="93"/>
  <c r="AW149" i="93"/>
  <c r="AX149" i="93"/>
  <c r="AY149" i="93"/>
  <c r="AZ149" i="93"/>
  <c r="BA149" i="93"/>
  <c r="BB149" i="93"/>
  <c r="BC149" i="93"/>
  <c r="BD149" i="93"/>
  <c r="BE149" i="93"/>
  <c r="BF149" i="93"/>
  <c r="BG149" i="93"/>
  <c r="BH149" i="93"/>
  <c r="BI149" i="93"/>
  <c r="BJ149" i="93"/>
  <c r="BK149" i="93"/>
  <c r="BL149" i="93"/>
  <c r="BM149" i="93"/>
  <c r="BN149" i="93"/>
  <c r="BO149" i="93"/>
  <c r="BP149" i="93"/>
  <c r="BQ149" i="93"/>
  <c r="BR149" i="93"/>
  <c r="BS149" i="93"/>
  <c r="BT149" i="93"/>
  <c r="BU149" i="93"/>
  <c r="BV149" i="93"/>
  <c r="BW149" i="93"/>
  <c r="BX149" i="93"/>
  <c r="BY149" i="93"/>
  <c r="BZ149" i="93"/>
  <c r="CA149" i="93"/>
  <c r="CB149" i="93"/>
  <c r="CC149" i="93"/>
  <c r="CD149" i="93"/>
  <c r="CE149" i="93"/>
  <c r="CF149" i="93"/>
  <c r="CG149" i="93"/>
  <c r="CH149" i="93"/>
  <c r="CI149" i="93"/>
  <c r="CJ149" i="93"/>
  <c r="CK149" i="93"/>
  <c r="CL149" i="93"/>
  <c r="CM149" i="93"/>
  <c r="CN149" i="93"/>
  <c r="CO149" i="93"/>
  <c r="CP149" i="93"/>
  <c r="CQ149" i="93"/>
  <c r="CR149" i="93"/>
  <c r="CS149" i="93"/>
  <c r="CT149" i="93"/>
  <c r="CU149" i="93"/>
  <c r="CV149" i="93"/>
  <c r="CW149" i="93"/>
  <c r="J150" i="93"/>
  <c r="K150" i="93"/>
  <c r="L150" i="93"/>
  <c r="M150" i="93"/>
  <c r="N150" i="93"/>
  <c r="O150" i="93"/>
  <c r="P150" i="93"/>
  <c r="Q150" i="93"/>
  <c r="R150" i="93"/>
  <c r="S150" i="93"/>
  <c r="T150" i="93"/>
  <c r="U150" i="93"/>
  <c r="V150" i="93"/>
  <c r="W150" i="93"/>
  <c r="X150" i="93"/>
  <c r="Y150" i="93"/>
  <c r="Z150" i="93"/>
  <c r="AA150" i="93"/>
  <c r="AB150" i="93"/>
  <c r="AC150" i="93"/>
  <c r="AD150" i="93"/>
  <c r="AE150" i="93"/>
  <c r="AF150" i="93"/>
  <c r="AG150" i="93"/>
  <c r="AH150" i="93"/>
  <c r="AI150" i="93"/>
  <c r="AJ150" i="93"/>
  <c r="AK150" i="93"/>
  <c r="AL150" i="93"/>
  <c r="AM150" i="93"/>
  <c r="AN150" i="93"/>
  <c r="AO150" i="93"/>
  <c r="AP150" i="93"/>
  <c r="AQ150" i="93"/>
  <c r="AR150" i="93"/>
  <c r="AS150" i="93"/>
  <c r="AT150" i="93"/>
  <c r="AU150" i="93"/>
  <c r="AV150" i="93"/>
  <c r="AW150" i="93"/>
  <c r="AX150" i="93"/>
  <c r="AY150" i="93"/>
  <c r="AZ150" i="93"/>
  <c r="BA150" i="93"/>
  <c r="BB150" i="93"/>
  <c r="BC150" i="93"/>
  <c r="BD150" i="93"/>
  <c r="BE150" i="93"/>
  <c r="BF150" i="93"/>
  <c r="BG150" i="93"/>
  <c r="BH150" i="93"/>
  <c r="BI150" i="93"/>
  <c r="BJ150" i="93"/>
  <c r="BK150" i="93"/>
  <c r="BL150" i="93"/>
  <c r="BM150" i="93"/>
  <c r="BN150" i="93"/>
  <c r="BO150" i="93"/>
  <c r="BP150" i="93"/>
  <c r="BQ150" i="93"/>
  <c r="BR150" i="93"/>
  <c r="BS150" i="93"/>
  <c r="BT150" i="93"/>
  <c r="BU150" i="93"/>
  <c r="BV150" i="93"/>
  <c r="BW150" i="93"/>
  <c r="BX150" i="93"/>
  <c r="BY150" i="93"/>
  <c r="BZ150" i="93"/>
  <c r="CA150" i="93"/>
  <c r="CB150" i="93"/>
  <c r="CC150" i="93"/>
  <c r="CD150" i="93"/>
  <c r="CE150" i="93"/>
  <c r="CF150" i="93"/>
  <c r="CG150" i="93"/>
  <c r="CH150" i="93"/>
  <c r="CI150" i="93"/>
  <c r="CJ150" i="93"/>
  <c r="CK150" i="93"/>
  <c r="CL150" i="93"/>
  <c r="CM150" i="93"/>
  <c r="CN150" i="93"/>
  <c r="CO150" i="93"/>
  <c r="CP150" i="93"/>
  <c r="CQ150" i="93"/>
  <c r="CR150" i="93"/>
  <c r="CS150" i="93"/>
  <c r="CT150" i="93"/>
  <c r="CU150" i="93"/>
  <c r="CV150" i="93"/>
  <c r="CW150" i="93"/>
  <c r="J151" i="93"/>
  <c r="K151" i="93"/>
  <c r="L151" i="93"/>
  <c r="M151" i="93"/>
  <c r="N151" i="93"/>
  <c r="O151" i="93"/>
  <c r="P151" i="93"/>
  <c r="Q151" i="93"/>
  <c r="R151" i="93"/>
  <c r="S151" i="93"/>
  <c r="T151" i="93"/>
  <c r="U151" i="93"/>
  <c r="V151" i="93"/>
  <c r="W151" i="93"/>
  <c r="X151" i="93"/>
  <c r="Y151" i="93"/>
  <c r="Z151" i="93"/>
  <c r="AA151" i="93"/>
  <c r="AB151" i="93"/>
  <c r="AC151" i="93"/>
  <c r="AD151" i="93"/>
  <c r="AE151" i="93"/>
  <c r="AF151" i="93"/>
  <c r="AG151" i="93"/>
  <c r="AH151" i="93"/>
  <c r="AI151" i="93"/>
  <c r="AJ151" i="93"/>
  <c r="AK151" i="93"/>
  <c r="AL151" i="93"/>
  <c r="AM151" i="93"/>
  <c r="AN151" i="93"/>
  <c r="AO151" i="93"/>
  <c r="AP151" i="93"/>
  <c r="AQ151" i="93"/>
  <c r="AR151" i="93"/>
  <c r="AS151" i="93"/>
  <c r="AT151" i="93"/>
  <c r="AU151" i="93"/>
  <c r="AV151" i="93"/>
  <c r="AW151" i="93"/>
  <c r="AX151" i="93"/>
  <c r="AY151" i="93"/>
  <c r="AZ151" i="93"/>
  <c r="BA151" i="93"/>
  <c r="BB151" i="93"/>
  <c r="BC151" i="93"/>
  <c r="BD151" i="93"/>
  <c r="BE151" i="93"/>
  <c r="BF151" i="93"/>
  <c r="BG151" i="93"/>
  <c r="BH151" i="93"/>
  <c r="BI151" i="93"/>
  <c r="BJ151" i="93"/>
  <c r="BK151" i="93"/>
  <c r="BL151" i="93"/>
  <c r="BM151" i="93"/>
  <c r="BN151" i="93"/>
  <c r="BO151" i="93"/>
  <c r="BP151" i="93"/>
  <c r="BQ151" i="93"/>
  <c r="BR151" i="93"/>
  <c r="BS151" i="93"/>
  <c r="BT151" i="93"/>
  <c r="BU151" i="93"/>
  <c r="BV151" i="93"/>
  <c r="BW151" i="93"/>
  <c r="BX151" i="93"/>
  <c r="BY151" i="93"/>
  <c r="BZ151" i="93"/>
  <c r="CA151" i="93"/>
  <c r="CB151" i="93"/>
  <c r="CC151" i="93"/>
  <c r="CD151" i="93"/>
  <c r="CE151" i="93"/>
  <c r="CF151" i="93"/>
  <c r="CG151" i="93"/>
  <c r="CH151" i="93"/>
  <c r="CI151" i="93"/>
  <c r="CJ151" i="93"/>
  <c r="CK151" i="93"/>
  <c r="CL151" i="93"/>
  <c r="CM151" i="93"/>
  <c r="CN151" i="93"/>
  <c r="CO151" i="93"/>
  <c r="CP151" i="93"/>
  <c r="CQ151" i="93"/>
  <c r="CR151" i="93"/>
  <c r="CS151" i="93"/>
  <c r="CT151" i="93"/>
  <c r="CU151" i="93"/>
  <c r="CV151" i="93"/>
  <c r="CW151" i="93"/>
  <c r="J152" i="93"/>
  <c r="K152" i="93"/>
  <c r="L152" i="93"/>
  <c r="M152" i="93"/>
  <c r="N152" i="93"/>
  <c r="O152" i="93"/>
  <c r="P152" i="93"/>
  <c r="Q152" i="93"/>
  <c r="R152" i="93"/>
  <c r="S152" i="93"/>
  <c r="T152" i="93"/>
  <c r="U152" i="93"/>
  <c r="V152" i="93"/>
  <c r="W152" i="93"/>
  <c r="X152" i="93"/>
  <c r="Y152" i="93"/>
  <c r="Z152" i="93"/>
  <c r="AA152" i="93"/>
  <c r="AB152" i="93"/>
  <c r="AC152" i="93"/>
  <c r="AD152" i="93"/>
  <c r="AE152" i="93"/>
  <c r="AF152" i="93"/>
  <c r="AG152" i="93"/>
  <c r="AH152" i="93"/>
  <c r="AI152" i="93"/>
  <c r="AJ152" i="93"/>
  <c r="AK152" i="93"/>
  <c r="AL152" i="93"/>
  <c r="AM152" i="93"/>
  <c r="AN152" i="93"/>
  <c r="AO152" i="93"/>
  <c r="AP152" i="93"/>
  <c r="AQ152" i="93"/>
  <c r="AR152" i="93"/>
  <c r="AS152" i="93"/>
  <c r="AT152" i="93"/>
  <c r="AU152" i="93"/>
  <c r="AV152" i="93"/>
  <c r="AW152" i="93"/>
  <c r="AX152" i="93"/>
  <c r="AY152" i="93"/>
  <c r="AZ152" i="93"/>
  <c r="BA152" i="93"/>
  <c r="BB152" i="93"/>
  <c r="BC152" i="93"/>
  <c r="BD152" i="93"/>
  <c r="BE152" i="93"/>
  <c r="BF152" i="93"/>
  <c r="BG152" i="93"/>
  <c r="BH152" i="93"/>
  <c r="BI152" i="93"/>
  <c r="BJ152" i="93"/>
  <c r="BK152" i="93"/>
  <c r="BL152" i="93"/>
  <c r="BM152" i="93"/>
  <c r="BN152" i="93"/>
  <c r="BO152" i="93"/>
  <c r="BP152" i="93"/>
  <c r="BQ152" i="93"/>
  <c r="BR152" i="93"/>
  <c r="BS152" i="93"/>
  <c r="BT152" i="93"/>
  <c r="BU152" i="93"/>
  <c r="BV152" i="93"/>
  <c r="BW152" i="93"/>
  <c r="BX152" i="93"/>
  <c r="BY152" i="93"/>
  <c r="BZ152" i="93"/>
  <c r="CA152" i="93"/>
  <c r="CB152" i="93"/>
  <c r="CC152" i="93"/>
  <c r="CD152" i="93"/>
  <c r="CE152" i="93"/>
  <c r="CF152" i="93"/>
  <c r="CG152" i="93"/>
  <c r="CH152" i="93"/>
  <c r="CI152" i="93"/>
  <c r="CJ152" i="93"/>
  <c r="CK152" i="93"/>
  <c r="CL152" i="93"/>
  <c r="CM152" i="93"/>
  <c r="CN152" i="93"/>
  <c r="CO152" i="93"/>
  <c r="CP152" i="93"/>
  <c r="CQ152" i="93"/>
  <c r="CR152" i="93"/>
  <c r="CS152" i="93"/>
  <c r="CT152" i="93"/>
  <c r="CU152" i="93"/>
  <c r="CV152" i="93"/>
  <c r="CW152" i="93"/>
  <c r="J153" i="93"/>
  <c r="K153" i="93"/>
  <c r="L153" i="93"/>
  <c r="M153" i="93"/>
  <c r="N153" i="93"/>
  <c r="O153" i="93"/>
  <c r="P153" i="93"/>
  <c r="Q153" i="93"/>
  <c r="R153" i="93"/>
  <c r="S153" i="93"/>
  <c r="T153" i="93"/>
  <c r="U153" i="93"/>
  <c r="V153" i="93"/>
  <c r="W153" i="93"/>
  <c r="X153" i="93"/>
  <c r="Y153" i="93"/>
  <c r="Z153" i="93"/>
  <c r="AA153" i="93"/>
  <c r="AB153" i="93"/>
  <c r="AC153" i="93"/>
  <c r="AD153" i="93"/>
  <c r="AE153" i="93"/>
  <c r="AF153" i="93"/>
  <c r="AG153" i="93"/>
  <c r="AH153" i="93"/>
  <c r="AI153" i="93"/>
  <c r="AJ153" i="93"/>
  <c r="AK153" i="93"/>
  <c r="AL153" i="93"/>
  <c r="AM153" i="93"/>
  <c r="AN153" i="93"/>
  <c r="AO153" i="93"/>
  <c r="AP153" i="93"/>
  <c r="AQ153" i="93"/>
  <c r="AR153" i="93"/>
  <c r="AS153" i="93"/>
  <c r="AT153" i="93"/>
  <c r="AU153" i="93"/>
  <c r="AV153" i="93"/>
  <c r="AW153" i="93"/>
  <c r="AX153" i="93"/>
  <c r="AY153" i="93"/>
  <c r="AZ153" i="93"/>
  <c r="BA153" i="93"/>
  <c r="BB153" i="93"/>
  <c r="BC153" i="93"/>
  <c r="BD153" i="93"/>
  <c r="BE153" i="93"/>
  <c r="BF153" i="93"/>
  <c r="BG153" i="93"/>
  <c r="BH153" i="93"/>
  <c r="BI153" i="93"/>
  <c r="BJ153" i="93"/>
  <c r="BK153" i="93"/>
  <c r="BL153" i="93"/>
  <c r="BM153" i="93"/>
  <c r="BN153" i="93"/>
  <c r="BO153" i="93"/>
  <c r="BP153" i="93"/>
  <c r="BQ153" i="93"/>
  <c r="BR153" i="93"/>
  <c r="BS153" i="93"/>
  <c r="BT153" i="93"/>
  <c r="BU153" i="93"/>
  <c r="BV153" i="93"/>
  <c r="BW153" i="93"/>
  <c r="BX153" i="93"/>
  <c r="BY153" i="93"/>
  <c r="BZ153" i="93"/>
  <c r="CA153" i="93"/>
  <c r="CB153" i="93"/>
  <c r="CC153" i="93"/>
  <c r="CD153" i="93"/>
  <c r="CE153" i="93"/>
  <c r="CF153" i="93"/>
  <c r="CG153" i="93"/>
  <c r="CH153" i="93"/>
  <c r="CI153" i="93"/>
  <c r="CJ153" i="93"/>
  <c r="CK153" i="93"/>
  <c r="CL153" i="93"/>
  <c r="CM153" i="93"/>
  <c r="CN153" i="93"/>
  <c r="CO153" i="93"/>
  <c r="CP153" i="93"/>
  <c r="CQ153" i="93"/>
  <c r="CR153" i="93"/>
  <c r="CS153" i="93"/>
  <c r="CT153" i="93"/>
  <c r="CU153" i="93"/>
  <c r="CV153" i="93"/>
  <c r="CW153" i="93"/>
  <c r="J154" i="93"/>
  <c r="K154" i="93"/>
  <c r="L154" i="93"/>
  <c r="M154" i="93"/>
  <c r="N154" i="93"/>
  <c r="O154" i="93"/>
  <c r="P154" i="93"/>
  <c r="Q154" i="93"/>
  <c r="R154" i="93"/>
  <c r="S154" i="93"/>
  <c r="T154" i="93"/>
  <c r="U154" i="93"/>
  <c r="V154" i="93"/>
  <c r="W154" i="93"/>
  <c r="X154" i="93"/>
  <c r="Y154" i="93"/>
  <c r="Z154" i="93"/>
  <c r="AA154" i="93"/>
  <c r="AB154" i="93"/>
  <c r="AC154" i="93"/>
  <c r="AD154" i="93"/>
  <c r="AE154" i="93"/>
  <c r="AF154" i="93"/>
  <c r="AG154" i="93"/>
  <c r="AH154" i="93"/>
  <c r="AI154" i="93"/>
  <c r="AJ154" i="93"/>
  <c r="AK154" i="93"/>
  <c r="AL154" i="93"/>
  <c r="AM154" i="93"/>
  <c r="AN154" i="93"/>
  <c r="AO154" i="93"/>
  <c r="AP154" i="93"/>
  <c r="AQ154" i="93"/>
  <c r="AR154" i="93"/>
  <c r="AS154" i="93"/>
  <c r="AT154" i="93"/>
  <c r="AU154" i="93"/>
  <c r="AV154" i="93"/>
  <c r="AW154" i="93"/>
  <c r="AX154" i="93"/>
  <c r="AY154" i="93"/>
  <c r="AZ154" i="93"/>
  <c r="BA154" i="93"/>
  <c r="BB154" i="93"/>
  <c r="BC154" i="93"/>
  <c r="BD154" i="93"/>
  <c r="BE154" i="93"/>
  <c r="BF154" i="93"/>
  <c r="BG154" i="93"/>
  <c r="BH154" i="93"/>
  <c r="BI154" i="93"/>
  <c r="BJ154" i="93"/>
  <c r="BK154" i="93"/>
  <c r="BL154" i="93"/>
  <c r="BM154" i="93"/>
  <c r="BN154" i="93"/>
  <c r="BO154" i="93"/>
  <c r="BP154" i="93"/>
  <c r="BQ154" i="93"/>
  <c r="BR154" i="93"/>
  <c r="BS154" i="93"/>
  <c r="BT154" i="93"/>
  <c r="BU154" i="93"/>
  <c r="BV154" i="93"/>
  <c r="BW154" i="93"/>
  <c r="BX154" i="93"/>
  <c r="BY154" i="93"/>
  <c r="BZ154" i="93"/>
  <c r="CA154" i="93"/>
  <c r="CB154" i="93"/>
  <c r="CC154" i="93"/>
  <c r="CD154" i="93"/>
  <c r="CE154" i="93"/>
  <c r="CF154" i="93"/>
  <c r="CG154" i="93"/>
  <c r="CH154" i="93"/>
  <c r="CI154" i="93"/>
  <c r="CJ154" i="93"/>
  <c r="CK154" i="93"/>
  <c r="CL154" i="93"/>
  <c r="CM154" i="93"/>
  <c r="CN154" i="93"/>
  <c r="CO154" i="93"/>
  <c r="CP154" i="93"/>
  <c r="CQ154" i="93"/>
  <c r="CR154" i="93"/>
  <c r="CS154" i="93"/>
  <c r="CT154" i="93"/>
  <c r="CU154" i="93"/>
  <c r="CV154" i="93"/>
  <c r="CW154" i="93"/>
  <c r="J155" i="93"/>
  <c r="K155" i="93"/>
  <c r="L155" i="93"/>
  <c r="M155" i="93"/>
  <c r="N155" i="93"/>
  <c r="O155" i="93"/>
  <c r="P155" i="93"/>
  <c r="Q155" i="93"/>
  <c r="R155" i="93"/>
  <c r="S155" i="93"/>
  <c r="T155" i="93"/>
  <c r="U155" i="93"/>
  <c r="V155" i="93"/>
  <c r="W155" i="93"/>
  <c r="X155" i="93"/>
  <c r="Y155" i="93"/>
  <c r="Z155" i="93"/>
  <c r="AA155" i="93"/>
  <c r="AB155" i="93"/>
  <c r="AC155" i="93"/>
  <c r="AD155" i="93"/>
  <c r="AE155" i="93"/>
  <c r="AF155" i="93"/>
  <c r="AG155" i="93"/>
  <c r="AH155" i="93"/>
  <c r="AI155" i="93"/>
  <c r="AJ155" i="93"/>
  <c r="AK155" i="93"/>
  <c r="AL155" i="93"/>
  <c r="AM155" i="93"/>
  <c r="AN155" i="93"/>
  <c r="AO155" i="93"/>
  <c r="AP155" i="93"/>
  <c r="AQ155" i="93"/>
  <c r="AR155" i="93"/>
  <c r="AS155" i="93"/>
  <c r="AT155" i="93"/>
  <c r="AU155" i="93"/>
  <c r="AV155" i="93"/>
  <c r="AW155" i="93"/>
  <c r="AX155" i="93"/>
  <c r="AY155" i="93"/>
  <c r="AZ155" i="93"/>
  <c r="BA155" i="93"/>
  <c r="BB155" i="93"/>
  <c r="BC155" i="93"/>
  <c r="BD155" i="93"/>
  <c r="BE155" i="93"/>
  <c r="BF155" i="93"/>
  <c r="BG155" i="93"/>
  <c r="BH155" i="93"/>
  <c r="BI155" i="93"/>
  <c r="BJ155" i="93"/>
  <c r="BK155" i="93"/>
  <c r="BL155" i="93"/>
  <c r="BM155" i="93"/>
  <c r="BN155" i="93"/>
  <c r="BO155" i="93"/>
  <c r="BP155" i="93"/>
  <c r="BQ155" i="93"/>
  <c r="BR155" i="93"/>
  <c r="BS155" i="93"/>
  <c r="BT155" i="93"/>
  <c r="BU155" i="93"/>
  <c r="BV155" i="93"/>
  <c r="BW155" i="93"/>
  <c r="BX155" i="93"/>
  <c r="BY155" i="93"/>
  <c r="BZ155" i="93"/>
  <c r="CA155" i="93"/>
  <c r="CB155" i="93"/>
  <c r="CC155" i="93"/>
  <c r="CD155" i="93"/>
  <c r="CE155" i="93"/>
  <c r="CF155" i="93"/>
  <c r="CG155" i="93"/>
  <c r="CH155" i="93"/>
  <c r="CI155" i="93"/>
  <c r="CJ155" i="93"/>
  <c r="CK155" i="93"/>
  <c r="CL155" i="93"/>
  <c r="CM155" i="93"/>
  <c r="CN155" i="93"/>
  <c r="CO155" i="93"/>
  <c r="CP155" i="93"/>
  <c r="CQ155" i="93"/>
  <c r="CR155" i="93"/>
  <c r="CS155" i="93"/>
  <c r="CT155" i="93"/>
  <c r="CU155" i="93"/>
  <c r="CV155" i="93"/>
  <c r="CW155" i="93"/>
  <c r="J156" i="93"/>
  <c r="K156" i="93"/>
  <c r="L156" i="93"/>
  <c r="M156" i="93"/>
  <c r="N156" i="93"/>
  <c r="O156" i="93"/>
  <c r="P156" i="93"/>
  <c r="Q156" i="93"/>
  <c r="R156" i="93"/>
  <c r="S156" i="93"/>
  <c r="T156" i="93"/>
  <c r="U156" i="93"/>
  <c r="V156" i="93"/>
  <c r="W156" i="93"/>
  <c r="X156" i="93"/>
  <c r="Y156" i="93"/>
  <c r="Z156" i="93"/>
  <c r="AA156" i="93"/>
  <c r="AB156" i="93"/>
  <c r="AC156" i="93"/>
  <c r="AD156" i="93"/>
  <c r="AE156" i="93"/>
  <c r="AF156" i="93"/>
  <c r="AG156" i="93"/>
  <c r="AH156" i="93"/>
  <c r="AI156" i="93"/>
  <c r="AJ156" i="93"/>
  <c r="AK156" i="93"/>
  <c r="AL156" i="93"/>
  <c r="AM156" i="93"/>
  <c r="AN156" i="93"/>
  <c r="AO156" i="93"/>
  <c r="AP156" i="93"/>
  <c r="AQ156" i="93"/>
  <c r="AR156" i="93"/>
  <c r="AS156" i="93"/>
  <c r="AT156" i="93"/>
  <c r="AU156" i="93"/>
  <c r="AV156" i="93"/>
  <c r="AW156" i="93"/>
  <c r="AX156" i="93"/>
  <c r="AY156" i="93"/>
  <c r="AZ156" i="93"/>
  <c r="BA156" i="93"/>
  <c r="BB156" i="93"/>
  <c r="BC156" i="93"/>
  <c r="BD156" i="93"/>
  <c r="BE156" i="93"/>
  <c r="BF156" i="93"/>
  <c r="BG156" i="93"/>
  <c r="BH156" i="93"/>
  <c r="BI156" i="93"/>
  <c r="BJ156" i="93"/>
  <c r="BK156" i="93"/>
  <c r="BL156" i="93"/>
  <c r="BM156" i="93"/>
  <c r="BN156" i="93"/>
  <c r="BO156" i="93"/>
  <c r="BP156" i="93"/>
  <c r="BQ156" i="93"/>
  <c r="BR156" i="93"/>
  <c r="BS156" i="93"/>
  <c r="BT156" i="93"/>
  <c r="BU156" i="93"/>
  <c r="BV156" i="93"/>
  <c r="BW156" i="93"/>
  <c r="BX156" i="93"/>
  <c r="BY156" i="93"/>
  <c r="BZ156" i="93"/>
  <c r="CA156" i="93"/>
  <c r="CB156" i="93"/>
  <c r="CC156" i="93"/>
  <c r="CD156" i="93"/>
  <c r="CE156" i="93"/>
  <c r="CF156" i="93"/>
  <c r="CG156" i="93"/>
  <c r="CH156" i="93"/>
  <c r="CI156" i="93"/>
  <c r="CJ156" i="93"/>
  <c r="CK156" i="93"/>
  <c r="CL156" i="93"/>
  <c r="CM156" i="93"/>
  <c r="CN156" i="93"/>
  <c r="CO156" i="93"/>
  <c r="CP156" i="93"/>
  <c r="CQ156" i="93"/>
  <c r="CR156" i="93"/>
  <c r="CS156" i="93"/>
  <c r="CT156" i="93"/>
  <c r="CU156" i="93"/>
  <c r="CV156" i="93"/>
  <c r="CW156" i="93"/>
  <c r="J157" i="93"/>
  <c r="K157" i="93"/>
  <c r="L157" i="93"/>
  <c r="M157" i="93"/>
  <c r="N157" i="93"/>
  <c r="O157" i="93"/>
  <c r="P157" i="93"/>
  <c r="Q157" i="93"/>
  <c r="R157" i="93"/>
  <c r="S157" i="93"/>
  <c r="T157" i="93"/>
  <c r="U157" i="93"/>
  <c r="V157" i="93"/>
  <c r="W157" i="93"/>
  <c r="X157" i="93"/>
  <c r="Y157" i="93"/>
  <c r="Z157" i="93"/>
  <c r="AA157" i="93"/>
  <c r="AB157" i="93"/>
  <c r="AC157" i="93"/>
  <c r="AD157" i="93"/>
  <c r="AE157" i="93"/>
  <c r="AF157" i="93"/>
  <c r="AG157" i="93"/>
  <c r="AH157" i="93"/>
  <c r="AI157" i="93"/>
  <c r="AJ157" i="93"/>
  <c r="AK157" i="93"/>
  <c r="AL157" i="93"/>
  <c r="AM157" i="93"/>
  <c r="AN157" i="93"/>
  <c r="AO157" i="93"/>
  <c r="AP157" i="93"/>
  <c r="AQ157" i="93"/>
  <c r="AR157" i="93"/>
  <c r="AS157" i="93"/>
  <c r="AT157" i="93"/>
  <c r="AU157" i="93"/>
  <c r="AV157" i="93"/>
  <c r="AW157" i="93"/>
  <c r="AX157" i="93"/>
  <c r="AY157" i="93"/>
  <c r="AZ157" i="93"/>
  <c r="BA157" i="93"/>
  <c r="BB157" i="93"/>
  <c r="BC157" i="93"/>
  <c r="BD157" i="93"/>
  <c r="BE157" i="93"/>
  <c r="BF157" i="93"/>
  <c r="BG157" i="93"/>
  <c r="BH157" i="93"/>
  <c r="BI157" i="93"/>
  <c r="BJ157" i="93"/>
  <c r="BK157" i="93"/>
  <c r="BL157" i="93"/>
  <c r="BM157" i="93"/>
  <c r="BN157" i="93"/>
  <c r="BO157" i="93"/>
  <c r="BP157" i="93"/>
  <c r="BQ157" i="93"/>
  <c r="BR157" i="93"/>
  <c r="BS157" i="93"/>
  <c r="BT157" i="93"/>
  <c r="BU157" i="93"/>
  <c r="BV157" i="93"/>
  <c r="BW157" i="93"/>
  <c r="BX157" i="93"/>
  <c r="BY157" i="93"/>
  <c r="BZ157" i="93"/>
  <c r="CA157" i="93"/>
  <c r="CB157" i="93"/>
  <c r="CC157" i="93"/>
  <c r="CD157" i="93"/>
  <c r="CE157" i="93"/>
  <c r="CF157" i="93"/>
  <c r="CG157" i="93"/>
  <c r="CH157" i="93"/>
  <c r="CI157" i="93"/>
  <c r="CJ157" i="93"/>
  <c r="CK157" i="93"/>
  <c r="CL157" i="93"/>
  <c r="CM157" i="93"/>
  <c r="CN157" i="93"/>
  <c r="CO157" i="93"/>
  <c r="CP157" i="93"/>
  <c r="CQ157" i="93"/>
  <c r="CR157" i="93"/>
  <c r="CS157" i="93"/>
  <c r="CT157" i="93"/>
  <c r="CU157" i="93"/>
  <c r="CV157" i="93"/>
  <c r="CW157" i="93"/>
  <c r="J158" i="93"/>
  <c r="K158" i="93"/>
  <c r="L158" i="93"/>
  <c r="M158" i="93"/>
  <c r="N158" i="93"/>
  <c r="O158" i="93"/>
  <c r="P158" i="93"/>
  <c r="Q158" i="93"/>
  <c r="R158" i="93"/>
  <c r="S158" i="93"/>
  <c r="T158" i="93"/>
  <c r="U158" i="93"/>
  <c r="V158" i="93"/>
  <c r="W158" i="93"/>
  <c r="X158" i="93"/>
  <c r="Y158" i="93"/>
  <c r="Z158" i="93"/>
  <c r="AA158" i="93"/>
  <c r="AB158" i="93"/>
  <c r="AC158" i="93"/>
  <c r="AD158" i="93"/>
  <c r="AE158" i="93"/>
  <c r="AF158" i="93"/>
  <c r="AG158" i="93"/>
  <c r="AH158" i="93"/>
  <c r="AI158" i="93"/>
  <c r="AJ158" i="93"/>
  <c r="AK158" i="93"/>
  <c r="AL158" i="93"/>
  <c r="AM158" i="93"/>
  <c r="AN158" i="93"/>
  <c r="AO158" i="93"/>
  <c r="AP158" i="93"/>
  <c r="AQ158" i="93"/>
  <c r="AR158" i="93"/>
  <c r="AS158" i="93"/>
  <c r="AT158" i="93"/>
  <c r="AU158" i="93"/>
  <c r="AV158" i="93"/>
  <c r="AW158" i="93"/>
  <c r="AX158" i="93"/>
  <c r="AY158" i="93"/>
  <c r="AZ158" i="93"/>
  <c r="BA158" i="93"/>
  <c r="BB158" i="93"/>
  <c r="BC158" i="93"/>
  <c r="BD158" i="93"/>
  <c r="BE158" i="93"/>
  <c r="BF158" i="93"/>
  <c r="BG158" i="93"/>
  <c r="BH158" i="93"/>
  <c r="BI158" i="93"/>
  <c r="BJ158" i="93"/>
  <c r="BK158" i="93"/>
  <c r="BL158" i="93"/>
  <c r="BM158" i="93"/>
  <c r="BN158" i="93"/>
  <c r="BO158" i="93"/>
  <c r="BP158" i="93"/>
  <c r="BQ158" i="93"/>
  <c r="BR158" i="93"/>
  <c r="BS158" i="93"/>
  <c r="BT158" i="93"/>
  <c r="BU158" i="93"/>
  <c r="BV158" i="93"/>
  <c r="BW158" i="93"/>
  <c r="BX158" i="93"/>
  <c r="BY158" i="93"/>
  <c r="BZ158" i="93"/>
  <c r="CA158" i="93"/>
  <c r="CB158" i="93"/>
  <c r="CC158" i="93"/>
  <c r="CD158" i="93"/>
  <c r="CE158" i="93"/>
  <c r="CF158" i="93"/>
  <c r="CG158" i="93"/>
  <c r="CH158" i="93"/>
  <c r="CI158" i="93"/>
  <c r="CJ158" i="93"/>
  <c r="CK158" i="93"/>
  <c r="CL158" i="93"/>
  <c r="CM158" i="93"/>
  <c r="CN158" i="93"/>
  <c r="CO158" i="93"/>
  <c r="CP158" i="93"/>
  <c r="CQ158" i="93"/>
  <c r="CR158" i="93"/>
  <c r="CS158" i="93"/>
  <c r="CT158" i="93"/>
  <c r="CU158" i="93"/>
  <c r="CV158" i="93"/>
  <c r="CW158" i="93"/>
  <c r="J159" i="93"/>
  <c r="K159" i="93"/>
  <c r="L159" i="93"/>
  <c r="M159" i="93"/>
  <c r="N159" i="93"/>
  <c r="O159" i="93"/>
  <c r="P159" i="93"/>
  <c r="Q159" i="93"/>
  <c r="R159" i="93"/>
  <c r="S159" i="93"/>
  <c r="T159" i="93"/>
  <c r="U159" i="93"/>
  <c r="V159" i="93"/>
  <c r="W159" i="93"/>
  <c r="X159" i="93"/>
  <c r="Y159" i="93"/>
  <c r="Z159" i="93"/>
  <c r="AA159" i="93"/>
  <c r="AB159" i="93"/>
  <c r="AC159" i="93"/>
  <c r="AD159" i="93"/>
  <c r="AE159" i="93"/>
  <c r="AF159" i="93"/>
  <c r="AG159" i="93"/>
  <c r="AH159" i="93"/>
  <c r="AI159" i="93"/>
  <c r="AJ159" i="93"/>
  <c r="AK159" i="93"/>
  <c r="AL159" i="93"/>
  <c r="AM159" i="93"/>
  <c r="AN159" i="93"/>
  <c r="AO159" i="93"/>
  <c r="AP159" i="93"/>
  <c r="AQ159" i="93"/>
  <c r="AR159" i="93"/>
  <c r="AS159" i="93"/>
  <c r="AT159" i="93"/>
  <c r="AU159" i="93"/>
  <c r="AV159" i="93"/>
  <c r="AW159" i="93"/>
  <c r="AX159" i="93"/>
  <c r="AY159" i="93"/>
  <c r="AZ159" i="93"/>
  <c r="BA159" i="93"/>
  <c r="BB159" i="93"/>
  <c r="BC159" i="93"/>
  <c r="BD159" i="93"/>
  <c r="BE159" i="93"/>
  <c r="BF159" i="93"/>
  <c r="BG159" i="93"/>
  <c r="BH159" i="93"/>
  <c r="BI159" i="93"/>
  <c r="BJ159" i="93"/>
  <c r="BK159" i="93"/>
  <c r="BL159" i="93"/>
  <c r="BM159" i="93"/>
  <c r="BN159" i="93"/>
  <c r="BO159" i="93"/>
  <c r="BP159" i="93"/>
  <c r="BQ159" i="93"/>
  <c r="BR159" i="93"/>
  <c r="BS159" i="93"/>
  <c r="BT159" i="93"/>
  <c r="BU159" i="93"/>
  <c r="BV159" i="93"/>
  <c r="BW159" i="93"/>
  <c r="BX159" i="93"/>
  <c r="BY159" i="93"/>
  <c r="BZ159" i="93"/>
  <c r="CA159" i="93"/>
  <c r="CB159" i="93"/>
  <c r="CC159" i="93"/>
  <c r="CD159" i="93"/>
  <c r="CE159" i="93"/>
  <c r="CF159" i="93"/>
  <c r="CG159" i="93"/>
  <c r="CH159" i="93"/>
  <c r="CI159" i="93"/>
  <c r="CJ159" i="93"/>
  <c r="CK159" i="93"/>
  <c r="CL159" i="93"/>
  <c r="CM159" i="93"/>
  <c r="CN159" i="93"/>
  <c r="CO159" i="93"/>
  <c r="CP159" i="93"/>
  <c r="CQ159" i="93"/>
  <c r="CR159" i="93"/>
  <c r="CS159" i="93"/>
  <c r="CT159" i="93"/>
  <c r="CU159" i="93"/>
  <c r="CV159" i="93"/>
  <c r="CW159" i="93"/>
  <c r="J160" i="93"/>
  <c r="K160" i="93"/>
  <c r="L160" i="93"/>
  <c r="M160" i="93"/>
  <c r="N160" i="93"/>
  <c r="O160" i="93"/>
  <c r="P160" i="93"/>
  <c r="Q160" i="93"/>
  <c r="R160" i="93"/>
  <c r="S160" i="93"/>
  <c r="T160" i="93"/>
  <c r="U160" i="93"/>
  <c r="V160" i="93"/>
  <c r="W160" i="93"/>
  <c r="X160" i="93"/>
  <c r="Y160" i="93"/>
  <c r="Z160" i="93"/>
  <c r="AA160" i="93"/>
  <c r="AB160" i="93"/>
  <c r="AC160" i="93"/>
  <c r="AD160" i="93"/>
  <c r="AE160" i="93"/>
  <c r="AF160" i="93"/>
  <c r="AG160" i="93"/>
  <c r="AH160" i="93"/>
  <c r="AI160" i="93"/>
  <c r="AJ160" i="93"/>
  <c r="AK160" i="93"/>
  <c r="AL160" i="93"/>
  <c r="AM160" i="93"/>
  <c r="AN160" i="93"/>
  <c r="AO160" i="93"/>
  <c r="AP160" i="93"/>
  <c r="AQ160" i="93"/>
  <c r="AR160" i="93"/>
  <c r="AS160" i="93"/>
  <c r="AT160" i="93"/>
  <c r="AU160" i="93"/>
  <c r="AV160" i="93"/>
  <c r="AW160" i="93"/>
  <c r="AX160" i="93"/>
  <c r="AY160" i="93"/>
  <c r="AZ160" i="93"/>
  <c r="BA160" i="93"/>
  <c r="BB160" i="93"/>
  <c r="BC160" i="93"/>
  <c r="BD160" i="93"/>
  <c r="BE160" i="93"/>
  <c r="BF160" i="93"/>
  <c r="BG160" i="93"/>
  <c r="BH160" i="93"/>
  <c r="BI160" i="93"/>
  <c r="BJ160" i="93"/>
  <c r="BK160" i="93"/>
  <c r="BL160" i="93"/>
  <c r="BM160" i="93"/>
  <c r="BN160" i="93"/>
  <c r="BO160" i="93"/>
  <c r="BP160" i="93"/>
  <c r="BQ160" i="93"/>
  <c r="BR160" i="93"/>
  <c r="BS160" i="93"/>
  <c r="BT160" i="93"/>
  <c r="BU160" i="93"/>
  <c r="BV160" i="93"/>
  <c r="BW160" i="93"/>
  <c r="BX160" i="93"/>
  <c r="BY160" i="93"/>
  <c r="BZ160" i="93"/>
  <c r="CA160" i="93"/>
  <c r="CB160" i="93"/>
  <c r="CC160" i="93"/>
  <c r="CD160" i="93"/>
  <c r="CE160" i="93"/>
  <c r="CF160" i="93"/>
  <c r="CG160" i="93"/>
  <c r="CH160" i="93"/>
  <c r="CI160" i="93"/>
  <c r="CJ160" i="93"/>
  <c r="CK160" i="93"/>
  <c r="CL160" i="93"/>
  <c r="CM160" i="93"/>
  <c r="CN160" i="93"/>
  <c r="CO160" i="93"/>
  <c r="CP160" i="93"/>
  <c r="CQ160" i="93"/>
  <c r="CR160" i="93"/>
  <c r="CS160" i="93"/>
  <c r="CT160" i="93"/>
  <c r="CU160" i="93"/>
  <c r="CV160" i="93"/>
  <c r="CW160" i="93"/>
  <c r="J161" i="93"/>
  <c r="K161" i="93"/>
  <c r="L161" i="93"/>
  <c r="M161" i="93"/>
  <c r="N161" i="93"/>
  <c r="O161" i="93"/>
  <c r="P161" i="93"/>
  <c r="Q161" i="93"/>
  <c r="R161" i="93"/>
  <c r="S161" i="93"/>
  <c r="T161" i="93"/>
  <c r="U161" i="93"/>
  <c r="V161" i="93"/>
  <c r="W161" i="93"/>
  <c r="X161" i="93"/>
  <c r="Y161" i="93"/>
  <c r="Z161" i="93"/>
  <c r="AA161" i="93"/>
  <c r="AB161" i="93"/>
  <c r="AC161" i="93"/>
  <c r="AD161" i="93"/>
  <c r="AE161" i="93"/>
  <c r="AF161" i="93"/>
  <c r="AG161" i="93"/>
  <c r="AH161" i="93"/>
  <c r="AI161" i="93"/>
  <c r="AJ161" i="93"/>
  <c r="AK161" i="93"/>
  <c r="AL161" i="93"/>
  <c r="AM161" i="93"/>
  <c r="AN161" i="93"/>
  <c r="AO161" i="93"/>
  <c r="AP161" i="93"/>
  <c r="AQ161" i="93"/>
  <c r="AR161" i="93"/>
  <c r="AS161" i="93"/>
  <c r="AT161" i="93"/>
  <c r="AU161" i="93"/>
  <c r="AV161" i="93"/>
  <c r="AW161" i="93"/>
  <c r="AX161" i="93"/>
  <c r="AY161" i="93"/>
  <c r="AZ161" i="93"/>
  <c r="BA161" i="93"/>
  <c r="BB161" i="93"/>
  <c r="BC161" i="93"/>
  <c r="BD161" i="93"/>
  <c r="BE161" i="93"/>
  <c r="BF161" i="93"/>
  <c r="BG161" i="93"/>
  <c r="BH161" i="93"/>
  <c r="BI161" i="93"/>
  <c r="BJ161" i="93"/>
  <c r="BK161" i="93"/>
  <c r="BL161" i="93"/>
  <c r="BM161" i="93"/>
  <c r="BN161" i="93"/>
  <c r="BO161" i="93"/>
  <c r="BP161" i="93"/>
  <c r="BQ161" i="93"/>
  <c r="BR161" i="93"/>
  <c r="BS161" i="93"/>
  <c r="BT161" i="93"/>
  <c r="BU161" i="93"/>
  <c r="BV161" i="93"/>
  <c r="BW161" i="93"/>
  <c r="BX161" i="93"/>
  <c r="BY161" i="93"/>
  <c r="BZ161" i="93"/>
  <c r="CA161" i="93"/>
  <c r="CB161" i="93"/>
  <c r="CC161" i="93"/>
  <c r="CD161" i="93"/>
  <c r="CE161" i="93"/>
  <c r="CF161" i="93"/>
  <c r="CG161" i="93"/>
  <c r="CH161" i="93"/>
  <c r="CI161" i="93"/>
  <c r="CJ161" i="93"/>
  <c r="CK161" i="93"/>
  <c r="CL161" i="93"/>
  <c r="CM161" i="93"/>
  <c r="CN161" i="93"/>
  <c r="CO161" i="93"/>
  <c r="CP161" i="93"/>
  <c r="CQ161" i="93"/>
  <c r="CR161" i="93"/>
  <c r="CS161" i="93"/>
  <c r="CT161" i="93"/>
  <c r="CU161" i="93"/>
  <c r="CV161" i="93"/>
  <c r="CW161" i="93"/>
  <c r="J162" i="93"/>
  <c r="K162" i="93"/>
  <c r="L162" i="93"/>
  <c r="M162" i="93"/>
  <c r="N162" i="93"/>
  <c r="O162" i="93"/>
  <c r="P162" i="93"/>
  <c r="Q162" i="93"/>
  <c r="R162" i="93"/>
  <c r="S162" i="93"/>
  <c r="T162" i="93"/>
  <c r="U162" i="93"/>
  <c r="V162" i="93"/>
  <c r="W162" i="93"/>
  <c r="X162" i="93"/>
  <c r="Y162" i="93"/>
  <c r="Z162" i="93"/>
  <c r="AA162" i="93"/>
  <c r="AB162" i="93"/>
  <c r="AC162" i="93"/>
  <c r="AD162" i="93"/>
  <c r="AE162" i="93"/>
  <c r="AF162" i="93"/>
  <c r="AG162" i="93"/>
  <c r="AH162" i="93"/>
  <c r="AI162" i="93"/>
  <c r="AJ162" i="93"/>
  <c r="AK162" i="93"/>
  <c r="AL162" i="93"/>
  <c r="AM162" i="93"/>
  <c r="AN162" i="93"/>
  <c r="AO162" i="93"/>
  <c r="AP162" i="93"/>
  <c r="AQ162" i="93"/>
  <c r="AR162" i="93"/>
  <c r="AS162" i="93"/>
  <c r="AT162" i="93"/>
  <c r="AU162" i="93"/>
  <c r="AV162" i="93"/>
  <c r="AW162" i="93"/>
  <c r="AX162" i="93"/>
  <c r="AY162" i="93"/>
  <c r="AZ162" i="93"/>
  <c r="BA162" i="93"/>
  <c r="BB162" i="93"/>
  <c r="BC162" i="93"/>
  <c r="BD162" i="93"/>
  <c r="BE162" i="93"/>
  <c r="BF162" i="93"/>
  <c r="BG162" i="93"/>
  <c r="BH162" i="93"/>
  <c r="BI162" i="93"/>
  <c r="BJ162" i="93"/>
  <c r="BK162" i="93"/>
  <c r="BL162" i="93"/>
  <c r="BM162" i="93"/>
  <c r="BN162" i="93"/>
  <c r="BO162" i="93"/>
  <c r="BP162" i="93"/>
  <c r="BQ162" i="93"/>
  <c r="BR162" i="93"/>
  <c r="BS162" i="93"/>
  <c r="BT162" i="93"/>
  <c r="BU162" i="93"/>
  <c r="BV162" i="93"/>
  <c r="BW162" i="93"/>
  <c r="BX162" i="93"/>
  <c r="BY162" i="93"/>
  <c r="BZ162" i="93"/>
  <c r="CA162" i="93"/>
  <c r="CB162" i="93"/>
  <c r="CC162" i="93"/>
  <c r="CD162" i="93"/>
  <c r="CE162" i="93"/>
  <c r="CF162" i="93"/>
  <c r="CG162" i="93"/>
  <c r="CH162" i="93"/>
  <c r="CI162" i="93"/>
  <c r="CJ162" i="93"/>
  <c r="CK162" i="93"/>
  <c r="CL162" i="93"/>
  <c r="CM162" i="93"/>
  <c r="CN162" i="93"/>
  <c r="CO162" i="93"/>
  <c r="CP162" i="93"/>
  <c r="CQ162" i="93"/>
  <c r="CR162" i="93"/>
  <c r="CS162" i="93"/>
  <c r="CT162" i="93"/>
  <c r="CU162" i="93"/>
  <c r="CV162" i="93"/>
  <c r="CW162" i="93"/>
  <c r="J163" i="93"/>
  <c r="K163" i="93"/>
  <c r="L163" i="93"/>
  <c r="M163" i="93"/>
  <c r="N163" i="93"/>
  <c r="O163" i="93"/>
  <c r="P163" i="93"/>
  <c r="Q163" i="93"/>
  <c r="R163" i="93"/>
  <c r="S163" i="93"/>
  <c r="T163" i="93"/>
  <c r="U163" i="93"/>
  <c r="V163" i="93"/>
  <c r="W163" i="93"/>
  <c r="X163" i="93"/>
  <c r="Y163" i="93"/>
  <c r="Z163" i="93"/>
  <c r="AA163" i="93"/>
  <c r="AB163" i="93"/>
  <c r="AC163" i="93"/>
  <c r="AD163" i="93"/>
  <c r="AE163" i="93"/>
  <c r="AF163" i="93"/>
  <c r="AG163" i="93"/>
  <c r="AH163" i="93"/>
  <c r="AI163" i="93"/>
  <c r="AJ163" i="93"/>
  <c r="AK163" i="93"/>
  <c r="AL163" i="93"/>
  <c r="AM163" i="93"/>
  <c r="AN163" i="93"/>
  <c r="AO163" i="93"/>
  <c r="AP163" i="93"/>
  <c r="AQ163" i="93"/>
  <c r="AR163" i="93"/>
  <c r="AS163" i="93"/>
  <c r="AT163" i="93"/>
  <c r="AU163" i="93"/>
  <c r="AV163" i="93"/>
  <c r="AW163" i="93"/>
  <c r="AX163" i="93"/>
  <c r="AY163" i="93"/>
  <c r="AZ163" i="93"/>
  <c r="BA163" i="93"/>
  <c r="BB163" i="93"/>
  <c r="BC163" i="93"/>
  <c r="BD163" i="93"/>
  <c r="BE163" i="93"/>
  <c r="BF163" i="93"/>
  <c r="BG163" i="93"/>
  <c r="BH163" i="93"/>
  <c r="BI163" i="93"/>
  <c r="BJ163" i="93"/>
  <c r="BK163" i="93"/>
  <c r="BL163" i="93"/>
  <c r="BM163" i="93"/>
  <c r="BN163" i="93"/>
  <c r="BO163" i="93"/>
  <c r="BP163" i="93"/>
  <c r="BQ163" i="93"/>
  <c r="BR163" i="93"/>
  <c r="BS163" i="93"/>
  <c r="BT163" i="93"/>
  <c r="BU163" i="93"/>
  <c r="BV163" i="93"/>
  <c r="BW163" i="93"/>
  <c r="BX163" i="93"/>
  <c r="BY163" i="93"/>
  <c r="BZ163" i="93"/>
  <c r="CA163" i="93"/>
  <c r="CB163" i="93"/>
  <c r="CC163" i="93"/>
  <c r="CD163" i="93"/>
  <c r="CE163" i="93"/>
  <c r="CF163" i="93"/>
  <c r="CG163" i="93"/>
  <c r="CH163" i="93"/>
  <c r="CI163" i="93"/>
  <c r="CJ163" i="93"/>
  <c r="CK163" i="93"/>
  <c r="CL163" i="93"/>
  <c r="CM163" i="93"/>
  <c r="CN163" i="93"/>
  <c r="CO163" i="93"/>
  <c r="CP163" i="93"/>
  <c r="CQ163" i="93"/>
  <c r="CR163" i="93"/>
  <c r="CS163" i="93"/>
  <c r="CT163" i="93"/>
  <c r="CU163" i="93"/>
  <c r="CV163" i="93"/>
  <c r="CW163" i="93"/>
  <c r="J164" i="93"/>
  <c r="K164" i="93"/>
  <c r="L164" i="93"/>
  <c r="M164" i="93"/>
  <c r="N164" i="93"/>
  <c r="O164" i="93"/>
  <c r="P164" i="93"/>
  <c r="Q164" i="93"/>
  <c r="R164" i="93"/>
  <c r="S164" i="93"/>
  <c r="T164" i="93"/>
  <c r="U164" i="93"/>
  <c r="V164" i="93"/>
  <c r="W164" i="93"/>
  <c r="X164" i="93"/>
  <c r="Y164" i="93"/>
  <c r="Z164" i="93"/>
  <c r="AA164" i="93"/>
  <c r="AB164" i="93"/>
  <c r="AC164" i="93"/>
  <c r="AD164" i="93"/>
  <c r="AE164" i="93"/>
  <c r="AF164" i="93"/>
  <c r="AG164" i="93"/>
  <c r="AH164" i="93"/>
  <c r="AI164" i="93"/>
  <c r="AJ164" i="93"/>
  <c r="AK164" i="93"/>
  <c r="AL164" i="93"/>
  <c r="AM164" i="93"/>
  <c r="AN164" i="93"/>
  <c r="AO164" i="93"/>
  <c r="AP164" i="93"/>
  <c r="AQ164" i="93"/>
  <c r="AR164" i="93"/>
  <c r="AS164" i="93"/>
  <c r="AT164" i="93"/>
  <c r="AU164" i="93"/>
  <c r="AV164" i="93"/>
  <c r="AW164" i="93"/>
  <c r="AX164" i="93"/>
  <c r="AY164" i="93"/>
  <c r="AZ164" i="93"/>
  <c r="BA164" i="93"/>
  <c r="BB164" i="93"/>
  <c r="BC164" i="93"/>
  <c r="BD164" i="93"/>
  <c r="BE164" i="93"/>
  <c r="BF164" i="93"/>
  <c r="BG164" i="93"/>
  <c r="BH164" i="93"/>
  <c r="BI164" i="93"/>
  <c r="BJ164" i="93"/>
  <c r="BK164" i="93"/>
  <c r="BL164" i="93"/>
  <c r="BM164" i="93"/>
  <c r="BN164" i="93"/>
  <c r="BO164" i="93"/>
  <c r="BP164" i="93"/>
  <c r="BQ164" i="93"/>
  <c r="BR164" i="93"/>
  <c r="BS164" i="93"/>
  <c r="BT164" i="93"/>
  <c r="BU164" i="93"/>
  <c r="BV164" i="93"/>
  <c r="BW164" i="93"/>
  <c r="BX164" i="93"/>
  <c r="BY164" i="93"/>
  <c r="BZ164" i="93"/>
  <c r="CA164" i="93"/>
  <c r="CB164" i="93"/>
  <c r="CC164" i="93"/>
  <c r="CD164" i="93"/>
  <c r="CE164" i="93"/>
  <c r="CF164" i="93"/>
  <c r="CG164" i="93"/>
  <c r="CH164" i="93"/>
  <c r="CI164" i="93"/>
  <c r="CJ164" i="93"/>
  <c r="CK164" i="93"/>
  <c r="CL164" i="93"/>
  <c r="CM164" i="93"/>
  <c r="CN164" i="93"/>
  <c r="CO164" i="93"/>
  <c r="CP164" i="93"/>
  <c r="CQ164" i="93"/>
  <c r="CR164" i="93"/>
  <c r="CS164" i="93"/>
  <c r="CT164" i="93"/>
  <c r="CU164" i="93"/>
  <c r="CV164" i="93"/>
  <c r="CW164" i="93"/>
  <c r="J165" i="93"/>
  <c r="K165" i="93"/>
  <c r="L165" i="93"/>
  <c r="M165" i="93"/>
  <c r="N165" i="93"/>
  <c r="O165" i="93"/>
  <c r="P165" i="93"/>
  <c r="Q165" i="93"/>
  <c r="R165" i="93"/>
  <c r="S165" i="93"/>
  <c r="T165" i="93"/>
  <c r="U165" i="93"/>
  <c r="V165" i="93"/>
  <c r="W165" i="93"/>
  <c r="X165" i="93"/>
  <c r="Y165" i="93"/>
  <c r="Z165" i="93"/>
  <c r="AA165" i="93"/>
  <c r="AB165" i="93"/>
  <c r="AC165" i="93"/>
  <c r="AD165" i="93"/>
  <c r="AE165" i="93"/>
  <c r="AF165" i="93"/>
  <c r="AG165" i="93"/>
  <c r="AH165" i="93"/>
  <c r="AI165" i="93"/>
  <c r="AJ165" i="93"/>
  <c r="AK165" i="93"/>
  <c r="AL165" i="93"/>
  <c r="AM165" i="93"/>
  <c r="AN165" i="93"/>
  <c r="AO165" i="93"/>
  <c r="AP165" i="93"/>
  <c r="AQ165" i="93"/>
  <c r="AR165" i="93"/>
  <c r="AS165" i="93"/>
  <c r="AT165" i="93"/>
  <c r="AU165" i="93"/>
  <c r="AV165" i="93"/>
  <c r="AW165" i="93"/>
  <c r="AX165" i="93"/>
  <c r="AY165" i="93"/>
  <c r="AZ165" i="93"/>
  <c r="BA165" i="93"/>
  <c r="BB165" i="93"/>
  <c r="BC165" i="93"/>
  <c r="BD165" i="93"/>
  <c r="BE165" i="93"/>
  <c r="BF165" i="93"/>
  <c r="BG165" i="93"/>
  <c r="BH165" i="93"/>
  <c r="BI165" i="93"/>
  <c r="BJ165" i="93"/>
  <c r="BK165" i="93"/>
  <c r="BL165" i="93"/>
  <c r="BM165" i="93"/>
  <c r="BN165" i="93"/>
  <c r="BO165" i="93"/>
  <c r="BP165" i="93"/>
  <c r="BQ165" i="93"/>
  <c r="BR165" i="93"/>
  <c r="BS165" i="93"/>
  <c r="BT165" i="93"/>
  <c r="BU165" i="93"/>
  <c r="BV165" i="93"/>
  <c r="BW165" i="93"/>
  <c r="BX165" i="93"/>
  <c r="BY165" i="93"/>
  <c r="BZ165" i="93"/>
  <c r="CA165" i="93"/>
  <c r="CB165" i="93"/>
  <c r="CC165" i="93"/>
  <c r="CD165" i="93"/>
  <c r="CE165" i="93"/>
  <c r="CF165" i="93"/>
  <c r="CG165" i="93"/>
  <c r="CH165" i="93"/>
  <c r="CI165" i="93"/>
  <c r="CJ165" i="93"/>
  <c r="CK165" i="93"/>
  <c r="CL165" i="93"/>
  <c r="CM165" i="93"/>
  <c r="CN165" i="93"/>
  <c r="CO165" i="93"/>
  <c r="CP165" i="93"/>
  <c r="CQ165" i="93"/>
  <c r="CR165" i="93"/>
  <c r="CS165" i="93"/>
  <c r="CT165" i="93"/>
  <c r="CU165" i="93"/>
  <c r="CV165" i="93"/>
  <c r="CW165" i="93"/>
  <c r="J166" i="93"/>
  <c r="K166" i="93"/>
  <c r="L166" i="93"/>
  <c r="M166" i="93"/>
  <c r="N166" i="93"/>
  <c r="O166" i="93"/>
  <c r="P166" i="93"/>
  <c r="Q166" i="93"/>
  <c r="R166" i="93"/>
  <c r="S166" i="93"/>
  <c r="T166" i="93"/>
  <c r="U166" i="93"/>
  <c r="V166" i="93"/>
  <c r="W166" i="93"/>
  <c r="X166" i="93"/>
  <c r="Y166" i="93"/>
  <c r="Z166" i="93"/>
  <c r="AA166" i="93"/>
  <c r="AB166" i="93"/>
  <c r="AC166" i="93"/>
  <c r="AD166" i="93"/>
  <c r="AE166" i="93"/>
  <c r="AF166" i="93"/>
  <c r="AG166" i="93"/>
  <c r="AH166" i="93"/>
  <c r="AI166" i="93"/>
  <c r="AJ166" i="93"/>
  <c r="AK166" i="93"/>
  <c r="AL166" i="93"/>
  <c r="AM166" i="93"/>
  <c r="AN166" i="93"/>
  <c r="AO166" i="93"/>
  <c r="AP166" i="93"/>
  <c r="AQ166" i="93"/>
  <c r="AR166" i="93"/>
  <c r="AS166" i="93"/>
  <c r="AT166" i="93"/>
  <c r="AU166" i="93"/>
  <c r="AV166" i="93"/>
  <c r="AW166" i="93"/>
  <c r="AX166" i="93"/>
  <c r="AY166" i="93"/>
  <c r="AZ166" i="93"/>
  <c r="BA166" i="93"/>
  <c r="BB166" i="93"/>
  <c r="BC166" i="93"/>
  <c r="BD166" i="93"/>
  <c r="BE166" i="93"/>
  <c r="BF166" i="93"/>
  <c r="BG166" i="93"/>
  <c r="BH166" i="93"/>
  <c r="BI166" i="93"/>
  <c r="BJ166" i="93"/>
  <c r="BK166" i="93"/>
  <c r="BL166" i="93"/>
  <c r="BM166" i="93"/>
  <c r="BN166" i="93"/>
  <c r="BO166" i="93"/>
  <c r="BP166" i="93"/>
  <c r="BQ166" i="93"/>
  <c r="BR166" i="93"/>
  <c r="BS166" i="93"/>
  <c r="BT166" i="93"/>
  <c r="BU166" i="93"/>
  <c r="BV166" i="93"/>
  <c r="BW166" i="93"/>
  <c r="BX166" i="93"/>
  <c r="BY166" i="93"/>
  <c r="BZ166" i="93"/>
  <c r="CA166" i="93"/>
  <c r="CB166" i="93"/>
  <c r="CC166" i="93"/>
  <c r="CD166" i="93"/>
  <c r="CE166" i="93"/>
  <c r="CF166" i="93"/>
  <c r="CG166" i="93"/>
  <c r="CH166" i="93"/>
  <c r="CI166" i="93"/>
  <c r="CJ166" i="93"/>
  <c r="CK166" i="93"/>
  <c r="CL166" i="93"/>
  <c r="CM166" i="93"/>
  <c r="CN166" i="93"/>
  <c r="CO166" i="93"/>
  <c r="CP166" i="93"/>
  <c r="CQ166" i="93"/>
  <c r="CR166" i="93"/>
  <c r="CS166" i="93"/>
  <c r="CT166" i="93"/>
  <c r="CU166" i="93"/>
  <c r="CV166" i="93"/>
  <c r="CW166" i="93"/>
  <c r="J167" i="93"/>
  <c r="K167" i="93"/>
  <c r="L167" i="93"/>
  <c r="M167" i="93"/>
  <c r="N167" i="93"/>
  <c r="O167" i="93"/>
  <c r="P167" i="93"/>
  <c r="Q167" i="93"/>
  <c r="R167" i="93"/>
  <c r="S167" i="93"/>
  <c r="T167" i="93"/>
  <c r="U167" i="93"/>
  <c r="V167" i="93"/>
  <c r="W167" i="93"/>
  <c r="X167" i="93"/>
  <c r="Y167" i="93"/>
  <c r="Z167" i="93"/>
  <c r="AA167" i="93"/>
  <c r="AB167" i="93"/>
  <c r="AC167" i="93"/>
  <c r="AD167" i="93"/>
  <c r="AE167" i="93"/>
  <c r="AF167" i="93"/>
  <c r="AG167" i="93"/>
  <c r="AH167" i="93"/>
  <c r="AI167" i="93"/>
  <c r="AJ167" i="93"/>
  <c r="AK167" i="93"/>
  <c r="AL167" i="93"/>
  <c r="AM167" i="93"/>
  <c r="AN167" i="93"/>
  <c r="AO167" i="93"/>
  <c r="AP167" i="93"/>
  <c r="AQ167" i="93"/>
  <c r="AR167" i="93"/>
  <c r="AS167" i="93"/>
  <c r="AT167" i="93"/>
  <c r="AU167" i="93"/>
  <c r="AV167" i="93"/>
  <c r="AW167" i="93"/>
  <c r="AX167" i="93"/>
  <c r="AY167" i="93"/>
  <c r="AZ167" i="93"/>
  <c r="BA167" i="93"/>
  <c r="BB167" i="93"/>
  <c r="BC167" i="93"/>
  <c r="BD167" i="93"/>
  <c r="BE167" i="93"/>
  <c r="BF167" i="93"/>
  <c r="BG167" i="93"/>
  <c r="BH167" i="93"/>
  <c r="BI167" i="93"/>
  <c r="BJ167" i="93"/>
  <c r="BK167" i="93"/>
  <c r="BL167" i="93"/>
  <c r="BM167" i="93"/>
  <c r="BN167" i="93"/>
  <c r="BO167" i="93"/>
  <c r="BP167" i="93"/>
  <c r="BQ167" i="93"/>
  <c r="BR167" i="93"/>
  <c r="BS167" i="93"/>
  <c r="BT167" i="93"/>
  <c r="BU167" i="93"/>
  <c r="BV167" i="93"/>
  <c r="BW167" i="93"/>
  <c r="BX167" i="93"/>
  <c r="BY167" i="93"/>
  <c r="BZ167" i="93"/>
  <c r="CA167" i="93"/>
  <c r="CB167" i="93"/>
  <c r="CC167" i="93"/>
  <c r="CD167" i="93"/>
  <c r="CE167" i="93"/>
  <c r="CF167" i="93"/>
  <c r="CG167" i="93"/>
  <c r="CH167" i="93"/>
  <c r="CI167" i="93"/>
  <c r="CJ167" i="93"/>
  <c r="CK167" i="93"/>
  <c r="CL167" i="93"/>
  <c r="CM167" i="93"/>
  <c r="CN167" i="93"/>
  <c r="CO167" i="93"/>
  <c r="CP167" i="93"/>
  <c r="CQ167" i="93"/>
  <c r="CR167" i="93"/>
  <c r="CS167" i="93"/>
  <c r="CT167" i="93"/>
  <c r="CU167" i="93"/>
  <c r="CV167" i="93"/>
  <c r="CW167" i="93"/>
  <c r="J168" i="93"/>
  <c r="K168" i="93"/>
  <c r="L168" i="93"/>
  <c r="M168" i="93"/>
  <c r="N168" i="93"/>
  <c r="O168" i="93"/>
  <c r="P168" i="93"/>
  <c r="Q168" i="93"/>
  <c r="R168" i="93"/>
  <c r="S168" i="93"/>
  <c r="T168" i="93"/>
  <c r="U168" i="93"/>
  <c r="V168" i="93"/>
  <c r="W168" i="93"/>
  <c r="X168" i="93"/>
  <c r="Y168" i="93"/>
  <c r="Z168" i="93"/>
  <c r="AA168" i="93"/>
  <c r="AB168" i="93"/>
  <c r="AC168" i="93"/>
  <c r="AD168" i="93"/>
  <c r="AE168" i="93"/>
  <c r="AF168" i="93"/>
  <c r="AG168" i="93"/>
  <c r="AH168" i="93"/>
  <c r="AI168" i="93"/>
  <c r="AJ168" i="93"/>
  <c r="AK168" i="93"/>
  <c r="AL168" i="93"/>
  <c r="AM168" i="93"/>
  <c r="AN168" i="93"/>
  <c r="AO168" i="93"/>
  <c r="AP168" i="93"/>
  <c r="AQ168" i="93"/>
  <c r="AR168" i="93"/>
  <c r="AS168" i="93"/>
  <c r="AT168" i="93"/>
  <c r="AU168" i="93"/>
  <c r="AV168" i="93"/>
  <c r="AW168" i="93"/>
  <c r="AX168" i="93"/>
  <c r="AY168" i="93"/>
  <c r="AZ168" i="93"/>
  <c r="BA168" i="93"/>
  <c r="BB168" i="93"/>
  <c r="BC168" i="93"/>
  <c r="BD168" i="93"/>
  <c r="BE168" i="93"/>
  <c r="BF168" i="93"/>
  <c r="BG168" i="93"/>
  <c r="BH168" i="93"/>
  <c r="BI168" i="93"/>
  <c r="BJ168" i="93"/>
  <c r="BK168" i="93"/>
  <c r="BL168" i="93"/>
  <c r="BM168" i="93"/>
  <c r="BN168" i="93"/>
  <c r="BO168" i="93"/>
  <c r="BP168" i="93"/>
  <c r="BQ168" i="93"/>
  <c r="BR168" i="93"/>
  <c r="BS168" i="93"/>
  <c r="BT168" i="93"/>
  <c r="BU168" i="93"/>
  <c r="BV168" i="93"/>
  <c r="BW168" i="93"/>
  <c r="BX168" i="93"/>
  <c r="BY168" i="93"/>
  <c r="BZ168" i="93"/>
  <c r="CA168" i="93"/>
  <c r="CB168" i="93"/>
  <c r="CC168" i="93"/>
  <c r="CD168" i="93"/>
  <c r="CE168" i="93"/>
  <c r="CF168" i="93"/>
  <c r="CG168" i="93"/>
  <c r="CH168" i="93"/>
  <c r="CI168" i="93"/>
  <c r="CJ168" i="93"/>
  <c r="CK168" i="93"/>
  <c r="CL168" i="93"/>
  <c r="CM168" i="93"/>
  <c r="CN168" i="93"/>
  <c r="CO168" i="93"/>
  <c r="CP168" i="93"/>
  <c r="CQ168" i="93"/>
  <c r="CR168" i="93"/>
  <c r="CS168" i="93"/>
  <c r="CT168" i="93"/>
  <c r="CU168" i="93"/>
  <c r="CV168" i="93"/>
  <c r="CW168" i="93"/>
  <c r="J169" i="93"/>
  <c r="K169" i="93"/>
  <c r="L169" i="93"/>
  <c r="M169" i="93"/>
  <c r="N169" i="93"/>
  <c r="O169" i="93"/>
  <c r="P169" i="93"/>
  <c r="Q169" i="93"/>
  <c r="R169" i="93"/>
  <c r="S169" i="93"/>
  <c r="T169" i="93"/>
  <c r="U169" i="93"/>
  <c r="V169" i="93"/>
  <c r="W169" i="93"/>
  <c r="X169" i="93"/>
  <c r="Y169" i="93"/>
  <c r="Z169" i="93"/>
  <c r="AA169" i="93"/>
  <c r="AB169" i="93"/>
  <c r="AC169" i="93"/>
  <c r="AD169" i="93"/>
  <c r="AE169" i="93"/>
  <c r="AF169" i="93"/>
  <c r="AG169" i="93"/>
  <c r="AH169" i="93"/>
  <c r="AI169" i="93"/>
  <c r="AJ169" i="93"/>
  <c r="AK169" i="93"/>
  <c r="AL169" i="93"/>
  <c r="AM169" i="93"/>
  <c r="AN169" i="93"/>
  <c r="AO169" i="93"/>
  <c r="AP169" i="93"/>
  <c r="AQ169" i="93"/>
  <c r="AR169" i="93"/>
  <c r="AS169" i="93"/>
  <c r="AT169" i="93"/>
  <c r="AU169" i="93"/>
  <c r="AV169" i="93"/>
  <c r="AW169" i="93"/>
  <c r="AX169" i="93"/>
  <c r="AY169" i="93"/>
  <c r="AZ169" i="93"/>
  <c r="BA169" i="93"/>
  <c r="BB169" i="93"/>
  <c r="BC169" i="93"/>
  <c r="BD169" i="93"/>
  <c r="BE169" i="93"/>
  <c r="BF169" i="93"/>
  <c r="BG169" i="93"/>
  <c r="BH169" i="93"/>
  <c r="BI169" i="93"/>
  <c r="BJ169" i="93"/>
  <c r="BK169" i="93"/>
  <c r="BL169" i="93"/>
  <c r="BM169" i="93"/>
  <c r="BN169" i="93"/>
  <c r="BO169" i="93"/>
  <c r="BP169" i="93"/>
  <c r="BQ169" i="93"/>
  <c r="BR169" i="93"/>
  <c r="BS169" i="93"/>
  <c r="BT169" i="93"/>
  <c r="BU169" i="93"/>
  <c r="BV169" i="93"/>
  <c r="BW169" i="93"/>
  <c r="BX169" i="93"/>
  <c r="BY169" i="93"/>
  <c r="BZ169" i="93"/>
  <c r="CA169" i="93"/>
  <c r="CB169" i="93"/>
  <c r="CC169" i="93"/>
  <c r="CD169" i="93"/>
  <c r="CE169" i="93"/>
  <c r="CF169" i="93"/>
  <c r="CG169" i="93"/>
  <c r="CH169" i="93"/>
  <c r="CI169" i="93"/>
  <c r="CJ169" i="93"/>
  <c r="CK169" i="93"/>
  <c r="CL169" i="93"/>
  <c r="CM169" i="93"/>
  <c r="CN169" i="93"/>
  <c r="CO169" i="93"/>
  <c r="CP169" i="93"/>
  <c r="CQ169" i="93"/>
  <c r="CR169" i="93"/>
  <c r="CS169" i="93"/>
  <c r="CT169" i="93"/>
  <c r="CU169" i="93"/>
  <c r="CV169" i="93"/>
  <c r="CW169" i="93"/>
  <c r="J170" i="93"/>
  <c r="K170" i="93"/>
  <c r="L170" i="93"/>
  <c r="M170" i="93"/>
  <c r="N170" i="93"/>
  <c r="O170" i="93"/>
  <c r="P170" i="93"/>
  <c r="Q170" i="93"/>
  <c r="R170" i="93"/>
  <c r="S170" i="93"/>
  <c r="T170" i="93"/>
  <c r="U170" i="93"/>
  <c r="V170" i="93"/>
  <c r="W170" i="93"/>
  <c r="X170" i="93"/>
  <c r="Y170" i="93"/>
  <c r="Z170" i="93"/>
  <c r="AA170" i="93"/>
  <c r="AB170" i="93"/>
  <c r="AC170" i="93"/>
  <c r="AD170" i="93"/>
  <c r="AE170" i="93"/>
  <c r="AF170" i="93"/>
  <c r="AG170" i="93"/>
  <c r="AH170" i="93"/>
  <c r="AI170" i="93"/>
  <c r="AJ170" i="93"/>
  <c r="AK170" i="93"/>
  <c r="AL170" i="93"/>
  <c r="AM170" i="93"/>
  <c r="AN170" i="93"/>
  <c r="AO170" i="93"/>
  <c r="AP170" i="93"/>
  <c r="AQ170" i="93"/>
  <c r="AR170" i="93"/>
  <c r="AS170" i="93"/>
  <c r="AT170" i="93"/>
  <c r="AU170" i="93"/>
  <c r="AV170" i="93"/>
  <c r="AW170" i="93"/>
  <c r="AX170" i="93"/>
  <c r="AY170" i="93"/>
  <c r="AZ170" i="93"/>
  <c r="BA170" i="93"/>
  <c r="BB170" i="93"/>
  <c r="BC170" i="93"/>
  <c r="BD170" i="93"/>
  <c r="BE170" i="93"/>
  <c r="BF170" i="93"/>
  <c r="BG170" i="93"/>
  <c r="BH170" i="93"/>
  <c r="BI170" i="93"/>
  <c r="BJ170" i="93"/>
  <c r="BK170" i="93"/>
  <c r="BL170" i="93"/>
  <c r="BM170" i="93"/>
  <c r="BN170" i="93"/>
  <c r="BO170" i="93"/>
  <c r="BP170" i="93"/>
  <c r="BQ170" i="93"/>
  <c r="BR170" i="93"/>
  <c r="BS170" i="93"/>
  <c r="BT170" i="93"/>
  <c r="BU170" i="93"/>
  <c r="BV170" i="93"/>
  <c r="BW170" i="93"/>
  <c r="BX170" i="93"/>
  <c r="BY170" i="93"/>
  <c r="BZ170" i="93"/>
  <c r="CA170" i="93"/>
  <c r="CB170" i="93"/>
  <c r="CC170" i="93"/>
  <c r="CD170" i="93"/>
  <c r="CE170" i="93"/>
  <c r="CF170" i="93"/>
  <c r="CG170" i="93"/>
  <c r="CH170" i="93"/>
  <c r="CI170" i="93"/>
  <c r="CJ170" i="93"/>
  <c r="CK170" i="93"/>
  <c r="CL170" i="93"/>
  <c r="CM170" i="93"/>
  <c r="CN170" i="93"/>
  <c r="CO170" i="93"/>
  <c r="CP170" i="93"/>
  <c r="CQ170" i="93"/>
  <c r="CR170" i="93"/>
  <c r="CS170" i="93"/>
  <c r="CT170" i="93"/>
  <c r="CU170" i="93"/>
  <c r="CV170" i="93"/>
  <c r="CW170" i="93"/>
  <c r="J171" i="93"/>
  <c r="K171" i="93"/>
  <c r="L171" i="93"/>
  <c r="M171" i="93"/>
  <c r="N171" i="93"/>
  <c r="O171" i="93"/>
  <c r="P171" i="93"/>
  <c r="Q171" i="93"/>
  <c r="R171" i="93"/>
  <c r="S171" i="93"/>
  <c r="T171" i="93"/>
  <c r="U171" i="93"/>
  <c r="V171" i="93"/>
  <c r="W171" i="93"/>
  <c r="X171" i="93"/>
  <c r="Y171" i="93"/>
  <c r="Z171" i="93"/>
  <c r="AA171" i="93"/>
  <c r="AB171" i="93"/>
  <c r="AC171" i="93"/>
  <c r="AD171" i="93"/>
  <c r="AE171" i="93"/>
  <c r="AF171" i="93"/>
  <c r="AG171" i="93"/>
  <c r="AH171" i="93"/>
  <c r="AI171" i="93"/>
  <c r="AJ171" i="93"/>
  <c r="AK171" i="93"/>
  <c r="AL171" i="93"/>
  <c r="AM171" i="93"/>
  <c r="AN171" i="93"/>
  <c r="AO171" i="93"/>
  <c r="AP171" i="93"/>
  <c r="AQ171" i="93"/>
  <c r="AR171" i="93"/>
  <c r="AS171" i="93"/>
  <c r="AT171" i="93"/>
  <c r="AU171" i="93"/>
  <c r="AV171" i="93"/>
  <c r="AW171" i="93"/>
  <c r="AX171" i="93"/>
  <c r="AY171" i="93"/>
  <c r="AZ171" i="93"/>
  <c r="BA171" i="93"/>
  <c r="BB171" i="93"/>
  <c r="BC171" i="93"/>
  <c r="BD171" i="93"/>
  <c r="BE171" i="93"/>
  <c r="BF171" i="93"/>
  <c r="BG171" i="93"/>
  <c r="BH171" i="93"/>
  <c r="BI171" i="93"/>
  <c r="BJ171" i="93"/>
  <c r="BK171" i="93"/>
  <c r="BL171" i="93"/>
  <c r="BM171" i="93"/>
  <c r="BN171" i="93"/>
  <c r="BO171" i="93"/>
  <c r="BP171" i="93"/>
  <c r="BQ171" i="93"/>
  <c r="BR171" i="93"/>
  <c r="BS171" i="93"/>
  <c r="BT171" i="93"/>
  <c r="BU171" i="93"/>
  <c r="BV171" i="93"/>
  <c r="BW171" i="93"/>
  <c r="BX171" i="93"/>
  <c r="BY171" i="93"/>
  <c r="BZ171" i="93"/>
  <c r="CA171" i="93"/>
  <c r="CB171" i="93"/>
  <c r="CC171" i="93"/>
  <c r="CD171" i="93"/>
  <c r="CE171" i="93"/>
  <c r="CF171" i="93"/>
  <c r="CG171" i="93"/>
  <c r="CH171" i="93"/>
  <c r="CI171" i="93"/>
  <c r="CJ171" i="93"/>
  <c r="CK171" i="93"/>
  <c r="CL171" i="93"/>
  <c r="CM171" i="93"/>
  <c r="CN171" i="93"/>
  <c r="CO171" i="93"/>
  <c r="CP171" i="93"/>
  <c r="CQ171" i="93"/>
  <c r="CR171" i="93"/>
  <c r="CS171" i="93"/>
  <c r="CT171" i="93"/>
  <c r="CU171" i="93"/>
  <c r="CV171" i="93"/>
  <c r="CW171" i="93"/>
  <c r="J172" i="93"/>
  <c r="K172" i="93"/>
  <c r="L172" i="93"/>
  <c r="M172" i="93"/>
  <c r="N172" i="93"/>
  <c r="O172" i="93"/>
  <c r="P172" i="93"/>
  <c r="Q172" i="93"/>
  <c r="R172" i="93"/>
  <c r="S172" i="93"/>
  <c r="T172" i="93"/>
  <c r="U172" i="93"/>
  <c r="V172" i="93"/>
  <c r="W172" i="93"/>
  <c r="X172" i="93"/>
  <c r="Y172" i="93"/>
  <c r="Z172" i="93"/>
  <c r="AA172" i="93"/>
  <c r="AB172" i="93"/>
  <c r="AC172" i="93"/>
  <c r="AD172" i="93"/>
  <c r="AE172" i="93"/>
  <c r="AF172" i="93"/>
  <c r="AG172" i="93"/>
  <c r="AH172" i="93"/>
  <c r="AI172" i="93"/>
  <c r="AJ172" i="93"/>
  <c r="AK172" i="93"/>
  <c r="AL172" i="93"/>
  <c r="AM172" i="93"/>
  <c r="AN172" i="93"/>
  <c r="AO172" i="93"/>
  <c r="AP172" i="93"/>
  <c r="AQ172" i="93"/>
  <c r="AR172" i="93"/>
  <c r="AS172" i="93"/>
  <c r="AT172" i="93"/>
  <c r="AU172" i="93"/>
  <c r="AV172" i="93"/>
  <c r="AW172" i="93"/>
  <c r="AX172" i="93"/>
  <c r="AY172" i="93"/>
  <c r="AZ172" i="93"/>
  <c r="BA172" i="93"/>
  <c r="BB172" i="93"/>
  <c r="BC172" i="93"/>
  <c r="BD172" i="93"/>
  <c r="BE172" i="93"/>
  <c r="BF172" i="93"/>
  <c r="BG172" i="93"/>
  <c r="BH172" i="93"/>
  <c r="BI172" i="93"/>
  <c r="BJ172" i="93"/>
  <c r="BK172" i="93"/>
  <c r="BL172" i="93"/>
  <c r="BM172" i="93"/>
  <c r="BN172" i="93"/>
  <c r="BO172" i="93"/>
  <c r="BP172" i="93"/>
  <c r="BQ172" i="93"/>
  <c r="BR172" i="93"/>
  <c r="BS172" i="93"/>
  <c r="BT172" i="93"/>
  <c r="BU172" i="93"/>
  <c r="BV172" i="93"/>
  <c r="BW172" i="93"/>
  <c r="BX172" i="93"/>
  <c r="BY172" i="93"/>
  <c r="BZ172" i="93"/>
  <c r="CA172" i="93"/>
  <c r="CB172" i="93"/>
  <c r="CC172" i="93"/>
  <c r="CD172" i="93"/>
  <c r="CE172" i="93"/>
  <c r="CF172" i="93"/>
  <c r="CG172" i="93"/>
  <c r="CH172" i="93"/>
  <c r="CI172" i="93"/>
  <c r="CJ172" i="93"/>
  <c r="CK172" i="93"/>
  <c r="CL172" i="93"/>
  <c r="CM172" i="93"/>
  <c r="CN172" i="93"/>
  <c r="CO172" i="93"/>
  <c r="CP172" i="93"/>
  <c r="CQ172" i="93"/>
  <c r="CR172" i="93"/>
  <c r="CS172" i="93"/>
  <c r="CT172" i="93"/>
  <c r="CU172" i="93"/>
  <c r="CV172" i="93"/>
  <c r="CW172" i="93"/>
  <c r="J173" i="93"/>
  <c r="K173" i="93"/>
  <c r="L173" i="93"/>
  <c r="M173" i="93"/>
  <c r="N173" i="93"/>
  <c r="O173" i="93"/>
  <c r="P173" i="93"/>
  <c r="Q173" i="93"/>
  <c r="R173" i="93"/>
  <c r="S173" i="93"/>
  <c r="T173" i="93"/>
  <c r="U173" i="93"/>
  <c r="V173" i="93"/>
  <c r="W173" i="93"/>
  <c r="X173" i="93"/>
  <c r="Y173" i="93"/>
  <c r="Z173" i="93"/>
  <c r="AA173" i="93"/>
  <c r="AB173" i="93"/>
  <c r="AC173" i="93"/>
  <c r="AD173" i="93"/>
  <c r="AE173" i="93"/>
  <c r="AF173" i="93"/>
  <c r="AG173" i="93"/>
  <c r="AH173" i="93"/>
  <c r="AI173" i="93"/>
  <c r="AJ173" i="93"/>
  <c r="AK173" i="93"/>
  <c r="AL173" i="93"/>
  <c r="AM173" i="93"/>
  <c r="AN173" i="93"/>
  <c r="AO173" i="93"/>
  <c r="AP173" i="93"/>
  <c r="AQ173" i="93"/>
  <c r="AR173" i="93"/>
  <c r="AS173" i="93"/>
  <c r="AT173" i="93"/>
  <c r="AU173" i="93"/>
  <c r="AV173" i="93"/>
  <c r="AW173" i="93"/>
  <c r="AX173" i="93"/>
  <c r="AY173" i="93"/>
  <c r="AZ173" i="93"/>
  <c r="BA173" i="93"/>
  <c r="BB173" i="93"/>
  <c r="BC173" i="93"/>
  <c r="BD173" i="93"/>
  <c r="BE173" i="93"/>
  <c r="BF173" i="93"/>
  <c r="BG173" i="93"/>
  <c r="BH173" i="93"/>
  <c r="BI173" i="93"/>
  <c r="BJ173" i="93"/>
  <c r="BK173" i="93"/>
  <c r="BL173" i="93"/>
  <c r="BM173" i="93"/>
  <c r="BN173" i="93"/>
  <c r="BO173" i="93"/>
  <c r="BP173" i="93"/>
  <c r="BQ173" i="93"/>
  <c r="BR173" i="93"/>
  <c r="BS173" i="93"/>
  <c r="BT173" i="93"/>
  <c r="BU173" i="93"/>
  <c r="BV173" i="93"/>
  <c r="BW173" i="93"/>
  <c r="BX173" i="93"/>
  <c r="BY173" i="93"/>
  <c r="BZ173" i="93"/>
  <c r="CA173" i="93"/>
  <c r="CB173" i="93"/>
  <c r="CC173" i="93"/>
  <c r="CD173" i="93"/>
  <c r="CE173" i="93"/>
  <c r="CF173" i="93"/>
  <c r="CG173" i="93"/>
  <c r="CH173" i="93"/>
  <c r="CI173" i="93"/>
  <c r="CJ173" i="93"/>
  <c r="CK173" i="93"/>
  <c r="CL173" i="93"/>
  <c r="CM173" i="93"/>
  <c r="CN173" i="93"/>
  <c r="CO173" i="93"/>
  <c r="CP173" i="93"/>
  <c r="CQ173" i="93"/>
  <c r="CR173" i="93"/>
  <c r="CS173" i="93"/>
  <c r="CT173" i="93"/>
  <c r="CU173" i="93"/>
  <c r="CV173" i="93"/>
  <c r="CW173" i="93"/>
  <c r="J174" i="93"/>
  <c r="K174" i="93"/>
  <c r="L174" i="93"/>
  <c r="M174" i="93"/>
  <c r="N174" i="93"/>
  <c r="O174" i="93"/>
  <c r="P174" i="93"/>
  <c r="Q174" i="93"/>
  <c r="R174" i="93"/>
  <c r="S174" i="93"/>
  <c r="T174" i="93"/>
  <c r="U174" i="93"/>
  <c r="V174" i="93"/>
  <c r="W174" i="93"/>
  <c r="X174" i="93"/>
  <c r="Y174" i="93"/>
  <c r="Z174" i="93"/>
  <c r="AA174" i="93"/>
  <c r="AB174" i="93"/>
  <c r="AC174" i="93"/>
  <c r="AD174" i="93"/>
  <c r="AE174" i="93"/>
  <c r="AF174" i="93"/>
  <c r="AG174" i="93"/>
  <c r="AH174" i="93"/>
  <c r="AI174" i="93"/>
  <c r="AJ174" i="93"/>
  <c r="AK174" i="93"/>
  <c r="AL174" i="93"/>
  <c r="AM174" i="93"/>
  <c r="AN174" i="93"/>
  <c r="AO174" i="93"/>
  <c r="AP174" i="93"/>
  <c r="AQ174" i="93"/>
  <c r="AR174" i="93"/>
  <c r="AS174" i="93"/>
  <c r="AT174" i="93"/>
  <c r="AU174" i="93"/>
  <c r="AV174" i="93"/>
  <c r="AW174" i="93"/>
  <c r="AX174" i="93"/>
  <c r="AY174" i="93"/>
  <c r="AZ174" i="93"/>
  <c r="BA174" i="93"/>
  <c r="BB174" i="93"/>
  <c r="BC174" i="93"/>
  <c r="BD174" i="93"/>
  <c r="BE174" i="93"/>
  <c r="BF174" i="93"/>
  <c r="BG174" i="93"/>
  <c r="BH174" i="93"/>
  <c r="BI174" i="93"/>
  <c r="BJ174" i="93"/>
  <c r="BK174" i="93"/>
  <c r="BL174" i="93"/>
  <c r="BM174" i="93"/>
  <c r="BN174" i="93"/>
  <c r="BO174" i="93"/>
  <c r="BP174" i="93"/>
  <c r="BQ174" i="93"/>
  <c r="BR174" i="93"/>
  <c r="BS174" i="93"/>
  <c r="BT174" i="93"/>
  <c r="BU174" i="93"/>
  <c r="BV174" i="93"/>
  <c r="BW174" i="93"/>
  <c r="BX174" i="93"/>
  <c r="BY174" i="93"/>
  <c r="BZ174" i="93"/>
  <c r="CA174" i="93"/>
  <c r="CB174" i="93"/>
  <c r="CC174" i="93"/>
  <c r="CD174" i="93"/>
  <c r="CE174" i="93"/>
  <c r="CF174" i="93"/>
  <c r="CG174" i="93"/>
  <c r="CH174" i="93"/>
  <c r="CI174" i="93"/>
  <c r="CJ174" i="93"/>
  <c r="CK174" i="93"/>
  <c r="CL174" i="93"/>
  <c r="CM174" i="93"/>
  <c r="CN174" i="93"/>
  <c r="CO174" i="93"/>
  <c r="CP174" i="93"/>
  <c r="CQ174" i="93"/>
  <c r="CR174" i="93"/>
  <c r="CS174" i="93"/>
  <c r="CT174" i="93"/>
  <c r="CU174" i="93"/>
  <c r="CV174" i="93"/>
  <c r="CW174" i="93"/>
  <c r="J175" i="93"/>
  <c r="K175" i="93"/>
  <c r="L175" i="93"/>
  <c r="M175" i="93"/>
  <c r="N175" i="93"/>
  <c r="O175" i="93"/>
  <c r="P175" i="93"/>
  <c r="Q175" i="93"/>
  <c r="R175" i="93"/>
  <c r="S175" i="93"/>
  <c r="T175" i="93"/>
  <c r="U175" i="93"/>
  <c r="V175" i="93"/>
  <c r="W175" i="93"/>
  <c r="X175" i="93"/>
  <c r="Y175" i="93"/>
  <c r="Z175" i="93"/>
  <c r="AA175" i="93"/>
  <c r="AB175" i="93"/>
  <c r="AC175" i="93"/>
  <c r="AD175" i="93"/>
  <c r="AE175" i="93"/>
  <c r="AF175" i="93"/>
  <c r="AG175" i="93"/>
  <c r="AH175" i="93"/>
  <c r="AI175" i="93"/>
  <c r="AJ175" i="93"/>
  <c r="AK175" i="93"/>
  <c r="AL175" i="93"/>
  <c r="AM175" i="93"/>
  <c r="AN175" i="93"/>
  <c r="AO175" i="93"/>
  <c r="AP175" i="93"/>
  <c r="AQ175" i="93"/>
  <c r="AR175" i="93"/>
  <c r="AS175" i="93"/>
  <c r="AT175" i="93"/>
  <c r="AU175" i="93"/>
  <c r="AV175" i="93"/>
  <c r="AW175" i="93"/>
  <c r="AX175" i="93"/>
  <c r="AY175" i="93"/>
  <c r="AZ175" i="93"/>
  <c r="BA175" i="93"/>
  <c r="BB175" i="93"/>
  <c r="BC175" i="93"/>
  <c r="BD175" i="93"/>
  <c r="BE175" i="93"/>
  <c r="BF175" i="93"/>
  <c r="BG175" i="93"/>
  <c r="BH175" i="93"/>
  <c r="BI175" i="93"/>
  <c r="BJ175" i="93"/>
  <c r="BK175" i="93"/>
  <c r="BL175" i="93"/>
  <c r="BM175" i="93"/>
  <c r="BN175" i="93"/>
  <c r="BO175" i="93"/>
  <c r="BP175" i="93"/>
  <c r="BQ175" i="93"/>
  <c r="BR175" i="93"/>
  <c r="BS175" i="93"/>
  <c r="BT175" i="93"/>
  <c r="BU175" i="93"/>
  <c r="BV175" i="93"/>
  <c r="BW175" i="93"/>
  <c r="BX175" i="93"/>
  <c r="BY175" i="93"/>
  <c r="BZ175" i="93"/>
  <c r="CA175" i="93"/>
  <c r="CB175" i="93"/>
  <c r="CC175" i="93"/>
  <c r="CD175" i="93"/>
  <c r="CE175" i="93"/>
  <c r="CF175" i="93"/>
  <c r="CG175" i="93"/>
  <c r="CH175" i="93"/>
  <c r="CI175" i="93"/>
  <c r="CJ175" i="93"/>
  <c r="CK175" i="93"/>
  <c r="CL175" i="93"/>
  <c r="CM175" i="93"/>
  <c r="CN175" i="93"/>
  <c r="CO175" i="93"/>
  <c r="CP175" i="93"/>
  <c r="CQ175" i="93"/>
  <c r="CR175" i="93"/>
  <c r="CS175" i="93"/>
  <c r="CT175" i="93"/>
  <c r="CU175" i="93"/>
  <c r="CV175" i="93"/>
  <c r="CW175" i="93"/>
  <c r="J176" i="93"/>
  <c r="K176" i="93"/>
  <c r="L176" i="93"/>
  <c r="M176" i="93"/>
  <c r="N176" i="93"/>
  <c r="O176" i="93"/>
  <c r="P176" i="93"/>
  <c r="Q176" i="93"/>
  <c r="R176" i="93"/>
  <c r="S176" i="93"/>
  <c r="T176" i="93"/>
  <c r="U176" i="93"/>
  <c r="V176" i="93"/>
  <c r="W176" i="93"/>
  <c r="X176" i="93"/>
  <c r="Y176" i="93"/>
  <c r="Z176" i="93"/>
  <c r="AA176" i="93"/>
  <c r="AB176" i="93"/>
  <c r="AC176" i="93"/>
  <c r="AD176" i="93"/>
  <c r="AE176" i="93"/>
  <c r="AF176" i="93"/>
  <c r="AG176" i="93"/>
  <c r="AH176" i="93"/>
  <c r="AI176" i="93"/>
  <c r="AJ176" i="93"/>
  <c r="AK176" i="93"/>
  <c r="AL176" i="93"/>
  <c r="AM176" i="93"/>
  <c r="AN176" i="93"/>
  <c r="AO176" i="93"/>
  <c r="AP176" i="93"/>
  <c r="AQ176" i="93"/>
  <c r="AR176" i="93"/>
  <c r="AS176" i="93"/>
  <c r="AT176" i="93"/>
  <c r="AU176" i="93"/>
  <c r="AV176" i="93"/>
  <c r="AW176" i="93"/>
  <c r="AX176" i="93"/>
  <c r="AY176" i="93"/>
  <c r="AZ176" i="93"/>
  <c r="BA176" i="93"/>
  <c r="BB176" i="93"/>
  <c r="BC176" i="93"/>
  <c r="BD176" i="93"/>
  <c r="BE176" i="93"/>
  <c r="BF176" i="93"/>
  <c r="BG176" i="93"/>
  <c r="BH176" i="93"/>
  <c r="BI176" i="93"/>
  <c r="BJ176" i="93"/>
  <c r="BK176" i="93"/>
  <c r="BL176" i="93"/>
  <c r="BM176" i="93"/>
  <c r="BN176" i="93"/>
  <c r="BO176" i="93"/>
  <c r="BP176" i="93"/>
  <c r="BQ176" i="93"/>
  <c r="BR176" i="93"/>
  <c r="BS176" i="93"/>
  <c r="BT176" i="93"/>
  <c r="BU176" i="93"/>
  <c r="BV176" i="93"/>
  <c r="BW176" i="93"/>
  <c r="BX176" i="93"/>
  <c r="BY176" i="93"/>
  <c r="BZ176" i="93"/>
  <c r="CA176" i="93"/>
  <c r="CB176" i="93"/>
  <c r="CC176" i="93"/>
  <c r="CD176" i="93"/>
  <c r="CE176" i="93"/>
  <c r="CF176" i="93"/>
  <c r="CG176" i="93"/>
  <c r="CH176" i="93"/>
  <c r="CI176" i="93"/>
  <c r="CJ176" i="93"/>
  <c r="CK176" i="93"/>
  <c r="CL176" i="93"/>
  <c r="CM176" i="93"/>
  <c r="CN176" i="93"/>
  <c r="CO176" i="93"/>
  <c r="CP176" i="93"/>
  <c r="CQ176" i="93"/>
  <c r="CR176" i="93"/>
  <c r="CS176" i="93"/>
  <c r="CT176" i="93"/>
  <c r="CU176" i="93"/>
  <c r="CV176" i="93"/>
  <c r="CW176" i="93"/>
  <c r="J177" i="93"/>
  <c r="K177" i="93"/>
  <c r="L177" i="93"/>
  <c r="M177" i="93"/>
  <c r="N177" i="93"/>
  <c r="O177" i="93"/>
  <c r="P177" i="93"/>
  <c r="Q177" i="93"/>
  <c r="R177" i="93"/>
  <c r="S177" i="93"/>
  <c r="T177" i="93"/>
  <c r="U177" i="93"/>
  <c r="V177" i="93"/>
  <c r="W177" i="93"/>
  <c r="X177" i="93"/>
  <c r="Y177" i="93"/>
  <c r="Z177" i="93"/>
  <c r="AA177" i="93"/>
  <c r="AB177" i="93"/>
  <c r="AC177" i="93"/>
  <c r="AD177" i="93"/>
  <c r="AE177" i="93"/>
  <c r="AF177" i="93"/>
  <c r="AG177" i="93"/>
  <c r="AH177" i="93"/>
  <c r="AI177" i="93"/>
  <c r="AJ177" i="93"/>
  <c r="AK177" i="93"/>
  <c r="AL177" i="93"/>
  <c r="AM177" i="93"/>
  <c r="AN177" i="93"/>
  <c r="AO177" i="93"/>
  <c r="AP177" i="93"/>
  <c r="AQ177" i="93"/>
  <c r="AR177" i="93"/>
  <c r="AS177" i="93"/>
  <c r="AT177" i="93"/>
  <c r="AU177" i="93"/>
  <c r="AV177" i="93"/>
  <c r="AW177" i="93"/>
  <c r="AX177" i="93"/>
  <c r="AY177" i="93"/>
  <c r="AZ177" i="93"/>
  <c r="BA177" i="93"/>
  <c r="BB177" i="93"/>
  <c r="BC177" i="93"/>
  <c r="BD177" i="93"/>
  <c r="BE177" i="93"/>
  <c r="BF177" i="93"/>
  <c r="BG177" i="93"/>
  <c r="BH177" i="93"/>
  <c r="BI177" i="93"/>
  <c r="BJ177" i="93"/>
  <c r="BK177" i="93"/>
  <c r="BL177" i="93"/>
  <c r="BM177" i="93"/>
  <c r="BN177" i="93"/>
  <c r="BO177" i="93"/>
  <c r="BP177" i="93"/>
  <c r="BQ177" i="93"/>
  <c r="BR177" i="93"/>
  <c r="BS177" i="93"/>
  <c r="BT177" i="93"/>
  <c r="BU177" i="93"/>
  <c r="BV177" i="93"/>
  <c r="BW177" i="93"/>
  <c r="BX177" i="93"/>
  <c r="BY177" i="93"/>
  <c r="BZ177" i="93"/>
  <c r="CA177" i="93"/>
  <c r="CB177" i="93"/>
  <c r="CC177" i="93"/>
  <c r="CD177" i="93"/>
  <c r="CE177" i="93"/>
  <c r="CF177" i="93"/>
  <c r="CG177" i="93"/>
  <c r="CH177" i="93"/>
  <c r="CI177" i="93"/>
  <c r="CJ177" i="93"/>
  <c r="CK177" i="93"/>
  <c r="CL177" i="93"/>
  <c r="CM177" i="93"/>
  <c r="CN177" i="93"/>
  <c r="CO177" i="93"/>
  <c r="CP177" i="93"/>
  <c r="CQ177" i="93"/>
  <c r="CR177" i="93"/>
  <c r="CS177" i="93"/>
  <c r="CT177" i="93"/>
  <c r="CU177" i="93"/>
  <c r="CV177" i="93"/>
  <c r="CW177" i="93"/>
  <c r="J178" i="93"/>
  <c r="K178" i="93"/>
  <c r="L178" i="93"/>
  <c r="M178" i="93"/>
  <c r="N178" i="93"/>
  <c r="O178" i="93"/>
  <c r="P178" i="93"/>
  <c r="Q178" i="93"/>
  <c r="R178" i="93"/>
  <c r="S178" i="93"/>
  <c r="T178" i="93"/>
  <c r="U178" i="93"/>
  <c r="V178" i="93"/>
  <c r="W178" i="93"/>
  <c r="X178" i="93"/>
  <c r="Y178" i="93"/>
  <c r="Z178" i="93"/>
  <c r="AA178" i="93"/>
  <c r="AB178" i="93"/>
  <c r="AC178" i="93"/>
  <c r="AD178" i="93"/>
  <c r="AE178" i="93"/>
  <c r="AF178" i="93"/>
  <c r="AG178" i="93"/>
  <c r="AH178" i="93"/>
  <c r="AI178" i="93"/>
  <c r="AJ178" i="93"/>
  <c r="AK178" i="93"/>
  <c r="AL178" i="93"/>
  <c r="AM178" i="93"/>
  <c r="AN178" i="93"/>
  <c r="AO178" i="93"/>
  <c r="AP178" i="93"/>
  <c r="AQ178" i="93"/>
  <c r="AR178" i="93"/>
  <c r="AS178" i="93"/>
  <c r="AT178" i="93"/>
  <c r="AU178" i="93"/>
  <c r="AV178" i="93"/>
  <c r="AW178" i="93"/>
  <c r="AX178" i="93"/>
  <c r="AY178" i="93"/>
  <c r="AZ178" i="93"/>
  <c r="BA178" i="93"/>
  <c r="BB178" i="93"/>
  <c r="BC178" i="93"/>
  <c r="BD178" i="93"/>
  <c r="BE178" i="93"/>
  <c r="BF178" i="93"/>
  <c r="BG178" i="93"/>
  <c r="BH178" i="93"/>
  <c r="BI178" i="93"/>
  <c r="BJ178" i="93"/>
  <c r="BK178" i="93"/>
  <c r="BL178" i="93"/>
  <c r="BM178" i="93"/>
  <c r="BN178" i="93"/>
  <c r="BO178" i="93"/>
  <c r="BP178" i="93"/>
  <c r="BQ178" i="93"/>
  <c r="BR178" i="93"/>
  <c r="BS178" i="93"/>
  <c r="BT178" i="93"/>
  <c r="BU178" i="93"/>
  <c r="BV178" i="93"/>
  <c r="BW178" i="93"/>
  <c r="BX178" i="93"/>
  <c r="BY178" i="93"/>
  <c r="BZ178" i="93"/>
  <c r="CA178" i="93"/>
  <c r="CB178" i="93"/>
  <c r="CC178" i="93"/>
  <c r="CD178" i="93"/>
  <c r="CE178" i="93"/>
  <c r="CF178" i="93"/>
  <c r="CG178" i="93"/>
  <c r="CH178" i="93"/>
  <c r="CI178" i="93"/>
  <c r="CJ178" i="93"/>
  <c r="CK178" i="93"/>
  <c r="CL178" i="93"/>
  <c r="CM178" i="93"/>
  <c r="CN178" i="93"/>
  <c r="CO178" i="93"/>
  <c r="CP178" i="93"/>
  <c r="CQ178" i="93"/>
  <c r="CR178" i="93"/>
  <c r="CS178" i="93"/>
  <c r="CT178" i="93"/>
  <c r="CU178" i="93"/>
  <c r="CV178" i="93"/>
  <c r="CW178" i="93"/>
  <c r="J179" i="93"/>
  <c r="K179" i="93"/>
  <c r="L179" i="93"/>
  <c r="M179" i="93"/>
  <c r="N179" i="93"/>
  <c r="O179" i="93"/>
  <c r="P179" i="93"/>
  <c r="Q179" i="93"/>
  <c r="R179" i="93"/>
  <c r="S179" i="93"/>
  <c r="T179" i="93"/>
  <c r="U179" i="93"/>
  <c r="V179" i="93"/>
  <c r="W179" i="93"/>
  <c r="X179" i="93"/>
  <c r="Y179" i="93"/>
  <c r="Z179" i="93"/>
  <c r="AA179" i="93"/>
  <c r="AB179" i="93"/>
  <c r="AC179" i="93"/>
  <c r="AD179" i="93"/>
  <c r="AE179" i="93"/>
  <c r="AF179" i="93"/>
  <c r="AG179" i="93"/>
  <c r="AH179" i="93"/>
  <c r="AI179" i="93"/>
  <c r="AJ179" i="93"/>
  <c r="AK179" i="93"/>
  <c r="AL179" i="93"/>
  <c r="AM179" i="93"/>
  <c r="AN179" i="93"/>
  <c r="AO179" i="93"/>
  <c r="AP179" i="93"/>
  <c r="AQ179" i="93"/>
  <c r="AR179" i="93"/>
  <c r="AS179" i="93"/>
  <c r="AT179" i="93"/>
  <c r="AU179" i="93"/>
  <c r="AV179" i="93"/>
  <c r="AW179" i="93"/>
  <c r="AX179" i="93"/>
  <c r="AY179" i="93"/>
  <c r="AZ179" i="93"/>
  <c r="BA179" i="93"/>
  <c r="BB179" i="93"/>
  <c r="BC179" i="93"/>
  <c r="BD179" i="93"/>
  <c r="BE179" i="93"/>
  <c r="BF179" i="93"/>
  <c r="BG179" i="93"/>
  <c r="BH179" i="93"/>
  <c r="BI179" i="93"/>
  <c r="BJ179" i="93"/>
  <c r="BK179" i="93"/>
  <c r="BL179" i="93"/>
  <c r="BM179" i="93"/>
  <c r="BN179" i="93"/>
  <c r="BO179" i="93"/>
  <c r="BP179" i="93"/>
  <c r="BQ179" i="93"/>
  <c r="BR179" i="93"/>
  <c r="BS179" i="93"/>
  <c r="BT179" i="93"/>
  <c r="BU179" i="93"/>
  <c r="BV179" i="93"/>
  <c r="BW179" i="93"/>
  <c r="BX179" i="93"/>
  <c r="BY179" i="93"/>
  <c r="BZ179" i="93"/>
  <c r="CA179" i="93"/>
  <c r="CB179" i="93"/>
  <c r="CC179" i="93"/>
  <c r="CD179" i="93"/>
  <c r="CE179" i="93"/>
  <c r="CF179" i="93"/>
  <c r="CG179" i="93"/>
  <c r="CH179" i="93"/>
  <c r="CI179" i="93"/>
  <c r="CJ179" i="93"/>
  <c r="CK179" i="93"/>
  <c r="CL179" i="93"/>
  <c r="CM179" i="93"/>
  <c r="CN179" i="93"/>
  <c r="CO179" i="93"/>
  <c r="CP179" i="93"/>
  <c r="CQ179" i="93"/>
  <c r="CR179" i="93"/>
  <c r="CS179" i="93"/>
  <c r="CT179" i="93"/>
  <c r="CU179" i="93"/>
  <c r="CV179" i="93"/>
  <c r="CW179" i="93"/>
  <c r="J180" i="93"/>
  <c r="K180" i="93"/>
  <c r="L180" i="93"/>
  <c r="M180" i="93"/>
  <c r="N180" i="93"/>
  <c r="O180" i="93"/>
  <c r="P180" i="93"/>
  <c r="Q180" i="93"/>
  <c r="R180" i="93"/>
  <c r="S180" i="93"/>
  <c r="T180" i="93"/>
  <c r="U180" i="93"/>
  <c r="V180" i="93"/>
  <c r="W180" i="93"/>
  <c r="X180" i="93"/>
  <c r="Y180" i="93"/>
  <c r="Z180" i="93"/>
  <c r="AA180" i="93"/>
  <c r="AB180" i="93"/>
  <c r="AC180" i="93"/>
  <c r="AD180" i="93"/>
  <c r="AE180" i="93"/>
  <c r="AF180" i="93"/>
  <c r="AG180" i="93"/>
  <c r="AH180" i="93"/>
  <c r="AI180" i="93"/>
  <c r="AJ180" i="93"/>
  <c r="AK180" i="93"/>
  <c r="AL180" i="93"/>
  <c r="AM180" i="93"/>
  <c r="AN180" i="93"/>
  <c r="AO180" i="93"/>
  <c r="AP180" i="93"/>
  <c r="AQ180" i="93"/>
  <c r="AR180" i="93"/>
  <c r="AS180" i="93"/>
  <c r="AT180" i="93"/>
  <c r="AU180" i="93"/>
  <c r="AV180" i="93"/>
  <c r="AW180" i="93"/>
  <c r="AX180" i="93"/>
  <c r="AY180" i="93"/>
  <c r="AZ180" i="93"/>
  <c r="BA180" i="93"/>
  <c r="BB180" i="93"/>
  <c r="BC180" i="93"/>
  <c r="BD180" i="93"/>
  <c r="BE180" i="93"/>
  <c r="BF180" i="93"/>
  <c r="BG180" i="93"/>
  <c r="BH180" i="93"/>
  <c r="BI180" i="93"/>
  <c r="BJ180" i="93"/>
  <c r="BK180" i="93"/>
  <c r="BL180" i="93"/>
  <c r="BM180" i="93"/>
  <c r="BN180" i="93"/>
  <c r="BO180" i="93"/>
  <c r="BP180" i="93"/>
  <c r="BQ180" i="93"/>
  <c r="BR180" i="93"/>
  <c r="BS180" i="93"/>
  <c r="BT180" i="93"/>
  <c r="BU180" i="93"/>
  <c r="BV180" i="93"/>
  <c r="BW180" i="93"/>
  <c r="BX180" i="93"/>
  <c r="BY180" i="93"/>
  <c r="BZ180" i="93"/>
  <c r="CA180" i="93"/>
  <c r="CB180" i="93"/>
  <c r="CC180" i="93"/>
  <c r="CD180" i="93"/>
  <c r="CE180" i="93"/>
  <c r="CF180" i="93"/>
  <c r="CG180" i="93"/>
  <c r="CH180" i="93"/>
  <c r="CI180" i="93"/>
  <c r="CJ180" i="93"/>
  <c r="CK180" i="93"/>
  <c r="CL180" i="93"/>
  <c r="CM180" i="93"/>
  <c r="CN180" i="93"/>
  <c r="CO180" i="93"/>
  <c r="CP180" i="93"/>
  <c r="CQ180" i="93"/>
  <c r="CR180" i="93"/>
  <c r="CS180" i="93"/>
  <c r="CT180" i="93"/>
  <c r="CU180" i="93"/>
  <c r="CV180" i="93"/>
  <c r="CW180" i="93"/>
  <c r="J181" i="93"/>
  <c r="K181" i="93"/>
  <c r="L181" i="93"/>
  <c r="M181" i="93"/>
  <c r="N181" i="93"/>
  <c r="O181" i="93"/>
  <c r="P181" i="93"/>
  <c r="Q181" i="93"/>
  <c r="R181" i="93"/>
  <c r="S181" i="93"/>
  <c r="T181" i="93"/>
  <c r="U181" i="93"/>
  <c r="V181" i="93"/>
  <c r="W181" i="93"/>
  <c r="X181" i="93"/>
  <c r="Y181" i="93"/>
  <c r="Z181" i="93"/>
  <c r="AA181" i="93"/>
  <c r="AB181" i="93"/>
  <c r="AC181" i="93"/>
  <c r="AD181" i="93"/>
  <c r="AE181" i="93"/>
  <c r="AF181" i="93"/>
  <c r="AG181" i="93"/>
  <c r="AH181" i="93"/>
  <c r="AI181" i="93"/>
  <c r="AJ181" i="93"/>
  <c r="AK181" i="93"/>
  <c r="AL181" i="93"/>
  <c r="AM181" i="93"/>
  <c r="AN181" i="93"/>
  <c r="AO181" i="93"/>
  <c r="AP181" i="93"/>
  <c r="AQ181" i="93"/>
  <c r="AR181" i="93"/>
  <c r="AS181" i="93"/>
  <c r="AT181" i="93"/>
  <c r="AU181" i="93"/>
  <c r="AV181" i="93"/>
  <c r="AW181" i="93"/>
  <c r="AX181" i="93"/>
  <c r="AY181" i="93"/>
  <c r="AZ181" i="93"/>
  <c r="BA181" i="93"/>
  <c r="BB181" i="93"/>
  <c r="BC181" i="93"/>
  <c r="BD181" i="93"/>
  <c r="BE181" i="93"/>
  <c r="BF181" i="93"/>
  <c r="BG181" i="93"/>
  <c r="BH181" i="93"/>
  <c r="BI181" i="93"/>
  <c r="BJ181" i="93"/>
  <c r="BK181" i="93"/>
  <c r="BL181" i="93"/>
  <c r="BM181" i="93"/>
  <c r="BN181" i="93"/>
  <c r="BO181" i="93"/>
  <c r="BP181" i="93"/>
  <c r="BQ181" i="93"/>
  <c r="BR181" i="93"/>
  <c r="BS181" i="93"/>
  <c r="BT181" i="93"/>
  <c r="BU181" i="93"/>
  <c r="BV181" i="93"/>
  <c r="BW181" i="93"/>
  <c r="BX181" i="93"/>
  <c r="BY181" i="93"/>
  <c r="BZ181" i="93"/>
  <c r="CA181" i="93"/>
  <c r="CB181" i="93"/>
  <c r="CC181" i="93"/>
  <c r="CD181" i="93"/>
  <c r="CE181" i="93"/>
  <c r="CF181" i="93"/>
  <c r="CG181" i="93"/>
  <c r="CH181" i="93"/>
  <c r="CI181" i="93"/>
  <c r="CJ181" i="93"/>
  <c r="CK181" i="93"/>
  <c r="CL181" i="93"/>
  <c r="CM181" i="93"/>
  <c r="CN181" i="93"/>
  <c r="CO181" i="93"/>
  <c r="CP181" i="93"/>
  <c r="CQ181" i="93"/>
  <c r="CR181" i="93"/>
  <c r="CS181" i="93"/>
  <c r="CT181" i="93"/>
  <c r="CU181" i="93"/>
  <c r="CV181" i="93"/>
  <c r="CW181" i="93"/>
  <c r="J182" i="93"/>
  <c r="K182" i="93"/>
  <c r="L182" i="93"/>
  <c r="M182" i="93"/>
  <c r="N182" i="93"/>
  <c r="O182" i="93"/>
  <c r="P182" i="93"/>
  <c r="Q182" i="93"/>
  <c r="R182" i="93"/>
  <c r="S182" i="93"/>
  <c r="T182" i="93"/>
  <c r="U182" i="93"/>
  <c r="V182" i="93"/>
  <c r="W182" i="93"/>
  <c r="X182" i="93"/>
  <c r="Y182" i="93"/>
  <c r="Z182" i="93"/>
  <c r="AA182" i="93"/>
  <c r="AB182" i="93"/>
  <c r="AC182" i="93"/>
  <c r="AD182" i="93"/>
  <c r="AE182" i="93"/>
  <c r="AF182" i="93"/>
  <c r="AG182" i="93"/>
  <c r="AH182" i="93"/>
  <c r="AI182" i="93"/>
  <c r="AJ182" i="93"/>
  <c r="AK182" i="93"/>
  <c r="AL182" i="93"/>
  <c r="AM182" i="93"/>
  <c r="AN182" i="93"/>
  <c r="AO182" i="93"/>
  <c r="AP182" i="93"/>
  <c r="AQ182" i="93"/>
  <c r="AR182" i="93"/>
  <c r="AS182" i="93"/>
  <c r="AT182" i="93"/>
  <c r="AU182" i="93"/>
  <c r="AV182" i="93"/>
  <c r="AW182" i="93"/>
  <c r="AX182" i="93"/>
  <c r="AY182" i="93"/>
  <c r="AZ182" i="93"/>
  <c r="BA182" i="93"/>
  <c r="BB182" i="93"/>
  <c r="BC182" i="93"/>
  <c r="BD182" i="93"/>
  <c r="BE182" i="93"/>
  <c r="BF182" i="93"/>
  <c r="BG182" i="93"/>
  <c r="BH182" i="93"/>
  <c r="BI182" i="93"/>
  <c r="BJ182" i="93"/>
  <c r="BK182" i="93"/>
  <c r="BL182" i="93"/>
  <c r="BM182" i="93"/>
  <c r="BN182" i="93"/>
  <c r="BO182" i="93"/>
  <c r="BP182" i="93"/>
  <c r="BQ182" i="93"/>
  <c r="BR182" i="93"/>
  <c r="BS182" i="93"/>
  <c r="BT182" i="93"/>
  <c r="BU182" i="93"/>
  <c r="BV182" i="93"/>
  <c r="BW182" i="93"/>
  <c r="BX182" i="93"/>
  <c r="BY182" i="93"/>
  <c r="BZ182" i="93"/>
  <c r="CA182" i="93"/>
  <c r="CB182" i="93"/>
  <c r="CC182" i="93"/>
  <c r="CD182" i="93"/>
  <c r="CE182" i="93"/>
  <c r="CF182" i="93"/>
  <c r="CG182" i="93"/>
  <c r="CH182" i="93"/>
  <c r="CI182" i="93"/>
  <c r="CJ182" i="93"/>
  <c r="CK182" i="93"/>
  <c r="CL182" i="93"/>
  <c r="CM182" i="93"/>
  <c r="CN182" i="93"/>
  <c r="CO182" i="93"/>
  <c r="CP182" i="93"/>
  <c r="CQ182" i="93"/>
  <c r="CR182" i="93"/>
  <c r="CS182" i="93"/>
  <c r="CT182" i="93"/>
  <c r="CU182" i="93"/>
  <c r="CV182" i="93"/>
  <c r="CW182" i="93"/>
  <c r="J183" i="93"/>
  <c r="K183" i="93"/>
  <c r="L183" i="93"/>
  <c r="M183" i="93"/>
  <c r="N183" i="93"/>
  <c r="O183" i="93"/>
  <c r="P183" i="93"/>
  <c r="Q183" i="93"/>
  <c r="R183" i="93"/>
  <c r="S183" i="93"/>
  <c r="T183" i="93"/>
  <c r="U183" i="93"/>
  <c r="V183" i="93"/>
  <c r="W183" i="93"/>
  <c r="X183" i="93"/>
  <c r="Y183" i="93"/>
  <c r="Z183" i="93"/>
  <c r="AA183" i="93"/>
  <c r="AB183" i="93"/>
  <c r="AC183" i="93"/>
  <c r="AD183" i="93"/>
  <c r="AE183" i="93"/>
  <c r="AF183" i="93"/>
  <c r="AG183" i="93"/>
  <c r="AH183" i="93"/>
  <c r="AI183" i="93"/>
  <c r="AJ183" i="93"/>
  <c r="AK183" i="93"/>
  <c r="AL183" i="93"/>
  <c r="AM183" i="93"/>
  <c r="AN183" i="93"/>
  <c r="AO183" i="93"/>
  <c r="AP183" i="93"/>
  <c r="AQ183" i="93"/>
  <c r="AR183" i="93"/>
  <c r="AS183" i="93"/>
  <c r="AT183" i="93"/>
  <c r="AU183" i="93"/>
  <c r="AV183" i="93"/>
  <c r="AW183" i="93"/>
  <c r="AX183" i="93"/>
  <c r="AY183" i="93"/>
  <c r="AZ183" i="93"/>
  <c r="BA183" i="93"/>
  <c r="BB183" i="93"/>
  <c r="BC183" i="93"/>
  <c r="BD183" i="93"/>
  <c r="BE183" i="93"/>
  <c r="BF183" i="93"/>
  <c r="BG183" i="93"/>
  <c r="BH183" i="93"/>
  <c r="BI183" i="93"/>
  <c r="BJ183" i="93"/>
  <c r="BK183" i="93"/>
  <c r="BL183" i="93"/>
  <c r="BM183" i="93"/>
  <c r="BN183" i="93"/>
  <c r="BO183" i="93"/>
  <c r="BP183" i="93"/>
  <c r="BQ183" i="93"/>
  <c r="BR183" i="93"/>
  <c r="BS183" i="93"/>
  <c r="BT183" i="93"/>
  <c r="BU183" i="93"/>
  <c r="BV183" i="93"/>
  <c r="BW183" i="93"/>
  <c r="BX183" i="93"/>
  <c r="BY183" i="93"/>
  <c r="BZ183" i="93"/>
  <c r="CA183" i="93"/>
  <c r="CB183" i="93"/>
  <c r="CC183" i="93"/>
  <c r="CD183" i="93"/>
  <c r="CE183" i="93"/>
  <c r="CF183" i="93"/>
  <c r="CG183" i="93"/>
  <c r="CH183" i="93"/>
  <c r="CI183" i="93"/>
  <c r="CJ183" i="93"/>
  <c r="CK183" i="93"/>
  <c r="CL183" i="93"/>
  <c r="CM183" i="93"/>
  <c r="CN183" i="93"/>
  <c r="CO183" i="93"/>
  <c r="CP183" i="93"/>
  <c r="CQ183" i="93"/>
  <c r="CR183" i="93"/>
  <c r="CS183" i="93"/>
  <c r="CT183" i="93"/>
  <c r="CU183" i="93"/>
  <c r="CV183" i="93"/>
  <c r="CW183" i="93"/>
  <c r="J184" i="93"/>
  <c r="K184" i="93"/>
  <c r="L184" i="93"/>
  <c r="M184" i="93"/>
  <c r="N184" i="93"/>
  <c r="O184" i="93"/>
  <c r="P184" i="93"/>
  <c r="Q184" i="93"/>
  <c r="R184" i="93"/>
  <c r="S184" i="93"/>
  <c r="T184" i="93"/>
  <c r="U184" i="93"/>
  <c r="V184" i="93"/>
  <c r="W184" i="93"/>
  <c r="X184" i="93"/>
  <c r="Y184" i="93"/>
  <c r="Z184" i="93"/>
  <c r="AA184" i="93"/>
  <c r="AB184" i="93"/>
  <c r="AC184" i="93"/>
  <c r="AD184" i="93"/>
  <c r="AE184" i="93"/>
  <c r="AF184" i="93"/>
  <c r="AG184" i="93"/>
  <c r="AH184" i="93"/>
  <c r="AI184" i="93"/>
  <c r="AJ184" i="93"/>
  <c r="AK184" i="93"/>
  <c r="AL184" i="93"/>
  <c r="AM184" i="93"/>
  <c r="AN184" i="93"/>
  <c r="AO184" i="93"/>
  <c r="AP184" i="93"/>
  <c r="AQ184" i="93"/>
  <c r="AR184" i="93"/>
  <c r="AS184" i="93"/>
  <c r="AT184" i="93"/>
  <c r="AU184" i="93"/>
  <c r="AV184" i="93"/>
  <c r="AW184" i="93"/>
  <c r="AX184" i="93"/>
  <c r="AY184" i="93"/>
  <c r="AZ184" i="93"/>
  <c r="BA184" i="93"/>
  <c r="BB184" i="93"/>
  <c r="BC184" i="93"/>
  <c r="BD184" i="93"/>
  <c r="BE184" i="93"/>
  <c r="BF184" i="93"/>
  <c r="BG184" i="93"/>
  <c r="BH184" i="93"/>
  <c r="BI184" i="93"/>
  <c r="BJ184" i="93"/>
  <c r="BK184" i="93"/>
  <c r="BL184" i="93"/>
  <c r="BM184" i="93"/>
  <c r="BN184" i="93"/>
  <c r="BO184" i="93"/>
  <c r="BP184" i="93"/>
  <c r="BQ184" i="93"/>
  <c r="BR184" i="93"/>
  <c r="BS184" i="93"/>
  <c r="BT184" i="93"/>
  <c r="BU184" i="93"/>
  <c r="BV184" i="93"/>
  <c r="BW184" i="93"/>
  <c r="BX184" i="93"/>
  <c r="BY184" i="93"/>
  <c r="BZ184" i="93"/>
  <c r="CA184" i="93"/>
  <c r="CB184" i="93"/>
  <c r="CC184" i="93"/>
  <c r="CD184" i="93"/>
  <c r="CE184" i="93"/>
  <c r="CF184" i="93"/>
  <c r="CG184" i="93"/>
  <c r="CH184" i="93"/>
  <c r="CI184" i="93"/>
  <c r="CJ184" i="93"/>
  <c r="CK184" i="93"/>
  <c r="CL184" i="93"/>
  <c r="CM184" i="93"/>
  <c r="CN184" i="93"/>
  <c r="CO184" i="93"/>
  <c r="CP184" i="93"/>
  <c r="CQ184" i="93"/>
  <c r="CR184" i="93"/>
  <c r="CS184" i="93"/>
  <c r="CT184" i="93"/>
  <c r="CU184" i="93"/>
  <c r="CV184" i="93"/>
  <c r="CW184" i="93"/>
  <c r="J185" i="93"/>
  <c r="K185" i="93"/>
  <c r="L185" i="93"/>
  <c r="M185" i="93"/>
  <c r="N185" i="93"/>
  <c r="O185" i="93"/>
  <c r="P185" i="93"/>
  <c r="Q185" i="93"/>
  <c r="R185" i="93"/>
  <c r="S185" i="93"/>
  <c r="T185" i="93"/>
  <c r="U185" i="93"/>
  <c r="V185" i="93"/>
  <c r="W185" i="93"/>
  <c r="X185" i="93"/>
  <c r="Y185" i="93"/>
  <c r="Z185" i="93"/>
  <c r="AA185" i="93"/>
  <c r="AB185" i="93"/>
  <c r="AC185" i="93"/>
  <c r="AD185" i="93"/>
  <c r="AE185" i="93"/>
  <c r="AF185" i="93"/>
  <c r="AG185" i="93"/>
  <c r="AH185" i="93"/>
  <c r="AI185" i="93"/>
  <c r="AJ185" i="93"/>
  <c r="AK185" i="93"/>
  <c r="AL185" i="93"/>
  <c r="AM185" i="93"/>
  <c r="AN185" i="93"/>
  <c r="AO185" i="93"/>
  <c r="AP185" i="93"/>
  <c r="AQ185" i="93"/>
  <c r="AR185" i="93"/>
  <c r="AS185" i="93"/>
  <c r="AT185" i="93"/>
  <c r="AU185" i="93"/>
  <c r="AV185" i="93"/>
  <c r="AW185" i="93"/>
  <c r="AX185" i="93"/>
  <c r="AY185" i="93"/>
  <c r="AZ185" i="93"/>
  <c r="BA185" i="93"/>
  <c r="BB185" i="93"/>
  <c r="BC185" i="93"/>
  <c r="BD185" i="93"/>
  <c r="BE185" i="93"/>
  <c r="BF185" i="93"/>
  <c r="BG185" i="93"/>
  <c r="BH185" i="93"/>
  <c r="BI185" i="93"/>
  <c r="BJ185" i="93"/>
  <c r="BK185" i="93"/>
  <c r="BL185" i="93"/>
  <c r="BM185" i="93"/>
  <c r="BN185" i="93"/>
  <c r="BO185" i="93"/>
  <c r="BP185" i="93"/>
  <c r="BQ185" i="93"/>
  <c r="BR185" i="93"/>
  <c r="BS185" i="93"/>
  <c r="BT185" i="93"/>
  <c r="BU185" i="93"/>
  <c r="BV185" i="93"/>
  <c r="BW185" i="93"/>
  <c r="BX185" i="93"/>
  <c r="BY185" i="93"/>
  <c r="BZ185" i="93"/>
  <c r="CA185" i="93"/>
  <c r="CB185" i="93"/>
  <c r="CC185" i="93"/>
  <c r="CD185" i="93"/>
  <c r="CE185" i="93"/>
  <c r="CF185" i="93"/>
  <c r="CG185" i="93"/>
  <c r="CH185" i="93"/>
  <c r="CI185" i="93"/>
  <c r="CJ185" i="93"/>
  <c r="CK185" i="93"/>
  <c r="CL185" i="93"/>
  <c r="CM185" i="93"/>
  <c r="CN185" i="93"/>
  <c r="CO185" i="93"/>
  <c r="CP185" i="93"/>
  <c r="CQ185" i="93"/>
  <c r="CR185" i="93"/>
  <c r="CS185" i="93"/>
  <c r="CT185" i="93"/>
  <c r="CU185" i="93"/>
  <c r="CV185" i="93"/>
  <c r="CW185" i="93"/>
  <c r="J186" i="93"/>
  <c r="K186" i="93"/>
  <c r="L186" i="93"/>
  <c r="M186" i="93"/>
  <c r="N186" i="93"/>
  <c r="O186" i="93"/>
  <c r="P186" i="93"/>
  <c r="Q186" i="93"/>
  <c r="R186" i="93"/>
  <c r="S186" i="93"/>
  <c r="T186" i="93"/>
  <c r="U186" i="93"/>
  <c r="V186" i="93"/>
  <c r="W186" i="93"/>
  <c r="X186" i="93"/>
  <c r="Y186" i="93"/>
  <c r="Z186" i="93"/>
  <c r="AA186" i="93"/>
  <c r="AB186" i="93"/>
  <c r="AC186" i="93"/>
  <c r="AD186" i="93"/>
  <c r="AE186" i="93"/>
  <c r="AF186" i="93"/>
  <c r="AG186" i="93"/>
  <c r="AH186" i="93"/>
  <c r="AI186" i="93"/>
  <c r="AJ186" i="93"/>
  <c r="AK186" i="93"/>
  <c r="AL186" i="93"/>
  <c r="AM186" i="93"/>
  <c r="AN186" i="93"/>
  <c r="AO186" i="93"/>
  <c r="AP186" i="93"/>
  <c r="AQ186" i="93"/>
  <c r="AR186" i="93"/>
  <c r="AS186" i="93"/>
  <c r="AT186" i="93"/>
  <c r="AU186" i="93"/>
  <c r="AV186" i="93"/>
  <c r="AW186" i="93"/>
  <c r="AX186" i="93"/>
  <c r="AY186" i="93"/>
  <c r="AZ186" i="93"/>
  <c r="BA186" i="93"/>
  <c r="BB186" i="93"/>
  <c r="BC186" i="93"/>
  <c r="BD186" i="93"/>
  <c r="BE186" i="93"/>
  <c r="BF186" i="93"/>
  <c r="BG186" i="93"/>
  <c r="BH186" i="93"/>
  <c r="BI186" i="93"/>
  <c r="BJ186" i="93"/>
  <c r="BK186" i="93"/>
  <c r="BL186" i="93"/>
  <c r="BM186" i="93"/>
  <c r="BN186" i="93"/>
  <c r="BO186" i="93"/>
  <c r="BP186" i="93"/>
  <c r="BQ186" i="93"/>
  <c r="BR186" i="93"/>
  <c r="BS186" i="93"/>
  <c r="BT186" i="93"/>
  <c r="BU186" i="93"/>
  <c r="BV186" i="93"/>
  <c r="BW186" i="93"/>
  <c r="BX186" i="93"/>
  <c r="BY186" i="93"/>
  <c r="BZ186" i="93"/>
  <c r="CA186" i="93"/>
  <c r="CB186" i="93"/>
  <c r="CC186" i="93"/>
  <c r="CD186" i="93"/>
  <c r="CE186" i="93"/>
  <c r="CF186" i="93"/>
  <c r="CG186" i="93"/>
  <c r="CH186" i="93"/>
  <c r="CI186" i="93"/>
  <c r="CJ186" i="93"/>
  <c r="CK186" i="93"/>
  <c r="CL186" i="93"/>
  <c r="CM186" i="93"/>
  <c r="CN186" i="93"/>
  <c r="CO186" i="93"/>
  <c r="CP186" i="93"/>
  <c r="CQ186" i="93"/>
  <c r="CR186" i="93"/>
  <c r="CS186" i="93"/>
  <c r="CT186" i="93"/>
  <c r="CU186" i="93"/>
  <c r="CV186" i="93"/>
  <c r="CW186" i="93"/>
  <c r="J187" i="93"/>
  <c r="K187" i="93"/>
  <c r="L187" i="93"/>
  <c r="M187" i="93"/>
  <c r="N187" i="93"/>
  <c r="O187" i="93"/>
  <c r="P187" i="93"/>
  <c r="Q187" i="93"/>
  <c r="R187" i="93"/>
  <c r="S187" i="93"/>
  <c r="T187" i="93"/>
  <c r="U187" i="93"/>
  <c r="V187" i="93"/>
  <c r="W187" i="93"/>
  <c r="X187" i="93"/>
  <c r="Y187" i="93"/>
  <c r="Z187" i="93"/>
  <c r="AA187" i="93"/>
  <c r="AB187" i="93"/>
  <c r="AC187" i="93"/>
  <c r="AD187" i="93"/>
  <c r="AE187" i="93"/>
  <c r="AF187" i="93"/>
  <c r="AG187" i="93"/>
  <c r="AH187" i="93"/>
  <c r="AI187" i="93"/>
  <c r="AJ187" i="93"/>
  <c r="AK187" i="93"/>
  <c r="AL187" i="93"/>
  <c r="AM187" i="93"/>
  <c r="AN187" i="93"/>
  <c r="AO187" i="93"/>
  <c r="AP187" i="93"/>
  <c r="AQ187" i="93"/>
  <c r="AR187" i="93"/>
  <c r="AS187" i="93"/>
  <c r="AT187" i="93"/>
  <c r="AU187" i="93"/>
  <c r="AV187" i="93"/>
  <c r="AW187" i="93"/>
  <c r="AX187" i="93"/>
  <c r="AY187" i="93"/>
  <c r="AZ187" i="93"/>
  <c r="BA187" i="93"/>
  <c r="BB187" i="93"/>
  <c r="BC187" i="93"/>
  <c r="BD187" i="93"/>
  <c r="BE187" i="93"/>
  <c r="BF187" i="93"/>
  <c r="BG187" i="93"/>
  <c r="BH187" i="93"/>
  <c r="BI187" i="93"/>
  <c r="BJ187" i="93"/>
  <c r="BK187" i="93"/>
  <c r="BL187" i="93"/>
  <c r="BM187" i="93"/>
  <c r="BN187" i="93"/>
  <c r="BO187" i="93"/>
  <c r="BP187" i="93"/>
  <c r="BQ187" i="93"/>
  <c r="BR187" i="93"/>
  <c r="BS187" i="93"/>
  <c r="BT187" i="93"/>
  <c r="BU187" i="93"/>
  <c r="BV187" i="93"/>
  <c r="BW187" i="93"/>
  <c r="BX187" i="93"/>
  <c r="BY187" i="93"/>
  <c r="BZ187" i="93"/>
  <c r="CA187" i="93"/>
  <c r="CB187" i="93"/>
  <c r="CC187" i="93"/>
  <c r="CD187" i="93"/>
  <c r="CE187" i="93"/>
  <c r="CF187" i="93"/>
  <c r="CG187" i="93"/>
  <c r="CH187" i="93"/>
  <c r="CI187" i="93"/>
  <c r="CJ187" i="93"/>
  <c r="CK187" i="93"/>
  <c r="CL187" i="93"/>
  <c r="CM187" i="93"/>
  <c r="CN187" i="93"/>
  <c r="CO187" i="93"/>
  <c r="CP187" i="93"/>
  <c r="CQ187" i="93"/>
  <c r="CR187" i="93"/>
  <c r="CS187" i="93"/>
  <c r="CT187" i="93"/>
  <c r="CU187" i="93"/>
  <c r="CV187" i="93"/>
  <c r="CW187" i="93"/>
  <c r="J188" i="93"/>
  <c r="K188" i="93"/>
  <c r="L188" i="93"/>
  <c r="M188" i="93"/>
  <c r="N188" i="93"/>
  <c r="O188" i="93"/>
  <c r="P188" i="93"/>
  <c r="Q188" i="93"/>
  <c r="R188" i="93"/>
  <c r="S188" i="93"/>
  <c r="T188" i="93"/>
  <c r="U188" i="93"/>
  <c r="V188" i="93"/>
  <c r="W188" i="93"/>
  <c r="X188" i="93"/>
  <c r="Y188" i="93"/>
  <c r="Z188" i="93"/>
  <c r="AA188" i="93"/>
  <c r="AB188" i="93"/>
  <c r="AC188" i="93"/>
  <c r="AD188" i="93"/>
  <c r="AE188" i="93"/>
  <c r="AF188" i="93"/>
  <c r="AG188" i="93"/>
  <c r="AH188" i="93"/>
  <c r="AI188" i="93"/>
  <c r="AJ188" i="93"/>
  <c r="AK188" i="93"/>
  <c r="AL188" i="93"/>
  <c r="AM188" i="93"/>
  <c r="AN188" i="93"/>
  <c r="AO188" i="93"/>
  <c r="AP188" i="93"/>
  <c r="AQ188" i="93"/>
  <c r="AR188" i="93"/>
  <c r="AS188" i="93"/>
  <c r="AT188" i="93"/>
  <c r="AU188" i="93"/>
  <c r="AV188" i="93"/>
  <c r="AW188" i="93"/>
  <c r="AX188" i="93"/>
  <c r="AY188" i="93"/>
  <c r="AZ188" i="93"/>
  <c r="BA188" i="93"/>
  <c r="BB188" i="93"/>
  <c r="BC188" i="93"/>
  <c r="BD188" i="93"/>
  <c r="BE188" i="93"/>
  <c r="BF188" i="93"/>
  <c r="BG188" i="93"/>
  <c r="BH188" i="93"/>
  <c r="BI188" i="93"/>
  <c r="BJ188" i="93"/>
  <c r="BK188" i="93"/>
  <c r="BL188" i="93"/>
  <c r="BM188" i="93"/>
  <c r="BN188" i="93"/>
  <c r="BO188" i="93"/>
  <c r="BP188" i="93"/>
  <c r="BQ188" i="93"/>
  <c r="BR188" i="93"/>
  <c r="BS188" i="93"/>
  <c r="BT188" i="93"/>
  <c r="BU188" i="93"/>
  <c r="BV188" i="93"/>
  <c r="BW188" i="93"/>
  <c r="BX188" i="93"/>
  <c r="BY188" i="93"/>
  <c r="BZ188" i="93"/>
  <c r="CA188" i="93"/>
  <c r="CB188" i="93"/>
  <c r="CC188" i="93"/>
  <c r="CD188" i="93"/>
  <c r="CE188" i="93"/>
  <c r="CF188" i="93"/>
  <c r="CG188" i="93"/>
  <c r="CH188" i="93"/>
  <c r="CI188" i="93"/>
  <c r="CJ188" i="93"/>
  <c r="CK188" i="93"/>
  <c r="CL188" i="93"/>
  <c r="CM188" i="93"/>
  <c r="CN188" i="93"/>
  <c r="CO188" i="93"/>
  <c r="CP188" i="93"/>
  <c r="CQ188" i="93"/>
  <c r="CR188" i="93"/>
  <c r="CS188" i="93"/>
  <c r="CT188" i="93"/>
  <c r="CU188" i="93"/>
  <c r="CV188" i="93"/>
  <c r="CW188" i="93"/>
  <c r="J189" i="93"/>
  <c r="K189" i="93"/>
  <c r="L189" i="93"/>
  <c r="M189" i="93"/>
  <c r="N189" i="93"/>
  <c r="O189" i="93"/>
  <c r="P189" i="93"/>
  <c r="Q189" i="93"/>
  <c r="R189" i="93"/>
  <c r="S189" i="93"/>
  <c r="T189" i="93"/>
  <c r="U189" i="93"/>
  <c r="V189" i="93"/>
  <c r="W189" i="93"/>
  <c r="X189" i="93"/>
  <c r="Y189" i="93"/>
  <c r="Z189" i="93"/>
  <c r="AA189" i="93"/>
  <c r="AB189" i="93"/>
  <c r="AC189" i="93"/>
  <c r="AD189" i="93"/>
  <c r="AE189" i="93"/>
  <c r="AF189" i="93"/>
  <c r="AG189" i="93"/>
  <c r="AH189" i="93"/>
  <c r="AI189" i="93"/>
  <c r="AJ189" i="93"/>
  <c r="AK189" i="93"/>
  <c r="AL189" i="93"/>
  <c r="AM189" i="93"/>
  <c r="AN189" i="93"/>
  <c r="AO189" i="93"/>
  <c r="AP189" i="93"/>
  <c r="AQ189" i="93"/>
  <c r="AR189" i="93"/>
  <c r="AS189" i="93"/>
  <c r="AT189" i="93"/>
  <c r="AU189" i="93"/>
  <c r="AV189" i="93"/>
  <c r="AW189" i="93"/>
  <c r="AX189" i="93"/>
  <c r="AY189" i="93"/>
  <c r="AZ189" i="93"/>
  <c r="BA189" i="93"/>
  <c r="BB189" i="93"/>
  <c r="BC189" i="93"/>
  <c r="BD189" i="93"/>
  <c r="BE189" i="93"/>
  <c r="BF189" i="93"/>
  <c r="BG189" i="93"/>
  <c r="BH189" i="93"/>
  <c r="BI189" i="93"/>
  <c r="BJ189" i="93"/>
  <c r="BK189" i="93"/>
  <c r="BL189" i="93"/>
  <c r="BM189" i="93"/>
  <c r="BN189" i="93"/>
  <c r="BO189" i="93"/>
  <c r="BP189" i="93"/>
  <c r="BQ189" i="93"/>
  <c r="BR189" i="93"/>
  <c r="BS189" i="93"/>
  <c r="BT189" i="93"/>
  <c r="BU189" i="93"/>
  <c r="BV189" i="93"/>
  <c r="BW189" i="93"/>
  <c r="BX189" i="93"/>
  <c r="BY189" i="93"/>
  <c r="BZ189" i="93"/>
  <c r="CA189" i="93"/>
  <c r="CB189" i="93"/>
  <c r="CC189" i="93"/>
  <c r="CD189" i="93"/>
  <c r="CE189" i="93"/>
  <c r="CF189" i="93"/>
  <c r="CG189" i="93"/>
  <c r="CH189" i="93"/>
  <c r="CI189" i="93"/>
  <c r="CJ189" i="93"/>
  <c r="CK189" i="93"/>
  <c r="CL189" i="93"/>
  <c r="CM189" i="93"/>
  <c r="CN189" i="93"/>
  <c r="CO189" i="93"/>
  <c r="CP189" i="93"/>
  <c r="CQ189" i="93"/>
  <c r="CR189" i="93"/>
  <c r="CS189" i="93"/>
  <c r="CT189" i="93"/>
  <c r="CU189" i="93"/>
  <c r="CV189" i="93"/>
  <c r="CW189" i="93"/>
  <c r="J190" i="93"/>
  <c r="K190" i="93"/>
  <c r="L190" i="93"/>
  <c r="M190" i="93"/>
  <c r="N190" i="93"/>
  <c r="O190" i="93"/>
  <c r="P190" i="93"/>
  <c r="Q190" i="93"/>
  <c r="R190" i="93"/>
  <c r="S190" i="93"/>
  <c r="T190" i="93"/>
  <c r="U190" i="93"/>
  <c r="V190" i="93"/>
  <c r="W190" i="93"/>
  <c r="X190" i="93"/>
  <c r="Y190" i="93"/>
  <c r="Z190" i="93"/>
  <c r="AA190" i="93"/>
  <c r="AB190" i="93"/>
  <c r="AC190" i="93"/>
  <c r="AD190" i="93"/>
  <c r="AE190" i="93"/>
  <c r="AF190" i="93"/>
  <c r="AG190" i="93"/>
  <c r="AH190" i="93"/>
  <c r="AI190" i="93"/>
  <c r="AJ190" i="93"/>
  <c r="AK190" i="93"/>
  <c r="AL190" i="93"/>
  <c r="AM190" i="93"/>
  <c r="AN190" i="93"/>
  <c r="AO190" i="93"/>
  <c r="AP190" i="93"/>
  <c r="AQ190" i="93"/>
  <c r="AR190" i="93"/>
  <c r="AS190" i="93"/>
  <c r="AT190" i="93"/>
  <c r="AU190" i="93"/>
  <c r="AV190" i="93"/>
  <c r="AW190" i="93"/>
  <c r="AX190" i="93"/>
  <c r="AY190" i="93"/>
  <c r="AZ190" i="93"/>
  <c r="BA190" i="93"/>
  <c r="BB190" i="93"/>
  <c r="BC190" i="93"/>
  <c r="BD190" i="93"/>
  <c r="BE190" i="93"/>
  <c r="BF190" i="93"/>
  <c r="BG190" i="93"/>
  <c r="BH190" i="93"/>
  <c r="BI190" i="93"/>
  <c r="BJ190" i="93"/>
  <c r="BK190" i="93"/>
  <c r="BL190" i="93"/>
  <c r="BM190" i="93"/>
  <c r="BN190" i="93"/>
  <c r="BO190" i="93"/>
  <c r="BP190" i="93"/>
  <c r="BQ190" i="93"/>
  <c r="BR190" i="93"/>
  <c r="BS190" i="93"/>
  <c r="BT190" i="93"/>
  <c r="BU190" i="93"/>
  <c r="BV190" i="93"/>
  <c r="BW190" i="93"/>
  <c r="BX190" i="93"/>
  <c r="BY190" i="93"/>
  <c r="BZ190" i="93"/>
  <c r="CA190" i="93"/>
  <c r="CB190" i="93"/>
  <c r="CC190" i="93"/>
  <c r="CD190" i="93"/>
  <c r="CE190" i="93"/>
  <c r="CF190" i="93"/>
  <c r="CG190" i="93"/>
  <c r="CH190" i="93"/>
  <c r="CI190" i="93"/>
  <c r="CJ190" i="93"/>
  <c r="CK190" i="93"/>
  <c r="CL190" i="93"/>
  <c r="CM190" i="93"/>
  <c r="CN190" i="93"/>
  <c r="CO190" i="93"/>
  <c r="CP190" i="93"/>
  <c r="CQ190" i="93"/>
  <c r="CR190" i="93"/>
  <c r="CS190" i="93"/>
  <c r="CT190" i="93"/>
  <c r="CU190" i="93"/>
  <c r="CV190" i="93"/>
  <c r="CW190" i="93"/>
  <c r="J191" i="93"/>
  <c r="K191" i="93"/>
  <c r="L191" i="93"/>
  <c r="M191" i="93"/>
  <c r="N191" i="93"/>
  <c r="O191" i="93"/>
  <c r="P191" i="93"/>
  <c r="Q191" i="93"/>
  <c r="R191" i="93"/>
  <c r="S191" i="93"/>
  <c r="T191" i="93"/>
  <c r="U191" i="93"/>
  <c r="V191" i="93"/>
  <c r="W191" i="93"/>
  <c r="X191" i="93"/>
  <c r="Y191" i="93"/>
  <c r="Z191" i="93"/>
  <c r="AA191" i="93"/>
  <c r="AB191" i="93"/>
  <c r="AC191" i="93"/>
  <c r="AD191" i="93"/>
  <c r="AE191" i="93"/>
  <c r="AF191" i="93"/>
  <c r="AG191" i="93"/>
  <c r="AH191" i="93"/>
  <c r="AI191" i="93"/>
  <c r="AJ191" i="93"/>
  <c r="AK191" i="93"/>
  <c r="AL191" i="93"/>
  <c r="AM191" i="93"/>
  <c r="AN191" i="93"/>
  <c r="AO191" i="93"/>
  <c r="AP191" i="93"/>
  <c r="AQ191" i="93"/>
  <c r="AR191" i="93"/>
  <c r="AS191" i="93"/>
  <c r="AT191" i="93"/>
  <c r="AU191" i="93"/>
  <c r="AV191" i="93"/>
  <c r="AW191" i="93"/>
  <c r="AX191" i="93"/>
  <c r="AY191" i="93"/>
  <c r="AZ191" i="93"/>
  <c r="BA191" i="93"/>
  <c r="BB191" i="93"/>
  <c r="BC191" i="93"/>
  <c r="BD191" i="93"/>
  <c r="BE191" i="93"/>
  <c r="BF191" i="93"/>
  <c r="BG191" i="93"/>
  <c r="BH191" i="93"/>
  <c r="BI191" i="93"/>
  <c r="BJ191" i="93"/>
  <c r="BK191" i="93"/>
  <c r="BL191" i="93"/>
  <c r="BM191" i="93"/>
  <c r="BN191" i="93"/>
  <c r="BO191" i="93"/>
  <c r="BP191" i="93"/>
  <c r="BQ191" i="93"/>
  <c r="BR191" i="93"/>
  <c r="BS191" i="93"/>
  <c r="BT191" i="93"/>
  <c r="BU191" i="93"/>
  <c r="BV191" i="93"/>
  <c r="BW191" i="93"/>
  <c r="BX191" i="93"/>
  <c r="BY191" i="93"/>
  <c r="BZ191" i="93"/>
  <c r="CA191" i="93"/>
  <c r="CB191" i="93"/>
  <c r="CC191" i="93"/>
  <c r="CD191" i="93"/>
  <c r="CE191" i="93"/>
  <c r="CF191" i="93"/>
  <c r="CG191" i="93"/>
  <c r="CH191" i="93"/>
  <c r="CI191" i="93"/>
  <c r="CJ191" i="93"/>
  <c r="CK191" i="93"/>
  <c r="CL191" i="93"/>
  <c r="CM191" i="93"/>
  <c r="CN191" i="93"/>
  <c r="CO191" i="93"/>
  <c r="CP191" i="93"/>
  <c r="CQ191" i="93"/>
  <c r="CR191" i="93"/>
  <c r="CS191" i="93"/>
  <c r="CT191" i="93"/>
  <c r="CU191" i="93"/>
  <c r="CV191" i="93"/>
  <c r="CW191" i="93"/>
  <c r="J192" i="93"/>
  <c r="K192" i="93"/>
  <c r="L192" i="93"/>
  <c r="M192" i="93"/>
  <c r="N192" i="93"/>
  <c r="O192" i="93"/>
  <c r="P192" i="93"/>
  <c r="Q192" i="93"/>
  <c r="R192" i="93"/>
  <c r="S192" i="93"/>
  <c r="T192" i="93"/>
  <c r="U192" i="93"/>
  <c r="V192" i="93"/>
  <c r="W192" i="93"/>
  <c r="X192" i="93"/>
  <c r="Y192" i="93"/>
  <c r="Z192" i="93"/>
  <c r="AA192" i="93"/>
  <c r="AB192" i="93"/>
  <c r="AC192" i="93"/>
  <c r="AD192" i="93"/>
  <c r="AE192" i="93"/>
  <c r="AF192" i="93"/>
  <c r="AG192" i="93"/>
  <c r="AH192" i="93"/>
  <c r="AI192" i="93"/>
  <c r="AJ192" i="93"/>
  <c r="AK192" i="93"/>
  <c r="AL192" i="93"/>
  <c r="AM192" i="93"/>
  <c r="AN192" i="93"/>
  <c r="AO192" i="93"/>
  <c r="AP192" i="93"/>
  <c r="AQ192" i="93"/>
  <c r="AR192" i="93"/>
  <c r="AS192" i="93"/>
  <c r="AT192" i="93"/>
  <c r="AU192" i="93"/>
  <c r="AV192" i="93"/>
  <c r="AW192" i="93"/>
  <c r="AX192" i="93"/>
  <c r="AY192" i="93"/>
  <c r="AZ192" i="93"/>
  <c r="BA192" i="93"/>
  <c r="BB192" i="93"/>
  <c r="BC192" i="93"/>
  <c r="BD192" i="93"/>
  <c r="BE192" i="93"/>
  <c r="BF192" i="93"/>
  <c r="BG192" i="93"/>
  <c r="BH192" i="93"/>
  <c r="BI192" i="93"/>
  <c r="BJ192" i="93"/>
  <c r="BK192" i="93"/>
  <c r="BL192" i="93"/>
  <c r="BM192" i="93"/>
  <c r="BN192" i="93"/>
  <c r="BO192" i="93"/>
  <c r="BP192" i="93"/>
  <c r="BQ192" i="93"/>
  <c r="BR192" i="93"/>
  <c r="BS192" i="93"/>
  <c r="BT192" i="93"/>
  <c r="BU192" i="93"/>
  <c r="BV192" i="93"/>
  <c r="BW192" i="93"/>
  <c r="BX192" i="93"/>
  <c r="BY192" i="93"/>
  <c r="BZ192" i="93"/>
  <c r="CA192" i="93"/>
  <c r="CB192" i="93"/>
  <c r="CC192" i="93"/>
  <c r="CD192" i="93"/>
  <c r="CE192" i="93"/>
  <c r="CF192" i="93"/>
  <c r="CG192" i="93"/>
  <c r="CH192" i="93"/>
  <c r="CI192" i="93"/>
  <c r="CJ192" i="93"/>
  <c r="CK192" i="93"/>
  <c r="CL192" i="93"/>
  <c r="CM192" i="93"/>
  <c r="CN192" i="93"/>
  <c r="CO192" i="93"/>
  <c r="CP192" i="93"/>
  <c r="CQ192" i="93"/>
  <c r="CR192" i="93"/>
  <c r="CS192" i="93"/>
  <c r="CT192" i="93"/>
  <c r="CU192" i="93"/>
  <c r="CV192" i="93"/>
  <c r="CW192" i="93"/>
  <c r="J193" i="93"/>
  <c r="K193" i="93"/>
  <c r="L193" i="93"/>
  <c r="M193" i="93"/>
  <c r="N193" i="93"/>
  <c r="O193" i="93"/>
  <c r="P193" i="93"/>
  <c r="Q193" i="93"/>
  <c r="R193" i="93"/>
  <c r="S193" i="93"/>
  <c r="T193" i="93"/>
  <c r="U193" i="93"/>
  <c r="V193" i="93"/>
  <c r="W193" i="93"/>
  <c r="X193" i="93"/>
  <c r="Y193" i="93"/>
  <c r="Z193" i="93"/>
  <c r="AA193" i="93"/>
  <c r="AB193" i="93"/>
  <c r="AC193" i="93"/>
  <c r="AD193" i="93"/>
  <c r="AE193" i="93"/>
  <c r="AF193" i="93"/>
  <c r="AG193" i="93"/>
  <c r="AH193" i="93"/>
  <c r="AI193" i="93"/>
  <c r="AJ193" i="93"/>
  <c r="AK193" i="93"/>
  <c r="AL193" i="93"/>
  <c r="AM193" i="93"/>
  <c r="AN193" i="93"/>
  <c r="AO193" i="93"/>
  <c r="AP193" i="93"/>
  <c r="AQ193" i="93"/>
  <c r="AR193" i="93"/>
  <c r="AS193" i="93"/>
  <c r="AT193" i="93"/>
  <c r="AU193" i="93"/>
  <c r="AV193" i="93"/>
  <c r="AW193" i="93"/>
  <c r="AX193" i="93"/>
  <c r="AY193" i="93"/>
  <c r="AZ193" i="93"/>
  <c r="BA193" i="93"/>
  <c r="BB193" i="93"/>
  <c r="BC193" i="93"/>
  <c r="BD193" i="93"/>
  <c r="BE193" i="93"/>
  <c r="BF193" i="93"/>
  <c r="BG193" i="93"/>
  <c r="BH193" i="93"/>
  <c r="BI193" i="93"/>
  <c r="BJ193" i="93"/>
  <c r="BK193" i="93"/>
  <c r="BL193" i="93"/>
  <c r="BM193" i="93"/>
  <c r="BN193" i="93"/>
  <c r="BO193" i="93"/>
  <c r="BP193" i="93"/>
  <c r="BQ193" i="93"/>
  <c r="BR193" i="93"/>
  <c r="BS193" i="93"/>
  <c r="BT193" i="93"/>
  <c r="BU193" i="93"/>
  <c r="BV193" i="93"/>
  <c r="BW193" i="93"/>
  <c r="BX193" i="93"/>
  <c r="BY193" i="93"/>
  <c r="BZ193" i="93"/>
  <c r="CA193" i="93"/>
  <c r="CB193" i="93"/>
  <c r="CC193" i="93"/>
  <c r="CD193" i="93"/>
  <c r="CE193" i="93"/>
  <c r="CF193" i="93"/>
  <c r="CG193" i="93"/>
  <c r="CH193" i="93"/>
  <c r="CI193" i="93"/>
  <c r="CJ193" i="93"/>
  <c r="CK193" i="93"/>
  <c r="CL193" i="93"/>
  <c r="CM193" i="93"/>
  <c r="CN193" i="93"/>
  <c r="CO193" i="93"/>
  <c r="CP193" i="93"/>
  <c r="CQ193" i="93"/>
  <c r="CR193" i="93"/>
  <c r="CS193" i="93"/>
  <c r="CT193" i="93"/>
  <c r="CU193" i="93"/>
  <c r="CV193" i="93"/>
  <c r="CW193" i="93"/>
  <c r="J194" i="93"/>
  <c r="K194" i="93"/>
  <c r="L194" i="93"/>
  <c r="M194" i="93"/>
  <c r="N194" i="93"/>
  <c r="O194" i="93"/>
  <c r="P194" i="93"/>
  <c r="Q194" i="93"/>
  <c r="R194" i="93"/>
  <c r="S194" i="93"/>
  <c r="T194" i="93"/>
  <c r="U194" i="93"/>
  <c r="V194" i="93"/>
  <c r="W194" i="93"/>
  <c r="X194" i="93"/>
  <c r="Y194" i="93"/>
  <c r="Z194" i="93"/>
  <c r="AA194" i="93"/>
  <c r="AB194" i="93"/>
  <c r="AC194" i="93"/>
  <c r="AD194" i="93"/>
  <c r="AE194" i="93"/>
  <c r="AF194" i="93"/>
  <c r="AG194" i="93"/>
  <c r="AH194" i="93"/>
  <c r="AI194" i="93"/>
  <c r="AJ194" i="93"/>
  <c r="AK194" i="93"/>
  <c r="AL194" i="93"/>
  <c r="AM194" i="93"/>
  <c r="AN194" i="93"/>
  <c r="AO194" i="93"/>
  <c r="AP194" i="93"/>
  <c r="AQ194" i="93"/>
  <c r="AR194" i="93"/>
  <c r="AS194" i="93"/>
  <c r="AT194" i="93"/>
  <c r="AU194" i="93"/>
  <c r="AV194" i="93"/>
  <c r="AW194" i="93"/>
  <c r="AX194" i="93"/>
  <c r="AY194" i="93"/>
  <c r="AZ194" i="93"/>
  <c r="BA194" i="93"/>
  <c r="BB194" i="93"/>
  <c r="BC194" i="93"/>
  <c r="BD194" i="93"/>
  <c r="BE194" i="93"/>
  <c r="BF194" i="93"/>
  <c r="BG194" i="93"/>
  <c r="BH194" i="93"/>
  <c r="BI194" i="93"/>
  <c r="BJ194" i="93"/>
  <c r="BK194" i="93"/>
  <c r="BL194" i="93"/>
  <c r="BM194" i="93"/>
  <c r="BN194" i="93"/>
  <c r="BO194" i="93"/>
  <c r="BP194" i="93"/>
  <c r="BQ194" i="93"/>
  <c r="BR194" i="93"/>
  <c r="BS194" i="93"/>
  <c r="BT194" i="93"/>
  <c r="BU194" i="93"/>
  <c r="BV194" i="93"/>
  <c r="BW194" i="93"/>
  <c r="BX194" i="93"/>
  <c r="BY194" i="93"/>
  <c r="BZ194" i="93"/>
  <c r="CA194" i="93"/>
  <c r="CB194" i="93"/>
  <c r="CC194" i="93"/>
  <c r="CD194" i="93"/>
  <c r="CE194" i="93"/>
  <c r="CF194" i="93"/>
  <c r="CG194" i="93"/>
  <c r="CH194" i="93"/>
  <c r="CI194" i="93"/>
  <c r="CJ194" i="93"/>
  <c r="CK194" i="93"/>
  <c r="CL194" i="93"/>
  <c r="CM194" i="93"/>
  <c r="CN194" i="93"/>
  <c r="CO194" i="93"/>
  <c r="CP194" i="93"/>
  <c r="CQ194" i="93"/>
  <c r="CR194" i="93"/>
  <c r="CS194" i="93"/>
  <c r="CT194" i="93"/>
  <c r="CU194" i="93"/>
  <c r="CV194" i="93"/>
  <c r="CW194" i="93"/>
  <c r="J195" i="93"/>
  <c r="K195" i="93"/>
  <c r="L195" i="93"/>
  <c r="M195" i="93"/>
  <c r="N195" i="93"/>
  <c r="O195" i="93"/>
  <c r="P195" i="93"/>
  <c r="Q195" i="93"/>
  <c r="R195" i="93"/>
  <c r="S195" i="93"/>
  <c r="T195" i="93"/>
  <c r="U195" i="93"/>
  <c r="V195" i="93"/>
  <c r="W195" i="93"/>
  <c r="X195" i="93"/>
  <c r="Y195" i="93"/>
  <c r="Z195" i="93"/>
  <c r="AA195" i="93"/>
  <c r="AB195" i="93"/>
  <c r="AC195" i="93"/>
  <c r="AD195" i="93"/>
  <c r="AE195" i="93"/>
  <c r="AF195" i="93"/>
  <c r="AG195" i="93"/>
  <c r="AH195" i="93"/>
  <c r="AI195" i="93"/>
  <c r="AJ195" i="93"/>
  <c r="AK195" i="93"/>
  <c r="AL195" i="93"/>
  <c r="AM195" i="93"/>
  <c r="AN195" i="93"/>
  <c r="AO195" i="93"/>
  <c r="AP195" i="93"/>
  <c r="AQ195" i="93"/>
  <c r="AR195" i="93"/>
  <c r="AS195" i="93"/>
  <c r="AT195" i="93"/>
  <c r="AU195" i="93"/>
  <c r="AV195" i="93"/>
  <c r="AW195" i="93"/>
  <c r="AX195" i="93"/>
  <c r="AY195" i="93"/>
  <c r="AZ195" i="93"/>
  <c r="BA195" i="93"/>
  <c r="BB195" i="93"/>
  <c r="BC195" i="93"/>
  <c r="BD195" i="93"/>
  <c r="BE195" i="93"/>
  <c r="BF195" i="93"/>
  <c r="BG195" i="93"/>
  <c r="BH195" i="93"/>
  <c r="BI195" i="93"/>
  <c r="BJ195" i="93"/>
  <c r="BK195" i="93"/>
  <c r="BL195" i="93"/>
  <c r="BM195" i="93"/>
  <c r="BN195" i="93"/>
  <c r="BO195" i="93"/>
  <c r="BP195" i="93"/>
  <c r="BQ195" i="93"/>
  <c r="BR195" i="93"/>
  <c r="BS195" i="93"/>
  <c r="BT195" i="93"/>
  <c r="BU195" i="93"/>
  <c r="BV195" i="93"/>
  <c r="BW195" i="93"/>
  <c r="BX195" i="93"/>
  <c r="BY195" i="93"/>
  <c r="BZ195" i="93"/>
  <c r="CA195" i="93"/>
  <c r="CB195" i="93"/>
  <c r="CC195" i="93"/>
  <c r="CD195" i="93"/>
  <c r="CE195" i="93"/>
  <c r="CF195" i="93"/>
  <c r="CG195" i="93"/>
  <c r="CH195" i="93"/>
  <c r="CI195" i="93"/>
  <c r="CJ195" i="93"/>
  <c r="CK195" i="93"/>
  <c r="CL195" i="93"/>
  <c r="CM195" i="93"/>
  <c r="CN195" i="93"/>
  <c r="CO195" i="93"/>
  <c r="CP195" i="93"/>
  <c r="CQ195" i="93"/>
  <c r="CR195" i="93"/>
  <c r="CS195" i="93"/>
  <c r="CT195" i="93"/>
  <c r="CU195" i="93"/>
  <c r="CV195" i="93"/>
  <c r="CW195" i="93"/>
  <c r="J196" i="93"/>
  <c r="K196" i="93"/>
  <c r="L196" i="93"/>
  <c r="M196" i="93"/>
  <c r="N196" i="93"/>
  <c r="O196" i="93"/>
  <c r="P196" i="93"/>
  <c r="Q196" i="93"/>
  <c r="R196" i="93"/>
  <c r="S196" i="93"/>
  <c r="T196" i="93"/>
  <c r="U196" i="93"/>
  <c r="V196" i="93"/>
  <c r="W196" i="93"/>
  <c r="X196" i="93"/>
  <c r="Y196" i="93"/>
  <c r="Z196" i="93"/>
  <c r="AA196" i="93"/>
  <c r="AB196" i="93"/>
  <c r="AC196" i="93"/>
  <c r="AD196" i="93"/>
  <c r="AE196" i="93"/>
  <c r="AF196" i="93"/>
  <c r="AG196" i="93"/>
  <c r="AH196" i="93"/>
  <c r="AI196" i="93"/>
  <c r="AJ196" i="93"/>
  <c r="AK196" i="93"/>
  <c r="AL196" i="93"/>
  <c r="AM196" i="93"/>
  <c r="AN196" i="93"/>
  <c r="AO196" i="93"/>
  <c r="AP196" i="93"/>
  <c r="AQ196" i="93"/>
  <c r="AR196" i="93"/>
  <c r="AS196" i="93"/>
  <c r="AT196" i="93"/>
  <c r="AU196" i="93"/>
  <c r="AV196" i="93"/>
  <c r="AW196" i="93"/>
  <c r="AX196" i="93"/>
  <c r="AY196" i="93"/>
  <c r="AZ196" i="93"/>
  <c r="BA196" i="93"/>
  <c r="BB196" i="93"/>
  <c r="BC196" i="93"/>
  <c r="BD196" i="93"/>
  <c r="BE196" i="93"/>
  <c r="BF196" i="93"/>
  <c r="BG196" i="93"/>
  <c r="BH196" i="93"/>
  <c r="BI196" i="93"/>
  <c r="BJ196" i="93"/>
  <c r="BK196" i="93"/>
  <c r="BL196" i="93"/>
  <c r="BM196" i="93"/>
  <c r="BN196" i="93"/>
  <c r="BO196" i="93"/>
  <c r="BP196" i="93"/>
  <c r="BQ196" i="93"/>
  <c r="BR196" i="93"/>
  <c r="BS196" i="93"/>
  <c r="BT196" i="93"/>
  <c r="BU196" i="93"/>
  <c r="BV196" i="93"/>
  <c r="BW196" i="93"/>
  <c r="BX196" i="93"/>
  <c r="BY196" i="93"/>
  <c r="BZ196" i="93"/>
  <c r="CA196" i="93"/>
  <c r="CB196" i="93"/>
  <c r="CC196" i="93"/>
  <c r="CD196" i="93"/>
  <c r="CE196" i="93"/>
  <c r="CF196" i="93"/>
  <c r="CG196" i="93"/>
  <c r="CH196" i="93"/>
  <c r="CI196" i="93"/>
  <c r="CJ196" i="93"/>
  <c r="CK196" i="93"/>
  <c r="CL196" i="93"/>
  <c r="CM196" i="93"/>
  <c r="CN196" i="93"/>
  <c r="CO196" i="93"/>
  <c r="CP196" i="93"/>
  <c r="CQ196" i="93"/>
  <c r="CR196" i="93"/>
  <c r="CS196" i="93"/>
  <c r="CT196" i="93"/>
  <c r="CU196" i="93"/>
  <c r="CV196" i="93"/>
  <c r="CW196" i="93"/>
  <c r="J197" i="93"/>
  <c r="K197" i="93"/>
  <c r="L197" i="93"/>
  <c r="M197" i="93"/>
  <c r="N197" i="93"/>
  <c r="O197" i="93"/>
  <c r="P197" i="93"/>
  <c r="Q197" i="93"/>
  <c r="R197" i="93"/>
  <c r="S197" i="93"/>
  <c r="T197" i="93"/>
  <c r="U197" i="93"/>
  <c r="V197" i="93"/>
  <c r="W197" i="93"/>
  <c r="X197" i="93"/>
  <c r="Y197" i="93"/>
  <c r="Z197" i="93"/>
  <c r="AA197" i="93"/>
  <c r="AB197" i="93"/>
  <c r="AC197" i="93"/>
  <c r="AD197" i="93"/>
  <c r="AE197" i="93"/>
  <c r="AF197" i="93"/>
  <c r="AG197" i="93"/>
  <c r="AH197" i="93"/>
  <c r="AI197" i="93"/>
  <c r="AJ197" i="93"/>
  <c r="AK197" i="93"/>
  <c r="AL197" i="93"/>
  <c r="AM197" i="93"/>
  <c r="AN197" i="93"/>
  <c r="AO197" i="93"/>
  <c r="AP197" i="93"/>
  <c r="AQ197" i="93"/>
  <c r="AR197" i="93"/>
  <c r="AS197" i="93"/>
  <c r="AT197" i="93"/>
  <c r="AU197" i="93"/>
  <c r="AV197" i="93"/>
  <c r="AW197" i="93"/>
  <c r="AX197" i="93"/>
  <c r="AY197" i="93"/>
  <c r="AZ197" i="93"/>
  <c r="BA197" i="93"/>
  <c r="BB197" i="93"/>
  <c r="BC197" i="93"/>
  <c r="BD197" i="93"/>
  <c r="BE197" i="93"/>
  <c r="BF197" i="93"/>
  <c r="BG197" i="93"/>
  <c r="BH197" i="93"/>
  <c r="BI197" i="93"/>
  <c r="BJ197" i="93"/>
  <c r="BK197" i="93"/>
  <c r="BL197" i="93"/>
  <c r="BM197" i="93"/>
  <c r="BN197" i="93"/>
  <c r="BO197" i="93"/>
  <c r="BP197" i="93"/>
  <c r="BQ197" i="93"/>
  <c r="BR197" i="93"/>
  <c r="BS197" i="93"/>
  <c r="BT197" i="93"/>
  <c r="BU197" i="93"/>
  <c r="BV197" i="93"/>
  <c r="BW197" i="93"/>
  <c r="BX197" i="93"/>
  <c r="BY197" i="93"/>
  <c r="BZ197" i="93"/>
  <c r="CA197" i="93"/>
  <c r="CB197" i="93"/>
  <c r="CC197" i="93"/>
  <c r="CD197" i="93"/>
  <c r="CE197" i="93"/>
  <c r="CF197" i="93"/>
  <c r="CG197" i="93"/>
  <c r="CH197" i="93"/>
  <c r="CI197" i="93"/>
  <c r="CJ197" i="93"/>
  <c r="CK197" i="93"/>
  <c r="CL197" i="93"/>
  <c r="CM197" i="93"/>
  <c r="CN197" i="93"/>
  <c r="CO197" i="93"/>
  <c r="CP197" i="93"/>
  <c r="CQ197" i="93"/>
  <c r="CR197" i="93"/>
  <c r="CS197" i="93"/>
  <c r="CT197" i="93"/>
  <c r="CU197" i="93"/>
  <c r="CV197" i="93"/>
  <c r="CW197" i="93"/>
  <c r="J198" i="93"/>
  <c r="K198" i="93"/>
  <c r="L198" i="93"/>
  <c r="M198" i="93"/>
  <c r="N198" i="93"/>
  <c r="O198" i="93"/>
  <c r="P198" i="93"/>
  <c r="Q198" i="93"/>
  <c r="R198" i="93"/>
  <c r="S198" i="93"/>
  <c r="T198" i="93"/>
  <c r="U198" i="93"/>
  <c r="V198" i="93"/>
  <c r="W198" i="93"/>
  <c r="X198" i="93"/>
  <c r="Y198" i="93"/>
  <c r="Z198" i="93"/>
  <c r="AA198" i="93"/>
  <c r="AB198" i="93"/>
  <c r="AC198" i="93"/>
  <c r="AD198" i="93"/>
  <c r="AE198" i="93"/>
  <c r="AF198" i="93"/>
  <c r="AG198" i="93"/>
  <c r="AH198" i="93"/>
  <c r="AI198" i="93"/>
  <c r="AJ198" i="93"/>
  <c r="AK198" i="93"/>
  <c r="AL198" i="93"/>
  <c r="AM198" i="93"/>
  <c r="AN198" i="93"/>
  <c r="AO198" i="93"/>
  <c r="AP198" i="93"/>
  <c r="AQ198" i="93"/>
  <c r="AR198" i="93"/>
  <c r="AS198" i="93"/>
  <c r="AT198" i="93"/>
  <c r="AU198" i="93"/>
  <c r="AV198" i="93"/>
  <c r="AW198" i="93"/>
  <c r="AX198" i="93"/>
  <c r="AY198" i="93"/>
  <c r="AZ198" i="93"/>
  <c r="BA198" i="93"/>
  <c r="BB198" i="93"/>
  <c r="BC198" i="93"/>
  <c r="BD198" i="93"/>
  <c r="BE198" i="93"/>
  <c r="BF198" i="93"/>
  <c r="BG198" i="93"/>
  <c r="BH198" i="93"/>
  <c r="BI198" i="93"/>
  <c r="BJ198" i="93"/>
  <c r="BK198" i="93"/>
  <c r="BL198" i="93"/>
  <c r="BM198" i="93"/>
  <c r="BN198" i="93"/>
  <c r="BO198" i="93"/>
  <c r="BP198" i="93"/>
  <c r="BQ198" i="93"/>
  <c r="BR198" i="93"/>
  <c r="BS198" i="93"/>
  <c r="BT198" i="93"/>
  <c r="BU198" i="93"/>
  <c r="BV198" i="93"/>
  <c r="BW198" i="93"/>
  <c r="BX198" i="93"/>
  <c r="BY198" i="93"/>
  <c r="BZ198" i="93"/>
  <c r="CA198" i="93"/>
  <c r="CB198" i="93"/>
  <c r="CC198" i="93"/>
  <c r="CD198" i="93"/>
  <c r="CE198" i="93"/>
  <c r="CF198" i="93"/>
  <c r="CG198" i="93"/>
  <c r="CH198" i="93"/>
  <c r="CI198" i="93"/>
  <c r="CJ198" i="93"/>
  <c r="CK198" i="93"/>
  <c r="CL198" i="93"/>
  <c r="CM198" i="93"/>
  <c r="CN198" i="93"/>
  <c r="CO198" i="93"/>
  <c r="CP198" i="93"/>
  <c r="CQ198" i="93"/>
  <c r="CR198" i="93"/>
  <c r="CS198" i="93"/>
  <c r="CT198" i="93"/>
  <c r="CU198" i="93"/>
  <c r="CV198" i="93"/>
  <c r="CW198" i="93"/>
  <c r="J199" i="93"/>
  <c r="K199" i="93"/>
  <c r="L199" i="93"/>
  <c r="M199" i="93"/>
  <c r="N199" i="93"/>
  <c r="O199" i="93"/>
  <c r="P199" i="93"/>
  <c r="Q199" i="93"/>
  <c r="R199" i="93"/>
  <c r="S199" i="93"/>
  <c r="T199" i="93"/>
  <c r="U199" i="93"/>
  <c r="V199" i="93"/>
  <c r="W199" i="93"/>
  <c r="X199" i="93"/>
  <c r="Y199" i="93"/>
  <c r="Z199" i="93"/>
  <c r="AA199" i="93"/>
  <c r="AB199" i="93"/>
  <c r="AC199" i="93"/>
  <c r="AD199" i="93"/>
  <c r="AE199" i="93"/>
  <c r="AF199" i="93"/>
  <c r="AG199" i="93"/>
  <c r="AH199" i="93"/>
  <c r="AI199" i="93"/>
  <c r="AJ199" i="93"/>
  <c r="AK199" i="93"/>
  <c r="AL199" i="93"/>
  <c r="AM199" i="93"/>
  <c r="AN199" i="93"/>
  <c r="AO199" i="93"/>
  <c r="AP199" i="93"/>
  <c r="AQ199" i="93"/>
  <c r="AR199" i="93"/>
  <c r="AS199" i="93"/>
  <c r="AT199" i="93"/>
  <c r="AU199" i="93"/>
  <c r="AV199" i="93"/>
  <c r="AW199" i="93"/>
  <c r="AX199" i="93"/>
  <c r="AY199" i="93"/>
  <c r="AZ199" i="93"/>
  <c r="BA199" i="93"/>
  <c r="BB199" i="93"/>
  <c r="BC199" i="93"/>
  <c r="BD199" i="93"/>
  <c r="BE199" i="93"/>
  <c r="BF199" i="93"/>
  <c r="BG199" i="93"/>
  <c r="BH199" i="93"/>
  <c r="BI199" i="93"/>
  <c r="BJ199" i="93"/>
  <c r="BK199" i="93"/>
  <c r="BL199" i="93"/>
  <c r="BM199" i="93"/>
  <c r="BN199" i="93"/>
  <c r="BO199" i="93"/>
  <c r="BP199" i="93"/>
  <c r="BQ199" i="93"/>
  <c r="BR199" i="93"/>
  <c r="BS199" i="93"/>
  <c r="BT199" i="93"/>
  <c r="BU199" i="93"/>
  <c r="BV199" i="93"/>
  <c r="BW199" i="93"/>
  <c r="BX199" i="93"/>
  <c r="BY199" i="93"/>
  <c r="BZ199" i="93"/>
  <c r="CA199" i="93"/>
  <c r="CB199" i="93"/>
  <c r="CC199" i="93"/>
  <c r="CD199" i="93"/>
  <c r="CE199" i="93"/>
  <c r="CF199" i="93"/>
  <c r="CG199" i="93"/>
  <c r="CH199" i="93"/>
  <c r="CI199" i="93"/>
  <c r="CJ199" i="93"/>
  <c r="CK199" i="93"/>
  <c r="CL199" i="93"/>
  <c r="CM199" i="93"/>
  <c r="CN199" i="93"/>
  <c r="CO199" i="93"/>
  <c r="CP199" i="93"/>
  <c r="CQ199" i="93"/>
  <c r="CR199" i="93"/>
  <c r="CS199" i="93"/>
  <c r="CT199" i="93"/>
  <c r="CU199" i="93"/>
  <c r="CV199" i="93"/>
  <c r="CW199" i="93"/>
  <c r="J200" i="93"/>
  <c r="K200" i="93"/>
  <c r="L200" i="93"/>
  <c r="M200" i="93"/>
  <c r="N200" i="93"/>
  <c r="O200" i="93"/>
  <c r="P200" i="93"/>
  <c r="Q200" i="93"/>
  <c r="R200" i="93"/>
  <c r="S200" i="93"/>
  <c r="T200" i="93"/>
  <c r="U200" i="93"/>
  <c r="V200" i="93"/>
  <c r="W200" i="93"/>
  <c r="X200" i="93"/>
  <c r="Y200" i="93"/>
  <c r="Z200" i="93"/>
  <c r="AA200" i="93"/>
  <c r="AB200" i="93"/>
  <c r="AC200" i="93"/>
  <c r="AD200" i="93"/>
  <c r="AE200" i="93"/>
  <c r="AF200" i="93"/>
  <c r="AG200" i="93"/>
  <c r="AH200" i="93"/>
  <c r="AI200" i="93"/>
  <c r="AJ200" i="93"/>
  <c r="AK200" i="93"/>
  <c r="AL200" i="93"/>
  <c r="AM200" i="93"/>
  <c r="AN200" i="93"/>
  <c r="AO200" i="93"/>
  <c r="AP200" i="93"/>
  <c r="AQ200" i="93"/>
  <c r="AR200" i="93"/>
  <c r="AS200" i="93"/>
  <c r="AT200" i="93"/>
  <c r="AU200" i="93"/>
  <c r="AV200" i="93"/>
  <c r="AW200" i="93"/>
  <c r="AX200" i="93"/>
  <c r="AY200" i="93"/>
  <c r="AZ200" i="93"/>
  <c r="BA200" i="93"/>
  <c r="BB200" i="93"/>
  <c r="BC200" i="93"/>
  <c r="BD200" i="93"/>
  <c r="BE200" i="93"/>
  <c r="BF200" i="93"/>
  <c r="BG200" i="93"/>
  <c r="BH200" i="93"/>
  <c r="BI200" i="93"/>
  <c r="BJ200" i="93"/>
  <c r="BK200" i="93"/>
  <c r="BL200" i="93"/>
  <c r="BM200" i="93"/>
  <c r="BN200" i="93"/>
  <c r="BO200" i="93"/>
  <c r="BP200" i="93"/>
  <c r="BQ200" i="93"/>
  <c r="BR200" i="93"/>
  <c r="BS200" i="93"/>
  <c r="BT200" i="93"/>
  <c r="BU200" i="93"/>
  <c r="BV200" i="93"/>
  <c r="BW200" i="93"/>
  <c r="BX200" i="93"/>
  <c r="BY200" i="93"/>
  <c r="BZ200" i="93"/>
  <c r="CA200" i="93"/>
  <c r="CB200" i="93"/>
  <c r="CC200" i="93"/>
  <c r="CD200" i="93"/>
  <c r="CE200" i="93"/>
  <c r="CF200" i="93"/>
  <c r="CG200" i="93"/>
  <c r="CH200" i="93"/>
  <c r="CI200" i="93"/>
  <c r="CJ200" i="93"/>
  <c r="CK200" i="93"/>
  <c r="CL200" i="93"/>
  <c r="CM200" i="93"/>
  <c r="CN200" i="93"/>
  <c r="CO200" i="93"/>
  <c r="CP200" i="93"/>
  <c r="CQ200" i="93"/>
  <c r="CR200" i="93"/>
  <c r="CS200" i="93"/>
  <c r="CT200" i="93"/>
  <c r="CU200" i="93"/>
  <c r="CV200" i="93"/>
  <c r="CW200" i="93"/>
  <c r="J201" i="93"/>
  <c r="K201" i="93"/>
  <c r="L201" i="93"/>
  <c r="M201" i="93"/>
  <c r="N201" i="93"/>
  <c r="O201" i="93"/>
  <c r="P201" i="93"/>
  <c r="Q201" i="93"/>
  <c r="R201" i="93"/>
  <c r="S201" i="93"/>
  <c r="T201" i="93"/>
  <c r="U201" i="93"/>
  <c r="V201" i="93"/>
  <c r="W201" i="93"/>
  <c r="X201" i="93"/>
  <c r="Y201" i="93"/>
  <c r="Z201" i="93"/>
  <c r="AA201" i="93"/>
  <c r="AB201" i="93"/>
  <c r="AC201" i="93"/>
  <c r="AD201" i="93"/>
  <c r="AE201" i="93"/>
  <c r="AF201" i="93"/>
  <c r="AG201" i="93"/>
  <c r="AH201" i="93"/>
  <c r="AI201" i="93"/>
  <c r="AJ201" i="93"/>
  <c r="AK201" i="93"/>
  <c r="AL201" i="93"/>
  <c r="AM201" i="93"/>
  <c r="AN201" i="93"/>
  <c r="AO201" i="93"/>
  <c r="AP201" i="93"/>
  <c r="AQ201" i="93"/>
  <c r="AR201" i="93"/>
  <c r="AS201" i="93"/>
  <c r="AT201" i="93"/>
  <c r="AU201" i="93"/>
  <c r="AV201" i="93"/>
  <c r="AW201" i="93"/>
  <c r="AX201" i="93"/>
  <c r="AY201" i="93"/>
  <c r="AZ201" i="93"/>
  <c r="BA201" i="93"/>
  <c r="BB201" i="93"/>
  <c r="BC201" i="93"/>
  <c r="BD201" i="93"/>
  <c r="BE201" i="93"/>
  <c r="BF201" i="93"/>
  <c r="BG201" i="93"/>
  <c r="BH201" i="93"/>
  <c r="BI201" i="93"/>
  <c r="BJ201" i="93"/>
  <c r="BK201" i="93"/>
  <c r="BL201" i="93"/>
  <c r="BM201" i="93"/>
  <c r="BN201" i="93"/>
  <c r="BO201" i="93"/>
  <c r="BP201" i="93"/>
  <c r="BQ201" i="93"/>
  <c r="BR201" i="93"/>
  <c r="BS201" i="93"/>
  <c r="BT201" i="93"/>
  <c r="BU201" i="93"/>
  <c r="BV201" i="93"/>
  <c r="BW201" i="93"/>
  <c r="BX201" i="93"/>
  <c r="BY201" i="93"/>
  <c r="BZ201" i="93"/>
  <c r="CA201" i="93"/>
  <c r="CB201" i="93"/>
  <c r="CC201" i="93"/>
  <c r="CD201" i="93"/>
  <c r="CE201" i="93"/>
  <c r="CF201" i="93"/>
  <c r="CG201" i="93"/>
  <c r="CH201" i="93"/>
  <c r="CI201" i="93"/>
  <c r="CJ201" i="93"/>
  <c r="CK201" i="93"/>
  <c r="CL201" i="93"/>
  <c r="CM201" i="93"/>
  <c r="CN201" i="93"/>
  <c r="CO201" i="93"/>
  <c r="CP201" i="93"/>
  <c r="CQ201" i="93"/>
  <c r="CR201" i="93"/>
  <c r="CS201" i="93"/>
  <c r="CT201" i="93"/>
  <c r="CU201" i="93"/>
  <c r="CV201" i="93"/>
  <c r="CW201" i="93"/>
  <c r="J202" i="93"/>
  <c r="K202" i="93"/>
  <c r="L202" i="93"/>
  <c r="M202" i="93"/>
  <c r="N202" i="93"/>
  <c r="O202" i="93"/>
  <c r="P202" i="93"/>
  <c r="Q202" i="93"/>
  <c r="R202" i="93"/>
  <c r="S202" i="93"/>
  <c r="T202" i="93"/>
  <c r="U202" i="93"/>
  <c r="V202" i="93"/>
  <c r="W202" i="93"/>
  <c r="X202" i="93"/>
  <c r="Y202" i="93"/>
  <c r="Z202" i="93"/>
  <c r="AA202" i="93"/>
  <c r="AB202" i="93"/>
  <c r="AC202" i="93"/>
  <c r="AD202" i="93"/>
  <c r="AE202" i="93"/>
  <c r="AF202" i="93"/>
  <c r="AG202" i="93"/>
  <c r="AH202" i="93"/>
  <c r="AI202" i="93"/>
  <c r="AJ202" i="93"/>
  <c r="AK202" i="93"/>
  <c r="AL202" i="93"/>
  <c r="AM202" i="93"/>
  <c r="AN202" i="93"/>
  <c r="AO202" i="93"/>
  <c r="AP202" i="93"/>
  <c r="AQ202" i="93"/>
  <c r="AR202" i="93"/>
  <c r="AS202" i="93"/>
  <c r="AT202" i="93"/>
  <c r="AU202" i="93"/>
  <c r="AV202" i="93"/>
  <c r="AW202" i="93"/>
  <c r="AX202" i="93"/>
  <c r="AY202" i="93"/>
  <c r="AZ202" i="93"/>
  <c r="BA202" i="93"/>
  <c r="BB202" i="93"/>
  <c r="BC202" i="93"/>
  <c r="BD202" i="93"/>
  <c r="BE202" i="93"/>
  <c r="BF202" i="93"/>
  <c r="BG202" i="93"/>
  <c r="BH202" i="93"/>
  <c r="BI202" i="93"/>
  <c r="BJ202" i="93"/>
  <c r="BK202" i="93"/>
  <c r="BL202" i="93"/>
  <c r="BM202" i="93"/>
  <c r="BN202" i="93"/>
  <c r="BO202" i="93"/>
  <c r="BP202" i="93"/>
  <c r="BQ202" i="93"/>
  <c r="BR202" i="93"/>
  <c r="BS202" i="93"/>
  <c r="BT202" i="93"/>
  <c r="BU202" i="93"/>
  <c r="BV202" i="93"/>
  <c r="BW202" i="93"/>
  <c r="BX202" i="93"/>
  <c r="BY202" i="93"/>
  <c r="BZ202" i="93"/>
  <c r="CA202" i="93"/>
  <c r="CB202" i="93"/>
  <c r="CC202" i="93"/>
  <c r="CD202" i="93"/>
  <c r="CE202" i="93"/>
  <c r="CF202" i="93"/>
  <c r="CG202" i="93"/>
  <c r="CH202" i="93"/>
  <c r="CI202" i="93"/>
  <c r="CJ202" i="93"/>
  <c r="CK202" i="93"/>
  <c r="CL202" i="93"/>
  <c r="CM202" i="93"/>
  <c r="CN202" i="93"/>
  <c r="CO202" i="93"/>
  <c r="CP202" i="93"/>
  <c r="CQ202" i="93"/>
  <c r="CR202" i="93"/>
  <c r="CS202" i="93"/>
  <c r="CT202" i="93"/>
  <c r="CU202" i="93"/>
  <c r="CV202" i="93"/>
  <c r="CW202" i="93"/>
  <c r="J203" i="93"/>
  <c r="K203" i="93"/>
  <c r="L203" i="93"/>
  <c r="M203" i="93"/>
  <c r="N203" i="93"/>
  <c r="O203" i="93"/>
  <c r="P203" i="93"/>
  <c r="Q203" i="93"/>
  <c r="R203" i="93"/>
  <c r="S203" i="93"/>
  <c r="T203" i="93"/>
  <c r="U203" i="93"/>
  <c r="V203" i="93"/>
  <c r="W203" i="93"/>
  <c r="X203" i="93"/>
  <c r="Y203" i="93"/>
  <c r="Z203" i="93"/>
  <c r="AA203" i="93"/>
  <c r="AB203" i="93"/>
  <c r="AC203" i="93"/>
  <c r="AD203" i="93"/>
  <c r="AE203" i="93"/>
  <c r="AF203" i="93"/>
  <c r="AG203" i="93"/>
  <c r="AH203" i="93"/>
  <c r="AI203" i="93"/>
  <c r="AJ203" i="93"/>
  <c r="AK203" i="93"/>
  <c r="AL203" i="93"/>
  <c r="AM203" i="93"/>
  <c r="AN203" i="93"/>
  <c r="AO203" i="93"/>
  <c r="AP203" i="93"/>
  <c r="AQ203" i="93"/>
  <c r="AR203" i="93"/>
  <c r="AS203" i="93"/>
  <c r="AT203" i="93"/>
  <c r="AU203" i="93"/>
  <c r="AV203" i="93"/>
  <c r="AW203" i="93"/>
  <c r="AX203" i="93"/>
  <c r="AY203" i="93"/>
  <c r="AZ203" i="93"/>
  <c r="BA203" i="93"/>
  <c r="BB203" i="93"/>
  <c r="BC203" i="93"/>
  <c r="BD203" i="93"/>
  <c r="BE203" i="93"/>
  <c r="BF203" i="93"/>
  <c r="BG203" i="93"/>
  <c r="BH203" i="93"/>
  <c r="BI203" i="93"/>
  <c r="BJ203" i="93"/>
  <c r="BK203" i="93"/>
  <c r="BL203" i="93"/>
  <c r="BM203" i="93"/>
  <c r="BN203" i="93"/>
  <c r="BO203" i="93"/>
  <c r="BP203" i="93"/>
  <c r="BQ203" i="93"/>
  <c r="BR203" i="93"/>
  <c r="BS203" i="93"/>
  <c r="BT203" i="93"/>
  <c r="BU203" i="93"/>
  <c r="BV203" i="93"/>
  <c r="BW203" i="93"/>
  <c r="BX203" i="93"/>
  <c r="BY203" i="93"/>
  <c r="BZ203" i="93"/>
  <c r="CA203" i="93"/>
  <c r="CB203" i="93"/>
  <c r="CC203" i="93"/>
  <c r="CD203" i="93"/>
  <c r="CE203" i="93"/>
  <c r="CF203" i="93"/>
  <c r="CG203" i="93"/>
  <c r="CH203" i="93"/>
  <c r="CI203" i="93"/>
  <c r="CJ203" i="93"/>
  <c r="CK203" i="93"/>
  <c r="CL203" i="93"/>
  <c r="CM203" i="93"/>
  <c r="CN203" i="93"/>
  <c r="CO203" i="93"/>
  <c r="CP203" i="93"/>
  <c r="CQ203" i="93"/>
  <c r="CR203" i="93"/>
  <c r="CS203" i="93"/>
  <c r="CT203" i="93"/>
  <c r="CU203" i="93"/>
  <c r="CV203" i="93"/>
  <c r="CW203" i="93"/>
  <c r="J204" i="93"/>
  <c r="K204" i="93"/>
  <c r="L204" i="93"/>
  <c r="M204" i="93"/>
  <c r="N204" i="93"/>
  <c r="O204" i="93"/>
  <c r="P204" i="93"/>
  <c r="Q204" i="93"/>
  <c r="R204" i="93"/>
  <c r="S204" i="93"/>
  <c r="T204" i="93"/>
  <c r="U204" i="93"/>
  <c r="V204" i="93"/>
  <c r="W204" i="93"/>
  <c r="X204" i="93"/>
  <c r="Y204" i="93"/>
  <c r="Z204" i="93"/>
  <c r="AA204" i="93"/>
  <c r="AB204" i="93"/>
  <c r="AC204" i="93"/>
  <c r="AD204" i="93"/>
  <c r="AE204" i="93"/>
  <c r="AF204" i="93"/>
  <c r="AG204" i="93"/>
  <c r="AH204" i="93"/>
  <c r="AI204" i="93"/>
  <c r="AJ204" i="93"/>
  <c r="AK204" i="93"/>
  <c r="AL204" i="93"/>
  <c r="AM204" i="93"/>
  <c r="AN204" i="93"/>
  <c r="AO204" i="93"/>
  <c r="AP204" i="93"/>
  <c r="AQ204" i="93"/>
  <c r="AR204" i="93"/>
  <c r="AS204" i="93"/>
  <c r="AT204" i="93"/>
  <c r="AU204" i="93"/>
  <c r="AV204" i="93"/>
  <c r="AW204" i="93"/>
  <c r="AX204" i="93"/>
  <c r="AY204" i="93"/>
  <c r="AZ204" i="93"/>
  <c r="BA204" i="93"/>
  <c r="BB204" i="93"/>
  <c r="BC204" i="93"/>
  <c r="BD204" i="93"/>
  <c r="BE204" i="93"/>
  <c r="BF204" i="93"/>
  <c r="BG204" i="93"/>
  <c r="BH204" i="93"/>
  <c r="BI204" i="93"/>
  <c r="BJ204" i="93"/>
  <c r="BK204" i="93"/>
  <c r="BL204" i="93"/>
  <c r="BM204" i="93"/>
  <c r="BN204" i="93"/>
  <c r="BO204" i="93"/>
  <c r="BP204" i="93"/>
  <c r="BQ204" i="93"/>
  <c r="BR204" i="93"/>
  <c r="BS204" i="93"/>
  <c r="BT204" i="93"/>
  <c r="BU204" i="93"/>
  <c r="BV204" i="93"/>
  <c r="BW204" i="93"/>
  <c r="BX204" i="93"/>
  <c r="BY204" i="93"/>
  <c r="BZ204" i="93"/>
  <c r="CA204" i="93"/>
  <c r="CB204" i="93"/>
  <c r="CC204" i="93"/>
  <c r="CD204" i="93"/>
  <c r="CE204" i="93"/>
  <c r="CF204" i="93"/>
  <c r="CG204" i="93"/>
  <c r="CH204" i="93"/>
  <c r="CI204" i="93"/>
  <c r="CJ204" i="93"/>
  <c r="CK204" i="93"/>
  <c r="CL204" i="93"/>
  <c r="CM204" i="93"/>
  <c r="CN204" i="93"/>
  <c r="CO204" i="93"/>
  <c r="CP204" i="93"/>
  <c r="CQ204" i="93"/>
  <c r="CR204" i="93"/>
  <c r="CS204" i="93"/>
  <c r="CT204" i="93"/>
  <c r="CU204" i="93"/>
  <c r="CV204" i="93"/>
  <c r="CW204" i="93"/>
  <c r="J205" i="93"/>
  <c r="K205" i="93"/>
  <c r="L205" i="93"/>
  <c r="M205" i="93"/>
  <c r="N205" i="93"/>
  <c r="O205" i="93"/>
  <c r="P205" i="93"/>
  <c r="Q205" i="93"/>
  <c r="R205" i="93"/>
  <c r="S205" i="93"/>
  <c r="T205" i="93"/>
  <c r="U205" i="93"/>
  <c r="V205" i="93"/>
  <c r="W205" i="93"/>
  <c r="X205" i="93"/>
  <c r="Y205" i="93"/>
  <c r="Z205" i="93"/>
  <c r="AA205" i="93"/>
  <c r="AB205" i="93"/>
  <c r="AC205" i="93"/>
  <c r="AD205" i="93"/>
  <c r="AE205" i="93"/>
  <c r="AF205" i="93"/>
  <c r="AG205" i="93"/>
  <c r="AH205" i="93"/>
  <c r="AI205" i="93"/>
  <c r="AJ205" i="93"/>
  <c r="AK205" i="93"/>
  <c r="AL205" i="93"/>
  <c r="AM205" i="93"/>
  <c r="AN205" i="93"/>
  <c r="AO205" i="93"/>
  <c r="AP205" i="93"/>
  <c r="AQ205" i="93"/>
  <c r="AR205" i="93"/>
  <c r="AS205" i="93"/>
  <c r="AT205" i="93"/>
  <c r="AU205" i="93"/>
  <c r="AV205" i="93"/>
  <c r="AW205" i="93"/>
  <c r="AX205" i="93"/>
  <c r="AY205" i="93"/>
  <c r="AZ205" i="93"/>
  <c r="BA205" i="93"/>
  <c r="BB205" i="93"/>
  <c r="BC205" i="93"/>
  <c r="BD205" i="93"/>
  <c r="BE205" i="93"/>
  <c r="BF205" i="93"/>
  <c r="BG205" i="93"/>
  <c r="BH205" i="93"/>
  <c r="BI205" i="93"/>
  <c r="BJ205" i="93"/>
  <c r="BK205" i="93"/>
  <c r="BL205" i="93"/>
  <c r="BM205" i="93"/>
  <c r="BN205" i="93"/>
  <c r="BO205" i="93"/>
  <c r="BP205" i="93"/>
  <c r="BQ205" i="93"/>
  <c r="BR205" i="93"/>
  <c r="BS205" i="93"/>
  <c r="BT205" i="93"/>
  <c r="BU205" i="93"/>
  <c r="BV205" i="93"/>
  <c r="BW205" i="93"/>
  <c r="BX205" i="93"/>
  <c r="BY205" i="93"/>
  <c r="BZ205" i="93"/>
  <c r="CA205" i="93"/>
  <c r="CB205" i="93"/>
  <c r="CC205" i="93"/>
  <c r="CD205" i="93"/>
  <c r="CE205" i="93"/>
  <c r="CF205" i="93"/>
  <c r="CG205" i="93"/>
  <c r="CH205" i="93"/>
  <c r="CI205" i="93"/>
  <c r="CJ205" i="93"/>
  <c r="CK205" i="93"/>
  <c r="CL205" i="93"/>
  <c r="CM205" i="93"/>
  <c r="CN205" i="93"/>
  <c r="CO205" i="93"/>
  <c r="CP205" i="93"/>
  <c r="CQ205" i="93"/>
  <c r="CR205" i="93"/>
  <c r="CS205" i="93"/>
  <c r="CT205" i="93"/>
  <c r="CU205" i="93"/>
  <c r="CV205" i="93"/>
  <c r="CW205" i="93"/>
  <c r="J206" i="93"/>
  <c r="K206" i="93"/>
  <c r="L206" i="93"/>
  <c r="M206" i="93"/>
  <c r="N206" i="93"/>
  <c r="O206" i="93"/>
  <c r="P206" i="93"/>
  <c r="Q206" i="93"/>
  <c r="R206" i="93"/>
  <c r="S206" i="93"/>
  <c r="T206" i="93"/>
  <c r="U206" i="93"/>
  <c r="V206" i="93"/>
  <c r="W206" i="93"/>
  <c r="X206" i="93"/>
  <c r="Y206" i="93"/>
  <c r="Z206" i="93"/>
  <c r="AA206" i="93"/>
  <c r="AB206" i="93"/>
  <c r="AC206" i="93"/>
  <c r="AD206" i="93"/>
  <c r="AE206" i="93"/>
  <c r="AF206" i="93"/>
  <c r="AG206" i="93"/>
  <c r="AH206" i="93"/>
  <c r="AI206" i="93"/>
  <c r="AJ206" i="93"/>
  <c r="AK206" i="93"/>
  <c r="AL206" i="93"/>
  <c r="AM206" i="93"/>
  <c r="AN206" i="93"/>
  <c r="AO206" i="93"/>
  <c r="AP206" i="93"/>
  <c r="AQ206" i="93"/>
  <c r="AR206" i="93"/>
  <c r="AS206" i="93"/>
  <c r="AT206" i="93"/>
  <c r="AU206" i="93"/>
  <c r="AV206" i="93"/>
  <c r="AW206" i="93"/>
  <c r="AX206" i="93"/>
  <c r="AY206" i="93"/>
  <c r="AZ206" i="93"/>
  <c r="BA206" i="93"/>
  <c r="BB206" i="93"/>
  <c r="BC206" i="93"/>
  <c r="BD206" i="93"/>
  <c r="BE206" i="93"/>
  <c r="BF206" i="93"/>
  <c r="BG206" i="93"/>
  <c r="BH206" i="93"/>
  <c r="BI206" i="93"/>
  <c r="BJ206" i="93"/>
  <c r="BK206" i="93"/>
  <c r="BL206" i="93"/>
  <c r="BM206" i="93"/>
  <c r="BN206" i="93"/>
  <c r="BO206" i="93"/>
  <c r="BP206" i="93"/>
  <c r="BQ206" i="93"/>
  <c r="BR206" i="93"/>
  <c r="BS206" i="93"/>
  <c r="BT206" i="93"/>
  <c r="BU206" i="93"/>
  <c r="BV206" i="93"/>
  <c r="BW206" i="93"/>
  <c r="BX206" i="93"/>
  <c r="BY206" i="93"/>
  <c r="BZ206" i="93"/>
  <c r="CA206" i="93"/>
  <c r="CB206" i="93"/>
  <c r="CC206" i="93"/>
  <c r="CD206" i="93"/>
  <c r="CE206" i="93"/>
  <c r="CF206" i="93"/>
  <c r="CG206" i="93"/>
  <c r="CH206" i="93"/>
  <c r="CI206" i="93"/>
  <c r="CJ206" i="93"/>
  <c r="CK206" i="93"/>
  <c r="CL206" i="93"/>
  <c r="CM206" i="93"/>
  <c r="CN206" i="93"/>
  <c r="CO206" i="93"/>
  <c r="CP206" i="93"/>
  <c r="CQ206" i="93"/>
  <c r="CR206" i="93"/>
  <c r="CS206" i="93"/>
  <c r="CT206" i="93"/>
  <c r="CU206" i="93"/>
  <c r="CV206" i="93"/>
  <c r="CW206" i="93"/>
  <c r="J207" i="93"/>
  <c r="K207" i="93"/>
  <c r="L207" i="93"/>
  <c r="M207" i="93"/>
  <c r="N207" i="93"/>
  <c r="O207" i="93"/>
  <c r="P207" i="93"/>
  <c r="Q207" i="93"/>
  <c r="R207" i="93"/>
  <c r="S207" i="93"/>
  <c r="T207" i="93"/>
  <c r="U207" i="93"/>
  <c r="V207" i="93"/>
  <c r="W207" i="93"/>
  <c r="X207" i="93"/>
  <c r="Y207" i="93"/>
  <c r="Z207" i="93"/>
  <c r="AA207" i="93"/>
  <c r="AB207" i="93"/>
  <c r="AC207" i="93"/>
  <c r="AD207" i="93"/>
  <c r="AE207" i="93"/>
  <c r="AF207" i="93"/>
  <c r="AG207" i="93"/>
  <c r="AH207" i="93"/>
  <c r="AI207" i="93"/>
  <c r="AJ207" i="93"/>
  <c r="AK207" i="93"/>
  <c r="AL207" i="93"/>
  <c r="AM207" i="93"/>
  <c r="AN207" i="93"/>
  <c r="AO207" i="93"/>
  <c r="AP207" i="93"/>
  <c r="AQ207" i="93"/>
  <c r="AR207" i="93"/>
  <c r="AS207" i="93"/>
  <c r="AT207" i="93"/>
  <c r="AU207" i="93"/>
  <c r="AV207" i="93"/>
  <c r="AW207" i="93"/>
  <c r="AX207" i="93"/>
  <c r="AY207" i="93"/>
  <c r="AZ207" i="93"/>
  <c r="BA207" i="93"/>
  <c r="BB207" i="93"/>
  <c r="BC207" i="93"/>
  <c r="BD207" i="93"/>
  <c r="BE207" i="93"/>
  <c r="BF207" i="93"/>
  <c r="BG207" i="93"/>
  <c r="BH207" i="93"/>
  <c r="BI207" i="93"/>
  <c r="BJ207" i="93"/>
  <c r="BK207" i="93"/>
  <c r="BL207" i="93"/>
  <c r="BM207" i="93"/>
  <c r="BN207" i="93"/>
  <c r="BO207" i="93"/>
  <c r="BP207" i="93"/>
  <c r="BQ207" i="93"/>
  <c r="BR207" i="93"/>
  <c r="BS207" i="93"/>
  <c r="BT207" i="93"/>
  <c r="BU207" i="93"/>
  <c r="BV207" i="93"/>
  <c r="BW207" i="93"/>
  <c r="BX207" i="93"/>
  <c r="BY207" i="93"/>
  <c r="BZ207" i="93"/>
  <c r="CA207" i="93"/>
  <c r="CB207" i="93"/>
  <c r="CC207" i="93"/>
  <c r="CD207" i="93"/>
  <c r="CE207" i="93"/>
  <c r="CF207" i="93"/>
  <c r="CG207" i="93"/>
  <c r="CH207" i="93"/>
  <c r="CI207" i="93"/>
  <c r="CJ207" i="93"/>
  <c r="CK207" i="93"/>
  <c r="CL207" i="93"/>
  <c r="CM207" i="93"/>
  <c r="CN207" i="93"/>
  <c r="CO207" i="93"/>
  <c r="CP207" i="93"/>
  <c r="CQ207" i="93"/>
  <c r="CR207" i="93"/>
  <c r="CS207" i="93"/>
  <c r="CT207" i="93"/>
  <c r="CU207" i="93"/>
  <c r="CV207" i="93"/>
  <c r="CW207" i="93"/>
  <c r="J208" i="93"/>
  <c r="K208" i="93"/>
  <c r="L208" i="93"/>
  <c r="M208" i="93"/>
  <c r="N208" i="93"/>
  <c r="O208" i="93"/>
  <c r="P208" i="93"/>
  <c r="Q208" i="93"/>
  <c r="R208" i="93"/>
  <c r="S208" i="93"/>
  <c r="T208" i="93"/>
  <c r="U208" i="93"/>
  <c r="V208" i="93"/>
  <c r="W208" i="93"/>
  <c r="X208" i="93"/>
  <c r="Y208" i="93"/>
  <c r="Z208" i="93"/>
  <c r="AA208" i="93"/>
  <c r="AB208" i="93"/>
  <c r="AC208" i="93"/>
  <c r="AD208" i="93"/>
  <c r="AE208" i="93"/>
  <c r="AF208" i="93"/>
  <c r="AG208" i="93"/>
  <c r="AH208" i="93"/>
  <c r="AI208" i="93"/>
  <c r="AJ208" i="93"/>
  <c r="AK208" i="93"/>
  <c r="AL208" i="93"/>
  <c r="AM208" i="93"/>
  <c r="AN208" i="93"/>
  <c r="AO208" i="93"/>
  <c r="AP208" i="93"/>
  <c r="AQ208" i="93"/>
  <c r="AR208" i="93"/>
  <c r="AS208" i="93"/>
  <c r="AT208" i="93"/>
  <c r="AU208" i="93"/>
  <c r="AV208" i="93"/>
  <c r="AW208" i="93"/>
  <c r="AX208" i="93"/>
  <c r="AY208" i="93"/>
  <c r="AZ208" i="93"/>
  <c r="BA208" i="93"/>
  <c r="BB208" i="93"/>
  <c r="BC208" i="93"/>
  <c r="BD208" i="93"/>
  <c r="BE208" i="93"/>
  <c r="BF208" i="93"/>
  <c r="BG208" i="93"/>
  <c r="BH208" i="93"/>
  <c r="BI208" i="93"/>
  <c r="BJ208" i="93"/>
  <c r="BK208" i="93"/>
  <c r="BL208" i="93"/>
  <c r="BM208" i="93"/>
  <c r="BN208" i="93"/>
  <c r="BO208" i="93"/>
  <c r="BP208" i="93"/>
  <c r="BQ208" i="93"/>
  <c r="BR208" i="93"/>
  <c r="BS208" i="93"/>
  <c r="BT208" i="93"/>
  <c r="BU208" i="93"/>
  <c r="BV208" i="93"/>
  <c r="BW208" i="93"/>
  <c r="BX208" i="93"/>
  <c r="BY208" i="93"/>
  <c r="BZ208" i="93"/>
  <c r="CA208" i="93"/>
  <c r="CB208" i="93"/>
  <c r="CC208" i="93"/>
  <c r="CD208" i="93"/>
  <c r="CE208" i="93"/>
  <c r="CF208" i="93"/>
  <c r="CG208" i="93"/>
  <c r="CH208" i="93"/>
  <c r="CI208" i="93"/>
  <c r="CJ208" i="93"/>
  <c r="CK208" i="93"/>
  <c r="CL208" i="93"/>
  <c r="CM208" i="93"/>
  <c r="CN208" i="93"/>
  <c r="CO208" i="93"/>
  <c r="CP208" i="93"/>
  <c r="CQ208" i="93"/>
  <c r="CR208" i="93"/>
  <c r="CS208" i="93"/>
  <c r="CT208" i="93"/>
  <c r="CU208" i="93"/>
  <c r="CV208" i="93"/>
  <c r="CW208" i="93"/>
  <c r="J209" i="93"/>
  <c r="K209" i="93"/>
  <c r="L209" i="93"/>
  <c r="M209" i="93"/>
  <c r="N209" i="93"/>
  <c r="O209" i="93"/>
  <c r="P209" i="93"/>
  <c r="Q209" i="93"/>
  <c r="R209" i="93"/>
  <c r="S209" i="93"/>
  <c r="T209" i="93"/>
  <c r="U209" i="93"/>
  <c r="V209" i="93"/>
  <c r="W209" i="93"/>
  <c r="X209" i="93"/>
  <c r="Y209" i="93"/>
  <c r="Z209" i="93"/>
  <c r="AA209" i="93"/>
  <c r="AB209" i="93"/>
  <c r="AC209" i="93"/>
  <c r="AD209" i="93"/>
  <c r="AE209" i="93"/>
  <c r="AF209" i="93"/>
  <c r="AG209" i="93"/>
  <c r="AH209" i="93"/>
  <c r="AI209" i="93"/>
  <c r="AJ209" i="93"/>
  <c r="AK209" i="93"/>
  <c r="AL209" i="93"/>
  <c r="AM209" i="93"/>
  <c r="AN209" i="93"/>
  <c r="AO209" i="93"/>
  <c r="AP209" i="93"/>
  <c r="AQ209" i="93"/>
  <c r="AR209" i="93"/>
  <c r="AS209" i="93"/>
  <c r="AT209" i="93"/>
  <c r="AU209" i="93"/>
  <c r="AV209" i="93"/>
  <c r="AW209" i="93"/>
  <c r="AX209" i="93"/>
  <c r="AY209" i="93"/>
  <c r="AZ209" i="93"/>
  <c r="BA209" i="93"/>
  <c r="BB209" i="93"/>
  <c r="BC209" i="93"/>
  <c r="BD209" i="93"/>
  <c r="BE209" i="93"/>
  <c r="BF209" i="93"/>
  <c r="BG209" i="93"/>
  <c r="BH209" i="93"/>
  <c r="BI209" i="93"/>
  <c r="BJ209" i="93"/>
  <c r="BK209" i="93"/>
  <c r="BL209" i="93"/>
  <c r="BM209" i="93"/>
  <c r="BN209" i="93"/>
  <c r="BO209" i="93"/>
  <c r="BP209" i="93"/>
  <c r="BQ209" i="93"/>
  <c r="BR209" i="93"/>
  <c r="BS209" i="93"/>
  <c r="BT209" i="93"/>
  <c r="BU209" i="93"/>
  <c r="BV209" i="93"/>
  <c r="BW209" i="93"/>
  <c r="BX209" i="93"/>
  <c r="BY209" i="93"/>
  <c r="BZ209" i="93"/>
  <c r="CA209" i="93"/>
  <c r="CB209" i="93"/>
  <c r="CC209" i="93"/>
  <c r="CD209" i="93"/>
  <c r="CE209" i="93"/>
  <c r="CF209" i="93"/>
  <c r="CG209" i="93"/>
  <c r="CH209" i="93"/>
  <c r="CI209" i="93"/>
  <c r="CJ209" i="93"/>
  <c r="CK209" i="93"/>
  <c r="CL209" i="93"/>
  <c r="CM209" i="93"/>
  <c r="CN209" i="93"/>
  <c r="CO209" i="93"/>
  <c r="CP209" i="93"/>
  <c r="CQ209" i="93"/>
  <c r="CR209" i="93"/>
  <c r="CS209" i="93"/>
  <c r="CT209" i="93"/>
  <c r="CU209" i="93"/>
  <c r="CV209" i="93"/>
  <c r="CW209" i="93"/>
  <c r="J210" i="93"/>
  <c r="K210" i="93"/>
  <c r="L210" i="93"/>
  <c r="M210" i="93"/>
  <c r="N210" i="93"/>
  <c r="O210" i="93"/>
  <c r="P210" i="93"/>
  <c r="Q210" i="93"/>
  <c r="R210" i="93"/>
  <c r="S210" i="93"/>
  <c r="T210" i="93"/>
  <c r="U210" i="93"/>
  <c r="V210" i="93"/>
  <c r="W210" i="93"/>
  <c r="X210" i="93"/>
  <c r="Y210" i="93"/>
  <c r="Z210" i="93"/>
  <c r="AA210" i="93"/>
  <c r="AB210" i="93"/>
  <c r="AC210" i="93"/>
  <c r="AD210" i="93"/>
  <c r="AE210" i="93"/>
  <c r="AF210" i="93"/>
  <c r="AG210" i="93"/>
  <c r="AH210" i="93"/>
  <c r="AI210" i="93"/>
  <c r="AJ210" i="93"/>
  <c r="AK210" i="93"/>
  <c r="AL210" i="93"/>
  <c r="AM210" i="93"/>
  <c r="AN210" i="93"/>
  <c r="AO210" i="93"/>
  <c r="AP210" i="93"/>
  <c r="AQ210" i="93"/>
  <c r="AR210" i="93"/>
  <c r="AS210" i="93"/>
  <c r="AT210" i="93"/>
  <c r="AU210" i="93"/>
  <c r="AV210" i="93"/>
  <c r="AW210" i="93"/>
  <c r="AX210" i="93"/>
  <c r="AY210" i="93"/>
  <c r="AZ210" i="93"/>
  <c r="BA210" i="93"/>
  <c r="BB210" i="93"/>
  <c r="BC210" i="93"/>
  <c r="BD210" i="93"/>
  <c r="BE210" i="93"/>
  <c r="BF210" i="93"/>
  <c r="BG210" i="93"/>
  <c r="BH210" i="93"/>
  <c r="BI210" i="93"/>
  <c r="BJ210" i="93"/>
  <c r="BK210" i="93"/>
  <c r="BL210" i="93"/>
  <c r="BM210" i="93"/>
  <c r="BN210" i="93"/>
  <c r="BO210" i="93"/>
  <c r="BP210" i="93"/>
  <c r="BQ210" i="93"/>
  <c r="BR210" i="93"/>
  <c r="BS210" i="93"/>
  <c r="BT210" i="93"/>
  <c r="BU210" i="93"/>
  <c r="BV210" i="93"/>
  <c r="BW210" i="93"/>
  <c r="BX210" i="93"/>
  <c r="BY210" i="93"/>
  <c r="BZ210" i="93"/>
  <c r="CA210" i="93"/>
  <c r="CB210" i="93"/>
  <c r="CC210" i="93"/>
  <c r="CD210" i="93"/>
  <c r="CE210" i="93"/>
  <c r="CF210" i="93"/>
  <c r="CG210" i="93"/>
  <c r="CH210" i="93"/>
  <c r="CI210" i="93"/>
  <c r="CJ210" i="93"/>
  <c r="CK210" i="93"/>
  <c r="CL210" i="93"/>
  <c r="CM210" i="93"/>
  <c r="CN210" i="93"/>
  <c r="CO210" i="93"/>
  <c r="CP210" i="93"/>
  <c r="CQ210" i="93"/>
  <c r="CR210" i="93"/>
  <c r="CS210" i="93"/>
  <c r="CT210" i="93"/>
  <c r="CU210" i="93"/>
  <c r="CV210" i="93"/>
  <c r="CW210" i="93"/>
  <c r="J211" i="93"/>
  <c r="K211" i="93"/>
  <c r="L211" i="93"/>
  <c r="M211" i="93"/>
  <c r="N211" i="93"/>
  <c r="O211" i="93"/>
  <c r="P211" i="93"/>
  <c r="Q211" i="93"/>
  <c r="R211" i="93"/>
  <c r="S211" i="93"/>
  <c r="T211" i="93"/>
  <c r="U211" i="93"/>
  <c r="V211" i="93"/>
  <c r="W211" i="93"/>
  <c r="X211" i="93"/>
  <c r="Y211" i="93"/>
  <c r="Z211" i="93"/>
  <c r="AA211" i="93"/>
  <c r="AB211" i="93"/>
  <c r="AC211" i="93"/>
  <c r="AD211" i="93"/>
  <c r="AE211" i="93"/>
  <c r="AF211" i="93"/>
  <c r="AG211" i="93"/>
  <c r="AH211" i="93"/>
  <c r="AI211" i="93"/>
  <c r="AJ211" i="93"/>
  <c r="AK211" i="93"/>
  <c r="AL211" i="93"/>
  <c r="AM211" i="93"/>
  <c r="AN211" i="93"/>
  <c r="AO211" i="93"/>
  <c r="AP211" i="93"/>
  <c r="AQ211" i="93"/>
  <c r="AR211" i="93"/>
  <c r="AS211" i="93"/>
  <c r="AT211" i="93"/>
  <c r="AU211" i="93"/>
  <c r="AV211" i="93"/>
  <c r="AW211" i="93"/>
  <c r="AX211" i="93"/>
  <c r="AY211" i="93"/>
  <c r="AZ211" i="93"/>
  <c r="BA211" i="93"/>
  <c r="BB211" i="93"/>
  <c r="BC211" i="93"/>
  <c r="BD211" i="93"/>
  <c r="BE211" i="93"/>
  <c r="BF211" i="93"/>
  <c r="BG211" i="93"/>
  <c r="BH211" i="93"/>
  <c r="BI211" i="93"/>
  <c r="BJ211" i="93"/>
  <c r="BK211" i="93"/>
  <c r="BL211" i="93"/>
  <c r="BM211" i="93"/>
  <c r="BN211" i="93"/>
  <c r="BO211" i="93"/>
  <c r="BP211" i="93"/>
  <c r="BQ211" i="93"/>
  <c r="BR211" i="93"/>
  <c r="BS211" i="93"/>
  <c r="BT211" i="93"/>
  <c r="BU211" i="93"/>
  <c r="BV211" i="93"/>
  <c r="BW211" i="93"/>
  <c r="BX211" i="93"/>
  <c r="BY211" i="93"/>
  <c r="BZ211" i="93"/>
  <c r="CA211" i="93"/>
  <c r="CB211" i="93"/>
  <c r="CC211" i="93"/>
  <c r="CD211" i="93"/>
  <c r="CE211" i="93"/>
  <c r="CF211" i="93"/>
  <c r="CG211" i="93"/>
  <c r="CH211" i="93"/>
  <c r="CI211" i="93"/>
  <c r="CJ211" i="93"/>
  <c r="CK211" i="93"/>
  <c r="CL211" i="93"/>
  <c r="CM211" i="93"/>
  <c r="CN211" i="93"/>
  <c r="CO211" i="93"/>
  <c r="CP211" i="93"/>
  <c r="CQ211" i="93"/>
  <c r="CR211" i="93"/>
  <c r="CS211" i="93"/>
  <c r="CT211" i="93"/>
  <c r="CU211" i="93"/>
  <c r="CV211" i="93"/>
  <c r="CW211" i="93"/>
  <c r="J212" i="93"/>
  <c r="K212" i="93"/>
  <c r="L212" i="93"/>
  <c r="M212" i="93"/>
  <c r="N212" i="93"/>
  <c r="O212" i="93"/>
  <c r="P212" i="93"/>
  <c r="Q212" i="93"/>
  <c r="R212" i="93"/>
  <c r="S212" i="93"/>
  <c r="T212" i="93"/>
  <c r="U212" i="93"/>
  <c r="V212" i="93"/>
  <c r="W212" i="93"/>
  <c r="X212" i="93"/>
  <c r="Y212" i="93"/>
  <c r="Z212" i="93"/>
  <c r="AA212" i="93"/>
  <c r="AB212" i="93"/>
  <c r="AC212" i="93"/>
  <c r="AD212" i="93"/>
  <c r="AE212" i="93"/>
  <c r="AF212" i="93"/>
  <c r="AG212" i="93"/>
  <c r="AH212" i="93"/>
  <c r="AI212" i="93"/>
  <c r="AJ212" i="93"/>
  <c r="AK212" i="93"/>
  <c r="AL212" i="93"/>
  <c r="AM212" i="93"/>
  <c r="AN212" i="93"/>
  <c r="AO212" i="93"/>
  <c r="AP212" i="93"/>
  <c r="AQ212" i="93"/>
  <c r="AR212" i="93"/>
  <c r="AS212" i="93"/>
  <c r="AT212" i="93"/>
  <c r="AU212" i="93"/>
  <c r="AV212" i="93"/>
  <c r="AW212" i="93"/>
  <c r="AX212" i="93"/>
  <c r="AY212" i="93"/>
  <c r="AZ212" i="93"/>
  <c r="BA212" i="93"/>
  <c r="BB212" i="93"/>
  <c r="BC212" i="93"/>
  <c r="BD212" i="93"/>
  <c r="BE212" i="93"/>
  <c r="BF212" i="93"/>
  <c r="BG212" i="93"/>
  <c r="BH212" i="93"/>
  <c r="BI212" i="93"/>
  <c r="BJ212" i="93"/>
  <c r="BK212" i="93"/>
  <c r="BL212" i="93"/>
  <c r="BM212" i="93"/>
  <c r="BN212" i="93"/>
  <c r="BO212" i="93"/>
  <c r="BP212" i="93"/>
  <c r="BQ212" i="93"/>
  <c r="BR212" i="93"/>
  <c r="BS212" i="93"/>
  <c r="BT212" i="93"/>
  <c r="BU212" i="93"/>
  <c r="BV212" i="93"/>
  <c r="BW212" i="93"/>
  <c r="BX212" i="93"/>
  <c r="BY212" i="93"/>
  <c r="BZ212" i="93"/>
  <c r="CA212" i="93"/>
  <c r="CB212" i="93"/>
  <c r="CC212" i="93"/>
  <c r="CD212" i="93"/>
  <c r="CE212" i="93"/>
  <c r="CF212" i="93"/>
  <c r="CG212" i="93"/>
  <c r="CH212" i="93"/>
  <c r="CI212" i="93"/>
  <c r="CJ212" i="93"/>
  <c r="CK212" i="93"/>
  <c r="CL212" i="93"/>
  <c r="CM212" i="93"/>
  <c r="CN212" i="93"/>
  <c r="CO212" i="93"/>
  <c r="CP212" i="93"/>
  <c r="CQ212" i="93"/>
  <c r="CR212" i="93"/>
  <c r="CS212" i="93"/>
  <c r="CT212" i="93"/>
  <c r="CU212" i="93"/>
  <c r="CV212" i="93"/>
  <c r="CW212" i="93"/>
  <c r="J213" i="93"/>
  <c r="K213" i="93"/>
  <c r="L213" i="93"/>
  <c r="M213" i="93"/>
  <c r="N213" i="93"/>
  <c r="O213" i="93"/>
  <c r="P213" i="93"/>
  <c r="Q213" i="93"/>
  <c r="R213" i="93"/>
  <c r="S213" i="93"/>
  <c r="T213" i="93"/>
  <c r="U213" i="93"/>
  <c r="V213" i="93"/>
  <c r="W213" i="93"/>
  <c r="X213" i="93"/>
  <c r="Y213" i="93"/>
  <c r="Z213" i="93"/>
  <c r="AA213" i="93"/>
  <c r="AB213" i="93"/>
  <c r="AC213" i="93"/>
  <c r="AD213" i="93"/>
  <c r="AE213" i="93"/>
  <c r="AF213" i="93"/>
  <c r="AG213" i="93"/>
  <c r="AH213" i="93"/>
  <c r="AI213" i="93"/>
  <c r="AJ213" i="93"/>
  <c r="AK213" i="93"/>
  <c r="AL213" i="93"/>
  <c r="AM213" i="93"/>
  <c r="AN213" i="93"/>
  <c r="AO213" i="93"/>
  <c r="AP213" i="93"/>
  <c r="AQ213" i="93"/>
  <c r="AR213" i="93"/>
  <c r="AS213" i="93"/>
  <c r="AT213" i="93"/>
  <c r="AU213" i="93"/>
  <c r="AV213" i="93"/>
  <c r="AW213" i="93"/>
  <c r="AX213" i="93"/>
  <c r="AY213" i="93"/>
  <c r="AZ213" i="93"/>
  <c r="BA213" i="93"/>
  <c r="BB213" i="93"/>
  <c r="BC213" i="93"/>
  <c r="BD213" i="93"/>
  <c r="BE213" i="93"/>
  <c r="BF213" i="93"/>
  <c r="BG213" i="93"/>
  <c r="BH213" i="93"/>
  <c r="BI213" i="93"/>
  <c r="BJ213" i="93"/>
  <c r="BK213" i="93"/>
  <c r="BL213" i="93"/>
  <c r="BM213" i="93"/>
  <c r="BN213" i="93"/>
  <c r="BO213" i="93"/>
  <c r="BP213" i="93"/>
  <c r="BQ213" i="93"/>
  <c r="BR213" i="93"/>
  <c r="BS213" i="93"/>
  <c r="BT213" i="93"/>
  <c r="BU213" i="93"/>
  <c r="BV213" i="93"/>
  <c r="BW213" i="93"/>
  <c r="BX213" i="93"/>
  <c r="BY213" i="93"/>
  <c r="BZ213" i="93"/>
  <c r="CA213" i="93"/>
  <c r="CB213" i="93"/>
  <c r="CC213" i="93"/>
  <c r="CD213" i="93"/>
  <c r="CE213" i="93"/>
  <c r="CF213" i="93"/>
  <c r="CG213" i="93"/>
  <c r="CH213" i="93"/>
  <c r="CI213" i="93"/>
  <c r="CJ213" i="93"/>
  <c r="CK213" i="93"/>
  <c r="CL213" i="93"/>
  <c r="CM213" i="93"/>
  <c r="CN213" i="93"/>
  <c r="CO213" i="93"/>
  <c r="CP213" i="93"/>
  <c r="CQ213" i="93"/>
  <c r="CR213" i="93"/>
  <c r="CS213" i="93"/>
  <c r="CT213" i="93"/>
  <c r="CU213" i="93"/>
  <c r="CV213" i="93"/>
  <c r="CW213" i="93"/>
  <c r="J214" i="93"/>
  <c r="K214" i="93"/>
  <c r="L214" i="93"/>
  <c r="M214" i="93"/>
  <c r="N214" i="93"/>
  <c r="O214" i="93"/>
  <c r="P214" i="93"/>
  <c r="Q214" i="93"/>
  <c r="R214" i="93"/>
  <c r="S214" i="93"/>
  <c r="T214" i="93"/>
  <c r="U214" i="93"/>
  <c r="V214" i="93"/>
  <c r="W214" i="93"/>
  <c r="X214" i="93"/>
  <c r="Y214" i="93"/>
  <c r="Z214" i="93"/>
  <c r="AA214" i="93"/>
  <c r="AB214" i="93"/>
  <c r="AC214" i="93"/>
  <c r="AD214" i="93"/>
  <c r="AE214" i="93"/>
  <c r="AF214" i="93"/>
  <c r="AG214" i="93"/>
  <c r="AH214" i="93"/>
  <c r="AI214" i="93"/>
  <c r="AJ214" i="93"/>
  <c r="AK214" i="93"/>
  <c r="AL214" i="93"/>
  <c r="AM214" i="93"/>
  <c r="AN214" i="93"/>
  <c r="AO214" i="93"/>
  <c r="AP214" i="93"/>
  <c r="AQ214" i="93"/>
  <c r="AR214" i="93"/>
  <c r="AS214" i="93"/>
  <c r="AT214" i="93"/>
  <c r="AU214" i="93"/>
  <c r="AV214" i="93"/>
  <c r="AW214" i="93"/>
  <c r="AX214" i="93"/>
  <c r="AY214" i="93"/>
  <c r="AZ214" i="93"/>
  <c r="BA214" i="93"/>
  <c r="BB214" i="93"/>
  <c r="BC214" i="93"/>
  <c r="BD214" i="93"/>
  <c r="BE214" i="93"/>
  <c r="BF214" i="93"/>
  <c r="BG214" i="93"/>
  <c r="BH214" i="93"/>
  <c r="BI214" i="93"/>
  <c r="BJ214" i="93"/>
  <c r="BK214" i="93"/>
  <c r="BL214" i="93"/>
  <c r="BM214" i="93"/>
  <c r="BN214" i="93"/>
  <c r="BO214" i="93"/>
  <c r="BP214" i="93"/>
  <c r="BQ214" i="93"/>
  <c r="BR214" i="93"/>
  <c r="BS214" i="93"/>
  <c r="BT214" i="93"/>
  <c r="BU214" i="93"/>
  <c r="BV214" i="93"/>
  <c r="BW214" i="93"/>
  <c r="BX214" i="93"/>
  <c r="BY214" i="93"/>
  <c r="BZ214" i="93"/>
  <c r="CA214" i="93"/>
  <c r="CB214" i="93"/>
  <c r="CC214" i="93"/>
  <c r="CD214" i="93"/>
  <c r="CE214" i="93"/>
  <c r="CF214" i="93"/>
  <c r="CG214" i="93"/>
  <c r="CH214" i="93"/>
  <c r="CI214" i="93"/>
  <c r="CJ214" i="93"/>
  <c r="CK214" i="93"/>
  <c r="CL214" i="93"/>
  <c r="CM214" i="93"/>
  <c r="CN214" i="93"/>
  <c r="CO214" i="93"/>
  <c r="CP214" i="93"/>
  <c r="CQ214" i="93"/>
  <c r="CR214" i="93"/>
  <c r="CS214" i="93"/>
  <c r="CT214" i="93"/>
  <c r="CU214" i="93"/>
  <c r="CV214" i="93"/>
  <c r="CW214" i="93"/>
  <c r="J215" i="93"/>
  <c r="K215" i="93"/>
  <c r="L215" i="93"/>
  <c r="M215" i="93"/>
  <c r="N215" i="93"/>
  <c r="O215" i="93"/>
  <c r="P215" i="93"/>
  <c r="Q215" i="93"/>
  <c r="R215" i="93"/>
  <c r="S215" i="93"/>
  <c r="T215" i="93"/>
  <c r="U215" i="93"/>
  <c r="V215" i="93"/>
  <c r="W215" i="93"/>
  <c r="X215" i="93"/>
  <c r="Y215" i="93"/>
  <c r="Z215" i="93"/>
  <c r="AA215" i="93"/>
  <c r="AB215" i="93"/>
  <c r="AC215" i="93"/>
  <c r="AD215" i="93"/>
  <c r="AE215" i="93"/>
  <c r="AF215" i="93"/>
  <c r="AG215" i="93"/>
  <c r="AH215" i="93"/>
  <c r="AI215" i="93"/>
  <c r="AJ215" i="93"/>
  <c r="AK215" i="93"/>
  <c r="AL215" i="93"/>
  <c r="AM215" i="93"/>
  <c r="AN215" i="93"/>
  <c r="AO215" i="93"/>
  <c r="AP215" i="93"/>
  <c r="AQ215" i="93"/>
  <c r="AR215" i="93"/>
  <c r="AS215" i="93"/>
  <c r="AT215" i="93"/>
  <c r="AU215" i="93"/>
  <c r="AV215" i="93"/>
  <c r="AW215" i="93"/>
  <c r="AX215" i="93"/>
  <c r="AY215" i="93"/>
  <c r="AZ215" i="93"/>
  <c r="BA215" i="93"/>
  <c r="BB215" i="93"/>
  <c r="BC215" i="93"/>
  <c r="BD215" i="93"/>
  <c r="BE215" i="93"/>
  <c r="BF215" i="93"/>
  <c r="BG215" i="93"/>
  <c r="BH215" i="93"/>
  <c r="BI215" i="93"/>
  <c r="BJ215" i="93"/>
  <c r="BK215" i="93"/>
  <c r="BL215" i="93"/>
  <c r="BM215" i="93"/>
  <c r="BN215" i="93"/>
  <c r="BO215" i="93"/>
  <c r="BP215" i="93"/>
  <c r="BQ215" i="93"/>
  <c r="BR215" i="93"/>
  <c r="BS215" i="93"/>
  <c r="BT215" i="93"/>
  <c r="BU215" i="93"/>
  <c r="BV215" i="93"/>
  <c r="BW215" i="93"/>
  <c r="BX215" i="93"/>
  <c r="BY215" i="93"/>
  <c r="BZ215" i="93"/>
  <c r="CA215" i="93"/>
  <c r="CB215" i="93"/>
  <c r="CC215" i="93"/>
  <c r="CD215" i="93"/>
  <c r="CE215" i="93"/>
  <c r="CF215" i="93"/>
  <c r="CG215" i="93"/>
  <c r="CH215" i="93"/>
  <c r="CI215" i="93"/>
  <c r="CJ215" i="93"/>
  <c r="CK215" i="93"/>
  <c r="CL215" i="93"/>
  <c r="CM215" i="93"/>
  <c r="CN215" i="93"/>
  <c r="CO215" i="93"/>
  <c r="CP215" i="93"/>
  <c r="CQ215" i="93"/>
  <c r="CR215" i="93"/>
  <c r="CS215" i="93"/>
  <c r="CT215" i="93"/>
  <c r="CU215" i="93"/>
  <c r="CV215" i="93"/>
  <c r="CW215" i="93"/>
  <c r="J216" i="93"/>
  <c r="K216" i="93"/>
  <c r="L216" i="93"/>
  <c r="M216" i="93"/>
  <c r="N216" i="93"/>
  <c r="O216" i="93"/>
  <c r="P216" i="93"/>
  <c r="Q216" i="93"/>
  <c r="R216" i="93"/>
  <c r="S216" i="93"/>
  <c r="T216" i="93"/>
  <c r="U216" i="93"/>
  <c r="V216" i="93"/>
  <c r="W216" i="93"/>
  <c r="X216" i="93"/>
  <c r="Y216" i="93"/>
  <c r="Z216" i="93"/>
  <c r="AA216" i="93"/>
  <c r="AB216" i="93"/>
  <c r="AC216" i="93"/>
  <c r="AD216" i="93"/>
  <c r="AE216" i="93"/>
  <c r="AF216" i="93"/>
  <c r="AG216" i="93"/>
  <c r="AH216" i="93"/>
  <c r="AI216" i="93"/>
  <c r="AJ216" i="93"/>
  <c r="AK216" i="93"/>
  <c r="AL216" i="93"/>
  <c r="AM216" i="93"/>
  <c r="AN216" i="93"/>
  <c r="AO216" i="93"/>
  <c r="AP216" i="93"/>
  <c r="AQ216" i="93"/>
  <c r="AR216" i="93"/>
  <c r="AS216" i="93"/>
  <c r="AT216" i="93"/>
  <c r="AU216" i="93"/>
  <c r="AV216" i="93"/>
  <c r="AW216" i="93"/>
  <c r="AX216" i="93"/>
  <c r="AY216" i="93"/>
  <c r="AZ216" i="93"/>
  <c r="BA216" i="93"/>
  <c r="BB216" i="93"/>
  <c r="BC216" i="93"/>
  <c r="BD216" i="93"/>
  <c r="BE216" i="93"/>
  <c r="BF216" i="93"/>
  <c r="BG216" i="93"/>
  <c r="BH216" i="93"/>
  <c r="BI216" i="93"/>
  <c r="BJ216" i="93"/>
  <c r="BK216" i="93"/>
  <c r="BL216" i="93"/>
  <c r="BM216" i="93"/>
  <c r="BN216" i="93"/>
  <c r="BO216" i="93"/>
  <c r="BP216" i="93"/>
  <c r="BQ216" i="93"/>
  <c r="BR216" i="93"/>
  <c r="BS216" i="93"/>
  <c r="BT216" i="93"/>
  <c r="BU216" i="93"/>
  <c r="BV216" i="93"/>
  <c r="BW216" i="93"/>
  <c r="BX216" i="93"/>
  <c r="BY216" i="93"/>
  <c r="BZ216" i="93"/>
  <c r="CA216" i="93"/>
  <c r="CB216" i="93"/>
  <c r="CC216" i="93"/>
  <c r="CD216" i="93"/>
  <c r="CE216" i="93"/>
  <c r="CF216" i="93"/>
  <c r="CG216" i="93"/>
  <c r="CH216" i="93"/>
  <c r="CI216" i="93"/>
  <c r="CJ216" i="93"/>
  <c r="CK216" i="93"/>
  <c r="CL216" i="93"/>
  <c r="CM216" i="93"/>
  <c r="CN216" i="93"/>
  <c r="CO216" i="93"/>
  <c r="CP216" i="93"/>
  <c r="CQ216" i="93"/>
  <c r="CR216" i="93"/>
  <c r="CS216" i="93"/>
  <c r="CT216" i="93"/>
  <c r="CU216" i="93"/>
  <c r="CV216" i="93"/>
  <c r="CW216" i="93"/>
  <c r="J217" i="93"/>
  <c r="K217" i="93"/>
  <c r="L217" i="93"/>
  <c r="M217" i="93"/>
  <c r="N217" i="93"/>
  <c r="O217" i="93"/>
  <c r="P217" i="93"/>
  <c r="Q217" i="93"/>
  <c r="R217" i="93"/>
  <c r="S217" i="93"/>
  <c r="T217" i="93"/>
  <c r="U217" i="93"/>
  <c r="V217" i="93"/>
  <c r="W217" i="93"/>
  <c r="X217" i="93"/>
  <c r="Y217" i="93"/>
  <c r="Z217" i="93"/>
  <c r="AA217" i="93"/>
  <c r="AB217" i="93"/>
  <c r="AC217" i="93"/>
  <c r="AD217" i="93"/>
  <c r="AE217" i="93"/>
  <c r="AF217" i="93"/>
  <c r="AG217" i="93"/>
  <c r="AH217" i="93"/>
  <c r="AI217" i="93"/>
  <c r="AJ217" i="93"/>
  <c r="AK217" i="93"/>
  <c r="AL217" i="93"/>
  <c r="AM217" i="93"/>
  <c r="AN217" i="93"/>
  <c r="AO217" i="93"/>
  <c r="AP217" i="93"/>
  <c r="AQ217" i="93"/>
  <c r="AR217" i="93"/>
  <c r="AS217" i="93"/>
  <c r="AT217" i="93"/>
  <c r="AU217" i="93"/>
  <c r="AV217" i="93"/>
  <c r="AW217" i="93"/>
  <c r="AX217" i="93"/>
  <c r="AY217" i="93"/>
  <c r="AZ217" i="93"/>
  <c r="BA217" i="93"/>
  <c r="BB217" i="93"/>
  <c r="BC217" i="93"/>
  <c r="BD217" i="93"/>
  <c r="BE217" i="93"/>
  <c r="BF217" i="93"/>
  <c r="BG217" i="93"/>
  <c r="BH217" i="93"/>
  <c r="BI217" i="93"/>
  <c r="BJ217" i="93"/>
  <c r="BK217" i="93"/>
  <c r="BL217" i="93"/>
  <c r="BM217" i="93"/>
  <c r="BN217" i="93"/>
  <c r="BO217" i="93"/>
  <c r="BP217" i="93"/>
  <c r="BQ217" i="93"/>
  <c r="BR217" i="93"/>
  <c r="BS217" i="93"/>
  <c r="BT217" i="93"/>
  <c r="BU217" i="93"/>
  <c r="BV217" i="93"/>
  <c r="BW217" i="93"/>
  <c r="BX217" i="93"/>
  <c r="BY217" i="93"/>
  <c r="BZ217" i="93"/>
  <c r="CA217" i="93"/>
  <c r="CB217" i="93"/>
  <c r="CC217" i="93"/>
  <c r="CD217" i="93"/>
  <c r="CE217" i="93"/>
  <c r="CF217" i="93"/>
  <c r="CG217" i="93"/>
  <c r="CH217" i="93"/>
  <c r="CI217" i="93"/>
  <c r="CJ217" i="93"/>
  <c r="CK217" i="93"/>
  <c r="CL217" i="93"/>
  <c r="CM217" i="93"/>
  <c r="CN217" i="93"/>
  <c r="CO217" i="93"/>
  <c r="CP217" i="93"/>
  <c r="CQ217" i="93"/>
  <c r="CR217" i="93"/>
  <c r="CS217" i="93"/>
  <c r="CT217" i="93"/>
  <c r="CU217" i="93"/>
  <c r="CV217" i="93"/>
  <c r="CW217" i="93"/>
  <c r="J218" i="93"/>
  <c r="K218" i="93"/>
  <c r="L218" i="93"/>
  <c r="M218" i="93"/>
  <c r="N218" i="93"/>
  <c r="O218" i="93"/>
  <c r="P218" i="93"/>
  <c r="Q218" i="93"/>
  <c r="R218" i="93"/>
  <c r="S218" i="93"/>
  <c r="T218" i="93"/>
  <c r="U218" i="93"/>
  <c r="V218" i="93"/>
  <c r="W218" i="93"/>
  <c r="X218" i="93"/>
  <c r="Y218" i="93"/>
  <c r="Z218" i="93"/>
  <c r="AA218" i="93"/>
  <c r="AB218" i="93"/>
  <c r="AC218" i="93"/>
  <c r="AD218" i="93"/>
  <c r="AE218" i="93"/>
  <c r="AF218" i="93"/>
  <c r="AG218" i="93"/>
  <c r="AH218" i="93"/>
  <c r="AI218" i="93"/>
  <c r="AJ218" i="93"/>
  <c r="AK218" i="93"/>
  <c r="AL218" i="93"/>
  <c r="AM218" i="93"/>
  <c r="AN218" i="93"/>
  <c r="AO218" i="93"/>
  <c r="AP218" i="93"/>
  <c r="AQ218" i="93"/>
  <c r="AR218" i="93"/>
  <c r="AS218" i="93"/>
  <c r="AT218" i="93"/>
  <c r="AU218" i="93"/>
  <c r="AV218" i="93"/>
  <c r="AW218" i="93"/>
  <c r="AX218" i="93"/>
  <c r="AY218" i="93"/>
  <c r="AZ218" i="93"/>
  <c r="BA218" i="93"/>
  <c r="BB218" i="93"/>
  <c r="BC218" i="93"/>
  <c r="BD218" i="93"/>
  <c r="BE218" i="93"/>
  <c r="BF218" i="93"/>
  <c r="BG218" i="93"/>
  <c r="BH218" i="93"/>
  <c r="BI218" i="93"/>
  <c r="BJ218" i="93"/>
  <c r="BK218" i="93"/>
  <c r="BL218" i="93"/>
  <c r="BM218" i="93"/>
  <c r="BN218" i="93"/>
  <c r="BO218" i="93"/>
  <c r="BP218" i="93"/>
  <c r="BQ218" i="93"/>
  <c r="BR218" i="93"/>
  <c r="BS218" i="93"/>
  <c r="BT218" i="93"/>
  <c r="BU218" i="93"/>
  <c r="BV218" i="93"/>
  <c r="BW218" i="93"/>
  <c r="BX218" i="93"/>
  <c r="BY218" i="93"/>
  <c r="BZ218" i="93"/>
  <c r="CA218" i="93"/>
  <c r="CB218" i="93"/>
  <c r="CC218" i="93"/>
  <c r="CD218" i="93"/>
  <c r="CE218" i="93"/>
  <c r="CF218" i="93"/>
  <c r="CG218" i="93"/>
  <c r="CH218" i="93"/>
  <c r="CI218" i="93"/>
  <c r="CJ218" i="93"/>
  <c r="CK218" i="93"/>
  <c r="CL218" i="93"/>
  <c r="CM218" i="93"/>
  <c r="CN218" i="93"/>
  <c r="CO218" i="93"/>
  <c r="CP218" i="93"/>
  <c r="CQ218" i="93"/>
  <c r="CR218" i="93"/>
  <c r="CS218" i="93"/>
  <c r="CT218" i="93"/>
  <c r="CU218" i="93"/>
  <c r="CV218" i="93"/>
  <c r="CW218" i="93"/>
  <c r="J219" i="93"/>
  <c r="K219" i="93"/>
  <c r="L219" i="93"/>
  <c r="M219" i="93"/>
  <c r="N219" i="93"/>
  <c r="O219" i="93"/>
  <c r="P219" i="93"/>
  <c r="Q219" i="93"/>
  <c r="R219" i="93"/>
  <c r="S219" i="93"/>
  <c r="T219" i="93"/>
  <c r="U219" i="93"/>
  <c r="V219" i="93"/>
  <c r="W219" i="93"/>
  <c r="X219" i="93"/>
  <c r="Y219" i="93"/>
  <c r="Z219" i="93"/>
  <c r="AA219" i="93"/>
  <c r="AB219" i="93"/>
  <c r="AC219" i="93"/>
  <c r="AD219" i="93"/>
  <c r="AE219" i="93"/>
  <c r="AF219" i="93"/>
  <c r="AG219" i="93"/>
  <c r="AH219" i="93"/>
  <c r="AI219" i="93"/>
  <c r="AJ219" i="93"/>
  <c r="AK219" i="93"/>
  <c r="AL219" i="93"/>
  <c r="AM219" i="93"/>
  <c r="AN219" i="93"/>
  <c r="AO219" i="93"/>
  <c r="AP219" i="93"/>
  <c r="AQ219" i="93"/>
  <c r="AR219" i="93"/>
  <c r="AS219" i="93"/>
  <c r="AT219" i="93"/>
  <c r="AU219" i="93"/>
  <c r="AV219" i="93"/>
  <c r="AW219" i="93"/>
  <c r="AX219" i="93"/>
  <c r="AY219" i="93"/>
  <c r="AZ219" i="93"/>
  <c r="BA219" i="93"/>
  <c r="BB219" i="93"/>
  <c r="BC219" i="93"/>
  <c r="BD219" i="93"/>
  <c r="BE219" i="93"/>
  <c r="BF219" i="93"/>
  <c r="BG219" i="93"/>
  <c r="BH219" i="93"/>
  <c r="BI219" i="93"/>
  <c r="BJ219" i="93"/>
  <c r="BK219" i="93"/>
  <c r="BL219" i="93"/>
  <c r="BM219" i="93"/>
  <c r="BN219" i="93"/>
  <c r="BO219" i="93"/>
  <c r="BP219" i="93"/>
  <c r="BQ219" i="93"/>
  <c r="BR219" i="93"/>
  <c r="BS219" i="93"/>
  <c r="BT219" i="93"/>
  <c r="BU219" i="93"/>
  <c r="BV219" i="93"/>
  <c r="BW219" i="93"/>
  <c r="BX219" i="93"/>
  <c r="BY219" i="93"/>
  <c r="BZ219" i="93"/>
  <c r="CA219" i="93"/>
  <c r="CB219" i="93"/>
  <c r="CC219" i="93"/>
  <c r="CD219" i="93"/>
  <c r="CE219" i="93"/>
  <c r="CF219" i="93"/>
  <c r="CG219" i="93"/>
  <c r="CH219" i="93"/>
  <c r="CI219" i="93"/>
  <c r="CJ219" i="93"/>
  <c r="CK219" i="93"/>
  <c r="CL219" i="93"/>
  <c r="CM219" i="93"/>
  <c r="CN219" i="93"/>
  <c r="CO219" i="93"/>
  <c r="CP219" i="93"/>
  <c r="CQ219" i="93"/>
  <c r="CR219" i="93"/>
  <c r="CS219" i="93"/>
  <c r="CT219" i="93"/>
  <c r="CU219" i="93"/>
  <c r="CV219" i="93"/>
  <c r="CW219" i="93"/>
  <c r="J220" i="93"/>
  <c r="K220" i="93"/>
  <c r="L220" i="93"/>
  <c r="M220" i="93"/>
  <c r="N220" i="93"/>
  <c r="O220" i="93"/>
  <c r="P220" i="93"/>
  <c r="Q220" i="93"/>
  <c r="R220" i="93"/>
  <c r="S220" i="93"/>
  <c r="T220" i="93"/>
  <c r="U220" i="93"/>
  <c r="V220" i="93"/>
  <c r="W220" i="93"/>
  <c r="X220" i="93"/>
  <c r="Y220" i="93"/>
  <c r="Z220" i="93"/>
  <c r="AA220" i="93"/>
  <c r="AB220" i="93"/>
  <c r="AC220" i="93"/>
  <c r="AD220" i="93"/>
  <c r="AE220" i="93"/>
  <c r="AF220" i="93"/>
  <c r="AG220" i="93"/>
  <c r="AH220" i="93"/>
  <c r="AI220" i="93"/>
  <c r="AJ220" i="93"/>
  <c r="AK220" i="93"/>
  <c r="AL220" i="93"/>
  <c r="AM220" i="93"/>
  <c r="AN220" i="93"/>
  <c r="AO220" i="93"/>
  <c r="AP220" i="93"/>
  <c r="AQ220" i="93"/>
  <c r="AR220" i="93"/>
  <c r="AS220" i="93"/>
  <c r="AT220" i="93"/>
  <c r="AU220" i="93"/>
  <c r="AV220" i="93"/>
  <c r="AW220" i="93"/>
  <c r="AX220" i="93"/>
  <c r="AY220" i="93"/>
  <c r="AZ220" i="93"/>
  <c r="BA220" i="93"/>
  <c r="BB220" i="93"/>
  <c r="BC220" i="93"/>
  <c r="BD220" i="93"/>
  <c r="BE220" i="93"/>
  <c r="BF220" i="93"/>
  <c r="BG220" i="93"/>
  <c r="BH220" i="93"/>
  <c r="BI220" i="93"/>
  <c r="BJ220" i="93"/>
  <c r="BK220" i="93"/>
  <c r="BL220" i="93"/>
  <c r="BM220" i="93"/>
  <c r="BN220" i="93"/>
  <c r="BO220" i="93"/>
  <c r="BP220" i="93"/>
  <c r="BQ220" i="93"/>
  <c r="BR220" i="93"/>
  <c r="BS220" i="93"/>
  <c r="BT220" i="93"/>
  <c r="BU220" i="93"/>
  <c r="BV220" i="93"/>
  <c r="BW220" i="93"/>
  <c r="BX220" i="93"/>
  <c r="BY220" i="93"/>
  <c r="BZ220" i="93"/>
  <c r="CA220" i="93"/>
  <c r="CB220" i="93"/>
  <c r="CC220" i="93"/>
  <c r="CD220" i="93"/>
  <c r="CE220" i="93"/>
  <c r="CF220" i="93"/>
  <c r="CG220" i="93"/>
  <c r="CH220" i="93"/>
  <c r="CI220" i="93"/>
  <c r="CJ220" i="93"/>
  <c r="CK220" i="93"/>
  <c r="CL220" i="93"/>
  <c r="CM220" i="93"/>
  <c r="CN220" i="93"/>
  <c r="CO220" i="93"/>
  <c r="CP220" i="93"/>
  <c r="CQ220" i="93"/>
  <c r="CR220" i="93"/>
  <c r="CS220" i="93"/>
  <c r="CT220" i="93"/>
  <c r="CU220" i="93"/>
  <c r="CV220" i="93"/>
  <c r="CW220" i="93"/>
  <c r="J221" i="93"/>
  <c r="K221" i="93"/>
  <c r="L221" i="93"/>
  <c r="M221" i="93"/>
  <c r="N221" i="93"/>
  <c r="O221" i="93"/>
  <c r="P221" i="93"/>
  <c r="Q221" i="93"/>
  <c r="R221" i="93"/>
  <c r="S221" i="93"/>
  <c r="T221" i="93"/>
  <c r="U221" i="93"/>
  <c r="V221" i="93"/>
  <c r="W221" i="93"/>
  <c r="X221" i="93"/>
  <c r="Y221" i="93"/>
  <c r="Z221" i="93"/>
  <c r="AA221" i="93"/>
  <c r="AB221" i="93"/>
  <c r="AC221" i="93"/>
  <c r="AD221" i="93"/>
  <c r="AE221" i="93"/>
  <c r="AF221" i="93"/>
  <c r="AG221" i="93"/>
  <c r="AH221" i="93"/>
  <c r="AI221" i="93"/>
  <c r="AJ221" i="93"/>
  <c r="AK221" i="93"/>
  <c r="AL221" i="93"/>
  <c r="AM221" i="93"/>
  <c r="AN221" i="93"/>
  <c r="AO221" i="93"/>
  <c r="AP221" i="93"/>
  <c r="AQ221" i="93"/>
  <c r="AR221" i="93"/>
  <c r="AS221" i="93"/>
  <c r="AT221" i="93"/>
  <c r="AU221" i="93"/>
  <c r="AV221" i="93"/>
  <c r="AW221" i="93"/>
  <c r="AX221" i="93"/>
  <c r="AY221" i="93"/>
  <c r="AZ221" i="93"/>
  <c r="BA221" i="93"/>
  <c r="BB221" i="93"/>
  <c r="BC221" i="93"/>
  <c r="BD221" i="93"/>
  <c r="BE221" i="93"/>
  <c r="BF221" i="93"/>
  <c r="BG221" i="93"/>
  <c r="BH221" i="93"/>
  <c r="BI221" i="93"/>
  <c r="BJ221" i="93"/>
  <c r="BK221" i="93"/>
  <c r="BL221" i="93"/>
  <c r="BM221" i="93"/>
  <c r="BN221" i="93"/>
  <c r="BO221" i="93"/>
  <c r="BP221" i="93"/>
  <c r="BQ221" i="93"/>
  <c r="BR221" i="93"/>
  <c r="BS221" i="93"/>
  <c r="BT221" i="93"/>
  <c r="BU221" i="93"/>
  <c r="BV221" i="93"/>
  <c r="BW221" i="93"/>
  <c r="BX221" i="93"/>
  <c r="BY221" i="93"/>
  <c r="BZ221" i="93"/>
  <c r="CA221" i="93"/>
  <c r="CB221" i="93"/>
  <c r="CC221" i="93"/>
  <c r="CD221" i="93"/>
  <c r="CE221" i="93"/>
  <c r="CF221" i="93"/>
  <c r="CG221" i="93"/>
  <c r="CH221" i="93"/>
  <c r="CI221" i="93"/>
  <c r="CJ221" i="93"/>
  <c r="CK221" i="93"/>
  <c r="CL221" i="93"/>
  <c r="CM221" i="93"/>
  <c r="CN221" i="93"/>
  <c r="CO221" i="93"/>
  <c r="CP221" i="93"/>
  <c r="CQ221" i="93"/>
  <c r="CR221" i="93"/>
  <c r="CS221" i="93"/>
  <c r="CT221" i="93"/>
  <c r="CU221" i="93"/>
  <c r="CV221" i="93"/>
  <c r="CW221" i="93"/>
  <c r="J222" i="93"/>
  <c r="K222" i="93"/>
  <c r="L222" i="93"/>
  <c r="M222" i="93"/>
  <c r="N222" i="93"/>
  <c r="O222" i="93"/>
  <c r="P222" i="93"/>
  <c r="Q222" i="93"/>
  <c r="R222" i="93"/>
  <c r="S222" i="93"/>
  <c r="T222" i="93"/>
  <c r="U222" i="93"/>
  <c r="V222" i="93"/>
  <c r="W222" i="93"/>
  <c r="X222" i="93"/>
  <c r="Y222" i="93"/>
  <c r="Z222" i="93"/>
  <c r="AA222" i="93"/>
  <c r="AB222" i="93"/>
  <c r="AC222" i="93"/>
  <c r="AD222" i="93"/>
  <c r="AE222" i="93"/>
  <c r="AF222" i="93"/>
  <c r="AG222" i="93"/>
  <c r="AH222" i="93"/>
  <c r="AI222" i="93"/>
  <c r="AJ222" i="93"/>
  <c r="AK222" i="93"/>
  <c r="AL222" i="93"/>
  <c r="AM222" i="93"/>
  <c r="AN222" i="93"/>
  <c r="AO222" i="93"/>
  <c r="AP222" i="93"/>
  <c r="AQ222" i="93"/>
  <c r="AR222" i="93"/>
  <c r="AS222" i="93"/>
  <c r="AT222" i="93"/>
  <c r="AU222" i="93"/>
  <c r="AV222" i="93"/>
  <c r="AW222" i="93"/>
  <c r="AX222" i="93"/>
  <c r="AY222" i="93"/>
  <c r="AZ222" i="93"/>
  <c r="BA222" i="93"/>
  <c r="BB222" i="93"/>
  <c r="BC222" i="93"/>
  <c r="BD222" i="93"/>
  <c r="BE222" i="93"/>
  <c r="BF222" i="93"/>
  <c r="BG222" i="93"/>
  <c r="BH222" i="93"/>
  <c r="BI222" i="93"/>
  <c r="BJ222" i="93"/>
  <c r="BK222" i="93"/>
  <c r="BL222" i="93"/>
  <c r="BM222" i="93"/>
  <c r="BN222" i="93"/>
  <c r="BO222" i="93"/>
  <c r="BP222" i="93"/>
  <c r="BQ222" i="93"/>
  <c r="BR222" i="93"/>
  <c r="BS222" i="93"/>
  <c r="BT222" i="93"/>
  <c r="BU222" i="93"/>
  <c r="BV222" i="93"/>
  <c r="BW222" i="93"/>
  <c r="BX222" i="93"/>
  <c r="BY222" i="93"/>
  <c r="BZ222" i="93"/>
  <c r="CA222" i="93"/>
  <c r="CB222" i="93"/>
  <c r="CC222" i="93"/>
  <c r="CD222" i="93"/>
  <c r="CE222" i="93"/>
  <c r="CF222" i="93"/>
  <c r="CG222" i="93"/>
  <c r="CH222" i="93"/>
  <c r="CI222" i="93"/>
  <c r="CJ222" i="93"/>
  <c r="CK222" i="93"/>
  <c r="CL222" i="93"/>
  <c r="CM222" i="93"/>
  <c r="CN222" i="93"/>
  <c r="CO222" i="93"/>
  <c r="CP222" i="93"/>
  <c r="CQ222" i="93"/>
  <c r="CR222" i="93"/>
  <c r="CS222" i="93"/>
  <c r="CT222" i="93"/>
  <c r="CU222" i="93"/>
  <c r="CV222" i="93"/>
  <c r="CW222" i="93"/>
  <c r="J223" i="93"/>
  <c r="K223" i="93"/>
  <c r="L223" i="93"/>
  <c r="M223" i="93"/>
  <c r="N223" i="93"/>
  <c r="O223" i="93"/>
  <c r="P223" i="93"/>
  <c r="Q223" i="93"/>
  <c r="R223" i="93"/>
  <c r="S223" i="93"/>
  <c r="T223" i="93"/>
  <c r="U223" i="93"/>
  <c r="V223" i="93"/>
  <c r="W223" i="93"/>
  <c r="X223" i="93"/>
  <c r="Y223" i="93"/>
  <c r="Z223" i="93"/>
  <c r="AA223" i="93"/>
  <c r="AB223" i="93"/>
  <c r="AC223" i="93"/>
  <c r="AD223" i="93"/>
  <c r="AE223" i="93"/>
  <c r="AF223" i="93"/>
  <c r="AG223" i="93"/>
  <c r="AH223" i="93"/>
  <c r="AI223" i="93"/>
  <c r="AJ223" i="93"/>
  <c r="AK223" i="93"/>
  <c r="AL223" i="93"/>
  <c r="AM223" i="93"/>
  <c r="AN223" i="93"/>
  <c r="AO223" i="93"/>
  <c r="AP223" i="93"/>
  <c r="AQ223" i="93"/>
  <c r="AR223" i="93"/>
  <c r="AS223" i="93"/>
  <c r="AT223" i="93"/>
  <c r="AU223" i="93"/>
  <c r="AV223" i="93"/>
  <c r="AW223" i="93"/>
  <c r="AX223" i="93"/>
  <c r="AY223" i="93"/>
  <c r="AZ223" i="93"/>
  <c r="BA223" i="93"/>
  <c r="BB223" i="93"/>
  <c r="BC223" i="93"/>
  <c r="BD223" i="93"/>
  <c r="BE223" i="93"/>
  <c r="BF223" i="93"/>
  <c r="BG223" i="93"/>
  <c r="BH223" i="93"/>
  <c r="BI223" i="93"/>
  <c r="BJ223" i="93"/>
  <c r="BK223" i="93"/>
  <c r="BL223" i="93"/>
  <c r="BM223" i="93"/>
  <c r="BN223" i="93"/>
  <c r="BO223" i="93"/>
  <c r="BP223" i="93"/>
  <c r="BQ223" i="93"/>
  <c r="BR223" i="93"/>
  <c r="BS223" i="93"/>
  <c r="BT223" i="93"/>
  <c r="BU223" i="93"/>
  <c r="BV223" i="93"/>
  <c r="BW223" i="93"/>
  <c r="BX223" i="93"/>
  <c r="BY223" i="93"/>
  <c r="BZ223" i="93"/>
  <c r="CA223" i="93"/>
  <c r="CB223" i="93"/>
  <c r="CC223" i="93"/>
  <c r="CD223" i="93"/>
  <c r="CE223" i="93"/>
  <c r="CF223" i="93"/>
  <c r="CG223" i="93"/>
  <c r="CH223" i="93"/>
  <c r="CI223" i="93"/>
  <c r="CJ223" i="93"/>
  <c r="CK223" i="93"/>
  <c r="CL223" i="93"/>
  <c r="CM223" i="93"/>
  <c r="CN223" i="93"/>
  <c r="CO223" i="93"/>
  <c r="CP223" i="93"/>
  <c r="CQ223" i="93"/>
  <c r="CR223" i="93"/>
  <c r="CS223" i="93"/>
  <c r="CT223" i="93"/>
  <c r="CU223" i="93"/>
  <c r="CV223" i="93"/>
  <c r="CW223" i="93"/>
  <c r="J224" i="93"/>
  <c r="K224" i="93"/>
  <c r="L224" i="93"/>
  <c r="M224" i="93"/>
  <c r="N224" i="93"/>
  <c r="O224" i="93"/>
  <c r="P224" i="93"/>
  <c r="Q224" i="93"/>
  <c r="R224" i="93"/>
  <c r="S224" i="93"/>
  <c r="T224" i="93"/>
  <c r="U224" i="93"/>
  <c r="V224" i="93"/>
  <c r="W224" i="93"/>
  <c r="X224" i="93"/>
  <c r="Y224" i="93"/>
  <c r="Z224" i="93"/>
  <c r="AA224" i="93"/>
  <c r="AB224" i="93"/>
  <c r="AC224" i="93"/>
  <c r="AD224" i="93"/>
  <c r="AE224" i="93"/>
  <c r="AF224" i="93"/>
  <c r="AG224" i="93"/>
  <c r="AH224" i="93"/>
  <c r="AI224" i="93"/>
  <c r="AJ224" i="93"/>
  <c r="AK224" i="93"/>
  <c r="AL224" i="93"/>
  <c r="AM224" i="93"/>
  <c r="AN224" i="93"/>
  <c r="AO224" i="93"/>
  <c r="AP224" i="93"/>
  <c r="AQ224" i="93"/>
  <c r="AR224" i="93"/>
  <c r="AS224" i="93"/>
  <c r="AT224" i="93"/>
  <c r="AU224" i="93"/>
  <c r="AV224" i="93"/>
  <c r="AW224" i="93"/>
  <c r="AX224" i="93"/>
  <c r="AY224" i="93"/>
  <c r="AZ224" i="93"/>
  <c r="BA224" i="93"/>
  <c r="BB224" i="93"/>
  <c r="BC224" i="93"/>
  <c r="BD224" i="93"/>
  <c r="BE224" i="93"/>
  <c r="BF224" i="93"/>
  <c r="BG224" i="93"/>
  <c r="BH224" i="93"/>
  <c r="BI224" i="93"/>
  <c r="BJ224" i="93"/>
  <c r="BK224" i="93"/>
  <c r="BL224" i="93"/>
  <c r="BM224" i="93"/>
  <c r="BN224" i="93"/>
  <c r="BO224" i="93"/>
  <c r="BP224" i="93"/>
  <c r="BQ224" i="93"/>
  <c r="BR224" i="93"/>
  <c r="BS224" i="93"/>
  <c r="BT224" i="93"/>
  <c r="BU224" i="93"/>
  <c r="BV224" i="93"/>
  <c r="BW224" i="93"/>
  <c r="BX224" i="93"/>
  <c r="BY224" i="93"/>
  <c r="BZ224" i="93"/>
  <c r="CA224" i="93"/>
  <c r="CB224" i="93"/>
  <c r="CC224" i="93"/>
  <c r="CD224" i="93"/>
  <c r="CE224" i="93"/>
  <c r="CF224" i="93"/>
  <c r="CG224" i="93"/>
  <c r="CH224" i="93"/>
  <c r="CI224" i="93"/>
  <c r="CJ224" i="93"/>
  <c r="CK224" i="93"/>
  <c r="CL224" i="93"/>
  <c r="CM224" i="93"/>
  <c r="CN224" i="93"/>
  <c r="CO224" i="93"/>
  <c r="CP224" i="93"/>
  <c r="CQ224" i="93"/>
  <c r="CR224" i="93"/>
  <c r="CS224" i="93"/>
  <c r="CT224" i="93"/>
  <c r="CU224" i="93"/>
  <c r="CV224" i="93"/>
  <c r="CW224" i="93"/>
  <c r="J225" i="93"/>
  <c r="K225" i="93"/>
  <c r="L225" i="93"/>
  <c r="M225" i="93"/>
  <c r="N225" i="93"/>
  <c r="O225" i="93"/>
  <c r="P225" i="93"/>
  <c r="Q225" i="93"/>
  <c r="R225" i="93"/>
  <c r="S225" i="93"/>
  <c r="T225" i="93"/>
  <c r="U225" i="93"/>
  <c r="V225" i="93"/>
  <c r="W225" i="93"/>
  <c r="X225" i="93"/>
  <c r="Y225" i="93"/>
  <c r="Z225" i="93"/>
  <c r="AA225" i="93"/>
  <c r="AB225" i="93"/>
  <c r="AC225" i="93"/>
  <c r="AD225" i="93"/>
  <c r="AE225" i="93"/>
  <c r="AF225" i="93"/>
  <c r="AG225" i="93"/>
  <c r="AH225" i="93"/>
  <c r="AI225" i="93"/>
  <c r="AJ225" i="93"/>
  <c r="AK225" i="93"/>
  <c r="AL225" i="93"/>
  <c r="AM225" i="93"/>
  <c r="AN225" i="93"/>
  <c r="AO225" i="93"/>
  <c r="AP225" i="93"/>
  <c r="AQ225" i="93"/>
  <c r="AR225" i="93"/>
  <c r="AS225" i="93"/>
  <c r="AT225" i="93"/>
  <c r="AU225" i="93"/>
  <c r="AV225" i="93"/>
  <c r="AW225" i="93"/>
  <c r="AX225" i="93"/>
  <c r="AY225" i="93"/>
  <c r="AZ225" i="93"/>
  <c r="BA225" i="93"/>
  <c r="BB225" i="93"/>
  <c r="BC225" i="93"/>
  <c r="BD225" i="93"/>
  <c r="BE225" i="93"/>
  <c r="BF225" i="93"/>
  <c r="BG225" i="93"/>
  <c r="BH225" i="93"/>
  <c r="BI225" i="93"/>
  <c r="BJ225" i="93"/>
  <c r="BK225" i="93"/>
  <c r="BL225" i="93"/>
  <c r="BM225" i="93"/>
  <c r="BN225" i="93"/>
  <c r="BO225" i="93"/>
  <c r="BP225" i="93"/>
  <c r="BQ225" i="93"/>
  <c r="BR225" i="93"/>
  <c r="BS225" i="93"/>
  <c r="BT225" i="93"/>
  <c r="BU225" i="93"/>
  <c r="BV225" i="93"/>
  <c r="BW225" i="93"/>
  <c r="BX225" i="93"/>
  <c r="BY225" i="93"/>
  <c r="BZ225" i="93"/>
  <c r="CA225" i="93"/>
  <c r="CB225" i="93"/>
  <c r="CC225" i="93"/>
  <c r="CD225" i="93"/>
  <c r="CE225" i="93"/>
  <c r="CF225" i="93"/>
  <c r="CG225" i="93"/>
  <c r="CH225" i="93"/>
  <c r="CI225" i="93"/>
  <c r="CJ225" i="93"/>
  <c r="CK225" i="93"/>
  <c r="CL225" i="93"/>
  <c r="CM225" i="93"/>
  <c r="CN225" i="93"/>
  <c r="CO225" i="93"/>
  <c r="CP225" i="93"/>
  <c r="CQ225" i="93"/>
  <c r="CR225" i="93"/>
  <c r="CS225" i="93"/>
  <c r="CT225" i="93"/>
  <c r="CU225" i="93"/>
  <c r="CV225" i="93"/>
  <c r="CW225" i="93"/>
  <c r="J226" i="93"/>
  <c r="K226" i="93"/>
  <c r="L226" i="93"/>
  <c r="M226" i="93"/>
  <c r="N226" i="93"/>
  <c r="O226" i="93"/>
  <c r="P226" i="93"/>
  <c r="Q226" i="93"/>
  <c r="R226" i="93"/>
  <c r="S226" i="93"/>
  <c r="T226" i="93"/>
  <c r="U226" i="93"/>
  <c r="V226" i="93"/>
  <c r="W226" i="93"/>
  <c r="X226" i="93"/>
  <c r="Y226" i="93"/>
  <c r="Z226" i="93"/>
  <c r="AA226" i="93"/>
  <c r="AB226" i="93"/>
  <c r="AC226" i="93"/>
  <c r="AD226" i="93"/>
  <c r="AE226" i="93"/>
  <c r="AF226" i="93"/>
  <c r="AG226" i="93"/>
  <c r="AH226" i="93"/>
  <c r="AI226" i="93"/>
  <c r="AJ226" i="93"/>
  <c r="AK226" i="93"/>
  <c r="AL226" i="93"/>
  <c r="AM226" i="93"/>
  <c r="AN226" i="93"/>
  <c r="AO226" i="93"/>
  <c r="AP226" i="93"/>
  <c r="AQ226" i="93"/>
  <c r="AR226" i="93"/>
  <c r="AS226" i="93"/>
  <c r="AT226" i="93"/>
  <c r="AU226" i="93"/>
  <c r="AV226" i="93"/>
  <c r="AW226" i="93"/>
  <c r="AX226" i="93"/>
  <c r="AY226" i="93"/>
  <c r="AZ226" i="93"/>
  <c r="BA226" i="93"/>
  <c r="BB226" i="93"/>
  <c r="BC226" i="93"/>
  <c r="BD226" i="93"/>
  <c r="BE226" i="93"/>
  <c r="BF226" i="93"/>
  <c r="BG226" i="93"/>
  <c r="BH226" i="93"/>
  <c r="BI226" i="93"/>
  <c r="BJ226" i="93"/>
  <c r="BK226" i="93"/>
  <c r="BL226" i="93"/>
  <c r="BM226" i="93"/>
  <c r="BN226" i="93"/>
  <c r="BO226" i="93"/>
  <c r="BP226" i="93"/>
  <c r="BQ226" i="93"/>
  <c r="BR226" i="93"/>
  <c r="BS226" i="93"/>
  <c r="BT226" i="93"/>
  <c r="BU226" i="93"/>
  <c r="BV226" i="93"/>
  <c r="BW226" i="93"/>
  <c r="BX226" i="93"/>
  <c r="BY226" i="93"/>
  <c r="BZ226" i="93"/>
  <c r="CA226" i="93"/>
  <c r="CB226" i="93"/>
  <c r="CC226" i="93"/>
  <c r="CD226" i="93"/>
  <c r="CE226" i="93"/>
  <c r="CF226" i="93"/>
  <c r="CG226" i="93"/>
  <c r="CH226" i="93"/>
  <c r="CI226" i="93"/>
  <c r="CJ226" i="93"/>
  <c r="CK226" i="93"/>
  <c r="CL226" i="93"/>
  <c r="CM226" i="93"/>
  <c r="CN226" i="93"/>
  <c r="CO226" i="93"/>
  <c r="CP226" i="93"/>
  <c r="CQ226" i="93"/>
  <c r="CR226" i="93"/>
  <c r="CS226" i="93"/>
  <c r="CT226" i="93"/>
  <c r="CU226" i="93"/>
  <c r="CV226" i="93"/>
  <c r="CW226" i="93"/>
  <c r="J227" i="93"/>
  <c r="K227" i="93"/>
  <c r="L227" i="93"/>
  <c r="M227" i="93"/>
  <c r="N227" i="93"/>
  <c r="O227" i="93"/>
  <c r="P227" i="93"/>
  <c r="Q227" i="93"/>
  <c r="R227" i="93"/>
  <c r="S227" i="93"/>
  <c r="T227" i="93"/>
  <c r="U227" i="93"/>
  <c r="V227" i="93"/>
  <c r="W227" i="93"/>
  <c r="X227" i="93"/>
  <c r="Y227" i="93"/>
  <c r="Z227" i="93"/>
  <c r="AA227" i="93"/>
  <c r="AB227" i="93"/>
  <c r="AC227" i="93"/>
  <c r="AD227" i="93"/>
  <c r="AE227" i="93"/>
  <c r="AF227" i="93"/>
  <c r="AG227" i="93"/>
  <c r="AH227" i="93"/>
  <c r="AI227" i="93"/>
  <c r="AJ227" i="93"/>
  <c r="AK227" i="93"/>
  <c r="AL227" i="93"/>
  <c r="AM227" i="93"/>
  <c r="AN227" i="93"/>
  <c r="AO227" i="93"/>
  <c r="AP227" i="93"/>
  <c r="AQ227" i="93"/>
  <c r="AR227" i="93"/>
  <c r="AS227" i="93"/>
  <c r="AT227" i="93"/>
  <c r="AU227" i="93"/>
  <c r="AV227" i="93"/>
  <c r="AW227" i="93"/>
  <c r="AX227" i="93"/>
  <c r="AY227" i="93"/>
  <c r="AZ227" i="93"/>
  <c r="BA227" i="93"/>
  <c r="BB227" i="93"/>
  <c r="BC227" i="93"/>
  <c r="BD227" i="93"/>
  <c r="BE227" i="93"/>
  <c r="BF227" i="93"/>
  <c r="BG227" i="93"/>
  <c r="BH227" i="93"/>
  <c r="BI227" i="93"/>
  <c r="BJ227" i="93"/>
  <c r="BK227" i="93"/>
  <c r="BL227" i="93"/>
  <c r="BM227" i="93"/>
  <c r="BN227" i="93"/>
  <c r="BO227" i="93"/>
  <c r="BP227" i="93"/>
  <c r="BQ227" i="93"/>
  <c r="BR227" i="93"/>
  <c r="BS227" i="93"/>
  <c r="BT227" i="93"/>
  <c r="BU227" i="93"/>
  <c r="BV227" i="93"/>
  <c r="BW227" i="93"/>
  <c r="BX227" i="93"/>
  <c r="BY227" i="93"/>
  <c r="BZ227" i="93"/>
  <c r="CA227" i="93"/>
  <c r="CB227" i="93"/>
  <c r="CC227" i="93"/>
  <c r="CD227" i="93"/>
  <c r="CE227" i="93"/>
  <c r="CF227" i="93"/>
  <c r="CG227" i="93"/>
  <c r="CH227" i="93"/>
  <c r="CI227" i="93"/>
  <c r="CJ227" i="93"/>
  <c r="CK227" i="93"/>
  <c r="CL227" i="93"/>
  <c r="CM227" i="93"/>
  <c r="CN227" i="93"/>
  <c r="CO227" i="93"/>
  <c r="CP227" i="93"/>
  <c r="CQ227" i="93"/>
  <c r="CR227" i="93"/>
  <c r="CS227" i="93"/>
  <c r="CT227" i="93"/>
  <c r="CU227" i="93"/>
  <c r="CV227" i="93"/>
  <c r="CW227" i="93"/>
  <c r="J228" i="93"/>
  <c r="K228" i="93"/>
  <c r="L228" i="93"/>
  <c r="M228" i="93"/>
  <c r="N228" i="93"/>
  <c r="O228" i="93"/>
  <c r="P228" i="93"/>
  <c r="Q228" i="93"/>
  <c r="R228" i="93"/>
  <c r="S228" i="93"/>
  <c r="T228" i="93"/>
  <c r="U228" i="93"/>
  <c r="V228" i="93"/>
  <c r="W228" i="93"/>
  <c r="X228" i="93"/>
  <c r="Y228" i="93"/>
  <c r="Z228" i="93"/>
  <c r="AA228" i="93"/>
  <c r="AB228" i="93"/>
  <c r="AC228" i="93"/>
  <c r="AD228" i="93"/>
  <c r="AE228" i="93"/>
  <c r="AF228" i="93"/>
  <c r="AG228" i="93"/>
  <c r="AH228" i="93"/>
  <c r="AI228" i="93"/>
  <c r="AJ228" i="93"/>
  <c r="AK228" i="93"/>
  <c r="AL228" i="93"/>
  <c r="AM228" i="93"/>
  <c r="AN228" i="93"/>
  <c r="AO228" i="93"/>
  <c r="AP228" i="93"/>
  <c r="AQ228" i="93"/>
  <c r="AR228" i="93"/>
  <c r="AS228" i="93"/>
  <c r="AT228" i="93"/>
  <c r="AU228" i="93"/>
  <c r="AV228" i="93"/>
  <c r="AW228" i="93"/>
  <c r="AX228" i="93"/>
  <c r="AY228" i="93"/>
  <c r="AZ228" i="93"/>
  <c r="BA228" i="93"/>
  <c r="BB228" i="93"/>
  <c r="BC228" i="93"/>
  <c r="BD228" i="93"/>
  <c r="BE228" i="93"/>
  <c r="BF228" i="93"/>
  <c r="BG228" i="93"/>
  <c r="BH228" i="93"/>
  <c r="BI228" i="93"/>
  <c r="BJ228" i="93"/>
  <c r="BK228" i="93"/>
  <c r="BL228" i="93"/>
  <c r="BM228" i="93"/>
  <c r="BN228" i="93"/>
  <c r="BO228" i="93"/>
  <c r="BP228" i="93"/>
  <c r="BQ228" i="93"/>
  <c r="BR228" i="93"/>
  <c r="BS228" i="93"/>
  <c r="BT228" i="93"/>
  <c r="BU228" i="93"/>
  <c r="BV228" i="93"/>
  <c r="BW228" i="93"/>
  <c r="BX228" i="93"/>
  <c r="BY228" i="93"/>
  <c r="BZ228" i="93"/>
  <c r="CA228" i="93"/>
  <c r="CB228" i="93"/>
  <c r="CC228" i="93"/>
  <c r="CD228" i="93"/>
  <c r="CE228" i="93"/>
  <c r="CF228" i="93"/>
  <c r="CG228" i="93"/>
  <c r="CH228" i="93"/>
  <c r="CI228" i="93"/>
  <c r="CJ228" i="93"/>
  <c r="CK228" i="93"/>
  <c r="CL228" i="93"/>
  <c r="CM228" i="93"/>
  <c r="CN228" i="93"/>
  <c r="CO228" i="93"/>
  <c r="CP228" i="93"/>
  <c r="CQ228" i="93"/>
  <c r="CR228" i="93"/>
  <c r="CS228" i="93"/>
  <c r="CT228" i="93"/>
  <c r="CU228" i="93"/>
  <c r="CV228" i="93"/>
  <c r="CW228" i="93"/>
  <c r="J229" i="93"/>
  <c r="K229" i="93"/>
  <c r="L229" i="93"/>
  <c r="M229" i="93"/>
  <c r="N229" i="93"/>
  <c r="O229" i="93"/>
  <c r="P229" i="93"/>
  <c r="Q229" i="93"/>
  <c r="R229" i="93"/>
  <c r="S229" i="93"/>
  <c r="T229" i="93"/>
  <c r="U229" i="93"/>
  <c r="V229" i="93"/>
  <c r="W229" i="93"/>
  <c r="X229" i="93"/>
  <c r="Y229" i="93"/>
  <c r="Z229" i="93"/>
  <c r="AA229" i="93"/>
  <c r="AB229" i="93"/>
  <c r="AC229" i="93"/>
  <c r="AD229" i="93"/>
  <c r="AE229" i="93"/>
  <c r="AF229" i="93"/>
  <c r="AG229" i="93"/>
  <c r="AH229" i="93"/>
  <c r="AI229" i="93"/>
  <c r="AJ229" i="93"/>
  <c r="AK229" i="93"/>
  <c r="AL229" i="93"/>
  <c r="AM229" i="93"/>
  <c r="AN229" i="93"/>
  <c r="AO229" i="93"/>
  <c r="AP229" i="93"/>
  <c r="AQ229" i="93"/>
  <c r="AR229" i="93"/>
  <c r="AS229" i="93"/>
  <c r="AT229" i="93"/>
  <c r="AU229" i="93"/>
  <c r="AV229" i="93"/>
  <c r="AW229" i="93"/>
  <c r="AX229" i="93"/>
  <c r="AY229" i="93"/>
  <c r="AZ229" i="93"/>
  <c r="BA229" i="93"/>
  <c r="BB229" i="93"/>
  <c r="BC229" i="93"/>
  <c r="BD229" i="93"/>
  <c r="BE229" i="93"/>
  <c r="BF229" i="93"/>
  <c r="BG229" i="93"/>
  <c r="BH229" i="93"/>
  <c r="BI229" i="93"/>
  <c r="BJ229" i="93"/>
  <c r="BK229" i="93"/>
  <c r="BL229" i="93"/>
  <c r="BM229" i="93"/>
  <c r="BN229" i="93"/>
  <c r="BO229" i="93"/>
  <c r="BP229" i="93"/>
  <c r="BQ229" i="93"/>
  <c r="BR229" i="93"/>
  <c r="BS229" i="93"/>
  <c r="BT229" i="93"/>
  <c r="BU229" i="93"/>
  <c r="BV229" i="93"/>
  <c r="BW229" i="93"/>
  <c r="BX229" i="93"/>
  <c r="BY229" i="93"/>
  <c r="BZ229" i="93"/>
  <c r="CA229" i="93"/>
  <c r="CB229" i="93"/>
  <c r="CC229" i="93"/>
  <c r="CD229" i="93"/>
  <c r="CE229" i="93"/>
  <c r="CF229" i="93"/>
  <c r="CG229" i="93"/>
  <c r="CH229" i="93"/>
  <c r="CI229" i="93"/>
  <c r="CJ229" i="93"/>
  <c r="CK229" i="93"/>
  <c r="CL229" i="93"/>
  <c r="CM229" i="93"/>
  <c r="CN229" i="93"/>
  <c r="CO229" i="93"/>
  <c r="CP229" i="93"/>
  <c r="CQ229" i="93"/>
  <c r="CR229" i="93"/>
  <c r="CS229" i="93"/>
  <c r="CT229" i="93"/>
  <c r="CU229" i="93"/>
  <c r="CV229" i="93"/>
  <c r="CW229" i="93"/>
  <c r="J230" i="93"/>
  <c r="K230" i="93"/>
  <c r="L230" i="93"/>
  <c r="M230" i="93"/>
  <c r="N230" i="93"/>
  <c r="O230" i="93"/>
  <c r="P230" i="93"/>
  <c r="Q230" i="93"/>
  <c r="R230" i="93"/>
  <c r="S230" i="93"/>
  <c r="T230" i="93"/>
  <c r="U230" i="93"/>
  <c r="V230" i="93"/>
  <c r="W230" i="93"/>
  <c r="X230" i="93"/>
  <c r="Y230" i="93"/>
  <c r="Z230" i="93"/>
  <c r="AA230" i="93"/>
  <c r="AB230" i="93"/>
  <c r="AC230" i="93"/>
  <c r="AD230" i="93"/>
  <c r="AE230" i="93"/>
  <c r="AF230" i="93"/>
  <c r="AG230" i="93"/>
  <c r="AH230" i="93"/>
  <c r="AI230" i="93"/>
  <c r="AJ230" i="93"/>
  <c r="AK230" i="93"/>
  <c r="AL230" i="93"/>
  <c r="AM230" i="93"/>
  <c r="AN230" i="93"/>
  <c r="AO230" i="93"/>
  <c r="AP230" i="93"/>
  <c r="AQ230" i="93"/>
  <c r="AR230" i="93"/>
  <c r="AS230" i="93"/>
  <c r="AT230" i="93"/>
  <c r="AU230" i="93"/>
  <c r="AV230" i="93"/>
  <c r="AW230" i="93"/>
  <c r="AX230" i="93"/>
  <c r="AY230" i="93"/>
  <c r="AZ230" i="93"/>
  <c r="BA230" i="93"/>
  <c r="BB230" i="93"/>
  <c r="BC230" i="93"/>
  <c r="BD230" i="93"/>
  <c r="BE230" i="93"/>
  <c r="BF230" i="93"/>
  <c r="BG230" i="93"/>
  <c r="BH230" i="93"/>
  <c r="BI230" i="93"/>
  <c r="BJ230" i="93"/>
  <c r="BK230" i="93"/>
  <c r="BL230" i="93"/>
  <c r="BM230" i="93"/>
  <c r="BN230" i="93"/>
  <c r="BO230" i="93"/>
  <c r="BP230" i="93"/>
  <c r="BQ230" i="93"/>
  <c r="BR230" i="93"/>
  <c r="BS230" i="93"/>
  <c r="BT230" i="93"/>
  <c r="BU230" i="93"/>
  <c r="BV230" i="93"/>
  <c r="BW230" i="93"/>
  <c r="BX230" i="93"/>
  <c r="BY230" i="93"/>
  <c r="BZ230" i="93"/>
  <c r="CA230" i="93"/>
  <c r="CB230" i="93"/>
  <c r="CC230" i="93"/>
  <c r="CD230" i="93"/>
  <c r="CE230" i="93"/>
  <c r="CF230" i="93"/>
  <c r="CG230" i="93"/>
  <c r="CH230" i="93"/>
  <c r="CI230" i="93"/>
  <c r="CJ230" i="93"/>
  <c r="CK230" i="93"/>
  <c r="CL230" i="93"/>
  <c r="CM230" i="93"/>
  <c r="CN230" i="93"/>
  <c r="CO230" i="93"/>
  <c r="CP230" i="93"/>
  <c r="CQ230" i="93"/>
  <c r="CR230" i="93"/>
  <c r="CS230" i="93"/>
  <c r="CT230" i="93"/>
  <c r="CU230" i="93"/>
  <c r="CV230" i="93"/>
  <c r="CW230" i="93"/>
  <c r="J231" i="93"/>
  <c r="K231" i="93"/>
  <c r="L231" i="93"/>
  <c r="M231" i="93"/>
  <c r="N231" i="93"/>
  <c r="O231" i="93"/>
  <c r="P231" i="93"/>
  <c r="Q231" i="93"/>
  <c r="R231" i="93"/>
  <c r="S231" i="93"/>
  <c r="T231" i="93"/>
  <c r="U231" i="93"/>
  <c r="V231" i="93"/>
  <c r="W231" i="93"/>
  <c r="X231" i="93"/>
  <c r="Y231" i="93"/>
  <c r="Z231" i="93"/>
  <c r="AA231" i="93"/>
  <c r="AB231" i="93"/>
  <c r="AC231" i="93"/>
  <c r="AD231" i="93"/>
  <c r="AE231" i="93"/>
  <c r="AF231" i="93"/>
  <c r="AG231" i="93"/>
  <c r="AH231" i="93"/>
  <c r="AI231" i="93"/>
  <c r="AJ231" i="93"/>
  <c r="AK231" i="93"/>
  <c r="AL231" i="93"/>
  <c r="AM231" i="93"/>
  <c r="AN231" i="93"/>
  <c r="AO231" i="93"/>
  <c r="AP231" i="93"/>
  <c r="AQ231" i="93"/>
  <c r="AR231" i="93"/>
  <c r="AS231" i="93"/>
  <c r="AT231" i="93"/>
  <c r="AU231" i="93"/>
  <c r="AV231" i="93"/>
  <c r="AW231" i="93"/>
  <c r="AX231" i="93"/>
  <c r="AY231" i="93"/>
  <c r="AZ231" i="93"/>
  <c r="BA231" i="93"/>
  <c r="BB231" i="93"/>
  <c r="BC231" i="93"/>
  <c r="BD231" i="93"/>
  <c r="BE231" i="93"/>
  <c r="BF231" i="93"/>
  <c r="BG231" i="93"/>
  <c r="BH231" i="93"/>
  <c r="BI231" i="93"/>
  <c r="BJ231" i="93"/>
  <c r="BK231" i="93"/>
  <c r="BL231" i="93"/>
  <c r="BM231" i="93"/>
  <c r="BN231" i="93"/>
  <c r="BO231" i="93"/>
  <c r="BP231" i="93"/>
  <c r="BQ231" i="93"/>
  <c r="BR231" i="93"/>
  <c r="BS231" i="93"/>
  <c r="BT231" i="93"/>
  <c r="BU231" i="93"/>
  <c r="BV231" i="93"/>
  <c r="BW231" i="93"/>
  <c r="BX231" i="93"/>
  <c r="BY231" i="93"/>
  <c r="BZ231" i="93"/>
  <c r="CA231" i="93"/>
  <c r="CB231" i="93"/>
  <c r="CC231" i="93"/>
  <c r="CD231" i="93"/>
  <c r="CE231" i="93"/>
  <c r="CF231" i="93"/>
  <c r="CG231" i="93"/>
  <c r="CH231" i="93"/>
  <c r="CI231" i="93"/>
  <c r="CJ231" i="93"/>
  <c r="CK231" i="93"/>
  <c r="CL231" i="93"/>
  <c r="CM231" i="93"/>
  <c r="CN231" i="93"/>
  <c r="CO231" i="93"/>
  <c r="CP231" i="93"/>
  <c r="CQ231" i="93"/>
  <c r="CR231" i="93"/>
  <c r="CS231" i="93"/>
  <c r="CT231" i="93"/>
  <c r="CU231" i="93"/>
  <c r="CV231" i="93"/>
  <c r="CW231" i="93"/>
  <c r="J232" i="93"/>
  <c r="K232" i="93"/>
  <c r="L232" i="93"/>
  <c r="M232" i="93"/>
  <c r="N232" i="93"/>
  <c r="O232" i="93"/>
  <c r="P232" i="93"/>
  <c r="Q232" i="93"/>
  <c r="R232" i="93"/>
  <c r="S232" i="93"/>
  <c r="T232" i="93"/>
  <c r="U232" i="93"/>
  <c r="V232" i="93"/>
  <c r="W232" i="93"/>
  <c r="X232" i="93"/>
  <c r="Y232" i="93"/>
  <c r="Z232" i="93"/>
  <c r="AA232" i="93"/>
  <c r="AB232" i="93"/>
  <c r="AC232" i="93"/>
  <c r="AD232" i="93"/>
  <c r="AE232" i="93"/>
  <c r="AF232" i="93"/>
  <c r="AG232" i="93"/>
  <c r="AH232" i="93"/>
  <c r="AI232" i="93"/>
  <c r="AJ232" i="93"/>
  <c r="AK232" i="93"/>
  <c r="AL232" i="93"/>
  <c r="AM232" i="93"/>
  <c r="AN232" i="93"/>
  <c r="AO232" i="93"/>
  <c r="AP232" i="93"/>
  <c r="AQ232" i="93"/>
  <c r="AR232" i="93"/>
  <c r="AS232" i="93"/>
  <c r="AT232" i="93"/>
  <c r="AU232" i="93"/>
  <c r="AV232" i="93"/>
  <c r="AW232" i="93"/>
  <c r="AX232" i="93"/>
  <c r="AY232" i="93"/>
  <c r="AZ232" i="93"/>
  <c r="BA232" i="93"/>
  <c r="BB232" i="93"/>
  <c r="BC232" i="93"/>
  <c r="BD232" i="93"/>
  <c r="BE232" i="93"/>
  <c r="BF232" i="93"/>
  <c r="BG232" i="93"/>
  <c r="BH232" i="93"/>
  <c r="BI232" i="93"/>
  <c r="BJ232" i="93"/>
  <c r="BK232" i="93"/>
  <c r="BL232" i="93"/>
  <c r="BM232" i="93"/>
  <c r="BN232" i="93"/>
  <c r="BO232" i="93"/>
  <c r="BP232" i="93"/>
  <c r="BQ232" i="93"/>
  <c r="BR232" i="93"/>
  <c r="BS232" i="93"/>
  <c r="BT232" i="93"/>
  <c r="BU232" i="93"/>
  <c r="BV232" i="93"/>
  <c r="BW232" i="93"/>
  <c r="BX232" i="93"/>
  <c r="BY232" i="93"/>
  <c r="BZ232" i="93"/>
  <c r="CA232" i="93"/>
  <c r="CB232" i="93"/>
  <c r="CC232" i="93"/>
  <c r="CD232" i="93"/>
  <c r="CE232" i="93"/>
  <c r="CF232" i="93"/>
  <c r="CG232" i="93"/>
  <c r="CH232" i="93"/>
  <c r="CI232" i="93"/>
  <c r="CJ232" i="93"/>
  <c r="CK232" i="93"/>
  <c r="CL232" i="93"/>
  <c r="CM232" i="93"/>
  <c r="CN232" i="93"/>
  <c r="CO232" i="93"/>
  <c r="CP232" i="93"/>
  <c r="CQ232" i="93"/>
  <c r="CR232" i="93"/>
  <c r="CS232" i="93"/>
  <c r="CT232" i="93"/>
  <c r="CU232" i="93"/>
  <c r="CV232" i="93"/>
  <c r="CW232" i="93"/>
  <c r="J233" i="93"/>
  <c r="K233" i="93"/>
  <c r="L233" i="93"/>
  <c r="M233" i="93"/>
  <c r="N233" i="93"/>
  <c r="O233" i="93"/>
  <c r="P233" i="93"/>
  <c r="Q233" i="93"/>
  <c r="R233" i="93"/>
  <c r="S233" i="93"/>
  <c r="T233" i="93"/>
  <c r="U233" i="93"/>
  <c r="V233" i="93"/>
  <c r="W233" i="93"/>
  <c r="X233" i="93"/>
  <c r="Y233" i="93"/>
  <c r="Z233" i="93"/>
  <c r="AA233" i="93"/>
  <c r="AB233" i="93"/>
  <c r="AC233" i="93"/>
  <c r="AD233" i="93"/>
  <c r="AE233" i="93"/>
  <c r="AF233" i="93"/>
  <c r="AG233" i="93"/>
  <c r="AH233" i="93"/>
  <c r="AI233" i="93"/>
  <c r="AJ233" i="93"/>
  <c r="AK233" i="93"/>
  <c r="AL233" i="93"/>
  <c r="AM233" i="93"/>
  <c r="AN233" i="93"/>
  <c r="AO233" i="93"/>
  <c r="AP233" i="93"/>
  <c r="AQ233" i="93"/>
  <c r="AR233" i="93"/>
  <c r="AS233" i="93"/>
  <c r="AT233" i="93"/>
  <c r="AU233" i="93"/>
  <c r="AV233" i="93"/>
  <c r="AW233" i="93"/>
  <c r="AX233" i="93"/>
  <c r="AY233" i="93"/>
  <c r="AZ233" i="93"/>
  <c r="BA233" i="93"/>
  <c r="BB233" i="93"/>
  <c r="BC233" i="93"/>
  <c r="BD233" i="93"/>
  <c r="BE233" i="93"/>
  <c r="BF233" i="93"/>
  <c r="BG233" i="93"/>
  <c r="BH233" i="93"/>
  <c r="BI233" i="93"/>
  <c r="BJ233" i="93"/>
  <c r="BK233" i="93"/>
  <c r="BL233" i="93"/>
  <c r="BM233" i="93"/>
  <c r="BN233" i="93"/>
  <c r="BO233" i="93"/>
  <c r="BP233" i="93"/>
  <c r="BQ233" i="93"/>
  <c r="BR233" i="93"/>
  <c r="BS233" i="93"/>
  <c r="BT233" i="93"/>
  <c r="BU233" i="93"/>
  <c r="BV233" i="93"/>
  <c r="BW233" i="93"/>
  <c r="BX233" i="93"/>
  <c r="BY233" i="93"/>
  <c r="BZ233" i="93"/>
  <c r="CA233" i="93"/>
  <c r="CB233" i="93"/>
  <c r="CC233" i="93"/>
  <c r="CD233" i="93"/>
  <c r="CE233" i="93"/>
  <c r="CF233" i="93"/>
  <c r="CG233" i="93"/>
  <c r="CH233" i="93"/>
  <c r="CI233" i="93"/>
  <c r="CJ233" i="93"/>
  <c r="CK233" i="93"/>
  <c r="CL233" i="93"/>
  <c r="CM233" i="93"/>
  <c r="CN233" i="93"/>
  <c r="CO233" i="93"/>
  <c r="CP233" i="93"/>
  <c r="CQ233" i="93"/>
  <c r="CR233" i="93"/>
  <c r="CS233" i="93"/>
  <c r="CT233" i="93"/>
  <c r="CU233" i="93"/>
  <c r="CV233" i="93"/>
  <c r="CW233" i="93"/>
  <c r="J234" i="93"/>
  <c r="K234" i="93"/>
  <c r="L234" i="93"/>
  <c r="M234" i="93"/>
  <c r="N234" i="93"/>
  <c r="O234" i="93"/>
  <c r="P234" i="93"/>
  <c r="Q234" i="93"/>
  <c r="R234" i="93"/>
  <c r="S234" i="93"/>
  <c r="T234" i="93"/>
  <c r="U234" i="93"/>
  <c r="V234" i="93"/>
  <c r="W234" i="93"/>
  <c r="X234" i="93"/>
  <c r="Y234" i="93"/>
  <c r="Z234" i="93"/>
  <c r="AA234" i="93"/>
  <c r="AB234" i="93"/>
  <c r="AC234" i="93"/>
  <c r="AD234" i="93"/>
  <c r="AE234" i="93"/>
  <c r="AF234" i="93"/>
  <c r="AG234" i="93"/>
  <c r="AH234" i="93"/>
  <c r="AI234" i="93"/>
  <c r="AJ234" i="93"/>
  <c r="AK234" i="93"/>
  <c r="AL234" i="93"/>
  <c r="AM234" i="93"/>
  <c r="AN234" i="93"/>
  <c r="AO234" i="93"/>
  <c r="AP234" i="93"/>
  <c r="AQ234" i="93"/>
  <c r="AR234" i="93"/>
  <c r="AS234" i="93"/>
  <c r="AT234" i="93"/>
  <c r="AU234" i="93"/>
  <c r="AV234" i="93"/>
  <c r="AW234" i="93"/>
  <c r="AX234" i="93"/>
  <c r="AY234" i="93"/>
  <c r="AZ234" i="93"/>
  <c r="BA234" i="93"/>
  <c r="BB234" i="93"/>
  <c r="BC234" i="93"/>
  <c r="BD234" i="93"/>
  <c r="BE234" i="93"/>
  <c r="BF234" i="93"/>
  <c r="BG234" i="93"/>
  <c r="BH234" i="93"/>
  <c r="BI234" i="93"/>
  <c r="BJ234" i="93"/>
  <c r="BK234" i="93"/>
  <c r="BL234" i="93"/>
  <c r="BM234" i="93"/>
  <c r="BN234" i="93"/>
  <c r="BO234" i="93"/>
  <c r="BP234" i="93"/>
  <c r="BQ234" i="93"/>
  <c r="BR234" i="93"/>
  <c r="BS234" i="93"/>
  <c r="BT234" i="93"/>
  <c r="BU234" i="93"/>
  <c r="BV234" i="93"/>
  <c r="BW234" i="93"/>
  <c r="BX234" i="93"/>
  <c r="BY234" i="93"/>
  <c r="BZ234" i="93"/>
  <c r="CA234" i="93"/>
  <c r="CB234" i="93"/>
  <c r="CC234" i="93"/>
  <c r="CD234" i="93"/>
  <c r="CE234" i="93"/>
  <c r="CF234" i="93"/>
  <c r="CG234" i="93"/>
  <c r="CH234" i="93"/>
  <c r="CI234" i="93"/>
  <c r="CJ234" i="93"/>
  <c r="CK234" i="93"/>
  <c r="CL234" i="93"/>
  <c r="CM234" i="93"/>
  <c r="CN234" i="93"/>
  <c r="CO234" i="93"/>
  <c r="CP234" i="93"/>
  <c r="CQ234" i="93"/>
  <c r="CR234" i="93"/>
  <c r="CS234" i="93"/>
  <c r="CT234" i="93"/>
  <c r="CU234" i="93"/>
  <c r="CV234" i="93"/>
  <c r="CW234" i="93"/>
  <c r="J235" i="93"/>
  <c r="K235" i="93"/>
  <c r="L235" i="93"/>
  <c r="M235" i="93"/>
  <c r="N235" i="93"/>
  <c r="O235" i="93"/>
  <c r="P235" i="93"/>
  <c r="Q235" i="93"/>
  <c r="R235" i="93"/>
  <c r="S235" i="93"/>
  <c r="T235" i="93"/>
  <c r="U235" i="93"/>
  <c r="V235" i="93"/>
  <c r="W235" i="93"/>
  <c r="X235" i="93"/>
  <c r="Y235" i="93"/>
  <c r="Z235" i="93"/>
  <c r="AA235" i="93"/>
  <c r="AB235" i="93"/>
  <c r="AC235" i="93"/>
  <c r="AD235" i="93"/>
  <c r="AE235" i="93"/>
  <c r="AF235" i="93"/>
  <c r="AG235" i="93"/>
  <c r="AH235" i="93"/>
  <c r="AI235" i="93"/>
  <c r="AJ235" i="93"/>
  <c r="AK235" i="93"/>
  <c r="AL235" i="93"/>
  <c r="AM235" i="93"/>
  <c r="AN235" i="93"/>
  <c r="AO235" i="93"/>
  <c r="AP235" i="93"/>
  <c r="AQ235" i="93"/>
  <c r="AR235" i="93"/>
  <c r="AS235" i="93"/>
  <c r="AT235" i="93"/>
  <c r="AU235" i="93"/>
  <c r="AV235" i="93"/>
  <c r="AW235" i="93"/>
  <c r="AX235" i="93"/>
  <c r="AY235" i="93"/>
  <c r="AZ235" i="93"/>
  <c r="BA235" i="93"/>
  <c r="BB235" i="93"/>
  <c r="BC235" i="93"/>
  <c r="BD235" i="93"/>
  <c r="BE235" i="93"/>
  <c r="BF235" i="93"/>
  <c r="BG235" i="93"/>
  <c r="BH235" i="93"/>
  <c r="BI235" i="93"/>
  <c r="BJ235" i="93"/>
  <c r="BK235" i="93"/>
  <c r="BL235" i="93"/>
  <c r="BM235" i="93"/>
  <c r="BN235" i="93"/>
  <c r="BO235" i="93"/>
  <c r="BP235" i="93"/>
  <c r="BQ235" i="93"/>
  <c r="BR235" i="93"/>
  <c r="BS235" i="93"/>
  <c r="BT235" i="93"/>
  <c r="BU235" i="93"/>
  <c r="BV235" i="93"/>
  <c r="BW235" i="93"/>
  <c r="BX235" i="93"/>
  <c r="BY235" i="93"/>
  <c r="BZ235" i="93"/>
  <c r="CA235" i="93"/>
  <c r="CB235" i="93"/>
  <c r="CC235" i="93"/>
  <c r="CD235" i="93"/>
  <c r="CE235" i="93"/>
  <c r="CF235" i="93"/>
  <c r="CG235" i="93"/>
  <c r="CH235" i="93"/>
  <c r="CI235" i="93"/>
  <c r="CJ235" i="93"/>
  <c r="CK235" i="93"/>
  <c r="CL235" i="93"/>
  <c r="CM235" i="93"/>
  <c r="CN235" i="93"/>
  <c r="CO235" i="93"/>
  <c r="CP235" i="93"/>
  <c r="CQ235" i="93"/>
  <c r="CR235" i="93"/>
  <c r="CS235" i="93"/>
  <c r="CT235" i="93"/>
  <c r="CU235" i="93"/>
  <c r="CV235" i="93"/>
  <c r="CW235" i="93"/>
  <c r="J236" i="93"/>
  <c r="K236" i="93"/>
  <c r="L236" i="93"/>
  <c r="M236" i="93"/>
  <c r="N236" i="93"/>
  <c r="O236" i="93"/>
  <c r="P236" i="93"/>
  <c r="Q236" i="93"/>
  <c r="R236" i="93"/>
  <c r="S236" i="93"/>
  <c r="T236" i="93"/>
  <c r="U236" i="93"/>
  <c r="V236" i="93"/>
  <c r="W236" i="93"/>
  <c r="X236" i="93"/>
  <c r="Y236" i="93"/>
  <c r="Z236" i="93"/>
  <c r="AA236" i="93"/>
  <c r="AB236" i="93"/>
  <c r="AC236" i="93"/>
  <c r="AD236" i="93"/>
  <c r="AE236" i="93"/>
  <c r="AF236" i="93"/>
  <c r="AG236" i="93"/>
  <c r="AH236" i="93"/>
  <c r="AI236" i="93"/>
  <c r="AJ236" i="93"/>
  <c r="AK236" i="93"/>
  <c r="AL236" i="93"/>
  <c r="AM236" i="93"/>
  <c r="AN236" i="93"/>
  <c r="AO236" i="93"/>
  <c r="AP236" i="93"/>
  <c r="AQ236" i="93"/>
  <c r="AR236" i="93"/>
  <c r="AS236" i="93"/>
  <c r="AT236" i="93"/>
  <c r="AU236" i="93"/>
  <c r="AV236" i="93"/>
  <c r="AW236" i="93"/>
  <c r="AX236" i="93"/>
  <c r="AY236" i="93"/>
  <c r="AZ236" i="93"/>
  <c r="BA236" i="93"/>
  <c r="BB236" i="93"/>
  <c r="BC236" i="93"/>
  <c r="BD236" i="93"/>
  <c r="BE236" i="93"/>
  <c r="BF236" i="93"/>
  <c r="BG236" i="93"/>
  <c r="BH236" i="93"/>
  <c r="BI236" i="93"/>
  <c r="BJ236" i="93"/>
  <c r="BK236" i="93"/>
  <c r="BL236" i="93"/>
  <c r="BM236" i="93"/>
  <c r="BN236" i="93"/>
  <c r="BO236" i="93"/>
  <c r="BP236" i="93"/>
  <c r="BQ236" i="93"/>
  <c r="BR236" i="93"/>
  <c r="BS236" i="93"/>
  <c r="BT236" i="93"/>
  <c r="BU236" i="93"/>
  <c r="BV236" i="93"/>
  <c r="BW236" i="93"/>
  <c r="BX236" i="93"/>
  <c r="BY236" i="93"/>
  <c r="BZ236" i="93"/>
  <c r="CA236" i="93"/>
  <c r="CB236" i="93"/>
  <c r="CC236" i="93"/>
  <c r="CD236" i="93"/>
  <c r="CE236" i="93"/>
  <c r="CF236" i="93"/>
  <c r="CG236" i="93"/>
  <c r="CH236" i="93"/>
  <c r="CI236" i="93"/>
  <c r="CJ236" i="93"/>
  <c r="CK236" i="93"/>
  <c r="CL236" i="93"/>
  <c r="CM236" i="93"/>
  <c r="CN236" i="93"/>
  <c r="CO236" i="93"/>
  <c r="CP236" i="93"/>
  <c r="CQ236" i="93"/>
  <c r="CR236" i="93"/>
  <c r="CS236" i="93"/>
  <c r="CT236" i="93"/>
  <c r="CU236" i="93"/>
  <c r="CV236" i="93"/>
  <c r="CW236" i="93"/>
  <c r="J237" i="93"/>
  <c r="K237" i="93"/>
  <c r="L237" i="93"/>
  <c r="M237" i="93"/>
  <c r="N237" i="93"/>
  <c r="O237" i="93"/>
  <c r="P237" i="93"/>
  <c r="Q237" i="93"/>
  <c r="R237" i="93"/>
  <c r="S237" i="93"/>
  <c r="T237" i="93"/>
  <c r="U237" i="93"/>
  <c r="V237" i="93"/>
  <c r="W237" i="93"/>
  <c r="X237" i="93"/>
  <c r="Y237" i="93"/>
  <c r="Z237" i="93"/>
  <c r="AA237" i="93"/>
  <c r="AB237" i="93"/>
  <c r="AC237" i="93"/>
  <c r="AD237" i="93"/>
  <c r="AE237" i="93"/>
  <c r="AF237" i="93"/>
  <c r="AG237" i="93"/>
  <c r="AH237" i="93"/>
  <c r="AI237" i="93"/>
  <c r="AJ237" i="93"/>
  <c r="AK237" i="93"/>
  <c r="AL237" i="93"/>
  <c r="AM237" i="93"/>
  <c r="AN237" i="93"/>
  <c r="AO237" i="93"/>
  <c r="AP237" i="93"/>
  <c r="AQ237" i="93"/>
  <c r="AR237" i="93"/>
  <c r="AS237" i="93"/>
  <c r="AT237" i="93"/>
  <c r="AU237" i="93"/>
  <c r="AV237" i="93"/>
  <c r="AW237" i="93"/>
  <c r="AX237" i="93"/>
  <c r="AY237" i="93"/>
  <c r="AZ237" i="93"/>
  <c r="BA237" i="93"/>
  <c r="BB237" i="93"/>
  <c r="BC237" i="93"/>
  <c r="BD237" i="93"/>
  <c r="BE237" i="93"/>
  <c r="BF237" i="93"/>
  <c r="BG237" i="93"/>
  <c r="BH237" i="93"/>
  <c r="BI237" i="93"/>
  <c r="BJ237" i="93"/>
  <c r="BK237" i="93"/>
  <c r="BL237" i="93"/>
  <c r="BM237" i="93"/>
  <c r="BN237" i="93"/>
  <c r="BO237" i="93"/>
  <c r="BP237" i="93"/>
  <c r="BQ237" i="93"/>
  <c r="BR237" i="93"/>
  <c r="BS237" i="93"/>
  <c r="BT237" i="93"/>
  <c r="BU237" i="93"/>
  <c r="BV237" i="93"/>
  <c r="BW237" i="93"/>
  <c r="BX237" i="93"/>
  <c r="BY237" i="93"/>
  <c r="BZ237" i="93"/>
  <c r="CA237" i="93"/>
  <c r="CB237" i="93"/>
  <c r="CC237" i="93"/>
  <c r="CD237" i="93"/>
  <c r="CE237" i="93"/>
  <c r="CF237" i="93"/>
  <c r="CG237" i="93"/>
  <c r="CH237" i="93"/>
  <c r="CI237" i="93"/>
  <c r="CJ237" i="93"/>
  <c r="CK237" i="93"/>
  <c r="CL237" i="93"/>
  <c r="CM237" i="93"/>
  <c r="CN237" i="93"/>
  <c r="CO237" i="93"/>
  <c r="CP237" i="93"/>
  <c r="CQ237" i="93"/>
  <c r="CR237" i="93"/>
  <c r="CS237" i="93"/>
  <c r="CT237" i="93"/>
  <c r="CU237" i="93"/>
  <c r="CV237" i="93"/>
  <c r="CW237" i="93"/>
  <c r="J238" i="93"/>
  <c r="K238" i="93"/>
  <c r="L238" i="93"/>
  <c r="M238" i="93"/>
  <c r="N238" i="93"/>
  <c r="O238" i="93"/>
  <c r="P238" i="93"/>
  <c r="Q238" i="93"/>
  <c r="R238" i="93"/>
  <c r="S238" i="93"/>
  <c r="T238" i="93"/>
  <c r="U238" i="93"/>
  <c r="V238" i="93"/>
  <c r="W238" i="93"/>
  <c r="X238" i="93"/>
  <c r="Y238" i="93"/>
  <c r="Z238" i="93"/>
  <c r="AA238" i="93"/>
  <c r="AB238" i="93"/>
  <c r="AC238" i="93"/>
  <c r="AD238" i="93"/>
  <c r="AE238" i="93"/>
  <c r="AF238" i="93"/>
  <c r="AG238" i="93"/>
  <c r="AH238" i="93"/>
  <c r="AI238" i="93"/>
  <c r="AJ238" i="93"/>
  <c r="AK238" i="93"/>
  <c r="AL238" i="93"/>
  <c r="AM238" i="93"/>
  <c r="AN238" i="93"/>
  <c r="AO238" i="93"/>
  <c r="AP238" i="93"/>
  <c r="AQ238" i="93"/>
  <c r="AR238" i="93"/>
  <c r="AS238" i="93"/>
  <c r="AT238" i="93"/>
  <c r="AU238" i="93"/>
  <c r="AV238" i="93"/>
  <c r="AW238" i="93"/>
  <c r="AX238" i="93"/>
  <c r="AY238" i="93"/>
  <c r="AZ238" i="93"/>
  <c r="BA238" i="93"/>
  <c r="BB238" i="93"/>
  <c r="BC238" i="93"/>
  <c r="BD238" i="93"/>
  <c r="BE238" i="93"/>
  <c r="BF238" i="93"/>
  <c r="BG238" i="93"/>
  <c r="BH238" i="93"/>
  <c r="BI238" i="93"/>
  <c r="BJ238" i="93"/>
  <c r="BK238" i="93"/>
  <c r="BL238" i="93"/>
  <c r="BM238" i="93"/>
  <c r="BN238" i="93"/>
  <c r="BO238" i="93"/>
  <c r="BP238" i="93"/>
  <c r="BQ238" i="93"/>
  <c r="BR238" i="93"/>
  <c r="BS238" i="93"/>
  <c r="BT238" i="93"/>
  <c r="BU238" i="93"/>
  <c r="BV238" i="93"/>
  <c r="BW238" i="93"/>
  <c r="BX238" i="93"/>
  <c r="BY238" i="93"/>
  <c r="BZ238" i="93"/>
  <c r="CA238" i="93"/>
  <c r="CB238" i="93"/>
  <c r="CC238" i="93"/>
  <c r="CD238" i="93"/>
  <c r="CE238" i="93"/>
  <c r="CF238" i="93"/>
  <c r="CG238" i="93"/>
  <c r="CH238" i="93"/>
  <c r="CI238" i="93"/>
  <c r="CJ238" i="93"/>
  <c r="CK238" i="93"/>
  <c r="CL238" i="93"/>
  <c r="CM238" i="93"/>
  <c r="CN238" i="93"/>
  <c r="CO238" i="93"/>
  <c r="CP238" i="93"/>
  <c r="CQ238" i="93"/>
  <c r="CR238" i="93"/>
  <c r="CS238" i="93"/>
  <c r="CT238" i="93"/>
  <c r="CU238" i="93"/>
  <c r="CV238" i="93"/>
  <c r="CW238" i="93"/>
  <c r="J239" i="93"/>
  <c r="K239" i="93"/>
  <c r="L239" i="93"/>
  <c r="M239" i="93"/>
  <c r="N239" i="93"/>
  <c r="O239" i="93"/>
  <c r="P239" i="93"/>
  <c r="Q239" i="93"/>
  <c r="R239" i="93"/>
  <c r="S239" i="93"/>
  <c r="T239" i="93"/>
  <c r="U239" i="93"/>
  <c r="V239" i="93"/>
  <c r="W239" i="93"/>
  <c r="X239" i="93"/>
  <c r="Y239" i="93"/>
  <c r="Z239" i="93"/>
  <c r="AA239" i="93"/>
  <c r="AB239" i="93"/>
  <c r="AC239" i="93"/>
  <c r="AD239" i="93"/>
  <c r="AE239" i="93"/>
  <c r="AF239" i="93"/>
  <c r="AG239" i="93"/>
  <c r="AH239" i="93"/>
  <c r="AI239" i="93"/>
  <c r="AJ239" i="93"/>
  <c r="AK239" i="93"/>
  <c r="AL239" i="93"/>
  <c r="AM239" i="93"/>
  <c r="AN239" i="93"/>
  <c r="AO239" i="93"/>
  <c r="AP239" i="93"/>
  <c r="AQ239" i="93"/>
  <c r="AR239" i="93"/>
  <c r="AS239" i="93"/>
  <c r="AT239" i="93"/>
  <c r="AU239" i="93"/>
  <c r="AV239" i="93"/>
  <c r="AW239" i="93"/>
  <c r="AX239" i="93"/>
  <c r="AY239" i="93"/>
  <c r="AZ239" i="93"/>
  <c r="BA239" i="93"/>
  <c r="BB239" i="93"/>
  <c r="BC239" i="93"/>
  <c r="BD239" i="93"/>
  <c r="BE239" i="93"/>
  <c r="BF239" i="93"/>
  <c r="BG239" i="93"/>
  <c r="BH239" i="93"/>
  <c r="BI239" i="93"/>
  <c r="BJ239" i="93"/>
  <c r="BK239" i="93"/>
  <c r="BL239" i="93"/>
  <c r="BM239" i="93"/>
  <c r="BN239" i="93"/>
  <c r="BO239" i="93"/>
  <c r="BP239" i="93"/>
  <c r="BQ239" i="93"/>
  <c r="BR239" i="93"/>
  <c r="BS239" i="93"/>
  <c r="BT239" i="93"/>
  <c r="BU239" i="93"/>
  <c r="BV239" i="93"/>
  <c r="BW239" i="93"/>
  <c r="BX239" i="93"/>
  <c r="BY239" i="93"/>
  <c r="BZ239" i="93"/>
  <c r="CA239" i="93"/>
  <c r="CB239" i="93"/>
  <c r="CC239" i="93"/>
  <c r="CD239" i="93"/>
  <c r="CE239" i="93"/>
  <c r="CF239" i="93"/>
  <c r="CG239" i="93"/>
  <c r="CH239" i="93"/>
  <c r="CI239" i="93"/>
  <c r="CJ239" i="93"/>
  <c r="CK239" i="93"/>
  <c r="CL239" i="93"/>
  <c r="CM239" i="93"/>
  <c r="CN239" i="93"/>
  <c r="CO239" i="93"/>
  <c r="CP239" i="93"/>
  <c r="CQ239" i="93"/>
  <c r="CR239" i="93"/>
  <c r="CS239" i="93"/>
  <c r="CT239" i="93"/>
  <c r="CU239" i="93"/>
  <c r="CV239" i="93"/>
  <c r="CW239" i="93"/>
  <c r="J240" i="93"/>
  <c r="K240" i="93"/>
  <c r="L240" i="93"/>
  <c r="M240" i="93"/>
  <c r="N240" i="93"/>
  <c r="O240" i="93"/>
  <c r="P240" i="93"/>
  <c r="Q240" i="93"/>
  <c r="R240" i="93"/>
  <c r="S240" i="93"/>
  <c r="T240" i="93"/>
  <c r="U240" i="93"/>
  <c r="V240" i="93"/>
  <c r="W240" i="93"/>
  <c r="X240" i="93"/>
  <c r="Y240" i="93"/>
  <c r="Z240" i="93"/>
  <c r="AA240" i="93"/>
  <c r="AB240" i="93"/>
  <c r="AC240" i="93"/>
  <c r="AD240" i="93"/>
  <c r="AE240" i="93"/>
  <c r="AF240" i="93"/>
  <c r="AG240" i="93"/>
  <c r="AH240" i="93"/>
  <c r="AI240" i="93"/>
  <c r="AJ240" i="93"/>
  <c r="AK240" i="93"/>
  <c r="AL240" i="93"/>
  <c r="AM240" i="93"/>
  <c r="AN240" i="93"/>
  <c r="AO240" i="93"/>
  <c r="AP240" i="93"/>
  <c r="AQ240" i="93"/>
  <c r="AR240" i="93"/>
  <c r="AS240" i="93"/>
  <c r="AT240" i="93"/>
  <c r="AU240" i="93"/>
  <c r="AV240" i="93"/>
  <c r="AW240" i="93"/>
  <c r="AX240" i="93"/>
  <c r="AY240" i="93"/>
  <c r="AZ240" i="93"/>
  <c r="BA240" i="93"/>
  <c r="BB240" i="93"/>
  <c r="BC240" i="93"/>
  <c r="BD240" i="93"/>
  <c r="BE240" i="93"/>
  <c r="BF240" i="93"/>
  <c r="BG240" i="93"/>
  <c r="BH240" i="93"/>
  <c r="BI240" i="93"/>
  <c r="BJ240" i="93"/>
  <c r="BK240" i="93"/>
  <c r="BL240" i="93"/>
  <c r="BM240" i="93"/>
  <c r="BN240" i="93"/>
  <c r="BO240" i="93"/>
  <c r="BP240" i="93"/>
  <c r="BQ240" i="93"/>
  <c r="BR240" i="93"/>
  <c r="BS240" i="93"/>
  <c r="BT240" i="93"/>
  <c r="BU240" i="93"/>
  <c r="BV240" i="93"/>
  <c r="BW240" i="93"/>
  <c r="BX240" i="93"/>
  <c r="BY240" i="93"/>
  <c r="BZ240" i="93"/>
  <c r="CA240" i="93"/>
  <c r="CB240" i="93"/>
  <c r="CC240" i="93"/>
  <c r="CD240" i="93"/>
  <c r="CE240" i="93"/>
  <c r="CF240" i="93"/>
  <c r="CG240" i="93"/>
  <c r="CH240" i="93"/>
  <c r="CI240" i="93"/>
  <c r="CJ240" i="93"/>
  <c r="CK240" i="93"/>
  <c r="CL240" i="93"/>
  <c r="CM240" i="93"/>
  <c r="CN240" i="93"/>
  <c r="CO240" i="93"/>
  <c r="CP240" i="93"/>
  <c r="CQ240" i="93"/>
  <c r="CR240" i="93"/>
  <c r="CS240" i="93"/>
  <c r="CT240" i="93"/>
  <c r="CU240" i="93"/>
  <c r="CV240" i="93"/>
  <c r="CW240" i="93"/>
  <c r="J241" i="93"/>
  <c r="K241" i="93"/>
  <c r="L241" i="93"/>
  <c r="M241" i="93"/>
  <c r="N241" i="93"/>
  <c r="O241" i="93"/>
  <c r="P241" i="93"/>
  <c r="Q241" i="93"/>
  <c r="R241" i="93"/>
  <c r="S241" i="93"/>
  <c r="T241" i="93"/>
  <c r="U241" i="93"/>
  <c r="V241" i="93"/>
  <c r="W241" i="93"/>
  <c r="X241" i="93"/>
  <c r="Y241" i="93"/>
  <c r="Z241" i="93"/>
  <c r="AA241" i="93"/>
  <c r="AB241" i="93"/>
  <c r="AC241" i="93"/>
  <c r="AD241" i="93"/>
  <c r="AE241" i="93"/>
  <c r="AF241" i="93"/>
  <c r="AG241" i="93"/>
  <c r="AH241" i="93"/>
  <c r="AI241" i="93"/>
  <c r="AJ241" i="93"/>
  <c r="AK241" i="93"/>
  <c r="AL241" i="93"/>
  <c r="AM241" i="93"/>
  <c r="AN241" i="93"/>
  <c r="AO241" i="93"/>
  <c r="AP241" i="93"/>
  <c r="AQ241" i="93"/>
  <c r="AR241" i="93"/>
  <c r="AS241" i="93"/>
  <c r="AT241" i="93"/>
  <c r="AU241" i="93"/>
  <c r="AV241" i="93"/>
  <c r="AW241" i="93"/>
  <c r="AX241" i="93"/>
  <c r="AY241" i="93"/>
  <c r="AZ241" i="93"/>
  <c r="BA241" i="93"/>
  <c r="BB241" i="93"/>
  <c r="BC241" i="93"/>
  <c r="BD241" i="93"/>
  <c r="BE241" i="93"/>
  <c r="BF241" i="93"/>
  <c r="BG241" i="93"/>
  <c r="BH241" i="93"/>
  <c r="BI241" i="93"/>
  <c r="BJ241" i="93"/>
  <c r="BK241" i="93"/>
  <c r="BL241" i="93"/>
  <c r="BM241" i="93"/>
  <c r="BN241" i="93"/>
  <c r="BO241" i="93"/>
  <c r="BP241" i="93"/>
  <c r="BQ241" i="93"/>
  <c r="BR241" i="93"/>
  <c r="BS241" i="93"/>
  <c r="BT241" i="93"/>
  <c r="BU241" i="93"/>
  <c r="BV241" i="93"/>
  <c r="BW241" i="93"/>
  <c r="BX241" i="93"/>
  <c r="BY241" i="93"/>
  <c r="BZ241" i="93"/>
  <c r="CA241" i="93"/>
  <c r="CB241" i="93"/>
  <c r="CC241" i="93"/>
  <c r="CD241" i="93"/>
  <c r="CE241" i="93"/>
  <c r="CF241" i="93"/>
  <c r="CG241" i="93"/>
  <c r="CH241" i="93"/>
  <c r="CI241" i="93"/>
  <c r="CJ241" i="93"/>
  <c r="CK241" i="93"/>
  <c r="CL241" i="93"/>
  <c r="CM241" i="93"/>
  <c r="CN241" i="93"/>
  <c r="CO241" i="93"/>
  <c r="CP241" i="93"/>
  <c r="CQ241" i="93"/>
  <c r="CR241" i="93"/>
  <c r="CS241" i="93"/>
  <c r="CT241" i="93"/>
  <c r="CU241" i="93"/>
  <c r="CV241" i="93"/>
  <c r="CW241" i="93"/>
  <c r="J242" i="93"/>
  <c r="K242" i="93"/>
  <c r="L242" i="93"/>
  <c r="M242" i="93"/>
  <c r="N242" i="93"/>
  <c r="O242" i="93"/>
  <c r="P242" i="93"/>
  <c r="Q242" i="93"/>
  <c r="R242" i="93"/>
  <c r="S242" i="93"/>
  <c r="T242" i="93"/>
  <c r="U242" i="93"/>
  <c r="V242" i="93"/>
  <c r="W242" i="93"/>
  <c r="X242" i="93"/>
  <c r="Y242" i="93"/>
  <c r="Z242" i="93"/>
  <c r="AA242" i="93"/>
  <c r="AB242" i="93"/>
  <c r="AC242" i="93"/>
  <c r="AD242" i="93"/>
  <c r="AE242" i="93"/>
  <c r="AF242" i="93"/>
  <c r="AG242" i="93"/>
  <c r="AH242" i="93"/>
  <c r="AI242" i="93"/>
  <c r="AJ242" i="93"/>
  <c r="AK242" i="93"/>
  <c r="AL242" i="93"/>
  <c r="AM242" i="93"/>
  <c r="AN242" i="93"/>
  <c r="AO242" i="93"/>
  <c r="AP242" i="93"/>
  <c r="AQ242" i="93"/>
  <c r="AR242" i="93"/>
  <c r="AS242" i="93"/>
  <c r="AT242" i="93"/>
  <c r="AU242" i="93"/>
  <c r="AV242" i="93"/>
  <c r="AW242" i="93"/>
  <c r="AX242" i="93"/>
  <c r="AY242" i="93"/>
  <c r="AZ242" i="93"/>
  <c r="BA242" i="93"/>
  <c r="BB242" i="93"/>
  <c r="BC242" i="93"/>
  <c r="BD242" i="93"/>
  <c r="BE242" i="93"/>
  <c r="BF242" i="93"/>
  <c r="BG242" i="93"/>
  <c r="BH242" i="93"/>
  <c r="BI242" i="93"/>
  <c r="BJ242" i="93"/>
  <c r="BK242" i="93"/>
  <c r="BL242" i="93"/>
  <c r="BM242" i="93"/>
  <c r="BN242" i="93"/>
  <c r="BO242" i="93"/>
  <c r="BP242" i="93"/>
  <c r="BQ242" i="93"/>
  <c r="BR242" i="93"/>
  <c r="BS242" i="93"/>
  <c r="BT242" i="93"/>
  <c r="BU242" i="93"/>
  <c r="BV242" i="93"/>
  <c r="BW242" i="93"/>
  <c r="BX242" i="93"/>
  <c r="BY242" i="93"/>
  <c r="BZ242" i="93"/>
  <c r="CA242" i="93"/>
  <c r="CB242" i="93"/>
  <c r="CC242" i="93"/>
  <c r="CD242" i="93"/>
  <c r="CE242" i="93"/>
  <c r="CF242" i="93"/>
  <c r="CG242" i="93"/>
  <c r="CH242" i="93"/>
  <c r="CI242" i="93"/>
  <c r="CJ242" i="93"/>
  <c r="CK242" i="93"/>
  <c r="CL242" i="93"/>
  <c r="CM242" i="93"/>
  <c r="CN242" i="93"/>
  <c r="CO242" i="93"/>
  <c r="CP242" i="93"/>
  <c r="CQ242" i="93"/>
  <c r="CR242" i="93"/>
  <c r="CS242" i="93"/>
  <c r="CT242" i="93"/>
  <c r="CU242" i="93"/>
  <c r="CV242" i="93"/>
  <c r="CW242" i="93"/>
  <c r="J243" i="93"/>
  <c r="K243" i="93"/>
  <c r="L243" i="93"/>
  <c r="M243" i="93"/>
  <c r="N243" i="93"/>
  <c r="O243" i="93"/>
  <c r="P243" i="93"/>
  <c r="Q243" i="93"/>
  <c r="R243" i="93"/>
  <c r="S243" i="93"/>
  <c r="T243" i="93"/>
  <c r="U243" i="93"/>
  <c r="V243" i="93"/>
  <c r="W243" i="93"/>
  <c r="X243" i="93"/>
  <c r="Y243" i="93"/>
  <c r="Z243" i="93"/>
  <c r="AA243" i="93"/>
  <c r="AB243" i="93"/>
  <c r="AC243" i="93"/>
  <c r="AD243" i="93"/>
  <c r="AE243" i="93"/>
  <c r="AF243" i="93"/>
  <c r="AG243" i="93"/>
  <c r="AH243" i="93"/>
  <c r="AI243" i="93"/>
  <c r="AJ243" i="93"/>
  <c r="AK243" i="93"/>
  <c r="AL243" i="93"/>
  <c r="AM243" i="93"/>
  <c r="AN243" i="93"/>
  <c r="AO243" i="93"/>
  <c r="AP243" i="93"/>
  <c r="AQ243" i="93"/>
  <c r="AR243" i="93"/>
  <c r="AS243" i="93"/>
  <c r="AT243" i="93"/>
  <c r="AU243" i="93"/>
  <c r="AV243" i="93"/>
  <c r="AW243" i="93"/>
  <c r="AX243" i="93"/>
  <c r="AY243" i="93"/>
  <c r="AZ243" i="93"/>
  <c r="BA243" i="93"/>
  <c r="BB243" i="93"/>
  <c r="BC243" i="93"/>
  <c r="BD243" i="93"/>
  <c r="BE243" i="93"/>
  <c r="BF243" i="93"/>
  <c r="BG243" i="93"/>
  <c r="BH243" i="93"/>
  <c r="BI243" i="93"/>
  <c r="BJ243" i="93"/>
  <c r="BK243" i="93"/>
  <c r="BL243" i="93"/>
  <c r="BM243" i="93"/>
  <c r="BN243" i="93"/>
  <c r="BO243" i="93"/>
  <c r="BP243" i="93"/>
  <c r="BQ243" i="93"/>
  <c r="BR243" i="93"/>
  <c r="BS243" i="93"/>
  <c r="BT243" i="93"/>
  <c r="BU243" i="93"/>
  <c r="BV243" i="93"/>
  <c r="BW243" i="93"/>
  <c r="BX243" i="93"/>
  <c r="BY243" i="93"/>
  <c r="BZ243" i="93"/>
  <c r="CA243" i="93"/>
  <c r="CB243" i="93"/>
  <c r="CC243" i="93"/>
  <c r="CD243" i="93"/>
  <c r="CE243" i="93"/>
  <c r="CF243" i="93"/>
  <c r="CG243" i="93"/>
  <c r="CH243" i="93"/>
  <c r="CI243" i="93"/>
  <c r="CJ243" i="93"/>
  <c r="CK243" i="93"/>
  <c r="CL243" i="93"/>
  <c r="CM243" i="93"/>
  <c r="CN243" i="93"/>
  <c r="CO243" i="93"/>
  <c r="CP243" i="93"/>
  <c r="CQ243" i="93"/>
  <c r="CR243" i="93"/>
  <c r="CS243" i="93"/>
  <c r="CT243" i="93"/>
  <c r="CU243" i="93"/>
  <c r="CV243" i="93"/>
  <c r="CW243" i="93"/>
  <c r="J244" i="93"/>
  <c r="K244" i="93"/>
  <c r="L244" i="93"/>
  <c r="M244" i="93"/>
  <c r="N244" i="93"/>
  <c r="O244" i="93"/>
  <c r="P244" i="93"/>
  <c r="Q244" i="93"/>
  <c r="R244" i="93"/>
  <c r="S244" i="93"/>
  <c r="T244" i="93"/>
  <c r="U244" i="93"/>
  <c r="V244" i="93"/>
  <c r="W244" i="93"/>
  <c r="X244" i="93"/>
  <c r="Y244" i="93"/>
  <c r="Z244" i="93"/>
  <c r="AA244" i="93"/>
  <c r="AB244" i="93"/>
  <c r="AC244" i="93"/>
  <c r="AD244" i="93"/>
  <c r="AE244" i="93"/>
  <c r="AF244" i="93"/>
  <c r="AG244" i="93"/>
  <c r="AH244" i="93"/>
  <c r="AI244" i="93"/>
  <c r="AJ244" i="93"/>
  <c r="AK244" i="93"/>
  <c r="AL244" i="93"/>
  <c r="AM244" i="93"/>
  <c r="AN244" i="93"/>
  <c r="AO244" i="93"/>
  <c r="AP244" i="93"/>
  <c r="AQ244" i="93"/>
  <c r="AR244" i="93"/>
  <c r="AS244" i="93"/>
  <c r="AT244" i="93"/>
  <c r="AU244" i="93"/>
  <c r="AV244" i="93"/>
  <c r="AW244" i="93"/>
  <c r="AX244" i="93"/>
  <c r="AY244" i="93"/>
  <c r="AZ244" i="93"/>
  <c r="BA244" i="93"/>
  <c r="BB244" i="93"/>
  <c r="BC244" i="93"/>
  <c r="BD244" i="93"/>
  <c r="BE244" i="93"/>
  <c r="BF244" i="93"/>
  <c r="BG244" i="93"/>
  <c r="BH244" i="93"/>
  <c r="BI244" i="93"/>
  <c r="BJ244" i="93"/>
  <c r="BK244" i="93"/>
  <c r="BL244" i="93"/>
  <c r="BM244" i="93"/>
  <c r="BN244" i="93"/>
  <c r="BO244" i="93"/>
  <c r="BP244" i="93"/>
  <c r="BQ244" i="93"/>
  <c r="BR244" i="93"/>
  <c r="BS244" i="93"/>
  <c r="BT244" i="93"/>
  <c r="BU244" i="93"/>
  <c r="BV244" i="93"/>
  <c r="BW244" i="93"/>
  <c r="BX244" i="93"/>
  <c r="BY244" i="93"/>
  <c r="BZ244" i="93"/>
  <c r="CA244" i="93"/>
  <c r="CB244" i="93"/>
  <c r="CC244" i="93"/>
  <c r="CD244" i="93"/>
  <c r="CE244" i="93"/>
  <c r="CF244" i="93"/>
  <c r="CG244" i="93"/>
  <c r="CH244" i="93"/>
  <c r="CI244" i="93"/>
  <c r="CJ244" i="93"/>
  <c r="CK244" i="93"/>
  <c r="CL244" i="93"/>
  <c r="CM244" i="93"/>
  <c r="CN244" i="93"/>
  <c r="CO244" i="93"/>
  <c r="CP244" i="93"/>
  <c r="CQ244" i="93"/>
  <c r="CR244" i="93"/>
  <c r="CS244" i="93"/>
  <c r="CT244" i="93"/>
  <c r="CU244" i="93"/>
  <c r="CV244" i="93"/>
  <c r="CW244" i="93"/>
  <c r="J245" i="93"/>
  <c r="K245" i="93"/>
  <c r="L245" i="93"/>
  <c r="M245" i="93"/>
  <c r="N245" i="93"/>
  <c r="O245" i="93"/>
  <c r="P245" i="93"/>
  <c r="Q245" i="93"/>
  <c r="R245" i="93"/>
  <c r="S245" i="93"/>
  <c r="T245" i="93"/>
  <c r="U245" i="93"/>
  <c r="V245" i="93"/>
  <c r="W245" i="93"/>
  <c r="X245" i="93"/>
  <c r="Y245" i="93"/>
  <c r="Z245" i="93"/>
  <c r="AA245" i="93"/>
  <c r="AB245" i="93"/>
  <c r="AC245" i="93"/>
  <c r="AD245" i="93"/>
  <c r="AE245" i="93"/>
  <c r="AF245" i="93"/>
  <c r="AG245" i="93"/>
  <c r="AH245" i="93"/>
  <c r="AI245" i="93"/>
  <c r="AJ245" i="93"/>
  <c r="AK245" i="93"/>
  <c r="AL245" i="93"/>
  <c r="AM245" i="93"/>
  <c r="AN245" i="93"/>
  <c r="AO245" i="93"/>
  <c r="AP245" i="93"/>
  <c r="AQ245" i="93"/>
  <c r="AR245" i="93"/>
  <c r="AS245" i="93"/>
  <c r="AT245" i="93"/>
  <c r="AU245" i="93"/>
  <c r="AV245" i="93"/>
  <c r="AW245" i="93"/>
  <c r="AX245" i="93"/>
  <c r="AY245" i="93"/>
  <c r="AZ245" i="93"/>
  <c r="BA245" i="93"/>
  <c r="BB245" i="93"/>
  <c r="BC245" i="93"/>
  <c r="BD245" i="93"/>
  <c r="BE245" i="93"/>
  <c r="BF245" i="93"/>
  <c r="BG245" i="93"/>
  <c r="BH245" i="93"/>
  <c r="BI245" i="93"/>
  <c r="BJ245" i="93"/>
  <c r="BK245" i="93"/>
  <c r="BL245" i="93"/>
  <c r="BM245" i="93"/>
  <c r="BN245" i="93"/>
  <c r="BO245" i="93"/>
  <c r="BP245" i="93"/>
  <c r="BQ245" i="93"/>
  <c r="BR245" i="93"/>
  <c r="BS245" i="93"/>
  <c r="BT245" i="93"/>
  <c r="BU245" i="93"/>
  <c r="BV245" i="93"/>
  <c r="BW245" i="93"/>
  <c r="BX245" i="93"/>
  <c r="BY245" i="93"/>
  <c r="BZ245" i="93"/>
  <c r="CA245" i="93"/>
  <c r="CB245" i="93"/>
  <c r="CC245" i="93"/>
  <c r="CD245" i="93"/>
  <c r="CE245" i="93"/>
  <c r="CF245" i="93"/>
  <c r="CG245" i="93"/>
  <c r="CH245" i="93"/>
  <c r="CI245" i="93"/>
  <c r="CJ245" i="93"/>
  <c r="CK245" i="93"/>
  <c r="CL245" i="93"/>
  <c r="CM245" i="93"/>
  <c r="CN245" i="93"/>
  <c r="CO245" i="93"/>
  <c r="CP245" i="93"/>
  <c r="CQ245" i="93"/>
  <c r="CR245" i="93"/>
  <c r="CS245" i="93"/>
  <c r="CT245" i="93"/>
  <c r="CU245" i="93"/>
  <c r="CV245" i="93"/>
  <c r="CW245" i="93"/>
  <c r="J246" i="93"/>
  <c r="K246" i="93"/>
  <c r="L246" i="93"/>
  <c r="M246" i="93"/>
  <c r="N246" i="93"/>
  <c r="O246" i="93"/>
  <c r="P246" i="93"/>
  <c r="Q246" i="93"/>
  <c r="R246" i="93"/>
  <c r="S246" i="93"/>
  <c r="T246" i="93"/>
  <c r="U246" i="93"/>
  <c r="V246" i="93"/>
  <c r="W246" i="93"/>
  <c r="X246" i="93"/>
  <c r="Y246" i="93"/>
  <c r="Z246" i="93"/>
  <c r="AA246" i="93"/>
  <c r="AB246" i="93"/>
  <c r="AC246" i="93"/>
  <c r="AD246" i="93"/>
  <c r="AE246" i="93"/>
  <c r="AF246" i="93"/>
  <c r="AG246" i="93"/>
  <c r="AH246" i="93"/>
  <c r="AI246" i="93"/>
  <c r="AJ246" i="93"/>
  <c r="AK246" i="93"/>
  <c r="AL246" i="93"/>
  <c r="AM246" i="93"/>
  <c r="AN246" i="93"/>
  <c r="AO246" i="93"/>
  <c r="AP246" i="93"/>
  <c r="AQ246" i="93"/>
  <c r="AR246" i="93"/>
  <c r="AS246" i="93"/>
  <c r="AT246" i="93"/>
  <c r="AU246" i="93"/>
  <c r="AV246" i="93"/>
  <c r="AW246" i="93"/>
  <c r="AX246" i="93"/>
  <c r="AY246" i="93"/>
  <c r="AZ246" i="93"/>
  <c r="BA246" i="93"/>
  <c r="BB246" i="93"/>
  <c r="BC246" i="93"/>
  <c r="BD246" i="93"/>
  <c r="BE246" i="93"/>
  <c r="BF246" i="93"/>
  <c r="BG246" i="93"/>
  <c r="BH246" i="93"/>
  <c r="BI246" i="93"/>
  <c r="BJ246" i="93"/>
  <c r="BK246" i="93"/>
  <c r="BL246" i="93"/>
  <c r="BM246" i="93"/>
  <c r="BN246" i="93"/>
  <c r="BO246" i="93"/>
  <c r="BP246" i="93"/>
  <c r="BQ246" i="93"/>
  <c r="BR246" i="93"/>
  <c r="BS246" i="93"/>
  <c r="BT246" i="93"/>
  <c r="BU246" i="93"/>
  <c r="BV246" i="93"/>
  <c r="BW246" i="93"/>
  <c r="BX246" i="93"/>
  <c r="BY246" i="93"/>
  <c r="BZ246" i="93"/>
  <c r="CA246" i="93"/>
  <c r="CB246" i="93"/>
  <c r="CC246" i="93"/>
  <c r="CD246" i="93"/>
  <c r="CE246" i="93"/>
  <c r="CF246" i="93"/>
  <c r="CG246" i="93"/>
  <c r="CH246" i="93"/>
  <c r="CI246" i="93"/>
  <c r="CJ246" i="93"/>
  <c r="CK246" i="93"/>
  <c r="CL246" i="93"/>
  <c r="CM246" i="93"/>
  <c r="CN246" i="93"/>
  <c r="CO246" i="93"/>
  <c r="CP246" i="93"/>
  <c r="CQ246" i="93"/>
  <c r="CR246" i="93"/>
  <c r="CS246" i="93"/>
  <c r="CT246" i="93"/>
  <c r="CU246" i="93"/>
  <c r="CV246" i="93"/>
  <c r="CW246" i="93"/>
  <c r="J247" i="93"/>
  <c r="K247" i="93"/>
  <c r="L247" i="93"/>
  <c r="M247" i="93"/>
  <c r="N247" i="93"/>
  <c r="O247" i="93"/>
  <c r="P247" i="93"/>
  <c r="Q247" i="93"/>
  <c r="R247" i="93"/>
  <c r="S247" i="93"/>
  <c r="T247" i="93"/>
  <c r="U247" i="93"/>
  <c r="V247" i="93"/>
  <c r="W247" i="93"/>
  <c r="X247" i="93"/>
  <c r="Y247" i="93"/>
  <c r="Z247" i="93"/>
  <c r="AA247" i="93"/>
  <c r="AB247" i="93"/>
  <c r="AC247" i="93"/>
  <c r="AD247" i="93"/>
  <c r="AE247" i="93"/>
  <c r="AF247" i="93"/>
  <c r="AG247" i="93"/>
  <c r="AH247" i="93"/>
  <c r="AI247" i="93"/>
  <c r="AJ247" i="93"/>
  <c r="AK247" i="93"/>
  <c r="AL247" i="93"/>
  <c r="AM247" i="93"/>
  <c r="AN247" i="93"/>
  <c r="AO247" i="93"/>
  <c r="AP247" i="93"/>
  <c r="AQ247" i="93"/>
  <c r="AR247" i="93"/>
  <c r="AS247" i="93"/>
  <c r="AT247" i="93"/>
  <c r="AU247" i="93"/>
  <c r="AV247" i="93"/>
  <c r="AW247" i="93"/>
  <c r="AX247" i="93"/>
  <c r="AY247" i="93"/>
  <c r="AZ247" i="93"/>
  <c r="BA247" i="93"/>
  <c r="BB247" i="93"/>
  <c r="BC247" i="93"/>
  <c r="BD247" i="93"/>
  <c r="BE247" i="93"/>
  <c r="BF247" i="93"/>
  <c r="BG247" i="93"/>
  <c r="BH247" i="93"/>
  <c r="BI247" i="93"/>
  <c r="BJ247" i="93"/>
  <c r="BK247" i="93"/>
  <c r="BL247" i="93"/>
  <c r="BM247" i="93"/>
  <c r="BN247" i="93"/>
  <c r="BO247" i="93"/>
  <c r="BP247" i="93"/>
  <c r="BQ247" i="93"/>
  <c r="BR247" i="93"/>
  <c r="BS247" i="93"/>
  <c r="BT247" i="93"/>
  <c r="BU247" i="93"/>
  <c r="BV247" i="93"/>
  <c r="BW247" i="93"/>
  <c r="BX247" i="93"/>
  <c r="BY247" i="93"/>
  <c r="BZ247" i="93"/>
  <c r="CA247" i="93"/>
  <c r="CB247" i="93"/>
  <c r="CC247" i="93"/>
  <c r="CD247" i="93"/>
  <c r="CE247" i="93"/>
  <c r="CF247" i="93"/>
  <c r="CG247" i="93"/>
  <c r="CH247" i="93"/>
  <c r="CI247" i="93"/>
  <c r="CJ247" i="93"/>
  <c r="CK247" i="93"/>
  <c r="CL247" i="93"/>
  <c r="CM247" i="93"/>
  <c r="CN247" i="93"/>
  <c r="CO247" i="93"/>
  <c r="CP247" i="93"/>
  <c r="CQ247" i="93"/>
  <c r="CR247" i="93"/>
  <c r="CS247" i="93"/>
  <c r="CT247" i="93"/>
  <c r="CU247" i="93"/>
  <c r="CV247" i="93"/>
  <c r="CW247" i="93"/>
  <c r="J248" i="93"/>
  <c r="K248" i="93"/>
  <c r="L248" i="93"/>
  <c r="M248" i="93"/>
  <c r="N248" i="93"/>
  <c r="O248" i="93"/>
  <c r="P248" i="93"/>
  <c r="Q248" i="93"/>
  <c r="R248" i="93"/>
  <c r="S248" i="93"/>
  <c r="T248" i="93"/>
  <c r="U248" i="93"/>
  <c r="V248" i="93"/>
  <c r="W248" i="93"/>
  <c r="X248" i="93"/>
  <c r="Y248" i="93"/>
  <c r="Z248" i="93"/>
  <c r="AA248" i="93"/>
  <c r="AB248" i="93"/>
  <c r="AC248" i="93"/>
  <c r="AD248" i="93"/>
  <c r="AE248" i="93"/>
  <c r="AF248" i="93"/>
  <c r="AG248" i="93"/>
  <c r="AH248" i="93"/>
  <c r="AI248" i="93"/>
  <c r="AJ248" i="93"/>
  <c r="AK248" i="93"/>
  <c r="AL248" i="93"/>
  <c r="AM248" i="93"/>
  <c r="AN248" i="93"/>
  <c r="AO248" i="93"/>
  <c r="AP248" i="93"/>
  <c r="AQ248" i="93"/>
  <c r="AR248" i="93"/>
  <c r="AS248" i="93"/>
  <c r="AT248" i="93"/>
  <c r="AU248" i="93"/>
  <c r="AV248" i="93"/>
  <c r="AW248" i="93"/>
  <c r="AX248" i="93"/>
  <c r="AY248" i="93"/>
  <c r="AZ248" i="93"/>
  <c r="BA248" i="93"/>
  <c r="BB248" i="93"/>
  <c r="BC248" i="93"/>
  <c r="BD248" i="93"/>
  <c r="BE248" i="93"/>
  <c r="BF248" i="93"/>
  <c r="BG248" i="93"/>
  <c r="BH248" i="93"/>
  <c r="BI248" i="93"/>
  <c r="BJ248" i="93"/>
  <c r="BK248" i="93"/>
  <c r="BL248" i="93"/>
  <c r="BM248" i="93"/>
  <c r="BN248" i="93"/>
  <c r="BO248" i="93"/>
  <c r="BP248" i="93"/>
  <c r="BQ248" i="93"/>
  <c r="BR248" i="93"/>
  <c r="BS248" i="93"/>
  <c r="BT248" i="93"/>
  <c r="BU248" i="93"/>
  <c r="BV248" i="93"/>
  <c r="BW248" i="93"/>
  <c r="BX248" i="93"/>
  <c r="BY248" i="93"/>
  <c r="BZ248" i="93"/>
  <c r="CA248" i="93"/>
  <c r="CB248" i="93"/>
  <c r="CC248" i="93"/>
  <c r="CD248" i="93"/>
  <c r="CE248" i="93"/>
  <c r="CF248" i="93"/>
  <c r="CG248" i="93"/>
  <c r="CH248" i="93"/>
  <c r="CI248" i="93"/>
  <c r="CJ248" i="93"/>
  <c r="CK248" i="93"/>
  <c r="CL248" i="93"/>
  <c r="CM248" i="93"/>
  <c r="CN248" i="93"/>
  <c r="CO248" i="93"/>
  <c r="CP248" i="93"/>
  <c r="CQ248" i="93"/>
  <c r="CR248" i="93"/>
  <c r="CS248" i="93"/>
  <c r="CT248" i="93"/>
  <c r="CU248" i="93"/>
  <c r="CV248" i="93"/>
  <c r="CW248" i="93"/>
  <c r="J249" i="93"/>
  <c r="K249" i="93"/>
  <c r="L249" i="93"/>
  <c r="M249" i="93"/>
  <c r="N249" i="93"/>
  <c r="O249" i="93"/>
  <c r="P249" i="93"/>
  <c r="Q249" i="93"/>
  <c r="R249" i="93"/>
  <c r="S249" i="93"/>
  <c r="T249" i="93"/>
  <c r="U249" i="93"/>
  <c r="V249" i="93"/>
  <c r="W249" i="93"/>
  <c r="X249" i="93"/>
  <c r="Y249" i="93"/>
  <c r="Z249" i="93"/>
  <c r="AA249" i="93"/>
  <c r="AB249" i="93"/>
  <c r="AC249" i="93"/>
  <c r="AD249" i="93"/>
  <c r="AE249" i="93"/>
  <c r="AF249" i="93"/>
  <c r="AG249" i="93"/>
  <c r="AH249" i="93"/>
  <c r="AI249" i="93"/>
  <c r="AJ249" i="93"/>
  <c r="AK249" i="93"/>
  <c r="AL249" i="93"/>
  <c r="AM249" i="93"/>
  <c r="AN249" i="93"/>
  <c r="AO249" i="93"/>
  <c r="AP249" i="93"/>
  <c r="AQ249" i="93"/>
  <c r="AR249" i="93"/>
  <c r="AS249" i="93"/>
  <c r="AT249" i="93"/>
  <c r="AU249" i="93"/>
  <c r="AV249" i="93"/>
  <c r="AW249" i="93"/>
  <c r="AX249" i="93"/>
  <c r="AY249" i="93"/>
  <c r="AZ249" i="93"/>
  <c r="BA249" i="93"/>
  <c r="BB249" i="93"/>
  <c r="BC249" i="93"/>
  <c r="BD249" i="93"/>
  <c r="BE249" i="93"/>
  <c r="BF249" i="93"/>
  <c r="BG249" i="93"/>
  <c r="BH249" i="93"/>
  <c r="BI249" i="93"/>
  <c r="BJ249" i="93"/>
  <c r="BK249" i="93"/>
  <c r="BL249" i="93"/>
  <c r="BM249" i="93"/>
  <c r="BN249" i="93"/>
  <c r="BO249" i="93"/>
  <c r="BP249" i="93"/>
  <c r="BQ249" i="93"/>
  <c r="BR249" i="93"/>
  <c r="BS249" i="93"/>
  <c r="BT249" i="93"/>
  <c r="BU249" i="93"/>
  <c r="BV249" i="93"/>
  <c r="BW249" i="93"/>
  <c r="BX249" i="93"/>
  <c r="BY249" i="93"/>
  <c r="BZ249" i="93"/>
  <c r="CA249" i="93"/>
  <c r="CB249" i="93"/>
  <c r="CC249" i="93"/>
  <c r="CD249" i="93"/>
  <c r="CE249" i="93"/>
  <c r="CF249" i="93"/>
  <c r="CG249" i="93"/>
  <c r="CH249" i="93"/>
  <c r="CI249" i="93"/>
  <c r="CJ249" i="93"/>
  <c r="CK249" i="93"/>
  <c r="CL249" i="93"/>
  <c r="CM249" i="93"/>
  <c r="CN249" i="93"/>
  <c r="CO249" i="93"/>
  <c r="CP249" i="93"/>
  <c r="CQ249" i="93"/>
  <c r="CR249" i="93"/>
  <c r="CS249" i="93"/>
  <c r="CT249" i="93"/>
  <c r="CU249" i="93"/>
  <c r="CV249" i="93"/>
  <c r="CW249" i="93"/>
  <c r="J250" i="93"/>
  <c r="K250" i="93"/>
  <c r="L250" i="93"/>
  <c r="M250" i="93"/>
  <c r="N250" i="93"/>
  <c r="O250" i="93"/>
  <c r="P250" i="93"/>
  <c r="Q250" i="93"/>
  <c r="R250" i="93"/>
  <c r="S250" i="93"/>
  <c r="T250" i="93"/>
  <c r="U250" i="93"/>
  <c r="V250" i="93"/>
  <c r="W250" i="93"/>
  <c r="X250" i="93"/>
  <c r="Y250" i="93"/>
  <c r="Z250" i="93"/>
  <c r="AA250" i="93"/>
  <c r="AB250" i="93"/>
  <c r="AC250" i="93"/>
  <c r="AD250" i="93"/>
  <c r="AE250" i="93"/>
  <c r="AF250" i="93"/>
  <c r="AG250" i="93"/>
  <c r="AH250" i="93"/>
  <c r="AI250" i="93"/>
  <c r="AJ250" i="93"/>
  <c r="AK250" i="93"/>
  <c r="AL250" i="93"/>
  <c r="AM250" i="93"/>
  <c r="AN250" i="93"/>
  <c r="AO250" i="93"/>
  <c r="AP250" i="93"/>
  <c r="AQ250" i="93"/>
  <c r="AR250" i="93"/>
  <c r="AS250" i="93"/>
  <c r="AT250" i="93"/>
  <c r="AU250" i="93"/>
  <c r="AV250" i="93"/>
  <c r="AW250" i="93"/>
  <c r="AX250" i="93"/>
  <c r="AY250" i="93"/>
  <c r="AZ250" i="93"/>
  <c r="BA250" i="93"/>
  <c r="BB250" i="93"/>
  <c r="BC250" i="93"/>
  <c r="BD250" i="93"/>
  <c r="BE250" i="93"/>
  <c r="BF250" i="93"/>
  <c r="BG250" i="93"/>
  <c r="BH250" i="93"/>
  <c r="BI250" i="93"/>
  <c r="BJ250" i="93"/>
  <c r="BK250" i="93"/>
  <c r="BL250" i="93"/>
  <c r="BM250" i="93"/>
  <c r="BN250" i="93"/>
  <c r="BO250" i="93"/>
  <c r="BP250" i="93"/>
  <c r="BQ250" i="93"/>
  <c r="BR250" i="93"/>
  <c r="BS250" i="93"/>
  <c r="BT250" i="93"/>
  <c r="BU250" i="93"/>
  <c r="BV250" i="93"/>
  <c r="BW250" i="93"/>
  <c r="BX250" i="93"/>
  <c r="BY250" i="93"/>
  <c r="BZ250" i="93"/>
  <c r="CA250" i="93"/>
  <c r="CB250" i="93"/>
  <c r="CC250" i="93"/>
  <c r="CD250" i="93"/>
  <c r="CE250" i="93"/>
  <c r="CF250" i="93"/>
  <c r="CG250" i="93"/>
  <c r="CH250" i="93"/>
  <c r="CI250" i="93"/>
  <c r="CJ250" i="93"/>
  <c r="CK250" i="93"/>
  <c r="CL250" i="93"/>
  <c r="CM250" i="93"/>
  <c r="CN250" i="93"/>
  <c r="CO250" i="93"/>
  <c r="CP250" i="93"/>
  <c r="CQ250" i="93"/>
  <c r="CR250" i="93"/>
  <c r="CS250" i="93"/>
  <c r="CT250" i="93"/>
  <c r="CU250" i="93"/>
  <c r="CV250" i="93"/>
  <c r="CW250" i="93"/>
  <c r="J251" i="93"/>
  <c r="K251" i="93"/>
  <c r="L251" i="93"/>
  <c r="M251" i="93"/>
  <c r="N251" i="93"/>
  <c r="O251" i="93"/>
  <c r="P251" i="93"/>
  <c r="Q251" i="93"/>
  <c r="R251" i="93"/>
  <c r="S251" i="93"/>
  <c r="T251" i="93"/>
  <c r="U251" i="93"/>
  <c r="V251" i="93"/>
  <c r="W251" i="93"/>
  <c r="X251" i="93"/>
  <c r="Y251" i="93"/>
  <c r="Z251" i="93"/>
  <c r="AA251" i="93"/>
  <c r="AB251" i="93"/>
  <c r="AC251" i="93"/>
  <c r="AD251" i="93"/>
  <c r="AE251" i="93"/>
  <c r="AF251" i="93"/>
  <c r="AG251" i="93"/>
  <c r="AH251" i="93"/>
  <c r="AI251" i="93"/>
  <c r="AJ251" i="93"/>
  <c r="AK251" i="93"/>
  <c r="AL251" i="93"/>
  <c r="AM251" i="93"/>
  <c r="AN251" i="93"/>
  <c r="AO251" i="93"/>
  <c r="AP251" i="93"/>
  <c r="AQ251" i="93"/>
  <c r="AR251" i="93"/>
  <c r="AS251" i="93"/>
  <c r="AT251" i="93"/>
  <c r="AU251" i="93"/>
  <c r="AV251" i="93"/>
  <c r="AW251" i="93"/>
  <c r="AX251" i="93"/>
  <c r="AY251" i="93"/>
  <c r="AZ251" i="93"/>
  <c r="BA251" i="93"/>
  <c r="BB251" i="93"/>
  <c r="BC251" i="93"/>
  <c r="BD251" i="93"/>
  <c r="BE251" i="93"/>
  <c r="BF251" i="93"/>
  <c r="BG251" i="93"/>
  <c r="BH251" i="93"/>
  <c r="BI251" i="93"/>
  <c r="BJ251" i="93"/>
  <c r="BK251" i="93"/>
  <c r="BL251" i="93"/>
  <c r="BM251" i="93"/>
  <c r="BN251" i="93"/>
  <c r="BO251" i="93"/>
  <c r="BP251" i="93"/>
  <c r="BQ251" i="93"/>
  <c r="BR251" i="93"/>
  <c r="BS251" i="93"/>
  <c r="BT251" i="93"/>
  <c r="BU251" i="93"/>
  <c r="BV251" i="93"/>
  <c r="BW251" i="93"/>
  <c r="BX251" i="93"/>
  <c r="BY251" i="93"/>
  <c r="BZ251" i="93"/>
  <c r="CA251" i="93"/>
  <c r="CB251" i="93"/>
  <c r="CC251" i="93"/>
  <c r="CD251" i="93"/>
  <c r="CE251" i="93"/>
  <c r="CF251" i="93"/>
  <c r="CG251" i="93"/>
  <c r="CH251" i="93"/>
  <c r="CI251" i="93"/>
  <c r="CJ251" i="93"/>
  <c r="CK251" i="93"/>
  <c r="CL251" i="93"/>
  <c r="CM251" i="93"/>
  <c r="CN251" i="93"/>
  <c r="CO251" i="93"/>
  <c r="CP251" i="93"/>
  <c r="CQ251" i="93"/>
  <c r="CR251" i="93"/>
  <c r="CS251" i="93"/>
  <c r="CT251" i="93"/>
  <c r="CU251" i="93"/>
  <c r="CV251" i="93"/>
  <c r="CW251" i="93"/>
  <c r="J252" i="93"/>
  <c r="K252" i="93"/>
  <c r="L252" i="93"/>
  <c r="M252" i="93"/>
  <c r="N252" i="93"/>
  <c r="O252" i="93"/>
  <c r="P252" i="93"/>
  <c r="Q252" i="93"/>
  <c r="R252" i="93"/>
  <c r="S252" i="93"/>
  <c r="T252" i="93"/>
  <c r="U252" i="93"/>
  <c r="V252" i="93"/>
  <c r="W252" i="93"/>
  <c r="X252" i="93"/>
  <c r="Y252" i="93"/>
  <c r="Z252" i="93"/>
  <c r="AA252" i="93"/>
  <c r="AB252" i="93"/>
  <c r="AC252" i="93"/>
  <c r="AD252" i="93"/>
  <c r="AE252" i="93"/>
  <c r="AF252" i="93"/>
  <c r="AG252" i="93"/>
  <c r="AH252" i="93"/>
  <c r="AI252" i="93"/>
  <c r="AJ252" i="93"/>
  <c r="AK252" i="93"/>
  <c r="AL252" i="93"/>
  <c r="AM252" i="93"/>
  <c r="AN252" i="93"/>
  <c r="AO252" i="93"/>
  <c r="AP252" i="93"/>
  <c r="AQ252" i="93"/>
  <c r="AR252" i="93"/>
  <c r="AS252" i="93"/>
  <c r="AT252" i="93"/>
  <c r="AU252" i="93"/>
  <c r="AV252" i="93"/>
  <c r="AW252" i="93"/>
  <c r="AX252" i="93"/>
  <c r="AY252" i="93"/>
  <c r="AZ252" i="93"/>
  <c r="BA252" i="93"/>
  <c r="BB252" i="93"/>
  <c r="BC252" i="93"/>
  <c r="BD252" i="93"/>
  <c r="BE252" i="93"/>
  <c r="BF252" i="93"/>
  <c r="BG252" i="93"/>
  <c r="BH252" i="93"/>
  <c r="BI252" i="93"/>
  <c r="BJ252" i="93"/>
  <c r="BK252" i="93"/>
  <c r="BL252" i="93"/>
  <c r="BM252" i="93"/>
  <c r="BN252" i="93"/>
  <c r="BO252" i="93"/>
  <c r="BP252" i="93"/>
  <c r="BQ252" i="93"/>
  <c r="BR252" i="93"/>
  <c r="BS252" i="93"/>
  <c r="BT252" i="93"/>
  <c r="BU252" i="93"/>
  <c r="BV252" i="93"/>
  <c r="BW252" i="93"/>
  <c r="BX252" i="93"/>
  <c r="BY252" i="93"/>
  <c r="BZ252" i="93"/>
  <c r="CA252" i="93"/>
  <c r="CB252" i="93"/>
  <c r="CC252" i="93"/>
  <c r="CD252" i="93"/>
  <c r="CE252" i="93"/>
  <c r="CF252" i="93"/>
  <c r="CG252" i="93"/>
  <c r="CH252" i="93"/>
  <c r="CI252" i="93"/>
  <c r="CJ252" i="93"/>
  <c r="CK252" i="93"/>
  <c r="CL252" i="93"/>
  <c r="CM252" i="93"/>
  <c r="CN252" i="93"/>
  <c r="CO252" i="93"/>
  <c r="CP252" i="93"/>
  <c r="CQ252" i="93"/>
  <c r="CR252" i="93"/>
  <c r="CS252" i="93"/>
  <c r="CT252" i="93"/>
  <c r="CU252" i="93"/>
  <c r="CV252" i="93"/>
  <c r="CW252" i="93"/>
  <c r="J253" i="93"/>
  <c r="K253" i="93"/>
  <c r="L253" i="93"/>
  <c r="M253" i="93"/>
  <c r="N253" i="93"/>
  <c r="O253" i="93"/>
  <c r="P253" i="93"/>
  <c r="Q253" i="93"/>
  <c r="R253" i="93"/>
  <c r="S253" i="93"/>
  <c r="T253" i="93"/>
  <c r="U253" i="93"/>
  <c r="V253" i="93"/>
  <c r="W253" i="93"/>
  <c r="X253" i="93"/>
  <c r="Y253" i="93"/>
  <c r="Z253" i="93"/>
  <c r="AA253" i="93"/>
  <c r="AB253" i="93"/>
  <c r="AC253" i="93"/>
  <c r="AD253" i="93"/>
  <c r="AE253" i="93"/>
  <c r="AF253" i="93"/>
  <c r="AG253" i="93"/>
  <c r="AH253" i="93"/>
  <c r="AI253" i="93"/>
  <c r="AJ253" i="93"/>
  <c r="AK253" i="93"/>
  <c r="AL253" i="93"/>
  <c r="AM253" i="93"/>
  <c r="AN253" i="93"/>
  <c r="AO253" i="93"/>
  <c r="AP253" i="93"/>
  <c r="AQ253" i="93"/>
  <c r="AR253" i="93"/>
  <c r="AS253" i="93"/>
  <c r="AT253" i="93"/>
  <c r="AU253" i="93"/>
  <c r="AV253" i="93"/>
  <c r="AW253" i="93"/>
  <c r="AX253" i="93"/>
  <c r="AY253" i="93"/>
  <c r="AZ253" i="93"/>
  <c r="BA253" i="93"/>
  <c r="BB253" i="93"/>
  <c r="BC253" i="93"/>
  <c r="BD253" i="93"/>
  <c r="BE253" i="93"/>
  <c r="BF253" i="93"/>
  <c r="BG253" i="93"/>
  <c r="BH253" i="93"/>
  <c r="BI253" i="93"/>
  <c r="BJ253" i="93"/>
  <c r="BK253" i="93"/>
  <c r="BL253" i="93"/>
  <c r="BM253" i="93"/>
  <c r="BN253" i="93"/>
  <c r="BO253" i="93"/>
  <c r="BP253" i="93"/>
  <c r="BQ253" i="93"/>
  <c r="BR253" i="93"/>
  <c r="BS253" i="93"/>
  <c r="BT253" i="93"/>
  <c r="BU253" i="93"/>
  <c r="BV253" i="93"/>
  <c r="BW253" i="93"/>
  <c r="BX253" i="93"/>
  <c r="BY253" i="93"/>
  <c r="BZ253" i="93"/>
  <c r="CA253" i="93"/>
  <c r="CB253" i="93"/>
  <c r="CC253" i="93"/>
  <c r="CD253" i="93"/>
  <c r="CE253" i="93"/>
  <c r="CF253" i="93"/>
  <c r="CG253" i="93"/>
  <c r="CH253" i="93"/>
  <c r="CI253" i="93"/>
  <c r="CJ253" i="93"/>
  <c r="CK253" i="93"/>
  <c r="CL253" i="93"/>
  <c r="CM253" i="93"/>
  <c r="CN253" i="93"/>
  <c r="CO253" i="93"/>
  <c r="CP253" i="93"/>
  <c r="CQ253" i="93"/>
  <c r="CR253" i="93"/>
  <c r="CS253" i="93"/>
  <c r="CT253" i="93"/>
  <c r="CU253" i="93"/>
  <c r="CV253" i="93"/>
  <c r="CW253" i="93"/>
  <c r="J254" i="93"/>
  <c r="K254" i="93"/>
  <c r="L254" i="93"/>
  <c r="M254" i="93"/>
  <c r="N254" i="93"/>
  <c r="O254" i="93"/>
  <c r="P254" i="93"/>
  <c r="Q254" i="93"/>
  <c r="R254" i="93"/>
  <c r="S254" i="93"/>
  <c r="T254" i="93"/>
  <c r="U254" i="93"/>
  <c r="V254" i="93"/>
  <c r="W254" i="93"/>
  <c r="X254" i="93"/>
  <c r="Y254" i="93"/>
  <c r="Z254" i="93"/>
  <c r="AA254" i="93"/>
  <c r="AB254" i="93"/>
  <c r="AC254" i="93"/>
  <c r="AD254" i="93"/>
  <c r="AE254" i="93"/>
  <c r="AF254" i="93"/>
  <c r="AG254" i="93"/>
  <c r="AH254" i="93"/>
  <c r="AI254" i="93"/>
  <c r="AJ254" i="93"/>
  <c r="AK254" i="93"/>
  <c r="AL254" i="93"/>
  <c r="AM254" i="93"/>
  <c r="AN254" i="93"/>
  <c r="AO254" i="93"/>
  <c r="AP254" i="93"/>
  <c r="AQ254" i="93"/>
  <c r="AR254" i="93"/>
  <c r="AS254" i="93"/>
  <c r="AT254" i="93"/>
  <c r="AU254" i="93"/>
  <c r="AV254" i="93"/>
  <c r="AW254" i="93"/>
  <c r="AX254" i="93"/>
  <c r="AY254" i="93"/>
  <c r="AZ254" i="93"/>
  <c r="BA254" i="93"/>
  <c r="BB254" i="93"/>
  <c r="BC254" i="93"/>
  <c r="BD254" i="93"/>
  <c r="BE254" i="93"/>
  <c r="BF254" i="93"/>
  <c r="BG254" i="93"/>
  <c r="BH254" i="93"/>
  <c r="BI254" i="93"/>
  <c r="BJ254" i="93"/>
  <c r="BK254" i="93"/>
  <c r="BL254" i="93"/>
  <c r="BM254" i="93"/>
  <c r="BN254" i="93"/>
  <c r="BO254" i="93"/>
  <c r="BP254" i="93"/>
  <c r="BQ254" i="93"/>
  <c r="BR254" i="93"/>
  <c r="BS254" i="93"/>
  <c r="BT254" i="93"/>
  <c r="BU254" i="93"/>
  <c r="BV254" i="93"/>
  <c r="BW254" i="93"/>
  <c r="BX254" i="93"/>
  <c r="BY254" i="93"/>
  <c r="BZ254" i="93"/>
  <c r="CA254" i="93"/>
  <c r="CB254" i="93"/>
  <c r="CC254" i="93"/>
  <c r="CD254" i="93"/>
  <c r="CE254" i="93"/>
  <c r="CF254" i="93"/>
  <c r="CG254" i="93"/>
  <c r="CH254" i="93"/>
  <c r="CI254" i="93"/>
  <c r="CJ254" i="93"/>
  <c r="CK254" i="93"/>
  <c r="CL254" i="93"/>
  <c r="CM254" i="93"/>
  <c r="CN254" i="93"/>
  <c r="CO254" i="93"/>
  <c r="CP254" i="93"/>
  <c r="CQ254" i="93"/>
  <c r="CR254" i="93"/>
  <c r="CS254" i="93"/>
  <c r="CT254" i="93"/>
  <c r="CU254" i="93"/>
  <c r="CV254" i="93"/>
  <c r="CW254" i="93"/>
  <c r="J255" i="93"/>
  <c r="K255" i="93"/>
  <c r="L255" i="93"/>
  <c r="M255" i="93"/>
  <c r="N255" i="93"/>
  <c r="O255" i="93"/>
  <c r="P255" i="93"/>
  <c r="Q255" i="93"/>
  <c r="R255" i="93"/>
  <c r="S255" i="93"/>
  <c r="T255" i="93"/>
  <c r="U255" i="93"/>
  <c r="V255" i="93"/>
  <c r="W255" i="93"/>
  <c r="X255" i="93"/>
  <c r="Y255" i="93"/>
  <c r="Z255" i="93"/>
  <c r="AA255" i="93"/>
  <c r="AB255" i="93"/>
  <c r="AC255" i="93"/>
  <c r="AD255" i="93"/>
  <c r="AE255" i="93"/>
  <c r="AF255" i="93"/>
  <c r="AG255" i="93"/>
  <c r="AH255" i="93"/>
  <c r="AI255" i="93"/>
  <c r="AJ255" i="93"/>
  <c r="AK255" i="93"/>
  <c r="AL255" i="93"/>
  <c r="AM255" i="93"/>
  <c r="AN255" i="93"/>
  <c r="AO255" i="93"/>
  <c r="AP255" i="93"/>
  <c r="AQ255" i="93"/>
  <c r="AR255" i="93"/>
  <c r="AS255" i="93"/>
  <c r="AT255" i="93"/>
  <c r="AU255" i="93"/>
  <c r="AV255" i="93"/>
  <c r="AW255" i="93"/>
  <c r="AX255" i="93"/>
  <c r="AY255" i="93"/>
  <c r="AZ255" i="93"/>
  <c r="BA255" i="93"/>
  <c r="BB255" i="93"/>
  <c r="BC255" i="93"/>
  <c r="BD255" i="93"/>
  <c r="BE255" i="93"/>
  <c r="BF255" i="93"/>
  <c r="BG255" i="93"/>
  <c r="BH255" i="93"/>
  <c r="BI255" i="93"/>
  <c r="BJ255" i="93"/>
  <c r="BK255" i="93"/>
  <c r="BL255" i="93"/>
  <c r="BM255" i="93"/>
  <c r="BN255" i="93"/>
  <c r="BO255" i="93"/>
  <c r="BP255" i="93"/>
  <c r="BQ255" i="93"/>
  <c r="BR255" i="93"/>
  <c r="BS255" i="93"/>
  <c r="BT255" i="93"/>
  <c r="BU255" i="93"/>
  <c r="BV255" i="93"/>
  <c r="BW255" i="93"/>
  <c r="BX255" i="93"/>
  <c r="BY255" i="93"/>
  <c r="BZ255" i="93"/>
  <c r="CA255" i="93"/>
  <c r="CB255" i="93"/>
  <c r="CC255" i="93"/>
  <c r="CD255" i="93"/>
  <c r="CE255" i="93"/>
  <c r="CF255" i="93"/>
  <c r="CG255" i="93"/>
  <c r="CH255" i="93"/>
  <c r="CI255" i="93"/>
  <c r="CJ255" i="93"/>
  <c r="CK255" i="93"/>
  <c r="CL255" i="93"/>
  <c r="CM255" i="93"/>
  <c r="CN255" i="93"/>
  <c r="CO255" i="93"/>
  <c r="CP255" i="93"/>
  <c r="CQ255" i="93"/>
  <c r="CR255" i="93"/>
  <c r="CS255" i="93"/>
  <c r="CT255" i="93"/>
  <c r="CU255" i="93"/>
  <c r="CV255" i="93"/>
  <c r="CW255" i="93"/>
  <c r="J256" i="93"/>
  <c r="K256" i="93"/>
  <c r="L256" i="93"/>
  <c r="M256" i="93"/>
  <c r="N256" i="93"/>
  <c r="O256" i="93"/>
  <c r="P256" i="93"/>
  <c r="Q256" i="93"/>
  <c r="R256" i="93"/>
  <c r="S256" i="93"/>
  <c r="T256" i="93"/>
  <c r="U256" i="93"/>
  <c r="V256" i="93"/>
  <c r="W256" i="93"/>
  <c r="X256" i="93"/>
  <c r="Y256" i="93"/>
  <c r="Z256" i="93"/>
  <c r="AA256" i="93"/>
  <c r="AB256" i="93"/>
  <c r="AC256" i="93"/>
  <c r="AD256" i="93"/>
  <c r="AE256" i="93"/>
  <c r="AF256" i="93"/>
  <c r="AG256" i="93"/>
  <c r="AH256" i="93"/>
  <c r="AI256" i="93"/>
  <c r="AJ256" i="93"/>
  <c r="AK256" i="93"/>
  <c r="AL256" i="93"/>
  <c r="AM256" i="93"/>
  <c r="AN256" i="93"/>
  <c r="AO256" i="93"/>
  <c r="AP256" i="93"/>
  <c r="AQ256" i="93"/>
  <c r="AR256" i="93"/>
  <c r="AS256" i="93"/>
  <c r="AT256" i="93"/>
  <c r="AU256" i="93"/>
  <c r="AV256" i="93"/>
  <c r="AW256" i="93"/>
  <c r="AX256" i="93"/>
  <c r="AY256" i="93"/>
  <c r="AZ256" i="93"/>
  <c r="BA256" i="93"/>
  <c r="BB256" i="93"/>
  <c r="BC256" i="93"/>
  <c r="BD256" i="93"/>
  <c r="BE256" i="93"/>
  <c r="BF256" i="93"/>
  <c r="BG256" i="93"/>
  <c r="BH256" i="93"/>
  <c r="BI256" i="93"/>
  <c r="BJ256" i="93"/>
  <c r="BK256" i="93"/>
  <c r="BL256" i="93"/>
  <c r="BM256" i="93"/>
  <c r="BN256" i="93"/>
  <c r="BO256" i="93"/>
  <c r="BP256" i="93"/>
  <c r="BQ256" i="93"/>
  <c r="BR256" i="93"/>
  <c r="BS256" i="93"/>
  <c r="BT256" i="93"/>
  <c r="BU256" i="93"/>
  <c r="BV256" i="93"/>
  <c r="BW256" i="93"/>
  <c r="BX256" i="93"/>
  <c r="BY256" i="93"/>
  <c r="BZ256" i="93"/>
  <c r="CA256" i="93"/>
  <c r="CB256" i="93"/>
  <c r="CC256" i="93"/>
  <c r="CD256" i="93"/>
  <c r="CE256" i="93"/>
  <c r="CF256" i="93"/>
  <c r="CG256" i="93"/>
  <c r="CH256" i="93"/>
  <c r="CI256" i="93"/>
  <c r="CJ256" i="93"/>
  <c r="CK256" i="93"/>
  <c r="CL256" i="93"/>
  <c r="CM256" i="93"/>
  <c r="CN256" i="93"/>
  <c r="CO256" i="93"/>
  <c r="CP256" i="93"/>
  <c r="CQ256" i="93"/>
  <c r="CR256" i="93"/>
  <c r="CS256" i="93"/>
  <c r="CT256" i="93"/>
  <c r="CU256" i="93"/>
  <c r="CV256" i="93"/>
  <c r="CW256" i="93"/>
  <c r="J257" i="93"/>
  <c r="K257" i="93"/>
  <c r="L257" i="93"/>
  <c r="M257" i="93"/>
  <c r="N257" i="93"/>
  <c r="O257" i="93"/>
  <c r="P257" i="93"/>
  <c r="Q257" i="93"/>
  <c r="R257" i="93"/>
  <c r="S257" i="93"/>
  <c r="T257" i="93"/>
  <c r="U257" i="93"/>
  <c r="V257" i="93"/>
  <c r="W257" i="93"/>
  <c r="X257" i="93"/>
  <c r="Y257" i="93"/>
  <c r="Z257" i="93"/>
  <c r="AA257" i="93"/>
  <c r="AB257" i="93"/>
  <c r="AC257" i="93"/>
  <c r="AD257" i="93"/>
  <c r="AE257" i="93"/>
  <c r="AF257" i="93"/>
  <c r="AG257" i="93"/>
  <c r="AH257" i="93"/>
  <c r="AI257" i="93"/>
  <c r="AJ257" i="93"/>
  <c r="AK257" i="93"/>
  <c r="AL257" i="93"/>
  <c r="AM257" i="93"/>
  <c r="AN257" i="93"/>
  <c r="AO257" i="93"/>
  <c r="AP257" i="93"/>
  <c r="AQ257" i="93"/>
  <c r="AR257" i="93"/>
  <c r="AS257" i="93"/>
  <c r="AT257" i="93"/>
  <c r="AU257" i="93"/>
  <c r="AV257" i="93"/>
  <c r="AW257" i="93"/>
  <c r="AX257" i="93"/>
  <c r="AY257" i="93"/>
  <c r="AZ257" i="93"/>
  <c r="BA257" i="93"/>
  <c r="BB257" i="93"/>
  <c r="BC257" i="93"/>
  <c r="BD257" i="93"/>
  <c r="BE257" i="93"/>
  <c r="BF257" i="93"/>
  <c r="BG257" i="93"/>
  <c r="BH257" i="93"/>
  <c r="BI257" i="93"/>
  <c r="BJ257" i="93"/>
  <c r="BK257" i="93"/>
  <c r="BL257" i="93"/>
  <c r="BM257" i="93"/>
  <c r="BN257" i="93"/>
  <c r="BO257" i="93"/>
  <c r="BP257" i="93"/>
  <c r="BQ257" i="93"/>
  <c r="BR257" i="93"/>
  <c r="BS257" i="93"/>
  <c r="BT257" i="93"/>
  <c r="BU257" i="93"/>
  <c r="BV257" i="93"/>
  <c r="BW257" i="93"/>
  <c r="BX257" i="93"/>
  <c r="BY257" i="93"/>
  <c r="BZ257" i="93"/>
  <c r="CA257" i="93"/>
  <c r="CB257" i="93"/>
  <c r="CC257" i="93"/>
  <c r="CD257" i="93"/>
  <c r="CE257" i="93"/>
  <c r="CF257" i="93"/>
  <c r="CG257" i="93"/>
  <c r="CH257" i="93"/>
  <c r="CI257" i="93"/>
  <c r="CJ257" i="93"/>
  <c r="CK257" i="93"/>
  <c r="CL257" i="93"/>
  <c r="CM257" i="93"/>
  <c r="CN257" i="93"/>
  <c r="CO257" i="93"/>
  <c r="CP257" i="93"/>
  <c r="CQ257" i="93"/>
  <c r="CR257" i="93"/>
  <c r="CS257" i="93"/>
  <c r="CT257" i="93"/>
  <c r="CU257" i="93"/>
  <c r="CV257" i="93"/>
  <c r="CW257" i="93"/>
  <c r="J258" i="93"/>
  <c r="K258" i="93"/>
  <c r="L258" i="93"/>
  <c r="M258" i="93"/>
  <c r="N258" i="93"/>
  <c r="O258" i="93"/>
  <c r="P258" i="93"/>
  <c r="Q258" i="93"/>
  <c r="R258" i="93"/>
  <c r="S258" i="93"/>
  <c r="T258" i="93"/>
  <c r="U258" i="93"/>
  <c r="V258" i="93"/>
  <c r="W258" i="93"/>
  <c r="X258" i="93"/>
  <c r="Y258" i="93"/>
  <c r="Z258" i="93"/>
  <c r="AA258" i="93"/>
  <c r="AB258" i="93"/>
  <c r="AC258" i="93"/>
  <c r="AD258" i="93"/>
  <c r="AE258" i="93"/>
  <c r="AF258" i="93"/>
  <c r="AG258" i="93"/>
  <c r="AH258" i="93"/>
  <c r="AI258" i="93"/>
  <c r="AJ258" i="93"/>
  <c r="AK258" i="93"/>
  <c r="AL258" i="93"/>
  <c r="AM258" i="93"/>
  <c r="AN258" i="93"/>
  <c r="AO258" i="93"/>
  <c r="AP258" i="93"/>
  <c r="AQ258" i="93"/>
  <c r="AR258" i="93"/>
  <c r="AS258" i="93"/>
  <c r="AT258" i="93"/>
  <c r="AU258" i="93"/>
  <c r="AV258" i="93"/>
  <c r="AW258" i="93"/>
  <c r="AX258" i="93"/>
  <c r="AY258" i="93"/>
  <c r="AZ258" i="93"/>
  <c r="BA258" i="93"/>
  <c r="BB258" i="93"/>
  <c r="BC258" i="93"/>
  <c r="BD258" i="93"/>
  <c r="BE258" i="93"/>
  <c r="BF258" i="93"/>
  <c r="BG258" i="93"/>
  <c r="BH258" i="93"/>
  <c r="BI258" i="93"/>
  <c r="BJ258" i="93"/>
  <c r="BK258" i="93"/>
  <c r="BL258" i="93"/>
  <c r="BM258" i="93"/>
  <c r="BN258" i="93"/>
  <c r="BO258" i="93"/>
  <c r="BP258" i="93"/>
  <c r="BQ258" i="93"/>
  <c r="BR258" i="93"/>
  <c r="BS258" i="93"/>
  <c r="BT258" i="93"/>
  <c r="BU258" i="93"/>
  <c r="BV258" i="93"/>
  <c r="BW258" i="93"/>
  <c r="BX258" i="93"/>
  <c r="BY258" i="93"/>
  <c r="BZ258" i="93"/>
  <c r="CA258" i="93"/>
  <c r="CB258" i="93"/>
  <c r="CC258" i="93"/>
  <c r="CD258" i="93"/>
  <c r="CE258" i="93"/>
  <c r="CF258" i="93"/>
  <c r="CG258" i="93"/>
  <c r="CH258" i="93"/>
  <c r="CI258" i="93"/>
  <c r="CJ258" i="93"/>
  <c r="CK258" i="93"/>
  <c r="CL258" i="93"/>
  <c r="CM258" i="93"/>
  <c r="CN258" i="93"/>
  <c r="CO258" i="93"/>
  <c r="CP258" i="93"/>
  <c r="CQ258" i="93"/>
  <c r="CR258" i="93"/>
  <c r="CS258" i="93"/>
  <c r="CT258" i="93"/>
  <c r="CU258" i="93"/>
  <c r="CV258" i="93"/>
  <c r="CW258" i="93"/>
  <c r="J259" i="93"/>
  <c r="K259" i="93"/>
  <c r="L259" i="93"/>
  <c r="M259" i="93"/>
  <c r="N259" i="93"/>
  <c r="O259" i="93"/>
  <c r="P259" i="93"/>
  <c r="Q259" i="93"/>
  <c r="R259" i="93"/>
  <c r="S259" i="93"/>
  <c r="T259" i="93"/>
  <c r="U259" i="93"/>
  <c r="V259" i="93"/>
  <c r="W259" i="93"/>
  <c r="X259" i="93"/>
  <c r="Y259" i="93"/>
  <c r="Z259" i="93"/>
  <c r="AA259" i="93"/>
  <c r="AB259" i="93"/>
  <c r="AC259" i="93"/>
  <c r="AD259" i="93"/>
  <c r="AE259" i="93"/>
  <c r="AF259" i="93"/>
  <c r="AG259" i="93"/>
  <c r="AH259" i="93"/>
  <c r="AI259" i="93"/>
  <c r="AJ259" i="93"/>
  <c r="AK259" i="93"/>
  <c r="AL259" i="93"/>
  <c r="AM259" i="93"/>
  <c r="AN259" i="93"/>
  <c r="AO259" i="93"/>
  <c r="AP259" i="93"/>
  <c r="AQ259" i="93"/>
  <c r="AR259" i="93"/>
  <c r="AS259" i="93"/>
  <c r="AT259" i="93"/>
  <c r="AU259" i="93"/>
  <c r="AV259" i="93"/>
  <c r="AW259" i="93"/>
  <c r="AX259" i="93"/>
  <c r="AY259" i="93"/>
  <c r="AZ259" i="93"/>
  <c r="BA259" i="93"/>
  <c r="BB259" i="93"/>
  <c r="BC259" i="93"/>
  <c r="BD259" i="93"/>
  <c r="BE259" i="93"/>
  <c r="BF259" i="93"/>
  <c r="BG259" i="93"/>
  <c r="BH259" i="93"/>
  <c r="BI259" i="93"/>
  <c r="BJ259" i="93"/>
  <c r="BK259" i="93"/>
  <c r="BL259" i="93"/>
  <c r="BM259" i="93"/>
  <c r="BN259" i="93"/>
  <c r="BO259" i="93"/>
  <c r="BP259" i="93"/>
  <c r="BQ259" i="93"/>
  <c r="BR259" i="93"/>
  <c r="BS259" i="93"/>
  <c r="BT259" i="93"/>
  <c r="BU259" i="93"/>
  <c r="BV259" i="93"/>
  <c r="BW259" i="93"/>
  <c r="BX259" i="93"/>
  <c r="BY259" i="93"/>
  <c r="BZ259" i="93"/>
  <c r="CA259" i="93"/>
  <c r="CB259" i="93"/>
  <c r="CC259" i="93"/>
  <c r="CD259" i="93"/>
  <c r="CE259" i="93"/>
  <c r="CF259" i="93"/>
  <c r="CG259" i="93"/>
  <c r="CH259" i="93"/>
  <c r="CI259" i="93"/>
  <c r="CJ259" i="93"/>
  <c r="CK259" i="93"/>
  <c r="CL259" i="93"/>
  <c r="CM259" i="93"/>
  <c r="CN259" i="93"/>
  <c r="CO259" i="93"/>
  <c r="CP259" i="93"/>
  <c r="CQ259" i="93"/>
  <c r="CR259" i="93"/>
  <c r="CS259" i="93"/>
  <c r="CT259" i="93"/>
  <c r="CU259" i="93"/>
  <c r="CV259" i="93"/>
  <c r="CW259" i="93"/>
  <c r="J260" i="93"/>
  <c r="K260" i="93"/>
  <c r="L260" i="93"/>
  <c r="M260" i="93"/>
  <c r="N260" i="93"/>
  <c r="O260" i="93"/>
  <c r="P260" i="93"/>
  <c r="Q260" i="93"/>
  <c r="R260" i="93"/>
  <c r="S260" i="93"/>
  <c r="T260" i="93"/>
  <c r="U260" i="93"/>
  <c r="V260" i="93"/>
  <c r="W260" i="93"/>
  <c r="X260" i="93"/>
  <c r="Y260" i="93"/>
  <c r="Z260" i="93"/>
  <c r="AA260" i="93"/>
  <c r="AB260" i="93"/>
  <c r="AC260" i="93"/>
  <c r="AD260" i="93"/>
  <c r="AE260" i="93"/>
  <c r="AF260" i="93"/>
  <c r="AG260" i="93"/>
  <c r="AH260" i="93"/>
  <c r="AI260" i="93"/>
  <c r="AJ260" i="93"/>
  <c r="AK260" i="93"/>
  <c r="AL260" i="93"/>
  <c r="AM260" i="93"/>
  <c r="AN260" i="93"/>
  <c r="AO260" i="93"/>
  <c r="AP260" i="93"/>
  <c r="AQ260" i="93"/>
  <c r="AR260" i="93"/>
  <c r="AS260" i="93"/>
  <c r="AT260" i="93"/>
  <c r="AU260" i="93"/>
  <c r="AV260" i="93"/>
  <c r="AW260" i="93"/>
  <c r="AX260" i="93"/>
  <c r="AY260" i="93"/>
  <c r="AZ260" i="93"/>
  <c r="BA260" i="93"/>
  <c r="BB260" i="93"/>
  <c r="BC260" i="93"/>
  <c r="BD260" i="93"/>
  <c r="BE260" i="93"/>
  <c r="BF260" i="93"/>
  <c r="BG260" i="93"/>
  <c r="BH260" i="93"/>
  <c r="BI260" i="93"/>
  <c r="BJ260" i="93"/>
  <c r="BK260" i="93"/>
  <c r="BL260" i="93"/>
  <c r="BM260" i="93"/>
  <c r="BN260" i="93"/>
  <c r="BO260" i="93"/>
  <c r="BP260" i="93"/>
  <c r="BQ260" i="93"/>
  <c r="BR260" i="93"/>
  <c r="BS260" i="93"/>
  <c r="BT260" i="93"/>
  <c r="BU260" i="93"/>
  <c r="BV260" i="93"/>
  <c r="BW260" i="93"/>
  <c r="BX260" i="93"/>
  <c r="BY260" i="93"/>
  <c r="BZ260" i="93"/>
  <c r="CA260" i="93"/>
  <c r="CB260" i="93"/>
  <c r="CC260" i="93"/>
  <c r="CD260" i="93"/>
  <c r="CE260" i="93"/>
  <c r="CF260" i="93"/>
  <c r="CG260" i="93"/>
  <c r="CH260" i="93"/>
  <c r="CI260" i="93"/>
  <c r="CJ260" i="93"/>
  <c r="CK260" i="93"/>
  <c r="CL260" i="93"/>
  <c r="CM260" i="93"/>
  <c r="CN260" i="93"/>
  <c r="CO260" i="93"/>
  <c r="CP260" i="93"/>
  <c r="CQ260" i="93"/>
  <c r="CR260" i="93"/>
  <c r="CS260" i="93"/>
  <c r="CT260" i="93"/>
  <c r="CU260" i="93"/>
  <c r="CV260" i="93"/>
  <c r="CW260" i="93"/>
  <c r="J261" i="93"/>
  <c r="K261" i="93"/>
  <c r="L261" i="93"/>
  <c r="M261" i="93"/>
  <c r="N261" i="93"/>
  <c r="O261" i="93"/>
  <c r="P261" i="93"/>
  <c r="Q261" i="93"/>
  <c r="R261" i="93"/>
  <c r="S261" i="93"/>
  <c r="T261" i="93"/>
  <c r="U261" i="93"/>
  <c r="V261" i="93"/>
  <c r="W261" i="93"/>
  <c r="X261" i="93"/>
  <c r="Y261" i="93"/>
  <c r="Z261" i="93"/>
  <c r="AA261" i="93"/>
  <c r="AB261" i="93"/>
  <c r="AC261" i="93"/>
  <c r="AD261" i="93"/>
  <c r="AE261" i="93"/>
  <c r="AF261" i="93"/>
  <c r="AG261" i="93"/>
  <c r="AH261" i="93"/>
  <c r="AI261" i="93"/>
  <c r="AJ261" i="93"/>
  <c r="AK261" i="93"/>
  <c r="AL261" i="93"/>
  <c r="AM261" i="93"/>
  <c r="AN261" i="93"/>
  <c r="AO261" i="93"/>
  <c r="AP261" i="93"/>
  <c r="AQ261" i="93"/>
  <c r="AR261" i="93"/>
  <c r="AS261" i="93"/>
  <c r="AT261" i="93"/>
  <c r="AU261" i="93"/>
  <c r="AV261" i="93"/>
  <c r="AW261" i="93"/>
  <c r="AX261" i="93"/>
  <c r="AY261" i="93"/>
  <c r="AZ261" i="93"/>
  <c r="BA261" i="93"/>
  <c r="BB261" i="93"/>
  <c r="BC261" i="93"/>
  <c r="BD261" i="93"/>
  <c r="BE261" i="93"/>
  <c r="BF261" i="93"/>
  <c r="BG261" i="93"/>
  <c r="BH261" i="93"/>
  <c r="BI261" i="93"/>
  <c r="BJ261" i="93"/>
  <c r="BK261" i="93"/>
  <c r="BL261" i="93"/>
  <c r="BM261" i="93"/>
  <c r="BN261" i="93"/>
  <c r="BO261" i="93"/>
  <c r="BP261" i="93"/>
  <c r="BQ261" i="93"/>
  <c r="BR261" i="93"/>
  <c r="BS261" i="93"/>
  <c r="BT261" i="93"/>
  <c r="BU261" i="93"/>
  <c r="BV261" i="93"/>
  <c r="BW261" i="93"/>
  <c r="BX261" i="93"/>
  <c r="BY261" i="93"/>
  <c r="BZ261" i="93"/>
  <c r="CA261" i="93"/>
  <c r="CB261" i="93"/>
  <c r="CC261" i="93"/>
  <c r="CD261" i="93"/>
  <c r="CE261" i="93"/>
  <c r="CF261" i="93"/>
  <c r="CG261" i="93"/>
  <c r="CH261" i="93"/>
  <c r="CI261" i="93"/>
  <c r="CJ261" i="93"/>
  <c r="CK261" i="93"/>
  <c r="CL261" i="93"/>
  <c r="CM261" i="93"/>
  <c r="CN261" i="93"/>
  <c r="CO261" i="93"/>
  <c r="CP261" i="93"/>
  <c r="CQ261" i="93"/>
  <c r="CR261" i="93"/>
  <c r="CS261" i="93"/>
  <c r="CT261" i="93"/>
  <c r="CU261" i="93"/>
  <c r="CV261" i="93"/>
  <c r="CW261" i="93"/>
  <c r="J262" i="93"/>
  <c r="K262" i="93"/>
  <c r="L262" i="93"/>
  <c r="M262" i="93"/>
  <c r="N262" i="93"/>
  <c r="O262" i="93"/>
  <c r="P262" i="93"/>
  <c r="Q262" i="93"/>
  <c r="R262" i="93"/>
  <c r="S262" i="93"/>
  <c r="T262" i="93"/>
  <c r="U262" i="93"/>
  <c r="V262" i="93"/>
  <c r="W262" i="93"/>
  <c r="X262" i="93"/>
  <c r="Y262" i="93"/>
  <c r="Z262" i="93"/>
  <c r="AA262" i="93"/>
  <c r="AB262" i="93"/>
  <c r="AC262" i="93"/>
  <c r="AD262" i="93"/>
  <c r="AE262" i="93"/>
  <c r="AF262" i="93"/>
  <c r="AG262" i="93"/>
  <c r="AH262" i="93"/>
  <c r="AI262" i="93"/>
  <c r="AJ262" i="93"/>
  <c r="AK262" i="93"/>
  <c r="AL262" i="93"/>
  <c r="AM262" i="93"/>
  <c r="AN262" i="93"/>
  <c r="AO262" i="93"/>
  <c r="AP262" i="93"/>
  <c r="AQ262" i="93"/>
  <c r="AR262" i="93"/>
  <c r="AS262" i="93"/>
  <c r="AT262" i="93"/>
  <c r="AU262" i="93"/>
  <c r="AV262" i="93"/>
  <c r="AW262" i="93"/>
  <c r="AX262" i="93"/>
  <c r="AY262" i="93"/>
  <c r="AZ262" i="93"/>
  <c r="BA262" i="93"/>
  <c r="BB262" i="93"/>
  <c r="BC262" i="93"/>
  <c r="BD262" i="93"/>
  <c r="BE262" i="93"/>
  <c r="BF262" i="93"/>
  <c r="BG262" i="93"/>
  <c r="BH262" i="93"/>
  <c r="BI262" i="93"/>
  <c r="BJ262" i="93"/>
  <c r="BK262" i="93"/>
  <c r="BL262" i="93"/>
  <c r="BM262" i="93"/>
  <c r="BN262" i="93"/>
  <c r="BO262" i="93"/>
  <c r="BP262" i="93"/>
  <c r="BQ262" i="93"/>
  <c r="BR262" i="93"/>
  <c r="BS262" i="93"/>
  <c r="BT262" i="93"/>
  <c r="BU262" i="93"/>
  <c r="BV262" i="93"/>
  <c r="BW262" i="93"/>
  <c r="BX262" i="93"/>
  <c r="BY262" i="93"/>
  <c r="BZ262" i="93"/>
  <c r="CA262" i="93"/>
  <c r="CB262" i="93"/>
  <c r="CC262" i="93"/>
  <c r="CD262" i="93"/>
  <c r="CE262" i="93"/>
  <c r="CF262" i="93"/>
  <c r="CG262" i="93"/>
  <c r="CH262" i="93"/>
  <c r="CI262" i="93"/>
  <c r="CJ262" i="93"/>
  <c r="CK262" i="93"/>
  <c r="CL262" i="93"/>
  <c r="CM262" i="93"/>
  <c r="CN262" i="93"/>
  <c r="CO262" i="93"/>
  <c r="CP262" i="93"/>
  <c r="CQ262" i="93"/>
  <c r="CR262" i="93"/>
  <c r="CS262" i="93"/>
  <c r="CT262" i="93"/>
  <c r="CU262" i="93"/>
  <c r="CV262" i="93"/>
  <c r="CW262" i="93"/>
  <c r="J263" i="93"/>
  <c r="K263" i="93"/>
  <c r="L263" i="93"/>
  <c r="M263" i="93"/>
  <c r="N263" i="93"/>
  <c r="O263" i="93"/>
  <c r="P263" i="93"/>
  <c r="Q263" i="93"/>
  <c r="R263" i="93"/>
  <c r="S263" i="93"/>
  <c r="T263" i="93"/>
  <c r="U263" i="93"/>
  <c r="V263" i="93"/>
  <c r="W263" i="93"/>
  <c r="X263" i="93"/>
  <c r="Y263" i="93"/>
  <c r="Z263" i="93"/>
  <c r="AA263" i="93"/>
  <c r="AB263" i="93"/>
  <c r="AC263" i="93"/>
  <c r="AD263" i="93"/>
  <c r="AE263" i="93"/>
  <c r="AF263" i="93"/>
  <c r="AG263" i="93"/>
  <c r="AH263" i="93"/>
  <c r="AI263" i="93"/>
  <c r="AJ263" i="93"/>
  <c r="AK263" i="93"/>
  <c r="AL263" i="93"/>
  <c r="AM263" i="93"/>
  <c r="AN263" i="93"/>
  <c r="AO263" i="93"/>
  <c r="AP263" i="93"/>
  <c r="AQ263" i="93"/>
  <c r="AR263" i="93"/>
  <c r="AS263" i="93"/>
  <c r="AT263" i="93"/>
  <c r="AU263" i="93"/>
  <c r="AV263" i="93"/>
  <c r="AW263" i="93"/>
  <c r="AX263" i="93"/>
  <c r="AY263" i="93"/>
  <c r="AZ263" i="93"/>
  <c r="BA263" i="93"/>
  <c r="BB263" i="93"/>
  <c r="BC263" i="93"/>
  <c r="BD263" i="93"/>
  <c r="BE263" i="93"/>
  <c r="BF263" i="93"/>
  <c r="BG263" i="93"/>
  <c r="BH263" i="93"/>
  <c r="BI263" i="93"/>
  <c r="BJ263" i="93"/>
  <c r="BK263" i="93"/>
  <c r="BL263" i="93"/>
  <c r="BM263" i="93"/>
  <c r="BN263" i="93"/>
  <c r="BO263" i="93"/>
  <c r="BP263" i="93"/>
  <c r="BQ263" i="93"/>
  <c r="BR263" i="93"/>
  <c r="BS263" i="93"/>
  <c r="BT263" i="93"/>
  <c r="BU263" i="93"/>
  <c r="BV263" i="93"/>
  <c r="BW263" i="93"/>
  <c r="BX263" i="93"/>
  <c r="BY263" i="93"/>
  <c r="BZ263" i="93"/>
  <c r="CA263" i="93"/>
  <c r="CB263" i="93"/>
  <c r="CC263" i="93"/>
  <c r="CD263" i="93"/>
  <c r="CE263" i="93"/>
  <c r="CF263" i="93"/>
  <c r="CG263" i="93"/>
  <c r="CH263" i="93"/>
  <c r="CI263" i="93"/>
  <c r="CJ263" i="93"/>
  <c r="CK263" i="93"/>
  <c r="CL263" i="93"/>
  <c r="CM263" i="93"/>
  <c r="CN263" i="93"/>
  <c r="CO263" i="93"/>
  <c r="CP263" i="93"/>
  <c r="CQ263" i="93"/>
  <c r="CR263" i="93"/>
  <c r="CS263" i="93"/>
  <c r="CT263" i="93"/>
  <c r="CU263" i="93"/>
  <c r="CV263" i="93"/>
  <c r="CW263" i="93"/>
  <c r="J264" i="93"/>
  <c r="K264" i="93"/>
  <c r="L264" i="93"/>
  <c r="M264" i="93"/>
  <c r="N264" i="93"/>
  <c r="O264" i="93"/>
  <c r="P264" i="93"/>
  <c r="Q264" i="93"/>
  <c r="R264" i="93"/>
  <c r="S264" i="93"/>
  <c r="T264" i="93"/>
  <c r="U264" i="93"/>
  <c r="V264" i="93"/>
  <c r="W264" i="93"/>
  <c r="X264" i="93"/>
  <c r="Y264" i="93"/>
  <c r="Z264" i="93"/>
  <c r="AA264" i="93"/>
  <c r="AB264" i="93"/>
  <c r="AC264" i="93"/>
  <c r="AD264" i="93"/>
  <c r="AE264" i="93"/>
  <c r="AF264" i="93"/>
  <c r="AG264" i="93"/>
  <c r="AH264" i="93"/>
  <c r="AI264" i="93"/>
  <c r="AJ264" i="93"/>
  <c r="AK264" i="93"/>
  <c r="AL264" i="93"/>
  <c r="AM264" i="93"/>
  <c r="AN264" i="93"/>
  <c r="AO264" i="93"/>
  <c r="AP264" i="93"/>
  <c r="AQ264" i="93"/>
  <c r="AR264" i="93"/>
  <c r="AS264" i="93"/>
  <c r="AT264" i="93"/>
  <c r="AU264" i="93"/>
  <c r="AV264" i="93"/>
  <c r="AW264" i="93"/>
  <c r="AX264" i="93"/>
  <c r="AY264" i="93"/>
  <c r="AZ264" i="93"/>
  <c r="BA264" i="93"/>
  <c r="BB264" i="93"/>
  <c r="BC264" i="93"/>
  <c r="BD264" i="93"/>
  <c r="BE264" i="93"/>
  <c r="BF264" i="93"/>
  <c r="BG264" i="93"/>
  <c r="BH264" i="93"/>
  <c r="BI264" i="93"/>
  <c r="BJ264" i="93"/>
  <c r="BK264" i="93"/>
  <c r="BL264" i="93"/>
  <c r="BM264" i="93"/>
  <c r="BN264" i="93"/>
  <c r="BO264" i="93"/>
  <c r="BP264" i="93"/>
  <c r="BQ264" i="93"/>
  <c r="BR264" i="93"/>
  <c r="BS264" i="93"/>
  <c r="BT264" i="93"/>
  <c r="BU264" i="93"/>
  <c r="BV264" i="93"/>
  <c r="BW264" i="93"/>
  <c r="BX264" i="93"/>
  <c r="BY264" i="93"/>
  <c r="BZ264" i="93"/>
  <c r="CA264" i="93"/>
  <c r="CB264" i="93"/>
  <c r="CC264" i="93"/>
  <c r="CD264" i="93"/>
  <c r="CE264" i="93"/>
  <c r="CF264" i="93"/>
  <c r="CG264" i="93"/>
  <c r="CH264" i="93"/>
  <c r="CI264" i="93"/>
  <c r="CJ264" i="93"/>
  <c r="CK264" i="93"/>
  <c r="CL264" i="93"/>
  <c r="CM264" i="93"/>
  <c r="CN264" i="93"/>
  <c r="CO264" i="93"/>
  <c r="CP264" i="93"/>
  <c r="CQ264" i="93"/>
  <c r="CR264" i="93"/>
  <c r="CS264" i="93"/>
  <c r="CT264" i="93"/>
  <c r="CU264" i="93"/>
  <c r="CV264" i="93"/>
  <c r="CW264" i="93"/>
  <c r="J265" i="93"/>
  <c r="K265" i="93"/>
  <c r="L265" i="93"/>
  <c r="M265" i="93"/>
  <c r="N265" i="93"/>
  <c r="O265" i="93"/>
  <c r="P265" i="93"/>
  <c r="Q265" i="93"/>
  <c r="R265" i="93"/>
  <c r="S265" i="93"/>
  <c r="T265" i="93"/>
  <c r="U265" i="93"/>
  <c r="V265" i="93"/>
  <c r="W265" i="93"/>
  <c r="X265" i="93"/>
  <c r="Y265" i="93"/>
  <c r="Z265" i="93"/>
  <c r="AA265" i="93"/>
  <c r="AB265" i="93"/>
  <c r="AC265" i="93"/>
  <c r="AD265" i="93"/>
  <c r="AE265" i="93"/>
  <c r="AF265" i="93"/>
  <c r="AG265" i="93"/>
  <c r="AH265" i="93"/>
  <c r="AI265" i="93"/>
  <c r="AJ265" i="93"/>
  <c r="AK265" i="93"/>
  <c r="AL265" i="93"/>
  <c r="AM265" i="93"/>
  <c r="AN265" i="93"/>
  <c r="AO265" i="93"/>
  <c r="AP265" i="93"/>
  <c r="AQ265" i="93"/>
  <c r="AR265" i="93"/>
  <c r="AS265" i="93"/>
  <c r="AT265" i="93"/>
  <c r="AU265" i="93"/>
  <c r="AV265" i="93"/>
  <c r="AW265" i="93"/>
  <c r="AX265" i="93"/>
  <c r="AY265" i="93"/>
  <c r="AZ265" i="93"/>
  <c r="BA265" i="93"/>
  <c r="BB265" i="93"/>
  <c r="BC265" i="93"/>
  <c r="BD265" i="93"/>
  <c r="BE265" i="93"/>
  <c r="BF265" i="93"/>
  <c r="BG265" i="93"/>
  <c r="BH265" i="93"/>
  <c r="BI265" i="93"/>
  <c r="BJ265" i="93"/>
  <c r="BK265" i="93"/>
  <c r="BL265" i="93"/>
  <c r="BM265" i="93"/>
  <c r="BN265" i="93"/>
  <c r="BO265" i="93"/>
  <c r="BP265" i="93"/>
  <c r="BQ265" i="93"/>
  <c r="BR265" i="93"/>
  <c r="BS265" i="93"/>
  <c r="BT265" i="93"/>
  <c r="BU265" i="93"/>
  <c r="BV265" i="93"/>
  <c r="BW265" i="93"/>
  <c r="BX265" i="93"/>
  <c r="BY265" i="93"/>
  <c r="BZ265" i="93"/>
  <c r="CA265" i="93"/>
  <c r="CB265" i="93"/>
  <c r="CC265" i="93"/>
  <c r="CD265" i="93"/>
  <c r="CE265" i="93"/>
  <c r="CF265" i="93"/>
  <c r="CG265" i="93"/>
  <c r="CH265" i="93"/>
  <c r="CI265" i="93"/>
  <c r="CJ265" i="93"/>
  <c r="CK265" i="93"/>
  <c r="CL265" i="93"/>
  <c r="CM265" i="93"/>
  <c r="CN265" i="93"/>
  <c r="CO265" i="93"/>
  <c r="CP265" i="93"/>
  <c r="CQ265" i="93"/>
  <c r="CR265" i="93"/>
  <c r="CS265" i="93"/>
  <c r="CT265" i="93"/>
  <c r="CU265" i="93"/>
  <c r="CV265" i="93"/>
  <c r="CW265" i="93"/>
  <c r="J266" i="93"/>
  <c r="K266" i="93"/>
  <c r="L266" i="93"/>
  <c r="M266" i="93"/>
  <c r="N266" i="93"/>
  <c r="O266" i="93"/>
  <c r="P266" i="93"/>
  <c r="Q266" i="93"/>
  <c r="R266" i="93"/>
  <c r="S266" i="93"/>
  <c r="T266" i="93"/>
  <c r="U266" i="93"/>
  <c r="V266" i="93"/>
  <c r="W266" i="93"/>
  <c r="X266" i="93"/>
  <c r="Y266" i="93"/>
  <c r="Z266" i="93"/>
  <c r="AA266" i="93"/>
  <c r="AB266" i="93"/>
  <c r="AC266" i="93"/>
  <c r="AD266" i="93"/>
  <c r="AE266" i="93"/>
  <c r="AF266" i="93"/>
  <c r="AG266" i="93"/>
  <c r="AH266" i="93"/>
  <c r="AI266" i="93"/>
  <c r="AJ266" i="93"/>
  <c r="AK266" i="93"/>
  <c r="AL266" i="93"/>
  <c r="AM266" i="93"/>
  <c r="AN266" i="93"/>
  <c r="AO266" i="93"/>
  <c r="AP266" i="93"/>
  <c r="AQ266" i="93"/>
  <c r="AR266" i="93"/>
  <c r="AS266" i="93"/>
  <c r="AT266" i="93"/>
  <c r="AU266" i="93"/>
  <c r="AV266" i="93"/>
  <c r="AW266" i="93"/>
  <c r="AX266" i="93"/>
  <c r="AY266" i="93"/>
  <c r="AZ266" i="93"/>
  <c r="BA266" i="93"/>
  <c r="BB266" i="93"/>
  <c r="BC266" i="93"/>
  <c r="BD266" i="93"/>
  <c r="BE266" i="93"/>
  <c r="BF266" i="93"/>
  <c r="BG266" i="93"/>
  <c r="BH266" i="93"/>
  <c r="BI266" i="93"/>
  <c r="BJ266" i="93"/>
  <c r="BK266" i="93"/>
  <c r="BL266" i="93"/>
  <c r="BM266" i="93"/>
  <c r="BN266" i="93"/>
  <c r="BO266" i="93"/>
  <c r="BP266" i="93"/>
  <c r="BQ266" i="93"/>
  <c r="BR266" i="93"/>
  <c r="BS266" i="93"/>
  <c r="BT266" i="93"/>
  <c r="BU266" i="93"/>
  <c r="BV266" i="93"/>
  <c r="BW266" i="93"/>
  <c r="BX266" i="93"/>
  <c r="BY266" i="93"/>
  <c r="BZ266" i="93"/>
  <c r="CA266" i="93"/>
  <c r="CB266" i="93"/>
  <c r="CC266" i="93"/>
  <c r="CD266" i="93"/>
  <c r="CE266" i="93"/>
  <c r="CF266" i="93"/>
  <c r="CG266" i="93"/>
  <c r="CH266" i="93"/>
  <c r="CI266" i="93"/>
  <c r="CJ266" i="93"/>
  <c r="CK266" i="93"/>
  <c r="CL266" i="93"/>
  <c r="CM266" i="93"/>
  <c r="CN266" i="93"/>
  <c r="CO266" i="93"/>
  <c r="CP266" i="93"/>
  <c r="CQ266" i="93"/>
  <c r="CR266" i="93"/>
  <c r="CS266" i="93"/>
  <c r="CT266" i="93"/>
  <c r="CU266" i="93"/>
  <c r="CV266" i="93"/>
  <c r="CW266" i="93"/>
  <c r="J267" i="93"/>
  <c r="K267" i="93"/>
  <c r="L267" i="93"/>
  <c r="M267" i="93"/>
  <c r="N267" i="93"/>
  <c r="O267" i="93"/>
  <c r="P267" i="93"/>
  <c r="Q267" i="93"/>
  <c r="R267" i="93"/>
  <c r="S267" i="93"/>
  <c r="T267" i="93"/>
  <c r="U267" i="93"/>
  <c r="V267" i="93"/>
  <c r="W267" i="93"/>
  <c r="X267" i="93"/>
  <c r="Y267" i="93"/>
  <c r="Z267" i="93"/>
  <c r="AA267" i="93"/>
  <c r="AB267" i="93"/>
  <c r="AC267" i="93"/>
  <c r="AD267" i="93"/>
  <c r="AE267" i="93"/>
  <c r="AF267" i="93"/>
  <c r="AG267" i="93"/>
  <c r="AH267" i="93"/>
  <c r="AI267" i="93"/>
  <c r="AJ267" i="93"/>
  <c r="AK267" i="93"/>
  <c r="AL267" i="93"/>
  <c r="AM267" i="93"/>
  <c r="AN267" i="93"/>
  <c r="AO267" i="93"/>
  <c r="AP267" i="93"/>
  <c r="AQ267" i="93"/>
  <c r="AR267" i="93"/>
  <c r="AS267" i="93"/>
  <c r="AT267" i="93"/>
  <c r="AU267" i="93"/>
  <c r="AV267" i="93"/>
  <c r="AW267" i="93"/>
  <c r="AX267" i="93"/>
  <c r="AY267" i="93"/>
  <c r="AZ267" i="93"/>
  <c r="BA267" i="93"/>
  <c r="BB267" i="93"/>
  <c r="BC267" i="93"/>
  <c r="BD267" i="93"/>
  <c r="BE267" i="93"/>
  <c r="BF267" i="93"/>
  <c r="BG267" i="93"/>
  <c r="BH267" i="93"/>
  <c r="BI267" i="93"/>
  <c r="BJ267" i="93"/>
  <c r="BK267" i="93"/>
  <c r="BL267" i="93"/>
  <c r="BM267" i="93"/>
  <c r="BN267" i="93"/>
  <c r="BO267" i="93"/>
  <c r="BP267" i="93"/>
  <c r="BQ267" i="93"/>
  <c r="BR267" i="93"/>
  <c r="BS267" i="93"/>
  <c r="BT267" i="93"/>
  <c r="BU267" i="93"/>
  <c r="BV267" i="93"/>
  <c r="BW267" i="93"/>
  <c r="BX267" i="93"/>
  <c r="BY267" i="93"/>
  <c r="BZ267" i="93"/>
  <c r="CA267" i="93"/>
  <c r="CB267" i="93"/>
  <c r="CC267" i="93"/>
  <c r="CD267" i="93"/>
  <c r="CE267" i="93"/>
  <c r="CF267" i="93"/>
  <c r="CG267" i="93"/>
  <c r="CH267" i="93"/>
  <c r="CI267" i="93"/>
  <c r="CJ267" i="93"/>
  <c r="CK267" i="93"/>
  <c r="CL267" i="93"/>
  <c r="CM267" i="93"/>
  <c r="CN267" i="93"/>
  <c r="CO267" i="93"/>
  <c r="CP267" i="93"/>
  <c r="CQ267" i="93"/>
  <c r="CR267" i="93"/>
  <c r="CS267" i="93"/>
  <c r="CT267" i="93"/>
  <c r="CU267" i="93"/>
  <c r="CV267" i="93"/>
  <c r="CW267" i="93"/>
  <c r="J268" i="93"/>
  <c r="K268" i="93"/>
  <c r="L268" i="93"/>
  <c r="M268" i="93"/>
  <c r="N268" i="93"/>
  <c r="O268" i="93"/>
  <c r="P268" i="93"/>
  <c r="Q268" i="93"/>
  <c r="R268" i="93"/>
  <c r="S268" i="93"/>
  <c r="T268" i="93"/>
  <c r="U268" i="93"/>
  <c r="V268" i="93"/>
  <c r="W268" i="93"/>
  <c r="X268" i="93"/>
  <c r="Y268" i="93"/>
  <c r="Z268" i="93"/>
  <c r="AA268" i="93"/>
  <c r="AB268" i="93"/>
  <c r="AC268" i="93"/>
  <c r="AD268" i="93"/>
  <c r="AE268" i="93"/>
  <c r="AF268" i="93"/>
  <c r="AG268" i="93"/>
  <c r="AH268" i="93"/>
  <c r="AI268" i="93"/>
  <c r="AJ268" i="93"/>
  <c r="AK268" i="93"/>
  <c r="AL268" i="93"/>
  <c r="AM268" i="93"/>
  <c r="AN268" i="93"/>
  <c r="AO268" i="93"/>
  <c r="AP268" i="93"/>
  <c r="AQ268" i="93"/>
  <c r="AR268" i="93"/>
  <c r="AS268" i="93"/>
  <c r="AT268" i="93"/>
  <c r="AU268" i="93"/>
  <c r="AV268" i="93"/>
  <c r="AW268" i="93"/>
  <c r="AX268" i="93"/>
  <c r="AY268" i="93"/>
  <c r="AZ268" i="93"/>
  <c r="BA268" i="93"/>
  <c r="BB268" i="93"/>
  <c r="BC268" i="93"/>
  <c r="BD268" i="93"/>
  <c r="BE268" i="93"/>
  <c r="BF268" i="93"/>
  <c r="BG268" i="93"/>
  <c r="BH268" i="93"/>
  <c r="BI268" i="93"/>
  <c r="BJ268" i="93"/>
  <c r="BK268" i="93"/>
  <c r="BL268" i="93"/>
  <c r="BM268" i="93"/>
  <c r="BN268" i="93"/>
  <c r="BO268" i="93"/>
  <c r="BP268" i="93"/>
  <c r="BQ268" i="93"/>
  <c r="BR268" i="93"/>
  <c r="BS268" i="93"/>
  <c r="BT268" i="93"/>
  <c r="BU268" i="93"/>
  <c r="BV268" i="93"/>
  <c r="BW268" i="93"/>
  <c r="BX268" i="93"/>
  <c r="BY268" i="93"/>
  <c r="BZ268" i="93"/>
  <c r="CA268" i="93"/>
  <c r="CB268" i="93"/>
  <c r="CC268" i="93"/>
  <c r="CD268" i="93"/>
  <c r="CE268" i="93"/>
  <c r="CF268" i="93"/>
  <c r="CG268" i="93"/>
  <c r="CH268" i="93"/>
  <c r="CI268" i="93"/>
  <c r="CJ268" i="93"/>
  <c r="CK268" i="93"/>
  <c r="CL268" i="93"/>
  <c r="CM268" i="93"/>
  <c r="CN268" i="93"/>
  <c r="CO268" i="93"/>
  <c r="CP268" i="93"/>
  <c r="CQ268" i="93"/>
  <c r="CR268" i="93"/>
  <c r="CS268" i="93"/>
  <c r="CT268" i="93"/>
  <c r="CU268" i="93"/>
  <c r="CV268" i="93"/>
  <c r="CW268" i="93"/>
  <c r="J269" i="93"/>
  <c r="K269" i="93"/>
  <c r="L269" i="93"/>
  <c r="M269" i="93"/>
  <c r="N269" i="93"/>
  <c r="O269" i="93"/>
  <c r="P269" i="93"/>
  <c r="Q269" i="93"/>
  <c r="R269" i="93"/>
  <c r="S269" i="93"/>
  <c r="T269" i="93"/>
  <c r="U269" i="93"/>
  <c r="V269" i="93"/>
  <c r="W269" i="93"/>
  <c r="X269" i="93"/>
  <c r="Y269" i="93"/>
  <c r="Z269" i="93"/>
  <c r="AA269" i="93"/>
  <c r="AB269" i="93"/>
  <c r="AC269" i="93"/>
  <c r="AD269" i="93"/>
  <c r="AE269" i="93"/>
  <c r="AF269" i="93"/>
  <c r="AG269" i="93"/>
  <c r="AH269" i="93"/>
  <c r="AI269" i="93"/>
  <c r="AJ269" i="93"/>
  <c r="AK269" i="93"/>
  <c r="AL269" i="93"/>
  <c r="AM269" i="93"/>
  <c r="AN269" i="93"/>
  <c r="AO269" i="93"/>
  <c r="AP269" i="93"/>
  <c r="AQ269" i="93"/>
  <c r="AR269" i="93"/>
  <c r="AS269" i="93"/>
  <c r="AT269" i="93"/>
  <c r="AU269" i="93"/>
  <c r="AV269" i="93"/>
  <c r="AW269" i="93"/>
  <c r="AX269" i="93"/>
  <c r="AY269" i="93"/>
  <c r="AZ269" i="93"/>
  <c r="BA269" i="93"/>
  <c r="BB269" i="93"/>
  <c r="BC269" i="93"/>
  <c r="BD269" i="93"/>
  <c r="BE269" i="93"/>
  <c r="BF269" i="93"/>
  <c r="BG269" i="93"/>
  <c r="BH269" i="93"/>
  <c r="BI269" i="93"/>
  <c r="BJ269" i="93"/>
  <c r="BK269" i="93"/>
  <c r="BL269" i="93"/>
  <c r="BM269" i="93"/>
  <c r="BN269" i="93"/>
  <c r="BO269" i="93"/>
  <c r="BP269" i="93"/>
  <c r="BQ269" i="93"/>
  <c r="BR269" i="93"/>
  <c r="BS269" i="93"/>
  <c r="BT269" i="93"/>
  <c r="BU269" i="93"/>
  <c r="BV269" i="93"/>
  <c r="BW269" i="93"/>
  <c r="BX269" i="93"/>
  <c r="BY269" i="93"/>
  <c r="BZ269" i="93"/>
  <c r="CA269" i="93"/>
  <c r="CB269" i="93"/>
  <c r="CC269" i="93"/>
  <c r="CD269" i="93"/>
  <c r="CE269" i="93"/>
  <c r="CF269" i="93"/>
  <c r="CG269" i="93"/>
  <c r="CH269" i="93"/>
  <c r="CI269" i="93"/>
  <c r="CJ269" i="93"/>
  <c r="CK269" i="93"/>
  <c r="CL269" i="93"/>
  <c r="CM269" i="93"/>
  <c r="CN269" i="93"/>
  <c r="CO269" i="93"/>
  <c r="CP269" i="93"/>
  <c r="CQ269" i="93"/>
  <c r="CR269" i="93"/>
  <c r="CS269" i="93"/>
  <c r="CT269" i="93"/>
  <c r="CU269" i="93"/>
  <c r="CV269" i="93"/>
  <c r="CW269" i="93"/>
  <c r="J270" i="93"/>
  <c r="K270" i="93"/>
  <c r="L270" i="93"/>
  <c r="M270" i="93"/>
  <c r="N270" i="93"/>
  <c r="O270" i="93"/>
  <c r="P270" i="93"/>
  <c r="Q270" i="93"/>
  <c r="R270" i="93"/>
  <c r="S270" i="93"/>
  <c r="T270" i="93"/>
  <c r="U270" i="93"/>
  <c r="V270" i="93"/>
  <c r="W270" i="93"/>
  <c r="X270" i="93"/>
  <c r="Y270" i="93"/>
  <c r="Z270" i="93"/>
  <c r="AA270" i="93"/>
  <c r="AB270" i="93"/>
  <c r="AC270" i="93"/>
  <c r="AD270" i="93"/>
  <c r="AE270" i="93"/>
  <c r="AF270" i="93"/>
  <c r="AG270" i="93"/>
  <c r="AH270" i="93"/>
  <c r="AI270" i="93"/>
  <c r="AJ270" i="93"/>
  <c r="AK270" i="93"/>
  <c r="AL270" i="93"/>
  <c r="AM270" i="93"/>
  <c r="AN270" i="93"/>
  <c r="AO270" i="93"/>
  <c r="AP270" i="93"/>
  <c r="AQ270" i="93"/>
  <c r="AR270" i="93"/>
  <c r="AS270" i="93"/>
  <c r="AT270" i="93"/>
  <c r="AU270" i="93"/>
  <c r="AV270" i="93"/>
  <c r="AW270" i="93"/>
  <c r="AX270" i="93"/>
  <c r="AY270" i="93"/>
  <c r="AZ270" i="93"/>
  <c r="BA270" i="93"/>
  <c r="BB270" i="93"/>
  <c r="BC270" i="93"/>
  <c r="BD270" i="93"/>
  <c r="BE270" i="93"/>
  <c r="BF270" i="93"/>
  <c r="BG270" i="93"/>
  <c r="BH270" i="93"/>
  <c r="BI270" i="93"/>
  <c r="BJ270" i="93"/>
  <c r="BK270" i="93"/>
  <c r="BL270" i="93"/>
  <c r="BM270" i="93"/>
  <c r="BN270" i="93"/>
  <c r="BO270" i="93"/>
  <c r="BP270" i="93"/>
  <c r="BQ270" i="93"/>
  <c r="BR270" i="93"/>
  <c r="BS270" i="93"/>
  <c r="BT270" i="93"/>
  <c r="BU270" i="93"/>
  <c r="BV270" i="93"/>
  <c r="BW270" i="93"/>
  <c r="BX270" i="93"/>
  <c r="BY270" i="93"/>
  <c r="BZ270" i="93"/>
  <c r="CA270" i="93"/>
  <c r="CB270" i="93"/>
  <c r="CC270" i="93"/>
  <c r="CD270" i="93"/>
  <c r="CE270" i="93"/>
  <c r="CF270" i="93"/>
  <c r="CG270" i="93"/>
  <c r="CH270" i="93"/>
  <c r="CI270" i="93"/>
  <c r="CJ270" i="93"/>
  <c r="CK270" i="93"/>
  <c r="CL270" i="93"/>
  <c r="CM270" i="93"/>
  <c r="CN270" i="93"/>
  <c r="CO270" i="93"/>
  <c r="CP270" i="93"/>
  <c r="CQ270" i="93"/>
  <c r="CR270" i="93"/>
  <c r="CS270" i="93"/>
  <c r="CT270" i="93"/>
  <c r="CU270" i="93"/>
  <c r="CV270" i="93"/>
  <c r="CW270" i="93"/>
  <c r="J271" i="93"/>
  <c r="K271" i="93"/>
  <c r="L271" i="93"/>
  <c r="M271" i="93"/>
  <c r="N271" i="93"/>
  <c r="O271" i="93"/>
  <c r="P271" i="93"/>
  <c r="Q271" i="93"/>
  <c r="R271" i="93"/>
  <c r="S271" i="93"/>
  <c r="T271" i="93"/>
  <c r="U271" i="93"/>
  <c r="V271" i="93"/>
  <c r="W271" i="93"/>
  <c r="X271" i="93"/>
  <c r="Y271" i="93"/>
  <c r="Z271" i="93"/>
  <c r="AA271" i="93"/>
  <c r="AB271" i="93"/>
  <c r="AC271" i="93"/>
  <c r="AD271" i="93"/>
  <c r="AE271" i="93"/>
  <c r="AF271" i="93"/>
  <c r="AG271" i="93"/>
  <c r="AH271" i="93"/>
  <c r="AI271" i="93"/>
  <c r="AJ271" i="93"/>
  <c r="AK271" i="93"/>
  <c r="AL271" i="93"/>
  <c r="AM271" i="93"/>
  <c r="AN271" i="93"/>
  <c r="AO271" i="93"/>
  <c r="AP271" i="93"/>
  <c r="AQ271" i="93"/>
  <c r="AR271" i="93"/>
  <c r="AS271" i="93"/>
  <c r="AT271" i="93"/>
  <c r="AU271" i="93"/>
  <c r="AV271" i="93"/>
  <c r="AW271" i="93"/>
  <c r="AX271" i="93"/>
  <c r="AY271" i="93"/>
  <c r="AZ271" i="93"/>
  <c r="BA271" i="93"/>
  <c r="BB271" i="93"/>
  <c r="BC271" i="93"/>
  <c r="BD271" i="93"/>
  <c r="BE271" i="93"/>
  <c r="BF271" i="93"/>
  <c r="BG271" i="93"/>
  <c r="BH271" i="93"/>
  <c r="BI271" i="93"/>
  <c r="BJ271" i="93"/>
  <c r="BK271" i="93"/>
  <c r="BL271" i="93"/>
  <c r="BM271" i="93"/>
  <c r="BN271" i="93"/>
  <c r="BO271" i="93"/>
  <c r="BP271" i="93"/>
  <c r="BQ271" i="93"/>
  <c r="BR271" i="93"/>
  <c r="BS271" i="93"/>
  <c r="BT271" i="93"/>
  <c r="BU271" i="93"/>
  <c r="BV271" i="93"/>
  <c r="BW271" i="93"/>
  <c r="BX271" i="93"/>
  <c r="BY271" i="93"/>
  <c r="BZ271" i="93"/>
  <c r="CA271" i="93"/>
  <c r="CB271" i="93"/>
  <c r="CC271" i="93"/>
  <c r="CD271" i="93"/>
  <c r="CE271" i="93"/>
  <c r="CF271" i="93"/>
  <c r="CG271" i="93"/>
  <c r="CH271" i="93"/>
  <c r="CI271" i="93"/>
  <c r="CJ271" i="93"/>
  <c r="CK271" i="93"/>
  <c r="CL271" i="93"/>
  <c r="CM271" i="93"/>
  <c r="CN271" i="93"/>
  <c r="CO271" i="93"/>
  <c r="CP271" i="93"/>
  <c r="CQ271" i="93"/>
  <c r="CR271" i="93"/>
  <c r="CS271" i="93"/>
  <c r="CT271" i="93"/>
  <c r="CU271" i="93"/>
  <c r="CV271" i="93"/>
  <c r="CW271" i="93"/>
  <c r="J272" i="93"/>
  <c r="K272" i="93"/>
  <c r="L272" i="93"/>
  <c r="M272" i="93"/>
  <c r="N272" i="93"/>
  <c r="O272" i="93"/>
  <c r="P272" i="93"/>
  <c r="Q272" i="93"/>
  <c r="R272" i="93"/>
  <c r="S272" i="93"/>
  <c r="T272" i="93"/>
  <c r="U272" i="93"/>
  <c r="V272" i="93"/>
  <c r="W272" i="93"/>
  <c r="X272" i="93"/>
  <c r="Y272" i="93"/>
  <c r="Z272" i="93"/>
  <c r="AA272" i="93"/>
  <c r="AB272" i="93"/>
  <c r="AC272" i="93"/>
  <c r="AD272" i="93"/>
  <c r="AE272" i="93"/>
  <c r="AF272" i="93"/>
  <c r="AG272" i="93"/>
  <c r="AH272" i="93"/>
  <c r="AI272" i="93"/>
  <c r="AJ272" i="93"/>
  <c r="AK272" i="93"/>
  <c r="AL272" i="93"/>
  <c r="AM272" i="93"/>
  <c r="AN272" i="93"/>
  <c r="AO272" i="93"/>
  <c r="AP272" i="93"/>
  <c r="AQ272" i="93"/>
  <c r="AR272" i="93"/>
  <c r="AS272" i="93"/>
  <c r="AT272" i="93"/>
  <c r="AU272" i="93"/>
  <c r="AV272" i="93"/>
  <c r="AW272" i="93"/>
  <c r="AX272" i="93"/>
  <c r="AY272" i="93"/>
  <c r="AZ272" i="93"/>
  <c r="BA272" i="93"/>
  <c r="BB272" i="93"/>
  <c r="BC272" i="93"/>
  <c r="BD272" i="93"/>
  <c r="BE272" i="93"/>
  <c r="BF272" i="93"/>
  <c r="BG272" i="93"/>
  <c r="BH272" i="93"/>
  <c r="BI272" i="93"/>
  <c r="BJ272" i="93"/>
  <c r="BK272" i="93"/>
  <c r="BL272" i="93"/>
  <c r="BM272" i="93"/>
  <c r="BN272" i="93"/>
  <c r="BO272" i="93"/>
  <c r="BP272" i="93"/>
  <c r="BQ272" i="93"/>
  <c r="BR272" i="93"/>
  <c r="BS272" i="93"/>
  <c r="BT272" i="93"/>
  <c r="BU272" i="93"/>
  <c r="BV272" i="93"/>
  <c r="BW272" i="93"/>
  <c r="BX272" i="93"/>
  <c r="BY272" i="93"/>
  <c r="BZ272" i="93"/>
  <c r="CA272" i="93"/>
  <c r="CB272" i="93"/>
  <c r="CC272" i="93"/>
  <c r="CD272" i="93"/>
  <c r="CE272" i="93"/>
  <c r="CF272" i="93"/>
  <c r="CG272" i="93"/>
  <c r="CH272" i="93"/>
  <c r="CI272" i="93"/>
  <c r="CJ272" i="93"/>
  <c r="CK272" i="93"/>
  <c r="CL272" i="93"/>
  <c r="CM272" i="93"/>
  <c r="CN272" i="93"/>
  <c r="CO272" i="93"/>
  <c r="CP272" i="93"/>
  <c r="CQ272" i="93"/>
  <c r="CR272" i="93"/>
  <c r="CS272" i="93"/>
  <c r="CT272" i="93"/>
  <c r="CU272" i="93"/>
  <c r="CV272" i="93"/>
  <c r="CW272" i="93"/>
  <c r="J273" i="93"/>
  <c r="K273" i="93"/>
  <c r="L273" i="93"/>
  <c r="M273" i="93"/>
  <c r="N273" i="93"/>
  <c r="O273" i="93"/>
  <c r="P273" i="93"/>
  <c r="Q273" i="93"/>
  <c r="R273" i="93"/>
  <c r="S273" i="93"/>
  <c r="T273" i="93"/>
  <c r="U273" i="93"/>
  <c r="V273" i="93"/>
  <c r="W273" i="93"/>
  <c r="X273" i="93"/>
  <c r="Y273" i="93"/>
  <c r="Z273" i="93"/>
  <c r="AA273" i="93"/>
  <c r="AB273" i="93"/>
  <c r="AC273" i="93"/>
  <c r="AD273" i="93"/>
  <c r="AE273" i="93"/>
  <c r="AF273" i="93"/>
  <c r="AG273" i="93"/>
  <c r="AH273" i="93"/>
  <c r="AI273" i="93"/>
  <c r="AJ273" i="93"/>
  <c r="AK273" i="93"/>
  <c r="AL273" i="93"/>
  <c r="AM273" i="93"/>
  <c r="AN273" i="93"/>
  <c r="AO273" i="93"/>
  <c r="AP273" i="93"/>
  <c r="AQ273" i="93"/>
  <c r="AR273" i="93"/>
  <c r="AS273" i="93"/>
  <c r="AT273" i="93"/>
  <c r="AU273" i="93"/>
  <c r="AV273" i="93"/>
  <c r="AW273" i="93"/>
  <c r="AX273" i="93"/>
  <c r="AY273" i="93"/>
  <c r="AZ273" i="93"/>
  <c r="BA273" i="93"/>
  <c r="BB273" i="93"/>
  <c r="BC273" i="93"/>
  <c r="BD273" i="93"/>
  <c r="BE273" i="93"/>
  <c r="BF273" i="93"/>
  <c r="BG273" i="93"/>
  <c r="BH273" i="93"/>
  <c r="BI273" i="93"/>
  <c r="BJ273" i="93"/>
  <c r="BK273" i="93"/>
  <c r="BL273" i="93"/>
  <c r="BM273" i="93"/>
  <c r="BN273" i="93"/>
  <c r="BO273" i="93"/>
  <c r="BP273" i="93"/>
  <c r="BQ273" i="93"/>
  <c r="BR273" i="93"/>
  <c r="BS273" i="93"/>
  <c r="BT273" i="93"/>
  <c r="BU273" i="93"/>
  <c r="BV273" i="93"/>
  <c r="BW273" i="93"/>
  <c r="BX273" i="93"/>
  <c r="BY273" i="93"/>
  <c r="BZ273" i="93"/>
  <c r="CA273" i="93"/>
  <c r="CB273" i="93"/>
  <c r="CC273" i="93"/>
  <c r="CD273" i="93"/>
  <c r="CE273" i="93"/>
  <c r="CF273" i="93"/>
  <c r="CG273" i="93"/>
  <c r="CH273" i="93"/>
  <c r="CI273" i="93"/>
  <c r="CJ273" i="93"/>
  <c r="CK273" i="93"/>
  <c r="CL273" i="93"/>
  <c r="CM273" i="93"/>
  <c r="CN273" i="93"/>
  <c r="CO273" i="93"/>
  <c r="CP273" i="93"/>
  <c r="CQ273" i="93"/>
  <c r="CR273" i="93"/>
  <c r="CS273" i="93"/>
  <c r="CT273" i="93"/>
  <c r="CU273" i="93"/>
  <c r="CV273" i="93"/>
  <c r="CW273" i="93"/>
  <c r="J274" i="93"/>
  <c r="K274" i="93"/>
  <c r="L274" i="93"/>
  <c r="M274" i="93"/>
  <c r="N274" i="93"/>
  <c r="O274" i="93"/>
  <c r="P274" i="93"/>
  <c r="Q274" i="93"/>
  <c r="R274" i="93"/>
  <c r="S274" i="93"/>
  <c r="T274" i="93"/>
  <c r="U274" i="93"/>
  <c r="V274" i="93"/>
  <c r="W274" i="93"/>
  <c r="X274" i="93"/>
  <c r="Y274" i="93"/>
  <c r="Z274" i="93"/>
  <c r="AA274" i="93"/>
  <c r="AB274" i="93"/>
  <c r="AC274" i="93"/>
  <c r="AD274" i="93"/>
  <c r="AE274" i="93"/>
  <c r="AF274" i="93"/>
  <c r="AG274" i="93"/>
  <c r="AH274" i="93"/>
  <c r="AI274" i="93"/>
  <c r="AJ274" i="93"/>
  <c r="AK274" i="93"/>
  <c r="AL274" i="93"/>
  <c r="AM274" i="93"/>
  <c r="AN274" i="93"/>
  <c r="AO274" i="93"/>
  <c r="AP274" i="93"/>
  <c r="AQ274" i="93"/>
  <c r="AR274" i="93"/>
  <c r="AS274" i="93"/>
  <c r="AT274" i="93"/>
  <c r="AU274" i="93"/>
  <c r="AV274" i="93"/>
  <c r="AW274" i="93"/>
  <c r="AX274" i="93"/>
  <c r="AY274" i="93"/>
  <c r="AZ274" i="93"/>
  <c r="BA274" i="93"/>
  <c r="BB274" i="93"/>
  <c r="BC274" i="93"/>
  <c r="BD274" i="93"/>
  <c r="BE274" i="93"/>
  <c r="BF274" i="93"/>
  <c r="BG274" i="93"/>
  <c r="BH274" i="93"/>
  <c r="BI274" i="93"/>
  <c r="BJ274" i="93"/>
  <c r="BK274" i="93"/>
  <c r="BL274" i="93"/>
  <c r="BM274" i="93"/>
  <c r="BN274" i="93"/>
  <c r="BO274" i="93"/>
  <c r="BP274" i="93"/>
  <c r="BQ274" i="93"/>
  <c r="BR274" i="93"/>
  <c r="BS274" i="93"/>
  <c r="BT274" i="93"/>
  <c r="BU274" i="93"/>
  <c r="BV274" i="93"/>
  <c r="BW274" i="93"/>
  <c r="BX274" i="93"/>
  <c r="BY274" i="93"/>
  <c r="BZ274" i="93"/>
  <c r="CA274" i="93"/>
  <c r="CB274" i="93"/>
  <c r="CC274" i="93"/>
  <c r="CD274" i="93"/>
  <c r="CE274" i="93"/>
  <c r="CF274" i="93"/>
  <c r="CG274" i="93"/>
  <c r="CH274" i="93"/>
  <c r="CI274" i="93"/>
  <c r="CJ274" i="93"/>
  <c r="CK274" i="93"/>
  <c r="CL274" i="93"/>
  <c r="CM274" i="93"/>
  <c r="CN274" i="93"/>
  <c r="CO274" i="93"/>
  <c r="CP274" i="93"/>
  <c r="CQ274" i="93"/>
  <c r="CR274" i="93"/>
  <c r="CS274" i="93"/>
  <c r="CT274" i="93"/>
  <c r="CU274" i="93"/>
  <c r="CV274" i="93"/>
  <c r="CW274" i="93"/>
  <c r="J275" i="93"/>
  <c r="K275" i="93"/>
  <c r="L275" i="93"/>
  <c r="M275" i="93"/>
  <c r="N275" i="93"/>
  <c r="O275" i="93"/>
  <c r="P275" i="93"/>
  <c r="Q275" i="93"/>
  <c r="R275" i="93"/>
  <c r="S275" i="93"/>
  <c r="T275" i="93"/>
  <c r="U275" i="93"/>
  <c r="V275" i="93"/>
  <c r="W275" i="93"/>
  <c r="X275" i="93"/>
  <c r="Y275" i="93"/>
  <c r="Z275" i="93"/>
  <c r="AA275" i="93"/>
  <c r="AB275" i="93"/>
  <c r="AC275" i="93"/>
  <c r="AD275" i="93"/>
  <c r="AE275" i="93"/>
  <c r="AF275" i="93"/>
  <c r="AG275" i="93"/>
  <c r="AH275" i="93"/>
  <c r="AI275" i="93"/>
  <c r="AJ275" i="93"/>
  <c r="AK275" i="93"/>
  <c r="AL275" i="93"/>
  <c r="AM275" i="93"/>
  <c r="AN275" i="93"/>
  <c r="AO275" i="93"/>
  <c r="AP275" i="93"/>
  <c r="AQ275" i="93"/>
  <c r="AR275" i="93"/>
  <c r="AS275" i="93"/>
  <c r="AT275" i="93"/>
  <c r="AU275" i="93"/>
  <c r="AV275" i="93"/>
  <c r="AW275" i="93"/>
  <c r="AX275" i="93"/>
  <c r="AY275" i="93"/>
  <c r="AZ275" i="93"/>
  <c r="BA275" i="93"/>
  <c r="BB275" i="93"/>
  <c r="BC275" i="93"/>
  <c r="BD275" i="93"/>
  <c r="BE275" i="93"/>
  <c r="BF275" i="93"/>
  <c r="BG275" i="93"/>
  <c r="BH275" i="93"/>
  <c r="BI275" i="93"/>
  <c r="BJ275" i="93"/>
  <c r="BK275" i="93"/>
  <c r="BL275" i="93"/>
  <c r="BM275" i="93"/>
  <c r="BN275" i="93"/>
  <c r="BO275" i="93"/>
  <c r="BP275" i="93"/>
  <c r="BQ275" i="93"/>
  <c r="BR275" i="93"/>
  <c r="BS275" i="93"/>
  <c r="BT275" i="93"/>
  <c r="BU275" i="93"/>
  <c r="BV275" i="93"/>
  <c r="BW275" i="93"/>
  <c r="BX275" i="93"/>
  <c r="BY275" i="93"/>
  <c r="BZ275" i="93"/>
  <c r="CA275" i="93"/>
  <c r="CB275" i="93"/>
  <c r="CC275" i="93"/>
  <c r="CD275" i="93"/>
  <c r="CE275" i="93"/>
  <c r="CF275" i="93"/>
  <c r="CG275" i="93"/>
  <c r="CH275" i="93"/>
  <c r="CI275" i="93"/>
  <c r="CJ275" i="93"/>
  <c r="CK275" i="93"/>
  <c r="CL275" i="93"/>
  <c r="CM275" i="93"/>
  <c r="CN275" i="93"/>
  <c r="CO275" i="93"/>
  <c r="CP275" i="93"/>
  <c r="CQ275" i="93"/>
  <c r="CR275" i="93"/>
  <c r="CS275" i="93"/>
  <c r="CT275" i="93"/>
  <c r="CU275" i="93"/>
  <c r="CV275" i="93"/>
  <c r="CW275" i="93"/>
  <c r="J276" i="93"/>
  <c r="K276" i="93"/>
  <c r="L276" i="93"/>
  <c r="M276" i="93"/>
  <c r="N276" i="93"/>
  <c r="O276" i="93"/>
  <c r="P276" i="93"/>
  <c r="Q276" i="93"/>
  <c r="R276" i="93"/>
  <c r="S276" i="93"/>
  <c r="T276" i="93"/>
  <c r="U276" i="93"/>
  <c r="V276" i="93"/>
  <c r="W276" i="93"/>
  <c r="X276" i="93"/>
  <c r="Y276" i="93"/>
  <c r="Z276" i="93"/>
  <c r="AA276" i="93"/>
  <c r="AB276" i="93"/>
  <c r="AC276" i="93"/>
  <c r="AD276" i="93"/>
  <c r="AE276" i="93"/>
  <c r="AF276" i="93"/>
  <c r="AG276" i="93"/>
  <c r="AH276" i="93"/>
  <c r="AI276" i="93"/>
  <c r="AJ276" i="93"/>
  <c r="AK276" i="93"/>
  <c r="AL276" i="93"/>
  <c r="AM276" i="93"/>
  <c r="AN276" i="93"/>
  <c r="AO276" i="93"/>
  <c r="AP276" i="93"/>
  <c r="AQ276" i="93"/>
  <c r="AR276" i="93"/>
  <c r="AS276" i="93"/>
  <c r="AT276" i="93"/>
  <c r="AU276" i="93"/>
  <c r="AV276" i="93"/>
  <c r="AW276" i="93"/>
  <c r="AX276" i="93"/>
  <c r="AY276" i="93"/>
  <c r="AZ276" i="93"/>
  <c r="BA276" i="93"/>
  <c r="BB276" i="93"/>
  <c r="BC276" i="93"/>
  <c r="BD276" i="93"/>
  <c r="BE276" i="93"/>
  <c r="BF276" i="93"/>
  <c r="BG276" i="93"/>
  <c r="BH276" i="93"/>
  <c r="BI276" i="93"/>
  <c r="BJ276" i="93"/>
  <c r="BK276" i="93"/>
  <c r="BL276" i="93"/>
  <c r="BM276" i="93"/>
  <c r="BN276" i="93"/>
  <c r="BO276" i="93"/>
  <c r="BP276" i="93"/>
  <c r="BQ276" i="93"/>
  <c r="BR276" i="93"/>
  <c r="BS276" i="93"/>
  <c r="BT276" i="93"/>
  <c r="BU276" i="93"/>
  <c r="BV276" i="93"/>
  <c r="BW276" i="93"/>
  <c r="BX276" i="93"/>
  <c r="BY276" i="93"/>
  <c r="BZ276" i="93"/>
  <c r="CA276" i="93"/>
  <c r="CB276" i="93"/>
  <c r="CC276" i="93"/>
  <c r="CD276" i="93"/>
  <c r="CE276" i="93"/>
  <c r="CF276" i="93"/>
  <c r="CG276" i="93"/>
  <c r="CH276" i="93"/>
  <c r="CI276" i="93"/>
  <c r="CJ276" i="93"/>
  <c r="CK276" i="93"/>
  <c r="CL276" i="93"/>
  <c r="CM276" i="93"/>
  <c r="CN276" i="93"/>
  <c r="CO276" i="93"/>
  <c r="CP276" i="93"/>
  <c r="CQ276" i="93"/>
  <c r="CR276" i="93"/>
  <c r="CS276" i="93"/>
  <c r="CT276" i="93"/>
  <c r="CU276" i="93"/>
  <c r="CV276" i="93"/>
  <c r="CW276" i="93"/>
  <c r="J277" i="93"/>
  <c r="K277" i="93"/>
  <c r="L277" i="93"/>
  <c r="M277" i="93"/>
  <c r="N277" i="93"/>
  <c r="O277" i="93"/>
  <c r="P277" i="93"/>
  <c r="Q277" i="93"/>
  <c r="R277" i="93"/>
  <c r="S277" i="93"/>
  <c r="T277" i="93"/>
  <c r="U277" i="93"/>
  <c r="V277" i="93"/>
  <c r="W277" i="93"/>
  <c r="X277" i="93"/>
  <c r="Y277" i="93"/>
  <c r="Z277" i="93"/>
  <c r="AA277" i="93"/>
  <c r="AB277" i="93"/>
  <c r="AC277" i="93"/>
  <c r="AD277" i="93"/>
  <c r="AE277" i="93"/>
  <c r="AF277" i="93"/>
  <c r="AG277" i="93"/>
  <c r="AH277" i="93"/>
  <c r="AI277" i="93"/>
  <c r="AJ277" i="93"/>
  <c r="AK277" i="93"/>
  <c r="AL277" i="93"/>
  <c r="AM277" i="93"/>
  <c r="AN277" i="93"/>
  <c r="AO277" i="93"/>
  <c r="AP277" i="93"/>
  <c r="AQ277" i="93"/>
  <c r="AR277" i="93"/>
  <c r="AS277" i="93"/>
  <c r="AT277" i="93"/>
  <c r="AU277" i="93"/>
  <c r="AV277" i="93"/>
  <c r="AW277" i="93"/>
  <c r="AX277" i="93"/>
  <c r="AY277" i="93"/>
  <c r="AZ277" i="93"/>
  <c r="BA277" i="93"/>
  <c r="BB277" i="93"/>
  <c r="BC277" i="93"/>
  <c r="BD277" i="93"/>
  <c r="BE277" i="93"/>
  <c r="BF277" i="93"/>
  <c r="BG277" i="93"/>
  <c r="BH277" i="93"/>
  <c r="BI277" i="93"/>
  <c r="BJ277" i="93"/>
  <c r="BK277" i="93"/>
  <c r="BL277" i="93"/>
  <c r="BM277" i="93"/>
  <c r="BN277" i="93"/>
  <c r="BO277" i="93"/>
  <c r="BP277" i="93"/>
  <c r="BQ277" i="93"/>
  <c r="BR277" i="93"/>
  <c r="BS277" i="93"/>
  <c r="BT277" i="93"/>
  <c r="BU277" i="93"/>
  <c r="BV277" i="93"/>
  <c r="BW277" i="93"/>
  <c r="BX277" i="93"/>
  <c r="BY277" i="93"/>
  <c r="BZ277" i="93"/>
  <c r="CA277" i="93"/>
  <c r="CB277" i="93"/>
  <c r="CC277" i="93"/>
  <c r="CD277" i="93"/>
  <c r="CE277" i="93"/>
  <c r="CF277" i="93"/>
  <c r="CG277" i="93"/>
  <c r="CH277" i="93"/>
  <c r="CI277" i="93"/>
  <c r="CJ277" i="93"/>
  <c r="CK277" i="93"/>
  <c r="CL277" i="93"/>
  <c r="CM277" i="93"/>
  <c r="CN277" i="93"/>
  <c r="CO277" i="93"/>
  <c r="CP277" i="93"/>
  <c r="CQ277" i="93"/>
  <c r="CR277" i="93"/>
  <c r="CS277" i="93"/>
  <c r="CT277" i="93"/>
  <c r="CU277" i="93"/>
  <c r="CV277" i="93"/>
  <c r="CW277" i="93"/>
  <c r="J278" i="93"/>
  <c r="K278" i="93"/>
  <c r="L278" i="93"/>
  <c r="M278" i="93"/>
  <c r="N278" i="93"/>
  <c r="O278" i="93"/>
  <c r="P278" i="93"/>
  <c r="Q278" i="93"/>
  <c r="R278" i="93"/>
  <c r="S278" i="93"/>
  <c r="T278" i="93"/>
  <c r="U278" i="93"/>
  <c r="V278" i="93"/>
  <c r="W278" i="93"/>
  <c r="X278" i="93"/>
  <c r="Y278" i="93"/>
  <c r="Z278" i="93"/>
  <c r="AA278" i="93"/>
  <c r="AB278" i="93"/>
  <c r="AC278" i="93"/>
  <c r="AD278" i="93"/>
  <c r="AE278" i="93"/>
  <c r="AF278" i="93"/>
  <c r="AG278" i="93"/>
  <c r="AH278" i="93"/>
  <c r="AI278" i="93"/>
  <c r="AJ278" i="93"/>
  <c r="AK278" i="93"/>
  <c r="AL278" i="93"/>
  <c r="AM278" i="93"/>
  <c r="AN278" i="93"/>
  <c r="AO278" i="93"/>
  <c r="AP278" i="93"/>
  <c r="AQ278" i="93"/>
  <c r="AR278" i="93"/>
  <c r="AS278" i="93"/>
  <c r="AT278" i="93"/>
  <c r="AU278" i="93"/>
  <c r="AV278" i="93"/>
  <c r="AW278" i="93"/>
  <c r="AX278" i="93"/>
  <c r="AY278" i="93"/>
  <c r="AZ278" i="93"/>
  <c r="BA278" i="93"/>
  <c r="BB278" i="93"/>
  <c r="BC278" i="93"/>
  <c r="BD278" i="93"/>
  <c r="BE278" i="93"/>
  <c r="BF278" i="93"/>
  <c r="BG278" i="93"/>
  <c r="BH278" i="93"/>
  <c r="BI278" i="93"/>
  <c r="BJ278" i="93"/>
  <c r="BK278" i="93"/>
  <c r="BL278" i="93"/>
  <c r="BM278" i="93"/>
  <c r="BN278" i="93"/>
  <c r="BO278" i="93"/>
  <c r="BP278" i="93"/>
  <c r="BQ278" i="93"/>
  <c r="BR278" i="93"/>
  <c r="BS278" i="93"/>
  <c r="BT278" i="93"/>
  <c r="BU278" i="93"/>
  <c r="BV278" i="93"/>
  <c r="BW278" i="93"/>
  <c r="BX278" i="93"/>
  <c r="BY278" i="93"/>
  <c r="BZ278" i="93"/>
  <c r="CA278" i="93"/>
  <c r="CB278" i="93"/>
  <c r="CC278" i="93"/>
  <c r="CD278" i="93"/>
  <c r="CE278" i="93"/>
  <c r="CF278" i="93"/>
  <c r="CG278" i="93"/>
  <c r="CH278" i="93"/>
  <c r="CI278" i="93"/>
  <c r="CJ278" i="93"/>
  <c r="CK278" i="93"/>
  <c r="CL278" i="93"/>
  <c r="CM278" i="93"/>
  <c r="CN278" i="93"/>
  <c r="CO278" i="93"/>
  <c r="CP278" i="93"/>
  <c r="CQ278" i="93"/>
  <c r="CR278" i="93"/>
  <c r="CS278" i="93"/>
  <c r="CT278" i="93"/>
  <c r="CU278" i="93"/>
  <c r="CV278" i="93"/>
  <c r="CW278" i="93"/>
  <c r="J279" i="93"/>
  <c r="K279" i="93"/>
  <c r="L279" i="93"/>
  <c r="M279" i="93"/>
  <c r="N279" i="93"/>
  <c r="O279" i="93"/>
  <c r="P279" i="93"/>
  <c r="Q279" i="93"/>
  <c r="R279" i="93"/>
  <c r="S279" i="93"/>
  <c r="T279" i="93"/>
  <c r="U279" i="93"/>
  <c r="V279" i="93"/>
  <c r="W279" i="93"/>
  <c r="X279" i="93"/>
  <c r="Y279" i="93"/>
  <c r="Z279" i="93"/>
  <c r="AA279" i="93"/>
  <c r="AB279" i="93"/>
  <c r="AC279" i="93"/>
  <c r="AD279" i="93"/>
  <c r="AE279" i="93"/>
  <c r="AF279" i="93"/>
  <c r="AG279" i="93"/>
  <c r="AH279" i="93"/>
  <c r="AI279" i="93"/>
  <c r="AJ279" i="93"/>
  <c r="AK279" i="93"/>
  <c r="AL279" i="93"/>
  <c r="AM279" i="93"/>
  <c r="AN279" i="93"/>
  <c r="AO279" i="93"/>
  <c r="AP279" i="93"/>
  <c r="AQ279" i="93"/>
  <c r="AR279" i="93"/>
  <c r="AS279" i="93"/>
  <c r="AT279" i="93"/>
  <c r="AU279" i="93"/>
  <c r="AV279" i="93"/>
  <c r="AW279" i="93"/>
  <c r="AX279" i="93"/>
  <c r="AY279" i="93"/>
  <c r="AZ279" i="93"/>
  <c r="BA279" i="93"/>
  <c r="BB279" i="93"/>
  <c r="BC279" i="93"/>
  <c r="BD279" i="93"/>
  <c r="BE279" i="93"/>
  <c r="BF279" i="93"/>
  <c r="BG279" i="93"/>
  <c r="BH279" i="93"/>
  <c r="BI279" i="93"/>
  <c r="BJ279" i="93"/>
  <c r="BK279" i="93"/>
  <c r="BL279" i="93"/>
  <c r="BM279" i="93"/>
  <c r="BN279" i="93"/>
  <c r="BO279" i="93"/>
  <c r="BP279" i="93"/>
  <c r="BQ279" i="93"/>
  <c r="BR279" i="93"/>
  <c r="BS279" i="93"/>
  <c r="BT279" i="93"/>
  <c r="BU279" i="93"/>
  <c r="BV279" i="93"/>
  <c r="BW279" i="93"/>
  <c r="BX279" i="93"/>
  <c r="BY279" i="93"/>
  <c r="BZ279" i="93"/>
  <c r="CA279" i="93"/>
  <c r="CB279" i="93"/>
  <c r="CC279" i="93"/>
  <c r="CD279" i="93"/>
  <c r="CE279" i="93"/>
  <c r="CF279" i="93"/>
  <c r="CG279" i="93"/>
  <c r="CH279" i="93"/>
  <c r="CI279" i="93"/>
  <c r="CJ279" i="93"/>
  <c r="CK279" i="93"/>
  <c r="CL279" i="93"/>
  <c r="CM279" i="93"/>
  <c r="CN279" i="93"/>
  <c r="CO279" i="93"/>
  <c r="CP279" i="93"/>
  <c r="CQ279" i="93"/>
  <c r="CR279" i="93"/>
  <c r="CS279" i="93"/>
  <c r="CT279" i="93"/>
  <c r="CU279" i="93"/>
  <c r="CV279" i="93"/>
  <c r="CW279" i="93"/>
  <c r="J280" i="93"/>
  <c r="K280" i="93"/>
  <c r="L280" i="93"/>
  <c r="M280" i="93"/>
  <c r="N280" i="93"/>
  <c r="O280" i="93"/>
  <c r="P280" i="93"/>
  <c r="Q280" i="93"/>
  <c r="R280" i="93"/>
  <c r="S280" i="93"/>
  <c r="T280" i="93"/>
  <c r="U280" i="93"/>
  <c r="V280" i="93"/>
  <c r="W280" i="93"/>
  <c r="X280" i="93"/>
  <c r="Y280" i="93"/>
  <c r="Z280" i="93"/>
  <c r="AA280" i="93"/>
  <c r="AB280" i="93"/>
  <c r="AC280" i="93"/>
  <c r="AD280" i="93"/>
  <c r="AE280" i="93"/>
  <c r="AF280" i="93"/>
  <c r="AG280" i="93"/>
  <c r="AH280" i="93"/>
  <c r="AI280" i="93"/>
  <c r="AJ280" i="93"/>
  <c r="AK280" i="93"/>
  <c r="AL280" i="93"/>
  <c r="AM280" i="93"/>
  <c r="AN280" i="93"/>
  <c r="AO280" i="93"/>
  <c r="AP280" i="93"/>
  <c r="AQ280" i="93"/>
  <c r="AR280" i="93"/>
  <c r="AS280" i="93"/>
  <c r="AT280" i="93"/>
  <c r="AU280" i="93"/>
  <c r="AV280" i="93"/>
  <c r="AW280" i="93"/>
  <c r="AX280" i="93"/>
  <c r="AY280" i="93"/>
  <c r="AZ280" i="93"/>
  <c r="BA280" i="93"/>
  <c r="BB280" i="93"/>
  <c r="BC280" i="93"/>
  <c r="BD280" i="93"/>
  <c r="BE280" i="93"/>
  <c r="BF280" i="93"/>
  <c r="BG280" i="93"/>
  <c r="BH280" i="93"/>
  <c r="BI280" i="93"/>
  <c r="BJ280" i="93"/>
  <c r="BK280" i="93"/>
  <c r="BL280" i="93"/>
  <c r="BM280" i="93"/>
  <c r="BN280" i="93"/>
  <c r="BO280" i="93"/>
  <c r="BP280" i="93"/>
  <c r="BQ280" i="93"/>
  <c r="BR280" i="93"/>
  <c r="BS280" i="93"/>
  <c r="BT280" i="93"/>
  <c r="BU280" i="93"/>
  <c r="BV280" i="93"/>
  <c r="BW280" i="93"/>
  <c r="BX280" i="93"/>
  <c r="BY280" i="93"/>
  <c r="BZ280" i="93"/>
  <c r="CA280" i="93"/>
  <c r="CB280" i="93"/>
  <c r="CC280" i="93"/>
  <c r="CD280" i="93"/>
  <c r="CE280" i="93"/>
  <c r="CF280" i="93"/>
  <c r="CG280" i="93"/>
  <c r="CH280" i="93"/>
  <c r="CI280" i="93"/>
  <c r="CJ280" i="93"/>
  <c r="CK280" i="93"/>
  <c r="CL280" i="93"/>
  <c r="CM280" i="93"/>
  <c r="CN280" i="93"/>
  <c r="CO280" i="93"/>
  <c r="CP280" i="93"/>
  <c r="CQ280" i="93"/>
  <c r="CR280" i="93"/>
  <c r="CS280" i="93"/>
  <c r="CT280" i="93"/>
  <c r="CU280" i="93"/>
  <c r="CV280" i="93"/>
  <c r="CW280" i="93"/>
  <c r="J281" i="93"/>
  <c r="K281" i="93"/>
  <c r="L281" i="93"/>
  <c r="M281" i="93"/>
  <c r="N281" i="93"/>
  <c r="O281" i="93"/>
  <c r="P281" i="93"/>
  <c r="Q281" i="93"/>
  <c r="R281" i="93"/>
  <c r="S281" i="93"/>
  <c r="T281" i="93"/>
  <c r="U281" i="93"/>
  <c r="V281" i="93"/>
  <c r="W281" i="93"/>
  <c r="X281" i="93"/>
  <c r="Y281" i="93"/>
  <c r="Z281" i="93"/>
  <c r="AA281" i="93"/>
  <c r="AB281" i="93"/>
  <c r="AC281" i="93"/>
  <c r="AD281" i="93"/>
  <c r="AE281" i="93"/>
  <c r="AF281" i="93"/>
  <c r="AG281" i="93"/>
  <c r="AH281" i="93"/>
  <c r="AI281" i="93"/>
  <c r="AJ281" i="93"/>
  <c r="AK281" i="93"/>
  <c r="AL281" i="93"/>
  <c r="AM281" i="93"/>
  <c r="AN281" i="93"/>
  <c r="AO281" i="93"/>
  <c r="AP281" i="93"/>
  <c r="AQ281" i="93"/>
  <c r="AR281" i="93"/>
  <c r="AS281" i="93"/>
  <c r="AT281" i="93"/>
  <c r="AU281" i="93"/>
  <c r="AV281" i="93"/>
  <c r="AW281" i="93"/>
  <c r="AX281" i="93"/>
  <c r="AY281" i="93"/>
  <c r="AZ281" i="93"/>
  <c r="BA281" i="93"/>
  <c r="BB281" i="93"/>
  <c r="BC281" i="93"/>
  <c r="BD281" i="93"/>
  <c r="BE281" i="93"/>
  <c r="BF281" i="93"/>
  <c r="BG281" i="93"/>
  <c r="BH281" i="93"/>
  <c r="BI281" i="93"/>
  <c r="BJ281" i="93"/>
  <c r="BK281" i="93"/>
  <c r="BL281" i="93"/>
  <c r="BM281" i="93"/>
  <c r="BN281" i="93"/>
  <c r="BO281" i="93"/>
  <c r="BP281" i="93"/>
  <c r="BQ281" i="93"/>
  <c r="BR281" i="93"/>
  <c r="BS281" i="93"/>
  <c r="BT281" i="93"/>
  <c r="BU281" i="93"/>
  <c r="BV281" i="93"/>
  <c r="BW281" i="93"/>
  <c r="BX281" i="93"/>
  <c r="BY281" i="93"/>
  <c r="BZ281" i="93"/>
  <c r="CA281" i="93"/>
  <c r="CB281" i="93"/>
  <c r="CC281" i="93"/>
  <c r="CD281" i="93"/>
  <c r="CE281" i="93"/>
  <c r="CF281" i="93"/>
  <c r="CG281" i="93"/>
  <c r="CH281" i="93"/>
  <c r="CI281" i="93"/>
  <c r="CJ281" i="93"/>
  <c r="CK281" i="93"/>
  <c r="CL281" i="93"/>
  <c r="CM281" i="93"/>
  <c r="CN281" i="93"/>
  <c r="CO281" i="93"/>
  <c r="CP281" i="93"/>
  <c r="CQ281" i="93"/>
  <c r="CR281" i="93"/>
  <c r="CS281" i="93"/>
  <c r="CT281" i="93"/>
  <c r="CU281" i="93"/>
  <c r="CV281" i="93"/>
  <c r="CW281" i="93"/>
  <c r="J282" i="93"/>
  <c r="K282" i="93"/>
  <c r="L282" i="93"/>
  <c r="M282" i="93"/>
  <c r="N282" i="93"/>
  <c r="O282" i="93"/>
  <c r="P282" i="93"/>
  <c r="Q282" i="93"/>
  <c r="R282" i="93"/>
  <c r="S282" i="93"/>
  <c r="T282" i="93"/>
  <c r="U282" i="93"/>
  <c r="V282" i="93"/>
  <c r="W282" i="93"/>
  <c r="X282" i="93"/>
  <c r="Y282" i="93"/>
  <c r="Z282" i="93"/>
  <c r="AA282" i="93"/>
  <c r="AB282" i="93"/>
  <c r="AC282" i="93"/>
  <c r="AD282" i="93"/>
  <c r="AE282" i="93"/>
  <c r="AF282" i="93"/>
  <c r="AG282" i="93"/>
  <c r="AH282" i="93"/>
  <c r="AI282" i="93"/>
  <c r="AJ282" i="93"/>
  <c r="AK282" i="93"/>
  <c r="AL282" i="93"/>
  <c r="AM282" i="93"/>
  <c r="AN282" i="93"/>
  <c r="AO282" i="93"/>
  <c r="AP282" i="93"/>
  <c r="AQ282" i="93"/>
  <c r="AR282" i="93"/>
  <c r="AS282" i="93"/>
  <c r="AT282" i="93"/>
  <c r="AU282" i="93"/>
  <c r="AV282" i="93"/>
  <c r="AW282" i="93"/>
  <c r="AX282" i="93"/>
  <c r="AY282" i="93"/>
  <c r="AZ282" i="93"/>
  <c r="BA282" i="93"/>
  <c r="BB282" i="93"/>
  <c r="BC282" i="93"/>
  <c r="BD282" i="93"/>
  <c r="BE282" i="93"/>
  <c r="BF282" i="93"/>
  <c r="BG282" i="93"/>
  <c r="BH282" i="93"/>
  <c r="BI282" i="93"/>
  <c r="BJ282" i="93"/>
  <c r="BK282" i="93"/>
  <c r="BL282" i="93"/>
  <c r="BM282" i="93"/>
  <c r="BN282" i="93"/>
  <c r="BO282" i="93"/>
  <c r="BP282" i="93"/>
  <c r="BQ282" i="93"/>
  <c r="BR282" i="93"/>
  <c r="BS282" i="93"/>
  <c r="BT282" i="93"/>
  <c r="BU282" i="93"/>
  <c r="BV282" i="93"/>
  <c r="BW282" i="93"/>
  <c r="BX282" i="93"/>
  <c r="BY282" i="93"/>
  <c r="BZ282" i="93"/>
  <c r="CA282" i="93"/>
  <c r="CB282" i="93"/>
  <c r="CC282" i="93"/>
  <c r="CD282" i="93"/>
  <c r="CE282" i="93"/>
  <c r="CF282" i="93"/>
  <c r="CG282" i="93"/>
  <c r="CH282" i="93"/>
  <c r="CI282" i="93"/>
  <c r="CJ282" i="93"/>
  <c r="CK282" i="93"/>
  <c r="CL282" i="93"/>
  <c r="CM282" i="93"/>
  <c r="CN282" i="93"/>
  <c r="CO282" i="93"/>
  <c r="CP282" i="93"/>
  <c r="CQ282" i="93"/>
  <c r="CR282" i="93"/>
  <c r="CS282" i="93"/>
  <c r="CT282" i="93"/>
  <c r="CU282" i="93"/>
  <c r="CV282" i="93"/>
  <c r="CW282" i="93"/>
  <c r="J283" i="93"/>
  <c r="K283" i="93"/>
  <c r="L283" i="93"/>
  <c r="M283" i="93"/>
  <c r="N283" i="93"/>
  <c r="O283" i="93"/>
  <c r="P283" i="93"/>
  <c r="Q283" i="93"/>
  <c r="R283" i="93"/>
  <c r="S283" i="93"/>
  <c r="T283" i="93"/>
  <c r="U283" i="93"/>
  <c r="V283" i="93"/>
  <c r="W283" i="93"/>
  <c r="X283" i="93"/>
  <c r="Y283" i="93"/>
  <c r="Z283" i="93"/>
  <c r="AA283" i="93"/>
  <c r="AB283" i="93"/>
  <c r="AC283" i="93"/>
  <c r="AD283" i="93"/>
  <c r="AE283" i="93"/>
  <c r="AF283" i="93"/>
  <c r="AG283" i="93"/>
  <c r="AH283" i="93"/>
  <c r="AI283" i="93"/>
  <c r="AJ283" i="93"/>
  <c r="AK283" i="93"/>
  <c r="AL283" i="93"/>
  <c r="AM283" i="93"/>
  <c r="AN283" i="93"/>
  <c r="AO283" i="93"/>
  <c r="AP283" i="93"/>
  <c r="AQ283" i="93"/>
  <c r="AR283" i="93"/>
  <c r="AS283" i="93"/>
  <c r="AT283" i="93"/>
  <c r="AU283" i="93"/>
  <c r="AV283" i="93"/>
  <c r="AW283" i="93"/>
  <c r="AX283" i="93"/>
  <c r="AY283" i="93"/>
  <c r="AZ283" i="93"/>
  <c r="BA283" i="93"/>
  <c r="BB283" i="93"/>
  <c r="BC283" i="93"/>
  <c r="BD283" i="93"/>
  <c r="BE283" i="93"/>
  <c r="BF283" i="93"/>
  <c r="BG283" i="93"/>
  <c r="BH283" i="93"/>
  <c r="BI283" i="93"/>
  <c r="BJ283" i="93"/>
  <c r="BK283" i="93"/>
  <c r="BL283" i="93"/>
  <c r="BM283" i="93"/>
  <c r="BN283" i="93"/>
  <c r="BO283" i="93"/>
  <c r="BP283" i="93"/>
  <c r="BQ283" i="93"/>
  <c r="BR283" i="93"/>
  <c r="BS283" i="93"/>
  <c r="BT283" i="93"/>
  <c r="BU283" i="93"/>
  <c r="BV283" i="93"/>
  <c r="BW283" i="93"/>
  <c r="BX283" i="93"/>
  <c r="BY283" i="93"/>
  <c r="BZ283" i="93"/>
  <c r="CA283" i="93"/>
  <c r="CB283" i="93"/>
  <c r="CC283" i="93"/>
  <c r="CD283" i="93"/>
  <c r="CE283" i="93"/>
  <c r="CF283" i="93"/>
  <c r="CG283" i="93"/>
  <c r="CH283" i="93"/>
  <c r="CI283" i="93"/>
  <c r="CJ283" i="93"/>
  <c r="CK283" i="93"/>
  <c r="CL283" i="93"/>
  <c r="CM283" i="93"/>
  <c r="CN283" i="93"/>
  <c r="CO283" i="93"/>
  <c r="CP283" i="93"/>
  <c r="CQ283" i="93"/>
  <c r="CR283" i="93"/>
  <c r="CS283" i="93"/>
  <c r="CT283" i="93"/>
  <c r="CU283" i="93"/>
  <c r="CV283" i="93"/>
  <c r="CW283" i="93"/>
  <c r="J284" i="93"/>
  <c r="K284" i="93"/>
  <c r="L284" i="93"/>
  <c r="M284" i="93"/>
  <c r="N284" i="93"/>
  <c r="O284" i="93"/>
  <c r="P284" i="93"/>
  <c r="Q284" i="93"/>
  <c r="R284" i="93"/>
  <c r="S284" i="93"/>
  <c r="T284" i="93"/>
  <c r="U284" i="93"/>
  <c r="V284" i="93"/>
  <c r="W284" i="93"/>
  <c r="X284" i="93"/>
  <c r="Y284" i="93"/>
  <c r="Z284" i="93"/>
  <c r="AA284" i="93"/>
  <c r="AB284" i="93"/>
  <c r="AC284" i="93"/>
  <c r="AD284" i="93"/>
  <c r="AE284" i="93"/>
  <c r="AF284" i="93"/>
  <c r="AG284" i="93"/>
  <c r="AH284" i="93"/>
  <c r="AI284" i="93"/>
  <c r="AJ284" i="93"/>
  <c r="AK284" i="93"/>
  <c r="AL284" i="93"/>
  <c r="AM284" i="93"/>
  <c r="AN284" i="93"/>
  <c r="AO284" i="93"/>
  <c r="AP284" i="93"/>
  <c r="AQ284" i="93"/>
  <c r="AR284" i="93"/>
  <c r="AS284" i="93"/>
  <c r="AT284" i="93"/>
  <c r="AU284" i="93"/>
  <c r="AV284" i="93"/>
  <c r="AW284" i="93"/>
  <c r="AX284" i="93"/>
  <c r="AY284" i="93"/>
  <c r="AZ284" i="93"/>
  <c r="BA284" i="93"/>
  <c r="BB284" i="93"/>
  <c r="BC284" i="93"/>
  <c r="BD284" i="93"/>
  <c r="BE284" i="93"/>
  <c r="BF284" i="93"/>
  <c r="BG284" i="93"/>
  <c r="BH284" i="93"/>
  <c r="BI284" i="93"/>
  <c r="BJ284" i="93"/>
  <c r="BK284" i="93"/>
  <c r="BL284" i="93"/>
  <c r="BM284" i="93"/>
  <c r="BN284" i="93"/>
  <c r="BO284" i="93"/>
  <c r="BP284" i="93"/>
  <c r="BQ284" i="93"/>
  <c r="BR284" i="93"/>
  <c r="BS284" i="93"/>
  <c r="BT284" i="93"/>
  <c r="BU284" i="93"/>
  <c r="BV284" i="93"/>
  <c r="BW284" i="93"/>
  <c r="BX284" i="93"/>
  <c r="BY284" i="93"/>
  <c r="BZ284" i="93"/>
  <c r="CA284" i="93"/>
  <c r="CB284" i="93"/>
  <c r="CC284" i="93"/>
  <c r="CD284" i="93"/>
  <c r="CE284" i="93"/>
  <c r="CF284" i="93"/>
  <c r="CG284" i="93"/>
  <c r="CH284" i="93"/>
  <c r="CI284" i="93"/>
  <c r="CJ284" i="93"/>
  <c r="CK284" i="93"/>
  <c r="CL284" i="93"/>
  <c r="CM284" i="93"/>
  <c r="CN284" i="93"/>
  <c r="CO284" i="93"/>
  <c r="CP284" i="93"/>
  <c r="CQ284" i="93"/>
  <c r="CR284" i="93"/>
  <c r="CS284" i="93"/>
  <c r="CT284" i="93"/>
  <c r="CU284" i="93"/>
  <c r="CV284" i="93"/>
  <c r="CW284" i="93"/>
  <c r="J285" i="93"/>
  <c r="K285" i="93"/>
  <c r="L285" i="93"/>
  <c r="M285" i="93"/>
  <c r="N285" i="93"/>
  <c r="O285" i="93"/>
  <c r="P285" i="93"/>
  <c r="Q285" i="93"/>
  <c r="R285" i="93"/>
  <c r="S285" i="93"/>
  <c r="T285" i="93"/>
  <c r="U285" i="93"/>
  <c r="V285" i="93"/>
  <c r="W285" i="93"/>
  <c r="X285" i="93"/>
  <c r="Y285" i="93"/>
  <c r="Z285" i="93"/>
  <c r="AA285" i="93"/>
  <c r="AB285" i="93"/>
  <c r="AC285" i="93"/>
  <c r="AD285" i="93"/>
  <c r="AE285" i="93"/>
  <c r="AF285" i="93"/>
  <c r="AG285" i="93"/>
  <c r="AH285" i="93"/>
  <c r="AI285" i="93"/>
  <c r="AJ285" i="93"/>
  <c r="AK285" i="93"/>
  <c r="AL285" i="93"/>
  <c r="AM285" i="93"/>
  <c r="AN285" i="93"/>
  <c r="AO285" i="93"/>
  <c r="AP285" i="93"/>
  <c r="AQ285" i="93"/>
  <c r="AR285" i="93"/>
  <c r="AS285" i="93"/>
  <c r="AT285" i="93"/>
  <c r="AU285" i="93"/>
  <c r="AV285" i="93"/>
  <c r="AW285" i="93"/>
  <c r="AX285" i="93"/>
  <c r="AY285" i="93"/>
  <c r="AZ285" i="93"/>
  <c r="BA285" i="93"/>
  <c r="BB285" i="93"/>
  <c r="BC285" i="93"/>
  <c r="BD285" i="93"/>
  <c r="BE285" i="93"/>
  <c r="BF285" i="93"/>
  <c r="BG285" i="93"/>
  <c r="BH285" i="93"/>
  <c r="BI285" i="93"/>
  <c r="BJ285" i="93"/>
  <c r="BK285" i="93"/>
  <c r="BL285" i="93"/>
  <c r="BM285" i="93"/>
  <c r="BN285" i="93"/>
  <c r="BO285" i="93"/>
  <c r="BP285" i="93"/>
  <c r="BQ285" i="93"/>
  <c r="BR285" i="93"/>
  <c r="BS285" i="93"/>
  <c r="BT285" i="93"/>
  <c r="BU285" i="93"/>
  <c r="BV285" i="93"/>
  <c r="BW285" i="93"/>
  <c r="BX285" i="93"/>
  <c r="BY285" i="93"/>
  <c r="BZ285" i="93"/>
  <c r="CA285" i="93"/>
  <c r="CB285" i="93"/>
  <c r="CC285" i="93"/>
  <c r="CD285" i="93"/>
  <c r="CE285" i="93"/>
  <c r="CF285" i="93"/>
  <c r="CG285" i="93"/>
  <c r="CH285" i="93"/>
  <c r="CI285" i="93"/>
  <c r="CJ285" i="93"/>
  <c r="CK285" i="93"/>
  <c r="CL285" i="93"/>
  <c r="CM285" i="93"/>
  <c r="CN285" i="93"/>
  <c r="CO285" i="93"/>
  <c r="CP285" i="93"/>
  <c r="CQ285" i="93"/>
  <c r="CR285" i="93"/>
  <c r="CS285" i="93"/>
  <c r="CT285" i="93"/>
  <c r="CU285" i="93"/>
  <c r="CV285" i="93"/>
  <c r="CW285" i="93"/>
  <c r="J286" i="93"/>
  <c r="K286" i="93"/>
  <c r="L286" i="93"/>
  <c r="M286" i="93"/>
  <c r="N286" i="93"/>
  <c r="O286" i="93"/>
  <c r="P286" i="93"/>
  <c r="Q286" i="93"/>
  <c r="R286" i="93"/>
  <c r="S286" i="93"/>
  <c r="T286" i="93"/>
  <c r="U286" i="93"/>
  <c r="V286" i="93"/>
  <c r="W286" i="93"/>
  <c r="X286" i="93"/>
  <c r="Y286" i="93"/>
  <c r="Z286" i="93"/>
  <c r="AA286" i="93"/>
  <c r="AB286" i="93"/>
  <c r="AC286" i="93"/>
  <c r="AD286" i="93"/>
  <c r="AE286" i="93"/>
  <c r="AF286" i="93"/>
  <c r="AG286" i="93"/>
  <c r="AH286" i="93"/>
  <c r="AI286" i="93"/>
  <c r="AJ286" i="93"/>
  <c r="AK286" i="93"/>
  <c r="AL286" i="93"/>
  <c r="AM286" i="93"/>
  <c r="AN286" i="93"/>
  <c r="AO286" i="93"/>
  <c r="AP286" i="93"/>
  <c r="AQ286" i="93"/>
  <c r="AR286" i="93"/>
  <c r="AS286" i="93"/>
  <c r="AT286" i="93"/>
  <c r="AU286" i="93"/>
  <c r="AV286" i="93"/>
  <c r="AW286" i="93"/>
  <c r="AX286" i="93"/>
  <c r="AY286" i="93"/>
  <c r="AZ286" i="93"/>
  <c r="BA286" i="93"/>
  <c r="BB286" i="93"/>
  <c r="BC286" i="93"/>
  <c r="BD286" i="93"/>
  <c r="BE286" i="93"/>
  <c r="BF286" i="93"/>
  <c r="BG286" i="93"/>
  <c r="BH286" i="93"/>
  <c r="BI286" i="93"/>
  <c r="BJ286" i="93"/>
  <c r="BK286" i="93"/>
  <c r="BL286" i="93"/>
  <c r="BM286" i="93"/>
  <c r="BN286" i="93"/>
  <c r="BO286" i="93"/>
  <c r="BP286" i="93"/>
  <c r="BQ286" i="93"/>
  <c r="BR286" i="93"/>
  <c r="BS286" i="93"/>
  <c r="BT286" i="93"/>
  <c r="BU286" i="93"/>
  <c r="BV286" i="93"/>
  <c r="BW286" i="93"/>
  <c r="BX286" i="93"/>
  <c r="BY286" i="93"/>
  <c r="BZ286" i="93"/>
  <c r="CA286" i="93"/>
  <c r="CB286" i="93"/>
  <c r="CC286" i="93"/>
  <c r="CD286" i="93"/>
  <c r="CE286" i="93"/>
  <c r="CF286" i="93"/>
  <c r="CG286" i="93"/>
  <c r="CH286" i="93"/>
  <c r="CI286" i="93"/>
  <c r="CJ286" i="93"/>
  <c r="CK286" i="93"/>
  <c r="CL286" i="93"/>
  <c r="CM286" i="93"/>
  <c r="CN286" i="93"/>
  <c r="CO286" i="93"/>
  <c r="CP286" i="93"/>
  <c r="CQ286" i="93"/>
  <c r="CR286" i="93"/>
  <c r="CS286" i="93"/>
  <c r="CT286" i="93"/>
  <c r="CU286" i="93"/>
  <c r="CV286" i="93"/>
  <c r="CW286" i="93"/>
  <c r="J287" i="93"/>
  <c r="K287" i="93"/>
  <c r="L287" i="93"/>
  <c r="M287" i="93"/>
  <c r="N287" i="93"/>
  <c r="O287" i="93"/>
  <c r="P287" i="93"/>
  <c r="Q287" i="93"/>
  <c r="R287" i="93"/>
  <c r="S287" i="93"/>
  <c r="T287" i="93"/>
  <c r="U287" i="93"/>
  <c r="V287" i="93"/>
  <c r="W287" i="93"/>
  <c r="X287" i="93"/>
  <c r="Y287" i="93"/>
  <c r="Z287" i="93"/>
  <c r="AA287" i="93"/>
  <c r="AB287" i="93"/>
  <c r="AC287" i="93"/>
  <c r="AD287" i="93"/>
  <c r="AE287" i="93"/>
  <c r="AF287" i="93"/>
  <c r="AG287" i="93"/>
  <c r="AH287" i="93"/>
  <c r="AI287" i="93"/>
  <c r="AJ287" i="93"/>
  <c r="AK287" i="93"/>
  <c r="AL287" i="93"/>
  <c r="AM287" i="93"/>
  <c r="AN287" i="93"/>
  <c r="AO287" i="93"/>
  <c r="AP287" i="93"/>
  <c r="AQ287" i="93"/>
  <c r="AR287" i="93"/>
  <c r="AS287" i="93"/>
  <c r="AT287" i="93"/>
  <c r="AU287" i="93"/>
  <c r="AV287" i="93"/>
  <c r="AW287" i="93"/>
  <c r="AX287" i="93"/>
  <c r="AY287" i="93"/>
  <c r="AZ287" i="93"/>
  <c r="BA287" i="93"/>
  <c r="BB287" i="93"/>
  <c r="BC287" i="93"/>
  <c r="BD287" i="93"/>
  <c r="BE287" i="93"/>
  <c r="BF287" i="93"/>
  <c r="BG287" i="93"/>
  <c r="BH287" i="93"/>
  <c r="BI287" i="93"/>
  <c r="BJ287" i="93"/>
  <c r="BK287" i="93"/>
  <c r="BL287" i="93"/>
  <c r="BM287" i="93"/>
  <c r="BN287" i="93"/>
  <c r="BO287" i="93"/>
  <c r="BP287" i="93"/>
  <c r="BQ287" i="93"/>
  <c r="BR287" i="93"/>
  <c r="BS287" i="93"/>
  <c r="BT287" i="93"/>
  <c r="BU287" i="93"/>
  <c r="BV287" i="93"/>
  <c r="BW287" i="93"/>
  <c r="BX287" i="93"/>
  <c r="BY287" i="93"/>
  <c r="BZ287" i="93"/>
  <c r="CA287" i="93"/>
  <c r="CB287" i="93"/>
  <c r="CC287" i="93"/>
  <c r="CD287" i="93"/>
  <c r="CE287" i="93"/>
  <c r="CF287" i="93"/>
  <c r="CG287" i="93"/>
  <c r="CH287" i="93"/>
  <c r="CI287" i="93"/>
  <c r="CJ287" i="93"/>
  <c r="CK287" i="93"/>
  <c r="CL287" i="93"/>
  <c r="CM287" i="93"/>
  <c r="CN287" i="93"/>
  <c r="CO287" i="93"/>
  <c r="CP287" i="93"/>
  <c r="CQ287" i="93"/>
  <c r="CR287" i="93"/>
  <c r="CS287" i="93"/>
  <c r="CT287" i="93"/>
  <c r="CU287" i="93"/>
  <c r="CV287" i="93"/>
  <c r="CW287" i="93"/>
  <c r="J288" i="93"/>
  <c r="K288" i="93"/>
  <c r="L288" i="93"/>
  <c r="M288" i="93"/>
  <c r="N288" i="93"/>
  <c r="O288" i="93"/>
  <c r="P288" i="93"/>
  <c r="Q288" i="93"/>
  <c r="R288" i="93"/>
  <c r="S288" i="93"/>
  <c r="T288" i="93"/>
  <c r="U288" i="93"/>
  <c r="V288" i="93"/>
  <c r="W288" i="93"/>
  <c r="X288" i="93"/>
  <c r="Y288" i="93"/>
  <c r="Z288" i="93"/>
  <c r="AA288" i="93"/>
  <c r="AB288" i="93"/>
  <c r="AC288" i="93"/>
  <c r="AD288" i="93"/>
  <c r="AE288" i="93"/>
  <c r="AF288" i="93"/>
  <c r="AG288" i="93"/>
  <c r="AH288" i="93"/>
  <c r="AI288" i="93"/>
  <c r="AJ288" i="93"/>
  <c r="AK288" i="93"/>
  <c r="AL288" i="93"/>
  <c r="AM288" i="93"/>
  <c r="AN288" i="93"/>
  <c r="AO288" i="93"/>
  <c r="AP288" i="93"/>
  <c r="AQ288" i="93"/>
  <c r="AR288" i="93"/>
  <c r="AS288" i="93"/>
  <c r="AT288" i="93"/>
  <c r="AU288" i="93"/>
  <c r="AV288" i="93"/>
  <c r="AW288" i="93"/>
  <c r="AX288" i="93"/>
  <c r="AY288" i="93"/>
  <c r="AZ288" i="93"/>
  <c r="BA288" i="93"/>
  <c r="BB288" i="93"/>
  <c r="BC288" i="93"/>
  <c r="BD288" i="93"/>
  <c r="BE288" i="93"/>
  <c r="BF288" i="93"/>
  <c r="BG288" i="93"/>
  <c r="BH288" i="93"/>
  <c r="BI288" i="93"/>
  <c r="BJ288" i="93"/>
  <c r="BK288" i="93"/>
  <c r="BL288" i="93"/>
  <c r="BM288" i="93"/>
  <c r="BN288" i="93"/>
  <c r="BO288" i="93"/>
  <c r="BP288" i="93"/>
  <c r="BQ288" i="93"/>
  <c r="BR288" i="93"/>
  <c r="BS288" i="93"/>
  <c r="BT288" i="93"/>
  <c r="BU288" i="93"/>
  <c r="BV288" i="93"/>
  <c r="BW288" i="93"/>
  <c r="BX288" i="93"/>
  <c r="BY288" i="93"/>
  <c r="BZ288" i="93"/>
  <c r="CA288" i="93"/>
  <c r="CB288" i="93"/>
  <c r="CC288" i="93"/>
  <c r="CD288" i="93"/>
  <c r="CE288" i="93"/>
  <c r="CF288" i="93"/>
  <c r="CG288" i="93"/>
  <c r="CH288" i="93"/>
  <c r="CI288" i="93"/>
  <c r="CJ288" i="93"/>
  <c r="CK288" i="93"/>
  <c r="CL288" i="93"/>
  <c r="CM288" i="93"/>
  <c r="CN288" i="93"/>
  <c r="CO288" i="93"/>
  <c r="CP288" i="93"/>
  <c r="CQ288" i="93"/>
  <c r="CR288" i="93"/>
  <c r="CS288" i="93"/>
  <c r="CT288" i="93"/>
  <c r="CU288" i="93"/>
  <c r="CV288" i="93"/>
  <c r="CW288" i="93"/>
  <c r="J289" i="93"/>
  <c r="K289" i="93"/>
  <c r="L289" i="93"/>
  <c r="M289" i="93"/>
  <c r="N289" i="93"/>
  <c r="O289" i="93"/>
  <c r="P289" i="93"/>
  <c r="Q289" i="93"/>
  <c r="R289" i="93"/>
  <c r="S289" i="93"/>
  <c r="T289" i="93"/>
  <c r="U289" i="93"/>
  <c r="V289" i="93"/>
  <c r="W289" i="93"/>
  <c r="X289" i="93"/>
  <c r="Y289" i="93"/>
  <c r="Z289" i="93"/>
  <c r="AA289" i="93"/>
  <c r="AB289" i="93"/>
  <c r="AC289" i="93"/>
  <c r="AD289" i="93"/>
  <c r="AE289" i="93"/>
  <c r="AF289" i="93"/>
  <c r="AG289" i="93"/>
  <c r="AH289" i="93"/>
  <c r="AI289" i="93"/>
  <c r="AJ289" i="93"/>
  <c r="AK289" i="93"/>
  <c r="AL289" i="93"/>
  <c r="AM289" i="93"/>
  <c r="AN289" i="93"/>
  <c r="AO289" i="93"/>
  <c r="AP289" i="93"/>
  <c r="AQ289" i="93"/>
  <c r="AR289" i="93"/>
  <c r="AS289" i="93"/>
  <c r="AT289" i="93"/>
  <c r="AU289" i="93"/>
  <c r="AV289" i="93"/>
  <c r="AW289" i="93"/>
  <c r="AX289" i="93"/>
  <c r="AY289" i="93"/>
  <c r="AZ289" i="93"/>
  <c r="BA289" i="93"/>
  <c r="BB289" i="93"/>
  <c r="BC289" i="93"/>
  <c r="BD289" i="93"/>
  <c r="BE289" i="93"/>
  <c r="BF289" i="93"/>
  <c r="BG289" i="93"/>
  <c r="BH289" i="93"/>
  <c r="BI289" i="93"/>
  <c r="BJ289" i="93"/>
  <c r="BK289" i="93"/>
  <c r="BL289" i="93"/>
  <c r="BM289" i="93"/>
  <c r="BN289" i="93"/>
  <c r="BO289" i="93"/>
  <c r="BP289" i="93"/>
  <c r="BQ289" i="93"/>
  <c r="BR289" i="93"/>
  <c r="BS289" i="93"/>
  <c r="BT289" i="93"/>
  <c r="BU289" i="93"/>
  <c r="BV289" i="93"/>
  <c r="BW289" i="93"/>
  <c r="BX289" i="93"/>
  <c r="BY289" i="93"/>
  <c r="BZ289" i="93"/>
  <c r="CA289" i="93"/>
  <c r="CB289" i="93"/>
  <c r="CC289" i="93"/>
  <c r="CD289" i="93"/>
  <c r="CE289" i="93"/>
  <c r="CF289" i="93"/>
  <c r="CG289" i="93"/>
  <c r="CH289" i="93"/>
  <c r="CI289" i="93"/>
  <c r="CJ289" i="93"/>
  <c r="CK289" i="93"/>
  <c r="CL289" i="93"/>
  <c r="CM289" i="93"/>
  <c r="CN289" i="93"/>
  <c r="CO289" i="93"/>
  <c r="CP289" i="93"/>
  <c r="CQ289" i="93"/>
  <c r="CR289" i="93"/>
  <c r="CS289" i="93"/>
  <c r="CT289" i="93"/>
  <c r="CU289" i="93"/>
  <c r="CV289" i="93"/>
  <c r="CW289" i="93"/>
  <c r="J290" i="93"/>
  <c r="K290" i="93"/>
  <c r="L290" i="93"/>
  <c r="M290" i="93"/>
  <c r="N290" i="93"/>
  <c r="O290" i="93"/>
  <c r="P290" i="93"/>
  <c r="Q290" i="93"/>
  <c r="R290" i="93"/>
  <c r="S290" i="93"/>
  <c r="T290" i="93"/>
  <c r="U290" i="93"/>
  <c r="V290" i="93"/>
  <c r="W290" i="93"/>
  <c r="X290" i="93"/>
  <c r="Y290" i="93"/>
  <c r="Z290" i="93"/>
  <c r="AA290" i="93"/>
  <c r="AB290" i="93"/>
  <c r="AC290" i="93"/>
  <c r="AD290" i="93"/>
  <c r="AE290" i="93"/>
  <c r="AF290" i="93"/>
  <c r="AG290" i="93"/>
  <c r="AH290" i="93"/>
  <c r="AI290" i="93"/>
  <c r="AJ290" i="93"/>
  <c r="AK290" i="93"/>
  <c r="AL290" i="93"/>
  <c r="AM290" i="93"/>
  <c r="AN290" i="93"/>
  <c r="AO290" i="93"/>
  <c r="AP290" i="93"/>
  <c r="AQ290" i="93"/>
  <c r="AR290" i="93"/>
  <c r="AS290" i="93"/>
  <c r="AT290" i="93"/>
  <c r="AU290" i="93"/>
  <c r="AV290" i="93"/>
  <c r="AW290" i="93"/>
  <c r="AX290" i="93"/>
  <c r="AY290" i="93"/>
  <c r="AZ290" i="93"/>
  <c r="BA290" i="93"/>
  <c r="BB290" i="93"/>
  <c r="BC290" i="93"/>
  <c r="BD290" i="93"/>
  <c r="BE290" i="93"/>
  <c r="BF290" i="93"/>
  <c r="BG290" i="93"/>
  <c r="BH290" i="93"/>
  <c r="BI290" i="93"/>
  <c r="BJ290" i="93"/>
  <c r="BK290" i="93"/>
  <c r="BL290" i="93"/>
  <c r="BM290" i="93"/>
  <c r="BN290" i="93"/>
  <c r="BO290" i="93"/>
  <c r="BP290" i="93"/>
  <c r="BQ290" i="93"/>
  <c r="BR290" i="93"/>
  <c r="BS290" i="93"/>
  <c r="BT290" i="93"/>
  <c r="BU290" i="93"/>
  <c r="BV290" i="93"/>
  <c r="BW290" i="93"/>
  <c r="BX290" i="93"/>
  <c r="BY290" i="93"/>
  <c r="BZ290" i="93"/>
  <c r="CA290" i="93"/>
  <c r="CB290" i="93"/>
  <c r="CC290" i="93"/>
  <c r="CD290" i="93"/>
  <c r="CE290" i="93"/>
  <c r="CF290" i="93"/>
  <c r="CG290" i="93"/>
  <c r="CH290" i="93"/>
  <c r="CI290" i="93"/>
  <c r="CJ290" i="93"/>
  <c r="CK290" i="93"/>
  <c r="CL290" i="93"/>
  <c r="CM290" i="93"/>
  <c r="CN290" i="93"/>
  <c r="CO290" i="93"/>
  <c r="CP290" i="93"/>
  <c r="CQ290" i="93"/>
  <c r="CR290" i="93"/>
  <c r="CS290" i="93"/>
  <c r="CT290" i="93"/>
  <c r="CU290" i="93"/>
  <c r="CV290" i="93"/>
  <c r="CW290" i="93"/>
  <c r="J291" i="93"/>
  <c r="K291" i="93"/>
  <c r="L291" i="93"/>
  <c r="M291" i="93"/>
  <c r="N291" i="93"/>
  <c r="O291" i="93"/>
  <c r="P291" i="93"/>
  <c r="Q291" i="93"/>
  <c r="R291" i="93"/>
  <c r="S291" i="93"/>
  <c r="T291" i="93"/>
  <c r="U291" i="93"/>
  <c r="V291" i="93"/>
  <c r="W291" i="93"/>
  <c r="X291" i="93"/>
  <c r="Y291" i="93"/>
  <c r="Z291" i="93"/>
  <c r="AA291" i="93"/>
  <c r="AB291" i="93"/>
  <c r="AC291" i="93"/>
  <c r="AD291" i="93"/>
  <c r="AE291" i="93"/>
  <c r="AF291" i="93"/>
  <c r="AG291" i="93"/>
  <c r="AH291" i="93"/>
  <c r="AI291" i="93"/>
  <c r="AJ291" i="93"/>
  <c r="AK291" i="93"/>
  <c r="AL291" i="93"/>
  <c r="AM291" i="93"/>
  <c r="AN291" i="93"/>
  <c r="AO291" i="93"/>
  <c r="AP291" i="93"/>
  <c r="AQ291" i="93"/>
  <c r="AR291" i="93"/>
  <c r="AS291" i="93"/>
  <c r="AT291" i="93"/>
  <c r="AU291" i="93"/>
  <c r="AV291" i="93"/>
  <c r="AW291" i="93"/>
  <c r="AX291" i="93"/>
  <c r="AY291" i="93"/>
  <c r="AZ291" i="93"/>
  <c r="BA291" i="93"/>
  <c r="BB291" i="93"/>
  <c r="BC291" i="93"/>
  <c r="BD291" i="93"/>
  <c r="BE291" i="93"/>
  <c r="BF291" i="93"/>
  <c r="BG291" i="93"/>
  <c r="BH291" i="93"/>
  <c r="BI291" i="93"/>
  <c r="BJ291" i="93"/>
  <c r="BK291" i="93"/>
  <c r="BL291" i="93"/>
  <c r="BM291" i="93"/>
  <c r="BN291" i="93"/>
  <c r="BO291" i="93"/>
  <c r="BP291" i="93"/>
  <c r="BQ291" i="93"/>
  <c r="BR291" i="93"/>
  <c r="BS291" i="93"/>
  <c r="BT291" i="93"/>
  <c r="BU291" i="93"/>
  <c r="BV291" i="93"/>
  <c r="BW291" i="93"/>
  <c r="BX291" i="93"/>
  <c r="BY291" i="93"/>
  <c r="BZ291" i="93"/>
  <c r="CA291" i="93"/>
  <c r="CB291" i="93"/>
  <c r="CC291" i="93"/>
  <c r="CD291" i="93"/>
  <c r="CE291" i="93"/>
  <c r="CF291" i="93"/>
  <c r="CG291" i="93"/>
  <c r="CH291" i="93"/>
  <c r="CI291" i="93"/>
  <c r="CJ291" i="93"/>
  <c r="CK291" i="93"/>
  <c r="CL291" i="93"/>
  <c r="CM291" i="93"/>
  <c r="CN291" i="93"/>
  <c r="CO291" i="93"/>
  <c r="CP291" i="93"/>
  <c r="CQ291" i="93"/>
  <c r="CR291" i="93"/>
  <c r="CS291" i="93"/>
  <c r="CT291" i="93"/>
  <c r="CU291" i="93"/>
  <c r="CV291" i="93"/>
  <c r="CW291" i="93"/>
  <c r="J292" i="93"/>
  <c r="K292" i="93"/>
  <c r="L292" i="93"/>
  <c r="M292" i="93"/>
  <c r="N292" i="93"/>
  <c r="O292" i="93"/>
  <c r="P292" i="93"/>
  <c r="Q292" i="93"/>
  <c r="R292" i="93"/>
  <c r="S292" i="93"/>
  <c r="T292" i="93"/>
  <c r="U292" i="93"/>
  <c r="V292" i="93"/>
  <c r="W292" i="93"/>
  <c r="X292" i="93"/>
  <c r="Y292" i="93"/>
  <c r="Z292" i="93"/>
  <c r="AA292" i="93"/>
  <c r="AB292" i="93"/>
  <c r="AC292" i="93"/>
  <c r="AD292" i="93"/>
  <c r="AE292" i="93"/>
  <c r="AF292" i="93"/>
  <c r="AG292" i="93"/>
  <c r="AH292" i="93"/>
  <c r="AI292" i="93"/>
  <c r="AJ292" i="93"/>
  <c r="AK292" i="93"/>
  <c r="AL292" i="93"/>
  <c r="AM292" i="93"/>
  <c r="AN292" i="93"/>
  <c r="AO292" i="93"/>
  <c r="AP292" i="93"/>
  <c r="AQ292" i="93"/>
  <c r="AR292" i="93"/>
  <c r="AS292" i="93"/>
  <c r="AT292" i="93"/>
  <c r="AU292" i="93"/>
  <c r="AV292" i="93"/>
  <c r="AW292" i="93"/>
  <c r="AX292" i="93"/>
  <c r="AY292" i="93"/>
  <c r="AZ292" i="93"/>
  <c r="BA292" i="93"/>
  <c r="BB292" i="93"/>
  <c r="BC292" i="93"/>
  <c r="BD292" i="93"/>
  <c r="BE292" i="93"/>
  <c r="BF292" i="93"/>
  <c r="BG292" i="93"/>
  <c r="BH292" i="93"/>
  <c r="BI292" i="93"/>
  <c r="BJ292" i="93"/>
  <c r="BK292" i="93"/>
  <c r="BL292" i="93"/>
  <c r="BM292" i="93"/>
  <c r="BN292" i="93"/>
  <c r="BO292" i="93"/>
  <c r="BP292" i="93"/>
  <c r="BQ292" i="93"/>
  <c r="BR292" i="93"/>
  <c r="BS292" i="93"/>
  <c r="BT292" i="93"/>
  <c r="BU292" i="93"/>
  <c r="BV292" i="93"/>
  <c r="BW292" i="93"/>
  <c r="BX292" i="93"/>
  <c r="BY292" i="93"/>
  <c r="BZ292" i="93"/>
  <c r="CA292" i="93"/>
  <c r="CB292" i="93"/>
  <c r="CC292" i="93"/>
  <c r="CD292" i="93"/>
  <c r="CE292" i="93"/>
  <c r="CF292" i="93"/>
  <c r="CG292" i="93"/>
  <c r="CH292" i="93"/>
  <c r="CI292" i="93"/>
  <c r="CJ292" i="93"/>
  <c r="CK292" i="93"/>
  <c r="CL292" i="93"/>
  <c r="CM292" i="93"/>
  <c r="CN292" i="93"/>
  <c r="CO292" i="93"/>
  <c r="CP292" i="93"/>
  <c r="CQ292" i="93"/>
  <c r="CR292" i="93"/>
  <c r="CS292" i="93"/>
  <c r="CT292" i="93"/>
  <c r="CU292" i="93"/>
  <c r="CV292" i="93"/>
  <c r="CW292" i="93"/>
  <c r="J293" i="93"/>
  <c r="K293" i="93"/>
  <c r="L293" i="93"/>
  <c r="M293" i="93"/>
  <c r="N293" i="93"/>
  <c r="O293" i="93"/>
  <c r="P293" i="93"/>
  <c r="Q293" i="93"/>
  <c r="R293" i="93"/>
  <c r="S293" i="93"/>
  <c r="T293" i="93"/>
  <c r="U293" i="93"/>
  <c r="V293" i="93"/>
  <c r="W293" i="93"/>
  <c r="X293" i="93"/>
  <c r="Y293" i="93"/>
  <c r="Z293" i="93"/>
  <c r="AA293" i="93"/>
  <c r="AB293" i="93"/>
  <c r="AC293" i="93"/>
  <c r="AD293" i="93"/>
  <c r="AE293" i="93"/>
  <c r="AF293" i="93"/>
  <c r="AG293" i="93"/>
  <c r="AH293" i="93"/>
  <c r="AI293" i="93"/>
  <c r="AJ293" i="93"/>
  <c r="AK293" i="93"/>
  <c r="AL293" i="93"/>
  <c r="AM293" i="93"/>
  <c r="AN293" i="93"/>
  <c r="AO293" i="93"/>
  <c r="AP293" i="93"/>
  <c r="AQ293" i="93"/>
  <c r="AR293" i="93"/>
  <c r="AS293" i="93"/>
  <c r="AT293" i="93"/>
  <c r="AU293" i="93"/>
  <c r="AV293" i="93"/>
  <c r="AW293" i="93"/>
  <c r="AX293" i="93"/>
  <c r="AY293" i="93"/>
  <c r="AZ293" i="93"/>
  <c r="BA293" i="93"/>
  <c r="BB293" i="93"/>
  <c r="BC293" i="93"/>
  <c r="BD293" i="93"/>
  <c r="BE293" i="93"/>
  <c r="BF293" i="93"/>
  <c r="BG293" i="93"/>
  <c r="BH293" i="93"/>
  <c r="BI293" i="93"/>
  <c r="BJ293" i="93"/>
  <c r="BK293" i="93"/>
  <c r="BL293" i="93"/>
  <c r="BM293" i="93"/>
  <c r="BN293" i="93"/>
  <c r="BO293" i="93"/>
  <c r="BP293" i="93"/>
  <c r="BQ293" i="93"/>
  <c r="BR293" i="93"/>
  <c r="BS293" i="93"/>
  <c r="BT293" i="93"/>
  <c r="BU293" i="93"/>
  <c r="BV293" i="93"/>
  <c r="BW293" i="93"/>
  <c r="BX293" i="93"/>
  <c r="BY293" i="93"/>
  <c r="BZ293" i="93"/>
  <c r="CA293" i="93"/>
  <c r="CB293" i="93"/>
  <c r="CC293" i="93"/>
  <c r="CD293" i="93"/>
  <c r="CE293" i="93"/>
  <c r="CF293" i="93"/>
  <c r="CG293" i="93"/>
  <c r="CH293" i="93"/>
  <c r="CI293" i="93"/>
  <c r="CJ293" i="93"/>
  <c r="CK293" i="93"/>
  <c r="CL293" i="93"/>
  <c r="CM293" i="93"/>
  <c r="CN293" i="93"/>
  <c r="CO293" i="93"/>
  <c r="CP293" i="93"/>
  <c r="CQ293" i="93"/>
  <c r="CR293" i="93"/>
  <c r="CS293" i="93"/>
  <c r="CT293" i="93"/>
  <c r="CU293" i="93"/>
  <c r="CV293" i="93"/>
  <c r="CW293" i="93"/>
  <c r="J294" i="93"/>
  <c r="K294" i="93"/>
  <c r="L294" i="93"/>
  <c r="M294" i="93"/>
  <c r="N294" i="93"/>
  <c r="O294" i="93"/>
  <c r="P294" i="93"/>
  <c r="Q294" i="93"/>
  <c r="R294" i="93"/>
  <c r="S294" i="93"/>
  <c r="T294" i="93"/>
  <c r="U294" i="93"/>
  <c r="V294" i="93"/>
  <c r="W294" i="93"/>
  <c r="X294" i="93"/>
  <c r="Y294" i="93"/>
  <c r="Z294" i="93"/>
  <c r="AA294" i="93"/>
  <c r="AB294" i="93"/>
  <c r="AC294" i="93"/>
  <c r="AD294" i="93"/>
  <c r="AE294" i="93"/>
  <c r="AF294" i="93"/>
  <c r="AG294" i="93"/>
  <c r="AH294" i="93"/>
  <c r="AI294" i="93"/>
  <c r="AJ294" i="93"/>
  <c r="AK294" i="93"/>
  <c r="AL294" i="93"/>
  <c r="AM294" i="93"/>
  <c r="AN294" i="93"/>
  <c r="AO294" i="93"/>
  <c r="AP294" i="93"/>
  <c r="AQ294" i="93"/>
  <c r="AR294" i="93"/>
  <c r="AS294" i="93"/>
  <c r="AT294" i="93"/>
  <c r="AU294" i="93"/>
  <c r="AV294" i="93"/>
  <c r="AW294" i="93"/>
  <c r="AX294" i="93"/>
  <c r="AY294" i="93"/>
  <c r="AZ294" i="93"/>
  <c r="BA294" i="93"/>
  <c r="BB294" i="93"/>
  <c r="BC294" i="93"/>
  <c r="BD294" i="93"/>
  <c r="BE294" i="93"/>
  <c r="BF294" i="93"/>
  <c r="BG294" i="93"/>
  <c r="BH294" i="93"/>
  <c r="BI294" i="93"/>
  <c r="BJ294" i="93"/>
  <c r="BK294" i="93"/>
  <c r="BL294" i="93"/>
  <c r="BM294" i="93"/>
  <c r="BN294" i="93"/>
  <c r="BO294" i="93"/>
  <c r="BP294" i="93"/>
  <c r="BQ294" i="93"/>
  <c r="BR294" i="93"/>
  <c r="BS294" i="93"/>
  <c r="BT294" i="93"/>
  <c r="BU294" i="93"/>
  <c r="BV294" i="93"/>
  <c r="BW294" i="93"/>
  <c r="BX294" i="93"/>
  <c r="BY294" i="93"/>
  <c r="BZ294" i="93"/>
  <c r="CA294" i="93"/>
  <c r="CB294" i="93"/>
  <c r="CC294" i="93"/>
  <c r="CD294" i="93"/>
  <c r="CE294" i="93"/>
  <c r="CF294" i="93"/>
  <c r="CG294" i="93"/>
  <c r="CH294" i="93"/>
  <c r="CI294" i="93"/>
  <c r="CJ294" i="93"/>
  <c r="CK294" i="93"/>
  <c r="CL294" i="93"/>
  <c r="CM294" i="93"/>
  <c r="CN294" i="93"/>
  <c r="CO294" i="93"/>
  <c r="CP294" i="93"/>
  <c r="CQ294" i="93"/>
  <c r="CR294" i="93"/>
  <c r="CS294" i="93"/>
  <c r="CT294" i="93"/>
  <c r="CU294" i="93"/>
  <c r="CV294" i="93"/>
  <c r="CW294" i="93"/>
  <c r="J295" i="93"/>
  <c r="K295" i="93"/>
  <c r="L295" i="93"/>
  <c r="M295" i="93"/>
  <c r="N295" i="93"/>
  <c r="O295" i="93"/>
  <c r="P295" i="93"/>
  <c r="Q295" i="93"/>
  <c r="R295" i="93"/>
  <c r="S295" i="93"/>
  <c r="T295" i="93"/>
  <c r="U295" i="93"/>
  <c r="V295" i="93"/>
  <c r="W295" i="93"/>
  <c r="X295" i="93"/>
  <c r="Y295" i="93"/>
  <c r="Z295" i="93"/>
  <c r="AA295" i="93"/>
  <c r="AB295" i="93"/>
  <c r="AC295" i="93"/>
  <c r="AD295" i="93"/>
  <c r="AE295" i="93"/>
  <c r="AF295" i="93"/>
  <c r="AG295" i="93"/>
  <c r="AH295" i="93"/>
  <c r="AI295" i="93"/>
  <c r="AJ295" i="93"/>
  <c r="AK295" i="93"/>
  <c r="AL295" i="93"/>
  <c r="AM295" i="93"/>
  <c r="AN295" i="93"/>
  <c r="AO295" i="93"/>
  <c r="AP295" i="93"/>
  <c r="AQ295" i="93"/>
  <c r="AR295" i="93"/>
  <c r="AS295" i="93"/>
  <c r="AT295" i="93"/>
  <c r="AU295" i="93"/>
  <c r="AV295" i="93"/>
  <c r="AW295" i="93"/>
  <c r="AX295" i="93"/>
  <c r="AY295" i="93"/>
  <c r="AZ295" i="93"/>
  <c r="BA295" i="93"/>
  <c r="BB295" i="93"/>
  <c r="BC295" i="93"/>
  <c r="BD295" i="93"/>
  <c r="BE295" i="93"/>
  <c r="BF295" i="93"/>
  <c r="BG295" i="93"/>
  <c r="BH295" i="93"/>
  <c r="BI295" i="93"/>
  <c r="BJ295" i="93"/>
  <c r="BK295" i="93"/>
  <c r="BL295" i="93"/>
  <c r="BM295" i="93"/>
  <c r="BN295" i="93"/>
  <c r="BO295" i="93"/>
  <c r="BP295" i="93"/>
  <c r="BQ295" i="93"/>
  <c r="BR295" i="93"/>
  <c r="BS295" i="93"/>
  <c r="BT295" i="93"/>
  <c r="BU295" i="93"/>
  <c r="BV295" i="93"/>
  <c r="BW295" i="93"/>
  <c r="BX295" i="93"/>
  <c r="BY295" i="93"/>
  <c r="BZ295" i="93"/>
  <c r="CA295" i="93"/>
  <c r="CB295" i="93"/>
  <c r="CC295" i="93"/>
  <c r="CD295" i="93"/>
  <c r="CE295" i="93"/>
  <c r="CF295" i="93"/>
  <c r="CG295" i="93"/>
  <c r="CH295" i="93"/>
  <c r="CI295" i="93"/>
  <c r="CJ295" i="93"/>
  <c r="CK295" i="93"/>
  <c r="CL295" i="93"/>
  <c r="CM295" i="93"/>
  <c r="CN295" i="93"/>
  <c r="CO295" i="93"/>
  <c r="CP295" i="93"/>
  <c r="CQ295" i="93"/>
  <c r="CR295" i="93"/>
  <c r="CS295" i="93"/>
  <c r="CT295" i="93"/>
  <c r="CU295" i="93"/>
  <c r="CV295" i="93"/>
  <c r="CW295" i="93"/>
  <c r="J296" i="93"/>
  <c r="K296" i="93"/>
  <c r="L296" i="93"/>
  <c r="M296" i="93"/>
  <c r="N296" i="93"/>
  <c r="O296" i="93"/>
  <c r="P296" i="93"/>
  <c r="Q296" i="93"/>
  <c r="R296" i="93"/>
  <c r="S296" i="93"/>
  <c r="T296" i="93"/>
  <c r="U296" i="93"/>
  <c r="V296" i="93"/>
  <c r="W296" i="93"/>
  <c r="X296" i="93"/>
  <c r="Y296" i="93"/>
  <c r="Z296" i="93"/>
  <c r="AA296" i="93"/>
  <c r="AB296" i="93"/>
  <c r="AC296" i="93"/>
  <c r="AD296" i="93"/>
  <c r="AE296" i="93"/>
  <c r="AF296" i="93"/>
  <c r="AG296" i="93"/>
  <c r="AH296" i="93"/>
  <c r="AI296" i="93"/>
  <c r="AJ296" i="93"/>
  <c r="AK296" i="93"/>
  <c r="AL296" i="93"/>
  <c r="AM296" i="93"/>
  <c r="AN296" i="93"/>
  <c r="AO296" i="93"/>
  <c r="AP296" i="93"/>
  <c r="AQ296" i="93"/>
  <c r="AR296" i="93"/>
  <c r="AS296" i="93"/>
  <c r="AT296" i="93"/>
  <c r="AU296" i="93"/>
  <c r="AV296" i="93"/>
  <c r="AW296" i="93"/>
  <c r="AX296" i="93"/>
  <c r="AY296" i="93"/>
  <c r="AZ296" i="93"/>
  <c r="BA296" i="93"/>
  <c r="BB296" i="93"/>
  <c r="BC296" i="93"/>
  <c r="BD296" i="93"/>
  <c r="BE296" i="93"/>
  <c r="BF296" i="93"/>
  <c r="BG296" i="93"/>
  <c r="BH296" i="93"/>
  <c r="BI296" i="93"/>
  <c r="BJ296" i="93"/>
  <c r="BK296" i="93"/>
  <c r="BL296" i="93"/>
  <c r="BM296" i="93"/>
  <c r="BN296" i="93"/>
  <c r="BO296" i="93"/>
  <c r="BP296" i="93"/>
  <c r="BQ296" i="93"/>
  <c r="BR296" i="93"/>
  <c r="BS296" i="93"/>
  <c r="BT296" i="93"/>
  <c r="BU296" i="93"/>
  <c r="BV296" i="93"/>
  <c r="BW296" i="93"/>
  <c r="BX296" i="93"/>
  <c r="BY296" i="93"/>
  <c r="BZ296" i="93"/>
  <c r="CA296" i="93"/>
  <c r="CB296" i="93"/>
  <c r="CC296" i="93"/>
  <c r="CD296" i="93"/>
  <c r="CE296" i="93"/>
  <c r="CF296" i="93"/>
  <c r="CG296" i="93"/>
  <c r="CH296" i="93"/>
  <c r="CI296" i="93"/>
  <c r="CJ296" i="93"/>
  <c r="CK296" i="93"/>
  <c r="CL296" i="93"/>
  <c r="CM296" i="93"/>
  <c r="CN296" i="93"/>
  <c r="CO296" i="93"/>
  <c r="CP296" i="93"/>
  <c r="CQ296" i="93"/>
  <c r="CR296" i="93"/>
  <c r="CS296" i="93"/>
  <c r="CT296" i="93"/>
  <c r="CU296" i="93"/>
  <c r="CV296" i="93"/>
  <c r="CW296" i="93"/>
  <c r="J297" i="93"/>
  <c r="K297" i="93"/>
  <c r="L297" i="93"/>
  <c r="M297" i="93"/>
  <c r="N297" i="93"/>
  <c r="O297" i="93"/>
  <c r="P297" i="93"/>
  <c r="Q297" i="93"/>
  <c r="R297" i="93"/>
  <c r="S297" i="93"/>
  <c r="T297" i="93"/>
  <c r="U297" i="93"/>
  <c r="V297" i="93"/>
  <c r="W297" i="93"/>
  <c r="X297" i="93"/>
  <c r="Y297" i="93"/>
  <c r="Z297" i="93"/>
  <c r="AA297" i="93"/>
  <c r="AB297" i="93"/>
  <c r="AC297" i="93"/>
  <c r="AD297" i="93"/>
  <c r="AE297" i="93"/>
  <c r="AF297" i="93"/>
  <c r="AG297" i="93"/>
  <c r="AH297" i="93"/>
  <c r="AI297" i="93"/>
  <c r="AJ297" i="93"/>
  <c r="AK297" i="93"/>
  <c r="AL297" i="93"/>
  <c r="AM297" i="93"/>
  <c r="AN297" i="93"/>
  <c r="AO297" i="93"/>
  <c r="AP297" i="93"/>
  <c r="AQ297" i="93"/>
  <c r="AR297" i="93"/>
  <c r="AS297" i="93"/>
  <c r="AT297" i="93"/>
  <c r="AU297" i="93"/>
  <c r="AV297" i="93"/>
  <c r="AW297" i="93"/>
  <c r="AX297" i="93"/>
  <c r="AY297" i="93"/>
  <c r="AZ297" i="93"/>
  <c r="BA297" i="93"/>
  <c r="BB297" i="93"/>
  <c r="BC297" i="93"/>
  <c r="BD297" i="93"/>
  <c r="BE297" i="93"/>
  <c r="BF297" i="93"/>
  <c r="BG297" i="93"/>
  <c r="BH297" i="93"/>
  <c r="BI297" i="93"/>
  <c r="BJ297" i="93"/>
  <c r="BK297" i="93"/>
  <c r="BL297" i="93"/>
  <c r="BM297" i="93"/>
  <c r="BN297" i="93"/>
  <c r="BO297" i="93"/>
  <c r="BP297" i="93"/>
  <c r="BQ297" i="93"/>
  <c r="BR297" i="93"/>
  <c r="BS297" i="93"/>
  <c r="BT297" i="93"/>
  <c r="BU297" i="93"/>
  <c r="BV297" i="93"/>
  <c r="BW297" i="93"/>
  <c r="BX297" i="93"/>
  <c r="BY297" i="93"/>
  <c r="BZ297" i="93"/>
  <c r="CA297" i="93"/>
  <c r="CB297" i="93"/>
  <c r="CC297" i="93"/>
  <c r="CD297" i="93"/>
  <c r="CE297" i="93"/>
  <c r="CF297" i="93"/>
  <c r="CG297" i="93"/>
  <c r="CH297" i="93"/>
  <c r="CI297" i="93"/>
  <c r="CJ297" i="93"/>
  <c r="CK297" i="93"/>
  <c r="CL297" i="93"/>
  <c r="CM297" i="93"/>
  <c r="CN297" i="93"/>
  <c r="CO297" i="93"/>
  <c r="CP297" i="93"/>
  <c r="CQ297" i="93"/>
  <c r="CR297" i="93"/>
  <c r="CS297" i="93"/>
  <c r="CT297" i="93"/>
  <c r="CU297" i="93"/>
  <c r="CV297" i="93"/>
  <c r="CW297" i="93"/>
  <c r="J298" i="93"/>
  <c r="K298" i="93"/>
  <c r="L298" i="93"/>
  <c r="M298" i="93"/>
  <c r="N298" i="93"/>
  <c r="O298" i="93"/>
  <c r="P298" i="93"/>
  <c r="Q298" i="93"/>
  <c r="R298" i="93"/>
  <c r="S298" i="93"/>
  <c r="T298" i="93"/>
  <c r="U298" i="93"/>
  <c r="V298" i="93"/>
  <c r="W298" i="93"/>
  <c r="X298" i="93"/>
  <c r="Y298" i="93"/>
  <c r="Z298" i="93"/>
  <c r="AA298" i="93"/>
  <c r="AB298" i="93"/>
  <c r="AC298" i="93"/>
  <c r="AD298" i="93"/>
  <c r="AE298" i="93"/>
  <c r="AF298" i="93"/>
  <c r="AG298" i="93"/>
  <c r="AH298" i="93"/>
  <c r="AI298" i="93"/>
  <c r="AJ298" i="93"/>
  <c r="AK298" i="93"/>
  <c r="AL298" i="93"/>
  <c r="AM298" i="93"/>
  <c r="AN298" i="93"/>
  <c r="AO298" i="93"/>
  <c r="AP298" i="93"/>
  <c r="AQ298" i="93"/>
  <c r="AR298" i="93"/>
  <c r="AS298" i="93"/>
  <c r="AT298" i="93"/>
  <c r="AU298" i="93"/>
  <c r="AV298" i="93"/>
  <c r="AW298" i="93"/>
  <c r="AX298" i="93"/>
  <c r="AY298" i="93"/>
  <c r="AZ298" i="93"/>
  <c r="BA298" i="93"/>
  <c r="BB298" i="93"/>
  <c r="BC298" i="93"/>
  <c r="BD298" i="93"/>
  <c r="BE298" i="93"/>
  <c r="BF298" i="93"/>
  <c r="BG298" i="93"/>
  <c r="BH298" i="93"/>
  <c r="BI298" i="93"/>
  <c r="BJ298" i="93"/>
  <c r="BK298" i="93"/>
  <c r="BL298" i="93"/>
  <c r="BM298" i="93"/>
  <c r="BN298" i="93"/>
  <c r="BO298" i="93"/>
  <c r="BP298" i="93"/>
  <c r="BQ298" i="93"/>
  <c r="BR298" i="93"/>
  <c r="BS298" i="93"/>
  <c r="BT298" i="93"/>
  <c r="BU298" i="93"/>
  <c r="BV298" i="93"/>
  <c r="BW298" i="93"/>
  <c r="BX298" i="93"/>
  <c r="BY298" i="93"/>
  <c r="BZ298" i="93"/>
  <c r="CA298" i="93"/>
  <c r="CB298" i="93"/>
  <c r="CC298" i="93"/>
  <c r="CD298" i="93"/>
  <c r="CE298" i="93"/>
  <c r="CF298" i="93"/>
  <c r="CG298" i="93"/>
  <c r="CH298" i="93"/>
  <c r="CI298" i="93"/>
  <c r="CJ298" i="93"/>
  <c r="CK298" i="93"/>
  <c r="CL298" i="93"/>
  <c r="CM298" i="93"/>
  <c r="CN298" i="93"/>
  <c r="CO298" i="93"/>
  <c r="CP298" i="93"/>
  <c r="CQ298" i="93"/>
  <c r="CR298" i="93"/>
  <c r="CS298" i="93"/>
  <c r="CT298" i="93"/>
  <c r="CU298" i="93"/>
  <c r="CV298" i="93"/>
  <c r="CW298" i="93"/>
  <c r="J299" i="93"/>
  <c r="K299" i="93"/>
  <c r="L299" i="93"/>
  <c r="M299" i="93"/>
  <c r="N299" i="93"/>
  <c r="O299" i="93"/>
  <c r="P299" i="93"/>
  <c r="Q299" i="93"/>
  <c r="R299" i="93"/>
  <c r="S299" i="93"/>
  <c r="T299" i="93"/>
  <c r="U299" i="93"/>
  <c r="V299" i="93"/>
  <c r="W299" i="93"/>
  <c r="X299" i="93"/>
  <c r="Y299" i="93"/>
  <c r="Z299" i="93"/>
  <c r="AA299" i="93"/>
  <c r="AB299" i="93"/>
  <c r="AC299" i="93"/>
  <c r="AD299" i="93"/>
  <c r="AE299" i="93"/>
  <c r="AF299" i="93"/>
  <c r="AG299" i="93"/>
  <c r="AH299" i="93"/>
  <c r="AI299" i="93"/>
  <c r="AJ299" i="93"/>
  <c r="AK299" i="93"/>
  <c r="AL299" i="93"/>
  <c r="AM299" i="93"/>
  <c r="AN299" i="93"/>
  <c r="AO299" i="93"/>
  <c r="AP299" i="93"/>
  <c r="AQ299" i="93"/>
  <c r="AR299" i="93"/>
  <c r="AS299" i="93"/>
  <c r="AT299" i="93"/>
  <c r="AU299" i="93"/>
  <c r="AV299" i="93"/>
  <c r="AW299" i="93"/>
  <c r="AX299" i="93"/>
  <c r="AY299" i="93"/>
  <c r="AZ299" i="93"/>
  <c r="BA299" i="93"/>
  <c r="BB299" i="93"/>
  <c r="BC299" i="93"/>
  <c r="BD299" i="93"/>
  <c r="BE299" i="93"/>
  <c r="BF299" i="93"/>
  <c r="BG299" i="93"/>
  <c r="BH299" i="93"/>
  <c r="BI299" i="93"/>
  <c r="BJ299" i="93"/>
  <c r="BK299" i="93"/>
  <c r="BL299" i="93"/>
  <c r="BM299" i="93"/>
  <c r="BN299" i="93"/>
  <c r="BO299" i="93"/>
  <c r="BP299" i="93"/>
  <c r="BQ299" i="93"/>
  <c r="BR299" i="93"/>
  <c r="BS299" i="93"/>
  <c r="BT299" i="93"/>
  <c r="BU299" i="93"/>
  <c r="BV299" i="93"/>
  <c r="BW299" i="93"/>
  <c r="BX299" i="93"/>
  <c r="BY299" i="93"/>
  <c r="BZ299" i="93"/>
  <c r="CA299" i="93"/>
  <c r="CB299" i="93"/>
  <c r="CC299" i="93"/>
  <c r="CD299" i="93"/>
  <c r="CE299" i="93"/>
  <c r="CF299" i="93"/>
  <c r="CG299" i="93"/>
  <c r="CH299" i="93"/>
  <c r="CI299" i="93"/>
  <c r="CJ299" i="93"/>
  <c r="CK299" i="93"/>
  <c r="CL299" i="93"/>
  <c r="CM299" i="93"/>
  <c r="CN299" i="93"/>
  <c r="CO299" i="93"/>
  <c r="CP299" i="93"/>
  <c r="CQ299" i="93"/>
  <c r="CR299" i="93"/>
  <c r="CS299" i="93"/>
  <c r="CT299" i="93"/>
  <c r="CU299" i="93"/>
  <c r="CV299" i="93"/>
  <c r="CW299" i="93"/>
  <c r="J300" i="93"/>
  <c r="K300" i="93"/>
  <c r="L300" i="93"/>
  <c r="M300" i="93"/>
  <c r="N300" i="93"/>
  <c r="O300" i="93"/>
  <c r="P300" i="93"/>
  <c r="Q300" i="93"/>
  <c r="R300" i="93"/>
  <c r="S300" i="93"/>
  <c r="T300" i="93"/>
  <c r="U300" i="93"/>
  <c r="V300" i="93"/>
  <c r="W300" i="93"/>
  <c r="X300" i="93"/>
  <c r="Y300" i="93"/>
  <c r="Z300" i="93"/>
  <c r="AA300" i="93"/>
  <c r="AB300" i="93"/>
  <c r="AC300" i="93"/>
  <c r="AD300" i="93"/>
  <c r="AE300" i="93"/>
  <c r="AF300" i="93"/>
  <c r="AG300" i="93"/>
  <c r="AH300" i="93"/>
  <c r="AI300" i="93"/>
  <c r="AJ300" i="93"/>
  <c r="AK300" i="93"/>
  <c r="AL300" i="93"/>
  <c r="AM300" i="93"/>
  <c r="AN300" i="93"/>
  <c r="AO300" i="93"/>
  <c r="AP300" i="93"/>
  <c r="AQ300" i="93"/>
  <c r="AR300" i="93"/>
  <c r="AS300" i="93"/>
  <c r="AT300" i="93"/>
  <c r="AU300" i="93"/>
  <c r="AV300" i="93"/>
  <c r="AW300" i="93"/>
  <c r="AX300" i="93"/>
  <c r="AY300" i="93"/>
  <c r="AZ300" i="93"/>
  <c r="BA300" i="93"/>
  <c r="BB300" i="93"/>
  <c r="BC300" i="93"/>
  <c r="BD300" i="93"/>
  <c r="BE300" i="93"/>
  <c r="BF300" i="93"/>
  <c r="BG300" i="93"/>
  <c r="BH300" i="93"/>
  <c r="BI300" i="93"/>
  <c r="BJ300" i="93"/>
  <c r="BK300" i="93"/>
  <c r="BL300" i="93"/>
  <c r="BM300" i="93"/>
  <c r="BN300" i="93"/>
  <c r="BO300" i="93"/>
  <c r="BP300" i="93"/>
  <c r="BQ300" i="93"/>
  <c r="BR300" i="93"/>
  <c r="BS300" i="93"/>
  <c r="BT300" i="93"/>
  <c r="BU300" i="93"/>
  <c r="BV300" i="93"/>
  <c r="BW300" i="93"/>
  <c r="BX300" i="93"/>
  <c r="BY300" i="93"/>
  <c r="BZ300" i="93"/>
  <c r="CA300" i="93"/>
  <c r="CB300" i="93"/>
  <c r="CC300" i="93"/>
  <c r="CD300" i="93"/>
  <c r="CE300" i="93"/>
  <c r="CF300" i="93"/>
  <c r="CG300" i="93"/>
  <c r="CH300" i="93"/>
  <c r="CI300" i="93"/>
  <c r="CJ300" i="93"/>
  <c r="CK300" i="93"/>
  <c r="CL300" i="93"/>
  <c r="CM300" i="93"/>
  <c r="CN300" i="93"/>
  <c r="CO300" i="93"/>
  <c r="CP300" i="93"/>
  <c r="CQ300" i="93"/>
  <c r="CR300" i="93"/>
  <c r="CS300" i="93"/>
  <c r="CT300" i="93"/>
  <c r="CU300" i="93"/>
  <c r="CV300" i="93"/>
  <c r="CW300" i="93"/>
  <c r="J301" i="93"/>
  <c r="K301" i="93"/>
  <c r="L301" i="93"/>
  <c r="M301" i="93"/>
  <c r="N301" i="93"/>
  <c r="O301" i="93"/>
  <c r="P301" i="93"/>
  <c r="Q301" i="93"/>
  <c r="R301" i="93"/>
  <c r="S301" i="93"/>
  <c r="T301" i="93"/>
  <c r="U301" i="93"/>
  <c r="V301" i="93"/>
  <c r="W301" i="93"/>
  <c r="X301" i="93"/>
  <c r="Y301" i="93"/>
  <c r="Z301" i="93"/>
  <c r="AA301" i="93"/>
  <c r="AB301" i="93"/>
  <c r="AC301" i="93"/>
  <c r="AD301" i="93"/>
  <c r="AE301" i="93"/>
  <c r="AF301" i="93"/>
  <c r="AG301" i="93"/>
  <c r="AH301" i="93"/>
  <c r="AI301" i="93"/>
  <c r="AJ301" i="93"/>
  <c r="AK301" i="93"/>
  <c r="AL301" i="93"/>
  <c r="AM301" i="93"/>
  <c r="AN301" i="93"/>
  <c r="AO301" i="93"/>
  <c r="AP301" i="93"/>
  <c r="AQ301" i="93"/>
  <c r="AR301" i="93"/>
  <c r="AS301" i="93"/>
  <c r="AT301" i="93"/>
  <c r="AU301" i="93"/>
  <c r="AV301" i="93"/>
  <c r="AW301" i="93"/>
  <c r="AX301" i="93"/>
  <c r="AY301" i="93"/>
  <c r="AZ301" i="93"/>
  <c r="BA301" i="93"/>
  <c r="BB301" i="93"/>
  <c r="BC301" i="93"/>
  <c r="BD301" i="93"/>
  <c r="BE301" i="93"/>
  <c r="BF301" i="93"/>
  <c r="BG301" i="93"/>
  <c r="BH301" i="93"/>
  <c r="BI301" i="93"/>
  <c r="BJ301" i="93"/>
  <c r="BK301" i="93"/>
  <c r="BL301" i="93"/>
  <c r="BM301" i="93"/>
  <c r="BN301" i="93"/>
  <c r="BO301" i="93"/>
  <c r="BP301" i="93"/>
  <c r="BQ301" i="93"/>
  <c r="BR301" i="93"/>
  <c r="BS301" i="93"/>
  <c r="BT301" i="93"/>
  <c r="BU301" i="93"/>
  <c r="BV301" i="93"/>
  <c r="BW301" i="93"/>
  <c r="BX301" i="93"/>
  <c r="BY301" i="93"/>
  <c r="BZ301" i="93"/>
  <c r="CA301" i="93"/>
  <c r="CB301" i="93"/>
  <c r="CC301" i="93"/>
  <c r="CD301" i="93"/>
  <c r="CE301" i="93"/>
  <c r="CF301" i="93"/>
  <c r="CG301" i="93"/>
  <c r="CH301" i="93"/>
  <c r="CI301" i="93"/>
  <c r="CJ301" i="93"/>
  <c r="CK301" i="93"/>
  <c r="CL301" i="93"/>
  <c r="CM301" i="93"/>
  <c r="CN301" i="93"/>
  <c r="CO301" i="93"/>
  <c r="CP301" i="93"/>
  <c r="CQ301" i="93"/>
  <c r="CR301" i="93"/>
  <c r="CS301" i="93"/>
  <c r="CT301" i="93"/>
  <c r="CU301" i="93"/>
  <c r="CV301" i="93"/>
  <c r="CW301" i="93"/>
  <c r="J302" i="93"/>
  <c r="K302" i="93"/>
  <c r="L302" i="93"/>
  <c r="M302" i="93"/>
  <c r="N302" i="93"/>
  <c r="O302" i="93"/>
  <c r="P302" i="93"/>
  <c r="Q302" i="93"/>
  <c r="R302" i="93"/>
  <c r="S302" i="93"/>
  <c r="T302" i="93"/>
  <c r="U302" i="93"/>
  <c r="V302" i="93"/>
  <c r="W302" i="93"/>
  <c r="X302" i="93"/>
  <c r="Y302" i="93"/>
  <c r="Z302" i="93"/>
  <c r="AA302" i="93"/>
  <c r="AB302" i="93"/>
  <c r="AC302" i="93"/>
  <c r="AD302" i="93"/>
  <c r="AE302" i="93"/>
  <c r="AF302" i="93"/>
  <c r="AG302" i="93"/>
  <c r="AH302" i="93"/>
  <c r="AI302" i="93"/>
  <c r="AJ302" i="93"/>
  <c r="AK302" i="93"/>
  <c r="AL302" i="93"/>
  <c r="AM302" i="93"/>
  <c r="AN302" i="93"/>
  <c r="AO302" i="93"/>
  <c r="AP302" i="93"/>
  <c r="AQ302" i="93"/>
  <c r="AR302" i="93"/>
  <c r="AS302" i="93"/>
  <c r="AT302" i="93"/>
  <c r="AU302" i="93"/>
  <c r="AV302" i="93"/>
  <c r="AW302" i="93"/>
  <c r="AX302" i="93"/>
  <c r="AY302" i="93"/>
  <c r="AZ302" i="93"/>
  <c r="BA302" i="93"/>
  <c r="BB302" i="93"/>
  <c r="BC302" i="93"/>
  <c r="BD302" i="93"/>
  <c r="BE302" i="93"/>
  <c r="BF302" i="93"/>
  <c r="BG302" i="93"/>
  <c r="BH302" i="93"/>
  <c r="BI302" i="93"/>
  <c r="BJ302" i="93"/>
  <c r="BK302" i="93"/>
  <c r="BL302" i="93"/>
  <c r="BM302" i="93"/>
  <c r="BN302" i="93"/>
  <c r="BO302" i="93"/>
  <c r="BP302" i="93"/>
  <c r="BQ302" i="93"/>
  <c r="BR302" i="93"/>
  <c r="BS302" i="93"/>
  <c r="BT302" i="93"/>
  <c r="BU302" i="93"/>
  <c r="BV302" i="93"/>
  <c r="BW302" i="93"/>
  <c r="BX302" i="93"/>
  <c r="BY302" i="93"/>
  <c r="BZ302" i="93"/>
  <c r="CA302" i="93"/>
  <c r="CB302" i="93"/>
  <c r="CC302" i="93"/>
  <c r="CD302" i="93"/>
  <c r="CE302" i="93"/>
  <c r="CF302" i="93"/>
  <c r="CG302" i="93"/>
  <c r="CH302" i="93"/>
  <c r="CI302" i="93"/>
  <c r="CJ302" i="93"/>
  <c r="CK302" i="93"/>
  <c r="CL302" i="93"/>
  <c r="CM302" i="93"/>
  <c r="CN302" i="93"/>
  <c r="CO302" i="93"/>
  <c r="CP302" i="93"/>
  <c r="CQ302" i="93"/>
  <c r="CR302" i="93"/>
  <c r="CS302" i="93"/>
  <c r="CT302" i="93"/>
  <c r="CU302" i="93"/>
  <c r="CV302" i="93"/>
  <c r="CW302" i="93"/>
  <c r="J303" i="93"/>
  <c r="K303" i="93"/>
  <c r="L303" i="93"/>
  <c r="M303" i="93"/>
  <c r="N303" i="93"/>
  <c r="O303" i="93"/>
  <c r="P303" i="93"/>
  <c r="Q303" i="93"/>
  <c r="R303" i="93"/>
  <c r="S303" i="93"/>
  <c r="T303" i="93"/>
  <c r="U303" i="93"/>
  <c r="V303" i="93"/>
  <c r="W303" i="93"/>
  <c r="X303" i="93"/>
  <c r="Y303" i="93"/>
  <c r="Z303" i="93"/>
  <c r="AA303" i="93"/>
  <c r="AB303" i="93"/>
  <c r="AC303" i="93"/>
  <c r="AD303" i="93"/>
  <c r="AE303" i="93"/>
  <c r="AF303" i="93"/>
  <c r="AG303" i="93"/>
  <c r="AH303" i="93"/>
  <c r="AI303" i="93"/>
  <c r="AJ303" i="93"/>
  <c r="AK303" i="93"/>
  <c r="AL303" i="93"/>
  <c r="AM303" i="93"/>
  <c r="AN303" i="93"/>
  <c r="AO303" i="93"/>
  <c r="AP303" i="93"/>
  <c r="AQ303" i="93"/>
  <c r="AR303" i="93"/>
  <c r="AS303" i="93"/>
  <c r="AT303" i="93"/>
  <c r="AU303" i="93"/>
  <c r="AV303" i="93"/>
  <c r="AW303" i="93"/>
  <c r="AX303" i="93"/>
  <c r="AY303" i="93"/>
  <c r="AZ303" i="93"/>
  <c r="BA303" i="93"/>
  <c r="BB303" i="93"/>
  <c r="BC303" i="93"/>
  <c r="BD303" i="93"/>
  <c r="BE303" i="93"/>
  <c r="BF303" i="93"/>
  <c r="BG303" i="93"/>
  <c r="BH303" i="93"/>
  <c r="BI303" i="93"/>
  <c r="BJ303" i="93"/>
  <c r="BK303" i="93"/>
  <c r="BL303" i="93"/>
  <c r="BM303" i="93"/>
  <c r="BN303" i="93"/>
  <c r="BO303" i="93"/>
  <c r="BP303" i="93"/>
  <c r="BQ303" i="93"/>
  <c r="BR303" i="93"/>
  <c r="BS303" i="93"/>
  <c r="BT303" i="93"/>
  <c r="BU303" i="93"/>
  <c r="BV303" i="93"/>
  <c r="BW303" i="93"/>
  <c r="BX303" i="93"/>
  <c r="BY303" i="93"/>
  <c r="BZ303" i="93"/>
  <c r="CA303" i="93"/>
  <c r="CB303" i="93"/>
  <c r="CC303" i="93"/>
  <c r="CD303" i="93"/>
  <c r="CE303" i="93"/>
  <c r="CF303" i="93"/>
  <c r="CG303" i="93"/>
  <c r="CH303" i="93"/>
  <c r="CI303" i="93"/>
  <c r="CJ303" i="93"/>
  <c r="CK303" i="93"/>
  <c r="CL303" i="93"/>
  <c r="CM303" i="93"/>
  <c r="CN303" i="93"/>
  <c r="CO303" i="93"/>
  <c r="CP303" i="93"/>
  <c r="CQ303" i="93"/>
  <c r="CR303" i="93"/>
  <c r="CS303" i="93"/>
  <c r="CT303" i="93"/>
  <c r="CU303" i="93"/>
  <c r="CV303" i="93"/>
  <c r="CW303" i="93"/>
  <c r="J304" i="93"/>
  <c r="K304" i="93"/>
  <c r="L304" i="93"/>
  <c r="M304" i="93"/>
  <c r="N304" i="93"/>
  <c r="O304" i="93"/>
  <c r="P304" i="93"/>
  <c r="Q304" i="93"/>
  <c r="R304" i="93"/>
  <c r="S304" i="93"/>
  <c r="T304" i="93"/>
  <c r="U304" i="93"/>
  <c r="V304" i="93"/>
  <c r="W304" i="93"/>
  <c r="X304" i="93"/>
  <c r="Y304" i="93"/>
  <c r="Z304" i="93"/>
  <c r="AA304" i="93"/>
  <c r="AB304" i="93"/>
  <c r="AC304" i="93"/>
  <c r="AD304" i="93"/>
  <c r="AE304" i="93"/>
  <c r="AF304" i="93"/>
  <c r="AG304" i="93"/>
  <c r="AH304" i="93"/>
  <c r="AI304" i="93"/>
  <c r="AJ304" i="93"/>
  <c r="AK304" i="93"/>
  <c r="AL304" i="93"/>
  <c r="AM304" i="93"/>
  <c r="AN304" i="93"/>
  <c r="AO304" i="93"/>
  <c r="AP304" i="93"/>
  <c r="AQ304" i="93"/>
  <c r="AR304" i="93"/>
  <c r="AS304" i="93"/>
  <c r="AT304" i="93"/>
  <c r="AU304" i="93"/>
  <c r="AV304" i="93"/>
  <c r="AW304" i="93"/>
  <c r="AX304" i="93"/>
  <c r="AY304" i="93"/>
  <c r="AZ304" i="93"/>
  <c r="BA304" i="93"/>
  <c r="BB304" i="93"/>
  <c r="BC304" i="93"/>
  <c r="BD304" i="93"/>
  <c r="BE304" i="93"/>
  <c r="BF304" i="93"/>
  <c r="BG304" i="93"/>
  <c r="BH304" i="93"/>
  <c r="BI304" i="93"/>
  <c r="BJ304" i="93"/>
  <c r="BK304" i="93"/>
  <c r="BL304" i="93"/>
  <c r="BM304" i="93"/>
  <c r="BN304" i="93"/>
  <c r="BO304" i="93"/>
  <c r="BP304" i="93"/>
  <c r="BQ304" i="93"/>
  <c r="BR304" i="93"/>
  <c r="BS304" i="93"/>
  <c r="BT304" i="93"/>
  <c r="BU304" i="93"/>
  <c r="BV304" i="93"/>
  <c r="BW304" i="93"/>
  <c r="BX304" i="93"/>
  <c r="BY304" i="93"/>
  <c r="BZ304" i="93"/>
  <c r="CA304" i="93"/>
  <c r="CB304" i="93"/>
  <c r="CC304" i="93"/>
  <c r="CD304" i="93"/>
  <c r="CE304" i="93"/>
  <c r="CF304" i="93"/>
  <c r="CG304" i="93"/>
  <c r="CH304" i="93"/>
  <c r="CI304" i="93"/>
  <c r="CJ304" i="93"/>
  <c r="CK304" i="93"/>
  <c r="CL304" i="93"/>
  <c r="CM304" i="93"/>
  <c r="CN304" i="93"/>
  <c r="CO304" i="93"/>
  <c r="CP304" i="93"/>
  <c r="CQ304" i="93"/>
  <c r="CR304" i="93"/>
  <c r="CS304" i="93"/>
  <c r="CT304" i="93"/>
  <c r="CU304" i="93"/>
  <c r="CV304" i="93"/>
  <c r="CW304" i="93"/>
  <c r="J305" i="93"/>
  <c r="K305" i="93"/>
  <c r="L305" i="93"/>
  <c r="M305" i="93"/>
  <c r="N305" i="93"/>
  <c r="O305" i="93"/>
  <c r="P305" i="93"/>
  <c r="Q305" i="93"/>
  <c r="R305" i="93"/>
  <c r="S305" i="93"/>
  <c r="T305" i="93"/>
  <c r="U305" i="93"/>
  <c r="V305" i="93"/>
  <c r="W305" i="93"/>
  <c r="X305" i="93"/>
  <c r="Y305" i="93"/>
  <c r="Z305" i="93"/>
  <c r="AA305" i="93"/>
  <c r="AB305" i="93"/>
  <c r="AC305" i="93"/>
  <c r="AD305" i="93"/>
  <c r="AE305" i="93"/>
  <c r="AF305" i="93"/>
  <c r="AG305" i="93"/>
  <c r="AH305" i="93"/>
  <c r="AI305" i="93"/>
  <c r="AJ305" i="93"/>
  <c r="AK305" i="93"/>
  <c r="AL305" i="93"/>
  <c r="AM305" i="93"/>
  <c r="AN305" i="93"/>
  <c r="AO305" i="93"/>
  <c r="AP305" i="93"/>
  <c r="AQ305" i="93"/>
  <c r="AR305" i="93"/>
  <c r="AS305" i="93"/>
  <c r="AT305" i="93"/>
  <c r="AU305" i="93"/>
  <c r="AV305" i="93"/>
  <c r="AW305" i="93"/>
  <c r="AX305" i="93"/>
  <c r="AY305" i="93"/>
  <c r="AZ305" i="93"/>
  <c r="BA305" i="93"/>
  <c r="BB305" i="93"/>
  <c r="BC305" i="93"/>
  <c r="BD305" i="93"/>
  <c r="BE305" i="93"/>
  <c r="BF305" i="93"/>
  <c r="BG305" i="93"/>
  <c r="BH305" i="93"/>
  <c r="BI305" i="93"/>
  <c r="BJ305" i="93"/>
  <c r="BK305" i="93"/>
  <c r="BL305" i="93"/>
  <c r="BM305" i="93"/>
  <c r="BN305" i="93"/>
  <c r="BO305" i="93"/>
  <c r="BP305" i="93"/>
  <c r="BQ305" i="93"/>
  <c r="BR305" i="93"/>
  <c r="BS305" i="93"/>
  <c r="BT305" i="93"/>
  <c r="BU305" i="93"/>
  <c r="BV305" i="93"/>
  <c r="BW305" i="93"/>
  <c r="BX305" i="93"/>
  <c r="BY305" i="93"/>
  <c r="BZ305" i="93"/>
  <c r="CA305" i="93"/>
  <c r="CB305" i="93"/>
  <c r="CC305" i="93"/>
  <c r="CD305" i="93"/>
  <c r="CE305" i="93"/>
  <c r="CF305" i="93"/>
  <c r="CG305" i="93"/>
  <c r="CH305" i="93"/>
  <c r="CI305" i="93"/>
  <c r="CJ305" i="93"/>
  <c r="CK305" i="93"/>
  <c r="CL305" i="93"/>
  <c r="CM305" i="93"/>
  <c r="CN305" i="93"/>
  <c r="CO305" i="93"/>
  <c r="CP305" i="93"/>
  <c r="CQ305" i="93"/>
  <c r="CR305" i="93"/>
  <c r="CS305" i="93"/>
  <c r="CT305" i="93"/>
  <c r="CU305" i="93"/>
  <c r="CV305" i="93"/>
  <c r="CW305" i="93"/>
  <c r="J306" i="93"/>
  <c r="K306" i="93"/>
  <c r="L306" i="93"/>
  <c r="M306" i="93"/>
  <c r="N306" i="93"/>
  <c r="O306" i="93"/>
  <c r="P306" i="93"/>
  <c r="Q306" i="93"/>
  <c r="R306" i="93"/>
  <c r="S306" i="93"/>
  <c r="T306" i="93"/>
  <c r="U306" i="93"/>
  <c r="V306" i="93"/>
  <c r="W306" i="93"/>
  <c r="X306" i="93"/>
  <c r="Y306" i="93"/>
  <c r="Z306" i="93"/>
  <c r="AA306" i="93"/>
  <c r="AB306" i="93"/>
  <c r="AC306" i="93"/>
  <c r="AD306" i="93"/>
  <c r="AE306" i="93"/>
  <c r="AF306" i="93"/>
  <c r="AG306" i="93"/>
  <c r="AH306" i="93"/>
  <c r="AI306" i="93"/>
  <c r="AJ306" i="93"/>
  <c r="AK306" i="93"/>
  <c r="AL306" i="93"/>
  <c r="AM306" i="93"/>
  <c r="AN306" i="93"/>
  <c r="AO306" i="93"/>
  <c r="AP306" i="93"/>
  <c r="AQ306" i="93"/>
  <c r="AR306" i="93"/>
  <c r="AS306" i="93"/>
  <c r="AT306" i="93"/>
  <c r="AU306" i="93"/>
  <c r="AV306" i="93"/>
  <c r="AW306" i="93"/>
  <c r="AX306" i="93"/>
  <c r="AY306" i="93"/>
  <c r="AZ306" i="93"/>
  <c r="BA306" i="93"/>
  <c r="BB306" i="93"/>
  <c r="BC306" i="93"/>
  <c r="BD306" i="93"/>
  <c r="BE306" i="93"/>
  <c r="BF306" i="93"/>
  <c r="BG306" i="93"/>
  <c r="BH306" i="93"/>
  <c r="BI306" i="93"/>
  <c r="BJ306" i="93"/>
  <c r="BK306" i="93"/>
  <c r="BL306" i="93"/>
  <c r="BM306" i="93"/>
  <c r="BN306" i="93"/>
  <c r="BO306" i="93"/>
  <c r="BP306" i="93"/>
  <c r="BQ306" i="93"/>
  <c r="BR306" i="93"/>
  <c r="BS306" i="93"/>
  <c r="BT306" i="93"/>
  <c r="BU306" i="93"/>
  <c r="BV306" i="93"/>
  <c r="BW306" i="93"/>
  <c r="BX306" i="93"/>
  <c r="BY306" i="93"/>
  <c r="BZ306" i="93"/>
  <c r="CA306" i="93"/>
  <c r="CB306" i="93"/>
  <c r="CC306" i="93"/>
  <c r="CD306" i="93"/>
  <c r="CE306" i="93"/>
  <c r="CF306" i="93"/>
  <c r="CG306" i="93"/>
  <c r="CH306" i="93"/>
  <c r="CI306" i="93"/>
  <c r="CJ306" i="93"/>
  <c r="CK306" i="93"/>
  <c r="CL306" i="93"/>
  <c r="CM306" i="93"/>
  <c r="CN306" i="93"/>
  <c r="CO306" i="93"/>
  <c r="CP306" i="93"/>
  <c r="CQ306" i="93"/>
  <c r="CR306" i="93"/>
  <c r="CS306" i="93"/>
  <c r="CT306" i="93"/>
  <c r="CU306" i="93"/>
  <c r="CV306" i="93"/>
  <c r="CW306" i="93"/>
  <c r="J307" i="93"/>
  <c r="K307" i="93"/>
  <c r="L307" i="93"/>
  <c r="M307" i="93"/>
  <c r="N307" i="93"/>
  <c r="O307" i="93"/>
  <c r="P307" i="93"/>
  <c r="Q307" i="93"/>
  <c r="R307" i="93"/>
  <c r="S307" i="93"/>
  <c r="T307" i="93"/>
  <c r="U307" i="93"/>
  <c r="V307" i="93"/>
  <c r="W307" i="93"/>
  <c r="X307" i="93"/>
  <c r="Y307" i="93"/>
  <c r="Z307" i="93"/>
  <c r="AA307" i="93"/>
  <c r="AB307" i="93"/>
  <c r="AC307" i="93"/>
  <c r="AD307" i="93"/>
  <c r="AE307" i="93"/>
  <c r="AF307" i="93"/>
  <c r="AG307" i="93"/>
  <c r="AH307" i="93"/>
  <c r="AI307" i="93"/>
  <c r="AJ307" i="93"/>
  <c r="AK307" i="93"/>
  <c r="AL307" i="93"/>
  <c r="AM307" i="93"/>
  <c r="AN307" i="93"/>
  <c r="AO307" i="93"/>
  <c r="AP307" i="93"/>
  <c r="AQ307" i="93"/>
  <c r="AR307" i="93"/>
  <c r="AS307" i="93"/>
  <c r="AT307" i="93"/>
  <c r="AU307" i="93"/>
  <c r="AV307" i="93"/>
  <c r="AW307" i="93"/>
  <c r="AX307" i="93"/>
  <c r="AY307" i="93"/>
  <c r="AZ307" i="93"/>
  <c r="BA307" i="93"/>
  <c r="BB307" i="93"/>
  <c r="BC307" i="93"/>
  <c r="BD307" i="93"/>
  <c r="BE307" i="93"/>
  <c r="BF307" i="93"/>
  <c r="BG307" i="93"/>
  <c r="BH307" i="93"/>
  <c r="BI307" i="93"/>
  <c r="BJ307" i="93"/>
  <c r="BK307" i="93"/>
  <c r="BL307" i="93"/>
  <c r="BM307" i="93"/>
  <c r="BN307" i="93"/>
  <c r="BO307" i="93"/>
  <c r="BP307" i="93"/>
  <c r="BQ307" i="93"/>
  <c r="BR307" i="93"/>
  <c r="BS307" i="93"/>
  <c r="BT307" i="93"/>
  <c r="BU307" i="93"/>
  <c r="BV307" i="93"/>
  <c r="BW307" i="93"/>
  <c r="BX307" i="93"/>
  <c r="BY307" i="93"/>
  <c r="BZ307" i="93"/>
  <c r="CA307" i="93"/>
  <c r="CB307" i="93"/>
  <c r="CC307" i="93"/>
  <c r="CD307" i="93"/>
  <c r="CE307" i="93"/>
  <c r="CF307" i="93"/>
  <c r="CG307" i="93"/>
  <c r="CH307" i="93"/>
  <c r="CI307" i="93"/>
  <c r="CJ307" i="93"/>
  <c r="CK307" i="93"/>
  <c r="CL307" i="93"/>
  <c r="CM307" i="93"/>
  <c r="CN307" i="93"/>
  <c r="CO307" i="93"/>
  <c r="CP307" i="93"/>
  <c r="CQ307" i="93"/>
  <c r="CR307" i="93"/>
  <c r="CS307" i="93"/>
  <c r="CT307" i="93"/>
  <c r="CU307" i="93"/>
  <c r="CV307" i="93"/>
  <c r="CW307" i="93"/>
  <c r="J308" i="93"/>
  <c r="K308" i="93"/>
  <c r="L308" i="93"/>
  <c r="M308" i="93"/>
  <c r="N308" i="93"/>
  <c r="O308" i="93"/>
  <c r="P308" i="93"/>
  <c r="Q308" i="93"/>
  <c r="R308" i="93"/>
  <c r="S308" i="93"/>
  <c r="T308" i="93"/>
  <c r="U308" i="93"/>
  <c r="V308" i="93"/>
  <c r="W308" i="93"/>
  <c r="X308" i="93"/>
  <c r="Y308" i="93"/>
  <c r="Z308" i="93"/>
  <c r="AA308" i="93"/>
  <c r="AB308" i="93"/>
  <c r="AC308" i="93"/>
  <c r="AD308" i="93"/>
  <c r="AE308" i="93"/>
  <c r="AF308" i="93"/>
  <c r="AG308" i="93"/>
  <c r="AH308" i="93"/>
  <c r="AI308" i="93"/>
  <c r="AJ308" i="93"/>
  <c r="AK308" i="93"/>
  <c r="AL308" i="93"/>
  <c r="AM308" i="93"/>
  <c r="AN308" i="93"/>
  <c r="AO308" i="93"/>
  <c r="AP308" i="93"/>
  <c r="AQ308" i="93"/>
  <c r="AR308" i="93"/>
  <c r="AS308" i="93"/>
  <c r="AT308" i="93"/>
  <c r="AU308" i="93"/>
  <c r="AV308" i="93"/>
  <c r="AW308" i="93"/>
  <c r="AX308" i="93"/>
  <c r="AY308" i="93"/>
  <c r="AZ308" i="93"/>
  <c r="BA308" i="93"/>
  <c r="BB308" i="93"/>
  <c r="BC308" i="93"/>
  <c r="BD308" i="93"/>
  <c r="BE308" i="93"/>
  <c r="BF308" i="93"/>
  <c r="BG308" i="93"/>
  <c r="BH308" i="93"/>
  <c r="BI308" i="93"/>
  <c r="BJ308" i="93"/>
  <c r="BK308" i="93"/>
  <c r="BL308" i="93"/>
  <c r="BM308" i="93"/>
  <c r="BN308" i="93"/>
  <c r="BO308" i="93"/>
  <c r="BP308" i="93"/>
  <c r="BQ308" i="93"/>
  <c r="BR308" i="93"/>
  <c r="BS308" i="93"/>
  <c r="BT308" i="93"/>
  <c r="BU308" i="93"/>
  <c r="BV308" i="93"/>
  <c r="BW308" i="93"/>
  <c r="BX308" i="93"/>
  <c r="BY308" i="93"/>
  <c r="BZ308" i="93"/>
  <c r="CA308" i="93"/>
  <c r="CB308" i="93"/>
  <c r="CC308" i="93"/>
  <c r="CD308" i="93"/>
  <c r="CE308" i="93"/>
  <c r="CF308" i="93"/>
  <c r="CG308" i="93"/>
  <c r="CH308" i="93"/>
  <c r="CI308" i="93"/>
  <c r="CJ308" i="93"/>
  <c r="CK308" i="93"/>
  <c r="CL308" i="93"/>
  <c r="CM308" i="93"/>
  <c r="CN308" i="93"/>
  <c r="CO308" i="93"/>
  <c r="CP308" i="93"/>
  <c r="CQ308" i="93"/>
  <c r="CR308" i="93"/>
  <c r="CS308" i="93"/>
  <c r="CT308" i="93"/>
  <c r="CU308" i="93"/>
  <c r="CV308" i="93"/>
  <c r="CW308" i="93"/>
  <c r="J309" i="93"/>
  <c r="K309" i="93"/>
  <c r="L309" i="93"/>
  <c r="M309" i="93"/>
  <c r="N309" i="93"/>
  <c r="O309" i="93"/>
  <c r="P309" i="93"/>
  <c r="Q309" i="93"/>
  <c r="R309" i="93"/>
  <c r="S309" i="93"/>
  <c r="T309" i="93"/>
  <c r="U309" i="93"/>
  <c r="V309" i="93"/>
  <c r="W309" i="93"/>
  <c r="X309" i="93"/>
  <c r="Y309" i="93"/>
  <c r="Z309" i="93"/>
  <c r="AA309" i="93"/>
  <c r="AB309" i="93"/>
  <c r="AC309" i="93"/>
  <c r="AD309" i="93"/>
  <c r="AE309" i="93"/>
  <c r="AF309" i="93"/>
  <c r="AG309" i="93"/>
  <c r="AH309" i="93"/>
  <c r="AI309" i="93"/>
  <c r="AJ309" i="93"/>
  <c r="AK309" i="93"/>
  <c r="AL309" i="93"/>
  <c r="AM309" i="93"/>
  <c r="AN309" i="93"/>
  <c r="AO309" i="93"/>
  <c r="AP309" i="93"/>
  <c r="AQ309" i="93"/>
  <c r="AR309" i="93"/>
  <c r="AS309" i="93"/>
  <c r="AT309" i="93"/>
  <c r="AU309" i="93"/>
  <c r="AV309" i="93"/>
  <c r="AW309" i="93"/>
  <c r="AX309" i="93"/>
  <c r="AY309" i="93"/>
  <c r="AZ309" i="93"/>
  <c r="BA309" i="93"/>
  <c r="BB309" i="93"/>
  <c r="BC309" i="93"/>
  <c r="BD309" i="93"/>
  <c r="BE309" i="93"/>
  <c r="BF309" i="93"/>
  <c r="BG309" i="93"/>
  <c r="BH309" i="93"/>
  <c r="BI309" i="93"/>
  <c r="BJ309" i="93"/>
  <c r="BK309" i="93"/>
  <c r="BL309" i="93"/>
  <c r="BM309" i="93"/>
  <c r="BN309" i="93"/>
  <c r="BO309" i="93"/>
  <c r="BP309" i="93"/>
  <c r="BQ309" i="93"/>
  <c r="BR309" i="93"/>
  <c r="BS309" i="93"/>
  <c r="BT309" i="93"/>
  <c r="BU309" i="93"/>
  <c r="BV309" i="93"/>
  <c r="BW309" i="93"/>
  <c r="BX309" i="93"/>
  <c r="BY309" i="93"/>
  <c r="BZ309" i="93"/>
  <c r="CA309" i="93"/>
  <c r="CB309" i="93"/>
  <c r="CC309" i="93"/>
  <c r="CD309" i="93"/>
  <c r="CE309" i="93"/>
  <c r="CF309" i="93"/>
  <c r="CG309" i="93"/>
  <c r="CH309" i="93"/>
  <c r="CI309" i="93"/>
  <c r="CJ309" i="93"/>
  <c r="CK309" i="93"/>
  <c r="CL309" i="93"/>
  <c r="CM309" i="93"/>
  <c r="CN309" i="93"/>
  <c r="CO309" i="93"/>
  <c r="CP309" i="93"/>
  <c r="CQ309" i="93"/>
  <c r="CR309" i="93"/>
  <c r="CS309" i="93"/>
  <c r="CT309" i="93"/>
  <c r="CU309" i="93"/>
  <c r="CV309" i="93"/>
  <c r="CW309" i="93"/>
  <c r="J310" i="93"/>
  <c r="K310" i="93"/>
  <c r="L310" i="93"/>
  <c r="M310" i="93"/>
  <c r="N310" i="93"/>
  <c r="O310" i="93"/>
  <c r="P310" i="93"/>
  <c r="Q310" i="93"/>
  <c r="R310" i="93"/>
  <c r="S310" i="93"/>
  <c r="T310" i="93"/>
  <c r="U310" i="93"/>
  <c r="V310" i="93"/>
  <c r="W310" i="93"/>
  <c r="X310" i="93"/>
  <c r="Y310" i="93"/>
  <c r="Z310" i="93"/>
  <c r="AA310" i="93"/>
  <c r="AB310" i="93"/>
  <c r="AC310" i="93"/>
  <c r="AD310" i="93"/>
  <c r="AE310" i="93"/>
  <c r="AF310" i="93"/>
  <c r="AG310" i="93"/>
  <c r="AH310" i="93"/>
  <c r="AI310" i="93"/>
  <c r="AJ310" i="93"/>
  <c r="AK310" i="93"/>
  <c r="AL310" i="93"/>
  <c r="AM310" i="93"/>
  <c r="AN310" i="93"/>
  <c r="AO310" i="93"/>
  <c r="AP310" i="93"/>
  <c r="AQ310" i="93"/>
  <c r="AR310" i="93"/>
  <c r="AS310" i="93"/>
  <c r="AT310" i="93"/>
  <c r="AU310" i="93"/>
  <c r="AV310" i="93"/>
  <c r="AW310" i="93"/>
  <c r="AX310" i="93"/>
  <c r="AY310" i="93"/>
  <c r="AZ310" i="93"/>
  <c r="BA310" i="93"/>
  <c r="BB310" i="93"/>
  <c r="BC310" i="93"/>
  <c r="BD310" i="93"/>
  <c r="BE310" i="93"/>
  <c r="BF310" i="93"/>
  <c r="BG310" i="93"/>
  <c r="BH310" i="93"/>
  <c r="BI310" i="93"/>
  <c r="BJ310" i="93"/>
  <c r="BK310" i="93"/>
  <c r="BL310" i="93"/>
  <c r="BM310" i="93"/>
  <c r="BN310" i="93"/>
  <c r="BO310" i="93"/>
  <c r="BP310" i="93"/>
  <c r="BQ310" i="93"/>
  <c r="BR310" i="93"/>
  <c r="BS310" i="93"/>
  <c r="BT310" i="93"/>
  <c r="BU310" i="93"/>
  <c r="BV310" i="93"/>
  <c r="BW310" i="93"/>
  <c r="BX310" i="93"/>
  <c r="BY310" i="93"/>
  <c r="BZ310" i="93"/>
  <c r="CA310" i="93"/>
  <c r="CB310" i="93"/>
  <c r="CC310" i="93"/>
  <c r="CD310" i="93"/>
  <c r="CE310" i="93"/>
  <c r="CF310" i="93"/>
  <c r="CG310" i="93"/>
  <c r="CH310" i="93"/>
  <c r="CI310" i="93"/>
  <c r="CJ310" i="93"/>
  <c r="CK310" i="93"/>
  <c r="CL310" i="93"/>
  <c r="CM310" i="93"/>
  <c r="CN310" i="93"/>
  <c r="CO310" i="93"/>
  <c r="CP310" i="93"/>
  <c r="CQ310" i="93"/>
  <c r="CR310" i="93"/>
  <c r="CS310" i="93"/>
  <c r="CT310" i="93"/>
  <c r="CU310" i="93"/>
  <c r="CV310" i="93"/>
  <c r="CW310" i="93"/>
  <c r="J311" i="93"/>
  <c r="K311" i="93"/>
  <c r="L311" i="93"/>
  <c r="M311" i="93"/>
  <c r="N311" i="93"/>
  <c r="O311" i="93"/>
  <c r="P311" i="93"/>
  <c r="Q311" i="93"/>
  <c r="R311" i="93"/>
  <c r="S311" i="93"/>
  <c r="T311" i="93"/>
  <c r="U311" i="93"/>
  <c r="V311" i="93"/>
  <c r="W311" i="93"/>
  <c r="X311" i="93"/>
  <c r="Y311" i="93"/>
  <c r="Z311" i="93"/>
  <c r="AA311" i="93"/>
  <c r="AB311" i="93"/>
  <c r="AC311" i="93"/>
  <c r="AD311" i="93"/>
  <c r="AE311" i="93"/>
  <c r="AF311" i="93"/>
  <c r="AG311" i="93"/>
  <c r="AH311" i="93"/>
  <c r="AI311" i="93"/>
  <c r="AJ311" i="93"/>
  <c r="AK311" i="93"/>
  <c r="AL311" i="93"/>
  <c r="AM311" i="93"/>
  <c r="AN311" i="93"/>
  <c r="AO311" i="93"/>
  <c r="AP311" i="93"/>
  <c r="AQ311" i="93"/>
  <c r="AR311" i="93"/>
  <c r="AS311" i="93"/>
  <c r="AT311" i="93"/>
  <c r="AU311" i="93"/>
  <c r="AV311" i="93"/>
  <c r="AW311" i="93"/>
  <c r="AX311" i="93"/>
  <c r="AY311" i="93"/>
  <c r="AZ311" i="93"/>
  <c r="BA311" i="93"/>
  <c r="BB311" i="93"/>
  <c r="BC311" i="93"/>
  <c r="BD311" i="93"/>
  <c r="BE311" i="93"/>
  <c r="BF311" i="93"/>
  <c r="BG311" i="93"/>
  <c r="BH311" i="93"/>
  <c r="BI311" i="93"/>
  <c r="BJ311" i="93"/>
  <c r="BK311" i="93"/>
  <c r="BL311" i="93"/>
  <c r="BM311" i="93"/>
  <c r="BN311" i="93"/>
  <c r="BO311" i="93"/>
  <c r="BP311" i="93"/>
  <c r="BQ311" i="93"/>
  <c r="BR311" i="93"/>
  <c r="BS311" i="93"/>
  <c r="BT311" i="93"/>
  <c r="BU311" i="93"/>
  <c r="BV311" i="93"/>
  <c r="BW311" i="93"/>
  <c r="BX311" i="93"/>
  <c r="BY311" i="93"/>
  <c r="BZ311" i="93"/>
  <c r="CA311" i="93"/>
  <c r="CB311" i="93"/>
  <c r="CC311" i="93"/>
  <c r="CD311" i="93"/>
  <c r="CE311" i="93"/>
  <c r="CF311" i="93"/>
  <c r="CG311" i="93"/>
  <c r="CH311" i="93"/>
  <c r="CI311" i="93"/>
  <c r="CJ311" i="93"/>
  <c r="CK311" i="93"/>
  <c r="CL311" i="93"/>
  <c r="CM311" i="93"/>
  <c r="CN311" i="93"/>
  <c r="CO311" i="93"/>
  <c r="CP311" i="93"/>
  <c r="CQ311" i="93"/>
  <c r="CR311" i="93"/>
  <c r="CS311" i="93"/>
  <c r="CT311" i="93"/>
  <c r="CU311" i="93"/>
  <c r="CV311" i="93"/>
  <c r="CW311" i="93"/>
  <c r="J312" i="93"/>
  <c r="K312" i="93"/>
  <c r="L312" i="93"/>
  <c r="M312" i="93"/>
  <c r="N312" i="93"/>
  <c r="O312" i="93"/>
  <c r="P312" i="93"/>
  <c r="Q312" i="93"/>
  <c r="R312" i="93"/>
  <c r="S312" i="93"/>
  <c r="T312" i="93"/>
  <c r="U312" i="93"/>
  <c r="V312" i="93"/>
  <c r="W312" i="93"/>
  <c r="X312" i="93"/>
  <c r="Y312" i="93"/>
  <c r="Z312" i="93"/>
  <c r="AA312" i="93"/>
  <c r="AB312" i="93"/>
  <c r="AC312" i="93"/>
  <c r="AD312" i="93"/>
  <c r="AE312" i="93"/>
  <c r="AF312" i="93"/>
  <c r="AG312" i="93"/>
  <c r="AH312" i="93"/>
  <c r="AI312" i="93"/>
  <c r="AJ312" i="93"/>
  <c r="AK312" i="93"/>
  <c r="AL312" i="93"/>
  <c r="AM312" i="93"/>
  <c r="AN312" i="93"/>
  <c r="AO312" i="93"/>
  <c r="AP312" i="93"/>
  <c r="AQ312" i="93"/>
  <c r="AR312" i="93"/>
  <c r="AS312" i="93"/>
  <c r="AT312" i="93"/>
  <c r="AU312" i="93"/>
  <c r="AV312" i="93"/>
  <c r="AW312" i="93"/>
  <c r="AX312" i="93"/>
  <c r="AY312" i="93"/>
  <c r="AZ312" i="93"/>
  <c r="BA312" i="93"/>
  <c r="BB312" i="93"/>
  <c r="BC312" i="93"/>
  <c r="BD312" i="93"/>
  <c r="BE312" i="93"/>
  <c r="BF312" i="93"/>
  <c r="BG312" i="93"/>
  <c r="BH312" i="93"/>
  <c r="BI312" i="93"/>
  <c r="BJ312" i="93"/>
  <c r="BK312" i="93"/>
  <c r="BL312" i="93"/>
  <c r="BM312" i="93"/>
  <c r="BN312" i="93"/>
  <c r="BO312" i="93"/>
  <c r="BP312" i="93"/>
  <c r="BQ312" i="93"/>
  <c r="BR312" i="93"/>
  <c r="BS312" i="93"/>
  <c r="BT312" i="93"/>
  <c r="BU312" i="93"/>
  <c r="BV312" i="93"/>
  <c r="BW312" i="93"/>
  <c r="BX312" i="93"/>
  <c r="BY312" i="93"/>
  <c r="BZ312" i="93"/>
  <c r="CA312" i="93"/>
  <c r="CB312" i="93"/>
  <c r="CC312" i="93"/>
  <c r="CD312" i="93"/>
  <c r="CE312" i="93"/>
  <c r="CF312" i="93"/>
  <c r="CG312" i="93"/>
  <c r="CH312" i="93"/>
  <c r="CI312" i="93"/>
  <c r="CJ312" i="93"/>
  <c r="CK312" i="93"/>
  <c r="CL312" i="93"/>
  <c r="CM312" i="93"/>
  <c r="CN312" i="93"/>
  <c r="CO312" i="93"/>
  <c r="CP312" i="93"/>
  <c r="CQ312" i="93"/>
  <c r="CR312" i="93"/>
  <c r="CS312" i="93"/>
  <c r="CT312" i="93"/>
  <c r="CU312" i="93"/>
  <c r="CV312" i="93"/>
  <c r="CW312" i="93"/>
  <c r="J313" i="93"/>
  <c r="K313" i="93"/>
  <c r="L313" i="93"/>
  <c r="M313" i="93"/>
  <c r="N313" i="93"/>
  <c r="O313" i="93"/>
  <c r="P313" i="93"/>
  <c r="Q313" i="93"/>
  <c r="R313" i="93"/>
  <c r="S313" i="93"/>
  <c r="T313" i="93"/>
  <c r="U313" i="93"/>
  <c r="V313" i="93"/>
  <c r="W313" i="93"/>
  <c r="X313" i="93"/>
  <c r="Y313" i="93"/>
  <c r="Z313" i="93"/>
  <c r="AA313" i="93"/>
  <c r="AB313" i="93"/>
  <c r="AC313" i="93"/>
  <c r="AD313" i="93"/>
  <c r="AE313" i="93"/>
  <c r="AF313" i="93"/>
  <c r="AG313" i="93"/>
  <c r="AH313" i="93"/>
  <c r="AI313" i="93"/>
  <c r="AJ313" i="93"/>
  <c r="AK313" i="93"/>
  <c r="AL313" i="93"/>
  <c r="AM313" i="93"/>
  <c r="AN313" i="93"/>
  <c r="AO313" i="93"/>
  <c r="AP313" i="93"/>
  <c r="AQ313" i="93"/>
  <c r="AR313" i="93"/>
  <c r="AS313" i="93"/>
  <c r="AT313" i="93"/>
  <c r="AU313" i="93"/>
  <c r="AV313" i="93"/>
  <c r="AW313" i="93"/>
  <c r="AX313" i="93"/>
  <c r="AY313" i="93"/>
  <c r="AZ313" i="93"/>
  <c r="BA313" i="93"/>
  <c r="BB313" i="93"/>
  <c r="BC313" i="93"/>
  <c r="BD313" i="93"/>
  <c r="BE313" i="93"/>
  <c r="BF313" i="93"/>
  <c r="BG313" i="93"/>
  <c r="BH313" i="93"/>
  <c r="BI313" i="93"/>
  <c r="BJ313" i="93"/>
  <c r="BK313" i="93"/>
  <c r="BL313" i="93"/>
  <c r="BM313" i="93"/>
  <c r="BN313" i="93"/>
  <c r="BO313" i="93"/>
  <c r="BP313" i="93"/>
  <c r="BQ313" i="93"/>
  <c r="BR313" i="93"/>
  <c r="BS313" i="93"/>
  <c r="BT313" i="93"/>
  <c r="BU313" i="93"/>
  <c r="BV313" i="93"/>
  <c r="BW313" i="93"/>
  <c r="BX313" i="93"/>
  <c r="BY313" i="93"/>
  <c r="BZ313" i="93"/>
  <c r="CA313" i="93"/>
  <c r="CB313" i="93"/>
  <c r="CC313" i="93"/>
  <c r="CD313" i="93"/>
  <c r="CE313" i="93"/>
  <c r="CF313" i="93"/>
  <c r="CG313" i="93"/>
  <c r="CH313" i="93"/>
  <c r="CI313" i="93"/>
  <c r="CJ313" i="93"/>
  <c r="CK313" i="93"/>
  <c r="CL313" i="93"/>
  <c r="CM313" i="93"/>
  <c r="CN313" i="93"/>
  <c r="CO313" i="93"/>
  <c r="CP313" i="93"/>
  <c r="CQ313" i="93"/>
  <c r="CR313" i="93"/>
  <c r="CS313" i="93"/>
  <c r="CT313" i="93"/>
  <c r="CU313" i="93"/>
  <c r="CV313" i="93"/>
  <c r="CW313" i="93"/>
  <c r="J314" i="93"/>
  <c r="K314" i="93"/>
  <c r="L314" i="93"/>
  <c r="M314" i="93"/>
  <c r="N314" i="93"/>
  <c r="O314" i="93"/>
  <c r="P314" i="93"/>
  <c r="Q314" i="93"/>
  <c r="R314" i="93"/>
  <c r="S314" i="93"/>
  <c r="T314" i="93"/>
  <c r="U314" i="93"/>
  <c r="V314" i="93"/>
  <c r="W314" i="93"/>
  <c r="X314" i="93"/>
  <c r="Y314" i="93"/>
  <c r="Z314" i="93"/>
  <c r="AA314" i="93"/>
  <c r="AB314" i="93"/>
  <c r="AC314" i="93"/>
  <c r="AD314" i="93"/>
  <c r="AE314" i="93"/>
  <c r="AF314" i="93"/>
  <c r="AG314" i="93"/>
  <c r="AH314" i="93"/>
  <c r="AI314" i="93"/>
  <c r="AJ314" i="93"/>
  <c r="AK314" i="93"/>
  <c r="AL314" i="93"/>
  <c r="AM314" i="93"/>
  <c r="AN314" i="93"/>
  <c r="AO314" i="93"/>
  <c r="AP314" i="93"/>
  <c r="AQ314" i="93"/>
  <c r="AR314" i="93"/>
  <c r="AS314" i="93"/>
  <c r="AT314" i="93"/>
  <c r="AU314" i="93"/>
  <c r="AV314" i="93"/>
  <c r="AW314" i="93"/>
  <c r="AX314" i="93"/>
  <c r="AY314" i="93"/>
  <c r="AZ314" i="93"/>
  <c r="BA314" i="93"/>
  <c r="BB314" i="93"/>
  <c r="BC314" i="93"/>
  <c r="BD314" i="93"/>
  <c r="BE314" i="93"/>
  <c r="BF314" i="93"/>
  <c r="BG314" i="93"/>
  <c r="BH314" i="93"/>
  <c r="BI314" i="93"/>
  <c r="BJ314" i="93"/>
  <c r="BK314" i="93"/>
  <c r="BL314" i="93"/>
  <c r="BM314" i="93"/>
  <c r="BN314" i="93"/>
  <c r="BO314" i="93"/>
  <c r="BP314" i="93"/>
  <c r="BQ314" i="93"/>
  <c r="BR314" i="93"/>
  <c r="BS314" i="93"/>
  <c r="BT314" i="93"/>
  <c r="BU314" i="93"/>
  <c r="BV314" i="93"/>
  <c r="BW314" i="93"/>
  <c r="BX314" i="93"/>
  <c r="BY314" i="93"/>
  <c r="BZ314" i="93"/>
  <c r="CA314" i="93"/>
  <c r="CB314" i="93"/>
  <c r="CC314" i="93"/>
  <c r="CD314" i="93"/>
  <c r="CE314" i="93"/>
  <c r="CF314" i="93"/>
  <c r="CG314" i="93"/>
  <c r="CH314" i="93"/>
  <c r="CI314" i="93"/>
  <c r="CJ314" i="93"/>
  <c r="CK314" i="93"/>
  <c r="CL314" i="93"/>
  <c r="CM314" i="93"/>
  <c r="CN314" i="93"/>
  <c r="CO314" i="93"/>
  <c r="CP314" i="93"/>
  <c r="CQ314" i="93"/>
  <c r="CR314" i="93"/>
  <c r="CS314" i="93"/>
  <c r="CT314" i="93"/>
  <c r="CU314" i="93"/>
  <c r="CV314" i="93"/>
  <c r="CW314" i="93"/>
  <c r="J315" i="93"/>
  <c r="K315" i="93"/>
  <c r="L315" i="93"/>
  <c r="M315" i="93"/>
  <c r="N315" i="93"/>
  <c r="O315" i="93"/>
  <c r="P315" i="93"/>
  <c r="Q315" i="93"/>
  <c r="R315" i="93"/>
  <c r="S315" i="93"/>
  <c r="T315" i="93"/>
  <c r="U315" i="93"/>
  <c r="V315" i="93"/>
  <c r="W315" i="93"/>
  <c r="X315" i="93"/>
  <c r="Y315" i="93"/>
  <c r="Z315" i="93"/>
  <c r="AA315" i="93"/>
  <c r="AB315" i="93"/>
  <c r="AC315" i="93"/>
  <c r="AD315" i="93"/>
  <c r="AE315" i="93"/>
  <c r="AF315" i="93"/>
  <c r="AG315" i="93"/>
  <c r="AH315" i="93"/>
  <c r="AI315" i="93"/>
  <c r="AJ315" i="93"/>
  <c r="AK315" i="93"/>
  <c r="AL315" i="93"/>
  <c r="AM315" i="93"/>
  <c r="AN315" i="93"/>
  <c r="AO315" i="93"/>
  <c r="AP315" i="93"/>
  <c r="AQ315" i="93"/>
  <c r="AR315" i="93"/>
  <c r="AS315" i="93"/>
  <c r="AT315" i="93"/>
  <c r="AU315" i="93"/>
  <c r="AV315" i="93"/>
  <c r="AW315" i="93"/>
  <c r="AX315" i="93"/>
  <c r="AY315" i="93"/>
  <c r="AZ315" i="93"/>
  <c r="BA315" i="93"/>
  <c r="BB315" i="93"/>
  <c r="BC315" i="93"/>
  <c r="BD315" i="93"/>
  <c r="BE315" i="93"/>
  <c r="BF315" i="93"/>
  <c r="BG315" i="93"/>
  <c r="BH315" i="93"/>
  <c r="BI315" i="93"/>
  <c r="BJ315" i="93"/>
  <c r="BK315" i="93"/>
  <c r="BL315" i="93"/>
  <c r="BM315" i="93"/>
  <c r="BN315" i="93"/>
  <c r="BO315" i="93"/>
  <c r="BP315" i="93"/>
  <c r="BQ315" i="93"/>
  <c r="BR315" i="93"/>
  <c r="BS315" i="93"/>
  <c r="BT315" i="93"/>
  <c r="BU315" i="93"/>
  <c r="BV315" i="93"/>
  <c r="BW315" i="93"/>
  <c r="BX315" i="93"/>
  <c r="BY315" i="93"/>
  <c r="BZ315" i="93"/>
  <c r="CA315" i="93"/>
  <c r="CB315" i="93"/>
  <c r="CC315" i="93"/>
  <c r="CD315" i="93"/>
  <c r="CE315" i="93"/>
  <c r="CF315" i="93"/>
  <c r="CG315" i="93"/>
  <c r="CH315" i="93"/>
  <c r="CI315" i="93"/>
  <c r="CJ315" i="93"/>
  <c r="CK315" i="93"/>
  <c r="CL315" i="93"/>
  <c r="CM315" i="93"/>
  <c r="CN315" i="93"/>
  <c r="CO315" i="93"/>
  <c r="CP315" i="93"/>
  <c r="CQ315" i="93"/>
  <c r="CR315" i="93"/>
  <c r="CS315" i="93"/>
  <c r="CT315" i="93"/>
  <c r="CU315" i="93"/>
  <c r="CV315" i="93"/>
  <c r="CW315" i="93"/>
  <c r="J316" i="93"/>
  <c r="K316" i="93"/>
  <c r="L316" i="93"/>
  <c r="M316" i="93"/>
  <c r="N316" i="93"/>
  <c r="O316" i="93"/>
  <c r="P316" i="93"/>
  <c r="Q316" i="93"/>
  <c r="R316" i="93"/>
  <c r="S316" i="93"/>
  <c r="T316" i="93"/>
  <c r="U316" i="93"/>
  <c r="V316" i="93"/>
  <c r="W316" i="93"/>
  <c r="X316" i="93"/>
  <c r="Y316" i="93"/>
  <c r="Z316" i="93"/>
  <c r="AA316" i="93"/>
  <c r="AB316" i="93"/>
  <c r="AC316" i="93"/>
  <c r="AD316" i="93"/>
  <c r="AE316" i="93"/>
  <c r="AF316" i="93"/>
  <c r="AG316" i="93"/>
  <c r="AH316" i="93"/>
  <c r="AI316" i="93"/>
  <c r="AJ316" i="93"/>
  <c r="AK316" i="93"/>
  <c r="AL316" i="93"/>
  <c r="AM316" i="93"/>
  <c r="AN316" i="93"/>
  <c r="AO316" i="93"/>
  <c r="AP316" i="93"/>
  <c r="AQ316" i="93"/>
  <c r="AR316" i="93"/>
  <c r="AS316" i="93"/>
  <c r="AT316" i="93"/>
  <c r="AU316" i="93"/>
  <c r="AV316" i="93"/>
  <c r="AW316" i="93"/>
  <c r="AX316" i="93"/>
  <c r="AY316" i="93"/>
  <c r="AZ316" i="93"/>
  <c r="BA316" i="93"/>
  <c r="BB316" i="93"/>
  <c r="BC316" i="93"/>
  <c r="BD316" i="93"/>
  <c r="BE316" i="93"/>
  <c r="BF316" i="93"/>
  <c r="BG316" i="93"/>
  <c r="BH316" i="93"/>
  <c r="BI316" i="93"/>
  <c r="BJ316" i="93"/>
  <c r="BK316" i="93"/>
  <c r="BL316" i="93"/>
  <c r="BM316" i="93"/>
  <c r="BN316" i="93"/>
  <c r="BO316" i="93"/>
  <c r="BP316" i="93"/>
  <c r="BQ316" i="93"/>
  <c r="BR316" i="93"/>
  <c r="BS316" i="93"/>
  <c r="BT316" i="93"/>
  <c r="BU316" i="93"/>
  <c r="BV316" i="93"/>
  <c r="BW316" i="93"/>
  <c r="BX316" i="93"/>
  <c r="BY316" i="93"/>
  <c r="BZ316" i="93"/>
  <c r="CA316" i="93"/>
  <c r="CB316" i="93"/>
  <c r="CC316" i="93"/>
  <c r="CD316" i="93"/>
  <c r="CE316" i="93"/>
  <c r="CF316" i="93"/>
  <c r="CG316" i="93"/>
  <c r="CH316" i="93"/>
  <c r="CI316" i="93"/>
  <c r="CJ316" i="93"/>
  <c r="CK316" i="93"/>
  <c r="CL316" i="93"/>
  <c r="CM316" i="93"/>
  <c r="CN316" i="93"/>
  <c r="CO316" i="93"/>
  <c r="CP316" i="93"/>
  <c r="CQ316" i="93"/>
  <c r="CR316" i="93"/>
  <c r="CS316" i="93"/>
  <c r="CT316" i="93"/>
  <c r="CU316" i="93"/>
  <c r="CV316" i="93"/>
  <c r="CW316" i="93"/>
  <c r="J317" i="93"/>
  <c r="K317" i="93"/>
  <c r="L317" i="93"/>
  <c r="M317" i="93"/>
  <c r="N317" i="93"/>
  <c r="O317" i="93"/>
  <c r="P317" i="93"/>
  <c r="Q317" i="93"/>
  <c r="R317" i="93"/>
  <c r="S317" i="93"/>
  <c r="T317" i="93"/>
  <c r="U317" i="93"/>
  <c r="V317" i="93"/>
  <c r="W317" i="93"/>
  <c r="X317" i="93"/>
  <c r="Y317" i="93"/>
  <c r="Z317" i="93"/>
  <c r="AA317" i="93"/>
  <c r="AB317" i="93"/>
  <c r="AC317" i="93"/>
  <c r="AD317" i="93"/>
  <c r="AE317" i="93"/>
  <c r="AF317" i="93"/>
  <c r="AG317" i="93"/>
  <c r="AH317" i="93"/>
  <c r="AI317" i="93"/>
  <c r="AJ317" i="93"/>
  <c r="AK317" i="93"/>
  <c r="AL317" i="93"/>
  <c r="AM317" i="93"/>
  <c r="AN317" i="93"/>
  <c r="AO317" i="93"/>
  <c r="AP317" i="93"/>
  <c r="AQ317" i="93"/>
  <c r="AR317" i="93"/>
  <c r="AS317" i="93"/>
  <c r="AT317" i="93"/>
  <c r="AU317" i="93"/>
  <c r="AV317" i="93"/>
  <c r="AW317" i="93"/>
  <c r="AX317" i="93"/>
  <c r="AY317" i="93"/>
  <c r="AZ317" i="93"/>
  <c r="BA317" i="93"/>
  <c r="BB317" i="93"/>
  <c r="BC317" i="93"/>
  <c r="BD317" i="93"/>
  <c r="BE317" i="93"/>
  <c r="BF317" i="93"/>
  <c r="BG317" i="93"/>
  <c r="BH317" i="93"/>
  <c r="BI317" i="93"/>
  <c r="BJ317" i="93"/>
  <c r="BK317" i="93"/>
  <c r="BL317" i="93"/>
  <c r="BM317" i="93"/>
  <c r="BN317" i="93"/>
  <c r="BO317" i="93"/>
  <c r="BP317" i="93"/>
  <c r="BQ317" i="93"/>
  <c r="BR317" i="93"/>
  <c r="BS317" i="93"/>
  <c r="BT317" i="93"/>
  <c r="BU317" i="93"/>
  <c r="BV317" i="93"/>
  <c r="BW317" i="93"/>
  <c r="BX317" i="93"/>
  <c r="BY317" i="93"/>
  <c r="BZ317" i="93"/>
  <c r="CA317" i="93"/>
  <c r="CB317" i="93"/>
  <c r="CC317" i="93"/>
  <c r="CD317" i="93"/>
  <c r="CE317" i="93"/>
  <c r="CF317" i="93"/>
  <c r="CG317" i="93"/>
  <c r="CH317" i="93"/>
  <c r="CI317" i="93"/>
  <c r="CJ317" i="93"/>
  <c r="CK317" i="93"/>
  <c r="CL317" i="93"/>
  <c r="CM317" i="93"/>
  <c r="CN317" i="93"/>
  <c r="CO317" i="93"/>
  <c r="CP317" i="93"/>
  <c r="CQ317" i="93"/>
  <c r="CR317" i="93"/>
  <c r="CS317" i="93"/>
  <c r="CT317" i="93"/>
  <c r="CU317" i="93"/>
  <c r="CV317" i="93"/>
  <c r="CW317" i="93"/>
  <c r="J318" i="93"/>
  <c r="K318" i="93"/>
  <c r="L318" i="93"/>
  <c r="M318" i="93"/>
  <c r="N318" i="93"/>
  <c r="O318" i="93"/>
  <c r="P318" i="93"/>
  <c r="Q318" i="93"/>
  <c r="R318" i="93"/>
  <c r="S318" i="93"/>
  <c r="T318" i="93"/>
  <c r="U318" i="93"/>
  <c r="V318" i="93"/>
  <c r="W318" i="93"/>
  <c r="X318" i="93"/>
  <c r="Y318" i="93"/>
  <c r="Z318" i="93"/>
  <c r="AA318" i="93"/>
  <c r="AB318" i="93"/>
  <c r="AC318" i="93"/>
  <c r="AD318" i="93"/>
  <c r="AE318" i="93"/>
  <c r="AF318" i="93"/>
  <c r="AG318" i="93"/>
  <c r="AH318" i="93"/>
  <c r="AI318" i="93"/>
  <c r="AJ318" i="93"/>
  <c r="AK318" i="93"/>
  <c r="AL318" i="93"/>
  <c r="AM318" i="93"/>
  <c r="AN318" i="93"/>
  <c r="AO318" i="93"/>
  <c r="AP318" i="93"/>
  <c r="AQ318" i="93"/>
  <c r="AR318" i="93"/>
  <c r="AS318" i="93"/>
  <c r="AT318" i="93"/>
  <c r="AU318" i="93"/>
  <c r="AV318" i="93"/>
  <c r="AW318" i="93"/>
  <c r="AX318" i="93"/>
  <c r="AY318" i="93"/>
  <c r="AZ318" i="93"/>
  <c r="BA318" i="93"/>
  <c r="BB318" i="93"/>
  <c r="BC318" i="93"/>
  <c r="BD318" i="93"/>
  <c r="BE318" i="93"/>
  <c r="BF318" i="93"/>
  <c r="BG318" i="93"/>
  <c r="BH318" i="93"/>
  <c r="BI318" i="93"/>
  <c r="BJ318" i="93"/>
  <c r="BK318" i="93"/>
  <c r="BL318" i="93"/>
  <c r="BM318" i="93"/>
  <c r="BN318" i="93"/>
  <c r="BO318" i="93"/>
  <c r="BP318" i="93"/>
  <c r="BQ318" i="93"/>
  <c r="BR318" i="93"/>
  <c r="BS318" i="93"/>
  <c r="BT318" i="93"/>
  <c r="BU318" i="93"/>
  <c r="BV318" i="93"/>
  <c r="BW318" i="93"/>
  <c r="BX318" i="93"/>
  <c r="BY318" i="93"/>
  <c r="BZ318" i="93"/>
  <c r="CA318" i="93"/>
  <c r="CB318" i="93"/>
  <c r="CC318" i="93"/>
  <c r="CD318" i="93"/>
  <c r="CE318" i="93"/>
  <c r="CF318" i="93"/>
  <c r="CG318" i="93"/>
  <c r="CH318" i="93"/>
  <c r="CI318" i="93"/>
  <c r="CJ318" i="93"/>
  <c r="CK318" i="93"/>
  <c r="CL318" i="93"/>
  <c r="CM318" i="93"/>
  <c r="CN318" i="93"/>
  <c r="CO318" i="93"/>
  <c r="CP318" i="93"/>
  <c r="CQ318" i="93"/>
  <c r="CR318" i="93"/>
  <c r="CS318" i="93"/>
  <c r="CT318" i="93"/>
  <c r="CU318" i="93"/>
  <c r="CV318" i="93"/>
  <c r="CW318" i="93"/>
  <c r="J319" i="93"/>
  <c r="K319" i="93"/>
  <c r="L319" i="93"/>
  <c r="M319" i="93"/>
  <c r="N319" i="93"/>
  <c r="O319" i="93"/>
  <c r="P319" i="93"/>
  <c r="Q319" i="93"/>
  <c r="R319" i="93"/>
  <c r="S319" i="93"/>
  <c r="T319" i="93"/>
  <c r="U319" i="93"/>
  <c r="V319" i="93"/>
  <c r="W319" i="93"/>
  <c r="X319" i="93"/>
  <c r="Y319" i="93"/>
  <c r="Z319" i="93"/>
  <c r="AA319" i="93"/>
  <c r="AB319" i="93"/>
  <c r="AC319" i="93"/>
  <c r="AD319" i="93"/>
  <c r="AE319" i="93"/>
  <c r="AF319" i="93"/>
  <c r="AG319" i="93"/>
  <c r="AH319" i="93"/>
  <c r="AI319" i="93"/>
  <c r="AJ319" i="93"/>
  <c r="AK319" i="93"/>
  <c r="AL319" i="93"/>
  <c r="AM319" i="93"/>
  <c r="AN319" i="93"/>
  <c r="AO319" i="93"/>
  <c r="AP319" i="93"/>
  <c r="AQ319" i="93"/>
  <c r="AR319" i="93"/>
  <c r="AS319" i="93"/>
  <c r="AT319" i="93"/>
  <c r="AU319" i="93"/>
  <c r="AV319" i="93"/>
  <c r="AW319" i="93"/>
  <c r="AX319" i="93"/>
  <c r="AY319" i="93"/>
  <c r="AZ319" i="93"/>
  <c r="BA319" i="93"/>
  <c r="BB319" i="93"/>
  <c r="BC319" i="93"/>
  <c r="BD319" i="93"/>
  <c r="BE319" i="93"/>
  <c r="BF319" i="93"/>
  <c r="BG319" i="93"/>
  <c r="BH319" i="93"/>
  <c r="BI319" i="93"/>
  <c r="BJ319" i="93"/>
  <c r="BK319" i="93"/>
  <c r="BL319" i="93"/>
  <c r="BM319" i="93"/>
  <c r="BN319" i="93"/>
  <c r="BO319" i="93"/>
  <c r="BP319" i="93"/>
  <c r="BQ319" i="93"/>
  <c r="BR319" i="93"/>
  <c r="BS319" i="93"/>
  <c r="BT319" i="93"/>
  <c r="BU319" i="93"/>
  <c r="BV319" i="93"/>
  <c r="BW319" i="93"/>
  <c r="BX319" i="93"/>
  <c r="BY319" i="93"/>
  <c r="BZ319" i="93"/>
  <c r="CA319" i="93"/>
  <c r="CB319" i="93"/>
  <c r="CC319" i="93"/>
  <c r="CD319" i="93"/>
  <c r="CE319" i="93"/>
  <c r="CF319" i="93"/>
  <c r="CG319" i="93"/>
  <c r="CH319" i="93"/>
  <c r="CI319" i="93"/>
  <c r="CJ319" i="93"/>
  <c r="CK319" i="93"/>
  <c r="CL319" i="93"/>
  <c r="CM319" i="93"/>
  <c r="CN319" i="93"/>
  <c r="CO319" i="93"/>
  <c r="CP319" i="93"/>
  <c r="CQ319" i="93"/>
  <c r="CR319" i="93"/>
  <c r="CS319" i="93"/>
  <c r="CT319" i="93"/>
  <c r="CU319" i="93"/>
  <c r="CV319" i="93"/>
  <c r="CW319" i="93"/>
  <c r="J320" i="93"/>
  <c r="K320" i="93"/>
  <c r="L320" i="93"/>
  <c r="M320" i="93"/>
  <c r="N320" i="93"/>
  <c r="O320" i="93"/>
  <c r="P320" i="93"/>
  <c r="Q320" i="93"/>
  <c r="R320" i="93"/>
  <c r="S320" i="93"/>
  <c r="T320" i="93"/>
  <c r="U320" i="93"/>
  <c r="V320" i="93"/>
  <c r="W320" i="93"/>
  <c r="X320" i="93"/>
  <c r="Y320" i="93"/>
  <c r="Z320" i="93"/>
  <c r="AA320" i="93"/>
  <c r="AB320" i="93"/>
  <c r="AC320" i="93"/>
  <c r="AD320" i="93"/>
  <c r="AE320" i="93"/>
  <c r="AF320" i="93"/>
  <c r="AG320" i="93"/>
  <c r="AH320" i="93"/>
  <c r="AI320" i="93"/>
  <c r="AJ320" i="93"/>
  <c r="AK320" i="93"/>
  <c r="AL320" i="93"/>
  <c r="AM320" i="93"/>
  <c r="AN320" i="93"/>
  <c r="AO320" i="93"/>
  <c r="AP320" i="93"/>
  <c r="AQ320" i="93"/>
  <c r="AR320" i="93"/>
  <c r="AS320" i="93"/>
  <c r="AT320" i="93"/>
  <c r="AU320" i="93"/>
  <c r="AV320" i="93"/>
  <c r="AW320" i="93"/>
  <c r="AX320" i="93"/>
  <c r="AY320" i="93"/>
  <c r="AZ320" i="93"/>
  <c r="BA320" i="93"/>
  <c r="BB320" i="93"/>
  <c r="BC320" i="93"/>
  <c r="BD320" i="93"/>
  <c r="BE320" i="93"/>
  <c r="BF320" i="93"/>
  <c r="BG320" i="93"/>
  <c r="BH320" i="93"/>
  <c r="BI320" i="93"/>
  <c r="BJ320" i="93"/>
  <c r="BK320" i="93"/>
  <c r="BL320" i="93"/>
  <c r="BM320" i="93"/>
  <c r="BN320" i="93"/>
  <c r="BO320" i="93"/>
  <c r="BP320" i="93"/>
  <c r="BQ320" i="93"/>
  <c r="BR320" i="93"/>
  <c r="BS320" i="93"/>
  <c r="BT320" i="93"/>
  <c r="BU320" i="93"/>
  <c r="BV320" i="93"/>
  <c r="BW320" i="93"/>
  <c r="BX320" i="93"/>
  <c r="BY320" i="93"/>
  <c r="BZ320" i="93"/>
  <c r="CA320" i="93"/>
  <c r="CB320" i="93"/>
  <c r="CC320" i="93"/>
  <c r="CD320" i="93"/>
  <c r="CE320" i="93"/>
  <c r="CF320" i="93"/>
  <c r="CG320" i="93"/>
  <c r="CH320" i="93"/>
  <c r="CI320" i="93"/>
  <c r="CJ320" i="93"/>
  <c r="CK320" i="93"/>
  <c r="CL320" i="93"/>
  <c r="CM320" i="93"/>
  <c r="CN320" i="93"/>
  <c r="CO320" i="93"/>
  <c r="CP320" i="93"/>
  <c r="CQ320" i="93"/>
  <c r="CR320" i="93"/>
  <c r="CS320" i="93"/>
  <c r="CT320" i="93"/>
  <c r="CU320" i="93"/>
  <c r="CV320" i="93"/>
  <c r="CW320" i="93"/>
  <c r="J321" i="93"/>
  <c r="K321" i="93"/>
  <c r="L321" i="93"/>
  <c r="M321" i="93"/>
  <c r="N321" i="93"/>
  <c r="O321" i="93"/>
  <c r="P321" i="93"/>
  <c r="Q321" i="93"/>
  <c r="R321" i="93"/>
  <c r="S321" i="93"/>
  <c r="T321" i="93"/>
  <c r="U321" i="93"/>
  <c r="V321" i="93"/>
  <c r="W321" i="93"/>
  <c r="X321" i="93"/>
  <c r="Y321" i="93"/>
  <c r="Z321" i="93"/>
  <c r="AA321" i="93"/>
  <c r="AB321" i="93"/>
  <c r="AC321" i="93"/>
  <c r="AD321" i="93"/>
  <c r="AE321" i="93"/>
  <c r="AF321" i="93"/>
  <c r="AG321" i="93"/>
  <c r="AH321" i="93"/>
  <c r="AI321" i="93"/>
  <c r="AJ321" i="93"/>
  <c r="AK321" i="93"/>
  <c r="AL321" i="93"/>
  <c r="AM321" i="93"/>
  <c r="AN321" i="93"/>
  <c r="AO321" i="93"/>
  <c r="AP321" i="93"/>
  <c r="AQ321" i="93"/>
  <c r="AR321" i="93"/>
  <c r="AS321" i="93"/>
  <c r="AT321" i="93"/>
  <c r="AU321" i="93"/>
  <c r="AV321" i="93"/>
  <c r="AW321" i="93"/>
  <c r="AX321" i="93"/>
  <c r="AY321" i="93"/>
  <c r="AZ321" i="93"/>
  <c r="BA321" i="93"/>
  <c r="BB321" i="93"/>
  <c r="BC321" i="93"/>
  <c r="BD321" i="93"/>
  <c r="BE321" i="93"/>
  <c r="BF321" i="93"/>
  <c r="BG321" i="93"/>
  <c r="BH321" i="93"/>
  <c r="BI321" i="93"/>
  <c r="BJ321" i="93"/>
  <c r="BK321" i="93"/>
  <c r="BL321" i="93"/>
  <c r="BM321" i="93"/>
  <c r="BN321" i="93"/>
  <c r="BO321" i="93"/>
  <c r="BP321" i="93"/>
  <c r="BQ321" i="93"/>
  <c r="BR321" i="93"/>
  <c r="BS321" i="93"/>
  <c r="BT321" i="93"/>
  <c r="BU321" i="93"/>
  <c r="BV321" i="93"/>
  <c r="BW321" i="93"/>
  <c r="BX321" i="93"/>
  <c r="BY321" i="93"/>
  <c r="BZ321" i="93"/>
  <c r="CA321" i="93"/>
  <c r="CB321" i="93"/>
  <c r="CC321" i="93"/>
  <c r="CD321" i="93"/>
  <c r="CE321" i="93"/>
  <c r="CF321" i="93"/>
  <c r="CG321" i="93"/>
  <c r="CH321" i="93"/>
  <c r="CI321" i="93"/>
  <c r="CJ321" i="93"/>
  <c r="CK321" i="93"/>
  <c r="CL321" i="93"/>
  <c r="CM321" i="93"/>
  <c r="CN321" i="93"/>
  <c r="CO321" i="93"/>
  <c r="CP321" i="93"/>
  <c r="CQ321" i="93"/>
  <c r="CR321" i="93"/>
  <c r="CS321" i="93"/>
  <c r="CT321" i="93"/>
  <c r="CU321" i="93"/>
  <c r="CV321" i="93"/>
  <c r="CW321" i="93"/>
  <c r="J322" i="93"/>
  <c r="K322" i="93"/>
  <c r="L322" i="93"/>
  <c r="M322" i="93"/>
  <c r="N322" i="93"/>
  <c r="O322" i="93"/>
  <c r="P322" i="93"/>
  <c r="Q322" i="93"/>
  <c r="R322" i="93"/>
  <c r="S322" i="93"/>
  <c r="T322" i="93"/>
  <c r="U322" i="93"/>
  <c r="V322" i="93"/>
  <c r="W322" i="93"/>
  <c r="X322" i="93"/>
  <c r="Y322" i="93"/>
  <c r="Z322" i="93"/>
  <c r="AA322" i="93"/>
  <c r="AB322" i="93"/>
  <c r="AC322" i="93"/>
  <c r="AD322" i="93"/>
  <c r="AE322" i="93"/>
  <c r="AF322" i="93"/>
  <c r="AG322" i="93"/>
  <c r="AH322" i="93"/>
  <c r="AI322" i="93"/>
  <c r="AJ322" i="93"/>
  <c r="AK322" i="93"/>
  <c r="AL322" i="93"/>
  <c r="AM322" i="93"/>
  <c r="AN322" i="93"/>
  <c r="AO322" i="93"/>
  <c r="AP322" i="93"/>
  <c r="AQ322" i="93"/>
  <c r="AR322" i="93"/>
  <c r="AS322" i="93"/>
  <c r="AT322" i="93"/>
  <c r="AU322" i="93"/>
  <c r="AV322" i="93"/>
  <c r="AW322" i="93"/>
  <c r="AX322" i="93"/>
  <c r="AY322" i="93"/>
  <c r="AZ322" i="93"/>
  <c r="BA322" i="93"/>
  <c r="BB322" i="93"/>
  <c r="BC322" i="93"/>
  <c r="BD322" i="93"/>
  <c r="BE322" i="93"/>
  <c r="BF322" i="93"/>
  <c r="BG322" i="93"/>
  <c r="BH322" i="93"/>
  <c r="BI322" i="93"/>
  <c r="BJ322" i="93"/>
  <c r="BK322" i="93"/>
  <c r="BL322" i="93"/>
  <c r="BM322" i="93"/>
  <c r="BN322" i="93"/>
  <c r="BO322" i="93"/>
  <c r="BP322" i="93"/>
  <c r="BQ322" i="93"/>
  <c r="BR322" i="93"/>
  <c r="BS322" i="93"/>
  <c r="BT322" i="93"/>
  <c r="BU322" i="93"/>
  <c r="BV322" i="93"/>
  <c r="BW322" i="93"/>
  <c r="BX322" i="93"/>
  <c r="BY322" i="93"/>
  <c r="BZ322" i="93"/>
  <c r="CA322" i="93"/>
  <c r="CB322" i="93"/>
  <c r="CC322" i="93"/>
  <c r="CD322" i="93"/>
  <c r="CE322" i="93"/>
  <c r="CF322" i="93"/>
  <c r="CG322" i="93"/>
  <c r="CH322" i="93"/>
  <c r="CI322" i="93"/>
  <c r="CJ322" i="93"/>
  <c r="CK322" i="93"/>
  <c r="CL322" i="93"/>
  <c r="CM322" i="93"/>
  <c r="CN322" i="93"/>
  <c r="CO322" i="93"/>
  <c r="CP322" i="93"/>
  <c r="CQ322" i="93"/>
  <c r="CR322" i="93"/>
  <c r="CS322" i="93"/>
  <c r="CT322" i="93"/>
  <c r="CU322" i="93"/>
  <c r="CV322" i="93"/>
  <c r="CW322" i="93"/>
  <c r="J323" i="93"/>
  <c r="K323" i="93"/>
  <c r="L323" i="93"/>
  <c r="M323" i="93"/>
  <c r="N323" i="93"/>
  <c r="O323" i="93"/>
  <c r="P323" i="93"/>
  <c r="Q323" i="93"/>
  <c r="R323" i="93"/>
  <c r="S323" i="93"/>
  <c r="T323" i="93"/>
  <c r="U323" i="93"/>
  <c r="V323" i="93"/>
  <c r="W323" i="93"/>
  <c r="X323" i="93"/>
  <c r="Y323" i="93"/>
  <c r="Z323" i="93"/>
  <c r="AA323" i="93"/>
  <c r="AB323" i="93"/>
  <c r="AC323" i="93"/>
  <c r="AD323" i="93"/>
  <c r="AE323" i="93"/>
  <c r="AF323" i="93"/>
  <c r="AG323" i="93"/>
  <c r="AH323" i="93"/>
  <c r="AI323" i="93"/>
  <c r="AJ323" i="93"/>
  <c r="AK323" i="93"/>
  <c r="AL323" i="93"/>
  <c r="AM323" i="93"/>
  <c r="AN323" i="93"/>
  <c r="AO323" i="93"/>
  <c r="AP323" i="93"/>
  <c r="AQ323" i="93"/>
  <c r="AR323" i="93"/>
  <c r="AS323" i="93"/>
  <c r="AT323" i="93"/>
  <c r="AU323" i="93"/>
  <c r="AV323" i="93"/>
  <c r="AW323" i="93"/>
  <c r="AX323" i="93"/>
  <c r="AY323" i="93"/>
  <c r="AZ323" i="93"/>
  <c r="BA323" i="93"/>
  <c r="BB323" i="93"/>
  <c r="BC323" i="93"/>
  <c r="BD323" i="93"/>
  <c r="BE323" i="93"/>
  <c r="BF323" i="93"/>
  <c r="BG323" i="93"/>
  <c r="BH323" i="93"/>
  <c r="BI323" i="93"/>
  <c r="BJ323" i="93"/>
  <c r="BK323" i="93"/>
  <c r="BL323" i="93"/>
  <c r="BM323" i="93"/>
  <c r="BN323" i="93"/>
  <c r="BO323" i="93"/>
  <c r="BP323" i="93"/>
  <c r="BQ323" i="93"/>
  <c r="BR323" i="93"/>
  <c r="BS323" i="93"/>
  <c r="BT323" i="93"/>
  <c r="BU323" i="93"/>
  <c r="BV323" i="93"/>
  <c r="BW323" i="93"/>
  <c r="BX323" i="93"/>
  <c r="BY323" i="93"/>
  <c r="BZ323" i="93"/>
  <c r="CA323" i="93"/>
  <c r="CB323" i="93"/>
  <c r="CC323" i="93"/>
  <c r="CD323" i="93"/>
  <c r="CE323" i="93"/>
  <c r="CF323" i="93"/>
  <c r="CG323" i="93"/>
  <c r="CH323" i="93"/>
  <c r="CI323" i="93"/>
  <c r="CJ323" i="93"/>
  <c r="CK323" i="93"/>
  <c r="CL323" i="93"/>
  <c r="CM323" i="93"/>
  <c r="CN323" i="93"/>
  <c r="CO323" i="93"/>
  <c r="CP323" i="93"/>
  <c r="CQ323" i="93"/>
  <c r="CR323" i="93"/>
  <c r="CS323" i="93"/>
  <c r="CT323" i="93"/>
  <c r="CU323" i="93"/>
  <c r="CV323" i="93"/>
  <c r="CW323" i="93"/>
  <c r="J324" i="93"/>
  <c r="K324" i="93"/>
  <c r="L324" i="93"/>
  <c r="M324" i="93"/>
  <c r="N324" i="93"/>
  <c r="O324" i="93"/>
  <c r="P324" i="93"/>
  <c r="Q324" i="93"/>
  <c r="R324" i="93"/>
  <c r="S324" i="93"/>
  <c r="T324" i="93"/>
  <c r="U324" i="93"/>
  <c r="V324" i="93"/>
  <c r="W324" i="93"/>
  <c r="X324" i="93"/>
  <c r="Y324" i="93"/>
  <c r="Z324" i="93"/>
  <c r="AA324" i="93"/>
  <c r="AB324" i="93"/>
  <c r="AC324" i="93"/>
  <c r="AD324" i="93"/>
  <c r="AE324" i="93"/>
  <c r="AF324" i="93"/>
  <c r="AG324" i="93"/>
  <c r="AH324" i="93"/>
  <c r="AI324" i="93"/>
  <c r="AJ324" i="93"/>
  <c r="AK324" i="93"/>
  <c r="AL324" i="93"/>
  <c r="AM324" i="93"/>
  <c r="AN324" i="93"/>
  <c r="AO324" i="93"/>
  <c r="AP324" i="93"/>
  <c r="AQ324" i="93"/>
  <c r="AR324" i="93"/>
  <c r="AS324" i="93"/>
  <c r="AT324" i="93"/>
  <c r="AU324" i="93"/>
  <c r="AV324" i="93"/>
  <c r="AW324" i="93"/>
  <c r="AX324" i="93"/>
  <c r="AY324" i="93"/>
  <c r="AZ324" i="93"/>
  <c r="BA324" i="93"/>
  <c r="BB324" i="93"/>
  <c r="BC324" i="93"/>
  <c r="BD324" i="93"/>
  <c r="BE324" i="93"/>
  <c r="BF324" i="93"/>
  <c r="BG324" i="93"/>
  <c r="BH324" i="93"/>
  <c r="BI324" i="93"/>
  <c r="BJ324" i="93"/>
  <c r="BK324" i="93"/>
  <c r="BL324" i="93"/>
  <c r="BM324" i="93"/>
  <c r="BN324" i="93"/>
  <c r="BO324" i="93"/>
  <c r="BP324" i="93"/>
  <c r="BQ324" i="93"/>
  <c r="BR324" i="93"/>
  <c r="BS324" i="93"/>
  <c r="BT324" i="93"/>
  <c r="BU324" i="93"/>
  <c r="BV324" i="93"/>
  <c r="BW324" i="93"/>
  <c r="BX324" i="93"/>
  <c r="BY324" i="93"/>
  <c r="BZ324" i="93"/>
  <c r="CA324" i="93"/>
  <c r="CB324" i="93"/>
  <c r="CC324" i="93"/>
  <c r="CD324" i="93"/>
  <c r="CE324" i="93"/>
  <c r="CF324" i="93"/>
  <c r="CG324" i="93"/>
  <c r="CH324" i="93"/>
  <c r="CI324" i="93"/>
  <c r="CJ324" i="93"/>
  <c r="CK324" i="93"/>
  <c r="CL324" i="93"/>
  <c r="CM324" i="93"/>
  <c r="CN324" i="93"/>
  <c r="CO324" i="93"/>
  <c r="CP324" i="93"/>
  <c r="CQ324" i="93"/>
  <c r="CR324" i="93"/>
  <c r="CS324" i="93"/>
  <c r="CT324" i="93"/>
  <c r="CU324" i="93"/>
  <c r="CV324" i="93"/>
  <c r="CW324" i="93"/>
  <c r="J325" i="93"/>
  <c r="K325" i="93"/>
  <c r="L325" i="93"/>
  <c r="M325" i="93"/>
  <c r="N325" i="93"/>
  <c r="O325" i="93"/>
  <c r="P325" i="93"/>
  <c r="Q325" i="93"/>
  <c r="R325" i="93"/>
  <c r="S325" i="93"/>
  <c r="T325" i="93"/>
  <c r="U325" i="93"/>
  <c r="V325" i="93"/>
  <c r="W325" i="93"/>
  <c r="X325" i="93"/>
  <c r="Y325" i="93"/>
  <c r="Z325" i="93"/>
  <c r="AA325" i="93"/>
  <c r="AB325" i="93"/>
  <c r="AC325" i="93"/>
  <c r="AD325" i="93"/>
  <c r="AE325" i="93"/>
  <c r="AF325" i="93"/>
  <c r="AG325" i="93"/>
  <c r="AH325" i="93"/>
  <c r="AI325" i="93"/>
  <c r="AJ325" i="93"/>
  <c r="AK325" i="93"/>
  <c r="AL325" i="93"/>
  <c r="AM325" i="93"/>
  <c r="AN325" i="93"/>
  <c r="AO325" i="93"/>
  <c r="AP325" i="93"/>
  <c r="AQ325" i="93"/>
  <c r="AR325" i="93"/>
  <c r="AS325" i="93"/>
  <c r="AT325" i="93"/>
  <c r="AU325" i="93"/>
  <c r="AV325" i="93"/>
  <c r="AW325" i="93"/>
  <c r="AX325" i="93"/>
  <c r="AY325" i="93"/>
  <c r="AZ325" i="93"/>
  <c r="BA325" i="93"/>
  <c r="BB325" i="93"/>
  <c r="BC325" i="93"/>
  <c r="BD325" i="93"/>
  <c r="BE325" i="93"/>
  <c r="BF325" i="93"/>
  <c r="BG325" i="93"/>
  <c r="BH325" i="93"/>
  <c r="BI325" i="93"/>
  <c r="BJ325" i="93"/>
  <c r="BK325" i="93"/>
  <c r="BL325" i="93"/>
  <c r="BM325" i="93"/>
  <c r="BN325" i="93"/>
  <c r="BO325" i="93"/>
  <c r="BP325" i="93"/>
  <c r="BQ325" i="93"/>
  <c r="BR325" i="93"/>
  <c r="BS325" i="93"/>
  <c r="BT325" i="93"/>
  <c r="BU325" i="93"/>
  <c r="BV325" i="93"/>
  <c r="BW325" i="93"/>
  <c r="BX325" i="93"/>
  <c r="BY325" i="93"/>
  <c r="BZ325" i="93"/>
  <c r="CA325" i="93"/>
  <c r="CB325" i="93"/>
  <c r="CC325" i="93"/>
  <c r="CD325" i="93"/>
  <c r="CE325" i="93"/>
  <c r="CF325" i="93"/>
  <c r="CG325" i="93"/>
  <c r="CH325" i="93"/>
  <c r="CI325" i="93"/>
  <c r="CJ325" i="93"/>
  <c r="CK325" i="93"/>
  <c r="CL325" i="93"/>
  <c r="CM325" i="93"/>
  <c r="CN325" i="93"/>
  <c r="CO325" i="93"/>
  <c r="CP325" i="93"/>
  <c r="CQ325" i="93"/>
  <c r="CR325" i="93"/>
  <c r="CS325" i="93"/>
  <c r="CT325" i="93"/>
  <c r="CU325" i="93"/>
  <c r="CV325" i="93"/>
  <c r="CW325" i="93"/>
  <c r="J326" i="93"/>
  <c r="K326" i="93"/>
  <c r="L326" i="93"/>
  <c r="M326" i="93"/>
  <c r="N326" i="93"/>
  <c r="O326" i="93"/>
  <c r="P326" i="93"/>
  <c r="Q326" i="93"/>
  <c r="R326" i="93"/>
  <c r="S326" i="93"/>
  <c r="T326" i="93"/>
  <c r="U326" i="93"/>
  <c r="V326" i="93"/>
  <c r="W326" i="93"/>
  <c r="X326" i="93"/>
  <c r="Y326" i="93"/>
  <c r="Z326" i="93"/>
  <c r="AA326" i="93"/>
  <c r="AB326" i="93"/>
  <c r="AC326" i="93"/>
  <c r="AD326" i="93"/>
  <c r="AE326" i="93"/>
  <c r="AF326" i="93"/>
  <c r="AG326" i="93"/>
  <c r="AH326" i="93"/>
  <c r="AI326" i="93"/>
  <c r="AJ326" i="93"/>
  <c r="AK326" i="93"/>
  <c r="AL326" i="93"/>
  <c r="AM326" i="93"/>
  <c r="AN326" i="93"/>
  <c r="AO326" i="93"/>
  <c r="AP326" i="93"/>
  <c r="AQ326" i="93"/>
  <c r="AR326" i="93"/>
  <c r="AS326" i="93"/>
  <c r="AT326" i="93"/>
  <c r="AU326" i="93"/>
  <c r="AV326" i="93"/>
  <c r="AW326" i="93"/>
  <c r="AX326" i="93"/>
  <c r="AY326" i="93"/>
  <c r="AZ326" i="93"/>
  <c r="BA326" i="93"/>
  <c r="BB326" i="93"/>
  <c r="BC326" i="93"/>
  <c r="BD326" i="93"/>
  <c r="BE326" i="93"/>
  <c r="BF326" i="93"/>
  <c r="BG326" i="93"/>
  <c r="BH326" i="93"/>
  <c r="BI326" i="93"/>
  <c r="BJ326" i="93"/>
  <c r="BK326" i="93"/>
  <c r="BL326" i="93"/>
  <c r="BM326" i="93"/>
  <c r="BN326" i="93"/>
  <c r="BO326" i="93"/>
  <c r="BP326" i="93"/>
  <c r="BQ326" i="93"/>
  <c r="BR326" i="93"/>
  <c r="BS326" i="93"/>
  <c r="BT326" i="93"/>
  <c r="BU326" i="93"/>
  <c r="BV326" i="93"/>
  <c r="BW326" i="93"/>
  <c r="BX326" i="93"/>
  <c r="BY326" i="93"/>
  <c r="BZ326" i="93"/>
  <c r="CA326" i="93"/>
  <c r="CB326" i="93"/>
  <c r="CC326" i="93"/>
  <c r="CD326" i="93"/>
  <c r="CE326" i="93"/>
  <c r="CF326" i="93"/>
  <c r="CG326" i="93"/>
  <c r="CH326" i="93"/>
  <c r="CI326" i="93"/>
  <c r="CJ326" i="93"/>
  <c r="CK326" i="93"/>
  <c r="CL326" i="93"/>
  <c r="CM326" i="93"/>
  <c r="CN326" i="93"/>
  <c r="CO326" i="93"/>
  <c r="CP326" i="93"/>
  <c r="CQ326" i="93"/>
  <c r="CR326" i="93"/>
  <c r="CS326" i="93"/>
  <c r="CT326" i="93"/>
  <c r="CU326" i="93"/>
  <c r="CV326" i="93"/>
  <c r="CW326" i="93"/>
  <c r="J327" i="93"/>
  <c r="K327" i="93"/>
  <c r="L327" i="93"/>
  <c r="M327" i="93"/>
  <c r="N327" i="93"/>
  <c r="O327" i="93"/>
  <c r="P327" i="93"/>
  <c r="Q327" i="93"/>
  <c r="R327" i="93"/>
  <c r="S327" i="93"/>
  <c r="T327" i="93"/>
  <c r="U327" i="93"/>
  <c r="V327" i="93"/>
  <c r="W327" i="93"/>
  <c r="X327" i="93"/>
  <c r="Y327" i="93"/>
  <c r="Z327" i="93"/>
  <c r="AA327" i="93"/>
  <c r="AB327" i="93"/>
  <c r="AC327" i="93"/>
  <c r="AD327" i="93"/>
  <c r="AE327" i="93"/>
  <c r="AF327" i="93"/>
  <c r="AG327" i="93"/>
  <c r="AH327" i="93"/>
  <c r="AI327" i="93"/>
  <c r="AJ327" i="93"/>
  <c r="AK327" i="93"/>
  <c r="AL327" i="93"/>
  <c r="AM327" i="93"/>
  <c r="AN327" i="93"/>
  <c r="AO327" i="93"/>
  <c r="AP327" i="93"/>
  <c r="AQ327" i="93"/>
  <c r="AR327" i="93"/>
  <c r="AS327" i="93"/>
  <c r="AT327" i="93"/>
  <c r="AU327" i="93"/>
  <c r="AV327" i="93"/>
  <c r="AW327" i="93"/>
  <c r="AX327" i="93"/>
  <c r="AY327" i="93"/>
  <c r="AZ327" i="93"/>
  <c r="BA327" i="93"/>
  <c r="BB327" i="93"/>
  <c r="BC327" i="93"/>
  <c r="BD327" i="93"/>
  <c r="BE327" i="93"/>
  <c r="BF327" i="93"/>
  <c r="BG327" i="93"/>
  <c r="BH327" i="93"/>
  <c r="BI327" i="93"/>
  <c r="BJ327" i="93"/>
  <c r="BK327" i="93"/>
  <c r="BL327" i="93"/>
  <c r="BM327" i="93"/>
  <c r="BN327" i="93"/>
  <c r="BO327" i="93"/>
  <c r="BP327" i="93"/>
  <c r="BQ327" i="93"/>
  <c r="BR327" i="93"/>
  <c r="BS327" i="93"/>
  <c r="BT327" i="93"/>
  <c r="BU327" i="93"/>
  <c r="BV327" i="93"/>
  <c r="BW327" i="93"/>
  <c r="BX327" i="93"/>
  <c r="BY327" i="93"/>
  <c r="BZ327" i="93"/>
  <c r="CA327" i="93"/>
  <c r="CB327" i="93"/>
  <c r="CC327" i="93"/>
  <c r="CD327" i="93"/>
  <c r="CE327" i="93"/>
  <c r="CF327" i="93"/>
  <c r="CG327" i="93"/>
  <c r="CH327" i="93"/>
  <c r="CI327" i="93"/>
  <c r="CJ327" i="93"/>
  <c r="CK327" i="93"/>
  <c r="CL327" i="93"/>
  <c r="CM327" i="93"/>
  <c r="CN327" i="93"/>
  <c r="CO327" i="93"/>
  <c r="CP327" i="93"/>
  <c r="CQ327" i="93"/>
  <c r="CR327" i="93"/>
  <c r="CS327" i="93"/>
  <c r="CT327" i="93"/>
  <c r="CU327" i="93"/>
  <c r="CV327" i="93"/>
  <c r="CW327" i="93"/>
  <c r="J328" i="93"/>
  <c r="K328" i="93"/>
  <c r="L328" i="93"/>
  <c r="M328" i="93"/>
  <c r="N328" i="93"/>
  <c r="O328" i="93"/>
  <c r="P328" i="93"/>
  <c r="Q328" i="93"/>
  <c r="R328" i="93"/>
  <c r="S328" i="93"/>
  <c r="T328" i="93"/>
  <c r="U328" i="93"/>
  <c r="V328" i="93"/>
  <c r="W328" i="93"/>
  <c r="X328" i="93"/>
  <c r="Y328" i="93"/>
  <c r="Z328" i="93"/>
  <c r="AA328" i="93"/>
  <c r="AB328" i="93"/>
  <c r="AC328" i="93"/>
  <c r="AD328" i="93"/>
  <c r="AE328" i="93"/>
  <c r="AF328" i="93"/>
  <c r="AG328" i="93"/>
  <c r="AH328" i="93"/>
  <c r="AI328" i="93"/>
  <c r="AJ328" i="93"/>
  <c r="AK328" i="93"/>
  <c r="AL328" i="93"/>
  <c r="AM328" i="93"/>
  <c r="AN328" i="93"/>
  <c r="AO328" i="93"/>
  <c r="AP328" i="93"/>
  <c r="AQ328" i="93"/>
  <c r="AR328" i="93"/>
  <c r="AS328" i="93"/>
  <c r="AT328" i="93"/>
  <c r="AU328" i="93"/>
  <c r="AV328" i="93"/>
  <c r="AW328" i="93"/>
  <c r="AX328" i="93"/>
  <c r="AY328" i="93"/>
  <c r="AZ328" i="93"/>
  <c r="BA328" i="93"/>
  <c r="BB328" i="93"/>
  <c r="BC328" i="93"/>
  <c r="BD328" i="93"/>
  <c r="BE328" i="93"/>
  <c r="BF328" i="93"/>
  <c r="BG328" i="93"/>
  <c r="BH328" i="93"/>
  <c r="BI328" i="93"/>
  <c r="BJ328" i="93"/>
  <c r="BK328" i="93"/>
  <c r="BL328" i="93"/>
  <c r="BM328" i="93"/>
  <c r="BN328" i="93"/>
  <c r="BO328" i="93"/>
  <c r="BP328" i="93"/>
  <c r="BQ328" i="93"/>
  <c r="BR328" i="93"/>
  <c r="BS328" i="93"/>
  <c r="BT328" i="93"/>
  <c r="BU328" i="93"/>
  <c r="BV328" i="93"/>
  <c r="BW328" i="93"/>
  <c r="BX328" i="93"/>
  <c r="BY328" i="93"/>
  <c r="BZ328" i="93"/>
  <c r="CA328" i="93"/>
  <c r="CB328" i="93"/>
  <c r="CC328" i="93"/>
  <c r="CD328" i="93"/>
  <c r="CE328" i="93"/>
  <c r="CF328" i="93"/>
  <c r="CG328" i="93"/>
  <c r="CH328" i="93"/>
  <c r="CI328" i="93"/>
  <c r="CJ328" i="93"/>
  <c r="CK328" i="93"/>
  <c r="CL328" i="93"/>
  <c r="CM328" i="93"/>
  <c r="CN328" i="93"/>
  <c r="CO328" i="93"/>
  <c r="CP328" i="93"/>
  <c r="CQ328" i="93"/>
  <c r="CR328" i="93"/>
  <c r="CS328" i="93"/>
  <c r="CT328" i="93"/>
  <c r="CU328" i="93"/>
  <c r="CV328" i="93"/>
  <c r="CW328" i="93"/>
  <c r="J329" i="93"/>
  <c r="K329" i="93"/>
  <c r="L329" i="93"/>
  <c r="M329" i="93"/>
  <c r="N329" i="93"/>
  <c r="O329" i="93"/>
  <c r="P329" i="93"/>
  <c r="Q329" i="93"/>
  <c r="R329" i="93"/>
  <c r="S329" i="93"/>
  <c r="T329" i="93"/>
  <c r="U329" i="93"/>
  <c r="V329" i="93"/>
  <c r="W329" i="93"/>
  <c r="X329" i="93"/>
  <c r="Y329" i="93"/>
  <c r="Z329" i="93"/>
  <c r="AA329" i="93"/>
  <c r="AB329" i="93"/>
  <c r="AC329" i="93"/>
  <c r="AD329" i="93"/>
  <c r="AE329" i="93"/>
  <c r="AF329" i="93"/>
  <c r="AG329" i="93"/>
  <c r="AH329" i="93"/>
  <c r="AI329" i="93"/>
  <c r="AJ329" i="93"/>
  <c r="AK329" i="93"/>
  <c r="AL329" i="93"/>
  <c r="AM329" i="93"/>
  <c r="AN329" i="93"/>
  <c r="AO329" i="93"/>
  <c r="AP329" i="93"/>
  <c r="AQ329" i="93"/>
  <c r="AR329" i="93"/>
  <c r="AS329" i="93"/>
  <c r="AT329" i="93"/>
  <c r="AU329" i="93"/>
  <c r="AV329" i="93"/>
  <c r="AW329" i="93"/>
  <c r="AX329" i="93"/>
  <c r="AY329" i="93"/>
  <c r="AZ329" i="93"/>
  <c r="BA329" i="93"/>
  <c r="BB329" i="93"/>
  <c r="BC329" i="93"/>
  <c r="BD329" i="93"/>
  <c r="BE329" i="93"/>
  <c r="BF329" i="93"/>
  <c r="BG329" i="93"/>
  <c r="BH329" i="93"/>
  <c r="BI329" i="93"/>
  <c r="BJ329" i="93"/>
  <c r="BK329" i="93"/>
  <c r="BL329" i="93"/>
  <c r="BM329" i="93"/>
  <c r="BN329" i="93"/>
  <c r="BO329" i="93"/>
  <c r="BP329" i="93"/>
  <c r="BQ329" i="93"/>
  <c r="BR329" i="93"/>
  <c r="BS329" i="93"/>
  <c r="BT329" i="93"/>
  <c r="BU329" i="93"/>
  <c r="BV329" i="93"/>
  <c r="BW329" i="93"/>
  <c r="BX329" i="93"/>
  <c r="BY329" i="93"/>
  <c r="BZ329" i="93"/>
  <c r="CA329" i="93"/>
  <c r="CB329" i="93"/>
  <c r="CC329" i="93"/>
  <c r="CD329" i="93"/>
  <c r="CE329" i="93"/>
  <c r="CF329" i="93"/>
  <c r="CG329" i="93"/>
  <c r="CH329" i="93"/>
  <c r="CI329" i="93"/>
  <c r="CJ329" i="93"/>
  <c r="CK329" i="93"/>
  <c r="CL329" i="93"/>
  <c r="CM329" i="93"/>
  <c r="CN329" i="93"/>
  <c r="CO329" i="93"/>
  <c r="CP329" i="93"/>
  <c r="CQ329" i="93"/>
  <c r="CR329" i="93"/>
  <c r="CS329" i="93"/>
  <c r="CT329" i="93"/>
  <c r="CU329" i="93"/>
  <c r="CV329" i="93"/>
  <c r="CW329" i="93"/>
  <c r="J330" i="93"/>
  <c r="K330" i="93"/>
  <c r="L330" i="93"/>
  <c r="M330" i="93"/>
  <c r="N330" i="93"/>
  <c r="O330" i="93"/>
  <c r="P330" i="93"/>
  <c r="Q330" i="93"/>
  <c r="R330" i="93"/>
  <c r="S330" i="93"/>
  <c r="T330" i="93"/>
  <c r="U330" i="93"/>
  <c r="V330" i="93"/>
  <c r="W330" i="93"/>
  <c r="X330" i="93"/>
  <c r="Y330" i="93"/>
  <c r="Z330" i="93"/>
  <c r="AA330" i="93"/>
  <c r="AB330" i="93"/>
  <c r="AC330" i="93"/>
  <c r="AD330" i="93"/>
  <c r="AE330" i="93"/>
  <c r="AF330" i="93"/>
  <c r="AG330" i="93"/>
  <c r="AH330" i="93"/>
  <c r="AI330" i="93"/>
  <c r="AJ330" i="93"/>
  <c r="AK330" i="93"/>
  <c r="AL330" i="93"/>
  <c r="AM330" i="93"/>
  <c r="AN330" i="93"/>
  <c r="AO330" i="93"/>
  <c r="AP330" i="93"/>
  <c r="AQ330" i="93"/>
  <c r="AR330" i="93"/>
  <c r="AS330" i="93"/>
  <c r="AT330" i="93"/>
  <c r="AU330" i="93"/>
  <c r="AV330" i="93"/>
  <c r="AW330" i="93"/>
  <c r="AX330" i="93"/>
  <c r="AY330" i="93"/>
  <c r="AZ330" i="93"/>
  <c r="BA330" i="93"/>
  <c r="BB330" i="93"/>
  <c r="BC330" i="93"/>
  <c r="BD330" i="93"/>
  <c r="BE330" i="93"/>
  <c r="BF330" i="93"/>
  <c r="BG330" i="93"/>
  <c r="BH330" i="93"/>
  <c r="BI330" i="93"/>
  <c r="BJ330" i="93"/>
  <c r="BK330" i="93"/>
  <c r="BL330" i="93"/>
  <c r="BM330" i="93"/>
  <c r="BN330" i="93"/>
  <c r="BO330" i="93"/>
  <c r="BP330" i="93"/>
  <c r="BQ330" i="93"/>
  <c r="BR330" i="93"/>
  <c r="BS330" i="93"/>
  <c r="BT330" i="93"/>
  <c r="BU330" i="93"/>
  <c r="BV330" i="93"/>
  <c r="BW330" i="93"/>
  <c r="BX330" i="93"/>
  <c r="BY330" i="93"/>
  <c r="BZ330" i="93"/>
  <c r="CA330" i="93"/>
  <c r="CB330" i="93"/>
  <c r="CC330" i="93"/>
  <c r="CD330" i="93"/>
  <c r="CE330" i="93"/>
  <c r="CF330" i="93"/>
  <c r="CG330" i="93"/>
  <c r="CH330" i="93"/>
  <c r="CI330" i="93"/>
  <c r="CJ330" i="93"/>
  <c r="CK330" i="93"/>
  <c r="CL330" i="93"/>
  <c r="CM330" i="93"/>
  <c r="CN330" i="93"/>
  <c r="CO330" i="93"/>
  <c r="CP330" i="93"/>
  <c r="CQ330" i="93"/>
  <c r="CR330" i="93"/>
  <c r="CS330" i="93"/>
  <c r="CT330" i="93"/>
  <c r="CU330" i="93"/>
  <c r="CV330" i="93"/>
  <c r="CW330" i="93"/>
  <c r="J331" i="93"/>
  <c r="K331" i="93"/>
  <c r="L331" i="93"/>
  <c r="M331" i="93"/>
  <c r="N331" i="93"/>
  <c r="O331" i="93"/>
  <c r="P331" i="93"/>
  <c r="Q331" i="93"/>
  <c r="R331" i="93"/>
  <c r="S331" i="93"/>
  <c r="T331" i="93"/>
  <c r="U331" i="93"/>
  <c r="V331" i="93"/>
  <c r="W331" i="93"/>
  <c r="X331" i="93"/>
  <c r="Y331" i="93"/>
  <c r="Z331" i="93"/>
  <c r="AA331" i="93"/>
  <c r="AB331" i="93"/>
  <c r="AC331" i="93"/>
  <c r="AD331" i="93"/>
  <c r="AE331" i="93"/>
  <c r="AF331" i="93"/>
  <c r="AG331" i="93"/>
  <c r="AH331" i="93"/>
  <c r="AI331" i="93"/>
  <c r="AJ331" i="93"/>
  <c r="AK331" i="93"/>
  <c r="AL331" i="93"/>
  <c r="AM331" i="93"/>
  <c r="AN331" i="93"/>
  <c r="AO331" i="93"/>
  <c r="AP331" i="93"/>
  <c r="AQ331" i="93"/>
  <c r="AR331" i="93"/>
  <c r="AS331" i="93"/>
  <c r="AT331" i="93"/>
  <c r="AU331" i="93"/>
  <c r="AV331" i="93"/>
  <c r="AW331" i="93"/>
  <c r="AX331" i="93"/>
  <c r="AY331" i="93"/>
  <c r="AZ331" i="93"/>
  <c r="BA331" i="93"/>
  <c r="BB331" i="93"/>
  <c r="BC331" i="93"/>
  <c r="BD331" i="93"/>
  <c r="BE331" i="93"/>
  <c r="BF331" i="93"/>
  <c r="BG331" i="93"/>
  <c r="BH331" i="93"/>
  <c r="BI331" i="93"/>
  <c r="BJ331" i="93"/>
  <c r="BK331" i="93"/>
  <c r="BL331" i="93"/>
  <c r="BM331" i="93"/>
  <c r="BN331" i="93"/>
  <c r="BO331" i="93"/>
  <c r="BP331" i="93"/>
  <c r="BQ331" i="93"/>
  <c r="BR331" i="93"/>
  <c r="BS331" i="93"/>
  <c r="BT331" i="93"/>
  <c r="BU331" i="93"/>
  <c r="BV331" i="93"/>
  <c r="BW331" i="93"/>
  <c r="BX331" i="93"/>
  <c r="BY331" i="93"/>
  <c r="BZ331" i="93"/>
  <c r="CA331" i="93"/>
  <c r="CB331" i="93"/>
  <c r="CC331" i="93"/>
  <c r="CD331" i="93"/>
  <c r="CE331" i="93"/>
  <c r="CF331" i="93"/>
  <c r="CG331" i="93"/>
  <c r="CH331" i="93"/>
  <c r="CI331" i="93"/>
  <c r="CJ331" i="93"/>
  <c r="CK331" i="93"/>
  <c r="CL331" i="93"/>
  <c r="CM331" i="93"/>
  <c r="CN331" i="93"/>
  <c r="CO331" i="93"/>
  <c r="CP331" i="93"/>
  <c r="CQ331" i="93"/>
  <c r="CR331" i="93"/>
  <c r="CS331" i="93"/>
  <c r="CT331" i="93"/>
  <c r="CU331" i="93"/>
  <c r="CV331" i="93"/>
  <c r="CW331" i="93"/>
  <c r="J332" i="93"/>
  <c r="K332" i="93"/>
  <c r="L332" i="93"/>
  <c r="M332" i="93"/>
  <c r="N332" i="93"/>
  <c r="O332" i="93"/>
  <c r="P332" i="93"/>
  <c r="Q332" i="93"/>
  <c r="R332" i="93"/>
  <c r="S332" i="93"/>
  <c r="T332" i="93"/>
  <c r="U332" i="93"/>
  <c r="V332" i="93"/>
  <c r="W332" i="93"/>
  <c r="X332" i="93"/>
  <c r="Y332" i="93"/>
  <c r="Z332" i="93"/>
  <c r="AA332" i="93"/>
  <c r="AB332" i="93"/>
  <c r="AC332" i="93"/>
  <c r="AD332" i="93"/>
  <c r="AE332" i="93"/>
  <c r="AF332" i="93"/>
  <c r="AG332" i="93"/>
  <c r="AH332" i="93"/>
  <c r="AI332" i="93"/>
  <c r="AJ332" i="93"/>
  <c r="AK332" i="93"/>
  <c r="AL332" i="93"/>
  <c r="AM332" i="93"/>
  <c r="AN332" i="93"/>
  <c r="AO332" i="93"/>
  <c r="AP332" i="93"/>
  <c r="AQ332" i="93"/>
  <c r="AR332" i="93"/>
  <c r="AS332" i="93"/>
  <c r="AT332" i="93"/>
  <c r="AU332" i="93"/>
  <c r="AV332" i="93"/>
  <c r="AW332" i="93"/>
  <c r="AX332" i="93"/>
  <c r="AY332" i="93"/>
  <c r="AZ332" i="93"/>
  <c r="BA332" i="93"/>
  <c r="BB332" i="93"/>
  <c r="BC332" i="93"/>
  <c r="BD332" i="93"/>
  <c r="BE332" i="93"/>
  <c r="BF332" i="93"/>
  <c r="BG332" i="93"/>
  <c r="BH332" i="93"/>
  <c r="BI332" i="93"/>
  <c r="BJ332" i="93"/>
  <c r="BK332" i="93"/>
  <c r="BL332" i="93"/>
  <c r="BM332" i="93"/>
  <c r="BN332" i="93"/>
  <c r="BO332" i="93"/>
  <c r="BP332" i="93"/>
  <c r="BQ332" i="93"/>
  <c r="BR332" i="93"/>
  <c r="BS332" i="93"/>
  <c r="BT332" i="93"/>
  <c r="BU332" i="93"/>
  <c r="BV332" i="93"/>
  <c r="BW332" i="93"/>
  <c r="BX332" i="93"/>
  <c r="BY332" i="93"/>
  <c r="BZ332" i="93"/>
  <c r="CA332" i="93"/>
  <c r="CB332" i="93"/>
  <c r="CC332" i="93"/>
  <c r="CD332" i="93"/>
  <c r="CE332" i="93"/>
  <c r="CF332" i="93"/>
  <c r="CG332" i="93"/>
  <c r="CH332" i="93"/>
  <c r="CI332" i="93"/>
  <c r="CJ332" i="93"/>
  <c r="CK332" i="93"/>
  <c r="CL332" i="93"/>
  <c r="CM332" i="93"/>
  <c r="CN332" i="93"/>
  <c r="CO332" i="93"/>
  <c r="CP332" i="93"/>
  <c r="CQ332" i="93"/>
  <c r="CR332" i="93"/>
  <c r="CS332" i="93"/>
  <c r="CT332" i="93"/>
  <c r="CU332" i="93"/>
  <c r="CV332" i="93"/>
  <c r="CW332" i="93"/>
  <c r="J333" i="93"/>
  <c r="K333" i="93"/>
  <c r="L333" i="93"/>
  <c r="M333" i="93"/>
  <c r="N333" i="93"/>
  <c r="O333" i="93"/>
  <c r="P333" i="93"/>
  <c r="Q333" i="93"/>
  <c r="R333" i="93"/>
  <c r="S333" i="93"/>
  <c r="T333" i="93"/>
  <c r="U333" i="93"/>
  <c r="V333" i="93"/>
  <c r="W333" i="93"/>
  <c r="X333" i="93"/>
  <c r="Y333" i="93"/>
  <c r="Z333" i="93"/>
  <c r="AA333" i="93"/>
  <c r="AB333" i="93"/>
  <c r="AC333" i="93"/>
  <c r="AD333" i="93"/>
  <c r="AE333" i="93"/>
  <c r="AF333" i="93"/>
  <c r="AG333" i="93"/>
  <c r="AH333" i="93"/>
  <c r="AI333" i="93"/>
  <c r="AJ333" i="93"/>
  <c r="AK333" i="93"/>
  <c r="AL333" i="93"/>
  <c r="AM333" i="93"/>
  <c r="AN333" i="93"/>
  <c r="AO333" i="93"/>
  <c r="AP333" i="93"/>
  <c r="AQ333" i="93"/>
  <c r="AR333" i="93"/>
  <c r="AS333" i="93"/>
  <c r="AT333" i="93"/>
  <c r="AU333" i="93"/>
  <c r="AV333" i="93"/>
  <c r="AW333" i="93"/>
  <c r="AX333" i="93"/>
  <c r="AY333" i="93"/>
  <c r="AZ333" i="93"/>
  <c r="BA333" i="93"/>
  <c r="BB333" i="93"/>
  <c r="BC333" i="93"/>
  <c r="BD333" i="93"/>
  <c r="BE333" i="93"/>
  <c r="BF333" i="93"/>
  <c r="BG333" i="93"/>
  <c r="BH333" i="93"/>
  <c r="BI333" i="93"/>
  <c r="BJ333" i="93"/>
  <c r="BK333" i="93"/>
  <c r="BL333" i="93"/>
  <c r="BM333" i="93"/>
  <c r="BN333" i="93"/>
  <c r="BO333" i="93"/>
  <c r="BP333" i="93"/>
  <c r="BQ333" i="93"/>
  <c r="BR333" i="93"/>
  <c r="BS333" i="93"/>
  <c r="BT333" i="93"/>
  <c r="BU333" i="93"/>
  <c r="BV333" i="93"/>
  <c r="BW333" i="93"/>
  <c r="BX333" i="93"/>
  <c r="BY333" i="93"/>
  <c r="BZ333" i="93"/>
  <c r="CA333" i="93"/>
  <c r="CB333" i="93"/>
  <c r="CC333" i="93"/>
  <c r="CD333" i="93"/>
  <c r="CE333" i="93"/>
  <c r="CF333" i="93"/>
  <c r="CG333" i="93"/>
  <c r="CH333" i="93"/>
  <c r="CI333" i="93"/>
  <c r="CJ333" i="93"/>
  <c r="CK333" i="93"/>
  <c r="CL333" i="93"/>
  <c r="CM333" i="93"/>
  <c r="CN333" i="93"/>
  <c r="CO333" i="93"/>
  <c r="CP333" i="93"/>
  <c r="CQ333" i="93"/>
  <c r="CR333" i="93"/>
  <c r="CS333" i="93"/>
  <c r="CT333" i="93"/>
  <c r="CU333" i="93"/>
  <c r="CV333" i="93"/>
  <c r="CW333" i="93"/>
  <c r="J334" i="93"/>
  <c r="K334" i="93"/>
  <c r="L334" i="93"/>
  <c r="M334" i="93"/>
  <c r="N334" i="93"/>
  <c r="O334" i="93"/>
  <c r="P334" i="93"/>
  <c r="Q334" i="93"/>
  <c r="R334" i="93"/>
  <c r="S334" i="93"/>
  <c r="T334" i="93"/>
  <c r="U334" i="93"/>
  <c r="V334" i="93"/>
  <c r="W334" i="93"/>
  <c r="X334" i="93"/>
  <c r="Y334" i="93"/>
  <c r="Z334" i="93"/>
  <c r="AA334" i="93"/>
  <c r="AB334" i="93"/>
  <c r="AC334" i="93"/>
  <c r="AD334" i="93"/>
  <c r="AE334" i="93"/>
  <c r="AF334" i="93"/>
  <c r="AG334" i="93"/>
  <c r="AH334" i="93"/>
  <c r="AI334" i="93"/>
  <c r="AJ334" i="93"/>
  <c r="AK334" i="93"/>
  <c r="AL334" i="93"/>
  <c r="AM334" i="93"/>
  <c r="AN334" i="93"/>
  <c r="AO334" i="93"/>
  <c r="AP334" i="93"/>
  <c r="AQ334" i="93"/>
  <c r="AR334" i="93"/>
  <c r="AS334" i="93"/>
  <c r="AT334" i="93"/>
  <c r="AU334" i="93"/>
  <c r="AV334" i="93"/>
  <c r="AW334" i="93"/>
  <c r="AX334" i="93"/>
  <c r="AY334" i="93"/>
  <c r="AZ334" i="93"/>
  <c r="BA334" i="93"/>
  <c r="BB334" i="93"/>
  <c r="BC334" i="93"/>
  <c r="BD334" i="93"/>
  <c r="BE334" i="93"/>
  <c r="BF334" i="93"/>
  <c r="BG334" i="93"/>
  <c r="BH334" i="93"/>
  <c r="BI334" i="93"/>
  <c r="BJ334" i="93"/>
  <c r="BK334" i="93"/>
  <c r="BL334" i="93"/>
  <c r="BM334" i="93"/>
  <c r="BN334" i="93"/>
  <c r="BO334" i="93"/>
  <c r="BP334" i="93"/>
  <c r="BQ334" i="93"/>
  <c r="BR334" i="93"/>
  <c r="BS334" i="93"/>
  <c r="BT334" i="93"/>
  <c r="BU334" i="93"/>
  <c r="BV334" i="93"/>
  <c r="BW334" i="93"/>
  <c r="BX334" i="93"/>
  <c r="BY334" i="93"/>
  <c r="BZ334" i="93"/>
  <c r="CA334" i="93"/>
  <c r="CB334" i="93"/>
  <c r="CC334" i="93"/>
  <c r="CD334" i="93"/>
  <c r="CE334" i="93"/>
  <c r="CF334" i="93"/>
  <c r="CG334" i="93"/>
  <c r="CH334" i="93"/>
  <c r="CI334" i="93"/>
  <c r="CJ334" i="93"/>
  <c r="CK334" i="93"/>
  <c r="CL334" i="93"/>
  <c r="CM334" i="93"/>
  <c r="CN334" i="93"/>
  <c r="CO334" i="93"/>
  <c r="CP334" i="93"/>
  <c r="CQ334" i="93"/>
  <c r="CR334" i="93"/>
  <c r="CS334" i="93"/>
  <c r="CT334" i="93"/>
  <c r="CU334" i="93"/>
  <c r="CV334" i="93"/>
  <c r="CW334" i="93"/>
  <c r="J335" i="93"/>
  <c r="K335" i="93"/>
  <c r="L335" i="93"/>
  <c r="M335" i="93"/>
  <c r="N335" i="93"/>
  <c r="O335" i="93"/>
  <c r="P335" i="93"/>
  <c r="Q335" i="93"/>
  <c r="R335" i="93"/>
  <c r="S335" i="93"/>
  <c r="T335" i="93"/>
  <c r="U335" i="93"/>
  <c r="V335" i="93"/>
  <c r="W335" i="93"/>
  <c r="X335" i="93"/>
  <c r="Y335" i="93"/>
  <c r="Z335" i="93"/>
  <c r="AA335" i="93"/>
  <c r="AB335" i="93"/>
  <c r="AC335" i="93"/>
  <c r="AD335" i="93"/>
  <c r="AE335" i="93"/>
  <c r="AF335" i="93"/>
  <c r="AG335" i="93"/>
  <c r="AH335" i="93"/>
  <c r="AI335" i="93"/>
  <c r="AJ335" i="93"/>
  <c r="AK335" i="93"/>
  <c r="AL335" i="93"/>
  <c r="AM335" i="93"/>
  <c r="AN335" i="93"/>
  <c r="AO335" i="93"/>
  <c r="AP335" i="93"/>
  <c r="AQ335" i="93"/>
  <c r="AR335" i="93"/>
  <c r="AS335" i="93"/>
  <c r="AT335" i="93"/>
  <c r="AU335" i="93"/>
  <c r="AV335" i="93"/>
  <c r="AW335" i="93"/>
  <c r="AX335" i="93"/>
  <c r="AY335" i="93"/>
  <c r="AZ335" i="93"/>
  <c r="BA335" i="93"/>
  <c r="BB335" i="93"/>
  <c r="BC335" i="93"/>
  <c r="BD335" i="93"/>
  <c r="BE335" i="93"/>
  <c r="BF335" i="93"/>
  <c r="BG335" i="93"/>
  <c r="BH335" i="93"/>
  <c r="BI335" i="93"/>
  <c r="BJ335" i="93"/>
  <c r="BK335" i="93"/>
  <c r="BL335" i="93"/>
  <c r="BM335" i="93"/>
  <c r="BN335" i="93"/>
  <c r="BO335" i="93"/>
  <c r="BP335" i="93"/>
  <c r="BQ335" i="93"/>
  <c r="BR335" i="93"/>
  <c r="BS335" i="93"/>
  <c r="BT335" i="93"/>
  <c r="BU335" i="93"/>
  <c r="BV335" i="93"/>
  <c r="BW335" i="93"/>
  <c r="BX335" i="93"/>
  <c r="BY335" i="93"/>
  <c r="BZ335" i="93"/>
  <c r="CA335" i="93"/>
  <c r="CB335" i="93"/>
  <c r="CC335" i="93"/>
  <c r="CD335" i="93"/>
  <c r="CE335" i="93"/>
  <c r="CF335" i="93"/>
  <c r="CG335" i="93"/>
  <c r="CH335" i="93"/>
  <c r="CI335" i="93"/>
  <c r="CJ335" i="93"/>
  <c r="CK335" i="93"/>
  <c r="CL335" i="93"/>
  <c r="CM335" i="93"/>
  <c r="CN335" i="93"/>
  <c r="CO335" i="93"/>
  <c r="CP335" i="93"/>
  <c r="CQ335" i="93"/>
  <c r="CR335" i="93"/>
  <c r="CS335" i="93"/>
  <c r="CT335" i="93"/>
  <c r="CU335" i="93"/>
  <c r="CV335" i="93"/>
  <c r="CW335" i="93"/>
  <c r="J336" i="93"/>
  <c r="K336" i="93"/>
  <c r="L336" i="93"/>
  <c r="M336" i="93"/>
  <c r="N336" i="93"/>
  <c r="O336" i="93"/>
  <c r="P336" i="93"/>
  <c r="Q336" i="93"/>
  <c r="R336" i="93"/>
  <c r="S336" i="93"/>
  <c r="T336" i="93"/>
  <c r="U336" i="93"/>
  <c r="V336" i="93"/>
  <c r="W336" i="93"/>
  <c r="X336" i="93"/>
  <c r="Y336" i="93"/>
  <c r="Z336" i="93"/>
  <c r="AA336" i="93"/>
  <c r="AB336" i="93"/>
  <c r="AC336" i="93"/>
  <c r="AD336" i="93"/>
  <c r="AE336" i="93"/>
  <c r="AF336" i="93"/>
  <c r="AG336" i="93"/>
  <c r="AH336" i="93"/>
  <c r="AI336" i="93"/>
  <c r="AJ336" i="93"/>
  <c r="AK336" i="93"/>
  <c r="AL336" i="93"/>
  <c r="AM336" i="93"/>
  <c r="AN336" i="93"/>
  <c r="AO336" i="93"/>
  <c r="AP336" i="93"/>
  <c r="AQ336" i="93"/>
  <c r="AR336" i="93"/>
  <c r="AS336" i="93"/>
  <c r="AT336" i="93"/>
  <c r="AU336" i="93"/>
  <c r="AV336" i="93"/>
  <c r="AW336" i="93"/>
  <c r="AX336" i="93"/>
  <c r="AY336" i="93"/>
  <c r="AZ336" i="93"/>
  <c r="BA336" i="93"/>
  <c r="BB336" i="93"/>
  <c r="BC336" i="93"/>
  <c r="BD336" i="93"/>
  <c r="BE336" i="93"/>
  <c r="BF336" i="93"/>
  <c r="BG336" i="93"/>
  <c r="BH336" i="93"/>
  <c r="BI336" i="93"/>
  <c r="BJ336" i="93"/>
  <c r="BK336" i="93"/>
  <c r="BL336" i="93"/>
  <c r="BM336" i="93"/>
  <c r="BN336" i="93"/>
  <c r="BO336" i="93"/>
  <c r="BP336" i="93"/>
  <c r="BQ336" i="93"/>
  <c r="BR336" i="93"/>
  <c r="BS336" i="93"/>
  <c r="BT336" i="93"/>
  <c r="BU336" i="93"/>
  <c r="BV336" i="93"/>
  <c r="BW336" i="93"/>
  <c r="BX336" i="93"/>
  <c r="BY336" i="93"/>
  <c r="BZ336" i="93"/>
  <c r="CA336" i="93"/>
  <c r="CB336" i="93"/>
  <c r="CC336" i="93"/>
  <c r="CD336" i="93"/>
  <c r="CE336" i="93"/>
  <c r="CF336" i="93"/>
  <c r="CG336" i="93"/>
  <c r="CH336" i="93"/>
  <c r="CI336" i="93"/>
  <c r="CJ336" i="93"/>
  <c r="CK336" i="93"/>
  <c r="CL336" i="93"/>
  <c r="CM336" i="93"/>
  <c r="CN336" i="93"/>
  <c r="CO336" i="93"/>
  <c r="CP336" i="93"/>
  <c r="CQ336" i="93"/>
  <c r="CR336" i="93"/>
  <c r="CS336" i="93"/>
  <c r="CT336" i="93"/>
  <c r="CU336" i="93"/>
  <c r="CV336" i="93"/>
  <c r="CW336" i="93"/>
  <c r="J337" i="93"/>
  <c r="K337" i="93"/>
  <c r="L337" i="93"/>
  <c r="M337" i="93"/>
  <c r="N337" i="93"/>
  <c r="O337" i="93"/>
  <c r="P337" i="93"/>
  <c r="Q337" i="93"/>
  <c r="R337" i="93"/>
  <c r="S337" i="93"/>
  <c r="T337" i="93"/>
  <c r="U337" i="93"/>
  <c r="V337" i="93"/>
  <c r="W337" i="93"/>
  <c r="X337" i="93"/>
  <c r="Y337" i="93"/>
  <c r="Z337" i="93"/>
  <c r="AA337" i="93"/>
  <c r="AB337" i="93"/>
  <c r="AC337" i="93"/>
  <c r="AD337" i="93"/>
  <c r="AE337" i="93"/>
  <c r="AF337" i="93"/>
  <c r="AG337" i="93"/>
  <c r="AH337" i="93"/>
  <c r="AI337" i="93"/>
  <c r="AJ337" i="93"/>
  <c r="AK337" i="93"/>
  <c r="AL337" i="93"/>
  <c r="AM337" i="93"/>
  <c r="AN337" i="93"/>
  <c r="AO337" i="93"/>
  <c r="AP337" i="93"/>
  <c r="AQ337" i="93"/>
  <c r="AR337" i="93"/>
  <c r="AS337" i="93"/>
  <c r="AT337" i="93"/>
  <c r="AU337" i="93"/>
  <c r="AV337" i="93"/>
  <c r="AW337" i="93"/>
  <c r="AX337" i="93"/>
  <c r="AY337" i="93"/>
  <c r="AZ337" i="93"/>
  <c r="BA337" i="93"/>
  <c r="BB337" i="93"/>
  <c r="BC337" i="93"/>
  <c r="BD337" i="93"/>
  <c r="BE337" i="93"/>
  <c r="BF337" i="93"/>
  <c r="BG337" i="93"/>
  <c r="BH337" i="93"/>
  <c r="BI337" i="93"/>
  <c r="BJ337" i="93"/>
  <c r="BK337" i="93"/>
  <c r="BL337" i="93"/>
  <c r="BM337" i="93"/>
  <c r="BN337" i="93"/>
  <c r="BO337" i="93"/>
  <c r="BP337" i="93"/>
  <c r="BQ337" i="93"/>
  <c r="BR337" i="93"/>
  <c r="BS337" i="93"/>
  <c r="BT337" i="93"/>
  <c r="BU337" i="93"/>
  <c r="BV337" i="93"/>
  <c r="BW337" i="93"/>
  <c r="BX337" i="93"/>
  <c r="BY337" i="93"/>
  <c r="BZ337" i="93"/>
  <c r="CA337" i="93"/>
  <c r="CB337" i="93"/>
  <c r="CC337" i="93"/>
  <c r="CD337" i="93"/>
  <c r="CE337" i="93"/>
  <c r="CF337" i="93"/>
  <c r="CG337" i="93"/>
  <c r="CH337" i="93"/>
  <c r="CI337" i="93"/>
  <c r="CJ337" i="93"/>
  <c r="CK337" i="93"/>
  <c r="CL337" i="93"/>
  <c r="CM337" i="93"/>
  <c r="CN337" i="93"/>
  <c r="CO337" i="93"/>
  <c r="CP337" i="93"/>
  <c r="CQ337" i="93"/>
  <c r="CR337" i="93"/>
  <c r="CS337" i="93"/>
  <c r="CT337" i="93"/>
  <c r="CU337" i="93"/>
  <c r="CV337" i="93"/>
  <c r="CW337" i="93"/>
  <c r="J338" i="93"/>
  <c r="K338" i="93"/>
  <c r="L338" i="93"/>
  <c r="M338" i="93"/>
  <c r="N338" i="93"/>
  <c r="O338" i="93"/>
  <c r="P338" i="93"/>
  <c r="Q338" i="93"/>
  <c r="R338" i="93"/>
  <c r="S338" i="93"/>
  <c r="T338" i="93"/>
  <c r="U338" i="93"/>
  <c r="V338" i="93"/>
  <c r="W338" i="93"/>
  <c r="X338" i="93"/>
  <c r="Y338" i="93"/>
  <c r="Z338" i="93"/>
  <c r="AA338" i="93"/>
  <c r="AB338" i="93"/>
  <c r="AC338" i="93"/>
  <c r="AD338" i="93"/>
  <c r="AE338" i="93"/>
  <c r="AF338" i="93"/>
  <c r="AG338" i="93"/>
  <c r="AH338" i="93"/>
  <c r="AI338" i="93"/>
  <c r="AJ338" i="93"/>
  <c r="AK338" i="93"/>
  <c r="AL338" i="93"/>
  <c r="AM338" i="93"/>
  <c r="AN338" i="93"/>
  <c r="AO338" i="93"/>
  <c r="AP338" i="93"/>
  <c r="AQ338" i="93"/>
  <c r="AR338" i="93"/>
  <c r="AS338" i="93"/>
  <c r="AT338" i="93"/>
  <c r="AU338" i="93"/>
  <c r="AV338" i="93"/>
  <c r="AW338" i="93"/>
  <c r="AX338" i="93"/>
  <c r="AY338" i="93"/>
  <c r="AZ338" i="93"/>
  <c r="BA338" i="93"/>
  <c r="BB338" i="93"/>
  <c r="BC338" i="93"/>
  <c r="BD338" i="93"/>
  <c r="BE338" i="93"/>
  <c r="BF338" i="93"/>
  <c r="BG338" i="93"/>
  <c r="BH338" i="93"/>
  <c r="BI338" i="93"/>
  <c r="BJ338" i="93"/>
  <c r="BK338" i="93"/>
  <c r="BL338" i="93"/>
  <c r="BM338" i="93"/>
  <c r="BN338" i="93"/>
  <c r="BO338" i="93"/>
  <c r="BP338" i="93"/>
  <c r="BQ338" i="93"/>
  <c r="BR338" i="93"/>
  <c r="BS338" i="93"/>
  <c r="BT338" i="93"/>
  <c r="BU338" i="93"/>
  <c r="BV338" i="93"/>
  <c r="BW338" i="93"/>
  <c r="BX338" i="93"/>
  <c r="BY338" i="93"/>
  <c r="BZ338" i="93"/>
  <c r="CA338" i="93"/>
  <c r="CB338" i="93"/>
  <c r="CC338" i="93"/>
  <c r="CD338" i="93"/>
  <c r="CE338" i="93"/>
  <c r="CF338" i="93"/>
  <c r="CG338" i="93"/>
  <c r="CH338" i="93"/>
  <c r="CI338" i="93"/>
  <c r="CJ338" i="93"/>
  <c r="CK338" i="93"/>
  <c r="CL338" i="93"/>
  <c r="CM338" i="93"/>
  <c r="CN338" i="93"/>
  <c r="CO338" i="93"/>
  <c r="CP338" i="93"/>
  <c r="CQ338" i="93"/>
  <c r="CR338" i="93"/>
  <c r="CS338" i="93"/>
  <c r="CT338" i="93"/>
  <c r="CU338" i="93"/>
  <c r="CV338" i="93"/>
  <c r="CW338" i="93"/>
  <c r="J339" i="93"/>
  <c r="K339" i="93"/>
  <c r="L339" i="93"/>
  <c r="M339" i="93"/>
  <c r="N339" i="93"/>
  <c r="O339" i="93"/>
  <c r="P339" i="93"/>
  <c r="Q339" i="93"/>
  <c r="R339" i="93"/>
  <c r="S339" i="93"/>
  <c r="T339" i="93"/>
  <c r="U339" i="93"/>
  <c r="V339" i="93"/>
  <c r="W339" i="93"/>
  <c r="X339" i="93"/>
  <c r="Y339" i="93"/>
  <c r="Z339" i="93"/>
  <c r="AA339" i="93"/>
  <c r="AB339" i="93"/>
  <c r="AC339" i="93"/>
  <c r="AD339" i="93"/>
  <c r="AE339" i="93"/>
  <c r="AF339" i="93"/>
  <c r="AG339" i="93"/>
  <c r="AH339" i="93"/>
  <c r="AI339" i="93"/>
  <c r="AJ339" i="93"/>
  <c r="AK339" i="93"/>
  <c r="AL339" i="93"/>
  <c r="AM339" i="93"/>
  <c r="AN339" i="93"/>
  <c r="AO339" i="93"/>
  <c r="AP339" i="93"/>
  <c r="AQ339" i="93"/>
  <c r="AR339" i="93"/>
  <c r="AS339" i="93"/>
  <c r="AT339" i="93"/>
  <c r="AU339" i="93"/>
  <c r="AV339" i="93"/>
  <c r="AW339" i="93"/>
  <c r="AX339" i="93"/>
  <c r="AY339" i="93"/>
  <c r="AZ339" i="93"/>
  <c r="BA339" i="93"/>
  <c r="BB339" i="93"/>
  <c r="BC339" i="93"/>
  <c r="BD339" i="93"/>
  <c r="BE339" i="93"/>
  <c r="BF339" i="93"/>
  <c r="BG339" i="93"/>
  <c r="BH339" i="93"/>
  <c r="BI339" i="93"/>
  <c r="BJ339" i="93"/>
  <c r="BK339" i="93"/>
  <c r="BL339" i="93"/>
  <c r="BM339" i="93"/>
  <c r="BN339" i="93"/>
  <c r="BO339" i="93"/>
  <c r="BP339" i="93"/>
  <c r="BQ339" i="93"/>
  <c r="BR339" i="93"/>
  <c r="BS339" i="93"/>
  <c r="BT339" i="93"/>
  <c r="BU339" i="93"/>
  <c r="BV339" i="93"/>
  <c r="BW339" i="93"/>
  <c r="BX339" i="93"/>
  <c r="BY339" i="93"/>
  <c r="BZ339" i="93"/>
  <c r="CA339" i="93"/>
  <c r="CB339" i="93"/>
  <c r="CC339" i="93"/>
  <c r="CD339" i="93"/>
  <c r="CE339" i="93"/>
  <c r="CF339" i="93"/>
  <c r="CG339" i="93"/>
  <c r="CH339" i="93"/>
  <c r="CI339" i="93"/>
  <c r="CJ339" i="93"/>
  <c r="CK339" i="93"/>
  <c r="CL339" i="93"/>
  <c r="CM339" i="93"/>
  <c r="CN339" i="93"/>
  <c r="CO339" i="93"/>
  <c r="CP339" i="93"/>
  <c r="CQ339" i="93"/>
  <c r="CR339" i="93"/>
  <c r="CS339" i="93"/>
  <c r="CT339" i="93"/>
  <c r="CU339" i="93"/>
  <c r="CV339" i="93"/>
  <c r="CW339" i="93"/>
  <c r="J340" i="93"/>
  <c r="K340" i="93"/>
  <c r="L340" i="93"/>
  <c r="M340" i="93"/>
  <c r="N340" i="93"/>
  <c r="O340" i="93"/>
  <c r="P340" i="93"/>
  <c r="Q340" i="93"/>
  <c r="R340" i="93"/>
  <c r="S340" i="93"/>
  <c r="T340" i="93"/>
  <c r="U340" i="93"/>
  <c r="V340" i="93"/>
  <c r="W340" i="93"/>
  <c r="X340" i="93"/>
  <c r="Y340" i="93"/>
  <c r="Z340" i="93"/>
  <c r="AA340" i="93"/>
  <c r="AB340" i="93"/>
  <c r="AC340" i="93"/>
  <c r="AD340" i="93"/>
  <c r="AE340" i="93"/>
  <c r="AF340" i="93"/>
  <c r="AG340" i="93"/>
  <c r="AH340" i="93"/>
  <c r="AI340" i="93"/>
  <c r="AJ340" i="93"/>
  <c r="AK340" i="93"/>
  <c r="AL340" i="93"/>
  <c r="AM340" i="93"/>
  <c r="AN340" i="93"/>
  <c r="AO340" i="93"/>
  <c r="AP340" i="93"/>
  <c r="AQ340" i="93"/>
  <c r="AR340" i="93"/>
  <c r="AS340" i="93"/>
  <c r="AT340" i="93"/>
  <c r="AU340" i="93"/>
  <c r="AV340" i="93"/>
  <c r="AW340" i="93"/>
  <c r="AX340" i="93"/>
  <c r="AY340" i="93"/>
  <c r="AZ340" i="93"/>
  <c r="BA340" i="93"/>
  <c r="BB340" i="93"/>
  <c r="BC340" i="93"/>
  <c r="BD340" i="93"/>
  <c r="BE340" i="93"/>
  <c r="BF340" i="93"/>
  <c r="BG340" i="93"/>
  <c r="BH340" i="93"/>
  <c r="BI340" i="93"/>
  <c r="BJ340" i="93"/>
  <c r="BK340" i="93"/>
  <c r="BL340" i="93"/>
  <c r="BM340" i="93"/>
  <c r="BN340" i="93"/>
  <c r="BO340" i="93"/>
  <c r="BP340" i="93"/>
  <c r="BQ340" i="93"/>
  <c r="BR340" i="93"/>
  <c r="BS340" i="93"/>
  <c r="BT340" i="93"/>
  <c r="BU340" i="93"/>
  <c r="BV340" i="93"/>
  <c r="BW340" i="93"/>
  <c r="BX340" i="93"/>
  <c r="BY340" i="93"/>
  <c r="BZ340" i="93"/>
  <c r="CA340" i="93"/>
  <c r="CB340" i="93"/>
  <c r="CC340" i="93"/>
  <c r="CD340" i="93"/>
  <c r="CE340" i="93"/>
  <c r="CF340" i="93"/>
  <c r="CG340" i="93"/>
  <c r="CH340" i="93"/>
  <c r="CI340" i="93"/>
  <c r="CJ340" i="93"/>
  <c r="CK340" i="93"/>
  <c r="CL340" i="93"/>
  <c r="CM340" i="93"/>
  <c r="CN340" i="93"/>
  <c r="CO340" i="93"/>
  <c r="CP340" i="93"/>
  <c r="CQ340" i="93"/>
  <c r="CR340" i="93"/>
  <c r="CS340" i="93"/>
  <c r="CT340" i="93"/>
  <c r="CU340" i="93"/>
  <c r="CV340" i="93"/>
  <c r="CW340" i="93"/>
  <c r="J341" i="93"/>
  <c r="K341" i="93"/>
  <c r="L341" i="93"/>
  <c r="M341" i="93"/>
  <c r="N341" i="93"/>
  <c r="O341" i="93"/>
  <c r="P341" i="93"/>
  <c r="Q341" i="93"/>
  <c r="R341" i="93"/>
  <c r="S341" i="93"/>
  <c r="T341" i="93"/>
  <c r="U341" i="93"/>
  <c r="V341" i="93"/>
  <c r="W341" i="93"/>
  <c r="X341" i="93"/>
  <c r="Y341" i="93"/>
  <c r="Z341" i="93"/>
  <c r="AA341" i="93"/>
  <c r="AB341" i="93"/>
  <c r="AC341" i="93"/>
  <c r="AD341" i="93"/>
  <c r="AE341" i="93"/>
  <c r="AF341" i="93"/>
  <c r="AG341" i="93"/>
  <c r="AH341" i="93"/>
  <c r="AI341" i="93"/>
  <c r="AJ341" i="93"/>
  <c r="AK341" i="93"/>
  <c r="AL341" i="93"/>
  <c r="AM341" i="93"/>
  <c r="AN341" i="93"/>
  <c r="AO341" i="93"/>
  <c r="AP341" i="93"/>
  <c r="AQ341" i="93"/>
  <c r="AR341" i="93"/>
  <c r="AS341" i="93"/>
  <c r="AT341" i="93"/>
  <c r="AU341" i="93"/>
  <c r="AV341" i="93"/>
  <c r="AW341" i="93"/>
  <c r="AX341" i="93"/>
  <c r="AY341" i="93"/>
  <c r="AZ341" i="93"/>
  <c r="BA341" i="93"/>
  <c r="BB341" i="93"/>
  <c r="BC341" i="93"/>
  <c r="BD341" i="93"/>
  <c r="BE341" i="93"/>
  <c r="BF341" i="93"/>
  <c r="BG341" i="93"/>
  <c r="BH341" i="93"/>
  <c r="BI341" i="93"/>
  <c r="BJ341" i="93"/>
  <c r="BK341" i="93"/>
  <c r="BL341" i="93"/>
  <c r="BM341" i="93"/>
  <c r="BN341" i="93"/>
  <c r="BO341" i="93"/>
  <c r="BP341" i="93"/>
  <c r="BQ341" i="93"/>
  <c r="BR341" i="93"/>
  <c r="BS341" i="93"/>
  <c r="BT341" i="93"/>
  <c r="BU341" i="93"/>
  <c r="BV341" i="93"/>
  <c r="BW341" i="93"/>
  <c r="BX341" i="93"/>
  <c r="BY341" i="93"/>
  <c r="BZ341" i="93"/>
  <c r="CA341" i="93"/>
  <c r="CB341" i="93"/>
  <c r="CC341" i="93"/>
  <c r="CD341" i="93"/>
  <c r="CE341" i="93"/>
  <c r="CF341" i="93"/>
  <c r="CG341" i="93"/>
  <c r="CH341" i="93"/>
  <c r="CI341" i="93"/>
  <c r="CJ341" i="93"/>
  <c r="CK341" i="93"/>
  <c r="CL341" i="93"/>
  <c r="CM341" i="93"/>
  <c r="CN341" i="93"/>
  <c r="CO341" i="93"/>
  <c r="CP341" i="93"/>
  <c r="CQ341" i="93"/>
  <c r="CR341" i="93"/>
  <c r="CS341" i="93"/>
  <c r="CT341" i="93"/>
  <c r="CU341" i="93"/>
  <c r="CV341" i="93"/>
  <c r="CW341" i="93"/>
  <c r="J342" i="93"/>
  <c r="K342" i="93"/>
  <c r="L342" i="93"/>
  <c r="M342" i="93"/>
  <c r="N342" i="93"/>
  <c r="O342" i="93"/>
  <c r="P342" i="93"/>
  <c r="Q342" i="93"/>
  <c r="R342" i="93"/>
  <c r="S342" i="93"/>
  <c r="T342" i="93"/>
  <c r="U342" i="93"/>
  <c r="V342" i="93"/>
  <c r="W342" i="93"/>
  <c r="X342" i="93"/>
  <c r="Y342" i="93"/>
  <c r="Z342" i="93"/>
  <c r="AA342" i="93"/>
  <c r="AB342" i="93"/>
  <c r="AC342" i="93"/>
  <c r="AD342" i="93"/>
  <c r="AE342" i="93"/>
  <c r="AF342" i="93"/>
  <c r="AG342" i="93"/>
  <c r="AH342" i="93"/>
  <c r="AI342" i="93"/>
  <c r="AJ342" i="93"/>
  <c r="AK342" i="93"/>
  <c r="AL342" i="93"/>
  <c r="AM342" i="93"/>
  <c r="AN342" i="93"/>
  <c r="AO342" i="93"/>
  <c r="AP342" i="93"/>
  <c r="AQ342" i="93"/>
  <c r="AR342" i="93"/>
  <c r="AS342" i="93"/>
  <c r="AT342" i="93"/>
  <c r="AU342" i="93"/>
  <c r="AV342" i="93"/>
  <c r="AW342" i="93"/>
  <c r="AX342" i="93"/>
  <c r="AY342" i="93"/>
  <c r="AZ342" i="93"/>
  <c r="BA342" i="93"/>
  <c r="BB342" i="93"/>
  <c r="BC342" i="93"/>
  <c r="BD342" i="93"/>
  <c r="BE342" i="93"/>
  <c r="BF342" i="93"/>
  <c r="BG342" i="93"/>
  <c r="BH342" i="93"/>
  <c r="BI342" i="93"/>
  <c r="BJ342" i="93"/>
  <c r="BK342" i="93"/>
  <c r="BL342" i="93"/>
  <c r="BM342" i="93"/>
  <c r="BN342" i="93"/>
  <c r="BO342" i="93"/>
  <c r="BP342" i="93"/>
  <c r="BQ342" i="93"/>
  <c r="BR342" i="93"/>
  <c r="BS342" i="93"/>
  <c r="BT342" i="93"/>
  <c r="BU342" i="93"/>
  <c r="BV342" i="93"/>
  <c r="BW342" i="93"/>
  <c r="BX342" i="93"/>
  <c r="BY342" i="93"/>
  <c r="BZ342" i="93"/>
  <c r="CA342" i="93"/>
  <c r="CB342" i="93"/>
  <c r="CC342" i="93"/>
  <c r="CD342" i="93"/>
  <c r="CE342" i="93"/>
  <c r="CF342" i="93"/>
  <c r="CG342" i="93"/>
  <c r="CH342" i="93"/>
  <c r="CI342" i="93"/>
  <c r="CJ342" i="93"/>
  <c r="CK342" i="93"/>
  <c r="CL342" i="93"/>
  <c r="CM342" i="93"/>
  <c r="CN342" i="93"/>
  <c r="CO342" i="93"/>
  <c r="CP342" i="93"/>
  <c r="CQ342" i="93"/>
  <c r="CR342" i="93"/>
  <c r="CS342" i="93"/>
  <c r="CT342" i="93"/>
  <c r="CU342" i="93"/>
  <c r="CV342" i="93"/>
  <c r="CW342" i="93"/>
  <c r="J343" i="93"/>
  <c r="K343" i="93"/>
  <c r="L343" i="93"/>
  <c r="M343" i="93"/>
  <c r="N343" i="93"/>
  <c r="O343" i="93"/>
  <c r="P343" i="93"/>
  <c r="Q343" i="93"/>
  <c r="R343" i="93"/>
  <c r="S343" i="93"/>
  <c r="T343" i="93"/>
  <c r="U343" i="93"/>
  <c r="V343" i="93"/>
  <c r="W343" i="93"/>
  <c r="X343" i="93"/>
  <c r="Y343" i="93"/>
  <c r="Z343" i="93"/>
  <c r="AA343" i="93"/>
  <c r="AB343" i="93"/>
  <c r="AC343" i="93"/>
  <c r="AD343" i="93"/>
  <c r="AE343" i="93"/>
  <c r="AF343" i="93"/>
  <c r="AG343" i="93"/>
  <c r="AH343" i="93"/>
  <c r="AI343" i="93"/>
  <c r="AJ343" i="93"/>
  <c r="AK343" i="93"/>
  <c r="AL343" i="93"/>
  <c r="AM343" i="93"/>
  <c r="AN343" i="93"/>
  <c r="AO343" i="93"/>
  <c r="AP343" i="93"/>
  <c r="AQ343" i="93"/>
  <c r="AR343" i="93"/>
  <c r="AS343" i="93"/>
  <c r="AT343" i="93"/>
  <c r="AU343" i="93"/>
  <c r="AV343" i="93"/>
  <c r="AW343" i="93"/>
  <c r="AX343" i="93"/>
  <c r="AY343" i="93"/>
  <c r="AZ343" i="93"/>
  <c r="BA343" i="93"/>
  <c r="BB343" i="93"/>
  <c r="BC343" i="93"/>
  <c r="BD343" i="93"/>
  <c r="BE343" i="93"/>
  <c r="BF343" i="93"/>
  <c r="BG343" i="93"/>
  <c r="BH343" i="93"/>
  <c r="BI343" i="93"/>
  <c r="BJ343" i="93"/>
  <c r="BK343" i="93"/>
  <c r="BL343" i="93"/>
  <c r="BM343" i="93"/>
  <c r="BN343" i="93"/>
  <c r="BO343" i="93"/>
  <c r="BP343" i="93"/>
  <c r="BQ343" i="93"/>
  <c r="BR343" i="93"/>
  <c r="BS343" i="93"/>
  <c r="BT343" i="93"/>
  <c r="BU343" i="93"/>
  <c r="BV343" i="93"/>
  <c r="BW343" i="93"/>
  <c r="BX343" i="93"/>
  <c r="BY343" i="93"/>
  <c r="BZ343" i="93"/>
  <c r="CA343" i="93"/>
  <c r="CB343" i="93"/>
  <c r="CC343" i="93"/>
  <c r="CD343" i="93"/>
  <c r="CE343" i="93"/>
  <c r="CF343" i="93"/>
  <c r="CG343" i="93"/>
  <c r="CH343" i="93"/>
  <c r="CI343" i="93"/>
  <c r="CJ343" i="93"/>
  <c r="CK343" i="93"/>
  <c r="CL343" i="93"/>
  <c r="CM343" i="93"/>
  <c r="CN343" i="93"/>
  <c r="CO343" i="93"/>
  <c r="CP343" i="93"/>
  <c r="CQ343" i="93"/>
  <c r="CR343" i="93"/>
  <c r="CS343" i="93"/>
  <c r="CT343" i="93"/>
  <c r="CU343" i="93"/>
  <c r="CV343" i="93"/>
  <c r="CW343" i="93"/>
  <c r="J344" i="93"/>
  <c r="K344" i="93"/>
  <c r="L344" i="93"/>
  <c r="M344" i="93"/>
  <c r="N344" i="93"/>
  <c r="O344" i="93"/>
  <c r="P344" i="93"/>
  <c r="Q344" i="93"/>
  <c r="R344" i="93"/>
  <c r="S344" i="93"/>
  <c r="T344" i="93"/>
  <c r="U344" i="93"/>
  <c r="V344" i="93"/>
  <c r="W344" i="93"/>
  <c r="X344" i="93"/>
  <c r="Y344" i="93"/>
  <c r="Z344" i="93"/>
  <c r="AA344" i="93"/>
  <c r="AB344" i="93"/>
  <c r="AC344" i="93"/>
  <c r="AD344" i="93"/>
  <c r="AE344" i="93"/>
  <c r="AF344" i="93"/>
  <c r="AG344" i="93"/>
  <c r="AH344" i="93"/>
  <c r="AI344" i="93"/>
  <c r="AJ344" i="93"/>
  <c r="AK344" i="93"/>
  <c r="AL344" i="93"/>
  <c r="AM344" i="93"/>
  <c r="AN344" i="93"/>
  <c r="AO344" i="93"/>
  <c r="AP344" i="93"/>
  <c r="AQ344" i="93"/>
  <c r="AR344" i="93"/>
  <c r="AS344" i="93"/>
  <c r="AT344" i="93"/>
  <c r="AU344" i="93"/>
  <c r="AV344" i="93"/>
  <c r="AW344" i="93"/>
  <c r="AX344" i="93"/>
  <c r="AY344" i="93"/>
  <c r="AZ344" i="93"/>
  <c r="BA344" i="93"/>
  <c r="BB344" i="93"/>
  <c r="BC344" i="93"/>
  <c r="BD344" i="93"/>
  <c r="BE344" i="93"/>
  <c r="BF344" i="93"/>
  <c r="BG344" i="93"/>
  <c r="BH344" i="93"/>
  <c r="BI344" i="93"/>
  <c r="BJ344" i="93"/>
  <c r="BK344" i="93"/>
  <c r="BL344" i="93"/>
  <c r="BM344" i="93"/>
  <c r="BN344" i="93"/>
  <c r="BO344" i="93"/>
  <c r="BP344" i="93"/>
  <c r="BQ344" i="93"/>
  <c r="BR344" i="93"/>
  <c r="BS344" i="93"/>
  <c r="BT344" i="93"/>
  <c r="BU344" i="93"/>
  <c r="BV344" i="93"/>
  <c r="BW344" i="93"/>
  <c r="BX344" i="93"/>
  <c r="BY344" i="93"/>
  <c r="BZ344" i="93"/>
  <c r="CA344" i="93"/>
  <c r="CB344" i="93"/>
  <c r="CC344" i="93"/>
  <c r="CD344" i="93"/>
  <c r="CE344" i="93"/>
  <c r="CF344" i="93"/>
  <c r="CG344" i="93"/>
  <c r="CH344" i="93"/>
  <c r="CI344" i="93"/>
  <c r="CJ344" i="93"/>
  <c r="CK344" i="93"/>
  <c r="CL344" i="93"/>
  <c r="CM344" i="93"/>
  <c r="CN344" i="93"/>
  <c r="CO344" i="93"/>
  <c r="CP344" i="93"/>
  <c r="CQ344" i="93"/>
  <c r="CR344" i="93"/>
  <c r="CS344" i="93"/>
  <c r="CT344" i="93"/>
  <c r="CU344" i="93"/>
  <c r="CV344" i="93"/>
  <c r="CW344" i="93"/>
  <c r="J345" i="93"/>
  <c r="K345" i="93"/>
  <c r="L345" i="93"/>
  <c r="M345" i="93"/>
  <c r="N345" i="93"/>
  <c r="O345" i="93"/>
  <c r="P345" i="93"/>
  <c r="Q345" i="93"/>
  <c r="R345" i="93"/>
  <c r="S345" i="93"/>
  <c r="T345" i="93"/>
  <c r="U345" i="93"/>
  <c r="V345" i="93"/>
  <c r="W345" i="93"/>
  <c r="X345" i="93"/>
  <c r="Y345" i="93"/>
  <c r="Z345" i="93"/>
  <c r="AA345" i="93"/>
  <c r="AB345" i="93"/>
  <c r="AC345" i="93"/>
  <c r="AD345" i="93"/>
  <c r="AE345" i="93"/>
  <c r="AF345" i="93"/>
  <c r="AG345" i="93"/>
  <c r="AH345" i="93"/>
  <c r="AI345" i="93"/>
  <c r="AJ345" i="93"/>
  <c r="AK345" i="93"/>
  <c r="AL345" i="93"/>
  <c r="AM345" i="93"/>
  <c r="AN345" i="93"/>
  <c r="AO345" i="93"/>
  <c r="AP345" i="93"/>
  <c r="AQ345" i="93"/>
  <c r="AR345" i="93"/>
  <c r="AS345" i="93"/>
  <c r="AT345" i="93"/>
  <c r="AU345" i="93"/>
  <c r="AV345" i="93"/>
  <c r="AW345" i="93"/>
  <c r="AX345" i="93"/>
  <c r="AY345" i="93"/>
  <c r="AZ345" i="93"/>
  <c r="BA345" i="93"/>
  <c r="BB345" i="93"/>
  <c r="BC345" i="93"/>
  <c r="BD345" i="93"/>
  <c r="BE345" i="93"/>
  <c r="BF345" i="93"/>
  <c r="BG345" i="93"/>
  <c r="BH345" i="93"/>
  <c r="BI345" i="93"/>
  <c r="BJ345" i="93"/>
  <c r="BK345" i="93"/>
  <c r="BL345" i="93"/>
  <c r="BM345" i="93"/>
  <c r="BN345" i="93"/>
  <c r="BO345" i="93"/>
  <c r="BP345" i="93"/>
  <c r="BQ345" i="93"/>
  <c r="BR345" i="93"/>
  <c r="BS345" i="93"/>
  <c r="BT345" i="93"/>
  <c r="BU345" i="93"/>
  <c r="BV345" i="93"/>
  <c r="BW345" i="93"/>
  <c r="BX345" i="93"/>
  <c r="BY345" i="93"/>
  <c r="BZ345" i="93"/>
  <c r="CA345" i="93"/>
  <c r="CB345" i="93"/>
  <c r="CC345" i="93"/>
  <c r="CD345" i="93"/>
  <c r="CE345" i="93"/>
  <c r="CF345" i="93"/>
  <c r="CG345" i="93"/>
  <c r="CH345" i="93"/>
  <c r="CI345" i="93"/>
  <c r="CJ345" i="93"/>
  <c r="CK345" i="93"/>
  <c r="CL345" i="93"/>
  <c r="CM345" i="93"/>
  <c r="CN345" i="93"/>
  <c r="CO345" i="93"/>
  <c r="CP345" i="93"/>
  <c r="CQ345" i="93"/>
  <c r="CR345" i="93"/>
  <c r="CS345" i="93"/>
  <c r="CT345" i="93"/>
  <c r="CU345" i="93"/>
  <c r="CV345" i="93"/>
  <c r="CW345" i="93"/>
  <c r="J346" i="93"/>
  <c r="K346" i="93"/>
  <c r="L346" i="93"/>
  <c r="M346" i="93"/>
  <c r="N346" i="93"/>
  <c r="O346" i="93"/>
  <c r="P346" i="93"/>
  <c r="Q346" i="93"/>
  <c r="R346" i="93"/>
  <c r="S346" i="93"/>
  <c r="T346" i="93"/>
  <c r="U346" i="93"/>
  <c r="V346" i="93"/>
  <c r="W346" i="93"/>
  <c r="X346" i="93"/>
  <c r="Y346" i="93"/>
  <c r="Z346" i="93"/>
  <c r="AA346" i="93"/>
  <c r="AB346" i="93"/>
  <c r="AC346" i="93"/>
  <c r="AD346" i="93"/>
  <c r="AE346" i="93"/>
  <c r="AF346" i="93"/>
  <c r="AG346" i="93"/>
  <c r="AH346" i="93"/>
  <c r="AI346" i="93"/>
  <c r="AJ346" i="93"/>
  <c r="AK346" i="93"/>
  <c r="AL346" i="93"/>
  <c r="AM346" i="93"/>
  <c r="AN346" i="93"/>
  <c r="AO346" i="93"/>
  <c r="AP346" i="93"/>
  <c r="AQ346" i="93"/>
  <c r="AR346" i="93"/>
  <c r="AS346" i="93"/>
  <c r="AT346" i="93"/>
  <c r="AU346" i="93"/>
  <c r="AV346" i="93"/>
  <c r="AW346" i="93"/>
  <c r="AX346" i="93"/>
  <c r="AY346" i="93"/>
  <c r="AZ346" i="93"/>
  <c r="BA346" i="93"/>
  <c r="BB346" i="93"/>
  <c r="BC346" i="93"/>
  <c r="BD346" i="93"/>
  <c r="BE346" i="93"/>
  <c r="BF346" i="93"/>
  <c r="BG346" i="93"/>
  <c r="BH346" i="93"/>
  <c r="BI346" i="93"/>
  <c r="BJ346" i="93"/>
  <c r="BK346" i="93"/>
  <c r="BL346" i="93"/>
  <c r="BM346" i="93"/>
  <c r="BN346" i="93"/>
  <c r="BO346" i="93"/>
  <c r="BP346" i="93"/>
  <c r="BQ346" i="93"/>
  <c r="BR346" i="93"/>
  <c r="BS346" i="93"/>
  <c r="BT346" i="93"/>
  <c r="BU346" i="93"/>
  <c r="BV346" i="93"/>
  <c r="BW346" i="93"/>
  <c r="BX346" i="93"/>
  <c r="BY346" i="93"/>
  <c r="BZ346" i="93"/>
  <c r="CA346" i="93"/>
  <c r="CB346" i="93"/>
  <c r="CC346" i="93"/>
  <c r="CD346" i="93"/>
  <c r="CE346" i="93"/>
  <c r="CF346" i="93"/>
  <c r="CG346" i="93"/>
  <c r="CH346" i="93"/>
  <c r="CI346" i="93"/>
  <c r="CJ346" i="93"/>
  <c r="CK346" i="93"/>
  <c r="CL346" i="93"/>
  <c r="CM346" i="93"/>
  <c r="CN346" i="93"/>
  <c r="CO346" i="93"/>
  <c r="CP346" i="93"/>
  <c r="CQ346" i="93"/>
  <c r="CR346" i="93"/>
  <c r="CS346" i="93"/>
  <c r="CT346" i="93"/>
  <c r="CU346" i="93"/>
  <c r="CV346" i="93"/>
  <c r="CW346" i="93"/>
  <c r="J347" i="93"/>
  <c r="K347" i="93"/>
  <c r="L347" i="93"/>
  <c r="M347" i="93"/>
  <c r="N347" i="93"/>
  <c r="O347" i="93"/>
  <c r="P347" i="93"/>
  <c r="Q347" i="93"/>
  <c r="R347" i="93"/>
  <c r="S347" i="93"/>
  <c r="T347" i="93"/>
  <c r="U347" i="93"/>
  <c r="V347" i="93"/>
  <c r="W347" i="93"/>
  <c r="X347" i="93"/>
  <c r="Y347" i="93"/>
  <c r="Z347" i="93"/>
  <c r="AA347" i="93"/>
  <c r="AB347" i="93"/>
  <c r="AC347" i="93"/>
  <c r="AD347" i="93"/>
  <c r="AE347" i="93"/>
  <c r="AF347" i="93"/>
  <c r="AG347" i="93"/>
  <c r="AH347" i="93"/>
  <c r="AI347" i="93"/>
  <c r="AJ347" i="93"/>
  <c r="AK347" i="93"/>
  <c r="AL347" i="93"/>
  <c r="AM347" i="93"/>
  <c r="AN347" i="93"/>
  <c r="AO347" i="93"/>
  <c r="AP347" i="93"/>
  <c r="AQ347" i="93"/>
  <c r="AR347" i="93"/>
  <c r="AS347" i="93"/>
  <c r="AT347" i="93"/>
  <c r="AU347" i="93"/>
  <c r="AV347" i="93"/>
  <c r="AW347" i="93"/>
  <c r="AX347" i="93"/>
  <c r="AY347" i="93"/>
  <c r="AZ347" i="93"/>
  <c r="BA347" i="93"/>
  <c r="BB347" i="93"/>
  <c r="BC347" i="93"/>
  <c r="BD347" i="93"/>
  <c r="BE347" i="93"/>
  <c r="BF347" i="93"/>
  <c r="BG347" i="93"/>
  <c r="BH347" i="93"/>
  <c r="BI347" i="93"/>
  <c r="BJ347" i="93"/>
  <c r="BK347" i="93"/>
  <c r="BL347" i="93"/>
  <c r="BM347" i="93"/>
  <c r="BN347" i="93"/>
  <c r="BO347" i="93"/>
  <c r="BP347" i="93"/>
  <c r="BQ347" i="93"/>
  <c r="BR347" i="93"/>
  <c r="BS347" i="93"/>
  <c r="BT347" i="93"/>
  <c r="BU347" i="93"/>
  <c r="BV347" i="93"/>
  <c r="BW347" i="93"/>
  <c r="BX347" i="93"/>
  <c r="BY347" i="93"/>
  <c r="BZ347" i="93"/>
  <c r="CA347" i="93"/>
  <c r="CB347" i="93"/>
  <c r="CC347" i="93"/>
  <c r="CD347" i="93"/>
  <c r="CE347" i="93"/>
  <c r="CF347" i="93"/>
  <c r="CG347" i="93"/>
  <c r="CH347" i="93"/>
  <c r="CI347" i="93"/>
  <c r="CJ347" i="93"/>
  <c r="CK347" i="93"/>
  <c r="CL347" i="93"/>
  <c r="CM347" i="93"/>
  <c r="CN347" i="93"/>
  <c r="CO347" i="93"/>
  <c r="CP347" i="93"/>
  <c r="CQ347" i="93"/>
  <c r="CR347" i="93"/>
  <c r="CS347" i="93"/>
  <c r="CT347" i="93"/>
  <c r="CU347" i="93"/>
  <c r="CV347" i="93"/>
  <c r="CW347" i="93"/>
  <c r="J348" i="93"/>
  <c r="K348" i="93"/>
  <c r="L348" i="93"/>
  <c r="M348" i="93"/>
  <c r="N348" i="93"/>
  <c r="O348" i="93"/>
  <c r="P348" i="93"/>
  <c r="Q348" i="93"/>
  <c r="R348" i="93"/>
  <c r="S348" i="93"/>
  <c r="T348" i="93"/>
  <c r="U348" i="93"/>
  <c r="V348" i="93"/>
  <c r="W348" i="93"/>
  <c r="X348" i="93"/>
  <c r="Y348" i="93"/>
  <c r="Z348" i="93"/>
  <c r="AA348" i="93"/>
  <c r="AB348" i="93"/>
  <c r="AC348" i="93"/>
  <c r="AD348" i="93"/>
  <c r="AE348" i="93"/>
  <c r="AF348" i="93"/>
  <c r="AG348" i="93"/>
  <c r="AH348" i="93"/>
  <c r="AI348" i="93"/>
  <c r="AJ348" i="93"/>
  <c r="AK348" i="93"/>
  <c r="AL348" i="93"/>
  <c r="AM348" i="93"/>
  <c r="AN348" i="93"/>
  <c r="AO348" i="93"/>
  <c r="AP348" i="93"/>
  <c r="AQ348" i="93"/>
  <c r="AR348" i="93"/>
  <c r="AS348" i="93"/>
  <c r="AT348" i="93"/>
  <c r="AU348" i="93"/>
  <c r="AV348" i="93"/>
  <c r="AW348" i="93"/>
  <c r="AX348" i="93"/>
  <c r="AY348" i="93"/>
  <c r="AZ348" i="93"/>
  <c r="BA348" i="93"/>
  <c r="BB348" i="93"/>
  <c r="BC348" i="93"/>
  <c r="BD348" i="93"/>
  <c r="BE348" i="93"/>
  <c r="BF348" i="93"/>
  <c r="BG348" i="93"/>
  <c r="BH348" i="93"/>
  <c r="BI348" i="93"/>
  <c r="BJ348" i="93"/>
  <c r="BK348" i="93"/>
  <c r="BL348" i="93"/>
  <c r="BM348" i="93"/>
  <c r="BN348" i="93"/>
  <c r="BO348" i="93"/>
  <c r="BP348" i="93"/>
  <c r="BQ348" i="93"/>
  <c r="BR348" i="93"/>
  <c r="BS348" i="93"/>
  <c r="BT348" i="93"/>
  <c r="BU348" i="93"/>
  <c r="BV348" i="93"/>
  <c r="BW348" i="93"/>
  <c r="BX348" i="93"/>
  <c r="BY348" i="93"/>
  <c r="BZ348" i="93"/>
  <c r="CA348" i="93"/>
  <c r="CB348" i="93"/>
  <c r="CC348" i="93"/>
  <c r="CD348" i="93"/>
  <c r="CE348" i="93"/>
  <c r="CF348" i="93"/>
  <c r="CG348" i="93"/>
  <c r="CH348" i="93"/>
  <c r="CI348" i="93"/>
  <c r="CJ348" i="93"/>
  <c r="CK348" i="93"/>
  <c r="CL348" i="93"/>
  <c r="CM348" i="93"/>
  <c r="CN348" i="93"/>
  <c r="CO348" i="93"/>
  <c r="CP348" i="93"/>
  <c r="CQ348" i="93"/>
  <c r="CR348" i="93"/>
  <c r="CS348" i="93"/>
  <c r="CT348" i="93"/>
  <c r="CU348" i="93"/>
  <c r="CV348" i="93"/>
  <c r="CW348" i="93"/>
  <c r="J349" i="93"/>
  <c r="K349" i="93"/>
  <c r="L349" i="93"/>
  <c r="M349" i="93"/>
  <c r="N349" i="93"/>
  <c r="O349" i="93"/>
  <c r="P349" i="93"/>
  <c r="Q349" i="93"/>
  <c r="R349" i="93"/>
  <c r="S349" i="93"/>
  <c r="T349" i="93"/>
  <c r="U349" i="93"/>
  <c r="V349" i="93"/>
  <c r="W349" i="93"/>
  <c r="X349" i="93"/>
  <c r="Y349" i="93"/>
  <c r="Z349" i="93"/>
  <c r="AA349" i="93"/>
  <c r="AB349" i="93"/>
  <c r="AC349" i="93"/>
  <c r="AD349" i="93"/>
  <c r="AE349" i="93"/>
  <c r="AF349" i="93"/>
  <c r="AG349" i="93"/>
  <c r="AH349" i="93"/>
  <c r="AI349" i="93"/>
  <c r="AJ349" i="93"/>
  <c r="AK349" i="93"/>
  <c r="AL349" i="93"/>
  <c r="AM349" i="93"/>
  <c r="AN349" i="93"/>
  <c r="AO349" i="93"/>
  <c r="AP349" i="93"/>
  <c r="AQ349" i="93"/>
  <c r="AR349" i="93"/>
  <c r="AS349" i="93"/>
  <c r="AT349" i="93"/>
  <c r="AU349" i="93"/>
  <c r="AV349" i="93"/>
  <c r="AW349" i="93"/>
  <c r="AX349" i="93"/>
  <c r="AY349" i="93"/>
  <c r="AZ349" i="93"/>
  <c r="BA349" i="93"/>
  <c r="BB349" i="93"/>
  <c r="BC349" i="93"/>
  <c r="BD349" i="93"/>
  <c r="BE349" i="93"/>
  <c r="BF349" i="93"/>
  <c r="BG349" i="93"/>
  <c r="BH349" i="93"/>
  <c r="BI349" i="93"/>
  <c r="BJ349" i="93"/>
  <c r="BK349" i="93"/>
  <c r="BL349" i="93"/>
  <c r="BM349" i="93"/>
  <c r="BN349" i="93"/>
  <c r="BO349" i="93"/>
  <c r="BP349" i="93"/>
  <c r="BQ349" i="93"/>
  <c r="BR349" i="93"/>
  <c r="BS349" i="93"/>
  <c r="BT349" i="93"/>
  <c r="BU349" i="93"/>
  <c r="BV349" i="93"/>
  <c r="BW349" i="93"/>
  <c r="BX349" i="93"/>
  <c r="BY349" i="93"/>
  <c r="BZ349" i="93"/>
  <c r="CA349" i="93"/>
  <c r="CB349" i="93"/>
  <c r="CC349" i="93"/>
  <c r="CD349" i="93"/>
  <c r="CE349" i="93"/>
  <c r="CF349" i="93"/>
  <c r="CG349" i="93"/>
  <c r="CH349" i="93"/>
  <c r="CI349" i="93"/>
  <c r="CJ349" i="93"/>
  <c r="CK349" i="93"/>
  <c r="CL349" i="93"/>
  <c r="CM349" i="93"/>
  <c r="CN349" i="93"/>
  <c r="CO349" i="93"/>
  <c r="CP349" i="93"/>
  <c r="CQ349" i="93"/>
  <c r="CR349" i="93"/>
  <c r="CS349" i="93"/>
  <c r="CT349" i="93"/>
  <c r="CU349" i="93"/>
  <c r="CV349" i="93"/>
  <c r="CW349" i="93"/>
  <c r="J350" i="93"/>
  <c r="K350" i="93"/>
  <c r="L350" i="93"/>
  <c r="M350" i="93"/>
  <c r="N350" i="93"/>
  <c r="O350" i="93"/>
  <c r="P350" i="93"/>
  <c r="Q350" i="93"/>
  <c r="R350" i="93"/>
  <c r="S350" i="93"/>
  <c r="T350" i="93"/>
  <c r="U350" i="93"/>
  <c r="V350" i="93"/>
  <c r="W350" i="93"/>
  <c r="X350" i="93"/>
  <c r="Y350" i="93"/>
  <c r="Z350" i="93"/>
  <c r="AA350" i="93"/>
  <c r="AB350" i="93"/>
  <c r="AC350" i="93"/>
  <c r="AD350" i="93"/>
  <c r="AE350" i="93"/>
  <c r="AF350" i="93"/>
  <c r="AG350" i="93"/>
  <c r="AH350" i="93"/>
  <c r="AI350" i="93"/>
  <c r="AJ350" i="93"/>
  <c r="AK350" i="93"/>
  <c r="AL350" i="93"/>
  <c r="AM350" i="93"/>
  <c r="AN350" i="93"/>
  <c r="AO350" i="93"/>
  <c r="AP350" i="93"/>
  <c r="AQ350" i="93"/>
  <c r="AR350" i="93"/>
  <c r="AS350" i="93"/>
  <c r="AT350" i="93"/>
  <c r="AU350" i="93"/>
  <c r="AV350" i="93"/>
  <c r="AW350" i="93"/>
  <c r="AX350" i="93"/>
  <c r="AY350" i="93"/>
  <c r="AZ350" i="93"/>
  <c r="BA350" i="93"/>
  <c r="BB350" i="93"/>
  <c r="BC350" i="93"/>
  <c r="BD350" i="93"/>
  <c r="BE350" i="93"/>
  <c r="BF350" i="93"/>
  <c r="BG350" i="93"/>
  <c r="BH350" i="93"/>
  <c r="BI350" i="93"/>
  <c r="BJ350" i="93"/>
  <c r="BK350" i="93"/>
  <c r="BL350" i="93"/>
  <c r="BM350" i="93"/>
  <c r="BN350" i="93"/>
  <c r="BO350" i="93"/>
  <c r="BP350" i="93"/>
  <c r="BQ350" i="93"/>
  <c r="BR350" i="93"/>
  <c r="BS350" i="93"/>
  <c r="BT350" i="93"/>
  <c r="BU350" i="93"/>
  <c r="BV350" i="93"/>
  <c r="BW350" i="93"/>
  <c r="BX350" i="93"/>
  <c r="BY350" i="93"/>
  <c r="BZ350" i="93"/>
  <c r="CA350" i="93"/>
  <c r="CB350" i="93"/>
  <c r="CC350" i="93"/>
  <c r="CD350" i="93"/>
  <c r="CE350" i="93"/>
  <c r="CF350" i="93"/>
  <c r="CG350" i="93"/>
  <c r="CH350" i="93"/>
  <c r="CI350" i="93"/>
  <c r="CJ350" i="93"/>
  <c r="CK350" i="93"/>
  <c r="CL350" i="93"/>
  <c r="CM350" i="93"/>
  <c r="CN350" i="93"/>
  <c r="CO350" i="93"/>
  <c r="CP350" i="93"/>
  <c r="CQ350" i="93"/>
  <c r="CR350" i="93"/>
  <c r="CS350" i="93"/>
  <c r="CT350" i="93"/>
  <c r="CU350" i="93"/>
  <c r="CV350" i="93"/>
  <c r="CW350" i="93"/>
  <c r="J351" i="93"/>
  <c r="K351" i="93"/>
  <c r="L351" i="93"/>
  <c r="M351" i="93"/>
  <c r="N351" i="93"/>
  <c r="O351" i="93"/>
  <c r="P351" i="93"/>
  <c r="Q351" i="93"/>
  <c r="R351" i="93"/>
  <c r="S351" i="93"/>
  <c r="T351" i="93"/>
  <c r="U351" i="93"/>
  <c r="V351" i="93"/>
  <c r="W351" i="93"/>
  <c r="X351" i="93"/>
  <c r="Y351" i="93"/>
  <c r="Z351" i="93"/>
  <c r="AA351" i="93"/>
  <c r="AB351" i="93"/>
  <c r="AC351" i="93"/>
  <c r="AD351" i="93"/>
  <c r="AE351" i="93"/>
  <c r="AF351" i="93"/>
  <c r="AG351" i="93"/>
  <c r="AH351" i="93"/>
  <c r="AI351" i="93"/>
  <c r="AJ351" i="93"/>
  <c r="AK351" i="93"/>
  <c r="AL351" i="93"/>
  <c r="AM351" i="93"/>
  <c r="AN351" i="93"/>
  <c r="AO351" i="93"/>
  <c r="AP351" i="93"/>
  <c r="AQ351" i="93"/>
  <c r="AR351" i="93"/>
  <c r="AS351" i="93"/>
  <c r="AT351" i="93"/>
  <c r="AU351" i="93"/>
  <c r="AV351" i="93"/>
  <c r="AW351" i="93"/>
  <c r="AX351" i="93"/>
  <c r="AY351" i="93"/>
  <c r="AZ351" i="93"/>
  <c r="BA351" i="93"/>
  <c r="BB351" i="93"/>
  <c r="BC351" i="93"/>
  <c r="BD351" i="93"/>
  <c r="BE351" i="93"/>
  <c r="BF351" i="93"/>
  <c r="BG351" i="93"/>
  <c r="BH351" i="93"/>
  <c r="BI351" i="93"/>
  <c r="BJ351" i="93"/>
  <c r="BK351" i="93"/>
  <c r="BL351" i="93"/>
  <c r="BM351" i="93"/>
  <c r="BN351" i="93"/>
  <c r="BO351" i="93"/>
  <c r="BP351" i="93"/>
  <c r="BQ351" i="93"/>
  <c r="BR351" i="93"/>
  <c r="BS351" i="93"/>
  <c r="BT351" i="93"/>
  <c r="BU351" i="93"/>
  <c r="BV351" i="93"/>
  <c r="BW351" i="93"/>
  <c r="BX351" i="93"/>
  <c r="BY351" i="93"/>
  <c r="BZ351" i="93"/>
  <c r="CA351" i="93"/>
  <c r="CB351" i="93"/>
  <c r="CC351" i="93"/>
  <c r="CD351" i="93"/>
  <c r="CE351" i="93"/>
  <c r="CF351" i="93"/>
  <c r="CG351" i="93"/>
  <c r="CH351" i="93"/>
  <c r="CI351" i="93"/>
  <c r="CJ351" i="93"/>
  <c r="CK351" i="93"/>
  <c r="CL351" i="93"/>
  <c r="CM351" i="93"/>
  <c r="CN351" i="93"/>
  <c r="CO351" i="93"/>
  <c r="CP351" i="93"/>
  <c r="CQ351" i="93"/>
  <c r="CR351" i="93"/>
  <c r="CS351" i="93"/>
  <c r="CT351" i="93"/>
  <c r="CU351" i="93"/>
  <c r="CV351" i="93"/>
  <c r="CW351" i="93"/>
  <c r="J352" i="93"/>
  <c r="K352" i="93"/>
  <c r="L352" i="93"/>
  <c r="M352" i="93"/>
  <c r="N352" i="93"/>
  <c r="O352" i="93"/>
  <c r="P352" i="93"/>
  <c r="Q352" i="93"/>
  <c r="R352" i="93"/>
  <c r="S352" i="93"/>
  <c r="T352" i="93"/>
  <c r="U352" i="93"/>
  <c r="V352" i="93"/>
  <c r="W352" i="93"/>
  <c r="X352" i="93"/>
  <c r="Y352" i="93"/>
  <c r="Z352" i="93"/>
  <c r="AA352" i="93"/>
  <c r="AB352" i="93"/>
  <c r="AC352" i="93"/>
  <c r="AD352" i="93"/>
  <c r="AE352" i="93"/>
  <c r="AF352" i="93"/>
  <c r="AG352" i="93"/>
  <c r="AH352" i="93"/>
  <c r="AI352" i="93"/>
  <c r="AJ352" i="93"/>
  <c r="AK352" i="93"/>
  <c r="AL352" i="93"/>
  <c r="AM352" i="93"/>
  <c r="AN352" i="93"/>
  <c r="AO352" i="93"/>
  <c r="AP352" i="93"/>
  <c r="AQ352" i="93"/>
  <c r="AR352" i="93"/>
  <c r="AS352" i="93"/>
  <c r="AT352" i="93"/>
  <c r="AU352" i="93"/>
  <c r="AV352" i="93"/>
  <c r="AW352" i="93"/>
  <c r="AX352" i="93"/>
  <c r="AY352" i="93"/>
  <c r="AZ352" i="93"/>
  <c r="BA352" i="93"/>
  <c r="BB352" i="93"/>
  <c r="BC352" i="93"/>
  <c r="BD352" i="93"/>
  <c r="BE352" i="93"/>
  <c r="BF352" i="93"/>
  <c r="BG352" i="93"/>
  <c r="BH352" i="93"/>
  <c r="BI352" i="93"/>
  <c r="BJ352" i="93"/>
  <c r="BK352" i="93"/>
  <c r="BL352" i="93"/>
  <c r="BM352" i="93"/>
  <c r="BN352" i="93"/>
  <c r="BO352" i="93"/>
  <c r="BP352" i="93"/>
  <c r="BQ352" i="93"/>
  <c r="BR352" i="93"/>
  <c r="BS352" i="93"/>
  <c r="BT352" i="93"/>
  <c r="BU352" i="93"/>
  <c r="BV352" i="93"/>
  <c r="BW352" i="93"/>
  <c r="BX352" i="93"/>
  <c r="BY352" i="93"/>
  <c r="BZ352" i="93"/>
  <c r="CA352" i="93"/>
  <c r="CB352" i="93"/>
  <c r="CC352" i="93"/>
  <c r="CD352" i="93"/>
  <c r="CE352" i="93"/>
  <c r="CF352" i="93"/>
  <c r="CG352" i="93"/>
  <c r="CH352" i="93"/>
  <c r="CI352" i="93"/>
  <c r="CJ352" i="93"/>
  <c r="CK352" i="93"/>
  <c r="CL352" i="93"/>
  <c r="CM352" i="93"/>
  <c r="CN352" i="93"/>
  <c r="CO352" i="93"/>
  <c r="CP352" i="93"/>
  <c r="CQ352" i="93"/>
  <c r="CR352" i="93"/>
  <c r="CS352" i="93"/>
  <c r="CT352" i="93"/>
  <c r="CU352" i="93"/>
  <c r="CV352" i="93"/>
  <c r="CW352" i="93"/>
  <c r="J353" i="93"/>
  <c r="K353" i="93"/>
  <c r="L353" i="93"/>
  <c r="M353" i="93"/>
  <c r="N353" i="93"/>
  <c r="O353" i="93"/>
  <c r="P353" i="93"/>
  <c r="Q353" i="93"/>
  <c r="R353" i="93"/>
  <c r="S353" i="93"/>
  <c r="T353" i="93"/>
  <c r="U353" i="93"/>
  <c r="V353" i="93"/>
  <c r="W353" i="93"/>
  <c r="X353" i="93"/>
  <c r="Y353" i="93"/>
  <c r="Z353" i="93"/>
  <c r="AA353" i="93"/>
  <c r="AB353" i="93"/>
  <c r="AC353" i="93"/>
  <c r="AD353" i="93"/>
  <c r="AE353" i="93"/>
  <c r="AF353" i="93"/>
  <c r="AG353" i="93"/>
  <c r="AH353" i="93"/>
  <c r="AI353" i="93"/>
  <c r="AJ353" i="93"/>
  <c r="AK353" i="93"/>
  <c r="AL353" i="93"/>
  <c r="AM353" i="93"/>
  <c r="AN353" i="93"/>
  <c r="AO353" i="93"/>
  <c r="AP353" i="93"/>
  <c r="AQ353" i="93"/>
  <c r="AR353" i="93"/>
  <c r="AS353" i="93"/>
  <c r="AT353" i="93"/>
  <c r="AU353" i="93"/>
  <c r="AV353" i="93"/>
  <c r="AW353" i="93"/>
  <c r="AX353" i="93"/>
  <c r="AY353" i="93"/>
  <c r="AZ353" i="93"/>
  <c r="BA353" i="93"/>
  <c r="BB353" i="93"/>
  <c r="BC353" i="93"/>
  <c r="BD353" i="93"/>
  <c r="BE353" i="93"/>
  <c r="BF353" i="93"/>
  <c r="BG353" i="93"/>
  <c r="BH353" i="93"/>
  <c r="BI353" i="93"/>
  <c r="BJ353" i="93"/>
  <c r="BK353" i="93"/>
  <c r="BL353" i="93"/>
  <c r="BM353" i="93"/>
  <c r="BN353" i="93"/>
  <c r="BO353" i="93"/>
  <c r="BP353" i="93"/>
  <c r="BQ353" i="93"/>
  <c r="BR353" i="93"/>
  <c r="BS353" i="93"/>
  <c r="BT353" i="93"/>
  <c r="BU353" i="93"/>
  <c r="BV353" i="93"/>
  <c r="BW353" i="93"/>
  <c r="BX353" i="93"/>
  <c r="BY353" i="93"/>
  <c r="BZ353" i="93"/>
  <c r="CA353" i="93"/>
  <c r="CB353" i="93"/>
  <c r="CC353" i="93"/>
  <c r="CD353" i="93"/>
  <c r="CE353" i="93"/>
  <c r="CF353" i="93"/>
  <c r="CG353" i="93"/>
  <c r="CH353" i="93"/>
  <c r="CI353" i="93"/>
  <c r="CJ353" i="93"/>
  <c r="CK353" i="93"/>
  <c r="CL353" i="93"/>
  <c r="CM353" i="93"/>
  <c r="CN353" i="93"/>
  <c r="CO353" i="93"/>
  <c r="CP353" i="93"/>
  <c r="CQ353" i="93"/>
  <c r="CR353" i="93"/>
  <c r="CS353" i="93"/>
  <c r="CT353" i="93"/>
  <c r="CU353" i="93"/>
  <c r="CV353" i="93"/>
  <c r="CW353" i="93"/>
  <c r="J354" i="93"/>
  <c r="K354" i="93"/>
  <c r="L354" i="93"/>
  <c r="M354" i="93"/>
  <c r="N354" i="93"/>
  <c r="O354" i="93"/>
  <c r="P354" i="93"/>
  <c r="Q354" i="93"/>
  <c r="R354" i="93"/>
  <c r="S354" i="93"/>
  <c r="T354" i="93"/>
  <c r="U354" i="93"/>
  <c r="V354" i="93"/>
  <c r="W354" i="93"/>
  <c r="X354" i="93"/>
  <c r="Y354" i="93"/>
  <c r="Z354" i="93"/>
  <c r="AA354" i="93"/>
  <c r="AB354" i="93"/>
  <c r="AC354" i="93"/>
  <c r="AD354" i="93"/>
  <c r="AE354" i="93"/>
  <c r="AF354" i="93"/>
  <c r="AG354" i="93"/>
  <c r="AH354" i="93"/>
  <c r="AI354" i="93"/>
  <c r="AJ354" i="93"/>
  <c r="AK354" i="93"/>
  <c r="AL354" i="93"/>
  <c r="AM354" i="93"/>
  <c r="AN354" i="93"/>
  <c r="AO354" i="93"/>
  <c r="AP354" i="93"/>
  <c r="AQ354" i="93"/>
  <c r="AR354" i="93"/>
  <c r="AS354" i="93"/>
  <c r="AT354" i="93"/>
  <c r="AU354" i="93"/>
  <c r="AV354" i="93"/>
  <c r="AW354" i="93"/>
  <c r="AX354" i="93"/>
  <c r="AY354" i="93"/>
  <c r="AZ354" i="93"/>
  <c r="BA354" i="93"/>
  <c r="BB354" i="93"/>
  <c r="BC354" i="93"/>
  <c r="BD354" i="93"/>
  <c r="BE354" i="93"/>
  <c r="BF354" i="93"/>
  <c r="BG354" i="93"/>
  <c r="BH354" i="93"/>
  <c r="BI354" i="93"/>
  <c r="BJ354" i="93"/>
  <c r="BK354" i="93"/>
  <c r="BL354" i="93"/>
  <c r="BM354" i="93"/>
  <c r="BN354" i="93"/>
  <c r="BO354" i="93"/>
  <c r="BP354" i="93"/>
  <c r="BQ354" i="93"/>
  <c r="BR354" i="93"/>
  <c r="BS354" i="93"/>
  <c r="BT354" i="93"/>
  <c r="BU354" i="93"/>
  <c r="BV354" i="93"/>
  <c r="BW354" i="93"/>
  <c r="BX354" i="93"/>
  <c r="BY354" i="93"/>
  <c r="BZ354" i="93"/>
  <c r="CA354" i="93"/>
  <c r="CB354" i="93"/>
  <c r="CC354" i="93"/>
  <c r="CD354" i="93"/>
  <c r="CE354" i="93"/>
  <c r="CF354" i="93"/>
  <c r="CG354" i="93"/>
  <c r="CH354" i="93"/>
  <c r="CI354" i="93"/>
  <c r="CJ354" i="93"/>
  <c r="CK354" i="93"/>
  <c r="CL354" i="93"/>
  <c r="CM354" i="93"/>
  <c r="CN354" i="93"/>
  <c r="CO354" i="93"/>
  <c r="CP354" i="93"/>
  <c r="CQ354" i="93"/>
  <c r="CR354" i="93"/>
  <c r="CS354" i="93"/>
  <c r="CT354" i="93"/>
  <c r="CU354" i="93"/>
  <c r="CV354" i="93"/>
  <c r="CW354" i="93"/>
  <c r="J355" i="93"/>
  <c r="K355" i="93"/>
  <c r="L355" i="93"/>
  <c r="M355" i="93"/>
  <c r="N355" i="93"/>
  <c r="O355" i="93"/>
  <c r="P355" i="93"/>
  <c r="Q355" i="93"/>
  <c r="R355" i="93"/>
  <c r="S355" i="93"/>
  <c r="T355" i="93"/>
  <c r="U355" i="93"/>
  <c r="V355" i="93"/>
  <c r="W355" i="93"/>
  <c r="X355" i="93"/>
  <c r="Y355" i="93"/>
  <c r="Z355" i="93"/>
  <c r="AA355" i="93"/>
  <c r="AB355" i="93"/>
  <c r="AC355" i="93"/>
  <c r="AD355" i="93"/>
  <c r="AE355" i="93"/>
  <c r="AF355" i="93"/>
  <c r="AG355" i="93"/>
  <c r="AH355" i="93"/>
  <c r="AI355" i="93"/>
  <c r="AJ355" i="93"/>
  <c r="AK355" i="93"/>
  <c r="AL355" i="93"/>
  <c r="AM355" i="93"/>
  <c r="AN355" i="93"/>
  <c r="AO355" i="93"/>
  <c r="AP355" i="93"/>
  <c r="AQ355" i="93"/>
  <c r="AR355" i="93"/>
  <c r="AS355" i="93"/>
  <c r="AT355" i="93"/>
  <c r="AU355" i="93"/>
  <c r="AV355" i="93"/>
  <c r="AW355" i="93"/>
  <c r="AX355" i="93"/>
  <c r="AY355" i="93"/>
  <c r="AZ355" i="93"/>
  <c r="BA355" i="93"/>
  <c r="BB355" i="93"/>
  <c r="BC355" i="93"/>
  <c r="BD355" i="93"/>
  <c r="BE355" i="93"/>
  <c r="BF355" i="93"/>
  <c r="BG355" i="93"/>
  <c r="BH355" i="93"/>
  <c r="BI355" i="93"/>
  <c r="BJ355" i="93"/>
  <c r="BK355" i="93"/>
  <c r="BL355" i="93"/>
  <c r="BM355" i="93"/>
  <c r="BN355" i="93"/>
  <c r="BO355" i="93"/>
  <c r="BP355" i="93"/>
  <c r="BQ355" i="93"/>
  <c r="BR355" i="93"/>
  <c r="BS355" i="93"/>
  <c r="BT355" i="93"/>
  <c r="BU355" i="93"/>
  <c r="BV355" i="93"/>
  <c r="BW355" i="93"/>
  <c r="BX355" i="93"/>
  <c r="BY355" i="93"/>
  <c r="BZ355" i="93"/>
  <c r="CA355" i="93"/>
  <c r="CB355" i="93"/>
  <c r="CC355" i="93"/>
  <c r="CD355" i="93"/>
  <c r="CE355" i="93"/>
  <c r="CF355" i="93"/>
  <c r="CG355" i="93"/>
  <c r="CH355" i="93"/>
  <c r="CI355" i="93"/>
  <c r="CJ355" i="93"/>
  <c r="CK355" i="93"/>
  <c r="CL355" i="93"/>
  <c r="CM355" i="93"/>
  <c r="CN355" i="93"/>
  <c r="CO355" i="93"/>
  <c r="CP355" i="93"/>
  <c r="CQ355" i="93"/>
  <c r="CR355" i="93"/>
  <c r="CS355" i="93"/>
  <c r="CT355" i="93"/>
  <c r="CU355" i="93"/>
  <c r="CV355" i="93"/>
  <c r="CW355" i="93"/>
  <c r="J356" i="93"/>
  <c r="K356" i="93"/>
  <c r="L356" i="93"/>
  <c r="M356" i="93"/>
  <c r="N356" i="93"/>
  <c r="O356" i="93"/>
  <c r="P356" i="93"/>
  <c r="Q356" i="93"/>
  <c r="R356" i="93"/>
  <c r="S356" i="93"/>
  <c r="T356" i="93"/>
  <c r="U356" i="93"/>
  <c r="V356" i="93"/>
  <c r="W356" i="93"/>
  <c r="X356" i="93"/>
  <c r="Y356" i="93"/>
  <c r="Z356" i="93"/>
  <c r="AA356" i="93"/>
  <c r="AB356" i="93"/>
  <c r="AC356" i="93"/>
  <c r="AD356" i="93"/>
  <c r="AE356" i="93"/>
  <c r="AF356" i="93"/>
  <c r="AG356" i="93"/>
  <c r="AH356" i="93"/>
  <c r="AI356" i="93"/>
  <c r="AJ356" i="93"/>
  <c r="AK356" i="93"/>
  <c r="AL356" i="93"/>
  <c r="AM356" i="93"/>
  <c r="AN356" i="93"/>
  <c r="AO356" i="93"/>
  <c r="AP356" i="93"/>
  <c r="AQ356" i="93"/>
  <c r="AR356" i="93"/>
  <c r="AS356" i="93"/>
  <c r="AT356" i="93"/>
  <c r="AU356" i="93"/>
  <c r="AV356" i="93"/>
  <c r="AW356" i="93"/>
  <c r="AX356" i="93"/>
  <c r="AY356" i="93"/>
  <c r="AZ356" i="93"/>
  <c r="BA356" i="93"/>
  <c r="BB356" i="93"/>
  <c r="BC356" i="93"/>
  <c r="BD356" i="93"/>
  <c r="BE356" i="93"/>
  <c r="BF356" i="93"/>
  <c r="BG356" i="93"/>
  <c r="BH356" i="93"/>
  <c r="BI356" i="93"/>
  <c r="BJ356" i="93"/>
  <c r="BK356" i="93"/>
  <c r="BL356" i="93"/>
  <c r="BM356" i="93"/>
  <c r="BN356" i="93"/>
  <c r="BO356" i="93"/>
  <c r="BP356" i="93"/>
  <c r="BQ356" i="93"/>
  <c r="BR356" i="93"/>
  <c r="BS356" i="93"/>
  <c r="BT356" i="93"/>
  <c r="BU356" i="93"/>
  <c r="BV356" i="93"/>
  <c r="BW356" i="93"/>
  <c r="BX356" i="93"/>
  <c r="BY356" i="93"/>
  <c r="BZ356" i="93"/>
  <c r="CA356" i="93"/>
  <c r="CB356" i="93"/>
  <c r="CC356" i="93"/>
  <c r="CD356" i="93"/>
  <c r="CE356" i="93"/>
  <c r="CF356" i="93"/>
  <c r="CG356" i="93"/>
  <c r="CH356" i="93"/>
  <c r="CI356" i="93"/>
  <c r="CJ356" i="93"/>
  <c r="CK356" i="93"/>
  <c r="CL356" i="93"/>
  <c r="CM356" i="93"/>
  <c r="CN356" i="93"/>
  <c r="CO356" i="93"/>
  <c r="CP356" i="93"/>
  <c r="CQ356" i="93"/>
  <c r="CR356" i="93"/>
  <c r="CS356" i="93"/>
  <c r="CT356" i="93"/>
  <c r="CU356" i="93"/>
  <c r="CV356" i="93"/>
  <c r="CW356" i="93"/>
  <c r="J357" i="93"/>
  <c r="K357" i="93"/>
  <c r="L357" i="93"/>
  <c r="M357" i="93"/>
  <c r="N357" i="93"/>
  <c r="O357" i="93"/>
  <c r="P357" i="93"/>
  <c r="Q357" i="93"/>
  <c r="R357" i="93"/>
  <c r="S357" i="93"/>
  <c r="T357" i="93"/>
  <c r="U357" i="93"/>
  <c r="V357" i="93"/>
  <c r="W357" i="93"/>
  <c r="X357" i="93"/>
  <c r="Y357" i="93"/>
  <c r="Z357" i="93"/>
  <c r="AA357" i="93"/>
  <c r="AB357" i="93"/>
  <c r="AC357" i="93"/>
  <c r="AD357" i="93"/>
  <c r="AE357" i="93"/>
  <c r="AF357" i="93"/>
  <c r="AG357" i="93"/>
  <c r="AH357" i="93"/>
  <c r="AI357" i="93"/>
  <c r="AJ357" i="93"/>
  <c r="AK357" i="93"/>
  <c r="AL357" i="93"/>
  <c r="AM357" i="93"/>
  <c r="AN357" i="93"/>
  <c r="AO357" i="93"/>
  <c r="AP357" i="93"/>
  <c r="AQ357" i="93"/>
  <c r="AR357" i="93"/>
  <c r="AS357" i="93"/>
  <c r="AT357" i="93"/>
  <c r="AU357" i="93"/>
  <c r="AV357" i="93"/>
  <c r="AW357" i="93"/>
  <c r="AX357" i="93"/>
  <c r="AY357" i="93"/>
  <c r="AZ357" i="93"/>
  <c r="BA357" i="93"/>
  <c r="BB357" i="93"/>
  <c r="BC357" i="93"/>
  <c r="BD357" i="93"/>
  <c r="BE357" i="93"/>
  <c r="BF357" i="93"/>
  <c r="BG357" i="93"/>
  <c r="BH357" i="93"/>
  <c r="BI357" i="93"/>
  <c r="BJ357" i="93"/>
  <c r="BK357" i="93"/>
  <c r="BL357" i="93"/>
  <c r="BM357" i="93"/>
  <c r="BN357" i="93"/>
  <c r="BO357" i="93"/>
  <c r="BP357" i="93"/>
  <c r="BQ357" i="93"/>
  <c r="BR357" i="93"/>
  <c r="BS357" i="93"/>
  <c r="BT357" i="93"/>
  <c r="BU357" i="93"/>
  <c r="BV357" i="93"/>
  <c r="BW357" i="93"/>
  <c r="BX357" i="93"/>
  <c r="BY357" i="93"/>
  <c r="BZ357" i="93"/>
  <c r="CA357" i="93"/>
  <c r="CB357" i="93"/>
  <c r="CC357" i="93"/>
  <c r="CD357" i="93"/>
  <c r="CE357" i="93"/>
  <c r="CF357" i="93"/>
  <c r="CG357" i="93"/>
  <c r="CH357" i="93"/>
  <c r="CI357" i="93"/>
  <c r="CJ357" i="93"/>
  <c r="CK357" i="93"/>
  <c r="CL357" i="93"/>
  <c r="CM357" i="93"/>
  <c r="CN357" i="93"/>
  <c r="CO357" i="93"/>
  <c r="CP357" i="93"/>
  <c r="CQ357" i="93"/>
  <c r="CR357" i="93"/>
  <c r="CS357" i="93"/>
  <c r="CT357" i="93"/>
  <c r="CU357" i="93"/>
  <c r="CV357" i="93"/>
  <c r="CW357" i="93"/>
  <c r="J358" i="93"/>
  <c r="K358" i="93"/>
  <c r="L358" i="93"/>
  <c r="M358" i="93"/>
  <c r="N358" i="93"/>
  <c r="O358" i="93"/>
  <c r="P358" i="93"/>
  <c r="Q358" i="93"/>
  <c r="R358" i="93"/>
  <c r="S358" i="93"/>
  <c r="T358" i="93"/>
  <c r="U358" i="93"/>
  <c r="V358" i="93"/>
  <c r="W358" i="93"/>
  <c r="X358" i="93"/>
  <c r="Y358" i="93"/>
  <c r="Z358" i="93"/>
  <c r="AA358" i="93"/>
  <c r="AB358" i="93"/>
  <c r="AC358" i="93"/>
  <c r="AD358" i="93"/>
  <c r="AE358" i="93"/>
  <c r="AF358" i="93"/>
  <c r="AG358" i="93"/>
  <c r="AH358" i="93"/>
  <c r="AI358" i="93"/>
  <c r="AJ358" i="93"/>
  <c r="AK358" i="93"/>
  <c r="AL358" i="93"/>
  <c r="AM358" i="93"/>
  <c r="AN358" i="93"/>
  <c r="AO358" i="93"/>
  <c r="AP358" i="93"/>
  <c r="AQ358" i="93"/>
  <c r="AR358" i="93"/>
  <c r="AS358" i="93"/>
  <c r="AT358" i="93"/>
  <c r="AU358" i="93"/>
  <c r="AV358" i="93"/>
  <c r="AW358" i="93"/>
  <c r="AX358" i="93"/>
  <c r="AY358" i="93"/>
  <c r="AZ358" i="93"/>
  <c r="BA358" i="93"/>
  <c r="BB358" i="93"/>
  <c r="BC358" i="93"/>
  <c r="BD358" i="93"/>
  <c r="BE358" i="93"/>
  <c r="BF358" i="93"/>
  <c r="BG358" i="93"/>
  <c r="BH358" i="93"/>
  <c r="BI358" i="93"/>
  <c r="BJ358" i="93"/>
  <c r="BK358" i="93"/>
  <c r="BL358" i="93"/>
  <c r="BM358" i="93"/>
  <c r="BN358" i="93"/>
  <c r="BO358" i="93"/>
  <c r="BP358" i="93"/>
  <c r="BQ358" i="93"/>
  <c r="BR358" i="93"/>
  <c r="BS358" i="93"/>
  <c r="BT358" i="93"/>
  <c r="BU358" i="93"/>
  <c r="BV358" i="93"/>
  <c r="BW358" i="93"/>
  <c r="BX358" i="93"/>
  <c r="BY358" i="93"/>
  <c r="BZ358" i="93"/>
  <c r="CA358" i="93"/>
  <c r="CB358" i="93"/>
  <c r="CC358" i="93"/>
  <c r="CD358" i="93"/>
  <c r="CE358" i="93"/>
  <c r="CF358" i="93"/>
  <c r="CG358" i="93"/>
  <c r="CH358" i="93"/>
  <c r="CI358" i="93"/>
  <c r="CJ358" i="93"/>
  <c r="CK358" i="93"/>
  <c r="CL358" i="93"/>
  <c r="CM358" i="93"/>
  <c r="CN358" i="93"/>
  <c r="CO358" i="93"/>
  <c r="CP358" i="93"/>
  <c r="CQ358" i="93"/>
  <c r="CR358" i="93"/>
  <c r="CS358" i="93"/>
  <c r="CT358" i="93"/>
  <c r="CU358" i="93"/>
  <c r="CV358" i="93"/>
  <c r="CW358" i="93"/>
  <c r="J359" i="93"/>
  <c r="K359" i="93"/>
  <c r="L359" i="93"/>
  <c r="M359" i="93"/>
  <c r="N359" i="93"/>
  <c r="O359" i="93"/>
  <c r="P359" i="93"/>
  <c r="Q359" i="93"/>
  <c r="R359" i="93"/>
  <c r="S359" i="93"/>
  <c r="T359" i="93"/>
  <c r="U359" i="93"/>
  <c r="V359" i="93"/>
  <c r="W359" i="93"/>
  <c r="X359" i="93"/>
  <c r="Y359" i="93"/>
  <c r="Z359" i="93"/>
  <c r="AA359" i="93"/>
  <c r="AB359" i="93"/>
  <c r="AC359" i="93"/>
  <c r="AD359" i="93"/>
  <c r="AE359" i="93"/>
  <c r="AF359" i="93"/>
  <c r="AG359" i="93"/>
  <c r="AH359" i="93"/>
  <c r="AI359" i="93"/>
  <c r="AJ359" i="93"/>
  <c r="AK359" i="93"/>
  <c r="AL359" i="93"/>
  <c r="AM359" i="93"/>
  <c r="AN359" i="93"/>
  <c r="AO359" i="93"/>
  <c r="AP359" i="93"/>
  <c r="AQ359" i="93"/>
  <c r="AR359" i="93"/>
  <c r="AS359" i="93"/>
  <c r="AT359" i="93"/>
  <c r="AU359" i="93"/>
  <c r="AV359" i="93"/>
  <c r="AW359" i="93"/>
  <c r="AX359" i="93"/>
  <c r="AY359" i="93"/>
  <c r="AZ359" i="93"/>
  <c r="BA359" i="93"/>
  <c r="BB359" i="93"/>
  <c r="BC359" i="93"/>
  <c r="BD359" i="93"/>
  <c r="BE359" i="93"/>
  <c r="BF359" i="93"/>
  <c r="BG359" i="93"/>
  <c r="BH359" i="93"/>
  <c r="BI359" i="93"/>
  <c r="BJ359" i="93"/>
  <c r="BK359" i="93"/>
  <c r="BL359" i="93"/>
  <c r="BM359" i="93"/>
  <c r="BN359" i="93"/>
  <c r="BO359" i="93"/>
  <c r="BP359" i="93"/>
  <c r="BQ359" i="93"/>
  <c r="BR359" i="93"/>
  <c r="BS359" i="93"/>
  <c r="BT359" i="93"/>
  <c r="BU359" i="93"/>
  <c r="BV359" i="93"/>
  <c r="BW359" i="93"/>
  <c r="BX359" i="93"/>
  <c r="BY359" i="93"/>
  <c r="BZ359" i="93"/>
  <c r="CA359" i="93"/>
  <c r="CB359" i="93"/>
  <c r="CC359" i="93"/>
  <c r="CD359" i="93"/>
  <c r="CE359" i="93"/>
  <c r="CF359" i="93"/>
  <c r="CG359" i="93"/>
  <c r="CH359" i="93"/>
  <c r="CI359" i="93"/>
  <c r="CJ359" i="93"/>
  <c r="CK359" i="93"/>
  <c r="CL359" i="93"/>
  <c r="CM359" i="93"/>
  <c r="CN359" i="93"/>
  <c r="CO359" i="93"/>
  <c r="CP359" i="93"/>
  <c r="CQ359" i="93"/>
  <c r="CR359" i="93"/>
  <c r="CS359" i="93"/>
  <c r="CT359" i="93"/>
  <c r="CU359" i="93"/>
  <c r="CV359" i="93"/>
  <c r="CW359" i="93"/>
  <c r="J360" i="93"/>
  <c r="K360" i="93"/>
  <c r="L360" i="93"/>
  <c r="M360" i="93"/>
  <c r="N360" i="93"/>
  <c r="O360" i="93"/>
  <c r="P360" i="93"/>
  <c r="Q360" i="93"/>
  <c r="R360" i="93"/>
  <c r="S360" i="93"/>
  <c r="T360" i="93"/>
  <c r="U360" i="93"/>
  <c r="V360" i="93"/>
  <c r="W360" i="93"/>
  <c r="X360" i="93"/>
  <c r="Y360" i="93"/>
  <c r="Z360" i="93"/>
  <c r="AA360" i="93"/>
  <c r="AB360" i="93"/>
  <c r="AC360" i="93"/>
  <c r="AD360" i="93"/>
  <c r="AE360" i="93"/>
  <c r="AF360" i="93"/>
  <c r="AG360" i="93"/>
  <c r="AH360" i="93"/>
  <c r="AI360" i="93"/>
  <c r="AJ360" i="93"/>
  <c r="AK360" i="93"/>
  <c r="AL360" i="93"/>
  <c r="AM360" i="93"/>
  <c r="AN360" i="93"/>
  <c r="AO360" i="93"/>
  <c r="AP360" i="93"/>
  <c r="AQ360" i="93"/>
  <c r="AR360" i="93"/>
  <c r="AS360" i="93"/>
  <c r="AT360" i="93"/>
  <c r="AU360" i="93"/>
  <c r="AV360" i="93"/>
  <c r="AW360" i="93"/>
  <c r="AX360" i="93"/>
  <c r="AY360" i="93"/>
  <c r="AZ360" i="93"/>
  <c r="BA360" i="93"/>
  <c r="BB360" i="93"/>
  <c r="BC360" i="93"/>
  <c r="BD360" i="93"/>
  <c r="BE360" i="93"/>
  <c r="BF360" i="93"/>
  <c r="BG360" i="93"/>
  <c r="BH360" i="93"/>
  <c r="BI360" i="93"/>
  <c r="BJ360" i="93"/>
  <c r="BK360" i="93"/>
  <c r="BL360" i="93"/>
  <c r="BM360" i="93"/>
  <c r="BN360" i="93"/>
  <c r="BO360" i="93"/>
  <c r="BP360" i="93"/>
  <c r="BQ360" i="93"/>
  <c r="BR360" i="93"/>
  <c r="BS360" i="93"/>
  <c r="BT360" i="93"/>
  <c r="BU360" i="93"/>
  <c r="BV360" i="93"/>
  <c r="BW360" i="93"/>
  <c r="BX360" i="93"/>
  <c r="BY360" i="93"/>
  <c r="BZ360" i="93"/>
  <c r="CA360" i="93"/>
  <c r="CB360" i="93"/>
  <c r="CC360" i="93"/>
  <c r="CD360" i="93"/>
  <c r="CE360" i="93"/>
  <c r="CF360" i="93"/>
  <c r="CG360" i="93"/>
  <c r="CH360" i="93"/>
  <c r="CI360" i="93"/>
  <c r="CJ360" i="93"/>
  <c r="CK360" i="93"/>
  <c r="CL360" i="93"/>
  <c r="CM360" i="93"/>
  <c r="CN360" i="93"/>
  <c r="CO360" i="93"/>
  <c r="CP360" i="93"/>
  <c r="CQ360" i="93"/>
  <c r="CR360" i="93"/>
  <c r="CS360" i="93"/>
  <c r="CT360" i="93"/>
  <c r="CU360" i="93"/>
  <c r="CV360" i="93"/>
  <c r="CW360" i="93"/>
  <c r="J361" i="93"/>
  <c r="K361" i="93"/>
  <c r="L361" i="93"/>
  <c r="M361" i="93"/>
  <c r="N361" i="93"/>
  <c r="O361" i="93"/>
  <c r="P361" i="93"/>
  <c r="Q361" i="93"/>
  <c r="R361" i="93"/>
  <c r="S361" i="93"/>
  <c r="T361" i="93"/>
  <c r="U361" i="93"/>
  <c r="V361" i="93"/>
  <c r="W361" i="93"/>
  <c r="X361" i="93"/>
  <c r="Y361" i="93"/>
  <c r="Z361" i="93"/>
  <c r="AA361" i="93"/>
  <c r="AB361" i="93"/>
  <c r="AC361" i="93"/>
  <c r="AD361" i="93"/>
  <c r="AE361" i="93"/>
  <c r="AF361" i="93"/>
  <c r="AG361" i="93"/>
  <c r="AH361" i="93"/>
  <c r="AI361" i="93"/>
  <c r="AJ361" i="93"/>
  <c r="AK361" i="93"/>
  <c r="AL361" i="93"/>
  <c r="AM361" i="93"/>
  <c r="AN361" i="93"/>
  <c r="AO361" i="93"/>
  <c r="AP361" i="93"/>
  <c r="AQ361" i="93"/>
  <c r="AR361" i="93"/>
  <c r="AS361" i="93"/>
  <c r="AT361" i="93"/>
  <c r="AU361" i="93"/>
  <c r="AV361" i="93"/>
  <c r="AW361" i="93"/>
  <c r="AX361" i="93"/>
  <c r="AY361" i="93"/>
  <c r="AZ361" i="93"/>
  <c r="BA361" i="93"/>
  <c r="BB361" i="93"/>
  <c r="BC361" i="93"/>
  <c r="BD361" i="93"/>
  <c r="BE361" i="93"/>
  <c r="BF361" i="93"/>
  <c r="BG361" i="93"/>
  <c r="BH361" i="93"/>
  <c r="BI361" i="93"/>
  <c r="BJ361" i="93"/>
  <c r="BK361" i="93"/>
  <c r="BL361" i="93"/>
  <c r="BM361" i="93"/>
  <c r="BN361" i="93"/>
  <c r="BO361" i="93"/>
  <c r="BP361" i="93"/>
  <c r="BQ361" i="93"/>
  <c r="BR361" i="93"/>
  <c r="BS361" i="93"/>
  <c r="BT361" i="93"/>
  <c r="BU361" i="93"/>
  <c r="BV361" i="93"/>
  <c r="BW361" i="93"/>
  <c r="BX361" i="93"/>
  <c r="BY361" i="93"/>
  <c r="BZ361" i="93"/>
  <c r="CA361" i="93"/>
  <c r="CB361" i="93"/>
  <c r="CC361" i="93"/>
  <c r="CD361" i="93"/>
  <c r="CE361" i="93"/>
  <c r="CF361" i="93"/>
  <c r="CG361" i="93"/>
  <c r="CH361" i="93"/>
  <c r="CI361" i="93"/>
  <c r="CJ361" i="93"/>
  <c r="CK361" i="93"/>
  <c r="CL361" i="93"/>
  <c r="CM361" i="93"/>
  <c r="CN361" i="93"/>
  <c r="CO361" i="93"/>
  <c r="CP361" i="93"/>
  <c r="CQ361" i="93"/>
  <c r="CR361" i="93"/>
  <c r="CS361" i="93"/>
  <c r="CT361" i="93"/>
  <c r="CU361" i="93"/>
  <c r="CV361" i="93"/>
  <c r="CW361" i="93"/>
  <c r="J362" i="93"/>
  <c r="K362" i="93"/>
  <c r="L362" i="93"/>
  <c r="M362" i="93"/>
  <c r="N362" i="93"/>
  <c r="O362" i="93"/>
  <c r="P362" i="93"/>
  <c r="Q362" i="93"/>
  <c r="R362" i="93"/>
  <c r="S362" i="93"/>
  <c r="T362" i="93"/>
  <c r="U362" i="93"/>
  <c r="V362" i="93"/>
  <c r="W362" i="93"/>
  <c r="X362" i="93"/>
  <c r="Y362" i="93"/>
  <c r="Z362" i="93"/>
  <c r="AA362" i="93"/>
  <c r="AB362" i="93"/>
  <c r="AC362" i="93"/>
  <c r="AD362" i="93"/>
  <c r="AE362" i="93"/>
  <c r="AF362" i="93"/>
  <c r="AG362" i="93"/>
  <c r="AH362" i="93"/>
  <c r="AI362" i="93"/>
  <c r="AJ362" i="93"/>
  <c r="AK362" i="93"/>
  <c r="AL362" i="93"/>
  <c r="AM362" i="93"/>
  <c r="AN362" i="93"/>
  <c r="AO362" i="93"/>
  <c r="AP362" i="93"/>
  <c r="AQ362" i="93"/>
  <c r="AR362" i="93"/>
  <c r="AS362" i="93"/>
  <c r="AT362" i="93"/>
  <c r="AU362" i="93"/>
  <c r="AV362" i="93"/>
  <c r="AW362" i="93"/>
  <c r="AX362" i="93"/>
  <c r="AY362" i="93"/>
  <c r="AZ362" i="93"/>
  <c r="BA362" i="93"/>
  <c r="BB362" i="93"/>
  <c r="BC362" i="93"/>
  <c r="BD362" i="93"/>
  <c r="BE362" i="93"/>
  <c r="BF362" i="93"/>
  <c r="BG362" i="93"/>
  <c r="BH362" i="93"/>
  <c r="BI362" i="93"/>
  <c r="BJ362" i="93"/>
  <c r="BK362" i="93"/>
  <c r="BL362" i="93"/>
  <c r="BM362" i="93"/>
  <c r="BN362" i="93"/>
  <c r="BO362" i="93"/>
  <c r="BP362" i="93"/>
  <c r="BQ362" i="93"/>
  <c r="BR362" i="93"/>
  <c r="BS362" i="93"/>
  <c r="BT362" i="93"/>
  <c r="BU362" i="93"/>
  <c r="BV362" i="93"/>
  <c r="BW362" i="93"/>
  <c r="BX362" i="93"/>
  <c r="BY362" i="93"/>
  <c r="BZ362" i="93"/>
  <c r="CA362" i="93"/>
  <c r="CB362" i="93"/>
  <c r="CC362" i="93"/>
  <c r="CD362" i="93"/>
  <c r="CE362" i="93"/>
  <c r="CF362" i="93"/>
  <c r="CG362" i="93"/>
  <c r="CH362" i="93"/>
  <c r="CI362" i="93"/>
  <c r="CJ362" i="93"/>
  <c r="CK362" i="93"/>
  <c r="CL362" i="93"/>
  <c r="CM362" i="93"/>
  <c r="CN362" i="93"/>
  <c r="CO362" i="93"/>
  <c r="CP362" i="93"/>
  <c r="CQ362" i="93"/>
  <c r="CR362" i="93"/>
  <c r="CS362" i="93"/>
  <c r="CT362" i="93"/>
  <c r="CU362" i="93"/>
  <c r="CV362" i="93"/>
  <c r="CW362" i="93"/>
  <c r="J363" i="93"/>
  <c r="K363" i="93"/>
  <c r="L363" i="93"/>
  <c r="M363" i="93"/>
  <c r="N363" i="93"/>
  <c r="O363" i="93"/>
  <c r="P363" i="93"/>
  <c r="Q363" i="93"/>
  <c r="R363" i="93"/>
  <c r="S363" i="93"/>
  <c r="T363" i="93"/>
  <c r="U363" i="93"/>
  <c r="V363" i="93"/>
  <c r="W363" i="93"/>
  <c r="X363" i="93"/>
  <c r="Y363" i="93"/>
  <c r="Z363" i="93"/>
  <c r="AA363" i="93"/>
  <c r="AB363" i="93"/>
  <c r="AC363" i="93"/>
  <c r="AD363" i="93"/>
  <c r="AE363" i="93"/>
  <c r="AF363" i="93"/>
  <c r="AG363" i="93"/>
  <c r="AH363" i="93"/>
  <c r="AI363" i="93"/>
  <c r="AJ363" i="93"/>
  <c r="AK363" i="93"/>
  <c r="AL363" i="93"/>
  <c r="AM363" i="93"/>
  <c r="AN363" i="93"/>
  <c r="AO363" i="93"/>
  <c r="AP363" i="93"/>
  <c r="AQ363" i="93"/>
  <c r="AR363" i="93"/>
  <c r="AS363" i="93"/>
  <c r="AT363" i="93"/>
  <c r="AU363" i="93"/>
  <c r="AV363" i="93"/>
  <c r="AW363" i="93"/>
  <c r="AX363" i="93"/>
  <c r="AY363" i="93"/>
  <c r="AZ363" i="93"/>
  <c r="BA363" i="93"/>
  <c r="BB363" i="93"/>
  <c r="BC363" i="93"/>
  <c r="BD363" i="93"/>
  <c r="BE363" i="93"/>
  <c r="BF363" i="93"/>
  <c r="BG363" i="93"/>
  <c r="BH363" i="93"/>
  <c r="BI363" i="93"/>
  <c r="BJ363" i="93"/>
  <c r="BK363" i="93"/>
  <c r="BL363" i="93"/>
  <c r="BM363" i="93"/>
  <c r="BN363" i="93"/>
  <c r="BO363" i="93"/>
  <c r="BP363" i="93"/>
  <c r="BQ363" i="93"/>
  <c r="BR363" i="93"/>
  <c r="BS363" i="93"/>
  <c r="BT363" i="93"/>
  <c r="BU363" i="93"/>
  <c r="BV363" i="93"/>
  <c r="BW363" i="93"/>
  <c r="BX363" i="93"/>
  <c r="BY363" i="93"/>
  <c r="BZ363" i="93"/>
  <c r="CA363" i="93"/>
  <c r="CB363" i="93"/>
  <c r="CC363" i="93"/>
  <c r="CD363" i="93"/>
  <c r="CE363" i="93"/>
  <c r="CF363" i="93"/>
  <c r="CG363" i="93"/>
  <c r="CH363" i="93"/>
  <c r="CI363" i="93"/>
  <c r="CJ363" i="93"/>
  <c r="CK363" i="93"/>
  <c r="CL363" i="93"/>
  <c r="CM363" i="93"/>
  <c r="CN363" i="93"/>
  <c r="CO363" i="93"/>
  <c r="CP363" i="93"/>
  <c r="CQ363" i="93"/>
  <c r="CR363" i="93"/>
  <c r="CS363" i="93"/>
  <c r="CT363" i="93"/>
  <c r="CU363" i="93"/>
  <c r="CV363" i="93"/>
  <c r="CW363" i="93"/>
  <c r="J364" i="93"/>
  <c r="K364" i="93"/>
  <c r="L364" i="93"/>
  <c r="M364" i="93"/>
  <c r="N364" i="93"/>
  <c r="O364" i="93"/>
  <c r="P364" i="93"/>
  <c r="Q364" i="93"/>
  <c r="R364" i="93"/>
  <c r="S364" i="93"/>
  <c r="T364" i="93"/>
  <c r="U364" i="93"/>
  <c r="V364" i="93"/>
  <c r="W364" i="93"/>
  <c r="X364" i="93"/>
  <c r="Y364" i="93"/>
  <c r="Z364" i="93"/>
  <c r="AA364" i="93"/>
  <c r="AB364" i="93"/>
  <c r="AC364" i="93"/>
  <c r="AD364" i="93"/>
  <c r="AE364" i="93"/>
  <c r="AF364" i="93"/>
  <c r="AG364" i="93"/>
  <c r="AH364" i="93"/>
  <c r="AI364" i="93"/>
  <c r="AJ364" i="93"/>
  <c r="AK364" i="93"/>
  <c r="AL364" i="93"/>
  <c r="AM364" i="93"/>
  <c r="AN364" i="93"/>
  <c r="AO364" i="93"/>
  <c r="AP364" i="93"/>
  <c r="AQ364" i="93"/>
  <c r="AR364" i="93"/>
  <c r="AS364" i="93"/>
  <c r="AT364" i="93"/>
  <c r="AU364" i="93"/>
  <c r="AV364" i="93"/>
  <c r="AW364" i="93"/>
  <c r="AX364" i="93"/>
  <c r="AY364" i="93"/>
  <c r="AZ364" i="93"/>
  <c r="BA364" i="93"/>
  <c r="BB364" i="93"/>
  <c r="BC364" i="93"/>
  <c r="BD364" i="93"/>
  <c r="BE364" i="93"/>
  <c r="BF364" i="93"/>
  <c r="BG364" i="93"/>
  <c r="BH364" i="93"/>
  <c r="BI364" i="93"/>
  <c r="BJ364" i="93"/>
  <c r="BK364" i="93"/>
  <c r="BL364" i="93"/>
  <c r="BM364" i="93"/>
  <c r="BN364" i="93"/>
  <c r="BO364" i="93"/>
  <c r="BP364" i="93"/>
  <c r="BQ364" i="93"/>
  <c r="BR364" i="93"/>
  <c r="BS364" i="93"/>
  <c r="BT364" i="93"/>
  <c r="BU364" i="93"/>
  <c r="BV364" i="93"/>
  <c r="BW364" i="93"/>
  <c r="BX364" i="93"/>
  <c r="BY364" i="93"/>
  <c r="BZ364" i="93"/>
  <c r="CA364" i="93"/>
  <c r="CB364" i="93"/>
  <c r="CC364" i="93"/>
  <c r="CD364" i="93"/>
  <c r="CE364" i="93"/>
  <c r="CF364" i="93"/>
  <c r="CG364" i="93"/>
  <c r="CH364" i="93"/>
  <c r="CI364" i="93"/>
  <c r="CJ364" i="93"/>
  <c r="CK364" i="93"/>
  <c r="CL364" i="93"/>
  <c r="CM364" i="93"/>
  <c r="CN364" i="93"/>
  <c r="CO364" i="93"/>
  <c r="CP364" i="93"/>
  <c r="CQ364" i="93"/>
  <c r="CR364" i="93"/>
  <c r="CS364" i="93"/>
  <c r="CT364" i="93"/>
  <c r="CU364" i="93"/>
  <c r="CV364" i="93"/>
  <c r="CW364" i="93"/>
  <c r="J365" i="93"/>
  <c r="K365" i="93"/>
  <c r="L365" i="93"/>
  <c r="M365" i="93"/>
  <c r="N365" i="93"/>
  <c r="O365" i="93"/>
  <c r="P365" i="93"/>
  <c r="Q365" i="93"/>
  <c r="R365" i="93"/>
  <c r="S365" i="93"/>
  <c r="T365" i="93"/>
  <c r="U365" i="93"/>
  <c r="V365" i="93"/>
  <c r="W365" i="93"/>
  <c r="X365" i="93"/>
  <c r="Y365" i="93"/>
  <c r="Z365" i="93"/>
  <c r="AA365" i="93"/>
  <c r="AB365" i="93"/>
  <c r="AC365" i="93"/>
  <c r="AD365" i="93"/>
  <c r="AE365" i="93"/>
  <c r="AF365" i="93"/>
  <c r="AG365" i="93"/>
  <c r="AH365" i="93"/>
  <c r="AI365" i="93"/>
  <c r="AJ365" i="93"/>
  <c r="AK365" i="93"/>
  <c r="AL365" i="93"/>
  <c r="AM365" i="93"/>
  <c r="AN365" i="93"/>
  <c r="AO365" i="93"/>
  <c r="AP365" i="93"/>
  <c r="AQ365" i="93"/>
  <c r="AR365" i="93"/>
  <c r="AS365" i="93"/>
  <c r="AT365" i="93"/>
  <c r="AU365" i="93"/>
  <c r="AV365" i="93"/>
  <c r="AW365" i="93"/>
  <c r="AX365" i="93"/>
  <c r="AY365" i="93"/>
  <c r="AZ365" i="93"/>
  <c r="BA365" i="93"/>
  <c r="BB365" i="93"/>
  <c r="BC365" i="93"/>
  <c r="BD365" i="93"/>
  <c r="BE365" i="93"/>
  <c r="BF365" i="93"/>
  <c r="BG365" i="93"/>
  <c r="BH365" i="93"/>
  <c r="BI365" i="93"/>
  <c r="BJ365" i="93"/>
  <c r="BK365" i="93"/>
  <c r="BL365" i="93"/>
  <c r="BM365" i="93"/>
  <c r="BN365" i="93"/>
  <c r="BO365" i="93"/>
  <c r="BP365" i="93"/>
  <c r="BQ365" i="93"/>
  <c r="BR365" i="93"/>
  <c r="BS365" i="93"/>
  <c r="BT365" i="93"/>
  <c r="BU365" i="93"/>
  <c r="BV365" i="93"/>
  <c r="BW365" i="93"/>
  <c r="BX365" i="93"/>
  <c r="BY365" i="93"/>
  <c r="BZ365" i="93"/>
  <c r="CA365" i="93"/>
  <c r="CB365" i="93"/>
  <c r="CC365" i="93"/>
  <c r="CD365" i="93"/>
  <c r="CE365" i="93"/>
  <c r="CF365" i="93"/>
  <c r="CG365" i="93"/>
  <c r="CH365" i="93"/>
  <c r="CI365" i="93"/>
  <c r="CJ365" i="93"/>
  <c r="CK365" i="93"/>
  <c r="CL365" i="93"/>
  <c r="CM365" i="93"/>
  <c r="CN365" i="93"/>
  <c r="CO365" i="93"/>
  <c r="CP365" i="93"/>
  <c r="CQ365" i="93"/>
  <c r="CR365" i="93"/>
  <c r="CS365" i="93"/>
  <c r="CT365" i="93"/>
  <c r="CU365" i="93"/>
  <c r="CV365" i="93"/>
  <c r="CW365" i="93"/>
  <c r="J366" i="93"/>
  <c r="K366" i="93"/>
  <c r="L366" i="93"/>
  <c r="M366" i="93"/>
  <c r="N366" i="93"/>
  <c r="O366" i="93"/>
  <c r="P366" i="93"/>
  <c r="Q366" i="93"/>
  <c r="R366" i="93"/>
  <c r="S366" i="93"/>
  <c r="T366" i="93"/>
  <c r="U366" i="93"/>
  <c r="V366" i="93"/>
  <c r="W366" i="93"/>
  <c r="X366" i="93"/>
  <c r="Y366" i="93"/>
  <c r="Z366" i="93"/>
  <c r="AA366" i="93"/>
  <c r="AB366" i="93"/>
  <c r="AC366" i="93"/>
  <c r="AD366" i="93"/>
  <c r="AE366" i="93"/>
  <c r="AF366" i="93"/>
  <c r="AG366" i="93"/>
  <c r="AH366" i="93"/>
  <c r="AI366" i="93"/>
  <c r="AJ366" i="93"/>
  <c r="AK366" i="93"/>
  <c r="AL366" i="93"/>
  <c r="AM366" i="93"/>
  <c r="AN366" i="93"/>
  <c r="AO366" i="93"/>
  <c r="AP366" i="93"/>
  <c r="AQ366" i="93"/>
  <c r="AR366" i="93"/>
  <c r="AS366" i="93"/>
  <c r="AT366" i="93"/>
  <c r="AU366" i="93"/>
  <c r="AV366" i="93"/>
  <c r="AW366" i="93"/>
  <c r="AX366" i="93"/>
  <c r="AY366" i="93"/>
  <c r="AZ366" i="93"/>
  <c r="BA366" i="93"/>
  <c r="BB366" i="93"/>
  <c r="BC366" i="93"/>
  <c r="BD366" i="93"/>
  <c r="BE366" i="93"/>
  <c r="BF366" i="93"/>
  <c r="BG366" i="93"/>
  <c r="BH366" i="93"/>
  <c r="BI366" i="93"/>
  <c r="BJ366" i="93"/>
  <c r="BK366" i="93"/>
  <c r="BL366" i="93"/>
  <c r="BM366" i="93"/>
  <c r="BN366" i="93"/>
  <c r="BO366" i="93"/>
  <c r="BP366" i="93"/>
  <c r="BQ366" i="93"/>
  <c r="BR366" i="93"/>
  <c r="BS366" i="93"/>
  <c r="BT366" i="93"/>
  <c r="BU366" i="93"/>
  <c r="BV366" i="93"/>
  <c r="BW366" i="93"/>
  <c r="BX366" i="93"/>
  <c r="BY366" i="93"/>
  <c r="BZ366" i="93"/>
  <c r="CA366" i="93"/>
  <c r="CB366" i="93"/>
  <c r="CC366" i="93"/>
  <c r="CD366" i="93"/>
  <c r="CE366" i="93"/>
  <c r="CF366" i="93"/>
  <c r="CG366" i="93"/>
  <c r="CH366" i="93"/>
  <c r="CI366" i="93"/>
  <c r="CJ366" i="93"/>
  <c r="CK366" i="93"/>
  <c r="CL366" i="93"/>
  <c r="CM366" i="93"/>
  <c r="CN366" i="93"/>
  <c r="CO366" i="93"/>
  <c r="CP366" i="93"/>
  <c r="CQ366" i="93"/>
  <c r="CR366" i="93"/>
  <c r="CS366" i="93"/>
  <c r="CT366" i="93"/>
  <c r="CU366" i="93"/>
  <c r="CV366" i="93"/>
  <c r="CW366" i="93"/>
  <c r="J367" i="93"/>
  <c r="K367" i="93"/>
  <c r="L367" i="93"/>
  <c r="M367" i="93"/>
  <c r="N367" i="93"/>
  <c r="O367" i="93"/>
  <c r="P367" i="93"/>
  <c r="Q367" i="93"/>
  <c r="R367" i="93"/>
  <c r="S367" i="93"/>
  <c r="T367" i="93"/>
  <c r="U367" i="93"/>
  <c r="V367" i="93"/>
  <c r="W367" i="93"/>
  <c r="X367" i="93"/>
  <c r="Y367" i="93"/>
  <c r="Z367" i="93"/>
  <c r="AA367" i="93"/>
  <c r="AB367" i="93"/>
  <c r="AC367" i="93"/>
  <c r="AD367" i="93"/>
  <c r="AE367" i="93"/>
  <c r="AF367" i="93"/>
  <c r="AG367" i="93"/>
  <c r="AH367" i="93"/>
  <c r="AI367" i="93"/>
  <c r="AJ367" i="93"/>
  <c r="AK367" i="93"/>
  <c r="AL367" i="93"/>
  <c r="AM367" i="93"/>
  <c r="AN367" i="93"/>
  <c r="AO367" i="93"/>
  <c r="AP367" i="93"/>
  <c r="AQ367" i="93"/>
  <c r="AR367" i="93"/>
  <c r="AS367" i="93"/>
  <c r="AT367" i="93"/>
  <c r="AU367" i="93"/>
  <c r="AV367" i="93"/>
  <c r="AW367" i="93"/>
  <c r="AX367" i="93"/>
  <c r="AY367" i="93"/>
  <c r="AZ367" i="93"/>
  <c r="BA367" i="93"/>
  <c r="BB367" i="93"/>
  <c r="BC367" i="93"/>
  <c r="BD367" i="93"/>
  <c r="BE367" i="93"/>
  <c r="BF367" i="93"/>
  <c r="BG367" i="93"/>
  <c r="BH367" i="93"/>
  <c r="BI367" i="93"/>
  <c r="BJ367" i="93"/>
  <c r="BK367" i="93"/>
  <c r="BL367" i="93"/>
  <c r="BM367" i="93"/>
  <c r="BN367" i="93"/>
  <c r="BO367" i="93"/>
  <c r="BP367" i="93"/>
  <c r="BQ367" i="93"/>
  <c r="BR367" i="93"/>
  <c r="BS367" i="93"/>
  <c r="BT367" i="93"/>
  <c r="BU367" i="93"/>
  <c r="BV367" i="93"/>
  <c r="BW367" i="93"/>
  <c r="BX367" i="93"/>
  <c r="BY367" i="93"/>
  <c r="BZ367" i="93"/>
  <c r="CA367" i="93"/>
  <c r="CB367" i="93"/>
  <c r="CC367" i="93"/>
  <c r="CD367" i="93"/>
  <c r="CE367" i="93"/>
  <c r="CF367" i="93"/>
  <c r="CG367" i="93"/>
  <c r="CH367" i="93"/>
  <c r="CI367" i="93"/>
  <c r="CJ367" i="93"/>
  <c r="CK367" i="93"/>
  <c r="CL367" i="93"/>
  <c r="CM367" i="93"/>
  <c r="CN367" i="93"/>
  <c r="CO367" i="93"/>
  <c r="CP367" i="93"/>
  <c r="CQ367" i="93"/>
  <c r="CR367" i="93"/>
  <c r="CS367" i="93"/>
  <c r="CT367" i="93"/>
  <c r="CU367" i="93"/>
  <c r="CV367" i="93"/>
  <c r="CW367" i="93"/>
  <c r="J368" i="93"/>
  <c r="K368" i="93"/>
  <c r="L368" i="93"/>
  <c r="M368" i="93"/>
  <c r="N368" i="93"/>
  <c r="O368" i="93"/>
  <c r="P368" i="93"/>
  <c r="Q368" i="93"/>
  <c r="R368" i="93"/>
  <c r="S368" i="93"/>
  <c r="T368" i="93"/>
  <c r="U368" i="93"/>
  <c r="V368" i="93"/>
  <c r="W368" i="93"/>
  <c r="X368" i="93"/>
  <c r="Y368" i="93"/>
  <c r="Z368" i="93"/>
  <c r="AA368" i="93"/>
  <c r="AB368" i="93"/>
  <c r="AC368" i="93"/>
  <c r="AD368" i="93"/>
  <c r="AE368" i="93"/>
  <c r="AF368" i="93"/>
  <c r="AG368" i="93"/>
  <c r="AH368" i="93"/>
  <c r="AI368" i="93"/>
  <c r="AJ368" i="93"/>
  <c r="AK368" i="93"/>
  <c r="AL368" i="93"/>
  <c r="AM368" i="93"/>
  <c r="AN368" i="93"/>
  <c r="AO368" i="93"/>
  <c r="AP368" i="93"/>
  <c r="AQ368" i="93"/>
  <c r="AR368" i="93"/>
  <c r="AS368" i="93"/>
  <c r="AT368" i="93"/>
  <c r="AU368" i="93"/>
  <c r="AV368" i="93"/>
  <c r="AW368" i="93"/>
  <c r="AX368" i="93"/>
  <c r="AY368" i="93"/>
  <c r="AZ368" i="93"/>
  <c r="BA368" i="93"/>
  <c r="BB368" i="93"/>
  <c r="BC368" i="93"/>
  <c r="BD368" i="93"/>
  <c r="BE368" i="93"/>
  <c r="BF368" i="93"/>
  <c r="BG368" i="93"/>
  <c r="BH368" i="93"/>
  <c r="BI368" i="93"/>
  <c r="BJ368" i="93"/>
  <c r="BK368" i="93"/>
  <c r="BL368" i="93"/>
  <c r="BM368" i="93"/>
  <c r="BN368" i="93"/>
  <c r="BO368" i="93"/>
  <c r="BP368" i="93"/>
  <c r="BQ368" i="93"/>
  <c r="BR368" i="93"/>
  <c r="BS368" i="93"/>
  <c r="BT368" i="93"/>
  <c r="BU368" i="93"/>
  <c r="BV368" i="93"/>
  <c r="BW368" i="93"/>
  <c r="BX368" i="93"/>
  <c r="BY368" i="93"/>
  <c r="BZ368" i="93"/>
  <c r="CA368" i="93"/>
  <c r="CB368" i="93"/>
  <c r="CC368" i="93"/>
  <c r="CD368" i="93"/>
  <c r="CE368" i="93"/>
  <c r="CF368" i="93"/>
  <c r="CG368" i="93"/>
  <c r="CH368" i="93"/>
  <c r="CI368" i="93"/>
  <c r="CJ368" i="93"/>
  <c r="CK368" i="93"/>
  <c r="CL368" i="93"/>
  <c r="CM368" i="93"/>
  <c r="CN368" i="93"/>
  <c r="CO368" i="93"/>
  <c r="CP368" i="93"/>
  <c r="CQ368" i="93"/>
  <c r="CR368" i="93"/>
  <c r="CS368" i="93"/>
  <c r="CT368" i="93"/>
  <c r="CU368" i="93"/>
  <c r="CV368" i="93"/>
  <c r="CW368" i="93"/>
  <c r="J369" i="93"/>
  <c r="K369" i="93"/>
  <c r="L369" i="93"/>
  <c r="M369" i="93"/>
  <c r="N369" i="93"/>
  <c r="O369" i="93"/>
  <c r="P369" i="93"/>
  <c r="Q369" i="93"/>
  <c r="R369" i="93"/>
  <c r="S369" i="93"/>
  <c r="T369" i="93"/>
  <c r="U369" i="93"/>
  <c r="V369" i="93"/>
  <c r="W369" i="93"/>
  <c r="X369" i="93"/>
  <c r="Y369" i="93"/>
  <c r="Z369" i="93"/>
  <c r="AA369" i="93"/>
  <c r="AB369" i="93"/>
  <c r="AC369" i="93"/>
  <c r="AD369" i="93"/>
  <c r="AE369" i="93"/>
  <c r="AF369" i="93"/>
  <c r="AG369" i="93"/>
  <c r="AH369" i="93"/>
  <c r="AI369" i="93"/>
  <c r="AJ369" i="93"/>
  <c r="AK369" i="93"/>
  <c r="AL369" i="93"/>
  <c r="AM369" i="93"/>
  <c r="AN369" i="93"/>
  <c r="AO369" i="93"/>
  <c r="AP369" i="93"/>
  <c r="AQ369" i="93"/>
  <c r="AR369" i="93"/>
  <c r="AS369" i="93"/>
  <c r="AT369" i="93"/>
  <c r="AU369" i="93"/>
  <c r="AV369" i="93"/>
  <c r="AW369" i="93"/>
  <c r="AX369" i="93"/>
  <c r="AY369" i="93"/>
  <c r="AZ369" i="93"/>
  <c r="BA369" i="93"/>
  <c r="BB369" i="93"/>
  <c r="BC369" i="93"/>
  <c r="BD369" i="93"/>
  <c r="BE369" i="93"/>
  <c r="BF369" i="93"/>
  <c r="BG369" i="93"/>
  <c r="BH369" i="93"/>
  <c r="BI369" i="93"/>
  <c r="BJ369" i="93"/>
  <c r="BK369" i="93"/>
  <c r="BL369" i="93"/>
  <c r="BM369" i="93"/>
  <c r="BN369" i="93"/>
  <c r="BO369" i="93"/>
  <c r="BP369" i="93"/>
  <c r="BQ369" i="93"/>
  <c r="BR369" i="93"/>
  <c r="BS369" i="93"/>
  <c r="BT369" i="93"/>
  <c r="BU369" i="93"/>
  <c r="BV369" i="93"/>
  <c r="BW369" i="93"/>
  <c r="BX369" i="93"/>
  <c r="BY369" i="93"/>
  <c r="BZ369" i="93"/>
  <c r="CA369" i="93"/>
  <c r="CB369" i="93"/>
  <c r="CC369" i="93"/>
  <c r="CD369" i="93"/>
  <c r="CE369" i="93"/>
  <c r="CF369" i="93"/>
  <c r="CG369" i="93"/>
  <c r="CH369" i="93"/>
  <c r="CI369" i="93"/>
  <c r="CJ369" i="93"/>
  <c r="CK369" i="93"/>
  <c r="CL369" i="93"/>
  <c r="CM369" i="93"/>
  <c r="CN369" i="93"/>
  <c r="CO369" i="93"/>
  <c r="CP369" i="93"/>
  <c r="CQ369" i="93"/>
  <c r="CR369" i="93"/>
  <c r="CS369" i="93"/>
  <c r="CT369" i="93"/>
  <c r="CU369" i="93"/>
  <c r="CV369" i="93"/>
  <c r="CW369" i="93"/>
  <c r="J370" i="93"/>
  <c r="K370" i="93"/>
  <c r="L370" i="93"/>
  <c r="M370" i="93"/>
  <c r="N370" i="93"/>
  <c r="O370" i="93"/>
  <c r="P370" i="93"/>
  <c r="Q370" i="93"/>
  <c r="R370" i="93"/>
  <c r="S370" i="93"/>
  <c r="T370" i="93"/>
  <c r="U370" i="93"/>
  <c r="V370" i="93"/>
  <c r="W370" i="93"/>
  <c r="X370" i="93"/>
  <c r="Y370" i="93"/>
  <c r="Z370" i="93"/>
  <c r="AA370" i="93"/>
  <c r="AB370" i="93"/>
  <c r="AC370" i="93"/>
  <c r="AD370" i="93"/>
  <c r="AE370" i="93"/>
  <c r="AF370" i="93"/>
  <c r="AG370" i="93"/>
  <c r="AH370" i="93"/>
  <c r="AI370" i="93"/>
  <c r="AJ370" i="93"/>
  <c r="AK370" i="93"/>
  <c r="AL370" i="93"/>
  <c r="AM370" i="93"/>
  <c r="AN370" i="93"/>
  <c r="AO370" i="93"/>
  <c r="AP370" i="93"/>
  <c r="AQ370" i="93"/>
  <c r="AR370" i="93"/>
  <c r="AS370" i="93"/>
  <c r="AT370" i="93"/>
  <c r="AU370" i="93"/>
  <c r="AV370" i="93"/>
  <c r="AW370" i="93"/>
  <c r="AX370" i="93"/>
  <c r="AY370" i="93"/>
  <c r="AZ370" i="93"/>
  <c r="BA370" i="93"/>
  <c r="BB370" i="93"/>
  <c r="BC370" i="93"/>
  <c r="BD370" i="93"/>
  <c r="BE370" i="93"/>
  <c r="BF370" i="93"/>
  <c r="BG370" i="93"/>
  <c r="BH370" i="93"/>
  <c r="BI370" i="93"/>
  <c r="BJ370" i="93"/>
  <c r="BK370" i="93"/>
  <c r="BL370" i="93"/>
  <c r="BM370" i="93"/>
  <c r="BN370" i="93"/>
  <c r="BO370" i="93"/>
  <c r="BP370" i="93"/>
  <c r="BQ370" i="93"/>
  <c r="BR370" i="93"/>
  <c r="BS370" i="93"/>
  <c r="BT370" i="93"/>
  <c r="BU370" i="93"/>
  <c r="BV370" i="93"/>
  <c r="BW370" i="93"/>
  <c r="BX370" i="93"/>
  <c r="BY370" i="93"/>
  <c r="BZ370" i="93"/>
  <c r="CA370" i="93"/>
  <c r="CB370" i="93"/>
  <c r="CC370" i="93"/>
  <c r="CD370" i="93"/>
  <c r="CE370" i="93"/>
  <c r="CF370" i="93"/>
  <c r="CG370" i="93"/>
  <c r="CH370" i="93"/>
  <c r="CI370" i="93"/>
  <c r="CJ370" i="93"/>
  <c r="CK370" i="93"/>
  <c r="CL370" i="93"/>
  <c r="CM370" i="93"/>
  <c r="CN370" i="93"/>
  <c r="CO370" i="93"/>
  <c r="CP370" i="93"/>
  <c r="CQ370" i="93"/>
  <c r="CR370" i="93"/>
  <c r="CS370" i="93"/>
  <c r="CT370" i="93"/>
  <c r="CU370" i="93"/>
  <c r="CV370" i="93"/>
  <c r="CW370" i="93"/>
  <c r="J371" i="93"/>
  <c r="K371" i="93"/>
  <c r="L371" i="93"/>
  <c r="M371" i="93"/>
  <c r="N371" i="93"/>
  <c r="O371" i="93"/>
  <c r="P371" i="93"/>
  <c r="Q371" i="93"/>
  <c r="R371" i="93"/>
  <c r="S371" i="93"/>
  <c r="T371" i="93"/>
  <c r="U371" i="93"/>
  <c r="V371" i="93"/>
  <c r="W371" i="93"/>
  <c r="X371" i="93"/>
  <c r="Y371" i="93"/>
  <c r="Z371" i="93"/>
  <c r="AA371" i="93"/>
  <c r="AB371" i="93"/>
  <c r="AC371" i="93"/>
  <c r="AD371" i="93"/>
  <c r="AE371" i="93"/>
  <c r="AF371" i="93"/>
  <c r="AG371" i="93"/>
  <c r="AH371" i="93"/>
  <c r="AI371" i="93"/>
  <c r="AJ371" i="93"/>
  <c r="AK371" i="93"/>
  <c r="AL371" i="93"/>
  <c r="AM371" i="93"/>
  <c r="AN371" i="93"/>
  <c r="AO371" i="93"/>
  <c r="AP371" i="93"/>
  <c r="AQ371" i="93"/>
  <c r="AR371" i="93"/>
  <c r="AS371" i="93"/>
  <c r="AT371" i="93"/>
  <c r="AU371" i="93"/>
  <c r="AV371" i="93"/>
  <c r="AW371" i="93"/>
  <c r="AX371" i="93"/>
  <c r="AY371" i="93"/>
  <c r="AZ371" i="93"/>
  <c r="BA371" i="93"/>
  <c r="BB371" i="93"/>
  <c r="BC371" i="93"/>
  <c r="BD371" i="93"/>
  <c r="BE371" i="93"/>
  <c r="BF371" i="93"/>
  <c r="BG371" i="93"/>
  <c r="BH371" i="93"/>
  <c r="BI371" i="93"/>
  <c r="BJ371" i="93"/>
  <c r="BK371" i="93"/>
  <c r="BL371" i="93"/>
  <c r="BM371" i="93"/>
  <c r="BN371" i="93"/>
  <c r="BO371" i="93"/>
  <c r="BP371" i="93"/>
  <c r="BQ371" i="93"/>
  <c r="BR371" i="93"/>
  <c r="BS371" i="93"/>
  <c r="BT371" i="93"/>
  <c r="BU371" i="93"/>
  <c r="BV371" i="93"/>
  <c r="BW371" i="93"/>
  <c r="BX371" i="93"/>
  <c r="BY371" i="93"/>
  <c r="BZ371" i="93"/>
  <c r="CA371" i="93"/>
  <c r="CB371" i="93"/>
  <c r="CC371" i="93"/>
  <c r="CD371" i="93"/>
  <c r="CE371" i="93"/>
  <c r="CF371" i="93"/>
  <c r="CG371" i="93"/>
  <c r="CH371" i="93"/>
  <c r="CI371" i="93"/>
  <c r="CJ371" i="93"/>
  <c r="CK371" i="93"/>
  <c r="CL371" i="93"/>
  <c r="CM371" i="93"/>
  <c r="CN371" i="93"/>
  <c r="CO371" i="93"/>
  <c r="CP371" i="93"/>
  <c r="CQ371" i="93"/>
  <c r="CR371" i="93"/>
  <c r="CS371" i="93"/>
  <c r="CT371" i="93"/>
  <c r="CU371" i="93"/>
  <c r="CV371" i="93"/>
  <c r="CW371" i="93"/>
  <c r="J372" i="93"/>
  <c r="K372" i="93"/>
  <c r="L372" i="93"/>
  <c r="M372" i="93"/>
  <c r="N372" i="93"/>
  <c r="O372" i="93"/>
  <c r="P372" i="93"/>
  <c r="Q372" i="93"/>
  <c r="R372" i="93"/>
  <c r="S372" i="93"/>
  <c r="T372" i="93"/>
  <c r="U372" i="93"/>
  <c r="V372" i="93"/>
  <c r="W372" i="93"/>
  <c r="X372" i="93"/>
  <c r="Y372" i="93"/>
  <c r="Z372" i="93"/>
  <c r="AA372" i="93"/>
  <c r="AB372" i="93"/>
  <c r="AC372" i="93"/>
  <c r="AD372" i="93"/>
  <c r="AE372" i="93"/>
  <c r="AF372" i="93"/>
  <c r="AG372" i="93"/>
  <c r="AH372" i="93"/>
  <c r="AI372" i="93"/>
  <c r="AJ372" i="93"/>
  <c r="AK372" i="93"/>
  <c r="AL372" i="93"/>
  <c r="AM372" i="93"/>
  <c r="AN372" i="93"/>
  <c r="AO372" i="93"/>
  <c r="AP372" i="93"/>
  <c r="AQ372" i="93"/>
  <c r="AR372" i="93"/>
  <c r="AS372" i="93"/>
  <c r="AT372" i="93"/>
  <c r="AU372" i="93"/>
  <c r="AV372" i="93"/>
  <c r="AW372" i="93"/>
  <c r="AX372" i="93"/>
  <c r="AY372" i="93"/>
  <c r="AZ372" i="93"/>
  <c r="BA372" i="93"/>
  <c r="BB372" i="93"/>
  <c r="BC372" i="93"/>
  <c r="BD372" i="93"/>
  <c r="BE372" i="93"/>
  <c r="BF372" i="93"/>
  <c r="BG372" i="93"/>
  <c r="BH372" i="93"/>
  <c r="BI372" i="93"/>
  <c r="BJ372" i="93"/>
  <c r="BK372" i="93"/>
  <c r="BL372" i="93"/>
  <c r="BM372" i="93"/>
  <c r="BN372" i="93"/>
  <c r="BO372" i="93"/>
  <c r="BP372" i="93"/>
  <c r="BQ372" i="93"/>
  <c r="BR372" i="93"/>
  <c r="BS372" i="93"/>
  <c r="BT372" i="93"/>
  <c r="BU372" i="93"/>
  <c r="BV372" i="93"/>
  <c r="BW372" i="93"/>
  <c r="BX372" i="93"/>
  <c r="BY372" i="93"/>
  <c r="BZ372" i="93"/>
  <c r="CA372" i="93"/>
  <c r="CB372" i="93"/>
  <c r="CC372" i="93"/>
  <c r="CD372" i="93"/>
  <c r="CE372" i="93"/>
  <c r="CF372" i="93"/>
  <c r="CG372" i="93"/>
  <c r="CH372" i="93"/>
  <c r="CI372" i="93"/>
  <c r="CJ372" i="93"/>
  <c r="CK372" i="93"/>
  <c r="CL372" i="93"/>
  <c r="CM372" i="93"/>
  <c r="CN372" i="93"/>
  <c r="CO372" i="93"/>
  <c r="CP372" i="93"/>
  <c r="CQ372" i="93"/>
  <c r="CR372" i="93"/>
  <c r="CS372" i="93"/>
  <c r="CT372" i="93"/>
  <c r="CU372" i="93"/>
  <c r="CV372" i="93"/>
  <c r="CW372" i="93"/>
  <c r="J373" i="93"/>
  <c r="K373" i="93"/>
  <c r="L373" i="93"/>
  <c r="M373" i="93"/>
  <c r="N373" i="93"/>
  <c r="O373" i="93"/>
  <c r="P373" i="93"/>
  <c r="Q373" i="93"/>
  <c r="R373" i="93"/>
  <c r="S373" i="93"/>
  <c r="T373" i="93"/>
  <c r="U373" i="93"/>
  <c r="V373" i="93"/>
  <c r="W373" i="93"/>
  <c r="X373" i="93"/>
  <c r="Y373" i="93"/>
  <c r="Z373" i="93"/>
  <c r="AA373" i="93"/>
  <c r="AB373" i="93"/>
  <c r="AC373" i="93"/>
  <c r="AD373" i="93"/>
  <c r="AE373" i="93"/>
  <c r="AF373" i="93"/>
  <c r="AG373" i="93"/>
  <c r="AH373" i="93"/>
  <c r="AI373" i="93"/>
  <c r="AJ373" i="93"/>
  <c r="AK373" i="93"/>
  <c r="AL373" i="93"/>
  <c r="AM373" i="93"/>
  <c r="AN373" i="93"/>
  <c r="AO373" i="93"/>
  <c r="AP373" i="93"/>
  <c r="AQ373" i="93"/>
  <c r="AR373" i="93"/>
  <c r="AS373" i="93"/>
  <c r="AT373" i="93"/>
  <c r="AU373" i="93"/>
  <c r="AV373" i="93"/>
  <c r="AW373" i="93"/>
  <c r="AX373" i="93"/>
  <c r="AY373" i="93"/>
  <c r="AZ373" i="93"/>
  <c r="BA373" i="93"/>
  <c r="BB373" i="93"/>
  <c r="BC373" i="93"/>
  <c r="BD373" i="93"/>
  <c r="BE373" i="93"/>
  <c r="BF373" i="93"/>
  <c r="BG373" i="93"/>
  <c r="BH373" i="93"/>
  <c r="BI373" i="93"/>
  <c r="BJ373" i="93"/>
  <c r="BK373" i="93"/>
  <c r="BL373" i="93"/>
  <c r="BM373" i="93"/>
  <c r="BN373" i="93"/>
  <c r="BO373" i="93"/>
  <c r="BP373" i="93"/>
  <c r="BQ373" i="93"/>
  <c r="BR373" i="93"/>
  <c r="BS373" i="93"/>
  <c r="BT373" i="93"/>
  <c r="BU373" i="93"/>
  <c r="BV373" i="93"/>
  <c r="BW373" i="93"/>
  <c r="BX373" i="93"/>
  <c r="BY373" i="93"/>
  <c r="BZ373" i="93"/>
  <c r="CA373" i="93"/>
  <c r="CB373" i="93"/>
  <c r="CC373" i="93"/>
  <c r="CD373" i="93"/>
  <c r="CE373" i="93"/>
  <c r="CF373" i="93"/>
  <c r="CG373" i="93"/>
  <c r="CH373" i="93"/>
  <c r="CI373" i="93"/>
  <c r="CJ373" i="93"/>
  <c r="CK373" i="93"/>
  <c r="CL373" i="93"/>
  <c r="CM373" i="93"/>
  <c r="CN373" i="93"/>
  <c r="CO373" i="93"/>
  <c r="CP373" i="93"/>
  <c r="CQ373" i="93"/>
  <c r="CR373" i="93"/>
  <c r="CS373" i="93"/>
  <c r="CT373" i="93"/>
  <c r="CU373" i="93"/>
  <c r="CV373" i="93"/>
  <c r="CW373" i="93"/>
  <c r="J374" i="93"/>
  <c r="K374" i="93"/>
  <c r="L374" i="93"/>
  <c r="M374" i="93"/>
  <c r="N374" i="93"/>
  <c r="O374" i="93"/>
  <c r="P374" i="93"/>
  <c r="Q374" i="93"/>
  <c r="R374" i="93"/>
  <c r="S374" i="93"/>
  <c r="T374" i="93"/>
  <c r="U374" i="93"/>
  <c r="V374" i="93"/>
  <c r="W374" i="93"/>
  <c r="X374" i="93"/>
  <c r="Y374" i="93"/>
  <c r="Z374" i="93"/>
  <c r="AA374" i="93"/>
  <c r="AB374" i="93"/>
  <c r="AC374" i="93"/>
  <c r="AD374" i="93"/>
  <c r="AE374" i="93"/>
  <c r="AF374" i="93"/>
  <c r="AG374" i="93"/>
  <c r="AH374" i="93"/>
  <c r="AI374" i="93"/>
  <c r="AJ374" i="93"/>
  <c r="AK374" i="93"/>
  <c r="AL374" i="93"/>
  <c r="AM374" i="93"/>
  <c r="AN374" i="93"/>
  <c r="AO374" i="93"/>
  <c r="AP374" i="93"/>
  <c r="AQ374" i="93"/>
  <c r="AR374" i="93"/>
  <c r="AS374" i="93"/>
  <c r="AT374" i="93"/>
  <c r="AU374" i="93"/>
  <c r="AV374" i="93"/>
  <c r="AW374" i="93"/>
  <c r="AX374" i="93"/>
  <c r="AY374" i="93"/>
  <c r="AZ374" i="93"/>
  <c r="BA374" i="93"/>
  <c r="BB374" i="93"/>
  <c r="BC374" i="93"/>
  <c r="BD374" i="93"/>
  <c r="BE374" i="93"/>
  <c r="BF374" i="93"/>
  <c r="BG374" i="93"/>
  <c r="BH374" i="93"/>
  <c r="BI374" i="93"/>
  <c r="BJ374" i="93"/>
  <c r="BK374" i="93"/>
  <c r="BL374" i="93"/>
  <c r="BM374" i="93"/>
  <c r="BN374" i="93"/>
  <c r="BO374" i="93"/>
  <c r="BP374" i="93"/>
  <c r="BQ374" i="93"/>
  <c r="BR374" i="93"/>
  <c r="BS374" i="93"/>
  <c r="BT374" i="93"/>
  <c r="BU374" i="93"/>
  <c r="BV374" i="93"/>
  <c r="BW374" i="93"/>
  <c r="BX374" i="93"/>
  <c r="BY374" i="93"/>
  <c r="BZ374" i="93"/>
  <c r="CA374" i="93"/>
  <c r="CB374" i="93"/>
  <c r="CC374" i="93"/>
  <c r="CD374" i="93"/>
  <c r="CE374" i="93"/>
  <c r="CF374" i="93"/>
  <c r="CG374" i="93"/>
  <c r="CH374" i="93"/>
  <c r="CI374" i="93"/>
  <c r="CJ374" i="93"/>
  <c r="CK374" i="93"/>
  <c r="CL374" i="93"/>
  <c r="CM374" i="93"/>
  <c r="CN374" i="93"/>
  <c r="CO374" i="93"/>
  <c r="CP374" i="93"/>
  <c r="CQ374" i="93"/>
  <c r="CR374" i="93"/>
  <c r="CS374" i="93"/>
  <c r="CT374" i="93"/>
  <c r="CU374" i="93"/>
  <c r="CV374" i="93"/>
  <c r="CW374" i="93"/>
  <c r="J375" i="93"/>
  <c r="K375" i="93"/>
  <c r="L375" i="93"/>
  <c r="M375" i="93"/>
  <c r="N375" i="93"/>
  <c r="O375" i="93"/>
  <c r="P375" i="93"/>
  <c r="Q375" i="93"/>
  <c r="R375" i="93"/>
  <c r="S375" i="93"/>
  <c r="T375" i="93"/>
  <c r="U375" i="93"/>
  <c r="V375" i="93"/>
  <c r="W375" i="93"/>
  <c r="X375" i="93"/>
  <c r="Y375" i="93"/>
  <c r="Z375" i="93"/>
  <c r="AA375" i="93"/>
  <c r="AB375" i="93"/>
  <c r="AC375" i="93"/>
  <c r="AD375" i="93"/>
  <c r="AE375" i="93"/>
  <c r="AF375" i="93"/>
  <c r="AG375" i="93"/>
  <c r="AH375" i="93"/>
  <c r="AI375" i="93"/>
  <c r="AJ375" i="93"/>
  <c r="AK375" i="93"/>
  <c r="AL375" i="93"/>
  <c r="AM375" i="93"/>
  <c r="AN375" i="93"/>
  <c r="AO375" i="93"/>
  <c r="AP375" i="93"/>
  <c r="AQ375" i="93"/>
  <c r="AR375" i="93"/>
  <c r="AS375" i="93"/>
  <c r="AT375" i="93"/>
  <c r="AU375" i="93"/>
  <c r="AV375" i="93"/>
  <c r="AW375" i="93"/>
  <c r="AX375" i="93"/>
  <c r="AY375" i="93"/>
  <c r="AZ375" i="93"/>
  <c r="BA375" i="93"/>
  <c r="BB375" i="93"/>
  <c r="BC375" i="93"/>
  <c r="BD375" i="93"/>
  <c r="BE375" i="93"/>
  <c r="BF375" i="93"/>
  <c r="BG375" i="93"/>
  <c r="BH375" i="93"/>
  <c r="BI375" i="93"/>
  <c r="BJ375" i="93"/>
  <c r="BK375" i="93"/>
  <c r="BL375" i="93"/>
  <c r="BM375" i="93"/>
  <c r="BN375" i="93"/>
  <c r="BO375" i="93"/>
  <c r="BP375" i="93"/>
  <c r="BQ375" i="93"/>
  <c r="BR375" i="93"/>
  <c r="BS375" i="93"/>
  <c r="BT375" i="93"/>
  <c r="BU375" i="93"/>
  <c r="BV375" i="93"/>
  <c r="BW375" i="93"/>
  <c r="BX375" i="93"/>
  <c r="BY375" i="93"/>
  <c r="BZ375" i="93"/>
  <c r="CA375" i="93"/>
  <c r="CB375" i="93"/>
  <c r="CC375" i="93"/>
  <c r="CD375" i="93"/>
  <c r="CE375" i="93"/>
  <c r="CF375" i="93"/>
  <c r="CG375" i="93"/>
  <c r="CH375" i="93"/>
  <c r="CI375" i="93"/>
  <c r="CJ375" i="93"/>
  <c r="CK375" i="93"/>
  <c r="CL375" i="93"/>
  <c r="CM375" i="93"/>
  <c r="CN375" i="93"/>
  <c r="CO375" i="93"/>
  <c r="CP375" i="93"/>
  <c r="CQ375" i="93"/>
  <c r="CR375" i="93"/>
  <c r="CS375" i="93"/>
  <c r="CT375" i="93"/>
  <c r="CU375" i="93"/>
  <c r="CV375" i="93"/>
  <c r="CW375" i="93"/>
  <c r="J376" i="93"/>
  <c r="K376" i="93"/>
  <c r="L376" i="93"/>
  <c r="M376" i="93"/>
  <c r="N376" i="93"/>
  <c r="O376" i="93"/>
  <c r="P376" i="93"/>
  <c r="Q376" i="93"/>
  <c r="R376" i="93"/>
  <c r="S376" i="93"/>
  <c r="T376" i="93"/>
  <c r="U376" i="93"/>
  <c r="V376" i="93"/>
  <c r="W376" i="93"/>
  <c r="X376" i="93"/>
  <c r="Y376" i="93"/>
  <c r="Z376" i="93"/>
  <c r="AA376" i="93"/>
  <c r="AB376" i="93"/>
  <c r="AC376" i="93"/>
  <c r="AD376" i="93"/>
  <c r="AE376" i="93"/>
  <c r="AF376" i="93"/>
  <c r="AG376" i="93"/>
  <c r="AH376" i="93"/>
  <c r="AI376" i="93"/>
  <c r="AJ376" i="93"/>
  <c r="AK376" i="93"/>
  <c r="AL376" i="93"/>
  <c r="AM376" i="93"/>
  <c r="AN376" i="93"/>
  <c r="AO376" i="93"/>
  <c r="AP376" i="93"/>
  <c r="AQ376" i="93"/>
  <c r="AR376" i="93"/>
  <c r="AS376" i="93"/>
  <c r="AT376" i="93"/>
  <c r="AU376" i="93"/>
  <c r="AV376" i="93"/>
  <c r="AW376" i="93"/>
  <c r="AX376" i="93"/>
  <c r="AY376" i="93"/>
  <c r="AZ376" i="93"/>
  <c r="BA376" i="93"/>
  <c r="BB376" i="93"/>
  <c r="BC376" i="93"/>
  <c r="BD376" i="93"/>
  <c r="BE376" i="93"/>
  <c r="BF376" i="93"/>
  <c r="BG376" i="93"/>
  <c r="BH376" i="93"/>
  <c r="BI376" i="93"/>
  <c r="BJ376" i="93"/>
  <c r="BK376" i="93"/>
  <c r="BL376" i="93"/>
  <c r="BM376" i="93"/>
  <c r="BN376" i="93"/>
  <c r="BO376" i="93"/>
  <c r="BP376" i="93"/>
  <c r="BQ376" i="93"/>
  <c r="BR376" i="93"/>
  <c r="BS376" i="93"/>
  <c r="BT376" i="93"/>
  <c r="BU376" i="93"/>
  <c r="BV376" i="93"/>
  <c r="BW376" i="93"/>
  <c r="BX376" i="93"/>
  <c r="BY376" i="93"/>
  <c r="BZ376" i="93"/>
  <c r="CA376" i="93"/>
  <c r="CB376" i="93"/>
  <c r="CC376" i="93"/>
  <c r="CD376" i="93"/>
  <c r="CE376" i="93"/>
  <c r="CF376" i="93"/>
  <c r="CG376" i="93"/>
  <c r="CH376" i="93"/>
  <c r="CI376" i="93"/>
  <c r="CJ376" i="93"/>
  <c r="CK376" i="93"/>
  <c r="CL376" i="93"/>
  <c r="CM376" i="93"/>
  <c r="CN376" i="93"/>
  <c r="CO376" i="93"/>
  <c r="CP376" i="93"/>
  <c r="CQ376" i="93"/>
  <c r="CR376" i="93"/>
  <c r="CS376" i="93"/>
  <c r="CT376" i="93"/>
  <c r="CU376" i="93"/>
  <c r="CV376" i="93"/>
  <c r="CW376" i="93"/>
  <c r="J377" i="93"/>
  <c r="K377" i="93"/>
  <c r="L377" i="93"/>
  <c r="M377" i="93"/>
  <c r="N377" i="93"/>
  <c r="O377" i="93"/>
  <c r="P377" i="93"/>
  <c r="Q377" i="93"/>
  <c r="R377" i="93"/>
  <c r="S377" i="93"/>
  <c r="T377" i="93"/>
  <c r="U377" i="93"/>
  <c r="V377" i="93"/>
  <c r="W377" i="93"/>
  <c r="X377" i="93"/>
  <c r="Y377" i="93"/>
  <c r="Z377" i="93"/>
  <c r="AA377" i="93"/>
  <c r="AB377" i="93"/>
  <c r="AC377" i="93"/>
  <c r="AD377" i="93"/>
  <c r="AE377" i="93"/>
  <c r="AF377" i="93"/>
  <c r="AG377" i="93"/>
  <c r="AH377" i="93"/>
  <c r="AI377" i="93"/>
  <c r="AJ377" i="93"/>
  <c r="AK377" i="93"/>
  <c r="AL377" i="93"/>
  <c r="AM377" i="93"/>
  <c r="AN377" i="93"/>
  <c r="AO377" i="93"/>
  <c r="AP377" i="93"/>
  <c r="AQ377" i="93"/>
  <c r="AR377" i="93"/>
  <c r="AS377" i="93"/>
  <c r="AT377" i="93"/>
  <c r="AU377" i="93"/>
  <c r="AV377" i="93"/>
  <c r="AW377" i="93"/>
  <c r="AX377" i="93"/>
  <c r="AY377" i="93"/>
  <c r="AZ377" i="93"/>
  <c r="BA377" i="93"/>
  <c r="BB377" i="93"/>
  <c r="BC377" i="93"/>
  <c r="BD377" i="93"/>
  <c r="BE377" i="93"/>
  <c r="BF377" i="93"/>
  <c r="BG377" i="93"/>
  <c r="BH377" i="93"/>
  <c r="BI377" i="93"/>
  <c r="BJ377" i="93"/>
  <c r="BK377" i="93"/>
  <c r="BL377" i="93"/>
  <c r="BM377" i="93"/>
  <c r="BN377" i="93"/>
  <c r="BO377" i="93"/>
  <c r="BP377" i="93"/>
  <c r="BQ377" i="93"/>
  <c r="BR377" i="93"/>
  <c r="BS377" i="93"/>
  <c r="BT377" i="93"/>
  <c r="BU377" i="93"/>
  <c r="BV377" i="93"/>
  <c r="BW377" i="93"/>
  <c r="BX377" i="93"/>
  <c r="BY377" i="93"/>
  <c r="BZ377" i="93"/>
  <c r="CA377" i="93"/>
  <c r="CB377" i="93"/>
  <c r="CC377" i="93"/>
  <c r="CD377" i="93"/>
  <c r="CE377" i="93"/>
  <c r="CF377" i="93"/>
  <c r="CG377" i="93"/>
  <c r="CH377" i="93"/>
  <c r="CI377" i="93"/>
  <c r="CJ377" i="93"/>
  <c r="CK377" i="93"/>
  <c r="CL377" i="93"/>
  <c r="CM377" i="93"/>
  <c r="CN377" i="93"/>
  <c r="CO377" i="93"/>
  <c r="CP377" i="93"/>
  <c r="CQ377" i="93"/>
  <c r="CR377" i="93"/>
  <c r="CS377" i="93"/>
  <c r="CT377" i="93"/>
  <c r="CU377" i="93"/>
  <c r="CV377" i="93"/>
  <c r="CW377" i="93"/>
  <c r="J378" i="93"/>
  <c r="K378" i="93"/>
  <c r="L378" i="93"/>
  <c r="M378" i="93"/>
  <c r="N378" i="93"/>
  <c r="O378" i="93"/>
  <c r="P378" i="93"/>
  <c r="Q378" i="93"/>
  <c r="R378" i="93"/>
  <c r="S378" i="93"/>
  <c r="T378" i="93"/>
  <c r="U378" i="93"/>
  <c r="V378" i="93"/>
  <c r="W378" i="93"/>
  <c r="X378" i="93"/>
  <c r="Y378" i="93"/>
  <c r="Z378" i="93"/>
  <c r="AA378" i="93"/>
  <c r="AB378" i="93"/>
  <c r="AC378" i="93"/>
  <c r="AD378" i="93"/>
  <c r="AE378" i="93"/>
  <c r="AF378" i="93"/>
  <c r="AG378" i="93"/>
  <c r="AH378" i="93"/>
  <c r="AI378" i="93"/>
  <c r="AJ378" i="93"/>
  <c r="AK378" i="93"/>
  <c r="AL378" i="93"/>
  <c r="AM378" i="93"/>
  <c r="AN378" i="93"/>
  <c r="AO378" i="93"/>
  <c r="AP378" i="93"/>
  <c r="AQ378" i="93"/>
  <c r="AR378" i="93"/>
  <c r="AS378" i="93"/>
  <c r="AT378" i="93"/>
  <c r="AU378" i="93"/>
  <c r="AV378" i="93"/>
  <c r="AW378" i="93"/>
  <c r="AX378" i="93"/>
  <c r="AY378" i="93"/>
  <c r="AZ378" i="93"/>
  <c r="BA378" i="93"/>
  <c r="BB378" i="93"/>
  <c r="BC378" i="93"/>
  <c r="BD378" i="93"/>
  <c r="BE378" i="93"/>
  <c r="BF378" i="93"/>
  <c r="BG378" i="93"/>
  <c r="BH378" i="93"/>
  <c r="BI378" i="93"/>
  <c r="BJ378" i="93"/>
  <c r="BK378" i="93"/>
  <c r="BL378" i="93"/>
  <c r="BM378" i="93"/>
  <c r="BN378" i="93"/>
  <c r="BO378" i="93"/>
  <c r="BP378" i="93"/>
  <c r="BQ378" i="93"/>
  <c r="BR378" i="93"/>
  <c r="BS378" i="93"/>
  <c r="BT378" i="93"/>
  <c r="BU378" i="93"/>
  <c r="BV378" i="93"/>
  <c r="BW378" i="93"/>
  <c r="BX378" i="93"/>
  <c r="BY378" i="93"/>
  <c r="BZ378" i="93"/>
  <c r="CA378" i="93"/>
  <c r="CB378" i="93"/>
  <c r="CC378" i="93"/>
  <c r="CD378" i="93"/>
  <c r="CE378" i="93"/>
  <c r="CF378" i="93"/>
  <c r="CG378" i="93"/>
  <c r="CH378" i="93"/>
  <c r="CI378" i="93"/>
  <c r="CJ378" i="93"/>
  <c r="CK378" i="93"/>
  <c r="CL378" i="93"/>
  <c r="CM378" i="93"/>
  <c r="CN378" i="93"/>
  <c r="CO378" i="93"/>
  <c r="CP378" i="93"/>
  <c r="CQ378" i="93"/>
  <c r="CR378" i="93"/>
  <c r="CS378" i="93"/>
  <c r="CT378" i="93"/>
  <c r="CU378" i="93"/>
  <c r="CV378" i="93"/>
  <c r="CW378" i="93"/>
  <c r="J379" i="93"/>
  <c r="K379" i="93"/>
  <c r="L379" i="93"/>
  <c r="M379" i="93"/>
  <c r="N379" i="93"/>
  <c r="O379" i="93"/>
  <c r="P379" i="93"/>
  <c r="Q379" i="93"/>
  <c r="R379" i="93"/>
  <c r="S379" i="93"/>
  <c r="T379" i="93"/>
  <c r="U379" i="93"/>
  <c r="V379" i="93"/>
  <c r="W379" i="93"/>
  <c r="X379" i="93"/>
  <c r="Y379" i="93"/>
  <c r="Z379" i="93"/>
  <c r="AA379" i="93"/>
  <c r="AB379" i="93"/>
  <c r="AC379" i="93"/>
  <c r="AD379" i="93"/>
  <c r="AE379" i="93"/>
  <c r="AF379" i="93"/>
  <c r="AG379" i="93"/>
  <c r="AH379" i="93"/>
  <c r="AI379" i="93"/>
  <c r="AJ379" i="93"/>
  <c r="AK379" i="93"/>
  <c r="AL379" i="93"/>
  <c r="AM379" i="93"/>
  <c r="AN379" i="93"/>
  <c r="AO379" i="93"/>
  <c r="AP379" i="93"/>
  <c r="AQ379" i="93"/>
  <c r="AR379" i="93"/>
  <c r="AS379" i="93"/>
  <c r="AT379" i="93"/>
  <c r="AU379" i="93"/>
  <c r="AV379" i="93"/>
  <c r="AW379" i="93"/>
  <c r="AX379" i="93"/>
  <c r="AY379" i="93"/>
  <c r="AZ379" i="93"/>
  <c r="BA379" i="93"/>
  <c r="BB379" i="93"/>
  <c r="BC379" i="93"/>
  <c r="BD379" i="93"/>
  <c r="BE379" i="93"/>
  <c r="BF379" i="93"/>
  <c r="BG379" i="93"/>
  <c r="BH379" i="93"/>
  <c r="BI379" i="93"/>
  <c r="BJ379" i="93"/>
  <c r="BK379" i="93"/>
  <c r="BL379" i="93"/>
  <c r="BM379" i="93"/>
  <c r="BN379" i="93"/>
  <c r="BO379" i="93"/>
  <c r="BP379" i="93"/>
  <c r="BQ379" i="93"/>
  <c r="BR379" i="93"/>
  <c r="BS379" i="93"/>
  <c r="BT379" i="93"/>
  <c r="BU379" i="93"/>
  <c r="BV379" i="93"/>
  <c r="BW379" i="93"/>
  <c r="BX379" i="93"/>
  <c r="BY379" i="93"/>
  <c r="BZ379" i="93"/>
  <c r="CA379" i="93"/>
  <c r="CB379" i="93"/>
  <c r="CC379" i="93"/>
  <c r="CD379" i="93"/>
  <c r="CE379" i="93"/>
  <c r="CF379" i="93"/>
  <c r="CG379" i="93"/>
  <c r="CH379" i="93"/>
  <c r="CI379" i="93"/>
  <c r="CJ379" i="93"/>
  <c r="CK379" i="93"/>
  <c r="CL379" i="93"/>
  <c r="CM379" i="93"/>
  <c r="CN379" i="93"/>
  <c r="CO379" i="93"/>
  <c r="CP379" i="93"/>
  <c r="CQ379" i="93"/>
  <c r="CR379" i="93"/>
  <c r="CS379" i="93"/>
  <c r="CT379" i="93"/>
  <c r="CU379" i="93"/>
  <c r="CV379" i="93"/>
  <c r="CW379" i="93"/>
  <c r="J380" i="93"/>
  <c r="K380" i="93"/>
  <c r="L380" i="93"/>
  <c r="M380" i="93"/>
  <c r="N380" i="93"/>
  <c r="O380" i="93"/>
  <c r="P380" i="93"/>
  <c r="Q380" i="93"/>
  <c r="R380" i="93"/>
  <c r="S380" i="93"/>
  <c r="T380" i="93"/>
  <c r="U380" i="93"/>
  <c r="V380" i="93"/>
  <c r="W380" i="93"/>
  <c r="X380" i="93"/>
  <c r="Y380" i="93"/>
  <c r="Z380" i="93"/>
  <c r="AA380" i="93"/>
  <c r="AB380" i="93"/>
  <c r="AC380" i="93"/>
  <c r="AD380" i="93"/>
  <c r="AE380" i="93"/>
  <c r="AF380" i="93"/>
  <c r="AG380" i="93"/>
  <c r="AH380" i="93"/>
  <c r="AI380" i="93"/>
  <c r="AJ380" i="93"/>
  <c r="AK380" i="93"/>
  <c r="AL380" i="93"/>
  <c r="AM380" i="93"/>
  <c r="AN380" i="93"/>
  <c r="AO380" i="93"/>
  <c r="AP380" i="93"/>
  <c r="AQ380" i="93"/>
  <c r="AR380" i="93"/>
  <c r="AS380" i="93"/>
  <c r="AT380" i="93"/>
  <c r="AU380" i="93"/>
  <c r="AV380" i="93"/>
  <c r="AW380" i="93"/>
  <c r="AX380" i="93"/>
  <c r="AY380" i="93"/>
  <c r="AZ380" i="93"/>
  <c r="BA380" i="93"/>
  <c r="BB380" i="93"/>
  <c r="BC380" i="93"/>
  <c r="BD380" i="93"/>
  <c r="BE380" i="93"/>
  <c r="BF380" i="93"/>
  <c r="BG380" i="93"/>
  <c r="BH380" i="93"/>
  <c r="BI380" i="93"/>
  <c r="BJ380" i="93"/>
  <c r="BK380" i="93"/>
  <c r="BL380" i="93"/>
  <c r="BM380" i="93"/>
  <c r="BN380" i="93"/>
  <c r="BO380" i="93"/>
  <c r="BP380" i="93"/>
  <c r="BQ380" i="93"/>
  <c r="BR380" i="93"/>
  <c r="BS380" i="93"/>
  <c r="BT380" i="93"/>
  <c r="BU380" i="93"/>
  <c r="BV380" i="93"/>
  <c r="BW380" i="93"/>
  <c r="BX380" i="93"/>
  <c r="BY380" i="93"/>
  <c r="BZ380" i="93"/>
  <c r="CA380" i="93"/>
  <c r="CB380" i="93"/>
  <c r="CC380" i="93"/>
  <c r="CD380" i="93"/>
  <c r="CE380" i="93"/>
  <c r="CF380" i="93"/>
  <c r="CG380" i="93"/>
  <c r="CH380" i="93"/>
  <c r="CI380" i="93"/>
  <c r="CJ380" i="93"/>
  <c r="CK380" i="93"/>
  <c r="CL380" i="93"/>
  <c r="CM380" i="93"/>
  <c r="CN380" i="93"/>
  <c r="CO380" i="93"/>
  <c r="CP380" i="93"/>
  <c r="CQ380" i="93"/>
  <c r="CR380" i="93"/>
  <c r="CS380" i="93"/>
  <c r="CT380" i="93"/>
  <c r="CU380" i="93"/>
  <c r="CV380" i="93"/>
  <c r="CW380" i="93"/>
  <c r="J381" i="93"/>
  <c r="K381" i="93"/>
  <c r="L381" i="93"/>
  <c r="M381" i="93"/>
  <c r="N381" i="93"/>
  <c r="O381" i="93"/>
  <c r="P381" i="93"/>
  <c r="Q381" i="93"/>
  <c r="R381" i="93"/>
  <c r="S381" i="93"/>
  <c r="T381" i="93"/>
  <c r="U381" i="93"/>
  <c r="V381" i="93"/>
  <c r="W381" i="93"/>
  <c r="X381" i="93"/>
  <c r="Y381" i="93"/>
  <c r="Z381" i="93"/>
  <c r="AA381" i="93"/>
  <c r="AB381" i="93"/>
  <c r="AC381" i="93"/>
  <c r="AD381" i="93"/>
  <c r="AE381" i="93"/>
  <c r="AF381" i="93"/>
  <c r="AG381" i="93"/>
  <c r="AH381" i="93"/>
  <c r="AI381" i="93"/>
  <c r="AJ381" i="93"/>
  <c r="AK381" i="93"/>
  <c r="AL381" i="93"/>
  <c r="AM381" i="93"/>
  <c r="AN381" i="93"/>
  <c r="AO381" i="93"/>
  <c r="AP381" i="93"/>
  <c r="AQ381" i="93"/>
  <c r="AR381" i="93"/>
  <c r="AS381" i="93"/>
  <c r="AT381" i="93"/>
  <c r="AU381" i="93"/>
  <c r="AV381" i="93"/>
  <c r="AW381" i="93"/>
  <c r="AX381" i="93"/>
  <c r="AY381" i="93"/>
  <c r="AZ381" i="93"/>
  <c r="BA381" i="93"/>
  <c r="BB381" i="93"/>
  <c r="BC381" i="93"/>
  <c r="BD381" i="93"/>
  <c r="BE381" i="93"/>
  <c r="BF381" i="93"/>
  <c r="BG381" i="93"/>
  <c r="BH381" i="93"/>
  <c r="BI381" i="93"/>
  <c r="BJ381" i="93"/>
  <c r="BK381" i="93"/>
  <c r="BL381" i="93"/>
  <c r="BM381" i="93"/>
  <c r="BN381" i="93"/>
  <c r="BO381" i="93"/>
  <c r="BP381" i="93"/>
  <c r="BQ381" i="93"/>
  <c r="BR381" i="93"/>
  <c r="BS381" i="93"/>
  <c r="BT381" i="93"/>
  <c r="BU381" i="93"/>
  <c r="BV381" i="93"/>
  <c r="BW381" i="93"/>
  <c r="BX381" i="93"/>
  <c r="BY381" i="93"/>
  <c r="BZ381" i="93"/>
  <c r="CA381" i="93"/>
  <c r="CB381" i="93"/>
  <c r="CC381" i="93"/>
  <c r="CD381" i="93"/>
  <c r="CE381" i="93"/>
  <c r="CF381" i="93"/>
  <c r="CG381" i="93"/>
  <c r="CH381" i="93"/>
  <c r="CI381" i="93"/>
  <c r="CJ381" i="93"/>
  <c r="CK381" i="93"/>
  <c r="CL381" i="93"/>
  <c r="CM381" i="93"/>
  <c r="CN381" i="93"/>
  <c r="CO381" i="93"/>
  <c r="CP381" i="93"/>
  <c r="CQ381" i="93"/>
  <c r="CR381" i="93"/>
  <c r="CS381" i="93"/>
  <c r="CT381" i="93"/>
  <c r="CU381" i="93"/>
  <c r="CV381" i="93"/>
  <c r="CW381" i="93"/>
  <c r="J382" i="93"/>
  <c r="K382" i="93"/>
  <c r="L382" i="93"/>
  <c r="M382" i="93"/>
  <c r="N382" i="93"/>
  <c r="O382" i="93"/>
  <c r="P382" i="93"/>
  <c r="Q382" i="93"/>
  <c r="R382" i="93"/>
  <c r="S382" i="93"/>
  <c r="T382" i="93"/>
  <c r="U382" i="93"/>
  <c r="V382" i="93"/>
  <c r="W382" i="93"/>
  <c r="X382" i="93"/>
  <c r="Y382" i="93"/>
  <c r="Z382" i="93"/>
  <c r="AA382" i="93"/>
  <c r="AB382" i="93"/>
  <c r="AC382" i="93"/>
  <c r="AD382" i="93"/>
  <c r="AE382" i="93"/>
  <c r="AF382" i="93"/>
  <c r="AG382" i="93"/>
  <c r="AH382" i="93"/>
  <c r="AI382" i="93"/>
  <c r="AJ382" i="93"/>
  <c r="AK382" i="93"/>
  <c r="AL382" i="93"/>
  <c r="AM382" i="93"/>
  <c r="AN382" i="93"/>
  <c r="AO382" i="93"/>
  <c r="AP382" i="93"/>
  <c r="AQ382" i="93"/>
  <c r="AR382" i="93"/>
  <c r="AS382" i="93"/>
  <c r="AT382" i="93"/>
  <c r="AU382" i="93"/>
  <c r="AV382" i="93"/>
  <c r="AW382" i="93"/>
  <c r="AX382" i="93"/>
  <c r="AY382" i="93"/>
  <c r="AZ382" i="93"/>
  <c r="BA382" i="93"/>
  <c r="BB382" i="93"/>
  <c r="BC382" i="93"/>
  <c r="BD382" i="93"/>
  <c r="BE382" i="93"/>
  <c r="BF382" i="93"/>
  <c r="BG382" i="93"/>
  <c r="BH382" i="93"/>
  <c r="BI382" i="93"/>
  <c r="BJ382" i="93"/>
  <c r="BK382" i="93"/>
  <c r="BL382" i="93"/>
  <c r="BM382" i="93"/>
  <c r="BN382" i="93"/>
  <c r="BO382" i="93"/>
  <c r="BP382" i="93"/>
  <c r="BQ382" i="93"/>
  <c r="BR382" i="93"/>
  <c r="BS382" i="93"/>
  <c r="BT382" i="93"/>
  <c r="BU382" i="93"/>
  <c r="BV382" i="93"/>
  <c r="BW382" i="93"/>
  <c r="BX382" i="93"/>
  <c r="BY382" i="93"/>
  <c r="BZ382" i="93"/>
  <c r="CA382" i="93"/>
  <c r="CB382" i="93"/>
  <c r="CC382" i="93"/>
  <c r="CD382" i="93"/>
  <c r="CE382" i="93"/>
  <c r="CF382" i="93"/>
  <c r="CG382" i="93"/>
  <c r="CH382" i="93"/>
  <c r="CI382" i="93"/>
  <c r="CJ382" i="93"/>
  <c r="CK382" i="93"/>
  <c r="CL382" i="93"/>
  <c r="CM382" i="93"/>
  <c r="CN382" i="93"/>
  <c r="CO382" i="93"/>
  <c r="CP382" i="93"/>
  <c r="CQ382" i="93"/>
  <c r="CR382" i="93"/>
  <c r="CS382" i="93"/>
  <c r="CT382" i="93"/>
  <c r="CU382" i="93"/>
  <c r="CV382" i="93"/>
  <c r="CW382" i="93"/>
  <c r="J383" i="93"/>
  <c r="K383" i="93"/>
  <c r="L383" i="93"/>
  <c r="M383" i="93"/>
  <c r="N383" i="93"/>
  <c r="O383" i="93"/>
  <c r="P383" i="93"/>
  <c r="Q383" i="93"/>
  <c r="R383" i="93"/>
  <c r="S383" i="93"/>
  <c r="T383" i="93"/>
  <c r="U383" i="93"/>
  <c r="V383" i="93"/>
  <c r="W383" i="93"/>
  <c r="X383" i="93"/>
  <c r="Y383" i="93"/>
  <c r="Z383" i="93"/>
  <c r="AA383" i="93"/>
  <c r="AB383" i="93"/>
  <c r="AC383" i="93"/>
  <c r="AD383" i="93"/>
  <c r="AE383" i="93"/>
  <c r="AF383" i="93"/>
  <c r="AG383" i="93"/>
  <c r="AH383" i="93"/>
  <c r="AI383" i="93"/>
  <c r="AJ383" i="93"/>
  <c r="AK383" i="93"/>
  <c r="AL383" i="93"/>
  <c r="AM383" i="93"/>
  <c r="AN383" i="93"/>
  <c r="AO383" i="93"/>
  <c r="AP383" i="93"/>
  <c r="AQ383" i="93"/>
  <c r="AR383" i="93"/>
  <c r="AS383" i="93"/>
  <c r="AT383" i="93"/>
  <c r="AU383" i="93"/>
  <c r="AV383" i="93"/>
  <c r="AW383" i="93"/>
  <c r="AX383" i="93"/>
  <c r="AY383" i="93"/>
  <c r="AZ383" i="93"/>
  <c r="BA383" i="93"/>
  <c r="BB383" i="93"/>
  <c r="BC383" i="93"/>
  <c r="BD383" i="93"/>
  <c r="BE383" i="93"/>
  <c r="BF383" i="93"/>
  <c r="BG383" i="93"/>
  <c r="BH383" i="93"/>
  <c r="BI383" i="93"/>
  <c r="BJ383" i="93"/>
  <c r="BK383" i="93"/>
  <c r="BL383" i="93"/>
  <c r="BM383" i="93"/>
  <c r="BN383" i="93"/>
  <c r="BO383" i="93"/>
  <c r="BP383" i="93"/>
  <c r="BQ383" i="93"/>
  <c r="BR383" i="93"/>
  <c r="BS383" i="93"/>
  <c r="BT383" i="93"/>
  <c r="BU383" i="93"/>
  <c r="BV383" i="93"/>
  <c r="BW383" i="93"/>
  <c r="BX383" i="93"/>
  <c r="BY383" i="93"/>
  <c r="BZ383" i="93"/>
  <c r="CA383" i="93"/>
  <c r="CB383" i="93"/>
  <c r="CC383" i="93"/>
  <c r="CD383" i="93"/>
  <c r="CE383" i="93"/>
  <c r="CF383" i="93"/>
  <c r="CG383" i="93"/>
  <c r="CH383" i="93"/>
  <c r="CI383" i="93"/>
  <c r="CJ383" i="93"/>
  <c r="CK383" i="93"/>
  <c r="CL383" i="93"/>
  <c r="CM383" i="93"/>
  <c r="CN383" i="93"/>
  <c r="CO383" i="93"/>
  <c r="CP383" i="93"/>
  <c r="CQ383" i="93"/>
  <c r="CR383" i="93"/>
  <c r="CS383" i="93"/>
  <c r="CT383" i="93"/>
  <c r="CU383" i="93"/>
  <c r="CV383" i="93"/>
  <c r="CW383" i="93"/>
  <c r="J384" i="93"/>
  <c r="K384" i="93"/>
  <c r="L384" i="93"/>
  <c r="M384" i="93"/>
  <c r="N384" i="93"/>
  <c r="O384" i="93"/>
  <c r="P384" i="93"/>
  <c r="Q384" i="93"/>
  <c r="R384" i="93"/>
  <c r="S384" i="93"/>
  <c r="T384" i="93"/>
  <c r="U384" i="93"/>
  <c r="V384" i="93"/>
  <c r="W384" i="93"/>
  <c r="X384" i="93"/>
  <c r="Y384" i="93"/>
  <c r="Z384" i="93"/>
  <c r="AA384" i="93"/>
  <c r="AB384" i="93"/>
  <c r="AC384" i="93"/>
  <c r="AD384" i="93"/>
  <c r="AE384" i="93"/>
  <c r="AF384" i="93"/>
  <c r="AG384" i="93"/>
  <c r="AH384" i="93"/>
  <c r="AI384" i="93"/>
  <c r="AJ384" i="93"/>
  <c r="AK384" i="93"/>
  <c r="AL384" i="93"/>
  <c r="AM384" i="93"/>
  <c r="AN384" i="93"/>
  <c r="AO384" i="93"/>
  <c r="AP384" i="93"/>
  <c r="AQ384" i="93"/>
  <c r="AR384" i="93"/>
  <c r="AS384" i="93"/>
  <c r="AT384" i="93"/>
  <c r="AU384" i="93"/>
  <c r="AV384" i="93"/>
  <c r="AW384" i="93"/>
  <c r="AX384" i="93"/>
  <c r="AY384" i="93"/>
  <c r="AZ384" i="93"/>
  <c r="BA384" i="93"/>
  <c r="BB384" i="93"/>
  <c r="BC384" i="93"/>
  <c r="BD384" i="93"/>
  <c r="BE384" i="93"/>
  <c r="BF384" i="93"/>
  <c r="BG384" i="93"/>
  <c r="BH384" i="93"/>
  <c r="BI384" i="93"/>
  <c r="BJ384" i="93"/>
  <c r="BK384" i="93"/>
  <c r="BL384" i="93"/>
  <c r="BM384" i="93"/>
  <c r="BN384" i="93"/>
  <c r="BO384" i="93"/>
  <c r="BP384" i="93"/>
  <c r="BQ384" i="93"/>
  <c r="BR384" i="93"/>
  <c r="BS384" i="93"/>
  <c r="BT384" i="93"/>
  <c r="BU384" i="93"/>
  <c r="BV384" i="93"/>
  <c r="BW384" i="93"/>
  <c r="BX384" i="93"/>
  <c r="BY384" i="93"/>
  <c r="BZ384" i="93"/>
  <c r="CA384" i="93"/>
  <c r="CB384" i="93"/>
  <c r="CC384" i="93"/>
  <c r="CD384" i="93"/>
  <c r="CE384" i="93"/>
  <c r="CF384" i="93"/>
  <c r="CG384" i="93"/>
  <c r="CH384" i="93"/>
  <c r="CI384" i="93"/>
  <c r="CJ384" i="93"/>
  <c r="CK384" i="93"/>
  <c r="CL384" i="93"/>
  <c r="CM384" i="93"/>
  <c r="CN384" i="93"/>
  <c r="CO384" i="93"/>
  <c r="CP384" i="93"/>
  <c r="CQ384" i="93"/>
  <c r="CR384" i="93"/>
  <c r="CS384" i="93"/>
  <c r="CT384" i="93"/>
  <c r="CU384" i="93"/>
  <c r="CV384" i="93"/>
  <c r="CW384" i="93"/>
  <c r="J385" i="93"/>
  <c r="K385" i="93"/>
  <c r="L385" i="93"/>
  <c r="M385" i="93"/>
  <c r="N385" i="93"/>
  <c r="O385" i="93"/>
  <c r="P385" i="93"/>
  <c r="Q385" i="93"/>
  <c r="R385" i="93"/>
  <c r="S385" i="93"/>
  <c r="T385" i="93"/>
  <c r="U385" i="93"/>
  <c r="V385" i="93"/>
  <c r="W385" i="93"/>
  <c r="X385" i="93"/>
  <c r="Y385" i="93"/>
  <c r="Z385" i="93"/>
  <c r="AA385" i="93"/>
  <c r="AB385" i="93"/>
  <c r="AC385" i="93"/>
  <c r="AD385" i="93"/>
  <c r="AE385" i="93"/>
  <c r="AF385" i="93"/>
  <c r="AG385" i="93"/>
  <c r="AH385" i="93"/>
  <c r="AI385" i="93"/>
  <c r="AJ385" i="93"/>
  <c r="AK385" i="93"/>
  <c r="AL385" i="93"/>
  <c r="AM385" i="93"/>
  <c r="AN385" i="93"/>
  <c r="AO385" i="93"/>
  <c r="AP385" i="93"/>
  <c r="AQ385" i="93"/>
  <c r="AR385" i="93"/>
  <c r="AS385" i="93"/>
  <c r="AT385" i="93"/>
  <c r="AU385" i="93"/>
  <c r="AV385" i="93"/>
  <c r="AW385" i="93"/>
  <c r="AX385" i="93"/>
  <c r="AY385" i="93"/>
  <c r="AZ385" i="93"/>
  <c r="BA385" i="93"/>
  <c r="BB385" i="93"/>
  <c r="BC385" i="93"/>
  <c r="BD385" i="93"/>
  <c r="BE385" i="93"/>
  <c r="BF385" i="93"/>
  <c r="BG385" i="93"/>
  <c r="BH385" i="93"/>
  <c r="BI385" i="93"/>
  <c r="BJ385" i="93"/>
  <c r="BK385" i="93"/>
  <c r="BL385" i="93"/>
  <c r="BM385" i="93"/>
  <c r="BN385" i="93"/>
  <c r="BO385" i="93"/>
  <c r="BP385" i="93"/>
  <c r="BQ385" i="93"/>
  <c r="BR385" i="93"/>
  <c r="BS385" i="93"/>
  <c r="BT385" i="93"/>
  <c r="BU385" i="93"/>
  <c r="BV385" i="93"/>
  <c r="BW385" i="93"/>
  <c r="BX385" i="93"/>
  <c r="BY385" i="93"/>
  <c r="BZ385" i="93"/>
  <c r="CA385" i="93"/>
  <c r="CB385" i="93"/>
  <c r="CC385" i="93"/>
  <c r="CD385" i="93"/>
  <c r="CE385" i="93"/>
  <c r="CF385" i="93"/>
  <c r="CG385" i="93"/>
  <c r="CH385" i="93"/>
  <c r="CI385" i="93"/>
  <c r="CJ385" i="93"/>
  <c r="CK385" i="93"/>
  <c r="CL385" i="93"/>
  <c r="CM385" i="93"/>
  <c r="CN385" i="93"/>
  <c r="CO385" i="93"/>
  <c r="CP385" i="93"/>
  <c r="CQ385" i="93"/>
  <c r="CR385" i="93"/>
  <c r="CS385" i="93"/>
  <c r="CT385" i="93"/>
  <c r="CU385" i="93"/>
  <c r="CV385" i="93"/>
  <c r="CW385" i="93"/>
  <c r="J386" i="93"/>
  <c r="K386" i="93"/>
  <c r="L386" i="93"/>
  <c r="M386" i="93"/>
  <c r="N386" i="93"/>
  <c r="O386" i="93"/>
  <c r="P386" i="93"/>
  <c r="Q386" i="93"/>
  <c r="R386" i="93"/>
  <c r="S386" i="93"/>
  <c r="T386" i="93"/>
  <c r="U386" i="93"/>
  <c r="V386" i="93"/>
  <c r="W386" i="93"/>
  <c r="X386" i="93"/>
  <c r="Y386" i="93"/>
  <c r="Z386" i="93"/>
  <c r="AA386" i="93"/>
  <c r="AB386" i="93"/>
  <c r="AC386" i="93"/>
  <c r="AD386" i="93"/>
  <c r="AE386" i="93"/>
  <c r="AF386" i="93"/>
  <c r="AG386" i="93"/>
  <c r="AH386" i="93"/>
  <c r="AI386" i="93"/>
  <c r="AJ386" i="93"/>
  <c r="AK386" i="93"/>
  <c r="AL386" i="93"/>
  <c r="AM386" i="93"/>
  <c r="AN386" i="93"/>
  <c r="AO386" i="93"/>
  <c r="AP386" i="93"/>
  <c r="AQ386" i="93"/>
  <c r="AR386" i="93"/>
  <c r="AS386" i="93"/>
  <c r="AT386" i="93"/>
  <c r="AU386" i="93"/>
  <c r="AV386" i="93"/>
  <c r="AW386" i="93"/>
  <c r="AX386" i="93"/>
  <c r="AY386" i="93"/>
  <c r="AZ386" i="93"/>
  <c r="BA386" i="93"/>
  <c r="BB386" i="93"/>
  <c r="BC386" i="93"/>
  <c r="BD386" i="93"/>
  <c r="BE386" i="93"/>
  <c r="BF386" i="93"/>
  <c r="BG386" i="93"/>
  <c r="BH386" i="93"/>
  <c r="BI386" i="93"/>
  <c r="BJ386" i="93"/>
  <c r="BK386" i="93"/>
  <c r="BL386" i="93"/>
  <c r="BM386" i="93"/>
  <c r="BN386" i="93"/>
  <c r="BO386" i="93"/>
  <c r="BP386" i="93"/>
  <c r="BQ386" i="93"/>
  <c r="BR386" i="93"/>
  <c r="BS386" i="93"/>
  <c r="BT386" i="93"/>
  <c r="BU386" i="93"/>
  <c r="BV386" i="93"/>
  <c r="BW386" i="93"/>
  <c r="BX386" i="93"/>
  <c r="BY386" i="93"/>
  <c r="BZ386" i="93"/>
  <c r="CA386" i="93"/>
  <c r="CB386" i="93"/>
  <c r="CC386" i="93"/>
  <c r="CD386" i="93"/>
  <c r="CE386" i="93"/>
  <c r="CF386" i="93"/>
  <c r="CG386" i="93"/>
  <c r="CH386" i="93"/>
  <c r="CI386" i="93"/>
  <c r="CJ386" i="93"/>
  <c r="CK386" i="93"/>
  <c r="CL386" i="93"/>
  <c r="CM386" i="93"/>
  <c r="CN386" i="93"/>
  <c r="CO386" i="93"/>
  <c r="CP386" i="93"/>
  <c r="CQ386" i="93"/>
  <c r="CR386" i="93"/>
  <c r="CS386" i="93"/>
  <c r="CT386" i="93"/>
  <c r="CU386" i="93"/>
  <c r="CV386" i="93"/>
  <c r="CW386" i="93"/>
  <c r="J387" i="93"/>
  <c r="K387" i="93"/>
  <c r="L387" i="93"/>
  <c r="M387" i="93"/>
  <c r="N387" i="93"/>
  <c r="O387" i="93"/>
  <c r="P387" i="93"/>
  <c r="Q387" i="93"/>
  <c r="R387" i="93"/>
  <c r="S387" i="93"/>
  <c r="T387" i="93"/>
  <c r="U387" i="93"/>
  <c r="V387" i="93"/>
  <c r="W387" i="93"/>
  <c r="X387" i="93"/>
  <c r="Y387" i="93"/>
  <c r="Z387" i="93"/>
  <c r="AA387" i="93"/>
  <c r="AB387" i="93"/>
  <c r="AC387" i="93"/>
  <c r="AD387" i="93"/>
  <c r="AE387" i="93"/>
  <c r="AF387" i="93"/>
  <c r="AG387" i="93"/>
  <c r="AH387" i="93"/>
  <c r="AI387" i="93"/>
  <c r="AJ387" i="93"/>
  <c r="AK387" i="93"/>
  <c r="AL387" i="93"/>
  <c r="AM387" i="93"/>
  <c r="AN387" i="93"/>
  <c r="AO387" i="93"/>
  <c r="AP387" i="93"/>
  <c r="AQ387" i="93"/>
  <c r="AR387" i="93"/>
  <c r="AS387" i="93"/>
  <c r="AT387" i="93"/>
  <c r="AU387" i="93"/>
  <c r="AV387" i="93"/>
  <c r="AW387" i="93"/>
  <c r="AX387" i="93"/>
  <c r="AY387" i="93"/>
  <c r="AZ387" i="93"/>
  <c r="BA387" i="93"/>
  <c r="BB387" i="93"/>
  <c r="BC387" i="93"/>
  <c r="BD387" i="93"/>
  <c r="BE387" i="93"/>
  <c r="BF387" i="93"/>
  <c r="BG387" i="93"/>
  <c r="BH387" i="93"/>
  <c r="BI387" i="93"/>
  <c r="BJ387" i="93"/>
  <c r="BK387" i="93"/>
  <c r="BL387" i="93"/>
  <c r="BM387" i="93"/>
  <c r="BN387" i="93"/>
  <c r="BO387" i="93"/>
  <c r="BP387" i="93"/>
  <c r="BQ387" i="93"/>
  <c r="BR387" i="93"/>
  <c r="BS387" i="93"/>
  <c r="BT387" i="93"/>
  <c r="BU387" i="93"/>
  <c r="BV387" i="93"/>
  <c r="BW387" i="93"/>
  <c r="BX387" i="93"/>
  <c r="BY387" i="93"/>
  <c r="BZ387" i="93"/>
  <c r="CA387" i="93"/>
  <c r="CB387" i="93"/>
  <c r="CC387" i="93"/>
  <c r="CD387" i="93"/>
  <c r="CE387" i="93"/>
  <c r="CF387" i="93"/>
  <c r="CG387" i="93"/>
  <c r="CH387" i="93"/>
  <c r="CI387" i="93"/>
  <c r="CJ387" i="93"/>
  <c r="CK387" i="93"/>
  <c r="CL387" i="93"/>
  <c r="CM387" i="93"/>
  <c r="CN387" i="93"/>
  <c r="CO387" i="93"/>
  <c r="CP387" i="93"/>
  <c r="CQ387" i="93"/>
  <c r="CR387" i="93"/>
  <c r="CS387" i="93"/>
  <c r="CT387" i="93"/>
  <c r="CU387" i="93"/>
  <c r="CV387" i="93"/>
  <c r="CW387" i="93"/>
  <c r="J388" i="93"/>
  <c r="K388" i="93"/>
  <c r="L388" i="93"/>
  <c r="M388" i="93"/>
  <c r="N388" i="93"/>
  <c r="O388" i="93"/>
  <c r="P388" i="93"/>
  <c r="Q388" i="93"/>
  <c r="R388" i="93"/>
  <c r="S388" i="93"/>
  <c r="T388" i="93"/>
  <c r="U388" i="93"/>
  <c r="V388" i="93"/>
  <c r="W388" i="93"/>
  <c r="X388" i="93"/>
  <c r="Y388" i="93"/>
  <c r="Z388" i="93"/>
  <c r="AA388" i="93"/>
  <c r="AB388" i="93"/>
  <c r="AC388" i="93"/>
  <c r="AD388" i="93"/>
  <c r="AE388" i="93"/>
  <c r="AF388" i="93"/>
  <c r="AG388" i="93"/>
  <c r="AH388" i="93"/>
  <c r="AI388" i="93"/>
  <c r="AJ388" i="93"/>
  <c r="AK388" i="93"/>
  <c r="AL388" i="93"/>
  <c r="AM388" i="93"/>
  <c r="AN388" i="93"/>
  <c r="AO388" i="93"/>
  <c r="AP388" i="93"/>
  <c r="AQ388" i="93"/>
  <c r="AR388" i="93"/>
  <c r="AS388" i="93"/>
  <c r="AT388" i="93"/>
  <c r="AU388" i="93"/>
  <c r="AV388" i="93"/>
  <c r="AW388" i="93"/>
  <c r="AX388" i="93"/>
  <c r="AY388" i="93"/>
  <c r="AZ388" i="93"/>
  <c r="BA388" i="93"/>
  <c r="BB388" i="93"/>
  <c r="BC388" i="93"/>
  <c r="BD388" i="93"/>
  <c r="BE388" i="93"/>
  <c r="BF388" i="93"/>
  <c r="BG388" i="93"/>
  <c r="BH388" i="93"/>
  <c r="BI388" i="93"/>
  <c r="BJ388" i="93"/>
  <c r="BK388" i="93"/>
  <c r="BL388" i="93"/>
  <c r="BM388" i="93"/>
  <c r="BN388" i="93"/>
  <c r="BO388" i="93"/>
  <c r="BP388" i="93"/>
  <c r="BQ388" i="93"/>
  <c r="BR388" i="93"/>
  <c r="BS388" i="93"/>
  <c r="BT388" i="93"/>
  <c r="BU388" i="93"/>
  <c r="BV388" i="93"/>
  <c r="BW388" i="93"/>
  <c r="BX388" i="93"/>
  <c r="BY388" i="93"/>
  <c r="BZ388" i="93"/>
  <c r="CA388" i="93"/>
  <c r="CB388" i="93"/>
  <c r="CC388" i="93"/>
  <c r="CD388" i="93"/>
  <c r="CE388" i="93"/>
  <c r="CF388" i="93"/>
  <c r="CG388" i="93"/>
  <c r="CH388" i="93"/>
  <c r="CI388" i="93"/>
  <c r="CJ388" i="93"/>
  <c r="CK388" i="93"/>
  <c r="CL388" i="93"/>
  <c r="CM388" i="93"/>
  <c r="CN388" i="93"/>
  <c r="CO388" i="93"/>
  <c r="CP388" i="93"/>
  <c r="CQ388" i="93"/>
  <c r="CR388" i="93"/>
  <c r="CS388" i="93"/>
  <c r="CT388" i="93"/>
  <c r="CU388" i="93"/>
  <c r="CV388" i="93"/>
  <c r="CW388" i="93"/>
  <c r="J389" i="93"/>
  <c r="K389" i="93"/>
  <c r="L389" i="93"/>
  <c r="M389" i="93"/>
  <c r="N389" i="93"/>
  <c r="O389" i="93"/>
  <c r="P389" i="93"/>
  <c r="Q389" i="93"/>
  <c r="R389" i="93"/>
  <c r="S389" i="93"/>
  <c r="T389" i="93"/>
  <c r="U389" i="93"/>
  <c r="V389" i="93"/>
  <c r="W389" i="93"/>
  <c r="X389" i="93"/>
  <c r="Y389" i="93"/>
  <c r="Z389" i="93"/>
  <c r="AA389" i="93"/>
  <c r="AB389" i="93"/>
  <c r="AC389" i="93"/>
  <c r="AD389" i="93"/>
  <c r="AE389" i="93"/>
  <c r="AF389" i="93"/>
  <c r="AG389" i="93"/>
  <c r="AH389" i="93"/>
  <c r="AI389" i="93"/>
  <c r="AJ389" i="93"/>
  <c r="AK389" i="93"/>
  <c r="AL389" i="93"/>
  <c r="AM389" i="93"/>
  <c r="AN389" i="93"/>
  <c r="AO389" i="93"/>
  <c r="AP389" i="93"/>
  <c r="AQ389" i="93"/>
  <c r="AR389" i="93"/>
  <c r="AS389" i="93"/>
  <c r="AT389" i="93"/>
  <c r="AU389" i="93"/>
  <c r="AV389" i="93"/>
  <c r="AW389" i="93"/>
  <c r="AX389" i="93"/>
  <c r="AY389" i="93"/>
  <c r="AZ389" i="93"/>
  <c r="BA389" i="93"/>
  <c r="BB389" i="93"/>
  <c r="BC389" i="93"/>
  <c r="BD389" i="93"/>
  <c r="BE389" i="93"/>
  <c r="BF389" i="93"/>
  <c r="BG389" i="93"/>
  <c r="BH389" i="93"/>
  <c r="BI389" i="93"/>
  <c r="BJ389" i="93"/>
  <c r="BK389" i="93"/>
  <c r="BL389" i="93"/>
  <c r="BM389" i="93"/>
  <c r="BN389" i="93"/>
  <c r="BO389" i="93"/>
  <c r="BP389" i="93"/>
  <c r="BQ389" i="93"/>
  <c r="BR389" i="93"/>
  <c r="BS389" i="93"/>
  <c r="BT389" i="93"/>
  <c r="BU389" i="93"/>
  <c r="BV389" i="93"/>
  <c r="BW389" i="93"/>
  <c r="BX389" i="93"/>
  <c r="BY389" i="93"/>
  <c r="BZ389" i="93"/>
  <c r="CA389" i="93"/>
  <c r="CB389" i="93"/>
  <c r="CC389" i="93"/>
  <c r="CD389" i="93"/>
  <c r="CE389" i="93"/>
  <c r="CF389" i="93"/>
  <c r="CG389" i="93"/>
  <c r="CH389" i="93"/>
  <c r="CI389" i="93"/>
  <c r="CJ389" i="93"/>
  <c r="CK389" i="93"/>
  <c r="CL389" i="93"/>
  <c r="CM389" i="93"/>
  <c r="CN389" i="93"/>
  <c r="CO389" i="93"/>
  <c r="CP389" i="93"/>
  <c r="CQ389" i="93"/>
  <c r="CR389" i="93"/>
  <c r="CS389" i="93"/>
  <c r="CT389" i="93"/>
  <c r="CU389" i="93"/>
  <c r="CV389" i="93"/>
  <c r="CW389" i="93"/>
  <c r="J390" i="93"/>
  <c r="K390" i="93"/>
  <c r="L390" i="93"/>
  <c r="M390" i="93"/>
  <c r="N390" i="93"/>
  <c r="O390" i="93"/>
  <c r="P390" i="93"/>
  <c r="Q390" i="93"/>
  <c r="R390" i="93"/>
  <c r="S390" i="93"/>
  <c r="T390" i="93"/>
  <c r="U390" i="93"/>
  <c r="V390" i="93"/>
  <c r="W390" i="93"/>
  <c r="X390" i="93"/>
  <c r="Y390" i="93"/>
  <c r="Z390" i="93"/>
  <c r="AA390" i="93"/>
  <c r="AB390" i="93"/>
  <c r="AC390" i="93"/>
  <c r="AD390" i="93"/>
  <c r="AE390" i="93"/>
  <c r="AF390" i="93"/>
  <c r="AG390" i="93"/>
  <c r="AH390" i="93"/>
  <c r="AI390" i="93"/>
  <c r="AJ390" i="93"/>
  <c r="AK390" i="93"/>
  <c r="AL390" i="93"/>
  <c r="AM390" i="93"/>
  <c r="AN390" i="93"/>
  <c r="AO390" i="93"/>
  <c r="AP390" i="93"/>
  <c r="AQ390" i="93"/>
  <c r="AR390" i="93"/>
  <c r="AS390" i="93"/>
  <c r="AT390" i="93"/>
  <c r="AU390" i="93"/>
  <c r="AV390" i="93"/>
  <c r="AW390" i="93"/>
  <c r="AX390" i="93"/>
  <c r="AY390" i="93"/>
  <c r="AZ390" i="93"/>
  <c r="BA390" i="93"/>
  <c r="BB390" i="93"/>
  <c r="BC390" i="93"/>
  <c r="BD390" i="93"/>
  <c r="BE390" i="93"/>
  <c r="BF390" i="93"/>
  <c r="BG390" i="93"/>
  <c r="BH390" i="93"/>
  <c r="BI390" i="93"/>
  <c r="BJ390" i="93"/>
  <c r="BK390" i="93"/>
  <c r="BL390" i="93"/>
  <c r="BM390" i="93"/>
  <c r="BN390" i="93"/>
  <c r="BO390" i="93"/>
  <c r="BP390" i="93"/>
  <c r="BQ390" i="93"/>
  <c r="BR390" i="93"/>
  <c r="BS390" i="93"/>
  <c r="BT390" i="93"/>
  <c r="BU390" i="93"/>
  <c r="BV390" i="93"/>
  <c r="BW390" i="93"/>
  <c r="BX390" i="93"/>
  <c r="BY390" i="93"/>
  <c r="BZ390" i="93"/>
  <c r="CA390" i="93"/>
  <c r="CB390" i="93"/>
  <c r="CC390" i="93"/>
  <c r="CD390" i="93"/>
  <c r="CE390" i="93"/>
  <c r="CF390" i="93"/>
  <c r="CG390" i="93"/>
  <c r="CH390" i="93"/>
  <c r="CI390" i="93"/>
  <c r="CJ390" i="93"/>
  <c r="CK390" i="93"/>
  <c r="CL390" i="93"/>
  <c r="CM390" i="93"/>
  <c r="CN390" i="93"/>
  <c r="CO390" i="93"/>
  <c r="CP390" i="93"/>
  <c r="CQ390" i="93"/>
  <c r="CR390" i="93"/>
  <c r="CS390" i="93"/>
  <c r="CT390" i="93"/>
  <c r="CU390" i="93"/>
  <c r="CV390" i="93"/>
  <c r="CW390" i="93"/>
  <c r="J391" i="93"/>
  <c r="K391" i="93"/>
  <c r="L391" i="93"/>
  <c r="M391" i="93"/>
  <c r="N391" i="93"/>
  <c r="O391" i="93"/>
  <c r="P391" i="93"/>
  <c r="Q391" i="93"/>
  <c r="R391" i="93"/>
  <c r="S391" i="93"/>
  <c r="T391" i="93"/>
  <c r="U391" i="93"/>
  <c r="V391" i="93"/>
  <c r="W391" i="93"/>
  <c r="X391" i="93"/>
  <c r="Y391" i="93"/>
  <c r="Z391" i="93"/>
  <c r="AA391" i="93"/>
  <c r="AB391" i="93"/>
  <c r="AC391" i="93"/>
  <c r="AD391" i="93"/>
  <c r="AE391" i="93"/>
  <c r="AF391" i="93"/>
  <c r="AG391" i="93"/>
  <c r="AH391" i="93"/>
  <c r="AI391" i="93"/>
  <c r="AJ391" i="93"/>
  <c r="AK391" i="93"/>
  <c r="AL391" i="93"/>
  <c r="AM391" i="93"/>
  <c r="AN391" i="93"/>
  <c r="AO391" i="93"/>
  <c r="AP391" i="93"/>
  <c r="AQ391" i="93"/>
  <c r="AR391" i="93"/>
  <c r="AS391" i="93"/>
  <c r="AT391" i="93"/>
  <c r="AU391" i="93"/>
  <c r="AV391" i="93"/>
  <c r="AW391" i="93"/>
  <c r="AX391" i="93"/>
  <c r="AY391" i="93"/>
  <c r="AZ391" i="93"/>
  <c r="BA391" i="93"/>
  <c r="BB391" i="93"/>
  <c r="BC391" i="93"/>
  <c r="BD391" i="93"/>
  <c r="BE391" i="93"/>
  <c r="BF391" i="93"/>
  <c r="BG391" i="93"/>
  <c r="BH391" i="93"/>
  <c r="BI391" i="93"/>
  <c r="BJ391" i="93"/>
  <c r="BK391" i="93"/>
  <c r="BL391" i="93"/>
  <c r="BM391" i="93"/>
  <c r="BN391" i="93"/>
  <c r="BO391" i="93"/>
  <c r="BP391" i="93"/>
  <c r="BQ391" i="93"/>
  <c r="BR391" i="93"/>
  <c r="BS391" i="93"/>
  <c r="BT391" i="93"/>
  <c r="BU391" i="93"/>
  <c r="BV391" i="93"/>
  <c r="BW391" i="93"/>
  <c r="BX391" i="93"/>
  <c r="BY391" i="93"/>
  <c r="BZ391" i="93"/>
  <c r="CA391" i="93"/>
  <c r="CB391" i="93"/>
  <c r="CC391" i="93"/>
  <c r="CD391" i="93"/>
  <c r="CE391" i="93"/>
  <c r="CF391" i="93"/>
  <c r="CG391" i="93"/>
  <c r="CH391" i="93"/>
  <c r="CI391" i="93"/>
  <c r="CJ391" i="93"/>
  <c r="CK391" i="93"/>
  <c r="CL391" i="93"/>
  <c r="CM391" i="93"/>
  <c r="CN391" i="93"/>
  <c r="CO391" i="93"/>
  <c r="CP391" i="93"/>
  <c r="CQ391" i="93"/>
  <c r="CR391" i="93"/>
  <c r="CS391" i="93"/>
  <c r="CT391" i="93"/>
  <c r="CU391" i="93"/>
  <c r="CV391" i="93"/>
  <c r="CW391" i="93"/>
  <c r="J392" i="93"/>
  <c r="K392" i="93"/>
  <c r="L392" i="93"/>
  <c r="M392" i="93"/>
  <c r="N392" i="93"/>
  <c r="O392" i="93"/>
  <c r="P392" i="93"/>
  <c r="Q392" i="93"/>
  <c r="R392" i="93"/>
  <c r="S392" i="93"/>
  <c r="T392" i="93"/>
  <c r="U392" i="93"/>
  <c r="V392" i="93"/>
  <c r="W392" i="93"/>
  <c r="X392" i="93"/>
  <c r="Y392" i="93"/>
  <c r="Z392" i="93"/>
  <c r="AA392" i="93"/>
  <c r="AB392" i="93"/>
  <c r="AC392" i="93"/>
  <c r="AD392" i="93"/>
  <c r="AE392" i="93"/>
  <c r="AF392" i="93"/>
  <c r="AG392" i="93"/>
  <c r="AH392" i="93"/>
  <c r="AI392" i="93"/>
  <c r="AJ392" i="93"/>
  <c r="AK392" i="93"/>
  <c r="AL392" i="93"/>
  <c r="AM392" i="93"/>
  <c r="AN392" i="93"/>
  <c r="AO392" i="93"/>
  <c r="AP392" i="93"/>
  <c r="AQ392" i="93"/>
  <c r="AR392" i="93"/>
  <c r="AS392" i="93"/>
  <c r="AT392" i="93"/>
  <c r="AU392" i="93"/>
  <c r="AV392" i="93"/>
  <c r="AW392" i="93"/>
  <c r="AX392" i="93"/>
  <c r="AY392" i="93"/>
  <c r="AZ392" i="93"/>
  <c r="BA392" i="93"/>
  <c r="BB392" i="93"/>
  <c r="BC392" i="93"/>
  <c r="BD392" i="93"/>
  <c r="BE392" i="93"/>
  <c r="BF392" i="93"/>
  <c r="BG392" i="93"/>
  <c r="BH392" i="93"/>
  <c r="BI392" i="93"/>
  <c r="BJ392" i="93"/>
  <c r="BK392" i="93"/>
  <c r="BL392" i="93"/>
  <c r="BM392" i="93"/>
  <c r="BN392" i="93"/>
  <c r="BO392" i="93"/>
  <c r="BP392" i="93"/>
  <c r="BQ392" i="93"/>
  <c r="BR392" i="93"/>
  <c r="BS392" i="93"/>
  <c r="BT392" i="93"/>
  <c r="BU392" i="93"/>
  <c r="BV392" i="93"/>
  <c r="BW392" i="93"/>
  <c r="BX392" i="93"/>
  <c r="BY392" i="93"/>
  <c r="BZ392" i="93"/>
  <c r="CA392" i="93"/>
  <c r="CB392" i="93"/>
  <c r="CC392" i="93"/>
  <c r="CD392" i="93"/>
  <c r="CE392" i="93"/>
  <c r="CF392" i="93"/>
  <c r="CG392" i="93"/>
  <c r="CH392" i="93"/>
  <c r="CI392" i="93"/>
  <c r="CJ392" i="93"/>
  <c r="CK392" i="93"/>
  <c r="CL392" i="93"/>
  <c r="CM392" i="93"/>
  <c r="CN392" i="93"/>
  <c r="CO392" i="93"/>
  <c r="CP392" i="93"/>
  <c r="CQ392" i="93"/>
  <c r="CR392" i="93"/>
  <c r="CS392" i="93"/>
  <c r="CT392" i="93"/>
  <c r="CU392" i="93"/>
  <c r="CV392" i="93"/>
  <c r="CW392" i="93"/>
  <c r="J393" i="93"/>
  <c r="K393" i="93"/>
  <c r="L393" i="93"/>
  <c r="M393" i="93"/>
  <c r="N393" i="93"/>
  <c r="O393" i="93"/>
  <c r="P393" i="93"/>
  <c r="Q393" i="93"/>
  <c r="R393" i="93"/>
  <c r="S393" i="93"/>
  <c r="T393" i="93"/>
  <c r="U393" i="93"/>
  <c r="V393" i="93"/>
  <c r="W393" i="93"/>
  <c r="X393" i="93"/>
  <c r="Y393" i="93"/>
  <c r="Z393" i="93"/>
  <c r="AA393" i="93"/>
  <c r="AB393" i="93"/>
  <c r="AC393" i="93"/>
  <c r="AD393" i="93"/>
  <c r="AE393" i="93"/>
  <c r="AF393" i="93"/>
  <c r="AG393" i="93"/>
  <c r="AH393" i="93"/>
  <c r="AI393" i="93"/>
  <c r="AJ393" i="93"/>
  <c r="AK393" i="93"/>
  <c r="AL393" i="93"/>
  <c r="AM393" i="93"/>
  <c r="AN393" i="93"/>
  <c r="AO393" i="93"/>
  <c r="AP393" i="93"/>
  <c r="AQ393" i="93"/>
  <c r="AR393" i="93"/>
  <c r="AS393" i="93"/>
  <c r="AT393" i="93"/>
  <c r="AU393" i="93"/>
  <c r="AV393" i="93"/>
  <c r="AW393" i="93"/>
  <c r="AX393" i="93"/>
  <c r="AY393" i="93"/>
  <c r="AZ393" i="93"/>
  <c r="BA393" i="93"/>
  <c r="BB393" i="93"/>
  <c r="BC393" i="93"/>
  <c r="BD393" i="93"/>
  <c r="BE393" i="93"/>
  <c r="BF393" i="93"/>
  <c r="BG393" i="93"/>
  <c r="BH393" i="93"/>
  <c r="BI393" i="93"/>
  <c r="BJ393" i="93"/>
  <c r="BK393" i="93"/>
  <c r="BL393" i="93"/>
  <c r="BM393" i="93"/>
  <c r="BN393" i="93"/>
  <c r="BO393" i="93"/>
  <c r="BP393" i="93"/>
  <c r="BQ393" i="93"/>
  <c r="BR393" i="93"/>
  <c r="BS393" i="93"/>
  <c r="BT393" i="93"/>
  <c r="BU393" i="93"/>
  <c r="BV393" i="93"/>
  <c r="BW393" i="93"/>
  <c r="BX393" i="93"/>
  <c r="BY393" i="93"/>
  <c r="BZ393" i="93"/>
  <c r="CA393" i="93"/>
  <c r="CB393" i="93"/>
  <c r="CC393" i="93"/>
  <c r="CD393" i="93"/>
  <c r="CE393" i="93"/>
  <c r="CF393" i="93"/>
  <c r="CG393" i="93"/>
  <c r="CH393" i="93"/>
  <c r="CI393" i="93"/>
  <c r="CJ393" i="93"/>
  <c r="CK393" i="93"/>
  <c r="CL393" i="93"/>
  <c r="CM393" i="93"/>
  <c r="CN393" i="93"/>
  <c r="CO393" i="93"/>
  <c r="CP393" i="93"/>
  <c r="CQ393" i="93"/>
  <c r="CR393" i="93"/>
  <c r="CS393" i="93"/>
  <c r="CT393" i="93"/>
  <c r="CU393" i="93"/>
  <c r="CV393" i="93"/>
  <c r="CW393" i="93"/>
  <c r="J394" i="93"/>
  <c r="K394" i="93"/>
  <c r="L394" i="93"/>
  <c r="M394" i="93"/>
  <c r="N394" i="93"/>
  <c r="O394" i="93"/>
  <c r="P394" i="93"/>
  <c r="Q394" i="93"/>
  <c r="R394" i="93"/>
  <c r="S394" i="93"/>
  <c r="T394" i="93"/>
  <c r="U394" i="93"/>
  <c r="V394" i="93"/>
  <c r="W394" i="93"/>
  <c r="X394" i="93"/>
  <c r="Y394" i="93"/>
  <c r="Z394" i="93"/>
  <c r="AA394" i="93"/>
  <c r="AB394" i="93"/>
  <c r="AC394" i="93"/>
  <c r="AD394" i="93"/>
  <c r="AE394" i="93"/>
  <c r="AF394" i="93"/>
  <c r="AG394" i="93"/>
  <c r="AH394" i="93"/>
  <c r="AI394" i="93"/>
  <c r="AJ394" i="93"/>
  <c r="AK394" i="93"/>
  <c r="AL394" i="93"/>
  <c r="AM394" i="93"/>
  <c r="AN394" i="93"/>
  <c r="AO394" i="93"/>
  <c r="AP394" i="93"/>
  <c r="AQ394" i="93"/>
  <c r="AR394" i="93"/>
  <c r="AS394" i="93"/>
  <c r="AT394" i="93"/>
  <c r="AU394" i="93"/>
  <c r="AV394" i="93"/>
  <c r="AW394" i="93"/>
  <c r="AX394" i="93"/>
  <c r="AY394" i="93"/>
  <c r="AZ394" i="93"/>
  <c r="BA394" i="93"/>
  <c r="BB394" i="93"/>
  <c r="BC394" i="93"/>
  <c r="BD394" i="93"/>
  <c r="BE394" i="93"/>
  <c r="BF394" i="93"/>
  <c r="BG394" i="93"/>
  <c r="BH394" i="93"/>
  <c r="BI394" i="93"/>
  <c r="BJ394" i="93"/>
  <c r="BK394" i="93"/>
  <c r="BL394" i="93"/>
  <c r="BM394" i="93"/>
  <c r="BN394" i="93"/>
  <c r="BO394" i="93"/>
  <c r="BP394" i="93"/>
  <c r="BQ394" i="93"/>
  <c r="BR394" i="93"/>
  <c r="BS394" i="93"/>
  <c r="BT394" i="93"/>
  <c r="BU394" i="93"/>
  <c r="BV394" i="93"/>
  <c r="BW394" i="93"/>
  <c r="BX394" i="93"/>
  <c r="BY394" i="93"/>
  <c r="BZ394" i="93"/>
  <c r="CA394" i="93"/>
  <c r="CB394" i="93"/>
  <c r="CC394" i="93"/>
  <c r="CD394" i="93"/>
  <c r="CE394" i="93"/>
  <c r="CF394" i="93"/>
  <c r="CG394" i="93"/>
  <c r="CH394" i="93"/>
  <c r="CI394" i="93"/>
  <c r="CJ394" i="93"/>
  <c r="CK394" i="93"/>
  <c r="CL394" i="93"/>
  <c r="CM394" i="93"/>
  <c r="CN394" i="93"/>
  <c r="CO394" i="93"/>
  <c r="CP394" i="93"/>
  <c r="CQ394" i="93"/>
  <c r="CR394" i="93"/>
  <c r="CS394" i="93"/>
  <c r="CT394" i="93"/>
  <c r="CU394" i="93"/>
  <c r="CV394" i="93"/>
  <c r="CW394" i="93"/>
  <c r="J395" i="93"/>
  <c r="K395" i="93"/>
  <c r="L395" i="93"/>
  <c r="M395" i="93"/>
  <c r="N395" i="93"/>
  <c r="O395" i="93"/>
  <c r="P395" i="93"/>
  <c r="Q395" i="93"/>
  <c r="R395" i="93"/>
  <c r="S395" i="93"/>
  <c r="T395" i="93"/>
  <c r="U395" i="93"/>
  <c r="V395" i="93"/>
  <c r="W395" i="93"/>
  <c r="X395" i="93"/>
  <c r="Y395" i="93"/>
  <c r="Z395" i="93"/>
  <c r="AA395" i="93"/>
  <c r="AB395" i="93"/>
  <c r="AC395" i="93"/>
  <c r="AD395" i="93"/>
  <c r="AE395" i="93"/>
  <c r="AF395" i="93"/>
  <c r="AG395" i="93"/>
  <c r="AH395" i="93"/>
  <c r="AI395" i="93"/>
  <c r="AJ395" i="93"/>
  <c r="AK395" i="93"/>
  <c r="AL395" i="93"/>
  <c r="AM395" i="93"/>
  <c r="AN395" i="93"/>
  <c r="AO395" i="93"/>
  <c r="AP395" i="93"/>
  <c r="AQ395" i="93"/>
  <c r="AR395" i="93"/>
  <c r="AS395" i="93"/>
  <c r="AT395" i="93"/>
  <c r="AU395" i="93"/>
  <c r="AV395" i="93"/>
  <c r="AW395" i="93"/>
  <c r="AX395" i="93"/>
  <c r="AY395" i="93"/>
  <c r="AZ395" i="93"/>
  <c r="BA395" i="93"/>
  <c r="BB395" i="93"/>
  <c r="BC395" i="93"/>
  <c r="BD395" i="93"/>
  <c r="BE395" i="93"/>
  <c r="BF395" i="93"/>
  <c r="BG395" i="93"/>
  <c r="BH395" i="93"/>
  <c r="BI395" i="93"/>
  <c r="BJ395" i="93"/>
  <c r="BK395" i="93"/>
  <c r="BL395" i="93"/>
  <c r="BM395" i="93"/>
  <c r="BN395" i="93"/>
  <c r="BO395" i="93"/>
  <c r="BP395" i="93"/>
  <c r="BQ395" i="93"/>
  <c r="BR395" i="93"/>
  <c r="BS395" i="93"/>
  <c r="BT395" i="93"/>
  <c r="BU395" i="93"/>
  <c r="BV395" i="93"/>
  <c r="BW395" i="93"/>
  <c r="BX395" i="93"/>
  <c r="BY395" i="93"/>
  <c r="BZ395" i="93"/>
  <c r="CA395" i="93"/>
  <c r="CB395" i="93"/>
  <c r="CC395" i="93"/>
  <c r="CD395" i="93"/>
  <c r="CE395" i="93"/>
  <c r="CF395" i="93"/>
  <c r="CG395" i="93"/>
  <c r="CH395" i="93"/>
  <c r="CI395" i="93"/>
  <c r="CJ395" i="93"/>
  <c r="CK395" i="93"/>
  <c r="CL395" i="93"/>
  <c r="CM395" i="93"/>
  <c r="CN395" i="93"/>
  <c r="CO395" i="93"/>
  <c r="CP395" i="93"/>
  <c r="CQ395" i="93"/>
  <c r="CR395" i="93"/>
  <c r="CS395" i="93"/>
  <c r="CT395" i="93"/>
  <c r="CU395" i="93"/>
  <c r="CV395" i="93"/>
  <c r="CW395" i="93"/>
  <c r="J396" i="93"/>
  <c r="K396" i="93"/>
  <c r="L396" i="93"/>
  <c r="M396" i="93"/>
  <c r="N396" i="93"/>
  <c r="O396" i="93"/>
  <c r="P396" i="93"/>
  <c r="Q396" i="93"/>
  <c r="R396" i="93"/>
  <c r="S396" i="93"/>
  <c r="T396" i="93"/>
  <c r="U396" i="93"/>
  <c r="V396" i="93"/>
  <c r="W396" i="93"/>
  <c r="X396" i="93"/>
  <c r="Y396" i="93"/>
  <c r="Z396" i="93"/>
  <c r="AA396" i="93"/>
  <c r="AB396" i="93"/>
  <c r="AC396" i="93"/>
  <c r="AD396" i="93"/>
  <c r="AE396" i="93"/>
  <c r="AF396" i="93"/>
  <c r="AG396" i="93"/>
  <c r="AH396" i="93"/>
  <c r="AI396" i="93"/>
  <c r="AJ396" i="93"/>
  <c r="AK396" i="93"/>
  <c r="AL396" i="93"/>
  <c r="AM396" i="93"/>
  <c r="AN396" i="93"/>
  <c r="AO396" i="93"/>
  <c r="AP396" i="93"/>
  <c r="AQ396" i="93"/>
  <c r="AR396" i="93"/>
  <c r="AS396" i="93"/>
  <c r="AT396" i="93"/>
  <c r="AU396" i="93"/>
  <c r="AV396" i="93"/>
  <c r="AW396" i="93"/>
  <c r="AX396" i="93"/>
  <c r="AY396" i="93"/>
  <c r="AZ396" i="93"/>
  <c r="BA396" i="93"/>
  <c r="BB396" i="93"/>
  <c r="BC396" i="93"/>
  <c r="BD396" i="93"/>
  <c r="BE396" i="93"/>
  <c r="BF396" i="93"/>
  <c r="BG396" i="93"/>
  <c r="BH396" i="93"/>
  <c r="BI396" i="93"/>
  <c r="BJ396" i="93"/>
  <c r="BK396" i="93"/>
  <c r="BL396" i="93"/>
  <c r="BM396" i="93"/>
  <c r="BN396" i="93"/>
  <c r="BO396" i="93"/>
  <c r="BP396" i="93"/>
  <c r="BQ396" i="93"/>
  <c r="BR396" i="93"/>
  <c r="BS396" i="93"/>
  <c r="BT396" i="93"/>
  <c r="BU396" i="93"/>
  <c r="BV396" i="93"/>
  <c r="BW396" i="93"/>
  <c r="BX396" i="93"/>
  <c r="BY396" i="93"/>
  <c r="BZ396" i="93"/>
  <c r="CA396" i="93"/>
  <c r="CB396" i="93"/>
  <c r="CC396" i="93"/>
  <c r="CD396" i="93"/>
  <c r="CE396" i="93"/>
  <c r="CF396" i="93"/>
  <c r="CG396" i="93"/>
  <c r="CH396" i="93"/>
  <c r="CI396" i="93"/>
  <c r="CJ396" i="93"/>
  <c r="CK396" i="93"/>
  <c r="CL396" i="93"/>
  <c r="CM396" i="93"/>
  <c r="CN396" i="93"/>
  <c r="CO396" i="93"/>
  <c r="CP396" i="93"/>
  <c r="CQ396" i="93"/>
  <c r="CR396" i="93"/>
  <c r="CS396" i="93"/>
  <c r="CT396" i="93"/>
  <c r="CU396" i="93"/>
  <c r="CV396" i="93"/>
  <c r="CW396" i="93"/>
  <c r="J397" i="93"/>
  <c r="K397" i="93"/>
  <c r="L397" i="93"/>
  <c r="M397" i="93"/>
  <c r="N397" i="93"/>
  <c r="O397" i="93"/>
  <c r="P397" i="93"/>
  <c r="Q397" i="93"/>
  <c r="R397" i="93"/>
  <c r="S397" i="93"/>
  <c r="T397" i="93"/>
  <c r="U397" i="93"/>
  <c r="V397" i="93"/>
  <c r="W397" i="93"/>
  <c r="X397" i="93"/>
  <c r="Y397" i="93"/>
  <c r="Z397" i="93"/>
  <c r="AA397" i="93"/>
  <c r="AB397" i="93"/>
  <c r="AC397" i="93"/>
  <c r="AD397" i="93"/>
  <c r="AE397" i="93"/>
  <c r="AF397" i="93"/>
  <c r="AG397" i="93"/>
  <c r="AH397" i="93"/>
  <c r="AI397" i="93"/>
  <c r="AJ397" i="93"/>
  <c r="AK397" i="93"/>
  <c r="AL397" i="93"/>
  <c r="AM397" i="93"/>
  <c r="AN397" i="93"/>
  <c r="AO397" i="93"/>
  <c r="AP397" i="93"/>
  <c r="AQ397" i="93"/>
  <c r="AR397" i="93"/>
  <c r="AS397" i="93"/>
  <c r="AT397" i="93"/>
  <c r="AU397" i="93"/>
  <c r="AV397" i="93"/>
  <c r="AW397" i="93"/>
  <c r="AX397" i="93"/>
  <c r="AY397" i="93"/>
  <c r="AZ397" i="93"/>
  <c r="BA397" i="93"/>
  <c r="BB397" i="93"/>
  <c r="BC397" i="93"/>
  <c r="BD397" i="93"/>
  <c r="BE397" i="93"/>
  <c r="BF397" i="93"/>
  <c r="BG397" i="93"/>
  <c r="BH397" i="93"/>
  <c r="BI397" i="93"/>
  <c r="BJ397" i="93"/>
  <c r="BK397" i="93"/>
  <c r="BL397" i="93"/>
  <c r="BM397" i="93"/>
  <c r="BN397" i="93"/>
  <c r="BO397" i="93"/>
  <c r="BP397" i="93"/>
  <c r="BQ397" i="93"/>
  <c r="BR397" i="93"/>
  <c r="BS397" i="93"/>
  <c r="BT397" i="93"/>
  <c r="BU397" i="93"/>
  <c r="BV397" i="93"/>
  <c r="BW397" i="93"/>
  <c r="BX397" i="93"/>
  <c r="BY397" i="93"/>
  <c r="BZ397" i="93"/>
  <c r="CA397" i="93"/>
  <c r="CB397" i="93"/>
  <c r="CC397" i="93"/>
  <c r="CD397" i="93"/>
  <c r="CE397" i="93"/>
  <c r="CF397" i="93"/>
  <c r="CG397" i="93"/>
  <c r="CH397" i="93"/>
  <c r="CI397" i="93"/>
  <c r="CJ397" i="93"/>
  <c r="CK397" i="93"/>
  <c r="CL397" i="93"/>
  <c r="CM397" i="93"/>
  <c r="CN397" i="93"/>
  <c r="CO397" i="93"/>
  <c r="CP397" i="93"/>
  <c r="CQ397" i="93"/>
  <c r="CR397" i="93"/>
  <c r="CS397" i="93"/>
  <c r="CT397" i="93"/>
  <c r="CU397" i="93"/>
  <c r="CV397" i="93"/>
  <c r="CW397" i="93"/>
  <c r="J398" i="93"/>
  <c r="K398" i="93"/>
  <c r="L398" i="93"/>
  <c r="M398" i="93"/>
  <c r="N398" i="93"/>
  <c r="O398" i="93"/>
  <c r="P398" i="93"/>
  <c r="Q398" i="93"/>
  <c r="R398" i="93"/>
  <c r="S398" i="93"/>
  <c r="T398" i="93"/>
  <c r="U398" i="93"/>
  <c r="V398" i="93"/>
  <c r="W398" i="93"/>
  <c r="X398" i="93"/>
  <c r="Y398" i="93"/>
  <c r="Z398" i="93"/>
  <c r="AA398" i="93"/>
  <c r="AB398" i="93"/>
  <c r="AC398" i="93"/>
  <c r="AD398" i="93"/>
  <c r="AE398" i="93"/>
  <c r="AF398" i="93"/>
  <c r="AG398" i="93"/>
  <c r="AH398" i="93"/>
  <c r="AI398" i="93"/>
  <c r="AJ398" i="93"/>
  <c r="AK398" i="93"/>
  <c r="AL398" i="93"/>
  <c r="AM398" i="93"/>
  <c r="AN398" i="93"/>
  <c r="AO398" i="93"/>
  <c r="AP398" i="93"/>
  <c r="AQ398" i="93"/>
  <c r="AR398" i="93"/>
  <c r="AS398" i="93"/>
  <c r="AT398" i="93"/>
  <c r="AU398" i="93"/>
  <c r="AV398" i="93"/>
  <c r="AW398" i="93"/>
  <c r="AX398" i="93"/>
  <c r="AY398" i="93"/>
  <c r="AZ398" i="93"/>
  <c r="BA398" i="93"/>
  <c r="BB398" i="93"/>
  <c r="BC398" i="93"/>
  <c r="BD398" i="93"/>
  <c r="BE398" i="93"/>
  <c r="BF398" i="93"/>
  <c r="BG398" i="93"/>
  <c r="BH398" i="93"/>
  <c r="BI398" i="93"/>
  <c r="BJ398" i="93"/>
  <c r="BK398" i="93"/>
  <c r="BL398" i="93"/>
  <c r="BM398" i="93"/>
  <c r="BN398" i="93"/>
  <c r="BO398" i="93"/>
  <c r="BP398" i="93"/>
  <c r="BQ398" i="93"/>
  <c r="BR398" i="93"/>
  <c r="BS398" i="93"/>
  <c r="BT398" i="93"/>
  <c r="BU398" i="93"/>
  <c r="BV398" i="93"/>
  <c r="BW398" i="93"/>
  <c r="BX398" i="93"/>
  <c r="BY398" i="93"/>
  <c r="BZ398" i="93"/>
  <c r="CA398" i="93"/>
  <c r="CB398" i="93"/>
  <c r="CC398" i="93"/>
  <c r="CD398" i="93"/>
  <c r="CE398" i="93"/>
  <c r="CF398" i="93"/>
  <c r="CG398" i="93"/>
  <c r="CH398" i="93"/>
  <c r="CI398" i="93"/>
  <c r="CJ398" i="93"/>
  <c r="CK398" i="93"/>
  <c r="CL398" i="93"/>
  <c r="CM398" i="93"/>
  <c r="CN398" i="93"/>
  <c r="CO398" i="93"/>
  <c r="CP398" i="93"/>
  <c r="CQ398" i="93"/>
  <c r="CR398" i="93"/>
  <c r="CS398" i="93"/>
  <c r="CT398" i="93"/>
  <c r="CU398" i="93"/>
  <c r="CV398" i="93"/>
  <c r="CW398" i="93"/>
  <c r="J399" i="93"/>
  <c r="K399" i="93"/>
  <c r="L399" i="93"/>
  <c r="M399" i="93"/>
  <c r="N399" i="93"/>
  <c r="O399" i="93"/>
  <c r="P399" i="93"/>
  <c r="Q399" i="93"/>
  <c r="R399" i="93"/>
  <c r="S399" i="93"/>
  <c r="T399" i="93"/>
  <c r="U399" i="93"/>
  <c r="V399" i="93"/>
  <c r="W399" i="93"/>
  <c r="X399" i="93"/>
  <c r="Y399" i="93"/>
  <c r="Z399" i="93"/>
  <c r="AA399" i="93"/>
  <c r="AB399" i="93"/>
  <c r="AC399" i="93"/>
  <c r="AD399" i="93"/>
  <c r="AE399" i="93"/>
  <c r="AF399" i="93"/>
  <c r="AG399" i="93"/>
  <c r="AH399" i="93"/>
  <c r="AI399" i="93"/>
  <c r="AJ399" i="93"/>
  <c r="AK399" i="93"/>
  <c r="AL399" i="93"/>
  <c r="AM399" i="93"/>
  <c r="AN399" i="93"/>
  <c r="AO399" i="93"/>
  <c r="AP399" i="93"/>
  <c r="AQ399" i="93"/>
  <c r="AR399" i="93"/>
  <c r="AS399" i="93"/>
  <c r="AT399" i="93"/>
  <c r="AU399" i="93"/>
  <c r="AV399" i="93"/>
  <c r="AW399" i="93"/>
  <c r="AX399" i="93"/>
  <c r="AY399" i="93"/>
  <c r="AZ399" i="93"/>
  <c r="BA399" i="93"/>
  <c r="BB399" i="93"/>
  <c r="BC399" i="93"/>
  <c r="BD399" i="93"/>
  <c r="BE399" i="93"/>
  <c r="BF399" i="93"/>
  <c r="BG399" i="93"/>
  <c r="BH399" i="93"/>
  <c r="BI399" i="93"/>
  <c r="BJ399" i="93"/>
  <c r="BK399" i="93"/>
  <c r="BL399" i="93"/>
  <c r="BM399" i="93"/>
  <c r="BN399" i="93"/>
  <c r="BO399" i="93"/>
  <c r="BP399" i="93"/>
  <c r="BQ399" i="93"/>
  <c r="BR399" i="93"/>
  <c r="BS399" i="93"/>
  <c r="BT399" i="93"/>
  <c r="BU399" i="93"/>
  <c r="BV399" i="93"/>
  <c r="BW399" i="93"/>
  <c r="BX399" i="93"/>
  <c r="BY399" i="93"/>
  <c r="BZ399" i="93"/>
  <c r="CA399" i="93"/>
  <c r="CB399" i="93"/>
  <c r="CC399" i="93"/>
  <c r="CD399" i="93"/>
  <c r="CE399" i="93"/>
  <c r="CF399" i="93"/>
  <c r="CG399" i="93"/>
  <c r="CH399" i="93"/>
  <c r="CI399" i="93"/>
  <c r="CJ399" i="93"/>
  <c r="CK399" i="93"/>
  <c r="CL399" i="93"/>
  <c r="CM399" i="93"/>
  <c r="CN399" i="93"/>
  <c r="CO399" i="93"/>
  <c r="CP399" i="93"/>
  <c r="CQ399" i="93"/>
  <c r="CR399" i="93"/>
  <c r="CS399" i="93"/>
  <c r="CT399" i="93"/>
  <c r="CU399" i="93"/>
  <c r="CV399" i="93"/>
  <c r="CW399" i="93"/>
  <c r="J400" i="93"/>
  <c r="K400" i="93"/>
  <c r="L400" i="93"/>
  <c r="M400" i="93"/>
  <c r="N400" i="93"/>
  <c r="O400" i="93"/>
  <c r="P400" i="93"/>
  <c r="Q400" i="93"/>
  <c r="R400" i="93"/>
  <c r="S400" i="93"/>
  <c r="T400" i="93"/>
  <c r="U400" i="93"/>
  <c r="V400" i="93"/>
  <c r="W400" i="93"/>
  <c r="X400" i="93"/>
  <c r="Y400" i="93"/>
  <c r="Z400" i="93"/>
  <c r="AA400" i="93"/>
  <c r="AB400" i="93"/>
  <c r="AC400" i="93"/>
  <c r="AD400" i="93"/>
  <c r="AE400" i="93"/>
  <c r="AF400" i="93"/>
  <c r="AG400" i="93"/>
  <c r="AH400" i="93"/>
  <c r="AI400" i="93"/>
  <c r="AJ400" i="93"/>
  <c r="AK400" i="93"/>
  <c r="AL400" i="93"/>
  <c r="AM400" i="93"/>
  <c r="AN400" i="93"/>
  <c r="AO400" i="93"/>
  <c r="AP400" i="93"/>
  <c r="AQ400" i="93"/>
  <c r="AR400" i="93"/>
  <c r="AS400" i="93"/>
  <c r="AT400" i="93"/>
  <c r="AU400" i="93"/>
  <c r="AV400" i="93"/>
  <c r="AW400" i="93"/>
  <c r="AX400" i="93"/>
  <c r="AY400" i="93"/>
  <c r="AZ400" i="93"/>
  <c r="BA400" i="93"/>
  <c r="BB400" i="93"/>
  <c r="BC400" i="93"/>
  <c r="BD400" i="93"/>
  <c r="BE400" i="93"/>
  <c r="BF400" i="93"/>
  <c r="BG400" i="93"/>
  <c r="BH400" i="93"/>
  <c r="BI400" i="93"/>
  <c r="BJ400" i="93"/>
  <c r="BK400" i="93"/>
  <c r="BL400" i="93"/>
  <c r="BM400" i="93"/>
  <c r="BN400" i="93"/>
  <c r="BO400" i="93"/>
  <c r="BP400" i="93"/>
  <c r="BQ400" i="93"/>
  <c r="BR400" i="93"/>
  <c r="BS400" i="93"/>
  <c r="BT400" i="93"/>
  <c r="BU400" i="93"/>
  <c r="BV400" i="93"/>
  <c r="BW400" i="93"/>
  <c r="BX400" i="93"/>
  <c r="BY400" i="93"/>
  <c r="BZ400" i="93"/>
  <c r="CA400" i="93"/>
  <c r="CB400" i="93"/>
  <c r="CC400" i="93"/>
  <c r="CD400" i="93"/>
  <c r="CE400" i="93"/>
  <c r="CF400" i="93"/>
  <c r="CG400" i="93"/>
  <c r="CH400" i="93"/>
  <c r="CI400" i="93"/>
  <c r="CJ400" i="93"/>
  <c r="CK400" i="93"/>
  <c r="CL400" i="93"/>
  <c r="CM400" i="93"/>
  <c r="CN400" i="93"/>
  <c r="CO400" i="93"/>
  <c r="CP400" i="93"/>
  <c r="CQ400" i="93"/>
  <c r="CR400" i="93"/>
  <c r="CS400" i="93"/>
  <c r="CT400" i="93"/>
  <c r="CU400" i="93"/>
  <c r="CV400" i="93"/>
  <c r="CW400" i="93"/>
  <c r="J401" i="93"/>
  <c r="K401" i="93"/>
  <c r="L401" i="93"/>
  <c r="M401" i="93"/>
  <c r="N401" i="93"/>
  <c r="O401" i="93"/>
  <c r="P401" i="93"/>
  <c r="Q401" i="93"/>
  <c r="R401" i="93"/>
  <c r="S401" i="93"/>
  <c r="T401" i="93"/>
  <c r="U401" i="93"/>
  <c r="V401" i="93"/>
  <c r="W401" i="93"/>
  <c r="X401" i="93"/>
  <c r="Y401" i="93"/>
  <c r="Z401" i="93"/>
  <c r="AA401" i="93"/>
  <c r="AB401" i="93"/>
  <c r="AC401" i="93"/>
  <c r="AD401" i="93"/>
  <c r="AE401" i="93"/>
  <c r="AF401" i="93"/>
  <c r="AG401" i="93"/>
  <c r="AH401" i="93"/>
  <c r="AI401" i="93"/>
  <c r="AJ401" i="93"/>
  <c r="AK401" i="93"/>
  <c r="AL401" i="93"/>
  <c r="AM401" i="93"/>
  <c r="AN401" i="93"/>
  <c r="AO401" i="93"/>
  <c r="AP401" i="93"/>
  <c r="AQ401" i="93"/>
  <c r="AR401" i="93"/>
  <c r="AS401" i="93"/>
  <c r="AT401" i="93"/>
  <c r="AU401" i="93"/>
  <c r="AV401" i="93"/>
  <c r="AW401" i="93"/>
  <c r="AX401" i="93"/>
  <c r="AY401" i="93"/>
  <c r="AZ401" i="93"/>
  <c r="BA401" i="93"/>
  <c r="BB401" i="93"/>
  <c r="BC401" i="93"/>
  <c r="BD401" i="93"/>
  <c r="BE401" i="93"/>
  <c r="BF401" i="93"/>
  <c r="BG401" i="93"/>
  <c r="BH401" i="93"/>
  <c r="BI401" i="93"/>
  <c r="BJ401" i="93"/>
  <c r="BK401" i="93"/>
  <c r="BL401" i="93"/>
  <c r="BM401" i="93"/>
  <c r="BN401" i="93"/>
  <c r="BO401" i="93"/>
  <c r="BP401" i="93"/>
  <c r="BQ401" i="93"/>
  <c r="BR401" i="93"/>
  <c r="BS401" i="93"/>
  <c r="BT401" i="93"/>
  <c r="BU401" i="93"/>
  <c r="BV401" i="93"/>
  <c r="BW401" i="93"/>
  <c r="BX401" i="93"/>
  <c r="BY401" i="93"/>
  <c r="BZ401" i="93"/>
  <c r="CA401" i="93"/>
  <c r="CB401" i="93"/>
  <c r="CC401" i="93"/>
  <c r="CD401" i="93"/>
  <c r="CE401" i="93"/>
  <c r="CF401" i="93"/>
  <c r="CG401" i="93"/>
  <c r="CH401" i="93"/>
  <c r="CI401" i="93"/>
  <c r="CJ401" i="93"/>
  <c r="CK401" i="93"/>
  <c r="CL401" i="93"/>
  <c r="CM401" i="93"/>
  <c r="CN401" i="93"/>
  <c r="CO401" i="93"/>
  <c r="CP401" i="93"/>
  <c r="CQ401" i="93"/>
  <c r="CR401" i="93"/>
  <c r="CS401" i="93"/>
  <c r="CT401" i="93"/>
  <c r="CU401" i="93"/>
  <c r="CV401" i="93"/>
  <c r="CW401" i="93"/>
  <c r="J402" i="93"/>
  <c r="K402" i="93"/>
  <c r="L402" i="93"/>
  <c r="M402" i="93"/>
  <c r="N402" i="93"/>
  <c r="O402" i="93"/>
  <c r="P402" i="93"/>
  <c r="Q402" i="93"/>
  <c r="R402" i="93"/>
  <c r="S402" i="93"/>
  <c r="T402" i="93"/>
  <c r="U402" i="93"/>
  <c r="V402" i="93"/>
  <c r="W402" i="93"/>
  <c r="X402" i="93"/>
  <c r="Y402" i="93"/>
  <c r="Z402" i="93"/>
  <c r="AA402" i="93"/>
  <c r="AB402" i="93"/>
  <c r="AC402" i="93"/>
  <c r="AD402" i="93"/>
  <c r="AE402" i="93"/>
  <c r="AF402" i="93"/>
  <c r="AG402" i="93"/>
  <c r="AH402" i="93"/>
  <c r="AI402" i="93"/>
  <c r="AJ402" i="93"/>
  <c r="AK402" i="93"/>
  <c r="AL402" i="93"/>
  <c r="AM402" i="93"/>
  <c r="AN402" i="93"/>
  <c r="AO402" i="93"/>
  <c r="AP402" i="93"/>
  <c r="AQ402" i="93"/>
  <c r="AR402" i="93"/>
  <c r="AS402" i="93"/>
  <c r="AT402" i="93"/>
  <c r="AU402" i="93"/>
  <c r="AV402" i="93"/>
  <c r="AW402" i="93"/>
  <c r="AX402" i="93"/>
  <c r="AY402" i="93"/>
  <c r="AZ402" i="93"/>
  <c r="BA402" i="93"/>
  <c r="BB402" i="93"/>
  <c r="BC402" i="93"/>
  <c r="BD402" i="93"/>
  <c r="BE402" i="93"/>
  <c r="BF402" i="93"/>
  <c r="BG402" i="93"/>
  <c r="BH402" i="93"/>
  <c r="BI402" i="93"/>
  <c r="BJ402" i="93"/>
  <c r="BK402" i="93"/>
  <c r="BL402" i="93"/>
  <c r="BM402" i="93"/>
  <c r="BN402" i="93"/>
  <c r="BO402" i="93"/>
  <c r="BP402" i="93"/>
  <c r="BQ402" i="93"/>
  <c r="BR402" i="93"/>
  <c r="BS402" i="93"/>
  <c r="BT402" i="93"/>
  <c r="BU402" i="93"/>
  <c r="BV402" i="93"/>
  <c r="BW402" i="93"/>
  <c r="BX402" i="93"/>
  <c r="BY402" i="93"/>
  <c r="BZ402" i="93"/>
  <c r="CA402" i="93"/>
  <c r="CB402" i="93"/>
  <c r="CC402" i="93"/>
  <c r="CD402" i="93"/>
  <c r="CE402" i="93"/>
  <c r="CF402" i="93"/>
  <c r="CG402" i="93"/>
  <c r="CH402" i="93"/>
  <c r="CI402" i="93"/>
  <c r="CJ402" i="93"/>
  <c r="CK402" i="93"/>
  <c r="CL402" i="93"/>
  <c r="CM402" i="93"/>
  <c r="CN402" i="93"/>
  <c r="CO402" i="93"/>
  <c r="CP402" i="93"/>
  <c r="CQ402" i="93"/>
  <c r="CR402" i="93"/>
  <c r="CS402" i="93"/>
  <c r="CT402" i="93"/>
  <c r="CU402" i="93"/>
  <c r="CV402" i="93"/>
  <c r="CW402" i="93"/>
  <c r="J403" i="93"/>
  <c r="K403" i="93"/>
  <c r="L403" i="93"/>
  <c r="M403" i="93"/>
  <c r="N403" i="93"/>
  <c r="O403" i="93"/>
  <c r="P403" i="93"/>
  <c r="Q403" i="93"/>
  <c r="R403" i="93"/>
  <c r="S403" i="93"/>
  <c r="T403" i="93"/>
  <c r="U403" i="93"/>
  <c r="V403" i="93"/>
  <c r="W403" i="93"/>
  <c r="X403" i="93"/>
  <c r="Y403" i="93"/>
  <c r="Z403" i="93"/>
  <c r="AA403" i="93"/>
  <c r="AB403" i="93"/>
  <c r="AC403" i="93"/>
  <c r="AD403" i="93"/>
  <c r="AE403" i="93"/>
  <c r="AF403" i="93"/>
  <c r="AG403" i="93"/>
  <c r="AH403" i="93"/>
  <c r="AI403" i="93"/>
  <c r="AJ403" i="93"/>
  <c r="AK403" i="93"/>
  <c r="AL403" i="93"/>
  <c r="AM403" i="93"/>
  <c r="AN403" i="93"/>
  <c r="AO403" i="93"/>
  <c r="AP403" i="93"/>
  <c r="AQ403" i="93"/>
  <c r="AR403" i="93"/>
  <c r="AS403" i="93"/>
  <c r="AT403" i="93"/>
  <c r="AU403" i="93"/>
  <c r="AV403" i="93"/>
  <c r="AW403" i="93"/>
  <c r="AX403" i="93"/>
  <c r="AY403" i="93"/>
  <c r="AZ403" i="93"/>
  <c r="BA403" i="93"/>
  <c r="BB403" i="93"/>
  <c r="BC403" i="93"/>
  <c r="BD403" i="93"/>
  <c r="BE403" i="93"/>
  <c r="BF403" i="93"/>
  <c r="BG403" i="93"/>
  <c r="BH403" i="93"/>
  <c r="BI403" i="93"/>
  <c r="BJ403" i="93"/>
  <c r="BK403" i="93"/>
  <c r="BL403" i="93"/>
  <c r="BM403" i="93"/>
  <c r="BN403" i="93"/>
  <c r="BO403" i="93"/>
  <c r="BP403" i="93"/>
  <c r="BQ403" i="93"/>
  <c r="BR403" i="93"/>
  <c r="BS403" i="93"/>
  <c r="BT403" i="93"/>
  <c r="BU403" i="93"/>
  <c r="BV403" i="93"/>
  <c r="BW403" i="93"/>
  <c r="BX403" i="93"/>
  <c r="BY403" i="93"/>
  <c r="BZ403" i="93"/>
  <c r="CA403" i="93"/>
  <c r="CB403" i="93"/>
  <c r="CC403" i="93"/>
  <c r="CD403" i="93"/>
  <c r="CE403" i="93"/>
  <c r="CF403" i="93"/>
  <c r="CG403" i="93"/>
  <c r="CH403" i="93"/>
  <c r="CI403" i="93"/>
  <c r="CJ403" i="93"/>
  <c r="CK403" i="93"/>
  <c r="CL403" i="93"/>
  <c r="CM403" i="93"/>
  <c r="CN403" i="93"/>
  <c r="CO403" i="93"/>
  <c r="CP403" i="93"/>
  <c r="CQ403" i="93"/>
  <c r="CR403" i="93"/>
  <c r="CS403" i="93"/>
  <c r="CT403" i="93"/>
  <c r="CU403" i="93"/>
  <c r="CV403" i="93"/>
  <c r="CW403" i="93"/>
  <c r="J404" i="93"/>
  <c r="K404" i="93"/>
  <c r="L404" i="93"/>
  <c r="M404" i="93"/>
  <c r="N404" i="93"/>
  <c r="O404" i="93"/>
  <c r="P404" i="93"/>
  <c r="Q404" i="93"/>
  <c r="R404" i="93"/>
  <c r="S404" i="93"/>
  <c r="T404" i="93"/>
  <c r="U404" i="93"/>
  <c r="V404" i="93"/>
  <c r="W404" i="93"/>
  <c r="X404" i="93"/>
  <c r="Y404" i="93"/>
  <c r="Z404" i="93"/>
  <c r="AA404" i="93"/>
  <c r="AB404" i="93"/>
  <c r="AC404" i="93"/>
  <c r="AD404" i="93"/>
  <c r="AE404" i="93"/>
  <c r="AF404" i="93"/>
  <c r="AG404" i="93"/>
  <c r="AH404" i="93"/>
  <c r="AI404" i="93"/>
  <c r="AJ404" i="93"/>
  <c r="AK404" i="93"/>
  <c r="AL404" i="93"/>
  <c r="AM404" i="93"/>
  <c r="AN404" i="93"/>
  <c r="AO404" i="93"/>
  <c r="AP404" i="93"/>
  <c r="AQ404" i="93"/>
  <c r="AR404" i="93"/>
  <c r="AS404" i="93"/>
  <c r="AT404" i="93"/>
  <c r="AU404" i="93"/>
  <c r="AV404" i="93"/>
  <c r="AW404" i="93"/>
  <c r="AX404" i="93"/>
  <c r="AY404" i="93"/>
  <c r="AZ404" i="93"/>
  <c r="BA404" i="93"/>
  <c r="BB404" i="93"/>
  <c r="BC404" i="93"/>
  <c r="BD404" i="93"/>
  <c r="BE404" i="93"/>
  <c r="BF404" i="93"/>
  <c r="BG404" i="93"/>
  <c r="BH404" i="93"/>
  <c r="BI404" i="93"/>
  <c r="BJ404" i="93"/>
  <c r="BK404" i="93"/>
  <c r="BL404" i="93"/>
  <c r="BM404" i="93"/>
  <c r="BN404" i="93"/>
  <c r="BO404" i="93"/>
  <c r="BP404" i="93"/>
  <c r="BQ404" i="93"/>
  <c r="BR404" i="93"/>
  <c r="BS404" i="93"/>
  <c r="BT404" i="93"/>
  <c r="BU404" i="93"/>
  <c r="BV404" i="93"/>
  <c r="BW404" i="93"/>
  <c r="BX404" i="93"/>
  <c r="BY404" i="93"/>
  <c r="BZ404" i="93"/>
  <c r="CA404" i="93"/>
  <c r="CB404" i="93"/>
  <c r="CC404" i="93"/>
  <c r="CD404" i="93"/>
  <c r="CE404" i="93"/>
  <c r="CF404" i="93"/>
  <c r="CG404" i="93"/>
  <c r="CH404" i="93"/>
  <c r="CI404" i="93"/>
  <c r="CJ404" i="93"/>
  <c r="CK404" i="93"/>
  <c r="CL404" i="93"/>
  <c r="CM404" i="93"/>
  <c r="CN404" i="93"/>
  <c r="CO404" i="93"/>
  <c r="CP404" i="93"/>
  <c r="CQ404" i="93"/>
  <c r="CR404" i="93"/>
  <c r="CS404" i="93"/>
  <c r="CT404" i="93"/>
  <c r="CU404" i="93"/>
  <c r="CV404" i="93"/>
  <c r="CW404" i="93"/>
  <c r="J405" i="93"/>
  <c r="K405" i="93"/>
  <c r="L405" i="93"/>
  <c r="M405" i="93"/>
  <c r="N405" i="93"/>
  <c r="O405" i="93"/>
  <c r="P405" i="93"/>
  <c r="Q405" i="93"/>
  <c r="R405" i="93"/>
  <c r="S405" i="93"/>
  <c r="T405" i="93"/>
  <c r="U405" i="93"/>
  <c r="V405" i="93"/>
  <c r="W405" i="93"/>
  <c r="X405" i="93"/>
  <c r="Y405" i="93"/>
  <c r="Z405" i="93"/>
  <c r="AA405" i="93"/>
  <c r="AB405" i="93"/>
  <c r="AC405" i="93"/>
  <c r="AD405" i="93"/>
  <c r="AE405" i="93"/>
  <c r="AF405" i="93"/>
  <c r="AG405" i="93"/>
  <c r="AH405" i="93"/>
  <c r="AI405" i="93"/>
  <c r="AJ405" i="93"/>
  <c r="AK405" i="93"/>
  <c r="AL405" i="93"/>
  <c r="AM405" i="93"/>
  <c r="AN405" i="93"/>
  <c r="AO405" i="93"/>
  <c r="AP405" i="93"/>
  <c r="AQ405" i="93"/>
  <c r="AR405" i="93"/>
  <c r="AS405" i="93"/>
  <c r="AT405" i="93"/>
  <c r="AU405" i="93"/>
  <c r="AV405" i="93"/>
  <c r="AW405" i="93"/>
  <c r="AX405" i="93"/>
  <c r="AY405" i="93"/>
  <c r="AZ405" i="93"/>
  <c r="BA405" i="93"/>
  <c r="BB405" i="93"/>
  <c r="BC405" i="93"/>
  <c r="BD405" i="93"/>
  <c r="BE405" i="93"/>
  <c r="BF405" i="93"/>
  <c r="BG405" i="93"/>
  <c r="BH405" i="93"/>
  <c r="BI405" i="93"/>
  <c r="BJ405" i="93"/>
  <c r="BK405" i="93"/>
  <c r="BL405" i="93"/>
  <c r="BM405" i="93"/>
  <c r="BN405" i="93"/>
  <c r="BO405" i="93"/>
  <c r="BP405" i="93"/>
  <c r="BQ405" i="93"/>
  <c r="BR405" i="93"/>
  <c r="BS405" i="93"/>
  <c r="BT405" i="93"/>
  <c r="BU405" i="93"/>
  <c r="BV405" i="93"/>
  <c r="BW405" i="93"/>
  <c r="BX405" i="93"/>
  <c r="BY405" i="93"/>
  <c r="BZ405" i="93"/>
  <c r="CA405" i="93"/>
  <c r="CB405" i="93"/>
  <c r="CC405" i="93"/>
  <c r="CD405" i="93"/>
  <c r="CE405" i="93"/>
  <c r="CF405" i="93"/>
  <c r="CG405" i="93"/>
  <c r="CH405" i="93"/>
  <c r="CI405" i="93"/>
  <c r="CJ405" i="93"/>
  <c r="CK405" i="93"/>
  <c r="CL405" i="93"/>
  <c r="CM405" i="93"/>
  <c r="CN405" i="93"/>
  <c r="CO405" i="93"/>
  <c r="CP405" i="93"/>
  <c r="CQ405" i="93"/>
  <c r="CR405" i="93"/>
  <c r="CS405" i="93"/>
  <c r="CT405" i="93"/>
  <c r="CU405" i="93"/>
  <c r="CV405" i="93"/>
  <c r="CW405" i="93"/>
  <c r="J406" i="93"/>
  <c r="K406" i="93"/>
  <c r="L406" i="93"/>
  <c r="M406" i="93"/>
  <c r="N406" i="93"/>
  <c r="O406" i="93"/>
  <c r="P406" i="93"/>
  <c r="Q406" i="93"/>
  <c r="R406" i="93"/>
  <c r="S406" i="93"/>
  <c r="T406" i="93"/>
  <c r="U406" i="93"/>
  <c r="V406" i="93"/>
  <c r="W406" i="93"/>
  <c r="X406" i="93"/>
  <c r="Y406" i="93"/>
  <c r="Z406" i="93"/>
  <c r="AA406" i="93"/>
  <c r="AB406" i="93"/>
  <c r="AC406" i="93"/>
  <c r="AD406" i="93"/>
  <c r="AE406" i="93"/>
  <c r="AF406" i="93"/>
  <c r="AG406" i="93"/>
  <c r="AH406" i="93"/>
  <c r="AI406" i="93"/>
  <c r="AJ406" i="93"/>
  <c r="AK406" i="93"/>
  <c r="AL406" i="93"/>
  <c r="AM406" i="93"/>
  <c r="AN406" i="93"/>
  <c r="AO406" i="93"/>
  <c r="AP406" i="93"/>
  <c r="AQ406" i="93"/>
  <c r="AR406" i="93"/>
  <c r="AS406" i="93"/>
  <c r="AT406" i="93"/>
  <c r="AU406" i="93"/>
  <c r="AV406" i="93"/>
  <c r="AW406" i="93"/>
  <c r="AX406" i="93"/>
  <c r="AY406" i="93"/>
  <c r="AZ406" i="93"/>
  <c r="BA406" i="93"/>
  <c r="BB406" i="93"/>
  <c r="BC406" i="93"/>
  <c r="BD406" i="93"/>
  <c r="BE406" i="93"/>
  <c r="BF406" i="93"/>
  <c r="BG406" i="93"/>
  <c r="BH406" i="93"/>
  <c r="BI406" i="93"/>
  <c r="BJ406" i="93"/>
  <c r="BK406" i="93"/>
  <c r="BL406" i="93"/>
  <c r="BM406" i="93"/>
  <c r="BN406" i="93"/>
  <c r="BO406" i="93"/>
  <c r="BP406" i="93"/>
  <c r="BQ406" i="93"/>
  <c r="BR406" i="93"/>
  <c r="BS406" i="93"/>
  <c r="BT406" i="93"/>
  <c r="BU406" i="93"/>
  <c r="BV406" i="93"/>
  <c r="BW406" i="93"/>
  <c r="BX406" i="93"/>
  <c r="BY406" i="93"/>
  <c r="BZ406" i="93"/>
  <c r="CA406" i="93"/>
  <c r="CB406" i="93"/>
  <c r="CC406" i="93"/>
  <c r="CD406" i="93"/>
  <c r="CE406" i="93"/>
  <c r="CF406" i="93"/>
  <c r="CG406" i="93"/>
  <c r="CH406" i="93"/>
  <c r="CI406" i="93"/>
  <c r="CJ406" i="93"/>
  <c r="CK406" i="93"/>
  <c r="CL406" i="93"/>
  <c r="CM406" i="93"/>
  <c r="CN406" i="93"/>
  <c r="CO406" i="93"/>
  <c r="CP406" i="93"/>
  <c r="CQ406" i="93"/>
  <c r="CR406" i="93"/>
  <c r="CS406" i="93"/>
  <c r="CT406" i="93"/>
  <c r="CU406" i="93"/>
  <c r="CV406" i="93"/>
  <c r="CW406" i="93"/>
  <c r="J407" i="93"/>
  <c r="K407" i="93"/>
  <c r="L407" i="93"/>
  <c r="M407" i="93"/>
  <c r="N407" i="93"/>
  <c r="O407" i="93"/>
  <c r="P407" i="93"/>
  <c r="Q407" i="93"/>
  <c r="R407" i="93"/>
  <c r="S407" i="93"/>
  <c r="T407" i="93"/>
  <c r="U407" i="93"/>
  <c r="V407" i="93"/>
  <c r="W407" i="93"/>
  <c r="X407" i="93"/>
  <c r="Y407" i="93"/>
  <c r="Z407" i="93"/>
  <c r="AA407" i="93"/>
  <c r="AB407" i="93"/>
  <c r="AC407" i="93"/>
  <c r="AD407" i="93"/>
  <c r="AE407" i="93"/>
  <c r="AF407" i="93"/>
  <c r="AG407" i="93"/>
  <c r="AH407" i="93"/>
  <c r="AI407" i="93"/>
  <c r="AJ407" i="93"/>
  <c r="AK407" i="93"/>
  <c r="AL407" i="93"/>
  <c r="AM407" i="93"/>
  <c r="AN407" i="93"/>
  <c r="AO407" i="93"/>
  <c r="AP407" i="93"/>
  <c r="AQ407" i="93"/>
  <c r="AR407" i="93"/>
  <c r="AS407" i="93"/>
  <c r="AT407" i="93"/>
  <c r="AU407" i="93"/>
  <c r="AV407" i="93"/>
  <c r="AW407" i="93"/>
  <c r="AX407" i="93"/>
  <c r="AY407" i="93"/>
  <c r="AZ407" i="93"/>
  <c r="BA407" i="93"/>
  <c r="BB407" i="93"/>
  <c r="BC407" i="93"/>
  <c r="BD407" i="93"/>
  <c r="BE407" i="93"/>
  <c r="BF407" i="93"/>
  <c r="BG407" i="93"/>
  <c r="BH407" i="93"/>
  <c r="BI407" i="93"/>
  <c r="BJ407" i="93"/>
  <c r="BK407" i="93"/>
  <c r="BL407" i="93"/>
  <c r="BM407" i="93"/>
  <c r="BN407" i="93"/>
  <c r="BO407" i="93"/>
  <c r="BP407" i="93"/>
  <c r="BQ407" i="93"/>
  <c r="BR407" i="93"/>
  <c r="BS407" i="93"/>
  <c r="BT407" i="93"/>
  <c r="BU407" i="93"/>
  <c r="BV407" i="93"/>
  <c r="BW407" i="93"/>
  <c r="BX407" i="93"/>
  <c r="BY407" i="93"/>
  <c r="BZ407" i="93"/>
  <c r="CA407" i="93"/>
  <c r="CB407" i="93"/>
  <c r="CC407" i="93"/>
  <c r="CD407" i="93"/>
  <c r="CE407" i="93"/>
  <c r="CF407" i="93"/>
  <c r="CG407" i="93"/>
  <c r="CH407" i="93"/>
  <c r="CI407" i="93"/>
  <c r="CJ407" i="93"/>
  <c r="CK407" i="93"/>
  <c r="CL407" i="93"/>
  <c r="CM407" i="93"/>
  <c r="CN407" i="93"/>
  <c r="CO407" i="93"/>
  <c r="CP407" i="93"/>
  <c r="CQ407" i="93"/>
  <c r="CR407" i="93"/>
  <c r="CS407" i="93"/>
  <c r="CT407" i="93"/>
  <c r="CU407" i="93"/>
  <c r="CV407" i="93"/>
  <c r="CW407" i="93"/>
  <c r="J408" i="93"/>
  <c r="K408" i="93"/>
  <c r="L408" i="93"/>
  <c r="M408" i="93"/>
  <c r="N408" i="93"/>
  <c r="O408" i="93"/>
  <c r="P408" i="93"/>
  <c r="Q408" i="93"/>
  <c r="R408" i="93"/>
  <c r="S408" i="93"/>
  <c r="T408" i="93"/>
  <c r="U408" i="93"/>
  <c r="V408" i="93"/>
  <c r="W408" i="93"/>
  <c r="X408" i="93"/>
  <c r="Y408" i="93"/>
  <c r="Z408" i="93"/>
  <c r="AA408" i="93"/>
  <c r="AB408" i="93"/>
  <c r="AC408" i="93"/>
  <c r="AD408" i="93"/>
  <c r="AE408" i="93"/>
  <c r="AF408" i="93"/>
  <c r="AG408" i="93"/>
  <c r="AH408" i="93"/>
  <c r="AI408" i="93"/>
  <c r="AJ408" i="93"/>
  <c r="AK408" i="93"/>
  <c r="AL408" i="93"/>
  <c r="AM408" i="93"/>
  <c r="AN408" i="93"/>
  <c r="AO408" i="93"/>
  <c r="AP408" i="93"/>
  <c r="AQ408" i="93"/>
  <c r="AR408" i="93"/>
  <c r="AS408" i="93"/>
  <c r="AT408" i="93"/>
  <c r="AU408" i="93"/>
  <c r="AV408" i="93"/>
  <c r="AW408" i="93"/>
  <c r="AX408" i="93"/>
  <c r="AY408" i="93"/>
  <c r="AZ408" i="93"/>
  <c r="BA408" i="93"/>
  <c r="BB408" i="93"/>
  <c r="BC408" i="93"/>
  <c r="BD408" i="93"/>
  <c r="BE408" i="93"/>
  <c r="BF408" i="93"/>
  <c r="BG408" i="93"/>
  <c r="BH408" i="93"/>
  <c r="BI408" i="93"/>
  <c r="BJ408" i="93"/>
  <c r="BK408" i="93"/>
  <c r="BL408" i="93"/>
  <c r="BM408" i="93"/>
  <c r="BN408" i="93"/>
  <c r="BO408" i="93"/>
  <c r="BP408" i="93"/>
  <c r="BQ408" i="93"/>
  <c r="BR408" i="93"/>
  <c r="BS408" i="93"/>
  <c r="BT408" i="93"/>
  <c r="BU408" i="93"/>
  <c r="BV408" i="93"/>
  <c r="BW408" i="93"/>
  <c r="BX408" i="93"/>
  <c r="BY408" i="93"/>
  <c r="BZ408" i="93"/>
  <c r="CA408" i="93"/>
  <c r="CB408" i="93"/>
  <c r="CC408" i="93"/>
  <c r="CD408" i="93"/>
  <c r="CE408" i="93"/>
  <c r="CF408" i="93"/>
  <c r="CG408" i="93"/>
  <c r="CH408" i="93"/>
  <c r="CI408" i="93"/>
  <c r="CJ408" i="93"/>
  <c r="CK408" i="93"/>
  <c r="CL408" i="93"/>
  <c r="CM408" i="93"/>
  <c r="CN408" i="93"/>
  <c r="CO408" i="93"/>
  <c r="CP408" i="93"/>
  <c r="CQ408" i="93"/>
  <c r="CR408" i="93"/>
  <c r="CS408" i="93"/>
  <c r="CT408" i="93"/>
  <c r="CU408" i="93"/>
  <c r="CV408" i="93"/>
  <c r="CW408" i="93"/>
  <c r="J409" i="93"/>
  <c r="K409" i="93"/>
  <c r="L409" i="93"/>
  <c r="M409" i="93"/>
  <c r="N409" i="93"/>
  <c r="O409" i="93"/>
  <c r="P409" i="93"/>
  <c r="Q409" i="93"/>
  <c r="R409" i="93"/>
  <c r="S409" i="93"/>
  <c r="T409" i="93"/>
  <c r="U409" i="93"/>
  <c r="V409" i="93"/>
  <c r="W409" i="93"/>
  <c r="X409" i="93"/>
  <c r="Y409" i="93"/>
  <c r="Z409" i="93"/>
  <c r="AA409" i="93"/>
  <c r="AB409" i="93"/>
  <c r="AC409" i="93"/>
  <c r="AD409" i="93"/>
  <c r="AE409" i="93"/>
  <c r="AF409" i="93"/>
  <c r="AG409" i="93"/>
  <c r="AH409" i="93"/>
  <c r="AI409" i="93"/>
  <c r="AJ409" i="93"/>
  <c r="AK409" i="93"/>
  <c r="AL409" i="93"/>
  <c r="AM409" i="93"/>
  <c r="AN409" i="93"/>
  <c r="AO409" i="93"/>
  <c r="AP409" i="93"/>
  <c r="AQ409" i="93"/>
  <c r="AR409" i="93"/>
  <c r="AS409" i="93"/>
  <c r="AT409" i="93"/>
  <c r="AU409" i="93"/>
  <c r="AV409" i="93"/>
  <c r="AW409" i="93"/>
  <c r="AX409" i="93"/>
  <c r="AY409" i="93"/>
  <c r="AZ409" i="93"/>
  <c r="BA409" i="93"/>
  <c r="BB409" i="93"/>
  <c r="BC409" i="93"/>
  <c r="BD409" i="93"/>
  <c r="BE409" i="93"/>
  <c r="BF409" i="93"/>
  <c r="BG409" i="93"/>
  <c r="BH409" i="93"/>
  <c r="BI409" i="93"/>
  <c r="BJ409" i="93"/>
  <c r="BK409" i="93"/>
  <c r="BL409" i="93"/>
  <c r="BM409" i="93"/>
  <c r="BN409" i="93"/>
  <c r="BO409" i="93"/>
  <c r="BP409" i="93"/>
  <c r="BQ409" i="93"/>
  <c r="BR409" i="93"/>
  <c r="BS409" i="93"/>
  <c r="BT409" i="93"/>
  <c r="BU409" i="93"/>
  <c r="BV409" i="93"/>
  <c r="BW409" i="93"/>
  <c r="BX409" i="93"/>
  <c r="BY409" i="93"/>
  <c r="BZ409" i="93"/>
  <c r="CA409" i="93"/>
  <c r="CB409" i="93"/>
  <c r="CC409" i="93"/>
  <c r="CD409" i="93"/>
  <c r="CE409" i="93"/>
  <c r="CF409" i="93"/>
  <c r="CG409" i="93"/>
  <c r="CH409" i="93"/>
  <c r="CI409" i="93"/>
  <c r="CJ409" i="93"/>
  <c r="CK409" i="93"/>
  <c r="CL409" i="93"/>
  <c r="CM409" i="93"/>
  <c r="CN409" i="93"/>
  <c r="CO409" i="93"/>
  <c r="CP409" i="93"/>
  <c r="CQ409" i="93"/>
  <c r="CR409" i="93"/>
  <c r="CS409" i="93"/>
  <c r="CT409" i="93"/>
  <c r="CU409" i="93"/>
  <c r="CV409" i="93"/>
  <c r="CW409" i="93"/>
  <c r="J410" i="93"/>
  <c r="K410" i="93"/>
  <c r="L410" i="93"/>
  <c r="M410" i="93"/>
  <c r="N410" i="93"/>
  <c r="O410" i="93"/>
  <c r="P410" i="93"/>
  <c r="Q410" i="93"/>
  <c r="R410" i="93"/>
  <c r="S410" i="93"/>
  <c r="T410" i="93"/>
  <c r="U410" i="93"/>
  <c r="V410" i="93"/>
  <c r="W410" i="93"/>
  <c r="X410" i="93"/>
  <c r="Y410" i="93"/>
  <c r="Z410" i="93"/>
  <c r="AA410" i="93"/>
  <c r="AB410" i="93"/>
  <c r="AC410" i="93"/>
  <c r="AD410" i="93"/>
  <c r="AE410" i="93"/>
  <c r="AF410" i="93"/>
  <c r="AG410" i="93"/>
  <c r="AH410" i="93"/>
  <c r="AI410" i="93"/>
  <c r="AJ410" i="93"/>
  <c r="AK410" i="93"/>
  <c r="AL410" i="93"/>
  <c r="AM410" i="93"/>
  <c r="AN410" i="93"/>
  <c r="AO410" i="93"/>
  <c r="AP410" i="93"/>
  <c r="AQ410" i="93"/>
  <c r="AR410" i="93"/>
  <c r="AS410" i="93"/>
  <c r="AT410" i="93"/>
  <c r="AU410" i="93"/>
  <c r="AV410" i="93"/>
  <c r="AW410" i="93"/>
  <c r="AX410" i="93"/>
  <c r="AY410" i="93"/>
  <c r="AZ410" i="93"/>
  <c r="BA410" i="93"/>
  <c r="BB410" i="93"/>
  <c r="BC410" i="93"/>
  <c r="BD410" i="93"/>
  <c r="BE410" i="93"/>
  <c r="BF410" i="93"/>
  <c r="BG410" i="93"/>
  <c r="BH410" i="93"/>
  <c r="BI410" i="93"/>
  <c r="BJ410" i="93"/>
  <c r="BK410" i="93"/>
  <c r="BL410" i="93"/>
  <c r="BM410" i="93"/>
  <c r="BN410" i="93"/>
  <c r="BO410" i="93"/>
  <c r="BP410" i="93"/>
  <c r="BQ410" i="93"/>
  <c r="BR410" i="93"/>
  <c r="BS410" i="93"/>
  <c r="BT410" i="93"/>
  <c r="BU410" i="93"/>
  <c r="BV410" i="93"/>
  <c r="BW410" i="93"/>
  <c r="BX410" i="93"/>
  <c r="BY410" i="93"/>
  <c r="BZ410" i="93"/>
  <c r="CA410" i="93"/>
  <c r="CB410" i="93"/>
  <c r="CC410" i="93"/>
  <c r="CD410" i="93"/>
  <c r="CE410" i="93"/>
  <c r="CF410" i="93"/>
  <c r="CG410" i="93"/>
  <c r="CH410" i="93"/>
  <c r="CI410" i="93"/>
  <c r="CJ410" i="93"/>
  <c r="CK410" i="93"/>
  <c r="CL410" i="93"/>
  <c r="CM410" i="93"/>
  <c r="CN410" i="93"/>
  <c r="CO410" i="93"/>
  <c r="CP410" i="93"/>
  <c r="CQ410" i="93"/>
  <c r="CR410" i="93"/>
  <c r="CS410" i="93"/>
  <c r="CT410" i="93"/>
  <c r="CU410" i="93"/>
  <c r="CV410" i="93"/>
  <c r="CW410" i="93"/>
  <c r="J411" i="93"/>
  <c r="K411" i="93"/>
  <c r="L411" i="93"/>
  <c r="M411" i="93"/>
  <c r="N411" i="93"/>
  <c r="O411" i="93"/>
  <c r="P411" i="93"/>
  <c r="Q411" i="93"/>
  <c r="R411" i="93"/>
  <c r="S411" i="93"/>
  <c r="T411" i="93"/>
  <c r="U411" i="93"/>
  <c r="V411" i="93"/>
  <c r="W411" i="93"/>
  <c r="X411" i="93"/>
  <c r="Y411" i="93"/>
  <c r="Z411" i="93"/>
  <c r="AA411" i="93"/>
  <c r="AB411" i="93"/>
  <c r="AC411" i="93"/>
  <c r="AD411" i="93"/>
  <c r="AE411" i="93"/>
  <c r="AF411" i="93"/>
  <c r="AG411" i="93"/>
  <c r="AH411" i="93"/>
  <c r="AI411" i="93"/>
  <c r="AJ411" i="93"/>
  <c r="AK411" i="93"/>
  <c r="AL411" i="93"/>
  <c r="AM411" i="93"/>
  <c r="AN411" i="93"/>
  <c r="AO411" i="93"/>
  <c r="AP411" i="93"/>
  <c r="AQ411" i="93"/>
  <c r="AR411" i="93"/>
  <c r="AS411" i="93"/>
  <c r="AT411" i="93"/>
  <c r="AU411" i="93"/>
  <c r="AV411" i="93"/>
  <c r="AW411" i="93"/>
  <c r="AX411" i="93"/>
  <c r="AY411" i="93"/>
  <c r="AZ411" i="93"/>
  <c r="BA411" i="93"/>
  <c r="BB411" i="93"/>
  <c r="BC411" i="93"/>
  <c r="BD411" i="93"/>
  <c r="BE411" i="93"/>
  <c r="BF411" i="93"/>
  <c r="BG411" i="93"/>
  <c r="BH411" i="93"/>
  <c r="BI411" i="93"/>
  <c r="BJ411" i="93"/>
  <c r="BK411" i="93"/>
  <c r="BL411" i="93"/>
  <c r="BM411" i="93"/>
  <c r="BN411" i="93"/>
  <c r="BO411" i="93"/>
  <c r="BP411" i="93"/>
  <c r="BQ411" i="93"/>
  <c r="BR411" i="93"/>
  <c r="BS411" i="93"/>
  <c r="BT411" i="93"/>
  <c r="BU411" i="93"/>
  <c r="BV411" i="93"/>
  <c r="BW411" i="93"/>
  <c r="BX411" i="93"/>
  <c r="BY411" i="93"/>
  <c r="BZ411" i="93"/>
  <c r="CA411" i="93"/>
  <c r="CB411" i="93"/>
  <c r="CC411" i="93"/>
  <c r="CD411" i="93"/>
  <c r="CE411" i="93"/>
  <c r="CF411" i="93"/>
  <c r="CG411" i="93"/>
  <c r="CH411" i="93"/>
  <c r="CI411" i="93"/>
  <c r="CJ411" i="93"/>
  <c r="CK411" i="93"/>
  <c r="CL411" i="93"/>
  <c r="CM411" i="93"/>
  <c r="CN411" i="93"/>
  <c r="CO411" i="93"/>
  <c r="CP411" i="93"/>
  <c r="CQ411" i="93"/>
  <c r="CR411" i="93"/>
  <c r="CS411" i="93"/>
  <c r="CT411" i="93"/>
  <c r="CU411" i="93"/>
  <c r="CV411" i="93"/>
  <c r="CW411" i="93"/>
  <c r="J412" i="93"/>
  <c r="K412" i="93"/>
  <c r="L412" i="93"/>
  <c r="M412" i="93"/>
  <c r="N412" i="93"/>
  <c r="O412" i="93"/>
  <c r="P412" i="93"/>
  <c r="Q412" i="93"/>
  <c r="R412" i="93"/>
  <c r="S412" i="93"/>
  <c r="T412" i="93"/>
  <c r="U412" i="93"/>
  <c r="V412" i="93"/>
  <c r="W412" i="93"/>
  <c r="X412" i="93"/>
  <c r="Y412" i="93"/>
  <c r="Z412" i="93"/>
  <c r="AA412" i="93"/>
  <c r="AB412" i="93"/>
  <c r="AC412" i="93"/>
  <c r="AD412" i="93"/>
  <c r="AE412" i="93"/>
  <c r="AF412" i="93"/>
  <c r="AG412" i="93"/>
  <c r="AH412" i="93"/>
  <c r="AI412" i="93"/>
  <c r="AJ412" i="93"/>
  <c r="AK412" i="93"/>
  <c r="AL412" i="93"/>
  <c r="AM412" i="93"/>
  <c r="AN412" i="93"/>
  <c r="AO412" i="93"/>
  <c r="AP412" i="93"/>
  <c r="AQ412" i="93"/>
  <c r="AR412" i="93"/>
  <c r="AS412" i="93"/>
  <c r="AT412" i="93"/>
  <c r="AU412" i="93"/>
  <c r="AV412" i="93"/>
  <c r="AW412" i="93"/>
  <c r="AX412" i="93"/>
  <c r="AY412" i="93"/>
  <c r="AZ412" i="93"/>
  <c r="BA412" i="93"/>
  <c r="BB412" i="93"/>
  <c r="BC412" i="93"/>
  <c r="BD412" i="93"/>
  <c r="BE412" i="93"/>
  <c r="BF412" i="93"/>
  <c r="BG412" i="93"/>
  <c r="BH412" i="93"/>
  <c r="BI412" i="93"/>
  <c r="BJ412" i="93"/>
  <c r="BK412" i="93"/>
  <c r="BL412" i="93"/>
  <c r="BM412" i="93"/>
  <c r="BN412" i="93"/>
  <c r="BO412" i="93"/>
  <c r="BP412" i="93"/>
  <c r="BQ412" i="93"/>
  <c r="BR412" i="93"/>
  <c r="BS412" i="93"/>
  <c r="BT412" i="93"/>
  <c r="BU412" i="93"/>
  <c r="BV412" i="93"/>
  <c r="BW412" i="93"/>
  <c r="BX412" i="93"/>
  <c r="BY412" i="93"/>
  <c r="BZ412" i="93"/>
  <c r="CA412" i="93"/>
  <c r="CB412" i="93"/>
  <c r="CC412" i="93"/>
  <c r="CD412" i="93"/>
  <c r="CE412" i="93"/>
  <c r="CF412" i="93"/>
  <c r="CG412" i="93"/>
  <c r="CH412" i="93"/>
  <c r="CI412" i="93"/>
  <c r="CJ412" i="93"/>
  <c r="CK412" i="93"/>
  <c r="CL412" i="93"/>
  <c r="CM412" i="93"/>
  <c r="CN412" i="93"/>
  <c r="CO412" i="93"/>
  <c r="CP412" i="93"/>
  <c r="CQ412" i="93"/>
  <c r="CR412" i="93"/>
  <c r="CS412" i="93"/>
  <c r="CT412" i="93"/>
  <c r="CU412" i="93"/>
  <c r="CV412" i="93"/>
  <c r="CW412" i="93"/>
  <c r="J413" i="93"/>
  <c r="K413" i="93"/>
  <c r="L413" i="93"/>
  <c r="M413" i="93"/>
  <c r="N413" i="93"/>
  <c r="O413" i="93"/>
  <c r="P413" i="93"/>
  <c r="Q413" i="93"/>
  <c r="R413" i="93"/>
  <c r="S413" i="93"/>
  <c r="T413" i="93"/>
  <c r="U413" i="93"/>
  <c r="V413" i="93"/>
  <c r="W413" i="93"/>
  <c r="X413" i="93"/>
  <c r="Y413" i="93"/>
  <c r="Z413" i="93"/>
  <c r="AA413" i="93"/>
  <c r="AB413" i="93"/>
  <c r="AC413" i="93"/>
  <c r="AD413" i="93"/>
  <c r="AE413" i="93"/>
  <c r="AF413" i="93"/>
  <c r="AG413" i="93"/>
  <c r="AH413" i="93"/>
  <c r="AI413" i="93"/>
  <c r="AJ413" i="93"/>
  <c r="AK413" i="93"/>
  <c r="AL413" i="93"/>
  <c r="AM413" i="93"/>
  <c r="AN413" i="93"/>
  <c r="AO413" i="93"/>
  <c r="AP413" i="93"/>
  <c r="AQ413" i="93"/>
  <c r="AR413" i="93"/>
  <c r="AS413" i="93"/>
  <c r="AT413" i="93"/>
  <c r="AU413" i="93"/>
  <c r="AV413" i="93"/>
  <c r="AW413" i="93"/>
  <c r="AX413" i="93"/>
  <c r="AY413" i="93"/>
  <c r="AZ413" i="93"/>
  <c r="BA413" i="93"/>
  <c r="BB413" i="93"/>
  <c r="BC413" i="93"/>
  <c r="BD413" i="93"/>
  <c r="BE413" i="93"/>
  <c r="BF413" i="93"/>
  <c r="BG413" i="93"/>
  <c r="BH413" i="93"/>
  <c r="BI413" i="93"/>
  <c r="BJ413" i="93"/>
  <c r="BK413" i="93"/>
  <c r="BL413" i="93"/>
  <c r="BM413" i="93"/>
  <c r="BN413" i="93"/>
  <c r="BO413" i="93"/>
  <c r="BP413" i="93"/>
  <c r="BQ413" i="93"/>
  <c r="BR413" i="93"/>
  <c r="BS413" i="93"/>
  <c r="BT413" i="93"/>
  <c r="BU413" i="93"/>
  <c r="BV413" i="93"/>
  <c r="BW413" i="93"/>
  <c r="BX413" i="93"/>
  <c r="BY413" i="93"/>
  <c r="BZ413" i="93"/>
  <c r="CA413" i="93"/>
  <c r="CB413" i="93"/>
  <c r="CC413" i="93"/>
  <c r="CD413" i="93"/>
  <c r="CE413" i="93"/>
  <c r="CF413" i="93"/>
  <c r="CG413" i="93"/>
  <c r="CH413" i="93"/>
  <c r="CI413" i="93"/>
  <c r="CJ413" i="93"/>
  <c r="CK413" i="93"/>
  <c r="CL413" i="93"/>
  <c r="CM413" i="93"/>
  <c r="CN413" i="93"/>
  <c r="CO413" i="93"/>
  <c r="CP413" i="93"/>
  <c r="CQ413" i="93"/>
  <c r="CR413" i="93"/>
  <c r="CS413" i="93"/>
  <c r="CT413" i="93"/>
  <c r="CU413" i="93"/>
  <c r="CV413" i="93"/>
  <c r="CW413" i="93"/>
  <c r="J414" i="93"/>
  <c r="K414" i="93"/>
  <c r="L414" i="93"/>
  <c r="M414" i="93"/>
  <c r="N414" i="93"/>
  <c r="O414" i="93"/>
  <c r="P414" i="93"/>
  <c r="Q414" i="93"/>
  <c r="R414" i="93"/>
  <c r="S414" i="93"/>
  <c r="T414" i="93"/>
  <c r="U414" i="93"/>
  <c r="V414" i="93"/>
  <c r="W414" i="93"/>
  <c r="X414" i="93"/>
  <c r="Y414" i="93"/>
  <c r="Z414" i="93"/>
  <c r="AA414" i="93"/>
  <c r="AB414" i="93"/>
  <c r="AC414" i="93"/>
  <c r="AD414" i="93"/>
  <c r="AE414" i="93"/>
  <c r="AF414" i="93"/>
  <c r="AG414" i="93"/>
  <c r="AH414" i="93"/>
  <c r="AI414" i="93"/>
  <c r="AJ414" i="93"/>
  <c r="AK414" i="93"/>
  <c r="AL414" i="93"/>
  <c r="AM414" i="93"/>
  <c r="AN414" i="93"/>
  <c r="AO414" i="93"/>
  <c r="AP414" i="93"/>
  <c r="AQ414" i="93"/>
  <c r="AR414" i="93"/>
  <c r="AS414" i="93"/>
  <c r="AT414" i="93"/>
  <c r="AU414" i="93"/>
  <c r="AV414" i="93"/>
  <c r="AW414" i="93"/>
  <c r="AX414" i="93"/>
  <c r="AY414" i="93"/>
  <c r="AZ414" i="93"/>
  <c r="BA414" i="93"/>
  <c r="BB414" i="93"/>
  <c r="BC414" i="93"/>
  <c r="BD414" i="93"/>
  <c r="BE414" i="93"/>
  <c r="BF414" i="93"/>
  <c r="BG414" i="93"/>
  <c r="BH414" i="93"/>
  <c r="BI414" i="93"/>
  <c r="BJ414" i="93"/>
  <c r="BK414" i="93"/>
  <c r="BL414" i="93"/>
  <c r="BM414" i="93"/>
  <c r="BN414" i="93"/>
  <c r="BO414" i="93"/>
  <c r="BP414" i="93"/>
  <c r="BQ414" i="93"/>
  <c r="BR414" i="93"/>
  <c r="BS414" i="93"/>
  <c r="BT414" i="93"/>
  <c r="BU414" i="93"/>
  <c r="BV414" i="93"/>
  <c r="BW414" i="93"/>
  <c r="BX414" i="93"/>
  <c r="BY414" i="93"/>
  <c r="BZ414" i="93"/>
  <c r="CA414" i="93"/>
  <c r="CB414" i="93"/>
  <c r="CC414" i="93"/>
  <c r="CD414" i="93"/>
  <c r="CE414" i="93"/>
  <c r="CF414" i="93"/>
  <c r="CG414" i="93"/>
  <c r="CH414" i="93"/>
  <c r="CI414" i="93"/>
  <c r="CJ414" i="93"/>
  <c r="CK414" i="93"/>
  <c r="CL414" i="93"/>
  <c r="CM414" i="93"/>
  <c r="CN414" i="93"/>
  <c r="CO414" i="93"/>
  <c r="CP414" i="93"/>
  <c r="CQ414" i="93"/>
  <c r="CR414" i="93"/>
  <c r="CS414" i="93"/>
  <c r="CT414" i="93"/>
  <c r="CU414" i="93"/>
  <c r="CV414" i="93"/>
  <c r="CW414" i="93"/>
  <c r="J415" i="93"/>
  <c r="K415" i="93"/>
  <c r="L415" i="93"/>
  <c r="M415" i="93"/>
  <c r="N415" i="93"/>
  <c r="O415" i="93"/>
  <c r="P415" i="93"/>
  <c r="Q415" i="93"/>
  <c r="R415" i="93"/>
  <c r="S415" i="93"/>
  <c r="T415" i="93"/>
  <c r="U415" i="93"/>
  <c r="V415" i="93"/>
  <c r="W415" i="93"/>
  <c r="X415" i="93"/>
  <c r="Y415" i="93"/>
  <c r="Z415" i="93"/>
  <c r="AA415" i="93"/>
  <c r="AB415" i="93"/>
  <c r="AC415" i="93"/>
  <c r="AD415" i="93"/>
  <c r="AE415" i="93"/>
  <c r="AF415" i="93"/>
  <c r="AG415" i="93"/>
  <c r="AH415" i="93"/>
  <c r="AI415" i="93"/>
  <c r="AJ415" i="93"/>
  <c r="AK415" i="93"/>
  <c r="AL415" i="93"/>
  <c r="AM415" i="93"/>
  <c r="AN415" i="93"/>
  <c r="AO415" i="93"/>
  <c r="AP415" i="93"/>
  <c r="AQ415" i="93"/>
  <c r="AR415" i="93"/>
  <c r="AS415" i="93"/>
  <c r="AT415" i="93"/>
  <c r="AU415" i="93"/>
  <c r="AV415" i="93"/>
  <c r="AW415" i="93"/>
  <c r="AX415" i="93"/>
  <c r="AY415" i="93"/>
  <c r="AZ415" i="93"/>
  <c r="BA415" i="93"/>
  <c r="BB415" i="93"/>
  <c r="BC415" i="93"/>
  <c r="BD415" i="93"/>
  <c r="BE415" i="93"/>
  <c r="BF415" i="93"/>
  <c r="BG415" i="93"/>
  <c r="BH415" i="93"/>
  <c r="BI415" i="93"/>
  <c r="BJ415" i="93"/>
  <c r="BK415" i="93"/>
  <c r="BL415" i="93"/>
  <c r="BM415" i="93"/>
  <c r="BN415" i="93"/>
  <c r="BO415" i="93"/>
  <c r="BP415" i="93"/>
  <c r="BQ415" i="93"/>
  <c r="BR415" i="93"/>
  <c r="BS415" i="93"/>
  <c r="BT415" i="93"/>
  <c r="BU415" i="93"/>
  <c r="BV415" i="93"/>
  <c r="BW415" i="93"/>
  <c r="BX415" i="93"/>
  <c r="BY415" i="93"/>
  <c r="BZ415" i="93"/>
  <c r="CA415" i="93"/>
  <c r="CB415" i="93"/>
  <c r="CC415" i="93"/>
  <c r="CD415" i="93"/>
  <c r="CE415" i="93"/>
  <c r="CF415" i="93"/>
  <c r="CG415" i="93"/>
  <c r="CH415" i="93"/>
  <c r="CI415" i="93"/>
  <c r="CJ415" i="93"/>
  <c r="CK415" i="93"/>
  <c r="CL415" i="93"/>
  <c r="CM415" i="93"/>
  <c r="CN415" i="93"/>
  <c r="CO415" i="93"/>
  <c r="CP415" i="93"/>
  <c r="CQ415" i="93"/>
  <c r="CR415" i="93"/>
  <c r="CS415" i="93"/>
  <c r="CT415" i="93"/>
  <c r="CU415" i="93"/>
  <c r="CV415" i="93"/>
  <c r="CW415" i="93"/>
  <c r="J416" i="93"/>
  <c r="K416" i="93"/>
  <c r="L416" i="93"/>
  <c r="M416" i="93"/>
  <c r="N416" i="93"/>
  <c r="O416" i="93"/>
  <c r="P416" i="93"/>
  <c r="Q416" i="93"/>
  <c r="R416" i="93"/>
  <c r="S416" i="93"/>
  <c r="T416" i="93"/>
  <c r="U416" i="93"/>
  <c r="V416" i="93"/>
  <c r="W416" i="93"/>
  <c r="X416" i="93"/>
  <c r="Y416" i="93"/>
  <c r="Z416" i="93"/>
  <c r="AA416" i="93"/>
  <c r="AB416" i="93"/>
  <c r="AC416" i="93"/>
  <c r="AD416" i="93"/>
  <c r="AE416" i="93"/>
  <c r="AF416" i="93"/>
  <c r="AG416" i="93"/>
  <c r="AH416" i="93"/>
  <c r="AI416" i="93"/>
  <c r="AJ416" i="93"/>
  <c r="AK416" i="93"/>
  <c r="AL416" i="93"/>
  <c r="AM416" i="93"/>
  <c r="AN416" i="93"/>
  <c r="AO416" i="93"/>
  <c r="AP416" i="93"/>
  <c r="AQ416" i="93"/>
  <c r="AR416" i="93"/>
  <c r="AS416" i="93"/>
  <c r="AT416" i="93"/>
  <c r="AU416" i="93"/>
  <c r="AV416" i="93"/>
  <c r="AW416" i="93"/>
  <c r="AX416" i="93"/>
  <c r="AY416" i="93"/>
  <c r="AZ416" i="93"/>
  <c r="BA416" i="93"/>
  <c r="BB416" i="93"/>
  <c r="BC416" i="93"/>
  <c r="BD416" i="93"/>
  <c r="BE416" i="93"/>
  <c r="BF416" i="93"/>
  <c r="BG416" i="93"/>
  <c r="BH416" i="93"/>
  <c r="BI416" i="93"/>
  <c r="BJ416" i="93"/>
  <c r="BK416" i="93"/>
  <c r="BL416" i="93"/>
  <c r="BM416" i="93"/>
  <c r="BN416" i="93"/>
  <c r="BO416" i="93"/>
  <c r="BP416" i="93"/>
  <c r="BQ416" i="93"/>
  <c r="BR416" i="93"/>
  <c r="BS416" i="93"/>
  <c r="BT416" i="93"/>
  <c r="BU416" i="93"/>
  <c r="BV416" i="93"/>
  <c r="BW416" i="93"/>
  <c r="BX416" i="93"/>
  <c r="BY416" i="93"/>
  <c r="BZ416" i="93"/>
  <c r="CA416" i="93"/>
  <c r="CB416" i="93"/>
  <c r="CC416" i="93"/>
  <c r="CD416" i="93"/>
  <c r="CE416" i="93"/>
  <c r="CF416" i="93"/>
  <c r="CG416" i="93"/>
  <c r="CH416" i="93"/>
  <c r="CI416" i="93"/>
  <c r="CJ416" i="93"/>
  <c r="CK416" i="93"/>
  <c r="CL416" i="93"/>
  <c r="CM416" i="93"/>
  <c r="CN416" i="93"/>
  <c r="CO416" i="93"/>
  <c r="CP416" i="93"/>
  <c r="CQ416" i="93"/>
  <c r="CR416" i="93"/>
  <c r="CS416" i="93"/>
  <c r="CT416" i="93"/>
  <c r="CU416" i="93"/>
  <c r="CV416" i="93"/>
  <c r="CW416" i="93"/>
  <c r="J417" i="93"/>
  <c r="K417" i="93"/>
  <c r="L417" i="93"/>
  <c r="M417" i="93"/>
  <c r="N417" i="93"/>
  <c r="O417" i="93"/>
  <c r="P417" i="93"/>
  <c r="Q417" i="93"/>
  <c r="R417" i="93"/>
  <c r="S417" i="93"/>
  <c r="T417" i="93"/>
  <c r="U417" i="93"/>
  <c r="V417" i="93"/>
  <c r="W417" i="93"/>
  <c r="X417" i="93"/>
  <c r="Y417" i="93"/>
  <c r="Z417" i="93"/>
  <c r="AA417" i="93"/>
  <c r="AB417" i="93"/>
  <c r="AC417" i="93"/>
  <c r="AD417" i="93"/>
  <c r="AE417" i="93"/>
  <c r="AF417" i="93"/>
  <c r="AG417" i="93"/>
  <c r="AH417" i="93"/>
  <c r="AI417" i="93"/>
  <c r="AJ417" i="93"/>
  <c r="AK417" i="93"/>
  <c r="AL417" i="93"/>
  <c r="AM417" i="93"/>
  <c r="AN417" i="93"/>
  <c r="AO417" i="93"/>
  <c r="AP417" i="93"/>
  <c r="AQ417" i="93"/>
  <c r="AR417" i="93"/>
  <c r="AS417" i="93"/>
  <c r="AT417" i="93"/>
  <c r="AU417" i="93"/>
  <c r="AV417" i="93"/>
  <c r="AW417" i="93"/>
  <c r="AX417" i="93"/>
  <c r="AY417" i="93"/>
  <c r="AZ417" i="93"/>
  <c r="BA417" i="93"/>
  <c r="BB417" i="93"/>
  <c r="BC417" i="93"/>
  <c r="BD417" i="93"/>
  <c r="BE417" i="93"/>
  <c r="BF417" i="93"/>
  <c r="BG417" i="93"/>
  <c r="BH417" i="93"/>
  <c r="BI417" i="93"/>
  <c r="BJ417" i="93"/>
  <c r="BK417" i="93"/>
  <c r="BL417" i="93"/>
  <c r="BM417" i="93"/>
  <c r="BN417" i="93"/>
  <c r="BO417" i="93"/>
  <c r="BP417" i="93"/>
  <c r="BQ417" i="93"/>
  <c r="BR417" i="93"/>
  <c r="BS417" i="93"/>
  <c r="BT417" i="93"/>
  <c r="BU417" i="93"/>
  <c r="BV417" i="93"/>
  <c r="BW417" i="93"/>
  <c r="BX417" i="93"/>
  <c r="BY417" i="93"/>
  <c r="BZ417" i="93"/>
  <c r="CA417" i="93"/>
  <c r="CB417" i="93"/>
  <c r="CC417" i="93"/>
  <c r="CD417" i="93"/>
  <c r="CE417" i="93"/>
  <c r="CF417" i="93"/>
  <c r="CG417" i="93"/>
  <c r="CH417" i="93"/>
  <c r="CI417" i="93"/>
  <c r="CJ417" i="93"/>
  <c r="CK417" i="93"/>
  <c r="CL417" i="93"/>
  <c r="CM417" i="93"/>
  <c r="CN417" i="93"/>
  <c r="CO417" i="93"/>
  <c r="CP417" i="93"/>
  <c r="CQ417" i="93"/>
  <c r="CR417" i="93"/>
  <c r="CS417" i="93"/>
  <c r="CT417" i="93"/>
  <c r="CU417" i="93"/>
  <c r="CV417" i="93"/>
  <c r="CW417" i="93"/>
  <c r="J418" i="93"/>
  <c r="K418" i="93"/>
  <c r="L418" i="93"/>
  <c r="M418" i="93"/>
  <c r="N418" i="93"/>
  <c r="O418" i="93"/>
  <c r="P418" i="93"/>
  <c r="Q418" i="93"/>
  <c r="R418" i="93"/>
  <c r="S418" i="93"/>
  <c r="T418" i="93"/>
  <c r="U418" i="93"/>
  <c r="V418" i="93"/>
  <c r="W418" i="93"/>
  <c r="X418" i="93"/>
  <c r="Y418" i="93"/>
  <c r="Z418" i="93"/>
  <c r="AA418" i="93"/>
  <c r="AB418" i="93"/>
  <c r="AC418" i="93"/>
  <c r="AD418" i="93"/>
  <c r="AE418" i="93"/>
  <c r="AF418" i="93"/>
  <c r="AG418" i="93"/>
  <c r="AH418" i="93"/>
  <c r="AI418" i="93"/>
  <c r="AJ418" i="93"/>
  <c r="AK418" i="93"/>
  <c r="AL418" i="93"/>
  <c r="AM418" i="93"/>
  <c r="AN418" i="93"/>
  <c r="AO418" i="93"/>
  <c r="AP418" i="93"/>
  <c r="AQ418" i="93"/>
  <c r="AR418" i="93"/>
  <c r="AS418" i="93"/>
  <c r="AT418" i="93"/>
  <c r="AU418" i="93"/>
  <c r="AV418" i="93"/>
  <c r="AW418" i="93"/>
  <c r="AX418" i="93"/>
  <c r="AY418" i="93"/>
  <c r="AZ418" i="93"/>
  <c r="BA418" i="93"/>
  <c r="BB418" i="93"/>
  <c r="BC418" i="93"/>
  <c r="BD418" i="93"/>
  <c r="BE418" i="93"/>
  <c r="BF418" i="93"/>
  <c r="BG418" i="93"/>
  <c r="BH418" i="93"/>
  <c r="BI418" i="93"/>
  <c r="BJ418" i="93"/>
  <c r="BK418" i="93"/>
  <c r="BL418" i="93"/>
  <c r="BM418" i="93"/>
  <c r="BN418" i="93"/>
  <c r="BO418" i="93"/>
  <c r="BP418" i="93"/>
  <c r="BQ418" i="93"/>
  <c r="BR418" i="93"/>
  <c r="BS418" i="93"/>
  <c r="BT418" i="93"/>
  <c r="BU418" i="93"/>
  <c r="BV418" i="93"/>
  <c r="BW418" i="93"/>
  <c r="BX418" i="93"/>
  <c r="BY418" i="93"/>
  <c r="BZ418" i="93"/>
  <c r="CA418" i="93"/>
  <c r="CB418" i="93"/>
  <c r="CC418" i="93"/>
  <c r="CD418" i="93"/>
  <c r="CE418" i="93"/>
  <c r="CF418" i="93"/>
  <c r="CG418" i="93"/>
  <c r="CH418" i="93"/>
  <c r="CI418" i="93"/>
  <c r="CJ418" i="93"/>
  <c r="CK418" i="93"/>
  <c r="CL418" i="93"/>
  <c r="CM418" i="93"/>
  <c r="CN418" i="93"/>
  <c r="CO418" i="93"/>
  <c r="CP418" i="93"/>
  <c r="CQ418" i="93"/>
  <c r="CR418" i="93"/>
  <c r="CS418" i="93"/>
  <c r="CT418" i="93"/>
  <c r="CU418" i="93"/>
  <c r="CV418" i="93"/>
  <c r="CW418" i="93"/>
  <c r="J419" i="93"/>
  <c r="K419" i="93"/>
  <c r="L419" i="93"/>
  <c r="M419" i="93"/>
  <c r="N419" i="93"/>
  <c r="O419" i="93"/>
  <c r="P419" i="93"/>
  <c r="Q419" i="93"/>
  <c r="R419" i="93"/>
  <c r="S419" i="93"/>
  <c r="T419" i="93"/>
  <c r="U419" i="93"/>
  <c r="V419" i="93"/>
  <c r="W419" i="93"/>
  <c r="X419" i="93"/>
  <c r="Y419" i="93"/>
  <c r="Z419" i="93"/>
  <c r="AA419" i="93"/>
  <c r="AB419" i="93"/>
  <c r="AC419" i="93"/>
  <c r="AD419" i="93"/>
  <c r="AE419" i="93"/>
  <c r="AF419" i="93"/>
  <c r="AG419" i="93"/>
  <c r="AH419" i="93"/>
  <c r="AI419" i="93"/>
  <c r="AJ419" i="93"/>
  <c r="AK419" i="93"/>
  <c r="AL419" i="93"/>
  <c r="AM419" i="93"/>
  <c r="AN419" i="93"/>
  <c r="AO419" i="93"/>
  <c r="AP419" i="93"/>
  <c r="AQ419" i="93"/>
  <c r="AR419" i="93"/>
  <c r="AS419" i="93"/>
  <c r="AT419" i="93"/>
  <c r="AU419" i="93"/>
  <c r="AV419" i="93"/>
  <c r="AW419" i="93"/>
  <c r="AX419" i="93"/>
  <c r="AY419" i="93"/>
  <c r="AZ419" i="93"/>
  <c r="BA419" i="93"/>
  <c r="BB419" i="93"/>
  <c r="BC419" i="93"/>
  <c r="BD419" i="93"/>
  <c r="BE419" i="93"/>
  <c r="BF419" i="93"/>
  <c r="BG419" i="93"/>
  <c r="BH419" i="93"/>
  <c r="BI419" i="93"/>
  <c r="BJ419" i="93"/>
  <c r="BK419" i="93"/>
  <c r="BL419" i="93"/>
  <c r="BM419" i="93"/>
  <c r="BN419" i="93"/>
  <c r="BO419" i="93"/>
  <c r="BP419" i="93"/>
  <c r="BQ419" i="93"/>
  <c r="BR419" i="93"/>
  <c r="BS419" i="93"/>
  <c r="BT419" i="93"/>
  <c r="BU419" i="93"/>
  <c r="BV419" i="93"/>
  <c r="BW419" i="93"/>
  <c r="BX419" i="93"/>
  <c r="BY419" i="93"/>
  <c r="BZ419" i="93"/>
  <c r="CA419" i="93"/>
  <c r="CB419" i="93"/>
  <c r="CC419" i="93"/>
  <c r="CD419" i="93"/>
  <c r="CE419" i="93"/>
  <c r="CF419" i="93"/>
  <c r="CG419" i="93"/>
  <c r="CH419" i="93"/>
  <c r="CI419" i="93"/>
  <c r="CJ419" i="93"/>
  <c r="CK419" i="93"/>
  <c r="CL419" i="93"/>
  <c r="CM419" i="93"/>
  <c r="CN419" i="93"/>
  <c r="CO419" i="93"/>
  <c r="CP419" i="93"/>
  <c r="CQ419" i="93"/>
  <c r="CR419" i="93"/>
  <c r="CS419" i="93"/>
  <c r="CT419" i="93"/>
  <c r="CU419" i="93"/>
  <c r="CV419" i="93"/>
  <c r="CW419" i="93"/>
  <c r="J420" i="93"/>
  <c r="K420" i="93"/>
  <c r="L420" i="93"/>
  <c r="M420" i="93"/>
  <c r="N420" i="93"/>
  <c r="O420" i="93"/>
  <c r="P420" i="93"/>
  <c r="Q420" i="93"/>
  <c r="R420" i="93"/>
  <c r="S420" i="93"/>
  <c r="T420" i="93"/>
  <c r="U420" i="93"/>
  <c r="V420" i="93"/>
  <c r="W420" i="93"/>
  <c r="X420" i="93"/>
  <c r="Y420" i="93"/>
  <c r="Z420" i="93"/>
  <c r="AA420" i="93"/>
  <c r="AB420" i="93"/>
  <c r="AC420" i="93"/>
  <c r="AD420" i="93"/>
  <c r="AE420" i="93"/>
  <c r="AF420" i="93"/>
  <c r="AG420" i="93"/>
  <c r="AH420" i="93"/>
  <c r="AI420" i="93"/>
  <c r="AJ420" i="93"/>
  <c r="AK420" i="93"/>
  <c r="AL420" i="93"/>
  <c r="AM420" i="93"/>
  <c r="AN420" i="93"/>
  <c r="AO420" i="93"/>
  <c r="AP420" i="93"/>
  <c r="AQ420" i="93"/>
  <c r="AR420" i="93"/>
  <c r="AS420" i="93"/>
  <c r="AT420" i="93"/>
  <c r="AU420" i="93"/>
  <c r="AV420" i="93"/>
  <c r="AW420" i="93"/>
  <c r="AX420" i="93"/>
  <c r="AY420" i="93"/>
  <c r="AZ420" i="93"/>
  <c r="BA420" i="93"/>
  <c r="BB420" i="93"/>
  <c r="BC420" i="93"/>
  <c r="BD420" i="93"/>
  <c r="BE420" i="93"/>
  <c r="BF420" i="93"/>
  <c r="BG420" i="93"/>
  <c r="BH420" i="93"/>
  <c r="BI420" i="93"/>
  <c r="BJ420" i="93"/>
  <c r="BK420" i="93"/>
  <c r="BL420" i="93"/>
  <c r="BM420" i="93"/>
  <c r="BN420" i="93"/>
  <c r="BO420" i="93"/>
  <c r="BP420" i="93"/>
  <c r="BQ420" i="93"/>
  <c r="BR420" i="93"/>
  <c r="BS420" i="93"/>
  <c r="BT420" i="93"/>
  <c r="BU420" i="93"/>
  <c r="BV420" i="93"/>
  <c r="BW420" i="93"/>
  <c r="BX420" i="93"/>
  <c r="BY420" i="93"/>
  <c r="BZ420" i="93"/>
  <c r="CA420" i="93"/>
  <c r="CB420" i="93"/>
  <c r="CC420" i="93"/>
  <c r="CD420" i="93"/>
  <c r="CE420" i="93"/>
  <c r="CF420" i="93"/>
  <c r="CG420" i="93"/>
  <c r="CH420" i="93"/>
  <c r="CI420" i="93"/>
  <c r="CJ420" i="93"/>
  <c r="CK420" i="93"/>
  <c r="CL420" i="93"/>
  <c r="CM420" i="93"/>
  <c r="CN420" i="93"/>
  <c r="CO420" i="93"/>
  <c r="CP420" i="93"/>
  <c r="CQ420" i="93"/>
  <c r="CR420" i="93"/>
  <c r="CS420" i="93"/>
  <c r="CT420" i="93"/>
  <c r="CU420" i="93"/>
  <c r="CV420" i="93"/>
  <c r="CW420" i="93"/>
  <c r="J421" i="93"/>
  <c r="K421" i="93"/>
  <c r="L421" i="93"/>
  <c r="M421" i="93"/>
  <c r="N421" i="93"/>
  <c r="O421" i="93"/>
  <c r="P421" i="93"/>
  <c r="Q421" i="93"/>
  <c r="R421" i="93"/>
  <c r="S421" i="93"/>
  <c r="T421" i="93"/>
  <c r="U421" i="93"/>
  <c r="V421" i="93"/>
  <c r="W421" i="93"/>
  <c r="X421" i="93"/>
  <c r="Y421" i="93"/>
  <c r="Z421" i="93"/>
  <c r="AA421" i="93"/>
  <c r="AB421" i="93"/>
  <c r="AC421" i="93"/>
  <c r="AD421" i="93"/>
  <c r="AE421" i="93"/>
  <c r="AF421" i="93"/>
  <c r="AG421" i="93"/>
  <c r="AH421" i="93"/>
  <c r="AI421" i="93"/>
  <c r="AJ421" i="93"/>
  <c r="AK421" i="93"/>
  <c r="AL421" i="93"/>
  <c r="AM421" i="93"/>
  <c r="AN421" i="93"/>
  <c r="AO421" i="93"/>
  <c r="AP421" i="93"/>
  <c r="AQ421" i="93"/>
  <c r="AR421" i="93"/>
  <c r="AS421" i="93"/>
  <c r="AT421" i="93"/>
  <c r="AU421" i="93"/>
  <c r="AV421" i="93"/>
  <c r="AW421" i="93"/>
  <c r="AX421" i="93"/>
  <c r="AY421" i="93"/>
  <c r="AZ421" i="93"/>
  <c r="BA421" i="93"/>
  <c r="BB421" i="93"/>
  <c r="BC421" i="93"/>
  <c r="BD421" i="93"/>
  <c r="BE421" i="93"/>
  <c r="BF421" i="93"/>
  <c r="BG421" i="93"/>
  <c r="BH421" i="93"/>
  <c r="BI421" i="93"/>
  <c r="BJ421" i="93"/>
  <c r="BK421" i="93"/>
  <c r="BL421" i="93"/>
  <c r="BM421" i="93"/>
  <c r="BN421" i="93"/>
  <c r="BO421" i="93"/>
  <c r="BP421" i="93"/>
  <c r="BQ421" i="93"/>
  <c r="BR421" i="93"/>
  <c r="BS421" i="93"/>
  <c r="BT421" i="93"/>
  <c r="BU421" i="93"/>
  <c r="BV421" i="93"/>
  <c r="BW421" i="93"/>
  <c r="BX421" i="93"/>
  <c r="BY421" i="93"/>
  <c r="BZ421" i="93"/>
  <c r="CA421" i="93"/>
  <c r="CB421" i="93"/>
  <c r="CC421" i="93"/>
  <c r="CD421" i="93"/>
  <c r="CE421" i="93"/>
  <c r="CF421" i="93"/>
  <c r="CG421" i="93"/>
  <c r="CH421" i="93"/>
  <c r="CI421" i="93"/>
  <c r="CJ421" i="93"/>
  <c r="CK421" i="93"/>
  <c r="CL421" i="93"/>
  <c r="CM421" i="93"/>
  <c r="CN421" i="93"/>
  <c r="CO421" i="93"/>
  <c r="CP421" i="93"/>
  <c r="CQ421" i="93"/>
  <c r="CR421" i="93"/>
  <c r="CS421" i="93"/>
  <c r="CT421" i="93"/>
  <c r="CU421" i="93"/>
  <c r="CV421" i="93"/>
  <c r="CW421" i="93"/>
  <c r="J422" i="93"/>
  <c r="K422" i="93"/>
  <c r="L422" i="93"/>
  <c r="M422" i="93"/>
  <c r="N422" i="93"/>
  <c r="O422" i="93"/>
  <c r="P422" i="93"/>
  <c r="Q422" i="93"/>
  <c r="R422" i="93"/>
  <c r="S422" i="93"/>
  <c r="T422" i="93"/>
  <c r="U422" i="93"/>
  <c r="V422" i="93"/>
  <c r="W422" i="93"/>
  <c r="X422" i="93"/>
  <c r="Y422" i="93"/>
  <c r="Z422" i="93"/>
  <c r="AA422" i="93"/>
  <c r="AB422" i="93"/>
  <c r="AC422" i="93"/>
  <c r="AD422" i="93"/>
  <c r="AE422" i="93"/>
  <c r="AF422" i="93"/>
  <c r="AG422" i="93"/>
  <c r="AH422" i="93"/>
  <c r="AI422" i="93"/>
  <c r="AJ422" i="93"/>
  <c r="AK422" i="93"/>
  <c r="AL422" i="93"/>
  <c r="AM422" i="93"/>
  <c r="AN422" i="93"/>
  <c r="AO422" i="93"/>
  <c r="AP422" i="93"/>
  <c r="AQ422" i="93"/>
  <c r="AR422" i="93"/>
  <c r="AS422" i="93"/>
  <c r="AT422" i="93"/>
  <c r="AU422" i="93"/>
  <c r="AV422" i="93"/>
  <c r="AW422" i="93"/>
  <c r="AX422" i="93"/>
  <c r="AY422" i="93"/>
  <c r="AZ422" i="93"/>
  <c r="BA422" i="93"/>
  <c r="BB422" i="93"/>
  <c r="BC422" i="93"/>
  <c r="BD422" i="93"/>
  <c r="BE422" i="93"/>
  <c r="BF422" i="93"/>
  <c r="BG422" i="93"/>
  <c r="BH422" i="93"/>
  <c r="BI422" i="93"/>
  <c r="BJ422" i="93"/>
  <c r="BK422" i="93"/>
  <c r="BL422" i="93"/>
  <c r="BM422" i="93"/>
  <c r="BN422" i="93"/>
  <c r="BO422" i="93"/>
  <c r="BP422" i="93"/>
  <c r="BQ422" i="93"/>
  <c r="BR422" i="93"/>
  <c r="BS422" i="93"/>
  <c r="BT422" i="93"/>
  <c r="BU422" i="93"/>
  <c r="BV422" i="93"/>
  <c r="BW422" i="93"/>
  <c r="BX422" i="93"/>
  <c r="BY422" i="93"/>
  <c r="BZ422" i="93"/>
  <c r="CA422" i="93"/>
  <c r="CB422" i="93"/>
  <c r="CC422" i="93"/>
  <c r="CD422" i="93"/>
  <c r="CE422" i="93"/>
  <c r="CF422" i="93"/>
  <c r="CG422" i="93"/>
  <c r="CH422" i="93"/>
  <c r="CI422" i="93"/>
  <c r="CJ422" i="93"/>
  <c r="CK422" i="93"/>
  <c r="CL422" i="93"/>
  <c r="CM422" i="93"/>
  <c r="CN422" i="93"/>
  <c r="CO422" i="93"/>
  <c r="CP422" i="93"/>
  <c r="CQ422" i="93"/>
  <c r="CR422" i="93"/>
  <c r="CS422" i="93"/>
  <c r="CT422" i="93"/>
  <c r="CU422" i="93"/>
  <c r="CV422" i="93"/>
  <c r="CW422" i="93"/>
  <c r="J423" i="93"/>
  <c r="K423" i="93"/>
  <c r="L423" i="93"/>
  <c r="M423" i="93"/>
  <c r="N423" i="93"/>
  <c r="O423" i="93"/>
  <c r="P423" i="93"/>
  <c r="Q423" i="93"/>
  <c r="R423" i="93"/>
  <c r="S423" i="93"/>
  <c r="T423" i="93"/>
  <c r="U423" i="93"/>
  <c r="V423" i="93"/>
  <c r="W423" i="93"/>
  <c r="X423" i="93"/>
  <c r="Y423" i="93"/>
  <c r="Z423" i="93"/>
  <c r="AA423" i="93"/>
  <c r="AB423" i="93"/>
  <c r="AC423" i="93"/>
  <c r="AD423" i="93"/>
  <c r="AE423" i="93"/>
  <c r="AF423" i="93"/>
  <c r="AG423" i="93"/>
  <c r="AH423" i="93"/>
  <c r="AI423" i="93"/>
  <c r="AJ423" i="93"/>
  <c r="AK423" i="93"/>
  <c r="AL423" i="93"/>
  <c r="AM423" i="93"/>
  <c r="AN423" i="93"/>
  <c r="AO423" i="93"/>
  <c r="AP423" i="93"/>
  <c r="AQ423" i="93"/>
  <c r="AR423" i="93"/>
  <c r="AS423" i="93"/>
  <c r="AT423" i="93"/>
  <c r="AU423" i="93"/>
  <c r="AV423" i="93"/>
  <c r="AW423" i="93"/>
  <c r="AX423" i="93"/>
  <c r="AY423" i="93"/>
  <c r="AZ423" i="93"/>
  <c r="BA423" i="93"/>
  <c r="BB423" i="93"/>
  <c r="BC423" i="93"/>
  <c r="BD423" i="93"/>
  <c r="BE423" i="93"/>
  <c r="BF423" i="93"/>
  <c r="BG423" i="93"/>
  <c r="BH423" i="93"/>
  <c r="BI423" i="93"/>
  <c r="BJ423" i="93"/>
  <c r="BK423" i="93"/>
  <c r="BL423" i="93"/>
  <c r="BM423" i="93"/>
  <c r="BN423" i="93"/>
  <c r="BO423" i="93"/>
  <c r="BP423" i="93"/>
  <c r="BQ423" i="93"/>
  <c r="BR423" i="93"/>
  <c r="BS423" i="93"/>
  <c r="BT423" i="93"/>
  <c r="BU423" i="93"/>
  <c r="BV423" i="93"/>
  <c r="BW423" i="93"/>
  <c r="BX423" i="93"/>
  <c r="BY423" i="93"/>
  <c r="BZ423" i="93"/>
  <c r="CA423" i="93"/>
  <c r="CB423" i="93"/>
  <c r="CC423" i="93"/>
  <c r="CD423" i="93"/>
  <c r="CE423" i="93"/>
  <c r="CF423" i="93"/>
  <c r="CG423" i="93"/>
  <c r="CH423" i="93"/>
  <c r="CI423" i="93"/>
  <c r="CJ423" i="93"/>
  <c r="CK423" i="93"/>
  <c r="CL423" i="93"/>
  <c r="CM423" i="93"/>
  <c r="CN423" i="93"/>
  <c r="CO423" i="93"/>
  <c r="CP423" i="93"/>
  <c r="CQ423" i="93"/>
  <c r="CR423" i="93"/>
  <c r="CS423" i="93"/>
  <c r="CT423" i="93"/>
  <c r="CU423" i="93"/>
  <c r="CV423" i="93"/>
  <c r="CW423" i="93"/>
  <c r="J424" i="93"/>
  <c r="K424" i="93"/>
  <c r="L424" i="93"/>
  <c r="M424" i="93"/>
  <c r="N424" i="93"/>
  <c r="O424" i="93"/>
  <c r="P424" i="93"/>
  <c r="Q424" i="93"/>
  <c r="R424" i="93"/>
  <c r="S424" i="93"/>
  <c r="T424" i="93"/>
  <c r="U424" i="93"/>
  <c r="V424" i="93"/>
  <c r="W424" i="93"/>
  <c r="X424" i="93"/>
  <c r="Y424" i="93"/>
  <c r="Z424" i="93"/>
  <c r="AA424" i="93"/>
  <c r="AB424" i="93"/>
  <c r="AC424" i="93"/>
  <c r="AD424" i="93"/>
  <c r="AE424" i="93"/>
  <c r="AF424" i="93"/>
  <c r="AG424" i="93"/>
  <c r="AH424" i="93"/>
  <c r="AI424" i="93"/>
  <c r="AJ424" i="93"/>
  <c r="AK424" i="93"/>
  <c r="AL424" i="93"/>
  <c r="AM424" i="93"/>
  <c r="AN424" i="93"/>
  <c r="AO424" i="93"/>
  <c r="AP424" i="93"/>
  <c r="AQ424" i="93"/>
  <c r="AR424" i="93"/>
  <c r="AS424" i="93"/>
  <c r="AT424" i="93"/>
  <c r="AU424" i="93"/>
  <c r="AV424" i="93"/>
  <c r="AW424" i="93"/>
  <c r="AX424" i="93"/>
  <c r="AY424" i="93"/>
  <c r="AZ424" i="93"/>
  <c r="BA424" i="93"/>
  <c r="BB424" i="93"/>
  <c r="BC424" i="93"/>
  <c r="BD424" i="93"/>
  <c r="BE424" i="93"/>
  <c r="BF424" i="93"/>
  <c r="BG424" i="93"/>
  <c r="BH424" i="93"/>
  <c r="BI424" i="93"/>
  <c r="BJ424" i="93"/>
  <c r="BK424" i="93"/>
  <c r="BL424" i="93"/>
  <c r="BM424" i="93"/>
  <c r="BN424" i="93"/>
  <c r="BO424" i="93"/>
  <c r="BP424" i="93"/>
  <c r="BQ424" i="93"/>
  <c r="BR424" i="93"/>
  <c r="BS424" i="93"/>
  <c r="BT424" i="93"/>
  <c r="BU424" i="93"/>
  <c r="BV424" i="93"/>
  <c r="BW424" i="93"/>
  <c r="BX424" i="93"/>
  <c r="BY424" i="93"/>
  <c r="BZ424" i="93"/>
  <c r="CA424" i="93"/>
  <c r="CB424" i="93"/>
  <c r="CC424" i="93"/>
  <c r="CD424" i="93"/>
  <c r="CE424" i="93"/>
  <c r="CF424" i="93"/>
  <c r="CG424" i="93"/>
  <c r="CH424" i="93"/>
  <c r="CI424" i="93"/>
  <c r="CJ424" i="93"/>
  <c r="CK424" i="93"/>
  <c r="CL424" i="93"/>
  <c r="CM424" i="93"/>
  <c r="CN424" i="93"/>
  <c r="CO424" i="93"/>
  <c r="CP424" i="93"/>
  <c r="CQ424" i="93"/>
  <c r="CR424" i="93"/>
  <c r="CS424" i="93"/>
  <c r="CT424" i="93"/>
  <c r="CU424" i="93"/>
  <c r="CV424" i="93"/>
  <c r="CW424" i="93"/>
  <c r="J425" i="93"/>
  <c r="K425" i="93"/>
  <c r="L425" i="93"/>
  <c r="M425" i="93"/>
  <c r="N425" i="93"/>
  <c r="O425" i="93"/>
  <c r="P425" i="93"/>
  <c r="Q425" i="93"/>
  <c r="R425" i="93"/>
  <c r="S425" i="93"/>
  <c r="T425" i="93"/>
  <c r="U425" i="93"/>
  <c r="V425" i="93"/>
  <c r="W425" i="93"/>
  <c r="X425" i="93"/>
  <c r="Y425" i="93"/>
  <c r="Z425" i="93"/>
  <c r="AA425" i="93"/>
  <c r="AB425" i="93"/>
  <c r="AC425" i="93"/>
  <c r="AD425" i="93"/>
  <c r="AE425" i="93"/>
  <c r="AF425" i="93"/>
  <c r="AG425" i="93"/>
  <c r="AH425" i="93"/>
  <c r="AI425" i="93"/>
  <c r="AJ425" i="93"/>
  <c r="AK425" i="93"/>
  <c r="AL425" i="93"/>
  <c r="AM425" i="93"/>
  <c r="AN425" i="93"/>
  <c r="AO425" i="93"/>
  <c r="AP425" i="93"/>
  <c r="AQ425" i="93"/>
  <c r="AR425" i="93"/>
  <c r="AS425" i="93"/>
  <c r="AT425" i="93"/>
  <c r="AU425" i="93"/>
  <c r="AV425" i="93"/>
  <c r="AW425" i="93"/>
  <c r="AX425" i="93"/>
  <c r="AY425" i="93"/>
  <c r="AZ425" i="93"/>
  <c r="BA425" i="93"/>
  <c r="BB425" i="93"/>
  <c r="BC425" i="93"/>
  <c r="BD425" i="93"/>
  <c r="BE425" i="93"/>
  <c r="BF425" i="93"/>
  <c r="BG425" i="93"/>
  <c r="BH425" i="93"/>
  <c r="BI425" i="93"/>
  <c r="BJ425" i="93"/>
  <c r="BK425" i="93"/>
  <c r="BL425" i="93"/>
  <c r="BM425" i="93"/>
  <c r="BN425" i="93"/>
  <c r="BO425" i="93"/>
  <c r="BP425" i="93"/>
  <c r="BQ425" i="93"/>
  <c r="BR425" i="93"/>
  <c r="BS425" i="93"/>
  <c r="BT425" i="93"/>
  <c r="BU425" i="93"/>
  <c r="BV425" i="93"/>
  <c r="BW425" i="93"/>
  <c r="BX425" i="93"/>
  <c r="BY425" i="93"/>
  <c r="BZ425" i="93"/>
  <c r="CA425" i="93"/>
  <c r="CB425" i="93"/>
  <c r="CC425" i="93"/>
  <c r="CD425" i="93"/>
  <c r="CE425" i="93"/>
  <c r="CF425" i="93"/>
  <c r="CG425" i="93"/>
  <c r="CH425" i="93"/>
  <c r="CI425" i="93"/>
  <c r="CJ425" i="93"/>
  <c r="CK425" i="93"/>
  <c r="CL425" i="93"/>
  <c r="CM425" i="93"/>
  <c r="CN425" i="93"/>
  <c r="CO425" i="93"/>
  <c r="CP425" i="93"/>
  <c r="CQ425" i="93"/>
  <c r="CR425" i="93"/>
  <c r="CS425" i="93"/>
  <c r="CT425" i="93"/>
  <c r="CU425" i="93"/>
  <c r="CV425" i="93"/>
  <c r="CW425" i="93"/>
  <c r="J426" i="93"/>
  <c r="K426" i="93"/>
  <c r="L426" i="93"/>
  <c r="M426" i="93"/>
  <c r="N426" i="93"/>
  <c r="O426" i="93"/>
  <c r="P426" i="93"/>
  <c r="Q426" i="93"/>
  <c r="R426" i="93"/>
  <c r="S426" i="93"/>
  <c r="T426" i="93"/>
  <c r="U426" i="93"/>
  <c r="V426" i="93"/>
  <c r="W426" i="93"/>
  <c r="X426" i="93"/>
  <c r="Y426" i="93"/>
  <c r="Z426" i="93"/>
  <c r="AA426" i="93"/>
  <c r="AB426" i="93"/>
  <c r="AC426" i="93"/>
  <c r="AD426" i="93"/>
  <c r="AE426" i="93"/>
  <c r="AF426" i="93"/>
  <c r="AG426" i="93"/>
  <c r="AH426" i="93"/>
  <c r="AI426" i="93"/>
  <c r="AJ426" i="93"/>
  <c r="AK426" i="93"/>
  <c r="AL426" i="93"/>
  <c r="AM426" i="93"/>
  <c r="AN426" i="93"/>
  <c r="AO426" i="93"/>
  <c r="AP426" i="93"/>
  <c r="AQ426" i="93"/>
  <c r="AR426" i="93"/>
  <c r="AS426" i="93"/>
  <c r="AT426" i="93"/>
  <c r="AU426" i="93"/>
  <c r="AV426" i="93"/>
  <c r="AW426" i="93"/>
  <c r="AX426" i="93"/>
  <c r="AY426" i="93"/>
  <c r="AZ426" i="93"/>
  <c r="BA426" i="93"/>
  <c r="BB426" i="93"/>
  <c r="BC426" i="93"/>
  <c r="BD426" i="93"/>
  <c r="BE426" i="93"/>
  <c r="BF426" i="93"/>
  <c r="BG426" i="93"/>
  <c r="BH426" i="93"/>
  <c r="BI426" i="93"/>
  <c r="BJ426" i="93"/>
  <c r="BK426" i="93"/>
  <c r="BL426" i="93"/>
  <c r="BM426" i="93"/>
  <c r="BN426" i="93"/>
  <c r="BO426" i="93"/>
  <c r="BP426" i="93"/>
  <c r="BQ426" i="93"/>
  <c r="BR426" i="93"/>
  <c r="BS426" i="93"/>
  <c r="BT426" i="93"/>
  <c r="BU426" i="93"/>
  <c r="BV426" i="93"/>
  <c r="BW426" i="93"/>
  <c r="BX426" i="93"/>
  <c r="BY426" i="93"/>
  <c r="BZ426" i="93"/>
  <c r="CA426" i="93"/>
  <c r="CB426" i="93"/>
  <c r="CC426" i="93"/>
  <c r="CD426" i="93"/>
  <c r="CE426" i="93"/>
  <c r="CF426" i="93"/>
  <c r="CG426" i="93"/>
  <c r="CH426" i="93"/>
  <c r="CI426" i="93"/>
  <c r="CJ426" i="93"/>
  <c r="CK426" i="93"/>
  <c r="CL426" i="93"/>
  <c r="CM426" i="93"/>
  <c r="CN426" i="93"/>
  <c r="CO426" i="93"/>
  <c r="CP426" i="93"/>
  <c r="CQ426" i="93"/>
  <c r="CR426" i="93"/>
  <c r="CS426" i="93"/>
  <c r="CT426" i="93"/>
  <c r="CU426" i="93"/>
  <c r="CV426" i="93"/>
  <c r="CW426" i="93"/>
  <c r="J427" i="93"/>
  <c r="K427" i="93"/>
  <c r="L427" i="93"/>
  <c r="M427" i="93"/>
  <c r="N427" i="93"/>
  <c r="O427" i="93"/>
  <c r="P427" i="93"/>
  <c r="Q427" i="93"/>
  <c r="R427" i="93"/>
  <c r="S427" i="93"/>
  <c r="T427" i="93"/>
  <c r="U427" i="93"/>
  <c r="V427" i="93"/>
  <c r="W427" i="93"/>
  <c r="X427" i="93"/>
  <c r="Y427" i="93"/>
  <c r="Z427" i="93"/>
  <c r="AA427" i="93"/>
  <c r="AB427" i="93"/>
  <c r="AC427" i="93"/>
  <c r="AD427" i="93"/>
  <c r="AE427" i="93"/>
  <c r="AF427" i="93"/>
  <c r="AG427" i="93"/>
  <c r="AH427" i="93"/>
  <c r="AI427" i="93"/>
  <c r="AJ427" i="93"/>
  <c r="AK427" i="93"/>
  <c r="AL427" i="93"/>
  <c r="AM427" i="93"/>
  <c r="AN427" i="93"/>
  <c r="AO427" i="93"/>
  <c r="AP427" i="93"/>
  <c r="AQ427" i="93"/>
  <c r="AR427" i="93"/>
  <c r="AS427" i="93"/>
  <c r="AT427" i="93"/>
  <c r="AU427" i="93"/>
  <c r="AV427" i="93"/>
  <c r="AW427" i="93"/>
  <c r="AX427" i="93"/>
  <c r="AY427" i="93"/>
  <c r="AZ427" i="93"/>
  <c r="BA427" i="93"/>
  <c r="BB427" i="93"/>
  <c r="BC427" i="93"/>
  <c r="BD427" i="93"/>
  <c r="BE427" i="93"/>
  <c r="BF427" i="93"/>
  <c r="BG427" i="93"/>
  <c r="BH427" i="93"/>
  <c r="BI427" i="93"/>
  <c r="BJ427" i="93"/>
  <c r="BK427" i="93"/>
  <c r="BL427" i="93"/>
  <c r="BM427" i="93"/>
  <c r="BN427" i="93"/>
  <c r="BO427" i="93"/>
  <c r="BP427" i="93"/>
  <c r="BQ427" i="93"/>
  <c r="BR427" i="93"/>
  <c r="BS427" i="93"/>
  <c r="BT427" i="93"/>
  <c r="BU427" i="93"/>
  <c r="BV427" i="93"/>
  <c r="BW427" i="93"/>
  <c r="BX427" i="93"/>
  <c r="BY427" i="93"/>
  <c r="BZ427" i="93"/>
  <c r="CA427" i="93"/>
  <c r="CB427" i="93"/>
  <c r="CC427" i="93"/>
  <c r="CD427" i="93"/>
  <c r="CE427" i="93"/>
  <c r="CF427" i="93"/>
  <c r="CG427" i="93"/>
  <c r="CH427" i="93"/>
  <c r="CI427" i="93"/>
  <c r="CJ427" i="93"/>
  <c r="CK427" i="93"/>
  <c r="CL427" i="93"/>
  <c r="CM427" i="93"/>
  <c r="CN427" i="93"/>
  <c r="CO427" i="93"/>
  <c r="CP427" i="93"/>
  <c r="CQ427" i="93"/>
  <c r="CR427" i="93"/>
  <c r="CS427" i="93"/>
  <c r="CT427" i="93"/>
  <c r="CU427" i="93"/>
  <c r="CV427" i="93"/>
  <c r="CW427" i="93"/>
  <c r="J428" i="93"/>
  <c r="K428" i="93"/>
  <c r="L428" i="93"/>
  <c r="M428" i="93"/>
  <c r="N428" i="93"/>
  <c r="O428" i="93"/>
  <c r="P428" i="93"/>
  <c r="Q428" i="93"/>
  <c r="R428" i="93"/>
  <c r="S428" i="93"/>
  <c r="T428" i="93"/>
  <c r="U428" i="93"/>
  <c r="V428" i="93"/>
  <c r="W428" i="93"/>
  <c r="X428" i="93"/>
  <c r="Y428" i="93"/>
  <c r="Z428" i="93"/>
  <c r="AA428" i="93"/>
  <c r="AB428" i="93"/>
  <c r="AC428" i="93"/>
  <c r="AD428" i="93"/>
  <c r="AE428" i="93"/>
  <c r="AF428" i="93"/>
  <c r="AG428" i="93"/>
  <c r="AH428" i="93"/>
  <c r="AI428" i="93"/>
  <c r="AJ428" i="93"/>
  <c r="AK428" i="93"/>
  <c r="AL428" i="93"/>
  <c r="AM428" i="93"/>
  <c r="AN428" i="93"/>
  <c r="AO428" i="93"/>
  <c r="AP428" i="93"/>
  <c r="AQ428" i="93"/>
  <c r="AR428" i="93"/>
  <c r="AS428" i="93"/>
  <c r="AT428" i="93"/>
  <c r="AU428" i="93"/>
  <c r="AV428" i="93"/>
  <c r="AW428" i="93"/>
  <c r="AX428" i="93"/>
  <c r="AY428" i="93"/>
  <c r="AZ428" i="93"/>
  <c r="BA428" i="93"/>
  <c r="BB428" i="93"/>
  <c r="BC428" i="93"/>
  <c r="BD428" i="93"/>
  <c r="BE428" i="93"/>
  <c r="BF428" i="93"/>
  <c r="BG428" i="93"/>
  <c r="BH428" i="93"/>
  <c r="BI428" i="93"/>
  <c r="BJ428" i="93"/>
  <c r="BK428" i="93"/>
  <c r="BL428" i="93"/>
  <c r="BM428" i="93"/>
  <c r="BN428" i="93"/>
  <c r="BO428" i="93"/>
  <c r="BP428" i="93"/>
  <c r="BQ428" i="93"/>
  <c r="BR428" i="93"/>
  <c r="BS428" i="93"/>
  <c r="BT428" i="93"/>
  <c r="BU428" i="93"/>
  <c r="BV428" i="93"/>
  <c r="BW428" i="93"/>
  <c r="BX428" i="93"/>
  <c r="BY428" i="93"/>
  <c r="BZ428" i="93"/>
  <c r="CA428" i="93"/>
  <c r="CB428" i="93"/>
  <c r="CC428" i="93"/>
  <c r="CD428" i="93"/>
  <c r="CE428" i="93"/>
  <c r="CF428" i="93"/>
  <c r="CG428" i="93"/>
  <c r="CH428" i="93"/>
  <c r="CI428" i="93"/>
  <c r="CJ428" i="93"/>
  <c r="CK428" i="93"/>
  <c r="CL428" i="93"/>
  <c r="CM428" i="93"/>
  <c r="CN428" i="93"/>
  <c r="CO428" i="93"/>
  <c r="CP428" i="93"/>
  <c r="CQ428" i="93"/>
  <c r="CR428" i="93"/>
  <c r="CS428" i="93"/>
  <c r="CT428" i="93"/>
  <c r="CU428" i="93"/>
  <c r="CV428" i="93"/>
  <c r="CW428" i="93"/>
  <c r="J429" i="93"/>
  <c r="K429" i="93"/>
  <c r="L429" i="93"/>
  <c r="M429" i="93"/>
  <c r="N429" i="93"/>
  <c r="O429" i="93"/>
  <c r="P429" i="93"/>
  <c r="Q429" i="93"/>
  <c r="R429" i="93"/>
  <c r="S429" i="93"/>
  <c r="T429" i="93"/>
  <c r="U429" i="93"/>
  <c r="V429" i="93"/>
  <c r="W429" i="93"/>
  <c r="X429" i="93"/>
  <c r="Y429" i="93"/>
  <c r="Z429" i="93"/>
  <c r="AA429" i="93"/>
  <c r="AB429" i="93"/>
  <c r="AC429" i="93"/>
  <c r="AD429" i="93"/>
  <c r="AE429" i="93"/>
  <c r="AF429" i="93"/>
  <c r="AG429" i="93"/>
  <c r="AH429" i="93"/>
  <c r="AI429" i="93"/>
  <c r="AJ429" i="93"/>
  <c r="AK429" i="93"/>
  <c r="AL429" i="93"/>
  <c r="AM429" i="93"/>
  <c r="AN429" i="93"/>
  <c r="AO429" i="93"/>
  <c r="AP429" i="93"/>
  <c r="AQ429" i="93"/>
  <c r="AR429" i="93"/>
  <c r="AS429" i="93"/>
  <c r="AT429" i="93"/>
  <c r="AU429" i="93"/>
  <c r="AV429" i="93"/>
  <c r="AW429" i="93"/>
  <c r="AX429" i="93"/>
  <c r="AY429" i="93"/>
  <c r="AZ429" i="93"/>
  <c r="BA429" i="93"/>
  <c r="BB429" i="93"/>
  <c r="BC429" i="93"/>
  <c r="BD429" i="93"/>
  <c r="BE429" i="93"/>
  <c r="BF429" i="93"/>
  <c r="BG429" i="93"/>
  <c r="BH429" i="93"/>
  <c r="BI429" i="93"/>
  <c r="BJ429" i="93"/>
  <c r="BK429" i="93"/>
  <c r="BL429" i="93"/>
  <c r="BM429" i="93"/>
  <c r="BN429" i="93"/>
  <c r="BO429" i="93"/>
  <c r="BP429" i="93"/>
  <c r="BQ429" i="93"/>
  <c r="BR429" i="93"/>
  <c r="BS429" i="93"/>
  <c r="BT429" i="93"/>
  <c r="BU429" i="93"/>
  <c r="BV429" i="93"/>
  <c r="BW429" i="93"/>
  <c r="BX429" i="93"/>
  <c r="BY429" i="93"/>
  <c r="BZ429" i="93"/>
  <c r="CA429" i="93"/>
  <c r="CB429" i="93"/>
  <c r="CC429" i="93"/>
  <c r="CD429" i="93"/>
  <c r="CE429" i="93"/>
  <c r="CF429" i="93"/>
  <c r="CG429" i="93"/>
  <c r="CH429" i="93"/>
  <c r="CI429" i="93"/>
  <c r="CJ429" i="93"/>
  <c r="CK429" i="93"/>
  <c r="CL429" i="93"/>
  <c r="CM429" i="93"/>
  <c r="CN429" i="93"/>
  <c r="CO429" i="93"/>
  <c r="CP429" i="93"/>
  <c r="CQ429" i="93"/>
  <c r="CR429" i="93"/>
  <c r="CS429" i="93"/>
  <c r="CT429" i="93"/>
  <c r="CU429" i="93"/>
  <c r="CV429" i="93"/>
  <c r="CW429" i="93"/>
  <c r="J430" i="93"/>
  <c r="K430" i="93"/>
  <c r="L430" i="93"/>
  <c r="M430" i="93"/>
  <c r="N430" i="93"/>
  <c r="O430" i="93"/>
  <c r="P430" i="93"/>
  <c r="Q430" i="93"/>
  <c r="R430" i="93"/>
  <c r="S430" i="93"/>
  <c r="T430" i="93"/>
  <c r="U430" i="93"/>
  <c r="V430" i="93"/>
  <c r="W430" i="93"/>
  <c r="X430" i="93"/>
  <c r="Y430" i="93"/>
  <c r="Z430" i="93"/>
  <c r="AA430" i="93"/>
  <c r="AB430" i="93"/>
  <c r="AC430" i="93"/>
  <c r="AD430" i="93"/>
  <c r="AE430" i="93"/>
  <c r="AF430" i="93"/>
  <c r="AG430" i="93"/>
  <c r="AH430" i="93"/>
  <c r="AI430" i="93"/>
  <c r="AJ430" i="93"/>
  <c r="AK430" i="93"/>
  <c r="AL430" i="93"/>
  <c r="AM430" i="93"/>
  <c r="AN430" i="93"/>
  <c r="AO430" i="93"/>
  <c r="AP430" i="93"/>
  <c r="AQ430" i="93"/>
  <c r="AR430" i="93"/>
  <c r="AS430" i="93"/>
  <c r="AT430" i="93"/>
  <c r="AU430" i="93"/>
  <c r="AV430" i="93"/>
  <c r="AW430" i="93"/>
  <c r="AX430" i="93"/>
  <c r="AY430" i="93"/>
  <c r="AZ430" i="93"/>
  <c r="BA430" i="93"/>
  <c r="BB430" i="93"/>
  <c r="BC430" i="93"/>
  <c r="BD430" i="93"/>
  <c r="BE430" i="93"/>
  <c r="BF430" i="93"/>
  <c r="BG430" i="93"/>
  <c r="BH430" i="93"/>
  <c r="BI430" i="93"/>
  <c r="BJ430" i="93"/>
  <c r="BK430" i="93"/>
  <c r="BL430" i="93"/>
  <c r="BM430" i="93"/>
  <c r="BN430" i="93"/>
  <c r="BO430" i="93"/>
  <c r="BP430" i="93"/>
  <c r="BQ430" i="93"/>
  <c r="BR430" i="93"/>
  <c r="BS430" i="93"/>
  <c r="BT430" i="93"/>
  <c r="BU430" i="93"/>
  <c r="BV430" i="93"/>
  <c r="BW430" i="93"/>
  <c r="BX430" i="93"/>
  <c r="BY430" i="93"/>
  <c r="BZ430" i="93"/>
  <c r="CA430" i="93"/>
  <c r="CB430" i="93"/>
  <c r="CC430" i="93"/>
  <c r="CD430" i="93"/>
  <c r="CE430" i="93"/>
  <c r="CF430" i="93"/>
  <c r="CG430" i="93"/>
  <c r="CH430" i="93"/>
  <c r="CI430" i="93"/>
  <c r="CJ430" i="93"/>
  <c r="CK430" i="93"/>
  <c r="CL430" i="93"/>
  <c r="CM430" i="93"/>
  <c r="CN430" i="93"/>
  <c r="CO430" i="93"/>
  <c r="CP430" i="93"/>
  <c r="CQ430" i="93"/>
  <c r="CR430" i="93"/>
  <c r="CS430" i="93"/>
  <c r="CT430" i="93"/>
  <c r="CU430" i="93"/>
  <c r="CV430" i="93"/>
  <c r="CW430" i="93"/>
  <c r="J431" i="93"/>
  <c r="K431" i="93"/>
  <c r="L431" i="93"/>
  <c r="M431" i="93"/>
  <c r="N431" i="93"/>
  <c r="O431" i="93"/>
  <c r="P431" i="93"/>
  <c r="Q431" i="93"/>
  <c r="R431" i="93"/>
  <c r="S431" i="93"/>
  <c r="T431" i="93"/>
  <c r="U431" i="93"/>
  <c r="V431" i="93"/>
  <c r="W431" i="93"/>
  <c r="X431" i="93"/>
  <c r="Y431" i="93"/>
  <c r="Z431" i="93"/>
  <c r="AA431" i="93"/>
  <c r="AB431" i="93"/>
  <c r="AC431" i="93"/>
  <c r="AD431" i="93"/>
  <c r="AE431" i="93"/>
  <c r="AF431" i="93"/>
  <c r="AG431" i="93"/>
  <c r="AH431" i="93"/>
  <c r="AI431" i="93"/>
  <c r="AJ431" i="93"/>
  <c r="AK431" i="93"/>
  <c r="AL431" i="93"/>
  <c r="AM431" i="93"/>
  <c r="AN431" i="93"/>
  <c r="AO431" i="93"/>
  <c r="AP431" i="93"/>
  <c r="AQ431" i="93"/>
  <c r="AR431" i="93"/>
  <c r="AS431" i="93"/>
  <c r="AT431" i="93"/>
  <c r="AU431" i="93"/>
  <c r="AV431" i="93"/>
  <c r="AW431" i="93"/>
  <c r="AX431" i="93"/>
  <c r="AY431" i="93"/>
  <c r="AZ431" i="93"/>
  <c r="BA431" i="93"/>
  <c r="BB431" i="93"/>
  <c r="BC431" i="93"/>
  <c r="BD431" i="93"/>
  <c r="BE431" i="93"/>
  <c r="BF431" i="93"/>
  <c r="BG431" i="93"/>
  <c r="BH431" i="93"/>
  <c r="BI431" i="93"/>
  <c r="BJ431" i="93"/>
  <c r="BK431" i="93"/>
  <c r="BL431" i="93"/>
  <c r="BM431" i="93"/>
  <c r="BN431" i="93"/>
  <c r="BO431" i="93"/>
  <c r="BP431" i="93"/>
  <c r="BQ431" i="93"/>
  <c r="BR431" i="93"/>
  <c r="BS431" i="93"/>
  <c r="BT431" i="93"/>
  <c r="BU431" i="93"/>
  <c r="BV431" i="93"/>
  <c r="BW431" i="93"/>
  <c r="BX431" i="93"/>
  <c r="BY431" i="93"/>
  <c r="BZ431" i="93"/>
  <c r="CA431" i="93"/>
  <c r="CB431" i="93"/>
  <c r="CC431" i="93"/>
  <c r="CD431" i="93"/>
  <c r="CE431" i="93"/>
  <c r="CF431" i="93"/>
  <c r="CG431" i="93"/>
  <c r="CH431" i="93"/>
  <c r="CI431" i="93"/>
  <c r="CJ431" i="93"/>
  <c r="CK431" i="93"/>
  <c r="CL431" i="93"/>
  <c r="CM431" i="93"/>
  <c r="CN431" i="93"/>
  <c r="CO431" i="93"/>
  <c r="CP431" i="93"/>
  <c r="CQ431" i="93"/>
  <c r="CR431" i="93"/>
  <c r="CS431" i="93"/>
  <c r="CT431" i="93"/>
  <c r="CU431" i="93"/>
  <c r="CV431" i="93"/>
  <c r="CW431" i="93"/>
  <c r="J432" i="93"/>
  <c r="K432" i="93"/>
  <c r="L432" i="93"/>
  <c r="M432" i="93"/>
  <c r="N432" i="93"/>
  <c r="O432" i="93"/>
  <c r="P432" i="93"/>
  <c r="Q432" i="93"/>
  <c r="R432" i="93"/>
  <c r="S432" i="93"/>
  <c r="T432" i="93"/>
  <c r="U432" i="93"/>
  <c r="V432" i="93"/>
  <c r="W432" i="93"/>
  <c r="X432" i="93"/>
  <c r="Y432" i="93"/>
  <c r="Z432" i="93"/>
  <c r="AA432" i="93"/>
  <c r="AB432" i="93"/>
  <c r="AC432" i="93"/>
  <c r="AD432" i="93"/>
  <c r="AE432" i="93"/>
  <c r="AF432" i="93"/>
  <c r="AG432" i="93"/>
  <c r="AH432" i="93"/>
  <c r="AI432" i="93"/>
  <c r="AJ432" i="93"/>
  <c r="AK432" i="93"/>
  <c r="AL432" i="93"/>
  <c r="AM432" i="93"/>
  <c r="AN432" i="93"/>
  <c r="AO432" i="93"/>
  <c r="AP432" i="93"/>
  <c r="AQ432" i="93"/>
  <c r="AR432" i="93"/>
  <c r="AS432" i="93"/>
  <c r="AT432" i="93"/>
  <c r="AU432" i="93"/>
  <c r="AV432" i="93"/>
  <c r="AW432" i="93"/>
  <c r="AX432" i="93"/>
  <c r="AY432" i="93"/>
  <c r="AZ432" i="93"/>
  <c r="BA432" i="93"/>
  <c r="BB432" i="93"/>
  <c r="BC432" i="93"/>
  <c r="BD432" i="93"/>
  <c r="BE432" i="93"/>
  <c r="BF432" i="93"/>
  <c r="BG432" i="93"/>
  <c r="BH432" i="93"/>
  <c r="BI432" i="93"/>
  <c r="BJ432" i="93"/>
  <c r="BK432" i="93"/>
  <c r="BL432" i="93"/>
  <c r="BM432" i="93"/>
  <c r="BN432" i="93"/>
  <c r="BO432" i="93"/>
  <c r="BP432" i="93"/>
  <c r="BQ432" i="93"/>
  <c r="BR432" i="93"/>
  <c r="BS432" i="93"/>
  <c r="BT432" i="93"/>
  <c r="BU432" i="93"/>
  <c r="BV432" i="93"/>
  <c r="BW432" i="93"/>
  <c r="BX432" i="93"/>
  <c r="BY432" i="93"/>
  <c r="BZ432" i="93"/>
  <c r="CA432" i="93"/>
  <c r="CB432" i="93"/>
  <c r="CC432" i="93"/>
  <c r="CD432" i="93"/>
  <c r="CE432" i="93"/>
  <c r="CF432" i="93"/>
  <c r="CG432" i="93"/>
  <c r="CH432" i="93"/>
  <c r="CI432" i="93"/>
  <c r="CJ432" i="93"/>
  <c r="CK432" i="93"/>
  <c r="CL432" i="93"/>
  <c r="CM432" i="93"/>
  <c r="CN432" i="93"/>
  <c r="CO432" i="93"/>
  <c r="CP432" i="93"/>
  <c r="CQ432" i="93"/>
  <c r="CR432" i="93"/>
  <c r="CS432" i="93"/>
  <c r="CT432" i="93"/>
  <c r="CU432" i="93"/>
  <c r="CV432" i="93"/>
  <c r="CW432" i="93"/>
  <c r="J433" i="93"/>
  <c r="K433" i="93"/>
  <c r="L433" i="93"/>
  <c r="M433" i="93"/>
  <c r="N433" i="93"/>
  <c r="O433" i="93"/>
  <c r="P433" i="93"/>
  <c r="Q433" i="93"/>
  <c r="R433" i="93"/>
  <c r="S433" i="93"/>
  <c r="T433" i="93"/>
  <c r="U433" i="93"/>
  <c r="V433" i="93"/>
  <c r="W433" i="93"/>
  <c r="X433" i="93"/>
  <c r="Y433" i="93"/>
  <c r="Z433" i="93"/>
  <c r="AA433" i="93"/>
  <c r="AB433" i="93"/>
  <c r="AC433" i="93"/>
  <c r="AD433" i="93"/>
  <c r="AE433" i="93"/>
  <c r="AF433" i="93"/>
  <c r="AG433" i="93"/>
  <c r="AH433" i="93"/>
  <c r="AI433" i="93"/>
  <c r="AJ433" i="93"/>
  <c r="AK433" i="93"/>
  <c r="AL433" i="93"/>
  <c r="AM433" i="93"/>
  <c r="AN433" i="93"/>
  <c r="AO433" i="93"/>
  <c r="AP433" i="93"/>
  <c r="AQ433" i="93"/>
  <c r="AR433" i="93"/>
  <c r="AS433" i="93"/>
  <c r="AT433" i="93"/>
  <c r="AU433" i="93"/>
  <c r="AV433" i="93"/>
  <c r="AW433" i="93"/>
  <c r="AX433" i="93"/>
  <c r="AY433" i="93"/>
  <c r="AZ433" i="93"/>
  <c r="BA433" i="93"/>
  <c r="BB433" i="93"/>
  <c r="BC433" i="93"/>
  <c r="BD433" i="93"/>
  <c r="BE433" i="93"/>
  <c r="BF433" i="93"/>
  <c r="BG433" i="93"/>
  <c r="BH433" i="93"/>
  <c r="BI433" i="93"/>
  <c r="BJ433" i="93"/>
  <c r="BK433" i="93"/>
  <c r="BL433" i="93"/>
  <c r="BM433" i="93"/>
  <c r="BN433" i="93"/>
  <c r="BO433" i="93"/>
  <c r="BP433" i="93"/>
  <c r="BQ433" i="93"/>
  <c r="BR433" i="93"/>
  <c r="BS433" i="93"/>
  <c r="BT433" i="93"/>
  <c r="BU433" i="93"/>
  <c r="BV433" i="93"/>
  <c r="BW433" i="93"/>
  <c r="BX433" i="93"/>
  <c r="BY433" i="93"/>
  <c r="BZ433" i="93"/>
  <c r="CA433" i="93"/>
  <c r="CB433" i="93"/>
  <c r="CC433" i="93"/>
  <c r="CD433" i="93"/>
  <c r="CE433" i="93"/>
  <c r="CF433" i="93"/>
  <c r="CG433" i="93"/>
  <c r="CH433" i="93"/>
  <c r="CI433" i="93"/>
  <c r="CJ433" i="93"/>
  <c r="CK433" i="93"/>
  <c r="CL433" i="93"/>
  <c r="CM433" i="93"/>
  <c r="CN433" i="93"/>
  <c r="CO433" i="93"/>
  <c r="CP433" i="93"/>
  <c r="CQ433" i="93"/>
  <c r="CR433" i="93"/>
  <c r="CS433" i="93"/>
  <c r="CT433" i="93"/>
  <c r="CU433" i="93"/>
  <c r="CV433" i="93"/>
  <c r="CW433" i="93"/>
  <c r="J434" i="93"/>
  <c r="K434" i="93"/>
  <c r="L434" i="93"/>
  <c r="M434" i="93"/>
  <c r="N434" i="93"/>
  <c r="O434" i="93"/>
  <c r="P434" i="93"/>
  <c r="Q434" i="93"/>
  <c r="R434" i="93"/>
  <c r="S434" i="93"/>
  <c r="T434" i="93"/>
  <c r="U434" i="93"/>
  <c r="V434" i="93"/>
  <c r="W434" i="93"/>
  <c r="X434" i="93"/>
  <c r="Y434" i="93"/>
  <c r="Z434" i="93"/>
  <c r="AA434" i="93"/>
  <c r="AB434" i="93"/>
  <c r="AC434" i="93"/>
  <c r="AD434" i="93"/>
  <c r="AE434" i="93"/>
  <c r="AF434" i="93"/>
  <c r="AG434" i="93"/>
  <c r="AH434" i="93"/>
  <c r="AI434" i="93"/>
  <c r="AJ434" i="93"/>
  <c r="AK434" i="93"/>
  <c r="AL434" i="93"/>
  <c r="AM434" i="93"/>
  <c r="AN434" i="93"/>
  <c r="AO434" i="93"/>
  <c r="AP434" i="93"/>
  <c r="AQ434" i="93"/>
  <c r="AR434" i="93"/>
  <c r="AS434" i="93"/>
  <c r="AT434" i="93"/>
  <c r="AU434" i="93"/>
  <c r="AV434" i="93"/>
  <c r="AW434" i="93"/>
  <c r="AX434" i="93"/>
  <c r="AY434" i="93"/>
  <c r="AZ434" i="93"/>
  <c r="BA434" i="93"/>
  <c r="BB434" i="93"/>
  <c r="BC434" i="93"/>
  <c r="BD434" i="93"/>
  <c r="BE434" i="93"/>
  <c r="BF434" i="93"/>
  <c r="BG434" i="93"/>
  <c r="BH434" i="93"/>
  <c r="BI434" i="93"/>
  <c r="BJ434" i="93"/>
  <c r="BK434" i="93"/>
  <c r="BL434" i="93"/>
  <c r="BM434" i="93"/>
  <c r="BN434" i="93"/>
  <c r="BO434" i="93"/>
  <c r="BP434" i="93"/>
  <c r="BQ434" i="93"/>
  <c r="BR434" i="93"/>
  <c r="BS434" i="93"/>
  <c r="BT434" i="93"/>
  <c r="BU434" i="93"/>
  <c r="BV434" i="93"/>
  <c r="BW434" i="93"/>
  <c r="BX434" i="93"/>
  <c r="BY434" i="93"/>
  <c r="BZ434" i="93"/>
  <c r="CA434" i="93"/>
  <c r="CB434" i="93"/>
  <c r="CC434" i="93"/>
  <c r="CD434" i="93"/>
  <c r="CE434" i="93"/>
  <c r="CF434" i="93"/>
  <c r="CG434" i="93"/>
  <c r="CH434" i="93"/>
  <c r="CI434" i="93"/>
  <c r="CJ434" i="93"/>
  <c r="CK434" i="93"/>
  <c r="CL434" i="93"/>
  <c r="CM434" i="93"/>
  <c r="CN434" i="93"/>
  <c r="CO434" i="93"/>
  <c r="CP434" i="93"/>
  <c r="CQ434" i="93"/>
  <c r="CR434" i="93"/>
  <c r="CS434" i="93"/>
  <c r="CT434" i="93"/>
  <c r="CU434" i="93"/>
  <c r="CV434" i="93"/>
  <c r="CW434" i="93"/>
  <c r="J435" i="93"/>
  <c r="K435" i="93"/>
  <c r="L435" i="93"/>
  <c r="M435" i="93"/>
  <c r="N435" i="93"/>
  <c r="O435" i="93"/>
  <c r="P435" i="93"/>
  <c r="Q435" i="93"/>
  <c r="R435" i="93"/>
  <c r="S435" i="93"/>
  <c r="T435" i="93"/>
  <c r="U435" i="93"/>
  <c r="V435" i="93"/>
  <c r="W435" i="93"/>
  <c r="X435" i="93"/>
  <c r="Y435" i="93"/>
  <c r="Z435" i="93"/>
  <c r="AA435" i="93"/>
  <c r="AB435" i="93"/>
  <c r="AC435" i="93"/>
  <c r="AD435" i="93"/>
  <c r="AE435" i="93"/>
  <c r="AF435" i="93"/>
  <c r="AG435" i="93"/>
  <c r="AH435" i="93"/>
  <c r="AI435" i="93"/>
  <c r="AJ435" i="93"/>
  <c r="AK435" i="93"/>
  <c r="AL435" i="93"/>
  <c r="AM435" i="93"/>
  <c r="AN435" i="93"/>
  <c r="AO435" i="93"/>
  <c r="AP435" i="93"/>
  <c r="AQ435" i="93"/>
  <c r="AR435" i="93"/>
  <c r="AS435" i="93"/>
  <c r="AT435" i="93"/>
  <c r="AU435" i="93"/>
  <c r="AV435" i="93"/>
  <c r="AW435" i="93"/>
  <c r="AX435" i="93"/>
  <c r="AY435" i="93"/>
  <c r="AZ435" i="93"/>
  <c r="BA435" i="93"/>
  <c r="BB435" i="93"/>
  <c r="BC435" i="93"/>
  <c r="BD435" i="93"/>
  <c r="BE435" i="93"/>
  <c r="BF435" i="93"/>
  <c r="BG435" i="93"/>
  <c r="BH435" i="93"/>
  <c r="BI435" i="93"/>
  <c r="BJ435" i="93"/>
  <c r="BK435" i="93"/>
  <c r="BL435" i="93"/>
  <c r="BM435" i="93"/>
  <c r="BN435" i="93"/>
  <c r="BO435" i="93"/>
  <c r="BP435" i="93"/>
  <c r="BQ435" i="93"/>
  <c r="BR435" i="93"/>
  <c r="BS435" i="93"/>
  <c r="BT435" i="93"/>
  <c r="BU435" i="93"/>
  <c r="BV435" i="93"/>
  <c r="BW435" i="93"/>
  <c r="BX435" i="93"/>
  <c r="BY435" i="93"/>
  <c r="BZ435" i="93"/>
  <c r="CA435" i="93"/>
  <c r="CB435" i="93"/>
  <c r="CC435" i="93"/>
  <c r="CD435" i="93"/>
  <c r="CE435" i="93"/>
  <c r="CF435" i="93"/>
  <c r="CG435" i="93"/>
  <c r="CH435" i="93"/>
  <c r="CI435" i="93"/>
  <c r="CJ435" i="93"/>
  <c r="CK435" i="93"/>
  <c r="CL435" i="93"/>
  <c r="CM435" i="93"/>
  <c r="CN435" i="93"/>
  <c r="CO435" i="93"/>
  <c r="CP435" i="93"/>
  <c r="CQ435" i="93"/>
  <c r="CR435" i="93"/>
  <c r="CS435" i="93"/>
  <c r="CT435" i="93"/>
  <c r="CU435" i="93"/>
  <c r="CV435" i="93"/>
  <c r="CW435" i="93"/>
  <c r="J436" i="93"/>
  <c r="K436" i="93"/>
  <c r="L436" i="93"/>
  <c r="M436" i="93"/>
  <c r="N436" i="93"/>
  <c r="O436" i="93"/>
  <c r="P436" i="93"/>
  <c r="Q436" i="93"/>
  <c r="R436" i="93"/>
  <c r="S436" i="93"/>
  <c r="T436" i="93"/>
  <c r="U436" i="93"/>
  <c r="V436" i="93"/>
  <c r="W436" i="93"/>
  <c r="X436" i="93"/>
  <c r="Y436" i="93"/>
  <c r="Z436" i="93"/>
  <c r="AA436" i="93"/>
  <c r="AB436" i="93"/>
  <c r="AC436" i="93"/>
  <c r="AD436" i="93"/>
  <c r="AE436" i="93"/>
  <c r="AF436" i="93"/>
  <c r="AG436" i="93"/>
  <c r="AH436" i="93"/>
  <c r="AI436" i="93"/>
  <c r="AJ436" i="93"/>
  <c r="AK436" i="93"/>
  <c r="AL436" i="93"/>
  <c r="AM436" i="93"/>
  <c r="AN436" i="93"/>
  <c r="AO436" i="93"/>
  <c r="AP436" i="93"/>
  <c r="AQ436" i="93"/>
  <c r="AR436" i="93"/>
  <c r="AS436" i="93"/>
  <c r="AT436" i="93"/>
  <c r="AU436" i="93"/>
  <c r="AV436" i="93"/>
  <c r="AW436" i="93"/>
  <c r="AX436" i="93"/>
  <c r="AY436" i="93"/>
  <c r="AZ436" i="93"/>
  <c r="BA436" i="93"/>
  <c r="BB436" i="93"/>
  <c r="BC436" i="93"/>
  <c r="BD436" i="93"/>
  <c r="BE436" i="93"/>
  <c r="BF436" i="93"/>
  <c r="BG436" i="93"/>
  <c r="BH436" i="93"/>
  <c r="BI436" i="93"/>
  <c r="BJ436" i="93"/>
  <c r="BK436" i="93"/>
  <c r="BL436" i="93"/>
  <c r="BM436" i="93"/>
  <c r="BN436" i="93"/>
  <c r="BO436" i="93"/>
  <c r="BP436" i="93"/>
  <c r="BQ436" i="93"/>
  <c r="BR436" i="93"/>
  <c r="BS436" i="93"/>
  <c r="BT436" i="93"/>
  <c r="BU436" i="93"/>
  <c r="BV436" i="93"/>
  <c r="BW436" i="93"/>
  <c r="BX436" i="93"/>
  <c r="BY436" i="93"/>
  <c r="BZ436" i="93"/>
  <c r="CA436" i="93"/>
  <c r="CB436" i="93"/>
  <c r="CC436" i="93"/>
  <c r="CD436" i="93"/>
  <c r="CE436" i="93"/>
  <c r="CF436" i="93"/>
  <c r="CG436" i="93"/>
  <c r="CH436" i="93"/>
  <c r="CI436" i="93"/>
  <c r="CJ436" i="93"/>
  <c r="CK436" i="93"/>
  <c r="CL436" i="93"/>
  <c r="CM436" i="93"/>
  <c r="CN436" i="93"/>
  <c r="CO436" i="93"/>
  <c r="CP436" i="93"/>
  <c r="CQ436" i="93"/>
  <c r="CR436" i="93"/>
  <c r="CS436" i="93"/>
  <c r="CT436" i="93"/>
  <c r="CU436" i="93"/>
  <c r="CV436" i="93"/>
  <c r="CW436" i="93"/>
  <c r="J437" i="93"/>
  <c r="K437" i="93"/>
  <c r="L437" i="93"/>
  <c r="M437" i="93"/>
  <c r="N437" i="93"/>
  <c r="O437" i="93"/>
  <c r="P437" i="93"/>
  <c r="Q437" i="93"/>
  <c r="R437" i="93"/>
  <c r="S437" i="93"/>
  <c r="T437" i="93"/>
  <c r="U437" i="93"/>
  <c r="V437" i="93"/>
  <c r="W437" i="93"/>
  <c r="X437" i="93"/>
  <c r="Y437" i="93"/>
  <c r="Z437" i="93"/>
  <c r="AA437" i="93"/>
  <c r="AB437" i="93"/>
  <c r="AC437" i="93"/>
  <c r="AD437" i="93"/>
  <c r="AE437" i="93"/>
  <c r="AF437" i="93"/>
  <c r="AG437" i="93"/>
  <c r="AH437" i="93"/>
  <c r="AI437" i="93"/>
  <c r="AJ437" i="93"/>
  <c r="AK437" i="93"/>
  <c r="AL437" i="93"/>
  <c r="AM437" i="93"/>
  <c r="AN437" i="93"/>
  <c r="AO437" i="93"/>
  <c r="AP437" i="93"/>
  <c r="AQ437" i="93"/>
  <c r="AR437" i="93"/>
  <c r="AS437" i="93"/>
  <c r="AT437" i="93"/>
  <c r="AU437" i="93"/>
  <c r="AV437" i="93"/>
  <c r="AW437" i="93"/>
  <c r="AX437" i="93"/>
  <c r="AY437" i="93"/>
  <c r="AZ437" i="93"/>
  <c r="BA437" i="93"/>
  <c r="BB437" i="93"/>
  <c r="BC437" i="93"/>
  <c r="BD437" i="93"/>
  <c r="BE437" i="93"/>
  <c r="BF437" i="93"/>
  <c r="BG437" i="93"/>
  <c r="BH437" i="93"/>
  <c r="BI437" i="93"/>
  <c r="BJ437" i="93"/>
  <c r="BK437" i="93"/>
  <c r="BL437" i="93"/>
  <c r="BM437" i="93"/>
  <c r="BN437" i="93"/>
  <c r="BO437" i="93"/>
  <c r="BP437" i="93"/>
  <c r="BQ437" i="93"/>
  <c r="BR437" i="93"/>
  <c r="BS437" i="93"/>
  <c r="BT437" i="93"/>
  <c r="BU437" i="93"/>
  <c r="BV437" i="93"/>
  <c r="BW437" i="93"/>
  <c r="BX437" i="93"/>
  <c r="BY437" i="93"/>
  <c r="BZ437" i="93"/>
  <c r="CA437" i="93"/>
  <c r="CB437" i="93"/>
  <c r="CC437" i="93"/>
  <c r="CD437" i="93"/>
  <c r="CE437" i="93"/>
  <c r="CF437" i="93"/>
  <c r="CG437" i="93"/>
  <c r="CH437" i="93"/>
  <c r="CI437" i="93"/>
  <c r="CJ437" i="93"/>
  <c r="CK437" i="93"/>
  <c r="CL437" i="93"/>
  <c r="CM437" i="93"/>
  <c r="CN437" i="93"/>
  <c r="CO437" i="93"/>
  <c r="CP437" i="93"/>
  <c r="CQ437" i="93"/>
  <c r="CR437" i="93"/>
  <c r="CS437" i="93"/>
  <c r="CT437" i="93"/>
  <c r="CU437" i="93"/>
  <c r="CV437" i="93"/>
  <c r="CW437" i="93"/>
  <c r="Q9" i="93"/>
  <c r="S9" i="93"/>
  <c r="T9" i="93"/>
  <c r="U9" i="93"/>
  <c r="V9" i="93"/>
  <c r="W9" i="93"/>
  <c r="X9" i="93"/>
  <c r="Y9" i="93"/>
  <c r="Z9" i="93"/>
  <c r="AA9" i="93"/>
  <c r="AB9" i="93"/>
  <c r="AC9" i="93"/>
  <c r="AD9" i="93"/>
  <c r="AE9" i="93"/>
  <c r="AF9" i="93"/>
  <c r="AG9" i="93"/>
  <c r="AH9" i="93"/>
  <c r="AI9" i="93"/>
  <c r="AJ9" i="93"/>
  <c r="AK9" i="93"/>
  <c r="AL9" i="93"/>
  <c r="AM9" i="93"/>
  <c r="AN9" i="93"/>
  <c r="AO9" i="93"/>
  <c r="AP9" i="93"/>
  <c r="AQ9" i="93"/>
  <c r="AR9" i="93"/>
  <c r="AS9" i="93"/>
  <c r="AT9" i="93"/>
  <c r="AU9" i="93"/>
  <c r="AV9" i="93"/>
  <c r="AW9" i="93"/>
  <c r="AX9" i="93"/>
  <c r="AY9" i="93"/>
  <c r="AZ9" i="93"/>
  <c r="BA9" i="93"/>
  <c r="BB9" i="93"/>
  <c r="BC9" i="93"/>
  <c r="BD9" i="93"/>
  <c r="BE9" i="93"/>
  <c r="BF9" i="93"/>
  <c r="BG9" i="93"/>
  <c r="BH9" i="93"/>
  <c r="BI9" i="93"/>
  <c r="BJ9" i="93"/>
  <c r="BK9" i="93"/>
  <c r="BL9" i="93"/>
  <c r="BM9" i="93"/>
  <c r="BN9" i="93"/>
  <c r="BO9" i="93"/>
  <c r="BP9" i="93"/>
  <c r="BQ9" i="93"/>
  <c r="BR9" i="93"/>
  <c r="BS9" i="93"/>
  <c r="BT9" i="93"/>
  <c r="BU9" i="93"/>
  <c r="BV9" i="93"/>
  <c r="BW9" i="93"/>
  <c r="BX9" i="93"/>
  <c r="BY9" i="93"/>
  <c r="BZ9" i="93"/>
  <c r="CA9" i="93"/>
  <c r="CB9" i="93"/>
  <c r="CC9" i="93"/>
  <c r="CD9" i="93"/>
  <c r="CE9" i="93"/>
  <c r="CF9" i="93"/>
  <c r="CG9" i="93"/>
  <c r="CH9" i="93"/>
  <c r="CI9" i="93"/>
  <c r="CJ9" i="93"/>
  <c r="CK9" i="93"/>
  <c r="CL9" i="93"/>
  <c r="CM9" i="93"/>
  <c r="CN9" i="93"/>
  <c r="CO9" i="93"/>
  <c r="CP9" i="93"/>
  <c r="CQ9" i="93"/>
  <c r="CR9" i="93"/>
  <c r="CS9" i="93"/>
  <c r="CT9" i="93"/>
  <c r="CU9" i="93"/>
  <c r="CV9" i="93"/>
  <c r="CW9" i="93"/>
  <c r="I53" i="14" l="1"/>
  <c r="I16" i="90"/>
  <c r="F16" i="90"/>
  <c r="I15" i="90"/>
  <c r="F15" i="90"/>
  <c r="F14" i="90"/>
  <c r="K45" i="14"/>
  <c r="E43" i="37"/>
  <c r="L45" i="14"/>
  <c r="M45" i="14"/>
  <c r="K16" i="37"/>
  <c r="H58" i="40"/>
  <c r="E58" i="40" s="1"/>
  <c r="H57" i="40"/>
  <c r="H56" i="40"/>
  <c r="E56" i="40" s="1"/>
  <c r="S29" i="77"/>
  <c r="S28" i="77"/>
  <c r="S18" i="77"/>
  <c r="S24" i="77"/>
  <c r="S9" i="77"/>
  <c r="S7" i="77"/>
  <c r="M37" i="77"/>
  <c r="J48" i="75" l="1"/>
  <c r="J48" i="93" s="1"/>
  <c r="H82" i="40"/>
  <c r="H81" i="40"/>
  <c r="N47" i="14"/>
  <c r="H55" i="40"/>
  <c r="E55" i="40" s="1"/>
  <c r="E35" i="37"/>
  <c r="K35" i="14"/>
  <c r="K32" i="14"/>
  <c r="E58" i="17"/>
  <c r="J35" i="14" l="1"/>
  <c r="I14" i="90"/>
  <c r="D31" i="44"/>
  <c r="R8" i="77" l="1"/>
  <c r="R9" i="77" s="1"/>
  <c r="J34" i="14"/>
  <c r="P35" i="14"/>
  <c r="O35" i="14"/>
  <c r="I35" i="14"/>
  <c r="O38" i="75"/>
  <c r="O38" i="93" s="1"/>
  <c r="N38" i="75"/>
  <c r="N38" i="93" s="1"/>
  <c r="M38" i="75"/>
  <c r="M38" i="93" s="1"/>
  <c r="L38" i="75"/>
  <c r="L38" i="93" s="1"/>
  <c r="K38" i="75"/>
  <c r="K38" i="93" s="1"/>
  <c r="J38" i="75"/>
  <c r="J38" i="93" s="1"/>
  <c r="I38" i="75"/>
  <c r="H38" i="75"/>
  <c r="G34" i="75"/>
  <c r="G35" i="75"/>
  <c r="G36" i="75"/>
  <c r="G37" i="75"/>
  <c r="G38" i="75"/>
  <c r="F38" i="75"/>
  <c r="E38" i="75"/>
  <c r="E21" i="44"/>
  <c r="D21" i="44"/>
  <c r="E22" i="37"/>
  <c r="F34" i="44"/>
  <c r="E11" i="44"/>
  <c r="K54" i="14"/>
  <c r="L49" i="75" s="1"/>
  <c r="L49" i="93" s="1"/>
  <c r="N54" i="14"/>
  <c r="F43" i="44"/>
  <c r="H80" i="40"/>
  <c r="H95" i="40"/>
  <c r="H94" i="40"/>
  <c r="H93" i="40"/>
  <c r="H92" i="40"/>
  <c r="H91" i="40"/>
  <c r="H90" i="40"/>
  <c r="H88" i="40"/>
  <c r="H87" i="40"/>
  <c r="H86" i="40"/>
  <c r="H85" i="40"/>
  <c r="H84" i="40"/>
  <c r="H83" i="40"/>
  <c r="H79" i="40"/>
  <c r="H78" i="40"/>
  <c r="H77" i="40"/>
  <c r="H76" i="40"/>
  <c r="H75" i="40"/>
  <c r="H74" i="40"/>
  <c r="H73" i="40"/>
  <c r="H72" i="40"/>
  <c r="H71" i="40"/>
  <c r="H70" i="40"/>
  <c r="H69" i="40"/>
  <c r="H67" i="40"/>
  <c r="F57" i="17"/>
  <c r="L37" i="77"/>
  <c r="L38" i="77"/>
  <c r="E34" i="37"/>
  <c r="F33" i="44"/>
  <c r="D24" i="44"/>
  <c r="E22" i="44"/>
  <c r="E14" i="44"/>
  <c r="F15" i="44"/>
  <c r="E17" i="44"/>
  <c r="E18" i="44"/>
  <c r="F24" i="44"/>
  <c r="E37" i="75"/>
  <c r="E56" i="17"/>
  <c r="E54" i="40"/>
  <c r="E65" i="40"/>
  <c r="E53" i="40"/>
  <c r="F53" i="40"/>
  <c r="Q9" i="77"/>
  <c r="P9" i="77"/>
  <c r="P22" i="77" s="1"/>
  <c r="N50" i="75"/>
  <c r="N50" i="93" s="1"/>
  <c r="L50" i="75"/>
  <c r="L50" i="93" s="1"/>
  <c r="K50" i="75"/>
  <c r="K50" i="93" s="1"/>
  <c r="J50" i="75"/>
  <c r="J50" i="93" s="1"/>
  <c r="I50" i="75"/>
  <c r="H50" i="75"/>
  <c r="G50" i="75"/>
  <c r="F50" i="75"/>
  <c r="E50" i="75"/>
  <c r="N49" i="75"/>
  <c r="N49" i="93" s="1"/>
  <c r="K49" i="75"/>
  <c r="K49" i="93" s="1"/>
  <c r="J49" i="75"/>
  <c r="J49" i="93" s="1"/>
  <c r="I49" i="75"/>
  <c r="H49" i="75"/>
  <c r="G49" i="75"/>
  <c r="F49" i="75"/>
  <c r="E49" i="75"/>
  <c r="N48" i="75"/>
  <c r="N48" i="93" s="1"/>
  <c r="K48" i="75"/>
  <c r="K48" i="93" s="1"/>
  <c r="I48" i="75"/>
  <c r="H48" i="75"/>
  <c r="G48" i="75"/>
  <c r="F48" i="75"/>
  <c r="E48" i="75"/>
  <c r="Q52" i="75"/>
  <c r="Q52" i="93" s="1"/>
  <c r="N37" i="75"/>
  <c r="N37" i="93" s="1"/>
  <c r="J37" i="75"/>
  <c r="J37" i="93" s="1"/>
  <c r="I37" i="75"/>
  <c r="H37" i="75"/>
  <c r="F37" i="75"/>
  <c r="S36" i="75"/>
  <c r="S36" i="93" s="1"/>
  <c r="S35" i="75"/>
  <c r="S35" i="93" s="1"/>
  <c r="R34" i="75"/>
  <c r="R34" i="93" s="1"/>
  <c r="O34" i="75"/>
  <c r="O34" i="93" s="1"/>
  <c r="N34" i="75"/>
  <c r="N34" i="93" s="1"/>
  <c r="M34" i="75"/>
  <c r="M34" i="93" s="1"/>
  <c r="L34" i="75"/>
  <c r="L34" i="93" s="1"/>
  <c r="K34" i="75"/>
  <c r="K34" i="93" s="1"/>
  <c r="J34" i="75"/>
  <c r="J34" i="93" s="1"/>
  <c r="I34" i="75"/>
  <c r="H34" i="75"/>
  <c r="F34" i="75"/>
  <c r="E34" i="75"/>
  <c r="O34" i="14"/>
  <c r="P34" i="75"/>
  <c r="P34" i="93" s="1"/>
  <c r="L34" i="14"/>
  <c r="J33" i="14"/>
  <c r="N55" i="14"/>
  <c r="P55" i="14"/>
  <c r="R50" i="75"/>
  <c r="R50" i="93" s="1"/>
  <c r="M56" i="14"/>
  <c r="L55" i="14"/>
  <c r="M50" i="75"/>
  <c r="M50" i="93" s="1"/>
  <c r="L54" i="14"/>
  <c r="M49" i="75" s="1"/>
  <c r="M49" i="93" s="1"/>
  <c r="J56" i="14"/>
  <c r="O50" i="75"/>
  <c r="O50" i="93" s="1"/>
  <c r="K37" i="75"/>
  <c r="K37" i="93" s="1"/>
  <c r="O55" i="14"/>
  <c r="P50" i="75"/>
  <c r="P50" i="93" s="1"/>
  <c r="R9" i="87"/>
  <c r="H9" i="87"/>
  <c r="G9" i="87"/>
  <c r="F9" i="87"/>
  <c r="E9" i="87"/>
  <c r="E10" i="87"/>
  <c r="F10" i="87"/>
  <c r="G10" i="87"/>
  <c r="H10" i="87"/>
  <c r="H36" i="75"/>
  <c r="F36" i="75"/>
  <c r="E36" i="75"/>
  <c r="I32" i="14"/>
  <c r="I31" i="14"/>
  <c r="E32" i="44"/>
  <c r="C32" i="44"/>
  <c r="B33" i="37"/>
  <c r="F33" i="37" s="1"/>
  <c r="I36" i="75"/>
  <c r="J36" i="75"/>
  <c r="J36" i="93" s="1"/>
  <c r="K38" i="77"/>
  <c r="K37" i="77" s="1"/>
  <c r="K35" i="77"/>
  <c r="O20" i="77"/>
  <c r="O26" i="77" s="1"/>
  <c r="O9" i="77"/>
  <c r="O22" i="77" s="1"/>
  <c r="J37" i="77"/>
  <c r="F32" i="80"/>
  <c r="H52" i="40"/>
  <c r="E52" i="40"/>
  <c r="H38" i="40"/>
  <c r="E38" i="40" s="1"/>
  <c r="I54" i="17"/>
  <c r="E54" i="17" s="1"/>
  <c r="F38" i="44"/>
  <c r="F30" i="44"/>
  <c r="I30" i="14"/>
  <c r="E51" i="17"/>
  <c r="B51" i="17"/>
  <c r="G28" i="37"/>
  <c r="I37" i="77"/>
  <c r="M26" i="77"/>
  <c r="Q26" i="87"/>
  <c r="J24" i="87"/>
  <c r="I24" i="87"/>
  <c r="H24" i="87"/>
  <c r="G24" i="87"/>
  <c r="F24" i="87"/>
  <c r="E24" i="87"/>
  <c r="H23" i="87"/>
  <c r="G23" i="87"/>
  <c r="F23" i="87"/>
  <c r="E23" i="87"/>
  <c r="Q20" i="87"/>
  <c r="S18" i="87"/>
  <c r="H18" i="87"/>
  <c r="G18" i="87"/>
  <c r="F18" i="87"/>
  <c r="E18" i="87"/>
  <c r="S17" i="87"/>
  <c r="M17" i="87"/>
  <c r="N17" i="87"/>
  <c r="L17" i="87"/>
  <c r="K17" i="87"/>
  <c r="J17" i="87"/>
  <c r="I17" i="87"/>
  <c r="H17" i="87"/>
  <c r="G17" i="87"/>
  <c r="F17" i="87"/>
  <c r="E17" i="87"/>
  <c r="H16" i="87"/>
  <c r="G16" i="87"/>
  <c r="F16" i="87"/>
  <c r="E16" i="87"/>
  <c r="H15" i="87"/>
  <c r="G15" i="87"/>
  <c r="F15" i="87"/>
  <c r="E15" i="87"/>
  <c r="H14" i="87"/>
  <c r="G14" i="87"/>
  <c r="F14" i="87"/>
  <c r="E14" i="87"/>
  <c r="H13" i="87"/>
  <c r="G13" i="87"/>
  <c r="F13" i="87"/>
  <c r="E13" i="87"/>
  <c r="L12" i="87"/>
  <c r="K12" i="87"/>
  <c r="J12" i="87"/>
  <c r="I12" i="87"/>
  <c r="H12" i="87"/>
  <c r="G12" i="87"/>
  <c r="F12" i="87"/>
  <c r="E12" i="87"/>
  <c r="M11" i="87"/>
  <c r="J11" i="87"/>
  <c r="I11" i="87"/>
  <c r="H11" i="87"/>
  <c r="G11" i="87"/>
  <c r="F11" i="87"/>
  <c r="E11" i="87"/>
  <c r="D2" i="87"/>
  <c r="E27" i="51" s="1"/>
  <c r="N20" i="77"/>
  <c r="N26" i="77"/>
  <c r="E59" i="40"/>
  <c r="H51" i="40"/>
  <c r="E51" i="40" s="1"/>
  <c r="Q36" i="87"/>
  <c r="J47" i="14"/>
  <c r="T20" i="77"/>
  <c r="T26" i="77"/>
  <c r="H50" i="40"/>
  <c r="F50" i="40" s="1"/>
  <c r="F31" i="80"/>
  <c r="Q40" i="75"/>
  <c r="Q40" i="93" s="1"/>
  <c r="H35" i="75"/>
  <c r="F35" i="75"/>
  <c r="E35" i="75"/>
  <c r="H37" i="40"/>
  <c r="E37" i="40" s="1"/>
  <c r="C31" i="44"/>
  <c r="D32" i="37"/>
  <c r="C32" i="37"/>
  <c r="B32" i="37"/>
  <c r="H37" i="77"/>
  <c r="H34" i="77"/>
  <c r="I34" i="77" s="1"/>
  <c r="H36" i="77"/>
  <c r="K20" i="77"/>
  <c r="J20" i="77"/>
  <c r="J26" i="77" s="1"/>
  <c r="I20" i="77"/>
  <c r="I26" i="77" s="1"/>
  <c r="L20" i="77"/>
  <c r="L26" i="77"/>
  <c r="I9" i="77"/>
  <c r="G36" i="77"/>
  <c r="G43" i="77"/>
  <c r="Q45" i="75"/>
  <c r="Q45" i="93" s="1"/>
  <c r="F30" i="80"/>
  <c r="H48" i="17"/>
  <c r="B49" i="17"/>
  <c r="F16" i="37"/>
  <c r="E49" i="17"/>
  <c r="F21" i="40"/>
  <c r="D31" i="37"/>
  <c r="D30" i="37"/>
  <c r="D29" i="37"/>
  <c r="D28" i="37"/>
  <c r="D27" i="37"/>
  <c r="C31" i="37"/>
  <c r="C30" i="37"/>
  <c r="C29" i="37"/>
  <c r="B31" i="37"/>
  <c r="F31" i="37" s="1"/>
  <c r="E31" i="37" s="1"/>
  <c r="B30" i="37"/>
  <c r="F30" i="37" s="1"/>
  <c r="B29" i="37"/>
  <c r="F29" i="37" s="1"/>
  <c r="I33" i="75"/>
  <c r="H33" i="75"/>
  <c r="G33" i="75"/>
  <c r="F33" i="75"/>
  <c r="E33" i="75"/>
  <c r="C30" i="44"/>
  <c r="H26" i="77"/>
  <c r="G26" i="77"/>
  <c r="C36" i="77"/>
  <c r="D36" i="77"/>
  <c r="E36" i="77"/>
  <c r="F36" i="77"/>
  <c r="G37" i="77"/>
  <c r="D39" i="77"/>
  <c r="D40" i="77"/>
  <c r="D43" i="77"/>
  <c r="G18" i="77"/>
  <c r="G19" i="77" s="1"/>
  <c r="H18" i="77"/>
  <c r="H19" i="77"/>
  <c r="D24" i="77"/>
  <c r="E24" i="77"/>
  <c r="G24" i="77"/>
  <c r="H24" i="77"/>
  <c r="I24" i="77"/>
  <c r="N38" i="80"/>
  <c r="N39" i="80"/>
  <c r="J8" i="77"/>
  <c r="Q20" i="75"/>
  <c r="Q20" i="93" s="1"/>
  <c r="J9" i="77"/>
  <c r="J22" i="77" s="1"/>
  <c r="J24" i="77" s="1"/>
  <c r="E48" i="17"/>
  <c r="B48" i="17"/>
  <c r="H43" i="75"/>
  <c r="G43" i="75"/>
  <c r="F43" i="75"/>
  <c r="E43" i="75"/>
  <c r="I47" i="17"/>
  <c r="E47" i="17" s="1"/>
  <c r="B47" i="17"/>
  <c r="C29" i="44"/>
  <c r="C28" i="44"/>
  <c r="C27" i="44"/>
  <c r="F29" i="44"/>
  <c r="I29" i="14"/>
  <c r="I43" i="75"/>
  <c r="F25" i="44"/>
  <c r="D22" i="44"/>
  <c r="F36" i="40"/>
  <c r="J29" i="17"/>
  <c r="F22" i="44"/>
  <c r="B46" i="17"/>
  <c r="B45" i="17"/>
  <c r="B44" i="17"/>
  <c r="B43" i="17"/>
  <c r="E2" i="51"/>
  <c r="E9" i="75"/>
  <c r="H9" i="75"/>
  <c r="G9" i="75"/>
  <c r="F9" i="75"/>
  <c r="J42" i="17"/>
  <c r="E41" i="17"/>
  <c r="B42" i="17"/>
  <c r="B41" i="17"/>
  <c r="B40" i="17"/>
  <c r="L29" i="44"/>
  <c r="L31" i="44"/>
  <c r="E28" i="44"/>
  <c r="F28" i="44"/>
  <c r="I28" i="14"/>
  <c r="O28" i="80"/>
  <c r="I9" i="75"/>
  <c r="C28" i="37"/>
  <c r="B28" i="37"/>
  <c r="F27" i="44"/>
  <c r="I27" i="14"/>
  <c r="F18" i="44"/>
  <c r="F39" i="17"/>
  <c r="E37" i="17"/>
  <c r="E38" i="17"/>
  <c r="E36" i="17"/>
  <c r="B39" i="17"/>
  <c r="B38" i="17"/>
  <c r="B37" i="17"/>
  <c r="B36" i="17"/>
  <c r="B35" i="17"/>
  <c r="B34" i="17"/>
  <c r="B33" i="17"/>
  <c r="I9" i="87"/>
  <c r="E18" i="40"/>
  <c r="D23" i="44"/>
  <c r="D39" i="44"/>
  <c r="F39" i="44" s="1"/>
  <c r="F42" i="44"/>
  <c r="F41" i="44"/>
  <c r="F40" i="44"/>
  <c r="F20" i="44"/>
  <c r="I21" i="14"/>
  <c r="C27" i="37"/>
  <c r="H10" i="75"/>
  <c r="G10" i="75"/>
  <c r="F10" i="75"/>
  <c r="E10" i="75"/>
  <c r="I24" i="14"/>
  <c r="I25" i="14"/>
  <c r="C25" i="44"/>
  <c r="C26" i="44"/>
  <c r="C10" i="44"/>
  <c r="C11" i="44"/>
  <c r="C12" i="44"/>
  <c r="C13" i="44"/>
  <c r="C14" i="44"/>
  <c r="C15" i="44"/>
  <c r="C16" i="44"/>
  <c r="C17" i="44"/>
  <c r="C18" i="44"/>
  <c r="C19" i="44"/>
  <c r="C20" i="44"/>
  <c r="C21" i="44"/>
  <c r="C22" i="44"/>
  <c r="C23" i="44"/>
  <c r="C24" i="44"/>
  <c r="C9" i="44"/>
  <c r="I12" i="14"/>
  <c r="I15" i="14"/>
  <c r="I16" i="14"/>
  <c r="I17" i="14"/>
  <c r="B27" i="37"/>
  <c r="F27" i="37" s="1"/>
  <c r="B26" i="37"/>
  <c r="F26" i="37" s="1"/>
  <c r="E26" i="37" s="1"/>
  <c r="I35" i="17"/>
  <c r="E35" i="17" s="1"/>
  <c r="I13" i="87"/>
  <c r="I15" i="87"/>
  <c r="F32" i="37"/>
  <c r="E28" i="37"/>
  <c r="E17" i="40"/>
  <c r="I34" i="17"/>
  <c r="E34" i="17"/>
  <c r="H44" i="40"/>
  <c r="E44" i="40"/>
  <c r="F45" i="40"/>
  <c r="E16" i="4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23" i="44"/>
  <c r="I23" i="14"/>
  <c r="I23" i="87"/>
  <c r="S21" i="37"/>
  <c r="Q30" i="75"/>
  <c r="Q30" i="93" s="1"/>
  <c r="I63" i="17"/>
  <c r="H64" i="17"/>
  <c r="I64" i="17"/>
  <c r="F66" i="17"/>
  <c r="M41" i="14" s="1"/>
  <c r="M27" i="75"/>
  <c r="M27" i="93" s="1"/>
  <c r="I27" i="75"/>
  <c r="H27" i="75"/>
  <c r="G27" i="75"/>
  <c r="F27" i="75"/>
  <c r="E27" i="75"/>
  <c r="J28" i="75"/>
  <c r="J28" i="93" s="1"/>
  <c r="I28" i="75"/>
  <c r="H28" i="75"/>
  <c r="G28" i="75"/>
  <c r="F28" i="75"/>
  <c r="E28" i="75"/>
  <c r="J26" i="75"/>
  <c r="J26" i="93" s="1"/>
  <c r="I26" i="75"/>
  <c r="H26" i="75"/>
  <c r="G26" i="75"/>
  <c r="F26" i="75"/>
  <c r="E26" i="75"/>
  <c r="I25" i="75"/>
  <c r="H25" i="75"/>
  <c r="G25" i="75"/>
  <c r="F25" i="75"/>
  <c r="E25" i="75"/>
  <c r="H24" i="75"/>
  <c r="G24" i="75"/>
  <c r="F24" i="75"/>
  <c r="E24" i="75"/>
  <c r="I23" i="75"/>
  <c r="H23" i="75"/>
  <c r="G23" i="75"/>
  <c r="F23" i="75"/>
  <c r="E23" i="75"/>
  <c r="I13" i="75"/>
  <c r="H13" i="75"/>
  <c r="G13" i="75"/>
  <c r="F13" i="75"/>
  <c r="I11" i="75"/>
  <c r="H11" i="75"/>
  <c r="G11" i="75"/>
  <c r="F11" i="75"/>
  <c r="J12" i="75"/>
  <c r="J12" i="93" s="1"/>
  <c r="I12" i="75"/>
  <c r="H12" i="75"/>
  <c r="G12" i="75"/>
  <c r="F12" i="75"/>
  <c r="H14" i="75"/>
  <c r="G14" i="75"/>
  <c r="F14" i="75"/>
  <c r="H18" i="75"/>
  <c r="G18" i="75"/>
  <c r="F18" i="75"/>
  <c r="I15" i="75"/>
  <c r="H15" i="75"/>
  <c r="G15" i="75"/>
  <c r="F15" i="75"/>
  <c r="H16" i="75"/>
  <c r="G16" i="75"/>
  <c r="F16" i="75"/>
  <c r="H17" i="75"/>
  <c r="G17" i="75"/>
  <c r="F17" i="75"/>
  <c r="E13" i="75"/>
  <c r="E11" i="75"/>
  <c r="E12" i="75"/>
  <c r="E14" i="75"/>
  <c r="E18" i="75"/>
  <c r="E15" i="75"/>
  <c r="E16" i="75"/>
  <c r="E17" i="75"/>
  <c r="I33" i="17"/>
  <c r="E33" i="17"/>
  <c r="M12" i="87"/>
  <c r="D26" i="37"/>
  <c r="C26" i="37"/>
  <c r="B25" i="37"/>
  <c r="F25" i="37" s="1"/>
  <c r="B24" i="37"/>
  <c r="F24" i="37" s="1"/>
  <c r="B23" i="37"/>
  <c r="F23" i="37" s="1"/>
  <c r="B22" i="37"/>
  <c r="B21" i="37"/>
  <c r="F21" i="37" s="1"/>
  <c r="B20" i="37"/>
  <c r="F20" i="37" s="1"/>
  <c r="B19" i="37"/>
  <c r="F19" i="37" s="1"/>
  <c r="B18" i="37"/>
  <c r="F18" i="37" s="1"/>
  <c r="E18" i="37" s="1"/>
  <c r="B17" i="37"/>
  <c r="F17" i="37" s="1"/>
  <c r="G17" i="37" s="1"/>
  <c r="B16" i="37"/>
  <c r="B15" i="37"/>
  <c r="F15" i="37" s="1"/>
  <c r="B14" i="37"/>
  <c r="F14" i="37" s="1"/>
  <c r="E14" i="37" s="1"/>
  <c r="B13" i="37"/>
  <c r="F13" i="37" s="1"/>
  <c r="B12" i="37"/>
  <c r="B11" i="37"/>
  <c r="F11" i="37" s="1"/>
  <c r="B10" i="37"/>
  <c r="F10" i="37" s="1"/>
  <c r="E10" i="37" s="1"/>
  <c r="N9" i="14" s="1"/>
  <c r="O18" i="87" s="1"/>
  <c r="F22" i="37"/>
  <c r="N11" i="87"/>
  <c r="C25" i="37"/>
  <c r="C24" i="37"/>
  <c r="C23" i="37"/>
  <c r="C22" i="37"/>
  <c r="C21" i="37"/>
  <c r="C20" i="37"/>
  <c r="C19" i="37"/>
  <c r="C18" i="37"/>
  <c r="C17" i="37"/>
  <c r="C16" i="37"/>
  <c r="C15" i="37"/>
  <c r="C14" i="37"/>
  <c r="C13" i="37"/>
  <c r="C12" i="37"/>
  <c r="C11" i="37"/>
  <c r="C10" i="37"/>
  <c r="I31" i="17"/>
  <c r="E31" i="17"/>
  <c r="O39" i="14"/>
  <c r="O17" i="87"/>
  <c r="D2" i="75"/>
  <c r="E15" i="51" s="1"/>
  <c r="O12" i="87"/>
  <c r="I32" i="17"/>
  <c r="E32" i="17"/>
  <c r="D25" i="37"/>
  <c r="E64" i="40"/>
  <c r="I20" i="14"/>
  <c r="I10" i="87"/>
  <c r="N28" i="75"/>
  <c r="N28" i="93" s="1"/>
  <c r="D2" i="14"/>
  <c r="C2" i="37" s="1"/>
  <c r="F10" i="44"/>
  <c r="I10" i="14"/>
  <c r="I16" i="87"/>
  <c r="E65" i="17"/>
  <c r="H43" i="40"/>
  <c r="E43" i="40"/>
  <c r="H42" i="40"/>
  <c r="E42" i="40" s="1"/>
  <c r="H41" i="40"/>
  <c r="E41" i="40"/>
  <c r="J46" i="14"/>
  <c r="E39" i="40"/>
  <c r="J27" i="75"/>
  <c r="J27" i="93" s="1"/>
  <c r="K27" i="75"/>
  <c r="K27" i="93" s="1"/>
  <c r="I18" i="14"/>
  <c r="I14" i="75"/>
  <c r="F19" i="44"/>
  <c r="I19" i="14"/>
  <c r="I14" i="87"/>
  <c r="I22" i="14"/>
  <c r="F13" i="44"/>
  <c r="I24" i="75"/>
  <c r="I13" i="14"/>
  <c r="F11" i="44"/>
  <c r="F14" i="44"/>
  <c r="F9" i="44"/>
  <c r="I16" i="75"/>
  <c r="I9" i="14"/>
  <c r="I14" i="14"/>
  <c r="I11" i="14"/>
  <c r="K40" i="14"/>
  <c r="I18" i="75"/>
  <c r="I18" i="87"/>
  <c r="K11" i="87"/>
  <c r="I17" i="75"/>
  <c r="L11" i="87"/>
  <c r="E32" i="40"/>
  <c r="E10" i="40"/>
  <c r="E63" i="40"/>
  <c r="E62" i="40"/>
  <c r="E61" i="40"/>
  <c r="E60" i="40"/>
  <c r="E35" i="40"/>
  <c r="E34" i="40"/>
  <c r="F33" i="40"/>
  <c r="E31" i="40"/>
  <c r="F30" i="40"/>
  <c r="E29" i="40"/>
  <c r="E28" i="40"/>
  <c r="E27" i="40"/>
  <c r="E26" i="40"/>
  <c r="E25" i="40"/>
  <c r="E24" i="40"/>
  <c r="E23" i="40"/>
  <c r="E22" i="40"/>
  <c r="F15" i="40"/>
  <c r="E14" i="40"/>
  <c r="F13" i="40"/>
  <c r="E12" i="40"/>
  <c r="E11" i="40"/>
  <c r="F9" i="40"/>
  <c r="E8" i="40"/>
  <c r="E7" i="40"/>
  <c r="F6" i="40"/>
  <c r="E5" i="40"/>
  <c r="E4" i="40"/>
  <c r="N25" i="75"/>
  <c r="N25" i="93" s="1"/>
  <c r="M24" i="87"/>
  <c r="E25" i="17"/>
  <c r="E24" i="17"/>
  <c r="E20" i="37"/>
  <c r="E17" i="17"/>
  <c r="E16" i="17"/>
  <c r="I30" i="17"/>
  <c r="E30" i="17" s="1"/>
  <c r="I29" i="17"/>
  <c r="E29" i="17"/>
  <c r="I27" i="17"/>
  <c r="E27" i="17"/>
  <c r="I26" i="17"/>
  <c r="E26" i="17" s="1"/>
  <c r="I23" i="17"/>
  <c r="E23" i="17"/>
  <c r="I22" i="17"/>
  <c r="E22" i="17" s="1"/>
  <c r="I21" i="17"/>
  <c r="E21" i="17" s="1"/>
  <c r="I20" i="17"/>
  <c r="E20" i="17" s="1"/>
  <c r="I14" i="17"/>
  <c r="E14" i="17"/>
  <c r="I13" i="17"/>
  <c r="E13" i="17"/>
  <c r="I12" i="17"/>
  <c r="E12" i="17" s="1"/>
  <c r="I11" i="17"/>
  <c r="E11" i="17"/>
  <c r="E15" i="17"/>
  <c r="I10" i="17"/>
  <c r="E10" i="17"/>
  <c r="I8" i="17"/>
  <c r="E8" i="17"/>
  <c r="I7" i="17"/>
  <c r="E7" i="17"/>
  <c r="I6" i="17"/>
  <c r="E6" i="17"/>
  <c r="I5" i="17"/>
  <c r="E5" i="17"/>
  <c r="I4" i="17"/>
  <c r="E4" i="17" s="1"/>
  <c r="D24" i="37"/>
  <c r="D23" i="37"/>
  <c r="D22" i="37"/>
  <c r="D21" i="37"/>
  <c r="D20" i="37"/>
  <c r="D19" i="37"/>
  <c r="D18" i="37"/>
  <c r="D17" i="37"/>
  <c r="D16" i="37"/>
  <c r="D15" i="37"/>
  <c r="D14" i="37"/>
  <c r="D13" i="37"/>
  <c r="D12" i="37"/>
  <c r="D11" i="37"/>
  <c r="D10" i="37"/>
  <c r="E19" i="17"/>
  <c r="E18" i="17"/>
  <c r="H9" i="17"/>
  <c r="I9" i="17" s="1"/>
  <c r="E9" i="17" s="1"/>
  <c r="L21" i="14"/>
  <c r="J42" i="14"/>
  <c r="K42" i="14"/>
  <c r="L42" i="14"/>
  <c r="M15" i="75"/>
  <c r="M15" i="93" s="1"/>
  <c r="M13" i="75"/>
  <c r="M13" i="93" s="1"/>
  <c r="K12" i="75"/>
  <c r="K12" i="93" s="1"/>
  <c r="M14" i="87"/>
  <c r="M10" i="87"/>
  <c r="M14" i="75"/>
  <c r="M14" i="93" s="1"/>
  <c r="M18" i="75"/>
  <c r="M18" i="93" s="1"/>
  <c r="M17" i="75"/>
  <c r="M17" i="93" s="1"/>
  <c r="M13" i="87"/>
  <c r="M16" i="75"/>
  <c r="M16" i="93" s="1"/>
  <c r="M15" i="87"/>
  <c r="K36" i="75"/>
  <c r="K36" i="93" s="1"/>
  <c r="M16" i="87"/>
  <c r="M18" i="87"/>
  <c r="K35" i="75"/>
  <c r="K35" i="93" s="1"/>
  <c r="M23" i="75"/>
  <c r="M23" i="93" s="1"/>
  <c r="J15" i="87"/>
  <c r="J18" i="87"/>
  <c r="J17" i="75"/>
  <c r="J17" i="93" s="1"/>
  <c r="J14" i="75"/>
  <c r="J14" i="93" s="1"/>
  <c r="J9" i="75"/>
  <c r="J9" i="93" s="1"/>
  <c r="J10" i="87"/>
  <c r="J14" i="87"/>
  <c r="J13" i="75"/>
  <c r="J13" i="93" s="1"/>
  <c r="J23" i="75"/>
  <c r="J23" i="93" s="1"/>
  <c r="J43" i="75"/>
  <c r="J43" i="93" s="1"/>
  <c r="J13" i="87"/>
  <c r="J33" i="75"/>
  <c r="J33" i="93" s="1"/>
  <c r="J16" i="75"/>
  <c r="J16" i="93" s="1"/>
  <c r="J11" i="75"/>
  <c r="J11" i="93" s="1"/>
  <c r="J23" i="87"/>
  <c r="J9" i="87"/>
  <c r="J16" i="87"/>
  <c r="J24" i="75"/>
  <c r="J24" i="93" s="1"/>
  <c r="J15" i="75"/>
  <c r="J15" i="93" s="1"/>
  <c r="J18" i="75"/>
  <c r="J18" i="93" s="1"/>
  <c r="P39" i="14"/>
  <c r="E38" i="37"/>
  <c r="J29" i="37"/>
  <c r="P17" i="87"/>
  <c r="R17" i="87"/>
  <c r="F26" i="44"/>
  <c r="I26" i="14"/>
  <c r="L27" i="75"/>
  <c r="L27" i="93" s="1"/>
  <c r="I10" i="75"/>
  <c r="J10" i="75"/>
  <c r="J10" i="93" s="1"/>
  <c r="K24" i="87"/>
  <c r="K28" i="75"/>
  <c r="K28" i="93" s="1"/>
  <c r="P47" i="14"/>
  <c r="R25" i="75" s="1"/>
  <c r="R25" i="93" s="1"/>
  <c r="L25" i="75"/>
  <c r="L25" i="93" s="1"/>
  <c r="O47" i="14"/>
  <c r="J25" i="75"/>
  <c r="J25" i="93" s="1"/>
  <c r="O25" i="75"/>
  <c r="O25" i="93" s="1"/>
  <c r="N27" i="75"/>
  <c r="N27" i="93" s="1"/>
  <c r="K8" i="77"/>
  <c r="K9" i="77"/>
  <c r="K22" i="77" s="1"/>
  <c r="K24" i="77" s="1"/>
  <c r="K26" i="77"/>
  <c r="L8" i="77"/>
  <c r="M8" i="77"/>
  <c r="M9" i="77"/>
  <c r="L9" i="77"/>
  <c r="L22" i="77"/>
  <c r="L24" i="77" s="1"/>
  <c r="N9" i="77"/>
  <c r="N22" i="77"/>
  <c r="N24" i="77"/>
  <c r="P38" i="75" l="1"/>
  <c r="P38" i="93" s="1"/>
  <c r="R38" i="75"/>
  <c r="R38" i="93" s="1"/>
  <c r="Q57" i="75"/>
  <c r="Q58" i="75"/>
  <c r="Q54" i="75"/>
  <c r="N23" i="14"/>
  <c r="N10" i="14"/>
  <c r="N13" i="14"/>
  <c r="O16" i="75" s="1"/>
  <c r="O16" i="93" s="1"/>
  <c r="N17" i="14"/>
  <c r="O13" i="75" s="1"/>
  <c r="O13" i="93" s="1"/>
  <c r="N30" i="14"/>
  <c r="O33" i="75" s="1"/>
  <c r="O33" i="93" s="1"/>
  <c r="K15" i="37"/>
  <c r="N15" i="14"/>
  <c r="O15" i="75" s="1"/>
  <c r="O15" i="93" s="1"/>
  <c r="G15" i="37"/>
  <c r="H31" i="51"/>
  <c r="H21" i="40"/>
  <c r="K36" i="77"/>
  <c r="O24" i="77"/>
  <c r="P24" i="77"/>
  <c r="Q22" i="77"/>
  <c r="I36" i="77"/>
  <c r="J34" i="77"/>
  <c r="T9" i="77"/>
  <c r="J4" i="40"/>
  <c r="M48" i="14"/>
  <c r="K56" i="14"/>
  <c r="K49" i="14"/>
  <c r="O54" i="14"/>
  <c r="P49" i="75" s="1"/>
  <c r="P49" i="93" s="1"/>
  <c r="K13" i="51"/>
  <c r="F13" i="51"/>
  <c r="G13" i="51"/>
  <c r="E11" i="51"/>
  <c r="E13" i="51"/>
  <c r="J13" i="51"/>
  <c r="L48" i="75"/>
  <c r="L53" i="14"/>
  <c r="K48" i="14"/>
  <c r="M30" i="14"/>
  <c r="K25" i="14"/>
  <c r="K21" i="14"/>
  <c r="M11" i="14"/>
  <c r="M27" i="14"/>
  <c r="K16" i="14"/>
  <c r="M18" i="14"/>
  <c r="M17" i="14"/>
  <c r="M9" i="14"/>
  <c r="K22" i="14"/>
  <c r="M31" i="14"/>
  <c r="K14" i="14"/>
  <c r="M19" i="14"/>
  <c r="M14" i="14"/>
  <c r="M24" i="14"/>
  <c r="K23" i="14"/>
  <c r="M15" i="14"/>
  <c r="K24" i="14"/>
  <c r="K26" i="14"/>
  <c r="M29" i="14"/>
  <c r="K13" i="14"/>
  <c r="M21" i="14"/>
  <c r="M26" i="14"/>
  <c r="K11" i="14"/>
  <c r="K33" i="14"/>
  <c r="K19" i="14"/>
  <c r="M12" i="14"/>
  <c r="K15" i="14"/>
  <c r="M10" i="14"/>
  <c r="M23" i="14"/>
  <c r="K18" i="14"/>
  <c r="K9" i="14"/>
  <c r="M13" i="14"/>
  <c r="M25" i="14"/>
  <c r="M22" i="14"/>
  <c r="M16" i="14"/>
  <c r="K30" i="14"/>
  <c r="K29" i="14"/>
  <c r="K27" i="14"/>
  <c r="K12" i="14"/>
  <c r="K17" i="14"/>
  <c r="M28" i="14"/>
  <c r="K28" i="14"/>
  <c r="K10" i="14"/>
  <c r="M20" i="14"/>
  <c r="K31" i="14"/>
  <c r="M32" i="14"/>
  <c r="K20" i="14"/>
  <c r="N12" i="87"/>
  <c r="I29" i="51" s="1"/>
  <c r="M42" i="14"/>
  <c r="O41" i="14"/>
  <c r="P41" i="14"/>
  <c r="N33" i="14"/>
  <c r="O37" i="75" s="1"/>
  <c r="O37" i="93" s="1"/>
  <c r="H66" i="17"/>
  <c r="N25" i="14"/>
  <c r="O11" i="75" s="1"/>
  <c r="O11" i="93" s="1"/>
  <c r="N12" i="14"/>
  <c r="N28" i="14"/>
  <c r="O9" i="75" s="1"/>
  <c r="O9" i="93" s="1"/>
  <c r="N21" i="14"/>
  <c r="O23" i="75" s="1"/>
  <c r="O23" i="93" s="1"/>
  <c r="N49" i="14"/>
  <c r="O28" i="75" s="1"/>
  <c r="O28" i="93" s="1"/>
  <c r="N48" i="14"/>
  <c r="N16" i="14"/>
  <c r="N40" i="14"/>
  <c r="O40" i="14" s="1"/>
  <c r="P11" i="87" s="1"/>
  <c r="N32" i="14"/>
  <c r="O36" i="75" s="1"/>
  <c r="O36" i="93" s="1"/>
  <c r="N24" i="14"/>
  <c r="O12" i="75" s="1"/>
  <c r="O12" i="93" s="1"/>
  <c r="N27" i="14"/>
  <c r="O9" i="87" s="1"/>
  <c r="O53" i="14"/>
  <c r="N26" i="14"/>
  <c r="N19" i="14"/>
  <c r="O14" i="87" s="1"/>
  <c r="N18" i="14"/>
  <c r="F12" i="37"/>
  <c r="E12" i="37" s="1"/>
  <c r="N11" i="14" s="1"/>
  <c r="N20" i="14"/>
  <c r="O10" i="87" s="1"/>
  <c r="J35" i="75"/>
  <c r="J35" i="93" s="1"/>
  <c r="M25" i="75"/>
  <c r="M25" i="93" s="1"/>
  <c r="K25" i="75"/>
  <c r="K25" i="93" s="1"/>
  <c r="P54" i="14"/>
  <c r="R49" i="75" s="1"/>
  <c r="R49" i="93" s="1"/>
  <c r="O49" i="75"/>
  <c r="O49" i="93" s="1"/>
  <c r="K52" i="75"/>
  <c r="P25" i="75"/>
  <c r="P25" i="93" s="1"/>
  <c r="N52" i="75"/>
  <c r="E7" i="37"/>
  <c r="G7" i="37"/>
  <c r="D3" i="44"/>
  <c r="H13" i="51"/>
  <c r="I13" i="51"/>
  <c r="D2" i="80"/>
  <c r="F31" i="51"/>
  <c r="E31" i="51"/>
  <c r="E29" i="51"/>
  <c r="E33" i="51" s="1"/>
  <c r="O16" i="87"/>
  <c r="O23" i="87"/>
  <c r="G29" i="51"/>
  <c r="F29" i="51"/>
  <c r="H29" i="51"/>
  <c r="L36" i="75"/>
  <c r="L36" i="93" s="1"/>
  <c r="L12" i="75" l="1"/>
  <c r="L12" i="93" s="1"/>
  <c r="L16" i="87"/>
  <c r="N11" i="75"/>
  <c r="N11" i="93" s="1"/>
  <c r="L23" i="75"/>
  <c r="L23" i="93" s="1"/>
  <c r="N14" i="87"/>
  <c r="L14" i="75"/>
  <c r="L14" i="93" s="1"/>
  <c r="J23" i="14"/>
  <c r="J17" i="14"/>
  <c r="N10" i="87"/>
  <c r="L9" i="87"/>
  <c r="L18" i="75"/>
  <c r="L18" i="93" s="1"/>
  <c r="L24" i="75"/>
  <c r="L24" i="93" s="1"/>
  <c r="N16" i="87"/>
  <c r="L37" i="75"/>
  <c r="L37" i="93" s="1"/>
  <c r="L33" i="75"/>
  <c r="L33" i="93" s="1"/>
  <c r="N10" i="75"/>
  <c r="N10" i="93" s="1"/>
  <c r="N18" i="87"/>
  <c r="N36" i="75"/>
  <c r="N36" i="93" s="1"/>
  <c r="J26" i="14"/>
  <c r="Q54" i="93"/>
  <c r="Q59" i="75"/>
  <c r="F17" i="51"/>
  <c r="K52" i="93"/>
  <c r="I17" i="51"/>
  <c r="N52" i="93"/>
  <c r="L52" i="75"/>
  <c r="L48" i="93"/>
  <c r="E19" i="51"/>
  <c r="O56" i="14"/>
  <c r="N24" i="87"/>
  <c r="I31" i="51" s="1"/>
  <c r="T8" i="77"/>
  <c r="T22" i="77"/>
  <c r="J36" i="77"/>
  <c r="K34" i="77"/>
  <c r="L34" i="77" s="1"/>
  <c r="R22" i="77"/>
  <c r="R24" i="77" s="1"/>
  <c r="Q24" i="77"/>
  <c r="L49" i="14"/>
  <c r="L28" i="75"/>
  <c r="L28" i="93" s="1"/>
  <c r="L26" i="75"/>
  <c r="M13" i="51"/>
  <c r="O14" i="75"/>
  <c r="O14" i="93" s="1"/>
  <c r="L24" i="87"/>
  <c r="K50" i="14"/>
  <c r="J5" i="40" s="1"/>
  <c r="J6" i="40" s="1"/>
  <c r="N26" i="75"/>
  <c r="L56" i="14"/>
  <c r="M48" i="75"/>
  <c r="N13" i="75"/>
  <c r="N13" i="93" s="1"/>
  <c r="M50" i="14"/>
  <c r="N18" i="75"/>
  <c r="N18" i="93" s="1"/>
  <c r="L11" i="75"/>
  <c r="L11" i="93" s="1"/>
  <c r="P49" i="14"/>
  <c r="O11" i="87"/>
  <c r="J29" i="51" s="1"/>
  <c r="L29" i="51" s="1"/>
  <c r="N15" i="75"/>
  <c r="N15" i="93" s="1"/>
  <c r="J14" i="14"/>
  <c r="P15" i="14"/>
  <c r="N13" i="87"/>
  <c r="N17" i="75"/>
  <c r="N17" i="93" s="1"/>
  <c r="N33" i="75"/>
  <c r="N33" i="93" s="1"/>
  <c r="L13" i="75"/>
  <c r="L13" i="93" s="1"/>
  <c r="L23" i="87"/>
  <c r="P25" i="14"/>
  <c r="P17" i="14"/>
  <c r="N9" i="87"/>
  <c r="L31" i="14"/>
  <c r="J15" i="14"/>
  <c r="N16" i="75"/>
  <c r="N16" i="93" s="1"/>
  <c r="J21" i="14"/>
  <c r="J10" i="14"/>
  <c r="L10" i="75"/>
  <c r="L10" i="93" s="1"/>
  <c r="J25" i="14"/>
  <c r="L32" i="14"/>
  <c r="O18" i="14"/>
  <c r="J18" i="14"/>
  <c r="N9" i="75"/>
  <c r="N23" i="87"/>
  <c r="J29" i="14"/>
  <c r="O23" i="14"/>
  <c r="O17" i="14"/>
  <c r="N35" i="75"/>
  <c r="N35" i="93" s="1"/>
  <c r="P33" i="14"/>
  <c r="J11" i="14"/>
  <c r="J22" i="14"/>
  <c r="P9" i="14"/>
  <c r="J28" i="14"/>
  <c r="P20" i="14"/>
  <c r="N43" i="75"/>
  <c r="P21" i="14"/>
  <c r="P30" i="14"/>
  <c r="J9" i="14"/>
  <c r="J30" i="14"/>
  <c r="K36" i="14"/>
  <c r="L43" i="75"/>
  <c r="J20" i="14"/>
  <c r="J16" i="14"/>
  <c r="O33" i="14"/>
  <c r="N24" i="75"/>
  <c r="N24" i="93" s="1"/>
  <c r="L13" i="87"/>
  <c r="L14" i="87"/>
  <c r="N23" i="75"/>
  <c r="N23" i="93" s="1"/>
  <c r="J13" i="14"/>
  <c r="J19" i="14"/>
  <c r="O13" i="14"/>
  <c r="N14" i="75"/>
  <c r="N14" i="93" s="1"/>
  <c r="E30" i="37"/>
  <c r="P16" i="14"/>
  <c r="L16" i="75"/>
  <c r="L16" i="93" s="1"/>
  <c r="O12" i="14"/>
  <c r="L15" i="87"/>
  <c r="N15" i="87"/>
  <c r="J12" i="14"/>
  <c r="J27" i="14"/>
  <c r="O18" i="75"/>
  <c r="O18" i="93" s="1"/>
  <c r="P23" i="14"/>
  <c r="O10" i="14"/>
  <c r="L17" i="75"/>
  <c r="L17" i="93" s="1"/>
  <c r="L24" i="14"/>
  <c r="L35" i="75"/>
  <c r="P10" i="14"/>
  <c r="L18" i="87"/>
  <c r="L9" i="75"/>
  <c r="L15" i="75"/>
  <c r="L15" i="93" s="1"/>
  <c r="R12" i="87"/>
  <c r="P28" i="14"/>
  <c r="L33" i="14"/>
  <c r="P18" i="14"/>
  <c r="O20" i="14"/>
  <c r="N12" i="75"/>
  <c r="N12" i="93" s="1"/>
  <c r="L10" i="87"/>
  <c r="O15" i="14"/>
  <c r="O9" i="14"/>
  <c r="P13" i="14"/>
  <c r="O30" i="14"/>
  <c r="P12" i="87"/>
  <c r="K29" i="51" s="1"/>
  <c r="M36" i="14"/>
  <c r="O28" i="14"/>
  <c r="O21" i="14"/>
  <c r="O15" i="87"/>
  <c r="P32" i="14"/>
  <c r="O32" i="14"/>
  <c r="P40" i="14"/>
  <c r="R11" i="87" s="1"/>
  <c r="O27" i="14"/>
  <c r="N42" i="14"/>
  <c r="K29" i="37" s="1"/>
  <c r="O13" i="87"/>
  <c r="O16" i="14"/>
  <c r="O26" i="14"/>
  <c r="P24" i="14"/>
  <c r="P19" i="14"/>
  <c r="P26" i="14"/>
  <c r="O19" i="14"/>
  <c r="E15" i="37"/>
  <c r="N14" i="14" s="1"/>
  <c r="G23" i="37"/>
  <c r="E23" i="37" s="1"/>
  <c r="N22" i="14" s="1"/>
  <c r="E32" i="37"/>
  <c r="N31" i="14" s="1"/>
  <c r="S22" i="37"/>
  <c r="S23" i="37" s="1"/>
  <c r="O48" i="14"/>
  <c r="P48" i="75"/>
  <c r="O24" i="14"/>
  <c r="O25" i="14"/>
  <c r="O11" i="14"/>
  <c r="O24" i="87"/>
  <c r="J31" i="51" s="1"/>
  <c r="P12" i="14"/>
  <c r="P53" i="14"/>
  <c r="R48" i="75" s="1"/>
  <c r="R48" i="93" s="1"/>
  <c r="N56" i="14"/>
  <c r="P56" i="14" s="1"/>
  <c r="O10" i="75"/>
  <c r="O10" i="93" s="1"/>
  <c r="O48" i="75"/>
  <c r="P48" i="14"/>
  <c r="P11" i="14"/>
  <c r="O49" i="14"/>
  <c r="M29" i="51"/>
  <c r="L13" i="51"/>
  <c r="L26" i="14" l="1"/>
  <c r="K13" i="75"/>
  <c r="K13" i="93" s="1"/>
  <c r="L9" i="93"/>
  <c r="N9" i="93"/>
  <c r="G31" i="51"/>
  <c r="L31" i="51" s="1"/>
  <c r="L26" i="93"/>
  <c r="K23" i="87"/>
  <c r="K26" i="87" s="1"/>
  <c r="L23" i="14"/>
  <c r="R16" i="87"/>
  <c r="P23" i="87"/>
  <c r="L29" i="14"/>
  <c r="R14" i="87"/>
  <c r="M35" i="75"/>
  <c r="M35" i="93" s="1"/>
  <c r="P33" i="75"/>
  <c r="P33" i="93" s="1"/>
  <c r="P18" i="75"/>
  <c r="P18" i="93" s="1"/>
  <c r="P18" i="87"/>
  <c r="K18" i="87"/>
  <c r="R13" i="75"/>
  <c r="R13" i="93" s="1"/>
  <c r="P13" i="87"/>
  <c r="P14" i="75"/>
  <c r="P14" i="93" s="1"/>
  <c r="K9" i="75"/>
  <c r="K11" i="75"/>
  <c r="K11" i="93" s="1"/>
  <c r="K10" i="75"/>
  <c r="K10" i="93" s="1"/>
  <c r="R13" i="87"/>
  <c r="M28" i="75"/>
  <c r="P36" i="75"/>
  <c r="P36" i="93" s="1"/>
  <c r="R18" i="75"/>
  <c r="R18" i="93" s="1"/>
  <c r="R36" i="75"/>
  <c r="R36" i="93" s="1"/>
  <c r="K15" i="87"/>
  <c r="R18" i="87"/>
  <c r="K16" i="75"/>
  <c r="K16" i="93" s="1"/>
  <c r="M36" i="75"/>
  <c r="M36" i="93" s="1"/>
  <c r="M37" i="75"/>
  <c r="M37" i="93" s="1"/>
  <c r="R33" i="75"/>
  <c r="R33" i="93" s="1"/>
  <c r="K14" i="75"/>
  <c r="K14" i="93" s="1"/>
  <c r="R23" i="87"/>
  <c r="R10" i="87"/>
  <c r="K16" i="87"/>
  <c r="P37" i="75"/>
  <c r="P37" i="93" s="1"/>
  <c r="R15" i="87"/>
  <c r="P14" i="87"/>
  <c r="P15" i="87"/>
  <c r="R37" i="75"/>
  <c r="R37" i="93" s="1"/>
  <c r="R12" i="75"/>
  <c r="R12" i="93" s="1"/>
  <c r="R16" i="75"/>
  <c r="R16" i="93" s="1"/>
  <c r="R10" i="75"/>
  <c r="R10" i="93" s="1"/>
  <c r="R28" i="75"/>
  <c r="R28" i="93" s="1"/>
  <c r="M52" i="75"/>
  <c r="M48" i="93"/>
  <c r="P52" i="75"/>
  <c r="P48" i="93"/>
  <c r="O52" i="75"/>
  <c r="R52" i="75" s="1"/>
  <c r="R52" i="93" s="1"/>
  <c r="O48" i="93"/>
  <c r="G17" i="51"/>
  <c r="M17" i="51" s="1"/>
  <c r="L52" i="93"/>
  <c r="I15" i="51"/>
  <c r="N26" i="93"/>
  <c r="L40" i="75"/>
  <c r="L40" i="93" s="1"/>
  <c r="L35" i="93"/>
  <c r="N45" i="75"/>
  <c r="N45" i="93" s="1"/>
  <c r="N43" i="93"/>
  <c r="L45" i="75"/>
  <c r="L45" i="93" s="1"/>
  <c r="L43" i="93"/>
  <c r="N26" i="87"/>
  <c r="M34" i="77"/>
  <c r="M36" i="77" s="1"/>
  <c r="L36" i="77"/>
  <c r="L50" i="14" s="1"/>
  <c r="T24" i="77"/>
  <c r="M22" i="77"/>
  <c r="M24" i="77" s="1"/>
  <c r="L30" i="75"/>
  <c r="G15" i="51"/>
  <c r="M58" i="14"/>
  <c r="K58" i="14"/>
  <c r="L26" i="87"/>
  <c r="J28" i="37"/>
  <c r="K17" i="75"/>
  <c r="K17" i="93" s="1"/>
  <c r="N40" i="75"/>
  <c r="N40" i="93" s="1"/>
  <c r="K15" i="75"/>
  <c r="K15" i="93" s="1"/>
  <c r="R11" i="75"/>
  <c r="R11" i="93" s="1"/>
  <c r="R15" i="75"/>
  <c r="R15" i="93" s="1"/>
  <c r="L30" i="14"/>
  <c r="P16" i="75"/>
  <c r="P16" i="93" s="1"/>
  <c r="N20" i="87"/>
  <c r="K23" i="75"/>
  <c r="K23" i="93" s="1"/>
  <c r="O20" i="87"/>
  <c r="K13" i="87"/>
  <c r="R23" i="75"/>
  <c r="R23" i="93" s="1"/>
  <c r="K33" i="75"/>
  <c r="L22" i="14"/>
  <c r="K43" i="75"/>
  <c r="K10" i="87"/>
  <c r="I27" i="51"/>
  <c r="I33" i="51" s="1"/>
  <c r="L25" i="14"/>
  <c r="K18" i="75"/>
  <c r="K18" i="93" s="1"/>
  <c r="G27" i="51"/>
  <c r="G11" i="51"/>
  <c r="L28" i="14"/>
  <c r="J36" i="14"/>
  <c r="R14" i="75"/>
  <c r="R14" i="93" s="1"/>
  <c r="L20" i="75"/>
  <c r="L20" i="87"/>
  <c r="K14" i="87"/>
  <c r="N30" i="75"/>
  <c r="P10" i="87"/>
  <c r="P13" i="75"/>
  <c r="P13" i="93" s="1"/>
  <c r="K24" i="75"/>
  <c r="K24" i="93" s="1"/>
  <c r="M12" i="75"/>
  <c r="M12" i="93" s="1"/>
  <c r="L27" i="14"/>
  <c r="N29" i="14"/>
  <c r="I11" i="51"/>
  <c r="P9" i="75"/>
  <c r="N20" i="75"/>
  <c r="P15" i="75"/>
  <c r="P15" i="93" s="1"/>
  <c r="P16" i="87"/>
  <c r="R9" i="75"/>
  <c r="R9" i="93" s="1"/>
  <c r="K9" i="87"/>
  <c r="P23" i="75"/>
  <c r="P23" i="93" s="1"/>
  <c r="P9" i="87"/>
  <c r="J27" i="51"/>
  <c r="J33" i="51" s="1"/>
  <c r="P10" i="75"/>
  <c r="P10" i="93" s="1"/>
  <c r="P42" i="14"/>
  <c r="P11" i="75"/>
  <c r="P11" i="93" s="1"/>
  <c r="O42" i="14"/>
  <c r="P14" i="14"/>
  <c r="O14" i="14"/>
  <c r="R24" i="87"/>
  <c r="P12" i="75"/>
  <c r="P12" i="93" s="1"/>
  <c r="O26" i="87"/>
  <c r="P28" i="75"/>
  <c r="P28" i="93" s="1"/>
  <c r="O17" i="75"/>
  <c r="Y15" i="77"/>
  <c r="N45" i="14"/>
  <c r="O35" i="75"/>
  <c r="O31" i="14"/>
  <c r="P31" i="14"/>
  <c r="E44" i="37"/>
  <c r="N46" i="14" s="1"/>
  <c r="P24" i="87"/>
  <c r="O24" i="75"/>
  <c r="O24" i="93" s="1"/>
  <c r="O22" i="14"/>
  <c r="P22" i="14"/>
  <c r="M31" i="51" l="1"/>
  <c r="M23" i="87"/>
  <c r="M26" i="87" s="1"/>
  <c r="M10" i="75"/>
  <c r="M10" i="93" s="1"/>
  <c r="K9" i="93"/>
  <c r="P9" i="93"/>
  <c r="K31" i="51"/>
  <c r="G33" i="51"/>
  <c r="M33" i="51" s="1"/>
  <c r="M28" i="93"/>
  <c r="M9" i="87"/>
  <c r="N36" i="14"/>
  <c r="K28" i="37" s="1"/>
  <c r="M33" i="75"/>
  <c r="M40" i="75" s="1"/>
  <c r="M40" i="93" s="1"/>
  <c r="M24" i="75"/>
  <c r="M24" i="93" s="1"/>
  <c r="M11" i="75"/>
  <c r="M11" i="93" s="1"/>
  <c r="M43" i="75"/>
  <c r="M45" i="75" s="1"/>
  <c r="M45" i="93" s="1"/>
  <c r="I19" i="51"/>
  <c r="M15" i="51"/>
  <c r="N20" i="93"/>
  <c r="L30" i="93"/>
  <c r="L20" i="93"/>
  <c r="N30" i="93"/>
  <c r="J17" i="51"/>
  <c r="L17" i="51" s="1"/>
  <c r="O52" i="93"/>
  <c r="O40" i="75"/>
  <c r="O40" i="93" s="1"/>
  <c r="O35" i="93"/>
  <c r="K17" i="51"/>
  <c r="P52" i="93"/>
  <c r="O20" i="75"/>
  <c r="O20" i="93" s="1"/>
  <c r="O17" i="93"/>
  <c r="H17" i="51"/>
  <c r="M52" i="93"/>
  <c r="K45" i="75"/>
  <c r="K45" i="93" s="1"/>
  <c r="K43" i="93"/>
  <c r="K40" i="75"/>
  <c r="K40" i="93" s="1"/>
  <c r="K33" i="93"/>
  <c r="N36" i="87"/>
  <c r="I39" i="51" s="1"/>
  <c r="M26" i="75"/>
  <c r="J45" i="14"/>
  <c r="G19" i="51"/>
  <c r="L54" i="75"/>
  <c r="L36" i="87"/>
  <c r="S26" i="87"/>
  <c r="O29" i="14"/>
  <c r="K20" i="75"/>
  <c r="R20" i="87"/>
  <c r="M9" i="75"/>
  <c r="F11" i="51"/>
  <c r="M11" i="51"/>
  <c r="M27" i="51"/>
  <c r="N54" i="75"/>
  <c r="L36" i="14"/>
  <c r="L58" i="14" s="1"/>
  <c r="O43" i="75"/>
  <c r="F27" i="51"/>
  <c r="F33" i="51" s="1"/>
  <c r="P29" i="14"/>
  <c r="K20" i="87"/>
  <c r="K36" i="87" s="1"/>
  <c r="O36" i="87"/>
  <c r="J39" i="51" s="1"/>
  <c r="P20" i="87"/>
  <c r="R26" i="87"/>
  <c r="K27" i="51"/>
  <c r="R17" i="75"/>
  <c r="R17" i="93" s="1"/>
  <c r="N50" i="14"/>
  <c r="P50" i="14" s="1"/>
  <c r="L27" i="51"/>
  <c r="P17" i="75"/>
  <c r="P17" i="93" s="1"/>
  <c r="P46" i="14"/>
  <c r="J30" i="37"/>
  <c r="P26" i="87"/>
  <c r="O46" i="14"/>
  <c r="R35" i="75"/>
  <c r="R35" i="93" s="1"/>
  <c r="O27" i="75"/>
  <c r="R24" i="75"/>
  <c r="R24" i="93" s="1"/>
  <c r="P35" i="75"/>
  <c r="P24" i="75"/>
  <c r="P24" i="93" s="1"/>
  <c r="P45" i="14"/>
  <c r="O45" i="14"/>
  <c r="O26" i="75"/>
  <c r="O26" i="93" s="1"/>
  <c r="Y17" i="77"/>
  <c r="Z15" i="77"/>
  <c r="Y16" i="77"/>
  <c r="L33" i="51" l="1"/>
  <c r="K33" i="51"/>
  <c r="O27" i="93"/>
  <c r="M20" i="87"/>
  <c r="M36" i="87" s="1"/>
  <c r="H27" i="51"/>
  <c r="H33" i="51" s="1"/>
  <c r="M43" i="93"/>
  <c r="M33" i="93"/>
  <c r="R43" i="75"/>
  <c r="R43" i="93" s="1"/>
  <c r="P36" i="14"/>
  <c r="K26" i="75"/>
  <c r="L54" i="93"/>
  <c r="K20" i="93"/>
  <c r="H15" i="51"/>
  <c r="M26" i="93"/>
  <c r="P20" i="75"/>
  <c r="R20" i="75"/>
  <c r="R20" i="93" s="1"/>
  <c r="R40" i="75"/>
  <c r="R40" i="93" s="1"/>
  <c r="O45" i="75"/>
  <c r="O45" i="93" s="1"/>
  <c r="O43" i="93"/>
  <c r="P40" i="75"/>
  <c r="P40" i="93" s="1"/>
  <c r="P35" i="93"/>
  <c r="I38" i="51"/>
  <c r="N54" i="93"/>
  <c r="H11" i="51"/>
  <c r="M9" i="93"/>
  <c r="M30" i="75"/>
  <c r="J50" i="14"/>
  <c r="J58" i="14" s="1"/>
  <c r="G38" i="51"/>
  <c r="M19" i="51"/>
  <c r="G39" i="51"/>
  <c r="P43" i="75"/>
  <c r="O36" i="14"/>
  <c r="M20" i="75"/>
  <c r="F39" i="51"/>
  <c r="J11" i="51"/>
  <c r="L11" i="51" s="1"/>
  <c r="R36" i="87"/>
  <c r="P36" i="87"/>
  <c r="K30" i="37"/>
  <c r="N58" i="14"/>
  <c r="P58" i="14" s="1"/>
  <c r="O50" i="14"/>
  <c r="R27" i="75"/>
  <c r="R27" i="93" s="1"/>
  <c r="O30" i="75"/>
  <c r="J15" i="51"/>
  <c r="L15" i="51" s="1"/>
  <c r="P27" i="75"/>
  <c r="P27" i="93" s="1"/>
  <c r="R26" i="75"/>
  <c r="R26" i="93" s="1"/>
  <c r="Z16" i="77"/>
  <c r="Z17" i="77"/>
  <c r="P26" i="75"/>
  <c r="K39" i="51" l="1"/>
  <c r="H39" i="51"/>
  <c r="K26" i="93"/>
  <c r="P26" i="93"/>
  <c r="K30" i="75"/>
  <c r="K54" i="75" s="1"/>
  <c r="F15" i="51"/>
  <c r="F19" i="51" s="1"/>
  <c r="H19" i="51"/>
  <c r="P20" i="93"/>
  <c r="M30" i="93"/>
  <c r="M20" i="93"/>
  <c r="R45" i="75"/>
  <c r="R45" i="93" s="1"/>
  <c r="R30" i="75"/>
  <c r="R30" i="93" s="1"/>
  <c r="O30" i="93"/>
  <c r="P45" i="75"/>
  <c r="P45" i="93" s="1"/>
  <c r="P43" i="93"/>
  <c r="M54" i="75"/>
  <c r="K11" i="51"/>
  <c r="O58" i="14"/>
  <c r="O54" i="75"/>
  <c r="J19" i="51"/>
  <c r="P30" i="75"/>
  <c r="K15" i="51"/>
  <c r="K30" i="93" l="1"/>
  <c r="K54" i="93"/>
  <c r="O54" i="93"/>
  <c r="M54" i="93"/>
  <c r="P54" i="75"/>
  <c r="P30" i="93"/>
  <c r="H38" i="51"/>
  <c r="K19" i="51"/>
  <c r="J38" i="51"/>
  <c r="L19" i="51"/>
  <c r="R54" i="75"/>
  <c r="R54" i="93" s="1"/>
  <c r="F38" i="51"/>
  <c r="P54" i="93" l="1"/>
  <c r="K38"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37" authorId="0" shapeId="0" xr:uid="{5DEA0B13-E33E-4180-92DF-2858678CB164}">
      <text>
        <r>
          <rPr>
            <sz val="9"/>
            <color indexed="81"/>
            <rFont val="Tahoma"/>
            <family val="2"/>
          </rPr>
          <t xml:space="preserve">
549K S-A shares at $121.15 per share for a total of $66.5m
438K shares at $102.84 per share of common stock from the founder group, for a total of $45m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 ref="F53" authorId="0" shapeId="0" xr:uid="{9B829F58-3B47-4B6B-B409-10A7160E2AE8}">
      <text>
        <r>
          <rPr>
            <b/>
            <sz val="9"/>
            <color indexed="81"/>
            <rFont val="Tahoma"/>
            <family val="2"/>
          </rPr>
          <t>Adjustment to the return of capital</t>
        </r>
        <r>
          <rPr>
            <sz val="9"/>
            <color indexed="81"/>
            <rFont val="Tahoma"/>
            <family val="2"/>
          </rPr>
          <t xml:space="preserve">
</t>
        </r>
      </text>
    </comment>
    <comment ref="E56" authorId="0" shapeId="0" xr:uid="{32AFBA45-ADA5-4777-9848-E273DE5C7794}">
      <text>
        <r>
          <rPr>
            <b/>
            <sz val="9"/>
            <color indexed="81"/>
            <rFont val="Tahoma"/>
            <family val="2"/>
          </rPr>
          <t xml:space="preserve">Note:
</t>
        </r>
        <r>
          <rPr>
            <b/>
            <sz val="9"/>
            <color indexed="81"/>
            <rFont val="Tahoma"/>
            <family val="2"/>
          </rPr>
          <t>1. Need to cross check the final figures from Finance, and also the date of receipt of these cashflows...</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tc={44F8063D-23BB-4014-842E-8A38E117B405}</author>
  </authors>
  <commentList>
    <comment ref="G26" authorId="0" shapeId="0" xr:uid="{1A613243-CC56-4158-A8AE-871F696E3E62}">
      <text>
        <r>
          <rPr>
            <b/>
            <sz val="9"/>
            <color indexed="81"/>
            <rFont val="Tahoma"/>
            <family val="2"/>
          </rPr>
          <t>As per the B-6 round, available on Carta</t>
        </r>
        <r>
          <rPr>
            <sz val="9"/>
            <color indexed="81"/>
            <rFont val="Tahoma"/>
            <family val="2"/>
          </rPr>
          <t xml:space="preserve">
</t>
        </r>
      </text>
    </comment>
    <comment ref="F28" authorId="1"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as on 22 May 2025 (Cap Table)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G14" authorId="0" shapeId="0" xr:uid="{EEACF4EE-98E3-4BDB-B529-05D588616FA3}">
      <text>
        <r>
          <rPr>
            <sz val="9"/>
            <color indexed="81"/>
            <rFont val="Tahoma"/>
            <family val="2"/>
          </rPr>
          <t xml:space="preserve">
https://www.londonstockexchange.com/news-article/ONT/admission-of-ordinary-shares-total-voting-rights/16603289</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09 Jun 2025 : Refer Email: </t>
        </r>
        <r>
          <rPr>
            <sz val="9"/>
            <color indexed="81"/>
            <rFont val="Tahoma"/>
            <family val="2"/>
          </rPr>
          <t xml:space="preserve">Please see attached final/actual cap table. We received this just today. This reflects $563M first close where  D2 Investments RSC Ltd basic shareholding is 8.78%
</t>
        </r>
        <r>
          <rPr>
            <b/>
            <sz val="9"/>
            <color indexed="81"/>
            <rFont val="Tahoma"/>
            <family val="2"/>
          </rPr>
          <t xml:space="preserve">
On a fully diluted basis: </t>
        </r>
        <r>
          <rPr>
            <sz val="9"/>
            <color indexed="81"/>
            <rFont val="Tahoma"/>
            <family val="2"/>
          </rPr>
          <t xml:space="preserve">Note that G42 has 101m warrants of the 240m dilutive options/warrants outstanding. Hence, excluding G42 warrants (assuming we are unable to generate any revenue for DriveNets) G42 was 9.40% before transaction and approx. 7.24% now. </t>
        </r>
        <r>
          <rPr>
            <b/>
            <sz val="9"/>
            <color indexed="81"/>
            <rFont val="Tahoma"/>
            <family val="2"/>
          </rPr>
          <t>01 May 25</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 ref="E30" authorId="0" shapeId="0" xr:uid="{9D49BE05-EF11-4A3A-9D0E-4C6C1CDAC462}">
      <text>
        <r>
          <rPr>
            <sz val="9"/>
            <color indexed="81"/>
            <rFont val="Tahoma"/>
            <family val="2"/>
          </rPr>
          <t xml:space="preserve">Post Series D, assumes additional $40m raise
</t>
        </r>
      </text>
    </comment>
    <comment ref="D31" authorId="0" shapeId="0" xr:uid="{B7027F9E-E960-4FDD-8F2D-62A89D2281CF}">
      <text>
        <r>
          <rPr>
            <b/>
            <sz val="9"/>
            <color indexed="81"/>
            <rFont val="Tahoma"/>
            <family val="2"/>
          </rPr>
          <t>DRS Statement</t>
        </r>
        <r>
          <rPr>
            <sz val="9"/>
            <color indexed="81"/>
            <rFont val="Tahoma"/>
            <family val="2"/>
          </rPr>
          <t xml:space="preserve">
</t>
        </r>
      </text>
    </comment>
    <comment ref="E31" authorId="0" shapeId="0" xr:uid="{9F7AA351-DA40-4C21-B934-28B8E7E0D6B0}">
      <text>
        <r>
          <rPr>
            <b/>
            <sz val="9"/>
            <color indexed="81"/>
            <rFont val="Tahoma"/>
            <family val="2"/>
          </rPr>
          <t>Author:</t>
        </r>
        <r>
          <rPr>
            <sz val="9"/>
            <color indexed="81"/>
            <rFont val="Tahoma"/>
            <family val="2"/>
          </rPr>
          <t xml:space="preserve">
https://www.verses.ai/news/verses-announces-consolidation-of-class-a-subordinate-voting-shares-in-preparation-for-a-planned-uplisting-to-nasdaq</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3" authorId="0" shapeId="0" xr:uid="{07C4DE22-C77C-4EEA-8D80-31EFDBB9EE77}">
      <text>
        <r>
          <rPr>
            <b/>
            <sz val="9"/>
            <color indexed="81"/>
            <rFont val="Tahoma"/>
            <family val="2"/>
          </rPr>
          <t>Author:</t>
        </r>
        <r>
          <rPr>
            <sz val="9"/>
            <color indexed="81"/>
            <rFont val="Tahoma"/>
            <family val="2"/>
          </rPr>
          <t xml:space="preserve">
upon exercise of its call option, EPTH will purchase 437,587 shares of Common Stock from the Founder Group, for $102.8366 per share for a total aggregate investment of $44,999,959.29 </t>
        </r>
      </text>
    </comment>
    <comment ref="L47"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I53" authorId="0" shapeId="0" xr:uid="{9375A9F7-6E54-44D7-9F2D-36DF555208B2}">
      <text>
        <r>
          <rPr>
            <b/>
            <sz val="9"/>
            <color indexed="81"/>
            <rFont val="Tahoma"/>
            <family val="2"/>
          </rPr>
          <t>G42's share in MGX Fund pursuant to second close on 19th June 2025 is 3.125%</t>
        </r>
        <r>
          <rPr>
            <sz val="9"/>
            <color indexed="81"/>
            <rFont val="Tahoma"/>
            <family val="2"/>
          </rPr>
          <t xml:space="preserve">
</t>
        </r>
      </text>
    </comment>
    <comment ref="N53" authorId="0" shapeId="0" xr:uid="{3562B9BB-3EDD-4FD1-9B38-3692BAC8BC95}">
      <text>
        <r>
          <rPr>
            <b/>
            <sz val="9"/>
            <color indexed="81"/>
            <rFont val="Tahoma"/>
            <family val="2"/>
          </rPr>
          <t>Estimated loss of NAV, as we don’t have individual NAVs</t>
        </r>
        <r>
          <rPr>
            <sz val="9"/>
            <color indexed="81"/>
            <rFont val="Tahoma"/>
            <family val="2"/>
          </rPr>
          <t xml:space="preserve">
</t>
        </r>
      </text>
    </comment>
    <comment ref="N54" authorId="0" shapeId="0" xr:uid="{FE9BABAE-C3F2-4FC7-A8AD-3E85C9370560}">
      <text>
        <r>
          <rPr>
            <b/>
            <sz val="9"/>
            <color indexed="81"/>
            <rFont val="Tahoma"/>
            <family val="2"/>
          </rPr>
          <t>Estimated loss of NAV, as we don’t have individual NAVs</t>
        </r>
        <r>
          <rPr>
            <sz val="9"/>
            <color indexed="81"/>
            <rFont val="Tahoma"/>
            <family val="2"/>
          </rPr>
          <t xml:space="preserve">
</t>
        </r>
      </text>
    </comment>
    <comment ref="G62"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tc={0ADAD006-5CE8-449D-92A3-5FC598B26531}</author>
    <author>tc={0F456735-905C-4D62-8BA2-B224D0DD36E6}</author>
    <author>Author</author>
    <author>tc={EE6B2636-8562-4C26-A84A-95E5C726EBAD}</author>
    <author>tc={EF0CB8C0-DF9D-4600-B7AF-E48DF57A2FE5}</author>
  </authors>
  <commentList>
    <comment ref="P6" authorId="0" shapeId="0" xr:uid="{0ADAD006-5CE8-449D-92A3-5FC598B26531}">
      <text>
        <t xml:space="preserve">[Threaded comment]
Your version of Excel allows you to read this threaded comment; however, any edits to it will get removed if the file is opened in a newer version of Excel. Learn more: https://go.microsoft.com/fwlink/?linkid=870924
Comment:
    Funds EUR 2.4m received on 04Feb
</t>
      </text>
    </comment>
    <comment ref="O17" authorId="1"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2" shapeId="0" xr:uid="{EE33863C-D5EA-42C3-8555-DC23E35317DB}">
      <text>
        <r>
          <rPr>
            <b/>
            <sz val="9"/>
            <color indexed="81"/>
            <rFont val="Tahoma"/>
            <family val="2"/>
          </rPr>
          <t>Author:</t>
        </r>
        <r>
          <rPr>
            <sz val="9"/>
            <color indexed="81"/>
            <rFont val="Tahoma"/>
            <family val="2"/>
          </rPr>
          <t xml:space="preserve">
Equalization</t>
        </r>
      </text>
    </comment>
    <comment ref="D20" authorId="2"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2" shapeId="0" xr:uid="{85FF19F8-B52B-4332-812F-BF716CD16EAF}">
      <text>
        <r>
          <rPr>
            <b/>
            <sz val="9"/>
            <color indexed="81"/>
            <rFont val="Tahoma"/>
            <family val="2"/>
          </rPr>
          <t>Investment in Kayrros</t>
        </r>
        <r>
          <rPr>
            <sz val="9"/>
            <color indexed="81"/>
            <rFont val="Tahoma"/>
            <family val="2"/>
          </rPr>
          <t xml:space="preserve">
</t>
        </r>
      </text>
    </comment>
    <comment ref="K20" authorId="2" shapeId="0" xr:uid="{192A2E97-DBE8-40F1-8815-E5E5D625851F}">
      <text>
        <r>
          <rPr>
            <b/>
            <sz val="9"/>
            <color indexed="81"/>
            <rFont val="Tahoma"/>
            <family val="2"/>
          </rPr>
          <t>Investment in Simera</t>
        </r>
      </text>
    </comment>
    <comment ref="L20" authorId="3"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0" authorId="4" shapeId="0" xr:uid="{EF0CB8C0-DF9D-4600-B7AF-E48DF57A2FE5}">
      <text>
        <t xml:space="preserve">[Threaded comment]
Your version of Excel allows you to read this threaded comment; however, any edits to it will get removed if the file is opened in a newer version of Excel. Learn more: https://go.microsoft.com/fwlink/?linkid=870924
Comment:
    Net Capital Call, which is a distribution in this case. There is a corresponding increase in the remaining commitment
</t>
      </text>
    </comment>
    <comment ref="T22" authorId="2"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 ref="L33" authorId="2" shapeId="0" xr:uid="{3692B0F9-5F38-4CAE-B600-76EC32CA59B5}">
      <text>
        <r>
          <rPr>
            <b/>
            <sz val="9"/>
            <color indexed="81"/>
            <rFont val="Tahoma"/>
            <family val="2"/>
          </rPr>
          <t>source: capital account statement Q125</t>
        </r>
        <r>
          <rPr>
            <sz val="9"/>
            <color indexed="81"/>
            <rFont val="Tahoma"/>
            <family val="2"/>
          </rPr>
          <t xml:space="preserve">
</t>
        </r>
      </text>
    </comment>
    <comment ref="M33" authorId="2" shapeId="0" xr:uid="{670E3271-258B-475F-9850-68E7339AE0FF}">
      <text>
        <r>
          <rPr>
            <b/>
            <sz val="9"/>
            <color indexed="81"/>
            <rFont val="Tahoma"/>
            <family val="2"/>
          </rPr>
          <t>source: capital account statement Q2'25</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<sst xmlns="http://schemas.openxmlformats.org/spreadsheetml/2006/main" count="4527" uniqueCount="853">
  <si>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</si>
  <si>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</si>
  <si>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</si>
  <si>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</si>
  <si>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</si>
  <si>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</si>
  <si>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</si>
  <si>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</si>
  <si>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</si>
  <si>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</si>
  <si>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</si>
  <si>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</si>
  <si>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</si>
  <si>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</si>
  <si>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</si>
  <si>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</si>
  <si>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</si>
  <si>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</si>
  <si>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</si>
  <si>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</si>
  <si>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</si>
  <si>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</si>
  <si>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</si>
  <si>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</si>
  <si>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</si>
  <si>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</si>
  <si>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</si>
  <si>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</si>
  <si>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</si>
  <si>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</si>
  <si>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</si>
  <si>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</si>
  <si>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</si>
  <si>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</si>
  <si>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</si>
  <si>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</si>
  <si>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</si>
  <si>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</si>
  <si>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</si>
  <si>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</si>
  <si>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</si>
  <si>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</si>
  <si>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</si>
  <si>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Convertible Note</t>
  </si>
  <si>
    <t>Ordinary Shares</t>
  </si>
  <si>
    <t>Vintage</t>
  </si>
  <si>
    <t>Jollychic Holding Limited</t>
  </si>
  <si>
    <t xml:space="preserve">Glass Earth Holdings LLC </t>
  </si>
  <si>
    <t>A (Ordinary Shares)</t>
  </si>
  <si>
    <t>Remaining Commitment</t>
  </si>
  <si>
    <t>Deals</t>
  </si>
  <si>
    <t>Fund</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</si>
  <si>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</si>
  <si>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</si>
  <si>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</si>
  <si>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</si>
  <si>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</si>
  <si>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</si>
  <si>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</si>
  <si>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</si>
  <si>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</si>
  <si>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</si>
  <si>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</si>
  <si>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</si>
  <si>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</si>
  <si>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</si>
  <si>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</si>
  <si>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</si>
  <si>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</si>
  <si>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</si>
  <si>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</si>
  <si>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</si>
  <si>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</si>
  <si>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</si>
  <si>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</si>
  <si>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</si>
  <si>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</si>
  <si>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</si>
  <si>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</si>
  <si>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Representative</t>
  </si>
  <si>
    <t>In Liquidation</t>
  </si>
  <si>
    <t>USD, Million</t>
  </si>
  <si>
    <t>#</t>
  </si>
  <si>
    <t xml:space="preserve">Investments </t>
  </si>
  <si>
    <t>Current Shares/Units</t>
  </si>
  <si>
    <t>ONT plc</t>
  </si>
  <si>
    <t>vTv Therapeutics Inc.</t>
  </si>
  <si>
    <t>Note:</t>
  </si>
  <si>
    <t>USD AED</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</si>
  <si>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</si>
  <si>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</si>
  <si>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</si>
  <si>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</si>
  <si>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</si>
  <si>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</si>
  <si>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</si>
  <si>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</si>
  <si>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</si>
  <si>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</si>
  <si>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</si>
  <si>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</si>
  <si>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</si>
  <si>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</si>
  <si>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</si>
  <si>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</si>
  <si>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</si>
  <si>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</si>
  <si>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</si>
  <si>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</si>
  <si>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</si>
  <si>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</si>
  <si>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</si>
  <si>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</si>
  <si>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</si>
  <si>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</si>
  <si>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</si>
  <si>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</si>
  <si>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</si>
  <si>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</si>
  <si>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</si>
  <si>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</si>
  <si>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</si>
  <si>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</si>
  <si>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</si>
  <si>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</si>
  <si>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</si>
  <si>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</si>
  <si>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</si>
  <si>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</si>
  <si>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</si>
  <si>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</si>
  <si>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</si>
  <si>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</si>
  <si>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</si>
  <si>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</si>
  <si>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</si>
  <si>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</si>
  <si>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</si>
  <si>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</si>
  <si>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</si>
  <si>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</si>
  <si>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</si>
  <si>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</si>
  <si>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</si>
  <si>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</si>
  <si>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</si>
  <si>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</si>
  <si>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</si>
  <si>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</si>
  <si>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</si>
  <si>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</si>
  <si>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</si>
  <si>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</si>
  <si>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</si>
  <si>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</si>
  <si>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</si>
  <si>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</si>
  <si>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</si>
  <si>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</si>
  <si>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</si>
  <si>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</si>
  <si>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</si>
  <si>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</si>
  <si>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</si>
  <si>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</si>
  <si>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</si>
  <si>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</si>
  <si>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Gain</t>
  </si>
  <si>
    <t xml:space="preserve">Remaining </t>
  </si>
  <si>
    <t>% OWNERSHIP</t>
  </si>
  <si>
    <t>USA</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</si>
  <si>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</si>
  <si>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</si>
  <si>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</si>
  <si>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</si>
  <si>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</si>
  <si>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</si>
  <si>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</si>
  <si>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</si>
  <si>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</si>
  <si>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</si>
  <si>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</si>
  <si>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</si>
  <si>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</si>
  <si>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</si>
  <si>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</si>
  <si>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</si>
  <si>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</si>
  <si>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</si>
  <si>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</si>
  <si>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</si>
  <si>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</si>
  <si>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</si>
  <si>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</si>
  <si>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</si>
  <si>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</si>
  <si>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</si>
  <si>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</si>
  <si>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</si>
  <si>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</si>
  <si>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</si>
  <si>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</si>
  <si>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</si>
  <si>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</si>
  <si>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</si>
  <si>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</si>
  <si>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</si>
  <si>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</si>
  <si>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</si>
  <si>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</si>
  <si>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</si>
  <si>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</si>
  <si>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</si>
  <si>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</si>
  <si>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</si>
  <si>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</si>
  <si>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</si>
  <si>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</si>
  <si>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</si>
  <si>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</si>
  <si>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</si>
  <si>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</si>
  <si>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</si>
  <si>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</si>
  <si>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</si>
  <si>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</si>
  <si>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</si>
  <si>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</si>
  <si>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</si>
  <si>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</si>
  <si>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$,m</t>
  </si>
  <si>
    <t>X</t>
  </si>
  <si>
    <t xml:space="preserve">eSpace </t>
  </si>
  <si>
    <t>Advisory Board</t>
  </si>
  <si>
    <t>Not yet appointed</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</si>
  <si>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</si>
  <si>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</si>
  <si>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</si>
  <si>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</si>
  <si>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</si>
  <si>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</si>
  <si>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</si>
  <si>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</si>
  <si>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</si>
  <si>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</si>
  <si>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</si>
  <si>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</si>
  <si>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</si>
  <si>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</si>
  <si>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</si>
  <si>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</si>
  <si>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</si>
  <si>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source</t>
  </si>
  <si>
    <t>link</t>
  </si>
  <si>
    <t>Checks:</t>
  </si>
  <si>
    <t>Invested in Q3 2022; During Dec 22, $250m was offloaded to another investor at cost</t>
  </si>
  <si>
    <t>E Q U I T Y</t>
  </si>
  <si>
    <t>Checks</t>
  </si>
  <si>
    <t>October 22</t>
  </si>
  <si>
    <t xml:space="preserve"> Exchange Rate (RMB/USD)</t>
  </si>
  <si>
    <t>Updated as on:</t>
  </si>
  <si>
    <t>Distribution | Actualization Interest</t>
  </si>
  <si>
    <t>TEST</t>
  </si>
  <si>
    <t>Divyesh Mahajan</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</si>
  <si>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</si>
  <si>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</si>
  <si>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</si>
  <si>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</si>
  <si>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</si>
  <si>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</si>
  <si>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</si>
  <si>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</si>
  <si>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</si>
  <si>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</si>
  <si>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</si>
  <si>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</si>
  <si>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</si>
  <si>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</si>
  <si>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</si>
  <si>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</si>
  <si>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</si>
  <si>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</si>
  <si>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</si>
  <si>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</si>
  <si>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</si>
  <si>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</si>
  <si>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</si>
  <si>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</si>
  <si>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</si>
  <si>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</si>
  <si>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</si>
  <si>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</si>
  <si>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</si>
  <si>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</si>
  <si>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</si>
  <si>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</si>
  <si>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Mar'23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</si>
  <si>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</si>
  <si>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</si>
  <si>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</si>
  <si>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</si>
  <si>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</si>
  <si>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</si>
  <si>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</si>
  <si>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</si>
  <si>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</si>
  <si>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</si>
  <si>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</si>
  <si>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</si>
  <si>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</si>
  <si>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</si>
  <si>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</si>
  <si>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</si>
  <si>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</si>
  <si>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</si>
  <si>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</si>
  <si>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</si>
  <si>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</si>
  <si>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</si>
  <si>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</si>
  <si>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</si>
  <si>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</si>
  <si>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</si>
  <si>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</si>
  <si>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</si>
  <si>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</si>
  <si>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</si>
  <si>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</si>
  <si>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</si>
  <si>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</si>
  <si>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</si>
  <si>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</si>
  <si>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</si>
  <si>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</si>
  <si>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</si>
  <si>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</si>
  <si>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</si>
  <si>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</si>
  <si>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</si>
  <si>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</si>
  <si>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</si>
  <si>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</si>
  <si>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</si>
  <si>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</si>
  <si>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</si>
  <si>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</si>
  <si>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</si>
  <si>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</si>
  <si>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</si>
  <si>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</si>
  <si>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</si>
  <si>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</si>
  <si>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</si>
  <si>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</si>
  <si>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</si>
  <si>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</si>
  <si>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</si>
  <si>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</si>
  <si>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</si>
  <si>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</si>
  <si>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</si>
  <si>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</si>
  <si>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</si>
  <si>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</si>
  <si>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</si>
  <si>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</si>
  <si>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</si>
  <si>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</si>
  <si>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</si>
  <si>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</si>
  <si>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</si>
  <si>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</si>
  <si>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</si>
  <si>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</si>
  <si>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</si>
  <si>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2Q'23</t>
  </si>
  <si>
    <t xml:space="preserve">7th Capital Call </t>
  </si>
  <si>
    <t>10Q report Jun'23</t>
  </si>
  <si>
    <t xml:space="preserve">8th Capital Call </t>
  </si>
  <si>
    <t>Written Off</t>
  </si>
  <si>
    <t>Written-off</t>
  </si>
  <si>
    <t>In Default</t>
  </si>
  <si>
    <t>PX to be replaced by XP</t>
  </si>
  <si>
    <t>Additonal Upside/Downside</t>
  </si>
  <si>
    <t>3Q'23</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</si>
  <si>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</si>
  <si>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</si>
  <si>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</si>
  <si>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</si>
  <si>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</si>
  <si>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</si>
  <si>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</si>
  <si>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</si>
  <si>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</si>
  <si>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</si>
  <si>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</si>
  <si>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</si>
  <si>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</si>
  <si>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</si>
  <si>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</si>
  <si>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</si>
  <si>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</si>
  <si>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</si>
  <si>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</si>
  <si>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</si>
  <si>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</si>
  <si>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</si>
  <si>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</si>
  <si>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</si>
  <si>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</si>
  <si>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</si>
  <si>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</si>
  <si>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</si>
  <si>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</si>
  <si>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</si>
  <si>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</si>
  <si>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</si>
  <si>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</si>
  <si>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</si>
  <si>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</si>
  <si>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</si>
  <si>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</si>
  <si>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</si>
  <si>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</si>
  <si>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</si>
  <si>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</si>
  <si>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</si>
  <si>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</si>
  <si>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</si>
  <si>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</si>
  <si>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</si>
  <si>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</si>
  <si>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</si>
  <si>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</si>
  <si>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</si>
  <si>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</si>
  <si>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</si>
  <si>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</si>
  <si>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</si>
  <si>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</si>
  <si>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</si>
  <si>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</si>
  <si>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</si>
  <si>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</si>
  <si>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</si>
  <si>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</si>
  <si>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</si>
  <si>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</si>
  <si>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</si>
  <si>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</si>
  <si>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</si>
  <si>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</si>
  <si>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</si>
  <si>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</si>
  <si>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</si>
  <si>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</si>
  <si>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</si>
  <si>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</si>
  <si>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</si>
  <si>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</si>
  <si>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</si>
  <si>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</si>
  <si>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</si>
  <si>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</si>
  <si>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</si>
  <si>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</si>
  <si>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</si>
  <si>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</si>
  <si>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</si>
  <si>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</si>
  <si>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</si>
  <si>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</si>
  <si>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</si>
  <si>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</si>
  <si>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</si>
  <si>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</si>
  <si>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</si>
  <si>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</si>
  <si>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</si>
  <si>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</si>
  <si>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</si>
  <si>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</si>
  <si>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</si>
  <si>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</si>
  <si>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</si>
  <si>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</si>
  <si>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</si>
  <si>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</si>
  <si>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</si>
  <si>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</si>
  <si>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</si>
  <si>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</si>
  <si>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</si>
  <si>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</si>
  <si>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</si>
  <si>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</si>
  <si>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</si>
  <si>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</si>
  <si>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</si>
  <si>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</si>
  <si>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</si>
  <si>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</si>
  <si>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</si>
  <si>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</si>
  <si>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</si>
  <si>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</si>
  <si>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</si>
  <si>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</si>
  <si>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</si>
  <si>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</si>
  <si>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</si>
  <si>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</si>
  <si>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</si>
  <si>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</si>
  <si>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</si>
  <si>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</si>
  <si>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</si>
  <si>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</si>
  <si>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</si>
  <si>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</si>
  <si>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</si>
  <si>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</si>
  <si>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</si>
  <si>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</si>
  <si>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</si>
  <si>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</si>
  <si>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</si>
  <si>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</si>
  <si>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</si>
  <si>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</si>
  <si>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</si>
  <si>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</si>
  <si>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</si>
  <si>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</si>
  <si>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</si>
  <si>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</si>
  <si>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</si>
  <si>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</si>
  <si>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</si>
  <si>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</si>
  <si>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</si>
  <si>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</si>
  <si>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</si>
  <si>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</si>
  <si>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</si>
  <si>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</si>
  <si>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</si>
  <si>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</si>
  <si>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</si>
  <si>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</si>
  <si>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</si>
  <si>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</si>
  <si>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</si>
  <si>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</si>
  <si>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</si>
  <si>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</si>
  <si>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</si>
  <si>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</si>
  <si>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</si>
  <si>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</si>
  <si>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</si>
  <si>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</si>
  <si>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</si>
  <si>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</si>
  <si>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</si>
  <si>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</si>
  <si>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</si>
  <si>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Mozn 4</t>
  </si>
  <si>
    <t>Core42 5</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</si>
  <si>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</si>
  <si>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</si>
  <si>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</si>
  <si>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</si>
  <si>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</si>
  <si>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</si>
  <si>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</si>
  <si>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</si>
  <si>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</si>
  <si>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</si>
  <si>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</si>
  <si>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</si>
  <si>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</si>
  <si>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</si>
  <si>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</si>
  <si>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</si>
  <si>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</si>
  <si>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</si>
  <si>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</si>
  <si>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</si>
  <si>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</si>
  <si>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n/a; 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</si>
  <si>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</si>
  <si>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</si>
  <si>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</si>
  <si>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</si>
  <si>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</si>
  <si>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</si>
  <si>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</si>
  <si>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</si>
  <si>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</si>
  <si>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</si>
  <si>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</si>
  <si>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</si>
  <si>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</si>
  <si>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</si>
  <si>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</si>
  <si>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</si>
  <si>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</si>
  <si>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</si>
  <si>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</si>
  <si>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</si>
  <si>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2Q'24</t>
  </si>
  <si>
    <t>Aug'24</t>
  </si>
  <si>
    <t>New Space Capital capital call of EUR 2.1m funded</t>
  </si>
  <si>
    <t>Beyond Limits carrying value marked down</t>
  </si>
  <si>
    <t>source: coinmarket cap</t>
  </si>
  <si>
    <t>Marked down as per new round discussion Aug'24</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</si>
  <si>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</si>
  <si>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</si>
  <si>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</si>
  <si>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</si>
  <si>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</si>
  <si>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</si>
  <si>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</si>
  <si>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</si>
  <si>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</si>
  <si>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</si>
  <si>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</si>
  <si>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</si>
  <si>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</si>
  <si>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</si>
  <si>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</si>
  <si>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</si>
  <si>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</si>
  <si>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</si>
  <si>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</si>
  <si>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</si>
  <si>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</si>
  <si>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</si>
  <si>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</si>
  <si>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</si>
  <si>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</si>
  <si>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</si>
  <si>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</si>
  <si>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</si>
  <si>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</si>
  <si>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</si>
  <si>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</si>
  <si>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</si>
  <si>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</si>
  <si>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</si>
  <si>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</si>
  <si>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</si>
  <si>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</si>
  <si>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</si>
  <si>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</si>
  <si>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</si>
  <si>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</si>
  <si>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</si>
  <si>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</si>
  <si>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As per the recent fund raise for Series D</t>
  </si>
  <si>
    <t>Expansion Project Technologies Holding 10 SPV RSC Ltd</t>
  </si>
  <si>
    <t>Inveniam Ltd</t>
  </si>
  <si>
    <t>SAR</t>
  </si>
  <si>
    <t>Drawdown 16</t>
  </si>
  <si>
    <t>3Q'24</t>
  </si>
  <si>
    <t>NAV (after carried interest)</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</si>
  <si>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</si>
  <si>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</si>
  <si>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</si>
  <si>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</si>
  <si>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</si>
  <si>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</si>
  <si>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</si>
  <si>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</si>
  <si>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t>20% Eq</t>
  </si>
  <si>
    <r>
      <rPr>
        <b/>
        <sz val="11"/>
        <color theme="1"/>
        <rFont val="Garamond"/>
        <family val="1"/>
      </rPr>
      <t xml:space="preserve">h) Inveniam: </t>
    </r>
    <r>
      <rPr>
        <sz val="11"/>
        <color theme="1"/>
        <rFont val="Garamond"/>
        <family val="1"/>
      </rPr>
      <t>60% upside if Tokens sold $2.5+, Anti Dilution protection</t>
    </r>
  </si>
  <si>
    <t>Full Exit for Inveniam SAR</t>
  </si>
  <si>
    <t>Divested all 62.5M tokens for $100M</t>
  </si>
  <si>
    <t>Acquired 20% equivalent equity via SAR, in exchange for WLD valued at $100M</t>
  </si>
  <si>
    <t>NAV marked to the recent Series D raised at $7.1307  per share</t>
  </si>
  <si>
    <t>20% equivalent</t>
  </si>
  <si>
    <t>llink</t>
  </si>
  <si>
    <t>Marked down to the latest round</t>
  </si>
  <si>
    <t xml:space="preserve">Held at 2.27X </t>
  </si>
  <si>
    <t>Dec'24</t>
  </si>
  <si>
    <t>eSpace</t>
  </si>
  <si>
    <t>carrying value marked up to $58.44 per share</t>
  </si>
  <si>
    <t>AAICO</t>
  </si>
  <si>
    <t>carrying value marked up to $39M (or 2.27X of cost)</t>
  </si>
  <si>
    <t>recevied a distribution of $499K in lieu of profit share for Surplus Worldcoin Token Proceeds</t>
  </si>
  <si>
    <t>MGX Group Holding 1 Ltd (GP)</t>
  </si>
  <si>
    <t>G42 Holding</t>
  </si>
  <si>
    <t>MGX &amp; Related Investments</t>
  </si>
  <si>
    <t>MGX I LP</t>
  </si>
  <si>
    <t>Liquid AI</t>
  </si>
  <si>
    <t>Not Completed</t>
  </si>
  <si>
    <t>Awaiting CFIUS clearance</t>
  </si>
  <si>
    <t>Awaiting CFIUS clearance;  option to buy $45m more</t>
  </si>
  <si>
    <t>TBD</t>
  </si>
  <si>
    <t>Series F-1</t>
  </si>
  <si>
    <t>EPTH7</t>
  </si>
  <si>
    <t>Cerebras Systems Inc F1</t>
  </si>
  <si>
    <t>Jan'25</t>
  </si>
  <si>
    <t>Cerebras F1</t>
  </si>
  <si>
    <t>MGX and associated investments</t>
  </si>
  <si>
    <t>MGX</t>
  </si>
  <si>
    <t>MGX LP</t>
  </si>
  <si>
    <t>MGX GP</t>
  </si>
  <si>
    <t>MGX related</t>
  </si>
  <si>
    <t>Subjected to CFIUS approval; new investment w/ $65m commitment and an option to invest a further $40m</t>
  </si>
  <si>
    <t>$2Bn of commitments across the fund, and the co-investment vehicles</t>
  </si>
  <si>
    <t>Verses</t>
  </si>
  <si>
    <t xml:space="preserve">Subjected to CFIUS clearance, $335m commitment to invest in the series F1 </t>
  </si>
  <si>
    <t>Received $320K of the transaction costs, but not included in the distributions, as it is an offset to the transaction costs</t>
  </si>
  <si>
    <t xml:space="preserve">EPTH8; option to buy more </t>
  </si>
  <si>
    <t>Drawdown 17</t>
  </si>
  <si>
    <t xml:space="preserve"> Drawdown 18</t>
  </si>
  <si>
    <t>Drawdown (Notice 17)</t>
  </si>
  <si>
    <t>To Q4'24…</t>
  </si>
  <si>
    <t>Feb'25</t>
  </si>
  <si>
    <t xml:space="preserve">New Space Capital </t>
  </si>
  <si>
    <t xml:space="preserve">Acies </t>
  </si>
  <si>
    <t>Actualization Interest + Return of Capital Distribution of EUR 2.4m received</t>
  </si>
  <si>
    <t>Mar'25 | Expected developments during March 2025, which are still in progress</t>
  </si>
  <si>
    <t>Apr'25</t>
  </si>
  <si>
    <t>EPTH11 option to buy $45m more</t>
  </si>
  <si>
    <t>New round/Secondary sale Q1 25</t>
  </si>
  <si>
    <t>Ardent Valuation as of 31 Dec 24</t>
  </si>
  <si>
    <t>Eline</t>
  </si>
  <si>
    <t>Endless</t>
  </si>
  <si>
    <t>Upside if Tokens sold &gt; $2.5 per token</t>
  </si>
  <si>
    <t>Vantage</t>
  </si>
  <si>
    <t>Databricks</t>
  </si>
  <si>
    <t>Khazna</t>
  </si>
  <si>
    <t>Organisation Expenses</t>
  </si>
  <si>
    <t>Partnership Expenses</t>
  </si>
  <si>
    <t>Additional Capital Call EUR 711K</t>
  </si>
  <si>
    <t>Additional Capital Call, USD 1.7m</t>
  </si>
  <si>
    <t>Additional Capital Call, USD c150m across the main fund and co-investments</t>
  </si>
  <si>
    <t>Invested $20m, for the first closing</t>
  </si>
  <si>
    <t>Q1'25</t>
  </si>
  <si>
    <t>Drawdown (Notice 18)</t>
  </si>
  <si>
    <t>As per 3rd Party Ardent Estimates | Equity marked down</t>
  </si>
  <si>
    <t>Date of Notice</t>
  </si>
  <si>
    <t>Capital Contributed</t>
  </si>
  <si>
    <t>Unfunded Capital Commitment</t>
  </si>
  <si>
    <t>Notice</t>
  </si>
  <si>
    <t>Capital Commitment</t>
  </si>
  <si>
    <t>Amount Invested</t>
  </si>
  <si>
    <t>MGX HoldCo</t>
  </si>
  <si>
    <t>Share Capital</t>
  </si>
  <si>
    <t>Drawdown Notice No. 1 - 19/12/2024</t>
  </si>
  <si>
    <t>Open AI </t>
  </si>
  <si>
    <t>X.AI</t>
  </si>
  <si>
    <t>Anthropic </t>
  </si>
  <si>
    <t>Organisational Expenses (8m)</t>
  </si>
  <si>
    <t>Operating Expenses</t>
  </si>
  <si>
    <t>Drawdown Notice No. 2 - 24/02/2025</t>
  </si>
  <si>
    <t>Drawdown Notice No. 3 - 25/02/2025</t>
  </si>
  <si>
    <t>Safe Superintelligence Inc.</t>
  </si>
  <si>
    <t>MGX Denali (AIV)</t>
  </si>
  <si>
    <t>Capital Call Notice - 11/06/2024</t>
  </si>
  <si>
    <t>Capital Call Notice - 25/06/2024</t>
  </si>
  <si>
    <t>Capital Call Notice - 27/09/2024</t>
  </si>
  <si>
    <t>Capital Call Notice - 16/10/2024</t>
  </si>
  <si>
    <t>Capital Call Notice - 19/12/2024</t>
  </si>
  <si>
    <t>Drawdown Notice No. 6 - 10/03/2025</t>
  </si>
  <si>
    <t>MGX Strategic Co-Invest</t>
  </si>
  <si>
    <t>Capital Call Notice - 22/11/2024</t>
  </si>
  <si>
    <t>Distribution Notice No. 1 - 19/12/2024</t>
  </si>
  <si>
    <t>Drawdown Notice No. 3 - 24/02/2025</t>
  </si>
  <si>
    <t>Drawdown Notice No. 4 - 25/02/2025</t>
  </si>
  <si>
    <t>GXI</t>
  </si>
  <si>
    <t>MGX1 Co-invest</t>
  </si>
  <si>
    <t>MGX 1 Strategic Co-invest</t>
  </si>
  <si>
    <t>MGX Co-Invest LP</t>
  </si>
  <si>
    <t>Valuation revised, as per the guidance by Ardent, Dec'24</t>
  </si>
  <si>
    <t>Received distribution of $84.8m from partial exit</t>
  </si>
  <si>
    <t>Funded $2.1m for the capital call</t>
  </si>
  <si>
    <t>Partially Realized</t>
  </si>
  <si>
    <t>Neuralink</t>
  </si>
  <si>
    <t>Series E</t>
  </si>
  <si>
    <t>Cap Table as of May'25</t>
  </si>
  <si>
    <t>EPTH12</t>
  </si>
  <si>
    <t>May'25</t>
  </si>
  <si>
    <t>$50m investment</t>
  </si>
  <si>
    <t>Flyr, Drivenets</t>
  </si>
  <si>
    <t>Updated % ownership details</t>
  </si>
  <si>
    <t>Cerebras</t>
  </si>
  <si>
    <t>Revised Commitment to $111.7m (from $335m)</t>
  </si>
  <si>
    <t>Drawdown 19</t>
  </si>
  <si>
    <t>Revised valuation as per round B6 (refer Carta)</t>
  </si>
  <si>
    <t>VRSSF</t>
  </si>
  <si>
    <t>ONT</t>
  </si>
  <si>
    <t>VTVT</t>
  </si>
  <si>
    <t>GBPUSD</t>
  </si>
  <si>
    <t>USDCNY</t>
  </si>
  <si>
    <t>Drawdown (Notice 19)</t>
  </si>
  <si>
    <t>Jun'25</t>
  </si>
  <si>
    <t>Funded a capital call of EUR 2.3m</t>
  </si>
  <si>
    <t>Jul'25</t>
  </si>
  <si>
    <t>MGX capital calls paid USD 6,182,440.92,  MGX equalization refund received USD 57,059,152.35</t>
  </si>
  <si>
    <t>Capital Call</t>
  </si>
  <si>
    <t>GX Investments Ltd : MGX and Related Investments</t>
  </si>
  <si>
    <t>A Prefs</t>
  </si>
  <si>
    <t>Q2'25</t>
  </si>
  <si>
    <t>Drawdown 20</t>
  </si>
  <si>
    <t>Drawdown (Notice 20) | Return of Capital</t>
  </si>
  <si>
    <t>Drawdown (Notice 20) Equalization Interest</t>
  </si>
  <si>
    <t>Drawdown (Notice 20) | Capital Call</t>
  </si>
  <si>
    <t>TBC</t>
  </si>
  <si>
    <t>=STOCKHISTORY(J18,$K$16,$K$16,0,0)</t>
  </si>
  <si>
    <t>Aug' 25</t>
  </si>
  <si>
    <t>revalued at $5.42 per share</t>
  </si>
  <si>
    <t>MGX Fund I LP</t>
  </si>
  <si>
    <t>Expenses</t>
  </si>
  <si>
    <t>Drawdown Notice No. 4 - 10/04/2025</t>
  </si>
  <si>
    <t>Partnership expenses</t>
  </si>
  <si>
    <t>Drawdown Notice No. 5 – 20/06/2025</t>
  </si>
  <si>
    <t>SSI</t>
  </si>
  <si>
    <t>Binance</t>
  </si>
  <si>
    <t>Finance Expenses</t>
  </si>
  <si>
    <t>Drawdown Notice No. 6 – 09/07/2025</t>
  </si>
  <si>
    <t>Drawdown Notice No. 8 - 20/06/2025</t>
  </si>
  <si>
    <t>Organisational Expenses</t>
  </si>
  <si>
    <t>Drawdown Notice No. 9 - 09/07/2025</t>
  </si>
  <si>
    <t>Optionse</t>
  </si>
  <si>
    <t>Flyr Warrantsa</t>
  </si>
  <si>
    <t>DN Warrants b</t>
  </si>
  <si>
    <t>vTv $30m milestn payment c</t>
  </si>
  <si>
    <t>9.9% GP | Anchorf</t>
  </si>
  <si>
    <t>EPTH9 Revenue linked RSUs</t>
  </si>
  <si>
    <t>EPTH10 Upside if Tokens sold &gt; $2.5 per token</t>
  </si>
  <si>
    <t>Cloud Creditg</t>
  </si>
  <si>
    <t>Altera Corporation</t>
  </si>
  <si>
    <t>Drawdown Notice No. 7 – 19/08/2025</t>
  </si>
  <si>
    <t>Campus AI</t>
  </si>
  <si>
    <t>OpenAI Global, LLC</t>
  </si>
  <si>
    <t>Q2'25  capital account statement</t>
  </si>
  <si>
    <t>MGX I LP Denali</t>
  </si>
  <si>
    <t>NAV</t>
  </si>
  <si>
    <t>Pro Rata NAV</t>
  </si>
  <si>
    <t>Total Capital Called</t>
  </si>
  <si>
    <t>MGX 1 LP</t>
  </si>
  <si>
    <t>cashflows</t>
  </si>
  <si>
    <t>Denali</t>
  </si>
  <si>
    <t>Capital Contributed upto Q2'25</t>
  </si>
  <si>
    <t>Capital Contributed during Jul, Aug 25</t>
  </si>
  <si>
    <t>Combined (MGX 1 + Denali)</t>
  </si>
  <si>
    <t>Source: Capital Account Statement Q2 25</t>
  </si>
  <si>
    <t>Aug 25  | Estimated</t>
  </si>
  <si>
    <t>removed new funding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</si>
</sst>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6" formatCode="&quot;$&quot;#,##0_);[Red]\(&quot;$&quot;#,##0\)"/>
    <numFmt numFmtId="8" formatCode="&quot;$&quot;#,##0.00_);[Red]\(&quot;$&quot;#,##0.00\)"/>
    <numFmt numFmtId="44" formatCode="_(&quot;$&quot;* #,##0.00_);_(&quot;$&quot;* \(#,##0.00\);_(&quot;$&quot;* &quot;-&quot;??_);_(@_)"/>
    <numFmt numFmtId="43" formatCode="_(* #,##0.00_);_(* \(#,##0.00\);_(* &quot;-&quot;??_);_(@_)"/>
    <numFmt numFmtId="164" formatCode="_-* #,##0.00_-;\-* #,##0.00_-;_-* &quot;-&quot;??_-;_-@_-"/>
    <numFmt numFmtId="165" formatCode="0.00\x"/>
    <numFmt numFmtId="166" formatCode="0.0%"/>
    <numFmt numFmtId="167" formatCode="0.0\x"/>
    <numFmt numFmtId="168" formatCode="&quot;$&quot;#,##0.0_);[Red]\(&quot;$&quot;#,##0.0\)"/>
    <numFmt numFmtId="169" formatCode="[$-10000]d\ mmm\ yyyy;@"/>
    <numFmt numFmtId="170" formatCode="#,##0.000000;[Red]#,##0.000000"/>
    <numFmt numFmtId="171" formatCode="[$£-809]#,##0;[Red][$£-809]#,##0"/>
    <numFmt numFmtId="172" formatCode="[$£-809]#,##0"/>
    <numFmt numFmtId="173" formatCode="&quot;€&quot;#,##0.000_);[Red]\(&quot;€&quot;#,##0.000\)"/>
    <numFmt numFmtId="174" formatCode="&quot;€&quot;#,##0.0_);[Red]\(&quot;€&quot;#,##0.0\)"/>
    <numFmt numFmtId="175" formatCode="#,##0.00\x"/>
    <numFmt numFmtId="176" formatCode="#,##0.00;[Red]#,##0.00"/>
    <numFmt numFmtId="177" formatCode="&quot;AED&quot;#,##0.00"/>
    <numFmt numFmtId="178" formatCode="#,##0;[Red]#,##0"/>
    <numFmt numFmtId="179" formatCode="[$$-409]#,##0.00"/>
    <numFmt numFmtId="180" formatCode="_ * #,##0.00_ ;_ * \-#,##0.00_ ;_ * &quot;-&quot;??_ ;_ @_ "/>
    <numFmt numFmtId="181" formatCode="0.0000%"/>
    <numFmt numFmtId="182" formatCode="_ * #,##0_ ;_ * \-#,##0_ ;_ * &quot;-&quot;??_ ;_ @_ "/>
    <numFmt numFmtId="183" formatCode="&quot;€&quot;#,##0.00_);[Red]\(&quot;€&quot;#,##0.00\)"/>
    <numFmt numFmtId="184" formatCode="_-[$$-409]* #,##0.00_ ;_-[$$-409]* \-#,##0.00\ ;_-[$$-409]* &quot;-&quot;??_ ;_-@_ "/>
    <numFmt numFmtId="185" formatCode="&quot;$&quot;#,##0.000000_);[Red]\(&quot;$&quot;#,##0.000000\)"/>
    <numFmt numFmtId="186" formatCode="[$$-409]#,##0.00_ ;\-[$$-409]#,##0.00\ "/>
    <numFmt numFmtId="187" formatCode="&quot;$&quot;#,##0.00000_);[Red]\(&quot;$&quot;#,##0.00000\)"/>
    <numFmt numFmtId="188" formatCode="[$$-409]#,##0_ ;\-[$$-409]#,##0\ "/>
    <numFmt numFmtId="189" formatCode="0.000%"/>
    <numFmt numFmtId="190" formatCode="[$$-409]#,##0.0_ ;\-[$$-409]#,##0.0\ "/>
    <numFmt numFmtId="191" formatCode="#,##0.00000000;[Red]#,##0.00000000"/>
    <numFmt numFmtId="192" formatCode="&quot;$&quot;#,##0.0000_);[Red]\(&quot;$&quot;#,##0.0000\)"/>
    <numFmt numFmtId="193" formatCode="yyyy&quot;-&quot;mm&quot;-&quot;dd"/>
    <numFmt numFmtId="194" formatCode="yyyy&quot;-&quot;mmm&quot;-&quot;dd"/>
    <numFmt numFmtId="195" formatCode="[$$-409]#,##0"/>
    <numFmt numFmtId="196" formatCode="_([$$-409]* #,##0.00000_);_([$$-409]* \(#,##0.00000\);_([$$-409]* &quot;-&quot;??_);_(@_)"/>
    <numFmt numFmtId="197" formatCode="#,##0.00\X"/>
  </numFmts>
  <fonts count="96">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sz val="10"/>
      <color theme="1"/>
      <name val="Verdana"/>
      <family val="2"/>
    </font>
    <font>
      <i/>
      <sz val="11"/>
      <name val="Garamond"/>
      <family val="1"/>
    </font>
    <font>
      <sz val="11"/>
      <color rgb="FF242424"/>
      <name val="Segoe UI"/>
      <family val="2"/>
    </font>
    <font>
      <sz val="12"/>
      <color rgb="FF000000"/>
      <name val="Aptos"/>
      <family val="2"/>
    </font>
    <font>
      <b/>
      <sz val="12"/>
      <color rgb="FF000000"/>
      <name val="Inherit"/>
    </font>
    <font>
      <sz val="12"/>
      <color rgb="FFED5C57"/>
      <name val="Aptos"/>
      <family val="2"/>
    </font>
  </fonts>
  <fills count="43">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
      <patternFill patternType="solid">
        <fgColor rgb="FFFFC000"/>
        <bgColor indexed="64"/>
      </patternFill>
    </fill>
    <fill>
      <patternFill patternType="solid">
        <fgColor rgb="FFC0E6F5"/>
        <bgColor indexed="64"/>
      </patternFill>
    </fill>
    <fill>
      <patternFill patternType="solid">
        <fgColor rgb="FFFFFFFF"/>
        <bgColor indexed="64"/>
      </patternFill>
    </fill>
    <fill>
      <patternFill patternType="solid">
        <fgColor theme="1" tint="0.249977111117893"/>
        <bgColor indexed="64"/>
      </patternFill>
    </fill>
    <fill>
      <patternFill patternType="solid">
        <fgColor theme="5" tint="-0.249977111117893"/>
        <bgColor indexed="64"/>
      </patternFill>
    </fill>
  </fills>
  <borders count="38">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double">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style="double">
        <color rgb="FF000000"/>
      </bottom>
      <diagonal/>
    </border>
    <border>
      <left style="thin">
        <color rgb="FF000000"/>
      </left>
      <right style="thin">
        <color rgb="FF000000"/>
      </right>
      <top style="thin">
        <color rgb="FF000000"/>
      </top>
      <bottom/>
      <diagonal/>
    </border>
    <border>
      <left/>
      <right style="thin">
        <color rgb="FF000000"/>
      </right>
      <top/>
      <bottom style="double">
        <color rgb="FF000000"/>
      </bottom>
      <diagonal/>
    </border>
  </borders>
  <cellStyleXfs count="15">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4" fontId="1" fillId="0" borderId="0" applyFont="0" applyFill="0" applyBorder="0" applyAlignment="0" applyProtection="0"/>
    <xf numFmtId="44" fontId="1" fillId="0" borderId="0" applyFont="0" applyFill="0" applyBorder="0" applyAlignment="0" applyProtection="0"/>
    <xf numFmtId="0" fontId="44" fillId="0" borderId="0">
      <alignment vertical="center"/>
    </xf>
    <xf numFmtId="180" fontId="44" fillId="0" borderId="0" applyFont="0" applyFill="0" applyBorder="0" applyAlignment="0" applyProtection="0">
      <alignment vertical="center"/>
    </xf>
    <xf numFmtId="9" fontId="44" fillId="0" borderId="0" applyFont="0" applyFill="0" applyBorder="0" applyAlignment="0" applyProtection="0">
      <alignment vertical="center"/>
    </xf>
    <xf numFmtId="0" fontId="45" fillId="0" borderId="0" applyAlignment="0"/>
    <xf numFmtId="0" fontId="86" fillId="0" borderId="0"/>
  </cellStyleXfs>
  <cellXfs count="637">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3"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7"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166" fontId="6" fillId="0" borderId="2" xfId="1" applyNumberFormat="1" applyFont="1" applyFill="1" applyBorder="1" applyAlignment="1">
      <alignment horizontal="center" vertical="center"/>
    </xf>
    <xf numFmtId="166" fontId="7" fillId="3" borderId="1" xfId="1" applyNumberFormat="1" applyFont="1" applyFill="1" applyBorder="1" applyAlignment="1">
      <alignment horizontal="center" vertical="center"/>
    </xf>
    <xf numFmtId="166" fontId="4" fillId="0" borderId="0" xfId="1" applyNumberFormat="1" applyFont="1" applyFill="1" applyBorder="1" applyAlignment="1">
      <alignment horizontal="center" vertical="center"/>
    </xf>
    <xf numFmtId="166" fontId="6" fillId="0" borderId="0" xfId="1" applyNumberFormat="1" applyFont="1" applyFill="1" applyBorder="1" applyAlignment="1">
      <alignment horizontal="center" vertical="center"/>
    </xf>
    <xf numFmtId="168" fontId="6" fillId="0" borderId="0" xfId="0" applyNumberFormat="1" applyFont="1" applyAlignment="1">
      <alignment horizontal="center" vertical="center"/>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1" fillId="0" borderId="0" xfId="0" applyFont="1"/>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6" fontId="4" fillId="0" borderId="0" xfId="1" applyNumberFormat="1" applyFont="1" applyFill="1" applyBorder="1" applyAlignment="1">
      <alignment horizontal="left" vertical="center"/>
    </xf>
    <xf numFmtId="166" fontId="6" fillId="0" borderId="2" xfId="1" applyNumberFormat="1" applyFont="1" applyFill="1" applyBorder="1" applyAlignment="1">
      <alignment horizontal="left" vertical="center"/>
    </xf>
    <xf numFmtId="166" fontId="7" fillId="3" borderId="1" xfId="1" applyNumberFormat="1" applyFont="1" applyFill="1" applyBorder="1" applyAlignment="1">
      <alignment horizontal="left" vertical="center"/>
    </xf>
    <xf numFmtId="49" fontId="13" fillId="0" borderId="2" xfId="1" applyNumberFormat="1" applyFont="1" applyFill="1" applyBorder="1" applyAlignment="1">
      <alignment horizontal="center" vertical="center"/>
    </xf>
    <xf numFmtId="0" fontId="15" fillId="4" borderId="0" xfId="3" applyFont="1" applyFill="1" applyAlignment="1">
      <alignment wrapText="1"/>
    </xf>
    <xf numFmtId="0" fontId="15" fillId="4" borderId="0" xfId="3" applyFont="1" applyFill="1"/>
    <xf numFmtId="169" fontId="16" fillId="7" borderId="0" xfId="3" applyNumberFormat="1" applyFont="1" applyFill="1" applyAlignment="1">
      <alignment horizontal="center" vertical="center" wrapText="1"/>
    </xf>
    <xf numFmtId="0" fontId="16" fillId="7" borderId="0" xfId="3" applyFont="1" applyFill="1" applyAlignment="1">
      <alignment horizontal="center" vertical="center" wrapText="1"/>
    </xf>
    <xf numFmtId="0" fontId="17" fillId="0" borderId="0" xfId="0" applyFont="1"/>
    <xf numFmtId="0" fontId="15" fillId="0" borderId="0" xfId="0" applyFont="1"/>
    <xf numFmtId="0" fontId="15" fillId="10" borderId="0" xfId="3" applyFont="1" applyFill="1"/>
    <xf numFmtId="14" fontId="15" fillId="10" borderId="0" xfId="3" applyNumberFormat="1" applyFont="1" applyFill="1"/>
    <xf numFmtId="169" fontId="15" fillId="10" borderId="0" xfId="3" applyNumberFormat="1" applyFont="1" applyFill="1" applyAlignment="1">
      <alignment horizontal="center"/>
    </xf>
    <xf numFmtId="0" fontId="15" fillId="10" borderId="0" xfId="3" applyFont="1" applyFill="1" applyAlignment="1">
      <alignment horizontal="center"/>
    </xf>
    <xf numFmtId="8" fontId="15" fillId="10" borderId="0" xfId="4" applyNumberFormat="1" applyFont="1" applyFill="1" applyAlignment="1">
      <alignment horizontal="center"/>
    </xf>
    <xf numFmtId="3" fontId="15" fillId="10" borderId="0" xfId="3" applyNumberFormat="1" applyFont="1" applyFill="1" applyAlignment="1">
      <alignment horizontal="center"/>
    </xf>
    <xf numFmtId="169" fontId="15" fillId="0" borderId="0" xfId="0" applyNumberFormat="1" applyFont="1"/>
    <xf numFmtId="49" fontId="15" fillId="0" borderId="0" xfId="0" applyNumberFormat="1" applyFont="1"/>
    <xf numFmtId="0" fontId="15" fillId="0" borderId="0" xfId="0" applyFont="1" applyAlignment="1">
      <alignment horizontal="center"/>
    </xf>
    <xf numFmtId="166" fontId="7" fillId="0" borderId="2" xfId="1" applyNumberFormat="1" applyFont="1" applyFill="1" applyBorder="1" applyAlignment="1">
      <alignment horizontal="left" vertical="center"/>
    </xf>
    <xf numFmtId="166"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6" fontId="9" fillId="0" borderId="4" xfId="0" applyNumberFormat="1" applyFont="1" applyBorder="1" applyAlignment="1">
      <alignment horizontal="center"/>
    </xf>
    <xf numFmtId="166" fontId="9" fillId="0" borderId="4" xfId="0" applyNumberFormat="1" applyFont="1" applyBorder="1" applyAlignment="1">
      <alignment horizontal="left"/>
    </xf>
    <xf numFmtId="0" fontId="9" fillId="0" borderId="10" xfId="0" applyFont="1" applyBorder="1"/>
    <xf numFmtId="166" fontId="9" fillId="0" borderId="0" xfId="0" applyNumberFormat="1" applyFont="1" applyAlignment="1">
      <alignment horizontal="center"/>
    </xf>
    <xf numFmtId="166" fontId="9" fillId="0" borderId="0" xfId="0" applyNumberFormat="1" applyFont="1" applyAlignment="1">
      <alignment horizontal="left"/>
    </xf>
    <xf numFmtId="171" fontId="15" fillId="10" borderId="0" xfId="4" applyNumberFormat="1" applyFont="1" applyFill="1" applyAlignment="1">
      <alignment horizontal="center"/>
    </xf>
    <xf numFmtId="8" fontId="12" fillId="0" borderId="2" xfId="0" applyNumberFormat="1" applyFont="1" applyBorder="1" applyAlignment="1">
      <alignment horizontal="center" vertical="center"/>
    </xf>
    <xf numFmtId="165" fontId="9" fillId="0" borderId="0" xfId="0" applyNumberFormat="1" applyFont="1" applyAlignment="1">
      <alignment horizontal="center"/>
    </xf>
    <xf numFmtId="8" fontId="7" fillId="0" borderId="12" xfId="0" applyNumberFormat="1" applyFont="1" applyBorder="1" applyAlignment="1">
      <alignment horizontal="left" vertical="center"/>
    </xf>
    <xf numFmtId="0" fontId="20" fillId="2" borderId="0" xfId="0" applyFont="1" applyFill="1" applyAlignment="1">
      <alignment horizontal="center" vertical="center" wrapText="1"/>
    </xf>
    <xf numFmtId="8" fontId="7" fillId="16" borderId="1" xfId="0" applyNumberFormat="1" applyFont="1" applyFill="1" applyBorder="1" applyAlignment="1">
      <alignment horizontal="center" vertical="center"/>
    </xf>
    <xf numFmtId="166" fontId="7" fillId="16" borderId="1" xfId="1" applyNumberFormat="1" applyFont="1" applyFill="1" applyBorder="1" applyAlignment="1">
      <alignment horizontal="center" vertical="center"/>
    </xf>
    <xf numFmtId="168" fontId="7" fillId="16" borderId="1" xfId="0" applyNumberFormat="1" applyFont="1" applyFill="1" applyBorder="1" applyAlignment="1">
      <alignment horizontal="center" vertical="center"/>
    </xf>
    <xf numFmtId="167" fontId="7" fillId="16" borderId="1" xfId="0" applyNumberFormat="1" applyFont="1" applyFill="1" applyBorder="1" applyAlignment="1">
      <alignment horizontal="center" vertical="center"/>
    </xf>
    <xf numFmtId="8" fontId="23" fillId="0" borderId="2" xfId="0" applyNumberFormat="1" applyFont="1" applyBorder="1" applyAlignment="1">
      <alignment horizontal="center" vertical="center"/>
    </xf>
    <xf numFmtId="8" fontId="25" fillId="16" borderId="1" xfId="0" applyNumberFormat="1" applyFont="1" applyFill="1" applyBorder="1" applyAlignment="1">
      <alignment horizontal="center" vertical="center"/>
    </xf>
    <xf numFmtId="8" fontId="25" fillId="0" borderId="0" xfId="0" applyNumberFormat="1" applyFont="1" applyAlignment="1">
      <alignment horizontal="center" vertical="center"/>
    </xf>
    <xf numFmtId="166" fontId="23" fillId="0" borderId="2" xfId="1" applyNumberFormat="1" applyFont="1" applyFill="1" applyBorder="1" applyAlignment="1">
      <alignment horizontal="center" vertical="center"/>
    </xf>
    <xf numFmtId="166" fontId="25" fillId="16" borderId="1" xfId="1" applyNumberFormat="1" applyFont="1" applyFill="1" applyBorder="1" applyAlignment="1">
      <alignment horizontal="center" vertical="center"/>
    </xf>
    <xf numFmtId="166" fontId="25" fillId="0" borderId="0" xfId="1" applyNumberFormat="1" applyFont="1" applyFill="1" applyBorder="1" applyAlignment="1">
      <alignment horizontal="center" vertical="center"/>
    </xf>
    <xf numFmtId="166" fontId="25"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6" fontId="6" fillId="9" borderId="0" xfId="1" applyNumberFormat="1" applyFont="1" applyFill="1" applyBorder="1" applyAlignment="1">
      <alignment horizontal="center" vertical="center"/>
    </xf>
    <xf numFmtId="168"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6"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2" borderId="2" xfId="0" applyNumberFormat="1" applyFont="1" applyFill="1" applyBorder="1" applyAlignment="1">
      <alignment horizontal="center" vertical="center"/>
    </xf>
    <xf numFmtId="0" fontId="9" fillId="0" borderId="4" xfId="0" applyFont="1" applyBorder="1" applyAlignment="1">
      <alignment horizontal="center"/>
    </xf>
    <xf numFmtId="0" fontId="26" fillId="0" borderId="0" xfId="0" applyFont="1" applyAlignment="1">
      <alignment horizontal="center"/>
    </xf>
    <xf numFmtId="0" fontId="26" fillId="0" borderId="3" xfId="0" applyFont="1" applyBorder="1" applyAlignment="1">
      <alignment horizontal="center"/>
    </xf>
    <xf numFmtId="8" fontId="13" fillId="0" borderId="2" xfId="0" applyNumberFormat="1" applyFont="1" applyBorder="1" applyAlignment="1">
      <alignment horizontal="center" vertical="center"/>
    </xf>
    <xf numFmtId="166" fontId="13" fillId="0" borderId="0" xfId="1" applyNumberFormat="1" applyFont="1" applyFill="1" applyBorder="1" applyAlignment="1">
      <alignment horizontal="center" vertical="center"/>
    </xf>
    <xf numFmtId="0" fontId="26" fillId="0" borderId="4" xfId="0" applyFont="1" applyBorder="1" applyAlignment="1">
      <alignment horizontal="center"/>
    </xf>
    <xf numFmtId="0" fontId="17" fillId="17" borderId="0" xfId="0" applyFont="1" applyFill="1"/>
    <xf numFmtId="168" fontId="15" fillId="0" borderId="11" xfId="0" applyNumberFormat="1" applyFont="1" applyBorder="1" applyAlignment="1">
      <alignment horizontal="center"/>
    </xf>
    <xf numFmtId="175" fontId="28" fillId="0" borderId="11" xfId="0" applyNumberFormat="1" applyFont="1" applyBorder="1" applyAlignment="1">
      <alignment horizontal="center" vertical="center"/>
    </xf>
    <xf numFmtId="15" fontId="17" fillId="17" borderId="13" xfId="0" applyNumberFormat="1" applyFont="1" applyFill="1" applyBorder="1"/>
    <xf numFmtId="0" fontId="29" fillId="0" borderId="0" xfId="0" applyFont="1"/>
    <xf numFmtId="15" fontId="17" fillId="0" borderId="0" xfId="0" applyNumberFormat="1" applyFont="1"/>
    <xf numFmtId="0" fontId="30" fillId="0" borderId="0" xfId="0" applyFont="1"/>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5" fillId="0" borderId="11" xfId="0" applyNumberFormat="1" applyFont="1" applyBorder="1" applyAlignment="1">
      <alignment horizontal="center"/>
    </xf>
    <xf numFmtId="1" fontId="9" fillId="0" borderId="0" xfId="0" applyNumberFormat="1" applyFont="1" applyAlignment="1">
      <alignment horizontal="center"/>
    </xf>
    <xf numFmtId="0" fontId="26" fillId="0" borderId="0" xfId="0" applyFont="1"/>
    <xf numFmtId="166" fontId="9" fillId="0" borderId="0" xfId="0" applyNumberFormat="1" applyFont="1"/>
    <xf numFmtId="175" fontId="28" fillId="8" borderId="11" xfId="0" applyNumberFormat="1" applyFont="1" applyFill="1" applyBorder="1" applyAlignment="1">
      <alignment horizontal="center" vertical="center"/>
    </xf>
    <xf numFmtId="8" fontId="7" fillId="9" borderId="11" xfId="0" applyNumberFormat="1" applyFont="1" applyFill="1" applyBorder="1" applyAlignment="1">
      <alignment horizontal="left" vertical="center"/>
    </xf>
    <xf numFmtId="0" fontId="32"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165" fontId="9" fillId="0" borderId="3" xfId="0" applyNumberFormat="1" applyFont="1" applyBorder="1" applyAlignment="1">
      <alignment horizontal="center"/>
    </xf>
    <xf numFmtId="0" fontId="26" fillId="0" borderId="0" xfId="0" applyFont="1" applyAlignment="1">
      <alignment horizontal="left"/>
    </xf>
    <xf numFmtId="49" fontId="13" fillId="12" borderId="2" xfId="1" applyNumberFormat="1" applyFont="1" applyFill="1" applyBorder="1" applyAlignment="1">
      <alignment horizontal="center" vertical="center"/>
    </xf>
    <xf numFmtId="49" fontId="33" fillId="3" borderId="1" xfId="1" applyNumberFormat="1" applyFont="1" applyFill="1" applyBorder="1" applyAlignment="1">
      <alignment horizontal="center" vertical="center"/>
    </xf>
    <xf numFmtId="166" fontId="34" fillId="0" borderId="0" xfId="1" applyNumberFormat="1" applyFont="1" applyFill="1" applyBorder="1" applyAlignment="1">
      <alignment horizontal="center" vertical="center"/>
    </xf>
    <xf numFmtId="166" fontId="13" fillId="0" borderId="2" xfId="1" applyNumberFormat="1" applyFont="1" applyFill="1" applyBorder="1" applyAlignment="1">
      <alignment horizontal="center" vertical="center"/>
    </xf>
    <xf numFmtId="166" fontId="33" fillId="3" borderId="1" xfId="1" applyNumberFormat="1" applyFont="1" applyFill="1" applyBorder="1" applyAlignment="1">
      <alignment horizontal="center" vertical="center"/>
    </xf>
    <xf numFmtId="166" fontId="33" fillId="0" borderId="2" xfId="1" applyNumberFormat="1" applyFont="1" applyFill="1" applyBorder="1" applyAlignment="1">
      <alignment horizontal="center" vertical="center"/>
    </xf>
    <xf numFmtId="8" fontId="7" fillId="3" borderId="0" xfId="0" applyNumberFormat="1" applyFont="1" applyFill="1" applyAlignment="1">
      <alignment horizontal="center" vertical="center"/>
    </xf>
    <xf numFmtId="166" fontId="25" fillId="3" borderId="0" xfId="1" applyNumberFormat="1" applyFont="1" applyFill="1" applyBorder="1" applyAlignment="1">
      <alignment horizontal="center" vertical="center"/>
    </xf>
    <xf numFmtId="168" fontId="7" fillId="3" borderId="0" xfId="0" applyNumberFormat="1" applyFont="1" applyFill="1" applyAlignment="1">
      <alignment horizontal="center" vertical="center"/>
    </xf>
    <xf numFmtId="167" fontId="7" fillId="3" borderId="0" xfId="0" applyNumberFormat="1" applyFont="1" applyFill="1" applyAlignment="1">
      <alignment horizontal="center" vertical="center"/>
    </xf>
    <xf numFmtId="8" fontId="7" fillId="0" borderId="0" xfId="0" applyNumberFormat="1" applyFont="1" applyAlignment="1">
      <alignment horizontal="center" vertical="center"/>
    </xf>
    <xf numFmtId="168" fontId="7" fillId="0" borderId="0" xfId="0" applyNumberFormat="1" applyFont="1" applyAlignment="1">
      <alignment horizontal="center" vertical="center"/>
    </xf>
    <xf numFmtId="167"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7" borderId="0" xfId="0" applyFont="1" applyFill="1"/>
    <xf numFmtId="15" fontId="11" fillId="17" borderId="13" xfId="0" applyNumberFormat="1" applyFont="1" applyFill="1" applyBorder="1"/>
    <xf numFmtId="0" fontId="11" fillId="9" borderId="0" xfId="0" applyFont="1" applyFill="1"/>
    <xf numFmtId="170" fontId="9" fillId="0" borderId="0" xfId="0" applyNumberFormat="1" applyFont="1" applyAlignment="1">
      <alignment horizontal="center"/>
    </xf>
    <xf numFmtId="0" fontId="35" fillId="0" borderId="4" xfId="0" applyFont="1" applyBorder="1"/>
    <xf numFmtId="0" fontId="36" fillId="0" borderId="0" xfId="0" applyFont="1"/>
    <xf numFmtId="8" fontId="7" fillId="0" borderId="2" xfId="0" applyNumberFormat="1" applyFont="1" applyBorder="1" applyAlignment="1">
      <alignment horizontal="center" vertical="center"/>
    </xf>
    <xf numFmtId="169" fontId="15"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78" fontId="39" fillId="0" borderId="0" xfId="0" applyNumberFormat="1" applyFont="1" applyAlignment="1">
      <alignment horizontal="center" vertical="center"/>
    </xf>
    <xf numFmtId="178" fontId="39" fillId="0" borderId="2" xfId="0" applyNumberFormat="1" applyFont="1" applyBorder="1" applyAlignment="1">
      <alignment horizontal="center" vertical="center"/>
    </xf>
    <xf numFmtId="178" fontId="39" fillId="16" borderId="1" xfId="0" applyNumberFormat="1" applyFont="1" applyFill="1" applyBorder="1" applyAlignment="1">
      <alignment horizontal="center" vertical="center"/>
    </xf>
    <xf numFmtId="0" fontId="40" fillId="2" borderId="3" xfId="0" applyFont="1" applyFill="1" applyBorder="1" applyAlignment="1">
      <alignment horizontal="centerContinuous" vertical="center"/>
    </xf>
    <xf numFmtId="0" fontId="39"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39" fillId="19" borderId="0" xfId="0" applyFont="1" applyFill="1" applyAlignment="1">
      <alignment horizontal="center" vertical="center"/>
    </xf>
    <xf numFmtId="8" fontId="39" fillId="0" borderId="0" xfId="0" applyNumberFormat="1" applyFont="1" applyAlignment="1">
      <alignment horizontal="left" vertical="center"/>
    </xf>
    <xf numFmtId="166" fontId="23" fillId="0" borderId="0" xfId="1" applyNumberFormat="1" applyFont="1" applyFill="1" applyBorder="1" applyAlignment="1">
      <alignment horizontal="center" vertical="center"/>
    </xf>
    <xf numFmtId="0" fontId="42" fillId="0" borderId="9" xfId="0" applyFont="1" applyBorder="1"/>
    <xf numFmtId="0" fontId="43" fillId="0" borderId="4" xfId="0" applyFont="1" applyBorder="1" applyAlignment="1">
      <alignment horizontal="left"/>
    </xf>
    <xf numFmtId="0" fontId="42" fillId="0" borderId="4" xfId="0" applyFont="1" applyBorder="1" applyAlignment="1">
      <alignment horizontal="center"/>
    </xf>
    <xf numFmtId="166" fontId="42" fillId="0" borderId="4" xfId="0" applyNumberFormat="1" applyFont="1" applyBorder="1" applyAlignment="1">
      <alignment horizontal="center"/>
    </xf>
    <xf numFmtId="4" fontId="42" fillId="0" borderId="4" xfId="0" applyNumberFormat="1" applyFont="1" applyBorder="1" applyAlignment="1">
      <alignment horizontal="center"/>
    </xf>
    <xf numFmtId="165" fontId="42" fillId="0" borderId="4" xfId="0" applyNumberFormat="1" applyFont="1" applyBorder="1" applyAlignment="1">
      <alignment horizontal="center"/>
    </xf>
    <xf numFmtId="0" fontId="42" fillId="0" borderId="10" xfId="0" applyFont="1" applyBorder="1"/>
    <xf numFmtId="0" fontId="42" fillId="0" borderId="0" xfId="0" applyFont="1"/>
    <xf numFmtId="0" fontId="38" fillId="0" borderId="0" xfId="0" applyFont="1" applyAlignment="1">
      <alignment horizontal="left"/>
    </xf>
    <xf numFmtId="8" fontId="23" fillId="0" borderId="0" xfId="0" applyNumberFormat="1" applyFont="1" applyAlignment="1">
      <alignment horizontal="center" vertical="center"/>
    </xf>
    <xf numFmtId="49" fontId="46" fillId="0" borderId="2" xfId="1" applyNumberFormat="1" applyFont="1" applyFill="1" applyBorder="1" applyAlignment="1">
      <alignment horizontal="center" vertical="center"/>
    </xf>
    <xf numFmtId="49" fontId="47" fillId="0" borderId="2" xfId="1" applyNumberFormat="1" applyFont="1" applyFill="1" applyBorder="1" applyAlignment="1">
      <alignment horizontal="center" vertical="center"/>
    </xf>
    <xf numFmtId="49" fontId="39" fillId="3" borderId="1" xfId="1" applyNumberFormat="1" applyFont="1" applyFill="1" applyBorder="1" applyAlignment="1">
      <alignment horizontal="center" vertical="center"/>
    </xf>
    <xf numFmtId="0" fontId="48" fillId="0" borderId="0" xfId="0" applyFont="1"/>
    <xf numFmtId="0" fontId="49" fillId="0" borderId="0" xfId="0" applyFont="1"/>
    <xf numFmtId="0" fontId="26" fillId="0" borderId="8" xfId="0" applyFont="1" applyBorder="1" applyAlignment="1">
      <alignment horizontal="center"/>
    </xf>
    <xf numFmtId="0" fontId="9" fillId="0" borderId="8" xfId="0" applyFont="1" applyBorder="1" applyAlignment="1">
      <alignment horizontal="center"/>
    </xf>
    <xf numFmtId="176" fontId="9" fillId="0" borderId="7" xfId="0" applyNumberFormat="1" applyFont="1" applyBorder="1"/>
    <xf numFmtId="0" fontId="26" fillId="0" borderId="10" xfId="0" applyFont="1" applyBorder="1" applyAlignment="1">
      <alignment horizontal="center"/>
    </xf>
    <xf numFmtId="3" fontId="41" fillId="0" borderId="0" xfId="0" applyNumberFormat="1" applyFont="1" applyAlignment="1">
      <alignment horizontal="center"/>
    </xf>
    <xf numFmtId="3" fontId="50" fillId="0" borderId="0" xfId="0" applyNumberFormat="1" applyFont="1" applyAlignment="1">
      <alignment horizontal="left"/>
    </xf>
    <xf numFmtId="3" fontId="41" fillId="0" borderId="0" xfId="0" applyNumberFormat="1" applyFont="1" applyAlignment="1">
      <alignment horizontal="left"/>
    </xf>
    <xf numFmtId="3" fontId="53" fillId="0" borderId="0" xfId="0" applyNumberFormat="1" applyFont="1" applyAlignment="1">
      <alignment horizontal="center"/>
    </xf>
    <xf numFmtId="0" fontId="42" fillId="0" borderId="7" xfId="0" applyFont="1" applyBorder="1"/>
    <xf numFmtId="0" fontId="43" fillId="0" borderId="0" xfId="0" applyFont="1" applyAlignment="1">
      <alignment horizontal="left"/>
    </xf>
    <xf numFmtId="3" fontId="42" fillId="0" borderId="0" xfId="0" applyNumberFormat="1" applyFont="1" applyAlignment="1">
      <alignment horizontal="center"/>
    </xf>
    <xf numFmtId="0" fontId="42" fillId="0" borderId="8" xfId="0" applyFont="1" applyBorder="1"/>
    <xf numFmtId="3" fontId="54" fillId="0" borderId="0" xfId="0" applyNumberFormat="1" applyFont="1" applyAlignment="1">
      <alignment horizontal="center"/>
    </xf>
    <xf numFmtId="1" fontId="13" fillId="0" borderId="0" xfId="2" applyNumberFormat="1" applyFont="1" applyFill="1" applyBorder="1" applyAlignment="1">
      <alignment horizontal="center" vertical="center"/>
    </xf>
    <xf numFmtId="168" fontId="13" fillId="0" borderId="0" xfId="0" applyNumberFormat="1" applyFont="1" applyAlignment="1">
      <alignment horizontal="center" vertical="center"/>
    </xf>
    <xf numFmtId="0" fontId="9" fillId="0" borderId="6" xfId="0" applyFont="1" applyBorder="1" applyAlignment="1">
      <alignment horizontal="center"/>
    </xf>
    <xf numFmtId="0" fontId="9" fillId="0" borderId="10" xfId="0" applyFont="1" applyBorder="1" applyAlignment="1">
      <alignment horizontal="center"/>
    </xf>
    <xf numFmtId="15" fontId="17" fillId="17" borderId="13" xfId="0" applyNumberFormat="1" applyFont="1" applyFill="1" applyBorder="1" applyAlignment="1">
      <alignment horizontal="center"/>
    </xf>
    <xf numFmtId="0" fontId="2" fillId="11" borderId="0" xfId="0" applyFont="1" applyFill="1"/>
    <xf numFmtId="4" fontId="9" fillId="0" borderId="0" xfId="0" applyNumberFormat="1" applyFont="1"/>
    <xf numFmtId="4" fontId="15" fillId="0" borderId="0" xfId="0" applyNumberFormat="1" applyFont="1"/>
    <xf numFmtId="15" fontId="11" fillId="9" borderId="7" xfId="0" applyNumberFormat="1" applyFont="1" applyFill="1" applyBorder="1"/>
    <xf numFmtId="176" fontId="9" fillId="22" borderId="5" xfId="0" applyNumberFormat="1" applyFont="1" applyFill="1" applyBorder="1"/>
    <xf numFmtId="0" fontId="26" fillId="22" borderId="6" xfId="0" applyFont="1" applyFill="1" applyBorder="1" applyAlignment="1">
      <alignment horizontal="center"/>
    </xf>
    <xf numFmtId="8" fontId="2" fillId="22" borderId="5" xfId="0" applyNumberFormat="1" applyFont="1" applyFill="1" applyBorder="1" applyAlignment="1">
      <alignment horizontal="left" vertical="center" indent="1"/>
    </xf>
    <xf numFmtId="8"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2" fillId="0" borderId="10" xfId="0" applyFont="1" applyBorder="1" applyAlignment="1">
      <alignment horizontal="center"/>
    </xf>
    <xf numFmtId="4" fontId="9" fillId="0" borderId="0" xfId="0" applyNumberFormat="1" applyFont="1" applyAlignment="1">
      <alignment horizontal="center"/>
    </xf>
    <xf numFmtId="8" fontId="2" fillId="22" borderId="6" xfId="0" applyNumberFormat="1" applyFont="1" applyFill="1" applyBorder="1" applyAlignment="1">
      <alignment horizontal="left" vertical="center" indent="1"/>
    </xf>
    <xf numFmtId="0" fontId="9" fillId="22" borderId="3" xfId="0" applyFont="1" applyFill="1" applyBorder="1"/>
    <xf numFmtId="0" fontId="9" fillId="0" borderId="7" xfId="10" applyFont="1" applyBorder="1" applyAlignment="1">
      <alignment horizontal="left" vertical="center" indent="1"/>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4" fontId="9" fillId="0" borderId="0" xfId="0" applyNumberFormat="1" applyFont="1" applyAlignment="1">
      <alignment horizontal="center"/>
    </xf>
    <xf numFmtId="185" fontId="13" fillId="0" borderId="0" xfId="0" applyNumberFormat="1" applyFont="1" applyAlignment="1">
      <alignment horizontal="center" vertical="center"/>
    </xf>
    <xf numFmtId="8" fontId="7" fillId="0" borderId="14" xfId="0" applyNumberFormat="1" applyFont="1" applyBorder="1" applyAlignment="1">
      <alignment horizontal="center" vertical="center"/>
    </xf>
    <xf numFmtId="8" fontId="7" fillId="9" borderId="15" xfId="0" applyNumberFormat="1" applyFont="1" applyFill="1" applyBorder="1" applyAlignment="1">
      <alignment horizontal="left" vertical="center"/>
    </xf>
    <xf numFmtId="8" fontId="7" fillId="9" borderId="11" xfId="0" applyNumberFormat="1" applyFont="1" applyFill="1" applyBorder="1" applyAlignment="1">
      <alignment horizontal="center" vertical="center"/>
    </xf>
    <xf numFmtId="8" fontId="39" fillId="10" borderId="11" xfId="0" applyNumberFormat="1" applyFont="1" applyFill="1" applyBorder="1" applyAlignment="1">
      <alignment horizontal="center" vertical="center"/>
    </xf>
    <xf numFmtId="8" fontId="33" fillId="9" borderId="11" xfId="0" applyNumberFormat="1" applyFont="1" applyFill="1" applyBorder="1" applyAlignment="1">
      <alignment horizontal="center" vertical="center"/>
    </xf>
    <xf numFmtId="8" fontId="7" fillId="9" borderId="15" xfId="0" applyNumberFormat="1" applyFont="1" applyFill="1" applyBorder="1" applyAlignment="1">
      <alignment horizontal="center" vertical="center"/>
    </xf>
    <xf numFmtId="8" fontId="13" fillId="0" borderId="12" xfId="0" applyNumberFormat="1" applyFont="1" applyBorder="1" applyAlignment="1">
      <alignment horizontal="center" vertical="center"/>
    </xf>
    <xf numFmtId="8" fontId="8" fillId="9" borderId="2" xfId="0" applyNumberFormat="1" applyFont="1" applyFill="1" applyBorder="1" applyAlignment="1">
      <alignment horizontal="left" vertical="center"/>
    </xf>
    <xf numFmtId="8" fontId="8" fillId="9" borderId="2" xfId="0" applyNumberFormat="1" applyFont="1" applyFill="1" applyBorder="1" applyAlignment="1">
      <alignment horizontal="center" vertical="center"/>
    </xf>
    <xf numFmtId="8" fontId="27" fillId="9" borderId="2" xfId="0" applyNumberFormat="1" applyFont="1" applyFill="1" applyBorder="1" applyAlignment="1">
      <alignment horizontal="center" vertical="center"/>
    </xf>
    <xf numFmtId="8" fontId="13"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6" fontId="8" fillId="9"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6" fontId="7" fillId="0" borderId="1" xfId="1" applyNumberFormat="1" applyFont="1" applyFill="1" applyBorder="1" applyAlignment="1">
      <alignment horizontal="center" vertical="center"/>
    </xf>
    <xf numFmtId="8" fontId="13" fillId="0" borderId="1" xfId="0" applyNumberFormat="1" applyFont="1" applyBorder="1" applyAlignment="1">
      <alignment horizontal="center" vertical="center"/>
    </xf>
    <xf numFmtId="177" fontId="11" fillId="5" borderId="0" xfId="0" applyNumberFormat="1" applyFont="1" applyFill="1" applyAlignment="1">
      <alignment horizontal="center" vertical="center" wrapText="1"/>
    </xf>
    <xf numFmtId="8" fontId="56" fillId="0" borderId="2" xfId="0" applyNumberFormat="1" applyFont="1" applyBorder="1" applyAlignment="1">
      <alignment horizontal="center" vertical="center"/>
    </xf>
    <xf numFmtId="8" fontId="57" fillId="0" borderId="2" xfId="6" applyNumberFormat="1" applyFont="1" applyFill="1" applyBorder="1" applyAlignment="1">
      <alignment horizontal="center" vertical="center"/>
    </xf>
    <xf numFmtId="8" fontId="58" fillId="16" borderId="1" xfId="0" applyNumberFormat="1" applyFont="1" applyFill="1" applyBorder="1" applyAlignment="1">
      <alignment horizontal="center" vertical="center"/>
    </xf>
    <xf numFmtId="166" fontId="6" fillId="0" borderId="2" xfId="0" applyNumberFormat="1" applyFont="1" applyBorder="1" applyAlignment="1">
      <alignment horizontal="center" vertical="center"/>
    </xf>
    <xf numFmtId="166" fontId="7" fillId="16" borderId="1" xfId="0" applyNumberFormat="1" applyFont="1" applyFill="1" applyBorder="1" applyAlignment="1">
      <alignment horizontal="center" vertical="center"/>
    </xf>
    <xf numFmtId="166" fontId="4" fillId="0" borderId="0" xfId="0" applyNumberFormat="1" applyFont="1" applyAlignment="1">
      <alignment horizontal="center" vertical="center"/>
    </xf>
    <xf numFmtId="8" fontId="13" fillId="12" borderId="2" xfId="0" applyNumberFormat="1" applyFont="1" applyFill="1" applyBorder="1" applyAlignment="1">
      <alignment horizontal="center" vertical="center"/>
    </xf>
    <xf numFmtId="166"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6" fillId="4" borderId="0" xfId="0" applyFont="1" applyFill="1"/>
    <xf numFmtId="0" fontId="26" fillId="4" borderId="0" xfId="0" applyFont="1" applyFill="1" applyAlignment="1">
      <alignment horizontal="center"/>
    </xf>
    <xf numFmtId="0" fontId="12" fillId="4" borderId="0" xfId="0" applyFont="1" applyFill="1" applyAlignment="1">
      <alignment horizontal="center"/>
    </xf>
    <xf numFmtId="179" fontId="9" fillId="4" borderId="0" xfId="0" applyNumberFormat="1" applyFont="1" applyFill="1" applyAlignment="1">
      <alignment horizontal="center"/>
    </xf>
    <xf numFmtId="179" fontId="12"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6" fillId="0" borderId="8" xfId="0" applyFont="1" applyBorder="1" applyAlignment="1">
      <alignment horizontal="left" indent="1"/>
    </xf>
    <xf numFmtId="0" fontId="9" fillId="0" borderId="8" xfId="0" applyFont="1" applyBorder="1" applyAlignment="1">
      <alignment horizontal="left" indent="1"/>
    </xf>
    <xf numFmtId="0" fontId="9" fillId="0" borderId="17" xfId="0" applyFont="1" applyBorder="1"/>
    <xf numFmtId="0" fontId="11" fillId="0" borderId="17"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6" fillId="0" borderId="0" xfId="1" applyNumberFormat="1" applyFont="1" applyFill="1" applyBorder="1" applyAlignment="1">
      <alignment horizontal="center" vertical="center"/>
    </xf>
    <xf numFmtId="49" fontId="13" fillId="0" borderId="0" xfId="1" applyNumberFormat="1" applyFont="1" applyFill="1" applyBorder="1" applyAlignment="1">
      <alignment horizontal="center" vertical="center"/>
    </xf>
    <xf numFmtId="181" fontId="9" fillId="0" borderId="0" xfId="0" applyNumberFormat="1" applyFont="1"/>
    <xf numFmtId="186" fontId="15" fillId="0" borderId="0" xfId="0" applyNumberFormat="1" applyFont="1"/>
    <xf numFmtId="186" fontId="15" fillId="0" borderId="0" xfId="0" applyNumberFormat="1" applyFont="1" applyAlignment="1">
      <alignment horizontal="center"/>
    </xf>
    <xf numFmtId="8" fontId="13" fillId="0" borderId="0" xfId="0" applyNumberFormat="1" applyFont="1" applyAlignment="1">
      <alignment horizontal="center" vertic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9" fillId="0" borderId="0" xfId="10" applyFont="1" applyAlignment="1">
      <alignment horizontal="left" vertical="center" indent="1"/>
    </xf>
    <xf numFmtId="0" fontId="26" fillId="0" borderId="5" xfId="0" applyFont="1" applyBorder="1" applyAlignment="1">
      <alignment horizontal="left" indent="1"/>
    </xf>
    <xf numFmtId="0" fontId="30" fillId="0" borderId="7" xfId="0" applyFont="1" applyBorder="1" applyAlignment="1">
      <alignment horizontal="left" vertical="center" wrapText="1" indent="1"/>
    </xf>
    <xf numFmtId="0" fontId="26"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6" fontId="11" fillId="3" borderId="0" xfId="0" applyNumberFormat="1" applyFont="1" applyFill="1"/>
    <xf numFmtId="3" fontId="59" fillId="3" borderId="0" xfId="0" applyNumberFormat="1" applyFont="1" applyFill="1"/>
    <xf numFmtId="0" fontId="11" fillId="3" borderId="0" xfId="0" applyFont="1" applyFill="1"/>
    <xf numFmtId="8" fontId="25"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87" fontId="41" fillId="4" borderId="0" xfId="0" applyNumberFormat="1" applyFont="1" applyFill="1" applyAlignment="1">
      <alignment horizontal="center"/>
    </xf>
    <xf numFmtId="0" fontId="41" fillId="4" borderId="0" xfId="0" applyFont="1" applyFill="1" applyAlignment="1">
      <alignment horizontal="center"/>
    </xf>
    <xf numFmtId="0" fontId="52" fillId="4" borderId="0" xfId="3" applyFont="1" applyFill="1" applyAlignment="1">
      <alignment horizontal="center"/>
    </xf>
    <xf numFmtId="0" fontId="60" fillId="4" borderId="0" xfId="3" applyFont="1" applyFill="1" applyAlignment="1">
      <alignment horizontal="center" wrapText="1"/>
    </xf>
    <xf numFmtId="4" fontId="7" fillId="0" borderId="2" xfId="0" applyNumberFormat="1" applyFont="1" applyBorder="1" applyAlignment="1">
      <alignment horizontal="center" vertical="center"/>
    </xf>
    <xf numFmtId="8" fontId="6" fillId="19" borderId="2" xfId="0" applyNumberFormat="1" applyFont="1" applyFill="1" applyBorder="1" applyAlignment="1">
      <alignment horizontal="center" vertical="center"/>
    </xf>
    <xf numFmtId="0" fontId="23" fillId="19" borderId="0" xfId="0" applyFont="1" applyFill="1" applyAlignment="1">
      <alignment horizontal="left" vertical="center" wrapText="1"/>
    </xf>
    <xf numFmtId="8"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8" fontId="9" fillId="0" borderId="2" xfId="0" applyNumberFormat="1" applyFont="1" applyBorder="1" applyAlignment="1">
      <alignment horizontal="center" vertical="center"/>
    </xf>
    <xf numFmtId="17" fontId="64" fillId="7" borderId="0" xfId="0" quotePrefix="1" applyNumberFormat="1" applyFont="1" applyFill="1"/>
    <xf numFmtId="17" fontId="65" fillId="7" borderId="0" xfId="0" quotePrefix="1" applyNumberFormat="1" applyFont="1" applyFill="1"/>
    <xf numFmtId="0" fontId="65" fillId="7" borderId="0" xfId="0" applyFont="1" applyFill="1"/>
    <xf numFmtId="0" fontId="65" fillId="0" borderId="0" xfId="0" applyFont="1"/>
    <xf numFmtId="17" fontId="68" fillId="7" borderId="0" xfId="0" quotePrefix="1" applyNumberFormat="1" applyFont="1" applyFill="1"/>
    <xf numFmtId="0" fontId="69"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15" fontId="9" fillId="18" borderId="0" xfId="0" applyNumberFormat="1" applyFont="1" applyFill="1" applyAlignment="1">
      <alignment horizontal="center"/>
    </xf>
    <xf numFmtId="0" fontId="9" fillId="23" borderId="0" xfId="0" applyFont="1" applyFill="1"/>
    <xf numFmtId="4" fontId="9" fillId="23" borderId="0" xfId="0" applyNumberFormat="1" applyFont="1" applyFill="1" applyAlignment="1">
      <alignment horizontal="center"/>
    </xf>
    <xf numFmtId="188" fontId="15" fillId="10" borderId="0" xfId="4" applyNumberFormat="1" applyFont="1" applyFill="1" applyAlignment="1">
      <alignment horizontal="center"/>
    </xf>
    <xf numFmtId="0" fontId="70" fillId="26" borderId="18" xfId="0" applyFont="1" applyFill="1" applyBorder="1" applyAlignment="1">
      <alignment horizontal="left" vertical="center" wrapText="1" indent="1" readingOrder="1"/>
    </xf>
    <xf numFmtId="0" fontId="71" fillId="27" borderId="18" xfId="0" applyFont="1" applyFill="1" applyBorder="1" applyAlignment="1">
      <alignment horizontal="left" vertical="center" wrapText="1" indent="1" readingOrder="1"/>
    </xf>
    <xf numFmtId="0" fontId="72" fillId="27" borderId="18" xfId="0" applyFont="1" applyFill="1" applyBorder="1" applyAlignment="1">
      <alignment horizontal="left" vertical="center" wrapText="1" indent="1" readingOrder="1"/>
    </xf>
    <xf numFmtId="0" fontId="71" fillId="28" borderId="18" xfId="0" applyFont="1" applyFill="1" applyBorder="1" applyAlignment="1">
      <alignment horizontal="left" vertical="center" wrapText="1" indent="1" readingOrder="1"/>
    </xf>
    <xf numFmtId="0" fontId="72" fillId="28" borderId="18" xfId="0" applyFont="1" applyFill="1" applyBorder="1" applyAlignment="1">
      <alignment horizontal="left" vertical="center" wrapText="1" indent="1" readingOrder="1"/>
    </xf>
    <xf numFmtId="189" fontId="7" fillId="0" borderId="2" xfId="1" applyNumberFormat="1" applyFont="1" applyFill="1" applyBorder="1" applyAlignment="1">
      <alignment horizontal="center" vertical="center"/>
    </xf>
    <xf numFmtId="8" fontId="2" fillId="29" borderId="2" xfId="0" applyNumberFormat="1" applyFont="1" applyFill="1" applyBorder="1" applyAlignment="1">
      <alignment horizontal="left" vertical="center"/>
    </xf>
    <xf numFmtId="8" fontId="74" fillId="29" borderId="2" xfId="0" applyNumberFormat="1" applyFont="1" applyFill="1" applyBorder="1" applyAlignment="1">
      <alignment horizontal="left" vertical="center"/>
    </xf>
    <xf numFmtId="8" fontId="74" fillId="29" borderId="2" xfId="0" applyNumberFormat="1" applyFont="1" applyFill="1" applyBorder="1" applyAlignment="1">
      <alignment horizontal="center" vertical="center"/>
    </xf>
    <xf numFmtId="1" fontId="74" fillId="29" borderId="2" xfId="2" applyNumberFormat="1" applyFont="1" applyFill="1" applyBorder="1" applyAlignment="1">
      <alignment horizontal="center" vertical="center"/>
    </xf>
    <xf numFmtId="166" fontId="74" fillId="29" borderId="2" xfId="1" applyNumberFormat="1" applyFont="1" applyFill="1" applyBorder="1" applyAlignment="1">
      <alignment horizontal="center" vertical="center"/>
    </xf>
    <xf numFmtId="168" fontId="74" fillId="29" borderId="2" xfId="0" applyNumberFormat="1" applyFont="1" applyFill="1" applyBorder="1" applyAlignment="1">
      <alignment horizontal="center" vertical="center"/>
    </xf>
    <xf numFmtId="167" fontId="74" fillId="29" borderId="2" xfId="0" applyNumberFormat="1" applyFont="1" applyFill="1" applyBorder="1" applyAlignment="1">
      <alignment horizontal="center" vertical="center"/>
    </xf>
    <xf numFmtId="8" fontId="7" fillId="20" borderId="2" xfId="0" applyNumberFormat="1" applyFont="1" applyFill="1" applyBorder="1" applyAlignment="1">
      <alignment horizontal="left" vertical="center"/>
    </xf>
    <xf numFmtId="8" fontId="7" fillId="30" borderId="2" xfId="0" applyNumberFormat="1" applyFont="1" applyFill="1" applyBorder="1" applyAlignment="1">
      <alignment horizontal="left" vertical="center"/>
    </xf>
    <xf numFmtId="8" fontId="6" fillId="20" borderId="2" xfId="0" applyNumberFormat="1" applyFont="1" applyFill="1" applyBorder="1" applyAlignment="1">
      <alignment horizontal="center" vertical="center"/>
    </xf>
    <xf numFmtId="8" fontId="6" fillId="30" borderId="2" xfId="0" applyNumberFormat="1" applyFont="1" applyFill="1" applyBorder="1" applyAlignment="1">
      <alignment horizontal="center" vertical="center"/>
    </xf>
    <xf numFmtId="8" fontId="7" fillId="20" borderId="2" xfId="0" applyNumberFormat="1" applyFont="1" applyFill="1" applyBorder="1" applyAlignment="1">
      <alignment horizontal="center" vertical="center"/>
    </xf>
    <xf numFmtId="8" fontId="7" fillId="30" borderId="2" xfId="0" applyNumberFormat="1" applyFont="1" applyFill="1" applyBorder="1" applyAlignment="1">
      <alignment horizontal="center" vertical="center"/>
    </xf>
    <xf numFmtId="8" fontId="7" fillId="20" borderId="19" xfId="0" applyNumberFormat="1" applyFont="1" applyFill="1" applyBorder="1" applyAlignment="1">
      <alignment horizontal="center" vertical="center"/>
    </xf>
    <xf numFmtId="8" fontId="7" fillId="20" borderId="20" xfId="0" applyNumberFormat="1" applyFont="1" applyFill="1" applyBorder="1" applyAlignment="1">
      <alignment horizontal="center" vertical="center"/>
    </xf>
    <xf numFmtId="8" fontId="7" fillId="0" borderId="20" xfId="0" applyNumberFormat="1" applyFont="1" applyBorder="1" applyAlignment="1">
      <alignment horizontal="center" vertical="center"/>
    </xf>
    <xf numFmtId="8" fontId="7" fillId="30" borderId="20" xfId="0" applyNumberFormat="1" applyFont="1" applyFill="1" applyBorder="1" applyAlignment="1">
      <alignment horizontal="center" vertical="center"/>
    </xf>
    <xf numFmtId="8" fontId="33" fillId="9" borderId="1" xfId="0" applyNumberFormat="1" applyFont="1" applyFill="1" applyBorder="1" applyAlignment="1">
      <alignment horizontal="center" vertical="center"/>
    </xf>
    <xf numFmtId="6" fontId="6" fillId="20" borderId="2" xfId="0" applyNumberFormat="1" applyFont="1" applyFill="1" applyBorder="1" applyAlignment="1">
      <alignment horizontal="center" vertical="center"/>
    </xf>
    <xf numFmtId="6" fontId="6" fillId="0" borderId="2" xfId="0" applyNumberFormat="1" applyFont="1" applyBorder="1" applyAlignment="1">
      <alignment horizontal="center" vertical="center"/>
    </xf>
    <xf numFmtId="6" fontId="7" fillId="0" borderId="0" xfId="0" applyNumberFormat="1" applyFont="1" applyAlignment="1">
      <alignment horizontal="center" vertical="center"/>
    </xf>
    <xf numFmtId="8" fontId="7" fillId="20" borderId="14" xfId="0" applyNumberFormat="1" applyFont="1" applyFill="1" applyBorder="1" applyAlignment="1">
      <alignment horizontal="center" vertical="center"/>
    </xf>
    <xf numFmtId="8" fontId="7" fillId="0" borderId="19" xfId="0" applyNumberFormat="1" applyFont="1" applyBorder="1" applyAlignment="1">
      <alignment horizontal="center" vertical="center"/>
    </xf>
    <xf numFmtId="8" fontId="2" fillId="29" borderId="0" xfId="0" applyNumberFormat="1" applyFont="1" applyFill="1" applyAlignment="1">
      <alignment horizontal="left" vertical="center"/>
    </xf>
    <xf numFmtId="8"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0" borderId="2" xfId="0" applyNumberFormat="1" applyFont="1" applyFill="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8" fontId="7" fillId="9" borderId="16" xfId="0" applyNumberFormat="1" applyFont="1" applyFill="1" applyBorder="1" applyAlignment="1">
      <alignment horizontal="left" vertical="center" indent="2"/>
    </xf>
    <xf numFmtId="0" fontId="9" fillId="0" borderId="0" xfId="0" applyFont="1" applyAlignment="1">
      <alignment horizontal="left" indent="2"/>
    </xf>
    <xf numFmtId="8" fontId="7" fillId="20" borderId="2" xfId="0" applyNumberFormat="1" applyFont="1" applyFill="1" applyBorder="1" applyAlignment="1">
      <alignment horizontal="left" vertical="center" indent="1"/>
    </xf>
    <xf numFmtId="8" fontId="7" fillId="0" borderId="2" xfId="0" applyNumberFormat="1" applyFont="1" applyBorder="1" applyAlignment="1">
      <alignment horizontal="left" vertical="center" indent="1"/>
    </xf>
    <xf numFmtId="8" fontId="7" fillId="30" borderId="2" xfId="0" applyNumberFormat="1" applyFont="1" applyFill="1" applyBorder="1" applyAlignment="1">
      <alignment horizontal="left" vertical="center" indent="1"/>
    </xf>
    <xf numFmtId="8" fontId="7" fillId="0" borderId="0" xfId="0" applyNumberFormat="1" applyFont="1" applyAlignment="1">
      <alignment horizontal="left" vertical="center" indent="2"/>
    </xf>
    <xf numFmtId="0" fontId="16" fillId="7" borderId="0" xfId="0" applyFont="1" applyFill="1" applyAlignment="1">
      <alignment vertical="center"/>
    </xf>
    <xf numFmtId="0" fontId="14" fillId="7" borderId="0" xfId="0" applyFont="1" applyFill="1" applyAlignment="1">
      <alignment vertical="center"/>
    </xf>
    <xf numFmtId="0" fontId="29" fillId="0" borderId="0" xfId="0" applyFont="1" applyAlignment="1">
      <alignment horizontal="center"/>
    </xf>
    <xf numFmtId="0" fontId="76" fillId="0" borderId="0" xfId="0" applyFont="1" applyAlignment="1">
      <alignment horizontal="center"/>
    </xf>
    <xf numFmtId="0" fontId="16" fillId="31" borderId="0" xfId="3" applyFont="1" applyFill="1" applyAlignment="1">
      <alignment vertical="center"/>
    </xf>
    <xf numFmtId="0" fontId="16" fillId="31" borderId="0" xfId="3" applyFont="1" applyFill="1" applyAlignment="1">
      <alignment vertical="center" wrapText="1"/>
    </xf>
    <xf numFmtId="169" fontId="16" fillId="31" borderId="0" xfId="3" applyNumberFormat="1" applyFont="1" applyFill="1" applyAlignment="1">
      <alignment horizontal="center" vertical="center" wrapText="1"/>
    </xf>
    <xf numFmtId="0" fontId="16" fillId="31" borderId="0" xfId="3" applyFont="1" applyFill="1" applyAlignment="1">
      <alignment horizontal="center" vertical="center" wrapText="1"/>
    </xf>
    <xf numFmtId="0" fontId="15" fillId="13" borderId="0" xfId="3" applyFont="1" applyFill="1"/>
    <xf numFmtId="14" fontId="15" fillId="13" borderId="0" xfId="3" applyNumberFormat="1" applyFont="1" applyFill="1"/>
    <xf numFmtId="169" fontId="15" fillId="13" borderId="0" xfId="3" applyNumberFormat="1" applyFont="1" applyFill="1" applyAlignment="1">
      <alignment horizontal="center"/>
    </xf>
    <xf numFmtId="8" fontId="15" fillId="13" borderId="0" xfId="4" applyNumberFormat="1" applyFont="1" applyFill="1" applyAlignment="1">
      <alignment horizontal="center"/>
    </xf>
    <xf numFmtId="6" fontId="15" fillId="13" borderId="0" xfId="4" applyNumberFormat="1" applyFont="1" applyFill="1" applyAlignment="1">
      <alignment horizontal="center"/>
    </xf>
    <xf numFmtId="0" fontId="15" fillId="13" borderId="0" xfId="3" applyFont="1" applyFill="1" applyAlignment="1">
      <alignment horizontal="center"/>
    </xf>
    <xf numFmtId="188" fontId="15" fillId="13" borderId="0" xfId="4" applyNumberFormat="1" applyFont="1" applyFill="1" applyAlignment="1">
      <alignment horizontal="center"/>
    </xf>
    <xf numFmtId="3" fontId="15" fillId="13" borderId="0" xfId="3" applyNumberFormat="1" applyFont="1" applyFill="1" applyAlignment="1">
      <alignment horizontal="center"/>
    </xf>
    <xf numFmtId="172" fontId="15" fillId="13" borderId="0" xfId="4" applyNumberFormat="1" applyFont="1" applyFill="1" applyAlignment="1">
      <alignment horizontal="center"/>
    </xf>
    <xf numFmtId="171" fontId="15" fillId="13" borderId="0" xfId="4" applyNumberFormat="1" applyFont="1" applyFill="1" applyAlignment="1">
      <alignment horizontal="center"/>
    </xf>
    <xf numFmtId="168" fontId="15" fillId="13" borderId="0" xfId="4" applyNumberFormat="1" applyFont="1" applyFill="1" applyAlignment="1">
      <alignment horizontal="center"/>
    </xf>
    <xf numFmtId="186" fontId="15" fillId="13" borderId="0" xfId="4" applyNumberFormat="1" applyFont="1" applyFill="1" applyAlignment="1">
      <alignment horizontal="center"/>
    </xf>
    <xf numFmtId="0" fontId="15" fillId="19" borderId="0" xfId="3" applyFont="1" applyFill="1"/>
    <xf numFmtId="14" fontId="15" fillId="19" borderId="0" xfId="3" applyNumberFormat="1" applyFont="1" applyFill="1"/>
    <xf numFmtId="169" fontId="15" fillId="19" borderId="0" xfId="3" applyNumberFormat="1" applyFont="1" applyFill="1" applyAlignment="1">
      <alignment horizontal="center"/>
    </xf>
    <xf numFmtId="8" fontId="15" fillId="19" borderId="0" xfId="4" applyNumberFormat="1" applyFont="1" applyFill="1" applyAlignment="1">
      <alignment horizontal="center"/>
    </xf>
    <xf numFmtId="6" fontId="15" fillId="19" borderId="0" xfId="4" applyNumberFormat="1" applyFont="1" applyFill="1" applyAlignment="1">
      <alignment horizontal="center"/>
    </xf>
    <xf numFmtId="0" fontId="15" fillId="19" borderId="0" xfId="3" applyFont="1" applyFill="1" applyAlignment="1">
      <alignment horizontal="center"/>
    </xf>
    <xf numFmtId="188" fontId="15" fillId="19" borderId="0" xfId="4" applyNumberFormat="1" applyFont="1" applyFill="1" applyAlignment="1">
      <alignment horizontal="center"/>
    </xf>
    <xf numFmtId="3" fontId="15" fillId="19" borderId="0" xfId="3" applyNumberFormat="1" applyFont="1" applyFill="1" applyAlignment="1">
      <alignment horizontal="center"/>
    </xf>
    <xf numFmtId="0" fontId="16" fillId="21" borderId="0" xfId="3" applyFont="1" applyFill="1" applyAlignment="1">
      <alignment vertical="center" wrapText="1"/>
    </xf>
    <xf numFmtId="169" fontId="16" fillId="21" borderId="0" xfId="3" applyNumberFormat="1" applyFont="1" applyFill="1" applyAlignment="1">
      <alignment horizontal="center" vertical="center" wrapText="1"/>
    </xf>
    <xf numFmtId="0" fontId="16" fillId="21" borderId="0" xfId="3" applyFont="1" applyFill="1" applyAlignment="1">
      <alignment horizontal="center" vertical="center" wrapText="1"/>
    </xf>
    <xf numFmtId="14" fontId="15" fillId="13" borderId="0" xfId="3" applyNumberFormat="1" applyFont="1" applyFill="1" applyAlignment="1">
      <alignment horizontal="center"/>
    </xf>
    <xf numFmtId="173" fontId="15" fillId="13" borderId="0" xfId="3" applyNumberFormat="1" applyFont="1" applyFill="1" applyAlignment="1">
      <alignment horizontal="center"/>
    </xf>
    <xf numFmtId="174" fontId="15" fillId="13" borderId="0" xfId="3" applyNumberFormat="1" applyFont="1" applyFill="1" applyAlignment="1">
      <alignment horizontal="center"/>
    </xf>
    <xf numFmtId="183" fontId="15" fillId="13" borderId="0" xfId="3" applyNumberFormat="1" applyFont="1" applyFill="1" applyAlignment="1">
      <alignment horizontal="center"/>
    </xf>
    <xf numFmtId="168" fontId="15" fillId="19" borderId="0" xfId="4" applyNumberFormat="1" applyFont="1" applyFill="1" applyAlignment="1">
      <alignment horizontal="center"/>
    </xf>
    <xf numFmtId="168" fontId="15" fillId="19" borderId="0" xfId="3" applyNumberFormat="1" applyFont="1" applyFill="1" applyAlignment="1">
      <alignment horizontal="center"/>
    </xf>
    <xf numFmtId="8" fontId="7" fillId="9" borderId="2" xfId="0" applyNumberFormat="1" applyFont="1" applyFill="1" applyBorder="1" applyAlignment="1">
      <alignment horizontal="left" vertical="center"/>
    </xf>
    <xf numFmtId="8" fontId="6" fillId="9" borderId="2" xfId="0" applyNumberFormat="1" applyFont="1" applyFill="1" applyBorder="1" applyAlignment="1">
      <alignment horizontal="left" vertical="center"/>
    </xf>
    <xf numFmtId="8"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6" fontId="23" fillId="9" borderId="2" xfId="1" applyNumberFormat="1" applyFont="1" applyFill="1" applyBorder="1" applyAlignment="1">
      <alignment horizontal="center" vertical="center"/>
    </xf>
    <xf numFmtId="168" fontId="6" fillId="9" borderId="2" xfId="0" applyNumberFormat="1" applyFont="1" applyFill="1" applyBorder="1" applyAlignment="1">
      <alignment horizontal="center" vertical="center"/>
    </xf>
    <xf numFmtId="167" fontId="6" fillId="9" borderId="2" xfId="0" applyNumberFormat="1" applyFont="1" applyFill="1" applyBorder="1" applyAlignment="1">
      <alignment horizontal="center" vertical="center"/>
    </xf>
    <xf numFmtId="8" fontId="23" fillId="9" borderId="2" xfId="0" applyNumberFormat="1" applyFont="1" applyFill="1" applyBorder="1" applyAlignment="1">
      <alignment horizontal="center" vertical="center"/>
    </xf>
    <xf numFmtId="8" fontId="12" fillId="9" borderId="2" xfId="0" applyNumberFormat="1" applyFont="1" applyFill="1" applyBorder="1" applyAlignment="1">
      <alignment horizontal="center" vertical="center"/>
    </xf>
    <xf numFmtId="166" fontId="2" fillId="29" borderId="0" xfId="1" applyNumberFormat="1" applyFont="1" applyFill="1" applyBorder="1" applyAlignment="1">
      <alignment horizontal="center" vertical="center"/>
    </xf>
    <xf numFmtId="168" fontId="2" fillId="29" borderId="0" xfId="0" applyNumberFormat="1" applyFont="1" applyFill="1" applyAlignment="1">
      <alignment horizontal="center" vertical="center"/>
    </xf>
    <xf numFmtId="167" fontId="2" fillId="29" borderId="0" xfId="0" applyNumberFormat="1" applyFont="1" applyFill="1" applyAlignment="1">
      <alignment horizontal="center" vertical="center"/>
    </xf>
    <xf numFmtId="0" fontId="26" fillId="9" borderId="0" xfId="0" applyFont="1" applyFill="1"/>
    <xf numFmtId="8" fontId="6" fillId="9" borderId="0" xfId="0" applyNumberFormat="1" applyFont="1" applyFill="1" applyAlignment="1">
      <alignment horizontal="left" vertical="center"/>
    </xf>
    <xf numFmtId="3" fontId="41" fillId="9" borderId="0" xfId="0" applyNumberFormat="1" applyFont="1" applyFill="1" applyAlignment="1">
      <alignment horizontal="center"/>
    </xf>
    <xf numFmtId="8" fontId="78" fillId="29" borderId="2" xfId="0" applyNumberFormat="1" applyFont="1" applyFill="1" applyBorder="1" applyAlignment="1">
      <alignment horizontal="left" vertical="center"/>
    </xf>
    <xf numFmtId="190" fontId="9" fillId="0" borderId="7" xfId="10" applyNumberFormat="1" applyFont="1" applyBorder="1" applyAlignment="1">
      <alignment horizontal="center" vertical="center"/>
    </xf>
    <xf numFmtId="8" fontId="7" fillId="32" borderId="20" xfId="0" applyNumberFormat="1" applyFont="1" applyFill="1" applyBorder="1" applyAlignment="1">
      <alignment horizontal="center" vertical="center"/>
    </xf>
    <xf numFmtId="0" fontId="11" fillId="33" borderId="0" xfId="0" applyFont="1" applyFill="1"/>
    <xf numFmtId="0" fontId="11" fillId="33" borderId="0" xfId="0" applyFont="1" applyFill="1" applyAlignment="1">
      <alignment horizontal="center"/>
    </xf>
    <xf numFmtId="8" fontId="56" fillId="0" borderId="0" xfId="0" applyNumberFormat="1" applyFont="1" applyAlignment="1">
      <alignment horizontal="center" vertical="center"/>
    </xf>
    <xf numFmtId="166" fontId="6" fillId="0" borderId="0" xfId="0" applyNumberFormat="1" applyFont="1" applyAlignment="1">
      <alignment horizontal="center" vertical="center"/>
    </xf>
    <xf numFmtId="8" fontId="6" fillId="19" borderId="0" xfId="0" applyNumberFormat="1" applyFont="1" applyFill="1" applyAlignment="1">
      <alignment horizontal="center" vertical="center"/>
    </xf>
    <xf numFmtId="8" fontId="6" fillId="19" borderId="0" xfId="0" applyNumberFormat="1" applyFont="1" applyFill="1" applyAlignment="1">
      <alignment horizontal="center" vertical="center" wrapText="1"/>
    </xf>
    <xf numFmtId="8" fontId="57" fillId="0" borderId="0" xfId="6" applyNumberFormat="1" applyFont="1" applyFill="1" applyBorder="1" applyAlignment="1">
      <alignment horizontal="center" vertical="center"/>
    </xf>
    <xf numFmtId="8" fontId="2" fillId="22" borderId="0" xfId="0" applyNumberFormat="1" applyFont="1" applyFill="1" applyAlignment="1">
      <alignment horizontal="left" vertical="center" indent="1"/>
    </xf>
    <xf numFmtId="0" fontId="26" fillId="0" borderId="0" xfId="0" applyFont="1" applyAlignment="1">
      <alignment horizontal="left" indent="1"/>
    </xf>
    <xf numFmtId="0" fontId="9" fillId="0" borderId="0" xfId="0" applyFont="1" applyAlignment="1">
      <alignment horizontal="left" indent="1"/>
    </xf>
    <xf numFmtId="191" fontId="9" fillId="0" borderId="0" xfId="0" applyNumberFormat="1" applyFont="1"/>
    <xf numFmtId="4" fontId="11" fillId="0" borderId="0" xfId="0" applyNumberFormat="1" applyFont="1" applyAlignment="1">
      <alignment horizontal="center"/>
    </xf>
    <xf numFmtId="0" fontId="77" fillId="0" borderId="0" xfId="0" applyFont="1"/>
    <xf numFmtId="0" fontId="77" fillId="0" borderId="0" xfId="0" applyFont="1" applyAlignment="1">
      <alignment horizontal="center"/>
    </xf>
    <xf numFmtId="0" fontId="35" fillId="0" borderId="0" xfId="0" applyFont="1"/>
    <xf numFmtId="0" fontId="30" fillId="32" borderId="0" xfId="0" applyFont="1" applyFill="1"/>
    <xf numFmtId="0" fontId="9" fillId="32" borderId="0" xfId="0" applyFont="1" applyFill="1" applyAlignment="1">
      <alignment horizontal="center"/>
    </xf>
    <xf numFmtId="0" fontId="9" fillId="32" borderId="0" xfId="0" applyFont="1" applyFill="1"/>
    <xf numFmtId="0" fontId="26" fillId="32" borderId="0" xfId="0" applyFont="1" applyFill="1"/>
    <xf numFmtId="192" fontId="80" fillId="0" borderId="0" xfId="0" applyNumberFormat="1" applyFont="1" applyAlignment="1">
      <alignment horizontal="center" vertical="center"/>
    </xf>
    <xf numFmtId="0" fontId="29" fillId="0" borderId="0" xfId="0" applyFont="1" applyAlignment="1">
      <alignment horizontal="left"/>
    </xf>
    <xf numFmtId="0" fontId="77" fillId="29" borderId="0" xfId="0" applyFont="1" applyFill="1" applyAlignment="1">
      <alignment horizontal="center" vertical="center"/>
    </xf>
    <xf numFmtId="0" fontId="35" fillId="29" borderId="0" xfId="0" applyFont="1" applyFill="1" applyAlignment="1">
      <alignment horizontal="center" vertical="center"/>
    </xf>
    <xf numFmtId="0" fontId="9" fillId="0" borderId="0" xfId="0" applyFont="1" applyAlignment="1">
      <alignment vertical="center"/>
    </xf>
    <xf numFmtId="169" fontId="81" fillId="19" borderId="0" xfId="3" applyNumberFormat="1" applyFont="1" applyFill="1" applyAlignment="1">
      <alignment horizontal="center" vertical="center" wrapText="1"/>
    </xf>
    <xf numFmtId="0" fontId="9" fillId="12" borderId="0" xfId="0" applyFont="1" applyFill="1"/>
    <xf numFmtId="0" fontId="82" fillId="0" borderId="0" xfId="0" applyFont="1" applyAlignment="1">
      <alignment horizontal="center"/>
    </xf>
    <xf numFmtId="0" fontId="83" fillId="17" borderId="0" xfId="0" applyFont="1" applyFill="1"/>
    <xf numFmtId="0" fontId="83" fillId="0" borderId="0" xfId="0" applyFont="1"/>
    <xf numFmtId="0" fontId="82" fillId="29" borderId="0" xfId="0" applyFont="1" applyFill="1" applyAlignment="1">
      <alignment horizontal="center" vertical="center"/>
    </xf>
    <xf numFmtId="0" fontId="82" fillId="32" borderId="0" xfId="0" applyFont="1" applyFill="1" applyAlignment="1">
      <alignment horizontal="center"/>
    </xf>
    <xf numFmtId="0" fontId="82" fillId="0" borderId="3" xfId="0" applyFont="1" applyBorder="1" applyAlignment="1">
      <alignment horizontal="center"/>
    </xf>
    <xf numFmtId="0" fontId="82" fillId="0" borderId="0" xfId="0" applyFont="1" applyAlignment="1">
      <alignment horizontal="left"/>
    </xf>
    <xf numFmtId="0" fontId="84" fillId="0" borderId="4" xfId="0" applyFont="1" applyBorder="1" applyAlignment="1">
      <alignment horizontal="left"/>
    </xf>
    <xf numFmtId="0" fontId="82" fillId="0" borderId="3" xfId="0" applyFont="1" applyBorder="1" applyAlignment="1">
      <alignment horizontal="left"/>
    </xf>
    <xf numFmtId="0" fontId="82" fillId="0" borderId="0" xfId="0" applyFont="1"/>
    <xf numFmtId="0" fontId="84" fillId="0" borderId="4" xfId="0" applyFont="1" applyBorder="1"/>
    <xf numFmtId="0" fontId="85" fillId="0" borderId="0" xfId="0" applyFont="1" applyAlignment="1">
      <alignment horizontal="center"/>
    </xf>
    <xf numFmtId="15" fontId="11" fillId="9" borderId="8" xfId="0" applyNumberFormat="1" applyFont="1" applyFill="1" applyBorder="1" applyAlignment="1">
      <alignment horizontal="center"/>
    </xf>
    <xf numFmtId="0" fontId="31" fillId="0" borderId="0" xfId="14" applyFont="1" applyAlignment="1">
      <alignment vertical="top" wrapText="1"/>
    </xf>
    <xf numFmtId="0" fontId="87"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1" fillId="35" borderId="26" xfId="14" applyFont="1" applyFill="1" applyBorder="1" applyAlignment="1">
      <alignment vertical="top" wrapText="1"/>
    </xf>
    <xf numFmtId="0" fontId="31" fillId="35" borderId="24" xfId="14" applyFont="1" applyFill="1" applyBorder="1" applyAlignment="1">
      <alignment vertical="top" wrapText="1"/>
    </xf>
    <xf numFmtId="0" fontId="31" fillId="35" borderId="22" xfId="14" applyFont="1" applyFill="1" applyBorder="1" applyAlignment="1">
      <alignment vertical="top" wrapText="1"/>
    </xf>
    <xf numFmtId="0" fontId="87" fillId="36" borderId="0" xfId="14" applyFont="1" applyFill="1" applyAlignment="1">
      <alignment horizontal="left" vertical="top"/>
    </xf>
    <xf numFmtId="0" fontId="89" fillId="0" borderId="24" xfId="14" applyFont="1" applyBorder="1" applyAlignment="1">
      <alignment vertical="top" wrapText="1"/>
    </xf>
    <xf numFmtId="0" fontId="31" fillId="0" borderId="0" xfId="14" applyFont="1" applyAlignment="1">
      <alignment horizontal="left" vertical="top" wrapText="1"/>
    </xf>
    <xf numFmtId="4" fontId="31" fillId="0" borderId="0" xfId="14" applyNumberFormat="1" applyFont="1" applyAlignment="1">
      <alignment vertical="top" wrapText="1"/>
    </xf>
    <xf numFmtId="0" fontId="89" fillId="35" borderId="26" xfId="14" applyFont="1" applyFill="1" applyBorder="1" applyAlignment="1">
      <alignment vertical="top" wrapText="1"/>
    </xf>
    <xf numFmtId="0" fontId="10" fillId="35" borderId="25" xfId="14" applyFont="1" applyFill="1" applyBorder="1" applyAlignment="1">
      <alignment vertical="top" wrapText="1"/>
    </xf>
    <xf numFmtId="193"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5" borderId="24" xfId="14" applyFont="1" applyFill="1" applyBorder="1" applyAlignment="1">
      <alignment vertical="top" wrapText="1"/>
    </xf>
    <xf numFmtId="3" fontId="10" fillId="35" borderId="23" xfId="14" applyNumberFormat="1" applyFont="1" applyFill="1" applyBorder="1" applyAlignment="1">
      <alignment vertical="top" wrapText="1"/>
    </xf>
    <xf numFmtId="193" fontId="10" fillId="35" borderId="23" xfId="14" applyNumberFormat="1" applyFont="1" applyFill="1" applyBorder="1" applyAlignment="1">
      <alignment vertical="top" wrapText="1"/>
    </xf>
    <xf numFmtId="10" fontId="10" fillId="35" borderId="23" xfId="14" applyNumberFormat="1" applyFont="1" applyFill="1" applyBorder="1" applyAlignment="1">
      <alignment horizontal="right" vertical="top" wrapText="1"/>
    </xf>
    <xf numFmtId="0" fontId="10" fillId="35" borderId="23" xfId="14" applyFont="1" applyFill="1" applyBorder="1" applyAlignment="1">
      <alignment horizontal="right" vertical="top" wrapText="1"/>
    </xf>
    <xf numFmtId="0" fontId="10" fillId="35" borderId="22" xfId="14" applyFont="1" applyFill="1" applyBorder="1" applyAlignment="1">
      <alignment vertical="top" wrapText="1"/>
    </xf>
    <xf numFmtId="0" fontId="10" fillId="35" borderId="21" xfId="14" applyFont="1" applyFill="1" applyBorder="1" applyAlignment="1">
      <alignment horizontal="right" vertical="top" wrapText="1"/>
    </xf>
    <xf numFmtId="0" fontId="89" fillId="34" borderId="26" xfId="14" applyFont="1" applyFill="1" applyBorder="1" applyAlignment="1">
      <alignment vertical="top" wrapText="1"/>
    </xf>
    <xf numFmtId="0" fontId="10" fillId="34" borderId="25" xfId="14" applyFont="1" applyFill="1" applyBorder="1" applyAlignment="1">
      <alignment vertical="top" wrapText="1"/>
    </xf>
    <xf numFmtId="0" fontId="10" fillId="34" borderId="24" xfId="14" applyFont="1" applyFill="1" applyBorder="1" applyAlignment="1">
      <alignment vertical="top" wrapText="1"/>
    </xf>
    <xf numFmtId="3" fontId="10" fillId="34" borderId="23" xfId="14" applyNumberFormat="1" applyFont="1" applyFill="1" applyBorder="1" applyAlignment="1">
      <alignment vertical="top" wrapText="1"/>
    </xf>
    <xf numFmtId="3" fontId="10" fillId="34" borderId="23" xfId="14" applyNumberFormat="1" applyFont="1" applyFill="1" applyBorder="1" applyAlignment="1">
      <alignment horizontal="right" vertical="top" wrapText="1"/>
    </xf>
    <xf numFmtId="0" fontId="10" fillId="34" borderId="23" xfId="14" applyFont="1" applyFill="1" applyBorder="1" applyAlignment="1">
      <alignment horizontal="right" vertical="top"/>
    </xf>
    <xf numFmtId="0" fontId="10" fillId="34" borderId="22" xfId="14" applyFont="1" applyFill="1" applyBorder="1" applyAlignment="1">
      <alignment vertical="top" wrapText="1"/>
    </xf>
    <xf numFmtId="0" fontId="10" fillId="34" borderId="21"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194" fontId="10" fillId="0" borderId="0" xfId="14" applyNumberFormat="1" applyFont="1" applyAlignment="1">
      <alignment vertical="top" wrapText="1"/>
    </xf>
    <xf numFmtId="9" fontId="7" fillId="0" borderId="2" xfId="1" applyFont="1" applyFill="1" applyBorder="1" applyAlignment="1">
      <alignment horizontal="center" vertical="center"/>
    </xf>
    <xf numFmtId="0" fontId="11" fillId="6" borderId="7" xfId="0" applyFont="1" applyFill="1" applyBorder="1" applyAlignment="1">
      <alignment horizontal="left"/>
    </xf>
    <xf numFmtId="0" fontId="55" fillId="37" borderId="0" xfId="0" applyFont="1" applyFill="1"/>
    <xf numFmtId="0" fontId="64" fillId="37" borderId="0" xfId="0" applyFont="1" applyFill="1"/>
    <xf numFmtId="4" fontId="11" fillId="0" borderId="0" xfId="0" applyNumberFormat="1" applyFont="1"/>
    <xf numFmtId="4" fontId="9" fillId="12" borderId="0" xfId="0" applyNumberFormat="1" applyFont="1" applyFill="1" applyAlignment="1">
      <alignment horizontal="center"/>
    </xf>
    <xf numFmtId="4" fontId="18" fillId="0" borderId="0" xfId="0" applyNumberFormat="1" applyFont="1" applyAlignment="1">
      <alignment horizontal="right" vertical="center" wrapText="1"/>
    </xf>
    <xf numFmtId="4" fontId="18" fillId="0" borderId="0" xfId="0" applyNumberFormat="1" applyFont="1" applyAlignment="1">
      <alignment horizontal="center" vertical="center" wrapText="1"/>
    </xf>
    <xf numFmtId="0" fontId="90" fillId="0" borderId="0" xfId="0" applyFont="1"/>
    <xf numFmtId="0" fontId="90" fillId="0" borderId="0" xfId="0" applyFont="1" applyAlignment="1">
      <alignment horizontal="center"/>
    </xf>
    <xf numFmtId="195" fontId="90" fillId="0" borderId="0" xfId="0" applyNumberFormat="1" applyFont="1" applyAlignment="1">
      <alignment horizontal="center"/>
    </xf>
    <xf numFmtId="8" fontId="33" fillId="30" borderId="2" xfId="0" applyNumberFormat="1" applyFont="1" applyFill="1" applyBorder="1" applyAlignment="1">
      <alignment horizontal="left" vertical="center" indent="1"/>
    </xf>
    <xf numFmtId="15" fontId="11" fillId="17" borderId="0" xfId="0" applyNumberFormat="1" applyFont="1" applyFill="1"/>
    <xf numFmtId="1" fontId="52" fillId="0" borderId="11" xfId="0" applyNumberFormat="1" applyFont="1" applyBorder="1" applyAlignment="1">
      <alignment horizontal="center"/>
    </xf>
    <xf numFmtId="168" fontId="52" fillId="0" borderId="11" xfId="0" applyNumberFormat="1" applyFont="1" applyBorder="1" applyAlignment="1">
      <alignment horizontal="center"/>
    </xf>
    <xf numFmtId="175" fontId="52" fillId="8" borderId="11" xfId="0" applyNumberFormat="1" applyFont="1" applyFill="1" applyBorder="1" applyAlignment="1">
      <alignment horizontal="center" vertical="center"/>
    </xf>
    <xf numFmtId="175" fontId="52" fillId="0" borderId="11" xfId="0" applyNumberFormat="1" applyFont="1" applyBorder="1" applyAlignment="1">
      <alignment horizontal="center" vertical="center"/>
    </xf>
    <xf numFmtId="0" fontId="55" fillId="0" borderId="0" xfId="0" applyFont="1"/>
    <xf numFmtId="0" fontId="64" fillId="0" borderId="0" xfId="0" applyFont="1"/>
    <xf numFmtId="0" fontId="23" fillId="0" borderId="0" xfId="0" applyFont="1"/>
    <xf numFmtId="0" fontId="23" fillId="0" borderId="0" xfId="0" applyFont="1" applyAlignment="1">
      <alignment horizontal="center"/>
    </xf>
    <xf numFmtId="8" fontId="7" fillId="38" borderId="20" xfId="0" applyNumberFormat="1" applyFont="1" applyFill="1" applyBorder="1" applyAlignment="1">
      <alignment horizontal="center" vertical="center"/>
    </xf>
    <xf numFmtId="0" fontId="15" fillId="0" borderId="0" xfId="3" applyFont="1"/>
    <xf numFmtId="14" fontId="15" fillId="0" borderId="0" xfId="3" applyNumberFormat="1" applyFont="1"/>
    <xf numFmtId="169" fontId="15" fillId="0" borderId="0" xfId="3" applyNumberFormat="1" applyFont="1" applyAlignment="1">
      <alignment horizontal="center"/>
    </xf>
    <xf numFmtId="8" fontId="15" fillId="0" borderId="0" xfId="4" applyNumberFormat="1" applyFont="1" applyFill="1" applyAlignment="1">
      <alignment horizontal="center"/>
    </xf>
    <xf numFmtId="168" fontId="15" fillId="0" borderId="0" xfId="4" applyNumberFormat="1" applyFont="1" applyFill="1" applyAlignment="1">
      <alignment horizontal="center"/>
    </xf>
    <xf numFmtId="0" fontId="15" fillId="0" borderId="0" xfId="3" applyFont="1" applyAlignment="1">
      <alignment horizontal="center"/>
    </xf>
    <xf numFmtId="6" fontId="15" fillId="0" borderId="0" xfId="4" applyNumberFormat="1" applyFont="1" applyFill="1" applyAlignment="1">
      <alignment horizontal="center"/>
    </xf>
    <xf numFmtId="3" fontId="15" fillId="0" borderId="0" xfId="3" applyNumberFormat="1" applyFont="1" applyAlignment="1">
      <alignment horizontal="center"/>
    </xf>
    <xf numFmtId="10" fontId="7" fillId="0" borderId="0" xfId="1" applyNumberFormat="1" applyFont="1" applyFill="1" applyBorder="1" applyAlignment="1">
      <alignment horizontal="center" vertical="center"/>
    </xf>
    <xf numFmtId="189" fontId="9" fillId="0" borderId="0" xfId="0" applyNumberFormat="1" applyFont="1"/>
    <xf numFmtId="196" fontId="9" fillId="0" borderId="0" xfId="0" applyNumberFormat="1" applyFont="1" applyAlignment="1">
      <alignment horizontal="center"/>
    </xf>
    <xf numFmtId="0" fontId="9" fillId="22" borderId="3" xfId="0" applyFont="1" applyFill="1" applyBorder="1" applyAlignment="1">
      <alignment horizontal="center"/>
    </xf>
    <xf numFmtId="15" fontId="11" fillId="9" borderId="0" xfId="0" applyNumberFormat="1" applyFont="1" applyFill="1" applyAlignment="1">
      <alignment horizontal="center"/>
    </xf>
    <xf numFmtId="8" fontId="2" fillId="22" borderId="3" xfId="0" applyNumberFormat="1" applyFont="1" applyFill="1" applyBorder="1" applyAlignment="1">
      <alignment horizontal="center" vertical="center"/>
    </xf>
    <xf numFmtId="0" fontId="9" fillId="22" borderId="6" xfId="0" applyFont="1" applyFill="1" applyBorder="1" applyAlignment="1">
      <alignment horizontal="center"/>
    </xf>
    <xf numFmtId="182" fontId="9" fillId="0" borderId="0" xfId="11" applyNumberFormat="1" applyFont="1" applyFill="1" applyBorder="1" applyAlignment="1">
      <alignment horizontal="center" vertical="center"/>
    </xf>
    <xf numFmtId="0" fontId="9" fillId="0" borderId="8" xfId="10" applyFont="1" applyBorder="1" applyAlignment="1">
      <alignment horizontal="center" vertical="center"/>
    </xf>
    <xf numFmtId="181" fontId="9" fillId="0" borderId="0" xfId="12" applyNumberFormat="1" applyFont="1" applyFill="1" applyBorder="1" applyAlignment="1">
      <alignment horizontal="center" vertical="center"/>
    </xf>
    <xf numFmtId="9" fontId="9" fillId="0" borderId="0" xfId="12" applyFont="1" applyFill="1" applyBorder="1" applyAlignment="1">
      <alignment horizontal="center" vertical="center"/>
    </xf>
    <xf numFmtId="164" fontId="9" fillId="0" borderId="8" xfId="10" applyNumberFormat="1" applyFont="1" applyBorder="1" applyAlignment="1">
      <alignment horizontal="center" vertical="center"/>
    </xf>
    <xf numFmtId="0" fontId="9" fillId="0" borderId="0" xfId="10" applyFont="1" applyAlignment="1">
      <alignment horizontal="center" vertical="center"/>
    </xf>
    <xf numFmtId="182" fontId="9" fillId="0" borderId="0" xfId="10" applyNumberFormat="1" applyFont="1" applyAlignment="1">
      <alignment horizontal="center" vertical="center"/>
    </xf>
    <xf numFmtId="165" fontId="9" fillId="0" borderId="4" xfId="10" applyNumberFormat="1" applyFont="1" applyBorder="1" applyAlignment="1">
      <alignment horizontal="center" vertical="center"/>
    </xf>
    <xf numFmtId="165" fontId="9" fillId="0" borderId="0" xfId="10" applyNumberFormat="1" applyFont="1" applyAlignment="1">
      <alignment horizontal="center" vertical="center"/>
    </xf>
    <xf numFmtId="182" fontId="53" fillId="0" borderId="0" xfId="11" applyNumberFormat="1" applyFont="1" applyFill="1" applyBorder="1" applyAlignment="1">
      <alignment horizontal="center" vertical="center"/>
    </xf>
    <xf numFmtId="181" fontId="53" fillId="0" borderId="0" xfId="12" applyNumberFormat="1" applyFont="1" applyFill="1" applyBorder="1" applyAlignment="1">
      <alignment horizontal="center" vertical="center"/>
    </xf>
    <xf numFmtId="9" fontId="9" fillId="0" borderId="4" xfId="12" applyFont="1" applyFill="1" applyBorder="1" applyAlignment="1">
      <alignment horizontal="center" vertical="center"/>
    </xf>
    <xf numFmtId="0" fontId="9" fillId="0" borderId="10" xfId="10" applyFont="1" applyBorder="1" applyAlignment="1">
      <alignment horizontal="center" vertical="center"/>
    </xf>
    <xf numFmtId="8" fontId="9" fillId="0" borderId="8" xfId="10" applyNumberFormat="1" applyFont="1" applyBorder="1" applyAlignment="1">
      <alignment horizontal="center" vertical="center"/>
    </xf>
    <xf numFmtId="168" fontId="2" fillId="37" borderId="2" xfId="0" applyNumberFormat="1" applyFont="1" applyFill="1" applyBorder="1" applyAlignment="1">
      <alignment horizontal="center" vertical="center" wrapText="1"/>
    </xf>
    <xf numFmtId="167" fontId="2" fillId="37" borderId="2" xfId="0" applyNumberFormat="1" applyFont="1" applyFill="1" applyBorder="1" applyAlignment="1">
      <alignment horizontal="center" vertical="center" wrapText="1"/>
    </xf>
    <xf numFmtId="166" fontId="7" fillId="0" borderId="2" xfId="1" applyNumberFormat="1" applyFont="1" applyBorder="1" applyAlignment="1">
      <alignment horizontal="center" vertical="center"/>
    </xf>
    <xf numFmtId="8" fontId="23" fillId="0" borderId="2" xfId="0" applyNumberFormat="1" applyFont="1" applyBorder="1" applyAlignment="1">
      <alignment horizontal="left" vertical="center"/>
    </xf>
    <xf numFmtId="168" fontId="15" fillId="18" borderId="0" xfId="4" applyNumberFormat="1" applyFont="1" applyFill="1" applyAlignment="1">
      <alignment horizontal="center"/>
    </xf>
    <xf numFmtId="169" fontId="15" fillId="18" borderId="0" xfId="3" applyNumberFormat="1" applyFont="1" applyFill="1" applyAlignment="1">
      <alignment horizontal="center"/>
    </xf>
    <xf numFmtId="0" fontId="9" fillId="0" borderId="0" xfId="0" quotePrefix="1" applyFont="1" applyAlignment="1">
      <alignment horizontal="left"/>
    </xf>
    <xf numFmtId="43" fontId="26" fillId="0" borderId="8" xfId="0" applyNumberFormat="1" applyFont="1" applyBorder="1" applyAlignment="1">
      <alignment horizontal="center"/>
    </xf>
    <xf numFmtId="0" fontId="94" fillId="39" borderId="29" xfId="0" applyFont="1" applyFill="1" applyBorder="1" applyAlignment="1">
      <alignment vertical="center"/>
    </xf>
    <xf numFmtId="0" fontId="94" fillId="39" borderId="30" xfId="0" applyFont="1" applyFill="1" applyBorder="1" applyAlignment="1">
      <alignment vertical="center"/>
    </xf>
    <xf numFmtId="0" fontId="93" fillId="40" borderId="31" xfId="0" applyFont="1" applyFill="1" applyBorder="1" applyAlignment="1">
      <alignment vertical="center"/>
    </xf>
    <xf numFmtId="0" fontId="93" fillId="40" borderId="21" xfId="0" applyFont="1" applyFill="1" applyBorder="1" applyAlignment="1">
      <alignment vertical="center"/>
    </xf>
    <xf numFmtId="15" fontId="93" fillId="40" borderId="21" xfId="0" applyNumberFormat="1" applyFont="1" applyFill="1" applyBorder="1" applyAlignment="1">
      <alignment horizontal="right" vertical="center"/>
    </xf>
    <xf numFmtId="3" fontId="93" fillId="40" borderId="21" xfId="0" applyNumberFormat="1" applyFont="1" applyFill="1" applyBorder="1" applyAlignment="1">
      <alignment horizontal="center" vertical="center"/>
    </xf>
    <xf numFmtId="3" fontId="93" fillId="40" borderId="21" xfId="0" applyNumberFormat="1" applyFont="1" applyFill="1" applyBorder="1" applyAlignment="1">
      <alignment horizontal="right" vertical="center"/>
    </xf>
    <xf numFmtId="0" fontId="94" fillId="40" borderId="31" xfId="0" applyFont="1" applyFill="1" applyBorder="1" applyAlignment="1">
      <alignment vertical="center"/>
    </xf>
    <xf numFmtId="0" fontId="93" fillId="40" borderId="21" xfId="0" applyFont="1" applyFill="1" applyBorder="1" applyAlignment="1">
      <alignment horizontal="center" vertical="center"/>
    </xf>
    <xf numFmtId="0" fontId="94" fillId="40" borderId="21" xfId="0" applyFont="1" applyFill="1" applyBorder="1" applyAlignment="1">
      <alignment vertical="center"/>
    </xf>
    <xf numFmtId="3" fontId="94" fillId="40" borderId="32" xfId="0" applyNumberFormat="1" applyFont="1" applyFill="1" applyBorder="1" applyAlignment="1">
      <alignment horizontal="right" vertical="center"/>
    </xf>
    <xf numFmtId="0" fontId="94" fillId="40" borderId="31" xfId="0" applyFont="1" applyFill="1" applyBorder="1" applyAlignment="1">
      <alignment horizontal="right" vertical="center"/>
    </xf>
    <xf numFmtId="3" fontId="93" fillId="40" borderId="34" xfId="0" applyNumberFormat="1" applyFont="1" applyFill="1" applyBorder="1" applyAlignment="1">
      <alignment horizontal="right" vertical="center"/>
    </xf>
    <xf numFmtId="0" fontId="93" fillId="40" borderId="31" xfId="0" applyFont="1" applyFill="1" applyBorder="1" applyAlignment="1">
      <alignment horizontal="right" vertical="center"/>
    </xf>
    <xf numFmtId="3" fontId="93" fillId="40" borderId="27" xfId="0" applyNumberFormat="1" applyFont="1" applyFill="1" applyBorder="1" applyAlignment="1">
      <alignment horizontal="right" vertical="center"/>
    </xf>
    <xf numFmtId="3" fontId="93" fillId="40" borderId="0" xfId="0" applyNumberFormat="1" applyFont="1" applyFill="1" applyAlignment="1">
      <alignment horizontal="right" vertical="center"/>
    </xf>
    <xf numFmtId="3" fontId="93" fillId="40" borderId="28" xfId="0" applyNumberFormat="1" applyFont="1" applyFill="1" applyBorder="1" applyAlignment="1">
      <alignment horizontal="right" vertical="center"/>
    </xf>
    <xf numFmtId="0" fontId="93" fillId="40" borderId="34" xfId="0" applyFont="1" applyFill="1" applyBorder="1" applyAlignment="1">
      <alignment horizontal="right" vertical="center"/>
    </xf>
    <xf numFmtId="0" fontId="92" fillId="40" borderId="0" xfId="0" applyFont="1" applyFill="1"/>
    <xf numFmtId="3" fontId="94" fillId="40" borderId="35" xfId="0" applyNumberFormat="1" applyFont="1" applyFill="1" applyBorder="1" applyAlignment="1">
      <alignment horizontal="right" vertical="center"/>
    </xf>
    <xf numFmtId="3" fontId="93" fillId="40" borderId="30" xfId="0" applyNumberFormat="1" applyFont="1" applyFill="1" applyBorder="1" applyAlignment="1">
      <alignment horizontal="right" vertical="center"/>
    </xf>
    <xf numFmtId="0" fontId="93" fillId="40" borderId="30" xfId="0" applyFont="1" applyFill="1" applyBorder="1" applyAlignment="1">
      <alignment horizontal="right" vertical="center"/>
    </xf>
    <xf numFmtId="0" fontId="93" fillId="40" borderId="21" xfId="0" applyFont="1" applyFill="1" applyBorder="1" applyAlignment="1">
      <alignment horizontal="right" vertical="center"/>
    </xf>
    <xf numFmtId="3" fontId="94" fillId="40" borderId="37" xfId="0" applyNumberFormat="1" applyFont="1" applyFill="1" applyBorder="1" applyAlignment="1">
      <alignment horizontal="right" vertical="center"/>
    </xf>
    <xf numFmtId="0" fontId="94" fillId="40" borderId="32" xfId="0" applyFont="1" applyFill="1" applyBorder="1" applyAlignment="1">
      <alignment horizontal="right" vertical="center"/>
    </xf>
    <xf numFmtId="8" fontId="23" fillId="32" borderId="2" xfId="0" applyNumberFormat="1" applyFont="1" applyFill="1" applyBorder="1" applyAlignment="1">
      <alignment horizontal="center" vertical="center"/>
    </xf>
    <xf numFmtId="168" fontId="6" fillId="18" borderId="2" xfId="0" applyNumberFormat="1" applyFont="1" applyFill="1" applyBorder="1" applyAlignment="1">
      <alignment horizontal="center" vertical="center"/>
    </xf>
    <xf numFmtId="0" fontId="15" fillId="23" borderId="0" xfId="3" applyFont="1" applyFill="1"/>
    <xf numFmtId="14" fontId="15" fillId="23" borderId="0" xfId="3" applyNumberFormat="1" applyFont="1" applyFill="1"/>
    <xf numFmtId="169" fontId="15" fillId="23" borderId="0" xfId="3" applyNumberFormat="1" applyFont="1" applyFill="1" applyAlignment="1">
      <alignment horizontal="center"/>
    </xf>
    <xf numFmtId="8" fontId="15" fillId="23" borderId="0" xfId="4" applyNumberFormat="1" applyFont="1" applyFill="1" applyAlignment="1">
      <alignment horizontal="center"/>
    </xf>
    <xf numFmtId="6" fontId="15" fillId="23" borderId="0" xfId="4" applyNumberFormat="1" applyFont="1" applyFill="1" applyAlignment="1">
      <alignment horizontal="center"/>
    </xf>
    <xf numFmtId="0" fontId="15" fillId="23" borderId="0" xfId="3" applyFont="1" applyFill="1" applyAlignment="1">
      <alignment horizontal="center"/>
    </xf>
    <xf numFmtId="188" fontId="15" fillId="23" borderId="0" xfId="4" applyNumberFormat="1" applyFont="1" applyFill="1" applyAlignment="1">
      <alignment horizontal="center"/>
    </xf>
    <xf numFmtId="3" fontId="15" fillId="23" borderId="0" xfId="3" applyNumberFormat="1" applyFont="1" applyFill="1" applyAlignment="1">
      <alignment horizontal="center"/>
    </xf>
    <xf numFmtId="186" fontId="15" fillId="23" borderId="0" xfId="0" applyNumberFormat="1" applyFont="1" applyFill="1" applyAlignment="1">
      <alignment horizontal="center"/>
    </xf>
    <xf numFmtId="0" fontId="15" fillId="23" borderId="0" xfId="0" applyFont="1" applyFill="1"/>
    <xf numFmtId="3" fontId="95" fillId="40" borderId="27" xfId="0" applyNumberFormat="1" applyFont="1" applyFill="1" applyBorder="1" applyAlignment="1">
      <alignment horizontal="right" vertical="center"/>
    </xf>
    <xf numFmtId="3" fontId="95" fillId="40" borderId="28" xfId="0" applyNumberFormat="1" applyFont="1" applyFill="1" applyBorder="1" applyAlignment="1">
      <alignment horizontal="right" vertical="center"/>
    </xf>
    <xf numFmtId="3" fontId="95" fillId="40" borderId="21" xfId="0" applyNumberFormat="1" applyFont="1" applyFill="1" applyBorder="1" applyAlignment="1">
      <alignment horizontal="right" vertical="center"/>
    </xf>
    <xf numFmtId="3" fontId="93" fillId="40" borderId="36" xfId="0" applyNumberFormat="1" applyFont="1" applyFill="1" applyBorder="1" applyAlignment="1">
      <alignment vertical="center"/>
    </xf>
    <xf numFmtId="3" fontId="93" fillId="40" borderId="33" xfId="0" applyNumberFormat="1" applyFont="1" applyFill="1" applyBorder="1" applyAlignment="1">
      <alignment vertical="center"/>
    </xf>
    <xf numFmtId="3" fontId="93" fillId="40" borderId="31" xfId="0" applyNumberFormat="1" applyFont="1" applyFill="1" applyBorder="1" applyAlignment="1">
      <alignment vertical="center"/>
    </xf>
    <xf numFmtId="0" fontId="93" fillId="18" borderId="31" xfId="0" applyFont="1" applyFill="1" applyBorder="1" applyAlignment="1">
      <alignment vertical="center"/>
    </xf>
    <xf numFmtId="0" fontId="93" fillId="18" borderId="21" xfId="0" applyFont="1" applyFill="1" applyBorder="1" applyAlignment="1">
      <alignment vertical="center"/>
    </xf>
    <xf numFmtId="15" fontId="93" fillId="18" borderId="21" xfId="0" applyNumberFormat="1" applyFont="1" applyFill="1" applyBorder="1" applyAlignment="1">
      <alignment horizontal="right" vertical="center"/>
    </xf>
    <xf numFmtId="3" fontId="93" fillId="18" borderId="33" xfId="0" applyNumberFormat="1" applyFont="1" applyFill="1" applyBorder="1" applyAlignment="1">
      <alignment vertical="center"/>
    </xf>
    <xf numFmtId="3" fontId="93" fillId="18" borderId="27" xfId="0" applyNumberFormat="1" applyFont="1" applyFill="1" applyBorder="1" applyAlignment="1">
      <alignment horizontal="right" vertical="center"/>
    </xf>
    <xf numFmtId="0" fontId="93" fillId="18" borderId="31" xfId="0" applyFont="1" applyFill="1" applyBorder="1" applyAlignment="1">
      <alignment horizontal="right" vertical="center"/>
    </xf>
    <xf numFmtId="0" fontId="93" fillId="18" borderId="28" xfId="0" applyFont="1" applyFill="1" applyBorder="1" applyAlignment="1">
      <alignment horizontal="right" vertical="center"/>
    </xf>
    <xf numFmtId="3" fontId="93" fillId="18" borderId="31" xfId="0" applyNumberFormat="1" applyFont="1" applyFill="1" applyBorder="1" applyAlignment="1">
      <alignment vertical="center"/>
    </xf>
    <xf numFmtId="3" fontId="93" fillId="18" borderId="28" xfId="0" applyNumberFormat="1" applyFont="1" applyFill="1" applyBorder="1" applyAlignment="1">
      <alignment horizontal="right" vertical="center"/>
    </xf>
    <xf numFmtId="0" fontId="74" fillId="41" borderId="0" xfId="0" applyFont="1" applyFill="1" applyAlignment="1">
      <alignment horizontal="center"/>
    </xf>
    <xf numFmtId="0" fontId="2" fillId="41" borderId="0" xfId="0" applyFont="1" applyFill="1" applyAlignment="1">
      <alignment horizontal="left"/>
    </xf>
    <xf numFmtId="0" fontId="74" fillId="41" borderId="0" xfId="0" applyFont="1" applyFill="1"/>
    <xf numFmtId="189" fontId="7" fillId="0" borderId="2" xfId="1" applyNumberFormat="1" applyFont="1" applyBorder="1" applyAlignment="1">
      <alignment horizontal="center" vertical="center"/>
    </xf>
    <xf numFmtId="0" fontId="2" fillId="41" borderId="0" xfId="0" quotePrefix="1" applyFont="1" applyFill="1" applyAlignment="1">
      <alignment horizontal="left"/>
    </xf>
    <xf numFmtId="0" fontId="23" fillId="42" borderId="0" xfId="0" applyFont="1" applyFill="1" applyAlignment="1">
      <alignment horizontal="center"/>
    </xf>
    <xf numFmtId="0" fontId="23" fillId="42" borderId="0" xfId="0" applyFont="1" applyFill="1"/>
    <xf numFmtId="0" fontId="25" fillId="24" borderId="0" xfId="0" applyFont="1" applyFill="1" applyAlignment="1">
      <alignment horizontal="left"/>
    </xf>
    <xf numFmtId="0" fontId="91" fillId="0" borderId="0" xfId="0" applyFont="1" applyAlignment="1">
      <alignment horizontal="left"/>
    </xf>
    <xf numFmtId="0" fontId="91" fillId="0" borderId="0" xfId="0" applyFont="1" applyAlignment="1">
      <alignment horizontal="center"/>
    </xf>
    <xf numFmtId="168" fontId="23" fillId="0" borderId="0" xfId="0" applyNumberFormat="1" applyFont="1" applyAlignment="1">
      <alignment horizontal="center"/>
    </xf>
    <xf numFmtId="0" fontId="23" fillId="24" borderId="0" xfId="0" applyFont="1" applyFill="1" applyAlignment="1">
      <alignment horizontal="center"/>
    </xf>
    <xf numFmtId="168" fontId="23" fillId="24" borderId="0" xfId="0" applyNumberFormat="1" applyFont="1" applyFill="1" applyAlignment="1">
      <alignment horizontal="center"/>
    </xf>
    <xf numFmtId="0" fontId="74" fillId="0" borderId="0" xfId="0" applyFont="1"/>
    <xf numFmtId="167" fontId="2" fillId="0" borderId="0" xfId="0" applyNumberFormat="1" applyFont="1" applyAlignment="1">
      <alignment horizontal="center" vertical="center" wrapText="1"/>
    </xf>
    <xf numFmtId="197" fontId="91" fillId="0" borderId="0" xfId="0" applyNumberFormat="1" applyFont="1" applyAlignment="1">
      <alignment horizontal="center"/>
    </xf>
    <xf numFmtId="0" fontId="23" fillId="19" borderId="0" xfId="0" applyFont="1" applyFill="1" applyAlignment="1">
      <alignment horizontal="left" vertical="center" wrapText="1"/>
    </xf>
    <xf numFmtId="0" fontId="23" fillId="0" borderId="0" xfId="0" applyFont="1" applyAlignment="1">
      <alignment horizontal="left" vertical="center" wrapText="1"/>
    </xf>
    <xf numFmtId="0" fontId="31" fillId="0" borderId="0" xfId="14" applyFont="1" applyAlignment="1">
      <alignment vertical="top" wrapText="1"/>
    </xf>
    <xf numFmtId="0" fontId="87" fillId="0" borderId="0" xfId="14" applyFont="1"/>
    <xf numFmtId="0" fontId="10" fillId="35" borderId="28" xfId="14" applyFont="1" applyFill="1" applyBorder="1" applyAlignment="1">
      <alignment vertical="top" wrapText="1"/>
    </xf>
    <xf numFmtId="0" fontId="88" fillId="0" borderId="28" xfId="14" applyFont="1" applyBorder="1"/>
    <xf numFmtId="0" fontId="88" fillId="0" borderId="25" xfId="14" applyFont="1" applyBorder="1"/>
    <xf numFmtId="0" fontId="10" fillId="35" borderId="0" xfId="14" applyFont="1" applyFill="1" applyAlignment="1">
      <alignment horizontal="left" vertical="top" wrapText="1"/>
    </xf>
    <xf numFmtId="0" fontId="88" fillId="0" borderId="23" xfId="14" applyFont="1" applyBorder="1"/>
    <xf numFmtId="0" fontId="10" fillId="35" borderId="27" xfId="14" applyFont="1" applyFill="1" applyBorder="1" applyAlignment="1">
      <alignment vertical="top" wrapText="1"/>
    </xf>
    <xf numFmtId="0" fontId="88" fillId="0" borderId="27" xfId="14" applyFont="1" applyBorder="1"/>
    <xf numFmtId="0" fontId="88" fillId="0" borderId="21" xfId="14" applyFont="1" applyBorder="1"/>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2">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06/relationships/rdSupportingPropertyBag" Target="richData/rdsupportingpropertybag.xml"/><Relationship Id="rId3" Type="http://schemas.openxmlformats.org/officeDocument/2006/relationships/worksheet" Target="worksheets/sheet3.xml"/><Relationship Id="rId21" Type="http://schemas.openxmlformats.org/officeDocument/2006/relationships/sheetMetadata" Target="metadata.xml"/><Relationship Id="rId34"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SupportingPropertyBagStructure" Target="richData/rdsupportingpropertybagstructure.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ichStyles" Target="richData/richStyles.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microsoft.com/office/2017/06/relationships/rdRichValueTypes" Target="richData/rdRichValueTypes.xml"/><Relationship Id="rId30" Type="http://schemas.openxmlformats.org/officeDocument/2006/relationships/customXml" Target="../customXml/item1.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'8. WLD Grant C-133'!$F$7</c:f>
              <c:strCache>
                <c:ptCount val="1"/>
                <c:pt idx="0">
                  <c:v>Cumulative Tokens Unlocked</c:v>
                </c:pt>
              </c:strCache>
            </c:strRef>
          </c:tx>
          <c:spPr>
            <a:solidFill>
              <a:srgbClr val="4285F4">
                <a:alpha val="30000"/>
              </a:srgbClr>
            </a:solidFill>
            <a:ln cmpd="sng">
              <a:solidFill>
                <a:srgbClr val="4285F4"/>
              </a:solidFill>
            </a:ln>
          </c:spPr>
          <c:cat>
            <c:numRef>
              <c:f>'8. 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'8. 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fb>45898</fb>
    <v>0</v>
  </rv>
  <rv s="0">
    <fb>180.9</fb>
    <v>1</v>
  </rv>
  <rv s="0">
    <fb>5.66</fb>
    <v>2</v>
  </rv>
  <rv s="0">
    <fb>1.3503000000000001</fb>
    <v>2</v>
  </rv>
  <rv s="0">
    <fb>7.1303999999999998</fb>
    <v>3</v>
  </rv>
  <rv s="0">
    <fb>1.1684000000000001</fb>
    <v>2</v>
  </rv>
</rvData>
</file>

<file path=xl/richData/rdrichvaluestructure.xml><?xml version="1.0" encoding="utf-8"?>
<rvStructures xmlns="http://schemas.microsoft.com/office/spreadsheetml/2017/richdata" count="1">
  <s t="_formattednumber">
    <k n="_Format" t="spb"/>
  </s>
</rvStructures>
</file>

<file path=xl/richData/rdsupportingpropertybag.xml><?xml version="1.0" encoding="utf-8"?>
<supportingPropertyBags xmlns="http://schemas.microsoft.com/office/spreadsheetml/2017/richdata2">
  <spbData count="4">
    <spb s="0">
      <v>1</v>
    </spb>
    <spb s="0">
      <v>2</v>
    </spb>
    <spb s="0">
      <v>3</v>
    </spb>
    <spb s="0">
      <v>4</v>
    </spb>
  </spbData>
</supportingPropertyBags>
</file>

<file path=xl/richData/rdsupportingpropertybagstructure.xml><?xml version="1.0" encoding="utf-8"?>
<spbStructures xmlns="http://schemas.microsoft.com/office/spreadsheetml/2017/richdata2" count="1">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19" formatCode="m/d/yyyy"/>
    </x:dxf>
    <x:dxf>
      <x:numFmt numFmtId="0" formatCode="General"/>
    </x:dxf>
    <x:dxf>
      <x:numFmt numFmtId="35" formatCode="_(* #,##0.00_);_(* \(#,##0.00\);_(* &quot;-&quot;??_);_(@_)"/>
    </x:dxf>
  </dxfs>
  <richProperties>
    <rPr n="NumberFormat" t="s"/>
  </richProperties>
  <richStyles>
    <rSty dxfid="0"/>
    <rSty dxfid="2">
      <rpv i="0">_(* #,##0.00_);_(* (#,##0.00);_(* "-"??_);_(@_)</rpv>
    </rSty>
    <rSty dxfid="1">
      <rpv i="0">_([$$-en-US]* #,##0.00_);_([$$-en-US]* (#,##0.00);_([$$-en-US]* "-"??_);_(@_)</rpv>
    </rSty>
    <rSty dxfid="1">
      <rpv i="0" xml:space="preserve">_ [$¥-zh-CN]* #,##0.00_ ;_ [$¥-zh-CN]* -#,##0.00_ ;_ [$¥-zh-CN]* "-"??_ ;_ @_ </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8"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P6" dT="2025-03-11T06:55:22.34" personId="{00000000-0000-0000-0000-000000000000}" id="{0ADAD006-5CE8-449D-92A3-5FC598B26531}">
    <text xml:space="preserve">Funds EUR 2.4m received on 04Feb
</text>
  </threadedComment>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 ref="P20" dT="2025-03-11T06:52:17.39" personId="{00000000-0000-0000-0000-000000000000}" id="{EF0CB8C0-DF9D-4600-B7AF-E48DF57A2FE5}">
    <text xml:space="preserve">Net Capital Call, which is a distribution in this case. There is a corresponding increase in the remaining commitment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6.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0.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6.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40"/>
  <sheetViews>
    <sheetView showGridLines="0" tabSelected="1" topLeftCell="A3" zoomScaleNormal="100" zoomScaleSheetLayoutView="115" workbookViewId="0">
      <selection activeCell="O30" sqref="O30"/>
    </sheetView>
  </sheetViews>
  <sheetFormatPr defaultColWidth="9.140625" defaultRowHeight="15"/>
  <cols>
    <col min="1" max="1" width="9.140625" style="25"/>
    <col min="2" max="2" width="5.28515625" style="25" customWidth="1"/>
    <col min="3" max="3" width="17" style="26" customWidth="1"/>
    <col min="4" max="4" width="17.28515625" style="451" customWidth="1"/>
    <col min="5" max="5" width="15.85546875" style="25" bestFit="1" customWidth="1"/>
    <col min="6" max="9" width="14.5703125" style="25" customWidth="1"/>
    <col min="10" max="11" width="17.28515625" style="25" customWidth="1"/>
    <col min="12" max="13" width="13.7109375" style="25" customWidth="1"/>
    <col min="14" max="14" width="2.85546875" style="25" customWidth="1"/>
    <col min="15" max="16384" width="9.140625" style="25"/>
  </cols>
  <sheetData>
    <row r="1" spans="2:15" ht="15.75" thickBot="1"/>
    <row r="2" spans="2:15" s="44" customFormat="1" ht="15.75" thickBot="1">
      <c r="B2" s="112" t="s">
        <v>159</v>
      </c>
      <c r="C2" s="452"/>
      <c r="D2" s="203">
        <v>45900</v>
      </c>
      <c r="E2" s="373" t="str">
        <f>TEXT(D2,"dddddd")</f>
        <v>Sunday</v>
      </c>
      <c r="H2" s="25"/>
      <c r="I2" s="25"/>
      <c r="J2" s="25"/>
      <c r="K2" s="25"/>
      <c r="L2" s="25"/>
      <c r="M2" s="126"/>
      <c r="N2" s="25"/>
      <c r="O2" s="25"/>
    </row>
    <row r="3" spans="2:15" s="44" customFormat="1">
      <c r="C3" s="43"/>
      <c r="D3" s="453"/>
      <c r="E3" s="117"/>
      <c r="F3" s="372"/>
      <c r="H3" s="25"/>
      <c r="I3" s="25"/>
      <c r="J3" s="25"/>
      <c r="K3" s="25"/>
      <c r="L3" s="25"/>
      <c r="M3" s="25"/>
      <c r="N3" s="25"/>
      <c r="O3" s="25"/>
    </row>
    <row r="4" spans="2:15" s="448" customFormat="1" ht="27" customHeight="1">
      <c r="B4" s="446"/>
      <c r="C4" s="446"/>
      <c r="D4" s="454"/>
      <c r="E4" s="446"/>
      <c r="F4" s="447"/>
      <c r="G4" s="447"/>
      <c r="H4" s="447" t="s">
        <v>165</v>
      </c>
      <c r="I4" s="447"/>
      <c r="J4" s="446"/>
      <c r="K4" s="446"/>
      <c r="L4" s="446"/>
      <c r="M4" s="446"/>
      <c r="N4" s="446"/>
    </row>
    <row r="5" spans="2:15">
      <c r="B5" s="437"/>
      <c r="C5" s="438"/>
      <c r="E5" s="437"/>
      <c r="F5" s="437"/>
      <c r="G5" s="437"/>
      <c r="H5" s="437"/>
      <c r="I5" s="439"/>
      <c r="J5" s="437"/>
      <c r="K5" s="437"/>
      <c r="L5" s="437"/>
      <c r="M5" s="437"/>
      <c r="N5" s="437"/>
    </row>
    <row r="6" spans="2:15" ht="15.75" thickBot="1">
      <c r="B6" s="440" t="s">
        <v>608</v>
      </c>
      <c r="C6" s="441"/>
      <c r="D6" s="455"/>
      <c r="E6" s="440"/>
      <c r="F6" s="442"/>
      <c r="G6" s="442"/>
      <c r="H6" s="442"/>
      <c r="I6" s="442"/>
      <c r="J6" s="442"/>
      <c r="K6" s="442"/>
      <c r="L6" s="442"/>
      <c r="M6" s="442"/>
      <c r="N6" s="443"/>
    </row>
    <row r="7" spans="2:15">
      <c r="B7" s="119"/>
      <c r="C7" s="60"/>
      <c r="D7" s="456"/>
      <c r="E7" s="120"/>
      <c r="F7" s="120"/>
      <c r="G7" s="120"/>
      <c r="H7" s="120"/>
      <c r="I7" s="120"/>
      <c r="J7" s="120"/>
      <c r="K7" s="120"/>
      <c r="L7" s="120"/>
      <c r="M7" s="120"/>
      <c r="N7" s="62"/>
    </row>
    <row r="8" spans="2:15" ht="30" customHeight="1">
      <c r="B8" s="66"/>
      <c r="E8" s="41" t="s">
        <v>164</v>
      </c>
      <c r="F8" s="41" t="s">
        <v>32</v>
      </c>
      <c r="G8" s="42" t="s">
        <v>2</v>
      </c>
      <c r="H8" s="42" t="s">
        <v>168</v>
      </c>
      <c r="I8" s="42" t="s">
        <v>33</v>
      </c>
      <c r="J8" s="42" t="s">
        <v>151</v>
      </c>
      <c r="K8" s="42" t="s">
        <v>167</v>
      </c>
      <c r="L8" s="42" t="s">
        <v>34</v>
      </c>
      <c r="M8" s="42" t="s">
        <v>92</v>
      </c>
      <c r="N8" s="67"/>
    </row>
    <row r="9" spans="2:15">
      <c r="B9" s="66"/>
      <c r="E9" s="449" t="s">
        <v>82</v>
      </c>
      <c r="F9" s="449" t="s">
        <v>610</v>
      </c>
      <c r="G9" s="449" t="s">
        <v>610</v>
      </c>
      <c r="H9" s="449" t="s">
        <v>610</v>
      </c>
      <c r="I9" s="449" t="s">
        <v>610</v>
      </c>
      <c r="J9" s="449" t="s">
        <v>610</v>
      </c>
      <c r="K9" s="449" t="s">
        <v>610</v>
      </c>
      <c r="L9" s="449" t="s">
        <v>231</v>
      </c>
      <c r="M9" s="449" t="s">
        <v>231</v>
      </c>
      <c r="N9" s="67"/>
    </row>
    <row r="10" spans="2:15">
      <c r="B10" s="66"/>
      <c r="D10" s="457"/>
      <c r="E10" s="26"/>
      <c r="N10" s="67"/>
    </row>
    <row r="11" spans="2:15">
      <c r="B11" s="66"/>
      <c r="C11" s="25" t="s">
        <v>572</v>
      </c>
      <c r="D11" s="457" t="s">
        <v>248</v>
      </c>
      <c r="E11" s="124">
        <f>COUNTIF('1. Live'!$D$1:D25,$D11)</f>
        <v>12</v>
      </c>
      <c r="F11" s="113">
        <f ca="1">SUMIF('1. Live'!$D$1:$D$110,$D11,'1. Live'!K$1:K$110)</f>
        <v>1106.0180015610331</v>
      </c>
      <c r="G11" s="113">
        <f ca="1">SUMIF('1. Live'!$D$1:$D$110,$D11,'1. Live'!L$1:L$110)</f>
        <v>947.50137387436644</v>
      </c>
      <c r="H11" s="113">
        <f ca="1">SUMIF('1. Live'!$D$1:$D$110,$D11,'1. Live'!M$1:M$110)</f>
        <v>158.51662768666668</v>
      </c>
      <c r="I11" s="113">
        <f ca="1">SUMIF('1. Live'!$D$1:$D$110,$D11,'1. Live'!N$1:N$110)</f>
        <v>85.304451139999998</v>
      </c>
      <c r="J11" s="113">
        <f ca="1">SUMIF('1. Live'!$D$1:$D$110,$D11,'1. Live'!O$1:O$110)</f>
        <v>878.23663607097956</v>
      </c>
      <c r="K11" s="113">
        <f ca="1">SUMIF('1. Live'!$D$1:$D$110,$D11,'1. Live'!P$1:P$110)</f>
        <v>16.039713336613026</v>
      </c>
      <c r="L11" s="128">
        <f ca="1">IFERROR((I11+J11)/G11,"")</f>
        <v>1.0169284328011328</v>
      </c>
      <c r="M11" s="114">
        <f ca="1">IFERROR(I11/G11,"")</f>
        <v>9.0030952452540614E-2</v>
      </c>
      <c r="N11" s="67"/>
    </row>
    <row r="12" spans="2:15">
      <c r="B12" s="66"/>
      <c r="D12" s="457"/>
      <c r="E12" s="26"/>
      <c r="N12" s="67"/>
    </row>
    <row r="13" spans="2:15">
      <c r="B13" s="66"/>
      <c r="C13" s="25" t="s">
        <v>161</v>
      </c>
      <c r="D13" s="457" t="s">
        <v>249</v>
      </c>
      <c r="E13" s="511">
        <f>COUNTIF('1. Live'!$D$1:D27,$D13)</f>
        <v>0</v>
      </c>
      <c r="F13" s="512">
        <f>SUMIF('1. Live'!$D$1:$D$110,$D13,'1. Live'!K$1:K$110)</f>
        <v>0</v>
      </c>
      <c r="G13" s="512">
        <f>SUMIF('1. Live'!$D$1:$D$110,$D13,'1. Live'!L$1:L$110)</f>
        <v>0</v>
      </c>
      <c r="H13" s="512">
        <f>SUMIF('1. Live'!$D$1:$D$110,$D13,'1. Live'!M$1:M$110)</f>
        <v>0</v>
      </c>
      <c r="I13" s="512">
        <f>SUMIF('1. Live'!$D$1:$D$110,$D13,'1. Live'!N$1:N$110)</f>
        <v>0</v>
      </c>
      <c r="J13" s="512">
        <f>SUMIF('1. Live'!$D$1:$D$110,$D13,'1. Live'!O$1:O$110)</f>
        <v>0</v>
      </c>
      <c r="K13" s="512">
        <f>SUMIF('1. Live'!$D$1:$D$110,$D13,'1. Live'!P$1:P$110)</f>
        <v>0</v>
      </c>
      <c r="L13" s="513" t="str">
        <f>IFERROR((I13+J13)/G13,"")</f>
        <v/>
      </c>
      <c r="M13" s="514" t="str">
        <f>IFERROR(I13/G13,"")</f>
        <v/>
      </c>
      <c r="N13" s="67"/>
    </row>
    <row r="14" spans="2:15">
      <c r="B14" s="66"/>
      <c r="D14" s="457"/>
      <c r="E14" s="125"/>
      <c r="N14" s="67"/>
    </row>
    <row r="15" spans="2:15">
      <c r="B15" s="66"/>
      <c r="C15" s="25" t="s">
        <v>162</v>
      </c>
      <c r="D15" s="457" t="s">
        <v>250</v>
      </c>
      <c r="E15" s="124">
        <f>COUNTIF('1. Live'!$D$1:D29,$D15)</f>
        <v>4</v>
      </c>
      <c r="F15" s="113">
        <f ca="1">SUMIF('1. Live'!$D$1:$D$110,$D15,'1. Live'!K$1:K$110)</f>
        <v>132.83985448743496</v>
      </c>
      <c r="G15" s="113">
        <f ca="1">SUMIF('1. Live'!$D$1:$D$110,$D15,'1. Live'!L$1:L$110)</f>
        <v>120.90242582213898</v>
      </c>
      <c r="H15" s="113">
        <f ca="1">SUMIF('1. Live'!$D$1:$D$110,$D15,'1. Live'!M$1:M$110)</f>
        <v>11.937428665296004</v>
      </c>
      <c r="I15" s="113">
        <f>SUMIF('1. Live'!$D$1:$D$110,$D15,'1. Live'!N$1:N$110)</f>
        <v>11.668277278165199</v>
      </c>
      <c r="J15" s="113">
        <f ca="1">SUMIF('1. Live'!$D$1:$D$110,$D15,'1. Live'!O$1:O$110)</f>
        <v>106.52705847860651</v>
      </c>
      <c r="K15" s="113">
        <f ca="1">SUMIF('1. Live'!$D$1:$D$110,$D15,'1. Live'!P$1:P$110)</f>
        <v>-2.7070900653672703</v>
      </c>
      <c r="L15" s="128">
        <f ca="1">IFERROR((I15+J15)/G15,"")</f>
        <v>0.9776092990115044</v>
      </c>
      <c r="M15" s="114">
        <f ca="1">IFERROR(I15/G15,"")</f>
        <v>9.6509869002384965E-2</v>
      </c>
      <c r="N15" s="67"/>
    </row>
    <row r="16" spans="2:15">
      <c r="B16" s="66"/>
      <c r="D16" s="457"/>
      <c r="E16" s="26"/>
      <c r="N16" s="67"/>
    </row>
    <row r="17" spans="2:14">
      <c r="B17" s="66"/>
      <c r="C17" s="25" t="s">
        <v>706</v>
      </c>
      <c r="D17" s="457" t="s">
        <v>709</v>
      </c>
      <c r="E17" s="124">
        <v>4</v>
      </c>
      <c r="F17" s="113">
        <f>'1. Live'!K52</f>
        <v>2000</v>
      </c>
      <c r="G17" s="113">
        <f>'1. Live'!L52</f>
        <v>547.72830599999998</v>
      </c>
      <c r="H17" s="113">
        <f>'1. Live'!M52</f>
        <v>1452.271694</v>
      </c>
      <c r="I17" s="113">
        <f>'1. Live'!N52</f>
        <v>0</v>
      </c>
      <c r="J17" s="113">
        <f>'1. Live'!O52</f>
        <v>747.27300240173281</v>
      </c>
      <c r="K17" s="113">
        <f>'1. Live'!P52</f>
        <v>199.54469640173278</v>
      </c>
      <c r="L17" s="128">
        <f>IFERROR((I17+J17)/G17,"")</f>
        <v>1.3643132812671048</v>
      </c>
      <c r="M17" s="114">
        <f>IFERROR(I17/G17,"")</f>
        <v>0</v>
      </c>
      <c r="N17" s="67"/>
    </row>
    <row r="18" spans="2:14">
      <c r="B18" s="66"/>
      <c r="D18" s="457"/>
      <c r="E18" s="26"/>
      <c r="N18" s="67"/>
    </row>
    <row r="19" spans="2:14">
      <c r="B19" s="66"/>
      <c r="C19" s="25" t="s">
        <v>163</v>
      </c>
      <c r="D19" s="457"/>
      <c r="E19" s="124">
        <f t="shared" ref="E19" si="0">E11+E13+E15</f>
        <v>16</v>
      </c>
      <c r="F19" s="113">
        <f ca="1">F11+F13+F15+F17</f>
        <v>3238.857856048468</v>
      </c>
      <c r="G19" s="113">
        <f t="shared" ref="G19:K19" ca="1" si="1">G11+G13+G15+G17</f>
        <v>1616.1321056965053</v>
      </c>
      <c r="H19" s="113">
        <f t="shared" ca="1" si="1"/>
        <v>1622.7257503519627</v>
      </c>
      <c r="I19" s="113">
        <f t="shared" ca="1" si="1"/>
        <v>96.97272841816519</v>
      </c>
      <c r="J19" s="113">
        <f t="shared" ca="1" si="1"/>
        <v>1732.0366969513188</v>
      </c>
      <c r="K19" s="113">
        <f t="shared" ca="1" si="1"/>
        <v>212.87731967297853</v>
      </c>
      <c r="L19" s="128">
        <f ca="1">IFERROR((I19+J19)/G19,"")</f>
        <v>1.1317202467067102</v>
      </c>
      <c r="M19" s="114">
        <f ca="1">IFERROR(I19/G19,"")</f>
        <v>6.0002971339012418E-2</v>
      </c>
      <c r="N19" s="67"/>
    </row>
    <row r="20" spans="2:14" s="28" customFormat="1" ht="15.75" thickBot="1">
      <c r="B20" s="121"/>
      <c r="C20" s="122"/>
      <c r="D20" s="458"/>
      <c r="E20" s="122"/>
      <c r="F20" s="153"/>
      <c r="G20" s="122"/>
      <c r="H20" s="122"/>
      <c r="I20" s="122"/>
      <c r="J20" s="122"/>
      <c r="K20" s="122"/>
      <c r="L20" s="122"/>
      <c r="M20" s="122"/>
      <c r="N20" s="123"/>
    </row>
    <row r="21" spans="2:14">
      <c r="D21" s="457"/>
    </row>
    <row r="22" spans="2:14" ht="15.75" thickBot="1">
      <c r="B22" s="440" t="s">
        <v>609</v>
      </c>
      <c r="C22" s="441"/>
      <c r="D22" s="455"/>
      <c r="E22" s="440"/>
      <c r="F22" s="442"/>
      <c r="G22" s="442"/>
      <c r="H22" s="442"/>
      <c r="I22" s="442"/>
      <c r="J22" s="442"/>
      <c r="K22" s="442"/>
      <c r="L22" s="442"/>
      <c r="M22" s="442"/>
      <c r="N22" s="443"/>
    </row>
    <row r="23" spans="2:14">
      <c r="B23" s="119"/>
      <c r="C23" s="60"/>
      <c r="D23" s="459"/>
      <c r="E23" s="120"/>
      <c r="F23" s="120"/>
      <c r="G23" s="120"/>
      <c r="H23" s="120"/>
      <c r="I23" s="120"/>
      <c r="J23" s="120"/>
      <c r="K23" s="120"/>
      <c r="L23" s="120"/>
      <c r="M23" s="120"/>
      <c r="N23" s="62"/>
    </row>
    <row r="24" spans="2:14" ht="30" customHeight="1">
      <c r="B24" s="66"/>
      <c r="D24" s="457"/>
      <c r="E24" s="41" t="s">
        <v>164</v>
      </c>
      <c r="F24" s="41" t="s">
        <v>32</v>
      </c>
      <c r="G24" s="42" t="s">
        <v>2</v>
      </c>
      <c r="H24" s="42" t="s">
        <v>168</v>
      </c>
      <c r="I24" s="42" t="s">
        <v>33</v>
      </c>
      <c r="J24" s="42" t="s">
        <v>151</v>
      </c>
      <c r="K24" s="42" t="s">
        <v>167</v>
      </c>
      <c r="L24" s="42" t="s">
        <v>34</v>
      </c>
      <c r="M24" s="42" t="s">
        <v>92</v>
      </c>
      <c r="N24" s="67"/>
    </row>
    <row r="25" spans="2:14">
      <c r="B25" s="66"/>
      <c r="D25" s="457"/>
      <c r="E25" s="449" t="s">
        <v>82</v>
      </c>
      <c r="F25" s="449" t="s">
        <v>610</v>
      </c>
      <c r="G25" s="449" t="s">
        <v>610</v>
      </c>
      <c r="H25" s="449" t="s">
        <v>610</v>
      </c>
      <c r="I25" s="449" t="s">
        <v>610</v>
      </c>
      <c r="J25" s="449" t="s">
        <v>610</v>
      </c>
      <c r="K25" s="449" t="s">
        <v>610</v>
      </c>
      <c r="L25" s="449" t="s">
        <v>231</v>
      </c>
      <c r="M25" s="449" t="s">
        <v>231</v>
      </c>
      <c r="N25" s="67"/>
    </row>
    <row r="26" spans="2:14">
      <c r="B26" s="66"/>
      <c r="D26" s="457"/>
      <c r="E26" s="26"/>
      <c r="N26" s="67"/>
    </row>
    <row r="27" spans="2:14">
      <c r="B27" s="66"/>
      <c r="C27" s="25" t="s">
        <v>572</v>
      </c>
      <c r="D27" s="457" t="s">
        <v>248</v>
      </c>
      <c r="E27" s="124">
        <f>COUNTIF('2. Exited'!$D$1:D41,$D27)</f>
        <v>8</v>
      </c>
      <c r="F27" s="113">
        <f ca="1">SUMIF('2. Exited'!$D$1:$D$41,$D27,'2. Exited'!K$1:K$41)</f>
        <v>1394.0315513984774</v>
      </c>
      <c r="G27" s="113">
        <f ca="1">SUMIF('2. Exited'!$D$1:$D$41,$D27,'2. Exited'!L$1:L$41)</f>
        <v>1394.0315513984774</v>
      </c>
      <c r="H27" s="113">
        <f ca="1">SUMIF('2. Exited'!$D$1:$D$41,$D27,'2. Exited'!M$1:M$41)</f>
        <v>0</v>
      </c>
      <c r="I27" s="113">
        <f ca="1">SUMIF('2. Exited'!$D$1:$D$41,$D27,'2. Exited'!N$1:N$41)</f>
        <v>1343.24219253</v>
      </c>
      <c r="J27" s="113">
        <f>SUMIF('2. Exited'!$D$1:$D$41,$D27,'2. Exited'!O$1:O$41)</f>
        <v>0</v>
      </c>
      <c r="K27" s="113">
        <f ca="1">SUMIF('2. Exited'!$D$1:$D$41,$D27,'2. Exited'!P$1:P$41)</f>
        <v>-50.789358868477436</v>
      </c>
      <c r="L27" s="128">
        <f ca="1">IFERROR((I27+J27)/G27,"")</f>
        <v>0.96356656431662102</v>
      </c>
      <c r="M27" s="114">
        <f ca="1">IFERROR(I27/G27,"")</f>
        <v>0.96356656431662102</v>
      </c>
      <c r="N27" s="67"/>
    </row>
    <row r="28" spans="2:14">
      <c r="B28" s="66"/>
      <c r="D28" s="457"/>
      <c r="E28" s="26"/>
      <c r="N28" s="67"/>
    </row>
    <row r="29" spans="2:14">
      <c r="B29" s="66"/>
      <c r="C29" s="25" t="s">
        <v>161</v>
      </c>
      <c r="D29" s="457" t="s">
        <v>249</v>
      </c>
      <c r="E29" s="124">
        <f>COUNTIF('2. Exited'!$D$1:D43,$D29)</f>
        <v>3</v>
      </c>
      <c r="F29" s="113">
        <f>SUMIF('2. Exited'!$D$1:$D$41,$D29,'2. Exited'!K$1:K$41)</f>
        <v>10.765746999999999</v>
      </c>
      <c r="G29" s="113">
        <f>SUMIF('2. Exited'!$D$1:$D$41,$D29,'2. Exited'!L$1:L$41)</f>
        <v>10.765746999999999</v>
      </c>
      <c r="H29" s="113">
        <f>SUMIF('2. Exited'!$D$1:$D$41,$D29,'2. Exited'!M$1:M$41)</f>
        <v>0</v>
      </c>
      <c r="I29" s="113">
        <f>SUMIF('2. Exited'!$D$1:$D$41,$D29,'2. Exited'!N$1:N$41)</f>
        <v>0.47078465000000003</v>
      </c>
      <c r="J29" s="113">
        <f>SUMIF('2. Exited'!$D$1:$D$41,$D29,'2. Exited'!O$1:O$41)</f>
        <v>0</v>
      </c>
      <c r="K29" s="113">
        <f>SUMIF('2. Exited'!$D$1:$D$41,$D29,'2. Exited'!P$1:P$41)</f>
        <v>-10.294962349999999</v>
      </c>
      <c r="L29" s="128">
        <f>IFERROR((I29+J29)/G29,"")</f>
        <v>4.372986379858268E-2</v>
      </c>
      <c r="M29" s="114">
        <f>IFERROR(I29/G29,"")</f>
        <v>4.372986379858268E-2</v>
      </c>
      <c r="N29" s="67"/>
    </row>
    <row r="30" spans="2:14">
      <c r="B30" s="66"/>
      <c r="D30" s="457"/>
      <c r="E30" s="125"/>
      <c r="N30" s="67"/>
    </row>
    <row r="31" spans="2:14">
      <c r="B31" s="66"/>
      <c r="C31" s="25" t="s">
        <v>162</v>
      </c>
      <c r="D31" s="457" t="s">
        <v>250</v>
      </c>
      <c r="E31" s="124">
        <f>COUNTIF('2. Exited'!$D$1:D45,$D31)</f>
        <v>1</v>
      </c>
      <c r="F31" s="113">
        <f>SUMIF('2. Exited'!$D$1:$D$41,$D31,'2. Exited'!K$1:K$41)</f>
        <v>50</v>
      </c>
      <c r="G31" s="113">
        <f ca="1">SUMIF('2. Exited'!$D$1:$D$41,$D31,'2. Exited'!L$1:L$41)</f>
        <v>24.959693000000001</v>
      </c>
      <c r="H31" s="113">
        <f>SUMIF('2. Exited'!$D$1:$D$41,$D31,'2. Exited'!M$1:M$41)</f>
        <v>0</v>
      </c>
      <c r="I31" s="113">
        <f>SUMIF('2. Exited'!$D$1:$D$41,$D31,'2. Exited'!N$1:N$41)</f>
        <v>25.403521350000002</v>
      </c>
      <c r="J31" s="113">
        <f>SUMIF('2. Exited'!$D$1:$D$41,$D31,'2. Exited'!O$1:O$41)</f>
        <v>0</v>
      </c>
      <c r="K31" s="113">
        <f ca="1">SUMIF('2. Exited'!$D$1:$D$41,$D31,'2. Exited'!P$1:P$41)</f>
        <v>0.44382835000000043</v>
      </c>
      <c r="L31" s="128">
        <f ca="1">IFERROR((I31+J31)/G31,"")</f>
        <v>1.0177818032457371</v>
      </c>
      <c r="M31" s="114">
        <f ca="1">IFERROR(I31/G31,"")</f>
        <v>1.0177818032457371</v>
      </c>
      <c r="N31" s="67"/>
    </row>
    <row r="32" spans="2:14">
      <c r="B32" s="66"/>
      <c r="D32" s="457"/>
      <c r="E32" s="26"/>
      <c r="N32" s="67"/>
    </row>
    <row r="33" spans="2:14">
      <c r="B33" s="66"/>
      <c r="C33" s="25" t="s">
        <v>163</v>
      </c>
      <c r="D33" s="460"/>
      <c r="E33" s="124">
        <f t="shared" ref="E33:K33" si="2">E27+E29+E31</f>
        <v>12</v>
      </c>
      <c r="F33" s="113">
        <f t="shared" ca="1" si="2"/>
        <v>1454.7972983984773</v>
      </c>
      <c r="G33" s="113">
        <f t="shared" ca="1" si="2"/>
        <v>1429.7569913984773</v>
      </c>
      <c r="H33" s="113">
        <f t="shared" ca="1" si="2"/>
        <v>0</v>
      </c>
      <c r="I33" s="113">
        <f t="shared" ca="1" si="2"/>
        <v>1369.1164985299999</v>
      </c>
      <c r="J33" s="113">
        <f t="shared" si="2"/>
        <v>0</v>
      </c>
      <c r="K33" s="113">
        <f t="shared" ca="1" si="2"/>
        <v>-60.640492868477438</v>
      </c>
      <c r="L33" s="128">
        <f ca="1">IFERROR((I33+J33)/G33,"")</f>
        <v>0.95758685340705096</v>
      </c>
      <c r="M33" s="114">
        <f ca="1">IFERROR(I33/G33,"")</f>
        <v>0.95758685340705096</v>
      </c>
      <c r="N33" s="67"/>
    </row>
    <row r="34" spans="2:14" ht="15.75" thickBot="1">
      <c r="B34" s="121"/>
      <c r="C34" s="122"/>
      <c r="D34" s="461"/>
      <c r="E34" s="122"/>
      <c r="F34" s="153"/>
      <c r="G34" s="122"/>
      <c r="H34" s="122"/>
      <c r="I34" s="122"/>
      <c r="J34" s="122"/>
      <c r="K34" s="122"/>
      <c r="L34" s="122"/>
      <c r="M34" s="122"/>
      <c r="N34" s="123"/>
    </row>
    <row r="35" spans="2:14" s="126" customFormat="1">
      <c r="C35" s="107"/>
      <c r="D35" s="462"/>
    </row>
    <row r="36" spans="2:14">
      <c r="B36" s="445" t="s">
        <v>573</v>
      </c>
    </row>
    <row r="38" spans="2:14">
      <c r="C38" s="25"/>
      <c r="E38" s="154" t="s">
        <v>569</v>
      </c>
      <c r="F38" s="154" t="b">
        <f ca="1">ROUND(F19,5)=ROUND('1. Live'!K54,5)</f>
        <v>1</v>
      </c>
      <c r="G38" s="154" t="b">
        <f ca="1">ROUND(G19,5)=ROUND('1. Live'!L54,5)</f>
        <v>1</v>
      </c>
      <c r="H38" s="154" t="b">
        <f ca="1">ROUND(H19,5)=ROUND('1. Live'!M54,5)</f>
        <v>1</v>
      </c>
      <c r="I38" s="154" t="b">
        <f ca="1">ROUND(I19,5)=ROUND('1. Live'!N54,5)</f>
        <v>1</v>
      </c>
      <c r="J38" s="154" t="b">
        <f ca="1">ROUND(J19,5)=ROUND('1. Live'!O54,5)</f>
        <v>1</v>
      </c>
      <c r="K38" s="154" t="b">
        <f ca="1">ROUND(K19,5)=ROUND('1. Live'!P54,5)</f>
        <v>1</v>
      </c>
    </row>
    <row r="39" spans="2:14">
      <c r="F39" s="154" t="b">
        <f ca="1">F33='2. Exited'!K36</f>
        <v>1</v>
      </c>
      <c r="G39" s="154" t="b">
        <f ca="1">G33='2. Exited'!L36</f>
        <v>1</v>
      </c>
      <c r="H39" s="154" t="b">
        <f ca="1">H33='2. Exited'!M36</f>
        <v>1</v>
      </c>
      <c r="I39" s="154" t="b">
        <f ca="1">I33='2. Exited'!N36</f>
        <v>1</v>
      </c>
      <c r="J39" s="154" t="b">
        <f>J33='2. Exited'!O36</f>
        <v>1</v>
      </c>
      <c r="K39" s="154" t="b">
        <f ca="1">K33='2. Exited'!P36</f>
        <v>1</v>
      </c>
    </row>
    <row r="40" spans="2:14">
      <c r="F40" s="154" t="b">
        <v>1</v>
      </c>
      <c r="G40" s="154" t="b">
        <v>1</v>
      </c>
      <c r="H40" s="154" t="b">
        <v>1</v>
      </c>
      <c r="I40" s="154" t="b">
        <v>1</v>
      </c>
      <c r="J40" s="154" t="b">
        <v>1</v>
      </c>
      <c r="K40" s="154" t="b">
        <v>1</v>
      </c>
    </row>
  </sheetData>
  <pageMargins left="0.7" right="0.7" top="0.75" bottom="0.75" header="0.3" footer="0.3"/>
  <pageSetup paperSize="9" scale="37" orientation="portrait" verticalDpi="0" r:id="rId1"/>
  <headerFooter>
    <oddHeader>&amp;L&amp;"Calibri"&amp;7&amp;KFF0000  &amp;1#_x000D_</oddHeader>
    <oddFooter xml:space="preserve">&amp;L_x000D_&amp;1#&amp;"Calibri"&amp;7&amp;KFF0000 RESTRICTED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T62"/>
  <sheetViews>
    <sheetView showGridLines="0" tabSelected="1" view="pageBreakPreview" topLeftCell="A3" zoomScale="80" zoomScaleNormal="60" zoomScaleSheetLayoutView="80" workbookViewId="0">
      <selection activeCell="O30" sqref="O30"/>
    </sheetView>
  </sheetViews>
  <sheetFormatPr defaultColWidth="9.140625" defaultRowHeight="15" outlineLevelCol="1"/>
  <cols>
    <col min="1" max="2" width="5.42578125" style="25" customWidth="1"/>
    <col min="3"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1.42578125" style="26" customWidth="1"/>
    <col min="10" max="15" width="15.85546875" style="26" customWidth="1"/>
    <col min="16" max="16" width="17.5703125" style="26" customWidth="1"/>
    <col min="17" max="17" width="17.5703125" style="26" hidden="1" customWidth="1"/>
    <col min="18" max="18" width="17.5703125" style="80" customWidth="1"/>
    <col min="19" max="19" width="34.5703125" style="26" bestFit="1" customWidth="1"/>
    <col min="20" max="20" width="3" style="25" customWidth="1"/>
    <col min="21" max="21" width="6.28515625" style="25" customWidth="1"/>
    <col min="22" max="16384" width="9.140625" style="25"/>
  </cols>
  <sheetData>
    <row r="1" spans="2:20" ht="21.75" customHeight="1" thickBot="1">
      <c r="C1" s="132"/>
      <c r="D1" s="132"/>
    </row>
    <row r="2" spans="2:20" ht="15.75" thickBot="1">
      <c r="C2" s="149" t="s">
        <v>166</v>
      </c>
      <c r="D2" s="150">
        <f>'D1'!D2</f>
        <v>45900</v>
      </c>
      <c r="F2" s="25"/>
      <c r="G2" s="25"/>
      <c r="H2" s="25"/>
      <c r="I2" s="25"/>
      <c r="J2" s="25"/>
      <c r="K2" s="25"/>
      <c r="L2" s="25"/>
      <c r="M2" s="25"/>
      <c r="N2" s="25"/>
      <c r="O2" s="25"/>
      <c r="P2" s="25"/>
      <c r="Q2" s="25"/>
      <c r="R2" s="25"/>
      <c r="S2" s="25"/>
    </row>
    <row r="3" spans="2:20" ht="21.75" customHeight="1" thickBot="1">
      <c r="C3" s="132"/>
      <c r="D3" s="132"/>
    </row>
    <row r="4" spans="2:20">
      <c r="B4" s="58"/>
      <c r="C4" s="59"/>
      <c r="D4" s="59"/>
      <c r="E4" s="60"/>
      <c r="F4" s="60"/>
      <c r="G4" s="60"/>
      <c r="H4" s="60"/>
      <c r="I4" s="60"/>
      <c r="J4" s="60"/>
      <c r="K4" s="60"/>
      <c r="L4" s="60"/>
      <c r="M4" s="60"/>
      <c r="N4" s="60"/>
      <c r="O4" s="60"/>
      <c r="P4" s="60"/>
      <c r="Q4" s="60"/>
      <c r="R4" s="133"/>
      <c r="S4" s="60"/>
      <c r="T4" s="62"/>
    </row>
    <row r="5" spans="2:20" s="178" customFormat="1">
      <c r="B5" s="194"/>
      <c r="C5" s="195"/>
      <c r="D5" s="195"/>
      <c r="E5" s="196">
        <v>2</v>
      </c>
      <c r="F5" s="196">
        <v>3</v>
      </c>
      <c r="G5" s="196">
        <v>4</v>
      </c>
      <c r="H5" s="196">
        <v>5</v>
      </c>
      <c r="I5" s="196">
        <v>6</v>
      </c>
      <c r="J5" s="196">
        <v>7</v>
      </c>
      <c r="K5" s="196">
        <v>8</v>
      </c>
      <c r="L5" s="196">
        <v>9</v>
      </c>
      <c r="M5" s="196">
        <v>10</v>
      </c>
      <c r="N5" s="196">
        <v>11</v>
      </c>
      <c r="O5" s="196">
        <v>12</v>
      </c>
      <c r="P5" s="196">
        <v>13</v>
      </c>
      <c r="Q5" s="196"/>
      <c r="R5" s="196">
        <v>14</v>
      </c>
      <c r="S5" s="196">
        <v>15</v>
      </c>
      <c r="T5" s="197"/>
    </row>
    <row r="6" spans="2:20" s="65" customFormat="1" ht="60" customHeight="1">
      <c r="B6" s="63"/>
      <c r="C6" s="3" t="s">
        <v>50</v>
      </c>
      <c r="D6" s="3" t="s">
        <v>149</v>
      </c>
      <c r="E6" s="1" t="s">
        <v>25</v>
      </c>
      <c r="F6" s="1" t="s">
        <v>60</v>
      </c>
      <c r="G6" s="1" t="s">
        <v>31</v>
      </c>
      <c r="H6" s="1" t="s">
        <v>134</v>
      </c>
      <c r="I6" s="1" t="s">
        <v>36</v>
      </c>
      <c r="J6" s="1" t="s">
        <v>52</v>
      </c>
      <c r="K6" s="1" t="s">
        <v>32</v>
      </c>
      <c r="L6" s="1" t="s">
        <v>2</v>
      </c>
      <c r="M6" s="1" t="s">
        <v>49</v>
      </c>
      <c r="N6" s="1" t="s">
        <v>33</v>
      </c>
      <c r="O6" s="1" t="s">
        <v>27</v>
      </c>
      <c r="P6" s="1" t="s">
        <v>167</v>
      </c>
      <c r="Q6" s="1" t="s">
        <v>346</v>
      </c>
      <c r="R6" s="1" t="s">
        <v>34</v>
      </c>
      <c r="S6" s="1" t="s">
        <v>383</v>
      </c>
      <c r="T6" s="64"/>
    </row>
    <row r="7" spans="2:20">
      <c r="B7" s="66"/>
      <c r="C7" s="5"/>
      <c r="D7" s="5"/>
      <c r="E7" s="8"/>
      <c r="F7" s="8"/>
      <c r="G7" s="8"/>
      <c r="H7" s="8"/>
      <c r="I7" s="8" t="s">
        <v>82</v>
      </c>
      <c r="J7" s="8" t="s">
        <v>52</v>
      </c>
      <c r="K7" s="8" t="s">
        <v>230</v>
      </c>
      <c r="L7" s="8" t="s">
        <v>230</v>
      </c>
      <c r="M7" s="8" t="s">
        <v>230</v>
      </c>
      <c r="N7" s="8" t="s">
        <v>230</v>
      </c>
      <c r="O7" s="8" t="s">
        <v>230</v>
      </c>
      <c r="P7" s="8" t="s">
        <v>230</v>
      </c>
      <c r="Q7" s="8"/>
      <c r="R7" s="12" t="s">
        <v>231</v>
      </c>
      <c r="S7" s="8"/>
      <c r="T7" s="67"/>
    </row>
    <row r="8" spans="2:20">
      <c r="B8" s="66"/>
      <c r="C8" s="422" t="s">
        <v>539</v>
      </c>
      <c r="D8" s="334"/>
      <c r="E8" s="335"/>
      <c r="F8" s="335"/>
      <c r="G8" s="335"/>
      <c r="H8" s="335"/>
      <c r="I8" s="336"/>
      <c r="J8" s="337"/>
      <c r="K8" s="338"/>
      <c r="L8" s="338"/>
      <c r="M8" s="338"/>
      <c r="N8" s="338"/>
      <c r="O8" s="338"/>
      <c r="P8" s="338"/>
      <c r="Q8" s="338"/>
      <c r="R8" s="339"/>
      <c r="S8" s="335"/>
      <c r="T8" s="67"/>
    </row>
    <row r="9" spans="2:20" ht="17.25">
      <c r="B9" s="66"/>
      <c r="C9" s="4" t="s">
        <v>357</v>
      </c>
      <c r="D9" s="32" t="s">
        <v>248</v>
      </c>
      <c r="E9" s="2" t="str">
        <f>VLOOKUP($C9,'A. All deals (a)'!$C$6:$Q$58,E$5,0)</f>
        <v>Unrealized</v>
      </c>
      <c r="F9" s="2">
        <f>VLOOKUP($C9,'A. All deals (a)'!$C$6:$Q$58,F$5,0)</f>
        <v>0</v>
      </c>
      <c r="G9" s="2" t="str">
        <f>VLOOKUP($C9,'A. All deals (a)'!$C$6:$Q$58,G$5,0)</f>
        <v>Mozn</v>
      </c>
      <c r="H9" s="6">
        <f>VLOOKUP($C9,'A. All deals (a)'!$C$6:$Q$58,H$5,0)</f>
        <v>2023</v>
      </c>
      <c r="I9" s="6" t="str">
        <f>VLOOKUP($C9,'A. All deals (a)'!$C$6:$Q$58,I$5,0)</f>
        <v>B Prefs</v>
      </c>
      <c r="J9" s="90">
        <f>VLOOKUP($C9,'A. All deals (a)'!$C$6:$Q$58,J$5,0)</f>
        <v>0.11483735948644427</v>
      </c>
      <c r="K9" s="17">
        <f ca="1">VLOOKUP($C9,'A. All deals (a)'!$C$6:$Q$58,K$5,0)</f>
        <v>6</v>
      </c>
      <c r="L9" s="17">
        <f ca="1">VLOOKUP($C9,'A. All deals (a)'!$C$6:$Q$58,L$5,0)</f>
        <v>6</v>
      </c>
      <c r="M9" s="17">
        <f ca="1">VLOOKUP($C9,'A. All deals (a)'!$C$6:$Q$58,M$5,0)</f>
        <v>0</v>
      </c>
      <c r="N9" s="17">
        <f ca="1">VLOOKUP($C9,'A. All deals (a)'!$C$6:$Q$58,N$5,0)</f>
        <v>0</v>
      </c>
      <c r="O9" s="17">
        <f>VLOOKUP($C9,'A. All deals (a)'!$C$6:$Q$58,O$5,0)</f>
        <v>15.3</v>
      </c>
      <c r="P9" s="17">
        <f ca="1">VLOOKUP($C9,'A. All deals (a)'!$C$6:$Q$58,P$5,0)</f>
        <v>9.3000000000000007</v>
      </c>
      <c r="Q9" s="17" t="s">
        <v>121</v>
      </c>
      <c r="R9" s="10">
        <f ca="1">VLOOKUP($C9,'A. All deals (a)'!$C$6:$Q$58,R$5,0)</f>
        <v>2.5500000000000003</v>
      </c>
      <c r="S9" s="2" t="s">
        <v>371</v>
      </c>
      <c r="T9" s="67"/>
    </row>
    <row r="10" spans="2:20">
      <c r="B10" s="66"/>
      <c r="C10" s="4" t="s">
        <v>285</v>
      </c>
      <c r="D10" s="32" t="s">
        <v>248</v>
      </c>
      <c r="E10" s="2" t="str">
        <f>VLOOKUP($C10,'A. All deals (a)'!$C$6:$Q$58,E$5,0)</f>
        <v>Unrealized</v>
      </c>
      <c r="F10" s="2">
        <f>VLOOKUP($C10,'A. All deals (a)'!$C$6:$Q$58,F$5,0)</f>
        <v>0</v>
      </c>
      <c r="G10" s="2" t="str">
        <f>VLOOKUP($C10,'A. All deals (a)'!$C$6:$Q$58,G$5,0)</f>
        <v>Mozn</v>
      </c>
      <c r="H10" s="6">
        <f>VLOOKUP($C10,'A. All deals (a)'!$C$6:$Q$58,H$5,0)</f>
        <v>2023</v>
      </c>
      <c r="I10" s="6" t="str">
        <f>VLOOKUP($C10,'A. All deals (a)'!$C$6:$Q$58,I$5,0)</f>
        <v>C Prefs</v>
      </c>
      <c r="J10" s="90">
        <f>VLOOKUP($C10,'A. All deals (a)'!$C$6:$Q$58,J$5,0)</f>
        <v>6.2660799818224002E-3</v>
      </c>
      <c r="K10" s="17">
        <f ca="1">VLOOKUP($C10,'A. All deals (a)'!$C$6:$Q$58,K$5,0)</f>
        <v>14.999998939999999</v>
      </c>
      <c r="L10" s="17">
        <f ca="1">VLOOKUP($C10,'A. All deals (a)'!$C$6:$Q$58,L$5,0)</f>
        <v>14.999998939999999</v>
      </c>
      <c r="M10" s="17">
        <f ca="1">VLOOKUP($C10,'A. All deals (a)'!$C$6:$Q$58,M$5,0)</f>
        <v>0</v>
      </c>
      <c r="N10" s="17">
        <f ca="1">VLOOKUP($C10,'A. All deals (a)'!$C$6:$Q$58,N$5,0)</f>
        <v>0</v>
      </c>
      <c r="O10" s="17">
        <f>VLOOKUP($C10,'A. All deals (a)'!$C$6:$Q$58,O$5,0)</f>
        <v>2.4000000000000004</v>
      </c>
      <c r="P10" s="17">
        <f ca="1">VLOOKUP($C10,'A. All deals (a)'!$C$6:$Q$58,P$5,0)</f>
        <v>-12.599998939999999</v>
      </c>
      <c r="Q10" s="17" t="s">
        <v>121</v>
      </c>
      <c r="R10" s="10">
        <f ca="1">VLOOKUP($C10,'A. All deals (a)'!$C$6:$Q$58,R$5,0)</f>
        <v>0.16000001130666749</v>
      </c>
      <c r="S10" s="2"/>
      <c r="T10" s="67"/>
    </row>
    <row r="11" spans="2:20">
      <c r="B11" s="66"/>
      <c r="C11" s="4" t="s">
        <v>232</v>
      </c>
      <c r="D11" s="32" t="s">
        <v>248</v>
      </c>
      <c r="E11" s="2" t="str">
        <f>VLOOKUP($C11,'A. All deals (a)'!$C$6:$Q$58,E$5,0)</f>
        <v>Unrealized</v>
      </c>
      <c r="F11" s="2">
        <f>VLOOKUP($C11,'A. All deals (a)'!$C$6:$Q$58,F$5,0)</f>
        <v>0</v>
      </c>
      <c r="G11" s="2" t="str">
        <f>VLOOKUP($C11,'A. All deals (a)'!$C$6:$Q$58,G$5,0)</f>
        <v>Mozn 4</v>
      </c>
      <c r="H11" s="6">
        <f>VLOOKUP($C11,'A. All deals (a)'!$C$6:$Q$58,H$5,0)</f>
        <v>2022</v>
      </c>
      <c r="I11" s="6" t="str">
        <f>VLOOKUP($C11,'A. All deals (a)'!$C$6:$Q$58,I$5,0)</f>
        <v>B Prefs</v>
      </c>
      <c r="J11" s="90">
        <f>VLOOKUP($C11,'A. All deals (a)'!$C$6:$Q$58,J$5,0)</f>
        <v>2.6056201366696233E-2</v>
      </c>
      <c r="K11" s="17">
        <f ca="1">VLOOKUP($C11,'A. All deals (a)'!$C$6:$Q$58,K$5,0)</f>
        <v>15</v>
      </c>
      <c r="L11" s="17">
        <f ca="1">VLOOKUP($C11,'A. All deals (a)'!$C$6:$Q$58,L$5,0)</f>
        <v>15</v>
      </c>
      <c r="M11" s="17">
        <f ca="1">VLOOKUP($C11,'A. All deals (a)'!$C$6:$Q$58,M$5,0)</f>
        <v>0</v>
      </c>
      <c r="N11" s="17">
        <f ca="1">VLOOKUP($C11,'A. All deals (a)'!$C$6:$Q$58,N$5,0)</f>
        <v>0</v>
      </c>
      <c r="O11" s="17">
        <f>VLOOKUP($C11,'A. All deals (a)'!$C$6:$Q$58,O$5,0)</f>
        <v>32.341280400000002</v>
      </c>
      <c r="P11" s="17">
        <f ca="1">VLOOKUP($C11,'A. All deals (a)'!$C$6:$Q$58,P$5,0)</f>
        <v>17.341280400000002</v>
      </c>
      <c r="Q11" s="17">
        <v>0</v>
      </c>
      <c r="R11" s="10">
        <f ca="1">VLOOKUP($C11,'A. All deals (a)'!$C$6:$Q$58,R$5,0)</f>
        <v>2.1560853600000001</v>
      </c>
      <c r="S11" s="2"/>
      <c r="T11" s="67"/>
    </row>
    <row r="12" spans="2:20">
      <c r="B12" s="66"/>
      <c r="C12" s="4" t="s">
        <v>206</v>
      </c>
      <c r="D12" s="32" t="s">
        <v>248</v>
      </c>
      <c r="E12" s="2" t="str">
        <f>VLOOKUP($C12,'A. All deals (a)'!$C$6:$Q$58,E$5,0)</f>
        <v>Unrealized</v>
      </c>
      <c r="F12" s="2">
        <f>VLOOKUP($C12,'A. All deals (a)'!$C$6:$Q$58,F$5,0)</f>
        <v>0</v>
      </c>
      <c r="G12" s="2" t="str">
        <f>VLOOKUP($C12,'A. All deals (a)'!$C$6:$Q$58,G$5,0)</f>
        <v>Mozn</v>
      </c>
      <c r="H12" s="6">
        <f>VLOOKUP($C12,'A. All deals (a)'!$C$6:$Q$58,H$5,0)</f>
        <v>2022</v>
      </c>
      <c r="I12" s="6" t="str">
        <f>VLOOKUP($C12,'A. All deals (a)'!$C$6:$Q$58,I$5,0)</f>
        <v>A Prefs</v>
      </c>
      <c r="J12" s="90">
        <f>VLOOKUP($C12,'A. All deals (a)'!$C$6:$Q$58,J$5,0)</f>
        <v>0.12121516021886683</v>
      </c>
      <c r="K12" s="17">
        <f>VLOOKUP($C12,'A. All deals (a)'!$C$6:$Q$58,K$5,0)</f>
        <v>15</v>
      </c>
      <c r="L12" s="17">
        <f ca="1">VLOOKUP($C12,'A. All deals (a)'!$C$6:$Q$58,L$5,0)</f>
        <v>15</v>
      </c>
      <c r="M12" s="17">
        <f ca="1">VLOOKUP($C12,'A. All deals (a)'!$C$6:$Q$58,M$5,0)</f>
        <v>0</v>
      </c>
      <c r="N12" s="17">
        <f ca="1">VLOOKUP($C12,'A. All deals (a)'!$C$6:$Q$58,N$5,0)</f>
        <v>0</v>
      </c>
      <c r="O12" s="17">
        <f>VLOOKUP($C12,'A. All deals (a)'!$C$6:$Q$58,O$5,0)</f>
        <v>38.464730150000001</v>
      </c>
      <c r="P12" s="17">
        <f ca="1">VLOOKUP($C12,'A. All deals (a)'!$C$6:$Q$58,P$5,0)</f>
        <v>23.464730150000001</v>
      </c>
      <c r="Q12" s="17">
        <v>0</v>
      </c>
      <c r="R12" s="10">
        <f ca="1">VLOOKUP($C12,'A. All deals (a)'!$C$6:$Q$58,R$5,0)</f>
        <v>2.5643153433333334</v>
      </c>
      <c r="S12" s="2"/>
      <c r="T12" s="67"/>
    </row>
    <row r="13" spans="2:20">
      <c r="B13" s="66"/>
      <c r="C13" s="4" t="s">
        <v>40</v>
      </c>
      <c r="D13" s="32" t="s">
        <v>248</v>
      </c>
      <c r="E13" s="2" t="str">
        <f>VLOOKUP($C13,'A. All deals (a)'!$C$6:$Q$58,E$5,0)</f>
        <v>Unrealized</v>
      </c>
      <c r="F13" s="2">
        <f>VLOOKUP($C13,'A. All deals (a)'!$C$6:$Q$58,F$5,0)</f>
        <v>0</v>
      </c>
      <c r="G13" s="2" t="str">
        <f>VLOOKUP($C13,'A. All deals (a)'!$C$6:$Q$58,G$5,0)</f>
        <v>Mozn</v>
      </c>
      <c r="H13" s="6">
        <f>VLOOKUP($C13,'A. All deals (a)'!$C$6:$Q$58,H$5,0)</f>
        <v>2021</v>
      </c>
      <c r="I13" s="6" t="str">
        <f>VLOOKUP($C13,'A. All deals (a)'!$C$6:$Q$58,I$5,0)</f>
        <v>F Prefs</v>
      </c>
      <c r="J13" s="90">
        <f>VLOOKUP($C13,'A. All deals (a)'!$C$6:$Q$58,J$5,0)</f>
        <v>8.0999999999999996E-3</v>
      </c>
      <c r="K13" s="17">
        <f ca="1">VLOOKUP($C13,'A. All deals (a)'!$C$6:$Q$58,K$5,0)</f>
        <v>39.999983359999995</v>
      </c>
      <c r="L13" s="17">
        <f ca="1">VLOOKUP($C13,'A. All deals (a)'!$C$6:$Q$58,L$5,0)</f>
        <v>39.999983359999995</v>
      </c>
      <c r="M13" s="17">
        <f>VLOOKUP($C13,'A. All deals (a)'!$C$6:$Q$58,M$5,0)</f>
        <v>0</v>
      </c>
      <c r="N13" s="17">
        <f ca="1">VLOOKUP($C13,'A. All deals (a)'!$C$6:$Q$58,N$5,0)</f>
        <v>0</v>
      </c>
      <c r="O13" s="17">
        <f>VLOOKUP($C13,'A. All deals (a)'!$C$6:$Q$58,O$5,0)</f>
        <v>21.135483260000001</v>
      </c>
      <c r="P13" s="17">
        <f ca="1">VLOOKUP($C13,'A. All deals (a)'!$C$6:$Q$58,P$5,0)</f>
        <v>-18.864500099999994</v>
      </c>
      <c r="Q13" s="17">
        <v>0</v>
      </c>
      <c r="R13" s="10">
        <f ca="1">VLOOKUP($C13,'A. All deals (a)'!$C$6:$Q$58,R$5,0)</f>
        <v>0.52838730130911749</v>
      </c>
      <c r="S13" s="2"/>
      <c r="T13" s="67"/>
    </row>
    <row r="14" spans="2:20">
      <c r="B14" s="66"/>
      <c r="C14" s="4" t="s">
        <v>41</v>
      </c>
      <c r="D14" s="32" t="s">
        <v>248</v>
      </c>
      <c r="E14" s="2" t="str">
        <f>VLOOKUP($C14,'A. All deals (a)'!$C$6:$Q$58,E$5,0)</f>
        <v>Unrealized</v>
      </c>
      <c r="F14" s="2">
        <f>VLOOKUP($C14,'A. All deals (a)'!$C$6:$Q$58,F$5,0)</f>
        <v>0</v>
      </c>
      <c r="G14" s="2" t="str">
        <f>VLOOKUP($C14,'A. All deals (a)'!$C$6:$Q$58,G$5,0)</f>
        <v>Mozn</v>
      </c>
      <c r="H14" s="6">
        <f>VLOOKUP($C14,'A. All deals (a)'!$C$6:$Q$58,H$5,0)</f>
        <v>2021</v>
      </c>
      <c r="I14" s="6" t="str">
        <f>VLOOKUP($C14,'A. All deals (a)'!$C$6:$Q$58,I$5,0)</f>
        <v>A Pref Units</v>
      </c>
      <c r="J14" s="90">
        <f>VLOOKUP($C14,'A. All deals (a)'!$C$6:$Q$58,J$5,0)</f>
        <v>0.15458937198067632</v>
      </c>
      <c r="K14" s="17">
        <f ca="1">VLOOKUP($C14,'A. All deals (a)'!$C$6:$Q$58,K$5,0)</f>
        <v>8</v>
      </c>
      <c r="L14" s="17">
        <f ca="1">VLOOKUP($C14,'A. All deals (a)'!$C$6:$Q$58,L$5,0)</f>
        <v>8</v>
      </c>
      <c r="M14" s="17">
        <f>VLOOKUP($C14,'A. All deals (a)'!$C$6:$Q$58,M$5,0)</f>
        <v>0</v>
      </c>
      <c r="N14" s="17">
        <f ca="1">VLOOKUP($C14,'A. All deals (a)'!$C$6:$Q$58,N$5,0)</f>
        <v>0</v>
      </c>
      <c r="O14" s="17">
        <f>VLOOKUP($C14,'A. All deals (a)'!$C$6:$Q$58,O$5,0)</f>
        <v>4.7</v>
      </c>
      <c r="P14" s="17">
        <f ca="1">VLOOKUP($C14,'A. All deals (a)'!$C$6:$Q$58,P$5,0)</f>
        <v>-3.3</v>
      </c>
      <c r="Q14" s="17">
        <v>0</v>
      </c>
      <c r="R14" s="10">
        <f ca="1">VLOOKUP($C14,'A. All deals (a)'!$C$6:$Q$58,R$5,0)</f>
        <v>0.58750000000000002</v>
      </c>
      <c r="S14" s="2"/>
      <c r="T14" s="67"/>
    </row>
    <row r="15" spans="2:20">
      <c r="B15" s="66"/>
      <c r="C15" s="4" t="s">
        <v>9</v>
      </c>
      <c r="D15" s="32" t="s">
        <v>248</v>
      </c>
      <c r="E15" s="2" t="str">
        <f>VLOOKUP($C15,'A. All deals (a)'!$C$6:$Q$58,E$5,0)</f>
        <v>Unrealized</v>
      </c>
      <c r="F15" s="2">
        <f>VLOOKUP($C15,'A. All deals (a)'!$C$6:$Q$58,F$5,0)</f>
        <v>0</v>
      </c>
      <c r="G15" s="2" t="str">
        <f>VLOOKUP($C15,'A. All deals (a)'!$C$6:$Q$58,G$5,0)</f>
        <v>Mozn</v>
      </c>
      <c r="H15" s="6">
        <f>VLOOKUP($C15,'A. All deals (a)'!$C$6:$Q$58,H$5,0)</f>
        <v>2020</v>
      </c>
      <c r="I15" s="6" t="str">
        <f>VLOOKUP($C15,'A. All deals (a)'!$C$6:$Q$58,I$5,0)</f>
        <v>Registered Capital</v>
      </c>
      <c r="J15" s="90">
        <f>VLOOKUP($C15,'A. All deals (a)'!$C$6:$Q$58,J$5,0)</f>
        <v>0.14383199266284313</v>
      </c>
      <c r="K15" s="17">
        <f ca="1">VLOOKUP($C15,'A. All deals (a)'!$C$6:$Q$58,K$5,0)</f>
        <v>60</v>
      </c>
      <c r="L15" s="17">
        <f ca="1">VLOOKUP($C15,'A. All deals (a)'!$C$6:$Q$58,L$5,0)</f>
        <v>60</v>
      </c>
      <c r="M15" s="17">
        <f>VLOOKUP($C15,'A. All deals (a)'!$C$6:$Q$58,M$5,0)</f>
        <v>0</v>
      </c>
      <c r="N15" s="17">
        <f ca="1">VLOOKUP($C15,'A. All deals (a)'!$C$6:$Q$58,N$5,0)</f>
        <v>0</v>
      </c>
      <c r="O15" s="17">
        <f>VLOOKUP($C15,'A. All deals (a)'!$C$6:$Q$58,O$5,0)</f>
        <v>40.299999999999997</v>
      </c>
      <c r="P15" s="17">
        <f ca="1">VLOOKUP($C15,'A. All deals (a)'!$C$6:$Q$58,P$5,0)</f>
        <v>-19.700000000000003</v>
      </c>
      <c r="Q15" s="17">
        <v>96.4</v>
      </c>
      <c r="R15" s="10">
        <f ca="1">VLOOKUP($C15,'A. All deals (a)'!$C$6:$Q$58,R$5,0)</f>
        <v>0.67166666666666663</v>
      </c>
      <c r="S15" s="2"/>
      <c r="T15" s="67"/>
    </row>
    <row r="16" spans="2:20">
      <c r="B16" s="66"/>
      <c r="C16" s="4" t="s">
        <v>37</v>
      </c>
      <c r="D16" s="32" t="s">
        <v>248</v>
      </c>
      <c r="E16" s="2" t="str">
        <f>VLOOKUP($C16,'A. All deals (a)'!$C$6:$Q$58,E$5,0)</f>
        <v>Unrealized</v>
      </c>
      <c r="F16" s="2">
        <f>VLOOKUP($C16,'A. All deals (a)'!$C$6:$Q$58,F$5,0)</f>
        <v>0</v>
      </c>
      <c r="G16" s="2" t="str">
        <f>VLOOKUP($C16,'A. All deals (a)'!$C$6:$Q$58,G$5,0)</f>
        <v>Mozn</v>
      </c>
      <c r="H16" s="6">
        <f>VLOOKUP($C16,'A. All deals (a)'!$C$6:$Q$58,H$5,0)</f>
        <v>2020</v>
      </c>
      <c r="I16" s="6" t="str">
        <f>VLOOKUP($C16,'A. All deals (a)'!$C$6:$Q$58,I$5,0)</f>
        <v>C Prefs</v>
      </c>
      <c r="J16" s="90">
        <f>VLOOKUP($C16,'A. All deals (a)'!$C$6:$Q$58,J$5,0)</f>
        <v>9.4347728005070269E-2</v>
      </c>
      <c r="K16" s="17">
        <f ca="1">VLOOKUP($C16,'A. All deals (a)'!$C$6:$Q$58,K$5,0)</f>
        <v>90</v>
      </c>
      <c r="L16" s="17">
        <f ca="1">VLOOKUP($C16,'A. All deals (a)'!$C$6:$Q$58,L$5,0)</f>
        <v>90</v>
      </c>
      <c r="M16" s="17">
        <f>VLOOKUP($C16,'A. All deals (a)'!$C$6:$Q$58,M$5,0)</f>
        <v>0</v>
      </c>
      <c r="N16" s="17">
        <f ca="1">VLOOKUP($C16,'A. All deals (a)'!$C$6:$Q$58,N$5,0)</f>
        <v>0</v>
      </c>
      <c r="O16" s="17">
        <f>VLOOKUP($C16,'A. All deals (a)'!$C$6:$Q$58,O$5,0)</f>
        <v>41.003703740999995</v>
      </c>
      <c r="P16" s="17">
        <f ca="1">VLOOKUP($C16,'A. All deals (a)'!$C$6:$Q$58,P$5,0)</f>
        <v>-48.996296259000005</v>
      </c>
      <c r="Q16" s="17">
        <v>1.042</v>
      </c>
      <c r="R16" s="10">
        <f ca="1">VLOOKUP($C16,'A. All deals (a)'!$C$6:$Q$58,R$5,0)</f>
        <v>0.45559670823333326</v>
      </c>
      <c r="S16" s="2"/>
      <c r="T16" s="67"/>
    </row>
    <row r="17" spans="2:20">
      <c r="B17" s="66"/>
      <c r="C17" s="4" t="s">
        <v>85</v>
      </c>
      <c r="D17" s="32" t="s">
        <v>248</v>
      </c>
      <c r="E17" s="2" t="str">
        <f>VLOOKUP($C17,'A. All deals (a)'!$C$6:$Q$58,E$5,0)</f>
        <v>Unrealized</v>
      </c>
      <c r="F17" s="2">
        <f>VLOOKUP($C17,'A. All deals (a)'!$C$6:$Q$58,F$5,0)</f>
        <v>0</v>
      </c>
      <c r="G17" s="2" t="str">
        <f>VLOOKUP($C17,'A. All deals (a)'!$C$6:$Q$58,G$5,0)</f>
        <v>Mozn</v>
      </c>
      <c r="H17" s="6">
        <f>VLOOKUP($C17,'A. All deals (a)'!$C$6:$Q$58,H$5,0)</f>
        <v>2020</v>
      </c>
      <c r="I17" s="6" t="str">
        <f>VLOOKUP($C17,'A. All deals (a)'!$C$6:$Q$58,I$5,0)</f>
        <v>Ordinary Shares</v>
      </c>
      <c r="J17" s="90">
        <f>VLOOKUP($C17,'A. All deals (a)'!$C$6:$Q$58,J$5,0)</f>
        <v>4.6395018054319954E-2</v>
      </c>
      <c r="K17" s="17">
        <f ca="1">VLOOKUP($C17,'A. All deals (a)'!$C$6:$Q$58,K$5,0)</f>
        <v>141.4702596743665</v>
      </c>
      <c r="L17" s="17">
        <f ca="1">VLOOKUP($C17,'A. All deals (a)'!$C$6:$Q$58,L$5,0)</f>
        <v>141.4702596743665</v>
      </c>
      <c r="M17" s="17">
        <f>VLOOKUP($C17,'A. All deals (a)'!$C$6:$Q$58,M$5,0)</f>
        <v>0</v>
      </c>
      <c r="N17" s="17">
        <f ca="1">VLOOKUP($C17,'A. All deals (a)'!$C$6:$Q$58,N$5,0)</f>
        <v>0</v>
      </c>
      <c r="O17" s="17">
        <f>VLOOKUP($C17,'A. All deals (a)'!$C$6:$Q$58,O$5,0)</f>
        <v>108.279975128724</v>
      </c>
      <c r="P17" s="17">
        <f ca="1">VLOOKUP($C17,'A. All deals (a)'!$C$6:$Q$58,P$5,0)</f>
        <v>-33.190284545642498</v>
      </c>
      <c r="Q17" s="17">
        <v>-9.8450000000000006</v>
      </c>
      <c r="R17" s="10">
        <f ca="1">VLOOKUP($C17,'A. All deals (a)'!$C$6:$Q$58,R$5,0)</f>
        <v>0.76539037517822295</v>
      </c>
      <c r="S17" s="2"/>
      <c r="T17" s="67"/>
    </row>
    <row r="18" spans="2:20" ht="17.25">
      <c r="B18" s="66"/>
      <c r="C18" s="4" t="s">
        <v>38</v>
      </c>
      <c r="D18" s="32" t="s">
        <v>248</v>
      </c>
      <c r="E18" s="2" t="str">
        <f>VLOOKUP($C18,'A. All deals (a)'!$C$6:$Q$58,E$5,0)</f>
        <v>Unrealized</v>
      </c>
      <c r="F18" s="2">
        <f>VLOOKUP($C18,'A. All deals (a)'!$C$6:$Q$58,F$5,0)</f>
        <v>0</v>
      </c>
      <c r="G18" s="2" t="str">
        <f>VLOOKUP($C18,'A. All deals (a)'!$C$6:$Q$58,G$5,0)</f>
        <v>Mozn</v>
      </c>
      <c r="H18" s="6">
        <f>VLOOKUP($C18,'A. All deals (a)'!$C$6:$Q$58,H$5,0)</f>
        <v>2019</v>
      </c>
      <c r="I18" s="6" t="str">
        <f>VLOOKUP($C18,'A. All deals (a)'!$C$6:$Q$58,I$5,0)</f>
        <v>B-1,2 Prefs</v>
      </c>
      <c r="J18" s="90">
        <f>VLOOKUP($C18,'A. All deals (a)'!$C$6:$Q$58,J$5,0)</f>
        <v>3.5329981573981609E-2</v>
      </c>
      <c r="K18" s="17">
        <f ca="1">VLOOKUP($C18,'A. All deals (a)'!$C$6:$Q$58,K$5,0)</f>
        <v>10</v>
      </c>
      <c r="L18" s="17">
        <f ca="1">VLOOKUP($C18,'A. All deals (a)'!$C$6:$Q$58,L$5,0)</f>
        <v>10</v>
      </c>
      <c r="M18" s="17">
        <f>VLOOKUP($C18,'A. All deals (a)'!$C$6:$Q$58,M$5,0)</f>
        <v>0</v>
      </c>
      <c r="N18" s="17">
        <f ca="1">VLOOKUP($C18,'A. All deals (a)'!$C$6:$Q$58,N$5,0)</f>
        <v>0</v>
      </c>
      <c r="O18" s="17">
        <f>VLOOKUP($C18,'A. All deals (a)'!$C$6:$Q$58,O$5,0)</f>
        <v>28.213712439999998</v>
      </c>
      <c r="P18" s="17">
        <f ca="1">VLOOKUP($C18,'A. All deals (a)'!$C$6:$Q$58,P$5,0)</f>
        <v>18.213712439999998</v>
      </c>
      <c r="Q18" s="17">
        <v>68.099999999999994</v>
      </c>
      <c r="R18" s="10">
        <f ca="1">VLOOKUP($C18,'A. All deals (a)'!$C$6:$Q$58,R$5,0)</f>
        <v>2.8213712439999998</v>
      </c>
      <c r="S18" s="2" t="s">
        <v>140</v>
      </c>
      <c r="T18" s="67"/>
    </row>
    <row r="19" spans="2:20">
      <c r="B19" s="66"/>
      <c r="C19" s="5"/>
      <c r="D19" s="13"/>
      <c r="E19" s="7"/>
      <c r="F19" s="7"/>
      <c r="G19" s="7"/>
      <c r="H19" s="7"/>
      <c r="I19" s="14"/>
      <c r="J19" s="170"/>
      <c r="K19" s="24"/>
      <c r="L19" s="24"/>
      <c r="M19" s="24"/>
      <c r="N19" s="24"/>
      <c r="O19" s="24"/>
      <c r="P19" s="24"/>
      <c r="Q19" s="24"/>
      <c r="R19" s="15"/>
      <c r="S19" s="180"/>
      <c r="T19" s="67"/>
    </row>
    <row r="20" spans="2:20">
      <c r="B20" s="66"/>
      <c r="C20" s="9"/>
      <c r="D20" s="9"/>
      <c r="E20" s="9"/>
      <c r="F20" s="9"/>
      <c r="G20" s="9"/>
      <c r="H20" s="9"/>
      <c r="I20" s="9"/>
      <c r="J20" s="93"/>
      <c r="K20" s="18">
        <f ca="1">SUM(K9:K18)</f>
        <v>400.4702419743665</v>
      </c>
      <c r="L20" s="18">
        <f ca="1">SUM(L9:L18)</f>
        <v>400.4702419743665</v>
      </c>
      <c r="M20" s="18">
        <f ca="1">SUM(M9:M18)</f>
        <v>0</v>
      </c>
      <c r="N20" s="18">
        <f ca="1">SUM(N9:N18)</f>
        <v>0</v>
      </c>
      <c r="O20" s="18">
        <f>SUM(O9:O18)</f>
        <v>332.13888511972402</v>
      </c>
      <c r="P20" s="18">
        <f ca="1">O20+N20-L20</f>
        <v>-68.331356854642479</v>
      </c>
      <c r="Q20" s="18">
        <f>SUM(Q9:Q18)</f>
        <v>155.697</v>
      </c>
      <c r="R20" s="11">
        <f ca="1">(N20+O20)/L20</f>
        <v>0.82937219874874935</v>
      </c>
      <c r="S20" s="9"/>
      <c r="T20" s="67"/>
    </row>
    <row r="21" spans="2:20">
      <c r="B21" s="66"/>
      <c r="C21" s="145"/>
      <c r="D21" s="145"/>
      <c r="E21" s="145"/>
      <c r="F21" s="145"/>
      <c r="G21" s="145"/>
      <c r="H21" s="145"/>
      <c r="I21" s="145"/>
      <c r="J21" s="92"/>
      <c r="M21" s="146"/>
      <c r="R21" s="147"/>
      <c r="S21" s="145"/>
      <c r="T21" s="67"/>
    </row>
    <row r="22" spans="2:20">
      <c r="B22" s="66"/>
      <c r="C22" s="422" t="s">
        <v>540</v>
      </c>
      <c r="D22" s="334"/>
      <c r="E22" s="335"/>
      <c r="F22" s="335"/>
      <c r="G22" s="335"/>
      <c r="H22" s="335"/>
      <c r="I22" s="336"/>
      <c r="J22" s="337"/>
      <c r="K22" s="338"/>
      <c r="L22" s="338"/>
      <c r="M22" s="338"/>
      <c r="N22" s="338"/>
      <c r="O22" s="338"/>
      <c r="P22" s="338"/>
      <c r="Q22" s="338"/>
      <c r="R22" s="339"/>
      <c r="S22" s="335"/>
      <c r="T22" s="67"/>
    </row>
    <row r="23" spans="2:20" ht="17.25">
      <c r="B23" s="66"/>
      <c r="C23" s="4" t="s">
        <v>19</v>
      </c>
      <c r="D23" s="32" t="s">
        <v>248</v>
      </c>
      <c r="E23" s="2" t="str">
        <f>VLOOKUP($C23,'A. All deals (a)'!$C$6:$Q$58,E$5,0)</f>
        <v>Partially Realized</v>
      </c>
      <c r="F23" s="2">
        <f>VLOOKUP($C23,'A. All deals (a)'!$C$6:$Q$58,F$5,0)</f>
        <v>0</v>
      </c>
      <c r="G23" s="2" t="str">
        <f>VLOOKUP($C23,'A. All deals (a)'!$C$6:$Q$58,G$5,0)</f>
        <v>G42 Investments</v>
      </c>
      <c r="H23" s="6">
        <f>VLOOKUP($C23,'A. All deals (a)'!$C$6:$Q$58,H$5,0)</f>
        <v>2022</v>
      </c>
      <c r="I23" s="6" t="str">
        <f>VLOOKUP($C23,'A. All deals (a)'!$C$6:$Q$58,I$5,0)</f>
        <v>Equity-TBC</v>
      </c>
      <c r="J23" s="90">
        <f>VLOOKUP($C23,'A. All deals (a)'!$C$6:$Q$58,J$5,0)</f>
        <v>8.7800000000000003E-2</v>
      </c>
      <c r="K23" s="17">
        <f ca="1">VLOOKUP($C23,'A. All deals (a)'!$C$6:$Q$58,K$5,0)</f>
        <v>300</v>
      </c>
      <c r="L23" s="17">
        <f ca="1">VLOOKUP($C23,'A. All deals (a)'!$C$6:$Q$58,L$5,0)</f>
        <v>300</v>
      </c>
      <c r="M23" s="17">
        <f>VLOOKUP($C23,'A. All deals (a)'!$C$6:$Q$58,M$5,0)</f>
        <v>0</v>
      </c>
      <c r="N23" s="17">
        <f ca="1">VLOOKUP($C23,'A. All deals (a)'!$C$6:$Q$58,N$5,0)</f>
        <v>84.804486139999995</v>
      </c>
      <c r="O23" s="17">
        <f>VLOOKUP($C23,'A. All deals (a)'!$C$6:$Q$58,O$5,0)</f>
        <v>325.79091974099998</v>
      </c>
      <c r="P23" s="17">
        <f ca="1">VLOOKUP($C23,'A. All deals (a)'!$C$6:$Q$58,P$5,0)</f>
        <v>110.59540588099998</v>
      </c>
      <c r="Q23" s="17">
        <v>0</v>
      </c>
      <c r="R23" s="10">
        <f ca="1">VLOOKUP($C23,'A. All deals (a)'!$C$6:$Q$58,R$5,0)</f>
        <v>1.3686513529366666</v>
      </c>
      <c r="S23" s="87" t="s">
        <v>141</v>
      </c>
      <c r="T23" s="67"/>
    </row>
    <row r="24" spans="2:20" ht="17.25">
      <c r="B24" s="66"/>
      <c r="C24" s="4" t="s">
        <v>86</v>
      </c>
      <c r="D24" s="32" t="s">
        <v>248</v>
      </c>
      <c r="E24" s="2" t="str">
        <f>VLOOKUP($C24,'A. All deals (a)'!$C$6:$Q$58,E$5,0)</f>
        <v>Unrealized</v>
      </c>
      <c r="F24" s="2">
        <f>VLOOKUP($C24,'A. All deals (a)'!$C$6:$Q$58,F$5,0)</f>
        <v>0</v>
      </c>
      <c r="G24" s="2" t="str">
        <f>VLOOKUP($C24,'A. All deals (a)'!$C$6:$Q$58,G$5,0)</f>
        <v>G42 Investments</v>
      </c>
      <c r="H24" s="6">
        <f>VLOOKUP($C24,'A. All deals (a)'!$C$6:$Q$58,H$5,0)</f>
        <v>2022</v>
      </c>
      <c r="I24" s="6" t="str">
        <f>VLOOKUP($C24,'A. All deals (a)'!$C$6:$Q$58,I$5,0)</f>
        <v>Ordinary Shares</v>
      </c>
      <c r="J24" s="90">
        <f>VLOOKUP($C24,'A. All deals (a)'!$C$6:$Q$58,J$5,0)</f>
        <v>8.1407233369889573E-2</v>
      </c>
      <c r="K24" s="17">
        <f ca="1">VLOOKUP($C24,'A. All deals (a)'!$C$6:$Q$58,K$5,0)</f>
        <v>24.53125</v>
      </c>
      <c r="L24" s="17">
        <f ca="1">VLOOKUP($C24,'A. All deals (a)'!$C$6:$Q$58,L$5,0)</f>
        <v>24.53125</v>
      </c>
      <c r="M24" s="17">
        <f ca="1">VLOOKUP($C24,'A. All deals (a)'!$C$6:$Q$58,M$5,0)</f>
        <v>0</v>
      </c>
      <c r="N24" s="17">
        <f ca="1">VLOOKUP($C24,'A. All deals (a)'!$C$6:$Q$58,N$5,0)</f>
        <v>0</v>
      </c>
      <c r="O24" s="17">
        <f>VLOOKUP($C24,'A. All deals (a)'!$C$6:$Q$58,O$5,0)</f>
        <v>3.9467863999999997</v>
      </c>
      <c r="P24" s="17">
        <f ca="1">VLOOKUP($C24,'A. All deals (a)'!$C$6:$Q$58,P$5,0)</f>
        <v>-20.584463599999999</v>
      </c>
      <c r="Q24" s="17">
        <v>-1.3480000000000001</v>
      </c>
      <c r="R24" s="10">
        <f ca="1">VLOOKUP($C24,'A. All deals (a)'!$C$6:$Q$58,R$5,0)</f>
        <v>0.16088810802547771</v>
      </c>
      <c r="S24" s="87" t="s">
        <v>157</v>
      </c>
      <c r="T24" s="67"/>
    </row>
    <row r="25" spans="2:20">
      <c r="B25" s="66"/>
      <c r="C25" s="4" t="s">
        <v>1</v>
      </c>
      <c r="D25" s="32" t="s">
        <v>250</v>
      </c>
      <c r="E25" s="2" t="str">
        <f>VLOOKUP($C25,'A. All deals (a)'!$C$6:$Q$58,E$5,0)</f>
        <v>Unrealized</v>
      </c>
      <c r="F25" s="2">
        <f>VLOOKUP($C25,'A. All deals (a)'!$C$6:$Q$58,F$5,0)</f>
        <v>0</v>
      </c>
      <c r="G25" s="2" t="str">
        <f>VLOOKUP($C25,'A. All deals (a)'!$C$6:$Q$58,G$5,0)</f>
        <v>G42 Investments</v>
      </c>
      <c r="H25" s="6">
        <f>VLOOKUP($C25,'A. All deals (a)'!$C$6:$Q$58,H$5,0)</f>
        <v>2020</v>
      </c>
      <c r="I25" s="6" t="str">
        <f>VLOOKUP($C25,'A. All deals (a)'!$C$6:$Q$58,I$5,0)</f>
        <v xml:space="preserve">LP </v>
      </c>
      <c r="J25" s="90" t="str">
        <f>VLOOKUP($C25,'A. All deals (a)'!$C$6:$Q$58,J$5,0)</f>
        <v>n/a</v>
      </c>
      <c r="K25" s="17">
        <f>VLOOKUP($C25,'A. All deals (a)'!$C$6:$Q$58,K$5,0)</f>
        <v>83.361610999999996</v>
      </c>
      <c r="L25" s="17">
        <f>VLOOKUP($C25,'A. All deals (a)'!$C$6:$Q$58,L$5,0)</f>
        <v>83.361610999999996</v>
      </c>
      <c r="M25" s="17">
        <f>VLOOKUP($C25,'A. All deals (a)'!$C$6:$Q$58,M$5,0)</f>
        <v>0</v>
      </c>
      <c r="N25" s="17">
        <f>VLOOKUP($C25,'A. All deals (a)'!$C$6:$Q$58,N$5,0)</f>
        <v>7.8755709999999999</v>
      </c>
      <c r="O25" s="17">
        <f>VLOOKUP($C25,'A. All deals (a)'!$C$6:$Q$58,O$5,0)</f>
        <v>64.228074000000007</v>
      </c>
      <c r="P25" s="17">
        <f>VLOOKUP($C25,'A. All deals (a)'!$C$6:$Q$58,P$5,0)</f>
        <v>-11.257965999999996</v>
      </c>
      <c r="Q25" s="17">
        <v>-0.30599999999999999</v>
      </c>
      <c r="R25" s="10">
        <f>VLOOKUP($C25,'A. All deals (a)'!$C$6:$Q$58,R$5,0)</f>
        <v>0.86495023470695642</v>
      </c>
      <c r="S25" s="2"/>
      <c r="T25" s="67"/>
    </row>
    <row r="26" spans="2:20">
      <c r="B26" s="66"/>
      <c r="C26" s="4" t="s">
        <v>115</v>
      </c>
      <c r="D26" s="32" t="s">
        <v>250</v>
      </c>
      <c r="E26" s="2" t="str">
        <f>VLOOKUP($C26,'A. All deals (a)'!$C$6:$Q$58,E$5,0)</f>
        <v>Unrealized</v>
      </c>
      <c r="F26" s="2">
        <f>VLOOKUP($C26,'A. All deals (a)'!$C$6:$Q$58,F$5,0)</f>
        <v>0</v>
      </c>
      <c r="G26" s="2" t="str">
        <f>VLOOKUP($C26,'A. All deals (a)'!$C$6:$Q$58,G$5,0)</f>
        <v>G42 Investments</v>
      </c>
      <c r="H26" s="6">
        <f>VLOOKUP($C26,'A. All deals (a)'!$C$6:$Q$58,H$5,0)</f>
        <v>2020</v>
      </c>
      <c r="I26" s="6" t="str">
        <f>VLOOKUP($C26,'A. All deals (a)'!$C$6:$Q$58,I$5,0)</f>
        <v xml:space="preserve">LP </v>
      </c>
      <c r="J26" s="90" t="str">
        <f>VLOOKUP($C26,'A. All deals (a)'!$C$6:$Q$58,J$5,0)</f>
        <v>n/a</v>
      </c>
      <c r="K26" s="17">
        <f ca="1">VLOOKUP($C26,'A. All deals (a)'!$C$6:$Q$58,K$5,0)</f>
        <v>29.659861134493802</v>
      </c>
      <c r="L26" s="17">
        <f ca="1">VLOOKUP($C26,'A. All deals (a)'!$C$6:$Q$58,L$5,0)</f>
        <v>19.108544969197801</v>
      </c>
      <c r="M26" s="17">
        <f>VLOOKUP($C26,'A. All deals (a)'!$C$6:$Q$58,M$5,0)</f>
        <v>10.551316165296003</v>
      </c>
      <c r="N26" s="17">
        <f>VLOOKUP($C26,'A. All deals (a)'!$C$6:$Q$58,N$5,0)</f>
        <v>3.7927062781652001</v>
      </c>
      <c r="O26" s="17">
        <f>VLOOKUP($C26,'A. All deals (a)'!$C$6:$Q$58,O$5,0)</f>
        <v>25.6153870216</v>
      </c>
      <c r="P26" s="17">
        <f ca="1">VLOOKUP($C26,'A. All deals (a)'!$C$6:$Q$58,P$5,0)</f>
        <v>10.299548330567397</v>
      </c>
      <c r="Q26" s="17">
        <v>5.4450000000000003</v>
      </c>
      <c r="R26" s="10">
        <f ca="1">VLOOKUP($C26,'A. All deals (a)'!$C$6:$Q$58,R$5,0)</f>
        <v>1.5390022289593399</v>
      </c>
      <c r="S26" s="2"/>
      <c r="T26" s="67"/>
    </row>
    <row r="27" spans="2:20">
      <c r="B27" s="66"/>
      <c r="C27" s="4" t="s">
        <v>284</v>
      </c>
      <c r="D27" s="32" t="s">
        <v>250</v>
      </c>
      <c r="E27" s="2" t="str">
        <f>VLOOKUP($C27,'A. All deals (a)'!$C$6:$Q$58,E$5,0)</f>
        <v>Unrealized</v>
      </c>
      <c r="F27" s="2">
        <f>VLOOKUP($C27,'A. All deals (a)'!$C$6:$Q$58,F$5,0)</f>
        <v>0</v>
      </c>
      <c r="G27" s="2" t="str">
        <f>VLOOKUP($C27,'A. All deals (a)'!$C$6:$Q$58,G$5,0)</f>
        <v>G42 Investments</v>
      </c>
      <c r="H27" s="6">
        <f>VLOOKUP($C27,'A. All deals (a)'!$C$6:$Q$58,H$5,0)</f>
        <v>2023</v>
      </c>
      <c r="I27" s="6" t="str">
        <f>VLOOKUP($C27,'A. All deals (a)'!$C$6:$Q$58,I$5,0)</f>
        <v xml:space="preserve">LP </v>
      </c>
      <c r="J27" s="90" t="str">
        <f>VLOOKUP($C27,'A. All deals (a)'!$C$6:$Q$58,J$5,0)</f>
        <v>n/a</v>
      </c>
      <c r="K27" s="17">
        <f>VLOOKUP($C27,'A. All deals (a)'!$C$6:$Q$58,K$5,0)</f>
        <v>2.7058823529411762</v>
      </c>
      <c r="L27" s="17">
        <f>VLOOKUP($C27,'A. All deals (a)'!$C$6:$Q$58,L$5,0)</f>
        <v>2.7058823529411762</v>
      </c>
      <c r="M27" s="17">
        <f>VLOOKUP($C27,'A. All deals (a)'!$C$6:$Q$58,M$5,0)</f>
        <v>0</v>
      </c>
      <c r="N27" s="17">
        <f>VLOOKUP($C27,'A. All deals (a)'!$C$6:$Q$58,N$5,0)</f>
        <v>0</v>
      </c>
      <c r="O27" s="17">
        <f ca="1">VLOOKUP($C27,'A. All deals (a)'!$C$6:$Q$58,O$5,0)</f>
        <v>3.6272894570065048</v>
      </c>
      <c r="P27" s="17">
        <f ca="1">VLOOKUP($C27,'A. All deals (a)'!$C$6:$Q$58,P$5,0)</f>
        <v>0.92140710406532866</v>
      </c>
      <c r="Q27" s="17">
        <v>0</v>
      </c>
      <c r="R27" s="10">
        <f ca="1">VLOOKUP($C27,'A. All deals (a)'!$C$6:$Q$58,R$5,0)</f>
        <v>1.3405200167197955</v>
      </c>
      <c r="S27" s="79"/>
      <c r="T27" s="67"/>
    </row>
    <row r="28" spans="2:20" ht="17.25">
      <c r="B28" s="66"/>
      <c r="C28" s="4" t="s">
        <v>160</v>
      </c>
      <c r="D28" s="32" t="s">
        <v>250</v>
      </c>
      <c r="E28" s="2" t="str">
        <f>VLOOKUP($C28,'A. All deals (a)'!$C$6:$Q$58,E$5,0)</f>
        <v>Unrealized</v>
      </c>
      <c r="F28" s="2">
        <f>VLOOKUP($C28,'A. All deals (a)'!$C$6:$Q$58,F$5,0)</f>
        <v>0</v>
      </c>
      <c r="G28" s="2" t="str">
        <f>VLOOKUP($C28,'A. All deals (a)'!$C$6:$Q$58,G$5,0)</f>
        <v>G42 Investments</v>
      </c>
      <c r="H28" s="6">
        <f>VLOOKUP($C28,'A. All deals (a)'!$C$6:$Q$58,H$5,0)</f>
        <v>2021</v>
      </c>
      <c r="I28" s="6" t="str">
        <f>VLOOKUP($C28,'A. All deals (a)'!$C$6:$Q$58,I$5,0)</f>
        <v xml:space="preserve">LP </v>
      </c>
      <c r="J28" s="90">
        <f>VLOOKUP($C28,'A. All deals (a)'!$C$6:$Q$58,J$5,0)</f>
        <v>0.33</v>
      </c>
      <c r="K28" s="17">
        <f>VLOOKUP($C28,'A. All deals (a)'!$C$6:$Q$58,K$5,0)</f>
        <v>17.112500000000001</v>
      </c>
      <c r="L28" s="17">
        <f ca="1">VLOOKUP($C28,'A. All deals (a)'!$C$6:$Q$58,L$5,0)</f>
        <v>15.7263875</v>
      </c>
      <c r="M28" s="17">
        <f ca="1">VLOOKUP($C28,'A. All deals (a)'!$C$6:$Q$58,M$5,0)</f>
        <v>1.3861125000000012</v>
      </c>
      <c r="N28" s="17">
        <f>VLOOKUP($C28,'A. All deals (a)'!$C$6:$Q$58,N$5,0)</f>
        <v>0</v>
      </c>
      <c r="O28" s="17">
        <f>VLOOKUP($C28,'A. All deals (a)'!$C$6:$Q$58,O$5,0)</f>
        <v>13.056308</v>
      </c>
      <c r="P28" s="17">
        <f ca="1">VLOOKUP($C28,'A. All deals (a)'!$C$6:$Q$58,P$5,0)</f>
        <v>-2.6700794999999999</v>
      </c>
      <c r="Q28" s="17">
        <v>-0.30599999999999999</v>
      </c>
      <c r="R28" s="10">
        <f ca="1">VLOOKUP($C28,'A. All deals (a)'!$C$6:$Q$58,R$5,0)</f>
        <v>0.83021660250963547</v>
      </c>
      <c r="S28" s="2" t="s">
        <v>372</v>
      </c>
      <c r="T28" s="67"/>
    </row>
    <row r="29" spans="2:20">
      <c r="B29" s="66"/>
      <c r="C29" s="4"/>
      <c r="D29" s="32"/>
      <c r="E29" s="2"/>
      <c r="F29" s="2"/>
      <c r="G29" s="2"/>
      <c r="H29" s="2"/>
      <c r="I29" s="6"/>
      <c r="J29" s="90"/>
      <c r="K29" s="17"/>
      <c r="L29" s="17"/>
      <c r="M29" s="17"/>
      <c r="N29" s="17"/>
      <c r="O29" s="17"/>
      <c r="P29" s="17"/>
      <c r="Q29" s="17"/>
      <c r="R29" s="10"/>
      <c r="S29" s="87"/>
      <c r="T29" s="67"/>
    </row>
    <row r="30" spans="2:20" s="70" customFormat="1">
      <c r="B30" s="68"/>
      <c r="C30" s="9"/>
      <c r="D30" s="9"/>
      <c r="E30" s="9"/>
      <c r="F30" s="9"/>
      <c r="G30" s="9"/>
      <c r="H30" s="9"/>
      <c r="I30" s="9"/>
      <c r="J30" s="93"/>
      <c r="K30" s="18">
        <f ca="1">SUM(K23:K28)</f>
        <v>457.37110448743493</v>
      </c>
      <c r="L30" s="18">
        <f ca="1">SUM(L23:L28)</f>
        <v>445.43367582213892</v>
      </c>
      <c r="M30" s="18">
        <f ca="1">SUM(M23:M28)</f>
        <v>11.937428665296004</v>
      </c>
      <c r="N30" s="18">
        <f ca="1">SUM(N23:N28)</f>
        <v>96.472763418165187</v>
      </c>
      <c r="O30" s="18">
        <f ca="1">SUM(O23:O28)</f>
        <v>436.26476461960647</v>
      </c>
      <c r="P30" s="18">
        <f ca="1">O30+N30-L30</f>
        <v>87.30385221563273</v>
      </c>
      <c r="Q30" s="18">
        <f>SUM(Q23:Q28)</f>
        <v>3.4850000000000003</v>
      </c>
      <c r="R30" s="11">
        <f ca="1">(N30+O30)/L30</f>
        <v>1.1959974221852347</v>
      </c>
      <c r="S30" s="9"/>
      <c r="T30" s="69"/>
    </row>
    <row r="31" spans="2:20" s="70" customFormat="1">
      <c r="B31" s="68"/>
      <c r="C31" s="145"/>
      <c r="D31" s="145"/>
      <c r="E31" s="145"/>
      <c r="F31" s="145"/>
      <c r="G31" s="145"/>
      <c r="H31" s="145"/>
      <c r="I31" s="145"/>
      <c r="J31" s="92"/>
      <c r="K31" s="146"/>
      <c r="L31" s="146"/>
      <c r="M31" s="146"/>
      <c r="N31" s="146"/>
      <c r="O31" s="146"/>
      <c r="P31" s="146"/>
      <c r="Q31" s="146"/>
      <c r="R31" s="147"/>
      <c r="S31" s="145"/>
      <c r="T31" s="69"/>
    </row>
    <row r="32" spans="2:20" s="70" customFormat="1">
      <c r="B32" s="68"/>
      <c r="C32" s="422" t="s">
        <v>543</v>
      </c>
      <c r="D32" s="334"/>
      <c r="E32" s="335"/>
      <c r="F32" s="335"/>
      <c r="G32" s="335"/>
      <c r="H32" s="335"/>
      <c r="I32" s="336"/>
      <c r="J32" s="337"/>
      <c r="K32" s="338"/>
      <c r="L32" s="338"/>
      <c r="M32" s="338"/>
      <c r="N32" s="338"/>
      <c r="O32" s="338"/>
      <c r="P32" s="338"/>
      <c r="Q32" s="338"/>
      <c r="R32" s="339"/>
      <c r="S32" s="335"/>
      <c r="T32" s="69"/>
    </row>
    <row r="33" spans="2:20" s="70" customFormat="1">
      <c r="B33" s="68"/>
      <c r="C33" s="4" t="s">
        <v>537</v>
      </c>
      <c r="D33" s="32" t="s">
        <v>248</v>
      </c>
      <c r="E33" s="2" t="str">
        <f>VLOOKUP($C33,'A. All deals (a)'!$C$6:$Q$58,E$5,0)</f>
        <v>Unrealized</v>
      </c>
      <c r="F33" s="2">
        <f>VLOOKUP($C33,'A. All deals (a)'!$C$6:$Q$58,F$5,0)</f>
        <v>0</v>
      </c>
      <c r="G33" s="2" t="str">
        <f>VLOOKUP($C33,'A. All deals (a)'!$C$6:$Q$58,G$5,0)</f>
        <v>G42 Capital</v>
      </c>
      <c r="H33" s="6">
        <f>VLOOKUP($C33,'A. All deals (a)'!$C$6:$Q$58,H$5,0)</f>
        <v>2024</v>
      </c>
      <c r="I33" s="6" t="str">
        <f>VLOOKUP($C33,'A. All deals (a)'!$C$6:$Q$58,I$5,0)</f>
        <v>D Prefs</v>
      </c>
      <c r="J33" s="90">
        <f>VLOOKUP($C33,'A. All deals (a)'!$C$6:$Q$58,J$5,0)</f>
        <v>7.2996903382740827E-2</v>
      </c>
      <c r="K33" s="17">
        <f ca="1">VLOOKUP($C33,'A. All deals (a)'!$C$6:$Q$58,K$5,0)</f>
        <v>40</v>
      </c>
      <c r="L33" s="17">
        <f ca="1">VLOOKUP($C33,'A. All deals (a)'!$C$6:$Q$58,L$5,0)</f>
        <v>40</v>
      </c>
      <c r="M33" s="17">
        <f ca="1">VLOOKUP($C33,'A. All deals (a)'!$C$6:$Q$58,M$5,0)</f>
        <v>0</v>
      </c>
      <c r="N33" s="17">
        <f ca="1">VLOOKUP($C33,'A. All deals (a)'!$C$6:$Q$58,N$5,0)</f>
        <v>0</v>
      </c>
      <c r="O33" s="17">
        <f>VLOOKUP($C33,'A. All deals (a)'!$C$6:$Q$58,O$5,0)</f>
        <v>40.947393714699999</v>
      </c>
      <c r="P33" s="17">
        <f ca="1">VLOOKUP($C33,'A. All deals (a)'!$C$6:$Q$58,P$5,0)</f>
        <v>0.94739371469999867</v>
      </c>
      <c r="Q33" s="17">
        <v>0</v>
      </c>
      <c r="R33" s="10">
        <f ca="1">VLOOKUP($C33,'A. All deals (a)'!$C$6:$Q$58,R$5,0)</f>
        <v>1.0236848428675001</v>
      </c>
      <c r="S33" s="87" t="s">
        <v>701</v>
      </c>
      <c r="T33" s="69"/>
    </row>
    <row r="34" spans="2:20" s="70" customFormat="1">
      <c r="B34" s="68"/>
      <c r="C34" s="4" t="s">
        <v>702</v>
      </c>
      <c r="D34" s="32" t="s">
        <v>248</v>
      </c>
      <c r="E34" s="2" t="str">
        <f>VLOOKUP($C34,'A. All deals (a)'!$C$6:$Q$58,E$5,0)</f>
        <v>Not Completed</v>
      </c>
      <c r="F34" s="2">
        <f>VLOOKUP($C34,'A. All deals (a)'!$C$6:$Q$58,F$5,0)</f>
        <v>0</v>
      </c>
      <c r="G34" s="2" t="str">
        <f>VLOOKUP($C34,'A. All deals (a)'!$C$6:$Q$58,G$5,0)</f>
        <v>G42 Capital</v>
      </c>
      <c r="H34" s="6">
        <f>VLOOKUP($C34,'A. All deals (a)'!$C$6:$Q$58,H$5,0)</f>
        <v>2025</v>
      </c>
      <c r="I34" s="6" t="str">
        <f>VLOOKUP($C34,'A. All deals (a)'!$C$6:$Q$58,I$5,0)</f>
        <v>Series F-1</v>
      </c>
      <c r="J34" s="90" t="str">
        <f>VLOOKUP($C34,'A. All deals (a)'!$C$6:$Q$58,J$5,0)</f>
        <v>TBD</v>
      </c>
      <c r="K34" s="17">
        <f>VLOOKUP($C34,'A. All deals (a)'!$C$6:$Q$58,K$5,0)</f>
        <v>111.66666666666667</v>
      </c>
      <c r="L34" s="17">
        <f>VLOOKUP($C34,'A. All deals (a)'!$C$6:$Q$58,L$5,0)</f>
        <v>0</v>
      </c>
      <c r="M34" s="17">
        <f>VLOOKUP($C34,'A. All deals (a)'!$C$6:$Q$58,M$5,0)</f>
        <v>111.66666666666667</v>
      </c>
      <c r="N34" s="17">
        <f>VLOOKUP($C34,'A. All deals (a)'!$C$6:$Q$58,N$5,0)</f>
        <v>0</v>
      </c>
      <c r="O34" s="17">
        <f>VLOOKUP($C34,'A. All deals (a)'!$C$6:$Q$58,O$5,0)</f>
        <v>0</v>
      </c>
      <c r="P34" s="17">
        <f>VLOOKUP($C34,'A. All deals (a)'!$C$6:$Q$58,P$5,0)</f>
        <v>0</v>
      </c>
      <c r="Q34" s="17">
        <v>0</v>
      </c>
      <c r="R34" s="10" t="str">
        <f>VLOOKUP($C34,'A. All deals (a)'!$C$6:$Q$58,R$5,0)</f>
        <v>NM</v>
      </c>
      <c r="S34" s="87" t="s">
        <v>715</v>
      </c>
      <c r="T34" s="69"/>
    </row>
    <row r="35" spans="2:20" s="70" customFormat="1">
      <c r="B35" s="68"/>
      <c r="C35" s="4" t="s">
        <v>588</v>
      </c>
      <c r="D35" s="32" t="s">
        <v>248</v>
      </c>
      <c r="E35" s="2" t="str">
        <f>VLOOKUP($C35,'A. All deals (a)'!$C$6:$Q$58,E$5,0)</f>
        <v>Unrealized</v>
      </c>
      <c r="F35" s="2">
        <f>VLOOKUP($C35,'A. All deals (a)'!$C$6:$Q$58,F$5,0)</f>
        <v>0</v>
      </c>
      <c r="G35" s="2" t="str">
        <f>VLOOKUP($C35,'A. All deals (a)'!$C$6:$Q$58,G$5,0)</f>
        <v>G42 Capital</v>
      </c>
      <c r="H35" s="6">
        <f>VLOOKUP($C35,'A. All deals (a)'!$C$6:$Q$58,H$5,0)</f>
        <v>2024</v>
      </c>
      <c r="I35" s="6" t="s">
        <v>44</v>
      </c>
      <c r="J35" s="90">
        <f>VLOOKUP($C35,'A. All deals (a)'!$C$6:$Q$58,J$5,0)</f>
        <v>5.2299999999999999E-2</v>
      </c>
      <c r="K35" s="17">
        <f>VLOOKUP($C35,'A. All deals (a)'!$C$6:$Q$58,K$5,0)</f>
        <v>10</v>
      </c>
      <c r="L35" s="17">
        <f ca="1">VLOOKUP($C35,'A. All deals (a)'!$C$6:$Q$58,L$5,0)</f>
        <v>10</v>
      </c>
      <c r="M35" s="17">
        <f ca="1">VLOOKUP($C35,'A. All deals (a)'!$C$6:$Q$58,M$5,0)</f>
        <v>0</v>
      </c>
      <c r="N35" s="17">
        <f ca="1">VLOOKUP($C35,'A. All deals (a)'!$C$6:$Q$58,N$5,0)</f>
        <v>0</v>
      </c>
      <c r="O35" s="17">
        <f>VLOOKUP($C35,'A. All deals (a)'!$C$6:$Q$58,O$5,0)</f>
        <v>2.9127686955555556</v>
      </c>
      <c r="P35" s="17">
        <f ca="1">VLOOKUP($C35,'A. All deals (a)'!$C$6:$Q$58,P$5,0)</f>
        <v>-7.0872313044444439</v>
      </c>
      <c r="Q35" s="17">
        <v>0</v>
      </c>
      <c r="R35" s="10">
        <f ca="1">VLOOKUP($C35,'A. All deals (a)'!$C$6:$Q$58,R$5,0)</f>
        <v>0.29127686955555554</v>
      </c>
      <c r="S35" s="87" t="str">
        <f>"EPTH9 "&amp; VLOOKUP($C35,'A. All deals (a)'!$C$6:$Q$58,S$5,0)</f>
        <v>EPTH9 Revenue linked RSUs</v>
      </c>
      <c r="T35" s="69"/>
    </row>
    <row r="36" spans="2:20" s="70" customFormat="1">
      <c r="B36" s="68"/>
      <c r="C36" s="4" t="s">
        <v>662</v>
      </c>
      <c r="D36" s="32" t="s">
        <v>248</v>
      </c>
      <c r="E36" s="2" t="str">
        <f>VLOOKUP($C36,'A. All deals (a)'!$C$6:$Q$58,E$5,0)</f>
        <v>Unrealized</v>
      </c>
      <c r="F36" s="2">
        <f>VLOOKUP($C36,'A. All deals (a)'!$C$6:$Q$58,F$5,0)</f>
        <v>0</v>
      </c>
      <c r="G36" s="2" t="str">
        <f>VLOOKUP($C36,'A. All deals (a)'!$C$6:$Q$58,G$5,0)</f>
        <v>G42 Capital</v>
      </c>
      <c r="H36" s="6">
        <f>VLOOKUP($C36,'A. All deals (a)'!$C$6:$Q$58,H$5,0)</f>
        <v>2024</v>
      </c>
      <c r="I36" s="6" t="str">
        <f>VLOOKUP($C36,'A. All deals (a)'!$C$6:$Q$58,I$5,0)</f>
        <v>SAR</v>
      </c>
      <c r="J36" s="90" t="str">
        <f>VLOOKUP($C36,'A. All deals (a)'!$C$6:$Q$58,J$5,0)</f>
        <v>20% Eq</v>
      </c>
      <c r="K36" s="17">
        <f>VLOOKUP($C36,'A. All deals (a)'!$C$6:$Q$58,K$5,0)</f>
        <v>100</v>
      </c>
      <c r="L36" s="17">
        <f ca="1">VLOOKUP($C36,'A. All deals (a)'!$C$6:$Q$58,L$5,0)</f>
        <v>100</v>
      </c>
      <c r="M36" s="17">
        <f ca="1">VLOOKUP($C36,'A. All deals (a)'!$C$6:$Q$58,M$5,0)</f>
        <v>0</v>
      </c>
      <c r="N36" s="17">
        <f ca="1">VLOOKUP($C36,'A. All deals (a)'!$C$6:$Q$58,N$5,0)</f>
        <v>0.49996499999999999</v>
      </c>
      <c r="O36" s="17">
        <f>VLOOKUP($C36,'A. All deals (a)'!$C$6:$Q$58,O$5,0)</f>
        <v>100</v>
      </c>
      <c r="P36" s="17">
        <f ca="1">VLOOKUP($C36,'A. All deals (a)'!$C$6:$Q$58,P$5,0)</f>
        <v>0.4999650000000031</v>
      </c>
      <c r="Q36" s="17">
        <v>0</v>
      </c>
      <c r="R36" s="10">
        <f ca="1">VLOOKUP($C36,'A. All deals (a)'!$C$6:$Q$58,R$5,0)</f>
        <v>1.00499965</v>
      </c>
      <c r="S36" s="552" t="str">
        <f>"EPTH10 "&amp; VLOOKUP($C36,'A. All deals (a)'!$C$6:$Q$58,S$5,0)</f>
        <v>EPTH10 Upside if Tokens sold &gt; $2.5 per token</v>
      </c>
      <c r="T36" s="69"/>
    </row>
    <row r="37" spans="2:20" s="70" customFormat="1">
      <c r="B37" s="68"/>
      <c r="C37" s="4" t="s">
        <v>695</v>
      </c>
      <c r="D37" s="32" t="s">
        <v>248</v>
      </c>
      <c r="E37" s="2" t="str">
        <f>VLOOKUP($C37,'A. All deals (a)'!$C$6:$Q$58,E$5,0)</f>
        <v>Unrealized</v>
      </c>
      <c r="F37" s="2">
        <f>VLOOKUP($C37,'A. All deals (a)'!$C$6:$Q$58,F$5,0)</f>
        <v>0</v>
      </c>
      <c r="G37" s="2" t="str">
        <f>VLOOKUP($C37,'A. All deals (a)'!$C$6:$Q$58,G$5,0)</f>
        <v>G42 Capital</v>
      </c>
      <c r="H37" s="6">
        <f>VLOOKUP($C37,'A. All deals (a)'!$C$6:$Q$58,H$5,0)</f>
        <v>2024</v>
      </c>
      <c r="I37" s="6" t="str">
        <f>VLOOKUP($C37,'A. All deals (a)'!$C$6:$Q$58,I$5,0)</f>
        <v>Series A</v>
      </c>
      <c r="J37" s="90">
        <f>VLOOKUP($C37,'A. All deals (a)'!$C$6:$Q$58,J$5,0)</f>
        <v>6.2785470185135785E-3</v>
      </c>
      <c r="K37" s="17">
        <f>VLOOKUP($C37,'A. All deals (a)'!$C$6:$Q$58,K$5,0)</f>
        <v>66.599843419999999</v>
      </c>
      <c r="L37" s="17">
        <f ca="1">VLOOKUP($C37,'A. All deals (a)'!$C$6:$Q$58,L$5,0)</f>
        <v>19.999882399999997</v>
      </c>
      <c r="M37" s="17">
        <f ca="1">VLOOKUP($C37,'A. All deals (a)'!$C$6:$Q$58,M$5,0)</f>
        <v>46.599961020000002</v>
      </c>
      <c r="N37" s="17">
        <f>VLOOKUP($C37,'A. All deals (a)'!$C$6:$Q$58,N$5,0)</f>
        <v>0</v>
      </c>
      <c r="O37" s="17">
        <f>VLOOKUP($C37,'A. All deals (a)'!$C$6:$Q$58,O$5,0)</f>
        <v>19.999882399999997</v>
      </c>
      <c r="P37" s="17">
        <f ca="1">VLOOKUP($C37,'A. All deals (a)'!$C$6:$Q$58,P$5,0)</f>
        <v>0</v>
      </c>
      <c r="Q37" s="17">
        <v>0</v>
      </c>
      <c r="R37" s="10">
        <f ca="1">VLOOKUP($C37,'A. All deals (a)'!$C$6:$Q$58,R$5,0)</f>
        <v>1</v>
      </c>
      <c r="S37" s="87" t="s">
        <v>726</v>
      </c>
      <c r="T37" s="69"/>
    </row>
    <row r="38" spans="2:20" s="70" customFormat="1">
      <c r="B38" s="68"/>
      <c r="C38" s="4" t="s">
        <v>781</v>
      </c>
      <c r="D38" s="32" t="s">
        <v>248</v>
      </c>
      <c r="E38" s="2" t="str">
        <f>VLOOKUP($C38,'A. All deals (a)'!$C$6:$Q$58,E$5,0)</f>
        <v>Unrealized</v>
      </c>
      <c r="F38" s="2">
        <f>VLOOKUP($C38,'A. All deals (a)'!$C$6:$Q$58,F$5,0)</f>
        <v>0</v>
      </c>
      <c r="G38" s="2" t="str">
        <f>VLOOKUP($C38,'A. All deals (a)'!$C$6:$Q$58,G$5,0)</f>
        <v>G42 Capital</v>
      </c>
      <c r="H38" s="6">
        <f>VLOOKUP($C38,'A. All deals (a)'!$C$6:$Q$58,H$5,0)</f>
        <v>2025</v>
      </c>
      <c r="I38" s="6" t="str">
        <f>VLOOKUP($C38,'A. All deals (a)'!$C$6:$Q$58,I$5,0)</f>
        <v>Series E</v>
      </c>
      <c r="J38" s="90">
        <f>VLOOKUP($C38,'A. All deals (a)'!$C$6:$Q$58,J$5,0)</f>
        <v>5.1805228281426186E-3</v>
      </c>
      <c r="K38" s="17">
        <f ca="1">VLOOKUP($C38,'A. All deals (a)'!$C$6:$Q$58,K$5,0)</f>
        <v>49.999999500000001</v>
      </c>
      <c r="L38" s="17">
        <f ca="1">VLOOKUP($C38,'A. All deals (a)'!$C$6:$Q$58,L$5,0)</f>
        <v>49.999999500000001</v>
      </c>
      <c r="M38" s="17">
        <f>VLOOKUP($C38,'A. All deals (a)'!$C$6:$Q$58,M$5,0)</f>
        <v>0</v>
      </c>
      <c r="N38" s="17">
        <f>VLOOKUP($C38,'A. All deals (a)'!$C$6:$Q$58,N$5,0)</f>
        <v>0</v>
      </c>
      <c r="O38" s="17">
        <f>VLOOKUP($C38,'A. All deals (a)'!$C$6:$Q$58,O$5,0)</f>
        <v>50</v>
      </c>
      <c r="P38" s="17">
        <f ca="1">VLOOKUP($C38,'A. All deals (a)'!$C$6:$Q$58,P$5,0)</f>
        <v>4.9999999873762135E-7</v>
      </c>
      <c r="Q38" s="17">
        <v>0</v>
      </c>
      <c r="R38" s="10">
        <f ca="1">VLOOKUP($C38,'A. All deals (a)'!$C$6:$Q$58,R$5,0)</f>
        <v>1.0000000100000002</v>
      </c>
      <c r="S38" s="87" t="s">
        <v>784</v>
      </c>
      <c r="T38" s="69"/>
    </row>
    <row r="39" spans="2:20">
      <c r="B39" s="66"/>
      <c r="C39" s="5"/>
      <c r="D39" s="13"/>
      <c r="E39" s="7"/>
      <c r="F39" s="7"/>
      <c r="G39" s="7"/>
      <c r="H39" s="7"/>
      <c r="I39" s="14"/>
      <c r="J39" s="170"/>
      <c r="K39" s="24"/>
      <c r="L39" s="24"/>
      <c r="M39" s="24"/>
      <c r="N39" s="24"/>
      <c r="O39" s="24"/>
      <c r="P39" s="24"/>
      <c r="Q39" s="24"/>
      <c r="R39" s="15"/>
      <c r="S39" s="180"/>
      <c r="T39" s="67"/>
    </row>
    <row r="40" spans="2:20" s="70" customFormat="1">
      <c r="B40" s="68"/>
      <c r="C40" s="9"/>
      <c r="D40" s="9"/>
      <c r="E40" s="9"/>
      <c r="F40" s="9"/>
      <c r="G40" s="9"/>
      <c r="H40" s="9"/>
      <c r="I40" s="9"/>
      <c r="J40" s="93"/>
      <c r="K40" s="18">
        <f ca="1">SUM(K33:K38)</f>
        <v>378.2665095866667</v>
      </c>
      <c r="L40" s="18">
        <f t="shared" ref="L40:O40" ca="1" si="0">SUM(L33:L38)</f>
        <v>219.99988189999999</v>
      </c>
      <c r="M40" s="18">
        <f t="shared" ca="1" si="0"/>
        <v>158.26662768666668</v>
      </c>
      <c r="N40" s="18">
        <f t="shared" ca="1" si="0"/>
        <v>0.49996499999999999</v>
      </c>
      <c r="O40" s="18">
        <f t="shared" si="0"/>
        <v>213.86004481025554</v>
      </c>
      <c r="P40" s="18">
        <f t="shared" ref="P40" ca="1" si="1">SUM(P33:P37)</f>
        <v>-5.6398725897444422</v>
      </c>
      <c r="Q40" s="18">
        <f>SUM(Q33:Q35)</f>
        <v>0</v>
      </c>
      <c r="R40" s="11">
        <f ca="1">(N40+O40)/L40</f>
        <v>0.97436420401212753</v>
      </c>
      <c r="S40" s="9"/>
      <c r="T40" s="69"/>
    </row>
    <row r="41" spans="2:20" s="70" customFormat="1">
      <c r="B41" s="68"/>
      <c r="C41" s="145"/>
      <c r="D41" s="145"/>
      <c r="E41" s="145"/>
      <c r="F41" s="145"/>
      <c r="G41" s="145"/>
      <c r="H41" s="145"/>
      <c r="I41" s="145"/>
      <c r="J41" s="92"/>
      <c r="K41" s="146"/>
      <c r="L41" s="146"/>
      <c r="M41" s="146"/>
      <c r="N41" s="146"/>
      <c r="O41" s="146"/>
      <c r="P41" s="146"/>
      <c r="Q41" s="146"/>
      <c r="R41" s="147"/>
      <c r="S41" s="145"/>
      <c r="T41" s="69"/>
    </row>
    <row r="42" spans="2:20" s="70" customFormat="1">
      <c r="B42" s="68"/>
      <c r="C42" s="422" t="s">
        <v>544</v>
      </c>
      <c r="D42" s="334"/>
      <c r="E42" s="335"/>
      <c r="F42" s="335"/>
      <c r="G42" s="335"/>
      <c r="H42" s="335"/>
      <c r="I42" s="336"/>
      <c r="J42" s="337"/>
      <c r="K42" s="338"/>
      <c r="L42" s="338"/>
      <c r="M42" s="338"/>
      <c r="N42" s="338"/>
      <c r="O42" s="338"/>
      <c r="P42" s="338"/>
      <c r="Q42" s="338"/>
      <c r="R42" s="339"/>
      <c r="S42" s="335"/>
      <c r="T42" s="69"/>
    </row>
    <row r="43" spans="2:20" ht="17.25">
      <c r="B43" s="66"/>
      <c r="C43" s="4" t="s">
        <v>397</v>
      </c>
      <c r="D43" s="32" t="s">
        <v>248</v>
      </c>
      <c r="E43" s="2" t="str">
        <f>VLOOKUP($C43,'A. All deals (a)'!$C$6:$Q$58,E$5,0)</f>
        <v>Unrealized</v>
      </c>
      <c r="F43" s="2">
        <f>VLOOKUP($C43,'A. All deals (a)'!$C$6:$Q$58,F$5,0)</f>
        <v>0</v>
      </c>
      <c r="G43" s="2" t="str">
        <f>VLOOKUP($C43,'A. All deals (a)'!$C$6:$Q$58,G$5,0)</f>
        <v>Core42 5</v>
      </c>
      <c r="H43" s="6">
        <f>VLOOKUP($C43,'A. All deals (a)'!$C$6:$Q$58,H$5,0)</f>
        <v>2024</v>
      </c>
      <c r="I43" s="6" t="str">
        <f>VLOOKUP($C43,'A. All deals (a)'!$C$6:$Q$58,I$5,0)</f>
        <v>Preferred Shares</v>
      </c>
      <c r="J43" s="90">
        <f>VLOOKUP($C43,'A. All deals (a)'!$C$6:$Q$58,J$5,0)</f>
        <v>0.25</v>
      </c>
      <c r="K43" s="17">
        <f ca="1">VLOOKUP($C43,'A. All deals (a)'!$C$6:$Q$58,K$5,0)</f>
        <v>2.75</v>
      </c>
      <c r="L43" s="17">
        <f ca="1">VLOOKUP($C43,'A. All deals (a)'!$C$6:$Q$58,L$5,0)</f>
        <v>2.5</v>
      </c>
      <c r="M43" s="17">
        <f ca="1">VLOOKUP($C43,'A. All deals (a)'!$C$6:$Q$58,M$5,0)</f>
        <v>0.25</v>
      </c>
      <c r="N43" s="17">
        <f ca="1">VLOOKUP($C43,'A. All deals (a)'!$C$6:$Q$58,N$5,0)</f>
        <v>0</v>
      </c>
      <c r="O43" s="17">
        <f ca="1">VLOOKUP($C43,'A. All deals (a)'!$C$6:$Q$58,O$5,0)</f>
        <v>2.5</v>
      </c>
      <c r="P43" s="17">
        <f ca="1">VLOOKUP($C43,'A. All deals (a)'!$C$6:$Q$58,P$5,0)</f>
        <v>0</v>
      </c>
      <c r="Q43" s="17">
        <v>0</v>
      </c>
      <c r="R43" s="10">
        <f ca="1">VLOOKUP($C43,'A. All deals (a)'!$C$6:$Q$58,R$5,0)</f>
        <v>1</v>
      </c>
      <c r="S43" s="2" t="s">
        <v>471</v>
      </c>
      <c r="T43" s="67"/>
    </row>
    <row r="44" spans="2:20">
      <c r="B44" s="66"/>
      <c r="C44" s="5"/>
      <c r="D44" s="13"/>
      <c r="E44" s="7"/>
      <c r="F44" s="7"/>
      <c r="G44" s="7"/>
      <c r="H44" s="14"/>
      <c r="I44" s="14"/>
      <c r="J44" s="170"/>
      <c r="K44" s="24"/>
      <c r="L44" s="24"/>
      <c r="M44" s="24"/>
      <c r="N44" s="24"/>
      <c r="O44" s="24"/>
      <c r="P44" s="24"/>
      <c r="Q44" s="24"/>
      <c r="R44" s="15"/>
      <c r="S44" s="7"/>
      <c r="T44" s="67"/>
    </row>
    <row r="45" spans="2:20" s="70" customFormat="1">
      <c r="B45" s="68"/>
      <c r="C45" s="9"/>
      <c r="D45" s="9"/>
      <c r="E45" s="9"/>
      <c r="F45" s="9"/>
      <c r="G45" s="9"/>
      <c r="H45" s="9"/>
      <c r="I45" s="9"/>
      <c r="J45" s="93"/>
      <c r="K45" s="18">
        <f t="shared" ref="K45:Q45" ca="1" si="2">SUM(K43)</f>
        <v>2.75</v>
      </c>
      <c r="L45" s="18">
        <f t="shared" ca="1" si="2"/>
        <v>2.5</v>
      </c>
      <c r="M45" s="18">
        <f ca="1">SUM(M43)</f>
        <v>0.25</v>
      </c>
      <c r="N45" s="18">
        <f t="shared" ca="1" si="2"/>
        <v>0</v>
      </c>
      <c r="O45" s="18">
        <f t="shared" ca="1" si="2"/>
        <v>2.5</v>
      </c>
      <c r="P45" s="18">
        <f t="shared" ca="1" si="2"/>
        <v>0</v>
      </c>
      <c r="Q45" s="18">
        <f t="shared" si="2"/>
        <v>0</v>
      </c>
      <c r="R45" s="11">
        <f ca="1">(N45+O45)/L45</f>
        <v>1</v>
      </c>
      <c r="S45" s="9"/>
      <c r="T45" s="69"/>
    </row>
    <row r="46" spans="2:20" s="70" customFormat="1">
      <c r="B46" s="68"/>
      <c r="C46" s="145"/>
      <c r="D46" s="145"/>
      <c r="E46" s="145"/>
      <c r="F46" s="145"/>
      <c r="G46" s="145"/>
      <c r="H46" s="145"/>
      <c r="I46" s="145"/>
      <c r="J46" s="92"/>
      <c r="K46" s="146"/>
      <c r="L46" s="146"/>
      <c r="M46" s="146"/>
      <c r="N46" s="146"/>
      <c r="O46" s="146"/>
      <c r="P46" s="146"/>
      <c r="Q46" s="146"/>
      <c r="R46" s="147"/>
      <c r="S46" s="145"/>
      <c r="T46" s="69"/>
    </row>
    <row r="47" spans="2:20" s="70" customFormat="1">
      <c r="B47" s="68"/>
      <c r="C47" s="422" t="s">
        <v>804</v>
      </c>
      <c r="D47" s="334"/>
      <c r="E47" s="335"/>
      <c r="F47" s="335"/>
      <c r="G47" s="335"/>
      <c r="H47" s="335"/>
      <c r="I47" s="336"/>
      <c r="J47" s="337"/>
      <c r="K47" s="338"/>
      <c r="L47" s="338"/>
      <c r="M47" s="338"/>
      <c r="N47" s="338"/>
      <c r="O47" s="338"/>
      <c r="P47" s="338"/>
      <c r="Q47" s="338"/>
      <c r="R47" s="339"/>
      <c r="S47" s="335"/>
      <c r="T47" s="69"/>
    </row>
    <row r="48" spans="2:20" s="70" customFormat="1">
      <c r="B48" s="68"/>
      <c r="C48" s="4" t="s">
        <v>694</v>
      </c>
      <c r="D48" s="32" t="s">
        <v>707</v>
      </c>
      <c r="E48" s="2" t="str">
        <f>VLOOKUP($C48,'A. All deals (a)'!$C$6:$Q$58,E$5,0)</f>
        <v>Unrealized</v>
      </c>
      <c r="F48" s="2">
        <f>VLOOKUP($C48,'A. All deals (a)'!$C$6:$Q$58,F$5,0)</f>
        <v>0</v>
      </c>
      <c r="G48" s="2" t="str">
        <f>VLOOKUP($C48,'A. All deals (a)'!$C$6:$Q$58,G$5,0)</f>
        <v>G42 Holding</v>
      </c>
      <c r="H48" s="6">
        <f>VLOOKUP($C48,'A. All deals (a)'!$C$6:$Q$58,H$5,0)</f>
        <v>2024</v>
      </c>
      <c r="I48" s="6" t="str">
        <f>VLOOKUP($C48,'A. All deals (a)'!$C$6:$Q$58,I$5,0)</f>
        <v>LP</v>
      </c>
      <c r="J48" s="90">
        <f>VLOOKUP($C48,'A. All deals (a)'!$C$6:$Q$58,J$5,0)</f>
        <v>3.125E-2</v>
      </c>
      <c r="K48" s="17">
        <f>VLOOKUP($C48,'A. All deals (a)'!$C$6:$Q$58,K$5,0)</f>
        <v>1200</v>
      </c>
      <c r="L48" s="17">
        <f>VLOOKUP($C48,'A. All deals (a)'!$C$6:$Q$58,L$5,0)</f>
        <v>210.228747</v>
      </c>
      <c r="M48" s="17">
        <f>VLOOKUP($C48,'A. All deals (a)'!$C$6:$Q$58,M$5,0)</f>
        <v>989.771253</v>
      </c>
      <c r="N48" s="17">
        <f>VLOOKUP($C48,'A. All deals (a)'!$C$6:$Q$58,N$5,0)</f>
        <v>0</v>
      </c>
      <c r="O48" s="17">
        <f>VLOOKUP($C48,'A. All deals (a)'!$C$6:$Q$58,O$5,0)</f>
        <v>326.20940140173275</v>
      </c>
      <c r="P48" s="17">
        <f>VLOOKUP($C48,'A. All deals (a)'!$C$6:$Q$58,P$5,0)</f>
        <v>115.98065440173275</v>
      </c>
      <c r="Q48" s="17">
        <v>0</v>
      </c>
      <c r="R48" s="10">
        <f>VLOOKUP($C48,'A. All deals (a)'!$C$6:$Q$58,R$5,0)</f>
        <v>1.551687892625516</v>
      </c>
      <c r="S48" s="87"/>
      <c r="T48" s="69"/>
    </row>
    <row r="49" spans="2:20" s="70" customFormat="1">
      <c r="B49" s="68"/>
      <c r="C49" s="4" t="s">
        <v>775</v>
      </c>
      <c r="D49" s="32" t="s">
        <v>776</v>
      </c>
      <c r="E49" s="2" t="str">
        <f>VLOOKUP($C49,'A. All deals (a)'!$C$6:$Q$58,E$5,0)</f>
        <v>Unrealized</v>
      </c>
      <c r="F49" s="2">
        <f>VLOOKUP($C49,'A. All deals (a)'!$C$6:$Q$58,F$5,0)</f>
        <v>0</v>
      </c>
      <c r="G49" s="2" t="str">
        <f>VLOOKUP($C49,'A. All deals (a)'!$C$6:$Q$58,G$5,0)</f>
        <v>G42 Holding</v>
      </c>
      <c r="H49" s="6">
        <f>VLOOKUP($C49,'A. All deals (a)'!$C$6:$Q$58,H$5,0)</f>
        <v>2024</v>
      </c>
      <c r="I49" s="6" t="str">
        <f>VLOOKUP($C49,'A. All deals (a)'!$C$6:$Q$58,I$5,0)</f>
        <v>LP</v>
      </c>
      <c r="J49" s="90">
        <f>VLOOKUP($C49,'A. All deals (a)'!$C$6:$Q$58,J$5,0)</f>
        <v>0.5</v>
      </c>
      <c r="K49" s="17">
        <f>VLOOKUP($C49,'A. All deals (a)'!$C$6:$Q$58,K$5,0)</f>
        <v>775</v>
      </c>
      <c r="L49" s="17">
        <f>VLOOKUP($C49,'A. All deals (a)'!$C$6:$Q$58,L$5,0)</f>
        <v>312.49955899999998</v>
      </c>
      <c r="M49" s="17">
        <f>VLOOKUP($C49,'A. All deals (a)'!$C$6:$Q$58,M$5,0)</f>
        <v>462.50044100000002</v>
      </c>
      <c r="N49" s="17">
        <f>VLOOKUP($C49,'A. All deals (a)'!$C$6:$Q$58,N$5,0)</f>
        <v>0</v>
      </c>
      <c r="O49" s="17">
        <f>VLOOKUP($C49,'A. All deals (a)'!$C$6:$Q$58,O$5,0)</f>
        <v>396.06360100000001</v>
      </c>
      <c r="P49" s="17">
        <f>VLOOKUP($C49,'A. All deals (a)'!$C$6:$Q$58,P$5,0)</f>
        <v>83.564042000000029</v>
      </c>
      <c r="Q49" s="17">
        <v>0</v>
      </c>
      <c r="R49" s="10">
        <f>VLOOKUP($C49,'A. All deals (a)'!$C$6:$Q$58,R$5,0)</f>
        <v>1.267405311762376</v>
      </c>
      <c r="S49" s="87"/>
      <c r="T49" s="69"/>
    </row>
    <row r="50" spans="2:20" s="70" customFormat="1">
      <c r="B50" s="68"/>
      <c r="C50" s="4" t="s">
        <v>691</v>
      </c>
      <c r="D50" s="32" t="s">
        <v>708</v>
      </c>
      <c r="E50" s="2" t="str">
        <f>VLOOKUP($C50,'A. All deals (a)'!$C$6:$Q$58,E$5,0)</f>
        <v>Unrealized</v>
      </c>
      <c r="F50" s="2">
        <f>VLOOKUP($C50,'A. All deals (a)'!$C$6:$Q$58,F$5,0)</f>
        <v>0</v>
      </c>
      <c r="G50" s="2" t="str">
        <f>VLOOKUP($C50,'A. All deals (a)'!$C$6:$Q$58,G$5,0)</f>
        <v>G42 Holding</v>
      </c>
      <c r="H50" s="6">
        <f>VLOOKUP($C50,'A. All deals (a)'!$C$6:$Q$58,H$5,0)</f>
        <v>2024</v>
      </c>
      <c r="I50" s="6" t="str">
        <f>VLOOKUP($C50,'A. All deals (a)'!$C$6:$Q$58,I$5,0)</f>
        <v>Equity</v>
      </c>
      <c r="J50" s="90">
        <f>VLOOKUP($C50,'A. All deals (a)'!$C$6:$Q$58,J$5,0)</f>
        <v>0</v>
      </c>
      <c r="K50" s="17">
        <f>VLOOKUP($C50,'A. All deals (a)'!$C$6:$Q$58,K$5,0)</f>
        <v>25</v>
      </c>
      <c r="L50" s="17">
        <f>VLOOKUP($C50,'A. All deals (a)'!$C$6:$Q$58,L$5,0)</f>
        <v>25</v>
      </c>
      <c r="M50" s="17">
        <f>VLOOKUP($C50,'A. All deals (a)'!$C$6:$Q$58,M$5,0)</f>
        <v>0</v>
      </c>
      <c r="N50" s="17">
        <f>VLOOKUP($C50,'A. All deals (a)'!$C$6:$Q$58,N$5,0)</f>
        <v>0</v>
      </c>
      <c r="O50" s="17">
        <f>VLOOKUP($C50,'A. All deals (a)'!$C$6:$Q$58,O$5,0)</f>
        <v>25</v>
      </c>
      <c r="P50" s="17">
        <f>VLOOKUP($C50,'A. All deals (a)'!$C$6:$Q$58,P$5,0)</f>
        <v>0</v>
      </c>
      <c r="Q50" s="17">
        <v>0</v>
      </c>
      <c r="R50" s="10">
        <f>VLOOKUP($C50,'A. All deals (a)'!$C$6:$Q$58,R$5,0)</f>
        <v>1</v>
      </c>
      <c r="S50" s="87"/>
      <c r="T50" s="69"/>
    </row>
    <row r="51" spans="2:20" s="70" customFormat="1">
      <c r="B51" s="68"/>
      <c r="C51" s="5"/>
      <c r="D51" s="13"/>
      <c r="E51" s="7"/>
      <c r="F51" s="7"/>
      <c r="G51" s="7"/>
      <c r="H51" s="7"/>
      <c r="I51" s="14"/>
      <c r="J51" s="170"/>
      <c r="K51" s="24"/>
      <c r="L51" s="24"/>
      <c r="M51" s="24"/>
      <c r="N51" s="24"/>
      <c r="O51" s="24"/>
      <c r="P51" s="24"/>
      <c r="Q51" s="24"/>
      <c r="R51" s="15"/>
      <c r="S51" s="180"/>
      <c r="T51" s="69"/>
    </row>
    <row r="52" spans="2:20" s="70" customFormat="1">
      <c r="B52" s="68"/>
      <c r="C52" s="9"/>
      <c r="D52" s="9"/>
      <c r="E52" s="9"/>
      <c r="F52" s="9"/>
      <c r="G52" s="9"/>
      <c r="H52" s="9"/>
      <c r="I52" s="9"/>
      <c r="J52" s="93"/>
      <c r="K52" s="18">
        <f t="shared" ref="K52:P52" si="3">SUM(K48:K50)</f>
        <v>2000</v>
      </c>
      <c r="L52" s="18">
        <f t="shared" si="3"/>
        <v>547.72830599999998</v>
      </c>
      <c r="M52" s="18">
        <f t="shared" si="3"/>
        <v>1452.271694</v>
      </c>
      <c r="N52" s="18">
        <f t="shared" si="3"/>
        <v>0</v>
      </c>
      <c r="O52" s="18">
        <f t="shared" si="3"/>
        <v>747.27300240173281</v>
      </c>
      <c r="P52" s="18">
        <f t="shared" si="3"/>
        <v>199.54469640173278</v>
      </c>
      <c r="Q52" s="18">
        <f>SUM(Q48:Q48)</f>
        <v>0</v>
      </c>
      <c r="R52" s="11">
        <f>(N52+O52)/L52</f>
        <v>1.3643132812671048</v>
      </c>
      <c r="S52" s="9"/>
      <c r="T52" s="69"/>
    </row>
    <row r="53" spans="2:20" s="70" customFormat="1">
      <c r="B53" s="68"/>
      <c r="C53" s="145"/>
      <c r="D53" s="145"/>
      <c r="E53" s="145"/>
      <c r="F53" s="145"/>
      <c r="G53" s="145"/>
      <c r="H53" s="145"/>
      <c r="I53" s="145"/>
      <c r="J53" s="92"/>
      <c r="K53" s="146"/>
      <c r="L53" s="146"/>
      <c r="M53" s="146"/>
      <c r="N53" s="146"/>
      <c r="O53" s="146"/>
      <c r="P53" s="146"/>
      <c r="Q53" s="146"/>
      <c r="R53" s="147"/>
      <c r="S53" s="145"/>
      <c r="T53" s="69"/>
    </row>
    <row r="54" spans="2:20" s="70" customFormat="1">
      <c r="B54" s="68"/>
      <c r="C54" s="356"/>
      <c r="D54" s="356"/>
      <c r="E54" s="357"/>
      <c r="F54" s="357"/>
      <c r="G54" s="357"/>
      <c r="H54" s="357"/>
      <c r="I54" s="357"/>
      <c r="J54" s="416"/>
      <c r="K54" s="417">
        <f t="shared" ref="K54:P54" ca="1" si="4">K20+K30+K40+K45+K52</f>
        <v>3238.8578560484684</v>
      </c>
      <c r="L54" s="417">
        <f t="shared" ca="1" si="4"/>
        <v>1616.1321056965053</v>
      </c>
      <c r="M54" s="417">
        <f t="shared" ca="1" si="4"/>
        <v>1622.7257503519627</v>
      </c>
      <c r="N54" s="417">
        <f t="shared" ca="1" si="4"/>
        <v>96.97272841816519</v>
      </c>
      <c r="O54" s="417">
        <f t="shared" ca="1" si="4"/>
        <v>1732.0366969513188</v>
      </c>
      <c r="P54" s="417">
        <f t="shared" ca="1" si="4"/>
        <v>212.87731917297859</v>
      </c>
      <c r="Q54" s="417">
        <f>Q20+Q30+Q40+Q45</f>
        <v>159.18200000000002</v>
      </c>
      <c r="R54" s="418">
        <f ca="1">(N54+O54)/L54</f>
        <v>1.1317202467067102</v>
      </c>
      <c r="S54" s="357"/>
      <c r="T54" s="69"/>
    </row>
    <row r="55" spans="2:20" s="178" customFormat="1" ht="15.75" thickBot="1">
      <c r="B55" s="171"/>
      <c r="C55" s="172"/>
      <c r="D55" s="172"/>
      <c r="E55" s="173"/>
      <c r="F55" s="173"/>
      <c r="G55" s="173"/>
      <c r="H55" s="173"/>
      <c r="I55" s="173"/>
      <c r="J55" s="174"/>
      <c r="K55" s="175"/>
      <c r="L55" s="175"/>
      <c r="M55" s="175"/>
      <c r="N55" s="175"/>
      <c r="O55" s="175"/>
      <c r="P55" s="175"/>
      <c r="Q55" s="175"/>
      <c r="R55" s="176"/>
      <c r="S55" s="173"/>
      <c r="T55" s="177"/>
    </row>
    <row r="56" spans="2:20">
      <c r="J56" s="76"/>
    </row>
    <row r="57" spans="2:20">
      <c r="I57" s="198" t="s">
        <v>254</v>
      </c>
      <c r="J57" s="193"/>
      <c r="K57" s="444"/>
      <c r="L57" s="444"/>
      <c r="M57" s="444"/>
      <c r="N57" s="444"/>
      <c r="O57" s="444"/>
      <c r="P57" s="444"/>
      <c r="Q57" s="444" t="e">
        <f>Q20+'2. Exited'!Q20=#REF!</f>
        <v>#REF!</v>
      </c>
    </row>
    <row r="58" spans="2:20">
      <c r="B58" s="126"/>
      <c r="C58" s="126" t="s">
        <v>607</v>
      </c>
      <c r="D58" s="5"/>
      <c r="E58" s="7"/>
      <c r="F58" s="7"/>
      <c r="G58" s="7"/>
      <c r="H58" s="7"/>
      <c r="I58" s="199"/>
      <c r="J58" s="110"/>
      <c r="K58" s="444"/>
      <c r="L58" s="444"/>
      <c r="M58" s="444"/>
      <c r="N58" s="444"/>
      <c r="O58" s="444"/>
      <c r="P58" s="444"/>
      <c r="Q58" s="444" t="e">
        <f>ROUND(Q30+'2. Exited'!Q26,5)=ROUND(#REF!,5)</f>
        <v>#REF!</v>
      </c>
      <c r="R58" s="15"/>
      <c r="S58" s="7"/>
    </row>
    <row r="59" spans="2:20">
      <c r="B59" s="126"/>
      <c r="C59" s="419" t="s">
        <v>560</v>
      </c>
      <c r="D59" s="420"/>
      <c r="E59" s="421"/>
      <c r="F59" s="190"/>
      <c r="G59" s="190"/>
      <c r="H59" s="190"/>
      <c r="I59" s="190"/>
      <c r="J59" s="190"/>
      <c r="K59" s="444"/>
      <c r="L59" s="444"/>
      <c r="M59" s="444"/>
      <c r="N59" s="444"/>
      <c r="O59" s="444"/>
      <c r="P59" s="444"/>
      <c r="Q59" s="444" t="e">
        <f>ROUND(Q54+'2. Exited'!Q36,5)=ROUND(#REF!,5)</f>
        <v>#REF!</v>
      </c>
      <c r="R59" s="190"/>
    </row>
    <row r="60" spans="2:20" s="26" customFormat="1">
      <c r="B60" s="25"/>
      <c r="C60" s="13"/>
      <c r="D60" s="13"/>
      <c r="L60" s="215"/>
      <c r="T60" s="25"/>
    </row>
    <row r="61" spans="2:20" s="26" customFormat="1">
      <c r="B61" s="25"/>
      <c r="C61" s="57"/>
      <c r="D61" s="57"/>
      <c r="E61" s="190"/>
      <c r="F61" s="190"/>
      <c r="G61" s="190"/>
      <c r="H61" s="191"/>
      <c r="I61" s="190"/>
      <c r="J61" s="190"/>
      <c r="K61" s="190"/>
      <c r="L61" s="190"/>
      <c r="M61" s="190"/>
      <c r="N61" s="190"/>
      <c r="O61" s="190"/>
      <c r="Q61" s="190"/>
      <c r="R61" s="190"/>
      <c r="T61" s="25"/>
    </row>
    <row r="62" spans="2:20" s="26" customFormat="1">
      <c r="B62" s="25"/>
      <c r="C62" s="57"/>
      <c r="D62" s="57"/>
      <c r="O62" s="80"/>
      <c r="P62" s="80"/>
      <c r="Q62" s="80"/>
      <c r="T6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0" max="1048575" man="1"/>
  </colBreaks>
  <ignoredErrors>
    <ignoredError sqref="P30 P20"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tabSelected="1" view="pageBreakPreview" zoomScale="80" zoomScaleNormal="90" zoomScaleSheetLayoutView="80" workbookViewId="0">
      <selection activeCell="O30" sqref="O30"/>
    </sheetView>
  </sheetViews>
  <sheetFormatPr defaultColWidth="9.140625" defaultRowHeight="15" outlineLevelCol="1"/>
  <cols>
    <col min="1" max="2" width="5.42578125" style="25" customWidth="1"/>
    <col min="3" max="3" width="42.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4" style="26" customWidth="1"/>
    <col min="9" max="9" width="20.140625" style="26" customWidth="1"/>
    <col min="10" max="10" width="12.5703125" style="26" customWidth="1"/>
    <col min="11" max="12" width="15.140625" style="26" customWidth="1"/>
    <col min="13" max="16" width="17.5703125" style="26" customWidth="1"/>
    <col min="17" max="17" width="17.5703125" style="26" hidden="1" customWidth="1"/>
    <col min="18" max="18" width="17.5703125" style="80" customWidth="1"/>
    <col min="19" max="19" width="25.5703125" style="26" bestFit="1" customWidth="1"/>
    <col min="20" max="20" width="3" style="25" customWidth="1"/>
    <col min="21" max="16384" width="9.140625" style="25"/>
  </cols>
  <sheetData>
    <row r="1" spans="2:20" ht="21.75" customHeight="1" thickBot="1">
      <c r="C1" s="132"/>
      <c r="D1" s="132"/>
    </row>
    <row r="2" spans="2:20" ht="15.75" thickBot="1">
      <c r="C2" s="149" t="s">
        <v>166</v>
      </c>
      <c r="D2" s="150">
        <f>'D1'!D2</f>
        <v>45900</v>
      </c>
      <c r="F2" s="25"/>
      <c r="G2" s="25"/>
      <c r="H2" s="25"/>
      <c r="I2" s="25"/>
      <c r="J2" s="25"/>
      <c r="K2" s="25"/>
      <c r="L2" s="25"/>
      <c r="M2" s="25"/>
      <c r="N2" s="25"/>
      <c r="O2" s="25"/>
      <c r="P2" s="25"/>
      <c r="Q2" s="25"/>
      <c r="R2" s="25"/>
      <c r="S2" s="25"/>
    </row>
    <row r="3" spans="2:20" ht="21.75" customHeight="1" thickBot="1">
      <c r="C3" s="132" t="s">
        <v>606</v>
      </c>
      <c r="D3" s="132"/>
    </row>
    <row r="4" spans="2:20">
      <c r="B4" s="58"/>
      <c r="C4" s="59"/>
      <c r="D4" s="59"/>
      <c r="E4" s="60"/>
      <c r="F4" s="60"/>
      <c r="G4" s="60"/>
      <c r="H4" s="60"/>
      <c r="I4" s="60"/>
      <c r="J4" s="60"/>
      <c r="K4" s="60"/>
      <c r="L4" s="60"/>
      <c r="M4" s="60"/>
      <c r="N4" s="60"/>
      <c r="O4" s="60"/>
      <c r="P4" s="60"/>
      <c r="Q4" s="60"/>
      <c r="R4" s="133"/>
      <c r="S4" s="60"/>
      <c r="T4" s="62"/>
    </row>
    <row r="5" spans="2:20" s="178" customFormat="1">
      <c r="B5" s="194"/>
      <c r="C5" s="195"/>
      <c r="D5" s="195"/>
      <c r="E5" s="196">
        <v>2</v>
      </c>
      <c r="F5" s="196">
        <v>3</v>
      </c>
      <c r="G5" s="196">
        <v>4</v>
      </c>
      <c r="H5" s="196">
        <v>5</v>
      </c>
      <c r="I5" s="196">
        <v>6</v>
      </c>
      <c r="J5" s="196">
        <v>7</v>
      </c>
      <c r="K5" s="196">
        <v>8</v>
      </c>
      <c r="L5" s="196">
        <v>9</v>
      </c>
      <c r="M5" s="196">
        <v>10</v>
      </c>
      <c r="N5" s="196">
        <v>11</v>
      </c>
      <c r="O5" s="196">
        <v>12</v>
      </c>
      <c r="P5" s="196">
        <v>13</v>
      </c>
      <c r="Q5" s="196"/>
      <c r="R5" s="196">
        <v>14</v>
      </c>
      <c r="S5" s="196">
        <v>15</v>
      </c>
      <c r="T5" s="197"/>
    </row>
    <row r="6" spans="2:20" s="65" customFormat="1" ht="60" customHeight="1">
      <c r="B6" s="63"/>
      <c r="C6" s="3" t="s">
        <v>50</v>
      </c>
      <c r="D6" s="3" t="s">
        <v>149</v>
      </c>
      <c r="E6" s="1" t="s">
        <v>25</v>
      </c>
      <c r="F6" s="1" t="s">
        <v>60</v>
      </c>
      <c r="G6" s="1" t="s">
        <v>31</v>
      </c>
      <c r="H6" s="1" t="s">
        <v>134</v>
      </c>
      <c r="I6" s="1" t="s">
        <v>36</v>
      </c>
      <c r="J6" s="1" t="s">
        <v>52</v>
      </c>
      <c r="K6" s="1" t="s">
        <v>32</v>
      </c>
      <c r="L6" s="1" t="s">
        <v>2</v>
      </c>
      <c r="M6" s="1" t="s">
        <v>49</v>
      </c>
      <c r="N6" s="1" t="s">
        <v>33</v>
      </c>
      <c r="O6" s="1" t="s">
        <v>27</v>
      </c>
      <c r="P6" s="1" t="s">
        <v>167</v>
      </c>
      <c r="Q6" s="1" t="s">
        <v>346</v>
      </c>
      <c r="R6" s="1" t="s">
        <v>34</v>
      </c>
      <c r="S6" s="1" t="s">
        <v>383</v>
      </c>
      <c r="T6" s="64"/>
    </row>
    <row r="7" spans="2:20">
      <c r="B7" s="66"/>
      <c r="C7" s="5"/>
      <c r="D7" s="5"/>
      <c r="E7" s="8"/>
      <c r="F7" s="8"/>
      <c r="G7" s="8"/>
      <c r="H7" s="8"/>
      <c r="I7" s="8" t="s">
        <v>82</v>
      </c>
      <c r="J7" s="8" t="s">
        <v>52</v>
      </c>
      <c r="K7" s="8" t="s">
        <v>230</v>
      </c>
      <c r="L7" s="8" t="s">
        <v>230</v>
      </c>
      <c r="M7" s="8" t="s">
        <v>230</v>
      </c>
      <c r="N7" s="8" t="s">
        <v>230</v>
      </c>
      <c r="O7" s="8" t="s">
        <v>230</v>
      </c>
      <c r="P7" s="8" t="s">
        <v>230</v>
      </c>
      <c r="Q7" s="8"/>
      <c r="R7" s="12" t="s">
        <v>231</v>
      </c>
      <c r="S7" s="8"/>
      <c r="T7" s="67"/>
    </row>
    <row r="8" spans="2:20">
      <c r="B8" s="66"/>
      <c r="C8" s="422" t="s">
        <v>539</v>
      </c>
      <c r="D8" s="334"/>
      <c r="E8" s="335"/>
      <c r="F8" s="335"/>
      <c r="G8" s="335"/>
      <c r="H8" s="335"/>
      <c r="I8" s="336"/>
      <c r="J8" s="337"/>
      <c r="K8" s="338"/>
      <c r="L8" s="338"/>
      <c r="M8" s="338"/>
      <c r="N8" s="338"/>
      <c r="O8" s="338"/>
      <c r="P8" s="338"/>
      <c r="Q8" s="338"/>
      <c r="R8" s="339"/>
      <c r="S8" s="335"/>
      <c r="T8" s="67"/>
    </row>
    <row r="9" spans="2:20">
      <c r="B9" s="66"/>
      <c r="C9" s="407" t="s">
        <v>347</v>
      </c>
      <c r="D9" s="408" t="s">
        <v>248</v>
      </c>
      <c r="E9" s="409" t="str">
        <f>VLOOKUP($C9,'A. All deals (a)'!$C$6:$Q$58,E$5,0)</f>
        <v>Unrealized</v>
      </c>
      <c r="F9" s="409">
        <f>VLOOKUP($C9,'A. All deals (a)'!$C$6:$Q$58,F$5,0)</f>
        <v>0</v>
      </c>
      <c r="G9" s="409" t="str">
        <f>VLOOKUP($C9,'A. All deals (a)'!$C$6:$Q$58,G$5,0)</f>
        <v>Mozn</v>
      </c>
      <c r="H9" s="410">
        <f>VLOOKUP($C9,'A. All deals (a)'!$C$6:$Q$58,H$5,0)</f>
        <v>2023</v>
      </c>
      <c r="I9" s="410" t="str">
        <f>VLOOKUP($C9,'A. All deals (a)'!$C$6:$Q$58,I$5,0)</f>
        <v>Tokens</v>
      </c>
      <c r="J9" s="411">
        <f>VLOOKUP($C9,'A. All deals (a)'!$C$6:$Q$58,J$5,0)</f>
        <v>6.2500000000000003E-3</v>
      </c>
      <c r="K9" s="412">
        <f ca="1">VLOOKUP($C9,'A. All deals (a)'!$C$6:$Q$58,K$5,0)</f>
        <v>6.875E-3</v>
      </c>
      <c r="L9" s="412">
        <f ca="1">VLOOKUP($C9,'A. All deals (a)'!$C$6:$Q$58,L$5,0)</f>
        <v>6.875E-3</v>
      </c>
      <c r="M9" s="412">
        <f ca="1">VLOOKUP($C9,'A. All deals (a)'!$C$6:$Q$58,M$5,0)</f>
        <v>0</v>
      </c>
      <c r="N9" s="412">
        <f ca="1">VLOOKUP($C9,'A. All deals (a)'!$C$6:$Q$58,N$5,0)</f>
        <v>100</v>
      </c>
      <c r="O9" s="412">
        <f>VLOOKUP($C9,'A. All deals (a)'!$C$6:$Q$58,O$5,0)</f>
        <v>0</v>
      </c>
      <c r="P9" s="412">
        <f ca="1">VLOOKUP($C9,'A. All deals (a)'!$C$6:$Q$58,P$5,0)</f>
        <v>99.993125000000006</v>
      </c>
      <c r="Q9" s="412" t="s">
        <v>121</v>
      </c>
      <c r="R9" s="413" t="str">
        <f>VLOOKUP($C9,'A. All deals (a)'!$C$6:$Q$58,R$5,0)</f>
        <v>NM</v>
      </c>
      <c r="S9" s="409" t="s">
        <v>677</v>
      </c>
      <c r="T9" s="67"/>
    </row>
    <row r="10" spans="2:20">
      <c r="B10" s="66"/>
      <c r="C10" s="407" t="s">
        <v>69</v>
      </c>
      <c r="D10" s="408" t="s">
        <v>248</v>
      </c>
      <c r="E10" s="409" t="str">
        <f>VLOOKUP($C10,'A. All deals (a)'!$C$6:$Q$58,E$5,0)</f>
        <v>Realized</v>
      </c>
      <c r="F10" s="409">
        <f>VLOOKUP($C10,'A. All deals (a)'!$C$6:$Q$58,F$5,0)</f>
        <v>0</v>
      </c>
      <c r="G10" s="409" t="str">
        <f>VLOOKUP($C10,'A. All deals (a)'!$C$6:$Q$58,G$5,0)</f>
        <v>Mozn 2</v>
      </c>
      <c r="H10" s="410">
        <f>VLOOKUP($C10,'A. All deals (a)'!$C$6:$Q$58,H$5,0)</f>
        <v>2022</v>
      </c>
      <c r="I10" s="410" t="str">
        <f>VLOOKUP($C10,'A. All deals (a)'!$C$6:$Q$58,I$5,0)</f>
        <v>Equity-TBC</v>
      </c>
      <c r="J10" s="411">
        <f>VLOOKUP($C10,'A. All deals (a)'!$C$6:$Q$58,J$5,0)</f>
        <v>5.1000000000000004E-2</v>
      </c>
      <c r="K10" s="412">
        <f ca="1">VLOOKUP($C10,'A. All deals (a)'!$C$6:$Q$58,K$5,0)</f>
        <v>493.50095619999996</v>
      </c>
      <c r="L10" s="412">
        <f ca="1">VLOOKUP($C10,'A. All deals (a)'!$C$6:$Q$58,L$5,0)</f>
        <v>493.50095619999996</v>
      </c>
      <c r="M10" s="412">
        <f>VLOOKUP($C10,'A. All deals (a)'!$C$6:$Q$58,M$5,0)</f>
        <v>0</v>
      </c>
      <c r="N10" s="412">
        <f ca="1">VLOOKUP($C10,'A. All deals (a)'!$C$6:$Q$58,N$5,0)</f>
        <v>403</v>
      </c>
      <c r="O10" s="412">
        <f>VLOOKUP($C10,'A. All deals (a)'!$C$6:$Q$58,O$5,0)</f>
        <v>0</v>
      </c>
      <c r="P10" s="412">
        <f ca="1">VLOOKUP($C10,'A. All deals (a)'!$C$6:$Q$58,P$5,0)</f>
        <v>-90.500956199999962</v>
      </c>
      <c r="Q10" s="412">
        <v>-64.391000000000005</v>
      </c>
      <c r="R10" s="413">
        <f ca="1">VLOOKUP($C10,'A. All deals (a)'!$C$6:$Q$58,R$5,0)</f>
        <v>0.81661442584252486</v>
      </c>
      <c r="S10" s="409" t="s">
        <v>542</v>
      </c>
      <c r="T10" s="67"/>
    </row>
    <row r="11" spans="2:20">
      <c r="B11" s="66"/>
      <c r="C11" s="407" t="s">
        <v>208</v>
      </c>
      <c r="D11" s="408" t="s">
        <v>249</v>
      </c>
      <c r="E11" s="409" t="str">
        <f>VLOOKUP($C11,'A. All deals (a)'!$C$6:$Q$58,E$5,0)</f>
        <v>Written-off</v>
      </c>
      <c r="F11" s="409">
        <f>VLOOKUP($C11,'A. All deals (a)'!$C$6:$Q$58,F$5,0)</f>
        <v>0</v>
      </c>
      <c r="G11" s="409" t="str">
        <f>VLOOKUP($C11,'A. All deals (a)'!$C$6:$Q$58,G$5,0)</f>
        <v>Mozn</v>
      </c>
      <c r="H11" s="410">
        <f>VLOOKUP($C11,'A. All deals (a)'!$C$6:$Q$58,H$5,0)</f>
        <v>2021</v>
      </c>
      <c r="I11" s="410" t="str">
        <f>VLOOKUP($C11,'A. All deals (a)'!$C$6:$Q$58,I$5,0)</f>
        <v xml:space="preserve">Loan </v>
      </c>
      <c r="J11" s="411" t="str">
        <f>VLOOKUP($C11,'A. All deals (a)'!$C$6:$Q$58,J$5,0)</f>
        <v>n/a</v>
      </c>
      <c r="K11" s="412">
        <f>VLOOKUP($C11,'A. All deals (a)'!$C$6:$Q$58,K$5,0)</f>
        <v>2.3539819999999998</v>
      </c>
      <c r="L11" s="412">
        <f>VLOOKUP($C11,'A. All deals (a)'!$C$6:$Q$58,L$5,0)</f>
        <v>2.3539819999999998</v>
      </c>
      <c r="M11" s="412">
        <f>VLOOKUP($C11,'A. All deals (a)'!$C$6:$Q$58,M$5,0)</f>
        <v>0</v>
      </c>
      <c r="N11" s="412">
        <f>VLOOKUP($C11,'A. All deals (a)'!$C$6:$Q$58,N$5,0)</f>
        <v>0</v>
      </c>
      <c r="O11" s="412">
        <f>VLOOKUP($C11,'A. All deals (a)'!$C$6:$Q$58,O$5,0)</f>
        <v>0</v>
      </c>
      <c r="P11" s="412">
        <f>VLOOKUP($C11,'A. All deals (a)'!$C$6:$Q$58,P$5,0)</f>
        <v>-2.3539819999999998</v>
      </c>
      <c r="Q11" s="412">
        <v>0</v>
      </c>
      <c r="R11" s="413">
        <f>VLOOKUP($C11,'A. All deals (a)'!$C$6:$Q$58,R$5,0)</f>
        <v>0</v>
      </c>
      <c r="S11" s="409" t="s">
        <v>379</v>
      </c>
      <c r="T11" s="67"/>
    </row>
    <row r="12" spans="2:20">
      <c r="B12" s="66"/>
      <c r="C12" s="407" t="s">
        <v>200</v>
      </c>
      <c r="D12" s="408" t="s">
        <v>249</v>
      </c>
      <c r="E12" s="409" t="str">
        <f>VLOOKUP($C12,'A. All deals (a)'!$C$6:$Q$58,E$5,0)</f>
        <v>Realized</v>
      </c>
      <c r="F12" s="409">
        <f>VLOOKUP($C12,'A. All deals (a)'!$C$6:$Q$58,F$5,0)</f>
        <v>0</v>
      </c>
      <c r="G12" s="409" t="str">
        <f>VLOOKUP($C12,'A. All deals (a)'!$C$6:$Q$58,G$5,0)</f>
        <v>Mozn</v>
      </c>
      <c r="H12" s="410">
        <f>VLOOKUP($C12,'A. All deals (a)'!$C$6:$Q$58,H$5,0)</f>
        <v>2021</v>
      </c>
      <c r="I12" s="410" t="str">
        <f>VLOOKUP($C12,'A. All deals (a)'!$C$6:$Q$58,I$5,0)</f>
        <v xml:space="preserve">Loan </v>
      </c>
      <c r="J12" s="411" t="str">
        <f>VLOOKUP($C12,'A. All deals (a)'!$C$6:$Q$58,J$5,0)</f>
        <v>n/a</v>
      </c>
      <c r="K12" s="412">
        <f>VLOOKUP($C12,'A. All deals (a)'!$C$6:$Q$58,K$5,0)</f>
        <v>0.41176499999999999</v>
      </c>
      <c r="L12" s="412">
        <f>VLOOKUP($C12,'A. All deals (a)'!$C$6:$Q$58,L$5,0)</f>
        <v>0.41176499999999999</v>
      </c>
      <c r="M12" s="412">
        <f>VLOOKUP($C12,'A. All deals (a)'!$C$6:$Q$58,M$5,0)</f>
        <v>0</v>
      </c>
      <c r="N12" s="412">
        <f>VLOOKUP($C12,'A. All deals (a)'!$C$6:$Q$58,N$5,0)</f>
        <v>0.47078465000000003</v>
      </c>
      <c r="O12" s="412">
        <f>VLOOKUP($C12,'A. All deals (a)'!$C$6:$Q$58,O$5,0)</f>
        <v>0</v>
      </c>
      <c r="P12" s="412">
        <f>VLOOKUP($C12,'A. All deals (a)'!$C$6:$Q$58,P$5,0)</f>
        <v>5.9019650000000035E-2</v>
      </c>
      <c r="Q12" s="412">
        <v>5.9019650000000035E-2</v>
      </c>
      <c r="R12" s="413">
        <f>VLOOKUP($C12,'A. All deals (a)'!$C$6:$Q$58,R$5,0)</f>
        <v>1.1433333333333333</v>
      </c>
      <c r="S12" s="409" t="s">
        <v>542</v>
      </c>
      <c r="T12" s="67"/>
    </row>
    <row r="13" spans="2:20">
      <c r="B13" s="66"/>
      <c r="C13" s="407" t="s">
        <v>18</v>
      </c>
      <c r="D13" s="408" t="s">
        <v>248</v>
      </c>
      <c r="E13" s="409" t="str">
        <f>VLOOKUP($C13,'A. All deals (a)'!$C$6:$Q$58,E$5,0)</f>
        <v>Realized</v>
      </c>
      <c r="F13" s="409">
        <f>VLOOKUP($C13,'A. All deals (a)'!$C$6:$Q$58,F$5,0)</f>
        <v>0</v>
      </c>
      <c r="G13" s="409" t="str">
        <f>VLOOKUP($C13,'A. All deals (a)'!$C$6:$Q$58,G$5,0)</f>
        <v>Mozn 1</v>
      </c>
      <c r="H13" s="410">
        <f>VLOOKUP($C13,'A. All deals (a)'!$C$6:$Q$58,H$5,0)</f>
        <v>2021</v>
      </c>
      <c r="I13" s="410" t="str">
        <f>VLOOKUP($C13,'A. All deals (a)'!$C$6:$Q$58,I$5,0)</f>
        <v>A (Ordinary Shares)</v>
      </c>
      <c r="J13" s="411">
        <f>VLOOKUP($C13,'A. All deals (a)'!$C$6:$Q$58,J$5,0)</f>
        <v>0.03</v>
      </c>
      <c r="K13" s="412">
        <f ca="1">VLOOKUP($C13,'A. All deals (a)'!$C$6:$Q$58,K$5,0)</f>
        <v>20</v>
      </c>
      <c r="L13" s="412">
        <f ca="1">VLOOKUP($C13,'A. All deals (a)'!$C$6:$Q$58,L$5,0)</f>
        <v>20</v>
      </c>
      <c r="M13" s="412">
        <f>VLOOKUP($C13,'A. All deals (a)'!$C$6:$Q$58,M$5,0)</f>
        <v>0</v>
      </c>
      <c r="N13" s="412">
        <f ca="1">VLOOKUP($C13,'A. All deals (a)'!$C$6:$Q$58,N$5,0)</f>
        <v>24.5</v>
      </c>
      <c r="O13" s="412">
        <f>VLOOKUP($C13,'A. All deals (a)'!$C$6:$Q$58,O$5,0)</f>
        <v>0</v>
      </c>
      <c r="P13" s="412">
        <f ca="1">VLOOKUP($C13,'A. All deals (a)'!$C$6:$Q$58,P$5,0)</f>
        <v>4.5</v>
      </c>
      <c r="Q13" s="412">
        <v>0</v>
      </c>
      <c r="R13" s="413">
        <f ca="1">VLOOKUP($C13,'A. All deals (a)'!$C$6:$Q$58,R$5,0)</f>
        <v>1.2250000000000001</v>
      </c>
      <c r="S13" s="409" t="s">
        <v>542</v>
      </c>
      <c r="T13" s="67"/>
    </row>
    <row r="14" spans="2:20">
      <c r="B14" s="66"/>
      <c r="C14" s="407" t="s">
        <v>42</v>
      </c>
      <c r="D14" s="408" t="s">
        <v>248</v>
      </c>
      <c r="E14" s="409" t="str">
        <f>VLOOKUP($C14,'A. All deals (a)'!$C$6:$Q$58,E$5,0)</f>
        <v>Realized</v>
      </c>
      <c r="F14" s="409">
        <f>VLOOKUP($C14,'A. All deals (a)'!$C$6:$Q$58,F$5,0)</f>
        <v>0</v>
      </c>
      <c r="G14" s="409" t="str">
        <f>VLOOKUP($C14,'A. All deals (a)'!$C$6:$Q$58,G$5,0)</f>
        <v>Mozn</v>
      </c>
      <c r="H14" s="410">
        <f>VLOOKUP($C14,'A. All deals (a)'!$C$6:$Q$58,H$5,0)</f>
        <v>2021</v>
      </c>
      <c r="I14" s="410" t="str">
        <f>VLOOKUP($C14,'A. All deals (a)'!$C$6:$Q$58,I$5,0)</f>
        <v xml:space="preserve">B Prefs </v>
      </c>
      <c r="J14" s="411">
        <f>VLOOKUP($C14,'A. All deals (a)'!$C$6:$Q$58,J$5,0)</f>
        <v>1.1489405791845828E-2</v>
      </c>
      <c r="K14" s="412">
        <f ca="1">VLOOKUP($C14,'A. All deals (a)'!$C$6:$Q$58,K$5,0)</f>
        <v>5.0237201984774336</v>
      </c>
      <c r="L14" s="412">
        <f ca="1">VLOOKUP($C14,'A. All deals (a)'!$C$6:$Q$58,L$5,0)</f>
        <v>5.0237201984774336</v>
      </c>
      <c r="M14" s="412">
        <f>VLOOKUP($C14,'A. All deals (a)'!$C$6:$Q$58,M$5,0)</f>
        <v>0</v>
      </c>
      <c r="N14" s="412">
        <f ca="1">VLOOKUP($C14,'A. All deals (a)'!$C$6:$Q$58,N$5,0)</f>
        <v>7.9421925299999989</v>
      </c>
      <c r="O14" s="412">
        <f>VLOOKUP($C14,'A. All deals (a)'!$C$6:$Q$58,O$5,0)</f>
        <v>0</v>
      </c>
      <c r="P14" s="412">
        <f ca="1">VLOOKUP($C14,'A. All deals (a)'!$C$6:$Q$58,P$5,0)</f>
        <v>2.9184723315225654</v>
      </c>
      <c r="Q14" s="412">
        <v>1.6721788054421767</v>
      </c>
      <c r="R14" s="413">
        <f ca="1">VLOOKUP($C14,'A. All deals (a)'!$C$6:$Q$58,R$5,0)</f>
        <v>1.5809384711368046</v>
      </c>
      <c r="S14" s="409" t="s">
        <v>542</v>
      </c>
      <c r="T14" s="67"/>
    </row>
    <row r="15" spans="2:20">
      <c r="B15" s="66"/>
      <c r="C15" s="407" t="s">
        <v>39</v>
      </c>
      <c r="D15" s="408" t="s">
        <v>248</v>
      </c>
      <c r="E15" s="409" t="str">
        <f>VLOOKUP($C15,'A. All deals (a)'!$C$6:$Q$58,E$5,0)</f>
        <v>Realized</v>
      </c>
      <c r="F15" s="409">
        <f>VLOOKUP($C15,'A. All deals (a)'!$C$6:$Q$58,F$5,0)</f>
        <v>0</v>
      </c>
      <c r="G15" s="409" t="str">
        <f>VLOOKUP($C15,'A. All deals (a)'!$C$6:$Q$58,G$5,0)</f>
        <v>Mozn</v>
      </c>
      <c r="H15" s="410">
        <f>VLOOKUP($C15,'A. All deals (a)'!$C$6:$Q$58,H$5,0)</f>
        <v>2020</v>
      </c>
      <c r="I15" s="410" t="str">
        <f>VLOOKUP($C15,'A. All deals (a)'!$C$6:$Q$58,I$5,0)</f>
        <v>Convertible Note</v>
      </c>
      <c r="J15" s="411" t="str">
        <f>VLOOKUP($C15,'A. All deals (a)'!$C$6:$Q$58,J$5,0)</f>
        <v>n/a</v>
      </c>
      <c r="K15" s="412">
        <f ca="1">VLOOKUP($C15,'A. All deals (a)'!$C$6:$Q$58,K$5,0)</f>
        <v>2.5</v>
      </c>
      <c r="L15" s="412">
        <f ca="1">VLOOKUP($C15,'A. All deals (a)'!$C$6:$Q$58,L$5,0)</f>
        <v>2.5</v>
      </c>
      <c r="M15" s="412">
        <f>VLOOKUP($C15,'A. All deals (a)'!$C$6:$Q$58,M$5,0)</f>
        <v>0</v>
      </c>
      <c r="N15" s="412">
        <f ca="1">VLOOKUP($C15,'A. All deals (a)'!$C$6:$Q$58,N$5,0)</f>
        <v>5</v>
      </c>
      <c r="O15" s="412">
        <f>VLOOKUP($C15,'A. All deals (a)'!$C$6:$Q$58,O$5,0)</f>
        <v>0</v>
      </c>
      <c r="P15" s="412">
        <f ca="1">VLOOKUP($C15,'A. All deals (a)'!$C$6:$Q$58,P$5,0)</f>
        <v>2.5</v>
      </c>
      <c r="Q15" s="412">
        <v>2.5</v>
      </c>
      <c r="R15" s="413">
        <f ca="1">VLOOKUP($C15,'A. All deals (a)'!$C$6:$Q$58,R$5,0)</f>
        <v>2</v>
      </c>
      <c r="S15" s="409" t="s">
        <v>542</v>
      </c>
      <c r="T15" s="67"/>
    </row>
    <row r="16" spans="2:20">
      <c r="B16" s="66"/>
      <c r="C16" s="407" t="s">
        <v>0</v>
      </c>
      <c r="D16" s="408" t="s">
        <v>248</v>
      </c>
      <c r="E16" s="409" t="str">
        <f>VLOOKUP($C16,'A. All deals (a)'!$C$6:$Q$58,E$5,0)</f>
        <v>Written-off</v>
      </c>
      <c r="F16" s="409">
        <f>VLOOKUP($C16,'A. All deals (a)'!$C$6:$Q$58,F$5,0)</f>
        <v>0</v>
      </c>
      <c r="G16" s="409" t="str">
        <f>VLOOKUP($C16,'A. All deals (a)'!$C$6:$Q$58,G$5,0)</f>
        <v>Mozn</v>
      </c>
      <c r="H16" s="410">
        <f>VLOOKUP($C16,'A. All deals (a)'!$C$6:$Q$58,H$5,0)</f>
        <v>2019</v>
      </c>
      <c r="I16" s="410" t="str">
        <f>VLOOKUP($C16,'A. All deals (a)'!$C$6:$Q$58,I$5,0)</f>
        <v>B Prefs</v>
      </c>
      <c r="J16" s="411">
        <f>VLOOKUP($C16,'A. All deals (a)'!$C$6:$Q$58,J$5,0)</f>
        <v>0.14000000235296001</v>
      </c>
      <c r="K16" s="412">
        <f ca="1">VLOOKUP($C16,'A. All deals (a)'!$C$6:$Q$58,K$5,0)</f>
        <v>8</v>
      </c>
      <c r="L16" s="412">
        <f ca="1">VLOOKUP($C16,'A. All deals (a)'!$C$6:$Q$58,L$5,0)</f>
        <v>8</v>
      </c>
      <c r="M16" s="412">
        <f>VLOOKUP($C16,'A. All deals (a)'!$C$6:$Q$58,M$5,0)</f>
        <v>0</v>
      </c>
      <c r="N16" s="412">
        <f ca="1">VLOOKUP($C16,'A. All deals (a)'!$C$6:$Q$58,N$5,0)</f>
        <v>0</v>
      </c>
      <c r="O16" s="412">
        <f>VLOOKUP($C16,'A. All deals (a)'!$C$6:$Q$58,O$5,0)</f>
        <v>0</v>
      </c>
      <c r="P16" s="412">
        <f ca="1">VLOOKUP($C16,'A. All deals (a)'!$C$6:$Q$58,P$5,0)</f>
        <v>-8</v>
      </c>
      <c r="Q16" s="412">
        <v>-8</v>
      </c>
      <c r="R16" s="413">
        <f ca="1">VLOOKUP($C16,'A. All deals (a)'!$C$6:$Q$58,R$5,0)</f>
        <v>0</v>
      </c>
      <c r="S16" s="409" t="s">
        <v>379</v>
      </c>
      <c r="T16" s="67"/>
    </row>
    <row r="17" spans="2:20">
      <c r="B17" s="66"/>
      <c r="C17" s="407" t="s">
        <v>47</v>
      </c>
      <c r="D17" s="408" t="s">
        <v>249</v>
      </c>
      <c r="E17" s="409" t="str">
        <f>VLOOKUP($C17,'A. All deals (a)'!$C$6:$Q$58,E$5,0)</f>
        <v>Written-off</v>
      </c>
      <c r="F17" s="409">
        <f>VLOOKUP($C17,'A. All deals (a)'!$C$6:$Q$58,F$5,0)</f>
        <v>0</v>
      </c>
      <c r="G17" s="409" t="str">
        <f>VLOOKUP($C17,'A. All deals (a)'!$C$6:$Q$58,G$5,0)</f>
        <v>Mozn</v>
      </c>
      <c r="H17" s="410">
        <f>VLOOKUP($C17,'A. All deals (a)'!$C$6:$Q$58,H$5,0)</f>
        <v>2019</v>
      </c>
      <c r="I17" s="410" t="str">
        <f>VLOOKUP($C17,'A. All deals (a)'!$C$6:$Q$58,I$5,0)</f>
        <v>Promissory Note</v>
      </c>
      <c r="J17" s="411" t="str">
        <f>VLOOKUP($C17,'A. All deals (a)'!$C$6:$Q$58,J$5,0)</f>
        <v>n/a</v>
      </c>
      <c r="K17" s="412">
        <f>VLOOKUP($C17,'A. All deals (a)'!$C$6:$Q$58,K$5,0)</f>
        <v>8</v>
      </c>
      <c r="L17" s="412">
        <f>VLOOKUP($C17,'A. All deals (a)'!$C$6:$Q$58,L$5,0)</f>
        <v>8</v>
      </c>
      <c r="M17" s="412">
        <f>VLOOKUP($C17,'A. All deals (a)'!$C$6:$Q$58,M$5,0)</f>
        <v>0</v>
      </c>
      <c r="N17" s="412">
        <f>VLOOKUP($C17,'A. All deals (a)'!$C$6:$Q$58,N$5,0)</f>
        <v>0</v>
      </c>
      <c r="O17" s="412">
        <f>VLOOKUP($C17,'A. All deals (a)'!$C$6:$Q$58,O$5,0)</f>
        <v>0</v>
      </c>
      <c r="P17" s="412">
        <f>VLOOKUP($C17,'A. All deals (a)'!$C$6:$Q$58,P$5,0)</f>
        <v>-8</v>
      </c>
      <c r="Q17" s="412">
        <v>-8</v>
      </c>
      <c r="R17" s="413">
        <f>VLOOKUP($C17,'A. All deals (a)'!$C$6:$Q$58,R$5,0)</f>
        <v>0</v>
      </c>
      <c r="S17" s="409" t="str">
        <f>VLOOKUP($C17,'A. All deals (a)'!$C$6:$Q$58,S$5,0)</f>
        <v>In Default</v>
      </c>
      <c r="T17" s="67"/>
    </row>
    <row r="18" spans="2:20">
      <c r="B18" s="66"/>
      <c r="C18" s="407" t="s">
        <v>46</v>
      </c>
      <c r="D18" s="408" t="s">
        <v>248</v>
      </c>
      <c r="E18" s="409" t="str">
        <f>VLOOKUP($C18,'A. All deals (a)'!$C$6:$Q$58,E$5,0)</f>
        <v>Written-off</v>
      </c>
      <c r="F18" s="409">
        <f>VLOOKUP($C18,'A. All deals (a)'!$C$6:$Q$58,F$5,0)</f>
        <v>0</v>
      </c>
      <c r="G18" s="409" t="str">
        <f>VLOOKUP($C18,'A. All deals (a)'!$C$6:$Q$58,G$5,0)</f>
        <v>Mozn</v>
      </c>
      <c r="H18" s="410">
        <f>VLOOKUP($C18,'A. All deals (a)'!$C$6:$Q$58,H$5,0)</f>
        <v>2019</v>
      </c>
      <c r="I18" s="410" t="str">
        <f>VLOOKUP($C18,'A. All deals (a)'!$C$6:$Q$58,I$5,0)</f>
        <v>C+ Prefs</v>
      </c>
      <c r="J18" s="411">
        <f>VLOOKUP($C18,'A. All deals (a)'!$C$6:$Q$58,J$5,0)</f>
        <v>5.6999998161926343E-2</v>
      </c>
      <c r="K18" s="412">
        <f ca="1">VLOOKUP($C18,'A. All deals (a)'!$C$6:$Q$58,K$5,0)</f>
        <v>65</v>
      </c>
      <c r="L18" s="412">
        <f ca="1">VLOOKUP($C18,'A. All deals (a)'!$C$6:$Q$58,L$5,0)</f>
        <v>65</v>
      </c>
      <c r="M18" s="412">
        <f>VLOOKUP($C18,'A. All deals (a)'!$C$6:$Q$58,M$5,0)</f>
        <v>0</v>
      </c>
      <c r="N18" s="412">
        <f ca="1">VLOOKUP($C18,'A. All deals (a)'!$C$6:$Q$58,N$5,0)</f>
        <v>0</v>
      </c>
      <c r="O18" s="412">
        <f>VLOOKUP($C18,'A. All deals (a)'!$C$6:$Q$58,O$5,0)</f>
        <v>0</v>
      </c>
      <c r="P18" s="412">
        <f ca="1">VLOOKUP($C18,'A. All deals (a)'!$C$6:$Q$58,P$5,0)</f>
        <v>-65</v>
      </c>
      <c r="Q18" s="412">
        <v>-65</v>
      </c>
      <c r="R18" s="413">
        <f ca="1">VLOOKUP($C18,'A. All deals (a)'!$C$6:$Q$58,R$5,0)</f>
        <v>0</v>
      </c>
      <c r="S18" s="409" t="str">
        <f>VLOOKUP($C18,'A. All deals (a)'!$C$6:$Q$58,S$5,0)</f>
        <v>In Liquidation</v>
      </c>
      <c r="T18" s="67"/>
    </row>
    <row r="19" spans="2:20">
      <c r="B19" s="66"/>
      <c r="C19" s="5"/>
      <c r="D19" s="13"/>
      <c r="E19" s="7"/>
      <c r="F19" s="7"/>
      <c r="G19" s="7"/>
      <c r="H19" s="7"/>
      <c r="I19" s="14"/>
      <c r="J19" s="170"/>
      <c r="K19" s="24"/>
      <c r="L19" s="24"/>
      <c r="M19" s="24"/>
      <c r="N19" s="24"/>
      <c r="O19" s="24"/>
      <c r="P19" s="24"/>
      <c r="Q19" s="24"/>
      <c r="R19" s="15"/>
      <c r="S19" s="180"/>
      <c r="T19" s="67"/>
    </row>
    <row r="20" spans="2:20">
      <c r="B20" s="66"/>
      <c r="C20" s="9"/>
      <c r="D20" s="9"/>
      <c r="E20" s="9"/>
      <c r="F20" s="9"/>
      <c r="G20" s="9"/>
      <c r="H20" s="9"/>
      <c r="I20" s="9"/>
      <c r="J20" s="93"/>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67"/>
    </row>
    <row r="21" spans="2:20">
      <c r="B21" s="66"/>
      <c r="C21" s="145"/>
      <c r="D21" s="145"/>
      <c r="E21" s="145"/>
      <c r="F21" s="145"/>
      <c r="G21" s="145"/>
      <c r="H21" s="145"/>
      <c r="I21" s="145"/>
      <c r="J21" s="92"/>
      <c r="K21" s="146"/>
      <c r="L21" s="146"/>
      <c r="M21" s="146"/>
      <c r="N21" s="146"/>
      <c r="O21" s="146"/>
      <c r="P21" s="146"/>
      <c r="Q21" s="146"/>
      <c r="R21" s="147"/>
      <c r="S21" s="145"/>
      <c r="T21" s="67"/>
    </row>
    <row r="22" spans="2:20">
      <c r="B22" s="66"/>
      <c r="C22" s="422" t="s">
        <v>540</v>
      </c>
      <c r="D22" s="334"/>
      <c r="E22" s="335"/>
      <c r="F22" s="335"/>
      <c r="G22" s="335"/>
      <c r="H22" s="335"/>
      <c r="I22" s="336"/>
      <c r="J22" s="337"/>
      <c r="K22" s="338"/>
      <c r="L22" s="338"/>
      <c r="M22" s="338"/>
      <c r="N22" s="338"/>
      <c r="O22" s="338"/>
      <c r="P22" s="338"/>
      <c r="Q22" s="338"/>
      <c r="R22" s="339"/>
      <c r="S22" s="335"/>
      <c r="T22" s="67"/>
    </row>
    <row r="23" spans="2:20">
      <c r="B23" s="66"/>
      <c r="C23" s="407" t="s">
        <v>35</v>
      </c>
      <c r="D23" s="408" t="s">
        <v>248</v>
      </c>
      <c r="E23" s="409" t="str">
        <f>VLOOKUP($C23,'A. All deals (a)'!$C$6:$Q$58,E$5,0)</f>
        <v>Realized</v>
      </c>
      <c r="F23" s="409">
        <f>VLOOKUP($C23,'A. All deals (a)'!$C$6:$Q$58,F$5,0)</f>
        <v>0</v>
      </c>
      <c r="G23" s="409" t="str">
        <f>VLOOKUP($C23,'A. All deals (a)'!$C$6:$Q$58,G$5,0)</f>
        <v>G42 3</v>
      </c>
      <c r="H23" s="410">
        <f>VLOOKUP($C23,'A. All deals (a)'!$C$6:$Q$58,H$5,0)</f>
        <v>2022</v>
      </c>
      <c r="I23" s="410" t="str">
        <f>VLOOKUP($C23,'A. All deals (a)'!$C$6:$Q$58,I$5,0)</f>
        <v>Equity-TBC</v>
      </c>
      <c r="J23" s="411">
        <f>VLOOKUP($C23,'A. All deals (a)'!$C$6:$Q$58,J$5,0)</f>
        <v>1.8823528000000003E-2</v>
      </c>
      <c r="K23" s="412">
        <f ca="1">VLOOKUP($C23,'A. All deals (a)'!$C$6:$Q$58,K$5,0)</f>
        <v>800</v>
      </c>
      <c r="L23" s="412">
        <f ca="1">VLOOKUP($C23,'A. All deals (a)'!$C$6:$Q$58,L$5,0)</f>
        <v>800</v>
      </c>
      <c r="M23" s="412">
        <f ca="1">VLOOKUP($C23,'A. All deals (a)'!$C$6:$Q$58,M$5,0)</f>
        <v>0</v>
      </c>
      <c r="N23" s="412">
        <f ca="1">VLOOKUP($C23,'A. All deals (a)'!$C$6:$Q$58,N$5,0)</f>
        <v>802.8</v>
      </c>
      <c r="O23" s="412">
        <f>VLOOKUP($C23,'A. All deals (a)'!$C$6:$Q$58,O$5,0)</f>
        <v>0</v>
      </c>
      <c r="P23" s="412">
        <f ca="1">VLOOKUP($C23,'A. All deals (a)'!$C$6:$Q$58,P$5,0)</f>
        <v>2.7999999999999545</v>
      </c>
      <c r="Q23" s="412">
        <v>54.67</v>
      </c>
      <c r="R23" s="413">
        <f ca="1">VLOOKUP($C23,'A. All deals (a)'!$C$6:$Q$58,R$5,0)</f>
        <v>1.0034999999999998</v>
      </c>
      <c r="S23" s="414"/>
      <c r="T23" s="67"/>
    </row>
    <row r="24" spans="2:20">
      <c r="B24" s="66"/>
      <c r="C24" s="407" t="s">
        <v>12</v>
      </c>
      <c r="D24" s="408" t="s">
        <v>250</v>
      </c>
      <c r="E24" s="409" t="str">
        <f>VLOOKUP($C24,'A. All deals (a)'!$C$6:$Q$58,E$5,0)</f>
        <v>Realized</v>
      </c>
      <c r="F24" s="409">
        <f>VLOOKUP($C24,'A. All deals (a)'!$C$6:$Q$58,F$5,0)</f>
        <v>0</v>
      </c>
      <c r="G24" s="409" t="str">
        <f>VLOOKUP($C24,'A. All deals (a)'!$C$6:$Q$58,G$5,0)</f>
        <v>G42 Investments</v>
      </c>
      <c r="H24" s="410">
        <f>VLOOKUP($C24,'A. All deals (a)'!$C$6:$Q$58,H$5,0)</f>
        <v>2020</v>
      </c>
      <c r="I24" s="410" t="str">
        <f>VLOOKUP($C24,'A. All deals (a)'!$C$6:$Q$58,I$5,0)</f>
        <v xml:space="preserve">LP </v>
      </c>
      <c r="J24" s="411" t="str">
        <f>VLOOKUP($C24,'A. All deals (a)'!$C$6:$Q$58,J$5,0)</f>
        <v>n/a</v>
      </c>
      <c r="K24" s="412">
        <f>VLOOKUP($C24,'A. All deals (a)'!$C$6:$Q$58,K$5,0)</f>
        <v>50</v>
      </c>
      <c r="L24" s="412">
        <f ca="1">VLOOKUP($C24,'A. All deals (a)'!$C$6:$Q$58,L$5,0)</f>
        <v>24.959693000000001</v>
      </c>
      <c r="M24" s="412">
        <f>VLOOKUP($C24,'A. All deals (a)'!$C$6:$Q$58,M$5,0)</f>
        <v>0</v>
      </c>
      <c r="N24" s="412">
        <f>VLOOKUP($C24,'A. All deals (a)'!$C$6:$Q$58,N$5,0)</f>
        <v>25.403521350000002</v>
      </c>
      <c r="O24" s="412">
        <f>VLOOKUP($C24,'A. All deals (a)'!$C$6:$Q$58,O$5,0)</f>
        <v>0</v>
      </c>
      <c r="P24" s="412">
        <f ca="1">VLOOKUP($C24,'A. All deals (a)'!$C$6:$Q$58,P$5,0)</f>
        <v>0.44382835000000043</v>
      </c>
      <c r="Q24" s="412">
        <v>-1.2649999999999999</v>
      </c>
      <c r="R24" s="413">
        <f ca="1">VLOOKUP($C24,'A. All deals (a)'!$C$6:$Q$58,R$5,0)</f>
        <v>1.0177818032457371</v>
      </c>
      <c r="S24" s="415"/>
      <c r="T24" s="67"/>
    </row>
    <row r="25" spans="2:20">
      <c r="B25" s="66"/>
      <c r="C25" s="4"/>
      <c r="D25" s="32"/>
      <c r="E25" s="2"/>
      <c r="F25" s="2"/>
      <c r="G25" s="2"/>
      <c r="H25" s="2"/>
      <c r="I25" s="6"/>
      <c r="J25" s="90"/>
      <c r="K25" s="17"/>
      <c r="L25" s="17"/>
      <c r="M25" s="17"/>
      <c r="N25" s="17"/>
      <c r="O25" s="17"/>
      <c r="P25" s="17"/>
      <c r="Q25" s="17"/>
      <c r="R25" s="10"/>
      <c r="S25" s="87"/>
      <c r="T25" s="67"/>
    </row>
    <row r="26" spans="2:20" s="70" customFormat="1">
      <c r="B26" s="68"/>
      <c r="C26" s="9"/>
      <c r="D26" s="9"/>
      <c r="E26" s="9"/>
      <c r="F26" s="9"/>
      <c r="G26" s="9"/>
      <c r="H26" s="9"/>
      <c r="I26" s="9"/>
      <c r="J26" s="93"/>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69"/>
    </row>
    <row r="27" spans="2:20" s="70" customFormat="1">
      <c r="B27" s="68"/>
      <c r="C27" s="145"/>
      <c r="D27" s="145"/>
      <c r="E27" s="145"/>
      <c r="F27" s="145"/>
      <c r="G27" s="145"/>
      <c r="H27" s="145"/>
      <c r="I27" s="145"/>
      <c r="J27" s="92"/>
      <c r="K27" s="146"/>
      <c r="L27" s="146"/>
      <c r="M27" s="146"/>
      <c r="N27" s="146"/>
      <c r="O27" s="146"/>
      <c r="P27" s="146"/>
      <c r="Q27" s="146"/>
      <c r="R27" s="147"/>
      <c r="S27" s="145"/>
      <c r="T27" s="69"/>
    </row>
    <row r="28" spans="2:20" s="70" customFormat="1">
      <c r="B28" s="68"/>
      <c r="C28" s="422" t="s">
        <v>543</v>
      </c>
      <c r="D28" s="334"/>
      <c r="E28" s="335"/>
      <c r="F28" s="335"/>
      <c r="G28" s="335"/>
      <c r="H28" s="335"/>
      <c r="I28" s="336"/>
      <c r="J28" s="337"/>
      <c r="K28" s="338"/>
      <c r="L28" s="338"/>
      <c r="M28" s="338"/>
      <c r="N28" s="338"/>
      <c r="O28" s="338"/>
      <c r="P28" s="338"/>
      <c r="Q28" s="338"/>
      <c r="R28" s="339"/>
      <c r="S28" s="335"/>
      <c r="T28" s="69"/>
    </row>
    <row r="29" spans="2:20">
      <c r="B29" s="66"/>
      <c r="C29" s="5"/>
      <c r="D29" s="13"/>
      <c r="E29" s="7"/>
      <c r="F29" s="7"/>
      <c r="G29" s="7"/>
      <c r="H29" s="7"/>
      <c r="I29" s="14"/>
      <c r="J29" s="170"/>
      <c r="K29" s="24"/>
      <c r="L29" s="24"/>
      <c r="M29" s="24"/>
      <c r="N29" s="24"/>
      <c r="O29" s="24"/>
      <c r="P29" s="24"/>
      <c r="Q29" s="24"/>
      <c r="R29" s="15"/>
      <c r="S29" s="180"/>
      <c r="T29" s="67"/>
    </row>
    <row r="30" spans="2:20" s="70" customFormat="1">
      <c r="B30" s="68"/>
      <c r="C30" s="9"/>
      <c r="D30" s="9"/>
      <c r="E30" s="9"/>
      <c r="F30" s="9"/>
      <c r="G30" s="9"/>
      <c r="H30" s="9"/>
      <c r="I30" s="9"/>
      <c r="J30" s="93"/>
      <c r="K30" s="18"/>
      <c r="L30" s="18"/>
      <c r="M30" s="18"/>
      <c r="N30" s="18"/>
      <c r="O30" s="18"/>
      <c r="P30" s="18"/>
      <c r="Q30" s="18"/>
      <c r="R30" s="11"/>
      <c r="S30" s="9"/>
      <c r="T30" s="69"/>
    </row>
    <row r="31" spans="2:20" s="70" customFormat="1">
      <c r="B31" s="68"/>
      <c r="C31" s="145"/>
      <c r="D31" s="145"/>
      <c r="E31" s="145"/>
      <c r="F31" s="145"/>
      <c r="G31" s="145"/>
      <c r="H31" s="145"/>
      <c r="I31" s="145"/>
      <c r="J31" s="92"/>
      <c r="K31" s="146"/>
      <c r="L31" s="146"/>
      <c r="M31" s="146"/>
      <c r="N31" s="146"/>
      <c r="O31" s="146"/>
      <c r="P31" s="146"/>
      <c r="Q31" s="146"/>
      <c r="R31" s="147"/>
      <c r="S31" s="145"/>
      <c r="T31" s="69"/>
    </row>
    <row r="32" spans="2:20" s="70" customFormat="1">
      <c r="B32" s="68"/>
      <c r="C32" s="422" t="s">
        <v>544</v>
      </c>
      <c r="D32" s="334"/>
      <c r="E32" s="335"/>
      <c r="F32" s="335"/>
      <c r="G32" s="335"/>
      <c r="H32" s="335"/>
      <c r="I32" s="336"/>
      <c r="J32" s="337"/>
      <c r="K32" s="338"/>
      <c r="L32" s="338"/>
      <c r="M32" s="338"/>
      <c r="N32" s="338"/>
      <c r="O32" s="338"/>
      <c r="P32" s="338"/>
      <c r="Q32" s="338"/>
      <c r="R32" s="339"/>
      <c r="S32" s="335"/>
      <c r="T32" s="69"/>
    </row>
    <row r="33" spans="2:20">
      <c r="B33" s="66"/>
      <c r="C33" s="5"/>
      <c r="D33" s="13"/>
      <c r="E33" s="7"/>
      <c r="F33" s="7"/>
      <c r="G33" s="7"/>
      <c r="H33" s="14"/>
      <c r="I33" s="14"/>
      <c r="J33" s="170"/>
      <c r="K33" s="24"/>
      <c r="L33" s="24"/>
      <c r="M33" s="24"/>
      <c r="N33" s="24"/>
      <c r="O33" s="24"/>
      <c r="P33" s="24"/>
      <c r="Q33" s="24"/>
      <c r="R33" s="15"/>
      <c r="S33" s="7"/>
      <c r="T33" s="67"/>
    </row>
    <row r="34" spans="2:20" s="70" customFormat="1">
      <c r="B34" s="68"/>
      <c r="C34" s="9"/>
      <c r="D34" s="9"/>
      <c r="E34" s="9"/>
      <c r="F34" s="9"/>
      <c r="G34" s="9"/>
      <c r="H34" s="9"/>
      <c r="I34" s="9"/>
      <c r="J34" s="93"/>
      <c r="K34" s="18"/>
      <c r="L34" s="18"/>
      <c r="M34" s="18"/>
      <c r="N34" s="18"/>
      <c r="O34" s="18"/>
      <c r="P34" s="18"/>
      <c r="Q34" s="18"/>
      <c r="R34" s="11"/>
      <c r="S34" s="9"/>
      <c r="T34" s="69"/>
    </row>
    <row r="35" spans="2:20" s="70" customFormat="1">
      <c r="B35" s="68"/>
      <c r="C35" s="145"/>
      <c r="D35" s="145"/>
      <c r="E35" s="145"/>
      <c r="F35" s="145"/>
      <c r="G35" s="145"/>
      <c r="H35" s="145"/>
      <c r="I35" s="145"/>
      <c r="J35" s="92"/>
      <c r="K35" s="146"/>
      <c r="L35" s="146"/>
      <c r="M35" s="146"/>
      <c r="N35" s="146"/>
      <c r="O35" s="146"/>
      <c r="P35" s="146"/>
      <c r="Q35" s="146"/>
      <c r="R35" s="147"/>
      <c r="S35" s="145"/>
      <c r="T35" s="69"/>
    </row>
    <row r="36" spans="2:20" s="70" customFormat="1">
      <c r="B36" s="68"/>
      <c r="C36" s="356"/>
      <c r="D36" s="356"/>
      <c r="E36" s="357"/>
      <c r="F36" s="357"/>
      <c r="G36" s="357"/>
      <c r="H36" s="357"/>
      <c r="I36" s="357"/>
      <c r="J36" s="416"/>
      <c r="K36" s="417">
        <f t="shared" ref="K36:Q36" ca="1" si="2">K20+K26+K30+K34</f>
        <v>1454.7972983984773</v>
      </c>
      <c r="L36" s="417">
        <f t="shared" ca="1" si="2"/>
        <v>1429.7569913984776</v>
      </c>
      <c r="M36" s="417">
        <f t="shared" ca="1" si="2"/>
        <v>0</v>
      </c>
      <c r="N36" s="417">
        <f t="shared" ca="1" si="2"/>
        <v>1369.1164985299999</v>
      </c>
      <c r="O36" s="417">
        <f t="shared" si="2"/>
        <v>0</v>
      </c>
      <c r="P36" s="417">
        <f t="shared" ca="1" si="2"/>
        <v>-60.640492868477438</v>
      </c>
      <c r="Q36" s="417">
        <f t="shared" si="2"/>
        <v>-87.754801544557836</v>
      </c>
      <c r="R36" s="418">
        <f ca="1">(N36+O36)/L36</f>
        <v>0.95758685340705085</v>
      </c>
      <c r="S36" s="357"/>
      <c r="T36" s="69"/>
    </row>
    <row r="37" spans="2:20" s="178" customFormat="1" ht="15.75" thickBot="1">
      <c r="B37" s="171"/>
      <c r="C37" s="172"/>
      <c r="D37" s="172"/>
      <c r="E37" s="173"/>
      <c r="F37" s="173"/>
      <c r="G37" s="173"/>
      <c r="H37" s="173"/>
      <c r="I37" s="173"/>
      <c r="J37" s="174"/>
      <c r="K37" s="175"/>
      <c r="L37" s="175"/>
      <c r="M37" s="175"/>
      <c r="N37" s="175"/>
      <c r="O37" s="175"/>
      <c r="P37" s="175"/>
      <c r="Q37" s="175"/>
      <c r="R37" s="176"/>
      <c r="S37" s="173"/>
      <c r="T37" s="177"/>
    </row>
    <row r="38" spans="2:20">
      <c r="J38" s="76"/>
    </row>
    <row r="39" spans="2:20">
      <c r="I39" s="198"/>
      <c r="J39" s="193"/>
      <c r="K39" s="193"/>
      <c r="L39" s="193"/>
      <c r="M39" s="222"/>
      <c r="N39" s="193"/>
      <c r="O39" s="193"/>
      <c r="P39" s="193"/>
      <c r="Q39" s="193"/>
    </row>
    <row r="40" spans="2:20">
      <c r="B40" s="126"/>
      <c r="C40" s="126" t="s">
        <v>607</v>
      </c>
      <c r="D40" s="5"/>
      <c r="E40" s="7"/>
      <c r="F40" s="7"/>
      <c r="G40" s="7"/>
      <c r="H40" s="7"/>
      <c r="I40" s="199"/>
      <c r="J40" s="110"/>
      <c r="K40" s="200"/>
      <c r="L40" s="25"/>
      <c r="M40" s="25"/>
      <c r="N40" s="200"/>
      <c r="O40" s="200"/>
      <c r="P40" s="200"/>
      <c r="Q40" s="200"/>
      <c r="R40" s="15"/>
      <c r="S40" s="7"/>
    </row>
    <row r="41" spans="2:20">
      <c r="B41" s="126"/>
      <c r="C41" s="419" t="s">
        <v>560</v>
      </c>
      <c r="D41" s="420"/>
      <c r="E41" s="421"/>
      <c r="F41" s="190"/>
      <c r="G41" s="190"/>
      <c r="H41" s="190"/>
      <c r="I41" s="190"/>
      <c r="J41" s="190"/>
      <c r="K41" s="190"/>
      <c r="L41" s="215"/>
      <c r="M41" s="190"/>
      <c r="N41" s="190"/>
      <c r="O41" s="190"/>
      <c r="P41" s="215"/>
      <c r="Q41" s="190"/>
      <c r="R41" s="190"/>
    </row>
    <row r="42" spans="2:20" s="26" customFormat="1">
      <c r="B42" s="25"/>
      <c r="C42" s="13"/>
      <c r="D42" s="13"/>
      <c r="L42" s="215"/>
      <c r="T42" s="25"/>
    </row>
    <row r="43" spans="2:20" s="26" customFormat="1">
      <c r="B43" s="25"/>
      <c r="C43" s="57"/>
      <c r="D43" s="57"/>
      <c r="E43" s="190"/>
      <c r="F43" s="190"/>
      <c r="G43" s="190"/>
      <c r="H43" s="191"/>
      <c r="I43" s="190"/>
      <c r="J43" s="190"/>
      <c r="K43" s="190"/>
      <c r="L43" s="190"/>
      <c r="M43" s="190"/>
      <c r="N43" s="190"/>
      <c r="O43" s="190"/>
      <c r="Q43" s="190"/>
      <c r="R43" s="190"/>
      <c r="T43" s="25"/>
    </row>
    <row r="44" spans="2:20" s="26" customFormat="1">
      <c r="B44" s="25"/>
      <c r="C44" s="13"/>
      <c r="D44" s="13"/>
      <c r="E44" s="190"/>
      <c r="F44" s="190"/>
      <c r="G44" s="190"/>
      <c r="H44" s="192"/>
      <c r="L44" s="215"/>
      <c r="R44" s="190"/>
      <c r="T44" s="25"/>
    </row>
    <row r="45" spans="2:20" s="26" customFormat="1">
      <c r="B45" s="25"/>
      <c r="C45" s="13"/>
      <c r="D45" s="13"/>
      <c r="E45" s="190"/>
      <c r="F45" s="190"/>
      <c r="G45" s="190"/>
      <c r="H45" s="190"/>
      <c r="I45" s="190"/>
      <c r="J45" s="190"/>
      <c r="K45" s="190"/>
      <c r="L45" s="190"/>
      <c r="M45" s="190"/>
      <c r="N45" s="190"/>
      <c r="O45" s="190"/>
      <c r="Q45" s="190"/>
      <c r="R45" s="190"/>
      <c r="T45" s="25"/>
    </row>
    <row r="46" spans="2:20" s="26" customFormat="1">
      <c r="B46" s="25"/>
      <c r="C46" s="56"/>
      <c r="D46" s="56"/>
      <c r="H46" s="134"/>
      <c r="J46" s="57"/>
      <c r="R46" s="80"/>
      <c r="T46" s="25"/>
    </row>
    <row r="47" spans="2:20" s="26" customFormat="1">
      <c r="B47" s="25"/>
      <c r="C47" s="56"/>
      <c r="D47" s="56"/>
      <c r="H47" s="134"/>
      <c r="J47" s="57"/>
      <c r="R47" s="80"/>
      <c r="T47" s="25"/>
    </row>
    <row r="48" spans="2:20" s="26" customFormat="1">
      <c r="B48" s="25"/>
      <c r="C48" s="56"/>
      <c r="D48" s="56"/>
      <c r="H48" s="57"/>
      <c r="J48" s="57"/>
      <c r="R48" s="80"/>
      <c r="T48" s="25"/>
    </row>
    <row r="49" spans="2:20" s="26" customFormat="1">
      <c r="B49" s="25"/>
      <c r="C49" s="57"/>
      <c r="D49" s="57"/>
      <c r="F49" s="57"/>
      <c r="H49" s="57"/>
      <c r="J49" s="57"/>
      <c r="R49" s="80"/>
      <c r="T49" s="25"/>
    </row>
    <row r="50" spans="2:20" s="26" customFormat="1">
      <c r="B50" s="25"/>
      <c r="H50" s="57"/>
      <c r="J50" s="57"/>
      <c r="R50" s="80"/>
      <c r="T50" s="25"/>
    </row>
    <row r="51" spans="2:20" s="26" customFormat="1">
      <c r="B51" s="25"/>
      <c r="R51" s="80"/>
      <c r="T51" s="25"/>
    </row>
    <row r="52" spans="2:20" s="26" customFormat="1">
      <c r="B52" s="25"/>
      <c r="C52" s="56"/>
      <c r="D52" s="56"/>
      <c r="G52" s="57"/>
      <c r="R52" s="80"/>
      <c r="T5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71"/>
  <sheetViews>
    <sheetView showGridLines="0" topLeftCell="A17" zoomScale="85" zoomScaleNormal="85" workbookViewId="0">
      <selection activeCell="D40" sqref="D40"/>
    </sheetView>
  </sheetViews>
  <sheetFormatPr defaultColWidth="9.140625" defaultRowHeight="12.75" outlineLevelCol="1"/>
  <cols>
    <col min="1" max="1" width="5.5703125" style="44" customWidth="1"/>
    <col min="2" max="2" width="22.5703125" style="44" customWidth="1"/>
    <col min="3" max="3" width="39.28515625" style="44" customWidth="1"/>
    <col min="4" max="4" width="14.140625" style="51" customWidth="1"/>
    <col min="5" max="6" width="14.140625" style="44" customWidth="1"/>
    <col min="7" max="7" width="17" style="44" customWidth="1" outlineLevel="1"/>
    <col min="8" max="8" width="19.28515625" style="53" customWidth="1" outlineLevel="1"/>
    <col min="9" max="9" width="19.7109375" style="44" customWidth="1" outlineLevel="1"/>
    <col min="10" max="10" width="17.85546875" style="44" customWidth="1"/>
    <col min="11" max="11" width="9.5703125" style="44" bestFit="1" customWidth="1"/>
    <col min="12" max="16384" width="9.140625" style="44"/>
  </cols>
  <sheetData>
    <row r="2" spans="2:15" s="43" customFormat="1">
      <c r="B2" s="374" t="s">
        <v>256</v>
      </c>
      <c r="C2" s="375"/>
      <c r="D2" s="376"/>
      <c r="E2" s="377"/>
      <c r="F2" s="377"/>
      <c r="G2" s="377"/>
      <c r="H2" s="377"/>
      <c r="I2" s="377"/>
      <c r="J2" s="377"/>
      <c r="K2" s="377"/>
    </row>
    <row r="3" spans="2:15" s="43" customFormat="1" ht="36" customHeight="1">
      <c r="B3" s="398" t="s">
        <v>4</v>
      </c>
      <c r="C3" s="398" t="s">
        <v>5</v>
      </c>
      <c r="D3" s="399" t="s">
        <v>6</v>
      </c>
      <c r="E3" s="400" t="s">
        <v>89</v>
      </c>
      <c r="F3" s="400" t="s">
        <v>128</v>
      </c>
      <c r="G3" s="400" t="s">
        <v>56</v>
      </c>
      <c r="H3" s="400" t="s">
        <v>349</v>
      </c>
      <c r="I3" s="400" t="s">
        <v>348</v>
      </c>
      <c r="J3" s="400" t="s">
        <v>131</v>
      </c>
      <c r="K3" s="400" t="s">
        <v>21</v>
      </c>
      <c r="N3" s="370" t="s">
        <v>116</v>
      </c>
      <c r="O3" s="371"/>
    </row>
    <row r="4" spans="2:15" ht="12.75" customHeight="1">
      <c r="B4" s="378" t="str">
        <f>VLOOKUP(C4,'A. All deals (a)'!$C$9:$F$49,4,0)</f>
        <v>Mozn</v>
      </c>
      <c r="C4" s="379" t="s">
        <v>46</v>
      </c>
      <c r="D4" s="380">
        <v>43470</v>
      </c>
      <c r="E4" s="381">
        <f t="shared" ref="E4:E27" si="0">-I4*10^-6</f>
        <v>-30</v>
      </c>
      <c r="F4" s="382"/>
      <c r="G4" s="383" t="s">
        <v>10</v>
      </c>
      <c r="H4" s="382">
        <v>30000000</v>
      </c>
      <c r="I4" s="384">
        <f t="shared" ref="I4:I14" si="1">H4</f>
        <v>30000000</v>
      </c>
      <c r="J4" s="385">
        <v>6100312</v>
      </c>
      <c r="K4" s="383"/>
      <c r="L4" s="53"/>
      <c r="N4" s="44" t="s">
        <v>88</v>
      </c>
      <c r="O4" s="53">
        <v>3.6779999999999999</v>
      </c>
    </row>
    <row r="5" spans="2:15" ht="12.75" customHeight="1">
      <c r="B5" s="378" t="str">
        <f>VLOOKUP(C5,'A. All deals (a)'!$C$9:$F$49,4,0)</f>
        <v>Mozn</v>
      </c>
      <c r="C5" s="379" t="s">
        <v>46</v>
      </c>
      <c r="D5" s="380">
        <v>43724</v>
      </c>
      <c r="E5" s="381">
        <f t="shared" si="0"/>
        <v>-20</v>
      </c>
      <c r="F5" s="382"/>
      <c r="G5" s="383" t="s">
        <v>10</v>
      </c>
      <c r="H5" s="382">
        <v>20000000</v>
      </c>
      <c r="I5" s="384">
        <f t="shared" si="1"/>
        <v>20000000</v>
      </c>
      <c r="J5" s="385">
        <v>4204767.4285714282</v>
      </c>
      <c r="K5" s="383"/>
      <c r="L5" s="53"/>
    </row>
    <row r="6" spans="2:15" ht="12.75" customHeight="1">
      <c r="B6" s="378" t="str">
        <f>VLOOKUP(C6,'A. All deals (a)'!$C$9:$F$49,4,0)</f>
        <v>Mozn</v>
      </c>
      <c r="C6" s="379" t="s">
        <v>46</v>
      </c>
      <c r="D6" s="380">
        <v>43724</v>
      </c>
      <c r="E6" s="381">
        <f t="shared" si="0"/>
        <v>-15</v>
      </c>
      <c r="F6" s="382"/>
      <c r="G6" s="383" t="s">
        <v>10</v>
      </c>
      <c r="H6" s="382">
        <v>15000000</v>
      </c>
      <c r="I6" s="384">
        <f t="shared" si="1"/>
        <v>15000000</v>
      </c>
      <c r="J6" s="385">
        <v>3153575.5714285714</v>
      </c>
      <c r="K6" s="383"/>
      <c r="L6" s="53"/>
    </row>
    <row r="7" spans="2:15" ht="12.75" customHeight="1">
      <c r="B7" s="390" t="str">
        <f>VLOOKUP(C7,'A. All deals (a)'!$C$9:$F$49,4,0)</f>
        <v>Mozn</v>
      </c>
      <c r="C7" s="391" t="s">
        <v>0</v>
      </c>
      <c r="D7" s="392">
        <v>43563</v>
      </c>
      <c r="E7" s="393">
        <f t="shared" si="0"/>
        <v>-8</v>
      </c>
      <c r="F7" s="394"/>
      <c r="G7" s="395" t="s">
        <v>10</v>
      </c>
      <c r="H7" s="394">
        <v>8000000</v>
      </c>
      <c r="I7" s="396">
        <f t="shared" si="1"/>
        <v>8000000</v>
      </c>
      <c r="J7" s="397">
        <v>21419829</v>
      </c>
      <c r="K7" s="395"/>
      <c r="L7" s="53"/>
    </row>
    <row r="8" spans="2:15" ht="12.75" customHeight="1">
      <c r="B8" s="378" t="str">
        <f>VLOOKUP(C8,'A. All deals (a)'!$C$9:$F$49,4,0)</f>
        <v>Mozn</v>
      </c>
      <c r="C8" s="379" t="s">
        <v>38</v>
      </c>
      <c r="D8" s="380">
        <v>43570</v>
      </c>
      <c r="E8" s="381">
        <f t="shared" si="0"/>
        <v>-4.9999980900000001</v>
      </c>
      <c r="F8" s="382"/>
      <c r="G8" s="383" t="s">
        <v>10</v>
      </c>
      <c r="H8" s="382">
        <v>4999998.09</v>
      </c>
      <c r="I8" s="384">
        <f t="shared" si="1"/>
        <v>4999998.09</v>
      </c>
      <c r="J8" s="385">
        <v>2625467</v>
      </c>
      <c r="K8" s="383"/>
      <c r="L8" s="53"/>
    </row>
    <row r="9" spans="2:15" ht="12.75" customHeight="1">
      <c r="B9" s="378" t="str">
        <f>VLOOKUP(C9,'A. All deals (a)'!$C$9:$F$49,4,0)</f>
        <v>Mozn</v>
      </c>
      <c r="C9" s="379" t="s">
        <v>38</v>
      </c>
      <c r="D9" s="380">
        <v>43915</v>
      </c>
      <c r="E9" s="381">
        <f t="shared" si="0"/>
        <v>-5.0000019099999999</v>
      </c>
      <c r="F9" s="382"/>
      <c r="G9" s="383" t="s">
        <v>10</v>
      </c>
      <c r="H9" s="382">
        <f>10000000-H8</f>
        <v>5000001.91</v>
      </c>
      <c r="I9" s="384">
        <f t="shared" si="1"/>
        <v>5000001.91</v>
      </c>
      <c r="J9" s="385">
        <v>2580015</v>
      </c>
      <c r="K9" s="383"/>
      <c r="L9" s="53"/>
    </row>
    <row r="10" spans="2:15" ht="12.75" customHeight="1">
      <c r="B10" s="390" t="str">
        <f>VLOOKUP(C10,'A. All deals (a)'!$C$9:$F$49,4,0)</f>
        <v>Mozn</v>
      </c>
      <c r="C10" s="391" t="s">
        <v>39</v>
      </c>
      <c r="D10" s="392">
        <v>43870</v>
      </c>
      <c r="E10" s="393">
        <f t="shared" si="0"/>
        <v>-2.5</v>
      </c>
      <c r="F10" s="394"/>
      <c r="G10" s="395" t="s">
        <v>10</v>
      </c>
      <c r="H10" s="394">
        <v>2500000</v>
      </c>
      <c r="I10" s="396">
        <f t="shared" si="1"/>
        <v>2500000</v>
      </c>
      <c r="J10" s="397" t="s">
        <v>70</v>
      </c>
      <c r="K10" s="395"/>
      <c r="L10" s="53"/>
    </row>
    <row r="11" spans="2:15" ht="12.75" customHeight="1">
      <c r="B11" s="378" t="str">
        <f>VLOOKUP(C11,'A. All deals (a)'!$C$9:$F$49,4,0)</f>
        <v>Mozn</v>
      </c>
      <c r="C11" s="379" t="s">
        <v>37</v>
      </c>
      <c r="D11" s="380">
        <v>43879</v>
      </c>
      <c r="E11" s="381">
        <f t="shared" si="0"/>
        <v>-20</v>
      </c>
      <c r="F11" s="382"/>
      <c r="G11" s="383" t="s">
        <v>10</v>
      </c>
      <c r="H11" s="382">
        <v>20000000</v>
      </c>
      <c r="I11" s="384">
        <f t="shared" si="1"/>
        <v>20000000</v>
      </c>
      <c r="J11" s="385">
        <v>4084038</v>
      </c>
      <c r="K11" s="383"/>
      <c r="L11" s="53"/>
    </row>
    <row r="12" spans="2:15" ht="12.75" customHeight="1">
      <c r="B12" s="378" t="str">
        <f>VLOOKUP(C12,'A. All deals (a)'!$C$9:$F$49,4,0)</f>
        <v>Mozn</v>
      </c>
      <c r="C12" s="379" t="s">
        <v>37</v>
      </c>
      <c r="D12" s="380">
        <v>43921</v>
      </c>
      <c r="E12" s="381">
        <f t="shared" si="0"/>
        <v>-30</v>
      </c>
      <c r="F12" s="382"/>
      <c r="G12" s="383" t="s">
        <v>10</v>
      </c>
      <c r="H12" s="382">
        <v>30000000</v>
      </c>
      <c r="I12" s="384">
        <f t="shared" si="1"/>
        <v>30000000</v>
      </c>
      <c r="J12" s="385">
        <v>5822642</v>
      </c>
      <c r="K12" s="383"/>
      <c r="L12" s="53"/>
    </row>
    <row r="13" spans="2:15" ht="12.75" customHeight="1">
      <c r="B13" s="378" t="str">
        <f>VLOOKUP(C13,'A. All deals (a)'!$C$9:$F$49,4,0)</f>
        <v>Mozn</v>
      </c>
      <c r="C13" s="379" t="s">
        <v>37</v>
      </c>
      <c r="D13" s="380">
        <v>43989</v>
      </c>
      <c r="E13" s="381">
        <f t="shared" si="0"/>
        <v>-30</v>
      </c>
      <c r="F13" s="382"/>
      <c r="G13" s="383" t="s">
        <v>10</v>
      </c>
      <c r="H13" s="382">
        <v>30000000</v>
      </c>
      <c r="I13" s="384">
        <f t="shared" si="1"/>
        <v>30000000</v>
      </c>
      <c r="J13" s="385">
        <v>5822642</v>
      </c>
      <c r="K13" s="383"/>
      <c r="L13" s="53"/>
    </row>
    <row r="14" spans="2:15" ht="12.75" customHeight="1">
      <c r="B14" s="378" t="str">
        <f>VLOOKUP(C14,'A. All deals (a)'!$C$9:$F$49,4,0)</f>
        <v>Mozn</v>
      </c>
      <c r="C14" s="379" t="s">
        <v>37</v>
      </c>
      <c r="D14" s="380">
        <v>44103</v>
      </c>
      <c r="E14" s="381">
        <f t="shared" si="0"/>
        <v>-10</v>
      </c>
      <c r="F14" s="382"/>
      <c r="G14" s="383" t="s">
        <v>10</v>
      </c>
      <c r="H14" s="382">
        <v>10000000</v>
      </c>
      <c r="I14" s="384">
        <f t="shared" si="1"/>
        <v>10000000</v>
      </c>
      <c r="J14" s="385">
        <v>1940880</v>
      </c>
      <c r="K14" s="383"/>
      <c r="L14" s="53"/>
    </row>
    <row r="15" spans="2:15" ht="12.75" customHeight="1">
      <c r="B15" s="390" t="str">
        <f>VLOOKUP(C15,'A. All deals (a)'!$C$9:$F$49,4,0)</f>
        <v>Mozn</v>
      </c>
      <c r="C15" s="391" t="s">
        <v>85</v>
      </c>
      <c r="D15" s="392">
        <v>43968</v>
      </c>
      <c r="E15" s="393">
        <f t="shared" si="0"/>
        <v>-50</v>
      </c>
      <c r="F15" s="394"/>
      <c r="G15" s="395" t="s">
        <v>10</v>
      </c>
      <c r="H15" s="394">
        <v>50000000</v>
      </c>
      <c r="I15" s="396">
        <v>50000000</v>
      </c>
      <c r="J15" s="397">
        <v>15277680</v>
      </c>
      <c r="K15" s="395"/>
      <c r="L15" s="53"/>
    </row>
    <row r="16" spans="2:15" ht="12.75" customHeight="1">
      <c r="B16" s="390" t="str">
        <f>VLOOKUP(C16,'A. All deals (a)'!$C$9:$F$49,4,0)</f>
        <v>Mozn</v>
      </c>
      <c r="C16" s="391" t="s">
        <v>85</v>
      </c>
      <c r="D16" s="392">
        <v>44006</v>
      </c>
      <c r="E16" s="393">
        <f t="shared" si="0"/>
        <v>-27.268350856443721</v>
      </c>
      <c r="F16" s="394"/>
      <c r="G16" s="395" t="s">
        <v>20</v>
      </c>
      <c r="H16" s="394">
        <v>21029625</v>
      </c>
      <c r="I16" s="396">
        <v>27268350.856443722</v>
      </c>
      <c r="J16" s="397">
        <v>9000000</v>
      </c>
      <c r="K16" s="395"/>
      <c r="L16" s="53"/>
    </row>
    <row r="17" spans="2:13" ht="12.75" customHeight="1">
      <c r="B17" s="390" t="str">
        <f>VLOOKUP(C17,'A. All deals (a)'!$C$9:$F$49,4,0)</f>
        <v>Mozn</v>
      </c>
      <c r="C17" s="391" t="s">
        <v>85</v>
      </c>
      <c r="D17" s="392">
        <v>43837</v>
      </c>
      <c r="E17" s="393">
        <f t="shared" si="0"/>
        <v>-18.109441299619355</v>
      </c>
      <c r="F17" s="394"/>
      <c r="G17" s="395" t="s">
        <v>20</v>
      </c>
      <c r="H17" s="394">
        <v>14386480</v>
      </c>
      <c r="I17" s="396">
        <v>18109441.299619358</v>
      </c>
      <c r="J17" s="397">
        <v>6362180</v>
      </c>
      <c r="K17" s="395"/>
      <c r="L17" s="53"/>
    </row>
    <row r="18" spans="2:13" ht="12.75" customHeight="1">
      <c r="B18" s="390" t="str">
        <f>VLOOKUP(C18,'A. All deals (a)'!$C$9:$F$49,4,0)</f>
        <v>Mozn</v>
      </c>
      <c r="C18" s="391" t="s">
        <v>85</v>
      </c>
      <c r="D18" s="392">
        <v>43990</v>
      </c>
      <c r="E18" s="393">
        <f t="shared" si="0"/>
        <v>-34.851687094159864</v>
      </c>
      <c r="F18" s="394"/>
      <c r="G18" s="395" t="s">
        <v>20</v>
      </c>
      <c r="H18" s="394">
        <v>26085572.879999999</v>
      </c>
      <c r="I18" s="396">
        <v>34851687.094159864</v>
      </c>
      <c r="J18" s="397">
        <v>11381140</v>
      </c>
      <c r="K18" s="395"/>
      <c r="L18" s="53"/>
    </row>
    <row r="19" spans="2:13" ht="12.75" customHeight="1">
      <c r="B19" s="390" t="str">
        <f>VLOOKUP(C19,'A. All deals (a)'!$C$9:$F$49,4,0)</f>
        <v>Mozn</v>
      </c>
      <c r="C19" s="391" t="s">
        <v>85</v>
      </c>
      <c r="D19" s="392">
        <v>44315</v>
      </c>
      <c r="E19" s="393">
        <f t="shared" si="0"/>
        <v>-11.240780424143557</v>
      </c>
      <c r="F19" s="394"/>
      <c r="G19" s="395" t="s">
        <v>20</v>
      </c>
      <c r="H19" s="394">
        <v>8074920</v>
      </c>
      <c r="I19" s="396">
        <v>11240780.424143557</v>
      </c>
      <c r="J19" s="397">
        <v>2307120</v>
      </c>
      <c r="K19" s="395"/>
      <c r="L19" s="53"/>
    </row>
    <row r="20" spans="2:13" ht="12.75" customHeight="1">
      <c r="B20" s="378" t="str">
        <f>VLOOKUP(C20,'A. All deals (a)'!$C$9:$F$49,4,0)</f>
        <v>Mozn</v>
      </c>
      <c r="C20" s="379" t="s">
        <v>9</v>
      </c>
      <c r="D20" s="380">
        <v>44166</v>
      </c>
      <c r="E20" s="381">
        <f t="shared" si="0"/>
        <v>-60</v>
      </c>
      <c r="F20" s="382"/>
      <c r="G20" s="383" t="s">
        <v>10</v>
      </c>
      <c r="H20" s="382">
        <v>60000000</v>
      </c>
      <c r="I20" s="384">
        <f>H20</f>
        <v>60000000</v>
      </c>
      <c r="J20" s="385">
        <v>3565017.22</v>
      </c>
      <c r="K20" s="383"/>
      <c r="L20" s="53"/>
    </row>
    <row r="21" spans="2:13" ht="12.75" customHeight="1">
      <c r="B21" s="390" t="str">
        <f>VLOOKUP(C21,'A. All deals (a)'!$C$9:$F$49,4,0)</f>
        <v>Mozn 1</v>
      </c>
      <c r="C21" s="391" t="s">
        <v>18</v>
      </c>
      <c r="D21" s="392">
        <v>44363</v>
      </c>
      <c r="E21" s="393">
        <f t="shared" si="0"/>
        <v>-20</v>
      </c>
      <c r="F21" s="394"/>
      <c r="G21" s="395" t="s">
        <v>10</v>
      </c>
      <c r="H21" s="394">
        <v>20000000</v>
      </c>
      <c r="I21" s="396">
        <f>H21</f>
        <v>20000000</v>
      </c>
      <c r="J21" s="397">
        <v>7959497</v>
      </c>
      <c r="K21" s="395"/>
      <c r="L21" s="53"/>
    </row>
    <row r="22" spans="2:13" ht="12.75" customHeight="1">
      <c r="B22" s="378" t="str">
        <f>VLOOKUP(C22,'A. All deals (a)'!$C$9:$F$49,4,0)</f>
        <v>Mozn</v>
      </c>
      <c r="C22" s="379" t="s">
        <v>40</v>
      </c>
      <c r="D22" s="380">
        <v>44488</v>
      </c>
      <c r="E22" s="381">
        <f t="shared" si="0"/>
        <v>-39.999983359999995</v>
      </c>
      <c r="F22" s="382"/>
      <c r="G22" s="383" t="s">
        <v>10</v>
      </c>
      <c r="H22" s="382">
        <v>39999983.359999999</v>
      </c>
      <c r="I22" s="384">
        <f>H22</f>
        <v>39999983.359999999</v>
      </c>
      <c r="J22" s="385">
        <v>1441711</v>
      </c>
      <c r="K22" s="383"/>
      <c r="L22" s="53"/>
    </row>
    <row r="23" spans="2:13" ht="12.75" customHeight="1">
      <c r="B23" s="390" t="str">
        <f>VLOOKUP(C23,'A. All deals (a)'!$C$9:$F$49,4,0)</f>
        <v>Mozn</v>
      </c>
      <c r="C23" s="391" t="s">
        <v>41</v>
      </c>
      <c r="D23" s="392">
        <v>44494</v>
      </c>
      <c r="E23" s="393">
        <f t="shared" si="0"/>
        <v>-3</v>
      </c>
      <c r="F23" s="394"/>
      <c r="G23" s="395" t="s">
        <v>10</v>
      </c>
      <c r="H23" s="394">
        <v>3000000</v>
      </c>
      <c r="I23" s="396">
        <f>H23</f>
        <v>3000000</v>
      </c>
      <c r="J23" s="397">
        <v>3000000</v>
      </c>
      <c r="K23" s="395"/>
      <c r="L23" s="53"/>
    </row>
    <row r="24" spans="2:13" ht="12.75" customHeight="1">
      <c r="B24" s="378" t="str">
        <f>VLOOKUP(C24,'A. All deals (a)'!$C$9:$F$49,4,0)</f>
        <v>Mozn</v>
      </c>
      <c r="C24" s="379" t="s">
        <v>42</v>
      </c>
      <c r="D24" s="380">
        <v>44550</v>
      </c>
      <c r="E24" s="381">
        <f t="shared" si="0"/>
        <v>-5.0237201984774336</v>
      </c>
      <c r="F24" s="382"/>
      <c r="G24" s="383" t="s">
        <v>20</v>
      </c>
      <c r="H24" s="386">
        <v>3679995.54</v>
      </c>
      <c r="I24" s="384">
        <v>5023720.198477434</v>
      </c>
      <c r="J24" s="385">
        <v>33267</v>
      </c>
      <c r="K24" s="383"/>
      <c r="L24" s="53"/>
    </row>
    <row r="25" spans="2:13" ht="12.75" customHeight="1">
      <c r="B25" s="390" t="str">
        <f>VLOOKUP(C25,'A. All deals (a)'!$C$9:$F$49,4,0)</f>
        <v>Mozn 2</v>
      </c>
      <c r="C25" s="391" t="s">
        <v>69</v>
      </c>
      <c r="D25" s="392">
        <v>44574</v>
      </c>
      <c r="E25" s="393">
        <f t="shared" si="0"/>
        <v>-493.50095619999996</v>
      </c>
      <c r="F25" s="394"/>
      <c r="G25" s="395" t="s">
        <v>10</v>
      </c>
      <c r="H25" s="394">
        <v>893500956.20000005</v>
      </c>
      <c r="I25" s="396">
        <v>493500956.19999999</v>
      </c>
      <c r="J25" s="397"/>
      <c r="K25" s="395"/>
      <c r="L25" s="53"/>
    </row>
    <row r="26" spans="2:13" ht="12.75" customHeight="1">
      <c r="B26" s="378" t="str">
        <f>VLOOKUP(C26,'A. All deals (a)'!$C$9:$F$49,4,0)</f>
        <v>G42 Investments</v>
      </c>
      <c r="C26" s="379" t="s">
        <v>19</v>
      </c>
      <c r="D26" s="380">
        <v>44643</v>
      </c>
      <c r="E26" s="381">
        <f t="shared" si="0"/>
        <v>-200</v>
      </c>
      <c r="F26" s="382"/>
      <c r="G26" s="383" t="s">
        <v>10</v>
      </c>
      <c r="H26" s="382">
        <v>200000000</v>
      </c>
      <c r="I26" s="384">
        <f>H26</f>
        <v>200000000</v>
      </c>
      <c r="J26" s="385"/>
      <c r="K26" s="383"/>
      <c r="L26" s="53"/>
    </row>
    <row r="27" spans="2:13" ht="12.75" customHeight="1">
      <c r="B27" s="378" t="str">
        <f>VLOOKUP(C27,'A. All deals (a)'!$C$9:$F$49,4,0)</f>
        <v>G42 Investments</v>
      </c>
      <c r="C27" s="379" t="s">
        <v>19</v>
      </c>
      <c r="D27" s="380">
        <v>44680</v>
      </c>
      <c r="E27" s="381">
        <f t="shared" si="0"/>
        <v>-100</v>
      </c>
      <c r="F27" s="382"/>
      <c r="G27" s="383" t="s">
        <v>10</v>
      </c>
      <c r="H27" s="382">
        <v>100000000</v>
      </c>
      <c r="I27" s="384">
        <f>H27</f>
        <v>100000000</v>
      </c>
      <c r="J27" s="385"/>
      <c r="K27" s="383"/>
      <c r="L27" s="53"/>
    </row>
    <row r="28" spans="2:13" ht="12.75" customHeight="1">
      <c r="B28" s="390" t="str">
        <f>VLOOKUP(C28,'A. All deals (a)'!$C$9:$F$49,4,0)</f>
        <v>Mozn</v>
      </c>
      <c r="C28" s="391" t="s">
        <v>39</v>
      </c>
      <c r="D28" s="392">
        <v>44691</v>
      </c>
      <c r="E28" s="393"/>
      <c r="F28" s="394">
        <v>5</v>
      </c>
      <c r="G28" s="395" t="s">
        <v>10</v>
      </c>
      <c r="H28" s="394"/>
      <c r="I28" s="396"/>
      <c r="J28" s="397"/>
      <c r="K28" s="395"/>
      <c r="L28" s="53"/>
    </row>
    <row r="29" spans="2:13" ht="12.75" customHeight="1">
      <c r="B29" s="378" t="str">
        <f>VLOOKUP(C29,'A. All deals (a)'!$C$9:$F$49,4,0)</f>
        <v>G42 Investments</v>
      </c>
      <c r="C29" s="379" t="s">
        <v>86</v>
      </c>
      <c r="D29" s="380">
        <v>44712</v>
      </c>
      <c r="E29" s="381">
        <f>-I29*10^-6</f>
        <v>-12.5</v>
      </c>
      <c r="F29" s="382"/>
      <c r="G29" s="383" t="s">
        <v>10</v>
      </c>
      <c r="H29" s="382">
        <v>12500000</v>
      </c>
      <c r="I29" s="384">
        <f t="shared" ref="I29:I35" si="2">H29</f>
        <v>12500000</v>
      </c>
      <c r="J29" s="385">
        <f>'B. %'!D22</f>
        <v>259657</v>
      </c>
      <c r="K29" s="383"/>
      <c r="L29" s="53"/>
    </row>
    <row r="30" spans="2:13" ht="12.75" customHeight="1">
      <c r="B30" s="390" t="str">
        <f>VLOOKUP(C30,'A. All deals (a)'!$C$9:$F$49,4,0)</f>
        <v>G42 3</v>
      </c>
      <c r="C30" s="391" t="s">
        <v>35</v>
      </c>
      <c r="D30" s="392">
        <v>44769</v>
      </c>
      <c r="E30" s="393">
        <f t="shared" ref="E30:E38" si="3">-I30*10^-6</f>
        <v>-600</v>
      </c>
      <c r="F30" s="394"/>
      <c r="G30" s="395" t="s">
        <v>10</v>
      </c>
      <c r="H30" s="394">
        <v>600000000</v>
      </c>
      <c r="I30" s="396">
        <f t="shared" si="2"/>
        <v>600000000</v>
      </c>
      <c r="J30" s="397"/>
      <c r="K30" s="395"/>
      <c r="L30" s="53"/>
      <c r="M30" s="43"/>
    </row>
    <row r="31" spans="2:13" ht="12.75" customHeight="1">
      <c r="B31" s="390" t="str">
        <f>VLOOKUP(C31,'A. All deals (a)'!$C$9:$F$49,4,0)</f>
        <v>G42 3</v>
      </c>
      <c r="C31" s="391" t="s">
        <v>35</v>
      </c>
      <c r="D31" s="392">
        <v>44849</v>
      </c>
      <c r="E31" s="393">
        <f t="shared" si="3"/>
        <v>-200</v>
      </c>
      <c r="F31" s="394"/>
      <c r="G31" s="395" t="s">
        <v>10</v>
      </c>
      <c r="H31" s="394">
        <v>200000000</v>
      </c>
      <c r="I31" s="396">
        <f t="shared" si="2"/>
        <v>200000000</v>
      </c>
      <c r="J31" s="397"/>
      <c r="K31" s="395"/>
      <c r="L31" s="53"/>
    </row>
    <row r="32" spans="2:13" ht="12.75" customHeight="1">
      <c r="B32" s="378" t="str">
        <f>VLOOKUP(C32,'A. All deals (a)'!$C$9:$F$49,4,0)</f>
        <v>Mozn</v>
      </c>
      <c r="C32" s="379" t="s">
        <v>206</v>
      </c>
      <c r="D32" s="380">
        <v>44861</v>
      </c>
      <c r="E32" s="381">
        <f t="shared" si="3"/>
        <v>-4.75</v>
      </c>
      <c r="F32" s="382"/>
      <c r="G32" s="383" t="s">
        <v>10</v>
      </c>
      <c r="H32" s="382">
        <v>4750000</v>
      </c>
      <c r="I32" s="384">
        <f t="shared" si="2"/>
        <v>4750000</v>
      </c>
      <c r="J32" s="385"/>
      <c r="K32" s="383"/>
      <c r="L32" s="53"/>
    </row>
    <row r="33" spans="2:13" ht="12.75" customHeight="1">
      <c r="B33" s="390" t="str">
        <f>VLOOKUP(C33,'A. All deals (a)'!$C$9:$F$49,4,0)</f>
        <v>Mozn 4</v>
      </c>
      <c r="C33" s="391" t="s">
        <v>232</v>
      </c>
      <c r="D33" s="392">
        <v>44892</v>
      </c>
      <c r="E33" s="393">
        <f t="shared" si="3"/>
        <v>-15</v>
      </c>
      <c r="F33" s="394"/>
      <c r="G33" s="395" t="s">
        <v>10</v>
      </c>
      <c r="H33" s="394">
        <v>15000000</v>
      </c>
      <c r="I33" s="396">
        <f t="shared" si="2"/>
        <v>15000000</v>
      </c>
      <c r="J33" s="397"/>
      <c r="K33" s="395"/>
      <c r="L33" s="53"/>
      <c r="M33" s="43"/>
    </row>
    <row r="34" spans="2:13" ht="12.75" customHeight="1">
      <c r="B34" s="378" t="str">
        <f>VLOOKUP(C34,'A. All deals (a)'!$C$9:$F$49,4,0)</f>
        <v>G42 Investments</v>
      </c>
      <c r="C34" s="379" t="s">
        <v>86</v>
      </c>
      <c r="D34" s="380">
        <v>44985</v>
      </c>
      <c r="E34" s="381">
        <f t="shared" si="3"/>
        <v>-12.03125</v>
      </c>
      <c r="F34" s="382"/>
      <c r="G34" s="383" t="s">
        <v>10</v>
      </c>
      <c r="H34" s="382">
        <v>12031250</v>
      </c>
      <c r="I34" s="384">
        <f t="shared" si="2"/>
        <v>12031250</v>
      </c>
      <c r="J34" s="385">
        <v>10386274</v>
      </c>
      <c r="K34" s="383"/>
      <c r="L34" s="53"/>
    </row>
    <row r="35" spans="2:13" ht="12.75" customHeight="1">
      <c r="B35" s="390" t="str">
        <f>VLOOKUP(C35,'A. All deals (a)'!$C$9:$F$49,4,0)</f>
        <v>Mozn</v>
      </c>
      <c r="C35" s="391" t="s">
        <v>285</v>
      </c>
      <c r="D35" s="392">
        <v>45075</v>
      </c>
      <c r="E35" s="393">
        <f t="shared" si="3"/>
        <v>-14.999998939999999</v>
      </c>
      <c r="F35" s="394"/>
      <c r="G35" s="395" t="s">
        <v>10</v>
      </c>
      <c r="H35" s="394">
        <v>14999998.939999999</v>
      </c>
      <c r="I35" s="396">
        <f t="shared" si="2"/>
        <v>14999998.939999999</v>
      </c>
      <c r="J35" s="397"/>
      <c r="K35" s="395"/>
      <c r="L35" s="53"/>
    </row>
    <row r="36" spans="2:13" ht="12.75" customHeight="1">
      <c r="B36" s="378" t="str">
        <f>VLOOKUP(C36,'A. All deals (a)'!$C$9:$F$49,4,0)</f>
        <v>Mozn</v>
      </c>
      <c r="C36" s="379" t="s">
        <v>347</v>
      </c>
      <c r="D36" s="380">
        <v>45075</v>
      </c>
      <c r="E36" s="381">
        <f t="shared" si="3"/>
        <v>-5.875E-3</v>
      </c>
      <c r="F36" s="382"/>
      <c r="G36" s="383" t="s">
        <v>10</v>
      </c>
      <c r="H36" s="382"/>
      <c r="I36" s="384">
        <v>5875</v>
      </c>
      <c r="J36" s="385"/>
      <c r="K36" s="383"/>
      <c r="L36" s="53"/>
    </row>
    <row r="37" spans="2:13" ht="12.75" customHeight="1">
      <c r="B37" s="378" t="str">
        <f>VLOOKUP(C37,'A. All deals (a)'!$C$9:$F$49,4,0)</f>
        <v>Mozn</v>
      </c>
      <c r="C37" s="379" t="s">
        <v>347</v>
      </c>
      <c r="D37" s="380">
        <v>45114</v>
      </c>
      <c r="E37" s="381">
        <f t="shared" si="3"/>
        <v>-1E-3</v>
      </c>
      <c r="F37" s="382"/>
      <c r="G37" s="383" t="s">
        <v>10</v>
      </c>
      <c r="H37" s="382"/>
      <c r="I37" s="384">
        <v>1000</v>
      </c>
      <c r="J37" s="385"/>
      <c r="K37" s="383"/>
      <c r="L37" s="53"/>
    </row>
    <row r="38" spans="2:13" ht="12.75" customHeight="1">
      <c r="B38" s="390" t="str">
        <f>VLOOKUP(C38,'A. All deals (a)'!$C$9:$F$49,4,0)</f>
        <v>Mozn</v>
      </c>
      <c r="C38" s="391" t="s">
        <v>206</v>
      </c>
      <c r="D38" s="392">
        <v>45121</v>
      </c>
      <c r="E38" s="393">
        <f t="shared" si="3"/>
        <v>-2.75</v>
      </c>
      <c r="F38" s="394"/>
      <c r="G38" s="395" t="s">
        <v>10</v>
      </c>
      <c r="H38" s="394"/>
      <c r="I38" s="396">
        <v>2750000</v>
      </c>
      <c r="J38" s="397"/>
      <c r="K38" s="395"/>
      <c r="L38" s="53"/>
    </row>
    <row r="39" spans="2:13" ht="12.75" customHeight="1">
      <c r="B39" s="378" t="str">
        <f>VLOOKUP(C39,'A. All deals (a)'!$C$9:$F$49,4,0)</f>
        <v>Mozn</v>
      </c>
      <c r="C39" s="379" t="s">
        <v>42</v>
      </c>
      <c r="D39" s="380">
        <v>45138</v>
      </c>
      <c r="E39" s="381"/>
      <c r="F39" s="382">
        <f>I39*10^-6</f>
        <v>7.8207760999999989</v>
      </c>
      <c r="G39" s="383" t="s">
        <v>10</v>
      </c>
      <c r="H39" s="387">
        <v>6090345.2199999997</v>
      </c>
      <c r="I39" s="384">
        <v>7820776.0999999996</v>
      </c>
      <c r="J39" s="385"/>
      <c r="K39" s="383"/>
      <c r="L39" s="282"/>
    </row>
    <row r="40" spans="2:13" ht="12.75" customHeight="1">
      <c r="B40" s="390" t="str">
        <f>VLOOKUP(C40,'A. All deals (a)'!$C$9:$F$49,4,0)</f>
        <v>Mozn 1</v>
      </c>
      <c r="C40" s="391" t="s">
        <v>18</v>
      </c>
      <c r="D40" s="392">
        <v>45149</v>
      </c>
      <c r="E40" s="393"/>
      <c r="F40" s="394">
        <v>24.5</v>
      </c>
      <c r="G40" s="395" t="s">
        <v>10</v>
      </c>
      <c r="H40" s="394"/>
      <c r="I40" s="396">
        <v>24500000</v>
      </c>
      <c r="J40" s="397">
        <v>7959497</v>
      </c>
      <c r="K40" s="395"/>
      <c r="L40" s="282"/>
    </row>
    <row r="41" spans="2:13" ht="12.75" customHeight="1">
      <c r="B41" s="378" t="str">
        <f>VLOOKUP(C41,'A. All deals (a)'!$C$9:$F$49,4,0)</f>
        <v>Mozn</v>
      </c>
      <c r="C41" s="379" t="s">
        <v>41</v>
      </c>
      <c r="D41" s="380">
        <v>45167</v>
      </c>
      <c r="E41" s="381">
        <f t="shared" ref="E41" si="4">-I41*10^-6</f>
        <v>-5</v>
      </c>
      <c r="F41" s="382"/>
      <c r="G41" s="383" t="s">
        <v>10</v>
      </c>
      <c r="H41" s="382"/>
      <c r="I41" s="384">
        <v>5000000</v>
      </c>
      <c r="J41" s="385">
        <v>5000000</v>
      </c>
      <c r="K41" s="383"/>
      <c r="L41" s="282"/>
    </row>
    <row r="42" spans="2:13" ht="12.75" customHeight="1">
      <c r="B42" s="390" t="str">
        <f>VLOOKUP(C42,'A. All deals (a)'!$C$9:$F$49,4,0)</f>
        <v>Mozn</v>
      </c>
      <c r="C42" s="391" t="s">
        <v>357</v>
      </c>
      <c r="D42" s="392">
        <v>45167</v>
      </c>
      <c r="E42" s="393">
        <v>-6</v>
      </c>
      <c r="F42" s="394"/>
      <c r="G42" s="395" t="s">
        <v>10</v>
      </c>
      <c r="H42" s="394"/>
      <c r="I42" s="396">
        <v>6000000</v>
      </c>
      <c r="J42" s="397">
        <f>I42/1.34</f>
        <v>4477611.940298507</v>
      </c>
      <c r="K42" s="395"/>
      <c r="L42" s="282"/>
    </row>
    <row r="43" spans="2:13" ht="12.75" customHeight="1">
      <c r="B43" s="378" t="str">
        <f>VLOOKUP(C43,'A. All deals (a)'!$C$9:$F$49,4,0)</f>
        <v>G42 3</v>
      </c>
      <c r="C43" s="379" t="s">
        <v>35</v>
      </c>
      <c r="D43" s="380">
        <v>45224</v>
      </c>
      <c r="E43" s="381"/>
      <c r="F43" s="388">
        <v>2.8</v>
      </c>
      <c r="G43" s="383" t="s">
        <v>10</v>
      </c>
      <c r="H43" s="382"/>
      <c r="I43" s="384"/>
      <c r="J43" s="385"/>
      <c r="K43" s="383"/>
      <c r="L43" s="282"/>
    </row>
    <row r="44" spans="2:13" ht="12.75" customHeight="1">
      <c r="B44" s="390" t="str">
        <f>VLOOKUP(C44,'A. All deals (a)'!$C$9:$F$49,4,0)</f>
        <v>G42 3</v>
      </c>
      <c r="C44" s="391" t="s">
        <v>35</v>
      </c>
      <c r="D44" s="392">
        <v>45224</v>
      </c>
      <c r="E44" s="393"/>
      <c r="F44" s="394">
        <v>800</v>
      </c>
      <c r="G44" s="395" t="s">
        <v>10</v>
      </c>
      <c r="H44" s="394"/>
      <c r="I44" s="396"/>
      <c r="J44" s="397"/>
      <c r="K44" s="395"/>
      <c r="L44" s="282"/>
    </row>
    <row r="45" spans="2:13" ht="12.75" customHeight="1">
      <c r="B45" s="378" t="str">
        <f>VLOOKUP(C45,'A. All deals (a)'!$C$9:$F$49,4,0)</f>
        <v>Mozn 2</v>
      </c>
      <c r="C45" s="379" t="s">
        <v>69</v>
      </c>
      <c r="D45" s="380">
        <v>45224</v>
      </c>
      <c r="E45" s="381"/>
      <c r="F45" s="388">
        <v>403</v>
      </c>
      <c r="G45" s="383" t="s">
        <v>10</v>
      </c>
      <c r="H45" s="382"/>
      <c r="I45" s="384"/>
      <c r="J45" s="385"/>
      <c r="K45" s="383"/>
      <c r="L45" s="282"/>
    </row>
    <row r="46" spans="2:13" ht="12.75" customHeight="1">
      <c r="B46" s="390" t="str">
        <f>VLOOKUP(C46,'A. All deals (a)'!$C$9:$F$49,4,0)</f>
        <v>Mozn</v>
      </c>
      <c r="C46" s="391" t="s">
        <v>42</v>
      </c>
      <c r="D46" s="392">
        <v>45224</v>
      </c>
      <c r="E46" s="393"/>
      <c r="F46" s="394">
        <v>0.12141643000000001</v>
      </c>
      <c r="G46" s="395" t="s">
        <v>10</v>
      </c>
      <c r="H46" s="394"/>
      <c r="I46" s="396"/>
      <c r="J46" s="397"/>
      <c r="K46" s="395"/>
      <c r="L46" s="282"/>
    </row>
    <row r="47" spans="2:13" ht="12.75" customHeight="1">
      <c r="B47" s="378" t="str">
        <f>VLOOKUP(C47,'A. All deals (a)'!$C$9:$F$49,4,0)</f>
        <v>Mozn</v>
      </c>
      <c r="C47" s="379" t="s">
        <v>206</v>
      </c>
      <c r="D47" s="380">
        <v>45295</v>
      </c>
      <c r="E47" s="381">
        <f t="shared" ref="E47:E48" si="5">-I47*10^-6</f>
        <v>-4</v>
      </c>
      <c r="F47" s="382"/>
      <c r="G47" s="383" t="s">
        <v>10</v>
      </c>
      <c r="H47" s="382">
        <v>4000000</v>
      </c>
      <c r="I47" s="384">
        <f t="shared" ref="I47" si="6">H47</f>
        <v>4000000</v>
      </c>
      <c r="J47" s="385"/>
      <c r="K47" s="383"/>
      <c r="L47" s="282"/>
    </row>
    <row r="48" spans="2:13" ht="12.75" customHeight="1">
      <c r="B48" s="390" t="str">
        <f>VLOOKUP(C48,'A. All deals (a)'!$C$9:$F$49,4,0)</f>
        <v>Core42 5</v>
      </c>
      <c r="C48" s="391" t="s">
        <v>397</v>
      </c>
      <c r="D48" s="392">
        <v>45322</v>
      </c>
      <c r="E48" s="393">
        <f t="shared" si="5"/>
        <v>-2.5</v>
      </c>
      <c r="F48" s="394"/>
      <c r="G48" s="395" t="s">
        <v>10</v>
      </c>
      <c r="H48" s="394">
        <f>I48</f>
        <v>2500000</v>
      </c>
      <c r="I48" s="396">
        <v>2500000</v>
      </c>
      <c r="J48" s="397"/>
      <c r="K48" s="395"/>
      <c r="L48" s="282"/>
    </row>
    <row r="49" spans="2:14" s="593" customFormat="1" ht="12.75" customHeight="1">
      <c r="B49" s="584" t="str">
        <f>VLOOKUP(C49,'A. All deals (a)'!$C$9:$F$49,4,0)</f>
        <v>G42 Capital</v>
      </c>
      <c r="C49" s="585" t="s">
        <v>537</v>
      </c>
      <c r="D49" s="586">
        <v>45349</v>
      </c>
      <c r="E49" s="587">
        <f t="shared" ref="E49" si="7">-I49*10^-6</f>
        <v>-20</v>
      </c>
      <c r="F49" s="588"/>
      <c r="G49" s="589" t="s">
        <v>10</v>
      </c>
      <c r="H49" s="588"/>
      <c r="I49" s="590">
        <v>20000000</v>
      </c>
      <c r="J49" s="591"/>
      <c r="K49" s="589"/>
      <c r="L49" s="592"/>
    </row>
    <row r="50" spans="2:14" ht="12.75" customHeight="1">
      <c r="B50" s="390" t="s">
        <v>538</v>
      </c>
      <c r="C50" s="391" t="s">
        <v>588</v>
      </c>
      <c r="D50" s="392">
        <v>45463</v>
      </c>
      <c r="E50" s="393">
        <v>-10</v>
      </c>
      <c r="F50" s="394"/>
      <c r="G50" s="395" t="s">
        <v>10</v>
      </c>
      <c r="H50" s="394"/>
      <c r="I50" s="396">
        <v>10000000</v>
      </c>
      <c r="J50" s="397"/>
      <c r="K50" s="395"/>
      <c r="L50" s="282"/>
    </row>
    <row r="51" spans="2:14" s="593" customFormat="1" ht="12.75" customHeight="1">
      <c r="B51" s="584" t="str">
        <f>VLOOKUP(C51,'A. All deals (a)'!$C$9:$F$49,4,0)</f>
        <v>G42 Capital</v>
      </c>
      <c r="C51" s="585" t="s">
        <v>537</v>
      </c>
      <c r="D51" s="586">
        <v>45596</v>
      </c>
      <c r="E51" s="587">
        <f t="shared" ref="E51:E58" si="8">-I51*10^-6</f>
        <v>-20</v>
      </c>
      <c r="F51" s="588"/>
      <c r="G51" s="589" t="s">
        <v>10</v>
      </c>
      <c r="H51" s="588"/>
      <c r="I51" s="590">
        <v>20000000</v>
      </c>
      <c r="J51" s="591"/>
      <c r="K51" s="589"/>
      <c r="L51" s="592"/>
      <c r="M51" s="593">
        <f>D51-D49</f>
        <v>247</v>
      </c>
      <c r="N51" s="593">
        <f>M51/365</f>
        <v>0.67671232876712328</v>
      </c>
    </row>
    <row r="52" spans="2:14" ht="12.75" customHeight="1">
      <c r="B52" s="390" t="s">
        <v>8</v>
      </c>
      <c r="C52" s="391" t="s">
        <v>347</v>
      </c>
      <c r="D52" s="392">
        <v>45610</v>
      </c>
      <c r="E52" s="393"/>
      <c r="F52" s="394">
        <v>100</v>
      </c>
      <c r="G52" s="395" t="s">
        <v>10</v>
      </c>
      <c r="H52" s="394"/>
      <c r="I52" s="396">
        <v>100000000</v>
      </c>
      <c r="J52" s="397"/>
      <c r="K52" s="395"/>
      <c r="L52" s="282"/>
      <c r="N52" s="44">
        <f>7%</f>
        <v>7.0000000000000007E-2</v>
      </c>
    </row>
    <row r="53" spans="2:14" ht="12.75" customHeight="1">
      <c r="B53" s="378" t="s">
        <v>538</v>
      </c>
      <c r="C53" s="379" t="s">
        <v>662</v>
      </c>
      <c r="D53" s="380">
        <v>45611</v>
      </c>
      <c r="E53" s="381">
        <v>-100</v>
      </c>
      <c r="F53" s="382"/>
      <c r="G53" s="383" t="s">
        <v>10</v>
      </c>
      <c r="H53" s="382"/>
      <c r="I53" s="384">
        <v>100000000</v>
      </c>
      <c r="J53" s="385"/>
      <c r="K53" s="383"/>
      <c r="L53" s="282"/>
      <c r="N53" s="44">
        <f>N52*N51</f>
        <v>4.7369863013698638E-2</v>
      </c>
    </row>
    <row r="54" spans="2:14" ht="12.75" customHeight="1">
      <c r="B54" s="390" t="s">
        <v>8</v>
      </c>
      <c r="C54" s="391" t="s">
        <v>206</v>
      </c>
      <c r="D54" s="392">
        <v>45617</v>
      </c>
      <c r="E54" s="393">
        <f t="shared" si="8"/>
        <v>-3.5</v>
      </c>
      <c r="F54" s="394"/>
      <c r="G54" s="395" t="s">
        <v>10</v>
      </c>
      <c r="H54" s="394">
        <v>3500000</v>
      </c>
      <c r="I54" s="396">
        <f>H54</f>
        <v>3500000</v>
      </c>
      <c r="J54" s="397"/>
      <c r="K54" s="395"/>
      <c r="L54" s="282"/>
      <c r="N54" s="44">
        <f>20*10^6*N53</f>
        <v>947397.26027397276</v>
      </c>
    </row>
    <row r="55" spans="2:14" ht="12.75" customHeight="1">
      <c r="B55" s="378" t="s">
        <v>538</v>
      </c>
      <c r="C55" s="379" t="s">
        <v>662</v>
      </c>
      <c r="D55" s="380">
        <v>45645</v>
      </c>
      <c r="E55" s="381"/>
      <c r="F55" s="388">
        <v>0.49996499999999999</v>
      </c>
      <c r="G55" s="383" t="s">
        <v>10</v>
      </c>
      <c r="H55" s="382">
        <v>499965</v>
      </c>
      <c r="I55" s="382">
        <v>499965</v>
      </c>
      <c r="J55" s="385"/>
      <c r="K55" s="383"/>
      <c r="L55" s="282"/>
    </row>
    <row r="56" spans="2:14" ht="12.75" customHeight="1">
      <c r="B56" s="390" t="s">
        <v>538</v>
      </c>
      <c r="C56" s="391" t="s">
        <v>695</v>
      </c>
      <c r="D56" s="392">
        <v>45737</v>
      </c>
      <c r="E56" s="393">
        <f t="shared" si="8"/>
        <v>-19.999882399999997</v>
      </c>
      <c r="F56" s="394"/>
      <c r="G56" s="395" t="s">
        <v>10</v>
      </c>
      <c r="H56" s="394"/>
      <c r="I56" s="396">
        <v>19999882.399999999</v>
      </c>
      <c r="J56" s="397"/>
      <c r="K56" s="395"/>
      <c r="L56" s="282"/>
    </row>
    <row r="57" spans="2:14" ht="12.75" customHeight="1">
      <c r="B57" s="378" t="s">
        <v>11</v>
      </c>
      <c r="C57" s="379" t="s">
        <v>19</v>
      </c>
      <c r="D57" s="380">
        <v>45769</v>
      </c>
      <c r="E57" s="381"/>
      <c r="F57" s="388">
        <f>I57/1000000</f>
        <v>84.804486139999995</v>
      </c>
      <c r="G57" s="383" t="s">
        <v>10</v>
      </c>
      <c r="H57" s="382"/>
      <c r="I57" s="382">
        <v>84804486.140000001</v>
      </c>
      <c r="J57" s="385"/>
      <c r="K57" s="383"/>
      <c r="L57" s="282"/>
    </row>
    <row r="58" spans="2:14" ht="12.75" customHeight="1">
      <c r="B58" s="390" t="s">
        <v>538</v>
      </c>
      <c r="C58" s="391" t="s">
        <v>781</v>
      </c>
      <c r="D58" s="392">
        <v>45812</v>
      </c>
      <c r="E58" s="393">
        <f t="shared" si="8"/>
        <v>-49.999999500000001</v>
      </c>
      <c r="F58" s="394"/>
      <c r="G58" s="395" t="s">
        <v>10</v>
      </c>
      <c r="H58" s="394"/>
      <c r="I58" s="396">
        <v>49999999.5</v>
      </c>
      <c r="J58" s="397"/>
      <c r="K58" s="395"/>
      <c r="L58" s="282"/>
    </row>
    <row r="59" spans="2:14" ht="12.75" customHeight="1">
      <c r="B59" s="520"/>
      <c r="C59" s="521"/>
      <c r="D59" s="522"/>
      <c r="E59" s="523"/>
      <c r="F59" s="524"/>
      <c r="G59" s="525"/>
      <c r="H59" s="526"/>
      <c r="I59" s="526"/>
      <c r="J59" s="527"/>
      <c r="K59" s="525"/>
      <c r="L59" s="282"/>
    </row>
    <row r="60" spans="2:14" ht="12.75" customHeight="1">
      <c r="B60" s="45"/>
      <c r="C60" s="46"/>
      <c r="D60" s="47"/>
      <c r="E60" s="49"/>
      <c r="F60" s="49"/>
      <c r="G60" s="48"/>
      <c r="H60" s="78"/>
      <c r="I60" s="326"/>
      <c r="J60" s="50"/>
      <c r="K60" s="50"/>
      <c r="L60" s="282"/>
    </row>
    <row r="61" spans="2:14">
      <c r="D61" s="504"/>
      <c r="H61" s="505"/>
      <c r="I61" s="281"/>
    </row>
    <row r="62" spans="2:14" s="43" customFormat="1">
      <c r="B62" s="374" t="s">
        <v>129</v>
      </c>
      <c r="C62" s="375"/>
      <c r="D62" s="376"/>
      <c r="E62" s="377"/>
      <c r="F62" s="377"/>
      <c r="G62" s="377"/>
      <c r="H62" s="377"/>
      <c r="I62" s="377"/>
      <c r="J62" s="377"/>
      <c r="K62" s="377"/>
    </row>
    <row r="63" spans="2:14" ht="12.75" customHeight="1">
      <c r="B63" s="378" t="s">
        <v>8</v>
      </c>
      <c r="C63" s="379" t="s">
        <v>47</v>
      </c>
      <c r="D63" s="380">
        <v>43635</v>
      </c>
      <c r="E63" s="381">
        <v>-8</v>
      </c>
      <c r="F63" s="382"/>
      <c r="G63" s="383" t="s">
        <v>10</v>
      </c>
      <c r="H63" s="382">
        <v>8000000</v>
      </c>
      <c r="I63" s="389">
        <f>H63</f>
        <v>8000000</v>
      </c>
      <c r="J63" s="385"/>
      <c r="K63" s="383"/>
    </row>
    <row r="64" spans="2:14" ht="12.75" customHeight="1">
      <c r="B64" s="390" t="s">
        <v>8</v>
      </c>
      <c r="C64" s="391" t="s">
        <v>208</v>
      </c>
      <c r="D64" s="392">
        <v>44293</v>
      </c>
      <c r="E64" s="393">
        <v>-2.3539819999999998</v>
      </c>
      <c r="F64" s="394"/>
      <c r="G64" s="395" t="s">
        <v>10</v>
      </c>
      <c r="H64" s="394">
        <f>-E64*10^6</f>
        <v>2353982</v>
      </c>
      <c r="I64" s="396">
        <f>H64</f>
        <v>2353982</v>
      </c>
      <c r="J64" s="397"/>
      <c r="K64" s="395"/>
    </row>
    <row r="65" spans="2:11" ht="12.75" customHeight="1">
      <c r="B65" s="378" t="s">
        <v>8</v>
      </c>
      <c r="C65" s="379" t="s">
        <v>200</v>
      </c>
      <c r="D65" s="380">
        <v>44384</v>
      </c>
      <c r="E65" s="381">
        <f>-I65*10^-6</f>
        <v>-0.41176499999999999</v>
      </c>
      <c r="F65" s="382"/>
      <c r="G65" s="383" t="s">
        <v>10</v>
      </c>
      <c r="H65" s="382">
        <v>2500000</v>
      </c>
      <c r="I65" s="389">
        <v>411765</v>
      </c>
      <c r="J65" s="385"/>
      <c r="K65" s="383"/>
    </row>
    <row r="66" spans="2:11">
      <c r="B66" s="390" t="s">
        <v>8</v>
      </c>
      <c r="C66" s="391" t="s">
        <v>200</v>
      </c>
      <c r="D66" s="392">
        <v>44902</v>
      </c>
      <c r="E66" s="393"/>
      <c r="F66" s="394">
        <f>(411765+59019.65)*10^-6</f>
        <v>0.47078465000000003</v>
      </c>
      <c r="G66" s="395" t="s">
        <v>10</v>
      </c>
      <c r="H66" s="394">
        <f>F66*10^6</f>
        <v>470784.65</v>
      </c>
      <c r="I66" s="396">
        <v>470784.65</v>
      </c>
      <c r="J66" s="397"/>
      <c r="K66" s="395"/>
    </row>
    <row r="67" spans="2:11">
      <c r="D67" s="206"/>
      <c r="I67" s="281"/>
      <c r="J67" s="52"/>
    </row>
    <row r="68" spans="2:11">
      <c r="I68" s="281"/>
      <c r="J68" s="52"/>
    </row>
    <row r="69" spans="2:11">
      <c r="I69" s="281"/>
    </row>
    <row r="70" spans="2:11">
      <c r="I70" s="281"/>
    </row>
    <row r="71" spans="2:11">
      <c r="I71" s="281"/>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95"/>
  <sheetViews>
    <sheetView topLeftCell="A18" zoomScale="85" zoomScaleNormal="85" workbookViewId="0">
      <selection activeCell="E82" sqref="E67:E82"/>
    </sheetView>
  </sheetViews>
  <sheetFormatPr defaultColWidth="9.140625" defaultRowHeight="15" outlineLevelCol="1"/>
  <cols>
    <col min="1" max="1" width="9.140625" style="25"/>
    <col min="2" max="2" width="16.28515625" style="26" customWidth="1"/>
    <col min="3" max="3" width="30.140625" style="25" bestFit="1" customWidth="1"/>
    <col min="4" max="4" width="15.85546875" style="25" customWidth="1"/>
    <col min="5" max="5" width="14.140625" style="25" customWidth="1"/>
    <col min="6" max="6" width="13" style="25" customWidth="1"/>
    <col min="7" max="7" width="10.28515625" style="25" customWidth="1"/>
    <col min="8" max="8" width="25.85546875" style="25" customWidth="1" outlineLevel="1"/>
    <col min="9" max="9" width="47.85546875" style="25" customWidth="1"/>
    <col min="10" max="11" width="14.5703125" style="25" customWidth="1"/>
    <col min="12" max="12" width="15.85546875" style="25" customWidth="1"/>
    <col min="13" max="13" width="23.140625" style="25" customWidth="1"/>
    <col min="14" max="16384" width="9.140625" style="25"/>
  </cols>
  <sheetData>
    <row r="2" spans="2:10">
      <c r="B2" s="374" t="s">
        <v>561</v>
      </c>
      <c r="C2" s="375"/>
      <c r="D2" s="376"/>
      <c r="E2" s="377"/>
      <c r="F2" s="377"/>
      <c r="G2" s="377"/>
      <c r="H2" s="377"/>
      <c r="I2" s="377"/>
    </row>
    <row r="3" spans="2:10" s="39" customFormat="1" ht="33.75" customHeight="1">
      <c r="B3" s="400" t="s">
        <v>112</v>
      </c>
      <c r="C3" s="400" t="s">
        <v>5</v>
      </c>
      <c r="D3" s="400" t="s">
        <v>6</v>
      </c>
      <c r="E3" s="400" t="s">
        <v>155</v>
      </c>
      <c r="F3" s="400" t="s">
        <v>156</v>
      </c>
      <c r="G3" s="400" t="s">
        <v>22</v>
      </c>
      <c r="H3" s="400" t="s">
        <v>150</v>
      </c>
      <c r="I3" s="400" t="s">
        <v>7</v>
      </c>
      <c r="J3" s="305" t="s">
        <v>262</v>
      </c>
    </row>
    <row r="4" spans="2:10" s="40" customFormat="1" ht="15.75" customHeight="1">
      <c r="B4" s="383" t="s">
        <v>11</v>
      </c>
      <c r="C4" s="378" t="s">
        <v>12</v>
      </c>
      <c r="D4" s="380">
        <v>44153</v>
      </c>
      <c r="E4" s="388">
        <f>H4</f>
        <v>-10.5</v>
      </c>
      <c r="F4" s="388"/>
      <c r="G4" s="383" t="s">
        <v>10</v>
      </c>
      <c r="H4" s="388">
        <v>-10.5</v>
      </c>
      <c r="I4" s="383" t="s">
        <v>13</v>
      </c>
      <c r="J4" s="302">
        <f>SUM(E4:E65)</f>
        <v>-148.74911276770538</v>
      </c>
    </row>
    <row r="5" spans="2:10" s="40" customFormat="1" ht="15.75" customHeight="1">
      <c r="B5" s="383" t="s">
        <v>11</v>
      </c>
      <c r="C5" s="378" t="s">
        <v>12</v>
      </c>
      <c r="D5" s="380">
        <v>44238</v>
      </c>
      <c r="E5" s="388">
        <f>H5</f>
        <v>4.2140269999999997</v>
      </c>
      <c r="F5" s="388"/>
      <c r="G5" s="401" t="s">
        <v>10</v>
      </c>
      <c r="H5" s="388">
        <v>4.2140269999999997</v>
      </c>
      <c r="I5" s="383" t="s">
        <v>14</v>
      </c>
      <c r="J5" s="303">
        <f ca="1">'A. All deals (a)'!K50</f>
        <v>145.86211882213897</v>
      </c>
    </row>
    <row r="6" spans="2:10" s="40" customFormat="1" ht="15.75" customHeight="1">
      <c r="B6" s="383" t="s">
        <v>11</v>
      </c>
      <c r="C6" s="378" t="s">
        <v>12</v>
      </c>
      <c r="D6" s="380">
        <v>44238</v>
      </c>
      <c r="E6" s="388"/>
      <c r="F6" s="388">
        <f>H6</f>
        <v>5.0448349999999996E-2</v>
      </c>
      <c r="G6" s="401" t="s">
        <v>10</v>
      </c>
      <c r="H6" s="388">
        <v>5.0448349999999996E-2</v>
      </c>
      <c r="I6" s="383" t="s">
        <v>17</v>
      </c>
      <c r="J6" s="303" t="b">
        <f ca="1">ROUND(J5,5)=-ROUND(J4,5)</f>
        <v>0</v>
      </c>
    </row>
    <row r="7" spans="2:10" s="40" customFormat="1" ht="15.75" customHeight="1">
      <c r="B7" s="383" t="s">
        <v>11</v>
      </c>
      <c r="C7" s="378" t="s">
        <v>12</v>
      </c>
      <c r="D7" s="380">
        <v>44285</v>
      </c>
      <c r="E7" s="388">
        <f>H7</f>
        <v>-6.4337459999999993</v>
      </c>
      <c r="F7" s="388"/>
      <c r="G7" s="401" t="s">
        <v>10</v>
      </c>
      <c r="H7" s="388">
        <v>-6.4337459999999993</v>
      </c>
      <c r="I7" s="383" t="s">
        <v>15</v>
      </c>
      <c r="J7" s="304"/>
    </row>
    <row r="8" spans="2:10" s="40" customFormat="1" ht="15.75" customHeight="1">
      <c r="B8" s="383" t="s">
        <v>11</v>
      </c>
      <c r="C8" s="378" t="s">
        <v>12</v>
      </c>
      <c r="D8" s="380">
        <v>44269</v>
      </c>
      <c r="E8" s="388">
        <f>H8</f>
        <v>1.1352073899999999</v>
      </c>
      <c r="F8" s="388"/>
      <c r="G8" s="401" t="s">
        <v>10</v>
      </c>
      <c r="H8" s="388">
        <v>1.1352073899999999</v>
      </c>
      <c r="I8" s="383" t="s">
        <v>16</v>
      </c>
      <c r="J8" s="304"/>
    </row>
    <row r="9" spans="2:10" s="40" customFormat="1" ht="15.75" customHeight="1">
      <c r="B9" s="383" t="s">
        <v>11</v>
      </c>
      <c r="C9" s="378" t="s">
        <v>12</v>
      </c>
      <c r="D9" s="380">
        <v>44269</v>
      </c>
      <c r="E9" s="388"/>
      <c r="F9" s="388">
        <f>H9</f>
        <v>2.5899999999999999E-2</v>
      </c>
      <c r="G9" s="383" t="s">
        <v>10</v>
      </c>
      <c r="H9" s="388">
        <v>2.5899999999999999E-2</v>
      </c>
      <c r="I9" s="383" t="s">
        <v>17</v>
      </c>
      <c r="J9" s="304"/>
    </row>
    <row r="10" spans="2:10" s="40" customFormat="1" ht="15.75" customHeight="1">
      <c r="B10" s="383" t="s">
        <v>11</v>
      </c>
      <c r="C10" s="378" t="s">
        <v>12</v>
      </c>
      <c r="D10" s="380">
        <v>44483</v>
      </c>
      <c r="E10" s="388">
        <f>H10</f>
        <v>-7.5671379999999999</v>
      </c>
      <c r="F10" s="388"/>
      <c r="G10" s="383" t="s">
        <v>10</v>
      </c>
      <c r="H10" s="388">
        <v>-7.5671379999999999</v>
      </c>
      <c r="I10" s="383" t="s">
        <v>100</v>
      </c>
      <c r="J10" s="304"/>
    </row>
    <row r="11" spans="2:10" s="40" customFormat="1" ht="15.75" customHeight="1">
      <c r="B11" s="383" t="s">
        <v>11</v>
      </c>
      <c r="C11" s="378" t="s">
        <v>12</v>
      </c>
      <c r="D11" s="380">
        <v>44554</v>
      </c>
      <c r="E11" s="388">
        <f>H11</f>
        <v>-7.3850159999999994</v>
      </c>
      <c r="F11" s="388"/>
      <c r="G11" s="383" t="s">
        <v>10</v>
      </c>
      <c r="H11" s="388">
        <v>-7.3850159999999994</v>
      </c>
      <c r="I11" s="383" t="s">
        <v>101</v>
      </c>
    </row>
    <row r="12" spans="2:10" s="40" customFormat="1" ht="15.75" customHeight="1">
      <c r="B12" s="383" t="s">
        <v>11</v>
      </c>
      <c r="C12" s="378" t="s">
        <v>12</v>
      </c>
      <c r="D12" s="380">
        <v>44554</v>
      </c>
      <c r="E12" s="388">
        <f>H12</f>
        <v>4.0733456099999996</v>
      </c>
      <c r="F12" s="388"/>
      <c r="G12" s="383" t="s">
        <v>10</v>
      </c>
      <c r="H12" s="388">
        <v>4.0733456099999996</v>
      </c>
      <c r="I12" s="383" t="s">
        <v>16</v>
      </c>
    </row>
    <row r="13" spans="2:10" s="40" customFormat="1" ht="15.75" customHeight="1">
      <c r="B13" s="383" t="s">
        <v>11</v>
      </c>
      <c r="C13" s="378" t="s">
        <v>12</v>
      </c>
      <c r="D13" s="380">
        <v>44554</v>
      </c>
      <c r="E13" s="388"/>
      <c r="F13" s="388">
        <f>H13</f>
        <v>0.13969399999999998</v>
      </c>
      <c r="G13" s="383" t="s">
        <v>10</v>
      </c>
      <c r="H13" s="388">
        <v>0.13969399999999998</v>
      </c>
      <c r="I13" s="383" t="s">
        <v>17</v>
      </c>
    </row>
    <row r="14" spans="2:10" s="40" customFormat="1" ht="15.75" customHeight="1">
      <c r="B14" s="383" t="s">
        <v>11</v>
      </c>
      <c r="C14" s="378" t="s">
        <v>12</v>
      </c>
      <c r="D14" s="380">
        <v>44703</v>
      </c>
      <c r="E14" s="388">
        <f>H14</f>
        <v>5.6730739999999997</v>
      </c>
      <c r="F14" s="388"/>
      <c r="G14" s="383" t="s">
        <v>10</v>
      </c>
      <c r="H14" s="388">
        <v>5.6730739999999997</v>
      </c>
      <c r="I14" s="383" t="s">
        <v>16</v>
      </c>
    </row>
    <row r="15" spans="2:10" s="40" customFormat="1" ht="15.75" customHeight="1">
      <c r="B15" s="383" t="s">
        <v>11</v>
      </c>
      <c r="C15" s="378" t="s">
        <v>12</v>
      </c>
      <c r="D15" s="380">
        <v>44703</v>
      </c>
      <c r="E15" s="388"/>
      <c r="F15" s="388">
        <f>H15</f>
        <v>0.22778599999999999</v>
      </c>
      <c r="G15" s="383" t="s">
        <v>10</v>
      </c>
      <c r="H15" s="388">
        <v>0.22778599999999999</v>
      </c>
      <c r="I15" s="383" t="s">
        <v>17</v>
      </c>
    </row>
    <row r="16" spans="2:10" s="40" customFormat="1" ht="15.75" customHeight="1">
      <c r="B16" s="383" t="s">
        <v>11</v>
      </c>
      <c r="C16" s="378" t="s">
        <v>12</v>
      </c>
      <c r="D16" s="380">
        <v>44776</v>
      </c>
      <c r="E16" s="388">
        <f>H16</f>
        <v>-3.235493</v>
      </c>
      <c r="F16" s="388"/>
      <c r="G16" s="383" t="s">
        <v>10</v>
      </c>
      <c r="H16" s="388">
        <v>-3.235493</v>
      </c>
      <c r="I16" s="383" t="s">
        <v>103</v>
      </c>
    </row>
    <row r="17" spans="2:9" s="40" customFormat="1" ht="15.75" customHeight="1">
      <c r="B17" s="383" t="s">
        <v>11</v>
      </c>
      <c r="C17" s="378" t="s">
        <v>12</v>
      </c>
      <c r="D17" s="380">
        <v>44960</v>
      </c>
      <c r="E17" s="388">
        <f>H17</f>
        <v>-2.6315279999999999</v>
      </c>
      <c r="F17" s="388"/>
      <c r="G17" s="383" t="s">
        <v>10</v>
      </c>
      <c r="H17" s="388">
        <v>-2.6315279999999999</v>
      </c>
      <c r="I17" s="383" t="s">
        <v>105</v>
      </c>
    </row>
    <row r="18" spans="2:9" s="40" customFormat="1" ht="15.75" customHeight="1">
      <c r="B18" s="383" t="s">
        <v>11</v>
      </c>
      <c r="C18" s="378" t="s">
        <v>12</v>
      </c>
      <c r="D18" s="380">
        <v>45085</v>
      </c>
      <c r="E18" s="388">
        <f>H18</f>
        <v>1.9125570000000001</v>
      </c>
      <c r="F18" s="388"/>
      <c r="G18" s="383" t="s">
        <v>10</v>
      </c>
      <c r="H18" s="388">
        <v>1.9125570000000001</v>
      </c>
      <c r="I18" s="383" t="s">
        <v>16</v>
      </c>
    </row>
    <row r="19" spans="2:9" s="40" customFormat="1" ht="15.75" customHeight="1">
      <c r="B19" s="383" t="s">
        <v>11</v>
      </c>
      <c r="C19" s="378" t="s">
        <v>12</v>
      </c>
      <c r="D19" s="380">
        <v>45166</v>
      </c>
      <c r="E19" s="388">
        <v>-1.7991220000000001</v>
      </c>
      <c r="F19" s="388"/>
      <c r="G19" s="383" t="s">
        <v>10</v>
      </c>
      <c r="H19" s="388">
        <v>-1.7991220000000001</v>
      </c>
      <c r="I19" s="383" t="s">
        <v>376</v>
      </c>
    </row>
    <row r="20" spans="2:9" s="40" customFormat="1" ht="15.75" customHeight="1">
      <c r="B20" s="383" t="s">
        <v>11</v>
      </c>
      <c r="C20" s="378" t="s">
        <v>12</v>
      </c>
      <c r="D20" s="380">
        <v>45218</v>
      </c>
      <c r="E20" s="388">
        <v>-2.415861</v>
      </c>
      <c r="F20" s="388"/>
      <c r="G20" s="383" t="s">
        <v>10</v>
      </c>
      <c r="H20" s="388">
        <v>-2.415861</v>
      </c>
      <c r="I20" s="383" t="s">
        <v>378</v>
      </c>
    </row>
    <row r="21" spans="2:9" s="40" customFormat="1" ht="15.75" customHeight="1">
      <c r="B21" s="383" t="s">
        <v>11</v>
      </c>
      <c r="C21" s="378" t="s">
        <v>12</v>
      </c>
      <c r="D21" s="380">
        <v>45323</v>
      </c>
      <c r="E21" s="388"/>
      <c r="F21" s="388">
        <f>24.959693</f>
        <v>24.959693000000001</v>
      </c>
      <c r="G21" s="383" t="s">
        <v>10</v>
      </c>
      <c r="H21" s="388">
        <f>F21</f>
        <v>24.959693000000001</v>
      </c>
      <c r="I21" s="383" t="s">
        <v>553</v>
      </c>
    </row>
    <row r="22" spans="2:9" s="40" customFormat="1" ht="15.75" customHeight="1">
      <c r="B22" s="395" t="s">
        <v>11</v>
      </c>
      <c r="C22" s="390" t="s">
        <v>1</v>
      </c>
      <c r="D22" s="392">
        <v>43665</v>
      </c>
      <c r="E22" s="405">
        <f t="shared" ref="E22:E29" si="0">H22</f>
        <v>-3</v>
      </c>
      <c r="F22" s="405"/>
      <c r="G22" s="395" t="s">
        <v>10</v>
      </c>
      <c r="H22" s="405">
        <v>-3</v>
      </c>
      <c r="I22" s="395" t="s">
        <v>13</v>
      </c>
    </row>
    <row r="23" spans="2:9" s="40" customFormat="1" ht="15.75" customHeight="1">
      <c r="B23" s="395" t="s">
        <v>11</v>
      </c>
      <c r="C23" s="390" t="s">
        <v>1</v>
      </c>
      <c r="D23" s="392">
        <v>43983</v>
      </c>
      <c r="E23" s="405">
        <f t="shared" si="0"/>
        <v>-4.4849999999999994</v>
      </c>
      <c r="F23" s="405"/>
      <c r="G23" s="395" t="s">
        <v>10</v>
      </c>
      <c r="H23" s="405">
        <v>-4.4849999999999994</v>
      </c>
      <c r="I23" s="395" t="s">
        <v>15</v>
      </c>
    </row>
    <row r="24" spans="2:9" s="40" customFormat="1" ht="15.75" customHeight="1">
      <c r="B24" s="395" t="s">
        <v>11</v>
      </c>
      <c r="C24" s="390" t="s">
        <v>1</v>
      </c>
      <c r="D24" s="392">
        <v>43879</v>
      </c>
      <c r="E24" s="405">
        <f t="shared" si="0"/>
        <v>-9.5097500000000004</v>
      </c>
      <c r="F24" s="405"/>
      <c r="G24" s="395" t="s">
        <v>10</v>
      </c>
      <c r="H24" s="405">
        <v>-9.5097500000000004</v>
      </c>
      <c r="I24" s="395" t="s">
        <v>100</v>
      </c>
    </row>
    <row r="25" spans="2:9" s="40" customFormat="1" ht="15.75" customHeight="1">
      <c r="B25" s="395" t="s">
        <v>11</v>
      </c>
      <c r="C25" s="390" t="s">
        <v>1</v>
      </c>
      <c r="D25" s="392">
        <v>43934</v>
      </c>
      <c r="E25" s="405">
        <f t="shared" si="0"/>
        <v>-41.3</v>
      </c>
      <c r="F25" s="405"/>
      <c r="G25" s="395" t="s">
        <v>10</v>
      </c>
      <c r="H25" s="405">
        <v>-41.3</v>
      </c>
      <c r="I25" s="395" t="s">
        <v>101</v>
      </c>
    </row>
    <row r="26" spans="2:9" s="40" customFormat="1" ht="15.75" customHeight="1">
      <c r="B26" s="395" t="s">
        <v>11</v>
      </c>
      <c r="C26" s="390" t="s">
        <v>1</v>
      </c>
      <c r="D26" s="392">
        <v>44151</v>
      </c>
      <c r="E26" s="405">
        <f t="shared" si="0"/>
        <v>9.9499999999999993</v>
      </c>
      <c r="F26" s="405"/>
      <c r="G26" s="395" t="s">
        <v>10</v>
      </c>
      <c r="H26" s="405">
        <v>9.9499999999999993</v>
      </c>
      <c r="I26" s="395" t="s">
        <v>102</v>
      </c>
    </row>
    <row r="27" spans="2:9" s="40" customFormat="1" ht="15.75" customHeight="1">
      <c r="B27" s="395" t="s">
        <v>11</v>
      </c>
      <c r="C27" s="390" t="s">
        <v>1</v>
      </c>
      <c r="D27" s="392">
        <v>44151</v>
      </c>
      <c r="E27" s="405">
        <f t="shared" si="0"/>
        <v>-10.455</v>
      </c>
      <c r="F27" s="405"/>
      <c r="G27" s="395" t="s">
        <v>10</v>
      </c>
      <c r="H27" s="405">
        <v>-10.455</v>
      </c>
      <c r="I27" s="395" t="s">
        <v>103</v>
      </c>
    </row>
    <row r="28" spans="2:9" s="40" customFormat="1" ht="15.75" customHeight="1">
      <c r="B28" s="395" t="s">
        <v>11</v>
      </c>
      <c r="C28" s="390" t="s">
        <v>1</v>
      </c>
      <c r="D28" s="392">
        <v>44196</v>
      </c>
      <c r="E28" s="405">
        <f t="shared" si="0"/>
        <v>4.9749999999999996</v>
      </c>
      <c r="F28" s="405"/>
      <c r="G28" s="395" t="s">
        <v>10</v>
      </c>
      <c r="H28" s="405">
        <v>4.9749999999999996</v>
      </c>
      <c r="I28" s="395" t="s">
        <v>104</v>
      </c>
    </row>
    <row r="29" spans="2:9" s="40" customFormat="1" ht="15.75" customHeight="1">
      <c r="B29" s="395" t="s">
        <v>11</v>
      </c>
      <c r="C29" s="390" t="s">
        <v>1</v>
      </c>
      <c r="D29" s="392">
        <v>44196</v>
      </c>
      <c r="E29" s="405">
        <f t="shared" si="0"/>
        <v>-3.4522930000000001</v>
      </c>
      <c r="F29" s="405"/>
      <c r="G29" s="395" t="s">
        <v>10</v>
      </c>
      <c r="H29" s="405">
        <v>-3.4522930000000001</v>
      </c>
      <c r="I29" s="395" t="s">
        <v>105</v>
      </c>
    </row>
    <row r="30" spans="2:9" s="40" customFormat="1" ht="15.75" customHeight="1">
      <c r="B30" s="395" t="s">
        <v>11</v>
      </c>
      <c r="C30" s="390" t="s">
        <v>1</v>
      </c>
      <c r="D30" s="392">
        <v>44196</v>
      </c>
      <c r="E30" s="405"/>
      <c r="F30" s="405">
        <f>H30</f>
        <v>0.58290199999999992</v>
      </c>
      <c r="G30" s="395" t="s">
        <v>10</v>
      </c>
      <c r="H30" s="405">
        <v>0.58290199999999992</v>
      </c>
      <c r="I30" s="395" t="s">
        <v>106</v>
      </c>
    </row>
    <row r="31" spans="2:9" s="40" customFormat="1" ht="15.75" customHeight="1">
      <c r="B31" s="395" t="s">
        <v>11</v>
      </c>
      <c r="C31" s="390" t="s">
        <v>1</v>
      </c>
      <c r="D31" s="392">
        <v>44370</v>
      </c>
      <c r="E31" s="405">
        <f>H31</f>
        <v>-5.97</v>
      </c>
      <c r="F31" s="405"/>
      <c r="G31" s="395" t="s">
        <v>10</v>
      </c>
      <c r="H31" s="405">
        <v>-5.97</v>
      </c>
      <c r="I31" s="395" t="s">
        <v>107</v>
      </c>
    </row>
    <row r="32" spans="2:9" s="40" customFormat="1" ht="15.75" customHeight="1">
      <c r="B32" s="395" t="s">
        <v>11</v>
      </c>
      <c r="C32" s="390" t="s">
        <v>1</v>
      </c>
      <c r="D32" s="392">
        <v>44400</v>
      </c>
      <c r="E32" s="405">
        <f>H32</f>
        <v>-0.75</v>
      </c>
      <c r="F32" s="405"/>
      <c r="G32" s="395" t="s">
        <v>10</v>
      </c>
      <c r="H32" s="405">
        <v>-0.75</v>
      </c>
      <c r="I32" s="395" t="s">
        <v>108</v>
      </c>
    </row>
    <row r="33" spans="2:9" s="40" customFormat="1" ht="15.75" customHeight="1">
      <c r="B33" s="395" t="s">
        <v>11</v>
      </c>
      <c r="C33" s="390" t="s">
        <v>1</v>
      </c>
      <c r="D33" s="392">
        <v>44400</v>
      </c>
      <c r="E33" s="405"/>
      <c r="F33" s="405">
        <f>H33</f>
        <v>0.44505899999999998</v>
      </c>
      <c r="G33" s="395" t="s">
        <v>10</v>
      </c>
      <c r="H33" s="405">
        <v>0.44505899999999998</v>
      </c>
      <c r="I33" s="395" t="s">
        <v>109</v>
      </c>
    </row>
    <row r="34" spans="2:9" s="40" customFormat="1" ht="15.75" customHeight="1">
      <c r="B34" s="395" t="s">
        <v>11</v>
      </c>
      <c r="C34" s="390" t="s">
        <v>1</v>
      </c>
      <c r="D34" s="392">
        <v>44554</v>
      </c>
      <c r="E34" s="405">
        <f>H34</f>
        <v>1.7823899999999999</v>
      </c>
      <c r="F34" s="405"/>
      <c r="G34" s="395" t="s">
        <v>10</v>
      </c>
      <c r="H34" s="405">
        <v>1.7823899999999999</v>
      </c>
      <c r="I34" s="395" t="s">
        <v>110</v>
      </c>
    </row>
    <row r="35" spans="2:9" s="40" customFormat="1" ht="15.75" customHeight="1">
      <c r="B35" s="395" t="s">
        <v>11</v>
      </c>
      <c r="C35" s="390" t="s">
        <v>1</v>
      </c>
      <c r="D35" s="392">
        <v>44676</v>
      </c>
      <c r="E35" s="405">
        <f>H35</f>
        <v>-21</v>
      </c>
      <c r="F35" s="405"/>
      <c r="G35" s="395" t="s">
        <v>10</v>
      </c>
      <c r="H35" s="405">
        <v>-21</v>
      </c>
      <c r="I35" s="395" t="s">
        <v>111</v>
      </c>
    </row>
    <row r="36" spans="2:9" s="40" customFormat="1" ht="15.75" customHeight="1">
      <c r="B36" s="395" t="s">
        <v>11</v>
      </c>
      <c r="C36" s="390" t="s">
        <v>1</v>
      </c>
      <c r="D36" s="392">
        <v>45243</v>
      </c>
      <c r="E36" s="405"/>
      <c r="F36" s="405">
        <f>H36</f>
        <v>6.7879100000000001</v>
      </c>
      <c r="G36" s="395" t="s">
        <v>10</v>
      </c>
      <c r="H36" s="405">
        <v>6.7879100000000001</v>
      </c>
      <c r="I36" s="395" t="s">
        <v>385</v>
      </c>
    </row>
    <row r="37" spans="2:9" s="40" customFormat="1" ht="15.75" customHeight="1">
      <c r="B37" s="395" t="s">
        <v>11</v>
      </c>
      <c r="C37" s="390" t="s">
        <v>1</v>
      </c>
      <c r="D37" s="392">
        <v>45470</v>
      </c>
      <c r="E37" s="405">
        <f>H37</f>
        <v>-5.5696999999999997E-2</v>
      </c>
      <c r="F37" s="405"/>
      <c r="G37" s="395" t="s">
        <v>10</v>
      </c>
      <c r="H37" s="405">
        <f>-55697*10^-6</f>
        <v>-5.5696999999999997E-2</v>
      </c>
      <c r="I37" s="395" t="s">
        <v>594</v>
      </c>
    </row>
    <row r="38" spans="2:9" s="40" customFormat="1" ht="15.75" customHeight="1">
      <c r="B38" s="395" t="s">
        <v>11</v>
      </c>
      <c r="C38" s="390" t="s">
        <v>1</v>
      </c>
      <c r="D38" s="392">
        <v>45611</v>
      </c>
      <c r="E38" s="405">
        <f>H38</f>
        <v>-3.1560999999999999E-2</v>
      </c>
      <c r="F38" s="405"/>
      <c r="G38" s="395" t="s">
        <v>10</v>
      </c>
      <c r="H38" s="405">
        <f>-31561*10^-6</f>
        <v>-3.1560999999999999E-2</v>
      </c>
      <c r="I38" s="395" t="s">
        <v>658</v>
      </c>
    </row>
    <row r="39" spans="2:9" s="40" customFormat="1" ht="15.75" customHeight="1">
      <c r="B39" s="383" t="s">
        <v>11</v>
      </c>
      <c r="C39" s="378" t="s">
        <v>115</v>
      </c>
      <c r="D39" s="380">
        <v>44087</v>
      </c>
      <c r="E39" s="388">
        <f>H39*1.1</f>
        <v>-20.917552997000001</v>
      </c>
      <c r="F39" s="402"/>
      <c r="G39" s="383" t="s">
        <v>130</v>
      </c>
      <c r="H39" s="403">
        <v>-19.015957270000001</v>
      </c>
      <c r="I39" s="383" t="s">
        <v>132</v>
      </c>
    </row>
    <row r="40" spans="2:9" s="40" customFormat="1" ht="15.75" customHeight="1">
      <c r="B40" s="383" t="s">
        <v>11</v>
      </c>
      <c r="C40" s="378" t="s">
        <v>115</v>
      </c>
      <c r="D40" s="380">
        <v>44287</v>
      </c>
      <c r="E40" s="388">
        <v>-0.21103182000000001</v>
      </c>
      <c r="F40" s="402"/>
      <c r="G40" s="388" t="s">
        <v>130</v>
      </c>
      <c r="H40" s="403">
        <v>-0.21103182000000001</v>
      </c>
      <c r="I40" s="383" t="s">
        <v>133</v>
      </c>
    </row>
    <row r="41" spans="2:9" s="40" customFormat="1" ht="15.75" customHeight="1">
      <c r="B41" s="383" t="s">
        <v>11</v>
      </c>
      <c r="C41" s="378" t="s">
        <v>115</v>
      </c>
      <c r="D41" s="380">
        <v>44442</v>
      </c>
      <c r="E41" s="388">
        <f>1.18*H41</f>
        <v>-0.23965473139999999</v>
      </c>
      <c r="F41" s="402"/>
      <c r="G41" s="388" t="s">
        <v>130</v>
      </c>
      <c r="H41" s="403">
        <f>-203097.23*10^-6</f>
        <v>-0.20309722999999999</v>
      </c>
      <c r="I41" s="383" t="s">
        <v>152</v>
      </c>
    </row>
    <row r="42" spans="2:9" s="40" customFormat="1" ht="15.75" customHeight="1">
      <c r="B42" s="383" t="s">
        <v>11</v>
      </c>
      <c r="C42" s="378" t="s">
        <v>115</v>
      </c>
      <c r="D42" s="380">
        <v>44623</v>
      </c>
      <c r="E42" s="388">
        <f>1.11*H42</f>
        <v>-0.25893584940000003</v>
      </c>
      <c r="F42" s="402"/>
      <c r="G42" s="388" t="s">
        <v>130</v>
      </c>
      <c r="H42" s="403">
        <f>-233275.54*10^-6</f>
        <v>-0.23327554</v>
      </c>
      <c r="I42" s="383" t="s">
        <v>153</v>
      </c>
    </row>
    <row r="43" spans="2:9" s="40" customFormat="1" ht="15.75" customHeight="1">
      <c r="B43" s="383" t="s">
        <v>11</v>
      </c>
      <c r="C43" s="378" t="s">
        <v>115</v>
      </c>
      <c r="D43" s="380">
        <v>44784</v>
      </c>
      <c r="E43" s="381">
        <f>1.03*H43</f>
        <v>1.5224656599999999E-2</v>
      </c>
      <c r="F43" s="402"/>
      <c r="G43" s="388" t="s">
        <v>130</v>
      </c>
      <c r="H43" s="404">
        <f>14781.22*10^-6</f>
        <v>1.4781219999999999E-2</v>
      </c>
      <c r="I43" s="383" t="s">
        <v>154</v>
      </c>
    </row>
    <row r="44" spans="2:9" s="40" customFormat="1" ht="15.75" customHeight="1">
      <c r="B44" s="383" t="s">
        <v>11</v>
      </c>
      <c r="C44" s="378" t="s">
        <v>115</v>
      </c>
      <c r="D44" s="380">
        <v>44956</v>
      </c>
      <c r="E44" s="388">
        <f>9741387*10^-6*1.08341</f>
        <v>10.553916089669999</v>
      </c>
      <c r="F44" s="388"/>
      <c r="G44" s="388" t="s">
        <v>130</v>
      </c>
      <c r="H44" s="403">
        <f>9741387*10^-6</f>
        <v>9.7413869999999996</v>
      </c>
      <c r="I44" s="383" t="s">
        <v>154</v>
      </c>
    </row>
    <row r="45" spans="2:9" s="40" customFormat="1" ht="15.75" customHeight="1">
      <c r="B45" s="383" t="s">
        <v>11</v>
      </c>
      <c r="C45" s="378" t="s">
        <v>115</v>
      </c>
      <c r="D45" s="380">
        <v>44956</v>
      </c>
      <c r="E45" s="388"/>
      <c r="F45" s="388">
        <f>2728214.02*10^-6*1.08341</f>
        <v>2.9557743514081998</v>
      </c>
      <c r="G45" s="388" t="s">
        <v>130</v>
      </c>
      <c r="H45" s="403">
        <v>2.7282140199999994</v>
      </c>
      <c r="I45" s="383" t="s">
        <v>261</v>
      </c>
    </row>
    <row r="46" spans="2:9" s="40" customFormat="1" ht="15.75" customHeight="1">
      <c r="B46" s="383" t="s">
        <v>11</v>
      </c>
      <c r="C46" s="378" t="s">
        <v>115</v>
      </c>
      <c r="D46" s="380">
        <v>45170</v>
      </c>
      <c r="E46" s="388">
        <v>-0.22532724156300002</v>
      </c>
      <c r="F46" s="388"/>
      <c r="G46" s="388" t="s">
        <v>130</v>
      </c>
      <c r="H46" s="388">
        <v>-0.22532724156300002</v>
      </c>
      <c r="I46" s="383" t="s">
        <v>485</v>
      </c>
    </row>
    <row r="47" spans="2:9" s="40" customFormat="1" ht="15.75" customHeight="1">
      <c r="B47" s="383" t="s">
        <v>11</v>
      </c>
      <c r="C47" s="378" t="s">
        <v>115</v>
      </c>
      <c r="D47" s="380">
        <v>45260</v>
      </c>
      <c r="E47" s="388">
        <v>-0.28531251529200002</v>
      </c>
      <c r="F47" s="388"/>
      <c r="G47" s="388" t="s">
        <v>130</v>
      </c>
      <c r="H47" s="388">
        <v>-0.28531251529200002</v>
      </c>
      <c r="I47" s="383" t="s">
        <v>484</v>
      </c>
    </row>
    <row r="48" spans="2:9" s="40" customFormat="1" ht="15.75" customHeight="1">
      <c r="B48" s="383" t="s">
        <v>11</v>
      </c>
      <c r="C48" s="378" t="s">
        <v>115</v>
      </c>
      <c r="D48" s="380">
        <v>45321</v>
      </c>
      <c r="E48" s="388">
        <v>-2.4198785200000001</v>
      </c>
      <c r="F48" s="388"/>
      <c r="G48" s="388" t="s">
        <v>130</v>
      </c>
      <c r="H48" s="388">
        <v>-2.4198785200000001</v>
      </c>
      <c r="I48" s="383" t="s">
        <v>403</v>
      </c>
    </row>
    <row r="49" spans="2:9" s="40" customFormat="1" ht="15.75" customHeight="1">
      <c r="B49" s="383" t="s">
        <v>11</v>
      </c>
      <c r="C49" s="378" t="s">
        <v>115</v>
      </c>
      <c r="D49" s="380">
        <v>45372</v>
      </c>
      <c r="E49" s="388">
        <v>-0.21649573657739998</v>
      </c>
      <c r="F49" s="388"/>
      <c r="G49" s="388" t="s">
        <v>130</v>
      </c>
      <c r="H49" s="388">
        <v>-0.21649573657739998</v>
      </c>
      <c r="I49" s="383" t="s">
        <v>564</v>
      </c>
    </row>
    <row r="50" spans="2:9" s="40" customFormat="1" ht="15.75" customHeight="1">
      <c r="B50" s="383" t="s">
        <v>11</v>
      </c>
      <c r="C50" s="378" t="s">
        <v>115</v>
      </c>
      <c r="D50" s="380">
        <v>45454</v>
      </c>
      <c r="E50" s="388"/>
      <c r="F50" s="388">
        <f>H50*1.0743</f>
        <v>0.46369472675700002</v>
      </c>
      <c r="G50" s="388" t="s">
        <v>130</v>
      </c>
      <c r="H50" s="403">
        <f>431624.99*10^-6</f>
        <v>0.43162498999999999</v>
      </c>
      <c r="I50" s="383" t="s">
        <v>601</v>
      </c>
    </row>
    <row r="51" spans="2:9" s="40" customFormat="1" ht="15.75" customHeight="1">
      <c r="B51" s="383" t="s">
        <v>11</v>
      </c>
      <c r="C51" s="378" t="s">
        <v>115</v>
      </c>
      <c r="D51" s="380">
        <v>45505</v>
      </c>
      <c r="E51" s="388">
        <f>H51*1.0883</f>
        <v>-1.717390356678</v>
      </c>
      <c r="F51" s="388"/>
      <c r="G51" s="388" t="s">
        <v>130</v>
      </c>
      <c r="H51" s="403">
        <f>-1578048.66*10^-6</f>
        <v>-1.5780486599999999</v>
      </c>
      <c r="I51" s="383" t="s">
        <v>602</v>
      </c>
    </row>
    <row r="52" spans="2:9" s="40" customFormat="1" ht="15.75" customHeight="1">
      <c r="B52" s="383" t="s">
        <v>11</v>
      </c>
      <c r="C52" s="378" t="s">
        <v>115</v>
      </c>
      <c r="D52" s="380">
        <v>45604</v>
      </c>
      <c r="E52" s="388">
        <f>H52*1.07205</f>
        <v>-1.8749406423509998</v>
      </c>
      <c r="F52" s="388"/>
      <c r="G52" s="388" t="s">
        <v>130</v>
      </c>
      <c r="H52" s="403">
        <f>-1748930.22*10^-6</f>
        <v>-1.7489302199999999</v>
      </c>
      <c r="I52" s="383" t="s">
        <v>659</v>
      </c>
    </row>
    <row r="53" spans="2:9" s="40" customFormat="1" ht="15.75" customHeight="1">
      <c r="B53" s="383" t="s">
        <v>11</v>
      </c>
      <c r="C53" s="378" t="s">
        <v>115</v>
      </c>
      <c r="D53" s="380">
        <v>45692</v>
      </c>
      <c r="E53" s="388">
        <f>(H53-0.34559)*1.08</f>
        <v>2.1803051663999997</v>
      </c>
      <c r="F53" s="388">
        <f>0.34559*1.08</f>
        <v>0.37323720000000005</v>
      </c>
      <c r="G53" s="388" t="s">
        <v>130</v>
      </c>
      <c r="H53" s="403">
        <v>2.3643910799999999</v>
      </c>
      <c r="I53" s="383" t="s">
        <v>718</v>
      </c>
    </row>
    <row r="54" spans="2:9" s="40" customFormat="1" ht="15.75" customHeight="1">
      <c r="B54" s="383" t="s">
        <v>11</v>
      </c>
      <c r="C54" s="378" t="s">
        <v>115</v>
      </c>
      <c r="D54" s="380">
        <v>45736</v>
      </c>
      <c r="E54" s="388">
        <f>H54*1.08579</f>
        <v>-0.77167877068800006</v>
      </c>
      <c r="F54" s="388"/>
      <c r="G54" s="388" t="s">
        <v>130</v>
      </c>
      <c r="H54" s="403">
        <v>-0.71070719999999998</v>
      </c>
      <c r="I54" s="383" t="s">
        <v>742</v>
      </c>
    </row>
    <row r="55" spans="2:9" s="40" customFormat="1" ht="15.75" customHeight="1">
      <c r="B55" s="383" t="s">
        <v>11</v>
      </c>
      <c r="C55" s="378" t="s">
        <v>115</v>
      </c>
      <c r="D55" s="380">
        <v>45834</v>
      </c>
      <c r="E55" s="388">
        <f>H55*1.16999</f>
        <v>-2.7197917009184001</v>
      </c>
      <c r="F55" s="388"/>
      <c r="G55" s="388" t="s">
        <v>130</v>
      </c>
      <c r="H55" s="403">
        <f>-'8. NewSpace'!R18*10^-6</f>
        <v>-2.3246281600000001</v>
      </c>
      <c r="I55" s="383" t="s">
        <v>798</v>
      </c>
    </row>
    <row r="56" spans="2:9" s="40" customFormat="1" ht="15.75" customHeight="1">
      <c r="B56" s="383" t="s">
        <v>11</v>
      </c>
      <c r="C56" s="378" t="s">
        <v>115</v>
      </c>
      <c r="D56" s="554" t="s">
        <v>811</v>
      </c>
      <c r="E56" s="553">
        <f t="shared" ref="E56:E58" si="1">H56*1.16999</f>
        <v>-5.1370022494225998</v>
      </c>
      <c r="F56" s="388"/>
      <c r="G56" s="388" t="s">
        <v>130</v>
      </c>
      <c r="H56" s="403">
        <f>('8. NewSpace'!S15+'8. NewSpace'!S16)*10^-6</f>
        <v>-4.3906377399999998</v>
      </c>
      <c r="I56" s="383" t="s">
        <v>808</v>
      </c>
    </row>
    <row r="57" spans="2:9" s="40" customFormat="1" ht="15.75" customHeight="1">
      <c r="B57" s="383" t="s">
        <v>11</v>
      </c>
      <c r="C57" s="378" t="s">
        <v>115</v>
      </c>
      <c r="D57" s="554" t="s">
        <v>811</v>
      </c>
      <c r="E57" s="553"/>
      <c r="F57" s="553">
        <v>-0.91406649269910001</v>
      </c>
      <c r="G57" s="388" t="s">
        <v>130</v>
      </c>
      <c r="H57" s="403">
        <f>'8. NewSpace'!S17*10^-6</f>
        <v>-0.78126008999999996</v>
      </c>
      <c r="I57" s="383" t="s">
        <v>809</v>
      </c>
    </row>
    <row r="58" spans="2:9" s="40" customFormat="1" ht="15.75" customHeight="1">
      <c r="B58" s="383" t="s">
        <v>11</v>
      </c>
      <c r="C58" s="378" t="s">
        <v>115</v>
      </c>
      <c r="D58" s="554" t="s">
        <v>811</v>
      </c>
      <c r="E58" s="553">
        <f t="shared" si="1"/>
        <v>2.1903083038562001</v>
      </c>
      <c r="F58" s="388"/>
      <c r="G58" s="388" t="s">
        <v>130</v>
      </c>
      <c r="H58" s="403">
        <f>'8. NewSpace'!S18*10^-6</f>
        <v>1.8720743799999999</v>
      </c>
      <c r="I58" s="383" t="s">
        <v>810</v>
      </c>
    </row>
    <row r="59" spans="2:9" s="40" customFormat="1" ht="15.75" customHeight="1">
      <c r="B59" s="383" t="s">
        <v>11</v>
      </c>
      <c r="C59" s="378" t="s">
        <v>284</v>
      </c>
      <c r="D59" s="380">
        <v>44087</v>
      </c>
      <c r="E59" s="388">
        <f>-'A. All deals (a)'!K46</f>
        <v>-2.7058823529411762</v>
      </c>
      <c r="F59" s="402"/>
      <c r="G59" s="383" t="s">
        <v>130</v>
      </c>
      <c r="H59" s="403">
        <v>-2.125</v>
      </c>
      <c r="I59" s="383" t="s">
        <v>132</v>
      </c>
    </row>
    <row r="60" spans="2:9" s="40" customFormat="1" ht="15.75" customHeight="1">
      <c r="B60" s="395" t="s">
        <v>11</v>
      </c>
      <c r="C60" s="390" t="s">
        <v>160</v>
      </c>
      <c r="D60" s="392">
        <v>44540</v>
      </c>
      <c r="E60" s="405">
        <f t="shared" ref="E60:E65" si="2">H60</f>
        <v>-2.8053124999999999</v>
      </c>
      <c r="F60" s="405"/>
      <c r="G60" s="395" t="s">
        <v>10</v>
      </c>
      <c r="H60" s="406">
        <v>-2.8053124999999999</v>
      </c>
      <c r="I60" s="395" t="s">
        <v>13</v>
      </c>
    </row>
    <row r="61" spans="2:9" s="40" customFormat="1" ht="15.75" customHeight="1">
      <c r="B61" s="395" t="s">
        <v>11</v>
      </c>
      <c r="C61" s="390" t="s">
        <v>160</v>
      </c>
      <c r="D61" s="392">
        <v>44602</v>
      </c>
      <c r="E61" s="405">
        <f t="shared" si="2"/>
        <v>-3.4074999999999998</v>
      </c>
      <c r="F61" s="405"/>
      <c r="G61" s="395" t="s">
        <v>10</v>
      </c>
      <c r="H61" s="406">
        <v>-3.4074999999999998</v>
      </c>
      <c r="I61" s="395" t="s">
        <v>114</v>
      </c>
    </row>
    <row r="62" spans="2:9" s="40" customFormat="1" ht="15.75" customHeight="1">
      <c r="B62" s="395" t="s">
        <v>11</v>
      </c>
      <c r="C62" s="390" t="s">
        <v>160</v>
      </c>
      <c r="D62" s="392">
        <v>44683</v>
      </c>
      <c r="E62" s="405">
        <f t="shared" si="2"/>
        <v>-1.0257749999999999</v>
      </c>
      <c r="F62" s="405"/>
      <c r="G62" s="395" t="s">
        <v>10</v>
      </c>
      <c r="H62" s="406">
        <v>-1.0257749999999999</v>
      </c>
      <c r="I62" s="395" t="s">
        <v>205</v>
      </c>
    </row>
    <row r="63" spans="2:9" s="40" customFormat="1" ht="15.75" customHeight="1">
      <c r="B63" s="395" t="s">
        <v>11</v>
      </c>
      <c r="C63" s="390" t="s">
        <v>160</v>
      </c>
      <c r="D63" s="392">
        <v>44707</v>
      </c>
      <c r="E63" s="405">
        <f t="shared" si="2"/>
        <v>-3.3882749999999997</v>
      </c>
      <c r="F63" s="405"/>
      <c r="G63" s="395" t="s">
        <v>10</v>
      </c>
      <c r="H63" s="406">
        <v>-3.3882749999999997</v>
      </c>
      <c r="I63" s="395" t="s">
        <v>113</v>
      </c>
    </row>
    <row r="64" spans="2:9">
      <c r="B64" s="395" t="s">
        <v>11</v>
      </c>
      <c r="C64" s="390" t="s">
        <v>160</v>
      </c>
      <c r="D64" s="392">
        <v>44875</v>
      </c>
      <c r="E64" s="405">
        <f t="shared" si="2"/>
        <v>-3.3882749999999997</v>
      </c>
      <c r="F64" s="405"/>
      <c r="G64" s="395" t="s">
        <v>10</v>
      </c>
      <c r="H64" s="406">
        <v>-3.3882749999999997</v>
      </c>
      <c r="I64" s="395" t="s">
        <v>101</v>
      </c>
    </row>
    <row r="65" spans="2:9">
      <c r="B65" s="395" t="s">
        <v>11</v>
      </c>
      <c r="C65" s="390" t="s">
        <v>160</v>
      </c>
      <c r="D65" s="392">
        <v>45760</v>
      </c>
      <c r="E65" s="405">
        <f t="shared" si="2"/>
        <v>-1.7112499999999999</v>
      </c>
      <c r="F65" s="405"/>
      <c r="G65" s="395" t="s">
        <v>10</v>
      </c>
      <c r="H65" s="406">
        <v>-1.7112499999999999</v>
      </c>
      <c r="I65" s="395" t="s">
        <v>103</v>
      </c>
    </row>
    <row r="66" spans="2:9">
      <c r="B66" s="395"/>
      <c r="C66" s="390"/>
      <c r="D66" s="392"/>
      <c r="E66" s="405"/>
      <c r="F66" s="405"/>
      <c r="G66" s="395"/>
      <c r="H66" s="406"/>
      <c r="I66" s="395"/>
    </row>
    <row r="67" spans="2:9" s="40" customFormat="1" ht="15.75" customHeight="1">
      <c r="B67" s="383" t="s">
        <v>773</v>
      </c>
      <c r="C67" s="378" t="s">
        <v>750</v>
      </c>
      <c r="D67" s="380">
        <v>45547</v>
      </c>
      <c r="E67" s="388">
        <v>-25</v>
      </c>
      <c r="F67" s="388"/>
      <c r="G67" s="383" t="s">
        <v>10</v>
      </c>
      <c r="H67" s="388">
        <f>E67+F67</f>
        <v>-25</v>
      </c>
      <c r="I67" s="383" t="s">
        <v>751</v>
      </c>
    </row>
    <row r="68" spans="2:9" s="40" customFormat="1" ht="15.75" customHeight="1">
      <c r="B68" s="383"/>
      <c r="C68" s="378"/>
      <c r="D68" s="380"/>
      <c r="E68" s="388"/>
      <c r="F68" s="388"/>
      <c r="G68" s="383"/>
      <c r="H68" s="388"/>
      <c r="I68" s="383"/>
    </row>
    <row r="69" spans="2:9" s="40" customFormat="1" ht="15.75" customHeight="1">
      <c r="B69" s="383" t="s">
        <v>773</v>
      </c>
      <c r="C69" s="378" t="s">
        <v>694</v>
      </c>
      <c r="D69" s="380">
        <v>45645</v>
      </c>
      <c r="E69" s="388">
        <v>-20.202020000000001</v>
      </c>
      <c r="F69" s="388"/>
      <c r="G69" s="383" t="s">
        <v>10</v>
      </c>
      <c r="H69" s="388">
        <f t="shared" ref="H69:H95" si="3">E69+F69</f>
        <v>-20.202020000000001</v>
      </c>
      <c r="I69" s="383" t="s">
        <v>753</v>
      </c>
    </row>
    <row r="70" spans="2:9" s="40" customFormat="1" ht="15.75" customHeight="1">
      <c r="B70" s="383" t="s">
        <v>773</v>
      </c>
      <c r="C70" s="378" t="s">
        <v>694</v>
      </c>
      <c r="D70" s="380">
        <v>45645</v>
      </c>
      <c r="E70" s="388">
        <v>-20.202020000000001</v>
      </c>
      <c r="F70" s="388"/>
      <c r="G70" s="383" t="s">
        <v>10</v>
      </c>
      <c r="H70" s="388">
        <f t="shared" si="3"/>
        <v>-20.202020000000001</v>
      </c>
      <c r="I70" s="383" t="s">
        <v>754</v>
      </c>
    </row>
    <row r="71" spans="2:9" s="40" customFormat="1" ht="15.75" customHeight="1">
      <c r="B71" s="383" t="s">
        <v>773</v>
      </c>
      <c r="C71" s="378" t="s">
        <v>694</v>
      </c>
      <c r="D71" s="380">
        <v>45645</v>
      </c>
      <c r="E71" s="388">
        <v>-42.880735000000001</v>
      </c>
      <c r="F71" s="388"/>
      <c r="G71" s="383" t="s">
        <v>10</v>
      </c>
      <c r="H71" s="388">
        <f t="shared" si="3"/>
        <v>-42.880735000000001</v>
      </c>
      <c r="I71" s="383" t="s">
        <v>755</v>
      </c>
    </row>
    <row r="72" spans="2:9" s="40" customFormat="1" ht="15.75" customHeight="1">
      <c r="B72" s="383" t="s">
        <v>773</v>
      </c>
      <c r="C72" s="378" t="s">
        <v>694</v>
      </c>
      <c r="D72" s="380">
        <v>45645</v>
      </c>
      <c r="E72" s="388">
        <v>-32.323230000000002</v>
      </c>
      <c r="F72" s="388"/>
      <c r="G72" s="383" t="s">
        <v>10</v>
      </c>
      <c r="H72" s="388">
        <f t="shared" si="3"/>
        <v>-32.323230000000002</v>
      </c>
      <c r="I72" s="383" t="s">
        <v>733</v>
      </c>
    </row>
    <row r="73" spans="2:9" s="40" customFormat="1" ht="15.75" customHeight="1">
      <c r="B73" s="383" t="s">
        <v>773</v>
      </c>
      <c r="C73" s="378" t="s">
        <v>694</v>
      </c>
      <c r="D73" s="380">
        <v>45645</v>
      </c>
      <c r="E73" s="388">
        <v>-0.458978</v>
      </c>
      <c r="F73" s="388"/>
      <c r="G73" s="383" t="s">
        <v>10</v>
      </c>
      <c r="H73" s="388">
        <f t="shared" si="3"/>
        <v>-0.458978</v>
      </c>
      <c r="I73" s="383" t="s">
        <v>756</v>
      </c>
    </row>
    <row r="74" spans="2:9" s="40" customFormat="1" ht="15.75" customHeight="1">
      <c r="B74" s="383" t="s">
        <v>773</v>
      </c>
      <c r="C74" s="378" t="s">
        <v>694</v>
      </c>
      <c r="D74" s="380">
        <v>45645</v>
      </c>
      <c r="E74" s="388">
        <v>-3.0303E-2</v>
      </c>
      <c r="F74" s="388"/>
      <c r="G74" s="383" t="s">
        <v>10</v>
      </c>
      <c r="H74" s="388">
        <f t="shared" si="3"/>
        <v>-3.0303E-2</v>
      </c>
      <c r="I74" s="383" t="s">
        <v>757</v>
      </c>
    </row>
    <row r="75" spans="2:9" s="40" customFormat="1" ht="15.75" customHeight="1">
      <c r="B75" s="383" t="s">
        <v>773</v>
      </c>
      <c r="C75" s="378" t="s">
        <v>694</v>
      </c>
      <c r="D75" s="380">
        <v>45712</v>
      </c>
      <c r="E75" s="388">
        <v>-2.0202019999999998</v>
      </c>
      <c r="F75" s="388"/>
      <c r="G75" s="383" t="s">
        <v>10</v>
      </c>
      <c r="H75" s="388">
        <f t="shared" si="3"/>
        <v>-2.0202019999999998</v>
      </c>
      <c r="I75" s="383" t="s">
        <v>753</v>
      </c>
    </row>
    <row r="76" spans="2:9" s="40" customFormat="1" ht="15.75" customHeight="1">
      <c r="B76" s="383" t="s">
        <v>773</v>
      </c>
      <c r="C76" s="378" t="s">
        <v>694</v>
      </c>
      <c r="D76" s="380">
        <v>45712</v>
      </c>
      <c r="E76" s="388">
        <v>-8.0808079999999993</v>
      </c>
      <c r="F76" s="388"/>
      <c r="G76" s="383" t="s">
        <v>10</v>
      </c>
      <c r="H76" s="388">
        <f t="shared" si="3"/>
        <v>-8.0808079999999993</v>
      </c>
      <c r="I76" s="383" t="s">
        <v>733</v>
      </c>
    </row>
    <row r="77" spans="2:9" s="40" customFormat="1" ht="15.75" customHeight="1">
      <c r="B77" s="383" t="s">
        <v>773</v>
      </c>
      <c r="C77" s="378" t="s">
        <v>694</v>
      </c>
      <c r="D77" s="380">
        <v>45712</v>
      </c>
      <c r="E77" s="388">
        <v>-59.841678000000002</v>
      </c>
      <c r="F77" s="388"/>
      <c r="G77" s="383" t="s">
        <v>10</v>
      </c>
      <c r="H77" s="388">
        <f t="shared" si="3"/>
        <v>-59.841678000000002</v>
      </c>
      <c r="I77" s="383" t="s">
        <v>734</v>
      </c>
    </row>
    <row r="78" spans="2:9" s="40" customFormat="1" ht="15.75" customHeight="1">
      <c r="B78" s="383" t="s">
        <v>773</v>
      </c>
      <c r="C78" s="378" t="s">
        <v>694</v>
      </c>
      <c r="D78" s="380">
        <v>45713</v>
      </c>
      <c r="E78" s="388">
        <v>-8.0807369999999992</v>
      </c>
      <c r="F78" s="388"/>
      <c r="G78" s="383" t="s">
        <v>10</v>
      </c>
      <c r="H78" s="388">
        <f t="shared" si="3"/>
        <v>-8.0807369999999992</v>
      </c>
      <c r="I78" s="383" t="s">
        <v>760</v>
      </c>
    </row>
    <row r="79" spans="2:9" s="40" customFormat="1" ht="15.75" customHeight="1">
      <c r="B79" s="383" t="s">
        <v>773</v>
      </c>
      <c r="C79" s="378" t="s">
        <v>694</v>
      </c>
      <c r="D79" s="380">
        <v>45712</v>
      </c>
      <c r="E79" s="388">
        <v>-0.28127000000000002</v>
      </c>
      <c r="F79" s="388"/>
      <c r="G79" s="383" t="s">
        <v>10</v>
      </c>
      <c r="H79" s="388">
        <f t="shared" si="3"/>
        <v>-0.28127000000000002</v>
      </c>
      <c r="I79" s="383" t="s">
        <v>757</v>
      </c>
    </row>
    <row r="80" spans="2:9" s="40" customFormat="1" ht="15.75" customHeight="1">
      <c r="B80" s="383" t="s">
        <v>773</v>
      </c>
      <c r="C80" s="378" t="s">
        <v>694</v>
      </c>
      <c r="D80" s="380">
        <v>45770</v>
      </c>
      <c r="E80" s="388">
        <v>-2.0539744400000002</v>
      </c>
      <c r="F80" s="388"/>
      <c r="G80" s="383" t="s">
        <v>10</v>
      </c>
      <c r="H80" s="388">
        <f t="shared" ref="H80" si="4">E80+F80</f>
        <v>-2.0539744400000002</v>
      </c>
      <c r="I80" s="383" t="s">
        <v>699</v>
      </c>
    </row>
    <row r="81" spans="2:9" s="40" customFormat="1" ht="15.75" customHeight="1">
      <c r="B81" s="383" t="s">
        <v>773</v>
      </c>
      <c r="C81" s="378" t="s">
        <v>694</v>
      </c>
      <c r="D81" s="380"/>
      <c r="E81" s="388">
        <v>-6.1824409200000003</v>
      </c>
      <c r="F81" s="388"/>
      <c r="G81" s="383" t="s">
        <v>10</v>
      </c>
      <c r="H81" s="388">
        <f t="shared" ref="H81:H82" si="5">E81+F81</f>
        <v>-6.1824409200000003</v>
      </c>
      <c r="I81" s="383" t="s">
        <v>803</v>
      </c>
    </row>
    <row r="82" spans="2:9" s="40" customFormat="1" ht="15.75" customHeight="1">
      <c r="B82" s="383" t="s">
        <v>773</v>
      </c>
      <c r="C82" s="378" t="s">
        <v>694</v>
      </c>
      <c r="D82" s="380"/>
      <c r="E82" s="388">
        <v>57.059152349999998</v>
      </c>
      <c r="F82" s="388"/>
      <c r="G82" s="383" t="s">
        <v>10</v>
      </c>
      <c r="H82" s="388">
        <f t="shared" si="5"/>
        <v>57.059152349999998</v>
      </c>
      <c r="I82" s="383" t="s">
        <v>154</v>
      </c>
    </row>
    <row r="83" spans="2:9" s="40" customFormat="1" ht="15.75" customHeight="1">
      <c r="B83" s="383" t="s">
        <v>773</v>
      </c>
      <c r="C83" s="378" t="s">
        <v>761</v>
      </c>
      <c r="D83" s="380">
        <v>45454</v>
      </c>
      <c r="E83" s="388">
        <v>-4.4402119999999998</v>
      </c>
      <c r="F83" s="388"/>
      <c r="G83" s="383" t="s">
        <v>10</v>
      </c>
      <c r="H83" s="388">
        <f t="shared" si="3"/>
        <v>-4.4402119999999998</v>
      </c>
      <c r="I83" s="383" t="s">
        <v>732</v>
      </c>
    </row>
    <row r="84" spans="2:9" s="40" customFormat="1" ht="15.75" customHeight="1">
      <c r="B84" s="383" t="s">
        <v>773</v>
      </c>
      <c r="C84" s="378" t="s">
        <v>761</v>
      </c>
      <c r="D84" s="380">
        <v>45468</v>
      </c>
      <c r="E84" s="388">
        <v>-0.85670199999999996</v>
      </c>
      <c r="F84" s="388"/>
      <c r="G84" s="383" t="s">
        <v>10</v>
      </c>
      <c r="H84" s="388">
        <f t="shared" si="3"/>
        <v>-0.85670199999999996</v>
      </c>
      <c r="I84" s="383" t="s">
        <v>732</v>
      </c>
    </row>
    <row r="85" spans="2:9" s="40" customFormat="1" ht="15.75" customHeight="1">
      <c r="B85" s="383" t="s">
        <v>773</v>
      </c>
      <c r="C85" s="378" t="s">
        <v>761</v>
      </c>
      <c r="D85" s="380">
        <v>45562</v>
      </c>
      <c r="E85" s="388">
        <v>-1.7660180000000001</v>
      </c>
      <c r="F85" s="388"/>
      <c r="G85" s="383" t="s">
        <v>10</v>
      </c>
      <c r="H85" s="388">
        <f t="shared" si="3"/>
        <v>-1.7660180000000001</v>
      </c>
      <c r="I85" s="383" t="s">
        <v>732</v>
      </c>
    </row>
    <row r="86" spans="2:9" s="40" customFormat="1" ht="15.75" customHeight="1">
      <c r="B86" s="383" t="s">
        <v>773</v>
      </c>
      <c r="C86" s="378" t="s">
        <v>761</v>
      </c>
      <c r="D86" s="380">
        <v>45581</v>
      </c>
      <c r="E86" s="388">
        <v>-0.12598200000000001</v>
      </c>
      <c r="F86" s="388"/>
      <c r="G86" s="383" t="s">
        <v>10</v>
      </c>
      <c r="H86" s="388">
        <f t="shared" si="3"/>
        <v>-0.12598200000000001</v>
      </c>
      <c r="I86" s="383" t="s">
        <v>732</v>
      </c>
    </row>
    <row r="87" spans="2:9" s="40" customFormat="1" ht="15.75" customHeight="1">
      <c r="B87" s="383" t="s">
        <v>773</v>
      </c>
      <c r="C87" s="378" t="s">
        <v>761</v>
      </c>
      <c r="D87" s="380">
        <v>45645</v>
      </c>
      <c r="E87" s="388">
        <v>-3.257177</v>
      </c>
      <c r="F87" s="388"/>
      <c r="G87" s="383" t="s">
        <v>10</v>
      </c>
      <c r="H87" s="388">
        <f t="shared" si="3"/>
        <v>-3.257177</v>
      </c>
      <c r="I87" s="383" t="s">
        <v>732</v>
      </c>
    </row>
    <row r="88" spans="2:9" s="40" customFormat="1" ht="15.75" customHeight="1">
      <c r="B88" s="383" t="s">
        <v>773</v>
      </c>
      <c r="C88" s="378" t="s">
        <v>761</v>
      </c>
      <c r="D88" s="380">
        <v>45726</v>
      </c>
      <c r="E88" s="388">
        <v>-8.2013269999999991</v>
      </c>
      <c r="F88" s="388"/>
      <c r="G88" s="383" t="s">
        <v>10</v>
      </c>
      <c r="H88" s="388">
        <f t="shared" si="3"/>
        <v>-8.2013269999999991</v>
      </c>
      <c r="I88" s="383" t="s">
        <v>732</v>
      </c>
    </row>
    <row r="89" spans="2:9" s="40" customFormat="1" ht="15.75" customHeight="1">
      <c r="B89" s="383"/>
      <c r="C89" s="378"/>
      <c r="D89" s="380"/>
      <c r="E89" s="388"/>
      <c r="F89" s="388"/>
      <c r="G89" s="383"/>
      <c r="H89" s="388"/>
      <c r="I89" s="383"/>
    </row>
    <row r="90" spans="2:9" s="40" customFormat="1" ht="15.75" customHeight="1">
      <c r="B90" s="383" t="s">
        <v>773</v>
      </c>
      <c r="C90" s="378" t="s">
        <v>768</v>
      </c>
      <c r="D90" s="380">
        <v>45562</v>
      </c>
      <c r="E90" s="388">
        <v>250</v>
      </c>
      <c r="F90" s="388"/>
      <c r="G90" s="383" t="s">
        <v>10</v>
      </c>
      <c r="H90" s="388">
        <f t="shared" si="3"/>
        <v>250</v>
      </c>
      <c r="I90" s="383" t="s">
        <v>753</v>
      </c>
    </row>
    <row r="91" spans="2:9" s="40" customFormat="1" ht="15.75" customHeight="1">
      <c r="B91" s="383" t="s">
        <v>773</v>
      </c>
      <c r="C91" s="378" t="s">
        <v>768</v>
      </c>
      <c r="D91" s="380">
        <v>45618</v>
      </c>
      <c r="E91" s="388">
        <v>249.99999799999998</v>
      </c>
      <c r="F91" s="388"/>
      <c r="G91" s="383" t="s">
        <v>10</v>
      </c>
      <c r="H91" s="388">
        <f t="shared" si="3"/>
        <v>249.99999799999998</v>
      </c>
      <c r="I91" s="383" t="s">
        <v>754</v>
      </c>
    </row>
    <row r="92" spans="2:9" s="40" customFormat="1" ht="15.75" customHeight="1">
      <c r="B92" s="383" t="s">
        <v>773</v>
      </c>
      <c r="C92" s="378" t="s">
        <v>768</v>
      </c>
      <c r="D92" s="380">
        <v>45645</v>
      </c>
      <c r="E92" s="388">
        <v>-125</v>
      </c>
      <c r="F92" s="388"/>
      <c r="G92" s="383" t="s">
        <v>10</v>
      </c>
      <c r="H92" s="388">
        <f t="shared" si="3"/>
        <v>-125</v>
      </c>
      <c r="I92" s="383" t="s">
        <v>753</v>
      </c>
    </row>
    <row r="93" spans="2:9" s="40" customFormat="1" ht="15.75" customHeight="1">
      <c r="B93" s="383" t="s">
        <v>773</v>
      </c>
      <c r="C93" s="378" t="s">
        <v>768</v>
      </c>
      <c r="D93" s="380">
        <v>45645</v>
      </c>
      <c r="E93" s="388">
        <v>-124.99999899999999</v>
      </c>
      <c r="F93" s="388"/>
      <c r="G93" s="383" t="s">
        <v>10</v>
      </c>
      <c r="H93" s="388">
        <f t="shared" si="3"/>
        <v>-124.99999899999999</v>
      </c>
      <c r="I93" s="383" t="s">
        <v>754</v>
      </c>
    </row>
    <row r="94" spans="2:9" s="40" customFormat="1" ht="15.75" customHeight="1">
      <c r="B94" s="383" t="s">
        <v>773</v>
      </c>
      <c r="C94" s="378" t="s">
        <v>768</v>
      </c>
      <c r="D94" s="380">
        <v>45712</v>
      </c>
      <c r="E94" s="388">
        <v>12.5</v>
      </c>
      <c r="F94" s="388"/>
      <c r="G94" s="383" t="s">
        <v>10</v>
      </c>
      <c r="H94" s="388">
        <f t="shared" si="3"/>
        <v>12.5</v>
      </c>
      <c r="I94" s="383" t="s">
        <v>753</v>
      </c>
    </row>
    <row r="95" spans="2:9" s="40" customFormat="1" ht="15.75" customHeight="1">
      <c r="B95" s="383" t="s">
        <v>773</v>
      </c>
      <c r="C95" s="378" t="s">
        <v>768</v>
      </c>
      <c r="D95" s="380">
        <v>45713</v>
      </c>
      <c r="E95" s="388">
        <v>49.999559999999995</v>
      </c>
      <c r="F95" s="388"/>
      <c r="G95" s="383" t="s">
        <v>10</v>
      </c>
      <c r="H95" s="388">
        <f t="shared" si="3"/>
        <v>49.999559999999995</v>
      </c>
      <c r="I95" s="383" t="s">
        <v>760</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T54"/>
  <sheetViews>
    <sheetView showGridLines="0" topLeftCell="A16" zoomScale="85" zoomScaleNormal="85" workbookViewId="0">
      <selection activeCell="E49" sqref="E49"/>
    </sheetView>
  </sheetViews>
  <sheetFormatPr defaultColWidth="9.140625" defaultRowHeight="15"/>
  <cols>
    <col min="1" max="1" width="3.42578125" style="25" customWidth="1"/>
    <col min="2" max="2" width="38.42578125" style="25" customWidth="1"/>
    <col min="3" max="3" width="16.5703125" style="25" customWidth="1"/>
    <col min="4" max="4" width="22.42578125" style="25" customWidth="1"/>
    <col min="5" max="5" width="23" style="26" customWidth="1"/>
    <col min="6" max="6" width="22.42578125" style="26" customWidth="1"/>
    <col min="7" max="7" width="22" style="26" customWidth="1"/>
    <col min="8" max="8" width="59.140625" style="365" customWidth="1"/>
    <col min="9" max="9" width="4.28515625" style="25" customWidth="1"/>
    <col min="10" max="10" width="37.5703125" style="25" bestFit="1" customWidth="1"/>
    <col min="11" max="11" width="17" style="26" customWidth="1"/>
    <col min="12" max="12" width="19" style="26" customWidth="1"/>
    <col min="13" max="13" width="15.85546875" style="25" customWidth="1"/>
    <col min="14" max="14" width="52" style="25" customWidth="1"/>
    <col min="15" max="15" width="13.85546875" style="25" bestFit="1" customWidth="1"/>
    <col min="16" max="16" width="23.85546875" style="25" bestFit="1" customWidth="1"/>
    <col min="17" max="17" width="22.28515625" style="25" bestFit="1" customWidth="1"/>
    <col min="18" max="18" width="21.85546875" style="25" bestFit="1" customWidth="1"/>
    <col min="19" max="19" width="27.85546875" style="25" bestFit="1" customWidth="1"/>
    <col min="20" max="21" width="14.85546875" style="25" customWidth="1"/>
    <col min="22" max="16384" width="9.140625" style="25"/>
  </cols>
  <sheetData>
    <row r="2" spans="2:20">
      <c r="B2" s="157" t="s">
        <v>57</v>
      </c>
      <c r="C2" s="158">
        <f>'A. All deals (a)'!D2</f>
        <v>45900</v>
      </c>
      <c r="D2" s="158"/>
      <c r="E2" s="159"/>
      <c r="F2" s="159"/>
      <c r="G2" s="159"/>
      <c r="H2" s="361"/>
    </row>
    <row r="3" spans="2:20">
      <c r="B3" s="204"/>
      <c r="C3" s="204"/>
      <c r="D3" s="204"/>
      <c r="E3" s="204"/>
      <c r="F3" s="204"/>
      <c r="G3" s="204"/>
      <c r="H3" s="362"/>
    </row>
    <row r="4" spans="2:20">
      <c r="B4" s="3"/>
      <c r="C4" s="3"/>
      <c r="D4" s="3"/>
      <c r="E4" s="1"/>
      <c r="F4" s="1"/>
      <c r="G4" s="1"/>
      <c r="H4" s="363"/>
    </row>
    <row r="5" spans="2:20">
      <c r="B5" s="228" t="s">
        <v>83</v>
      </c>
      <c r="C5" s="225" t="s">
        <v>31</v>
      </c>
      <c r="D5" s="225" t="s">
        <v>36</v>
      </c>
      <c r="E5" s="225" t="s">
        <v>27</v>
      </c>
      <c r="F5" s="225" t="s">
        <v>84</v>
      </c>
      <c r="G5" s="225"/>
      <c r="H5" s="364" t="s">
        <v>21</v>
      </c>
    </row>
    <row r="6" spans="2:20">
      <c r="B6" s="224"/>
      <c r="C6" s="129"/>
      <c r="D6" s="225"/>
      <c r="E6" s="350" t="s">
        <v>81</v>
      </c>
      <c r="F6" s="227" t="s">
        <v>82</v>
      </c>
      <c r="G6" s="227" t="s">
        <v>10</v>
      </c>
      <c r="H6" s="364"/>
      <c r="L6" s="530"/>
    </row>
    <row r="7" spans="2:20">
      <c r="B7" s="224"/>
      <c r="C7" s="129"/>
      <c r="D7" s="225"/>
      <c r="E7" s="226" t="str">
        <f>"NAV | "&amp; TEXT(C2,"dd")&amp;" "&amp;TEXT(C2,"mmm")&amp;" "&amp;TEXT(C2,"yyyy")</f>
        <v>NAV | 31 Aug 2025</v>
      </c>
      <c r="F7" s="226"/>
      <c r="G7" s="226" t="str">
        <f>"PPS |" &amp; TEXT(C2,"dd")&amp;" "&amp;TEXT(C2,"mmm")&amp;" "&amp;TEXT(C2,"yyyy")</f>
        <v>PPS |31 Aug 2025</v>
      </c>
      <c r="H7" s="364"/>
      <c r="L7" s="530"/>
    </row>
    <row r="8" spans="2:20">
      <c r="L8" s="530"/>
    </row>
    <row r="9" spans="2:20">
      <c r="B9" s="333" t="s">
        <v>28</v>
      </c>
      <c r="C9" s="333"/>
      <c r="D9" s="333"/>
      <c r="E9" s="333"/>
      <c r="F9" s="333"/>
      <c r="G9" s="333"/>
      <c r="H9" s="333"/>
    </row>
    <row r="10" spans="2:20">
      <c r="B10" s="340" t="str">
        <f>'A. All deals (a)'!C9</f>
        <v>Jollychic Holding Limited</v>
      </c>
      <c r="C10" s="342" t="str">
        <f>'A. All deals (a)'!F9</f>
        <v>Mozn</v>
      </c>
      <c r="D10" s="342" t="str">
        <f>'A. All deals (a)'!H9</f>
        <v>C+ Prefs</v>
      </c>
      <c r="E10" s="347">
        <f>F10*G10*10^-6</f>
        <v>0</v>
      </c>
      <c r="F10" s="358">
        <f>VLOOKUP(B10,'B. %'!$C$6:$I$42,2,0)</f>
        <v>13458655</v>
      </c>
      <c r="G10" s="344"/>
      <c r="H10" s="366" t="s">
        <v>477</v>
      </c>
    </row>
    <row r="11" spans="2:20">
      <c r="B11" s="340" t="str">
        <f>'A. All deals (a)'!C10</f>
        <v>Mena Mobile Inc</v>
      </c>
      <c r="C11" s="342" t="str">
        <f>'A. All deals (a)'!F10</f>
        <v>Mozn</v>
      </c>
      <c r="D11" s="342" t="str">
        <f>'A. All deals (a)'!H10</f>
        <v>B Prefs</v>
      </c>
      <c r="E11" s="347">
        <v>0</v>
      </c>
      <c r="F11" s="358">
        <f>VLOOKUP(B11,'B. %'!$C$6:$I$42,2,0)</f>
        <v>21419829</v>
      </c>
      <c r="G11" s="344"/>
      <c r="H11" s="366" t="s">
        <v>281</v>
      </c>
      <c r="K11" s="555" t="s">
        <v>812</v>
      </c>
    </row>
    <row r="12" spans="2:20">
      <c r="B12" s="4" t="str">
        <f>'A. All deals (a)'!C11</f>
        <v>Flyr Inc</v>
      </c>
      <c r="C12" s="2" t="str">
        <f>'A. All deals (a)'!F11</f>
        <v>Mozn</v>
      </c>
      <c r="D12" s="2" t="str">
        <f>'A. All deals (a)'!H11</f>
        <v>B-1,2 Prefs</v>
      </c>
      <c r="E12" s="424">
        <f>F12*G12*10^-6</f>
        <v>28.213712439999998</v>
      </c>
      <c r="F12" s="359">
        <f>VLOOKUP(B12,'B. %'!$C$6:$I$42,2,0)</f>
        <v>5205482</v>
      </c>
      <c r="G12" s="155">
        <v>5.42</v>
      </c>
      <c r="H12" s="367" t="s">
        <v>660</v>
      </c>
    </row>
    <row r="13" spans="2:20">
      <c r="B13" s="340" t="str">
        <f>'A. All deals (a)'!C12</f>
        <v xml:space="preserve">Esyasoft Holding </v>
      </c>
      <c r="C13" s="342" t="str">
        <f>'A. All deals (a)'!F12</f>
        <v>Mozn</v>
      </c>
      <c r="D13" s="342" t="str">
        <f>'A. All deals (a)'!H12</f>
        <v>Convertible Note</v>
      </c>
      <c r="E13" s="347">
        <v>0</v>
      </c>
      <c r="F13" s="358" t="str">
        <f>VLOOKUP(B13,'B. %'!$C$6:$I$42,2,0)</f>
        <v>n/a</v>
      </c>
      <c r="G13" s="344"/>
      <c r="H13" s="366" t="s">
        <v>251</v>
      </c>
    </row>
    <row r="14" spans="2:20" ht="15.75" thickBot="1">
      <c r="B14" s="4" t="str">
        <f>'A. All deals (a)'!C13</f>
        <v>Beyond Limits</v>
      </c>
      <c r="C14" s="2" t="str">
        <f>'A. All deals (a)'!F13</f>
        <v>Mozn</v>
      </c>
      <c r="D14" s="2" t="str">
        <f>'A. All deals (a)'!H13</f>
        <v>C Prefs</v>
      </c>
      <c r="E14" s="424">
        <f>F14*G14/2/1000000</f>
        <v>41.003703740999995</v>
      </c>
      <c r="F14" s="359">
        <f>VLOOKUP(B14,'B. %'!$C$6:$I$42,2,0)</f>
        <v>17670202</v>
      </c>
      <c r="G14" s="155">
        <v>4.641</v>
      </c>
      <c r="H14" s="367" t="s">
        <v>616</v>
      </c>
    </row>
    <row r="15" spans="2:20">
      <c r="B15" s="341" t="str">
        <f>'A. All deals (a)'!C14</f>
        <v>ONT plc</v>
      </c>
      <c r="C15" s="343" t="str">
        <f>'A. All deals (a)'!F14</f>
        <v>Mozn</v>
      </c>
      <c r="D15" s="343" t="str">
        <f>'A. All deals (a)'!H14</f>
        <v>Ordinary Shares</v>
      </c>
      <c r="E15" s="349">
        <f>F15*G15*10^-6</f>
        <v>108.279975128724</v>
      </c>
      <c r="F15" s="360">
        <f>VLOOKUP(B15,'B. %'!$C$6:$I$42,2,0)</f>
        <v>44328120</v>
      </c>
      <c r="G15" s="345">
        <f>L18*L21/100</f>
        <v>2.4426927000000003</v>
      </c>
      <c r="H15" s="368" t="s">
        <v>175</v>
      </c>
      <c r="J15" s="208"/>
      <c r="K15" s="531" t="str">
        <f>TEXT(K16,"ddd")</f>
        <v>Sun</v>
      </c>
      <c r="L15" s="209"/>
      <c r="R15" s="296" t="s">
        <v>219</v>
      </c>
      <c r="S15" s="533"/>
      <c r="T15" s="534"/>
    </row>
    <row r="16" spans="2:20">
      <c r="B16" s="4" t="str">
        <f>'A. All deals (a)'!C15</f>
        <v>Heygears</v>
      </c>
      <c r="C16" s="2" t="str">
        <f>'A. All deals (a)'!F15</f>
        <v>Mozn</v>
      </c>
      <c r="D16" s="2" t="str">
        <f>'A. All deals (a)'!H15</f>
        <v>Registered Capital</v>
      </c>
      <c r="E16" s="519">
        <v>40.299999999999997</v>
      </c>
      <c r="F16" s="359">
        <f>'CF (Equity, Debt)'!J20</f>
        <v>3565017.22</v>
      </c>
      <c r="G16" s="155"/>
      <c r="H16" s="367" t="s">
        <v>743</v>
      </c>
      <c r="J16" s="207" t="s">
        <v>260</v>
      </c>
      <c r="K16" s="532">
        <f>C2</f>
        <v>45900</v>
      </c>
      <c r="L16" s="463" t="s">
        <v>252</v>
      </c>
      <c r="R16" s="218" t="s">
        <v>210</v>
      </c>
      <c r="S16" s="535">
        <v>7500000000</v>
      </c>
      <c r="T16" s="536"/>
    </row>
    <row r="17" spans="2:20">
      <c r="B17" s="340" t="str">
        <f>'A. All deals (a)'!C16</f>
        <v>Jysan Technologies</v>
      </c>
      <c r="C17" s="342" t="str">
        <f>'A. All deals (a)'!F16</f>
        <v>Mozn 1</v>
      </c>
      <c r="D17" s="342" t="str">
        <f>'A. All deals (a)'!H16</f>
        <v>A (Ordinary Shares)</v>
      </c>
      <c r="E17" s="347">
        <v>0</v>
      </c>
      <c r="F17" s="358">
        <f>VLOOKUP(B17,'B. %'!$C$6:$I$42,2,0)</f>
        <v>7959497</v>
      </c>
      <c r="G17" s="344">
        <f>E17*10^6/F17</f>
        <v>0</v>
      </c>
      <c r="H17" s="366" t="s">
        <v>367</v>
      </c>
      <c r="J17" s="66"/>
      <c r="L17" s="186"/>
      <c r="R17" s="218" t="s">
        <v>211</v>
      </c>
      <c r="S17" s="537">
        <v>0.14383199999999999</v>
      </c>
      <c r="T17" s="536"/>
    </row>
    <row r="18" spans="2:20">
      <c r="B18" s="4" t="str">
        <f>'A. All deals (a)'!C17</f>
        <v>Cerebras Systems Inc</v>
      </c>
      <c r="C18" s="2" t="str">
        <f>'A. All deals (a)'!F17</f>
        <v>Mozn</v>
      </c>
      <c r="D18" s="2" t="str">
        <f>'A. All deals (a)'!H17</f>
        <v>F Prefs</v>
      </c>
      <c r="E18" s="348">
        <f>F18*G18*10^-6</f>
        <v>21.135483260000001</v>
      </c>
      <c r="F18" s="359">
        <f>VLOOKUP(B18,'B. %'!$C$6:$I$42,2,0)</f>
        <v>1441711</v>
      </c>
      <c r="G18" s="155">
        <v>14.66</v>
      </c>
      <c r="H18" s="367" t="s">
        <v>683</v>
      </c>
      <c r="J18" s="188" t="s">
        <v>794</v>
      </c>
      <c r="K18" s="26" vm="1">
        <v>45898</v>
      </c>
      <c r="L18" s="186" vm="2">
        <v>180.9</v>
      </c>
      <c r="R18" s="218" t="s">
        <v>212</v>
      </c>
      <c r="S18" s="535">
        <v>1078740000</v>
      </c>
      <c r="T18" s="536"/>
    </row>
    <row r="19" spans="2:20">
      <c r="B19" s="4" t="str">
        <f>'A. All deals (a)'!C18</f>
        <v>Endless Studios LLC</v>
      </c>
      <c r="C19" s="2" t="str">
        <f>'A. All deals (a)'!F18</f>
        <v>Mozn</v>
      </c>
      <c r="D19" s="2" t="str">
        <f>'A. All deals (a)'!H18</f>
        <v>A Pref Units</v>
      </c>
      <c r="E19" s="348">
        <v>4.7</v>
      </c>
      <c r="F19" s="359">
        <f>VLOOKUP(B19,'B. %'!$C$6:$I$42,2,0)</f>
        <v>8000000</v>
      </c>
      <c r="G19" s="155"/>
      <c r="H19" s="367" t="s">
        <v>728</v>
      </c>
      <c r="J19" s="66" t="s">
        <v>795</v>
      </c>
      <c r="K19" s="26" vm="1">
        <v>45898</v>
      </c>
      <c r="L19" s="556">
        <v>15.2</v>
      </c>
      <c r="R19" s="218" t="s">
        <v>213</v>
      </c>
      <c r="S19" s="538">
        <v>0</v>
      </c>
      <c r="T19" s="536"/>
    </row>
    <row r="20" spans="2:20">
      <c r="B20" s="340" t="str">
        <f>'A. All deals (a)'!C19</f>
        <v>Instadeep Limited</v>
      </c>
      <c r="C20" s="342" t="str">
        <f>'A. All deals (a)'!F19</f>
        <v>Mozn</v>
      </c>
      <c r="D20" s="342" t="str">
        <f>'A. All deals (a)'!H19</f>
        <v xml:space="preserve">B Prefs </v>
      </c>
      <c r="E20" s="347">
        <f>-'CF (Equity, Debt)'!E24*G20</f>
        <v>0</v>
      </c>
      <c r="F20" s="358">
        <f>VLOOKUP(B20,'B. %'!$C$6:$I$42,2,0)</f>
        <v>33267</v>
      </c>
      <c r="G20" s="344">
        <v>0</v>
      </c>
      <c r="H20" s="366" t="s">
        <v>356</v>
      </c>
      <c r="J20" s="66" t="s">
        <v>793</v>
      </c>
      <c r="K20" s="26" vm="1">
        <v>45898</v>
      </c>
      <c r="L20" s="186" vm="3">
        <v>5.66</v>
      </c>
      <c r="R20" s="218" t="s">
        <v>214</v>
      </c>
      <c r="S20" s="538">
        <v>0</v>
      </c>
      <c r="T20" s="536"/>
    </row>
    <row r="21" spans="2:20">
      <c r="B21" s="340" t="str">
        <f>'A. All deals (a)'!C20</f>
        <v>X-fusion</v>
      </c>
      <c r="C21" s="342" t="str">
        <f>'A. All deals (a)'!F20</f>
        <v>Mozn 2</v>
      </c>
      <c r="D21" s="342" t="str">
        <f>'A. All deals (a)'!H20</f>
        <v>Equity-TBC</v>
      </c>
      <c r="E21" s="347">
        <v>0</v>
      </c>
      <c r="F21" s="358" t="str">
        <f>VLOOKUP(B21,'B. %'!$C$6:$I$42,2,0)</f>
        <v>n/a</v>
      </c>
      <c r="G21" s="344"/>
      <c r="H21" s="366" t="s">
        <v>478</v>
      </c>
      <c r="J21" s="188" t="s">
        <v>796</v>
      </c>
      <c r="K21" s="26" vm="1">
        <v>45898</v>
      </c>
      <c r="L21" s="186" vm="4">
        <v>1.3503000000000001</v>
      </c>
      <c r="R21" s="218" t="s">
        <v>215</v>
      </c>
      <c r="S21" s="535">
        <f>S18*(1-S19)*(1-S20)</f>
        <v>1078740000</v>
      </c>
      <c r="T21" s="539"/>
    </row>
    <row r="22" spans="2:20">
      <c r="B22" s="4" t="str">
        <f>'A. All deals (a)'!C21</f>
        <v>DriveNets</v>
      </c>
      <c r="C22" s="2" t="str">
        <f>'A. All deals (a)'!F21</f>
        <v>G42 Investments</v>
      </c>
      <c r="D22" s="2" t="str">
        <f>'A. All deals (a)'!H21</f>
        <v>Equity-TBC</v>
      </c>
      <c r="E22" s="424">
        <f>(24403771*4.5712+44523131*4.8118)*10^-6</f>
        <v>325.79091974099998</v>
      </c>
      <c r="F22" s="359">
        <f>VLOOKUP(B22,'B. %'!$C$6:$I$42,2,0)</f>
        <v>68926902</v>
      </c>
      <c r="G22" s="155"/>
      <c r="H22" s="367" t="s">
        <v>727</v>
      </c>
      <c r="J22" s="66" t="s">
        <v>797</v>
      </c>
      <c r="K22" s="26" vm="1">
        <v>45898</v>
      </c>
      <c r="L22" s="186" vm="5">
        <v>7.1303999999999998</v>
      </c>
      <c r="R22" s="218" t="s">
        <v>259</v>
      </c>
      <c r="S22" s="540" vm="1">
        <f>K22</f>
        <v>45898</v>
      </c>
      <c r="T22" s="539"/>
    </row>
    <row r="23" spans="2:20" ht="15.75" thickBot="1">
      <c r="B23" s="341" t="str">
        <f>'A. All deals (a)'!C22</f>
        <v>vTv Therapeutics Inc.</v>
      </c>
      <c r="C23" s="343" t="str">
        <f>'A. All deals (a)'!F22</f>
        <v>G42 Investments</v>
      </c>
      <c r="D23" s="343" t="str">
        <f>'A. All deals (a)'!H22</f>
        <v>Ordinary Shares</v>
      </c>
      <c r="E23" s="349">
        <f>(F23*G23)*10^-6</f>
        <v>3.9467863999999997</v>
      </c>
      <c r="F23" s="360">
        <f>VLOOKUP(B23,'B. %'!$C$6:$I$42,2,0)</f>
        <v>259657</v>
      </c>
      <c r="G23" s="345">
        <f>L19</f>
        <v>15.2</v>
      </c>
      <c r="H23" s="368" t="s">
        <v>175</v>
      </c>
      <c r="J23" s="71" t="s">
        <v>482</v>
      </c>
      <c r="K23" s="106" vm="1">
        <v>45898</v>
      </c>
      <c r="L23" s="189" vm="6">
        <v>1.1684000000000001</v>
      </c>
      <c r="R23" s="218" t="s">
        <v>216</v>
      </c>
      <c r="S23" s="541">
        <f>S21/S22</f>
        <v>23502.984879515447</v>
      </c>
      <c r="T23" s="536"/>
    </row>
    <row r="24" spans="2:20">
      <c r="B24" s="340" t="str">
        <f>'A. All deals (a)'!C23</f>
        <v>Honor Device Co Ltd</v>
      </c>
      <c r="C24" s="342" t="str">
        <f>'A. All deals (a)'!F23</f>
        <v>G42 3</v>
      </c>
      <c r="D24" s="342" t="str">
        <f>'A. All deals (a)'!H23</f>
        <v>Equity-TBC</v>
      </c>
      <c r="E24" s="347">
        <v>0</v>
      </c>
      <c r="F24" s="358">
        <f>VLOOKUP(B24,'B. %'!$C$6:$I$42,2,0)</f>
        <v>606850777.73599994</v>
      </c>
      <c r="G24" s="344"/>
      <c r="H24" s="366" t="s">
        <v>480</v>
      </c>
      <c r="R24" s="218" t="s">
        <v>217</v>
      </c>
      <c r="S24" s="535">
        <v>60000000</v>
      </c>
      <c r="T24" s="536"/>
    </row>
    <row r="25" spans="2:20" ht="15.75" thickBot="1">
      <c r="B25" s="4" t="str">
        <f>'A. All deals (a)'!C24</f>
        <v>Applied AI Corporation Limited</v>
      </c>
      <c r="C25" s="2" t="str">
        <f>'A. All deals (a)'!F24</f>
        <v>Mozn</v>
      </c>
      <c r="D25" s="2" t="str">
        <f>'A. All deals (a)'!H24</f>
        <v>A Prefs</v>
      </c>
      <c r="E25" s="348">
        <v>38.464730150000001</v>
      </c>
      <c r="F25" s="359">
        <f>VLOOKUP(B25,'B. %'!$C$6:$I$42,2,0)</f>
        <v>211519</v>
      </c>
      <c r="G25" s="155"/>
      <c r="H25" s="367" t="s">
        <v>684</v>
      </c>
      <c r="R25" s="218"/>
      <c r="S25" s="535"/>
      <c r="T25" s="536"/>
    </row>
    <row r="26" spans="2:20" ht="15.75" thickBot="1">
      <c r="B26" s="4" t="str">
        <f>'A. All deals (a)'!C25</f>
        <v xml:space="preserve">eSpace </v>
      </c>
      <c r="C26" s="2" t="str">
        <f>'A. All deals (a)'!F25</f>
        <v>Mozn 4</v>
      </c>
      <c r="D26" s="2" t="str">
        <f>'A. All deals (a)'!H25</f>
        <v>B Prefs</v>
      </c>
      <c r="E26" s="348">
        <f>F26*G26*10^-6</f>
        <v>32.341280400000002</v>
      </c>
      <c r="F26" s="359">
        <f>VLOOKUP(B26,'B. %'!$C$6:$I$42,2,0)</f>
        <v>417846</v>
      </c>
      <c r="G26" s="155">
        <v>77.400000000000006</v>
      </c>
      <c r="H26" s="367" t="s">
        <v>563</v>
      </c>
      <c r="J26" s="296" t="s">
        <v>257</v>
      </c>
      <c r="K26" s="533"/>
      <c r="L26" s="534"/>
      <c r="R26" s="219"/>
      <c r="S26" s="542"/>
      <c r="T26" s="202"/>
    </row>
    <row r="27" spans="2:20">
      <c r="B27" s="4" t="str">
        <f>'A. All deals (a)'!C26</f>
        <v>Tools for Humanity Corporation</v>
      </c>
      <c r="C27" s="2" t="str">
        <f>'A. All deals (a)'!F26</f>
        <v>Mozn</v>
      </c>
      <c r="D27" s="2" t="str">
        <f>'A. All deals (a)'!H26</f>
        <v>C Prefs</v>
      </c>
      <c r="E27" s="348">
        <v>2.4000000000000004</v>
      </c>
      <c r="F27" s="359">
        <f>VLOOKUP(B27,'B. %'!$C$6:$I$42,2,0)</f>
        <v>65413</v>
      </c>
      <c r="G27" s="155"/>
      <c r="H27" s="367" t="s">
        <v>728</v>
      </c>
      <c r="J27" s="66"/>
      <c r="L27" s="186"/>
    </row>
    <row r="28" spans="2:20">
      <c r="B28" s="341" t="str">
        <f>'A. All deals (a)'!C27</f>
        <v>WLD Tokens</v>
      </c>
      <c r="C28" s="343" t="str">
        <f>'A. All deals (a)'!F27</f>
        <v>Mozn</v>
      </c>
      <c r="D28" s="343" t="str">
        <f>'A. All deals (a)'!H27</f>
        <v>Tokens</v>
      </c>
      <c r="E28" s="349">
        <f>F28*G28*10^-6</f>
        <v>0</v>
      </c>
      <c r="F28" s="360">
        <v>0</v>
      </c>
      <c r="G28" s="345">
        <f>K17</f>
        <v>0</v>
      </c>
      <c r="H28" s="509" t="s">
        <v>615</v>
      </c>
      <c r="J28" s="423">
        <f ca="1">SUM(E10:E35)</f>
        <v>878.23663607097933</v>
      </c>
      <c r="K28" s="544" t="b">
        <f ca="1">J28='A. All deals (a)'!N36</f>
        <v>1</v>
      </c>
      <c r="L28" s="548"/>
    </row>
    <row r="29" spans="2:20">
      <c r="B29" s="4" t="str">
        <f>'A. All deals (a)'!C28</f>
        <v>E-line Ventures LLC</v>
      </c>
      <c r="C29" s="2" t="str">
        <f>'A. All deals (a)'!F28</f>
        <v>Mozn</v>
      </c>
      <c r="D29" s="2" t="str">
        <f>'A. All deals (a)'!H28</f>
        <v>B Prefs</v>
      </c>
      <c r="E29" s="348">
        <v>15.3</v>
      </c>
      <c r="F29" s="359">
        <f>VLOOKUP(B29,'B. %'!$C$6:$I$42,2,0)</f>
        <v>4477612</v>
      </c>
      <c r="G29" s="155"/>
      <c r="H29" s="367" t="s">
        <v>728</v>
      </c>
      <c r="J29" s="423">
        <f>SUM(E38:E40)</f>
        <v>0</v>
      </c>
      <c r="K29" s="545" t="b">
        <f>J29='A. All deals (a)'!N42</f>
        <v>1</v>
      </c>
      <c r="L29" s="536"/>
    </row>
    <row r="30" spans="2:20">
      <c r="B30" s="4" t="str">
        <f>'A. All deals (a)'!C29</f>
        <v>School Hack (AIREV Holding Limited)</v>
      </c>
      <c r="C30" s="2" t="str">
        <f>'A. All deals (a)'!F29</f>
        <v>Core42 5</v>
      </c>
      <c r="D30" s="2" t="str">
        <f>'A. All deals (a)'!H29</f>
        <v>Preferred Shares</v>
      </c>
      <c r="E30" s="348">
        <f ca="1">MAX('A. All deals (a)'!K29,F30*G30*10^-6)</f>
        <v>2.5</v>
      </c>
      <c r="F30" s="359">
        <f>VLOOKUP(B30,'B. %'!$C$6:$I$42,2,0)</f>
        <v>25000</v>
      </c>
      <c r="G30" s="155"/>
      <c r="H30" s="367" t="s">
        <v>473</v>
      </c>
      <c r="J30" s="423">
        <f ca="1">SUM(E43:E47)</f>
        <v>106.52705847860651</v>
      </c>
      <c r="K30" s="544" t="b">
        <f ca="1">J30='A. All deals (a)'!N50</f>
        <v>1</v>
      </c>
      <c r="L30" s="536"/>
    </row>
    <row r="31" spans="2:20" ht="15.75" thickBot="1">
      <c r="B31" s="4" t="str">
        <f>'A. All deals (a)'!C30</f>
        <v>Life Biosciences LLC</v>
      </c>
      <c r="C31" s="2" t="str">
        <f>'A. All deals (a)'!F30</f>
        <v>G42 Capital</v>
      </c>
      <c r="D31" s="2" t="str">
        <f>'A. All deals (a)'!H30</f>
        <v>D Prefs</v>
      </c>
      <c r="E31" s="348">
        <f>(F31*G31*10^-6)</f>
        <v>40.947393714699999</v>
      </c>
      <c r="F31" s="359">
        <f>VLOOKUP(B31,'B. %'!$C$6:$I$42,2,0)</f>
        <v>14178755</v>
      </c>
      <c r="G31" s="155">
        <v>2.88794</v>
      </c>
      <c r="H31" s="367" t="s">
        <v>473</v>
      </c>
      <c r="J31" s="219"/>
      <c r="K31" s="546"/>
      <c r="L31" s="547"/>
    </row>
    <row r="32" spans="2:20">
      <c r="B32" s="341" t="str">
        <f>'A. All deals (a)'!C31</f>
        <v>Verses AI Inc</v>
      </c>
      <c r="C32" s="343" t="str">
        <f>'A. All deals (a)'!F31</f>
        <v>G42 Capital</v>
      </c>
      <c r="D32" s="343" t="str">
        <f>'A. All deals (a)'!H31</f>
        <v>Ordinary Shares</v>
      </c>
      <c r="E32" s="349">
        <f>F32*L20*10^-6</f>
        <v>2.9127686955555556</v>
      </c>
      <c r="F32" s="360">
        <f>VLOOKUP(B32,'B. %'!$C$6:$I$42,2,0)</f>
        <v>514623.44444444444</v>
      </c>
      <c r="G32" s="345"/>
      <c r="H32" s="509" t="s">
        <v>175</v>
      </c>
    </row>
    <row r="33" spans="2:18">
      <c r="B33" s="4" t="str">
        <f>'A. All deals (a)'!C32</f>
        <v>Inveniam Ltd</v>
      </c>
      <c r="C33" s="2" t="s">
        <v>538</v>
      </c>
      <c r="D33" s="2" t="s">
        <v>663</v>
      </c>
      <c r="E33" s="348">
        <v>100</v>
      </c>
      <c r="F33" s="359" t="str">
        <f>VLOOKUP(B33,'B. %'!$C$6:$I$42,2,0)</f>
        <v>n/a</v>
      </c>
      <c r="G33" s="155"/>
      <c r="H33" s="367" t="s">
        <v>473</v>
      </c>
    </row>
    <row r="34" spans="2:18">
      <c r="B34" s="4" t="s">
        <v>695</v>
      </c>
      <c r="C34" s="2" t="s">
        <v>538</v>
      </c>
      <c r="D34" s="2" t="s">
        <v>360</v>
      </c>
      <c r="E34" s="348">
        <f>'CF (Equity, Debt)'!I56*10^-6</f>
        <v>19.999882399999997</v>
      </c>
      <c r="F34" s="359" t="s">
        <v>121</v>
      </c>
      <c r="G34" s="155"/>
      <c r="H34" s="367" t="s">
        <v>473</v>
      </c>
    </row>
    <row r="35" spans="2:18" ht="15.75" thickBot="1">
      <c r="B35" s="4" t="s">
        <v>781</v>
      </c>
      <c r="C35" s="2" t="s">
        <v>538</v>
      </c>
      <c r="D35" s="2" t="s">
        <v>782</v>
      </c>
      <c r="E35" s="223">
        <f>50</f>
        <v>50</v>
      </c>
      <c r="F35" s="359" t="s">
        <v>121</v>
      </c>
      <c r="G35" s="155"/>
      <c r="H35" s="367" t="s">
        <v>473</v>
      </c>
    </row>
    <row r="36" spans="2:18">
      <c r="B36" s="145"/>
      <c r="C36" s="145"/>
      <c r="D36" s="145"/>
      <c r="E36" s="145"/>
      <c r="F36" s="353"/>
      <c r="G36" s="145"/>
      <c r="H36" s="369"/>
    </row>
    <row r="37" spans="2:18" ht="15.75" thickBot="1">
      <c r="B37" s="333" t="s">
        <v>29</v>
      </c>
      <c r="C37" s="333"/>
      <c r="D37" s="333"/>
      <c r="E37" s="333"/>
      <c r="F37" s="333"/>
      <c r="G37" s="333"/>
      <c r="H37" s="333"/>
      <c r="J37" s="287"/>
      <c r="K37" s="543"/>
    </row>
    <row r="38" spans="2:18">
      <c r="B38" s="340" t="s">
        <v>47</v>
      </c>
      <c r="C38" s="342" t="s">
        <v>8</v>
      </c>
      <c r="D38" s="342" t="s">
        <v>123</v>
      </c>
      <c r="E38" s="346">
        <f>'A. All deals (a)'!N39</f>
        <v>0</v>
      </c>
      <c r="F38" s="351"/>
      <c r="G38" s="344"/>
      <c r="H38" s="366" t="s">
        <v>127</v>
      </c>
      <c r="J38" s="287"/>
      <c r="K38" s="543"/>
    </row>
    <row r="39" spans="2:18">
      <c r="B39" s="340" t="s">
        <v>208</v>
      </c>
      <c r="C39" s="342" t="s">
        <v>8</v>
      </c>
      <c r="D39" s="342" t="s">
        <v>124</v>
      </c>
      <c r="E39" s="347">
        <v>0</v>
      </c>
      <c r="F39" s="351"/>
      <c r="G39" s="344"/>
      <c r="H39" s="366" t="s">
        <v>477</v>
      </c>
    </row>
    <row r="40" spans="2:18" ht="15.75" thickBot="1">
      <c r="B40" s="340" t="s">
        <v>200</v>
      </c>
      <c r="C40" s="342" t="s">
        <v>8</v>
      </c>
      <c r="D40" s="342" t="s">
        <v>124</v>
      </c>
      <c r="E40" s="354">
        <v>0</v>
      </c>
      <c r="F40" s="351"/>
      <c r="G40" s="344"/>
      <c r="H40" s="366" t="s">
        <v>481</v>
      </c>
    </row>
    <row r="41" spans="2:18">
      <c r="B41" s="145"/>
      <c r="C41" s="145"/>
      <c r="D41" s="145"/>
      <c r="E41" s="145"/>
      <c r="F41" s="145"/>
      <c r="G41" s="145"/>
      <c r="H41" s="369"/>
      <c r="J41" s="104"/>
    </row>
    <row r="42" spans="2:18" ht="15.75" thickBot="1">
      <c r="B42" s="333" t="s">
        <v>30</v>
      </c>
      <c r="C42" s="333"/>
      <c r="D42" s="333"/>
      <c r="E42" s="333"/>
      <c r="F42" s="333"/>
      <c r="G42" s="333"/>
      <c r="H42" s="333"/>
    </row>
    <row r="43" spans="2:18">
      <c r="B43" s="4" t="s">
        <v>115</v>
      </c>
      <c r="C43" s="2" t="s">
        <v>11</v>
      </c>
      <c r="D43" s="2" t="s">
        <v>53</v>
      </c>
      <c r="E43" s="355">
        <f>'8. NewSpace'!M38*10^-6*L23</f>
        <v>25.6153870216</v>
      </c>
      <c r="F43" s="352"/>
      <c r="G43" s="155"/>
      <c r="H43" s="367" t="s">
        <v>839</v>
      </c>
    </row>
    <row r="44" spans="2:18">
      <c r="B44" s="4" t="s">
        <v>284</v>
      </c>
      <c r="C44" s="2" t="s">
        <v>11</v>
      </c>
      <c r="D44" s="2" t="s">
        <v>59</v>
      </c>
      <c r="E44" s="348">
        <f ca="1">E43*'1. Live'!L27/'1. Live'!L26</f>
        <v>3.6272894570065048</v>
      </c>
      <c r="F44" s="352"/>
      <c r="G44" s="155"/>
      <c r="H44" s="367" t="s">
        <v>839</v>
      </c>
    </row>
    <row r="45" spans="2:18">
      <c r="B45" s="4" t="s">
        <v>1</v>
      </c>
      <c r="C45" s="2" t="s">
        <v>11</v>
      </c>
      <c r="D45" s="2" t="s">
        <v>53</v>
      </c>
      <c r="E45" s="348">
        <f>64.228074</f>
        <v>64.228074000000007</v>
      </c>
      <c r="F45" s="352"/>
      <c r="G45" s="155"/>
      <c r="H45" s="367" t="s">
        <v>839</v>
      </c>
    </row>
    <row r="46" spans="2:18">
      <c r="B46" s="340" t="s">
        <v>12</v>
      </c>
      <c r="C46" s="342" t="s">
        <v>11</v>
      </c>
      <c r="D46" s="342" t="s">
        <v>53</v>
      </c>
      <c r="E46" s="347">
        <v>0</v>
      </c>
      <c r="F46" s="351"/>
      <c r="G46" s="344"/>
      <c r="H46" s="366" t="s">
        <v>26</v>
      </c>
    </row>
    <row r="47" spans="2:18" ht="15.75" thickBot="1">
      <c r="B47" s="4" t="s">
        <v>160</v>
      </c>
      <c r="C47" s="2" t="s">
        <v>11</v>
      </c>
      <c r="D47" s="2" t="s">
        <v>53</v>
      </c>
      <c r="E47" s="223">
        <v>13.056308</v>
      </c>
      <c r="F47" s="352"/>
      <c r="G47" s="155"/>
      <c r="H47" s="367" t="s">
        <v>839</v>
      </c>
      <c r="J47" s="435"/>
      <c r="N47" s="506"/>
      <c r="O47" s="508"/>
      <c r="P47" s="507"/>
      <c r="Q47" s="507"/>
      <c r="R47" s="507"/>
    </row>
    <row r="48" spans="2:18" ht="15.75" thickBot="1">
      <c r="B48" s="333"/>
      <c r="C48" s="333"/>
      <c r="D48" s="333"/>
      <c r="E48" s="333"/>
      <c r="F48" s="333"/>
      <c r="G48" s="333"/>
      <c r="H48" s="333"/>
    </row>
    <row r="49" spans="2:8">
      <c r="B49" s="4" t="s">
        <v>694</v>
      </c>
      <c r="C49" s="2"/>
      <c r="D49" s="2"/>
      <c r="E49" s="355">
        <f>MGX!H14</f>
        <v>326.20940140173275</v>
      </c>
      <c r="F49" s="352"/>
      <c r="G49" s="155"/>
      <c r="H49" s="367" t="s">
        <v>839</v>
      </c>
    </row>
    <row r="50" spans="2:8" ht="15.75" thickBot="1">
      <c r="B50" s="4" t="s">
        <v>774</v>
      </c>
      <c r="C50" s="2" t="s">
        <v>773</v>
      </c>
      <c r="D50" s="2" t="s">
        <v>277</v>
      </c>
      <c r="E50" s="223">
        <v>396.06360100000001</v>
      </c>
      <c r="F50" s="352"/>
      <c r="G50" s="155"/>
      <c r="H50" s="367" t="s">
        <v>839</v>
      </c>
    </row>
    <row r="52" spans="2:8">
      <c r="B52" s="28" t="s">
        <v>87</v>
      </c>
    </row>
    <row r="53" spans="2:8">
      <c r="B53" s="25" t="s">
        <v>554</v>
      </c>
    </row>
    <row r="54" spans="2:8">
      <c r="E54" s="26">
        <v>39.740951000000003</v>
      </c>
    </row>
  </sheetData>
  <pageMargins left="0.25" right="0.25" top="0.75" bottom="0.75" header="0.3" footer="0.3"/>
  <pageSetup paperSize="9" scale="64" orientation="landscape" verticalDpi="1200" r:id="rId1"/>
  <headerFooter>
    <oddHeader>&amp;L&amp;"Calibri"&amp;7&amp;KFF0000  &amp;1#_x000D_</oddHeader>
    <oddFooter xml:space="preserve">&amp;L_x000D_&amp;1#&amp;"Calibri"&amp;7&amp;KFF0000 RESTRICTED </oddFooter>
  </headerFooter>
  <colBreaks count="1" manualBreakCount="1">
    <brk id="8" max="1048575" man="1"/>
  </colBreaks>
  <ignoredErrors>
    <ignoredError sqref="F16"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6"/>
  <sheetViews>
    <sheetView showGridLines="0" topLeftCell="A4" zoomScale="70" zoomScaleNormal="70" workbookViewId="0">
      <selection activeCell="F33" sqref="F33"/>
    </sheetView>
  </sheetViews>
  <sheetFormatPr defaultColWidth="9.140625" defaultRowHeight="15"/>
  <cols>
    <col min="1" max="1" width="9.140625" style="25"/>
    <col min="2" max="2" width="12" style="25" bestFit="1" customWidth="1"/>
    <col min="3" max="3" width="40.7109375" style="25" customWidth="1"/>
    <col min="4" max="5" width="27.42578125" style="26" customWidth="1"/>
    <col min="6" max="6" width="16" style="25" customWidth="1"/>
    <col min="7" max="7" width="35" style="107" customWidth="1"/>
    <col min="8" max="9" width="27.85546875" style="107" customWidth="1"/>
    <col min="10" max="11" width="9.140625" style="25"/>
    <col min="12" max="12" width="12.28515625" style="25" bestFit="1" customWidth="1"/>
    <col min="13" max="13" width="12.85546875" style="25" bestFit="1" customWidth="1"/>
    <col min="14" max="15" width="9.140625" style="25"/>
    <col min="16" max="17" width="12" style="25" bestFit="1" customWidth="1"/>
    <col min="18" max="16384" width="9.140625" style="25"/>
  </cols>
  <sheetData>
    <row r="1" spans="1:17">
      <c r="B1" s="126"/>
      <c r="C1" s="56"/>
      <c r="D1" s="97"/>
      <c r="E1" s="97"/>
      <c r="F1" s="56"/>
    </row>
    <row r="2" spans="1:17" ht="43.5" customHeight="1" thickBot="1">
      <c r="B2" s="126"/>
      <c r="C2" s="130" t="s">
        <v>169</v>
      </c>
      <c r="D2" s="131"/>
      <c r="E2" s="25"/>
      <c r="F2" s="26"/>
      <c r="G2" s="26"/>
      <c r="H2" s="26"/>
      <c r="I2" s="26"/>
      <c r="J2" s="26"/>
      <c r="K2" s="26"/>
      <c r="L2" s="26"/>
      <c r="M2" s="80"/>
      <c r="N2" s="26"/>
    </row>
    <row r="3" spans="1:17" s="44" customFormat="1" ht="15.75" thickBot="1">
      <c r="B3" s="116"/>
      <c r="C3" s="112" t="s">
        <v>166</v>
      </c>
      <c r="D3" s="115">
        <f>'A. All deals (a)'!D2</f>
        <v>45900</v>
      </c>
      <c r="E3" s="25"/>
      <c r="F3" s="25"/>
      <c r="G3" s="25"/>
      <c r="H3" s="25"/>
      <c r="I3" s="25"/>
      <c r="J3" s="25"/>
      <c r="K3" s="25"/>
      <c r="L3" s="25"/>
      <c r="M3" s="25"/>
      <c r="N3" s="25"/>
      <c r="O3" s="25"/>
      <c r="P3" s="25"/>
      <c r="Q3" s="25"/>
    </row>
    <row r="4" spans="1:17" ht="15.75" thickBot="1">
      <c r="B4" s="126"/>
      <c r="C4" s="56"/>
      <c r="D4" s="97"/>
      <c r="E4" s="97"/>
      <c r="F4" s="56"/>
    </row>
    <row r="5" spans="1:17">
      <c r="B5" s="288"/>
      <c r="C5" s="59"/>
      <c r="D5" s="98"/>
      <c r="E5" s="98"/>
      <c r="F5" s="59"/>
      <c r="G5" s="108"/>
      <c r="H5" s="108"/>
      <c r="I5" s="108"/>
      <c r="J5" s="62"/>
    </row>
    <row r="6" spans="1:17" ht="39" customHeight="1">
      <c r="A6" s="65"/>
      <c r="B6" s="289"/>
      <c r="C6" s="1" t="s">
        <v>50</v>
      </c>
      <c r="D6" s="1" t="s">
        <v>358</v>
      </c>
      <c r="E6" s="1" t="s">
        <v>55</v>
      </c>
      <c r="F6" s="1" t="s">
        <v>294</v>
      </c>
      <c r="G6" s="1" t="s">
        <v>327</v>
      </c>
      <c r="H6" s="1" t="s">
        <v>328</v>
      </c>
      <c r="I6" s="1" t="s">
        <v>321</v>
      </c>
      <c r="J6" s="64"/>
      <c r="K6" s="65"/>
    </row>
    <row r="7" spans="1:17">
      <c r="B7" s="290"/>
      <c r="C7" s="81"/>
      <c r="D7" s="99"/>
      <c r="E7" s="99"/>
      <c r="F7" s="81"/>
      <c r="G7" s="81"/>
      <c r="H7" s="229"/>
      <c r="I7" s="229"/>
      <c r="J7" s="67"/>
    </row>
    <row r="8" spans="1:17">
      <c r="B8" s="290"/>
      <c r="C8" s="230" t="s">
        <v>28</v>
      </c>
      <c r="D8" s="231"/>
      <c r="E8" s="231"/>
      <c r="F8" s="230"/>
      <c r="G8" s="232"/>
      <c r="H8" s="233"/>
      <c r="I8" s="233"/>
      <c r="J8" s="67"/>
    </row>
    <row r="9" spans="1:17">
      <c r="B9" s="290" t="s">
        <v>379</v>
      </c>
      <c r="C9" s="4" t="str">
        <f>'A. All deals (a)'!C9</f>
        <v>Jollychic Holding Limited</v>
      </c>
      <c r="D9" s="101">
        <v>13458655</v>
      </c>
      <c r="E9" s="101">
        <v>236116762</v>
      </c>
      <c r="F9" s="55">
        <f>D9/E9</f>
        <v>5.6999998161926343E-2</v>
      </c>
      <c r="G9" s="109" t="s">
        <v>144</v>
      </c>
      <c r="H9" s="109" t="s">
        <v>317</v>
      </c>
      <c r="I9" s="109" t="s">
        <v>317</v>
      </c>
      <c r="J9" s="67"/>
      <c r="M9" s="205"/>
    </row>
    <row r="10" spans="1:17">
      <c r="B10" s="290" t="s">
        <v>379</v>
      </c>
      <c r="C10" s="4" t="str">
        <f>'A. All deals (a)'!C10</f>
        <v>Mena Mobile Inc</v>
      </c>
      <c r="D10" s="101">
        <v>21419829</v>
      </c>
      <c r="E10" s="101">
        <v>152998776</v>
      </c>
      <c r="F10" s="55">
        <f>D10/E10</f>
        <v>0.14000000235296001</v>
      </c>
      <c r="G10" s="109" t="s">
        <v>144</v>
      </c>
      <c r="H10" s="109" t="s">
        <v>317</v>
      </c>
      <c r="I10" s="109" t="s">
        <v>317</v>
      </c>
      <c r="J10" s="67"/>
      <c r="M10" s="205"/>
    </row>
    <row r="11" spans="1:17">
      <c r="B11" s="290"/>
      <c r="C11" s="4" t="str">
        <f>'A. All deals (a)'!C11</f>
        <v>Flyr Inc</v>
      </c>
      <c r="D11" s="101">
        <v>5205482</v>
      </c>
      <c r="E11" s="101">
        <f>147338939</f>
        <v>147338939</v>
      </c>
      <c r="F11" s="220">
        <f>D11/E11</f>
        <v>3.5329981573981609E-2</v>
      </c>
      <c r="G11" s="109" t="s">
        <v>783</v>
      </c>
      <c r="H11" s="109" t="s">
        <v>318</v>
      </c>
      <c r="I11" s="109" t="s">
        <v>170</v>
      </c>
      <c r="J11" s="67"/>
      <c r="M11" s="205"/>
    </row>
    <row r="12" spans="1:17">
      <c r="B12" s="290" t="s">
        <v>26</v>
      </c>
      <c r="C12" s="4" t="str">
        <f>'A. All deals (a)'!C12</f>
        <v xml:space="preserve">Esyasoft Holding </v>
      </c>
      <c r="D12" s="101" t="s">
        <v>121</v>
      </c>
      <c r="E12" s="101" t="s">
        <v>121</v>
      </c>
      <c r="F12" s="101" t="s">
        <v>121</v>
      </c>
      <c r="G12" s="109" t="s">
        <v>302</v>
      </c>
      <c r="H12" s="109" t="s">
        <v>320</v>
      </c>
      <c r="I12" s="109" t="s">
        <v>319</v>
      </c>
      <c r="J12" s="67"/>
      <c r="M12" s="205"/>
    </row>
    <row r="13" spans="1:17">
      <c r="B13" s="290"/>
      <c r="C13" s="4" t="str">
        <f>'A. All deals (a)'!C13</f>
        <v>Beyond Limits</v>
      </c>
      <c r="D13" s="101">
        <v>17670202</v>
      </c>
      <c r="E13" s="101">
        <v>187288050</v>
      </c>
      <c r="F13" s="55">
        <f>D13/E13</f>
        <v>9.4347728005070269E-2</v>
      </c>
      <c r="G13" s="109" t="s">
        <v>146</v>
      </c>
      <c r="H13" s="109" t="s">
        <v>318</v>
      </c>
      <c r="I13" s="109" t="s">
        <v>170</v>
      </c>
      <c r="J13" s="67"/>
      <c r="M13" s="205"/>
    </row>
    <row r="14" spans="1:17">
      <c r="B14" s="290"/>
      <c r="C14" s="4" t="str">
        <f>'A. All deals (a)'!C14</f>
        <v>ONT plc</v>
      </c>
      <c r="D14" s="101">
        <v>44328120</v>
      </c>
      <c r="E14" s="101">
        <f>955.45*10^6</f>
        <v>955450000</v>
      </c>
      <c r="F14" s="55">
        <f>D14/E14</f>
        <v>4.6395018054319954E-2</v>
      </c>
      <c r="G14" s="109" t="s">
        <v>147</v>
      </c>
      <c r="H14" s="109" t="s">
        <v>292</v>
      </c>
      <c r="I14" s="109" t="s">
        <v>292</v>
      </c>
      <c r="J14" s="67"/>
    </row>
    <row r="15" spans="1:17">
      <c r="B15" s="290"/>
      <c r="C15" s="4" t="str">
        <f>'A. All deals (a)'!C15</f>
        <v>Heygears</v>
      </c>
      <c r="D15" s="101">
        <v>3565017.22</v>
      </c>
      <c r="E15" s="101">
        <v>24785982.27</v>
      </c>
      <c r="F15" s="55">
        <f>D15/E15</f>
        <v>0.14383199266284313</v>
      </c>
      <c r="G15" s="109" t="s">
        <v>144</v>
      </c>
      <c r="H15" s="109" t="s">
        <v>291</v>
      </c>
      <c r="I15" s="109" t="s">
        <v>322</v>
      </c>
      <c r="J15" s="67"/>
    </row>
    <row r="16" spans="1:17">
      <c r="B16" s="290" t="s">
        <v>26</v>
      </c>
      <c r="C16" s="4" t="str">
        <f>'A. All deals (a)'!C16</f>
        <v>Jysan Technologies</v>
      </c>
      <c r="D16" s="101">
        <v>7959497</v>
      </c>
      <c r="E16" s="101">
        <v>265316566.66666669</v>
      </c>
      <c r="F16" s="55">
        <v>0.03</v>
      </c>
      <c r="G16" s="109" t="s">
        <v>145</v>
      </c>
      <c r="H16" s="109" t="s">
        <v>292</v>
      </c>
      <c r="I16" s="109" t="s">
        <v>292</v>
      </c>
      <c r="J16" s="67"/>
    </row>
    <row r="17" spans="2:14">
      <c r="B17" s="276"/>
      <c r="C17" s="4" t="str">
        <f>'A. All deals (a)'!C17</f>
        <v>Cerebras Systems Inc</v>
      </c>
      <c r="D17" s="101">
        <v>1441711</v>
      </c>
      <c r="E17" s="101">
        <f>D17/F17</f>
        <v>177989012.34567901</v>
      </c>
      <c r="F17" s="220">
        <v>8.0999999999999996E-3</v>
      </c>
      <c r="G17" s="109" t="s">
        <v>295</v>
      </c>
      <c r="H17" s="109" t="s">
        <v>318</v>
      </c>
      <c r="I17" s="109" t="s">
        <v>170</v>
      </c>
      <c r="J17" s="67"/>
    </row>
    <row r="18" spans="2:14">
      <c r="B18" s="276"/>
      <c r="C18" s="4" t="str">
        <f>'A. All deals (a)'!C18</f>
        <v>Endless Studios LLC</v>
      </c>
      <c r="D18" s="101">
        <v>8000000</v>
      </c>
      <c r="E18" s="101">
        <f>38750000+11000000+2000000</f>
        <v>51750000</v>
      </c>
      <c r="F18" s="220">
        <f>D18/E18</f>
        <v>0.15458937198067632</v>
      </c>
      <c r="G18" s="109" t="s">
        <v>295</v>
      </c>
      <c r="H18" s="109" t="s">
        <v>318</v>
      </c>
      <c r="I18" s="109" t="s">
        <v>170</v>
      </c>
      <c r="J18" s="67"/>
    </row>
    <row r="19" spans="2:14">
      <c r="B19" s="290" t="s">
        <v>26</v>
      </c>
      <c r="C19" s="4" t="str">
        <f>'A. All deals (a)'!C19</f>
        <v>Instadeep Limited</v>
      </c>
      <c r="D19" s="101">
        <v>33267</v>
      </c>
      <c r="E19" s="101">
        <v>2895450</v>
      </c>
      <c r="F19" s="55">
        <f>D19/E19</f>
        <v>1.1489405791845828E-2</v>
      </c>
      <c r="G19" s="109" t="s">
        <v>303</v>
      </c>
      <c r="H19" s="109" t="s">
        <v>292</v>
      </c>
      <c r="I19" s="109" t="s">
        <v>292</v>
      </c>
      <c r="J19" s="67"/>
    </row>
    <row r="20" spans="2:14">
      <c r="B20" s="290" t="s">
        <v>26</v>
      </c>
      <c r="C20" s="4" t="str">
        <f>'A. All deals (a)'!C20</f>
        <v>X-fusion</v>
      </c>
      <c r="D20" s="101" t="s">
        <v>121</v>
      </c>
      <c r="E20" s="101" t="s">
        <v>121</v>
      </c>
      <c r="F20" s="55">
        <f>10% * 51%</f>
        <v>5.1000000000000004E-2</v>
      </c>
      <c r="G20" s="109" t="s">
        <v>144</v>
      </c>
      <c r="H20" s="109" t="s">
        <v>291</v>
      </c>
      <c r="I20" s="109" t="s">
        <v>322</v>
      </c>
      <c r="J20" s="67"/>
      <c r="L20" s="104"/>
    </row>
    <row r="21" spans="2:14">
      <c r="B21" s="276"/>
      <c r="C21" s="4" t="str">
        <f>'A. All deals (a)'!C21</f>
        <v>DriveNets</v>
      </c>
      <c r="D21" s="101">
        <f>24403771+44523131</f>
        <v>68926902</v>
      </c>
      <c r="E21" s="101">
        <f>D21/F21</f>
        <v>785044441.91343963</v>
      </c>
      <c r="F21" s="220">
        <v>8.7800000000000003E-2</v>
      </c>
      <c r="G21" s="109" t="s">
        <v>296</v>
      </c>
      <c r="H21" s="247" t="s">
        <v>324</v>
      </c>
      <c r="I21" s="247" t="s">
        <v>323</v>
      </c>
      <c r="J21" s="67"/>
    </row>
    <row r="22" spans="2:14">
      <c r="B22" s="276"/>
      <c r="C22" s="4" t="str">
        <f>'A. All deals (a)'!C22</f>
        <v>vTv Therapeutics Inc.</v>
      </c>
      <c r="D22" s="306">
        <f>ROUNDUP(10386274/40,0)</f>
        <v>259657</v>
      </c>
      <c r="E22" s="101">
        <f>2612257+577349</f>
        <v>3189606</v>
      </c>
      <c r="F22" s="220">
        <f>D22/E22</f>
        <v>8.1407233369889573E-2</v>
      </c>
      <c r="G22" s="109" t="s">
        <v>377</v>
      </c>
      <c r="H22" s="109" t="s">
        <v>318</v>
      </c>
      <c r="I22" s="109" t="s">
        <v>170</v>
      </c>
      <c r="J22" s="67"/>
      <c r="L22" s="104"/>
    </row>
    <row r="23" spans="2:14">
      <c r="B23" s="290" t="s">
        <v>26</v>
      </c>
      <c r="C23" s="4" t="str">
        <f>'A. All deals (a)'!C23</f>
        <v>Honor Device Co Ltd</v>
      </c>
      <c r="D23" s="105">
        <f>1517126944.34*0.8/2</f>
        <v>606850777.73599994</v>
      </c>
      <c r="E23" s="105">
        <v>32238947567.490002</v>
      </c>
      <c r="F23" s="55">
        <f>4.705882%* 0.8/2</f>
        <v>1.8823528000000003E-2</v>
      </c>
      <c r="G23" s="109" t="s">
        <v>144</v>
      </c>
      <c r="H23" s="109" t="s">
        <v>291</v>
      </c>
      <c r="I23" s="109" t="s">
        <v>322</v>
      </c>
      <c r="J23" s="67"/>
      <c r="L23" s="127"/>
      <c r="M23" s="103"/>
    </row>
    <row r="24" spans="2:14">
      <c r="B24" s="276"/>
      <c r="C24" s="4" t="str">
        <f>'A. All deals (a)'!C24</f>
        <v>Applied AI Corporation Limited</v>
      </c>
      <c r="D24" s="101">
        <f>44133+39500+54863+73023</f>
        <v>211519</v>
      </c>
      <c r="E24" s="101">
        <v>1744988</v>
      </c>
      <c r="F24" s="220">
        <f>D24/E24</f>
        <v>0.12121516021886683</v>
      </c>
      <c r="G24" s="109" t="s">
        <v>293</v>
      </c>
      <c r="H24" s="109" t="s">
        <v>325</v>
      </c>
      <c r="I24" s="109" t="s">
        <v>326</v>
      </c>
      <c r="J24" s="67"/>
      <c r="L24" s="293" t="s">
        <v>365</v>
      </c>
      <c r="M24" s="294"/>
      <c r="N24" s="295"/>
    </row>
    <row r="25" spans="2:14">
      <c r="B25" s="276"/>
      <c r="C25" s="4" t="str">
        <f>'A. All deals (a)'!C25</f>
        <v xml:space="preserve">eSpace </v>
      </c>
      <c r="D25" s="101">
        <v>417846</v>
      </c>
      <c r="E25" s="101">
        <v>16036336</v>
      </c>
      <c r="F25" s="220">
        <f>D25/E25</f>
        <v>2.6056201366696233E-2</v>
      </c>
      <c r="G25" s="109" t="s">
        <v>386</v>
      </c>
      <c r="H25" s="109" t="s">
        <v>318</v>
      </c>
      <c r="I25" s="109" t="s">
        <v>170</v>
      </c>
      <c r="J25" s="67"/>
      <c r="L25" s="103">
        <v>5400972</v>
      </c>
      <c r="M25" s="103" t="s">
        <v>359</v>
      </c>
    </row>
    <row r="26" spans="2:14">
      <c r="B26" s="276"/>
      <c r="C26" s="4" t="str">
        <f>'A. All deals (a)'!C26</f>
        <v>Tools for Humanity Corporation</v>
      </c>
      <c r="D26" s="101">
        <v>65413</v>
      </c>
      <c r="E26" s="101">
        <v>10439222</v>
      </c>
      <c r="F26" s="332">
        <f>D26/E26</f>
        <v>6.2660799818224002E-3</v>
      </c>
      <c r="G26" s="109" t="s">
        <v>351</v>
      </c>
      <c r="H26" s="109" t="s">
        <v>318</v>
      </c>
      <c r="I26" s="109" t="s">
        <v>170</v>
      </c>
      <c r="J26" s="67"/>
      <c r="L26" s="103">
        <v>4857352</v>
      </c>
      <c r="M26" s="103" t="s">
        <v>360</v>
      </c>
    </row>
    <row r="27" spans="2:14">
      <c r="B27" s="276"/>
      <c r="C27" s="4" t="str">
        <f>'A. All deals (a)'!C27</f>
        <v>WLD Tokens</v>
      </c>
      <c r="D27" s="101">
        <v>62500000</v>
      </c>
      <c r="E27" s="101">
        <v>10000000000</v>
      </c>
      <c r="F27" s="220">
        <f>D27/E27</f>
        <v>6.2500000000000003E-3</v>
      </c>
      <c r="G27" s="109" t="s">
        <v>351</v>
      </c>
      <c r="H27" s="109" t="s">
        <v>352</v>
      </c>
      <c r="I27" s="109" t="s">
        <v>317</v>
      </c>
      <c r="J27" s="67"/>
      <c r="L27" s="103">
        <v>16791835</v>
      </c>
      <c r="M27" s="103" t="s">
        <v>361</v>
      </c>
    </row>
    <row r="28" spans="2:14">
      <c r="B28" s="276"/>
      <c r="C28" s="4" t="str">
        <f>'A. All deals (a)'!C28</f>
        <v>E-line Ventures LLC</v>
      </c>
      <c r="D28" s="101">
        <v>4477612</v>
      </c>
      <c r="E28" s="101">
        <f>L31</f>
        <v>38990900</v>
      </c>
      <c r="F28" s="220">
        <f>D28/E28</f>
        <v>0.11483735948644427</v>
      </c>
      <c r="G28" s="109" t="s">
        <v>368</v>
      </c>
      <c r="H28" s="109" t="s">
        <v>366</v>
      </c>
      <c r="I28" s="109" t="s">
        <v>366</v>
      </c>
      <c r="J28" s="67"/>
      <c r="L28" s="103">
        <v>1465517</v>
      </c>
      <c r="M28" s="103" t="s">
        <v>362</v>
      </c>
    </row>
    <row r="29" spans="2:14">
      <c r="B29" s="276"/>
      <c r="C29" s="4" t="str">
        <f>'A. All deals (a)'!C29</f>
        <v>School Hack (AIREV Holding Limited)</v>
      </c>
      <c r="D29" s="101">
        <v>25000</v>
      </c>
      <c r="E29" s="101">
        <v>100000</v>
      </c>
      <c r="F29" s="220">
        <f t="shared" ref="F29" si="0">D29/E29</f>
        <v>0.25</v>
      </c>
      <c r="G29" s="109" t="s">
        <v>401</v>
      </c>
      <c r="H29" s="109" t="s">
        <v>325</v>
      </c>
      <c r="I29" s="109" t="s">
        <v>402</v>
      </c>
      <c r="J29" s="67"/>
      <c r="L29" s="103">
        <f>D28*2</f>
        <v>8955224</v>
      </c>
      <c r="M29" s="103" t="s">
        <v>363</v>
      </c>
    </row>
    <row r="30" spans="2:14">
      <c r="B30" s="276"/>
      <c r="C30" s="4" t="str">
        <f>'A. All deals (a)'!C30</f>
        <v>Life Biosciences LLC</v>
      </c>
      <c r="D30" s="101">
        <v>14178755</v>
      </c>
      <c r="E30" s="101">
        <v>194237760</v>
      </c>
      <c r="F30" s="55">
        <f>D30/E30</f>
        <v>7.2996903382740827E-2</v>
      </c>
      <c r="G30" s="109" t="s">
        <v>293</v>
      </c>
      <c r="H30" s="109" t="s">
        <v>318</v>
      </c>
      <c r="I30" s="109" t="s">
        <v>170</v>
      </c>
      <c r="J30" s="67"/>
      <c r="L30" s="103">
        <v>1520000</v>
      </c>
      <c r="M30" s="103" t="s">
        <v>364</v>
      </c>
    </row>
    <row r="31" spans="2:14">
      <c r="B31" s="276"/>
      <c r="C31" s="4" t="str">
        <f>'A. All deals (a)'!C31</f>
        <v>Verses AI Inc</v>
      </c>
      <c r="D31" s="101">
        <f>13894833*1/9*1/3</f>
        <v>514623.44444444444</v>
      </c>
      <c r="E31" s="101">
        <f>D31/F31</f>
        <v>9839836.41385171</v>
      </c>
      <c r="F31" s="55">
        <v>5.2299999999999999E-2</v>
      </c>
      <c r="G31" s="109" t="s">
        <v>590</v>
      </c>
      <c r="H31" s="109" t="s">
        <v>593</v>
      </c>
      <c r="I31" s="109" t="s">
        <v>591</v>
      </c>
      <c r="J31" s="67"/>
      <c r="L31" s="285">
        <f>SUM(L25:L30)</f>
        <v>38990900</v>
      </c>
      <c r="M31" s="285"/>
      <c r="N31" s="286"/>
    </row>
    <row r="32" spans="2:14">
      <c r="B32" s="276"/>
      <c r="C32" s="4" t="str">
        <f>'A. All deals (a)'!C32</f>
        <v>Inveniam Ltd</v>
      </c>
      <c r="D32" s="101" t="s">
        <v>121</v>
      </c>
      <c r="E32" s="101">
        <f>13481499/0.2</f>
        <v>67407495</v>
      </c>
      <c r="F32" s="55" t="s">
        <v>675</v>
      </c>
      <c r="G32" s="109" t="s">
        <v>672</v>
      </c>
      <c r="H32" s="109" t="s">
        <v>673</v>
      </c>
      <c r="I32" s="109" t="s">
        <v>674</v>
      </c>
      <c r="J32" s="67"/>
      <c r="L32" s="103"/>
      <c r="M32" s="103"/>
    </row>
    <row r="33" spans="1:18">
      <c r="B33" s="276"/>
      <c r="C33" s="4" t="s">
        <v>695</v>
      </c>
      <c r="D33" s="101">
        <v>165082</v>
      </c>
      <c r="E33" s="101">
        <v>26293026</v>
      </c>
      <c r="F33" s="220">
        <f>D33/E33</f>
        <v>6.2785470185135785E-3</v>
      </c>
      <c r="G33" s="109" t="s">
        <v>146</v>
      </c>
      <c r="H33" s="109" t="s">
        <v>318</v>
      </c>
      <c r="I33" s="109" t="s">
        <v>170</v>
      </c>
      <c r="J33" s="67"/>
    </row>
    <row r="34" spans="1:18">
      <c r="B34" s="276"/>
      <c r="C34" s="5" t="s">
        <v>781</v>
      </c>
      <c r="D34" s="27">
        <v>990099</v>
      </c>
      <c r="E34" s="27">
        <v>191119513</v>
      </c>
      <c r="F34" s="528">
        <f>D34/E34</f>
        <v>5.1805228281426186E-3</v>
      </c>
      <c r="G34" s="283" t="s">
        <v>146</v>
      </c>
      <c r="H34" s="283"/>
      <c r="I34" s="283" t="s">
        <v>170</v>
      </c>
      <c r="J34" s="67"/>
    </row>
    <row r="35" spans="1:18">
      <c r="A35" s="70"/>
      <c r="B35" s="291"/>
      <c r="C35" s="236"/>
      <c r="D35" s="237"/>
      <c r="E35" s="237"/>
      <c r="F35" s="238"/>
      <c r="G35" s="239"/>
      <c r="H35" s="239"/>
      <c r="I35" s="239"/>
      <c r="J35" s="69"/>
      <c r="K35" s="70"/>
      <c r="L35" s="529"/>
    </row>
    <row r="36" spans="1:18">
      <c r="B36" s="276"/>
      <c r="C36" s="5"/>
      <c r="D36" s="27"/>
      <c r="E36" s="27"/>
      <c r="F36" s="102"/>
      <c r="G36" s="110"/>
      <c r="H36" s="110"/>
      <c r="I36" s="110"/>
      <c r="J36" s="67"/>
    </row>
    <row r="37" spans="1:18">
      <c r="B37" s="276"/>
      <c r="C37" s="230" t="s">
        <v>30</v>
      </c>
      <c r="D37" s="234" t="s">
        <v>329</v>
      </c>
      <c r="E37" s="234" t="s">
        <v>330</v>
      </c>
      <c r="F37" s="235"/>
      <c r="G37" s="233"/>
      <c r="H37" s="233"/>
      <c r="I37" s="233"/>
      <c r="J37" s="67"/>
    </row>
    <row r="38" spans="1:18">
      <c r="B38" s="276"/>
      <c r="C38" s="4" t="s">
        <v>115</v>
      </c>
      <c r="D38" s="101">
        <v>23234462</v>
      </c>
      <c r="E38" s="101">
        <v>105400000</v>
      </c>
      <c r="F38" s="498">
        <f t="shared" ref="F38:F39" si="1">D38/E38</f>
        <v>0.22044081593927894</v>
      </c>
      <c r="G38" s="109" t="s">
        <v>342</v>
      </c>
      <c r="H38" s="109" t="s">
        <v>334</v>
      </c>
      <c r="I38" s="109" t="s">
        <v>334</v>
      </c>
      <c r="J38" s="67"/>
    </row>
    <row r="39" spans="1:18">
      <c r="B39" s="276"/>
      <c r="C39" s="4" t="s">
        <v>284</v>
      </c>
      <c r="D39" s="101">
        <f>-'CF (Funds)'!H59*10^6</f>
        <v>2125000</v>
      </c>
      <c r="E39" s="101">
        <v>105400000</v>
      </c>
      <c r="F39" s="498">
        <f t="shared" si="1"/>
        <v>2.0161290322580645E-2</v>
      </c>
      <c r="G39" s="109"/>
      <c r="H39" s="109" t="s">
        <v>334</v>
      </c>
      <c r="I39" s="109" t="s">
        <v>334</v>
      </c>
      <c r="J39" s="67"/>
      <c r="P39" s="205"/>
      <c r="Q39" s="205"/>
    </row>
    <row r="40" spans="1:18">
      <c r="B40" s="276"/>
      <c r="C40" s="4" t="s">
        <v>1</v>
      </c>
      <c r="D40" s="101">
        <v>300000000</v>
      </c>
      <c r="E40" s="101">
        <v>301507538</v>
      </c>
      <c r="F40" s="55">
        <f>D40/E40</f>
        <v>0.99499999897183333</v>
      </c>
      <c r="G40" s="109" t="s">
        <v>333</v>
      </c>
      <c r="H40" s="109" t="s">
        <v>317</v>
      </c>
      <c r="I40" s="109" t="s">
        <v>317</v>
      </c>
      <c r="J40" s="67"/>
      <c r="P40" s="271"/>
      <c r="Q40" s="271"/>
    </row>
    <row r="41" spans="1:18">
      <c r="B41" s="290" t="s">
        <v>26</v>
      </c>
      <c r="C41" s="4" t="s">
        <v>12</v>
      </c>
      <c r="D41" s="101">
        <v>50000000</v>
      </c>
      <c r="E41" s="101">
        <v>496717172</v>
      </c>
      <c r="F41" s="55">
        <f>D41/E41</f>
        <v>0.10066090487405174</v>
      </c>
      <c r="G41" s="109" t="s">
        <v>369</v>
      </c>
      <c r="H41" s="109" t="s">
        <v>317</v>
      </c>
      <c r="I41" s="109" t="s">
        <v>317</v>
      </c>
      <c r="J41" s="67"/>
      <c r="P41" s="205"/>
      <c r="Q41" s="205"/>
      <c r="R41" s="127"/>
    </row>
    <row r="42" spans="1:18">
      <c r="B42" s="276"/>
      <c r="C42" s="4" t="s">
        <v>160</v>
      </c>
      <c r="D42" s="101">
        <v>17112500</v>
      </c>
      <c r="E42" s="101">
        <v>51337500</v>
      </c>
      <c r="F42" s="55">
        <f>D42/E42</f>
        <v>0.33333333333333331</v>
      </c>
      <c r="G42" s="109" t="s">
        <v>331</v>
      </c>
      <c r="H42" s="109" t="s">
        <v>332</v>
      </c>
      <c r="I42" s="109" t="s">
        <v>170</v>
      </c>
      <c r="J42" s="67"/>
    </row>
    <row r="43" spans="1:18">
      <c r="B43" s="276"/>
      <c r="C43" s="4" t="s">
        <v>694</v>
      </c>
      <c r="D43" s="101">
        <v>1200000000</v>
      </c>
      <c r="E43" s="101">
        <v>38400000000</v>
      </c>
      <c r="F43" s="220">
        <f>D43/E43</f>
        <v>3.125E-2</v>
      </c>
      <c r="G43" s="109"/>
      <c r="H43" s="109"/>
      <c r="I43" s="109"/>
      <c r="J43" s="67"/>
    </row>
    <row r="44" spans="1:18">
      <c r="B44" s="276"/>
      <c r="C44" s="5"/>
      <c r="D44" s="27"/>
      <c r="E44" s="27"/>
      <c r="F44" s="102"/>
      <c r="G44" s="110"/>
      <c r="H44" s="110"/>
      <c r="I44" s="110"/>
      <c r="J44" s="67"/>
    </row>
    <row r="45" spans="1:18" ht="15.75" thickBot="1">
      <c r="B45" s="292"/>
      <c r="C45" s="72"/>
      <c r="D45" s="100"/>
      <c r="E45" s="100"/>
      <c r="F45" s="72"/>
      <c r="G45" s="111"/>
      <c r="H45" s="111"/>
      <c r="I45" s="111"/>
      <c r="J45" s="75"/>
    </row>
    <row r="46" spans="1:18">
      <c r="C46" s="56"/>
      <c r="D46" s="97"/>
      <c r="E46" s="97"/>
      <c r="F46" s="56"/>
    </row>
    <row r="48" spans="1:18">
      <c r="E48" s="298"/>
      <c r="F48" s="26"/>
      <c r="G48" s="26"/>
      <c r="H48" s="26"/>
      <c r="I48" s="26"/>
      <c r="J48" s="26"/>
    </row>
    <row r="49" spans="3:10">
      <c r="F49" s="26"/>
      <c r="G49" s="26"/>
      <c r="H49" s="26"/>
      <c r="I49" s="26"/>
      <c r="J49" s="26"/>
    </row>
    <row r="50" spans="3:10">
      <c r="F50" s="26"/>
      <c r="G50" s="26"/>
      <c r="H50" s="26"/>
      <c r="I50" s="26"/>
      <c r="J50" s="26"/>
    </row>
    <row r="51" spans="3:10">
      <c r="F51" s="26"/>
      <c r="G51" s="26"/>
      <c r="H51" s="26"/>
      <c r="I51" s="26"/>
      <c r="J51" s="26"/>
    </row>
    <row r="52" spans="3:10">
      <c r="F52" s="26"/>
      <c r="G52" s="26"/>
      <c r="H52" s="26"/>
      <c r="I52" s="26"/>
      <c r="J52" s="26"/>
    </row>
    <row r="53" spans="3:10">
      <c r="F53" s="26"/>
      <c r="G53" s="26"/>
      <c r="H53" s="26"/>
      <c r="I53" s="26"/>
      <c r="J53" s="26"/>
    </row>
    <row r="56" spans="3:10">
      <c r="C56" s="1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20" formula="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D18" sqref="D18"/>
    </sheetView>
  </sheetViews>
  <sheetFormatPr defaultColWidth="9.140625" defaultRowHeight="15"/>
  <cols>
    <col min="1" max="1" width="5.42578125" style="25" customWidth="1"/>
    <col min="2" max="2" width="2.42578125" style="25" customWidth="1"/>
    <col min="3" max="3" width="35.42578125" style="56" customWidth="1"/>
    <col min="4" max="4" width="35.28515625" style="26" customWidth="1"/>
    <col min="5" max="5" width="43.28515625" style="57" customWidth="1"/>
    <col min="6" max="6" width="8.85546875" style="26" customWidth="1"/>
    <col min="7" max="7" width="15.85546875" style="26" customWidth="1"/>
    <col min="8" max="8" width="75.42578125" style="26" customWidth="1"/>
    <col min="9" max="9" width="2.28515625" style="25" customWidth="1"/>
    <col min="10" max="10" width="2.42578125" style="25" customWidth="1"/>
    <col min="11" max="16384" width="9.140625" style="25"/>
  </cols>
  <sheetData>
    <row r="1" spans="2:9" ht="15.75" thickBot="1"/>
    <row r="2" spans="2:9">
      <c r="B2" s="58"/>
      <c r="C2" s="59"/>
      <c r="D2" s="60"/>
      <c r="E2" s="61"/>
      <c r="F2" s="60"/>
      <c r="G2" s="60"/>
      <c r="H2" s="60"/>
      <c r="I2" s="62"/>
    </row>
    <row r="3" spans="2:9" s="65" customFormat="1" ht="30" customHeight="1">
      <c r="B3" s="63"/>
      <c r="C3" s="3" t="s">
        <v>50</v>
      </c>
      <c r="D3" s="1" t="s">
        <v>138</v>
      </c>
      <c r="E3" s="3" t="s">
        <v>79</v>
      </c>
      <c r="F3" s="1" t="s">
        <v>90</v>
      </c>
      <c r="G3" s="1" t="s">
        <v>25</v>
      </c>
      <c r="H3" s="82" t="s">
        <v>3</v>
      </c>
      <c r="I3" s="64"/>
    </row>
    <row r="4" spans="2:9">
      <c r="B4" s="66"/>
      <c r="C4" s="5"/>
      <c r="D4" s="8"/>
      <c r="E4" s="31"/>
      <c r="F4" s="8"/>
      <c r="G4" s="8"/>
      <c r="H4" s="8"/>
      <c r="I4" s="67"/>
    </row>
    <row r="5" spans="2:9">
      <c r="B5" s="66"/>
      <c r="C5" s="16" t="s">
        <v>28</v>
      </c>
      <c r="D5" s="2"/>
      <c r="E5" s="32"/>
      <c r="F5" s="2"/>
      <c r="G5" s="2"/>
      <c r="H5" s="2"/>
      <c r="I5" s="67"/>
    </row>
    <row r="6" spans="2:9">
      <c r="B6" s="66"/>
      <c r="C6" s="4" t="s">
        <v>0</v>
      </c>
      <c r="D6" s="29" t="s">
        <v>576</v>
      </c>
      <c r="E6" s="33" t="s">
        <v>94</v>
      </c>
      <c r="F6" s="181"/>
      <c r="G6" s="181" t="s">
        <v>80</v>
      </c>
      <c r="H6" s="38"/>
      <c r="I6" s="67"/>
    </row>
    <row r="7" spans="2:9">
      <c r="B7" s="66"/>
      <c r="C7" s="4" t="s">
        <v>38</v>
      </c>
      <c r="D7" s="29" t="s">
        <v>98</v>
      </c>
      <c r="E7" s="33" t="s">
        <v>387</v>
      </c>
      <c r="F7" s="181"/>
      <c r="G7" s="181"/>
      <c r="H7" s="38" t="s">
        <v>575</v>
      </c>
      <c r="I7" s="67"/>
    </row>
    <row r="8" spans="2:9">
      <c r="B8" s="66"/>
      <c r="C8" s="4" t="s">
        <v>39</v>
      </c>
      <c r="D8" s="29" t="s">
        <v>135</v>
      </c>
      <c r="E8" s="33" t="s">
        <v>121</v>
      </c>
      <c r="F8" s="181" t="s">
        <v>118</v>
      </c>
      <c r="G8" s="181" t="s">
        <v>26</v>
      </c>
      <c r="H8" s="29" t="s">
        <v>122</v>
      </c>
      <c r="I8" s="67"/>
    </row>
    <row r="9" spans="2:9">
      <c r="B9" s="66"/>
      <c r="C9" s="4" t="s">
        <v>46</v>
      </c>
      <c r="D9" s="29" t="s">
        <v>576</v>
      </c>
      <c r="E9" s="33" t="s">
        <v>263</v>
      </c>
      <c r="F9" s="181" t="s">
        <v>117</v>
      </c>
      <c r="G9" s="181" t="s">
        <v>80</v>
      </c>
      <c r="H9" s="29"/>
      <c r="I9" s="67"/>
    </row>
    <row r="10" spans="2:9">
      <c r="B10" s="66"/>
      <c r="C10" s="4" t="s">
        <v>37</v>
      </c>
      <c r="D10" s="29" t="s">
        <v>576</v>
      </c>
      <c r="E10" s="33" t="s">
        <v>387</v>
      </c>
      <c r="F10" s="181" t="s">
        <v>119</v>
      </c>
      <c r="G10" s="181"/>
      <c r="H10" s="38"/>
      <c r="I10" s="67"/>
    </row>
    <row r="11" spans="2:9">
      <c r="B11" s="66"/>
      <c r="C11" s="4" t="s">
        <v>85</v>
      </c>
      <c r="D11" s="29" t="s">
        <v>576</v>
      </c>
      <c r="E11" s="33" t="s">
        <v>93</v>
      </c>
      <c r="F11" s="181"/>
      <c r="G11" s="181"/>
      <c r="H11" s="38"/>
      <c r="I11" s="67"/>
    </row>
    <row r="12" spans="2:9">
      <c r="B12" s="66"/>
      <c r="C12" s="4" t="s">
        <v>9</v>
      </c>
      <c r="D12" s="29" t="s">
        <v>577</v>
      </c>
      <c r="E12" s="33" t="s">
        <v>62</v>
      </c>
      <c r="F12" s="181"/>
      <c r="G12" s="181" t="s">
        <v>489</v>
      </c>
      <c r="H12" s="38" t="s">
        <v>382</v>
      </c>
      <c r="I12" s="67"/>
    </row>
    <row r="13" spans="2:9">
      <c r="B13" s="66"/>
      <c r="C13" s="4" t="s">
        <v>18</v>
      </c>
      <c r="D13" s="29" t="s">
        <v>576</v>
      </c>
      <c r="E13" s="33" t="s">
        <v>96</v>
      </c>
      <c r="F13" s="181"/>
      <c r="G13" s="181" t="s">
        <v>26</v>
      </c>
      <c r="H13" s="38" t="s">
        <v>26</v>
      </c>
      <c r="I13" s="67"/>
    </row>
    <row r="14" spans="2:9">
      <c r="B14" s="66"/>
      <c r="C14" s="4" t="s">
        <v>40</v>
      </c>
      <c r="D14" s="29" t="s">
        <v>98</v>
      </c>
      <c r="E14" s="33" t="s">
        <v>95</v>
      </c>
      <c r="F14" s="181" t="s">
        <v>120</v>
      </c>
      <c r="G14" s="181"/>
      <c r="H14" s="38"/>
      <c r="I14" s="67"/>
    </row>
    <row r="15" spans="2:9">
      <c r="B15" s="66"/>
      <c r="C15" s="4" t="s">
        <v>41</v>
      </c>
      <c r="D15" s="29" t="s">
        <v>579</v>
      </c>
      <c r="E15" s="33" t="s">
        <v>387</v>
      </c>
      <c r="F15" s="181"/>
      <c r="G15" s="181"/>
      <c r="H15" s="38"/>
      <c r="I15" s="67"/>
    </row>
    <row r="16" spans="2:9">
      <c r="B16" s="66"/>
      <c r="C16" s="4" t="s">
        <v>42</v>
      </c>
      <c r="D16" s="29" t="s">
        <v>98</v>
      </c>
      <c r="E16" s="33"/>
      <c r="F16" s="181"/>
      <c r="G16" s="181" t="s">
        <v>26</v>
      </c>
      <c r="H16" s="38" t="s">
        <v>26</v>
      </c>
      <c r="I16" s="67"/>
    </row>
    <row r="17" spans="2:9">
      <c r="B17" s="66"/>
      <c r="C17" s="4" t="s">
        <v>69</v>
      </c>
      <c r="D17" s="29" t="s">
        <v>135</v>
      </c>
      <c r="E17" s="33" t="s">
        <v>121</v>
      </c>
      <c r="F17" s="182"/>
      <c r="G17" s="181" t="s">
        <v>26</v>
      </c>
      <c r="H17" s="38"/>
      <c r="I17" s="67"/>
    </row>
    <row r="18" spans="2:9">
      <c r="B18" s="66"/>
      <c r="C18" s="4" t="s">
        <v>19</v>
      </c>
      <c r="D18" s="29" t="s">
        <v>98</v>
      </c>
      <c r="E18" s="33" t="s">
        <v>97</v>
      </c>
      <c r="F18" s="182"/>
      <c r="G18" s="182"/>
      <c r="H18" s="38"/>
      <c r="I18" s="67"/>
    </row>
    <row r="19" spans="2:9">
      <c r="B19" s="66"/>
      <c r="C19" s="4" t="s">
        <v>86</v>
      </c>
      <c r="D19" s="29" t="s">
        <v>578</v>
      </c>
      <c r="E19" s="33" t="s">
        <v>225</v>
      </c>
      <c r="F19" s="182"/>
      <c r="G19" s="182"/>
      <c r="H19" s="38"/>
      <c r="I19" s="67"/>
    </row>
    <row r="20" spans="2:9">
      <c r="B20" s="66"/>
      <c r="C20" s="4" t="s">
        <v>35</v>
      </c>
      <c r="D20" s="29" t="s">
        <v>135</v>
      </c>
      <c r="E20" s="33" t="s">
        <v>121</v>
      </c>
      <c r="F20" s="181" t="s">
        <v>224</v>
      </c>
      <c r="G20" s="181" t="s">
        <v>26</v>
      </c>
      <c r="H20" s="38"/>
      <c r="I20" s="67"/>
    </row>
    <row r="21" spans="2:9">
      <c r="B21" s="66"/>
      <c r="C21" s="4" t="s">
        <v>206</v>
      </c>
      <c r="D21" s="29" t="s">
        <v>135</v>
      </c>
      <c r="E21" s="33" t="s">
        <v>121</v>
      </c>
      <c r="F21" s="181"/>
      <c r="G21" s="181"/>
      <c r="H21" s="38"/>
      <c r="I21" s="67"/>
    </row>
    <row r="22" spans="2:9">
      <c r="B22" s="66"/>
      <c r="C22" s="4" t="s">
        <v>232</v>
      </c>
      <c r="D22" s="29" t="s">
        <v>135</v>
      </c>
      <c r="E22" s="33" t="s">
        <v>121</v>
      </c>
      <c r="F22" s="181"/>
      <c r="G22" s="181"/>
      <c r="H22" s="38"/>
      <c r="I22" s="67"/>
    </row>
    <row r="23" spans="2:9">
      <c r="B23" s="66"/>
      <c r="C23" s="4" t="s">
        <v>285</v>
      </c>
      <c r="D23" s="29" t="s">
        <v>135</v>
      </c>
      <c r="E23" s="33" t="s">
        <v>121</v>
      </c>
      <c r="F23" s="181"/>
      <c r="G23" s="181"/>
      <c r="H23" s="38"/>
      <c r="I23" s="67"/>
    </row>
    <row r="24" spans="2:9">
      <c r="B24" s="66"/>
      <c r="C24" s="4" t="s">
        <v>357</v>
      </c>
      <c r="D24" s="29"/>
      <c r="E24" s="33"/>
      <c r="F24" s="181"/>
      <c r="G24" s="181"/>
      <c r="H24" s="38"/>
      <c r="I24" s="67"/>
    </row>
    <row r="25" spans="2:9">
      <c r="B25" s="66"/>
      <c r="C25" s="5" t="s">
        <v>397</v>
      </c>
      <c r="D25" s="277" t="s">
        <v>577</v>
      </c>
      <c r="E25" s="33" t="s">
        <v>121</v>
      </c>
      <c r="F25" s="278"/>
      <c r="G25" s="278"/>
      <c r="H25" s="279"/>
      <c r="I25" s="67"/>
    </row>
    <row r="26" spans="2:9" s="70" customFormat="1">
      <c r="B26" s="68"/>
      <c r="C26" s="9"/>
      <c r="D26" s="30"/>
      <c r="E26" s="34"/>
      <c r="F26" s="183"/>
      <c r="G26" s="183"/>
      <c r="H26" s="136"/>
      <c r="I26" s="69"/>
    </row>
    <row r="27" spans="2:9">
      <c r="B27" s="66"/>
      <c r="C27" s="5"/>
      <c r="D27" s="22"/>
      <c r="E27" s="35"/>
      <c r="F27" s="22"/>
      <c r="G27" s="22"/>
      <c r="H27" s="137"/>
      <c r="I27" s="67"/>
    </row>
    <row r="28" spans="2:9">
      <c r="B28" s="66"/>
      <c r="C28" s="16" t="s">
        <v>29</v>
      </c>
      <c r="D28" s="20"/>
      <c r="E28" s="36"/>
      <c r="F28" s="20"/>
      <c r="G28" s="20"/>
      <c r="H28" s="138"/>
      <c r="I28" s="67"/>
    </row>
    <row r="29" spans="2:9">
      <c r="B29" s="66"/>
      <c r="C29" s="4" t="s">
        <v>47</v>
      </c>
      <c r="D29" s="20" t="s">
        <v>135</v>
      </c>
      <c r="E29" s="36"/>
      <c r="F29" s="20"/>
      <c r="G29" s="20"/>
      <c r="H29" s="138"/>
      <c r="I29" s="67"/>
    </row>
    <row r="30" spans="2:9">
      <c r="B30" s="66"/>
      <c r="C30" s="4" t="s">
        <v>0</v>
      </c>
      <c r="D30" s="29" t="s">
        <v>576</v>
      </c>
      <c r="E30" s="33" t="s">
        <v>94</v>
      </c>
      <c r="F30" s="29"/>
      <c r="G30" s="181" t="s">
        <v>80</v>
      </c>
      <c r="H30" s="38"/>
      <c r="I30" s="67"/>
    </row>
    <row r="31" spans="2:9">
      <c r="B31" s="66"/>
      <c r="C31" s="4" t="s">
        <v>39</v>
      </c>
      <c r="D31" s="29" t="s">
        <v>135</v>
      </c>
      <c r="E31" s="33"/>
      <c r="F31" s="29"/>
      <c r="G31" s="29"/>
      <c r="H31" s="38"/>
      <c r="I31" s="67"/>
    </row>
    <row r="32" spans="2:9" s="70" customFormat="1">
      <c r="B32" s="68"/>
      <c r="C32" s="9"/>
      <c r="D32" s="21"/>
      <c r="E32" s="37"/>
      <c r="F32" s="21"/>
      <c r="G32" s="21"/>
      <c r="H32" s="139"/>
      <c r="I32" s="69"/>
    </row>
    <row r="33" spans="2:9">
      <c r="B33" s="66"/>
      <c r="C33" s="5"/>
      <c r="D33" s="22"/>
      <c r="E33" s="35"/>
      <c r="F33" s="22"/>
      <c r="G33" s="22"/>
      <c r="H33" s="137"/>
      <c r="I33" s="67"/>
    </row>
    <row r="34" spans="2:9">
      <c r="B34" s="66"/>
      <c r="C34" s="16" t="s">
        <v>30</v>
      </c>
      <c r="D34" s="20"/>
      <c r="E34" s="54"/>
      <c r="F34" s="55"/>
      <c r="G34" s="55"/>
      <c r="H34" s="140"/>
      <c r="I34" s="67"/>
    </row>
    <row r="35" spans="2:9">
      <c r="B35" s="66"/>
      <c r="C35" s="4" t="s">
        <v>115</v>
      </c>
      <c r="D35" s="20" t="s">
        <v>576</v>
      </c>
      <c r="E35" s="36" t="s">
        <v>387</v>
      </c>
      <c r="F35" s="20"/>
      <c r="G35" s="20"/>
      <c r="H35" s="138"/>
      <c r="I35" s="67"/>
    </row>
    <row r="36" spans="2:9">
      <c r="B36" s="66"/>
      <c r="C36" s="4" t="s">
        <v>284</v>
      </c>
      <c r="D36" s="20" t="s">
        <v>135</v>
      </c>
      <c r="E36" s="36"/>
      <c r="F36" s="20"/>
      <c r="G36" s="20"/>
      <c r="H36" s="138"/>
      <c r="I36" s="67"/>
    </row>
    <row r="37" spans="2:9">
      <c r="B37" s="66"/>
      <c r="C37" s="4" t="s">
        <v>1</v>
      </c>
      <c r="D37" s="20" t="s">
        <v>135</v>
      </c>
      <c r="E37" s="36"/>
      <c r="F37" s="20"/>
      <c r="G37" s="20"/>
      <c r="H37" s="138"/>
      <c r="I37" s="67"/>
    </row>
    <row r="38" spans="2:9">
      <c r="B38" s="66"/>
      <c r="C38" s="4" t="s">
        <v>12</v>
      </c>
      <c r="D38" s="20" t="s">
        <v>135</v>
      </c>
      <c r="E38" s="36"/>
      <c r="F38" s="20"/>
      <c r="G38" s="181" t="s">
        <v>26</v>
      </c>
      <c r="H38" s="138"/>
      <c r="I38" s="67"/>
    </row>
    <row r="39" spans="2:9">
      <c r="B39" s="66"/>
      <c r="C39" s="4" t="s">
        <v>160</v>
      </c>
      <c r="D39" s="20" t="s">
        <v>233</v>
      </c>
      <c r="E39" s="36" t="s">
        <v>234</v>
      </c>
      <c r="F39" s="20"/>
      <c r="G39" s="20"/>
      <c r="H39" s="135" t="s">
        <v>136</v>
      </c>
      <c r="I39" s="67"/>
    </row>
    <row r="40" spans="2:9" s="70" customFormat="1">
      <c r="B40" s="68"/>
      <c r="C40" s="9"/>
      <c r="D40" s="21"/>
      <c r="E40" s="37"/>
      <c r="F40" s="21"/>
      <c r="G40" s="21"/>
      <c r="H40" s="21"/>
      <c r="I40" s="69"/>
    </row>
    <row r="41" spans="2:9" ht="15.75" thickBot="1">
      <c r="B41" s="71"/>
      <c r="C41" s="72"/>
      <c r="D41" s="73"/>
      <c r="E41" s="74"/>
      <c r="F41" s="73"/>
      <c r="G41" s="73"/>
      <c r="H41" s="73"/>
      <c r="I41" s="75"/>
    </row>
    <row r="42" spans="2:9">
      <c r="D42" s="76"/>
      <c r="E42" s="77"/>
      <c r="F42" s="76"/>
      <c r="G42" s="76"/>
      <c r="H42" s="76"/>
    </row>
    <row r="43" spans="2:9">
      <c r="C43" s="56" t="s">
        <v>126</v>
      </c>
    </row>
    <row r="44" spans="2:9">
      <c r="C44" s="56" t="s">
        <v>344</v>
      </c>
    </row>
    <row r="45" spans="2:9">
      <c r="C45" s="56" t="s">
        <v>345</v>
      </c>
    </row>
    <row r="46" spans="2:9">
      <c r="B46" s="118"/>
      <c r="C46" s="56" t="s">
        <v>139</v>
      </c>
    </row>
    <row r="47" spans="2:9">
      <c r="B47" s="184">
        <v>1</v>
      </c>
      <c r="C47" s="56" t="s">
        <v>220</v>
      </c>
      <c r="D47" s="57"/>
    </row>
    <row r="48" spans="2:9">
      <c r="B48" s="184">
        <v>2</v>
      </c>
      <c r="C48" s="57" t="s">
        <v>221</v>
      </c>
      <c r="D48" s="57"/>
      <c r="E48" s="25"/>
      <c r="F48" s="25"/>
      <c r="G48" s="25"/>
      <c r="H48" s="25"/>
    </row>
    <row r="49" spans="2:8">
      <c r="B49" s="184">
        <v>3</v>
      </c>
      <c r="C49" s="56" t="s">
        <v>222</v>
      </c>
      <c r="D49" s="57"/>
      <c r="E49" s="25"/>
      <c r="F49" s="25"/>
      <c r="G49" s="25"/>
      <c r="H49" s="25"/>
    </row>
    <row r="50" spans="2:8">
      <c r="B50" s="184">
        <v>4</v>
      </c>
      <c r="C50" s="56" t="s">
        <v>223</v>
      </c>
      <c r="D50" s="57"/>
      <c r="E50" s="25"/>
      <c r="F50" s="25"/>
      <c r="G50" s="25"/>
      <c r="H50" s="25"/>
    </row>
    <row r="51" spans="2:8">
      <c r="B51" s="184">
        <v>5</v>
      </c>
      <c r="C51" s="56" t="s">
        <v>226</v>
      </c>
      <c r="D51" s="57"/>
      <c r="E51" s="25"/>
      <c r="F51" s="25"/>
      <c r="G51" s="25"/>
      <c r="H51" s="25"/>
    </row>
    <row r="52" spans="2:8">
      <c r="B52" s="184"/>
      <c r="C52" s="26"/>
      <c r="E52" s="25"/>
      <c r="F52" s="25"/>
      <c r="G52" s="25"/>
      <c r="H52" s="25"/>
    </row>
    <row r="53" spans="2:8">
      <c r="E53" s="25"/>
      <c r="F53" s="25"/>
      <c r="G53" s="25"/>
      <c r="H53" s="25"/>
    </row>
    <row r="54" spans="2:8">
      <c r="C54"/>
      <c r="E54" s="25"/>
      <c r="F54" s="25"/>
      <c r="G54" s="25"/>
      <c r="H54" s="2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97"/>
  <sheetViews>
    <sheetView showGridLines="0" topLeftCell="A26" zoomScale="80" zoomScaleNormal="80" zoomScaleSheetLayoutView="70" workbookViewId="0">
      <selection activeCell="I34" sqref="I34"/>
    </sheetView>
  </sheetViews>
  <sheetFormatPr defaultColWidth="9.140625" defaultRowHeight="15" outlineLevelCol="1"/>
  <cols>
    <col min="1" max="2" width="5.42578125" style="25" customWidth="1"/>
    <col min="3" max="3" width="51.5703125" style="56" customWidth="1"/>
    <col min="4" max="4" width="17.140625" style="26" customWidth="1"/>
    <col min="5" max="5" width="17.140625" style="26" hidden="1" customWidth="1" outlineLevel="1"/>
    <col min="6" max="6" width="23.140625" style="26" customWidth="1" collapsed="1"/>
    <col min="7" max="7" width="13.5703125" style="26" customWidth="1"/>
    <col min="8" max="8" width="27.28515625" style="26" customWidth="1"/>
    <col min="9" max="9" width="12.5703125" style="26" customWidth="1"/>
    <col min="10" max="11" width="15.140625" style="26" customWidth="1"/>
    <col min="12" max="15" width="17.5703125" style="26" customWidth="1"/>
    <col min="16" max="16" width="17.5703125" style="80" customWidth="1"/>
    <col min="17" max="17" width="51.42578125" style="26" bestFit="1" customWidth="1"/>
    <col min="18" max="18" width="14.85546875" style="26" bestFit="1" customWidth="1"/>
    <col min="19" max="19" width="9.140625" style="25"/>
    <col min="20" max="21" width="18.5703125" style="25" customWidth="1"/>
    <col min="22" max="16384" width="9.140625" style="25"/>
  </cols>
  <sheetData>
    <row r="1" spans="2:18" ht="21.75" customHeight="1" thickBot="1">
      <c r="C1" s="132"/>
    </row>
    <row r="2" spans="2:18" ht="15.75" thickBot="1">
      <c r="C2" s="149" t="s">
        <v>166</v>
      </c>
      <c r="D2" s="150">
        <f>'D1'!D2</f>
        <v>45900</v>
      </c>
      <c r="E2" s="510"/>
      <c r="F2" s="25"/>
      <c r="G2" s="25"/>
      <c r="H2" s="25"/>
      <c r="I2" s="25"/>
      <c r="J2" s="25"/>
      <c r="K2" s="25"/>
      <c r="L2" s="25"/>
      <c r="M2" s="25"/>
      <c r="N2" s="25"/>
      <c r="O2" s="25"/>
      <c r="P2" s="25"/>
      <c r="Q2" s="25"/>
    </row>
    <row r="3" spans="2:18" ht="21.75" customHeight="1" thickBot="1">
      <c r="C3" s="132"/>
    </row>
    <row r="4" spans="2:18">
      <c r="B4" s="58"/>
      <c r="C4" s="59"/>
      <c r="D4" s="60"/>
      <c r="E4" s="60"/>
      <c r="F4" s="60"/>
      <c r="G4" s="60"/>
      <c r="H4" s="60"/>
      <c r="I4" s="60"/>
      <c r="J4" s="60"/>
      <c r="K4" s="60"/>
      <c r="L4" s="60"/>
      <c r="M4" s="60"/>
      <c r="N4" s="60"/>
      <c r="O4" s="60"/>
      <c r="P4" s="133"/>
      <c r="Q4" s="60"/>
      <c r="R4" s="201"/>
    </row>
    <row r="5" spans="2:18">
      <c r="B5" s="66"/>
      <c r="R5" s="187"/>
    </row>
    <row r="6" spans="2:18" s="65" customFormat="1" ht="60" customHeight="1">
      <c r="B6" s="63"/>
      <c r="C6" s="3" t="s">
        <v>50</v>
      </c>
      <c r="D6" s="1" t="s">
        <v>25</v>
      </c>
      <c r="E6" s="1"/>
      <c r="F6" s="1" t="s">
        <v>547</v>
      </c>
      <c r="G6" s="1" t="s">
        <v>134</v>
      </c>
      <c r="H6" s="1" t="s">
        <v>36</v>
      </c>
      <c r="I6" s="1" t="s">
        <v>52</v>
      </c>
      <c r="J6" s="1" t="s">
        <v>32</v>
      </c>
      <c r="K6" s="1" t="s">
        <v>2</v>
      </c>
      <c r="L6" s="1" t="s">
        <v>49</v>
      </c>
      <c r="M6" s="1" t="s">
        <v>33</v>
      </c>
      <c r="N6" s="1" t="s">
        <v>27</v>
      </c>
      <c r="O6" s="1" t="s">
        <v>167</v>
      </c>
      <c r="P6" s="1" t="s">
        <v>34</v>
      </c>
      <c r="Q6" s="1" t="s">
        <v>570</v>
      </c>
      <c r="R6" s="212"/>
    </row>
    <row r="7" spans="2:18">
      <c r="B7" s="66"/>
      <c r="C7" s="5"/>
      <c r="D7" s="8"/>
      <c r="E7" s="8"/>
      <c r="F7" s="8"/>
      <c r="G7" s="8" t="s">
        <v>82</v>
      </c>
      <c r="H7" s="8"/>
      <c r="I7" s="8" t="s">
        <v>52</v>
      </c>
      <c r="J7" s="8" t="s">
        <v>230</v>
      </c>
      <c r="K7" s="8" t="s">
        <v>230</v>
      </c>
      <c r="L7" s="8" t="s">
        <v>230</v>
      </c>
      <c r="M7" s="8" t="s">
        <v>230</v>
      </c>
      <c r="N7" s="8" t="s">
        <v>230</v>
      </c>
      <c r="O7" s="8" t="s">
        <v>230</v>
      </c>
      <c r="P7" s="12" t="s">
        <v>231</v>
      </c>
      <c r="Q7" s="8"/>
      <c r="R7" s="187"/>
    </row>
    <row r="8" spans="2:18">
      <c r="B8" s="66"/>
      <c r="C8" s="422" t="s">
        <v>571</v>
      </c>
      <c r="D8" s="335"/>
      <c r="E8" s="335"/>
      <c r="F8" s="335"/>
      <c r="G8" s="335"/>
      <c r="H8" s="335"/>
      <c r="I8" s="335"/>
      <c r="J8" s="335"/>
      <c r="K8" s="335"/>
      <c r="L8" s="335"/>
      <c r="M8" s="335"/>
      <c r="N8" s="335"/>
      <c r="O8" s="335"/>
      <c r="P8" s="335"/>
      <c r="Q8" s="335"/>
      <c r="R8" s="187"/>
    </row>
    <row r="9" spans="2:18">
      <c r="B9" s="66"/>
      <c r="C9" s="4" t="s">
        <v>46</v>
      </c>
      <c r="D9" s="2" t="s">
        <v>380</v>
      </c>
      <c r="E9" s="2"/>
      <c r="F9" s="2" t="s">
        <v>8</v>
      </c>
      <c r="G9" s="6">
        <v>2019</v>
      </c>
      <c r="H9" s="2" t="s">
        <v>72</v>
      </c>
      <c r="I9" s="90">
        <f>'B. %'!F9</f>
        <v>5.6999998161926343E-2</v>
      </c>
      <c r="J9" s="17">
        <f t="shared" ref="J9:J23" ca="1" si="0">K9</f>
        <v>65</v>
      </c>
      <c r="K9" s="17">
        <f ca="1">-SUMIF('CF (Equity, Debt)'!$C$3:$K$61,'A. All deals (a)'!C9,'CF (Equity, Debt)'!$E$3:$E$61)</f>
        <v>65</v>
      </c>
      <c r="L9" s="17">
        <v>0</v>
      </c>
      <c r="M9" s="17">
        <f ca="1">SUMIF('CF (Equity, Debt)'!$C$3:$K$61,'A. All deals (a)'!C9,'CF (Equity, Debt)'!$F$3:$F$61)</f>
        <v>0</v>
      </c>
      <c r="N9" s="17">
        <f>VLOOKUP(C9,NAV!$B$4:$E$47,4,0)</f>
        <v>0</v>
      </c>
      <c r="O9" s="17">
        <f ca="1">N9+M9-K9</f>
        <v>-65</v>
      </c>
      <c r="P9" s="10">
        <f t="shared" ref="P9:P21" ca="1" si="1">(M9+N9)/K9</f>
        <v>0</v>
      </c>
      <c r="Q9" s="87" t="s">
        <v>80</v>
      </c>
      <c r="R9" s="187"/>
    </row>
    <row r="10" spans="2:18">
      <c r="B10" s="66"/>
      <c r="C10" s="4" t="s">
        <v>0</v>
      </c>
      <c r="D10" s="2" t="s">
        <v>380</v>
      </c>
      <c r="E10" s="2"/>
      <c r="F10" s="2" t="s">
        <v>8</v>
      </c>
      <c r="G10" s="6">
        <v>2019</v>
      </c>
      <c r="H10" s="2" t="s">
        <v>67</v>
      </c>
      <c r="I10" s="90">
        <f>'B. %'!F10</f>
        <v>0.14000000235296001</v>
      </c>
      <c r="J10" s="17">
        <f t="shared" ca="1" si="0"/>
        <v>8</v>
      </c>
      <c r="K10" s="17">
        <f ca="1">-SUMIF('CF (Equity, Debt)'!$C$3:$K$61,'A. All deals (a)'!C10,'CF (Equity, Debt)'!$E$3:$E$61)</f>
        <v>8</v>
      </c>
      <c r="L10" s="17">
        <v>0</v>
      </c>
      <c r="M10" s="17">
        <f ca="1">SUMIF('CF (Equity, Debt)'!$C$3:$K$61,'A. All deals (a)'!C10,'CF (Equity, Debt)'!$F$3:$F$61)</f>
        <v>0</v>
      </c>
      <c r="N10" s="17">
        <f>VLOOKUP(C10,NAV!$B$4:$E$47,4,0)</f>
        <v>0</v>
      </c>
      <c r="O10" s="17">
        <f t="shared" ref="O10:O29" ca="1" si="2">N10+M10-K10</f>
        <v>-8</v>
      </c>
      <c r="P10" s="10">
        <f t="shared" ca="1" si="1"/>
        <v>0</v>
      </c>
      <c r="Q10" s="87" t="s">
        <v>80</v>
      </c>
      <c r="R10" s="187"/>
    </row>
    <row r="11" spans="2:18" ht="17.25">
      <c r="B11" s="66"/>
      <c r="C11" s="4" t="s">
        <v>38</v>
      </c>
      <c r="D11" s="2" t="s">
        <v>77</v>
      </c>
      <c r="E11" s="2"/>
      <c r="F11" s="2" t="s">
        <v>8</v>
      </c>
      <c r="G11" s="6">
        <v>2019</v>
      </c>
      <c r="H11" s="2" t="s">
        <v>74</v>
      </c>
      <c r="I11" s="90">
        <f>'B. %'!F11</f>
        <v>3.5329981573981609E-2</v>
      </c>
      <c r="J11" s="17">
        <f t="shared" ca="1" si="0"/>
        <v>10</v>
      </c>
      <c r="K11" s="17">
        <f ca="1">-SUMIF('CF (Equity, Debt)'!$C$3:$K$61,'A. All deals (a)'!C11,'CF (Equity, Debt)'!$E$3:$E$61)</f>
        <v>10</v>
      </c>
      <c r="L11" s="17">
        <v>0</v>
      </c>
      <c r="M11" s="17">
        <f ca="1">SUMIF('CF (Equity, Debt)'!$C$3:$K$61,'A. All deals (a)'!C11,'CF (Equity, Debt)'!$F$3:$F$61)</f>
        <v>0</v>
      </c>
      <c r="N11" s="17">
        <f>VLOOKUP(C11,NAV!$B$4:$E$47,4,0)</f>
        <v>28.213712439999998</v>
      </c>
      <c r="O11" s="17">
        <f t="shared" ca="1" si="2"/>
        <v>18.213712439999998</v>
      </c>
      <c r="P11" s="10">
        <f t="shared" ca="1" si="1"/>
        <v>2.8213712439999998</v>
      </c>
      <c r="Q11" s="87" t="s">
        <v>486</v>
      </c>
      <c r="R11" s="187"/>
    </row>
    <row r="12" spans="2:18">
      <c r="B12" s="66"/>
      <c r="C12" s="4" t="s">
        <v>39</v>
      </c>
      <c r="D12" s="2" t="s">
        <v>78</v>
      </c>
      <c r="E12" s="2"/>
      <c r="F12" s="2" t="s">
        <v>8</v>
      </c>
      <c r="G12" s="6">
        <v>2020</v>
      </c>
      <c r="H12" s="2" t="s">
        <v>43</v>
      </c>
      <c r="I12" s="90" t="str">
        <f>'B. %'!F12</f>
        <v>n/a</v>
      </c>
      <c r="J12" s="17">
        <f t="shared" ca="1" si="0"/>
        <v>2.5</v>
      </c>
      <c r="K12" s="17">
        <f ca="1">-SUMIF('CF (Equity, Debt)'!$C$3:$K$61,'A. All deals (a)'!C12,'CF (Equity, Debt)'!$E$3:$E$61)</f>
        <v>2.5</v>
      </c>
      <c r="L12" s="17">
        <v>0</v>
      </c>
      <c r="M12" s="17">
        <f ca="1">SUMIF('CF (Equity, Debt)'!$C$3:$K$61,'A. All deals (a)'!C12,'CF (Equity, Debt)'!$F$3:$F$61)</f>
        <v>5</v>
      </c>
      <c r="N12" s="17">
        <f>VLOOKUP(C12,NAV!$B$4:$E$47,4,0)</f>
        <v>0</v>
      </c>
      <c r="O12" s="17">
        <f t="shared" ca="1" si="2"/>
        <v>2.5</v>
      </c>
      <c r="P12" s="10">
        <f t="shared" ca="1" si="1"/>
        <v>2</v>
      </c>
      <c r="Q12" s="87"/>
      <c r="R12" s="187"/>
    </row>
    <row r="13" spans="2:18">
      <c r="B13" s="66"/>
      <c r="C13" s="4" t="s">
        <v>37</v>
      </c>
      <c r="D13" s="2" t="s">
        <v>77</v>
      </c>
      <c r="E13" s="2"/>
      <c r="F13" s="2" t="s">
        <v>8</v>
      </c>
      <c r="G13" s="6">
        <v>2020</v>
      </c>
      <c r="H13" s="2" t="s">
        <v>66</v>
      </c>
      <c r="I13" s="90">
        <f>'B. %'!F13</f>
        <v>9.4347728005070269E-2</v>
      </c>
      <c r="J13" s="17">
        <f t="shared" ca="1" si="0"/>
        <v>90</v>
      </c>
      <c r="K13" s="17">
        <f ca="1">-SUMIF('CF (Equity, Debt)'!$C$3:$K$61,'A. All deals (a)'!C13,'CF (Equity, Debt)'!$E$3:$E$61)</f>
        <v>90</v>
      </c>
      <c r="L13" s="17">
        <v>0</v>
      </c>
      <c r="M13" s="17">
        <f ca="1">SUMIF('CF (Equity, Debt)'!$C$3:$K$61,'A. All deals (a)'!C13,'CF (Equity, Debt)'!$F$3:$F$61)</f>
        <v>0</v>
      </c>
      <c r="N13" s="17">
        <f>VLOOKUP(C13,NAV!$B$4:$E$47,4,0)</f>
        <v>41.003703740999995</v>
      </c>
      <c r="O13" s="17">
        <f t="shared" ca="1" si="2"/>
        <v>-48.996296259000005</v>
      </c>
      <c r="P13" s="10">
        <f t="shared" ca="1" si="1"/>
        <v>0.45559670823333326</v>
      </c>
      <c r="Q13" s="87"/>
      <c r="R13" s="187"/>
    </row>
    <row r="14" spans="2:18">
      <c r="B14" s="66"/>
      <c r="C14" s="4" t="s">
        <v>85</v>
      </c>
      <c r="D14" s="2" t="s">
        <v>77</v>
      </c>
      <c r="E14" s="2"/>
      <c r="F14" s="2" t="s">
        <v>8</v>
      </c>
      <c r="G14" s="6">
        <v>2020</v>
      </c>
      <c r="H14" s="2" t="s">
        <v>44</v>
      </c>
      <c r="I14" s="90">
        <f>'B. %'!F14</f>
        <v>4.6395018054319954E-2</v>
      </c>
      <c r="J14" s="17">
        <f t="shared" ca="1" si="0"/>
        <v>141.4702596743665</v>
      </c>
      <c r="K14" s="17">
        <f ca="1">-SUMIF('CF (Equity, Debt)'!$C$3:$K$61,'A. All deals (a)'!C14,'CF (Equity, Debt)'!$E$3:$E$61)</f>
        <v>141.4702596743665</v>
      </c>
      <c r="L14" s="17">
        <v>0</v>
      </c>
      <c r="M14" s="17">
        <f ca="1">SUMIF('CF (Equity, Debt)'!$C$3:$K$61,'A. All deals (a)'!C14,'CF (Equity, Debt)'!$F$3:$F$61)</f>
        <v>0</v>
      </c>
      <c r="N14" s="17">
        <f>VLOOKUP(C14,NAV!$B$4:$E$47,4,0)</f>
        <v>108.279975128724</v>
      </c>
      <c r="O14" s="17">
        <f t="shared" ca="1" si="2"/>
        <v>-33.190284545642498</v>
      </c>
      <c r="P14" s="10">
        <f t="shared" ca="1" si="1"/>
        <v>0.76539037517822295</v>
      </c>
      <c r="Q14" s="87"/>
      <c r="R14" s="187"/>
    </row>
    <row r="15" spans="2:18">
      <c r="B15" s="66"/>
      <c r="C15" s="4" t="s">
        <v>9</v>
      </c>
      <c r="D15" s="2" t="s">
        <v>77</v>
      </c>
      <c r="E15" s="2"/>
      <c r="F15" s="2" t="s">
        <v>8</v>
      </c>
      <c r="G15" s="6">
        <v>2020</v>
      </c>
      <c r="H15" s="2" t="s">
        <v>71</v>
      </c>
      <c r="I15" s="90">
        <f>'B. %'!F15</f>
        <v>0.14383199266284313</v>
      </c>
      <c r="J15" s="17">
        <f t="shared" ca="1" si="0"/>
        <v>60</v>
      </c>
      <c r="K15" s="17">
        <f ca="1">-SUMIF('CF (Equity, Debt)'!$C$3:$K$61,'A. All deals (a)'!C15,'CF (Equity, Debt)'!$E$3:$E$61)</f>
        <v>60</v>
      </c>
      <c r="L15" s="17">
        <v>0</v>
      </c>
      <c r="M15" s="17">
        <f ca="1">SUMIF('CF (Equity, Debt)'!$C$3:$K$61,'A. All deals (a)'!C15,'CF (Equity, Debt)'!$F$3:$F$61)</f>
        <v>0</v>
      </c>
      <c r="N15" s="17">
        <f>VLOOKUP(C15,NAV!$B$4:$E$47,4,0)</f>
        <v>40.299999999999997</v>
      </c>
      <c r="O15" s="17">
        <f t="shared" ca="1" si="2"/>
        <v>-19.700000000000003</v>
      </c>
      <c r="P15" s="10">
        <f t="shared" ca="1" si="1"/>
        <v>0.67166666666666663</v>
      </c>
      <c r="Q15" s="87"/>
      <c r="R15" s="187"/>
    </row>
    <row r="16" spans="2:18" ht="17.25">
      <c r="B16" s="66"/>
      <c r="C16" s="4" t="s">
        <v>18</v>
      </c>
      <c r="D16" s="2" t="s">
        <v>78</v>
      </c>
      <c r="E16" s="2"/>
      <c r="F16" s="2" t="s">
        <v>235</v>
      </c>
      <c r="G16" s="6">
        <v>2021</v>
      </c>
      <c r="H16" s="2" t="s">
        <v>48</v>
      </c>
      <c r="I16" s="90">
        <f>'B. %'!F16</f>
        <v>0.03</v>
      </c>
      <c r="J16" s="17">
        <f t="shared" ca="1" si="0"/>
        <v>20</v>
      </c>
      <c r="K16" s="17">
        <f ca="1">-SUMIF('CF (Equity, Debt)'!$C$3:$K$61,'A. All deals (a)'!C16,'CF (Equity, Debt)'!$E$3:$E$61)</f>
        <v>20</v>
      </c>
      <c r="L16" s="17">
        <v>0</v>
      </c>
      <c r="M16" s="17">
        <f ca="1">SUMIF('CF (Equity, Debt)'!$C$3:$K$61,'A. All deals (a)'!C16,'CF (Equity, Debt)'!$F$3:$F$61)</f>
        <v>24.5</v>
      </c>
      <c r="N16" s="17">
        <f>VLOOKUP(C16,NAV!$B$4:$E$47,4,0)</f>
        <v>0</v>
      </c>
      <c r="O16" s="17">
        <f t="shared" ca="1" si="2"/>
        <v>4.5</v>
      </c>
      <c r="P16" s="10">
        <f t="shared" ca="1" si="1"/>
        <v>1.2250000000000001</v>
      </c>
      <c r="Q16" s="87"/>
      <c r="R16" s="187"/>
    </row>
    <row r="17" spans="2:18">
      <c r="B17" s="66"/>
      <c r="C17" s="4" t="s">
        <v>40</v>
      </c>
      <c r="D17" s="2" t="s">
        <v>77</v>
      </c>
      <c r="E17" s="2"/>
      <c r="F17" s="2" t="s">
        <v>8</v>
      </c>
      <c r="G17" s="6">
        <v>2021</v>
      </c>
      <c r="H17" s="2" t="s">
        <v>68</v>
      </c>
      <c r="I17" s="90">
        <f>'B. %'!F17</f>
        <v>8.0999999999999996E-3</v>
      </c>
      <c r="J17" s="17">
        <f t="shared" ca="1" si="0"/>
        <v>39.999983359999995</v>
      </c>
      <c r="K17" s="17">
        <f ca="1">-SUMIF('CF (Equity, Debt)'!$C$3:$K$61,'A. All deals (a)'!C17,'CF (Equity, Debt)'!$E$3:$E$61)</f>
        <v>39.999983359999995</v>
      </c>
      <c r="L17" s="17">
        <v>0</v>
      </c>
      <c r="M17" s="17">
        <f ca="1">SUMIF('CF (Equity, Debt)'!$C$3:$K$61,'A. All deals (a)'!C17,'CF (Equity, Debt)'!$F$3:$F$61)</f>
        <v>0</v>
      </c>
      <c r="N17" s="17">
        <f>VLOOKUP(C17,NAV!$B$4:$E$47,4,0)</f>
        <v>21.135483260000001</v>
      </c>
      <c r="O17" s="17">
        <f t="shared" ca="1" si="2"/>
        <v>-18.864500099999994</v>
      </c>
      <c r="P17" s="10">
        <f t="shared" ca="1" si="1"/>
        <v>0.52838730130911749</v>
      </c>
      <c r="Q17" s="87"/>
      <c r="R17" s="187"/>
    </row>
    <row r="18" spans="2:18">
      <c r="B18" s="66"/>
      <c r="C18" s="4" t="s">
        <v>41</v>
      </c>
      <c r="D18" s="2" t="s">
        <v>77</v>
      </c>
      <c r="E18" s="2"/>
      <c r="F18" s="2" t="s">
        <v>8</v>
      </c>
      <c r="G18" s="6">
        <v>2021</v>
      </c>
      <c r="H18" s="2" t="s">
        <v>73</v>
      </c>
      <c r="I18" s="90">
        <f>'B. %'!F18</f>
        <v>0.15458937198067632</v>
      </c>
      <c r="J18" s="17">
        <f t="shared" ca="1" si="0"/>
        <v>8</v>
      </c>
      <c r="K18" s="17">
        <f ca="1">-SUMIF('CF (Equity, Debt)'!$C$3:$K$61,'A. All deals (a)'!C18,'CF (Equity, Debt)'!$E$3:$E$61)</f>
        <v>8</v>
      </c>
      <c r="L18" s="17">
        <v>0</v>
      </c>
      <c r="M18" s="17">
        <f ca="1">SUMIF('CF (Equity, Debt)'!$C$3:$K$61,'A. All deals (a)'!C18,'CF (Equity, Debt)'!$F$3:$F$61)</f>
        <v>0</v>
      </c>
      <c r="N18" s="17">
        <f>VLOOKUP(C18,NAV!$B$4:$E$47,4,0)</f>
        <v>4.7</v>
      </c>
      <c r="O18" s="17">
        <f t="shared" ca="1" si="2"/>
        <v>-3.3</v>
      </c>
      <c r="P18" s="10">
        <f t="shared" ca="1" si="1"/>
        <v>0.58750000000000002</v>
      </c>
      <c r="Q18" s="87"/>
      <c r="R18" s="187"/>
    </row>
    <row r="19" spans="2:18">
      <c r="B19" s="66"/>
      <c r="C19" s="4" t="s">
        <v>42</v>
      </c>
      <c r="D19" s="2" t="s">
        <v>78</v>
      </c>
      <c r="E19" s="2"/>
      <c r="F19" s="2" t="s">
        <v>8</v>
      </c>
      <c r="G19" s="6">
        <v>2021</v>
      </c>
      <c r="H19" s="2" t="s">
        <v>75</v>
      </c>
      <c r="I19" s="90">
        <f>'B. %'!F19</f>
        <v>1.1489405791845828E-2</v>
      </c>
      <c r="J19" s="17">
        <f t="shared" ca="1" si="0"/>
        <v>5.0237201984774336</v>
      </c>
      <c r="K19" s="17">
        <f ca="1">-SUMIF('CF (Equity, Debt)'!$C$3:$K$61,'A. All deals (a)'!C19,'CF (Equity, Debt)'!$E$3:$E$61)</f>
        <v>5.0237201984774336</v>
      </c>
      <c r="L19" s="17">
        <v>0</v>
      </c>
      <c r="M19" s="17">
        <f ca="1">SUMIF('CF (Equity, Debt)'!$C$3:$K$61,'A. All deals (a)'!C19,'CF (Equity, Debt)'!$F$3:$F$61)</f>
        <v>7.9421925299999989</v>
      </c>
      <c r="N19" s="17">
        <f>VLOOKUP(C19,NAV!$B$4:$E$47,4,0)</f>
        <v>0</v>
      </c>
      <c r="O19" s="17">
        <f t="shared" ca="1" si="2"/>
        <v>2.9184723315225654</v>
      </c>
      <c r="P19" s="10">
        <f t="shared" ca="1" si="1"/>
        <v>1.5809384711368046</v>
      </c>
      <c r="Q19" s="87"/>
      <c r="R19" s="187"/>
    </row>
    <row r="20" spans="2:18" ht="17.25">
      <c r="B20" s="66"/>
      <c r="C20" s="4" t="s">
        <v>69</v>
      </c>
      <c r="D20" s="2" t="s">
        <v>78</v>
      </c>
      <c r="E20" s="2"/>
      <c r="F20" s="2" t="s">
        <v>236</v>
      </c>
      <c r="G20" s="6">
        <v>2022</v>
      </c>
      <c r="H20" s="2" t="s">
        <v>76</v>
      </c>
      <c r="I20" s="90">
        <f>'B. %'!F20</f>
        <v>5.1000000000000004E-2</v>
      </c>
      <c r="J20" s="17">
        <f t="shared" ca="1" si="0"/>
        <v>493.50095619999996</v>
      </c>
      <c r="K20" s="17">
        <f ca="1">-SUMIF('CF (Equity, Debt)'!$C$3:$K$61,'A. All deals (a)'!C20,'CF (Equity, Debt)'!$E$3:$E$61)</f>
        <v>493.50095619999996</v>
      </c>
      <c r="L20" s="17">
        <v>0</v>
      </c>
      <c r="M20" s="17">
        <f ca="1">SUMIF('CF (Equity, Debt)'!$C$3:$K$61,'A. All deals (a)'!C20,'CF (Equity, Debt)'!$F$3:$F$61)</f>
        <v>403</v>
      </c>
      <c r="N20" s="17">
        <f>VLOOKUP(C20,NAV!$B$4:$E$47,4,0)</f>
        <v>0</v>
      </c>
      <c r="O20" s="17">
        <f t="shared" ca="1" si="2"/>
        <v>-90.500956199999962</v>
      </c>
      <c r="P20" s="10">
        <f t="shared" ca="1" si="1"/>
        <v>0.81661442584252486</v>
      </c>
      <c r="Q20" s="87"/>
      <c r="R20" s="187"/>
    </row>
    <row r="21" spans="2:18" ht="17.25">
      <c r="B21" s="66"/>
      <c r="C21" s="4" t="s">
        <v>19</v>
      </c>
      <c r="D21" s="2" t="s">
        <v>780</v>
      </c>
      <c r="E21" s="2"/>
      <c r="F21" s="2" t="s">
        <v>545</v>
      </c>
      <c r="G21" s="6">
        <v>2022</v>
      </c>
      <c r="H21" s="2" t="s">
        <v>76</v>
      </c>
      <c r="I21" s="90">
        <f>'B. %'!F21</f>
        <v>8.7800000000000003E-2</v>
      </c>
      <c r="J21" s="17">
        <f t="shared" ca="1" si="0"/>
        <v>300</v>
      </c>
      <c r="K21" s="17">
        <f ca="1">-SUMIF('CF (Equity, Debt)'!$C$3:$K$61,'A. All deals (a)'!C21,'CF (Equity, Debt)'!$E$3:$E$61)</f>
        <v>300</v>
      </c>
      <c r="L21" s="17">
        <f>0</f>
        <v>0</v>
      </c>
      <c r="M21" s="17">
        <f ca="1">SUMIF('CF (Equity, Debt)'!$C$3:$K$61,'A. All deals (a)'!C21,'CF (Equity, Debt)'!$F$3:$F$61)</f>
        <v>84.804486139999995</v>
      </c>
      <c r="N21" s="17">
        <f>VLOOKUP(C21,NAV!$B$4:$E$47,4,0)</f>
        <v>325.79091974099998</v>
      </c>
      <c r="O21" s="17">
        <f t="shared" ca="1" si="2"/>
        <v>110.59540588099998</v>
      </c>
      <c r="P21" s="10">
        <f t="shared" ca="1" si="1"/>
        <v>1.3686513529366666</v>
      </c>
      <c r="Q21" s="87" t="s">
        <v>141</v>
      </c>
      <c r="R21" s="187"/>
    </row>
    <row r="22" spans="2:18" ht="17.25">
      <c r="B22" s="66"/>
      <c r="C22" s="4" t="s">
        <v>86</v>
      </c>
      <c r="D22" s="2" t="s">
        <v>77</v>
      </c>
      <c r="E22" s="2"/>
      <c r="F22" s="2" t="s">
        <v>545</v>
      </c>
      <c r="G22" s="6">
        <v>2022</v>
      </c>
      <c r="H22" s="2" t="s">
        <v>44</v>
      </c>
      <c r="I22" s="90">
        <f>'B. %'!F22</f>
        <v>8.1407233369889573E-2</v>
      </c>
      <c r="J22" s="17">
        <f t="shared" ca="1" si="0"/>
        <v>24.53125</v>
      </c>
      <c r="K22" s="17">
        <f ca="1">-SUMIF('CF (Equity, Debt)'!$C$3:$K$61,'A. All deals (a)'!C22,'CF (Equity, Debt)'!$E$3:$E$61)</f>
        <v>24.53125</v>
      </c>
      <c r="L22" s="17">
        <f t="shared" ref="L22:L29" ca="1" si="3">J22-K22</f>
        <v>0</v>
      </c>
      <c r="M22" s="17">
        <f ca="1">SUMIF('CF (Equity, Debt)'!$C$3:$K$61,'A. All deals (a)'!C22,'CF (Equity, Debt)'!$F$3:$F$61)</f>
        <v>0</v>
      </c>
      <c r="N22" s="17">
        <f>VLOOKUP(C22,NAV!$B$4:$E$47,4,0)</f>
        <v>3.9467863999999997</v>
      </c>
      <c r="O22" s="17">
        <f t="shared" ca="1" si="2"/>
        <v>-20.584463599999999</v>
      </c>
      <c r="P22" s="10">
        <f ca="1">(M22+N22)/K22</f>
        <v>0.16088810802547771</v>
      </c>
      <c r="Q22" s="87" t="s">
        <v>157</v>
      </c>
      <c r="R22" s="187"/>
    </row>
    <row r="23" spans="2:18" ht="17.25">
      <c r="B23" s="66"/>
      <c r="C23" s="4" t="s">
        <v>35</v>
      </c>
      <c r="D23" s="2" t="s">
        <v>78</v>
      </c>
      <c r="E23" s="2"/>
      <c r="F23" s="2" t="s">
        <v>237</v>
      </c>
      <c r="G23" s="6">
        <v>2022</v>
      </c>
      <c r="H23" s="2" t="s">
        <v>76</v>
      </c>
      <c r="I23" s="90">
        <f>'B. %'!F23</f>
        <v>1.8823528000000003E-2</v>
      </c>
      <c r="J23" s="17">
        <f t="shared" ca="1" si="0"/>
        <v>800</v>
      </c>
      <c r="K23" s="17">
        <f ca="1">-SUMIF('CF (Equity, Debt)'!$C$3:$K$61,'A. All deals (a)'!C23,'CF (Equity, Debt)'!$E$3:$E$61)</f>
        <v>800</v>
      </c>
      <c r="L23" s="17">
        <f t="shared" ca="1" si="3"/>
        <v>0</v>
      </c>
      <c r="M23" s="17">
        <f ca="1">SUMIF('CF (Equity, Debt)'!$C$3:$K$61,'A. All deals (a)'!C23,'CF (Equity, Debt)'!$F$3:$F$61)</f>
        <v>802.8</v>
      </c>
      <c r="N23" s="17">
        <f>VLOOKUP(C23,NAV!$B$4:$E$47,4,0)</f>
        <v>0</v>
      </c>
      <c r="O23" s="17">
        <f t="shared" ca="1" si="2"/>
        <v>2.7999999999999545</v>
      </c>
      <c r="P23" s="10">
        <f t="shared" ref="P23" ca="1" si="4">(M23+N23)/K23</f>
        <v>1.0034999999999998</v>
      </c>
      <c r="Q23" s="87"/>
      <c r="R23" s="187"/>
    </row>
    <row r="24" spans="2:18">
      <c r="B24" s="66"/>
      <c r="C24" s="4" t="s">
        <v>206</v>
      </c>
      <c r="D24" s="2" t="s">
        <v>77</v>
      </c>
      <c r="E24" s="2"/>
      <c r="F24" s="2" t="s">
        <v>8</v>
      </c>
      <c r="G24" s="6">
        <v>2022</v>
      </c>
      <c r="H24" s="2" t="s">
        <v>805</v>
      </c>
      <c r="I24" s="90">
        <f>'B. %'!F24</f>
        <v>0.12121516021886683</v>
      </c>
      <c r="J24" s="17">
        <v>15</v>
      </c>
      <c r="K24" s="17">
        <f ca="1">-SUMIF('CF (Equity, Debt)'!$C$3:$K$61,'A. All deals (a)'!C24,'CF (Equity, Debt)'!$E$3:$E$61)</f>
        <v>15</v>
      </c>
      <c r="L24" s="17">
        <f t="shared" ca="1" si="3"/>
        <v>0</v>
      </c>
      <c r="M24" s="17">
        <f ca="1">SUMIF('CF (Equity, Debt)'!$C$3:$K$61,'A. All deals (a)'!C24,'CF (Equity, Debt)'!$F$3:$F$61)</f>
        <v>0</v>
      </c>
      <c r="N24" s="17">
        <f>VLOOKUP(C24,NAV!$B$4:$E$47,4,0)</f>
        <v>38.464730150000001</v>
      </c>
      <c r="O24" s="17">
        <f t="shared" ca="1" si="2"/>
        <v>23.464730150000001</v>
      </c>
      <c r="P24" s="10">
        <f t="shared" ref="P24:P36" ca="1" si="5">(M24+N24)/K24</f>
        <v>2.5643153433333334</v>
      </c>
      <c r="Q24" s="87"/>
      <c r="R24" s="187"/>
    </row>
    <row r="25" spans="2:18" ht="17.25">
      <c r="B25" s="66"/>
      <c r="C25" s="4" t="s">
        <v>232</v>
      </c>
      <c r="D25" s="2" t="s">
        <v>77</v>
      </c>
      <c r="E25" s="2"/>
      <c r="F25" s="2" t="s">
        <v>247</v>
      </c>
      <c r="G25" s="6">
        <v>2022</v>
      </c>
      <c r="H25" s="2" t="s">
        <v>67</v>
      </c>
      <c r="I25" s="90">
        <f>'B. %'!F25</f>
        <v>2.6056201366696233E-2</v>
      </c>
      <c r="J25" s="17">
        <f t="shared" ref="J25:J27" ca="1" si="6">K25</f>
        <v>15</v>
      </c>
      <c r="K25" s="17">
        <f ca="1">-SUMIF('CF (Equity, Debt)'!$C$3:$K$61,'A. All deals (a)'!C25,'CF (Equity, Debt)'!$E$3:$E$61)</f>
        <v>15</v>
      </c>
      <c r="L25" s="17">
        <f t="shared" ca="1" si="3"/>
        <v>0</v>
      </c>
      <c r="M25" s="17">
        <f ca="1">SUMIF('CF (Equity, Debt)'!$C$3:$K$61,'A. All deals (a)'!C25,'CF (Equity, Debt)'!$F$3:$F$61)</f>
        <v>0</v>
      </c>
      <c r="N25" s="17">
        <f>VLOOKUP(C25,NAV!$B$4:$E$47,4,0)</f>
        <v>32.341280400000002</v>
      </c>
      <c r="O25" s="17">
        <f t="shared" ca="1" si="2"/>
        <v>17.341280400000002</v>
      </c>
      <c r="P25" s="10">
        <f t="shared" ca="1" si="5"/>
        <v>2.1560853600000001</v>
      </c>
      <c r="Q25" s="87"/>
      <c r="R25" s="187"/>
    </row>
    <row r="26" spans="2:18">
      <c r="B26" s="66"/>
      <c r="C26" s="4" t="s">
        <v>285</v>
      </c>
      <c r="D26" s="2" t="s">
        <v>77</v>
      </c>
      <c r="E26" s="2"/>
      <c r="F26" s="2" t="s">
        <v>8</v>
      </c>
      <c r="G26" s="6">
        <v>2023</v>
      </c>
      <c r="H26" s="2" t="s">
        <v>66</v>
      </c>
      <c r="I26" s="90">
        <f>'B. %'!F26</f>
        <v>6.2660799818224002E-3</v>
      </c>
      <c r="J26" s="17">
        <f t="shared" ca="1" si="6"/>
        <v>14.999998939999999</v>
      </c>
      <c r="K26" s="17">
        <f ca="1">-SUMIF('CF (Equity, Debt)'!$C$3:$K$61,'A. All deals (a)'!C26,'CF (Equity, Debt)'!$E$3:$E$61)</f>
        <v>14.999998939999999</v>
      </c>
      <c r="L26" s="17">
        <f t="shared" ca="1" si="3"/>
        <v>0</v>
      </c>
      <c r="M26" s="17">
        <f ca="1">SUMIF('CF (Equity, Debt)'!$C$3:$K$61,'A. All deals (a)'!C26,'CF (Equity, Debt)'!$F$3:$F$61)</f>
        <v>0</v>
      </c>
      <c r="N26" s="17">
        <f>VLOOKUP(C26,NAV!$B$4:$E$47,4,0)</f>
        <v>2.4000000000000004</v>
      </c>
      <c r="O26" s="17">
        <f t="shared" ca="1" si="2"/>
        <v>-12.599998939999999</v>
      </c>
      <c r="P26" s="10">
        <f t="shared" ca="1" si="5"/>
        <v>0.16000001130666749</v>
      </c>
      <c r="Q26" s="87"/>
      <c r="R26" s="187"/>
    </row>
    <row r="27" spans="2:18" ht="17.25">
      <c r="B27" s="66"/>
      <c r="C27" s="4" t="s">
        <v>347</v>
      </c>
      <c r="D27" s="2" t="s">
        <v>77</v>
      </c>
      <c r="E27" s="2"/>
      <c r="F27" s="2" t="s">
        <v>8</v>
      </c>
      <c r="G27" s="6">
        <v>2023</v>
      </c>
      <c r="H27" s="2" t="s">
        <v>350</v>
      </c>
      <c r="I27" s="90">
        <f>'B. %'!F27</f>
        <v>6.2500000000000003E-3</v>
      </c>
      <c r="J27" s="17">
        <f t="shared" ca="1" si="6"/>
        <v>6.875E-3</v>
      </c>
      <c r="K27" s="17">
        <f ca="1">-SUMIF('CF (Equity, Debt)'!$C$3:$K$61,'A. All deals (a)'!C27,'CF (Equity, Debt)'!$E$3:$E$61)</f>
        <v>6.875E-3</v>
      </c>
      <c r="L27" s="17">
        <f t="shared" ca="1" si="3"/>
        <v>0</v>
      </c>
      <c r="M27" s="17">
        <f ca="1">SUMIF('CF (Equity, Debt)'!$C$3:$K$61,'A. All deals (a)'!C27,'CF (Equity, Debt)'!$F$3:$F$61)</f>
        <v>100</v>
      </c>
      <c r="N27" s="17">
        <f>VLOOKUP(C27,NAV!$B$4:$E$47,4,0)</f>
        <v>0</v>
      </c>
      <c r="O27" s="17">
        <f t="shared" ca="1" si="2"/>
        <v>99.993125000000006</v>
      </c>
      <c r="P27" s="10" t="s">
        <v>288</v>
      </c>
      <c r="Q27" s="87" t="s">
        <v>487</v>
      </c>
      <c r="R27" s="187"/>
    </row>
    <row r="28" spans="2:18" ht="17.25">
      <c r="B28" s="66"/>
      <c r="C28" s="4" t="s">
        <v>357</v>
      </c>
      <c r="D28" s="2" t="s">
        <v>77</v>
      </c>
      <c r="E28" s="2"/>
      <c r="F28" s="2" t="s">
        <v>8</v>
      </c>
      <c r="G28" s="6">
        <v>2023</v>
      </c>
      <c r="H28" s="2" t="s">
        <v>67</v>
      </c>
      <c r="I28" s="90">
        <f>'B. %'!F28</f>
        <v>0.11483735948644427</v>
      </c>
      <c r="J28" s="17">
        <f ca="1">K28</f>
        <v>6</v>
      </c>
      <c r="K28" s="17">
        <f ca="1">-SUMIF('CF (Equity, Debt)'!$C$3:$K$61,'A. All deals (a)'!C28,'CF (Equity, Debt)'!$E$3:$E$61)</f>
        <v>6</v>
      </c>
      <c r="L28" s="17">
        <f t="shared" ca="1" si="3"/>
        <v>0</v>
      </c>
      <c r="M28" s="17">
        <f ca="1">SUMIF('CF (Equity, Debt)'!$C$3:$K$61,'A. All deals (a)'!C28,'CF (Equity, Debt)'!$F$3:$F$61)</f>
        <v>0</v>
      </c>
      <c r="N28" s="17">
        <f>VLOOKUP(C28,NAV!$B$4:$E$47,4,0)</f>
        <v>15.3</v>
      </c>
      <c r="O28" s="17">
        <f t="shared" ca="1" si="2"/>
        <v>9.3000000000000007</v>
      </c>
      <c r="P28" s="10">
        <f t="shared" ca="1" si="5"/>
        <v>2.5500000000000003</v>
      </c>
      <c r="Q28" s="87" t="s">
        <v>371</v>
      </c>
      <c r="R28" s="187"/>
    </row>
    <row r="29" spans="2:18" ht="17.25">
      <c r="B29" s="66"/>
      <c r="C29" s="4" t="s">
        <v>397</v>
      </c>
      <c r="D29" s="2" t="s">
        <v>77</v>
      </c>
      <c r="E29" s="2"/>
      <c r="F29" s="2" t="s">
        <v>541</v>
      </c>
      <c r="G29" s="6">
        <v>2024</v>
      </c>
      <c r="H29" s="2" t="s">
        <v>400</v>
      </c>
      <c r="I29" s="90">
        <f>'B. %'!F29</f>
        <v>0.25</v>
      </c>
      <c r="J29" s="17">
        <f ca="1">K29+0.25</f>
        <v>2.75</v>
      </c>
      <c r="K29" s="17">
        <f ca="1">-SUMIF('CF (Equity, Debt)'!$C$3:$K$61,'A. All deals (a)'!C29,'CF (Equity, Debt)'!$E$3:$E$61)</f>
        <v>2.5</v>
      </c>
      <c r="L29" s="17">
        <f t="shared" ca="1" si="3"/>
        <v>0.25</v>
      </c>
      <c r="M29" s="17">
        <f ca="1">SUMIF('CF (Equity, Debt)'!$C$3:$K$61,'A. All deals (a)'!C29,'CF (Equity, Debt)'!$F$3:$F$61)</f>
        <v>0</v>
      </c>
      <c r="N29" s="17">
        <f ca="1">VLOOKUP(C29,NAV!$B$4:$E$47,4,0)</f>
        <v>2.5</v>
      </c>
      <c r="O29" s="17">
        <f t="shared" ca="1" si="2"/>
        <v>0</v>
      </c>
      <c r="P29" s="10">
        <f t="shared" ca="1" si="5"/>
        <v>1</v>
      </c>
      <c r="Q29" s="87" t="s">
        <v>471</v>
      </c>
      <c r="R29" s="187"/>
    </row>
    <row r="30" spans="2:18">
      <c r="B30" s="66"/>
      <c r="C30" s="4" t="s">
        <v>537</v>
      </c>
      <c r="D30" s="2" t="s">
        <v>77</v>
      </c>
      <c r="E30" s="2"/>
      <c r="F30" s="2" t="s">
        <v>538</v>
      </c>
      <c r="G30" s="6">
        <v>2024</v>
      </c>
      <c r="H30" s="2" t="s">
        <v>653</v>
      </c>
      <c r="I30" s="90">
        <f>'B. %'!F30</f>
        <v>7.2996903382740827E-2</v>
      </c>
      <c r="J30" s="17">
        <f t="shared" ref="J30" ca="1" si="7">K30</f>
        <v>40</v>
      </c>
      <c r="K30" s="17">
        <f ca="1">-SUMIF('CF (Equity, Debt)'!$C$3:$K$61,'A. All deals (a)'!C30,'CF (Equity, Debt)'!$E$3:$E$61)</f>
        <v>40</v>
      </c>
      <c r="L30" s="17">
        <f t="shared" ref="L30:L31" ca="1" si="8">J30-K30</f>
        <v>0</v>
      </c>
      <c r="M30" s="17">
        <f ca="1">SUMIF('CF (Equity, Debt)'!$C$3:$K$61,'A. All deals (a)'!C30,'CF (Equity, Debt)'!$F$3:$F$61)</f>
        <v>0</v>
      </c>
      <c r="N30" s="17">
        <f>VLOOKUP(C30,NAV!$B$4:$E$47,4,0)</f>
        <v>40.947393714699999</v>
      </c>
      <c r="O30" s="17">
        <f t="shared" ref="O30:O34" ca="1" si="9">N30+M30-K30</f>
        <v>0.94739371469999867</v>
      </c>
      <c r="P30" s="10">
        <f t="shared" ca="1" si="5"/>
        <v>1.0236848428675001</v>
      </c>
      <c r="Q30" s="87"/>
      <c r="R30" s="187"/>
    </row>
    <row r="31" spans="2:18">
      <c r="B31" s="66"/>
      <c r="C31" s="4" t="s">
        <v>588</v>
      </c>
      <c r="D31" s="2" t="s">
        <v>77</v>
      </c>
      <c r="E31" s="2"/>
      <c r="F31" s="2" t="s">
        <v>538</v>
      </c>
      <c r="G31" s="6">
        <v>2024</v>
      </c>
      <c r="H31" s="2" t="s">
        <v>44</v>
      </c>
      <c r="I31" s="90">
        <f>'B. %'!F31</f>
        <v>5.2299999999999999E-2</v>
      </c>
      <c r="J31" s="17">
        <v>10</v>
      </c>
      <c r="K31" s="17">
        <f ca="1">-SUMIF('CF (Equity, Debt)'!$C$3:$K$61,'A. All deals (a)'!C31,'CF (Equity, Debt)'!$E$3:$E$61)</f>
        <v>10</v>
      </c>
      <c r="L31" s="17">
        <f t="shared" ca="1" si="8"/>
        <v>0</v>
      </c>
      <c r="M31" s="17">
        <f ca="1">SUMIF('CF (Equity, Debt)'!$C$3:$K$61,'A. All deals (a)'!C31,'CF (Equity, Debt)'!$F$3:$F$61)</f>
        <v>0</v>
      </c>
      <c r="N31" s="17">
        <f>VLOOKUP(C31,NAV!$B$4:$E$47,4,0)</f>
        <v>2.9127686955555556</v>
      </c>
      <c r="O31" s="17">
        <f t="shared" ca="1" si="9"/>
        <v>-7.0872313044444439</v>
      </c>
      <c r="P31" s="10">
        <f t="shared" ca="1" si="5"/>
        <v>0.29127686955555554</v>
      </c>
      <c r="Q31" s="87" t="s">
        <v>595</v>
      </c>
      <c r="R31" s="187"/>
    </row>
    <row r="32" spans="2:18">
      <c r="B32" s="66"/>
      <c r="C32" s="4" t="s">
        <v>662</v>
      </c>
      <c r="D32" s="2" t="s">
        <v>77</v>
      </c>
      <c r="E32" s="2"/>
      <c r="F32" s="2" t="s">
        <v>538</v>
      </c>
      <c r="G32" s="6">
        <v>2024</v>
      </c>
      <c r="H32" s="2" t="s">
        <v>663</v>
      </c>
      <c r="I32" s="90" t="str">
        <f>'B. %'!F32</f>
        <v>20% Eq</v>
      </c>
      <c r="J32" s="17">
        <v>100</v>
      </c>
      <c r="K32" s="17">
        <f ca="1">-SUMIF('CF (Equity, Debt)'!$C$3:$K$61,'A. All deals (a)'!C32,'CF (Equity, Debt)'!$E$3:$E$61)</f>
        <v>100</v>
      </c>
      <c r="L32" s="17">
        <f t="shared" ref="L32:L33" ca="1" si="10">J32-K32</f>
        <v>0</v>
      </c>
      <c r="M32" s="17">
        <f ca="1">SUMIF('CF (Equity, Debt)'!$C$3:$K$61,'A. All deals (a)'!C32,'CF (Equity, Debt)'!$F$3:$F$61)</f>
        <v>0.49996499999999999</v>
      </c>
      <c r="N32" s="17">
        <f>VLOOKUP(C32,NAV!$B$4:$E$47,4,0)</f>
        <v>100</v>
      </c>
      <c r="O32" s="17">
        <f t="shared" ref="O32" ca="1" si="11">N32+M32-K32</f>
        <v>0.4999650000000031</v>
      </c>
      <c r="P32" s="10">
        <f t="shared" ref="P32:P33" ca="1" si="12">(M32+N32)/K32</f>
        <v>1.00499965</v>
      </c>
      <c r="Q32" s="87" t="s">
        <v>731</v>
      </c>
      <c r="R32" s="187"/>
    </row>
    <row r="33" spans="2:18">
      <c r="B33" s="66"/>
      <c r="C33" s="4" t="s">
        <v>695</v>
      </c>
      <c r="D33" s="2" t="s">
        <v>77</v>
      </c>
      <c r="E33" s="2"/>
      <c r="F33" s="2" t="s">
        <v>538</v>
      </c>
      <c r="G33" s="6">
        <v>2024</v>
      </c>
      <c r="H33" s="2" t="s">
        <v>360</v>
      </c>
      <c r="I33" s="90">
        <f>'B. %'!F33</f>
        <v>6.2785470185135785E-3</v>
      </c>
      <c r="J33" s="17">
        <f>(165082+384643)*10^-6*121.1512</f>
        <v>66.599843419999999</v>
      </c>
      <c r="K33" s="17">
        <f ca="1">-SUMIF('CF (Equity, Debt)'!$C$3:$K$61,'A. All deals (a)'!C33,'CF (Equity, Debt)'!$E$3:$E$61)</f>
        <v>19.999882399999997</v>
      </c>
      <c r="L33" s="17">
        <f t="shared" ca="1" si="10"/>
        <v>46.599961020000002</v>
      </c>
      <c r="M33" s="17">
        <v>0</v>
      </c>
      <c r="N33" s="17">
        <f>VLOOKUP(C33,NAV!$B$4:$E$47,4,0)</f>
        <v>19.999882399999997</v>
      </c>
      <c r="O33" s="17">
        <f t="shared" ca="1" si="9"/>
        <v>0</v>
      </c>
      <c r="P33" s="10">
        <f t="shared" ca="1" si="12"/>
        <v>1</v>
      </c>
      <c r="Q33" s="87" t="s">
        <v>698</v>
      </c>
      <c r="R33" s="187"/>
    </row>
    <row r="34" spans="2:18">
      <c r="B34" s="66"/>
      <c r="C34" s="4" t="s">
        <v>702</v>
      </c>
      <c r="D34" s="2" t="s">
        <v>696</v>
      </c>
      <c r="E34" s="2"/>
      <c r="F34" s="2" t="s">
        <v>538</v>
      </c>
      <c r="G34" s="6">
        <v>2025</v>
      </c>
      <c r="H34" s="2" t="s">
        <v>700</v>
      </c>
      <c r="I34" s="90" t="s">
        <v>699</v>
      </c>
      <c r="J34" s="17">
        <f>335/3</f>
        <v>111.66666666666667</v>
      </c>
      <c r="K34" s="17">
        <v>0</v>
      </c>
      <c r="L34" s="17">
        <f>J34</f>
        <v>111.66666666666667</v>
      </c>
      <c r="M34" s="17">
        <v>0</v>
      </c>
      <c r="N34" s="17">
        <v>0</v>
      </c>
      <c r="O34" s="17">
        <f t="shared" si="9"/>
        <v>0</v>
      </c>
      <c r="P34" s="10" t="s">
        <v>288</v>
      </c>
      <c r="Q34" s="87" t="s">
        <v>697</v>
      </c>
      <c r="R34" s="187"/>
    </row>
    <row r="35" spans="2:18">
      <c r="B35" s="66"/>
      <c r="C35" s="5" t="s">
        <v>781</v>
      </c>
      <c r="D35" s="7" t="s">
        <v>77</v>
      </c>
      <c r="E35" s="7"/>
      <c r="F35" s="2" t="s">
        <v>538</v>
      </c>
      <c r="G35" s="14">
        <v>2025</v>
      </c>
      <c r="H35" s="7" t="s">
        <v>782</v>
      </c>
      <c r="I35" s="170">
        <f>'B. %'!F34</f>
        <v>5.1805228281426186E-3</v>
      </c>
      <c r="J35" s="24">
        <f ca="1">K35</f>
        <v>49.999999500000001</v>
      </c>
      <c r="K35" s="7">
        <f ca="1">-SUMIF('CF (Equity, Debt)'!$C$3:$K$61,'A. All deals (a)'!C35,'CF (Equity, Debt)'!$E$3:$E$61)</f>
        <v>49.999999500000001</v>
      </c>
      <c r="L35" s="24">
        <v>0</v>
      </c>
      <c r="M35" s="24">
        <v>0</v>
      </c>
      <c r="N35" s="24">
        <v>50</v>
      </c>
      <c r="O35" s="24">
        <f t="shared" ref="O35" ca="1" si="13">N35+M35-K35</f>
        <v>4.9999999873762135E-7</v>
      </c>
      <c r="P35" s="15">
        <f t="shared" ref="P35" ca="1" si="14">(M35+N35)/K35</f>
        <v>1.0000000100000002</v>
      </c>
      <c r="Q35" s="180"/>
      <c r="R35" s="187"/>
    </row>
    <row r="36" spans="2:18" s="70" customFormat="1">
      <c r="B36" s="68"/>
      <c r="C36" s="83"/>
      <c r="D36" s="83"/>
      <c r="E36" s="83"/>
      <c r="F36" s="83"/>
      <c r="G36" s="83"/>
      <c r="H36" s="83"/>
      <c r="I36" s="84"/>
      <c r="J36" s="85">
        <f t="shared" ref="J36:O36" ca="1" si="15">SUM(J9:J35)</f>
        <v>2500.04955295951</v>
      </c>
      <c r="K36" s="85">
        <f t="shared" ca="1" si="15"/>
        <v>2341.5329252728434</v>
      </c>
      <c r="L36" s="85">
        <f t="shared" ca="1" si="15"/>
        <v>158.51662768666668</v>
      </c>
      <c r="M36" s="85">
        <f t="shared" ca="1" si="15"/>
        <v>1428.5466436699999</v>
      </c>
      <c r="N36" s="83">
        <f t="shared" ca="1" si="15"/>
        <v>878.23663607097933</v>
      </c>
      <c r="O36" s="85">
        <f t="shared" ca="1" si="15"/>
        <v>-34.749645531864417</v>
      </c>
      <c r="P36" s="86">
        <f t="shared" ca="1" si="5"/>
        <v>0.98515944612317807</v>
      </c>
      <c r="Q36" s="88"/>
      <c r="R36" s="213"/>
    </row>
    <row r="37" spans="2:18">
      <c r="B37" s="66"/>
      <c r="C37" s="5"/>
      <c r="D37" s="8"/>
      <c r="E37" s="8"/>
      <c r="F37" s="8"/>
      <c r="G37" s="8"/>
      <c r="H37" s="8"/>
      <c r="I37" s="22"/>
      <c r="J37" s="19"/>
      <c r="K37" s="19"/>
      <c r="L37" s="19"/>
      <c r="M37" s="19"/>
      <c r="N37" s="19"/>
      <c r="O37" s="19"/>
      <c r="P37" s="12"/>
      <c r="Q37" s="89"/>
      <c r="R37" s="187"/>
    </row>
    <row r="38" spans="2:18">
      <c r="B38" s="66"/>
      <c r="C38" s="422" t="s">
        <v>29</v>
      </c>
      <c r="D38" s="335"/>
      <c r="E38" s="335"/>
      <c r="F38" s="335"/>
      <c r="G38" s="336"/>
      <c r="H38" s="335"/>
      <c r="I38" s="337"/>
      <c r="J38" s="338"/>
      <c r="K38" s="338"/>
      <c r="L38" s="338"/>
      <c r="M38" s="338"/>
      <c r="N38" s="338"/>
      <c r="O38" s="338"/>
      <c r="P38" s="339"/>
      <c r="Q38" s="335"/>
      <c r="R38" s="187"/>
    </row>
    <row r="39" spans="2:18">
      <c r="B39" s="66"/>
      <c r="C39" s="4" t="s">
        <v>47</v>
      </c>
      <c r="D39" s="2" t="s">
        <v>380</v>
      </c>
      <c r="E39" s="2"/>
      <c r="F39" s="2" t="s">
        <v>8</v>
      </c>
      <c r="G39" s="6">
        <v>2019</v>
      </c>
      <c r="H39" s="2" t="s">
        <v>123</v>
      </c>
      <c r="I39" s="90" t="s">
        <v>121</v>
      </c>
      <c r="J39" s="17">
        <v>8</v>
      </c>
      <c r="K39" s="17">
        <v>8</v>
      </c>
      <c r="L39" s="17">
        <v>0</v>
      </c>
      <c r="M39" s="17">
        <v>0</v>
      </c>
      <c r="N39" s="17">
        <v>0</v>
      </c>
      <c r="O39" s="17">
        <f t="shared" ref="O39:O41" si="16">N39+M39-K39</f>
        <v>-8</v>
      </c>
      <c r="P39" s="10">
        <f>(M39+N39)/K39</f>
        <v>0</v>
      </c>
      <c r="Q39" s="87" t="s">
        <v>381</v>
      </c>
      <c r="R39" s="187"/>
    </row>
    <row r="40" spans="2:18">
      <c r="B40" s="66"/>
      <c r="C40" s="4" t="s">
        <v>208</v>
      </c>
      <c r="D40" s="2" t="s">
        <v>380</v>
      </c>
      <c r="E40" s="2"/>
      <c r="F40" s="2" t="s">
        <v>8</v>
      </c>
      <c r="G40" s="6">
        <v>2021</v>
      </c>
      <c r="H40" s="2" t="s">
        <v>125</v>
      </c>
      <c r="I40" s="90" t="s">
        <v>121</v>
      </c>
      <c r="J40" s="17">
        <v>2.3539819999999998</v>
      </c>
      <c r="K40" s="17">
        <f>J40</f>
        <v>2.3539819999999998</v>
      </c>
      <c r="L40" s="17">
        <v>0</v>
      </c>
      <c r="M40" s="17">
        <v>0</v>
      </c>
      <c r="N40" s="17">
        <f>VLOOKUP(C40,NAV!$B$4:$E$47,4,0)</f>
        <v>0</v>
      </c>
      <c r="O40" s="17">
        <f t="shared" si="16"/>
        <v>-2.3539819999999998</v>
      </c>
      <c r="P40" s="10">
        <f>(M40+N40)/K40</f>
        <v>0</v>
      </c>
      <c r="Q40" s="87" t="s">
        <v>80</v>
      </c>
      <c r="R40" s="187"/>
    </row>
    <row r="41" spans="2:18">
      <c r="B41" s="66"/>
      <c r="C41" s="4" t="s">
        <v>200</v>
      </c>
      <c r="D41" s="2" t="s">
        <v>78</v>
      </c>
      <c r="E41" s="2"/>
      <c r="F41" s="2" t="s">
        <v>8</v>
      </c>
      <c r="G41" s="6">
        <v>2021</v>
      </c>
      <c r="H41" s="2" t="s">
        <v>125</v>
      </c>
      <c r="I41" s="90" t="s">
        <v>121</v>
      </c>
      <c r="J41" s="17">
        <v>0.41176499999999999</v>
      </c>
      <c r="K41" s="17">
        <v>0.41176499999999999</v>
      </c>
      <c r="L41" s="17">
        <v>0</v>
      </c>
      <c r="M41" s="17">
        <f>'CF (Equity, Debt)'!F66</f>
        <v>0.47078465000000003</v>
      </c>
      <c r="N41" s="17">
        <v>0</v>
      </c>
      <c r="O41" s="17">
        <f t="shared" si="16"/>
        <v>5.9019650000000035E-2</v>
      </c>
      <c r="P41" s="10">
        <f>(M41+N41)/K41</f>
        <v>1.1433333333333333</v>
      </c>
      <c r="Q41" s="87"/>
      <c r="R41" s="187"/>
    </row>
    <row r="42" spans="2:18" s="70" customFormat="1">
      <c r="B42" s="68"/>
      <c r="C42" s="83"/>
      <c r="D42" s="83"/>
      <c r="E42" s="83"/>
      <c r="F42" s="83"/>
      <c r="G42" s="83"/>
      <c r="H42" s="83"/>
      <c r="I42" s="91"/>
      <c r="J42" s="85">
        <f>SUM(J39:J41)</f>
        <v>10.765747000000001</v>
      </c>
      <c r="K42" s="85">
        <f>SUM(K39:K41)</f>
        <v>10.765747000000001</v>
      </c>
      <c r="L42" s="85">
        <f>SUM(L39:L41)</f>
        <v>0</v>
      </c>
      <c r="M42" s="85">
        <f>SUM(M39:M41)</f>
        <v>0.47078465000000003</v>
      </c>
      <c r="N42" s="85">
        <f>SUM(N39:N41)</f>
        <v>0</v>
      </c>
      <c r="O42" s="85">
        <f>N42+M42-K42</f>
        <v>-10.29496235</v>
      </c>
      <c r="P42" s="86">
        <f t="shared" ref="P42" si="17">(M42+N42)/K42</f>
        <v>4.3729863798582673E-2</v>
      </c>
      <c r="Q42" s="88"/>
      <c r="R42" s="213"/>
    </row>
    <row r="43" spans="2:18">
      <c r="B43" s="66"/>
      <c r="C43" s="5"/>
      <c r="D43" s="8"/>
      <c r="E43" s="8"/>
      <c r="F43" s="8"/>
      <c r="G43" s="8"/>
      <c r="H43" s="8"/>
      <c r="I43" s="92"/>
      <c r="J43" s="19"/>
      <c r="K43" s="19"/>
      <c r="L43" s="19"/>
      <c r="M43" s="19"/>
      <c r="N43" s="19"/>
      <c r="O43" s="19"/>
      <c r="P43" s="12"/>
      <c r="Q43" s="8"/>
      <c r="R43" s="187"/>
    </row>
    <row r="44" spans="2:18">
      <c r="B44" s="66"/>
      <c r="C44" s="422" t="s">
        <v>30</v>
      </c>
      <c r="D44" s="335"/>
      <c r="E44" s="335"/>
      <c r="F44" s="335"/>
      <c r="G44" s="336"/>
      <c r="H44" s="335"/>
      <c r="I44" s="337"/>
      <c r="J44" s="338"/>
      <c r="K44" s="338"/>
      <c r="L44" s="338"/>
      <c r="M44" s="338"/>
      <c r="N44" s="338"/>
      <c r="O44" s="338"/>
      <c r="P44" s="339"/>
      <c r="Q44" s="335"/>
      <c r="R44" s="187"/>
    </row>
    <row r="45" spans="2:18">
      <c r="B45" s="66"/>
      <c r="C45" s="4" t="s">
        <v>115</v>
      </c>
      <c r="D45" s="2" t="s">
        <v>77</v>
      </c>
      <c r="E45" s="2"/>
      <c r="F45" s="2" t="s">
        <v>545</v>
      </c>
      <c r="G45" s="6">
        <v>2020</v>
      </c>
      <c r="H45" s="2" t="s">
        <v>53</v>
      </c>
      <c r="I45" s="90" t="s">
        <v>121</v>
      </c>
      <c r="J45" s="17">
        <f ca="1">K45+L45</f>
        <v>29.659861134493802</v>
      </c>
      <c r="K45" s="17">
        <f ca="1">-SUMIF('CF (Funds)'!$C$4:$E$55,C45,'CF (Funds)'!$E$4:$E$55)</f>
        <v>19.108544969197801</v>
      </c>
      <c r="L45" s="17">
        <f>'8. NewSpace'!L36*10^-6*NAV!L23</f>
        <v>10.551316165296003</v>
      </c>
      <c r="M45" s="17">
        <f>SUM('CF (Funds)'!F39:F54)</f>
        <v>3.7927062781652001</v>
      </c>
      <c r="N45" s="17">
        <f>VLOOKUP(C45,NAV!$B$4:$E$47,4,0)</f>
        <v>25.6153870216</v>
      </c>
      <c r="O45" s="17">
        <f t="shared" ref="O45:O49" ca="1" si="18">N45+M45-K45</f>
        <v>10.299548330567397</v>
      </c>
      <c r="P45" s="10">
        <f ca="1">(M45+N45)/K45</f>
        <v>1.5390022289593399</v>
      </c>
      <c r="Q45" s="2"/>
      <c r="R45" s="187"/>
    </row>
    <row r="46" spans="2:18">
      <c r="B46" s="66"/>
      <c r="C46" s="4" t="s">
        <v>284</v>
      </c>
      <c r="D46" s="2" t="s">
        <v>77</v>
      </c>
      <c r="E46" s="2"/>
      <c r="F46" s="2" t="s">
        <v>545</v>
      </c>
      <c r="G46" s="6">
        <v>2023</v>
      </c>
      <c r="H46" s="2" t="s">
        <v>53</v>
      </c>
      <c r="I46" s="90" t="s">
        <v>121</v>
      </c>
      <c r="J46" s="17">
        <f>2.3/0.85</f>
        <v>2.7058823529411762</v>
      </c>
      <c r="K46" s="17">
        <v>2.7058823529411762</v>
      </c>
      <c r="L46" s="17">
        <v>0</v>
      </c>
      <c r="M46" s="17">
        <v>0</v>
      </c>
      <c r="N46" s="17">
        <f ca="1">VLOOKUP(C46,NAV!$B$4:$E$47,4,0)</f>
        <v>3.6272894570065048</v>
      </c>
      <c r="O46" s="17">
        <f t="shared" ca="1" si="18"/>
        <v>0.92140710406532866</v>
      </c>
      <c r="P46" s="10">
        <f ca="1">(M46+N46)/K46</f>
        <v>1.3405200167197955</v>
      </c>
      <c r="Q46" s="79"/>
      <c r="R46" s="187"/>
    </row>
    <row r="47" spans="2:18">
      <c r="B47" s="66"/>
      <c r="C47" s="4" t="s">
        <v>1</v>
      </c>
      <c r="D47" s="2" t="s">
        <v>77</v>
      </c>
      <c r="E47" s="2"/>
      <c r="F47" s="2" t="s">
        <v>545</v>
      </c>
      <c r="G47" s="6">
        <v>2020</v>
      </c>
      <c r="H47" s="2" t="s">
        <v>53</v>
      </c>
      <c r="I47" s="90" t="s">
        <v>121</v>
      </c>
      <c r="J47" s="17">
        <f>K47+L47</f>
        <v>83.361610999999996</v>
      </c>
      <c r="K47" s="2">
        <v>83.361610999999996</v>
      </c>
      <c r="L47" s="17">
        <v>0</v>
      </c>
      <c r="M47" s="17">
        <v>7.8755709999999999</v>
      </c>
      <c r="N47" s="17">
        <f>NAV!E45</f>
        <v>64.228074000000007</v>
      </c>
      <c r="O47" s="17">
        <f t="shared" si="18"/>
        <v>-11.257965999999996</v>
      </c>
      <c r="P47" s="10">
        <f>(M47+N47)/K47</f>
        <v>0.86495023470695642</v>
      </c>
      <c r="Q47" s="2"/>
      <c r="R47" s="187"/>
    </row>
    <row r="48" spans="2:18">
      <c r="B48" s="66"/>
      <c r="C48" s="4" t="s">
        <v>12</v>
      </c>
      <c r="D48" s="2" t="s">
        <v>78</v>
      </c>
      <c r="E48" s="2"/>
      <c r="F48" s="2" t="s">
        <v>545</v>
      </c>
      <c r="G48" s="6">
        <v>2020</v>
      </c>
      <c r="H48" s="2" t="s">
        <v>53</v>
      </c>
      <c r="I48" s="90" t="s">
        <v>121</v>
      </c>
      <c r="J48" s="17">
        <v>50</v>
      </c>
      <c r="K48" s="17">
        <f ca="1">-SUMIF('CF (Funds)'!$C$4:$E$2017,C48,'CF (Funds)'!$E$4:$E$2017)</f>
        <v>24.959693000000001</v>
      </c>
      <c r="L48" s="17">
        <v>0</v>
      </c>
      <c r="M48" s="17">
        <f>SUM('CF (Funds)'!F4:F21)</f>
        <v>25.403521350000002</v>
      </c>
      <c r="N48" s="17">
        <f>VLOOKUP(C48,NAV!$B$4:$E$47,4,0)</f>
        <v>0</v>
      </c>
      <c r="O48" s="17">
        <f ca="1">N48+M48-K48</f>
        <v>0.44382835000000043</v>
      </c>
      <c r="P48" s="10">
        <f ca="1">(M48+N48)/K48</f>
        <v>1.0177818032457371</v>
      </c>
      <c r="Q48" s="79"/>
      <c r="R48" s="187"/>
    </row>
    <row r="49" spans="2:18" ht="17.25">
      <c r="B49" s="66"/>
      <c r="C49" s="4" t="s">
        <v>160</v>
      </c>
      <c r="D49" s="2" t="s">
        <v>77</v>
      </c>
      <c r="E49" s="2"/>
      <c r="F49" s="2" t="s">
        <v>545</v>
      </c>
      <c r="G49" s="6">
        <v>2021</v>
      </c>
      <c r="H49" s="2" t="s">
        <v>53</v>
      </c>
      <c r="I49" s="90">
        <v>0.33</v>
      </c>
      <c r="J49" s="17">
        <v>17.112500000000001</v>
      </c>
      <c r="K49" s="17">
        <f ca="1">-SUMIF('CF (Funds)'!$C$4:$E$2017,C49,'CF (Funds)'!$E$4:$E$2017)</f>
        <v>15.7263875</v>
      </c>
      <c r="L49" s="17">
        <f ca="1">J49-K49</f>
        <v>1.3861125000000012</v>
      </c>
      <c r="M49" s="17">
        <v>0</v>
      </c>
      <c r="N49" s="17">
        <f>VLOOKUP(C49,NAV!$B$4:$E$47,4,0)</f>
        <v>13.056308</v>
      </c>
      <c r="O49" s="17">
        <f t="shared" ca="1" si="18"/>
        <v>-2.6700794999999999</v>
      </c>
      <c r="P49" s="10">
        <f ca="1">(M49+N49)/K49</f>
        <v>0.83021660250963547</v>
      </c>
      <c r="Q49" s="2" t="s">
        <v>372</v>
      </c>
      <c r="R49" s="187"/>
    </row>
    <row r="50" spans="2:18" s="70" customFormat="1">
      <c r="B50" s="68"/>
      <c r="C50" s="9"/>
      <c r="D50" s="9"/>
      <c r="E50" s="9"/>
      <c r="F50" s="9"/>
      <c r="G50" s="9"/>
      <c r="H50" s="9"/>
      <c r="I50" s="93"/>
      <c r="J50" s="18">
        <f ca="1">SUM(J45:J49)</f>
        <v>182.83985448743499</v>
      </c>
      <c r="K50" s="18">
        <f ca="1">SUM(K45:K49)</f>
        <v>145.86211882213897</v>
      </c>
      <c r="L50" s="18">
        <f ca="1">SUM(L45:L49)</f>
        <v>11.937428665296004</v>
      </c>
      <c r="M50" s="18">
        <f>SUM(M45:M49)</f>
        <v>37.071798628165197</v>
      </c>
      <c r="N50" s="9">
        <f ca="1">SUM(N45:N49)</f>
        <v>106.52705847860651</v>
      </c>
      <c r="O50" s="18">
        <f ca="1">N50+M50-K50</f>
        <v>-2.2632617153672641</v>
      </c>
      <c r="P50" s="11">
        <f t="shared" ref="P50:P58" ca="1" si="19">(M50+N50)/K50</f>
        <v>0.98448355382711095</v>
      </c>
      <c r="Q50" s="9"/>
      <c r="R50" s="213"/>
    </row>
    <row r="51" spans="2:18" s="70" customFormat="1">
      <c r="B51" s="68"/>
      <c r="C51" s="145"/>
      <c r="D51" s="145"/>
      <c r="E51" s="145"/>
      <c r="F51" s="145"/>
      <c r="G51" s="145"/>
      <c r="H51" s="145"/>
      <c r="I51" s="92"/>
      <c r="J51" s="146"/>
      <c r="K51" s="146"/>
      <c r="L51" s="146"/>
      <c r="M51" s="146"/>
      <c r="N51" s="146"/>
      <c r="O51" s="146"/>
      <c r="P51" s="147"/>
      <c r="Q51" s="145"/>
      <c r="R51" s="213"/>
    </row>
    <row r="52" spans="2:18" s="70" customFormat="1">
      <c r="B52" s="68"/>
      <c r="C52" s="422" t="s">
        <v>693</v>
      </c>
      <c r="D52" s="335"/>
      <c r="E52" s="335"/>
      <c r="F52" s="335"/>
      <c r="G52" s="336"/>
      <c r="H52" s="335"/>
      <c r="I52" s="337"/>
      <c r="J52" s="338"/>
      <c r="K52" s="338"/>
      <c r="L52" s="338"/>
      <c r="M52" s="338"/>
      <c r="N52" s="338"/>
      <c r="O52" s="338"/>
      <c r="P52" s="339"/>
      <c r="Q52" s="335"/>
      <c r="R52" s="213"/>
    </row>
    <row r="53" spans="2:18" s="70" customFormat="1">
      <c r="B53" s="68"/>
      <c r="C53" s="4" t="s">
        <v>694</v>
      </c>
      <c r="D53" s="2" t="s">
        <v>77</v>
      </c>
      <c r="E53" s="2"/>
      <c r="F53" s="2" t="s">
        <v>692</v>
      </c>
      <c r="G53" s="6">
        <v>2024</v>
      </c>
      <c r="H53" s="2" t="s">
        <v>277</v>
      </c>
      <c r="I53" s="90">
        <f>'B. %'!F43</f>
        <v>3.125E-2</v>
      </c>
      <c r="J53" s="17">
        <v>1200</v>
      </c>
      <c r="K53" s="17">
        <f>MGX!C34</f>
        <v>210.228747</v>
      </c>
      <c r="L53" s="17">
        <f>J53-K53</f>
        <v>989.771253</v>
      </c>
      <c r="M53" s="17">
        <v>0</v>
      </c>
      <c r="N53" s="17">
        <f>NAV!E49</f>
        <v>326.20940140173275</v>
      </c>
      <c r="O53" s="17">
        <f>N53-K53</f>
        <v>115.98065440173275</v>
      </c>
      <c r="P53" s="10">
        <f t="shared" ref="P53:P55" si="20">(M53+N53)/K53</f>
        <v>1.551687892625516</v>
      </c>
      <c r="Q53" s="2"/>
      <c r="R53" s="213"/>
    </row>
    <row r="54" spans="2:18" s="70" customFormat="1">
      <c r="B54" s="68"/>
      <c r="C54" s="4" t="s">
        <v>775</v>
      </c>
      <c r="D54" s="2" t="s">
        <v>77</v>
      </c>
      <c r="E54" s="2"/>
      <c r="F54" s="2" t="s">
        <v>692</v>
      </c>
      <c r="G54" s="6">
        <v>2024</v>
      </c>
      <c r="H54" s="2" t="s">
        <v>277</v>
      </c>
      <c r="I54" s="90">
        <v>0.5</v>
      </c>
      <c r="J54" s="17">
        <v>775</v>
      </c>
      <c r="K54" s="17">
        <f>SUM('CF (Funds)'!E90:E95)</f>
        <v>312.49955899999998</v>
      </c>
      <c r="L54" s="17">
        <f t="shared" ref="L54:L55" si="21">J54-K54</f>
        <v>462.50044100000002</v>
      </c>
      <c r="M54" s="17">
        <v>0</v>
      </c>
      <c r="N54" s="17">
        <f>NAV!E50</f>
        <v>396.06360100000001</v>
      </c>
      <c r="O54" s="17">
        <f t="shared" ref="O54:O55" si="22">N54-K54</f>
        <v>83.564042000000029</v>
      </c>
      <c r="P54" s="10">
        <f t="shared" si="20"/>
        <v>1.267405311762376</v>
      </c>
      <c r="Q54" s="79"/>
      <c r="R54" s="213"/>
    </row>
    <row r="55" spans="2:18" s="70" customFormat="1">
      <c r="B55" s="68"/>
      <c r="C55" s="4" t="s">
        <v>691</v>
      </c>
      <c r="D55" s="2" t="s">
        <v>77</v>
      </c>
      <c r="E55" s="2"/>
      <c r="F55" s="2" t="s">
        <v>692</v>
      </c>
      <c r="G55" s="6">
        <v>2024</v>
      </c>
      <c r="H55" s="2" t="s">
        <v>148</v>
      </c>
      <c r="I55" s="90"/>
      <c r="J55" s="17">
        <v>25</v>
      </c>
      <c r="K55" s="17">
        <v>25</v>
      </c>
      <c r="L55" s="17">
        <f t="shared" si="21"/>
        <v>0</v>
      </c>
      <c r="M55" s="17">
        <v>0</v>
      </c>
      <c r="N55" s="17">
        <f t="shared" ref="N55" si="23">K55</f>
        <v>25</v>
      </c>
      <c r="O55" s="17">
        <f t="shared" si="22"/>
        <v>0</v>
      </c>
      <c r="P55" s="10">
        <f t="shared" si="20"/>
        <v>1</v>
      </c>
      <c r="Q55" s="2"/>
      <c r="R55" s="213"/>
    </row>
    <row r="56" spans="2:18" s="70" customFormat="1">
      <c r="B56" s="68"/>
      <c r="C56" s="9"/>
      <c r="D56" s="9"/>
      <c r="E56" s="9"/>
      <c r="F56" s="9"/>
      <c r="G56" s="9"/>
      <c r="H56" s="9"/>
      <c r="I56" s="93"/>
      <c r="J56" s="18">
        <f t="shared" ref="J56:O56" si="24">SUM(J53:J55)</f>
        <v>2000</v>
      </c>
      <c r="K56" s="18">
        <f t="shared" si="24"/>
        <v>547.72830599999998</v>
      </c>
      <c r="L56" s="18">
        <f t="shared" si="24"/>
        <v>1452.271694</v>
      </c>
      <c r="M56" s="18">
        <f t="shared" si="24"/>
        <v>0</v>
      </c>
      <c r="N56" s="18">
        <f t="shared" si="24"/>
        <v>747.27300240173281</v>
      </c>
      <c r="O56" s="18">
        <f t="shared" si="24"/>
        <v>199.54469640173278</v>
      </c>
      <c r="P56" s="11">
        <f t="shared" si="19"/>
        <v>1.3643132812671048</v>
      </c>
      <c r="Q56" s="9"/>
      <c r="R56" s="213"/>
    </row>
    <row r="57" spans="2:18" s="70" customFormat="1">
      <c r="B57" s="68"/>
      <c r="C57" s="145"/>
      <c r="D57" s="145"/>
      <c r="E57" s="145"/>
      <c r="F57" s="145"/>
      <c r="G57" s="145"/>
      <c r="H57" s="145"/>
      <c r="I57" s="92"/>
      <c r="J57" s="146"/>
      <c r="K57" s="146"/>
      <c r="L57" s="146"/>
      <c r="M57" s="146"/>
      <c r="N57" s="146"/>
      <c r="O57" s="146"/>
      <c r="P57" s="147"/>
      <c r="Q57" s="145"/>
      <c r="R57" s="213"/>
    </row>
    <row r="58" spans="2:18" s="70" customFormat="1">
      <c r="B58" s="68"/>
      <c r="C58" s="148" t="s">
        <v>55</v>
      </c>
      <c r="D58" s="141"/>
      <c r="E58" s="141"/>
      <c r="F58" s="141"/>
      <c r="G58" s="141"/>
      <c r="H58" s="141"/>
      <c r="I58" s="142"/>
      <c r="J58" s="143">
        <f t="shared" ref="J58:O58" ca="1" si="25">J36+J42+J50+J56</f>
        <v>4693.6551544469448</v>
      </c>
      <c r="K58" s="143">
        <f t="shared" ca="1" si="25"/>
        <v>3045.8890970949824</v>
      </c>
      <c r="L58" s="143">
        <f t="shared" ca="1" si="25"/>
        <v>1622.7257503519627</v>
      </c>
      <c r="M58" s="143">
        <f t="shared" ca="1" si="25"/>
        <v>1466.0892269481651</v>
      </c>
      <c r="N58" s="143">
        <f t="shared" ca="1" si="25"/>
        <v>1732.0366969513186</v>
      </c>
      <c r="O58" s="143">
        <f t="shared" ca="1" si="25"/>
        <v>152.23682680450111</v>
      </c>
      <c r="P58" s="144">
        <f t="shared" ca="1" si="19"/>
        <v>1.0499810800562952</v>
      </c>
      <c r="Q58" s="141"/>
      <c r="R58" s="213"/>
    </row>
    <row r="59" spans="2:18" s="178" customFormat="1" ht="15.75" thickBot="1">
      <c r="B59" s="171"/>
      <c r="C59" s="172"/>
      <c r="D59" s="173"/>
      <c r="E59" s="173"/>
      <c r="F59" s="173"/>
      <c r="G59" s="173"/>
      <c r="H59" s="173"/>
      <c r="I59" s="174"/>
      <c r="J59" s="175"/>
      <c r="K59" s="175"/>
      <c r="L59" s="175"/>
      <c r="M59" s="175"/>
      <c r="N59" s="175"/>
      <c r="O59" s="175"/>
      <c r="P59" s="176"/>
      <c r="Q59" s="173"/>
      <c r="R59" s="214"/>
    </row>
    <row r="60" spans="2:18">
      <c r="I60" s="76"/>
    </row>
    <row r="61" spans="2:18">
      <c r="C61" s="151" t="s">
        <v>142</v>
      </c>
      <c r="D61" s="94"/>
      <c r="E61" s="94"/>
      <c r="F61" s="96"/>
      <c r="G61" s="96"/>
      <c r="H61" s="96"/>
      <c r="I61" s="96"/>
      <c r="J61" s="96"/>
      <c r="K61" s="96"/>
      <c r="L61" s="96"/>
      <c r="M61" s="96"/>
      <c r="N61" s="96"/>
      <c r="O61" s="96"/>
      <c r="P61" s="96"/>
      <c r="Q61" s="96"/>
    </row>
    <row r="62" spans="2:18">
      <c r="C62" s="57" t="s">
        <v>171</v>
      </c>
      <c r="G62" s="107"/>
      <c r="K62" s="152"/>
      <c r="N62" s="80"/>
      <c r="O62" s="80"/>
      <c r="Q62" s="80"/>
    </row>
    <row r="63" spans="2:18">
      <c r="C63" s="56" t="s">
        <v>172</v>
      </c>
      <c r="N63" s="80"/>
      <c r="O63" s="80"/>
      <c r="Q63" s="80"/>
    </row>
    <row r="64" spans="2:18">
      <c r="C64" s="56" t="s">
        <v>174</v>
      </c>
      <c r="N64" s="80"/>
      <c r="O64" s="80"/>
      <c r="Q64" s="80"/>
    </row>
    <row r="65" spans="3:19">
      <c r="C65" s="56" t="s">
        <v>370</v>
      </c>
      <c r="N65" s="80"/>
      <c r="O65" s="80"/>
      <c r="Q65" s="80"/>
    </row>
    <row r="66" spans="3:19">
      <c r="C66" s="56" t="s">
        <v>374</v>
      </c>
      <c r="N66" s="80"/>
      <c r="O66" s="80"/>
      <c r="Q66" s="80"/>
    </row>
    <row r="67" spans="3:19">
      <c r="C67" s="57" t="s">
        <v>373</v>
      </c>
      <c r="N67" s="80"/>
      <c r="O67" s="80"/>
      <c r="Q67" s="80"/>
    </row>
    <row r="68" spans="3:19">
      <c r="C68" s="57" t="s">
        <v>472</v>
      </c>
      <c r="N68" s="80"/>
      <c r="O68" s="80"/>
      <c r="Q68" s="80"/>
    </row>
    <row r="69" spans="3:19">
      <c r="C69" s="57" t="s">
        <v>676</v>
      </c>
      <c r="N69" s="80"/>
      <c r="O69" s="80"/>
      <c r="Q69" s="80"/>
    </row>
    <row r="70" spans="3:19">
      <c r="C70" s="57" t="s">
        <v>246</v>
      </c>
      <c r="N70" s="80"/>
      <c r="O70" s="80"/>
      <c r="Q70" s="80"/>
      <c r="R70" s="215"/>
      <c r="S70" s="205"/>
    </row>
    <row r="71" spans="3:19">
      <c r="C71" s="57"/>
      <c r="N71" s="80"/>
      <c r="O71" s="80"/>
      <c r="Q71" s="80"/>
      <c r="R71" s="215"/>
      <c r="S71" s="205"/>
    </row>
    <row r="72" spans="3:19">
      <c r="C72" s="151" t="s">
        <v>552</v>
      </c>
      <c r="D72" s="94"/>
      <c r="E72" s="94"/>
      <c r="F72" s="96"/>
      <c r="G72" s="96"/>
      <c r="H72" s="96"/>
      <c r="I72" s="95"/>
      <c r="J72" s="96"/>
      <c r="K72" s="96"/>
      <c r="L72" s="96"/>
      <c r="M72" s="96"/>
      <c r="N72" s="96"/>
      <c r="O72" s="96"/>
      <c r="P72" s="96"/>
      <c r="Q72" s="96"/>
      <c r="R72" s="215"/>
      <c r="S72" s="205"/>
    </row>
    <row r="73" spans="3:19">
      <c r="C73" s="57" t="s">
        <v>244</v>
      </c>
      <c r="N73" s="80"/>
      <c r="O73" s="80"/>
      <c r="Q73" s="80"/>
      <c r="R73" s="215"/>
      <c r="S73" s="205"/>
    </row>
    <row r="74" spans="3:19">
      <c r="C74" s="179" t="s">
        <v>245</v>
      </c>
      <c r="N74" s="80"/>
      <c r="O74" s="80"/>
      <c r="Q74" s="80"/>
    </row>
    <row r="75" spans="3:19">
      <c r="C75" s="26"/>
      <c r="N75" s="80"/>
      <c r="O75" s="80"/>
      <c r="Q75" s="80"/>
    </row>
    <row r="76" spans="3:19">
      <c r="C76" s="151" t="s">
        <v>548</v>
      </c>
      <c r="D76" s="94"/>
      <c r="E76" s="94"/>
      <c r="F76" s="96"/>
      <c r="G76" s="96"/>
      <c r="H76" s="96"/>
      <c r="I76" s="95"/>
      <c r="J76" s="96"/>
      <c r="K76" s="96"/>
      <c r="L76" s="96"/>
      <c r="M76" s="96"/>
      <c r="N76" s="96"/>
      <c r="O76" s="96"/>
      <c r="P76" s="96"/>
      <c r="Q76" s="96"/>
    </row>
    <row r="77" spans="3:19">
      <c r="C77" s="13" t="s">
        <v>549</v>
      </c>
      <c r="N77" s="80"/>
      <c r="O77" s="80"/>
      <c r="Q77" s="80"/>
    </row>
    <row r="78" spans="3:19">
      <c r="C78" s="13" t="s">
        <v>550</v>
      </c>
      <c r="N78" s="80"/>
      <c r="O78" s="80"/>
      <c r="Q78" s="80"/>
    </row>
    <row r="79" spans="3:19">
      <c r="C79" s="13" t="s">
        <v>239</v>
      </c>
      <c r="N79" s="80"/>
      <c r="O79" s="80"/>
      <c r="Q79" s="80"/>
    </row>
    <row r="80" spans="3:19">
      <c r="C80" s="13" t="s">
        <v>551</v>
      </c>
      <c r="N80" s="80"/>
      <c r="O80" s="80"/>
      <c r="Q80" s="80"/>
    </row>
    <row r="81" spans="3:17">
      <c r="C81" s="13"/>
      <c r="N81" s="80"/>
      <c r="O81" s="80"/>
      <c r="Q81" s="80"/>
    </row>
    <row r="82" spans="3:17">
      <c r="C82" s="57" t="s">
        <v>240</v>
      </c>
      <c r="N82" s="80"/>
      <c r="O82" s="80"/>
      <c r="Q82" s="80"/>
    </row>
    <row r="83" spans="3:17">
      <c r="C83" s="13" t="s">
        <v>241</v>
      </c>
      <c r="N83" s="80"/>
      <c r="O83" s="80"/>
      <c r="Q83" s="80"/>
    </row>
    <row r="84" spans="3:17">
      <c r="C84" s="57" t="s">
        <v>242</v>
      </c>
      <c r="N84" s="80"/>
      <c r="O84" s="80"/>
      <c r="Q84" s="80"/>
    </row>
    <row r="85" spans="3:17">
      <c r="C85" s="57" t="s">
        <v>243</v>
      </c>
      <c r="P85" s="26"/>
    </row>
    <row r="86" spans="3:17">
      <c r="C86" s="57" t="s">
        <v>546</v>
      </c>
      <c r="P86" s="26"/>
    </row>
    <row r="87" spans="3:17">
      <c r="C87" s="25"/>
      <c r="P87" s="26"/>
    </row>
    <row r="88" spans="3:17">
      <c r="C88" s="151" t="s">
        <v>143</v>
      </c>
      <c r="D88" s="94"/>
      <c r="E88" s="94"/>
      <c r="F88" s="96"/>
      <c r="G88" s="96"/>
      <c r="H88" s="96"/>
      <c r="I88" s="95"/>
      <c r="J88" s="96"/>
      <c r="K88" s="96"/>
      <c r="L88" s="96"/>
      <c r="M88" s="96"/>
      <c r="N88" s="96"/>
      <c r="O88" s="96"/>
      <c r="P88" s="96"/>
      <c r="Q88" s="96"/>
    </row>
    <row r="89" spans="3:17">
      <c r="C89" s="13" t="s">
        <v>207</v>
      </c>
      <c r="P89" s="26"/>
    </row>
    <row r="90" spans="3:17">
      <c r="C90" s="13" t="s">
        <v>137</v>
      </c>
      <c r="P90" s="26"/>
    </row>
    <row r="91" spans="3:17">
      <c r="C91" s="57" t="s">
        <v>173</v>
      </c>
      <c r="I91" s="57"/>
    </row>
    <row r="92" spans="3:17">
      <c r="H92" s="134"/>
      <c r="I92" s="57"/>
    </row>
    <row r="93" spans="3:17">
      <c r="H93" s="57"/>
      <c r="I93" s="57"/>
    </row>
    <row r="94" spans="3:17">
      <c r="C94" s="57"/>
      <c r="H94" s="57"/>
      <c r="I94" s="57"/>
    </row>
    <row r="95" spans="3:17">
      <c r="C95" s="26"/>
      <c r="H95" s="57"/>
      <c r="I95" s="57"/>
    </row>
    <row r="96" spans="3:17">
      <c r="C96" s="26"/>
    </row>
    <row r="97" spans="6:6">
      <c r="F97" s="57"/>
    </row>
  </sheetData>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ignoredErrors>
    <ignoredError sqref="J46 J29" 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zoomScale="70" zoomScaleNormal="70" zoomScaleSheetLayoutView="70" workbookViewId="0">
      <selection activeCell="A17" sqref="A17"/>
    </sheetView>
  </sheetViews>
  <sheetFormatPr defaultColWidth="9.140625" defaultRowHeight="15"/>
  <cols>
    <col min="1" max="1" width="5.42578125" style="25" customWidth="1"/>
    <col min="2" max="2" width="8.28515625" style="25" customWidth="1"/>
    <col min="3" max="3" width="54.140625" style="56" customWidth="1"/>
    <col min="4" max="4" width="17.140625" style="26" customWidth="1"/>
    <col min="5" max="5" width="9.42578125" style="26" bestFit="1" customWidth="1"/>
    <col min="6" max="6" width="19.7109375" style="26" bestFit="1" customWidth="1"/>
    <col min="7" max="7" width="47.42578125" style="26" customWidth="1"/>
    <col min="8" max="9" width="39.28515625" style="26" customWidth="1"/>
    <col min="10" max="10" width="23.85546875" style="26" customWidth="1"/>
    <col min="11" max="15" width="20.5703125" style="26" customWidth="1"/>
    <col min="16" max="16" width="26" style="26" bestFit="1" customWidth="1"/>
    <col min="17" max="17" width="20.140625" style="26" customWidth="1"/>
    <col min="18" max="19" width="9.140625" style="25"/>
    <col min="20" max="20" width="18.5703125" style="25" customWidth="1"/>
    <col min="21" max="16384" width="9.140625" style="25"/>
  </cols>
  <sheetData>
    <row r="1" spans="2:20" ht="15.75" thickBot="1">
      <c r="C1" s="132"/>
    </row>
    <row r="2" spans="2:20" ht="15.75" thickBot="1">
      <c r="C2" s="149" t="s">
        <v>166</v>
      </c>
      <c r="D2" s="150">
        <f>'A. All deals (a)'!D2</f>
        <v>45900</v>
      </c>
      <c r="E2" s="25"/>
      <c r="F2" s="25"/>
      <c r="G2" s="25"/>
      <c r="H2" s="25"/>
      <c r="I2" s="25"/>
      <c r="J2" s="25"/>
      <c r="K2" s="25"/>
      <c r="L2" s="25"/>
      <c r="M2" s="25"/>
      <c r="N2" s="25"/>
      <c r="O2" s="25"/>
      <c r="P2" s="25"/>
      <c r="Q2" s="25"/>
    </row>
    <row r="3" spans="2:20" ht="15.75" thickBot="1">
      <c r="C3" s="132"/>
      <c r="P3" s="126" t="s">
        <v>304</v>
      </c>
    </row>
    <row r="4" spans="2:20">
      <c r="B4" s="58"/>
      <c r="C4" s="59"/>
      <c r="D4" s="60"/>
      <c r="E4" s="60"/>
      <c r="F4" s="60"/>
      <c r="G4" s="60"/>
      <c r="H4" s="60"/>
      <c r="I4" s="60"/>
      <c r="J4" s="60"/>
      <c r="K4" s="163"/>
      <c r="L4" s="163"/>
      <c r="M4" s="163"/>
      <c r="N4" s="163"/>
      <c r="O4" s="163"/>
      <c r="P4" s="163"/>
      <c r="Q4" s="163"/>
      <c r="R4" s="62"/>
    </row>
    <row r="5" spans="2:20">
      <c r="B5" s="66"/>
      <c r="R5" s="67"/>
    </row>
    <row r="6" spans="2:20" s="65" customFormat="1" ht="30">
      <c r="B6" s="63"/>
      <c r="C6" s="3" t="s">
        <v>50</v>
      </c>
      <c r="D6" s="1" t="s">
        <v>25</v>
      </c>
      <c r="E6" s="1" t="s">
        <v>60</v>
      </c>
      <c r="F6" s="1" t="s">
        <v>31</v>
      </c>
      <c r="G6" s="1" t="s">
        <v>388</v>
      </c>
      <c r="H6" s="1" t="s">
        <v>396</v>
      </c>
      <c r="I6" s="1" t="s">
        <v>467</v>
      </c>
      <c r="J6" s="1" t="s">
        <v>36</v>
      </c>
      <c r="K6" s="1" t="s">
        <v>177</v>
      </c>
      <c r="L6" s="1" t="s">
        <v>297</v>
      </c>
      <c r="M6" s="1" t="s">
        <v>298</v>
      </c>
      <c r="N6" s="1" t="s">
        <v>290</v>
      </c>
      <c r="O6" s="1" t="s">
        <v>52</v>
      </c>
      <c r="P6" s="1" t="s">
        <v>305</v>
      </c>
      <c r="Q6" s="240" t="s">
        <v>189</v>
      </c>
      <c r="R6" s="64"/>
    </row>
    <row r="7" spans="2:20">
      <c r="B7" s="66"/>
      <c r="C7" s="5"/>
      <c r="D7" s="8"/>
      <c r="E7" s="8"/>
      <c r="F7" s="8"/>
      <c r="G7" s="8"/>
      <c r="H7" s="8"/>
      <c r="I7" s="8"/>
      <c r="J7" s="8"/>
      <c r="K7" s="8"/>
      <c r="L7" s="8"/>
      <c r="M7" s="8"/>
      <c r="N7" s="8"/>
      <c r="O7" s="8"/>
      <c r="P7" s="8"/>
      <c r="Q7" s="160"/>
      <c r="R7" s="67"/>
    </row>
    <row r="8" spans="2:20">
      <c r="B8" s="66"/>
      <c r="C8" s="422" t="s">
        <v>28</v>
      </c>
      <c r="D8" s="334"/>
      <c r="E8" s="335"/>
      <c r="F8" s="335"/>
      <c r="G8" s="335"/>
      <c r="H8" s="335"/>
      <c r="I8" s="336"/>
      <c r="J8" s="337"/>
      <c r="K8" s="338"/>
      <c r="L8" s="338"/>
      <c r="M8" s="338"/>
      <c r="N8" s="338"/>
      <c r="O8" s="338"/>
      <c r="P8" s="338"/>
      <c r="Q8" s="337"/>
      <c r="R8" s="67"/>
      <c r="T8" s="335"/>
    </row>
    <row r="9" spans="2:20" ht="17.25">
      <c r="B9" s="66"/>
      <c r="C9" s="4" t="s">
        <v>46</v>
      </c>
      <c r="D9" s="2" t="s">
        <v>380</v>
      </c>
      <c r="E9" s="2" t="s">
        <v>62</v>
      </c>
      <c r="F9" s="2" t="s">
        <v>8</v>
      </c>
      <c r="G9" s="307" t="s">
        <v>389</v>
      </c>
      <c r="H9" s="2" t="s">
        <v>421</v>
      </c>
      <c r="I9" s="307" t="s">
        <v>422</v>
      </c>
      <c r="J9" s="2" t="s">
        <v>72</v>
      </c>
      <c r="K9" s="2"/>
      <c r="L9" s="242" t="s">
        <v>253</v>
      </c>
      <c r="M9" s="242" t="s">
        <v>253</v>
      </c>
      <c r="N9" s="241" t="s">
        <v>317</v>
      </c>
      <c r="O9" s="244">
        <v>5.6999998161926343E-2</v>
      </c>
      <c r="P9" s="2"/>
      <c r="Q9" s="161">
        <v>1</v>
      </c>
      <c r="R9" s="67"/>
    </row>
    <row r="10" spans="2:20" ht="17.25">
      <c r="B10" s="66"/>
      <c r="C10" s="4" t="s">
        <v>0</v>
      </c>
      <c r="D10" s="2" t="s">
        <v>77</v>
      </c>
      <c r="E10" s="2" t="s">
        <v>62</v>
      </c>
      <c r="F10" s="2" t="s">
        <v>8</v>
      </c>
      <c r="G10" s="307" t="s">
        <v>389</v>
      </c>
      <c r="H10" s="2" t="s">
        <v>421</v>
      </c>
      <c r="I10" s="307" t="s">
        <v>422</v>
      </c>
      <c r="J10" s="2" t="s">
        <v>67</v>
      </c>
      <c r="K10" s="2"/>
      <c r="L10" s="242" t="s">
        <v>253</v>
      </c>
      <c r="M10" s="242" t="s">
        <v>253</v>
      </c>
      <c r="N10" s="241" t="s">
        <v>317</v>
      </c>
      <c r="O10" s="244">
        <v>0.14000000235296001</v>
      </c>
      <c r="P10" s="2"/>
      <c r="Q10" s="161">
        <v>2</v>
      </c>
      <c r="R10" s="67"/>
    </row>
    <row r="11" spans="2:20" ht="17.25">
      <c r="B11" s="66"/>
      <c r="C11" s="4" t="s">
        <v>38</v>
      </c>
      <c r="D11" s="2" t="s">
        <v>77</v>
      </c>
      <c r="E11" s="2" t="s">
        <v>61</v>
      </c>
      <c r="F11" s="2" t="s">
        <v>8</v>
      </c>
      <c r="G11" s="307" t="s">
        <v>389</v>
      </c>
      <c r="H11" s="2" t="s">
        <v>421</v>
      </c>
      <c r="I11" s="307" t="s">
        <v>422</v>
      </c>
      <c r="J11" s="2" t="s">
        <v>74</v>
      </c>
      <c r="K11" s="2"/>
      <c r="L11" s="242" t="s">
        <v>253</v>
      </c>
      <c r="M11" s="242" t="s">
        <v>253</v>
      </c>
      <c r="N11" s="241" t="s">
        <v>318</v>
      </c>
      <c r="O11" s="244">
        <v>8.5025484621212399E-2</v>
      </c>
      <c r="P11" s="2" t="s">
        <v>306</v>
      </c>
      <c r="Q11" s="161">
        <v>3</v>
      </c>
      <c r="R11" s="67"/>
    </row>
    <row r="12" spans="2:20" ht="17.25">
      <c r="B12" s="66"/>
      <c r="C12" s="4" t="s">
        <v>39</v>
      </c>
      <c r="D12" s="2" t="s">
        <v>78</v>
      </c>
      <c r="E12" s="2" t="s">
        <v>61</v>
      </c>
      <c r="F12" s="2" t="s">
        <v>8</v>
      </c>
      <c r="G12" s="307" t="s">
        <v>389</v>
      </c>
      <c r="H12" s="2" t="s">
        <v>421</v>
      </c>
      <c r="I12" s="307" t="s">
        <v>422</v>
      </c>
      <c r="J12" s="2" t="s">
        <v>43</v>
      </c>
      <c r="K12" s="2"/>
      <c r="L12" s="242" t="s">
        <v>253</v>
      </c>
      <c r="M12" s="2" t="s">
        <v>121</v>
      </c>
      <c r="N12" s="241" t="s">
        <v>320</v>
      </c>
      <c r="O12" s="244" t="s">
        <v>121</v>
      </c>
      <c r="P12" s="2"/>
      <c r="Q12" s="161">
        <v>4</v>
      </c>
      <c r="R12" s="67"/>
    </row>
    <row r="13" spans="2:20" ht="17.25">
      <c r="B13" s="66"/>
      <c r="C13" s="4" t="s">
        <v>37</v>
      </c>
      <c r="D13" s="2" t="s">
        <v>77</v>
      </c>
      <c r="E13" s="2" t="s">
        <v>63</v>
      </c>
      <c r="F13" s="2" t="s">
        <v>8</v>
      </c>
      <c r="G13" s="307" t="s">
        <v>389</v>
      </c>
      <c r="H13" s="2" t="s">
        <v>421</v>
      </c>
      <c r="I13" s="307" t="s">
        <v>422</v>
      </c>
      <c r="J13" s="2" t="s">
        <v>66</v>
      </c>
      <c r="K13" s="2"/>
      <c r="L13" s="242" t="s">
        <v>253</v>
      </c>
      <c r="M13" s="242" t="s">
        <v>253</v>
      </c>
      <c r="N13" s="241" t="s">
        <v>318</v>
      </c>
      <c r="O13" s="244">
        <v>9.7965107245756355E-2</v>
      </c>
      <c r="P13" s="2"/>
      <c r="Q13" s="161">
        <v>5</v>
      </c>
      <c r="R13" s="67"/>
    </row>
    <row r="14" spans="2:20" ht="17.25">
      <c r="B14" s="66"/>
      <c r="C14" s="4" t="s">
        <v>85</v>
      </c>
      <c r="D14" s="2" t="s">
        <v>77</v>
      </c>
      <c r="E14" s="2" t="s">
        <v>63</v>
      </c>
      <c r="F14" s="2" t="s">
        <v>8</v>
      </c>
      <c r="G14" s="79" t="s">
        <v>389</v>
      </c>
      <c r="H14" s="313" t="s">
        <v>466</v>
      </c>
      <c r="I14" s="313" t="s">
        <v>422</v>
      </c>
      <c r="J14" s="2" t="s">
        <v>44</v>
      </c>
      <c r="K14" s="2" t="s">
        <v>176</v>
      </c>
      <c r="L14" s="242" t="s">
        <v>253</v>
      </c>
      <c r="M14" s="242" t="s">
        <v>253</v>
      </c>
      <c r="N14" s="241" t="s">
        <v>292</v>
      </c>
      <c r="O14" s="244">
        <v>5.1651565402323088E-2</v>
      </c>
      <c r="P14" s="2"/>
      <c r="Q14" s="161">
        <v>6</v>
      </c>
      <c r="R14" s="67"/>
    </row>
    <row r="15" spans="2:20" ht="17.25">
      <c r="B15" s="66"/>
      <c r="C15" s="4" t="s">
        <v>9</v>
      </c>
      <c r="D15" s="2" t="s">
        <v>77</v>
      </c>
      <c r="E15" s="2" t="s">
        <v>62</v>
      </c>
      <c r="F15" s="2" t="s">
        <v>8</v>
      </c>
      <c r="G15" s="307" t="s">
        <v>389</v>
      </c>
      <c r="H15" s="2" t="s">
        <v>421</v>
      </c>
      <c r="I15" s="307" t="s">
        <v>422</v>
      </c>
      <c r="J15" s="2" t="s">
        <v>71</v>
      </c>
      <c r="K15" s="2"/>
      <c r="L15" s="242" t="s">
        <v>253</v>
      </c>
      <c r="M15" s="242" t="s">
        <v>253</v>
      </c>
      <c r="N15" s="241" t="s">
        <v>291</v>
      </c>
      <c r="O15" s="244">
        <v>0.14380000000000001</v>
      </c>
      <c r="P15" s="2"/>
      <c r="Q15" s="161">
        <v>7</v>
      </c>
      <c r="R15" s="67"/>
    </row>
    <row r="16" spans="2:20" ht="17.25">
      <c r="B16" s="66"/>
      <c r="C16" s="4" t="s">
        <v>18</v>
      </c>
      <c r="D16" s="2" t="s">
        <v>78</v>
      </c>
      <c r="E16" s="2" t="s">
        <v>61</v>
      </c>
      <c r="F16" s="2" t="s">
        <v>313</v>
      </c>
      <c r="G16" s="307" t="s">
        <v>390</v>
      </c>
      <c r="H16" s="2" t="s">
        <v>78</v>
      </c>
      <c r="I16" s="2" t="s">
        <v>78</v>
      </c>
      <c r="J16" s="2" t="s">
        <v>48</v>
      </c>
      <c r="K16" s="2"/>
      <c r="L16" s="242" t="s">
        <v>253</v>
      </c>
      <c r="M16" s="2" t="s">
        <v>121</v>
      </c>
      <c r="N16" s="241" t="s">
        <v>292</v>
      </c>
      <c r="O16" s="244">
        <v>0.03</v>
      </c>
      <c r="P16" s="2"/>
      <c r="Q16" s="161">
        <v>8</v>
      </c>
      <c r="R16" s="67"/>
    </row>
    <row r="17" spans="2:20" ht="17.25">
      <c r="B17" s="66"/>
      <c r="C17" s="4" t="s">
        <v>40</v>
      </c>
      <c r="D17" s="2" t="s">
        <v>77</v>
      </c>
      <c r="E17" s="2" t="s">
        <v>65</v>
      </c>
      <c r="F17" s="2" t="s">
        <v>8</v>
      </c>
      <c r="G17" s="307" t="s">
        <v>389</v>
      </c>
      <c r="H17" s="2" t="s">
        <v>421</v>
      </c>
      <c r="I17" s="307" t="s">
        <v>422</v>
      </c>
      <c r="J17" s="2" t="s">
        <v>68</v>
      </c>
      <c r="K17" s="2"/>
      <c r="L17" s="242" t="s">
        <v>253</v>
      </c>
      <c r="M17" s="242" t="s">
        <v>253</v>
      </c>
      <c r="N17" s="241" t="s">
        <v>318</v>
      </c>
      <c r="O17" s="244">
        <v>9.117206771726628E-3</v>
      </c>
      <c r="P17" s="2"/>
      <c r="Q17" s="161">
        <v>9</v>
      </c>
      <c r="R17" s="67"/>
    </row>
    <row r="18" spans="2:20" ht="17.25">
      <c r="B18" s="66"/>
      <c r="C18" s="4" t="s">
        <v>41</v>
      </c>
      <c r="D18" s="2" t="s">
        <v>77</v>
      </c>
      <c r="E18" s="2" t="s">
        <v>61</v>
      </c>
      <c r="F18" s="2" t="s">
        <v>8</v>
      </c>
      <c r="G18" s="307" t="s">
        <v>389</v>
      </c>
      <c r="H18" s="2" t="s">
        <v>421</v>
      </c>
      <c r="I18" s="309" t="s">
        <v>558</v>
      </c>
      <c r="J18" s="2" t="s">
        <v>73</v>
      </c>
      <c r="K18" s="2"/>
      <c r="L18" s="242" t="s">
        <v>253</v>
      </c>
      <c r="M18" s="242" t="s">
        <v>253</v>
      </c>
      <c r="N18" s="241" t="s">
        <v>318</v>
      </c>
      <c r="O18" s="244">
        <v>0.16080402010050251</v>
      </c>
      <c r="P18" s="2"/>
      <c r="Q18" s="161">
        <v>10</v>
      </c>
      <c r="R18" s="67"/>
    </row>
    <row r="19" spans="2:20" ht="17.25">
      <c r="B19" s="66"/>
      <c r="C19" s="4" t="s">
        <v>42</v>
      </c>
      <c r="D19" s="2" t="s">
        <v>78</v>
      </c>
      <c r="E19" s="2" t="s">
        <v>65</v>
      </c>
      <c r="F19" s="2" t="s">
        <v>8</v>
      </c>
      <c r="G19" s="307" t="s">
        <v>389</v>
      </c>
      <c r="H19" s="2" t="s">
        <v>421</v>
      </c>
      <c r="I19" s="307" t="s">
        <v>422</v>
      </c>
      <c r="J19" s="2" t="s">
        <v>75</v>
      </c>
      <c r="K19" s="2"/>
      <c r="L19" s="242" t="s">
        <v>253</v>
      </c>
      <c r="M19" s="242" t="s">
        <v>253</v>
      </c>
      <c r="N19" s="241" t="s">
        <v>292</v>
      </c>
      <c r="O19" s="244">
        <v>1.1489405791845828E-2</v>
      </c>
      <c r="P19" s="2"/>
      <c r="Q19" s="161">
        <v>11</v>
      </c>
      <c r="R19" s="67"/>
    </row>
    <row r="20" spans="2:20" ht="17.25">
      <c r="B20" s="66"/>
      <c r="C20" s="4" t="s">
        <v>69</v>
      </c>
      <c r="D20" s="2" t="s">
        <v>78</v>
      </c>
      <c r="E20" s="2" t="s">
        <v>62</v>
      </c>
      <c r="F20" s="2" t="s">
        <v>314</v>
      </c>
      <c r="G20" s="2" t="s">
        <v>391</v>
      </c>
      <c r="H20" s="2" t="s">
        <v>423</v>
      </c>
      <c r="I20" s="2" t="s">
        <v>424</v>
      </c>
      <c r="J20" s="2" t="s">
        <v>76</v>
      </c>
      <c r="K20" s="2"/>
      <c r="L20" s="242" t="s">
        <v>253</v>
      </c>
      <c r="M20" s="242" t="s">
        <v>253</v>
      </c>
      <c r="N20" s="241" t="s">
        <v>291</v>
      </c>
      <c r="O20" s="244">
        <v>5.1000000000000004E-2</v>
      </c>
      <c r="P20" s="2"/>
      <c r="Q20" s="161">
        <v>12</v>
      </c>
      <c r="R20" s="67"/>
    </row>
    <row r="21" spans="2:20" ht="17.25">
      <c r="B21" s="66"/>
      <c r="C21" s="4" t="s">
        <v>19</v>
      </c>
      <c r="D21" s="2" t="s">
        <v>77</v>
      </c>
      <c r="E21" s="2" t="s">
        <v>64</v>
      </c>
      <c r="F21" s="2" t="s">
        <v>11</v>
      </c>
      <c r="G21" s="307" t="s">
        <v>395</v>
      </c>
      <c r="H21" s="2" t="s">
        <v>423</v>
      </c>
      <c r="I21" s="307" t="s">
        <v>425</v>
      </c>
      <c r="J21" s="2" t="s">
        <v>76</v>
      </c>
      <c r="K21" s="2"/>
      <c r="L21" s="242" t="s">
        <v>253</v>
      </c>
      <c r="M21" s="242" t="s">
        <v>253</v>
      </c>
      <c r="N21" s="241" t="s">
        <v>324</v>
      </c>
      <c r="O21" s="244">
        <v>0.11141913554582343</v>
      </c>
      <c r="P21" s="2" t="s">
        <v>307</v>
      </c>
      <c r="Q21" s="161">
        <v>13</v>
      </c>
      <c r="R21" s="67"/>
    </row>
    <row r="22" spans="2:20" ht="17.25">
      <c r="B22" s="66"/>
      <c r="C22" s="4" t="s">
        <v>86</v>
      </c>
      <c r="D22" s="2" t="s">
        <v>77</v>
      </c>
      <c r="E22" s="2" t="s">
        <v>63</v>
      </c>
      <c r="F22" s="2" t="s">
        <v>11</v>
      </c>
      <c r="G22" s="307" t="s">
        <v>393</v>
      </c>
      <c r="H22" s="2" t="s">
        <v>421</v>
      </c>
      <c r="I22" s="309" t="s">
        <v>558</v>
      </c>
      <c r="J22" s="2" t="s">
        <v>44</v>
      </c>
      <c r="K22" s="2" t="s">
        <v>176</v>
      </c>
      <c r="L22" s="242" t="s">
        <v>253</v>
      </c>
      <c r="M22" s="242" t="s">
        <v>253</v>
      </c>
      <c r="N22" s="241" t="s">
        <v>318</v>
      </c>
      <c r="O22" s="244">
        <v>2.2129090603182095E-3</v>
      </c>
      <c r="P22" s="2" t="s">
        <v>308</v>
      </c>
      <c r="Q22" s="161">
        <v>14</v>
      </c>
      <c r="R22" s="67"/>
    </row>
    <row r="23" spans="2:20" ht="17.25">
      <c r="B23" s="66"/>
      <c r="C23" s="4" t="s">
        <v>35</v>
      </c>
      <c r="D23" s="2" t="s">
        <v>78</v>
      </c>
      <c r="E23" s="2" t="s">
        <v>62</v>
      </c>
      <c r="F23" s="2" t="s">
        <v>315</v>
      </c>
      <c r="G23" s="2" t="s">
        <v>392</v>
      </c>
      <c r="H23" s="2" t="s">
        <v>424</v>
      </c>
      <c r="I23" s="2" t="s">
        <v>424</v>
      </c>
      <c r="J23" s="2" t="s">
        <v>76</v>
      </c>
      <c r="K23" s="2"/>
      <c r="L23" s="242" t="s">
        <v>253</v>
      </c>
      <c r="M23" s="242" t="s">
        <v>253</v>
      </c>
      <c r="N23" s="241" t="s">
        <v>291</v>
      </c>
      <c r="O23" s="244">
        <v>1.8823528000000003E-2</v>
      </c>
      <c r="P23" s="2"/>
      <c r="Q23" s="161">
        <v>15</v>
      </c>
      <c r="R23" s="67"/>
    </row>
    <row r="24" spans="2:20" ht="17.25">
      <c r="B24" s="66"/>
      <c r="C24" s="4" t="s">
        <v>206</v>
      </c>
      <c r="D24" s="2" t="s">
        <v>77</v>
      </c>
      <c r="E24" s="2" t="s">
        <v>63</v>
      </c>
      <c r="F24" s="2" t="s">
        <v>8</v>
      </c>
      <c r="G24" s="307" t="s">
        <v>389</v>
      </c>
      <c r="H24" s="2" t="s">
        <v>421</v>
      </c>
      <c r="I24" s="309" t="s">
        <v>558</v>
      </c>
      <c r="J24" s="2" t="s">
        <v>43</v>
      </c>
      <c r="K24" s="2"/>
      <c r="L24" s="242" t="s">
        <v>253</v>
      </c>
      <c r="M24" s="242" t="s">
        <v>253</v>
      </c>
      <c r="N24" s="241" t="s">
        <v>325</v>
      </c>
      <c r="O24" s="244" t="s">
        <v>121</v>
      </c>
      <c r="P24" s="2"/>
      <c r="Q24" s="161">
        <v>16</v>
      </c>
      <c r="R24" s="67"/>
    </row>
    <row r="25" spans="2:20" ht="17.25">
      <c r="B25" s="66"/>
      <c r="C25" s="4" t="s">
        <v>232</v>
      </c>
      <c r="D25" s="2" t="s">
        <v>77</v>
      </c>
      <c r="E25" s="2" t="s">
        <v>64</v>
      </c>
      <c r="F25" s="2" t="s">
        <v>316</v>
      </c>
      <c r="G25" s="2" t="s">
        <v>426</v>
      </c>
      <c r="H25" s="2" t="s">
        <v>423</v>
      </c>
      <c r="I25" s="307" t="s">
        <v>427</v>
      </c>
      <c r="J25" s="2" t="s">
        <v>67</v>
      </c>
      <c r="K25" s="2"/>
      <c r="L25" s="242" t="s">
        <v>253</v>
      </c>
      <c r="M25" s="242" t="s">
        <v>253</v>
      </c>
      <c r="N25" s="241" t="s">
        <v>318</v>
      </c>
      <c r="O25" s="244">
        <v>2.7864956399278339E-2</v>
      </c>
      <c r="P25" s="2"/>
      <c r="Q25" s="161">
        <v>17</v>
      </c>
      <c r="R25" s="67"/>
    </row>
    <row r="26" spans="2:20" ht="17.25">
      <c r="B26" s="66"/>
      <c r="C26" s="4" t="s">
        <v>285</v>
      </c>
      <c r="D26" s="2" t="s">
        <v>77</v>
      </c>
      <c r="E26" s="2" t="s">
        <v>63</v>
      </c>
      <c r="F26" s="2" t="s">
        <v>8</v>
      </c>
      <c r="G26" s="307" t="s">
        <v>389</v>
      </c>
      <c r="H26" s="2" t="s">
        <v>421</v>
      </c>
      <c r="I26" s="309" t="s">
        <v>558</v>
      </c>
      <c r="J26" s="2" t="s">
        <v>66</v>
      </c>
      <c r="K26" s="2"/>
      <c r="L26" s="242" t="s">
        <v>253</v>
      </c>
      <c r="M26" s="242" t="s">
        <v>253</v>
      </c>
      <c r="N26" s="241" t="s">
        <v>318</v>
      </c>
      <c r="O26" s="244">
        <v>6.2621982517370271E-3</v>
      </c>
      <c r="P26" s="2"/>
      <c r="Q26" s="161">
        <v>24</v>
      </c>
      <c r="R26" s="67"/>
    </row>
    <row r="27" spans="2:20" ht="17.25">
      <c r="B27" s="66"/>
      <c r="C27" s="4" t="s">
        <v>347</v>
      </c>
      <c r="D27" s="2" t="s">
        <v>77</v>
      </c>
      <c r="E27" s="2" t="s">
        <v>63</v>
      </c>
      <c r="F27" s="2" t="s">
        <v>8</v>
      </c>
      <c r="G27" s="307" t="s">
        <v>389</v>
      </c>
      <c r="H27" s="2" t="s">
        <v>421</v>
      </c>
      <c r="I27" s="309" t="s">
        <v>558</v>
      </c>
      <c r="J27" s="2" t="s">
        <v>350</v>
      </c>
      <c r="K27" s="2"/>
      <c r="L27" s="242" t="s">
        <v>253</v>
      </c>
      <c r="M27" s="242" t="s">
        <v>353</v>
      </c>
      <c r="N27" s="241" t="s">
        <v>352</v>
      </c>
      <c r="O27" s="244">
        <v>6.2500000000000003E-3</v>
      </c>
      <c r="P27" s="2"/>
      <c r="Q27" s="161">
        <v>25</v>
      </c>
      <c r="R27" s="67"/>
      <c r="T27" s="25" t="s">
        <v>400</v>
      </c>
    </row>
    <row r="28" spans="2:20" ht="17.25">
      <c r="B28" s="66"/>
      <c r="C28" s="4" t="s">
        <v>357</v>
      </c>
      <c r="D28" s="2" t="s">
        <v>77</v>
      </c>
      <c r="E28" s="2" t="s">
        <v>61</v>
      </c>
      <c r="F28" s="2" t="s">
        <v>8</v>
      </c>
      <c r="G28" s="307" t="s">
        <v>389</v>
      </c>
      <c r="H28" s="2" t="s">
        <v>421</v>
      </c>
      <c r="I28" s="309" t="s">
        <v>558</v>
      </c>
      <c r="J28" s="2" t="s">
        <v>67</v>
      </c>
      <c r="K28" s="2"/>
      <c r="L28" s="242" t="s">
        <v>253</v>
      </c>
      <c r="M28" s="242" t="s">
        <v>253</v>
      </c>
      <c r="N28" s="241" t="s">
        <v>476</v>
      </c>
      <c r="O28" s="244">
        <f>'B. %'!F28</f>
        <v>0.11483735948644427</v>
      </c>
      <c r="P28" s="2"/>
      <c r="Q28" s="161">
        <v>26</v>
      </c>
      <c r="R28" s="67"/>
      <c r="T28" s="25" t="s">
        <v>67</v>
      </c>
    </row>
    <row r="29" spans="2:20" ht="17.25">
      <c r="B29" s="66"/>
      <c r="C29" s="4" t="s">
        <v>397</v>
      </c>
      <c r="D29" s="2" t="s">
        <v>77</v>
      </c>
      <c r="E29" s="2" t="s">
        <v>398</v>
      </c>
      <c r="F29" s="2" t="s">
        <v>399</v>
      </c>
      <c r="G29" s="307" t="s">
        <v>474</v>
      </c>
      <c r="H29" s="2" t="s">
        <v>421</v>
      </c>
      <c r="I29" s="309" t="s">
        <v>558</v>
      </c>
      <c r="J29" s="2" t="s">
        <v>400</v>
      </c>
      <c r="K29" s="2"/>
      <c r="L29" s="242" t="s">
        <v>253</v>
      </c>
      <c r="M29" s="242" t="s">
        <v>475</v>
      </c>
      <c r="N29" s="241" t="s">
        <v>325</v>
      </c>
      <c r="O29" s="244">
        <v>0.25</v>
      </c>
      <c r="P29" s="2"/>
      <c r="Q29" s="161">
        <v>27</v>
      </c>
      <c r="R29" s="67"/>
    </row>
    <row r="30" spans="2:20" ht="17.25">
      <c r="B30" s="66"/>
      <c r="C30" s="4" t="s">
        <v>537</v>
      </c>
      <c r="D30" s="2" t="s">
        <v>77</v>
      </c>
      <c r="E30" s="2" t="s">
        <v>63</v>
      </c>
      <c r="F30" s="2" t="str">
        <f>'A. All deals (a)'!F30</f>
        <v>G42 Capital</v>
      </c>
      <c r="G30" s="307" t="s">
        <v>559</v>
      </c>
      <c r="H30" s="2" t="s">
        <v>421</v>
      </c>
      <c r="I30" s="309" t="s">
        <v>558</v>
      </c>
      <c r="J30" s="2" t="s">
        <v>43</v>
      </c>
      <c r="K30" s="2"/>
      <c r="L30" s="242" t="s">
        <v>253</v>
      </c>
      <c r="M30" s="242" t="s">
        <v>253</v>
      </c>
      <c r="N30" s="241" t="s">
        <v>318</v>
      </c>
      <c r="O30" s="244" t="s">
        <v>121</v>
      </c>
      <c r="P30" s="2"/>
      <c r="Q30" s="161">
        <v>28</v>
      </c>
      <c r="R30" s="67"/>
    </row>
    <row r="31" spans="2:20" ht="17.25">
      <c r="B31" s="66"/>
      <c r="C31" s="4" t="s">
        <v>588</v>
      </c>
      <c r="D31" s="2" t="s">
        <v>77</v>
      </c>
      <c r="E31" s="2" t="s">
        <v>63</v>
      </c>
      <c r="F31" s="2" t="str">
        <f>'A. All deals (a)'!F31</f>
        <v>G42 Capital</v>
      </c>
      <c r="G31" s="307" t="s">
        <v>617</v>
      </c>
      <c r="H31" s="2" t="s">
        <v>421</v>
      </c>
      <c r="I31" s="309" t="s">
        <v>558</v>
      </c>
      <c r="J31" s="2" t="s">
        <v>589</v>
      </c>
      <c r="K31" s="2"/>
      <c r="L31" s="242" t="s">
        <v>253</v>
      </c>
      <c r="M31" s="242" t="s">
        <v>253</v>
      </c>
      <c r="N31" s="241" t="s">
        <v>592</v>
      </c>
      <c r="O31" s="244" t="s">
        <v>121</v>
      </c>
      <c r="P31" s="2"/>
      <c r="Q31" s="161"/>
      <c r="R31" s="67"/>
    </row>
    <row r="32" spans="2:20" ht="17.25">
      <c r="B32" s="66"/>
      <c r="C32" s="4" t="s">
        <v>656</v>
      </c>
      <c r="D32" s="2" t="s">
        <v>77</v>
      </c>
      <c r="E32" s="2" t="s">
        <v>63</v>
      </c>
      <c r="F32" s="2" t="str">
        <f>'A. All deals (a)'!F35</f>
        <v>G42 Capital</v>
      </c>
      <c r="G32" s="307" t="s">
        <v>661</v>
      </c>
      <c r="H32" s="2" t="s">
        <v>421</v>
      </c>
      <c r="I32" s="309" t="s">
        <v>558</v>
      </c>
      <c r="J32" s="2" t="s">
        <v>663</v>
      </c>
      <c r="K32" s="2"/>
      <c r="L32" s="242" t="s">
        <v>682</v>
      </c>
      <c r="M32" s="242" t="s">
        <v>253</v>
      </c>
      <c r="N32" s="241" t="s">
        <v>673</v>
      </c>
      <c r="O32" s="244" t="s">
        <v>681</v>
      </c>
      <c r="P32" s="2"/>
      <c r="Q32" s="161"/>
      <c r="R32" s="67"/>
    </row>
    <row r="33" spans="2:20">
      <c r="B33" s="66"/>
      <c r="C33" s="5"/>
      <c r="D33" s="7"/>
      <c r="E33" s="7"/>
      <c r="F33" s="7"/>
      <c r="G33" s="429"/>
      <c r="H33" s="7"/>
      <c r="I33" s="430"/>
      <c r="J33" s="7"/>
      <c r="K33" s="7"/>
      <c r="L33" s="431"/>
      <c r="M33" s="431"/>
      <c r="N33" s="427"/>
      <c r="O33" s="428"/>
      <c r="P33" s="7"/>
      <c r="Q33" s="160"/>
      <c r="R33" s="67"/>
    </row>
    <row r="34" spans="2:20" s="70" customFormat="1">
      <c r="B34" s="68"/>
      <c r="C34" s="83"/>
      <c r="D34" s="83"/>
      <c r="E34" s="83"/>
      <c r="F34" s="83"/>
      <c r="G34" s="83"/>
      <c r="H34" s="83"/>
      <c r="I34" s="83"/>
      <c r="J34" s="83"/>
      <c r="K34" s="83"/>
      <c r="L34" s="243"/>
      <c r="M34" s="243"/>
      <c r="N34" s="243"/>
      <c r="O34" s="245"/>
      <c r="P34" s="83"/>
      <c r="Q34" s="162"/>
      <c r="R34" s="69"/>
    </row>
    <row r="35" spans="2:20">
      <c r="B35" s="66"/>
      <c r="C35" s="5"/>
      <c r="D35" s="8"/>
      <c r="E35" s="8"/>
      <c r="F35" s="8"/>
      <c r="G35" s="8"/>
      <c r="H35" s="8"/>
      <c r="I35" s="8"/>
      <c r="J35" s="8"/>
      <c r="K35" s="8"/>
      <c r="L35" s="8"/>
      <c r="M35" s="8"/>
      <c r="N35" s="8"/>
      <c r="O35" s="246"/>
      <c r="P35" s="8"/>
      <c r="Q35" s="160"/>
      <c r="R35" s="67"/>
    </row>
    <row r="36" spans="2:20">
      <c r="B36" s="66"/>
      <c r="C36" s="422" t="s">
        <v>29</v>
      </c>
      <c r="D36" s="334"/>
      <c r="E36" s="335"/>
      <c r="F36" s="335"/>
      <c r="G36" s="335"/>
      <c r="H36" s="335"/>
      <c r="I36" s="336"/>
      <c r="J36" s="337"/>
      <c r="K36" s="338"/>
      <c r="L36" s="338"/>
      <c r="M36" s="338"/>
      <c r="N36" s="338"/>
      <c r="O36" s="338"/>
      <c r="P36" s="338"/>
      <c r="Q36" s="337"/>
      <c r="R36" s="67"/>
      <c r="T36" s="335"/>
    </row>
    <row r="37" spans="2:20" ht="17.25">
      <c r="B37" s="66"/>
      <c r="C37" s="4" t="s">
        <v>47</v>
      </c>
      <c r="D37" s="2" t="s">
        <v>127</v>
      </c>
      <c r="E37" s="2"/>
      <c r="F37" s="2" t="s">
        <v>8</v>
      </c>
      <c r="G37" s="307" t="s">
        <v>393</v>
      </c>
      <c r="H37" s="2" t="s">
        <v>421</v>
      </c>
      <c r="I37" s="307" t="s">
        <v>465</v>
      </c>
      <c r="J37" s="2" t="s">
        <v>123</v>
      </c>
      <c r="K37" s="2"/>
      <c r="L37" s="2" t="s">
        <v>121</v>
      </c>
      <c r="M37" s="2" t="s">
        <v>121</v>
      </c>
      <c r="N37" s="2" t="s">
        <v>121</v>
      </c>
      <c r="O37" s="244"/>
      <c r="P37" s="2"/>
      <c r="Q37" s="161">
        <v>16</v>
      </c>
      <c r="R37" s="67"/>
    </row>
    <row r="38" spans="2:20" ht="17.25">
      <c r="B38" s="66"/>
      <c r="C38" s="4" t="s">
        <v>208</v>
      </c>
      <c r="D38" s="2" t="s">
        <v>127</v>
      </c>
      <c r="E38" s="2" t="s">
        <v>62</v>
      </c>
      <c r="F38" s="2" t="s">
        <v>8</v>
      </c>
      <c r="G38" s="307" t="s">
        <v>389</v>
      </c>
      <c r="H38" s="2" t="s">
        <v>421</v>
      </c>
      <c r="I38" s="307" t="s">
        <v>465</v>
      </c>
      <c r="J38" s="2" t="s">
        <v>125</v>
      </c>
      <c r="K38" s="2"/>
      <c r="L38" s="242" t="s">
        <v>253</v>
      </c>
      <c r="M38" s="242" t="s">
        <v>253</v>
      </c>
      <c r="N38" s="2" t="str">
        <f>N10</f>
        <v>Cayman Islands</v>
      </c>
      <c r="O38" s="244"/>
      <c r="P38" s="2"/>
      <c r="Q38" s="161">
        <v>17</v>
      </c>
      <c r="R38" s="67"/>
    </row>
    <row r="39" spans="2:20" ht="17.25">
      <c r="B39" s="66"/>
      <c r="C39" s="4" t="s">
        <v>200</v>
      </c>
      <c r="D39" s="2" t="s">
        <v>77</v>
      </c>
      <c r="E39" s="2" t="s">
        <v>61</v>
      </c>
      <c r="F39" s="2" t="s">
        <v>8</v>
      </c>
      <c r="G39" s="307" t="s">
        <v>389</v>
      </c>
      <c r="H39" s="2" t="s">
        <v>421</v>
      </c>
      <c r="I39" s="307" t="s">
        <v>465</v>
      </c>
      <c r="J39" s="2" t="s">
        <v>125</v>
      </c>
      <c r="K39" s="2"/>
      <c r="L39" s="242" t="s">
        <v>253</v>
      </c>
      <c r="M39" s="2" t="s">
        <v>121</v>
      </c>
      <c r="N39" s="2" t="str">
        <f>N12</f>
        <v xml:space="preserve">DIFC </v>
      </c>
      <c r="O39" s="244"/>
      <c r="P39" s="2"/>
      <c r="Q39" s="161">
        <v>18</v>
      </c>
      <c r="R39" s="67"/>
    </row>
    <row r="40" spans="2:20" s="70" customFormat="1">
      <c r="B40" s="68"/>
      <c r="C40" s="83"/>
      <c r="D40" s="83"/>
      <c r="E40" s="83"/>
      <c r="F40" s="83"/>
      <c r="G40" s="83"/>
      <c r="H40" s="83"/>
      <c r="I40" s="83"/>
      <c r="J40" s="83"/>
      <c r="K40" s="83"/>
      <c r="L40" s="83"/>
      <c r="M40" s="83"/>
      <c r="N40" s="83"/>
      <c r="O40" s="245"/>
      <c r="P40" s="83"/>
      <c r="Q40" s="162"/>
      <c r="R40" s="69"/>
    </row>
    <row r="41" spans="2:20">
      <c r="B41" s="66"/>
      <c r="C41" s="5"/>
      <c r="D41" s="8"/>
      <c r="E41" s="8"/>
      <c r="F41" s="8"/>
      <c r="G41" s="8"/>
      <c r="H41" s="8"/>
      <c r="I41" s="8"/>
      <c r="J41" s="8"/>
      <c r="K41" s="8"/>
      <c r="L41" s="8"/>
      <c r="M41" s="8"/>
      <c r="N41" s="8"/>
      <c r="O41" s="246"/>
      <c r="P41" s="8"/>
      <c r="Q41" s="160"/>
      <c r="R41" s="67"/>
    </row>
    <row r="42" spans="2:20">
      <c r="B42" s="66"/>
      <c r="C42" s="422" t="s">
        <v>30</v>
      </c>
      <c r="D42" s="334"/>
      <c r="E42" s="335"/>
      <c r="F42" s="335"/>
      <c r="G42" s="335"/>
      <c r="H42" s="335"/>
      <c r="I42" s="336"/>
      <c r="J42" s="337"/>
      <c r="K42" s="338"/>
      <c r="L42" s="338"/>
      <c r="M42" s="338"/>
      <c r="N42" s="338"/>
      <c r="O42" s="338"/>
      <c r="P42" s="338"/>
      <c r="Q42" s="337"/>
      <c r="R42" s="67"/>
      <c r="T42" s="335"/>
    </row>
    <row r="43" spans="2:20" ht="17.25">
      <c r="B43" s="66"/>
      <c r="C43" s="4" t="s">
        <v>115</v>
      </c>
      <c r="D43" s="2" t="s">
        <v>77</v>
      </c>
      <c r="E43" s="2" t="s">
        <v>61</v>
      </c>
      <c r="F43" s="2" t="s">
        <v>11</v>
      </c>
      <c r="G43" s="307" t="s">
        <v>393</v>
      </c>
      <c r="H43" s="2" t="s">
        <v>421</v>
      </c>
      <c r="I43" s="307" t="s">
        <v>422</v>
      </c>
      <c r="J43" s="2" t="s">
        <v>53</v>
      </c>
      <c r="K43" s="2"/>
      <c r="L43" s="242" t="s">
        <v>253</v>
      </c>
      <c r="M43" s="242" t="s">
        <v>253</v>
      </c>
      <c r="N43" s="244" t="s">
        <v>334</v>
      </c>
      <c r="O43" s="248">
        <v>0.22044081593927894</v>
      </c>
      <c r="P43" s="2"/>
      <c r="Q43" s="161">
        <v>19</v>
      </c>
      <c r="R43" s="67"/>
    </row>
    <row r="44" spans="2:20" ht="17.25">
      <c r="B44" s="66"/>
      <c r="C44" s="4" t="s">
        <v>284</v>
      </c>
      <c r="D44" s="2" t="s">
        <v>77</v>
      </c>
      <c r="E44" s="2" t="s">
        <v>61</v>
      </c>
      <c r="F44" s="2" t="s">
        <v>11</v>
      </c>
      <c r="G44" s="307" t="s">
        <v>393</v>
      </c>
      <c r="H44" s="2" t="s">
        <v>421</v>
      </c>
      <c r="I44" s="307" t="s">
        <v>422</v>
      </c>
      <c r="J44" s="2" t="s">
        <v>59</v>
      </c>
      <c r="K44" s="2"/>
      <c r="L44" s="242" t="s">
        <v>253</v>
      </c>
      <c r="M44" s="242" t="s">
        <v>253</v>
      </c>
      <c r="N44" s="244" t="s">
        <v>334</v>
      </c>
      <c r="O44" s="248">
        <v>2.0161290322580645E-2</v>
      </c>
      <c r="P44" s="2"/>
      <c r="Q44" s="161">
        <v>20</v>
      </c>
      <c r="R44" s="67"/>
    </row>
    <row r="45" spans="2:20">
      <c r="B45" s="66"/>
      <c r="C45" s="4" t="s">
        <v>1</v>
      </c>
      <c r="D45" s="2" t="s">
        <v>77</v>
      </c>
      <c r="E45" s="2" t="s">
        <v>62</v>
      </c>
      <c r="F45" s="2" t="s">
        <v>11</v>
      </c>
      <c r="G45" s="307" t="s">
        <v>394</v>
      </c>
      <c r="H45" s="2" t="s">
        <v>423</v>
      </c>
      <c r="I45" s="307" t="s">
        <v>424</v>
      </c>
      <c r="J45" s="2" t="s">
        <v>53</v>
      </c>
      <c r="K45" s="2"/>
      <c r="L45" s="2" t="s">
        <v>121</v>
      </c>
      <c r="M45" s="242" t="s">
        <v>253</v>
      </c>
      <c r="N45" s="244" t="s">
        <v>317</v>
      </c>
      <c r="O45" s="244">
        <v>0.99499999897183333</v>
      </c>
      <c r="P45" s="2"/>
      <c r="Q45" s="161">
        <v>21</v>
      </c>
      <c r="R45" s="67"/>
    </row>
    <row r="46" spans="2:20" ht="17.25">
      <c r="B46" s="66"/>
      <c r="C46" s="4" t="s">
        <v>12</v>
      </c>
      <c r="D46" s="2" t="s">
        <v>77</v>
      </c>
      <c r="E46" s="2" t="s">
        <v>62</v>
      </c>
      <c r="F46" s="2" t="s">
        <v>11</v>
      </c>
      <c r="G46" s="307" t="s">
        <v>393</v>
      </c>
      <c r="H46" s="2" t="s">
        <v>421</v>
      </c>
      <c r="I46" s="307" t="s">
        <v>422</v>
      </c>
      <c r="J46" s="2" t="s">
        <v>53</v>
      </c>
      <c r="K46" s="2"/>
      <c r="L46" s="242" t="s">
        <v>253</v>
      </c>
      <c r="M46" s="242" t="s">
        <v>253</v>
      </c>
      <c r="N46" s="244" t="s">
        <v>317</v>
      </c>
      <c r="O46" s="244">
        <v>0.10066090487405174</v>
      </c>
      <c r="P46" s="2"/>
      <c r="Q46" s="161">
        <v>22</v>
      </c>
      <c r="R46" s="67"/>
    </row>
    <row r="47" spans="2:20" ht="17.25">
      <c r="B47" s="66"/>
      <c r="C47" s="4" t="s">
        <v>160</v>
      </c>
      <c r="D47" s="2" t="s">
        <v>77</v>
      </c>
      <c r="E47" s="2" t="s">
        <v>63</v>
      </c>
      <c r="F47" s="2" t="s">
        <v>11</v>
      </c>
      <c r="G47" s="307" t="s">
        <v>393</v>
      </c>
      <c r="H47" s="2" t="s">
        <v>421</v>
      </c>
      <c r="I47" s="307" t="s">
        <v>422</v>
      </c>
      <c r="J47" s="2" t="s">
        <v>53</v>
      </c>
      <c r="K47" s="2"/>
      <c r="L47" s="242" t="s">
        <v>253</v>
      </c>
      <c r="M47" s="242" t="s">
        <v>253</v>
      </c>
      <c r="N47" s="244" t="s">
        <v>332</v>
      </c>
      <c r="O47" s="244">
        <v>0.33333333333333331</v>
      </c>
      <c r="P47" s="2" t="s">
        <v>286</v>
      </c>
      <c r="Q47" s="161">
        <v>23</v>
      </c>
      <c r="R47" s="67"/>
    </row>
    <row r="48" spans="2:20" s="70" customFormat="1">
      <c r="B48" s="68"/>
      <c r="C48" s="83"/>
      <c r="D48" s="83"/>
      <c r="E48" s="83"/>
      <c r="F48" s="83"/>
      <c r="G48" s="83"/>
      <c r="H48" s="83"/>
      <c r="I48" s="83"/>
      <c r="J48" s="83"/>
      <c r="K48" s="83"/>
      <c r="L48" s="83"/>
      <c r="M48" s="83"/>
      <c r="N48" s="83"/>
      <c r="O48" s="245"/>
      <c r="P48" s="83"/>
      <c r="Q48" s="162"/>
      <c r="R48" s="69"/>
    </row>
    <row r="49" spans="2:18" ht="15.75" thickBot="1">
      <c r="B49" s="71"/>
      <c r="C49" s="72"/>
      <c r="D49" s="106"/>
      <c r="E49" s="106"/>
      <c r="F49" s="106"/>
      <c r="G49" s="106"/>
      <c r="H49" s="106"/>
      <c r="I49" s="106"/>
      <c r="J49" s="106"/>
      <c r="K49" s="106"/>
      <c r="L49" s="106"/>
      <c r="M49" s="106"/>
      <c r="N49" s="106"/>
      <c r="O49" s="106"/>
      <c r="P49" s="106"/>
      <c r="Q49" s="106"/>
      <c r="R49" s="75"/>
    </row>
    <row r="51" spans="2:18">
      <c r="B51" s="169" t="s">
        <v>143</v>
      </c>
      <c r="C51" s="25"/>
      <c r="D51" s="7"/>
      <c r="E51" s="7"/>
      <c r="F51" s="7"/>
      <c r="G51" s="7"/>
      <c r="H51" s="7"/>
      <c r="I51" s="7"/>
      <c r="J51" s="7"/>
      <c r="K51" s="7"/>
      <c r="L51" s="7"/>
      <c r="M51" s="7"/>
      <c r="N51" s="7"/>
      <c r="O51" s="7"/>
      <c r="P51" s="7"/>
      <c r="Q51" s="7"/>
    </row>
    <row r="52" spans="2:18">
      <c r="B52" s="168">
        <v>0</v>
      </c>
      <c r="C52" s="167" t="s">
        <v>555</v>
      </c>
      <c r="D52" s="625" t="s">
        <v>428</v>
      </c>
      <c r="E52" s="625"/>
      <c r="F52" s="625"/>
      <c r="G52" s="625"/>
      <c r="H52" s="625"/>
      <c r="I52" s="625"/>
      <c r="J52" s="625"/>
      <c r="K52" s="625"/>
      <c r="L52" s="625"/>
      <c r="M52" s="625"/>
      <c r="N52" s="625"/>
      <c r="O52" s="625"/>
      <c r="P52" s="625"/>
      <c r="Q52" s="625"/>
      <c r="R52" s="625"/>
    </row>
    <row r="53" spans="2:18">
      <c r="B53" s="164">
        <v>1</v>
      </c>
      <c r="C53" s="165" t="s">
        <v>186</v>
      </c>
      <c r="D53" s="626" t="s">
        <v>194</v>
      </c>
      <c r="E53" s="626"/>
      <c r="F53" s="626"/>
      <c r="G53" s="626"/>
      <c r="H53" s="626"/>
      <c r="I53" s="626"/>
      <c r="J53" s="626"/>
      <c r="K53" s="626"/>
      <c r="L53" s="626"/>
      <c r="M53" s="626"/>
      <c r="N53" s="626"/>
      <c r="O53" s="626"/>
      <c r="P53" s="626"/>
      <c r="Q53" s="626"/>
      <c r="R53" s="626"/>
    </row>
    <row r="54" spans="2:18">
      <c r="B54" s="168">
        <v>2</v>
      </c>
      <c r="C54" s="167" t="s">
        <v>58</v>
      </c>
      <c r="D54" s="625" t="s">
        <v>336</v>
      </c>
      <c r="E54" s="625"/>
      <c r="F54" s="625"/>
      <c r="G54" s="625"/>
      <c r="H54" s="625"/>
      <c r="I54" s="625"/>
      <c r="J54" s="625"/>
      <c r="K54" s="625"/>
      <c r="L54" s="625"/>
      <c r="M54" s="625"/>
      <c r="N54" s="625"/>
      <c r="O54" s="625"/>
      <c r="P54" s="625"/>
      <c r="Q54" s="625"/>
      <c r="R54" s="625"/>
    </row>
    <row r="55" spans="2:18" s="26" customFormat="1">
      <c r="B55" s="164">
        <v>3</v>
      </c>
      <c r="C55" s="132" t="s">
        <v>188</v>
      </c>
      <c r="D55" s="626" t="s">
        <v>193</v>
      </c>
      <c r="E55" s="626"/>
      <c r="F55" s="626"/>
      <c r="G55" s="626"/>
      <c r="H55" s="626"/>
      <c r="I55" s="626"/>
      <c r="J55" s="626"/>
      <c r="K55" s="626"/>
      <c r="L55" s="626"/>
      <c r="M55" s="626"/>
      <c r="N55" s="626"/>
      <c r="O55" s="626"/>
      <c r="P55" s="626"/>
      <c r="Q55" s="626"/>
      <c r="R55" s="626"/>
    </row>
    <row r="56" spans="2:18">
      <c r="B56" s="168">
        <v>4</v>
      </c>
      <c r="C56" s="167" t="s">
        <v>187</v>
      </c>
      <c r="D56" s="625" t="s">
        <v>26</v>
      </c>
      <c r="E56" s="625"/>
      <c r="F56" s="625"/>
      <c r="G56" s="625"/>
      <c r="H56" s="625"/>
      <c r="I56" s="625"/>
      <c r="J56" s="625"/>
      <c r="K56" s="625"/>
      <c r="L56" s="625"/>
      <c r="M56" s="625"/>
      <c r="N56" s="625"/>
      <c r="O56" s="625"/>
      <c r="P56" s="625"/>
      <c r="Q56" s="625"/>
      <c r="R56" s="625"/>
    </row>
    <row r="57" spans="2:18">
      <c r="B57" s="164">
        <v>5</v>
      </c>
      <c r="C57" s="132" t="s">
        <v>37</v>
      </c>
      <c r="D57" s="626" t="s">
        <v>197</v>
      </c>
      <c r="E57" s="626"/>
      <c r="F57" s="626"/>
      <c r="G57" s="626"/>
      <c r="H57" s="626"/>
      <c r="I57" s="626"/>
      <c r="J57" s="626"/>
      <c r="K57" s="626"/>
      <c r="L57" s="626"/>
      <c r="M57" s="626"/>
      <c r="N57" s="626"/>
      <c r="O57" s="626"/>
      <c r="P57" s="626"/>
      <c r="Q57" s="626"/>
      <c r="R57" s="626"/>
    </row>
    <row r="58" spans="2:18">
      <c r="B58" s="168">
        <v>6</v>
      </c>
      <c r="C58" s="167" t="s">
        <v>85</v>
      </c>
      <c r="D58" s="625" t="s">
        <v>299</v>
      </c>
      <c r="E58" s="625"/>
      <c r="F58" s="625"/>
      <c r="G58" s="625"/>
      <c r="H58" s="625"/>
      <c r="I58" s="625"/>
      <c r="J58" s="625"/>
      <c r="K58" s="625"/>
      <c r="L58" s="625"/>
      <c r="M58" s="625"/>
      <c r="N58" s="625"/>
      <c r="O58" s="625"/>
      <c r="P58" s="625"/>
      <c r="Q58" s="625"/>
      <c r="R58" s="625"/>
    </row>
    <row r="59" spans="2:18">
      <c r="B59" s="164">
        <v>7</v>
      </c>
      <c r="C59" s="132" t="s">
        <v>9</v>
      </c>
      <c r="D59" s="626" t="s">
        <v>195</v>
      </c>
      <c r="E59" s="626"/>
      <c r="F59" s="626"/>
      <c r="G59" s="626"/>
      <c r="H59" s="626"/>
      <c r="I59" s="626"/>
      <c r="J59" s="626"/>
      <c r="K59" s="626"/>
      <c r="L59" s="626"/>
      <c r="M59" s="626"/>
      <c r="N59" s="626"/>
      <c r="O59" s="626"/>
      <c r="P59" s="626"/>
      <c r="Q59" s="626"/>
      <c r="R59" s="626"/>
    </row>
    <row r="60" spans="2:18">
      <c r="B60" s="168">
        <v>8</v>
      </c>
      <c r="C60" s="167" t="s">
        <v>18</v>
      </c>
      <c r="D60" s="625" t="s">
        <v>192</v>
      </c>
      <c r="E60" s="625"/>
      <c r="F60" s="625"/>
      <c r="G60" s="625"/>
      <c r="H60" s="625"/>
      <c r="I60" s="625"/>
      <c r="J60" s="625"/>
      <c r="K60" s="625"/>
      <c r="L60" s="625"/>
      <c r="M60" s="625"/>
      <c r="N60" s="625"/>
      <c r="O60" s="625"/>
      <c r="P60" s="625"/>
      <c r="Q60" s="625"/>
      <c r="R60" s="625"/>
    </row>
    <row r="61" spans="2:18">
      <c r="B61" s="164">
        <v>9</v>
      </c>
      <c r="C61" s="132" t="s">
        <v>40</v>
      </c>
      <c r="D61" s="626" t="s">
        <v>198</v>
      </c>
      <c r="E61" s="626"/>
      <c r="F61" s="626"/>
      <c r="G61" s="626"/>
      <c r="H61" s="626"/>
      <c r="I61" s="626"/>
      <c r="J61" s="626"/>
      <c r="K61" s="626"/>
      <c r="L61" s="626"/>
      <c r="M61" s="626"/>
      <c r="N61" s="626"/>
      <c r="O61" s="626"/>
      <c r="P61" s="626"/>
      <c r="Q61" s="626"/>
      <c r="R61" s="626"/>
    </row>
    <row r="62" spans="2:18">
      <c r="B62" s="168">
        <v>10</v>
      </c>
      <c r="C62" s="167" t="s">
        <v>41</v>
      </c>
      <c r="D62" s="625"/>
      <c r="E62" s="625"/>
      <c r="F62" s="625"/>
      <c r="G62" s="625"/>
      <c r="H62" s="625"/>
      <c r="I62" s="625"/>
      <c r="J62" s="625"/>
      <c r="K62" s="625"/>
      <c r="L62" s="625"/>
      <c r="M62" s="625"/>
      <c r="N62" s="625"/>
      <c r="O62" s="625"/>
      <c r="P62" s="625"/>
      <c r="Q62" s="625"/>
      <c r="R62" s="625"/>
    </row>
    <row r="63" spans="2:18">
      <c r="B63" s="164">
        <v>11</v>
      </c>
      <c r="C63" s="132" t="s">
        <v>42</v>
      </c>
      <c r="D63" s="626" t="s">
        <v>354</v>
      </c>
      <c r="E63" s="626"/>
      <c r="F63" s="626"/>
      <c r="G63" s="626"/>
      <c r="H63" s="626"/>
      <c r="I63" s="626"/>
      <c r="J63" s="626"/>
      <c r="K63" s="626"/>
      <c r="L63" s="626"/>
      <c r="M63" s="626"/>
      <c r="N63" s="626"/>
      <c r="O63" s="626"/>
      <c r="P63" s="626"/>
      <c r="Q63" s="626"/>
      <c r="R63" s="626"/>
    </row>
    <row r="64" spans="2:18">
      <c r="B64" s="168">
        <v>12</v>
      </c>
      <c r="C64" s="167" t="s">
        <v>69</v>
      </c>
      <c r="D64" s="625" t="s">
        <v>191</v>
      </c>
      <c r="E64" s="625"/>
      <c r="F64" s="625"/>
      <c r="G64" s="625"/>
      <c r="H64" s="625"/>
      <c r="I64" s="625"/>
      <c r="J64" s="625"/>
      <c r="K64" s="625"/>
      <c r="L64" s="625"/>
      <c r="M64" s="625"/>
      <c r="N64" s="625"/>
      <c r="O64" s="625"/>
      <c r="P64" s="625"/>
      <c r="Q64" s="625"/>
      <c r="R64" s="625"/>
    </row>
    <row r="65" spans="2:18">
      <c r="B65" s="164">
        <v>13</v>
      </c>
      <c r="C65" s="132" t="s">
        <v>184</v>
      </c>
      <c r="D65" s="626" t="s">
        <v>196</v>
      </c>
      <c r="E65" s="626"/>
      <c r="F65" s="626"/>
      <c r="G65" s="626"/>
      <c r="H65" s="626"/>
      <c r="I65" s="626"/>
      <c r="J65" s="626"/>
      <c r="K65" s="626"/>
      <c r="L65" s="626"/>
      <c r="M65" s="626"/>
      <c r="N65" s="626"/>
      <c r="O65" s="626"/>
      <c r="P65" s="626"/>
      <c r="Q65" s="626"/>
      <c r="R65" s="626"/>
    </row>
    <row r="66" spans="2:18">
      <c r="B66" s="168">
        <v>14</v>
      </c>
      <c r="C66" s="166" t="s">
        <v>178</v>
      </c>
      <c r="D66" s="625" t="s">
        <v>337</v>
      </c>
      <c r="E66" s="625"/>
      <c r="F66" s="625"/>
      <c r="G66" s="625"/>
      <c r="H66" s="625"/>
      <c r="I66" s="625"/>
      <c r="J66" s="625"/>
      <c r="K66" s="625"/>
      <c r="L66" s="625"/>
      <c r="M66" s="625"/>
      <c r="N66" s="625"/>
      <c r="O66" s="625"/>
      <c r="P66" s="625"/>
      <c r="Q66" s="625"/>
      <c r="R66" s="625"/>
    </row>
    <row r="67" spans="2:18">
      <c r="B67" s="164">
        <v>15</v>
      </c>
      <c r="C67" s="132" t="s">
        <v>185</v>
      </c>
      <c r="D67" s="626" t="s">
        <v>255</v>
      </c>
      <c r="E67" s="626"/>
      <c r="F67" s="626"/>
      <c r="G67" s="626"/>
      <c r="H67" s="626"/>
      <c r="I67" s="626"/>
      <c r="J67" s="626"/>
      <c r="K67" s="626"/>
      <c r="L67" s="626"/>
      <c r="M67" s="626"/>
      <c r="N67" s="626"/>
      <c r="O67" s="626"/>
      <c r="P67" s="626"/>
      <c r="Q67" s="626"/>
      <c r="R67" s="626"/>
    </row>
    <row r="68" spans="2:18">
      <c r="B68" s="168">
        <v>16</v>
      </c>
      <c r="C68" s="167" t="s">
        <v>190</v>
      </c>
      <c r="D68" s="625" t="s">
        <v>202</v>
      </c>
      <c r="E68" s="625"/>
      <c r="F68" s="625"/>
      <c r="G68" s="625"/>
      <c r="H68" s="625"/>
      <c r="I68" s="625"/>
      <c r="J68" s="625"/>
      <c r="K68" s="625"/>
      <c r="L68" s="625"/>
      <c r="M68" s="625"/>
      <c r="N68" s="625"/>
      <c r="O68" s="625"/>
      <c r="P68" s="625"/>
      <c r="Q68" s="625"/>
      <c r="R68" s="625"/>
    </row>
    <row r="69" spans="2:18">
      <c r="B69" s="164">
        <v>17</v>
      </c>
      <c r="C69" s="132" t="s">
        <v>199</v>
      </c>
      <c r="D69" s="626" t="s">
        <v>477</v>
      </c>
      <c r="E69" s="626"/>
      <c r="F69" s="626"/>
      <c r="G69" s="626"/>
      <c r="H69" s="626"/>
      <c r="I69" s="626"/>
      <c r="J69" s="626"/>
      <c r="K69" s="626"/>
      <c r="L69" s="626"/>
      <c r="M69" s="626"/>
      <c r="N69" s="626"/>
      <c r="O69" s="626"/>
      <c r="P69" s="626"/>
      <c r="Q69" s="626"/>
      <c r="R69" s="626"/>
    </row>
    <row r="70" spans="2:18">
      <c r="B70" s="168">
        <v>18</v>
      </c>
      <c r="C70" s="167" t="s">
        <v>200</v>
      </c>
      <c r="D70" s="625" t="s">
        <v>203</v>
      </c>
      <c r="E70" s="625"/>
      <c r="F70" s="625"/>
      <c r="G70" s="625"/>
      <c r="H70" s="625"/>
      <c r="I70" s="625"/>
      <c r="J70" s="625"/>
      <c r="K70" s="625"/>
      <c r="L70" s="625"/>
      <c r="M70" s="625"/>
      <c r="N70" s="625"/>
      <c r="O70" s="625"/>
      <c r="P70" s="625"/>
      <c r="Q70" s="625"/>
      <c r="R70" s="625"/>
    </row>
    <row r="71" spans="2:18">
      <c r="B71" s="164">
        <v>19</v>
      </c>
      <c r="C71" s="132" t="s">
        <v>115</v>
      </c>
      <c r="D71" s="626" t="s">
        <v>340</v>
      </c>
      <c r="E71" s="626"/>
      <c r="F71" s="626"/>
      <c r="G71" s="626"/>
      <c r="H71" s="626"/>
      <c r="I71" s="626"/>
      <c r="J71" s="626"/>
      <c r="K71" s="626"/>
      <c r="L71" s="626"/>
      <c r="M71" s="626"/>
      <c r="N71" s="626"/>
      <c r="O71" s="626"/>
      <c r="P71" s="626"/>
      <c r="Q71" s="626"/>
      <c r="R71" s="626"/>
    </row>
    <row r="72" spans="2:18">
      <c r="B72" s="168">
        <v>20</v>
      </c>
      <c r="C72" s="167" t="s">
        <v>99</v>
      </c>
      <c r="D72" s="625" t="s">
        <v>201</v>
      </c>
      <c r="E72" s="625"/>
      <c r="F72" s="625"/>
      <c r="G72" s="625"/>
      <c r="H72" s="625"/>
      <c r="I72" s="625"/>
      <c r="J72" s="625"/>
      <c r="K72" s="625"/>
      <c r="L72" s="625"/>
      <c r="M72" s="625"/>
      <c r="N72" s="625"/>
      <c r="O72" s="625"/>
      <c r="P72" s="625"/>
      <c r="Q72" s="625"/>
      <c r="R72" s="625"/>
    </row>
    <row r="73" spans="2:18">
      <c r="B73" s="164">
        <v>21</v>
      </c>
      <c r="C73" s="132" t="s">
        <v>179</v>
      </c>
      <c r="D73" s="626" t="s">
        <v>180</v>
      </c>
      <c r="E73" s="626"/>
      <c r="F73" s="626"/>
      <c r="G73" s="626"/>
      <c r="H73" s="626"/>
      <c r="I73" s="626"/>
      <c r="J73" s="626"/>
      <c r="K73" s="626"/>
      <c r="L73" s="626"/>
      <c r="M73" s="626"/>
      <c r="N73" s="626"/>
      <c r="O73" s="626"/>
      <c r="P73" s="626"/>
      <c r="Q73" s="626"/>
      <c r="R73" s="626"/>
    </row>
    <row r="74" spans="2:18">
      <c r="B74" s="168">
        <v>22</v>
      </c>
      <c r="C74" s="167" t="s">
        <v>181</v>
      </c>
      <c r="D74" s="625" t="s">
        <v>182</v>
      </c>
      <c r="E74" s="625"/>
      <c r="F74" s="625"/>
      <c r="G74" s="625"/>
      <c r="H74" s="625"/>
      <c r="I74" s="625"/>
      <c r="J74" s="625"/>
      <c r="K74" s="625"/>
      <c r="L74" s="625"/>
      <c r="M74" s="625"/>
      <c r="N74" s="625"/>
      <c r="O74" s="625"/>
      <c r="P74" s="625"/>
      <c r="Q74" s="625"/>
      <c r="R74" s="625"/>
    </row>
    <row r="75" spans="2:18">
      <c r="B75" s="164">
        <v>23</v>
      </c>
      <c r="C75" s="132" t="s">
        <v>183</v>
      </c>
      <c r="D75" s="626"/>
      <c r="E75" s="626"/>
      <c r="F75" s="626"/>
      <c r="G75" s="626"/>
      <c r="H75" s="626"/>
      <c r="I75" s="626"/>
      <c r="J75" s="626"/>
      <c r="K75" s="626"/>
      <c r="L75" s="626"/>
      <c r="M75" s="626"/>
      <c r="N75" s="626"/>
      <c r="O75" s="626"/>
      <c r="P75" s="626"/>
      <c r="Q75" s="626"/>
      <c r="R75" s="626"/>
    </row>
    <row r="76" spans="2:18">
      <c r="B76" s="168">
        <v>24</v>
      </c>
      <c r="C76" s="167" t="s">
        <v>285</v>
      </c>
      <c r="D76" s="625" t="s">
        <v>335</v>
      </c>
      <c r="E76" s="625"/>
      <c r="F76" s="625"/>
      <c r="G76" s="625"/>
      <c r="H76" s="625"/>
      <c r="I76" s="625"/>
      <c r="J76" s="625"/>
      <c r="K76" s="625"/>
      <c r="L76" s="625"/>
      <c r="M76" s="625"/>
      <c r="N76" s="625"/>
      <c r="O76" s="625"/>
      <c r="P76" s="625"/>
      <c r="Q76" s="625"/>
      <c r="R76" s="625"/>
    </row>
    <row r="77" spans="2:18">
      <c r="B77" s="164">
        <v>25</v>
      </c>
      <c r="C77" s="132" t="s">
        <v>347</v>
      </c>
      <c r="D77" s="626" t="s">
        <v>355</v>
      </c>
      <c r="E77" s="626"/>
      <c r="F77" s="626"/>
      <c r="G77" s="626"/>
      <c r="H77" s="626"/>
      <c r="I77" s="626"/>
      <c r="J77" s="626"/>
      <c r="K77" s="626"/>
      <c r="L77" s="626"/>
      <c r="M77" s="626"/>
      <c r="N77" s="626"/>
      <c r="O77" s="626"/>
      <c r="P77" s="626"/>
      <c r="Q77" s="626"/>
      <c r="R77" s="626"/>
    </row>
    <row r="78" spans="2:18">
      <c r="B78" s="168">
        <v>26</v>
      </c>
      <c r="C78" s="167" t="s">
        <v>357</v>
      </c>
      <c r="D78" s="308"/>
      <c r="E78" s="308"/>
      <c r="F78" s="308"/>
      <c r="G78" s="308"/>
      <c r="H78" s="308"/>
      <c r="I78" s="308"/>
      <c r="J78" s="308"/>
      <c r="K78" s="308"/>
      <c r="L78" s="308"/>
      <c r="M78" s="308"/>
      <c r="N78" s="308"/>
      <c r="O78" s="308"/>
      <c r="P78" s="308"/>
      <c r="Q78" s="308"/>
      <c r="R78" s="308"/>
    </row>
    <row r="79" spans="2:18">
      <c r="B79" s="164">
        <v>27</v>
      </c>
      <c r="C79" s="132" t="s">
        <v>397</v>
      </c>
      <c r="D79" s="626" t="s">
        <v>557</v>
      </c>
      <c r="E79" s="626"/>
      <c r="F79" s="626"/>
      <c r="G79" s="626"/>
      <c r="H79" s="626"/>
      <c r="I79" s="626"/>
      <c r="J79" s="626"/>
      <c r="K79" s="626"/>
      <c r="L79" s="626"/>
      <c r="M79" s="626"/>
      <c r="N79" s="626"/>
      <c r="O79" s="626"/>
      <c r="P79" s="626"/>
      <c r="Q79" s="626"/>
      <c r="R79" s="626"/>
    </row>
    <row r="80" spans="2:18">
      <c r="B80" s="168">
        <v>28</v>
      </c>
      <c r="C80" s="167" t="s">
        <v>537</v>
      </c>
      <c r="D80" s="625" t="s">
        <v>556</v>
      </c>
      <c r="E80" s="625"/>
      <c r="F80" s="625"/>
      <c r="G80" s="625"/>
      <c r="H80" s="625"/>
      <c r="I80" s="625"/>
      <c r="J80" s="625"/>
      <c r="K80" s="625"/>
      <c r="L80" s="625"/>
      <c r="M80" s="625"/>
      <c r="N80" s="625"/>
      <c r="O80" s="625"/>
      <c r="P80" s="625"/>
      <c r="Q80" s="625"/>
      <c r="R80" s="625"/>
    </row>
    <row r="81" spans="2:22">
      <c r="B81" s="134"/>
    </row>
    <row r="82" spans="2:22">
      <c r="C82" s="151" t="s">
        <v>142</v>
      </c>
      <c r="D82" s="94"/>
      <c r="E82" s="95"/>
      <c r="F82" s="96"/>
      <c r="G82" s="96"/>
      <c r="H82" s="96"/>
      <c r="I82" s="96"/>
      <c r="J82" s="96"/>
      <c r="K82" s="96"/>
      <c r="L82" s="96"/>
      <c r="M82" s="96"/>
      <c r="N82" s="96"/>
      <c r="O82" s="96"/>
      <c r="P82" s="96"/>
      <c r="Q82" s="96"/>
      <c r="R82" s="96"/>
      <c r="S82" s="15"/>
      <c r="T82" s="23"/>
      <c r="U82" s="7"/>
      <c r="V82" s="26"/>
    </row>
    <row r="83" spans="2:22">
      <c r="C83" s="57" t="s">
        <v>171</v>
      </c>
      <c r="N83" s="152"/>
      <c r="Q83" s="80"/>
      <c r="R83" s="80"/>
      <c r="S83" s="26"/>
      <c r="T83" s="26"/>
      <c r="U83" s="26"/>
      <c r="V83" s="26"/>
    </row>
    <row r="84" spans="2:22">
      <c r="C84" s="56" t="s">
        <v>172</v>
      </c>
      <c r="Q84" s="80"/>
      <c r="R84" s="80"/>
      <c r="S84" s="26"/>
      <c r="T84" s="26"/>
      <c r="U84" s="26"/>
      <c r="V84" s="26"/>
    </row>
    <row r="85" spans="2:22">
      <c r="C85" s="56" t="s">
        <v>174</v>
      </c>
      <c r="Q85" s="80"/>
      <c r="R85" s="80"/>
      <c r="S85" s="26"/>
      <c r="T85" s="221"/>
      <c r="U85" s="221"/>
      <c r="V85" s="26"/>
    </row>
    <row r="86" spans="2:22">
      <c r="C86" s="56" t="s">
        <v>289</v>
      </c>
      <c r="Q86" s="80"/>
      <c r="R86" s="80"/>
      <c r="S86" s="26"/>
      <c r="T86" s="221"/>
      <c r="U86" s="26"/>
      <c r="V86" s="26"/>
    </row>
    <row r="87" spans="2:22">
      <c r="C87" s="57" t="s">
        <v>287</v>
      </c>
      <c r="Q87" s="80"/>
      <c r="R87" s="80"/>
      <c r="S87" s="26"/>
      <c r="T87" s="26"/>
      <c r="U87" s="26"/>
      <c r="V87" s="26"/>
    </row>
    <row r="89" spans="2:22">
      <c r="C89" s="151" t="s">
        <v>338</v>
      </c>
      <c r="D89" s="94"/>
      <c r="E89" s="95"/>
      <c r="F89" s="96"/>
      <c r="G89" s="96"/>
      <c r="H89" s="96"/>
      <c r="I89" s="96"/>
      <c r="J89" s="96"/>
      <c r="K89" s="96"/>
      <c r="L89" s="95"/>
      <c r="M89" s="96"/>
      <c r="N89" s="96"/>
      <c r="O89" s="96"/>
      <c r="P89" s="96"/>
      <c r="Q89" s="96"/>
      <c r="R89" s="96"/>
      <c r="S89" s="26"/>
      <c r="T89" s="26"/>
      <c r="U89" s="26"/>
      <c r="V89" s="26"/>
    </row>
    <row r="90" spans="2:22">
      <c r="C90" s="13" t="s">
        <v>238</v>
      </c>
      <c r="Q90" s="80"/>
      <c r="R90" s="80"/>
      <c r="S90" s="26"/>
      <c r="T90" s="26"/>
      <c r="U90" s="26"/>
      <c r="V90" s="26"/>
    </row>
    <row r="91" spans="2:22">
      <c r="C91" s="13" t="s">
        <v>239</v>
      </c>
      <c r="Q91" s="80"/>
      <c r="R91" s="80"/>
      <c r="S91" s="26"/>
      <c r="T91" s="26"/>
      <c r="U91" s="26"/>
      <c r="V91" s="26"/>
    </row>
    <row r="92" spans="2:22">
      <c r="C92" s="56" t="s">
        <v>339</v>
      </c>
      <c r="Q92" s="80"/>
      <c r="R92" s="80"/>
      <c r="S92" s="26"/>
      <c r="T92" s="26"/>
      <c r="U92" s="26"/>
      <c r="V92" s="26"/>
    </row>
    <row r="93" spans="2:22">
      <c r="C93" s="57" t="s">
        <v>312</v>
      </c>
      <c r="Q93" s="80"/>
      <c r="R93" s="80"/>
      <c r="S93" s="26"/>
      <c r="T93" s="26"/>
      <c r="U93" s="26"/>
      <c r="V93" s="26"/>
    </row>
    <row r="94" spans="2:22">
      <c r="C94" s="57" t="s">
        <v>309</v>
      </c>
      <c r="Q94" s="80"/>
      <c r="R94" s="80"/>
      <c r="S94" s="26"/>
      <c r="T94" s="26"/>
      <c r="U94" s="26"/>
      <c r="V94" s="26"/>
    </row>
    <row r="95" spans="2:22">
      <c r="C95" s="57" t="s">
        <v>311</v>
      </c>
      <c r="R95" s="26"/>
      <c r="S95" s="26"/>
      <c r="T95" s="26"/>
      <c r="U95" s="26"/>
      <c r="V95" s="26"/>
    </row>
    <row r="96" spans="2:22">
      <c r="C96" s="57" t="s">
        <v>310</v>
      </c>
    </row>
    <row r="99" spans="3:18">
      <c r="C99" s="312" t="s">
        <v>464</v>
      </c>
      <c r="D99" s="311"/>
      <c r="E99" s="311"/>
      <c r="F99" s="311"/>
      <c r="G99" s="311"/>
      <c r="H99" s="311"/>
      <c r="I99" s="311"/>
      <c r="J99" s="311"/>
      <c r="K99" s="311"/>
      <c r="L99" s="311"/>
      <c r="M99" s="311"/>
      <c r="N99" s="311"/>
      <c r="O99" s="311"/>
      <c r="P99" s="311"/>
      <c r="Q99" s="311"/>
      <c r="R99" s="310"/>
    </row>
    <row r="100" spans="3:18">
      <c r="C100" s="57" t="s">
        <v>463</v>
      </c>
    </row>
    <row r="101" spans="3:18">
      <c r="C101" s="57" t="s">
        <v>462</v>
      </c>
    </row>
  </sheetData>
  <mergeCells count="28">
    <mergeCell ref="D67:R67"/>
    <mergeCell ref="D58:R58"/>
    <mergeCell ref="D59:R59"/>
    <mergeCell ref="D60:R60"/>
    <mergeCell ref="D61:R61"/>
    <mergeCell ref="D62:R62"/>
    <mergeCell ref="D63:R63"/>
    <mergeCell ref="D56:R56"/>
    <mergeCell ref="D57:R57"/>
    <mergeCell ref="D64:R64"/>
    <mergeCell ref="D65:R65"/>
    <mergeCell ref="D66:R66"/>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&amp;L&amp;"Calibri"&amp;7&amp;KFF0000  &amp;1#_x000D_</oddHeader>
    <oddFooter xml:space="preserve">&amp;L_x000D_&amp;1#&amp;"Calibri"&amp;7&amp;KFF0000 RESTRICTED </oddFooter>
  </headerFooter>
  <colBreaks count="1" manualBreakCount="1">
    <brk id="19" max="1048575" man="1"/>
  </colBreaks>
  <legacyDrawing r:id="rId5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J1841"/>
  <sheetViews>
    <sheetView workbookViewId="0">
      <pane ySplit="7" topLeftCell="A8" activePane="bottomLeft" state="frozen"/>
      <selection activeCell="F8" sqref="F8"/>
      <selection pane="bottomLeft" activeCell="F8" sqref="F8"/>
    </sheetView>
  </sheetViews>
  <sheetFormatPr defaultColWidth="12.5703125" defaultRowHeight="15" customHeight="1"/>
  <cols>
    <col min="1" max="1" width="32.5703125" style="465" customWidth="1"/>
    <col min="2" max="2" width="15.85546875" style="465" customWidth="1"/>
    <col min="3" max="3" width="4.42578125" style="465" customWidth="1"/>
    <col min="4" max="4" width="11.85546875" style="465" customWidth="1"/>
    <col min="5" max="5" width="11.5703125" style="465" hidden="1" customWidth="1"/>
    <col min="6" max="6" width="13.42578125" style="465" customWidth="1"/>
    <col min="7" max="7" width="14.28515625" style="465" customWidth="1"/>
    <col min="8" max="8" width="13.42578125" style="465" hidden="1" customWidth="1"/>
    <col min="9" max="9" width="12.5703125" style="465"/>
    <col min="10" max="10" width="104.42578125" style="465" customWidth="1"/>
    <col min="11" max="16384" width="12.5703125" style="465"/>
  </cols>
  <sheetData>
    <row r="1" spans="1:10" ht="15.75" customHeight="1">
      <c r="A1" s="627" t="s">
        <v>649</v>
      </c>
      <c r="B1" s="628"/>
      <c r="C1" s="628"/>
      <c r="D1" s="628"/>
      <c r="E1" s="628"/>
      <c r="F1" s="628"/>
      <c r="G1" s="466"/>
      <c r="H1" s="466"/>
      <c r="I1" s="466"/>
      <c r="J1" s="467"/>
    </row>
    <row r="2" spans="1:10" ht="15.75" customHeight="1">
      <c r="A2" s="464"/>
      <c r="B2" s="467"/>
      <c r="C2" s="467"/>
      <c r="D2" s="467"/>
      <c r="E2" s="466"/>
      <c r="F2" s="466"/>
      <c r="G2" s="466"/>
      <c r="H2" s="466"/>
      <c r="I2" s="466"/>
      <c r="J2" s="467"/>
    </row>
    <row r="3" spans="1:10" ht="15.75" customHeight="1">
      <c r="A3" s="468" t="s">
        <v>648</v>
      </c>
      <c r="B3" s="629" t="s">
        <v>539</v>
      </c>
      <c r="C3" s="630"/>
      <c r="D3" s="630"/>
      <c r="E3" s="630"/>
      <c r="F3" s="631"/>
      <c r="G3" s="466"/>
      <c r="H3" s="466"/>
      <c r="I3" s="466"/>
      <c r="J3" s="467"/>
    </row>
    <row r="4" spans="1:10" ht="15.75" customHeight="1">
      <c r="A4" s="469" t="s">
        <v>647</v>
      </c>
      <c r="B4" s="632" t="s">
        <v>646</v>
      </c>
      <c r="C4" s="628"/>
      <c r="D4" s="628"/>
      <c r="E4" s="628"/>
      <c r="F4" s="633"/>
      <c r="G4" s="466"/>
      <c r="H4" s="466"/>
      <c r="I4" s="466"/>
      <c r="J4" s="467"/>
    </row>
    <row r="5" spans="1:10" ht="15.75" customHeight="1">
      <c r="A5" s="470" t="s">
        <v>645</v>
      </c>
      <c r="B5" s="634" t="s">
        <v>539</v>
      </c>
      <c r="C5" s="635"/>
      <c r="D5" s="635"/>
      <c r="E5" s="635"/>
      <c r="F5" s="636"/>
      <c r="G5" s="466"/>
      <c r="H5" s="466"/>
      <c r="I5" s="466"/>
      <c r="J5" s="467"/>
    </row>
    <row r="6" spans="1:10" ht="15.75" customHeight="1">
      <c r="A6" s="471"/>
      <c r="B6" s="467"/>
      <c r="C6" s="467"/>
      <c r="D6" s="467"/>
      <c r="E6" s="466"/>
      <c r="F6" s="466"/>
      <c r="G6" s="466"/>
      <c r="H6" s="466"/>
      <c r="I6" s="466"/>
      <c r="J6" s="467"/>
    </row>
    <row r="7" spans="1:10" ht="15.75" customHeight="1">
      <c r="A7" s="472"/>
      <c r="B7" s="467"/>
      <c r="C7" s="467"/>
      <c r="D7" s="473" t="s">
        <v>413</v>
      </c>
      <c r="E7" s="474" t="s">
        <v>644</v>
      </c>
      <c r="F7" s="474" t="s">
        <v>643</v>
      </c>
      <c r="G7" s="474" t="s">
        <v>642</v>
      </c>
      <c r="H7" s="474" t="s">
        <v>641</v>
      </c>
      <c r="I7" s="474" t="s">
        <v>640</v>
      </c>
      <c r="J7" s="467"/>
    </row>
    <row r="8" spans="1:10" ht="15.75" customHeight="1">
      <c r="A8" s="475" t="s">
        <v>639</v>
      </c>
      <c r="B8" s="476"/>
      <c r="C8" s="467"/>
      <c r="D8" s="497">
        <v>45497</v>
      </c>
      <c r="E8" s="466" t="s">
        <v>624</v>
      </c>
      <c r="F8" s="466">
        <v>46205.919999999998</v>
      </c>
      <c r="G8" s="478">
        <v>46205.919999999998</v>
      </c>
      <c r="H8" s="466">
        <v>46205.919999999998</v>
      </c>
      <c r="I8" s="479">
        <v>0</v>
      </c>
      <c r="J8" s="467"/>
    </row>
    <row r="9" spans="1:10" ht="15.75" customHeight="1">
      <c r="A9" s="480" t="s">
        <v>638</v>
      </c>
      <c r="B9" s="481">
        <v>62500000</v>
      </c>
      <c r="C9" s="467"/>
      <c r="D9" s="497">
        <v>45498</v>
      </c>
      <c r="E9" s="466" t="s">
        <v>623</v>
      </c>
      <c r="F9" s="466">
        <v>92411.839999999997</v>
      </c>
      <c r="G9" s="478">
        <v>46205.919999999998</v>
      </c>
      <c r="H9" s="466">
        <v>0</v>
      </c>
      <c r="I9" s="479">
        <v>0</v>
      </c>
      <c r="J9" s="467"/>
    </row>
    <row r="10" spans="1:10" ht="15.75" customHeight="1">
      <c r="A10" s="480" t="s">
        <v>637</v>
      </c>
      <c r="B10" s="482">
        <v>45131</v>
      </c>
      <c r="C10" s="467"/>
      <c r="D10" s="497">
        <v>45499</v>
      </c>
      <c r="E10" s="466" t="s">
        <v>622</v>
      </c>
      <c r="F10" s="466">
        <v>138617.76</v>
      </c>
      <c r="G10" s="478">
        <v>46205.920000000013</v>
      </c>
      <c r="H10" s="466">
        <v>0</v>
      </c>
      <c r="I10" s="479">
        <v>0</v>
      </c>
      <c r="J10" s="467"/>
    </row>
    <row r="11" spans="1:10" ht="15.75" customHeight="1">
      <c r="A11" s="480" t="s">
        <v>636</v>
      </c>
      <c r="B11" s="481">
        <v>62500000</v>
      </c>
      <c r="C11" s="467"/>
      <c r="D11" s="497">
        <v>45500</v>
      </c>
      <c r="E11" s="466" t="s">
        <v>621</v>
      </c>
      <c r="F11" s="466">
        <v>184823.67999999999</v>
      </c>
      <c r="G11" s="478">
        <v>46205.919999999984</v>
      </c>
      <c r="H11" s="466">
        <v>0</v>
      </c>
      <c r="I11" s="479">
        <v>0</v>
      </c>
      <c r="J11" s="467"/>
    </row>
    <row r="12" spans="1:10" ht="15.75" customHeight="1">
      <c r="A12" s="480" t="s">
        <v>635</v>
      </c>
      <c r="B12" s="483">
        <v>1</v>
      </c>
      <c r="C12" s="467"/>
      <c r="D12" s="497">
        <v>45501</v>
      </c>
      <c r="E12" s="466" t="s">
        <v>620</v>
      </c>
      <c r="F12" s="466">
        <v>231029.6</v>
      </c>
      <c r="G12" s="478">
        <v>46205.920000000013</v>
      </c>
      <c r="H12" s="466">
        <v>0</v>
      </c>
      <c r="I12" s="479">
        <v>0</v>
      </c>
      <c r="J12" s="467"/>
    </row>
    <row r="13" spans="1:10" ht="15.75" customHeight="1">
      <c r="A13" s="480" t="s">
        <v>634</v>
      </c>
      <c r="B13" s="484" t="s">
        <v>633</v>
      </c>
      <c r="C13" s="467"/>
      <c r="D13" s="497">
        <v>45502</v>
      </c>
      <c r="E13" s="466" t="s">
        <v>619</v>
      </c>
      <c r="F13" s="466">
        <v>277235.52</v>
      </c>
      <c r="G13" s="478">
        <v>46205.920000000013</v>
      </c>
      <c r="H13" s="466">
        <v>0</v>
      </c>
      <c r="I13" s="479">
        <v>0</v>
      </c>
      <c r="J13" s="467"/>
    </row>
    <row r="14" spans="1:10" ht="15.75" customHeight="1">
      <c r="A14" s="485" t="s">
        <v>632</v>
      </c>
      <c r="B14" s="486" t="s">
        <v>631</v>
      </c>
      <c r="C14" s="467"/>
      <c r="D14" s="497">
        <v>45503</v>
      </c>
      <c r="E14" s="466" t="s">
        <v>618</v>
      </c>
      <c r="F14" s="466">
        <v>323441.44</v>
      </c>
      <c r="G14" s="478">
        <v>46205.919999999984</v>
      </c>
      <c r="H14" s="466">
        <v>0</v>
      </c>
      <c r="I14" s="479">
        <v>0</v>
      </c>
      <c r="J14" s="467"/>
    </row>
    <row r="15" spans="1:10" ht="15.75" customHeight="1">
      <c r="A15" s="472"/>
      <c r="B15" s="467"/>
      <c r="C15" s="467"/>
      <c r="D15" s="497">
        <v>45504</v>
      </c>
      <c r="E15" s="466" t="s">
        <v>624</v>
      </c>
      <c r="F15" s="466">
        <v>369647.35999999999</v>
      </c>
      <c r="G15" s="478">
        <v>46205.919999999984</v>
      </c>
      <c r="H15" s="466">
        <v>323441.44</v>
      </c>
      <c r="I15" s="479">
        <v>369647.35999999999</v>
      </c>
      <c r="J15" s="467"/>
    </row>
    <row r="16" spans="1:10" ht="15.75" customHeight="1">
      <c r="A16" s="467"/>
      <c r="B16" s="467"/>
      <c r="C16" s="467"/>
      <c r="D16" s="497">
        <v>45505</v>
      </c>
      <c r="E16" s="466" t="s">
        <v>623</v>
      </c>
      <c r="F16" s="466">
        <v>415853.28</v>
      </c>
      <c r="G16" s="478">
        <v>46205.920000000042</v>
      </c>
      <c r="H16" s="466">
        <v>0</v>
      </c>
      <c r="I16" s="479">
        <v>0</v>
      </c>
      <c r="J16" s="467"/>
    </row>
    <row r="17" spans="1:10" ht="15.75" customHeight="1">
      <c r="A17" s="487" t="s">
        <v>630</v>
      </c>
      <c r="B17" s="488"/>
      <c r="C17" s="467"/>
      <c r="D17" s="497">
        <v>45506</v>
      </c>
      <c r="E17" s="466" t="s">
        <v>622</v>
      </c>
      <c r="F17" s="466">
        <v>462059.2</v>
      </c>
      <c r="G17" s="478">
        <v>46205.919999999984</v>
      </c>
      <c r="H17" s="466">
        <v>0</v>
      </c>
      <c r="I17" s="479">
        <v>0</v>
      </c>
      <c r="J17" s="467"/>
    </row>
    <row r="18" spans="1:10" ht="15.75" customHeight="1">
      <c r="A18" s="489" t="s">
        <v>629</v>
      </c>
      <c r="B18" s="490">
        <v>730</v>
      </c>
      <c r="C18" s="467"/>
      <c r="D18" s="497">
        <v>45507</v>
      </c>
      <c r="E18" s="466" t="s">
        <v>621</v>
      </c>
      <c r="F18" s="466">
        <v>508265.12</v>
      </c>
      <c r="G18" s="478">
        <v>46205.919999999984</v>
      </c>
      <c r="H18" s="466">
        <v>0</v>
      </c>
      <c r="I18" s="479">
        <v>0</v>
      </c>
      <c r="J18" s="467"/>
    </row>
    <row r="19" spans="1:10" ht="15.75" customHeight="1">
      <c r="A19" s="489" t="s">
        <v>628</v>
      </c>
      <c r="B19" s="490">
        <v>1461</v>
      </c>
      <c r="C19" s="467"/>
      <c r="D19" s="497">
        <v>45508</v>
      </c>
      <c r="E19" s="466" t="s">
        <v>620</v>
      </c>
      <c r="F19" s="466">
        <v>554471.04</v>
      </c>
      <c r="G19" s="478">
        <v>46205.920000000042</v>
      </c>
      <c r="H19" s="466">
        <v>0</v>
      </c>
      <c r="I19" s="479">
        <v>0</v>
      </c>
      <c r="J19" s="467"/>
    </row>
    <row r="20" spans="1:10" ht="15.75" customHeight="1">
      <c r="A20" s="489" t="s">
        <v>627</v>
      </c>
      <c r="B20" s="491" t="s">
        <v>626</v>
      </c>
      <c r="C20" s="467"/>
      <c r="D20" s="497">
        <v>45509</v>
      </c>
      <c r="E20" s="466" t="s">
        <v>619</v>
      </c>
      <c r="F20" s="466">
        <v>600676.96</v>
      </c>
      <c r="G20" s="478">
        <v>46205.919999999925</v>
      </c>
      <c r="H20" s="466">
        <v>0</v>
      </c>
      <c r="I20" s="479">
        <v>0</v>
      </c>
      <c r="J20" s="467"/>
    </row>
    <row r="21" spans="1:10" ht="15.75" customHeight="1">
      <c r="A21" s="489" t="s">
        <v>625</v>
      </c>
      <c r="B21" s="492" t="s">
        <v>624</v>
      </c>
      <c r="C21" s="467"/>
      <c r="D21" s="497">
        <v>45510</v>
      </c>
      <c r="E21" s="466" t="s">
        <v>618</v>
      </c>
      <c r="F21" s="466">
        <v>646882.88</v>
      </c>
      <c r="G21" s="478">
        <v>46205.920000000042</v>
      </c>
      <c r="H21" s="466">
        <v>0</v>
      </c>
      <c r="I21" s="479">
        <v>0</v>
      </c>
      <c r="J21" s="467"/>
    </row>
    <row r="22" spans="1:10" ht="15.75" customHeight="1">
      <c r="A22" s="493"/>
      <c r="B22" s="494"/>
      <c r="C22" s="467"/>
      <c r="D22" s="497">
        <v>45511</v>
      </c>
      <c r="E22" s="466" t="s">
        <v>624</v>
      </c>
      <c r="F22" s="466">
        <v>693088.8</v>
      </c>
      <c r="G22" s="478">
        <v>46205.920000000042</v>
      </c>
      <c r="H22" s="466">
        <v>323441.44000000006</v>
      </c>
      <c r="I22" s="479">
        <v>0</v>
      </c>
      <c r="J22" s="467"/>
    </row>
    <row r="23" spans="1:10" ht="15.75" customHeight="1">
      <c r="A23" s="467"/>
      <c r="B23" s="467"/>
      <c r="C23" s="467"/>
      <c r="D23" s="497">
        <v>45512</v>
      </c>
      <c r="E23" s="466" t="s">
        <v>623</v>
      </c>
      <c r="F23" s="466">
        <v>739294.71999999997</v>
      </c>
      <c r="G23" s="478">
        <v>46205.919999999925</v>
      </c>
      <c r="H23" s="466">
        <v>0</v>
      </c>
      <c r="I23" s="479">
        <v>0</v>
      </c>
      <c r="J23" s="467"/>
    </row>
    <row r="24" spans="1:10" ht="15.75" customHeight="1">
      <c r="A24" s="477"/>
      <c r="B24" s="477"/>
      <c r="C24" s="467"/>
      <c r="D24" s="497">
        <v>45513</v>
      </c>
      <c r="E24" s="466" t="s">
        <v>622</v>
      </c>
      <c r="F24" s="466">
        <v>785500.64</v>
      </c>
      <c r="G24" s="478">
        <v>46205.920000000042</v>
      </c>
      <c r="H24" s="466">
        <v>0</v>
      </c>
      <c r="I24" s="479">
        <v>0</v>
      </c>
      <c r="J24" s="467"/>
    </row>
    <row r="25" spans="1:10" ht="15.75" customHeight="1">
      <c r="A25" s="477"/>
      <c r="B25" s="477"/>
      <c r="C25" s="467"/>
      <c r="D25" s="497">
        <v>45514</v>
      </c>
      <c r="E25" s="466" t="s">
        <v>621</v>
      </c>
      <c r="F25" s="466">
        <v>831706.56</v>
      </c>
      <c r="G25" s="478">
        <v>46205.920000000042</v>
      </c>
      <c r="H25" s="466">
        <v>0</v>
      </c>
      <c r="I25" s="479">
        <v>0</v>
      </c>
      <c r="J25" s="467"/>
    </row>
    <row r="26" spans="1:10" ht="15.75" customHeight="1">
      <c r="A26" s="477"/>
      <c r="B26" s="477"/>
      <c r="C26" s="467"/>
      <c r="D26" s="497">
        <v>45515</v>
      </c>
      <c r="E26" s="466" t="s">
        <v>620</v>
      </c>
      <c r="F26" s="466">
        <v>877912.48</v>
      </c>
      <c r="G26" s="478">
        <v>46205.919999999925</v>
      </c>
      <c r="H26" s="466">
        <v>0</v>
      </c>
      <c r="I26" s="479">
        <v>0</v>
      </c>
      <c r="J26" s="467"/>
    </row>
    <row r="27" spans="1:10" ht="15.75" customHeight="1">
      <c r="A27" s="477"/>
      <c r="B27" s="477"/>
      <c r="C27" s="467"/>
      <c r="D27" s="497">
        <v>45516</v>
      </c>
      <c r="E27" s="466" t="s">
        <v>619</v>
      </c>
      <c r="F27" s="466">
        <v>924118.4</v>
      </c>
      <c r="G27" s="478">
        <v>46205.920000000042</v>
      </c>
      <c r="H27" s="466">
        <v>0</v>
      </c>
      <c r="I27" s="479">
        <v>0</v>
      </c>
      <c r="J27" s="467"/>
    </row>
    <row r="28" spans="1:10" ht="15.75" customHeight="1">
      <c r="A28" s="477"/>
      <c r="B28" s="477"/>
      <c r="C28" s="467"/>
      <c r="D28" s="497">
        <v>45517</v>
      </c>
      <c r="E28" s="466" t="s">
        <v>618</v>
      </c>
      <c r="F28" s="466">
        <v>970324.32</v>
      </c>
      <c r="G28" s="478">
        <v>46205.919999999925</v>
      </c>
      <c r="H28" s="466">
        <v>0</v>
      </c>
      <c r="I28" s="479">
        <v>0</v>
      </c>
      <c r="J28" s="467"/>
    </row>
    <row r="29" spans="1:10" ht="15.75" customHeight="1">
      <c r="A29" s="477"/>
      <c r="B29" s="477"/>
      <c r="C29" s="467"/>
      <c r="D29" s="497">
        <v>45518</v>
      </c>
      <c r="E29" s="466" t="s">
        <v>624</v>
      </c>
      <c r="F29" s="466">
        <v>1016530.24</v>
      </c>
      <c r="G29" s="478">
        <v>46205.920000000042</v>
      </c>
      <c r="H29" s="466">
        <v>323441.43999999994</v>
      </c>
      <c r="I29" s="479">
        <v>646882.88</v>
      </c>
      <c r="J29" s="467"/>
    </row>
    <row r="30" spans="1:10" ht="15.75" customHeight="1">
      <c r="A30" s="477"/>
      <c r="B30" s="477"/>
      <c r="C30" s="467"/>
      <c r="D30" s="497">
        <v>45519</v>
      </c>
      <c r="E30" s="466" t="s">
        <v>623</v>
      </c>
      <c r="F30" s="466">
        <v>1062736.1599999999</v>
      </c>
      <c r="G30" s="478">
        <v>46205.919999999925</v>
      </c>
      <c r="H30" s="466">
        <v>0</v>
      </c>
      <c r="I30" s="479">
        <v>0</v>
      </c>
      <c r="J30" s="467"/>
    </row>
    <row r="31" spans="1:10" ht="15.75" customHeight="1">
      <c r="A31" s="477"/>
      <c r="B31" s="477"/>
      <c r="C31" s="467"/>
      <c r="D31" s="497">
        <v>45520</v>
      </c>
      <c r="E31" s="466" t="s">
        <v>622</v>
      </c>
      <c r="F31" s="466">
        <v>1108942.08</v>
      </c>
      <c r="G31" s="478">
        <v>46205.920000000158</v>
      </c>
      <c r="H31" s="466">
        <v>0</v>
      </c>
      <c r="I31" s="479">
        <v>0</v>
      </c>
      <c r="J31" s="467"/>
    </row>
    <row r="32" spans="1:10" ht="15.75" customHeight="1">
      <c r="A32" s="477"/>
      <c r="B32" s="477"/>
      <c r="C32" s="467"/>
      <c r="D32" s="497">
        <v>45521</v>
      </c>
      <c r="E32" s="466" t="s">
        <v>621</v>
      </c>
      <c r="F32" s="466">
        <v>1155148</v>
      </c>
      <c r="G32" s="478">
        <v>46205.919999999925</v>
      </c>
      <c r="H32" s="466">
        <v>0</v>
      </c>
      <c r="I32" s="479">
        <v>0</v>
      </c>
      <c r="J32" s="467"/>
    </row>
    <row r="33" spans="1:10" ht="15.75" customHeight="1">
      <c r="A33" s="477"/>
      <c r="B33" s="477"/>
      <c r="C33" s="467"/>
      <c r="D33" s="497">
        <v>45522</v>
      </c>
      <c r="E33" s="466" t="s">
        <v>620</v>
      </c>
      <c r="F33" s="466">
        <v>1201353.92</v>
      </c>
      <c r="G33" s="478">
        <v>46205.919999999925</v>
      </c>
      <c r="H33" s="466">
        <v>0</v>
      </c>
      <c r="I33" s="479">
        <v>0</v>
      </c>
      <c r="J33" s="467"/>
    </row>
    <row r="34" spans="1:10" ht="15.75" customHeight="1">
      <c r="A34" s="477"/>
      <c r="B34" s="477"/>
      <c r="C34" s="467"/>
      <c r="D34" s="497">
        <v>45523</v>
      </c>
      <c r="E34" s="466" t="s">
        <v>619</v>
      </c>
      <c r="F34" s="466">
        <v>1247559.8400000001</v>
      </c>
      <c r="G34" s="478">
        <v>46205.920000000158</v>
      </c>
      <c r="H34" s="466">
        <v>0</v>
      </c>
      <c r="I34" s="479">
        <v>0</v>
      </c>
      <c r="J34" s="467"/>
    </row>
    <row r="35" spans="1:10" ht="15.75" customHeight="1">
      <c r="A35" s="477"/>
      <c r="B35" s="477"/>
      <c r="C35" s="467"/>
      <c r="D35" s="497">
        <v>45524</v>
      </c>
      <c r="E35" s="466" t="s">
        <v>618</v>
      </c>
      <c r="F35" s="466">
        <v>1293765.76</v>
      </c>
      <c r="G35" s="478">
        <v>46205.919999999925</v>
      </c>
      <c r="H35" s="466">
        <v>0</v>
      </c>
      <c r="I35" s="479">
        <v>0</v>
      </c>
      <c r="J35" s="467"/>
    </row>
    <row r="36" spans="1:10" ht="15.75" customHeight="1">
      <c r="A36" s="477"/>
      <c r="B36" s="477"/>
      <c r="C36" s="467"/>
      <c r="D36" s="497">
        <v>45525</v>
      </c>
      <c r="E36" s="466" t="s">
        <v>624</v>
      </c>
      <c r="F36" s="466">
        <v>1339971.68</v>
      </c>
      <c r="G36" s="478">
        <v>46205.919999999925</v>
      </c>
      <c r="H36" s="466">
        <v>323441.43999999994</v>
      </c>
      <c r="I36" s="479">
        <v>0</v>
      </c>
      <c r="J36" s="467"/>
    </row>
    <row r="37" spans="1:10" ht="15.75" customHeight="1">
      <c r="A37" s="477"/>
      <c r="B37" s="477"/>
      <c r="C37" s="467"/>
      <c r="D37" s="497">
        <v>45526</v>
      </c>
      <c r="E37" s="466" t="s">
        <v>623</v>
      </c>
      <c r="F37" s="466">
        <v>1386177.6</v>
      </c>
      <c r="G37" s="478">
        <v>46205.920000000158</v>
      </c>
      <c r="H37" s="466">
        <v>0</v>
      </c>
      <c r="I37" s="479">
        <v>0</v>
      </c>
      <c r="J37" s="467"/>
    </row>
    <row r="38" spans="1:10" ht="15.75" customHeight="1">
      <c r="A38" s="477"/>
      <c r="B38" s="477"/>
      <c r="C38" s="467"/>
      <c r="D38" s="497">
        <v>45527</v>
      </c>
      <c r="E38" s="466" t="s">
        <v>622</v>
      </c>
      <c r="F38" s="466">
        <v>1432383.52</v>
      </c>
      <c r="G38" s="478">
        <v>46205.919999999925</v>
      </c>
      <c r="H38" s="466">
        <v>0</v>
      </c>
      <c r="I38" s="479">
        <v>0</v>
      </c>
      <c r="J38" s="467"/>
    </row>
    <row r="39" spans="1:10" ht="15.75" customHeight="1">
      <c r="A39" s="477"/>
      <c r="B39" s="477"/>
      <c r="C39" s="467"/>
      <c r="D39" s="497">
        <v>45528</v>
      </c>
      <c r="E39" s="466" t="s">
        <v>621</v>
      </c>
      <c r="F39" s="466">
        <v>1478589.4399999999</v>
      </c>
      <c r="G39" s="478">
        <v>46205.919999999925</v>
      </c>
      <c r="H39" s="466">
        <v>0</v>
      </c>
      <c r="I39" s="479">
        <v>0</v>
      </c>
      <c r="J39" s="467"/>
    </row>
    <row r="40" spans="1:10" ht="15.75" customHeight="1">
      <c r="A40" s="477"/>
      <c r="B40" s="477"/>
      <c r="C40" s="467"/>
      <c r="D40" s="497">
        <v>45529</v>
      </c>
      <c r="E40" s="466" t="s">
        <v>620</v>
      </c>
      <c r="F40" s="466">
        <v>1524795.36</v>
      </c>
      <c r="G40" s="478">
        <v>46205.920000000158</v>
      </c>
      <c r="H40" s="466">
        <v>0</v>
      </c>
      <c r="I40" s="479">
        <v>0</v>
      </c>
      <c r="J40" s="467"/>
    </row>
    <row r="41" spans="1:10" ht="15.75" customHeight="1">
      <c r="A41" s="477"/>
      <c r="B41" s="477"/>
      <c r="C41" s="464"/>
      <c r="D41" s="497">
        <v>45530</v>
      </c>
      <c r="E41" s="466" t="s">
        <v>619</v>
      </c>
      <c r="F41" s="466">
        <v>1571001.28</v>
      </c>
      <c r="G41" s="478">
        <v>46205.919999999925</v>
      </c>
      <c r="H41" s="466">
        <v>0</v>
      </c>
      <c r="I41" s="479">
        <v>0</v>
      </c>
      <c r="J41" s="467"/>
    </row>
    <row r="42" spans="1:10" ht="15.75" customHeight="1">
      <c r="A42" s="477"/>
      <c r="B42" s="477"/>
      <c r="C42" s="495"/>
      <c r="D42" s="497">
        <v>45531</v>
      </c>
      <c r="E42" s="466" t="s">
        <v>618</v>
      </c>
      <c r="F42" s="466">
        <v>1617207.2</v>
      </c>
      <c r="G42" s="478">
        <v>46205.919999999925</v>
      </c>
      <c r="H42" s="466">
        <v>0</v>
      </c>
      <c r="I42" s="479">
        <v>0</v>
      </c>
      <c r="J42" s="467"/>
    </row>
    <row r="43" spans="1:10" ht="15.75" customHeight="1">
      <c r="A43" s="477"/>
      <c r="B43" s="477"/>
      <c r="C43" s="495"/>
      <c r="D43" s="497">
        <v>45532</v>
      </c>
      <c r="E43" s="466" t="s">
        <v>624</v>
      </c>
      <c r="F43" s="466">
        <v>1663413.12</v>
      </c>
      <c r="G43" s="478">
        <v>46205.920000000158</v>
      </c>
      <c r="H43" s="466">
        <v>323441.44000000018</v>
      </c>
      <c r="I43" s="479">
        <v>646882.88000000012</v>
      </c>
      <c r="J43" s="467"/>
    </row>
    <row r="44" spans="1:10" ht="15.75" customHeight="1">
      <c r="A44" s="477"/>
      <c r="B44" s="477"/>
      <c r="C44" s="495"/>
      <c r="D44" s="497">
        <v>45533</v>
      </c>
      <c r="E44" s="466" t="s">
        <v>623</v>
      </c>
      <c r="F44" s="466">
        <v>1709619.04</v>
      </c>
      <c r="G44" s="478">
        <v>46205.919999999925</v>
      </c>
      <c r="H44" s="466">
        <v>0</v>
      </c>
      <c r="I44" s="479">
        <v>0</v>
      </c>
      <c r="J44" s="467"/>
    </row>
    <row r="45" spans="1:10" ht="15.75" customHeight="1">
      <c r="A45" s="477"/>
      <c r="B45" s="477"/>
      <c r="C45" s="495"/>
      <c r="D45" s="497">
        <v>45534</v>
      </c>
      <c r="E45" s="466" t="s">
        <v>622</v>
      </c>
      <c r="F45" s="466">
        <v>1755824.96</v>
      </c>
      <c r="G45" s="478">
        <v>46205.919999999925</v>
      </c>
      <c r="H45" s="466">
        <v>0</v>
      </c>
      <c r="I45" s="479">
        <v>0</v>
      </c>
      <c r="J45" s="467"/>
    </row>
    <row r="46" spans="1:10" ht="15.75" customHeight="1">
      <c r="A46" s="477"/>
      <c r="B46" s="477"/>
      <c r="C46" s="495"/>
      <c r="D46" s="497">
        <v>45535</v>
      </c>
      <c r="E46" s="466" t="s">
        <v>621</v>
      </c>
      <c r="F46" s="466">
        <v>1802030.88</v>
      </c>
      <c r="G46" s="478">
        <v>46205.919999999925</v>
      </c>
      <c r="H46" s="466">
        <v>0</v>
      </c>
      <c r="I46" s="479">
        <v>0</v>
      </c>
      <c r="J46" s="467"/>
    </row>
    <row r="47" spans="1:10" ht="15.75" customHeight="1">
      <c r="A47" s="477"/>
      <c r="B47" s="477"/>
      <c r="C47" s="495"/>
      <c r="D47" s="497">
        <v>45536</v>
      </c>
      <c r="E47" s="466" t="s">
        <v>620</v>
      </c>
      <c r="F47" s="466">
        <v>1848236.8</v>
      </c>
      <c r="G47" s="478">
        <v>46205.920000000158</v>
      </c>
      <c r="H47" s="466">
        <v>0</v>
      </c>
      <c r="I47" s="479">
        <v>0</v>
      </c>
      <c r="J47" s="467"/>
    </row>
    <row r="48" spans="1:10" ht="15.75" customHeight="1">
      <c r="A48" s="467"/>
      <c r="B48" s="467"/>
      <c r="C48" s="495"/>
      <c r="D48" s="497">
        <v>45537</v>
      </c>
      <c r="E48" s="466" t="s">
        <v>619</v>
      </c>
      <c r="F48" s="466">
        <v>1894442.72</v>
      </c>
      <c r="G48" s="478">
        <v>46205.919999999925</v>
      </c>
      <c r="H48" s="466">
        <v>0</v>
      </c>
      <c r="I48" s="479">
        <v>0</v>
      </c>
      <c r="J48" s="467"/>
    </row>
    <row r="49" spans="1:10" ht="15.75" customHeight="1">
      <c r="A49" s="467"/>
      <c r="B49" s="467"/>
      <c r="C49" s="495"/>
      <c r="D49" s="497">
        <v>45538</v>
      </c>
      <c r="E49" s="466" t="s">
        <v>618</v>
      </c>
      <c r="F49" s="466">
        <v>1940648.64</v>
      </c>
      <c r="G49" s="478">
        <v>46205.919999999925</v>
      </c>
      <c r="H49" s="466">
        <v>0</v>
      </c>
      <c r="I49" s="479">
        <v>0</v>
      </c>
      <c r="J49" s="467"/>
    </row>
    <row r="50" spans="1:10" ht="15.75" customHeight="1">
      <c r="A50" s="467"/>
      <c r="B50" s="467"/>
      <c r="C50" s="495"/>
      <c r="D50" s="497">
        <v>45539</v>
      </c>
      <c r="E50" s="466" t="s">
        <v>624</v>
      </c>
      <c r="F50" s="466">
        <v>1986854.56</v>
      </c>
      <c r="G50" s="478">
        <v>46205.920000000158</v>
      </c>
      <c r="H50" s="466">
        <v>323441.43999999994</v>
      </c>
      <c r="I50" s="479">
        <v>0</v>
      </c>
      <c r="J50" s="467"/>
    </row>
    <row r="51" spans="1:10" ht="15.75" customHeight="1">
      <c r="A51" s="467"/>
      <c r="B51" s="467"/>
      <c r="C51" s="495"/>
      <c r="D51" s="497">
        <v>45540</v>
      </c>
      <c r="E51" s="466" t="s">
        <v>623</v>
      </c>
      <c r="F51" s="466">
        <v>2033060.48</v>
      </c>
      <c r="G51" s="478">
        <v>46205.919999999925</v>
      </c>
      <c r="H51" s="466">
        <v>0</v>
      </c>
      <c r="I51" s="479">
        <v>0</v>
      </c>
      <c r="J51" s="467"/>
    </row>
    <row r="52" spans="1:10" ht="15.75" customHeight="1">
      <c r="A52" s="467"/>
      <c r="B52" s="467"/>
      <c r="C52" s="495"/>
      <c r="D52" s="497">
        <v>45541</v>
      </c>
      <c r="E52" s="466" t="s">
        <v>622</v>
      </c>
      <c r="F52" s="466">
        <v>2079266.4</v>
      </c>
      <c r="G52" s="478">
        <v>46205.919999999925</v>
      </c>
      <c r="H52" s="466">
        <v>0</v>
      </c>
      <c r="I52" s="479">
        <v>0</v>
      </c>
      <c r="J52" s="467"/>
    </row>
    <row r="53" spans="1:10" ht="15.75" customHeight="1">
      <c r="A53" s="467"/>
      <c r="B53" s="467"/>
      <c r="C53" s="495"/>
      <c r="D53" s="497">
        <v>45542</v>
      </c>
      <c r="E53" s="466" t="s">
        <v>621</v>
      </c>
      <c r="F53" s="466">
        <v>2125472.3199999998</v>
      </c>
      <c r="G53" s="478">
        <v>46205.919999999925</v>
      </c>
      <c r="H53" s="466">
        <v>0</v>
      </c>
      <c r="I53" s="479">
        <v>0</v>
      </c>
      <c r="J53" s="467"/>
    </row>
    <row r="54" spans="1:10" ht="15.75" customHeight="1">
      <c r="A54" s="467"/>
      <c r="B54" s="467"/>
      <c r="C54" s="495"/>
      <c r="D54" s="497">
        <v>45543</v>
      </c>
      <c r="E54" s="466" t="s">
        <v>620</v>
      </c>
      <c r="F54" s="466">
        <v>2171678.2400000002</v>
      </c>
      <c r="G54" s="478">
        <v>46205.920000000391</v>
      </c>
      <c r="H54" s="466">
        <v>0</v>
      </c>
      <c r="I54" s="479">
        <v>0</v>
      </c>
      <c r="J54" s="467"/>
    </row>
    <row r="55" spans="1:10" ht="15.75" customHeight="1">
      <c r="A55" s="467"/>
      <c r="B55" s="467"/>
      <c r="C55" s="495"/>
      <c r="D55" s="497">
        <v>45544</v>
      </c>
      <c r="E55" s="466" t="s">
        <v>619</v>
      </c>
      <c r="F55" s="466">
        <v>2217884.16</v>
      </c>
      <c r="G55" s="478">
        <v>46205.919999999925</v>
      </c>
      <c r="H55" s="466">
        <v>0</v>
      </c>
      <c r="I55" s="479">
        <v>0</v>
      </c>
      <c r="J55" s="467"/>
    </row>
    <row r="56" spans="1:10" ht="15.75" customHeight="1">
      <c r="A56" s="467"/>
      <c r="B56" s="467"/>
      <c r="C56" s="495"/>
      <c r="D56" s="497">
        <v>45545</v>
      </c>
      <c r="E56" s="466" t="s">
        <v>618</v>
      </c>
      <c r="F56" s="466">
        <v>2264090.08</v>
      </c>
      <c r="G56" s="478">
        <v>46205.919999999925</v>
      </c>
      <c r="H56" s="466">
        <v>0</v>
      </c>
      <c r="I56" s="479">
        <v>0</v>
      </c>
      <c r="J56" s="467"/>
    </row>
    <row r="57" spans="1:10" ht="15.75" customHeight="1">
      <c r="A57" s="467"/>
      <c r="B57" s="467"/>
      <c r="C57" s="495"/>
      <c r="D57" s="497">
        <v>45546</v>
      </c>
      <c r="E57" s="466" t="s">
        <v>624</v>
      </c>
      <c r="F57" s="466">
        <v>2310296</v>
      </c>
      <c r="G57" s="478">
        <v>46205.919999999925</v>
      </c>
      <c r="H57" s="466">
        <v>323441.43999999994</v>
      </c>
      <c r="I57" s="479">
        <v>646882.87999999989</v>
      </c>
      <c r="J57" s="467"/>
    </row>
    <row r="58" spans="1:10" ht="15.75" customHeight="1">
      <c r="A58" s="467"/>
      <c r="B58" s="467"/>
      <c r="C58" s="495"/>
      <c r="D58" s="497">
        <v>45547</v>
      </c>
      <c r="E58" s="466" t="s">
        <v>623</v>
      </c>
      <c r="F58" s="466">
        <v>2356501.92</v>
      </c>
      <c r="G58" s="478">
        <v>46205.919999999925</v>
      </c>
      <c r="H58" s="466">
        <v>0</v>
      </c>
      <c r="I58" s="479">
        <v>0</v>
      </c>
      <c r="J58" s="467"/>
    </row>
    <row r="59" spans="1:10" ht="15.75" customHeight="1">
      <c r="A59" s="467"/>
      <c r="B59" s="467"/>
      <c r="C59" s="495"/>
      <c r="D59" s="497">
        <v>45548</v>
      </c>
      <c r="E59" s="466" t="s">
        <v>622</v>
      </c>
      <c r="F59" s="466">
        <v>2402707.84</v>
      </c>
      <c r="G59" s="478">
        <v>46205.919999999925</v>
      </c>
      <c r="H59" s="466">
        <v>0</v>
      </c>
      <c r="I59" s="479">
        <v>0</v>
      </c>
      <c r="J59" s="467"/>
    </row>
    <row r="60" spans="1:10" ht="15.75" customHeight="1">
      <c r="A60" s="467"/>
      <c r="B60" s="467"/>
      <c r="C60" s="466"/>
      <c r="D60" s="497">
        <v>45549</v>
      </c>
      <c r="E60" s="466" t="s">
        <v>621</v>
      </c>
      <c r="F60" s="466">
        <v>2448913.7599999998</v>
      </c>
      <c r="G60" s="478">
        <v>46205.919999999925</v>
      </c>
      <c r="H60" s="466">
        <v>0</v>
      </c>
      <c r="I60" s="479">
        <v>0</v>
      </c>
    </row>
    <row r="61" spans="1:10" ht="15.75" customHeight="1">
      <c r="A61" s="467"/>
      <c r="B61" s="467"/>
      <c r="C61" s="466"/>
      <c r="D61" s="497">
        <v>45550</v>
      </c>
      <c r="E61" s="466" t="s">
        <v>620</v>
      </c>
      <c r="F61" s="466">
        <v>2495119.6800000002</v>
      </c>
      <c r="G61" s="478">
        <v>46205.920000000391</v>
      </c>
      <c r="H61" s="466">
        <v>0</v>
      </c>
      <c r="I61" s="479">
        <v>0</v>
      </c>
    </row>
    <row r="62" spans="1:10" ht="15.75" customHeight="1">
      <c r="A62" s="467"/>
      <c r="B62" s="467"/>
      <c r="C62" s="466"/>
      <c r="D62" s="497">
        <v>45551</v>
      </c>
      <c r="E62" s="466" t="s">
        <v>619</v>
      </c>
      <c r="F62" s="466">
        <v>2541325.6</v>
      </c>
      <c r="G62" s="478">
        <v>46205.919999999925</v>
      </c>
      <c r="H62" s="466">
        <v>0</v>
      </c>
      <c r="I62" s="479">
        <v>0</v>
      </c>
    </row>
    <row r="63" spans="1:10" ht="15.75" customHeight="1">
      <c r="A63" s="467"/>
      <c r="B63" s="467"/>
      <c r="C63" s="466"/>
      <c r="D63" s="497">
        <v>45552</v>
      </c>
      <c r="E63" s="466" t="s">
        <v>618</v>
      </c>
      <c r="F63" s="466">
        <v>2587531.52</v>
      </c>
      <c r="G63" s="478">
        <v>46205.919999999925</v>
      </c>
      <c r="H63" s="466">
        <v>0</v>
      </c>
      <c r="I63" s="479">
        <v>0</v>
      </c>
    </row>
    <row r="64" spans="1:10" ht="15.75" customHeight="1">
      <c r="A64" s="467"/>
      <c r="B64" s="467"/>
      <c r="C64" s="466"/>
      <c r="D64" s="497">
        <v>45553</v>
      </c>
      <c r="E64" s="466" t="s">
        <v>624</v>
      </c>
      <c r="F64" s="466">
        <v>2633737.44</v>
      </c>
      <c r="G64" s="478">
        <v>46205.919999999925</v>
      </c>
      <c r="H64" s="466">
        <v>323441.43999999994</v>
      </c>
      <c r="I64" s="479">
        <v>0</v>
      </c>
    </row>
    <row r="65" spans="1:9" ht="15.75" customHeight="1">
      <c r="A65" s="467"/>
      <c r="B65" s="467"/>
      <c r="C65" s="466"/>
      <c r="D65" s="497">
        <v>45554</v>
      </c>
      <c r="E65" s="466" t="s">
        <v>623</v>
      </c>
      <c r="F65" s="466">
        <v>2679943.36</v>
      </c>
      <c r="G65" s="478">
        <v>46205.919999999925</v>
      </c>
      <c r="H65" s="466">
        <v>0</v>
      </c>
      <c r="I65" s="479">
        <v>0</v>
      </c>
    </row>
    <row r="66" spans="1:9" ht="15.75" customHeight="1">
      <c r="A66" s="467"/>
      <c r="B66" s="467"/>
      <c r="C66" s="466"/>
      <c r="D66" s="497">
        <v>45555</v>
      </c>
      <c r="E66" s="466" t="s">
        <v>622</v>
      </c>
      <c r="F66" s="466">
        <v>2726149.28</v>
      </c>
      <c r="G66" s="478">
        <v>46205.919999999925</v>
      </c>
      <c r="H66" s="466">
        <v>0</v>
      </c>
      <c r="I66" s="479">
        <v>0</v>
      </c>
    </row>
    <row r="67" spans="1:9" ht="15.75" customHeight="1">
      <c r="A67" s="467"/>
      <c r="B67" s="467"/>
      <c r="C67" s="466"/>
      <c r="D67" s="497">
        <v>45556</v>
      </c>
      <c r="E67" s="466" t="s">
        <v>621</v>
      </c>
      <c r="F67" s="466">
        <v>2772355.2</v>
      </c>
      <c r="G67" s="478">
        <v>46205.920000000391</v>
      </c>
      <c r="H67" s="466">
        <v>0</v>
      </c>
      <c r="I67" s="479">
        <v>0</v>
      </c>
    </row>
    <row r="68" spans="1:9" ht="15.75" customHeight="1">
      <c r="A68" s="467"/>
      <c r="B68" s="467"/>
      <c r="C68" s="466"/>
      <c r="D68" s="497">
        <v>45557</v>
      </c>
      <c r="E68" s="466" t="s">
        <v>620</v>
      </c>
      <c r="F68" s="466">
        <v>2818561.12</v>
      </c>
      <c r="G68" s="478">
        <v>46205.919999999925</v>
      </c>
      <c r="H68" s="466">
        <v>0</v>
      </c>
      <c r="I68" s="479">
        <v>0</v>
      </c>
    </row>
    <row r="69" spans="1:9" ht="15.75" customHeight="1">
      <c r="A69" s="467"/>
      <c r="B69" s="467"/>
      <c r="C69" s="466"/>
      <c r="D69" s="497">
        <v>45558</v>
      </c>
      <c r="E69" s="466" t="s">
        <v>619</v>
      </c>
      <c r="F69" s="466">
        <v>2864767.04</v>
      </c>
      <c r="G69" s="478">
        <v>46205.919999999925</v>
      </c>
      <c r="H69" s="466">
        <v>0</v>
      </c>
      <c r="I69" s="479">
        <v>0</v>
      </c>
    </row>
    <row r="70" spans="1:9" ht="15.75" customHeight="1">
      <c r="A70" s="467"/>
      <c r="B70" s="467"/>
      <c r="C70" s="466"/>
      <c r="D70" s="497">
        <v>45559</v>
      </c>
      <c r="E70" s="466" t="s">
        <v>618</v>
      </c>
      <c r="F70" s="466">
        <v>2910972.96</v>
      </c>
      <c r="G70" s="478">
        <v>46205.919999999925</v>
      </c>
      <c r="H70" s="466">
        <v>0</v>
      </c>
      <c r="I70" s="479">
        <v>0</v>
      </c>
    </row>
    <row r="71" spans="1:9" ht="15.75" customHeight="1">
      <c r="A71" s="467"/>
      <c r="B71" s="467"/>
      <c r="C71" s="466"/>
      <c r="D71" s="497">
        <v>45560</v>
      </c>
      <c r="E71" s="466" t="s">
        <v>624</v>
      </c>
      <c r="F71" s="466">
        <v>2957178.8799999999</v>
      </c>
      <c r="G71" s="478">
        <v>46205.919999999925</v>
      </c>
      <c r="H71" s="466">
        <v>323441.43999999994</v>
      </c>
      <c r="I71" s="479">
        <v>646882.87999999989</v>
      </c>
    </row>
    <row r="72" spans="1:9" ht="15.75" customHeight="1">
      <c r="A72" s="467"/>
      <c r="B72" s="467"/>
      <c r="C72" s="466"/>
      <c r="D72" s="497">
        <v>45561</v>
      </c>
      <c r="E72" s="466" t="s">
        <v>623</v>
      </c>
      <c r="F72" s="466">
        <v>3003384.8</v>
      </c>
      <c r="G72" s="478">
        <v>46205.919999999925</v>
      </c>
      <c r="H72" s="466">
        <v>0</v>
      </c>
      <c r="I72" s="479">
        <v>0</v>
      </c>
    </row>
    <row r="73" spans="1:9" ht="15.75" customHeight="1">
      <c r="A73" s="467"/>
      <c r="B73" s="467"/>
      <c r="C73" s="466"/>
      <c r="D73" s="497">
        <v>45562</v>
      </c>
      <c r="E73" s="466" t="s">
        <v>622</v>
      </c>
      <c r="F73" s="466">
        <v>3049590.72</v>
      </c>
      <c r="G73" s="478">
        <v>46205.920000000391</v>
      </c>
      <c r="H73" s="466">
        <v>0</v>
      </c>
      <c r="I73" s="479">
        <v>0</v>
      </c>
    </row>
    <row r="74" spans="1:9" ht="15.75" customHeight="1">
      <c r="A74" s="467"/>
      <c r="B74" s="467"/>
      <c r="C74" s="466"/>
      <c r="D74" s="497">
        <v>45563</v>
      </c>
      <c r="E74" s="466" t="s">
        <v>621</v>
      </c>
      <c r="F74" s="466">
        <v>3095796.64</v>
      </c>
      <c r="G74" s="478">
        <v>46205.919999999925</v>
      </c>
      <c r="H74" s="466">
        <v>0</v>
      </c>
      <c r="I74" s="479">
        <v>0</v>
      </c>
    </row>
    <row r="75" spans="1:9" ht="15.75" customHeight="1">
      <c r="A75" s="467"/>
      <c r="B75" s="467"/>
      <c r="C75" s="466"/>
      <c r="D75" s="497">
        <v>45564</v>
      </c>
      <c r="E75" s="466" t="s">
        <v>620</v>
      </c>
      <c r="F75" s="466">
        <v>3142002.56</v>
      </c>
      <c r="G75" s="478">
        <v>46205.919999999925</v>
      </c>
      <c r="H75" s="466">
        <v>0</v>
      </c>
      <c r="I75" s="479">
        <v>0</v>
      </c>
    </row>
    <row r="76" spans="1:9" ht="15.75" customHeight="1">
      <c r="A76" s="467"/>
      <c r="B76" s="467"/>
      <c r="C76" s="466"/>
      <c r="D76" s="497">
        <v>45565</v>
      </c>
      <c r="E76" s="466" t="s">
        <v>619</v>
      </c>
      <c r="F76" s="466">
        <v>3188208.48</v>
      </c>
      <c r="G76" s="478">
        <v>46205.919999999925</v>
      </c>
      <c r="H76" s="466">
        <v>0</v>
      </c>
      <c r="I76" s="479">
        <v>0</v>
      </c>
    </row>
    <row r="77" spans="1:9" ht="15.75" customHeight="1">
      <c r="A77" s="467"/>
      <c r="B77" s="467"/>
      <c r="C77" s="466"/>
      <c r="D77" s="497">
        <v>45566</v>
      </c>
      <c r="E77" s="466" t="s">
        <v>618</v>
      </c>
      <c r="F77" s="466">
        <v>3234414.4</v>
      </c>
      <c r="G77" s="478">
        <v>46205.919999999925</v>
      </c>
      <c r="H77" s="466">
        <v>0</v>
      </c>
      <c r="I77" s="479">
        <v>0</v>
      </c>
    </row>
    <row r="78" spans="1:9" ht="15.75" customHeight="1">
      <c r="A78" s="467"/>
      <c r="B78" s="467"/>
      <c r="C78" s="466"/>
      <c r="D78" s="497">
        <v>45567</v>
      </c>
      <c r="E78" s="466" t="s">
        <v>624</v>
      </c>
      <c r="F78" s="466">
        <v>3280620.32</v>
      </c>
      <c r="G78" s="478">
        <v>46205.919999999925</v>
      </c>
      <c r="H78" s="466">
        <v>323441.43999999994</v>
      </c>
      <c r="I78" s="479">
        <v>0</v>
      </c>
    </row>
    <row r="79" spans="1:9" ht="15.75" customHeight="1">
      <c r="A79" s="467"/>
      <c r="B79" s="467"/>
      <c r="C79" s="466"/>
      <c r="D79" s="497">
        <v>45568</v>
      </c>
      <c r="E79" s="466" t="s">
        <v>623</v>
      </c>
      <c r="F79" s="466">
        <v>3326826.24</v>
      </c>
      <c r="G79" s="478">
        <v>46205.920000000391</v>
      </c>
      <c r="H79" s="466">
        <v>0</v>
      </c>
      <c r="I79" s="479">
        <v>0</v>
      </c>
    </row>
    <row r="80" spans="1:9" ht="15.75" customHeight="1">
      <c r="A80" s="467"/>
      <c r="B80" s="467"/>
      <c r="C80" s="466"/>
      <c r="D80" s="497">
        <v>45569</v>
      </c>
      <c r="E80" s="466" t="s">
        <v>622</v>
      </c>
      <c r="F80" s="466">
        <v>3373032.16</v>
      </c>
      <c r="G80" s="478">
        <v>46205.919999999925</v>
      </c>
      <c r="H80" s="466">
        <v>0</v>
      </c>
      <c r="I80" s="479">
        <v>0</v>
      </c>
    </row>
    <row r="81" spans="1:9" ht="15.75" customHeight="1">
      <c r="A81" s="467"/>
      <c r="B81" s="467"/>
      <c r="C81" s="466"/>
      <c r="D81" s="497">
        <v>45570</v>
      </c>
      <c r="E81" s="466" t="s">
        <v>621</v>
      </c>
      <c r="F81" s="466">
        <v>3419238.08</v>
      </c>
      <c r="G81" s="478">
        <v>46205.919999999925</v>
      </c>
      <c r="H81" s="466">
        <v>0</v>
      </c>
      <c r="I81" s="479">
        <v>0</v>
      </c>
    </row>
    <row r="82" spans="1:9" ht="15.75" customHeight="1">
      <c r="A82" s="467"/>
      <c r="B82" s="467"/>
      <c r="C82" s="466"/>
      <c r="D82" s="497">
        <v>45571</v>
      </c>
      <c r="E82" s="466" t="s">
        <v>620</v>
      </c>
      <c r="F82" s="466">
        <v>3465444.01</v>
      </c>
      <c r="G82" s="478">
        <v>46205.929999999702</v>
      </c>
      <c r="H82" s="466">
        <v>0</v>
      </c>
      <c r="I82" s="479">
        <v>0</v>
      </c>
    </row>
    <row r="83" spans="1:9" ht="15.75" customHeight="1">
      <c r="A83" s="467"/>
      <c r="B83" s="467"/>
      <c r="C83" s="466"/>
      <c r="D83" s="497">
        <v>45572</v>
      </c>
      <c r="E83" s="466" t="s">
        <v>619</v>
      </c>
      <c r="F83" s="466">
        <v>3511649.93</v>
      </c>
      <c r="G83" s="478">
        <v>46205.920000000391</v>
      </c>
      <c r="H83" s="466">
        <v>0</v>
      </c>
      <c r="I83" s="479">
        <v>0</v>
      </c>
    </row>
    <row r="84" spans="1:9" ht="15.75" customHeight="1">
      <c r="A84" s="467"/>
      <c r="B84" s="467"/>
      <c r="C84" s="466"/>
      <c r="D84" s="497">
        <v>45573</v>
      </c>
      <c r="E84" s="466" t="s">
        <v>618</v>
      </c>
      <c r="F84" s="466">
        <v>3557855.85</v>
      </c>
      <c r="G84" s="478">
        <v>46205.919999999925</v>
      </c>
      <c r="H84" s="466">
        <v>0</v>
      </c>
      <c r="I84" s="479">
        <v>0</v>
      </c>
    </row>
    <row r="85" spans="1:9" ht="15.75" customHeight="1">
      <c r="A85" s="467"/>
      <c r="B85" s="467"/>
      <c r="C85" s="466"/>
      <c r="D85" s="497">
        <v>45574</v>
      </c>
      <c r="E85" s="466" t="s">
        <v>624</v>
      </c>
      <c r="F85" s="466">
        <v>3604061.77</v>
      </c>
      <c r="G85" s="478">
        <v>46205.919999999925</v>
      </c>
      <c r="H85" s="466">
        <v>323441.45000000019</v>
      </c>
      <c r="I85" s="479">
        <v>646882.89000000013</v>
      </c>
    </row>
    <row r="86" spans="1:9" ht="15.75" customHeight="1">
      <c r="A86" s="467"/>
      <c r="B86" s="467"/>
      <c r="C86" s="466"/>
      <c r="D86" s="497">
        <v>45575</v>
      </c>
      <c r="E86" s="466" t="s">
        <v>623</v>
      </c>
      <c r="F86" s="466">
        <v>3650267.69</v>
      </c>
      <c r="G86" s="478">
        <v>46205.919999999925</v>
      </c>
      <c r="H86" s="466">
        <v>0</v>
      </c>
      <c r="I86" s="479">
        <v>0</v>
      </c>
    </row>
    <row r="87" spans="1:9" ht="15.75" customHeight="1">
      <c r="A87" s="467"/>
      <c r="B87" s="467"/>
      <c r="C87" s="466"/>
      <c r="D87" s="497">
        <v>45576</v>
      </c>
      <c r="E87" s="466" t="s">
        <v>622</v>
      </c>
      <c r="F87" s="466">
        <v>3696473.61</v>
      </c>
      <c r="G87" s="478">
        <v>46205.919999999925</v>
      </c>
      <c r="H87" s="466">
        <v>0</v>
      </c>
      <c r="I87" s="479">
        <v>0</v>
      </c>
    </row>
    <row r="88" spans="1:9" ht="15.75" customHeight="1">
      <c r="A88" s="467"/>
      <c r="B88" s="467"/>
      <c r="C88" s="466"/>
      <c r="D88" s="497">
        <v>45577</v>
      </c>
      <c r="E88" s="466" t="s">
        <v>621</v>
      </c>
      <c r="F88" s="466">
        <v>3742679.53</v>
      </c>
      <c r="G88" s="478">
        <v>46205.919999999925</v>
      </c>
      <c r="H88" s="466">
        <v>0</v>
      </c>
      <c r="I88" s="479">
        <v>0</v>
      </c>
    </row>
    <row r="89" spans="1:9" ht="15.75" customHeight="1">
      <c r="A89" s="467"/>
      <c r="B89" s="467"/>
      <c r="C89" s="466"/>
      <c r="D89" s="497">
        <v>45578</v>
      </c>
      <c r="E89" s="466" t="s">
        <v>620</v>
      </c>
      <c r="F89" s="466">
        <v>3788885.45</v>
      </c>
      <c r="G89" s="478">
        <v>46205.920000000391</v>
      </c>
      <c r="H89" s="466">
        <v>0</v>
      </c>
      <c r="I89" s="479">
        <v>0</v>
      </c>
    </row>
    <row r="90" spans="1:9" ht="15.75" customHeight="1">
      <c r="A90" s="467"/>
      <c r="B90" s="467"/>
      <c r="C90" s="466"/>
      <c r="D90" s="497">
        <v>45579</v>
      </c>
      <c r="E90" s="466" t="s">
        <v>619</v>
      </c>
      <c r="F90" s="466">
        <v>3835091.37</v>
      </c>
      <c r="G90" s="478">
        <v>46205.919999999925</v>
      </c>
      <c r="H90" s="466">
        <v>0</v>
      </c>
      <c r="I90" s="479">
        <v>0</v>
      </c>
    </row>
    <row r="91" spans="1:9" ht="15.75" customHeight="1">
      <c r="A91" s="467"/>
      <c r="B91" s="467"/>
      <c r="C91" s="466"/>
      <c r="D91" s="497">
        <v>45580</v>
      </c>
      <c r="E91" s="466" t="s">
        <v>618</v>
      </c>
      <c r="F91" s="466">
        <v>3881297.29</v>
      </c>
      <c r="G91" s="478">
        <v>46205.919999999925</v>
      </c>
      <c r="H91" s="466">
        <v>0</v>
      </c>
      <c r="I91" s="479">
        <v>0</v>
      </c>
    </row>
    <row r="92" spans="1:9" ht="15.75" customHeight="1">
      <c r="A92" s="467"/>
      <c r="B92" s="467"/>
      <c r="C92" s="466"/>
      <c r="D92" s="497">
        <v>45581</v>
      </c>
      <c r="E92" s="466" t="s">
        <v>624</v>
      </c>
      <c r="F92" s="466">
        <v>3927503.21</v>
      </c>
      <c r="G92" s="478">
        <v>46205.919999999925</v>
      </c>
      <c r="H92" s="466">
        <v>323441.43999999994</v>
      </c>
      <c r="I92" s="479">
        <v>0</v>
      </c>
    </row>
    <row r="93" spans="1:9" ht="15.75" customHeight="1">
      <c r="A93" s="467"/>
      <c r="B93" s="467"/>
      <c r="C93" s="466"/>
      <c r="D93" s="497">
        <v>45582</v>
      </c>
      <c r="E93" s="466" t="s">
        <v>623</v>
      </c>
      <c r="F93" s="466">
        <v>3973709.13</v>
      </c>
      <c r="G93" s="478">
        <v>46205.919999999925</v>
      </c>
      <c r="H93" s="466">
        <v>0</v>
      </c>
      <c r="I93" s="479">
        <v>0</v>
      </c>
    </row>
    <row r="94" spans="1:9" ht="15.75" customHeight="1">
      <c r="A94" s="467"/>
      <c r="B94" s="467"/>
      <c r="C94" s="466"/>
      <c r="D94" s="497">
        <v>45583</v>
      </c>
      <c r="E94" s="466" t="s">
        <v>622</v>
      </c>
      <c r="F94" s="466">
        <v>4019915.05</v>
      </c>
      <c r="G94" s="478">
        <v>46205.919999999925</v>
      </c>
      <c r="H94" s="466">
        <v>0</v>
      </c>
      <c r="I94" s="479">
        <v>0</v>
      </c>
    </row>
    <row r="95" spans="1:9" ht="15.75" customHeight="1">
      <c r="A95" s="467"/>
      <c r="B95" s="467"/>
      <c r="C95" s="466"/>
      <c r="D95" s="497">
        <v>45584</v>
      </c>
      <c r="E95" s="466" t="s">
        <v>621</v>
      </c>
      <c r="F95" s="466">
        <v>4066120.97</v>
      </c>
      <c r="G95" s="478">
        <v>46205.920000000391</v>
      </c>
      <c r="H95" s="466">
        <v>0</v>
      </c>
      <c r="I95" s="479">
        <v>0</v>
      </c>
    </row>
    <row r="96" spans="1:9" ht="15.75" customHeight="1">
      <c r="A96" s="467"/>
      <c r="B96" s="467"/>
      <c r="C96" s="466"/>
      <c r="D96" s="497">
        <v>45585</v>
      </c>
      <c r="E96" s="466" t="s">
        <v>620</v>
      </c>
      <c r="F96" s="466">
        <v>4112326.89</v>
      </c>
      <c r="G96" s="478">
        <v>46205.919999999925</v>
      </c>
      <c r="H96" s="466">
        <v>0</v>
      </c>
      <c r="I96" s="479">
        <v>0</v>
      </c>
    </row>
    <row r="97" spans="1:9" ht="15.75" customHeight="1">
      <c r="A97" s="467"/>
      <c r="B97" s="467"/>
      <c r="C97" s="466"/>
      <c r="D97" s="497">
        <v>45586</v>
      </c>
      <c r="E97" s="466" t="s">
        <v>619</v>
      </c>
      <c r="F97" s="466">
        <v>4158532.81</v>
      </c>
      <c r="G97" s="478">
        <v>46205.919999999925</v>
      </c>
      <c r="H97" s="466">
        <v>0</v>
      </c>
      <c r="I97" s="479">
        <v>0</v>
      </c>
    </row>
    <row r="98" spans="1:9" ht="15.75" customHeight="1">
      <c r="A98" s="467"/>
      <c r="B98" s="467"/>
      <c r="C98" s="466"/>
      <c r="D98" s="497">
        <v>45587</v>
      </c>
      <c r="E98" s="466" t="s">
        <v>618</v>
      </c>
      <c r="F98" s="466">
        <v>4204738.7300000004</v>
      </c>
      <c r="G98" s="478">
        <v>46205.920000000391</v>
      </c>
      <c r="H98" s="466">
        <v>0</v>
      </c>
      <c r="I98" s="479">
        <v>0</v>
      </c>
    </row>
    <row r="99" spans="1:9" ht="15.75" customHeight="1">
      <c r="A99" s="467"/>
      <c r="B99" s="467"/>
      <c r="C99" s="466"/>
      <c r="D99" s="497">
        <v>45588</v>
      </c>
      <c r="E99" s="466" t="s">
        <v>624</v>
      </c>
      <c r="F99" s="466">
        <v>4250944.6500000004</v>
      </c>
      <c r="G99" s="478">
        <v>46205.919999999925</v>
      </c>
      <c r="H99" s="466">
        <v>323441.44000000041</v>
      </c>
      <c r="I99" s="479">
        <v>646882.88000000035</v>
      </c>
    </row>
    <row r="100" spans="1:9" ht="15.75" customHeight="1">
      <c r="A100" s="467"/>
      <c r="B100" s="467"/>
      <c r="C100" s="466"/>
      <c r="D100" s="497">
        <v>45589</v>
      </c>
      <c r="E100" s="466" t="s">
        <v>623</v>
      </c>
      <c r="F100" s="466">
        <v>4297150.57</v>
      </c>
      <c r="G100" s="478">
        <v>46205.919999999925</v>
      </c>
      <c r="H100" s="466">
        <v>0</v>
      </c>
      <c r="I100" s="479">
        <v>0</v>
      </c>
    </row>
    <row r="101" spans="1:9" ht="15.75" customHeight="1">
      <c r="A101" s="467"/>
      <c r="B101" s="467"/>
      <c r="C101" s="466"/>
      <c r="D101" s="497">
        <v>45590</v>
      </c>
      <c r="E101" s="466" t="s">
        <v>622</v>
      </c>
      <c r="F101" s="466">
        <v>4343356.49</v>
      </c>
      <c r="G101" s="478">
        <v>46205.919999999925</v>
      </c>
      <c r="H101" s="466">
        <v>0</v>
      </c>
      <c r="I101" s="479">
        <v>0</v>
      </c>
    </row>
    <row r="102" spans="1:9" ht="15.75" customHeight="1">
      <c r="A102" s="467"/>
      <c r="B102" s="467"/>
      <c r="C102" s="466"/>
      <c r="D102" s="497">
        <v>45591</v>
      </c>
      <c r="E102" s="466" t="s">
        <v>621</v>
      </c>
      <c r="F102" s="466">
        <v>4389562.41</v>
      </c>
      <c r="G102" s="478">
        <v>46205.919999999925</v>
      </c>
      <c r="H102" s="466">
        <v>0</v>
      </c>
      <c r="I102" s="479">
        <v>0</v>
      </c>
    </row>
    <row r="103" spans="1:9" ht="15.75" customHeight="1">
      <c r="A103" s="467"/>
      <c r="B103" s="467"/>
      <c r="C103" s="466"/>
      <c r="D103" s="497">
        <v>45592</v>
      </c>
      <c r="E103" s="466" t="s">
        <v>620</v>
      </c>
      <c r="F103" s="466">
        <v>4435768.33</v>
      </c>
      <c r="G103" s="478">
        <v>46205.919999999925</v>
      </c>
      <c r="H103" s="466">
        <v>0</v>
      </c>
      <c r="I103" s="479">
        <v>0</v>
      </c>
    </row>
    <row r="104" spans="1:9" ht="15.75" customHeight="1">
      <c r="A104" s="467"/>
      <c r="B104" s="467"/>
      <c r="C104" s="466"/>
      <c r="D104" s="497">
        <v>45593</v>
      </c>
      <c r="E104" s="466" t="s">
        <v>619</v>
      </c>
      <c r="F104" s="466">
        <v>4481974.25</v>
      </c>
      <c r="G104" s="478">
        <v>46205.919999999925</v>
      </c>
      <c r="H104" s="466">
        <v>0</v>
      </c>
      <c r="I104" s="479">
        <v>0</v>
      </c>
    </row>
    <row r="105" spans="1:9" ht="15.75" customHeight="1">
      <c r="A105" s="467"/>
      <c r="B105" s="467"/>
      <c r="C105" s="466"/>
      <c r="D105" s="497">
        <v>45594</v>
      </c>
      <c r="E105" s="466" t="s">
        <v>618</v>
      </c>
      <c r="F105" s="466">
        <v>4528180.17</v>
      </c>
      <c r="G105" s="478">
        <v>46205.919999999925</v>
      </c>
      <c r="H105" s="466">
        <v>0</v>
      </c>
      <c r="I105" s="479">
        <v>0</v>
      </c>
    </row>
    <row r="106" spans="1:9" ht="15.75" customHeight="1">
      <c r="A106" s="467"/>
      <c r="B106" s="467"/>
      <c r="C106" s="466"/>
      <c r="D106" s="497">
        <v>45595</v>
      </c>
      <c r="E106" s="466" t="s">
        <v>624</v>
      </c>
      <c r="F106" s="466">
        <v>4574386.09</v>
      </c>
      <c r="G106" s="478">
        <v>46205.919999999925</v>
      </c>
      <c r="H106" s="466">
        <v>323441.43999999948</v>
      </c>
      <c r="I106" s="479">
        <v>0</v>
      </c>
    </row>
    <row r="107" spans="1:9" ht="15.75" customHeight="1">
      <c r="A107" s="467"/>
      <c r="B107" s="467"/>
      <c r="C107" s="466"/>
      <c r="D107" s="497">
        <v>45596</v>
      </c>
      <c r="E107" s="466" t="s">
        <v>623</v>
      </c>
      <c r="F107" s="466">
        <v>4620592.01</v>
      </c>
      <c r="G107" s="478">
        <v>46205.919999999925</v>
      </c>
      <c r="H107" s="466">
        <v>0</v>
      </c>
      <c r="I107" s="479">
        <v>0</v>
      </c>
    </row>
    <row r="108" spans="1:9" ht="15.75" customHeight="1">
      <c r="A108" s="467"/>
      <c r="B108" s="467"/>
      <c r="C108" s="466"/>
      <c r="D108" s="497">
        <v>45597</v>
      </c>
      <c r="E108" s="466" t="s">
        <v>622</v>
      </c>
      <c r="F108" s="466">
        <v>4666797.93</v>
      </c>
      <c r="G108" s="478">
        <v>46205.919999999925</v>
      </c>
      <c r="H108" s="466">
        <v>0</v>
      </c>
      <c r="I108" s="479">
        <v>0</v>
      </c>
    </row>
    <row r="109" spans="1:9" ht="15.75" customHeight="1">
      <c r="A109" s="467"/>
      <c r="B109" s="467"/>
      <c r="C109" s="466"/>
      <c r="D109" s="497">
        <v>45598</v>
      </c>
      <c r="E109" s="466" t="s">
        <v>621</v>
      </c>
      <c r="F109" s="466">
        <v>4713003.8499999996</v>
      </c>
      <c r="G109" s="478">
        <v>46205.919999999925</v>
      </c>
      <c r="H109" s="466">
        <v>0</v>
      </c>
      <c r="I109" s="479">
        <v>0</v>
      </c>
    </row>
    <row r="110" spans="1:9" ht="15.75" customHeight="1">
      <c r="A110" s="467"/>
      <c r="B110" s="467"/>
      <c r="C110" s="466"/>
      <c r="D110" s="497">
        <v>45599</v>
      </c>
      <c r="E110" s="466" t="s">
        <v>620</v>
      </c>
      <c r="F110" s="466">
        <v>4759209.7699999996</v>
      </c>
      <c r="G110" s="478">
        <v>46205.919999999925</v>
      </c>
      <c r="H110" s="466">
        <v>0</v>
      </c>
      <c r="I110" s="479">
        <v>0</v>
      </c>
    </row>
    <row r="111" spans="1:9" ht="15.75" customHeight="1">
      <c r="A111" s="467"/>
      <c r="B111" s="467"/>
      <c r="C111" s="466"/>
      <c r="D111" s="497">
        <v>45600</v>
      </c>
      <c r="E111" s="466" t="s">
        <v>619</v>
      </c>
      <c r="F111" s="466">
        <v>4805415.6900000004</v>
      </c>
      <c r="G111" s="478">
        <v>46205.920000000857</v>
      </c>
      <c r="H111" s="466">
        <v>0</v>
      </c>
      <c r="I111" s="479">
        <v>0</v>
      </c>
    </row>
    <row r="112" spans="1:9" ht="15.75" customHeight="1">
      <c r="A112" s="467"/>
      <c r="B112" s="467"/>
      <c r="C112" s="466"/>
      <c r="D112" s="497">
        <v>45601</v>
      </c>
      <c r="E112" s="466" t="s">
        <v>618</v>
      </c>
      <c r="F112" s="466">
        <v>4851621.6100000003</v>
      </c>
      <c r="G112" s="478">
        <v>46205.919999999925</v>
      </c>
      <c r="H112" s="466">
        <v>0</v>
      </c>
      <c r="I112" s="479">
        <v>0</v>
      </c>
    </row>
    <row r="113" spans="1:9" ht="15.75" customHeight="1">
      <c r="A113" s="467"/>
      <c r="B113" s="467"/>
      <c r="C113" s="466"/>
      <c r="D113" s="497">
        <v>45602</v>
      </c>
      <c r="E113" s="466" t="s">
        <v>624</v>
      </c>
      <c r="F113" s="466">
        <v>4897827.53</v>
      </c>
      <c r="G113" s="478">
        <v>46205.919999999925</v>
      </c>
      <c r="H113" s="466">
        <v>323441.44000000041</v>
      </c>
      <c r="I113" s="479">
        <v>646882.87999999989</v>
      </c>
    </row>
    <row r="114" spans="1:9" ht="15.75" customHeight="1">
      <c r="A114" s="467"/>
      <c r="B114" s="467"/>
      <c r="C114" s="466"/>
      <c r="D114" s="497">
        <v>45603</v>
      </c>
      <c r="E114" s="466" t="s">
        <v>623</v>
      </c>
      <c r="F114" s="466">
        <v>4944033.45</v>
      </c>
      <c r="G114" s="478">
        <v>46205.919999999925</v>
      </c>
      <c r="H114" s="466">
        <v>0</v>
      </c>
      <c r="I114" s="479">
        <v>0</v>
      </c>
    </row>
    <row r="115" spans="1:9" ht="15.75" customHeight="1">
      <c r="A115" s="467"/>
      <c r="B115" s="467"/>
      <c r="C115" s="466"/>
      <c r="D115" s="497">
        <v>45604</v>
      </c>
      <c r="E115" s="466" t="s">
        <v>622</v>
      </c>
      <c r="F115" s="466">
        <v>4990239.37</v>
      </c>
      <c r="G115" s="478">
        <v>46205.919999999925</v>
      </c>
      <c r="H115" s="466">
        <v>0</v>
      </c>
      <c r="I115" s="479">
        <v>0</v>
      </c>
    </row>
    <row r="116" spans="1:9" ht="15.75" customHeight="1">
      <c r="A116" s="467"/>
      <c r="B116" s="467"/>
      <c r="C116" s="466"/>
      <c r="D116" s="497">
        <v>45605</v>
      </c>
      <c r="E116" s="466" t="s">
        <v>621</v>
      </c>
      <c r="F116" s="466">
        <v>5036445.29</v>
      </c>
      <c r="G116" s="478">
        <v>46205.919999999925</v>
      </c>
      <c r="H116" s="466">
        <v>0</v>
      </c>
      <c r="I116" s="479">
        <v>0</v>
      </c>
    </row>
    <row r="117" spans="1:9" ht="15.75" customHeight="1">
      <c r="A117" s="467"/>
      <c r="B117" s="467"/>
      <c r="C117" s="466"/>
      <c r="D117" s="497">
        <v>45606</v>
      </c>
      <c r="E117" s="466" t="s">
        <v>620</v>
      </c>
      <c r="F117" s="466">
        <v>5082651.21</v>
      </c>
      <c r="G117" s="478">
        <v>46205.919999999925</v>
      </c>
      <c r="H117" s="466">
        <v>0</v>
      </c>
      <c r="I117" s="479">
        <v>0</v>
      </c>
    </row>
    <row r="118" spans="1:9" ht="15.75" customHeight="1">
      <c r="A118" s="467"/>
      <c r="B118" s="467"/>
      <c r="C118" s="466"/>
      <c r="D118" s="497">
        <v>45607</v>
      </c>
      <c r="E118" s="466" t="s">
        <v>619</v>
      </c>
      <c r="F118" s="466">
        <v>5128857.13</v>
      </c>
      <c r="G118" s="478">
        <v>46205.919999999925</v>
      </c>
      <c r="H118" s="466">
        <v>0</v>
      </c>
      <c r="I118" s="479">
        <v>0</v>
      </c>
    </row>
    <row r="119" spans="1:9" ht="15.75" customHeight="1">
      <c r="A119" s="467"/>
      <c r="B119" s="467"/>
      <c r="C119" s="466"/>
      <c r="D119" s="497">
        <v>45608</v>
      </c>
      <c r="E119" s="466" t="s">
        <v>618</v>
      </c>
      <c r="F119" s="466">
        <v>5175063.05</v>
      </c>
      <c r="G119" s="478">
        <v>46205.919999999925</v>
      </c>
      <c r="H119" s="466">
        <v>0</v>
      </c>
      <c r="I119" s="479">
        <v>0</v>
      </c>
    </row>
    <row r="120" spans="1:9" ht="15.75" customHeight="1">
      <c r="A120" s="467"/>
      <c r="B120" s="467"/>
      <c r="C120" s="466"/>
      <c r="D120" s="497">
        <v>45609</v>
      </c>
      <c r="E120" s="466" t="s">
        <v>624</v>
      </c>
      <c r="F120" s="466">
        <v>5221268.97</v>
      </c>
      <c r="G120" s="478">
        <v>46205.919999999925</v>
      </c>
      <c r="H120" s="466">
        <v>323441.43999999948</v>
      </c>
      <c r="I120" s="479">
        <v>0</v>
      </c>
    </row>
    <row r="121" spans="1:9" ht="15.75" customHeight="1">
      <c r="A121" s="467"/>
      <c r="B121" s="467"/>
      <c r="C121" s="466"/>
      <c r="D121" s="497">
        <v>45610</v>
      </c>
      <c r="E121" s="466" t="s">
        <v>623</v>
      </c>
      <c r="F121" s="466">
        <v>5267474.8899999997</v>
      </c>
      <c r="G121" s="478">
        <v>46205.919999999925</v>
      </c>
      <c r="H121" s="466">
        <v>0</v>
      </c>
      <c r="I121" s="479">
        <v>0</v>
      </c>
    </row>
    <row r="122" spans="1:9" ht="15.75" customHeight="1">
      <c r="A122" s="467"/>
      <c r="B122" s="467"/>
      <c r="C122" s="466"/>
      <c r="D122" s="497">
        <v>45611</v>
      </c>
      <c r="E122" s="466" t="s">
        <v>622</v>
      </c>
      <c r="F122" s="466">
        <v>5313680.8099999996</v>
      </c>
      <c r="G122" s="478">
        <v>46205.919999999925</v>
      </c>
      <c r="H122" s="466">
        <v>0</v>
      </c>
      <c r="I122" s="479">
        <v>0</v>
      </c>
    </row>
    <row r="123" spans="1:9" ht="15.75" customHeight="1">
      <c r="A123" s="467"/>
      <c r="B123" s="467"/>
      <c r="C123" s="466"/>
      <c r="D123" s="497">
        <v>45612</v>
      </c>
      <c r="E123" s="466" t="s">
        <v>621</v>
      </c>
      <c r="F123" s="466">
        <v>5359886.7300000004</v>
      </c>
      <c r="G123" s="478">
        <v>46205.920000000857</v>
      </c>
      <c r="H123" s="466">
        <v>0</v>
      </c>
      <c r="I123" s="479">
        <v>0</v>
      </c>
    </row>
    <row r="124" spans="1:9" ht="15.75" customHeight="1">
      <c r="A124" s="467"/>
      <c r="B124" s="467"/>
      <c r="C124" s="466"/>
      <c r="D124" s="497">
        <v>45613</v>
      </c>
      <c r="E124" s="466" t="s">
        <v>620</v>
      </c>
      <c r="F124" s="466">
        <v>5406092.6500000004</v>
      </c>
      <c r="G124" s="478">
        <v>46205.919999999925</v>
      </c>
      <c r="H124" s="466">
        <v>0</v>
      </c>
      <c r="I124" s="479">
        <v>0</v>
      </c>
    </row>
    <row r="125" spans="1:9" ht="15.75" customHeight="1">
      <c r="A125" s="467"/>
      <c r="B125" s="467"/>
      <c r="C125" s="466"/>
      <c r="D125" s="497">
        <v>45614</v>
      </c>
      <c r="E125" s="466" t="s">
        <v>619</v>
      </c>
      <c r="F125" s="466">
        <v>5452298.5700000003</v>
      </c>
      <c r="G125" s="478">
        <v>46205.919999999925</v>
      </c>
      <c r="H125" s="466">
        <v>0</v>
      </c>
      <c r="I125" s="479">
        <v>0</v>
      </c>
    </row>
    <row r="126" spans="1:9" ht="15.75" customHeight="1">
      <c r="A126" s="467"/>
      <c r="B126" s="467"/>
      <c r="C126" s="466"/>
      <c r="D126" s="497">
        <v>45615</v>
      </c>
      <c r="E126" s="466" t="s">
        <v>618</v>
      </c>
      <c r="F126" s="466">
        <v>5498504.4900000002</v>
      </c>
      <c r="G126" s="478">
        <v>46205.919999999925</v>
      </c>
      <c r="H126" s="466">
        <v>0</v>
      </c>
      <c r="I126" s="479">
        <v>0</v>
      </c>
    </row>
    <row r="127" spans="1:9" ht="15.75" customHeight="1">
      <c r="A127" s="467"/>
      <c r="B127" s="467"/>
      <c r="C127" s="466"/>
      <c r="D127" s="497">
        <v>45616</v>
      </c>
      <c r="E127" s="466" t="s">
        <v>624</v>
      </c>
      <c r="F127" s="466">
        <v>5544710.4100000001</v>
      </c>
      <c r="G127" s="478">
        <v>46205.919999999925</v>
      </c>
      <c r="H127" s="466">
        <v>323441.44000000041</v>
      </c>
      <c r="I127" s="479">
        <v>646882.87999999989</v>
      </c>
    </row>
    <row r="128" spans="1:9" ht="15.75" customHeight="1">
      <c r="A128" s="467"/>
      <c r="B128" s="467"/>
      <c r="C128" s="466"/>
      <c r="D128" s="497">
        <v>45617</v>
      </c>
      <c r="E128" s="466" t="s">
        <v>623</v>
      </c>
      <c r="F128" s="466">
        <v>5590916.3300000001</v>
      </c>
      <c r="G128" s="478">
        <v>46205.919999999925</v>
      </c>
      <c r="H128" s="466">
        <v>0</v>
      </c>
      <c r="I128" s="479">
        <v>0</v>
      </c>
    </row>
    <row r="129" spans="1:9" ht="15.75" customHeight="1">
      <c r="A129" s="467"/>
      <c r="B129" s="467"/>
      <c r="C129" s="466"/>
      <c r="D129" s="497">
        <v>45618</v>
      </c>
      <c r="E129" s="466" t="s">
        <v>622</v>
      </c>
      <c r="F129" s="466">
        <v>5637122.25</v>
      </c>
      <c r="G129" s="478">
        <v>46205.919999999925</v>
      </c>
      <c r="H129" s="466">
        <v>0</v>
      </c>
      <c r="I129" s="479">
        <v>0</v>
      </c>
    </row>
    <row r="130" spans="1:9" ht="15.75" customHeight="1">
      <c r="A130" s="467"/>
      <c r="B130" s="467"/>
      <c r="C130" s="466"/>
      <c r="D130" s="497">
        <v>45619</v>
      </c>
      <c r="E130" s="466" t="s">
        <v>621</v>
      </c>
      <c r="F130" s="466">
        <v>5683328.1699999999</v>
      </c>
      <c r="G130" s="478">
        <v>46205.919999999925</v>
      </c>
      <c r="H130" s="466">
        <v>0</v>
      </c>
      <c r="I130" s="479">
        <v>0</v>
      </c>
    </row>
    <row r="131" spans="1:9" ht="15.75" customHeight="1">
      <c r="A131" s="467"/>
      <c r="B131" s="467"/>
      <c r="C131" s="466"/>
      <c r="D131" s="497">
        <v>45620</v>
      </c>
      <c r="E131" s="466" t="s">
        <v>620</v>
      </c>
      <c r="F131" s="466">
        <v>5729534.0899999999</v>
      </c>
      <c r="G131" s="478">
        <v>46205.919999999925</v>
      </c>
      <c r="H131" s="466">
        <v>0</v>
      </c>
      <c r="I131" s="479">
        <v>0</v>
      </c>
    </row>
    <row r="132" spans="1:9" ht="15.75" customHeight="1">
      <c r="A132" s="467"/>
      <c r="B132" s="467"/>
      <c r="C132" s="466"/>
      <c r="D132" s="497">
        <v>45621</v>
      </c>
      <c r="E132" s="466" t="s">
        <v>619</v>
      </c>
      <c r="F132" s="466">
        <v>5775740.0099999998</v>
      </c>
      <c r="G132" s="478">
        <v>46205.919999999925</v>
      </c>
      <c r="H132" s="466">
        <v>0</v>
      </c>
      <c r="I132" s="479">
        <v>0</v>
      </c>
    </row>
    <row r="133" spans="1:9" ht="15.75" customHeight="1">
      <c r="A133" s="467"/>
      <c r="B133" s="467"/>
      <c r="C133" s="466"/>
      <c r="D133" s="497">
        <v>45622</v>
      </c>
      <c r="E133" s="466" t="s">
        <v>618</v>
      </c>
      <c r="F133" s="466">
        <v>5821945.9299999997</v>
      </c>
      <c r="G133" s="478">
        <v>46205.919999999925</v>
      </c>
      <c r="H133" s="466">
        <v>0</v>
      </c>
      <c r="I133" s="479">
        <v>0</v>
      </c>
    </row>
    <row r="134" spans="1:9" ht="15.75" customHeight="1">
      <c r="A134" s="467"/>
      <c r="B134" s="467"/>
      <c r="C134" s="466"/>
      <c r="D134" s="497">
        <v>45623</v>
      </c>
      <c r="E134" s="466" t="s">
        <v>624</v>
      </c>
      <c r="F134" s="466">
        <v>5868151.8499999996</v>
      </c>
      <c r="G134" s="478">
        <v>46205.919999999925</v>
      </c>
      <c r="H134" s="466">
        <v>323441.43999999948</v>
      </c>
      <c r="I134" s="479">
        <v>0</v>
      </c>
    </row>
    <row r="135" spans="1:9" ht="15.75" customHeight="1">
      <c r="A135" s="467"/>
      <c r="B135" s="467"/>
      <c r="C135" s="466"/>
      <c r="D135" s="497">
        <v>45624</v>
      </c>
      <c r="E135" s="466" t="s">
        <v>623</v>
      </c>
      <c r="F135" s="466">
        <v>5914357.7699999996</v>
      </c>
      <c r="G135" s="478">
        <v>46205.919999999925</v>
      </c>
      <c r="H135" s="466">
        <v>0</v>
      </c>
      <c r="I135" s="479">
        <v>0</v>
      </c>
    </row>
    <row r="136" spans="1:9" ht="15.75" customHeight="1">
      <c r="A136" s="467"/>
      <c r="B136" s="467"/>
      <c r="C136" s="466"/>
      <c r="D136" s="497">
        <v>45625</v>
      </c>
      <c r="E136" s="466" t="s">
        <v>622</v>
      </c>
      <c r="F136" s="466">
        <v>5960563.6900000004</v>
      </c>
      <c r="G136" s="478">
        <v>46205.920000000857</v>
      </c>
      <c r="H136" s="466">
        <v>0</v>
      </c>
      <c r="I136" s="479">
        <v>0</v>
      </c>
    </row>
    <row r="137" spans="1:9" ht="15.75" customHeight="1">
      <c r="A137" s="467"/>
      <c r="B137" s="467"/>
      <c r="C137" s="466"/>
      <c r="D137" s="497">
        <v>45626</v>
      </c>
      <c r="E137" s="466" t="s">
        <v>621</v>
      </c>
      <c r="F137" s="466">
        <v>6006769.6100000003</v>
      </c>
      <c r="G137" s="478">
        <v>46205.919999999925</v>
      </c>
      <c r="H137" s="466">
        <v>0</v>
      </c>
      <c r="I137" s="479">
        <v>0</v>
      </c>
    </row>
    <row r="138" spans="1:9" ht="15.75" customHeight="1">
      <c r="A138" s="467"/>
      <c r="B138" s="467"/>
      <c r="C138" s="466"/>
      <c r="D138" s="497">
        <v>45627</v>
      </c>
      <c r="E138" s="466" t="s">
        <v>620</v>
      </c>
      <c r="F138" s="466">
        <v>6052975.5300000003</v>
      </c>
      <c r="G138" s="478">
        <v>46205.919999999925</v>
      </c>
      <c r="H138" s="466">
        <v>0</v>
      </c>
      <c r="I138" s="479">
        <v>0</v>
      </c>
    </row>
    <row r="139" spans="1:9" ht="15.75" customHeight="1">
      <c r="A139" s="467"/>
      <c r="B139" s="467"/>
      <c r="C139" s="466"/>
      <c r="D139" s="497">
        <v>45628</v>
      </c>
      <c r="E139" s="466" t="s">
        <v>619</v>
      </c>
      <c r="F139" s="466">
        <v>6099181.4500000002</v>
      </c>
      <c r="G139" s="478">
        <v>46205.919999999925</v>
      </c>
      <c r="H139" s="466">
        <v>0</v>
      </c>
      <c r="I139" s="479">
        <v>0</v>
      </c>
    </row>
    <row r="140" spans="1:9" ht="15.75" customHeight="1">
      <c r="A140" s="467"/>
      <c r="B140" s="467"/>
      <c r="C140" s="466"/>
      <c r="D140" s="497">
        <v>45629</v>
      </c>
      <c r="E140" s="466" t="s">
        <v>618</v>
      </c>
      <c r="F140" s="466">
        <v>6145387.3700000001</v>
      </c>
      <c r="G140" s="478">
        <v>46205.919999999925</v>
      </c>
      <c r="H140" s="466">
        <v>0</v>
      </c>
      <c r="I140" s="479">
        <v>0</v>
      </c>
    </row>
    <row r="141" spans="1:9" ht="15.75" customHeight="1">
      <c r="A141" s="467"/>
      <c r="B141" s="467"/>
      <c r="C141" s="466"/>
      <c r="D141" s="497">
        <v>45630</v>
      </c>
      <c r="E141" s="466" t="s">
        <v>624</v>
      </c>
      <c r="F141" s="466">
        <v>6191593.29</v>
      </c>
      <c r="G141" s="478">
        <v>46205.919999999925</v>
      </c>
      <c r="H141" s="466">
        <v>323441.44000000041</v>
      </c>
      <c r="I141" s="479">
        <v>646882.87999999989</v>
      </c>
    </row>
    <row r="142" spans="1:9" ht="15.75" customHeight="1">
      <c r="A142" s="467"/>
      <c r="B142" s="467"/>
      <c r="C142" s="466"/>
      <c r="D142" s="497">
        <v>45631</v>
      </c>
      <c r="E142" s="466" t="s">
        <v>623</v>
      </c>
      <c r="F142" s="466">
        <v>6237799.21</v>
      </c>
      <c r="G142" s="478">
        <v>46205.919999999925</v>
      </c>
      <c r="H142" s="466">
        <v>0</v>
      </c>
      <c r="I142" s="479">
        <v>0</v>
      </c>
    </row>
    <row r="143" spans="1:9" ht="15.75" customHeight="1">
      <c r="A143" s="467"/>
      <c r="B143" s="467"/>
      <c r="C143" s="466"/>
      <c r="D143" s="497">
        <v>45632</v>
      </c>
      <c r="E143" s="466" t="s">
        <v>622</v>
      </c>
      <c r="F143" s="466">
        <v>6284005.1299999999</v>
      </c>
      <c r="G143" s="478">
        <v>46205.919999999925</v>
      </c>
      <c r="H143" s="466">
        <v>0</v>
      </c>
      <c r="I143" s="479">
        <v>0</v>
      </c>
    </row>
    <row r="144" spans="1:9" ht="15.75" customHeight="1">
      <c r="A144" s="467"/>
      <c r="B144" s="467"/>
      <c r="C144" s="466"/>
      <c r="D144" s="497">
        <v>45633</v>
      </c>
      <c r="E144" s="466" t="s">
        <v>621</v>
      </c>
      <c r="F144" s="466">
        <v>6330211.0499999998</v>
      </c>
      <c r="G144" s="478">
        <v>46205.919999999925</v>
      </c>
      <c r="H144" s="466">
        <v>0</v>
      </c>
      <c r="I144" s="479">
        <v>0</v>
      </c>
    </row>
    <row r="145" spans="1:9" ht="15.75" customHeight="1">
      <c r="A145" s="467"/>
      <c r="B145" s="467"/>
      <c r="C145" s="466"/>
      <c r="D145" s="497">
        <v>45634</v>
      </c>
      <c r="E145" s="466" t="s">
        <v>620</v>
      </c>
      <c r="F145" s="466">
        <v>6376416.9699999997</v>
      </c>
      <c r="G145" s="478">
        <v>46205.919999999925</v>
      </c>
      <c r="H145" s="466">
        <v>0</v>
      </c>
      <c r="I145" s="479">
        <v>0</v>
      </c>
    </row>
    <row r="146" spans="1:9" ht="15.75" customHeight="1">
      <c r="A146" s="467"/>
      <c r="B146" s="467"/>
      <c r="C146" s="466"/>
      <c r="D146" s="497">
        <v>45635</v>
      </c>
      <c r="E146" s="466" t="s">
        <v>619</v>
      </c>
      <c r="F146" s="466">
        <v>6422622.8899999997</v>
      </c>
      <c r="G146" s="478">
        <v>46205.919999999925</v>
      </c>
      <c r="H146" s="466">
        <v>0</v>
      </c>
      <c r="I146" s="479">
        <v>0</v>
      </c>
    </row>
    <row r="147" spans="1:9" ht="15.75" customHeight="1">
      <c r="A147" s="467"/>
      <c r="B147" s="467"/>
      <c r="C147" s="466"/>
      <c r="D147" s="497">
        <v>45636</v>
      </c>
      <c r="E147" s="466" t="s">
        <v>618</v>
      </c>
      <c r="F147" s="466">
        <v>6468828.8099999996</v>
      </c>
      <c r="G147" s="478">
        <v>46205.919999999925</v>
      </c>
      <c r="H147" s="466">
        <v>0</v>
      </c>
      <c r="I147" s="479">
        <v>0</v>
      </c>
    </row>
    <row r="148" spans="1:9" ht="15.75" customHeight="1">
      <c r="A148" s="467"/>
      <c r="B148" s="467"/>
      <c r="C148" s="466"/>
      <c r="D148" s="497">
        <v>45637</v>
      </c>
      <c r="E148" s="466" t="s">
        <v>624</v>
      </c>
      <c r="F148" s="466">
        <v>6515034.7300000004</v>
      </c>
      <c r="G148" s="478">
        <v>46205.920000000857</v>
      </c>
      <c r="H148" s="466">
        <v>323441.44000000041</v>
      </c>
      <c r="I148" s="479">
        <v>0</v>
      </c>
    </row>
    <row r="149" spans="1:9" ht="15.75" customHeight="1">
      <c r="A149" s="467"/>
      <c r="B149" s="467"/>
      <c r="C149" s="466"/>
      <c r="D149" s="497">
        <v>45638</v>
      </c>
      <c r="E149" s="466" t="s">
        <v>623</v>
      </c>
      <c r="F149" s="466">
        <v>6561240.6500000004</v>
      </c>
      <c r="G149" s="478">
        <v>46205.919999999925</v>
      </c>
      <c r="H149" s="466">
        <v>0</v>
      </c>
      <c r="I149" s="479">
        <v>0</v>
      </c>
    </row>
    <row r="150" spans="1:9" ht="15.75" customHeight="1">
      <c r="A150" s="467"/>
      <c r="B150" s="467"/>
      <c r="C150" s="466"/>
      <c r="D150" s="497">
        <v>45639</v>
      </c>
      <c r="E150" s="466" t="s">
        <v>622</v>
      </c>
      <c r="F150" s="466">
        <v>6607446.5700000003</v>
      </c>
      <c r="G150" s="478">
        <v>46205.919999999925</v>
      </c>
      <c r="H150" s="466">
        <v>0</v>
      </c>
      <c r="I150" s="479">
        <v>0</v>
      </c>
    </row>
    <row r="151" spans="1:9" ht="15.75" customHeight="1">
      <c r="A151" s="467"/>
      <c r="B151" s="467"/>
      <c r="C151" s="466"/>
      <c r="D151" s="497">
        <v>45640</v>
      </c>
      <c r="E151" s="466" t="s">
        <v>621</v>
      </c>
      <c r="F151" s="466">
        <v>6653652.4900000002</v>
      </c>
      <c r="G151" s="478">
        <v>46205.919999999925</v>
      </c>
      <c r="H151" s="466">
        <v>0</v>
      </c>
      <c r="I151" s="479">
        <v>0</v>
      </c>
    </row>
    <row r="152" spans="1:9" ht="15.75" customHeight="1">
      <c r="A152" s="467"/>
      <c r="B152" s="467"/>
      <c r="C152" s="466"/>
      <c r="D152" s="497">
        <v>45641</v>
      </c>
      <c r="E152" s="466" t="s">
        <v>620</v>
      </c>
      <c r="F152" s="466">
        <v>6699858.4100000001</v>
      </c>
      <c r="G152" s="478">
        <v>46205.919999999925</v>
      </c>
      <c r="H152" s="466">
        <v>0</v>
      </c>
      <c r="I152" s="479">
        <v>0</v>
      </c>
    </row>
    <row r="153" spans="1:9" ht="15.75" customHeight="1">
      <c r="A153" s="467"/>
      <c r="B153" s="467"/>
      <c r="C153" s="466"/>
      <c r="D153" s="497">
        <v>45642</v>
      </c>
      <c r="E153" s="466" t="s">
        <v>619</v>
      </c>
      <c r="F153" s="466">
        <v>6746064.3300000001</v>
      </c>
      <c r="G153" s="478">
        <v>46205.919999999925</v>
      </c>
      <c r="H153" s="466">
        <v>0</v>
      </c>
      <c r="I153" s="479">
        <v>0</v>
      </c>
    </row>
    <row r="154" spans="1:9" ht="15.75" customHeight="1">
      <c r="A154" s="467"/>
      <c r="B154" s="467"/>
      <c r="C154" s="466"/>
      <c r="D154" s="497">
        <v>45643</v>
      </c>
      <c r="E154" s="466" t="s">
        <v>618</v>
      </c>
      <c r="F154" s="466">
        <v>6792270.25</v>
      </c>
      <c r="G154" s="478">
        <v>46205.919999999925</v>
      </c>
      <c r="H154" s="466">
        <v>0</v>
      </c>
      <c r="I154" s="479">
        <v>0</v>
      </c>
    </row>
    <row r="155" spans="1:9" ht="15.75" customHeight="1">
      <c r="A155" s="467"/>
      <c r="B155" s="467"/>
      <c r="C155" s="466"/>
      <c r="D155" s="497">
        <v>45644</v>
      </c>
      <c r="E155" s="466" t="s">
        <v>624</v>
      </c>
      <c r="F155" s="466">
        <v>6838476.1699999999</v>
      </c>
      <c r="G155" s="478">
        <v>46205.919999999925</v>
      </c>
      <c r="H155" s="466">
        <v>323441.43999999948</v>
      </c>
      <c r="I155" s="479">
        <v>646882.87999999989</v>
      </c>
    </row>
    <row r="156" spans="1:9" ht="15.75" customHeight="1">
      <c r="A156" s="467"/>
      <c r="B156" s="467"/>
      <c r="C156" s="466"/>
      <c r="D156" s="497">
        <v>45645</v>
      </c>
      <c r="E156" s="466" t="s">
        <v>623</v>
      </c>
      <c r="F156" s="466">
        <v>6884682.0899999999</v>
      </c>
      <c r="G156" s="478">
        <v>46205.919999999925</v>
      </c>
      <c r="H156" s="466">
        <v>0</v>
      </c>
      <c r="I156" s="479">
        <v>0</v>
      </c>
    </row>
    <row r="157" spans="1:9" ht="15.75" customHeight="1">
      <c r="A157" s="467"/>
      <c r="B157" s="467"/>
      <c r="C157" s="466"/>
      <c r="D157" s="497">
        <v>45646</v>
      </c>
      <c r="E157" s="466" t="s">
        <v>622</v>
      </c>
      <c r="F157" s="466">
        <v>6930888.0199999996</v>
      </c>
      <c r="G157" s="478">
        <v>46205.929999999702</v>
      </c>
      <c r="H157" s="466">
        <v>0</v>
      </c>
      <c r="I157" s="479">
        <v>0</v>
      </c>
    </row>
    <row r="158" spans="1:9" ht="15.75" customHeight="1">
      <c r="A158" s="467"/>
      <c r="B158" s="467"/>
      <c r="C158" s="466"/>
      <c r="D158" s="497">
        <v>45647</v>
      </c>
      <c r="E158" s="466" t="s">
        <v>621</v>
      </c>
      <c r="F158" s="466">
        <v>6977093.9400000004</v>
      </c>
      <c r="G158" s="478">
        <v>46205.920000000857</v>
      </c>
      <c r="H158" s="466">
        <v>0</v>
      </c>
      <c r="I158" s="479">
        <v>0</v>
      </c>
    </row>
    <row r="159" spans="1:9" ht="15.75" customHeight="1">
      <c r="A159" s="467"/>
      <c r="B159" s="467"/>
      <c r="C159" s="466"/>
      <c r="D159" s="497">
        <v>45648</v>
      </c>
      <c r="E159" s="466" t="s">
        <v>620</v>
      </c>
      <c r="F159" s="466">
        <v>7023299.8600000003</v>
      </c>
      <c r="G159" s="478">
        <v>46205.919999999925</v>
      </c>
      <c r="H159" s="466">
        <v>0</v>
      </c>
      <c r="I159" s="479">
        <v>0</v>
      </c>
    </row>
    <row r="160" spans="1:9" ht="15.75" customHeight="1">
      <c r="A160" s="467"/>
      <c r="B160" s="467"/>
      <c r="C160" s="466"/>
      <c r="D160" s="497">
        <v>45649</v>
      </c>
      <c r="E160" s="466" t="s">
        <v>619</v>
      </c>
      <c r="F160" s="466">
        <v>7069505.7800000003</v>
      </c>
      <c r="G160" s="478">
        <v>46205.919999999925</v>
      </c>
      <c r="H160" s="466">
        <v>0</v>
      </c>
      <c r="I160" s="479">
        <v>0</v>
      </c>
    </row>
    <row r="161" spans="1:9" ht="15.75" customHeight="1">
      <c r="A161" s="467"/>
      <c r="B161" s="467"/>
      <c r="C161" s="466"/>
      <c r="D161" s="497">
        <v>45650</v>
      </c>
      <c r="E161" s="466" t="s">
        <v>618</v>
      </c>
      <c r="F161" s="466">
        <v>7115711.7000000002</v>
      </c>
      <c r="G161" s="478">
        <v>46205.919999999925</v>
      </c>
      <c r="H161" s="466">
        <v>0</v>
      </c>
      <c r="I161" s="479">
        <v>0</v>
      </c>
    </row>
    <row r="162" spans="1:9" ht="15.75" customHeight="1">
      <c r="A162" s="467"/>
      <c r="B162" s="467"/>
      <c r="C162" s="466"/>
      <c r="D162" s="497">
        <v>45651</v>
      </c>
      <c r="E162" s="466" t="s">
        <v>624</v>
      </c>
      <c r="F162" s="466">
        <v>7161917.6200000001</v>
      </c>
      <c r="G162" s="478">
        <v>46205.919999999925</v>
      </c>
      <c r="H162" s="466">
        <v>323441.45000000019</v>
      </c>
      <c r="I162" s="479">
        <v>0</v>
      </c>
    </row>
    <row r="163" spans="1:9" ht="15.75" customHeight="1">
      <c r="A163" s="467"/>
      <c r="B163" s="467"/>
      <c r="C163" s="466"/>
      <c r="D163" s="497">
        <v>45652</v>
      </c>
      <c r="E163" s="466" t="s">
        <v>623</v>
      </c>
      <c r="F163" s="466">
        <v>7208123.54</v>
      </c>
      <c r="G163" s="478">
        <v>46205.919999999925</v>
      </c>
      <c r="H163" s="466">
        <v>0</v>
      </c>
      <c r="I163" s="479">
        <v>0</v>
      </c>
    </row>
    <row r="164" spans="1:9" ht="15.75" customHeight="1">
      <c r="A164" s="467"/>
      <c r="B164" s="467"/>
      <c r="C164" s="466"/>
      <c r="D164" s="497">
        <v>45653</v>
      </c>
      <c r="E164" s="466" t="s">
        <v>622</v>
      </c>
      <c r="F164" s="466">
        <v>7254329.46</v>
      </c>
      <c r="G164" s="478">
        <v>46205.919999999925</v>
      </c>
      <c r="H164" s="466">
        <v>0</v>
      </c>
      <c r="I164" s="479">
        <v>0</v>
      </c>
    </row>
    <row r="165" spans="1:9" ht="15.75" customHeight="1">
      <c r="A165" s="467"/>
      <c r="B165" s="467"/>
      <c r="C165" s="466"/>
      <c r="D165" s="497">
        <v>45654</v>
      </c>
      <c r="E165" s="466" t="s">
        <v>621</v>
      </c>
      <c r="F165" s="466">
        <v>7300535.3799999999</v>
      </c>
      <c r="G165" s="478">
        <v>46205.919999999925</v>
      </c>
      <c r="H165" s="466">
        <v>0</v>
      </c>
      <c r="I165" s="479">
        <v>0</v>
      </c>
    </row>
    <row r="166" spans="1:9" ht="15.75" customHeight="1">
      <c r="A166" s="467"/>
      <c r="B166" s="467"/>
      <c r="C166" s="466"/>
      <c r="D166" s="497">
        <v>45655</v>
      </c>
      <c r="E166" s="466" t="s">
        <v>620</v>
      </c>
      <c r="F166" s="466">
        <v>7346741.2999999998</v>
      </c>
      <c r="G166" s="478">
        <v>46205.919999999925</v>
      </c>
      <c r="H166" s="466">
        <v>0</v>
      </c>
      <c r="I166" s="479">
        <v>0</v>
      </c>
    </row>
    <row r="167" spans="1:9" ht="15.75" customHeight="1">
      <c r="A167" s="467"/>
      <c r="B167" s="467"/>
      <c r="C167" s="466"/>
      <c r="D167" s="497">
        <v>45656</v>
      </c>
      <c r="E167" s="466" t="s">
        <v>619</v>
      </c>
      <c r="F167" s="466">
        <v>7392947.2199999997</v>
      </c>
      <c r="G167" s="478">
        <v>46205.919999999925</v>
      </c>
      <c r="H167" s="466">
        <v>0</v>
      </c>
      <c r="I167" s="479">
        <v>0</v>
      </c>
    </row>
    <row r="168" spans="1:9" ht="15.75" customHeight="1">
      <c r="A168" s="467"/>
      <c r="B168" s="467"/>
      <c r="C168" s="466"/>
      <c r="D168" s="497">
        <v>45657</v>
      </c>
      <c r="E168" s="466" t="s">
        <v>618</v>
      </c>
      <c r="F168" s="466">
        <v>7439153.1399999997</v>
      </c>
      <c r="G168" s="478">
        <v>46205.919999999925</v>
      </c>
      <c r="H168" s="466">
        <v>0</v>
      </c>
      <c r="I168" s="479">
        <v>0</v>
      </c>
    </row>
    <row r="169" spans="1:9" ht="15.75" customHeight="1">
      <c r="A169" s="467"/>
      <c r="B169" s="467"/>
      <c r="C169" s="466"/>
      <c r="D169" s="497">
        <v>45658</v>
      </c>
      <c r="E169" s="466" t="s">
        <v>624</v>
      </c>
      <c r="F169" s="466">
        <v>7485359.0599999996</v>
      </c>
      <c r="G169" s="478">
        <v>46205.919999999925</v>
      </c>
      <c r="H169" s="466">
        <v>323441.43999999948</v>
      </c>
      <c r="I169" s="479">
        <v>646882.88999999966</v>
      </c>
    </row>
    <row r="170" spans="1:9" ht="15.75" customHeight="1">
      <c r="A170" s="467"/>
      <c r="B170" s="467"/>
      <c r="C170" s="466"/>
      <c r="D170" s="497">
        <v>45659</v>
      </c>
      <c r="E170" s="466" t="s">
        <v>623</v>
      </c>
      <c r="F170" s="466">
        <v>7531564.9800000004</v>
      </c>
      <c r="G170" s="478">
        <v>46205.920000000857</v>
      </c>
      <c r="H170" s="466">
        <v>0</v>
      </c>
      <c r="I170" s="479">
        <v>0</v>
      </c>
    </row>
    <row r="171" spans="1:9" ht="15.75" customHeight="1">
      <c r="A171" s="467"/>
      <c r="B171" s="467"/>
      <c r="C171" s="466"/>
      <c r="D171" s="497">
        <v>45660</v>
      </c>
      <c r="E171" s="466" t="s">
        <v>622</v>
      </c>
      <c r="F171" s="466">
        <v>7577770.9000000004</v>
      </c>
      <c r="G171" s="478">
        <v>46205.919999999925</v>
      </c>
      <c r="H171" s="466">
        <v>0</v>
      </c>
      <c r="I171" s="479">
        <v>0</v>
      </c>
    </row>
    <row r="172" spans="1:9" ht="15.75" customHeight="1">
      <c r="A172" s="467"/>
      <c r="B172" s="467"/>
      <c r="C172" s="466"/>
      <c r="D172" s="497">
        <v>45661</v>
      </c>
      <c r="E172" s="466" t="s">
        <v>621</v>
      </c>
      <c r="F172" s="466">
        <v>7623976.8200000003</v>
      </c>
      <c r="G172" s="478">
        <v>46205.919999999925</v>
      </c>
      <c r="H172" s="466">
        <v>0</v>
      </c>
      <c r="I172" s="479">
        <v>0</v>
      </c>
    </row>
    <row r="173" spans="1:9" ht="15.75" customHeight="1">
      <c r="A173" s="467"/>
      <c r="B173" s="467"/>
      <c r="C173" s="466"/>
      <c r="D173" s="497">
        <v>45662</v>
      </c>
      <c r="E173" s="466" t="s">
        <v>620</v>
      </c>
      <c r="F173" s="466">
        <v>7670182.7400000002</v>
      </c>
      <c r="G173" s="478">
        <v>46205.919999999925</v>
      </c>
      <c r="H173" s="466">
        <v>0</v>
      </c>
      <c r="I173" s="479">
        <v>0</v>
      </c>
    </row>
    <row r="174" spans="1:9" ht="15.75" customHeight="1">
      <c r="A174" s="467"/>
      <c r="B174" s="467"/>
      <c r="C174" s="466"/>
      <c r="D174" s="497">
        <v>45663</v>
      </c>
      <c r="E174" s="466" t="s">
        <v>619</v>
      </c>
      <c r="F174" s="466">
        <v>7716388.6600000001</v>
      </c>
      <c r="G174" s="478">
        <v>46205.919999999925</v>
      </c>
      <c r="H174" s="466">
        <v>0</v>
      </c>
      <c r="I174" s="479">
        <v>0</v>
      </c>
    </row>
    <row r="175" spans="1:9" ht="15.75" customHeight="1">
      <c r="A175" s="467"/>
      <c r="B175" s="467"/>
      <c r="C175" s="466"/>
      <c r="D175" s="497">
        <v>45664</v>
      </c>
      <c r="E175" s="466" t="s">
        <v>618</v>
      </c>
      <c r="F175" s="466">
        <v>7762594.5800000001</v>
      </c>
      <c r="G175" s="478">
        <v>46205.919999999925</v>
      </c>
      <c r="H175" s="466">
        <v>0</v>
      </c>
      <c r="I175" s="479">
        <v>0</v>
      </c>
    </row>
    <row r="176" spans="1:9" ht="15.75" customHeight="1">
      <c r="A176" s="467"/>
      <c r="B176" s="467"/>
      <c r="C176" s="466"/>
      <c r="D176" s="497">
        <v>45665</v>
      </c>
      <c r="E176" s="466" t="s">
        <v>624</v>
      </c>
      <c r="F176" s="466">
        <v>7808800.5</v>
      </c>
      <c r="G176" s="478">
        <v>46205.919999999925</v>
      </c>
      <c r="H176" s="466">
        <v>323441.44000000041</v>
      </c>
      <c r="I176" s="479">
        <v>0</v>
      </c>
    </row>
    <row r="177" spans="1:9" ht="15.75" customHeight="1">
      <c r="A177" s="467"/>
      <c r="B177" s="467"/>
      <c r="C177" s="466"/>
      <c r="D177" s="497">
        <v>45666</v>
      </c>
      <c r="E177" s="466" t="s">
        <v>623</v>
      </c>
      <c r="F177" s="466">
        <v>7855006.4199999999</v>
      </c>
      <c r="G177" s="478">
        <v>46205.919999999925</v>
      </c>
      <c r="H177" s="466">
        <v>0</v>
      </c>
      <c r="I177" s="479">
        <v>0</v>
      </c>
    </row>
    <row r="178" spans="1:9" ht="15.75" customHeight="1">
      <c r="A178" s="467"/>
      <c r="B178" s="467"/>
      <c r="C178" s="466"/>
      <c r="D178" s="497">
        <v>45667</v>
      </c>
      <c r="E178" s="466" t="s">
        <v>622</v>
      </c>
      <c r="F178" s="466">
        <v>7901212.3399999999</v>
      </c>
      <c r="G178" s="478">
        <v>46205.919999999925</v>
      </c>
      <c r="H178" s="466">
        <v>0</v>
      </c>
      <c r="I178" s="479">
        <v>0</v>
      </c>
    </row>
    <row r="179" spans="1:9" ht="15.75" customHeight="1">
      <c r="A179" s="467"/>
      <c r="B179" s="467"/>
      <c r="C179" s="466"/>
      <c r="D179" s="497">
        <v>45668</v>
      </c>
      <c r="E179" s="466" t="s">
        <v>621</v>
      </c>
      <c r="F179" s="466">
        <v>7947418.2599999998</v>
      </c>
      <c r="G179" s="478">
        <v>46205.919999999925</v>
      </c>
      <c r="H179" s="466">
        <v>0</v>
      </c>
      <c r="I179" s="479">
        <v>0</v>
      </c>
    </row>
    <row r="180" spans="1:9" ht="15.75" customHeight="1">
      <c r="A180" s="467"/>
      <c r="B180" s="467"/>
      <c r="C180" s="466"/>
      <c r="D180" s="497">
        <v>45669</v>
      </c>
      <c r="E180" s="466" t="s">
        <v>620</v>
      </c>
      <c r="F180" s="466">
        <v>7993624.1799999997</v>
      </c>
      <c r="G180" s="478">
        <v>46205.919999999925</v>
      </c>
      <c r="H180" s="466">
        <v>0</v>
      </c>
      <c r="I180" s="479">
        <v>0</v>
      </c>
    </row>
    <row r="181" spans="1:9" ht="15.75" customHeight="1">
      <c r="A181" s="467"/>
      <c r="B181" s="467"/>
      <c r="C181" s="466"/>
      <c r="D181" s="497">
        <v>45670</v>
      </c>
      <c r="E181" s="466" t="s">
        <v>619</v>
      </c>
      <c r="F181" s="466">
        <v>8039830.0999999996</v>
      </c>
      <c r="G181" s="478">
        <v>46205.919999999925</v>
      </c>
      <c r="H181" s="466">
        <v>0</v>
      </c>
      <c r="I181" s="479">
        <v>0</v>
      </c>
    </row>
    <row r="182" spans="1:9" ht="15.75" customHeight="1">
      <c r="A182" s="467"/>
      <c r="B182" s="467"/>
      <c r="C182" s="466"/>
      <c r="D182" s="497">
        <v>45671</v>
      </c>
      <c r="E182" s="466" t="s">
        <v>618</v>
      </c>
      <c r="F182" s="466">
        <v>8086036.0199999996</v>
      </c>
      <c r="G182" s="478">
        <v>46205.919999999925</v>
      </c>
      <c r="H182" s="466">
        <v>0</v>
      </c>
      <c r="I182" s="479">
        <v>0</v>
      </c>
    </row>
    <row r="183" spans="1:9" ht="15.75" customHeight="1">
      <c r="A183" s="467"/>
      <c r="B183" s="467"/>
      <c r="C183" s="466"/>
      <c r="D183" s="497">
        <v>45672</v>
      </c>
      <c r="E183" s="466" t="s">
        <v>624</v>
      </c>
      <c r="F183" s="466">
        <v>8132241.9400000004</v>
      </c>
      <c r="G183" s="478">
        <v>46205.920000000857</v>
      </c>
      <c r="H183" s="466">
        <v>323441.44000000041</v>
      </c>
      <c r="I183" s="479">
        <v>646882.88000000082</v>
      </c>
    </row>
    <row r="184" spans="1:9" ht="15.75" customHeight="1">
      <c r="A184" s="467"/>
      <c r="B184" s="467"/>
      <c r="C184" s="466"/>
      <c r="D184" s="497">
        <v>45673</v>
      </c>
      <c r="E184" s="466" t="s">
        <v>623</v>
      </c>
      <c r="F184" s="466">
        <v>8178447.8600000003</v>
      </c>
      <c r="G184" s="478">
        <v>46205.919999999925</v>
      </c>
      <c r="H184" s="466">
        <v>0</v>
      </c>
      <c r="I184" s="479">
        <v>0</v>
      </c>
    </row>
    <row r="185" spans="1:9" ht="15.75" customHeight="1">
      <c r="A185" s="467"/>
      <c r="B185" s="467"/>
      <c r="C185" s="466"/>
      <c r="D185" s="497">
        <v>45674</v>
      </c>
      <c r="E185" s="466" t="s">
        <v>622</v>
      </c>
      <c r="F185" s="466">
        <v>8224653.7800000003</v>
      </c>
      <c r="G185" s="478">
        <v>46205.919999999925</v>
      </c>
      <c r="H185" s="466">
        <v>0</v>
      </c>
      <c r="I185" s="479">
        <v>0</v>
      </c>
    </row>
    <row r="186" spans="1:9" ht="15.75" customHeight="1">
      <c r="A186" s="467"/>
      <c r="B186" s="467"/>
      <c r="C186" s="466"/>
      <c r="D186" s="497">
        <v>45675</v>
      </c>
      <c r="E186" s="466" t="s">
        <v>621</v>
      </c>
      <c r="F186" s="466">
        <v>8270859.7000000002</v>
      </c>
      <c r="G186" s="478">
        <v>46205.919999999925</v>
      </c>
      <c r="H186" s="466">
        <v>0</v>
      </c>
      <c r="I186" s="479">
        <v>0</v>
      </c>
    </row>
    <row r="187" spans="1:9" ht="15.75" customHeight="1">
      <c r="A187" s="467"/>
      <c r="B187" s="467"/>
      <c r="C187" s="466"/>
      <c r="D187" s="497">
        <v>45676</v>
      </c>
      <c r="E187" s="466" t="s">
        <v>620</v>
      </c>
      <c r="F187" s="466">
        <v>8317065.6200000001</v>
      </c>
      <c r="G187" s="478">
        <v>46205.919999999925</v>
      </c>
      <c r="H187" s="466">
        <v>0</v>
      </c>
      <c r="I187" s="479">
        <v>0</v>
      </c>
    </row>
    <row r="188" spans="1:9" ht="15.75" customHeight="1">
      <c r="A188" s="467"/>
      <c r="B188" s="467"/>
      <c r="C188" s="466"/>
      <c r="D188" s="497">
        <v>45677</v>
      </c>
      <c r="E188" s="466" t="s">
        <v>619</v>
      </c>
      <c r="F188" s="466">
        <v>8363271.54</v>
      </c>
      <c r="G188" s="478">
        <v>46205.919999999925</v>
      </c>
      <c r="H188" s="466">
        <v>0</v>
      </c>
      <c r="I188" s="479">
        <v>0</v>
      </c>
    </row>
    <row r="189" spans="1:9" ht="15.75" customHeight="1">
      <c r="A189" s="467"/>
      <c r="B189" s="467"/>
      <c r="C189" s="466"/>
      <c r="D189" s="497">
        <v>45678</v>
      </c>
      <c r="E189" s="466" t="s">
        <v>618</v>
      </c>
      <c r="F189" s="466">
        <v>8409477.4600000009</v>
      </c>
      <c r="G189" s="478">
        <v>46205.920000000857</v>
      </c>
      <c r="H189" s="466">
        <v>0</v>
      </c>
      <c r="I189" s="479">
        <v>0</v>
      </c>
    </row>
    <row r="190" spans="1:9" ht="15.75" customHeight="1">
      <c r="A190" s="467"/>
      <c r="B190" s="467"/>
      <c r="C190" s="466"/>
      <c r="D190" s="497">
        <v>45679</v>
      </c>
      <c r="E190" s="466" t="s">
        <v>624</v>
      </c>
      <c r="F190" s="466">
        <v>8455683.3800000008</v>
      </c>
      <c r="G190" s="478">
        <v>46205.919999999925</v>
      </c>
      <c r="H190" s="466">
        <v>323441.44000000041</v>
      </c>
      <c r="I190" s="479">
        <v>0</v>
      </c>
    </row>
    <row r="191" spans="1:9" ht="15.75" customHeight="1">
      <c r="A191" s="467"/>
      <c r="B191" s="467"/>
      <c r="C191" s="466"/>
      <c r="D191" s="497">
        <v>45680</v>
      </c>
      <c r="E191" s="466" t="s">
        <v>623</v>
      </c>
      <c r="F191" s="466">
        <v>8501889.3000000007</v>
      </c>
      <c r="G191" s="478">
        <v>46205.919999999925</v>
      </c>
      <c r="H191" s="466">
        <v>0</v>
      </c>
      <c r="I191" s="479">
        <v>0</v>
      </c>
    </row>
    <row r="192" spans="1:9" ht="15.75" customHeight="1">
      <c r="A192" s="467"/>
      <c r="B192" s="467"/>
      <c r="C192" s="466"/>
      <c r="D192" s="497">
        <v>45681</v>
      </c>
      <c r="E192" s="466" t="s">
        <v>622</v>
      </c>
      <c r="F192" s="466">
        <v>8548095.2200000007</v>
      </c>
      <c r="G192" s="478">
        <v>46205.919999999925</v>
      </c>
      <c r="H192" s="466">
        <v>0</v>
      </c>
      <c r="I192" s="479">
        <v>0</v>
      </c>
    </row>
    <row r="193" spans="1:9" ht="15.75" customHeight="1">
      <c r="A193" s="467"/>
      <c r="B193" s="467"/>
      <c r="C193" s="466"/>
      <c r="D193" s="497">
        <v>45682</v>
      </c>
      <c r="E193" s="466" t="s">
        <v>621</v>
      </c>
      <c r="F193" s="466">
        <v>8594301.1400000006</v>
      </c>
      <c r="G193" s="478">
        <v>46205.919999999925</v>
      </c>
      <c r="H193" s="466">
        <v>0</v>
      </c>
      <c r="I193" s="479">
        <v>0</v>
      </c>
    </row>
    <row r="194" spans="1:9" ht="15.75" customHeight="1">
      <c r="A194" s="467"/>
      <c r="B194" s="467"/>
      <c r="C194" s="466"/>
      <c r="D194" s="497">
        <v>45683</v>
      </c>
      <c r="E194" s="466" t="s">
        <v>620</v>
      </c>
      <c r="F194" s="466">
        <v>8640507.0600000005</v>
      </c>
      <c r="G194" s="478">
        <v>46205.919999999925</v>
      </c>
      <c r="H194" s="466">
        <v>0</v>
      </c>
      <c r="I194" s="479">
        <v>0</v>
      </c>
    </row>
    <row r="195" spans="1:9" ht="15.75" customHeight="1">
      <c r="A195" s="467"/>
      <c r="B195" s="467"/>
      <c r="C195" s="466"/>
      <c r="D195" s="497">
        <v>45684</v>
      </c>
      <c r="E195" s="466" t="s">
        <v>619</v>
      </c>
      <c r="F195" s="466">
        <v>8686712.9800000004</v>
      </c>
      <c r="G195" s="478">
        <v>46205.919999999925</v>
      </c>
      <c r="H195" s="466">
        <v>0</v>
      </c>
      <c r="I195" s="479">
        <v>0</v>
      </c>
    </row>
    <row r="196" spans="1:9" ht="15.75" customHeight="1">
      <c r="A196" s="467"/>
      <c r="B196" s="467"/>
      <c r="C196" s="466"/>
      <c r="D196" s="497">
        <v>45685</v>
      </c>
      <c r="E196" s="466" t="s">
        <v>618</v>
      </c>
      <c r="F196" s="466">
        <v>8732918.9000000004</v>
      </c>
      <c r="G196" s="478">
        <v>46205.919999999925</v>
      </c>
      <c r="H196" s="466">
        <v>0</v>
      </c>
      <c r="I196" s="479">
        <v>0</v>
      </c>
    </row>
    <row r="197" spans="1:9" ht="15.75" customHeight="1">
      <c r="A197" s="467"/>
      <c r="B197" s="467"/>
      <c r="C197" s="466"/>
      <c r="D197" s="497">
        <v>45686</v>
      </c>
      <c r="E197" s="466" t="s">
        <v>624</v>
      </c>
      <c r="F197" s="466">
        <v>8779124.8200000003</v>
      </c>
      <c r="G197" s="478">
        <v>46205.919999999925</v>
      </c>
      <c r="H197" s="466">
        <v>323441.43999999948</v>
      </c>
      <c r="I197" s="479">
        <v>646882.87999999989</v>
      </c>
    </row>
    <row r="198" spans="1:9" ht="15.75" customHeight="1">
      <c r="A198" s="467"/>
      <c r="B198" s="467"/>
      <c r="C198" s="466"/>
      <c r="D198" s="497">
        <v>45687</v>
      </c>
      <c r="E198" s="466" t="s">
        <v>623</v>
      </c>
      <c r="F198" s="466">
        <v>8825330.7400000002</v>
      </c>
      <c r="G198" s="478">
        <v>46205.919999999925</v>
      </c>
      <c r="H198" s="466">
        <v>0</v>
      </c>
      <c r="I198" s="479">
        <v>0</v>
      </c>
    </row>
    <row r="199" spans="1:9" ht="15.75" customHeight="1">
      <c r="A199" s="467"/>
      <c r="B199" s="467"/>
      <c r="C199" s="466"/>
      <c r="D199" s="497">
        <v>45688</v>
      </c>
      <c r="E199" s="466" t="s">
        <v>622</v>
      </c>
      <c r="F199" s="466">
        <v>8871536.6600000001</v>
      </c>
      <c r="G199" s="478">
        <v>46205.919999999925</v>
      </c>
      <c r="H199" s="466">
        <v>0</v>
      </c>
      <c r="I199" s="479">
        <v>0</v>
      </c>
    </row>
    <row r="200" spans="1:9" ht="15.75" customHeight="1">
      <c r="A200" s="467"/>
      <c r="B200" s="467"/>
      <c r="C200" s="466"/>
      <c r="D200" s="497">
        <v>45689</v>
      </c>
      <c r="E200" s="466" t="s">
        <v>621</v>
      </c>
      <c r="F200" s="466">
        <v>8917742.5800000001</v>
      </c>
      <c r="G200" s="478">
        <v>46205.919999999925</v>
      </c>
      <c r="H200" s="466">
        <v>0</v>
      </c>
      <c r="I200" s="479">
        <v>0</v>
      </c>
    </row>
    <row r="201" spans="1:9" ht="15.75" customHeight="1">
      <c r="A201" s="467"/>
      <c r="B201" s="467"/>
      <c r="C201" s="466"/>
      <c r="D201" s="497">
        <v>45690</v>
      </c>
      <c r="E201" s="466" t="s">
        <v>620</v>
      </c>
      <c r="F201" s="466">
        <v>8963948.5</v>
      </c>
      <c r="G201" s="478">
        <v>46205.919999999925</v>
      </c>
      <c r="H201" s="466">
        <v>0</v>
      </c>
      <c r="I201" s="479">
        <v>0</v>
      </c>
    </row>
    <row r="202" spans="1:9" ht="15.75" customHeight="1">
      <c r="A202" s="467"/>
      <c r="B202" s="467"/>
      <c r="C202" s="466"/>
      <c r="D202" s="497">
        <v>45691</v>
      </c>
      <c r="E202" s="466" t="s">
        <v>619</v>
      </c>
      <c r="F202" s="466">
        <v>9010154.4199999999</v>
      </c>
      <c r="G202" s="478">
        <v>46205.919999999925</v>
      </c>
      <c r="H202" s="466">
        <v>0</v>
      </c>
      <c r="I202" s="479">
        <v>0</v>
      </c>
    </row>
    <row r="203" spans="1:9" ht="15.75" customHeight="1">
      <c r="A203" s="467"/>
      <c r="B203" s="467"/>
      <c r="C203" s="466"/>
      <c r="D203" s="497">
        <v>45692</v>
      </c>
      <c r="E203" s="466" t="s">
        <v>618</v>
      </c>
      <c r="F203" s="466">
        <v>9056360.3399999999</v>
      </c>
      <c r="G203" s="478">
        <v>46205.919999999925</v>
      </c>
      <c r="H203" s="466">
        <v>0</v>
      </c>
      <c r="I203" s="479">
        <v>0</v>
      </c>
    </row>
    <row r="204" spans="1:9" ht="15.75" customHeight="1">
      <c r="A204" s="467"/>
      <c r="B204" s="467"/>
      <c r="C204" s="466"/>
      <c r="D204" s="497">
        <v>45693</v>
      </c>
      <c r="E204" s="466" t="s">
        <v>624</v>
      </c>
      <c r="F204" s="466">
        <v>9102566.2599999998</v>
      </c>
      <c r="G204" s="478">
        <v>46205.919999999925</v>
      </c>
      <c r="H204" s="466">
        <v>323441.43999999948</v>
      </c>
      <c r="I204" s="479">
        <v>0</v>
      </c>
    </row>
    <row r="205" spans="1:9" ht="15.75" customHeight="1">
      <c r="A205" s="467"/>
      <c r="B205" s="467"/>
      <c r="C205" s="466"/>
      <c r="D205" s="497">
        <v>45694</v>
      </c>
      <c r="E205" s="466" t="s">
        <v>623</v>
      </c>
      <c r="F205" s="466">
        <v>9148772.1799999997</v>
      </c>
      <c r="G205" s="478">
        <v>46205.919999999925</v>
      </c>
      <c r="H205" s="466">
        <v>0</v>
      </c>
      <c r="I205" s="479">
        <v>0</v>
      </c>
    </row>
    <row r="206" spans="1:9" ht="15.75" customHeight="1">
      <c r="A206" s="467"/>
      <c r="B206" s="467"/>
      <c r="C206" s="466"/>
      <c r="D206" s="497">
        <v>45695</v>
      </c>
      <c r="E206" s="466" t="s">
        <v>622</v>
      </c>
      <c r="F206" s="466">
        <v>9194978.0999999996</v>
      </c>
      <c r="G206" s="478">
        <v>46205.919999999925</v>
      </c>
      <c r="H206" s="466">
        <v>0</v>
      </c>
      <c r="I206" s="479">
        <v>0</v>
      </c>
    </row>
    <row r="207" spans="1:9" ht="15.75" customHeight="1">
      <c r="A207" s="467"/>
      <c r="B207" s="467"/>
      <c r="C207" s="466"/>
      <c r="D207" s="497">
        <v>45696</v>
      </c>
      <c r="E207" s="466" t="s">
        <v>621</v>
      </c>
      <c r="F207" s="466">
        <v>9241184.0199999996</v>
      </c>
      <c r="G207" s="478">
        <v>46205.919999999925</v>
      </c>
      <c r="H207" s="466">
        <v>0</v>
      </c>
      <c r="I207" s="479">
        <v>0</v>
      </c>
    </row>
    <row r="208" spans="1:9" ht="15.75" customHeight="1">
      <c r="A208" s="467"/>
      <c r="B208" s="467"/>
      <c r="C208" s="466"/>
      <c r="D208" s="497">
        <v>45697</v>
      </c>
      <c r="E208" s="466" t="s">
        <v>620</v>
      </c>
      <c r="F208" s="466">
        <v>9287389.9399999995</v>
      </c>
      <c r="G208" s="478">
        <v>46205.919999999925</v>
      </c>
      <c r="H208" s="466">
        <v>0</v>
      </c>
      <c r="I208" s="479">
        <v>0</v>
      </c>
    </row>
    <row r="209" spans="1:9" ht="15.75" customHeight="1">
      <c r="A209" s="467"/>
      <c r="B209" s="467"/>
      <c r="C209" s="466"/>
      <c r="D209" s="497">
        <v>45698</v>
      </c>
      <c r="E209" s="466" t="s">
        <v>619</v>
      </c>
      <c r="F209" s="466">
        <v>9333595.8599999994</v>
      </c>
      <c r="G209" s="478">
        <v>46205.919999999925</v>
      </c>
      <c r="H209" s="466">
        <v>0</v>
      </c>
      <c r="I209" s="479">
        <v>0</v>
      </c>
    </row>
    <row r="210" spans="1:9" ht="15.75" customHeight="1">
      <c r="A210" s="467"/>
      <c r="B210" s="467"/>
      <c r="C210" s="466"/>
      <c r="D210" s="497">
        <v>45699</v>
      </c>
      <c r="E210" s="466" t="s">
        <v>618</v>
      </c>
      <c r="F210" s="466">
        <v>9379801.7799999993</v>
      </c>
      <c r="G210" s="478">
        <v>46205.919999999925</v>
      </c>
      <c r="H210" s="466">
        <v>0</v>
      </c>
      <c r="I210" s="479">
        <v>0</v>
      </c>
    </row>
    <row r="211" spans="1:9" ht="15.75" customHeight="1">
      <c r="A211" s="467"/>
      <c r="B211" s="467"/>
      <c r="C211" s="466"/>
      <c r="D211" s="497">
        <v>45700</v>
      </c>
      <c r="E211" s="466" t="s">
        <v>624</v>
      </c>
      <c r="F211" s="466">
        <v>9426007.6999999993</v>
      </c>
      <c r="G211" s="478">
        <v>46205.919999999925</v>
      </c>
      <c r="H211" s="466">
        <v>323441.43999999948</v>
      </c>
      <c r="I211" s="479">
        <v>646882.87999999896</v>
      </c>
    </row>
    <row r="212" spans="1:9" ht="15.75" customHeight="1">
      <c r="A212" s="467"/>
      <c r="B212" s="467"/>
      <c r="C212" s="466"/>
      <c r="D212" s="497">
        <v>45701</v>
      </c>
      <c r="E212" s="466" t="s">
        <v>623</v>
      </c>
      <c r="F212" s="466">
        <v>9472213.6199999992</v>
      </c>
      <c r="G212" s="478">
        <v>46205.919999999925</v>
      </c>
      <c r="H212" s="466">
        <v>0</v>
      </c>
      <c r="I212" s="479">
        <v>0</v>
      </c>
    </row>
    <row r="213" spans="1:9" ht="15.75" customHeight="1">
      <c r="A213" s="467"/>
      <c r="B213" s="467"/>
      <c r="C213" s="466"/>
      <c r="D213" s="497">
        <v>45702</v>
      </c>
      <c r="E213" s="466" t="s">
        <v>622</v>
      </c>
      <c r="F213" s="466">
        <v>9518419.5399999991</v>
      </c>
      <c r="G213" s="478">
        <v>46205.919999999925</v>
      </c>
      <c r="H213" s="466">
        <v>0</v>
      </c>
      <c r="I213" s="479">
        <v>0</v>
      </c>
    </row>
    <row r="214" spans="1:9" ht="15.75" customHeight="1">
      <c r="A214" s="467"/>
      <c r="B214" s="467"/>
      <c r="C214" s="466"/>
      <c r="D214" s="497">
        <v>45703</v>
      </c>
      <c r="E214" s="466" t="s">
        <v>621</v>
      </c>
      <c r="F214" s="466">
        <v>9564625.4600000009</v>
      </c>
      <c r="G214" s="478">
        <v>46205.920000001788</v>
      </c>
      <c r="H214" s="466">
        <v>0</v>
      </c>
      <c r="I214" s="479">
        <v>0</v>
      </c>
    </row>
    <row r="215" spans="1:9" ht="15.75" customHeight="1">
      <c r="A215" s="467"/>
      <c r="B215" s="467"/>
      <c r="C215" s="466"/>
      <c r="D215" s="497">
        <v>45704</v>
      </c>
      <c r="E215" s="466" t="s">
        <v>620</v>
      </c>
      <c r="F215" s="466">
        <v>9610831.3800000008</v>
      </c>
      <c r="G215" s="478">
        <v>46205.919999999925</v>
      </c>
      <c r="H215" s="466">
        <v>0</v>
      </c>
      <c r="I215" s="479">
        <v>0</v>
      </c>
    </row>
    <row r="216" spans="1:9" ht="15.75" customHeight="1">
      <c r="A216" s="467"/>
      <c r="B216" s="467"/>
      <c r="C216" s="466"/>
      <c r="D216" s="497">
        <v>45705</v>
      </c>
      <c r="E216" s="466" t="s">
        <v>619</v>
      </c>
      <c r="F216" s="466">
        <v>9657037.3000000007</v>
      </c>
      <c r="G216" s="478">
        <v>46205.919999999925</v>
      </c>
      <c r="H216" s="466">
        <v>0</v>
      </c>
      <c r="I216" s="479">
        <v>0</v>
      </c>
    </row>
    <row r="217" spans="1:9" ht="15.75" customHeight="1">
      <c r="A217" s="467"/>
      <c r="B217" s="467"/>
      <c r="C217" s="466"/>
      <c r="D217" s="497">
        <v>45706</v>
      </c>
      <c r="E217" s="466" t="s">
        <v>618</v>
      </c>
      <c r="F217" s="466">
        <v>9703243.2200000007</v>
      </c>
      <c r="G217" s="478">
        <v>46205.919999999925</v>
      </c>
      <c r="H217" s="466">
        <v>0</v>
      </c>
      <c r="I217" s="479">
        <v>0</v>
      </c>
    </row>
    <row r="218" spans="1:9" ht="15.75" customHeight="1">
      <c r="A218" s="467"/>
      <c r="B218" s="467"/>
      <c r="C218" s="466"/>
      <c r="D218" s="497">
        <v>45707</v>
      </c>
      <c r="E218" s="466" t="s">
        <v>624</v>
      </c>
      <c r="F218" s="466">
        <v>9749449.1400000006</v>
      </c>
      <c r="G218" s="478">
        <v>46205.919999999925</v>
      </c>
      <c r="H218" s="466">
        <v>323441.44000000134</v>
      </c>
      <c r="I218" s="479">
        <v>0</v>
      </c>
    </row>
    <row r="219" spans="1:9" ht="15.75" customHeight="1">
      <c r="A219" s="467"/>
      <c r="B219" s="467"/>
      <c r="C219" s="466"/>
      <c r="D219" s="497">
        <v>45708</v>
      </c>
      <c r="E219" s="466" t="s">
        <v>623</v>
      </c>
      <c r="F219" s="466">
        <v>9795655.0600000005</v>
      </c>
      <c r="G219" s="478">
        <v>46205.919999999925</v>
      </c>
      <c r="H219" s="466">
        <v>0</v>
      </c>
      <c r="I219" s="479">
        <v>0</v>
      </c>
    </row>
    <row r="220" spans="1:9" ht="15.75" customHeight="1">
      <c r="A220" s="467"/>
      <c r="B220" s="467"/>
      <c r="C220" s="466"/>
      <c r="D220" s="497">
        <v>45709</v>
      </c>
      <c r="E220" s="466" t="s">
        <v>622</v>
      </c>
      <c r="F220" s="466">
        <v>9841860.9800000004</v>
      </c>
      <c r="G220" s="478">
        <v>46205.919999999925</v>
      </c>
      <c r="H220" s="466">
        <v>0</v>
      </c>
      <c r="I220" s="479">
        <v>0</v>
      </c>
    </row>
    <row r="221" spans="1:9" ht="15.75" customHeight="1">
      <c r="A221" s="467"/>
      <c r="B221" s="467"/>
      <c r="C221" s="466"/>
      <c r="D221" s="497">
        <v>45710</v>
      </c>
      <c r="E221" s="466" t="s">
        <v>621</v>
      </c>
      <c r="F221" s="466">
        <v>9888066.9000000004</v>
      </c>
      <c r="G221" s="478">
        <v>46205.919999999925</v>
      </c>
      <c r="H221" s="466">
        <v>0</v>
      </c>
      <c r="I221" s="479">
        <v>0</v>
      </c>
    </row>
    <row r="222" spans="1:9" ht="15.75" customHeight="1">
      <c r="A222" s="467"/>
      <c r="B222" s="467"/>
      <c r="C222" s="466"/>
      <c r="D222" s="497">
        <v>45711</v>
      </c>
      <c r="E222" s="466" t="s">
        <v>620</v>
      </c>
      <c r="F222" s="466">
        <v>9934272.8200000003</v>
      </c>
      <c r="G222" s="478">
        <v>46205.919999999925</v>
      </c>
      <c r="H222" s="466">
        <v>0</v>
      </c>
      <c r="I222" s="479">
        <v>0</v>
      </c>
    </row>
    <row r="223" spans="1:9" ht="15.75" customHeight="1">
      <c r="A223" s="467"/>
      <c r="B223" s="467"/>
      <c r="C223" s="466"/>
      <c r="D223" s="497">
        <v>45712</v>
      </c>
      <c r="E223" s="466" t="s">
        <v>619</v>
      </c>
      <c r="F223" s="466">
        <v>9980478.7400000002</v>
      </c>
      <c r="G223" s="478">
        <v>46205.919999999925</v>
      </c>
      <c r="H223" s="466">
        <v>0</v>
      </c>
      <c r="I223" s="479">
        <v>0</v>
      </c>
    </row>
    <row r="224" spans="1:9" ht="15.75" customHeight="1">
      <c r="A224" s="467"/>
      <c r="B224" s="467"/>
      <c r="C224" s="466"/>
      <c r="D224" s="497">
        <v>45713</v>
      </c>
      <c r="E224" s="466" t="s">
        <v>618</v>
      </c>
      <c r="F224" s="466">
        <v>10026684.66</v>
      </c>
      <c r="G224" s="478">
        <v>46205.919999999925</v>
      </c>
      <c r="H224" s="466">
        <v>0</v>
      </c>
      <c r="I224" s="479">
        <v>0</v>
      </c>
    </row>
    <row r="225" spans="1:9" ht="15.75" customHeight="1">
      <c r="A225" s="467"/>
      <c r="B225" s="467"/>
      <c r="C225" s="466"/>
      <c r="D225" s="497">
        <v>45714</v>
      </c>
      <c r="E225" s="466" t="s">
        <v>624</v>
      </c>
      <c r="F225" s="466">
        <v>10072890.58</v>
      </c>
      <c r="G225" s="478">
        <v>46205.919999999925</v>
      </c>
      <c r="H225" s="466">
        <v>323441.43999999948</v>
      </c>
      <c r="I225" s="479">
        <v>646882.88000000082</v>
      </c>
    </row>
    <row r="226" spans="1:9" ht="15.75" customHeight="1">
      <c r="A226" s="467"/>
      <c r="B226" s="467"/>
      <c r="C226" s="466"/>
      <c r="D226" s="497">
        <v>45715</v>
      </c>
      <c r="E226" s="466" t="s">
        <v>623</v>
      </c>
      <c r="F226" s="466">
        <v>10119096.5</v>
      </c>
      <c r="G226" s="478">
        <v>46205.919999999925</v>
      </c>
      <c r="H226" s="466">
        <v>0</v>
      </c>
      <c r="I226" s="479">
        <v>0</v>
      </c>
    </row>
    <row r="227" spans="1:9" ht="15.75" customHeight="1">
      <c r="A227" s="467"/>
      <c r="B227" s="467"/>
      <c r="C227" s="466"/>
      <c r="D227" s="497">
        <v>45716</v>
      </c>
      <c r="E227" s="466" t="s">
        <v>622</v>
      </c>
      <c r="F227" s="466">
        <v>10165302.42</v>
      </c>
      <c r="G227" s="478">
        <v>46205.919999999925</v>
      </c>
      <c r="H227" s="466">
        <v>0</v>
      </c>
      <c r="I227" s="479">
        <v>0</v>
      </c>
    </row>
    <row r="228" spans="1:9" ht="15.75" customHeight="1">
      <c r="A228" s="467"/>
      <c r="B228" s="467"/>
      <c r="C228" s="466"/>
      <c r="D228" s="497">
        <v>45717</v>
      </c>
      <c r="E228" s="466" t="s">
        <v>621</v>
      </c>
      <c r="F228" s="466">
        <v>10211508.34</v>
      </c>
      <c r="G228" s="478">
        <v>46205.919999999925</v>
      </c>
      <c r="H228" s="466">
        <v>0</v>
      </c>
      <c r="I228" s="479">
        <v>0</v>
      </c>
    </row>
    <row r="229" spans="1:9" ht="15.75" customHeight="1">
      <c r="A229" s="467"/>
      <c r="B229" s="467"/>
      <c r="C229" s="466"/>
      <c r="D229" s="497">
        <v>45718</v>
      </c>
      <c r="E229" s="466" t="s">
        <v>620</v>
      </c>
      <c r="F229" s="466">
        <v>10257714.26</v>
      </c>
      <c r="G229" s="478">
        <v>46205.919999999925</v>
      </c>
      <c r="H229" s="466">
        <v>0</v>
      </c>
      <c r="I229" s="479">
        <v>0</v>
      </c>
    </row>
    <row r="230" spans="1:9" ht="15.75" customHeight="1">
      <c r="A230" s="467"/>
      <c r="B230" s="467"/>
      <c r="C230" s="466"/>
      <c r="D230" s="497">
        <v>45719</v>
      </c>
      <c r="E230" s="466" t="s">
        <v>619</v>
      </c>
      <c r="F230" s="466">
        <v>10303920.18</v>
      </c>
      <c r="G230" s="478">
        <v>46205.919999999925</v>
      </c>
      <c r="H230" s="466">
        <v>0</v>
      </c>
      <c r="I230" s="479">
        <v>0</v>
      </c>
    </row>
    <row r="231" spans="1:9" ht="15.75" customHeight="1">
      <c r="A231" s="467"/>
      <c r="B231" s="467"/>
      <c r="C231" s="466"/>
      <c r="D231" s="497">
        <v>45720</v>
      </c>
      <c r="E231" s="466" t="s">
        <v>618</v>
      </c>
      <c r="F231" s="466">
        <v>10350126.1</v>
      </c>
      <c r="G231" s="478">
        <v>46205.919999999925</v>
      </c>
      <c r="H231" s="466">
        <v>0</v>
      </c>
      <c r="I231" s="479">
        <v>0</v>
      </c>
    </row>
    <row r="232" spans="1:9" ht="15.75" customHeight="1">
      <c r="A232" s="467"/>
      <c r="B232" s="467"/>
      <c r="C232" s="466"/>
      <c r="D232" s="497">
        <v>45721</v>
      </c>
      <c r="E232" s="466" t="s">
        <v>624</v>
      </c>
      <c r="F232" s="466">
        <v>10396332.029999999</v>
      </c>
      <c r="G232" s="478">
        <v>46205.929999999702</v>
      </c>
      <c r="H232" s="466">
        <v>323441.44999999925</v>
      </c>
      <c r="I232" s="479">
        <v>0</v>
      </c>
    </row>
    <row r="233" spans="1:9" ht="15.75" customHeight="1">
      <c r="A233" s="467"/>
      <c r="B233" s="467"/>
      <c r="C233" s="466"/>
      <c r="D233" s="497">
        <v>45722</v>
      </c>
      <c r="E233" s="466" t="s">
        <v>623</v>
      </c>
      <c r="F233" s="466">
        <v>10442537.949999999</v>
      </c>
      <c r="G233" s="478">
        <v>46205.919999999925</v>
      </c>
      <c r="H233" s="466">
        <v>0</v>
      </c>
      <c r="I233" s="479">
        <v>0</v>
      </c>
    </row>
    <row r="234" spans="1:9" ht="15.75" customHeight="1">
      <c r="A234" s="467"/>
      <c r="B234" s="467"/>
      <c r="C234" s="466"/>
      <c r="D234" s="497">
        <v>45723</v>
      </c>
      <c r="E234" s="466" t="s">
        <v>622</v>
      </c>
      <c r="F234" s="466">
        <v>10488743.869999999</v>
      </c>
      <c r="G234" s="478">
        <v>46205.919999999925</v>
      </c>
      <c r="H234" s="466">
        <v>0</v>
      </c>
      <c r="I234" s="479">
        <v>0</v>
      </c>
    </row>
    <row r="235" spans="1:9" ht="15.75" customHeight="1">
      <c r="A235" s="467"/>
      <c r="B235" s="467"/>
      <c r="C235" s="466"/>
      <c r="D235" s="497">
        <v>45724</v>
      </c>
      <c r="E235" s="466" t="s">
        <v>621</v>
      </c>
      <c r="F235" s="466">
        <v>10534949.789999999</v>
      </c>
      <c r="G235" s="478">
        <v>46205.919999999925</v>
      </c>
      <c r="H235" s="466">
        <v>0</v>
      </c>
      <c r="I235" s="479">
        <v>0</v>
      </c>
    </row>
    <row r="236" spans="1:9" ht="15.75" customHeight="1">
      <c r="A236" s="467"/>
      <c r="B236" s="467"/>
      <c r="C236" s="466"/>
      <c r="D236" s="497">
        <v>45725</v>
      </c>
      <c r="E236" s="466" t="s">
        <v>620</v>
      </c>
      <c r="F236" s="466">
        <v>10581155.710000001</v>
      </c>
      <c r="G236" s="478">
        <v>46205.920000001788</v>
      </c>
      <c r="H236" s="466">
        <v>0</v>
      </c>
      <c r="I236" s="479">
        <v>0</v>
      </c>
    </row>
    <row r="237" spans="1:9" ht="15.75" customHeight="1">
      <c r="A237" s="467"/>
      <c r="B237" s="467"/>
      <c r="C237" s="466"/>
      <c r="D237" s="497">
        <v>45726</v>
      </c>
      <c r="E237" s="466" t="s">
        <v>619</v>
      </c>
      <c r="F237" s="466">
        <v>10627361.630000001</v>
      </c>
      <c r="G237" s="478">
        <v>46205.919999999925</v>
      </c>
      <c r="H237" s="466">
        <v>0</v>
      </c>
      <c r="I237" s="479">
        <v>0</v>
      </c>
    </row>
    <row r="238" spans="1:9" ht="15.75" customHeight="1">
      <c r="A238" s="467"/>
      <c r="B238" s="467"/>
      <c r="C238" s="466"/>
      <c r="D238" s="497">
        <v>45727</v>
      </c>
      <c r="E238" s="466" t="s">
        <v>618</v>
      </c>
      <c r="F238" s="466">
        <v>10673567.550000001</v>
      </c>
      <c r="G238" s="478">
        <v>46205.919999999925</v>
      </c>
      <c r="H238" s="466">
        <v>0</v>
      </c>
      <c r="I238" s="479">
        <v>0</v>
      </c>
    </row>
    <row r="239" spans="1:9" ht="15.75" customHeight="1">
      <c r="A239" s="467"/>
      <c r="B239" s="467"/>
      <c r="C239" s="466"/>
      <c r="D239" s="497">
        <v>45728</v>
      </c>
      <c r="E239" s="466" t="s">
        <v>624</v>
      </c>
      <c r="F239" s="466">
        <v>10719773.470000001</v>
      </c>
      <c r="G239" s="478">
        <v>46205.919999999925</v>
      </c>
      <c r="H239" s="466">
        <v>323441.44000000134</v>
      </c>
      <c r="I239" s="479">
        <v>646882.8900000006</v>
      </c>
    </row>
    <row r="240" spans="1:9" ht="15.75" customHeight="1">
      <c r="A240" s="467"/>
      <c r="B240" s="467"/>
      <c r="C240" s="466"/>
      <c r="D240" s="497">
        <v>45729</v>
      </c>
      <c r="E240" s="466" t="s">
        <v>623</v>
      </c>
      <c r="F240" s="466">
        <v>10765979.390000001</v>
      </c>
      <c r="G240" s="478">
        <v>46205.919999999925</v>
      </c>
      <c r="H240" s="466">
        <v>0</v>
      </c>
      <c r="I240" s="479">
        <v>0</v>
      </c>
    </row>
    <row r="241" spans="1:9" ht="15.75" customHeight="1">
      <c r="A241" s="467"/>
      <c r="B241" s="467"/>
      <c r="C241" s="466"/>
      <c r="D241" s="497">
        <v>45730</v>
      </c>
      <c r="E241" s="466" t="s">
        <v>622</v>
      </c>
      <c r="F241" s="466">
        <v>10812185.310000001</v>
      </c>
      <c r="G241" s="478">
        <v>46205.919999999925</v>
      </c>
      <c r="H241" s="466">
        <v>0</v>
      </c>
      <c r="I241" s="479">
        <v>0</v>
      </c>
    </row>
    <row r="242" spans="1:9" ht="15.75" customHeight="1">
      <c r="A242" s="467"/>
      <c r="B242" s="467"/>
      <c r="C242" s="466"/>
      <c r="D242" s="497">
        <v>45731</v>
      </c>
      <c r="E242" s="466" t="s">
        <v>621</v>
      </c>
      <c r="F242" s="466">
        <v>10858391.23</v>
      </c>
      <c r="G242" s="478">
        <v>46205.919999999925</v>
      </c>
      <c r="H242" s="466">
        <v>0</v>
      </c>
      <c r="I242" s="479">
        <v>0</v>
      </c>
    </row>
    <row r="243" spans="1:9" ht="15.75" customHeight="1">
      <c r="A243" s="467"/>
      <c r="B243" s="467"/>
      <c r="C243" s="466"/>
      <c r="D243" s="497">
        <v>45732</v>
      </c>
      <c r="E243" s="466" t="s">
        <v>620</v>
      </c>
      <c r="F243" s="466">
        <v>10904597.15</v>
      </c>
      <c r="G243" s="478">
        <v>46205.919999999925</v>
      </c>
      <c r="H243" s="466">
        <v>0</v>
      </c>
      <c r="I243" s="479">
        <v>0</v>
      </c>
    </row>
    <row r="244" spans="1:9" ht="15.75" customHeight="1">
      <c r="A244" s="467"/>
      <c r="B244" s="467"/>
      <c r="C244" s="466"/>
      <c r="D244" s="497">
        <v>45733</v>
      </c>
      <c r="E244" s="466" t="s">
        <v>619</v>
      </c>
      <c r="F244" s="466">
        <v>10950803.07</v>
      </c>
      <c r="G244" s="478">
        <v>46205.919999999925</v>
      </c>
      <c r="H244" s="466">
        <v>0</v>
      </c>
      <c r="I244" s="479">
        <v>0</v>
      </c>
    </row>
    <row r="245" spans="1:9" ht="15.75" customHeight="1">
      <c r="A245" s="467"/>
      <c r="B245" s="467"/>
      <c r="C245" s="466"/>
      <c r="D245" s="497">
        <v>45734</v>
      </c>
      <c r="E245" s="466" t="s">
        <v>618</v>
      </c>
      <c r="F245" s="466">
        <v>10997008.99</v>
      </c>
      <c r="G245" s="478">
        <v>46205.919999999925</v>
      </c>
      <c r="H245" s="466">
        <v>0</v>
      </c>
      <c r="I245" s="479">
        <v>0</v>
      </c>
    </row>
    <row r="246" spans="1:9" ht="15.75" customHeight="1">
      <c r="A246" s="467"/>
      <c r="B246" s="467"/>
      <c r="C246" s="466"/>
      <c r="D246" s="497">
        <v>45735</v>
      </c>
      <c r="E246" s="466" t="s">
        <v>624</v>
      </c>
      <c r="F246" s="466">
        <v>11043214.91</v>
      </c>
      <c r="G246" s="478">
        <v>46205.919999999925</v>
      </c>
      <c r="H246" s="466">
        <v>323441.43999999948</v>
      </c>
      <c r="I246" s="479">
        <v>0</v>
      </c>
    </row>
    <row r="247" spans="1:9" ht="15.75" customHeight="1">
      <c r="A247" s="467"/>
      <c r="B247" s="467"/>
      <c r="C247" s="466"/>
      <c r="D247" s="497">
        <v>45736</v>
      </c>
      <c r="E247" s="466" t="s">
        <v>623</v>
      </c>
      <c r="F247" s="466">
        <v>11089420.83</v>
      </c>
      <c r="G247" s="478">
        <v>46205.919999999925</v>
      </c>
      <c r="H247" s="466">
        <v>0</v>
      </c>
      <c r="I247" s="479">
        <v>0</v>
      </c>
    </row>
    <row r="248" spans="1:9" ht="15.75" customHeight="1">
      <c r="A248" s="467"/>
      <c r="B248" s="467"/>
      <c r="C248" s="466"/>
      <c r="D248" s="497">
        <v>45737</v>
      </c>
      <c r="E248" s="466" t="s">
        <v>622</v>
      </c>
      <c r="F248" s="466">
        <v>11135626.75</v>
      </c>
      <c r="G248" s="478">
        <v>46205.919999999925</v>
      </c>
      <c r="H248" s="466">
        <v>0</v>
      </c>
      <c r="I248" s="479">
        <v>0</v>
      </c>
    </row>
    <row r="249" spans="1:9" ht="15.75" customHeight="1">
      <c r="A249" s="467"/>
      <c r="B249" s="467"/>
      <c r="C249" s="466"/>
      <c r="D249" s="497">
        <v>45738</v>
      </c>
      <c r="E249" s="466" t="s">
        <v>621</v>
      </c>
      <c r="F249" s="466">
        <v>11181832.67</v>
      </c>
      <c r="G249" s="478">
        <v>46205.919999999925</v>
      </c>
      <c r="H249" s="466">
        <v>0</v>
      </c>
      <c r="I249" s="479">
        <v>0</v>
      </c>
    </row>
    <row r="250" spans="1:9" ht="15.75" customHeight="1">
      <c r="A250" s="467"/>
      <c r="B250" s="467"/>
      <c r="C250" s="466"/>
      <c r="D250" s="497">
        <v>45739</v>
      </c>
      <c r="E250" s="466" t="s">
        <v>620</v>
      </c>
      <c r="F250" s="466">
        <v>11228038.59</v>
      </c>
      <c r="G250" s="478">
        <v>46205.919999999925</v>
      </c>
      <c r="H250" s="466">
        <v>0</v>
      </c>
      <c r="I250" s="479">
        <v>0</v>
      </c>
    </row>
    <row r="251" spans="1:9" ht="15.75" customHeight="1">
      <c r="A251" s="467"/>
      <c r="B251" s="467"/>
      <c r="C251" s="466"/>
      <c r="D251" s="497">
        <v>45740</v>
      </c>
      <c r="E251" s="466" t="s">
        <v>619</v>
      </c>
      <c r="F251" s="466">
        <v>11274244.51</v>
      </c>
      <c r="G251" s="478">
        <v>46205.919999999925</v>
      </c>
      <c r="H251" s="466">
        <v>0</v>
      </c>
      <c r="I251" s="479">
        <v>0</v>
      </c>
    </row>
    <row r="252" spans="1:9" ht="15.75" customHeight="1">
      <c r="A252" s="467"/>
      <c r="B252" s="467"/>
      <c r="C252" s="466"/>
      <c r="D252" s="497">
        <v>45741</v>
      </c>
      <c r="E252" s="466" t="s">
        <v>618</v>
      </c>
      <c r="F252" s="466">
        <v>11320450.43</v>
      </c>
      <c r="G252" s="478">
        <v>46205.919999999925</v>
      </c>
      <c r="H252" s="466">
        <v>0</v>
      </c>
      <c r="I252" s="479">
        <v>0</v>
      </c>
    </row>
    <row r="253" spans="1:9" ht="15.75" customHeight="1">
      <c r="A253" s="467"/>
      <c r="B253" s="467"/>
      <c r="C253" s="466"/>
      <c r="D253" s="497">
        <v>45742</v>
      </c>
      <c r="E253" s="466" t="s">
        <v>624</v>
      </c>
      <c r="F253" s="466">
        <v>11366656.35</v>
      </c>
      <c r="G253" s="478">
        <v>46205.919999999925</v>
      </c>
      <c r="H253" s="466">
        <v>323441.43999999948</v>
      </c>
      <c r="I253" s="479">
        <v>646882.87999999896</v>
      </c>
    </row>
    <row r="254" spans="1:9" ht="15.75" customHeight="1">
      <c r="A254" s="467"/>
      <c r="B254" s="467"/>
      <c r="C254" s="466"/>
      <c r="D254" s="497">
        <v>45743</v>
      </c>
      <c r="E254" s="466" t="s">
        <v>623</v>
      </c>
      <c r="F254" s="466">
        <v>11412862.27</v>
      </c>
      <c r="G254" s="478">
        <v>46205.919999999925</v>
      </c>
      <c r="H254" s="466">
        <v>0</v>
      </c>
      <c r="I254" s="479">
        <v>0</v>
      </c>
    </row>
    <row r="255" spans="1:9" ht="15.75" customHeight="1">
      <c r="A255" s="467"/>
      <c r="B255" s="467"/>
      <c r="C255" s="466"/>
      <c r="D255" s="497">
        <v>45744</v>
      </c>
      <c r="E255" s="466" t="s">
        <v>622</v>
      </c>
      <c r="F255" s="466">
        <v>11459068.189999999</v>
      </c>
      <c r="G255" s="478">
        <v>46205.919999999925</v>
      </c>
      <c r="H255" s="466">
        <v>0</v>
      </c>
      <c r="I255" s="479">
        <v>0</v>
      </c>
    </row>
    <row r="256" spans="1:9" ht="15.75" customHeight="1">
      <c r="A256" s="467"/>
      <c r="B256" s="467"/>
      <c r="C256" s="466"/>
      <c r="D256" s="497">
        <v>45745</v>
      </c>
      <c r="E256" s="466" t="s">
        <v>621</v>
      </c>
      <c r="F256" s="466">
        <v>11505274.109999999</v>
      </c>
      <c r="G256" s="478">
        <v>46205.919999999925</v>
      </c>
      <c r="H256" s="466">
        <v>0</v>
      </c>
      <c r="I256" s="479">
        <v>0</v>
      </c>
    </row>
    <row r="257" spans="1:9" ht="15.75" customHeight="1">
      <c r="A257" s="467"/>
      <c r="B257" s="467"/>
      <c r="C257" s="466"/>
      <c r="D257" s="497">
        <v>45746</v>
      </c>
      <c r="E257" s="466" t="s">
        <v>620</v>
      </c>
      <c r="F257" s="466">
        <v>11551480.029999999</v>
      </c>
      <c r="G257" s="478">
        <v>46205.919999999925</v>
      </c>
      <c r="H257" s="466">
        <v>0</v>
      </c>
      <c r="I257" s="479">
        <v>0</v>
      </c>
    </row>
    <row r="258" spans="1:9" ht="15.75" customHeight="1">
      <c r="A258" s="467"/>
      <c r="B258" s="467"/>
      <c r="C258" s="466"/>
      <c r="D258" s="497">
        <v>45747</v>
      </c>
      <c r="E258" s="466" t="s">
        <v>619</v>
      </c>
      <c r="F258" s="466">
        <v>11597685.949999999</v>
      </c>
      <c r="G258" s="478">
        <v>46205.919999999925</v>
      </c>
      <c r="H258" s="466">
        <v>0</v>
      </c>
      <c r="I258" s="479">
        <v>0</v>
      </c>
    </row>
    <row r="259" spans="1:9" ht="15.75" customHeight="1">
      <c r="A259" s="467"/>
      <c r="B259" s="467"/>
      <c r="C259" s="466"/>
      <c r="D259" s="497">
        <v>45748</v>
      </c>
      <c r="E259" s="466" t="s">
        <v>618</v>
      </c>
      <c r="F259" s="466">
        <v>11643891.869999999</v>
      </c>
      <c r="G259" s="478">
        <v>46205.919999999925</v>
      </c>
      <c r="H259" s="466">
        <v>0</v>
      </c>
      <c r="I259" s="479">
        <v>0</v>
      </c>
    </row>
    <row r="260" spans="1:9" ht="15.75" customHeight="1">
      <c r="A260" s="467"/>
      <c r="B260" s="467"/>
      <c r="C260" s="466"/>
      <c r="D260" s="497">
        <v>45749</v>
      </c>
      <c r="E260" s="466" t="s">
        <v>624</v>
      </c>
      <c r="F260" s="466">
        <v>11690097.789999999</v>
      </c>
      <c r="G260" s="478">
        <v>46205.919999999925</v>
      </c>
      <c r="H260" s="466">
        <v>323441.43999999948</v>
      </c>
      <c r="I260" s="479">
        <v>0</v>
      </c>
    </row>
    <row r="261" spans="1:9" ht="15.75" customHeight="1">
      <c r="A261" s="467"/>
      <c r="B261" s="467"/>
      <c r="C261" s="466"/>
      <c r="D261" s="497">
        <v>45750</v>
      </c>
      <c r="E261" s="466" t="s">
        <v>623</v>
      </c>
      <c r="F261" s="466">
        <v>11736303.710000001</v>
      </c>
      <c r="G261" s="478">
        <v>46205.920000001788</v>
      </c>
      <c r="H261" s="466">
        <v>0</v>
      </c>
      <c r="I261" s="479">
        <v>0</v>
      </c>
    </row>
    <row r="262" spans="1:9" ht="15.75" customHeight="1">
      <c r="A262" s="467"/>
      <c r="B262" s="467"/>
      <c r="C262" s="466"/>
      <c r="D262" s="497">
        <v>45751</v>
      </c>
      <c r="E262" s="466" t="s">
        <v>622</v>
      </c>
      <c r="F262" s="466">
        <v>11782509.630000001</v>
      </c>
      <c r="G262" s="478">
        <v>46205.919999999925</v>
      </c>
      <c r="H262" s="466">
        <v>0</v>
      </c>
      <c r="I262" s="479">
        <v>0</v>
      </c>
    </row>
    <row r="263" spans="1:9" ht="15.75" customHeight="1">
      <c r="A263" s="467"/>
      <c r="B263" s="467"/>
      <c r="C263" s="466"/>
      <c r="D263" s="497">
        <v>45752</v>
      </c>
      <c r="E263" s="466" t="s">
        <v>621</v>
      </c>
      <c r="F263" s="466">
        <v>11828715.550000001</v>
      </c>
      <c r="G263" s="478">
        <v>46205.919999999925</v>
      </c>
      <c r="H263" s="466">
        <v>0</v>
      </c>
      <c r="I263" s="479">
        <v>0</v>
      </c>
    </row>
    <row r="264" spans="1:9" ht="15.75" customHeight="1">
      <c r="A264" s="467"/>
      <c r="B264" s="467"/>
      <c r="C264" s="466"/>
      <c r="D264" s="497">
        <v>45753</v>
      </c>
      <c r="E264" s="466" t="s">
        <v>620</v>
      </c>
      <c r="F264" s="466">
        <v>11874921.470000001</v>
      </c>
      <c r="G264" s="478">
        <v>46205.919999999925</v>
      </c>
      <c r="H264" s="466">
        <v>0</v>
      </c>
      <c r="I264" s="479">
        <v>0</v>
      </c>
    </row>
    <row r="265" spans="1:9" ht="15.75" customHeight="1">
      <c r="A265" s="467"/>
      <c r="B265" s="467"/>
      <c r="C265" s="466"/>
      <c r="D265" s="497">
        <v>45754</v>
      </c>
      <c r="E265" s="466" t="s">
        <v>619</v>
      </c>
      <c r="F265" s="466">
        <v>11921127.390000001</v>
      </c>
      <c r="G265" s="478">
        <v>46205.919999999925</v>
      </c>
      <c r="H265" s="466">
        <v>0</v>
      </c>
      <c r="I265" s="479">
        <v>0</v>
      </c>
    </row>
    <row r="266" spans="1:9" ht="15.75" customHeight="1">
      <c r="A266" s="467"/>
      <c r="B266" s="467"/>
      <c r="C266" s="466"/>
      <c r="D266" s="497">
        <v>45755</v>
      </c>
      <c r="E266" s="466" t="s">
        <v>618</v>
      </c>
      <c r="F266" s="466">
        <v>11967333.310000001</v>
      </c>
      <c r="G266" s="478">
        <v>46205.919999999925</v>
      </c>
      <c r="H266" s="466">
        <v>0</v>
      </c>
      <c r="I266" s="479">
        <v>0</v>
      </c>
    </row>
    <row r="267" spans="1:9" ht="15.75" customHeight="1">
      <c r="A267" s="467"/>
      <c r="B267" s="467"/>
      <c r="C267" s="466"/>
      <c r="D267" s="497">
        <v>45756</v>
      </c>
      <c r="E267" s="466" t="s">
        <v>624</v>
      </c>
      <c r="F267" s="466">
        <v>12013539.23</v>
      </c>
      <c r="G267" s="478">
        <v>46205.919999999925</v>
      </c>
      <c r="H267" s="466">
        <v>323441.44000000134</v>
      </c>
      <c r="I267" s="479">
        <v>646882.88000000082</v>
      </c>
    </row>
    <row r="268" spans="1:9" ht="15.75" customHeight="1">
      <c r="A268" s="467"/>
      <c r="B268" s="467"/>
      <c r="C268" s="466"/>
      <c r="D268" s="497">
        <v>45757</v>
      </c>
      <c r="E268" s="466" t="s">
        <v>623</v>
      </c>
      <c r="F268" s="466">
        <v>12059745.15</v>
      </c>
      <c r="G268" s="478">
        <v>46205.919999999925</v>
      </c>
      <c r="H268" s="466">
        <v>0</v>
      </c>
      <c r="I268" s="479">
        <v>0</v>
      </c>
    </row>
    <row r="269" spans="1:9" ht="15.75" customHeight="1">
      <c r="A269" s="467"/>
      <c r="B269" s="467"/>
      <c r="C269" s="466"/>
      <c r="D269" s="497">
        <v>45758</v>
      </c>
      <c r="E269" s="466" t="s">
        <v>622</v>
      </c>
      <c r="F269" s="466">
        <v>12105951.07</v>
      </c>
      <c r="G269" s="478">
        <v>46205.919999999925</v>
      </c>
      <c r="H269" s="466">
        <v>0</v>
      </c>
      <c r="I269" s="479">
        <v>0</v>
      </c>
    </row>
    <row r="270" spans="1:9" ht="15.75" customHeight="1">
      <c r="A270" s="467"/>
      <c r="B270" s="467"/>
      <c r="C270" s="466"/>
      <c r="D270" s="497">
        <v>45759</v>
      </c>
      <c r="E270" s="466" t="s">
        <v>621</v>
      </c>
      <c r="F270" s="466">
        <v>12152156.99</v>
      </c>
      <c r="G270" s="478">
        <v>46205.919999999925</v>
      </c>
      <c r="H270" s="466">
        <v>0</v>
      </c>
      <c r="I270" s="479">
        <v>0</v>
      </c>
    </row>
    <row r="271" spans="1:9" ht="15.75" customHeight="1">
      <c r="A271" s="467"/>
      <c r="B271" s="467"/>
      <c r="C271" s="466"/>
      <c r="D271" s="497">
        <v>45760</v>
      </c>
      <c r="E271" s="466" t="s">
        <v>620</v>
      </c>
      <c r="F271" s="466">
        <v>12198362.91</v>
      </c>
      <c r="G271" s="478">
        <v>46205.919999999925</v>
      </c>
      <c r="H271" s="466">
        <v>0</v>
      </c>
      <c r="I271" s="479">
        <v>0</v>
      </c>
    </row>
    <row r="272" spans="1:9" ht="15.75" customHeight="1">
      <c r="A272" s="467"/>
      <c r="B272" s="467"/>
      <c r="C272" s="466"/>
      <c r="D272" s="497">
        <v>45761</v>
      </c>
      <c r="E272" s="466" t="s">
        <v>619</v>
      </c>
      <c r="F272" s="466">
        <v>12244568.83</v>
      </c>
      <c r="G272" s="478">
        <v>46205.919999999925</v>
      </c>
      <c r="H272" s="466">
        <v>0</v>
      </c>
      <c r="I272" s="479">
        <v>0</v>
      </c>
    </row>
    <row r="273" spans="1:9" ht="15.75" customHeight="1">
      <c r="A273" s="467"/>
      <c r="B273" s="467"/>
      <c r="C273" s="466"/>
      <c r="D273" s="497">
        <v>45762</v>
      </c>
      <c r="E273" s="466" t="s">
        <v>618</v>
      </c>
      <c r="F273" s="466">
        <v>12290774.75</v>
      </c>
      <c r="G273" s="478">
        <v>46205.919999999925</v>
      </c>
      <c r="H273" s="466">
        <v>0</v>
      </c>
      <c r="I273" s="479">
        <v>0</v>
      </c>
    </row>
    <row r="274" spans="1:9" ht="15.75" customHeight="1">
      <c r="A274" s="467"/>
      <c r="B274" s="467"/>
      <c r="C274" s="466"/>
      <c r="D274" s="497">
        <v>45763</v>
      </c>
      <c r="E274" s="466" t="s">
        <v>624</v>
      </c>
      <c r="F274" s="466">
        <v>12336980.67</v>
      </c>
      <c r="G274" s="478">
        <v>46205.919999999925</v>
      </c>
      <c r="H274" s="466">
        <v>323441.43999999948</v>
      </c>
      <c r="I274" s="479">
        <v>0</v>
      </c>
    </row>
    <row r="275" spans="1:9" ht="15.75" customHeight="1">
      <c r="A275" s="467"/>
      <c r="B275" s="467"/>
      <c r="C275" s="466"/>
      <c r="D275" s="497">
        <v>45764</v>
      </c>
      <c r="E275" s="466" t="s">
        <v>623</v>
      </c>
      <c r="F275" s="466">
        <v>12383186.59</v>
      </c>
      <c r="G275" s="478">
        <v>46205.919999999925</v>
      </c>
      <c r="H275" s="466">
        <v>0</v>
      </c>
      <c r="I275" s="479">
        <v>0</v>
      </c>
    </row>
    <row r="276" spans="1:9" ht="15.75" customHeight="1">
      <c r="A276" s="467"/>
      <c r="B276" s="467"/>
      <c r="C276" s="466"/>
      <c r="D276" s="497">
        <v>45765</v>
      </c>
      <c r="E276" s="466" t="s">
        <v>622</v>
      </c>
      <c r="F276" s="466">
        <v>12429392.51</v>
      </c>
      <c r="G276" s="478">
        <v>46205.919999999925</v>
      </c>
      <c r="H276" s="466">
        <v>0</v>
      </c>
      <c r="I276" s="479">
        <v>0</v>
      </c>
    </row>
    <row r="277" spans="1:9" ht="15.75" customHeight="1">
      <c r="A277" s="467"/>
      <c r="B277" s="467"/>
      <c r="C277" s="466"/>
      <c r="D277" s="497">
        <v>45766</v>
      </c>
      <c r="E277" s="466" t="s">
        <v>621</v>
      </c>
      <c r="F277" s="466">
        <v>12475598.43</v>
      </c>
      <c r="G277" s="478">
        <v>46205.919999999925</v>
      </c>
      <c r="H277" s="466">
        <v>0</v>
      </c>
      <c r="I277" s="479">
        <v>0</v>
      </c>
    </row>
    <row r="278" spans="1:9" ht="15.75" customHeight="1">
      <c r="A278" s="467"/>
      <c r="B278" s="467"/>
      <c r="C278" s="466"/>
      <c r="D278" s="497">
        <v>45767</v>
      </c>
      <c r="E278" s="466" t="s">
        <v>620</v>
      </c>
      <c r="F278" s="466">
        <v>12521804.35</v>
      </c>
      <c r="G278" s="478">
        <v>46205.919999999925</v>
      </c>
      <c r="H278" s="466">
        <v>0</v>
      </c>
      <c r="I278" s="479">
        <v>0</v>
      </c>
    </row>
    <row r="279" spans="1:9" ht="15.75" customHeight="1">
      <c r="A279" s="467"/>
      <c r="B279" s="467"/>
      <c r="C279" s="466"/>
      <c r="D279" s="497">
        <v>45768</v>
      </c>
      <c r="E279" s="466" t="s">
        <v>619</v>
      </c>
      <c r="F279" s="466">
        <v>12568010.27</v>
      </c>
      <c r="G279" s="478">
        <v>46205.919999999925</v>
      </c>
      <c r="H279" s="466">
        <v>0</v>
      </c>
      <c r="I279" s="479">
        <v>0</v>
      </c>
    </row>
    <row r="280" spans="1:9" ht="15.75" customHeight="1">
      <c r="A280" s="467"/>
      <c r="B280" s="467"/>
      <c r="C280" s="466"/>
      <c r="D280" s="497">
        <v>45769</v>
      </c>
      <c r="E280" s="466" t="s">
        <v>618</v>
      </c>
      <c r="F280" s="466">
        <v>12614216.189999999</v>
      </c>
      <c r="G280" s="478">
        <v>46205.919999999925</v>
      </c>
      <c r="H280" s="466">
        <v>0</v>
      </c>
      <c r="I280" s="479">
        <v>0</v>
      </c>
    </row>
    <row r="281" spans="1:9" ht="15.75" customHeight="1">
      <c r="A281" s="467"/>
      <c r="B281" s="467"/>
      <c r="C281" s="466"/>
      <c r="D281" s="497">
        <v>45770</v>
      </c>
      <c r="E281" s="466" t="s">
        <v>624</v>
      </c>
      <c r="F281" s="466">
        <v>12660422.109999999</v>
      </c>
      <c r="G281" s="478">
        <v>46205.919999999925</v>
      </c>
      <c r="H281" s="466">
        <v>323441.43999999948</v>
      </c>
      <c r="I281" s="479">
        <v>646882.87999999896</v>
      </c>
    </row>
    <row r="282" spans="1:9" ht="15.75" customHeight="1">
      <c r="A282" s="467"/>
      <c r="B282" s="467"/>
      <c r="C282" s="466"/>
      <c r="D282" s="497">
        <v>45771</v>
      </c>
      <c r="E282" s="466" t="s">
        <v>623</v>
      </c>
      <c r="F282" s="466">
        <v>12706628.029999999</v>
      </c>
      <c r="G282" s="478">
        <v>46205.919999999925</v>
      </c>
      <c r="H282" s="466">
        <v>0</v>
      </c>
      <c r="I282" s="479">
        <v>0</v>
      </c>
    </row>
    <row r="283" spans="1:9" ht="15.75" customHeight="1">
      <c r="A283" s="467"/>
      <c r="B283" s="467"/>
      <c r="C283" s="466"/>
      <c r="D283" s="497">
        <v>45772</v>
      </c>
      <c r="E283" s="466" t="s">
        <v>622</v>
      </c>
      <c r="F283" s="466">
        <v>12752833.949999999</v>
      </c>
      <c r="G283" s="478">
        <v>46205.919999999925</v>
      </c>
      <c r="H283" s="466">
        <v>0</v>
      </c>
      <c r="I283" s="479">
        <v>0</v>
      </c>
    </row>
    <row r="284" spans="1:9" ht="15.75" customHeight="1">
      <c r="A284" s="467"/>
      <c r="B284" s="467"/>
      <c r="C284" s="466"/>
      <c r="D284" s="497">
        <v>45773</v>
      </c>
      <c r="E284" s="466" t="s">
        <v>621</v>
      </c>
      <c r="F284" s="466">
        <v>12799039.869999999</v>
      </c>
      <c r="G284" s="478">
        <v>46205.919999999925</v>
      </c>
      <c r="H284" s="466">
        <v>0</v>
      </c>
      <c r="I284" s="479">
        <v>0</v>
      </c>
    </row>
    <row r="285" spans="1:9" ht="15.75" customHeight="1">
      <c r="A285" s="467"/>
      <c r="B285" s="467"/>
      <c r="C285" s="466"/>
      <c r="D285" s="497">
        <v>45774</v>
      </c>
      <c r="E285" s="466" t="s">
        <v>620</v>
      </c>
      <c r="F285" s="466">
        <v>12845245.789999999</v>
      </c>
      <c r="G285" s="478">
        <v>46205.919999999925</v>
      </c>
      <c r="H285" s="466">
        <v>0</v>
      </c>
      <c r="I285" s="479">
        <v>0</v>
      </c>
    </row>
    <row r="286" spans="1:9" ht="15.75" customHeight="1">
      <c r="A286" s="467"/>
      <c r="B286" s="467"/>
      <c r="C286" s="466"/>
      <c r="D286" s="497">
        <v>45775</v>
      </c>
      <c r="E286" s="466" t="s">
        <v>619</v>
      </c>
      <c r="F286" s="466">
        <v>12891451.710000001</v>
      </c>
      <c r="G286" s="478">
        <v>46205.920000001788</v>
      </c>
      <c r="H286" s="466">
        <v>0</v>
      </c>
      <c r="I286" s="479">
        <v>0</v>
      </c>
    </row>
    <row r="287" spans="1:9" ht="15.75" customHeight="1">
      <c r="A287" s="467"/>
      <c r="B287" s="467"/>
      <c r="C287" s="466"/>
      <c r="D287" s="497">
        <v>45776</v>
      </c>
      <c r="E287" s="466" t="s">
        <v>618</v>
      </c>
      <c r="F287" s="466">
        <v>12937657.630000001</v>
      </c>
      <c r="G287" s="478">
        <v>46205.919999999925</v>
      </c>
      <c r="H287" s="466">
        <v>0</v>
      </c>
      <c r="I287" s="479">
        <v>0</v>
      </c>
    </row>
    <row r="288" spans="1:9" ht="15.75" customHeight="1">
      <c r="A288" s="467"/>
      <c r="B288" s="467"/>
      <c r="C288" s="466"/>
      <c r="D288" s="497">
        <v>45777</v>
      </c>
      <c r="E288" s="466" t="s">
        <v>624</v>
      </c>
      <c r="F288" s="466">
        <v>12983863.550000001</v>
      </c>
      <c r="G288" s="478">
        <v>46205.919999999925</v>
      </c>
      <c r="H288" s="466">
        <v>323441.44000000134</v>
      </c>
      <c r="I288" s="479">
        <v>0</v>
      </c>
    </row>
    <row r="289" spans="1:9" ht="15.75" customHeight="1">
      <c r="A289" s="467"/>
      <c r="B289" s="467"/>
      <c r="C289" s="466"/>
      <c r="D289" s="497">
        <v>45778</v>
      </c>
      <c r="E289" s="466" t="s">
        <v>623</v>
      </c>
      <c r="F289" s="466">
        <v>13030069.470000001</v>
      </c>
      <c r="G289" s="478">
        <v>46205.919999999925</v>
      </c>
      <c r="H289" s="466">
        <v>0</v>
      </c>
      <c r="I289" s="479">
        <v>0</v>
      </c>
    </row>
    <row r="290" spans="1:9" ht="15.75" customHeight="1">
      <c r="A290" s="467"/>
      <c r="B290" s="467"/>
      <c r="C290" s="466"/>
      <c r="D290" s="497">
        <v>45779</v>
      </c>
      <c r="E290" s="466" t="s">
        <v>622</v>
      </c>
      <c r="F290" s="466">
        <v>13076275.390000001</v>
      </c>
      <c r="G290" s="478">
        <v>46205.919999999925</v>
      </c>
      <c r="H290" s="466">
        <v>0</v>
      </c>
      <c r="I290" s="479">
        <v>0</v>
      </c>
    </row>
    <row r="291" spans="1:9" ht="15.75" customHeight="1">
      <c r="A291" s="467"/>
      <c r="B291" s="467"/>
      <c r="C291" s="466"/>
      <c r="D291" s="497">
        <v>45780</v>
      </c>
      <c r="E291" s="466" t="s">
        <v>621</v>
      </c>
      <c r="F291" s="466">
        <v>13122481.310000001</v>
      </c>
      <c r="G291" s="478">
        <v>46205.919999999925</v>
      </c>
      <c r="H291" s="466">
        <v>0</v>
      </c>
      <c r="I291" s="479">
        <v>0</v>
      </c>
    </row>
    <row r="292" spans="1:9" ht="15.75" customHeight="1">
      <c r="A292" s="467"/>
      <c r="B292" s="467"/>
      <c r="C292" s="466"/>
      <c r="D292" s="497">
        <v>45781</v>
      </c>
      <c r="E292" s="466" t="s">
        <v>620</v>
      </c>
      <c r="F292" s="466">
        <v>13168687.23</v>
      </c>
      <c r="G292" s="478">
        <v>46205.919999999925</v>
      </c>
      <c r="H292" s="466">
        <v>0</v>
      </c>
      <c r="I292" s="479">
        <v>0</v>
      </c>
    </row>
    <row r="293" spans="1:9" ht="15.75" customHeight="1">
      <c r="A293" s="467"/>
      <c r="B293" s="467"/>
      <c r="C293" s="466"/>
      <c r="D293" s="497">
        <v>45782</v>
      </c>
      <c r="E293" s="466" t="s">
        <v>619</v>
      </c>
      <c r="F293" s="466">
        <v>13214893.15</v>
      </c>
      <c r="G293" s="478">
        <v>46205.919999999925</v>
      </c>
      <c r="H293" s="466">
        <v>0</v>
      </c>
      <c r="I293" s="479">
        <v>0</v>
      </c>
    </row>
    <row r="294" spans="1:9" ht="15.75" customHeight="1">
      <c r="A294" s="467"/>
      <c r="B294" s="467"/>
      <c r="C294" s="466"/>
      <c r="D294" s="497">
        <v>45783</v>
      </c>
      <c r="E294" s="466" t="s">
        <v>618</v>
      </c>
      <c r="F294" s="466">
        <v>13261099.07</v>
      </c>
      <c r="G294" s="478">
        <v>46205.919999999925</v>
      </c>
      <c r="H294" s="466">
        <v>0</v>
      </c>
      <c r="I294" s="479">
        <v>0</v>
      </c>
    </row>
    <row r="295" spans="1:9" ht="15.75" customHeight="1">
      <c r="A295" s="467"/>
      <c r="B295" s="467"/>
      <c r="C295" s="466"/>
      <c r="D295" s="497">
        <v>45784</v>
      </c>
      <c r="E295" s="466" t="s">
        <v>624</v>
      </c>
      <c r="F295" s="466">
        <v>13307304.99</v>
      </c>
      <c r="G295" s="478">
        <v>46205.919999999925</v>
      </c>
      <c r="H295" s="466">
        <v>323441.43999999948</v>
      </c>
      <c r="I295" s="479">
        <v>646882.88000000082</v>
      </c>
    </row>
    <row r="296" spans="1:9" ht="15.75" customHeight="1">
      <c r="A296" s="467"/>
      <c r="B296" s="467"/>
      <c r="C296" s="466"/>
      <c r="D296" s="497">
        <v>45785</v>
      </c>
      <c r="E296" s="466" t="s">
        <v>623</v>
      </c>
      <c r="F296" s="466">
        <v>13353510.91</v>
      </c>
      <c r="G296" s="478">
        <v>46205.919999999925</v>
      </c>
      <c r="H296" s="466">
        <v>0</v>
      </c>
      <c r="I296" s="479">
        <v>0</v>
      </c>
    </row>
    <row r="297" spans="1:9" ht="15.75" customHeight="1">
      <c r="A297" s="467"/>
      <c r="B297" s="467"/>
      <c r="C297" s="466"/>
      <c r="D297" s="497">
        <v>45786</v>
      </c>
      <c r="E297" s="466" t="s">
        <v>622</v>
      </c>
      <c r="F297" s="466">
        <v>13399716.83</v>
      </c>
      <c r="G297" s="478">
        <v>46205.919999999925</v>
      </c>
      <c r="H297" s="466">
        <v>0</v>
      </c>
      <c r="I297" s="479">
        <v>0</v>
      </c>
    </row>
    <row r="298" spans="1:9" ht="15.75" customHeight="1">
      <c r="A298" s="467"/>
      <c r="B298" s="467"/>
      <c r="C298" s="466"/>
      <c r="D298" s="497">
        <v>45787</v>
      </c>
      <c r="E298" s="466" t="s">
        <v>621</v>
      </c>
      <c r="F298" s="466">
        <v>13445922.75</v>
      </c>
      <c r="G298" s="478">
        <v>46205.919999999925</v>
      </c>
      <c r="H298" s="466">
        <v>0</v>
      </c>
      <c r="I298" s="479">
        <v>0</v>
      </c>
    </row>
    <row r="299" spans="1:9" ht="15.75" customHeight="1">
      <c r="A299" s="467"/>
      <c r="B299" s="467"/>
      <c r="C299" s="466"/>
      <c r="D299" s="497">
        <v>45788</v>
      </c>
      <c r="E299" s="466" t="s">
        <v>620</v>
      </c>
      <c r="F299" s="466">
        <v>13492128.67</v>
      </c>
      <c r="G299" s="478">
        <v>46205.919999999925</v>
      </c>
      <c r="H299" s="466">
        <v>0</v>
      </c>
      <c r="I299" s="479">
        <v>0</v>
      </c>
    </row>
    <row r="300" spans="1:9" ht="15.75" customHeight="1">
      <c r="A300" s="467"/>
      <c r="B300" s="467"/>
      <c r="C300" s="466"/>
      <c r="D300" s="497">
        <v>45789</v>
      </c>
      <c r="E300" s="466" t="s">
        <v>619</v>
      </c>
      <c r="F300" s="466">
        <v>13538334.59</v>
      </c>
      <c r="G300" s="478">
        <v>46205.919999999925</v>
      </c>
      <c r="H300" s="466">
        <v>0</v>
      </c>
      <c r="I300" s="479">
        <v>0</v>
      </c>
    </row>
    <row r="301" spans="1:9" ht="15.75" customHeight="1">
      <c r="A301" s="467"/>
      <c r="B301" s="467"/>
      <c r="C301" s="466"/>
      <c r="D301" s="497">
        <v>45790</v>
      </c>
      <c r="E301" s="466" t="s">
        <v>618</v>
      </c>
      <c r="F301" s="466">
        <v>13584540.51</v>
      </c>
      <c r="G301" s="478">
        <v>46205.919999999925</v>
      </c>
      <c r="H301" s="466">
        <v>0</v>
      </c>
      <c r="I301" s="479">
        <v>0</v>
      </c>
    </row>
    <row r="302" spans="1:9" ht="15.75" customHeight="1">
      <c r="A302" s="467"/>
      <c r="B302" s="467"/>
      <c r="C302" s="466"/>
      <c r="D302" s="497">
        <v>45791</v>
      </c>
      <c r="E302" s="466" t="s">
        <v>624</v>
      </c>
      <c r="F302" s="466">
        <v>13630746.43</v>
      </c>
      <c r="G302" s="478">
        <v>46205.919999999925</v>
      </c>
      <c r="H302" s="466">
        <v>323441.43999999948</v>
      </c>
      <c r="I302" s="479">
        <v>0</v>
      </c>
    </row>
    <row r="303" spans="1:9" ht="15.75" customHeight="1">
      <c r="A303" s="467"/>
      <c r="B303" s="467"/>
      <c r="C303" s="466"/>
      <c r="D303" s="497">
        <v>45792</v>
      </c>
      <c r="E303" s="466" t="s">
        <v>623</v>
      </c>
      <c r="F303" s="466">
        <v>13676952.35</v>
      </c>
      <c r="G303" s="478">
        <v>46205.919999999925</v>
      </c>
      <c r="H303" s="466">
        <v>0</v>
      </c>
      <c r="I303" s="479">
        <v>0</v>
      </c>
    </row>
    <row r="304" spans="1:9" ht="15.75" customHeight="1">
      <c r="A304" s="467"/>
      <c r="B304" s="467"/>
      <c r="C304" s="466"/>
      <c r="D304" s="497">
        <v>45793</v>
      </c>
      <c r="E304" s="466" t="s">
        <v>622</v>
      </c>
      <c r="F304" s="466">
        <v>13723158.27</v>
      </c>
      <c r="G304" s="478">
        <v>46205.919999999925</v>
      </c>
      <c r="H304" s="466">
        <v>0</v>
      </c>
      <c r="I304" s="479">
        <v>0</v>
      </c>
    </row>
    <row r="305" spans="1:9" ht="15.75" customHeight="1">
      <c r="A305" s="467"/>
      <c r="B305" s="467"/>
      <c r="C305" s="466"/>
      <c r="D305" s="497">
        <v>45794</v>
      </c>
      <c r="E305" s="466" t="s">
        <v>621</v>
      </c>
      <c r="F305" s="466">
        <v>13769364.189999999</v>
      </c>
      <c r="G305" s="478">
        <v>46205.919999999925</v>
      </c>
      <c r="H305" s="466">
        <v>0</v>
      </c>
      <c r="I305" s="479">
        <v>0</v>
      </c>
    </row>
    <row r="306" spans="1:9" ht="15.75" customHeight="1">
      <c r="A306" s="467"/>
      <c r="B306" s="467"/>
      <c r="C306" s="466"/>
      <c r="D306" s="497">
        <v>45795</v>
      </c>
      <c r="E306" s="466" t="s">
        <v>620</v>
      </c>
      <c r="F306" s="466">
        <v>13815570.109999999</v>
      </c>
      <c r="G306" s="478">
        <v>46205.919999999925</v>
      </c>
      <c r="H306" s="466">
        <v>0</v>
      </c>
      <c r="I306" s="479">
        <v>0</v>
      </c>
    </row>
    <row r="307" spans="1:9" ht="15.75" customHeight="1">
      <c r="A307" s="467"/>
      <c r="B307" s="467"/>
      <c r="C307" s="466"/>
      <c r="D307" s="497">
        <v>45796</v>
      </c>
      <c r="E307" s="466" t="s">
        <v>619</v>
      </c>
      <c r="F307" s="466">
        <v>13861776.039999999</v>
      </c>
      <c r="G307" s="478">
        <v>46205.929999999702</v>
      </c>
      <c r="H307" s="466">
        <v>0</v>
      </c>
      <c r="I307" s="479">
        <v>0</v>
      </c>
    </row>
    <row r="308" spans="1:9" ht="15.75" customHeight="1">
      <c r="A308" s="467"/>
      <c r="B308" s="467"/>
      <c r="C308" s="466"/>
      <c r="D308" s="497">
        <v>45797</v>
      </c>
      <c r="E308" s="466" t="s">
        <v>618</v>
      </c>
      <c r="F308" s="466">
        <v>13907981.960000001</v>
      </c>
      <c r="G308" s="478">
        <v>46205.920000001788</v>
      </c>
      <c r="H308" s="466">
        <v>0</v>
      </c>
      <c r="I308" s="479">
        <v>0</v>
      </c>
    </row>
    <row r="309" spans="1:9" ht="15.75" customHeight="1">
      <c r="A309" s="467"/>
      <c r="B309" s="467"/>
      <c r="C309" s="466"/>
      <c r="D309" s="497">
        <v>45798</v>
      </c>
      <c r="E309" s="466" t="s">
        <v>624</v>
      </c>
      <c r="F309" s="466">
        <v>13954187.880000001</v>
      </c>
      <c r="G309" s="478">
        <v>46205.919999999925</v>
      </c>
      <c r="H309" s="466">
        <v>323441.45000000112</v>
      </c>
      <c r="I309" s="479">
        <v>646882.8900000006</v>
      </c>
    </row>
    <row r="310" spans="1:9" ht="15.75" customHeight="1">
      <c r="A310" s="467"/>
      <c r="B310" s="467"/>
      <c r="C310" s="466"/>
      <c r="D310" s="497">
        <v>45799</v>
      </c>
      <c r="E310" s="466" t="s">
        <v>623</v>
      </c>
      <c r="F310" s="466">
        <v>14000393.800000001</v>
      </c>
      <c r="G310" s="478">
        <v>46205.919999999925</v>
      </c>
      <c r="H310" s="466">
        <v>0</v>
      </c>
      <c r="I310" s="479">
        <v>0</v>
      </c>
    </row>
    <row r="311" spans="1:9" ht="15.75" customHeight="1">
      <c r="A311" s="467"/>
      <c r="B311" s="467"/>
      <c r="C311" s="466"/>
      <c r="D311" s="497">
        <v>45800</v>
      </c>
      <c r="E311" s="466" t="s">
        <v>622</v>
      </c>
      <c r="F311" s="466">
        <v>14046599.720000001</v>
      </c>
      <c r="G311" s="478">
        <v>46205.919999999925</v>
      </c>
      <c r="H311" s="466">
        <v>0</v>
      </c>
      <c r="I311" s="479">
        <v>0</v>
      </c>
    </row>
    <row r="312" spans="1:9" ht="15.75" customHeight="1">
      <c r="A312" s="467"/>
      <c r="B312" s="467"/>
      <c r="C312" s="466"/>
      <c r="D312" s="497">
        <v>45801</v>
      </c>
      <c r="E312" s="466" t="s">
        <v>621</v>
      </c>
      <c r="F312" s="466">
        <v>14092805.640000001</v>
      </c>
      <c r="G312" s="478">
        <v>46205.919999999925</v>
      </c>
      <c r="H312" s="466">
        <v>0</v>
      </c>
      <c r="I312" s="479">
        <v>0</v>
      </c>
    </row>
    <row r="313" spans="1:9" ht="15.75" customHeight="1">
      <c r="A313" s="467"/>
      <c r="B313" s="467"/>
      <c r="C313" s="466"/>
      <c r="D313" s="497">
        <v>45802</v>
      </c>
      <c r="E313" s="466" t="s">
        <v>620</v>
      </c>
      <c r="F313" s="466">
        <v>14139011.560000001</v>
      </c>
      <c r="G313" s="478">
        <v>46205.919999999925</v>
      </c>
      <c r="H313" s="466">
        <v>0</v>
      </c>
      <c r="I313" s="479">
        <v>0</v>
      </c>
    </row>
    <row r="314" spans="1:9" ht="15.75" customHeight="1">
      <c r="A314" s="467"/>
      <c r="B314" s="467"/>
      <c r="C314" s="466"/>
      <c r="D314" s="497">
        <v>45803</v>
      </c>
      <c r="E314" s="466" t="s">
        <v>619</v>
      </c>
      <c r="F314" s="466">
        <v>14185217.48</v>
      </c>
      <c r="G314" s="478">
        <v>46205.919999999925</v>
      </c>
      <c r="H314" s="466">
        <v>0</v>
      </c>
      <c r="I314" s="479">
        <v>0</v>
      </c>
    </row>
    <row r="315" spans="1:9" ht="15.75" customHeight="1">
      <c r="A315" s="467"/>
      <c r="B315" s="467"/>
      <c r="C315" s="466"/>
      <c r="D315" s="497">
        <v>45804</v>
      </c>
      <c r="E315" s="466" t="s">
        <v>618</v>
      </c>
      <c r="F315" s="466">
        <v>14231423.4</v>
      </c>
      <c r="G315" s="478">
        <v>46205.919999999925</v>
      </c>
      <c r="H315" s="466">
        <v>0</v>
      </c>
      <c r="I315" s="479">
        <v>0</v>
      </c>
    </row>
    <row r="316" spans="1:9" ht="15.75" customHeight="1">
      <c r="A316" s="467"/>
      <c r="B316" s="467"/>
      <c r="C316" s="466"/>
      <c r="D316" s="497">
        <v>45805</v>
      </c>
      <c r="E316" s="466" t="s">
        <v>624</v>
      </c>
      <c r="F316" s="466">
        <v>14277629.32</v>
      </c>
      <c r="G316" s="478">
        <v>46205.919999999925</v>
      </c>
      <c r="H316" s="466">
        <v>323441.43999999948</v>
      </c>
      <c r="I316" s="479">
        <v>0</v>
      </c>
    </row>
    <row r="317" spans="1:9" ht="15.75" customHeight="1">
      <c r="A317" s="467"/>
      <c r="B317" s="467"/>
      <c r="C317" s="466"/>
      <c r="D317" s="497">
        <v>45806</v>
      </c>
      <c r="E317" s="466" t="s">
        <v>623</v>
      </c>
      <c r="F317" s="466">
        <v>14323835.24</v>
      </c>
      <c r="G317" s="478">
        <v>46205.919999999925</v>
      </c>
      <c r="H317" s="466">
        <v>0</v>
      </c>
      <c r="I317" s="479">
        <v>0</v>
      </c>
    </row>
    <row r="318" spans="1:9" ht="15.75" customHeight="1">
      <c r="A318" s="467"/>
      <c r="B318" s="467"/>
      <c r="C318" s="466"/>
      <c r="D318" s="497">
        <v>45807</v>
      </c>
      <c r="E318" s="466" t="s">
        <v>622</v>
      </c>
      <c r="F318" s="466">
        <v>14370041.16</v>
      </c>
      <c r="G318" s="478">
        <v>46205.919999999925</v>
      </c>
      <c r="H318" s="466">
        <v>0</v>
      </c>
      <c r="I318" s="479">
        <v>0</v>
      </c>
    </row>
    <row r="319" spans="1:9" ht="15.75" customHeight="1">
      <c r="A319" s="467"/>
      <c r="B319" s="467"/>
      <c r="C319" s="466"/>
      <c r="D319" s="497">
        <v>45808</v>
      </c>
      <c r="E319" s="466" t="s">
        <v>621</v>
      </c>
      <c r="F319" s="466">
        <v>14416247.08</v>
      </c>
      <c r="G319" s="478">
        <v>46205.919999999925</v>
      </c>
      <c r="H319" s="466">
        <v>0</v>
      </c>
      <c r="I319" s="479">
        <v>0</v>
      </c>
    </row>
    <row r="320" spans="1:9" ht="15.75" customHeight="1">
      <c r="A320" s="467"/>
      <c r="B320" s="467"/>
      <c r="C320" s="466"/>
      <c r="D320" s="497">
        <v>45809</v>
      </c>
      <c r="E320" s="466" t="s">
        <v>620</v>
      </c>
      <c r="F320" s="466">
        <v>14462453</v>
      </c>
      <c r="G320" s="478">
        <v>46205.919999999925</v>
      </c>
      <c r="H320" s="466">
        <v>0</v>
      </c>
      <c r="I320" s="479">
        <v>0</v>
      </c>
    </row>
    <row r="321" spans="1:9" ht="15.75" customHeight="1">
      <c r="A321" s="467"/>
      <c r="B321" s="467"/>
      <c r="C321" s="466"/>
      <c r="D321" s="497">
        <v>45810</v>
      </c>
      <c r="E321" s="466" t="s">
        <v>619</v>
      </c>
      <c r="F321" s="466">
        <v>14508658.92</v>
      </c>
      <c r="G321" s="478">
        <v>46205.919999999925</v>
      </c>
      <c r="H321" s="466">
        <v>0</v>
      </c>
      <c r="I321" s="479">
        <v>0</v>
      </c>
    </row>
    <row r="322" spans="1:9" ht="15.75" customHeight="1">
      <c r="A322" s="467"/>
      <c r="B322" s="467"/>
      <c r="C322" s="466"/>
      <c r="D322" s="497">
        <v>45811</v>
      </c>
      <c r="E322" s="466" t="s">
        <v>618</v>
      </c>
      <c r="F322" s="466">
        <v>14554864.84</v>
      </c>
      <c r="G322" s="478">
        <v>46205.919999999925</v>
      </c>
      <c r="H322" s="466">
        <v>0</v>
      </c>
      <c r="I322" s="479">
        <v>0</v>
      </c>
    </row>
    <row r="323" spans="1:9" ht="15.75" customHeight="1">
      <c r="A323" s="467"/>
      <c r="B323" s="467"/>
      <c r="C323" s="466"/>
      <c r="D323" s="497">
        <v>45812</v>
      </c>
      <c r="E323" s="466" t="s">
        <v>624</v>
      </c>
      <c r="F323" s="466">
        <v>14601070.76</v>
      </c>
      <c r="G323" s="478">
        <v>46205.919999999925</v>
      </c>
      <c r="H323" s="466">
        <v>323441.43999999948</v>
      </c>
      <c r="I323" s="479">
        <v>646882.87999999896</v>
      </c>
    </row>
    <row r="324" spans="1:9" ht="15.75" customHeight="1">
      <c r="A324" s="467"/>
      <c r="B324" s="467"/>
      <c r="C324" s="466"/>
      <c r="D324" s="497">
        <v>45813</v>
      </c>
      <c r="E324" s="466" t="s">
        <v>623</v>
      </c>
      <c r="F324" s="466">
        <v>14647276.68</v>
      </c>
      <c r="G324" s="478">
        <v>46205.919999999925</v>
      </c>
      <c r="H324" s="466">
        <v>0</v>
      </c>
      <c r="I324" s="479">
        <v>0</v>
      </c>
    </row>
    <row r="325" spans="1:9" ht="15.75" customHeight="1">
      <c r="A325" s="467"/>
      <c r="B325" s="467"/>
      <c r="C325" s="466"/>
      <c r="D325" s="497">
        <v>45814</v>
      </c>
      <c r="E325" s="466" t="s">
        <v>622</v>
      </c>
      <c r="F325" s="466">
        <v>14693482.6</v>
      </c>
      <c r="G325" s="478">
        <v>46205.919999999925</v>
      </c>
      <c r="H325" s="466">
        <v>0</v>
      </c>
      <c r="I325" s="479">
        <v>0</v>
      </c>
    </row>
    <row r="326" spans="1:9" ht="15.75" customHeight="1">
      <c r="A326" s="467"/>
      <c r="B326" s="467"/>
      <c r="C326" s="466"/>
      <c r="D326" s="497">
        <v>45815</v>
      </c>
      <c r="E326" s="466" t="s">
        <v>621</v>
      </c>
      <c r="F326" s="466">
        <v>14739688.52</v>
      </c>
      <c r="G326" s="478">
        <v>46205.919999999925</v>
      </c>
      <c r="H326" s="466">
        <v>0</v>
      </c>
      <c r="I326" s="479">
        <v>0</v>
      </c>
    </row>
    <row r="327" spans="1:9" ht="15.75" customHeight="1">
      <c r="A327" s="467"/>
      <c r="B327" s="467"/>
      <c r="C327" s="466"/>
      <c r="D327" s="497">
        <v>45816</v>
      </c>
      <c r="E327" s="466" t="s">
        <v>620</v>
      </c>
      <c r="F327" s="466">
        <v>14785894.439999999</v>
      </c>
      <c r="G327" s="478">
        <v>46205.919999999925</v>
      </c>
      <c r="H327" s="466">
        <v>0</v>
      </c>
      <c r="I327" s="479">
        <v>0</v>
      </c>
    </row>
    <row r="328" spans="1:9" ht="15.75" customHeight="1">
      <c r="A328" s="467"/>
      <c r="B328" s="467"/>
      <c r="C328" s="466"/>
      <c r="D328" s="497">
        <v>45817</v>
      </c>
      <c r="E328" s="466" t="s">
        <v>619</v>
      </c>
      <c r="F328" s="466">
        <v>14832100.359999999</v>
      </c>
      <c r="G328" s="478">
        <v>46205.919999999925</v>
      </c>
      <c r="H328" s="466">
        <v>0</v>
      </c>
      <c r="I328" s="479">
        <v>0</v>
      </c>
    </row>
    <row r="329" spans="1:9" ht="15.75" customHeight="1">
      <c r="A329" s="467"/>
      <c r="B329" s="467"/>
      <c r="C329" s="466"/>
      <c r="D329" s="497">
        <v>45818</v>
      </c>
      <c r="E329" s="466" t="s">
        <v>618</v>
      </c>
      <c r="F329" s="466">
        <v>14878306.279999999</v>
      </c>
      <c r="G329" s="478">
        <v>46205.919999999925</v>
      </c>
      <c r="H329" s="466">
        <v>0</v>
      </c>
      <c r="I329" s="479">
        <v>0</v>
      </c>
    </row>
    <row r="330" spans="1:9" ht="15.75" customHeight="1">
      <c r="A330" s="467"/>
      <c r="B330" s="467"/>
      <c r="C330" s="466"/>
      <c r="D330" s="497">
        <v>45819</v>
      </c>
      <c r="E330" s="466" t="s">
        <v>624</v>
      </c>
      <c r="F330" s="466">
        <v>14924512.199999999</v>
      </c>
      <c r="G330" s="478">
        <v>46205.919999999925</v>
      </c>
      <c r="H330" s="466">
        <v>323441.43999999948</v>
      </c>
      <c r="I330" s="479">
        <v>0</v>
      </c>
    </row>
    <row r="331" spans="1:9" ht="15.75" customHeight="1">
      <c r="A331" s="467"/>
      <c r="B331" s="467"/>
      <c r="C331" s="466"/>
      <c r="D331" s="497">
        <v>45820</v>
      </c>
      <c r="E331" s="466" t="s">
        <v>623</v>
      </c>
      <c r="F331" s="466">
        <v>14970718.119999999</v>
      </c>
      <c r="G331" s="478">
        <v>46205.919999999925</v>
      </c>
      <c r="H331" s="466">
        <v>0</v>
      </c>
      <c r="I331" s="479">
        <v>0</v>
      </c>
    </row>
    <row r="332" spans="1:9" ht="15.75" customHeight="1">
      <c r="A332" s="467"/>
      <c r="B332" s="467"/>
      <c r="C332" s="466"/>
      <c r="D332" s="497">
        <v>45821</v>
      </c>
      <c r="E332" s="466" t="s">
        <v>622</v>
      </c>
      <c r="F332" s="466">
        <v>15016924.039999999</v>
      </c>
      <c r="G332" s="478">
        <v>46205.919999999925</v>
      </c>
      <c r="H332" s="466">
        <v>0</v>
      </c>
      <c r="I332" s="479">
        <v>0</v>
      </c>
    </row>
    <row r="333" spans="1:9" ht="15.75" customHeight="1">
      <c r="A333" s="467"/>
      <c r="B333" s="467"/>
      <c r="C333" s="466"/>
      <c r="D333" s="497">
        <v>45822</v>
      </c>
      <c r="E333" s="466" t="s">
        <v>621</v>
      </c>
      <c r="F333" s="466">
        <v>15063129.960000001</v>
      </c>
      <c r="G333" s="478">
        <v>46205.920000001788</v>
      </c>
      <c r="H333" s="466">
        <v>0</v>
      </c>
      <c r="I333" s="479">
        <v>0</v>
      </c>
    </row>
    <row r="334" spans="1:9" ht="15.75" customHeight="1">
      <c r="A334" s="467"/>
      <c r="B334" s="467"/>
      <c r="C334" s="466"/>
      <c r="D334" s="497">
        <v>45823</v>
      </c>
      <c r="E334" s="466" t="s">
        <v>620</v>
      </c>
      <c r="F334" s="466">
        <v>15109335.880000001</v>
      </c>
      <c r="G334" s="478">
        <v>46205.919999999925</v>
      </c>
      <c r="H334" s="466">
        <v>0</v>
      </c>
      <c r="I334" s="479">
        <v>0</v>
      </c>
    </row>
    <row r="335" spans="1:9" ht="15.75" customHeight="1">
      <c r="A335" s="467"/>
      <c r="B335" s="467"/>
      <c r="C335" s="466"/>
      <c r="D335" s="497">
        <v>45824</v>
      </c>
      <c r="E335" s="466" t="s">
        <v>619</v>
      </c>
      <c r="F335" s="466">
        <v>15155541.800000001</v>
      </c>
      <c r="G335" s="478">
        <v>46205.919999999925</v>
      </c>
      <c r="H335" s="466">
        <v>0</v>
      </c>
      <c r="I335" s="479">
        <v>0</v>
      </c>
    </row>
    <row r="336" spans="1:9" ht="15.75" customHeight="1">
      <c r="A336" s="467"/>
      <c r="B336" s="467"/>
      <c r="C336" s="466"/>
      <c r="D336" s="497">
        <v>45825</v>
      </c>
      <c r="E336" s="466" t="s">
        <v>618</v>
      </c>
      <c r="F336" s="466">
        <v>15201747.720000001</v>
      </c>
      <c r="G336" s="478">
        <v>46205.919999999925</v>
      </c>
      <c r="H336" s="466">
        <v>0</v>
      </c>
      <c r="I336" s="479">
        <v>0</v>
      </c>
    </row>
    <row r="337" spans="1:9" ht="15.75" customHeight="1">
      <c r="A337" s="467"/>
      <c r="B337" s="467"/>
      <c r="C337" s="466"/>
      <c r="D337" s="497">
        <v>45826</v>
      </c>
      <c r="E337" s="466" t="s">
        <v>624</v>
      </c>
      <c r="F337" s="466">
        <v>15247953.640000001</v>
      </c>
      <c r="G337" s="478">
        <v>46205.919999999925</v>
      </c>
      <c r="H337" s="466">
        <v>323441.44000000134</v>
      </c>
      <c r="I337" s="479">
        <v>646882.88000000082</v>
      </c>
    </row>
    <row r="338" spans="1:9" ht="15.75" customHeight="1">
      <c r="A338" s="467"/>
      <c r="B338" s="467"/>
      <c r="C338" s="466"/>
      <c r="D338" s="497">
        <v>45827</v>
      </c>
      <c r="E338" s="466" t="s">
        <v>623</v>
      </c>
      <c r="F338" s="466">
        <v>15294159.560000001</v>
      </c>
      <c r="G338" s="478">
        <v>46205.919999999925</v>
      </c>
      <c r="H338" s="466">
        <v>0</v>
      </c>
      <c r="I338" s="479">
        <v>0</v>
      </c>
    </row>
    <row r="339" spans="1:9" ht="15.75" customHeight="1">
      <c r="A339" s="467"/>
      <c r="B339" s="467"/>
      <c r="C339" s="466"/>
      <c r="D339" s="497">
        <v>45828</v>
      </c>
      <c r="E339" s="466" t="s">
        <v>622</v>
      </c>
      <c r="F339" s="466">
        <v>15340365.48</v>
      </c>
      <c r="G339" s="478">
        <v>46205.919999999925</v>
      </c>
      <c r="H339" s="466">
        <v>0</v>
      </c>
      <c r="I339" s="479">
        <v>0</v>
      </c>
    </row>
    <row r="340" spans="1:9" ht="15.75" customHeight="1">
      <c r="A340" s="467"/>
      <c r="B340" s="467"/>
      <c r="C340" s="466"/>
      <c r="D340" s="497">
        <v>45829</v>
      </c>
      <c r="E340" s="466" t="s">
        <v>621</v>
      </c>
      <c r="F340" s="466">
        <v>15386571.4</v>
      </c>
      <c r="G340" s="478">
        <v>46205.919999999925</v>
      </c>
      <c r="H340" s="466">
        <v>0</v>
      </c>
      <c r="I340" s="479">
        <v>0</v>
      </c>
    </row>
    <row r="341" spans="1:9" ht="15.75" customHeight="1">
      <c r="A341" s="467"/>
      <c r="B341" s="467"/>
      <c r="C341" s="466"/>
      <c r="D341" s="497">
        <v>45830</v>
      </c>
      <c r="E341" s="466" t="s">
        <v>620</v>
      </c>
      <c r="F341" s="466">
        <v>15432777.32</v>
      </c>
      <c r="G341" s="478">
        <v>46205.919999999925</v>
      </c>
      <c r="H341" s="466">
        <v>0</v>
      </c>
      <c r="I341" s="479">
        <v>0</v>
      </c>
    </row>
    <row r="342" spans="1:9" ht="15.75" customHeight="1">
      <c r="A342" s="467"/>
      <c r="B342" s="467"/>
      <c r="C342" s="466"/>
      <c r="D342" s="497">
        <v>45831</v>
      </c>
      <c r="E342" s="466" t="s">
        <v>619</v>
      </c>
      <c r="F342" s="466">
        <v>15478983.24</v>
      </c>
      <c r="G342" s="478">
        <v>46205.919999999925</v>
      </c>
      <c r="H342" s="466">
        <v>0</v>
      </c>
      <c r="I342" s="479">
        <v>0</v>
      </c>
    </row>
    <row r="343" spans="1:9" ht="15.75" customHeight="1">
      <c r="A343" s="467"/>
      <c r="B343" s="467"/>
      <c r="C343" s="466"/>
      <c r="D343" s="497">
        <v>45832</v>
      </c>
      <c r="E343" s="466" t="s">
        <v>618</v>
      </c>
      <c r="F343" s="466">
        <v>15525189.16</v>
      </c>
      <c r="G343" s="478">
        <v>46205.919999999925</v>
      </c>
      <c r="H343" s="466">
        <v>0</v>
      </c>
      <c r="I343" s="479">
        <v>0</v>
      </c>
    </row>
    <row r="344" spans="1:9" ht="15.75" customHeight="1">
      <c r="A344" s="467"/>
      <c r="B344" s="467"/>
      <c r="C344" s="466"/>
      <c r="D344" s="497">
        <v>45833</v>
      </c>
      <c r="E344" s="466" t="s">
        <v>624</v>
      </c>
      <c r="F344" s="466">
        <v>15571395.08</v>
      </c>
      <c r="G344" s="478">
        <v>46205.919999999925</v>
      </c>
      <c r="H344" s="466">
        <v>323441.43999999948</v>
      </c>
      <c r="I344" s="479">
        <v>0</v>
      </c>
    </row>
    <row r="345" spans="1:9" ht="15.75" customHeight="1">
      <c r="A345" s="467"/>
      <c r="B345" s="467"/>
      <c r="C345" s="466"/>
      <c r="D345" s="497">
        <v>45834</v>
      </c>
      <c r="E345" s="466" t="s">
        <v>623</v>
      </c>
      <c r="F345" s="466">
        <v>15617601</v>
      </c>
      <c r="G345" s="478">
        <v>46205.919999999925</v>
      </c>
      <c r="H345" s="466">
        <v>0</v>
      </c>
      <c r="I345" s="479">
        <v>0</v>
      </c>
    </row>
    <row r="346" spans="1:9" ht="15.75" customHeight="1">
      <c r="A346" s="467"/>
      <c r="B346" s="467"/>
      <c r="C346" s="466"/>
      <c r="D346" s="497">
        <v>45835</v>
      </c>
      <c r="E346" s="466" t="s">
        <v>622</v>
      </c>
      <c r="F346" s="466">
        <v>15663806.92</v>
      </c>
      <c r="G346" s="478">
        <v>46205.919999999925</v>
      </c>
      <c r="H346" s="466">
        <v>0</v>
      </c>
      <c r="I346" s="479">
        <v>0</v>
      </c>
    </row>
    <row r="347" spans="1:9" ht="15.75" customHeight="1">
      <c r="A347" s="467"/>
      <c r="B347" s="467"/>
      <c r="C347" s="466"/>
      <c r="D347" s="497">
        <v>45836</v>
      </c>
      <c r="E347" s="466" t="s">
        <v>621</v>
      </c>
      <c r="F347" s="466">
        <v>15710012.84</v>
      </c>
      <c r="G347" s="478">
        <v>46205.919999999925</v>
      </c>
      <c r="H347" s="466">
        <v>0</v>
      </c>
      <c r="I347" s="479">
        <v>0</v>
      </c>
    </row>
    <row r="348" spans="1:9" ht="15.75" customHeight="1">
      <c r="A348" s="467"/>
      <c r="B348" s="467"/>
      <c r="C348" s="466"/>
      <c r="D348" s="497">
        <v>45837</v>
      </c>
      <c r="E348" s="466" t="s">
        <v>620</v>
      </c>
      <c r="F348" s="466">
        <v>15756218.76</v>
      </c>
      <c r="G348" s="478">
        <v>46205.919999999925</v>
      </c>
      <c r="H348" s="466">
        <v>0</v>
      </c>
      <c r="I348" s="479">
        <v>0</v>
      </c>
    </row>
    <row r="349" spans="1:9" ht="15.75" customHeight="1">
      <c r="A349" s="467"/>
      <c r="B349" s="467"/>
      <c r="C349" s="466"/>
      <c r="D349" s="497">
        <v>45838</v>
      </c>
      <c r="E349" s="466" t="s">
        <v>619</v>
      </c>
      <c r="F349" s="466">
        <v>15802424.68</v>
      </c>
      <c r="G349" s="478">
        <v>46205.919999999925</v>
      </c>
      <c r="H349" s="466">
        <v>0</v>
      </c>
      <c r="I349" s="479">
        <v>0</v>
      </c>
    </row>
    <row r="350" spans="1:9" ht="15.75" customHeight="1">
      <c r="A350" s="467"/>
      <c r="B350" s="467"/>
      <c r="C350" s="466"/>
      <c r="D350" s="497">
        <v>45839</v>
      </c>
      <c r="E350" s="466" t="s">
        <v>618</v>
      </c>
      <c r="F350" s="466">
        <v>15848630.6</v>
      </c>
      <c r="G350" s="478">
        <v>46205.919999999925</v>
      </c>
      <c r="H350" s="466">
        <v>0</v>
      </c>
      <c r="I350" s="479">
        <v>0</v>
      </c>
    </row>
    <row r="351" spans="1:9" ht="15.75" customHeight="1">
      <c r="A351" s="467"/>
      <c r="B351" s="467"/>
      <c r="C351" s="466"/>
      <c r="D351" s="497">
        <v>45840</v>
      </c>
      <c r="E351" s="466" t="s">
        <v>624</v>
      </c>
      <c r="F351" s="466">
        <v>15894836.52</v>
      </c>
      <c r="G351" s="478">
        <v>46205.919999999925</v>
      </c>
      <c r="H351" s="466">
        <v>323441.43999999948</v>
      </c>
      <c r="I351" s="479">
        <v>646882.87999999896</v>
      </c>
    </row>
    <row r="352" spans="1:9" ht="15.75" customHeight="1">
      <c r="A352" s="467"/>
      <c r="B352" s="467"/>
      <c r="C352" s="466"/>
      <c r="D352" s="497">
        <v>45841</v>
      </c>
      <c r="E352" s="466" t="s">
        <v>623</v>
      </c>
      <c r="F352" s="466">
        <v>15941042.439999999</v>
      </c>
      <c r="G352" s="478">
        <v>46205.919999999925</v>
      </c>
      <c r="H352" s="466">
        <v>0</v>
      </c>
      <c r="I352" s="479">
        <v>0</v>
      </c>
    </row>
    <row r="353" spans="1:9" ht="15.75" customHeight="1">
      <c r="A353" s="467"/>
      <c r="B353" s="467"/>
      <c r="C353" s="466"/>
      <c r="D353" s="497">
        <v>45842</v>
      </c>
      <c r="E353" s="466" t="s">
        <v>622</v>
      </c>
      <c r="F353" s="466">
        <v>15987248.359999999</v>
      </c>
      <c r="G353" s="478">
        <v>46205.919999999925</v>
      </c>
      <c r="H353" s="466">
        <v>0</v>
      </c>
      <c r="I353" s="479">
        <v>0</v>
      </c>
    </row>
    <row r="354" spans="1:9" ht="15.75" customHeight="1">
      <c r="A354" s="467"/>
      <c r="B354" s="467"/>
      <c r="C354" s="466"/>
      <c r="D354" s="497">
        <v>45843</v>
      </c>
      <c r="E354" s="466" t="s">
        <v>621</v>
      </c>
      <c r="F354" s="466">
        <v>16033454.279999999</v>
      </c>
      <c r="G354" s="478">
        <v>46205.919999999925</v>
      </c>
      <c r="H354" s="466">
        <v>0</v>
      </c>
      <c r="I354" s="479">
        <v>0</v>
      </c>
    </row>
    <row r="355" spans="1:9" ht="15.75" customHeight="1">
      <c r="A355" s="467"/>
      <c r="B355" s="467"/>
      <c r="C355" s="466"/>
      <c r="D355" s="497">
        <v>45844</v>
      </c>
      <c r="E355" s="466" t="s">
        <v>620</v>
      </c>
      <c r="F355" s="466">
        <v>16079660.199999999</v>
      </c>
      <c r="G355" s="478">
        <v>46205.919999999925</v>
      </c>
      <c r="H355" s="466">
        <v>0</v>
      </c>
      <c r="I355" s="479">
        <v>0</v>
      </c>
    </row>
    <row r="356" spans="1:9" ht="15.75" customHeight="1">
      <c r="A356" s="467"/>
      <c r="B356" s="467"/>
      <c r="C356" s="466"/>
      <c r="D356" s="497">
        <v>45845</v>
      </c>
      <c r="E356" s="466" t="s">
        <v>619</v>
      </c>
      <c r="F356" s="466">
        <v>16125866.119999999</v>
      </c>
      <c r="G356" s="478">
        <v>46205.919999999925</v>
      </c>
      <c r="H356" s="466">
        <v>0</v>
      </c>
      <c r="I356" s="479">
        <v>0</v>
      </c>
    </row>
    <row r="357" spans="1:9" ht="15.75" customHeight="1">
      <c r="A357" s="467"/>
      <c r="B357" s="467"/>
      <c r="C357" s="466"/>
      <c r="D357" s="497">
        <v>45846</v>
      </c>
      <c r="E357" s="466" t="s">
        <v>618</v>
      </c>
      <c r="F357" s="466">
        <v>16172072.039999999</v>
      </c>
      <c r="G357" s="478">
        <v>46205.919999999925</v>
      </c>
      <c r="H357" s="466">
        <v>0</v>
      </c>
      <c r="I357" s="479">
        <v>0</v>
      </c>
    </row>
    <row r="358" spans="1:9" ht="15.75" customHeight="1">
      <c r="A358" s="467"/>
      <c r="B358" s="467"/>
      <c r="C358" s="466"/>
      <c r="D358" s="497">
        <v>45847</v>
      </c>
      <c r="E358" s="466" t="s">
        <v>624</v>
      </c>
      <c r="F358" s="466">
        <v>16218277.960000001</v>
      </c>
      <c r="G358" s="478">
        <v>46205.920000001788</v>
      </c>
      <c r="H358" s="466">
        <v>323441.44000000134</v>
      </c>
      <c r="I358" s="479">
        <v>0</v>
      </c>
    </row>
    <row r="359" spans="1:9" ht="15.75" customHeight="1">
      <c r="A359" s="467"/>
      <c r="B359" s="467"/>
      <c r="C359" s="466"/>
      <c r="D359" s="497">
        <v>45848</v>
      </c>
      <c r="E359" s="466" t="s">
        <v>623</v>
      </c>
      <c r="F359" s="466">
        <v>16264483.880000001</v>
      </c>
      <c r="G359" s="478">
        <v>46205.919999999925</v>
      </c>
      <c r="H359" s="466">
        <v>0</v>
      </c>
      <c r="I359" s="479">
        <v>0</v>
      </c>
    </row>
    <row r="360" spans="1:9" ht="15.75" customHeight="1">
      <c r="A360" s="467"/>
      <c r="B360" s="467"/>
      <c r="C360" s="466"/>
      <c r="D360" s="497">
        <v>45849</v>
      </c>
      <c r="E360" s="466" t="s">
        <v>622</v>
      </c>
      <c r="F360" s="466">
        <v>16310689.800000001</v>
      </c>
      <c r="G360" s="478">
        <v>46205.919999999925</v>
      </c>
      <c r="H360" s="466">
        <v>0</v>
      </c>
      <c r="I360" s="479">
        <v>0</v>
      </c>
    </row>
    <row r="361" spans="1:9" ht="15.75" customHeight="1">
      <c r="A361" s="467"/>
      <c r="B361" s="467"/>
      <c r="C361" s="466"/>
      <c r="D361" s="497">
        <v>45850</v>
      </c>
      <c r="E361" s="466" t="s">
        <v>621</v>
      </c>
      <c r="F361" s="466">
        <v>16356895.720000001</v>
      </c>
      <c r="G361" s="478">
        <v>46205.919999999925</v>
      </c>
      <c r="H361" s="466">
        <v>0</v>
      </c>
      <c r="I361" s="479">
        <v>0</v>
      </c>
    </row>
    <row r="362" spans="1:9" ht="15.75" customHeight="1">
      <c r="A362" s="467"/>
      <c r="B362" s="467"/>
      <c r="C362" s="466"/>
      <c r="D362" s="497">
        <v>45851</v>
      </c>
      <c r="E362" s="466" t="s">
        <v>620</v>
      </c>
      <c r="F362" s="466">
        <v>16403101.640000001</v>
      </c>
      <c r="G362" s="478">
        <v>46205.919999999925</v>
      </c>
      <c r="H362" s="466">
        <v>0</v>
      </c>
      <c r="I362" s="479">
        <v>0</v>
      </c>
    </row>
    <row r="363" spans="1:9" ht="15.75" customHeight="1">
      <c r="A363" s="467"/>
      <c r="B363" s="467"/>
      <c r="C363" s="466"/>
      <c r="D363" s="497">
        <v>45852</v>
      </c>
      <c r="E363" s="466" t="s">
        <v>619</v>
      </c>
      <c r="F363" s="466">
        <v>16449307.560000001</v>
      </c>
      <c r="G363" s="478">
        <v>46205.919999999925</v>
      </c>
      <c r="H363" s="466">
        <v>0</v>
      </c>
      <c r="I363" s="479">
        <v>0</v>
      </c>
    </row>
    <row r="364" spans="1:9" ht="15.75" customHeight="1">
      <c r="A364" s="467"/>
      <c r="B364" s="467"/>
      <c r="C364" s="466"/>
      <c r="D364" s="497">
        <v>45853</v>
      </c>
      <c r="E364" s="466" t="s">
        <v>618</v>
      </c>
      <c r="F364" s="466">
        <v>16495513.48</v>
      </c>
      <c r="G364" s="478">
        <v>46205.919999999925</v>
      </c>
      <c r="H364" s="466">
        <v>0</v>
      </c>
      <c r="I364" s="479">
        <v>0</v>
      </c>
    </row>
    <row r="365" spans="1:9" ht="15.75" customHeight="1">
      <c r="A365" s="467"/>
      <c r="B365" s="467"/>
      <c r="C365" s="466"/>
      <c r="D365" s="497">
        <v>45854</v>
      </c>
      <c r="E365" s="466" t="s">
        <v>624</v>
      </c>
      <c r="F365" s="466">
        <v>16541719.4</v>
      </c>
      <c r="G365" s="478">
        <v>46205.919999999925</v>
      </c>
      <c r="H365" s="466">
        <v>323441.43999999948</v>
      </c>
      <c r="I365" s="479">
        <v>646882.88000000082</v>
      </c>
    </row>
    <row r="366" spans="1:9" ht="15.75" customHeight="1">
      <c r="A366" s="467"/>
      <c r="B366" s="467"/>
      <c r="C366" s="466"/>
      <c r="D366" s="497">
        <v>45855</v>
      </c>
      <c r="E366" s="466" t="s">
        <v>623</v>
      </c>
      <c r="F366" s="466">
        <v>16587925.32</v>
      </c>
      <c r="G366" s="478">
        <v>46205.919999999925</v>
      </c>
      <c r="H366" s="466">
        <v>0</v>
      </c>
      <c r="I366" s="479">
        <v>0</v>
      </c>
    </row>
    <row r="367" spans="1:9" ht="15.75" customHeight="1">
      <c r="A367" s="467"/>
      <c r="B367" s="467"/>
      <c r="C367" s="466"/>
      <c r="D367" s="497">
        <v>45856</v>
      </c>
      <c r="E367" s="466" t="s">
        <v>622</v>
      </c>
      <c r="F367" s="466">
        <v>16634131.24</v>
      </c>
      <c r="G367" s="478">
        <v>46205.919999999925</v>
      </c>
      <c r="H367" s="466">
        <v>0</v>
      </c>
      <c r="I367" s="479">
        <v>0</v>
      </c>
    </row>
    <row r="368" spans="1:9" ht="15.75" customHeight="1">
      <c r="A368" s="467"/>
      <c r="B368" s="467"/>
      <c r="C368" s="466"/>
      <c r="D368" s="497">
        <v>45857</v>
      </c>
      <c r="E368" s="466" t="s">
        <v>621</v>
      </c>
      <c r="F368" s="466">
        <v>16680337.16</v>
      </c>
      <c r="G368" s="478">
        <v>46205.919999999925</v>
      </c>
      <c r="H368" s="466">
        <v>0</v>
      </c>
      <c r="I368" s="479">
        <v>0</v>
      </c>
    </row>
    <row r="369" spans="1:9" ht="15.75" customHeight="1">
      <c r="A369" s="467"/>
      <c r="B369" s="467"/>
      <c r="C369" s="466"/>
      <c r="D369" s="497">
        <v>45858</v>
      </c>
      <c r="E369" s="466" t="s">
        <v>620</v>
      </c>
      <c r="F369" s="466">
        <v>16726543.08</v>
      </c>
      <c r="G369" s="478">
        <v>46205.919999999925</v>
      </c>
      <c r="H369" s="466">
        <v>0</v>
      </c>
      <c r="I369" s="479">
        <v>0</v>
      </c>
    </row>
    <row r="370" spans="1:9" ht="15.75" customHeight="1">
      <c r="A370" s="467"/>
      <c r="B370" s="467"/>
      <c r="C370" s="466"/>
      <c r="D370" s="497">
        <v>45859</v>
      </c>
      <c r="E370" s="466" t="s">
        <v>619</v>
      </c>
      <c r="F370" s="466">
        <v>16772749</v>
      </c>
      <c r="G370" s="478">
        <v>46205.919999999925</v>
      </c>
      <c r="H370" s="466">
        <v>0</v>
      </c>
      <c r="I370" s="479">
        <v>0</v>
      </c>
    </row>
    <row r="371" spans="1:9" ht="15.75" customHeight="1">
      <c r="A371" s="467"/>
      <c r="B371" s="467"/>
      <c r="C371" s="466"/>
      <c r="D371" s="497">
        <v>45860</v>
      </c>
      <c r="E371" s="466" t="s">
        <v>618</v>
      </c>
      <c r="F371" s="466">
        <v>16818954.920000002</v>
      </c>
      <c r="G371" s="478">
        <v>46205.920000001788</v>
      </c>
      <c r="H371" s="466">
        <v>0</v>
      </c>
      <c r="I371" s="479">
        <v>0</v>
      </c>
    </row>
    <row r="372" spans="1:9" ht="15.75" customHeight="1">
      <c r="A372" s="467"/>
      <c r="B372" s="467"/>
      <c r="C372" s="466"/>
      <c r="D372" s="497">
        <v>45861</v>
      </c>
      <c r="E372" s="466" t="s">
        <v>624</v>
      </c>
      <c r="F372" s="466">
        <v>16865160.84</v>
      </c>
      <c r="G372" s="478">
        <v>46205.919999998063</v>
      </c>
      <c r="H372" s="466">
        <v>323441.43999999948</v>
      </c>
      <c r="I372" s="479">
        <v>0</v>
      </c>
    </row>
    <row r="373" spans="1:9" ht="15.75" customHeight="1">
      <c r="A373" s="467"/>
      <c r="B373" s="467"/>
      <c r="C373" s="466"/>
      <c r="D373" s="497">
        <v>45862</v>
      </c>
      <c r="E373" s="466" t="s">
        <v>623</v>
      </c>
      <c r="F373" s="466">
        <v>16911366.760000002</v>
      </c>
      <c r="G373" s="478">
        <v>46205.920000001788</v>
      </c>
      <c r="H373" s="466">
        <v>0</v>
      </c>
      <c r="I373" s="479">
        <v>0</v>
      </c>
    </row>
    <row r="374" spans="1:9" ht="15.75" customHeight="1">
      <c r="A374" s="467"/>
      <c r="B374" s="467"/>
      <c r="C374" s="466"/>
      <c r="D374" s="497">
        <v>45863</v>
      </c>
      <c r="E374" s="466" t="s">
        <v>622</v>
      </c>
      <c r="F374" s="466">
        <v>16957572.68</v>
      </c>
      <c r="G374" s="478">
        <v>46205.919999998063</v>
      </c>
      <c r="H374" s="466">
        <v>0</v>
      </c>
      <c r="I374" s="479">
        <v>0</v>
      </c>
    </row>
    <row r="375" spans="1:9" ht="15.75" customHeight="1">
      <c r="A375" s="467"/>
      <c r="B375" s="467"/>
      <c r="C375" s="466"/>
      <c r="D375" s="497">
        <v>45864</v>
      </c>
      <c r="E375" s="466" t="s">
        <v>621</v>
      </c>
      <c r="F375" s="466">
        <v>17003778.600000001</v>
      </c>
      <c r="G375" s="478">
        <v>46205.920000001788</v>
      </c>
      <c r="H375" s="466">
        <v>0</v>
      </c>
      <c r="I375" s="479">
        <v>0</v>
      </c>
    </row>
    <row r="376" spans="1:9" ht="15.75" customHeight="1">
      <c r="A376" s="467"/>
      <c r="B376" s="467"/>
      <c r="C376" s="466"/>
      <c r="D376" s="497">
        <v>45865</v>
      </c>
      <c r="E376" s="466" t="s">
        <v>620</v>
      </c>
      <c r="F376" s="466">
        <v>17049984.52</v>
      </c>
      <c r="G376" s="478">
        <v>46205.919999998063</v>
      </c>
      <c r="H376" s="466">
        <v>0</v>
      </c>
      <c r="I376" s="479">
        <v>0</v>
      </c>
    </row>
    <row r="377" spans="1:9" ht="15.75" customHeight="1">
      <c r="A377" s="467"/>
      <c r="B377" s="467"/>
      <c r="C377" s="466"/>
      <c r="D377" s="497">
        <v>45866</v>
      </c>
      <c r="E377" s="466" t="s">
        <v>619</v>
      </c>
      <c r="F377" s="466">
        <v>17096190.440000001</v>
      </c>
      <c r="G377" s="478">
        <v>46205.920000001788</v>
      </c>
      <c r="H377" s="466">
        <v>0</v>
      </c>
      <c r="I377" s="479">
        <v>0</v>
      </c>
    </row>
    <row r="378" spans="1:9" ht="15.75" customHeight="1">
      <c r="A378" s="467"/>
      <c r="B378" s="467"/>
      <c r="C378" s="466"/>
      <c r="D378" s="497">
        <v>45867</v>
      </c>
      <c r="E378" s="466" t="s">
        <v>618</v>
      </c>
      <c r="F378" s="466">
        <v>17142396.359999999</v>
      </c>
      <c r="G378" s="478">
        <v>46205.919999998063</v>
      </c>
      <c r="H378" s="466">
        <v>0</v>
      </c>
      <c r="I378" s="479">
        <v>0</v>
      </c>
    </row>
    <row r="379" spans="1:9" ht="15.75" customHeight="1">
      <c r="A379" s="467"/>
      <c r="B379" s="467"/>
      <c r="C379" s="466"/>
      <c r="D379" s="497">
        <v>45868</v>
      </c>
      <c r="E379" s="466" t="s">
        <v>624</v>
      </c>
      <c r="F379" s="466">
        <v>17188602.280000001</v>
      </c>
      <c r="G379" s="478">
        <v>46205.920000001788</v>
      </c>
      <c r="H379" s="466">
        <v>323441.44000000134</v>
      </c>
      <c r="I379" s="479">
        <v>646882.88000000082</v>
      </c>
    </row>
    <row r="380" spans="1:9" ht="15.75" customHeight="1">
      <c r="A380" s="467"/>
      <c r="B380" s="467"/>
      <c r="C380" s="466"/>
      <c r="D380" s="497">
        <v>45869</v>
      </c>
      <c r="E380" s="466" t="s">
        <v>623</v>
      </c>
      <c r="F380" s="466">
        <v>17234808.199999999</v>
      </c>
      <c r="G380" s="478">
        <v>46205.919999998063</v>
      </c>
      <c r="H380" s="466">
        <v>0</v>
      </c>
      <c r="I380" s="479">
        <v>0</v>
      </c>
    </row>
    <row r="381" spans="1:9" ht="15.75" customHeight="1">
      <c r="A381" s="467"/>
      <c r="B381" s="467"/>
      <c r="C381" s="466"/>
      <c r="D381" s="497">
        <v>45870</v>
      </c>
      <c r="E381" s="466" t="s">
        <v>622</v>
      </c>
      <c r="F381" s="466">
        <v>17281014.120000001</v>
      </c>
      <c r="G381" s="478">
        <v>46205.920000001788</v>
      </c>
      <c r="H381" s="466">
        <v>0</v>
      </c>
      <c r="I381" s="479">
        <v>0</v>
      </c>
    </row>
    <row r="382" spans="1:9" ht="15.75" customHeight="1">
      <c r="A382" s="467"/>
      <c r="B382" s="467"/>
      <c r="C382" s="466"/>
      <c r="D382" s="497">
        <v>45871</v>
      </c>
      <c r="E382" s="466" t="s">
        <v>621</v>
      </c>
      <c r="F382" s="466">
        <v>17327220.050000001</v>
      </c>
      <c r="G382" s="478">
        <v>46205.929999999702</v>
      </c>
      <c r="H382" s="466">
        <v>0</v>
      </c>
      <c r="I382" s="479">
        <v>0</v>
      </c>
    </row>
    <row r="383" spans="1:9" ht="15.75" customHeight="1">
      <c r="A383" s="467"/>
      <c r="B383" s="467"/>
      <c r="C383" s="466"/>
      <c r="D383" s="497">
        <v>45872</v>
      </c>
      <c r="E383" s="466" t="s">
        <v>620</v>
      </c>
      <c r="F383" s="466">
        <v>17373425.969999999</v>
      </c>
      <c r="G383" s="478">
        <v>46205.919999998063</v>
      </c>
      <c r="H383" s="466">
        <v>0</v>
      </c>
      <c r="I383" s="479">
        <v>0</v>
      </c>
    </row>
    <row r="384" spans="1:9" ht="15.75" customHeight="1">
      <c r="A384" s="467"/>
      <c r="B384" s="467"/>
      <c r="C384" s="466"/>
      <c r="D384" s="497">
        <v>45873</v>
      </c>
      <c r="E384" s="466" t="s">
        <v>619</v>
      </c>
      <c r="F384" s="466">
        <v>17419631.890000001</v>
      </c>
      <c r="G384" s="478">
        <v>46205.920000001788</v>
      </c>
      <c r="H384" s="466">
        <v>0</v>
      </c>
      <c r="I384" s="479">
        <v>0</v>
      </c>
    </row>
    <row r="385" spans="1:9" ht="15.75" customHeight="1">
      <c r="A385" s="467"/>
      <c r="B385" s="467"/>
      <c r="C385" s="466"/>
      <c r="D385" s="497">
        <v>45874</v>
      </c>
      <c r="E385" s="466" t="s">
        <v>618</v>
      </c>
      <c r="F385" s="466">
        <v>17465837.809999999</v>
      </c>
      <c r="G385" s="478">
        <v>46205.919999998063</v>
      </c>
      <c r="H385" s="466">
        <v>0</v>
      </c>
      <c r="I385" s="479">
        <v>0</v>
      </c>
    </row>
    <row r="386" spans="1:9" ht="15.75" customHeight="1">
      <c r="A386" s="467"/>
      <c r="B386" s="467"/>
      <c r="C386" s="466"/>
      <c r="D386" s="497">
        <v>45875</v>
      </c>
      <c r="E386" s="466" t="s">
        <v>624</v>
      </c>
      <c r="F386" s="466">
        <v>17512043.73</v>
      </c>
      <c r="G386" s="478">
        <v>46205.920000001788</v>
      </c>
      <c r="H386" s="466">
        <v>323441.44999999925</v>
      </c>
      <c r="I386" s="479">
        <v>0</v>
      </c>
    </row>
    <row r="387" spans="1:9" ht="15.75" customHeight="1">
      <c r="A387" s="467"/>
      <c r="B387" s="467"/>
      <c r="C387" s="466"/>
      <c r="D387" s="497">
        <v>45876</v>
      </c>
      <c r="E387" s="466" t="s">
        <v>623</v>
      </c>
      <c r="F387" s="466">
        <v>17558249.649999999</v>
      </c>
      <c r="G387" s="478">
        <v>46205.919999998063</v>
      </c>
      <c r="H387" s="466">
        <v>0</v>
      </c>
      <c r="I387" s="479">
        <v>0</v>
      </c>
    </row>
    <row r="388" spans="1:9" ht="15.75" customHeight="1">
      <c r="A388" s="467"/>
      <c r="B388" s="467"/>
      <c r="C388" s="466"/>
      <c r="D388" s="497">
        <v>45877</v>
      </c>
      <c r="E388" s="466" t="s">
        <v>622</v>
      </c>
      <c r="F388" s="466">
        <v>17604455.57</v>
      </c>
      <c r="G388" s="478">
        <v>46205.920000001788</v>
      </c>
      <c r="H388" s="466">
        <v>0</v>
      </c>
      <c r="I388" s="479">
        <v>0</v>
      </c>
    </row>
    <row r="389" spans="1:9" ht="15.75" customHeight="1">
      <c r="A389" s="467"/>
      <c r="B389" s="467"/>
      <c r="C389" s="466"/>
      <c r="D389" s="497">
        <v>45878</v>
      </c>
      <c r="E389" s="466" t="s">
        <v>621</v>
      </c>
      <c r="F389" s="466">
        <v>17650661.489999998</v>
      </c>
      <c r="G389" s="478">
        <v>46205.919999998063</v>
      </c>
      <c r="H389" s="466">
        <v>0</v>
      </c>
      <c r="I389" s="479">
        <v>0</v>
      </c>
    </row>
    <row r="390" spans="1:9" ht="15.75" customHeight="1">
      <c r="A390" s="467"/>
      <c r="B390" s="467"/>
      <c r="C390" s="466"/>
      <c r="D390" s="497">
        <v>45879</v>
      </c>
      <c r="E390" s="466" t="s">
        <v>620</v>
      </c>
      <c r="F390" s="466">
        <v>17696867.41</v>
      </c>
      <c r="G390" s="478">
        <v>46205.920000001788</v>
      </c>
      <c r="H390" s="466">
        <v>0</v>
      </c>
      <c r="I390" s="479">
        <v>0</v>
      </c>
    </row>
    <row r="391" spans="1:9" ht="15.75" customHeight="1">
      <c r="A391" s="467"/>
      <c r="B391" s="467"/>
      <c r="C391" s="466"/>
      <c r="D391" s="497">
        <v>45880</v>
      </c>
      <c r="E391" s="466" t="s">
        <v>619</v>
      </c>
      <c r="F391" s="466">
        <v>17743073.329999998</v>
      </c>
      <c r="G391" s="478">
        <v>46205.919999998063</v>
      </c>
      <c r="H391" s="466">
        <v>0</v>
      </c>
      <c r="I391" s="479">
        <v>0</v>
      </c>
    </row>
    <row r="392" spans="1:9" ht="15.75" customHeight="1">
      <c r="A392" s="467"/>
      <c r="B392" s="467"/>
      <c r="C392" s="466"/>
      <c r="D392" s="497">
        <v>45881</v>
      </c>
      <c r="E392" s="466" t="s">
        <v>618</v>
      </c>
      <c r="F392" s="466">
        <v>17789279.25</v>
      </c>
      <c r="G392" s="478">
        <v>46205.920000001788</v>
      </c>
      <c r="H392" s="466">
        <v>0</v>
      </c>
      <c r="I392" s="479">
        <v>0</v>
      </c>
    </row>
    <row r="393" spans="1:9" ht="15.75" customHeight="1">
      <c r="A393" s="467"/>
      <c r="B393" s="467"/>
      <c r="C393" s="466"/>
      <c r="D393" s="497">
        <v>45882</v>
      </c>
      <c r="E393" s="466" t="s">
        <v>624</v>
      </c>
      <c r="F393" s="466">
        <v>17835485.170000002</v>
      </c>
      <c r="G393" s="478">
        <v>46205.920000001788</v>
      </c>
      <c r="H393" s="466">
        <v>323441.44000000134</v>
      </c>
      <c r="I393" s="479">
        <v>646882.8900000006</v>
      </c>
    </row>
    <row r="394" spans="1:9" ht="15.75" customHeight="1">
      <c r="A394" s="467"/>
      <c r="B394" s="467"/>
      <c r="C394" s="466"/>
      <c r="D394" s="497">
        <v>45883</v>
      </c>
      <c r="E394" s="466" t="s">
        <v>623</v>
      </c>
      <c r="F394" s="466">
        <v>17881691.09</v>
      </c>
      <c r="G394" s="478">
        <v>46205.919999998063</v>
      </c>
      <c r="H394" s="466">
        <v>0</v>
      </c>
      <c r="I394" s="479">
        <v>0</v>
      </c>
    </row>
    <row r="395" spans="1:9" ht="15.75" customHeight="1">
      <c r="A395" s="467"/>
      <c r="B395" s="467"/>
      <c r="C395" s="466"/>
      <c r="D395" s="497">
        <v>45884</v>
      </c>
      <c r="E395" s="466" t="s">
        <v>622</v>
      </c>
      <c r="F395" s="466">
        <v>17927897.010000002</v>
      </c>
      <c r="G395" s="478">
        <v>46205.920000001788</v>
      </c>
      <c r="H395" s="466">
        <v>0</v>
      </c>
      <c r="I395" s="479">
        <v>0</v>
      </c>
    </row>
    <row r="396" spans="1:9" ht="15.75" customHeight="1">
      <c r="A396" s="467"/>
      <c r="B396" s="467"/>
      <c r="C396" s="466"/>
      <c r="D396" s="497">
        <v>45885</v>
      </c>
      <c r="E396" s="466" t="s">
        <v>621</v>
      </c>
      <c r="F396" s="466">
        <v>17974102.93</v>
      </c>
      <c r="G396" s="478">
        <v>46205.919999998063</v>
      </c>
      <c r="H396" s="466">
        <v>0</v>
      </c>
      <c r="I396" s="479">
        <v>0</v>
      </c>
    </row>
    <row r="397" spans="1:9" ht="15.75" customHeight="1">
      <c r="A397" s="467"/>
      <c r="B397" s="467"/>
      <c r="C397" s="466"/>
      <c r="D397" s="497">
        <v>45886</v>
      </c>
      <c r="E397" s="466" t="s">
        <v>620</v>
      </c>
      <c r="F397" s="466">
        <v>18020308.850000001</v>
      </c>
      <c r="G397" s="478">
        <v>46205.920000001788</v>
      </c>
      <c r="H397" s="466">
        <v>0</v>
      </c>
      <c r="I397" s="479">
        <v>0</v>
      </c>
    </row>
    <row r="398" spans="1:9" ht="15.75" customHeight="1">
      <c r="A398" s="467"/>
      <c r="B398" s="467"/>
      <c r="C398" s="466"/>
      <c r="D398" s="497">
        <v>45887</v>
      </c>
      <c r="E398" s="466" t="s">
        <v>619</v>
      </c>
      <c r="F398" s="466">
        <v>18066514.77</v>
      </c>
      <c r="G398" s="478">
        <v>46205.919999998063</v>
      </c>
      <c r="H398" s="466">
        <v>0</v>
      </c>
      <c r="I398" s="479">
        <v>0</v>
      </c>
    </row>
    <row r="399" spans="1:9" ht="15.75" customHeight="1">
      <c r="A399" s="467"/>
      <c r="B399" s="467"/>
      <c r="C399" s="466"/>
      <c r="D399" s="497">
        <v>45888</v>
      </c>
      <c r="E399" s="466" t="s">
        <v>618</v>
      </c>
      <c r="F399" s="466">
        <v>18112720.690000001</v>
      </c>
      <c r="G399" s="478">
        <v>46205.920000001788</v>
      </c>
      <c r="H399" s="466">
        <v>0</v>
      </c>
      <c r="I399" s="479">
        <v>0</v>
      </c>
    </row>
    <row r="400" spans="1:9" ht="15.75" customHeight="1">
      <c r="A400" s="467"/>
      <c r="B400" s="467"/>
      <c r="C400" s="466"/>
      <c r="D400" s="497">
        <v>45889</v>
      </c>
      <c r="E400" s="466" t="s">
        <v>624</v>
      </c>
      <c r="F400" s="466">
        <v>18158926.609999999</v>
      </c>
      <c r="G400" s="478">
        <v>46205.919999998063</v>
      </c>
      <c r="H400" s="466">
        <v>323441.43999999762</v>
      </c>
      <c r="I400" s="479">
        <v>0</v>
      </c>
    </row>
    <row r="401" spans="1:9" ht="15.75" customHeight="1">
      <c r="A401" s="467"/>
      <c r="B401" s="467"/>
      <c r="C401" s="466"/>
      <c r="D401" s="497">
        <v>45890</v>
      </c>
      <c r="E401" s="466" t="s">
        <v>623</v>
      </c>
      <c r="F401" s="466">
        <v>18205132.530000001</v>
      </c>
      <c r="G401" s="478">
        <v>46205.920000001788</v>
      </c>
      <c r="H401" s="466">
        <v>0</v>
      </c>
      <c r="I401" s="479">
        <v>0</v>
      </c>
    </row>
    <row r="402" spans="1:9" ht="15.75" customHeight="1">
      <c r="A402" s="467"/>
      <c r="B402" s="467"/>
      <c r="C402" s="466"/>
      <c r="D402" s="497">
        <v>45891</v>
      </c>
      <c r="E402" s="466" t="s">
        <v>622</v>
      </c>
      <c r="F402" s="466">
        <v>18251338.449999999</v>
      </c>
      <c r="G402" s="478">
        <v>46205.919999998063</v>
      </c>
      <c r="H402" s="466">
        <v>0</v>
      </c>
      <c r="I402" s="479">
        <v>0</v>
      </c>
    </row>
    <row r="403" spans="1:9" ht="15.75" customHeight="1">
      <c r="A403" s="467"/>
      <c r="B403" s="467"/>
      <c r="C403" s="466"/>
      <c r="D403" s="497">
        <v>45892</v>
      </c>
      <c r="E403" s="466" t="s">
        <v>621</v>
      </c>
      <c r="F403" s="466">
        <v>18297544.370000001</v>
      </c>
      <c r="G403" s="478">
        <v>46205.920000001788</v>
      </c>
      <c r="H403" s="466">
        <v>0</v>
      </c>
      <c r="I403" s="479">
        <v>0</v>
      </c>
    </row>
    <row r="404" spans="1:9" ht="15.75" customHeight="1">
      <c r="A404" s="467"/>
      <c r="B404" s="467"/>
      <c r="C404" s="466"/>
      <c r="D404" s="497">
        <v>45893</v>
      </c>
      <c r="E404" s="466" t="s">
        <v>620</v>
      </c>
      <c r="F404" s="466">
        <v>18343750.289999999</v>
      </c>
      <c r="G404" s="478">
        <v>46205.919999998063</v>
      </c>
      <c r="H404" s="466">
        <v>0</v>
      </c>
      <c r="I404" s="479">
        <v>0</v>
      </c>
    </row>
    <row r="405" spans="1:9" ht="15.75" customHeight="1">
      <c r="A405" s="467"/>
      <c r="B405" s="467"/>
      <c r="C405" s="466"/>
      <c r="D405" s="497">
        <v>45894</v>
      </c>
      <c r="E405" s="466" t="s">
        <v>619</v>
      </c>
      <c r="F405" s="466">
        <v>18389956.210000001</v>
      </c>
      <c r="G405" s="478">
        <v>46205.920000001788</v>
      </c>
      <c r="H405" s="466">
        <v>0</v>
      </c>
      <c r="I405" s="479">
        <v>0</v>
      </c>
    </row>
    <row r="406" spans="1:9" ht="15.75" customHeight="1">
      <c r="A406" s="467"/>
      <c r="B406" s="467"/>
      <c r="C406" s="466"/>
      <c r="D406" s="497">
        <v>45895</v>
      </c>
      <c r="E406" s="466" t="s">
        <v>618</v>
      </c>
      <c r="F406" s="466">
        <v>18436162.129999999</v>
      </c>
      <c r="G406" s="478">
        <v>46205.919999998063</v>
      </c>
      <c r="H406" s="466">
        <v>0</v>
      </c>
      <c r="I406" s="479">
        <v>0</v>
      </c>
    </row>
    <row r="407" spans="1:9" ht="15.75" customHeight="1">
      <c r="A407" s="467"/>
      <c r="B407" s="467"/>
      <c r="C407" s="466"/>
      <c r="D407" s="497">
        <v>45896</v>
      </c>
      <c r="E407" s="466" t="s">
        <v>624</v>
      </c>
      <c r="F407" s="466">
        <v>18482368.050000001</v>
      </c>
      <c r="G407" s="478">
        <v>46205.920000001788</v>
      </c>
      <c r="H407" s="466">
        <v>323441.44000000134</v>
      </c>
      <c r="I407" s="479">
        <v>646882.87999999896</v>
      </c>
    </row>
    <row r="408" spans="1:9" ht="15.75" customHeight="1">
      <c r="A408" s="467"/>
      <c r="B408" s="467"/>
      <c r="C408" s="466"/>
      <c r="D408" s="497">
        <v>45897</v>
      </c>
      <c r="E408" s="466" t="s">
        <v>623</v>
      </c>
      <c r="F408" s="466">
        <v>18528573.969999999</v>
      </c>
      <c r="G408" s="478">
        <v>46205.919999998063</v>
      </c>
      <c r="H408" s="466">
        <v>0</v>
      </c>
      <c r="I408" s="479">
        <v>0</v>
      </c>
    </row>
    <row r="409" spans="1:9" ht="15.75" customHeight="1">
      <c r="A409" s="467"/>
      <c r="B409" s="467"/>
      <c r="C409" s="466"/>
      <c r="D409" s="497">
        <v>45898</v>
      </c>
      <c r="E409" s="466" t="s">
        <v>622</v>
      </c>
      <c r="F409" s="466">
        <v>18574779.890000001</v>
      </c>
      <c r="G409" s="478">
        <v>46205.920000001788</v>
      </c>
      <c r="H409" s="466">
        <v>0</v>
      </c>
      <c r="I409" s="479">
        <v>0</v>
      </c>
    </row>
    <row r="410" spans="1:9" ht="15.75" customHeight="1">
      <c r="A410" s="467"/>
      <c r="B410" s="467"/>
      <c r="C410" s="466"/>
      <c r="D410" s="497">
        <v>45899</v>
      </c>
      <c r="E410" s="466" t="s">
        <v>621</v>
      </c>
      <c r="F410" s="466">
        <v>18620985.809999999</v>
      </c>
      <c r="G410" s="478">
        <v>46205.919999998063</v>
      </c>
      <c r="H410" s="466">
        <v>0</v>
      </c>
      <c r="I410" s="479">
        <v>0</v>
      </c>
    </row>
    <row r="411" spans="1:9" ht="15.75" customHeight="1">
      <c r="A411" s="467"/>
      <c r="B411" s="467"/>
      <c r="C411" s="466"/>
      <c r="D411" s="497">
        <v>45900</v>
      </c>
      <c r="E411" s="466" t="s">
        <v>620</v>
      </c>
      <c r="F411" s="466">
        <v>18667191.73</v>
      </c>
      <c r="G411" s="478">
        <v>46205.920000001788</v>
      </c>
      <c r="H411" s="466">
        <v>0</v>
      </c>
      <c r="I411" s="479">
        <v>0</v>
      </c>
    </row>
    <row r="412" spans="1:9" ht="15.75" customHeight="1">
      <c r="A412" s="467"/>
      <c r="B412" s="467"/>
      <c r="C412" s="466"/>
      <c r="D412" s="497">
        <v>45901</v>
      </c>
      <c r="E412" s="466" t="s">
        <v>619</v>
      </c>
      <c r="F412" s="466">
        <v>18713397.649999999</v>
      </c>
      <c r="G412" s="478">
        <v>46205.919999998063</v>
      </c>
      <c r="H412" s="466">
        <v>0</v>
      </c>
      <c r="I412" s="479">
        <v>0</v>
      </c>
    </row>
    <row r="413" spans="1:9" ht="15.75" customHeight="1">
      <c r="A413" s="467"/>
      <c r="B413" s="467"/>
      <c r="C413" s="466"/>
      <c r="D413" s="497">
        <v>45902</v>
      </c>
      <c r="E413" s="466" t="s">
        <v>618</v>
      </c>
      <c r="F413" s="466">
        <v>18759603.57</v>
      </c>
      <c r="G413" s="478">
        <v>46205.920000001788</v>
      </c>
      <c r="H413" s="466">
        <v>0</v>
      </c>
      <c r="I413" s="479">
        <v>0</v>
      </c>
    </row>
    <row r="414" spans="1:9" ht="15.75" customHeight="1">
      <c r="A414" s="467"/>
      <c r="B414" s="467"/>
      <c r="C414" s="466"/>
      <c r="D414" s="497">
        <v>45903</v>
      </c>
      <c r="E414" s="466" t="s">
        <v>624</v>
      </c>
      <c r="F414" s="466">
        <v>18805809.489999998</v>
      </c>
      <c r="G414" s="478">
        <v>46205.919999998063</v>
      </c>
      <c r="H414" s="466">
        <v>323441.43999999762</v>
      </c>
      <c r="I414" s="479">
        <v>0</v>
      </c>
    </row>
    <row r="415" spans="1:9" ht="15.75" customHeight="1">
      <c r="A415" s="467"/>
      <c r="B415" s="467"/>
      <c r="C415" s="466"/>
      <c r="D415" s="497">
        <v>45904</v>
      </c>
      <c r="E415" s="466" t="s">
        <v>623</v>
      </c>
      <c r="F415" s="466">
        <v>18852015.41</v>
      </c>
      <c r="G415" s="478">
        <v>46205.920000001788</v>
      </c>
      <c r="H415" s="466">
        <v>0</v>
      </c>
      <c r="I415" s="479">
        <v>0</v>
      </c>
    </row>
    <row r="416" spans="1:9" ht="15.75" customHeight="1">
      <c r="A416" s="467"/>
      <c r="B416" s="467"/>
      <c r="C416" s="466"/>
      <c r="D416" s="497">
        <v>45905</v>
      </c>
      <c r="E416" s="466" t="s">
        <v>622</v>
      </c>
      <c r="F416" s="466">
        <v>18898221.329999998</v>
      </c>
      <c r="G416" s="478">
        <v>46205.919999998063</v>
      </c>
      <c r="H416" s="466">
        <v>0</v>
      </c>
      <c r="I416" s="479">
        <v>0</v>
      </c>
    </row>
    <row r="417" spans="1:9" ht="15.75" customHeight="1">
      <c r="A417" s="467"/>
      <c r="B417" s="467"/>
      <c r="C417" s="466"/>
      <c r="D417" s="497">
        <v>45906</v>
      </c>
      <c r="E417" s="466" t="s">
        <v>621</v>
      </c>
      <c r="F417" s="466">
        <v>18944427.25</v>
      </c>
      <c r="G417" s="478">
        <v>46205.920000001788</v>
      </c>
      <c r="H417" s="466">
        <v>0</v>
      </c>
      <c r="I417" s="479">
        <v>0</v>
      </c>
    </row>
    <row r="418" spans="1:9" ht="15.75" customHeight="1">
      <c r="A418" s="467"/>
      <c r="B418" s="467"/>
      <c r="C418" s="466"/>
      <c r="D418" s="497">
        <v>45907</v>
      </c>
      <c r="E418" s="466" t="s">
        <v>620</v>
      </c>
      <c r="F418" s="466">
        <v>18990633.170000002</v>
      </c>
      <c r="G418" s="478">
        <v>46205.920000001788</v>
      </c>
      <c r="H418" s="466">
        <v>0</v>
      </c>
      <c r="I418" s="479">
        <v>0</v>
      </c>
    </row>
    <row r="419" spans="1:9" ht="15.75" customHeight="1">
      <c r="A419" s="467"/>
      <c r="B419" s="467"/>
      <c r="C419" s="466"/>
      <c r="D419" s="497">
        <v>45908</v>
      </c>
      <c r="E419" s="466" t="s">
        <v>619</v>
      </c>
      <c r="F419" s="466">
        <v>19036839.09</v>
      </c>
      <c r="G419" s="478">
        <v>46205.919999998063</v>
      </c>
      <c r="H419" s="466">
        <v>0</v>
      </c>
      <c r="I419" s="479">
        <v>0</v>
      </c>
    </row>
    <row r="420" spans="1:9" ht="15.75" customHeight="1">
      <c r="A420" s="467"/>
      <c r="B420" s="467"/>
      <c r="C420" s="466"/>
      <c r="D420" s="497">
        <v>45909</v>
      </c>
      <c r="E420" s="466" t="s">
        <v>618</v>
      </c>
      <c r="F420" s="466">
        <v>19083045.010000002</v>
      </c>
      <c r="G420" s="478">
        <v>46205.920000001788</v>
      </c>
      <c r="H420" s="466">
        <v>0</v>
      </c>
      <c r="I420" s="479">
        <v>0</v>
      </c>
    </row>
    <row r="421" spans="1:9" ht="15.75" customHeight="1">
      <c r="A421" s="467"/>
      <c r="B421" s="467"/>
      <c r="C421" s="466"/>
      <c r="D421" s="497">
        <v>45910</v>
      </c>
      <c r="E421" s="466" t="s">
        <v>624</v>
      </c>
      <c r="F421" s="466">
        <v>19129250.93</v>
      </c>
      <c r="G421" s="478">
        <v>46205.919999998063</v>
      </c>
      <c r="H421" s="466">
        <v>323441.44000000134</v>
      </c>
      <c r="I421" s="479">
        <v>646882.87999999896</v>
      </c>
    </row>
    <row r="422" spans="1:9" ht="15.75" customHeight="1">
      <c r="A422" s="467"/>
      <c r="B422" s="467"/>
      <c r="C422" s="466"/>
      <c r="D422" s="497">
        <v>45911</v>
      </c>
      <c r="E422" s="466" t="s">
        <v>623</v>
      </c>
      <c r="F422" s="466">
        <v>19175456.850000001</v>
      </c>
      <c r="G422" s="478">
        <v>46205.920000001788</v>
      </c>
      <c r="H422" s="466">
        <v>0</v>
      </c>
      <c r="I422" s="479">
        <v>0</v>
      </c>
    </row>
    <row r="423" spans="1:9" ht="15.75" customHeight="1">
      <c r="A423" s="467"/>
      <c r="B423" s="467"/>
      <c r="C423" s="466"/>
      <c r="D423" s="497">
        <v>45912</v>
      </c>
      <c r="E423" s="466" t="s">
        <v>622</v>
      </c>
      <c r="F423" s="466">
        <v>19221662.77</v>
      </c>
      <c r="G423" s="478">
        <v>46205.919999998063</v>
      </c>
      <c r="H423" s="466">
        <v>0</v>
      </c>
      <c r="I423" s="479">
        <v>0</v>
      </c>
    </row>
    <row r="424" spans="1:9" ht="15.75" customHeight="1">
      <c r="A424" s="467"/>
      <c r="B424" s="467"/>
      <c r="C424" s="466"/>
      <c r="D424" s="497">
        <v>45913</v>
      </c>
      <c r="E424" s="466" t="s">
        <v>621</v>
      </c>
      <c r="F424" s="466">
        <v>19267868.690000001</v>
      </c>
      <c r="G424" s="478">
        <v>46205.920000001788</v>
      </c>
      <c r="H424" s="466">
        <v>0</v>
      </c>
      <c r="I424" s="479">
        <v>0</v>
      </c>
    </row>
    <row r="425" spans="1:9" ht="15.75" customHeight="1">
      <c r="A425" s="467"/>
      <c r="B425" s="467"/>
      <c r="C425" s="466"/>
      <c r="D425" s="497">
        <v>45914</v>
      </c>
      <c r="E425" s="466" t="s">
        <v>620</v>
      </c>
      <c r="F425" s="466">
        <v>19314074.609999999</v>
      </c>
      <c r="G425" s="478">
        <v>46205.919999998063</v>
      </c>
      <c r="H425" s="466">
        <v>0</v>
      </c>
      <c r="I425" s="479">
        <v>0</v>
      </c>
    </row>
    <row r="426" spans="1:9" ht="15.75" customHeight="1">
      <c r="A426" s="467"/>
      <c r="B426" s="467"/>
      <c r="C426" s="466"/>
      <c r="D426" s="497">
        <v>45915</v>
      </c>
      <c r="E426" s="466" t="s">
        <v>619</v>
      </c>
      <c r="F426" s="466">
        <v>19360280.530000001</v>
      </c>
      <c r="G426" s="478">
        <v>46205.920000001788</v>
      </c>
      <c r="H426" s="466">
        <v>0</v>
      </c>
      <c r="I426" s="479">
        <v>0</v>
      </c>
    </row>
    <row r="427" spans="1:9" ht="15.75" customHeight="1">
      <c r="A427" s="467"/>
      <c r="B427" s="467"/>
      <c r="C427" s="466"/>
      <c r="D427" s="497">
        <v>45916</v>
      </c>
      <c r="E427" s="466" t="s">
        <v>618</v>
      </c>
      <c r="F427" s="466">
        <v>19406486.449999999</v>
      </c>
      <c r="G427" s="478">
        <v>46205.919999998063</v>
      </c>
      <c r="H427" s="466">
        <v>0</v>
      </c>
      <c r="I427" s="479">
        <v>0</v>
      </c>
    </row>
    <row r="428" spans="1:9" ht="15.75" customHeight="1">
      <c r="A428" s="467"/>
      <c r="B428" s="467"/>
      <c r="C428" s="466"/>
      <c r="D428" s="497">
        <v>45917</v>
      </c>
      <c r="E428" s="466" t="s">
        <v>624</v>
      </c>
      <c r="F428" s="466">
        <v>19452692.370000001</v>
      </c>
      <c r="G428" s="478">
        <v>46205.920000001788</v>
      </c>
      <c r="H428" s="466">
        <v>323441.44000000134</v>
      </c>
      <c r="I428" s="479">
        <v>0</v>
      </c>
    </row>
    <row r="429" spans="1:9" ht="15.75" customHeight="1">
      <c r="A429" s="467"/>
      <c r="B429" s="467"/>
      <c r="C429" s="466"/>
      <c r="D429" s="497">
        <v>45918</v>
      </c>
      <c r="E429" s="466" t="s">
        <v>623</v>
      </c>
      <c r="F429" s="466">
        <v>19498898.289999999</v>
      </c>
      <c r="G429" s="478">
        <v>46205.919999998063</v>
      </c>
      <c r="H429" s="466">
        <v>0</v>
      </c>
      <c r="I429" s="479">
        <v>0</v>
      </c>
    </row>
    <row r="430" spans="1:9" ht="15.75" customHeight="1">
      <c r="A430" s="467"/>
      <c r="B430" s="467"/>
      <c r="C430" s="466"/>
      <c r="D430" s="497">
        <v>45919</v>
      </c>
      <c r="E430" s="466" t="s">
        <v>622</v>
      </c>
      <c r="F430" s="466">
        <v>19545104.210000001</v>
      </c>
      <c r="G430" s="478">
        <v>46205.920000001788</v>
      </c>
      <c r="H430" s="466">
        <v>0</v>
      </c>
      <c r="I430" s="479">
        <v>0</v>
      </c>
    </row>
    <row r="431" spans="1:9" ht="15.75" customHeight="1">
      <c r="A431" s="467"/>
      <c r="B431" s="467"/>
      <c r="C431" s="466"/>
      <c r="D431" s="497">
        <v>45920</v>
      </c>
      <c r="E431" s="466" t="s">
        <v>621</v>
      </c>
      <c r="F431" s="466">
        <v>19591310.129999999</v>
      </c>
      <c r="G431" s="478">
        <v>46205.919999998063</v>
      </c>
      <c r="H431" s="466">
        <v>0</v>
      </c>
      <c r="I431" s="479">
        <v>0</v>
      </c>
    </row>
    <row r="432" spans="1:9" ht="15.75" customHeight="1">
      <c r="A432" s="467"/>
      <c r="B432" s="467"/>
      <c r="C432" s="466"/>
      <c r="D432" s="497">
        <v>45921</v>
      </c>
      <c r="E432" s="466" t="s">
        <v>620</v>
      </c>
      <c r="F432" s="466">
        <v>19637516.050000001</v>
      </c>
      <c r="G432" s="478">
        <v>46205.920000001788</v>
      </c>
      <c r="H432" s="466">
        <v>0</v>
      </c>
      <c r="I432" s="479">
        <v>0</v>
      </c>
    </row>
    <row r="433" spans="1:9" ht="15.75" customHeight="1">
      <c r="A433" s="467"/>
      <c r="B433" s="467"/>
      <c r="C433" s="466"/>
      <c r="D433" s="497">
        <v>45922</v>
      </c>
      <c r="E433" s="466" t="s">
        <v>619</v>
      </c>
      <c r="F433" s="466">
        <v>19683721.969999999</v>
      </c>
      <c r="G433" s="478">
        <v>46205.919999998063</v>
      </c>
      <c r="H433" s="466">
        <v>0</v>
      </c>
      <c r="I433" s="479">
        <v>0</v>
      </c>
    </row>
    <row r="434" spans="1:9" ht="15.75" customHeight="1">
      <c r="A434" s="467"/>
      <c r="B434" s="467"/>
      <c r="C434" s="466"/>
      <c r="D434" s="497">
        <v>45923</v>
      </c>
      <c r="E434" s="466" t="s">
        <v>618</v>
      </c>
      <c r="F434" s="466">
        <v>19729927.890000001</v>
      </c>
      <c r="G434" s="478">
        <v>46205.920000001788</v>
      </c>
      <c r="H434" s="466">
        <v>0</v>
      </c>
      <c r="I434" s="479">
        <v>0</v>
      </c>
    </row>
    <row r="435" spans="1:9" ht="15.75" customHeight="1">
      <c r="A435" s="467"/>
      <c r="B435" s="467"/>
      <c r="C435" s="466"/>
      <c r="D435" s="497">
        <v>45924</v>
      </c>
      <c r="E435" s="466" t="s">
        <v>624</v>
      </c>
      <c r="F435" s="466">
        <v>19776133.809999999</v>
      </c>
      <c r="G435" s="478">
        <v>46205.919999998063</v>
      </c>
      <c r="H435" s="466">
        <v>323441.43999999762</v>
      </c>
      <c r="I435" s="479">
        <v>646882.87999999896</v>
      </c>
    </row>
    <row r="436" spans="1:9" ht="15.75" customHeight="1">
      <c r="A436" s="467"/>
      <c r="B436" s="467"/>
      <c r="C436" s="466"/>
      <c r="D436" s="497">
        <v>45925</v>
      </c>
      <c r="E436" s="466" t="s">
        <v>623</v>
      </c>
      <c r="F436" s="466">
        <v>19822339.73</v>
      </c>
      <c r="G436" s="478">
        <v>46205.920000001788</v>
      </c>
      <c r="H436" s="466">
        <v>0</v>
      </c>
      <c r="I436" s="479">
        <v>0</v>
      </c>
    </row>
    <row r="437" spans="1:9" ht="15.75" customHeight="1">
      <c r="A437" s="467"/>
      <c r="B437" s="467"/>
      <c r="C437" s="466"/>
      <c r="D437" s="497">
        <v>45926</v>
      </c>
      <c r="E437" s="466" t="s">
        <v>622</v>
      </c>
      <c r="F437" s="466">
        <v>19868545.649999999</v>
      </c>
      <c r="G437" s="478">
        <v>46205.919999998063</v>
      </c>
      <c r="H437" s="466">
        <v>0</v>
      </c>
      <c r="I437" s="479">
        <v>0</v>
      </c>
    </row>
    <row r="438" spans="1:9" ht="15.75" customHeight="1">
      <c r="A438" s="467"/>
      <c r="B438" s="467"/>
      <c r="C438" s="466"/>
      <c r="D438" s="497">
        <v>45927</v>
      </c>
      <c r="E438" s="466" t="s">
        <v>621</v>
      </c>
      <c r="F438" s="466">
        <v>19914751.57</v>
      </c>
      <c r="G438" s="478">
        <v>46205.920000001788</v>
      </c>
      <c r="H438" s="466">
        <v>0</v>
      </c>
      <c r="I438" s="479">
        <v>0</v>
      </c>
    </row>
    <row r="439" spans="1:9" ht="15.75" customHeight="1">
      <c r="A439" s="467"/>
      <c r="B439" s="467"/>
      <c r="C439" s="466"/>
      <c r="D439" s="497">
        <v>45928</v>
      </c>
      <c r="E439" s="466" t="s">
        <v>620</v>
      </c>
      <c r="F439" s="466">
        <v>19960957.489999998</v>
      </c>
      <c r="G439" s="478">
        <v>46205.919999998063</v>
      </c>
      <c r="H439" s="466">
        <v>0</v>
      </c>
      <c r="I439" s="479">
        <v>0</v>
      </c>
    </row>
    <row r="440" spans="1:9" ht="15.75" customHeight="1">
      <c r="A440" s="467"/>
      <c r="B440" s="467"/>
      <c r="C440" s="466"/>
      <c r="D440" s="497">
        <v>45929</v>
      </c>
      <c r="E440" s="466" t="s">
        <v>619</v>
      </c>
      <c r="F440" s="466">
        <v>20007163.41</v>
      </c>
      <c r="G440" s="478">
        <v>46205.920000001788</v>
      </c>
      <c r="H440" s="466">
        <v>0</v>
      </c>
      <c r="I440" s="479">
        <v>0</v>
      </c>
    </row>
    <row r="441" spans="1:9" ht="15.75" customHeight="1">
      <c r="A441" s="467"/>
      <c r="B441" s="467"/>
      <c r="C441" s="466"/>
      <c r="D441" s="497">
        <v>45930</v>
      </c>
      <c r="E441" s="466" t="s">
        <v>618</v>
      </c>
      <c r="F441" s="466">
        <v>20053369.329999998</v>
      </c>
      <c r="G441" s="478">
        <v>46205.919999998063</v>
      </c>
      <c r="H441" s="466">
        <v>0</v>
      </c>
      <c r="I441" s="479">
        <v>0</v>
      </c>
    </row>
    <row r="442" spans="1:9" ht="15.75" customHeight="1">
      <c r="A442" s="467"/>
      <c r="B442" s="467"/>
      <c r="C442" s="466"/>
      <c r="D442" s="497">
        <v>45931</v>
      </c>
      <c r="E442" s="466" t="s">
        <v>624</v>
      </c>
      <c r="F442" s="466">
        <v>20099575.25</v>
      </c>
      <c r="G442" s="478">
        <v>46205.920000001788</v>
      </c>
      <c r="H442" s="466">
        <v>323441.44000000134</v>
      </c>
      <c r="I442" s="479">
        <v>0</v>
      </c>
    </row>
    <row r="443" spans="1:9" ht="15.75" customHeight="1">
      <c r="A443" s="467"/>
      <c r="B443" s="467"/>
      <c r="C443" s="466"/>
      <c r="D443" s="497">
        <v>45932</v>
      </c>
      <c r="E443" s="466" t="s">
        <v>623</v>
      </c>
      <c r="F443" s="466">
        <v>20145781.170000002</v>
      </c>
      <c r="G443" s="478">
        <v>46205.920000001788</v>
      </c>
      <c r="H443" s="466">
        <v>0</v>
      </c>
      <c r="I443" s="479">
        <v>0</v>
      </c>
    </row>
    <row r="444" spans="1:9" ht="15.75" customHeight="1">
      <c r="A444" s="467"/>
      <c r="B444" s="467"/>
      <c r="C444" s="466"/>
      <c r="D444" s="497">
        <v>45933</v>
      </c>
      <c r="E444" s="466" t="s">
        <v>622</v>
      </c>
      <c r="F444" s="466">
        <v>20191987.09</v>
      </c>
      <c r="G444" s="478">
        <v>46205.919999998063</v>
      </c>
      <c r="H444" s="466">
        <v>0</v>
      </c>
      <c r="I444" s="479">
        <v>0</v>
      </c>
    </row>
    <row r="445" spans="1:9" ht="15.75" customHeight="1">
      <c r="A445" s="467"/>
      <c r="B445" s="467"/>
      <c r="C445" s="466"/>
      <c r="D445" s="497">
        <v>45934</v>
      </c>
      <c r="E445" s="466" t="s">
        <v>621</v>
      </c>
      <c r="F445" s="466">
        <v>20238193.010000002</v>
      </c>
      <c r="G445" s="478">
        <v>46205.920000001788</v>
      </c>
      <c r="H445" s="466">
        <v>0</v>
      </c>
      <c r="I445" s="479">
        <v>0</v>
      </c>
    </row>
    <row r="446" spans="1:9" ht="15.75" customHeight="1">
      <c r="A446" s="467"/>
      <c r="B446" s="467"/>
      <c r="C446" s="466"/>
      <c r="D446" s="497">
        <v>45935</v>
      </c>
      <c r="E446" s="466" t="s">
        <v>620</v>
      </c>
      <c r="F446" s="466">
        <v>20284398.93</v>
      </c>
      <c r="G446" s="478">
        <v>46205.919999998063</v>
      </c>
      <c r="H446" s="466">
        <v>0</v>
      </c>
      <c r="I446" s="479">
        <v>0</v>
      </c>
    </row>
    <row r="447" spans="1:9" ht="15.75" customHeight="1">
      <c r="A447" s="467"/>
      <c r="B447" s="467"/>
      <c r="C447" s="466"/>
      <c r="D447" s="497">
        <v>45936</v>
      </c>
      <c r="E447" s="466" t="s">
        <v>619</v>
      </c>
      <c r="F447" s="466">
        <v>20330604.850000001</v>
      </c>
      <c r="G447" s="478">
        <v>46205.920000001788</v>
      </c>
      <c r="H447" s="466">
        <v>0</v>
      </c>
      <c r="I447" s="479">
        <v>0</v>
      </c>
    </row>
    <row r="448" spans="1:9" ht="15.75" customHeight="1">
      <c r="A448" s="467"/>
      <c r="B448" s="467"/>
      <c r="C448" s="466"/>
      <c r="D448" s="497">
        <v>45937</v>
      </c>
      <c r="E448" s="466" t="s">
        <v>618</v>
      </c>
      <c r="F448" s="466">
        <v>20376810.77</v>
      </c>
      <c r="G448" s="478">
        <v>46205.919999998063</v>
      </c>
      <c r="H448" s="466">
        <v>0</v>
      </c>
      <c r="I448" s="479">
        <v>0</v>
      </c>
    </row>
    <row r="449" spans="1:9" ht="15.75" customHeight="1">
      <c r="A449" s="467"/>
      <c r="B449" s="467"/>
      <c r="C449" s="466"/>
      <c r="D449" s="497">
        <v>45938</v>
      </c>
      <c r="E449" s="466" t="s">
        <v>624</v>
      </c>
      <c r="F449" s="466">
        <v>20423016.690000001</v>
      </c>
      <c r="G449" s="478">
        <v>46205.920000001788</v>
      </c>
      <c r="H449" s="466">
        <v>323441.44000000134</v>
      </c>
      <c r="I449" s="479">
        <v>646882.88000000268</v>
      </c>
    </row>
    <row r="450" spans="1:9" ht="15.75" customHeight="1">
      <c r="A450" s="467"/>
      <c r="B450" s="467"/>
      <c r="C450" s="466"/>
      <c r="D450" s="497">
        <v>45939</v>
      </c>
      <c r="E450" s="466" t="s">
        <v>623</v>
      </c>
      <c r="F450" s="466">
        <v>20469222.609999999</v>
      </c>
      <c r="G450" s="478">
        <v>46205.919999998063</v>
      </c>
      <c r="H450" s="466">
        <v>0</v>
      </c>
      <c r="I450" s="479">
        <v>0</v>
      </c>
    </row>
    <row r="451" spans="1:9" ht="15.75" customHeight="1">
      <c r="A451" s="467"/>
      <c r="B451" s="467"/>
      <c r="C451" s="466"/>
      <c r="D451" s="497">
        <v>45940</v>
      </c>
      <c r="E451" s="466" t="s">
        <v>622</v>
      </c>
      <c r="F451" s="466">
        <v>20515428.530000001</v>
      </c>
      <c r="G451" s="478">
        <v>46205.920000001788</v>
      </c>
      <c r="H451" s="466">
        <v>0</v>
      </c>
      <c r="I451" s="479">
        <v>0</v>
      </c>
    </row>
    <row r="452" spans="1:9" ht="15.75" customHeight="1">
      <c r="A452" s="467"/>
      <c r="B452" s="467"/>
      <c r="C452" s="466"/>
      <c r="D452" s="497">
        <v>45941</v>
      </c>
      <c r="E452" s="466" t="s">
        <v>621</v>
      </c>
      <c r="F452" s="466">
        <v>20561634.449999999</v>
      </c>
      <c r="G452" s="478">
        <v>46205.919999998063</v>
      </c>
      <c r="H452" s="466">
        <v>0</v>
      </c>
      <c r="I452" s="479">
        <v>0</v>
      </c>
    </row>
    <row r="453" spans="1:9" ht="15.75" customHeight="1">
      <c r="A453" s="467"/>
      <c r="B453" s="467"/>
      <c r="C453" s="466"/>
      <c r="D453" s="497">
        <v>45942</v>
      </c>
      <c r="E453" s="466" t="s">
        <v>620</v>
      </c>
      <c r="F453" s="466">
        <v>20607840.370000001</v>
      </c>
      <c r="G453" s="478">
        <v>46205.920000001788</v>
      </c>
      <c r="H453" s="466">
        <v>0</v>
      </c>
      <c r="I453" s="479">
        <v>0</v>
      </c>
    </row>
    <row r="454" spans="1:9" ht="15.75" customHeight="1">
      <c r="A454" s="467"/>
      <c r="B454" s="467"/>
      <c r="C454" s="466"/>
      <c r="D454" s="497">
        <v>45943</v>
      </c>
      <c r="E454" s="466" t="s">
        <v>619</v>
      </c>
      <c r="F454" s="466">
        <v>20654046.289999999</v>
      </c>
      <c r="G454" s="478">
        <v>46205.919999998063</v>
      </c>
      <c r="H454" s="466">
        <v>0</v>
      </c>
      <c r="I454" s="479">
        <v>0</v>
      </c>
    </row>
    <row r="455" spans="1:9" ht="15.75" customHeight="1">
      <c r="A455" s="467"/>
      <c r="B455" s="467"/>
      <c r="C455" s="466"/>
      <c r="D455" s="497">
        <v>45944</v>
      </c>
      <c r="E455" s="466" t="s">
        <v>618</v>
      </c>
      <c r="F455" s="466">
        <v>20700252.210000001</v>
      </c>
      <c r="G455" s="478">
        <v>46205.920000001788</v>
      </c>
      <c r="H455" s="466">
        <v>0</v>
      </c>
      <c r="I455" s="479">
        <v>0</v>
      </c>
    </row>
    <row r="456" spans="1:9" ht="15.75" customHeight="1">
      <c r="A456" s="467"/>
      <c r="B456" s="467"/>
      <c r="C456" s="466"/>
      <c r="D456" s="497">
        <v>45945</v>
      </c>
      <c r="E456" s="466" t="s">
        <v>624</v>
      </c>
      <c r="F456" s="466">
        <v>20746458.129999999</v>
      </c>
      <c r="G456" s="478">
        <v>46205.919999998063</v>
      </c>
      <c r="H456" s="466">
        <v>323441.43999999762</v>
      </c>
      <c r="I456" s="479">
        <v>0</v>
      </c>
    </row>
    <row r="457" spans="1:9" ht="15.75" customHeight="1">
      <c r="A457" s="467"/>
      <c r="B457" s="467"/>
      <c r="C457" s="466"/>
      <c r="D457" s="497">
        <v>45946</v>
      </c>
      <c r="E457" s="466" t="s">
        <v>623</v>
      </c>
      <c r="F457" s="466">
        <v>20792664.059999999</v>
      </c>
      <c r="G457" s="478">
        <v>46205.929999999702</v>
      </c>
      <c r="H457" s="466">
        <v>0</v>
      </c>
      <c r="I457" s="479">
        <v>0</v>
      </c>
    </row>
    <row r="458" spans="1:9" ht="15.75" customHeight="1">
      <c r="A458" s="467"/>
      <c r="B458" s="467"/>
      <c r="C458" s="466"/>
      <c r="D458" s="497">
        <v>45947</v>
      </c>
      <c r="E458" s="466" t="s">
        <v>622</v>
      </c>
      <c r="F458" s="466">
        <v>20838869.98</v>
      </c>
      <c r="G458" s="478">
        <v>46205.920000001788</v>
      </c>
      <c r="H458" s="466">
        <v>0</v>
      </c>
      <c r="I458" s="479">
        <v>0</v>
      </c>
    </row>
    <row r="459" spans="1:9" ht="15.75" customHeight="1">
      <c r="A459" s="467"/>
      <c r="B459" s="467"/>
      <c r="C459" s="466"/>
      <c r="D459" s="497">
        <v>45948</v>
      </c>
      <c r="E459" s="466" t="s">
        <v>621</v>
      </c>
      <c r="F459" s="466">
        <v>20885075.899999999</v>
      </c>
      <c r="G459" s="478">
        <v>46205.919999998063</v>
      </c>
      <c r="H459" s="466">
        <v>0</v>
      </c>
      <c r="I459" s="479">
        <v>0</v>
      </c>
    </row>
    <row r="460" spans="1:9" ht="15.75" customHeight="1">
      <c r="A460" s="467"/>
      <c r="B460" s="467"/>
      <c r="C460" s="466"/>
      <c r="D460" s="497">
        <v>45949</v>
      </c>
      <c r="E460" s="466" t="s">
        <v>620</v>
      </c>
      <c r="F460" s="466">
        <v>20931281.82</v>
      </c>
      <c r="G460" s="478">
        <v>46205.920000001788</v>
      </c>
      <c r="H460" s="466">
        <v>0</v>
      </c>
      <c r="I460" s="479">
        <v>0</v>
      </c>
    </row>
    <row r="461" spans="1:9" ht="15.75" customHeight="1">
      <c r="A461" s="467"/>
      <c r="B461" s="467"/>
      <c r="C461" s="466"/>
      <c r="D461" s="497">
        <v>45950</v>
      </c>
      <c r="E461" s="466" t="s">
        <v>619</v>
      </c>
      <c r="F461" s="466">
        <v>20977487.739999998</v>
      </c>
      <c r="G461" s="478">
        <v>46205.919999998063</v>
      </c>
      <c r="H461" s="466">
        <v>0</v>
      </c>
      <c r="I461" s="479">
        <v>0</v>
      </c>
    </row>
    <row r="462" spans="1:9" ht="15.75" customHeight="1">
      <c r="A462" s="467"/>
      <c r="B462" s="467"/>
      <c r="C462" s="466"/>
      <c r="D462" s="497">
        <v>45951</v>
      </c>
      <c r="E462" s="466" t="s">
        <v>618</v>
      </c>
      <c r="F462" s="466">
        <v>21023693.66</v>
      </c>
      <c r="G462" s="478">
        <v>46205.920000001788</v>
      </c>
      <c r="H462" s="466">
        <v>0</v>
      </c>
      <c r="I462" s="479">
        <v>0</v>
      </c>
    </row>
    <row r="463" spans="1:9" ht="15.75" customHeight="1">
      <c r="A463" s="467"/>
      <c r="B463" s="467"/>
      <c r="C463" s="466"/>
      <c r="D463" s="497">
        <v>45952</v>
      </c>
      <c r="E463" s="466" t="s">
        <v>624</v>
      </c>
      <c r="F463" s="466">
        <v>21069899.579999998</v>
      </c>
      <c r="G463" s="478">
        <v>46205.919999998063</v>
      </c>
      <c r="H463" s="466">
        <v>323441.44999999925</v>
      </c>
      <c r="I463" s="479">
        <v>646882.88999999687</v>
      </c>
    </row>
    <row r="464" spans="1:9" ht="15.75" customHeight="1">
      <c r="A464" s="467"/>
      <c r="B464" s="467"/>
      <c r="C464" s="466"/>
      <c r="D464" s="497">
        <v>45953</v>
      </c>
      <c r="E464" s="466" t="s">
        <v>623</v>
      </c>
      <c r="F464" s="466">
        <v>21116105.5</v>
      </c>
      <c r="G464" s="478">
        <v>46205.920000001788</v>
      </c>
      <c r="H464" s="466">
        <v>0</v>
      </c>
      <c r="I464" s="479">
        <v>0</v>
      </c>
    </row>
    <row r="465" spans="1:9" ht="15.75" customHeight="1">
      <c r="A465" s="467"/>
      <c r="B465" s="467"/>
      <c r="C465" s="466"/>
      <c r="D465" s="497">
        <v>45954</v>
      </c>
      <c r="E465" s="466" t="s">
        <v>622</v>
      </c>
      <c r="F465" s="466">
        <v>21162311.420000002</v>
      </c>
      <c r="G465" s="478">
        <v>46205.920000001788</v>
      </c>
      <c r="H465" s="466">
        <v>0</v>
      </c>
      <c r="I465" s="479">
        <v>0</v>
      </c>
    </row>
    <row r="466" spans="1:9" ht="15.75" customHeight="1">
      <c r="A466" s="467"/>
      <c r="B466" s="467"/>
      <c r="C466" s="466"/>
      <c r="D466" s="497">
        <v>45955</v>
      </c>
      <c r="E466" s="466" t="s">
        <v>621</v>
      </c>
      <c r="F466" s="466">
        <v>21208517.34</v>
      </c>
      <c r="G466" s="478">
        <v>46205.919999998063</v>
      </c>
      <c r="H466" s="466">
        <v>0</v>
      </c>
      <c r="I466" s="479">
        <v>0</v>
      </c>
    </row>
    <row r="467" spans="1:9" ht="15.75" customHeight="1">
      <c r="A467" s="467"/>
      <c r="B467" s="467"/>
      <c r="C467" s="466"/>
      <c r="D467" s="497">
        <v>45956</v>
      </c>
      <c r="E467" s="466" t="s">
        <v>620</v>
      </c>
      <c r="F467" s="466">
        <v>21254723.260000002</v>
      </c>
      <c r="G467" s="478">
        <v>46205.920000001788</v>
      </c>
      <c r="H467" s="466">
        <v>0</v>
      </c>
      <c r="I467" s="479">
        <v>0</v>
      </c>
    </row>
    <row r="468" spans="1:9" ht="15.75" customHeight="1">
      <c r="A468" s="467"/>
      <c r="B468" s="467"/>
      <c r="C468" s="466"/>
      <c r="D468" s="497">
        <v>45957</v>
      </c>
      <c r="E468" s="466" t="s">
        <v>619</v>
      </c>
      <c r="F468" s="466">
        <v>21300929.18</v>
      </c>
      <c r="G468" s="478">
        <v>46205.919999998063</v>
      </c>
      <c r="H468" s="466">
        <v>0</v>
      </c>
      <c r="I468" s="479">
        <v>0</v>
      </c>
    </row>
    <row r="469" spans="1:9" ht="15.75" customHeight="1">
      <c r="A469" s="467"/>
      <c r="B469" s="467"/>
      <c r="C469" s="466"/>
      <c r="D469" s="497">
        <v>45958</v>
      </c>
      <c r="E469" s="466" t="s">
        <v>618</v>
      </c>
      <c r="F469" s="466">
        <v>21347135.100000001</v>
      </c>
      <c r="G469" s="478">
        <v>46205.920000001788</v>
      </c>
      <c r="H469" s="466">
        <v>0</v>
      </c>
      <c r="I469" s="479">
        <v>0</v>
      </c>
    </row>
    <row r="470" spans="1:9" ht="15.75" customHeight="1">
      <c r="A470" s="467"/>
      <c r="B470" s="467"/>
      <c r="C470" s="466"/>
      <c r="D470" s="497">
        <v>45959</v>
      </c>
      <c r="E470" s="466" t="s">
        <v>624</v>
      </c>
      <c r="F470" s="466">
        <v>21393341.02</v>
      </c>
      <c r="G470" s="478">
        <v>46205.919999998063</v>
      </c>
      <c r="H470" s="466">
        <v>323441.44000000134</v>
      </c>
      <c r="I470" s="479">
        <v>0</v>
      </c>
    </row>
    <row r="471" spans="1:9" ht="15.75" customHeight="1">
      <c r="A471" s="467"/>
      <c r="B471" s="467"/>
      <c r="C471" s="466"/>
      <c r="D471" s="497">
        <v>45960</v>
      </c>
      <c r="E471" s="466" t="s">
        <v>623</v>
      </c>
      <c r="F471" s="466">
        <v>21439546.940000001</v>
      </c>
      <c r="G471" s="478">
        <v>46205.920000001788</v>
      </c>
      <c r="H471" s="466">
        <v>0</v>
      </c>
      <c r="I471" s="479">
        <v>0</v>
      </c>
    </row>
    <row r="472" spans="1:9" ht="15.75" customHeight="1">
      <c r="A472" s="467"/>
      <c r="B472" s="467"/>
      <c r="C472" s="466"/>
      <c r="D472" s="497">
        <v>45961</v>
      </c>
      <c r="E472" s="466" t="s">
        <v>622</v>
      </c>
      <c r="F472" s="466">
        <v>21485752.859999999</v>
      </c>
      <c r="G472" s="478">
        <v>46205.919999998063</v>
      </c>
      <c r="H472" s="466">
        <v>0</v>
      </c>
      <c r="I472" s="479">
        <v>0</v>
      </c>
    </row>
    <row r="473" spans="1:9" ht="15.75" customHeight="1">
      <c r="A473" s="467"/>
      <c r="B473" s="467"/>
      <c r="C473" s="466"/>
      <c r="D473" s="497">
        <v>45962</v>
      </c>
      <c r="E473" s="466" t="s">
        <v>621</v>
      </c>
      <c r="F473" s="466">
        <v>21531958.780000001</v>
      </c>
      <c r="G473" s="478">
        <v>46205.920000001788</v>
      </c>
      <c r="H473" s="466">
        <v>0</v>
      </c>
      <c r="I473" s="479">
        <v>0</v>
      </c>
    </row>
    <row r="474" spans="1:9" ht="15.75" customHeight="1">
      <c r="A474" s="467"/>
      <c r="B474" s="467"/>
      <c r="C474" s="466"/>
      <c r="D474" s="497">
        <v>45963</v>
      </c>
      <c r="E474" s="466" t="s">
        <v>620</v>
      </c>
      <c r="F474" s="466">
        <v>21578164.699999999</v>
      </c>
      <c r="G474" s="478">
        <v>46205.919999998063</v>
      </c>
      <c r="H474" s="466">
        <v>0</v>
      </c>
      <c r="I474" s="479">
        <v>0</v>
      </c>
    </row>
    <row r="475" spans="1:9" ht="15.75" customHeight="1">
      <c r="A475" s="467"/>
      <c r="B475" s="467"/>
      <c r="C475" s="466"/>
      <c r="D475" s="497">
        <v>45964</v>
      </c>
      <c r="E475" s="466" t="s">
        <v>619</v>
      </c>
      <c r="F475" s="466">
        <v>21624370.620000001</v>
      </c>
      <c r="G475" s="478">
        <v>46205.920000001788</v>
      </c>
      <c r="H475" s="466">
        <v>0</v>
      </c>
      <c r="I475" s="479">
        <v>0</v>
      </c>
    </row>
    <row r="476" spans="1:9" ht="15.75" customHeight="1">
      <c r="A476" s="467"/>
      <c r="B476" s="467"/>
      <c r="C476" s="466"/>
      <c r="D476" s="497">
        <v>45965</v>
      </c>
      <c r="E476" s="466" t="s">
        <v>618</v>
      </c>
      <c r="F476" s="466">
        <v>21670576.539999999</v>
      </c>
      <c r="G476" s="478">
        <v>46205.919999998063</v>
      </c>
      <c r="H476" s="466">
        <v>0</v>
      </c>
      <c r="I476" s="479">
        <v>0</v>
      </c>
    </row>
    <row r="477" spans="1:9" ht="15.75" customHeight="1">
      <c r="A477" s="467"/>
      <c r="B477" s="467"/>
      <c r="C477" s="466"/>
      <c r="D477" s="497">
        <v>45966</v>
      </c>
      <c r="E477" s="466" t="s">
        <v>624</v>
      </c>
      <c r="F477" s="466">
        <v>21716782.460000001</v>
      </c>
      <c r="G477" s="478">
        <v>46205.920000001788</v>
      </c>
      <c r="H477" s="466">
        <v>323441.44000000134</v>
      </c>
      <c r="I477" s="479">
        <v>646882.88000000268</v>
      </c>
    </row>
    <row r="478" spans="1:9" ht="15.75" customHeight="1">
      <c r="A478" s="467"/>
      <c r="B478" s="467"/>
      <c r="C478" s="466"/>
      <c r="D478" s="497">
        <v>45967</v>
      </c>
      <c r="E478" s="466" t="s">
        <v>623</v>
      </c>
      <c r="F478" s="466">
        <v>21762988.379999999</v>
      </c>
      <c r="G478" s="478">
        <v>46205.919999998063</v>
      </c>
      <c r="H478" s="466">
        <v>0</v>
      </c>
      <c r="I478" s="479">
        <v>0</v>
      </c>
    </row>
    <row r="479" spans="1:9" ht="15.75" customHeight="1">
      <c r="A479" s="467"/>
      <c r="B479" s="467"/>
      <c r="C479" s="466"/>
      <c r="D479" s="497">
        <v>45968</v>
      </c>
      <c r="E479" s="466" t="s">
        <v>622</v>
      </c>
      <c r="F479" s="466">
        <v>21809194.300000001</v>
      </c>
      <c r="G479" s="478">
        <v>46205.920000001788</v>
      </c>
      <c r="H479" s="466">
        <v>0</v>
      </c>
      <c r="I479" s="479">
        <v>0</v>
      </c>
    </row>
    <row r="480" spans="1:9" ht="15.75" customHeight="1">
      <c r="A480" s="467"/>
      <c r="B480" s="467"/>
      <c r="C480" s="466"/>
      <c r="D480" s="497">
        <v>45969</v>
      </c>
      <c r="E480" s="466" t="s">
        <v>621</v>
      </c>
      <c r="F480" s="466">
        <v>21855400.219999999</v>
      </c>
      <c r="G480" s="478">
        <v>46205.919999998063</v>
      </c>
      <c r="H480" s="466">
        <v>0</v>
      </c>
      <c r="I480" s="479">
        <v>0</v>
      </c>
    </row>
    <row r="481" spans="1:9" ht="15.75" customHeight="1">
      <c r="A481" s="467"/>
      <c r="B481" s="467"/>
      <c r="C481" s="466"/>
      <c r="D481" s="497">
        <v>45970</v>
      </c>
      <c r="E481" s="466" t="s">
        <v>620</v>
      </c>
      <c r="F481" s="466">
        <v>21901606.140000001</v>
      </c>
      <c r="G481" s="478">
        <v>46205.920000001788</v>
      </c>
      <c r="H481" s="466">
        <v>0</v>
      </c>
      <c r="I481" s="479">
        <v>0</v>
      </c>
    </row>
    <row r="482" spans="1:9" ht="15.75" customHeight="1">
      <c r="A482" s="467"/>
      <c r="B482" s="467"/>
      <c r="C482" s="466"/>
      <c r="D482" s="497">
        <v>45971</v>
      </c>
      <c r="E482" s="466" t="s">
        <v>619</v>
      </c>
      <c r="F482" s="466">
        <v>21947812.059999999</v>
      </c>
      <c r="G482" s="478">
        <v>46205.919999998063</v>
      </c>
      <c r="H482" s="466">
        <v>0</v>
      </c>
      <c r="I482" s="479">
        <v>0</v>
      </c>
    </row>
    <row r="483" spans="1:9" ht="15.75" customHeight="1">
      <c r="A483" s="467"/>
      <c r="B483" s="467"/>
      <c r="C483" s="466"/>
      <c r="D483" s="497">
        <v>45972</v>
      </c>
      <c r="E483" s="466" t="s">
        <v>618</v>
      </c>
      <c r="F483" s="466">
        <v>21994017.98</v>
      </c>
      <c r="G483" s="478">
        <v>46205.920000001788</v>
      </c>
      <c r="H483" s="466">
        <v>0</v>
      </c>
      <c r="I483" s="479">
        <v>0</v>
      </c>
    </row>
    <row r="484" spans="1:9" ht="15.75" customHeight="1">
      <c r="A484" s="467"/>
      <c r="B484" s="467"/>
      <c r="C484" s="466"/>
      <c r="D484" s="497">
        <v>45973</v>
      </c>
      <c r="E484" s="466" t="s">
        <v>624</v>
      </c>
      <c r="F484" s="466">
        <v>22040223.899999999</v>
      </c>
      <c r="G484" s="478">
        <v>46205.919999998063</v>
      </c>
      <c r="H484" s="466">
        <v>323441.43999999762</v>
      </c>
      <c r="I484" s="479">
        <v>0</v>
      </c>
    </row>
    <row r="485" spans="1:9" ht="15.75" customHeight="1">
      <c r="A485" s="467"/>
      <c r="B485" s="467"/>
      <c r="C485" s="466"/>
      <c r="D485" s="497">
        <v>45974</v>
      </c>
      <c r="E485" s="466" t="s">
        <v>623</v>
      </c>
      <c r="F485" s="466">
        <v>22086429.82</v>
      </c>
      <c r="G485" s="478">
        <v>46205.920000001788</v>
      </c>
      <c r="H485" s="466">
        <v>0</v>
      </c>
      <c r="I485" s="479">
        <v>0</v>
      </c>
    </row>
    <row r="486" spans="1:9" ht="15.75" customHeight="1">
      <c r="A486" s="467"/>
      <c r="B486" s="467"/>
      <c r="C486" s="466"/>
      <c r="D486" s="497">
        <v>45975</v>
      </c>
      <c r="E486" s="466" t="s">
        <v>622</v>
      </c>
      <c r="F486" s="466">
        <v>22132635.739999998</v>
      </c>
      <c r="G486" s="478">
        <v>46205.919999998063</v>
      </c>
      <c r="H486" s="466">
        <v>0</v>
      </c>
      <c r="I486" s="479">
        <v>0</v>
      </c>
    </row>
    <row r="487" spans="1:9" ht="15.75" customHeight="1">
      <c r="A487" s="467"/>
      <c r="B487" s="467"/>
      <c r="C487" s="466"/>
      <c r="D487" s="497">
        <v>45976</v>
      </c>
      <c r="E487" s="466" t="s">
        <v>621</v>
      </c>
      <c r="F487" s="466">
        <v>22178841.66</v>
      </c>
      <c r="G487" s="478">
        <v>46205.920000001788</v>
      </c>
      <c r="H487" s="466">
        <v>0</v>
      </c>
      <c r="I487" s="479">
        <v>0</v>
      </c>
    </row>
    <row r="488" spans="1:9" ht="15.75" customHeight="1">
      <c r="A488" s="467"/>
      <c r="B488" s="467"/>
      <c r="C488" s="466"/>
      <c r="D488" s="497">
        <v>45977</v>
      </c>
      <c r="E488" s="466" t="s">
        <v>620</v>
      </c>
      <c r="F488" s="466">
        <v>22225047.579999998</v>
      </c>
      <c r="G488" s="478">
        <v>46205.919999998063</v>
      </c>
      <c r="H488" s="466">
        <v>0</v>
      </c>
      <c r="I488" s="479">
        <v>0</v>
      </c>
    </row>
    <row r="489" spans="1:9" ht="15.75" customHeight="1">
      <c r="A489" s="467"/>
      <c r="B489" s="467"/>
      <c r="C489" s="466"/>
      <c r="D489" s="497">
        <v>45978</v>
      </c>
      <c r="E489" s="466" t="s">
        <v>619</v>
      </c>
      <c r="F489" s="466">
        <v>22271253.5</v>
      </c>
      <c r="G489" s="478">
        <v>46205.920000001788</v>
      </c>
      <c r="H489" s="466">
        <v>0</v>
      </c>
      <c r="I489" s="479">
        <v>0</v>
      </c>
    </row>
    <row r="490" spans="1:9" ht="15.75" customHeight="1">
      <c r="A490" s="467"/>
      <c r="B490" s="467"/>
      <c r="C490" s="466"/>
      <c r="D490" s="497">
        <v>45979</v>
      </c>
      <c r="E490" s="466" t="s">
        <v>618</v>
      </c>
      <c r="F490" s="466">
        <v>22317459.420000002</v>
      </c>
      <c r="G490" s="478">
        <v>46205.920000001788</v>
      </c>
      <c r="H490" s="466">
        <v>0</v>
      </c>
      <c r="I490" s="479">
        <v>0</v>
      </c>
    </row>
    <row r="491" spans="1:9" ht="15.75" customHeight="1">
      <c r="A491" s="467"/>
      <c r="B491" s="467"/>
      <c r="C491" s="466"/>
      <c r="D491" s="497">
        <v>45980</v>
      </c>
      <c r="E491" s="466" t="s">
        <v>624</v>
      </c>
      <c r="F491" s="466">
        <v>22363665.34</v>
      </c>
      <c r="G491" s="478">
        <v>46205.919999998063</v>
      </c>
      <c r="H491" s="466">
        <v>323441.44000000134</v>
      </c>
      <c r="I491" s="479">
        <v>646882.87999999896</v>
      </c>
    </row>
    <row r="492" spans="1:9" ht="15.75" customHeight="1">
      <c r="A492" s="467"/>
      <c r="B492" s="467"/>
      <c r="C492" s="466"/>
      <c r="D492" s="497">
        <v>45981</v>
      </c>
      <c r="E492" s="466" t="s">
        <v>623</v>
      </c>
      <c r="F492" s="466">
        <v>22409871.260000002</v>
      </c>
      <c r="G492" s="478">
        <v>46205.920000001788</v>
      </c>
      <c r="H492" s="466">
        <v>0</v>
      </c>
      <c r="I492" s="479">
        <v>0</v>
      </c>
    </row>
    <row r="493" spans="1:9" ht="15.75" customHeight="1">
      <c r="A493" s="467"/>
      <c r="B493" s="467"/>
      <c r="C493" s="466"/>
      <c r="D493" s="497">
        <v>45982</v>
      </c>
      <c r="E493" s="466" t="s">
        <v>622</v>
      </c>
      <c r="F493" s="466">
        <v>22456077.18</v>
      </c>
      <c r="G493" s="478">
        <v>46205.919999998063</v>
      </c>
      <c r="H493" s="466">
        <v>0</v>
      </c>
      <c r="I493" s="479">
        <v>0</v>
      </c>
    </row>
    <row r="494" spans="1:9" ht="15.75" customHeight="1">
      <c r="A494" s="467"/>
      <c r="B494" s="467"/>
      <c r="C494" s="466"/>
      <c r="D494" s="497">
        <v>45983</v>
      </c>
      <c r="E494" s="466" t="s">
        <v>621</v>
      </c>
      <c r="F494" s="466">
        <v>22502283.100000001</v>
      </c>
      <c r="G494" s="478">
        <v>46205.920000001788</v>
      </c>
      <c r="H494" s="466">
        <v>0</v>
      </c>
      <c r="I494" s="479">
        <v>0</v>
      </c>
    </row>
    <row r="495" spans="1:9" ht="15.75" customHeight="1">
      <c r="A495" s="467"/>
      <c r="B495" s="467"/>
      <c r="C495" s="466"/>
      <c r="D495" s="497">
        <v>45984</v>
      </c>
      <c r="E495" s="466" t="s">
        <v>620</v>
      </c>
      <c r="F495" s="466">
        <v>22548489.02</v>
      </c>
      <c r="G495" s="478">
        <v>46205.919999998063</v>
      </c>
      <c r="H495" s="466">
        <v>0</v>
      </c>
      <c r="I495" s="479">
        <v>0</v>
      </c>
    </row>
    <row r="496" spans="1:9" ht="15.75" customHeight="1">
      <c r="A496" s="467"/>
      <c r="B496" s="467"/>
      <c r="C496" s="466"/>
      <c r="D496" s="497">
        <v>45985</v>
      </c>
      <c r="E496" s="466" t="s">
        <v>619</v>
      </c>
      <c r="F496" s="466">
        <v>22594694.940000001</v>
      </c>
      <c r="G496" s="478">
        <v>46205.920000001788</v>
      </c>
      <c r="H496" s="466">
        <v>0</v>
      </c>
      <c r="I496" s="479">
        <v>0</v>
      </c>
    </row>
    <row r="497" spans="1:9" ht="15.75" customHeight="1">
      <c r="A497" s="467"/>
      <c r="B497" s="467"/>
      <c r="C497" s="466"/>
      <c r="D497" s="497">
        <v>45986</v>
      </c>
      <c r="E497" s="466" t="s">
        <v>618</v>
      </c>
      <c r="F497" s="466">
        <v>22640900.859999999</v>
      </c>
      <c r="G497" s="478">
        <v>46205.919999998063</v>
      </c>
      <c r="H497" s="466">
        <v>0</v>
      </c>
      <c r="I497" s="479">
        <v>0</v>
      </c>
    </row>
    <row r="498" spans="1:9" ht="15.75" customHeight="1">
      <c r="A498" s="467"/>
      <c r="B498" s="467"/>
      <c r="C498" s="466"/>
      <c r="D498" s="497">
        <v>45987</v>
      </c>
      <c r="E498" s="466" t="s">
        <v>624</v>
      </c>
      <c r="F498" s="466">
        <v>22687106.780000001</v>
      </c>
      <c r="G498" s="478">
        <v>46205.920000001788</v>
      </c>
      <c r="H498" s="466">
        <v>323441.44000000134</v>
      </c>
      <c r="I498" s="479">
        <v>0</v>
      </c>
    </row>
    <row r="499" spans="1:9" ht="15.75" customHeight="1">
      <c r="A499" s="467"/>
      <c r="B499" s="467"/>
      <c r="C499" s="466"/>
      <c r="D499" s="497">
        <v>45988</v>
      </c>
      <c r="E499" s="466" t="s">
        <v>623</v>
      </c>
      <c r="F499" s="466">
        <v>22733312.699999999</v>
      </c>
      <c r="G499" s="478">
        <v>46205.919999998063</v>
      </c>
      <c r="H499" s="466">
        <v>0</v>
      </c>
      <c r="I499" s="479">
        <v>0</v>
      </c>
    </row>
    <row r="500" spans="1:9" ht="15.75" customHeight="1">
      <c r="A500" s="467"/>
      <c r="B500" s="467"/>
      <c r="C500" s="466"/>
      <c r="D500" s="497">
        <v>45989</v>
      </c>
      <c r="E500" s="466" t="s">
        <v>622</v>
      </c>
      <c r="F500" s="466">
        <v>22779518.620000001</v>
      </c>
      <c r="G500" s="478">
        <v>46205.920000001788</v>
      </c>
      <c r="H500" s="466">
        <v>0</v>
      </c>
      <c r="I500" s="479">
        <v>0</v>
      </c>
    </row>
    <row r="501" spans="1:9" ht="15.75" customHeight="1">
      <c r="A501" s="467"/>
      <c r="B501" s="467"/>
      <c r="C501" s="466"/>
      <c r="D501" s="497">
        <v>45990</v>
      </c>
      <c r="E501" s="466" t="s">
        <v>621</v>
      </c>
      <c r="F501" s="466">
        <v>22825724.539999999</v>
      </c>
      <c r="G501" s="478">
        <v>46205.919999998063</v>
      </c>
      <c r="H501" s="466">
        <v>0</v>
      </c>
      <c r="I501" s="479">
        <v>0</v>
      </c>
    </row>
    <row r="502" spans="1:9" ht="15.75" customHeight="1">
      <c r="A502" s="467"/>
      <c r="B502" s="467"/>
      <c r="C502" s="466"/>
      <c r="D502" s="497">
        <v>45991</v>
      </c>
      <c r="E502" s="466" t="s">
        <v>620</v>
      </c>
      <c r="F502" s="466">
        <v>22871930.460000001</v>
      </c>
      <c r="G502" s="478">
        <v>46205.920000001788</v>
      </c>
      <c r="H502" s="466">
        <v>0</v>
      </c>
      <c r="I502" s="479">
        <v>0</v>
      </c>
    </row>
    <row r="503" spans="1:9" ht="15.75" customHeight="1">
      <c r="A503" s="467"/>
      <c r="B503" s="467"/>
      <c r="C503" s="466"/>
      <c r="D503" s="497">
        <v>45992</v>
      </c>
      <c r="E503" s="466" t="s">
        <v>619</v>
      </c>
      <c r="F503" s="466">
        <v>22918136.379999999</v>
      </c>
      <c r="G503" s="478">
        <v>46205.919999998063</v>
      </c>
      <c r="H503" s="466">
        <v>0</v>
      </c>
      <c r="I503" s="479">
        <v>0</v>
      </c>
    </row>
    <row r="504" spans="1:9" ht="15.75" customHeight="1">
      <c r="A504" s="467"/>
      <c r="B504" s="467"/>
      <c r="C504" s="466"/>
      <c r="D504" s="497">
        <v>45993</v>
      </c>
      <c r="E504" s="466" t="s">
        <v>618</v>
      </c>
      <c r="F504" s="466">
        <v>22964342.300000001</v>
      </c>
      <c r="G504" s="478">
        <v>46205.920000001788</v>
      </c>
      <c r="H504" s="466">
        <v>0</v>
      </c>
      <c r="I504" s="479">
        <v>0</v>
      </c>
    </row>
    <row r="505" spans="1:9" ht="15.75" customHeight="1">
      <c r="A505" s="467"/>
      <c r="B505" s="467"/>
      <c r="C505" s="466"/>
      <c r="D505" s="497">
        <v>45994</v>
      </c>
      <c r="E505" s="466" t="s">
        <v>624</v>
      </c>
      <c r="F505" s="466">
        <v>23010548.219999999</v>
      </c>
      <c r="G505" s="478">
        <v>46205.919999998063</v>
      </c>
      <c r="H505" s="466">
        <v>323441.43999999762</v>
      </c>
      <c r="I505" s="479">
        <v>646882.87999999896</v>
      </c>
    </row>
    <row r="506" spans="1:9" ht="15.75" customHeight="1">
      <c r="A506" s="467"/>
      <c r="B506" s="467"/>
      <c r="C506" s="466"/>
      <c r="D506" s="497">
        <v>45995</v>
      </c>
      <c r="E506" s="466" t="s">
        <v>623</v>
      </c>
      <c r="F506" s="466">
        <v>23056754.140000001</v>
      </c>
      <c r="G506" s="478">
        <v>46205.920000001788</v>
      </c>
      <c r="H506" s="466">
        <v>0</v>
      </c>
      <c r="I506" s="479">
        <v>0</v>
      </c>
    </row>
    <row r="507" spans="1:9" ht="15.75" customHeight="1">
      <c r="A507" s="467"/>
      <c r="B507" s="467"/>
      <c r="C507" s="466"/>
      <c r="D507" s="497">
        <v>45996</v>
      </c>
      <c r="E507" s="466" t="s">
        <v>622</v>
      </c>
      <c r="F507" s="466">
        <v>23102960.059999999</v>
      </c>
      <c r="G507" s="478">
        <v>46205.919999998063</v>
      </c>
      <c r="H507" s="466">
        <v>0</v>
      </c>
      <c r="I507" s="479">
        <v>0</v>
      </c>
    </row>
    <row r="508" spans="1:9" ht="15.75" customHeight="1">
      <c r="A508" s="467"/>
      <c r="B508" s="467"/>
      <c r="C508" s="466"/>
      <c r="D508" s="497">
        <v>45997</v>
      </c>
      <c r="E508" s="466" t="s">
        <v>621</v>
      </c>
      <c r="F508" s="466">
        <v>23149165.98</v>
      </c>
      <c r="G508" s="478">
        <v>46205.920000001788</v>
      </c>
      <c r="H508" s="466">
        <v>0</v>
      </c>
      <c r="I508" s="479">
        <v>0</v>
      </c>
    </row>
    <row r="509" spans="1:9" ht="15.75" customHeight="1">
      <c r="A509" s="467"/>
      <c r="B509" s="467"/>
      <c r="C509" s="466"/>
      <c r="D509" s="497">
        <v>45998</v>
      </c>
      <c r="E509" s="466" t="s">
        <v>620</v>
      </c>
      <c r="F509" s="466">
        <v>23195371.899999999</v>
      </c>
      <c r="G509" s="478">
        <v>46205.919999998063</v>
      </c>
      <c r="H509" s="466">
        <v>0</v>
      </c>
      <c r="I509" s="479">
        <v>0</v>
      </c>
    </row>
    <row r="510" spans="1:9" ht="15.75" customHeight="1">
      <c r="A510" s="467"/>
      <c r="B510" s="467"/>
      <c r="C510" s="466"/>
      <c r="D510" s="497">
        <v>45999</v>
      </c>
      <c r="E510" s="466" t="s">
        <v>619</v>
      </c>
      <c r="F510" s="466">
        <v>23241577.82</v>
      </c>
      <c r="G510" s="478">
        <v>46205.920000001788</v>
      </c>
      <c r="H510" s="466">
        <v>0</v>
      </c>
      <c r="I510" s="479">
        <v>0</v>
      </c>
    </row>
    <row r="511" spans="1:9" ht="15.75" customHeight="1">
      <c r="A511" s="467"/>
      <c r="B511" s="467"/>
      <c r="C511" s="466"/>
      <c r="D511" s="497">
        <v>46000</v>
      </c>
      <c r="E511" s="466" t="s">
        <v>618</v>
      </c>
      <c r="F511" s="466">
        <v>23287783.739999998</v>
      </c>
      <c r="G511" s="478">
        <v>46205.919999998063</v>
      </c>
      <c r="H511" s="466">
        <v>0</v>
      </c>
      <c r="I511" s="479">
        <v>0</v>
      </c>
    </row>
    <row r="512" spans="1:9" ht="15.75" customHeight="1">
      <c r="A512" s="467"/>
      <c r="B512" s="467"/>
      <c r="C512" s="466"/>
      <c r="D512" s="497">
        <v>46001</v>
      </c>
      <c r="E512" s="466" t="s">
        <v>624</v>
      </c>
      <c r="F512" s="466">
        <v>23333989.66</v>
      </c>
      <c r="G512" s="478">
        <v>46205.920000001788</v>
      </c>
      <c r="H512" s="466">
        <v>323441.44000000134</v>
      </c>
      <c r="I512" s="479">
        <v>0</v>
      </c>
    </row>
    <row r="513" spans="1:9" ht="15.75" customHeight="1">
      <c r="A513" s="467"/>
      <c r="B513" s="467"/>
      <c r="C513" s="466"/>
      <c r="D513" s="497">
        <v>46002</v>
      </c>
      <c r="E513" s="466" t="s">
        <v>623</v>
      </c>
      <c r="F513" s="466">
        <v>23380195.579999998</v>
      </c>
      <c r="G513" s="478">
        <v>46205.919999998063</v>
      </c>
      <c r="H513" s="466">
        <v>0</v>
      </c>
      <c r="I513" s="479">
        <v>0</v>
      </c>
    </row>
    <row r="514" spans="1:9" ht="15.75" customHeight="1">
      <c r="A514" s="467"/>
      <c r="B514" s="467"/>
      <c r="C514" s="466"/>
      <c r="D514" s="497">
        <v>46003</v>
      </c>
      <c r="E514" s="466" t="s">
        <v>622</v>
      </c>
      <c r="F514" s="466">
        <v>23426401.5</v>
      </c>
      <c r="G514" s="478">
        <v>46205.920000001788</v>
      </c>
      <c r="H514" s="466">
        <v>0</v>
      </c>
      <c r="I514" s="479">
        <v>0</v>
      </c>
    </row>
    <row r="515" spans="1:9" ht="15.75" customHeight="1">
      <c r="A515" s="467"/>
      <c r="B515" s="467"/>
      <c r="C515" s="466"/>
      <c r="D515" s="497">
        <v>46004</v>
      </c>
      <c r="E515" s="466" t="s">
        <v>621</v>
      </c>
      <c r="F515" s="466">
        <v>23472607.420000002</v>
      </c>
      <c r="G515" s="478">
        <v>46205.920000001788</v>
      </c>
      <c r="H515" s="466">
        <v>0</v>
      </c>
      <c r="I515" s="479">
        <v>0</v>
      </c>
    </row>
    <row r="516" spans="1:9" ht="15.75" customHeight="1">
      <c r="A516" s="467"/>
      <c r="B516" s="467"/>
      <c r="C516" s="466"/>
      <c r="D516" s="497">
        <v>46005</v>
      </c>
      <c r="E516" s="466" t="s">
        <v>620</v>
      </c>
      <c r="F516" s="466">
        <v>23518813.34</v>
      </c>
      <c r="G516" s="478">
        <v>46205.919999998063</v>
      </c>
      <c r="H516" s="466">
        <v>0</v>
      </c>
      <c r="I516" s="479">
        <v>0</v>
      </c>
    </row>
    <row r="517" spans="1:9" ht="15.75" customHeight="1">
      <c r="A517" s="467"/>
      <c r="B517" s="467"/>
      <c r="C517" s="466"/>
      <c r="D517" s="497">
        <v>46006</v>
      </c>
      <c r="E517" s="466" t="s">
        <v>619</v>
      </c>
      <c r="F517" s="466">
        <v>23565019.260000002</v>
      </c>
      <c r="G517" s="478">
        <v>46205.920000001788</v>
      </c>
      <c r="H517" s="466">
        <v>0</v>
      </c>
      <c r="I517" s="479">
        <v>0</v>
      </c>
    </row>
    <row r="518" spans="1:9" ht="15.75" customHeight="1">
      <c r="A518" s="467"/>
      <c r="B518" s="467"/>
      <c r="C518" s="466"/>
      <c r="D518" s="497">
        <v>46007</v>
      </c>
      <c r="E518" s="466" t="s">
        <v>618</v>
      </c>
      <c r="F518" s="466">
        <v>23611225.18</v>
      </c>
      <c r="G518" s="478">
        <v>46205.919999998063</v>
      </c>
      <c r="H518" s="466">
        <v>0</v>
      </c>
      <c r="I518" s="479">
        <v>0</v>
      </c>
    </row>
    <row r="519" spans="1:9" ht="15.75" customHeight="1">
      <c r="A519" s="467"/>
      <c r="B519" s="467"/>
      <c r="C519" s="466"/>
      <c r="D519" s="497">
        <v>46008</v>
      </c>
      <c r="E519" s="466" t="s">
        <v>624</v>
      </c>
      <c r="F519" s="466">
        <v>23657431.100000001</v>
      </c>
      <c r="G519" s="478">
        <v>46205.920000001788</v>
      </c>
      <c r="H519" s="466">
        <v>323441.44000000134</v>
      </c>
      <c r="I519" s="479">
        <v>646882.88000000268</v>
      </c>
    </row>
    <row r="520" spans="1:9" ht="15.75" customHeight="1">
      <c r="A520" s="467"/>
      <c r="B520" s="467"/>
      <c r="C520" s="466"/>
      <c r="D520" s="497">
        <v>46009</v>
      </c>
      <c r="E520" s="466" t="s">
        <v>623</v>
      </c>
      <c r="F520" s="466">
        <v>23703637.02</v>
      </c>
      <c r="G520" s="478">
        <v>46205.919999998063</v>
      </c>
      <c r="H520" s="466">
        <v>0</v>
      </c>
      <c r="I520" s="479">
        <v>0</v>
      </c>
    </row>
    <row r="521" spans="1:9" ht="15.75" customHeight="1">
      <c r="A521" s="467"/>
      <c r="B521" s="467"/>
      <c r="C521" s="466"/>
      <c r="D521" s="497">
        <v>46010</v>
      </c>
      <c r="E521" s="466" t="s">
        <v>622</v>
      </c>
      <c r="F521" s="466">
        <v>23749842.940000001</v>
      </c>
      <c r="G521" s="478">
        <v>46205.920000001788</v>
      </c>
      <c r="H521" s="466">
        <v>0</v>
      </c>
      <c r="I521" s="479">
        <v>0</v>
      </c>
    </row>
    <row r="522" spans="1:9" ht="15.75" customHeight="1">
      <c r="A522" s="467"/>
      <c r="B522" s="467"/>
      <c r="C522" s="466"/>
      <c r="D522" s="497">
        <v>46011</v>
      </c>
      <c r="E522" s="466" t="s">
        <v>621</v>
      </c>
      <c r="F522" s="466">
        <v>23796048.859999999</v>
      </c>
      <c r="G522" s="478">
        <v>46205.919999998063</v>
      </c>
      <c r="H522" s="466">
        <v>0</v>
      </c>
      <c r="I522" s="479">
        <v>0</v>
      </c>
    </row>
    <row r="523" spans="1:9" ht="15.75" customHeight="1">
      <c r="A523" s="467"/>
      <c r="B523" s="467"/>
      <c r="C523" s="466"/>
      <c r="D523" s="497">
        <v>46012</v>
      </c>
      <c r="E523" s="466" t="s">
        <v>620</v>
      </c>
      <c r="F523" s="466">
        <v>23842254.780000001</v>
      </c>
      <c r="G523" s="478">
        <v>46205.920000001788</v>
      </c>
      <c r="H523" s="466">
        <v>0</v>
      </c>
      <c r="I523" s="479">
        <v>0</v>
      </c>
    </row>
    <row r="524" spans="1:9" ht="15.75" customHeight="1">
      <c r="A524" s="467"/>
      <c r="B524" s="467"/>
      <c r="C524" s="466"/>
      <c r="D524" s="497">
        <v>46013</v>
      </c>
      <c r="E524" s="466" t="s">
        <v>619</v>
      </c>
      <c r="F524" s="466">
        <v>23888460.699999999</v>
      </c>
      <c r="G524" s="478">
        <v>46205.919999998063</v>
      </c>
      <c r="H524" s="466">
        <v>0</v>
      </c>
      <c r="I524" s="479">
        <v>0</v>
      </c>
    </row>
    <row r="525" spans="1:9" ht="15.75" customHeight="1">
      <c r="A525" s="467"/>
      <c r="B525" s="467"/>
      <c r="C525" s="466"/>
      <c r="D525" s="497">
        <v>46014</v>
      </c>
      <c r="E525" s="466" t="s">
        <v>618</v>
      </c>
      <c r="F525" s="466">
        <v>23934666.620000001</v>
      </c>
      <c r="G525" s="478">
        <v>46205.920000001788</v>
      </c>
      <c r="H525" s="466">
        <v>0</v>
      </c>
      <c r="I525" s="479">
        <v>0</v>
      </c>
    </row>
    <row r="526" spans="1:9" ht="15.75" customHeight="1">
      <c r="A526" s="467"/>
      <c r="B526" s="467"/>
      <c r="C526" s="466"/>
      <c r="D526" s="497">
        <v>46015</v>
      </c>
      <c r="E526" s="466" t="s">
        <v>624</v>
      </c>
      <c r="F526" s="466">
        <v>23980872.539999999</v>
      </c>
      <c r="G526" s="478">
        <v>46205.919999998063</v>
      </c>
      <c r="H526" s="466">
        <v>323441.43999999762</v>
      </c>
      <c r="I526" s="479">
        <v>0</v>
      </c>
    </row>
    <row r="527" spans="1:9" ht="15.75" customHeight="1">
      <c r="A527" s="467"/>
      <c r="B527" s="467"/>
      <c r="C527" s="466"/>
      <c r="D527" s="497">
        <v>46016</v>
      </c>
      <c r="E527" s="466" t="s">
        <v>623</v>
      </c>
      <c r="F527" s="466">
        <v>24027078.460000001</v>
      </c>
      <c r="G527" s="478">
        <v>46205.920000001788</v>
      </c>
      <c r="H527" s="466">
        <v>0</v>
      </c>
      <c r="I527" s="479">
        <v>0</v>
      </c>
    </row>
    <row r="528" spans="1:9" ht="15.75" customHeight="1">
      <c r="A528" s="467"/>
      <c r="B528" s="467"/>
      <c r="C528" s="466"/>
      <c r="D528" s="497">
        <v>46017</v>
      </c>
      <c r="E528" s="466" t="s">
        <v>622</v>
      </c>
      <c r="F528" s="466">
        <v>24073284.379999999</v>
      </c>
      <c r="G528" s="478">
        <v>46205.919999998063</v>
      </c>
      <c r="H528" s="466">
        <v>0</v>
      </c>
      <c r="I528" s="479">
        <v>0</v>
      </c>
    </row>
    <row r="529" spans="1:9" ht="15.75" customHeight="1">
      <c r="A529" s="467"/>
      <c r="B529" s="467"/>
      <c r="C529" s="466"/>
      <c r="D529" s="497">
        <v>46018</v>
      </c>
      <c r="E529" s="466" t="s">
        <v>621</v>
      </c>
      <c r="F529" s="466">
        <v>24119490.300000001</v>
      </c>
      <c r="G529" s="478">
        <v>46205.920000001788</v>
      </c>
      <c r="H529" s="466">
        <v>0</v>
      </c>
      <c r="I529" s="479">
        <v>0</v>
      </c>
    </row>
    <row r="530" spans="1:9" ht="15.75" customHeight="1">
      <c r="A530" s="467"/>
      <c r="B530" s="467"/>
      <c r="C530" s="466"/>
      <c r="D530" s="497">
        <v>46019</v>
      </c>
      <c r="E530" s="466" t="s">
        <v>620</v>
      </c>
      <c r="F530" s="466">
        <v>24165696.219999999</v>
      </c>
      <c r="G530" s="478">
        <v>46205.919999998063</v>
      </c>
      <c r="H530" s="466">
        <v>0</v>
      </c>
      <c r="I530" s="479">
        <v>0</v>
      </c>
    </row>
    <row r="531" spans="1:9" ht="15.75" customHeight="1">
      <c r="A531" s="467"/>
      <c r="B531" s="467"/>
      <c r="C531" s="466"/>
      <c r="D531" s="497">
        <v>46020</v>
      </c>
      <c r="E531" s="466" t="s">
        <v>619</v>
      </c>
      <c r="F531" s="466">
        <v>24211902.140000001</v>
      </c>
      <c r="G531" s="478">
        <v>46205.920000001788</v>
      </c>
      <c r="H531" s="466">
        <v>0</v>
      </c>
      <c r="I531" s="479">
        <v>0</v>
      </c>
    </row>
    <row r="532" spans="1:9" ht="15.75" customHeight="1">
      <c r="A532" s="467"/>
      <c r="B532" s="467"/>
      <c r="C532" s="466"/>
      <c r="D532" s="497">
        <v>46021</v>
      </c>
      <c r="E532" s="466" t="s">
        <v>618</v>
      </c>
      <c r="F532" s="466">
        <v>24258108.07</v>
      </c>
      <c r="G532" s="478">
        <v>46205.929999999702</v>
      </c>
      <c r="H532" s="466">
        <v>0</v>
      </c>
      <c r="I532" s="479">
        <v>0</v>
      </c>
    </row>
    <row r="533" spans="1:9" ht="15.75" customHeight="1">
      <c r="A533" s="467"/>
      <c r="B533" s="467"/>
      <c r="C533" s="466"/>
      <c r="D533" s="497">
        <v>46022</v>
      </c>
      <c r="E533" s="466" t="s">
        <v>624</v>
      </c>
      <c r="F533" s="466">
        <v>24304313.989999998</v>
      </c>
      <c r="G533" s="478">
        <v>46205.919999998063</v>
      </c>
      <c r="H533" s="466">
        <v>323441.44999999925</v>
      </c>
      <c r="I533" s="479">
        <v>646882.88999999687</v>
      </c>
    </row>
    <row r="534" spans="1:9" ht="15.75" customHeight="1">
      <c r="A534" s="467"/>
      <c r="B534" s="467"/>
      <c r="C534" s="466"/>
      <c r="D534" s="497">
        <v>46023</v>
      </c>
      <c r="E534" s="466" t="s">
        <v>623</v>
      </c>
      <c r="F534" s="466">
        <v>24350519.91</v>
      </c>
      <c r="G534" s="478">
        <v>46205.920000001788</v>
      </c>
      <c r="H534" s="466">
        <v>0</v>
      </c>
      <c r="I534" s="479">
        <v>0</v>
      </c>
    </row>
    <row r="535" spans="1:9" ht="15.75" customHeight="1">
      <c r="A535" s="467"/>
      <c r="B535" s="467"/>
      <c r="C535" s="466"/>
      <c r="D535" s="497">
        <v>46024</v>
      </c>
      <c r="E535" s="466" t="s">
        <v>622</v>
      </c>
      <c r="F535" s="466">
        <v>24396725.829999998</v>
      </c>
      <c r="G535" s="478">
        <v>46205.919999998063</v>
      </c>
      <c r="H535" s="466">
        <v>0</v>
      </c>
      <c r="I535" s="479">
        <v>0</v>
      </c>
    </row>
    <row r="536" spans="1:9" ht="15.75" customHeight="1">
      <c r="A536" s="467"/>
      <c r="B536" s="467"/>
      <c r="C536" s="466"/>
      <c r="D536" s="497">
        <v>46025</v>
      </c>
      <c r="E536" s="466" t="s">
        <v>621</v>
      </c>
      <c r="F536" s="466">
        <v>24442931.75</v>
      </c>
      <c r="G536" s="478">
        <v>46205.920000001788</v>
      </c>
      <c r="H536" s="466">
        <v>0</v>
      </c>
      <c r="I536" s="479">
        <v>0</v>
      </c>
    </row>
    <row r="537" spans="1:9" ht="15.75" customHeight="1">
      <c r="A537" s="467"/>
      <c r="B537" s="467"/>
      <c r="C537" s="466"/>
      <c r="D537" s="497">
        <v>46026</v>
      </c>
      <c r="E537" s="466" t="s">
        <v>620</v>
      </c>
      <c r="F537" s="466">
        <v>24489137.670000002</v>
      </c>
      <c r="G537" s="478">
        <v>46205.920000001788</v>
      </c>
      <c r="H537" s="466">
        <v>0</v>
      </c>
      <c r="I537" s="479">
        <v>0</v>
      </c>
    </row>
    <row r="538" spans="1:9" ht="15.75" customHeight="1">
      <c r="A538" s="467"/>
      <c r="B538" s="467"/>
      <c r="C538" s="466"/>
      <c r="D538" s="497">
        <v>46027</v>
      </c>
      <c r="E538" s="466" t="s">
        <v>619</v>
      </c>
      <c r="F538" s="466">
        <v>24535343.59</v>
      </c>
      <c r="G538" s="478">
        <v>46205.919999998063</v>
      </c>
      <c r="H538" s="466">
        <v>0</v>
      </c>
      <c r="I538" s="479">
        <v>0</v>
      </c>
    </row>
    <row r="539" spans="1:9" ht="15.75" customHeight="1">
      <c r="A539" s="467"/>
      <c r="B539" s="467"/>
      <c r="C539" s="466"/>
      <c r="D539" s="497">
        <v>46028</v>
      </c>
      <c r="E539" s="466" t="s">
        <v>618</v>
      </c>
      <c r="F539" s="466">
        <v>24581549.510000002</v>
      </c>
      <c r="G539" s="478">
        <v>46205.920000001788</v>
      </c>
      <c r="H539" s="466">
        <v>0</v>
      </c>
      <c r="I539" s="479">
        <v>0</v>
      </c>
    </row>
    <row r="540" spans="1:9" ht="15.75" customHeight="1">
      <c r="A540" s="467"/>
      <c r="B540" s="467"/>
      <c r="C540" s="466"/>
      <c r="D540" s="497">
        <v>46029</v>
      </c>
      <c r="E540" s="466" t="s">
        <v>624</v>
      </c>
      <c r="F540" s="466">
        <v>24627755.43</v>
      </c>
      <c r="G540" s="478">
        <v>46205.919999998063</v>
      </c>
      <c r="H540" s="466">
        <v>323441.44000000134</v>
      </c>
      <c r="I540" s="479">
        <v>0</v>
      </c>
    </row>
    <row r="541" spans="1:9" ht="15.75" customHeight="1">
      <c r="A541" s="467"/>
      <c r="B541" s="467"/>
      <c r="C541" s="466"/>
      <c r="D541" s="497">
        <v>46030</v>
      </c>
      <c r="E541" s="466" t="s">
        <v>623</v>
      </c>
      <c r="F541" s="466">
        <v>24673961.350000001</v>
      </c>
      <c r="G541" s="478">
        <v>46205.920000001788</v>
      </c>
      <c r="H541" s="466">
        <v>0</v>
      </c>
      <c r="I541" s="479">
        <v>0</v>
      </c>
    </row>
    <row r="542" spans="1:9" ht="15.75" customHeight="1">
      <c r="A542" s="467"/>
      <c r="B542" s="467"/>
      <c r="C542" s="466"/>
      <c r="D542" s="497">
        <v>46031</v>
      </c>
      <c r="E542" s="466" t="s">
        <v>622</v>
      </c>
      <c r="F542" s="466">
        <v>24720167.27</v>
      </c>
      <c r="G542" s="478">
        <v>46205.919999998063</v>
      </c>
      <c r="H542" s="466">
        <v>0</v>
      </c>
      <c r="I542" s="479">
        <v>0</v>
      </c>
    </row>
    <row r="543" spans="1:9" ht="15.75" customHeight="1">
      <c r="A543" s="467"/>
      <c r="B543" s="467"/>
      <c r="C543" s="466"/>
      <c r="D543" s="497">
        <v>46032</v>
      </c>
      <c r="E543" s="466" t="s">
        <v>621</v>
      </c>
      <c r="F543" s="466">
        <v>24766373.190000001</v>
      </c>
      <c r="G543" s="478">
        <v>46205.920000001788</v>
      </c>
      <c r="H543" s="466">
        <v>0</v>
      </c>
      <c r="I543" s="479">
        <v>0</v>
      </c>
    </row>
    <row r="544" spans="1:9" ht="15.75" customHeight="1">
      <c r="A544" s="467"/>
      <c r="B544" s="467"/>
      <c r="C544" s="466"/>
      <c r="D544" s="497">
        <v>46033</v>
      </c>
      <c r="E544" s="466" t="s">
        <v>620</v>
      </c>
      <c r="F544" s="466">
        <v>24812579.109999999</v>
      </c>
      <c r="G544" s="478">
        <v>46205.919999998063</v>
      </c>
      <c r="H544" s="466">
        <v>0</v>
      </c>
      <c r="I544" s="479">
        <v>0</v>
      </c>
    </row>
    <row r="545" spans="1:9" ht="15.75" customHeight="1">
      <c r="A545" s="467"/>
      <c r="B545" s="467"/>
      <c r="C545" s="466"/>
      <c r="D545" s="497">
        <v>46034</v>
      </c>
      <c r="E545" s="466" t="s">
        <v>619</v>
      </c>
      <c r="F545" s="466">
        <v>24858785.030000001</v>
      </c>
      <c r="G545" s="478">
        <v>46205.920000001788</v>
      </c>
      <c r="H545" s="466">
        <v>0</v>
      </c>
      <c r="I545" s="479">
        <v>0</v>
      </c>
    </row>
    <row r="546" spans="1:9" ht="15.75" customHeight="1">
      <c r="A546" s="467"/>
      <c r="B546" s="467"/>
      <c r="C546" s="466"/>
      <c r="D546" s="497">
        <v>46035</v>
      </c>
      <c r="E546" s="466" t="s">
        <v>618</v>
      </c>
      <c r="F546" s="466">
        <v>24904990.949999999</v>
      </c>
      <c r="G546" s="478">
        <v>46205.919999998063</v>
      </c>
      <c r="H546" s="466">
        <v>0</v>
      </c>
      <c r="I546" s="479">
        <v>0</v>
      </c>
    </row>
    <row r="547" spans="1:9" ht="15.75" customHeight="1">
      <c r="A547" s="467"/>
      <c r="B547" s="467"/>
      <c r="C547" s="466"/>
      <c r="D547" s="497">
        <v>46036</v>
      </c>
      <c r="E547" s="466" t="s">
        <v>624</v>
      </c>
      <c r="F547" s="466">
        <v>24951196.870000001</v>
      </c>
      <c r="G547" s="478">
        <v>46205.920000001788</v>
      </c>
      <c r="H547" s="466">
        <v>323441.44000000134</v>
      </c>
      <c r="I547" s="479">
        <v>646882.88000000268</v>
      </c>
    </row>
    <row r="548" spans="1:9" ht="15.75" customHeight="1">
      <c r="A548" s="467"/>
      <c r="B548" s="467"/>
      <c r="C548" s="466"/>
      <c r="D548" s="497">
        <v>46037</v>
      </c>
      <c r="E548" s="466" t="s">
        <v>623</v>
      </c>
      <c r="F548" s="466">
        <v>24997402.789999999</v>
      </c>
      <c r="G548" s="478">
        <v>46205.919999998063</v>
      </c>
      <c r="H548" s="466">
        <v>0</v>
      </c>
      <c r="I548" s="479">
        <v>0</v>
      </c>
    </row>
    <row r="549" spans="1:9" ht="15.75" customHeight="1">
      <c r="A549" s="467"/>
      <c r="B549" s="467"/>
      <c r="C549" s="466"/>
      <c r="D549" s="497">
        <v>46038</v>
      </c>
      <c r="E549" s="466" t="s">
        <v>622</v>
      </c>
      <c r="F549" s="466">
        <v>25043608.710000001</v>
      </c>
      <c r="G549" s="478">
        <v>46205.920000001788</v>
      </c>
      <c r="H549" s="466">
        <v>0</v>
      </c>
      <c r="I549" s="479">
        <v>0</v>
      </c>
    </row>
    <row r="550" spans="1:9" ht="15.75" customHeight="1">
      <c r="A550" s="467"/>
      <c r="B550" s="467"/>
      <c r="C550" s="466"/>
      <c r="D550" s="497">
        <v>46039</v>
      </c>
      <c r="E550" s="466" t="s">
        <v>621</v>
      </c>
      <c r="F550" s="466">
        <v>25089814.629999999</v>
      </c>
      <c r="G550" s="478">
        <v>46205.919999998063</v>
      </c>
      <c r="H550" s="466">
        <v>0</v>
      </c>
      <c r="I550" s="479">
        <v>0</v>
      </c>
    </row>
    <row r="551" spans="1:9" ht="15.75" customHeight="1">
      <c r="A551" s="467"/>
      <c r="B551" s="467"/>
      <c r="C551" s="466"/>
      <c r="D551" s="497">
        <v>46040</v>
      </c>
      <c r="E551" s="466" t="s">
        <v>620</v>
      </c>
      <c r="F551" s="466">
        <v>25136020.550000001</v>
      </c>
      <c r="G551" s="478">
        <v>46205.920000001788</v>
      </c>
      <c r="H551" s="466">
        <v>0</v>
      </c>
      <c r="I551" s="479">
        <v>0</v>
      </c>
    </row>
    <row r="552" spans="1:9" ht="15.75" customHeight="1">
      <c r="A552" s="467"/>
      <c r="B552" s="467"/>
      <c r="C552" s="466"/>
      <c r="D552" s="497">
        <v>46041</v>
      </c>
      <c r="E552" s="466" t="s">
        <v>619</v>
      </c>
      <c r="F552" s="466">
        <v>25182226.469999999</v>
      </c>
      <c r="G552" s="478">
        <v>46205.919999998063</v>
      </c>
      <c r="H552" s="466">
        <v>0</v>
      </c>
      <c r="I552" s="479">
        <v>0</v>
      </c>
    </row>
    <row r="553" spans="1:9" ht="15.75" customHeight="1">
      <c r="A553" s="467"/>
      <c r="B553" s="467"/>
      <c r="C553" s="466"/>
      <c r="D553" s="497">
        <v>46042</v>
      </c>
      <c r="E553" s="466" t="s">
        <v>618</v>
      </c>
      <c r="F553" s="466">
        <v>25228432.390000001</v>
      </c>
      <c r="G553" s="478">
        <v>46205.920000001788</v>
      </c>
      <c r="H553" s="466">
        <v>0</v>
      </c>
      <c r="I553" s="479">
        <v>0</v>
      </c>
    </row>
    <row r="554" spans="1:9" ht="15.75" customHeight="1">
      <c r="A554" s="467"/>
      <c r="B554" s="467"/>
      <c r="C554" s="466"/>
      <c r="D554" s="497">
        <v>46043</v>
      </c>
      <c r="E554" s="466" t="s">
        <v>624</v>
      </c>
      <c r="F554" s="466">
        <v>25274638.309999999</v>
      </c>
      <c r="G554" s="478">
        <v>46205.919999998063</v>
      </c>
      <c r="H554" s="466">
        <v>323441.43999999762</v>
      </c>
      <c r="I554" s="479">
        <v>0</v>
      </c>
    </row>
    <row r="555" spans="1:9" ht="15.75" customHeight="1">
      <c r="A555" s="467"/>
      <c r="B555" s="467"/>
      <c r="C555" s="466"/>
      <c r="D555" s="497">
        <v>46044</v>
      </c>
      <c r="E555" s="466" t="s">
        <v>623</v>
      </c>
      <c r="F555" s="466">
        <v>25320844.23</v>
      </c>
      <c r="G555" s="478">
        <v>46205.920000001788</v>
      </c>
      <c r="H555" s="466">
        <v>0</v>
      </c>
      <c r="I555" s="479">
        <v>0</v>
      </c>
    </row>
    <row r="556" spans="1:9" ht="15.75" customHeight="1">
      <c r="A556" s="467"/>
      <c r="B556" s="467"/>
      <c r="C556" s="466"/>
      <c r="D556" s="497">
        <v>46045</v>
      </c>
      <c r="E556" s="466" t="s">
        <v>622</v>
      </c>
      <c r="F556" s="466">
        <v>25367050.149999999</v>
      </c>
      <c r="G556" s="478">
        <v>46205.919999998063</v>
      </c>
      <c r="H556" s="466">
        <v>0</v>
      </c>
      <c r="I556" s="479">
        <v>0</v>
      </c>
    </row>
    <row r="557" spans="1:9" ht="15.75" customHeight="1">
      <c r="A557" s="467"/>
      <c r="B557" s="467"/>
      <c r="C557" s="466"/>
      <c r="D557" s="497">
        <v>46046</v>
      </c>
      <c r="E557" s="466" t="s">
        <v>621</v>
      </c>
      <c r="F557" s="466">
        <v>25413256.07</v>
      </c>
      <c r="G557" s="478">
        <v>46205.920000001788</v>
      </c>
      <c r="H557" s="466">
        <v>0</v>
      </c>
      <c r="I557" s="479">
        <v>0</v>
      </c>
    </row>
    <row r="558" spans="1:9" ht="15.75" customHeight="1">
      <c r="A558" s="467"/>
      <c r="B558" s="467"/>
      <c r="C558" s="466"/>
      <c r="D558" s="497">
        <v>46047</v>
      </c>
      <c r="E558" s="466" t="s">
        <v>620</v>
      </c>
      <c r="F558" s="466">
        <v>25459461.989999998</v>
      </c>
      <c r="G558" s="478">
        <v>46205.919999998063</v>
      </c>
      <c r="H558" s="466">
        <v>0</v>
      </c>
      <c r="I558" s="479">
        <v>0</v>
      </c>
    </row>
    <row r="559" spans="1:9" ht="15.75" customHeight="1">
      <c r="A559" s="467"/>
      <c r="B559" s="467"/>
      <c r="C559" s="466"/>
      <c r="D559" s="497">
        <v>46048</v>
      </c>
      <c r="E559" s="466" t="s">
        <v>619</v>
      </c>
      <c r="F559" s="466">
        <v>25505667.91</v>
      </c>
      <c r="G559" s="478">
        <v>46205.920000001788</v>
      </c>
      <c r="H559" s="466">
        <v>0</v>
      </c>
      <c r="I559" s="479">
        <v>0</v>
      </c>
    </row>
    <row r="560" spans="1:9" ht="15.75" customHeight="1">
      <c r="A560" s="467"/>
      <c r="B560" s="467"/>
      <c r="C560" s="466"/>
      <c r="D560" s="497">
        <v>46049</v>
      </c>
      <c r="E560" s="466" t="s">
        <v>618</v>
      </c>
      <c r="F560" s="466">
        <v>25551873.829999998</v>
      </c>
      <c r="G560" s="478">
        <v>46205.919999998063</v>
      </c>
      <c r="H560" s="466">
        <v>0</v>
      </c>
      <c r="I560" s="479">
        <v>0</v>
      </c>
    </row>
    <row r="561" spans="1:9" ht="15.75" customHeight="1">
      <c r="A561" s="467"/>
      <c r="B561" s="467"/>
      <c r="C561" s="466"/>
      <c r="D561" s="497">
        <v>46050</v>
      </c>
      <c r="E561" s="466" t="s">
        <v>624</v>
      </c>
      <c r="F561" s="466">
        <v>25598079.75</v>
      </c>
      <c r="G561" s="478">
        <v>46205.920000001788</v>
      </c>
      <c r="H561" s="466">
        <v>323441.44000000134</v>
      </c>
      <c r="I561" s="479">
        <v>646882.87999999896</v>
      </c>
    </row>
    <row r="562" spans="1:9" ht="15.75" customHeight="1">
      <c r="A562" s="467"/>
      <c r="B562" s="467"/>
      <c r="C562" s="466"/>
      <c r="D562" s="497">
        <v>46051</v>
      </c>
      <c r="E562" s="466" t="s">
        <v>623</v>
      </c>
      <c r="F562" s="466">
        <v>25644285.670000002</v>
      </c>
      <c r="G562" s="478">
        <v>46205.920000001788</v>
      </c>
      <c r="H562" s="466">
        <v>0</v>
      </c>
      <c r="I562" s="479">
        <v>0</v>
      </c>
    </row>
    <row r="563" spans="1:9" ht="15.75" customHeight="1">
      <c r="A563" s="467"/>
      <c r="B563" s="467"/>
      <c r="C563" s="466"/>
      <c r="D563" s="497">
        <v>46052</v>
      </c>
      <c r="E563" s="466" t="s">
        <v>622</v>
      </c>
      <c r="F563" s="466">
        <v>25690491.59</v>
      </c>
      <c r="G563" s="478">
        <v>46205.919999998063</v>
      </c>
      <c r="H563" s="466">
        <v>0</v>
      </c>
      <c r="I563" s="479">
        <v>0</v>
      </c>
    </row>
    <row r="564" spans="1:9" ht="15.75" customHeight="1">
      <c r="A564" s="467"/>
      <c r="B564" s="467"/>
      <c r="C564" s="466"/>
      <c r="D564" s="497">
        <v>46053</v>
      </c>
      <c r="E564" s="466" t="s">
        <v>621</v>
      </c>
      <c r="F564" s="466">
        <v>25736697.510000002</v>
      </c>
      <c r="G564" s="478">
        <v>46205.920000001788</v>
      </c>
      <c r="H564" s="466">
        <v>0</v>
      </c>
      <c r="I564" s="479">
        <v>0</v>
      </c>
    </row>
    <row r="565" spans="1:9" ht="15.75" customHeight="1">
      <c r="A565" s="467"/>
      <c r="B565" s="467"/>
      <c r="C565" s="466"/>
      <c r="D565" s="497">
        <v>46054</v>
      </c>
      <c r="E565" s="466" t="s">
        <v>620</v>
      </c>
      <c r="F565" s="466">
        <v>25782903.43</v>
      </c>
      <c r="G565" s="478">
        <v>46205.919999998063</v>
      </c>
      <c r="H565" s="466">
        <v>0</v>
      </c>
      <c r="I565" s="479">
        <v>0</v>
      </c>
    </row>
    <row r="566" spans="1:9" ht="15.75" customHeight="1">
      <c r="A566" s="467"/>
      <c r="B566" s="467"/>
      <c r="C566" s="466"/>
      <c r="D566" s="497">
        <v>46055</v>
      </c>
      <c r="E566" s="466" t="s">
        <v>619</v>
      </c>
      <c r="F566" s="466">
        <v>25829109.350000001</v>
      </c>
      <c r="G566" s="478">
        <v>46205.920000001788</v>
      </c>
      <c r="H566" s="466">
        <v>0</v>
      </c>
      <c r="I566" s="479">
        <v>0</v>
      </c>
    </row>
    <row r="567" spans="1:9" ht="15.75" customHeight="1">
      <c r="A567" s="467"/>
      <c r="B567" s="467"/>
      <c r="C567" s="466"/>
      <c r="D567" s="497">
        <v>46056</v>
      </c>
      <c r="E567" s="466" t="s">
        <v>618</v>
      </c>
      <c r="F567" s="466">
        <v>25875315.27</v>
      </c>
      <c r="G567" s="478">
        <v>46205.919999998063</v>
      </c>
      <c r="H567" s="466">
        <v>0</v>
      </c>
      <c r="I567" s="479">
        <v>0</v>
      </c>
    </row>
    <row r="568" spans="1:9" ht="15.75" customHeight="1">
      <c r="A568" s="467"/>
      <c r="B568" s="467"/>
      <c r="C568" s="466"/>
      <c r="D568" s="497">
        <v>46057</v>
      </c>
      <c r="E568" s="466" t="s">
        <v>624</v>
      </c>
      <c r="F568" s="466">
        <v>25921521.190000001</v>
      </c>
      <c r="G568" s="478">
        <v>46205.920000001788</v>
      </c>
      <c r="H568" s="466">
        <v>323441.44000000134</v>
      </c>
      <c r="I568" s="479">
        <v>0</v>
      </c>
    </row>
    <row r="569" spans="1:9" ht="15.75" customHeight="1">
      <c r="A569" s="467"/>
      <c r="B569" s="467"/>
      <c r="C569" s="466"/>
      <c r="D569" s="497">
        <v>46058</v>
      </c>
      <c r="E569" s="466" t="s">
        <v>623</v>
      </c>
      <c r="F569" s="466">
        <v>25967727.109999999</v>
      </c>
      <c r="G569" s="478">
        <v>46205.919999998063</v>
      </c>
      <c r="H569" s="466">
        <v>0</v>
      </c>
      <c r="I569" s="479">
        <v>0</v>
      </c>
    </row>
    <row r="570" spans="1:9" ht="15.75" customHeight="1">
      <c r="A570" s="467"/>
      <c r="B570" s="467"/>
      <c r="C570" s="466"/>
      <c r="D570" s="497">
        <v>46059</v>
      </c>
      <c r="E570" s="466" t="s">
        <v>622</v>
      </c>
      <c r="F570" s="466">
        <v>26013933.030000001</v>
      </c>
      <c r="G570" s="478">
        <v>46205.920000001788</v>
      </c>
      <c r="H570" s="466">
        <v>0</v>
      </c>
      <c r="I570" s="479">
        <v>0</v>
      </c>
    </row>
    <row r="571" spans="1:9" ht="15.75" customHeight="1">
      <c r="A571" s="467"/>
      <c r="B571" s="467"/>
      <c r="C571" s="466"/>
      <c r="D571" s="497">
        <v>46060</v>
      </c>
      <c r="E571" s="466" t="s">
        <v>621</v>
      </c>
      <c r="F571" s="466">
        <v>26060138.949999999</v>
      </c>
      <c r="G571" s="478">
        <v>46205.919999998063</v>
      </c>
      <c r="H571" s="466">
        <v>0</v>
      </c>
      <c r="I571" s="479">
        <v>0</v>
      </c>
    </row>
    <row r="572" spans="1:9" ht="15.75" customHeight="1">
      <c r="A572" s="467"/>
      <c r="B572" s="467"/>
      <c r="C572" s="466"/>
      <c r="D572" s="497">
        <v>46061</v>
      </c>
      <c r="E572" s="466" t="s">
        <v>620</v>
      </c>
      <c r="F572" s="466">
        <v>26106344.870000001</v>
      </c>
      <c r="G572" s="478">
        <v>46205.920000001788</v>
      </c>
      <c r="H572" s="466">
        <v>0</v>
      </c>
      <c r="I572" s="479">
        <v>0</v>
      </c>
    </row>
    <row r="573" spans="1:9" ht="15.75" customHeight="1">
      <c r="A573" s="467"/>
      <c r="B573" s="467"/>
      <c r="C573" s="466"/>
      <c r="D573" s="497">
        <v>46062</v>
      </c>
      <c r="E573" s="466" t="s">
        <v>619</v>
      </c>
      <c r="F573" s="466">
        <v>26152550.789999999</v>
      </c>
      <c r="G573" s="478">
        <v>46205.919999998063</v>
      </c>
      <c r="H573" s="466">
        <v>0</v>
      </c>
      <c r="I573" s="479">
        <v>0</v>
      </c>
    </row>
    <row r="574" spans="1:9" ht="15.75" customHeight="1">
      <c r="A574" s="467"/>
      <c r="B574" s="467"/>
      <c r="C574" s="466"/>
      <c r="D574" s="497">
        <v>46063</v>
      </c>
      <c r="E574" s="466" t="s">
        <v>618</v>
      </c>
      <c r="F574" s="466">
        <v>26198756.710000001</v>
      </c>
      <c r="G574" s="478">
        <v>46205.920000001788</v>
      </c>
      <c r="H574" s="466">
        <v>0</v>
      </c>
      <c r="I574" s="479">
        <v>0</v>
      </c>
    </row>
    <row r="575" spans="1:9" ht="15.75" customHeight="1">
      <c r="A575" s="467"/>
      <c r="B575" s="467"/>
      <c r="C575" s="466"/>
      <c r="D575" s="497">
        <v>46064</v>
      </c>
      <c r="E575" s="466" t="s">
        <v>624</v>
      </c>
      <c r="F575" s="466">
        <v>26244962.629999999</v>
      </c>
      <c r="G575" s="478">
        <v>46205.919999998063</v>
      </c>
      <c r="H575" s="466">
        <v>323441.43999999762</v>
      </c>
      <c r="I575" s="479">
        <v>646882.87999999896</v>
      </c>
    </row>
    <row r="576" spans="1:9" ht="15.75" customHeight="1">
      <c r="A576" s="467"/>
      <c r="B576" s="467"/>
      <c r="C576" s="466"/>
      <c r="D576" s="497">
        <v>46065</v>
      </c>
      <c r="E576" s="466" t="s">
        <v>623</v>
      </c>
      <c r="F576" s="466">
        <v>26291168.550000001</v>
      </c>
      <c r="G576" s="478">
        <v>46205.920000001788</v>
      </c>
      <c r="H576" s="466">
        <v>0</v>
      </c>
      <c r="I576" s="479">
        <v>0</v>
      </c>
    </row>
    <row r="577" spans="1:9" ht="15.75" customHeight="1">
      <c r="A577" s="467"/>
      <c r="B577" s="467"/>
      <c r="C577" s="466"/>
      <c r="D577" s="497">
        <v>46066</v>
      </c>
      <c r="E577" s="466" t="s">
        <v>622</v>
      </c>
      <c r="F577" s="466">
        <v>26337374.469999999</v>
      </c>
      <c r="G577" s="478">
        <v>46205.919999998063</v>
      </c>
      <c r="H577" s="466">
        <v>0</v>
      </c>
      <c r="I577" s="479">
        <v>0</v>
      </c>
    </row>
    <row r="578" spans="1:9" ht="15.75" customHeight="1">
      <c r="A578" s="467"/>
      <c r="B578" s="467"/>
      <c r="C578" s="466"/>
      <c r="D578" s="497">
        <v>46067</v>
      </c>
      <c r="E578" s="466" t="s">
        <v>621</v>
      </c>
      <c r="F578" s="466">
        <v>26383580.390000001</v>
      </c>
      <c r="G578" s="478">
        <v>46205.920000001788</v>
      </c>
      <c r="H578" s="466">
        <v>0</v>
      </c>
      <c r="I578" s="479">
        <v>0</v>
      </c>
    </row>
    <row r="579" spans="1:9" ht="15.75" customHeight="1">
      <c r="A579" s="467"/>
      <c r="B579" s="467"/>
      <c r="C579" s="466"/>
      <c r="D579" s="497">
        <v>46068</v>
      </c>
      <c r="E579" s="466" t="s">
        <v>620</v>
      </c>
      <c r="F579" s="466">
        <v>26429786.309999999</v>
      </c>
      <c r="G579" s="478">
        <v>46205.919999998063</v>
      </c>
      <c r="H579" s="466">
        <v>0</v>
      </c>
      <c r="I579" s="479">
        <v>0</v>
      </c>
    </row>
    <row r="580" spans="1:9" ht="15.75" customHeight="1">
      <c r="A580" s="467"/>
      <c r="B580" s="467"/>
      <c r="C580" s="466"/>
      <c r="D580" s="497">
        <v>46069</v>
      </c>
      <c r="E580" s="466" t="s">
        <v>619</v>
      </c>
      <c r="F580" s="466">
        <v>26475992.23</v>
      </c>
      <c r="G580" s="478">
        <v>46205.920000001788</v>
      </c>
      <c r="H580" s="466">
        <v>0</v>
      </c>
      <c r="I580" s="479">
        <v>0</v>
      </c>
    </row>
    <row r="581" spans="1:9" ht="15.75" customHeight="1">
      <c r="A581" s="467"/>
      <c r="B581" s="467"/>
      <c r="C581" s="466"/>
      <c r="D581" s="497">
        <v>46070</v>
      </c>
      <c r="E581" s="466" t="s">
        <v>618</v>
      </c>
      <c r="F581" s="466">
        <v>26522198.149999999</v>
      </c>
      <c r="G581" s="478">
        <v>46205.919999998063</v>
      </c>
      <c r="H581" s="466">
        <v>0</v>
      </c>
      <c r="I581" s="479">
        <v>0</v>
      </c>
    </row>
    <row r="582" spans="1:9" ht="15.75" customHeight="1">
      <c r="A582" s="467"/>
      <c r="B582" s="467"/>
      <c r="C582" s="466"/>
      <c r="D582" s="497">
        <v>46071</v>
      </c>
      <c r="E582" s="466" t="s">
        <v>624</v>
      </c>
      <c r="F582" s="466">
        <v>26568404.07</v>
      </c>
      <c r="G582" s="478">
        <v>46205.920000001788</v>
      </c>
      <c r="H582" s="466">
        <v>323441.44000000134</v>
      </c>
      <c r="I582" s="479">
        <v>0</v>
      </c>
    </row>
    <row r="583" spans="1:9" ht="15.75" customHeight="1">
      <c r="A583" s="467"/>
      <c r="B583" s="467"/>
      <c r="C583" s="466"/>
      <c r="D583" s="497">
        <v>46072</v>
      </c>
      <c r="E583" s="466" t="s">
        <v>623</v>
      </c>
      <c r="F583" s="466">
        <v>26614609.989999998</v>
      </c>
      <c r="G583" s="478">
        <v>46205.919999998063</v>
      </c>
      <c r="H583" s="466">
        <v>0</v>
      </c>
      <c r="I583" s="479">
        <v>0</v>
      </c>
    </row>
    <row r="584" spans="1:9" ht="15.75" customHeight="1">
      <c r="A584" s="467"/>
      <c r="B584" s="467"/>
      <c r="C584" s="466"/>
      <c r="D584" s="497">
        <v>46073</v>
      </c>
      <c r="E584" s="466" t="s">
        <v>622</v>
      </c>
      <c r="F584" s="466">
        <v>26660815.91</v>
      </c>
      <c r="G584" s="478">
        <v>46205.920000001788</v>
      </c>
      <c r="H584" s="466">
        <v>0</v>
      </c>
      <c r="I584" s="479">
        <v>0</v>
      </c>
    </row>
    <row r="585" spans="1:9" ht="15.75" customHeight="1">
      <c r="A585" s="467"/>
      <c r="B585" s="467"/>
      <c r="C585" s="466"/>
      <c r="D585" s="497">
        <v>46074</v>
      </c>
      <c r="E585" s="466" t="s">
        <v>621</v>
      </c>
      <c r="F585" s="466">
        <v>26707021.829999998</v>
      </c>
      <c r="G585" s="478">
        <v>46205.919999998063</v>
      </c>
      <c r="H585" s="466">
        <v>0</v>
      </c>
      <c r="I585" s="479">
        <v>0</v>
      </c>
    </row>
    <row r="586" spans="1:9" ht="15.75" customHeight="1">
      <c r="A586" s="467"/>
      <c r="B586" s="467"/>
      <c r="C586" s="466"/>
      <c r="D586" s="497">
        <v>46075</v>
      </c>
      <c r="E586" s="466" t="s">
        <v>620</v>
      </c>
      <c r="F586" s="466">
        <v>26753227.75</v>
      </c>
      <c r="G586" s="478">
        <v>46205.920000001788</v>
      </c>
      <c r="H586" s="466">
        <v>0</v>
      </c>
      <c r="I586" s="479">
        <v>0</v>
      </c>
    </row>
    <row r="587" spans="1:9" ht="15.75" customHeight="1">
      <c r="A587" s="467"/>
      <c r="B587" s="467"/>
      <c r="C587" s="466"/>
      <c r="D587" s="497">
        <v>46076</v>
      </c>
      <c r="E587" s="466" t="s">
        <v>619</v>
      </c>
      <c r="F587" s="466">
        <v>26799433.670000002</v>
      </c>
      <c r="G587" s="478">
        <v>46205.920000001788</v>
      </c>
      <c r="H587" s="466">
        <v>0</v>
      </c>
      <c r="I587" s="479">
        <v>0</v>
      </c>
    </row>
    <row r="588" spans="1:9" ht="15.75" customHeight="1">
      <c r="A588" s="467"/>
      <c r="B588" s="467"/>
      <c r="C588" s="466"/>
      <c r="D588" s="497">
        <v>46077</v>
      </c>
      <c r="E588" s="466" t="s">
        <v>618</v>
      </c>
      <c r="F588" s="466">
        <v>26845639.59</v>
      </c>
      <c r="G588" s="478">
        <v>46205.919999998063</v>
      </c>
      <c r="H588" s="466">
        <v>0</v>
      </c>
      <c r="I588" s="479">
        <v>0</v>
      </c>
    </row>
    <row r="589" spans="1:9" ht="15.75" customHeight="1">
      <c r="A589" s="467"/>
      <c r="B589" s="467"/>
      <c r="C589" s="466"/>
      <c r="D589" s="497">
        <v>46078</v>
      </c>
      <c r="E589" s="466" t="s">
        <v>624</v>
      </c>
      <c r="F589" s="466">
        <v>26891845.510000002</v>
      </c>
      <c r="G589" s="478">
        <v>46205.920000001788</v>
      </c>
      <c r="H589" s="466">
        <v>323441.44000000134</v>
      </c>
      <c r="I589" s="479">
        <v>646882.88000000268</v>
      </c>
    </row>
    <row r="590" spans="1:9" ht="15.75" customHeight="1">
      <c r="A590" s="467"/>
      <c r="B590" s="467"/>
      <c r="C590" s="466"/>
      <c r="D590" s="497">
        <v>46079</v>
      </c>
      <c r="E590" s="466" t="s">
        <v>623</v>
      </c>
      <c r="F590" s="466">
        <v>26938051.43</v>
      </c>
      <c r="G590" s="478">
        <v>46205.919999998063</v>
      </c>
      <c r="H590" s="466">
        <v>0</v>
      </c>
      <c r="I590" s="479">
        <v>0</v>
      </c>
    </row>
    <row r="591" spans="1:9" ht="15.75" customHeight="1">
      <c r="A591" s="467"/>
      <c r="B591" s="467"/>
      <c r="C591" s="466"/>
      <c r="D591" s="497">
        <v>46080</v>
      </c>
      <c r="E591" s="466" t="s">
        <v>622</v>
      </c>
      <c r="F591" s="466">
        <v>26984257.350000001</v>
      </c>
      <c r="G591" s="478">
        <v>46205.920000001788</v>
      </c>
      <c r="H591" s="466">
        <v>0</v>
      </c>
      <c r="I591" s="479">
        <v>0</v>
      </c>
    </row>
    <row r="592" spans="1:9" ht="15.75" customHeight="1">
      <c r="A592" s="467"/>
      <c r="B592" s="467"/>
      <c r="C592" s="466"/>
      <c r="D592" s="497">
        <v>46081</v>
      </c>
      <c r="E592" s="466" t="s">
        <v>621</v>
      </c>
      <c r="F592" s="466">
        <v>27030463.27</v>
      </c>
      <c r="G592" s="478">
        <v>46205.919999998063</v>
      </c>
      <c r="H592" s="466">
        <v>0</v>
      </c>
      <c r="I592" s="479">
        <v>0</v>
      </c>
    </row>
    <row r="593" spans="1:9" ht="15.75" customHeight="1">
      <c r="A593" s="467"/>
      <c r="B593" s="467"/>
      <c r="C593" s="466"/>
      <c r="D593" s="497">
        <v>46082</v>
      </c>
      <c r="E593" s="466" t="s">
        <v>620</v>
      </c>
      <c r="F593" s="466">
        <v>27076669.190000001</v>
      </c>
      <c r="G593" s="478">
        <v>46205.920000001788</v>
      </c>
      <c r="H593" s="466">
        <v>0</v>
      </c>
      <c r="I593" s="479">
        <v>0</v>
      </c>
    </row>
    <row r="594" spans="1:9" ht="15.75" customHeight="1">
      <c r="A594" s="467"/>
      <c r="B594" s="467"/>
      <c r="C594" s="466"/>
      <c r="D594" s="497">
        <v>46083</v>
      </c>
      <c r="E594" s="466" t="s">
        <v>619</v>
      </c>
      <c r="F594" s="466">
        <v>27122875.109999999</v>
      </c>
      <c r="G594" s="478">
        <v>46205.919999998063</v>
      </c>
      <c r="H594" s="466">
        <v>0</v>
      </c>
      <c r="I594" s="479">
        <v>0</v>
      </c>
    </row>
    <row r="595" spans="1:9" ht="15.75" customHeight="1">
      <c r="A595" s="467"/>
      <c r="B595" s="467"/>
      <c r="C595" s="466"/>
      <c r="D595" s="497">
        <v>46084</v>
      </c>
      <c r="E595" s="466" t="s">
        <v>618</v>
      </c>
      <c r="F595" s="466">
        <v>27169081.030000001</v>
      </c>
      <c r="G595" s="478">
        <v>46205.920000001788</v>
      </c>
      <c r="H595" s="466">
        <v>0</v>
      </c>
      <c r="I595" s="479">
        <v>0</v>
      </c>
    </row>
    <row r="596" spans="1:9" ht="15.75" customHeight="1">
      <c r="A596" s="467"/>
      <c r="B596" s="467"/>
      <c r="C596" s="466"/>
      <c r="D596" s="497">
        <v>46085</v>
      </c>
      <c r="E596" s="466" t="s">
        <v>624</v>
      </c>
      <c r="F596" s="466">
        <v>27215286.949999999</v>
      </c>
      <c r="G596" s="478">
        <v>46205.919999998063</v>
      </c>
      <c r="H596" s="466">
        <v>323441.43999999762</v>
      </c>
      <c r="I596" s="479">
        <v>0</v>
      </c>
    </row>
    <row r="597" spans="1:9" ht="15.75" customHeight="1">
      <c r="A597" s="467"/>
      <c r="B597" s="467"/>
      <c r="C597" s="466"/>
      <c r="D597" s="497">
        <v>46086</v>
      </c>
      <c r="E597" s="466" t="s">
        <v>623</v>
      </c>
      <c r="F597" s="466">
        <v>27261492.870000001</v>
      </c>
      <c r="G597" s="478">
        <v>46205.920000001788</v>
      </c>
      <c r="H597" s="466">
        <v>0</v>
      </c>
      <c r="I597" s="479">
        <v>0</v>
      </c>
    </row>
    <row r="598" spans="1:9" ht="15.75" customHeight="1">
      <c r="A598" s="467"/>
      <c r="B598" s="467"/>
      <c r="C598" s="466"/>
      <c r="D598" s="497">
        <v>46087</v>
      </c>
      <c r="E598" s="466" t="s">
        <v>622</v>
      </c>
      <c r="F598" s="466">
        <v>27307698.789999999</v>
      </c>
      <c r="G598" s="478">
        <v>46205.919999998063</v>
      </c>
      <c r="H598" s="466">
        <v>0</v>
      </c>
      <c r="I598" s="479">
        <v>0</v>
      </c>
    </row>
    <row r="599" spans="1:9" ht="15.75" customHeight="1">
      <c r="A599" s="467"/>
      <c r="B599" s="467"/>
      <c r="C599" s="466"/>
      <c r="D599" s="497">
        <v>46088</v>
      </c>
      <c r="E599" s="466" t="s">
        <v>621</v>
      </c>
      <c r="F599" s="466">
        <v>27353904.710000001</v>
      </c>
      <c r="G599" s="478">
        <v>46205.920000001788</v>
      </c>
      <c r="H599" s="466">
        <v>0</v>
      </c>
      <c r="I599" s="479">
        <v>0</v>
      </c>
    </row>
    <row r="600" spans="1:9" ht="15.75" customHeight="1">
      <c r="A600" s="467"/>
      <c r="B600" s="467"/>
      <c r="C600" s="466"/>
      <c r="D600" s="497">
        <v>46089</v>
      </c>
      <c r="E600" s="466" t="s">
        <v>620</v>
      </c>
      <c r="F600" s="466">
        <v>27400110.629999999</v>
      </c>
      <c r="G600" s="478">
        <v>46205.919999998063</v>
      </c>
      <c r="H600" s="466">
        <v>0</v>
      </c>
      <c r="I600" s="479">
        <v>0</v>
      </c>
    </row>
    <row r="601" spans="1:9" ht="15.75" customHeight="1">
      <c r="A601" s="467"/>
      <c r="B601" s="467"/>
      <c r="C601" s="466"/>
      <c r="D601" s="497">
        <v>46090</v>
      </c>
      <c r="E601" s="466" t="s">
        <v>619</v>
      </c>
      <c r="F601" s="466">
        <v>27446316.550000001</v>
      </c>
      <c r="G601" s="478">
        <v>46205.920000001788</v>
      </c>
      <c r="H601" s="466">
        <v>0</v>
      </c>
      <c r="I601" s="479">
        <v>0</v>
      </c>
    </row>
    <row r="602" spans="1:9" ht="15.75" customHeight="1">
      <c r="A602" s="467"/>
      <c r="B602" s="467"/>
      <c r="C602" s="466"/>
      <c r="D602" s="497">
        <v>46091</v>
      </c>
      <c r="E602" s="466" t="s">
        <v>618</v>
      </c>
      <c r="F602" s="466">
        <v>27492522.469999999</v>
      </c>
      <c r="G602" s="478">
        <v>46205.919999998063</v>
      </c>
      <c r="H602" s="466">
        <v>0</v>
      </c>
      <c r="I602" s="479">
        <v>0</v>
      </c>
    </row>
    <row r="603" spans="1:9" ht="15.75" customHeight="1">
      <c r="A603" s="467"/>
      <c r="B603" s="467"/>
      <c r="C603" s="466"/>
      <c r="D603" s="497">
        <v>46092</v>
      </c>
      <c r="E603" s="466" t="s">
        <v>624</v>
      </c>
      <c r="F603" s="466">
        <v>27538728.390000001</v>
      </c>
      <c r="G603" s="478">
        <v>46205.920000001788</v>
      </c>
      <c r="H603" s="466">
        <v>323441.44000000134</v>
      </c>
      <c r="I603" s="479">
        <v>646882.87999999896</v>
      </c>
    </row>
    <row r="604" spans="1:9" ht="15.75" customHeight="1">
      <c r="A604" s="467"/>
      <c r="B604" s="467"/>
      <c r="C604" s="466"/>
      <c r="D604" s="497">
        <v>46093</v>
      </c>
      <c r="E604" s="466" t="s">
        <v>623</v>
      </c>
      <c r="F604" s="466">
        <v>27584934.309999999</v>
      </c>
      <c r="G604" s="478">
        <v>46205.919999998063</v>
      </c>
      <c r="H604" s="466">
        <v>0</v>
      </c>
      <c r="I604" s="479">
        <v>0</v>
      </c>
    </row>
    <row r="605" spans="1:9" ht="15.75" customHeight="1">
      <c r="A605" s="467"/>
      <c r="B605" s="467"/>
      <c r="C605" s="466"/>
      <c r="D605" s="497">
        <v>46094</v>
      </c>
      <c r="E605" s="466" t="s">
        <v>622</v>
      </c>
      <c r="F605" s="466">
        <v>27631140.23</v>
      </c>
      <c r="G605" s="478">
        <v>46205.920000001788</v>
      </c>
      <c r="H605" s="466">
        <v>0</v>
      </c>
      <c r="I605" s="479">
        <v>0</v>
      </c>
    </row>
    <row r="606" spans="1:9" ht="15.75" customHeight="1">
      <c r="A606" s="467"/>
      <c r="B606" s="467"/>
      <c r="C606" s="466"/>
      <c r="D606" s="497">
        <v>46095</v>
      </c>
      <c r="E606" s="466" t="s">
        <v>621</v>
      </c>
      <c r="F606" s="466">
        <v>27677346.149999999</v>
      </c>
      <c r="G606" s="478">
        <v>46205.919999998063</v>
      </c>
      <c r="H606" s="466">
        <v>0</v>
      </c>
      <c r="I606" s="479">
        <v>0</v>
      </c>
    </row>
    <row r="607" spans="1:9" ht="15.75" customHeight="1">
      <c r="A607" s="467"/>
      <c r="B607" s="467"/>
      <c r="C607" s="466"/>
      <c r="D607" s="497">
        <v>46096</v>
      </c>
      <c r="E607" s="466" t="s">
        <v>620</v>
      </c>
      <c r="F607" s="466">
        <v>27723552.079999998</v>
      </c>
      <c r="G607" s="478">
        <v>46205.929999999702</v>
      </c>
      <c r="H607" s="466">
        <v>0</v>
      </c>
      <c r="I607" s="479">
        <v>0</v>
      </c>
    </row>
    <row r="608" spans="1:9" ht="15.75" customHeight="1">
      <c r="A608" s="467"/>
      <c r="B608" s="467"/>
      <c r="C608" s="466"/>
      <c r="D608" s="497">
        <v>46097</v>
      </c>
      <c r="E608" s="466" t="s">
        <v>619</v>
      </c>
      <c r="F608" s="466">
        <v>27769758</v>
      </c>
      <c r="G608" s="478">
        <v>46205.920000001788</v>
      </c>
      <c r="H608" s="466">
        <v>0</v>
      </c>
      <c r="I608" s="479">
        <v>0</v>
      </c>
    </row>
    <row r="609" spans="1:9" ht="15.75" customHeight="1">
      <c r="A609" s="467"/>
      <c r="B609" s="467"/>
      <c r="C609" s="466"/>
      <c r="D609" s="497">
        <v>46098</v>
      </c>
      <c r="E609" s="466" t="s">
        <v>618</v>
      </c>
      <c r="F609" s="466">
        <v>27815963.920000002</v>
      </c>
      <c r="G609" s="478">
        <v>46205.920000001788</v>
      </c>
      <c r="H609" s="466">
        <v>0</v>
      </c>
      <c r="I609" s="479">
        <v>0</v>
      </c>
    </row>
    <row r="610" spans="1:9" ht="15.75" customHeight="1">
      <c r="A610" s="467"/>
      <c r="B610" s="467"/>
      <c r="C610" s="466"/>
      <c r="D610" s="497">
        <v>46099</v>
      </c>
      <c r="E610" s="466" t="s">
        <v>624</v>
      </c>
      <c r="F610" s="466">
        <v>27862169.84</v>
      </c>
      <c r="G610" s="478">
        <v>46205.919999998063</v>
      </c>
      <c r="H610" s="466">
        <v>323441.44999999925</v>
      </c>
      <c r="I610" s="479">
        <v>0</v>
      </c>
    </row>
    <row r="611" spans="1:9" ht="15.75" customHeight="1">
      <c r="A611" s="467"/>
      <c r="B611" s="467"/>
      <c r="C611" s="466"/>
      <c r="D611" s="497">
        <v>46100</v>
      </c>
      <c r="E611" s="466" t="s">
        <v>623</v>
      </c>
      <c r="F611" s="466">
        <v>27908375.760000002</v>
      </c>
      <c r="G611" s="478">
        <v>46205.920000001788</v>
      </c>
      <c r="H611" s="466">
        <v>0</v>
      </c>
      <c r="I611" s="479">
        <v>0</v>
      </c>
    </row>
    <row r="612" spans="1:9" ht="15.75" customHeight="1">
      <c r="A612" s="467"/>
      <c r="B612" s="467"/>
      <c r="C612" s="466"/>
      <c r="D612" s="497">
        <v>46101</v>
      </c>
      <c r="E612" s="466" t="s">
        <v>622</v>
      </c>
      <c r="F612" s="466">
        <v>27954581.68</v>
      </c>
      <c r="G612" s="478">
        <v>46205.919999998063</v>
      </c>
      <c r="H612" s="466">
        <v>0</v>
      </c>
      <c r="I612" s="479">
        <v>0</v>
      </c>
    </row>
    <row r="613" spans="1:9" ht="15.75" customHeight="1">
      <c r="A613" s="467"/>
      <c r="B613" s="467"/>
      <c r="C613" s="466"/>
      <c r="D613" s="497">
        <v>46102</v>
      </c>
      <c r="E613" s="466" t="s">
        <v>621</v>
      </c>
      <c r="F613" s="466">
        <v>28000787.600000001</v>
      </c>
      <c r="G613" s="478">
        <v>46205.920000001788</v>
      </c>
      <c r="H613" s="466">
        <v>0</v>
      </c>
      <c r="I613" s="479">
        <v>0</v>
      </c>
    </row>
    <row r="614" spans="1:9" ht="15.75" customHeight="1">
      <c r="A614" s="467"/>
      <c r="B614" s="467"/>
      <c r="C614" s="466"/>
      <c r="D614" s="497">
        <v>46103</v>
      </c>
      <c r="E614" s="466" t="s">
        <v>620</v>
      </c>
      <c r="F614" s="466">
        <v>28046993.52</v>
      </c>
      <c r="G614" s="478">
        <v>46205.919999998063</v>
      </c>
      <c r="H614" s="466">
        <v>0</v>
      </c>
      <c r="I614" s="479">
        <v>0</v>
      </c>
    </row>
    <row r="615" spans="1:9" ht="15.75" customHeight="1">
      <c r="A615" s="467"/>
      <c r="B615" s="467"/>
      <c r="C615" s="466"/>
      <c r="D615" s="497">
        <v>46104</v>
      </c>
      <c r="E615" s="466" t="s">
        <v>619</v>
      </c>
      <c r="F615" s="466">
        <v>28093199.440000001</v>
      </c>
      <c r="G615" s="478">
        <v>46205.920000001788</v>
      </c>
      <c r="H615" s="466">
        <v>0</v>
      </c>
      <c r="I615" s="479">
        <v>0</v>
      </c>
    </row>
    <row r="616" spans="1:9" ht="15.75" customHeight="1">
      <c r="A616" s="467"/>
      <c r="B616" s="467"/>
      <c r="C616" s="466"/>
      <c r="D616" s="497">
        <v>46105</v>
      </c>
      <c r="E616" s="466" t="s">
        <v>618</v>
      </c>
      <c r="F616" s="466">
        <v>28139405.359999999</v>
      </c>
      <c r="G616" s="478">
        <v>46205.919999998063</v>
      </c>
      <c r="H616" s="466">
        <v>0</v>
      </c>
      <c r="I616" s="479">
        <v>0</v>
      </c>
    </row>
    <row r="617" spans="1:9" ht="15.75" customHeight="1">
      <c r="A617" s="467"/>
      <c r="B617" s="467"/>
      <c r="C617" s="466"/>
      <c r="D617" s="497">
        <v>46106</v>
      </c>
      <c r="E617" s="466" t="s">
        <v>624</v>
      </c>
      <c r="F617" s="466">
        <v>28185611.280000001</v>
      </c>
      <c r="G617" s="478">
        <v>46205.920000001788</v>
      </c>
      <c r="H617" s="466">
        <v>323441.44000000134</v>
      </c>
      <c r="I617" s="479">
        <v>646882.8900000006</v>
      </c>
    </row>
    <row r="618" spans="1:9" ht="15.75" customHeight="1">
      <c r="A618" s="467"/>
      <c r="B618" s="467"/>
      <c r="C618" s="466"/>
      <c r="D618" s="497">
        <v>46107</v>
      </c>
      <c r="E618" s="466" t="s">
        <v>623</v>
      </c>
      <c r="F618" s="466">
        <v>28231817.199999999</v>
      </c>
      <c r="G618" s="478">
        <v>46205.919999998063</v>
      </c>
      <c r="H618" s="466">
        <v>0</v>
      </c>
      <c r="I618" s="479">
        <v>0</v>
      </c>
    </row>
    <row r="619" spans="1:9" ht="15.75" customHeight="1">
      <c r="A619" s="467"/>
      <c r="B619" s="467"/>
      <c r="C619" s="466"/>
      <c r="D619" s="497">
        <v>46108</v>
      </c>
      <c r="E619" s="466" t="s">
        <v>622</v>
      </c>
      <c r="F619" s="466">
        <v>28278023.120000001</v>
      </c>
      <c r="G619" s="478">
        <v>46205.920000001788</v>
      </c>
      <c r="H619" s="466">
        <v>0</v>
      </c>
      <c r="I619" s="479">
        <v>0</v>
      </c>
    </row>
    <row r="620" spans="1:9" ht="15.75" customHeight="1">
      <c r="A620" s="467"/>
      <c r="B620" s="467"/>
      <c r="C620" s="466"/>
      <c r="D620" s="497">
        <v>46109</v>
      </c>
      <c r="E620" s="466" t="s">
        <v>621</v>
      </c>
      <c r="F620" s="466">
        <v>28324229.039999999</v>
      </c>
      <c r="G620" s="478">
        <v>46205.919999998063</v>
      </c>
      <c r="H620" s="466">
        <v>0</v>
      </c>
      <c r="I620" s="479">
        <v>0</v>
      </c>
    </row>
    <row r="621" spans="1:9" ht="15.75" customHeight="1">
      <c r="A621" s="467"/>
      <c r="B621" s="467"/>
      <c r="C621" s="466"/>
      <c r="D621" s="497">
        <v>46110</v>
      </c>
      <c r="E621" s="466" t="s">
        <v>620</v>
      </c>
      <c r="F621" s="466">
        <v>28370434.960000001</v>
      </c>
      <c r="G621" s="478">
        <v>46205.920000001788</v>
      </c>
      <c r="H621" s="466">
        <v>0</v>
      </c>
      <c r="I621" s="479">
        <v>0</v>
      </c>
    </row>
    <row r="622" spans="1:9" ht="15.75" customHeight="1">
      <c r="A622" s="467"/>
      <c r="B622" s="467"/>
      <c r="C622" s="466"/>
      <c r="D622" s="497">
        <v>46111</v>
      </c>
      <c r="E622" s="466" t="s">
        <v>619</v>
      </c>
      <c r="F622" s="466">
        <v>28416640.879999999</v>
      </c>
      <c r="G622" s="478">
        <v>46205.919999998063</v>
      </c>
      <c r="H622" s="466">
        <v>0</v>
      </c>
      <c r="I622" s="479">
        <v>0</v>
      </c>
    </row>
    <row r="623" spans="1:9" ht="15.75" customHeight="1">
      <c r="A623" s="467"/>
      <c r="B623" s="467"/>
      <c r="C623" s="466"/>
      <c r="D623" s="497">
        <v>46112</v>
      </c>
      <c r="E623" s="466" t="s">
        <v>618</v>
      </c>
      <c r="F623" s="466">
        <v>28462846.800000001</v>
      </c>
      <c r="G623" s="478">
        <v>46205.920000001788</v>
      </c>
      <c r="H623" s="466">
        <v>0</v>
      </c>
      <c r="I623" s="479">
        <v>0</v>
      </c>
    </row>
    <row r="624" spans="1:9" ht="15.75" customHeight="1">
      <c r="A624" s="467"/>
      <c r="B624" s="467"/>
      <c r="C624" s="466"/>
      <c r="D624" s="497">
        <v>46113</v>
      </c>
      <c r="E624" s="466" t="s">
        <v>624</v>
      </c>
      <c r="F624" s="466">
        <v>28509052.719999999</v>
      </c>
      <c r="G624" s="478">
        <v>46205.919999998063</v>
      </c>
      <c r="H624" s="466">
        <v>323441.43999999762</v>
      </c>
      <c r="I624" s="479">
        <v>0</v>
      </c>
    </row>
    <row r="625" spans="1:9" ht="15.75" customHeight="1">
      <c r="A625" s="467"/>
      <c r="B625" s="467"/>
      <c r="C625" s="466"/>
      <c r="D625" s="497">
        <v>46114</v>
      </c>
      <c r="E625" s="466" t="s">
        <v>623</v>
      </c>
      <c r="F625" s="466">
        <v>28555258.640000001</v>
      </c>
      <c r="G625" s="478">
        <v>46205.920000001788</v>
      </c>
      <c r="H625" s="466">
        <v>0</v>
      </c>
      <c r="I625" s="479">
        <v>0</v>
      </c>
    </row>
    <row r="626" spans="1:9" ht="15.75" customHeight="1">
      <c r="A626" s="467"/>
      <c r="B626" s="467"/>
      <c r="C626" s="466"/>
      <c r="D626" s="497">
        <v>46115</v>
      </c>
      <c r="E626" s="466" t="s">
        <v>622</v>
      </c>
      <c r="F626" s="466">
        <v>28601464.559999999</v>
      </c>
      <c r="G626" s="478">
        <v>46205.919999998063</v>
      </c>
      <c r="H626" s="466">
        <v>0</v>
      </c>
      <c r="I626" s="479">
        <v>0</v>
      </c>
    </row>
    <row r="627" spans="1:9" ht="15.75" customHeight="1">
      <c r="A627" s="467"/>
      <c r="B627" s="467"/>
      <c r="C627" s="466"/>
      <c r="D627" s="497">
        <v>46116</v>
      </c>
      <c r="E627" s="466" t="s">
        <v>621</v>
      </c>
      <c r="F627" s="466">
        <v>28647670.48</v>
      </c>
      <c r="G627" s="478">
        <v>46205.920000001788</v>
      </c>
      <c r="H627" s="466">
        <v>0</v>
      </c>
      <c r="I627" s="479">
        <v>0</v>
      </c>
    </row>
    <row r="628" spans="1:9" ht="15.75" customHeight="1">
      <c r="A628" s="467"/>
      <c r="B628" s="467"/>
      <c r="C628" s="466"/>
      <c r="D628" s="497">
        <v>46117</v>
      </c>
      <c r="E628" s="466" t="s">
        <v>620</v>
      </c>
      <c r="F628" s="466">
        <v>28693876.399999999</v>
      </c>
      <c r="G628" s="478">
        <v>46205.919999998063</v>
      </c>
      <c r="H628" s="466">
        <v>0</v>
      </c>
      <c r="I628" s="479">
        <v>0</v>
      </c>
    </row>
    <row r="629" spans="1:9" ht="15.75" customHeight="1">
      <c r="A629" s="467"/>
      <c r="B629" s="467"/>
      <c r="C629" s="466"/>
      <c r="D629" s="497">
        <v>46118</v>
      </c>
      <c r="E629" s="466" t="s">
        <v>619</v>
      </c>
      <c r="F629" s="466">
        <v>28740082.32</v>
      </c>
      <c r="G629" s="478">
        <v>46205.920000001788</v>
      </c>
      <c r="H629" s="466">
        <v>0</v>
      </c>
      <c r="I629" s="479">
        <v>0</v>
      </c>
    </row>
    <row r="630" spans="1:9" ht="15.75" customHeight="1">
      <c r="A630" s="467"/>
      <c r="B630" s="467"/>
      <c r="C630" s="466"/>
      <c r="D630" s="497">
        <v>46119</v>
      </c>
      <c r="E630" s="466" t="s">
        <v>618</v>
      </c>
      <c r="F630" s="466">
        <v>28786288.239999998</v>
      </c>
      <c r="G630" s="478">
        <v>46205.919999998063</v>
      </c>
      <c r="H630" s="466">
        <v>0</v>
      </c>
      <c r="I630" s="479">
        <v>0</v>
      </c>
    </row>
    <row r="631" spans="1:9" ht="15.75" customHeight="1">
      <c r="A631" s="467"/>
      <c r="B631" s="467"/>
      <c r="C631" s="466"/>
      <c r="D631" s="497">
        <v>46120</v>
      </c>
      <c r="E631" s="466" t="s">
        <v>624</v>
      </c>
      <c r="F631" s="466">
        <v>28832494.16</v>
      </c>
      <c r="G631" s="478">
        <v>46205.920000001788</v>
      </c>
      <c r="H631" s="466">
        <v>323441.44000000134</v>
      </c>
      <c r="I631" s="479">
        <v>646882.87999999896</v>
      </c>
    </row>
    <row r="632" spans="1:9" ht="15.75" customHeight="1">
      <c r="A632" s="467"/>
      <c r="B632" s="467"/>
      <c r="C632" s="466"/>
      <c r="D632" s="497">
        <v>46121</v>
      </c>
      <c r="E632" s="466" t="s">
        <v>623</v>
      </c>
      <c r="F632" s="466">
        <v>28878700.079999998</v>
      </c>
      <c r="G632" s="478">
        <v>46205.919999998063</v>
      </c>
      <c r="H632" s="466">
        <v>0</v>
      </c>
      <c r="I632" s="479">
        <v>0</v>
      </c>
    </row>
    <row r="633" spans="1:9" ht="15.75" customHeight="1">
      <c r="A633" s="467"/>
      <c r="B633" s="467"/>
      <c r="C633" s="466"/>
      <c r="D633" s="497">
        <v>46122</v>
      </c>
      <c r="E633" s="466" t="s">
        <v>622</v>
      </c>
      <c r="F633" s="466">
        <v>28924906</v>
      </c>
      <c r="G633" s="478">
        <v>46205.920000001788</v>
      </c>
      <c r="H633" s="466">
        <v>0</v>
      </c>
      <c r="I633" s="479">
        <v>0</v>
      </c>
    </row>
    <row r="634" spans="1:9" ht="15.75" customHeight="1">
      <c r="A634" s="467"/>
      <c r="B634" s="467"/>
      <c r="C634" s="466"/>
      <c r="D634" s="497">
        <v>46123</v>
      </c>
      <c r="E634" s="466" t="s">
        <v>621</v>
      </c>
      <c r="F634" s="466">
        <v>28971111.920000002</v>
      </c>
      <c r="G634" s="478">
        <v>46205.920000001788</v>
      </c>
      <c r="H634" s="466">
        <v>0</v>
      </c>
      <c r="I634" s="479">
        <v>0</v>
      </c>
    </row>
    <row r="635" spans="1:9" ht="15.75" customHeight="1">
      <c r="A635" s="467"/>
      <c r="B635" s="467"/>
      <c r="C635" s="466"/>
      <c r="D635" s="497">
        <v>46124</v>
      </c>
      <c r="E635" s="466" t="s">
        <v>620</v>
      </c>
      <c r="F635" s="466">
        <v>29017317.84</v>
      </c>
      <c r="G635" s="478">
        <v>46205.919999998063</v>
      </c>
      <c r="H635" s="466">
        <v>0</v>
      </c>
      <c r="I635" s="479">
        <v>0</v>
      </c>
    </row>
    <row r="636" spans="1:9" ht="15.75" customHeight="1">
      <c r="A636" s="467"/>
      <c r="B636" s="467"/>
      <c r="C636" s="466"/>
      <c r="D636" s="497">
        <v>46125</v>
      </c>
      <c r="E636" s="466" t="s">
        <v>619</v>
      </c>
      <c r="F636" s="466">
        <v>29063523.760000002</v>
      </c>
      <c r="G636" s="478">
        <v>46205.920000001788</v>
      </c>
      <c r="H636" s="466">
        <v>0</v>
      </c>
      <c r="I636" s="479">
        <v>0</v>
      </c>
    </row>
    <row r="637" spans="1:9" ht="15.75" customHeight="1">
      <c r="A637" s="467"/>
      <c r="B637" s="467"/>
      <c r="C637" s="466"/>
      <c r="D637" s="497">
        <v>46126</v>
      </c>
      <c r="E637" s="466" t="s">
        <v>618</v>
      </c>
      <c r="F637" s="466">
        <v>29109729.68</v>
      </c>
      <c r="G637" s="478">
        <v>46205.919999998063</v>
      </c>
      <c r="H637" s="466">
        <v>0</v>
      </c>
      <c r="I637" s="479">
        <v>0</v>
      </c>
    </row>
    <row r="638" spans="1:9" ht="15.75" customHeight="1">
      <c r="A638" s="467"/>
      <c r="B638" s="467"/>
      <c r="C638" s="466"/>
      <c r="D638" s="497">
        <v>46127</v>
      </c>
      <c r="E638" s="466" t="s">
        <v>624</v>
      </c>
      <c r="F638" s="466">
        <v>29155935.600000001</v>
      </c>
      <c r="G638" s="478">
        <v>46205.920000001788</v>
      </c>
      <c r="H638" s="466">
        <v>323441.44000000134</v>
      </c>
      <c r="I638" s="479">
        <v>0</v>
      </c>
    </row>
    <row r="639" spans="1:9" ht="15.75" customHeight="1">
      <c r="A639" s="467"/>
      <c r="B639" s="467"/>
      <c r="C639" s="466"/>
      <c r="D639" s="497">
        <v>46128</v>
      </c>
      <c r="E639" s="466" t="s">
        <v>623</v>
      </c>
      <c r="F639" s="466">
        <v>29202141.52</v>
      </c>
      <c r="G639" s="478">
        <v>46205.919999998063</v>
      </c>
      <c r="H639" s="466">
        <v>0</v>
      </c>
      <c r="I639" s="479">
        <v>0</v>
      </c>
    </row>
    <row r="640" spans="1:9" ht="15.75" customHeight="1">
      <c r="A640" s="467"/>
      <c r="B640" s="467"/>
      <c r="C640" s="466"/>
      <c r="D640" s="497">
        <v>46129</v>
      </c>
      <c r="E640" s="466" t="s">
        <v>622</v>
      </c>
      <c r="F640" s="466">
        <v>29248347.440000001</v>
      </c>
      <c r="G640" s="478">
        <v>46205.920000001788</v>
      </c>
      <c r="H640" s="466">
        <v>0</v>
      </c>
      <c r="I640" s="479">
        <v>0</v>
      </c>
    </row>
    <row r="641" spans="1:9" ht="15.75" customHeight="1">
      <c r="A641" s="467"/>
      <c r="B641" s="467"/>
      <c r="C641" s="466"/>
      <c r="D641" s="497">
        <v>46130</v>
      </c>
      <c r="E641" s="466" t="s">
        <v>621</v>
      </c>
      <c r="F641" s="466">
        <v>29294553.359999999</v>
      </c>
      <c r="G641" s="478">
        <v>46205.919999998063</v>
      </c>
      <c r="H641" s="466">
        <v>0</v>
      </c>
      <c r="I641" s="479">
        <v>0</v>
      </c>
    </row>
    <row r="642" spans="1:9" ht="15.75" customHeight="1">
      <c r="A642" s="467"/>
      <c r="B642" s="467"/>
      <c r="C642" s="466"/>
      <c r="D642" s="497">
        <v>46131</v>
      </c>
      <c r="E642" s="466" t="s">
        <v>620</v>
      </c>
      <c r="F642" s="466">
        <v>29340759.280000001</v>
      </c>
      <c r="G642" s="478">
        <v>46205.920000001788</v>
      </c>
      <c r="H642" s="466">
        <v>0</v>
      </c>
      <c r="I642" s="479">
        <v>0</v>
      </c>
    </row>
    <row r="643" spans="1:9" ht="15.75" customHeight="1">
      <c r="A643" s="467"/>
      <c r="B643" s="467"/>
      <c r="C643" s="466"/>
      <c r="D643" s="497">
        <v>46132</v>
      </c>
      <c r="E643" s="466" t="s">
        <v>619</v>
      </c>
      <c r="F643" s="466">
        <v>29386965.199999999</v>
      </c>
      <c r="G643" s="478">
        <v>46205.919999998063</v>
      </c>
      <c r="H643" s="466">
        <v>0</v>
      </c>
      <c r="I643" s="479">
        <v>0</v>
      </c>
    </row>
    <row r="644" spans="1:9" ht="15.75" customHeight="1">
      <c r="A644" s="467"/>
      <c r="B644" s="467"/>
      <c r="C644" s="466"/>
      <c r="D644" s="497">
        <v>46133</v>
      </c>
      <c r="E644" s="466" t="s">
        <v>618</v>
      </c>
      <c r="F644" s="466">
        <v>29433171.120000001</v>
      </c>
      <c r="G644" s="478">
        <v>46205.920000001788</v>
      </c>
      <c r="H644" s="466">
        <v>0</v>
      </c>
      <c r="I644" s="479">
        <v>0</v>
      </c>
    </row>
    <row r="645" spans="1:9" ht="15.75" customHeight="1">
      <c r="A645" s="467"/>
      <c r="B645" s="467"/>
      <c r="C645" s="466"/>
      <c r="D645" s="497">
        <v>46134</v>
      </c>
      <c r="E645" s="466" t="s">
        <v>624</v>
      </c>
      <c r="F645" s="466">
        <v>29479377.039999999</v>
      </c>
      <c r="G645" s="478">
        <v>46205.919999998063</v>
      </c>
      <c r="H645" s="466">
        <v>323441.43999999762</v>
      </c>
      <c r="I645" s="479">
        <v>646882.87999999896</v>
      </c>
    </row>
    <row r="646" spans="1:9" ht="15.75" customHeight="1">
      <c r="A646" s="467"/>
      <c r="B646" s="467"/>
      <c r="C646" s="466"/>
      <c r="D646" s="497">
        <v>46135</v>
      </c>
      <c r="E646" s="466" t="s">
        <v>623</v>
      </c>
      <c r="F646" s="466">
        <v>29525582.960000001</v>
      </c>
      <c r="G646" s="478">
        <v>46205.920000001788</v>
      </c>
      <c r="H646" s="466">
        <v>0</v>
      </c>
      <c r="I646" s="479">
        <v>0</v>
      </c>
    </row>
    <row r="647" spans="1:9" ht="15.75" customHeight="1">
      <c r="A647" s="467"/>
      <c r="B647" s="467"/>
      <c r="C647" s="466"/>
      <c r="D647" s="497">
        <v>46136</v>
      </c>
      <c r="E647" s="466" t="s">
        <v>622</v>
      </c>
      <c r="F647" s="466">
        <v>29571788.879999999</v>
      </c>
      <c r="G647" s="478">
        <v>46205.919999998063</v>
      </c>
      <c r="H647" s="466">
        <v>0</v>
      </c>
      <c r="I647" s="479">
        <v>0</v>
      </c>
    </row>
    <row r="648" spans="1:9" ht="15.75" customHeight="1">
      <c r="A648" s="467"/>
      <c r="B648" s="467"/>
      <c r="C648" s="466"/>
      <c r="D648" s="497">
        <v>46137</v>
      </c>
      <c r="E648" s="466" t="s">
        <v>621</v>
      </c>
      <c r="F648" s="466">
        <v>29617994.800000001</v>
      </c>
      <c r="G648" s="478">
        <v>46205.920000001788</v>
      </c>
      <c r="H648" s="466">
        <v>0</v>
      </c>
      <c r="I648" s="479">
        <v>0</v>
      </c>
    </row>
    <row r="649" spans="1:9" ht="15.75" customHeight="1">
      <c r="A649" s="467"/>
      <c r="B649" s="467"/>
      <c r="C649" s="466"/>
      <c r="D649" s="497">
        <v>46138</v>
      </c>
      <c r="E649" s="466" t="s">
        <v>620</v>
      </c>
      <c r="F649" s="466">
        <v>29664200.719999999</v>
      </c>
      <c r="G649" s="478">
        <v>46205.919999998063</v>
      </c>
      <c r="H649" s="466">
        <v>0</v>
      </c>
      <c r="I649" s="479">
        <v>0</v>
      </c>
    </row>
    <row r="650" spans="1:9" ht="15.75" customHeight="1">
      <c r="A650" s="467"/>
      <c r="B650" s="467"/>
      <c r="C650" s="466"/>
      <c r="D650" s="497">
        <v>46139</v>
      </c>
      <c r="E650" s="466" t="s">
        <v>619</v>
      </c>
      <c r="F650" s="466">
        <v>29710406.640000001</v>
      </c>
      <c r="G650" s="478">
        <v>46205.920000001788</v>
      </c>
      <c r="H650" s="466">
        <v>0</v>
      </c>
      <c r="I650" s="479">
        <v>0</v>
      </c>
    </row>
    <row r="651" spans="1:9" ht="15.75" customHeight="1">
      <c r="A651" s="467"/>
      <c r="B651" s="467"/>
      <c r="C651" s="466"/>
      <c r="D651" s="497">
        <v>46140</v>
      </c>
      <c r="E651" s="466" t="s">
        <v>618</v>
      </c>
      <c r="F651" s="466">
        <v>29756612.559999999</v>
      </c>
      <c r="G651" s="478">
        <v>46205.919999998063</v>
      </c>
      <c r="H651" s="466">
        <v>0</v>
      </c>
      <c r="I651" s="479">
        <v>0</v>
      </c>
    </row>
    <row r="652" spans="1:9" ht="15.75" customHeight="1">
      <c r="A652" s="467"/>
      <c r="B652" s="467"/>
      <c r="C652" s="466"/>
      <c r="D652" s="497">
        <v>46141</v>
      </c>
      <c r="E652" s="466" t="s">
        <v>624</v>
      </c>
      <c r="F652" s="466">
        <v>29802818.48</v>
      </c>
      <c r="G652" s="478">
        <v>46205.920000001788</v>
      </c>
      <c r="H652" s="466">
        <v>323441.44000000134</v>
      </c>
      <c r="I652" s="479">
        <v>0</v>
      </c>
    </row>
    <row r="653" spans="1:9" ht="15.75" customHeight="1">
      <c r="A653" s="467"/>
      <c r="B653" s="467"/>
      <c r="C653" s="466"/>
      <c r="D653" s="497">
        <v>46142</v>
      </c>
      <c r="E653" s="466" t="s">
        <v>623</v>
      </c>
      <c r="F653" s="466">
        <v>29849024.399999999</v>
      </c>
      <c r="G653" s="478">
        <v>46205.919999998063</v>
      </c>
      <c r="H653" s="466">
        <v>0</v>
      </c>
      <c r="I653" s="479">
        <v>0</v>
      </c>
    </row>
    <row r="654" spans="1:9" ht="15.75" customHeight="1">
      <c r="A654" s="467"/>
      <c r="B654" s="467"/>
      <c r="C654" s="466"/>
      <c r="D654" s="497">
        <v>46143</v>
      </c>
      <c r="E654" s="466" t="s">
        <v>622</v>
      </c>
      <c r="F654" s="466">
        <v>29895230.32</v>
      </c>
      <c r="G654" s="478">
        <v>46205.920000001788</v>
      </c>
      <c r="H654" s="466">
        <v>0</v>
      </c>
      <c r="I654" s="479">
        <v>0</v>
      </c>
    </row>
    <row r="655" spans="1:9" ht="15.75" customHeight="1">
      <c r="A655" s="467"/>
      <c r="B655" s="467"/>
      <c r="C655" s="466"/>
      <c r="D655" s="497">
        <v>46144</v>
      </c>
      <c r="E655" s="466" t="s">
        <v>621</v>
      </c>
      <c r="F655" s="466">
        <v>29941436.239999998</v>
      </c>
      <c r="G655" s="478">
        <v>46205.919999998063</v>
      </c>
      <c r="H655" s="466">
        <v>0</v>
      </c>
      <c r="I655" s="479">
        <v>0</v>
      </c>
    </row>
    <row r="656" spans="1:9" ht="15.75" customHeight="1">
      <c r="A656" s="467"/>
      <c r="B656" s="467"/>
      <c r="C656" s="466"/>
      <c r="D656" s="497">
        <v>46145</v>
      </c>
      <c r="E656" s="466" t="s">
        <v>620</v>
      </c>
      <c r="F656" s="466">
        <v>29987642.16</v>
      </c>
      <c r="G656" s="478">
        <v>46205.920000001788</v>
      </c>
      <c r="H656" s="466">
        <v>0</v>
      </c>
      <c r="I656" s="479">
        <v>0</v>
      </c>
    </row>
    <row r="657" spans="1:9" ht="15.75" customHeight="1">
      <c r="A657" s="467"/>
      <c r="B657" s="467"/>
      <c r="C657" s="466"/>
      <c r="D657" s="497">
        <v>46146</v>
      </c>
      <c r="E657" s="466" t="s">
        <v>619</v>
      </c>
      <c r="F657" s="466">
        <v>30033848.079999998</v>
      </c>
      <c r="G657" s="478">
        <v>46205.919999998063</v>
      </c>
      <c r="H657" s="466">
        <v>0</v>
      </c>
      <c r="I657" s="479">
        <v>0</v>
      </c>
    </row>
    <row r="658" spans="1:9" ht="15.75" customHeight="1">
      <c r="A658" s="467"/>
      <c r="B658" s="467"/>
      <c r="C658" s="466"/>
      <c r="D658" s="497">
        <v>46147</v>
      </c>
      <c r="E658" s="466" t="s">
        <v>618</v>
      </c>
      <c r="F658" s="466">
        <v>30080054</v>
      </c>
      <c r="G658" s="478">
        <v>46205.920000001788</v>
      </c>
      <c r="H658" s="466">
        <v>0</v>
      </c>
      <c r="I658" s="479">
        <v>0</v>
      </c>
    </row>
    <row r="659" spans="1:9" ht="15.75" customHeight="1">
      <c r="A659" s="467"/>
      <c r="B659" s="467"/>
      <c r="C659" s="466"/>
      <c r="D659" s="497">
        <v>46148</v>
      </c>
      <c r="E659" s="466" t="s">
        <v>624</v>
      </c>
      <c r="F659" s="466">
        <v>30126259.920000002</v>
      </c>
      <c r="G659" s="478">
        <v>46205.920000001788</v>
      </c>
      <c r="H659" s="466">
        <v>323441.44000000134</v>
      </c>
      <c r="I659" s="479">
        <v>646882.88000000268</v>
      </c>
    </row>
    <row r="660" spans="1:9" ht="15.75" customHeight="1">
      <c r="A660" s="467"/>
      <c r="B660" s="467"/>
      <c r="C660" s="466"/>
      <c r="D660" s="497">
        <v>46149</v>
      </c>
      <c r="E660" s="466" t="s">
        <v>623</v>
      </c>
      <c r="F660" s="466">
        <v>30172465.84</v>
      </c>
      <c r="G660" s="478">
        <v>46205.919999998063</v>
      </c>
      <c r="H660" s="466">
        <v>0</v>
      </c>
      <c r="I660" s="479">
        <v>0</v>
      </c>
    </row>
    <row r="661" spans="1:9" ht="15.75" customHeight="1">
      <c r="A661" s="467"/>
      <c r="B661" s="467"/>
      <c r="C661" s="466"/>
      <c r="D661" s="497">
        <v>46150</v>
      </c>
      <c r="E661" s="466" t="s">
        <v>622</v>
      </c>
      <c r="F661" s="466">
        <v>30218671.760000002</v>
      </c>
      <c r="G661" s="478">
        <v>46205.920000001788</v>
      </c>
      <c r="H661" s="466">
        <v>0</v>
      </c>
      <c r="I661" s="479">
        <v>0</v>
      </c>
    </row>
    <row r="662" spans="1:9" ht="15.75" customHeight="1">
      <c r="A662" s="467"/>
      <c r="B662" s="467"/>
      <c r="C662" s="466"/>
      <c r="D662" s="497">
        <v>46151</v>
      </c>
      <c r="E662" s="466" t="s">
        <v>621</v>
      </c>
      <c r="F662" s="466">
        <v>30264877.68</v>
      </c>
      <c r="G662" s="478">
        <v>46205.919999998063</v>
      </c>
      <c r="H662" s="466">
        <v>0</v>
      </c>
      <c r="I662" s="479">
        <v>0</v>
      </c>
    </row>
    <row r="663" spans="1:9" ht="15.75" customHeight="1">
      <c r="A663" s="467"/>
      <c r="B663" s="467"/>
      <c r="C663" s="466"/>
      <c r="D663" s="497">
        <v>46152</v>
      </c>
      <c r="E663" s="466" t="s">
        <v>620</v>
      </c>
      <c r="F663" s="466">
        <v>30311083.600000001</v>
      </c>
      <c r="G663" s="478">
        <v>46205.920000001788</v>
      </c>
      <c r="H663" s="466">
        <v>0</v>
      </c>
      <c r="I663" s="479">
        <v>0</v>
      </c>
    </row>
    <row r="664" spans="1:9" ht="15.75" customHeight="1">
      <c r="A664" s="467"/>
      <c r="B664" s="467"/>
      <c r="C664" s="466"/>
      <c r="D664" s="497">
        <v>46153</v>
      </c>
      <c r="E664" s="466" t="s">
        <v>619</v>
      </c>
      <c r="F664" s="466">
        <v>30357289.52</v>
      </c>
      <c r="G664" s="478">
        <v>46205.919999998063</v>
      </c>
      <c r="H664" s="466">
        <v>0</v>
      </c>
      <c r="I664" s="479">
        <v>0</v>
      </c>
    </row>
    <row r="665" spans="1:9" ht="15.75" customHeight="1">
      <c r="A665" s="467"/>
      <c r="B665" s="467"/>
      <c r="C665" s="466"/>
      <c r="D665" s="497">
        <v>46154</v>
      </c>
      <c r="E665" s="466" t="s">
        <v>618</v>
      </c>
      <c r="F665" s="466">
        <v>30403495.440000001</v>
      </c>
      <c r="G665" s="478">
        <v>46205.920000001788</v>
      </c>
      <c r="H665" s="466">
        <v>0</v>
      </c>
      <c r="I665" s="479">
        <v>0</v>
      </c>
    </row>
    <row r="666" spans="1:9" ht="15.75" customHeight="1">
      <c r="A666" s="467"/>
      <c r="B666" s="467"/>
      <c r="C666" s="466"/>
      <c r="D666" s="497">
        <v>46155</v>
      </c>
      <c r="E666" s="466" t="s">
        <v>624</v>
      </c>
      <c r="F666" s="466">
        <v>30449701.359999999</v>
      </c>
      <c r="G666" s="478">
        <v>46205.919999998063</v>
      </c>
      <c r="H666" s="466">
        <v>323441.43999999762</v>
      </c>
      <c r="I666" s="479">
        <v>0</v>
      </c>
    </row>
    <row r="667" spans="1:9" ht="15.75" customHeight="1">
      <c r="A667" s="467"/>
      <c r="B667" s="467"/>
      <c r="C667" s="466"/>
      <c r="D667" s="497">
        <v>46156</v>
      </c>
      <c r="E667" s="466" t="s">
        <v>623</v>
      </c>
      <c r="F667" s="466">
        <v>30495907.280000001</v>
      </c>
      <c r="G667" s="478">
        <v>46205.920000001788</v>
      </c>
      <c r="H667" s="466">
        <v>0</v>
      </c>
      <c r="I667" s="479">
        <v>0</v>
      </c>
    </row>
    <row r="668" spans="1:9" ht="15.75" customHeight="1">
      <c r="A668" s="467"/>
      <c r="B668" s="467"/>
      <c r="C668" s="466"/>
      <c r="D668" s="497">
        <v>46157</v>
      </c>
      <c r="E668" s="466" t="s">
        <v>622</v>
      </c>
      <c r="F668" s="466">
        <v>30542113.199999999</v>
      </c>
      <c r="G668" s="478">
        <v>46205.919999998063</v>
      </c>
      <c r="H668" s="466">
        <v>0</v>
      </c>
      <c r="I668" s="479">
        <v>0</v>
      </c>
    </row>
    <row r="669" spans="1:9" ht="15.75" customHeight="1">
      <c r="A669" s="467"/>
      <c r="B669" s="467"/>
      <c r="C669" s="466"/>
      <c r="D669" s="497">
        <v>46158</v>
      </c>
      <c r="E669" s="466" t="s">
        <v>621</v>
      </c>
      <c r="F669" s="466">
        <v>30588319.120000001</v>
      </c>
      <c r="G669" s="478">
        <v>46205.920000001788</v>
      </c>
      <c r="H669" s="466">
        <v>0</v>
      </c>
      <c r="I669" s="479">
        <v>0</v>
      </c>
    </row>
    <row r="670" spans="1:9" ht="15.75" customHeight="1">
      <c r="A670" s="467"/>
      <c r="B670" s="467"/>
      <c r="C670" s="466"/>
      <c r="D670" s="497">
        <v>46159</v>
      </c>
      <c r="E670" s="466" t="s">
        <v>620</v>
      </c>
      <c r="F670" s="466">
        <v>30634525.039999999</v>
      </c>
      <c r="G670" s="478">
        <v>46205.919999998063</v>
      </c>
      <c r="H670" s="466">
        <v>0</v>
      </c>
      <c r="I670" s="479">
        <v>0</v>
      </c>
    </row>
    <row r="671" spans="1:9" ht="15.75" customHeight="1">
      <c r="A671" s="467"/>
      <c r="B671" s="467"/>
      <c r="C671" s="466"/>
      <c r="D671" s="497">
        <v>46160</v>
      </c>
      <c r="E671" s="466" t="s">
        <v>619</v>
      </c>
      <c r="F671" s="466">
        <v>30680730.960000001</v>
      </c>
      <c r="G671" s="478">
        <v>46205.920000001788</v>
      </c>
      <c r="H671" s="466">
        <v>0</v>
      </c>
      <c r="I671" s="479">
        <v>0</v>
      </c>
    </row>
    <row r="672" spans="1:9" ht="15.75" customHeight="1">
      <c r="A672" s="467"/>
      <c r="B672" s="467"/>
      <c r="C672" s="466"/>
      <c r="D672" s="497">
        <v>46161</v>
      </c>
      <c r="E672" s="466" t="s">
        <v>618</v>
      </c>
      <c r="F672" s="466">
        <v>30726936.879999999</v>
      </c>
      <c r="G672" s="478">
        <v>46205.919999998063</v>
      </c>
      <c r="H672" s="466">
        <v>0</v>
      </c>
      <c r="I672" s="479">
        <v>0</v>
      </c>
    </row>
    <row r="673" spans="1:9" ht="15.75" customHeight="1">
      <c r="A673" s="467"/>
      <c r="B673" s="467"/>
      <c r="C673" s="466"/>
      <c r="D673" s="497">
        <v>46162</v>
      </c>
      <c r="E673" s="466" t="s">
        <v>624</v>
      </c>
      <c r="F673" s="466">
        <v>30773142.800000001</v>
      </c>
      <c r="G673" s="478">
        <v>46205.920000001788</v>
      </c>
      <c r="H673" s="466">
        <v>323441.44000000134</v>
      </c>
      <c r="I673" s="479">
        <v>646882.87999999896</v>
      </c>
    </row>
    <row r="674" spans="1:9" ht="15.75" customHeight="1">
      <c r="A674" s="467"/>
      <c r="B674" s="467"/>
      <c r="C674" s="466"/>
      <c r="D674" s="497">
        <v>46163</v>
      </c>
      <c r="E674" s="466" t="s">
        <v>623</v>
      </c>
      <c r="F674" s="466">
        <v>30819348.719999999</v>
      </c>
      <c r="G674" s="478">
        <v>46205.919999998063</v>
      </c>
      <c r="H674" s="466">
        <v>0</v>
      </c>
      <c r="I674" s="479">
        <v>0</v>
      </c>
    </row>
    <row r="675" spans="1:9" ht="15.75" customHeight="1">
      <c r="A675" s="467"/>
      <c r="B675" s="467"/>
      <c r="C675" s="466"/>
      <c r="D675" s="497">
        <v>46164</v>
      </c>
      <c r="E675" s="466" t="s">
        <v>622</v>
      </c>
      <c r="F675" s="466">
        <v>30865554.640000001</v>
      </c>
      <c r="G675" s="478">
        <v>46205.920000001788</v>
      </c>
      <c r="H675" s="466">
        <v>0</v>
      </c>
      <c r="I675" s="479">
        <v>0</v>
      </c>
    </row>
    <row r="676" spans="1:9" ht="15.75" customHeight="1">
      <c r="A676" s="467"/>
      <c r="B676" s="467"/>
      <c r="C676" s="466"/>
      <c r="D676" s="497">
        <v>46165</v>
      </c>
      <c r="E676" s="466" t="s">
        <v>621</v>
      </c>
      <c r="F676" s="466">
        <v>30911760.559999999</v>
      </c>
      <c r="G676" s="478">
        <v>46205.919999998063</v>
      </c>
      <c r="H676" s="466">
        <v>0</v>
      </c>
      <c r="I676" s="479">
        <v>0</v>
      </c>
    </row>
    <row r="677" spans="1:9" ht="15.75" customHeight="1">
      <c r="A677" s="467"/>
      <c r="B677" s="467"/>
      <c r="C677" s="466"/>
      <c r="D677" s="497">
        <v>46166</v>
      </c>
      <c r="E677" s="466" t="s">
        <v>620</v>
      </c>
      <c r="F677" s="466">
        <v>30957966.48</v>
      </c>
      <c r="G677" s="478">
        <v>46205.920000001788</v>
      </c>
      <c r="H677" s="466">
        <v>0</v>
      </c>
      <c r="I677" s="479">
        <v>0</v>
      </c>
    </row>
    <row r="678" spans="1:9" ht="15.75" customHeight="1">
      <c r="A678" s="467"/>
      <c r="B678" s="467"/>
      <c r="C678" s="466"/>
      <c r="D678" s="497">
        <v>46167</v>
      </c>
      <c r="E678" s="466" t="s">
        <v>619</v>
      </c>
      <c r="F678" s="466">
        <v>31004172.399999999</v>
      </c>
      <c r="G678" s="478">
        <v>46205.919999998063</v>
      </c>
      <c r="H678" s="466">
        <v>0</v>
      </c>
      <c r="I678" s="479">
        <v>0</v>
      </c>
    </row>
    <row r="679" spans="1:9" ht="15.75" customHeight="1">
      <c r="A679" s="467"/>
      <c r="B679" s="467"/>
      <c r="C679" s="466"/>
      <c r="D679" s="497">
        <v>46168</v>
      </c>
      <c r="E679" s="466" t="s">
        <v>618</v>
      </c>
      <c r="F679" s="466">
        <v>31050378.32</v>
      </c>
      <c r="G679" s="478">
        <v>46205.920000001788</v>
      </c>
      <c r="H679" s="466">
        <v>0</v>
      </c>
      <c r="I679" s="479">
        <v>0</v>
      </c>
    </row>
    <row r="680" spans="1:9" ht="15.75" customHeight="1">
      <c r="A680" s="467"/>
      <c r="B680" s="467"/>
      <c r="C680" s="466"/>
      <c r="D680" s="497">
        <v>46169</v>
      </c>
      <c r="E680" s="466" t="s">
        <v>624</v>
      </c>
      <c r="F680" s="466">
        <v>31096584.239999998</v>
      </c>
      <c r="G680" s="478">
        <v>46205.919999998063</v>
      </c>
      <c r="H680" s="466">
        <v>323441.43999999762</v>
      </c>
      <c r="I680" s="479">
        <v>0</v>
      </c>
    </row>
    <row r="681" spans="1:9" ht="15.75" customHeight="1">
      <c r="A681" s="467"/>
      <c r="B681" s="467"/>
      <c r="C681" s="466"/>
      <c r="D681" s="497">
        <v>46170</v>
      </c>
      <c r="E681" s="466" t="s">
        <v>623</v>
      </c>
      <c r="F681" s="466">
        <v>31142790.16</v>
      </c>
      <c r="G681" s="478">
        <v>46205.920000001788</v>
      </c>
      <c r="H681" s="466">
        <v>0</v>
      </c>
      <c r="I681" s="479">
        <v>0</v>
      </c>
    </row>
    <row r="682" spans="1:9" ht="15.75" customHeight="1">
      <c r="A682" s="467"/>
      <c r="B682" s="467"/>
      <c r="C682" s="466"/>
      <c r="D682" s="497">
        <v>46171</v>
      </c>
      <c r="E682" s="466" t="s">
        <v>622</v>
      </c>
      <c r="F682" s="466">
        <v>31188996.09</v>
      </c>
      <c r="G682" s="478">
        <v>46205.929999999702</v>
      </c>
      <c r="H682" s="466">
        <v>0</v>
      </c>
      <c r="I682" s="479">
        <v>0</v>
      </c>
    </row>
    <row r="683" spans="1:9" ht="15.75" customHeight="1">
      <c r="A683" s="467"/>
      <c r="B683" s="467"/>
      <c r="C683" s="466"/>
      <c r="D683" s="497">
        <v>46172</v>
      </c>
      <c r="E683" s="466" t="s">
        <v>621</v>
      </c>
      <c r="F683" s="466">
        <v>31235202.010000002</v>
      </c>
      <c r="G683" s="478">
        <v>46205.920000001788</v>
      </c>
      <c r="H683" s="466">
        <v>0</v>
      </c>
      <c r="I683" s="479">
        <v>0</v>
      </c>
    </row>
    <row r="684" spans="1:9" ht="15.75" customHeight="1">
      <c r="A684" s="467"/>
      <c r="B684" s="467"/>
      <c r="C684" s="466"/>
      <c r="D684" s="497">
        <v>46173</v>
      </c>
      <c r="E684" s="466" t="s">
        <v>620</v>
      </c>
      <c r="F684" s="466">
        <v>31281407.93</v>
      </c>
      <c r="G684" s="478">
        <v>46205.919999998063</v>
      </c>
      <c r="H684" s="466">
        <v>0</v>
      </c>
      <c r="I684" s="479">
        <v>0</v>
      </c>
    </row>
    <row r="685" spans="1:9" ht="15.75" customHeight="1">
      <c r="A685" s="467"/>
      <c r="B685" s="467"/>
      <c r="C685" s="466"/>
      <c r="D685" s="497">
        <v>46174</v>
      </c>
      <c r="E685" s="466" t="s">
        <v>619</v>
      </c>
      <c r="F685" s="466">
        <v>31327613.850000001</v>
      </c>
      <c r="G685" s="478">
        <v>46205.920000001788</v>
      </c>
      <c r="H685" s="466">
        <v>0</v>
      </c>
      <c r="I685" s="479">
        <v>0</v>
      </c>
    </row>
    <row r="686" spans="1:9" ht="15.75" customHeight="1">
      <c r="A686" s="467"/>
      <c r="B686" s="467"/>
      <c r="C686" s="466"/>
      <c r="D686" s="497">
        <v>46175</v>
      </c>
      <c r="E686" s="466" t="s">
        <v>618</v>
      </c>
      <c r="F686" s="466">
        <v>31373819.77</v>
      </c>
      <c r="G686" s="478">
        <v>46205.919999998063</v>
      </c>
      <c r="H686" s="466">
        <v>0</v>
      </c>
      <c r="I686" s="479">
        <v>0</v>
      </c>
    </row>
    <row r="687" spans="1:9" ht="15.75" customHeight="1">
      <c r="A687" s="467"/>
      <c r="B687" s="467"/>
      <c r="C687" s="466"/>
      <c r="D687" s="497">
        <v>46176</v>
      </c>
      <c r="E687" s="466" t="s">
        <v>624</v>
      </c>
      <c r="F687" s="466">
        <v>31420025.690000001</v>
      </c>
      <c r="G687" s="478">
        <v>46205.920000001788</v>
      </c>
      <c r="H687" s="466">
        <v>323441.45000000298</v>
      </c>
      <c r="I687" s="479">
        <v>646882.8900000006</v>
      </c>
    </row>
    <row r="688" spans="1:9" ht="15.75" customHeight="1">
      <c r="A688" s="467"/>
      <c r="B688" s="467"/>
      <c r="C688" s="466"/>
      <c r="D688" s="497">
        <v>46177</v>
      </c>
      <c r="E688" s="466" t="s">
        <v>623</v>
      </c>
      <c r="F688" s="466">
        <v>31466231.609999999</v>
      </c>
      <c r="G688" s="478">
        <v>46205.919999998063</v>
      </c>
      <c r="H688" s="466">
        <v>0</v>
      </c>
      <c r="I688" s="479">
        <v>0</v>
      </c>
    </row>
    <row r="689" spans="1:9" ht="15.75" customHeight="1">
      <c r="A689" s="467"/>
      <c r="B689" s="467"/>
      <c r="C689" s="466"/>
      <c r="D689" s="497">
        <v>46178</v>
      </c>
      <c r="E689" s="466" t="s">
        <v>622</v>
      </c>
      <c r="F689" s="466">
        <v>31512437.530000001</v>
      </c>
      <c r="G689" s="478">
        <v>46205.920000001788</v>
      </c>
      <c r="H689" s="466">
        <v>0</v>
      </c>
      <c r="I689" s="479">
        <v>0</v>
      </c>
    </row>
    <row r="690" spans="1:9" ht="15.75" customHeight="1">
      <c r="A690" s="467"/>
      <c r="B690" s="467"/>
      <c r="C690" s="466"/>
      <c r="D690" s="497">
        <v>46179</v>
      </c>
      <c r="E690" s="466" t="s">
        <v>621</v>
      </c>
      <c r="F690" s="466">
        <v>31558643.449999999</v>
      </c>
      <c r="G690" s="478">
        <v>46205.919999998063</v>
      </c>
      <c r="H690" s="466">
        <v>0</v>
      </c>
      <c r="I690" s="479">
        <v>0</v>
      </c>
    </row>
    <row r="691" spans="1:9" ht="15.75" customHeight="1">
      <c r="A691" s="467"/>
      <c r="B691" s="467"/>
      <c r="C691" s="466"/>
      <c r="D691" s="497">
        <v>46180</v>
      </c>
      <c r="E691" s="466" t="s">
        <v>620</v>
      </c>
      <c r="F691" s="466">
        <v>31604849.370000001</v>
      </c>
      <c r="G691" s="478">
        <v>46205.920000001788</v>
      </c>
      <c r="H691" s="466">
        <v>0</v>
      </c>
      <c r="I691" s="479">
        <v>0</v>
      </c>
    </row>
    <row r="692" spans="1:9" ht="15.75" customHeight="1">
      <c r="A692" s="467"/>
      <c r="B692" s="467"/>
      <c r="C692" s="466"/>
      <c r="D692" s="497">
        <v>46181</v>
      </c>
      <c r="E692" s="466" t="s">
        <v>619</v>
      </c>
      <c r="F692" s="466">
        <v>31651055.289999999</v>
      </c>
      <c r="G692" s="478">
        <v>46205.919999998063</v>
      </c>
      <c r="H692" s="466">
        <v>0</v>
      </c>
      <c r="I692" s="479">
        <v>0</v>
      </c>
    </row>
    <row r="693" spans="1:9" ht="15.75" customHeight="1">
      <c r="A693" s="467"/>
      <c r="B693" s="467"/>
      <c r="C693" s="466"/>
      <c r="D693" s="497">
        <v>46182</v>
      </c>
      <c r="E693" s="466" t="s">
        <v>618</v>
      </c>
      <c r="F693" s="466">
        <v>31697261.210000001</v>
      </c>
      <c r="G693" s="478">
        <v>46205.920000001788</v>
      </c>
      <c r="H693" s="466">
        <v>0</v>
      </c>
      <c r="I693" s="479">
        <v>0</v>
      </c>
    </row>
    <row r="694" spans="1:9" ht="15.75" customHeight="1">
      <c r="A694" s="467"/>
      <c r="B694" s="467"/>
      <c r="C694" s="466"/>
      <c r="D694" s="497">
        <v>46183</v>
      </c>
      <c r="E694" s="466" t="s">
        <v>624</v>
      </c>
      <c r="F694" s="466">
        <v>31743467.129999999</v>
      </c>
      <c r="G694" s="478">
        <v>46205.919999998063</v>
      </c>
      <c r="H694" s="466">
        <v>323441.43999999762</v>
      </c>
      <c r="I694" s="479">
        <v>0</v>
      </c>
    </row>
    <row r="695" spans="1:9" ht="15.75" customHeight="1">
      <c r="A695" s="467"/>
      <c r="B695" s="467"/>
      <c r="C695" s="466"/>
      <c r="D695" s="497">
        <v>46184</v>
      </c>
      <c r="E695" s="466" t="s">
        <v>623</v>
      </c>
      <c r="F695" s="466">
        <v>31789673.050000001</v>
      </c>
      <c r="G695" s="478">
        <v>46205.920000001788</v>
      </c>
      <c r="H695" s="466">
        <v>0</v>
      </c>
      <c r="I695" s="479">
        <v>0</v>
      </c>
    </row>
    <row r="696" spans="1:9" ht="15.75" customHeight="1">
      <c r="A696" s="467"/>
      <c r="B696" s="467"/>
      <c r="C696" s="466"/>
      <c r="D696" s="497">
        <v>46185</v>
      </c>
      <c r="E696" s="466" t="s">
        <v>622</v>
      </c>
      <c r="F696" s="466">
        <v>31835878.969999999</v>
      </c>
      <c r="G696" s="478">
        <v>46205.919999998063</v>
      </c>
      <c r="H696" s="466">
        <v>0</v>
      </c>
      <c r="I696" s="479">
        <v>0</v>
      </c>
    </row>
    <row r="697" spans="1:9" ht="15.75" customHeight="1">
      <c r="A697" s="467"/>
      <c r="B697" s="467"/>
      <c r="C697" s="466"/>
      <c r="D697" s="497">
        <v>46186</v>
      </c>
      <c r="E697" s="466" t="s">
        <v>621</v>
      </c>
      <c r="F697" s="466">
        <v>31882084.890000001</v>
      </c>
      <c r="G697" s="478">
        <v>46205.920000001788</v>
      </c>
      <c r="H697" s="466">
        <v>0</v>
      </c>
      <c r="I697" s="479">
        <v>0</v>
      </c>
    </row>
    <row r="698" spans="1:9" ht="15.75" customHeight="1">
      <c r="A698" s="467"/>
      <c r="B698" s="467"/>
      <c r="C698" s="466"/>
      <c r="D698" s="497">
        <v>46187</v>
      </c>
      <c r="E698" s="466" t="s">
        <v>620</v>
      </c>
      <c r="F698" s="466">
        <v>31928290.809999999</v>
      </c>
      <c r="G698" s="478">
        <v>46205.919999998063</v>
      </c>
      <c r="H698" s="466">
        <v>0</v>
      </c>
      <c r="I698" s="479">
        <v>0</v>
      </c>
    </row>
    <row r="699" spans="1:9" ht="15.75" customHeight="1">
      <c r="A699" s="467"/>
      <c r="B699" s="467"/>
      <c r="C699" s="466"/>
      <c r="D699" s="497">
        <v>46188</v>
      </c>
      <c r="E699" s="466" t="s">
        <v>619</v>
      </c>
      <c r="F699" s="466">
        <v>31974496.73</v>
      </c>
      <c r="G699" s="478">
        <v>46205.920000001788</v>
      </c>
      <c r="H699" s="466">
        <v>0</v>
      </c>
      <c r="I699" s="479">
        <v>0</v>
      </c>
    </row>
    <row r="700" spans="1:9" ht="15.75" customHeight="1">
      <c r="A700" s="467"/>
      <c r="B700" s="467"/>
      <c r="C700" s="466"/>
      <c r="D700" s="497">
        <v>46189</v>
      </c>
      <c r="E700" s="466" t="s">
        <v>618</v>
      </c>
      <c r="F700" s="466">
        <v>32020702.649999999</v>
      </c>
      <c r="G700" s="478">
        <v>46205.919999998063</v>
      </c>
      <c r="H700" s="466">
        <v>0</v>
      </c>
      <c r="I700" s="479">
        <v>0</v>
      </c>
    </row>
    <row r="701" spans="1:9" ht="15.75" customHeight="1">
      <c r="A701" s="467"/>
      <c r="B701" s="467"/>
      <c r="C701" s="466"/>
      <c r="D701" s="497">
        <v>46190</v>
      </c>
      <c r="E701" s="466" t="s">
        <v>624</v>
      </c>
      <c r="F701" s="466">
        <v>32066908.57</v>
      </c>
      <c r="G701" s="478">
        <v>46205.920000001788</v>
      </c>
      <c r="H701" s="466">
        <v>323441.44000000134</v>
      </c>
      <c r="I701" s="479">
        <v>646882.87999999896</v>
      </c>
    </row>
    <row r="702" spans="1:9" ht="15.75" customHeight="1">
      <c r="A702" s="467"/>
      <c r="B702" s="467"/>
      <c r="C702" s="466"/>
      <c r="D702" s="497">
        <v>46191</v>
      </c>
      <c r="E702" s="466" t="s">
        <v>623</v>
      </c>
      <c r="F702" s="466">
        <v>32113114.489999998</v>
      </c>
      <c r="G702" s="478">
        <v>46205.919999998063</v>
      </c>
      <c r="H702" s="466">
        <v>0</v>
      </c>
      <c r="I702" s="479">
        <v>0</v>
      </c>
    </row>
    <row r="703" spans="1:9" ht="15.75" customHeight="1">
      <c r="A703" s="467"/>
      <c r="B703" s="467"/>
      <c r="C703" s="466"/>
      <c r="D703" s="497">
        <v>46192</v>
      </c>
      <c r="E703" s="466" t="s">
        <v>622</v>
      </c>
      <c r="F703" s="466">
        <v>32159320.41</v>
      </c>
      <c r="G703" s="478">
        <v>46205.920000001788</v>
      </c>
      <c r="H703" s="466">
        <v>0</v>
      </c>
      <c r="I703" s="479">
        <v>0</v>
      </c>
    </row>
    <row r="704" spans="1:9" ht="15.75" customHeight="1">
      <c r="A704" s="467"/>
      <c r="B704" s="467"/>
      <c r="C704" s="466"/>
      <c r="D704" s="497">
        <v>46193</v>
      </c>
      <c r="E704" s="466" t="s">
        <v>621</v>
      </c>
      <c r="F704" s="466">
        <v>32205526.329999998</v>
      </c>
      <c r="G704" s="478">
        <v>46205.919999998063</v>
      </c>
      <c r="H704" s="466">
        <v>0</v>
      </c>
      <c r="I704" s="479">
        <v>0</v>
      </c>
    </row>
    <row r="705" spans="1:9" ht="15.75" customHeight="1">
      <c r="A705" s="467"/>
      <c r="B705" s="467"/>
      <c r="C705" s="466"/>
      <c r="D705" s="497">
        <v>46194</v>
      </c>
      <c r="E705" s="466" t="s">
        <v>620</v>
      </c>
      <c r="F705" s="466">
        <v>32251732.25</v>
      </c>
      <c r="G705" s="478">
        <v>46205.920000001788</v>
      </c>
      <c r="H705" s="466">
        <v>0</v>
      </c>
      <c r="I705" s="479">
        <v>0</v>
      </c>
    </row>
    <row r="706" spans="1:9" ht="15.75" customHeight="1">
      <c r="A706" s="467"/>
      <c r="B706" s="467"/>
      <c r="C706" s="466"/>
      <c r="D706" s="497">
        <v>46195</v>
      </c>
      <c r="E706" s="466" t="s">
        <v>619</v>
      </c>
      <c r="F706" s="466">
        <v>32297938.170000002</v>
      </c>
      <c r="G706" s="478">
        <v>46205.920000001788</v>
      </c>
      <c r="H706" s="466">
        <v>0</v>
      </c>
      <c r="I706" s="479">
        <v>0</v>
      </c>
    </row>
    <row r="707" spans="1:9" ht="15.75" customHeight="1">
      <c r="A707" s="467"/>
      <c r="B707" s="467"/>
      <c r="C707" s="466"/>
      <c r="D707" s="497">
        <v>46196</v>
      </c>
      <c r="E707" s="466" t="s">
        <v>618</v>
      </c>
      <c r="F707" s="466">
        <v>32344144.09</v>
      </c>
      <c r="G707" s="478">
        <v>46205.919999998063</v>
      </c>
      <c r="H707" s="466">
        <v>0</v>
      </c>
      <c r="I707" s="479">
        <v>0</v>
      </c>
    </row>
    <row r="708" spans="1:9" ht="15.75" customHeight="1">
      <c r="A708" s="467"/>
      <c r="B708" s="467"/>
      <c r="C708" s="466"/>
      <c r="D708" s="497">
        <v>46197</v>
      </c>
      <c r="E708" s="466" t="s">
        <v>624</v>
      </c>
      <c r="F708" s="466">
        <v>32390350.010000002</v>
      </c>
      <c r="G708" s="478">
        <v>46205.920000001788</v>
      </c>
      <c r="H708" s="466">
        <v>323441.44000000134</v>
      </c>
      <c r="I708" s="479">
        <v>0</v>
      </c>
    </row>
    <row r="709" spans="1:9" ht="15.75" customHeight="1">
      <c r="A709" s="467"/>
      <c r="B709" s="467"/>
      <c r="C709" s="466"/>
      <c r="D709" s="497">
        <v>46198</v>
      </c>
      <c r="E709" s="466" t="s">
        <v>623</v>
      </c>
      <c r="F709" s="466">
        <v>32436555.93</v>
      </c>
      <c r="G709" s="478">
        <v>46205.919999998063</v>
      </c>
      <c r="H709" s="466">
        <v>0</v>
      </c>
      <c r="I709" s="479">
        <v>0</v>
      </c>
    </row>
    <row r="710" spans="1:9" ht="15.75" customHeight="1">
      <c r="A710" s="467"/>
      <c r="B710" s="467"/>
      <c r="C710" s="466"/>
      <c r="D710" s="497">
        <v>46199</v>
      </c>
      <c r="E710" s="466" t="s">
        <v>622</v>
      </c>
      <c r="F710" s="466">
        <v>32482761.850000001</v>
      </c>
      <c r="G710" s="478">
        <v>46205.920000001788</v>
      </c>
      <c r="H710" s="466">
        <v>0</v>
      </c>
      <c r="I710" s="479">
        <v>0</v>
      </c>
    </row>
    <row r="711" spans="1:9" ht="15.75" customHeight="1">
      <c r="A711" s="467"/>
      <c r="B711" s="467"/>
      <c r="C711" s="466"/>
      <c r="D711" s="497">
        <v>46200</v>
      </c>
      <c r="E711" s="466" t="s">
        <v>621</v>
      </c>
      <c r="F711" s="466">
        <v>32528967.77</v>
      </c>
      <c r="G711" s="478">
        <v>46205.919999998063</v>
      </c>
      <c r="H711" s="466">
        <v>0</v>
      </c>
      <c r="I711" s="479">
        <v>0</v>
      </c>
    </row>
    <row r="712" spans="1:9" ht="15.75" customHeight="1">
      <c r="A712" s="467"/>
      <c r="B712" s="467"/>
      <c r="C712" s="466"/>
      <c r="D712" s="497">
        <v>46201</v>
      </c>
      <c r="E712" s="466" t="s">
        <v>620</v>
      </c>
      <c r="F712" s="466">
        <v>32575173.690000001</v>
      </c>
      <c r="G712" s="478">
        <v>46205.920000001788</v>
      </c>
      <c r="H712" s="466">
        <v>0</v>
      </c>
      <c r="I712" s="479">
        <v>0</v>
      </c>
    </row>
    <row r="713" spans="1:9" ht="15.75" customHeight="1">
      <c r="A713" s="467"/>
      <c r="B713" s="467"/>
      <c r="C713" s="466"/>
      <c r="D713" s="497">
        <v>46202</v>
      </c>
      <c r="E713" s="466" t="s">
        <v>619</v>
      </c>
      <c r="F713" s="466">
        <v>32621379.609999999</v>
      </c>
      <c r="G713" s="478">
        <v>46205.919999998063</v>
      </c>
      <c r="H713" s="466">
        <v>0</v>
      </c>
      <c r="I713" s="479">
        <v>0</v>
      </c>
    </row>
    <row r="714" spans="1:9" ht="15.75" customHeight="1">
      <c r="A714" s="467"/>
      <c r="B714" s="467"/>
      <c r="C714" s="466"/>
      <c r="D714" s="497">
        <v>46203</v>
      </c>
      <c r="E714" s="466" t="s">
        <v>618</v>
      </c>
      <c r="F714" s="466">
        <v>32667585.530000001</v>
      </c>
      <c r="G714" s="478">
        <v>46205.920000001788</v>
      </c>
      <c r="H714" s="466">
        <v>0</v>
      </c>
      <c r="I714" s="479">
        <v>0</v>
      </c>
    </row>
    <row r="715" spans="1:9" ht="15.75" customHeight="1">
      <c r="A715" s="467"/>
      <c r="B715" s="467"/>
      <c r="C715" s="466"/>
      <c r="D715" s="497">
        <v>46204</v>
      </c>
      <c r="E715" s="466" t="s">
        <v>624</v>
      </c>
      <c r="F715" s="466">
        <v>32713791.449999999</v>
      </c>
      <c r="G715" s="478">
        <v>46205.919999998063</v>
      </c>
      <c r="H715" s="466">
        <v>323441.43999999762</v>
      </c>
      <c r="I715" s="479">
        <v>646882.87999999896</v>
      </c>
    </row>
    <row r="716" spans="1:9" ht="15.75" customHeight="1">
      <c r="A716" s="467"/>
      <c r="B716" s="467"/>
      <c r="C716" s="466"/>
      <c r="D716" s="497">
        <v>46205</v>
      </c>
      <c r="E716" s="466" t="s">
        <v>623</v>
      </c>
      <c r="F716" s="466">
        <v>32759997.370000001</v>
      </c>
      <c r="G716" s="478">
        <v>46205.920000001788</v>
      </c>
      <c r="H716" s="466">
        <v>0</v>
      </c>
      <c r="I716" s="479">
        <v>0</v>
      </c>
    </row>
    <row r="717" spans="1:9" ht="15.75" customHeight="1">
      <c r="A717" s="467"/>
      <c r="B717" s="467"/>
      <c r="C717" s="466"/>
      <c r="D717" s="497">
        <v>46206</v>
      </c>
      <c r="E717" s="466" t="s">
        <v>622</v>
      </c>
      <c r="F717" s="466">
        <v>32806203.289999999</v>
      </c>
      <c r="G717" s="478">
        <v>46205.919999998063</v>
      </c>
      <c r="H717" s="466">
        <v>0</v>
      </c>
      <c r="I717" s="479">
        <v>0</v>
      </c>
    </row>
    <row r="718" spans="1:9" ht="15.75" customHeight="1">
      <c r="A718" s="467"/>
      <c r="B718" s="467"/>
      <c r="C718" s="466"/>
      <c r="D718" s="497">
        <v>46207</v>
      </c>
      <c r="E718" s="466" t="s">
        <v>621</v>
      </c>
      <c r="F718" s="466">
        <v>32852409.210000001</v>
      </c>
      <c r="G718" s="478">
        <v>46205.920000001788</v>
      </c>
      <c r="H718" s="466">
        <v>0</v>
      </c>
      <c r="I718" s="479">
        <v>0</v>
      </c>
    </row>
    <row r="719" spans="1:9" ht="15.75" customHeight="1">
      <c r="A719" s="467"/>
      <c r="B719" s="467"/>
      <c r="C719" s="466"/>
      <c r="D719" s="497">
        <v>46208</v>
      </c>
      <c r="E719" s="466" t="s">
        <v>620</v>
      </c>
      <c r="F719" s="466">
        <v>32898615.129999999</v>
      </c>
      <c r="G719" s="478">
        <v>46205.919999998063</v>
      </c>
      <c r="H719" s="466">
        <v>0</v>
      </c>
      <c r="I719" s="479">
        <v>0</v>
      </c>
    </row>
    <row r="720" spans="1:9" ht="15.75" customHeight="1">
      <c r="A720" s="467"/>
      <c r="B720" s="467"/>
      <c r="C720" s="466"/>
      <c r="D720" s="497">
        <v>46209</v>
      </c>
      <c r="E720" s="466" t="s">
        <v>619</v>
      </c>
      <c r="F720" s="466">
        <v>32944821.050000001</v>
      </c>
      <c r="G720" s="478">
        <v>46205.920000001788</v>
      </c>
      <c r="H720" s="466">
        <v>0</v>
      </c>
      <c r="I720" s="479">
        <v>0</v>
      </c>
    </row>
    <row r="721" spans="1:9" ht="15.75" customHeight="1">
      <c r="A721" s="467"/>
      <c r="B721" s="467"/>
      <c r="C721" s="466"/>
      <c r="D721" s="497">
        <v>46210</v>
      </c>
      <c r="E721" s="466" t="s">
        <v>618</v>
      </c>
      <c r="F721" s="466">
        <v>32991026.969999999</v>
      </c>
      <c r="G721" s="478">
        <v>46205.919999998063</v>
      </c>
      <c r="H721" s="466">
        <v>0</v>
      </c>
      <c r="I721" s="479">
        <v>0</v>
      </c>
    </row>
    <row r="722" spans="1:9" ht="15.75" customHeight="1">
      <c r="A722" s="467"/>
      <c r="B722" s="467"/>
      <c r="C722" s="466"/>
      <c r="D722" s="497">
        <v>46211</v>
      </c>
      <c r="E722" s="466" t="s">
        <v>624</v>
      </c>
      <c r="F722" s="466">
        <v>33037232.890000001</v>
      </c>
      <c r="G722" s="478">
        <v>46205.920000001788</v>
      </c>
      <c r="H722" s="466">
        <v>323441.44000000134</v>
      </c>
      <c r="I722" s="479">
        <v>0</v>
      </c>
    </row>
    <row r="723" spans="1:9" ht="15.75" customHeight="1">
      <c r="A723" s="467"/>
      <c r="B723" s="467"/>
      <c r="C723" s="466"/>
      <c r="D723" s="497">
        <v>46212</v>
      </c>
      <c r="E723" s="466" t="s">
        <v>623</v>
      </c>
      <c r="F723" s="466">
        <v>33083438.809999999</v>
      </c>
      <c r="G723" s="478">
        <v>46205.919999998063</v>
      </c>
      <c r="H723" s="466">
        <v>0</v>
      </c>
      <c r="I723" s="479">
        <v>0</v>
      </c>
    </row>
    <row r="724" spans="1:9" ht="15.75" customHeight="1">
      <c r="A724" s="467"/>
      <c r="B724" s="467"/>
      <c r="C724" s="466"/>
      <c r="D724" s="497">
        <v>46213</v>
      </c>
      <c r="E724" s="466" t="s">
        <v>622</v>
      </c>
      <c r="F724" s="466">
        <v>33129644.73</v>
      </c>
      <c r="G724" s="478">
        <v>46205.920000001788</v>
      </c>
      <c r="H724" s="466">
        <v>0</v>
      </c>
      <c r="I724" s="479">
        <v>0</v>
      </c>
    </row>
    <row r="725" spans="1:9" ht="15.75" customHeight="1">
      <c r="A725" s="467"/>
      <c r="B725" s="467"/>
      <c r="C725" s="466"/>
      <c r="D725" s="497">
        <v>46214</v>
      </c>
      <c r="E725" s="466" t="s">
        <v>621</v>
      </c>
      <c r="F725" s="466">
        <v>33175850.649999999</v>
      </c>
      <c r="G725" s="478">
        <v>46205.919999998063</v>
      </c>
      <c r="H725" s="466">
        <v>0</v>
      </c>
      <c r="I725" s="479">
        <v>0</v>
      </c>
    </row>
    <row r="726" spans="1:9" ht="15.75" customHeight="1">
      <c r="A726" s="467"/>
      <c r="B726" s="467"/>
      <c r="C726" s="466"/>
      <c r="D726" s="497">
        <v>46215</v>
      </c>
      <c r="E726" s="466" t="s">
        <v>620</v>
      </c>
      <c r="F726" s="466">
        <v>33222056.57</v>
      </c>
      <c r="G726" s="478">
        <v>46205.920000001788</v>
      </c>
      <c r="H726" s="466">
        <v>0</v>
      </c>
      <c r="I726" s="479">
        <v>0</v>
      </c>
    </row>
    <row r="727" spans="1:9" ht="15.75" customHeight="1">
      <c r="A727" s="467"/>
      <c r="B727" s="467"/>
      <c r="C727" s="466"/>
      <c r="D727" s="497">
        <v>46216</v>
      </c>
      <c r="E727" s="466" t="s">
        <v>619</v>
      </c>
      <c r="F727" s="466">
        <v>33268262.489999998</v>
      </c>
      <c r="G727" s="478">
        <v>46205.919999998063</v>
      </c>
      <c r="H727" s="466">
        <v>0</v>
      </c>
      <c r="I727" s="479">
        <v>0</v>
      </c>
    </row>
    <row r="728" spans="1:9" ht="15.75" customHeight="1">
      <c r="A728" s="467"/>
      <c r="B728" s="467"/>
      <c r="C728" s="466"/>
      <c r="D728" s="497">
        <v>46217</v>
      </c>
      <c r="E728" s="466" t="s">
        <v>618</v>
      </c>
      <c r="F728" s="466">
        <v>33314468.41</v>
      </c>
      <c r="G728" s="478">
        <v>46205.920000001788</v>
      </c>
      <c r="H728" s="466">
        <v>0</v>
      </c>
      <c r="I728" s="479">
        <v>0</v>
      </c>
    </row>
    <row r="729" spans="1:9" ht="15.75" customHeight="1">
      <c r="A729" s="467"/>
      <c r="B729" s="467"/>
      <c r="C729" s="466"/>
      <c r="D729" s="497">
        <v>46218</v>
      </c>
      <c r="E729" s="466" t="s">
        <v>624</v>
      </c>
      <c r="F729" s="466">
        <v>33360674.329999998</v>
      </c>
      <c r="G729" s="478">
        <v>46205.919999998063</v>
      </c>
      <c r="H729" s="466">
        <v>323441.43999999762</v>
      </c>
      <c r="I729" s="479">
        <v>646882.87999999896</v>
      </c>
    </row>
    <row r="730" spans="1:9" ht="15.75" customHeight="1">
      <c r="A730" s="467"/>
      <c r="B730" s="467"/>
      <c r="C730" s="466"/>
      <c r="D730" s="497">
        <v>46219</v>
      </c>
      <c r="E730" s="466" t="s">
        <v>623</v>
      </c>
      <c r="F730" s="466">
        <v>33406880.25</v>
      </c>
      <c r="G730" s="478">
        <v>46205.920000001788</v>
      </c>
      <c r="H730" s="466">
        <v>0</v>
      </c>
      <c r="I730" s="479">
        <v>0</v>
      </c>
    </row>
    <row r="731" spans="1:9" ht="15.75" customHeight="1">
      <c r="A731" s="467"/>
      <c r="B731" s="467"/>
      <c r="C731" s="466"/>
      <c r="D731" s="497">
        <v>46220</v>
      </c>
      <c r="E731" s="466" t="s">
        <v>622</v>
      </c>
      <c r="F731" s="466">
        <v>33453086.170000002</v>
      </c>
      <c r="G731" s="478">
        <v>46205.920000001788</v>
      </c>
      <c r="H731" s="466">
        <v>0</v>
      </c>
      <c r="I731" s="479">
        <v>0</v>
      </c>
    </row>
    <row r="732" spans="1:9" ht="15.75" customHeight="1">
      <c r="A732" s="467"/>
      <c r="B732" s="467"/>
      <c r="C732" s="466"/>
      <c r="D732" s="497">
        <v>46221</v>
      </c>
      <c r="E732" s="466" t="s">
        <v>621</v>
      </c>
      <c r="F732" s="466">
        <v>33499292.09</v>
      </c>
      <c r="G732" s="478">
        <v>46205.919999998063</v>
      </c>
      <c r="H732" s="466">
        <v>0</v>
      </c>
      <c r="I732" s="479">
        <v>0</v>
      </c>
    </row>
    <row r="733" spans="1:9" ht="15.75" customHeight="1">
      <c r="A733" s="467"/>
      <c r="B733" s="467"/>
      <c r="C733" s="466"/>
      <c r="D733" s="497">
        <v>46222</v>
      </c>
      <c r="E733" s="466" t="s">
        <v>620</v>
      </c>
      <c r="F733" s="466">
        <v>33545498.010000002</v>
      </c>
      <c r="G733" s="478">
        <v>46205.920000001788</v>
      </c>
      <c r="H733" s="466">
        <v>0</v>
      </c>
      <c r="I733" s="479">
        <v>0</v>
      </c>
    </row>
    <row r="734" spans="1:9" ht="15.75" customHeight="1">
      <c r="A734" s="467"/>
      <c r="B734" s="467"/>
      <c r="C734" s="466"/>
      <c r="D734" s="497">
        <v>46223</v>
      </c>
      <c r="E734" s="466" t="s">
        <v>619</v>
      </c>
      <c r="F734" s="466">
        <v>33591703.93</v>
      </c>
      <c r="G734" s="478">
        <v>46205.919999998063</v>
      </c>
      <c r="H734" s="466">
        <v>0</v>
      </c>
      <c r="I734" s="479">
        <v>0</v>
      </c>
    </row>
    <row r="735" spans="1:9" ht="15.75" customHeight="1">
      <c r="A735" s="467"/>
      <c r="B735" s="467"/>
      <c r="C735" s="466"/>
      <c r="D735" s="497">
        <v>46224</v>
      </c>
      <c r="E735" s="466" t="s">
        <v>618</v>
      </c>
      <c r="F735" s="466">
        <v>33637909.850000001</v>
      </c>
      <c r="G735" s="478">
        <v>46205.920000001788</v>
      </c>
      <c r="H735" s="466">
        <v>0</v>
      </c>
      <c r="I735" s="479">
        <v>0</v>
      </c>
    </row>
    <row r="736" spans="1:9" ht="15.75" customHeight="1">
      <c r="A736" s="467"/>
      <c r="B736" s="467"/>
      <c r="C736" s="466"/>
      <c r="D736" s="497">
        <v>46225</v>
      </c>
      <c r="E736" s="466" t="s">
        <v>624</v>
      </c>
      <c r="F736" s="466">
        <v>33684115.770000003</v>
      </c>
      <c r="G736" s="478">
        <v>46205.920000001788</v>
      </c>
      <c r="H736" s="466">
        <v>323441.44000000507</v>
      </c>
      <c r="I736" s="479">
        <v>0</v>
      </c>
    </row>
    <row r="737" spans="1:9" ht="15.75" customHeight="1">
      <c r="A737" s="467"/>
      <c r="B737" s="467"/>
      <c r="C737" s="466"/>
      <c r="D737" s="497">
        <v>46226</v>
      </c>
      <c r="E737" s="466" t="s">
        <v>623</v>
      </c>
      <c r="F737" s="466">
        <v>33730321.689999998</v>
      </c>
      <c r="G737" s="478">
        <v>46205.919999994338</v>
      </c>
      <c r="H737" s="466">
        <v>0</v>
      </c>
      <c r="I737" s="479">
        <v>0</v>
      </c>
    </row>
    <row r="738" spans="1:9" ht="15.75" customHeight="1">
      <c r="A738" s="467"/>
      <c r="B738" s="467"/>
      <c r="C738" s="466"/>
      <c r="D738" s="497">
        <v>46227</v>
      </c>
      <c r="E738" s="466" t="s">
        <v>622</v>
      </c>
      <c r="F738" s="466">
        <v>33769678.299999997</v>
      </c>
      <c r="G738" s="478">
        <v>39356.609999999404</v>
      </c>
      <c r="H738" s="466">
        <v>0</v>
      </c>
      <c r="I738" s="479">
        <v>0</v>
      </c>
    </row>
    <row r="739" spans="1:9" ht="15.75" customHeight="1">
      <c r="A739" s="467"/>
      <c r="B739" s="467"/>
      <c r="C739" s="466"/>
      <c r="D739" s="497">
        <v>46228</v>
      </c>
      <c r="E739" s="466" t="s">
        <v>621</v>
      </c>
      <c r="F739" s="466">
        <v>33809034.899999999</v>
      </c>
      <c r="G739" s="478">
        <v>39356.60000000149</v>
      </c>
      <c r="H739" s="466">
        <v>0</v>
      </c>
      <c r="I739" s="479">
        <v>0</v>
      </c>
    </row>
    <row r="740" spans="1:9" ht="15.75" customHeight="1">
      <c r="A740" s="467"/>
      <c r="B740" s="467"/>
      <c r="C740" s="466"/>
      <c r="D740" s="497">
        <v>46229</v>
      </c>
      <c r="E740" s="466" t="s">
        <v>620</v>
      </c>
      <c r="F740" s="466">
        <v>33848391.509999998</v>
      </c>
      <c r="G740" s="478">
        <v>39356.609999999404</v>
      </c>
      <c r="H740" s="466">
        <v>0</v>
      </c>
      <c r="I740" s="479">
        <v>0</v>
      </c>
    </row>
    <row r="741" spans="1:9" ht="15.75" customHeight="1">
      <c r="A741" s="467"/>
      <c r="B741" s="467"/>
      <c r="C741" s="466"/>
      <c r="D741" s="497">
        <v>46230</v>
      </c>
      <c r="E741" s="466" t="s">
        <v>619</v>
      </c>
      <c r="F741" s="466">
        <v>33887748.109999999</v>
      </c>
      <c r="G741" s="478">
        <v>39356.60000000149</v>
      </c>
      <c r="H741" s="466">
        <v>0</v>
      </c>
      <c r="I741" s="479">
        <v>0</v>
      </c>
    </row>
    <row r="742" spans="1:9" ht="15.75" customHeight="1">
      <c r="A742" s="467"/>
      <c r="B742" s="467"/>
      <c r="C742" s="466"/>
      <c r="D742" s="497">
        <v>46231</v>
      </c>
      <c r="E742" s="466" t="s">
        <v>618</v>
      </c>
      <c r="F742" s="466">
        <v>33927104.719999999</v>
      </c>
      <c r="G742" s="478">
        <v>39356.609999999404</v>
      </c>
      <c r="H742" s="466">
        <v>0</v>
      </c>
      <c r="I742" s="479">
        <v>0</v>
      </c>
    </row>
    <row r="743" spans="1:9" ht="15.75" customHeight="1">
      <c r="A743" s="467"/>
      <c r="B743" s="467"/>
      <c r="C743" s="466"/>
      <c r="D743" s="497">
        <v>46232</v>
      </c>
      <c r="E743" s="466" t="s">
        <v>624</v>
      </c>
      <c r="F743" s="466">
        <v>33966461.32</v>
      </c>
      <c r="G743" s="478">
        <v>39356.60000000149</v>
      </c>
      <c r="H743" s="466">
        <v>282345.54999999702</v>
      </c>
      <c r="I743" s="479">
        <v>605786.99000000209</v>
      </c>
    </row>
    <row r="744" spans="1:9" ht="15.75" customHeight="1">
      <c r="A744" s="467"/>
      <c r="B744" s="467"/>
      <c r="C744" s="466"/>
      <c r="D744" s="497">
        <v>46233</v>
      </c>
      <c r="E744" s="466" t="s">
        <v>623</v>
      </c>
      <c r="F744" s="466">
        <v>34005817.93</v>
      </c>
      <c r="G744" s="478">
        <v>39356.609999999404</v>
      </c>
      <c r="H744" s="466">
        <v>0</v>
      </c>
      <c r="I744" s="479">
        <v>0</v>
      </c>
    </row>
    <row r="745" spans="1:9" ht="15.75" customHeight="1">
      <c r="A745" s="467"/>
      <c r="B745" s="467"/>
      <c r="C745" s="466"/>
      <c r="D745" s="497">
        <v>46234</v>
      </c>
      <c r="E745" s="466" t="s">
        <v>622</v>
      </c>
      <c r="F745" s="466">
        <v>34045174.530000001</v>
      </c>
      <c r="G745" s="478">
        <v>39356.60000000149</v>
      </c>
      <c r="H745" s="466">
        <v>0</v>
      </c>
      <c r="I745" s="479">
        <v>0</v>
      </c>
    </row>
    <row r="746" spans="1:9" ht="15.75" customHeight="1">
      <c r="A746" s="467"/>
      <c r="B746" s="467"/>
      <c r="C746" s="466"/>
      <c r="D746" s="497">
        <v>46235</v>
      </c>
      <c r="E746" s="466" t="s">
        <v>621</v>
      </c>
      <c r="F746" s="466">
        <v>34084531.140000001</v>
      </c>
      <c r="G746" s="478">
        <v>39356.609999999404</v>
      </c>
      <c r="H746" s="466">
        <v>0</v>
      </c>
      <c r="I746" s="479">
        <v>0</v>
      </c>
    </row>
    <row r="747" spans="1:9" ht="15.75" customHeight="1">
      <c r="A747" s="467"/>
      <c r="B747" s="467"/>
      <c r="C747" s="466"/>
      <c r="D747" s="497">
        <v>46236</v>
      </c>
      <c r="E747" s="466" t="s">
        <v>620</v>
      </c>
      <c r="F747" s="466">
        <v>34123887.740000002</v>
      </c>
      <c r="G747" s="478">
        <v>39356.60000000149</v>
      </c>
      <c r="H747" s="466">
        <v>0</v>
      </c>
      <c r="I747" s="479">
        <v>0</v>
      </c>
    </row>
    <row r="748" spans="1:9" ht="15.75" customHeight="1">
      <c r="A748" s="467"/>
      <c r="B748" s="467"/>
      <c r="C748" s="466"/>
      <c r="D748" s="497">
        <v>46237</v>
      </c>
      <c r="E748" s="466" t="s">
        <v>619</v>
      </c>
      <c r="F748" s="466">
        <v>34163244.350000001</v>
      </c>
      <c r="G748" s="478">
        <v>39356.609999999404</v>
      </c>
      <c r="H748" s="466">
        <v>0</v>
      </c>
      <c r="I748" s="479">
        <v>0</v>
      </c>
    </row>
    <row r="749" spans="1:9" ht="15.75" customHeight="1">
      <c r="A749" s="467"/>
      <c r="B749" s="467"/>
      <c r="C749" s="466"/>
      <c r="D749" s="497">
        <v>46238</v>
      </c>
      <c r="E749" s="466" t="s">
        <v>618</v>
      </c>
      <c r="F749" s="466">
        <v>34202600.950000003</v>
      </c>
      <c r="G749" s="478">
        <v>39356.60000000149</v>
      </c>
      <c r="H749" s="466">
        <v>0</v>
      </c>
      <c r="I749" s="479">
        <v>0</v>
      </c>
    </row>
    <row r="750" spans="1:9" ht="15.75" customHeight="1">
      <c r="A750" s="467"/>
      <c r="B750" s="467"/>
      <c r="C750" s="466"/>
      <c r="D750" s="497">
        <v>46239</v>
      </c>
      <c r="E750" s="466" t="s">
        <v>624</v>
      </c>
      <c r="F750" s="466">
        <v>34241957.560000002</v>
      </c>
      <c r="G750" s="478">
        <v>39356.609999999404</v>
      </c>
      <c r="H750" s="466">
        <v>275496.24000000209</v>
      </c>
      <c r="I750" s="479">
        <v>0</v>
      </c>
    </row>
    <row r="751" spans="1:9" ht="15.75" customHeight="1">
      <c r="A751" s="467"/>
      <c r="B751" s="467"/>
      <c r="C751" s="466"/>
      <c r="D751" s="497">
        <v>46240</v>
      </c>
      <c r="E751" s="466" t="s">
        <v>623</v>
      </c>
      <c r="F751" s="466">
        <v>34281314.159999996</v>
      </c>
      <c r="G751" s="478">
        <v>39356.59999999404</v>
      </c>
      <c r="H751" s="466">
        <v>0</v>
      </c>
      <c r="I751" s="479">
        <v>0</v>
      </c>
    </row>
    <row r="752" spans="1:9" ht="15.75" customHeight="1">
      <c r="A752" s="467"/>
      <c r="B752" s="467"/>
      <c r="C752" s="466"/>
      <c r="D752" s="497">
        <v>46241</v>
      </c>
      <c r="E752" s="466" t="s">
        <v>622</v>
      </c>
      <c r="F752" s="466">
        <v>34320670.770000003</v>
      </c>
      <c r="G752" s="478">
        <v>39356.610000006855</v>
      </c>
      <c r="H752" s="466">
        <v>0</v>
      </c>
      <c r="I752" s="479">
        <v>0</v>
      </c>
    </row>
    <row r="753" spans="1:9" ht="15.75" customHeight="1">
      <c r="A753" s="467"/>
      <c r="B753" s="467"/>
      <c r="C753" s="466"/>
      <c r="D753" s="497">
        <v>46242</v>
      </c>
      <c r="E753" s="466" t="s">
        <v>621</v>
      </c>
      <c r="F753" s="466">
        <v>34360027.369999997</v>
      </c>
      <c r="G753" s="478">
        <v>39356.59999999404</v>
      </c>
      <c r="H753" s="466">
        <v>0</v>
      </c>
      <c r="I753" s="479">
        <v>0</v>
      </c>
    </row>
    <row r="754" spans="1:9" ht="15.75" customHeight="1">
      <c r="A754" s="467"/>
      <c r="B754" s="467"/>
      <c r="C754" s="466"/>
      <c r="D754" s="497">
        <v>46243</v>
      </c>
      <c r="E754" s="466" t="s">
        <v>620</v>
      </c>
      <c r="F754" s="466">
        <v>34399383.979999997</v>
      </c>
      <c r="G754" s="478">
        <v>39356.609999999404</v>
      </c>
      <c r="H754" s="466">
        <v>0</v>
      </c>
      <c r="I754" s="479">
        <v>0</v>
      </c>
    </row>
    <row r="755" spans="1:9" ht="15.75" customHeight="1">
      <c r="A755" s="467"/>
      <c r="B755" s="467"/>
      <c r="C755" s="466"/>
      <c r="D755" s="497">
        <v>46244</v>
      </c>
      <c r="E755" s="466" t="s">
        <v>619</v>
      </c>
      <c r="F755" s="466">
        <v>34438740.579999998</v>
      </c>
      <c r="G755" s="478">
        <v>39356.60000000149</v>
      </c>
      <c r="H755" s="466">
        <v>0</v>
      </c>
      <c r="I755" s="479">
        <v>0</v>
      </c>
    </row>
    <row r="756" spans="1:9" ht="15.75" customHeight="1">
      <c r="A756" s="467"/>
      <c r="B756" s="467"/>
      <c r="C756" s="466"/>
      <c r="D756" s="497">
        <v>46245</v>
      </c>
      <c r="E756" s="466" t="s">
        <v>618</v>
      </c>
      <c r="F756" s="466">
        <v>34478097.189999998</v>
      </c>
      <c r="G756" s="478">
        <v>39356.609999999404</v>
      </c>
      <c r="H756" s="466">
        <v>0</v>
      </c>
      <c r="I756" s="479">
        <v>0</v>
      </c>
    </row>
    <row r="757" spans="1:9" ht="15.75" customHeight="1">
      <c r="A757" s="467"/>
      <c r="B757" s="467"/>
      <c r="C757" s="466"/>
      <c r="D757" s="497">
        <v>46246</v>
      </c>
      <c r="E757" s="466" t="s">
        <v>624</v>
      </c>
      <c r="F757" s="466">
        <v>34517453.789999999</v>
      </c>
      <c r="G757" s="478">
        <v>39356.60000000149</v>
      </c>
      <c r="H757" s="466">
        <v>275496.22999999672</v>
      </c>
      <c r="I757" s="479">
        <v>550992.46999999881</v>
      </c>
    </row>
    <row r="758" spans="1:9" ht="15.75" customHeight="1">
      <c r="A758" s="467"/>
      <c r="B758" s="467"/>
      <c r="C758" s="466"/>
      <c r="D758" s="497">
        <v>46247</v>
      </c>
      <c r="E758" s="466" t="s">
        <v>623</v>
      </c>
      <c r="F758" s="466">
        <v>34556810.399999999</v>
      </c>
      <c r="G758" s="478">
        <v>39356.609999999404</v>
      </c>
      <c r="H758" s="466">
        <v>0</v>
      </c>
      <c r="I758" s="479">
        <v>0</v>
      </c>
    </row>
    <row r="759" spans="1:9" ht="15.75" customHeight="1">
      <c r="A759" s="467"/>
      <c r="B759" s="467"/>
      <c r="C759" s="466"/>
      <c r="D759" s="497">
        <v>46248</v>
      </c>
      <c r="E759" s="466" t="s">
        <v>622</v>
      </c>
      <c r="F759" s="466">
        <v>34596167</v>
      </c>
      <c r="G759" s="478">
        <v>39356.60000000149</v>
      </c>
      <c r="H759" s="466">
        <v>0</v>
      </c>
      <c r="I759" s="479">
        <v>0</v>
      </c>
    </row>
    <row r="760" spans="1:9" ht="15.75" customHeight="1">
      <c r="A760" s="467"/>
      <c r="B760" s="467"/>
      <c r="C760" s="466"/>
      <c r="D760" s="497">
        <v>46249</v>
      </c>
      <c r="E760" s="466" t="s">
        <v>621</v>
      </c>
      <c r="F760" s="466">
        <v>34635523.609999999</v>
      </c>
      <c r="G760" s="478">
        <v>39356.609999999404</v>
      </c>
      <c r="H760" s="466">
        <v>0</v>
      </c>
      <c r="I760" s="479">
        <v>0</v>
      </c>
    </row>
    <row r="761" spans="1:9" ht="15.75" customHeight="1">
      <c r="A761" s="467"/>
      <c r="B761" s="467"/>
      <c r="C761" s="466"/>
      <c r="D761" s="497">
        <v>46250</v>
      </c>
      <c r="E761" s="466" t="s">
        <v>620</v>
      </c>
      <c r="F761" s="466">
        <v>34674880.210000001</v>
      </c>
      <c r="G761" s="478">
        <v>39356.60000000149</v>
      </c>
      <c r="H761" s="466">
        <v>0</v>
      </c>
      <c r="I761" s="479">
        <v>0</v>
      </c>
    </row>
    <row r="762" spans="1:9" ht="15.75" customHeight="1">
      <c r="A762" s="467"/>
      <c r="B762" s="467"/>
      <c r="C762" s="466"/>
      <c r="D762" s="497">
        <v>46251</v>
      </c>
      <c r="E762" s="466" t="s">
        <v>619</v>
      </c>
      <c r="F762" s="466">
        <v>34714236.82</v>
      </c>
      <c r="G762" s="478">
        <v>39356.609999999404</v>
      </c>
      <c r="H762" s="466">
        <v>0</v>
      </c>
      <c r="I762" s="479">
        <v>0</v>
      </c>
    </row>
    <row r="763" spans="1:9" ht="15.75" customHeight="1">
      <c r="A763" s="467"/>
      <c r="B763" s="467"/>
      <c r="C763" s="466"/>
      <c r="D763" s="497">
        <v>46252</v>
      </c>
      <c r="E763" s="466" t="s">
        <v>618</v>
      </c>
      <c r="F763" s="466">
        <v>34753593.420000002</v>
      </c>
      <c r="G763" s="478">
        <v>39356.60000000149</v>
      </c>
      <c r="H763" s="466">
        <v>0</v>
      </c>
      <c r="I763" s="479">
        <v>0</v>
      </c>
    </row>
    <row r="764" spans="1:9" ht="15.75" customHeight="1">
      <c r="A764" s="467"/>
      <c r="B764" s="467"/>
      <c r="C764" s="466"/>
      <c r="D764" s="497">
        <v>46253</v>
      </c>
      <c r="E764" s="466" t="s">
        <v>624</v>
      </c>
      <c r="F764" s="466">
        <v>34792950.030000001</v>
      </c>
      <c r="G764" s="478">
        <v>39356.609999999404</v>
      </c>
      <c r="H764" s="466">
        <v>275496.24000000209</v>
      </c>
      <c r="I764" s="479">
        <v>0</v>
      </c>
    </row>
    <row r="765" spans="1:9" ht="15.75" customHeight="1">
      <c r="A765" s="467"/>
      <c r="B765" s="467"/>
      <c r="C765" s="466"/>
      <c r="D765" s="497">
        <v>46254</v>
      </c>
      <c r="E765" s="466" t="s">
        <v>623</v>
      </c>
      <c r="F765" s="466">
        <v>34832306.630000003</v>
      </c>
      <c r="G765" s="478">
        <v>39356.60000000149</v>
      </c>
      <c r="H765" s="466">
        <v>0</v>
      </c>
      <c r="I765" s="479">
        <v>0</v>
      </c>
    </row>
    <row r="766" spans="1:9" ht="15.75" customHeight="1">
      <c r="A766" s="467"/>
      <c r="B766" s="467"/>
      <c r="C766" s="466"/>
      <c r="D766" s="497">
        <v>46255</v>
      </c>
      <c r="E766" s="466" t="s">
        <v>622</v>
      </c>
      <c r="F766" s="466">
        <v>34871663.240000002</v>
      </c>
      <c r="G766" s="478">
        <v>39356.609999999404</v>
      </c>
      <c r="H766" s="466">
        <v>0</v>
      </c>
      <c r="I766" s="479">
        <v>0</v>
      </c>
    </row>
    <row r="767" spans="1:9" ht="15.75" customHeight="1">
      <c r="A767" s="467"/>
      <c r="B767" s="467"/>
      <c r="C767" s="466"/>
      <c r="D767" s="497">
        <v>46256</v>
      </c>
      <c r="E767" s="466" t="s">
        <v>621</v>
      </c>
      <c r="F767" s="466">
        <v>34911019.840000004</v>
      </c>
      <c r="G767" s="478">
        <v>39356.60000000149</v>
      </c>
      <c r="H767" s="466">
        <v>0</v>
      </c>
      <c r="I767" s="479">
        <v>0</v>
      </c>
    </row>
    <row r="768" spans="1:9" ht="15.75" customHeight="1">
      <c r="A768" s="467"/>
      <c r="B768" s="467"/>
      <c r="C768" s="466"/>
      <c r="D768" s="497">
        <v>46257</v>
      </c>
      <c r="E768" s="466" t="s">
        <v>620</v>
      </c>
      <c r="F768" s="466">
        <v>34950376.450000003</v>
      </c>
      <c r="G768" s="478">
        <v>39356.609999999404</v>
      </c>
      <c r="H768" s="466">
        <v>0</v>
      </c>
      <c r="I768" s="479">
        <v>0</v>
      </c>
    </row>
    <row r="769" spans="1:9" ht="15.75" customHeight="1">
      <c r="A769" s="467"/>
      <c r="B769" s="467"/>
      <c r="C769" s="466"/>
      <c r="D769" s="497">
        <v>46258</v>
      </c>
      <c r="E769" s="466" t="s">
        <v>619</v>
      </c>
      <c r="F769" s="466">
        <v>34989733.049999997</v>
      </c>
      <c r="G769" s="478">
        <v>39356.59999999404</v>
      </c>
      <c r="H769" s="466">
        <v>0</v>
      </c>
      <c r="I769" s="479">
        <v>0</v>
      </c>
    </row>
    <row r="770" spans="1:9" ht="15.75" customHeight="1">
      <c r="A770" s="467"/>
      <c r="B770" s="467"/>
      <c r="C770" s="466"/>
      <c r="D770" s="497">
        <v>46259</v>
      </c>
      <c r="E770" s="466" t="s">
        <v>618</v>
      </c>
      <c r="F770" s="466">
        <v>35029089.659999996</v>
      </c>
      <c r="G770" s="478">
        <v>39356.609999999404</v>
      </c>
      <c r="H770" s="466">
        <v>0</v>
      </c>
      <c r="I770" s="479">
        <v>0</v>
      </c>
    </row>
    <row r="771" spans="1:9" ht="15.75" customHeight="1">
      <c r="A771" s="467"/>
      <c r="B771" s="467"/>
      <c r="C771" s="466"/>
      <c r="D771" s="497">
        <v>46260</v>
      </c>
      <c r="E771" s="466" t="s">
        <v>624</v>
      </c>
      <c r="F771" s="466">
        <v>35068446.259999998</v>
      </c>
      <c r="G771" s="478">
        <v>39356.60000000149</v>
      </c>
      <c r="H771" s="466">
        <v>275496.22999999672</v>
      </c>
      <c r="I771" s="479">
        <v>550992.46999999881</v>
      </c>
    </row>
    <row r="772" spans="1:9" ht="15.75" customHeight="1">
      <c r="A772" s="467"/>
      <c r="B772" s="467"/>
      <c r="C772" s="466"/>
      <c r="D772" s="497">
        <v>46261</v>
      </c>
      <c r="E772" s="466" t="s">
        <v>623</v>
      </c>
      <c r="F772" s="466">
        <v>35107802.869999997</v>
      </c>
      <c r="G772" s="478">
        <v>39356.609999999404</v>
      </c>
      <c r="H772" s="466">
        <v>0</v>
      </c>
      <c r="I772" s="479">
        <v>0</v>
      </c>
    </row>
    <row r="773" spans="1:9" ht="15.75" customHeight="1">
      <c r="A773" s="467"/>
      <c r="B773" s="467"/>
      <c r="C773" s="466"/>
      <c r="D773" s="497">
        <v>46262</v>
      </c>
      <c r="E773" s="466" t="s">
        <v>622</v>
      </c>
      <c r="F773" s="466">
        <v>35147159.469999999</v>
      </c>
      <c r="G773" s="478">
        <v>39356.60000000149</v>
      </c>
      <c r="H773" s="466">
        <v>0</v>
      </c>
      <c r="I773" s="479">
        <v>0</v>
      </c>
    </row>
    <row r="774" spans="1:9" ht="15.75" customHeight="1">
      <c r="A774" s="467"/>
      <c r="B774" s="467"/>
      <c r="C774" s="466"/>
      <c r="D774" s="497">
        <v>46263</v>
      </c>
      <c r="E774" s="466" t="s">
        <v>621</v>
      </c>
      <c r="F774" s="466">
        <v>35186516.079999998</v>
      </c>
      <c r="G774" s="478">
        <v>39356.609999999404</v>
      </c>
      <c r="H774" s="466">
        <v>0</v>
      </c>
      <c r="I774" s="479">
        <v>0</v>
      </c>
    </row>
    <row r="775" spans="1:9" ht="15.75" customHeight="1">
      <c r="A775" s="467"/>
      <c r="B775" s="467"/>
      <c r="C775" s="466"/>
      <c r="D775" s="497">
        <v>46264</v>
      </c>
      <c r="E775" s="466" t="s">
        <v>620</v>
      </c>
      <c r="F775" s="466">
        <v>35225872.68</v>
      </c>
      <c r="G775" s="478">
        <v>39356.60000000149</v>
      </c>
      <c r="H775" s="466">
        <v>0</v>
      </c>
      <c r="I775" s="479">
        <v>0</v>
      </c>
    </row>
    <row r="776" spans="1:9" ht="15.75" customHeight="1">
      <c r="A776" s="467"/>
      <c r="B776" s="467"/>
      <c r="C776" s="466"/>
      <c r="D776" s="497">
        <v>46265</v>
      </c>
      <c r="E776" s="466" t="s">
        <v>619</v>
      </c>
      <c r="F776" s="466">
        <v>35265229.289999999</v>
      </c>
      <c r="G776" s="478">
        <v>39356.609999999404</v>
      </c>
      <c r="H776" s="466">
        <v>0</v>
      </c>
      <c r="I776" s="479">
        <v>0</v>
      </c>
    </row>
    <row r="777" spans="1:9" ht="15.75" customHeight="1">
      <c r="A777" s="467"/>
      <c r="B777" s="467"/>
      <c r="C777" s="466"/>
      <c r="D777" s="497">
        <v>46266</v>
      </c>
      <c r="E777" s="466" t="s">
        <v>618</v>
      </c>
      <c r="F777" s="466">
        <v>35304585.899999999</v>
      </c>
      <c r="G777" s="478">
        <v>39356.609999999404</v>
      </c>
      <c r="H777" s="466">
        <v>0</v>
      </c>
      <c r="I777" s="479">
        <v>0</v>
      </c>
    </row>
    <row r="778" spans="1:9" ht="15.75" customHeight="1">
      <c r="A778" s="467"/>
      <c r="B778" s="467"/>
      <c r="C778" s="466"/>
      <c r="D778" s="497">
        <v>46267</v>
      </c>
      <c r="E778" s="466" t="s">
        <v>624</v>
      </c>
      <c r="F778" s="466">
        <v>35343942.5</v>
      </c>
      <c r="G778" s="478">
        <v>39356.60000000149</v>
      </c>
      <c r="H778" s="466">
        <v>275496.24000000209</v>
      </c>
      <c r="I778" s="479">
        <v>0</v>
      </c>
    </row>
    <row r="779" spans="1:9" ht="15.75" customHeight="1">
      <c r="A779" s="467"/>
      <c r="B779" s="467"/>
      <c r="C779" s="466"/>
      <c r="D779" s="497">
        <v>46268</v>
      </c>
      <c r="E779" s="466" t="s">
        <v>623</v>
      </c>
      <c r="F779" s="466">
        <v>35383299.109999999</v>
      </c>
      <c r="G779" s="478">
        <v>39356.609999999404</v>
      </c>
      <c r="H779" s="466">
        <v>0</v>
      </c>
      <c r="I779" s="479">
        <v>0</v>
      </c>
    </row>
    <row r="780" spans="1:9" ht="15.75" customHeight="1">
      <c r="A780" s="467"/>
      <c r="B780" s="467"/>
      <c r="C780" s="466"/>
      <c r="D780" s="497">
        <v>46269</v>
      </c>
      <c r="E780" s="466" t="s">
        <v>622</v>
      </c>
      <c r="F780" s="466">
        <v>35422655.710000001</v>
      </c>
      <c r="G780" s="478">
        <v>39356.60000000149</v>
      </c>
      <c r="H780" s="466">
        <v>0</v>
      </c>
      <c r="I780" s="479">
        <v>0</v>
      </c>
    </row>
    <row r="781" spans="1:9" ht="15.75" customHeight="1">
      <c r="A781" s="467"/>
      <c r="B781" s="467"/>
      <c r="C781" s="466"/>
      <c r="D781" s="497">
        <v>46270</v>
      </c>
      <c r="E781" s="466" t="s">
        <v>621</v>
      </c>
      <c r="F781" s="466">
        <v>35462012.32</v>
      </c>
      <c r="G781" s="478">
        <v>39356.609999999404</v>
      </c>
      <c r="H781" s="466">
        <v>0</v>
      </c>
      <c r="I781" s="479">
        <v>0</v>
      </c>
    </row>
    <row r="782" spans="1:9" ht="15.75" customHeight="1">
      <c r="A782" s="467"/>
      <c r="B782" s="467"/>
      <c r="C782" s="466"/>
      <c r="D782" s="497">
        <v>46271</v>
      </c>
      <c r="E782" s="466" t="s">
        <v>620</v>
      </c>
      <c r="F782" s="466">
        <v>35501368.920000002</v>
      </c>
      <c r="G782" s="478">
        <v>39356.60000000149</v>
      </c>
      <c r="H782" s="466">
        <v>0</v>
      </c>
      <c r="I782" s="479">
        <v>0</v>
      </c>
    </row>
    <row r="783" spans="1:9" ht="15.75" customHeight="1">
      <c r="A783" s="467"/>
      <c r="B783" s="467"/>
      <c r="C783" s="466"/>
      <c r="D783" s="497">
        <v>46272</v>
      </c>
      <c r="E783" s="466" t="s">
        <v>619</v>
      </c>
      <c r="F783" s="466">
        <v>35540725.530000001</v>
      </c>
      <c r="G783" s="478">
        <v>39356.609999999404</v>
      </c>
      <c r="H783" s="466">
        <v>0</v>
      </c>
      <c r="I783" s="479">
        <v>0</v>
      </c>
    </row>
    <row r="784" spans="1:9" ht="15.75" customHeight="1">
      <c r="A784" s="467"/>
      <c r="B784" s="467"/>
      <c r="C784" s="466"/>
      <c r="D784" s="497">
        <v>46273</v>
      </c>
      <c r="E784" s="466" t="s">
        <v>618</v>
      </c>
      <c r="F784" s="466">
        <v>35580082.130000003</v>
      </c>
      <c r="G784" s="478">
        <v>39356.60000000149</v>
      </c>
      <c r="H784" s="466">
        <v>0</v>
      </c>
      <c r="I784" s="479">
        <v>0</v>
      </c>
    </row>
    <row r="785" spans="1:9" ht="15.75" customHeight="1">
      <c r="A785" s="467"/>
      <c r="B785" s="467"/>
      <c r="C785" s="466"/>
      <c r="D785" s="497">
        <v>46274</v>
      </c>
      <c r="E785" s="466" t="s">
        <v>624</v>
      </c>
      <c r="F785" s="466">
        <v>35619438.740000002</v>
      </c>
      <c r="G785" s="478">
        <v>39356.609999999404</v>
      </c>
      <c r="H785" s="466">
        <v>275496.24000000209</v>
      </c>
      <c r="I785" s="479">
        <v>550992.48000000417</v>
      </c>
    </row>
    <row r="786" spans="1:9" ht="15.75" customHeight="1">
      <c r="A786" s="467"/>
      <c r="B786" s="467"/>
      <c r="C786" s="466"/>
      <c r="D786" s="497">
        <v>46275</v>
      </c>
      <c r="E786" s="466" t="s">
        <v>623</v>
      </c>
      <c r="F786" s="466">
        <v>35658795.340000004</v>
      </c>
      <c r="G786" s="478">
        <v>39356.60000000149</v>
      </c>
      <c r="H786" s="466">
        <v>0</v>
      </c>
      <c r="I786" s="479">
        <v>0</v>
      </c>
    </row>
    <row r="787" spans="1:9" ht="15.75" customHeight="1">
      <c r="A787" s="467"/>
      <c r="B787" s="467"/>
      <c r="C787" s="466"/>
      <c r="D787" s="497">
        <v>46276</v>
      </c>
      <c r="E787" s="466" t="s">
        <v>622</v>
      </c>
      <c r="F787" s="466">
        <v>35698151.950000003</v>
      </c>
      <c r="G787" s="478">
        <v>39356.609999999404</v>
      </c>
      <c r="H787" s="466">
        <v>0</v>
      </c>
      <c r="I787" s="479">
        <v>0</v>
      </c>
    </row>
    <row r="788" spans="1:9" ht="15.75" customHeight="1">
      <c r="A788" s="467"/>
      <c r="B788" s="467"/>
      <c r="C788" s="466"/>
      <c r="D788" s="497">
        <v>46277</v>
      </c>
      <c r="E788" s="466" t="s">
        <v>621</v>
      </c>
      <c r="F788" s="466">
        <v>35737508.549999997</v>
      </c>
      <c r="G788" s="478">
        <v>39356.59999999404</v>
      </c>
      <c r="H788" s="466">
        <v>0</v>
      </c>
      <c r="I788" s="479">
        <v>0</v>
      </c>
    </row>
    <row r="789" spans="1:9" ht="15.75" customHeight="1">
      <c r="A789" s="467"/>
      <c r="B789" s="467"/>
      <c r="C789" s="466"/>
      <c r="D789" s="497">
        <v>46278</v>
      </c>
      <c r="E789" s="466" t="s">
        <v>620</v>
      </c>
      <c r="F789" s="466">
        <v>35776865.159999996</v>
      </c>
      <c r="G789" s="478">
        <v>39356.609999999404</v>
      </c>
      <c r="H789" s="466">
        <v>0</v>
      </c>
      <c r="I789" s="479">
        <v>0</v>
      </c>
    </row>
    <row r="790" spans="1:9" ht="15.75" customHeight="1">
      <c r="A790" s="467"/>
      <c r="B790" s="467"/>
      <c r="C790" s="466"/>
      <c r="D790" s="497">
        <v>46279</v>
      </c>
      <c r="E790" s="466" t="s">
        <v>619</v>
      </c>
      <c r="F790" s="466">
        <v>35816221.759999998</v>
      </c>
      <c r="G790" s="478">
        <v>39356.60000000149</v>
      </c>
      <c r="H790" s="466">
        <v>0</v>
      </c>
      <c r="I790" s="479">
        <v>0</v>
      </c>
    </row>
    <row r="791" spans="1:9" ht="15.75" customHeight="1">
      <c r="A791" s="467"/>
      <c r="B791" s="467"/>
      <c r="C791" s="466"/>
      <c r="D791" s="497">
        <v>46280</v>
      </c>
      <c r="E791" s="466" t="s">
        <v>618</v>
      </c>
      <c r="F791" s="466">
        <v>35855578.369999997</v>
      </c>
      <c r="G791" s="478">
        <v>39356.609999999404</v>
      </c>
      <c r="H791" s="466">
        <v>0</v>
      </c>
      <c r="I791" s="479">
        <v>0</v>
      </c>
    </row>
    <row r="792" spans="1:9" ht="15.75" customHeight="1">
      <c r="A792" s="467"/>
      <c r="B792" s="467"/>
      <c r="C792" s="466"/>
      <c r="D792" s="497">
        <v>46281</v>
      </c>
      <c r="E792" s="466" t="s">
        <v>624</v>
      </c>
      <c r="F792" s="466">
        <v>35894934.969999999</v>
      </c>
      <c r="G792" s="478">
        <v>39356.60000000149</v>
      </c>
      <c r="H792" s="466">
        <v>275496.22999999672</v>
      </c>
      <c r="I792" s="479">
        <v>0</v>
      </c>
    </row>
    <row r="793" spans="1:9" ht="15.75" customHeight="1">
      <c r="A793" s="467"/>
      <c r="B793" s="467"/>
      <c r="C793" s="466"/>
      <c r="D793" s="497">
        <v>46282</v>
      </c>
      <c r="E793" s="466" t="s">
        <v>623</v>
      </c>
      <c r="F793" s="466">
        <v>35934291.579999998</v>
      </c>
      <c r="G793" s="478">
        <v>39356.609999999404</v>
      </c>
      <c r="H793" s="466">
        <v>0</v>
      </c>
      <c r="I793" s="479">
        <v>0</v>
      </c>
    </row>
    <row r="794" spans="1:9" ht="15.75" customHeight="1">
      <c r="A794" s="467"/>
      <c r="B794" s="467"/>
      <c r="C794" s="466"/>
      <c r="D794" s="497">
        <v>46283</v>
      </c>
      <c r="E794" s="466" t="s">
        <v>622</v>
      </c>
      <c r="F794" s="466">
        <v>35973648.18</v>
      </c>
      <c r="G794" s="478">
        <v>39356.60000000149</v>
      </c>
      <c r="H794" s="466">
        <v>0</v>
      </c>
      <c r="I794" s="479">
        <v>0</v>
      </c>
    </row>
    <row r="795" spans="1:9" ht="15.75" customHeight="1">
      <c r="A795" s="467"/>
      <c r="B795" s="467"/>
      <c r="C795" s="466"/>
      <c r="D795" s="497">
        <v>46284</v>
      </c>
      <c r="E795" s="466" t="s">
        <v>621</v>
      </c>
      <c r="F795" s="466">
        <v>36013004.789999999</v>
      </c>
      <c r="G795" s="478">
        <v>39356.609999999404</v>
      </c>
      <c r="H795" s="466">
        <v>0</v>
      </c>
      <c r="I795" s="479">
        <v>0</v>
      </c>
    </row>
    <row r="796" spans="1:9" ht="15.75" customHeight="1">
      <c r="A796" s="467"/>
      <c r="B796" s="467"/>
      <c r="C796" s="466"/>
      <c r="D796" s="497">
        <v>46285</v>
      </c>
      <c r="E796" s="466" t="s">
        <v>620</v>
      </c>
      <c r="F796" s="466">
        <v>36052361.390000001</v>
      </c>
      <c r="G796" s="478">
        <v>39356.60000000149</v>
      </c>
      <c r="H796" s="466">
        <v>0</v>
      </c>
      <c r="I796" s="479">
        <v>0</v>
      </c>
    </row>
    <row r="797" spans="1:9" ht="15.75" customHeight="1">
      <c r="A797" s="467"/>
      <c r="B797" s="467"/>
      <c r="C797" s="466"/>
      <c r="D797" s="497">
        <v>46286</v>
      </c>
      <c r="E797" s="466" t="s">
        <v>619</v>
      </c>
      <c r="F797" s="466">
        <v>36091718</v>
      </c>
      <c r="G797" s="478">
        <v>39356.609999999404</v>
      </c>
      <c r="H797" s="466">
        <v>0</v>
      </c>
      <c r="I797" s="479">
        <v>0</v>
      </c>
    </row>
    <row r="798" spans="1:9" ht="15.75" customHeight="1">
      <c r="A798" s="467"/>
      <c r="B798" s="467"/>
      <c r="C798" s="466"/>
      <c r="D798" s="497">
        <v>46287</v>
      </c>
      <c r="E798" s="466" t="s">
        <v>618</v>
      </c>
      <c r="F798" s="466">
        <v>36131074.600000001</v>
      </c>
      <c r="G798" s="478">
        <v>39356.60000000149</v>
      </c>
      <c r="H798" s="466">
        <v>0</v>
      </c>
      <c r="I798" s="479">
        <v>0</v>
      </c>
    </row>
    <row r="799" spans="1:9" ht="15.75" customHeight="1">
      <c r="A799" s="467"/>
      <c r="B799" s="467"/>
      <c r="C799" s="466"/>
      <c r="D799" s="497">
        <v>46288</v>
      </c>
      <c r="E799" s="466" t="s">
        <v>624</v>
      </c>
      <c r="F799" s="466">
        <v>36170431.210000001</v>
      </c>
      <c r="G799" s="478">
        <v>39356.609999999404</v>
      </c>
      <c r="H799" s="466">
        <v>275496.24000000209</v>
      </c>
      <c r="I799" s="479">
        <v>550992.46999999881</v>
      </c>
    </row>
    <row r="800" spans="1:9" ht="15.75" customHeight="1">
      <c r="A800" s="467"/>
      <c r="B800" s="467"/>
      <c r="C800" s="466"/>
      <c r="D800" s="497">
        <v>46289</v>
      </c>
      <c r="E800" s="466" t="s">
        <v>623</v>
      </c>
      <c r="F800" s="466">
        <v>36209787.810000002</v>
      </c>
      <c r="G800" s="478">
        <v>39356.60000000149</v>
      </c>
      <c r="H800" s="466">
        <v>0</v>
      </c>
      <c r="I800" s="479">
        <v>0</v>
      </c>
    </row>
    <row r="801" spans="1:9" ht="15.75" customHeight="1">
      <c r="A801" s="467"/>
      <c r="B801" s="467"/>
      <c r="C801" s="466"/>
      <c r="D801" s="497">
        <v>46290</v>
      </c>
      <c r="E801" s="466" t="s">
        <v>622</v>
      </c>
      <c r="F801" s="466">
        <v>36249144.420000002</v>
      </c>
      <c r="G801" s="478">
        <v>39356.609999999404</v>
      </c>
      <c r="H801" s="466">
        <v>0</v>
      </c>
      <c r="I801" s="479">
        <v>0</v>
      </c>
    </row>
    <row r="802" spans="1:9" ht="15.75" customHeight="1">
      <c r="A802" s="467"/>
      <c r="B802" s="467"/>
      <c r="C802" s="466"/>
      <c r="D802" s="497">
        <v>46291</v>
      </c>
      <c r="E802" s="466" t="s">
        <v>621</v>
      </c>
      <c r="F802" s="466">
        <v>36288501.020000003</v>
      </c>
      <c r="G802" s="478">
        <v>39356.60000000149</v>
      </c>
      <c r="H802" s="466">
        <v>0</v>
      </c>
      <c r="I802" s="479">
        <v>0</v>
      </c>
    </row>
    <row r="803" spans="1:9" ht="15.75" customHeight="1">
      <c r="A803" s="467"/>
      <c r="B803" s="467"/>
      <c r="C803" s="466"/>
      <c r="D803" s="497">
        <v>46292</v>
      </c>
      <c r="E803" s="466" t="s">
        <v>620</v>
      </c>
      <c r="F803" s="466">
        <v>36327857.630000003</v>
      </c>
      <c r="G803" s="478">
        <v>39356.609999999404</v>
      </c>
      <c r="H803" s="466">
        <v>0</v>
      </c>
      <c r="I803" s="479">
        <v>0</v>
      </c>
    </row>
    <row r="804" spans="1:9" ht="15.75" customHeight="1">
      <c r="A804" s="467"/>
      <c r="B804" s="467"/>
      <c r="C804" s="466"/>
      <c r="D804" s="497">
        <v>46293</v>
      </c>
      <c r="E804" s="466" t="s">
        <v>619</v>
      </c>
      <c r="F804" s="466">
        <v>36367214.229999997</v>
      </c>
      <c r="G804" s="478">
        <v>39356.59999999404</v>
      </c>
      <c r="H804" s="466">
        <v>0</v>
      </c>
      <c r="I804" s="479">
        <v>0</v>
      </c>
    </row>
    <row r="805" spans="1:9" ht="15.75" customHeight="1">
      <c r="A805" s="467"/>
      <c r="B805" s="467"/>
      <c r="C805" s="466"/>
      <c r="D805" s="497">
        <v>46294</v>
      </c>
      <c r="E805" s="466" t="s">
        <v>618</v>
      </c>
      <c r="F805" s="466">
        <v>36406570.840000004</v>
      </c>
      <c r="G805" s="478">
        <v>39356.610000006855</v>
      </c>
      <c r="H805" s="466">
        <v>0</v>
      </c>
      <c r="I805" s="479">
        <v>0</v>
      </c>
    </row>
    <row r="806" spans="1:9" ht="15.75" customHeight="1">
      <c r="A806" s="467"/>
      <c r="B806" s="467"/>
      <c r="C806" s="466"/>
      <c r="D806" s="497">
        <v>46295</v>
      </c>
      <c r="E806" s="466" t="s">
        <v>624</v>
      </c>
      <c r="F806" s="466">
        <v>36445927.439999998</v>
      </c>
      <c r="G806" s="478">
        <v>39356.59999999404</v>
      </c>
      <c r="H806" s="466">
        <v>275496.22999999672</v>
      </c>
      <c r="I806" s="479">
        <v>0</v>
      </c>
    </row>
    <row r="807" spans="1:9" ht="15.75" customHeight="1">
      <c r="A807" s="467"/>
      <c r="B807" s="467"/>
      <c r="C807" s="466"/>
      <c r="D807" s="497">
        <v>46296</v>
      </c>
      <c r="E807" s="466" t="s">
        <v>623</v>
      </c>
      <c r="F807" s="466">
        <v>36485284.049999997</v>
      </c>
      <c r="G807" s="478">
        <v>39356.609999999404</v>
      </c>
      <c r="H807" s="466">
        <v>0</v>
      </c>
      <c r="I807" s="479">
        <v>0</v>
      </c>
    </row>
    <row r="808" spans="1:9" ht="15.75" customHeight="1">
      <c r="A808" s="467"/>
      <c r="B808" s="467"/>
      <c r="C808" s="466"/>
      <c r="D808" s="497">
        <v>46297</v>
      </c>
      <c r="E808" s="466" t="s">
        <v>622</v>
      </c>
      <c r="F808" s="466">
        <v>36524640.649999999</v>
      </c>
      <c r="G808" s="478">
        <v>39356.60000000149</v>
      </c>
      <c r="H808" s="466">
        <v>0</v>
      </c>
      <c r="I808" s="479">
        <v>0</v>
      </c>
    </row>
    <row r="809" spans="1:9" ht="15.75" customHeight="1">
      <c r="A809" s="467"/>
      <c r="B809" s="467"/>
      <c r="C809" s="466"/>
      <c r="D809" s="497">
        <v>46298</v>
      </c>
      <c r="E809" s="466" t="s">
        <v>621</v>
      </c>
      <c r="F809" s="466">
        <v>36563997.259999998</v>
      </c>
      <c r="G809" s="478">
        <v>39356.609999999404</v>
      </c>
      <c r="H809" s="466">
        <v>0</v>
      </c>
      <c r="I809" s="479">
        <v>0</v>
      </c>
    </row>
    <row r="810" spans="1:9" ht="15.75" customHeight="1">
      <c r="A810" s="467"/>
      <c r="B810" s="467"/>
      <c r="C810" s="466"/>
      <c r="D810" s="497">
        <v>46299</v>
      </c>
      <c r="E810" s="466" t="s">
        <v>620</v>
      </c>
      <c r="F810" s="466">
        <v>36603353.859999999</v>
      </c>
      <c r="G810" s="478">
        <v>39356.60000000149</v>
      </c>
      <c r="H810" s="466">
        <v>0</v>
      </c>
      <c r="I810" s="479">
        <v>0</v>
      </c>
    </row>
    <row r="811" spans="1:9" ht="15.75" customHeight="1">
      <c r="A811" s="467"/>
      <c r="B811" s="467"/>
      <c r="C811" s="466"/>
      <c r="D811" s="497">
        <v>46300</v>
      </c>
      <c r="E811" s="466" t="s">
        <v>619</v>
      </c>
      <c r="F811" s="466">
        <v>36642710.469999999</v>
      </c>
      <c r="G811" s="478">
        <v>39356.609999999404</v>
      </c>
      <c r="H811" s="466">
        <v>0</v>
      </c>
      <c r="I811" s="479">
        <v>0</v>
      </c>
    </row>
    <row r="812" spans="1:9" ht="15.75" customHeight="1">
      <c r="A812" s="467"/>
      <c r="B812" s="467"/>
      <c r="C812" s="466"/>
      <c r="D812" s="497">
        <v>46301</v>
      </c>
      <c r="E812" s="466" t="s">
        <v>618</v>
      </c>
      <c r="F812" s="466">
        <v>36682067.07</v>
      </c>
      <c r="G812" s="478">
        <v>39356.60000000149</v>
      </c>
      <c r="H812" s="466">
        <v>0</v>
      </c>
      <c r="I812" s="479">
        <v>0</v>
      </c>
    </row>
    <row r="813" spans="1:9" ht="15.75" customHeight="1">
      <c r="A813" s="467"/>
      <c r="B813" s="467"/>
      <c r="C813" s="466"/>
      <c r="D813" s="497">
        <v>46302</v>
      </c>
      <c r="E813" s="466" t="s">
        <v>624</v>
      </c>
      <c r="F813" s="466">
        <v>36721423.68</v>
      </c>
      <c r="G813" s="478">
        <v>39356.609999999404</v>
      </c>
      <c r="H813" s="466">
        <v>275496.24000000209</v>
      </c>
      <c r="I813" s="479">
        <v>550992.46999999881</v>
      </c>
    </row>
    <row r="814" spans="1:9" ht="15.75" customHeight="1">
      <c r="A814" s="467"/>
      <c r="B814" s="467"/>
      <c r="C814" s="466"/>
      <c r="D814" s="497">
        <v>46303</v>
      </c>
      <c r="E814" s="466" t="s">
        <v>623</v>
      </c>
      <c r="F814" s="466">
        <v>36760780.280000001</v>
      </c>
      <c r="G814" s="478">
        <v>39356.60000000149</v>
      </c>
      <c r="H814" s="466">
        <v>0</v>
      </c>
      <c r="I814" s="479">
        <v>0</v>
      </c>
    </row>
    <row r="815" spans="1:9" ht="15.75" customHeight="1">
      <c r="A815" s="467"/>
      <c r="B815" s="467"/>
      <c r="C815" s="466"/>
      <c r="D815" s="497">
        <v>46304</v>
      </c>
      <c r="E815" s="466" t="s">
        <v>622</v>
      </c>
      <c r="F815" s="466">
        <v>36800136.890000001</v>
      </c>
      <c r="G815" s="478">
        <v>39356.609999999404</v>
      </c>
      <c r="H815" s="466">
        <v>0</v>
      </c>
      <c r="I815" s="479">
        <v>0</v>
      </c>
    </row>
    <row r="816" spans="1:9" ht="15.75" customHeight="1">
      <c r="A816" s="467"/>
      <c r="B816" s="467"/>
      <c r="C816" s="466"/>
      <c r="D816" s="497">
        <v>46305</v>
      </c>
      <c r="E816" s="466" t="s">
        <v>621</v>
      </c>
      <c r="F816" s="466">
        <v>36839493.490000002</v>
      </c>
      <c r="G816" s="478">
        <v>39356.60000000149</v>
      </c>
      <c r="H816" s="466">
        <v>0</v>
      </c>
      <c r="I816" s="479">
        <v>0</v>
      </c>
    </row>
    <row r="817" spans="1:9" ht="15.75" customHeight="1">
      <c r="A817" s="467"/>
      <c r="B817" s="467"/>
      <c r="C817" s="466"/>
      <c r="D817" s="497">
        <v>46306</v>
      </c>
      <c r="E817" s="466" t="s">
        <v>620</v>
      </c>
      <c r="F817" s="466">
        <v>36878850.100000001</v>
      </c>
      <c r="G817" s="478">
        <v>39356.609999999404</v>
      </c>
      <c r="H817" s="466">
        <v>0</v>
      </c>
      <c r="I817" s="479">
        <v>0</v>
      </c>
    </row>
    <row r="818" spans="1:9" ht="15.75" customHeight="1">
      <c r="A818" s="467"/>
      <c r="B818" s="467"/>
      <c r="C818" s="466"/>
      <c r="D818" s="497">
        <v>46307</v>
      </c>
      <c r="E818" s="466" t="s">
        <v>619</v>
      </c>
      <c r="F818" s="466">
        <v>36918206.700000003</v>
      </c>
      <c r="G818" s="478">
        <v>39356.60000000149</v>
      </c>
      <c r="H818" s="466">
        <v>0</v>
      </c>
      <c r="I818" s="479">
        <v>0</v>
      </c>
    </row>
    <row r="819" spans="1:9" ht="15.75" customHeight="1">
      <c r="A819" s="467"/>
      <c r="B819" s="467"/>
      <c r="C819" s="466"/>
      <c r="D819" s="497">
        <v>46308</v>
      </c>
      <c r="E819" s="466" t="s">
        <v>618</v>
      </c>
      <c r="F819" s="466">
        <v>36957563.310000002</v>
      </c>
      <c r="G819" s="478">
        <v>39356.609999999404</v>
      </c>
      <c r="H819" s="466">
        <v>0</v>
      </c>
      <c r="I819" s="479">
        <v>0</v>
      </c>
    </row>
    <row r="820" spans="1:9" ht="15.75" customHeight="1">
      <c r="A820" s="467"/>
      <c r="B820" s="467"/>
      <c r="C820" s="466"/>
      <c r="D820" s="497">
        <v>46309</v>
      </c>
      <c r="E820" s="466" t="s">
        <v>624</v>
      </c>
      <c r="F820" s="466">
        <v>36996919.909999996</v>
      </c>
      <c r="G820" s="478">
        <v>39356.59999999404</v>
      </c>
      <c r="H820" s="466">
        <v>275496.22999999672</v>
      </c>
      <c r="I820" s="479">
        <v>0</v>
      </c>
    </row>
    <row r="821" spans="1:9" ht="15.75" customHeight="1">
      <c r="A821" s="467"/>
      <c r="B821" s="467"/>
      <c r="C821" s="466"/>
      <c r="D821" s="497">
        <v>46310</v>
      </c>
      <c r="E821" s="466" t="s">
        <v>623</v>
      </c>
      <c r="F821" s="466">
        <v>37036276.520000003</v>
      </c>
      <c r="G821" s="478">
        <v>39356.610000006855</v>
      </c>
      <c r="H821" s="466">
        <v>0</v>
      </c>
      <c r="I821" s="479">
        <v>0</v>
      </c>
    </row>
    <row r="822" spans="1:9" ht="15.75" customHeight="1">
      <c r="A822" s="467"/>
      <c r="B822" s="467"/>
      <c r="C822" s="466"/>
      <c r="D822" s="497">
        <v>46311</v>
      </c>
      <c r="E822" s="466" t="s">
        <v>622</v>
      </c>
      <c r="F822" s="466">
        <v>37075633.119999997</v>
      </c>
      <c r="G822" s="478">
        <v>39356.59999999404</v>
      </c>
      <c r="H822" s="466">
        <v>0</v>
      </c>
      <c r="I822" s="479">
        <v>0</v>
      </c>
    </row>
    <row r="823" spans="1:9" ht="15.75" customHeight="1">
      <c r="A823" s="467"/>
      <c r="B823" s="467"/>
      <c r="C823" s="466"/>
      <c r="D823" s="497">
        <v>46312</v>
      </c>
      <c r="E823" s="466" t="s">
        <v>621</v>
      </c>
      <c r="F823" s="466">
        <v>37114989.729999997</v>
      </c>
      <c r="G823" s="478">
        <v>39356.609999999404</v>
      </c>
      <c r="H823" s="466">
        <v>0</v>
      </c>
      <c r="I823" s="479">
        <v>0</v>
      </c>
    </row>
    <row r="824" spans="1:9" ht="15.75" customHeight="1">
      <c r="A824" s="467"/>
      <c r="B824" s="467"/>
      <c r="C824" s="466"/>
      <c r="D824" s="497">
        <v>46313</v>
      </c>
      <c r="E824" s="466" t="s">
        <v>620</v>
      </c>
      <c r="F824" s="466">
        <v>37154346.329999998</v>
      </c>
      <c r="G824" s="478">
        <v>39356.60000000149</v>
      </c>
      <c r="H824" s="466">
        <v>0</v>
      </c>
      <c r="I824" s="479">
        <v>0</v>
      </c>
    </row>
    <row r="825" spans="1:9" ht="15.75" customHeight="1">
      <c r="A825" s="467"/>
      <c r="B825" s="467"/>
      <c r="C825" s="466"/>
      <c r="D825" s="497">
        <v>46314</v>
      </c>
      <c r="E825" s="466" t="s">
        <v>619</v>
      </c>
      <c r="F825" s="466">
        <v>37193702.939999998</v>
      </c>
      <c r="G825" s="478">
        <v>39356.609999999404</v>
      </c>
      <c r="H825" s="466">
        <v>0</v>
      </c>
      <c r="I825" s="479">
        <v>0</v>
      </c>
    </row>
    <row r="826" spans="1:9" ht="15.75" customHeight="1">
      <c r="A826" s="467"/>
      <c r="B826" s="467"/>
      <c r="C826" s="466"/>
      <c r="D826" s="497">
        <v>46315</v>
      </c>
      <c r="E826" s="466" t="s">
        <v>618</v>
      </c>
      <c r="F826" s="466">
        <v>37233059.539999999</v>
      </c>
      <c r="G826" s="478">
        <v>39356.60000000149</v>
      </c>
      <c r="H826" s="466">
        <v>0</v>
      </c>
      <c r="I826" s="479">
        <v>0</v>
      </c>
    </row>
    <row r="827" spans="1:9" ht="15.75" customHeight="1">
      <c r="A827" s="467"/>
      <c r="B827" s="467"/>
      <c r="C827" s="466"/>
      <c r="D827" s="497">
        <v>46316</v>
      </c>
      <c r="E827" s="466" t="s">
        <v>624</v>
      </c>
      <c r="F827" s="466">
        <v>37272416.149999999</v>
      </c>
      <c r="G827" s="478">
        <v>39356.609999999404</v>
      </c>
      <c r="H827" s="466">
        <v>275496.24000000209</v>
      </c>
      <c r="I827" s="479">
        <v>550992.46999999881</v>
      </c>
    </row>
    <row r="828" spans="1:9" ht="15.75" customHeight="1">
      <c r="A828" s="467"/>
      <c r="B828" s="467"/>
      <c r="C828" s="466"/>
      <c r="D828" s="497">
        <v>46317</v>
      </c>
      <c r="E828" s="466" t="s">
        <v>623</v>
      </c>
      <c r="F828" s="466">
        <v>37311772.75</v>
      </c>
      <c r="G828" s="478">
        <v>39356.60000000149</v>
      </c>
      <c r="H828" s="466">
        <v>0</v>
      </c>
      <c r="I828" s="479">
        <v>0</v>
      </c>
    </row>
    <row r="829" spans="1:9" ht="15.75" customHeight="1">
      <c r="A829" s="467"/>
      <c r="B829" s="467"/>
      <c r="C829" s="466"/>
      <c r="D829" s="497">
        <v>46318</v>
      </c>
      <c r="E829" s="466" t="s">
        <v>622</v>
      </c>
      <c r="F829" s="466">
        <v>37351129.359999999</v>
      </c>
      <c r="G829" s="478">
        <v>39356.609999999404</v>
      </c>
      <c r="H829" s="466">
        <v>0</v>
      </c>
      <c r="I829" s="479">
        <v>0</v>
      </c>
    </row>
    <row r="830" spans="1:9" ht="15.75" customHeight="1">
      <c r="A830" s="467"/>
      <c r="B830" s="467"/>
      <c r="C830" s="466"/>
      <c r="D830" s="497">
        <v>46319</v>
      </c>
      <c r="E830" s="466" t="s">
        <v>621</v>
      </c>
      <c r="F830" s="466">
        <v>37390485.960000001</v>
      </c>
      <c r="G830" s="478">
        <v>39356.60000000149</v>
      </c>
      <c r="H830" s="466">
        <v>0</v>
      </c>
      <c r="I830" s="479">
        <v>0</v>
      </c>
    </row>
    <row r="831" spans="1:9" ht="15.75" customHeight="1">
      <c r="A831" s="467"/>
      <c r="B831" s="467"/>
      <c r="C831" s="466"/>
      <c r="D831" s="497">
        <v>46320</v>
      </c>
      <c r="E831" s="466" t="s">
        <v>620</v>
      </c>
      <c r="F831" s="466">
        <v>37429842.57</v>
      </c>
      <c r="G831" s="478">
        <v>39356.609999999404</v>
      </c>
      <c r="H831" s="466">
        <v>0</v>
      </c>
      <c r="I831" s="479">
        <v>0</v>
      </c>
    </row>
    <row r="832" spans="1:9" ht="15.75" customHeight="1">
      <c r="A832" s="467"/>
      <c r="B832" s="467"/>
      <c r="C832" s="466"/>
      <c r="D832" s="497">
        <v>46321</v>
      </c>
      <c r="E832" s="466" t="s">
        <v>619</v>
      </c>
      <c r="F832" s="466">
        <v>37469199.170000002</v>
      </c>
      <c r="G832" s="478">
        <v>39356.60000000149</v>
      </c>
      <c r="H832" s="466">
        <v>0</v>
      </c>
      <c r="I832" s="479">
        <v>0</v>
      </c>
    </row>
    <row r="833" spans="1:9" ht="15.75" customHeight="1">
      <c r="A833" s="467"/>
      <c r="B833" s="467"/>
      <c r="C833" s="466"/>
      <c r="D833" s="497">
        <v>46322</v>
      </c>
      <c r="E833" s="466" t="s">
        <v>618</v>
      </c>
      <c r="F833" s="466">
        <v>37508555.780000001</v>
      </c>
      <c r="G833" s="478">
        <v>39356.609999999404</v>
      </c>
      <c r="H833" s="466">
        <v>0</v>
      </c>
      <c r="I833" s="479">
        <v>0</v>
      </c>
    </row>
    <row r="834" spans="1:9" ht="15.75" customHeight="1">
      <c r="A834" s="467"/>
      <c r="B834" s="467"/>
      <c r="C834" s="466"/>
      <c r="D834" s="497">
        <v>46323</v>
      </c>
      <c r="E834" s="466" t="s">
        <v>624</v>
      </c>
      <c r="F834" s="466">
        <v>37547912.380000003</v>
      </c>
      <c r="G834" s="478">
        <v>39356.60000000149</v>
      </c>
      <c r="H834" s="466">
        <v>275496.23000000417</v>
      </c>
      <c r="I834" s="479">
        <v>0</v>
      </c>
    </row>
    <row r="835" spans="1:9" ht="15.75" customHeight="1">
      <c r="A835" s="467"/>
      <c r="B835" s="467"/>
      <c r="C835" s="466"/>
      <c r="D835" s="497">
        <v>46324</v>
      </c>
      <c r="E835" s="466" t="s">
        <v>623</v>
      </c>
      <c r="F835" s="466">
        <v>37587268.990000002</v>
      </c>
      <c r="G835" s="478">
        <v>39356.609999999404</v>
      </c>
      <c r="H835" s="466">
        <v>0</v>
      </c>
      <c r="I835" s="479">
        <v>0</v>
      </c>
    </row>
    <row r="836" spans="1:9" ht="15.75" customHeight="1">
      <c r="A836" s="467"/>
      <c r="B836" s="467"/>
      <c r="C836" s="466"/>
      <c r="D836" s="497">
        <v>46325</v>
      </c>
      <c r="E836" s="466" t="s">
        <v>622</v>
      </c>
      <c r="F836" s="466">
        <v>37626625.590000004</v>
      </c>
      <c r="G836" s="478">
        <v>39356.60000000149</v>
      </c>
      <c r="H836" s="466">
        <v>0</v>
      </c>
      <c r="I836" s="479">
        <v>0</v>
      </c>
    </row>
    <row r="837" spans="1:9" ht="15.75" customHeight="1">
      <c r="A837" s="467"/>
      <c r="B837" s="467"/>
      <c r="C837" s="466"/>
      <c r="D837" s="497">
        <v>46326</v>
      </c>
      <c r="E837" s="466" t="s">
        <v>621</v>
      </c>
      <c r="F837" s="466">
        <v>37665982.200000003</v>
      </c>
      <c r="G837" s="478">
        <v>39356.609999999404</v>
      </c>
      <c r="H837" s="466">
        <v>0</v>
      </c>
      <c r="I837" s="479">
        <v>0</v>
      </c>
    </row>
    <row r="838" spans="1:9" ht="15.75" customHeight="1">
      <c r="A838" s="467"/>
      <c r="B838" s="467"/>
      <c r="C838" s="466"/>
      <c r="D838" s="497">
        <v>46327</v>
      </c>
      <c r="E838" s="466" t="s">
        <v>620</v>
      </c>
      <c r="F838" s="466">
        <v>37705338.799999997</v>
      </c>
      <c r="G838" s="478">
        <v>39356.59999999404</v>
      </c>
      <c r="H838" s="466">
        <v>0</v>
      </c>
      <c r="I838" s="479">
        <v>0</v>
      </c>
    </row>
    <row r="839" spans="1:9" ht="15.75" customHeight="1">
      <c r="A839" s="467"/>
      <c r="B839" s="467"/>
      <c r="C839" s="466"/>
      <c r="D839" s="497">
        <v>46328</v>
      </c>
      <c r="E839" s="466" t="s">
        <v>619</v>
      </c>
      <c r="F839" s="466">
        <v>37744695.409999996</v>
      </c>
      <c r="G839" s="478">
        <v>39356.609999999404</v>
      </c>
      <c r="H839" s="466">
        <v>0</v>
      </c>
      <c r="I839" s="479">
        <v>0</v>
      </c>
    </row>
    <row r="840" spans="1:9" ht="15.75" customHeight="1">
      <c r="A840" s="467"/>
      <c r="B840" s="467"/>
      <c r="C840" s="466"/>
      <c r="D840" s="497">
        <v>46329</v>
      </c>
      <c r="E840" s="466" t="s">
        <v>618</v>
      </c>
      <c r="F840" s="466">
        <v>37784052.009999998</v>
      </c>
      <c r="G840" s="478">
        <v>39356.60000000149</v>
      </c>
      <c r="H840" s="466">
        <v>0</v>
      </c>
      <c r="I840" s="479">
        <v>0</v>
      </c>
    </row>
    <row r="841" spans="1:9" ht="15.75" customHeight="1">
      <c r="A841" s="467"/>
      <c r="B841" s="467"/>
      <c r="C841" s="466"/>
      <c r="D841" s="497">
        <v>46330</v>
      </c>
      <c r="E841" s="466" t="s">
        <v>624</v>
      </c>
      <c r="F841" s="466">
        <v>37823408.619999997</v>
      </c>
      <c r="G841" s="478">
        <v>39356.609999999404</v>
      </c>
      <c r="H841" s="466">
        <v>275496.23999999464</v>
      </c>
      <c r="I841" s="479">
        <v>550992.46999999881</v>
      </c>
    </row>
    <row r="842" spans="1:9" ht="15.75" customHeight="1">
      <c r="A842" s="467"/>
      <c r="B842" s="467"/>
      <c r="C842" s="466"/>
      <c r="D842" s="497">
        <v>46331</v>
      </c>
      <c r="E842" s="466" t="s">
        <v>623</v>
      </c>
      <c r="F842" s="466">
        <v>37862765.219999999</v>
      </c>
      <c r="G842" s="478">
        <v>39356.60000000149</v>
      </c>
      <c r="H842" s="466">
        <v>0</v>
      </c>
      <c r="I842" s="479">
        <v>0</v>
      </c>
    </row>
    <row r="843" spans="1:9" ht="15.75" customHeight="1">
      <c r="A843" s="467"/>
      <c r="B843" s="467"/>
      <c r="C843" s="466"/>
      <c r="D843" s="497">
        <v>46332</v>
      </c>
      <c r="E843" s="466" t="s">
        <v>622</v>
      </c>
      <c r="F843" s="466">
        <v>37902121.829999998</v>
      </c>
      <c r="G843" s="478">
        <v>39356.609999999404</v>
      </c>
      <c r="H843" s="466">
        <v>0</v>
      </c>
      <c r="I843" s="479">
        <v>0</v>
      </c>
    </row>
    <row r="844" spans="1:9" ht="15.75" customHeight="1">
      <c r="A844" s="467"/>
      <c r="B844" s="467"/>
      <c r="C844" s="466"/>
      <c r="D844" s="497">
        <v>46333</v>
      </c>
      <c r="E844" s="466" t="s">
        <v>621</v>
      </c>
      <c r="F844" s="466">
        <v>37941478.43</v>
      </c>
      <c r="G844" s="478">
        <v>39356.60000000149</v>
      </c>
      <c r="H844" s="466">
        <v>0</v>
      </c>
      <c r="I844" s="479">
        <v>0</v>
      </c>
    </row>
    <row r="845" spans="1:9" ht="15.75" customHeight="1">
      <c r="A845" s="467"/>
      <c r="B845" s="467"/>
      <c r="C845" s="466"/>
      <c r="D845" s="497">
        <v>46334</v>
      </c>
      <c r="E845" s="466" t="s">
        <v>620</v>
      </c>
      <c r="F845" s="466">
        <v>37980835.039999999</v>
      </c>
      <c r="G845" s="478">
        <v>39356.609999999404</v>
      </c>
      <c r="H845" s="466">
        <v>0</v>
      </c>
      <c r="I845" s="479">
        <v>0</v>
      </c>
    </row>
    <row r="846" spans="1:9" ht="15.75" customHeight="1">
      <c r="A846" s="467"/>
      <c r="B846" s="467"/>
      <c r="C846" s="466"/>
      <c r="D846" s="497">
        <v>46335</v>
      </c>
      <c r="E846" s="466" t="s">
        <v>619</v>
      </c>
      <c r="F846" s="466">
        <v>38020191.640000001</v>
      </c>
      <c r="G846" s="478">
        <v>39356.60000000149</v>
      </c>
      <c r="H846" s="466">
        <v>0</v>
      </c>
      <c r="I846" s="479">
        <v>0</v>
      </c>
    </row>
    <row r="847" spans="1:9" ht="15.75" customHeight="1">
      <c r="A847" s="467"/>
      <c r="B847" s="467"/>
      <c r="C847" s="466"/>
      <c r="D847" s="497">
        <v>46336</v>
      </c>
      <c r="E847" s="466" t="s">
        <v>618</v>
      </c>
      <c r="F847" s="466">
        <v>38059548.25</v>
      </c>
      <c r="G847" s="478">
        <v>39356.609999999404</v>
      </c>
      <c r="H847" s="466">
        <v>0</v>
      </c>
      <c r="I847" s="479">
        <v>0</v>
      </c>
    </row>
    <row r="848" spans="1:9" ht="15.75" customHeight="1">
      <c r="A848" s="467"/>
      <c r="B848" s="467"/>
      <c r="C848" s="466"/>
      <c r="D848" s="497">
        <v>46337</v>
      </c>
      <c r="E848" s="466" t="s">
        <v>624</v>
      </c>
      <c r="F848" s="466">
        <v>38098904.850000001</v>
      </c>
      <c r="G848" s="478">
        <v>39356.60000000149</v>
      </c>
      <c r="H848" s="466">
        <v>275496.23000000417</v>
      </c>
      <c r="I848" s="479">
        <v>0</v>
      </c>
    </row>
    <row r="849" spans="1:9" ht="15.75" customHeight="1">
      <c r="A849" s="467"/>
      <c r="B849" s="467"/>
      <c r="C849" s="466"/>
      <c r="D849" s="497">
        <v>46338</v>
      </c>
      <c r="E849" s="466" t="s">
        <v>623</v>
      </c>
      <c r="F849" s="466">
        <v>38138261.460000001</v>
      </c>
      <c r="G849" s="478">
        <v>39356.609999999404</v>
      </c>
      <c r="H849" s="466">
        <v>0</v>
      </c>
      <c r="I849" s="479">
        <v>0</v>
      </c>
    </row>
    <row r="850" spans="1:9" ht="15.75" customHeight="1">
      <c r="A850" s="467"/>
      <c r="B850" s="467"/>
      <c r="C850" s="466"/>
      <c r="D850" s="497">
        <v>46339</v>
      </c>
      <c r="E850" s="466" t="s">
        <v>622</v>
      </c>
      <c r="F850" s="466">
        <v>38177618.060000002</v>
      </c>
      <c r="G850" s="478">
        <v>39356.60000000149</v>
      </c>
      <c r="H850" s="466">
        <v>0</v>
      </c>
      <c r="I850" s="479">
        <v>0</v>
      </c>
    </row>
    <row r="851" spans="1:9" ht="15.75" customHeight="1">
      <c r="A851" s="467"/>
      <c r="B851" s="467"/>
      <c r="C851" s="466"/>
      <c r="D851" s="497">
        <v>46340</v>
      </c>
      <c r="E851" s="466" t="s">
        <v>621</v>
      </c>
      <c r="F851" s="466">
        <v>38216974.670000002</v>
      </c>
      <c r="G851" s="478">
        <v>39356.609999999404</v>
      </c>
      <c r="H851" s="466">
        <v>0</v>
      </c>
      <c r="I851" s="479">
        <v>0</v>
      </c>
    </row>
    <row r="852" spans="1:9" ht="15.75" customHeight="1">
      <c r="A852" s="467"/>
      <c r="B852" s="467"/>
      <c r="C852" s="466"/>
      <c r="D852" s="497">
        <v>46341</v>
      </c>
      <c r="E852" s="466" t="s">
        <v>620</v>
      </c>
      <c r="F852" s="466">
        <v>38256331.270000003</v>
      </c>
      <c r="G852" s="478">
        <v>39356.60000000149</v>
      </c>
      <c r="H852" s="466">
        <v>0</v>
      </c>
      <c r="I852" s="479">
        <v>0</v>
      </c>
    </row>
    <row r="853" spans="1:9" ht="15.75" customHeight="1">
      <c r="A853" s="467"/>
      <c r="B853" s="467"/>
      <c r="C853" s="466"/>
      <c r="D853" s="497">
        <v>46342</v>
      </c>
      <c r="E853" s="466" t="s">
        <v>619</v>
      </c>
      <c r="F853" s="466">
        <v>38295687.880000003</v>
      </c>
      <c r="G853" s="478">
        <v>39356.609999999404</v>
      </c>
      <c r="H853" s="466">
        <v>0</v>
      </c>
      <c r="I853" s="479">
        <v>0</v>
      </c>
    </row>
    <row r="854" spans="1:9" ht="15.75" customHeight="1">
      <c r="A854" s="467"/>
      <c r="B854" s="467"/>
      <c r="C854" s="466"/>
      <c r="D854" s="497">
        <v>46343</v>
      </c>
      <c r="E854" s="466" t="s">
        <v>618</v>
      </c>
      <c r="F854" s="466">
        <v>38335044.490000002</v>
      </c>
      <c r="G854" s="478">
        <v>39356.609999999404</v>
      </c>
      <c r="H854" s="466">
        <v>0</v>
      </c>
      <c r="I854" s="479">
        <v>0</v>
      </c>
    </row>
    <row r="855" spans="1:9" ht="15.75" customHeight="1">
      <c r="A855" s="467"/>
      <c r="B855" s="467"/>
      <c r="C855" s="466"/>
      <c r="D855" s="497">
        <v>46344</v>
      </c>
      <c r="E855" s="466" t="s">
        <v>624</v>
      </c>
      <c r="F855" s="466">
        <v>38374401.090000004</v>
      </c>
      <c r="G855" s="478">
        <v>39356.60000000149</v>
      </c>
      <c r="H855" s="466">
        <v>275496.24000000209</v>
      </c>
      <c r="I855" s="479">
        <v>550992.47000000626</v>
      </c>
    </row>
    <row r="856" spans="1:9" ht="15.75" customHeight="1">
      <c r="A856" s="467"/>
      <c r="B856" s="467"/>
      <c r="C856" s="466"/>
      <c r="D856" s="497">
        <v>46345</v>
      </c>
      <c r="E856" s="466" t="s">
        <v>623</v>
      </c>
      <c r="F856" s="466">
        <v>38413757.700000003</v>
      </c>
      <c r="G856" s="478">
        <v>39356.609999999404</v>
      </c>
      <c r="H856" s="466">
        <v>0</v>
      </c>
      <c r="I856" s="479">
        <v>0</v>
      </c>
    </row>
    <row r="857" spans="1:9" ht="15.75" customHeight="1">
      <c r="A857" s="467"/>
      <c r="B857" s="467"/>
      <c r="C857" s="466"/>
      <c r="D857" s="497">
        <v>46346</v>
      </c>
      <c r="E857" s="466" t="s">
        <v>622</v>
      </c>
      <c r="F857" s="466">
        <v>38453114.299999997</v>
      </c>
      <c r="G857" s="478">
        <v>39356.59999999404</v>
      </c>
      <c r="H857" s="466">
        <v>0</v>
      </c>
      <c r="I857" s="479">
        <v>0</v>
      </c>
    </row>
    <row r="858" spans="1:9" ht="15.75" customHeight="1">
      <c r="A858" s="467"/>
      <c r="B858" s="467"/>
      <c r="C858" s="466"/>
      <c r="D858" s="497">
        <v>46347</v>
      </c>
      <c r="E858" s="466" t="s">
        <v>621</v>
      </c>
      <c r="F858" s="466">
        <v>38492470.909999996</v>
      </c>
      <c r="G858" s="478">
        <v>39356.609999999404</v>
      </c>
      <c r="H858" s="466">
        <v>0</v>
      </c>
      <c r="I858" s="479">
        <v>0</v>
      </c>
    </row>
    <row r="859" spans="1:9" ht="15.75" customHeight="1">
      <c r="A859" s="467"/>
      <c r="B859" s="467"/>
      <c r="C859" s="466"/>
      <c r="D859" s="497">
        <v>46348</v>
      </c>
      <c r="E859" s="466" t="s">
        <v>620</v>
      </c>
      <c r="F859" s="466">
        <v>38531827.509999998</v>
      </c>
      <c r="G859" s="478">
        <v>39356.60000000149</v>
      </c>
      <c r="H859" s="466">
        <v>0</v>
      </c>
      <c r="I859" s="479">
        <v>0</v>
      </c>
    </row>
    <row r="860" spans="1:9" ht="15.75" customHeight="1">
      <c r="A860" s="467"/>
      <c r="B860" s="467"/>
      <c r="C860" s="466"/>
      <c r="D860" s="497">
        <v>46349</v>
      </c>
      <c r="E860" s="466" t="s">
        <v>619</v>
      </c>
      <c r="F860" s="466">
        <v>38571184.119999997</v>
      </c>
      <c r="G860" s="478">
        <v>39356.609999999404</v>
      </c>
      <c r="H860" s="466">
        <v>0</v>
      </c>
      <c r="I860" s="479">
        <v>0</v>
      </c>
    </row>
    <row r="861" spans="1:9" ht="15.75" customHeight="1">
      <c r="A861" s="467"/>
      <c r="B861" s="467"/>
      <c r="C861" s="466"/>
      <c r="D861" s="497">
        <v>46350</v>
      </c>
      <c r="E861" s="466" t="s">
        <v>618</v>
      </c>
      <c r="F861" s="466">
        <v>38610540.719999999</v>
      </c>
      <c r="G861" s="478">
        <v>39356.60000000149</v>
      </c>
      <c r="H861" s="466">
        <v>0</v>
      </c>
      <c r="I861" s="479">
        <v>0</v>
      </c>
    </row>
    <row r="862" spans="1:9" ht="15.75" customHeight="1">
      <c r="A862" s="467"/>
      <c r="B862" s="467"/>
      <c r="C862" s="466"/>
      <c r="D862" s="497">
        <v>46351</v>
      </c>
      <c r="E862" s="466" t="s">
        <v>624</v>
      </c>
      <c r="F862" s="466">
        <v>38649897.329999998</v>
      </c>
      <c r="G862" s="478">
        <v>39356.609999999404</v>
      </c>
      <c r="H862" s="466">
        <v>275496.23999999464</v>
      </c>
      <c r="I862" s="479">
        <v>0</v>
      </c>
    </row>
    <row r="863" spans="1:9" ht="15.75" customHeight="1">
      <c r="A863" s="467"/>
      <c r="B863" s="467"/>
      <c r="C863" s="466"/>
      <c r="D863" s="497">
        <v>46352</v>
      </c>
      <c r="E863" s="466" t="s">
        <v>623</v>
      </c>
      <c r="F863" s="466">
        <v>38689253.93</v>
      </c>
      <c r="G863" s="478">
        <v>39356.60000000149</v>
      </c>
      <c r="H863" s="466">
        <v>0</v>
      </c>
      <c r="I863" s="479">
        <v>0</v>
      </c>
    </row>
    <row r="864" spans="1:9" ht="15.75" customHeight="1">
      <c r="A864" s="467"/>
      <c r="B864" s="467"/>
      <c r="C864" s="466"/>
      <c r="D864" s="497">
        <v>46353</v>
      </c>
      <c r="E864" s="466" t="s">
        <v>622</v>
      </c>
      <c r="F864" s="466">
        <v>38728610.539999999</v>
      </c>
      <c r="G864" s="478">
        <v>39356.609999999404</v>
      </c>
      <c r="H864" s="466">
        <v>0</v>
      </c>
      <c r="I864" s="479">
        <v>0</v>
      </c>
    </row>
    <row r="865" spans="1:9" ht="15.75" customHeight="1">
      <c r="A865" s="467"/>
      <c r="B865" s="467"/>
      <c r="C865" s="466"/>
      <c r="D865" s="497">
        <v>46354</v>
      </c>
      <c r="E865" s="466" t="s">
        <v>621</v>
      </c>
      <c r="F865" s="466">
        <v>38767967.140000001</v>
      </c>
      <c r="G865" s="478">
        <v>39356.60000000149</v>
      </c>
      <c r="H865" s="466">
        <v>0</v>
      </c>
      <c r="I865" s="479">
        <v>0</v>
      </c>
    </row>
    <row r="866" spans="1:9" ht="15.75" customHeight="1">
      <c r="A866" s="467"/>
      <c r="B866" s="467"/>
      <c r="C866" s="466"/>
      <c r="D866" s="497">
        <v>46355</v>
      </c>
      <c r="E866" s="466" t="s">
        <v>620</v>
      </c>
      <c r="F866" s="466">
        <v>38807323.75</v>
      </c>
      <c r="G866" s="478">
        <v>39356.609999999404</v>
      </c>
      <c r="H866" s="466">
        <v>0</v>
      </c>
      <c r="I866" s="479">
        <v>0</v>
      </c>
    </row>
    <row r="867" spans="1:9" ht="15.75" customHeight="1">
      <c r="A867" s="467"/>
      <c r="B867" s="467"/>
      <c r="C867" s="466"/>
      <c r="D867" s="497">
        <v>46356</v>
      </c>
      <c r="E867" s="466" t="s">
        <v>619</v>
      </c>
      <c r="F867" s="466">
        <v>38846680.350000001</v>
      </c>
      <c r="G867" s="478">
        <v>39356.60000000149</v>
      </c>
      <c r="H867" s="466">
        <v>0</v>
      </c>
      <c r="I867" s="479">
        <v>0</v>
      </c>
    </row>
    <row r="868" spans="1:9" ht="15.75" customHeight="1">
      <c r="A868" s="467"/>
      <c r="B868" s="467"/>
      <c r="C868" s="466"/>
      <c r="D868" s="497">
        <v>46357</v>
      </c>
      <c r="E868" s="466" t="s">
        <v>618</v>
      </c>
      <c r="F868" s="466">
        <v>38886036.960000001</v>
      </c>
      <c r="G868" s="478">
        <v>39356.609999999404</v>
      </c>
      <c r="H868" s="466">
        <v>0</v>
      </c>
      <c r="I868" s="479">
        <v>0</v>
      </c>
    </row>
    <row r="869" spans="1:9" ht="15.75" customHeight="1">
      <c r="A869" s="467"/>
      <c r="B869" s="467"/>
      <c r="C869" s="466"/>
      <c r="D869" s="497">
        <v>46358</v>
      </c>
      <c r="E869" s="466" t="s">
        <v>624</v>
      </c>
      <c r="F869" s="466">
        <v>38925393.560000002</v>
      </c>
      <c r="G869" s="478">
        <v>39356.60000000149</v>
      </c>
      <c r="H869" s="466">
        <v>275496.23000000417</v>
      </c>
      <c r="I869" s="479">
        <v>550992.46999999881</v>
      </c>
    </row>
    <row r="870" spans="1:9" ht="15.75" customHeight="1">
      <c r="A870" s="467"/>
      <c r="B870" s="467"/>
      <c r="C870" s="466"/>
      <c r="D870" s="497">
        <v>46359</v>
      </c>
      <c r="E870" s="466" t="s">
        <v>623</v>
      </c>
      <c r="F870" s="466">
        <v>38964750.170000002</v>
      </c>
      <c r="G870" s="478">
        <v>39356.609999999404</v>
      </c>
      <c r="H870" s="466">
        <v>0</v>
      </c>
      <c r="I870" s="479">
        <v>0</v>
      </c>
    </row>
    <row r="871" spans="1:9" ht="15.75" customHeight="1">
      <c r="A871" s="467"/>
      <c r="B871" s="467"/>
      <c r="C871" s="466"/>
      <c r="D871" s="497">
        <v>46360</v>
      </c>
      <c r="E871" s="466" t="s">
        <v>622</v>
      </c>
      <c r="F871" s="466">
        <v>39004106.770000003</v>
      </c>
      <c r="G871" s="478">
        <v>39356.60000000149</v>
      </c>
      <c r="H871" s="466">
        <v>0</v>
      </c>
      <c r="I871" s="479">
        <v>0</v>
      </c>
    </row>
    <row r="872" spans="1:9" ht="15.75" customHeight="1">
      <c r="A872" s="467"/>
      <c r="B872" s="467"/>
      <c r="C872" s="466"/>
      <c r="D872" s="497">
        <v>46361</v>
      </c>
      <c r="E872" s="466" t="s">
        <v>621</v>
      </c>
      <c r="F872" s="466">
        <v>39043463.380000003</v>
      </c>
      <c r="G872" s="478">
        <v>39356.609999999404</v>
      </c>
      <c r="H872" s="466">
        <v>0</v>
      </c>
      <c r="I872" s="479">
        <v>0</v>
      </c>
    </row>
    <row r="873" spans="1:9" ht="15.75" customHeight="1">
      <c r="A873" s="467"/>
      <c r="B873" s="467"/>
      <c r="C873" s="466"/>
      <c r="D873" s="497">
        <v>46362</v>
      </c>
      <c r="E873" s="466" t="s">
        <v>620</v>
      </c>
      <c r="F873" s="466">
        <v>39082819.979999997</v>
      </c>
      <c r="G873" s="478">
        <v>39356.59999999404</v>
      </c>
      <c r="H873" s="466">
        <v>0</v>
      </c>
      <c r="I873" s="479">
        <v>0</v>
      </c>
    </row>
    <row r="874" spans="1:9" ht="15.75" customHeight="1">
      <c r="A874" s="467"/>
      <c r="B874" s="467"/>
      <c r="C874" s="466"/>
      <c r="D874" s="497">
        <v>46363</v>
      </c>
      <c r="E874" s="466" t="s">
        <v>619</v>
      </c>
      <c r="F874" s="466">
        <v>39122176.590000004</v>
      </c>
      <c r="G874" s="478">
        <v>39356.610000006855</v>
      </c>
      <c r="H874" s="466">
        <v>0</v>
      </c>
      <c r="I874" s="479">
        <v>0</v>
      </c>
    </row>
    <row r="875" spans="1:9" ht="15.75" customHeight="1">
      <c r="A875" s="467"/>
      <c r="B875" s="467"/>
      <c r="C875" s="466"/>
      <c r="D875" s="497">
        <v>46364</v>
      </c>
      <c r="E875" s="466" t="s">
        <v>618</v>
      </c>
      <c r="F875" s="466">
        <v>39161533.189999998</v>
      </c>
      <c r="G875" s="478">
        <v>39356.59999999404</v>
      </c>
      <c r="H875" s="466">
        <v>0</v>
      </c>
      <c r="I875" s="479">
        <v>0</v>
      </c>
    </row>
    <row r="876" spans="1:9" ht="15.75" customHeight="1">
      <c r="A876" s="467"/>
      <c r="B876" s="467"/>
      <c r="C876" s="466"/>
      <c r="D876" s="497">
        <v>46365</v>
      </c>
      <c r="E876" s="466" t="s">
        <v>624</v>
      </c>
      <c r="F876" s="466">
        <v>39200889.799999997</v>
      </c>
      <c r="G876" s="478">
        <v>39356.609999999404</v>
      </c>
      <c r="H876" s="466">
        <v>275496.23999999464</v>
      </c>
      <c r="I876" s="479">
        <v>0</v>
      </c>
    </row>
    <row r="877" spans="1:9" ht="15.75" customHeight="1">
      <c r="A877" s="467"/>
      <c r="B877" s="467"/>
      <c r="C877" s="466"/>
      <c r="D877" s="497">
        <v>46366</v>
      </c>
      <c r="E877" s="466" t="s">
        <v>623</v>
      </c>
      <c r="F877" s="466">
        <v>39240246.399999999</v>
      </c>
      <c r="G877" s="478">
        <v>39356.60000000149</v>
      </c>
      <c r="H877" s="466">
        <v>0</v>
      </c>
      <c r="I877" s="479">
        <v>0</v>
      </c>
    </row>
    <row r="878" spans="1:9" ht="15.75" customHeight="1">
      <c r="A878" s="467"/>
      <c r="B878" s="467"/>
      <c r="C878" s="466"/>
      <c r="D878" s="497">
        <v>46367</v>
      </c>
      <c r="E878" s="466" t="s">
        <v>622</v>
      </c>
      <c r="F878" s="466">
        <v>39279603.009999998</v>
      </c>
      <c r="G878" s="478">
        <v>39356.609999999404</v>
      </c>
      <c r="H878" s="466">
        <v>0</v>
      </c>
      <c r="I878" s="479">
        <v>0</v>
      </c>
    </row>
    <row r="879" spans="1:9" ht="15.75" customHeight="1">
      <c r="A879" s="467"/>
      <c r="B879" s="467"/>
      <c r="C879" s="466"/>
      <c r="D879" s="497">
        <v>46368</v>
      </c>
      <c r="E879" s="466" t="s">
        <v>621</v>
      </c>
      <c r="F879" s="466">
        <v>39318959.609999999</v>
      </c>
      <c r="G879" s="478">
        <v>39356.60000000149</v>
      </c>
      <c r="H879" s="466">
        <v>0</v>
      </c>
      <c r="I879" s="479">
        <v>0</v>
      </c>
    </row>
    <row r="880" spans="1:9" ht="15.75" customHeight="1">
      <c r="A880" s="467"/>
      <c r="B880" s="467"/>
      <c r="C880" s="466"/>
      <c r="D880" s="497">
        <v>46369</v>
      </c>
      <c r="E880" s="466" t="s">
        <v>620</v>
      </c>
      <c r="F880" s="466">
        <v>39358316.219999999</v>
      </c>
      <c r="G880" s="478">
        <v>39356.609999999404</v>
      </c>
      <c r="H880" s="466">
        <v>0</v>
      </c>
      <c r="I880" s="479">
        <v>0</v>
      </c>
    </row>
    <row r="881" spans="1:9" ht="15.75" customHeight="1">
      <c r="A881" s="467"/>
      <c r="B881" s="467"/>
      <c r="C881" s="466"/>
      <c r="D881" s="497">
        <v>46370</v>
      </c>
      <c r="E881" s="466" t="s">
        <v>619</v>
      </c>
      <c r="F881" s="466">
        <v>39397672.82</v>
      </c>
      <c r="G881" s="478">
        <v>39356.60000000149</v>
      </c>
      <c r="H881" s="466">
        <v>0</v>
      </c>
      <c r="I881" s="479">
        <v>0</v>
      </c>
    </row>
    <row r="882" spans="1:9" ht="15.75" customHeight="1">
      <c r="A882" s="467"/>
      <c r="B882" s="467"/>
      <c r="C882" s="466"/>
      <c r="D882" s="497">
        <v>46371</v>
      </c>
      <c r="E882" s="466" t="s">
        <v>618</v>
      </c>
      <c r="F882" s="466">
        <v>39437029.43</v>
      </c>
      <c r="G882" s="478">
        <v>39356.609999999404</v>
      </c>
      <c r="H882" s="466">
        <v>0</v>
      </c>
      <c r="I882" s="479">
        <v>0</v>
      </c>
    </row>
    <row r="883" spans="1:9" ht="15.75" customHeight="1">
      <c r="A883" s="467"/>
      <c r="B883" s="467"/>
      <c r="C883" s="466"/>
      <c r="D883" s="497">
        <v>46372</v>
      </c>
      <c r="E883" s="466" t="s">
        <v>624</v>
      </c>
      <c r="F883" s="466">
        <v>39476386.030000001</v>
      </c>
      <c r="G883" s="478">
        <v>39356.60000000149</v>
      </c>
      <c r="H883" s="466">
        <v>275496.23000000417</v>
      </c>
      <c r="I883" s="479">
        <v>550992.46999999881</v>
      </c>
    </row>
    <row r="884" spans="1:9" ht="15.75" customHeight="1">
      <c r="A884" s="467"/>
      <c r="B884" s="467"/>
      <c r="C884" s="466"/>
      <c r="D884" s="497">
        <v>46373</v>
      </c>
      <c r="E884" s="466" t="s">
        <v>623</v>
      </c>
      <c r="F884" s="466">
        <v>39515742.640000001</v>
      </c>
      <c r="G884" s="478">
        <v>39356.609999999404</v>
      </c>
      <c r="H884" s="466">
        <v>0</v>
      </c>
      <c r="I884" s="479">
        <v>0</v>
      </c>
    </row>
    <row r="885" spans="1:9" ht="15.75" customHeight="1">
      <c r="A885" s="467"/>
      <c r="B885" s="467"/>
      <c r="C885" s="466"/>
      <c r="D885" s="497">
        <v>46374</v>
      </c>
      <c r="E885" s="466" t="s">
        <v>622</v>
      </c>
      <c r="F885" s="466">
        <v>39555099.240000002</v>
      </c>
      <c r="G885" s="478">
        <v>39356.60000000149</v>
      </c>
      <c r="H885" s="466">
        <v>0</v>
      </c>
      <c r="I885" s="479">
        <v>0</v>
      </c>
    </row>
    <row r="886" spans="1:9" ht="15.75" customHeight="1">
      <c r="A886" s="467"/>
      <c r="B886" s="467"/>
      <c r="C886" s="466"/>
      <c r="D886" s="497">
        <v>46375</v>
      </c>
      <c r="E886" s="466" t="s">
        <v>621</v>
      </c>
      <c r="F886" s="466">
        <v>39594455.850000001</v>
      </c>
      <c r="G886" s="478">
        <v>39356.609999999404</v>
      </c>
      <c r="H886" s="466">
        <v>0</v>
      </c>
      <c r="I886" s="479">
        <v>0</v>
      </c>
    </row>
    <row r="887" spans="1:9" ht="15.75" customHeight="1">
      <c r="A887" s="467"/>
      <c r="B887" s="467"/>
      <c r="C887" s="466"/>
      <c r="D887" s="497">
        <v>46376</v>
      </c>
      <c r="E887" s="466" t="s">
        <v>620</v>
      </c>
      <c r="F887" s="466">
        <v>39633812.450000003</v>
      </c>
      <c r="G887" s="478">
        <v>39356.60000000149</v>
      </c>
      <c r="H887" s="466">
        <v>0</v>
      </c>
      <c r="I887" s="479">
        <v>0</v>
      </c>
    </row>
    <row r="888" spans="1:9" ht="15.75" customHeight="1">
      <c r="A888" s="467"/>
      <c r="B888" s="467"/>
      <c r="C888" s="466"/>
      <c r="D888" s="497">
        <v>46377</v>
      </c>
      <c r="E888" s="466" t="s">
        <v>619</v>
      </c>
      <c r="F888" s="466">
        <v>39673169.060000002</v>
      </c>
      <c r="G888" s="478">
        <v>39356.609999999404</v>
      </c>
      <c r="H888" s="466">
        <v>0</v>
      </c>
      <c r="I888" s="479">
        <v>0</v>
      </c>
    </row>
    <row r="889" spans="1:9" ht="15.75" customHeight="1">
      <c r="A889" s="467"/>
      <c r="B889" s="467"/>
      <c r="C889" s="466"/>
      <c r="D889" s="497">
        <v>46378</v>
      </c>
      <c r="E889" s="466" t="s">
        <v>618</v>
      </c>
      <c r="F889" s="466">
        <v>39712525.659999996</v>
      </c>
      <c r="G889" s="478">
        <v>39356.59999999404</v>
      </c>
      <c r="H889" s="466">
        <v>0</v>
      </c>
      <c r="I889" s="479">
        <v>0</v>
      </c>
    </row>
    <row r="890" spans="1:9" ht="15.75" customHeight="1">
      <c r="A890" s="467"/>
      <c r="B890" s="467"/>
      <c r="C890" s="466"/>
      <c r="D890" s="497">
        <v>46379</v>
      </c>
      <c r="E890" s="466" t="s">
        <v>624</v>
      </c>
      <c r="F890" s="466">
        <v>39751882.270000003</v>
      </c>
      <c r="G890" s="478">
        <v>39356.610000006855</v>
      </c>
      <c r="H890" s="466">
        <v>275496.24000000209</v>
      </c>
      <c r="I890" s="479">
        <v>0</v>
      </c>
    </row>
    <row r="891" spans="1:9" ht="15.75" customHeight="1">
      <c r="A891" s="467"/>
      <c r="B891" s="467"/>
      <c r="C891" s="466"/>
      <c r="D891" s="497">
        <v>46380</v>
      </c>
      <c r="E891" s="466" t="s">
        <v>623</v>
      </c>
      <c r="F891" s="466">
        <v>39791238.869999997</v>
      </c>
      <c r="G891" s="478">
        <v>39356.59999999404</v>
      </c>
      <c r="H891" s="466">
        <v>0</v>
      </c>
      <c r="I891" s="479">
        <v>0</v>
      </c>
    </row>
    <row r="892" spans="1:9" ht="15.75" customHeight="1">
      <c r="A892" s="467"/>
      <c r="B892" s="467"/>
      <c r="C892" s="466"/>
      <c r="D892" s="497">
        <v>46381</v>
      </c>
      <c r="E892" s="466" t="s">
        <v>622</v>
      </c>
      <c r="F892" s="466">
        <v>39830595.479999997</v>
      </c>
      <c r="G892" s="478">
        <v>39356.609999999404</v>
      </c>
      <c r="H892" s="466">
        <v>0</v>
      </c>
      <c r="I892" s="479">
        <v>0</v>
      </c>
    </row>
    <row r="893" spans="1:9" ht="15.75" customHeight="1">
      <c r="A893" s="467"/>
      <c r="B893" s="467"/>
      <c r="C893" s="466"/>
      <c r="D893" s="497">
        <v>46382</v>
      </c>
      <c r="E893" s="466" t="s">
        <v>621</v>
      </c>
      <c r="F893" s="466">
        <v>39869952.079999998</v>
      </c>
      <c r="G893" s="478">
        <v>39356.60000000149</v>
      </c>
      <c r="H893" s="466">
        <v>0</v>
      </c>
      <c r="I893" s="479">
        <v>0</v>
      </c>
    </row>
    <row r="894" spans="1:9" ht="15.75" customHeight="1">
      <c r="A894" s="467"/>
      <c r="B894" s="467"/>
      <c r="C894" s="466"/>
      <c r="D894" s="497">
        <v>46383</v>
      </c>
      <c r="E894" s="466" t="s">
        <v>620</v>
      </c>
      <c r="F894" s="466">
        <v>39909308.689999998</v>
      </c>
      <c r="G894" s="478">
        <v>39356.609999999404</v>
      </c>
      <c r="H894" s="466">
        <v>0</v>
      </c>
      <c r="I894" s="479">
        <v>0</v>
      </c>
    </row>
    <row r="895" spans="1:9" ht="15.75" customHeight="1">
      <c r="A895" s="467"/>
      <c r="B895" s="467"/>
      <c r="C895" s="466"/>
      <c r="D895" s="497">
        <v>46384</v>
      </c>
      <c r="E895" s="466" t="s">
        <v>619</v>
      </c>
      <c r="F895" s="466">
        <v>39948665.289999999</v>
      </c>
      <c r="G895" s="478">
        <v>39356.60000000149</v>
      </c>
      <c r="H895" s="466">
        <v>0</v>
      </c>
      <c r="I895" s="479">
        <v>0</v>
      </c>
    </row>
    <row r="896" spans="1:9" ht="15.75" customHeight="1">
      <c r="A896" s="467"/>
      <c r="B896" s="467"/>
      <c r="C896" s="466"/>
      <c r="D896" s="497">
        <v>46385</v>
      </c>
      <c r="E896" s="466" t="s">
        <v>618</v>
      </c>
      <c r="F896" s="466">
        <v>39988021.899999999</v>
      </c>
      <c r="G896" s="478">
        <v>39356.609999999404</v>
      </c>
      <c r="H896" s="466">
        <v>0</v>
      </c>
      <c r="I896" s="479">
        <v>0</v>
      </c>
    </row>
    <row r="897" spans="1:9" ht="15.75" customHeight="1">
      <c r="A897" s="467"/>
      <c r="B897" s="467"/>
      <c r="C897" s="466"/>
      <c r="D897" s="497">
        <v>46386</v>
      </c>
      <c r="E897" s="466" t="s">
        <v>624</v>
      </c>
      <c r="F897" s="466">
        <v>40027378.5</v>
      </c>
      <c r="G897" s="478">
        <v>39356.60000000149</v>
      </c>
      <c r="H897" s="466">
        <v>275496.22999999672</v>
      </c>
      <c r="I897" s="479">
        <v>550992.46999999881</v>
      </c>
    </row>
    <row r="898" spans="1:9" ht="15.75" customHeight="1">
      <c r="A898" s="467"/>
      <c r="B898" s="467"/>
      <c r="C898" s="466"/>
      <c r="D898" s="497">
        <v>46387</v>
      </c>
      <c r="E898" s="466" t="s">
        <v>623</v>
      </c>
      <c r="F898" s="466">
        <v>40066735.109999999</v>
      </c>
      <c r="G898" s="478">
        <v>39356.609999999404</v>
      </c>
      <c r="H898" s="466">
        <v>0</v>
      </c>
      <c r="I898" s="479">
        <v>0</v>
      </c>
    </row>
    <row r="899" spans="1:9" ht="15.75" customHeight="1">
      <c r="A899" s="467"/>
      <c r="B899" s="467"/>
      <c r="C899" s="466"/>
      <c r="D899" s="497">
        <v>46388</v>
      </c>
      <c r="E899" s="466" t="s">
        <v>622</v>
      </c>
      <c r="F899" s="466">
        <v>40106091.710000001</v>
      </c>
      <c r="G899" s="478">
        <v>39356.60000000149</v>
      </c>
      <c r="H899" s="466">
        <v>0</v>
      </c>
      <c r="I899" s="479">
        <v>0</v>
      </c>
    </row>
    <row r="900" spans="1:9" ht="15.75" customHeight="1">
      <c r="A900" s="467"/>
      <c r="B900" s="467"/>
      <c r="C900" s="466"/>
      <c r="D900" s="497">
        <v>46389</v>
      </c>
      <c r="E900" s="466" t="s">
        <v>621</v>
      </c>
      <c r="F900" s="466">
        <v>40145448.32</v>
      </c>
      <c r="G900" s="478">
        <v>39356.609999999404</v>
      </c>
      <c r="H900" s="466">
        <v>0</v>
      </c>
      <c r="I900" s="479">
        <v>0</v>
      </c>
    </row>
    <row r="901" spans="1:9" ht="15.75" customHeight="1">
      <c r="A901" s="467"/>
      <c r="B901" s="467"/>
      <c r="C901" s="466"/>
      <c r="D901" s="497">
        <v>46390</v>
      </c>
      <c r="E901" s="466" t="s">
        <v>620</v>
      </c>
      <c r="F901" s="466">
        <v>40184804.920000002</v>
      </c>
      <c r="G901" s="478">
        <v>39356.60000000149</v>
      </c>
      <c r="H901" s="466">
        <v>0</v>
      </c>
      <c r="I901" s="479">
        <v>0</v>
      </c>
    </row>
    <row r="902" spans="1:9" ht="15.75" customHeight="1">
      <c r="A902" s="467"/>
      <c r="B902" s="467"/>
      <c r="C902" s="466"/>
      <c r="D902" s="497">
        <v>46391</v>
      </c>
      <c r="E902" s="466" t="s">
        <v>619</v>
      </c>
      <c r="F902" s="466">
        <v>40224161.530000001</v>
      </c>
      <c r="G902" s="478">
        <v>39356.609999999404</v>
      </c>
      <c r="H902" s="466">
        <v>0</v>
      </c>
      <c r="I902" s="479">
        <v>0</v>
      </c>
    </row>
    <row r="903" spans="1:9" ht="15.75" customHeight="1">
      <c r="A903" s="467"/>
      <c r="B903" s="467"/>
      <c r="C903" s="466"/>
      <c r="D903" s="497">
        <v>46392</v>
      </c>
      <c r="E903" s="466" t="s">
        <v>618</v>
      </c>
      <c r="F903" s="466">
        <v>40263518.130000003</v>
      </c>
      <c r="G903" s="478">
        <v>39356.60000000149</v>
      </c>
      <c r="H903" s="466">
        <v>0</v>
      </c>
      <c r="I903" s="479">
        <v>0</v>
      </c>
    </row>
    <row r="904" spans="1:9" ht="15.75" customHeight="1">
      <c r="A904" s="467"/>
      <c r="B904" s="467"/>
      <c r="C904" s="466"/>
      <c r="D904" s="497">
        <v>46393</v>
      </c>
      <c r="E904" s="466" t="s">
        <v>624</v>
      </c>
      <c r="F904" s="466">
        <v>40302874.740000002</v>
      </c>
      <c r="G904" s="478">
        <v>39356.609999999404</v>
      </c>
      <c r="H904" s="466">
        <v>275496.24000000209</v>
      </c>
      <c r="I904" s="479">
        <v>0</v>
      </c>
    </row>
    <row r="905" spans="1:9" ht="15.75" customHeight="1">
      <c r="A905" s="467"/>
      <c r="B905" s="467"/>
      <c r="C905" s="466"/>
      <c r="D905" s="497">
        <v>46394</v>
      </c>
      <c r="E905" s="466" t="s">
        <v>623</v>
      </c>
      <c r="F905" s="466">
        <v>40342231.340000004</v>
      </c>
      <c r="G905" s="478">
        <v>39356.60000000149</v>
      </c>
      <c r="H905" s="466">
        <v>0</v>
      </c>
      <c r="I905" s="479">
        <v>0</v>
      </c>
    </row>
    <row r="906" spans="1:9" ht="15.75" customHeight="1">
      <c r="A906" s="467"/>
      <c r="B906" s="467"/>
      <c r="C906" s="466"/>
      <c r="D906" s="497">
        <v>46395</v>
      </c>
      <c r="E906" s="466" t="s">
        <v>622</v>
      </c>
      <c r="F906" s="466">
        <v>40381587.950000003</v>
      </c>
      <c r="G906" s="478">
        <v>39356.609999999404</v>
      </c>
      <c r="H906" s="466">
        <v>0</v>
      </c>
      <c r="I906" s="479">
        <v>0</v>
      </c>
    </row>
    <row r="907" spans="1:9" ht="15.75" customHeight="1">
      <c r="A907" s="467"/>
      <c r="B907" s="467"/>
      <c r="C907" s="466"/>
      <c r="D907" s="497">
        <v>46396</v>
      </c>
      <c r="E907" s="466" t="s">
        <v>621</v>
      </c>
      <c r="F907" s="466">
        <v>40420944.549999997</v>
      </c>
      <c r="G907" s="478">
        <v>39356.59999999404</v>
      </c>
      <c r="H907" s="466">
        <v>0</v>
      </c>
      <c r="I907" s="479">
        <v>0</v>
      </c>
    </row>
    <row r="908" spans="1:9" ht="15.75" customHeight="1">
      <c r="A908" s="467"/>
      <c r="B908" s="467"/>
      <c r="C908" s="466"/>
      <c r="D908" s="497">
        <v>46397</v>
      </c>
      <c r="E908" s="466" t="s">
        <v>620</v>
      </c>
      <c r="F908" s="466">
        <v>40460301.159999996</v>
      </c>
      <c r="G908" s="478">
        <v>39356.609999999404</v>
      </c>
      <c r="H908" s="466">
        <v>0</v>
      </c>
      <c r="I908" s="479">
        <v>0</v>
      </c>
    </row>
    <row r="909" spans="1:9" ht="15.75" customHeight="1">
      <c r="A909" s="467"/>
      <c r="B909" s="467"/>
      <c r="C909" s="466"/>
      <c r="D909" s="497">
        <v>46398</v>
      </c>
      <c r="E909" s="466" t="s">
        <v>619</v>
      </c>
      <c r="F909" s="466">
        <v>40499657.759999998</v>
      </c>
      <c r="G909" s="478">
        <v>39356.60000000149</v>
      </c>
      <c r="H909" s="466">
        <v>0</v>
      </c>
      <c r="I909" s="479">
        <v>0</v>
      </c>
    </row>
    <row r="910" spans="1:9" ht="15.75" customHeight="1">
      <c r="A910" s="467"/>
      <c r="B910" s="467"/>
      <c r="C910" s="466"/>
      <c r="D910" s="497">
        <v>46399</v>
      </c>
      <c r="E910" s="466" t="s">
        <v>618</v>
      </c>
      <c r="F910" s="466">
        <v>40539014.369999997</v>
      </c>
      <c r="G910" s="478">
        <v>39356.609999999404</v>
      </c>
      <c r="H910" s="466">
        <v>0</v>
      </c>
      <c r="I910" s="479">
        <v>0</v>
      </c>
    </row>
    <row r="911" spans="1:9" ht="15.75" customHeight="1">
      <c r="A911" s="467"/>
      <c r="B911" s="467"/>
      <c r="C911" s="466"/>
      <c r="D911" s="497">
        <v>46400</v>
      </c>
      <c r="E911" s="466" t="s">
        <v>624</v>
      </c>
      <c r="F911" s="466">
        <v>40578370.969999999</v>
      </c>
      <c r="G911" s="478">
        <v>39356.60000000149</v>
      </c>
      <c r="H911" s="466">
        <v>275496.22999999672</v>
      </c>
      <c r="I911" s="479">
        <v>550992.46999999881</v>
      </c>
    </row>
    <row r="912" spans="1:9" ht="15.75" customHeight="1">
      <c r="A912" s="467"/>
      <c r="B912" s="467"/>
      <c r="C912" s="466"/>
      <c r="D912" s="497">
        <v>46401</v>
      </c>
      <c r="E912" s="466" t="s">
        <v>623</v>
      </c>
      <c r="F912" s="466">
        <v>40617727.579999998</v>
      </c>
      <c r="G912" s="478">
        <v>39356.609999999404</v>
      </c>
      <c r="H912" s="466">
        <v>0</v>
      </c>
      <c r="I912" s="479">
        <v>0</v>
      </c>
    </row>
    <row r="913" spans="1:9" ht="15.75" customHeight="1">
      <c r="A913" s="467"/>
      <c r="B913" s="467"/>
      <c r="C913" s="466"/>
      <c r="D913" s="497">
        <v>46402</v>
      </c>
      <c r="E913" s="466" t="s">
        <v>622</v>
      </c>
      <c r="F913" s="466">
        <v>40657084.18</v>
      </c>
      <c r="G913" s="478">
        <v>39356.60000000149</v>
      </c>
      <c r="H913" s="466">
        <v>0</v>
      </c>
      <c r="I913" s="479">
        <v>0</v>
      </c>
    </row>
    <row r="914" spans="1:9" ht="15.75" customHeight="1">
      <c r="A914" s="467"/>
      <c r="B914" s="467"/>
      <c r="C914" s="466"/>
      <c r="D914" s="497">
        <v>46403</v>
      </c>
      <c r="E914" s="466" t="s">
        <v>621</v>
      </c>
      <c r="F914" s="466">
        <v>40696440.789999999</v>
      </c>
      <c r="G914" s="478">
        <v>39356.609999999404</v>
      </c>
      <c r="H914" s="466">
        <v>0</v>
      </c>
      <c r="I914" s="479">
        <v>0</v>
      </c>
    </row>
    <row r="915" spans="1:9" ht="15.75" customHeight="1">
      <c r="A915" s="467"/>
      <c r="B915" s="467"/>
      <c r="C915" s="466"/>
      <c r="D915" s="497">
        <v>46404</v>
      </c>
      <c r="E915" s="466" t="s">
        <v>620</v>
      </c>
      <c r="F915" s="466">
        <v>40735797.390000001</v>
      </c>
      <c r="G915" s="478">
        <v>39356.60000000149</v>
      </c>
      <c r="H915" s="466">
        <v>0</v>
      </c>
      <c r="I915" s="479">
        <v>0</v>
      </c>
    </row>
    <row r="916" spans="1:9" ht="15.75" customHeight="1">
      <c r="A916" s="467"/>
      <c r="B916" s="467"/>
      <c r="C916" s="466"/>
      <c r="D916" s="497">
        <v>46405</v>
      </c>
      <c r="E916" s="466" t="s">
        <v>619</v>
      </c>
      <c r="F916" s="466">
        <v>40775154</v>
      </c>
      <c r="G916" s="478">
        <v>39356.609999999404</v>
      </c>
      <c r="H916" s="466">
        <v>0</v>
      </c>
      <c r="I916" s="479">
        <v>0</v>
      </c>
    </row>
    <row r="917" spans="1:9" ht="15.75" customHeight="1">
      <c r="A917" s="467"/>
      <c r="B917" s="467"/>
      <c r="C917" s="466"/>
      <c r="D917" s="497">
        <v>46406</v>
      </c>
      <c r="E917" s="466" t="s">
        <v>618</v>
      </c>
      <c r="F917" s="466">
        <v>40814510.600000001</v>
      </c>
      <c r="G917" s="478">
        <v>39356.60000000149</v>
      </c>
      <c r="H917" s="466">
        <v>0</v>
      </c>
      <c r="I917" s="479">
        <v>0</v>
      </c>
    </row>
    <row r="918" spans="1:9" ht="15.75" customHeight="1">
      <c r="A918" s="467"/>
      <c r="B918" s="467"/>
      <c r="C918" s="466"/>
      <c r="D918" s="497">
        <v>46407</v>
      </c>
      <c r="E918" s="466" t="s">
        <v>624</v>
      </c>
      <c r="F918" s="466">
        <v>40853867.210000001</v>
      </c>
      <c r="G918" s="478">
        <v>39356.609999999404</v>
      </c>
      <c r="H918" s="466">
        <v>275496.24000000209</v>
      </c>
      <c r="I918" s="479">
        <v>0</v>
      </c>
    </row>
    <row r="919" spans="1:9" ht="15.75" customHeight="1">
      <c r="A919" s="467"/>
      <c r="B919" s="467"/>
      <c r="C919" s="466"/>
      <c r="D919" s="497">
        <v>46408</v>
      </c>
      <c r="E919" s="466" t="s">
        <v>623</v>
      </c>
      <c r="F919" s="466">
        <v>40893223.810000002</v>
      </c>
      <c r="G919" s="478">
        <v>39356.60000000149</v>
      </c>
      <c r="H919" s="466">
        <v>0</v>
      </c>
      <c r="I919" s="479">
        <v>0</v>
      </c>
    </row>
    <row r="920" spans="1:9" ht="15.75" customHeight="1">
      <c r="A920" s="467"/>
      <c r="B920" s="467"/>
      <c r="C920" s="466"/>
      <c r="D920" s="497">
        <v>46409</v>
      </c>
      <c r="E920" s="466" t="s">
        <v>622</v>
      </c>
      <c r="F920" s="466">
        <v>40932580.420000002</v>
      </c>
      <c r="G920" s="478">
        <v>39356.609999999404</v>
      </c>
      <c r="H920" s="466">
        <v>0</v>
      </c>
      <c r="I920" s="479">
        <v>0</v>
      </c>
    </row>
    <row r="921" spans="1:9" ht="15.75" customHeight="1">
      <c r="A921" s="467"/>
      <c r="B921" s="467"/>
      <c r="C921" s="466"/>
      <c r="D921" s="497">
        <v>46410</v>
      </c>
      <c r="E921" s="466" t="s">
        <v>621</v>
      </c>
      <c r="F921" s="466">
        <v>40971937.020000003</v>
      </c>
      <c r="G921" s="478">
        <v>39356.60000000149</v>
      </c>
      <c r="H921" s="466">
        <v>0</v>
      </c>
      <c r="I921" s="479">
        <v>0</v>
      </c>
    </row>
    <row r="922" spans="1:9" ht="15.75" customHeight="1">
      <c r="A922" s="467"/>
      <c r="B922" s="467"/>
      <c r="C922" s="466"/>
      <c r="D922" s="497">
        <v>46411</v>
      </c>
      <c r="E922" s="466" t="s">
        <v>620</v>
      </c>
      <c r="F922" s="466">
        <v>41011293.630000003</v>
      </c>
      <c r="G922" s="478">
        <v>39356.609999999404</v>
      </c>
      <c r="H922" s="466">
        <v>0</v>
      </c>
      <c r="I922" s="479">
        <v>0</v>
      </c>
    </row>
    <row r="923" spans="1:9" ht="15.75" customHeight="1">
      <c r="A923" s="467"/>
      <c r="B923" s="467"/>
      <c r="C923" s="466"/>
      <c r="D923" s="497">
        <v>46412</v>
      </c>
      <c r="E923" s="466" t="s">
        <v>619</v>
      </c>
      <c r="F923" s="466">
        <v>41050650.229999997</v>
      </c>
      <c r="G923" s="478">
        <v>39356.59999999404</v>
      </c>
      <c r="H923" s="466">
        <v>0</v>
      </c>
      <c r="I923" s="479">
        <v>0</v>
      </c>
    </row>
    <row r="924" spans="1:9" ht="15.75" customHeight="1">
      <c r="A924" s="467"/>
      <c r="B924" s="467"/>
      <c r="C924" s="466"/>
      <c r="D924" s="497">
        <v>46413</v>
      </c>
      <c r="E924" s="466" t="s">
        <v>618</v>
      </c>
      <c r="F924" s="466">
        <v>41090006.840000004</v>
      </c>
      <c r="G924" s="478">
        <v>39356.610000006855</v>
      </c>
      <c r="H924" s="466">
        <v>0</v>
      </c>
      <c r="I924" s="479">
        <v>0</v>
      </c>
    </row>
    <row r="925" spans="1:9" ht="15.75" customHeight="1">
      <c r="A925" s="467"/>
      <c r="B925" s="467"/>
      <c r="C925" s="466"/>
      <c r="D925" s="497">
        <v>46414</v>
      </c>
      <c r="E925" s="466" t="s">
        <v>624</v>
      </c>
      <c r="F925" s="466">
        <v>41129363.439999998</v>
      </c>
      <c r="G925" s="478">
        <v>39356.59999999404</v>
      </c>
      <c r="H925" s="466">
        <v>275496.22999999672</v>
      </c>
      <c r="I925" s="479">
        <v>550992.46999999881</v>
      </c>
    </row>
    <row r="926" spans="1:9" ht="15.75" customHeight="1">
      <c r="A926" s="467"/>
      <c r="B926" s="467"/>
      <c r="C926" s="466"/>
      <c r="D926" s="497">
        <v>46415</v>
      </c>
      <c r="E926" s="466" t="s">
        <v>623</v>
      </c>
      <c r="F926" s="466">
        <v>41168720.049999997</v>
      </c>
      <c r="G926" s="478">
        <v>39356.609999999404</v>
      </c>
      <c r="H926" s="466">
        <v>0</v>
      </c>
      <c r="I926" s="479">
        <v>0</v>
      </c>
    </row>
    <row r="927" spans="1:9" ht="15.75" customHeight="1">
      <c r="A927" s="467"/>
      <c r="B927" s="467"/>
      <c r="C927" s="466"/>
      <c r="D927" s="497">
        <v>46416</v>
      </c>
      <c r="E927" s="466" t="s">
        <v>622</v>
      </c>
      <c r="F927" s="466">
        <v>41208076.649999999</v>
      </c>
      <c r="G927" s="478">
        <v>39356.60000000149</v>
      </c>
      <c r="H927" s="466">
        <v>0</v>
      </c>
      <c r="I927" s="479">
        <v>0</v>
      </c>
    </row>
    <row r="928" spans="1:9" ht="15.75" customHeight="1">
      <c r="A928" s="467"/>
      <c r="B928" s="467"/>
      <c r="C928" s="466"/>
      <c r="D928" s="497">
        <v>46417</v>
      </c>
      <c r="E928" s="466" t="s">
        <v>621</v>
      </c>
      <c r="F928" s="466">
        <v>41247433.259999998</v>
      </c>
      <c r="G928" s="478">
        <v>39356.609999999404</v>
      </c>
      <c r="H928" s="466">
        <v>0</v>
      </c>
      <c r="I928" s="479">
        <v>0</v>
      </c>
    </row>
    <row r="929" spans="1:9" ht="15.75" customHeight="1">
      <c r="A929" s="467"/>
      <c r="B929" s="467"/>
      <c r="C929" s="466"/>
      <c r="D929" s="497">
        <v>46418</v>
      </c>
      <c r="E929" s="466" t="s">
        <v>620</v>
      </c>
      <c r="F929" s="466">
        <v>41286789.859999999</v>
      </c>
      <c r="G929" s="478">
        <v>39356.60000000149</v>
      </c>
      <c r="H929" s="466">
        <v>0</v>
      </c>
      <c r="I929" s="479">
        <v>0</v>
      </c>
    </row>
    <row r="930" spans="1:9" ht="15.75" customHeight="1">
      <c r="A930" s="467"/>
      <c r="B930" s="467"/>
      <c r="C930" s="466"/>
      <c r="D930" s="497">
        <v>46419</v>
      </c>
      <c r="E930" s="466" t="s">
        <v>619</v>
      </c>
      <c r="F930" s="466">
        <v>41326146.469999999</v>
      </c>
      <c r="G930" s="478">
        <v>39356.609999999404</v>
      </c>
      <c r="H930" s="466">
        <v>0</v>
      </c>
      <c r="I930" s="479">
        <v>0</v>
      </c>
    </row>
    <row r="931" spans="1:9" ht="15.75" customHeight="1">
      <c r="A931" s="467"/>
      <c r="B931" s="467"/>
      <c r="C931" s="466"/>
      <c r="D931" s="497">
        <v>46420</v>
      </c>
      <c r="E931" s="466" t="s">
        <v>618</v>
      </c>
      <c r="F931" s="466">
        <v>41365503.079999998</v>
      </c>
      <c r="G931" s="478">
        <v>39356.609999999404</v>
      </c>
      <c r="H931" s="466">
        <v>0</v>
      </c>
      <c r="I931" s="479">
        <v>0</v>
      </c>
    </row>
    <row r="932" spans="1:9" ht="15.75" customHeight="1">
      <c r="A932" s="467"/>
      <c r="B932" s="467"/>
      <c r="C932" s="466"/>
      <c r="D932" s="497">
        <v>46421</v>
      </c>
      <c r="E932" s="466" t="s">
        <v>624</v>
      </c>
      <c r="F932" s="466">
        <v>41404859.68</v>
      </c>
      <c r="G932" s="478">
        <v>39356.60000000149</v>
      </c>
      <c r="H932" s="466">
        <v>275496.24000000209</v>
      </c>
      <c r="I932" s="479">
        <v>0</v>
      </c>
    </row>
    <row r="933" spans="1:9" ht="15.75" customHeight="1">
      <c r="A933" s="467"/>
      <c r="B933" s="467"/>
      <c r="C933" s="466"/>
      <c r="D933" s="497">
        <v>46422</v>
      </c>
      <c r="E933" s="466" t="s">
        <v>623</v>
      </c>
      <c r="F933" s="466">
        <v>41444216.289999999</v>
      </c>
      <c r="G933" s="478">
        <v>39356.609999999404</v>
      </c>
      <c r="H933" s="466">
        <v>0</v>
      </c>
      <c r="I933" s="479">
        <v>0</v>
      </c>
    </row>
    <row r="934" spans="1:9" ht="15.75" customHeight="1">
      <c r="A934" s="467"/>
      <c r="B934" s="467"/>
      <c r="C934" s="466"/>
      <c r="D934" s="497">
        <v>46423</v>
      </c>
      <c r="E934" s="466" t="s">
        <v>622</v>
      </c>
      <c r="F934" s="466">
        <v>41483572.890000001</v>
      </c>
      <c r="G934" s="478">
        <v>39356.60000000149</v>
      </c>
      <c r="H934" s="466">
        <v>0</v>
      </c>
      <c r="I934" s="479">
        <v>0</v>
      </c>
    </row>
    <row r="935" spans="1:9" ht="15.75" customHeight="1">
      <c r="A935" s="467"/>
      <c r="B935" s="467"/>
      <c r="C935" s="466"/>
      <c r="D935" s="497">
        <v>46424</v>
      </c>
      <c r="E935" s="466" t="s">
        <v>621</v>
      </c>
      <c r="F935" s="466">
        <v>41522929.5</v>
      </c>
      <c r="G935" s="478">
        <v>39356.609999999404</v>
      </c>
      <c r="H935" s="466">
        <v>0</v>
      </c>
      <c r="I935" s="479">
        <v>0</v>
      </c>
    </row>
    <row r="936" spans="1:9" ht="15.75" customHeight="1">
      <c r="A936" s="467"/>
      <c r="B936" s="467"/>
      <c r="C936" s="466"/>
      <c r="D936" s="497">
        <v>46425</v>
      </c>
      <c r="E936" s="466" t="s">
        <v>620</v>
      </c>
      <c r="F936" s="466">
        <v>41562286.100000001</v>
      </c>
      <c r="G936" s="478">
        <v>39356.60000000149</v>
      </c>
      <c r="H936" s="466">
        <v>0</v>
      </c>
      <c r="I936" s="479">
        <v>0</v>
      </c>
    </row>
    <row r="937" spans="1:9" ht="15.75" customHeight="1">
      <c r="A937" s="467"/>
      <c r="B937" s="467"/>
      <c r="C937" s="466"/>
      <c r="D937" s="497">
        <v>46426</v>
      </c>
      <c r="E937" s="466" t="s">
        <v>619</v>
      </c>
      <c r="F937" s="466">
        <v>41601642.710000001</v>
      </c>
      <c r="G937" s="478">
        <v>39356.609999999404</v>
      </c>
      <c r="H937" s="466">
        <v>0</v>
      </c>
      <c r="I937" s="479">
        <v>0</v>
      </c>
    </row>
    <row r="938" spans="1:9" ht="15.75" customHeight="1">
      <c r="A938" s="467"/>
      <c r="B938" s="467"/>
      <c r="C938" s="466"/>
      <c r="D938" s="497">
        <v>46427</v>
      </c>
      <c r="E938" s="466" t="s">
        <v>618</v>
      </c>
      <c r="F938" s="466">
        <v>41640999.310000002</v>
      </c>
      <c r="G938" s="478">
        <v>39356.60000000149</v>
      </c>
      <c r="H938" s="466">
        <v>0</v>
      </c>
      <c r="I938" s="479">
        <v>0</v>
      </c>
    </row>
    <row r="939" spans="1:9" ht="15.75" customHeight="1">
      <c r="A939" s="467"/>
      <c r="B939" s="467"/>
      <c r="C939" s="466"/>
      <c r="D939" s="497">
        <v>46428</v>
      </c>
      <c r="E939" s="466" t="s">
        <v>624</v>
      </c>
      <c r="F939" s="466">
        <v>41680355.920000002</v>
      </c>
      <c r="G939" s="478">
        <v>39356.609999999404</v>
      </c>
      <c r="H939" s="466">
        <v>275496.24000000209</v>
      </c>
      <c r="I939" s="479">
        <v>550992.48000000417</v>
      </c>
    </row>
    <row r="940" spans="1:9" ht="15.75" customHeight="1">
      <c r="A940" s="467"/>
      <c r="B940" s="467"/>
      <c r="C940" s="466"/>
      <c r="D940" s="497">
        <v>46429</v>
      </c>
      <c r="E940" s="466" t="s">
        <v>623</v>
      </c>
      <c r="F940" s="466">
        <v>41719712.520000003</v>
      </c>
      <c r="G940" s="478">
        <v>39356.60000000149</v>
      </c>
      <c r="H940" s="466">
        <v>0</v>
      </c>
      <c r="I940" s="479">
        <v>0</v>
      </c>
    </row>
    <row r="941" spans="1:9" ht="15.75" customHeight="1">
      <c r="A941" s="467"/>
      <c r="B941" s="467"/>
      <c r="C941" s="466"/>
      <c r="D941" s="497">
        <v>46430</v>
      </c>
      <c r="E941" s="466" t="s">
        <v>622</v>
      </c>
      <c r="F941" s="466">
        <v>41759069.130000003</v>
      </c>
      <c r="G941" s="478">
        <v>39356.609999999404</v>
      </c>
      <c r="H941" s="466">
        <v>0</v>
      </c>
      <c r="I941" s="479">
        <v>0</v>
      </c>
    </row>
    <row r="942" spans="1:9" ht="15.75" customHeight="1">
      <c r="A942" s="467"/>
      <c r="B942" s="467"/>
      <c r="C942" s="466"/>
      <c r="D942" s="497">
        <v>46431</v>
      </c>
      <c r="E942" s="466" t="s">
        <v>621</v>
      </c>
      <c r="F942" s="466">
        <v>41798425.729999997</v>
      </c>
      <c r="G942" s="478">
        <v>39356.59999999404</v>
      </c>
      <c r="H942" s="466">
        <v>0</v>
      </c>
      <c r="I942" s="479">
        <v>0</v>
      </c>
    </row>
    <row r="943" spans="1:9" ht="15.75" customHeight="1">
      <c r="A943" s="467"/>
      <c r="B943" s="467"/>
      <c r="C943" s="466"/>
      <c r="D943" s="497">
        <v>46432</v>
      </c>
      <c r="E943" s="466" t="s">
        <v>620</v>
      </c>
      <c r="F943" s="466">
        <v>41837782.340000004</v>
      </c>
      <c r="G943" s="478">
        <v>39356.610000006855</v>
      </c>
      <c r="H943" s="466">
        <v>0</v>
      </c>
      <c r="I943" s="479">
        <v>0</v>
      </c>
    </row>
    <row r="944" spans="1:9" ht="15.75" customHeight="1">
      <c r="A944" s="467"/>
      <c r="B944" s="467"/>
      <c r="C944" s="466"/>
      <c r="D944" s="497">
        <v>46433</v>
      </c>
      <c r="E944" s="466" t="s">
        <v>619</v>
      </c>
      <c r="F944" s="466">
        <v>41877138.939999998</v>
      </c>
      <c r="G944" s="478">
        <v>39356.59999999404</v>
      </c>
      <c r="H944" s="466">
        <v>0</v>
      </c>
      <c r="I944" s="479">
        <v>0</v>
      </c>
    </row>
    <row r="945" spans="1:9" ht="15.75" customHeight="1">
      <c r="A945" s="467"/>
      <c r="B945" s="467"/>
      <c r="C945" s="466"/>
      <c r="D945" s="497">
        <v>46434</v>
      </c>
      <c r="E945" s="466" t="s">
        <v>618</v>
      </c>
      <c r="F945" s="466">
        <v>41916495.549999997</v>
      </c>
      <c r="G945" s="478">
        <v>39356.609999999404</v>
      </c>
      <c r="H945" s="466">
        <v>0</v>
      </c>
      <c r="I945" s="479">
        <v>0</v>
      </c>
    </row>
    <row r="946" spans="1:9" ht="15.75" customHeight="1">
      <c r="A946" s="467"/>
      <c r="B946" s="467"/>
      <c r="C946" s="466"/>
      <c r="D946" s="497">
        <v>46435</v>
      </c>
      <c r="E946" s="466" t="s">
        <v>624</v>
      </c>
      <c r="F946" s="466">
        <v>41955852.149999999</v>
      </c>
      <c r="G946" s="478">
        <v>39356.60000000149</v>
      </c>
      <c r="H946" s="466">
        <v>275496.22999999672</v>
      </c>
      <c r="I946" s="479">
        <v>0</v>
      </c>
    </row>
    <row r="947" spans="1:9" ht="15.75" customHeight="1">
      <c r="A947" s="467"/>
      <c r="B947" s="467"/>
      <c r="C947" s="466"/>
      <c r="D947" s="497">
        <v>46436</v>
      </c>
      <c r="E947" s="466" t="s">
        <v>623</v>
      </c>
      <c r="F947" s="466">
        <v>41995208.759999998</v>
      </c>
      <c r="G947" s="478">
        <v>39356.609999999404</v>
      </c>
      <c r="H947" s="466">
        <v>0</v>
      </c>
      <c r="I947" s="479">
        <v>0</v>
      </c>
    </row>
    <row r="948" spans="1:9" ht="15.75" customHeight="1">
      <c r="A948" s="467"/>
      <c r="B948" s="467"/>
      <c r="C948" s="466"/>
      <c r="D948" s="497">
        <v>46437</v>
      </c>
      <c r="E948" s="466" t="s">
        <v>622</v>
      </c>
      <c r="F948" s="466">
        <v>42034565.359999999</v>
      </c>
      <c r="G948" s="478">
        <v>39356.60000000149</v>
      </c>
      <c r="H948" s="466">
        <v>0</v>
      </c>
      <c r="I948" s="479">
        <v>0</v>
      </c>
    </row>
    <row r="949" spans="1:9" ht="15.75" customHeight="1">
      <c r="A949" s="467"/>
      <c r="B949" s="467"/>
      <c r="C949" s="466"/>
      <c r="D949" s="497">
        <v>46438</v>
      </c>
      <c r="E949" s="466" t="s">
        <v>621</v>
      </c>
      <c r="F949" s="466">
        <v>42073921.969999999</v>
      </c>
      <c r="G949" s="478">
        <v>39356.609999999404</v>
      </c>
      <c r="H949" s="466">
        <v>0</v>
      </c>
      <c r="I949" s="479">
        <v>0</v>
      </c>
    </row>
    <row r="950" spans="1:9" ht="15.75" customHeight="1">
      <c r="A950" s="467"/>
      <c r="B950" s="467"/>
      <c r="C950" s="466"/>
      <c r="D950" s="497">
        <v>46439</v>
      </c>
      <c r="E950" s="466" t="s">
        <v>620</v>
      </c>
      <c r="F950" s="466">
        <v>42113278.57</v>
      </c>
      <c r="G950" s="478">
        <v>39356.60000000149</v>
      </c>
      <c r="H950" s="466">
        <v>0</v>
      </c>
      <c r="I950" s="479">
        <v>0</v>
      </c>
    </row>
    <row r="951" spans="1:9" ht="15.75" customHeight="1">
      <c r="A951" s="467"/>
      <c r="B951" s="467"/>
      <c r="C951" s="466"/>
      <c r="D951" s="497">
        <v>46440</v>
      </c>
      <c r="E951" s="466" t="s">
        <v>619</v>
      </c>
      <c r="F951" s="466">
        <v>42152635.18</v>
      </c>
      <c r="G951" s="478">
        <v>39356.609999999404</v>
      </c>
      <c r="H951" s="466">
        <v>0</v>
      </c>
      <c r="I951" s="479">
        <v>0</v>
      </c>
    </row>
    <row r="952" spans="1:9" ht="15.75" customHeight="1">
      <c r="A952" s="467"/>
      <c r="B952" s="467"/>
      <c r="C952" s="466"/>
      <c r="D952" s="497">
        <v>46441</v>
      </c>
      <c r="E952" s="466" t="s">
        <v>618</v>
      </c>
      <c r="F952" s="466">
        <v>42191991.780000001</v>
      </c>
      <c r="G952" s="478">
        <v>39356.60000000149</v>
      </c>
      <c r="H952" s="466">
        <v>0</v>
      </c>
      <c r="I952" s="479">
        <v>0</v>
      </c>
    </row>
    <row r="953" spans="1:9" ht="15.75" customHeight="1">
      <c r="A953" s="467"/>
      <c r="B953" s="467"/>
      <c r="C953" s="466"/>
      <c r="D953" s="497">
        <v>46442</v>
      </c>
      <c r="E953" s="466" t="s">
        <v>624</v>
      </c>
      <c r="F953" s="466">
        <v>42231348.390000001</v>
      </c>
      <c r="G953" s="478">
        <v>39356.609999999404</v>
      </c>
      <c r="H953" s="466">
        <v>275496.24000000209</v>
      </c>
      <c r="I953" s="479">
        <v>550992.46999999881</v>
      </c>
    </row>
    <row r="954" spans="1:9" ht="15.75" customHeight="1">
      <c r="A954" s="467"/>
      <c r="B954" s="467"/>
      <c r="C954" s="466"/>
      <c r="D954" s="497">
        <v>46443</v>
      </c>
      <c r="E954" s="466" t="s">
        <v>623</v>
      </c>
      <c r="F954" s="466">
        <v>42270704.990000002</v>
      </c>
      <c r="G954" s="478">
        <v>39356.60000000149</v>
      </c>
      <c r="H954" s="466">
        <v>0</v>
      </c>
      <c r="I954" s="479">
        <v>0</v>
      </c>
    </row>
    <row r="955" spans="1:9" ht="15.75" customHeight="1">
      <c r="A955" s="467"/>
      <c r="B955" s="467"/>
      <c r="C955" s="466"/>
      <c r="D955" s="497">
        <v>46444</v>
      </c>
      <c r="E955" s="466" t="s">
        <v>622</v>
      </c>
      <c r="F955" s="466">
        <v>42310061.600000001</v>
      </c>
      <c r="G955" s="478">
        <v>39356.609999999404</v>
      </c>
      <c r="H955" s="466">
        <v>0</v>
      </c>
      <c r="I955" s="479">
        <v>0</v>
      </c>
    </row>
    <row r="956" spans="1:9" ht="15.75" customHeight="1">
      <c r="A956" s="467"/>
      <c r="B956" s="467"/>
      <c r="C956" s="466"/>
      <c r="D956" s="497">
        <v>46445</v>
      </c>
      <c r="E956" s="466" t="s">
        <v>621</v>
      </c>
      <c r="F956" s="466">
        <v>42349418.200000003</v>
      </c>
      <c r="G956" s="478">
        <v>39356.60000000149</v>
      </c>
      <c r="H956" s="466">
        <v>0</v>
      </c>
      <c r="I956" s="479">
        <v>0</v>
      </c>
    </row>
    <row r="957" spans="1:9" ht="15.75" customHeight="1">
      <c r="A957" s="467"/>
      <c r="B957" s="467"/>
      <c r="C957" s="466"/>
      <c r="D957" s="497">
        <v>46446</v>
      </c>
      <c r="E957" s="466" t="s">
        <v>620</v>
      </c>
      <c r="F957" s="466">
        <v>42388774.810000002</v>
      </c>
      <c r="G957" s="478">
        <v>39356.609999999404</v>
      </c>
      <c r="H957" s="466">
        <v>0</v>
      </c>
      <c r="I957" s="479">
        <v>0</v>
      </c>
    </row>
    <row r="958" spans="1:9" ht="15.75" customHeight="1">
      <c r="A958" s="467"/>
      <c r="B958" s="467"/>
      <c r="C958" s="466"/>
      <c r="D958" s="497">
        <v>46447</v>
      </c>
      <c r="E958" s="466" t="s">
        <v>619</v>
      </c>
      <c r="F958" s="466">
        <v>42428131.409999996</v>
      </c>
      <c r="G958" s="478">
        <v>39356.59999999404</v>
      </c>
      <c r="H958" s="466">
        <v>0</v>
      </c>
      <c r="I958" s="479">
        <v>0</v>
      </c>
    </row>
    <row r="959" spans="1:9" ht="15.75" customHeight="1">
      <c r="A959" s="467"/>
      <c r="B959" s="467"/>
      <c r="C959" s="466"/>
      <c r="D959" s="497">
        <v>46448</v>
      </c>
      <c r="E959" s="466" t="s">
        <v>618</v>
      </c>
      <c r="F959" s="466">
        <v>42467488.020000003</v>
      </c>
      <c r="G959" s="478">
        <v>39356.610000006855</v>
      </c>
      <c r="H959" s="466">
        <v>0</v>
      </c>
      <c r="I959" s="479">
        <v>0</v>
      </c>
    </row>
    <row r="960" spans="1:9" ht="15.75" customHeight="1">
      <c r="A960" s="467"/>
      <c r="B960" s="467"/>
      <c r="C960" s="466"/>
      <c r="D960" s="497">
        <v>46449</v>
      </c>
      <c r="E960" s="466" t="s">
        <v>624</v>
      </c>
      <c r="F960" s="466">
        <v>42506844.619999997</v>
      </c>
      <c r="G960" s="478">
        <v>39356.59999999404</v>
      </c>
      <c r="H960" s="466">
        <v>275496.22999999672</v>
      </c>
      <c r="I960" s="479">
        <v>0</v>
      </c>
    </row>
    <row r="961" spans="1:9" ht="15.75" customHeight="1">
      <c r="A961" s="467"/>
      <c r="B961" s="467"/>
      <c r="C961" s="466"/>
      <c r="D961" s="497">
        <v>46450</v>
      </c>
      <c r="E961" s="466" t="s">
        <v>623</v>
      </c>
      <c r="F961" s="466">
        <v>42546201.229999997</v>
      </c>
      <c r="G961" s="478">
        <v>39356.609999999404</v>
      </c>
      <c r="H961" s="466">
        <v>0</v>
      </c>
      <c r="I961" s="479">
        <v>0</v>
      </c>
    </row>
    <row r="962" spans="1:9" ht="15.75" customHeight="1">
      <c r="A962" s="467"/>
      <c r="B962" s="467"/>
      <c r="C962" s="466"/>
      <c r="D962" s="497">
        <v>46451</v>
      </c>
      <c r="E962" s="466" t="s">
        <v>622</v>
      </c>
      <c r="F962" s="466">
        <v>42585557.829999998</v>
      </c>
      <c r="G962" s="478">
        <v>39356.60000000149</v>
      </c>
      <c r="H962" s="466">
        <v>0</v>
      </c>
      <c r="I962" s="479">
        <v>0</v>
      </c>
    </row>
    <row r="963" spans="1:9" ht="15.75" customHeight="1">
      <c r="A963" s="467"/>
      <c r="B963" s="467"/>
      <c r="C963" s="466"/>
      <c r="D963" s="497">
        <v>46452</v>
      </c>
      <c r="E963" s="466" t="s">
        <v>621</v>
      </c>
      <c r="F963" s="466">
        <v>42624914.439999998</v>
      </c>
      <c r="G963" s="478">
        <v>39356.609999999404</v>
      </c>
      <c r="H963" s="466">
        <v>0</v>
      </c>
      <c r="I963" s="479">
        <v>0</v>
      </c>
    </row>
    <row r="964" spans="1:9" ht="15.75" customHeight="1">
      <c r="A964" s="467"/>
      <c r="B964" s="467"/>
      <c r="C964" s="466"/>
      <c r="D964" s="497">
        <v>46453</v>
      </c>
      <c r="E964" s="466" t="s">
        <v>620</v>
      </c>
      <c r="F964" s="466">
        <v>42664271.039999999</v>
      </c>
      <c r="G964" s="478">
        <v>39356.60000000149</v>
      </c>
      <c r="H964" s="466">
        <v>0</v>
      </c>
      <c r="I964" s="479">
        <v>0</v>
      </c>
    </row>
    <row r="965" spans="1:9" ht="15.75" customHeight="1">
      <c r="A965" s="467"/>
      <c r="B965" s="467"/>
      <c r="C965" s="466"/>
      <c r="D965" s="497">
        <v>46454</v>
      </c>
      <c r="E965" s="466" t="s">
        <v>619</v>
      </c>
      <c r="F965" s="466">
        <v>42703627.649999999</v>
      </c>
      <c r="G965" s="478">
        <v>39356.609999999404</v>
      </c>
      <c r="H965" s="466">
        <v>0</v>
      </c>
      <c r="I965" s="479">
        <v>0</v>
      </c>
    </row>
    <row r="966" spans="1:9" ht="15.75" customHeight="1">
      <c r="A966" s="467"/>
      <c r="B966" s="467"/>
      <c r="C966" s="466"/>
      <c r="D966" s="497">
        <v>46455</v>
      </c>
      <c r="E966" s="466" t="s">
        <v>618</v>
      </c>
      <c r="F966" s="466">
        <v>42742984.25</v>
      </c>
      <c r="G966" s="478">
        <v>39356.60000000149</v>
      </c>
      <c r="H966" s="466">
        <v>0</v>
      </c>
      <c r="I966" s="479">
        <v>0</v>
      </c>
    </row>
    <row r="967" spans="1:9" ht="15.75" customHeight="1">
      <c r="A967" s="467"/>
      <c r="B967" s="467"/>
      <c r="C967" s="466"/>
      <c r="D967" s="497">
        <v>46456</v>
      </c>
      <c r="E967" s="466" t="s">
        <v>624</v>
      </c>
      <c r="F967" s="466">
        <v>42782340.859999999</v>
      </c>
      <c r="G967" s="478">
        <v>39356.609999999404</v>
      </c>
      <c r="H967" s="466">
        <v>275496.24000000209</v>
      </c>
      <c r="I967" s="479">
        <v>550992.46999999881</v>
      </c>
    </row>
    <row r="968" spans="1:9" ht="15.75" customHeight="1">
      <c r="A968" s="467"/>
      <c r="B968" s="467"/>
      <c r="C968" s="466"/>
      <c r="D968" s="497">
        <v>46457</v>
      </c>
      <c r="E968" s="466" t="s">
        <v>623</v>
      </c>
      <c r="F968" s="466">
        <v>42821697.460000001</v>
      </c>
      <c r="G968" s="478">
        <v>39356.60000000149</v>
      </c>
      <c r="H968" s="466">
        <v>0</v>
      </c>
      <c r="I968" s="479">
        <v>0</v>
      </c>
    </row>
    <row r="969" spans="1:9" ht="15.75" customHeight="1">
      <c r="A969" s="467"/>
      <c r="B969" s="467"/>
      <c r="C969" s="466"/>
      <c r="D969" s="497">
        <v>46458</v>
      </c>
      <c r="E969" s="466" t="s">
        <v>622</v>
      </c>
      <c r="F969" s="466">
        <v>42861054.07</v>
      </c>
      <c r="G969" s="478">
        <v>39356.609999999404</v>
      </c>
      <c r="H969" s="466">
        <v>0</v>
      </c>
      <c r="I969" s="479">
        <v>0</v>
      </c>
    </row>
    <row r="970" spans="1:9" ht="15.75" customHeight="1">
      <c r="A970" s="467"/>
      <c r="B970" s="467"/>
      <c r="C970" s="466"/>
      <c r="D970" s="497">
        <v>46459</v>
      </c>
      <c r="E970" s="466" t="s">
        <v>621</v>
      </c>
      <c r="F970" s="466">
        <v>42900410.670000002</v>
      </c>
      <c r="G970" s="478">
        <v>39356.60000000149</v>
      </c>
      <c r="H970" s="466">
        <v>0</v>
      </c>
      <c r="I970" s="479">
        <v>0</v>
      </c>
    </row>
    <row r="971" spans="1:9" ht="15.75" customHeight="1">
      <c r="A971" s="467"/>
      <c r="B971" s="467"/>
      <c r="C971" s="466"/>
      <c r="D971" s="497">
        <v>46460</v>
      </c>
      <c r="E971" s="466" t="s">
        <v>620</v>
      </c>
      <c r="F971" s="466">
        <v>42939767.280000001</v>
      </c>
      <c r="G971" s="478">
        <v>39356.609999999404</v>
      </c>
      <c r="H971" s="466">
        <v>0</v>
      </c>
      <c r="I971" s="479">
        <v>0</v>
      </c>
    </row>
    <row r="972" spans="1:9" ht="15.75" customHeight="1">
      <c r="A972" s="467"/>
      <c r="B972" s="467"/>
      <c r="C972" s="466"/>
      <c r="D972" s="497">
        <v>46461</v>
      </c>
      <c r="E972" s="466" t="s">
        <v>619</v>
      </c>
      <c r="F972" s="466">
        <v>42979123.880000003</v>
      </c>
      <c r="G972" s="478">
        <v>39356.60000000149</v>
      </c>
      <c r="H972" s="466">
        <v>0</v>
      </c>
      <c r="I972" s="479">
        <v>0</v>
      </c>
    </row>
    <row r="973" spans="1:9" ht="15.75" customHeight="1">
      <c r="A973" s="467"/>
      <c r="B973" s="467"/>
      <c r="C973" s="466"/>
      <c r="D973" s="497">
        <v>46462</v>
      </c>
      <c r="E973" s="466" t="s">
        <v>618</v>
      </c>
      <c r="F973" s="466">
        <v>43018480.490000002</v>
      </c>
      <c r="G973" s="478">
        <v>39356.609999999404</v>
      </c>
      <c r="H973" s="466">
        <v>0</v>
      </c>
      <c r="I973" s="479">
        <v>0</v>
      </c>
    </row>
    <row r="974" spans="1:9" ht="15.75" customHeight="1">
      <c r="A974" s="467"/>
      <c r="B974" s="467"/>
      <c r="C974" s="466"/>
      <c r="D974" s="497">
        <v>46463</v>
      </c>
      <c r="E974" s="466" t="s">
        <v>624</v>
      </c>
      <c r="F974" s="466">
        <v>43057837.090000004</v>
      </c>
      <c r="G974" s="478">
        <v>39356.60000000149</v>
      </c>
      <c r="H974" s="466">
        <v>275496.23000000417</v>
      </c>
      <c r="I974" s="479">
        <v>0</v>
      </c>
    </row>
    <row r="975" spans="1:9" ht="15.75" customHeight="1">
      <c r="A975" s="467"/>
      <c r="B975" s="467"/>
      <c r="C975" s="466"/>
      <c r="D975" s="497">
        <v>46464</v>
      </c>
      <c r="E975" s="466" t="s">
        <v>623</v>
      </c>
      <c r="F975" s="466">
        <v>43097193.700000003</v>
      </c>
      <c r="G975" s="478">
        <v>39356.609999999404</v>
      </c>
      <c r="H975" s="466">
        <v>0</v>
      </c>
      <c r="I975" s="479">
        <v>0</v>
      </c>
    </row>
    <row r="976" spans="1:9" ht="15.75" customHeight="1">
      <c r="A976" s="467"/>
      <c r="B976" s="467"/>
      <c r="C976" s="466"/>
      <c r="D976" s="497">
        <v>46465</v>
      </c>
      <c r="E976" s="466" t="s">
        <v>622</v>
      </c>
      <c r="F976" s="466">
        <v>43136550.299999997</v>
      </c>
      <c r="G976" s="478">
        <v>39356.59999999404</v>
      </c>
      <c r="H976" s="466">
        <v>0</v>
      </c>
      <c r="I976" s="479">
        <v>0</v>
      </c>
    </row>
    <row r="977" spans="1:9" ht="15.75" customHeight="1">
      <c r="A977" s="467"/>
      <c r="B977" s="467"/>
      <c r="C977" s="466"/>
      <c r="D977" s="497">
        <v>46466</v>
      </c>
      <c r="E977" s="466" t="s">
        <v>621</v>
      </c>
      <c r="F977" s="466">
        <v>43175906.909999996</v>
      </c>
      <c r="G977" s="478">
        <v>39356.609999999404</v>
      </c>
      <c r="H977" s="466">
        <v>0</v>
      </c>
      <c r="I977" s="479">
        <v>0</v>
      </c>
    </row>
    <row r="978" spans="1:9" ht="15.75" customHeight="1">
      <c r="A978" s="467"/>
      <c r="B978" s="467"/>
      <c r="C978" s="466"/>
      <c r="D978" s="497">
        <v>46467</v>
      </c>
      <c r="E978" s="466" t="s">
        <v>620</v>
      </c>
      <c r="F978" s="466">
        <v>43215263.509999998</v>
      </c>
      <c r="G978" s="478">
        <v>39356.60000000149</v>
      </c>
      <c r="H978" s="466">
        <v>0</v>
      </c>
      <c r="I978" s="479">
        <v>0</v>
      </c>
    </row>
    <row r="979" spans="1:9" ht="15.75" customHeight="1">
      <c r="A979" s="467"/>
      <c r="B979" s="467"/>
      <c r="C979" s="466"/>
      <c r="D979" s="497">
        <v>46468</v>
      </c>
      <c r="E979" s="466" t="s">
        <v>619</v>
      </c>
      <c r="F979" s="466">
        <v>43254620.119999997</v>
      </c>
      <c r="G979" s="478">
        <v>39356.609999999404</v>
      </c>
      <c r="H979" s="466">
        <v>0</v>
      </c>
      <c r="I979" s="479">
        <v>0</v>
      </c>
    </row>
    <row r="980" spans="1:9" ht="15.75" customHeight="1">
      <c r="A980" s="467"/>
      <c r="B980" s="467"/>
      <c r="C980" s="466"/>
      <c r="D980" s="497">
        <v>46469</v>
      </c>
      <c r="E980" s="466" t="s">
        <v>618</v>
      </c>
      <c r="F980" s="466">
        <v>43293976.719999999</v>
      </c>
      <c r="G980" s="478">
        <v>39356.60000000149</v>
      </c>
      <c r="H980" s="466">
        <v>0</v>
      </c>
      <c r="I980" s="479">
        <v>0</v>
      </c>
    </row>
    <row r="981" spans="1:9" ht="15.75" customHeight="1">
      <c r="A981" s="467"/>
      <c r="B981" s="467"/>
      <c r="C981" s="466"/>
      <c r="D981" s="497">
        <v>46470</v>
      </c>
      <c r="E981" s="466" t="s">
        <v>624</v>
      </c>
      <c r="F981" s="466">
        <v>43333333.329999998</v>
      </c>
      <c r="G981" s="478">
        <v>39356.609999999404</v>
      </c>
      <c r="H981" s="466">
        <v>275496.23999999464</v>
      </c>
      <c r="I981" s="479">
        <v>550992.46999999881</v>
      </c>
    </row>
    <row r="982" spans="1:9" ht="15.75" customHeight="1">
      <c r="A982" s="467"/>
      <c r="B982" s="467"/>
      <c r="C982" s="466"/>
      <c r="D982" s="497">
        <v>46471</v>
      </c>
      <c r="E982" s="466" t="s">
        <v>623</v>
      </c>
      <c r="F982" s="466">
        <v>43372689.93</v>
      </c>
      <c r="G982" s="478">
        <v>39356.60000000149</v>
      </c>
      <c r="H982" s="466">
        <v>0</v>
      </c>
      <c r="I982" s="479">
        <v>0</v>
      </c>
    </row>
    <row r="983" spans="1:9" ht="15.75" customHeight="1">
      <c r="A983" s="467"/>
      <c r="B983" s="467"/>
      <c r="C983" s="466"/>
      <c r="D983" s="497">
        <v>46472</v>
      </c>
      <c r="E983" s="466" t="s">
        <v>622</v>
      </c>
      <c r="F983" s="466">
        <v>43412046.539999999</v>
      </c>
      <c r="G983" s="478">
        <v>39356.609999999404</v>
      </c>
      <c r="H983" s="466">
        <v>0</v>
      </c>
      <c r="I983" s="479">
        <v>0</v>
      </c>
    </row>
    <row r="984" spans="1:9" ht="15.75" customHeight="1">
      <c r="A984" s="467"/>
      <c r="B984" s="467"/>
      <c r="C984" s="466"/>
      <c r="D984" s="497">
        <v>46473</v>
      </c>
      <c r="E984" s="466" t="s">
        <v>621</v>
      </c>
      <c r="F984" s="466">
        <v>43451403.140000001</v>
      </c>
      <c r="G984" s="478">
        <v>39356.60000000149</v>
      </c>
      <c r="H984" s="466">
        <v>0</v>
      </c>
      <c r="I984" s="479">
        <v>0</v>
      </c>
    </row>
    <row r="985" spans="1:9" ht="15.75" customHeight="1">
      <c r="A985" s="467"/>
      <c r="B985" s="467"/>
      <c r="C985" s="466"/>
      <c r="D985" s="497">
        <v>46474</v>
      </c>
      <c r="E985" s="466" t="s">
        <v>620</v>
      </c>
      <c r="F985" s="466">
        <v>43490759.75</v>
      </c>
      <c r="G985" s="478">
        <v>39356.609999999404</v>
      </c>
      <c r="H985" s="466">
        <v>0</v>
      </c>
      <c r="I985" s="479">
        <v>0</v>
      </c>
    </row>
    <row r="986" spans="1:9" ht="15.75" customHeight="1">
      <c r="A986" s="467"/>
      <c r="B986" s="467"/>
      <c r="C986" s="466"/>
      <c r="D986" s="497">
        <v>46475</v>
      </c>
      <c r="E986" s="466" t="s">
        <v>619</v>
      </c>
      <c r="F986" s="466">
        <v>43530116.350000001</v>
      </c>
      <c r="G986" s="478">
        <v>39356.60000000149</v>
      </c>
      <c r="H986" s="466">
        <v>0</v>
      </c>
      <c r="I986" s="479">
        <v>0</v>
      </c>
    </row>
    <row r="987" spans="1:9" ht="15.75" customHeight="1">
      <c r="A987" s="467"/>
      <c r="B987" s="467"/>
      <c r="C987" s="466"/>
      <c r="D987" s="497">
        <v>46476</v>
      </c>
      <c r="E987" s="466" t="s">
        <v>618</v>
      </c>
      <c r="F987" s="466">
        <v>43569472.960000001</v>
      </c>
      <c r="G987" s="478">
        <v>39356.609999999404</v>
      </c>
      <c r="H987" s="466">
        <v>0</v>
      </c>
      <c r="I987" s="479">
        <v>0</v>
      </c>
    </row>
    <row r="988" spans="1:9" ht="15.75" customHeight="1">
      <c r="A988" s="467"/>
      <c r="B988" s="467"/>
      <c r="C988" s="466"/>
      <c r="D988" s="497">
        <v>46477</v>
      </c>
      <c r="E988" s="466" t="s">
        <v>624</v>
      </c>
      <c r="F988" s="466">
        <v>43608829.560000002</v>
      </c>
      <c r="G988" s="478">
        <v>39356.60000000149</v>
      </c>
      <c r="H988" s="466">
        <v>275496.23000000417</v>
      </c>
      <c r="I988" s="479">
        <v>0</v>
      </c>
    </row>
    <row r="989" spans="1:9" ht="15.75" customHeight="1">
      <c r="A989" s="467"/>
      <c r="B989" s="467"/>
      <c r="C989" s="466"/>
      <c r="D989" s="497">
        <v>46478</v>
      </c>
      <c r="E989" s="466" t="s">
        <v>623</v>
      </c>
      <c r="F989" s="466">
        <v>43648186.170000002</v>
      </c>
      <c r="G989" s="478">
        <v>39356.609999999404</v>
      </c>
      <c r="H989" s="466">
        <v>0</v>
      </c>
      <c r="I989" s="479">
        <v>0</v>
      </c>
    </row>
    <row r="990" spans="1:9" ht="15.75" customHeight="1">
      <c r="A990" s="467"/>
      <c r="B990" s="467"/>
      <c r="C990" s="466"/>
      <c r="D990" s="497">
        <v>46479</v>
      </c>
      <c r="E990" s="466" t="s">
        <v>622</v>
      </c>
      <c r="F990" s="466">
        <v>43687542.770000003</v>
      </c>
      <c r="G990" s="478">
        <v>39356.60000000149</v>
      </c>
      <c r="H990" s="466">
        <v>0</v>
      </c>
      <c r="I990" s="479">
        <v>0</v>
      </c>
    </row>
    <row r="991" spans="1:9" ht="15.75" customHeight="1">
      <c r="A991" s="467"/>
      <c r="B991" s="467"/>
      <c r="C991" s="466"/>
      <c r="D991" s="497">
        <v>46480</v>
      </c>
      <c r="E991" s="466" t="s">
        <v>621</v>
      </c>
      <c r="F991" s="466">
        <v>43726899.380000003</v>
      </c>
      <c r="G991" s="478">
        <v>39356.609999999404</v>
      </c>
      <c r="H991" s="466">
        <v>0</v>
      </c>
      <c r="I991" s="479">
        <v>0</v>
      </c>
    </row>
    <row r="992" spans="1:9" ht="15.75" customHeight="1">
      <c r="A992" s="467"/>
      <c r="B992" s="467"/>
      <c r="C992" s="466"/>
      <c r="D992" s="497">
        <v>46481</v>
      </c>
      <c r="E992" s="466" t="s">
        <v>620</v>
      </c>
      <c r="F992" s="466">
        <v>43766255.979999997</v>
      </c>
      <c r="G992" s="478">
        <v>39356.59999999404</v>
      </c>
      <c r="H992" s="466">
        <v>0</v>
      </c>
      <c r="I992" s="479">
        <v>0</v>
      </c>
    </row>
    <row r="993" spans="1:9" ht="15.75" customHeight="1">
      <c r="A993" s="467"/>
      <c r="B993" s="467"/>
      <c r="C993" s="466"/>
      <c r="D993" s="497">
        <v>46482</v>
      </c>
      <c r="E993" s="466" t="s">
        <v>619</v>
      </c>
      <c r="F993" s="466">
        <v>43805612.590000004</v>
      </c>
      <c r="G993" s="478">
        <v>39356.610000006855</v>
      </c>
      <c r="H993" s="466">
        <v>0</v>
      </c>
      <c r="I993" s="479">
        <v>0</v>
      </c>
    </row>
    <row r="994" spans="1:9" ht="15.75" customHeight="1">
      <c r="A994" s="467"/>
      <c r="B994" s="467"/>
      <c r="C994" s="466"/>
      <c r="D994" s="497">
        <v>46483</v>
      </c>
      <c r="E994" s="466" t="s">
        <v>618</v>
      </c>
      <c r="F994" s="466">
        <v>43844969.189999998</v>
      </c>
      <c r="G994" s="478">
        <v>39356.59999999404</v>
      </c>
      <c r="H994" s="466">
        <v>0</v>
      </c>
      <c r="I994" s="479">
        <v>0</v>
      </c>
    </row>
    <row r="995" spans="1:9" ht="15.75" customHeight="1">
      <c r="A995" s="467"/>
      <c r="B995" s="467"/>
      <c r="C995" s="466"/>
      <c r="D995" s="497">
        <v>46484</v>
      </c>
      <c r="E995" s="466" t="s">
        <v>624</v>
      </c>
      <c r="F995" s="466">
        <v>43884325.799999997</v>
      </c>
      <c r="G995" s="478">
        <v>39356.609999999404</v>
      </c>
      <c r="H995" s="466">
        <v>275496.23999999464</v>
      </c>
      <c r="I995" s="479">
        <v>550992.46999999881</v>
      </c>
    </row>
    <row r="996" spans="1:9" ht="15.75" customHeight="1">
      <c r="A996" s="467"/>
      <c r="B996" s="467"/>
      <c r="C996" s="466"/>
      <c r="D996" s="497">
        <v>46485</v>
      </c>
      <c r="E996" s="466" t="s">
        <v>623</v>
      </c>
      <c r="F996" s="466">
        <v>43923682.399999999</v>
      </c>
      <c r="G996" s="478">
        <v>39356.60000000149</v>
      </c>
      <c r="H996" s="466">
        <v>0</v>
      </c>
      <c r="I996" s="479">
        <v>0</v>
      </c>
    </row>
    <row r="997" spans="1:9" ht="15.75" customHeight="1">
      <c r="A997" s="467"/>
      <c r="B997" s="467"/>
      <c r="C997" s="466"/>
      <c r="D997" s="497">
        <v>46486</v>
      </c>
      <c r="E997" s="466" t="s">
        <v>622</v>
      </c>
      <c r="F997" s="466">
        <v>43963039.009999998</v>
      </c>
      <c r="G997" s="478">
        <v>39356.609999999404</v>
      </c>
      <c r="H997" s="466">
        <v>0</v>
      </c>
      <c r="I997" s="479">
        <v>0</v>
      </c>
    </row>
    <row r="998" spans="1:9" ht="15.75" customHeight="1">
      <c r="A998" s="467"/>
      <c r="B998" s="467"/>
      <c r="C998" s="466"/>
      <c r="D998" s="497">
        <v>46487</v>
      </c>
      <c r="E998" s="466" t="s">
        <v>621</v>
      </c>
      <c r="F998" s="466">
        <v>44002395.609999999</v>
      </c>
      <c r="G998" s="478">
        <v>39356.60000000149</v>
      </c>
      <c r="H998" s="466">
        <v>0</v>
      </c>
      <c r="I998" s="479">
        <v>0</v>
      </c>
    </row>
    <row r="999" spans="1:9" ht="15.75" customHeight="1">
      <c r="A999" s="467"/>
      <c r="B999" s="467"/>
      <c r="C999" s="466"/>
      <c r="D999" s="497">
        <v>46488</v>
      </c>
      <c r="E999" s="466" t="s">
        <v>620</v>
      </c>
      <c r="F999" s="466">
        <v>44041752.219999999</v>
      </c>
      <c r="G999" s="478">
        <v>39356.609999999404</v>
      </c>
      <c r="H999" s="466">
        <v>0</v>
      </c>
      <c r="I999" s="479">
        <v>0</v>
      </c>
    </row>
    <row r="1000" spans="1:9" ht="15.75" customHeight="1">
      <c r="A1000" s="467"/>
      <c r="B1000" s="467"/>
      <c r="C1000" s="466"/>
      <c r="D1000" s="497">
        <v>46489</v>
      </c>
      <c r="E1000" s="466" t="s">
        <v>619</v>
      </c>
      <c r="F1000" s="466">
        <v>44081108.82</v>
      </c>
      <c r="G1000" s="478">
        <v>39356.60000000149</v>
      </c>
      <c r="H1000" s="466">
        <v>0</v>
      </c>
      <c r="I1000" s="479">
        <v>0</v>
      </c>
    </row>
    <row r="1001" spans="1:9" ht="15.75" customHeight="1">
      <c r="A1001" s="467"/>
      <c r="B1001" s="467"/>
      <c r="C1001" s="466"/>
      <c r="D1001" s="497">
        <v>46490</v>
      </c>
      <c r="E1001" s="466" t="s">
        <v>618</v>
      </c>
      <c r="F1001" s="466">
        <v>44120465.43</v>
      </c>
      <c r="G1001" s="478">
        <v>39356.609999999404</v>
      </c>
      <c r="H1001" s="466">
        <v>0</v>
      </c>
      <c r="I1001" s="479">
        <v>0</v>
      </c>
    </row>
    <row r="1002" spans="1:9" ht="15.75" customHeight="1">
      <c r="A1002" s="467"/>
      <c r="B1002" s="467"/>
      <c r="C1002" s="466"/>
      <c r="D1002" s="497">
        <v>46491</v>
      </c>
      <c r="E1002" s="466" t="s">
        <v>624</v>
      </c>
      <c r="F1002" s="466">
        <v>44159822.030000001</v>
      </c>
      <c r="G1002" s="478">
        <v>39356.60000000149</v>
      </c>
      <c r="H1002" s="466">
        <v>275496.23000000417</v>
      </c>
      <c r="I1002" s="479">
        <v>0</v>
      </c>
    </row>
    <row r="1003" spans="1:9" ht="15.75" customHeight="1">
      <c r="A1003" s="467"/>
      <c r="B1003" s="467"/>
      <c r="C1003" s="466"/>
      <c r="D1003" s="497">
        <v>46492</v>
      </c>
      <c r="E1003" s="466" t="s">
        <v>623</v>
      </c>
      <c r="F1003" s="466">
        <v>44199178.640000001</v>
      </c>
      <c r="G1003" s="478">
        <v>39356.609999999404</v>
      </c>
      <c r="H1003" s="466">
        <v>0</v>
      </c>
      <c r="I1003" s="479">
        <v>0</v>
      </c>
    </row>
    <row r="1004" spans="1:9" ht="15.75" customHeight="1">
      <c r="A1004" s="467"/>
      <c r="B1004" s="467"/>
      <c r="C1004" s="466"/>
      <c r="D1004" s="497">
        <v>46493</v>
      </c>
      <c r="E1004" s="466" t="s">
        <v>622</v>
      </c>
      <c r="F1004" s="466">
        <v>44238535.240000002</v>
      </c>
      <c r="G1004" s="478">
        <v>39356.60000000149</v>
      </c>
      <c r="H1004" s="466">
        <v>0</v>
      </c>
      <c r="I1004" s="479">
        <v>0</v>
      </c>
    </row>
    <row r="1005" spans="1:9" ht="15.75" customHeight="1">
      <c r="A1005" s="467"/>
      <c r="B1005" s="467"/>
      <c r="C1005" s="466"/>
      <c r="D1005" s="497">
        <v>46494</v>
      </c>
      <c r="E1005" s="466" t="s">
        <v>621</v>
      </c>
      <c r="F1005" s="466">
        <v>44277891.850000001</v>
      </c>
      <c r="G1005" s="478">
        <v>39356.609999999404</v>
      </c>
      <c r="H1005" s="466">
        <v>0</v>
      </c>
      <c r="I1005" s="479">
        <v>0</v>
      </c>
    </row>
    <row r="1006" spans="1:9" ht="15.75" customHeight="1">
      <c r="A1006" s="467"/>
      <c r="B1006" s="467"/>
      <c r="C1006" s="466"/>
      <c r="D1006" s="497">
        <v>46495</v>
      </c>
      <c r="E1006" s="466" t="s">
        <v>620</v>
      </c>
      <c r="F1006" s="466">
        <v>44317248.450000003</v>
      </c>
      <c r="G1006" s="478">
        <v>39356.60000000149</v>
      </c>
      <c r="H1006" s="466">
        <v>0</v>
      </c>
      <c r="I1006" s="479">
        <v>0</v>
      </c>
    </row>
    <row r="1007" spans="1:9" ht="15.75" customHeight="1">
      <c r="A1007" s="467"/>
      <c r="B1007" s="467"/>
      <c r="C1007" s="466"/>
      <c r="D1007" s="497">
        <v>46496</v>
      </c>
      <c r="E1007" s="466" t="s">
        <v>619</v>
      </c>
      <c r="F1007" s="466">
        <v>44356605.060000002</v>
      </c>
      <c r="G1007" s="478">
        <v>39356.609999999404</v>
      </c>
      <c r="H1007" s="466">
        <v>0</v>
      </c>
      <c r="I1007" s="479">
        <v>0</v>
      </c>
    </row>
    <row r="1008" spans="1:9" ht="15.75" customHeight="1">
      <c r="A1008" s="467"/>
      <c r="B1008" s="467"/>
      <c r="C1008" s="466"/>
      <c r="D1008" s="497">
        <v>46497</v>
      </c>
      <c r="E1008" s="466" t="s">
        <v>618</v>
      </c>
      <c r="F1008" s="466">
        <v>44395961.670000002</v>
      </c>
      <c r="G1008" s="478">
        <v>39356.609999999404</v>
      </c>
      <c r="H1008" s="466">
        <v>0</v>
      </c>
      <c r="I1008" s="479">
        <v>0</v>
      </c>
    </row>
    <row r="1009" spans="1:9" ht="15.75" customHeight="1">
      <c r="A1009" s="467"/>
      <c r="B1009" s="467"/>
      <c r="C1009" s="466"/>
      <c r="D1009" s="497">
        <v>46498</v>
      </c>
      <c r="E1009" s="466" t="s">
        <v>624</v>
      </c>
      <c r="F1009" s="466">
        <v>44435318.270000003</v>
      </c>
      <c r="G1009" s="478">
        <v>39356.60000000149</v>
      </c>
      <c r="H1009" s="466">
        <v>275496.24000000209</v>
      </c>
      <c r="I1009" s="479">
        <v>550992.47000000626</v>
      </c>
    </row>
    <row r="1010" spans="1:9" ht="15.75" customHeight="1">
      <c r="A1010" s="467"/>
      <c r="B1010" s="467"/>
      <c r="C1010" s="466"/>
      <c r="D1010" s="497">
        <v>46499</v>
      </c>
      <c r="E1010" s="466" t="s">
        <v>623</v>
      </c>
      <c r="F1010" s="466">
        <v>44474674.880000003</v>
      </c>
      <c r="G1010" s="478">
        <v>39356.609999999404</v>
      </c>
      <c r="H1010" s="466">
        <v>0</v>
      </c>
      <c r="I1010" s="479">
        <v>0</v>
      </c>
    </row>
    <row r="1011" spans="1:9" ht="15.75" customHeight="1">
      <c r="A1011" s="467"/>
      <c r="B1011" s="467"/>
      <c r="C1011" s="466"/>
      <c r="D1011" s="497">
        <v>46500</v>
      </c>
      <c r="E1011" s="466" t="s">
        <v>622</v>
      </c>
      <c r="F1011" s="466">
        <v>44514031.479999997</v>
      </c>
      <c r="G1011" s="478">
        <v>39356.59999999404</v>
      </c>
      <c r="H1011" s="466">
        <v>0</v>
      </c>
      <c r="I1011" s="479">
        <v>0</v>
      </c>
    </row>
    <row r="1012" spans="1:9" ht="15.75" customHeight="1">
      <c r="A1012" s="467"/>
      <c r="B1012" s="467"/>
      <c r="C1012" s="466"/>
      <c r="D1012" s="497">
        <v>46501</v>
      </c>
      <c r="E1012" s="466" t="s">
        <v>621</v>
      </c>
      <c r="F1012" s="466">
        <v>44553388.090000004</v>
      </c>
      <c r="G1012" s="478">
        <v>39356.610000006855</v>
      </c>
      <c r="H1012" s="466">
        <v>0</v>
      </c>
      <c r="I1012" s="479">
        <v>0</v>
      </c>
    </row>
    <row r="1013" spans="1:9" ht="15.75" customHeight="1">
      <c r="A1013" s="467"/>
      <c r="B1013" s="467"/>
      <c r="C1013" s="466"/>
      <c r="D1013" s="497">
        <v>46502</v>
      </c>
      <c r="E1013" s="466" t="s">
        <v>620</v>
      </c>
      <c r="F1013" s="466">
        <v>44592744.689999998</v>
      </c>
      <c r="G1013" s="478">
        <v>39356.59999999404</v>
      </c>
      <c r="H1013" s="466">
        <v>0</v>
      </c>
      <c r="I1013" s="479">
        <v>0</v>
      </c>
    </row>
    <row r="1014" spans="1:9" ht="15.75" customHeight="1">
      <c r="A1014" s="467"/>
      <c r="B1014" s="467"/>
      <c r="C1014" s="466"/>
      <c r="D1014" s="497">
        <v>46503</v>
      </c>
      <c r="E1014" s="466" t="s">
        <v>619</v>
      </c>
      <c r="F1014" s="466">
        <v>44632101.299999997</v>
      </c>
      <c r="G1014" s="478">
        <v>39356.609999999404</v>
      </c>
      <c r="H1014" s="466">
        <v>0</v>
      </c>
      <c r="I1014" s="479">
        <v>0</v>
      </c>
    </row>
    <row r="1015" spans="1:9" ht="15.75" customHeight="1">
      <c r="A1015" s="467"/>
      <c r="B1015" s="467"/>
      <c r="C1015" s="466"/>
      <c r="D1015" s="497">
        <v>46504</v>
      </c>
      <c r="E1015" s="466" t="s">
        <v>618</v>
      </c>
      <c r="F1015" s="466">
        <v>44671457.899999999</v>
      </c>
      <c r="G1015" s="478">
        <v>39356.60000000149</v>
      </c>
      <c r="H1015" s="466">
        <v>0</v>
      </c>
      <c r="I1015" s="479">
        <v>0</v>
      </c>
    </row>
    <row r="1016" spans="1:9" ht="15.75" customHeight="1">
      <c r="A1016" s="467"/>
      <c r="B1016" s="467"/>
      <c r="C1016" s="466"/>
      <c r="D1016" s="497">
        <v>46505</v>
      </c>
      <c r="E1016" s="466" t="s">
        <v>624</v>
      </c>
      <c r="F1016" s="466">
        <v>44710814.509999998</v>
      </c>
      <c r="G1016" s="478">
        <v>39356.609999999404</v>
      </c>
      <c r="H1016" s="466">
        <v>275496.23999999464</v>
      </c>
      <c r="I1016" s="479">
        <v>0</v>
      </c>
    </row>
    <row r="1017" spans="1:9" ht="15.75" customHeight="1">
      <c r="A1017" s="467"/>
      <c r="B1017" s="467"/>
      <c r="C1017" s="466"/>
      <c r="D1017" s="497">
        <v>46506</v>
      </c>
      <c r="E1017" s="466" t="s">
        <v>623</v>
      </c>
      <c r="F1017" s="466">
        <v>44750171.109999999</v>
      </c>
      <c r="G1017" s="478">
        <v>39356.60000000149</v>
      </c>
      <c r="H1017" s="466">
        <v>0</v>
      </c>
      <c r="I1017" s="479">
        <v>0</v>
      </c>
    </row>
    <row r="1018" spans="1:9" ht="15.75" customHeight="1">
      <c r="A1018" s="467"/>
      <c r="B1018" s="467"/>
      <c r="C1018" s="466"/>
      <c r="D1018" s="497">
        <v>46507</v>
      </c>
      <c r="E1018" s="466" t="s">
        <v>622</v>
      </c>
      <c r="F1018" s="466">
        <v>44789527.719999999</v>
      </c>
      <c r="G1018" s="478">
        <v>39356.609999999404</v>
      </c>
      <c r="H1018" s="466">
        <v>0</v>
      </c>
      <c r="I1018" s="479">
        <v>0</v>
      </c>
    </row>
    <row r="1019" spans="1:9" ht="15.75" customHeight="1">
      <c r="A1019" s="467"/>
      <c r="B1019" s="467"/>
      <c r="C1019" s="466"/>
      <c r="D1019" s="497">
        <v>46508</v>
      </c>
      <c r="E1019" s="466" t="s">
        <v>621</v>
      </c>
      <c r="F1019" s="466">
        <v>44828884.32</v>
      </c>
      <c r="G1019" s="478">
        <v>39356.60000000149</v>
      </c>
      <c r="H1019" s="466">
        <v>0</v>
      </c>
      <c r="I1019" s="479">
        <v>0</v>
      </c>
    </row>
    <row r="1020" spans="1:9" ht="15.75" customHeight="1">
      <c r="A1020" s="467"/>
      <c r="B1020" s="467"/>
      <c r="C1020" s="466"/>
      <c r="D1020" s="497">
        <v>46509</v>
      </c>
      <c r="E1020" s="466" t="s">
        <v>620</v>
      </c>
      <c r="F1020" s="466">
        <v>44868240.93</v>
      </c>
      <c r="G1020" s="478">
        <v>39356.609999999404</v>
      </c>
      <c r="H1020" s="466">
        <v>0</v>
      </c>
      <c r="I1020" s="479">
        <v>0</v>
      </c>
    </row>
    <row r="1021" spans="1:9" ht="15.75" customHeight="1">
      <c r="A1021" s="467"/>
      <c r="B1021" s="467"/>
      <c r="C1021" s="466"/>
      <c r="D1021" s="497">
        <v>46510</v>
      </c>
      <c r="E1021" s="466" t="s">
        <v>619</v>
      </c>
      <c r="F1021" s="466">
        <v>44907597.530000001</v>
      </c>
      <c r="G1021" s="478">
        <v>39356.60000000149</v>
      </c>
      <c r="H1021" s="466">
        <v>0</v>
      </c>
      <c r="I1021" s="479">
        <v>0</v>
      </c>
    </row>
    <row r="1022" spans="1:9" ht="15.75" customHeight="1">
      <c r="A1022" s="467"/>
      <c r="B1022" s="467"/>
      <c r="C1022" s="466"/>
      <c r="D1022" s="497">
        <v>46511</v>
      </c>
      <c r="E1022" s="466" t="s">
        <v>618</v>
      </c>
      <c r="F1022" s="466">
        <v>44946954.140000001</v>
      </c>
      <c r="G1022" s="478">
        <v>39356.609999999404</v>
      </c>
      <c r="H1022" s="466">
        <v>0</v>
      </c>
      <c r="I1022" s="479">
        <v>0</v>
      </c>
    </row>
    <row r="1023" spans="1:9" ht="15.75" customHeight="1">
      <c r="A1023" s="467"/>
      <c r="B1023" s="467"/>
      <c r="C1023" s="466"/>
      <c r="D1023" s="497">
        <v>46512</v>
      </c>
      <c r="E1023" s="466" t="s">
        <v>624</v>
      </c>
      <c r="F1023" s="466">
        <v>44986310.740000002</v>
      </c>
      <c r="G1023" s="478">
        <v>39356.60000000149</v>
      </c>
      <c r="H1023" s="466">
        <v>275496.23000000417</v>
      </c>
      <c r="I1023" s="479">
        <v>550992.46999999881</v>
      </c>
    </row>
    <row r="1024" spans="1:9" ht="15.75" customHeight="1">
      <c r="A1024" s="467"/>
      <c r="B1024" s="467"/>
      <c r="C1024" s="466"/>
      <c r="D1024" s="497">
        <v>46513</v>
      </c>
      <c r="E1024" s="466" t="s">
        <v>623</v>
      </c>
      <c r="F1024" s="466">
        <v>45025667.350000001</v>
      </c>
      <c r="G1024" s="478">
        <v>39356.609999999404</v>
      </c>
      <c r="H1024" s="466">
        <v>0</v>
      </c>
      <c r="I1024" s="479">
        <v>0</v>
      </c>
    </row>
    <row r="1025" spans="1:9" ht="15.75" customHeight="1">
      <c r="A1025" s="467"/>
      <c r="B1025" s="467"/>
      <c r="C1025" s="466"/>
      <c r="D1025" s="497">
        <v>46514</v>
      </c>
      <c r="E1025" s="466" t="s">
        <v>622</v>
      </c>
      <c r="F1025" s="466">
        <v>45065023.950000003</v>
      </c>
      <c r="G1025" s="478">
        <v>39356.60000000149</v>
      </c>
      <c r="H1025" s="466">
        <v>0</v>
      </c>
      <c r="I1025" s="479">
        <v>0</v>
      </c>
    </row>
    <row r="1026" spans="1:9" ht="15.75" customHeight="1">
      <c r="A1026" s="467"/>
      <c r="B1026" s="467"/>
      <c r="C1026" s="466"/>
      <c r="D1026" s="497">
        <v>46515</v>
      </c>
      <c r="E1026" s="466" t="s">
        <v>621</v>
      </c>
      <c r="F1026" s="466">
        <v>45104380.560000002</v>
      </c>
      <c r="G1026" s="478">
        <v>39356.609999999404</v>
      </c>
      <c r="H1026" s="466">
        <v>0</v>
      </c>
      <c r="I1026" s="479">
        <v>0</v>
      </c>
    </row>
    <row r="1027" spans="1:9" ht="15.75" customHeight="1">
      <c r="A1027" s="467"/>
      <c r="B1027" s="467"/>
      <c r="C1027" s="466"/>
      <c r="D1027" s="497">
        <v>46516</v>
      </c>
      <c r="E1027" s="466" t="s">
        <v>620</v>
      </c>
      <c r="F1027" s="466">
        <v>45143737.159999996</v>
      </c>
      <c r="G1027" s="478">
        <v>39356.59999999404</v>
      </c>
      <c r="H1027" s="466">
        <v>0</v>
      </c>
      <c r="I1027" s="479">
        <v>0</v>
      </c>
    </row>
    <row r="1028" spans="1:9" ht="15.75" customHeight="1">
      <c r="A1028" s="467"/>
      <c r="B1028" s="467"/>
      <c r="C1028" s="466"/>
      <c r="D1028" s="497">
        <v>46517</v>
      </c>
      <c r="E1028" s="466" t="s">
        <v>619</v>
      </c>
      <c r="F1028" s="466">
        <v>45183093.770000003</v>
      </c>
      <c r="G1028" s="478">
        <v>39356.610000006855</v>
      </c>
      <c r="H1028" s="466">
        <v>0</v>
      </c>
      <c r="I1028" s="479">
        <v>0</v>
      </c>
    </row>
    <row r="1029" spans="1:9" ht="15.75" customHeight="1">
      <c r="A1029" s="467"/>
      <c r="B1029" s="467"/>
      <c r="C1029" s="466"/>
      <c r="D1029" s="497">
        <v>46518</v>
      </c>
      <c r="E1029" s="466" t="s">
        <v>618</v>
      </c>
      <c r="F1029" s="466">
        <v>45222450.369999997</v>
      </c>
      <c r="G1029" s="478">
        <v>39356.59999999404</v>
      </c>
      <c r="H1029" s="466">
        <v>0</v>
      </c>
      <c r="I1029" s="479">
        <v>0</v>
      </c>
    </row>
    <row r="1030" spans="1:9" ht="15.75" customHeight="1">
      <c r="A1030" s="467"/>
      <c r="B1030" s="467"/>
      <c r="C1030" s="466"/>
      <c r="D1030" s="497">
        <v>46519</v>
      </c>
      <c r="E1030" s="466" t="s">
        <v>624</v>
      </c>
      <c r="F1030" s="466">
        <v>45261806.979999997</v>
      </c>
      <c r="G1030" s="478">
        <v>39356.609999999404</v>
      </c>
      <c r="H1030" s="466">
        <v>275496.23999999464</v>
      </c>
      <c r="I1030" s="479">
        <v>0</v>
      </c>
    </row>
    <row r="1031" spans="1:9" ht="15.75" customHeight="1">
      <c r="A1031" s="467"/>
      <c r="B1031" s="467"/>
      <c r="C1031" s="466"/>
      <c r="D1031" s="497">
        <v>46520</v>
      </c>
      <c r="E1031" s="466" t="s">
        <v>623</v>
      </c>
      <c r="F1031" s="466">
        <v>45301163.579999998</v>
      </c>
      <c r="G1031" s="478">
        <v>39356.60000000149</v>
      </c>
      <c r="H1031" s="466">
        <v>0</v>
      </c>
      <c r="I1031" s="479">
        <v>0</v>
      </c>
    </row>
    <row r="1032" spans="1:9" ht="15.75" customHeight="1">
      <c r="A1032" s="467"/>
      <c r="B1032" s="467"/>
      <c r="C1032" s="466"/>
      <c r="D1032" s="497">
        <v>46521</v>
      </c>
      <c r="E1032" s="466" t="s">
        <v>622</v>
      </c>
      <c r="F1032" s="466">
        <v>45340520.189999998</v>
      </c>
      <c r="G1032" s="478">
        <v>39356.609999999404</v>
      </c>
      <c r="H1032" s="466">
        <v>0</v>
      </c>
      <c r="I1032" s="479">
        <v>0</v>
      </c>
    </row>
    <row r="1033" spans="1:9" ht="15.75" customHeight="1">
      <c r="A1033" s="467"/>
      <c r="B1033" s="467"/>
      <c r="C1033" s="466"/>
      <c r="D1033" s="497">
        <v>46522</v>
      </c>
      <c r="E1033" s="466" t="s">
        <v>621</v>
      </c>
      <c r="F1033" s="466">
        <v>45379876.789999999</v>
      </c>
      <c r="G1033" s="478">
        <v>39356.60000000149</v>
      </c>
      <c r="H1033" s="466">
        <v>0</v>
      </c>
      <c r="I1033" s="479">
        <v>0</v>
      </c>
    </row>
    <row r="1034" spans="1:9" ht="15.75" customHeight="1">
      <c r="A1034" s="467"/>
      <c r="B1034" s="467"/>
      <c r="C1034" s="466"/>
      <c r="D1034" s="497">
        <v>46523</v>
      </c>
      <c r="E1034" s="466" t="s">
        <v>620</v>
      </c>
      <c r="F1034" s="466">
        <v>45419233.399999999</v>
      </c>
      <c r="G1034" s="478">
        <v>39356.609999999404</v>
      </c>
      <c r="H1034" s="466">
        <v>0</v>
      </c>
      <c r="I1034" s="479">
        <v>0</v>
      </c>
    </row>
    <row r="1035" spans="1:9" ht="15.75" customHeight="1">
      <c r="A1035" s="467"/>
      <c r="B1035" s="467"/>
      <c r="C1035" s="466"/>
      <c r="D1035" s="497">
        <v>46524</v>
      </c>
      <c r="E1035" s="466" t="s">
        <v>619</v>
      </c>
      <c r="F1035" s="466">
        <v>45458590</v>
      </c>
      <c r="G1035" s="478">
        <v>39356.60000000149</v>
      </c>
      <c r="H1035" s="466">
        <v>0</v>
      </c>
      <c r="I1035" s="479">
        <v>0</v>
      </c>
    </row>
    <row r="1036" spans="1:9" ht="15.75" customHeight="1">
      <c r="A1036" s="467"/>
      <c r="B1036" s="467"/>
      <c r="C1036" s="466"/>
      <c r="D1036" s="497">
        <v>46525</v>
      </c>
      <c r="E1036" s="466" t="s">
        <v>618</v>
      </c>
      <c r="F1036" s="466">
        <v>45497946.609999999</v>
      </c>
      <c r="G1036" s="478">
        <v>39356.609999999404</v>
      </c>
      <c r="H1036" s="466">
        <v>0</v>
      </c>
      <c r="I1036" s="479">
        <v>0</v>
      </c>
    </row>
    <row r="1037" spans="1:9" ht="15.75" customHeight="1">
      <c r="A1037" s="467"/>
      <c r="B1037" s="467"/>
      <c r="C1037" s="466"/>
      <c r="D1037" s="497">
        <v>46526</v>
      </c>
      <c r="E1037" s="466" t="s">
        <v>624</v>
      </c>
      <c r="F1037" s="466">
        <v>45537303.210000001</v>
      </c>
      <c r="G1037" s="478">
        <v>39356.60000000149</v>
      </c>
      <c r="H1037" s="466">
        <v>275496.23000000417</v>
      </c>
      <c r="I1037" s="479">
        <v>550992.46999999881</v>
      </c>
    </row>
    <row r="1038" spans="1:9" ht="15.75" customHeight="1">
      <c r="A1038" s="467"/>
      <c r="B1038" s="467"/>
      <c r="C1038" s="466"/>
      <c r="D1038" s="497">
        <v>46527</v>
      </c>
      <c r="E1038" s="466" t="s">
        <v>623</v>
      </c>
      <c r="F1038" s="466">
        <v>45576659.82</v>
      </c>
      <c r="G1038" s="478">
        <v>39356.609999999404</v>
      </c>
      <c r="H1038" s="466">
        <v>0</v>
      </c>
      <c r="I1038" s="479">
        <v>0</v>
      </c>
    </row>
    <row r="1039" spans="1:9" ht="15.75" customHeight="1">
      <c r="A1039" s="467"/>
      <c r="B1039" s="467"/>
      <c r="C1039" s="466"/>
      <c r="D1039" s="497">
        <v>46528</v>
      </c>
      <c r="E1039" s="466" t="s">
        <v>622</v>
      </c>
      <c r="F1039" s="466">
        <v>45616016.420000002</v>
      </c>
      <c r="G1039" s="478">
        <v>39356.60000000149</v>
      </c>
      <c r="H1039" s="466">
        <v>0</v>
      </c>
      <c r="I1039" s="479">
        <v>0</v>
      </c>
    </row>
    <row r="1040" spans="1:9" ht="15.75" customHeight="1">
      <c r="A1040" s="467"/>
      <c r="B1040" s="467"/>
      <c r="C1040" s="466"/>
      <c r="D1040" s="497">
        <v>46529</v>
      </c>
      <c r="E1040" s="466" t="s">
        <v>621</v>
      </c>
      <c r="F1040" s="466">
        <v>45655373.030000001</v>
      </c>
      <c r="G1040" s="478">
        <v>39356.609999999404</v>
      </c>
      <c r="H1040" s="466">
        <v>0</v>
      </c>
      <c r="I1040" s="479">
        <v>0</v>
      </c>
    </row>
    <row r="1041" spans="1:9" ht="15.75" customHeight="1">
      <c r="A1041" s="467"/>
      <c r="B1041" s="467"/>
      <c r="C1041" s="466"/>
      <c r="D1041" s="497">
        <v>46530</v>
      </c>
      <c r="E1041" s="466" t="s">
        <v>620</v>
      </c>
      <c r="F1041" s="466">
        <v>45694729.630000003</v>
      </c>
      <c r="G1041" s="478">
        <v>39356.60000000149</v>
      </c>
      <c r="H1041" s="466">
        <v>0</v>
      </c>
      <c r="I1041" s="479">
        <v>0</v>
      </c>
    </row>
    <row r="1042" spans="1:9" ht="15.75" customHeight="1">
      <c r="A1042" s="467"/>
      <c r="B1042" s="467"/>
      <c r="C1042" s="466"/>
      <c r="D1042" s="497">
        <v>46531</v>
      </c>
      <c r="E1042" s="466" t="s">
        <v>619</v>
      </c>
      <c r="F1042" s="466">
        <v>45734086.240000002</v>
      </c>
      <c r="G1042" s="478">
        <v>39356.609999999404</v>
      </c>
      <c r="H1042" s="466">
        <v>0</v>
      </c>
      <c r="I1042" s="479">
        <v>0</v>
      </c>
    </row>
    <row r="1043" spans="1:9" ht="15.75" customHeight="1">
      <c r="A1043" s="467"/>
      <c r="B1043" s="467"/>
      <c r="C1043" s="466"/>
      <c r="D1043" s="497">
        <v>46532</v>
      </c>
      <c r="E1043" s="466" t="s">
        <v>618</v>
      </c>
      <c r="F1043" s="466">
        <v>45773442.840000004</v>
      </c>
      <c r="G1043" s="478">
        <v>39356.60000000149</v>
      </c>
      <c r="H1043" s="466">
        <v>0</v>
      </c>
      <c r="I1043" s="479">
        <v>0</v>
      </c>
    </row>
    <row r="1044" spans="1:9" ht="15.75" customHeight="1">
      <c r="A1044" s="467"/>
      <c r="B1044" s="467"/>
      <c r="C1044" s="466"/>
      <c r="D1044" s="497">
        <v>46533</v>
      </c>
      <c r="E1044" s="466" t="s">
        <v>624</v>
      </c>
      <c r="F1044" s="466">
        <v>45812799.450000003</v>
      </c>
      <c r="G1044" s="478">
        <v>39356.609999999404</v>
      </c>
      <c r="H1044" s="466">
        <v>275496.24000000209</v>
      </c>
      <c r="I1044" s="479">
        <v>0</v>
      </c>
    </row>
    <row r="1045" spans="1:9" ht="15.75" customHeight="1">
      <c r="A1045" s="467"/>
      <c r="B1045" s="467"/>
      <c r="C1045" s="466"/>
      <c r="D1045" s="497">
        <v>46534</v>
      </c>
      <c r="E1045" s="466" t="s">
        <v>623</v>
      </c>
      <c r="F1045" s="466">
        <v>45852156.049999997</v>
      </c>
      <c r="G1045" s="478">
        <v>39356.59999999404</v>
      </c>
      <c r="H1045" s="466">
        <v>0</v>
      </c>
      <c r="I1045" s="479">
        <v>0</v>
      </c>
    </row>
    <row r="1046" spans="1:9" ht="15.75" customHeight="1">
      <c r="A1046" s="467"/>
      <c r="B1046" s="467"/>
      <c r="C1046" s="466"/>
      <c r="D1046" s="497">
        <v>46535</v>
      </c>
      <c r="E1046" s="466" t="s">
        <v>622</v>
      </c>
      <c r="F1046" s="466">
        <v>45891512.659999996</v>
      </c>
      <c r="G1046" s="478">
        <v>39356.609999999404</v>
      </c>
      <c r="H1046" s="466">
        <v>0</v>
      </c>
      <c r="I1046" s="479">
        <v>0</v>
      </c>
    </row>
    <row r="1047" spans="1:9" ht="15.75" customHeight="1">
      <c r="A1047" s="467"/>
      <c r="B1047" s="467"/>
      <c r="C1047" s="466"/>
      <c r="D1047" s="497">
        <v>46536</v>
      </c>
      <c r="E1047" s="466" t="s">
        <v>621</v>
      </c>
      <c r="F1047" s="466">
        <v>45930869.259999998</v>
      </c>
      <c r="G1047" s="478">
        <v>39356.60000000149</v>
      </c>
      <c r="H1047" s="466">
        <v>0</v>
      </c>
      <c r="I1047" s="479">
        <v>0</v>
      </c>
    </row>
    <row r="1048" spans="1:9" ht="15.75" customHeight="1">
      <c r="A1048" s="467"/>
      <c r="B1048" s="467"/>
      <c r="C1048" s="466"/>
      <c r="D1048" s="497">
        <v>46537</v>
      </c>
      <c r="E1048" s="466" t="s">
        <v>620</v>
      </c>
      <c r="F1048" s="466">
        <v>45970225.869999997</v>
      </c>
      <c r="G1048" s="478">
        <v>39356.609999999404</v>
      </c>
      <c r="H1048" s="466">
        <v>0</v>
      </c>
      <c r="I1048" s="479">
        <v>0</v>
      </c>
    </row>
    <row r="1049" spans="1:9" ht="15.75" customHeight="1">
      <c r="A1049" s="467"/>
      <c r="B1049" s="467"/>
      <c r="C1049" s="466"/>
      <c r="D1049" s="497">
        <v>46538</v>
      </c>
      <c r="E1049" s="466" t="s">
        <v>619</v>
      </c>
      <c r="F1049" s="466">
        <v>46009582.469999999</v>
      </c>
      <c r="G1049" s="478">
        <v>39356.60000000149</v>
      </c>
      <c r="H1049" s="466">
        <v>0</v>
      </c>
      <c r="I1049" s="479">
        <v>0</v>
      </c>
    </row>
    <row r="1050" spans="1:9" ht="15.75" customHeight="1">
      <c r="A1050" s="467"/>
      <c r="B1050" s="467"/>
      <c r="C1050" s="466"/>
      <c r="D1050" s="497">
        <v>46539</v>
      </c>
      <c r="E1050" s="466" t="s">
        <v>618</v>
      </c>
      <c r="F1050" s="466">
        <v>46048939.079999998</v>
      </c>
      <c r="G1050" s="478">
        <v>39356.609999999404</v>
      </c>
      <c r="H1050" s="466">
        <v>0</v>
      </c>
      <c r="I1050" s="479">
        <v>0</v>
      </c>
    </row>
    <row r="1051" spans="1:9" ht="15.75" customHeight="1">
      <c r="A1051" s="467"/>
      <c r="B1051" s="467"/>
      <c r="C1051" s="466"/>
      <c r="D1051" s="497">
        <v>46540</v>
      </c>
      <c r="E1051" s="466" t="s">
        <v>624</v>
      </c>
      <c r="F1051" s="466">
        <v>46088295.68</v>
      </c>
      <c r="G1051" s="478">
        <v>39356.60000000149</v>
      </c>
      <c r="H1051" s="466">
        <v>275496.22999999672</v>
      </c>
      <c r="I1051" s="479">
        <v>550992.46999999881</v>
      </c>
    </row>
    <row r="1052" spans="1:9" ht="15.75" customHeight="1">
      <c r="A1052" s="467"/>
      <c r="B1052" s="467"/>
      <c r="C1052" s="466"/>
      <c r="D1052" s="497">
        <v>46541</v>
      </c>
      <c r="E1052" s="466" t="s">
        <v>623</v>
      </c>
      <c r="F1052" s="466">
        <v>46127652.289999999</v>
      </c>
      <c r="G1052" s="478">
        <v>39356.609999999404</v>
      </c>
      <c r="H1052" s="466">
        <v>0</v>
      </c>
      <c r="I1052" s="479">
        <v>0</v>
      </c>
    </row>
    <row r="1053" spans="1:9" ht="15.75" customHeight="1">
      <c r="A1053" s="467"/>
      <c r="B1053" s="467"/>
      <c r="C1053" s="466"/>
      <c r="D1053" s="497">
        <v>46542</v>
      </c>
      <c r="E1053" s="466" t="s">
        <v>622</v>
      </c>
      <c r="F1053" s="466">
        <v>46167008.890000001</v>
      </c>
      <c r="G1053" s="478">
        <v>39356.60000000149</v>
      </c>
      <c r="H1053" s="466">
        <v>0</v>
      </c>
      <c r="I1053" s="479">
        <v>0</v>
      </c>
    </row>
    <row r="1054" spans="1:9" ht="15.75" customHeight="1">
      <c r="A1054" s="467"/>
      <c r="B1054" s="467"/>
      <c r="C1054" s="466"/>
      <c r="D1054" s="497">
        <v>46543</v>
      </c>
      <c r="E1054" s="466" t="s">
        <v>621</v>
      </c>
      <c r="F1054" s="466">
        <v>46206365.5</v>
      </c>
      <c r="G1054" s="478">
        <v>39356.609999999404</v>
      </c>
      <c r="H1054" s="466">
        <v>0</v>
      </c>
      <c r="I1054" s="479">
        <v>0</v>
      </c>
    </row>
    <row r="1055" spans="1:9" ht="15.75" customHeight="1">
      <c r="A1055" s="467"/>
      <c r="B1055" s="467"/>
      <c r="C1055" s="466"/>
      <c r="D1055" s="497">
        <v>46544</v>
      </c>
      <c r="E1055" s="466" t="s">
        <v>620</v>
      </c>
      <c r="F1055" s="466">
        <v>46245722.100000001</v>
      </c>
      <c r="G1055" s="478">
        <v>39356.60000000149</v>
      </c>
      <c r="H1055" s="466">
        <v>0</v>
      </c>
      <c r="I1055" s="479">
        <v>0</v>
      </c>
    </row>
    <row r="1056" spans="1:9" ht="15.75" customHeight="1">
      <c r="A1056" s="467"/>
      <c r="B1056" s="467"/>
      <c r="C1056" s="466"/>
      <c r="D1056" s="497">
        <v>46545</v>
      </c>
      <c r="E1056" s="466" t="s">
        <v>619</v>
      </c>
      <c r="F1056" s="466">
        <v>46285078.710000001</v>
      </c>
      <c r="G1056" s="478">
        <v>39356.609999999404</v>
      </c>
      <c r="H1056" s="466">
        <v>0</v>
      </c>
      <c r="I1056" s="479">
        <v>0</v>
      </c>
    </row>
    <row r="1057" spans="1:9" ht="15.75" customHeight="1">
      <c r="A1057" s="467"/>
      <c r="B1057" s="467"/>
      <c r="C1057" s="466"/>
      <c r="D1057" s="497">
        <v>46546</v>
      </c>
      <c r="E1057" s="466" t="s">
        <v>618</v>
      </c>
      <c r="F1057" s="466">
        <v>46324435.310000002</v>
      </c>
      <c r="G1057" s="478">
        <v>39356.60000000149</v>
      </c>
      <c r="H1057" s="466">
        <v>0</v>
      </c>
      <c r="I1057" s="479">
        <v>0</v>
      </c>
    </row>
    <row r="1058" spans="1:9" ht="15.75" customHeight="1">
      <c r="A1058" s="467"/>
      <c r="B1058" s="467"/>
      <c r="C1058" s="466"/>
      <c r="D1058" s="497">
        <v>46547</v>
      </c>
      <c r="E1058" s="466" t="s">
        <v>624</v>
      </c>
      <c r="F1058" s="466">
        <v>46363791.920000002</v>
      </c>
      <c r="G1058" s="478">
        <v>39356.609999999404</v>
      </c>
      <c r="H1058" s="466">
        <v>275496.24000000209</v>
      </c>
      <c r="I1058" s="479">
        <v>0</v>
      </c>
    </row>
    <row r="1059" spans="1:9" ht="15.75" customHeight="1">
      <c r="A1059" s="467"/>
      <c r="B1059" s="467"/>
      <c r="C1059" s="466"/>
      <c r="D1059" s="497">
        <v>46548</v>
      </c>
      <c r="E1059" s="466" t="s">
        <v>623</v>
      </c>
      <c r="F1059" s="466">
        <v>46403148.520000003</v>
      </c>
      <c r="G1059" s="478">
        <v>39356.60000000149</v>
      </c>
      <c r="H1059" s="466">
        <v>0</v>
      </c>
      <c r="I1059" s="479">
        <v>0</v>
      </c>
    </row>
    <row r="1060" spans="1:9" ht="15.75" customHeight="1">
      <c r="A1060" s="467"/>
      <c r="B1060" s="467"/>
      <c r="C1060" s="466"/>
      <c r="D1060" s="497">
        <v>46549</v>
      </c>
      <c r="E1060" s="466" t="s">
        <v>622</v>
      </c>
      <c r="F1060" s="466">
        <v>46442505.130000003</v>
      </c>
      <c r="G1060" s="478">
        <v>39356.609999999404</v>
      </c>
      <c r="H1060" s="466">
        <v>0</v>
      </c>
      <c r="I1060" s="479">
        <v>0</v>
      </c>
    </row>
    <row r="1061" spans="1:9" ht="15.75" customHeight="1">
      <c r="A1061" s="467"/>
      <c r="B1061" s="467"/>
      <c r="C1061" s="466"/>
      <c r="D1061" s="497">
        <v>46550</v>
      </c>
      <c r="E1061" s="466" t="s">
        <v>621</v>
      </c>
      <c r="F1061" s="466">
        <v>46481861.729999997</v>
      </c>
      <c r="G1061" s="478">
        <v>39356.59999999404</v>
      </c>
      <c r="H1061" s="466">
        <v>0</v>
      </c>
      <c r="I1061" s="479">
        <v>0</v>
      </c>
    </row>
    <row r="1062" spans="1:9" ht="15.75" customHeight="1">
      <c r="A1062" s="467"/>
      <c r="B1062" s="467"/>
      <c r="C1062" s="466"/>
      <c r="D1062" s="497">
        <v>46551</v>
      </c>
      <c r="E1062" s="466" t="s">
        <v>620</v>
      </c>
      <c r="F1062" s="466">
        <v>46521218.340000004</v>
      </c>
      <c r="G1062" s="478">
        <v>39356.610000006855</v>
      </c>
      <c r="H1062" s="466">
        <v>0</v>
      </c>
      <c r="I1062" s="479">
        <v>0</v>
      </c>
    </row>
    <row r="1063" spans="1:9" ht="15.75" customHeight="1">
      <c r="A1063" s="467"/>
      <c r="B1063" s="467"/>
      <c r="C1063" s="466"/>
      <c r="D1063" s="497">
        <v>46552</v>
      </c>
      <c r="E1063" s="466" t="s">
        <v>619</v>
      </c>
      <c r="F1063" s="466">
        <v>46560574.939999998</v>
      </c>
      <c r="G1063" s="478">
        <v>39356.59999999404</v>
      </c>
      <c r="H1063" s="466">
        <v>0</v>
      </c>
      <c r="I1063" s="479">
        <v>0</v>
      </c>
    </row>
    <row r="1064" spans="1:9" ht="15.75" customHeight="1">
      <c r="A1064" s="467"/>
      <c r="B1064" s="467"/>
      <c r="C1064" s="466"/>
      <c r="D1064" s="497">
        <v>46553</v>
      </c>
      <c r="E1064" s="466" t="s">
        <v>618</v>
      </c>
      <c r="F1064" s="466">
        <v>46599931.549999997</v>
      </c>
      <c r="G1064" s="478">
        <v>39356.609999999404</v>
      </c>
      <c r="H1064" s="466">
        <v>0</v>
      </c>
      <c r="I1064" s="479">
        <v>0</v>
      </c>
    </row>
    <row r="1065" spans="1:9" ht="15.75" customHeight="1">
      <c r="A1065" s="467"/>
      <c r="B1065" s="467"/>
      <c r="C1065" s="466"/>
      <c r="D1065" s="497">
        <v>46554</v>
      </c>
      <c r="E1065" s="466" t="s">
        <v>624</v>
      </c>
      <c r="F1065" s="466">
        <v>46639288.149999999</v>
      </c>
      <c r="G1065" s="478">
        <v>39356.60000000149</v>
      </c>
      <c r="H1065" s="466">
        <v>275496.22999999672</v>
      </c>
      <c r="I1065" s="479">
        <v>550992.46999999881</v>
      </c>
    </row>
    <row r="1066" spans="1:9" ht="15.75" customHeight="1">
      <c r="A1066" s="467"/>
      <c r="B1066" s="467"/>
      <c r="C1066" s="466"/>
      <c r="D1066" s="497">
        <v>46555</v>
      </c>
      <c r="E1066" s="466" t="s">
        <v>623</v>
      </c>
      <c r="F1066" s="466">
        <v>46678644.759999998</v>
      </c>
      <c r="G1066" s="478">
        <v>39356.609999999404</v>
      </c>
      <c r="H1066" s="466">
        <v>0</v>
      </c>
      <c r="I1066" s="479">
        <v>0</v>
      </c>
    </row>
    <row r="1067" spans="1:9" ht="15.75" customHeight="1">
      <c r="A1067" s="467"/>
      <c r="B1067" s="467"/>
      <c r="C1067" s="466"/>
      <c r="D1067" s="497">
        <v>46556</v>
      </c>
      <c r="E1067" s="466" t="s">
        <v>622</v>
      </c>
      <c r="F1067" s="466">
        <v>46718001.359999999</v>
      </c>
      <c r="G1067" s="478">
        <v>39356.60000000149</v>
      </c>
      <c r="H1067" s="466">
        <v>0</v>
      </c>
      <c r="I1067" s="479">
        <v>0</v>
      </c>
    </row>
    <row r="1068" spans="1:9" ht="15.75" customHeight="1">
      <c r="A1068" s="467"/>
      <c r="B1068" s="467"/>
      <c r="C1068" s="466"/>
      <c r="D1068" s="497">
        <v>46557</v>
      </c>
      <c r="E1068" s="466" t="s">
        <v>621</v>
      </c>
      <c r="F1068" s="466">
        <v>46757357.969999999</v>
      </c>
      <c r="G1068" s="478">
        <v>39356.609999999404</v>
      </c>
      <c r="H1068" s="466">
        <v>0</v>
      </c>
      <c r="I1068" s="479">
        <v>0</v>
      </c>
    </row>
    <row r="1069" spans="1:9" ht="15.75" customHeight="1">
      <c r="A1069" s="467"/>
      <c r="B1069" s="467"/>
      <c r="C1069" s="466"/>
      <c r="D1069" s="497">
        <v>46558</v>
      </c>
      <c r="E1069" s="466" t="s">
        <v>620</v>
      </c>
      <c r="F1069" s="466">
        <v>46796714.57</v>
      </c>
      <c r="G1069" s="478">
        <v>39356.60000000149</v>
      </c>
      <c r="H1069" s="466">
        <v>0</v>
      </c>
      <c r="I1069" s="479">
        <v>0</v>
      </c>
    </row>
    <row r="1070" spans="1:9" ht="15.75" customHeight="1">
      <c r="A1070" s="467"/>
      <c r="B1070" s="467"/>
      <c r="C1070" s="466"/>
      <c r="D1070" s="497">
        <v>46559</v>
      </c>
      <c r="E1070" s="466" t="s">
        <v>619</v>
      </c>
      <c r="F1070" s="466">
        <v>46836071.18</v>
      </c>
      <c r="G1070" s="478">
        <v>39356.609999999404</v>
      </c>
      <c r="H1070" s="466">
        <v>0</v>
      </c>
      <c r="I1070" s="479">
        <v>0</v>
      </c>
    </row>
    <row r="1071" spans="1:9" ht="15.75" customHeight="1">
      <c r="A1071" s="467"/>
      <c r="B1071" s="467"/>
      <c r="C1071" s="466"/>
      <c r="D1071" s="497">
        <v>46560</v>
      </c>
      <c r="E1071" s="466" t="s">
        <v>618</v>
      </c>
      <c r="F1071" s="466">
        <v>46875427.780000001</v>
      </c>
      <c r="G1071" s="478">
        <v>39356.60000000149</v>
      </c>
      <c r="H1071" s="466">
        <v>0</v>
      </c>
      <c r="I1071" s="479">
        <v>0</v>
      </c>
    </row>
    <row r="1072" spans="1:9" ht="15.75" customHeight="1">
      <c r="A1072" s="467"/>
      <c r="B1072" s="467"/>
      <c r="C1072" s="466"/>
      <c r="D1072" s="497">
        <v>46561</v>
      </c>
      <c r="E1072" s="466" t="s">
        <v>624</v>
      </c>
      <c r="F1072" s="466">
        <v>46914784.390000001</v>
      </c>
      <c r="G1072" s="478">
        <v>39356.609999999404</v>
      </c>
      <c r="H1072" s="466">
        <v>275496.24000000209</v>
      </c>
      <c r="I1072" s="479">
        <v>0</v>
      </c>
    </row>
    <row r="1073" spans="1:9" ht="15.75" customHeight="1">
      <c r="A1073" s="467"/>
      <c r="B1073" s="467"/>
      <c r="C1073" s="466"/>
      <c r="D1073" s="497">
        <v>46562</v>
      </c>
      <c r="E1073" s="466" t="s">
        <v>623</v>
      </c>
      <c r="F1073" s="466">
        <v>46954140.990000002</v>
      </c>
      <c r="G1073" s="478">
        <v>39356.60000000149</v>
      </c>
      <c r="H1073" s="466">
        <v>0</v>
      </c>
      <c r="I1073" s="479">
        <v>0</v>
      </c>
    </row>
    <row r="1074" spans="1:9" ht="15.75" customHeight="1">
      <c r="A1074" s="467"/>
      <c r="B1074" s="467"/>
      <c r="C1074" s="466"/>
      <c r="D1074" s="497">
        <v>46563</v>
      </c>
      <c r="E1074" s="466" t="s">
        <v>622</v>
      </c>
      <c r="F1074" s="466">
        <v>46993497.600000001</v>
      </c>
      <c r="G1074" s="478">
        <v>39356.609999999404</v>
      </c>
      <c r="H1074" s="466">
        <v>0</v>
      </c>
      <c r="I1074" s="479">
        <v>0</v>
      </c>
    </row>
    <row r="1075" spans="1:9" ht="15.75" customHeight="1">
      <c r="A1075" s="467"/>
      <c r="B1075" s="467"/>
      <c r="C1075" s="466"/>
      <c r="D1075" s="497">
        <v>46564</v>
      </c>
      <c r="E1075" s="466" t="s">
        <v>621</v>
      </c>
      <c r="F1075" s="466">
        <v>47032854.200000003</v>
      </c>
      <c r="G1075" s="478">
        <v>39356.60000000149</v>
      </c>
      <c r="H1075" s="466">
        <v>0</v>
      </c>
      <c r="I1075" s="479">
        <v>0</v>
      </c>
    </row>
    <row r="1076" spans="1:9" ht="15.75" customHeight="1">
      <c r="A1076" s="467"/>
      <c r="B1076" s="467"/>
      <c r="C1076" s="466"/>
      <c r="D1076" s="497">
        <v>46565</v>
      </c>
      <c r="E1076" s="466" t="s">
        <v>620</v>
      </c>
      <c r="F1076" s="466">
        <v>47072210.810000002</v>
      </c>
      <c r="G1076" s="478">
        <v>39356.609999999404</v>
      </c>
      <c r="H1076" s="466">
        <v>0</v>
      </c>
      <c r="I1076" s="479">
        <v>0</v>
      </c>
    </row>
    <row r="1077" spans="1:9" ht="15.75" customHeight="1">
      <c r="A1077" s="467"/>
      <c r="B1077" s="467"/>
      <c r="C1077" s="466"/>
      <c r="D1077" s="497">
        <v>46566</v>
      </c>
      <c r="E1077" s="466" t="s">
        <v>619</v>
      </c>
      <c r="F1077" s="466">
        <v>47111567.409999996</v>
      </c>
      <c r="G1077" s="478">
        <v>39356.59999999404</v>
      </c>
      <c r="H1077" s="466">
        <v>0</v>
      </c>
      <c r="I1077" s="479">
        <v>0</v>
      </c>
    </row>
    <row r="1078" spans="1:9" ht="15.75" customHeight="1">
      <c r="A1078" s="467"/>
      <c r="B1078" s="467"/>
      <c r="C1078" s="466"/>
      <c r="D1078" s="497">
        <v>46567</v>
      </c>
      <c r="E1078" s="466" t="s">
        <v>618</v>
      </c>
      <c r="F1078" s="466">
        <v>47150924.020000003</v>
      </c>
      <c r="G1078" s="478">
        <v>39356.610000006855</v>
      </c>
      <c r="H1078" s="466">
        <v>0</v>
      </c>
      <c r="I1078" s="479">
        <v>0</v>
      </c>
    </row>
    <row r="1079" spans="1:9" ht="15.75" customHeight="1">
      <c r="A1079" s="467"/>
      <c r="B1079" s="467"/>
      <c r="C1079" s="466"/>
      <c r="D1079" s="497">
        <v>46568</v>
      </c>
      <c r="E1079" s="466" t="s">
        <v>624</v>
      </c>
      <c r="F1079" s="466">
        <v>47190280.619999997</v>
      </c>
      <c r="G1079" s="478">
        <v>39356.59999999404</v>
      </c>
      <c r="H1079" s="466">
        <v>275496.22999999672</v>
      </c>
      <c r="I1079" s="479">
        <v>550992.46999999881</v>
      </c>
    </row>
    <row r="1080" spans="1:9" ht="15.75" customHeight="1">
      <c r="A1080" s="467"/>
      <c r="B1080" s="467"/>
      <c r="C1080" s="466"/>
      <c r="D1080" s="497">
        <v>46569</v>
      </c>
      <c r="E1080" s="466" t="s">
        <v>623</v>
      </c>
      <c r="F1080" s="466">
        <v>47229637.229999997</v>
      </c>
      <c r="G1080" s="478">
        <v>39356.609999999404</v>
      </c>
      <c r="H1080" s="466">
        <v>0</v>
      </c>
      <c r="I1080" s="479">
        <v>0</v>
      </c>
    </row>
    <row r="1081" spans="1:9" ht="15.75" customHeight="1">
      <c r="A1081" s="467"/>
      <c r="B1081" s="467"/>
      <c r="C1081" s="466"/>
      <c r="D1081" s="497">
        <v>46570</v>
      </c>
      <c r="E1081" s="466" t="s">
        <v>622</v>
      </c>
      <c r="F1081" s="466">
        <v>47268993.829999998</v>
      </c>
      <c r="G1081" s="478">
        <v>39356.60000000149</v>
      </c>
      <c r="H1081" s="466">
        <v>0</v>
      </c>
      <c r="I1081" s="479">
        <v>0</v>
      </c>
    </row>
    <row r="1082" spans="1:9" ht="15.75" customHeight="1">
      <c r="A1082" s="467"/>
      <c r="B1082" s="467"/>
      <c r="C1082" s="466"/>
      <c r="D1082" s="497">
        <v>46571</v>
      </c>
      <c r="E1082" s="466" t="s">
        <v>621</v>
      </c>
      <c r="F1082" s="466">
        <v>47308350.439999998</v>
      </c>
      <c r="G1082" s="478">
        <v>39356.609999999404</v>
      </c>
      <c r="H1082" s="466">
        <v>0</v>
      </c>
      <c r="I1082" s="479">
        <v>0</v>
      </c>
    </row>
    <row r="1083" spans="1:9" ht="15.75" customHeight="1">
      <c r="A1083" s="467"/>
      <c r="B1083" s="467"/>
      <c r="C1083" s="466"/>
      <c r="D1083" s="497">
        <v>46572</v>
      </c>
      <c r="E1083" s="466" t="s">
        <v>620</v>
      </c>
      <c r="F1083" s="466">
        <v>47347707.039999999</v>
      </c>
      <c r="G1083" s="478">
        <v>39356.60000000149</v>
      </c>
      <c r="H1083" s="466">
        <v>0</v>
      </c>
      <c r="I1083" s="479">
        <v>0</v>
      </c>
    </row>
    <row r="1084" spans="1:9" ht="15.75" customHeight="1">
      <c r="A1084" s="467"/>
      <c r="B1084" s="467"/>
      <c r="C1084" s="466"/>
      <c r="D1084" s="497">
        <v>46573</v>
      </c>
      <c r="E1084" s="466" t="s">
        <v>619</v>
      </c>
      <c r="F1084" s="466">
        <v>47387063.649999999</v>
      </c>
      <c r="G1084" s="478">
        <v>39356.609999999404</v>
      </c>
      <c r="H1084" s="466">
        <v>0</v>
      </c>
      <c r="I1084" s="479">
        <v>0</v>
      </c>
    </row>
    <row r="1085" spans="1:9" ht="15.75" customHeight="1">
      <c r="A1085" s="467"/>
      <c r="B1085" s="467"/>
      <c r="C1085" s="466"/>
      <c r="D1085" s="497">
        <v>46574</v>
      </c>
      <c r="E1085" s="466" t="s">
        <v>618</v>
      </c>
      <c r="F1085" s="466">
        <v>47426420.259999998</v>
      </c>
      <c r="G1085" s="478">
        <v>39356.609999999404</v>
      </c>
      <c r="H1085" s="466">
        <v>0</v>
      </c>
      <c r="I1085" s="479">
        <v>0</v>
      </c>
    </row>
    <row r="1086" spans="1:9" ht="15.75" customHeight="1">
      <c r="A1086" s="467"/>
      <c r="B1086" s="467"/>
      <c r="C1086" s="466"/>
      <c r="D1086" s="497">
        <v>46575</v>
      </c>
      <c r="E1086" s="466" t="s">
        <v>624</v>
      </c>
      <c r="F1086" s="466">
        <v>47465776.859999999</v>
      </c>
      <c r="G1086" s="478">
        <v>39356.60000000149</v>
      </c>
      <c r="H1086" s="466">
        <v>275496.24000000209</v>
      </c>
      <c r="I1086" s="479">
        <v>0</v>
      </c>
    </row>
    <row r="1087" spans="1:9" ht="15.75" customHeight="1">
      <c r="A1087" s="467"/>
      <c r="B1087" s="467"/>
      <c r="C1087" s="466"/>
      <c r="D1087" s="497">
        <v>46576</v>
      </c>
      <c r="E1087" s="466" t="s">
        <v>623</v>
      </c>
      <c r="F1087" s="466">
        <v>47505133.469999999</v>
      </c>
      <c r="G1087" s="478">
        <v>39356.609999999404</v>
      </c>
      <c r="H1087" s="466">
        <v>0</v>
      </c>
      <c r="I1087" s="479">
        <v>0</v>
      </c>
    </row>
    <row r="1088" spans="1:9" ht="15.75" customHeight="1">
      <c r="A1088" s="467"/>
      <c r="B1088" s="467"/>
      <c r="C1088" s="466"/>
      <c r="D1088" s="497">
        <v>46577</v>
      </c>
      <c r="E1088" s="466" t="s">
        <v>622</v>
      </c>
      <c r="F1088" s="466">
        <v>47544490.07</v>
      </c>
      <c r="G1088" s="478">
        <v>39356.60000000149</v>
      </c>
      <c r="H1088" s="466">
        <v>0</v>
      </c>
      <c r="I1088" s="479">
        <v>0</v>
      </c>
    </row>
    <row r="1089" spans="1:9" ht="15.75" customHeight="1">
      <c r="A1089" s="467"/>
      <c r="B1089" s="467"/>
      <c r="C1089" s="466"/>
      <c r="D1089" s="497">
        <v>46578</v>
      </c>
      <c r="E1089" s="466" t="s">
        <v>621</v>
      </c>
      <c r="F1089" s="466">
        <v>47583846.68</v>
      </c>
      <c r="G1089" s="478">
        <v>39356.609999999404</v>
      </c>
      <c r="H1089" s="466">
        <v>0</v>
      </c>
      <c r="I1089" s="479">
        <v>0</v>
      </c>
    </row>
    <row r="1090" spans="1:9" ht="15.75" customHeight="1">
      <c r="A1090" s="467"/>
      <c r="B1090" s="467"/>
      <c r="C1090" s="466"/>
      <c r="D1090" s="497">
        <v>46579</v>
      </c>
      <c r="E1090" s="466" t="s">
        <v>620</v>
      </c>
      <c r="F1090" s="466">
        <v>47623203.280000001</v>
      </c>
      <c r="G1090" s="478">
        <v>39356.60000000149</v>
      </c>
      <c r="H1090" s="466">
        <v>0</v>
      </c>
      <c r="I1090" s="479">
        <v>0</v>
      </c>
    </row>
    <row r="1091" spans="1:9" ht="15.75" customHeight="1">
      <c r="A1091" s="467"/>
      <c r="B1091" s="467"/>
      <c r="C1091" s="466"/>
      <c r="D1091" s="497">
        <v>46580</v>
      </c>
      <c r="E1091" s="466" t="s">
        <v>619</v>
      </c>
      <c r="F1091" s="466">
        <v>47662559.890000001</v>
      </c>
      <c r="G1091" s="478">
        <v>39356.609999999404</v>
      </c>
      <c r="H1091" s="466">
        <v>0</v>
      </c>
      <c r="I1091" s="479">
        <v>0</v>
      </c>
    </row>
    <row r="1092" spans="1:9" ht="15.75" customHeight="1">
      <c r="A1092" s="467"/>
      <c r="B1092" s="467"/>
      <c r="C1092" s="466"/>
      <c r="D1092" s="497">
        <v>46581</v>
      </c>
      <c r="E1092" s="466" t="s">
        <v>618</v>
      </c>
      <c r="F1092" s="466">
        <v>47701916.490000002</v>
      </c>
      <c r="G1092" s="478">
        <v>39356.60000000149</v>
      </c>
      <c r="H1092" s="466">
        <v>0</v>
      </c>
      <c r="I1092" s="479">
        <v>0</v>
      </c>
    </row>
    <row r="1093" spans="1:9" ht="15.75" customHeight="1">
      <c r="A1093" s="467"/>
      <c r="B1093" s="467"/>
      <c r="C1093" s="466"/>
      <c r="D1093" s="497">
        <v>46582</v>
      </c>
      <c r="E1093" s="466" t="s">
        <v>624</v>
      </c>
      <c r="F1093" s="466">
        <v>47741273.100000001</v>
      </c>
      <c r="G1093" s="478">
        <v>39356.609999999404</v>
      </c>
      <c r="H1093" s="466">
        <v>275496.24000000209</v>
      </c>
      <c r="I1093" s="479">
        <v>550992.48000000417</v>
      </c>
    </row>
    <row r="1094" spans="1:9" ht="15.75" customHeight="1">
      <c r="A1094" s="467"/>
      <c r="B1094" s="467"/>
      <c r="C1094" s="466"/>
      <c r="D1094" s="497">
        <v>46583</v>
      </c>
      <c r="E1094" s="466" t="s">
        <v>623</v>
      </c>
      <c r="F1094" s="466">
        <v>47780629.700000003</v>
      </c>
      <c r="G1094" s="478">
        <v>39356.60000000149</v>
      </c>
      <c r="H1094" s="466">
        <v>0</v>
      </c>
      <c r="I1094" s="479">
        <v>0</v>
      </c>
    </row>
    <row r="1095" spans="1:9" ht="15.75" customHeight="1">
      <c r="A1095" s="467"/>
      <c r="B1095" s="467"/>
      <c r="C1095" s="466"/>
      <c r="D1095" s="497">
        <v>46584</v>
      </c>
      <c r="E1095" s="466" t="s">
        <v>622</v>
      </c>
      <c r="F1095" s="466">
        <v>47819986.310000002</v>
      </c>
      <c r="G1095" s="478">
        <v>39356.609999999404</v>
      </c>
      <c r="H1095" s="466">
        <v>0</v>
      </c>
      <c r="I1095" s="479">
        <v>0</v>
      </c>
    </row>
    <row r="1096" spans="1:9" ht="15.75" customHeight="1">
      <c r="A1096" s="467"/>
      <c r="B1096" s="467"/>
      <c r="C1096" s="466"/>
      <c r="D1096" s="497">
        <v>46585</v>
      </c>
      <c r="E1096" s="466" t="s">
        <v>621</v>
      </c>
      <c r="F1096" s="466">
        <v>47859342.909999996</v>
      </c>
      <c r="G1096" s="478">
        <v>39356.59999999404</v>
      </c>
      <c r="H1096" s="466">
        <v>0</v>
      </c>
      <c r="I1096" s="479">
        <v>0</v>
      </c>
    </row>
    <row r="1097" spans="1:9" ht="15.75" customHeight="1">
      <c r="A1097" s="467"/>
      <c r="B1097" s="467"/>
      <c r="C1097" s="466"/>
      <c r="D1097" s="497">
        <v>46586</v>
      </c>
      <c r="E1097" s="466" t="s">
        <v>620</v>
      </c>
      <c r="F1097" s="466">
        <v>47898699.520000003</v>
      </c>
      <c r="G1097" s="478">
        <v>39356.610000006855</v>
      </c>
      <c r="H1097" s="466">
        <v>0</v>
      </c>
      <c r="I1097" s="479">
        <v>0</v>
      </c>
    </row>
    <row r="1098" spans="1:9" ht="15.75" customHeight="1">
      <c r="A1098" s="467"/>
      <c r="B1098" s="467"/>
      <c r="C1098" s="466"/>
      <c r="D1098" s="497">
        <v>46587</v>
      </c>
      <c r="E1098" s="466" t="s">
        <v>619</v>
      </c>
      <c r="F1098" s="466">
        <v>47938056.119999997</v>
      </c>
      <c r="G1098" s="478">
        <v>39356.59999999404</v>
      </c>
      <c r="H1098" s="466">
        <v>0</v>
      </c>
      <c r="I1098" s="479">
        <v>0</v>
      </c>
    </row>
    <row r="1099" spans="1:9" ht="15.75" customHeight="1">
      <c r="A1099" s="467"/>
      <c r="B1099" s="467"/>
      <c r="C1099" s="466"/>
      <c r="D1099" s="497">
        <v>46588</v>
      </c>
      <c r="E1099" s="466" t="s">
        <v>618</v>
      </c>
      <c r="F1099" s="466">
        <v>47977412.729999997</v>
      </c>
      <c r="G1099" s="478">
        <v>39356.609999999404</v>
      </c>
      <c r="H1099" s="466">
        <v>0</v>
      </c>
      <c r="I1099" s="479">
        <v>0</v>
      </c>
    </row>
    <row r="1100" spans="1:9" ht="15.75" customHeight="1">
      <c r="A1100" s="467"/>
      <c r="B1100" s="467"/>
      <c r="C1100" s="466"/>
      <c r="D1100" s="497">
        <v>46589</v>
      </c>
      <c r="E1100" s="466" t="s">
        <v>624</v>
      </c>
      <c r="F1100" s="466">
        <v>48016769.329999998</v>
      </c>
      <c r="G1100" s="478">
        <v>39356.60000000149</v>
      </c>
      <c r="H1100" s="466">
        <v>275496.22999999672</v>
      </c>
      <c r="I1100" s="479">
        <v>0</v>
      </c>
    </row>
    <row r="1101" spans="1:9" ht="15.75" customHeight="1">
      <c r="A1101" s="467"/>
      <c r="B1101" s="467"/>
      <c r="C1101" s="466"/>
      <c r="D1101" s="497">
        <v>46590</v>
      </c>
      <c r="E1101" s="466" t="s">
        <v>623</v>
      </c>
      <c r="F1101" s="466">
        <v>48056125.939999998</v>
      </c>
      <c r="G1101" s="478">
        <v>39356.609999999404</v>
      </c>
      <c r="H1101" s="466">
        <v>0</v>
      </c>
      <c r="I1101" s="479">
        <v>0</v>
      </c>
    </row>
    <row r="1102" spans="1:9" ht="15.75" customHeight="1">
      <c r="A1102" s="467"/>
      <c r="B1102" s="467"/>
      <c r="C1102" s="466"/>
      <c r="D1102" s="497">
        <v>46591</v>
      </c>
      <c r="E1102" s="466" t="s">
        <v>622</v>
      </c>
      <c r="F1102" s="466">
        <v>48095482.539999999</v>
      </c>
      <c r="G1102" s="478">
        <v>39356.60000000149</v>
      </c>
      <c r="H1102" s="466">
        <v>0</v>
      </c>
      <c r="I1102" s="479">
        <v>0</v>
      </c>
    </row>
    <row r="1103" spans="1:9" ht="15.75" customHeight="1">
      <c r="A1103" s="467"/>
      <c r="B1103" s="467"/>
      <c r="C1103" s="466"/>
      <c r="D1103" s="497">
        <v>46592</v>
      </c>
      <c r="E1103" s="466" t="s">
        <v>621</v>
      </c>
      <c r="F1103" s="466">
        <v>48134839.149999999</v>
      </c>
      <c r="G1103" s="478">
        <v>39356.609999999404</v>
      </c>
      <c r="H1103" s="466">
        <v>0</v>
      </c>
      <c r="I1103" s="479">
        <v>0</v>
      </c>
    </row>
    <row r="1104" spans="1:9" ht="15.75" customHeight="1">
      <c r="A1104" s="467"/>
      <c r="B1104" s="467"/>
      <c r="C1104" s="466"/>
      <c r="D1104" s="497">
        <v>46593</v>
      </c>
      <c r="E1104" s="466" t="s">
        <v>620</v>
      </c>
      <c r="F1104" s="466">
        <v>48174195.75</v>
      </c>
      <c r="G1104" s="478">
        <v>39356.60000000149</v>
      </c>
      <c r="H1104" s="466">
        <v>0</v>
      </c>
      <c r="I1104" s="479">
        <v>0</v>
      </c>
    </row>
    <row r="1105" spans="1:9" ht="15.75" customHeight="1">
      <c r="A1105" s="467"/>
      <c r="B1105" s="467"/>
      <c r="C1105" s="466"/>
      <c r="D1105" s="497">
        <v>46594</v>
      </c>
      <c r="E1105" s="466" t="s">
        <v>619</v>
      </c>
      <c r="F1105" s="466">
        <v>48213552.359999999</v>
      </c>
      <c r="G1105" s="478">
        <v>39356.609999999404</v>
      </c>
      <c r="H1105" s="466">
        <v>0</v>
      </c>
      <c r="I1105" s="479">
        <v>0</v>
      </c>
    </row>
    <row r="1106" spans="1:9" ht="15.75" customHeight="1">
      <c r="A1106" s="467"/>
      <c r="B1106" s="467"/>
      <c r="C1106" s="466"/>
      <c r="D1106" s="497">
        <v>46595</v>
      </c>
      <c r="E1106" s="466" t="s">
        <v>618</v>
      </c>
      <c r="F1106" s="466">
        <v>48252908.960000001</v>
      </c>
      <c r="G1106" s="478">
        <v>39356.60000000149</v>
      </c>
      <c r="H1106" s="466">
        <v>0</v>
      </c>
      <c r="I1106" s="479">
        <v>0</v>
      </c>
    </row>
    <row r="1107" spans="1:9" ht="15.75" customHeight="1">
      <c r="A1107" s="467"/>
      <c r="B1107" s="467"/>
      <c r="C1107" s="466"/>
      <c r="D1107" s="497">
        <v>46596</v>
      </c>
      <c r="E1107" s="466" t="s">
        <v>624</v>
      </c>
      <c r="F1107" s="466">
        <v>48292265.57</v>
      </c>
      <c r="G1107" s="478">
        <v>39356.609999999404</v>
      </c>
      <c r="H1107" s="466">
        <v>275496.24000000209</v>
      </c>
      <c r="I1107" s="479">
        <v>550992.46999999881</v>
      </c>
    </row>
    <row r="1108" spans="1:9" ht="15.75" customHeight="1">
      <c r="A1108" s="467"/>
      <c r="B1108" s="467"/>
      <c r="C1108" s="466"/>
      <c r="D1108" s="497">
        <v>46597</v>
      </c>
      <c r="E1108" s="466" t="s">
        <v>623</v>
      </c>
      <c r="F1108" s="466">
        <v>48331622.170000002</v>
      </c>
      <c r="G1108" s="478">
        <v>39356.60000000149</v>
      </c>
      <c r="H1108" s="466">
        <v>0</v>
      </c>
      <c r="I1108" s="479">
        <v>0</v>
      </c>
    </row>
    <row r="1109" spans="1:9" ht="15.75" customHeight="1">
      <c r="A1109" s="467"/>
      <c r="B1109" s="467"/>
      <c r="C1109" s="466"/>
      <c r="D1109" s="497">
        <v>46598</v>
      </c>
      <c r="E1109" s="466" t="s">
        <v>622</v>
      </c>
      <c r="F1109" s="466">
        <v>48370978.780000001</v>
      </c>
      <c r="G1109" s="478">
        <v>39356.609999999404</v>
      </c>
      <c r="H1109" s="466">
        <v>0</v>
      </c>
      <c r="I1109" s="479">
        <v>0</v>
      </c>
    </row>
    <row r="1110" spans="1:9" ht="15.75" customHeight="1">
      <c r="A1110" s="467"/>
      <c r="B1110" s="467"/>
      <c r="C1110" s="466"/>
      <c r="D1110" s="497">
        <v>46599</v>
      </c>
      <c r="E1110" s="466" t="s">
        <v>621</v>
      </c>
      <c r="F1110" s="466">
        <v>48410335.380000003</v>
      </c>
      <c r="G1110" s="478">
        <v>39356.60000000149</v>
      </c>
      <c r="H1110" s="466">
        <v>0</v>
      </c>
      <c r="I1110" s="479">
        <v>0</v>
      </c>
    </row>
    <row r="1111" spans="1:9" ht="15.75" customHeight="1">
      <c r="A1111" s="467"/>
      <c r="B1111" s="467"/>
      <c r="C1111" s="466"/>
      <c r="D1111" s="497">
        <v>46600</v>
      </c>
      <c r="E1111" s="466" t="s">
        <v>620</v>
      </c>
      <c r="F1111" s="466">
        <v>48449691.990000002</v>
      </c>
      <c r="G1111" s="478">
        <v>39356.609999999404</v>
      </c>
      <c r="H1111" s="466">
        <v>0</v>
      </c>
      <c r="I1111" s="479">
        <v>0</v>
      </c>
    </row>
    <row r="1112" spans="1:9" ht="15.75" customHeight="1">
      <c r="A1112" s="467"/>
      <c r="B1112" s="467"/>
      <c r="C1112" s="466"/>
      <c r="D1112" s="497">
        <v>46601</v>
      </c>
      <c r="E1112" s="466" t="s">
        <v>619</v>
      </c>
      <c r="F1112" s="466">
        <v>48489048.590000004</v>
      </c>
      <c r="G1112" s="478">
        <v>39356.60000000149</v>
      </c>
      <c r="H1112" s="466">
        <v>0</v>
      </c>
      <c r="I1112" s="479">
        <v>0</v>
      </c>
    </row>
    <row r="1113" spans="1:9" ht="15.75" customHeight="1">
      <c r="A1113" s="467"/>
      <c r="B1113" s="467"/>
      <c r="C1113" s="466"/>
      <c r="D1113" s="497">
        <v>46602</v>
      </c>
      <c r="E1113" s="466" t="s">
        <v>618</v>
      </c>
      <c r="F1113" s="466">
        <v>48528405.200000003</v>
      </c>
      <c r="G1113" s="478">
        <v>39356.609999999404</v>
      </c>
      <c r="H1113" s="466">
        <v>0</v>
      </c>
      <c r="I1113" s="479">
        <v>0</v>
      </c>
    </row>
    <row r="1114" spans="1:9" ht="15.75" customHeight="1">
      <c r="A1114" s="467"/>
      <c r="B1114" s="467"/>
      <c r="C1114" s="466"/>
      <c r="D1114" s="497">
        <v>46603</v>
      </c>
      <c r="E1114" s="466" t="s">
        <v>624</v>
      </c>
      <c r="F1114" s="466">
        <v>48567761.799999997</v>
      </c>
      <c r="G1114" s="478">
        <v>39356.59999999404</v>
      </c>
      <c r="H1114" s="466">
        <v>275496.22999999672</v>
      </c>
      <c r="I1114" s="479">
        <v>0</v>
      </c>
    </row>
    <row r="1115" spans="1:9" ht="15.75" customHeight="1">
      <c r="A1115" s="467"/>
      <c r="B1115" s="467"/>
      <c r="C1115" s="466"/>
      <c r="D1115" s="497">
        <v>46604</v>
      </c>
      <c r="E1115" s="466" t="s">
        <v>623</v>
      </c>
      <c r="F1115" s="466">
        <v>48607118.409999996</v>
      </c>
      <c r="G1115" s="478">
        <v>39356.609999999404</v>
      </c>
      <c r="H1115" s="466">
        <v>0</v>
      </c>
      <c r="I1115" s="479">
        <v>0</v>
      </c>
    </row>
    <row r="1116" spans="1:9" ht="15.75" customHeight="1">
      <c r="A1116" s="467"/>
      <c r="B1116" s="467"/>
      <c r="C1116" s="466"/>
      <c r="D1116" s="497">
        <v>46605</v>
      </c>
      <c r="E1116" s="466" t="s">
        <v>622</v>
      </c>
      <c r="F1116" s="466">
        <v>48646475.009999998</v>
      </c>
      <c r="G1116" s="478">
        <v>39356.60000000149</v>
      </c>
      <c r="H1116" s="466">
        <v>0</v>
      </c>
      <c r="I1116" s="479">
        <v>0</v>
      </c>
    </row>
    <row r="1117" spans="1:9" ht="15.75" customHeight="1">
      <c r="A1117" s="467"/>
      <c r="B1117" s="467"/>
      <c r="C1117" s="466"/>
      <c r="D1117" s="497">
        <v>46606</v>
      </c>
      <c r="E1117" s="466" t="s">
        <v>621</v>
      </c>
      <c r="F1117" s="466">
        <v>48685831.619999997</v>
      </c>
      <c r="G1117" s="478">
        <v>39356.609999999404</v>
      </c>
      <c r="H1117" s="466">
        <v>0</v>
      </c>
      <c r="I1117" s="479">
        <v>0</v>
      </c>
    </row>
    <row r="1118" spans="1:9" ht="15.75" customHeight="1">
      <c r="A1118" s="467"/>
      <c r="B1118" s="467"/>
      <c r="C1118" s="466"/>
      <c r="D1118" s="497">
        <v>46607</v>
      </c>
      <c r="E1118" s="466" t="s">
        <v>620</v>
      </c>
      <c r="F1118" s="466">
        <v>48725188.219999999</v>
      </c>
      <c r="G1118" s="478">
        <v>39356.60000000149</v>
      </c>
      <c r="H1118" s="466">
        <v>0</v>
      </c>
      <c r="I1118" s="479">
        <v>0</v>
      </c>
    </row>
    <row r="1119" spans="1:9" ht="15.75" customHeight="1">
      <c r="A1119" s="467"/>
      <c r="B1119" s="467"/>
      <c r="C1119" s="466"/>
      <c r="D1119" s="497">
        <v>46608</v>
      </c>
      <c r="E1119" s="466" t="s">
        <v>619</v>
      </c>
      <c r="F1119" s="466">
        <v>48764544.829999998</v>
      </c>
      <c r="G1119" s="478">
        <v>39356.609999999404</v>
      </c>
      <c r="H1119" s="466">
        <v>0</v>
      </c>
      <c r="I1119" s="479">
        <v>0</v>
      </c>
    </row>
    <row r="1120" spans="1:9" ht="15.75" customHeight="1">
      <c r="A1120" s="467"/>
      <c r="B1120" s="467"/>
      <c r="C1120" s="466"/>
      <c r="D1120" s="497">
        <v>46609</v>
      </c>
      <c r="E1120" s="466" t="s">
        <v>618</v>
      </c>
      <c r="F1120" s="466">
        <v>48803901.43</v>
      </c>
      <c r="G1120" s="478">
        <v>39356.60000000149</v>
      </c>
      <c r="H1120" s="466">
        <v>0</v>
      </c>
      <c r="I1120" s="479">
        <v>0</v>
      </c>
    </row>
    <row r="1121" spans="1:9" ht="15.75" customHeight="1">
      <c r="A1121" s="467"/>
      <c r="B1121" s="467"/>
      <c r="C1121" s="466"/>
      <c r="D1121" s="497">
        <v>46610</v>
      </c>
      <c r="E1121" s="466" t="s">
        <v>624</v>
      </c>
      <c r="F1121" s="466">
        <v>48843258.039999999</v>
      </c>
      <c r="G1121" s="478">
        <v>39356.609999999404</v>
      </c>
      <c r="H1121" s="466">
        <v>275496.24000000209</v>
      </c>
      <c r="I1121" s="479">
        <v>550992.46999999881</v>
      </c>
    </row>
    <row r="1122" spans="1:9" ht="15.75" customHeight="1">
      <c r="A1122" s="467"/>
      <c r="B1122" s="467"/>
      <c r="C1122" s="466"/>
      <c r="D1122" s="497">
        <v>46611</v>
      </c>
      <c r="E1122" s="466" t="s">
        <v>623</v>
      </c>
      <c r="F1122" s="466">
        <v>48882614.640000001</v>
      </c>
      <c r="G1122" s="478">
        <v>39356.60000000149</v>
      </c>
      <c r="H1122" s="466">
        <v>0</v>
      </c>
      <c r="I1122" s="479">
        <v>0</v>
      </c>
    </row>
    <row r="1123" spans="1:9" ht="15.75" customHeight="1">
      <c r="A1123" s="467"/>
      <c r="B1123" s="467"/>
      <c r="C1123" s="466"/>
      <c r="D1123" s="497">
        <v>46612</v>
      </c>
      <c r="E1123" s="466" t="s">
        <v>622</v>
      </c>
      <c r="F1123" s="466">
        <v>48921971.25</v>
      </c>
      <c r="G1123" s="478">
        <v>39356.609999999404</v>
      </c>
      <c r="H1123" s="466">
        <v>0</v>
      </c>
      <c r="I1123" s="479">
        <v>0</v>
      </c>
    </row>
    <row r="1124" spans="1:9" ht="15.75" customHeight="1">
      <c r="A1124" s="467"/>
      <c r="B1124" s="467"/>
      <c r="C1124" s="466"/>
      <c r="D1124" s="497">
        <v>46613</v>
      </c>
      <c r="E1124" s="466" t="s">
        <v>621</v>
      </c>
      <c r="F1124" s="466">
        <v>48961327.850000001</v>
      </c>
      <c r="G1124" s="478">
        <v>39356.60000000149</v>
      </c>
      <c r="H1124" s="466">
        <v>0</v>
      </c>
      <c r="I1124" s="479">
        <v>0</v>
      </c>
    </row>
    <row r="1125" spans="1:9" ht="15.75" customHeight="1">
      <c r="A1125" s="467"/>
      <c r="B1125" s="467"/>
      <c r="C1125" s="466"/>
      <c r="D1125" s="497">
        <v>46614</v>
      </c>
      <c r="E1125" s="466" t="s">
        <v>620</v>
      </c>
      <c r="F1125" s="466">
        <v>49000684.460000001</v>
      </c>
      <c r="G1125" s="478">
        <v>39356.609999999404</v>
      </c>
      <c r="H1125" s="466">
        <v>0</v>
      </c>
      <c r="I1125" s="479">
        <v>0</v>
      </c>
    </row>
    <row r="1126" spans="1:9" ht="15.75" customHeight="1">
      <c r="A1126" s="467"/>
      <c r="B1126" s="467"/>
      <c r="C1126" s="466"/>
      <c r="D1126" s="497">
        <v>46615</v>
      </c>
      <c r="E1126" s="466" t="s">
        <v>619</v>
      </c>
      <c r="F1126" s="466">
        <v>49040041.060000002</v>
      </c>
      <c r="G1126" s="478">
        <v>39356.60000000149</v>
      </c>
      <c r="H1126" s="466">
        <v>0</v>
      </c>
      <c r="I1126" s="479">
        <v>0</v>
      </c>
    </row>
    <row r="1127" spans="1:9" ht="15.75" customHeight="1">
      <c r="A1127" s="467"/>
      <c r="B1127" s="467"/>
      <c r="C1127" s="466"/>
      <c r="D1127" s="497">
        <v>46616</v>
      </c>
      <c r="E1127" s="466" t="s">
        <v>618</v>
      </c>
      <c r="F1127" s="466">
        <v>49079397.670000002</v>
      </c>
      <c r="G1127" s="478">
        <v>39356.609999999404</v>
      </c>
      <c r="H1127" s="466">
        <v>0</v>
      </c>
      <c r="I1127" s="479">
        <v>0</v>
      </c>
    </row>
    <row r="1128" spans="1:9" ht="15.75" customHeight="1">
      <c r="A1128" s="467"/>
      <c r="B1128" s="467"/>
      <c r="C1128" s="466"/>
      <c r="D1128" s="497">
        <v>46617</v>
      </c>
      <c r="E1128" s="466" t="s">
        <v>624</v>
      </c>
      <c r="F1128" s="466">
        <v>49118754.270000003</v>
      </c>
      <c r="G1128" s="478">
        <v>39356.60000000149</v>
      </c>
      <c r="H1128" s="466">
        <v>275496.23000000417</v>
      </c>
      <c r="I1128" s="479">
        <v>0</v>
      </c>
    </row>
    <row r="1129" spans="1:9" ht="15.75" customHeight="1">
      <c r="A1129" s="467"/>
      <c r="B1129" s="467"/>
      <c r="C1129" s="466"/>
      <c r="D1129" s="497">
        <v>46618</v>
      </c>
      <c r="E1129" s="466" t="s">
        <v>623</v>
      </c>
      <c r="F1129" s="466">
        <v>49158110.880000003</v>
      </c>
      <c r="G1129" s="478">
        <v>39356.609999999404</v>
      </c>
      <c r="H1129" s="466">
        <v>0</v>
      </c>
      <c r="I1129" s="479">
        <v>0</v>
      </c>
    </row>
    <row r="1130" spans="1:9" ht="15.75" customHeight="1">
      <c r="A1130" s="467"/>
      <c r="B1130" s="467"/>
      <c r="C1130" s="466"/>
      <c r="D1130" s="497">
        <v>46619</v>
      </c>
      <c r="E1130" s="466" t="s">
        <v>622</v>
      </c>
      <c r="F1130" s="466">
        <v>49197467.479999997</v>
      </c>
      <c r="G1130" s="478">
        <v>39356.59999999404</v>
      </c>
      <c r="H1130" s="466">
        <v>0</v>
      </c>
      <c r="I1130" s="479">
        <v>0</v>
      </c>
    </row>
    <row r="1131" spans="1:9" ht="15.75" customHeight="1">
      <c r="A1131" s="467"/>
      <c r="B1131" s="467"/>
      <c r="C1131" s="466"/>
      <c r="D1131" s="497">
        <v>46620</v>
      </c>
      <c r="E1131" s="466" t="s">
        <v>621</v>
      </c>
      <c r="F1131" s="466">
        <v>49236824.090000004</v>
      </c>
      <c r="G1131" s="478">
        <v>39356.610000006855</v>
      </c>
      <c r="H1131" s="466">
        <v>0</v>
      </c>
      <c r="I1131" s="479">
        <v>0</v>
      </c>
    </row>
    <row r="1132" spans="1:9" ht="15.75" customHeight="1">
      <c r="A1132" s="467"/>
      <c r="B1132" s="467"/>
      <c r="C1132" s="466"/>
      <c r="D1132" s="497">
        <v>46621</v>
      </c>
      <c r="E1132" s="466" t="s">
        <v>620</v>
      </c>
      <c r="F1132" s="466">
        <v>49276180.689999998</v>
      </c>
      <c r="G1132" s="478">
        <v>39356.59999999404</v>
      </c>
      <c r="H1132" s="466">
        <v>0</v>
      </c>
      <c r="I1132" s="479">
        <v>0</v>
      </c>
    </row>
    <row r="1133" spans="1:9" ht="15.75" customHeight="1">
      <c r="A1133" s="467"/>
      <c r="B1133" s="467"/>
      <c r="C1133" s="466"/>
      <c r="D1133" s="497">
        <v>46622</v>
      </c>
      <c r="E1133" s="466" t="s">
        <v>619</v>
      </c>
      <c r="F1133" s="466">
        <v>49315537.299999997</v>
      </c>
      <c r="G1133" s="478">
        <v>39356.609999999404</v>
      </c>
      <c r="H1133" s="466">
        <v>0</v>
      </c>
      <c r="I1133" s="479">
        <v>0</v>
      </c>
    </row>
    <row r="1134" spans="1:9" ht="15.75" customHeight="1">
      <c r="A1134" s="467"/>
      <c r="B1134" s="467"/>
      <c r="C1134" s="466"/>
      <c r="D1134" s="497">
        <v>46623</v>
      </c>
      <c r="E1134" s="466" t="s">
        <v>618</v>
      </c>
      <c r="F1134" s="466">
        <v>49354893.899999999</v>
      </c>
      <c r="G1134" s="478">
        <v>39356.60000000149</v>
      </c>
      <c r="H1134" s="466">
        <v>0</v>
      </c>
      <c r="I1134" s="479">
        <v>0</v>
      </c>
    </row>
    <row r="1135" spans="1:9" ht="15.75" customHeight="1">
      <c r="A1135" s="467"/>
      <c r="B1135" s="467"/>
      <c r="C1135" s="466"/>
      <c r="D1135" s="497">
        <v>46624</v>
      </c>
      <c r="E1135" s="466" t="s">
        <v>624</v>
      </c>
      <c r="F1135" s="466">
        <v>49394250.509999998</v>
      </c>
      <c r="G1135" s="478">
        <v>39356.609999999404</v>
      </c>
      <c r="H1135" s="466">
        <v>275496.23999999464</v>
      </c>
      <c r="I1135" s="479">
        <v>550992.46999999881</v>
      </c>
    </row>
    <row r="1136" spans="1:9" ht="15.75" customHeight="1">
      <c r="A1136" s="467"/>
      <c r="B1136" s="467"/>
      <c r="C1136" s="466"/>
      <c r="D1136" s="497">
        <v>46625</v>
      </c>
      <c r="E1136" s="466" t="s">
        <v>623</v>
      </c>
      <c r="F1136" s="466">
        <v>49433607.109999999</v>
      </c>
      <c r="G1136" s="478">
        <v>39356.60000000149</v>
      </c>
      <c r="H1136" s="466">
        <v>0</v>
      </c>
      <c r="I1136" s="479">
        <v>0</v>
      </c>
    </row>
    <row r="1137" spans="1:9" ht="15.75" customHeight="1">
      <c r="A1137" s="467"/>
      <c r="B1137" s="467"/>
      <c r="C1137" s="466"/>
      <c r="D1137" s="497">
        <v>46626</v>
      </c>
      <c r="E1137" s="466" t="s">
        <v>622</v>
      </c>
      <c r="F1137" s="466">
        <v>49472963.719999999</v>
      </c>
      <c r="G1137" s="478">
        <v>39356.609999999404</v>
      </c>
      <c r="H1137" s="466">
        <v>0</v>
      </c>
      <c r="I1137" s="479">
        <v>0</v>
      </c>
    </row>
    <row r="1138" spans="1:9" ht="15.75" customHeight="1">
      <c r="A1138" s="467"/>
      <c r="B1138" s="467"/>
      <c r="C1138" s="466"/>
      <c r="D1138" s="497">
        <v>46627</v>
      </c>
      <c r="E1138" s="466" t="s">
        <v>621</v>
      </c>
      <c r="F1138" s="466">
        <v>49512320.32</v>
      </c>
      <c r="G1138" s="478">
        <v>39356.60000000149</v>
      </c>
      <c r="H1138" s="466">
        <v>0</v>
      </c>
      <c r="I1138" s="479">
        <v>0</v>
      </c>
    </row>
    <row r="1139" spans="1:9" ht="15.75" customHeight="1">
      <c r="A1139" s="467"/>
      <c r="B1139" s="467"/>
      <c r="C1139" s="466"/>
      <c r="D1139" s="497">
        <v>46628</v>
      </c>
      <c r="E1139" s="466" t="s">
        <v>620</v>
      </c>
      <c r="F1139" s="466">
        <v>49551676.93</v>
      </c>
      <c r="G1139" s="478">
        <v>39356.609999999404</v>
      </c>
      <c r="H1139" s="466">
        <v>0</v>
      </c>
      <c r="I1139" s="479">
        <v>0</v>
      </c>
    </row>
    <row r="1140" spans="1:9" ht="15.75" customHeight="1">
      <c r="A1140" s="467"/>
      <c r="B1140" s="467"/>
      <c r="C1140" s="466"/>
      <c r="D1140" s="497">
        <v>46629</v>
      </c>
      <c r="E1140" s="466" t="s">
        <v>619</v>
      </c>
      <c r="F1140" s="466">
        <v>49591033.530000001</v>
      </c>
      <c r="G1140" s="478">
        <v>39356.60000000149</v>
      </c>
      <c r="H1140" s="466">
        <v>0</v>
      </c>
      <c r="I1140" s="479">
        <v>0</v>
      </c>
    </row>
    <row r="1141" spans="1:9" ht="15.75" customHeight="1">
      <c r="A1141" s="467"/>
      <c r="B1141" s="467"/>
      <c r="C1141" s="466"/>
      <c r="D1141" s="497">
        <v>46630</v>
      </c>
      <c r="E1141" s="466" t="s">
        <v>618</v>
      </c>
      <c r="F1141" s="466">
        <v>49630390.140000001</v>
      </c>
      <c r="G1141" s="478">
        <v>39356.609999999404</v>
      </c>
      <c r="H1141" s="466">
        <v>0</v>
      </c>
      <c r="I1141" s="479">
        <v>0</v>
      </c>
    </row>
    <row r="1142" spans="1:9" ht="15.75" customHeight="1">
      <c r="A1142" s="467"/>
      <c r="B1142" s="467"/>
      <c r="C1142" s="466"/>
      <c r="D1142" s="497">
        <v>46631</v>
      </c>
      <c r="E1142" s="466" t="s">
        <v>624</v>
      </c>
      <c r="F1142" s="466">
        <v>49669746.740000002</v>
      </c>
      <c r="G1142" s="478">
        <v>39356.60000000149</v>
      </c>
      <c r="H1142" s="466">
        <v>275496.23000000417</v>
      </c>
      <c r="I1142" s="479">
        <v>0</v>
      </c>
    </row>
    <row r="1143" spans="1:9" ht="15.75" customHeight="1">
      <c r="A1143" s="467"/>
      <c r="B1143" s="467"/>
      <c r="C1143" s="466"/>
      <c r="D1143" s="497">
        <v>46632</v>
      </c>
      <c r="E1143" s="466" t="s">
        <v>623</v>
      </c>
      <c r="F1143" s="466">
        <v>49709103.350000001</v>
      </c>
      <c r="G1143" s="478">
        <v>39356.609999999404</v>
      </c>
      <c r="H1143" s="466">
        <v>0</v>
      </c>
      <c r="I1143" s="479">
        <v>0</v>
      </c>
    </row>
    <row r="1144" spans="1:9" ht="15.75" customHeight="1">
      <c r="A1144" s="467"/>
      <c r="B1144" s="467"/>
      <c r="C1144" s="466"/>
      <c r="D1144" s="497">
        <v>46633</v>
      </c>
      <c r="E1144" s="466" t="s">
        <v>622</v>
      </c>
      <c r="F1144" s="466">
        <v>49748459.950000003</v>
      </c>
      <c r="G1144" s="478">
        <v>39356.60000000149</v>
      </c>
      <c r="H1144" s="466">
        <v>0</v>
      </c>
      <c r="I1144" s="479">
        <v>0</v>
      </c>
    </row>
    <row r="1145" spans="1:9" ht="15.75" customHeight="1">
      <c r="A1145" s="467"/>
      <c r="B1145" s="467"/>
      <c r="C1145" s="466"/>
      <c r="D1145" s="497">
        <v>46634</v>
      </c>
      <c r="E1145" s="466" t="s">
        <v>621</v>
      </c>
      <c r="F1145" s="466">
        <v>49787816.560000002</v>
      </c>
      <c r="G1145" s="478">
        <v>39356.609999999404</v>
      </c>
      <c r="H1145" s="466">
        <v>0</v>
      </c>
      <c r="I1145" s="479">
        <v>0</v>
      </c>
    </row>
    <row r="1146" spans="1:9" ht="15.75" customHeight="1">
      <c r="A1146" s="467"/>
      <c r="B1146" s="467"/>
      <c r="C1146" s="466"/>
      <c r="D1146" s="497">
        <v>46635</v>
      </c>
      <c r="E1146" s="466" t="s">
        <v>620</v>
      </c>
      <c r="F1146" s="466">
        <v>49827173.159999996</v>
      </c>
      <c r="G1146" s="478">
        <v>39356.59999999404</v>
      </c>
      <c r="H1146" s="466">
        <v>0</v>
      </c>
      <c r="I1146" s="479">
        <v>0</v>
      </c>
    </row>
    <row r="1147" spans="1:9" ht="15.75" customHeight="1">
      <c r="A1147" s="467"/>
      <c r="B1147" s="467"/>
      <c r="C1147" s="466"/>
      <c r="D1147" s="497">
        <v>46636</v>
      </c>
      <c r="E1147" s="466" t="s">
        <v>619</v>
      </c>
      <c r="F1147" s="466">
        <v>49866529.770000003</v>
      </c>
      <c r="G1147" s="478">
        <v>39356.610000006855</v>
      </c>
      <c r="H1147" s="466">
        <v>0</v>
      </c>
      <c r="I1147" s="479">
        <v>0</v>
      </c>
    </row>
    <row r="1148" spans="1:9" ht="15.75" customHeight="1">
      <c r="A1148" s="467"/>
      <c r="B1148" s="467"/>
      <c r="C1148" s="466"/>
      <c r="D1148" s="497">
        <v>46637</v>
      </c>
      <c r="E1148" s="466" t="s">
        <v>618</v>
      </c>
      <c r="F1148" s="466">
        <v>49905886.369999997</v>
      </c>
      <c r="G1148" s="478">
        <v>39356.59999999404</v>
      </c>
      <c r="H1148" s="466">
        <v>0</v>
      </c>
      <c r="I1148" s="479">
        <v>0</v>
      </c>
    </row>
    <row r="1149" spans="1:9" ht="15.75" customHeight="1">
      <c r="A1149" s="467"/>
      <c r="B1149" s="467"/>
      <c r="C1149" s="466"/>
      <c r="D1149" s="497">
        <v>46638</v>
      </c>
      <c r="E1149" s="466" t="s">
        <v>624</v>
      </c>
      <c r="F1149" s="466">
        <v>49945242.979999997</v>
      </c>
      <c r="G1149" s="478">
        <v>39356.609999999404</v>
      </c>
      <c r="H1149" s="466">
        <v>275496.23999999464</v>
      </c>
      <c r="I1149" s="479">
        <v>550992.46999999881</v>
      </c>
    </row>
    <row r="1150" spans="1:9" ht="15.75" customHeight="1">
      <c r="A1150" s="467"/>
      <c r="B1150" s="467"/>
      <c r="C1150" s="466"/>
      <c r="D1150" s="497">
        <v>46639</v>
      </c>
      <c r="E1150" s="466" t="s">
        <v>623</v>
      </c>
      <c r="F1150" s="466">
        <v>49984599.579999998</v>
      </c>
      <c r="G1150" s="478">
        <v>39356.60000000149</v>
      </c>
      <c r="H1150" s="466">
        <v>0</v>
      </c>
      <c r="I1150" s="479">
        <v>0</v>
      </c>
    </row>
    <row r="1151" spans="1:9" ht="15.75" customHeight="1">
      <c r="A1151" s="467"/>
      <c r="B1151" s="467"/>
      <c r="C1151" s="466"/>
      <c r="D1151" s="497">
        <v>46640</v>
      </c>
      <c r="E1151" s="466" t="s">
        <v>622</v>
      </c>
      <c r="F1151" s="466">
        <v>50023956.189999998</v>
      </c>
      <c r="G1151" s="478">
        <v>39356.609999999404</v>
      </c>
      <c r="H1151" s="466">
        <v>0</v>
      </c>
      <c r="I1151" s="479">
        <v>0</v>
      </c>
    </row>
    <row r="1152" spans="1:9" ht="15.75" customHeight="1">
      <c r="A1152" s="467"/>
      <c r="B1152" s="467"/>
      <c r="C1152" s="466"/>
      <c r="D1152" s="497">
        <v>46641</v>
      </c>
      <c r="E1152" s="466" t="s">
        <v>621</v>
      </c>
      <c r="F1152" s="466">
        <v>50063312.789999999</v>
      </c>
      <c r="G1152" s="478">
        <v>39356.60000000149</v>
      </c>
      <c r="H1152" s="466">
        <v>0</v>
      </c>
      <c r="I1152" s="479">
        <v>0</v>
      </c>
    </row>
    <row r="1153" spans="1:9" ht="15.75" customHeight="1">
      <c r="A1153" s="467"/>
      <c r="B1153" s="467"/>
      <c r="C1153" s="466"/>
      <c r="D1153" s="497">
        <v>46642</v>
      </c>
      <c r="E1153" s="466" t="s">
        <v>620</v>
      </c>
      <c r="F1153" s="466">
        <v>50102669.399999999</v>
      </c>
      <c r="G1153" s="478">
        <v>39356.609999999404</v>
      </c>
      <c r="H1153" s="466">
        <v>0</v>
      </c>
      <c r="I1153" s="479">
        <v>0</v>
      </c>
    </row>
    <row r="1154" spans="1:9" ht="15.75" customHeight="1">
      <c r="A1154" s="467"/>
      <c r="B1154" s="467"/>
      <c r="C1154" s="466"/>
      <c r="D1154" s="497">
        <v>46643</v>
      </c>
      <c r="E1154" s="466" t="s">
        <v>619</v>
      </c>
      <c r="F1154" s="466">
        <v>50142026</v>
      </c>
      <c r="G1154" s="478">
        <v>39356.60000000149</v>
      </c>
      <c r="H1154" s="466">
        <v>0</v>
      </c>
      <c r="I1154" s="479">
        <v>0</v>
      </c>
    </row>
    <row r="1155" spans="1:9" ht="15.75" customHeight="1">
      <c r="A1155" s="467"/>
      <c r="B1155" s="467"/>
      <c r="C1155" s="466"/>
      <c r="D1155" s="497">
        <v>46644</v>
      </c>
      <c r="E1155" s="466" t="s">
        <v>618</v>
      </c>
      <c r="F1155" s="466">
        <v>50181382.609999999</v>
      </c>
      <c r="G1155" s="478">
        <v>39356.609999999404</v>
      </c>
      <c r="H1155" s="466">
        <v>0</v>
      </c>
      <c r="I1155" s="479">
        <v>0</v>
      </c>
    </row>
    <row r="1156" spans="1:9" ht="15.75" customHeight="1">
      <c r="A1156" s="467"/>
      <c r="B1156" s="467"/>
      <c r="C1156" s="466"/>
      <c r="D1156" s="497">
        <v>46645</v>
      </c>
      <c r="E1156" s="466" t="s">
        <v>624</v>
      </c>
      <c r="F1156" s="466">
        <v>50220739.210000001</v>
      </c>
      <c r="G1156" s="478">
        <v>39356.60000000149</v>
      </c>
      <c r="H1156" s="466">
        <v>275496.23000000417</v>
      </c>
      <c r="I1156" s="479">
        <v>0</v>
      </c>
    </row>
    <row r="1157" spans="1:9" ht="15.75" customHeight="1">
      <c r="A1157" s="467"/>
      <c r="B1157" s="467"/>
      <c r="C1157" s="466"/>
      <c r="D1157" s="497">
        <v>46646</v>
      </c>
      <c r="E1157" s="466" t="s">
        <v>623</v>
      </c>
      <c r="F1157" s="466">
        <v>50260095.82</v>
      </c>
      <c r="G1157" s="478">
        <v>39356.609999999404</v>
      </c>
      <c r="H1157" s="466">
        <v>0</v>
      </c>
      <c r="I1157" s="479">
        <v>0</v>
      </c>
    </row>
    <row r="1158" spans="1:9" ht="15.75" customHeight="1">
      <c r="A1158" s="467"/>
      <c r="B1158" s="467"/>
      <c r="C1158" s="466"/>
      <c r="D1158" s="497">
        <v>46647</v>
      </c>
      <c r="E1158" s="466" t="s">
        <v>622</v>
      </c>
      <c r="F1158" s="466">
        <v>50299452.420000002</v>
      </c>
      <c r="G1158" s="478">
        <v>39356.60000000149</v>
      </c>
      <c r="H1158" s="466">
        <v>0</v>
      </c>
      <c r="I1158" s="479">
        <v>0</v>
      </c>
    </row>
    <row r="1159" spans="1:9" ht="15.75" customHeight="1">
      <c r="A1159" s="467"/>
      <c r="B1159" s="467"/>
      <c r="C1159" s="466"/>
      <c r="D1159" s="497">
        <v>46648</v>
      </c>
      <c r="E1159" s="466" t="s">
        <v>621</v>
      </c>
      <c r="F1159" s="466">
        <v>50338809.030000001</v>
      </c>
      <c r="G1159" s="478">
        <v>39356.609999999404</v>
      </c>
      <c r="H1159" s="466">
        <v>0</v>
      </c>
      <c r="I1159" s="479">
        <v>0</v>
      </c>
    </row>
    <row r="1160" spans="1:9" ht="15.75" customHeight="1">
      <c r="A1160" s="467"/>
      <c r="B1160" s="467"/>
      <c r="C1160" s="466"/>
      <c r="D1160" s="497">
        <v>46649</v>
      </c>
      <c r="E1160" s="466" t="s">
        <v>620</v>
      </c>
      <c r="F1160" s="466">
        <v>50378165.630000003</v>
      </c>
      <c r="G1160" s="478">
        <v>39356.60000000149</v>
      </c>
      <c r="H1160" s="466">
        <v>0</v>
      </c>
      <c r="I1160" s="479">
        <v>0</v>
      </c>
    </row>
    <row r="1161" spans="1:9" ht="15.75" customHeight="1">
      <c r="A1161" s="467"/>
      <c r="B1161" s="467"/>
      <c r="C1161" s="466"/>
      <c r="D1161" s="497">
        <v>46650</v>
      </c>
      <c r="E1161" s="466" t="s">
        <v>619</v>
      </c>
      <c r="F1161" s="466">
        <v>50417522.240000002</v>
      </c>
      <c r="G1161" s="478">
        <v>39356.609999999404</v>
      </c>
      <c r="H1161" s="466">
        <v>0</v>
      </c>
      <c r="I1161" s="479">
        <v>0</v>
      </c>
    </row>
    <row r="1162" spans="1:9" ht="15.75" customHeight="1">
      <c r="A1162" s="467"/>
      <c r="B1162" s="467"/>
      <c r="C1162" s="466"/>
      <c r="D1162" s="497">
        <v>46651</v>
      </c>
      <c r="E1162" s="466" t="s">
        <v>618</v>
      </c>
      <c r="F1162" s="466">
        <v>50456878.850000001</v>
      </c>
      <c r="G1162" s="478">
        <v>39356.609999999404</v>
      </c>
      <c r="H1162" s="466">
        <v>0</v>
      </c>
      <c r="I1162" s="479">
        <v>0</v>
      </c>
    </row>
    <row r="1163" spans="1:9" ht="15.75" customHeight="1">
      <c r="A1163" s="467"/>
      <c r="B1163" s="467"/>
      <c r="C1163" s="466"/>
      <c r="D1163" s="497">
        <v>46652</v>
      </c>
      <c r="E1163" s="466" t="s">
        <v>624</v>
      </c>
      <c r="F1163" s="466">
        <v>50496235.450000003</v>
      </c>
      <c r="G1163" s="478">
        <v>39356.60000000149</v>
      </c>
      <c r="H1163" s="466">
        <v>275496.24000000209</v>
      </c>
      <c r="I1163" s="479">
        <v>550992.47000000626</v>
      </c>
    </row>
    <row r="1164" spans="1:9" ht="15.75" customHeight="1">
      <c r="A1164" s="467"/>
      <c r="B1164" s="467"/>
      <c r="C1164" s="466"/>
      <c r="D1164" s="497">
        <v>46653</v>
      </c>
      <c r="E1164" s="466" t="s">
        <v>623</v>
      </c>
      <c r="F1164" s="466">
        <v>50535592.060000002</v>
      </c>
      <c r="G1164" s="478">
        <v>39356.609999999404</v>
      </c>
      <c r="H1164" s="466">
        <v>0</v>
      </c>
      <c r="I1164" s="479">
        <v>0</v>
      </c>
    </row>
    <row r="1165" spans="1:9" ht="15.75" customHeight="1">
      <c r="A1165" s="467"/>
      <c r="B1165" s="467"/>
      <c r="C1165" s="466"/>
      <c r="D1165" s="497">
        <v>46654</v>
      </c>
      <c r="E1165" s="466" t="s">
        <v>622</v>
      </c>
      <c r="F1165" s="466">
        <v>50574948.659999996</v>
      </c>
      <c r="G1165" s="478">
        <v>39356.59999999404</v>
      </c>
      <c r="H1165" s="466">
        <v>0</v>
      </c>
      <c r="I1165" s="479">
        <v>0</v>
      </c>
    </row>
    <row r="1166" spans="1:9" ht="15.75" customHeight="1">
      <c r="A1166" s="467"/>
      <c r="B1166" s="467"/>
      <c r="C1166" s="466"/>
      <c r="D1166" s="497">
        <v>46655</v>
      </c>
      <c r="E1166" s="466" t="s">
        <v>621</v>
      </c>
      <c r="F1166" s="466">
        <v>50614305.270000003</v>
      </c>
      <c r="G1166" s="478">
        <v>39356.610000006855</v>
      </c>
      <c r="H1166" s="466">
        <v>0</v>
      </c>
      <c r="I1166" s="479">
        <v>0</v>
      </c>
    </row>
    <row r="1167" spans="1:9" ht="15.75" customHeight="1">
      <c r="A1167" s="467"/>
      <c r="B1167" s="467"/>
      <c r="C1167" s="466"/>
      <c r="D1167" s="497">
        <v>46656</v>
      </c>
      <c r="E1167" s="466" t="s">
        <v>620</v>
      </c>
      <c r="F1167" s="466">
        <v>50653661.869999997</v>
      </c>
      <c r="G1167" s="478">
        <v>39356.59999999404</v>
      </c>
      <c r="H1167" s="466">
        <v>0</v>
      </c>
      <c r="I1167" s="479">
        <v>0</v>
      </c>
    </row>
    <row r="1168" spans="1:9" ht="15.75" customHeight="1">
      <c r="A1168" s="467"/>
      <c r="B1168" s="467"/>
      <c r="C1168" s="466"/>
      <c r="D1168" s="497">
        <v>46657</v>
      </c>
      <c r="E1168" s="466" t="s">
        <v>619</v>
      </c>
      <c r="F1168" s="466">
        <v>50693018.479999997</v>
      </c>
      <c r="G1168" s="478">
        <v>39356.609999999404</v>
      </c>
      <c r="H1168" s="466">
        <v>0</v>
      </c>
      <c r="I1168" s="479">
        <v>0</v>
      </c>
    </row>
    <row r="1169" spans="1:9" ht="15.75" customHeight="1">
      <c r="A1169" s="467"/>
      <c r="B1169" s="467"/>
      <c r="C1169" s="466"/>
      <c r="D1169" s="497">
        <v>46658</v>
      </c>
      <c r="E1169" s="466" t="s">
        <v>618</v>
      </c>
      <c r="F1169" s="466">
        <v>50732375.079999998</v>
      </c>
      <c r="G1169" s="478">
        <v>39356.60000000149</v>
      </c>
      <c r="H1169" s="466">
        <v>0</v>
      </c>
      <c r="I1169" s="479">
        <v>0</v>
      </c>
    </row>
    <row r="1170" spans="1:9" ht="15.75" customHeight="1">
      <c r="A1170" s="467"/>
      <c r="B1170" s="467"/>
      <c r="C1170" s="466"/>
      <c r="D1170" s="497">
        <v>46659</v>
      </c>
      <c r="E1170" s="466" t="s">
        <v>624</v>
      </c>
      <c r="F1170" s="466">
        <v>50771731.689999998</v>
      </c>
      <c r="G1170" s="478">
        <v>39356.609999999404</v>
      </c>
      <c r="H1170" s="466">
        <v>275496.23999999464</v>
      </c>
      <c r="I1170" s="479">
        <v>0</v>
      </c>
    </row>
    <row r="1171" spans="1:9" ht="15.75" customHeight="1">
      <c r="A1171" s="467"/>
      <c r="B1171" s="467"/>
      <c r="C1171" s="466"/>
      <c r="D1171" s="497">
        <v>46660</v>
      </c>
      <c r="E1171" s="466" t="s">
        <v>623</v>
      </c>
      <c r="F1171" s="466">
        <v>50811088.289999999</v>
      </c>
      <c r="G1171" s="478">
        <v>39356.60000000149</v>
      </c>
      <c r="H1171" s="466">
        <v>0</v>
      </c>
      <c r="I1171" s="479">
        <v>0</v>
      </c>
    </row>
    <row r="1172" spans="1:9" ht="15.75" customHeight="1">
      <c r="A1172" s="467"/>
      <c r="B1172" s="467"/>
      <c r="C1172" s="466"/>
      <c r="D1172" s="497">
        <v>46661</v>
      </c>
      <c r="E1172" s="466" t="s">
        <v>622</v>
      </c>
      <c r="F1172" s="466">
        <v>50850444.899999999</v>
      </c>
      <c r="G1172" s="478">
        <v>39356.609999999404</v>
      </c>
      <c r="H1172" s="466">
        <v>0</v>
      </c>
      <c r="I1172" s="479">
        <v>0</v>
      </c>
    </row>
    <row r="1173" spans="1:9" ht="15.75" customHeight="1">
      <c r="A1173" s="467"/>
      <c r="B1173" s="467"/>
      <c r="C1173" s="466"/>
      <c r="D1173" s="497">
        <v>46662</v>
      </c>
      <c r="E1173" s="466" t="s">
        <v>621</v>
      </c>
      <c r="F1173" s="466">
        <v>50889801.5</v>
      </c>
      <c r="G1173" s="478">
        <v>39356.60000000149</v>
      </c>
      <c r="H1173" s="466">
        <v>0</v>
      </c>
      <c r="I1173" s="479">
        <v>0</v>
      </c>
    </row>
    <row r="1174" spans="1:9" ht="15.75" customHeight="1">
      <c r="A1174" s="467"/>
      <c r="B1174" s="467"/>
      <c r="C1174" s="466"/>
      <c r="D1174" s="497">
        <v>46663</v>
      </c>
      <c r="E1174" s="466" t="s">
        <v>620</v>
      </c>
      <c r="F1174" s="466">
        <v>50929158.109999999</v>
      </c>
      <c r="G1174" s="478">
        <v>39356.609999999404</v>
      </c>
      <c r="H1174" s="466">
        <v>0</v>
      </c>
      <c r="I1174" s="479">
        <v>0</v>
      </c>
    </row>
    <row r="1175" spans="1:9" ht="15.75" customHeight="1">
      <c r="A1175" s="467"/>
      <c r="B1175" s="467"/>
      <c r="C1175" s="466"/>
      <c r="D1175" s="497">
        <v>46664</v>
      </c>
      <c r="E1175" s="466" t="s">
        <v>619</v>
      </c>
      <c r="F1175" s="466">
        <v>50968514.710000001</v>
      </c>
      <c r="G1175" s="478">
        <v>39356.60000000149</v>
      </c>
      <c r="H1175" s="466">
        <v>0</v>
      </c>
      <c r="I1175" s="479">
        <v>0</v>
      </c>
    </row>
    <row r="1176" spans="1:9" ht="15.75" customHeight="1">
      <c r="A1176" s="467"/>
      <c r="B1176" s="467"/>
      <c r="C1176" s="466"/>
      <c r="D1176" s="497">
        <v>46665</v>
      </c>
      <c r="E1176" s="466" t="s">
        <v>618</v>
      </c>
      <c r="F1176" s="466">
        <v>51007871.32</v>
      </c>
      <c r="G1176" s="478">
        <v>39356.609999999404</v>
      </c>
      <c r="H1176" s="466">
        <v>0</v>
      </c>
      <c r="I1176" s="479">
        <v>0</v>
      </c>
    </row>
    <row r="1177" spans="1:9" ht="15.75" customHeight="1">
      <c r="A1177" s="467"/>
      <c r="B1177" s="467"/>
      <c r="C1177" s="466"/>
      <c r="D1177" s="497">
        <v>46666</v>
      </c>
      <c r="E1177" s="466" t="s">
        <v>624</v>
      </c>
      <c r="F1177" s="466">
        <v>51047227.920000002</v>
      </c>
      <c r="G1177" s="478">
        <v>39356.60000000149</v>
      </c>
      <c r="H1177" s="466">
        <v>275496.23000000417</v>
      </c>
      <c r="I1177" s="479">
        <v>550992.46999999881</v>
      </c>
    </row>
    <row r="1178" spans="1:9" ht="15.75" customHeight="1">
      <c r="A1178" s="467"/>
      <c r="B1178" s="467"/>
      <c r="C1178" s="466"/>
      <c r="D1178" s="497">
        <v>46667</v>
      </c>
      <c r="E1178" s="466" t="s">
        <v>623</v>
      </c>
      <c r="F1178" s="466">
        <v>51086584.530000001</v>
      </c>
      <c r="G1178" s="478">
        <v>39356.609999999404</v>
      </c>
      <c r="H1178" s="466">
        <v>0</v>
      </c>
      <c r="I1178" s="479">
        <v>0</v>
      </c>
    </row>
    <row r="1179" spans="1:9" ht="15.75" customHeight="1">
      <c r="A1179" s="467"/>
      <c r="B1179" s="467"/>
      <c r="C1179" s="466"/>
      <c r="D1179" s="497">
        <v>46668</v>
      </c>
      <c r="E1179" s="466" t="s">
        <v>622</v>
      </c>
      <c r="F1179" s="466">
        <v>51125941.130000003</v>
      </c>
      <c r="G1179" s="478">
        <v>39356.60000000149</v>
      </c>
      <c r="H1179" s="466">
        <v>0</v>
      </c>
      <c r="I1179" s="479">
        <v>0</v>
      </c>
    </row>
    <row r="1180" spans="1:9" ht="15.75" customHeight="1">
      <c r="A1180" s="467"/>
      <c r="B1180" s="467"/>
      <c r="C1180" s="466"/>
      <c r="D1180" s="497">
        <v>46669</v>
      </c>
      <c r="E1180" s="466" t="s">
        <v>621</v>
      </c>
      <c r="F1180" s="466">
        <v>51165297.740000002</v>
      </c>
      <c r="G1180" s="478">
        <v>39356.609999999404</v>
      </c>
      <c r="H1180" s="466">
        <v>0</v>
      </c>
      <c r="I1180" s="479">
        <v>0</v>
      </c>
    </row>
    <row r="1181" spans="1:9" ht="15.75" customHeight="1">
      <c r="A1181" s="467"/>
      <c r="B1181" s="467"/>
      <c r="C1181" s="466"/>
      <c r="D1181" s="497">
        <v>46670</v>
      </c>
      <c r="E1181" s="466" t="s">
        <v>620</v>
      </c>
      <c r="F1181" s="466">
        <v>51204654.340000004</v>
      </c>
      <c r="G1181" s="478">
        <v>39356.60000000149</v>
      </c>
      <c r="H1181" s="466">
        <v>0</v>
      </c>
      <c r="I1181" s="479">
        <v>0</v>
      </c>
    </row>
    <row r="1182" spans="1:9" ht="15.75" customHeight="1">
      <c r="A1182" s="467"/>
      <c r="B1182" s="467"/>
      <c r="C1182" s="466"/>
      <c r="D1182" s="497">
        <v>46671</v>
      </c>
      <c r="E1182" s="466" t="s">
        <v>619</v>
      </c>
      <c r="F1182" s="466">
        <v>51244010.950000003</v>
      </c>
      <c r="G1182" s="478">
        <v>39356.609999999404</v>
      </c>
      <c r="H1182" s="466">
        <v>0</v>
      </c>
      <c r="I1182" s="479">
        <v>0</v>
      </c>
    </row>
    <row r="1183" spans="1:9" ht="15.75" customHeight="1">
      <c r="A1183" s="467"/>
      <c r="B1183" s="467"/>
      <c r="C1183" s="466"/>
      <c r="D1183" s="497">
        <v>46672</v>
      </c>
      <c r="E1183" s="466" t="s">
        <v>618</v>
      </c>
      <c r="F1183" s="466">
        <v>51283367.549999997</v>
      </c>
      <c r="G1183" s="478">
        <v>39356.59999999404</v>
      </c>
      <c r="H1183" s="466">
        <v>0</v>
      </c>
      <c r="I1183" s="479">
        <v>0</v>
      </c>
    </row>
    <row r="1184" spans="1:9" ht="15.75" customHeight="1">
      <c r="A1184" s="467"/>
      <c r="B1184" s="467"/>
      <c r="C1184" s="466"/>
      <c r="D1184" s="497">
        <v>46673</v>
      </c>
      <c r="E1184" s="466" t="s">
        <v>624</v>
      </c>
      <c r="F1184" s="466">
        <v>51322724.159999996</v>
      </c>
      <c r="G1184" s="478">
        <v>39356.609999999404</v>
      </c>
      <c r="H1184" s="466">
        <v>275496.23999999464</v>
      </c>
      <c r="I1184" s="479">
        <v>0</v>
      </c>
    </row>
    <row r="1185" spans="1:9" ht="15.75" customHeight="1">
      <c r="A1185" s="467"/>
      <c r="B1185" s="467"/>
      <c r="C1185" s="466"/>
      <c r="D1185" s="497">
        <v>46674</v>
      </c>
      <c r="E1185" s="466" t="s">
        <v>623</v>
      </c>
      <c r="F1185" s="466">
        <v>51362080.759999998</v>
      </c>
      <c r="G1185" s="478">
        <v>39356.60000000149</v>
      </c>
      <c r="H1185" s="466">
        <v>0</v>
      </c>
      <c r="I1185" s="479">
        <v>0</v>
      </c>
    </row>
    <row r="1186" spans="1:9" ht="15.75" customHeight="1">
      <c r="A1186" s="467"/>
      <c r="B1186" s="467"/>
      <c r="C1186" s="466"/>
      <c r="D1186" s="497">
        <v>46675</v>
      </c>
      <c r="E1186" s="466" t="s">
        <v>622</v>
      </c>
      <c r="F1186" s="466">
        <v>51401437.369999997</v>
      </c>
      <c r="G1186" s="478">
        <v>39356.609999999404</v>
      </c>
      <c r="H1186" s="466">
        <v>0</v>
      </c>
      <c r="I1186" s="479">
        <v>0</v>
      </c>
    </row>
    <row r="1187" spans="1:9" ht="15.75" customHeight="1">
      <c r="A1187" s="467"/>
      <c r="B1187" s="467"/>
      <c r="C1187" s="466"/>
      <c r="D1187" s="497">
        <v>46676</v>
      </c>
      <c r="E1187" s="466" t="s">
        <v>621</v>
      </c>
      <c r="F1187" s="466">
        <v>51440793.969999999</v>
      </c>
      <c r="G1187" s="478">
        <v>39356.60000000149</v>
      </c>
      <c r="H1187" s="466">
        <v>0</v>
      </c>
      <c r="I1187" s="479">
        <v>0</v>
      </c>
    </row>
    <row r="1188" spans="1:9" ht="15.75" customHeight="1">
      <c r="A1188" s="467"/>
      <c r="B1188" s="467"/>
      <c r="C1188" s="466"/>
      <c r="D1188" s="497">
        <v>46677</v>
      </c>
      <c r="E1188" s="466" t="s">
        <v>620</v>
      </c>
      <c r="F1188" s="466">
        <v>51480150.579999998</v>
      </c>
      <c r="G1188" s="478">
        <v>39356.609999999404</v>
      </c>
      <c r="H1188" s="466">
        <v>0</v>
      </c>
      <c r="I1188" s="479">
        <v>0</v>
      </c>
    </row>
    <row r="1189" spans="1:9" ht="15.75" customHeight="1">
      <c r="A1189" s="467"/>
      <c r="B1189" s="467"/>
      <c r="C1189" s="466"/>
      <c r="D1189" s="497">
        <v>46678</v>
      </c>
      <c r="E1189" s="466" t="s">
        <v>619</v>
      </c>
      <c r="F1189" s="466">
        <v>51519507.18</v>
      </c>
      <c r="G1189" s="478">
        <v>39356.60000000149</v>
      </c>
      <c r="H1189" s="466">
        <v>0</v>
      </c>
      <c r="I1189" s="479">
        <v>0</v>
      </c>
    </row>
    <row r="1190" spans="1:9" ht="15.75" customHeight="1">
      <c r="A1190" s="467"/>
      <c r="B1190" s="467"/>
      <c r="C1190" s="466"/>
      <c r="D1190" s="497">
        <v>46679</v>
      </c>
      <c r="E1190" s="466" t="s">
        <v>618</v>
      </c>
      <c r="F1190" s="466">
        <v>51558863.789999999</v>
      </c>
      <c r="G1190" s="478">
        <v>39356.609999999404</v>
      </c>
      <c r="H1190" s="466">
        <v>0</v>
      </c>
      <c r="I1190" s="479">
        <v>0</v>
      </c>
    </row>
    <row r="1191" spans="1:9" ht="15.75" customHeight="1">
      <c r="A1191" s="467"/>
      <c r="B1191" s="467"/>
      <c r="C1191" s="466"/>
      <c r="D1191" s="497">
        <v>46680</v>
      </c>
      <c r="E1191" s="466" t="s">
        <v>624</v>
      </c>
      <c r="F1191" s="466">
        <v>51598220.390000001</v>
      </c>
      <c r="G1191" s="478">
        <v>39356.60000000149</v>
      </c>
      <c r="H1191" s="466">
        <v>275496.23000000417</v>
      </c>
      <c r="I1191" s="479">
        <v>550992.46999999881</v>
      </c>
    </row>
    <row r="1192" spans="1:9" ht="15.75" customHeight="1">
      <c r="A1192" s="467"/>
      <c r="B1192" s="467"/>
      <c r="C1192" s="466"/>
      <c r="D1192" s="497">
        <v>46681</v>
      </c>
      <c r="E1192" s="466" t="s">
        <v>623</v>
      </c>
      <c r="F1192" s="466">
        <v>51637577</v>
      </c>
      <c r="G1192" s="478">
        <v>39356.609999999404</v>
      </c>
      <c r="H1192" s="466">
        <v>0</v>
      </c>
      <c r="I1192" s="479">
        <v>0</v>
      </c>
    </row>
    <row r="1193" spans="1:9" ht="15.75" customHeight="1">
      <c r="A1193" s="467"/>
      <c r="B1193" s="467"/>
      <c r="C1193" s="466"/>
      <c r="D1193" s="497">
        <v>46682</v>
      </c>
      <c r="E1193" s="466" t="s">
        <v>622</v>
      </c>
      <c r="F1193" s="466">
        <v>51676933.600000001</v>
      </c>
      <c r="G1193" s="478">
        <v>39356.60000000149</v>
      </c>
      <c r="H1193" s="466">
        <v>0</v>
      </c>
      <c r="I1193" s="479">
        <v>0</v>
      </c>
    </row>
    <row r="1194" spans="1:9" ht="15.75" customHeight="1">
      <c r="A1194" s="467"/>
      <c r="B1194" s="467"/>
      <c r="C1194" s="466"/>
      <c r="D1194" s="497">
        <v>46683</v>
      </c>
      <c r="E1194" s="466" t="s">
        <v>621</v>
      </c>
      <c r="F1194" s="466">
        <v>51716290.210000001</v>
      </c>
      <c r="G1194" s="478">
        <v>39356.609999999404</v>
      </c>
      <c r="H1194" s="466">
        <v>0</v>
      </c>
      <c r="I1194" s="479">
        <v>0</v>
      </c>
    </row>
    <row r="1195" spans="1:9" ht="15.75" customHeight="1">
      <c r="A1195" s="467"/>
      <c r="B1195" s="467"/>
      <c r="C1195" s="466"/>
      <c r="D1195" s="497">
        <v>46684</v>
      </c>
      <c r="E1195" s="466" t="s">
        <v>620</v>
      </c>
      <c r="F1195" s="466">
        <v>51755646.810000002</v>
      </c>
      <c r="G1195" s="478">
        <v>39356.60000000149</v>
      </c>
      <c r="H1195" s="466">
        <v>0</v>
      </c>
      <c r="I1195" s="479">
        <v>0</v>
      </c>
    </row>
    <row r="1196" spans="1:9" ht="15.75" customHeight="1">
      <c r="A1196" s="467"/>
      <c r="B1196" s="467"/>
      <c r="C1196" s="466"/>
      <c r="D1196" s="497">
        <v>46685</v>
      </c>
      <c r="E1196" s="466" t="s">
        <v>619</v>
      </c>
      <c r="F1196" s="466">
        <v>51795003.420000002</v>
      </c>
      <c r="G1196" s="478">
        <v>39356.609999999404</v>
      </c>
      <c r="H1196" s="466">
        <v>0</v>
      </c>
      <c r="I1196" s="479">
        <v>0</v>
      </c>
    </row>
    <row r="1197" spans="1:9" ht="15.75" customHeight="1">
      <c r="A1197" s="467"/>
      <c r="B1197" s="467"/>
      <c r="C1197" s="466"/>
      <c r="D1197" s="497">
        <v>46686</v>
      </c>
      <c r="E1197" s="466" t="s">
        <v>618</v>
      </c>
      <c r="F1197" s="466">
        <v>51834360.020000003</v>
      </c>
      <c r="G1197" s="478">
        <v>39356.60000000149</v>
      </c>
      <c r="H1197" s="466">
        <v>0</v>
      </c>
      <c r="I1197" s="479">
        <v>0</v>
      </c>
    </row>
    <row r="1198" spans="1:9" ht="15.75" customHeight="1">
      <c r="A1198" s="467"/>
      <c r="B1198" s="467"/>
      <c r="C1198" s="466"/>
      <c r="D1198" s="497">
        <v>46687</v>
      </c>
      <c r="E1198" s="466" t="s">
        <v>624</v>
      </c>
      <c r="F1198" s="466">
        <v>51873716.630000003</v>
      </c>
      <c r="G1198" s="478">
        <v>39356.609999999404</v>
      </c>
      <c r="H1198" s="466">
        <v>275496.24000000209</v>
      </c>
      <c r="I1198" s="479">
        <v>0</v>
      </c>
    </row>
    <row r="1199" spans="1:9" ht="15.75" customHeight="1">
      <c r="A1199" s="467"/>
      <c r="B1199" s="467"/>
      <c r="C1199" s="466"/>
      <c r="D1199" s="497">
        <v>46688</v>
      </c>
      <c r="E1199" s="466" t="s">
        <v>623</v>
      </c>
      <c r="F1199" s="466">
        <v>51913073.229999997</v>
      </c>
      <c r="G1199" s="478">
        <v>39356.59999999404</v>
      </c>
      <c r="H1199" s="466">
        <v>0</v>
      </c>
      <c r="I1199" s="479">
        <v>0</v>
      </c>
    </row>
    <row r="1200" spans="1:9" ht="15.75" customHeight="1">
      <c r="A1200" s="467"/>
      <c r="B1200" s="467"/>
      <c r="C1200" s="466"/>
      <c r="D1200" s="497">
        <v>46689</v>
      </c>
      <c r="E1200" s="466" t="s">
        <v>622</v>
      </c>
      <c r="F1200" s="466">
        <v>51952429.840000004</v>
      </c>
      <c r="G1200" s="478">
        <v>39356.610000006855</v>
      </c>
      <c r="H1200" s="466">
        <v>0</v>
      </c>
      <c r="I1200" s="479">
        <v>0</v>
      </c>
    </row>
    <row r="1201" spans="1:9" ht="15.75" customHeight="1">
      <c r="A1201" s="467"/>
      <c r="B1201" s="467"/>
      <c r="C1201" s="466"/>
      <c r="D1201" s="497">
        <v>46690</v>
      </c>
      <c r="E1201" s="466" t="s">
        <v>621</v>
      </c>
      <c r="F1201" s="466">
        <v>51991786.439999998</v>
      </c>
      <c r="G1201" s="478">
        <v>39356.59999999404</v>
      </c>
      <c r="H1201" s="466">
        <v>0</v>
      </c>
      <c r="I1201" s="479">
        <v>0</v>
      </c>
    </row>
    <row r="1202" spans="1:9" ht="15.75" customHeight="1">
      <c r="A1202" s="467"/>
      <c r="B1202" s="467"/>
      <c r="C1202" s="466"/>
      <c r="D1202" s="497">
        <v>46691</v>
      </c>
      <c r="E1202" s="466" t="s">
        <v>620</v>
      </c>
      <c r="F1202" s="466">
        <v>52031143.049999997</v>
      </c>
      <c r="G1202" s="478">
        <v>39356.609999999404</v>
      </c>
      <c r="H1202" s="466">
        <v>0</v>
      </c>
      <c r="I1202" s="479">
        <v>0</v>
      </c>
    </row>
    <row r="1203" spans="1:9" ht="15.75" customHeight="1">
      <c r="A1203" s="467"/>
      <c r="B1203" s="467"/>
      <c r="C1203" s="466"/>
      <c r="D1203" s="497">
        <v>46692</v>
      </c>
      <c r="E1203" s="466" t="s">
        <v>619</v>
      </c>
      <c r="F1203" s="466">
        <v>52070499.649999999</v>
      </c>
      <c r="G1203" s="478">
        <v>39356.60000000149</v>
      </c>
      <c r="H1203" s="466">
        <v>0</v>
      </c>
      <c r="I1203" s="479">
        <v>0</v>
      </c>
    </row>
    <row r="1204" spans="1:9" ht="15.75" customHeight="1">
      <c r="A1204" s="467"/>
      <c r="B1204" s="467"/>
      <c r="C1204" s="466"/>
      <c r="D1204" s="497">
        <v>46693</v>
      </c>
      <c r="E1204" s="466" t="s">
        <v>618</v>
      </c>
      <c r="F1204" s="466">
        <v>52109856.259999998</v>
      </c>
      <c r="G1204" s="478">
        <v>39356.609999999404</v>
      </c>
      <c r="H1204" s="466">
        <v>0</v>
      </c>
      <c r="I1204" s="479">
        <v>0</v>
      </c>
    </row>
    <row r="1205" spans="1:9" ht="15.75" customHeight="1">
      <c r="A1205" s="467"/>
      <c r="B1205" s="467"/>
      <c r="C1205" s="466"/>
      <c r="D1205" s="497">
        <v>46694</v>
      </c>
      <c r="E1205" s="466" t="s">
        <v>624</v>
      </c>
      <c r="F1205" s="466">
        <v>52149212.859999999</v>
      </c>
      <c r="G1205" s="478">
        <v>39356.60000000149</v>
      </c>
      <c r="H1205" s="466">
        <v>275496.22999999672</v>
      </c>
      <c r="I1205" s="479">
        <v>550992.46999999881</v>
      </c>
    </row>
    <row r="1206" spans="1:9" ht="15.75" customHeight="1">
      <c r="A1206" s="467"/>
      <c r="B1206" s="467"/>
      <c r="C1206" s="466"/>
      <c r="D1206" s="497">
        <v>46695</v>
      </c>
      <c r="E1206" s="466" t="s">
        <v>623</v>
      </c>
      <c r="F1206" s="466">
        <v>52188569.469999999</v>
      </c>
      <c r="G1206" s="478">
        <v>39356.609999999404</v>
      </c>
      <c r="H1206" s="466">
        <v>0</v>
      </c>
      <c r="I1206" s="479">
        <v>0</v>
      </c>
    </row>
    <row r="1207" spans="1:9" ht="15.75" customHeight="1">
      <c r="A1207" s="467"/>
      <c r="B1207" s="467"/>
      <c r="C1207" s="466"/>
      <c r="D1207" s="497">
        <v>46696</v>
      </c>
      <c r="E1207" s="466" t="s">
        <v>622</v>
      </c>
      <c r="F1207" s="466">
        <v>52227926.07</v>
      </c>
      <c r="G1207" s="478">
        <v>39356.60000000149</v>
      </c>
      <c r="H1207" s="466">
        <v>0</v>
      </c>
      <c r="I1207" s="479">
        <v>0</v>
      </c>
    </row>
    <row r="1208" spans="1:9" ht="15.75" customHeight="1">
      <c r="A1208" s="467"/>
      <c r="B1208" s="467"/>
      <c r="C1208" s="466"/>
      <c r="D1208" s="497">
        <v>46697</v>
      </c>
      <c r="E1208" s="466" t="s">
        <v>621</v>
      </c>
      <c r="F1208" s="466">
        <v>52267282.68</v>
      </c>
      <c r="G1208" s="478">
        <v>39356.609999999404</v>
      </c>
      <c r="H1208" s="466">
        <v>0</v>
      </c>
      <c r="I1208" s="479">
        <v>0</v>
      </c>
    </row>
    <row r="1209" spans="1:9" ht="15.75" customHeight="1">
      <c r="A1209" s="467"/>
      <c r="B1209" s="467"/>
      <c r="C1209" s="466"/>
      <c r="D1209" s="497">
        <v>46698</v>
      </c>
      <c r="E1209" s="466" t="s">
        <v>620</v>
      </c>
      <c r="F1209" s="466">
        <v>52306639.280000001</v>
      </c>
      <c r="G1209" s="478">
        <v>39356.60000000149</v>
      </c>
      <c r="H1209" s="466">
        <v>0</v>
      </c>
      <c r="I1209" s="479">
        <v>0</v>
      </c>
    </row>
    <row r="1210" spans="1:9" ht="15.75" customHeight="1">
      <c r="A1210" s="467"/>
      <c r="B1210" s="467"/>
      <c r="C1210" s="466"/>
      <c r="D1210" s="497">
        <v>46699</v>
      </c>
      <c r="E1210" s="466" t="s">
        <v>619</v>
      </c>
      <c r="F1210" s="466">
        <v>52345995.890000001</v>
      </c>
      <c r="G1210" s="478">
        <v>39356.609999999404</v>
      </c>
      <c r="H1210" s="466">
        <v>0</v>
      </c>
      <c r="I1210" s="479">
        <v>0</v>
      </c>
    </row>
    <row r="1211" spans="1:9" ht="15.75" customHeight="1">
      <c r="A1211" s="467"/>
      <c r="B1211" s="467"/>
      <c r="C1211" s="466"/>
      <c r="D1211" s="497">
        <v>46700</v>
      </c>
      <c r="E1211" s="466" t="s">
        <v>618</v>
      </c>
      <c r="F1211" s="466">
        <v>52385352.490000002</v>
      </c>
      <c r="G1211" s="478">
        <v>39356.60000000149</v>
      </c>
      <c r="H1211" s="466">
        <v>0</v>
      </c>
      <c r="I1211" s="479">
        <v>0</v>
      </c>
    </row>
    <row r="1212" spans="1:9" ht="15.75" customHeight="1">
      <c r="A1212" s="467"/>
      <c r="B1212" s="467"/>
      <c r="C1212" s="466"/>
      <c r="D1212" s="497">
        <v>46701</v>
      </c>
      <c r="E1212" s="466" t="s">
        <v>624</v>
      </c>
      <c r="F1212" s="466">
        <v>52424709.100000001</v>
      </c>
      <c r="G1212" s="478">
        <v>39356.609999999404</v>
      </c>
      <c r="H1212" s="466">
        <v>275496.24000000209</v>
      </c>
      <c r="I1212" s="479">
        <v>0</v>
      </c>
    </row>
    <row r="1213" spans="1:9" ht="15.75" customHeight="1">
      <c r="A1213" s="467"/>
      <c r="B1213" s="467"/>
      <c r="C1213" s="466"/>
      <c r="D1213" s="497">
        <v>46702</v>
      </c>
      <c r="E1213" s="466" t="s">
        <v>623</v>
      </c>
      <c r="F1213" s="466">
        <v>52464065.700000003</v>
      </c>
      <c r="G1213" s="478">
        <v>39356.60000000149</v>
      </c>
      <c r="H1213" s="466">
        <v>0</v>
      </c>
      <c r="I1213" s="479">
        <v>0</v>
      </c>
    </row>
    <row r="1214" spans="1:9" ht="15.75" customHeight="1">
      <c r="A1214" s="467"/>
      <c r="B1214" s="467"/>
      <c r="C1214" s="466"/>
      <c r="D1214" s="497">
        <v>46703</v>
      </c>
      <c r="E1214" s="466" t="s">
        <v>622</v>
      </c>
      <c r="F1214" s="466">
        <v>52503422.310000002</v>
      </c>
      <c r="G1214" s="478">
        <v>39356.609999999404</v>
      </c>
      <c r="H1214" s="466">
        <v>0</v>
      </c>
      <c r="I1214" s="479">
        <v>0</v>
      </c>
    </row>
    <row r="1215" spans="1:9" ht="15.75" customHeight="1">
      <c r="A1215" s="467"/>
      <c r="B1215" s="467"/>
      <c r="C1215" s="466"/>
      <c r="D1215" s="497">
        <v>46704</v>
      </c>
      <c r="E1215" s="466" t="s">
        <v>621</v>
      </c>
      <c r="F1215" s="466">
        <v>52542778.909999996</v>
      </c>
      <c r="G1215" s="478">
        <v>39356.59999999404</v>
      </c>
      <c r="H1215" s="466">
        <v>0</v>
      </c>
      <c r="I1215" s="479">
        <v>0</v>
      </c>
    </row>
    <row r="1216" spans="1:9" ht="15.75" customHeight="1">
      <c r="A1216" s="467"/>
      <c r="B1216" s="467"/>
      <c r="C1216" s="466"/>
      <c r="D1216" s="497">
        <v>46705</v>
      </c>
      <c r="E1216" s="466" t="s">
        <v>620</v>
      </c>
      <c r="F1216" s="466">
        <v>52582135.520000003</v>
      </c>
      <c r="G1216" s="478">
        <v>39356.610000006855</v>
      </c>
      <c r="H1216" s="466">
        <v>0</v>
      </c>
      <c r="I1216" s="479">
        <v>0</v>
      </c>
    </row>
    <row r="1217" spans="1:9" ht="15.75" customHeight="1">
      <c r="A1217" s="467"/>
      <c r="B1217" s="467"/>
      <c r="C1217" s="466"/>
      <c r="D1217" s="497">
        <v>46706</v>
      </c>
      <c r="E1217" s="466" t="s">
        <v>619</v>
      </c>
      <c r="F1217" s="466">
        <v>52621492.119999997</v>
      </c>
      <c r="G1217" s="478">
        <v>39356.59999999404</v>
      </c>
      <c r="H1217" s="466">
        <v>0</v>
      </c>
      <c r="I1217" s="479">
        <v>0</v>
      </c>
    </row>
    <row r="1218" spans="1:9" ht="15.75" customHeight="1">
      <c r="A1218" s="467"/>
      <c r="B1218" s="467"/>
      <c r="C1218" s="466"/>
      <c r="D1218" s="497">
        <v>46707</v>
      </c>
      <c r="E1218" s="466" t="s">
        <v>618</v>
      </c>
      <c r="F1218" s="466">
        <v>52660848.729999997</v>
      </c>
      <c r="G1218" s="478">
        <v>39356.609999999404</v>
      </c>
      <c r="H1218" s="466">
        <v>0</v>
      </c>
      <c r="I1218" s="479">
        <v>0</v>
      </c>
    </row>
    <row r="1219" spans="1:9" ht="15.75" customHeight="1">
      <c r="A1219" s="467"/>
      <c r="B1219" s="467"/>
      <c r="C1219" s="466"/>
      <c r="D1219" s="497">
        <v>46708</v>
      </c>
      <c r="E1219" s="466" t="s">
        <v>624</v>
      </c>
      <c r="F1219" s="466">
        <v>52700205.329999998</v>
      </c>
      <c r="G1219" s="478">
        <v>39356.60000000149</v>
      </c>
      <c r="H1219" s="466">
        <v>275496.22999999672</v>
      </c>
      <c r="I1219" s="479">
        <v>550992.46999999881</v>
      </c>
    </row>
    <row r="1220" spans="1:9" ht="15.75" customHeight="1">
      <c r="A1220" s="467"/>
      <c r="B1220" s="467"/>
      <c r="C1220" s="466"/>
      <c r="D1220" s="497">
        <v>46709</v>
      </c>
      <c r="E1220" s="466" t="s">
        <v>623</v>
      </c>
      <c r="F1220" s="466">
        <v>52739561.939999998</v>
      </c>
      <c r="G1220" s="478">
        <v>39356.609999999404</v>
      </c>
      <c r="H1220" s="466">
        <v>0</v>
      </c>
      <c r="I1220" s="479">
        <v>0</v>
      </c>
    </row>
    <row r="1221" spans="1:9" ht="15.75" customHeight="1">
      <c r="A1221" s="467"/>
      <c r="B1221" s="467"/>
      <c r="C1221" s="466"/>
      <c r="D1221" s="497">
        <v>46710</v>
      </c>
      <c r="E1221" s="466" t="s">
        <v>622</v>
      </c>
      <c r="F1221" s="466">
        <v>52778918.539999999</v>
      </c>
      <c r="G1221" s="478">
        <v>39356.60000000149</v>
      </c>
      <c r="H1221" s="466">
        <v>0</v>
      </c>
      <c r="I1221" s="479">
        <v>0</v>
      </c>
    </row>
    <row r="1222" spans="1:9" ht="15.75" customHeight="1">
      <c r="A1222" s="467"/>
      <c r="B1222" s="467"/>
      <c r="C1222" s="466"/>
      <c r="D1222" s="497">
        <v>46711</v>
      </c>
      <c r="E1222" s="466" t="s">
        <v>621</v>
      </c>
      <c r="F1222" s="466">
        <v>52818275.149999999</v>
      </c>
      <c r="G1222" s="478">
        <v>39356.609999999404</v>
      </c>
      <c r="H1222" s="466">
        <v>0</v>
      </c>
      <c r="I1222" s="479">
        <v>0</v>
      </c>
    </row>
    <row r="1223" spans="1:9" ht="15.75" customHeight="1">
      <c r="A1223" s="467"/>
      <c r="B1223" s="467"/>
      <c r="C1223" s="466"/>
      <c r="D1223" s="497">
        <v>46712</v>
      </c>
      <c r="E1223" s="466" t="s">
        <v>620</v>
      </c>
      <c r="F1223" s="466">
        <v>52857631.75</v>
      </c>
      <c r="G1223" s="478">
        <v>39356.60000000149</v>
      </c>
      <c r="H1223" s="466">
        <v>0</v>
      </c>
      <c r="I1223" s="479">
        <v>0</v>
      </c>
    </row>
    <row r="1224" spans="1:9" ht="15.75" customHeight="1">
      <c r="A1224" s="467"/>
      <c r="B1224" s="467"/>
      <c r="C1224" s="466"/>
      <c r="D1224" s="497">
        <v>46713</v>
      </c>
      <c r="E1224" s="466" t="s">
        <v>619</v>
      </c>
      <c r="F1224" s="466">
        <v>52896988.359999999</v>
      </c>
      <c r="G1224" s="478">
        <v>39356.609999999404</v>
      </c>
      <c r="H1224" s="466">
        <v>0</v>
      </c>
      <c r="I1224" s="479">
        <v>0</v>
      </c>
    </row>
    <row r="1225" spans="1:9" ht="15.75" customHeight="1">
      <c r="A1225" s="467"/>
      <c r="B1225" s="467"/>
      <c r="C1225" s="466"/>
      <c r="D1225" s="497">
        <v>46714</v>
      </c>
      <c r="E1225" s="466" t="s">
        <v>618</v>
      </c>
      <c r="F1225" s="466">
        <v>52936344.960000001</v>
      </c>
      <c r="G1225" s="478">
        <v>39356.60000000149</v>
      </c>
      <c r="H1225" s="466">
        <v>0</v>
      </c>
      <c r="I1225" s="479">
        <v>0</v>
      </c>
    </row>
    <row r="1226" spans="1:9" ht="15.75" customHeight="1">
      <c r="A1226" s="467"/>
      <c r="B1226" s="467"/>
      <c r="C1226" s="466"/>
      <c r="D1226" s="497">
        <v>46715</v>
      </c>
      <c r="E1226" s="466" t="s">
        <v>624</v>
      </c>
      <c r="F1226" s="466">
        <v>52975701.57</v>
      </c>
      <c r="G1226" s="478">
        <v>39356.609999999404</v>
      </c>
      <c r="H1226" s="466">
        <v>275496.24000000209</v>
      </c>
      <c r="I1226" s="479">
        <v>0</v>
      </c>
    </row>
    <row r="1227" spans="1:9" ht="15.75" customHeight="1">
      <c r="A1227" s="467"/>
      <c r="B1227" s="467"/>
      <c r="C1227" s="466"/>
      <c r="D1227" s="497">
        <v>46716</v>
      </c>
      <c r="E1227" s="466" t="s">
        <v>623</v>
      </c>
      <c r="F1227" s="466">
        <v>53015058.170000002</v>
      </c>
      <c r="G1227" s="478">
        <v>39356.60000000149</v>
      </c>
      <c r="H1227" s="466">
        <v>0</v>
      </c>
      <c r="I1227" s="479">
        <v>0</v>
      </c>
    </row>
    <row r="1228" spans="1:9" ht="15.75" customHeight="1">
      <c r="A1228" s="467"/>
      <c r="B1228" s="467"/>
      <c r="C1228" s="466"/>
      <c r="D1228" s="497">
        <v>46717</v>
      </c>
      <c r="E1228" s="466" t="s">
        <v>622</v>
      </c>
      <c r="F1228" s="466">
        <v>53054414.780000001</v>
      </c>
      <c r="G1228" s="478">
        <v>39356.609999999404</v>
      </c>
      <c r="H1228" s="466">
        <v>0</v>
      </c>
      <c r="I1228" s="479">
        <v>0</v>
      </c>
    </row>
    <row r="1229" spans="1:9" ht="15.75" customHeight="1">
      <c r="A1229" s="467"/>
      <c r="B1229" s="467"/>
      <c r="C1229" s="466"/>
      <c r="D1229" s="497">
        <v>46718</v>
      </c>
      <c r="E1229" s="466" t="s">
        <v>621</v>
      </c>
      <c r="F1229" s="466">
        <v>53093771.380000003</v>
      </c>
      <c r="G1229" s="478">
        <v>39356.60000000149</v>
      </c>
      <c r="H1229" s="466">
        <v>0</v>
      </c>
      <c r="I1229" s="479">
        <v>0</v>
      </c>
    </row>
    <row r="1230" spans="1:9" ht="15.75" customHeight="1">
      <c r="A1230" s="467"/>
      <c r="B1230" s="467"/>
      <c r="C1230" s="466"/>
      <c r="D1230" s="497">
        <v>46719</v>
      </c>
      <c r="E1230" s="466" t="s">
        <v>620</v>
      </c>
      <c r="F1230" s="466">
        <v>53133127.990000002</v>
      </c>
      <c r="G1230" s="478">
        <v>39356.609999999404</v>
      </c>
      <c r="H1230" s="466">
        <v>0</v>
      </c>
      <c r="I1230" s="479">
        <v>0</v>
      </c>
    </row>
    <row r="1231" spans="1:9" ht="15.75" customHeight="1">
      <c r="A1231" s="467"/>
      <c r="B1231" s="467"/>
      <c r="C1231" s="466"/>
      <c r="D1231" s="497">
        <v>46720</v>
      </c>
      <c r="E1231" s="466" t="s">
        <v>619</v>
      </c>
      <c r="F1231" s="466">
        <v>53172484.590000004</v>
      </c>
      <c r="G1231" s="478">
        <v>39356.60000000149</v>
      </c>
      <c r="H1231" s="466">
        <v>0</v>
      </c>
      <c r="I1231" s="479">
        <v>0</v>
      </c>
    </row>
    <row r="1232" spans="1:9" ht="15.75" customHeight="1">
      <c r="A1232" s="467"/>
      <c r="B1232" s="467"/>
      <c r="C1232" s="466"/>
      <c r="D1232" s="497">
        <v>46721</v>
      </c>
      <c r="E1232" s="466" t="s">
        <v>618</v>
      </c>
      <c r="F1232" s="466">
        <v>53211841.200000003</v>
      </c>
      <c r="G1232" s="478">
        <v>39356.609999999404</v>
      </c>
      <c r="H1232" s="466">
        <v>0</v>
      </c>
      <c r="I1232" s="479">
        <v>0</v>
      </c>
    </row>
    <row r="1233" spans="1:9" ht="15.75" customHeight="1">
      <c r="A1233" s="467"/>
      <c r="B1233" s="467"/>
      <c r="C1233" s="466"/>
      <c r="D1233" s="497">
        <v>46722</v>
      </c>
      <c r="E1233" s="466" t="s">
        <v>624</v>
      </c>
      <c r="F1233" s="466">
        <v>53251197.799999997</v>
      </c>
      <c r="G1233" s="478">
        <v>39356.59999999404</v>
      </c>
      <c r="H1233" s="466">
        <v>275496.22999999672</v>
      </c>
      <c r="I1233" s="479">
        <v>550992.46999999881</v>
      </c>
    </row>
    <row r="1234" spans="1:9" ht="15.75" customHeight="1">
      <c r="A1234" s="467"/>
      <c r="B1234" s="467"/>
      <c r="C1234" s="466"/>
      <c r="D1234" s="497">
        <v>46723</v>
      </c>
      <c r="E1234" s="466" t="s">
        <v>623</v>
      </c>
      <c r="F1234" s="466">
        <v>53290554.409999996</v>
      </c>
      <c r="G1234" s="478">
        <v>39356.609999999404</v>
      </c>
      <c r="H1234" s="466">
        <v>0</v>
      </c>
      <c r="I1234" s="479">
        <v>0</v>
      </c>
    </row>
    <row r="1235" spans="1:9" ht="15.75" customHeight="1">
      <c r="A1235" s="467"/>
      <c r="B1235" s="467"/>
      <c r="C1235" s="466"/>
      <c r="D1235" s="497">
        <v>46724</v>
      </c>
      <c r="E1235" s="466" t="s">
        <v>622</v>
      </c>
      <c r="F1235" s="466">
        <v>53329911.009999998</v>
      </c>
      <c r="G1235" s="478">
        <v>39356.60000000149</v>
      </c>
      <c r="H1235" s="466">
        <v>0</v>
      </c>
      <c r="I1235" s="479">
        <v>0</v>
      </c>
    </row>
    <row r="1236" spans="1:9" ht="15.75" customHeight="1">
      <c r="A1236" s="467"/>
      <c r="B1236" s="467"/>
      <c r="C1236" s="466"/>
      <c r="D1236" s="497">
        <v>46725</v>
      </c>
      <c r="E1236" s="466" t="s">
        <v>621</v>
      </c>
      <c r="F1236" s="466">
        <v>53369267.619999997</v>
      </c>
      <c r="G1236" s="478">
        <v>39356.609999999404</v>
      </c>
      <c r="H1236" s="466">
        <v>0</v>
      </c>
      <c r="I1236" s="479">
        <v>0</v>
      </c>
    </row>
    <row r="1237" spans="1:9" ht="15.75" customHeight="1">
      <c r="A1237" s="467"/>
      <c r="B1237" s="467"/>
      <c r="C1237" s="466"/>
      <c r="D1237" s="497">
        <v>46726</v>
      </c>
      <c r="E1237" s="466" t="s">
        <v>620</v>
      </c>
      <c r="F1237" s="466">
        <v>53408624.219999999</v>
      </c>
      <c r="G1237" s="478">
        <v>39356.60000000149</v>
      </c>
      <c r="H1237" s="466">
        <v>0</v>
      </c>
      <c r="I1237" s="479">
        <v>0</v>
      </c>
    </row>
    <row r="1238" spans="1:9" ht="15.75" customHeight="1">
      <c r="A1238" s="467"/>
      <c r="B1238" s="467"/>
      <c r="C1238" s="466"/>
      <c r="D1238" s="497">
        <v>46727</v>
      </c>
      <c r="E1238" s="466" t="s">
        <v>619</v>
      </c>
      <c r="F1238" s="466">
        <v>53447980.829999998</v>
      </c>
      <c r="G1238" s="478">
        <v>39356.609999999404</v>
      </c>
      <c r="H1238" s="466">
        <v>0</v>
      </c>
      <c r="I1238" s="479">
        <v>0</v>
      </c>
    </row>
    <row r="1239" spans="1:9" ht="15.75" customHeight="1">
      <c r="A1239" s="467"/>
      <c r="B1239" s="467"/>
      <c r="C1239" s="466"/>
      <c r="D1239" s="497">
        <v>46728</v>
      </c>
      <c r="E1239" s="466" t="s">
        <v>618</v>
      </c>
      <c r="F1239" s="466">
        <v>53487337.439999998</v>
      </c>
      <c r="G1239" s="478">
        <v>39356.609999999404</v>
      </c>
      <c r="H1239" s="466">
        <v>0</v>
      </c>
      <c r="I1239" s="479">
        <v>0</v>
      </c>
    </row>
    <row r="1240" spans="1:9" ht="15.75" customHeight="1">
      <c r="A1240" s="467"/>
      <c r="B1240" s="467"/>
      <c r="C1240" s="466"/>
      <c r="D1240" s="497">
        <v>46729</v>
      </c>
      <c r="E1240" s="466" t="s">
        <v>624</v>
      </c>
      <c r="F1240" s="466">
        <v>53526694.039999999</v>
      </c>
      <c r="G1240" s="478">
        <v>39356.60000000149</v>
      </c>
      <c r="H1240" s="466">
        <v>275496.24000000209</v>
      </c>
      <c r="I1240" s="479">
        <v>0</v>
      </c>
    </row>
    <row r="1241" spans="1:9" ht="15.75" customHeight="1">
      <c r="A1241" s="467"/>
      <c r="B1241" s="467"/>
      <c r="C1241" s="466"/>
      <c r="D1241" s="497">
        <v>46730</v>
      </c>
      <c r="E1241" s="466" t="s">
        <v>623</v>
      </c>
      <c r="F1241" s="466">
        <v>53566050.649999999</v>
      </c>
      <c r="G1241" s="478">
        <v>39356.609999999404</v>
      </c>
      <c r="H1241" s="466">
        <v>0</v>
      </c>
      <c r="I1241" s="479">
        <v>0</v>
      </c>
    </row>
    <row r="1242" spans="1:9" ht="15.75" customHeight="1">
      <c r="A1242" s="467"/>
      <c r="B1242" s="467"/>
      <c r="C1242" s="466"/>
      <c r="D1242" s="497">
        <v>46731</v>
      </c>
      <c r="E1242" s="466" t="s">
        <v>622</v>
      </c>
      <c r="F1242" s="466">
        <v>53605407.25</v>
      </c>
      <c r="G1242" s="478">
        <v>39356.60000000149</v>
      </c>
      <c r="H1242" s="466">
        <v>0</v>
      </c>
      <c r="I1242" s="479">
        <v>0</v>
      </c>
    </row>
    <row r="1243" spans="1:9" ht="15.75" customHeight="1">
      <c r="A1243" s="467"/>
      <c r="B1243" s="467"/>
      <c r="C1243" s="466"/>
      <c r="D1243" s="497">
        <v>46732</v>
      </c>
      <c r="E1243" s="466" t="s">
        <v>621</v>
      </c>
      <c r="F1243" s="466">
        <v>53644763.859999999</v>
      </c>
      <c r="G1243" s="478">
        <v>39356.609999999404</v>
      </c>
      <c r="H1243" s="466">
        <v>0</v>
      </c>
      <c r="I1243" s="479">
        <v>0</v>
      </c>
    </row>
    <row r="1244" spans="1:9" ht="15.75" customHeight="1">
      <c r="A1244" s="467"/>
      <c r="B1244" s="467"/>
      <c r="C1244" s="466"/>
      <c r="D1244" s="497">
        <v>46733</v>
      </c>
      <c r="E1244" s="466" t="s">
        <v>620</v>
      </c>
      <c r="F1244" s="466">
        <v>53684120.460000001</v>
      </c>
      <c r="G1244" s="478">
        <v>39356.60000000149</v>
      </c>
      <c r="H1244" s="466">
        <v>0</v>
      </c>
      <c r="I1244" s="479">
        <v>0</v>
      </c>
    </row>
    <row r="1245" spans="1:9" ht="15.75" customHeight="1">
      <c r="A1245" s="467"/>
      <c r="B1245" s="467"/>
      <c r="C1245" s="466"/>
      <c r="D1245" s="497">
        <v>46734</v>
      </c>
      <c r="E1245" s="466" t="s">
        <v>619</v>
      </c>
      <c r="F1245" s="466">
        <v>53723477.07</v>
      </c>
      <c r="G1245" s="478">
        <v>39356.609999999404</v>
      </c>
      <c r="H1245" s="466">
        <v>0</v>
      </c>
      <c r="I1245" s="479">
        <v>0</v>
      </c>
    </row>
    <row r="1246" spans="1:9" ht="15.75" customHeight="1">
      <c r="A1246" s="467"/>
      <c r="B1246" s="467"/>
      <c r="C1246" s="466"/>
      <c r="D1246" s="497">
        <v>46735</v>
      </c>
      <c r="E1246" s="466" t="s">
        <v>618</v>
      </c>
      <c r="F1246" s="466">
        <v>53762833.670000002</v>
      </c>
      <c r="G1246" s="478">
        <v>39356.60000000149</v>
      </c>
      <c r="H1246" s="466">
        <v>0</v>
      </c>
      <c r="I1246" s="479">
        <v>0</v>
      </c>
    </row>
    <row r="1247" spans="1:9" ht="15.75" customHeight="1">
      <c r="A1247" s="467"/>
      <c r="B1247" s="467"/>
      <c r="C1247" s="466"/>
      <c r="D1247" s="497">
        <v>46736</v>
      </c>
      <c r="E1247" s="466" t="s">
        <v>624</v>
      </c>
      <c r="F1247" s="466">
        <v>53802190.280000001</v>
      </c>
      <c r="G1247" s="478">
        <v>39356.609999999404</v>
      </c>
      <c r="H1247" s="466">
        <v>275496.24000000209</v>
      </c>
      <c r="I1247" s="479">
        <v>550992.48000000417</v>
      </c>
    </row>
    <row r="1248" spans="1:9" ht="15.75" customHeight="1">
      <c r="A1248" s="467"/>
      <c r="B1248" s="467"/>
      <c r="C1248" s="466"/>
      <c r="D1248" s="497">
        <v>46737</v>
      </c>
      <c r="E1248" s="466" t="s">
        <v>623</v>
      </c>
      <c r="F1248" s="466">
        <v>53841546.880000003</v>
      </c>
      <c r="G1248" s="478">
        <v>39356.60000000149</v>
      </c>
      <c r="H1248" s="466">
        <v>0</v>
      </c>
      <c r="I1248" s="479">
        <v>0</v>
      </c>
    </row>
    <row r="1249" spans="1:9" ht="15.75" customHeight="1">
      <c r="A1249" s="467"/>
      <c r="B1249" s="467"/>
      <c r="C1249" s="466"/>
      <c r="D1249" s="497">
        <v>46738</v>
      </c>
      <c r="E1249" s="466" t="s">
        <v>622</v>
      </c>
      <c r="F1249" s="466">
        <v>53880903.490000002</v>
      </c>
      <c r="G1249" s="478">
        <v>39356.609999999404</v>
      </c>
      <c r="H1249" s="466">
        <v>0</v>
      </c>
      <c r="I1249" s="479">
        <v>0</v>
      </c>
    </row>
    <row r="1250" spans="1:9" ht="15.75" customHeight="1">
      <c r="A1250" s="467"/>
      <c r="B1250" s="467"/>
      <c r="C1250" s="466"/>
      <c r="D1250" s="497">
        <v>46739</v>
      </c>
      <c r="E1250" s="466" t="s">
        <v>621</v>
      </c>
      <c r="F1250" s="466">
        <v>53920260.090000004</v>
      </c>
      <c r="G1250" s="478">
        <v>39356.60000000149</v>
      </c>
      <c r="H1250" s="466">
        <v>0</v>
      </c>
      <c r="I1250" s="479">
        <v>0</v>
      </c>
    </row>
    <row r="1251" spans="1:9" ht="15.75" customHeight="1">
      <c r="A1251" s="467"/>
      <c r="B1251" s="467"/>
      <c r="C1251" s="466"/>
      <c r="D1251" s="497">
        <v>46740</v>
      </c>
      <c r="E1251" s="466" t="s">
        <v>620</v>
      </c>
      <c r="F1251" s="466">
        <v>53959616.700000003</v>
      </c>
      <c r="G1251" s="478">
        <v>39356.609999999404</v>
      </c>
      <c r="H1251" s="466">
        <v>0</v>
      </c>
      <c r="I1251" s="479">
        <v>0</v>
      </c>
    </row>
    <row r="1252" spans="1:9" ht="15.75" customHeight="1">
      <c r="A1252" s="467"/>
      <c r="B1252" s="467"/>
      <c r="C1252" s="466"/>
      <c r="D1252" s="497">
        <v>46741</v>
      </c>
      <c r="E1252" s="466" t="s">
        <v>619</v>
      </c>
      <c r="F1252" s="466">
        <v>53998973.299999997</v>
      </c>
      <c r="G1252" s="478">
        <v>39356.59999999404</v>
      </c>
      <c r="H1252" s="466">
        <v>0</v>
      </c>
      <c r="I1252" s="479">
        <v>0</v>
      </c>
    </row>
    <row r="1253" spans="1:9" ht="15.75" customHeight="1">
      <c r="A1253" s="467"/>
      <c r="B1253" s="467"/>
      <c r="C1253" s="466"/>
      <c r="D1253" s="497">
        <v>46742</v>
      </c>
      <c r="E1253" s="466" t="s">
        <v>618</v>
      </c>
      <c r="F1253" s="466">
        <v>54038329.909999996</v>
      </c>
      <c r="G1253" s="478">
        <v>39356.609999999404</v>
      </c>
      <c r="H1253" s="466">
        <v>0</v>
      </c>
      <c r="I1253" s="479">
        <v>0</v>
      </c>
    </row>
    <row r="1254" spans="1:9" ht="15.75" customHeight="1">
      <c r="A1254" s="467"/>
      <c r="B1254" s="467"/>
      <c r="C1254" s="466"/>
      <c r="D1254" s="497">
        <v>46743</v>
      </c>
      <c r="E1254" s="466" t="s">
        <v>624</v>
      </c>
      <c r="F1254" s="466">
        <v>54077686.509999998</v>
      </c>
      <c r="G1254" s="478">
        <v>39356.60000000149</v>
      </c>
      <c r="H1254" s="466">
        <v>275496.22999999672</v>
      </c>
      <c r="I1254" s="479">
        <v>0</v>
      </c>
    </row>
    <row r="1255" spans="1:9" ht="15.75" customHeight="1">
      <c r="A1255" s="467"/>
      <c r="B1255" s="467"/>
      <c r="C1255" s="466"/>
      <c r="D1255" s="497">
        <v>46744</v>
      </c>
      <c r="E1255" s="466" t="s">
        <v>623</v>
      </c>
      <c r="F1255" s="466">
        <v>54117043.119999997</v>
      </c>
      <c r="G1255" s="478">
        <v>39356.609999999404</v>
      </c>
      <c r="H1255" s="466">
        <v>0</v>
      </c>
      <c r="I1255" s="479">
        <v>0</v>
      </c>
    </row>
    <row r="1256" spans="1:9" ht="15.75" customHeight="1">
      <c r="A1256" s="467"/>
      <c r="B1256" s="467"/>
      <c r="C1256" s="466"/>
      <c r="D1256" s="497">
        <v>46745</v>
      </c>
      <c r="E1256" s="466" t="s">
        <v>622</v>
      </c>
      <c r="F1256" s="466">
        <v>54156399.719999999</v>
      </c>
      <c r="G1256" s="478">
        <v>39356.60000000149</v>
      </c>
      <c r="H1256" s="466">
        <v>0</v>
      </c>
      <c r="I1256" s="479">
        <v>0</v>
      </c>
    </row>
    <row r="1257" spans="1:9" ht="15.75" customHeight="1">
      <c r="A1257" s="467"/>
      <c r="B1257" s="467"/>
      <c r="C1257" s="466"/>
      <c r="D1257" s="497">
        <v>46746</v>
      </c>
      <c r="E1257" s="466" t="s">
        <v>621</v>
      </c>
      <c r="F1257" s="466">
        <v>54195756.329999998</v>
      </c>
      <c r="G1257" s="478">
        <v>39356.609999999404</v>
      </c>
      <c r="H1257" s="466">
        <v>0</v>
      </c>
      <c r="I1257" s="479">
        <v>0</v>
      </c>
    </row>
    <row r="1258" spans="1:9" ht="15.75" customHeight="1">
      <c r="A1258" s="467"/>
      <c r="B1258" s="467"/>
      <c r="C1258" s="466"/>
      <c r="D1258" s="497">
        <v>46747</v>
      </c>
      <c r="E1258" s="466" t="s">
        <v>620</v>
      </c>
      <c r="F1258" s="466">
        <v>54235112.93</v>
      </c>
      <c r="G1258" s="478">
        <v>39356.60000000149</v>
      </c>
      <c r="H1258" s="466">
        <v>0</v>
      </c>
      <c r="I1258" s="479">
        <v>0</v>
      </c>
    </row>
    <row r="1259" spans="1:9" ht="15.75" customHeight="1">
      <c r="A1259" s="467"/>
      <c r="B1259" s="467"/>
      <c r="C1259" s="466"/>
      <c r="D1259" s="497">
        <v>46748</v>
      </c>
      <c r="E1259" s="466" t="s">
        <v>619</v>
      </c>
      <c r="F1259" s="466">
        <v>54274469.539999999</v>
      </c>
      <c r="G1259" s="478">
        <v>39356.609999999404</v>
      </c>
      <c r="H1259" s="466">
        <v>0</v>
      </c>
      <c r="I1259" s="479">
        <v>0</v>
      </c>
    </row>
    <row r="1260" spans="1:9" ht="15.75" customHeight="1">
      <c r="A1260" s="467"/>
      <c r="B1260" s="467"/>
      <c r="C1260" s="466"/>
      <c r="D1260" s="497">
        <v>46749</v>
      </c>
      <c r="E1260" s="466" t="s">
        <v>618</v>
      </c>
      <c r="F1260" s="466">
        <v>54313826.140000001</v>
      </c>
      <c r="G1260" s="478">
        <v>39356.60000000149</v>
      </c>
      <c r="H1260" s="466">
        <v>0</v>
      </c>
      <c r="I1260" s="479">
        <v>0</v>
      </c>
    </row>
    <row r="1261" spans="1:9" ht="15.75" customHeight="1">
      <c r="A1261" s="467"/>
      <c r="B1261" s="467"/>
      <c r="C1261" s="466"/>
      <c r="D1261" s="497">
        <v>46750</v>
      </c>
      <c r="E1261" s="466" t="s">
        <v>624</v>
      </c>
      <c r="F1261" s="466">
        <v>54353182.75</v>
      </c>
      <c r="G1261" s="478">
        <v>39356.609999999404</v>
      </c>
      <c r="H1261" s="466">
        <v>275496.24000000209</v>
      </c>
      <c r="I1261" s="479">
        <v>550992.46999999881</v>
      </c>
    </row>
    <row r="1262" spans="1:9" ht="15.75" customHeight="1">
      <c r="A1262" s="467"/>
      <c r="B1262" s="467"/>
      <c r="C1262" s="466"/>
      <c r="D1262" s="497">
        <v>46751</v>
      </c>
      <c r="E1262" s="466" t="s">
        <v>623</v>
      </c>
      <c r="F1262" s="466">
        <v>54392539.350000001</v>
      </c>
      <c r="G1262" s="478">
        <v>39356.60000000149</v>
      </c>
      <c r="H1262" s="466">
        <v>0</v>
      </c>
      <c r="I1262" s="479">
        <v>0</v>
      </c>
    </row>
    <row r="1263" spans="1:9" ht="15.75" customHeight="1">
      <c r="A1263" s="467"/>
      <c r="B1263" s="467"/>
      <c r="C1263" s="466"/>
      <c r="D1263" s="497">
        <v>46752</v>
      </c>
      <c r="E1263" s="466" t="s">
        <v>622</v>
      </c>
      <c r="F1263" s="466">
        <v>54431895.960000001</v>
      </c>
      <c r="G1263" s="478">
        <v>39356.609999999404</v>
      </c>
      <c r="H1263" s="466">
        <v>0</v>
      </c>
      <c r="I1263" s="479">
        <v>0</v>
      </c>
    </row>
    <row r="1264" spans="1:9" ht="15.75" customHeight="1">
      <c r="A1264" s="467"/>
      <c r="B1264" s="467"/>
      <c r="C1264" s="466"/>
      <c r="D1264" s="497">
        <v>46753</v>
      </c>
      <c r="E1264" s="466" t="s">
        <v>621</v>
      </c>
      <c r="F1264" s="466">
        <v>54471252.560000002</v>
      </c>
      <c r="G1264" s="478">
        <v>39356.60000000149</v>
      </c>
      <c r="H1264" s="466">
        <v>0</v>
      </c>
      <c r="I1264" s="479">
        <v>0</v>
      </c>
    </row>
    <row r="1265" spans="1:9" ht="15.75" customHeight="1">
      <c r="A1265" s="467"/>
      <c r="B1265" s="467"/>
      <c r="C1265" s="466"/>
      <c r="D1265" s="497">
        <v>46754</v>
      </c>
      <c r="E1265" s="466" t="s">
        <v>620</v>
      </c>
      <c r="F1265" s="466">
        <v>54510609.170000002</v>
      </c>
      <c r="G1265" s="478">
        <v>39356.609999999404</v>
      </c>
      <c r="H1265" s="466">
        <v>0</v>
      </c>
      <c r="I1265" s="479">
        <v>0</v>
      </c>
    </row>
    <row r="1266" spans="1:9" ht="15.75" customHeight="1">
      <c r="A1266" s="467"/>
      <c r="B1266" s="467"/>
      <c r="C1266" s="466"/>
      <c r="D1266" s="497">
        <v>46755</v>
      </c>
      <c r="E1266" s="466" t="s">
        <v>619</v>
      </c>
      <c r="F1266" s="466">
        <v>54549965.770000003</v>
      </c>
      <c r="G1266" s="478">
        <v>39356.60000000149</v>
      </c>
      <c r="H1266" s="466">
        <v>0</v>
      </c>
      <c r="I1266" s="479">
        <v>0</v>
      </c>
    </row>
    <row r="1267" spans="1:9" ht="15.75" customHeight="1">
      <c r="A1267" s="467"/>
      <c r="B1267" s="467"/>
      <c r="C1267" s="466"/>
      <c r="D1267" s="497">
        <v>46756</v>
      </c>
      <c r="E1267" s="466" t="s">
        <v>618</v>
      </c>
      <c r="F1267" s="466">
        <v>54589322.380000003</v>
      </c>
      <c r="G1267" s="478">
        <v>39356.609999999404</v>
      </c>
      <c r="H1267" s="466">
        <v>0</v>
      </c>
      <c r="I1267" s="479">
        <v>0</v>
      </c>
    </row>
    <row r="1268" spans="1:9" ht="15.75" customHeight="1">
      <c r="A1268" s="467"/>
      <c r="B1268" s="467"/>
      <c r="C1268" s="466"/>
      <c r="D1268" s="497">
        <v>46757</v>
      </c>
      <c r="E1268" s="466" t="s">
        <v>624</v>
      </c>
      <c r="F1268" s="466">
        <v>54628678.979999997</v>
      </c>
      <c r="G1268" s="478">
        <v>39356.59999999404</v>
      </c>
      <c r="H1268" s="466">
        <v>275496.22999999672</v>
      </c>
      <c r="I1268" s="479">
        <v>0</v>
      </c>
    </row>
    <row r="1269" spans="1:9" ht="15.75" customHeight="1">
      <c r="A1269" s="467"/>
      <c r="B1269" s="467"/>
      <c r="C1269" s="466"/>
      <c r="D1269" s="497">
        <v>46758</v>
      </c>
      <c r="E1269" s="466" t="s">
        <v>623</v>
      </c>
      <c r="F1269" s="466">
        <v>54668035.590000004</v>
      </c>
      <c r="G1269" s="478">
        <v>39356.610000006855</v>
      </c>
      <c r="H1269" s="466">
        <v>0</v>
      </c>
      <c r="I1269" s="479">
        <v>0</v>
      </c>
    </row>
    <row r="1270" spans="1:9" ht="15.75" customHeight="1">
      <c r="A1270" s="467"/>
      <c r="B1270" s="467"/>
      <c r="C1270" s="466"/>
      <c r="D1270" s="497">
        <v>46759</v>
      </c>
      <c r="E1270" s="466" t="s">
        <v>622</v>
      </c>
      <c r="F1270" s="466">
        <v>54707392.189999998</v>
      </c>
      <c r="G1270" s="478">
        <v>39356.59999999404</v>
      </c>
      <c r="H1270" s="466">
        <v>0</v>
      </c>
      <c r="I1270" s="479">
        <v>0</v>
      </c>
    </row>
    <row r="1271" spans="1:9" ht="15.75" customHeight="1">
      <c r="A1271" s="467"/>
      <c r="B1271" s="467"/>
      <c r="C1271" s="466"/>
      <c r="D1271" s="497">
        <v>46760</v>
      </c>
      <c r="E1271" s="466" t="s">
        <v>621</v>
      </c>
      <c r="F1271" s="466">
        <v>54746748.799999997</v>
      </c>
      <c r="G1271" s="478">
        <v>39356.609999999404</v>
      </c>
      <c r="H1271" s="466">
        <v>0</v>
      </c>
      <c r="I1271" s="479">
        <v>0</v>
      </c>
    </row>
    <row r="1272" spans="1:9" ht="15.75" customHeight="1">
      <c r="A1272" s="467"/>
      <c r="B1272" s="467"/>
      <c r="C1272" s="466"/>
      <c r="D1272" s="497">
        <v>46761</v>
      </c>
      <c r="E1272" s="466" t="s">
        <v>620</v>
      </c>
      <c r="F1272" s="466">
        <v>54786105.399999999</v>
      </c>
      <c r="G1272" s="478">
        <v>39356.60000000149</v>
      </c>
      <c r="H1272" s="466">
        <v>0</v>
      </c>
      <c r="I1272" s="479">
        <v>0</v>
      </c>
    </row>
    <row r="1273" spans="1:9" ht="15.75" customHeight="1">
      <c r="A1273" s="467"/>
      <c r="B1273" s="467"/>
      <c r="C1273" s="466"/>
      <c r="D1273" s="497">
        <v>46762</v>
      </c>
      <c r="E1273" s="466" t="s">
        <v>619</v>
      </c>
      <c r="F1273" s="466">
        <v>54825462.009999998</v>
      </c>
      <c r="G1273" s="478">
        <v>39356.609999999404</v>
      </c>
      <c r="H1273" s="466">
        <v>0</v>
      </c>
      <c r="I1273" s="479">
        <v>0</v>
      </c>
    </row>
    <row r="1274" spans="1:9" ht="15.75" customHeight="1">
      <c r="A1274" s="467"/>
      <c r="B1274" s="467"/>
      <c r="C1274" s="466"/>
      <c r="D1274" s="497">
        <v>46763</v>
      </c>
      <c r="E1274" s="466" t="s">
        <v>618</v>
      </c>
      <c r="F1274" s="466">
        <v>54864818.609999999</v>
      </c>
      <c r="G1274" s="478">
        <v>39356.60000000149</v>
      </c>
      <c r="H1274" s="466">
        <v>0</v>
      </c>
      <c r="I1274" s="479">
        <v>0</v>
      </c>
    </row>
    <row r="1275" spans="1:9" ht="15.75" customHeight="1">
      <c r="A1275" s="467"/>
      <c r="B1275" s="467"/>
      <c r="C1275" s="466"/>
      <c r="D1275" s="497">
        <v>46764</v>
      </c>
      <c r="E1275" s="466" t="s">
        <v>624</v>
      </c>
      <c r="F1275" s="466">
        <v>54904175.219999999</v>
      </c>
      <c r="G1275" s="478">
        <v>39356.609999999404</v>
      </c>
      <c r="H1275" s="466">
        <v>275496.24000000209</v>
      </c>
      <c r="I1275" s="479">
        <v>550992.46999999881</v>
      </c>
    </row>
    <row r="1276" spans="1:9" ht="15.75" customHeight="1">
      <c r="A1276" s="467"/>
      <c r="B1276" s="467"/>
      <c r="C1276" s="466"/>
      <c r="D1276" s="497">
        <v>46765</v>
      </c>
      <c r="E1276" s="466" t="s">
        <v>623</v>
      </c>
      <c r="F1276" s="466">
        <v>54943531.82</v>
      </c>
      <c r="G1276" s="478">
        <v>39356.60000000149</v>
      </c>
      <c r="H1276" s="466">
        <v>0</v>
      </c>
      <c r="I1276" s="479">
        <v>0</v>
      </c>
    </row>
    <row r="1277" spans="1:9" ht="15.75" customHeight="1">
      <c r="A1277" s="467"/>
      <c r="B1277" s="467"/>
      <c r="C1277" s="466"/>
      <c r="D1277" s="497">
        <v>46766</v>
      </c>
      <c r="E1277" s="466" t="s">
        <v>622</v>
      </c>
      <c r="F1277" s="466">
        <v>54982888.43</v>
      </c>
      <c r="G1277" s="478">
        <v>39356.609999999404</v>
      </c>
      <c r="H1277" s="466">
        <v>0</v>
      </c>
      <c r="I1277" s="479">
        <v>0</v>
      </c>
    </row>
    <row r="1278" spans="1:9" ht="15.75" customHeight="1">
      <c r="A1278" s="467"/>
      <c r="B1278" s="467"/>
      <c r="C1278" s="466"/>
      <c r="D1278" s="497">
        <v>46767</v>
      </c>
      <c r="E1278" s="466" t="s">
        <v>621</v>
      </c>
      <c r="F1278" s="466">
        <v>55022245.030000001</v>
      </c>
      <c r="G1278" s="478">
        <v>39356.60000000149</v>
      </c>
      <c r="H1278" s="466">
        <v>0</v>
      </c>
      <c r="I1278" s="479">
        <v>0</v>
      </c>
    </row>
    <row r="1279" spans="1:9" ht="15.75" customHeight="1">
      <c r="A1279" s="467"/>
      <c r="B1279" s="467"/>
      <c r="C1279" s="466"/>
      <c r="D1279" s="497">
        <v>46768</v>
      </c>
      <c r="E1279" s="466" t="s">
        <v>620</v>
      </c>
      <c r="F1279" s="466">
        <v>55061601.640000001</v>
      </c>
      <c r="G1279" s="478">
        <v>39356.609999999404</v>
      </c>
      <c r="H1279" s="466">
        <v>0</v>
      </c>
      <c r="I1279" s="479">
        <v>0</v>
      </c>
    </row>
    <row r="1280" spans="1:9" ht="15.75" customHeight="1">
      <c r="A1280" s="467"/>
      <c r="B1280" s="467"/>
      <c r="C1280" s="466"/>
      <c r="D1280" s="497">
        <v>46769</v>
      </c>
      <c r="E1280" s="466" t="s">
        <v>619</v>
      </c>
      <c r="F1280" s="466">
        <v>55100958.240000002</v>
      </c>
      <c r="G1280" s="478">
        <v>39356.60000000149</v>
      </c>
      <c r="H1280" s="466">
        <v>0</v>
      </c>
      <c r="I1280" s="479">
        <v>0</v>
      </c>
    </row>
    <row r="1281" spans="1:9" ht="15.75" customHeight="1">
      <c r="A1281" s="467"/>
      <c r="B1281" s="467"/>
      <c r="C1281" s="466"/>
      <c r="D1281" s="497">
        <v>46770</v>
      </c>
      <c r="E1281" s="466" t="s">
        <v>618</v>
      </c>
      <c r="F1281" s="466">
        <v>55140314.850000001</v>
      </c>
      <c r="G1281" s="478">
        <v>39356.609999999404</v>
      </c>
      <c r="H1281" s="466">
        <v>0</v>
      </c>
      <c r="I1281" s="479">
        <v>0</v>
      </c>
    </row>
    <row r="1282" spans="1:9" ht="15.75" customHeight="1">
      <c r="A1282" s="467"/>
      <c r="B1282" s="467"/>
      <c r="C1282" s="466"/>
      <c r="D1282" s="497">
        <v>46771</v>
      </c>
      <c r="E1282" s="466" t="s">
        <v>624</v>
      </c>
      <c r="F1282" s="466">
        <v>55179671.450000003</v>
      </c>
      <c r="G1282" s="478">
        <v>39356.60000000149</v>
      </c>
      <c r="H1282" s="466">
        <v>275496.23000000417</v>
      </c>
      <c r="I1282" s="479">
        <v>0</v>
      </c>
    </row>
    <row r="1283" spans="1:9" ht="15.75" customHeight="1">
      <c r="A1283" s="467"/>
      <c r="B1283" s="467"/>
      <c r="C1283" s="466"/>
      <c r="D1283" s="497">
        <v>46772</v>
      </c>
      <c r="E1283" s="466" t="s">
        <v>623</v>
      </c>
      <c r="F1283" s="466">
        <v>55219028.060000002</v>
      </c>
      <c r="G1283" s="478">
        <v>39356.609999999404</v>
      </c>
      <c r="H1283" s="466">
        <v>0</v>
      </c>
      <c r="I1283" s="479">
        <v>0</v>
      </c>
    </row>
    <row r="1284" spans="1:9" ht="15.75" customHeight="1">
      <c r="A1284" s="467"/>
      <c r="B1284" s="467"/>
      <c r="C1284" s="466"/>
      <c r="D1284" s="497">
        <v>46773</v>
      </c>
      <c r="E1284" s="466" t="s">
        <v>622</v>
      </c>
      <c r="F1284" s="466">
        <v>55258384.659999996</v>
      </c>
      <c r="G1284" s="478">
        <v>39356.59999999404</v>
      </c>
      <c r="H1284" s="466">
        <v>0</v>
      </c>
      <c r="I1284" s="479">
        <v>0</v>
      </c>
    </row>
    <row r="1285" spans="1:9" ht="15.75" customHeight="1">
      <c r="A1285" s="467"/>
      <c r="B1285" s="467"/>
      <c r="C1285" s="466"/>
      <c r="D1285" s="497">
        <v>46774</v>
      </c>
      <c r="E1285" s="466" t="s">
        <v>621</v>
      </c>
      <c r="F1285" s="466">
        <v>55297741.270000003</v>
      </c>
      <c r="G1285" s="478">
        <v>39356.610000006855</v>
      </c>
      <c r="H1285" s="466">
        <v>0</v>
      </c>
      <c r="I1285" s="479">
        <v>0</v>
      </c>
    </row>
    <row r="1286" spans="1:9" ht="15.75" customHeight="1">
      <c r="A1286" s="467"/>
      <c r="B1286" s="467"/>
      <c r="C1286" s="466"/>
      <c r="D1286" s="497">
        <v>46775</v>
      </c>
      <c r="E1286" s="466" t="s">
        <v>620</v>
      </c>
      <c r="F1286" s="466">
        <v>55337097.869999997</v>
      </c>
      <c r="G1286" s="478">
        <v>39356.59999999404</v>
      </c>
      <c r="H1286" s="466">
        <v>0</v>
      </c>
      <c r="I1286" s="479">
        <v>0</v>
      </c>
    </row>
    <row r="1287" spans="1:9" ht="15.75" customHeight="1">
      <c r="A1287" s="467"/>
      <c r="B1287" s="467"/>
      <c r="C1287" s="466"/>
      <c r="D1287" s="497">
        <v>46776</v>
      </c>
      <c r="E1287" s="466" t="s">
        <v>619</v>
      </c>
      <c r="F1287" s="466">
        <v>55376454.479999997</v>
      </c>
      <c r="G1287" s="478">
        <v>39356.609999999404</v>
      </c>
      <c r="H1287" s="466">
        <v>0</v>
      </c>
      <c r="I1287" s="479">
        <v>0</v>
      </c>
    </row>
    <row r="1288" spans="1:9" ht="15.75" customHeight="1">
      <c r="A1288" s="467"/>
      <c r="B1288" s="467"/>
      <c r="C1288" s="466"/>
      <c r="D1288" s="497">
        <v>46777</v>
      </c>
      <c r="E1288" s="466" t="s">
        <v>618</v>
      </c>
      <c r="F1288" s="466">
        <v>55415811.079999998</v>
      </c>
      <c r="G1288" s="478">
        <v>39356.60000000149</v>
      </c>
      <c r="H1288" s="466">
        <v>0</v>
      </c>
      <c r="I1288" s="479">
        <v>0</v>
      </c>
    </row>
    <row r="1289" spans="1:9" ht="15.75" customHeight="1">
      <c r="A1289" s="467"/>
      <c r="B1289" s="467"/>
      <c r="C1289" s="466"/>
      <c r="D1289" s="497">
        <v>46778</v>
      </c>
      <c r="E1289" s="466" t="s">
        <v>624</v>
      </c>
      <c r="F1289" s="466">
        <v>55455167.689999998</v>
      </c>
      <c r="G1289" s="478">
        <v>39356.609999999404</v>
      </c>
      <c r="H1289" s="466">
        <v>275496.23999999464</v>
      </c>
      <c r="I1289" s="479">
        <v>550992.46999999881</v>
      </c>
    </row>
    <row r="1290" spans="1:9" ht="15.75" customHeight="1">
      <c r="A1290" s="467"/>
      <c r="B1290" s="467"/>
      <c r="C1290" s="466"/>
      <c r="D1290" s="497">
        <v>46779</v>
      </c>
      <c r="E1290" s="466" t="s">
        <v>623</v>
      </c>
      <c r="F1290" s="466">
        <v>55494524.289999999</v>
      </c>
      <c r="G1290" s="478">
        <v>39356.60000000149</v>
      </c>
      <c r="H1290" s="466">
        <v>0</v>
      </c>
      <c r="I1290" s="479">
        <v>0</v>
      </c>
    </row>
    <row r="1291" spans="1:9" ht="15.75" customHeight="1">
      <c r="A1291" s="467"/>
      <c r="B1291" s="467"/>
      <c r="C1291" s="466"/>
      <c r="D1291" s="497">
        <v>46780</v>
      </c>
      <c r="E1291" s="466" t="s">
        <v>622</v>
      </c>
      <c r="F1291" s="466">
        <v>55533880.899999999</v>
      </c>
      <c r="G1291" s="478">
        <v>39356.609999999404</v>
      </c>
      <c r="H1291" s="466">
        <v>0</v>
      </c>
      <c r="I1291" s="479">
        <v>0</v>
      </c>
    </row>
    <row r="1292" spans="1:9" ht="15.75" customHeight="1">
      <c r="A1292" s="467"/>
      <c r="B1292" s="467"/>
      <c r="C1292" s="466"/>
      <c r="D1292" s="497">
        <v>46781</v>
      </c>
      <c r="E1292" s="466" t="s">
        <v>621</v>
      </c>
      <c r="F1292" s="466">
        <v>55573237.5</v>
      </c>
      <c r="G1292" s="478">
        <v>39356.60000000149</v>
      </c>
      <c r="H1292" s="466">
        <v>0</v>
      </c>
      <c r="I1292" s="479">
        <v>0</v>
      </c>
    </row>
    <row r="1293" spans="1:9" ht="15.75" customHeight="1">
      <c r="A1293" s="467"/>
      <c r="B1293" s="467"/>
      <c r="C1293" s="466"/>
      <c r="D1293" s="497">
        <v>46782</v>
      </c>
      <c r="E1293" s="466" t="s">
        <v>620</v>
      </c>
      <c r="F1293" s="466">
        <v>55612594.109999999</v>
      </c>
      <c r="G1293" s="478">
        <v>39356.609999999404</v>
      </c>
      <c r="H1293" s="466">
        <v>0</v>
      </c>
      <c r="I1293" s="479">
        <v>0</v>
      </c>
    </row>
    <row r="1294" spans="1:9" ht="15.75" customHeight="1">
      <c r="A1294" s="467"/>
      <c r="B1294" s="467"/>
      <c r="C1294" s="466"/>
      <c r="D1294" s="497">
        <v>46783</v>
      </c>
      <c r="E1294" s="466" t="s">
        <v>619</v>
      </c>
      <c r="F1294" s="466">
        <v>55651950.710000001</v>
      </c>
      <c r="G1294" s="478">
        <v>39356.60000000149</v>
      </c>
      <c r="H1294" s="466">
        <v>0</v>
      </c>
      <c r="I1294" s="479">
        <v>0</v>
      </c>
    </row>
    <row r="1295" spans="1:9" ht="15.75" customHeight="1">
      <c r="A1295" s="467"/>
      <c r="B1295" s="467"/>
      <c r="C1295" s="466"/>
      <c r="D1295" s="497">
        <v>46784</v>
      </c>
      <c r="E1295" s="466" t="s">
        <v>618</v>
      </c>
      <c r="F1295" s="466">
        <v>55691307.32</v>
      </c>
      <c r="G1295" s="478">
        <v>39356.609999999404</v>
      </c>
      <c r="H1295" s="466">
        <v>0</v>
      </c>
      <c r="I1295" s="479">
        <v>0</v>
      </c>
    </row>
    <row r="1296" spans="1:9" ht="15.75" customHeight="1">
      <c r="A1296" s="467"/>
      <c r="B1296" s="467"/>
      <c r="C1296" s="466"/>
      <c r="D1296" s="497">
        <v>46785</v>
      </c>
      <c r="E1296" s="466" t="s">
        <v>624</v>
      </c>
      <c r="F1296" s="466">
        <v>55730663.920000002</v>
      </c>
      <c r="G1296" s="478">
        <v>39356.60000000149</v>
      </c>
      <c r="H1296" s="466">
        <v>275496.23000000417</v>
      </c>
      <c r="I1296" s="479">
        <v>0</v>
      </c>
    </row>
    <row r="1297" spans="1:9" ht="15.75" customHeight="1">
      <c r="A1297" s="467"/>
      <c r="B1297" s="467"/>
      <c r="C1297" s="466"/>
      <c r="D1297" s="497">
        <v>46786</v>
      </c>
      <c r="E1297" s="466" t="s">
        <v>623</v>
      </c>
      <c r="F1297" s="466">
        <v>55770020.530000001</v>
      </c>
      <c r="G1297" s="478">
        <v>39356.609999999404</v>
      </c>
      <c r="H1297" s="466">
        <v>0</v>
      </c>
      <c r="I1297" s="479">
        <v>0</v>
      </c>
    </row>
    <row r="1298" spans="1:9" ht="15.75" customHeight="1">
      <c r="A1298" s="467"/>
      <c r="B1298" s="467"/>
      <c r="C1298" s="466"/>
      <c r="D1298" s="497">
        <v>46787</v>
      </c>
      <c r="E1298" s="466" t="s">
        <v>622</v>
      </c>
      <c r="F1298" s="466">
        <v>55809377.130000003</v>
      </c>
      <c r="G1298" s="478">
        <v>39356.60000000149</v>
      </c>
      <c r="H1298" s="466">
        <v>0</v>
      </c>
      <c r="I1298" s="479">
        <v>0</v>
      </c>
    </row>
    <row r="1299" spans="1:9" ht="15.75" customHeight="1">
      <c r="A1299" s="467"/>
      <c r="B1299" s="467"/>
      <c r="C1299" s="466"/>
      <c r="D1299" s="497">
        <v>46788</v>
      </c>
      <c r="E1299" s="466" t="s">
        <v>621</v>
      </c>
      <c r="F1299" s="466">
        <v>55848733.740000002</v>
      </c>
      <c r="G1299" s="478">
        <v>39356.609999999404</v>
      </c>
      <c r="H1299" s="466">
        <v>0</v>
      </c>
      <c r="I1299" s="479">
        <v>0</v>
      </c>
    </row>
    <row r="1300" spans="1:9" ht="15.75" customHeight="1">
      <c r="A1300" s="467"/>
      <c r="B1300" s="467"/>
      <c r="C1300" s="466"/>
      <c r="D1300" s="497">
        <v>46789</v>
      </c>
      <c r="E1300" s="466" t="s">
        <v>620</v>
      </c>
      <c r="F1300" s="466">
        <v>55888090.340000004</v>
      </c>
      <c r="G1300" s="478">
        <v>39356.60000000149</v>
      </c>
      <c r="H1300" s="466">
        <v>0</v>
      </c>
      <c r="I1300" s="479">
        <v>0</v>
      </c>
    </row>
    <row r="1301" spans="1:9" ht="15.75" customHeight="1">
      <c r="A1301" s="467"/>
      <c r="B1301" s="467"/>
      <c r="C1301" s="466"/>
      <c r="D1301" s="497">
        <v>46790</v>
      </c>
      <c r="E1301" s="466" t="s">
        <v>619</v>
      </c>
      <c r="F1301" s="466">
        <v>55927446.950000003</v>
      </c>
      <c r="G1301" s="478">
        <v>39356.609999999404</v>
      </c>
      <c r="H1301" s="466">
        <v>0</v>
      </c>
      <c r="I1301" s="479">
        <v>0</v>
      </c>
    </row>
    <row r="1302" spans="1:9" ht="15.75" customHeight="1">
      <c r="A1302" s="467"/>
      <c r="B1302" s="467"/>
      <c r="C1302" s="466"/>
      <c r="D1302" s="497">
        <v>46791</v>
      </c>
      <c r="E1302" s="466" t="s">
        <v>618</v>
      </c>
      <c r="F1302" s="466">
        <v>55966803.549999997</v>
      </c>
      <c r="G1302" s="478">
        <v>39356.59999999404</v>
      </c>
      <c r="H1302" s="466">
        <v>0</v>
      </c>
      <c r="I1302" s="479">
        <v>0</v>
      </c>
    </row>
    <row r="1303" spans="1:9" ht="15.75" customHeight="1">
      <c r="A1303" s="467"/>
      <c r="B1303" s="467"/>
      <c r="C1303" s="466"/>
      <c r="D1303" s="497">
        <v>46792</v>
      </c>
      <c r="E1303" s="466" t="s">
        <v>624</v>
      </c>
      <c r="F1303" s="466">
        <v>56006160.159999996</v>
      </c>
      <c r="G1303" s="478">
        <v>39356.609999999404</v>
      </c>
      <c r="H1303" s="466">
        <v>275496.23999999464</v>
      </c>
      <c r="I1303" s="479">
        <v>550992.46999999881</v>
      </c>
    </row>
    <row r="1304" spans="1:9" ht="15.75" customHeight="1">
      <c r="A1304" s="467"/>
      <c r="B1304" s="467"/>
      <c r="C1304" s="466"/>
      <c r="D1304" s="497">
        <v>46793</v>
      </c>
      <c r="E1304" s="466" t="s">
        <v>623</v>
      </c>
      <c r="F1304" s="466">
        <v>56045516.759999998</v>
      </c>
      <c r="G1304" s="478">
        <v>39356.60000000149</v>
      </c>
      <c r="H1304" s="466">
        <v>0</v>
      </c>
      <c r="I1304" s="479">
        <v>0</v>
      </c>
    </row>
    <row r="1305" spans="1:9" ht="15.75" customHeight="1">
      <c r="A1305" s="467"/>
      <c r="B1305" s="467"/>
      <c r="C1305" s="466"/>
      <c r="D1305" s="497">
        <v>46794</v>
      </c>
      <c r="E1305" s="466" t="s">
        <v>622</v>
      </c>
      <c r="F1305" s="466">
        <v>56084873.369999997</v>
      </c>
      <c r="G1305" s="478">
        <v>39356.609999999404</v>
      </c>
      <c r="H1305" s="466">
        <v>0</v>
      </c>
      <c r="I1305" s="479">
        <v>0</v>
      </c>
    </row>
    <row r="1306" spans="1:9" ht="15.75" customHeight="1">
      <c r="A1306" s="467"/>
      <c r="B1306" s="467"/>
      <c r="C1306" s="466"/>
      <c r="D1306" s="497">
        <v>46795</v>
      </c>
      <c r="E1306" s="466" t="s">
        <v>621</v>
      </c>
      <c r="F1306" s="466">
        <v>56124229.969999999</v>
      </c>
      <c r="G1306" s="478">
        <v>39356.60000000149</v>
      </c>
      <c r="H1306" s="466">
        <v>0</v>
      </c>
      <c r="I1306" s="479">
        <v>0</v>
      </c>
    </row>
    <row r="1307" spans="1:9" ht="15.75" customHeight="1">
      <c r="A1307" s="467"/>
      <c r="B1307" s="467"/>
      <c r="C1307" s="466"/>
      <c r="D1307" s="497">
        <v>46796</v>
      </c>
      <c r="E1307" s="466" t="s">
        <v>620</v>
      </c>
      <c r="F1307" s="466">
        <v>56163586.579999998</v>
      </c>
      <c r="G1307" s="478">
        <v>39356.609999999404</v>
      </c>
      <c r="H1307" s="466">
        <v>0</v>
      </c>
      <c r="I1307" s="479">
        <v>0</v>
      </c>
    </row>
    <row r="1308" spans="1:9" ht="15.75" customHeight="1">
      <c r="A1308" s="467"/>
      <c r="B1308" s="467"/>
      <c r="C1308" s="466"/>
      <c r="D1308" s="497">
        <v>46797</v>
      </c>
      <c r="E1308" s="466" t="s">
        <v>619</v>
      </c>
      <c r="F1308" s="466">
        <v>56202943.18</v>
      </c>
      <c r="G1308" s="478">
        <v>39356.60000000149</v>
      </c>
      <c r="H1308" s="466">
        <v>0</v>
      </c>
      <c r="I1308" s="479">
        <v>0</v>
      </c>
    </row>
    <row r="1309" spans="1:9" ht="15.75" customHeight="1">
      <c r="A1309" s="467"/>
      <c r="B1309" s="467"/>
      <c r="C1309" s="466"/>
      <c r="D1309" s="497">
        <v>46798</v>
      </c>
      <c r="E1309" s="466" t="s">
        <v>618</v>
      </c>
      <c r="F1309" s="466">
        <v>56242299.789999999</v>
      </c>
      <c r="G1309" s="478">
        <v>39356.609999999404</v>
      </c>
      <c r="H1309" s="466">
        <v>0</v>
      </c>
      <c r="I1309" s="479">
        <v>0</v>
      </c>
    </row>
    <row r="1310" spans="1:9" ht="15.75" customHeight="1">
      <c r="A1310" s="467"/>
      <c r="B1310" s="467"/>
      <c r="C1310" s="466"/>
      <c r="D1310" s="497">
        <v>46799</v>
      </c>
      <c r="E1310" s="466" t="s">
        <v>624</v>
      </c>
      <c r="F1310" s="466">
        <v>56281656.390000001</v>
      </c>
      <c r="G1310" s="478">
        <v>39356.60000000149</v>
      </c>
      <c r="H1310" s="466">
        <v>275496.23000000417</v>
      </c>
      <c r="I1310" s="479">
        <v>0</v>
      </c>
    </row>
    <row r="1311" spans="1:9" ht="15.75" customHeight="1">
      <c r="A1311" s="467"/>
      <c r="B1311" s="467"/>
      <c r="C1311" s="466"/>
      <c r="D1311" s="497">
        <v>46800</v>
      </c>
      <c r="E1311" s="466" t="s">
        <v>623</v>
      </c>
      <c r="F1311" s="466">
        <v>56321013</v>
      </c>
      <c r="G1311" s="478">
        <v>39356.609999999404</v>
      </c>
      <c r="H1311" s="466">
        <v>0</v>
      </c>
      <c r="I1311" s="479">
        <v>0</v>
      </c>
    </row>
    <row r="1312" spans="1:9" ht="15.75" customHeight="1">
      <c r="A1312" s="467"/>
      <c r="B1312" s="467"/>
      <c r="C1312" s="466"/>
      <c r="D1312" s="497">
        <v>46801</v>
      </c>
      <c r="E1312" s="466" t="s">
        <v>622</v>
      </c>
      <c r="F1312" s="466">
        <v>56360369.600000001</v>
      </c>
      <c r="G1312" s="478">
        <v>39356.60000000149</v>
      </c>
      <c r="H1312" s="466">
        <v>0</v>
      </c>
      <c r="I1312" s="479">
        <v>0</v>
      </c>
    </row>
    <row r="1313" spans="1:9" ht="15.75" customHeight="1">
      <c r="A1313" s="467"/>
      <c r="B1313" s="467"/>
      <c r="C1313" s="466"/>
      <c r="D1313" s="497">
        <v>46802</v>
      </c>
      <c r="E1313" s="466" t="s">
        <v>621</v>
      </c>
      <c r="F1313" s="466">
        <v>56399726.210000001</v>
      </c>
      <c r="G1313" s="478">
        <v>39356.609999999404</v>
      </c>
      <c r="H1313" s="466">
        <v>0</v>
      </c>
      <c r="I1313" s="479">
        <v>0</v>
      </c>
    </row>
    <row r="1314" spans="1:9" ht="15.75" customHeight="1">
      <c r="A1314" s="467"/>
      <c r="B1314" s="467"/>
      <c r="C1314" s="466"/>
      <c r="D1314" s="497">
        <v>46803</v>
      </c>
      <c r="E1314" s="466" t="s">
        <v>620</v>
      </c>
      <c r="F1314" s="466">
        <v>56439082.810000002</v>
      </c>
      <c r="G1314" s="478">
        <v>39356.60000000149</v>
      </c>
      <c r="H1314" s="466">
        <v>0</v>
      </c>
      <c r="I1314" s="479">
        <v>0</v>
      </c>
    </row>
    <row r="1315" spans="1:9" ht="15.75" customHeight="1">
      <c r="A1315" s="467"/>
      <c r="B1315" s="467"/>
      <c r="C1315" s="466"/>
      <c r="D1315" s="497">
        <v>46804</v>
      </c>
      <c r="E1315" s="466" t="s">
        <v>619</v>
      </c>
      <c r="F1315" s="466">
        <v>56478439.420000002</v>
      </c>
      <c r="G1315" s="478">
        <v>39356.609999999404</v>
      </c>
      <c r="H1315" s="466">
        <v>0</v>
      </c>
      <c r="I1315" s="479">
        <v>0</v>
      </c>
    </row>
    <row r="1316" spans="1:9" ht="15.75" customHeight="1">
      <c r="A1316" s="467"/>
      <c r="B1316" s="467"/>
      <c r="C1316" s="466"/>
      <c r="D1316" s="497">
        <v>46805</v>
      </c>
      <c r="E1316" s="466" t="s">
        <v>618</v>
      </c>
      <c r="F1316" s="466">
        <v>56517796.030000001</v>
      </c>
      <c r="G1316" s="478">
        <v>39356.609999999404</v>
      </c>
      <c r="H1316" s="466">
        <v>0</v>
      </c>
      <c r="I1316" s="479">
        <v>0</v>
      </c>
    </row>
    <row r="1317" spans="1:9" ht="15.75" customHeight="1">
      <c r="A1317" s="467"/>
      <c r="B1317" s="467"/>
      <c r="C1317" s="466"/>
      <c r="D1317" s="497">
        <v>46806</v>
      </c>
      <c r="E1317" s="466" t="s">
        <v>624</v>
      </c>
      <c r="F1317" s="466">
        <v>56557152.630000003</v>
      </c>
      <c r="G1317" s="478">
        <v>39356.60000000149</v>
      </c>
      <c r="H1317" s="466">
        <v>275496.24000000209</v>
      </c>
      <c r="I1317" s="479">
        <v>550992.47000000626</v>
      </c>
    </row>
    <row r="1318" spans="1:9" ht="15.75" customHeight="1">
      <c r="A1318" s="467"/>
      <c r="B1318" s="467"/>
      <c r="C1318" s="466"/>
      <c r="D1318" s="497">
        <v>46807</v>
      </c>
      <c r="E1318" s="466" t="s">
        <v>623</v>
      </c>
      <c r="F1318" s="466">
        <v>56596509.240000002</v>
      </c>
      <c r="G1318" s="478">
        <v>39356.609999999404</v>
      </c>
      <c r="H1318" s="466">
        <v>0</v>
      </c>
      <c r="I1318" s="479">
        <v>0</v>
      </c>
    </row>
    <row r="1319" spans="1:9" ht="15.75" customHeight="1">
      <c r="A1319" s="467"/>
      <c r="B1319" s="467"/>
      <c r="C1319" s="466"/>
      <c r="D1319" s="497">
        <v>46808</v>
      </c>
      <c r="E1319" s="466" t="s">
        <v>622</v>
      </c>
      <c r="F1319" s="466">
        <v>56635865.840000004</v>
      </c>
      <c r="G1319" s="478">
        <v>39356.60000000149</v>
      </c>
      <c r="H1319" s="466">
        <v>0</v>
      </c>
      <c r="I1319" s="479">
        <v>0</v>
      </c>
    </row>
    <row r="1320" spans="1:9" ht="15.75" customHeight="1">
      <c r="A1320" s="467"/>
      <c r="B1320" s="467"/>
      <c r="C1320" s="466"/>
      <c r="D1320" s="497">
        <v>46809</v>
      </c>
      <c r="E1320" s="466" t="s">
        <v>621</v>
      </c>
      <c r="F1320" s="466">
        <v>56675222.450000003</v>
      </c>
      <c r="G1320" s="478">
        <v>39356.609999999404</v>
      </c>
      <c r="H1320" s="466">
        <v>0</v>
      </c>
      <c r="I1320" s="479">
        <v>0</v>
      </c>
    </row>
    <row r="1321" spans="1:9" ht="15.75" customHeight="1">
      <c r="A1321" s="467"/>
      <c r="B1321" s="467"/>
      <c r="C1321" s="466"/>
      <c r="D1321" s="497">
        <v>46810</v>
      </c>
      <c r="E1321" s="466" t="s">
        <v>620</v>
      </c>
      <c r="F1321" s="466">
        <v>56714579.049999997</v>
      </c>
      <c r="G1321" s="478">
        <v>39356.59999999404</v>
      </c>
      <c r="H1321" s="466">
        <v>0</v>
      </c>
      <c r="I1321" s="479">
        <v>0</v>
      </c>
    </row>
    <row r="1322" spans="1:9" ht="15.75" customHeight="1">
      <c r="A1322" s="467"/>
      <c r="B1322" s="467"/>
      <c r="C1322" s="466"/>
      <c r="D1322" s="497">
        <v>46811</v>
      </c>
      <c r="E1322" s="466" t="s">
        <v>619</v>
      </c>
      <c r="F1322" s="466">
        <v>56753935.659999996</v>
      </c>
      <c r="G1322" s="478">
        <v>39356.609999999404</v>
      </c>
      <c r="H1322" s="466">
        <v>0</v>
      </c>
      <c r="I1322" s="479">
        <v>0</v>
      </c>
    </row>
    <row r="1323" spans="1:9" ht="15.75" customHeight="1">
      <c r="A1323" s="467"/>
      <c r="B1323" s="467"/>
      <c r="C1323" s="466"/>
      <c r="D1323" s="497">
        <v>46812</v>
      </c>
      <c r="E1323" s="466" t="s">
        <v>618</v>
      </c>
      <c r="F1323" s="466">
        <v>56793292.259999998</v>
      </c>
      <c r="G1323" s="478">
        <v>39356.60000000149</v>
      </c>
      <c r="H1323" s="466">
        <v>0</v>
      </c>
      <c r="I1323" s="479">
        <v>0</v>
      </c>
    </row>
    <row r="1324" spans="1:9" ht="15.75" customHeight="1">
      <c r="A1324" s="467"/>
      <c r="B1324" s="467"/>
      <c r="C1324" s="466"/>
      <c r="D1324" s="497">
        <v>46813</v>
      </c>
      <c r="E1324" s="466" t="s">
        <v>624</v>
      </c>
      <c r="F1324" s="466">
        <v>56832648.869999997</v>
      </c>
      <c r="G1324" s="478">
        <v>39356.609999999404</v>
      </c>
      <c r="H1324" s="466">
        <v>275496.23999999464</v>
      </c>
      <c r="I1324" s="479">
        <v>0</v>
      </c>
    </row>
    <row r="1325" spans="1:9" ht="15.75" customHeight="1">
      <c r="A1325" s="467"/>
      <c r="B1325" s="467"/>
      <c r="C1325" s="466"/>
      <c r="D1325" s="497">
        <v>46814</v>
      </c>
      <c r="E1325" s="466" t="s">
        <v>623</v>
      </c>
      <c r="F1325" s="466">
        <v>56872005.469999999</v>
      </c>
      <c r="G1325" s="478">
        <v>39356.60000000149</v>
      </c>
      <c r="H1325" s="466">
        <v>0</v>
      </c>
      <c r="I1325" s="479">
        <v>0</v>
      </c>
    </row>
    <row r="1326" spans="1:9" ht="15.75" customHeight="1">
      <c r="A1326" s="467"/>
      <c r="B1326" s="467"/>
      <c r="C1326" s="466"/>
      <c r="D1326" s="497">
        <v>46815</v>
      </c>
      <c r="E1326" s="466" t="s">
        <v>622</v>
      </c>
      <c r="F1326" s="466">
        <v>56911362.079999998</v>
      </c>
      <c r="G1326" s="478">
        <v>39356.609999999404</v>
      </c>
      <c r="H1326" s="466">
        <v>0</v>
      </c>
      <c r="I1326" s="479">
        <v>0</v>
      </c>
    </row>
    <row r="1327" spans="1:9" ht="15.75" customHeight="1">
      <c r="A1327" s="467"/>
      <c r="B1327" s="467"/>
      <c r="C1327" s="466"/>
      <c r="D1327" s="497">
        <v>46816</v>
      </c>
      <c r="E1327" s="466" t="s">
        <v>621</v>
      </c>
      <c r="F1327" s="466">
        <v>56950718.68</v>
      </c>
      <c r="G1327" s="478">
        <v>39356.60000000149</v>
      </c>
      <c r="H1327" s="466">
        <v>0</v>
      </c>
      <c r="I1327" s="479">
        <v>0</v>
      </c>
    </row>
    <row r="1328" spans="1:9" ht="15.75" customHeight="1">
      <c r="A1328" s="467"/>
      <c r="B1328" s="467"/>
      <c r="C1328" s="466"/>
      <c r="D1328" s="497">
        <v>46817</v>
      </c>
      <c r="E1328" s="466" t="s">
        <v>620</v>
      </c>
      <c r="F1328" s="466">
        <v>56990075.289999999</v>
      </c>
      <c r="G1328" s="478">
        <v>39356.609999999404</v>
      </c>
      <c r="H1328" s="466">
        <v>0</v>
      </c>
      <c r="I1328" s="479">
        <v>0</v>
      </c>
    </row>
    <row r="1329" spans="1:9" ht="15.75" customHeight="1">
      <c r="A1329" s="467"/>
      <c r="B1329" s="467"/>
      <c r="C1329" s="466"/>
      <c r="D1329" s="497">
        <v>46818</v>
      </c>
      <c r="E1329" s="466" t="s">
        <v>619</v>
      </c>
      <c r="F1329" s="466">
        <v>57029431.890000001</v>
      </c>
      <c r="G1329" s="478">
        <v>39356.60000000149</v>
      </c>
      <c r="H1329" s="466">
        <v>0</v>
      </c>
      <c r="I1329" s="479">
        <v>0</v>
      </c>
    </row>
    <row r="1330" spans="1:9" ht="15.75" customHeight="1">
      <c r="A1330" s="467"/>
      <c r="B1330" s="467"/>
      <c r="C1330" s="466"/>
      <c r="D1330" s="497">
        <v>46819</v>
      </c>
      <c r="E1330" s="466" t="s">
        <v>618</v>
      </c>
      <c r="F1330" s="466">
        <v>57068788.5</v>
      </c>
      <c r="G1330" s="478">
        <v>39356.609999999404</v>
      </c>
      <c r="H1330" s="466">
        <v>0</v>
      </c>
      <c r="I1330" s="479">
        <v>0</v>
      </c>
    </row>
    <row r="1331" spans="1:9" ht="15.75" customHeight="1">
      <c r="A1331" s="467"/>
      <c r="B1331" s="467"/>
      <c r="C1331" s="466"/>
      <c r="D1331" s="497">
        <v>46820</v>
      </c>
      <c r="E1331" s="466" t="s">
        <v>624</v>
      </c>
      <c r="F1331" s="466">
        <v>57108145.100000001</v>
      </c>
      <c r="G1331" s="478">
        <v>39356.60000000149</v>
      </c>
      <c r="H1331" s="466">
        <v>275496.23000000417</v>
      </c>
      <c r="I1331" s="479">
        <v>550992.46999999881</v>
      </c>
    </row>
    <row r="1332" spans="1:9" ht="15.75" customHeight="1">
      <c r="A1332" s="467"/>
      <c r="B1332" s="467"/>
      <c r="C1332" s="466"/>
      <c r="D1332" s="497">
        <v>46821</v>
      </c>
      <c r="E1332" s="466" t="s">
        <v>623</v>
      </c>
      <c r="F1332" s="466">
        <v>57147501.710000001</v>
      </c>
      <c r="G1332" s="478">
        <v>39356.609999999404</v>
      </c>
      <c r="H1332" s="466">
        <v>0</v>
      </c>
      <c r="I1332" s="479">
        <v>0</v>
      </c>
    </row>
    <row r="1333" spans="1:9" ht="15.75" customHeight="1">
      <c r="A1333" s="467"/>
      <c r="B1333" s="467"/>
      <c r="C1333" s="466"/>
      <c r="D1333" s="497">
        <v>46822</v>
      </c>
      <c r="E1333" s="466" t="s">
        <v>622</v>
      </c>
      <c r="F1333" s="466">
        <v>57186858.310000002</v>
      </c>
      <c r="G1333" s="478">
        <v>39356.60000000149</v>
      </c>
      <c r="H1333" s="466">
        <v>0</v>
      </c>
      <c r="I1333" s="479">
        <v>0</v>
      </c>
    </row>
    <row r="1334" spans="1:9" ht="15.75" customHeight="1">
      <c r="A1334" s="467"/>
      <c r="B1334" s="467"/>
      <c r="C1334" s="466"/>
      <c r="D1334" s="497">
        <v>46823</v>
      </c>
      <c r="E1334" s="466" t="s">
        <v>621</v>
      </c>
      <c r="F1334" s="466">
        <v>57226214.920000002</v>
      </c>
      <c r="G1334" s="478">
        <v>39356.609999999404</v>
      </c>
      <c r="H1334" s="466">
        <v>0</v>
      </c>
      <c r="I1334" s="479">
        <v>0</v>
      </c>
    </row>
    <row r="1335" spans="1:9" ht="15.75" customHeight="1">
      <c r="A1335" s="467"/>
      <c r="B1335" s="467"/>
      <c r="C1335" s="466"/>
      <c r="D1335" s="497">
        <v>46824</v>
      </c>
      <c r="E1335" s="466" t="s">
        <v>620</v>
      </c>
      <c r="F1335" s="466">
        <v>57265571.520000003</v>
      </c>
      <c r="G1335" s="478">
        <v>39356.60000000149</v>
      </c>
      <c r="H1335" s="466">
        <v>0</v>
      </c>
      <c r="I1335" s="479">
        <v>0</v>
      </c>
    </row>
    <row r="1336" spans="1:9" ht="15.75" customHeight="1">
      <c r="A1336" s="467"/>
      <c r="B1336" s="467"/>
      <c r="C1336" s="466"/>
      <c r="D1336" s="497">
        <v>46825</v>
      </c>
      <c r="E1336" s="466" t="s">
        <v>619</v>
      </c>
      <c r="F1336" s="466">
        <v>57304928.130000003</v>
      </c>
      <c r="G1336" s="478">
        <v>39356.609999999404</v>
      </c>
      <c r="H1336" s="466">
        <v>0</v>
      </c>
      <c r="I1336" s="479">
        <v>0</v>
      </c>
    </row>
    <row r="1337" spans="1:9" ht="15.75" customHeight="1">
      <c r="A1337" s="467"/>
      <c r="B1337" s="467"/>
      <c r="C1337" s="466"/>
      <c r="D1337" s="497">
        <v>46826</v>
      </c>
      <c r="E1337" s="466" t="s">
        <v>618</v>
      </c>
      <c r="F1337" s="466">
        <v>57344284.729999997</v>
      </c>
      <c r="G1337" s="478">
        <v>39356.59999999404</v>
      </c>
      <c r="H1337" s="466">
        <v>0</v>
      </c>
      <c r="I1337" s="479">
        <v>0</v>
      </c>
    </row>
    <row r="1338" spans="1:9" ht="15.75" customHeight="1">
      <c r="A1338" s="467"/>
      <c r="B1338" s="467"/>
      <c r="C1338" s="466"/>
      <c r="D1338" s="497">
        <v>46827</v>
      </c>
      <c r="E1338" s="466" t="s">
        <v>624</v>
      </c>
      <c r="F1338" s="466">
        <v>57383641.340000004</v>
      </c>
      <c r="G1338" s="478">
        <v>39356.610000006855</v>
      </c>
      <c r="H1338" s="466">
        <v>275496.24000000209</v>
      </c>
      <c r="I1338" s="479">
        <v>0</v>
      </c>
    </row>
    <row r="1339" spans="1:9" ht="15.75" customHeight="1">
      <c r="A1339" s="467"/>
      <c r="B1339" s="467"/>
      <c r="C1339" s="466"/>
      <c r="D1339" s="497">
        <v>46828</v>
      </c>
      <c r="E1339" s="466" t="s">
        <v>623</v>
      </c>
      <c r="F1339" s="466">
        <v>57422997.939999998</v>
      </c>
      <c r="G1339" s="478">
        <v>39356.59999999404</v>
      </c>
      <c r="H1339" s="466">
        <v>0</v>
      </c>
      <c r="I1339" s="479">
        <v>0</v>
      </c>
    </row>
    <row r="1340" spans="1:9" ht="15.75" customHeight="1">
      <c r="A1340" s="467"/>
      <c r="B1340" s="467"/>
      <c r="C1340" s="466"/>
      <c r="D1340" s="497">
        <v>46829</v>
      </c>
      <c r="E1340" s="466" t="s">
        <v>622</v>
      </c>
      <c r="F1340" s="466">
        <v>57462354.549999997</v>
      </c>
      <c r="G1340" s="478">
        <v>39356.609999999404</v>
      </c>
      <c r="H1340" s="466">
        <v>0</v>
      </c>
      <c r="I1340" s="479">
        <v>0</v>
      </c>
    </row>
    <row r="1341" spans="1:9" ht="15.75" customHeight="1">
      <c r="A1341" s="467"/>
      <c r="B1341" s="467"/>
      <c r="C1341" s="466"/>
      <c r="D1341" s="497">
        <v>46830</v>
      </c>
      <c r="E1341" s="466" t="s">
        <v>621</v>
      </c>
      <c r="F1341" s="466">
        <v>57501711.149999999</v>
      </c>
      <c r="G1341" s="478">
        <v>39356.60000000149</v>
      </c>
      <c r="H1341" s="466">
        <v>0</v>
      </c>
      <c r="I1341" s="479">
        <v>0</v>
      </c>
    </row>
    <row r="1342" spans="1:9" ht="15.75" customHeight="1">
      <c r="A1342" s="467"/>
      <c r="B1342" s="467"/>
      <c r="C1342" s="466"/>
      <c r="D1342" s="497">
        <v>46831</v>
      </c>
      <c r="E1342" s="466" t="s">
        <v>620</v>
      </c>
      <c r="F1342" s="466">
        <v>57541067.759999998</v>
      </c>
      <c r="G1342" s="478">
        <v>39356.609999999404</v>
      </c>
      <c r="H1342" s="466">
        <v>0</v>
      </c>
      <c r="I1342" s="479">
        <v>0</v>
      </c>
    </row>
    <row r="1343" spans="1:9" ht="15.75" customHeight="1">
      <c r="A1343" s="467"/>
      <c r="B1343" s="467"/>
      <c r="C1343" s="466"/>
      <c r="D1343" s="497">
        <v>46832</v>
      </c>
      <c r="E1343" s="466" t="s">
        <v>619</v>
      </c>
      <c r="F1343" s="466">
        <v>57580424.359999999</v>
      </c>
      <c r="G1343" s="478">
        <v>39356.60000000149</v>
      </c>
      <c r="H1343" s="466">
        <v>0</v>
      </c>
      <c r="I1343" s="479">
        <v>0</v>
      </c>
    </row>
    <row r="1344" spans="1:9" ht="15.75" customHeight="1">
      <c r="A1344" s="467"/>
      <c r="B1344" s="467"/>
      <c r="C1344" s="466"/>
      <c r="D1344" s="497">
        <v>46833</v>
      </c>
      <c r="E1344" s="466" t="s">
        <v>618</v>
      </c>
      <c r="F1344" s="466">
        <v>57619780.969999999</v>
      </c>
      <c r="G1344" s="478">
        <v>39356.609999999404</v>
      </c>
      <c r="H1344" s="466">
        <v>0</v>
      </c>
      <c r="I1344" s="479">
        <v>0</v>
      </c>
    </row>
    <row r="1345" spans="1:9" ht="15.75" customHeight="1">
      <c r="A1345" s="467"/>
      <c r="B1345" s="467"/>
      <c r="C1345" s="466"/>
      <c r="D1345" s="497">
        <v>46834</v>
      </c>
      <c r="E1345" s="466" t="s">
        <v>624</v>
      </c>
      <c r="F1345" s="466">
        <v>57659137.57</v>
      </c>
      <c r="G1345" s="478">
        <v>39356.60000000149</v>
      </c>
      <c r="H1345" s="466">
        <v>275496.22999999672</v>
      </c>
      <c r="I1345" s="479">
        <v>550992.46999999881</v>
      </c>
    </row>
    <row r="1346" spans="1:9" ht="15.75" customHeight="1">
      <c r="A1346" s="467"/>
      <c r="B1346" s="467"/>
      <c r="C1346" s="466"/>
      <c r="D1346" s="497">
        <v>46835</v>
      </c>
      <c r="E1346" s="466" t="s">
        <v>623</v>
      </c>
      <c r="F1346" s="466">
        <v>57698494.18</v>
      </c>
      <c r="G1346" s="478">
        <v>39356.609999999404</v>
      </c>
      <c r="H1346" s="466">
        <v>0</v>
      </c>
      <c r="I1346" s="479">
        <v>0</v>
      </c>
    </row>
    <row r="1347" spans="1:9" ht="15.75" customHeight="1">
      <c r="A1347" s="467"/>
      <c r="B1347" s="467"/>
      <c r="C1347" s="466"/>
      <c r="D1347" s="497">
        <v>46836</v>
      </c>
      <c r="E1347" s="466" t="s">
        <v>622</v>
      </c>
      <c r="F1347" s="466">
        <v>57737850.780000001</v>
      </c>
      <c r="G1347" s="478">
        <v>39356.60000000149</v>
      </c>
      <c r="H1347" s="466">
        <v>0</v>
      </c>
      <c r="I1347" s="479">
        <v>0</v>
      </c>
    </row>
    <row r="1348" spans="1:9" ht="15.75" customHeight="1">
      <c r="A1348" s="467"/>
      <c r="B1348" s="467"/>
      <c r="C1348" s="466"/>
      <c r="D1348" s="497">
        <v>46837</v>
      </c>
      <c r="E1348" s="466" t="s">
        <v>621</v>
      </c>
      <c r="F1348" s="466">
        <v>57777207.390000001</v>
      </c>
      <c r="G1348" s="478">
        <v>39356.609999999404</v>
      </c>
      <c r="H1348" s="466">
        <v>0</v>
      </c>
      <c r="I1348" s="479">
        <v>0</v>
      </c>
    </row>
    <row r="1349" spans="1:9" ht="15.75" customHeight="1">
      <c r="A1349" s="467"/>
      <c r="B1349" s="467"/>
      <c r="C1349" s="466"/>
      <c r="D1349" s="497">
        <v>46838</v>
      </c>
      <c r="E1349" s="466" t="s">
        <v>620</v>
      </c>
      <c r="F1349" s="466">
        <v>57816563.990000002</v>
      </c>
      <c r="G1349" s="478">
        <v>39356.60000000149</v>
      </c>
      <c r="H1349" s="466">
        <v>0</v>
      </c>
      <c r="I1349" s="479">
        <v>0</v>
      </c>
    </row>
    <row r="1350" spans="1:9" ht="15.75" customHeight="1">
      <c r="A1350" s="467"/>
      <c r="B1350" s="467"/>
      <c r="C1350" s="466"/>
      <c r="D1350" s="497">
        <v>46839</v>
      </c>
      <c r="E1350" s="466" t="s">
        <v>619</v>
      </c>
      <c r="F1350" s="466">
        <v>57855920.600000001</v>
      </c>
      <c r="G1350" s="478">
        <v>39356.609999999404</v>
      </c>
      <c r="H1350" s="466">
        <v>0</v>
      </c>
      <c r="I1350" s="479">
        <v>0</v>
      </c>
    </row>
    <row r="1351" spans="1:9" ht="15.75" customHeight="1">
      <c r="A1351" s="467"/>
      <c r="B1351" s="467"/>
      <c r="C1351" s="466"/>
      <c r="D1351" s="497">
        <v>46840</v>
      </c>
      <c r="E1351" s="466" t="s">
        <v>618</v>
      </c>
      <c r="F1351" s="466">
        <v>57895277.200000003</v>
      </c>
      <c r="G1351" s="478">
        <v>39356.60000000149</v>
      </c>
      <c r="H1351" s="466">
        <v>0</v>
      </c>
      <c r="I1351" s="479">
        <v>0</v>
      </c>
    </row>
    <row r="1352" spans="1:9" ht="15.75" customHeight="1">
      <c r="A1352" s="467"/>
      <c r="B1352" s="467"/>
      <c r="C1352" s="466"/>
      <c r="D1352" s="497">
        <v>46841</v>
      </c>
      <c r="E1352" s="466" t="s">
        <v>624</v>
      </c>
      <c r="F1352" s="466">
        <v>57934633.810000002</v>
      </c>
      <c r="G1352" s="478">
        <v>39356.609999999404</v>
      </c>
      <c r="H1352" s="466">
        <v>275496.24000000209</v>
      </c>
      <c r="I1352" s="479">
        <v>0</v>
      </c>
    </row>
    <row r="1353" spans="1:9" ht="15.75" customHeight="1">
      <c r="A1353" s="467"/>
      <c r="B1353" s="467"/>
      <c r="C1353" s="466"/>
      <c r="D1353" s="497">
        <v>46842</v>
      </c>
      <c r="E1353" s="466" t="s">
        <v>623</v>
      </c>
      <c r="F1353" s="466">
        <v>57973990.409999996</v>
      </c>
      <c r="G1353" s="478">
        <v>39356.59999999404</v>
      </c>
      <c r="H1353" s="466">
        <v>0</v>
      </c>
      <c r="I1353" s="479">
        <v>0</v>
      </c>
    </row>
    <row r="1354" spans="1:9" ht="15.75" customHeight="1">
      <c r="A1354" s="467"/>
      <c r="B1354" s="467"/>
      <c r="C1354" s="466"/>
      <c r="D1354" s="497">
        <v>46843</v>
      </c>
      <c r="E1354" s="466" t="s">
        <v>622</v>
      </c>
      <c r="F1354" s="466">
        <v>58013347.020000003</v>
      </c>
      <c r="G1354" s="478">
        <v>39356.610000006855</v>
      </c>
      <c r="H1354" s="466">
        <v>0</v>
      </c>
      <c r="I1354" s="479">
        <v>0</v>
      </c>
    </row>
    <row r="1355" spans="1:9" ht="15.75" customHeight="1">
      <c r="A1355" s="467"/>
      <c r="B1355" s="467"/>
      <c r="C1355" s="466"/>
      <c r="D1355" s="497">
        <v>46844</v>
      </c>
      <c r="E1355" s="466" t="s">
        <v>621</v>
      </c>
      <c r="F1355" s="466">
        <v>58052703.619999997</v>
      </c>
      <c r="G1355" s="478">
        <v>39356.59999999404</v>
      </c>
      <c r="H1355" s="466">
        <v>0</v>
      </c>
      <c r="I1355" s="479">
        <v>0</v>
      </c>
    </row>
    <row r="1356" spans="1:9" ht="15.75" customHeight="1">
      <c r="A1356" s="467"/>
      <c r="B1356" s="467"/>
      <c r="C1356" s="466"/>
      <c r="D1356" s="497">
        <v>46845</v>
      </c>
      <c r="E1356" s="466" t="s">
        <v>620</v>
      </c>
      <c r="F1356" s="466">
        <v>58092060.229999997</v>
      </c>
      <c r="G1356" s="478">
        <v>39356.609999999404</v>
      </c>
      <c r="H1356" s="466">
        <v>0</v>
      </c>
      <c r="I1356" s="479">
        <v>0</v>
      </c>
    </row>
    <row r="1357" spans="1:9" ht="15.75" customHeight="1">
      <c r="A1357" s="467"/>
      <c r="B1357" s="467"/>
      <c r="C1357" s="466"/>
      <c r="D1357" s="497">
        <v>46846</v>
      </c>
      <c r="E1357" s="466" t="s">
        <v>619</v>
      </c>
      <c r="F1357" s="466">
        <v>58131416.829999998</v>
      </c>
      <c r="G1357" s="478">
        <v>39356.60000000149</v>
      </c>
      <c r="H1357" s="466">
        <v>0</v>
      </c>
      <c r="I1357" s="479">
        <v>0</v>
      </c>
    </row>
    <row r="1358" spans="1:9" ht="15.75" customHeight="1">
      <c r="A1358" s="467"/>
      <c r="B1358" s="467"/>
      <c r="C1358" s="466"/>
      <c r="D1358" s="497">
        <v>46847</v>
      </c>
      <c r="E1358" s="466" t="s">
        <v>618</v>
      </c>
      <c r="F1358" s="466">
        <v>58170773.439999998</v>
      </c>
      <c r="G1358" s="478">
        <v>39356.609999999404</v>
      </c>
      <c r="H1358" s="466">
        <v>0</v>
      </c>
      <c r="I1358" s="479">
        <v>0</v>
      </c>
    </row>
    <row r="1359" spans="1:9" ht="15.75" customHeight="1">
      <c r="A1359" s="467"/>
      <c r="B1359" s="467"/>
      <c r="C1359" s="466"/>
      <c r="D1359" s="497">
        <v>46848</v>
      </c>
      <c r="E1359" s="466" t="s">
        <v>624</v>
      </c>
      <c r="F1359" s="466">
        <v>58210130.039999999</v>
      </c>
      <c r="G1359" s="478">
        <v>39356.60000000149</v>
      </c>
      <c r="H1359" s="466">
        <v>275496.22999999672</v>
      </c>
      <c r="I1359" s="479">
        <v>550992.46999999881</v>
      </c>
    </row>
    <row r="1360" spans="1:9" ht="15.75" customHeight="1">
      <c r="A1360" s="467"/>
      <c r="B1360" s="467"/>
      <c r="C1360" s="466"/>
      <c r="D1360" s="497">
        <v>46849</v>
      </c>
      <c r="E1360" s="466" t="s">
        <v>623</v>
      </c>
      <c r="F1360" s="466">
        <v>58249486.649999999</v>
      </c>
      <c r="G1360" s="478">
        <v>39356.609999999404</v>
      </c>
      <c r="H1360" s="466">
        <v>0</v>
      </c>
      <c r="I1360" s="479">
        <v>0</v>
      </c>
    </row>
    <row r="1361" spans="1:9" ht="15.75" customHeight="1">
      <c r="A1361" s="467"/>
      <c r="B1361" s="467"/>
      <c r="C1361" s="466"/>
      <c r="D1361" s="497">
        <v>46850</v>
      </c>
      <c r="E1361" s="466" t="s">
        <v>622</v>
      </c>
      <c r="F1361" s="466">
        <v>58288843.25</v>
      </c>
      <c r="G1361" s="478">
        <v>39356.60000000149</v>
      </c>
      <c r="H1361" s="466">
        <v>0</v>
      </c>
      <c r="I1361" s="479">
        <v>0</v>
      </c>
    </row>
    <row r="1362" spans="1:9" ht="15.75" customHeight="1">
      <c r="A1362" s="467"/>
      <c r="B1362" s="467"/>
      <c r="C1362" s="466"/>
      <c r="D1362" s="497">
        <v>46851</v>
      </c>
      <c r="E1362" s="466" t="s">
        <v>621</v>
      </c>
      <c r="F1362" s="466">
        <v>58328199.859999999</v>
      </c>
      <c r="G1362" s="478">
        <v>39356.609999999404</v>
      </c>
      <c r="H1362" s="466">
        <v>0</v>
      </c>
      <c r="I1362" s="479">
        <v>0</v>
      </c>
    </row>
    <row r="1363" spans="1:9" ht="15.75" customHeight="1">
      <c r="A1363" s="467"/>
      <c r="B1363" s="467"/>
      <c r="C1363" s="466"/>
      <c r="D1363" s="497">
        <v>46852</v>
      </c>
      <c r="E1363" s="466" t="s">
        <v>620</v>
      </c>
      <c r="F1363" s="466">
        <v>58367556.460000001</v>
      </c>
      <c r="G1363" s="478">
        <v>39356.60000000149</v>
      </c>
      <c r="H1363" s="466">
        <v>0</v>
      </c>
      <c r="I1363" s="479">
        <v>0</v>
      </c>
    </row>
    <row r="1364" spans="1:9" ht="15.75" customHeight="1">
      <c r="A1364" s="467"/>
      <c r="B1364" s="467"/>
      <c r="C1364" s="466"/>
      <c r="D1364" s="497">
        <v>46853</v>
      </c>
      <c r="E1364" s="466" t="s">
        <v>619</v>
      </c>
      <c r="F1364" s="466">
        <v>58406913.07</v>
      </c>
      <c r="G1364" s="478">
        <v>39356.609999999404</v>
      </c>
      <c r="H1364" s="466">
        <v>0</v>
      </c>
      <c r="I1364" s="479">
        <v>0</v>
      </c>
    </row>
    <row r="1365" spans="1:9" ht="15.75" customHeight="1">
      <c r="A1365" s="467"/>
      <c r="B1365" s="467"/>
      <c r="C1365" s="466"/>
      <c r="D1365" s="497">
        <v>46854</v>
      </c>
      <c r="E1365" s="466" t="s">
        <v>618</v>
      </c>
      <c r="F1365" s="466">
        <v>58446269.670000002</v>
      </c>
      <c r="G1365" s="478">
        <v>39356.60000000149</v>
      </c>
      <c r="H1365" s="466">
        <v>0</v>
      </c>
      <c r="I1365" s="479">
        <v>0</v>
      </c>
    </row>
    <row r="1366" spans="1:9" ht="15.75" customHeight="1">
      <c r="A1366" s="467"/>
      <c r="B1366" s="467"/>
      <c r="C1366" s="466"/>
      <c r="D1366" s="497">
        <v>46855</v>
      </c>
      <c r="E1366" s="466" t="s">
        <v>624</v>
      </c>
      <c r="F1366" s="466">
        <v>58485626.280000001</v>
      </c>
      <c r="G1366" s="478">
        <v>39356.609999999404</v>
      </c>
      <c r="H1366" s="466">
        <v>275496.24000000209</v>
      </c>
      <c r="I1366" s="479">
        <v>0</v>
      </c>
    </row>
    <row r="1367" spans="1:9" ht="15.75" customHeight="1">
      <c r="A1367" s="467"/>
      <c r="B1367" s="467"/>
      <c r="C1367" s="466"/>
      <c r="D1367" s="497">
        <v>46856</v>
      </c>
      <c r="E1367" s="466" t="s">
        <v>623</v>
      </c>
      <c r="F1367" s="466">
        <v>58524982.880000003</v>
      </c>
      <c r="G1367" s="478">
        <v>39356.60000000149</v>
      </c>
      <c r="H1367" s="466">
        <v>0</v>
      </c>
      <c r="I1367" s="479">
        <v>0</v>
      </c>
    </row>
    <row r="1368" spans="1:9" ht="15.75" customHeight="1">
      <c r="A1368" s="467"/>
      <c r="B1368" s="467"/>
      <c r="C1368" s="466"/>
      <c r="D1368" s="497">
        <v>46857</v>
      </c>
      <c r="E1368" s="466" t="s">
        <v>622</v>
      </c>
      <c r="F1368" s="466">
        <v>58564339.490000002</v>
      </c>
      <c r="G1368" s="478">
        <v>39356.609999999404</v>
      </c>
      <c r="H1368" s="466">
        <v>0</v>
      </c>
      <c r="I1368" s="479">
        <v>0</v>
      </c>
    </row>
    <row r="1369" spans="1:9" ht="15.75" customHeight="1">
      <c r="A1369" s="467"/>
      <c r="B1369" s="467"/>
      <c r="C1369" s="466"/>
      <c r="D1369" s="497">
        <v>46858</v>
      </c>
      <c r="E1369" s="466" t="s">
        <v>621</v>
      </c>
      <c r="F1369" s="466">
        <v>58603696.090000004</v>
      </c>
      <c r="G1369" s="478">
        <v>39356.60000000149</v>
      </c>
      <c r="H1369" s="466">
        <v>0</v>
      </c>
      <c r="I1369" s="479">
        <v>0</v>
      </c>
    </row>
    <row r="1370" spans="1:9" ht="15.75" customHeight="1">
      <c r="A1370" s="467"/>
      <c r="B1370" s="467"/>
      <c r="C1370" s="466"/>
      <c r="D1370" s="497">
        <v>46859</v>
      </c>
      <c r="E1370" s="466" t="s">
        <v>620</v>
      </c>
      <c r="F1370" s="466">
        <v>58643052.700000003</v>
      </c>
      <c r="G1370" s="478">
        <v>39356.609999999404</v>
      </c>
      <c r="H1370" s="466">
        <v>0</v>
      </c>
      <c r="I1370" s="479">
        <v>0</v>
      </c>
    </row>
    <row r="1371" spans="1:9" ht="15.75" customHeight="1">
      <c r="A1371" s="467"/>
      <c r="B1371" s="467"/>
      <c r="C1371" s="466"/>
      <c r="D1371" s="497">
        <v>46860</v>
      </c>
      <c r="E1371" s="466" t="s">
        <v>619</v>
      </c>
      <c r="F1371" s="466">
        <v>58682409.299999997</v>
      </c>
      <c r="G1371" s="478">
        <v>39356.59999999404</v>
      </c>
      <c r="H1371" s="466">
        <v>0</v>
      </c>
      <c r="I1371" s="479">
        <v>0</v>
      </c>
    </row>
    <row r="1372" spans="1:9" ht="15.75" customHeight="1">
      <c r="A1372" s="467"/>
      <c r="B1372" s="467"/>
      <c r="C1372" s="466"/>
      <c r="D1372" s="497">
        <v>46861</v>
      </c>
      <c r="E1372" s="466" t="s">
        <v>618</v>
      </c>
      <c r="F1372" s="466">
        <v>58721765.909999996</v>
      </c>
      <c r="G1372" s="478">
        <v>39356.609999999404</v>
      </c>
      <c r="H1372" s="466">
        <v>0</v>
      </c>
      <c r="I1372" s="479">
        <v>0</v>
      </c>
    </row>
    <row r="1373" spans="1:9" ht="15.75" customHeight="1">
      <c r="A1373" s="467"/>
      <c r="B1373" s="467"/>
      <c r="C1373" s="466"/>
      <c r="D1373" s="497">
        <v>46862</v>
      </c>
      <c r="E1373" s="466" t="s">
        <v>624</v>
      </c>
      <c r="F1373" s="466">
        <v>58761122.509999998</v>
      </c>
      <c r="G1373" s="478">
        <v>39356.60000000149</v>
      </c>
      <c r="H1373" s="466">
        <v>275496.22999999672</v>
      </c>
      <c r="I1373" s="479">
        <v>550992.46999999881</v>
      </c>
    </row>
    <row r="1374" spans="1:9" ht="15.75" customHeight="1">
      <c r="A1374" s="467"/>
      <c r="B1374" s="467"/>
      <c r="C1374" s="466"/>
      <c r="D1374" s="497">
        <v>46863</v>
      </c>
      <c r="E1374" s="466" t="s">
        <v>623</v>
      </c>
      <c r="F1374" s="466">
        <v>58800479.119999997</v>
      </c>
      <c r="G1374" s="478">
        <v>39356.609999999404</v>
      </c>
      <c r="H1374" s="466">
        <v>0</v>
      </c>
      <c r="I1374" s="479">
        <v>0</v>
      </c>
    </row>
    <row r="1375" spans="1:9" ht="15.75" customHeight="1">
      <c r="A1375" s="467"/>
      <c r="B1375" s="467"/>
      <c r="C1375" s="466"/>
      <c r="D1375" s="497">
        <v>46864</v>
      </c>
      <c r="E1375" s="466" t="s">
        <v>622</v>
      </c>
      <c r="F1375" s="466">
        <v>58839835.719999999</v>
      </c>
      <c r="G1375" s="478">
        <v>39356.60000000149</v>
      </c>
      <c r="H1375" s="466">
        <v>0</v>
      </c>
      <c r="I1375" s="479">
        <v>0</v>
      </c>
    </row>
    <row r="1376" spans="1:9" ht="15.75" customHeight="1">
      <c r="A1376" s="467"/>
      <c r="B1376" s="467"/>
      <c r="C1376" s="466"/>
      <c r="D1376" s="497">
        <v>46865</v>
      </c>
      <c r="E1376" s="466" t="s">
        <v>621</v>
      </c>
      <c r="F1376" s="466">
        <v>58879192.329999998</v>
      </c>
      <c r="G1376" s="478">
        <v>39356.609999999404</v>
      </c>
      <c r="H1376" s="466">
        <v>0</v>
      </c>
      <c r="I1376" s="479">
        <v>0</v>
      </c>
    </row>
    <row r="1377" spans="1:9" ht="15.75" customHeight="1">
      <c r="A1377" s="467"/>
      <c r="B1377" s="467"/>
      <c r="C1377" s="466"/>
      <c r="D1377" s="497">
        <v>46866</v>
      </c>
      <c r="E1377" s="466" t="s">
        <v>620</v>
      </c>
      <c r="F1377" s="466">
        <v>58918548.93</v>
      </c>
      <c r="G1377" s="478">
        <v>39356.60000000149</v>
      </c>
      <c r="H1377" s="466">
        <v>0</v>
      </c>
      <c r="I1377" s="479">
        <v>0</v>
      </c>
    </row>
    <row r="1378" spans="1:9" ht="15.75" customHeight="1">
      <c r="A1378" s="467"/>
      <c r="B1378" s="467"/>
      <c r="C1378" s="466"/>
      <c r="D1378" s="497">
        <v>46867</v>
      </c>
      <c r="E1378" s="466" t="s">
        <v>619</v>
      </c>
      <c r="F1378" s="466">
        <v>58957905.539999999</v>
      </c>
      <c r="G1378" s="478">
        <v>39356.609999999404</v>
      </c>
      <c r="H1378" s="466">
        <v>0</v>
      </c>
      <c r="I1378" s="479">
        <v>0</v>
      </c>
    </row>
    <row r="1379" spans="1:9" ht="15.75" customHeight="1">
      <c r="A1379" s="467"/>
      <c r="B1379" s="467"/>
      <c r="C1379" s="466"/>
      <c r="D1379" s="497">
        <v>46868</v>
      </c>
      <c r="E1379" s="466" t="s">
        <v>618</v>
      </c>
      <c r="F1379" s="466">
        <v>58997262.140000001</v>
      </c>
      <c r="G1379" s="478">
        <v>39356.60000000149</v>
      </c>
      <c r="H1379" s="466">
        <v>0</v>
      </c>
      <c r="I1379" s="479">
        <v>0</v>
      </c>
    </row>
    <row r="1380" spans="1:9" ht="15.75" customHeight="1">
      <c r="A1380" s="467"/>
      <c r="B1380" s="467"/>
      <c r="C1380" s="466"/>
      <c r="D1380" s="497">
        <v>46869</v>
      </c>
      <c r="E1380" s="466" t="s">
        <v>624</v>
      </c>
      <c r="F1380" s="466">
        <v>59036618.75</v>
      </c>
      <c r="G1380" s="478">
        <v>39356.609999999404</v>
      </c>
      <c r="H1380" s="466">
        <v>275496.24000000209</v>
      </c>
      <c r="I1380" s="479">
        <v>0</v>
      </c>
    </row>
    <row r="1381" spans="1:9" ht="15.75" customHeight="1">
      <c r="A1381" s="467"/>
      <c r="B1381" s="467"/>
      <c r="C1381" s="466"/>
      <c r="D1381" s="497">
        <v>46870</v>
      </c>
      <c r="E1381" s="466" t="s">
        <v>623</v>
      </c>
      <c r="F1381" s="466">
        <v>59075975.350000001</v>
      </c>
      <c r="G1381" s="478">
        <v>39356.60000000149</v>
      </c>
      <c r="H1381" s="466">
        <v>0</v>
      </c>
      <c r="I1381" s="479">
        <v>0</v>
      </c>
    </row>
    <row r="1382" spans="1:9" ht="15.75" customHeight="1">
      <c r="A1382" s="467"/>
      <c r="B1382" s="467"/>
      <c r="C1382" s="466"/>
      <c r="D1382" s="497">
        <v>46871</v>
      </c>
      <c r="E1382" s="466" t="s">
        <v>622</v>
      </c>
      <c r="F1382" s="466">
        <v>59115331.960000001</v>
      </c>
      <c r="G1382" s="478">
        <v>39356.609999999404</v>
      </c>
      <c r="H1382" s="466">
        <v>0</v>
      </c>
      <c r="I1382" s="479">
        <v>0</v>
      </c>
    </row>
    <row r="1383" spans="1:9" ht="15.75" customHeight="1">
      <c r="A1383" s="467"/>
      <c r="B1383" s="467"/>
      <c r="C1383" s="466"/>
      <c r="D1383" s="497">
        <v>46872</v>
      </c>
      <c r="E1383" s="466" t="s">
        <v>621</v>
      </c>
      <c r="F1383" s="466">
        <v>59154688.560000002</v>
      </c>
      <c r="G1383" s="478">
        <v>39356.60000000149</v>
      </c>
      <c r="H1383" s="466">
        <v>0</v>
      </c>
      <c r="I1383" s="479">
        <v>0</v>
      </c>
    </row>
    <row r="1384" spans="1:9" ht="15.75" customHeight="1">
      <c r="A1384" s="467"/>
      <c r="B1384" s="467"/>
      <c r="C1384" s="466"/>
      <c r="D1384" s="497">
        <v>46873</v>
      </c>
      <c r="E1384" s="466" t="s">
        <v>620</v>
      </c>
      <c r="F1384" s="466">
        <v>59194045.170000002</v>
      </c>
      <c r="G1384" s="478">
        <v>39356.609999999404</v>
      </c>
      <c r="H1384" s="466">
        <v>0</v>
      </c>
      <c r="I1384" s="479">
        <v>0</v>
      </c>
    </row>
    <row r="1385" spans="1:9" ht="15.75" customHeight="1">
      <c r="A1385" s="467"/>
      <c r="B1385" s="467"/>
      <c r="C1385" s="466"/>
      <c r="D1385" s="497">
        <v>46874</v>
      </c>
      <c r="E1385" s="466" t="s">
        <v>619</v>
      </c>
      <c r="F1385" s="466">
        <v>59233401.770000003</v>
      </c>
      <c r="G1385" s="478">
        <v>39356.60000000149</v>
      </c>
      <c r="H1385" s="466">
        <v>0</v>
      </c>
      <c r="I1385" s="479">
        <v>0</v>
      </c>
    </row>
    <row r="1386" spans="1:9" ht="15.75" customHeight="1">
      <c r="A1386" s="467"/>
      <c r="B1386" s="467"/>
      <c r="C1386" s="466"/>
      <c r="D1386" s="497">
        <v>46875</v>
      </c>
      <c r="E1386" s="466" t="s">
        <v>618</v>
      </c>
      <c r="F1386" s="466">
        <v>59272758.380000003</v>
      </c>
      <c r="G1386" s="478">
        <v>39356.609999999404</v>
      </c>
      <c r="H1386" s="466">
        <v>0</v>
      </c>
      <c r="I1386" s="479">
        <v>0</v>
      </c>
    </row>
    <row r="1387" spans="1:9" ht="15.75" customHeight="1">
      <c r="A1387" s="467"/>
      <c r="B1387" s="467"/>
      <c r="C1387" s="466"/>
      <c r="D1387" s="497">
        <v>46876</v>
      </c>
      <c r="E1387" s="466" t="s">
        <v>624</v>
      </c>
      <c r="F1387" s="466">
        <v>59312114.979999997</v>
      </c>
      <c r="G1387" s="478">
        <v>39356.59999999404</v>
      </c>
      <c r="H1387" s="466">
        <v>275496.22999999672</v>
      </c>
      <c r="I1387" s="479">
        <v>550992.46999999881</v>
      </c>
    </row>
    <row r="1388" spans="1:9" ht="15.75" customHeight="1">
      <c r="A1388" s="467"/>
      <c r="B1388" s="467"/>
      <c r="C1388" s="466"/>
      <c r="D1388" s="497">
        <v>46877</v>
      </c>
      <c r="E1388" s="466" t="s">
        <v>623</v>
      </c>
      <c r="F1388" s="466">
        <v>59351471.590000004</v>
      </c>
      <c r="G1388" s="478">
        <v>39356.610000006855</v>
      </c>
      <c r="H1388" s="466">
        <v>0</v>
      </c>
      <c r="I1388" s="479">
        <v>0</v>
      </c>
    </row>
    <row r="1389" spans="1:9" ht="15.75" customHeight="1">
      <c r="A1389" s="467"/>
      <c r="B1389" s="467"/>
      <c r="C1389" s="466"/>
      <c r="D1389" s="497">
        <v>46878</v>
      </c>
      <c r="E1389" s="466" t="s">
        <v>622</v>
      </c>
      <c r="F1389" s="466">
        <v>59390828.189999998</v>
      </c>
      <c r="G1389" s="478">
        <v>39356.59999999404</v>
      </c>
      <c r="H1389" s="466">
        <v>0</v>
      </c>
      <c r="I1389" s="479">
        <v>0</v>
      </c>
    </row>
    <row r="1390" spans="1:9" ht="15.75" customHeight="1">
      <c r="A1390" s="467"/>
      <c r="B1390" s="467"/>
      <c r="C1390" s="466"/>
      <c r="D1390" s="497">
        <v>46879</v>
      </c>
      <c r="E1390" s="466" t="s">
        <v>621</v>
      </c>
      <c r="F1390" s="466">
        <v>59430184.799999997</v>
      </c>
      <c r="G1390" s="478">
        <v>39356.609999999404</v>
      </c>
      <c r="H1390" s="466">
        <v>0</v>
      </c>
      <c r="I1390" s="479">
        <v>0</v>
      </c>
    </row>
    <row r="1391" spans="1:9" ht="15.75" customHeight="1">
      <c r="A1391" s="467"/>
      <c r="B1391" s="467"/>
      <c r="C1391" s="466"/>
      <c r="D1391" s="497">
        <v>46880</v>
      </c>
      <c r="E1391" s="466" t="s">
        <v>620</v>
      </c>
      <c r="F1391" s="466">
        <v>59469541.399999999</v>
      </c>
      <c r="G1391" s="478">
        <v>39356.60000000149</v>
      </c>
      <c r="H1391" s="466">
        <v>0</v>
      </c>
      <c r="I1391" s="479">
        <v>0</v>
      </c>
    </row>
    <row r="1392" spans="1:9" ht="15.75" customHeight="1">
      <c r="A1392" s="467"/>
      <c r="B1392" s="467"/>
      <c r="C1392" s="466"/>
      <c r="D1392" s="497">
        <v>46881</v>
      </c>
      <c r="E1392" s="466" t="s">
        <v>619</v>
      </c>
      <c r="F1392" s="466">
        <v>59508898.009999998</v>
      </c>
      <c r="G1392" s="478">
        <v>39356.609999999404</v>
      </c>
      <c r="H1392" s="466">
        <v>0</v>
      </c>
      <c r="I1392" s="479">
        <v>0</v>
      </c>
    </row>
    <row r="1393" spans="1:9" ht="15.75" customHeight="1">
      <c r="A1393" s="467"/>
      <c r="B1393" s="467"/>
      <c r="C1393" s="466"/>
      <c r="D1393" s="497">
        <v>46882</v>
      </c>
      <c r="E1393" s="466" t="s">
        <v>618</v>
      </c>
      <c r="F1393" s="466">
        <v>59548254.619999997</v>
      </c>
      <c r="G1393" s="478">
        <v>39356.609999999404</v>
      </c>
      <c r="H1393" s="466">
        <v>0</v>
      </c>
      <c r="I1393" s="479">
        <v>0</v>
      </c>
    </row>
    <row r="1394" spans="1:9" ht="15.75" customHeight="1">
      <c r="A1394" s="467"/>
      <c r="B1394" s="467"/>
      <c r="C1394" s="466"/>
      <c r="D1394" s="497">
        <v>46883</v>
      </c>
      <c r="E1394" s="466" t="s">
        <v>624</v>
      </c>
      <c r="F1394" s="466">
        <v>59587611.219999999</v>
      </c>
      <c r="G1394" s="478">
        <v>39356.60000000149</v>
      </c>
      <c r="H1394" s="466">
        <v>275496.24000000209</v>
      </c>
      <c r="I1394" s="479">
        <v>0</v>
      </c>
    </row>
    <row r="1395" spans="1:9" ht="15.75" customHeight="1">
      <c r="A1395" s="467"/>
      <c r="B1395" s="467"/>
      <c r="C1395" s="466"/>
      <c r="D1395" s="497">
        <v>46884</v>
      </c>
      <c r="E1395" s="466" t="s">
        <v>623</v>
      </c>
      <c r="F1395" s="466">
        <v>59626967.829999998</v>
      </c>
      <c r="G1395" s="478">
        <v>39356.609999999404</v>
      </c>
      <c r="H1395" s="466">
        <v>0</v>
      </c>
      <c r="I1395" s="479">
        <v>0</v>
      </c>
    </row>
    <row r="1396" spans="1:9" ht="15.75" customHeight="1">
      <c r="A1396" s="467"/>
      <c r="B1396" s="467"/>
      <c r="C1396" s="466"/>
      <c r="D1396" s="497">
        <v>46885</v>
      </c>
      <c r="E1396" s="466" t="s">
        <v>622</v>
      </c>
      <c r="F1396" s="466">
        <v>59666324.43</v>
      </c>
      <c r="G1396" s="478">
        <v>39356.60000000149</v>
      </c>
      <c r="H1396" s="466">
        <v>0</v>
      </c>
      <c r="I1396" s="479">
        <v>0</v>
      </c>
    </row>
    <row r="1397" spans="1:9" ht="15.75" customHeight="1">
      <c r="A1397" s="467"/>
      <c r="B1397" s="467"/>
      <c r="C1397" s="466"/>
      <c r="D1397" s="497">
        <v>46886</v>
      </c>
      <c r="E1397" s="466" t="s">
        <v>621</v>
      </c>
      <c r="F1397" s="466">
        <v>59705681.039999999</v>
      </c>
      <c r="G1397" s="478">
        <v>39356.609999999404</v>
      </c>
      <c r="H1397" s="466">
        <v>0</v>
      </c>
      <c r="I1397" s="479">
        <v>0</v>
      </c>
    </row>
    <row r="1398" spans="1:9" ht="15.75" customHeight="1">
      <c r="A1398" s="467"/>
      <c r="B1398" s="467"/>
      <c r="C1398" s="466"/>
      <c r="D1398" s="497">
        <v>46887</v>
      </c>
      <c r="E1398" s="466" t="s">
        <v>620</v>
      </c>
      <c r="F1398" s="466">
        <v>59745037.640000001</v>
      </c>
      <c r="G1398" s="478">
        <v>39356.60000000149</v>
      </c>
      <c r="H1398" s="466">
        <v>0</v>
      </c>
      <c r="I1398" s="479">
        <v>0</v>
      </c>
    </row>
    <row r="1399" spans="1:9" ht="15.75" customHeight="1">
      <c r="A1399" s="467"/>
      <c r="B1399" s="467"/>
      <c r="C1399" s="466"/>
      <c r="D1399" s="497">
        <v>46888</v>
      </c>
      <c r="E1399" s="466" t="s">
        <v>619</v>
      </c>
      <c r="F1399" s="466">
        <v>59784394.25</v>
      </c>
      <c r="G1399" s="478">
        <v>39356.609999999404</v>
      </c>
      <c r="H1399" s="466">
        <v>0</v>
      </c>
      <c r="I1399" s="479">
        <v>0</v>
      </c>
    </row>
    <row r="1400" spans="1:9" ht="15.75" customHeight="1">
      <c r="A1400" s="467"/>
      <c r="B1400" s="467"/>
      <c r="C1400" s="466"/>
      <c r="D1400" s="497">
        <v>46889</v>
      </c>
      <c r="E1400" s="466" t="s">
        <v>618</v>
      </c>
      <c r="F1400" s="466">
        <v>59823750.850000001</v>
      </c>
      <c r="G1400" s="478">
        <v>39356.60000000149</v>
      </c>
      <c r="H1400" s="466">
        <v>0</v>
      </c>
      <c r="I1400" s="479">
        <v>0</v>
      </c>
    </row>
    <row r="1401" spans="1:9" ht="15.75" customHeight="1">
      <c r="A1401" s="467"/>
      <c r="B1401" s="467"/>
      <c r="C1401" s="466"/>
      <c r="D1401" s="497">
        <v>46890</v>
      </c>
      <c r="E1401" s="466" t="s">
        <v>624</v>
      </c>
      <c r="F1401" s="466">
        <v>59863107.460000001</v>
      </c>
      <c r="G1401" s="478">
        <v>39356.609999999404</v>
      </c>
      <c r="H1401" s="466">
        <v>275496.24000000209</v>
      </c>
      <c r="I1401" s="479">
        <v>550992.48000000417</v>
      </c>
    </row>
    <row r="1402" spans="1:9" ht="15.75" customHeight="1">
      <c r="A1402" s="467"/>
      <c r="B1402" s="467"/>
      <c r="C1402" s="466"/>
      <c r="D1402" s="497">
        <v>46891</v>
      </c>
      <c r="E1402" s="466" t="s">
        <v>623</v>
      </c>
      <c r="F1402" s="466">
        <v>59902464.060000002</v>
      </c>
      <c r="G1402" s="478">
        <v>39356.60000000149</v>
      </c>
      <c r="H1402" s="466">
        <v>0</v>
      </c>
      <c r="I1402" s="479">
        <v>0</v>
      </c>
    </row>
    <row r="1403" spans="1:9" ht="15.75" customHeight="1">
      <c r="A1403" s="467"/>
      <c r="B1403" s="467"/>
      <c r="C1403" s="466"/>
      <c r="D1403" s="497">
        <v>46892</v>
      </c>
      <c r="E1403" s="466" t="s">
        <v>622</v>
      </c>
      <c r="F1403" s="466">
        <v>59941820.670000002</v>
      </c>
      <c r="G1403" s="478">
        <v>39356.609999999404</v>
      </c>
      <c r="H1403" s="466">
        <v>0</v>
      </c>
      <c r="I1403" s="479">
        <v>0</v>
      </c>
    </row>
    <row r="1404" spans="1:9" ht="15.75" customHeight="1">
      <c r="A1404" s="467"/>
      <c r="B1404" s="467"/>
      <c r="C1404" s="466"/>
      <c r="D1404" s="497">
        <v>46893</v>
      </c>
      <c r="E1404" s="466" t="s">
        <v>621</v>
      </c>
      <c r="F1404" s="466">
        <v>59981177.270000003</v>
      </c>
      <c r="G1404" s="478">
        <v>39356.60000000149</v>
      </c>
      <c r="H1404" s="466">
        <v>0</v>
      </c>
      <c r="I1404" s="479">
        <v>0</v>
      </c>
    </row>
    <row r="1405" spans="1:9" ht="15.75" customHeight="1">
      <c r="A1405" s="467"/>
      <c r="B1405" s="467"/>
      <c r="C1405" s="466"/>
      <c r="D1405" s="497">
        <v>46894</v>
      </c>
      <c r="E1405" s="466" t="s">
        <v>620</v>
      </c>
      <c r="F1405" s="466">
        <v>60020533.880000003</v>
      </c>
      <c r="G1405" s="478">
        <v>39356.609999999404</v>
      </c>
      <c r="H1405" s="466">
        <v>0</v>
      </c>
      <c r="I1405" s="479">
        <v>0</v>
      </c>
    </row>
    <row r="1406" spans="1:9" ht="15.75" customHeight="1">
      <c r="A1406" s="467"/>
      <c r="B1406" s="467"/>
      <c r="C1406" s="466"/>
      <c r="D1406" s="497">
        <v>46895</v>
      </c>
      <c r="E1406" s="466" t="s">
        <v>619</v>
      </c>
      <c r="F1406" s="466">
        <v>60059890.479999997</v>
      </c>
      <c r="G1406" s="478">
        <v>39356.59999999404</v>
      </c>
      <c r="H1406" s="466">
        <v>0</v>
      </c>
      <c r="I1406" s="479">
        <v>0</v>
      </c>
    </row>
    <row r="1407" spans="1:9" ht="15.75" customHeight="1">
      <c r="A1407" s="467"/>
      <c r="B1407" s="467"/>
      <c r="C1407" s="466"/>
      <c r="D1407" s="497">
        <v>46896</v>
      </c>
      <c r="E1407" s="466" t="s">
        <v>618</v>
      </c>
      <c r="F1407" s="466">
        <v>60099247.090000004</v>
      </c>
      <c r="G1407" s="478">
        <v>39356.610000006855</v>
      </c>
      <c r="H1407" s="466">
        <v>0</v>
      </c>
      <c r="I1407" s="479">
        <v>0</v>
      </c>
    </row>
    <row r="1408" spans="1:9" ht="15.75" customHeight="1">
      <c r="A1408" s="467"/>
      <c r="B1408" s="467"/>
      <c r="C1408" s="466"/>
      <c r="D1408" s="497">
        <v>46897</v>
      </c>
      <c r="E1408" s="466" t="s">
        <v>624</v>
      </c>
      <c r="F1408" s="466">
        <v>60138603.689999998</v>
      </c>
      <c r="G1408" s="478">
        <v>39356.59999999404</v>
      </c>
      <c r="H1408" s="466">
        <v>275496.22999999672</v>
      </c>
      <c r="I1408" s="479">
        <v>0</v>
      </c>
    </row>
    <row r="1409" spans="1:9" ht="15.75" customHeight="1">
      <c r="A1409" s="467"/>
      <c r="B1409" s="467"/>
      <c r="C1409" s="466"/>
      <c r="D1409" s="497">
        <v>46898</v>
      </c>
      <c r="E1409" s="466" t="s">
        <v>623</v>
      </c>
      <c r="F1409" s="466">
        <v>60177960.299999997</v>
      </c>
      <c r="G1409" s="478">
        <v>39356.609999999404</v>
      </c>
      <c r="H1409" s="466">
        <v>0</v>
      </c>
      <c r="I1409" s="479">
        <v>0</v>
      </c>
    </row>
    <row r="1410" spans="1:9" ht="15.75" customHeight="1">
      <c r="A1410" s="467"/>
      <c r="B1410" s="467"/>
      <c r="C1410" s="466"/>
      <c r="D1410" s="497">
        <v>46899</v>
      </c>
      <c r="E1410" s="466" t="s">
        <v>622</v>
      </c>
      <c r="F1410" s="466">
        <v>60217316.899999999</v>
      </c>
      <c r="G1410" s="478">
        <v>39356.60000000149</v>
      </c>
      <c r="H1410" s="466">
        <v>0</v>
      </c>
      <c r="I1410" s="479">
        <v>0</v>
      </c>
    </row>
    <row r="1411" spans="1:9" ht="15.75" customHeight="1">
      <c r="A1411" s="467"/>
      <c r="B1411" s="467"/>
      <c r="C1411" s="466"/>
      <c r="D1411" s="497">
        <v>46900</v>
      </c>
      <c r="E1411" s="466" t="s">
        <v>621</v>
      </c>
      <c r="F1411" s="466">
        <v>60256673.509999998</v>
      </c>
      <c r="G1411" s="478">
        <v>39356.609999999404</v>
      </c>
      <c r="H1411" s="466">
        <v>0</v>
      </c>
      <c r="I1411" s="479">
        <v>0</v>
      </c>
    </row>
    <row r="1412" spans="1:9" ht="15.75" customHeight="1">
      <c r="A1412" s="467"/>
      <c r="B1412" s="467"/>
      <c r="C1412" s="466"/>
      <c r="D1412" s="497">
        <v>46901</v>
      </c>
      <c r="E1412" s="466" t="s">
        <v>620</v>
      </c>
      <c r="F1412" s="466">
        <v>60296030.109999999</v>
      </c>
      <c r="G1412" s="478">
        <v>39356.60000000149</v>
      </c>
      <c r="H1412" s="466">
        <v>0</v>
      </c>
      <c r="I1412" s="479">
        <v>0</v>
      </c>
    </row>
    <row r="1413" spans="1:9" ht="15.75" customHeight="1">
      <c r="A1413" s="467"/>
      <c r="B1413" s="467"/>
      <c r="C1413" s="466"/>
      <c r="D1413" s="497">
        <v>46902</v>
      </c>
      <c r="E1413" s="466" t="s">
        <v>619</v>
      </c>
      <c r="F1413" s="466">
        <v>60335386.719999999</v>
      </c>
      <c r="G1413" s="478">
        <v>39356.609999999404</v>
      </c>
      <c r="H1413" s="466">
        <v>0</v>
      </c>
      <c r="I1413" s="479">
        <v>0</v>
      </c>
    </row>
    <row r="1414" spans="1:9" ht="15.75" customHeight="1">
      <c r="A1414" s="467"/>
      <c r="B1414" s="467"/>
      <c r="C1414" s="466"/>
      <c r="D1414" s="497">
        <v>46903</v>
      </c>
      <c r="E1414" s="466" t="s">
        <v>618</v>
      </c>
      <c r="F1414" s="466">
        <v>60374743.32</v>
      </c>
      <c r="G1414" s="478">
        <v>39356.60000000149</v>
      </c>
      <c r="H1414" s="466">
        <v>0</v>
      </c>
      <c r="I1414" s="479">
        <v>0</v>
      </c>
    </row>
    <row r="1415" spans="1:9" ht="15.75" customHeight="1">
      <c r="A1415" s="467"/>
      <c r="B1415" s="467"/>
      <c r="C1415" s="466"/>
      <c r="D1415" s="497">
        <v>46904</v>
      </c>
      <c r="E1415" s="466" t="s">
        <v>624</v>
      </c>
      <c r="F1415" s="466">
        <v>60414099.93</v>
      </c>
      <c r="G1415" s="478">
        <v>39356.609999999404</v>
      </c>
      <c r="H1415" s="466">
        <v>275496.24000000209</v>
      </c>
      <c r="I1415" s="479">
        <v>550992.46999999881</v>
      </c>
    </row>
    <row r="1416" spans="1:9" ht="15.75" customHeight="1">
      <c r="A1416" s="467"/>
      <c r="B1416" s="467"/>
      <c r="C1416" s="466"/>
      <c r="D1416" s="497">
        <v>46905</v>
      </c>
      <c r="E1416" s="466" t="s">
        <v>623</v>
      </c>
      <c r="F1416" s="466">
        <v>60453456.530000001</v>
      </c>
      <c r="G1416" s="478">
        <v>39356.60000000149</v>
      </c>
      <c r="H1416" s="466">
        <v>0</v>
      </c>
      <c r="I1416" s="479">
        <v>0</v>
      </c>
    </row>
    <row r="1417" spans="1:9" ht="15.75" customHeight="1">
      <c r="A1417" s="467"/>
      <c r="B1417" s="467"/>
      <c r="C1417" s="466"/>
      <c r="D1417" s="497">
        <v>46906</v>
      </c>
      <c r="E1417" s="466" t="s">
        <v>622</v>
      </c>
      <c r="F1417" s="466">
        <v>60492813.140000001</v>
      </c>
      <c r="G1417" s="478">
        <v>39356.609999999404</v>
      </c>
      <c r="H1417" s="466">
        <v>0</v>
      </c>
      <c r="I1417" s="479">
        <v>0</v>
      </c>
    </row>
    <row r="1418" spans="1:9" ht="15.75" customHeight="1">
      <c r="A1418" s="467"/>
      <c r="B1418" s="467"/>
      <c r="C1418" s="466"/>
      <c r="D1418" s="497">
        <v>46907</v>
      </c>
      <c r="E1418" s="466" t="s">
        <v>621</v>
      </c>
      <c r="F1418" s="466">
        <v>60532169.740000002</v>
      </c>
      <c r="G1418" s="478">
        <v>39356.60000000149</v>
      </c>
      <c r="H1418" s="466">
        <v>0</v>
      </c>
      <c r="I1418" s="479">
        <v>0</v>
      </c>
    </row>
    <row r="1419" spans="1:9" ht="15.75" customHeight="1">
      <c r="A1419" s="467"/>
      <c r="B1419" s="467"/>
      <c r="C1419" s="466"/>
      <c r="D1419" s="497">
        <v>46908</v>
      </c>
      <c r="E1419" s="466" t="s">
        <v>620</v>
      </c>
      <c r="F1419" s="466">
        <v>60571526.350000001</v>
      </c>
      <c r="G1419" s="478">
        <v>39356.609999999404</v>
      </c>
      <c r="H1419" s="466">
        <v>0</v>
      </c>
      <c r="I1419" s="479">
        <v>0</v>
      </c>
    </row>
    <row r="1420" spans="1:9" ht="15.75" customHeight="1">
      <c r="A1420" s="467"/>
      <c r="B1420" s="467"/>
      <c r="C1420" s="466"/>
      <c r="D1420" s="497">
        <v>46909</v>
      </c>
      <c r="E1420" s="466" t="s">
        <v>619</v>
      </c>
      <c r="F1420" s="466">
        <v>60610882.950000003</v>
      </c>
      <c r="G1420" s="478">
        <v>39356.60000000149</v>
      </c>
      <c r="H1420" s="466">
        <v>0</v>
      </c>
      <c r="I1420" s="479">
        <v>0</v>
      </c>
    </row>
    <row r="1421" spans="1:9" ht="15.75" customHeight="1">
      <c r="A1421" s="467"/>
      <c r="B1421" s="467"/>
      <c r="C1421" s="466"/>
      <c r="D1421" s="497">
        <v>46910</v>
      </c>
      <c r="E1421" s="466" t="s">
        <v>618</v>
      </c>
      <c r="F1421" s="466">
        <v>60650239.560000002</v>
      </c>
      <c r="G1421" s="478">
        <v>39356.609999999404</v>
      </c>
      <c r="H1421" s="466">
        <v>0</v>
      </c>
      <c r="I1421" s="479">
        <v>0</v>
      </c>
    </row>
    <row r="1422" spans="1:9" ht="15.75" customHeight="1">
      <c r="A1422" s="467"/>
      <c r="B1422" s="467"/>
      <c r="C1422" s="466"/>
      <c r="D1422" s="497">
        <v>46911</v>
      </c>
      <c r="E1422" s="466" t="s">
        <v>624</v>
      </c>
      <c r="F1422" s="466">
        <v>60689596.159999996</v>
      </c>
      <c r="G1422" s="478">
        <v>39356.59999999404</v>
      </c>
      <c r="H1422" s="466">
        <v>275496.22999999672</v>
      </c>
      <c r="I1422" s="479">
        <v>0</v>
      </c>
    </row>
    <row r="1423" spans="1:9" ht="15.75" customHeight="1">
      <c r="A1423" s="467"/>
      <c r="B1423" s="467"/>
      <c r="C1423" s="466"/>
      <c r="D1423" s="497">
        <v>46912</v>
      </c>
      <c r="E1423" s="466" t="s">
        <v>623</v>
      </c>
      <c r="F1423" s="466">
        <v>60728952.770000003</v>
      </c>
      <c r="G1423" s="478">
        <v>39356.610000006855</v>
      </c>
      <c r="H1423" s="466">
        <v>0</v>
      </c>
      <c r="I1423" s="479">
        <v>0</v>
      </c>
    </row>
    <row r="1424" spans="1:9" ht="15.75" customHeight="1">
      <c r="A1424" s="467"/>
      <c r="B1424" s="467"/>
      <c r="C1424" s="466"/>
      <c r="D1424" s="497">
        <v>46913</v>
      </c>
      <c r="E1424" s="466" t="s">
        <v>622</v>
      </c>
      <c r="F1424" s="466">
        <v>60768309.369999997</v>
      </c>
      <c r="G1424" s="478">
        <v>39356.59999999404</v>
      </c>
      <c r="H1424" s="466">
        <v>0</v>
      </c>
      <c r="I1424" s="479">
        <v>0</v>
      </c>
    </row>
    <row r="1425" spans="1:9" ht="15.75" customHeight="1">
      <c r="A1425" s="467"/>
      <c r="B1425" s="467"/>
      <c r="C1425" s="466"/>
      <c r="D1425" s="497">
        <v>46914</v>
      </c>
      <c r="E1425" s="466" t="s">
        <v>621</v>
      </c>
      <c r="F1425" s="466">
        <v>60807665.979999997</v>
      </c>
      <c r="G1425" s="478">
        <v>39356.609999999404</v>
      </c>
      <c r="H1425" s="466">
        <v>0</v>
      </c>
      <c r="I1425" s="479">
        <v>0</v>
      </c>
    </row>
    <row r="1426" spans="1:9" ht="15.75" customHeight="1">
      <c r="A1426" s="467"/>
      <c r="B1426" s="467"/>
      <c r="C1426" s="466"/>
      <c r="D1426" s="497">
        <v>46915</v>
      </c>
      <c r="E1426" s="466" t="s">
        <v>620</v>
      </c>
      <c r="F1426" s="466">
        <v>60847022.579999998</v>
      </c>
      <c r="G1426" s="478">
        <v>39356.60000000149</v>
      </c>
      <c r="H1426" s="466">
        <v>0</v>
      </c>
      <c r="I1426" s="479">
        <v>0</v>
      </c>
    </row>
    <row r="1427" spans="1:9" ht="15.75" customHeight="1">
      <c r="A1427" s="467"/>
      <c r="B1427" s="467"/>
      <c r="C1427" s="466"/>
      <c r="D1427" s="497">
        <v>46916</v>
      </c>
      <c r="E1427" s="466" t="s">
        <v>619</v>
      </c>
      <c r="F1427" s="466">
        <v>60886379.189999998</v>
      </c>
      <c r="G1427" s="478">
        <v>39356.609999999404</v>
      </c>
      <c r="H1427" s="466">
        <v>0</v>
      </c>
      <c r="I1427" s="479">
        <v>0</v>
      </c>
    </row>
    <row r="1428" spans="1:9" ht="15.75" customHeight="1">
      <c r="A1428" s="467"/>
      <c r="B1428" s="467"/>
      <c r="C1428" s="466"/>
      <c r="D1428" s="497">
        <v>46917</v>
      </c>
      <c r="E1428" s="466" t="s">
        <v>618</v>
      </c>
      <c r="F1428" s="466">
        <v>60925735.789999999</v>
      </c>
      <c r="G1428" s="478">
        <v>39356.60000000149</v>
      </c>
      <c r="H1428" s="466">
        <v>0</v>
      </c>
      <c r="I1428" s="479">
        <v>0</v>
      </c>
    </row>
    <row r="1429" spans="1:9" ht="15.75" customHeight="1">
      <c r="A1429" s="467"/>
      <c r="B1429" s="467"/>
      <c r="C1429" s="466"/>
      <c r="D1429" s="497">
        <v>46918</v>
      </c>
      <c r="E1429" s="466" t="s">
        <v>624</v>
      </c>
      <c r="F1429" s="466">
        <v>60965092.399999999</v>
      </c>
      <c r="G1429" s="478">
        <v>39356.609999999404</v>
      </c>
      <c r="H1429" s="466">
        <v>275496.24000000209</v>
      </c>
      <c r="I1429" s="479">
        <v>550992.46999999881</v>
      </c>
    </row>
    <row r="1430" spans="1:9" ht="15.75" customHeight="1">
      <c r="A1430" s="467"/>
      <c r="B1430" s="467"/>
      <c r="C1430" s="466"/>
      <c r="D1430" s="497">
        <v>46919</v>
      </c>
      <c r="E1430" s="466" t="s">
        <v>623</v>
      </c>
      <c r="F1430" s="466">
        <v>61004449</v>
      </c>
      <c r="G1430" s="478">
        <v>39356.60000000149</v>
      </c>
      <c r="H1430" s="466">
        <v>0</v>
      </c>
      <c r="I1430" s="479">
        <v>0</v>
      </c>
    </row>
    <row r="1431" spans="1:9" ht="15.75" customHeight="1">
      <c r="A1431" s="467"/>
      <c r="B1431" s="467"/>
      <c r="C1431" s="466"/>
      <c r="D1431" s="497">
        <v>46920</v>
      </c>
      <c r="E1431" s="466" t="s">
        <v>622</v>
      </c>
      <c r="F1431" s="466">
        <v>61043805.609999999</v>
      </c>
      <c r="G1431" s="478">
        <v>39356.609999999404</v>
      </c>
      <c r="H1431" s="466">
        <v>0</v>
      </c>
      <c r="I1431" s="479">
        <v>0</v>
      </c>
    </row>
    <row r="1432" spans="1:9" ht="15.75" customHeight="1">
      <c r="A1432" s="467"/>
      <c r="B1432" s="467"/>
      <c r="C1432" s="466"/>
      <c r="D1432" s="497">
        <v>46921</v>
      </c>
      <c r="E1432" s="466" t="s">
        <v>621</v>
      </c>
      <c r="F1432" s="466">
        <v>61083162.210000001</v>
      </c>
      <c r="G1432" s="478">
        <v>39356.60000000149</v>
      </c>
      <c r="H1432" s="466">
        <v>0</v>
      </c>
      <c r="I1432" s="479">
        <v>0</v>
      </c>
    </row>
    <row r="1433" spans="1:9" ht="15.75" customHeight="1">
      <c r="A1433" s="467"/>
      <c r="B1433" s="467"/>
      <c r="C1433" s="466"/>
      <c r="D1433" s="497">
        <v>46922</v>
      </c>
      <c r="E1433" s="466" t="s">
        <v>620</v>
      </c>
      <c r="F1433" s="466">
        <v>61122518.82</v>
      </c>
      <c r="G1433" s="478">
        <v>39356.609999999404</v>
      </c>
      <c r="H1433" s="466">
        <v>0</v>
      </c>
      <c r="I1433" s="479">
        <v>0</v>
      </c>
    </row>
    <row r="1434" spans="1:9" ht="15.75" customHeight="1">
      <c r="A1434" s="467"/>
      <c r="B1434" s="467"/>
      <c r="C1434" s="466"/>
      <c r="D1434" s="497">
        <v>46923</v>
      </c>
      <c r="E1434" s="466" t="s">
        <v>619</v>
      </c>
      <c r="F1434" s="466">
        <v>61161875.420000002</v>
      </c>
      <c r="G1434" s="478">
        <v>39356.60000000149</v>
      </c>
      <c r="H1434" s="466">
        <v>0</v>
      </c>
      <c r="I1434" s="479">
        <v>0</v>
      </c>
    </row>
    <row r="1435" spans="1:9" ht="15.75" customHeight="1">
      <c r="A1435" s="467"/>
      <c r="B1435" s="467"/>
      <c r="C1435" s="466"/>
      <c r="D1435" s="497">
        <v>46924</v>
      </c>
      <c r="E1435" s="466" t="s">
        <v>618</v>
      </c>
      <c r="F1435" s="466">
        <v>61201232.030000001</v>
      </c>
      <c r="G1435" s="478">
        <v>39356.609999999404</v>
      </c>
      <c r="H1435" s="466">
        <v>0</v>
      </c>
      <c r="I1435" s="479">
        <v>0</v>
      </c>
    </row>
    <row r="1436" spans="1:9" ht="15.75" customHeight="1">
      <c r="A1436" s="467"/>
      <c r="B1436" s="467"/>
      <c r="C1436" s="466"/>
      <c r="D1436" s="497">
        <v>46925</v>
      </c>
      <c r="E1436" s="466" t="s">
        <v>624</v>
      </c>
      <c r="F1436" s="466">
        <v>61240588.630000003</v>
      </c>
      <c r="G1436" s="478">
        <v>39356.60000000149</v>
      </c>
      <c r="H1436" s="466">
        <v>275496.23000000417</v>
      </c>
      <c r="I1436" s="479">
        <v>0</v>
      </c>
    </row>
    <row r="1437" spans="1:9" ht="15.75" customHeight="1">
      <c r="A1437" s="467"/>
      <c r="B1437" s="467"/>
      <c r="C1437" s="466"/>
      <c r="D1437" s="497">
        <v>46926</v>
      </c>
      <c r="E1437" s="466" t="s">
        <v>623</v>
      </c>
      <c r="F1437" s="466">
        <v>61279945.240000002</v>
      </c>
      <c r="G1437" s="478">
        <v>39356.609999999404</v>
      </c>
      <c r="H1437" s="466">
        <v>0</v>
      </c>
      <c r="I1437" s="479">
        <v>0</v>
      </c>
    </row>
    <row r="1438" spans="1:9" ht="15.75" customHeight="1">
      <c r="A1438" s="467"/>
      <c r="B1438" s="467"/>
      <c r="C1438" s="466"/>
      <c r="D1438" s="497">
        <v>46927</v>
      </c>
      <c r="E1438" s="466" t="s">
        <v>622</v>
      </c>
      <c r="F1438" s="466">
        <v>61319301.840000004</v>
      </c>
      <c r="G1438" s="478">
        <v>39356.60000000149</v>
      </c>
      <c r="H1438" s="466">
        <v>0</v>
      </c>
      <c r="I1438" s="479">
        <v>0</v>
      </c>
    </row>
    <row r="1439" spans="1:9" ht="15.75" customHeight="1">
      <c r="A1439" s="467"/>
      <c r="B1439" s="467"/>
      <c r="C1439" s="466"/>
      <c r="D1439" s="497">
        <v>46928</v>
      </c>
      <c r="E1439" s="466" t="s">
        <v>621</v>
      </c>
      <c r="F1439" s="466">
        <v>61358658.450000003</v>
      </c>
      <c r="G1439" s="478">
        <v>39356.609999999404</v>
      </c>
      <c r="H1439" s="466">
        <v>0</v>
      </c>
      <c r="I1439" s="479">
        <v>0</v>
      </c>
    </row>
    <row r="1440" spans="1:9" ht="15.75" customHeight="1">
      <c r="A1440" s="467"/>
      <c r="B1440" s="467"/>
      <c r="C1440" s="466"/>
      <c r="D1440" s="497">
        <v>46929</v>
      </c>
      <c r="E1440" s="466" t="s">
        <v>620</v>
      </c>
      <c r="F1440" s="466">
        <v>61398015.049999997</v>
      </c>
      <c r="G1440" s="478">
        <v>39356.59999999404</v>
      </c>
      <c r="H1440" s="466">
        <v>0</v>
      </c>
      <c r="I1440" s="479">
        <v>0</v>
      </c>
    </row>
    <row r="1441" spans="1:9" ht="15.75" customHeight="1">
      <c r="A1441" s="467"/>
      <c r="B1441" s="467"/>
      <c r="C1441" s="466"/>
      <c r="D1441" s="497">
        <v>46930</v>
      </c>
      <c r="E1441" s="466" t="s">
        <v>619</v>
      </c>
      <c r="F1441" s="466">
        <v>61437371.659999996</v>
      </c>
      <c r="G1441" s="478">
        <v>39356.609999999404</v>
      </c>
      <c r="H1441" s="466">
        <v>0</v>
      </c>
      <c r="I1441" s="479">
        <v>0</v>
      </c>
    </row>
    <row r="1442" spans="1:9" ht="15.75" customHeight="1">
      <c r="A1442" s="467"/>
      <c r="B1442" s="467"/>
      <c r="C1442" s="466"/>
      <c r="D1442" s="497">
        <v>46931</v>
      </c>
      <c r="E1442" s="466" t="s">
        <v>618</v>
      </c>
      <c r="F1442" s="466">
        <v>61476728.259999998</v>
      </c>
      <c r="G1442" s="478">
        <v>39356.60000000149</v>
      </c>
      <c r="H1442" s="466">
        <v>0</v>
      </c>
      <c r="I1442" s="479">
        <v>0</v>
      </c>
    </row>
    <row r="1443" spans="1:9" ht="15.75" customHeight="1">
      <c r="A1443" s="467"/>
      <c r="B1443" s="467"/>
      <c r="C1443" s="466"/>
      <c r="D1443" s="497">
        <v>46932</v>
      </c>
      <c r="E1443" s="466" t="s">
        <v>624</v>
      </c>
      <c r="F1443" s="466">
        <v>61516084.869999997</v>
      </c>
      <c r="G1443" s="478">
        <v>39356.609999999404</v>
      </c>
      <c r="H1443" s="466">
        <v>275496.23999999464</v>
      </c>
      <c r="I1443" s="479">
        <v>550992.46999999881</v>
      </c>
    </row>
    <row r="1444" spans="1:9" ht="15.75" customHeight="1">
      <c r="A1444" s="467"/>
      <c r="B1444" s="467"/>
      <c r="C1444" s="466"/>
      <c r="D1444" s="497">
        <v>46933</v>
      </c>
      <c r="E1444" s="466" t="s">
        <v>623</v>
      </c>
      <c r="F1444" s="466">
        <v>61555441.469999999</v>
      </c>
      <c r="G1444" s="478">
        <v>39356.60000000149</v>
      </c>
      <c r="H1444" s="466">
        <v>0</v>
      </c>
      <c r="I1444" s="479">
        <v>0</v>
      </c>
    </row>
    <row r="1445" spans="1:9" ht="15.75" customHeight="1">
      <c r="A1445" s="467"/>
      <c r="B1445" s="467"/>
      <c r="C1445" s="466"/>
      <c r="D1445" s="497">
        <v>46934</v>
      </c>
      <c r="E1445" s="466" t="s">
        <v>622</v>
      </c>
      <c r="F1445" s="466">
        <v>61594798.079999998</v>
      </c>
      <c r="G1445" s="478">
        <v>39356.609999999404</v>
      </c>
      <c r="H1445" s="466">
        <v>0</v>
      </c>
      <c r="I1445" s="479">
        <v>0</v>
      </c>
    </row>
    <row r="1446" spans="1:9" ht="15.75" customHeight="1">
      <c r="A1446" s="467"/>
      <c r="B1446" s="467"/>
      <c r="C1446" s="466"/>
      <c r="D1446" s="497">
        <v>46935</v>
      </c>
      <c r="E1446" s="466" t="s">
        <v>621</v>
      </c>
      <c r="F1446" s="466">
        <v>61634154.68</v>
      </c>
      <c r="G1446" s="478">
        <v>39356.60000000149</v>
      </c>
      <c r="H1446" s="466">
        <v>0</v>
      </c>
      <c r="I1446" s="479">
        <v>0</v>
      </c>
    </row>
    <row r="1447" spans="1:9" ht="15.75" customHeight="1">
      <c r="A1447" s="467"/>
      <c r="B1447" s="467"/>
      <c r="C1447" s="466"/>
      <c r="D1447" s="497">
        <v>46936</v>
      </c>
      <c r="E1447" s="466" t="s">
        <v>620</v>
      </c>
      <c r="F1447" s="466">
        <v>61673511.289999999</v>
      </c>
      <c r="G1447" s="478">
        <v>39356.609999999404</v>
      </c>
      <c r="H1447" s="466">
        <v>0</v>
      </c>
      <c r="I1447" s="479">
        <v>0</v>
      </c>
    </row>
    <row r="1448" spans="1:9" ht="15.75" customHeight="1">
      <c r="A1448" s="467"/>
      <c r="B1448" s="467"/>
      <c r="C1448" s="466"/>
      <c r="D1448" s="497">
        <v>46937</v>
      </c>
      <c r="E1448" s="466" t="s">
        <v>619</v>
      </c>
      <c r="F1448" s="466">
        <v>61712867.890000001</v>
      </c>
      <c r="G1448" s="478">
        <v>39356.60000000149</v>
      </c>
      <c r="H1448" s="466">
        <v>0</v>
      </c>
      <c r="I1448" s="479">
        <v>0</v>
      </c>
    </row>
    <row r="1449" spans="1:9" ht="15.75" customHeight="1">
      <c r="A1449" s="467"/>
      <c r="B1449" s="467"/>
      <c r="C1449" s="466"/>
      <c r="D1449" s="497">
        <v>46938</v>
      </c>
      <c r="E1449" s="466" t="s">
        <v>618</v>
      </c>
      <c r="F1449" s="466">
        <v>61752224.5</v>
      </c>
      <c r="G1449" s="478">
        <v>39356.609999999404</v>
      </c>
      <c r="H1449" s="466">
        <v>0</v>
      </c>
      <c r="I1449" s="479">
        <v>0</v>
      </c>
    </row>
    <row r="1450" spans="1:9" ht="15.75" customHeight="1">
      <c r="A1450" s="467"/>
      <c r="B1450" s="467"/>
      <c r="C1450" s="466"/>
      <c r="D1450" s="497">
        <v>46939</v>
      </c>
      <c r="E1450" s="466" t="s">
        <v>624</v>
      </c>
      <c r="F1450" s="466">
        <v>61791581.100000001</v>
      </c>
      <c r="G1450" s="478">
        <v>39356.60000000149</v>
      </c>
      <c r="H1450" s="466">
        <v>275496.23000000417</v>
      </c>
      <c r="I1450" s="479">
        <v>0</v>
      </c>
    </row>
    <row r="1451" spans="1:9" ht="15.75" customHeight="1">
      <c r="A1451" s="467"/>
      <c r="B1451" s="467"/>
      <c r="C1451" s="466"/>
      <c r="D1451" s="497">
        <v>46940</v>
      </c>
      <c r="E1451" s="466" t="s">
        <v>623</v>
      </c>
      <c r="F1451" s="466">
        <v>61830937.710000001</v>
      </c>
      <c r="G1451" s="478">
        <v>39356.609999999404</v>
      </c>
      <c r="H1451" s="466">
        <v>0</v>
      </c>
      <c r="I1451" s="479">
        <v>0</v>
      </c>
    </row>
    <row r="1452" spans="1:9" ht="15.75" customHeight="1">
      <c r="A1452" s="467"/>
      <c r="B1452" s="467"/>
      <c r="C1452" s="466"/>
      <c r="D1452" s="497">
        <v>46941</v>
      </c>
      <c r="E1452" s="466" t="s">
        <v>622</v>
      </c>
      <c r="F1452" s="466">
        <v>61870294.310000002</v>
      </c>
      <c r="G1452" s="478">
        <v>39356.60000000149</v>
      </c>
      <c r="H1452" s="466">
        <v>0</v>
      </c>
      <c r="I1452" s="479">
        <v>0</v>
      </c>
    </row>
    <row r="1453" spans="1:9" ht="15.75" customHeight="1">
      <c r="A1453" s="467"/>
      <c r="B1453" s="467"/>
      <c r="C1453" s="466"/>
      <c r="D1453" s="497">
        <v>46942</v>
      </c>
      <c r="E1453" s="466" t="s">
        <v>621</v>
      </c>
      <c r="F1453" s="466">
        <v>61909650.920000002</v>
      </c>
      <c r="G1453" s="478">
        <v>39356.609999999404</v>
      </c>
      <c r="H1453" s="466">
        <v>0</v>
      </c>
      <c r="I1453" s="479">
        <v>0</v>
      </c>
    </row>
    <row r="1454" spans="1:9" ht="15.75" customHeight="1">
      <c r="A1454" s="467"/>
      <c r="B1454" s="467"/>
      <c r="C1454" s="466"/>
      <c r="D1454" s="497">
        <v>46943</v>
      </c>
      <c r="E1454" s="466" t="s">
        <v>620</v>
      </c>
      <c r="F1454" s="466">
        <v>61949007.520000003</v>
      </c>
      <c r="G1454" s="478">
        <v>39356.60000000149</v>
      </c>
      <c r="H1454" s="466">
        <v>0</v>
      </c>
      <c r="I1454" s="479">
        <v>0</v>
      </c>
    </row>
    <row r="1455" spans="1:9" ht="15.75" customHeight="1">
      <c r="A1455" s="467"/>
      <c r="B1455" s="467"/>
      <c r="C1455" s="466"/>
      <c r="D1455" s="497">
        <v>46944</v>
      </c>
      <c r="E1455" s="466" t="s">
        <v>619</v>
      </c>
      <c r="F1455" s="466">
        <v>61988364.130000003</v>
      </c>
      <c r="G1455" s="478">
        <v>39356.609999999404</v>
      </c>
      <c r="H1455" s="466">
        <v>0</v>
      </c>
      <c r="I1455" s="479">
        <v>0</v>
      </c>
    </row>
    <row r="1456" spans="1:9" ht="15.75" customHeight="1">
      <c r="A1456" s="467"/>
      <c r="B1456" s="467"/>
      <c r="C1456" s="466"/>
      <c r="D1456" s="497">
        <v>46945</v>
      </c>
      <c r="E1456" s="466" t="s">
        <v>618</v>
      </c>
      <c r="F1456" s="466">
        <v>62027720.729999997</v>
      </c>
      <c r="G1456" s="478">
        <v>39356.59999999404</v>
      </c>
      <c r="H1456" s="466">
        <v>0</v>
      </c>
      <c r="I1456" s="479">
        <v>0</v>
      </c>
    </row>
    <row r="1457" spans="1:9" ht="15.75" customHeight="1">
      <c r="A1457" s="467"/>
      <c r="B1457" s="467"/>
      <c r="C1457" s="466"/>
      <c r="D1457" s="497">
        <v>46946</v>
      </c>
      <c r="E1457" s="466" t="s">
        <v>624</v>
      </c>
      <c r="F1457" s="466">
        <v>62067077.340000004</v>
      </c>
      <c r="G1457" s="478">
        <v>39356.610000006855</v>
      </c>
      <c r="H1457" s="466">
        <v>275496.24000000209</v>
      </c>
      <c r="I1457" s="479">
        <v>550992.47000000626</v>
      </c>
    </row>
    <row r="1458" spans="1:9" ht="15.75" customHeight="1">
      <c r="A1458" s="467"/>
      <c r="B1458" s="467"/>
      <c r="C1458" s="466"/>
      <c r="D1458" s="497">
        <v>46947</v>
      </c>
      <c r="E1458" s="466" t="s">
        <v>623</v>
      </c>
      <c r="F1458" s="466">
        <v>62106433.939999998</v>
      </c>
      <c r="G1458" s="478">
        <v>39356.59999999404</v>
      </c>
      <c r="H1458" s="466">
        <v>0</v>
      </c>
      <c r="I1458" s="479">
        <v>0</v>
      </c>
    </row>
    <row r="1459" spans="1:9" ht="15.75" customHeight="1">
      <c r="A1459" s="467"/>
      <c r="B1459" s="467"/>
      <c r="C1459" s="466"/>
      <c r="D1459" s="497">
        <v>46948</v>
      </c>
      <c r="E1459" s="466" t="s">
        <v>622</v>
      </c>
      <c r="F1459" s="466">
        <v>62145790.549999997</v>
      </c>
      <c r="G1459" s="478">
        <v>39356.609999999404</v>
      </c>
      <c r="H1459" s="466">
        <v>0</v>
      </c>
      <c r="I1459" s="479">
        <v>0</v>
      </c>
    </row>
    <row r="1460" spans="1:9" ht="15.75" customHeight="1">
      <c r="A1460" s="467"/>
      <c r="B1460" s="467"/>
      <c r="C1460" s="466"/>
      <c r="D1460" s="497">
        <v>46949</v>
      </c>
      <c r="E1460" s="466" t="s">
        <v>621</v>
      </c>
      <c r="F1460" s="466">
        <v>62185147.149999999</v>
      </c>
      <c r="G1460" s="478">
        <v>39356.60000000149</v>
      </c>
      <c r="H1460" s="466">
        <v>0</v>
      </c>
      <c r="I1460" s="479">
        <v>0</v>
      </c>
    </row>
    <row r="1461" spans="1:9" ht="15.75" customHeight="1">
      <c r="A1461" s="467"/>
      <c r="B1461" s="467"/>
      <c r="C1461" s="466"/>
      <c r="D1461" s="497">
        <v>46950</v>
      </c>
      <c r="E1461" s="466" t="s">
        <v>620</v>
      </c>
      <c r="F1461" s="466">
        <v>62224503.759999998</v>
      </c>
      <c r="G1461" s="478">
        <v>39356.609999999404</v>
      </c>
      <c r="H1461" s="466">
        <v>0</v>
      </c>
      <c r="I1461" s="479">
        <v>0</v>
      </c>
    </row>
    <row r="1462" spans="1:9" ht="15.75" customHeight="1">
      <c r="A1462" s="467"/>
      <c r="B1462" s="467"/>
      <c r="C1462" s="466"/>
      <c r="D1462" s="497">
        <v>46951</v>
      </c>
      <c r="E1462" s="466" t="s">
        <v>619</v>
      </c>
      <c r="F1462" s="466">
        <v>62263860.359999999</v>
      </c>
      <c r="G1462" s="478">
        <v>39356.60000000149</v>
      </c>
      <c r="H1462" s="466">
        <v>0</v>
      </c>
      <c r="I1462" s="479">
        <v>0</v>
      </c>
    </row>
    <row r="1463" spans="1:9" ht="15.75" customHeight="1">
      <c r="A1463" s="467"/>
      <c r="B1463" s="467"/>
      <c r="C1463" s="466"/>
      <c r="D1463" s="497">
        <v>46952</v>
      </c>
      <c r="E1463" s="466" t="s">
        <v>618</v>
      </c>
      <c r="F1463" s="466">
        <v>62303216.969999999</v>
      </c>
      <c r="G1463" s="478">
        <v>39356.609999999404</v>
      </c>
      <c r="H1463" s="466">
        <v>0</v>
      </c>
      <c r="I1463" s="479">
        <v>0</v>
      </c>
    </row>
    <row r="1464" spans="1:9" ht="15.75" customHeight="1">
      <c r="A1464" s="467"/>
      <c r="B1464" s="467"/>
      <c r="C1464" s="466"/>
      <c r="D1464" s="497">
        <v>46953</v>
      </c>
      <c r="E1464" s="466" t="s">
        <v>624</v>
      </c>
      <c r="F1464" s="466">
        <v>62342573.57</v>
      </c>
      <c r="G1464" s="478">
        <v>39356.60000000149</v>
      </c>
      <c r="H1464" s="466">
        <v>275496.22999999672</v>
      </c>
      <c r="I1464" s="479">
        <v>0</v>
      </c>
    </row>
    <row r="1465" spans="1:9" ht="15.75" customHeight="1">
      <c r="A1465" s="467"/>
      <c r="B1465" s="467"/>
      <c r="C1465" s="466"/>
      <c r="D1465" s="497">
        <v>46954</v>
      </c>
      <c r="E1465" s="466" t="s">
        <v>623</v>
      </c>
      <c r="F1465" s="466">
        <v>62381930.18</v>
      </c>
      <c r="G1465" s="478">
        <v>39356.609999999404</v>
      </c>
      <c r="H1465" s="466">
        <v>0</v>
      </c>
      <c r="I1465" s="479">
        <v>0</v>
      </c>
    </row>
    <row r="1466" spans="1:9" ht="15.75" customHeight="1">
      <c r="A1466" s="467"/>
      <c r="B1466" s="467"/>
      <c r="C1466" s="466"/>
      <c r="D1466" s="497">
        <v>46955</v>
      </c>
      <c r="E1466" s="466" t="s">
        <v>622</v>
      </c>
      <c r="F1466" s="466">
        <v>62421286.780000001</v>
      </c>
      <c r="G1466" s="478">
        <v>39356.60000000149</v>
      </c>
      <c r="H1466" s="466">
        <v>0</v>
      </c>
      <c r="I1466" s="479">
        <v>0</v>
      </c>
    </row>
    <row r="1467" spans="1:9" ht="15.75" customHeight="1">
      <c r="A1467" s="467"/>
      <c r="B1467" s="467"/>
      <c r="C1467" s="466"/>
      <c r="D1467" s="497">
        <v>46956</v>
      </c>
      <c r="E1467" s="466" t="s">
        <v>621</v>
      </c>
      <c r="F1467" s="466">
        <v>62460643.390000001</v>
      </c>
      <c r="G1467" s="478">
        <v>39356.609999999404</v>
      </c>
      <c r="H1467" s="466">
        <v>0</v>
      </c>
      <c r="I1467" s="479">
        <v>0</v>
      </c>
    </row>
    <row r="1468" spans="1:9" ht="15.75" customHeight="1">
      <c r="A1468" s="467"/>
      <c r="B1468" s="467"/>
      <c r="C1468" s="466"/>
      <c r="D1468" s="497">
        <v>46957</v>
      </c>
      <c r="E1468" s="466" t="s">
        <v>620</v>
      </c>
      <c r="F1468" s="466">
        <v>62500000</v>
      </c>
      <c r="G1468" s="478">
        <v>39356.609999999404</v>
      </c>
      <c r="H1468" s="466">
        <v>0</v>
      </c>
      <c r="I1468" s="479">
        <v>0</v>
      </c>
    </row>
    <row r="1469" spans="1:9" ht="15.75" customHeight="1">
      <c r="A1469" s="467"/>
      <c r="B1469" s="467"/>
      <c r="C1469" s="466"/>
      <c r="D1469" s="497">
        <v>46958</v>
      </c>
      <c r="E1469" s="466" t="s">
        <v>619</v>
      </c>
      <c r="F1469" s="466">
        <v>62500000</v>
      </c>
      <c r="G1469" s="478">
        <v>0</v>
      </c>
      <c r="H1469" s="466">
        <v>0</v>
      </c>
      <c r="I1469" s="479">
        <v>0</v>
      </c>
    </row>
    <row r="1470" spans="1:9" ht="15.75" customHeight="1">
      <c r="A1470" s="467"/>
      <c r="B1470" s="467"/>
      <c r="C1470" s="466"/>
      <c r="D1470" s="497">
        <v>46959</v>
      </c>
      <c r="E1470" s="466" t="s">
        <v>618</v>
      </c>
      <c r="F1470" s="466">
        <v>62500000</v>
      </c>
      <c r="G1470" s="478">
        <v>0</v>
      </c>
      <c r="H1470" s="466">
        <v>0</v>
      </c>
      <c r="I1470" s="479">
        <v>0</v>
      </c>
    </row>
    <row r="1471" spans="1:9" ht="15.75" customHeight="1">
      <c r="A1471" s="467"/>
      <c r="B1471" s="467"/>
      <c r="C1471" s="466"/>
      <c r="D1471" s="497">
        <v>46960</v>
      </c>
      <c r="E1471" s="466" t="s">
        <v>624</v>
      </c>
      <c r="F1471" s="466">
        <v>62500000</v>
      </c>
      <c r="G1471" s="478">
        <v>0</v>
      </c>
      <c r="H1471" s="466">
        <v>157426.4299999997</v>
      </c>
      <c r="I1471" s="479">
        <v>432922.65999999642</v>
      </c>
    </row>
    <row r="1472" spans="1:9" ht="15.75" customHeight="1">
      <c r="A1472" s="467"/>
      <c r="B1472" s="467"/>
      <c r="C1472" s="466"/>
      <c r="D1472" s="497">
        <v>46961</v>
      </c>
      <c r="E1472" s="466" t="s">
        <v>623</v>
      </c>
      <c r="F1472" s="466">
        <v>62500000</v>
      </c>
      <c r="G1472" s="478">
        <v>0</v>
      </c>
      <c r="H1472" s="466">
        <v>0</v>
      </c>
      <c r="I1472" s="479">
        <v>0</v>
      </c>
    </row>
    <row r="1473" spans="1:9" ht="15.75" customHeight="1">
      <c r="A1473" s="467"/>
      <c r="B1473" s="467"/>
      <c r="C1473" s="466"/>
      <c r="D1473" s="497">
        <v>46962</v>
      </c>
      <c r="E1473" s="466" t="s">
        <v>622</v>
      </c>
      <c r="F1473" s="466">
        <v>62500000</v>
      </c>
      <c r="G1473" s="478">
        <v>0</v>
      </c>
      <c r="H1473" s="466">
        <v>0</v>
      </c>
      <c r="I1473" s="479">
        <v>0</v>
      </c>
    </row>
    <row r="1474" spans="1:9" ht="15.75" customHeight="1">
      <c r="A1474" s="467"/>
      <c r="B1474" s="467"/>
      <c r="C1474" s="466"/>
      <c r="D1474" s="497">
        <v>46963</v>
      </c>
      <c r="E1474" s="466" t="s">
        <v>621</v>
      </c>
      <c r="F1474" s="466">
        <v>62500000</v>
      </c>
      <c r="G1474" s="478">
        <v>0</v>
      </c>
      <c r="H1474" s="466">
        <v>0</v>
      </c>
      <c r="I1474" s="479">
        <v>0</v>
      </c>
    </row>
    <row r="1475" spans="1:9" ht="15.75" customHeight="1">
      <c r="A1475" s="467"/>
      <c r="B1475" s="467"/>
      <c r="C1475" s="466"/>
      <c r="D1475" s="497">
        <v>46964</v>
      </c>
      <c r="E1475" s="466" t="s">
        <v>620</v>
      </c>
      <c r="F1475" s="466">
        <v>62500000</v>
      </c>
      <c r="G1475" s="478">
        <v>0</v>
      </c>
      <c r="H1475" s="466">
        <v>0</v>
      </c>
      <c r="I1475" s="479">
        <v>0</v>
      </c>
    </row>
    <row r="1476" spans="1:9" ht="15.75" customHeight="1">
      <c r="A1476" s="467"/>
      <c r="B1476" s="467"/>
      <c r="C1476" s="466"/>
      <c r="D1476" s="497">
        <v>46965</v>
      </c>
      <c r="E1476" s="466" t="s">
        <v>619</v>
      </c>
      <c r="F1476" s="466">
        <v>62500000</v>
      </c>
      <c r="G1476" s="478">
        <v>0</v>
      </c>
      <c r="H1476" s="466">
        <v>0</v>
      </c>
      <c r="I1476" s="479">
        <v>0</v>
      </c>
    </row>
    <row r="1477" spans="1:9" ht="15.75" customHeight="1">
      <c r="A1477" s="467"/>
      <c r="B1477" s="467"/>
      <c r="C1477" s="466"/>
      <c r="D1477" s="497">
        <v>46966</v>
      </c>
      <c r="E1477" s="466" t="s">
        <v>618</v>
      </c>
      <c r="F1477" s="466">
        <v>62500000</v>
      </c>
      <c r="G1477" s="478">
        <v>0</v>
      </c>
      <c r="H1477" s="466">
        <v>0</v>
      </c>
      <c r="I1477" s="479">
        <v>0</v>
      </c>
    </row>
    <row r="1478" spans="1:9" ht="15.75" customHeight="1">
      <c r="A1478" s="467"/>
      <c r="B1478" s="467"/>
      <c r="C1478" s="466"/>
      <c r="D1478" s="497">
        <v>46967</v>
      </c>
      <c r="E1478" s="466" t="s">
        <v>624</v>
      </c>
      <c r="F1478" s="466">
        <v>62500000</v>
      </c>
      <c r="G1478" s="478">
        <v>0</v>
      </c>
      <c r="H1478" s="466">
        <v>0</v>
      </c>
      <c r="I1478" s="479">
        <v>0</v>
      </c>
    </row>
    <row r="1479" spans="1:9" ht="15.75" customHeight="1">
      <c r="A1479" s="467"/>
      <c r="B1479" s="467"/>
      <c r="C1479" s="466"/>
      <c r="D1479" s="497">
        <v>46968</v>
      </c>
      <c r="E1479" s="466" t="s">
        <v>623</v>
      </c>
      <c r="F1479" s="466">
        <v>62500000</v>
      </c>
      <c r="G1479" s="478">
        <v>0</v>
      </c>
      <c r="H1479" s="466">
        <v>0</v>
      </c>
      <c r="I1479" s="479">
        <v>0</v>
      </c>
    </row>
    <row r="1480" spans="1:9" ht="15.75" customHeight="1">
      <c r="A1480" s="467"/>
      <c r="B1480" s="467"/>
      <c r="C1480" s="466"/>
      <c r="D1480" s="497">
        <v>46969</v>
      </c>
      <c r="E1480" s="466" t="s">
        <v>622</v>
      </c>
      <c r="F1480" s="466">
        <v>62500000</v>
      </c>
      <c r="G1480" s="478">
        <v>0</v>
      </c>
      <c r="H1480" s="466">
        <v>0</v>
      </c>
      <c r="I1480" s="479">
        <v>0</v>
      </c>
    </row>
    <row r="1481" spans="1:9" ht="15.75" customHeight="1">
      <c r="A1481" s="467"/>
      <c r="B1481" s="467"/>
      <c r="C1481" s="466"/>
      <c r="D1481" s="497">
        <v>46970</v>
      </c>
      <c r="E1481" s="466" t="s">
        <v>621</v>
      </c>
      <c r="F1481" s="466">
        <v>62500000</v>
      </c>
      <c r="G1481" s="478">
        <v>0</v>
      </c>
      <c r="H1481" s="466">
        <v>0</v>
      </c>
      <c r="I1481" s="479">
        <v>0</v>
      </c>
    </row>
    <row r="1482" spans="1:9" ht="15.75" customHeight="1">
      <c r="A1482" s="467"/>
      <c r="B1482" s="467"/>
      <c r="C1482" s="466"/>
      <c r="D1482" s="497">
        <v>46971</v>
      </c>
      <c r="E1482" s="466" t="s">
        <v>620</v>
      </c>
      <c r="F1482" s="466">
        <v>62500000</v>
      </c>
      <c r="G1482" s="478">
        <v>0</v>
      </c>
      <c r="H1482" s="466">
        <v>0</v>
      </c>
      <c r="I1482" s="479">
        <v>0</v>
      </c>
    </row>
    <row r="1483" spans="1:9" ht="15.75" customHeight="1">
      <c r="A1483" s="467"/>
      <c r="B1483" s="467"/>
      <c r="C1483" s="466"/>
      <c r="D1483" s="497">
        <v>46972</v>
      </c>
      <c r="E1483" s="466" t="s">
        <v>619</v>
      </c>
      <c r="F1483" s="466">
        <v>62500000</v>
      </c>
      <c r="G1483" s="478">
        <v>0</v>
      </c>
      <c r="H1483" s="466">
        <v>0</v>
      </c>
      <c r="I1483" s="479">
        <v>0</v>
      </c>
    </row>
    <row r="1484" spans="1:9" ht="15.75" customHeight="1">
      <c r="A1484" s="467"/>
      <c r="B1484" s="467"/>
      <c r="C1484" s="466"/>
      <c r="D1484" s="497">
        <v>46973</v>
      </c>
      <c r="E1484" s="466" t="s">
        <v>618</v>
      </c>
      <c r="F1484" s="466">
        <v>62500000</v>
      </c>
      <c r="G1484" s="478">
        <v>0</v>
      </c>
      <c r="H1484" s="466">
        <v>0</v>
      </c>
      <c r="I1484" s="479">
        <v>0</v>
      </c>
    </row>
    <row r="1485" spans="1:9" ht="15.75" customHeight="1">
      <c r="A1485" s="467"/>
      <c r="B1485" s="467"/>
      <c r="C1485" s="466"/>
      <c r="D1485" s="497">
        <v>46974</v>
      </c>
      <c r="E1485" s="466" t="s">
        <v>624</v>
      </c>
      <c r="F1485" s="466">
        <v>62500000</v>
      </c>
      <c r="G1485" s="478">
        <v>0</v>
      </c>
      <c r="H1485" s="466">
        <v>0</v>
      </c>
      <c r="I1485" s="479">
        <v>0</v>
      </c>
    </row>
    <row r="1486" spans="1:9" ht="15.75" customHeight="1">
      <c r="A1486" s="467"/>
      <c r="B1486" s="467"/>
      <c r="C1486" s="466"/>
      <c r="D1486" s="497">
        <v>46975</v>
      </c>
      <c r="E1486" s="466" t="s">
        <v>623</v>
      </c>
      <c r="F1486" s="466">
        <v>62500000</v>
      </c>
      <c r="G1486" s="478">
        <v>0</v>
      </c>
      <c r="H1486" s="466">
        <v>0</v>
      </c>
      <c r="I1486" s="479">
        <v>0</v>
      </c>
    </row>
    <row r="1487" spans="1:9" ht="15.75" customHeight="1">
      <c r="A1487" s="467"/>
      <c r="B1487" s="467"/>
      <c r="C1487" s="466"/>
      <c r="D1487" s="497">
        <v>46976</v>
      </c>
      <c r="E1487" s="466" t="s">
        <v>622</v>
      </c>
      <c r="F1487" s="466">
        <v>62500000</v>
      </c>
      <c r="G1487" s="478">
        <v>0</v>
      </c>
      <c r="H1487" s="466">
        <v>0</v>
      </c>
      <c r="I1487" s="479">
        <v>0</v>
      </c>
    </row>
    <row r="1488" spans="1:9" ht="15.75" customHeight="1">
      <c r="A1488" s="467"/>
      <c r="B1488" s="467"/>
      <c r="C1488" s="466"/>
      <c r="D1488" s="497">
        <v>46977</v>
      </c>
      <c r="E1488" s="466" t="s">
        <v>621</v>
      </c>
      <c r="F1488" s="466">
        <v>62500000</v>
      </c>
      <c r="G1488" s="478">
        <v>0</v>
      </c>
      <c r="H1488" s="466">
        <v>0</v>
      </c>
      <c r="I1488" s="479">
        <v>0</v>
      </c>
    </row>
    <row r="1489" spans="1:9" ht="15.75" customHeight="1">
      <c r="A1489" s="467"/>
      <c r="B1489" s="467"/>
      <c r="C1489" s="466"/>
      <c r="D1489" s="497">
        <v>46978</v>
      </c>
      <c r="E1489" s="466" t="s">
        <v>620</v>
      </c>
      <c r="F1489" s="466">
        <v>62500000</v>
      </c>
      <c r="G1489" s="478">
        <v>0</v>
      </c>
      <c r="H1489" s="466">
        <v>0</v>
      </c>
      <c r="I1489" s="479">
        <v>0</v>
      </c>
    </row>
    <row r="1490" spans="1:9" ht="15.75" customHeight="1">
      <c r="A1490" s="467"/>
      <c r="B1490" s="467"/>
      <c r="C1490" s="466"/>
      <c r="D1490" s="497">
        <v>46979</v>
      </c>
      <c r="E1490" s="466" t="s">
        <v>619</v>
      </c>
      <c r="F1490" s="466">
        <v>62500000</v>
      </c>
      <c r="G1490" s="478">
        <v>0</v>
      </c>
      <c r="H1490" s="466">
        <v>0</v>
      </c>
      <c r="I1490" s="479">
        <v>0</v>
      </c>
    </row>
    <row r="1491" spans="1:9" ht="15.75" customHeight="1">
      <c r="A1491" s="467"/>
      <c r="B1491" s="467"/>
      <c r="C1491" s="466"/>
      <c r="D1491" s="497">
        <v>46980</v>
      </c>
      <c r="E1491" s="466" t="s">
        <v>618</v>
      </c>
      <c r="F1491" s="466">
        <v>62500000</v>
      </c>
      <c r="G1491" s="478">
        <v>0</v>
      </c>
      <c r="H1491" s="466">
        <v>0</v>
      </c>
      <c r="I1491" s="479">
        <v>0</v>
      </c>
    </row>
    <row r="1492" spans="1:9" ht="15.75" customHeight="1">
      <c r="A1492" s="467"/>
      <c r="B1492" s="467"/>
      <c r="C1492" s="466"/>
      <c r="D1492" s="497">
        <v>46981</v>
      </c>
      <c r="E1492" s="466" t="s">
        <v>624</v>
      </c>
      <c r="F1492" s="466">
        <v>62500000</v>
      </c>
      <c r="G1492" s="478">
        <v>0</v>
      </c>
      <c r="H1492" s="466">
        <v>0</v>
      </c>
      <c r="I1492" s="479">
        <v>0</v>
      </c>
    </row>
    <row r="1493" spans="1:9" ht="15.75" customHeight="1">
      <c r="A1493" s="467"/>
      <c r="B1493" s="467"/>
      <c r="C1493" s="466"/>
      <c r="D1493" s="497">
        <v>46982</v>
      </c>
      <c r="E1493" s="466" t="s">
        <v>623</v>
      </c>
      <c r="F1493" s="466">
        <v>62500000</v>
      </c>
      <c r="G1493" s="478">
        <v>0</v>
      </c>
      <c r="H1493" s="466">
        <v>0</v>
      </c>
      <c r="I1493" s="479">
        <v>0</v>
      </c>
    </row>
    <row r="1494" spans="1:9" ht="15.75" customHeight="1">
      <c r="A1494" s="467"/>
      <c r="B1494" s="467"/>
      <c r="C1494" s="466"/>
      <c r="D1494" s="497">
        <v>46983</v>
      </c>
      <c r="E1494" s="466" t="s">
        <v>622</v>
      </c>
      <c r="F1494" s="466">
        <v>62500000</v>
      </c>
      <c r="G1494" s="478">
        <v>0</v>
      </c>
      <c r="H1494" s="466">
        <v>0</v>
      </c>
      <c r="I1494" s="479">
        <v>0</v>
      </c>
    </row>
    <row r="1495" spans="1:9" ht="15.75" customHeight="1">
      <c r="A1495" s="467"/>
      <c r="B1495" s="467"/>
      <c r="C1495" s="466"/>
      <c r="D1495" s="497">
        <v>46984</v>
      </c>
      <c r="E1495" s="466" t="s">
        <v>621</v>
      </c>
      <c r="F1495" s="466">
        <v>62500000</v>
      </c>
      <c r="G1495" s="478">
        <v>0</v>
      </c>
      <c r="H1495" s="466">
        <v>0</v>
      </c>
      <c r="I1495" s="479">
        <v>0</v>
      </c>
    </row>
    <row r="1496" spans="1:9" ht="15.75" customHeight="1">
      <c r="A1496" s="467"/>
      <c r="B1496" s="467"/>
      <c r="C1496" s="466"/>
      <c r="D1496" s="497">
        <v>46985</v>
      </c>
      <c r="E1496" s="466" t="s">
        <v>620</v>
      </c>
      <c r="F1496" s="466">
        <v>62500000</v>
      </c>
      <c r="G1496" s="478">
        <v>0</v>
      </c>
      <c r="H1496" s="466">
        <v>0</v>
      </c>
      <c r="I1496" s="479">
        <v>0</v>
      </c>
    </row>
    <row r="1497" spans="1:9" ht="15.75" customHeight="1">
      <c r="A1497" s="467"/>
      <c r="B1497" s="467"/>
      <c r="C1497" s="466"/>
      <c r="D1497" s="497">
        <v>46986</v>
      </c>
      <c r="E1497" s="466" t="s">
        <v>619</v>
      </c>
      <c r="F1497" s="466">
        <v>62500000</v>
      </c>
      <c r="G1497" s="478">
        <v>0</v>
      </c>
      <c r="H1497" s="466">
        <v>0</v>
      </c>
      <c r="I1497" s="479">
        <v>0</v>
      </c>
    </row>
    <row r="1498" spans="1:9" ht="15.75" customHeight="1">
      <c r="A1498" s="467"/>
      <c r="B1498" s="467"/>
      <c r="C1498" s="466"/>
      <c r="D1498" s="497">
        <v>46987</v>
      </c>
      <c r="E1498" s="466" t="s">
        <v>618</v>
      </c>
      <c r="F1498" s="466">
        <v>62500000</v>
      </c>
      <c r="G1498" s="478">
        <v>0</v>
      </c>
      <c r="H1498" s="466">
        <v>0</v>
      </c>
      <c r="I1498" s="479">
        <v>0</v>
      </c>
    </row>
    <row r="1499" spans="1:9" ht="15.75" customHeight="1">
      <c r="A1499" s="467"/>
      <c r="B1499" s="467"/>
      <c r="C1499" s="466"/>
      <c r="D1499" s="497">
        <v>46988</v>
      </c>
      <c r="E1499" s="466" t="s">
        <v>624</v>
      </c>
      <c r="F1499" s="466">
        <v>62500000</v>
      </c>
      <c r="G1499" s="478">
        <v>0</v>
      </c>
      <c r="H1499" s="466">
        <v>0</v>
      </c>
      <c r="I1499" s="479">
        <v>0</v>
      </c>
    </row>
    <row r="1500" spans="1:9" ht="15.75" customHeight="1">
      <c r="A1500" s="467"/>
      <c r="B1500" s="467"/>
      <c r="C1500" s="466"/>
      <c r="D1500" s="497">
        <v>46989</v>
      </c>
      <c r="E1500" s="466" t="s">
        <v>623</v>
      </c>
      <c r="F1500" s="466">
        <v>62500000</v>
      </c>
      <c r="G1500" s="478">
        <v>0</v>
      </c>
      <c r="H1500" s="466">
        <v>0</v>
      </c>
      <c r="I1500" s="479">
        <v>0</v>
      </c>
    </row>
    <row r="1501" spans="1:9" ht="15.75" customHeight="1">
      <c r="A1501" s="467"/>
      <c r="B1501" s="467"/>
      <c r="C1501" s="466"/>
      <c r="D1501" s="497">
        <v>46990</v>
      </c>
      <c r="E1501" s="466" t="s">
        <v>622</v>
      </c>
      <c r="F1501" s="466">
        <v>62500000</v>
      </c>
      <c r="G1501" s="478">
        <v>0</v>
      </c>
      <c r="H1501" s="466">
        <v>0</v>
      </c>
      <c r="I1501" s="479">
        <v>0</v>
      </c>
    </row>
    <row r="1502" spans="1:9" ht="15.75" customHeight="1">
      <c r="A1502" s="467"/>
      <c r="B1502" s="467"/>
      <c r="C1502" s="466"/>
      <c r="D1502" s="497">
        <v>46991</v>
      </c>
      <c r="E1502" s="466" t="s">
        <v>621</v>
      </c>
      <c r="F1502" s="466">
        <v>62500000</v>
      </c>
      <c r="G1502" s="478">
        <v>0</v>
      </c>
      <c r="H1502" s="466">
        <v>0</v>
      </c>
      <c r="I1502" s="479">
        <v>0</v>
      </c>
    </row>
    <row r="1503" spans="1:9" ht="15.75" customHeight="1">
      <c r="A1503" s="467"/>
      <c r="B1503" s="467"/>
      <c r="C1503" s="466"/>
      <c r="D1503" s="497">
        <v>46992</v>
      </c>
      <c r="E1503" s="466" t="s">
        <v>620</v>
      </c>
      <c r="F1503" s="466">
        <v>62500000</v>
      </c>
      <c r="G1503" s="478">
        <v>0</v>
      </c>
      <c r="H1503" s="466">
        <v>0</v>
      </c>
      <c r="I1503" s="479">
        <v>0</v>
      </c>
    </row>
    <row r="1504" spans="1:9" ht="15.75" customHeight="1">
      <c r="A1504" s="467"/>
      <c r="B1504" s="467"/>
      <c r="C1504" s="466"/>
      <c r="D1504" s="497">
        <v>46993</v>
      </c>
      <c r="E1504" s="466" t="s">
        <v>619</v>
      </c>
      <c r="F1504" s="466">
        <v>62500000</v>
      </c>
      <c r="G1504" s="478">
        <v>0</v>
      </c>
      <c r="H1504" s="466">
        <v>0</v>
      </c>
      <c r="I1504" s="479">
        <v>0</v>
      </c>
    </row>
    <row r="1505" spans="1:9" ht="15.75" customHeight="1">
      <c r="A1505" s="467"/>
      <c r="B1505" s="467"/>
      <c r="C1505" s="466"/>
      <c r="D1505" s="497">
        <v>46994</v>
      </c>
      <c r="E1505" s="466" t="s">
        <v>618</v>
      </c>
      <c r="F1505" s="466">
        <v>62500000</v>
      </c>
      <c r="G1505" s="478">
        <v>0</v>
      </c>
      <c r="H1505" s="466">
        <v>0</v>
      </c>
      <c r="I1505" s="479">
        <v>0</v>
      </c>
    </row>
    <row r="1506" spans="1:9" ht="15.75" customHeight="1">
      <c r="A1506" s="467"/>
      <c r="B1506" s="467"/>
      <c r="C1506" s="466"/>
      <c r="D1506" s="497">
        <v>46995</v>
      </c>
      <c r="E1506" s="466" t="s">
        <v>624</v>
      </c>
      <c r="F1506" s="466">
        <v>62500000</v>
      </c>
      <c r="G1506" s="478">
        <v>0</v>
      </c>
      <c r="H1506" s="466">
        <v>0</v>
      </c>
      <c r="I1506" s="479">
        <v>0</v>
      </c>
    </row>
    <row r="1507" spans="1:9" ht="15.75" customHeight="1">
      <c r="A1507" s="467"/>
      <c r="B1507" s="467"/>
      <c r="C1507" s="466"/>
      <c r="D1507" s="497">
        <v>46996</v>
      </c>
      <c r="E1507" s="466" t="s">
        <v>623</v>
      </c>
      <c r="F1507" s="466">
        <v>62500000</v>
      </c>
      <c r="G1507" s="478">
        <v>0</v>
      </c>
      <c r="H1507" s="466">
        <v>0</v>
      </c>
      <c r="I1507" s="479">
        <v>0</v>
      </c>
    </row>
    <row r="1508" spans="1:9" ht="15.75" customHeight="1">
      <c r="A1508" s="467"/>
      <c r="B1508" s="467"/>
      <c r="C1508" s="466"/>
      <c r="D1508" s="497">
        <v>46997</v>
      </c>
      <c r="E1508" s="466" t="s">
        <v>622</v>
      </c>
      <c r="F1508" s="466">
        <v>62500000</v>
      </c>
      <c r="G1508" s="478">
        <v>0</v>
      </c>
      <c r="H1508" s="466">
        <v>0</v>
      </c>
      <c r="I1508" s="479">
        <v>0</v>
      </c>
    </row>
    <row r="1509" spans="1:9" ht="15.75" customHeight="1">
      <c r="A1509" s="467"/>
      <c r="B1509" s="467"/>
      <c r="C1509" s="466"/>
      <c r="D1509" s="497">
        <v>46998</v>
      </c>
      <c r="E1509" s="466" t="s">
        <v>621</v>
      </c>
      <c r="F1509" s="466">
        <v>62500000</v>
      </c>
      <c r="G1509" s="478">
        <v>0</v>
      </c>
      <c r="H1509" s="466">
        <v>0</v>
      </c>
      <c r="I1509" s="479">
        <v>0</v>
      </c>
    </row>
    <row r="1510" spans="1:9" ht="15.75" customHeight="1">
      <c r="A1510" s="467"/>
      <c r="B1510" s="467"/>
      <c r="C1510" s="466"/>
      <c r="D1510" s="497">
        <v>46999</v>
      </c>
      <c r="E1510" s="466" t="s">
        <v>620</v>
      </c>
      <c r="F1510" s="466">
        <v>62500000</v>
      </c>
      <c r="G1510" s="478">
        <v>0</v>
      </c>
      <c r="H1510" s="466">
        <v>0</v>
      </c>
      <c r="I1510" s="479">
        <v>0</v>
      </c>
    </row>
    <row r="1511" spans="1:9" ht="15.75" customHeight="1">
      <c r="A1511" s="467"/>
      <c r="B1511" s="467"/>
      <c r="C1511" s="466"/>
      <c r="D1511" s="497">
        <v>47000</v>
      </c>
      <c r="E1511" s="466" t="s">
        <v>619</v>
      </c>
      <c r="F1511" s="466">
        <v>62500000</v>
      </c>
      <c r="G1511" s="478">
        <v>0</v>
      </c>
      <c r="H1511" s="466">
        <v>0</v>
      </c>
      <c r="I1511" s="479">
        <v>0</v>
      </c>
    </row>
    <row r="1512" spans="1:9" ht="15.75" customHeight="1">
      <c r="A1512" s="467"/>
      <c r="B1512" s="467"/>
      <c r="C1512" s="466"/>
      <c r="D1512" s="497">
        <v>47001</v>
      </c>
      <c r="E1512" s="466" t="s">
        <v>618</v>
      </c>
      <c r="F1512" s="466">
        <v>62500000</v>
      </c>
      <c r="G1512" s="478">
        <v>0</v>
      </c>
      <c r="H1512" s="466">
        <v>0</v>
      </c>
      <c r="I1512" s="479">
        <v>0</v>
      </c>
    </row>
    <row r="1513" spans="1:9" ht="15.75" customHeight="1">
      <c r="A1513" s="467"/>
      <c r="B1513" s="467"/>
      <c r="C1513" s="466"/>
      <c r="D1513" s="497">
        <v>47002</v>
      </c>
      <c r="E1513" s="466" t="s">
        <v>624</v>
      </c>
      <c r="F1513" s="466">
        <v>62500000</v>
      </c>
      <c r="G1513" s="478">
        <v>0</v>
      </c>
      <c r="H1513" s="466">
        <v>0</v>
      </c>
      <c r="I1513" s="479">
        <v>0</v>
      </c>
    </row>
    <row r="1514" spans="1:9" ht="15.75" customHeight="1">
      <c r="A1514" s="467"/>
      <c r="B1514" s="467"/>
      <c r="C1514" s="466"/>
      <c r="D1514" s="497">
        <v>47003</v>
      </c>
      <c r="E1514" s="466" t="s">
        <v>623</v>
      </c>
      <c r="F1514" s="466">
        <v>62500000</v>
      </c>
      <c r="G1514" s="478">
        <v>0</v>
      </c>
      <c r="H1514" s="466">
        <v>0</v>
      </c>
      <c r="I1514" s="479">
        <v>0</v>
      </c>
    </row>
    <row r="1515" spans="1:9" ht="15.75" customHeight="1">
      <c r="A1515" s="467"/>
      <c r="B1515" s="467"/>
      <c r="C1515" s="466"/>
      <c r="D1515" s="497">
        <v>47004</v>
      </c>
      <c r="E1515" s="466" t="s">
        <v>622</v>
      </c>
      <c r="F1515" s="466">
        <v>62500000</v>
      </c>
      <c r="G1515" s="478">
        <v>0</v>
      </c>
      <c r="H1515" s="466">
        <v>0</v>
      </c>
      <c r="I1515" s="479">
        <v>0</v>
      </c>
    </row>
    <row r="1516" spans="1:9" ht="15.75" customHeight="1">
      <c r="A1516" s="467"/>
      <c r="B1516" s="467"/>
      <c r="C1516" s="466"/>
      <c r="D1516" s="497">
        <v>47005</v>
      </c>
      <c r="E1516" s="466" t="s">
        <v>621</v>
      </c>
      <c r="F1516" s="466">
        <v>62500000</v>
      </c>
      <c r="G1516" s="478">
        <v>0</v>
      </c>
      <c r="H1516" s="466">
        <v>0</v>
      </c>
      <c r="I1516" s="479">
        <v>0</v>
      </c>
    </row>
    <row r="1517" spans="1:9" ht="15.75" customHeight="1">
      <c r="A1517" s="467"/>
      <c r="B1517" s="467"/>
      <c r="C1517" s="466"/>
      <c r="D1517" s="497">
        <v>47006</v>
      </c>
      <c r="E1517" s="466" t="s">
        <v>620</v>
      </c>
      <c r="F1517" s="466">
        <v>62500000</v>
      </c>
      <c r="G1517" s="478">
        <v>0</v>
      </c>
      <c r="H1517" s="466">
        <v>0</v>
      </c>
      <c r="I1517" s="479">
        <v>0</v>
      </c>
    </row>
    <row r="1518" spans="1:9" ht="15.75" customHeight="1">
      <c r="A1518" s="467"/>
      <c r="B1518" s="467"/>
      <c r="C1518" s="466"/>
      <c r="D1518" s="497">
        <v>47007</v>
      </c>
      <c r="E1518" s="466" t="s">
        <v>619</v>
      </c>
      <c r="F1518" s="466">
        <v>62500000</v>
      </c>
      <c r="G1518" s="478">
        <v>0</v>
      </c>
      <c r="H1518" s="466">
        <v>0</v>
      </c>
      <c r="I1518" s="479">
        <v>0</v>
      </c>
    </row>
    <row r="1519" spans="1:9" ht="15.75" customHeight="1">
      <c r="A1519" s="467"/>
      <c r="B1519" s="467"/>
      <c r="C1519" s="466"/>
      <c r="D1519" s="497">
        <v>47008</v>
      </c>
      <c r="E1519" s="466" t="s">
        <v>618</v>
      </c>
      <c r="F1519" s="466">
        <v>62500000</v>
      </c>
      <c r="G1519" s="478">
        <v>0</v>
      </c>
      <c r="H1519" s="466">
        <v>0</v>
      </c>
      <c r="I1519" s="479">
        <v>0</v>
      </c>
    </row>
    <row r="1520" spans="1:9" ht="15.75" customHeight="1">
      <c r="A1520" s="467"/>
      <c r="B1520" s="467"/>
      <c r="C1520" s="466"/>
      <c r="D1520" s="497">
        <v>47009</v>
      </c>
      <c r="E1520" s="466" t="s">
        <v>624</v>
      </c>
      <c r="F1520" s="466">
        <v>62500000</v>
      </c>
      <c r="G1520" s="478">
        <v>0</v>
      </c>
      <c r="H1520" s="466">
        <v>0</v>
      </c>
      <c r="I1520" s="479">
        <v>0</v>
      </c>
    </row>
    <row r="1521" spans="1:9" ht="15.75" customHeight="1">
      <c r="A1521" s="467"/>
      <c r="B1521" s="467"/>
      <c r="C1521" s="466"/>
      <c r="D1521" s="497">
        <v>47010</v>
      </c>
      <c r="E1521" s="466" t="s">
        <v>623</v>
      </c>
      <c r="F1521" s="466">
        <v>62500000</v>
      </c>
      <c r="G1521" s="478">
        <v>0</v>
      </c>
      <c r="H1521" s="466">
        <v>0</v>
      </c>
      <c r="I1521" s="479">
        <v>0</v>
      </c>
    </row>
    <row r="1522" spans="1:9" ht="15.75" customHeight="1">
      <c r="A1522" s="467"/>
      <c r="B1522" s="467"/>
      <c r="C1522" s="466"/>
      <c r="D1522" s="497">
        <v>47011</v>
      </c>
      <c r="E1522" s="466" t="s">
        <v>622</v>
      </c>
      <c r="F1522" s="466">
        <v>62500000</v>
      </c>
      <c r="G1522" s="478">
        <v>0</v>
      </c>
      <c r="H1522" s="466">
        <v>0</v>
      </c>
      <c r="I1522" s="479">
        <v>0</v>
      </c>
    </row>
    <row r="1523" spans="1:9" ht="15.75" customHeight="1">
      <c r="A1523" s="467"/>
      <c r="B1523" s="467"/>
      <c r="C1523" s="466"/>
      <c r="D1523" s="497">
        <v>47012</v>
      </c>
      <c r="E1523" s="466" t="s">
        <v>621</v>
      </c>
      <c r="F1523" s="466">
        <v>62500000</v>
      </c>
      <c r="G1523" s="478">
        <v>0</v>
      </c>
      <c r="H1523" s="466">
        <v>0</v>
      </c>
      <c r="I1523" s="479">
        <v>0</v>
      </c>
    </row>
    <row r="1524" spans="1:9" ht="15.75" customHeight="1">
      <c r="A1524" s="467"/>
      <c r="B1524" s="467"/>
      <c r="C1524" s="466"/>
      <c r="D1524" s="497">
        <v>47013</v>
      </c>
      <c r="E1524" s="466" t="s">
        <v>620</v>
      </c>
      <c r="F1524" s="466">
        <v>62500000</v>
      </c>
      <c r="G1524" s="478">
        <v>0</v>
      </c>
      <c r="H1524" s="466">
        <v>0</v>
      </c>
      <c r="I1524" s="479">
        <v>0</v>
      </c>
    </row>
    <row r="1525" spans="1:9" ht="15.75" customHeight="1">
      <c r="A1525" s="467"/>
      <c r="B1525" s="467"/>
      <c r="C1525" s="466"/>
      <c r="D1525" s="497">
        <v>47014</v>
      </c>
      <c r="E1525" s="466" t="s">
        <v>619</v>
      </c>
      <c r="F1525" s="466">
        <v>62500000</v>
      </c>
      <c r="G1525" s="478">
        <v>0</v>
      </c>
      <c r="H1525" s="466">
        <v>0</v>
      </c>
      <c r="I1525" s="479">
        <v>0</v>
      </c>
    </row>
    <row r="1526" spans="1:9" ht="15.75" customHeight="1">
      <c r="A1526" s="467"/>
      <c r="B1526" s="467"/>
      <c r="C1526" s="466"/>
      <c r="D1526" s="497">
        <v>47015</v>
      </c>
      <c r="E1526" s="466" t="s">
        <v>618</v>
      </c>
      <c r="F1526" s="466">
        <v>62500000</v>
      </c>
      <c r="G1526" s="478">
        <v>0</v>
      </c>
      <c r="H1526" s="466">
        <v>0</v>
      </c>
      <c r="I1526" s="479">
        <v>0</v>
      </c>
    </row>
    <row r="1527" spans="1:9" ht="15.75" customHeight="1">
      <c r="A1527" s="467"/>
      <c r="B1527" s="467"/>
      <c r="C1527" s="466"/>
      <c r="D1527" s="497">
        <v>47016</v>
      </c>
      <c r="E1527" s="466" t="s">
        <v>624</v>
      </c>
      <c r="F1527" s="466">
        <v>62500000</v>
      </c>
      <c r="G1527" s="478">
        <v>0</v>
      </c>
      <c r="H1527" s="466">
        <v>0</v>
      </c>
      <c r="I1527" s="479">
        <v>0</v>
      </c>
    </row>
    <row r="1528" spans="1:9" ht="15.75" customHeight="1">
      <c r="A1528" s="467"/>
      <c r="B1528" s="467"/>
      <c r="C1528" s="466"/>
      <c r="D1528" s="497">
        <v>47017</v>
      </c>
      <c r="E1528" s="466" t="s">
        <v>623</v>
      </c>
      <c r="F1528" s="466">
        <v>62500000</v>
      </c>
      <c r="G1528" s="478">
        <v>0</v>
      </c>
      <c r="H1528" s="466">
        <v>0</v>
      </c>
      <c r="I1528" s="479">
        <v>0</v>
      </c>
    </row>
    <row r="1529" spans="1:9" ht="15.75" customHeight="1">
      <c r="A1529" s="467"/>
      <c r="B1529" s="467"/>
      <c r="C1529" s="466"/>
      <c r="D1529" s="497">
        <v>47018</v>
      </c>
      <c r="E1529" s="466" t="s">
        <v>622</v>
      </c>
      <c r="F1529" s="466">
        <v>62500000</v>
      </c>
      <c r="G1529" s="478">
        <v>0</v>
      </c>
      <c r="H1529" s="466">
        <v>0</v>
      </c>
      <c r="I1529" s="479">
        <v>0</v>
      </c>
    </row>
    <row r="1530" spans="1:9" ht="15.75" customHeight="1">
      <c r="A1530" s="467"/>
      <c r="B1530" s="467"/>
      <c r="C1530" s="466"/>
      <c r="D1530" s="497">
        <v>47019</v>
      </c>
      <c r="E1530" s="466" t="s">
        <v>621</v>
      </c>
      <c r="F1530" s="466">
        <v>62500000</v>
      </c>
      <c r="G1530" s="478">
        <v>0</v>
      </c>
      <c r="H1530" s="466">
        <v>0</v>
      </c>
      <c r="I1530" s="479">
        <v>0</v>
      </c>
    </row>
    <row r="1531" spans="1:9" ht="15.75" customHeight="1">
      <c r="A1531" s="467"/>
      <c r="B1531" s="467"/>
      <c r="C1531" s="466"/>
      <c r="D1531" s="497">
        <v>47020</v>
      </c>
      <c r="E1531" s="466" t="s">
        <v>620</v>
      </c>
      <c r="F1531" s="466">
        <v>62500000</v>
      </c>
      <c r="G1531" s="478">
        <v>0</v>
      </c>
      <c r="H1531" s="466">
        <v>0</v>
      </c>
      <c r="I1531" s="479">
        <v>0</v>
      </c>
    </row>
    <row r="1532" spans="1:9" ht="15.75" customHeight="1">
      <c r="A1532" s="467"/>
      <c r="B1532" s="467"/>
      <c r="C1532" s="466"/>
      <c r="D1532" s="497">
        <v>47021</v>
      </c>
      <c r="E1532" s="466" t="s">
        <v>619</v>
      </c>
      <c r="F1532" s="466">
        <v>62500000</v>
      </c>
      <c r="G1532" s="478">
        <v>0</v>
      </c>
      <c r="H1532" s="466">
        <v>0</v>
      </c>
      <c r="I1532" s="479">
        <v>0</v>
      </c>
    </row>
    <row r="1533" spans="1:9" ht="15.75" customHeight="1">
      <c r="A1533" s="467"/>
      <c r="B1533" s="467"/>
      <c r="C1533" s="466"/>
      <c r="D1533" s="497">
        <v>47022</v>
      </c>
      <c r="E1533" s="466" t="s">
        <v>618</v>
      </c>
      <c r="F1533" s="466">
        <v>62500000</v>
      </c>
      <c r="G1533" s="478">
        <v>0</v>
      </c>
      <c r="H1533" s="466">
        <v>0</v>
      </c>
      <c r="I1533" s="479">
        <v>0</v>
      </c>
    </row>
    <row r="1534" spans="1:9" ht="15.75" customHeight="1">
      <c r="A1534" s="467"/>
      <c r="B1534" s="467"/>
      <c r="C1534" s="466"/>
      <c r="D1534" s="497">
        <v>47023</v>
      </c>
      <c r="E1534" s="466" t="s">
        <v>624</v>
      </c>
      <c r="F1534" s="466">
        <v>62500000</v>
      </c>
      <c r="G1534" s="478">
        <v>0</v>
      </c>
      <c r="H1534" s="466">
        <v>0</v>
      </c>
      <c r="I1534" s="479">
        <v>0</v>
      </c>
    </row>
    <row r="1535" spans="1:9" ht="15.75" customHeight="1">
      <c r="A1535" s="467"/>
      <c r="B1535" s="467"/>
      <c r="C1535" s="466"/>
      <c r="D1535" s="497">
        <v>47024</v>
      </c>
      <c r="E1535" s="466" t="s">
        <v>623</v>
      </c>
      <c r="F1535" s="466">
        <v>62500000</v>
      </c>
      <c r="G1535" s="478">
        <v>0</v>
      </c>
      <c r="H1535" s="466">
        <v>0</v>
      </c>
      <c r="I1535" s="479">
        <v>0</v>
      </c>
    </row>
    <row r="1536" spans="1:9" ht="15.75" customHeight="1">
      <c r="A1536" s="467"/>
      <c r="B1536" s="467"/>
      <c r="C1536" s="466"/>
      <c r="D1536" s="497">
        <v>47025</v>
      </c>
      <c r="E1536" s="466" t="s">
        <v>622</v>
      </c>
      <c r="F1536" s="466">
        <v>62500000</v>
      </c>
      <c r="G1536" s="478">
        <v>0</v>
      </c>
      <c r="H1536" s="466">
        <v>0</v>
      </c>
      <c r="I1536" s="479">
        <v>0</v>
      </c>
    </row>
    <row r="1537" spans="1:9" ht="15.75" customHeight="1">
      <c r="A1537" s="467"/>
      <c r="B1537" s="467"/>
      <c r="C1537" s="466"/>
      <c r="D1537" s="497">
        <v>47026</v>
      </c>
      <c r="E1537" s="466" t="s">
        <v>621</v>
      </c>
      <c r="F1537" s="466">
        <v>62500000</v>
      </c>
      <c r="G1537" s="478">
        <v>0</v>
      </c>
      <c r="H1537" s="466">
        <v>0</v>
      </c>
      <c r="I1537" s="479">
        <v>0</v>
      </c>
    </row>
    <row r="1538" spans="1:9" ht="15.75" customHeight="1">
      <c r="A1538" s="467"/>
      <c r="B1538" s="467"/>
      <c r="C1538" s="466"/>
      <c r="D1538" s="497">
        <v>47027</v>
      </c>
      <c r="E1538" s="466" t="s">
        <v>620</v>
      </c>
      <c r="F1538" s="466">
        <v>62500000</v>
      </c>
      <c r="G1538" s="478">
        <v>0</v>
      </c>
      <c r="H1538" s="466">
        <v>0</v>
      </c>
      <c r="I1538" s="479">
        <v>0</v>
      </c>
    </row>
    <row r="1539" spans="1:9" ht="15.75" customHeight="1">
      <c r="A1539" s="467"/>
      <c r="B1539" s="467"/>
      <c r="C1539" s="466"/>
      <c r="D1539" s="497">
        <v>47028</v>
      </c>
      <c r="E1539" s="466" t="s">
        <v>619</v>
      </c>
      <c r="F1539" s="466">
        <v>62500000</v>
      </c>
      <c r="G1539" s="478">
        <v>0</v>
      </c>
      <c r="H1539" s="466">
        <v>0</v>
      </c>
      <c r="I1539" s="479">
        <v>0</v>
      </c>
    </row>
    <row r="1540" spans="1:9" ht="15.75" customHeight="1">
      <c r="A1540" s="467"/>
      <c r="B1540" s="467"/>
      <c r="C1540" s="466"/>
      <c r="D1540" s="497">
        <v>47029</v>
      </c>
      <c r="E1540" s="466" t="s">
        <v>618</v>
      </c>
      <c r="F1540" s="466">
        <v>62500000</v>
      </c>
      <c r="G1540" s="478">
        <v>0</v>
      </c>
      <c r="H1540" s="466">
        <v>0</v>
      </c>
      <c r="I1540" s="479">
        <v>0</v>
      </c>
    </row>
    <row r="1541" spans="1:9" ht="15.75" customHeight="1">
      <c r="A1541" s="467"/>
      <c r="B1541" s="467"/>
      <c r="C1541" s="466"/>
      <c r="D1541" s="497">
        <v>47030</v>
      </c>
      <c r="E1541" s="466" t="s">
        <v>624</v>
      </c>
      <c r="F1541" s="466">
        <v>62500000</v>
      </c>
      <c r="G1541" s="478">
        <v>0</v>
      </c>
      <c r="H1541" s="466">
        <v>0</v>
      </c>
      <c r="I1541" s="479">
        <v>0</v>
      </c>
    </row>
    <row r="1542" spans="1:9" ht="15.75" customHeight="1">
      <c r="A1542" s="467"/>
      <c r="B1542" s="467"/>
      <c r="C1542" s="466"/>
      <c r="D1542" s="497">
        <v>47031</v>
      </c>
      <c r="E1542" s="466" t="s">
        <v>623</v>
      </c>
      <c r="F1542" s="466">
        <v>62500000</v>
      </c>
      <c r="G1542" s="478">
        <v>0</v>
      </c>
      <c r="H1542" s="466">
        <v>0</v>
      </c>
      <c r="I1542" s="479">
        <v>0</v>
      </c>
    </row>
    <row r="1543" spans="1:9" ht="15.75" customHeight="1">
      <c r="A1543" s="467"/>
      <c r="B1543" s="467"/>
      <c r="C1543" s="466"/>
      <c r="D1543" s="497">
        <v>47032</v>
      </c>
      <c r="E1543" s="466" t="s">
        <v>622</v>
      </c>
      <c r="F1543" s="466">
        <v>62500000</v>
      </c>
      <c r="G1543" s="478">
        <v>0</v>
      </c>
      <c r="H1543" s="466">
        <v>0</v>
      </c>
      <c r="I1543" s="479">
        <v>0</v>
      </c>
    </row>
    <row r="1544" spans="1:9" ht="15.75" customHeight="1">
      <c r="A1544" s="467"/>
      <c r="B1544" s="467"/>
      <c r="C1544" s="466"/>
      <c r="D1544" s="497">
        <v>47033</v>
      </c>
      <c r="E1544" s="466" t="s">
        <v>621</v>
      </c>
      <c r="F1544" s="466">
        <v>62500000</v>
      </c>
      <c r="G1544" s="478">
        <v>0</v>
      </c>
      <c r="H1544" s="466">
        <v>0</v>
      </c>
      <c r="I1544" s="479">
        <v>0</v>
      </c>
    </row>
    <row r="1545" spans="1:9" ht="15.75" customHeight="1">
      <c r="A1545" s="467"/>
      <c r="B1545" s="467"/>
      <c r="C1545" s="466"/>
      <c r="D1545" s="497">
        <v>47034</v>
      </c>
      <c r="E1545" s="466" t="s">
        <v>620</v>
      </c>
      <c r="F1545" s="466">
        <v>62500000</v>
      </c>
      <c r="G1545" s="478">
        <v>0</v>
      </c>
      <c r="H1545" s="466">
        <v>0</v>
      </c>
      <c r="I1545" s="479">
        <v>0</v>
      </c>
    </row>
    <row r="1546" spans="1:9" ht="15.75" customHeight="1">
      <c r="A1546" s="467"/>
      <c r="B1546" s="467"/>
      <c r="C1546" s="466"/>
      <c r="D1546" s="497">
        <v>47035</v>
      </c>
      <c r="E1546" s="466" t="s">
        <v>619</v>
      </c>
      <c r="F1546" s="466">
        <v>62500000</v>
      </c>
      <c r="G1546" s="478">
        <v>0</v>
      </c>
      <c r="H1546" s="466">
        <v>0</v>
      </c>
      <c r="I1546" s="479">
        <v>0</v>
      </c>
    </row>
    <row r="1547" spans="1:9" ht="15.75" customHeight="1">
      <c r="A1547" s="467"/>
      <c r="B1547" s="467"/>
      <c r="C1547" s="466"/>
      <c r="D1547" s="497">
        <v>47036</v>
      </c>
      <c r="E1547" s="466" t="s">
        <v>618</v>
      </c>
      <c r="F1547" s="466">
        <v>62500000</v>
      </c>
      <c r="G1547" s="478">
        <v>0</v>
      </c>
      <c r="H1547" s="466">
        <v>0</v>
      </c>
      <c r="I1547" s="479">
        <v>0</v>
      </c>
    </row>
    <row r="1548" spans="1:9" ht="15.75" customHeight="1">
      <c r="A1548" s="467"/>
      <c r="B1548" s="467"/>
      <c r="C1548" s="466"/>
      <c r="D1548" s="497">
        <v>47037</v>
      </c>
      <c r="E1548" s="466" t="s">
        <v>624</v>
      </c>
      <c r="F1548" s="466">
        <v>62500000</v>
      </c>
      <c r="G1548" s="478">
        <v>0</v>
      </c>
      <c r="H1548" s="466">
        <v>0</v>
      </c>
      <c r="I1548" s="479">
        <v>0</v>
      </c>
    </row>
    <row r="1549" spans="1:9" ht="15.75" customHeight="1">
      <c r="A1549" s="467"/>
      <c r="B1549" s="467"/>
      <c r="C1549" s="466"/>
      <c r="D1549" s="497">
        <v>47038</v>
      </c>
      <c r="E1549" s="466" t="s">
        <v>623</v>
      </c>
      <c r="F1549" s="466">
        <v>62500000</v>
      </c>
      <c r="G1549" s="478">
        <v>0</v>
      </c>
      <c r="H1549" s="466">
        <v>0</v>
      </c>
      <c r="I1549" s="479">
        <v>0</v>
      </c>
    </row>
    <row r="1550" spans="1:9" ht="15.75" customHeight="1">
      <c r="A1550" s="467"/>
      <c r="B1550" s="467"/>
      <c r="C1550" s="466"/>
      <c r="D1550" s="497">
        <v>47039</v>
      </c>
      <c r="E1550" s="466" t="s">
        <v>622</v>
      </c>
      <c r="F1550" s="466">
        <v>62500000</v>
      </c>
      <c r="G1550" s="478">
        <v>0</v>
      </c>
      <c r="H1550" s="466">
        <v>0</v>
      </c>
      <c r="I1550" s="479">
        <v>0</v>
      </c>
    </row>
    <row r="1551" spans="1:9" ht="15.75" customHeight="1">
      <c r="A1551" s="467"/>
      <c r="B1551" s="467"/>
      <c r="C1551" s="466"/>
      <c r="D1551" s="497">
        <v>47040</v>
      </c>
      <c r="E1551" s="466" t="s">
        <v>621</v>
      </c>
      <c r="F1551" s="466">
        <v>62500000</v>
      </c>
      <c r="G1551" s="478">
        <v>0</v>
      </c>
      <c r="H1551" s="466">
        <v>0</v>
      </c>
      <c r="I1551" s="479">
        <v>0</v>
      </c>
    </row>
    <row r="1552" spans="1:9" ht="15.75" customHeight="1">
      <c r="A1552" s="467"/>
      <c r="B1552" s="467"/>
      <c r="C1552" s="466"/>
      <c r="D1552" s="497">
        <v>47041</v>
      </c>
      <c r="E1552" s="466" t="s">
        <v>620</v>
      </c>
      <c r="F1552" s="466">
        <v>62500000</v>
      </c>
      <c r="G1552" s="478">
        <v>0</v>
      </c>
      <c r="H1552" s="466">
        <v>0</v>
      </c>
      <c r="I1552" s="479">
        <v>0</v>
      </c>
    </row>
    <row r="1553" spans="1:9" ht="15.75" customHeight="1">
      <c r="A1553" s="467"/>
      <c r="B1553" s="467"/>
      <c r="C1553" s="466"/>
      <c r="D1553" s="497">
        <v>47042</v>
      </c>
      <c r="E1553" s="466" t="s">
        <v>619</v>
      </c>
      <c r="F1553" s="466">
        <v>62500000</v>
      </c>
      <c r="G1553" s="478">
        <v>0</v>
      </c>
      <c r="H1553" s="466">
        <v>0</v>
      </c>
      <c r="I1553" s="479">
        <v>0</v>
      </c>
    </row>
    <row r="1554" spans="1:9" ht="15.75" customHeight="1">
      <c r="A1554" s="467"/>
      <c r="B1554" s="467"/>
      <c r="C1554" s="466"/>
      <c r="D1554" s="497">
        <v>47043</v>
      </c>
      <c r="E1554" s="466" t="s">
        <v>618</v>
      </c>
      <c r="F1554" s="466">
        <v>62500000</v>
      </c>
      <c r="G1554" s="478">
        <v>0</v>
      </c>
      <c r="H1554" s="466">
        <v>0</v>
      </c>
      <c r="I1554" s="479">
        <v>0</v>
      </c>
    </row>
    <row r="1555" spans="1:9" ht="15.75" customHeight="1">
      <c r="A1555" s="467"/>
      <c r="B1555" s="467"/>
      <c r="C1555" s="466"/>
      <c r="D1555" s="497">
        <v>47044</v>
      </c>
      <c r="E1555" s="466" t="s">
        <v>624</v>
      </c>
      <c r="F1555" s="466">
        <v>62500000</v>
      </c>
      <c r="G1555" s="478">
        <v>0</v>
      </c>
      <c r="H1555" s="466">
        <v>0</v>
      </c>
      <c r="I1555" s="479">
        <v>0</v>
      </c>
    </row>
    <row r="1556" spans="1:9" ht="15.75" customHeight="1">
      <c r="A1556" s="467"/>
      <c r="B1556" s="467"/>
      <c r="C1556" s="466"/>
      <c r="D1556" s="497">
        <v>47045</v>
      </c>
      <c r="E1556" s="466" t="s">
        <v>623</v>
      </c>
      <c r="F1556" s="466">
        <v>62500000</v>
      </c>
      <c r="G1556" s="478">
        <v>0</v>
      </c>
      <c r="H1556" s="466">
        <v>0</v>
      </c>
      <c r="I1556" s="479">
        <v>0</v>
      </c>
    </row>
    <row r="1557" spans="1:9" ht="15.75" customHeight="1">
      <c r="A1557" s="467"/>
      <c r="B1557" s="467"/>
      <c r="C1557" s="466"/>
      <c r="D1557" s="497">
        <v>47046</v>
      </c>
      <c r="E1557" s="466" t="s">
        <v>622</v>
      </c>
      <c r="F1557" s="466">
        <v>62500000</v>
      </c>
      <c r="G1557" s="478">
        <v>0</v>
      </c>
      <c r="H1557" s="466">
        <v>0</v>
      </c>
      <c r="I1557" s="479">
        <v>0</v>
      </c>
    </row>
    <row r="1558" spans="1:9" ht="15.75" customHeight="1">
      <c r="A1558" s="467"/>
      <c r="B1558" s="467"/>
      <c r="C1558" s="466"/>
      <c r="D1558" s="497">
        <v>47047</v>
      </c>
      <c r="E1558" s="466" t="s">
        <v>621</v>
      </c>
      <c r="F1558" s="466">
        <v>62500000</v>
      </c>
      <c r="G1558" s="478">
        <v>0</v>
      </c>
      <c r="H1558" s="466">
        <v>0</v>
      </c>
      <c r="I1558" s="479">
        <v>0</v>
      </c>
    </row>
    <row r="1559" spans="1:9" ht="15.75" customHeight="1">
      <c r="A1559" s="467"/>
      <c r="B1559" s="467"/>
      <c r="C1559" s="466"/>
      <c r="D1559" s="497">
        <v>47048</v>
      </c>
      <c r="E1559" s="466" t="s">
        <v>620</v>
      </c>
      <c r="F1559" s="466">
        <v>62500000</v>
      </c>
      <c r="G1559" s="478">
        <v>0</v>
      </c>
      <c r="H1559" s="466">
        <v>0</v>
      </c>
      <c r="I1559" s="479">
        <v>0</v>
      </c>
    </row>
    <row r="1560" spans="1:9" ht="15.75" customHeight="1">
      <c r="A1560" s="467"/>
      <c r="B1560" s="467"/>
      <c r="C1560" s="466"/>
      <c r="D1560" s="497">
        <v>47049</v>
      </c>
      <c r="E1560" s="466" t="s">
        <v>619</v>
      </c>
      <c r="F1560" s="466">
        <v>62500000</v>
      </c>
      <c r="G1560" s="478">
        <v>0</v>
      </c>
      <c r="H1560" s="466">
        <v>0</v>
      </c>
      <c r="I1560" s="479">
        <v>0</v>
      </c>
    </row>
    <row r="1561" spans="1:9" ht="15.75" customHeight="1">
      <c r="A1561" s="467"/>
      <c r="B1561" s="467"/>
      <c r="C1561" s="466"/>
      <c r="D1561" s="497">
        <v>47050</v>
      </c>
      <c r="E1561" s="466" t="s">
        <v>618</v>
      </c>
      <c r="F1561" s="466">
        <v>62500000</v>
      </c>
      <c r="G1561" s="478">
        <v>0</v>
      </c>
      <c r="H1561" s="466">
        <v>0</v>
      </c>
      <c r="I1561" s="479">
        <v>0</v>
      </c>
    </row>
    <row r="1562" spans="1:9" ht="15.75" customHeight="1">
      <c r="A1562" s="467"/>
      <c r="B1562" s="467"/>
      <c r="C1562" s="466"/>
      <c r="D1562" s="497">
        <v>47051</v>
      </c>
      <c r="E1562" s="466" t="s">
        <v>624</v>
      </c>
      <c r="F1562" s="466">
        <v>62500000</v>
      </c>
      <c r="G1562" s="478">
        <v>0</v>
      </c>
      <c r="H1562" s="466">
        <v>0</v>
      </c>
      <c r="I1562" s="479">
        <v>0</v>
      </c>
    </row>
    <row r="1563" spans="1:9" ht="15.75" customHeight="1">
      <c r="A1563" s="467"/>
      <c r="B1563" s="467"/>
      <c r="C1563" s="466"/>
      <c r="D1563" s="497">
        <v>47052</v>
      </c>
      <c r="E1563" s="466" t="s">
        <v>623</v>
      </c>
      <c r="F1563" s="466">
        <v>62500000</v>
      </c>
      <c r="G1563" s="478">
        <v>0</v>
      </c>
      <c r="H1563" s="466">
        <v>0</v>
      </c>
      <c r="I1563" s="479">
        <v>0</v>
      </c>
    </row>
    <row r="1564" spans="1:9" ht="15.75" customHeight="1">
      <c r="A1564" s="467"/>
      <c r="B1564" s="467"/>
      <c r="C1564" s="466"/>
      <c r="D1564" s="497">
        <v>47053</v>
      </c>
      <c r="E1564" s="466" t="s">
        <v>622</v>
      </c>
      <c r="F1564" s="466">
        <v>62500000</v>
      </c>
      <c r="G1564" s="478">
        <v>0</v>
      </c>
      <c r="H1564" s="466">
        <v>0</v>
      </c>
      <c r="I1564" s="479">
        <v>0</v>
      </c>
    </row>
    <row r="1565" spans="1:9" ht="15.75" customHeight="1">
      <c r="A1565" s="467"/>
      <c r="B1565" s="467"/>
      <c r="C1565" s="466"/>
      <c r="D1565" s="497">
        <v>47054</v>
      </c>
      <c r="E1565" s="466" t="s">
        <v>621</v>
      </c>
      <c r="F1565" s="466">
        <v>62500000</v>
      </c>
      <c r="G1565" s="478">
        <v>0</v>
      </c>
      <c r="H1565" s="466">
        <v>0</v>
      </c>
      <c r="I1565" s="479">
        <v>0</v>
      </c>
    </row>
    <row r="1566" spans="1:9" ht="15.75" customHeight="1">
      <c r="A1566" s="467"/>
      <c r="B1566" s="467"/>
      <c r="C1566" s="466"/>
      <c r="D1566" s="497">
        <v>47055</v>
      </c>
      <c r="E1566" s="466" t="s">
        <v>620</v>
      </c>
      <c r="F1566" s="466">
        <v>62500000</v>
      </c>
      <c r="G1566" s="478">
        <v>0</v>
      </c>
      <c r="H1566" s="466">
        <v>0</v>
      </c>
      <c r="I1566" s="479">
        <v>0</v>
      </c>
    </row>
    <row r="1567" spans="1:9" ht="15.75" customHeight="1">
      <c r="A1567" s="467"/>
      <c r="B1567" s="467"/>
      <c r="C1567" s="466"/>
      <c r="D1567" s="497">
        <v>47056</v>
      </c>
      <c r="E1567" s="466" t="s">
        <v>619</v>
      </c>
      <c r="F1567" s="466">
        <v>62500000</v>
      </c>
      <c r="G1567" s="478">
        <v>0</v>
      </c>
      <c r="H1567" s="466">
        <v>0</v>
      </c>
      <c r="I1567" s="479">
        <v>0</v>
      </c>
    </row>
    <row r="1568" spans="1:9" ht="15.75" customHeight="1">
      <c r="A1568" s="467"/>
      <c r="B1568" s="467"/>
      <c r="C1568" s="466"/>
      <c r="D1568" s="497">
        <v>47057</v>
      </c>
      <c r="E1568" s="466" t="s">
        <v>618</v>
      </c>
      <c r="F1568" s="466">
        <v>62500000</v>
      </c>
      <c r="G1568" s="478">
        <v>0</v>
      </c>
      <c r="H1568" s="466">
        <v>0</v>
      </c>
      <c r="I1568" s="479">
        <v>0</v>
      </c>
    </row>
    <row r="1569" spans="1:9" ht="15.75" customHeight="1">
      <c r="A1569" s="467"/>
      <c r="B1569" s="467"/>
      <c r="C1569" s="466"/>
      <c r="D1569" s="497">
        <v>47058</v>
      </c>
      <c r="E1569" s="466" t="s">
        <v>624</v>
      </c>
      <c r="F1569" s="466">
        <v>62500000</v>
      </c>
      <c r="G1569" s="478">
        <v>0</v>
      </c>
      <c r="H1569" s="466">
        <v>0</v>
      </c>
      <c r="I1569" s="479">
        <v>0</v>
      </c>
    </row>
    <row r="1570" spans="1:9" ht="15.75" customHeight="1">
      <c r="A1570" s="467"/>
      <c r="B1570" s="467"/>
      <c r="C1570" s="466"/>
      <c r="D1570" s="497">
        <v>47059</v>
      </c>
      <c r="E1570" s="466" t="s">
        <v>623</v>
      </c>
      <c r="F1570" s="466">
        <v>62500000</v>
      </c>
      <c r="G1570" s="478">
        <v>0</v>
      </c>
      <c r="H1570" s="466">
        <v>0</v>
      </c>
      <c r="I1570" s="479">
        <v>0</v>
      </c>
    </row>
    <row r="1571" spans="1:9" ht="15.75" customHeight="1">
      <c r="A1571" s="467"/>
      <c r="B1571" s="467"/>
      <c r="C1571" s="466"/>
      <c r="D1571" s="497">
        <v>47060</v>
      </c>
      <c r="E1571" s="466" t="s">
        <v>622</v>
      </c>
      <c r="F1571" s="466">
        <v>62500000</v>
      </c>
      <c r="G1571" s="478">
        <v>0</v>
      </c>
      <c r="H1571" s="466">
        <v>0</v>
      </c>
      <c r="I1571" s="479">
        <v>0</v>
      </c>
    </row>
    <row r="1572" spans="1:9" ht="15.75" customHeight="1">
      <c r="A1572" s="467"/>
      <c r="B1572" s="467"/>
      <c r="C1572" s="466"/>
      <c r="D1572" s="497">
        <v>47061</v>
      </c>
      <c r="E1572" s="466" t="s">
        <v>621</v>
      </c>
      <c r="F1572" s="466">
        <v>62500000</v>
      </c>
      <c r="G1572" s="478">
        <v>0</v>
      </c>
      <c r="H1572" s="466">
        <v>0</v>
      </c>
      <c r="I1572" s="479">
        <v>0</v>
      </c>
    </row>
    <row r="1573" spans="1:9" ht="15.75" customHeight="1">
      <c r="A1573" s="467"/>
      <c r="B1573" s="467"/>
      <c r="C1573" s="466"/>
      <c r="D1573" s="497">
        <v>47062</v>
      </c>
      <c r="E1573" s="466" t="s">
        <v>620</v>
      </c>
      <c r="F1573" s="466">
        <v>62500000</v>
      </c>
      <c r="G1573" s="478">
        <v>0</v>
      </c>
      <c r="H1573" s="466">
        <v>0</v>
      </c>
      <c r="I1573" s="479">
        <v>0</v>
      </c>
    </row>
    <row r="1574" spans="1:9" ht="15.75" customHeight="1">
      <c r="A1574" s="467"/>
      <c r="B1574" s="467"/>
      <c r="C1574" s="466"/>
      <c r="D1574" s="497">
        <v>47063</v>
      </c>
      <c r="E1574" s="466" t="s">
        <v>619</v>
      </c>
      <c r="F1574" s="466">
        <v>62500000</v>
      </c>
      <c r="G1574" s="478">
        <v>0</v>
      </c>
      <c r="H1574" s="466">
        <v>0</v>
      </c>
      <c r="I1574" s="479">
        <v>0</v>
      </c>
    </row>
    <row r="1575" spans="1:9" ht="15.75" customHeight="1">
      <c r="A1575" s="467"/>
      <c r="B1575" s="467"/>
      <c r="C1575" s="466"/>
      <c r="D1575" s="497">
        <v>47064</v>
      </c>
      <c r="E1575" s="466" t="s">
        <v>618</v>
      </c>
      <c r="F1575" s="466">
        <v>62500000</v>
      </c>
      <c r="G1575" s="478">
        <v>0</v>
      </c>
      <c r="H1575" s="466">
        <v>0</v>
      </c>
      <c r="I1575" s="479">
        <v>0</v>
      </c>
    </row>
    <row r="1576" spans="1:9" ht="15.75" customHeight="1">
      <c r="A1576" s="467"/>
      <c r="B1576" s="467"/>
      <c r="C1576" s="466"/>
      <c r="D1576" s="497">
        <v>47065</v>
      </c>
      <c r="E1576" s="466" t="s">
        <v>624</v>
      </c>
      <c r="F1576" s="466">
        <v>62500000</v>
      </c>
      <c r="G1576" s="478">
        <v>0</v>
      </c>
      <c r="H1576" s="466">
        <v>0</v>
      </c>
      <c r="I1576" s="479">
        <v>0</v>
      </c>
    </row>
    <row r="1577" spans="1:9" ht="15.75" customHeight="1">
      <c r="A1577" s="467"/>
      <c r="B1577" s="467"/>
      <c r="C1577" s="466"/>
      <c r="D1577" s="497">
        <v>47066</v>
      </c>
      <c r="E1577" s="466" t="s">
        <v>623</v>
      </c>
      <c r="F1577" s="466">
        <v>62500000</v>
      </c>
      <c r="G1577" s="478">
        <v>0</v>
      </c>
      <c r="H1577" s="466">
        <v>0</v>
      </c>
      <c r="I1577" s="479">
        <v>0</v>
      </c>
    </row>
    <row r="1578" spans="1:9" ht="15.75" customHeight="1">
      <c r="A1578" s="467"/>
      <c r="B1578" s="467"/>
      <c r="C1578" s="466"/>
      <c r="D1578" s="497">
        <v>47067</v>
      </c>
      <c r="E1578" s="466" t="s">
        <v>622</v>
      </c>
      <c r="F1578" s="466">
        <v>62500000</v>
      </c>
      <c r="G1578" s="478">
        <v>0</v>
      </c>
      <c r="H1578" s="466">
        <v>0</v>
      </c>
      <c r="I1578" s="479">
        <v>0</v>
      </c>
    </row>
    <row r="1579" spans="1:9" ht="15.75" customHeight="1">
      <c r="A1579" s="467"/>
      <c r="B1579" s="467"/>
      <c r="C1579" s="466"/>
      <c r="D1579" s="497">
        <v>47068</v>
      </c>
      <c r="E1579" s="466" t="s">
        <v>621</v>
      </c>
      <c r="F1579" s="466">
        <v>62500000</v>
      </c>
      <c r="G1579" s="478">
        <v>0</v>
      </c>
      <c r="H1579" s="466">
        <v>0</v>
      </c>
      <c r="I1579" s="479">
        <v>0</v>
      </c>
    </row>
    <row r="1580" spans="1:9" ht="15.75" customHeight="1">
      <c r="A1580" s="467"/>
      <c r="B1580" s="467"/>
      <c r="C1580" s="466"/>
      <c r="D1580" s="497">
        <v>47069</v>
      </c>
      <c r="E1580" s="466" t="s">
        <v>620</v>
      </c>
      <c r="F1580" s="466">
        <v>62500000</v>
      </c>
      <c r="G1580" s="478">
        <v>0</v>
      </c>
      <c r="H1580" s="466">
        <v>0</v>
      </c>
      <c r="I1580" s="479">
        <v>0</v>
      </c>
    </row>
    <row r="1581" spans="1:9" ht="15.75" customHeight="1">
      <c r="A1581" s="467"/>
      <c r="B1581" s="467"/>
      <c r="C1581" s="466"/>
      <c r="D1581" s="497">
        <v>47070</v>
      </c>
      <c r="E1581" s="466" t="s">
        <v>619</v>
      </c>
      <c r="F1581" s="466">
        <v>62500000</v>
      </c>
      <c r="G1581" s="478">
        <v>0</v>
      </c>
      <c r="H1581" s="466">
        <v>0</v>
      </c>
      <c r="I1581" s="479">
        <v>0</v>
      </c>
    </row>
    <row r="1582" spans="1:9" ht="15.75" customHeight="1">
      <c r="A1582" s="467"/>
      <c r="B1582" s="467"/>
      <c r="C1582" s="466"/>
      <c r="D1582" s="497">
        <v>47071</v>
      </c>
      <c r="E1582" s="466" t="s">
        <v>618</v>
      </c>
      <c r="F1582" s="466">
        <v>62500000</v>
      </c>
      <c r="G1582" s="478">
        <v>0</v>
      </c>
      <c r="H1582" s="466">
        <v>0</v>
      </c>
      <c r="I1582" s="479">
        <v>0</v>
      </c>
    </row>
    <row r="1583" spans="1:9" ht="15.75" customHeight="1">
      <c r="A1583" s="467"/>
      <c r="B1583" s="467"/>
      <c r="C1583" s="466"/>
      <c r="D1583" s="497">
        <v>47072</v>
      </c>
      <c r="E1583" s="466" t="s">
        <v>624</v>
      </c>
      <c r="F1583" s="466">
        <v>62500000</v>
      </c>
      <c r="G1583" s="478">
        <v>0</v>
      </c>
      <c r="H1583" s="466">
        <v>0</v>
      </c>
      <c r="I1583" s="479">
        <v>0</v>
      </c>
    </row>
    <row r="1584" spans="1:9" ht="15.75" customHeight="1">
      <c r="A1584" s="467"/>
      <c r="B1584" s="467"/>
      <c r="C1584" s="466"/>
      <c r="D1584" s="497">
        <v>47073</v>
      </c>
      <c r="E1584" s="466" t="s">
        <v>623</v>
      </c>
      <c r="F1584" s="466">
        <v>62500000</v>
      </c>
      <c r="G1584" s="478">
        <v>0</v>
      </c>
      <c r="H1584" s="466">
        <v>0</v>
      </c>
      <c r="I1584" s="479">
        <v>0</v>
      </c>
    </row>
    <row r="1585" spans="1:9" ht="15.75" customHeight="1">
      <c r="A1585" s="467"/>
      <c r="B1585" s="467"/>
      <c r="C1585" s="466"/>
      <c r="D1585" s="497">
        <v>47074</v>
      </c>
      <c r="E1585" s="466" t="s">
        <v>622</v>
      </c>
      <c r="F1585" s="466">
        <v>62500000</v>
      </c>
      <c r="G1585" s="478">
        <v>0</v>
      </c>
      <c r="H1585" s="466">
        <v>0</v>
      </c>
      <c r="I1585" s="479">
        <v>0</v>
      </c>
    </row>
    <row r="1586" spans="1:9" ht="15.75" customHeight="1">
      <c r="A1586" s="467"/>
      <c r="B1586" s="467"/>
      <c r="C1586" s="466"/>
      <c r="D1586" s="497">
        <v>47075</v>
      </c>
      <c r="E1586" s="466" t="s">
        <v>621</v>
      </c>
      <c r="F1586" s="466">
        <v>62500000</v>
      </c>
      <c r="G1586" s="478">
        <v>0</v>
      </c>
      <c r="H1586" s="466">
        <v>0</v>
      </c>
      <c r="I1586" s="479">
        <v>0</v>
      </c>
    </row>
    <row r="1587" spans="1:9" ht="15.75" customHeight="1">
      <c r="A1587" s="467"/>
      <c r="B1587" s="467"/>
      <c r="C1587" s="466"/>
      <c r="D1587" s="497">
        <v>47076</v>
      </c>
      <c r="E1587" s="466" t="s">
        <v>620</v>
      </c>
      <c r="F1587" s="466">
        <v>62500000</v>
      </c>
      <c r="G1587" s="478">
        <v>0</v>
      </c>
      <c r="H1587" s="466">
        <v>0</v>
      </c>
      <c r="I1587" s="479">
        <v>0</v>
      </c>
    </row>
    <row r="1588" spans="1:9" ht="15.75" customHeight="1">
      <c r="A1588" s="467"/>
      <c r="B1588" s="467"/>
      <c r="C1588" s="466"/>
      <c r="D1588" s="497">
        <v>47077</v>
      </c>
      <c r="E1588" s="466" t="s">
        <v>619</v>
      </c>
      <c r="F1588" s="466">
        <v>62500000</v>
      </c>
      <c r="G1588" s="478">
        <v>0</v>
      </c>
      <c r="H1588" s="466">
        <v>0</v>
      </c>
      <c r="I1588" s="479">
        <v>0</v>
      </c>
    </row>
    <row r="1589" spans="1:9" ht="15.75" customHeight="1">
      <c r="A1589" s="467"/>
      <c r="B1589" s="467"/>
      <c r="C1589" s="466"/>
      <c r="D1589" s="497">
        <v>47078</v>
      </c>
      <c r="E1589" s="466" t="s">
        <v>618</v>
      </c>
      <c r="F1589" s="466">
        <v>62500000</v>
      </c>
      <c r="G1589" s="478">
        <v>0</v>
      </c>
      <c r="H1589" s="466">
        <v>0</v>
      </c>
      <c r="I1589" s="479">
        <v>0</v>
      </c>
    </row>
    <row r="1590" spans="1:9" ht="15.75" customHeight="1">
      <c r="A1590" s="467"/>
      <c r="B1590" s="467"/>
      <c r="C1590" s="466"/>
      <c r="D1590" s="497">
        <v>47079</v>
      </c>
      <c r="E1590" s="466" t="s">
        <v>624</v>
      </c>
      <c r="F1590" s="466">
        <v>62500000</v>
      </c>
      <c r="G1590" s="478">
        <v>0</v>
      </c>
      <c r="H1590" s="466">
        <v>0</v>
      </c>
      <c r="I1590" s="479">
        <v>0</v>
      </c>
    </row>
    <row r="1591" spans="1:9" ht="15.75" customHeight="1">
      <c r="A1591" s="467"/>
      <c r="B1591" s="467"/>
      <c r="C1591" s="466"/>
      <c r="D1591" s="497">
        <v>47080</v>
      </c>
      <c r="E1591" s="466" t="s">
        <v>623</v>
      </c>
      <c r="F1591" s="466">
        <v>62500000</v>
      </c>
      <c r="G1591" s="478">
        <v>0</v>
      </c>
      <c r="H1591" s="466">
        <v>0</v>
      </c>
      <c r="I1591" s="479">
        <v>0</v>
      </c>
    </row>
    <row r="1592" spans="1:9" ht="15.75" customHeight="1">
      <c r="A1592" s="467"/>
      <c r="B1592" s="467"/>
      <c r="C1592" s="466"/>
      <c r="D1592" s="497">
        <v>47081</v>
      </c>
      <c r="E1592" s="466" t="s">
        <v>622</v>
      </c>
      <c r="F1592" s="466">
        <v>62500000</v>
      </c>
      <c r="G1592" s="478">
        <v>0</v>
      </c>
      <c r="H1592" s="466">
        <v>0</v>
      </c>
      <c r="I1592" s="479">
        <v>0</v>
      </c>
    </row>
    <row r="1593" spans="1:9" ht="15.75" customHeight="1">
      <c r="A1593" s="467"/>
      <c r="B1593" s="467"/>
      <c r="C1593" s="466"/>
      <c r="D1593" s="497">
        <v>47082</v>
      </c>
      <c r="E1593" s="466" t="s">
        <v>621</v>
      </c>
      <c r="F1593" s="466">
        <v>62500000</v>
      </c>
      <c r="G1593" s="478">
        <v>0</v>
      </c>
      <c r="H1593" s="466">
        <v>0</v>
      </c>
      <c r="I1593" s="479">
        <v>0</v>
      </c>
    </row>
    <row r="1594" spans="1:9" ht="15.75" customHeight="1">
      <c r="A1594" s="467"/>
      <c r="B1594" s="467"/>
      <c r="C1594" s="466"/>
      <c r="D1594" s="497">
        <v>47083</v>
      </c>
      <c r="E1594" s="466" t="s">
        <v>620</v>
      </c>
      <c r="F1594" s="466">
        <v>62500000</v>
      </c>
      <c r="G1594" s="478">
        <v>0</v>
      </c>
      <c r="H1594" s="466">
        <v>0</v>
      </c>
      <c r="I1594" s="479">
        <v>0</v>
      </c>
    </row>
    <row r="1595" spans="1:9" ht="15.75" customHeight="1">
      <c r="A1595" s="467"/>
      <c r="B1595" s="467"/>
      <c r="C1595" s="466"/>
      <c r="D1595" s="497">
        <v>47084</v>
      </c>
      <c r="E1595" s="466" t="s">
        <v>619</v>
      </c>
      <c r="F1595" s="466">
        <v>62500000</v>
      </c>
      <c r="G1595" s="478">
        <v>0</v>
      </c>
      <c r="H1595" s="466">
        <v>0</v>
      </c>
      <c r="I1595" s="479">
        <v>0</v>
      </c>
    </row>
    <row r="1596" spans="1:9" ht="15.75" customHeight="1">
      <c r="A1596" s="467"/>
      <c r="B1596" s="467"/>
      <c r="C1596" s="466"/>
      <c r="D1596" s="497">
        <v>47085</v>
      </c>
      <c r="E1596" s="466" t="s">
        <v>618</v>
      </c>
      <c r="F1596" s="466">
        <v>62500000</v>
      </c>
      <c r="G1596" s="478">
        <v>0</v>
      </c>
      <c r="H1596" s="466">
        <v>0</v>
      </c>
      <c r="I1596" s="479">
        <v>0</v>
      </c>
    </row>
    <row r="1597" spans="1:9" ht="15.75" customHeight="1">
      <c r="A1597" s="467"/>
      <c r="B1597" s="467"/>
      <c r="C1597" s="466"/>
      <c r="D1597" s="497">
        <v>47086</v>
      </c>
      <c r="E1597" s="466" t="s">
        <v>624</v>
      </c>
      <c r="F1597" s="466">
        <v>62500000</v>
      </c>
      <c r="G1597" s="478">
        <v>0</v>
      </c>
      <c r="H1597" s="466">
        <v>0</v>
      </c>
      <c r="I1597" s="479">
        <v>0</v>
      </c>
    </row>
    <row r="1598" spans="1:9" ht="15.75" customHeight="1">
      <c r="A1598" s="467"/>
      <c r="B1598" s="467"/>
      <c r="C1598" s="466"/>
      <c r="D1598" s="497">
        <v>47087</v>
      </c>
      <c r="E1598" s="466" t="s">
        <v>623</v>
      </c>
      <c r="F1598" s="466">
        <v>62500000</v>
      </c>
      <c r="G1598" s="478">
        <v>0</v>
      </c>
      <c r="H1598" s="466">
        <v>0</v>
      </c>
      <c r="I1598" s="479">
        <v>0</v>
      </c>
    </row>
    <row r="1599" spans="1:9" ht="15.75" customHeight="1">
      <c r="A1599" s="467"/>
      <c r="B1599" s="467"/>
      <c r="C1599" s="466"/>
      <c r="D1599" s="497">
        <v>47088</v>
      </c>
      <c r="E1599" s="466" t="s">
        <v>622</v>
      </c>
      <c r="F1599" s="466">
        <v>62500000</v>
      </c>
      <c r="G1599" s="478">
        <v>0</v>
      </c>
      <c r="H1599" s="466">
        <v>0</v>
      </c>
      <c r="I1599" s="479">
        <v>0</v>
      </c>
    </row>
    <row r="1600" spans="1:9" ht="15.75" customHeight="1">
      <c r="A1600" s="467"/>
      <c r="B1600" s="467"/>
      <c r="C1600" s="466"/>
      <c r="D1600" s="497">
        <v>47089</v>
      </c>
      <c r="E1600" s="466" t="s">
        <v>621</v>
      </c>
      <c r="F1600" s="466">
        <v>62500000</v>
      </c>
      <c r="G1600" s="478">
        <v>0</v>
      </c>
      <c r="H1600" s="466">
        <v>0</v>
      </c>
      <c r="I1600" s="479">
        <v>0</v>
      </c>
    </row>
    <row r="1601" spans="1:9" ht="15.75" customHeight="1">
      <c r="A1601" s="467"/>
      <c r="B1601" s="467"/>
      <c r="C1601" s="466"/>
      <c r="D1601" s="497">
        <v>47090</v>
      </c>
      <c r="E1601" s="466" t="s">
        <v>620</v>
      </c>
      <c r="F1601" s="466">
        <v>62500000</v>
      </c>
      <c r="G1601" s="478">
        <v>0</v>
      </c>
      <c r="H1601" s="466">
        <v>0</v>
      </c>
      <c r="I1601" s="479">
        <v>0</v>
      </c>
    </row>
    <row r="1602" spans="1:9" ht="15.75" customHeight="1">
      <c r="A1602" s="467"/>
      <c r="B1602" s="467"/>
      <c r="C1602" s="466"/>
      <c r="D1602" s="497">
        <v>47091</v>
      </c>
      <c r="E1602" s="466" t="s">
        <v>619</v>
      </c>
      <c r="F1602" s="466">
        <v>62500000</v>
      </c>
      <c r="G1602" s="478">
        <v>0</v>
      </c>
      <c r="H1602" s="466">
        <v>0</v>
      </c>
      <c r="I1602" s="479">
        <v>0</v>
      </c>
    </row>
    <row r="1603" spans="1:9" ht="15.75" customHeight="1">
      <c r="A1603" s="467"/>
      <c r="B1603" s="467"/>
      <c r="C1603" s="466"/>
      <c r="D1603" s="497">
        <v>47092</v>
      </c>
      <c r="E1603" s="466" t="s">
        <v>618</v>
      </c>
      <c r="F1603" s="466">
        <v>62500000</v>
      </c>
      <c r="G1603" s="478">
        <v>0</v>
      </c>
      <c r="H1603" s="466">
        <v>0</v>
      </c>
      <c r="I1603" s="479">
        <v>0</v>
      </c>
    </row>
    <row r="1604" spans="1:9" ht="15.75" customHeight="1">
      <c r="A1604" s="467"/>
      <c r="B1604" s="467"/>
      <c r="C1604" s="466"/>
      <c r="D1604" s="497">
        <v>47093</v>
      </c>
      <c r="E1604" s="466" t="s">
        <v>624</v>
      </c>
      <c r="F1604" s="466">
        <v>62500000</v>
      </c>
      <c r="G1604" s="478">
        <v>0</v>
      </c>
      <c r="H1604" s="466">
        <v>0</v>
      </c>
      <c r="I1604" s="479">
        <v>0</v>
      </c>
    </row>
    <row r="1605" spans="1:9" ht="15.75" customHeight="1">
      <c r="A1605" s="467"/>
      <c r="B1605" s="467"/>
      <c r="C1605" s="466"/>
      <c r="D1605" s="497">
        <v>47094</v>
      </c>
      <c r="E1605" s="466" t="s">
        <v>623</v>
      </c>
      <c r="F1605" s="466">
        <v>62500000</v>
      </c>
      <c r="G1605" s="478">
        <v>0</v>
      </c>
      <c r="H1605" s="466">
        <v>0</v>
      </c>
      <c r="I1605" s="479">
        <v>0</v>
      </c>
    </row>
    <row r="1606" spans="1:9" ht="15.75" customHeight="1">
      <c r="A1606" s="467"/>
      <c r="B1606" s="467"/>
      <c r="C1606" s="466"/>
      <c r="D1606" s="497">
        <v>47095</v>
      </c>
      <c r="E1606" s="466" t="s">
        <v>622</v>
      </c>
      <c r="F1606" s="466">
        <v>62500000</v>
      </c>
      <c r="G1606" s="478">
        <v>0</v>
      </c>
      <c r="H1606" s="466">
        <v>0</v>
      </c>
      <c r="I1606" s="479">
        <v>0</v>
      </c>
    </row>
    <row r="1607" spans="1:9" ht="15.75" customHeight="1">
      <c r="A1607" s="467"/>
      <c r="B1607" s="467"/>
      <c r="C1607" s="466"/>
      <c r="D1607" s="497">
        <v>47096</v>
      </c>
      <c r="E1607" s="466" t="s">
        <v>621</v>
      </c>
      <c r="F1607" s="466">
        <v>62500000</v>
      </c>
      <c r="G1607" s="478">
        <v>0</v>
      </c>
      <c r="H1607" s="466">
        <v>0</v>
      </c>
      <c r="I1607" s="479">
        <v>0</v>
      </c>
    </row>
    <row r="1608" spans="1:9" ht="15.75" customHeight="1">
      <c r="A1608" s="467"/>
      <c r="B1608" s="467"/>
      <c r="C1608" s="466"/>
      <c r="D1608" s="497">
        <v>47097</v>
      </c>
      <c r="E1608" s="466" t="s">
        <v>620</v>
      </c>
      <c r="F1608" s="466">
        <v>62500000</v>
      </c>
      <c r="G1608" s="478">
        <v>0</v>
      </c>
      <c r="H1608" s="466">
        <v>0</v>
      </c>
      <c r="I1608" s="479">
        <v>0</v>
      </c>
    </row>
    <row r="1609" spans="1:9" ht="15.75" customHeight="1">
      <c r="A1609" s="467"/>
      <c r="B1609" s="467"/>
      <c r="C1609" s="466"/>
      <c r="D1609" s="497">
        <v>47098</v>
      </c>
      <c r="E1609" s="466" t="s">
        <v>619</v>
      </c>
      <c r="F1609" s="466">
        <v>62500000</v>
      </c>
      <c r="G1609" s="478">
        <v>0</v>
      </c>
      <c r="H1609" s="466">
        <v>0</v>
      </c>
      <c r="I1609" s="479">
        <v>0</v>
      </c>
    </row>
    <row r="1610" spans="1:9" ht="15.75" customHeight="1">
      <c r="A1610" s="467"/>
      <c r="B1610" s="467"/>
      <c r="C1610" s="466"/>
      <c r="D1610" s="497">
        <v>47099</v>
      </c>
      <c r="E1610" s="466" t="s">
        <v>618</v>
      </c>
      <c r="F1610" s="466">
        <v>62500000</v>
      </c>
      <c r="G1610" s="478">
        <v>0</v>
      </c>
      <c r="H1610" s="466">
        <v>0</v>
      </c>
      <c r="I1610" s="479">
        <v>0</v>
      </c>
    </row>
    <row r="1611" spans="1:9" ht="15.75" customHeight="1">
      <c r="A1611" s="467"/>
      <c r="B1611" s="467"/>
      <c r="C1611" s="466"/>
      <c r="D1611" s="497">
        <v>47100</v>
      </c>
      <c r="E1611" s="466" t="s">
        <v>624</v>
      </c>
      <c r="F1611" s="466">
        <v>62500000</v>
      </c>
      <c r="G1611" s="478">
        <v>0</v>
      </c>
      <c r="H1611" s="466">
        <v>0</v>
      </c>
      <c r="I1611" s="479">
        <v>0</v>
      </c>
    </row>
    <row r="1612" spans="1:9" ht="15.75" customHeight="1">
      <c r="A1612" s="467"/>
      <c r="B1612" s="467"/>
      <c r="C1612" s="466"/>
      <c r="D1612" s="497">
        <v>47101</v>
      </c>
      <c r="E1612" s="466" t="s">
        <v>623</v>
      </c>
      <c r="F1612" s="466">
        <v>62500000</v>
      </c>
      <c r="G1612" s="478">
        <v>0</v>
      </c>
      <c r="H1612" s="466">
        <v>0</v>
      </c>
      <c r="I1612" s="479">
        <v>0</v>
      </c>
    </row>
    <row r="1613" spans="1:9" ht="15.75" customHeight="1">
      <c r="A1613" s="467"/>
      <c r="B1613" s="467"/>
      <c r="C1613" s="466"/>
      <c r="D1613" s="497">
        <v>47102</v>
      </c>
      <c r="E1613" s="466" t="s">
        <v>622</v>
      </c>
      <c r="F1613" s="466">
        <v>62500000</v>
      </c>
      <c r="G1613" s="478">
        <v>0</v>
      </c>
      <c r="H1613" s="466">
        <v>0</v>
      </c>
      <c r="I1613" s="479">
        <v>0</v>
      </c>
    </row>
    <row r="1614" spans="1:9" ht="15.75" customHeight="1">
      <c r="A1614" s="467"/>
      <c r="B1614" s="467"/>
      <c r="C1614" s="466"/>
      <c r="D1614" s="497">
        <v>47103</v>
      </c>
      <c r="E1614" s="466" t="s">
        <v>621</v>
      </c>
      <c r="F1614" s="466">
        <v>62500000</v>
      </c>
      <c r="G1614" s="478">
        <v>0</v>
      </c>
      <c r="H1614" s="466">
        <v>0</v>
      </c>
      <c r="I1614" s="479">
        <v>0</v>
      </c>
    </row>
    <row r="1615" spans="1:9" ht="15.75" customHeight="1">
      <c r="A1615" s="467"/>
      <c r="B1615" s="467"/>
      <c r="C1615" s="466"/>
      <c r="D1615" s="497">
        <v>47104</v>
      </c>
      <c r="E1615" s="466" t="s">
        <v>620</v>
      </c>
      <c r="F1615" s="466">
        <v>62500000</v>
      </c>
      <c r="G1615" s="478">
        <v>0</v>
      </c>
      <c r="H1615" s="466">
        <v>0</v>
      </c>
      <c r="I1615" s="479">
        <v>0</v>
      </c>
    </row>
    <row r="1616" spans="1:9" ht="15.75" customHeight="1">
      <c r="A1616" s="467"/>
      <c r="B1616" s="467"/>
      <c r="C1616" s="466"/>
      <c r="D1616" s="497">
        <v>47105</v>
      </c>
      <c r="E1616" s="466" t="s">
        <v>619</v>
      </c>
      <c r="F1616" s="466">
        <v>62500000</v>
      </c>
      <c r="G1616" s="478">
        <v>0</v>
      </c>
      <c r="H1616" s="466">
        <v>0</v>
      </c>
      <c r="I1616" s="479">
        <v>0</v>
      </c>
    </row>
    <row r="1617" spans="1:9" ht="15.75" customHeight="1">
      <c r="A1617" s="467"/>
      <c r="B1617" s="467"/>
      <c r="C1617" s="466"/>
      <c r="D1617" s="497">
        <v>47106</v>
      </c>
      <c r="E1617" s="466" t="s">
        <v>618</v>
      </c>
      <c r="F1617" s="466">
        <v>62500000</v>
      </c>
      <c r="G1617" s="478">
        <v>0</v>
      </c>
      <c r="H1617" s="466">
        <v>0</v>
      </c>
      <c r="I1617" s="479">
        <v>0</v>
      </c>
    </row>
    <row r="1618" spans="1:9" ht="15.75" customHeight="1">
      <c r="A1618" s="467"/>
      <c r="B1618" s="467"/>
      <c r="C1618" s="466"/>
      <c r="D1618" s="497">
        <v>47107</v>
      </c>
      <c r="E1618" s="466" t="s">
        <v>624</v>
      </c>
      <c r="F1618" s="466">
        <v>62500000</v>
      </c>
      <c r="G1618" s="478">
        <v>0</v>
      </c>
      <c r="H1618" s="466">
        <v>0</v>
      </c>
      <c r="I1618" s="479">
        <v>0</v>
      </c>
    </row>
    <row r="1619" spans="1:9" ht="15.75" customHeight="1">
      <c r="A1619" s="467"/>
      <c r="B1619" s="467"/>
      <c r="C1619" s="466"/>
      <c r="D1619" s="497">
        <v>47108</v>
      </c>
      <c r="E1619" s="466" t="s">
        <v>623</v>
      </c>
      <c r="F1619" s="466">
        <v>62500000</v>
      </c>
      <c r="G1619" s="478">
        <v>0</v>
      </c>
      <c r="H1619" s="466">
        <v>0</v>
      </c>
      <c r="I1619" s="479">
        <v>0</v>
      </c>
    </row>
    <row r="1620" spans="1:9" ht="15.75" customHeight="1">
      <c r="A1620" s="467"/>
      <c r="B1620" s="467"/>
      <c r="C1620" s="466"/>
      <c r="D1620" s="497">
        <v>47109</v>
      </c>
      <c r="E1620" s="466" t="s">
        <v>622</v>
      </c>
      <c r="F1620" s="466">
        <v>62500000</v>
      </c>
      <c r="G1620" s="478">
        <v>0</v>
      </c>
      <c r="H1620" s="466">
        <v>0</v>
      </c>
      <c r="I1620" s="479">
        <v>0</v>
      </c>
    </row>
    <row r="1621" spans="1:9" ht="15.75" customHeight="1">
      <c r="A1621" s="467"/>
      <c r="B1621" s="467"/>
      <c r="C1621" s="466"/>
      <c r="D1621" s="497">
        <v>47110</v>
      </c>
      <c r="E1621" s="466" t="s">
        <v>621</v>
      </c>
      <c r="F1621" s="466">
        <v>62500000</v>
      </c>
      <c r="G1621" s="478">
        <v>0</v>
      </c>
      <c r="H1621" s="466">
        <v>0</v>
      </c>
      <c r="I1621" s="479">
        <v>0</v>
      </c>
    </row>
    <row r="1622" spans="1:9" ht="15.75" customHeight="1">
      <c r="A1622" s="467"/>
      <c r="B1622" s="467"/>
      <c r="C1622" s="466"/>
      <c r="D1622" s="497">
        <v>47111</v>
      </c>
      <c r="E1622" s="466" t="s">
        <v>620</v>
      </c>
      <c r="F1622" s="466">
        <v>62500000</v>
      </c>
      <c r="G1622" s="478">
        <v>0</v>
      </c>
      <c r="H1622" s="466">
        <v>0</v>
      </c>
      <c r="I1622" s="479">
        <v>0</v>
      </c>
    </row>
    <row r="1623" spans="1:9" ht="15.75" customHeight="1">
      <c r="A1623" s="467"/>
      <c r="B1623" s="467"/>
      <c r="C1623" s="466"/>
      <c r="D1623" s="497">
        <v>47112</v>
      </c>
      <c r="E1623" s="466" t="s">
        <v>619</v>
      </c>
      <c r="F1623" s="466">
        <v>62500000</v>
      </c>
      <c r="G1623" s="478">
        <v>0</v>
      </c>
      <c r="H1623" s="466">
        <v>0</v>
      </c>
      <c r="I1623" s="479">
        <v>0</v>
      </c>
    </row>
    <row r="1624" spans="1:9" ht="15.75" customHeight="1">
      <c r="A1624" s="467"/>
      <c r="B1624" s="467"/>
      <c r="C1624" s="466"/>
      <c r="D1624" s="497">
        <v>47113</v>
      </c>
      <c r="E1624" s="466" t="s">
        <v>618</v>
      </c>
      <c r="F1624" s="466">
        <v>62500000</v>
      </c>
      <c r="G1624" s="478">
        <v>0</v>
      </c>
      <c r="H1624" s="466">
        <v>0</v>
      </c>
      <c r="I1624" s="479">
        <v>0</v>
      </c>
    </row>
    <row r="1625" spans="1:9" ht="15.75" customHeight="1">
      <c r="A1625" s="467"/>
      <c r="B1625" s="467"/>
      <c r="C1625" s="466"/>
      <c r="D1625" s="497">
        <v>47114</v>
      </c>
      <c r="E1625" s="466" t="s">
        <v>624</v>
      </c>
      <c r="F1625" s="466">
        <v>62500000</v>
      </c>
      <c r="G1625" s="478">
        <v>0</v>
      </c>
      <c r="H1625" s="466">
        <v>0</v>
      </c>
      <c r="I1625" s="479">
        <v>0</v>
      </c>
    </row>
    <row r="1626" spans="1:9" ht="15.75" customHeight="1">
      <c r="A1626" s="467"/>
      <c r="B1626" s="467"/>
      <c r="C1626" s="466"/>
      <c r="D1626" s="497">
        <v>47115</v>
      </c>
      <c r="E1626" s="466" t="s">
        <v>623</v>
      </c>
      <c r="F1626" s="466">
        <v>62500000</v>
      </c>
      <c r="G1626" s="478">
        <v>0</v>
      </c>
      <c r="H1626" s="466">
        <v>0</v>
      </c>
      <c r="I1626" s="479">
        <v>0</v>
      </c>
    </row>
    <row r="1627" spans="1:9" ht="15.75" customHeight="1">
      <c r="A1627" s="467"/>
      <c r="B1627" s="467"/>
      <c r="C1627" s="466"/>
      <c r="D1627" s="497">
        <v>47116</v>
      </c>
      <c r="E1627" s="466" t="s">
        <v>622</v>
      </c>
      <c r="F1627" s="466">
        <v>62500000</v>
      </c>
      <c r="G1627" s="478">
        <v>0</v>
      </c>
      <c r="H1627" s="466">
        <v>0</v>
      </c>
      <c r="I1627" s="479">
        <v>0</v>
      </c>
    </row>
    <row r="1628" spans="1:9" ht="15.75" customHeight="1">
      <c r="A1628" s="467"/>
      <c r="B1628" s="467"/>
      <c r="C1628" s="466"/>
      <c r="D1628" s="497">
        <v>47117</v>
      </c>
      <c r="E1628" s="466" t="s">
        <v>621</v>
      </c>
      <c r="F1628" s="466">
        <v>62500000</v>
      </c>
      <c r="G1628" s="478">
        <v>0</v>
      </c>
      <c r="H1628" s="466">
        <v>0</v>
      </c>
      <c r="I1628" s="479">
        <v>0</v>
      </c>
    </row>
    <row r="1629" spans="1:9" ht="15.75" customHeight="1">
      <c r="A1629" s="467"/>
      <c r="B1629" s="467"/>
      <c r="C1629" s="466"/>
      <c r="D1629" s="497">
        <v>47118</v>
      </c>
      <c r="E1629" s="466" t="s">
        <v>620</v>
      </c>
      <c r="F1629" s="466">
        <v>62500000</v>
      </c>
      <c r="G1629" s="478">
        <v>0</v>
      </c>
      <c r="H1629" s="466">
        <v>0</v>
      </c>
      <c r="I1629" s="479">
        <v>0</v>
      </c>
    </row>
    <row r="1630" spans="1:9" ht="15.75" customHeight="1">
      <c r="A1630" s="467"/>
      <c r="B1630" s="467"/>
      <c r="C1630" s="466"/>
      <c r="D1630" s="497">
        <v>47119</v>
      </c>
      <c r="E1630" s="466" t="s">
        <v>619</v>
      </c>
      <c r="F1630" s="466">
        <v>62500000</v>
      </c>
      <c r="G1630" s="478">
        <v>0</v>
      </c>
      <c r="H1630" s="466">
        <v>0</v>
      </c>
      <c r="I1630" s="479">
        <v>0</v>
      </c>
    </row>
    <row r="1631" spans="1:9" ht="15.75" customHeight="1">
      <c r="A1631" s="467"/>
      <c r="B1631" s="467"/>
      <c r="C1631" s="466"/>
      <c r="D1631" s="497">
        <v>47120</v>
      </c>
      <c r="E1631" s="466" t="s">
        <v>618</v>
      </c>
      <c r="F1631" s="466">
        <v>62500000</v>
      </c>
      <c r="G1631" s="478">
        <v>0</v>
      </c>
      <c r="H1631" s="466">
        <v>0</v>
      </c>
      <c r="I1631" s="479">
        <v>0</v>
      </c>
    </row>
    <row r="1632" spans="1:9" ht="15.75" customHeight="1">
      <c r="A1632" s="467"/>
      <c r="B1632" s="467"/>
      <c r="C1632" s="466"/>
      <c r="D1632" s="497">
        <v>47121</v>
      </c>
      <c r="E1632" s="466" t="s">
        <v>624</v>
      </c>
      <c r="F1632" s="466">
        <v>62500000</v>
      </c>
      <c r="G1632" s="478">
        <v>0</v>
      </c>
      <c r="H1632" s="466">
        <v>0</v>
      </c>
      <c r="I1632" s="479">
        <v>0</v>
      </c>
    </row>
    <row r="1633" spans="1:9" ht="15.75" customHeight="1">
      <c r="A1633" s="467"/>
      <c r="B1633" s="467"/>
      <c r="C1633" s="466"/>
      <c r="D1633" s="497">
        <v>47122</v>
      </c>
      <c r="E1633" s="466" t="s">
        <v>623</v>
      </c>
      <c r="F1633" s="466">
        <v>62500000</v>
      </c>
      <c r="G1633" s="478">
        <v>0</v>
      </c>
      <c r="H1633" s="466">
        <v>0</v>
      </c>
      <c r="I1633" s="479">
        <v>0</v>
      </c>
    </row>
    <row r="1634" spans="1:9" ht="15.75" customHeight="1">
      <c r="A1634" s="467"/>
      <c r="B1634" s="467"/>
      <c r="C1634" s="466"/>
      <c r="D1634" s="497">
        <v>47123</v>
      </c>
      <c r="E1634" s="466" t="s">
        <v>622</v>
      </c>
      <c r="F1634" s="466">
        <v>62500000</v>
      </c>
      <c r="G1634" s="478">
        <v>0</v>
      </c>
      <c r="H1634" s="466">
        <v>0</v>
      </c>
      <c r="I1634" s="479">
        <v>0</v>
      </c>
    </row>
    <row r="1635" spans="1:9" ht="15.75" customHeight="1">
      <c r="A1635" s="467"/>
      <c r="B1635" s="467"/>
      <c r="C1635" s="466"/>
      <c r="D1635" s="497">
        <v>47124</v>
      </c>
      <c r="E1635" s="466" t="s">
        <v>621</v>
      </c>
      <c r="F1635" s="466">
        <v>62500000</v>
      </c>
      <c r="G1635" s="478">
        <v>0</v>
      </c>
      <c r="H1635" s="466">
        <v>0</v>
      </c>
      <c r="I1635" s="479">
        <v>0</v>
      </c>
    </row>
    <row r="1636" spans="1:9" ht="15.75" customHeight="1">
      <c r="A1636" s="467"/>
      <c r="B1636" s="467"/>
      <c r="C1636" s="466"/>
      <c r="D1636" s="497">
        <v>47125</v>
      </c>
      <c r="E1636" s="466" t="s">
        <v>620</v>
      </c>
      <c r="F1636" s="466">
        <v>62500000</v>
      </c>
      <c r="G1636" s="478">
        <v>0</v>
      </c>
      <c r="H1636" s="466">
        <v>0</v>
      </c>
      <c r="I1636" s="479">
        <v>0</v>
      </c>
    </row>
    <row r="1637" spans="1:9" ht="15.75" customHeight="1">
      <c r="A1637" s="467"/>
      <c r="B1637" s="467"/>
      <c r="C1637" s="466"/>
      <c r="D1637" s="497">
        <v>47126</v>
      </c>
      <c r="E1637" s="466" t="s">
        <v>619</v>
      </c>
      <c r="F1637" s="466">
        <v>62500000</v>
      </c>
      <c r="G1637" s="478">
        <v>0</v>
      </c>
      <c r="H1637" s="466">
        <v>0</v>
      </c>
      <c r="I1637" s="479">
        <v>0</v>
      </c>
    </row>
    <row r="1638" spans="1:9" ht="15.75" customHeight="1">
      <c r="A1638" s="467"/>
      <c r="B1638" s="467"/>
      <c r="C1638" s="466"/>
      <c r="D1638" s="497">
        <v>47127</v>
      </c>
      <c r="E1638" s="466" t="s">
        <v>618</v>
      </c>
      <c r="F1638" s="466">
        <v>62500000</v>
      </c>
      <c r="G1638" s="478">
        <v>0</v>
      </c>
      <c r="H1638" s="466">
        <v>0</v>
      </c>
      <c r="I1638" s="479">
        <v>0</v>
      </c>
    </row>
    <row r="1639" spans="1:9" ht="15.75" customHeight="1">
      <c r="A1639" s="467"/>
      <c r="B1639" s="467"/>
      <c r="C1639" s="466"/>
      <c r="D1639" s="497">
        <v>47128</v>
      </c>
      <c r="E1639" s="466" t="s">
        <v>624</v>
      </c>
      <c r="F1639" s="466">
        <v>62500000</v>
      </c>
      <c r="G1639" s="478">
        <v>0</v>
      </c>
      <c r="H1639" s="466">
        <v>0</v>
      </c>
      <c r="I1639" s="479">
        <v>0</v>
      </c>
    </row>
    <row r="1640" spans="1:9" ht="15.75" customHeight="1">
      <c r="A1640" s="467"/>
      <c r="B1640" s="467"/>
      <c r="C1640" s="466"/>
      <c r="D1640" s="497">
        <v>47129</v>
      </c>
      <c r="E1640" s="466" t="s">
        <v>623</v>
      </c>
      <c r="F1640" s="466">
        <v>62500000</v>
      </c>
      <c r="G1640" s="478">
        <v>0</v>
      </c>
      <c r="H1640" s="466">
        <v>0</v>
      </c>
      <c r="I1640" s="479">
        <v>0</v>
      </c>
    </row>
    <row r="1641" spans="1:9" ht="15.75" customHeight="1">
      <c r="A1641" s="467"/>
      <c r="B1641" s="467"/>
      <c r="C1641" s="466"/>
      <c r="D1641" s="497">
        <v>47130</v>
      </c>
      <c r="E1641" s="466" t="s">
        <v>622</v>
      </c>
      <c r="F1641" s="466">
        <v>62500000</v>
      </c>
      <c r="G1641" s="478">
        <v>0</v>
      </c>
      <c r="H1641" s="466">
        <v>0</v>
      </c>
      <c r="I1641" s="479">
        <v>0</v>
      </c>
    </row>
    <row r="1642" spans="1:9" ht="15.75" customHeight="1">
      <c r="A1642" s="467"/>
      <c r="B1642" s="467"/>
      <c r="C1642" s="466"/>
      <c r="D1642" s="497">
        <v>47131</v>
      </c>
      <c r="E1642" s="466" t="s">
        <v>621</v>
      </c>
      <c r="F1642" s="466">
        <v>62500000</v>
      </c>
      <c r="G1642" s="478">
        <v>0</v>
      </c>
      <c r="H1642" s="466">
        <v>0</v>
      </c>
      <c r="I1642" s="479">
        <v>0</v>
      </c>
    </row>
    <row r="1643" spans="1:9" ht="15.75" customHeight="1">
      <c r="A1643" s="467"/>
      <c r="B1643" s="467"/>
      <c r="C1643" s="466"/>
      <c r="D1643" s="497">
        <v>47132</v>
      </c>
      <c r="E1643" s="466" t="s">
        <v>620</v>
      </c>
      <c r="F1643" s="466">
        <v>62500000</v>
      </c>
      <c r="G1643" s="478">
        <v>0</v>
      </c>
      <c r="H1643" s="466">
        <v>0</v>
      </c>
      <c r="I1643" s="479">
        <v>0</v>
      </c>
    </row>
    <row r="1644" spans="1:9" ht="15.75" customHeight="1">
      <c r="A1644" s="467"/>
      <c r="B1644" s="467"/>
      <c r="C1644" s="466"/>
      <c r="D1644" s="497">
        <v>47133</v>
      </c>
      <c r="E1644" s="466" t="s">
        <v>619</v>
      </c>
      <c r="F1644" s="466">
        <v>62500000</v>
      </c>
      <c r="G1644" s="478">
        <v>0</v>
      </c>
      <c r="H1644" s="466">
        <v>0</v>
      </c>
      <c r="I1644" s="479">
        <v>0</v>
      </c>
    </row>
    <row r="1645" spans="1:9" ht="15.75" customHeight="1">
      <c r="A1645" s="467"/>
      <c r="B1645" s="467"/>
      <c r="C1645" s="466"/>
      <c r="D1645" s="497">
        <v>47134</v>
      </c>
      <c r="E1645" s="466" t="s">
        <v>618</v>
      </c>
      <c r="F1645" s="466">
        <v>62500000</v>
      </c>
      <c r="G1645" s="478">
        <v>0</v>
      </c>
      <c r="H1645" s="466">
        <v>0</v>
      </c>
      <c r="I1645" s="479">
        <v>0</v>
      </c>
    </row>
    <row r="1646" spans="1:9" ht="15.75" customHeight="1">
      <c r="A1646" s="467"/>
      <c r="B1646" s="467"/>
      <c r="C1646" s="466"/>
      <c r="D1646" s="497">
        <v>47135</v>
      </c>
      <c r="E1646" s="466" t="s">
        <v>624</v>
      </c>
      <c r="F1646" s="466">
        <v>62500000</v>
      </c>
      <c r="G1646" s="478">
        <v>0</v>
      </c>
      <c r="H1646" s="466">
        <v>0</v>
      </c>
      <c r="I1646" s="479">
        <v>0</v>
      </c>
    </row>
    <row r="1647" spans="1:9" ht="15.75" customHeight="1">
      <c r="A1647" s="467"/>
      <c r="B1647" s="467"/>
      <c r="C1647" s="466"/>
      <c r="D1647" s="497">
        <v>47136</v>
      </c>
      <c r="E1647" s="466" t="s">
        <v>623</v>
      </c>
      <c r="F1647" s="466">
        <v>62500000</v>
      </c>
      <c r="G1647" s="478">
        <v>0</v>
      </c>
      <c r="H1647" s="466">
        <v>0</v>
      </c>
      <c r="I1647" s="479">
        <v>0</v>
      </c>
    </row>
    <row r="1648" spans="1:9" ht="15.75" customHeight="1">
      <c r="A1648" s="467"/>
      <c r="B1648" s="467"/>
      <c r="C1648" s="466"/>
      <c r="D1648" s="497">
        <v>47137</v>
      </c>
      <c r="E1648" s="466" t="s">
        <v>622</v>
      </c>
      <c r="F1648" s="466">
        <v>62500000</v>
      </c>
      <c r="G1648" s="478">
        <v>0</v>
      </c>
      <c r="H1648" s="466">
        <v>0</v>
      </c>
      <c r="I1648" s="479">
        <v>0</v>
      </c>
    </row>
    <row r="1649" spans="1:9" ht="15.75" customHeight="1">
      <c r="A1649" s="467"/>
      <c r="B1649" s="467"/>
      <c r="C1649" s="466"/>
      <c r="D1649" s="497">
        <v>47138</v>
      </c>
      <c r="E1649" s="466" t="s">
        <v>621</v>
      </c>
      <c r="F1649" s="466">
        <v>62500000</v>
      </c>
      <c r="G1649" s="478">
        <v>0</v>
      </c>
      <c r="H1649" s="466">
        <v>0</v>
      </c>
      <c r="I1649" s="479">
        <v>0</v>
      </c>
    </row>
    <row r="1650" spans="1:9" ht="15.75" customHeight="1">
      <c r="A1650" s="467"/>
      <c r="B1650" s="467"/>
      <c r="C1650" s="466"/>
      <c r="D1650" s="497">
        <v>47139</v>
      </c>
      <c r="E1650" s="466" t="s">
        <v>620</v>
      </c>
      <c r="F1650" s="466">
        <v>62500000</v>
      </c>
      <c r="G1650" s="478">
        <v>0</v>
      </c>
      <c r="H1650" s="466">
        <v>0</v>
      </c>
      <c r="I1650" s="479">
        <v>0</v>
      </c>
    </row>
    <row r="1651" spans="1:9" ht="15.75" customHeight="1">
      <c r="A1651" s="467"/>
      <c r="B1651" s="467"/>
      <c r="C1651" s="466"/>
      <c r="D1651" s="497">
        <v>47140</v>
      </c>
      <c r="E1651" s="466" t="s">
        <v>619</v>
      </c>
      <c r="F1651" s="466">
        <v>62500000</v>
      </c>
      <c r="G1651" s="478">
        <v>0</v>
      </c>
      <c r="H1651" s="466">
        <v>0</v>
      </c>
      <c r="I1651" s="479">
        <v>0</v>
      </c>
    </row>
    <row r="1652" spans="1:9" ht="15.75" customHeight="1">
      <c r="A1652" s="467"/>
      <c r="B1652" s="467"/>
      <c r="C1652" s="466"/>
      <c r="D1652" s="497">
        <v>47141</v>
      </c>
      <c r="E1652" s="466" t="s">
        <v>618</v>
      </c>
      <c r="F1652" s="466">
        <v>62500000</v>
      </c>
      <c r="G1652" s="478">
        <v>0</v>
      </c>
      <c r="H1652" s="466">
        <v>0</v>
      </c>
      <c r="I1652" s="479">
        <v>0</v>
      </c>
    </row>
    <row r="1653" spans="1:9" ht="15.75" customHeight="1">
      <c r="A1653" s="467"/>
      <c r="B1653" s="467"/>
      <c r="C1653" s="466"/>
      <c r="D1653" s="497">
        <v>47142</v>
      </c>
      <c r="E1653" s="466" t="s">
        <v>624</v>
      </c>
      <c r="F1653" s="466">
        <v>62500000</v>
      </c>
      <c r="G1653" s="478">
        <v>0</v>
      </c>
      <c r="H1653" s="466">
        <v>0</v>
      </c>
      <c r="I1653" s="479">
        <v>0</v>
      </c>
    </row>
    <row r="1654" spans="1:9" ht="15.75" customHeight="1">
      <c r="A1654" s="467"/>
      <c r="B1654" s="467"/>
      <c r="C1654" s="466"/>
      <c r="D1654" s="497">
        <v>47143</v>
      </c>
      <c r="E1654" s="466" t="s">
        <v>623</v>
      </c>
      <c r="F1654" s="466">
        <v>62500000</v>
      </c>
      <c r="G1654" s="478">
        <v>0</v>
      </c>
      <c r="H1654" s="466">
        <v>0</v>
      </c>
      <c r="I1654" s="479">
        <v>0</v>
      </c>
    </row>
    <row r="1655" spans="1:9" ht="15.75" customHeight="1">
      <c r="A1655" s="467"/>
      <c r="B1655" s="467"/>
      <c r="C1655" s="466"/>
      <c r="D1655" s="497">
        <v>47144</v>
      </c>
      <c r="E1655" s="466" t="s">
        <v>622</v>
      </c>
      <c r="F1655" s="466">
        <v>62500000</v>
      </c>
      <c r="G1655" s="478">
        <v>0</v>
      </c>
      <c r="H1655" s="466">
        <v>0</v>
      </c>
      <c r="I1655" s="479">
        <v>0</v>
      </c>
    </row>
    <row r="1656" spans="1:9" ht="15.75" customHeight="1">
      <c r="A1656" s="467"/>
      <c r="B1656" s="467"/>
      <c r="C1656" s="466"/>
      <c r="D1656" s="497">
        <v>47145</v>
      </c>
      <c r="E1656" s="466" t="s">
        <v>621</v>
      </c>
      <c r="F1656" s="466">
        <v>62500000</v>
      </c>
      <c r="G1656" s="478">
        <v>0</v>
      </c>
      <c r="H1656" s="466">
        <v>0</v>
      </c>
      <c r="I1656" s="479">
        <v>0</v>
      </c>
    </row>
    <row r="1657" spans="1:9" ht="15.75" customHeight="1">
      <c r="A1657" s="467"/>
      <c r="B1657" s="467"/>
      <c r="C1657" s="466"/>
      <c r="D1657" s="497">
        <v>47146</v>
      </c>
      <c r="E1657" s="466" t="s">
        <v>620</v>
      </c>
      <c r="F1657" s="466">
        <v>62500000</v>
      </c>
      <c r="G1657" s="478">
        <v>0</v>
      </c>
      <c r="H1657" s="466">
        <v>0</v>
      </c>
      <c r="I1657" s="479">
        <v>0</v>
      </c>
    </row>
    <row r="1658" spans="1:9" ht="15.75" customHeight="1">
      <c r="A1658" s="467"/>
      <c r="B1658" s="467"/>
      <c r="C1658" s="466"/>
      <c r="D1658" s="497">
        <v>47147</v>
      </c>
      <c r="E1658" s="466" t="s">
        <v>619</v>
      </c>
      <c r="F1658" s="466">
        <v>62500000</v>
      </c>
      <c r="G1658" s="478">
        <v>0</v>
      </c>
      <c r="H1658" s="466">
        <v>0</v>
      </c>
      <c r="I1658" s="479">
        <v>0</v>
      </c>
    </row>
    <row r="1659" spans="1:9" ht="15.75" customHeight="1">
      <c r="A1659" s="467"/>
      <c r="B1659" s="467"/>
      <c r="C1659" s="466"/>
      <c r="D1659" s="497">
        <v>47148</v>
      </c>
      <c r="E1659" s="466" t="s">
        <v>618</v>
      </c>
      <c r="F1659" s="466">
        <v>62500000</v>
      </c>
      <c r="G1659" s="478">
        <v>0</v>
      </c>
      <c r="H1659" s="466">
        <v>0</v>
      </c>
      <c r="I1659" s="479">
        <v>0</v>
      </c>
    </row>
    <row r="1660" spans="1:9" ht="15.75" customHeight="1">
      <c r="A1660" s="467"/>
      <c r="B1660" s="467"/>
      <c r="C1660" s="466"/>
      <c r="D1660" s="497">
        <v>47149</v>
      </c>
      <c r="E1660" s="466" t="s">
        <v>624</v>
      </c>
      <c r="F1660" s="466">
        <v>62500000</v>
      </c>
      <c r="G1660" s="478">
        <v>0</v>
      </c>
      <c r="H1660" s="466">
        <v>0</v>
      </c>
      <c r="I1660" s="479">
        <v>0</v>
      </c>
    </row>
    <row r="1661" spans="1:9" ht="15.75" customHeight="1">
      <c r="A1661" s="467"/>
      <c r="B1661" s="467"/>
      <c r="C1661" s="466"/>
      <c r="D1661" s="497">
        <v>47150</v>
      </c>
      <c r="E1661" s="466" t="s">
        <v>623</v>
      </c>
      <c r="F1661" s="466">
        <v>62500000</v>
      </c>
      <c r="G1661" s="478">
        <v>0</v>
      </c>
      <c r="H1661" s="466">
        <v>0</v>
      </c>
      <c r="I1661" s="479">
        <v>0</v>
      </c>
    </row>
    <row r="1662" spans="1:9" ht="15.75" customHeight="1">
      <c r="A1662" s="467"/>
      <c r="B1662" s="467"/>
      <c r="C1662" s="466"/>
      <c r="D1662" s="497">
        <v>47151</v>
      </c>
      <c r="E1662" s="466" t="s">
        <v>622</v>
      </c>
      <c r="F1662" s="466">
        <v>62500000</v>
      </c>
      <c r="G1662" s="478">
        <v>0</v>
      </c>
      <c r="H1662" s="466">
        <v>0</v>
      </c>
      <c r="I1662" s="479">
        <v>0</v>
      </c>
    </row>
    <row r="1663" spans="1:9" ht="15.75" customHeight="1">
      <c r="A1663" s="467"/>
      <c r="B1663" s="467"/>
      <c r="C1663" s="466"/>
      <c r="D1663" s="497">
        <v>47152</v>
      </c>
      <c r="E1663" s="466" t="s">
        <v>621</v>
      </c>
      <c r="F1663" s="466">
        <v>62500000</v>
      </c>
      <c r="G1663" s="478">
        <v>0</v>
      </c>
      <c r="H1663" s="466">
        <v>0</v>
      </c>
      <c r="I1663" s="479">
        <v>0</v>
      </c>
    </row>
    <row r="1664" spans="1:9" ht="15.75" customHeight="1">
      <c r="A1664" s="467"/>
      <c r="B1664" s="467"/>
      <c r="C1664" s="466"/>
      <c r="D1664" s="497">
        <v>47153</v>
      </c>
      <c r="E1664" s="466" t="s">
        <v>620</v>
      </c>
      <c r="F1664" s="466">
        <v>62500000</v>
      </c>
      <c r="G1664" s="478">
        <v>0</v>
      </c>
      <c r="H1664" s="466">
        <v>0</v>
      </c>
      <c r="I1664" s="479">
        <v>0</v>
      </c>
    </row>
    <row r="1665" spans="1:9" ht="15.75" customHeight="1">
      <c r="A1665" s="467"/>
      <c r="B1665" s="467"/>
      <c r="C1665" s="466"/>
      <c r="D1665" s="497">
        <v>47154</v>
      </c>
      <c r="E1665" s="466" t="s">
        <v>619</v>
      </c>
      <c r="F1665" s="466">
        <v>62500000</v>
      </c>
      <c r="G1665" s="478">
        <v>0</v>
      </c>
      <c r="H1665" s="466">
        <v>0</v>
      </c>
      <c r="I1665" s="479">
        <v>0</v>
      </c>
    </row>
    <row r="1666" spans="1:9" ht="15.75" customHeight="1">
      <c r="A1666" s="467"/>
      <c r="B1666" s="467"/>
      <c r="C1666" s="466"/>
      <c r="D1666" s="497">
        <v>47155</v>
      </c>
      <c r="E1666" s="466" t="s">
        <v>618</v>
      </c>
      <c r="F1666" s="466">
        <v>62500000</v>
      </c>
      <c r="G1666" s="478">
        <v>0</v>
      </c>
      <c r="H1666" s="466">
        <v>0</v>
      </c>
      <c r="I1666" s="479">
        <v>0</v>
      </c>
    </row>
    <row r="1667" spans="1:9" ht="15.75" customHeight="1">
      <c r="A1667" s="467"/>
      <c r="B1667" s="467"/>
      <c r="C1667" s="466"/>
      <c r="D1667" s="497">
        <v>47156</v>
      </c>
      <c r="E1667" s="466" t="s">
        <v>624</v>
      </c>
      <c r="F1667" s="466">
        <v>62500000</v>
      </c>
      <c r="G1667" s="478">
        <v>0</v>
      </c>
      <c r="H1667" s="466">
        <v>0</v>
      </c>
      <c r="I1667" s="479">
        <v>0</v>
      </c>
    </row>
    <row r="1668" spans="1:9" ht="15.75" customHeight="1">
      <c r="A1668" s="467"/>
      <c r="B1668" s="467"/>
      <c r="C1668" s="466"/>
      <c r="D1668" s="497">
        <v>47157</v>
      </c>
      <c r="E1668" s="466" t="s">
        <v>623</v>
      </c>
      <c r="F1668" s="466">
        <v>62500000</v>
      </c>
      <c r="G1668" s="478">
        <v>0</v>
      </c>
      <c r="H1668" s="466">
        <v>0</v>
      </c>
      <c r="I1668" s="479">
        <v>0</v>
      </c>
    </row>
    <row r="1669" spans="1:9" ht="15.75" customHeight="1">
      <c r="A1669" s="467"/>
      <c r="B1669" s="467"/>
      <c r="C1669" s="466"/>
      <c r="D1669" s="497">
        <v>47158</v>
      </c>
      <c r="E1669" s="466" t="s">
        <v>622</v>
      </c>
      <c r="F1669" s="466">
        <v>62500000</v>
      </c>
      <c r="G1669" s="478">
        <v>0</v>
      </c>
      <c r="H1669" s="466">
        <v>0</v>
      </c>
      <c r="I1669" s="479">
        <v>0</v>
      </c>
    </row>
    <row r="1670" spans="1:9" ht="15.75" customHeight="1">
      <c r="A1670" s="467"/>
      <c r="B1670" s="467"/>
      <c r="C1670" s="466"/>
      <c r="D1670" s="497">
        <v>47159</v>
      </c>
      <c r="E1670" s="466" t="s">
        <v>621</v>
      </c>
      <c r="F1670" s="466">
        <v>62500000</v>
      </c>
      <c r="G1670" s="478">
        <v>0</v>
      </c>
      <c r="H1670" s="466">
        <v>0</v>
      </c>
      <c r="I1670" s="479">
        <v>0</v>
      </c>
    </row>
    <row r="1671" spans="1:9" ht="15.75" customHeight="1">
      <c r="A1671" s="467"/>
      <c r="B1671" s="467"/>
      <c r="C1671" s="466"/>
      <c r="D1671" s="497">
        <v>47160</v>
      </c>
      <c r="E1671" s="466" t="s">
        <v>620</v>
      </c>
      <c r="F1671" s="466">
        <v>62500000</v>
      </c>
      <c r="G1671" s="478">
        <v>0</v>
      </c>
      <c r="H1671" s="466">
        <v>0</v>
      </c>
      <c r="I1671" s="479">
        <v>0</v>
      </c>
    </row>
    <row r="1672" spans="1:9" ht="15.75" customHeight="1">
      <c r="A1672" s="467"/>
      <c r="B1672" s="467"/>
      <c r="C1672" s="466"/>
      <c r="D1672" s="497">
        <v>47161</v>
      </c>
      <c r="E1672" s="466" t="s">
        <v>619</v>
      </c>
      <c r="F1672" s="466">
        <v>62500000</v>
      </c>
      <c r="G1672" s="478">
        <v>0</v>
      </c>
      <c r="H1672" s="466">
        <v>0</v>
      </c>
      <c r="I1672" s="479">
        <v>0</v>
      </c>
    </row>
    <row r="1673" spans="1:9" ht="15.75" customHeight="1">
      <c r="A1673" s="467"/>
      <c r="B1673" s="467"/>
      <c r="C1673" s="466"/>
      <c r="D1673" s="497">
        <v>47162</v>
      </c>
      <c r="E1673" s="466" t="s">
        <v>618</v>
      </c>
      <c r="F1673" s="466">
        <v>62500000</v>
      </c>
      <c r="G1673" s="478">
        <v>0</v>
      </c>
      <c r="H1673" s="466">
        <v>0</v>
      </c>
      <c r="I1673" s="479">
        <v>0</v>
      </c>
    </row>
    <row r="1674" spans="1:9" ht="15.75" customHeight="1">
      <c r="A1674" s="467"/>
      <c r="B1674" s="467"/>
      <c r="C1674" s="466"/>
      <c r="D1674" s="497">
        <v>47163</v>
      </c>
      <c r="E1674" s="466" t="s">
        <v>624</v>
      </c>
      <c r="F1674" s="466">
        <v>62500000</v>
      </c>
      <c r="G1674" s="478">
        <v>0</v>
      </c>
      <c r="H1674" s="466">
        <v>0</v>
      </c>
      <c r="I1674" s="479">
        <v>0</v>
      </c>
    </row>
    <row r="1675" spans="1:9" ht="15.75" customHeight="1">
      <c r="A1675" s="467"/>
      <c r="B1675" s="467"/>
      <c r="C1675" s="466"/>
      <c r="D1675" s="497">
        <v>47164</v>
      </c>
      <c r="E1675" s="466" t="s">
        <v>623</v>
      </c>
      <c r="F1675" s="466">
        <v>62500000</v>
      </c>
      <c r="G1675" s="478">
        <v>0</v>
      </c>
      <c r="H1675" s="466">
        <v>0</v>
      </c>
      <c r="I1675" s="479">
        <v>0</v>
      </c>
    </row>
    <row r="1676" spans="1:9" ht="15.75" customHeight="1">
      <c r="A1676" s="467"/>
      <c r="B1676" s="467"/>
      <c r="C1676" s="466"/>
      <c r="D1676" s="497">
        <v>47165</v>
      </c>
      <c r="E1676" s="466" t="s">
        <v>622</v>
      </c>
      <c r="F1676" s="466">
        <v>62500000</v>
      </c>
      <c r="G1676" s="478">
        <v>0</v>
      </c>
      <c r="H1676" s="466">
        <v>0</v>
      </c>
      <c r="I1676" s="479">
        <v>0</v>
      </c>
    </row>
    <row r="1677" spans="1:9" ht="15.75" customHeight="1">
      <c r="A1677" s="467"/>
      <c r="B1677" s="467"/>
      <c r="C1677" s="466"/>
      <c r="D1677" s="497">
        <v>47166</v>
      </c>
      <c r="E1677" s="466" t="s">
        <v>621</v>
      </c>
      <c r="F1677" s="466">
        <v>62500000</v>
      </c>
      <c r="G1677" s="478">
        <v>0</v>
      </c>
      <c r="H1677" s="466">
        <v>0</v>
      </c>
      <c r="I1677" s="479">
        <v>0</v>
      </c>
    </row>
    <row r="1678" spans="1:9" ht="15.75" customHeight="1">
      <c r="A1678" s="467"/>
      <c r="B1678" s="467"/>
      <c r="C1678" s="466"/>
      <c r="D1678" s="497">
        <v>47167</v>
      </c>
      <c r="E1678" s="466" t="s">
        <v>620</v>
      </c>
      <c r="F1678" s="466">
        <v>62500000</v>
      </c>
      <c r="G1678" s="478">
        <v>0</v>
      </c>
      <c r="H1678" s="466">
        <v>0</v>
      </c>
      <c r="I1678" s="479">
        <v>0</v>
      </c>
    </row>
    <row r="1679" spans="1:9" ht="15.75" customHeight="1">
      <c r="A1679" s="467"/>
      <c r="B1679" s="467"/>
      <c r="C1679" s="466"/>
      <c r="D1679" s="497">
        <v>47168</v>
      </c>
      <c r="E1679" s="466" t="s">
        <v>619</v>
      </c>
      <c r="F1679" s="466">
        <v>62500000</v>
      </c>
      <c r="G1679" s="478">
        <v>0</v>
      </c>
      <c r="H1679" s="466">
        <v>0</v>
      </c>
      <c r="I1679" s="479">
        <v>0</v>
      </c>
    </row>
    <row r="1680" spans="1:9" ht="15.75" customHeight="1">
      <c r="A1680" s="467"/>
      <c r="B1680" s="467"/>
      <c r="C1680" s="466"/>
      <c r="D1680" s="497">
        <v>47169</v>
      </c>
      <c r="E1680" s="466" t="s">
        <v>618</v>
      </c>
      <c r="F1680" s="466">
        <v>62500000</v>
      </c>
      <c r="G1680" s="478">
        <v>0</v>
      </c>
      <c r="H1680" s="466">
        <v>0</v>
      </c>
      <c r="I1680" s="479">
        <v>0</v>
      </c>
    </row>
    <row r="1681" spans="1:9" ht="15.75" customHeight="1">
      <c r="A1681" s="467"/>
      <c r="B1681" s="467"/>
      <c r="C1681" s="466"/>
      <c r="D1681" s="497">
        <v>47170</v>
      </c>
      <c r="E1681" s="466" t="s">
        <v>624</v>
      </c>
      <c r="F1681" s="466">
        <v>62500000</v>
      </c>
      <c r="G1681" s="478">
        <v>0</v>
      </c>
      <c r="H1681" s="466">
        <v>0</v>
      </c>
      <c r="I1681" s="479">
        <v>0</v>
      </c>
    </row>
    <row r="1682" spans="1:9" ht="15.75" customHeight="1">
      <c r="A1682" s="467"/>
      <c r="B1682" s="467"/>
      <c r="C1682" s="466"/>
      <c r="D1682" s="497">
        <v>47171</v>
      </c>
      <c r="E1682" s="466" t="s">
        <v>623</v>
      </c>
      <c r="F1682" s="466">
        <v>62500000</v>
      </c>
      <c r="G1682" s="478">
        <v>0</v>
      </c>
      <c r="H1682" s="466">
        <v>0</v>
      </c>
      <c r="I1682" s="479">
        <v>0</v>
      </c>
    </row>
    <row r="1683" spans="1:9" ht="15.75" customHeight="1">
      <c r="A1683" s="467"/>
      <c r="B1683" s="467"/>
      <c r="C1683" s="466"/>
      <c r="D1683" s="497">
        <v>47172</v>
      </c>
      <c r="E1683" s="466" t="s">
        <v>622</v>
      </c>
      <c r="F1683" s="466">
        <v>62500000</v>
      </c>
      <c r="G1683" s="478">
        <v>0</v>
      </c>
      <c r="H1683" s="466">
        <v>0</v>
      </c>
      <c r="I1683" s="479">
        <v>0</v>
      </c>
    </row>
    <row r="1684" spans="1:9" ht="15.75" customHeight="1">
      <c r="A1684" s="467"/>
      <c r="B1684" s="467"/>
      <c r="C1684" s="466"/>
      <c r="D1684" s="497">
        <v>47173</v>
      </c>
      <c r="E1684" s="466" t="s">
        <v>621</v>
      </c>
      <c r="F1684" s="466">
        <v>62500000</v>
      </c>
      <c r="G1684" s="478">
        <v>0</v>
      </c>
      <c r="H1684" s="466">
        <v>0</v>
      </c>
      <c r="I1684" s="479">
        <v>0</v>
      </c>
    </row>
    <row r="1685" spans="1:9" ht="15.75" customHeight="1">
      <c r="A1685" s="467"/>
      <c r="B1685" s="467"/>
      <c r="C1685" s="466"/>
      <c r="D1685" s="497">
        <v>47174</v>
      </c>
      <c r="E1685" s="466" t="s">
        <v>620</v>
      </c>
      <c r="F1685" s="466">
        <v>62500000</v>
      </c>
      <c r="G1685" s="478">
        <v>0</v>
      </c>
      <c r="H1685" s="466">
        <v>0</v>
      </c>
      <c r="I1685" s="479">
        <v>0</v>
      </c>
    </row>
    <row r="1686" spans="1:9" ht="15.75" customHeight="1">
      <c r="A1686" s="467"/>
      <c r="B1686" s="467"/>
      <c r="C1686" s="466"/>
      <c r="D1686" s="497">
        <v>47175</v>
      </c>
      <c r="E1686" s="466" t="s">
        <v>619</v>
      </c>
      <c r="F1686" s="466">
        <v>62500000</v>
      </c>
      <c r="G1686" s="478">
        <v>0</v>
      </c>
      <c r="H1686" s="466">
        <v>0</v>
      </c>
      <c r="I1686" s="479">
        <v>0</v>
      </c>
    </row>
    <row r="1687" spans="1:9" ht="15.75" customHeight="1">
      <c r="A1687" s="467"/>
      <c r="B1687" s="467"/>
      <c r="C1687" s="466"/>
      <c r="D1687" s="497">
        <v>47176</v>
      </c>
      <c r="E1687" s="466" t="s">
        <v>618</v>
      </c>
      <c r="F1687" s="466">
        <v>62500000</v>
      </c>
      <c r="G1687" s="478">
        <v>0</v>
      </c>
      <c r="H1687" s="466">
        <v>0</v>
      </c>
      <c r="I1687" s="479">
        <v>0</v>
      </c>
    </row>
    <row r="1688" spans="1:9" ht="15.75" customHeight="1">
      <c r="A1688" s="467"/>
      <c r="B1688" s="467"/>
      <c r="C1688" s="466"/>
      <c r="D1688" s="497">
        <v>47177</v>
      </c>
      <c r="E1688" s="466" t="s">
        <v>624</v>
      </c>
      <c r="F1688" s="466">
        <v>62500000</v>
      </c>
      <c r="G1688" s="478">
        <v>0</v>
      </c>
      <c r="H1688" s="466">
        <v>0</v>
      </c>
      <c r="I1688" s="479">
        <v>0</v>
      </c>
    </row>
    <row r="1689" spans="1:9" ht="15.75" customHeight="1">
      <c r="A1689" s="467"/>
      <c r="B1689" s="467"/>
      <c r="C1689" s="466"/>
      <c r="D1689" s="497">
        <v>47178</v>
      </c>
      <c r="E1689" s="466" t="s">
        <v>623</v>
      </c>
      <c r="F1689" s="466">
        <v>62500000</v>
      </c>
      <c r="G1689" s="478">
        <v>0</v>
      </c>
      <c r="H1689" s="466">
        <v>0</v>
      </c>
      <c r="I1689" s="479">
        <v>0</v>
      </c>
    </row>
    <row r="1690" spans="1:9" ht="15.75" customHeight="1">
      <c r="A1690" s="467"/>
      <c r="B1690" s="467"/>
      <c r="C1690" s="466"/>
      <c r="D1690" s="497">
        <v>47179</v>
      </c>
      <c r="E1690" s="466" t="s">
        <v>622</v>
      </c>
      <c r="F1690" s="466">
        <v>62500000</v>
      </c>
      <c r="G1690" s="478">
        <v>0</v>
      </c>
      <c r="H1690" s="466">
        <v>0</v>
      </c>
      <c r="I1690" s="479">
        <v>0</v>
      </c>
    </row>
    <row r="1691" spans="1:9" ht="15.75" customHeight="1">
      <c r="A1691" s="467"/>
      <c r="B1691" s="467"/>
      <c r="C1691" s="466"/>
      <c r="D1691" s="497">
        <v>47180</v>
      </c>
      <c r="E1691" s="466" t="s">
        <v>621</v>
      </c>
      <c r="F1691" s="466">
        <v>62500000</v>
      </c>
      <c r="G1691" s="478">
        <v>0</v>
      </c>
      <c r="H1691" s="466">
        <v>0</v>
      </c>
      <c r="I1691" s="479">
        <v>0</v>
      </c>
    </row>
    <row r="1692" spans="1:9" ht="15.75" customHeight="1">
      <c r="A1692" s="467"/>
      <c r="B1692" s="467"/>
      <c r="C1692" s="466"/>
      <c r="D1692" s="497">
        <v>47181</v>
      </c>
      <c r="E1692" s="466" t="s">
        <v>620</v>
      </c>
      <c r="F1692" s="466">
        <v>62500000</v>
      </c>
      <c r="G1692" s="478">
        <v>0</v>
      </c>
      <c r="H1692" s="466">
        <v>0</v>
      </c>
      <c r="I1692" s="479">
        <v>0</v>
      </c>
    </row>
    <row r="1693" spans="1:9" ht="15.75" customHeight="1">
      <c r="A1693" s="467"/>
      <c r="B1693" s="467"/>
      <c r="C1693" s="466"/>
      <c r="D1693" s="497">
        <v>47182</v>
      </c>
      <c r="E1693" s="466" t="s">
        <v>619</v>
      </c>
      <c r="F1693" s="466">
        <v>62500000</v>
      </c>
      <c r="G1693" s="478">
        <v>0</v>
      </c>
      <c r="H1693" s="466">
        <v>0</v>
      </c>
      <c r="I1693" s="479">
        <v>0</v>
      </c>
    </row>
    <row r="1694" spans="1:9" ht="15.75" customHeight="1">
      <c r="A1694" s="467"/>
      <c r="B1694" s="467"/>
      <c r="C1694" s="466"/>
      <c r="D1694" s="497">
        <v>47183</v>
      </c>
      <c r="E1694" s="466" t="s">
        <v>618</v>
      </c>
      <c r="F1694" s="466">
        <v>62500000</v>
      </c>
      <c r="G1694" s="478">
        <v>0</v>
      </c>
      <c r="H1694" s="466">
        <v>0</v>
      </c>
      <c r="I1694" s="479">
        <v>0</v>
      </c>
    </row>
    <row r="1695" spans="1:9" ht="15.75" customHeight="1">
      <c r="A1695" s="467"/>
      <c r="B1695" s="467"/>
      <c r="C1695" s="466"/>
      <c r="D1695" s="497">
        <v>47184</v>
      </c>
      <c r="E1695" s="466" t="s">
        <v>624</v>
      </c>
      <c r="F1695" s="466">
        <v>62500000</v>
      </c>
      <c r="G1695" s="478">
        <v>0</v>
      </c>
      <c r="H1695" s="466">
        <v>0</v>
      </c>
      <c r="I1695" s="479">
        <v>0</v>
      </c>
    </row>
    <row r="1696" spans="1:9" ht="15.75" customHeight="1">
      <c r="A1696" s="467"/>
      <c r="B1696" s="467"/>
      <c r="C1696" s="466"/>
      <c r="D1696" s="497">
        <v>47185</v>
      </c>
      <c r="E1696" s="466" t="s">
        <v>623</v>
      </c>
      <c r="F1696" s="466">
        <v>62500000</v>
      </c>
      <c r="G1696" s="478">
        <v>0</v>
      </c>
      <c r="H1696" s="466">
        <v>0</v>
      </c>
      <c r="I1696" s="479">
        <v>0</v>
      </c>
    </row>
    <row r="1697" spans="1:9" ht="15.75" customHeight="1">
      <c r="A1697" s="467"/>
      <c r="B1697" s="467"/>
      <c r="C1697" s="466"/>
      <c r="D1697" s="497">
        <v>47186</v>
      </c>
      <c r="E1697" s="466" t="s">
        <v>622</v>
      </c>
      <c r="F1697" s="466">
        <v>62500000</v>
      </c>
      <c r="G1697" s="478">
        <v>0</v>
      </c>
      <c r="H1697" s="466">
        <v>0</v>
      </c>
      <c r="I1697" s="479">
        <v>0</v>
      </c>
    </row>
    <row r="1698" spans="1:9" ht="15.75" customHeight="1">
      <c r="A1698" s="467"/>
      <c r="B1698" s="467"/>
      <c r="C1698" s="466"/>
      <c r="D1698" s="497">
        <v>47187</v>
      </c>
      <c r="E1698" s="466" t="s">
        <v>621</v>
      </c>
      <c r="F1698" s="466">
        <v>62500000</v>
      </c>
      <c r="G1698" s="478">
        <v>0</v>
      </c>
      <c r="H1698" s="466">
        <v>0</v>
      </c>
      <c r="I1698" s="479">
        <v>0</v>
      </c>
    </row>
    <row r="1699" spans="1:9" ht="15.75" customHeight="1">
      <c r="A1699" s="467"/>
      <c r="B1699" s="467"/>
      <c r="C1699" s="466"/>
      <c r="D1699" s="497">
        <v>47188</v>
      </c>
      <c r="E1699" s="466" t="s">
        <v>620</v>
      </c>
      <c r="F1699" s="466">
        <v>62500000</v>
      </c>
      <c r="G1699" s="478">
        <v>0</v>
      </c>
      <c r="H1699" s="466">
        <v>0</v>
      </c>
      <c r="I1699" s="479">
        <v>0</v>
      </c>
    </row>
    <row r="1700" spans="1:9" ht="15.75" customHeight="1">
      <c r="A1700" s="467"/>
      <c r="B1700" s="467"/>
      <c r="C1700" s="466"/>
      <c r="D1700" s="497">
        <v>47189</v>
      </c>
      <c r="E1700" s="466" t="s">
        <v>619</v>
      </c>
      <c r="F1700" s="466">
        <v>62500000</v>
      </c>
      <c r="G1700" s="478">
        <v>0</v>
      </c>
      <c r="H1700" s="466">
        <v>0</v>
      </c>
      <c r="I1700" s="479">
        <v>0</v>
      </c>
    </row>
    <row r="1701" spans="1:9" ht="15.75" customHeight="1">
      <c r="A1701" s="467"/>
      <c r="B1701" s="467"/>
      <c r="C1701" s="466"/>
      <c r="D1701" s="497">
        <v>47190</v>
      </c>
      <c r="E1701" s="466" t="s">
        <v>618</v>
      </c>
      <c r="F1701" s="466">
        <v>62500000</v>
      </c>
      <c r="G1701" s="478">
        <v>0</v>
      </c>
      <c r="H1701" s="466">
        <v>0</v>
      </c>
      <c r="I1701" s="479">
        <v>0</v>
      </c>
    </row>
    <row r="1702" spans="1:9" ht="15.75" customHeight="1">
      <c r="A1702" s="467"/>
      <c r="B1702" s="467"/>
      <c r="C1702" s="466"/>
      <c r="D1702" s="497">
        <v>47191</v>
      </c>
      <c r="E1702" s="466" t="s">
        <v>624</v>
      </c>
      <c r="F1702" s="466">
        <v>62500000</v>
      </c>
      <c r="G1702" s="478">
        <v>0</v>
      </c>
      <c r="H1702" s="466">
        <v>0</v>
      </c>
      <c r="I1702" s="479">
        <v>0</v>
      </c>
    </row>
    <row r="1703" spans="1:9" ht="15.75" customHeight="1">
      <c r="A1703" s="467"/>
      <c r="B1703" s="467"/>
      <c r="C1703" s="466"/>
      <c r="D1703" s="497">
        <v>47192</v>
      </c>
      <c r="E1703" s="466" t="s">
        <v>623</v>
      </c>
      <c r="F1703" s="466">
        <v>62500000</v>
      </c>
      <c r="G1703" s="478">
        <v>0</v>
      </c>
      <c r="H1703" s="466">
        <v>0</v>
      </c>
      <c r="I1703" s="479">
        <v>0</v>
      </c>
    </row>
    <row r="1704" spans="1:9" ht="15.75" customHeight="1">
      <c r="A1704" s="467"/>
      <c r="B1704" s="467"/>
      <c r="C1704" s="466"/>
      <c r="D1704" s="497">
        <v>47193</v>
      </c>
      <c r="E1704" s="466" t="s">
        <v>622</v>
      </c>
      <c r="F1704" s="466">
        <v>62500000</v>
      </c>
      <c r="G1704" s="478">
        <v>0</v>
      </c>
      <c r="H1704" s="466">
        <v>0</v>
      </c>
      <c r="I1704" s="479">
        <v>0</v>
      </c>
    </row>
    <row r="1705" spans="1:9" ht="15.75" customHeight="1">
      <c r="A1705" s="467"/>
      <c r="B1705" s="467"/>
      <c r="C1705" s="466"/>
      <c r="D1705" s="497">
        <v>47194</v>
      </c>
      <c r="E1705" s="466" t="s">
        <v>621</v>
      </c>
      <c r="F1705" s="466">
        <v>62500000</v>
      </c>
      <c r="G1705" s="478">
        <v>0</v>
      </c>
      <c r="H1705" s="466">
        <v>0</v>
      </c>
      <c r="I1705" s="479">
        <v>0</v>
      </c>
    </row>
    <row r="1706" spans="1:9" ht="15.75" customHeight="1">
      <c r="A1706" s="467"/>
      <c r="B1706" s="467"/>
      <c r="C1706" s="466"/>
      <c r="D1706" s="497">
        <v>47195</v>
      </c>
      <c r="E1706" s="466" t="s">
        <v>620</v>
      </c>
      <c r="F1706" s="466">
        <v>62500000</v>
      </c>
      <c r="G1706" s="478">
        <v>0</v>
      </c>
      <c r="H1706" s="466">
        <v>0</v>
      </c>
      <c r="I1706" s="479">
        <v>0</v>
      </c>
    </row>
    <row r="1707" spans="1:9" ht="15.75" customHeight="1">
      <c r="A1707" s="467"/>
      <c r="B1707" s="467"/>
      <c r="C1707" s="466"/>
      <c r="D1707" s="497">
        <v>47196</v>
      </c>
      <c r="E1707" s="466" t="s">
        <v>619</v>
      </c>
      <c r="F1707" s="466">
        <v>62500000</v>
      </c>
      <c r="G1707" s="478">
        <v>0</v>
      </c>
      <c r="H1707" s="466">
        <v>0</v>
      </c>
      <c r="I1707" s="479">
        <v>0</v>
      </c>
    </row>
    <row r="1708" spans="1:9" ht="15.75" customHeight="1">
      <c r="A1708" s="467"/>
      <c r="B1708" s="467"/>
      <c r="C1708" s="466"/>
      <c r="D1708" s="497">
        <v>47197</v>
      </c>
      <c r="E1708" s="466" t="s">
        <v>618</v>
      </c>
      <c r="F1708" s="466">
        <v>62500000</v>
      </c>
      <c r="G1708" s="478">
        <v>0</v>
      </c>
      <c r="H1708" s="466">
        <v>0</v>
      </c>
      <c r="I1708" s="479">
        <v>0</v>
      </c>
    </row>
    <row r="1709" spans="1:9" ht="15.75" customHeight="1">
      <c r="A1709" s="467"/>
      <c r="B1709" s="467"/>
      <c r="C1709" s="466"/>
      <c r="D1709" s="497">
        <v>47198</v>
      </c>
      <c r="E1709" s="466" t="s">
        <v>624</v>
      </c>
      <c r="F1709" s="466">
        <v>62500000</v>
      </c>
      <c r="G1709" s="478">
        <v>0</v>
      </c>
      <c r="H1709" s="466">
        <v>0</v>
      </c>
      <c r="I1709" s="479">
        <v>0</v>
      </c>
    </row>
    <row r="1710" spans="1:9" ht="15.75" customHeight="1">
      <c r="A1710" s="467"/>
      <c r="B1710" s="467"/>
      <c r="C1710" s="466"/>
      <c r="D1710" s="497">
        <v>47199</v>
      </c>
      <c r="E1710" s="466" t="s">
        <v>623</v>
      </c>
      <c r="F1710" s="466">
        <v>62500000</v>
      </c>
      <c r="G1710" s="478">
        <v>0</v>
      </c>
      <c r="H1710" s="466">
        <v>0</v>
      </c>
      <c r="I1710" s="479">
        <v>0</v>
      </c>
    </row>
    <row r="1711" spans="1:9" ht="15.75" customHeight="1">
      <c r="A1711" s="467"/>
      <c r="B1711" s="467"/>
      <c r="C1711" s="466"/>
      <c r="D1711" s="497">
        <v>47200</v>
      </c>
      <c r="E1711" s="466" t="s">
        <v>622</v>
      </c>
      <c r="F1711" s="466">
        <v>62500000</v>
      </c>
      <c r="G1711" s="478">
        <v>0</v>
      </c>
      <c r="H1711" s="466">
        <v>0</v>
      </c>
      <c r="I1711" s="479">
        <v>0</v>
      </c>
    </row>
    <row r="1712" spans="1:9" ht="15.75" customHeight="1">
      <c r="A1712" s="467"/>
      <c r="B1712" s="467"/>
      <c r="C1712" s="466"/>
      <c r="D1712" s="497">
        <v>47201</v>
      </c>
      <c r="E1712" s="466" t="s">
        <v>621</v>
      </c>
      <c r="F1712" s="466">
        <v>62500000</v>
      </c>
      <c r="G1712" s="478">
        <v>0</v>
      </c>
      <c r="H1712" s="466">
        <v>0</v>
      </c>
      <c r="I1712" s="479">
        <v>0</v>
      </c>
    </row>
    <row r="1713" spans="1:9" ht="15.75" customHeight="1">
      <c r="A1713" s="467"/>
      <c r="B1713" s="467"/>
      <c r="C1713" s="466"/>
      <c r="D1713" s="497">
        <v>47202</v>
      </c>
      <c r="E1713" s="466" t="s">
        <v>620</v>
      </c>
      <c r="F1713" s="466">
        <v>62500000</v>
      </c>
      <c r="G1713" s="478">
        <v>0</v>
      </c>
      <c r="H1713" s="466">
        <v>0</v>
      </c>
      <c r="I1713" s="479">
        <v>0</v>
      </c>
    </row>
    <row r="1714" spans="1:9" ht="15.75" customHeight="1">
      <c r="A1714" s="467"/>
      <c r="B1714" s="467"/>
      <c r="C1714" s="466"/>
      <c r="D1714" s="497">
        <v>47203</v>
      </c>
      <c r="E1714" s="466" t="s">
        <v>619</v>
      </c>
      <c r="F1714" s="466">
        <v>62500000</v>
      </c>
      <c r="G1714" s="478">
        <v>0</v>
      </c>
      <c r="H1714" s="466">
        <v>0</v>
      </c>
      <c r="I1714" s="479">
        <v>0</v>
      </c>
    </row>
    <row r="1715" spans="1:9" ht="15.75" customHeight="1">
      <c r="A1715" s="467"/>
      <c r="B1715" s="467"/>
      <c r="C1715" s="466"/>
      <c r="D1715" s="497">
        <v>47204</v>
      </c>
      <c r="E1715" s="466" t="s">
        <v>618</v>
      </c>
      <c r="F1715" s="466">
        <v>62500000</v>
      </c>
      <c r="G1715" s="478">
        <v>0</v>
      </c>
      <c r="H1715" s="466">
        <v>0</v>
      </c>
      <c r="I1715" s="479">
        <v>0</v>
      </c>
    </row>
    <row r="1716" spans="1:9" ht="15.75" customHeight="1">
      <c r="A1716" s="467"/>
      <c r="B1716" s="467"/>
      <c r="C1716" s="466"/>
      <c r="D1716" s="497">
        <v>47205</v>
      </c>
      <c r="E1716" s="466" t="s">
        <v>624</v>
      </c>
      <c r="F1716" s="466">
        <v>62500000</v>
      </c>
      <c r="G1716" s="478">
        <v>0</v>
      </c>
      <c r="H1716" s="466">
        <v>0</v>
      </c>
      <c r="I1716" s="479">
        <v>0</v>
      </c>
    </row>
    <row r="1717" spans="1:9" ht="15.75" customHeight="1">
      <c r="A1717" s="467"/>
      <c r="B1717" s="467"/>
      <c r="C1717" s="466"/>
      <c r="D1717" s="497">
        <v>47206</v>
      </c>
      <c r="E1717" s="466" t="s">
        <v>623</v>
      </c>
      <c r="F1717" s="466">
        <v>62500000</v>
      </c>
      <c r="G1717" s="478">
        <v>0</v>
      </c>
      <c r="H1717" s="466">
        <v>0</v>
      </c>
      <c r="I1717" s="479">
        <v>0</v>
      </c>
    </row>
    <row r="1718" spans="1:9" ht="15.75" customHeight="1">
      <c r="A1718" s="467"/>
      <c r="B1718" s="467"/>
      <c r="C1718" s="466"/>
      <c r="D1718" s="497">
        <v>47207</v>
      </c>
      <c r="E1718" s="466" t="s">
        <v>622</v>
      </c>
      <c r="F1718" s="466">
        <v>62500000</v>
      </c>
      <c r="G1718" s="478">
        <v>0</v>
      </c>
      <c r="H1718" s="466">
        <v>0</v>
      </c>
      <c r="I1718" s="479">
        <v>0</v>
      </c>
    </row>
    <row r="1719" spans="1:9" ht="15.75" customHeight="1">
      <c r="A1719" s="467"/>
      <c r="B1719" s="467"/>
      <c r="C1719" s="466"/>
      <c r="D1719" s="497">
        <v>47208</v>
      </c>
      <c r="E1719" s="466" t="s">
        <v>621</v>
      </c>
      <c r="F1719" s="466">
        <v>62500000</v>
      </c>
      <c r="G1719" s="478">
        <v>0</v>
      </c>
      <c r="H1719" s="466">
        <v>0</v>
      </c>
      <c r="I1719" s="479">
        <v>0</v>
      </c>
    </row>
    <row r="1720" spans="1:9" ht="15.75" customHeight="1">
      <c r="A1720" s="467"/>
      <c r="B1720" s="467"/>
      <c r="C1720" s="466"/>
      <c r="D1720" s="497">
        <v>47209</v>
      </c>
      <c r="E1720" s="466" t="s">
        <v>620</v>
      </c>
      <c r="F1720" s="466">
        <v>62500000</v>
      </c>
      <c r="G1720" s="478">
        <v>0</v>
      </c>
      <c r="H1720" s="466">
        <v>0</v>
      </c>
      <c r="I1720" s="479">
        <v>0</v>
      </c>
    </row>
    <row r="1721" spans="1:9" ht="15.75" customHeight="1">
      <c r="A1721" s="467"/>
      <c r="B1721" s="467"/>
      <c r="C1721" s="466"/>
      <c r="D1721" s="497">
        <v>47210</v>
      </c>
      <c r="E1721" s="466" t="s">
        <v>619</v>
      </c>
      <c r="F1721" s="466">
        <v>62500000</v>
      </c>
      <c r="G1721" s="478">
        <v>0</v>
      </c>
      <c r="H1721" s="466">
        <v>0</v>
      </c>
      <c r="I1721" s="479">
        <v>0</v>
      </c>
    </row>
    <row r="1722" spans="1:9" ht="15.75" customHeight="1">
      <c r="A1722" s="467"/>
      <c r="B1722" s="467"/>
      <c r="C1722" s="466"/>
      <c r="D1722" s="497">
        <v>47211</v>
      </c>
      <c r="E1722" s="466" t="s">
        <v>618</v>
      </c>
      <c r="F1722" s="466">
        <v>62500000</v>
      </c>
      <c r="G1722" s="478">
        <v>0</v>
      </c>
      <c r="H1722" s="466">
        <v>0</v>
      </c>
      <c r="I1722" s="479">
        <v>0</v>
      </c>
    </row>
    <row r="1723" spans="1:9" ht="15.75" customHeight="1">
      <c r="A1723" s="467"/>
      <c r="B1723" s="467"/>
      <c r="C1723" s="466"/>
      <c r="D1723" s="497">
        <v>47212</v>
      </c>
      <c r="E1723" s="466" t="s">
        <v>624</v>
      </c>
      <c r="F1723" s="466">
        <v>62500000</v>
      </c>
      <c r="G1723" s="478">
        <v>0</v>
      </c>
      <c r="H1723" s="466">
        <v>0</v>
      </c>
      <c r="I1723" s="479">
        <v>0</v>
      </c>
    </row>
    <row r="1724" spans="1:9" ht="15.75" customHeight="1">
      <c r="A1724" s="467"/>
      <c r="B1724" s="467"/>
      <c r="C1724" s="466"/>
      <c r="D1724" s="497">
        <v>47213</v>
      </c>
      <c r="E1724" s="466" t="s">
        <v>623</v>
      </c>
      <c r="F1724" s="466">
        <v>62500000</v>
      </c>
      <c r="G1724" s="478">
        <v>0</v>
      </c>
      <c r="H1724" s="466">
        <v>0</v>
      </c>
      <c r="I1724" s="479">
        <v>0</v>
      </c>
    </row>
    <row r="1725" spans="1:9" ht="15.75" customHeight="1">
      <c r="A1725" s="467"/>
      <c r="B1725" s="467"/>
      <c r="C1725" s="466"/>
      <c r="D1725" s="497">
        <v>47214</v>
      </c>
      <c r="E1725" s="466" t="s">
        <v>622</v>
      </c>
      <c r="F1725" s="466">
        <v>62500000</v>
      </c>
      <c r="G1725" s="478">
        <v>0</v>
      </c>
      <c r="H1725" s="466">
        <v>0</v>
      </c>
      <c r="I1725" s="479">
        <v>0</v>
      </c>
    </row>
    <row r="1726" spans="1:9" ht="15.75" customHeight="1">
      <c r="A1726" s="467"/>
      <c r="B1726" s="467"/>
      <c r="C1726" s="466"/>
      <c r="D1726" s="497">
        <v>47215</v>
      </c>
      <c r="E1726" s="466" t="s">
        <v>621</v>
      </c>
      <c r="F1726" s="466">
        <v>62500000</v>
      </c>
      <c r="G1726" s="478">
        <v>0</v>
      </c>
      <c r="H1726" s="466">
        <v>0</v>
      </c>
      <c r="I1726" s="479">
        <v>0</v>
      </c>
    </row>
    <row r="1727" spans="1:9" ht="15.75" customHeight="1">
      <c r="A1727" s="467"/>
      <c r="B1727" s="467"/>
      <c r="C1727" s="466"/>
      <c r="D1727" s="497">
        <v>47216</v>
      </c>
      <c r="E1727" s="466" t="s">
        <v>620</v>
      </c>
      <c r="F1727" s="466">
        <v>62500000</v>
      </c>
      <c r="G1727" s="478">
        <v>0</v>
      </c>
      <c r="H1727" s="466">
        <v>0</v>
      </c>
      <c r="I1727" s="479">
        <v>0</v>
      </c>
    </row>
    <row r="1728" spans="1:9" ht="15.75" customHeight="1">
      <c r="A1728" s="467"/>
      <c r="B1728" s="467"/>
      <c r="C1728" s="466"/>
      <c r="D1728" s="497">
        <v>47217</v>
      </c>
      <c r="E1728" s="466" t="s">
        <v>619</v>
      </c>
      <c r="F1728" s="466">
        <v>62500000</v>
      </c>
      <c r="G1728" s="478">
        <v>0</v>
      </c>
      <c r="H1728" s="466">
        <v>0</v>
      </c>
      <c r="I1728" s="479">
        <v>0</v>
      </c>
    </row>
    <row r="1729" spans="1:9" ht="15.75" customHeight="1">
      <c r="A1729" s="467"/>
      <c r="B1729" s="467"/>
      <c r="C1729" s="466"/>
      <c r="D1729" s="497">
        <v>47218</v>
      </c>
      <c r="E1729" s="466" t="s">
        <v>618</v>
      </c>
      <c r="F1729" s="466">
        <v>62500000</v>
      </c>
      <c r="G1729" s="478">
        <v>0</v>
      </c>
      <c r="H1729" s="466">
        <v>0</v>
      </c>
      <c r="I1729" s="479">
        <v>0</v>
      </c>
    </row>
    <row r="1730" spans="1:9" ht="15.75" customHeight="1">
      <c r="A1730" s="467"/>
      <c r="B1730" s="467"/>
      <c r="C1730" s="466"/>
      <c r="D1730" s="497">
        <v>47219</v>
      </c>
      <c r="E1730" s="466" t="s">
        <v>624</v>
      </c>
      <c r="F1730" s="466">
        <v>62500000</v>
      </c>
      <c r="G1730" s="478">
        <v>0</v>
      </c>
      <c r="H1730" s="466">
        <v>0</v>
      </c>
      <c r="I1730" s="479">
        <v>0</v>
      </c>
    </row>
    <row r="1731" spans="1:9" ht="15.75" customHeight="1">
      <c r="A1731" s="467"/>
      <c r="B1731" s="467"/>
      <c r="C1731" s="466"/>
      <c r="D1731" s="497">
        <v>47220</v>
      </c>
      <c r="E1731" s="466" t="s">
        <v>623</v>
      </c>
      <c r="F1731" s="466">
        <v>62500000</v>
      </c>
      <c r="G1731" s="478">
        <v>0</v>
      </c>
      <c r="H1731" s="466">
        <v>0</v>
      </c>
      <c r="I1731" s="479">
        <v>0</v>
      </c>
    </row>
    <row r="1732" spans="1:9" ht="15.75" customHeight="1">
      <c r="A1732" s="467"/>
      <c r="B1732" s="467"/>
      <c r="C1732" s="466"/>
      <c r="D1732" s="497">
        <v>47221</v>
      </c>
      <c r="E1732" s="466" t="s">
        <v>622</v>
      </c>
      <c r="F1732" s="466">
        <v>62500000</v>
      </c>
      <c r="G1732" s="478">
        <v>0</v>
      </c>
      <c r="H1732" s="466">
        <v>0</v>
      </c>
      <c r="I1732" s="479">
        <v>0</v>
      </c>
    </row>
    <row r="1733" spans="1:9" ht="15.75" customHeight="1">
      <c r="A1733" s="467"/>
      <c r="B1733" s="467"/>
      <c r="C1733" s="466"/>
      <c r="D1733" s="497">
        <v>47222</v>
      </c>
      <c r="E1733" s="466" t="s">
        <v>621</v>
      </c>
      <c r="F1733" s="466">
        <v>62500000</v>
      </c>
      <c r="G1733" s="478">
        <v>0</v>
      </c>
      <c r="H1733" s="466">
        <v>0</v>
      </c>
      <c r="I1733" s="479">
        <v>0</v>
      </c>
    </row>
    <row r="1734" spans="1:9" ht="15.75" customHeight="1">
      <c r="A1734" s="467"/>
      <c r="B1734" s="467"/>
      <c r="C1734" s="466"/>
      <c r="D1734" s="497">
        <v>47223</v>
      </c>
      <c r="E1734" s="466" t="s">
        <v>620</v>
      </c>
      <c r="F1734" s="466">
        <v>62500000</v>
      </c>
      <c r="G1734" s="478">
        <v>0</v>
      </c>
      <c r="H1734" s="466">
        <v>0</v>
      </c>
      <c r="I1734" s="479">
        <v>0</v>
      </c>
    </row>
    <row r="1735" spans="1:9" ht="15.75" customHeight="1">
      <c r="A1735" s="467"/>
      <c r="B1735" s="467"/>
      <c r="C1735" s="466"/>
      <c r="D1735" s="497">
        <v>47224</v>
      </c>
      <c r="E1735" s="466" t="s">
        <v>619</v>
      </c>
      <c r="F1735" s="466">
        <v>62500000</v>
      </c>
      <c r="G1735" s="478">
        <v>0</v>
      </c>
      <c r="H1735" s="466">
        <v>0</v>
      </c>
      <c r="I1735" s="479">
        <v>0</v>
      </c>
    </row>
    <row r="1736" spans="1:9" ht="15.75" customHeight="1">
      <c r="A1736" s="467"/>
      <c r="B1736" s="467"/>
      <c r="C1736" s="466"/>
      <c r="D1736" s="497">
        <v>47225</v>
      </c>
      <c r="E1736" s="466" t="s">
        <v>618</v>
      </c>
      <c r="F1736" s="466">
        <v>62500000</v>
      </c>
      <c r="G1736" s="478">
        <v>0</v>
      </c>
      <c r="H1736" s="466">
        <v>0</v>
      </c>
      <c r="I1736" s="479">
        <v>0</v>
      </c>
    </row>
    <row r="1737" spans="1:9" ht="15.75" customHeight="1">
      <c r="A1737" s="467"/>
      <c r="B1737" s="467"/>
      <c r="C1737" s="466"/>
      <c r="D1737" s="497">
        <v>47226</v>
      </c>
      <c r="E1737" s="466" t="s">
        <v>624</v>
      </c>
      <c r="F1737" s="466">
        <v>62500000</v>
      </c>
      <c r="G1737" s="478">
        <v>0</v>
      </c>
      <c r="H1737" s="466">
        <v>0</v>
      </c>
      <c r="I1737" s="479">
        <v>0</v>
      </c>
    </row>
    <row r="1738" spans="1:9" ht="15.75" customHeight="1">
      <c r="A1738" s="467"/>
      <c r="B1738" s="467"/>
      <c r="C1738" s="466"/>
      <c r="D1738" s="497">
        <v>47227</v>
      </c>
      <c r="E1738" s="466" t="s">
        <v>623</v>
      </c>
      <c r="F1738" s="466">
        <v>62500000</v>
      </c>
      <c r="G1738" s="478">
        <v>0</v>
      </c>
      <c r="H1738" s="466">
        <v>0</v>
      </c>
      <c r="I1738" s="479">
        <v>0</v>
      </c>
    </row>
    <row r="1739" spans="1:9" ht="15.75" customHeight="1">
      <c r="A1739" s="467"/>
      <c r="B1739" s="467"/>
      <c r="C1739" s="466"/>
      <c r="D1739" s="497">
        <v>47228</v>
      </c>
      <c r="E1739" s="466" t="s">
        <v>622</v>
      </c>
      <c r="F1739" s="466">
        <v>62500000</v>
      </c>
      <c r="G1739" s="478">
        <v>0</v>
      </c>
      <c r="H1739" s="466">
        <v>0</v>
      </c>
      <c r="I1739" s="479">
        <v>0</v>
      </c>
    </row>
    <row r="1740" spans="1:9" ht="15.75" customHeight="1">
      <c r="A1740" s="467"/>
      <c r="B1740" s="467"/>
      <c r="C1740" s="466"/>
      <c r="D1740" s="497">
        <v>47229</v>
      </c>
      <c r="E1740" s="466" t="s">
        <v>621</v>
      </c>
      <c r="F1740" s="466">
        <v>62500000</v>
      </c>
      <c r="G1740" s="478">
        <v>0</v>
      </c>
      <c r="H1740" s="466">
        <v>0</v>
      </c>
      <c r="I1740" s="479">
        <v>0</v>
      </c>
    </row>
    <row r="1741" spans="1:9" ht="15.75" customHeight="1">
      <c r="A1741" s="467"/>
      <c r="B1741" s="467"/>
      <c r="C1741" s="466"/>
      <c r="D1741" s="497">
        <v>47230</v>
      </c>
      <c r="E1741" s="466" t="s">
        <v>620</v>
      </c>
      <c r="F1741" s="466">
        <v>62500000</v>
      </c>
      <c r="G1741" s="478">
        <v>0</v>
      </c>
      <c r="H1741" s="466">
        <v>0</v>
      </c>
      <c r="I1741" s="479">
        <v>0</v>
      </c>
    </row>
    <row r="1742" spans="1:9" ht="15.75" customHeight="1">
      <c r="A1742" s="467"/>
      <c r="B1742" s="467"/>
      <c r="C1742" s="466"/>
      <c r="D1742" s="497">
        <v>47231</v>
      </c>
      <c r="E1742" s="466" t="s">
        <v>619</v>
      </c>
      <c r="F1742" s="466">
        <v>62500000</v>
      </c>
      <c r="G1742" s="478">
        <v>0</v>
      </c>
      <c r="H1742" s="466">
        <v>0</v>
      </c>
      <c r="I1742" s="479">
        <v>0</v>
      </c>
    </row>
    <row r="1743" spans="1:9" ht="15.75" customHeight="1">
      <c r="A1743" s="467"/>
      <c r="B1743" s="467"/>
      <c r="C1743" s="466"/>
      <c r="D1743" s="497">
        <v>47232</v>
      </c>
      <c r="E1743" s="466" t="s">
        <v>618</v>
      </c>
      <c r="F1743" s="466">
        <v>62500000</v>
      </c>
      <c r="G1743" s="478">
        <v>0</v>
      </c>
      <c r="H1743" s="466">
        <v>0</v>
      </c>
      <c r="I1743" s="479">
        <v>0</v>
      </c>
    </row>
    <row r="1744" spans="1:9" ht="15.75" customHeight="1">
      <c r="A1744" s="467"/>
      <c r="B1744" s="467"/>
      <c r="C1744" s="466"/>
      <c r="D1744" s="497">
        <v>47233</v>
      </c>
      <c r="E1744" s="466" t="s">
        <v>624</v>
      </c>
      <c r="F1744" s="466">
        <v>62500000</v>
      </c>
      <c r="G1744" s="478">
        <v>0</v>
      </c>
      <c r="H1744" s="466">
        <v>0</v>
      </c>
      <c r="I1744" s="479">
        <v>0</v>
      </c>
    </row>
    <row r="1745" spans="1:9" ht="15.75" customHeight="1">
      <c r="A1745" s="467"/>
      <c r="B1745" s="467"/>
      <c r="C1745" s="466"/>
      <c r="D1745" s="497">
        <v>47234</v>
      </c>
      <c r="E1745" s="466" t="s">
        <v>623</v>
      </c>
      <c r="F1745" s="466">
        <v>62500000</v>
      </c>
      <c r="G1745" s="478">
        <v>0</v>
      </c>
      <c r="H1745" s="466">
        <v>0</v>
      </c>
      <c r="I1745" s="479">
        <v>0</v>
      </c>
    </row>
    <row r="1746" spans="1:9" ht="15.75" customHeight="1">
      <c r="A1746" s="467"/>
      <c r="B1746" s="467"/>
      <c r="C1746" s="466"/>
      <c r="D1746" s="497">
        <v>47235</v>
      </c>
      <c r="E1746" s="466" t="s">
        <v>622</v>
      </c>
      <c r="F1746" s="466">
        <v>62500000</v>
      </c>
      <c r="G1746" s="478">
        <v>0</v>
      </c>
      <c r="H1746" s="466">
        <v>0</v>
      </c>
      <c r="I1746" s="479">
        <v>0</v>
      </c>
    </row>
    <row r="1747" spans="1:9" ht="15.75" customHeight="1">
      <c r="A1747" s="467"/>
      <c r="B1747" s="467"/>
      <c r="C1747" s="466"/>
      <c r="D1747" s="497">
        <v>47236</v>
      </c>
      <c r="E1747" s="466" t="s">
        <v>621</v>
      </c>
      <c r="F1747" s="466">
        <v>62500000</v>
      </c>
      <c r="G1747" s="478">
        <v>0</v>
      </c>
      <c r="H1747" s="466">
        <v>0</v>
      </c>
      <c r="I1747" s="479">
        <v>0</v>
      </c>
    </row>
    <row r="1748" spans="1:9" ht="15.75" customHeight="1">
      <c r="A1748" s="467"/>
      <c r="B1748" s="467"/>
      <c r="C1748" s="466"/>
      <c r="D1748" s="497">
        <v>47237</v>
      </c>
      <c r="E1748" s="466" t="s">
        <v>620</v>
      </c>
      <c r="F1748" s="466">
        <v>62500000</v>
      </c>
      <c r="G1748" s="478">
        <v>0</v>
      </c>
      <c r="H1748" s="466">
        <v>0</v>
      </c>
      <c r="I1748" s="479">
        <v>0</v>
      </c>
    </row>
    <row r="1749" spans="1:9" ht="15.75" customHeight="1">
      <c r="A1749" s="467"/>
      <c r="B1749" s="467"/>
      <c r="C1749" s="466"/>
      <c r="D1749" s="497">
        <v>47238</v>
      </c>
      <c r="E1749" s="466" t="s">
        <v>619</v>
      </c>
      <c r="F1749" s="466">
        <v>62500000</v>
      </c>
      <c r="G1749" s="478">
        <v>0</v>
      </c>
      <c r="H1749" s="466">
        <v>0</v>
      </c>
      <c r="I1749" s="479">
        <v>0</v>
      </c>
    </row>
    <row r="1750" spans="1:9" ht="15.75" customHeight="1">
      <c r="A1750" s="467"/>
      <c r="B1750" s="467"/>
      <c r="C1750" s="466"/>
      <c r="D1750" s="497">
        <v>47239</v>
      </c>
      <c r="E1750" s="466" t="s">
        <v>618</v>
      </c>
      <c r="F1750" s="466">
        <v>62500000</v>
      </c>
      <c r="G1750" s="478">
        <v>0</v>
      </c>
      <c r="H1750" s="466">
        <v>0</v>
      </c>
      <c r="I1750" s="479">
        <v>0</v>
      </c>
    </row>
    <row r="1751" spans="1:9" ht="15.75" customHeight="1">
      <c r="A1751" s="467"/>
      <c r="B1751" s="467"/>
      <c r="C1751" s="466"/>
      <c r="D1751" s="497">
        <v>47240</v>
      </c>
      <c r="E1751" s="466" t="s">
        <v>624</v>
      </c>
      <c r="F1751" s="466">
        <v>62500000</v>
      </c>
      <c r="G1751" s="478">
        <v>0</v>
      </c>
      <c r="H1751" s="466">
        <v>0</v>
      </c>
      <c r="I1751" s="479">
        <v>0</v>
      </c>
    </row>
    <row r="1752" spans="1:9" ht="15.75" customHeight="1">
      <c r="A1752" s="467"/>
      <c r="B1752" s="467"/>
      <c r="C1752" s="466"/>
      <c r="D1752" s="497">
        <v>47241</v>
      </c>
      <c r="E1752" s="466" t="s">
        <v>623</v>
      </c>
      <c r="F1752" s="466">
        <v>62500000</v>
      </c>
      <c r="G1752" s="478">
        <v>0</v>
      </c>
      <c r="H1752" s="466">
        <v>0</v>
      </c>
      <c r="I1752" s="479">
        <v>0</v>
      </c>
    </row>
    <row r="1753" spans="1:9" ht="15.75" customHeight="1">
      <c r="A1753" s="467"/>
      <c r="B1753" s="467"/>
      <c r="C1753" s="466"/>
      <c r="D1753" s="497">
        <v>47242</v>
      </c>
      <c r="E1753" s="466" t="s">
        <v>622</v>
      </c>
      <c r="F1753" s="466">
        <v>62500000</v>
      </c>
      <c r="G1753" s="478">
        <v>0</v>
      </c>
      <c r="H1753" s="466">
        <v>0</v>
      </c>
      <c r="I1753" s="479">
        <v>0</v>
      </c>
    </row>
    <row r="1754" spans="1:9" ht="15.75" customHeight="1">
      <c r="A1754" s="467"/>
      <c r="B1754" s="467"/>
      <c r="C1754" s="466"/>
      <c r="D1754" s="497">
        <v>47243</v>
      </c>
      <c r="E1754" s="466" t="s">
        <v>621</v>
      </c>
      <c r="F1754" s="466">
        <v>62500000</v>
      </c>
      <c r="G1754" s="478">
        <v>0</v>
      </c>
      <c r="H1754" s="466">
        <v>0</v>
      </c>
      <c r="I1754" s="479">
        <v>0</v>
      </c>
    </row>
    <row r="1755" spans="1:9" ht="15.75" customHeight="1">
      <c r="A1755" s="467"/>
      <c r="B1755" s="467"/>
      <c r="C1755" s="466"/>
      <c r="D1755" s="497">
        <v>47244</v>
      </c>
      <c r="E1755" s="466" t="s">
        <v>620</v>
      </c>
      <c r="F1755" s="466">
        <v>62500000</v>
      </c>
      <c r="G1755" s="478">
        <v>0</v>
      </c>
      <c r="H1755" s="466">
        <v>0</v>
      </c>
      <c r="I1755" s="479">
        <v>0</v>
      </c>
    </row>
    <row r="1756" spans="1:9" ht="15.75" customHeight="1">
      <c r="A1756" s="467"/>
      <c r="B1756" s="467"/>
      <c r="C1756" s="466"/>
      <c r="D1756" s="497">
        <v>47245</v>
      </c>
      <c r="E1756" s="466" t="s">
        <v>619</v>
      </c>
      <c r="F1756" s="466">
        <v>62500000</v>
      </c>
      <c r="G1756" s="478">
        <v>0</v>
      </c>
      <c r="H1756" s="466">
        <v>0</v>
      </c>
      <c r="I1756" s="479">
        <v>0</v>
      </c>
    </row>
    <row r="1757" spans="1:9" ht="15.75" customHeight="1">
      <c r="A1757" s="467"/>
      <c r="B1757" s="467"/>
      <c r="C1757" s="466"/>
      <c r="D1757" s="497">
        <v>47246</v>
      </c>
      <c r="E1757" s="466" t="s">
        <v>618</v>
      </c>
      <c r="F1757" s="466">
        <v>62500000</v>
      </c>
      <c r="G1757" s="478">
        <v>0</v>
      </c>
      <c r="H1757" s="466">
        <v>0</v>
      </c>
      <c r="I1757" s="479">
        <v>0</v>
      </c>
    </row>
    <row r="1758" spans="1:9" ht="15.75" customHeight="1">
      <c r="A1758" s="467"/>
      <c r="B1758" s="467"/>
      <c r="C1758" s="466"/>
      <c r="D1758" s="497">
        <v>47247</v>
      </c>
      <c r="E1758" s="466" t="s">
        <v>624</v>
      </c>
      <c r="F1758" s="466">
        <v>62500000</v>
      </c>
      <c r="G1758" s="478">
        <v>0</v>
      </c>
      <c r="H1758" s="466">
        <v>0</v>
      </c>
      <c r="I1758" s="479">
        <v>0</v>
      </c>
    </row>
    <row r="1759" spans="1:9" ht="15.75" customHeight="1">
      <c r="A1759" s="467"/>
      <c r="B1759" s="467"/>
      <c r="C1759" s="466"/>
      <c r="D1759" s="497">
        <v>47248</v>
      </c>
      <c r="E1759" s="466" t="s">
        <v>623</v>
      </c>
      <c r="F1759" s="466">
        <v>62500000</v>
      </c>
      <c r="G1759" s="478">
        <v>0</v>
      </c>
      <c r="H1759" s="466">
        <v>0</v>
      </c>
      <c r="I1759" s="479">
        <v>0</v>
      </c>
    </row>
    <row r="1760" spans="1:9" ht="15.75" customHeight="1">
      <c r="A1760" s="467"/>
      <c r="B1760" s="467"/>
      <c r="C1760" s="466"/>
      <c r="D1760" s="497">
        <v>47249</v>
      </c>
      <c r="E1760" s="466" t="s">
        <v>622</v>
      </c>
      <c r="F1760" s="466">
        <v>62500000</v>
      </c>
      <c r="G1760" s="478">
        <v>0</v>
      </c>
      <c r="H1760" s="466">
        <v>0</v>
      </c>
      <c r="I1760" s="479">
        <v>0</v>
      </c>
    </row>
    <row r="1761" spans="1:9" ht="15.75" customHeight="1">
      <c r="A1761" s="467"/>
      <c r="B1761" s="467"/>
      <c r="C1761" s="466"/>
      <c r="D1761" s="497">
        <v>47250</v>
      </c>
      <c r="E1761" s="466" t="s">
        <v>621</v>
      </c>
      <c r="F1761" s="466">
        <v>62500000</v>
      </c>
      <c r="G1761" s="478">
        <v>0</v>
      </c>
      <c r="H1761" s="466">
        <v>0</v>
      </c>
      <c r="I1761" s="479">
        <v>0</v>
      </c>
    </row>
    <row r="1762" spans="1:9" ht="15.75" customHeight="1">
      <c r="A1762" s="467"/>
      <c r="B1762" s="467"/>
      <c r="C1762" s="466"/>
      <c r="D1762" s="497">
        <v>47251</v>
      </c>
      <c r="E1762" s="466" t="s">
        <v>620</v>
      </c>
      <c r="F1762" s="466">
        <v>62500000</v>
      </c>
      <c r="G1762" s="478">
        <v>0</v>
      </c>
      <c r="H1762" s="466">
        <v>0</v>
      </c>
      <c r="I1762" s="479">
        <v>0</v>
      </c>
    </row>
    <row r="1763" spans="1:9" ht="15.75" customHeight="1">
      <c r="A1763" s="467"/>
      <c r="B1763" s="467"/>
      <c r="C1763" s="466"/>
      <c r="D1763" s="497">
        <v>47252</v>
      </c>
      <c r="E1763" s="466" t="s">
        <v>619</v>
      </c>
      <c r="F1763" s="466">
        <v>62500000</v>
      </c>
      <c r="G1763" s="478">
        <v>0</v>
      </c>
      <c r="H1763" s="466">
        <v>0</v>
      </c>
      <c r="I1763" s="479">
        <v>0</v>
      </c>
    </row>
    <row r="1764" spans="1:9" ht="15.75" customHeight="1">
      <c r="A1764" s="467"/>
      <c r="B1764" s="467"/>
      <c r="C1764" s="466"/>
      <c r="D1764" s="497">
        <v>47253</v>
      </c>
      <c r="E1764" s="466" t="s">
        <v>618</v>
      </c>
      <c r="F1764" s="466">
        <v>62500000</v>
      </c>
      <c r="G1764" s="478">
        <v>0</v>
      </c>
      <c r="H1764" s="466">
        <v>0</v>
      </c>
      <c r="I1764" s="479">
        <v>0</v>
      </c>
    </row>
    <row r="1765" spans="1:9" ht="15.75" customHeight="1">
      <c r="A1765" s="467"/>
      <c r="B1765" s="467"/>
      <c r="C1765" s="466"/>
      <c r="D1765" s="497">
        <v>47254</v>
      </c>
      <c r="E1765" s="466" t="s">
        <v>624</v>
      </c>
      <c r="F1765" s="466">
        <v>62500000</v>
      </c>
      <c r="G1765" s="478">
        <v>0</v>
      </c>
      <c r="H1765" s="466">
        <v>0</v>
      </c>
      <c r="I1765" s="479">
        <v>0</v>
      </c>
    </row>
    <row r="1766" spans="1:9" ht="15.75" customHeight="1">
      <c r="A1766" s="467"/>
      <c r="B1766" s="467"/>
      <c r="C1766" s="466"/>
      <c r="D1766" s="497">
        <v>47255</v>
      </c>
      <c r="E1766" s="466" t="s">
        <v>623</v>
      </c>
      <c r="F1766" s="466">
        <v>62500000</v>
      </c>
      <c r="G1766" s="478">
        <v>0</v>
      </c>
      <c r="H1766" s="466">
        <v>0</v>
      </c>
      <c r="I1766" s="479">
        <v>0</v>
      </c>
    </row>
    <row r="1767" spans="1:9" ht="15.75" customHeight="1">
      <c r="A1767" s="467"/>
      <c r="B1767" s="467"/>
      <c r="C1767" s="466"/>
      <c r="D1767" s="497">
        <v>47256</v>
      </c>
      <c r="E1767" s="466" t="s">
        <v>622</v>
      </c>
      <c r="F1767" s="466">
        <v>62500000</v>
      </c>
      <c r="G1767" s="478">
        <v>0</v>
      </c>
      <c r="H1767" s="466">
        <v>0</v>
      </c>
      <c r="I1767" s="479">
        <v>0</v>
      </c>
    </row>
    <row r="1768" spans="1:9" ht="15.75" customHeight="1">
      <c r="A1768" s="467"/>
      <c r="B1768" s="467"/>
      <c r="C1768" s="466"/>
      <c r="D1768" s="497">
        <v>47257</v>
      </c>
      <c r="E1768" s="466" t="s">
        <v>621</v>
      </c>
      <c r="F1768" s="466">
        <v>62500000</v>
      </c>
      <c r="G1768" s="478">
        <v>0</v>
      </c>
      <c r="H1768" s="466">
        <v>0</v>
      </c>
      <c r="I1768" s="479">
        <v>0</v>
      </c>
    </row>
    <row r="1769" spans="1:9" ht="15.75" customHeight="1">
      <c r="A1769" s="467"/>
      <c r="B1769" s="467"/>
      <c r="C1769" s="466"/>
      <c r="D1769" s="497">
        <v>47258</v>
      </c>
      <c r="E1769" s="466" t="s">
        <v>620</v>
      </c>
      <c r="F1769" s="466">
        <v>62500000</v>
      </c>
      <c r="G1769" s="478">
        <v>0</v>
      </c>
      <c r="H1769" s="466">
        <v>0</v>
      </c>
      <c r="I1769" s="479">
        <v>0</v>
      </c>
    </row>
    <row r="1770" spans="1:9" ht="15.75" customHeight="1">
      <c r="A1770" s="467"/>
      <c r="B1770" s="467"/>
      <c r="C1770" s="466"/>
      <c r="D1770" s="497">
        <v>47259</v>
      </c>
      <c r="E1770" s="466" t="s">
        <v>619</v>
      </c>
      <c r="F1770" s="466">
        <v>62500000</v>
      </c>
      <c r="G1770" s="478">
        <v>0</v>
      </c>
      <c r="H1770" s="466">
        <v>0</v>
      </c>
      <c r="I1770" s="479">
        <v>0</v>
      </c>
    </row>
    <row r="1771" spans="1:9" ht="15.75" customHeight="1">
      <c r="A1771" s="467"/>
      <c r="B1771" s="467"/>
      <c r="C1771" s="466"/>
      <c r="D1771" s="497">
        <v>47260</v>
      </c>
      <c r="E1771" s="466" t="s">
        <v>618</v>
      </c>
      <c r="F1771" s="466">
        <v>62500000</v>
      </c>
      <c r="G1771" s="478">
        <v>0</v>
      </c>
      <c r="H1771" s="466">
        <v>0</v>
      </c>
      <c r="I1771" s="479">
        <v>0</v>
      </c>
    </row>
    <row r="1772" spans="1:9" ht="15.75" customHeight="1">
      <c r="A1772" s="467"/>
      <c r="B1772" s="467"/>
      <c r="C1772" s="466"/>
      <c r="D1772" s="497">
        <v>47261</v>
      </c>
      <c r="E1772" s="466" t="s">
        <v>624</v>
      </c>
      <c r="F1772" s="466">
        <v>62500000</v>
      </c>
      <c r="G1772" s="478">
        <v>0</v>
      </c>
      <c r="H1772" s="466">
        <v>0</v>
      </c>
      <c r="I1772" s="479">
        <v>0</v>
      </c>
    </row>
    <row r="1773" spans="1:9" ht="15.75" customHeight="1">
      <c r="A1773" s="467"/>
      <c r="B1773" s="467"/>
      <c r="C1773" s="466"/>
      <c r="D1773" s="497">
        <v>47262</v>
      </c>
      <c r="E1773" s="466" t="s">
        <v>623</v>
      </c>
      <c r="F1773" s="466">
        <v>62500000</v>
      </c>
      <c r="G1773" s="478">
        <v>0</v>
      </c>
      <c r="H1773" s="466">
        <v>0</v>
      </c>
      <c r="I1773" s="479">
        <v>0</v>
      </c>
    </row>
    <row r="1774" spans="1:9" ht="15.75" customHeight="1">
      <c r="A1774" s="467"/>
      <c r="B1774" s="467"/>
      <c r="C1774" s="466"/>
      <c r="D1774" s="497">
        <v>47263</v>
      </c>
      <c r="E1774" s="466" t="s">
        <v>622</v>
      </c>
      <c r="F1774" s="466">
        <v>62500000</v>
      </c>
      <c r="G1774" s="478">
        <v>0</v>
      </c>
      <c r="H1774" s="466">
        <v>0</v>
      </c>
      <c r="I1774" s="479">
        <v>0</v>
      </c>
    </row>
    <row r="1775" spans="1:9" ht="15.75" customHeight="1">
      <c r="A1775" s="467"/>
      <c r="B1775" s="467"/>
      <c r="C1775" s="466"/>
      <c r="D1775" s="497">
        <v>47264</v>
      </c>
      <c r="E1775" s="466" t="s">
        <v>621</v>
      </c>
      <c r="F1775" s="466">
        <v>62500000</v>
      </c>
      <c r="G1775" s="478">
        <v>0</v>
      </c>
      <c r="H1775" s="466">
        <v>0</v>
      </c>
      <c r="I1775" s="479">
        <v>0</v>
      </c>
    </row>
    <row r="1776" spans="1:9" ht="15.75" customHeight="1">
      <c r="A1776" s="467"/>
      <c r="B1776" s="467"/>
      <c r="C1776" s="466"/>
      <c r="D1776" s="497">
        <v>47265</v>
      </c>
      <c r="E1776" s="466" t="s">
        <v>620</v>
      </c>
      <c r="F1776" s="466">
        <v>62500000</v>
      </c>
      <c r="G1776" s="478">
        <v>0</v>
      </c>
      <c r="H1776" s="466">
        <v>0</v>
      </c>
      <c r="I1776" s="479">
        <v>0</v>
      </c>
    </row>
    <row r="1777" spans="1:9" ht="15.75" customHeight="1">
      <c r="A1777" s="467"/>
      <c r="B1777" s="467"/>
      <c r="C1777" s="466"/>
      <c r="D1777" s="497">
        <v>47266</v>
      </c>
      <c r="E1777" s="466" t="s">
        <v>619</v>
      </c>
      <c r="F1777" s="466">
        <v>62500000</v>
      </c>
      <c r="G1777" s="478">
        <v>0</v>
      </c>
      <c r="H1777" s="466">
        <v>0</v>
      </c>
      <c r="I1777" s="479">
        <v>0</v>
      </c>
    </row>
    <row r="1778" spans="1:9" ht="15.75" customHeight="1">
      <c r="A1778" s="467"/>
      <c r="B1778" s="467"/>
      <c r="C1778" s="466"/>
      <c r="D1778" s="497">
        <v>47267</v>
      </c>
      <c r="E1778" s="466" t="s">
        <v>618</v>
      </c>
      <c r="F1778" s="466">
        <v>62500000</v>
      </c>
      <c r="G1778" s="478">
        <v>0</v>
      </c>
      <c r="H1778" s="466">
        <v>0</v>
      </c>
      <c r="I1778" s="479">
        <v>0</v>
      </c>
    </row>
    <row r="1779" spans="1:9" ht="15.75" customHeight="1">
      <c r="A1779" s="467"/>
      <c r="B1779" s="467"/>
      <c r="C1779" s="466"/>
      <c r="D1779" s="497">
        <v>47268</v>
      </c>
      <c r="E1779" s="466" t="s">
        <v>624</v>
      </c>
      <c r="F1779" s="466">
        <v>62500000</v>
      </c>
      <c r="G1779" s="478">
        <v>0</v>
      </c>
      <c r="H1779" s="466">
        <v>0</v>
      </c>
      <c r="I1779" s="479">
        <v>0</v>
      </c>
    </row>
    <row r="1780" spans="1:9" ht="15.75" customHeight="1">
      <c r="A1780" s="467"/>
      <c r="B1780" s="467"/>
      <c r="C1780" s="466"/>
      <c r="D1780" s="497">
        <v>47269</v>
      </c>
      <c r="E1780" s="466" t="s">
        <v>623</v>
      </c>
      <c r="F1780" s="466">
        <v>62500000</v>
      </c>
      <c r="G1780" s="478">
        <v>0</v>
      </c>
      <c r="H1780" s="466">
        <v>0</v>
      </c>
      <c r="I1780" s="479">
        <v>0</v>
      </c>
    </row>
    <row r="1781" spans="1:9" ht="15.75" customHeight="1">
      <c r="A1781" s="467"/>
      <c r="B1781" s="467"/>
      <c r="C1781" s="466"/>
      <c r="D1781" s="497">
        <v>47270</v>
      </c>
      <c r="E1781" s="466" t="s">
        <v>622</v>
      </c>
      <c r="F1781" s="466">
        <v>62500000</v>
      </c>
      <c r="G1781" s="478">
        <v>0</v>
      </c>
      <c r="H1781" s="466">
        <v>0</v>
      </c>
      <c r="I1781" s="479">
        <v>0</v>
      </c>
    </row>
    <row r="1782" spans="1:9" ht="15.75" customHeight="1">
      <c r="A1782" s="467"/>
      <c r="B1782" s="467"/>
      <c r="C1782" s="466"/>
      <c r="D1782" s="497">
        <v>47271</v>
      </c>
      <c r="E1782" s="466" t="s">
        <v>621</v>
      </c>
      <c r="F1782" s="466">
        <v>62500000</v>
      </c>
      <c r="G1782" s="478">
        <v>0</v>
      </c>
      <c r="H1782" s="466">
        <v>0</v>
      </c>
      <c r="I1782" s="479">
        <v>0</v>
      </c>
    </row>
    <row r="1783" spans="1:9" ht="15.75" customHeight="1">
      <c r="A1783" s="467"/>
      <c r="B1783" s="467"/>
      <c r="C1783" s="466"/>
      <c r="D1783" s="497">
        <v>47272</v>
      </c>
      <c r="E1783" s="466" t="s">
        <v>620</v>
      </c>
      <c r="F1783" s="466">
        <v>62500000</v>
      </c>
      <c r="G1783" s="478">
        <v>0</v>
      </c>
      <c r="H1783" s="466">
        <v>0</v>
      </c>
      <c r="I1783" s="479">
        <v>0</v>
      </c>
    </row>
    <row r="1784" spans="1:9" ht="15.75" customHeight="1">
      <c r="A1784" s="467"/>
      <c r="B1784" s="467"/>
      <c r="C1784" s="466"/>
      <c r="D1784" s="497">
        <v>47273</v>
      </c>
      <c r="E1784" s="466" t="s">
        <v>619</v>
      </c>
      <c r="F1784" s="466">
        <v>62500000</v>
      </c>
      <c r="G1784" s="478">
        <v>0</v>
      </c>
      <c r="H1784" s="466">
        <v>0</v>
      </c>
      <c r="I1784" s="479">
        <v>0</v>
      </c>
    </row>
    <row r="1785" spans="1:9" ht="15.75" customHeight="1">
      <c r="A1785" s="467"/>
      <c r="B1785" s="467"/>
      <c r="C1785" s="466"/>
      <c r="D1785" s="497">
        <v>47274</v>
      </c>
      <c r="E1785" s="466" t="s">
        <v>618</v>
      </c>
      <c r="F1785" s="466">
        <v>62500000</v>
      </c>
      <c r="G1785" s="478">
        <v>0</v>
      </c>
      <c r="H1785" s="466">
        <v>0</v>
      </c>
      <c r="I1785" s="479">
        <v>0</v>
      </c>
    </row>
    <row r="1786" spans="1:9" ht="15.75" customHeight="1">
      <c r="A1786" s="467"/>
      <c r="B1786" s="467"/>
      <c r="C1786" s="466"/>
      <c r="D1786" s="497">
        <v>47275</v>
      </c>
      <c r="E1786" s="466" t="s">
        <v>624</v>
      </c>
      <c r="F1786" s="466">
        <v>62500000</v>
      </c>
      <c r="G1786" s="478">
        <v>0</v>
      </c>
      <c r="H1786" s="466">
        <v>0</v>
      </c>
      <c r="I1786" s="479">
        <v>0</v>
      </c>
    </row>
    <row r="1787" spans="1:9" ht="15.75" customHeight="1">
      <c r="A1787" s="467"/>
      <c r="B1787" s="467"/>
      <c r="C1787" s="466"/>
      <c r="D1787" s="497">
        <v>47276</v>
      </c>
      <c r="E1787" s="466" t="s">
        <v>623</v>
      </c>
      <c r="F1787" s="466">
        <v>62500000</v>
      </c>
      <c r="G1787" s="478">
        <v>0</v>
      </c>
      <c r="H1787" s="466">
        <v>0</v>
      </c>
      <c r="I1787" s="479">
        <v>0</v>
      </c>
    </row>
    <row r="1788" spans="1:9" ht="15.75" customHeight="1">
      <c r="A1788" s="467"/>
      <c r="B1788" s="467"/>
      <c r="C1788" s="466"/>
      <c r="D1788" s="497">
        <v>47277</v>
      </c>
      <c r="E1788" s="466" t="s">
        <v>622</v>
      </c>
      <c r="F1788" s="466">
        <v>62500000</v>
      </c>
      <c r="G1788" s="478">
        <v>0</v>
      </c>
      <c r="H1788" s="466">
        <v>0</v>
      </c>
      <c r="I1788" s="479">
        <v>0</v>
      </c>
    </row>
    <row r="1789" spans="1:9" ht="15.75" customHeight="1">
      <c r="A1789" s="467"/>
      <c r="B1789" s="467"/>
      <c r="C1789" s="466"/>
      <c r="D1789" s="497">
        <v>47278</v>
      </c>
      <c r="E1789" s="466" t="s">
        <v>621</v>
      </c>
      <c r="F1789" s="466">
        <v>62500000</v>
      </c>
      <c r="G1789" s="478">
        <v>0</v>
      </c>
      <c r="H1789" s="466">
        <v>0</v>
      </c>
      <c r="I1789" s="479">
        <v>0</v>
      </c>
    </row>
    <row r="1790" spans="1:9" ht="15.75" customHeight="1">
      <c r="A1790" s="467"/>
      <c r="B1790" s="467"/>
      <c r="C1790" s="466"/>
      <c r="D1790" s="497">
        <v>47279</v>
      </c>
      <c r="E1790" s="466" t="s">
        <v>620</v>
      </c>
      <c r="F1790" s="466">
        <v>62500000</v>
      </c>
      <c r="G1790" s="478">
        <v>0</v>
      </c>
      <c r="H1790" s="466">
        <v>0</v>
      </c>
      <c r="I1790" s="479">
        <v>0</v>
      </c>
    </row>
    <row r="1791" spans="1:9" ht="15.75" customHeight="1">
      <c r="A1791" s="467"/>
      <c r="B1791" s="467"/>
      <c r="C1791" s="466"/>
      <c r="D1791" s="497">
        <v>47280</v>
      </c>
      <c r="E1791" s="466" t="s">
        <v>619</v>
      </c>
      <c r="F1791" s="466">
        <v>62500000</v>
      </c>
      <c r="G1791" s="478">
        <v>0</v>
      </c>
      <c r="H1791" s="466">
        <v>0</v>
      </c>
      <c r="I1791" s="479">
        <v>0</v>
      </c>
    </row>
    <row r="1792" spans="1:9" ht="15.75" customHeight="1">
      <c r="A1792" s="467"/>
      <c r="B1792" s="467"/>
      <c r="C1792" s="466"/>
      <c r="D1792" s="497">
        <v>47281</v>
      </c>
      <c r="E1792" s="466" t="s">
        <v>618</v>
      </c>
      <c r="F1792" s="466">
        <v>62500000</v>
      </c>
      <c r="G1792" s="478">
        <v>0</v>
      </c>
      <c r="H1792" s="466">
        <v>0</v>
      </c>
      <c r="I1792" s="479">
        <v>0</v>
      </c>
    </row>
    <row r="1793" spans="1:9" ht="15.75" customHeight="1">
      <c r="A1793" s="467"/>
      <c r="B1793" s="467"/>
      <c r="C1793" s="466"/>
      <c r="D1793" s="497">
        <v>47282</v>
      </c>
      <c r="E1793" s="466" t="s">
        <v>624</v>
      </c>
      <c r="F1793" s="466">
        <v>62500000</v>
      </c>
      <c r="G1793" s="478">
        <v>0</v>
      </c>
      <c r="H1793" s="466">
        <v>0</v>
      </c>
      <c r="I1793" s="479">
        <v>0</v>
      </c>
    </row>
    <row r="1794" spans="1:9" ht="15.75" customHeight="1">
      <c r="A1794" s="467"/>
      <c r="B1794" s="467"/>
      <c r="C1794" s="466"/>
      <c r="D1794" s="497">
        <v>47283</v>
      </c>
      <c r="E1794" s="466" t="s">
        <v>623</v>
      </c>
      <c r="F1794" s="466">
        <v>62500000</v>
      </c>
      <c r="G1794" s="478">
        <v>0</v>
      </c>
      <c r="H1794" s="466">
        <v>0</v>
      </c>
      <c r="I1794" s="479">
        <v>0</v>
      </c>
    </row>
    <row r="1795" spans="1:9" ht="15.75" customHeight="1">
      <c r="A1795" s="467"/>
      <c r="B1795" s="467"/>
      <c r="C1795" s="466"/>
      <c r="D1795" s="497">
        <v>47284</v>
      </c>
      <c r="E1795" s="466" t="s">
        <v>622</v>
      </c>
      <c r="F1795" s="466">
        <v>62500000</v>
      </c>
      <c r="G1795" s="478">
        <v>0</v>
      </c>
      <c r="H1795" s="466">
        <v>0</v>
      </c>
      <c r="I1795" s="479">
        <v>0</v>
      </c>
    </row>
    <row r="1796" spans="1:9" ht="15.75" customHeight="1">
      <c r="A1796" s="467"/>
      <c r="B1796" s="467"/>
      <c r="C1796" s="466"/>
      <c r="D1796" s="497">
        <v>47285</v>
      </c>
      <c r="E1796" s="466" t="s">
        <v>621</v>
      </c>
      <c r="F1796" s="466">
        <v>62500000</v>
      </c>
      <c r="G1796" s="478">
        <v>0</v>
      </c>
      <c r="H1796" s="466">
        <v>0</v>
      </c>
      <c r="I1796" s="479">
        <v>0</v>
      </c>
    </row>
    <row r="1797" spans="1:9" ht="15.75" customHeight="1">
      <c r="A1797" s="467"/>
      <c r="B1797" s="467"/>
      <c r="C1797" s="466"/>
      <c r="D1797" s="497">
        <v>47286</v>
      </c>
      <c r="E1797" s="466" t="s">
        <v>620</v>
      </c>
      <c r="F1797" s="466">
        <v>62500000</v>
      </c>
      <c r="G1797" s="478">
        <v>0</v>
      </c>
      <c r="H1797" s="466">
        <v>0</v>
      </c>
      <c r="I1797" s="479">
        <v>0</v>
      </c>
    </row>
    <row r="1798" spans="1:9" ht="15.75" customHeight="1">
      <c r="A1798" s="467"/>
      <c r="B1798" s="467"/>
      <c r="C1798" s="466"/>
      <c r="D1798" s="497">
        <v>47287</v>
      </c>
      <c r="E1798" s="466" t="s">
        <v>619</v>
      </c>
      <c r="F1798" s="466">
        <v>62500000</v>
      </c>
      <c r="G1798" s="478">
        <v>0</v>
      </c>
      <c r="H1798" s="466">
        <v>0</v>
      </c>
      <c r="I1798" s="479">
        <v>0</v>
      </c>
    </row>
    <row r="1799" spans="1:9" ht="15.75" customHeight="1">
      <c r="A1799" s="467"/>
      <c r="B1799" s="467"/>
      <c r="C1799" s="466"/>
      <c r="D1799" s="497">
        <v>47288</v>
      </c>
      <c r="E1799" s="466" t="s">
        <v>618</v>
      </c>
      <c r="F1799" s="466">
        <v>62500000</v>
      </c>
      <c r="G1799" s="478">
        <v>0</v>
      </c>
      <c r="H1799" s="466">
        <v>0</v>
      </c>
      <c r="I1799" s="479">
        <v>0</v>
      </c>
    </row>
    <row r="1800" spans="1:9" ht="15.75" customHeight="1">
      <c r="A1800" s="467"/>
      <c r="B1800" s="467"/>
      <c r="C1800" s="466"/>
      <c r="D1800" s="497">
        <v>47289</v>
      </c>
      <c r="E1800" s="466" t="s">
        <v>624</v>
      </c>
      <c r="F1800" s="466">
        <v>62500000</v>
      </c>
      <c r="G1800" s="478">
        <v>0</v>
      </c>
      <c r="H1800" s="466">
        <v>0</v>
      </c>
      <c r="I1800" s="479">
        <v>0</v>
      </c>
    </row>
    <row r="1801" spans="1:9" ht="15.75" customHeight="1">
      <c r="A1801" s="467"/>
      <c r="B1801" s="467"/>
      <c r="C1801" s="466"/>
      <c r="D1801" s="497">
        <v>47290</v>
      </c>
      <c r="E1801" s="466" t="s">
        <v>623</v>
      </c>
      <c r="F1801" s="466">
        <v>62500000</v>
      </c>
      <c r="G1801" s="478">
        <v>0</v>
      </c>
      <c r="H1801" s="466">
        <v>0</v>
      </c>
      <c r="I1801" s="479">
        <v>0</v>
      </c>
    </row>
    <row r="1802" spans="1:9" ht="15.75" customHeight="1">
      <c r="A1802" s="467"/>
      <c r="B1802" s="467"/>
      <c r="C1802" s="466"/>
      <c r="D1802" s="497">
        <v>47291</v>
      </c>
      <c r="E1802" s="466" t="s">
        <v>622</v>
      </c>
      <c r="F1802" s="466">
        <v>62500000</v>
      </c>
      <c r="G1802" s="478">
        <v>0</v>
      </c>
      <c r="H1802" s="466">
        <v>0</v>
      </c>
      <c r="I1802" s="479">
        <v>0</v>
      </c>
    </row>
    <row r="1803" spans="1:9" ht="15.75" customHeight="1">
      <c r="A1803" s="467"/>
      <c r="B1803" s="467"/>
      <c r="C1803" s="466"/>
      <c r="D1803" s="497">
        <v>47292</v>
      </c>
      <c r="E1803" s="466" t="s">
        <v>621</v>
      </c>
      <c r="F1803" s="466">
        <v>62500000</v>
      </c>
      <c r="G1803" s="478">
        <v>0</v>
      </c>
      <c r="H1803" s="466">
        <v>0</v>
      </c>
      <c r="I1803" s="479">
        <v>0</v>
      </c>
    </row>
    <row r="1804" spans="1:9" ht="15.75" customHeight="1">
      <c r="A1804" s="467"/>
      <c r="B1804" s="467"/>
      <c r="C1804" s="466"/>
      <c r="D1804" s="497">
        <v>47293</v>
      </c>
      <c r="E1804" s="466" t="s">
        <v>620</v>
      </c>
      <c r="F1804" s="466">
        <v>62500000</v>
      </c>
      <c r="G1804" s="478">
        <v>0</v>
      </c>
      <c r="H1804" s="466">
        <v>0</v>
      </c>
      <c r="I1804" s="479">
        <v>0</v>
      </c>
    </row>
    <row r="1805" spans="1:9" ht="15.75" customHeight="1">
      <c r="A1805" s="467"/>
      <c r="B1805" s="467"/>
      <c r="C1805" s="466"/>
      <c r="D1805" s="497">
        <v>47294</v>
      </c>
      <c r="E1805" s="466" t="s">
        <v>619</v>
      </c>
      <c r="F1805" s="466">
        <v>62500000</v>
      </c>
      <c r="G1805" s="478">
        <v>0</v>
      </c>
      <c r="H1805" s="466">
        <v>0</v>
      </c>
      <c r="I1805" s="479">
        <v>0</v>
      </c>
    </row>
    <row r="1806" spans="1:9" ht="15.75" customHeight="1">
      <c r="A1806" s="467"/>
      <c r="B1806" s="467"/>
      <c r="C1806" s="466"/>
      <c r="D1806" s="497">
        <v>47295</v>
      </c>
      <c r="E1806" s="466" t="s">
        <v>618</v>
      </c>
      <c r="F1806" s="466">
        <v>62500000</v>
      </c>
      <c r="G1806" s="478">
        <v>0</v>
      </c>
      <c r="H1806" s="466">
        <v>0</v>
      </c>
      <c r="I1806" s="479">
        <v>0</v>
      </c>
    </row>
    <row r="1807" spans="1:9" ht="15.75" customHeight="1">
      <c r="A1807" s="467"/>
      <c r="B1807" s="467"/>
      <c r="C1807" s="466"/>
      <c r="D1807" s="497">
        <v>47296</v>
      </c>
      <c r="E1807" s="466" t="s">
        <v>624</v>
      </c>
      <c r="F1807" s="466">
        <v>62500000</v>
      </c>
      <c r="G1807" s="478">
        <v>0</v>
      </c>
      <c r="H1807" s="466">
        <v>0</v>
      </c>
      <c r="I1807" s="479">
        <v>0</v>
      </c>
    </row>
    <row r="1808" spans="1:9" ht="15.75" customHeight="1">
      <c r="A1808" s="467"/>
      <c r="B1808" s="467"/>
      <c r="C1808" s="466"/>
      <c r="D1808" s="497">
        <v>47297</v>
      </c>
      <c r="E1808" s="466" t="s">
        <v>623</v>
      </c>
      <c r="F1808" s="466">
        <v>62500000</v>
      </c>
      <c r="G1808" s="478">
        <v>0</v>
      </c>
      <c r="H1808" s="466">
        <v>0</v>
      </c>
      <c r="I1808" s="479">
        <v>0</v>
      </c>
    </row>
    <row r="1809" spans="1:9" ht="15.75" customHeight="1">
      <c r="A1809" s="467"/>
      <c r="B1809" s="467"/>
      <c r="C1809" s="466"/>
      <c r="D1809" s="497">
        <v>47298</v>
      </c>
      <c r="E1809" s="466" t="s">
        <v>622</v>
      </c>
      <c r="F1809" s="466">
        <v>62500000</v>
      </c>
      <c r="G1809" s="478">
        <v>0</v>
      </c>
      <c r="H1809" s="466">
        <v>0</v>
      </c>
      <c r="I1809" s="479">
        <v>0</v>
      </c>
    </row>
    <row r="1810" spans="1:9" ht="15.75" customHeight="1">
      <c r="A1810" s="467"/>
      <c r="B1810" s="467"/>
      <c r="C1810" s="466"/>
      <c r="D1810" s="497">
        <v>47299</v>
      </c>
      <c r="E1810" s="466" t="s">
        <v>621</v>
      </c>
      <c r="F1810" s="466">
        <v>62500000</v>
      </c>
      <c r="G1810" s="478">
        <v>0</v>
      </c>
      <c r="H1810" s="466">
        <v>0</v>
      </c>
      <c r="I1810" s="479">
        <v>0</v>
      </c>
    </row>
    <row r="1811" spans="1:9" ht="15.75" customHeight="1">
      <c r="A1811" s="467"/>
      <c r="B1811" s="467"/>
      <c r="C1811" s="466"/>
      <c r="D1811" s="497">
        <v>47300</v>
      </c>
      <c r="E1811" s="466" t="s">
        <v>620</v>
      </c>
      <c r="F1811" s="466">
        <v>62500000</v>
      </c>
      <c r="G1811" s="478">
        <v>0</v>
      </c>
      <c r="H1811" s="466">
        <v>0</v>
      </c>
      <c r="I1811" s="479">
        <v>0</v>
      </c>
    </row>
    <row r="1812" spans="1:9" ht="15.75" customHeight="1">
      <c r="A1812" s="467"/>
      <c r="B1812" s="467"/>
      <c r="C1812" s="466"/>
      <c r="D1812" s="497">
        <v>47301</v>
      </c>
      <c r="E1812" s="466" t="s">
        <v>619</v>
      </c>
      <c r="F1812" s="466">
        <v>62500000</v>
      </c>
      <c r="G1812" s="478">
        <v>0</v>
      </c>
      <c r="H1812" s="466">
        <v>0</v>
      </c>
      <c r="I1812" s="479">
        <v>0</v>
      </c>
    </row>
    <row r="1813" spans="1:9" ht="15.75" customHeight="1">
      <c r="A1813" s="467"/>
      <c r="B1813" s="467"/>
      <c r="C1813" s="466"/>
      <c r="D1813" s="497">
        <v>47302</v>
      </c>
      <c r="E1813" s="466" t="s">
        <v>618</v>
      </c>
      <c r="F1813" s="466">
        <v>62500000</v>
      </c>
      <c r="G1813" s="478">
        <v>0</v>
      </c>
      <c r="H1813" s="466">
        <v>0</v>
      </c>
      <c r="I1813" s="479">
        <v>0</v>
      </c>
    </row>
    <row r="1814" spans="1:9" ht="15.75" customHeight="1">
      <c r="A1814" s="467"/>
      <c r="B1814" s="467"/>
      <c r="C1814" s="466"/>
      <c r="D1814" s="497">
        <v>47303</v>
      </c>
      <c r="E1814" s="466" t="s">
        <v>624</v>
      </c>
      <c r="F1814" s="466">
        <v>62500000</v>
      </c>
      <c r="G1814" s="478">
        <v>0</v>
      </c>
      <c r="H1814" s="466">
        <v>0</v>
      </c>
      <c r="I1814" s="479">
        <v>0</v>
      </c>
    </row>
    <row r="1815" spans="1:9" ht="15.75" customHeight="1">
      <c r="A1815" s="467"/>
      <c r="B1815" s="467"/>
      <c r="C1815" s="466"/>
      <c r="D1815" s="497">
        <v>47304</v>
      </c>
      <c r="E1815" s="466" t="s">
        <v>623</v>
      </c>
      <c r="F1815" s="466">
        <v>62500000</v>
      </c>
      <c r="G1815" s="478">
        <v>0</v>
      </c>
      <c r="H1815" s="466">
        <v>0</v>
      </c>
      <c r="I1815" s="479">
        <v>0</v>
      </c>
    </row>
    <row r="1816" spans="1:9" ht="15.75" customHeight="1">
      <c r="A1816" s="467"/>
      <c r="B1816" s="467"/>
      <c r="C1816" s="466"/>
      <c r="D1816" s="497">
        <v>47305</v>
      </c>
      <c r="E1816" s="466" t="s">
        <v>622</v>
      </c>
      <c r="F1816" s="466">
        <v>62500000</v>
      </c>
      <c r="G1816" s="478">
        <v>0</v>
      </c>
      <c r="H1816" s="466">
        <v>0</v>
      </c>
      <c r="I1816" s="479">
        <v>0</v>
      </c>
    </row>
    <row r="1817" spans="1:9" ht="15.75" customHeight="1">
      <c r="A1817" s="467"/>
      <c r="B1817" s="467"/>
      <c r="C1817" s="466"/>
      <c r="D1817" s="497">
        <v>47306</v>
      </c>
      <c r="E1817" s="466" t="s">
        <v>621</v>
      </c>
      <c r="F1817" s="466">
        <v>62500000</v>
      </c>
      <c r="G1817" s="478">
        <v>0</v>
      </c>
      <c r="H1817" s="466">
        <v>0</v>
      </c>
      <c r="I1817" s="479">
        <v>0</v>
      </c>
    </row>
    <row r="1818" spans="1:9" ht="15.75" customHeight="1">
      <c r="A1818" s="467"/>
      <c r="B1818" s="467"/>
      <c r="C1818" s="466"/>
      <c r="D1818" s="497">
        <v>47307</v>
      </c>
      <c r="E1818" s="466" t="s">
        <v>620</v>
      </c>
      <c r="F1818" s="466">
        <v>62500000</v>
      </c>
      <c r="G1818" s="478">
        <v>0</v>
      </c>
      <c r="H1818" s="466">
        <v>0</v>
      </c>
      <c r="I1818" s="479">
        <v>0</v>
      </c>
    </row>
    <row r="1819" spans="1:9" ht="15.75" customHeight="1">
      <c r="A1819" s="467"/>
      <c r="B1819" s="467"/>
      <c r="C1819" s="466"/>
      <c r="D1819" s="497">
        <v>47308</v>
      </c>
      <c r="E1819" s="466" t="s">
        <v>619</v>
      </c>
      <c r="F1819" s="466">
        <v>62500000</v>
      </c>
      <c r="G1819" s="478">
        <v>0</v>
      </c>
      <c r="H1819" s="466">
        <v>0</v>
      </c>
      <c r="I1819" s="479">
        <v>0</v>
      </c>
    </row>
    <row r="1820" spans="1:9" ht="15.75" customHeight="1">
      <c r="A1820" s="467"/>
      <c r="B1820" s="467"/>
      <c r="C1820" s="466"/>
      <c r="D1820" s="497">
        <v>47309</v>
      </c>
      <c r="E1820" s="466" t="s">
        <v>618</v>
      </c>
      <c r="F1820" s="466">
        <v>62500000</v>
      </c>
      <c r="G1820" s="478">
        <v>0</v>
      </c>
      <c r="H1820" s="466">
        <v>0</v>
      </c>
      <c r="I1820" s="479">
        <v>0</v>
      </c>
    </row>
    <row r="1821" spans="1:9" ht="15.75" customHeight="1">
      <c r="A1821" s="467"/>
      <c r="B1821" s="467"/>
      <c r="C1821" s="466"/>
      <c r="D1821" s="497">
        <v>47310</v>
      </c>
      <c r="E1821" s="466" t="s">
        <v>624</v>
      </c>
      <c r="F1821" s="466">
        <v>62500000</v>
      </c>
      <c r="G1821" s="478">
        <v>0</v>
      </c>
      <c r="H1821" s="466">
        <v>0</v>
      </c>
      <c r="I1821" s="479">
        <v>0</v>
      </c>
    </row>
    <row r="1822" spans="1:9" ht="15.75" customHeight="1">
      <c r="A1822" s="467"/>
      <c r="B1822" s="467"/>
      <c r="C1822" s="466"/>
      <c r="D1822" s="497">
        <v>47311</v>
      </c>
      <c r="E1822" s="466" t="s">
        <v>623</v>
      </c>
      <c r="F1822" s="466">
        <v>62500000</v>
      </c>
      <c r="G1822" s="478">
        <v>0</v>
      </c>
      <c r="H1822" s="466">
        <v>0</v>
      </c>
      <c r="I1822" s="479">
        <v>0</v>
      </c>
    </row>
    <row r="1823" spans="1:9" ht="15.75" customHeight="1">
      <c r="A1823" s="467"/>
      <c r="B1823" s="467"/>
      <c r="C1823" s="466"/>
      <c r="D1823" s="497">
        <v>47312</v>
      </c>
      <c r="E1823" s="466" t="s">
        <v>622</v>
      </c>
      <c r="F1823" s="466">
        <v>62500000</v>
      </c>
      <c r="G1823" s="478">
        <v>0</v>
      </c>
      <c r="H1823" s="466">
        <v>0</v>
      </c>
      <c r="I1823" s="479">
        <v>0</v>
      </c>
    </row>
    <row r="1824" spans="1:9" ht="15.75" customHeight="1">
      <c r="A1824" s="467"/>
      <c r="B1824" s="467"/>
      <c r="C1824" s="466"/>
      <c r="D1824" s="497">
        <v>47313</v>
      </c>
      <c r="E1824" s="466" t="s">
        <v>621</v>
      </c>
      <c r="F1824" s="466">
        <v>62500000</v>
      </c>
      <c r="G1824" s="478">
        <v>0</v>
      </c>
      <c r="H1824" s="466">
        <v>0</v>
      </c>
      <c r="I1824" s="479">
        <v>0</v>
      </c>
    </row>
    <row r="1825" spans="1:9" ht="15.75" customHeight="1">
      <c r="A1825" s="467"/>
      <c r="B1825" s="467"/>
      <c r="C1825" s="466"/>
      <c r="D1825" s="497">
        <v>47314</v>
      </c>
      <c r="E1825" s="466" t="s">
        <v>620</v>
      </c>
      <c r="F1825" s="466">
        <v>62500000</v>
      </c>
      <c r="G1825" s="478">
        <v>0</v>
      </c>
      <c r="H1825" s="466">
        <v>0</v>
      </c>
      <c r="I1825" s="479">
        <v>0</v>
      </c>
    </row>
    <row r="1826" spans="1:9" ht="15.75" customHeight="1">
      <c r="A1826" s="467"/>
      <c r="B1826" s="467"/>
      <c r="C1826" s="466"/>
      <c r="D1826" s="497">
        <v>47315</v>
      </c>
      <c r="E1826" s="466" t="s">
        <v>619</v>
      </c>
      <c r="F1826" s="466">
        <v>62500000</v>
      </c>
      <c r="G1826" s="478">
        <v>0</v>
      </c>
      <c r="H1826" s="466">
        <v>0</v>
      </c>
      <c r="I1826" s="479">
        <v>0</v>
      </c>
    </row>
    <row r="1827" spans="1:9" ht="15.75" customHeight="1">
      <c r="A1827" s="467"/>
      <c r="B1827" s="467"/>
      <c r="C1827" s="466"/>
      <c r="D1827" s="497">
        <v>47316</v>
      </c>
      <c r="E1827" s="466" t="s">
        <v>618</v>
      </c>
      <c r="F1827" s="466">
        <v>62500000</v>
      </c>
      <c r="G1827" s="478">
        <v>0</v>
      </c>
      <c r="H1827" s="466">
        <v>0</v>
      </c>
      <c r="I1827" s="479">
        <v>0</v>
      </c>
    </row>
    <row r="1828" spans="1:9" ht="15.75" customHeight="1">
      <c r="A1828" s="467"/>
      <c r="B1828" s="467"/>
      <c r="C1828" s="466"/>
      <c r="D1828" s="497">
        <v>47317</v>
      </c>
      <c r="E1828" s="466" t="s">
        <v>624</v>
      </c>
      <c r="F1828" s="466">
        <v>62500000</v>
      </c>
      <c r="G1828" s="478">
        <v>0</v>
      </c>
      <c r="H1828" s="466">
        <v>0</v>
      </c>
      <c r="I1828" s="479">
        <v>0</v>
      </c>
    </row>
    <row r="1829" spans="1:9" ht="15.75" customHeight="1">
      <c r="A1829" s="467"/>
      <c r="B1829" s="467"/>
      <c r="C1829" s="466"/>
      <c r="D1829" s="497">
        <v>47318</v>
      </c>
      <c r="E1829" s="466" t="s">
        <v>623</v>
      </c>
      <c r="F1829" s="466">
        <v>62500000</v>
      </c>
      <c r="G1829" s="478">
        <v>0</v>
      </c>
      <c r="H1829" s="466">
        <v>0</v>
      </c>
      <c r="I1829" s="479">
        <v>0</v>
      </c>
    </row>
    <row r="1830" spans="1:9" ht="15.75" customHeight="1">
      <c r="A1830" s="467"/>
      <c r="B1830" s="467"/>
      <c r="C1830" s="466"/>
      <c r="D1830" s="497">
        <v>47319</v>
      </c>
      <c r="E1830" s="466" t="s">
        <v>622</v>
      </c>
      <c r="F1830" s="466">
        <v>62500000</v>
      </c>
      <c r="G1830" s="478">
        <v>0</v>
      </c>
      <c r="H1830" s="466">
        <v>0</v>
      </c>
      <c r="I1830" s="479">
        <v>0</v>
      </c>
    </row>
    <row r="1831" spans="1:9" ht="15.75" customHeight="1">
      <c r="A1831" s="467"/>
      <c r="B1831" s="467"/>
      <c r="C1831" s="466"/>
      <c r="D1831" s="497">
        <v>47320</v>
      </c>
      <c r="E1831" s="466" t="s">
        <v>621</v>
      </c>
      <c r="F1831" s="466">
        <v>62500000</v>
      </c>
      <c r="G1831" s="478">
        <v>0</v>
      </c>
      <c r="H1831" s="466">
        <v>0</v>
      </c>
      <c r="I1831" s="479">
        <v>0</v>
      </c>
    </row>
    <row r="1832" spans="1:9" ht="15.75" customHeight="1">
      <c r="A1832" s="467"/>
      <c r="B1832" s="467"/>
      <c r="C1832" s="466"/>
      <c r="D1832" s="497">
        <v>47321</v>
      </c>
      <c r="E1832" s="466" t="s">
        <v>620</v>
      </c>
      <c r="F1832" s="466">
        <v>62500000</v>
      </c>
      <c r="G1832" s="478">
        <v>0</v>
      </c>
      <c r="H1832" s="466">
        <v>0</v>
      </c>
      <c r="I1832" s="479">
        <v>0</v>
      </c>
    </row>
    <row r="1833" spans="1:9" ht="15.75" customHeight="1">
      <c r="A1833" s="467"/>
      <c r="B1833" s="467"/>
      <c r="C1833" s="466"/>
      <c r="D1833" s="497">
        <v>47322</v>
      </c>
      <c r="E1833" s="466" t="s">
        <v>619</v>
      </c>
      <c r="F1833" s="466">
        <v>62500000</v>
      </c>
      <c r="G1833" s="478">
        <v>0</v>
      </c>
      <c r="H1833" s="466">
        <v>0</v>
      </c>
      <c r="I1833" s="479">
        <v>0</v>
      </c>
    </row>
    <row r="1834" spans="1:9" ht="15.75" customHeight="1">
      <c r="A1834" s="467"/>
      <c r="B1834" s="467"/>
      <c r="C1834" s="466"/>
      <c r="D1834" s="497">
        <v>47323</v>
      </c>
      <c r="E1834" s="466" t="s">
        <v>618</v>
      </c>
      <c r="F1834" s="466">
        <v>62500000</v>
      </c>
      <c r="G1834" s="478">
        <v>0</v>
      </c>
      <c r="H1834" s="466">
        <v>0</v>
      </c>
      <c r="I1834" s="479">
        <v>0</v>
      </c>
    </row>
    <row r="1835" spans="1:9" ht="15.75" customHeight="1">
      <c r="A1835" s="467"/>
      <c r="B1835" s="467"/>
      <c r="C1835" s="466"/>
      <c r="D1835" s="477"/>
      <c r="E1835" s="466"/>
      <c r="F1835" s="466"/>
      <c r="G1835" s="496"/>
      <c r="H1835" s="496"/>
      <c r="I1835" s="496"/>
    </row>
    <row r="1836" spans="1:9" ht="15.75" customHeight="1">
      <c r="A1836" s="467"/>
      <c r="B1836" s="467"/>
      <c r="C1836" s="466"/>
      <c r="D1836" s="477"/>
      <c r="E1836" s="466"/>
      <c r="F1836" s="466"/>
      <c r="G1836" s="496"/>
      <c r="H1836" s="496"/>
      <c r="I1836" s="496"/>
    </row>
    <row r="1837" spans="1:9" ht="15.75" customHeight="1">
      <c r="A1837" s="467"/>
      <c r="B1837" s="467"/>
      <c r="C1837" s="466"/>
      <c r="D1837" s="477"/>
      <c r="E1837" s="466"/>
      <c r="F1837" s="466"/>
      <c r="G1837" s="496"/>
      <c r="H1837" s="496"/>
      <c r="I1837" s="496"/>
    </row>
    <row r="1838" spans="1:9" ht="15.75" customHeight="1">
      <c r="A1838" s="467"/>
      <c r="B1838" s="467"/>
      <c r="C1838" s="466"/>
      <c r="D1838" s="477"/>
      <c r="E1838" s="466"/>
      <c r="F1838" s="466"/>
      <c r="G1838" s="496"/>
      <c r="H1838" s="496"/>
      <c r="I1838" s="496"/>
    </row>
    <row r="1839" spans="1:9" ht="15.75" customHeight="1">
      <c r="A1839" s="467"/>
      <c r="B1839" s="467"/>
      <c r="C1839" s="466"/>
      <c r="D1839" s="477"/>
      <c r="E1839" s="466"/>
      <c r="F1839" s="466"/>
      <c r="G1839" s="496"/>
      <c r="H1839" s="496"/>
      <c r="I1839" s="496"/>
    </row>
    <row r="1840" spans="1:9" ht="15.75" customHeight="1">
      <c r="A1840" s="467"/>
      <c r="B1840" s="467"/>
      <c r="C1840" s="466"/>
      <c r="D1840" s="477"/>
      <c r="E1840" s="466"/>
      <c r="F1840" s="466"/>
      <c r="G1840" s="496"/>
      <c r="H1840" s="496"/>
      <c r="I1840" s="496"/>
    </row>
    <row r="1841" spans="1:9" ht="15.75" customHeight="1">
      <c r="A1841" s="467"/>
      <c r="B1841" s="467"/>
      <c r="C1841" s="466"/>
      <c r="D1841" s="477"/>
      <c r="E1841" s="466"/>
      <c r="F1841" s="466"/>
      <c r="G1841" s="496"/>
      <c r="H1841" s="496"/>
      <c r="I1841" s="496"/>
    </row>
  </sheetData>
  <mergeCells count="4">
    <mergeCell ref="A1:F1"/>
    <mergeCell ref="B3:F3"/>
    <mergeCell ref="B4:F4"/>
    <mergeCell ref="B5:F5"/>
  </mergeCells>
  <conditionalFormatting sqref="G8:G1834">
    <cfRule type="expression" dxfId="1" priority="1">
      <formula>IF($B$14="Daily",TRUE,FALSE)</formula>
    </cfRule>
  </conditionalFormatting>
  <conditionalFormatting sqref="I8:I1834">
    <cfRule type="expression" dxfId="0" priority="2">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rgb="FF00B0F0"/>
  </sheetPr>
  <dimension ref="A1:AA53"/>
  <sheetViews>
    <sheetView topLeftCell="B1" zoomScale="80" zoomScaleNormal="80" workbookViewId="0">
      <selection activeCell="M37" sqref="M37"/>
    </sheetView>
  </sheetViews>
  <sheetFormatPr defaultColWidth="9.140625" defaultRowHeight="15"/>
  <cols>
    <col min="1" max="1" width="4.140625" style="25" customWidth="1"/>
    <col min="2" max="2" width="59.28515625" style="25" bestFit="1" customWidth="1"/>
    <col min="3" max="21" width="15.42578125" style="25" customWidth="1"/>
    <col min="22" max="22" width="9.140625" style="25"/>
    <col min="23" max="23" width="2.42578125" style="25" customWidth="1"/>
    <col min="24" max="24" width="22.42578125" style="25" customWidth="1"/>
    <col min="25" max="25" width="25.5703125" style="26" customWidth="1"/>
    <col min="26" max="26" width="32.140625" style="26" bestFit="1" customWidth="1"/>
    <col min="27" max="27" width="2" style="25" customWidth="1"/>
    <col min="28" max="16384" width="9.140625" style="25"/>
  </cols>
  <sheetData>
    <row r="1" spans="2:27" ht="15.75" thickBot="1">
      <c r="D1" s="26"/>
      <c r="E1" s="26"/>
      <c r="F1" s="26"/>
      <c r="G1" s="26"/>
      <c r="H1" s="26"/>
      <c r="I1" s="26"/>
      <c r="J1" s="26"/>
      <c r="K1" s="26"/>
      <c r="L1" s="26"/>
      <c r="M1" s="26"/>
      <c r="N1" s="26"/>
      <c r="O1" s="26"/>
      <c r="P1" s="26"/>
      <c r="Q1" s="26"/>
      <c r="R1" s="26"/>
      <c r="S1" s="26"/>
      <c r="T1" s="26"/>
      <c r="U1" s="26"/>
    </row>
    <row r="2" spans="2:27">
      <c r="B2" s="28" t="s">
        <v>414</v>
      </c>
      <c r="C2" s="156">
        <v>44442</v>
      </c>
      <c r="E2" s="156">
        <v>44623</v>
      </c>
      <c r="F2" s="156">
        <v>44784</v>
      </c>
      <c r="G2" s="156">
        <v>44956</v>
      </c>
      <c r="H2" s="26"/>
      <c r="I2" s="26"/>
      <c r="J2" s="26"/>
      <c r="K2" s="26"/>
      <c r="L2" s="26"/>
      <c r="M2" s="26"/>
      <c r="N2" s="26"/>
      <c r="O2" s="26"/>
      <c r="P2" s="26"/>
      <c r="Q2" s="26"/>
      <c r="R2" s="26"/>
      <c r="S2" s="26"/>
      <c r="T2" s="26"/>
      <c r="U2" s="26"/>
      <c r="W2" s="250"/>
      <c r="X2" s="251"/>
      <c r="Y2" s="252"/>
      <c r="Z2" s="252"/>
      <c r="AA2" s="253"/>
    </row>
    <row r="3" spans="2:27">
      <c r="C3" s="26"/>
      <c r="D3" s="26"/>
      <c r="E3" s="26"/>
      <c r="F3" s="26"/>
      <c r="G3" s="26"/>
      <c r="H3" s="26"/>
      <c r="I3" s="26"/>
      <c r="J3" s="26"/>
      <c r="K3" s="26"/>
      <c r="L3" s="26"/>
      <c r="M3" s="26"/>
      <c r="N3" s="26"/>
      <c r="O3" s="26"/>
      <c r="P3" s="26"/>
      <c r="Q3" s="26"/>
      <c r="R3" s="26"/>
      <c r="S3" s="26"/>
      <c r="T3" s="26"/>
      <c r="U3" s="26"/>
      <c r="W3" s="254"/>
      <c r="X3" s="255" t="s">
        <v>280</v>
      </c>
      <c r="Y3" s="256"/>
      <c r="Z3" s="256"/>
      <c r="AA3" s="257"/>
    </row>
    <row r="4" spans="2:27">
      <c r="C4" s="26"/>
      <c r="D4" s="26"/>
      <c r="E4" s="26"/>
      <c r="F4" s="26"/>
      <c r="G4" s="26"/>
      <c r="H4" s="26"/>
      <c r="I4" s="26"/>
      <c r="J4" s="26"/>
      <c r="K4" s="26"/>
      <c r="L4" s="26"/>
      <c r="M4" s="26"/>
      <c r="N4" s="26"/>
      <c r="O4" s="26"/>
      <c r="P4" s="26"/>
      <c r="Q4" s="26"/>
      <c r="R4" s="26"/>
      <c r="S4" s="26"/>
      <c r="T4" s="26" t="s">
        <v>603</v>
      </c>
      <c r="U4" s="26"/>
      <c r="W4" s="254"/>
      <c r="X4" s="255"/>
      <c r="Y4" s="256"/>
      <c r="Z4" s="256"/>
      <c r="AA4" s="257"/>
    </row>
    <row r="5" spans="2:27">
      <c r="B5" s="320" t="s">
        <v>130</v>
      </c>
      <c r="C5" s="321" t="s">
        <v>416</v>
      </c>
      <c r="D5" s="321" t="s">
        <v>417</v>
      </c>
      <c r="E5" s="321" t="s">
        <v>418</v>
      </c>
      <c r="F5" s="321"/>
      <c r="G5" s="321" t="s">
        <v>419</v>
      </c>
      <c r="H5" s="321" t="s">
        <v>404</v>
      </c>
      <c r="I5" s="321" t="s">
        <v>406</v>
      </c>
      <c r="J5" s="321" t="s">
        <v>407</v>
      </c>
      <c r="K5" s="321" t="s">
        <v>408</v>
      </c>
      <c r="L5" s="321" t="s">
        <v>562</v>
      </c>
      <c r="M5" s="321" t="s">
        <v>603</v>
      </c>
      <c r="N5" s="321" t="s">
        <v>604</v>
      </c>
      <c r="O5" s="321" t="s">
        <v>664</v>
      </c>
      <c r="P5" s="321" t="s">
        <v>716</v>
      </c>
      <c r="Q5" s="321" t="s">
        <v>717</v>
      </c>
      <c r="R5" s="321" t="s">
        <v>791</v>
      </c>
      <c r="S5" s="321" t="s">
        <v>807</v>
      </c>
      <c r="T5" s="321" t="s">
        <v>596</v>
      </c>
      <c r="U5" s="321"/>
      <c r="W5" s="254"/>
      <c r="X5" s="425" t="s">
        <v>50</v>
      </c>
      <c r="Y5" s="426" t="s">
        <v>115</v>
      </c>
      <c r="Z5" s="426" t="s">
        <v>278</v>
      </c>
      <c r="AA5" s="257"/>
    </row>
    <row r="6" spans="2:27">
      <c r="B6" s="25" t="s">
        <v>413</v>
      </c>
      <c r="C6" s="322">
        <v>44442</v>
      </c>
      <c r="D6" s="323">
        <v>44512</v>
      </c>
      <c r="E6" s="322">
        <v>44623</v>
      </c>
      <c r="F6" s="322"/>
      <c r="G6" s="322">
        <v>44950</v>
      </c>
      <c r="H6" s="322">
        <v>45007</v>
      </c>
      <c r="I6" s="322">
        <v>45170</v>
      </c>
      <c r="J6" s="322">
        <v>45260</v>
      </c>
      <c r="K6" s="322">
        <v>45306</v>
      </c>
      <c r="L6" s="322">
        <v>45356</v>
      </c>
      <c r="M6" s="322">
        <v>45429</v>
      </c>
      <c r="N6" s="322">
        <v>45491</v>
      </c>
      <c r="O6" s="322">
        <v>45590</v>
      </c>
      <c r="P6" s="322">
        <v>45670</v>
      </c>
      <c r="Q6" s="322">
        <v>45721</v>
      </c>
      <c r="R6" s="322">
        <v>45821</v>
      </c>
      <c r="S6" s="322">
        <v>45874</v>
      </c>
      <c r="T6" s="322">
        <v>45454</v>
      </c>
      <c r="U6" s="322"/>
      <c r="W6" s="254"/>
      <c r="X6" s="258" t="s">
        <v>25</v>
      </c>
      <c r="Y6" s="259" t="s">
        <v>77</v>
      </c>
      <c r="Z6" s="259" t="s">
        <v>77</v>
      </c>
      <c r="AA6" s="257"/>
    </row>
    <row r="7" spans="2:27">
      <c r="B7" s="28" t="s">
        <v>405</v>
      </c>
      <c r="C7" s="215">
        <v>19015957.27</v>
      </c>
      <c r="D7" s="215">
        <v>23513942</v>
      </c>
      <c r="E7" s="215">
        <v>23513942</v>
      </c>
      <c r="F7" s="215"/>
      <c r="G7" s="215">
        <v>23234461.870000001</v>
      </c>
      <c r="H7" s="215">
        <v>23234461.870000001</v>
      </c>
      <c r="I7" s="215">
        <v>23234461.870000001</v>
      </c>
      <c r="J7" s="215">
        <v>23234461.870000001</v>
      </c>
      <c r="K7" s="215">
        <v>23234461.870000001</v>
      </c>
      <c r="L7" s="215">
        <v>23234461.870000001</v>
      </c>
      <c r="M7" s="215">
        <v>23234461.870000001</v>
      </c>
      <c r="N7" s="215">
        <v>23234461.870000001</v>
      </c>
      <c r="O7" s="215">
        <v>23234461.870000001</v>
      </c>
      <c r="P7" s="215">
        <v>23234461.870000001</v>
      </c>
      <c r="Q7" s="215">
        <v>23234461.870000001</v>
      </c>
      <c r="R7" s="215">
        <v>23234461.870000001</v>
      </c>
      <c r="S7" s="215">
        <f>R7</f>
        <v>23234461.870000001</v>
      </c>
      <c r="T7" s="215">
        <v>23234461.870000001</v>
      </c>
      <c r="U7" s="215"/>
      <c r="W7" s="254"/>
      <c r="X7" s="249" t="s">
        <v>31</v>
      </c>
      <c r="Y7" s="256" t="s">
        <v>11</v>
      </c>
      <c r="Z7" s="260" t="s">
        <v>11</v>
      </c>
      <c r="AA7" s="257"/>
    </row>
    <row r="8" spans="2:27">
      <c r="B8" s="25" t="s">
        <v>415</v>
      </c>
      <c r="C8" s="215">
        <v>19226989.09</v>
      </c>
      <c r="D8" s="215">
        <v>19415305.100000001</v>
      </c>
      <c r="E8" s="215">
        <v>19365157.890000001</v>
      </c>
      <c r="F8" s="215"/>
      <c r="G8" s="215"/>
      <c r="H8" s="215"/>
      <c r="I8" s="215">
        <v>9566817.3300000001</v>
      </c>
      <c r="J8" s="215">
        <f>I8+I18</f>
        <v>9834193.4100000001</v>
      </c>
      <c r="K8" s="215">
        <f>J8+J18</f>
        <v>10093474.140000001</v>
      </c>
      <c r="L8" s="215">
        <f>K8+K18</f>
        <v>12297370.790000001</v>
      </c>
      <c r="M8" s="215">
        <f>L8+L18</f>
        <v>12498073.250000002</v>
      </c>
      <c r="N8" s="436">
        <v>12128944.09</v>
      </c>
      <c r="O8" s="215">
        <v>13706992.75</v>
      </c>
      <c r="P8" s="215">
        <v>15511986.41</v>
      </c>
      <c r="Q8" s="215">
        <v>13493186.23</v>
      </c>
      <c r="R8" s="215">
        <f>L35</f>
        <v>14203893.559999999</v>
      </c>
      <c r="S8" s="215">
        <v>16528521.59</v>
      </c>
      <c r="T8" s="215">
        <f>T7-T9</f>
        <v>12498073.250000002</v>
      </c>
      <c r="U8" s="215"/>
      <c r="W8" s="254"/>
      <c r="X8" s="249" t="s">
        <v>276</v>
      </c>
      <c r="Y8" s="256">
        <v>2020</v>
      </c>
      <c r="Z8" s="260">
        <v>2020</v>
      </c>
      <c r="AA8" s="257"/>
    </row>
    <row r="9" spans="2:27">
      <c r="B9" s="25" t="s">
        <v>420</v>
      </c>
      <c r="C9" s="215"/>
      <c r="D9" s="215">
        <v>4098636.9</v>
      </c>
      <c r="E9" s="215">
        <v>4148784.11</v>
      </c>
      <c r="F9" s="215"/>
      <c r="G9" s="215">
        <v>15865093.23</v>
      </c>
      <c r="H9" s="215">
        <v>15675627.199999999</v>
      </c>
      <c r="I9" s="215">
        <f t="shared" ref="I9:O9" si="0">I7-I8</f>
        <v>13667644.540000001</v>
      </c>
      <c r="J9" s="215">
        <f t="shared" si="0"/>
        <v>13400268.460000001</v>
      </c>
      <c r="K9" s="215">
        <f t="shared" si="0"/>
        <v>13140987.73</v>
      </c>
      <c r="L9" s="215">
        <f t="shared" si="0"/>
        <v>10937091.08</v>
      </c>
      <c r="M9" s="215">
        <f t="shared" si="0"/>
        <v>10736388.619999999</v>
      </c>
      <c r="N9" s="215">
        <f t="shared" si="0"/>
        <v>11105517.780000001</v>
      </c>
      <c r="O9" s="215">
        <f t="shared" si="0"/>
        <v>9527469.120000001</v>
      </c>
      <c r="P9" s="215">
        <f>P7-P8</f>
        <v>7722475.4600000009</v>
      </c>
      <c r="Q9" s="215">
        <f>Q7-Q8</f>
        <v>9741275.6400000006</v>
      </c>
      <c r="R9" s="215">
        <f>R7-R8</f>
        <v>9030568.3100000024</v>
      </c>
      <c r="S9" s="215">
        <f>S7-S8</f>
        <v>6705940.2800000012</v>
      </c>
      <c r="T9" s="215">
        <f>L22</f>
        <v>10736388.619999999</v>
      </c>
      <c r="U9" s="215"/>
      <c r="W9" s="254"/>
      <c r="X9" s="249" t="s">
        <v>36</v>
      </c>
      <c r="Y9" s="256" t="s">
        <v>53</v>
      </c>
      <c r="Z9" s="260" t="s">
        <v>277</v>
      </c>
      <c r="AA9" s="257"/>
    </row>
    <row r="10" spans="2:27">
      <c r="B10" s="25" t="s">
        <v>409</v>
      </c>
      <c r="C10" s="215"/>
      <c r="D10" s="215"/>
      <c r="E10" s="215"/>
      <c r="F10" s="215"/>
      <c r="G10" s="215">
        <v>-12659067.07</v>
      </c>
      <c r="H10" s="215"/>
      <c r="I10" s="215"/>
      <c r="J10" s="215"/>
      <c r="K10" s="215"/>
      <c r="L10" s="215"/>
      <c r="M10" s="215"/>
      <c r="N10" s="215"/>
      <c r="O10" s="215"/>
      <c r="P10" s="215"/>
      <c r="Q10" s="215"/>
      <c r="R10" s="215"/>
      <c r="S10" s="215"/>
      <c r="T10" s="205"/>
      <c r="W10" s="254"/>
      <c r="X10" s="249" t="s">
        <v>52</v>
      </c>
      <c r="Y10" s="256" t="s">
        <v>121</v>
      </c>
      <c r="Z10" s="260" t="s">
        <v>121</v>
      </c>
      <c r="AA10" s="257"/>
    </row>
    <row r="11" spans="2:27">
      <c r="B11" s="25" t="s">
        <v>154</v>
      </c>
      <c r="C11" s="215"/>
      <c r="D11" s="215"/>
      <c r="E11" s="215"/>
      <c r="F11" s="215"/>
      <c r="G11" s="215"/>
      <c r="H11" s="215">
        <v>-2067567.04</v>
      </c>
      <c r="I11" s="215"/>
      <c r="J11" s="215"/>
      <c r="K11" s="215"/>
      <c r="L11" s="215"/>
      <c r="M11" s="215"/>
      <c r="N11" s="215"/>
      <c r="O11" s="215"/>
      <c r="P11" s="215"/>
      <c r="Q11" s="215"/>
      <c r="R11" s="215"/>
      <c r="S11" s="215"/>
      <c r="T11" s="215"/>
      <c r="U11" s="215"/>
      <c r="W11" s="254"/>
      <c r="X11" s="249" t="s">
        <v>32</v>
      </c>
      <c r="Y11" s="261">
        <v>27.691912952877303</v>
      </c>
      <c r="Z11" s="262">
        <v>2.7058823529411762</v>
      </c>
      <c r="AA11" s="257"/>
    </row>
    <row r="12" spans="2:27">
      <c r="B12" s="25" t="s">
        <v>410</v>
      </c>
      <c r="C12" s="215"/>
      <c r="D12" s="215"/>
      <c r="E12" s="215"/>
      <c r="F12" s="215"/>
      <c r="G12" s="215"/>
      <c r="H12" s="215">
        <v>13608060.16</v>
      </c>
      <c r="I12" s="215"/>
      <c r="J12" s="215"/>
      <c r="K12" s="215"/>
      <c r="L12" s="215"/>
      <c r="M12" s="215"/>
      <c r="N12" s="215"/>
      <c r="O12" s="215"/>
      <c r="P12" s="215"/>
      <c r="Q12" s="215"/>
      <c r="R12" s="215"/>
      <c r="S12" s="215"/>
      <c r="T12" s="215"/>
      <c r="U12" s="26"/>
      <c r="W12" s="254"/>
      <c r="X12" s="249" t="s">
        <v>2</v>
      </c>
      <c r="Y12" s="261">
        <v>11.058034651530003</v>
      </c>
      <c r="Z12" s="262">
        <v>2.7058823529411762</v>
      </c>
      <c r="AA12" s="257"/>
    </row>
    <row r="13" spans="2:27">
      <c r="C13" s="215"/>
      <c r="D13" s="215"/>
      <c r="E13" s="215"/>
      <c r="F13" s="215"/>
      <c r="G13" s="215"/>
      <c r="H13" s="215"/>
      <c r="I13" s="215"/>
      <c r="J13" s="215"/>
      <c r="K13" s="215"/>
      <c r="L13" s="215"/>
      <c r="M13" s="215"/>
      <c r="N13" s="215"/>
      <c r="O13" s="215"/>
      <c r="P13" s="215"/>
      <c r="Q13" s="215"/>
      <c r="R13" s="215"/>
      <c r="S13" s="215"/>
      <c r="T13" s="215"/>
      <c r="U13" s="26"/>
      <c r="W13" s="254"/>
      <c r="X13" s="249" t="s">
        <v>49</v>
      </c>
      <c r="Y13" s="261">
        <v>16.633878301347298</v>
      </c>
      <c r="Z13" s="262">
        <v>0</v>
      </c>
      <c r="AA13" s="257"/>
    </row>
    <row r="14" spans="2:27">
      <c r="C14" s="205"/>
      <c r="D14" s="205"/>
      <c r="E14" s="205"/>
      <c r="F14" s="205"/>
      <c r="G14" s="205"/>
      <c r="H14" s="205"/>
      <c r="I14" s="205"/>
      <c r="J14" s="205"/>
      <c r="K14" s="205"/>
      <c r="L14" s="205"/>
      <c r="M14" s="205"/>
      <c r="N14" s="205"/>
      <c r="O14" s="205"/>
      <c r="P14" s="205"/>
      <c r="Q14" s="205"/>
      <c r="R14" s="205"/>
      <c r="S14" s="205"/>
      <c r="T14" s="205"/>
      <c r="W14" s="254"/>
      <c r="X14" s="249" t="s">
        <v>33</v>
      </c>
      <c r="Y14" s="261">
        <v>2.9557743514082002</v>
      </c>
      <c r="Z14" s="262">
        <v>0</v>
      </c>
      <c r="AA14" s="257"/>
    </row>
    <row r="15" spans="2:27">
      <c r="B15" s="25" t="s">
        <v>597</v>
      </c>
      <c r="C15" s="205"/>
      <c r="D15" s="205"/>
      <c r="E15" s="205"/>
      <c r="F15" s="205"/>
      <c r="G15" s="205"/>
      <c r="H15" s="205"/>
      <c r="I15" s="205"/>
      <c r="J15" s="205"/>
      <c r="K15" s="205"/>
      <c r="L15" s="205"/>
      <c r="M15" s="205"/>
      <c r="N15" s="205"/>
      <c r="O15" s="205"/>
      <c r="P15" s="205"/>
      <c r="Q15" s="205"/>
      <c r="R15" s="205"/>
      <c r="S15" s="298">
        <v>-4288037.92</v>
      </c>
      <c r="T15" s="215">
        <v>-358796.4</v>
      </c>
      <c r="U15" s="215"/>
      <c r="W15" s="254"/>
      <c r="X15" s="249" t="s">
        <v>27</v>
      </c>
      <c r="Y15" s="261">
        <f>NAV!E43</f>
        <v>25.6153870216</v>
      </c>
      <c r="Z15" s="262">
        <f>Z12*Y15/Y12</f>
        <v>6.2680418256706902</v>
      </c>
      <c r="AA15" s="257"/>
    </row>
    <row r="16" spans="2:27">
      <c r="B16" s="25" t="s">
        <v>598</v>
      </c>
      <c r="C16" s="205"/>
      <c r="D16" s="205"/>
      <c r="E16" s="205"/>
      <c r="F16" s="205"/>
      <c r="G16" s="205"/>
      <c r="H16" s="205"/>
      <c r="I16" s="205"/>
      <c r="J16" s="205"/>
      <c r="K16" s="205"/>
      <c r="L16" s="205"/>
      <c r="M16" s="205"/>
      <c r="N16" s="205"/>
      <c r="O16" s="205"/>
      <c r="P16" s="205"/>
      <c r="Q16" s="205"/>
      <c r="R16" s="205"/>
      <c r="S16" s="298">
        <v>-102599.82</v>
      </c>
      <c r="T16" s="215">
        <v>-10332.76</v>
      </c>
      <c r="U16" s="215"/>
      <c r="W16" s="254"/>
      <c r="X16" s="249" t="s">
        <v>167</v>
      </c>
      <c r="Y16" s="261">
        <f>Y15+Y14-Y12</f>
        <v>17.513126721478201</v>
      </c>
      <c r="Z16" s="262">
        <f>Z15+Z14-Z12</f>
        <v>3.5621594727295141</v>
      </c>
      <c r="AA16" s="257"/>
    </row>
    <row r="17" spans="2:27">
      <c r="B17" s="25" t="s">
        <v>599</v>
      </c>
      <c r="C17" s="215"/>
      <c r="D17" s="215"/>
      <c r="E17" s="215"/>
      <c r="F17" s="215"/>
      <c r="G17" s="215"/>
      <c r="H17" s="215"/>
      <c r="I17" s="215"/>
      <c r="J17" s="215"/>
      <c r="K17" s="215"/>
      <c r="L17" s="215"/>
      <c r="M17" s="215"/>
      <c r="N17" s="215"/>
      <c r="O17" s="215">
        <v>-56063.44</v>
      </c>
      <c r="P17" s="215">
        <v>-345590.90000000037</v>
      </c>
      <c r="Q17" s="215"/>
      <c r="R17" s="215"/>
      <c r="S17" s="298">
        <v>-781260.09</v>
      </c>
      <c r="T17" s="215">
        <v>-62495.83</v>
      </c>
      <c r="U17" s="215"/>
      <c r="W17" s="254"/>
      <c r="X17" s="249" t="s">
        <v>54</v>
      </c>
      <c r="Y17" s="263">
        <f>(Y14+Y15)/Y12</f>
        <v>2.5837467753869863</v>
      </c>
      <c r="Z17" s="263">
        <f>(Z14+Z15)/Z12</f>
        <v>2.3164502399217772</v>
      </c>
      <c r="AA17" s="257"/>
    </row>
    <row r="18" spans="2:27">
      <c r="B18" s="450" t="s">
        <v>91</v>
      </c>
      <c r="C18" s="503"/>
      <c r="D18" s="503"/>
      <c r="E18" s="503"/>
      <c r="F18" s="503"/>
      <c r="G18" s="503">
        <f>G9-G22</f>
        <v>189466.01999999955</v>
      </c>
      <c r="H18" s="503">
        <f>H12-H22</f>
        <v>-59584.379999998957</v>
      </c>
      <c r="I18" s="503">
        <v>267376.08000000007</v>
      </c>
      <c r="J18" s="503">
        <v>259280.73000000045</v>
      </c>
      <c r="K18" s="503">
        <v>2203896.6500000004</v>
      </c>
      <c r="L18" s="503">
        <v>200702.46</v>
      </c>
      <c r="M18" s="503"/>
      <c r="N18" s="503">
        <v>1578048.66</v>
      </c>
      <c r="O18" s="503">
        <v>1748930.22</v>
      </c>
      <c r="P18" s="503"/>
      <c r="Q18" s="503">
        <v>710707.19999999995</v>
      </c>
      <c r="R18" s="503">
        <v>2324628.16</v>
      </c>
      <c r="S18" s="503">
        <f>-51671.6+6200.89+1665803.07+186376.92+65365.1</f>
        <v>1872074.3800000001</v>
      </c>
      <c r="T18" s="503"/>
      <c r="U18" s="503"/>
      <c r="W18" s="66"/>
      <c r="X18" s="255"/>
      <c r="Y18" s="256"/>
      <c r="Z18" s="256"/>
      <c r="AA18" s="67"/>
    </row>
    <row r="19" spans="2:27">
      <c r="B19" s="25" t="s">
        <v>158</v>
      </c>
      <c r="C19" s="215"/>
      <c r="D19" s="215"/>
      <c r="E19" s="215"/>
      <c r="F19" s="215"/>
      <c r="G19" s="215">
        <f>-G20+G18</f>
        <v>12659067.039999999</v>
      </c>
      <c r="H19" s="215">
        <f>-H20+H18</f>
        <v>1.0404619388282299E-9</v>
      </c>
      <c r="I19" s="215">
        <v>59584.380000000063</v>
      </c>
      <c r="J19" s="215"/>
      <c r="K19" s="215"/>
      <c r="L19" s="215"/>
      <c r="M19" s="215"/>
      <c r="N19" s="215"/>
      <c r="O19" s="215"/>
      <c r="P19" s="215"/>
      <c r="Q19" s="215"/>
      <c r="R19" s="215"/>
      <c r="S19" s="215"/>
      <c r="T19" s="215"/>
      <c r="U19" s="215"/>
      <c r="W19" s="254"/>
      <c r="X19" s="255" t="s">
        <v>279</v>
      </c>
      <c r="Y19" s="256"/>
      <c r="Z19" s="256"/>
      <c r="AA19" s="257"/>
    </row>
    <row r="20" spans="2:27">
      <c r="B20" s="324" t="s">
        <v>483</v>
      </c>
      <c r="C20" s="325">
        <v>203097.23</v>
      </c>
      <c r="D20" s="325">
        <v>-444437.06</v>
      </c>
      <c r="E20" s="325">
        <v>233275.54</v>
      </c>
      <c r="F20" s="325"/>
      <c r="G20" s="325">
        <v>-12469601.02</v>
      </c>
      <c r="H20" s="325">
        <v>-59584.38</v>
      </c>
      <c r="I20" s="325">
        <f t="shared" ref="I20:K20" si="1">I18-I19</f>
        <v>207791.7</v>
      </c>
      <c r="J20" s="325">
        <f t="shared" si="1"/>
        <v>259280.73000000045</v>
      </c>
      <c r="K20" s="325">
        <f t="shared" si="1"/>
        <v>2203896.6500000004</v>
      </c>
      <c r="L20" s="325">
        <f>L18-L19</f>
        <v>200702.46</v>
      </c>
      <c r="M20" s="325"/>
      <c r="N20" s="325">
        <f>N18-N19</f>
        <v>1578048.66</v>
      </c>
      <c r="O20" s="325">
        <f>O18-O19</f>
        <v>1748930.22</v>
      </c>
      <c r="P20" s="325">
        <v>-2364391.08</v>
      </c>
      <c r="Q20" s="325"/>
      <c r="R20" s="325"/>
      <c r="S20" s="325">
        <v>-3299823.45</v>
      </c>
      <c r="T20" s="325">
        <f>SUM(T15:T17)</f>
        <v>-431624.99000000005</v>
      </c>
      <c r="U20" s="325"/>
      <c r="W20" s="254"/>
      <c r="X20" s="249" t="s">
        <v>282</v>
      </c>
      <c r="Y20" s="256"/>
      <c r="Z20" s="256"/>
      <c r="AA20" s="257"/>
    </row>
    <row r="21" spans="2:27">
      <c r="C21" s="215"/>
      <c r="D21" s="205"/>
      <c r="E21" s="205"/>
      <c r="F21" s="205"/>
      <c r="G21" s="205"/>
      <c r="H21" s="215"/>
      <c r="I21" s="215"/>
      <c r="J21" s="215"/>
      <c r="K21" s="215"/>
      <c r="L21" s="215"/>
      <c r="M21" s="215"/>
      <c r="N21" s="215"/>
      <c r="O21" s="215"/>
      <c r="P21" s="215"/>
      <c r="Q21" s="215"/>
      <c r="R21" s="215"/>
      <c r="S21" s="215"/>
      <c r="T21" s="215"/>
      <c r="U21" s="26"/>
      <c r="W21" s="254"/>
      <c r="X21" s="249" t="s">
        <v>283</v>
      </c>
      <c r="Y21" s="256"/>
      <c r="Z21" s="256"/>
      <c r="AA21" s="257"/>
    </row>
    <row r="22" spans="2:27" ht="15.75" thickBot="1">
      <c r="B22" s="25" t="s">
        <v>411</v>
      </c>
      <c r="C22" s="215">
        <v>0</v>
      </c>
      <c r="D22" s="215">
        <v>4163565.33</v>
      </c>
      <c r="E22" s="215">
        <v>3915508.57</v>
      </c>
      <c r="F22" s="215"/>
      <c r="G22" s="215">
        <v>15675627.210000001</v>
      </c>
      <c r="H22" s="215">
        <v>13667644.539999999</v>
      </c>
      <c r="I22" s="215">
        <v>13400268.460000001</v>
      </c>
      <c r="J22" s="215">
        <f>J9-J20</f>
        <v>13140987.73</v>
      </c>
      <c r="K22" s="215">
        <f>K9-K20</f>
        <v>10937091.08</v>
      </c>
      <c r="L22" s="215">
        <f>L9-L20</f>
        <v>10736388.619999999</v>
      </c>
      <c r="M22" s="215">
        <f>T22</f>
        <v>11105517.779999999</v>
      </c>
      <c r="N22" s="215">
        <f>N9-N20</f>
        <v>9527469.120000001</v>
      </c>
      <c r="O22" s="215">
        <f>O9+O17-O20</f>
        <v>7722475.4600000018</v>
      </c>
      <c r="P22" s="215">
        <f>P9+P17-P20</f>
        <v>9741275.6400000006</v>
      </c>
      <c r="Q22" s="215">
        <f>P22-Q18</f>
        <v>9030568.4400000013</v>
      </c>
      <c r="R22" s="215">
        <f>Q22-R18</f>
        <v>6705940.2800000012</v>
      </c>
      <c r="S22" s="215">
        <v>9224503.6400000006</v>
      </c>
      <c r="T22" s="215">
        <f>T9-T15-T16</f>
        <v>11105517.779999999</v>
      </c>
      <c r="U22" s="215"/>
      <c r="W22" s="264"/>
      <c r="X22" s="265"/>
      <c r="Y22" s="266"/>
      <c r="Z22" s="266"/>
      <c r="AA22" s="267"/>
    </row>
    <row r="23" spans="2:27">
      <c r="B23" s="25" t="s">
        <v>412</v>
      </c>
      <c r="C23" s="284">
        <v>0</v>
      </c>
      <c r="D23" s="284">
        <v>0.17710000000000001</v>
      </c>
      <c r="E23" s="284">
        <v>0.16650000000000001</v>
      </c>
      <c r="F23" s="284"/>
      <c r="G23" s="284">
        <v>0.67469999999999997</v>
      </c>
      <c r="H23" s="284">
        <v>0.58819999999999995</v>
      </c>
      <c r="I23" s="284">
        <v>0.57669999999999999</v>
      </c>
      <c r="J23" s="284">
        <v>0.56559999999999999</v>
      </c>
      <c r="K23" s="284">
        <v>0.47070000000000001</v>
      </c>
      <c r="L23" s="284">
        <v>0.46210000000000001</v>
      </c>
      <c r="M23" s="284">
        <v>0.47799999999999998</v>
      </c>
      <c r="N23" s="284">
        <v>0.41010000000000002</v>
      </c>
      <c r="O23" s="284">
        <v>0.33239999999999997</v>
      </c>
      <c r="P23" s="284">
        <v>0.41930000000000001</v>
      </c>
      <c r="Q23" s="284">
        <v>0.38869999999999999</v>
      </c>
      <c r="R23" s="284">
        <v>0.28860000000000002</v>
      </c>
      <c r="S23" s="284">
        <v>0.39700000000000002</v>
      </c>
      <c r="T23" s="284">
        <v>0.47799999999999998</v>
      </c>
      <c r="U23" s="284"/>
      <c r="Y23" s="25"/>
      <c r="Z23" s="25"/>
    </row>
    <row r="24" spans="2:27">
      <c r="B24" s="25" t="s">
        <v>569</v>
      </c>
      <c r="C24" s="26"/>
      <c r="D24" s="26" t="b">
        <f>ROUND(D22/D7,4)=D23</f>
        <v>1</v>
      </c>
      <c r="E24" s="26" t="b">
        <f>ROUND(E22/E7,4)=E23</f>
        <v>1</v>
      </c>
      <c r="F24" s="26"/>
      <c r="G24" s="26" t="b">
        <f t="shared" ref="G24:T24" si="2">ROUND(G22/G7,4)=G23</f>
        <v>1</v>
      </c>
      <c r="H24" s="26" t="b">
        <f t="shared" si="2"/>
        <v>1</v>
      </c>
      <c r="I24" s="26" t="b">
        <f t="shared" si="2"/>
        <v>1</v>
      </c>
      <c r="J24" s="26" t="b">
        <f t="shared" si="2"/>
        <v>1</v>
      </c>
      <c r="K24" s="26" t="b">
        <f t="shared" si="2"/>
        <v>1</v>
      </c>
      <c r="L24" s="26" t="b">
        <f t="shared" si="2"/>
        <v>1</v>
      </c>
      <c r="M24" s="26" t="b">
        <f t="shared" ref="M24:S24" si="3">ROUND(M22/M7,4)=M23</f>
        <v>1</v>
      </c>
      <c r="N24" s="26" t="b">
        <f t="shared" si="3"/>
        <v>1</v>
      </c>
      <c r="O24" s="26" t="b">
        <f t="shared" si="3"/>
        <v>1</v>
      </c>
      <c r="P24" s="26" t="b">
        <f t="shared" si="3"/>
        <v>1</v>
      </c>
      <c r="Q24" s="26" t="b">
        <f t="shared" si="3"/>
        <v>1</v>
      </c>
      <c r="R24" s="26" t="b">
        <f t="shared" si="3"/>
        <v>1</v>
      </c>
      <c r="S24" s="26" t="b">
        <f t="shared" si="3"/>
        <v>1</v>
      </c>
      <c r="T24" s="26" t="b">
        <f t="shared" si="2"/>
        <v>1</v>
      </c>
      <c r="U24" s="26"/>
      <c r="Y24" s="25"/>
      <c r="Z24" s="25"/>
    </row>
    <row r="25" spans="2:27">
      <c r="B25" s="25" t="s">
        <v>482</v>
      </c>
      <c r="C25" s="26"/>
      <c r="G25" s="26">
        <v>1.0871999999999999</v>
      </c>
      <c r="H25" s="26">
        <v>1.0772999999999999</v>
      </c>
      <c r="I25" s="26">
        <v>1.08439</v>
      </c>
      <c r="J25" s="26">
        <v>1.1004</v>
      </c>
      <c r="K25" s="26">
        <v>1.0950599999999999</v>
      </c>
      <c r="L25" s="26">
        <v>1.0786899999999999</v>
      </c>
      <c r="M25" s="26">
        <v>1.0786899999999999</v>
      </c>
      <c r="N25" s="26">
        <v>1.0786899999999999</v>
      </c>
      <c r="O25" s="26">
        <v>1.0720499999999999</v>
      </c>
      <c r="P25" s="26"/>
      <c r="Q25" s="26"/>
      <c r="R25" s="26"/>
      <c r="S25" s="26"/>
      <c r="T25" s="26">
        <v>1.0743</v>
      </c>
      <c r="U25" s="26"/>
    </row>
    <row r="26" spans="2:27">
      <c r="B26" s="28"/>
      <c r="C26" s="26"/>
      <c r="G26" s="215">
        <f t="shared" ref="G26:T26" si="4">-G25*G20/1000000</f>
        <v>13.556950228943998</v>
      </c>
      <c r="H26" s="215">
        <f t="shared" si="4"/>
        <v>6.419025257399999E-2</v>
      </c>
      <c r="I26" s="215">
        <f t="shared" si="4"/>
        <v>-0.22532724156300002</v>
      </c>
      <c r="J26" s="215">
        <f t="shared" si="4"/>
        <v>-0.28531251529200047</v>
      </c>
      <c r="K26" s="215">
        <f t="shared" si="4"/>
        <v>-2.4133990655490001</v>
      </c>
      <c r="L26" s="215">
        <f t="shared" si="4"/>
        <v>-0.21649573657739998</v>
      </c>
      <c r="M26" s="215">
        <f t="shared" ref="M26:N26" si="5">-M25*M20/1000000</f>
        <v>0</v>
      </c>
      <c r="N26" s="215">
        <f t="shared" si="5"/>
        <v>-1.7022253090553998</v>
      </c>
      <c r="O26" s="215">
        <f t="shared" ref="O26" si="6">-O25*O20/1000000</f>
        <v>-1.8749406423509998</v>
      </c>
      <c r="P26" s="215"/>
      <c r="Q26" s="215"/>
      <c r="R26" s="215"/>
      <c r="S26" s="215"/>
      <c r="T26" s="215">
        <f t="shared" si="4"/>
        <v>0.46369472675700008</v>
      </c>
      <c r="U26" s="215"/>
    </row>
    <row r="27" spans="2:27">
      <c r="P27" s="205"/>
    </row>
    <row r="28" spans="2:27">
      <c r="B28" s="25" t="s">
        <v>257</v>
      </c>
      <c r="N28" s="205"/>
      <c r="O28" s="502"/>
      <c r="P28" s="502"/>
      <c r="S28" s="25" t="b">
        <f>SUM(S15:S18)=S20</f>
        <v>1</v>
      </c>
      <c r="X28" s="205"/>
    </row>
    <row r="29" spans="2:27">
      <c r="S29" s="205" t="b">
        <f>S22-S9+S18=-S15-S16</f>
        <v>1</v>
      </c>
      <c r="X29" s="280"/>
    </row>
    <row r="30" spans="2:27" ht="15.75" thickBot="1">
      <c r="B30" s="25" t="s">
        <v>479</v>
      </c>
      <c r="X30" s="205"/>
    </row>
    <row r="31" spans="2:27">
      <c r="B31" s="210" t="s">
        <v>23</v>
      </c>
      <c r="C31" s="217"/>
      <c r="D31" s="211"/>
      <c r="E31" s="211"/>
      <c r="F31" s="211"/>
      <c r="G31" s="211"/>
      <c r="H31" s="211"/>
      <c r="I31" s="211"/>
      <c r="J31" s="211"/>
      <c r="K31" s="211"/>
      <c r="L31" s="211"/>
      <c r="M31" s="211"/>
      <c r="N31" s="211"/>
      <c r="O31" s="211"/>
      <c r="P31" s="211"/>
      <c r="Q31" s="211"/>
      <c r="R31" s="211"/>
      <c r="S31" s="211"/>
      <c r="T31" s="216"/>
      <c r="U31" s="432"/>
    </row>
    <row r="32" spans="2:27">
      <c r="B32" s="66"/>
      <c r="C32" s="26"/>
      <c r="D32" s="26"/>
      <c r="E32" s="26"/>
      <c r="F32" s="26"/>
      <c r="G32" s="26"/>
      <c r="H32" s="26"/>
      <c r="I32" s="26"/>
      <c r="J32" s="26"/>
      <c r="K32" s="26"/>
      <c r="L32" s="26"/>
      <c r="M32" s="26"/>
      <c r="N32" s="26"/>
      <c r="O32" s="26"/>
      <c r="P32" s="26"/>
      <c r="Q32" s="26"/>
      <c r="R32" s="26"/>
      <c r="S32" s="26"/>
      <c r="T32" s="67"/>
    </row>
    <row r="33" spans="2:27">
      <c r="B33" s="499" t="s">
        <v>130</v>
      </c>
      <c r="C33" s="268" t="s">
        <v>264</v>
      </c>
      <c r="D33" s="268" t="s">
        <v>265</v>
      </c>
      <c r="E33" s="268" t="s">
        <v>341</v>
      </c>
      <c r="F33" s="268" t="s">
        <v>375</v>
      </c>
      <c r="G33" s="268" t="s">
        <v>384</v>
      </c>
      <c r="H33" s="268" t="s">
        <v>574</v>
      </c>
      <c r="I33" s="268" t="s">
        <v>611</v>
      </c>
      <c r="J33" s="268" t="s">
        <v>665</v>
      </c>
      <c r="K33" s="268" t="s">
        <v>719</v>
      </c>
      <c r="L33" s="268" t="s">
        <v>741</v>
      </c>
      <c r="M33" s="268" t="s">
        <v>806</v>
      </c>
      <c r="N33" s="268"/>
      <c r="O33" s="268"/>
      <c r="P33" s="268"/>
      <c r="Q33" s="268"/>
      <c r="R33" s="268"/>
      <c r="S33" s="268"/>
      <c r="T33" s="272"/>
      <c r="U33" s="433"/>
    </row>
    <row r="34" spans="2:27">
      <c r="B34" s="66" t="s">
        <v>266</v>
      </c>
      <c r="C34" s="297">
        <v>23234462</v>
      </c>
      <c r="D34" s="297">
        <v>23234462</v>
      </c>
      <c r="E34" s="297">
        <v>23234462</v>
      </c>
      <c r="F34" s="297">
        <v>23234462</v>
      </c>
      <c r="G34" s="297">
        <v>23234462</v>
      </c>
      <c r="H34" s="297">
        <f t="shared" ref="H34:M34" si="7">G34</f>
        <v>23234462</v>
      </c>
      <c r="I34" s="297">
        <f t="shared" si="7"/>
        <v>23234462</v>
      </c>
      <c r="J34" s="297">
        <f t="shared" si="7"/>
        <v>23234462</v>
      </c>
      <c r="K34" s="297">
        <f t="shared" si="7"/>
        <v>23234462</v>
      </c>
      <c r="L34" s="297">
        <f t="shared" si="7"/>
        <v>23234462</v>
      </c>
      <c r="M34" s="297">
        <f t="shared" si="7"/>
        <v>23234462</v>
      </c>
      <c r="N34" s="297"/>
      <c r="O34" s="297"/>
      <c r="P34" s="297"/>
      <c r="Q34" s="297"/>
      <c r="R34" s="297"/>
      <c r="S34" s="297"/>
      <c r="T34" s="272" t="s">
        <v>275</v>
      </c>
      <c r="U34" s="433"/>
      <c r="Y34" s="25"/>
      <c r="Z34" s="25"/>
      <c r="AA34" s="26"/>
    </row>
    <row r="35" spans="2:27">
      <c r="B35" s="66" t="s">
        <v>267</v>
      </c>
      <c r="C35" s="297">
        <v>19178323</v>
      </c>
      <c r="D35" s="297">
        <v>9436936</v>
      </c>
      <c r="E35" s="297">
        <v>9626402</v>
      </c>
      <c r="F35" s="297">
        <v>9595097</v>
      </c>
      <c r="G35" s="297">
        <v>9834193</v>
      </c>
      <c r="H35" s="297">
        <v>12498073</v>
      </c>
      <c r="I35" s="297">
        <v>12128944</v>
      </c>
      <c r="J35" s="297">
        <v>13706993</v>
      </c>
      <c r="K35" s="297">
        <f>J35+O18</f>
        <v>15455923.220000001</v>
      </c>
      <c r="L35" s="297">
        <v>14203893.559999999</v>
      </c>
      <c r="M35" s="297">
        <v>16528522</v>
      </c>
      <c r="N35" s="297"/>
      <c r="O35" s="297"/>
      <c r="P35" s="297"/>
      <c r="Q35" s="297"/>
      <c r="R35" s="297"/>
      <c r="S35" s="297"/>
      <c r="T35" s="272"/>
      <c r="U35" s="433"/>
    </row>
    <row r="36" spans="2:27">
      <c r="B36" s="66" t="s">
        <v>268</v>
      </c>
      <c r="C36" s="298">
        <f t="shared" ref="C36:H36" si="8">C34-C35</f>
        <v>4056139</v>
      </c>
      <c r="D36" s="298">
        <f t="shared" si="8"/>
        <v>13797526</v>
      </c>
      <c r="E36" s="298">
        <f t="shared" si="8"/>
        <v>13608060</v>
      </c>
      <c r="F36" s="298">
        <f t="shared" si="8"/>
        <v>13639365</v>
      </c>
      <c r="G36" s="298">
        <f t="shared" si="8"/>
        <v>13400269</v>
      </c>
      <c r="H36" s="298">
        <f t="shared" si="8"/>
        <v>10736389</v>
      </c>
      <c r="I36" s="298">
        <f t="shared" ref="I36:L36" si="9">I34-I35</f>
        <v>11105518</v>
      </c>
      <c r="J36" s="298">
        <f t="shared" si="9"/>
        <v>9527469</v>
      </c>
      <c r="K36" s="298">
        <f>O22</f>
        <v>7722475.4600000018</v>
      </c>
      <c r="L36" s="298">
        <f t="shared" si="9"/>
        <v>9030568.4400000013</v>
      </c>
      <c r="M36" s="298">
        <f>M34-M35</f>
        <v>6705940</v>
      </c>
      <c r="N36" s="298"/>
      <c r="O36" s="298"/>
      <c r="P36" s="298"/>
      <c r="Q36" s="298"/>
      <c r="R36" s="298"/>
      <c r="S36" s="298"/>
      <c r="T36" s="272"/>
      <c r="U36" s="433"/>
    </row>
    <row r="37" spans="2:27">
      <c r="B37" s="66" t="s">
        <v>269</v>
      </c>
      <c r="C37" s="298">
        <v>13103567</v>
      </c>
      <c r="D37" s="298">
        <v>3803379</v>
      </c>
      <c r="E37" s="298"/>
      <c r="F37" s="298"/>
      <c r="G37" s="298">
        <f t="shared" ref="G37:M37" si="10">G38-G35</f>
        <v>2548651</v>
      </c>
      <c r="H37" s="298">
        <f t="shared" si="10"/>
        <v>5930326</v>
      </c>
      <c r="I37" s="298">
        <f t="shared" si="10"/>
        <v>5735230</v>
      </c>
      <c r="J37" s="298">
        <f t="shared" si="10"/>
        <v>5712270</v>
      </c>
      <c r="K37" s="298">
        <f t="shared" si="10"/>
        <v>5712269.9999999981</v>
      </c>
      <c r="L37" s="298">
        <f t="shared" si="10"/>
        <v>5012213.4400000013</v>
      </c>
      <c r="M37" s="298">
        <f t="shared" si="10"/>
        <v>5394952</v>
      </c>
      <c r="N37" s="298"/>
      <c r="O37" s="298"/>
      <c r="P37" s="298"/>
      <c r="Q37" s="298"/>
      <c r="R37" s="298"/>
      <c r="S37" s="298"/>
      <c r="T37" s="272"/>
      <c r="U37" s="433"/>
    </row>
    <row r="38" spans="2:27">
      <c r="B38" s="274" t="s">
        <v>666</v>
      </c>
      <c r="C38" s="299">
        <v>32325017</v>
      </c>
      <c r="D38" s="299">
        <v>12031777</v>
      </c>
      <c r="E38" s="299">
        <v>12148021</v>
      </c>
      <c r="F38" s="299">
        <v>12218930</v>
      </c>
      <c r="G38" s="299">
        <v>12382844</v>
      </c>
      <c r="H38" s="299">
        <v>18428399</v>
      </c>
      <c r="I38" s="299">
        <v>17864174</v>
      </c>
      <c r="J38" s="300">
        <v>19419263</v>
      </c>
      <c r="K38" s="299">
        <f>J38+O18</f>
        <v>21168193.219999999</v>
      </c>
      <c r="L38" s="299">
        <f>19216107</f>
        <v>19216107</v>
      </c>
      <c r="M38" s="299">
        <v>21923474</v>
      </c>
      <c r="N38" s="299"/>
      <c r="O38" s="298"/>
      <c r="P38" s="298"/>
      <c r="Q38" s="298"/>
      <c r="R38" s="298"/>
      <c r="S38" s="298"/>
      <c r="T38" s="272" t="s">
        <v>275</v>
      </c>
      <c r="U38" s="433"/>
    </row>
    <row r="39" spans="2:27">
      <c r="B39" s="66" t="s">
        <v>270</v>
      </c>
      <c r="C39" s="26"/>
      <c r="D39" s="298">
        <f>C35-D35</f>
        <v>9741387</v>
      </c>
      <c r="E39" s="298"/>
      <c r="F39" s="298"/>
      <c r="G39" s="298"/>
      <c r="H39" s="298"/>
      <c r="I39" s="298"/>
      <c r="J39" s="298"/>
      <c r="K39" s="298"/>
      <c r="L39" s="298"/>
      <c r="M39" s="298"/>
      <c r="N39" s="298"/>
      <c r="O39" s="298"/>
      <c r="P39" s="298"/>
      <c r="Q39" s="298"/>
      <c r="R39" s="298"/>
      <c r="S39" s="298"/>
      <c r="T39" s="272" t="s">
        <v>273</v>
      </c>
      <c r="U39" s="433"/>
    </row>
    <row r="40" spans="2:27">
      <c r="B40" s="66" t="s">
        <v>271</v>
      </c>
      <c r="C40" s="26"/>
      <c r="D40" s="298">
        <f>D42-D39</f>
        <v>2728214.0199999996</v>
      </c>
      <c r="E40" s="298"/>
      <c r="F40" s="298"/>
      <c r="G40" s="298"/>
      <c r="H40" s="298"/>
      <c r="I40" s="298"/>
      <c r="J40" s="298"/>
      <c r="K40" s="298"/>
      <c r="L40" s="298"/>
      <c r="M40" s="298"/>
      <c r="N40" s="298"/>
      <c r="O40" s="298"/>
      <c r="P40" s="298"/>
      <c r="Q40" s="298"/>
      <c r="R40" s="298"/>
      <c r="S40" s="298"/>
      <c r="T40" s="272" t="s">
        <v>273</v>
      </c>
      <c r="U40" s="433"/>
    </row>
    <row r="41" spans="2:27">
      <c r="B41" s="66"/>
      <c r="C41" s="26"/>
      <c r="D41" s="298"/>
      <c r="E41" s="298"/>
      <c r="F41" s="298"/>
      <c r="G41" s="298"/>
      <c r="H41" s="298"/>
      <c r="I41" s="298"/>
      <c r="J41" s="298"/>
      <c r="K41" s="298"/>
      <c r="L41" s="298"/>
      <c r="M41" s="298"/>
      <c r="N41" s="298"/>
      <c r="O41" s="298"/>
      <c r="P41" s="298"/>
      <c r="Q41" s="298"/>
      <c r="R41" s="298"/>
      <c r="S41" s="298"/>
      <c r="T41" s="272"/>
      <c r="U41" s="433"/>
    </row>
    <row r="42" spans="2:27">
      <c r="B42" s="275" t="s">
        <v>272</v>
      </c>
      <c r="C42" s="299"/>
      <c r="D42" s="300">
        <v>12469601.02</v>
      </c>
      <c r="E42" s="300"/>
      <c r="F42" s="300"/>
      <c r="G42" s="300"/>
      <c r="H42" s="300"/>
      <c r="I42" s="300"/>
      <c r="J42" s="300"/>
      <c r="K42" s="300"/>
      <c r="L42" s="300"/>
      <c r="M42" s="297"/>
      <c r="N42" s="297"/>
      <c r="O42" s="297"/>
      <c r="P42" s="297"/>
      <c r="Q42" s="297"/>
      <c r="R42" s="297"/>
      <c r="S42" s="297"/>
      <c r="T42" s="272" t="s">
        <v>274</v>
      </c>
      <c r="U42" s="433"/>
    </row>
    <row r="43" spans="2:27">
      <c r="B43" s="274" t="s">
        <v>49</v>
      </c>
      <c r="C43" s="299"/>
      <c r="D43" s="299">
        <f>15675627.21</f>
        <v>15675627.210000001</v>
      </c>
      <c r="E43" s="299"/>
      <c r="F43" s="299"/>
      <c r="G43" s="299">
        <f>I22</f>
        <v>13400268.460000001</v>
      </c>
      <c r="H43" s="299"/>
      <c r="I43" s="299"/>
      <c r="J43" s="299"/>
      <c r="K43" s="299"/>
      <c r="L43" s="299"/>
      <c r="M43" s="298"/>
      <c r="N43" s="298"/>
      <c r="O43" s="298"/>
      <c r="P43" s="298"/>
      <c r="Q43" s="298"/>
      <c r="R43" s="298"/>
      <c r="S43" s="298"/>
      <c r="T43" s="272" t="s">
        <v>275</v>
      </c>
      <c r="U43" s="433"/>
    </row>
    <row r="44" spans="2:27">
      <c r="B44" s="66"/>
      <c r="C44" s="26"/>
      <c r="D44" s="26"/>
      <c r="E44" s="26"/>
      <c r="F44" s="26"/>
      <c r="G44" s="26"/>
      <c r="H44" s="26"/>
      <c r="I44" s="26"/>
      <c r="J44" s="26"/>
      <c r="K44" s="26"/>
      <c r="L44" s="26"/>
      <c r="M44" s="26"/>
      <c r="N44" s="26"/>
      <c r="O44" s="26"/>
      <c r="P44" s="26"/>
      <c r="Q44" s="26"/>
      <c r="R44" s="26"/>
      <c r="S44" s="26"/>
      <c r="T44" s="273"/>
      <c r="U44" s="434"/>
    </row>
    <row r="45" spans="2:27" ht="15.75" thickBot="1">
      <c r="B45" s="71"/>
      <c r="C45" s="269"/>
      <c r="D45" s="270"/>
      <c r="E45" s="270"/>
      <c r="F45" s="270"/>
      <c r="G45" s="270"/>
      <c r="H45" s="270"/>
      <c r="I45" s="270"/>
      <c r="J45" s="270"/>
      <c r="K45" s="270"/>
      <c r="L45" s="270"/>
      <c r="M45" s="270"/>
      <c r="N45" s="270"/>
      <c r="O45" s="270"/>
      <c r="P45" s="270"/>
      <c r="Q45" s="270"/>
      <c r="R45" s="270"/>
      <c r="S45" s="270"/>
      <c r="T45" s="75"/>
    </row>
    <row r="48" spans="2:27">
      <c r="J48" s="104"/>
    </row>
    <row r="49" spans="1:27">
      <c r="J49" s="104"/>
    </row>
    <row r="50" spans="1:27">
      <c r="A50" s="26"/>
      <c r="Y50" s="25"/>
      <c r="Z50" s="25"/>
      <c r="AA50" s="26"/>
    </row>
    <row r="51" spans="1:27">
      <c r="B51" s="26"/>
      <c r="C51" s="26"/>
      <c r="D51" s="26"/>
      <c r="E51" s="26"/>
      <c r="Y51" s="25"/>
      <c r="Z51" s="25"/>
      <c r="AA51" s="26"/>
    </row>
    <row r="52" spans="1:27">
      <c r="B52" s="26"/>
      <c r="C52" s="26"/>
      <c r="D52" s="26"/>
      <c r="E52" s="26"/>
      <c r="Y52" s="25"/>
      <c r="Z52" s="25"/>
      <c r="AA52" s="26"/>
    </row>
    <row r="53" spans="1:27">
      <c r="B53" s="26"/>
      <c r="C53" s="26"/>
      <c r="D53" s="26"/>
      <c r="E53" s="26"/>
      <c r="Y53" s="25"/>
      <c r="Z53" s="25"/>
      <c r="AA53" s="26"/>
    </row>
  </sheetData>
  <phoneticPr fontId="79" type="noConversion"/>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74F0-7EB3-4FF2-BD13-3B4D1C00D76C}">
  <sheetPr>
    <tabColor rgb="FF00B0F0"/>
  </sheetPr>
  <dimension ref="B3:U59"/>
  <sheetViews>
    <sheetView zoomScale="70" zoomScaleNormal="70" workbookViewId="0">
      <selection activeCell="H31" sqref="H31"/>
    </sheetView>
  </sheetViews>
  <sheetFormatPr defaultColWidth="9.140625" defaultRowHeight="15"/>
  <cols>
    <col min="1" max="1" width="9.140625" style="517"/>
    <col min="2" max="2" width="56.140625" style="518" customWidth="1"/>
    <col min="3" max="5" width="14.5703125" style="518" customWidth="1"/>
    <col min="6" max="7" width="18.7109375" style="518" customWidth="1"/>
    <col min="8" max="12" width="14.42578125" style="517" customWidth="1"/>
    <col min="13" max="13" width="9.140625" style="517"/>
    <col min="14" max="14" width="28.85546875" bestFit="1" customWidth="1"/>
    <col min="15" max="15" width="26.85546875" bestFit="1" customWidth="1"/>
    <col min="16" max="16" width="40.7109375" bestFit="1" customWidth="1"/>
    <col min="17" max="17" width="18.140625" bestFit="1" customWidth="1"/>
    <col min="18" max="18" width="19.140625" customWidth="1"/>
    <col min="19" max="19" width="32.28515625" bestFit="1" customWidth="1"/>
    <col min="20" max="20" width="24.5703125" bestFit="1" customWidth="1"/>
    <col min="21" max="21" width="37.85546875" bestFit="1" customWidth="1"/>
    <col min="22" max="16384" width="9.140625" style="517"/>
  </cols>
  <sheetData>
    <row r="3" spans="2:21" ht="15.75">
      <c r="B3" s="614"/>
      <c r="C3" s="614"/>
      <c r="D3" s="614"/>
      <c r="E3" s="614"/>
      <c r="F3" s="614"/>
      <c r="G3" s="614"/>
      <c r="H3" s="615"/>
      <c r="I3" s="615"/>
      <c r="J3" s="615"/>
      <c r="K3" s="615"/>
      <c r="N3" s="557"/>
      <c r="O3" s="558" t="s">
        <v>747</v>
      </c>
      <c r="P3" s="558" t="s">
        <v>744</v>
      </c>
      <c r="Q3" s="558" t="s">
        <v>748</v>
      </c>
      <c r="R3" s="558" t="s">
        <v>749</v>
      </c>
      <c r="S3" s="558" t="s">
        <v>745</v>
      </c>
      <c r="T3" s="558" t="s">
        <v>746</v>
      </c>
      <c r="U3" s="558"/>
    </row>
    <row r="4" spans="2:21" ht="30" customHeight="1">
      <c r="B4" s="610" t="s">
        <v>850</v>
      </c>
      <c r="C4" s="609"/>
      <c r="D4" s="610"/>
      <c r="E4" s="609"/>
      <c r="F4" s="609"/>
      <c r="G4" s="609"/>
      <c r="H4" s="611"/>
      <c r="I4" s="611"/>
      <c r="J4" s="611"/>
      <c r="K4" s="611"/>
      <c r="L4" s="622"/>
      <c r="N4" s="559" t="s">
        <v>51</v>
      </c>
      <c r="O4" s="560"/>
      <c r="P4" s="560"/>
      <c r="Q4" s="561"/>
      <c r="R4" s="562"/>
      <c r="S4" s="560"/>
      <c r="T4" s="563"/>
      <c r="U4" s="560"/>
    </row>
    <row r="5" spans="2:21" ht="30.75" thickBot="1">
      <c r="B5" s="549"/>
      <c r="C5" s="549"/>
      <c r="D5" s="549" t="s">
        <v>32</v>
      </c>
      <c r="E5" s="549" t="s">
        <v>2</v>
      </c>
      <c r="F5" s="549" t="s">
        <v>49</v>
      </c>
      <c r="G5" s="549" t="s">
        <v>33</v>
      </c>
      <c r="H5" s="549" t="s">
        <v>27</v>
      </c>
      <c r="I5" s="549" t="s">
        <v>167</v>
      </c>
      <c r="J5" s="549" t="s">
        <v>346</v>
      </c>
      <c r="K5" s="550" t="s">
        <v>34</v>
      </c>
      <c r="L5" s="623"/>
      <c r="N5" s="564" t="s">
        <v>751</v>
      </c>
      <c r="O5" s="560" t="s">
        <v>750</v>
      </c>
      <c r="P5" s="560"/>
      <c r="Q5" s="560">
        <v>45547</v>
      </c>
      <c r="R5" s="565">
        <v>25000000</v>
      </c>
      <c r="S5" s="566" t="s">
        <v>751</v>
      </c>
      <c r="T5" s="567">
        <v>25000000</v>
      </c>
      <c r="U5" s="568"/>
    </row>
    <row r="6" spans="2:21" ht="16.5" thickTop="1">
      <c r="B6" s="4" t="s">
        <v>694</v>
      </c>
      <c r="C6" s="612">
        <v>3.125E-2</v>
      </c>
      <c r="D6" s="17">
        <v>1200</v>
      </c>
      <c r="E6" s="17">
        <v>196.45595599999999</v>
      </c>
      <c r="F6" s="17">
        <v>1003.544044</v>
      </c>
      <c r="G6" s="17">
        <v>0</v>
      </c>
      <c r="H6" s="17">
        <v>383.34911699999998</v>
      </c>
      <c r="I6" s="17">
        <f>H6-E6</f>
        <v>186.89316099999999</v>
      </c>
      <c r="J6" s="17"/>
      <c r="K6" s="10">
        <f>(H6+G6)/E6</f>
        <v>1.9513234661106431</v>
      </c>
      <c r="L6" s="15"/>
      <c r="N6" s="559"/>
      <c r="O6" s="560"/>
      <c r="P6" s="560"/>
      <c r="Q6" s="561"/>
      <c r="R6" s="597"/>
      <c r="S6" s="560" t="s">
        <v>55</v>
      </c>
      <c r="T6" s="569">
        <v>25000000</v>
      </c>
      <c r="U6" s="570">
        <v>0</v>
      </c>
    </row>
    <row r="7" spans="2:21" ht="15.75">
      <c r="B7" s="4" t="s">
        <v>840</v>
      </c>
      <c r="E7" s="17">
        <v>18.647417000000001</v>
      </c>
      <c r="G7" s="17">
        <v>0</v>
      </c>
      <c r="H7" s="17">
        <v>44.017113999999999</v>
      </c>
      <c r="I7" s="17">
        <f>H7-E7</f>
        <v>25.369696999999999</v>
      </c>
      <c r="K7" s="10">
        <f>(H7+G7)/E7</f>
        <v>2.3604938957497437</v>
      </c>
      <c r="L7" s="15"/>
      <c r="N7" s="559" t="s">
        <v>753</v>
      </c>
      <c r="O7" s="560" t="s">
        <v>815</v>
      </c>
      <c r="P7" s="560" t="s">
        <v>752</v>
      </c>
      <c r="Q7" s="561">
        <v>45645</v>
      </c>
      <c r="R7" s="598">
        <v>1200000000</v>
      </c>
      <c r="S7" s="560" t="s">
        <v>753</v>
      </c>
      <c r="T7" s="571">
        <v>20202020</v>
      </c>
      <c r="U7" s="570"/>
    </row>
    <row r="8" spans="2:21" ht="15.75">
      <c r="B8" s="4" t="s">
        <v>775</v>
      </c>
      <c r="C8" s="551"/>
      <c r="D8" s="17">
        <v>775</v>
      </c>
      <c r="E8" s="17">
        <v>312.49955899999998</v>
      </c>
      <c r="F8" s="17">
        <v>462.50044100000002</v>
      </c>
      <c r="G8" s="17">
        <v>0</v>
      </c>
      <c r="H8" s="17">
        <v>396.06360100000001</v>
      </c>
      <c r="I8" s="17">
        <v>59.161648000000014</v>
      </c>
      <c r="J8" s="17">
        <v>0</v>
      </c>
      <c r="K8" s="10">
        <f>(H8+G8)/E8</f>
        <v>1.267405311762376</v>
      </c>
      <c r="L8" s="15"/>
      <c r="N8" s="559" t="s">
        <v>754</v>
      </c>
      <c r="O8" s="560" t="s">
        <v>815</v>
      </c>
      <c r="P8" s="560" t="s">
        <v>752</v>
      </c>
      <c r="Q8" s="561">
        <v>45645</v>
      </c>
      <c r="R8" s="598"/>
      <c r="S8" s="560" t="s">
        <v>754</v>
      </c>
      <c r="T8" s="571">
        <v>20202020</v>
      </c>
      <c r="U8" s="570"/>
    </row>
    <row r="9" spans="2:21" ht="15.75">
      <c r="B9" s="4" t="s">
        <v>691</v>
      </c>
      <c r="C9" s="551"/>
      <c r="D9" s="17">
        <v>25</v>
      </c>
      <c r="E9" s="17">
        <v>25</v>
      </c>
      <c r="F9" s="17">
        <v>0</v>
      </c>
      <c r="G9" s="17">
        <v>0</v>
      </c>
      <c r="H9" s="17">
        <v>25</v>
      </c>
      <c r="I9" s="17">
        <v>0</v>
      </c>
      <c r="J9" s="17">
        <v>0</v>
      </c>
      <c r="K9" s="10">
        <f>(H9+G9)/E9</f>
        <v>1</v>
      </c>
      <c r="L9" s="15"/>
      <c r="N9" s="559" t="s">
        <v>755</v>
      </c>
      <c r="O9" s="560" t="s">
        <v>815</v>
      </c>
      <c r="P9" s="560" t="s">
        <v>752</v>
      </c>
      <c r="Q9" s="561">
        <v>45645</v>
      </c>
      <c r="R9" s="598"/>
      <c r="S9" s="560" t="s">
        <v>755</v>
      </c>
      <c r="T9" s="571">
        <v>42880735</v>
      </c>
      <c r="U9" s="570"/>
    </row>
    <row r="10" spans="2:21" ht="15.75">
      <c r="N10" s="559" t="s">
        <v>733</v>
      </c>
      <c r="O10" s="560" t="s">
        <v>815</v>
      </c>
      <c r="P10" s="560" t="s">
        <v>752</v>
      </c>
      <c r="Q10" s="561">
        <v>45645</v>
      </c>
      <c r="R10" s="598"/>
      <c r="S10" s="560" t="s">
        <v>733</v>
      </c>
      <c r="T10" s="571">
        <v>32323230</v>
      </c>
      <c r="U10" s="570"/>
    </row>
    <row r="11" spans="2:21" ht="15.75">
      <c r="N11" s="559" t="s">
        <v>816</v>
      </c>
      <c r="O11" s="560" t="s">
        <v>815</v>
      </c>
      <c r="P11" s="560" t="s">
        <v>752</v>
      </c>
      <c r="Q11" s="561">
        <v>45645</v>
      </c>
      <c r="R11" s="598"/>
      <c r="S11" s="560" t="s">
        <v>756</v>
      </c>
      <c r="T11" s="571">
        <v>458978</v>
      </c>
      <c r="U11" s="570"/>
    </row>
    <row r="12" spans="2:21" ht="15.75">
      <c r="B12" s="613" t="s">
        <v>851</v>
      </c>
      <c r="C12" s="609"/>
      <c r="D12" s="610"/>
      <c r="E12" s="609"/>
      <c r="F12" s="609"/>
      <c r="G12" s="609"/>
      <c r="H12" s="611"/>
      <c r="I12" s="611"/>
      <c r="J12" s="611"/>
      <c r="K12" s="611"/>
      <c r="L12" s="622"/>
      <c r="N12" s="559" t="s">
        <v>816</v>
      </c>
      <c r="O12" s="560" t="s">
        <v>815</v>
      </c>
      <c r="P12" s="560" t="s">
        <v>752</v>
      </c>
      <c r="Q12" s="561">
        <v>45645</v>
      </c>
      <c r="R12" s="598"/>
      <c r="S12" s="560" t="s">
        <v>757</v>
      </c>
      <c r="T12" s="572">
        <v>30303</v>
      </c>
      <c r="U12" s="570"/>
    </row>
    <row r="13" spans="2:21" ht="30">
      <c r="B13" s="549"/>
      <c r="C13" s="549"/>
      <c r="D13" s="549" t="s">
        <v>32</v>
      </c>
      <c r="E13" s="549" t="s">
        <v>2</v>
      </c>
      <c r="F13" s="549" t="s">
        <v>49</v>
      </c>
      <c r="G13" s="549" t="s">
        <v>33</v>
      </c>
      <c r="H13" s="549" t="s">
        <v>27</v>
      </c>
      <c r="I13" s="549" t="s">
        <v>167</v>
      </c>
      <c r="J13" s="549" t="s">
        <v>346</v>
      </c>
      <c r="K13" s="550" t="s">
        <v>34</v>
      </c>
      <c r="L13" s="623"/>
      <c r="N13" s="559" t="s">
        <v>753</v>
      </c>
      <c r="O13" s="560" t="s">
        <v>815</v>
      </c>
      <c r="P13" s="560" t="s">
        <v>758</v>
      </c>
      <c r="Q13" s="561">
        <v>45712</v>
      </c>
      <c r="R13" s="598"/>
      <c r="S13" s="560" t="s">
        <v>753</v>
      </c>
      <c r="T13" s="569">
        <v>2020202</v>
      </c>
      <c r="U13" s="570"/>
    </row>
    <row r="14" spans="2:21" ht="15.75">
      <c r="B14" s="4" t="s">
        <v>694</v>
      </c>
      <c r="C14" s="612">
        <v>3.125E-2</v>
      </c>
      <c r="D14" s="17">
        <v>1200</v>
      </c>
      <c r="E14" s="17">
        <f>C34</f>
        <v>210.228747</v>
      </c>
      <c r="F14" s="17">
        <f>D14-E14</f>
        <v>989.771253</v>
      </c>
      <c r="G14" s="17">
        <v>0</v>
      </c>
      <c r="H14" s="17">
        <f>C37</f>
        <v>326.20940140173275</v>
      </c>
      <c r="I14" s="17">
        <f t="shared" ref="I14:I16" si="0">H14-E14</f>
        <v>115.98065440173275</v>
      </c>
      <c r="J14" s="17">
        <v>0</v>
      </c>
      <c r="K14" s="10">
        <f>(G14+H14)/E14</f>
        <v>1.551687892625516</v>
      </c>
      <c r="L14" s="15"/>
      <c r="N14" s="559" t="s">
        <v>733</v>
      </c>
      <c r="O14" s="560" t="s">
        <v>815</v>
      </c>
      <c r="P14" s="560" t="s">
        <v>758</v>
      </c>
      <c r="Q14" s="561">
        <v>45712</v>
      </c>
      <c r="R14" s="598"/>
      <c r="S14" s="560" t="s">
        <v>733</v>
      </c>
      <c r="T14" s="571">
        <v>8080808</v>
      </c>
      <c r="U14" s="570"/>
    </row>
    <row r="15" spans="2:21" ht="15.75">
      <c r="B15" s="4" t="s">
        <v>775</v>
      </c>
      <c r="C15" s="612"/>
      <c r="D15" s="17">
        <v>775</v>
      </c>
      <c r="E15" s="17">
        <v>312.49955899999998</v>
      </c>
      <c r="F15" s="17">
        <f t="shared" ref="F15:F16" si="1">D15-E15</f>
        <v>462.50044100000002</v>
      </c>
      <c r="G15" s="17">
        <v>0</v>
      </c>
      <c r="H15" s="17">
        <v>371.66120699999999</v>
      </c>
      <c r="I15" s="17">
        <f t="shared" si="0"/>
        <v>59.161648000000014</v>
      </c>
      <c r="J15" s="17">
        <v>0</v>
      </c>
      <c r="K15" s="10">
        <v>1.1893175407649137</v>
      </c>
      <c r="L15" s="15"/>
      <c r="N15" s="559" t="s">
        <v>734</v>
      </c>
      <c r="O15" s="560" t="s">
        <v>815</v>
      </c>
      <c r="P15" s="560" t="s">
        <v>758</v>
      </c>
      <c r="Q15" s="561">
        <v>45712</v>
      </c>
      <c r="R15" s="598"/>
      <c r="S15" s="560" t="s">
        <v>734</v>
      </c>
      <c r="T15" s="571">
        <v>59841678</v>
      </c>
      <c r="U15" s="570"/>
    </row>
    <row r="16" spans="2:21" ht="15.75">
      <c r="B16" s="4" t="s">
        <v>691</v>
      </c>
      <c r="C16" s="551"/>
      <c r="D16" s="17">
        <v>25</v>
      </c>
      <c r="E16" s="17">
        <v>25</v>
      </c>
      <c r="F16" s="17">
        <f t="shared" si="1"/>
        <v>0</v>
      </c>
      <c r="G16" s="17">
        <v>0</v>
      </c>
      <c r="H16" s="17">
        <v>25</v>
      </c>
      <c r="I16" s="17">
        <f t="shared" si="0"/>
        <v>0</v>
      </c>
      <c r="J16" s="17">
        <v>0</v>
      </c>
      <c r="K16" s="10">
        <v>1</v>
      </c>
      <c r="L16" s="15"/>
      <c r="N16" s="559" t="s">
        <v>760</v>
      </c>
      <c r="O16" s="560" t="s">
        <v>815</v>
      </c>
      <c r="P16" s="560" t="s">
        <v>759</v>
      </c>
      <c r="Q16" s="561">
        <v>45713</v>
      </c>
      <c r="R16" s="598"/>
      <c r="S16" s="560" t="s">
        <v>760</v>
      </c>
      <c r="T16" s="572">
        <v>8080737</v>
      </c>
      <c r="U16" s="570"/>
    </row>
    <row r="17" spans="2:21" ht="15.75">
      <c r="N17" s="559" t="s">
        <v>816</v>
      </c>
      <c r="O17" s="560" t="s">
        <v>815</v>
      </c>
      <c r="P17" s="560" t="s">
        <v>758</v>
      </c>
      <c r="Q17" s="561">
        <v>45712</v>
      </c>
      <c r="R17" s="598"/>
      <c r="S17" s="560" t="s">
        <v>757</v>
      </c>
      <c r="T17" s="573">
        <v>281270</v>
      </c>
      <c r="U17" s="570"/>
    </row>
    <row r="18" spans="2:21" ht="15.75">
      <c r="B18" s="616" t="s">
        <v>844</v>
      </c>
      <c r="C18" s="620"/>
      <c r="D18" s="617"/>
      <c r="N18" s="559" t="s">
        <v>816</v>
      </c>
      <c r="O18" s="560" t="s">
        <v>815</v>
      </c>
      <c r="P18" s="560" t="s">
        <v>817</v>
      </c>
      <c r="Q18" s="561">
        <v>45757</v>
      </c>
      <c r="R18" s="598"/>
      <c r="S18" s="560" t="s">
        <v>818</v>
      </c>
      <c r="T18" s="574">
        <v>1649907</v>
      </c>
      <c r="U18" s="570"/>
    </row>
    <row r="19" spans="2:21" ht="15.75">
      <c r="B19" s="4" t="s">
        <v>843</v>
      </c>
      <c r="C19" s="17">
        <f>C20+C21</f>
        <v>185.429655</v>
      </c>
      <c r="D19" s="618"/>
      <c r="N19" s="559" t="s">
        <v>733</v>
      </c>
      <c r="O19" s="560" t="s">
        <v>815</v>
      </c>
      <c r="P19" s="560" t="s">
        <v>817</v>
      </c>
      <c r="Q19" s="561">
        <v>45757</v>
      </c>
      <c r="R19" s="598"/>
      <c r="S19" s="560" t="s">
        <v>733</v>
      </c>
      <c r="T19" s="571">
        <v>14</v>
      </c>
      <c r="U19" s="570"/>
    </row>
    <row r="20" spans="2:21" ht="15.75">
      <c r="B20" s="4" t="s">
        <v>847</v>
      </c>
      <c r="C20" s="17">
        <f>SUM(T7:T30)*10^-6</f>
        <v>139.39680300000001</v>
      </c>
      <c r="D20" s="618" t="s">
        <v>845</v>
      </c>
      <c r="N20" s="559" t="s">
        <v>753</v>
      </c>
      <c r="O20" s="560" t="s">
        <v>815</v>
      </c>
      <c r="P20" s="560" t="s">
        <v>817</v>
      </c>
      <c r="Q20" s="561">
        <v>45757</v>
      </c>
      <c r="R20" s="598"/>
      <c r="S20" s="560" t="s">
        <v>753</v>
      </c>
      <c r="T20" s="594">
        <v>404053</v>
      </c>
      <c r="U20" s="570"/>
    </row>
    <row r="21" spans="2:21" ht="15.75">
      <c r="B21" s="4" t="s">
        <v>848</v>
      </c>
      <c r="C21" s="17">
        <f>SUM(T31:T35)*10^-6</f>
        <v>46.032851999999998</v>
      </c>
      <c r="D21" s="618"/>
      <c r="N21" s="559" t="s">
        <v>753</v>
      </c>
      <c r="O21" s="560" t="s">
        <v>815</v>
      </c>
      <c r="P21" s="560" t="s">
        <v>819</v>
      </c>
      <c r="Q21" s="561">
        <v>45828</v>
      </c>
      <c r="R21" s="598"/>
      <c r="S21" s="560" t="s">
        <v>753</v>
      </c>
      <c r="T21" s="594">
        <v>-13876271</v>
      </c>
      <c r="U21" s="570"/>
    </row>
    <row r="22" spans="2:21" ht="15.75">
      <c r="B22" s="4" t="s">
        <v>842</v>
      </c>
      <c r="C22" s="17">
        <f>C20/E6*H6</f>
        <v>272.00825279470251</v>
      </c>
      <c r="D22" s="618"/>
      <c r="N22" s="559" t="s">
        <v>754</v>
      </c>
      <c r="O22" s="560" t="s">
        <v>815</v>
      </c>
      <c r="P22" s="560" t="s">
        <v>819</v>
      </c>
      <c r="Q22" s="561">
        <v>45828</v>
      </c>
      <c r="R22" s="598"/>
      <c r="S22" s="560" t="s">
        <v>754</v>
      </c>
      <c r="T22" s="594">
        <v>-12389520</v>
      </c>
      <c r="U22" s="570"/>
    </row>
    <row r="23" spans="2:21" ht="15.75">
      <c r="B23" s="517"/>
      <c r="C23" s="619"/>
      <c r="N23" s="559" t="s">
        <v>755</v>
      </c>
      <c r="O23" s="560" t="s">
        <v>815</v>
      </c>
      <c r="P23" s="560" t="s">
        <v>819</v>
      </c>
      <c r="Q23" s="561">
        <v>45828</v>
      </c>
      <c r="R23" s="598"/>
      <c r="S23" s="560" t="s">
        <v>755</v>
      </c>
      <c r="T23" s="594">
        <v>-26297951</v>
      </c>
      <c r="U23" s="570"/>
    </row>
    <row r="24" spans="2:21" ht="15.75">
      <c r="B24" s="4" t="s">
        <v>841</v>
      </c>
      <c r="C24" s="17">
        <f>C22+C21</f>
        <v>318.04110479470251</v>
      </c>
      <c r="N24" s="559" t="s">
        <v>733</v>
      </c>
      <c r="O24" s="560" t="s">
        <v>815</v>
      </c>
      <c r="P24" s="560" t="s">
        <v>819</v>
      </c>
      <c r="Q24" s="561">
        <v>45828</v>
      </c>
      <c r="R24" s="598"/>
      <c r="S24" s="560" t="s">
        <v>733</v>
      </c>
      <c r="T24" s="594">
        <v>-24779048</v>
      </c>
      <c r="U24" s="570"/>
    </row>
    <row r="25" spans="2:21" ht="15.75">
      <c r="C25" s="619"/>
      <c r="N25" s="559" t="s">
        <v>734</v>
      </c>
      <c r="O25" s="560" t="s">
        <v>815</v>
      </c>
      <c r="P25" s="560" t="s">
        <v>819</v>
      </c>
      <c r="Q25" s="561">
        <v>45828</v>
      </c>
      <c r="R25" s="598"/>
      <c r="S25" s="560" t="s">
        <v>734</v>
      </c>
      <c r="T25" s="594">
        <v>-36699779</v>
      </c>
      <c r="U25" s="570"/>
    </row>
    <row r="26" spans="2:21" ht="15.75">
      <c r="B26" s="616" t="s">
        <v>846</v>
      </c>
      <c r="C26" s="621"/>
      <c r="N26" s="559" t="s">
        <v>760</v>
      </c>
      <c r="O26" s="560" t="s">
        <v>815</v>
      </c>
      <c r="P26" s="560" t="s">
        <v>819</v>
      </c>
      <c r="Q26" s="561">
        <v>45828</v>
      </c>
      <c r="R26" s="598"/>
      <c r="S26" s="560" t="s">
        <v>820</v>
      </c>
      <c r="T26" s="571">
        <v>-4955764</v>
      </c>
      <c r="U26" s="570"/>
    </row>
    <row r="27" spans="2:21" ht="15.75">
      <c r="B27" s="4" t="s">
        <v>843</v>
      </c>
      <c r="C27" s="17">
        <f>C28+C29</f>
        <v>24.799092000000002</v>
      </c>
      <c r="N27" s="559" t="s">
        <v>821</v>
      </c>
      <c r="O27" s="560" t="s">
        <v>815</v>
      </c>
      <c r="P27" s="560" t="s">
        <v>819</v>
      </c>
      <c r="Q27" s="561">
        <v>45828</v>
      </c>
      <c r="R27" s="598"/>
      <c r="S27" s="560" t="s">
        <v>821</v>
      </c>
      <c r="T27" s="594">
        <v>62500000</v>
      </c>
      <c r="U27" s="570"/>
    </row>
    <row r="28" spans="2:21" ht="15.75">
      <c r="B28" s="4" t="s">
        <v>847</v>
      </c>
      <c r="C28" s="17">
        <f>SUM(T37:T49)*10^-6</f>
        <v>22.961783</v>
      </c>
      <c r="N28" s="600" t="s">
        <v>816</v>
      </c>
      <c r="O28" s="601" t="s">
        <v>815</v>
      </c>
      <c r="P28" s="601" t="s">
        <v>819</v>
      </c>
      <c r="Q28" s="602">
        <v>45828</v>
      </c>
      <c r="R28" s="603"/>
      <c r="S28" s="601" t="s">
        <v>756</v>
      </c>
      <c r="T28" s="604">
        <v>-281482</v>
      </c>
      <c r="U28" s="605"/>
    </row>
    <row r="29" spans="2:21" ht="15.75">
      <c r="B29" s="4" t="s">
        <v>848</v>
      </c>
      <c r="C29" s="17">
        <f>SUM(T50:T51)*10^-6</f>
        <v>1.8373089999999999</v>
      </c>
      <c r="N29" s="600" t="s">
        <v>816</v>
      </c>
      <c r="O29" s="601" t="s">
        <v>815</v>
      </c>
      <c r="P29" s="601" t="s">
        <v>819</v>
      </c>
      <c r="Q29" s="602">
        <v>45828</v>
      </c>
      <c r="R29" s="603"/>
      <c r="S29" s="601" t="s">
        <v>818</v>
      </c>
      <c r="T29" s="604">
        <v>-1202939</v>
      </c>
      <c r="U29" s="605"/>
    </row>
    <row r="30" spans="2:21" ht="15.75">
      <c r="B30" s="4" t="s">
        <v>842</v>
      </c>
      <c r="C30" s="17">
        <f>C28/E7*H7</f>
        <v>54.201148607030241</v>
      </c>
      <c r="N30" s="600" t="s">
        <v>816</v>
      </c>
      <c r="O30" s="601" t="s">
        <v>815</v>
      </c>
      <c r="P30" s="601" t="s">
        <v>819</v>
      </c>
      <c r="Q30" s="602">
        <v>45828</v>
      </c>
      <c r="R30" s="603"/>
      <c r="S30" s="601" t="s">
        <v>822</v>
      </c>
      <c r="T30" s="604">
        <v>923602</v>
      </c>
      <c r="U30" s="605"/>
    </row>
    <row r="31" spans="2:21" ht="15.75">
      <c r="B31" s="4"/>
      <c r="C31" s="17"/>
      <c r="N31" s="600" t="s">
        <v>816</v>
      </c>
      <c r="O31" s="601" t="s">
        <v>815</v>
      </c>
      <c r="P31" s="601" t="s">
        <v>823</v>
      </c>
      <c r="Q31" s="602">
        <v>45847</v>
      </c>
      <c r="R31" s="603"/>
      <c r="S31" s="601" t="s">
        <v>818</v>
      </c>
      <c r="T31" s="604">
        <v>30766</v>
      </c>
      <c r="U31" s="605"/>
    </row>
    <row r="32" spans="2:21" ht="15.75">
      <c r="C32" s="619"/>
      <c r="N32" s="600" t="s">
        <v>835</v>
      </c>
      <c r="O32" s="601" t="s">
        <v>815</v>
      </c>
      <c r="P32" s="601" t="s">
        <v>836</v>
      </c>
      <c r="Q32" s="602">
        <v>45888</v>
      </c>
      <c r="R32" s="603"/>
      <c r="S32" s="601" t="s">
        <v>835</v>
      </c>
      <c r="T32" s="604">
        <v>16454597</v>
      </c>
      <c r="U32" s="605"/>
    </row>
    <row r="33" spans="2:21" ht="15.75">
      <c r="B33" s="616" t="s">
        <v>849</v>
      </c>
      <c r="C33" s="621"/>
      <c r="N33" s="559" t="s">
        <v>837</v>
      </c>
      <c r="O33" s="560" t="s">
        <v>815</v>
      </c>
      <c r="P33" s="560" t="s">
        <v>836</v>
      </c>
      <c r="Q33" s="561">
        <v>45888</v>
      </c>
      <c r="R33" s="598"/>
      <c r="S33" s="560" t="s">
        <v>837</v>
      </c>
      <c r="T33" s="571">
        <v>341406</v>
      </c>
      <c r="U33" s="570"/>
    </row>
    <row r="34" spans="2:21" ht="15.75">
      <c r="B34" s="4" t="s">
        <v>843</v>
      </c>
      <c r="C34" s="17">
        <f>C19+C27</f>
        <v>210.228747</v>
      </c>
      <c r="N34" s="559" t="s">
        <v>753</v>
      </c>
      <c r="O34" s="560" t="s">
        <v>815</v>
      </c>
      <c r="P34" s="560" t="s">
        <v>836</v>
      </c>
      <c r="Q34" s="561">
        <v>45888</v>
      </c>
      <c r="R34" s="598"/>
      <c r="S34" s="560" t="s">
        <v>838</v>
      </c>
      <c r="T34" s="571">
        <v>29093750</v>
      </c>
      <c r="U34" s="570"/>
    </row>
    <row r="35" spans="2:21" ht="15.75">
      <c r="B35" s="4" t="s">
        <v>847</v>
      </c>
      <c r="C35" s="17">
        <f>C20+C28</f>
        <v>162.358586</v>
      </c>
      <c r="N35" s="559" t="s">
        <v>816</v>
      </c>
      <c r="O35" s="560" t="s">
        <v>815</v>
      </c>
      <c r="P35" s="560" t="s">
        <v>836</v>
      </c>
      <c r="Q35" s="561">
        <v>45888</v>
      </c>
      <c r="R35" s="598"/>
      <c r="S35" s="560" t="s">
        <v>822</v>
      </c>
      <c r="T35" s="571">
        <v>112333</v>
      </c>
      <c r="U35" s="570"/>
    </row>
    <row r="36" spans="2:21">
      <c r="B36" s="4" t="s">
        <v>848</v>
      </c>
      <c r="C36" s="17">
        <f>C21+C29</f>
        <v>47.870160999999996</v>
      </c>
    </row>
    <row r="37" spans="2:21" ht="15.75">
      <c r="B37" s="4" t="s">
        <v>842</v>
      </c>
      <c r="C37" s="17">
        <f>C22+C30</f>
        <v>326.20940140173275</v>
      </c>
      <c r="D37" s="624">
        <f>C37/C34</f>
        <v>1.551687892625516</v>
      </c>
      <c r="N37" s="559" t="s">
        <v>732</v>
      </c>
      <c r="O37" s="560" t="s">
        <v>761</v>
      </c>
      <c r="P37" s="560" t="s">
        <v>762</v>
      </c>
      <c r="Q37" s="561">
        <v>45454</v>
      </c>
      <c r="R37" s="598"/>
      <c r="S37" s="560" t="s">
        <v>732</v>
      </c>
      <c r="T37" s="571">
        <v>4440212</v>
      </c>
      <c r="U37" s="570"/>
    </row>
    <row r="38" spans="2:21" ht="15.75">
      <c r="N38" s="559" t="s">
        <v>732</v>
      </c>
      <c r="O38" s="560" t="s">
        <v>761</v>
      </c>
      <c r="P38" s="560" t="s">
        <v>763</v>
      </c>
      <c r="Q38" s="561">
        <v>45468</v>
      </c>
      <c r="R38" s="598"/>
      <c r="S38" s="560" t="s">
        <v>732</v>
      </c>
      <c r="T38" s="571">
        <v>856702</v>
      </c>
      <c r="U38" s="570"/>
    </row>
    <row r="39" spans="2:21" ht="15.75">
      <c r="N39" s="559" t="s">
        <v>732</v>
      </c>
      <c r="O39" s="560" t="s">
        <v>761</v>
      </c>
      <c r="P39" s="560" t="s">
        <v>764</v>
      </c>
      <c r="Q39" s="561">
        <v>45562</v>
      </c>
      <c r="R39" s="598"/>
      <c r="S39" s="560" t="s">
        <v>732</v>
      </c>
      <c r="T39" s="571">
        <v>1766018</v>
      </c>
      <c r="U39" s="559"/>
    </row>
    <row r="40" spans="2:21" ht="15.75">
      <c r="N40" s="559" t="s">
        <v>816</v>
      </c>
      <c r="O40" s="560" t="s">
        <v>761</v>
      </c>
      <c r="P40" s="560" t="s">
        <v>765</v>
      </c>
      <c r="Q40" s="561">
        <v>45581</v>
      </c>
      <c r="R40" s="598"/>
      <c r="S40" s="560" t="s">
        <v>818</v>
      </c>
      <c r="T40" s="571">
        <v>125982</v>
      </c>
      <c r="U40" s="559"/>
    </row>
    <row r="41" spans="2:21" ht="15.75">
      <c r="N41" s="559" t="s">
        <v>732</v>
      </c>
      <c r="O41" s="560" t="s">
        <v>761</v>
      </c>
      <c r="P41" s="560" t="s">
        <v>766</v>
      </c>
      <c r="Q41" s="561">
        <v>45645</v>
      </c>
      <c r="R41" s="598"/>
      <c r="S41" s="560" t="s">
        <v>732</v>
      </c>
      <c r="T41" s="572">
        <v>3257177</v>
      </c>
      <c r="U41" s="559"/>
    </row>
    <row r="42" spans="2:21" ht="15.75">
      <c r="N42" s="559" t="s">
        <v>732</v>
      </c>
      <c r="O42" s="560" t="s">
        <v>761</v>
      </c>
      <c r="P42" s="560" t="s">
        <v>767</v>
      </c>
      <c r="Q42" s="561">
        <v>45726</v>
      </c>
      <c r="R42" s="598"/>
      <c r="S42" s="560" t="s">
        <v>732</v>
      </c>
      <c r="T42" s="573">
        <v>8068966</v>
      </c>
      <c r="U42" s="559"/>
    </row>
    <row r="43" spans="2:21" ht="15.75">
      <c r="N43" s="559" t="s">
        <v>816</v>
      </c>
      <c r="O43" s="560" t="s">
        <v>761</v>
      </c>
      <c r="P43" s="560" t="s">
        <v>767</v>
      </c>
      <c r="Q43" s="561">
        <v>45726</v>
      </c>
      <c r="R43" s="598"/>
      <c r="S43" s="560" t="s">
        <v>735</v>
      </c>
      <c r="T43" s="573">
        <v>67182</v>
      </c>
      <c r="U43" s="559"/>
    </row>
    <row r="44" spans="2:21" ht="15.75">
      <c r="N44" s="559" t="s">
        <v>816</v>
      </c>
      <c r="O44" s="560" t="s">
        <v>761</v>
      </c>
      <c r="P44" s="560" t="s">
        <v>767</v>
      </c>
      <c r="Q44" s="561">
        <v>45726</v>
      </c>
      <c r="R44" s="598"/>
      <c r="S44" s="560" t="s">
        <v>736</v>
      </c>
      <c r="T44" s="595">
        <v>65179</v>
      </c>
      <c r="U44" s="559"/>
    </row>
    <row r="45" spans="2:21" ht="15.75">
      <c r="N45" s="559" t="s">
        <v>732</v>
      </c>
      <c r="O45" s="560" t="s">
        <v>761</v>
      </c>
      <c r="P45" s="560" t="s">
        <v>767</v>
      </c>
      <c r="Q45" s="561">
        <v>45828</v>
      </c>
      <c r="R45" s="598"/>
      <c r="S45" s="560" t="s">
        <v>732</v>
      </c>
      <c r="T45" s="573">
        <v>-11354937</v>
      </c>
      <c r="U45" s="559"/>
    </row>
    <row r="46" spans="2:21" ht="15.75">
      <c r="N46" s="559" t="s">
        <v>732</v>
      </c>
      <c r="O46" s="560" t="s">
        <v>761</v>
      </c>
      <c r="P46" s="560" t="s">
        <v>824</v>
      </c>
      <c r="Q46" s="561">
        <v>45828</v>
      </c>
      <c r="R46" s="598"/>
      <c r="S46" s="560" t="s">
        <v>732</v>
      </c>
      <c r="T46" s="595">
        <v>14527596</v>
      </c>
      <c r="U46" s="559"/>
    </row>
    <row r="47" spans="2:21" ht="15.75">
      <c r="N47" s="559" t="s">
        <v>816</v>
      </c>
      <c r="O47" s="560" t="s">
        <v>761</v>
      </c>
      <c r="P47" s="560" t="s">
        <v>824</v>
      </c>
      <c r="Q47" s="561">
        <v>45828</v>
      </c>
      <c r="R47" s="598"/>
      <c r="S47" s="560" t="s">
        <v>825</v>
      </c>
      <c r="T47" s="595">
        <v>-41202</v>
      </c>
      <c r="U47" s="559"/>
    </row>
    <row r="48" spans="2:21" ht="15.75">
      <c r="N48" s="559" t="s">
        <v>816</v>
      </c>
      <c r="O48" s="560" t="s">
        <v>761</v>
      </c>
      <c r="P48" s="560" t="s">
        <v>824</v>
      </c>
      <c r="Q48" s="561">
        <v>45828</v>
      </c>
      <c r="R48" s="598"/>
      <c r="S48" s="560" t="s">
        <v>818</v>
      </c>
      <c r="T48" s="573">
        <v>-39973</v>
      </c>
      <c r="U48" s="559"/>
    </row>
    <row r="49" spans="14:21" ht="15.75">
      <c r="N49" s="600" t="s">
        <v>816</v>
      </c>
      <c r="O49" s="601" t="s">
        <v>761</v>
      </c>
      <c r="P49" s="601" t="s">
        <v>824</v>
      </c>
      <c r="Q49" s="602">
        <v>45828</v>
      </c>
      <c r="R49" s="603"/>
      <c r="S49" s="601" t="s">
        <v>822</v>
      </c>
      <c r="T49" s="606">
        <v>1222881</v>
      </c>
      <c r="U49" s="600"/>
    </row>
    <row r="50" spans="14:21" ht="15.75">
      <c r="N50" s="600" t="s">
        <v>816</v>
      </c>
      <c r="O50" s="601" t="s">
        <v>761</v>
      </c>
      <c r="P50" s="601" t="s">
        <v>826</v>
      </c>
      <c r="Q50" s="602">
        <v>45847</v>
      </c>
      <c r="R50" s="607"/>
      <c r="S50" s="601" t="s">
        <v>818</v>
      </c>
      <c r="T50" s="608">
        <v>375</v>
      </c>
      <c r="U50" s="600"/>
    </row>
    <row r="51" spans="14:21" ht="17.25" thickBot="1">
      <c r="N51" s="564" t="s">
        <v>732</v>
      </c>
      <c r="O51" s="560" t="s">
        <v>761</v>
      </c>
      <c r="P51" s="560" t="s">
        <v>826</v>
      </c>
      <c r="Q51" s="560">
        <v>45847</v>
      </c>
      <c r="R51" s="575"/>
      <c r="S51" s="564" t="s">
        <v>732</v>
      </c>
      <c r="T51" s="576">
        <v>1836934</v>
      </c>
      <c r="U51" s="567"/>
    </row>
    <row r="52" spans="14:21" ht="16.5" thickTop="1">
      <c r="N52" s="559"/>
      <c r="O52" s="560"/>
      <c r="P52" s="560"/>
      <c r="Q52" s="561"/>
      <c r="R52" s="597"/>
      <c r="S52" s="560" t="s">
        <v>55</v>
      </c>
      <c r="T52" s="577">
        <v>210228747</v>
      </c>
      <c r="U52" s="578">
        <v>989771253</v>
      </c>
    </row>
    <row r="53" spans="14:21" ht="15.75">
      <c r="N53" s="559" t="s">
        <v>753</v>
      </c>
      <c r="O53" s="560" t="s">
        <v>768</v>
      </c>
      <c r="P53" s="560" t="s">
        <v>764</v>
      </c>
      <c r="Q53" s="561">
        <v>45562</v>
      </c>
      <c r="R53" s="598">
        <v>775000000</v>
      </c>
      <c r="S53" s="560" t="s">
        <v>753</v>
      </c>
      <c r="T53" s="563">
        <v>250000000</v>
      </c>
      <c r="U53" s="579"/>
    </row>
    <row r="54" spans="14:21" ht="15.75">
      <c r="N54" s="559" t="s">
        <v>754</v>
      </c>
      <c r="O54" s="560" t="s">
        <v>768</v>
      </c>
      <c r="P54" s="560" t="s">
        <v>769</v>
      </c>
      <c r="Q54" s="561">
        <v>45618</v>
      </c>
      <c r="R54" s="598"/>
      <c r="S54" s="560" t="s">
        <v>754</v>
      </c>
      <c r="T54" s="596">
        <v>249999998</v>
      </c>
      <c r="U54" s="579"/>
    </row>
    <row r="55" spans="14:21" ht="15.75">
      <c r="N55" s="559" t="s">
        <v>753</v>
      </c>
      <c r="O55" s="560" t="s">
        <v>768</v>
      </c>
      <c r="P55" s="560" t="s">
        <v>770</v>
      </c>
      <c r="Q55" s="561">
        <v>45645</v>
      </c>
      <c r="R55" s="598"/>
      <c r="S55" s="560" t="s">
        <v>753</v>
      </c>
      <c r="T55" s="596">
        <v>-125000000</v>
      </c>
      <c r="U55" s="579"/>
    </row>
    <row r="56" spans="14:21" ht="15.75">
      <c r="N56" s="559" t="s">
        <v>754</v>
      </c>
      <c r="O56" s="560" t="s">
        <v>768</v>
      </c>
      <c r="P56" s="560" t="s">
        <v>770</v>
      </c>
      <c r="Q56" s="561">
        <v>45645</v>
      </c>
      <c r="R56" s="598"/>
      <c r="S56" s="560" t="s">
        <v>754</v>
      </c>
      <c r="T56" s="563">
        <v>-124999999</v>
      </c>
      <c r="U56" s="579"/>
    </row>
    <row r="57" spans="14:21" ht="15.75">
      <c r="N57" s="559" t="s">
        <v>753</v>
      </c>
      <c r="O57" s="560" t="s">
        <v>768</v>
      </c>
      <c r="P57" s="560" t="s">
        <v>771</v>
      </c>
      <c r="Q57" s="561">
        <v>45712</v>
      </c>
      <c r="R57" s="599"/>
      <c r="S57" s="560" t="s">
        <v>753</v>
      </c>
      <c r="T57" s="563">
        <v>12500000</v>
      </c>
      <c r="U57" s="579"/>
    </row>
    <row r="58" spans="14:21" ht="17.25" thickBot="1">
      <c r="N58" s="564" t="s">
        <v>760</v>
      </c>
      <c r="O58" s="575" t="s">
        <v>768</v>
      </c>
      <c r="P58" s="575" t="s">
        <v>772</v>
      </c>
      <c r="Q58" s="564">
        <v>45713</v>
      </c>
      <c r="R58" s="580"/>
      <c r="S58" s="566" t="s">
        <v>760</v>
      </c>
      <c r="T58" s="567">
        <v>49999560</v>
      </c>
      <c r="U58" s="581"/>
    </row>
    <row r="59" spans="14:21" ht="15.75" thickTop="1">
      <c r="Q59" t="s">
        <v>55</v>
      </c>
      <c r="R59">
        <v>2000000000</v>
      </c>
      <c r="S59" t="s">
        <v>55</v>
      </c>
      <c r="T59">
        <v>312499559</v>
      </c>
      <c r="U59">
        <v>462500441</v>
      </c>
    </row>
  </sheetData>
  <pageMargins left="0.7" right="0.7" top="0.75" bottom="0.75" header="0.3" footer="0.3"/>
  <headerFooter>
    <oddHeader>&amp;L&amp;"Calibri"&amp;7&amp;KFF0000  &amp;1#_x000D_</oddHeader>
    <oddFooter xml:space="preserve">&amp;L_x000D_&amp;1#&amp;"Calibri"&amp;7&amp;KFF0000 RESTRICTED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126"/>
  <sheetViews>
    <sheetView showGridLines="0" zoomScale="80" zoomScaleNormal="80" workbookViewId="0">
      <selection activeCell="J26" sqref="J26"/>
    </sheetView>
  </sheetViews>
  <sheetFormatPr defaultColWidth="9.140625" defaultRowHeight="15"/>
  <cols>
    <col min="1" max="1" width="9.140625" style="185"/>
    <col min="2" max="2" width="12.42578125" style="185" bestFit="1" customWidth="1"/>
    <col min="3" max="3" width="41.42578125" style="317" customWidth="1"/>
    <col min="4" max="19" width="9.140625" style="317"/>
    <col min="20" max="20" width="9.140625" style="185"/>
    <col min="21" max="21" width="21.7109375" style="185" customWidth="1"/>
    <col min="22" max="16384" width="9.140625" style="185"/>
  </cols>
  <sheetData>
    <row r="2" spans="2:24">
      <c r="B2" s="500" t="s">
        <v>228</v>
      </c>
      <c r="C2" s="500" t="s">
        <v>229</v>
      </c>
      <c r="D2" s="500"/>
      <c r="E2" s="501"/>
      <c r="F2" s="501"/>
      <c r="G2" s="501"/>
      <c r="H2" s="501"/>
      <c r="I2" s="501"/>
      <c r="J2" s="501"/>
      <c r="K2" s="501"/>
      <c r="L2" s="501"/>
      <c r="M2" s="501"/>
      <c r="N2" s="501"/>
      <c r="O2" s="501"/>
      <c r="P2" s="501"/>
      <c r="Q2" s="501"/>
      <c r="R2" s="501"/>
      <c r="S2" s="501"/>
      <c r="X2" s="301"/>
    </row>
    <row r="3" spans="2:24" ht="14.25" customHeight="1">
      <c r="B3" s="318" t="s">
        <v>813</v>
      </c>
      <c r="C3" s="314"/>
      <c r="D3" s="315"/>
      <c r="E3" s="316"/>
      <c r="F3" s="316"/>
      <c r="G3" s="316"/>
      <c r="H3" s="316"/>
      <c r="I3" s="316"/>
      <c r="J3" s="316"/>
      <c r="K3" s="316"/>
      <c r="L3" s="316"/>
      <c r="M3" s="316"/>
      <c r="N3" s="316"/>
      <c r="O3" s="316"/>
      <c r="P3" s="316"/>
      <c r="Q3" s="316"/>
      <c r="R3" s="316"/>
      <c r="S3" s="316"/>
      <c r="X3" s="301"/>
    </row>
    <row r="4" spans="2:24">
      <c r="B4" s="515"/>
      <c r="F4" s="516"/>
      <c r="G4" s="516"/>
      <c r="H4" s="516"/>
      <c r="I4" s="516"/>
      <c r="J4" s="516"/>
      <c r="K4" s="516"/>
      <c r="L4" s="516"/>
      <c r="M4" s="516"/>
      <c r="N4" s="516"/>
      <c r="O4" s="516"/>
      <c r="P4" s="516"/>
      <c r="Q4" s="516"/>
      <c r="R4" s="516"/>
      <c r="S4" s="516"/>
      <c r="X4" s="301"/>
    </row>
    <row r="5" spans="2:24">
      <c r="B5" s="515"/>
      <c r="C5" s="317" t="s">
        <v>188</v>
      </c>
      <c r="D5" s="317" t="s">
        <v>814</v>
      </c>
      <c r="F5" s="516"/>
      <c r="G5" s="516"/>
      <c r="H5" s="516"/>
      <c r="I5" s="516"/>
      <c r="J5" s="516"/>
      <c r="K5" s="516"/>
      <c r="L5" s="516"/>
      <c r="M5" s="516"/>
      <c r="N5" s="516"/>
      <c r="O5" s="516"/>
      <c r="P5" s="516"/>
      <c r="Q5" s="516"/>
      <c r="R5" s="516"/>
      <c r="S5" s="516"/>
      <c r="X5" s="301"/>
    </row>
    <row r="6" spans="2:24">
      <c r="B6" s="515"/>
      <c r="C6" s="317" t="s">
        <v>1</v>
      </c>
      <c r="D6" s="317" t="s">
        <v>852</v>
      </c>
      <c r="F6" s="516"/>
      <c r="G6" s="516"/>
      <c r="H6" s="516"/>
      <c r="I6" s="516"/>
      <c r="J6" s="516"/>
      <c r="K6" s="516"/>
      <c r="L6" s="516"/>
      <c r="M6" s="516"/>
      <c r="N6" s="516"/>
      <c r="O6" s="516"/>
      <c r="P6" s="516"/>
      <c r="Q6" s="516"/>
      <c r="R6" s="516"/>
      <c r="S6" s="516"/>
      <c r="X6" s="301"/>
    </row>
    <row r="7" spans="2:24">
      <c r="B7" s="515"/>
      <c r="F7" s="516"/>
      <c r="G7" s="516"/>
      <c r="H7" s="516"/>
      <c r="I7" s="516"/>
      <c r="J7" s="516"/>
      <c r="K7" s="516"/>
      <c r="L7" s="516"/>
      <c r="M7" s="516"/>
      <c r="N7" s="516"/>
      <c r="O7" s="516"/>
      <c r="P7" s="516"/>
      <c r="Q7" s="516"/>
      <c r="R7" s="516"/>
      <c r="S7" s="516"/>
      <c r="X7" s="301"/>
    </row>
    <row r="8" spans="2:24" ht="14.25" customHeight="1">
      <c r="B8" s="318" t="s">
        <v>801</v>
      </c>
      <c r="C8" s="314"/>
      <c r="D8" s="315"/>
      <c r="E8" s="316"/>
      <c r="F8" s="316"/>
      <c r="G8" s="316"/>
      <c r="H8" s="316"/>
      <c r="I8" s="316"/>
      <c r="J8" s="316"/>
      <c r="K8" s="316"/>
      <c r="L8" s="316"/>
      <c r="M8" s="316"/>
      <c r="N8" s="316"/>
      <c r="O8" s="316"/>
      <c r="P8" s="316"/>
      <c r="Q8" s="316"/>
      <c r="R8" s="316"/>
      <c r="S8" s="316"/>
      <c r="X8" s="301"/>
    </row>
    <row r="9" spans="2:24">
      <c r="B9" s="515"/>
      <c r="C9" s="317" t="s">
        <v>706</v>
      </c>
      <c r="D9" s="317" t="s">
        <v>802</v>
      </c>
      <c r="F9" s="516"/>
      <c r="G9" s="516"/>
      <c r="H9" s="516"/>
      <c r="I9" s="516"/>
      <c r="J9" s="516"/>
      <c r="K9" s="516"/>
      <c r="L9" s="516"/>
      <c r="M9" s="516"/>
      <c r="N9" s="516"/>
      <c r="O9" s="516"/>
      <c r="P9" s="516"/>
      <c r="Q9" s="516"/>
      <c r="R9" s="516"/>
      <c r="S9" s="516"/>
      <c r="X9" s="301"/>
    </row>
    <row r="10" spans="2:24">
      <c r="B10" s="515"/>
      <c r="F10" s="516"/>
      <c r="G10" s="516"/>
      <c r="H10" s="516"/>
      <c r="I10" s="516"/>
      <c r="J10" s="516"/>
      <c r="K10" s="516"/>
      <c r="L10" s="516"/>
      <c r="M10" s="516"/>
      <c r="N10" s="516"/>
      <c r="O10" s="516"/>
      <c r="P10" s="516"/>
      <c r="Q10" s="516"/>
      <c r="R10" s="516"/>
      <c r="S10" s="516"/>
      <c r="X10" s="301"/>
    </row>
    <row r="11" spans="2:24" ht="14.25" customHeight="1">
      <c r="B11" s="318" t="s">
        <v>799</v>
      </c>
      <c r="C11" s="314"/>
      <c r="D11" s="315"/>
      <c r="E11" s="316"/>
      <c r="F11" s="316"/>
      <c r="G11" s="316"/>
      <c r="H11" s="316"/>
      <c r="I11" s="316"/>
      <c r="J11" s="316"/>
      <c r="K11" s="316"/>
      <c r="L11" s="316"/>
      <c r="M11" s="316"/>
      <c r="N11" s="316"/>
      <c r="O11" s="316"/>
      <c r="P11" s="316"/>
      <c r="Q11" s="316"/>
      <c r="R11" s="316"/>
      <c r="S11" s="316"/>
      <c r="X11" s="301"/>
    </row>
    <row r="12" spans="2:24">
      <c r="B12" s="515"/>
      <c r="C12" s="317" t="s">
        <v>23</v>
      </c>
      <c r="D12" s="317" t="s">
        <v>800</v>
      </c>
      <c r="F12" s="516"/>
      <c r="G12" s="516"/>
      <c r="H12" s="516"/>
      <c r="I12" s="516"/>
      <c r="J12" s="516"/>
      <c r="K12" s="516"/>
      <c r="L12" s="516"/>
      <c r="M12" s="516"/>
      <c r="N12" s="516"/>
      <c r="O12" s="516"/>
      <c r="P12" s="516"/>
      <c r="Q12" s="516"/>
      <c r="R12" s="516"/>
      <c r="S12" s="516"/>
      <c r="X12" s="301"/>
    </row>
    <row r="13" spans="2:24">
      <c r="B13" s="515"/>
      <c r="F13" s="516"/>
      <c r="G13" s="516"/>
      <c r="H13" s="516"/>
      <c r="I13" s="516"/>
      <c r="J13" s="516"/>
      <c r="K13" s="516"/>
      <c r="L13" s="516"/>
      <c r="M13" s="516"/>
      <c r="N13" s="516"/>
      <c r="O13" s="516"/>
      <c r="P13" s="516"/>
      <c r="Q13" s="516"/>
      <c r="R13" s="516"/>
      <c r="S13" s="516"/>
      <c r="X13" s="301"/>
    </row>
    <row r="14" spans="2:24" ht="14.25" customHeight="1">
      <c r="B14" s="318" t="s">
        <v>785</v>
      </c>
      <c r="C14" s="314"/>
      <c r="D14" s="315"/>
      <c r="E14" s="316"/>
      <c r="F14" s="316"/>
      <c r="G14" s="316"/>
      <c r="H14" s="316"/>
      <c r="I14" s="316"/>
      <c r="J14" s="316"/>
      <c r="K14" s="316"/>
      <c r="L14" s="316"/>
      <c r="M14" s="316"/>
      <c r="N14" s="316"/>
      <c r="O14" s="316"/>
      <c r="P14" s="316"/>
      <c r="Q14" s="316"/>
      <c r="R14" s="316"/>
      <c r="S14" s="316"/>
      <c r="X14" s="301"/>
    </row>
    <row r="15" spans="2:24">
      <c r="B15" s="515"/>
      <c r="C15" s="317" t="s">
        <v>781</v>
      </c>
      <c r="D15" s="317" t="s">
        <v>786</v>
      </c>
      <c r="F15" s="516"/>
      <c r="G15" s="516"/>
      <c r="H15" s="516"/>
      <c r="I15" s="516"/>
      <c r="J15" s="516"/>
      <c r="K15" s="516"/>
      <c r="L15" s="516"/>
      <c r="M15" s="516"/>
      <c r="N15" s="516"/>
      <c r="O15" s="516"/>
      <c r="P15" s="516"/>
      <c r="Q15" s="516"/>
      <c r="R15" s="516"/>
      <c r="S15" s="516"/>
      <c r="X15" s="301"/>
    </row>
    <row r="16" spans="2:24">
      <c r="B16" s="515"/>
      <c r="C16" s="317" t="s">
        <v>787</v>
      </c>
      <c r="D16" s="317" t="s">
        <v>788</v>
      </c>
      <c r="F16" s="516"/>
      <c r="G16" s="516"/>
      <c r="H16" s="516"/>
      <c r="I16" s="516"/>
      <c r="J16" s="516"/>
      <c r="K16" s="516"/>
      <c r="L16" s="516"/>
      <c r="M16" s="516"/>
      <c r="N16" s="516"/>
      <c r="O16" s="516"/>
      <c r="P16" s="516"/>
      <c r="Q16" s="516"/>
      <c r="R16" s="516"/>
      <c r="S16" s="516"/>
      <c r="X16" s="301"/>
    </row>
    <row r="17" spans="2:24">
      <c r="B17" s="515"/>
      <c r="C17" s="317" t="s">
        <v>789</v>
      </c>
      <c r="D17" s="317" t="s">
        <v>790</v>
      </c>
      <c r="F17" s="516"/>
      <c r="G17" s="516"/>
      <c r="H17" s="516"/>
      <c r="I17" s="516"/>
      <c r="J17" s="516"/>
      <c r="K17" s="516"/>
      <c r="L17" s="516"/>
      <c r="M17" s="516"/>
      <c r="N17" s="516"/>
      <c r="O17" s="516"/>
      <c r="P17" s="516"/>
      <c r="Q17" s="516"/>
      <c r="R17" s="516"/>
      <c r="S17" s="516"/>
      <c r="X17" s="301"/>
    </row>
    <row r="18" spans="2:24">
      <c r="B18" s="515"/>
      <c r="C18" s="317" t="s">
        <v>686</v>
      </c>
      <c r="D18" s="317" t="s">
        <v>792</v>
      </c>
      <c r="F18" s="516"/>
      <c r="G18" s="516"/>
      <c r="H18" s="516"/>
      <c r="I18" s="516"/>
      <c r="J18" s="516"/>
      <c r="K18" s="516"/>
      <c r="L18" s="516"/>
      <c r="M18" s="516"/>
      <c r="N18" s="516"/>
      <c r="O18" s="516"/>
      <c r="P18" s="516"/>
      <c r="Q18" s="516"/>
      <c r="R18" s="516"/>
      <c r="S18" s="516"/>
      <c r="X18" s="301"/>
    </row>
    <row r="19" spans="2:24">
      <c r="B19" s="515"/>
      <c r="F19" s="516"/>
      <c r="G19" s="516"/>
      <c r="H19" s="516"/>
      <c r="I19" s="516"/>
      <c r="J19" s="516"/>
      <c r="K19" s="516"/>
      <c r="L19" s="516"/>
      <c r="M19" s="516"/>
      <c r="N19" s="516"/>
      <c r="O19" s="516"/>
      <c r="P19" s="516"/>
      <c r="Q19" s="516"/>
      <c r="R19" s="516"/>
      <c r="S19" s="516"/>
      <c r="X19" s="301"/>
    </row>
    <row r="20" spans="2:24">
      <c r="B20" s="318" t="s">
        <v>725</v>
      </c>
      <c r="C20" s="314"/>
      <c r="D20" s="315"/>
      <c r="E20" s="316"/>
      <c r="F20" s="316"/>
      <c r="G20" s="316"/>
      <c r="H20" s="316"/>
      <c r="I20" s="316"/>
      <c r="J20" s="316"/>
      <c r="K20" s="316"/>
      <c r="L20" s="316"/>
      <c r="M20" s="316"/>
      <c r="N20" s="316"/>
      <c r="O20" s="316"/>
      <c r="P20" s="316"/>
      <c r="Q20" s="316"/>
      <c r="R20" s="316"/>
      <c r="S20" s="316"/>
      <c r="X20" s="301"/>
    </row>
    <row r="21" spans="2:24">
      <c r="B21" s="515"/>
      <c r="C21" s="317" t="s">
        <v>184</v>
      </c>
      <c r="D21" s="317" t="s">
        <v>778</v>
      </c>
      <c r="F21" s="516"/>
      <c r="G21" s="516"/>
      <c r="H21" s="516"/>
      <c r="I21" s="516"/>
      <c r="J21" s="516"/>
      <c r="K21" s="516"/>
      <c r="L21" s="516"/>
      <c r="M21" s="516"/>
      <c r="N21" s="516"/>
      <c r="O21" s="516"/>
      <c r="P21" s="516"/>
      <c r="Q21" s="516"/>
      <c r="R21" s="516"/>
      <c r="S21" s="516"/>
      <c r="X21" s="301"/>
    </row>
    <row r="22" spans="2:24">
      <c r="B22" s="515"/>
      <c r="C22" s="317" t="s">
        <v>706</v>
      </c>
      <c r="D22" s="317" t="s">
        <v>779</v>
      </c>
      <c r="F22" s="516"/>
      <c r="G22" s="516"/>
      <c r="H22" s="516"/>
      <c r="I22" s="516"/>
      <c r="J22" s="516"/>
      <c r="K22" s="516"/>
      <c r="L22" s="516"/>
      <c r="M22" s="516"/>
      <c r="N22" s="516"/>
      <c r="O22" s="516"/>
      <c r="P22" s="516"/>
      <c r="Q22" s="516"/>
      <c r="R22" s="516"/>
      <c r="S22" s="516"/>
      <c r="X22" s="301"/>
    </row>
    <row r="23" spans="2:24">
      <c r="B23" s="515"/>
      <c r="C23" s="317" t="s">
        <v>9</v>
      </c>
      <c r="D23" s="317" t="s">
        <v>777</v>
      </c>
      <c r="F23" s="516"/>
      <c r="G23" s="516"/>
      <c r="H23" s="516"/>
      <c r="I23" s="516"/>
      <c r="J23" s="516"/>
      <c r="K23" s="516"/>
      <c r="L23" s="516"/>
      <c r="M23" s="516"/>
      <c r="N23" s="516"/>
      <c r="O23" s="516"/>
      <c r="P23" s="516"/>
      <c r="Q23" s="516"/>
      <c r="R23" s="516"/>
      <c r="S23" s="516"/>
      <c r="X23" s="301"/>
    </row>
    <row r="24" spans="2:24">
      <c r="B24" s="515"/>
      <c r="F24" s="516"/>
      <c r="G24" s="516"/>
      <c r="H24" s="516"/>
      <c r="I24" s="516"/>
      <c r="J24" s="516"/>
      <c r="K24" s="516"/>
      <c r="L24" s="516"/>
      <c r="M24" s="516"/>
      <c r="N24" s="516"/>
      <c r="O24" s="516"/>
      <c r="P24" s="516"/>
      <c r="Q24" s="516"/>
      <c r="R24" s="516"/>
      <c r="S24" s="516"/>
      <c r="X24" s="301"/>
    </row>
    <row r="25" spans="2:24">
      <c r="B25" s="318" t="s">
        <v>724</v>
      </c>
      <c r="C25" s="314"/>
      <c r="D25" s="315"/>
      <c r="E25" s="316"/>
      <c r="F25" s="316"/>
      <c r="G25" s="316"/>
      <c r="H25" s="316"/>
      <c r="I25" s="316"/>
      <c r="J25" s="316"/>
      <c r="K25" s="316"/>
      <c r="L25" s="316"/>
      <c r="M25" s="316"/>
      <c r="N25" s="316"/>
      <c r="O25" s="316"/>
      <c r="P25" s="316"/>
      <c r="Q25" s="316"/>
      <c r="R25" s="316"/>
      <c r="S25" s="316"/>
      <c r="X25" s="301"/>
    </row>
    <row r="26" spans="2:24">
      <c r="C26" s="317" t="s">
        <v>721</v>
      </c>
      <c r="D26" s="317" t="s">
        <v>737</v>
      </c>
      <c r="X26" s="301"/>
    </row>
    <row r="27" spans="2:24">
      <c r="C27" s="317" t="s">
        <v>722</v>
      </c>
      <c r="D27" s="317" t="s">
        <v>738</v>
      </c>
      <c r="X27" s="301"/>
    </row>
    <row r="28" spans="2:24">
      <c r="C28" s="317" t="s">
        <v>706</v>
      </c>
      <c r="D28" s="317" t="s">
        <v>739</v>
      </c>
      <c r="X28" s="301"/>
    </row>
    <row r="29" spans="2:24">
      <c r="C29" s="317" t="s">
        <v>695</v>
      </c>
      <c r="D29" s="317" t="s">
        <v>740</v>
      </c>
      <c r="X29" s="301"/>
    </row>
    <row r="30" spans="2:24">
      <c r="C30" s="317" t="s">
        <v>729</v>
      </c>
      <c r="D30" s="317" t="s">
        <v>777</v>
      </c>
      <c r="X30" s="301"/>
    </row>
    <row r="31" spans="2:24">
      <c r="C31" s="317" t="s">
        <v>730</v>
      </c>
      <c r="D31" s="317" t="s">
        <v>777</v>
      </c>
      <c r="X31" s="301"/>
    </row>
    <row r="32" spans="2:24">
      <c r="C32" s="317" t="s">
        <v>184</v>
      </c>
      <c r="D32" s="317" t="s">
        <v>777</v>
      </c>
      <c r="X32" s="301"/>
    </row>
    <row r="33" spans="2:28">
      <c r="X33" s="301"/>
    </row>
    <row r="34" spans="2:28">
      <c r="B34" s="318" t="s">
        <v>720</v>
      </c>
      <c r="C34" s="314"/>
      <c r="D34" s="315"/>
      <c r="E34" s="316"/>
      <c r="F34" s="316"/>
      <c r="G34" s="316"/>
      <c r="H34" s="316"/>
      <c r="I34" s="316"/>
      <c r="J34" s="316"/>
      <c r="K34" s="316"/>
      <c r="L34" s="316"/>
      <c r="M34" s="316"/>
      <c r="N34" s="316"/>
      <c r="O34" s="316"/>
      <c r="P34" s="316"/>
      <c r="Q34" s="316"/>
      <c r="R34" s="316"/>
      <c r="S34" s="316"/>
      <c r="X34" s="301"/>
    </row>
    <row r="35" spans="2:28">
      <c r="C35" s="317" t="s">
        <v>721</v>
      </c>
      <c r="D35" s="317" t="s">
        <v>723</v>
      </c>
      <c r="X35" s="301"/>
    </row>
    <row r="36" spans="2:28">
      <c r="X36" s="301"/>
    </row>
    <row r="37" spans="2:28">
      <c r="B37" s="318" t="s">
        <v>703</v>
      </c>
      <c r="C37" s="314"/>
      <c r="D37" s="315"/>
      <c r="E37" s="316"/>
      <c r="F37" s="316"/>
      <c r="G37" s="316"/>
      <c r="H37" s="316"/>
      <c r="I37" s="316"/>
      <c r="J37" s="316"/>
      <c r="K37" s="316"/>
      <c r="L37" s="316"/>
      <c r="M37" s="316"/>
      <c r="N37" s="316"/>
      <c r="O37" s="316"/>
      <c r="P37" s="316"/>
      <c r="Q37" s="316"/>
      <c r="R37" s="316"/>
      <c r="S37" s="316"/>
      <c r="X37" s="301"/>
    </row>
    <row r="38" spans="2:28">
      <c r="C38" s="317" t="s">
        <v>695</v>
      </c>
      <c r="D38" s="317" t="s">
        <v>710</v>
      </c>
      <c r="X38" s="301"/>
    </row>
    <row r="39" spans="2:28">
      <c r="C39" s="317" t="s">
        <v>704</v>
      </c>
      <c r="D39" s="317" t="s">
        <v>713</v>
      </c>
      <c r="X39" s="301"/>
    </row>
    <row r="40" spans="2:28">
      <c r="C40" s="317" t="s">
        <v>705</v>
      </c>
      <c r="D40" s="317" t="s">
        <v>711</v>
      </c>
      <c r="X40" s="301"/>
    </row>
    <row r="41" spans="2:28">
      <c r="C41" s="317" t="s">
        <v>712</v>
      </c>
      <c r="D41" s="317" t="s">
        <v>714</v>
      </c>
      <c r="X41" s="301"/>
    </row>
    <row r="42" spans="2:28">
      <c r="B42" s="318" t="s">
        <v>685</v>
      </c>
      <c r="C42" s="314"/>
      <c r="D42" s="315"/>
      <c r="E42" s="316"/>
      <c r="F42" s="316"/>
      <c r="G42" s="316"/>
      <c r="H42" s="316"/>
      <c r="I42" s="316"/>
      <c r="J42" s="316"/>
      <c r="K42" s="316"/>
      <c r="L42" s="316"/>
      <c r="M42" s="316"/>
      <c r="N42" s="316"/>
      <c r="O42" s="316"/>
      <c r="P42" s="316"/>
      <c r="Q42" s="316"/>
      <c r="R42" s="316"/>
      <c r="S42" s="316"/>
      <c r="X42" s="301"/>
    </row>
    <row r="43" spans="2:28">
      <c r="C43" s="317" t="s">
        <v>688</v>
      </c>
      <c r="D43" s="317" t="s">
        <v>689</v>
      </c>
      <c r="X43" s="301"/>
    </row>
    <row r="44" spans="2:28">
      <c r="C44" s="317" t="s">
        <v>686</v>
      </c>
      <c r="D44" s="317" t="s">
        <v>687</v>
      </c>
      <c r="X44" s="301"/>
    </row>
    <row r="45" spans="2:28">
      <c r="C45" s="317" t="s">
        <v>656</v>
      </c>
      <c r="D45" s="317" t="s">
        <v>690</v>
      </c>
      <c r="X45" s="301"/>
    </row>
    <row r="46" spans="2:28">
      <c r="B46" s="318" t="s">
        <v>654</v>
      </c>
      <c r="C46" s="314"/>
      <c r="D46" s="315"/>
      <c r="E46" s="316"/>
      <c r="F46" s="316"/>
      <c r="G46" s="316"/>
      <c r="H46" s="316"/>
      <c r="I46" s="316"/>
      <c r="J46" s="316"/>
      <c r="K46" s="316"/>
      <c r="L46" s="316"/>
      <c r="M46" s="316"/>
      <c r="N46" s="316"/>
      <c r="O46" s="316"/>
      <c r="P46" s="316"/>
      <c r="Q46" s="316"/>
      <c r="R46" s="316"/>
      <c r="S46" s="316"/>
      <c r="X46" s="301"/>
    </row>
    <row r="47" spans="2:28">
      <c r="C47" s="317" t="s">
        <v>655</v>
      </c>
      <c r="D47" s="317" t="s">
        <v>678</v>
      </c>
      <c r="U47" s="317"/>
      <c r="V47" s="317"/>
      <c r="W47" s="317"/>
      <c r="X47" s="317"/>
      <c r="Y47" s="317"/>
      <c r="Z47" s="317"/>
      <c r="AA47" s="317"/>
      <c r="AB47" s="317"/>
    </row>
    <row r="48" spans="2:28">
      <c r="C48" s="317" t="s">
        <v>656</v>
      </c>
      <c r="D48" s="317" t="s">
        <v>679</v>
      </c>
      <c r="U48" s="317"/>
      <c r="V48" s="317"/>
      <c r="W48" s="317"/>
      <c r="X48" s="317"/>
      <c r="Y48" s="317"/>
      <c r="Z48" s="317"/>
      <c r="AA48" s="317"/>
      <c r="AB48" s="317"/>
    </row>
    <row r="49" spans="2:28">
      <c r="C49" s="317" t="s">
        <v>667</v>
      </c>
      <c r="D49" s="317" t="s">
        <v>668</v>
      </c>
      <c r="U49" s="317"/>
      <c r="V49" s="317"/>
      <c r="W49" s="317"/>
      <c r="X49" s="317"/>
      <c r="Y49" s="317"/>
      <c r="Z49" s="317"/>
      <c r="AA49" s="317"/>
      <c r="AB49" s="317"/>
    </row>
    <row r="50" spans="2:28">
      <c r="C50" s="317" t="s">
        <v>23</v>
      </c>
      <c r="D50" s="317" t="s">
        <v>669</v>
      </c>
      <c r="U50" s="317"/>
      <c r="V50" s="317"/>
      <c r="W50" s="317"/>
      <c r="X50" s="317"/>
      <c r="Y50" s="317"/>
      <c r="Z50" s="317"/>
      <c r="AA50" s="317"/>
      <c r="AB50" s="317"/>
    </row>
    <row r="51" spans="2:28">
      <c r="C51" s="317" t="s">
        <v>179</v>
      </c>
      <c r="D51" s="317" t="s">
        <v>670</v>
      </c>
      <c r="U51" s="317"/>
      <c r="V51" s="317"/>
      <c r="W51" s="317"/>
      <c r="X51" s="317"/>
      <c r="Y51" s="317"/>
      <c r="Z51" s="317"/>
      <c r="AA51" s="317"/>
      <c r="AB51" s="317"/>
    </row>
    <row r="52" spans="2:28">
      <c r="C52" s="317" t="s">
        <v>188</v>
      </c>
      <c r="D52" s="317" t="s">
        <v>680</v>
      </c>
      <c r="U52" s="317"/>
      <c r="V52" s="317"/>
      <c r="W52" s="317"/>
      <c r="X52" s="317"/>
      <c r="Y52" s="317"/>
      <c r="Z52" s="317"/>
      <c r="AA52" s="317"/>
      <c r="AB52" s="317"/>
    </row>
    <row r="53" spans="2:28">
      <c r="C53" s="317" t="s">
        <v>657</v>
      </c>
      <c r="D53" s="317" t="s">
        <v>671</v>
      </c>
      <c r="X53" s="301"/>
    </row>
    <row r="54" spans="2:28">
      <c r="B54" s="318" t="s">
        <v>651</v>
      </c>
      <c r="C54" s="314"/>
      <c r="D54" s="315"/>
      <c r="E54" s="316"/>
      <c r="F54" s="316"/>
      <c r="G54" s="316"/>
      <c r="H54" s="316"/>
      <c r="I54" s="316"/>
      <c r="J54" s="316"/>
      <c r="K54" s="316"/>
      <c r="L54" s="316"/>
      <c r="M54" s="316"/>
      <c r="N54" s="316"/>
      <c r="O54" s="316"/>
      <c r="P54" s="316"/>
      <c r="Q54" s="316"/>
      <c r="R54" s="316"/>
      <c r="S54" s="316"/>
      <c r="X54" s="301"/>
    </row>
    <row r="55" spans="2:28">
      <c r="C55" s="317" t="s">
        <v>652</v>
      </c>
      <c r="X55" s="301"/>
    </row>
    <row r="56" spans="2:28">
      <c r="B56" s="318" t="s">
        <v>650</v>
      </c>
      <c r="C56" s="314"/>
      <c r="D56" s="315"/>
      <c r="E56" s="316"/>
      <c r="F56" s="316"/>
      <c r="G56" s="316"/>
      <c r="H56" s="316"/>
      <c r="I56" s="316"/>
      <c r="J56" s="316"/>
      <c r="K56" s="316"/>
      <c r="L56" s="316"/>
      <c r="M56" s="316"/>
      <c r="N56" s="316"/>
      <c r="O56" s="316"/>
      <c r="P56" s="316"/>
      <c r="Q56" s="316"/>
      <c r="R56" s="316"/>
      <c r="S56" s="316"/>
      <c r="X56" s="301"/>
    </row>
    <row r="57" spans="2:28">
      <c r="C57" s="317" t="s">
        <v>582</v>
      </c>
      <c r="X57" s="301"/>
    </row>
    <row r="58" spans="2:28">
      <c r="B58" s="318" t="s">
        <v>612</v>
      </c>
      <c r="C58" s="314"/>
      <c r="D58" s="315"/>
      <c r="E58" s="316"/>
      <c r="F58" s="316"/>
      <c r="G58" s="316"/>
      <c r="H58" s="316"/>
      <c r="I58" s="316"/>
      <c r="J58" s="316"/>
      <c r="K58" s="316"/>
      <c r="L58" s="316"/>
      <c r="M58" s="316"/>
      <c r="N58" s="316"/>
      <c r="O58" s="316"/>
      <c r="P58" s="316"/>
      <c r="Q58" s="316"/>
      <c r="R58" s="316"/>
      <c r="S58" s="316"/>
      <c r="X58" s="301"/>
    </row>
    <row r="59" spans="2:28">
      <c r="C59" s="317" t="s">
        <v>613</v>
      </c>
      <c r="X59" s="301"/>
    </row>
    <row r="60" spans="2:28">
      <c r="C60" s="317" t="s">
        <v>614</v>
      </c>
      <c r="X60" s="301"/>
    </row>
    <row r="61" spans="2:28">
      <c r="B61" s="318" t="s">
        <v>605</v>
      </c>
      <c r="C61" s="314"/>
      <c r="D61" s="315"/>
      <c r="E61" s="316"/>
      <c r="F61" s="316"/>
      <c r="G61" s="316"/>
      <c r="H61" s="316"/>
      <c r="I61" s="316"/>
      <c r="J61" s="316"/>
      <c r="K61" s="316"/>
      <c r="L61" s="316"/>
      <c r="M61" s="316"/>
      <c r="N61" s="316"/>
      <c r="O61" s="316"/>
      <c r="P61" s="316"/>
      <c r="Q61" s="316"/>
      <c r="R61" s="316"/>
      <c r="S61" s="316"/>
      <c r="X61" s="301"/>
    </row>
    <row r="62" spans="2:28">
      <c r="C62" s="317" t="s">
        <v>582</v>
      </c>
      <c r="X62" s="301"/>
    </row>
    <row r="63" spans="2:28">
      <c r="B63" s="318" t="s">
        <v>584</v>
      </c>
      <c r="C63" s="314"/>
      <c r="D63" s="315"/>
      <c r="E63" s="316"/>
      <c r="F63" s="316"/>
      <c r="G63" s="316"/>
      <c r="H63" s="316"/>
      <c r="I63" s="316"/>
      <c r="J63" s="316"/>
      <c r="K63" s="316"/>
      <c r="L63" s="316"/>
      <c r="M63" s="316"/>
      <c r="N63" s="316"/>
      <c r="O63" s="316"/>
      <c r="P63" s="316"/>
      <c r="Q63" s="316"/>
      <c r="R63" s="316"/>
      <c r="S63" s="316"/>
      <c r="X63" s="301"/>
    </row>
    <row r="64" spans="2:28">
      <c r="C64" s="317" t="s">
        <v>585</v>
      </c>
      <c r="X64" s="301"/>
    </row>
    <row r="65" spans="2:24">
      <c r="C65" s="317" t="s">
        <v>586</v>
      </c>
      <c r="X65" s="301"/>
    </row>
    <row r="66" spans="2:24">
      <c r="C66" s="317" t="s">
        <v>587</v>
      </c>
      <c r="X66" s="301"/>
    </row>
    <row r="67" spans="2:24">
      <c r="C67" s="317" t="s">
        <v>600</v>
      </c>
      <c r="X67" s="301"/>
    </row>
    <row r="68" spans="2:24">
      <c r="B68" s="318" t="s">
        <v>581</v>
      </c>
      <c r="C68" s="314"/>
      <c r="D68" s="315"/>
      <c r="E68" s="316"/>
      <c r="F68" s="316"/>
      <c r="G68" s="316"/>
      <c r="H68" s="316"/>
      <c r="I68" s="316"/>
      <c r="J68" s="316"/>
      <c r="K68" s="316"/>
      <c r="L68" s="316"/>
      <c r="M68" s="316"/>
      <c r="N68" s="316"/>
      <c r="O68" s="316"/>
      <c r="P68" s="316"/>
      <c r="Q68" s="316"/>
      <c r="R68" s="316"/>
      <c r="S68" s="316"/>
      <c r="X68" s="301"/>
    </row>
    <row r="69" spans="2:24">
      <c r="C69" s="317" t="s">
        <v>582</v>
      </c>
      <c r="X69" s="301"/>
    </row>
    <row r="70" spans="2:24">
      <c r="B70" s="318" t="s">
        <v>580</v>
      </c>
      <c r="C70" s="314"/>
      <c r="D70" s="315"/>
      <c r="E70" s="316"/>
      <c r="F70" s="316"/>
      <c r="G70" s="316"/>
      <c r="H70" s="316"/>
      <c r="I70" s="316"/>
      <c r="J70" s="316"/>
      <c r="K70" s="316"/>
      <c r="L70" s="316"/>
      <c r="M70" s="316"/>
      <c r="N70" s="316"/>
      <c r="O70" s="316"/>
      <c r="P70" s="316"/>
      <c r="Q70" s="316"/>
      <c r="R70" s="316"/>
      <c r="S70" s="316"/>
      <c r="X70" s="301"/>
    </row>
    <row r="71" spans="2:24">
      <c r="C71" s="317" t="s">
        <v>582</v>
      </c>
      <c r="X71" s="301"/>
    </row>
    <row r="72" spans="2:24">
      <c r="B72" s="318" t="s">
        <v>565</v>
      </c>
      <c r="C72" s="314"/>
      <c r="D72" s="315"/>
      <c r="E72" s="316"/>
      <c r="F72" s="316"/>
      <c r="G72" s="316"/>
      <c r="H72" s="316"/>
      <c r="I72" s="316"/>
      <c r="J72" s="316"/>
      <c r="K72" s="316"/>
      <c r="L72" s="316"/>
      <c r="M72" s="316"/>
      <c r="N72" s="316"/>
      <c r="O72" s="316"/>
      <c r="P72" s="316"/>
      <c r="Q72" s="316"/>
      <c r="R72" s="316"/>
      <c r="S72" s="316"/>
      <c r="X72" s="301"/>
    </row>
    <row r="73" spans="2:24">
      <c r="C73" s="317" t="s">
        <v>566</v>
      </c>
      <c r="X73" s="301"/>
    </row>
    <row r="74" spans="2:24">
      <c r="C74" s="317" t="s">
        <v>583</v>
      </c>
      <c r="X74" s="301"/>
    </row>
    <row r="75" spans="2:24">
      <c r="B75" s="318" t="s">
        <v>534</v>
      </c>
      <c r="C75" s="314"/>
      <c r="D75" s="315"/>
      <c r="E75" s="316"/>
      <c r="F75" s="316"/>
      <c r="G75" s="316"/>
      <c r="H75" s="316"/>
      <c r="I75" s="316"/>
      <c r="J75" s="316"/>
      <c r="K75" s="316"/>
      <c r="L75" s="316"/>
      <c r="M75" s="316"/>
      <c r="N75" s="316"/>
      <c r="O75" s="316"/>
      <c r="P75" s="316"/>
      <c r="Q75" s="316"/>
      <c r="R75" s="316"/>
      <c r="S75" s="316"/>
      <c r="X75" s="301"/>
    </row>
    <row r="76" spans="2:24">
      <c r="C76" s="317" t="s">
        <v>535</v>
      </c>
    </row>
    <row r="77" spans="2:24">
      <c r="C77" s="317" t="s">
        <v>536</v>
      </c>
    </row>
    <row r="78" spans="2:24">
      <c r="B78" s="318" t="s">
        <v>488</v>
      </c>
      <c r="C78" s="314"/>
      <c r="D78" s="315"/>
      <c r="E78" s="316"/>
      <c r="F78" s="316"/>
      <c r="G78" s="316"/>
      <c r="H78" s="316"/>
      <c r="I78" s="316"/>
      <c r="J78" s="316"/>
      <c r="K78" s="316"/>
      <c r="L78" s="316"/>
      <c r="M78" s="316"/>
      <c r="N78" s="316"/>
      <c r="O78" s="316"/>
      <c r="P78" s="316"/>
      <c r="Q78" s="316"/>
      <c r="R78" s="316"/>
      <c r="S78" s="316"/>
    </row>
    <row r="79" spans="2:24">
      <c r="C79" s="185" t="s">
        <v>492</v>
      </c>
    </row>
    <row r="80" spans="2:24">
      <c r="C80" s="185" t="s">
        <v>491</v>
      </c>
    </row>
    <row r="81" spans="2:19">
      <c r="C81" s="185" t="s">
        <v>490</v>
      </c>
    </row>
    <row r="82" spans="2:19">
      <c r="C82" s="185" t="s">
        <v>533</v>
      </c>
    </row>
    <row r="83" spans="2:19">
      <c r="B83" s="318" t="s">
        <v>429</v>
      </c>
      <c r="C83" s="314"/>
      <c r="D83" s="315"/>
      <c r="E83" s="316"/>
      <c r="F83" s="316"/>
      <c r="G83" s="316"/>
      <c r="H83" s="316"/>
      <c r="I83" s="316"/>
      <c r="J83" s="316"/>
      <c r="K83" s="316"/>
      <c r="L83" s="316"/>
      <c r="M83" s="316"/>
      <c r="N83" s="316"/>
      <c r="O83" s="316"/>
      <c r="P83" s="316"/>
      <c r="Q83" s="316"/>
      <c r="R83" s="316"/>
      <c r="S83" s="316"/>
    </row>
    <row r="84" spans="2:19">
      <c r="B84" s="319"/>
      <c r="C84" s="317" t="s">
        <v>430</v>
      </c>
    </row>
    <row r="85" spans="2:19">
      <c r="B85" s="319"/>
      <c r="C85" s="317" t="s">
        <v>431</v>
      </c>
    </row>
    <row r="86" spans="2:19">
      <c r="B86" s="318" t="s">
        <v>432</v>
      </c>
      <c r="C86" s="314"/>
      <c r="D86" s="315"/>
      <c r="E86" s="316"/>
      <c r="F86" s="316"/>
      <c r="G86" s="316"/>
      <c r="H86" s="316"/>
      <c r="I86" s="316"/>
      <c r="J86" s="316"/>
      <c r="K86" s="316"/>
      <c r="L86" s="316"/>
      <c r="M86" s="316"/>
      <c r="N86" s="316"/>
      <c r="O86" s="316"/>
      <c r="P86" s="316"/>
      <c r="Q86" s="316"/>
      <c r="R86" s="316"/>
      <c r="S86" s="316"/>
    </row>
    <row r="87" spans="2:19">
      <c r="B87" s="319"/>
      <c r="C87" s="317" t="s">
        <v>433</v>
      </c>
    </row>
    <row r="88" spans="2:19">
      <c r="B88" s="318" t="s">
        <v>434</v>
      </c>
      <c r="C88" s="314"/>
      <c r="D88" s="315"/>
      <c r="E88" s="316"/>
      <c r="F88" s="316"/>
      <c r="G88" s="316"/>
      <c r="H88" s="316"/>
      <c r="I88" s="316"/>
      <c r="J88" s="316"/>
      <c r="K88" s="316"/>
      <c r="L88" s="316"/>
      <c r="M88" s="316"/>
      <c r="N88" s="316"/>
      <c r="O88" s="316"/>
      <c r="P88" s="316"/>
      <c r="Q88" s="316"/>
      <c r="R88" s="316"/>
      <c r="S88" s="316"/>
    </row>
    <row r="89" spans="2:19">
      <c r="B89" s="319"/>
      <c r="C89" s="317" t="s">
        <v>435</v>
      </c>
    </row>
    <row r="90" spans="2:19">
      <c r="B90" s="319"/>
      <c r="C90" s="317" t="s">
        <v>436</v>
      </c>
    </row>
    <row r="91" spans="2:19">
      <c r="B91" s="319"/>
      <c r="C91" s="317" t="s">
        <v>437</v>
      </c>
    </row>
    <row r="92" spans="2:19">
      <c r="B92" s="318" t="s">
        <v>438</v>
      </c>
      <c r="C92" s="314"/>
      <c r="D92" s="315"/>
      <c r="E92" s="316"/>
      <c r="F92" s="316"/>
      <c r="G92" s="316"/>
      <c r="H92" s="316"/>
      <c r="I92" s="316"/>
      <c r="J92" s="316"/>
      <c r="K92" s="316"/>
      <c r="L92" s="316"/>
      <c r="M92" s="316"/>
      <c r="N92" s="316"/>
      <c r="O92" s="316"/>
      <c r="P92" s="316"/>
      <c r="Q92" s="316"/>
      <c r="R92" s="316"/>
      <c r="S92" s="316"/>
    </row>
    <row r="93" spans="2:19">
      <c r="B93" s="319"/>
      <c r="C93" s="317" t="s">
        <v>439</v>
      </c>
    </row>
    <row r="94" spans="2:19">
      <c r="B94" s="318" t="s">
        <v>440</v>
      </c>
      <c r="C94" s="314"/>
      <c r="D94" s="315"/>
      <c r="E94" s="316"/>
      <c r="F94" s="316"/>
      <c r="G94" s="316"/>
      <c r="H94" s="316"/>
      <c r="I94" s="316"/>
      <c r="J94" s="316"/>
      <c r="K94" s="316"/>
      <c r="L94" s="316"/>
      <c r="M94" s="316"/>
      <c r="N94" s="316"/>
      <c r="O94" s="316"/>
      <c r="P94" s="316"/>
      <c r="Q94" s="316"/>
      <c r="R94" s="316"/>
      <c r="S94" s="316"/>
    </row>
    <row r="95" spans="2:19">
      <c r="B95" s="319"/>
      <c r="C95" s="317" t="s">
        <v>441</v>
      </c>
    </row>
    <row r="96" spans="2:19">
      <c r="B96" s="319"/>
      <c r="C96" s="317" t="s">
        <v>442</v>
      </c>
    </row>
    <row r="97" spans="2:19">
      <c r="B97" s="319"/>
      <c r="C97" s="317" t="s">
        <v>443</v>
      </c>
    </row>
    <row r="98" spans="2:19">
      <c r="B98" s="318" t="s">
        <v>444</v>
      </c>
      <c r="C98" s="314"/>
      <c r="D98" s="315"/>
      <c r="E98" s="316"/>
      <c r="F98" s="316"/>
      <c r="G98" s="316"/>
      <c r="H98" s="316"/>
      <c r="I98" s="316"/>
      <c r="J98" s="316"/>
      <c r="K98" s="316"/>
      <c r="L98" s="316"/>
      <c r="M98" s="316"/>
      <c r="N98" s="316"/>
      <c r="O98" s="316"/>
      <c r="P98" s="316"/>
      <c r="Q98" s="316"/>
      <c r="R98" s="316"/>
      <c r="S98" s="316"/>
    </row>
    <row r="99" spans="2:19">
      <c r="B99" s="319"/>
      <c r="C99" s="317" t="s">
        <v>445</v>
      </c>
    </row>
    <row r="100" spans="2:19">
      <c r="B100" s="319"/>
      <c r="C100" s="317" t="s">
        <v>446</v>
      </c>
    </row>
    <row r="101" spans="2:19">
      <c r="B101" s="319"/>
      <c r="C101" s="317" t="s">
        <v>447</v>
      </c>
    </row>
    <row r="102" spans="2:19">
      <c r="B102" s="318" t="s">
        <v>448</v>
      </c>
      <c r="C102" s="314"/>
      <c r="D102" s="315"/>
      <c r="E102" s="316"/>
      <c r="F102" s="316"/>
      <c r="G102" s="316"/>
      <c r="H102" s="316"/>
      <c r="I102" s="316"/>
      <c r="J102" s="316"/>
      <c r="K102" s="316"/>
      <c r="L102" s="316"/>
      <c r="M102" s="316"/>
      <c r="N102" s="316"/>
      <c r="O102" s="316"/>
      <c r="P102" s="316"/>
      <c r="Q102" s="316"/>
      <c r="R102" s="316"/>
      <c r="S102" s="316"/>
    </row>
    <row r="103" spans="2:19">
      <c r="B103" s="319"/>
      <c r="C103" s="317" t="s">
        <v>449</v>
      </c>
    </row>
    <row r="104" spans="2:19">
      <c r="B104" s="318" t="s">
        <v>450</v>
      </c>
      <c r="C104" s="314"/>
      <c r="D104" s="315"/>
      <c r="E104" s="316"/>
      <c r="F104" s="316"/>
      <c r="G104" s="316"/>
      <c r="H104" s="316"/>
      <c r="I104" s="316"/>
      <c r="J104" s="316"/>
      <c r="K104" s="316"/>
      <c r="L104" s="316"/>
      <c r="M104" s="316"/>
      <c r="N104" s="316"/>
      <c r="O104" s="316"/>
      <c r="P104" s="316"/>
      <c r="Q104" s="316"/>
      <c r="R104" s="316"/>
      <c r="S104" s="316"/>
    </row>
    <row r="105" spans="2:19">
      <c r="B105" s="319"/>
      <c r="C105" s="317" t="s">
        <v>343</v>
      </c>
    </row>
    <row r="106" spans="2:19">
      <c r="B106" s="318" t="s">
        <v>451</v>
      </c>
      <c r="C106" s="314"/>
      <c r="D106" s="315"/>
      <c r="E106" s="316"/>
      <c r="F106" s="316"/>
      <c r="G106" s="316"/>
      <c r="H106" s="316"/>
      <c r="I106" s="316"/>
      <c r="J106" s="316"/>
      <c r="K106" s="316"/>
      <c r="L106" s="316"/>
      <c r="M106" s="316"/>
      <c r="N106" s="316"/>
      <c r="O106" s="316"/>
      <c r="P106" s="316"/>
      <c r="Q106" s="316"/>
      <c r="R106" s="316"/>
      <c r="S106" s="316"/>
    </row>
    <row r="107" spans="2:19">
      <c r="B107" s="319"/>
      <c r="C107" s="317" t="s">
        <v>300</v>
      </c>
    </row>
    <row r="108" spans="2:19">
      <c r="B108" s="319"/>
      <c r="C108" s="317" t="s">
        <v>301</v>
      </c>
    </row>
    <row r="109" spans="2:19">
      <c r="B109" s="318" t="s">
        <v>452</v>
      </c>
      <c r="C109" s="314"/>
      <c r="D109" s="315"/>
      <c r="E109" s="316"/>
      <c r="F109" s="316"/>
      <c r="G109" s="316"/>
      <c r="H109" s="316"/>
      <c r="I109" s="316"/>
      <c r="J109" s="316"/>
      <c r="K109" s="316"/>
      <c r="L109" s="316"/>
      <c r="M109" s="316"/>
      <c r="N109" s="316"/>
      <c r="O109" s="316"/>
      <c r="P109" s="316"/>
      <c r="Q109" s="316"/>
      <c r="R109" s="316"/>
      <c r="S109" s="316"/>
    </row>
    <row r="110" spans="2:19">
      <c r="B110" s="319"/>
      <c r="C110" s="317" t="s">
        <v>468</v>
      </c>
    </row>
    <row r="111" spans="2:19">
      <c r="B111" s="318" t="s">
        <v>453</v>
      </c>
      <c r="C111" s="314"/>
      <c r="D111" s="315"/>
      <c r="E111" s="316"/>
      <c r="F111" s="316"/>
      <c r="G111" s="316"/>
      <c r="H111" s="316"/>
      <c r="I111" s="316"/>
      <c r="J111" s="316"/>
      <c r="K111" s="316"/>
      <c r="L111" s="316"/>
      <c r="M111" s="316"/>
      <c r="N111" s="316"/>
      <c r="O111" s="316"/>
      <c r="P111" s="316"/>
      <c r="Q111" s="316"/>
      <c r="R111" s="316"/>
      <c r="S111" s="316"/>
    </row>
    <row r="112" spans="2:19" ht="16.5">
      <c r="B112" s="319"/>
      <c r="C112" s="317" t="s">
        <v>469</v>
      </c>
    </row>
    <row r="113" spans="2:19" ht="16.5">
      <c r="B113" s="319"/>
      <c r="C113" s="317" t="s">
        <v>470</v>
      </c>
    </row>
    <row r="114" spans="2:19">
      <c r="B114" s="318" t="s">
        <v>454</v>
      </c>
      <c r="C114" s="314"/>
      <c r="D114" s="315"/>
      <c r="E114" s="316"/>
      <c r="F114" s="316"/>
      <c r="G114" s="316"/>
      <c r="H114" s="316"/>
      <c r="I114" s="316"/>
      <c r="J114" s="316"/>
      <c r="K114" s="316"/>
      <c r="L114" s="316"/>
      <c r="M114" s="316"/>
      <c r="N114" s="316"/>
      <c r="O114" s="316"/>
      <c r="P114" s="316"/>
      <c r="Q114" s="316"/>
      <c r="R114" s="316"/>
      <c r="S114" s="316"/>
    </row>
    <row r="115" spans="2:19">
      <c r="B115" s="319"/>
      <c r="C115" s="317" t="s">
        <v>455</v>
      </c>
    </row>
    <row r="116" spans="2:19">
      <c r="B116" s="319"/>
      <c r="C116" s="317" t="s">
        <v>456</v>
      </c>
    </row>
    <row r="117" spans="2:19">
      <c r="B117" s="318" t="s">
        <v>457</v>
      </c>
      <c r="C117" s="314"/>
      <c r="D117" s="315"/>
      <c r="E117" s="316"/>
      <c r="F117" s="316"/>
      <c r="G117" s="316"/>
      <c r="H117" s="316"/>
      <c r="I117" s="316"/>
      <c r="J117" s="316"/>
      <c r="K117" s="316"/>
      <c r="L117" s="316"/>
      <c r="M117" s="316"/>
      <c r="N117" s="316"/>
      <c r="O117" s="316"/>
      <c r="P117" s="316"/>
      <c r="Q117" s="316"/>
      <c r="R117" s="316"/>
      <c r="S117" s="316"/>
    </row>
    <row r="118" spans="2:19">
      <c r="B118" s="319"/>
      <c r="C118" s="317" t="s">
        <v>458</v>
      </c>
    </row>
    <row r="119" spans="2:19">
      <c r="B119" s="318" t="s">
        <v>459</v>
      </c>
      <c r="C119" s="314"/>
      <c r="D119" s="315"/>
      <c r="E119" s="316"/>
      <c r="F119" s="316"/>
      <c r="G119" s="316"/>
      <c r="H119" s="316"/>
      <c r="I119" s="316"/>
      <c r="J119" s="316"/>
      <c r="K119" s="316"/>
      <c r="L119" s="316"/>
      <c r="M119" s="316"/>
      <c r="N119" s="316"/>
      <c r="O119" s="316"/>
      <c r="P119" s="316"/>
      <c r="Q119" s="316"/>
      <c r="R119" s="316"/>
      <c r="S119" s="316"/>
    </row>
    <row r="120" spans="2:19">
      <c r="B120" s="319"/>
      <c r="C120" s="317" t="s">
        <v>460</v>
      </c>
    </row>
    <row r="121" spans="2:19">
      <c r="B121" s="319"/>
      <c r="C121" s="317" t="s">
        <v>461</v>
      </c>
    </row>
    <row r="122" spans="2:19">
      <c r="B122" s="318" t="s">
        <v>258</v>
      </c>
      <c r="C122" s="314"/>
      <c r="D122" s="316"/>
      <c r="E122" s="316"/>
      <c r="F122" s="316"/>
      <c r="G122" s="316"/>
      <c r="H122" s="316"/>
      <c r="I122" s="316"/>
      <c r="J122" s="316"/>
      <c r="K122" s="316"/>
      <c r="L122" s="316"/>
      <c r="M122" s="316"/>
      <c r="N122" s="316"/>
      <c r="O122" s="316"/>
      <c r="P122" s="316"/>
      <c r="Q122" s="316"/>
      <c r="R122" s="316"/>
      <c r="S122" s="316"/>
    </row>
    <row r="123" spans="2:19">
      <c r="D123" s="317" t="s">
        <v>204</v>
      </c>
    </row>
    <row r="124" spans="2:19">
      <c r="D124" s="317" t="s">
        <v>209</v>
      </c>
    </row>
    <row r="125" spans="2:19">
      <c r="D125" s="317" t="s">
        <v>227</v>
      </c>
    </row>
    <row r="126" spans="2:19">
      <c r="D126" s="317" t="s">
        <v>218</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F0C15-44B6-409B-A31B-44843D201E13}">
  <sheetPr>
    <tabColor theme="7" tint="0.39997558519241921"/>
  </sheetPr>
  <dimension ref="B1:T62"/>
  <sheetViews>
    <sheetView topLeftCell="A6" zoomScale="85" zoomScaleNormal="85" workbookViewId="0">
      <selection activeCell="C12" sqref="C12:I12"/>
    </sheetView>
  </sheetViews>
  <sheetFormatPr defaultColWidth="9.140625" defaultRowHeight="15" outlineLevelCol="1"/>
  <cols>
    <col min="1" max="2" width="5.42578125" style="25" customWidth="1"/>
    <col min="3"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1.42578125" style="26" customWidth="1"/>
    <col min="10" max="15" width="15.85546875" style="26" customWidth="1"/>
    <col min="16" max="16" width="17.5703125" style="26" customWidth="1"/>
    <col min="17" max="17" width="17.5703125" style="26" hidden="1" customWidth="1"/>
    <col min="18" max="18" width="17.5703125" style="80" customWidth="1"/>
    <col min="19" max="19" width="34.5703125" style="26" bestFit="1" customWidth="1"/>
    <col min="20" max="20" width="3" style="25" customWidth="1"/>
    <col min="21" max="21" width="6.28515625" style="25" customWidth="1"/>
    <col min="22" max="16384" width="9.140625" style="25"/>
  </cols>
  <sheetData>
    <row r="1" spans="2:20" ht="21.75" customHeight="1" thickBot="1">
      <c r="C1" s="132"/>
      <c r="D1" s="132"/>
    </row>
    <row r="2" spans="2:20" ht="15.75" thickBot="1">
      <c r="C2" s="149" t="s">
        <v>166</v>
      </c>
      <c r="D2" s="150">
        <v>45869</v>
      </c>
      <c r="F2" s="25"/>
      <c r="G2" s="25"/>
      <c r="H2" s="25"/>
      <c r="I2" s="25"/>
      <c r="J2" s="25"/>
      <c r="K2" s="25"/>
      <c r="L2" s="25"/>
      <c r="M2" s="25"/>
      <c r="N2" s="25"/>
      <c r="O2" s="25"/>
      <c r="P2" s="25"/>
      <c r="Q2" s="25"/>
      <c r="R2" s="25"/>
      <c r="S2" s="25"/>
    </row>
    <row r="3" spans="2:20" ht="21.75" customHeight="1" thickBot="1">
      <c r="C3" s="132"/>
      <c r="D3" s="132"/>
    </row>
    <row r="4" spans="2:20">
      <c r="B4" s="58"/>
      <c r="C4" s="59"/>
      <c r="D4" s="59"/>
      <c r="E4" s="60"/>
      <c r="F4" s="60"/>
      <c r="G4" s="60"/>
      <c r="H4" s="60"/>
      <c r="I4" s="60"/>
      <c r="J4" s="60"/>
      <c r="K4" s="60"/>
      <c r="L4" s="60"/>
      <c r="M4" s="60"/>
      <c r="N4" s="60"/>
      <c r="O4" s="60"/>
      <c r="P4" s="60"/>
      <c r="Q4" s="60"/>
      <c r="R4" s="133"/>
      <c r="S4" s="60"/>
      <c r="T4" s="62"/>
    </row>
    <row r="5" spans="2:20" s="178" customFormat="1">
      <c r="B5" s="194"/>
      <c r="C5" s="195"/>
      <c r="D5" s="195"/>
      <c r="E5" s="196">
        <v>2</v>
      </c>
      <c r="F5" s="196">
        <v>3</v>
      </c>
      <c r="G5" s="196">
        <v>4</v>
      </c>
      <c r="H5" s="196">
        <v>5</v>
      </c>
      <c r="I5" s="196">
        <v>6</v>
      </c>
      <c r="J5" s="196">
        <v>7</v>
      </c>
      <c r="K5" s="196">
        <v>8</v>
      </c>
      <c r="L5" s="196">
        <v>9</v>
      </c>
      <c r="M5" s="196">
        <v>10</v>
      </c>
      <c r="N5" s="196">
        <v>11</v>
      </c>
      <c r="O5" s="196">
        <v>12</v>
      </c>
      <c r="P5" s="196">
        <v>13</v>
      </c>
      <c r="Q5" s="196"/>
      <c r="R5" s="196">
        <v>14</v>
      </c>
      <c r="S5" s="196">
        <v>15</v>
      </c>
      <c r="T5" s="197"/>
    </row>
    <row r="6" spans="2:20" s="65" customFormat="1" ht="60" customHeight="1">
      <c r="B6" s="63"/>
      <c r="C6" s="3" t="s">
        <v>50</v>
      </c>
      <c r="D6" s="3" t="s">
        <v>149</v>
      </c>
      <c r="E6" s="1" t="s">
        <v>25</v>
      </c>
      <c r="F6" s="1" t="s">
        <v>60</v>
      </c>
      <c r="G6" s="1" t="s">
        <v>31</v>
      </c>
      <c r="H6" s="1" t="s">
        <v>276</v>
      </c>
      <c r="I6" s="1" t="s">
        <v>36</v>
      </c>
      <c r="J6" s="1" t="s">
        <v>52</v>
      </c>
      <c r="K6" s="1" t="s">
        <v>32</v>
      </c>
      <c r="L6" s="1" t="s">
        <v>2</v>
      </c>
      <c r="M6" s="1" t="s">
        <v>49</v>
      </c>
      <c r="N6" s="1" t="s">
        <v>33</v>
      </c>
      <c r="O6" s="1" t="s">
        <v>27</v>
      </c>
      <c r="P6" s="1" t="s">
        <v>167</v>
      </c>
      <c r="Q6" s="1" t="s">
        <v>346</v>
      </c>
      <c r="R6" s="1" t="s">
        <v>34</v>
      </c>
      <c r="S6" s="1" t="s">
        <v>383</v>
      </c>
      <c r="T6" s="64"/>
    </row>
    <row r="7" spans="2:20">
      <c r="B7" s="66"/>
      <c r="C7" s="5"/>
      <c r="D7" s="5"/>
      <c r="E7" s="8"/>
      <c r="F7" s="8"/>
      <c r="G7" s="8"/>
      <c r="H7" s="8"/>
      <c r="I7" s="8" t="s">
        <v>82</v>
      </c>
      <c r="J7" s="8" t="s">
        <v>52</v>
      </c>
      <c r="K7" s="8" t="s">
        <v>230</v>
      </c>
      <c r="L7" s="8" t="s">
        <v>230</v>
      </c>
      <c r="M7" s="8" t="s">
        <v>230</v>
      </c>
      <c r="N7" s="8" t="s">
        <v>230</v>
      </c>
      <c r="O7" s="8" t="s">
        <v>230</v>
      </c>
      <c r="P7" s="8" t="s">
        <v>230</v>
      </c>
      <c r="Q7" s="8"/>
      <c r="R7" s="12" t="s">
        <v>231</v>
      </c>
      <c r="S7" s="8"/>
      <c r="T7" s="67"/>
    </row>
    <row r="8" spans="2:20">
      <c r="B8" s="66"/>
      <c r="C8" s="422" t="s">
        <v>539</v>
      </c>
      <c r="D8" s="334"/>
      <c r="E8" s="335"/>
      <c r="F8" s="335"/>
      <c r="G8" s="335"/>
      <c r="H8" s="335"/>
      <c r="I8" s="336"/>
      <c r="J8" s="337"/>
      <c r="K8" s="338"/>
      <c r="L8" s="338"/>
      <c r="M8" s="338"/>
      <c r="N8" s="338"/>
      <c r="O8" s="338"/>
      <c r="P8" s="338"/>
      <c r="Q8" s="338"/>
      <c r="R8" s="339"/>
      <c r="S8" s="335"/>
      <c r="T8" s="67"/>
    </row>
    <row r="9" spans="2:20">
      <c r="B9" s="66"/>
      <c r="C9" s="4" t="s">
        <v>357</v>
      </c>
      <c r="D9" s="32" t="s">
        <v>248</v>
      </c>
      <c r="E9" s="2" t="s">
        <v>77</v>
      </c>
      <c r="F9" s="2">
        <v>0</v>
      </c>
      <c r="G9" s="2" t="s">
        <v>8</v>
      </c>
      <c r="H9" s="6">
        <v>2023</v>
      </c>
      <c r="I9" s="6" t="s">
        <v>67</v>
      </c>
      <c r="J9" s="90">
        <v>0.11483735948644427</v>
      </c>
      <c r="K9" s="17">
        <v>6</v>
      </c>
      <c r="L9" s="17">
        <v>6</v>
      </c>
      <c r="M9" s="17">
        <v>0</v>
      </c>
      <c r="N9" s="17">
        <v>0</v>
      </c>
      <c r="O9" s="17">
        <v>15.3</v>
      </c>
      <c r="P9" s="17">
        <v>9.3000000000000007</v>
      </c>
      <c r="Q9" s="17" t="s">
        <v>121</v>
      </c>
      <c r="R9" s="10">
        <v>2.5500000000000003</v>
      </c>
      <c r="S9" s="2" t="s">
        <v>827</v>
      </c>
      <c r="T9" s="67"/>
    </row>
    <row r="10" spans="2:20">
      <c r="B10" s="66"/>
      <c r="C10" s="4" t="s">
        <v>285</v>
      </c>
      <c r="D10" s="32" t="s">
        <v>248</v>
      </c>
      <c r="E10" s="2" t="s">
        <v>77</v>
      </c>
      <c r="F10" s="2">
        <v>0</v>
      </c>
      <c r="G10" s="2" t="s">
        <v>8</v>
      </c>
      <c r="H10" s="6">
        <v>2023</v>
      </c>
      <c r="I10" s="6" t="s">
        <v>66</v>
      </c>
      <c r="J10" s="90">
        <v>6.2660799818224002E-3</v>
      </c>
      <c r="K10" s="17">
        <v>14.999998939999999</v>
      </c>
      <c r="L10" s="17">
        <v>14.999998939999999</v>
      </c>
      <c r="M10" s="17">
        <v>0</v>
      </c>
      <c r="N10" s="17">
        <v>0</v>
      </c>
      <c r="O10" s="17">
        <v>2.4000000000000004</v>
      </c>
      <c r="P10" s="17">
        <v>-12.599998939999999</v>
      </c>
      <c r="Q10" s="17" t="s">
        <v>121</v>
      </c>
      <c r="R10" s="10">
        <v>0.16000001130666749</v>
      </c>
      <c r="S10" s="2"/>
      <c r="T10" s="67"/>
    </row>
    <row r="11" spans="2:20">
      <c r="B11" s="66"/>
      <c r="C11" s="4" t="s">
        <v>232</v>
      </c>
      <c r="D11" s="32" t="s">
        <v>248</v>
      </c>
      <c r="E11" s="2" t="s">
        <v>77</v>
      </c>
      <c r="F11" s="2">
        <v>0</v>
      </c>
      <c r="G11" s="2" t="s">
        <v>567</v>
      </c>
      <c r="H11" s="6">
        <v>2022</v>
      </c>
      <c r="I11" s="6" t="s">
        <v>67</v>
      </c>
      <c r="J11" s="90">
        <v>2.6056201366696233E-2</v>
      </c>
      <c r="K11" s="17">
        <v>15</v>
      </c>
      <c r="L11" s="17">
        <v>15</v>
      </c>
      <c r="M11" s="17">
        <v>0</v>
      </c>
      <c r="N11" s="17">
        <v>0</v>
      </c>
      <c r="O11" s="17">
        <v>32.341280400000002</v>
      </c>
      <c r="P11" s="17">
        <v>17.341280400000002</v>
      </c>
      <c r="Q11" s="17">
        <v>0</v>
      </c>
      <c r="R11" s="10">
        <v>2.1560853600000001</v>
      </c>
      <c r="S11" s="2"/>
      <c r="T11" s="67"/>
    </row>
    <row r="12" spans="2:20">
      <c r="B12" s="66"/>
      <c r="C12" s="4" t="s">
        <v>206</v>
      </c>
      <c r="D12" s="32" t="s">
        <v>248</v>
      </c>
      <c r="E12" s="2" t="s">
        <v>77</v>
      </c>
      <c r="F12" s="2">
        <v>0</v>
      </c>
      <c r="G12" s="2" t="s">
        <v>8</v>
      </c>
      <c r="H12" s="6">
        <v>2022</v>
      </c>
      <c r="I12" s="6" t="s">
        <v>805</v>
      </c>
      <c r="J12" s="90">
        <v>0.12121516021886683</v>
      </c>
      <c r="K12" s="17">
        <v>15</v>
      </c>
      <c r="L12" s="17">
        <v>15</v>
      </c>
      <c r="M12" s="17">
        <v>0</v>
      </c>
      <c r="N12" s="17">
        <v>0</v>
      </c>
      <c r="O12" s="17">
        <v>38.464730150000001</v>
      </c>
      <c r="P12" s="17">
        <v>23.464730150000001</v>
      </c>
      <c r="Q12" s="17">
        <v>0</v>
      </c>
      <c r="R12" s="10">
        <v>2.5643153433333334</v>
      </c>
      <c r="S12" s="2"/>
      <c r="T12" s="67"/>
    </row>
    <row r="13" spans="2:20">
      <c r="B13" s="66"/>
      <c r="C13" s="4" t="s">
        <v>40</v>
      </c>
      <c r="D13" s="32" t="s">
        <v>248</v>
      </c>
      <c r="E13" s="2" t="s">
        <v>77</v>
      </c>
      <c r="F13" s="2">
        <v>0</v>
      </c>
      <c r="G13" s="2" t="s">
        <v>8</v>
      </c>
      <c r="H13" s="6">
        <v>2021</v>
      </c>
      <c r="I13" s="6" t="s">
        <v>68</v>
      </c>
      <c r="J13" s="90">
        <v>8.0999999999999996E-3</v>
      </c>
      <c r="K13" s="17">
        <v>39.999983359999995</v>
      </c>
      <c r="L13" s="17">
        <v>39.999983359999995</v>
      </c>
      <c r="M13" s="17">
        <v>0</v>
      </c>
      <c r="N13" s="17">
        <v>0</v>
      </c>
      <c r="O13" s="17">
        <v>21.135483260000001</v>
      </c>
      <c r="P13" s="17">
        <v>-18.864500099999994</v>
      </c>
      <c r="Q13" s="17">
        <v>0</v>
      </c>
      <c r="R13" s="10">
        <v>0.52838730130911749</v>
      </c>
      <c r="S13" s="2"/>
      <c r="T13" s="67"/>
    </row>
    <row r="14" spans="2:20">
      <c r="B14" s="66"/>
      <c r="C14" s="4" t="s">
        <v>41</v>
      </c>
      <c r="D14" s="32" t="s">
        <v>248</v>
      </c>
      <c r="E14" s="2" t="s">
        <v>77</v>
      </c>
      <c r="F14" s="2">
        <v>0</v>
      </c>
      <c r="G14" s="2" t="s">
        <v>8</v>
      </c>
      <c r="H14" s="6">
        <v>2021</v>
      </c>
      <c r="I14" s="6" t="s">
        <v>73</v>
      </c>
      <c r="J14" s="90">
        <v>0.15458937198067632</v>
      </c>
      <c r="K14" s="17">
        <v>8</v>
      </c>
      <c r="L14" s="17">
        <v>8</v>
      </c>
      <c r="M14" s="17">
        <v>0</v>
      </c>
      <c r="N14" s="17">
        <v>0</v>
      </c>
      <c r="O14" s="17">
        <v>4.7</v>
      </c>
      <c r="P14" s="17">
        <v>-3.3</v>
      </c>
      <c r="Q14" s="17">
        <v>0</v>
      </c>
      <c r="R14" s="10">
        <v>0.58750000000000002</v>
      </c>
      <c r="S14" s="2"/>
      <c r="T14" s="67"/>
    </row>
    <row r="15" spans="2:20">
      <c r="B15" s="66"/>
      <c r="C15" s="4" t="s">
        <v>9</v>
      </c>
      <c r="D15" s="32" t="s">
        <v>248</v>
      </c>
      <c r="E15" s="2" t="s">
        <v>77</v>
      </c>
      <c r="F15" s="2">
        <v>0</v>
      </c>
      <c r="G15" s="2" t="s">
        <v>8</v>
      </c>
      <c r="H15" s="6">
        <v>2020</v>
      </c>
      <c r="I15" s="6" t="s">
        <v>71</v>
      </c>
      <c r="J15" s="90">
        <v>0.14383199266284313</v>
      </c>
      <c r="K15" s="17">
        <v>60</v>
      </c>
      <c r="L15" s="17">
        <v>60</v>
      </c>
      <c r="M15" s="17">
        <v>0</v>
      </c>
      <c r="N15" s="17">
        <v>0</v>
      </c>
      <c r="O15" s="17">
        <v>40.299999999999997</v>
      </c>
      <c r="P15" s="17">
        <v>-19.700000000000003</v>
      </c>
      <c r="Q15" s="17">
        <v>96.4</v>
      </c>
      <c r="R15" s="10">
        <v>0.67166666666666663</v>
      </c>
      <c r="S15" s="2"/>
      <c r="T15" s="67"/>
    </row>
    <row r="16" spans="2:20">
      <c r="B16" s="66"/>
      <c r="C16" s="4" t="s">
        <v>37</v>
      </c>
      <c r="D16" s="32" t="s">
        <v>248</v>
      </c>
      <c r="E16" s="2" t="s">
        <v>77</v>
      </c>
      <c r="F16" s="2">
        <v>0</v>
      </c>
      <c r="G16" s="2" t="s">
        <v>8</v>
      </c>
      <c r="H16" s="6">
        <v>2020</v>
      </c>
      <c r="I16" s="6" t="s">
        <v>66</v>
      </c>
      <c r="J16" s="90">
        <v>9.4347728005070269E-2</v>
      </c>
      <c r="K16" s="17">
        <v>90</v>
      </c>
      <c r="L16" s="17">
        <v>90</v>
      </c>
      <c r="M16" s="17">
        <v>0</v>
      </c>
      <c r="N16" s="17">
        <v>0</v>
      </c>
      <c r="O16" s="17">
        <v>41.003703740999995</v>
      </c>
      <c r="P16" s="17">
        <v>-48.996296259000005</v>
      </c>
      <c r="Q16" s="17">
        <v>1.042</v>
      </c>
      <c r="R16" s="10">
        <v>0.45559670823333326</v>
      </c>
      <c r="S16" s="2"/>
      <c r="T16" s="67"/>
    </row>
    <row r="17" spans="2:20">
      <c r="B17" s="66"/>
      <c r="C17" s="4" t="s">
        <v>85</v>
      </c>
      <c r="D17" s="32" t="s">
        <v>248</v>
      </c>
      <c r="E17" s="2" t="s">
        <v>77</v>
      </c>
      <c r="F17" s="2">
        <v>0</v>
      </c>
      <c r="G17" s="2" t="s">
        <v>8</v>
      </c>
      <c r="H17" s="6">
        <v>2020</v>
      </c>
      <c r="I17" s="6" t="s">
        <v>44</v>
      </c>
      <c r="J17" s="90">
        <v>4.6395018054319954E-2</v>
      </c>
      <c r="K17" s="17">
        <v>141.4702596743665</v>
      </c>
      <c r="L17" s="17">
        <v>141.4702596743665</v>
      </c>
      <c r="M17" s="17">
        <v>0</v>
      </c>
      <c r="N17" s="17">
        <v>0</v>
      </c>
      <c r="O17" s="17">
        <v>119.4119762184</v>
      </c>
      <c r="P17" s="17">
        <v>-22.058283455966503</v>
      </c>
      <c r="Q17" s="17">
        <v>-9.8450000000000006</v>
      </c>
      <c r="R17" s="10">
        <v>0.84407829951864211</v>
      </c>
      <c r="S17" s="2"/>
      <c r="T17" s="67"/>
    </row>
    <row r="18" spans="2:20">
      <c r="B18" s="66"/>
      <c r="C18" s="4" t="s">
        <v>38</v>
      </c>
      <c r="D18" s="32" t="s">
        <v>248</v>
      </c>
      <c r="E18" s="2" t="s">
        <v>77</v>
      </c>
      <c r="F18" s="2">
        <v>0</v>
      </c>
      <c r="G18" s="2" t="s">
        <v>8</v>
      </c>
      <c r="H18" s="6">
        <v>2019</v>
      </c>
      <c r="I18" s="6" t="s">
        <v>74</v>
      </c>
      <c r="J18" s="90">
        <v>3.5329981573981609E-2</v>
      </c>
      <c r="K18" s="17">
        <v>10</v>
      </c>
      <c r="L18" s="17">
        <v>10</v>
      </c>
      <c r="M18" s="17">
        <v>0</v>
      </c>
      <c r="N18" s="17">
        <v>0</v>
      </c>
      <c r="O18" s="17">
        <v>37.118730497400001</v>
      </c>
      <c r="P18" s="17">
        <v>27.118730497400001</v>
      </c>
      <c r="Q18" s="17">
        <v>68.099999999999994</v>
      </c>
      <c r="R18" s="10">
        <v>3.7118730497400003</v>
      </c>
      <c r="S18" s="2" t="s">
        <v>828</v>
      </c>
      <c r="T18" s="67"/>
    </row>
    <row r="19" spans="2:20">
      <c r="B19" s="66"/>
      <c r="C19" s="5"/>
      <c r="D19" s="13"/>
      <c r="E19" s="7"/>
      <c r="F19" s="7"/>
      <c r="G19" s="7"/>
      <c r="H19" s="7"/>
      <c r="I19" s="14"/>
      <c r="J19" s="170"/>
      <c r="K19" s="24"/>
      <c r="L19" s="24"/>
      <c r="M19" s="24"/>
      <c r="N19" s="24"/>
      <c r="O19" s="24"/>
      <c r="P19" s="24"/>
      <c r="Q19" s="24"/>
      <c r="R19" s="15"/>
      <c r="S19" s="180"/>
      <c r="T19" s="67"/>
    </row>
    <row r="20" spans="2:20">
      <c r="B20" s="66"/>
      <c r="C20" s="9"/>
      <c r="D20" s="9"/>
      <c r="E20" s="9"/>
      <c r="F20" s="9"/>
      <c r="G20" s="9"/>
      <c r="H20" s="9"/>
      <c r="I20" s="9"/>
      <c r="J20" s="93"/>
      <c r="K20" s="18">
        <v>400.4702419743665</v>
      </c>
      <c r="L20" s="18">
        <v>400.4702419743665</v>
      </c>
      <c r="M20" s="18">
        <v>0</v>
      </c>
      <c r="N20" s="18">
        <v>0</v>
      </c>
      <c r="O20" s="18">
        <v>352.17590426680005</v>
      </c>
      <c r="P20" s="18">
        <v>-48.294337707566456</v>
      </c>
      <c r="Q20" s="18">
        <v>155.697</v>
      </c>
      <c r="R20" s="11">
        <v>0.87940592671887541</v>
      </c>
      <c r="S20" s="9"/>
      <c r="T20" s="67"/>
    </row>
    <row r="21" spans="2:20">
      <c r="B21" s="66"/>
      <c r="C21" s="145"/>
      <c r="D21" s="145"/>
      <c r="E21" s="145"/>
      <c r="F21" s="145"/>
      <c r="G21" s="145"/>
      <c r="H21" s="145"/>
      <c r="I21" s="145"/>
      <c r="J21" s="92"/>
      <c r="M21" s="146"/>
      <c r="R21" s="147"/>
      <c r="S21" s="145"/>
      <c r="T21" s="67"/>
    </row>
    <row r="22" spans="2:20">
      <c r="B22" s="66"/>
      <c r="C22" s="422" t="s">
        <v>540</v>
      </c>
      <c r="D22" s="334"/>
      <c r="E22" s="335"/>
      <c r="F22" s="335"/>
      <c r="G22" s="335"/>
      <c r="H22" s="335"/>
      <c r="I22" s="336"/>
      <c r="J22" s="337"/>
      <c r="K22" s="338"/>
      <c r="L22" s="338"/>
      <c r="M22" s="338"/>
      <c r="N22" s="338"/>
      <c r="O22" s="338"/>
      <c r="P22" s="338"/>
      <c r="Q22" s="338"/>
      <c r="R22" s="339"/>
      <c r="S22" s="335"/>
      <c r="T22" s="67"/>
    </row>
    <row r="23" spans="2:20">
      <c r="B23" s="66"/>
      <c r="C23" s="4" t="s">
        <v>19</v>
      </c>
      <c r="D23" s="32" t="s">
        <v>248</v>
      </c>
      <c r="E23" s="2" t="s">
        <v>780</v>
      </c>
      <c r="F23" s="2">
        <v>0</v>
      </c>
      <c r="G23" s="2" t="s">
        <v>545</v>
      </c>
      <c r="H23" s="6">
        <v>2022</v>
      </c>
      <c r="I23" s="6" t="s">
        <v>76</v>
      </c>
      <c r="J23" s="90">
        <v>8.7800000000000003E-2</v>
      </c>
      <c r="K23" s="17">
        <v>300</v>
      </c>
      <c r="L23" s="17">
        <v>300</v>
      </c>
      <c r="M23" s="17">
        <v>0</v>
      </c>
      <c r="N23" s="17">
        <v>84.804486139999995</v>
      </c>
      <c r="O23" s="17">
        <v>325.79091974099998</v>
      </c>
      <c r="P23" s="17">
        <v>110.59540588099998</v>
      </c>
      <c r="Q23" s="17">
        <v>0</v>
      </c>
      <c r="R23" s="10">
        <v>1.3686513529366666</v>
      </c>
      <c r="S23" s="87" t="s">
        <v>829</v>
      </c>
      <c r="T23" s="67"/>
    </row>
    <row r="24" spans="2:20">
      <c r="B24" s="66"/>
      <c r="C24" s="4" t="s">
        <v>86</v>
      </c>
      <c r="D24" s="32" t="s">
        <v>248</v>
      </c>
      <c r="E24" s="2" t="s">
        <v>77</v>
      </c>
      <c r="F24" s="2">
        <v>0</v>
      </c>
      <c r="G24" s="2" t="s">
        <v>545</v>
      </c>
      <c r="H24" s="6">
        <v>2022</v>
      </c>
      <c r="I24" s="6" t="s">
        <v>44</v>
      </c>
      <c r="J24" s="90">
        <v>8.1407233369889573E-2</v>
      </c>
      <c r="K24" s="17">
        <v>24.53125</v>
      </c>
      <c r="L24" s="17">
        <v>24.53125</v>
      </c>
      <c r="M24" s="17">
        <v>0</v>
      </c>
      <c r="N24" s="17">
        <v>0</v>
      </c>
      <c r="O24" s="17">
        <v>3.8818721499999995</v>
      </c>
      <c r="P24" s="17">
        <v>-20.64937785</v>
      </c>
      <c r="Q24" s="17">
        <v>-1.3480000000000001</v>
      </c>
      <c r="R24" s="10">
        <v>0.15824192203821655</v>
      </c>
      <c r="S24" s="87" t="s">
        <v>830</v>
      </c>
      <c r="T24" s="67"/>
    </row>
    <row r="25" spans="2:20">
      <c r="B25" s="66"/>
      <c r="C25" s="4" t="s">
        <v>1</v>
      </c>
      <c r="D25" s="32" t="s">
        <v>250</v>
      </c>
      <c r="E25" s="2" t="s">
        <v>77</v>
      </c>
      <c r="F25" s="2">
        <v>0</v>
      </c>
      <c r="G25" s="2" t="s">
        <v>545</v>
      </c>
      <c r="H25" s="6">
        <v>2020</v>
      </c>
      <c r="I25" s="6" t="s">
        <v>53</v>
      </c>
      <c r="J25" s="90" t="s">
        <v>121</v>
      </c>
      <c r="K25" s="17">
        <v>83.721610999999996</v>
      </c>
      <c r="L25" s="17">
        <v>83.361610999999996</v>
      </c>
      <c r="M25" s="17">
        <v>0.36</v>
      </c>
      <c r="N25" s="17">
        <v>7.8755709999999999</v>
      </c>
      <c r="O25" s="17">
        <v>59.421576000000002</v>
      </c>
      <c r="P25" s="17">
        <v>-16.064464000000001</v>
      </c>
      <c r="Q25" s="17">
        <v>-0.30599999999999999</v>
      </c>
      <c r="R25" s="10">
        <v>0.80729182405076116</v>
      </c>
      <c r="S25" s="2"/>
      <c r="T25" s="67"/>
    </row>
    <row r="26" spans="2:20">
      <c r="B26" s="66"/>
      <c r="C26" s="4" t="s">
        <v>115</v>
      </c>
      <c r="D26" s="32" t="s">
        <v>250</v>
      </c>
      <c r="E26" s="2" t="s">
        <v>77</v>
      </c>
      <c r="F26" s="2">
        <v>0</v>
      </c>
      <c r="G26" s="2" t="s">
        <v>545</v>
      </c>
      <c r="H26" s="6">
        <v>2020</v>
      </c>
      <c r="I26" s="6" t="s">
        <v>53</v>
      </c>
      <c r="J26" s="90" t="s">
        <v>121</v>
      </c>
      <c r="K26" s="17">
        <v>29.416938843457803</v>
      </c>
      <c r="L26" s="17">
        <v>19.108544969197801</v>
      </c>
      <c r="M26" s="17">
        <v>10.308393874260002</v>
      </c>
      <c r="N26" s="17">
        <v>3.7927062781652001</v>
      </c>
      <c r="O26" s="17">
        <v>24.654977841418397</v>
      </c>
      <c r="P26" s="17">
        <v>9.3391391503857974</v>
      </c>
      <c r="Q26" s="17">
        <v>5.4450000000000003</v>
      </c>
      <c r="R26" s="10">
        <v>1.4887415114777243</v>
      </c>
      <c r="S26" s="2"/>
      <c r="T26" s="67"/>
    </row>
    <row r="27" spans="2:20">
      <c r="B27" s="66"/>
      <c r="C27" s="4" t="s">
        <v>284</v>
      </c>
      <c r="D27" s="32" t="s">
        <v>250</v>
      </c>
      <c r="E27" s="2" t="s">
        <v>77</v>
      </c>
      <c r="F27" s="2">
        <v>0</v>
      </c>
      <c r="G27" s="2" t="s">
        <v>545</v>
      </c>
      <c r="H27" s="6">
        <v>2023</v>
      </c>
      <c r="I27" s="6" t="s">
        <v>53</v>
      </c>
      <c r="J27" s="90" t="s">
        <v>121</v>
      </c>
      <c r="K27" s="17">
        <v>2.7058823529411762</v>
      </c>
      <c r="L27" s="17">
        <v>2.7058823529411762</v>
      </c>
      <c r="M27" s="17">
        <v>0</v>
      </c>
      <c r="N27" s="17">
        <v>0</v>
      </c>
      <c r="O27" s="17">
        <v>3.4912898685268385</v>
      </c>
      <c r="P27" s="17">
        <v>0.78540751558566235</v>
      </c>
      <c r="Q27" s="17">
        <v>0</v>
      </c>
      <c r="R27" s="10">
        <v>1.2902592992381796</v>
      </c>
      <c r="S27" s="79"/>
      <c r="T27" s="67"/>
    </row>
    <row r="28" spans="2:20">
      <c r="B28" s="66"/>
      <c r="C28" s="4" t="s">
        <v>160</v>
      </c>
      <c r="D28" s="32" t="s">
        <v>250</v>
      </c>
      <c r="E28" s="2" t="s">
        <v>77</v>
      </c>
      <c r="F28" s="2">
        <v>0</v>
      </c>
      <c r="G28" s="2" t="s">
        <v>545</v>
      </c>
      <c r="H28" s="6">
        <v>2021</v>
      </c>
      <c r="I28" s="6" t="s">
        <v>53</v>
      </c>
      <c r="J28" s="90">
        <v>0.33</v>
      </c>
      <c r="K28" s="17">
        <v>17.112500000000001</v>
      </c>
      <c r="L28" s="17">
        <v>15.7263875</v>
      </c>
      <c r="M28" s="17">
        <v>1.3861125000000012</v>
      </c>
      <c r="N28" s="17">
        <v>0</v>
      </c>
      <c r="O28" s="17">
        <v>12.873462999999999</v>
      </c>
      <c r="P28" s="17">
        <v>-2.8529245000000003</v>
      </c>
      <c r="Q28" s="17">
        <v>-0.30599999999999999</v>
      </c>
      <c r="R28" s="10">
        <v>0.81858996543230289</v>
      </c>
      <c r="S28" s="2" t="s">
        <v>831</v>
      </c>
      <c r="T28" s="67"/>
    </row>
    <row r="29" spans="2:20">
      <c r="B29" s="66"/>
      <c r="C29" s="4"/>
      <c r="D29" s="32"/>
      <c r="E29" s="2"/>
      <c r="F29" s="2"/>
      <c r="G29" s="2"/>
      <c r="H29" s="2"/>
      <c r="I29" s="6"/>
      <c r="J29" s="90"/>
      <c r="K29" s="17"/>
      <c r="L29" s="17"/>
      <c r="M29" s="17"/>
      <c r="N29" s="17"/>
      <c r="O29" s="17"/>
      <c r="P29" s="17"/>
      <c r="Q29" s="17"/>
      <c r="R29" s="10"/>
      <c r="S29" s="87"/>
      <c r="T29" s="67"/>
    </row>
    <row r="30" spans="2:20" s="70" customFormat="1">
      <c r="B30" s="68"/>
      <c r="C30" s="9"/>
      <c r="D30" s="9"/>
      <c r="E30" s="9"/>
      <c r="F30" s="9"/>
      <c r="G30" s="9"/>
      <c r="H30" s="9"/>
      <c r="I30" s="9"/>
      <c r="J30" s="93"/>
      <c r="K30" s="18">
        <v>457.48818219639895</v>
      </c>
      <c r="L30" s="18">
        <v>445.43367582213892</v>
      </c>
      <c r="M30" s="18">
        <v>12.054506374260002</v>
      </c>
      <c r="N30" s="18">
        <v>96.472763418165187</v>
      </c>
      <c r="O30" s="18">
        <v>430.11409860094523</v>
      </c>
      <c r="P30" s="18">
        <v>81.15318619697149</v>
      </c>
      <c r="Q30" s="18">
        <v>3.4850000000000003</v>
      </c>
      <c r="R30" s="11">
        <v>1.1821891576724339</v>
      </c>
      <c r="S30" s="9"/>
      <c r="T30" s="69"/>
    </row>
    <row r="31" spans="2:20" s="70" customFormat="1">
      <c r="B31" s="68"/>
      <c r="C31" s="145"/>
      <c r="D31" s="145"/>
      <c r="E31" s="145"/>
      <c r="F31" s="145"/>
      <c r="G31" s="145"/>
      <c r="H31" s="145"/>
      <c r="I31" s="145"/>
      <c r="J31" s="92"/>
      <c r="K31" s="146"/>
      <c r="L31" s="146"/>
      <c r="M31" s="146"/>
      <c r="N31" s="146"/>
      <c r="O31" s="146"/>
      <c r="P31" s="146"/>
      <c r="Q31" s="146"/>
      <c r="R31" s="147"/>
      <c r="S31" s="145"/>
      <c r="T31" s="69"/>
    </row>
    <row r="32" spans="2:20" s="70" customFormat="1">
      <c r="B32" s="68"/>
      <c r="C32" s="422" t="s">
        <v>543</v>
      </c>
      <c r="D32" s="334"/>
      <c r="E32" s="335"/>
      <c r="F32" s="335"/>
      <c r="G32" s="335"/>
      <c r="H32" s="335"/>
      <c r="I32" s="336"/>
      <c r="J32" s="337"/>
      <c r="K32" s="338"/>
      <c r="L32" s="338"/>
      <c r="M32" s="338"/>
      <c r="N32" s="338"/>
      <c r="O32" s="338"/>
      <c r="P32" s="338"/>
      <c r="Q32" s="338"/>
      <c r="R32" s="339"/>
      <c r="S32" s="335"/>
      <c r="T32" s="69"/>
    </row>
    <row r="33" spans="2:20" s="70" customFormat="1">
      <c r="B33" s="68"/>
      <c r="C33" s="4" t="s">
        <v>537</v>
      </c>
      <c r="D33" s="32" t="s">
        <v>248</v>
      </c>
      <c r="E33" s="2" t="s">
        <v>77</v>
      </c>
      <c r="F33" s="2">
        <v>0</v>
      </c>
      <c r="G33" s="2" t="s">
        <v>538</v>
      </c>
      <c r="H33" s="6">
        <v>2024</v>
      </c>
      <c r="I33" s="6" t="s">
        <v>653</v>
      </c>
      <c r="J33" s="90">
        <v>7.2996903382740827E-2</v>
      </c>
      <c r="K33" s="17">
        <v>40</v>
      </c>
      <c r="L33" s="17">
        <v>40</v>
      </c>
      <c r="M33" s="17">
        <v>0</v>
      </c>
      <c r="N33" s="17">
        <v>0</v>
      </c>
      <c r="O33" s="17">
        <v>40.947393714699999</v>
      </c>
      <c r="P33" s="17">
        <v>0.94739371469999867</v>
      </c>
      <c r="Q33" s="17">
        <v>0</v>
      </c>
      <c r="R33" s="10">
        <v>1.0236848428675001</v>
      </c>
      <c r="S33" s="582" t="s">
        <v>701</v>
      </c>
      <c r="T33" s="69"/>
    </row>
    <row r="34" spans="2:20" s="70" customFormat="1">
      <c r="B34" s="68"/>
      <c r="C34" s="4" t="s">
        <v>702</v>
      </c>
      <c r="D34" s="32" t="s">
        <v>248</v>
      </c>
      <c r="E34" s="2" t="s">
        <v>696</v>
      </c>
      <c r="F34" s="2">
        <v>0</v>
      </c>
      <c r="G34" s="2" t="s">
        <v>538</v>
      </c>
      <c r="H34" s="6">
        <v>2025</v>
      </c>
      <c r="I34" s="6" t="s">
        <v>700</v>
      </c>
      <c r="J34" s="90" t="s">
        <v>699</v>
      </c>
      <c r="K34" s="17">
        <v>111.66666666666667</v>
      </c>
      <c r="L34" s="17">
        <v>0</v>
      </c>
      <c r="M34" s="17">
        <v>111.66666666666667</v>
      </c>
      <c r="N34" s="17">
        <v>0</v>
      </c>
      <c r="O34" s="17">
        <v>0</v>
      </c>
      <c r="P34" s="17">
        <v>0</v>
      </c>
      <c r="Q34" s="17">
        <v>0</v>
      </c>
      <c r="R34" s="10" t="s">
        <v>288</v>
      </c>
      <c r="S34" s="87" t="s">
        <v>715</v>
      </c>
      <c r="T34" s="69"/>
    </row>
    <row r="35" spans="2:20" s="70" customFormat="1">
      <c r="B35" s="68"/>
      <c r="C35" s="4" t="s">
        <v>588</v>
      </c>
      <c r="D35" s="32" t="s">
        <v>248</v>
      </c>
      <c r="E35" s="2" t="s">
        <v>77</v>
      </c>
      <c r="F35" s="2">
        <v>0</v>
      </c>
      <c r="G35" s="2" t="s">
        <v>538</v>
      </c>
      <c r="H35" s="6">
        <v>2024</v>
      </c>
      <c r="I35" s="6"/>
      <c r="J35" s="90">
        <v>6.5761781253487056E-2</v>
      </c>
      <c r="K35" s="17">
        <v>10</v>
      </c>
      <c r="L35" s="17">
        <v>10</v>
      </c>
      <c r="M35" s="17">
        <v>0</v>
      </c>
      <c r="N35" s="17">
        <v>0</v>
      </c>
      <c r="O35" s="17">
        <v>3.0867114197777776</v>
      </c>
      <c r="P35" s="17">
        <v>-6.9132885802222219</v>
      </c>
      <c r="Q35" s="17">
        <v>0</v>
      </c>
      <c r="R35" s="10">
        <v>0.30867114197777779</v>
      </c>
      <c r="S35" s="87" t="s">
        <v>832</v>
      </c>
      <c r="T35" s="69"/>
    </row>
    <row r="36" spans="2:20" s="70" customFormat="1">
      <c r="B36" s="68"/>
      <c r="C36" s="4" t="s">
        <v>662</v>
      </c>
      <c r="D36" s="32" t="s">
        <v>248</v>
      </c>
      <c r="E36" s="2" t="s">
        <v>77</v>
      </c>
      <c r="F36" s="2">
        <v>0</v>
      </c>
      <c r="G36" s="2" t="s">
        <v>538</v>
      </c>
      <c r="H36" s="6">
        <v>2024</v>
      </c>
      <c r="I36" s="6" t="s">
        <v>663</v>
      </c>
      <c r="J36" s="90" t="s">
        <v>675</v>
      </c>
      <c r="K36" s="17">
        <v>100</v>
      </c>
      <c r="L36" s="17">
        <v>100</v>
      </c>
      <c r="M36" s="17">
        <v>0</v>
      </c>
      <c r="N36" s="17">
        <v>0.49996499999999999</v>
      </c>
      <c r="O36" s="17">
        <v>100</v>
      </c>
      <c r="P36" s="583">
        <v>0.4999650000000031</v>
      </c>
      <c r="Q36" s="17">
        <v>0</v>
      </c>
      <c r="R36" s="10">
        <v>1.00499965</v>
      </c>
      <c r="S36" s="552" t="s">
        <v>833</v>
      </c>
      <c r="T36" s="69"/>
    </row>
    <row r="37" spans="2:20" s="70" customFormat="1">
      <c r="B37" s="68"/>
      <c r="C37" s="4" t="s">
        <v>695</v>
      </c>
      <c r="D37" s="32" t="s">
        <v>248</v>
      </c>
      <c r="E37" s="2" t="s">
        <v>77</v>
      </c>
      <c r="F37" s="2">
        <v>0</v>
      </c>
      <c r="G37" s="2" t="s">
        <v>538</v>
      </c>
      <c r="H37" s="6">
        <v>2024</v>
      </c>
      <c r="I37" s="6" t="s">
        <v>360</v>
      </c>
      <c r="J37" s="90" t="s">
        <v>699</v>
      </c>
      <c r="K37" s="17">
        <v>66.599843419999999</v>
      </c>
      <c r="L37" s="17">
        <v>19.999882399999997</v>
      </c>
      <c r="M37" s="17">
        <v>46.599961020000002</v>
      </c>
      <c r="N37" s="17">
        <v>0</v>
      </c>
      <c r="O37" s="17">
        <v>19.999882399999997</v>
      </c>
      <c r="P37" s="17">
        <v>0</v>
      </c>
      <c r="Q37" s="17">
        <v>0</v>
      </c>
      <c r="R37" s="10">
        <v>1</v>
      </c>
      <c r="S37" s="87" t="s">
        <v>726</v>
      </c>
      <c r="T37" s="69"/>
    </row>
    <row r="38" spans="2:20" s="70" customFormat="1">
      <c r="B38" s="68"/>
      <c r="C38" s="4" t="s">
        <v>781</v>
      </c>
      <c r="D38" s="32" t="s">
        <v>248</v>
      </c>
      <c r="E38" s="2" t="s">
        <v>77</v>
      </c>
      <c r="F38" s="2">
        <v>0</v>
      </c>
      <c r="G38" s="2" t="s">
        <v>538</v>
      </c>
      <c r="H38" s="6">
        <v>2025</v>
      </c>
      <c r="I38" s="6" t="s">
        <v>782</v>
      </c>
      <c r="J38" s="90">
        <v>5.1805228281426186E-3</v>
      </c>
      <c r="K38" s="17">
        <v>49.999999500000001</v>
      </c>
      <c r="L38" s="17">
        <v>49.999999500000001</v>
      </c>
      <c r="M38" s="17">
        <v>0</v>
      </c>
      <c r="N38" s="17">
        <v>0</v>
      </c>
      <c r="O38" s="17">
        <v>50</v>
      </c>
      <c r="P38" s="17">
        <v>4.9999999873762135E-7</v>
      </c>
      <c r="Q38" s="17">
        <v>0</v>
      </c>
      <c r="R38" s="10">
        <v>1.0000000100000002</v>
      </c>
      <c r="S38" s="87" t="s">
        <v>784</v>
      </c>
      <c r="T38" s="69"/>
    </row>
    <row r="39" spans="2:20">
      <c r="B39" s="66"/>
      <c r="C39" s="5"/>
      <c r="D39" s="13"/>
      <c r="E39" s="7"/>
      <c r="F39" s="7"/>
      <c r="G39" s="7"/>
      <c r="H39" s="7"/>
      <c r="I39" s="14"/>
      <c r="J39" s="170"/>
      <c r="K39" s="24"/>
      <c r="L39" s="24"/>
      <c r="M39" s="24"/>
      <c r="N39" s="24"/>
      <c r="O39" s="24"/>
      <c r="P39" s="24"/>
      <c r="Q39" s="24"/>
      <c r="R39" s="15"/>
      <c r="S39" s="180"/>
      <c r="T39" s="67"/>
    </row>
    <row r="40" spans="2:20" s="70" customFormat="1">
      <c r="B40" s="68"/>
      <c r="C40" s="9"/>
      <c r="D40" s="9"/>
      <c r="E40" s="9"/>
      <c r="F40" s="9"/>
      <c r="G40" s="9"/>
      <c r="H40" s="9"/>
      <c r="I40" s="9"/>
      <c r="J40" s="93"/>
      <c r="K40" s="18">
        <v>378.2665095866667</v>
      </c>
      <c r="L40" s="18">
        <v>219.99988189999999</v>
      </c>
      <c r="M40" s="18">
        <v>158.26662768666668</v>
      </c>
      <c r="N40" s="18">
        <v>0.49996499999999999</v>
      </c>
      <c r="O40" s="18">
        <v>214.03398753447777</v>
      </c>
      <c r="P40" s="18">
        <v>-5.4659298655222202</v>
      </c>
      <c r="Q40" s="18">
        <v>0</v>
      </c>
      <c r="R40" s="11">
        <v>0.97515485318302708</v>
      </c>
      <c r="S40" s="9"/>
      <c r="T40" s="69"/>
    </row>
    <row r="41" spans="2:20" s="70" customFormat="1">
      <c r="B41" s="68"/>
      <c r="C41" s="145"/>
      <c r="D41" s="145"/>
      <c r="E41" s="145"/>
      <c r="F41" s="145"/>
      <c r="G41" s="145"/>
      <c r="H41" s="145"/>
      <c r="I41" s="145"/>
      <c r="J41" s="92"/>
      <c r="K41" s="146"/>
      <c r="L41" s="146"/>
      <c r="M41" s="146"/>
      <c r="N41" s="146"/>
      <c r="O41" s="146"/>
      <c r="P41" s="146"/>
      <c r="Q41" s="146"/>
      <c r="R41" s="147"/>
      <c r="S41" s="145"/>
      <c r="T41" s="69"/>
    </row>
    <row r="42" spans="2:20" s="70" customFormat="1">
      <c r="B42" s="68"/>
      <c r="C42" s="422" t="s">
        <v>544</v>
      </c>
      <c r="D42" s="334"/>
      <c r="E42" s="335"/>
      <c r="F42" s="335"/>
      <c r="G42" s="335"/>
      <c r="H42" s="335"/>
      <c r="I42" s="336"/>
      <c r="J42" s="337"/>
      <c r="K42" s="338"/>
      <c r="L42" s="338"/>
      <c r="M42" s="338"/>
      <c r="N42" s="338"/>
      <c r="O42" s="338"/>
      <c r="P42" s="338"/>
      <c r="Q42" s="338"/>
      <c r="R42" s="339"/>
      <c r="S42" s="335"/>
      <c r="T42" s="69"/>
    </row>
    <row r="43" spans="2:20">
      <c r="B43" s="66"/>
      <c r="C43" s="4" t="s">
        <v>397</v>
      </c>
      <c r="D43" s="32" t="s">
        <v>248</v>
      </c>
      <c r="E43" s="2" t="s">
        <v>77</v>
      </c>
      <c r="F43" s="2">
        <v>0</v>
      </c>
      <c r="G43" s="2" t="s">
        <v>568</v>
      </c>
      <c r="H43" s="6">
        <v>2024</v>
      </c>
      <c r="I43" s="6" t="s">
        <v>400</v>
      </c>
      <c r="J43" s="90">
        <v>0.25</v>
      </c>
      <c r="K43" s="17">
        <v>2.75</v>
      </c>
      <c r="L43" s="17">
        <v>2.5</v>
      </c>
      <c r="M43" s="17">
        <v>0.25</v>
      </c>
      <c r="N43" s="17">
        <v>0</v>
      </c>
      <c r="O43" s="17">
        <v>2.5</v>
      </c>
      <c r="P43" s="17">
        <v>0</v>
      </c>
      <c r="Q43" s="17">
        <v>0</v>
      </c>
      <c r="R43" s="10">
        <v>1</v>
      </c>
      <c r="S43" s="2" t="s">
        <v>834</v>
      </c>
      <c r="T43" s="67"/>
    </row>
    <row r="44" spans="2:20">
      <c r="B44" s="66"/>
      <c r="C44" s="5"/>
      <c r="D44" s="13"/>
      <c r="E44" s="7"/>
      <c r="F44" s="7"/>
      <c r="G44" s="7"/>
      <c r="H44" s="14"/>
      <c r="I44" s="14"/>
      <c r="J44" s="170"/>
      <c r="K44" s="24"/>
      <c r="L44" s="24"/>
      <c r="M44" s="24"/>
      <c r="N44" s="24"/>
      <c r="O44" s="24"/>
      <c r="P44" s="24"/>
      <c r="Q44" s="24"/>
      <c r="R44" s="15"/>
      <c r="S44" s="7"/>
      <c r="T44" s="67"/>
    </row>
    <row r="45" spans="2:20" s="70" customFormat="1">
      <c r="B45" s="68"/>
      <c r="C45" s="9"/>
      <c r="D45" s="9"/>
      <c r="E45" s="9"/>
      <c r="F45" s="9"/>
      <c r="G45" s="9"/>
      <c r="H45" s="9"/>
      <c r="I45" s="9"/>
      <c r="J45" s="93"/>
      <c r="K45" s="18">
        <v>2.75</v>
      </c>
      <c r="L45" s="18">
        <v>2.5</v>
      </c>
      <c r="M45" s="18">
        <v>0.25</v>
      </c>
      <c r="N45" s="18">
        <v>0</v>
      </c>
      <c r="O45" s="18">
        <v>2.5</v>
      </c>
      <c r="P45" s="18">
        <v>0</v>
      </c>
      <c r="Q45" s="18">
        <v>0</v>
      </c>
      <c r="R45" s="11">
        <v>1</v>
      </c>
      <c r="S45" s="9"/>
      <c r="T45" s="69"/>
    </row>
    <row r="46" spans="2:20" s="70" customFormat="1">
      <c r="B46" s="68"/>
      <c r="C46" s="145"/>
      <c r="D46" s="145"/>
      <c r="E46" s="145"/>
      <c r="F46" s="145"/>
      <c r="G46" s="145"/>
      <c r="H46" s="145"/>
      <c r="I46" s="145"/>
      <c r="J46" s="92"/>
      <c r="K46" s="146"/>
      <c r="L46" s="146"/>
      <c r="M46" s="146"/>
      <c r="N46" s="146"/>
      <c r="O46" s="146"/>
      <c r="P46" s="146"/>
      <c r="Q46" s="146"/>
      <c r="R46" s="147"/>
      <c r="S46" s="145"/>
      <c r="T46" s="69"/>
    </row>
    <row r="47" spans="2:20" s="70" customFormat="1">
      <c r="B47" s="68"/>
      <c r="C47" s="422" t="s">
        <v>804</v>
      </c>
      <c r="D47" s="334"/>
      <c r="E47" s="335"/>
      <c r="F47" s="335"/>
      <c r="G47" s="335"/>
      <c r="H47" s="335"/>
      <c r="I47" s="336"/>
      <c r="J47" s="337"/>
      <c r="K47" s="338"/>
      <c r="L47" s="338"/>
      <c r="M47" s="338"/>
      <c r="N47" s="338"/>
      <c r="O47" s="338"/>
      <c r="P47" s="338"/>
      <c r="Q47" s="338"/>
      <c r="R47" s="339"/>
      <c r="S47" s="335"/>
      <c r="T47" s="69"/>
    </row>
    <row r="48" spans="2:20" s="70" customFormat="1">
      <c r="B48" s="68"/>
      <c r="C48" s="4" t="s">
        <v>694</v>
      </c>
      <c r="D48" s="32" t="s">
        <v>707</v>
      </c>
      <c r="E48" s="2" t="s">
        <v>77</v>
      </c>
      <c r="F48" s="2">
        <v>0</v>
      </c>
      <c r="G48" s="2" t="s">
        <v>692</v>
      </c>
      <c r="H48" s="6">
        <v>2024</v>
      </c>
      <c r="I48" s="6" t="s">
        <v>277</v>
      </c>
      <c r="J48" s="90">
        <v>6.1685164005054416E-2</v>
      </c>
      <c r="K48" s="17">
        <v>1200</v>
      </c>
      <c r="L48" s="17">
        <v>164.22666201000001</v>
      </c>
      <c r="M48" s="17">
        <v>1035.7733379900001</v>
      </c>
      <c r="N48" s="17">
        <v>0</v>
      </c>
      <c r="O48" s="17">
        <v>199.45126652146658</v>
      </c>
      <c r="P48" s="17">
        <v>35.224604511466566</v>
      </c>
      <c r="Q48" s="17">
        <v>0</v>
      </c>
      <c r="R48" s="10">
        <v>1.2144877334797299</v>
      </c>
      <c r="S48" s="87"/>
      <c r="T48" s="69"/>
    </row>
    <row r="49" spans="2:20" s="70" customFormat="1">
      <c r="B49" s="68"/>
      <c r="C49" s="4" t="s">
        <v>775</v>
      </c>
      <c r="D49" s="32" t="s">
        <v>776</v>
      </c>
      <c r="E49" s="2" t="s">
        <v>77</v>
      </c>
      <c r="F49" s="2">
        <v>0</v>
      </c>
      <c r="G49" s="2" t="s">
        <v>692</v>
      </c>
      <c r="H49" s="6">
        <v>2024</v>
      </c>
      <c r="I49" s="6" t="s">
        <v>277</v>
      </c>
      <c r="J49" s="90">
        <v>0.5</v>
      </c>
      <c r="K49" s="17">
        <v>775</v>
      </c>
      <c r="L49" s="17">
        <v>312.49955899999998</v>
      </c>
      <c r="M49" s="17">
        <v>462.50044100000002</v>
      </c>
      <c r="N49" s="17">
        <v>0</v>
      </c>
      <c r="O49" s="17">
        <v>371.66120699999999</v>
      </c>
      <c r="P49" s="17">
        <v>59.161648000000014</v>
      </c>
      <c r="Q49" s="17">
        <v>0</v>
      </c>
      <c r="R49" s="10">
        <v>1.1893175407649137</v>
      </c>
      <c r="S49" s="87"/>
      <c r="T49" s="69"/>
    </row>
    <row r="50" spans="2:20" s="70" customFormat="1">
      <c r="B50" s="68"/>
      <c r="C50" s="4" t="s">
        <v>691</v>
      </c>
      <c r="D50" s="32" t="s">
        <v>708</v>
      </c>
      <c r="E50" s="2" t="s">
        <v>77</v>
      </c>
      <c r="F50" s="2">
        <v>0</v>
      </c>
      <c r="G50" s="2" t="s">
        <v>692</v>
      </c>
      <c r="H50" s="6">
        <v>2024</v>
      </c>
      <c r="I50" s="6" t="s">
        <v>148</v>
      </c>
      <c r="J50" s="90">
        <v>0</v>
      </c>
      <c r="K50" s="17">
        <v>25</v>
      </c>
      <c r="L50" s="17">
        <v>25</v>
      </c>
      <c r="M50" s="17">
        <v>0</v>
      </c>
      <c r="N50" s="17">
        <v>0</v>
      </c>
      <c r="O50" s="17">
        <v>25</v>
      </c>
      <c r="P50" s="17">
        <v>0</v>
      </c>
      <c r="Q50" s="17">
        <v>0</v>
      </c>
      <c r="R50" s="10">
        <v>1</v>
      </c>
      <c r="S50" s="87"/>
      <c r="T50" s="69"/>
    </row>
    <row r="51" spans="2:20" s="70" customFormat="1">
      <c r="B51" s="68"/>
      <c r="C51" s="5"/>
      <c r="D51" s="13"/>
      <c r="E51" s="7"/>
      <c r="F51" s="7"/>
      <c r="G51" s="7"/>
      <c r="H51" s="7"/>
      <c r="I51" s="14"/>
      <c r="J51" s="170"/>
      <c r="K51" s="24"/>
      <c r="L51" s="24"/>
      <c r="M51" s="24"/>
      <c r="N51" s="24"/>
      <c r="O51" s="24"/>
      <c r="P51" s="24"/>
      <c r="Q51" s="24"/>
      <c r="R51" s="15"/>
      <c r="S51" s="180"/>
      <c r="T51" s="69"/>
    </row>
    <row r="52" spans="2:20" s="70" customFormat="1">
      <c r="B52" s="68"/>
      <c r="C52" s="9"/>
      <c r="D52" s="9"/>
      <c r="E52" s="9"/>
      <c r="F52" s="9"/>
      <c r="G52" s="9"/>
      <c r="H52" s="9"/>
      <c r="I52" s="9"/>
      <c r="J52" s="93"/>
      <c r="K52" s="18">
        <v>2000</v>
      </c>
      <c r="L52" s="18">
        <v>501.72622101000002</v>
      </c>
      <c r="M52" s="18">
        <v>1498.2737789900002</v>
      </c>
      <c r="N52" s="18">
        <v>0</v>
      </c>
      <c r="O52" s="18">
        <v>596.11247352146654</v>
      </c>
      <c r="P52" s="18">
        <v>94.38625251146658</v>
      </c>
      <c r="Q52" s="18">
        <v>0</v>
      </c>
      <c r="R52" s="11">
        <v>1.1881230211996141</v>
      </c>
      <c r="S52" s="9"/>
      <c r="T52" s="69"/>
    </row>
    <row r="53" spans="2:20" s="70" customFormat="1">
      <c r="B53" s="68"/>
      <c r="C53" s="145"/>
      <c r="D53" s="145"/>
      <c r="E53" s="145"/>
      <c r="F53" s="145"/>
      <c r="G53" s="145"/>
      <c r="H53" s="145"/>
      <c r="I53" s="145"/>
      <c r="J53" s="92"/>
      <c r="K53" s="146"/>
      <c r="L53" s="146"/>
      <c r="M53" s="146"/>
      <c r="N53" s="146"/>
      <c r="O53" s="146"/>
      <c r="P53" s="146"/>
      <c r="Q53" s="146"/>
      <c r="R53" s="147"/>
      <c r="S53" s="145"/>
      <c r="T53" s="69"/>
    </row>
    <row r="54" spans="2:20" s="70" customFormat="1">
      <c r="B54" s="68"/>
      <c r="C54" s="356"/>
      <c r="D54" s="356"/>
      <c r="E54" s="357"/>
      <c r="F54" s="357"/>
      <c r="G54" s="357"/>
      <c r="H54" s="357"/>
      <c r="I54" s="357"/>
      <c r="J54" s="416"/>
      <c r="K54" s="417">
        <v>3238.9749337574322</v>
      </c>
      <c r="L54" s="417">
        <v>1570.1300207065053</v>
      </c>
      <c r="M54" s="417">
        <v>1668.8449130509268</v>
      </c>
      <c r="N54" s="417">
        <v>96.97272841816519</v>
      </c>
      <c r="O54" s="417">
        <v>1594.9364639236896</v>
      </c>
      <c r="P54" s="417">
        <v>121.7791711353494</v>
      </c>
      <c r="Q54" s="417">
        <v>159.18200000000002</v>
      </c>
      <c r="R54" s="418">
        <v>1.0775599281775103</v>
      </c>
      <c r="S54" s="357"/>
      <c r="T54" s="69"/>
    </row>
    <row r="55" spans="2:20" s="178" customFormat="1" ht="15.75" thickBot="1">
      <c r="B55" s="171"/>
      <c r="C55" s="172"/>
      <c r="D55" s="172"/>
      <c r="E55" s="173"/>
      <c r="F55" s="173"/>
      <c r="G55" s="173"/>
      <c r="H55" s="173"/>
      <c r="I55" s="173"/>
      <c r="J55" s="174"/>
      <c r="K55" s="175"/>
      <c r="L55" s="175"/>
      <c r="M55" s="175"/>
      <c r="N55" s="175"/>
      <c r="O55" s="175"/>
      <c r="P55" s="175"/>
      <c r="Q55" s="175"/>
      <c r="R55" s="176"/>
      <c r="S55" s="173"/>
      <c r="T55" s="177"/>
    </row>
    <row r="56" spans="2:20">
      <c r="J56" s="76"/>
    </row>
    <row r="57" spans="2:20">
      <c r="I57" s="198" t="s">
        <v>254</v>
      </c>
      <c r="J57" s="193"/>
      <c r="K57" s="444" t="b">
        <v>1</v>
      </c>
      <c r="L57" s="444" t="b">
        <v>1</v>
      </c>
      <c r="M57" s="444" t="b">
        <v>1</v>
      </c>
      <c r="N57" s="444" t="b">
        <v>1</v>
      </c>
      <c r="O57" s="444" t="b">
        <v>1</v>
      </c>
      <c r="P57" s="444" t="b">
        <v>1</v>
      </c>
      <c r="Q57" s="444" t="b">
        <v>1</v>
      </c>
    </row>
    <row r="58" spans="2:20">
      <c r="B58" s="126"/>
      <c r="C58" s="126" t="s">
        <v>607</v>
      </c>
      <c r="D58" s="5"/>
      <c r="E58" s="7"/>
      <c r="F58" s="7"/>
      <c r="G58" s="7"/>
      <c r="H58" s="7"/>
      <c r="I58" s="199"/>
      <c r="J58" s="110"/>
      <c r="K58" s="444" t="b">
        <v>1</v>
      </c>
      <c r="L58" s="444" t="b">
        <v>1</v>
      </c>
      <c r="M58" s="444" t="b">
        <v>1</v>
      </c>
      <c r="N58" s="444" t="b">
        <v>1</v>
      </c>
      <c r="O58" s="444" t="b">
        <v>1</v>
      </c>
      <c r="P58" s="444" t="b">
        <v>1</v>
      </c>
      <c r="Q58" s="444" t="b">
        <v>1</v>
      </c>
      <c r="R58" s="15"/>
      <c r="S58" s="7"/>
    </row>
    <row r="59" spans="2:20">
      <c r="B59" s="126"/>
      <c r="C59" s="419" t="s">
        <v>560</v>
      </c>
      <c r="D59" s="420"/>
      <c r="E59" s="421"/>
      <c r="F59" s="190"/>
      <c r="G59" s="190"/>
      <c r="H59" s="190"/>
      <c r="I59" s="190"/>
      <c r="J59" s="190"/>
      <c r="K59" s="444" t="b">
        <v>1</v>
      </c>
      <c r="L59" s="444" t="b">
        <v>1</v>
      </c>
      <c r="M59" s="444" t="b">
        <v>1</v>
      </c>
      <c r="N59" s="444" t="b">
        <v>1</v>
      </c>
      <c r="O59" s="444" t="b">
        <v>1</v>
      </c>
      <c r="P59" s="444" t="b">
        <v>1</v>
      </c>
      <c r="Q59" s="444" t="b">
        <v>1</v>
      </c>
      <c r="R59" s="190"/>
    </row>
    <row r="60" spans="2:20" s="26" customFormat="1">
      <c r="B60" s="25"/>
      <c r="C60" s="13"/>
      <c r="D60" s="13"/>
      <c r="L60" s="215"/>
      <c r="T60" s="25"/>
    </row>
    <row r="61" spans="2:20" s="26" customFormat="1">
      <c r="B61" s="25"/>
      <c r="C61" s="57"/>
      <c r="D61" s="57"/>
      <c r="E61" s="190"/>
      <c r="F61" s="190"/>
      <c r="G61" s="190"/>
      <c r="H61" s="191"/>
      <c r="I61" s="190"/>
      <c r="J61" s="190"/>
      <c r="K61" s="190"/>
      <c r="L61" s="190"/>
      <c r="M61" s="190"/>
      <c r="N61" s="190"/>
      <c r="O61" s="190"/>
      <c r="Q61" s="190"/>
      <c r="R61" s="190"/>
      <c r="T61" s="25"/>
    </row>
    <row r="62" spans="2:20" s="26" customFormat="1">
      <c r="B62" s="25"/>
      <c r="C62" s="57"/>
      <c r="D62" s="57"/>
      <c r="O62" s="80"/>
      <c r="P62" s="80"/>
      <c r="Q62" s="80"/>
      <c r="T62" s="2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C841-F241-42F2-86E4-30E83DFBC059}">
  <dimension ref="B1:CW437"/>
  <sheetViews>
    <sheetView topLeftCell="A15" zoomScale="70" zoomScaleNormal="70" workbookViewId="0">
      <selection activeCell="G63" sqref="G63"/>
    </sheetView>
  </sheetViews>
  <sheetFormatPr defaultRowHeight="15" outlineLevelCol="1"/>
  <cols>
    <col min="3"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2.85546875" style="26" bestFit="1" customWidth="1"/>
    <col min="10" max="10" width="7.28515625" bestFit="1" customWidth="1"/>
    <col min="11" max="19" width="18.140625" customWidth="1"/>
  </cols>
  <sheetData>
    <row r="1" spans="2:101" ht="15.75" thickBot="1">
      <c r="C1" s="132"/>
      <c r="D1" s="132"/>
    </row>
    <row r="2" spans="2:101" ht="15.75" thickBot="1">
      <c r="C2" s="149" t="s">
        <v>166</v>
      </c>
      <c r="D2" s="150">
        <v>45869</v>
      </c>
      <c r="F2" s="25"/>
      <c r="G2" s="25"/>
      <c r="H2" s="25"/>
      <c r="I2" s="25"/>
    </row>
    <row r="3" spans="2:101" ht="15.75" thickBot="1">
      <c r="C3" s="132"/>
      <c r="D3" s="132"/>
    </row>
    <row r="4" spans="2:101">
      <c r="B4" s="58"/>
      <c r="C4" s="59"/>
      <c r="D4" s="59"/>
      <c r="E4" s="60"/>
      <c r="F4" s="60"/>
      <c r="G4" s="60"/>
      <c r="H4" s="60"/>
      <c r="I4" s="60"/>
      <c r="J4" s="60"/>
      <c r="K4" s="60"/>
      <c r="L4" s="60"/>
      <c r="M4" s="60"/>
      <c r="N4" s="60"/>
      <c r="O4" s="60"/>
      <c r="P4" s="60"/>
      <c r="Q4" s="60"/>
      <c r="R4" s="133"/>
      <c r="S4" s="60"/>
      <c r="T4" s="62"/>
    </row>
    <row r="5" spans="2:101">
      <c r="B5" s="194"/>
      <c r="C5" s="195"/>
      <c r="D5" s="195"/>
      <c r="E5" s="196">
        <v>2</v>
      </c>
      <c r="F5" s="196">
        <v>3</v>
      </c>
      <c r="G5" s="196">
        <v>4</v>
      </c>
      <c r="H5" s="196">
        <v>5</v>
      </c>
      <c r="I5" s="196">
        <v>6</v>
      </c>
      <c r="J5" s="196"/>
      <c r="K5" s="196"/>
      <c r="L5" s="196"/>
      <c r="M5" s="196"/>
      <c r="N5" s="196"/>
      <c r="O5" s="196"/>
      <c r="P5" s="196"/>
      <c r="Q5" s="196"/>
      <c r="R5" s="196"/>
      <c r="S5" s="196"/>
      <c r="T5" s="197"/>
    </row>
    <row r="6" spans="2:101" s="65" customFormat="1" ht="60" customHeight="1">
      <c r="B6" s="63"/>
      <c r="C6" s="3" t="s">
        <v>50</v>
      </c>
      <c r="D6" s="3" t="s">
        <v>149</v>
      </c>
      <c r="E6" s="1" t="s">
        <v>25</v>
      </c>
      <c r="F6" s="1" t="s">
        <v>60</v>
      </c>
      <c r="G6" s="1" t="s">
        <v>31</v>
      </c>
      <c r="H6" s="1" t="s">
        <v>276</v>
      </c>
      <c r="I6" s="1" t="s">
        <v>36</v>
      </c>
      <c r="J6" s="1" t="s">
        <v>52</v>
      </c>
      <c r="K6" s="1" t="s">
        <v>32</v>
      </c>
      <c r="L6" s="1" t="s">
        <v>2</v>
      </c>
      <c r="M6" s="1" t="s">
        <v>49</v>
      </c>
      <c r="N6" s="1" t="s">
        <v>33</v>
      </c>
      <c r="O6" s="1" t="s">
        <v>27</v>
      </c>
      <c r="P6" s="1" t="s">
        <v>167</v>
      </c>
      <c r="Q6" s="1" t="s">
        <v>346</v>
      </c>
      <c r="R6" s="1" t="s">
        <v>34</v>
      </c>
      <c r="S6" s="1" t="s">
        <v>383</v>
      </c>
      <c r="T6" s="64"/>
    </row>
    <row r="7" spans="2:101">
      <c r="B7" s="66"/>
      <c r="C7" s="5"/>
      <c r="D7" s="5"/>
      <c r="E7" s="8"/>
      <c r="F7" s="8"/>
      <c r="G7" s="8"/>
      <c r="H7" s="8"/>
      <c r="I7" s="8" t="s">
        <v>82</v>
      </c>
      <c r="J7" s="8"/>
      <c r="K7" s="8"/>
      <c r="L7" s="8"/>
      <c r="M7" s="8"/>
      <c r="N7" s="8"/>
      <c r="O7" s="8"/>
      <c r="P7" s="8"/>
      <c r="Q7" s="8"/>
      <c r="R7" s="12"/>
      <c r="S7" s="8"/>
      <c r="T7" s="67"/>
    </row>
    <row r="8" spans="2:101">
      <c r="B8" s="66"/>
      <c r="C8" s="422" t="s">
        <v>539</v>
      </c>
      <c r="D8" s="334"/>
      <c r="E8" s="335"/>
      <c r="F8" s="335"/>
      <c r="G8" s="335"/>
      <c r="H8" s="335"/>
      <c r="I8" s="336"/>
      <c r="J8" s="337"/>
      <c r="K8" s="338"/>
      <c r="L8" s="338"/>
      <c r="M8" s="338"/>
      <c r="N8" s="338"/>
      <c r="O8" s="338"/>
      <c r="P8" s="338"/>
      <c r="Q8" s="338"/>
      <c r="R8" s="339"/>
      <c r="S8" s="335"/>
      <c r="T8" s="67"/>
    </row>
    <row r="9" spans="2:101">
      <c r="B9" s="66"/>
      <c r="C9" s="4" t="s">
        <v>357</v>
      </c>
      <c r="D9" s="32" t="s">
        <v>248</v>
      </c>
      <c r="E9" s="2" t="s">
        <v>77</v>
      </c>
      <c r="F9" s="2">
        <v>0</v>
      </c>
      <c r="G9" s="2" t="s">
        <v>8</v>
      </c>
      <c r="H9" s="6">
        <v>2023</v>
      </c>
      <c r="I9" s="6" t="s">
        <v>67</v>
      </c>
      <c r="J9" s="90" t="str">
        <f>IF('1. Live'!J9='check-Jul25'!J9,"",'1. Live'!J9-'check-Jul25'!J9)</f>
        <v/>
      </c>
      <c r="K9" s="17" t="str">
        <f ca="1">IF('1. Live'!K9='check-Jul25'!K9,"",'1. Live'!K9-'check-Jul25'!K9)</f>
        <v/>
      </c>
      <c r="L9" s="17" t="str">
        <f ca="1">IF('1. Live'!L9='check-Jul25'!L9,"",'1. Live'!L9-'check-Jul25'!L9)</f>
        <v/>
      </c>
      <c r="M9" s="17" t="str">
        <f ca="1">IF('1. Live'!M9='check-Jul25'!M9,"",'1. Live'!M9-'check-Jul25'!M9)</f>
        <v/>
      </c>
      <c r="N9" s="17" t="str">
        <f ca="1">IF('1. Live'!N9='check-Jul25'!N9,"",'1. Live'!N9-'check-Jul25'!N9)</f>
        <v/>
      </c>
      <c r="O9" s="17" t="str">
        <f>IF('1. Live'!O9='check-Jul25'!O9,"",'1. Live'!O9-'check-Jul25'!O9)</f>
        <v/>
      </c>
      <c r="P9" s="17" t="str">
        <f ca="1">IF('1. Live'!P9='check-Jul25'!P9,"",'1. Live'!P9-'check-Jul25'!P9)</f>
        <v/>
      </c>
      <c r="Q9" s="17" t="str">
        <f>IF('1. Live'!Q9='check-Jul25'!Q9,"",'1. Live'!Q9-'check-Jul25'!Q9)</f>
        <v/>
      </c>
      <c r="R9" s="10" t="str">
        <f ca="1">IF('1. Live'!R9='check-Jul25'!R9,"",'1. Live'!R9-'check-Jul25'!R9)</f>
        <v/>
      </c>
      <c r="S9" s="2" t="str">
        <f>IF('1. Live'!S9='check-Jul25'!S9,"",'1. Live'!S9-'check-Jul25'!S9)</f>
        <v/>
      </c>
      <c r="T9" s="67" t="str">
        <f>IF('1. Live'!T9='check-Jul25'!T9,"",'1. Live'!T9-'check-Jul25'!T9)</f>
        <v/>
      </c>
      <c r="U9" t="str">
        <f>IF('1. Live'!U9='check-Jul25'!U9,"",'1. Live'!U9-'check-Jul25'!U9)</f>
        <v/>
      </c>
      <c r="V9" t="str">
        <f>IF('1. Live'!V9='check-Jul25'!V9,"",'1. Live'!V9-'check-Jul25'!V9)</f>
        <v/>
      </c>
      <c r="W9" t="str">
        <f>IF('1. Live'!W9='check-Jul25'!W9,"",'1. Live'!W9-'check-Jul25'!W9)</f>
        <v/>
      </c>
      <c r="X9" t="str">
        <f>IF('1. Live'!X9='check-Jul25'!X9,"",'1. Live'!X9-'check-Jul25'!X9)</f>
        <v/>
      </c>
      <c r="Y9" t="str">
        <f>IF('1. Live'!Y9='check-Jul25'!Y9,"",'1. Live'!Y9-'check-Jul25'!Y9)</f>
        <v/>
      </c>
      <c r="Z9" t="str">
        <f>IF('1. Live'!Z9='check-Jul25'!Z9,"",'1. Live'!Z9-'check-Jul25'!Z9)</f>
        <v/>
      </c>
      <c r="AA9" t="str">
        <f>IF('1. Live'!AA9='check-Jul25'!AA9,"",'1. Live'!AA9-'check-Jul25'!AA9)</f>
        <v/>
      </c>
      <c r="AB9" t="str">
        <f>IF('1. Live'!AB9='check-Jul25'!AB9,"",'1. Live'!AB9-'check-Jul25'!AB9)</f>
        <v/>
      </c>
      <c r="AC9" t="str">
        <f>IF('1. Live'!AC9='check-Jul25'!AC9,"",'1. Live'!AC9-'check-Jul25'!AC9)</f>
        <v/>
      </c>
      <c r="AD9" t="str">
        <f>IF('1. Live'!AD9='check-Jul25'!AD9,"",'1. Live'!AD9-'check-Jul25'!AD9)</f>
        <v/>
      </c>
      <c r="AE9" t="str">
        <f>IF('1. Live'!AE9='check-Jul25'!AE9,"",'1. Live'!AE9-'check-Jul25'!AE9)</f>
        <v/>
      </c>
      <c r="AF9" t="str">
        <f>IF('1. Live'!AF9='check-Jul25'!AF9,"",'1. Live'!AF9-'check-Jul25'!AF9)</f>
        <v/>
      </c>
      <c r="AG9" t="str">
        <f>IF('1. Live'!AG9='check-Jul25'!AG9,"",'1. Live'!AG9-'check-Jul25'!AG9)</f>
        <v/>
      </c>
      <c r="AH9" t="str">
        <f>IF('1. Live'!AH9='check-Jul25'!AH9,"",'1. Live'!AH9-'check-Jul25'!AH9)</f>
        <v/>
      </c>
      <c r="AI9" t="str">
        <f>IF('1. Live'!AI9='check-Jul25'!AI9,"",'1. Live'!AI9-'check-Jul25'!AI9)</f>
        <v/>
      </c>
      <c r="AJ9" t="str">
        <f>IF('1. Live'!AJ9='check-Jul25'!AJ9,"",'1. Live'!AJ9-'check-Jul25'!AJ9)</f>
        <v/>
      </c>
      <c r="AK9" t="str">
        <f>IF('1. Live'!AK9='check-Jul25'!AK9,"",'1. Live'!AK9-'check-Jul25'!AK9)</f>
        <v/>
      </c>
      <c r="AL9" t="str">
        <f>IF('1. Live'!AL9='check-Jul25'!AL9,"",'1. Live'!AL9-'check-Jul25'!AL9)</f>
        <v/>
      </c>
      <c r="AM9" t="str">
        <f>IF('1. Live'!AM9='check-Jul25'!AM9,"",'1. Live'!AM9-'check-Jul25'!AM9)</f>
        <v/>
      </c>
      <c r="AN9" t="str">
        <f>IF('1. Live'!AN9='check-Jul25'!AN9,"",'1. Live'!AN9-'check-Jul25'!AN9)</f>
        <v/>
      </c>
      <c r="AO9" t="str">
        <f>IF('1. Live'!AO9='check-Jul25'!AO9,"",'1. Live'!AO9-'check-Jul25'!AO9)</f>
        <v/>
      </c>
      <c r="AP9" t="str">
        <f>IF('1. Live'!AP9='check-Jul25'!AP9,"",'1. Live'!AP9-'check-Jul25'!AP9)</f>
        <v/>
      </c>
      <c r="AQ9" t="str">
        <f>IF('1. Live'!AQ9='check-Jul25'!AQ9,"",'1. Live'!AQ9-'check-Jul25'!AQ9)</f>
        <v/>
      </c>
      <c r="AR9" t="str">
        <f>IF('1. Live'!AR9='check-Jul25'!AR9,"",'1. Live'!AR9-'check-Jul25'!AR9)</f>
        <v/>
      </c>
      <c r="AS9" t="str">
        <f>IF('1. Live'!AS9='check-Jul25'!AS9,"",'1. Live'!AS9-'check-Jul25'!AS9)</f>
        <v/>
      </c>
      <c r="AT9" t="str">
        <f>IF('1. Live'!AT9='check-Jul25'!AT9,"",'1. Live'!AT9-'check-Jul25'!AT9)</f>
        <v/>
      </c>
      <c r="AU9" t="str">
        <f>IF('1. Live'!AU9='check-Jul25'!AU9,"",'1. Live'!AU9-'check-Jul25'!AU9)</f>
        <v/>
      </c>
      <c r="AV9" t="str">
        <f>IF('1. Live'!AV9='check-Jul25'!AV9,"",'1. Live'!AV9-'check-Jul25'!AV9)</f>
        <v/>
      </c>
      <c r="AW9" t="str">
        <f>IF('1. Live'!AW9='check-Jul25'!AW9,"",'1. Live'!AW9-'check-Jul25'!AW9)</f>
        <v/>
      </c>
      <c r="AX9" t="str">
        <f>IF('1. Live'!AX9='check-Jul25'!AX9,"",'1. Live'!AX9-'check-Jul25'!AX9)</f>
        <v/>
      </c>
      <c r="AY9" t="str">
        <f>IF('1. Live'!AY9='check-Jul25'!AY9,"",'1. Live'!AY9-'check-Jul25'!AY9)</f>
        <v/>
      </c>
      <c r="AZ9" t="str">
        <f>IF('1. Live'!AZ9='check-Jul25'!AZ9,"",'1. Live'!AZ9-'check-Jul25'!AZ9)</f>
        <v/>
      </c>
      <c r="BA9" t="str">
        <f>IF('1. Live'!BA9='check-Jul25'!BA9,"",'1. Live'!BA9-'check-Jul25'!BA9)</f>
        <v/>
      </c>
      <c r="BB9" t="str">
        <f>IF('1. Live'!BB9='check-Jul25'!BB9,"",'1. Live'!BB9-'check-Jul25'!BB9)</f>
        <v/>
      </c>
      <c r="BC9" t="str">
        <f>IF('1. Live'!BC9='check-Jul25'!BC9,"",'1. Live'!BC9-'check-Jul25'!BC9)</f>
        <v/>
      </c>
      <c r="BD9" t="str">
        <f>IF('1. Live'!BD9='check-Jul25'!BD9,"",'1. Live'!BD9-'check-Jul25'!BD9)</f>
        <v/>
      </c>
      <c r="BE9" t="str">
        <f>IF('1. Live'!BE9='check-Jul25'!BE9,"",'1. Live'!BE9-'check-Jul25'!BE9)</f>
        <v/>
      </c>
      <c r="BF9" t="str">
        <f>IF('1. Live'!BF9='check-Jul25'!BF9,"",'1. Live'!BF9-'check-Jul25'!BF9)</f>
        <v/>
      </c>
      <c r="BG9" t="str">
        <f>IF('1. Live'!BG9='check-Jul25'!BG9,"",'1. Live'!BG9-'check-Jul25'!BG9)</f>
        <v/>
      </c>
      <c r="BH9" t="str">
        <f>IF('1. Live'!BH9='check-Jul25'!BH9,"",'1. Live'!BH9-'check-Jul25'!BH9)</f>
        <v/>
      </c>
      <c r="BI9" t="str">
        <f>IF('1. Live'!BI9='check-Jul25'!BI9,"",'1. Live'!BI9-'check-Jul25'!BI9)</f>
        <v/>
      </c>
      <c r="BJ9" t="str">
        <f>IF('1. Live'!BJ9='check-Jul25'!BJ9,"",'1. Live'!BJ9-'check-Jul25'!BJ9)</f>
        <v/>
      </c>
      <c r="BK9" t="str">
        <f>IF('1. Live'!BK9='check-Jul25'!BK9,"",'1. Live'!BK9-'check-Jul25'!BK9)</f>
        <v/>
      </c>
      <c r="BL9" t="str">
        <f>IF('1. Live'!BL9='check-Jul25'!BL9,"",'1. Live'!BL9-'check-Jul25'!BL9)</f>
        <v/>
      </c>
      <c r="BM9" t="str">
        <f>IF('1. Live'!BM9='check-Jul25'!BM9,"",'1. Live'!BM9-'check-Jul25'!BM9)</f>
        <v/>
      </c>
      <c r="BN9" t="str">
        <f>IF('1. Live'!BN9='check-Jul25'!BN9,"",'1. Live'!BN9-'check-Jul25'!BN9)</f>
        <v/>
      </c>
      <c r="BO9" t="str">
        <f>IF('1. Live'!BO9='check-Jul25'!BO9,"",'1. Live'!BO9-'check-Jul25'!BO9)</f>
        <v/>
      </c>
      <c r="BP9" t="str">
        <f>IF('1. Live'!BP9='check-Jul25'!BP9,"",'1. Live'!BP9-'check-Jul25'!BP9)</f>
        <v/>
      </c>
      <c r="BQ9" t="str">
        <f>IF('1. Live'!BQ9='check-Jul25'!BQ9,"",'1. Live'!BQ9-'check-Jul25'!BQ9)</f>
        <v/>
      </c>
      <c r="BR9" t="str">
        <f>IF('1. Live'!BR9='check-Jul25'!BR9,"",'1. Live'!BR9-'check-Jul25'!BR9)</f>
        <v/>
      </c>
      <c r="BS9" t="str">
        <f>IF('1. Live'!BS9='check-Jul25'!BS9,"",'1. Live'!BS9-'check-Jul25'!BS9)</f>
        <v/>
      </c>
      <c r="BT9" t="str">
        <f>IF('1. Live'!BT9='check-Jul25'!BT9,"",'1. Live'!BT9-'check-Jul25'!BT9)</f>
        <v/>
      </c>
      <c r="BU9" t="str">
        <f>IF('1. Live'!BU9='check-Jul25'!BU9,"",'1. Live'!BU9-'check-Jul25'!BU9)</f>
        <v/>
      </c>
      <c r="BV9" t="str">
        <f>IF('1. Live'!BV9='check-Jul25'!BV9,"",'1. Live'!BV9-'check-Jul25'!BV9)</f>
        <v/>
      </c>
      <c r="BW9" t="str">
        <f>IF('1. Live'!BW9='check-Jul25'!BW9,"",'1. Live'!BW9-'check-Jul25'!BW9)</f>
        <v/>
      </c>
      <c r="BX9" t="str">
        <f>IF('1. Live'!BX9='check-Jul25'!BX9,"",'1. Live'!BX9-'check-Jul25'!BX9)</f>
        <v/>
      </c>
      <c r="BY9" t="str">
        <f>IF('1. Live'!BY9='check-Jul25'!BY9,"",'1. Live'!BY9-'check-Jul25'!BY9)</f>
        <v/>
      </c>
      <c r="BZ9" t="str">
        <f>IF('1. Live'!BZ9='check-Jul25'!BZ9,"",'1. Live'!BZ9-'check-Jul25'!BZ9)</f>
        <v/>
      </c>
      <c r="CA9" t="str">
        <f>IF('1. Live'!CA9='check-Jul25'!CA9,"",'1. Live'!CA9-'check-Jul25'!CA9)</f>
        <v/>
      </c>
      <c r="CB9" t="str">
        <f>IF('1. Live'!CB9='check-Jul25'!CB9,"",'1. Live'!CB9-'check-Jul25'!CB9)</f>
        <v/>
      </c>
      <c r="CC9" t="str">
        <f>IF('1. Live'!CC9='check-Jul25'!CC9,"",'1. Live'!CC9-'check-Jul25'!CC9)</f>
        <v/>
      </c>
      <c r="CD9" t="str">
        <f>IF('1. Live'!CD9='check-Jul25'!CD9,"",'1. Live'!CD9-'check-Jul25'!CD9)</f>
        <v/>
      </c>
      <c r="CE9" t="str">
        <f>IF('1. Live'!CE9='check-Jul25'!CE9,"",'1. Live'!CE9-'check-Jul25'!CE9)</f>
        <v/>
      </c>
      <c r="CF9" t="str">
        <f>IF('1. Live'!CF9='check-Jul25'!CF9,"",'1. Live'!CF9-'check-Jul25'!CF9)</f>
        <v/>
      </c>
      <c r="CG9" t="str">
        <f>IF('1. Live'!CG9='check-Jul25'!CG9,"",'1. Live'!CG9-'check-Jul25'!CG9)</f>
        <v/>
      </c>
      <c r="CH9" t="str">
        <f>IF('1. Live'!CH9='check-Jul25'!CH9,"",'1. Live'!CH9-'check-Jul25'!CH9)</f>
        <v/>
      </c>
      <c r="CI9" t="str">
        <f>IF('1. Live'!CI9='check-Jul25'!CI9,"",'1. Live'!CI9-'check-Jul25'!CI9)</f>
        <v/>
      </c>
      <c r="CJ9" t="str">
        <f>IF('1. Live'!CJ9='check-Jul25'!CJ9,"",'1. Live'!CJ9-'check-Jul25'!CJ9)</f>
        <v/>
      </c>
      <c r="CK9" t="str">
        <f>IF('1. Live'!CK9='check-Jul25'!CK9,"",'1. Live'!CK9-'check-Jul25'!CK9)</f>
        <v/>
      </c>
      <c r="CL9" t="str">
        <f>IF('1. Live'!CL9='check-Jul25'!CL9,"",'1. Live'!CL9-'check-Jul25'!CL9)</f>
        <v/>
      </c>
      <c r="CM9" t="str">
        <f>IF('1. Live'!CM9='check-Jul25'!CM9,"",'1. Live'!CM9-'check-Jul25'!CM9)</f>
        <v/>
      </c>
      <c r="CN9" t="str">
        <f>IF('1. Live'!CN9='check-Jul25'!CN9,"",'1. Live'!CN9-'check-Jul25'!CN9)</f>
        <v/>
      </c>
      <c r="CO9" t="str">
        <f>IF('1. Live'!CO9='check-Jul25'!CO9,"",'1. Live'!CO9-'check-Jul25'!CO9)</f>
        <v/>
      </c>
      <c r="CP9" t="str">
        <f>IF('1. Live'!CP9='check-Jul25'!CP9,"",'1. Live'!CP9-'check-Jul25'!CP9)</f>
        <v/>
      </c>
      <c r="CQ9" t="str">
        <f>IF('1. Live'!CQ9='check-Jul25'!CQ9,"",'1. Live'!CQ9-'check-Jul25'!CQ9)</f>
        <v/>
      </c>
      <c r="CR9" t="str">
        <f>IF('1. Live'!CR9='check-Jul25'!CR9,"",'1. Live'!CR9-'check-Jul25'!CR9)</f>
        <v/>
      </c>
      <c r="CS9" t="str">
        <f>IF('1. Live'!CS9='check-Jul25'!CS9,"",'1. Live'!CS9-'check-Jul25'!CS9)</f>
        <v/>
      </c>
      <c r="CT9" t="str">
        <f>IF('1. Live'!CT9='check-Jul25'!CT9,"",'1. Live'!CT9-'check-Jul25'!CT9)</f>
        <v/>
      </c>
      <c r="CU9" t="str">
        <f>IF('1. Live'!CU9='check-Jul25'!CU9,"",'1. Live'!CU9-'check-Jul25'!CU9)</f>
        <v/>
      </c>
      <c r="CV9" t="str">
        <f>IF('1. Live'!CV9='check-Jul25'!CV9,"",'1. Live'!CV9-'check-Jul25'!CV9)</f>
        <v/>
      </c>
      <c r="CW9" t="str">
        <f>IF('1. Live'!CW9='check-Jul25'!CW9,"",'1. Live'!CW9-'check-Jul25'!CW9)</f>
        <v/>
      </c>
    </row>
    <row r="10" spans="2:101">
      <c r="B10" s="66"/>
      <c r="C10" s="4" t="s">
        <v>285</v>
      </c>
      <c r="D10" s="32" t="s">
        <v>248</v>
      </c>
      <c r="E10" s="2" t="s">
        <v>77</v>
      </c>
      <c r="F10" s="2">
        <v>0</v>
      </c>
      <c r="G10" s="2" t="s">
        <v>8</v>
      </c>
      <c r="H10" s="6">
        <v>2023</v>
      </c>
      <c r="I10" s="6" t="s">
        <v>66</v>
      </c>
      <c r="J10" s="90" t="str">
        <f>IF('1. Live'!J10='check-Jul25'!J10,"",'1. Live'!J10-'check-Jul25'!J10)</f>
        <v/>
      </c>
      <c r="K10" s="17" t="str">
        <f ca="1">IF('1. Live'!K10='check-Jul25'!K10,"",'1. Live'!K10-'check-Jul25'!K10)</f>
        <v/>
      </c>
      <c r="L10" s="17" t="str">
        <f ca="1">IF('1. Live'!L10='check-Jul25'!L10,"",'1. Live'!L10-'check-Jul25'!L10)</f>
        <v/>
      </c>
      <c r="M10" s="17" t="str">
        <f ca="1">IF('1. Live'!M10='check-Jul25'!M10,"",'1. Live'!M10-'check-Jul25'!M10)</f>
        <v/>
      </c>
      <c r="N10" s="17" t="str">
        <f ca="1">IF('1. Live'!N10='check-Jul25'!N10,"",'1. Live'!N10-'check-Jul25'!N10)</f>
        <v/>
      </c>
      <c r="O10" s="17" t="str">
        <f>IF('1. Live'!O10='check-Jul25'!O10,"",'1. Live'!O10-'check-Jul25'!O10)</f>
        <v/>
      </c>
      <c r="P10" s="17" t="str">
        <f ca="1">IF('1. Live'!P10='check-Jul25'!P10,"",'1. Live'!P10-'check-Jul25'!P10)</f>
        <v/>
      </c>
      <c r="Q10" s="17" t="str">
        <f>IF('1. Live'!Q10='check-Jul25'!Q10,"",'1. Live'!Q10-'check-Jul25'!Q10)</f>
        <v/>
      </c>
      <c r="R10" s="10" t="str">
        <f ca="1">IF('1. Live'!R10='check-Jul25'!R10,"",'1. Live'!R10-'check-Jul25'!R10)</f>
        <v/>
      </c>
      <c r="S10" s="2" t="str">
        <f>IF('1. Live'!S10='check-Jul25'!S10,"",'1. Live'!S10-'check-Jul25'!S10)</f>
        <v/>
      </c>
      <c r="T10" s="67" t="str">
        <f>IF('1. Live'!T10='check-Jul25'!T10,"",'1. Live'!T10-'check-Jul25'!T10)</f>
        <v/>
      </c>
      <c r="U10" t="str">
        <f>IF('1. Live'!U10='check-Jul25'!U10,"",'1. Live'!U10-'check-Jul25'!U10)</f>
        <v/>
      </c>
      <c r="V10" t="str">
        <f>IF('1. Live'!V10='check-Jul25'!V10,"",'1. Live'!V10-'check-Jul25'!V10)</f>
        <v/>
      </c>
      <c r="W10" t="str">
        <f>IF('1. Live'!W10='check-Jul25'!W10,"",'1. Live'!W10-'check-Jul25'!W10)</f>
        <v/>
      </c>
      <c r="X10" t="str">
        <f>IF('1. Live'!X10='check-Jul25'!X10,"",'1. Live'!X10-'check-Jul25'!X10)</f>
        <v/>
      </c>
      <c r="Y10" t="str">
        <f>IF('1. Live'!Y10='check-Jul25'!Y10,"",'1. Live'!Y10-'check-Jul25'!Y10)</f>
        <v/>
      </c>
      <c r="Z10" t="str">
        <f>IF('1. Live'!Z10='check-Jul25'!Z10,"",'1. Live'!Z10-'check-Jul25'!Z10)</f>
        <v/>
      </c>
      <c r="AA10" t="str">
        <f>IF('1. Live'!AA10='check-Jul25'!AA10,"",'1. Live'!AA10-'check-Jul25'!AA10)</f>
        <v/>
      </c>
      <c r="AB10" t="str">
        <f>IF('1. Live'!AB10='check-Jul25'!AB10,"",'1. Live'!AB10-'check-Jul25'!AB10)</f>
        <v/>
      </c>
      <c r="AC10" t="str">
        <f>IF('1. Live'!AC10='check-Jul25'!AC10,"",'1. Live'!AC10-'check-Jul25'!AC10)</f>
        <v/>
      </c>
      <c r="AD10" t="str">
        <f>IF('1. Live'!AD10='check-Jul25'!AD10,"",'1. Live'!AD10-'check-Jul25'!AD10)</f>
        <v/>
      </c>
      <c r="AE10" t="str">
        <f>IF('1. Live'!AE10='check-Jul25'!AE10,"",'1. Live'!AE10-'check-Jul25'!AE10)</f>
        <v/>
      </c>
      <c r="AF10" t="str">
        <f>IF('1. Live'!AF10='check-Jul25'!AF10,"",'1. Live'!AF10-'check-Jul25'!AF10)</f>
        <v/>
      </c>
      <c r="AG10" t="str">
        <f>IF('1. Live'!AG10='check-Jul25'!AG10,"",'1. Live'!AG10-'check-Jul25'!AG10)</f>
        <v/>
      </c>
      <c r="AH10" t="str">
        <f>IF('1. Live'!AH10='check-Jul25'!AH10,"",'1. Live'!AH10-'check-Jul25'!AH10)</f>
        <v/>
      </c>
      <c r="AI10" t="str">
        <f>IF('1. Live'!AI10='check-Jul25'!AI10,"",'1. Live'!AI10-'check-Jul25'!AI10)</f>
        <v/>
      </c>
      <c r="AJ10" t="str">
        <f>IF('1. Live'!AJ10='check-Jul25'!AJ10,"",'1. Live'!AJ10-'check-Jul25'!AJ10)</f>
        <v/>
      </c>
      <c r="AK10" t="str">
        <f>IF('1. Live'!AK10='check-Jul25'!AK10,"",'1. Live'!AK10-'check-Jul25'!AK10)</f>
        <v/>
      </c>
      <c r="AL10" t="str">
        <f>IF('1. Live'!AL10='check-Jul25'!AL10,"",'1. Live'!AL10-'check-Jul25'!AL10)</f>
        <v/>
      </c>
      <c r="AM10" t="str">
        <f>IF('1. Live'!AM10='check-Jul25'!AM10,"",'1. Live'!AM10-'check-Jul25'!AM10)</f>
        <v/>
      </c>
      <c r="AN10" t="str">
        <f>IF('1. Live'!AN10='check-Jul25'!AN10,"",'1. Live'!AN10-'check-Jul25'!AN10)</f>
        <v/>
      </c>
      <c r="AO10" t="str">
        <f>IF('1. Live'!AO10='check-Jul25'!AO10,"",'1. Live'!AO10-'check-Jul25'!AO10)</f>
        <v/>
      </c>
      <c r="AP10" t="str">
        <f>IF('1. Live'!AP10='check-Jul25'!AP10,"",'1. Live'!AP10-'check-Jul25'!AP10)</f>
        <v/>
      </c>
      <c r="AQ10" t="str">
        <f>IF('1. Live'!AQ10='check-Jul25'!AQ10,"",'1. Live'!AQ10-'check-Jul25'!AQ10)</f>
        <v/>
      </c>
      <c r="AR10" t="str">
        <f>IF('1. Live'!AR10='check-Jul25'!AR10,"",'1. Live'!AR10-'check-Jul25'!AR10)</f>
        <v/>
      </c>
      <c r="AS10" t="str">
        <f>IF('1. Live'!AS10='check-Jul25'!AS10,"",'1. Live'!AS10-'check-Jul25'!AS10)</f>
        <v/>
      </c>
      <c r="AT10" t="str">
        <f>IF('1. Live'!AT10='check-Jul25'!AT10,"",'1. Live'!AT10-'check-Jul25'!AT10)</f>
        <v/>
      </c>
      <c r="AU10" t="str">
        <f>IF('1. Live'!AU10='check-Jul25'!AU10,"",'1. Live'!AU10-'check-Jul25'!AU10)</f>
        <v/>
      </c>
      <c r="AV10" t="str">
        <f>IF('1. Live'!AV10='check-Jul25'!AV10,"",'1. Live'!AV10-'check-Jul25'!AV10)</f>
        <v/>
      </c>
      <c r="AW10" t="str">
        <f>IF('1. Live'!AW10='check-Jul25'!AW10,"",'1. Live'!AW10-'check-Jul25'!AW10)</f>
        <v/>
      </c>
      <c r="AX10" t="str">
        <f>IF('1. Live'!AX10='check-Jul25'!AX10,"",'1. Live'!AX10-'check-Jul25'!AX10)</f>
        <v/>
      </c>
      <c r="AY10" t="str">
        <f>IF('1. Live'!AY10='check-Jul25'!AY10,"",'1. Live'!AY10-'check-Jul25'!AY10)</f>
        <v/>
      </c>
      <c r="AZ10" t="str">
        <f>IF('1. Live'!AZ10='check-Jul25'!AZ10,"",'1. Live'!AZ10-'check-Jul25'!AZ10)</f>
        <v/>
      </c>
      <c r="BA10" t="str">
        <f>IF('1. Live'!BA10='check-Jul25'!BA10,"",'1. Live'!BA10-'check-Jul25'!BA10)</f>
        <v/>
      </c>
      <c r="BB10" t="str">
        <f>IF('1. Live'!BB10='check-Jul25'!BB10,"",'1. Live'!BB10-'check-Jul25'!BB10)</f>
        <v/>
      </c>
      <c r="BC10" t="str">
        <f>IF('1. Live'!BC10='check-Jul25'!BC10,"",'1. Live'!BC10-'check-Jul25'!BC10)</f>
        <v/>
      </c>
      <c r="BD10" t="str">
        <f>IF('1. Live'!BD10='check-Jul25'!BD10,"",'1. Live'!BD10-'check-Jul25'!BD10)</f>
        <v/>
      </c>
      <c r="BE10" t="str">
        <f>IF('1. Live'!BE10='check-Jul25'!BE10,"",'1. Live'!BE10-'check-Jul25'!BE10)</f>
        <v/>
      </c>
      <c r="BF10" t="str">
        <f>IF('1. Live'!BF10='check-Jul25'!BF10,"",'1. Live'!BF10-'check-Jul25'!BF10)</f>
        <v/>
      </c>
      <c r="BG10" t="str">
        <f>IF('1. Live'!BG10='check-Jul25'!BG10,"",'1. Live'!BG10-'check-Jul25'!BG10)</f>
        <v/>
      </c>
      <c r="BH10" t="str">
        <f>IF('1. Live'!BH10='check-Jul25'!BH10,"",'1. Live'!BH10-'check-Jul25'!BH10)</f>
        <v/>
      </c>
      <c r="BI10" t="str">
        <f>IF('1. Live'!BI10='check-Jul25'!BI10,"",'1. Live'!BI10-'check-Jul25'!BI10)</f>
        <v/>
      </c>
      <c r="BJ10" t="str">
        <f>IF('1. Live'!BJ10='check-Jul25'!BJ10,"",'1. Live'!BJ10-'check-Jul25'!BJ10)</f>
        <v/>
      </c>
      <c r="BK10" t="str">
        <f>IF('1. Live'!BK10='check-Jul25'!BK10,"",'1. Live'!BK10-'check-Jul25'!BK10)</f>
        <v/>
      </c>
      <c r="BL10" t="str">
        <f>IF('1. Live'!BL10='check-Jul25'!BL10,"",'1. Live'!BL10-'check-Jul25'!BL10)</f>
        <v/>
      </c>
      <c r="BM10" t="str">
        <f>IF('1. Live'!BM10='check-Jul25'!BM10,"",'1. Live'!BM10-'check-Jul25'!BM10)</f>
        <v/>
      </c>
      <c r="BN10" t="str">
        <f>IF('1. Live'!BN10='check-Jul25'!BN10,"",'1. Live'!BN10-'check-Jul25'!BN10)</f>
        <v/>
      </c>
      <c r="BO10" t="str">
        <f>IF('1. Live'!BO10='check-Jul25'!BO10,"",'1. Live'!BO10-'check-Jul25'!BO10)</f>
        <v/>
      </c>
      <c r="BP10" t="str">
        <f>IF('1. Live'!BP10='check-Jul25'!BP10,"",'1. Live'!BP10-'check-Jul25'!BP10)</f>
        <v/>
      </c>
      <c r="BQ10" t="str">
        <f>IF('1. Live'!BQ10='check-Jul25'!BQ10,"",'1. Live'!BQ10-'check-Jul25'!BQ10)</f>
        <v/>
      </c>
      <c r="BR10" t="str">
        <f>IF('1. Live'!BR10='check-Jul25'!BR10,"",'1. Live'!BR10-'check-Jul25'!BR10)</f>
        <v/>
      </c>
      <c r="BS10" t="str">
        <f>IF('1. Live'!BS10='check-Jul25'!BS10,"",'1. Live'!BS10-'check-Jul25'!BS10)</f>
        <v/>
      </c>
      <c r="BT10" t="str">
        <f>IF('1. Live'!BT10='check-Jul25'!BT10,"",'1. Live'!BT10-'check-Jul25'!BT10)</f>
        <v/>
      </c>
      <c r="BU10" t="str">
        <f>IF('1. Live'!BU10='check-Jul25'!BU10,"",'1. Live'!BU10-'check-Jul25'!BU10)</f>
        <v/>
      </c>
      <c r="BV10" t="str">
        <f>IF('1. Live'!BV10='check-Jul25'!BV10,"",'1. Live'!BV10-'check-Jul25'!BV10)</f>
        <v/>
      </c>
      <c r="BW10" t="str">
        <f>IF('1. Live'!BW10='check-Jul25'!BW10,"",'1. Live'!BW10-'check-Jul25'!BW10)</f>
        <v/>
      </c>
      <c r="BX10" t="str">
        <f>IF('1. Live'!BX10='check-Jul25'!BX10,"",'1. Live'!BX10-'check-Jul25'!BX10)</f>
        <v/>
      </c>
      <c r="BY10" t="str">
        <f>IF('1. Live'!BY10='check-Jul25'!BY10,"",'1. Live'!BY10-'check-Jul25'!BY10)</f>
        <v/>
      </c>
      <c r="BZ10" t="str">
        <f>IF('1. Live'!BZ10='check-Jul25'!BZ10,"",'1. Live'!BZ10-'check-Jul25'!BZ10)</f>
        <v/>
      </c>
      <c r="CA10" t="str">
        <f>IF('1. Live'!CA10='check-Jul25'!CA10,"",'1. Live'!CA10-'check-Jul25'!CA10)</f>
        <v/>
      </c>
      <c r="CB10" t="str">
        <f>IF('1. Live'!CB10='check-Jul25'!CB10,"",'1. Live'!CB10-'check-Jul25'!CB10)</f>
        <v/>
      </c>
      <c r="CC10" t="str">
        <f>IF('1. Live'!CC10='check-Jul25'!CC10,"",'1. Live'!CC10-'check-Jul25'!CC10)</f>
        <v/>
      </c>
      <c r="CD10" t="str">
        <f>IF('1. Live'!CD10='check-Jul25'!CD10,"",'1. Live'!CD10-'check-Jul25'!CD10)</f>
        <v/>
      </c>
      <c r="CE10" t="str">
        <f>IF('1. Live'!CE10='check-Jul25'!CE10,"",'1. Live'!CE10-'check-Jul25'!CE10)</f>
        <v/>
      </c>
      <c r="CF10" t="str">
        <f>IF('1. Live'!CF10='check-Jul25'!CF10,"",'1. Live'!CF10-'check-Jul25'!CF10)</f>
        <v/>
      </c>
      <c r="CG10" t="str">
        <f>IF('1. Live'!CG10='check-Jul25'!CG10,"",'1. Live'!CG10-'check-Jul25'!CG10)</f>
        <v/>
      </c>
      <c r="CH10" t="str">
        <f>IF('1. Live'!CH10='check-Jul25'!CH10,"",'1. Live'!CH10-'check-Jul25'!CH10)</f>
        <v/>
      </c>
      <c r="CI10" t="str">
        <f>IF('1. Live'!CI10='check-Jul25'!CI10,"",'1. Live'!CI10-'check-Jul25'!CI10)</f>
        <v/>
      </c>
      <c r="CJ10" t="str">
        <f>IF('1. Live'!CJ10='check-Jul25'!CJ10,"",'1. Live'!CJ10-'check-Jul25'!CJ10)</f>
        <v/>
      </c>
      <c r="CK10" t="str">
        <f>IF('1. Live'!CK10='check-Jul25'!CK10,"",'1. Live'!CK10-'check-Jul25'!CK10)</f>
        <v/>
      </c>
      <c r="CL10" t="str">
        <f>IF('1. Live'!CL10='check-Jul25'!CL10,"",'1. Live'!CL10-'check-Jul25'!CL10)</f>
        <v/>
      </c>
      <c r="CM10" t="str">
        <f>IF('1. Live'!CM10='check-Jul25'!CM10,"",'1. Live'!CM10-'check-Jul25'!CM10)</f>
        <v/>
      </c>
      <c r="CN10" t="str">
        <f>IF('1. Live'!CN10='check-Jul25'!CN10,"",'1. Live'!CN10-'check-Jul25'!CN10)</f>
        <v/>
      </c>
      <c r="CO10" t="str">
        <f>IF('1. Live'!CO10='check-Jul25'!CO10,"",'1. Live'!CO10-'check-Jul25'!CO10)</f>
        <v/>
      </c>
      <c r="CP10" t="str">
        <f>IF('1. Live'!CP10='check-Jul25'!CP10,"",'1. Live'!CP10-'check-Jul25'!CP10)</f>
        <v/>
      </c>
      <c r="CQ10" t="str">
        <f>IF('1. Live'!CQ10='check-Jul25'!CQ10,"",'1. Live'!CQ10-'check-Jul25'!CQ10)</f>
        <v/>
      </c>
      <c r="CR10" t="str">
        <f>IF('1. Live'!CR10='check-Jul25'!CR10,"",'1. Live'!CR10-'check-Jul25'!CR10)</f>
        <v/>
      </c>
      <c r="CS10" t="str">
        <f>IF('1. Live'!CS10='check-Jul25'!CS10,"",'1. Live'!CS10-'check-Jul25'!CS10)</f>
        <v/>
      </c>
      <c r="CT10" t="str">
        <f>IF('1. Live'!CT10='check-Jul25'!CT10,"",'1. Live'!CT10-'check-Jul25'!CT10)</f>
        <v/>
      </c>
      <c r="CU10" t="str">
        <f>IF('1. Live'!CU10='check-Jul25'!CU10,"",'1. Live'!CU10-'check-Jul25'!CU10)</f>
        <v/>
      </c>
      <c r="CV10" t="str">
        <f>IF('1. Live'!CV10='check-Jul25'!CV10,"",'1. Live'!CV10-'check-Jul25'!CV10)</f>
        <v/>
      </c>
      <c r="CW10" t="str">
        <f>IF('1. Live'!CW10='check-Jul25'!CW10,"",'1. Live'!CW10-'check-Jul25'!CW10)</f>
        <v/>
      </c>
    </row>
    <row r="11" spans="2:101">
      <c r="B11" s="66"/>
      <c r="C11" s="4" t="s">
        <v>232</v>
      </c>
      <c r="D11" s="32" t="s">
        <v>248</v>
      </c>
      <c r="E11" s="2" t="s">
        <v>77</v>
      </c>
      <c r="F11" s="2">
        <v>0</v>
      </c>
      <c r="G11" s="2" t="s">
        <v>567</v>
      </c>
      <c r="H11" s="6">
        <v>2022</v>
      </c>
      <c r="I11" s="6" t="s">
        <v>67</v>
      </c>
      <c r="J11" s="90" t="str">
        <f>IF('1. Live'!J11='check-Jul25'!J11,"",'1. Live'!J11-'check-Jul25'!J11)</f>
        <v/>
      </c>
      <c r="K11" s="17" t="str">
        <f ca="1">IF('1. Live'!K11='check-Jul25'!K11,"",'1. Live'!K11-'check-Jul25'!K11)</f>
        <v/>
      </c>
      <c r="L11" s="17" t="str">
        <f ca="1">IF('1. Live'!L11='check-Jul25'!L11,"",'1. Live'!L11-'check-Jul25'!L11)</f>
        <v/>
      </c>
      <c r="M11" s="17" t="str">
        <f ca="1">IF('1. Live'!M11='check-Jul25'!M11,"",'1. Live'!M11-'check-Jul25'!M11)</f>
        <v/>
      </c>
      <c r="N11" s="17" t="str">
        <f ca="1">IF('1. Live'!N11='check-Jul25'!N11,"",'1. Live'!N11-'check-Jul25'!N11)</f>
        <v/>
      </c>
      <c r="O11" s="17" t="str">
        <f>IF('1. Live'!O11='check-Jul25'!O11,"",'1. Live'!O11-'check-Jul25'!O11)</f>
        <v/>
      </c>
      <c r="P11" s="17" t="str">
        <f ca="1">IF('1. Live'!P11='check-Jul25'!P11,"",'1. Live'!P11-'check-Jul25'!P11)</f>
        <v/>
      </c>
      <c r="Q11" s="17" t="str">
        <f>IF('1. Live'!Q11='check-Jul25'!Q11,"",'1. Live'!Q11-'check-Jul25'!Q11)</f>
        <v/>
      </c>
      <c r="R11" s="10" t="str">
        <f ca="1">IF('1. Live'!R11='check-Jul25'!R11,"",'1. Live'!R11-'check-Jul25'!R11)</f>
        <v/>
      </c>
      <c r="S11" s="2" t="str">
        <f>IF('1. Live'!S11='check-Jul25'!S11,"",'1. Live'!S11-'check-Jul25'!S11)</f>
        <v/>
      </c>
      <c r="T11" s="67" t="str">
        <f>IF('1. Live'!T11='check-Jul25'!T11,"",'1. Live'!T11-'check-Jul25'!T11)</f>
        <v/>
      </c>
      <c r="U11" t="str">
        <f>IF('1. Live'!U11='check-Jul25'!U11,"",'1. Live'!U11-'check-Jul25'!U11)</f>
        <v/>
      </c>
      <c r="V11" t="str">
        <f>IF('1. Live'!V11='check-Jul25'!V11,"",'1. Live'!V11-'check-Jul25'!V11)</f>
        <v/>
      </c>
      <c r="W11" t="str">
        <f>IF('1. Live'!W11='check-Jul25'!W11,"",'1. Live'!W11-'check-Jul25'!W11)</f>
        <v/>
      </c>
      <c r="X11" t="str">
        <f>IF('1. Live'!X11='check-Jul25'!X11,"",'1. Live'!X11-'check-Jul25'!X11)</f>
        <v/>
      </c>
      <c r="Y11" t="str">
        <f>IF('1. Live'!Y11='check-Jul25'!Y11,"",'1. Live'!Y11-'check-Jul25'!Y11)</f>
        <v/>
      </c>
      <c r="Z11" t="str">
        <f>IF('1. Live'!Z11='check-Jul25'!Z11,"",'1. Live'!Z11-'check-Jul25'!Z11)</f>
        <v/>
      </c>
      <c r="AA11" t="str">
        <f>IF('1. Live'!AA11='check-Jul25'!AA11,"",'1. Live'!AA11-'check-Jul25'!AA11)</f>
        <v/>
      </c>
      <c r="AB11" t="str">
        <f>IF('1. Live'!AB11='check-Jul25'!AB11,"",'1. Live'!AB11-'check-Jul25'!AB11)</f>
        <v/>
      </c>
      <c r="AC11" t="str">
        <f>IF('1. Live'!AC11='check-Jul25'!AC11,"",'1. Live'!AC11-'check-Jul25'!AC11)</f>
        <v/>
      </c>
      <c r="AD11" t="str">
        <f>IF('1. Live'!AD11='check-Jul25'!AD11,"",'1. Live'!AD11-'check-Jul25'!AD11)</f>
        <v/>
      </c>
      <c r="AE11" t="str">
        <f>IF('1. Live'!AE11='check-Jul25'!AE11,"",'1. Live'!AE11-'check-Jul25'!AE11)</f>
        <v/>
      </c>
      <c r="AF11" t="str">
        <f>IF('1. Live'!AF11='check-Jul25'!AF11,"",'1. Live'!AF11-'check-Jul25'!AF11)</f>
        <v/>
      </c>
      <c r="AG11" t="str">
        <f>IF('1. Live'!AG11='check-Jul25'!AG11,"",'1. Live'!AG11-'check-Jul25'!AG11)</f>
        <v/>
      </c>
      <c r="AH11" t="str">
        <f>IF('1. Live'!AH11='check-Jul25'!AH11,"",'1. Live'!AH11-'check-Jul25'!AH11)</f>
        <v/>
      </c>
      <c r="AI11" t="str">
        <f>IF('1. Live'!AI11='check-Jul25'!AI11,"",'1. Live'!AI11-'check-Jul25'!AI11)</f>
        <v/>
      </c>
      <c r="AJ11" t="str">
        <f>IF('1. Live'!AJ11='check-Jul25'!AJ11,"",'1. Live'!AJ11-'check-Jul25'!AJ11)</f>
        <v/>
      </c>
      <c r="AK11" t="str">
        <f>IF('1. Live'!AK11='check-Jul25'!AK11,"",'1. Live'!AK11-'check-Jul25'!AK11)</f>
        <v/>
      </c>
      <c r="AL11" t="str">
        <f>IF('1. Live'!AL11='check-Jul25'!AL11,"",'1. Live'!AL11-'check-Jul25'!AL11)</f>
        <v/>
      </c>
      <c r="AM11" t="str">
        <f>IF('1. Live'!AM11='check-Jul25'!AM11,"",'1. Live'!AM11-'check-Jul25'!AM11)</f>
        <v/>
      </c>
      <c r="AN11" t="str">
        <f>IF('1. Live'!AN11='check-Jul25'!AN11,"",'1. Live'!AN11-'check-Jul25'!AN11)</f>
        <v/>
      </c>
      <c r="AO11" t="str">
        <f>IF('1. Live'!AO11='check-Jul25'!AO11,"",'1. Live'!AO11-'check-Jul25'!AO11)</f>
        <v/>
      </c>
      <c r="AP11" t="str">
        <f>IF('1. Live'!AP11='check-Jul25'!AP11,"",'1. Live'!AP11-'check-Jul25'!AP11)</f>
        <v/>
      </c>
      <c r="AQ11" t="str">
        <f>IF('1. Live'!AQ11='check-Jul25'!AQ11,"",'1. Live'!AQ11-'check-Jul25'!AQ11)</f>
        <v/>
      </c>
      <c r="AR11" t="str">
        <f>IF('1. Live'!AR11='check-Jul25'!AR11,"",'1. Live'!AR11-'check-Jul25'!AR11)</f>
        <v/>
      </c>
      <c r="AS11" t="str">
        <f>IF('1. Live'!AS11='check-Jul25'!AS11,"",'1. Live'!AS11-'check-Jul25'!AS11)</f>
        <v/>
      </c>
      <c r="AT11" t="str">
        <f>IF('1. Live'!AT11='check-Jul25'!AT11,"",'1. Live'!AT11-'check-Jul25'!AT11)</f>
        <v/>
      </c>
      <c r="AU11" t="str">
        <f>IF('1. Live'!AU11='check-Jul25'!AU11,"",'1. Live'!AU11-'check-Jul25'!AU11)</f>
        <v/>
      </c>
      <c r="AV11" t="str">
        <f>IF('1. Live'!AV11='check-Jul25'!AV11,"",'1. Live'!AV11-'check-Jul25'!AV11)</f>
        <v/>
      </c>
      <c r="AW11" t="str">
        <f>IF('1. Live'!AW11='check-Jul25'!AW11,"",'1. Live'!AW11-'check-Jul25'!AW11)</f>
        <v/>
      </c>
      <c r="AX11" t="str">
        <f>IF('1. Live'!AX11='check-Jul25'!AX11,"",'1. Live'!AX11-'check-Jul25'!AX11)</f>
        <v/>
      </c>
      <c r="AY11" t="str">
        <f>IF('1. Live'!AY11='check-Jul25'!AY11,"",'1. Live'!AY11-'check-Jul25'!AY11)</f>
        <v/>
      </c>
      <c r="AZ11" t="str">
        <f>IF('1. Live'!AZ11='check-Jul25'!AZ11,"",'1. Live'!AZ11-'check-Jul25'!AZ11)</f>
        <v/>
      </c>
      <c r="BA11" t="str">
        <f>IF('1. Live'!BA11='check-Jul25'!BA11,"",'1. Live'!BA11-'check-Jul25'!BA11)</f>
        <v/>
      </c>
      <c r="BB11" t="str">
        <f>IF('1. Live'!BB11='check-Jul25'!BB11,"",'1. Live'!BB11-'check-Jul25'!BB11)</f>
        <v/>
      </c>
      <c r="BC11" t="str">
        <f>IF('1. Live'!BC11='check-Jul25'!BC11,"",'1. Live'!BC11-'check-Jul25'!BC11)</f>
        <v/>
      </c>
      <c r="BD11" t="str">
        <f>IF('1. Live'!BD11='check-Jul25'!BD11,"",'1. Live'!BD11-'check-Jul25'!BD11)</f>
        <v/>
      </c>
      <c r="BE11" t="str">
        <f>IF('1. Live'!BE11='check-Jul25'!BE11,"",'1. Live'!BE11-'check-Jul25'!BE11)</f>
        <v/>
      </c>
      <c r="BF11" t="str">
        <f>IF('1. Live'!BF11='check-Jul25'!BF11,"",'1. Live'!BF11-'check-Jul25'!BF11)</f>
        <v/>
      </c>
      <c r="BG11" t="str">
        <f>IF('1. Live'!BG11='check-Jul25'!BG11,"",'1. Live'!BG11-'check-Jul25'!BG11)</f>
        <v/>
      </c>
      <c r="BH11" t="str">
        <f>IF('1. Live'!BH11='check-Jul25'!BH11,"",'1. Live'!BH11-'check-Jul25'!BH11)</f>
        <v/>
      </c>
      <c r="BI11" t="str">
        <f>IF('1. Live'!BI11='check-Jul25'!BI11,"",'1. Live'!BI11-'check-Jul25'!BI11)</f>
        <v/>
      </c>
      <c r="BJ11" t="str">
        <f>IF('1. Live'!BJ11='check-Jul25'!BJ11,"",'1. Live'!BJ11-'check-Jul25'!BJ11)</f>
        <v/>
      </c>
      <c r="BK11" t="str">
        <f>IF('1. Live'!BK11='check-Jul25'!BK11,"",'1. Live'!BK11-'check-Jul25'!BK11)</f>
        <v/>
      </c>
      <c r="BL11" t="str">
        <f>IF('1. Live'!BL11='check-Jul25'!BL11,"",'1. Live'!BL11-'check-Jul25'!BL11)</f>
        <v/>
      </c>
      <c r="BM11" t="str">
        <f>IF('1. Live'!BM11='check-Jul25'!BM11,"",'1. Live'!BM11-'check-Jul25'!BM11)</f>
        <v/>
      </c>
      <c r="BN11" t="str">
        <f>IF('1. Live'!BN11='check-Jul25'!BN11,"",'1. Live'!BN11-'check-Jul25'!BN11)</f>
        <v/>
      </c>
      <c r="BO11" t="str">
        <f>IF('1. Live'!BO11='check-Jul25'!BO11,"",'1. Live'!BO11-'check-Jul25'!BO11)</f>
        <v/>
      </c>
      <c r="BP11" t="str">
        <f>IF('1. Live'!BP11='check-Jul25'!BP11,"",'1. Live'!BP11-'check-Jul25'!BP11)</f>
        <v/>
      </c>
      <c r="BQ11" t="str">
        <f>IF('1. Live'!BQ11='check-Jul25'!BQ11,"",'1. Live'!BQ11-'check-Jul25'!BQ11)</f>
        <v/>
      </c>
      <c r="BR11" t="str">
        <f>IF('1. Live'!BR11='check-Jul25'!BR11,"",'1. Live'!BR11-'check-Jul25'!BR11)</f>
        <v/>
      </c>
      <c r="BS11" t="str">
        <f>IF('1. Live'!BS11='check-Jul25'!BS11,"",'1. Live'!BS11-'check-Jul25'!BS11)</f>
        <v/>
      </c>
      <c r="BT11" t="str">
        <f>IF('1. Live'!BT11='check-Jul25'!BT11,"",'1. Live'!BT11-'check-Jul25'!BT11)</f>
        <v/>
      </c>
      <c r="BU11" t="str">
        <f>IF('1. Live'!BU11='check-Jul25'!BU11,"",'1. Live'!BU11-'check-Jul25'!BU11)</f>
        <v/>
      </c>
      <c r="BV11" t="str">
        <f>IF('1. Live'!BV11='check-Jul25'!BV11,"",'1. Live'!BV11-'check-Jul25'!BV11)</f>
        <v/>
      </c>
      <c r="BW11" t="str">
        <f>IF('1. Live'!BW11='check-Jul25'!BW11,"",'1. Live'!BW11-'check-Jul25'!BW11)</f>
        <v/>
      </c>
      <c r="BX11" t="str">
        <f>IF('1. Live'!BX11='check-Jul25'!BX11,"",'1. Live'!BX11-'check-Jul25'!BX11)</f>
        <v/>
      </c>
      <c r="BY11" t="str">
        <f>IF('1. Live'!BY11='check-Jul25'!BY11,"",'1. Live'!BY11-'check-Jul25'!BY11)</f>
        <v/>
      </c>
      <c r="BZ11" t="str">
        <f>IF('1. Live'!BZ11='check-Jul25'!BZ11,"",'1. Live'!BZ11-'check-Jul25'!BZ11)</f>
        <v/>
      </c>
      <c r="CA11" t="str">
        <f>IF('1. Live'!CA11='check-Jul25'!CA11,"",'1. Live'!CA11-'check-Jul25'!CA11)</f>
        <v/>
      </c>
      <c r="CB11" t="str">
        <f>IF('1. Live'!CB11='check-Jul25'!CB11,"",'1. Live'!CB11-'check-Jul25'!CB11)</f>
        <v/>
      </c>
      <c r="CC11" t="str">
        <f>IF('1. Live'!CC11='check-Jul25'!CC11,"",'1. Live'!CC11-'check-Jul25'!CC11)</f>
        <v/>
      </c>
      <c r="CD11" t="str">
        <f>IF('1. Live'!CD11='check-Jul25'!CD11,"",'1. Live'!CD11-'check-Jul25'!CD11)</f>
        <v/>
      </c>
      <c r="CE11" t="str">
        <f>IF('1. Live'!CE11='check-Jul25'!CE11,"",'1. Live'!CE11-'check-Jul25'!CE11)</f>
        <v/>
      </c>
      <c r="CF11" t="str">
        <f>IF('1. Live'!CF11='check-Jul25'!CF11,"",'1. Live'!CF11-'check-Jul25'!CF11)</f>
        <v/>
      </c>
      <c r="CG11" t="str">
        <f>IF('1. Live'!CG11='check-Jul25'!CG11,"",'1. Live'!CG11-'check-Jul25'!CG11)</f>
        <v/>
      </c>
      <c r="CH11" t="str">
        <f>IF('1. Live'!CH11='check-Jul25'!CH11,"",'1. Live'!CH11-'check-Jul25'!CH11)</f>
        <v/>
      </c>
      <c r="CI11" t="str">
        <f>IF('1. Live'!CI11='check-Jul25'!CI11,"",'1. Live'!CI11-'check-Jul25'!CI11)</f>
        <v/>
      </c>
      <c r="CJ11" t="str">
        <f>IF('1. Live'!CJ11='check-Jul25'!CJ11,"",'1. Live'!CJ11-'check-Jul25'!CJ11)</f>
        <v/>
      </c>
      <c r="CK11" t="str">
        <f>IF('1. Live'!CK11='check-Jul25'!CK11,"",'1. Live'!CK11-'check-Jul25'!CK11)</f>
        <v/>
      </c>
      <c r="CL11" t="str">
        <f>IF('1. Live'!CL11='check-Jul25'!CL11,"",'1. Live'!CL11-'check-Jul25'!CL11)</f>
        <v/>
      </c>
      <c r="CM11" t="str">
        <f>IF('1. Live'!CM11='check-Jul25'!CM11,"",'1. Live'!CM11-'check-Jul25'!CM11)</f>
        <v/>
      </c>
      <c r="CN11" t="str">
        <f>IF('1. Live'!CN11='check-Jul25'!CN11,"",'1. Live'!CN11-'check-Jul25'!CN11)</f>
        <v/>
      </c>
      <c r="CO11" t="str">
        <f>IF('1. Live'!CO11='check-Jul25'!CO11,"",'1. Live'!CO11-'check-Jul25'!CO11)</f>
        <v/>
      </c>
      <c r="CP11" t="str">
        <f>IF('1. Live'!CP11='check-Jul25'!CP11,"",'1. Live'!CP11-'check-Jul25'!CP11)</f>
        <v/>
      </c>
      <c r="CQ11" t="str">
        <f>IF('1. Live'!CQ11='check-Jul25'!CQ11,"",'1. Live'!CQ11-'check-Jul25'!CQ11)</f>
        <v/>
      </c>
      <c r="CR11" t="str">
        <f>IF('1. Live'!CR11='check-Jul25'!CR11,"",'1. Live'!CR11-'check-Jul25'!CR11)</f>
        <v/>
      </c>
      <c r="CS11" t="str">
        <f>IF('1. Live'!CS11='check-Jul25'!CS11,"",'1. Live'!CS11-'check-Jul25'!CS11)</f>
        <v/>
      </c>
      <c r="CT11" t="str">
        <f>IF('1. Live'!CT11='check-Jul25'!CT11,"",'1. Live'!CT11-'check-Jul25'!CT11)</f>
        <v/>
      </c>
      <c r="CU11" t="str">
        <f>IF('1. Live'!CU11='check-Jul25'!CU11,"",'1. Live'!CU11-'check-Jul25'!CU11)</f>
        <v/>
      </c>
      <c r="CV11" t="str">
        <f>IF('1. Live'!CV11='check-Jul25'!CV11,"",'1. Live'!CV11-'check-Jul25'!CV11)</f>
        <v/>
      </c>
      <c r="CW11" t="str">
        <f>IF('1. Live'!CW11='check-Jul25'!CW11,"",'1. Live'!CW11-'check-Jul25'!CW11)</f>
        <v/>
      </c>
    </row>
    <row r="12" spans="2:101">
      <c r="B12" s="66"/>
      <c r="C12" s="4" t="s">
        <v>206</v>
      </c>
      <c r="D12" s="32" t="s">
        <v>248</v>
      </c>
      <c r="E12" s="2" t="s">
        <v>77</v>
      </c>
      <c r="F12" s="2">
        <v>0</v>
      </c>
      <c r="G12" s="2" t="s">
        <v>8</v>
      </c>
      <c r="H12" s="6">
        <v>2022</v>
      </c>
      <c r="I12" s="6" t="s">
        <v>805</v>
      </c>
      <c r="J12" s="90" t="str">
        <f>IF('1. Live'!J12='check-Jul25'!J12,"",'1. Live'!J12-'check-Jul25'!J12)</f>
        <v/>
      </c>
      <c r="K12" s="17" t="str">
        <f>IF('1. Live'!K12='check-Jul25'!K12,"",'1. Live'!K12-'check-Jul25'!K12)</f>
        <v/>
      </c>
      <c r="L12" s="17" t="str">
        <f ca="1">IF('1. Live'!L12='check-Jul25'!L12,"",'1. Live'!L12-'check-Jul25'!L12)</f>
        <v/>
      </c>
      <c r="M12" s="17" t="str">
        <f ca="1">IF('1. Live'!M12='check-Jul25'!M12,"",'1. Live'!M12-'check-Jul25'!M12)</f>
        <v/>
      </c>
      <c r="N12" s="17" t="str">
        <f ca="1">IF('1. Live'!N12='check-Jul25'!N12,"",'1. Live'!N12-'check-Jul25'!N12)</f>
        <v/>
      </c>
      <c r="O12" s="17" t="str">
        <f>IF('1. Live'!O12='check-Jul25'!O12,"",'1. Live'!O12-'check-Jul25'!O12)</f>
        <v/>
      </c>
      <c r="P12" s="17" t="str">
        <f ca="1">IF('1. Live'!P12='check-Jul25'!P12,"",'1. Live'!P12-'check-Jul25'!P12)</f>
        <v/>
      </c>
      <c r="Q12" s="17" t="str">
        <f>IF('1. Live'!Q12='check-Jul25'!Q12,"",'1. Live'!Q12-'check-Jul25'!Q12)</f>
        <v/>
      </c>
      <c r="R12" s="10" t="str">
        <f ca="1">IF('1. Live'!R12='check-Jul25'!R12,"",'1. Live'!R12-'check-Jul25'!R12)</f>
        <v/>
      </c>
      <c r="S12" s="2" t="str">
        <f>IF('1. Live'!S12='check-Jul25'!S12,"",'1. Live'!S12-'check-Jul25'!S12)</f>
        <v/>
      </c>
      <c r="T12" s="67" t="str">
        <f>IF('1. Live'!T12='check-Jul25'!T12,"",'1. Live'!T12-'check-Jul25'!T12)</f>
        <v/>
      </c>
      <c r="U12" t="str">
        <f>IF('1. Live'!U12='check-Jul25'!U12,"",'1. Live'!U12-'check-Jul25'!U12)</f>
        <v/>
      </c>
      <c r="V12" t="str">
        <f>IF('1. Live'!V12='check-Jul25'!V12,"",'1. Live'!V12-'check-Jul25'!V12)</f>
        <v/>
      </c>
      <c r="W12" t="str">
        <f>IF('1. Live'!W12='check-Jul25'!W12,"",'1. Live'!W12-'check-Jul25'!W12)</f>
        <v/>
      </c>
      <c r="X12" t="str">
        <f>IF('1. Live'!X12='check-Jul25'!X12,"",'1. Live'!X12-'check-Jul25'!X12)</f>
        <v/>
      </c>
      <c r="Y12" t="str">
        <f>IF('1. Live'!Y12='check-Jul25'!Y12,"",'1. Live'!Y12-'check-Jul25'!Y12)</f>
        <v/>
      </c>
      <c r="Z12" t="str">
        <f>IF('1. Live'!Z12='check-Jul25'!Z12,"",'1. Live'!Z12-'check-Jul25'!Z12)</f>
        <v/>
      </c>
      <c r="AA12" t="str">
        <f>IF('1. Live'!AA12='check-Jul25'!AA12,"",'1. Live'!AA12-'check-Jul25'!AA12)</f>
        <v/>
      </c>
      <c r="AB12" t="str">
        <f>IF('1. Live'!AB12='check-Jul25'!AB12,"",'1. Live'!AB12-'check-Jul25'!AB12)</f>
        <v/>
      </c>
      <c r="AC12" t="str">
        <f>IF('1. Live'!AC12='check-Jul25'!AC12,"",'1. Live'!AC12-'check-Jul25'!AC12)</f>
        <v/>
      </c>
      <c r="AD12" t="str">
        <f>IF('1. Live'!AD12='check-Jul25'!AD12,"",'1. Live'!AD12-'check-Jul25'!AD12)</f>
        <v/>
      </c>
      <c r="AE12" t="str">
        <f>IF('1. Live'!AE12='check-Jul25'!AE12,"",'1. Live'!AE12-'check-Jul25'!AE12)</f>
        <v/>
      </c>
      <c r="AF12" t="str">
        <f>IF('1. Live'!AF12='check-Jul25'!AF12,"",'1. Live'!AF12-'check-Jul25'!AF12)</f>
        <v/>
      </c>
      <c r="AG12" t="str">
        <f>IF('1. Live'!AG12='check-Jul25'!AG12,"",'1. Live'!AG12-'check-Jul25'!AG12)</f>
        <v/>
      </c>
      <c r="AH12" t="str">
        <f>IF('1. Live'!AH12='check-Jul25'!AH12,"",'1. Live'!AH12-'check-Jul25'!AH12)</f>
        <v/>
      </c>
      <c r="AI12" t="str">
        <f>IF('1. Live'!AI12='check-Jul25'!AI12,"",'1. Live'!AI12-'check-Jul25'!AI12)</f>
        <v/>
      </c>
      <c r="AJ12" t="str">
        <f>IF('1. Live'!AJ12='check-Jul25'!AJ12,"",'1. Live'!AJ12-'check-Jul25'!AJ12)</f>
        <v/>
      </c>
      <c r="AK12" t="str">
        <f>IF('1. Live'!AK12='check-Jul25'!AK12,"",'1. Live'!AK12-'check-Jul25'!AK12)</f>
        <v/>
      </c>
      <c r="AL12" t="str">
        <f>IF('1. Live'!AL12='check-Jul25'!AL12,"",'1. Live'!AL12-'check-Jul25'!AL12)</f>
        <v/>
      </c>
      <c r="AM12" t="str">
        <f>IF('1. Live'!AM12='check-Jul25'!AM12,"",'1. Live'!AM12-'check-Jul25'!AM12)</f>
        <v/>
      </c>
      <c r="AN12" t="str">
        <f>IF('1. Live'!AN12='check-Jul25'!AN12,"",'1. Live'!AN12-'check-Jul25'!AN12)</f>
        <v/>
      </c>
      <c r="AO12" t="str">
        <f>IF('1. Live'!AO12='check-Jul25'!AO12,"",'1. Live'!AO12-'check-Jul25'!AO12)</f>
        <v/>
      </c>
      <c r="AP12" t="str">
        <f>IF('1. Live'!AP12='check-Jul25'!AP12,"",'1. Live'!AP12-'check-Jul25'!AP12)</f>
        <v/>
      </c>
      <c r="AQ12" t="str">
        <f>IF('1. Live'!AQ12='check-Jul25'!AQ12,"",'1. Live'!AQ12-'check-Jul25'!AQ12)</f>
        <v/>
      </c>
      <c r="AR12" t="str">
        <f>IF('1. Live'!AR12='check-Jul25'!AR12,"",'1. Live'!AR12-'check-Jul25'!AR12)</f>
        <v/>
      </c>
      <c r="AS12" t="str">
        <f>IF('1. Live'!AS12='check-Jul25'!AS12,"",'1. Live'!AS12-'check-Jul25'!AS12)</f>
        <v/>
      </c>
      <c r="AT12" t="str">
        <f>IF('1. Live'!AT12='check-Jul25'!AT12,"",'1. Live'!AT12-'check-Jul25'!AT12)</f>
        <v/>
      </c>
      <c r="AU12" t="str">
        <f>IF('1. Live'!AU12='check-Jul25'!AU12,"",'1. Live'!AU12-'check-Jul25'!AU12)</f>
        <v/>
      </c>
      <c r="AV12" t="str">
        <f>IF('1. Live'!AV12='check-Jul25'!AV12,"",'1. Live'!AV12-'check-Jul25'!AV12)</f>
        <v/>
      </c>
      <c r="AW12" t="str">
        <f>IF('1. Live'!AW12='check-Jul25'!AW12,"",'1. Live'!AW12-'check-Jul25'!AW12)</f>
        <v/>
      </c>
      <c r="AX12" t="str">
        <f>IF('1. Live'!AX12='check-Jul25'!AX12,"",'1. Live'!AX12-'check-Jul25'!AX12)</f>
        <v/>
      </c>
      <c r="AY12" t="str">
        <f>IF('1. Live'!AY12='check-Jul25'!AY12,"",'1. Live'!AY12-'check-Jul25'!AY12)</f>
        <v/>
      </c>
      <c r="AZ12" t="str">
        <f>IF('1. Live'!AZ12='check-Jul25'!AZ12,"",'1. Live'!AZ12-'check-Jul25'!AZ12)</f>
        <v/>
      </c>
      <c r="BA12" t="str">
        <f>IF('1. Live'!BA12='check-Jul25'!BA12,"",'1. Live'!BA12-'check-Jul25'!BA12)</f>
        <v/>
      </c>
      <c r="BB12" t="str">
        <f>IF('1. Live'!BB12='check-Jul25'!BB12,"",'1. Live'!BB12-'check-Jul25'!BB12)</f>
        <v/>
      </c>
      <c r="BC12" t="str">
        <f>IF('1. Live'!BC12='check-Jul25'!BC12,"",'1. Live'!BC12-'check-Jul25'!BC12)</f>
        <v/>
      </c>
      <c r="BD12" t="str">
        <f>IF('1. Live'!BD12='check-Jul25'!BD12,"",'1. Live'!BD12-'check-Jul25'!BD12)</f>
        <v/>
      </c>
      <c r="BE12" t="str">
        <f>IF('1. Live'!BE12='check-Jul25'!BE12,"",'1. Live'!BE12-'check-Jul25'!BE12)</f>
        <v/>
      </c>
      <c r="BF12" t="str">
        <f>IF('1. Live'!BF12='check-Jul25'!BF12,"",'1. Live'!BF12-'check-Jul25'!BF12)</f>
        <v/>
      </c>
      <c r="BG12" t="str">
        <f>IF('1. Live'!BG12='check-Jul25'!BG12,"",'1. Live'!BG12-'check-Jul25'!BG12)</f>
        <v/>
      </c>
      <c r="BH12" t="str">
        <f>IF('1. Live'!BH12='check-Jul25'!BH12,"",'1. Live'!BH12-'check-Jul25'!BH12)</f>
        <v/>
      </c>
      <c r="BI12" t="str">
        <f>IF('1. Live'!BI12='check-Jul25'!BI12,"",'1. Live'!BI12-'check-Jul25'!BI12)</f>
        <v/>
      </c>
      <c r="BJ12" t="str">
        <f>IF('1. Live'!BJ12='check-Jul25'!BJ12,"",'1. Live'!BJ12-'check-Jul25'!BJ12)</f>
        <v/>
      </c>
      <c r="BK12" t="str">
        <f>IF('1. Live'!BK12='check-Jul25'!BK12,"",'1. Live'!BK12-'check-Jul25'!BK12)</f>
        <v/>
      </c>
      <c r="BL12" t="str">
        <f>IF('1. Live'!BL12='check-Jul25'!BL12,"",'1. Live'!BL12-'check-Jul25'!BL12)</f>
        <v/>
      </c>
      <c r="BM12" t="str">
        <f>IF('1. Live'!BM12='check-Jul25'!BM12,"",'1. Live'!BM12-'check-Jul25'!BM12)</f>
        <v/>
      </c>
      <c r="BN12" t="str">
        <f>IF('1. Live'!BN12='check-Jul25'!BN12,"",'1. Live'!BN12-'check-Jul25'!BN12)</f>
        <v/>
      </c>
      <c r="BO12" t="str">
        <f>IF('1. Live'!BO12='check-Jul25'!BO12,"",'1. Live'!BO12-'check-Jul25'!BO12)</f>
        <v/>
      </c>
      <c r="BP12" t="str">
        <f>IF('1. Live'!BP12='check-Jul25'!BP12,"",'1. Live'!BP12-'check-Jul25'!BP12)</f>
        <v/>
      </c>
      <c r="BQ12" t="str">
        <f>IF('1. Live'!BQ12='check-Jul25'!BQ12,"",'1. Live'!BQ12-'check-Jul25'!BQ12)</f>
        <v/>
      </c>
      <c r="BR12" t="str">
        <f>IF('1. Live'!BR12='check-Jul25'!BR12,"",'1. Live'!BR12-'check-Jul25'!BR12)</f>
        <v/>
      </c>
      <c r="BS12" t="str">
        <f>IF('1. Live'!BS12='check-Jul25'!BS12,"",'1. Live'!BS12-'check-Jul25'!BS12)</f>
        <v/>
      </c>
      <c r="BT12" t="str">
        <f>IF('1. Live'!BT12='check-Jul25'!BT12,"",'1. Live'!BT12-'check-Jul25'!BT12)</f>
        <v/>
      </c>
      <c r="BU12" t="str">
        <f>IF('1. Live'!BU12='check-Jul25'!BU12,"",'1. Live'!BU12-'check-Jul25'!BU12)</f>
        <v/>
      </c>
      <c r="BV12" t="str">
        <f>IF('1. Live'!BV12='check-Jul25'!BV12,"",'1. Live'!BV12-'check-Jul25'!BV12)</f>
        <v/>
      </c>
      <c r="BW12" t="str">
        <f>IF('1. Live'!BW12='check-Jul25'!BW12,"",'1. Live'!BW12-'check-Jul25'!BW12)</f>
        <v/>
      </c>
      <c r="BX12" t="str">
        <f>IF('1. Live'!BX12='check-Jul25'!BX12,"",'1. Live'!BX12-'check-Jul25'!BX12)</f>
        <v/>
      </c>
      <c r="BY12" t="str">
        <f>IF('1. Live'!BY12='check-Jul25'!BY12,"",'1. Live'!BY12-'check-Jul25'!BY12)</f>
        <v/>
      </c>
      <c r="BZ12" t="str">
        <f>IF('1. Live'!BZ12='check-Jul25'!BZ12,"",'1. Live'!BZ12-'check-Jul25'!BZ12)</f>
        <v/>
      </c>
      <c r="CA12" t="str">
        <f>IF('1. Live'!CA12='check-Jul25'!CA12,"",'1. Live'!CA12-'check-Jul25'!CA12)</f>
        <v/>
      </c>
      <c r="CB12" t="str">
        <f>IF('1. Live'!CB12='check-Jul25'!CB12,"",'1. Live'!CB12-'check-Jul25'!CB12)</f>
        <v/>
      </c>
      <c r="CC12" t="str">
        <f>IF('1. Live'!CC12='check-Jul25'!CC12,"",'1. Live'!CC12-'check-Jul25'!CC12)</f>
        <v/>
      </c>
      <c r="CD12" t="str">
        <f>IF('1. Live'!CD12='check-Jul25'!CD12,"",'1. Live'!CD12-'check-Jul25'!CD12)</f>
        <v/>
      </c>
      <c r="CE12" t="str">
        <f>IF('1. Live'!CE12='check-Jul25'!CE12,"",'1. Live'!CE12-'check-Jul25'!CE12)</f>
        <v/>
      </c>
      <c r="CF12" t="str">
        <f>IF('1. Live'!CF12='check-Jul25'!CF12,"",'1. Live'!CF12-'check-Jul25'!CF12)</f>
        <v/>
      </c>
      <c r="CG12" t="str">
        <f>IF('1. Live'!CG12='check-Jul25'!CG12,"",'1. Live'!CG12-'check-Jul25'!CG12)</f>
        <v/>
      </c>
      <c r="CH12" t="str">
        <f>IF('1. Live'!CH12='check-Jul25'!CH12,"",'1. Live'!CH12-'check-Jul25'!CH12)</f>
        <v/>
      </c>
      <c r="CI12" t="str">
        <f>IF('1. Live'!CI12='check-Jul25'!CI12,"",'1. Live'!CI12-'check-Jul25'!CI12)</f>
        <v/>
      </c>
      <c r="CJ12" t="str">
        <f>IF('1. Live'!CJ12='check-Jul25'!CJ12,"",'1. Live'!CJ12-'check-Jul25'!CJ12)</f>
        <v/>
      </c>
      <c r="CK12" t="str">
        <f>IF('1. Live'!CK12='check-Jul25'!CK12,"",'1. Live'!CK12-'check-Jul25'!CK12)</f>
        <v/>
      </c>
      <c r="CL12" t="str">
        <f>IF('1. Live'!CL12='check-Jul25'!CL12,"",'1. Live'!CL12-'check-Jul25'!CL12)</f>
        <v/>
      </c>
      <c r="CM12" t="str">
        <f>IF('1. Live'!CM12='check-Jul25'!CM12,"",'1. Live'!CM12-'check-Jul25'!CM12)</f>
        <v/>
      </c>
      <c r="CN12" t="str">
        <f>IF('1. Live'!CN12='check-Jul25'!CN12,"",'1. Live'!CN12-'check-Jul25'!CN12)</f>
        <v/>
      </c>
      <c r="CO12" t="str">
        <f>IF('1. Live'!CO12='check-Jul25'!CO12,"",'1. Live'!CO12-'check-Jul25'!CO12)</f>
        <v/>
      </c>
      <c r="CP12" t="str">
        <f>IF('1. Live'!CP12='check-Jul25'!CP12,"",'1. Live'!CP12-'check-Jul25'!CP12)</f>
        <v/>
      </c>
      <c r="CQ12" t="str">
        <f>IF('1. Live'!CQ12='check-Jul25'!CQ12,"",'1. Live'!CQ12-'check-Jul25'!CQ12)</f>
        <v/>
      </c>
      <c r="CR12" t="str">
        <f>IF('1. Live'!CR12='check-Jul25'!CR12,"",'1. Live'!CR12-'check-Jul25'!CR12)</f>
        <v/>
      </c>
      <c r="CS12" t="str">
        <f>IF('1. Live'!CS12='check-Jul25'!CS12,"",'1. Live'!CS12-'check-Jul25'!CS12)</f>
        <v/>
      </c>
      <c r="CT12" t="str">
        <f>IF('1. Live'!CT12='check-Jul25'!CT12,"",'1. Live'!CT12-'check-Jul25'!CT12)</f>
        <v/>
      </c>
      <c r="CU12" t="str">
        <f>IF('1. Live'!CU12='check-Jul25'!CU12,"",'1. Live'!CU12-'check-Jul25'!CU12)</f>
        <v/>
      </c>
      <c r="CV12" t="str">
        <f>IF('1. Live'!CV12='check-Jul25'!CV12,"",'1. Live'!CV12-'check-Jul25'!CV12)</f>
        <v/>
      </c>
      <c r="CW12" t="str">
        <f>IF('1. Live'!CW12='check-Jul25'!CW12,"",'1. Live'!CW12-'check-Jul25'!CW12)</f>
        <v/>
      </c>
    </row>
    <row r="13" spans="2:101">
      <c r="B13" s="66"/>
      <c r="C13" s="4" t="s">
        <v>40</v>
      </c>
      <c r="D13" s="32" t="s">
        <v>248</v>
      </c>
      <c r="E13" s="2" t="s">
        <v>77</v>
      </c>
      <c r="F13" s="2">
        <v>0</v>
      </c>
      <c r="G13" s="2" t="s">
        <v>8</v>
      </c>
      <c r="H13" s="6">
        <v>2021</v>
      </c>
      <c r="I13" s="6" t="s">
        <v>68</v>
      </c>
      <c r="J13" s="90" t="str">
        <f>IF('1. Live'!J13='check-Jul25'!J13,"",'1. Live'!J13-'check-Jul25'!J13)</f>
        <v/>
      </c>
      <c r="K13" s="17" t="str">
        <f ca="1">IF('1. Live'!K13='check-Jul25'!K13,"",'1. Live'!K13-'check-Jul25'!K13)</f>
        <v/>
      </c>
      <c r="L13" s="17" t="str">
        <f ca="1">IF('1. Live'!L13='check-Jul25'!L13,"",'1. Live'!L13-'check-Jul25'!L13)</f>
        <v/>
      </c>
      <c r="M13" s="17" t="str">
        <f>IF('1. Live'!M13='check-Jul25'!M13,"",'1. Live'!M13-'check-Jul25'!M13)</f>
        <v/>
      </c>
      <c r="N13" s="17" t="str">
        <f ca="1">IF('1. Live'!N13='check-Jul25'!N13,"",'1. Live'!N13-'check-Jul25'!N13)</f>
        <v/>
      </c>
      <c r="O13" s="17" t="str">
        <f>IF('1. Live'!O13='check-Jul25'!O13,"",'1. Live'!O13-'check-Jul25'!O13)</f>
        <v/>
      </c>
      <c r="P13" s="17" t="str">
        <f ca="1">IF('1. Live'!P13='check-Jul25'!P13,"",'1. Live'!P13-'check-Jul25'!P13)</f>
        <v/>
      </c>
      <c r="Q13" s="17" t="str">
        <f>IF('1. Live'!Q13='check-Jul25'!Q13,"",'1. Live'!Q13-'check-Jul25'!Q13)</f>
        <v/>
      </c>
      <c r="R13" s="10" t="str">
        <f ca="1">IF('1. Live'!R13='check-Jul25'!R13,"",'1. Live'!R13-'check-Jul25'!R13)</f>
        <v/>
      </c>
      <c r="S13" s="2" t="str">
        <f>IF('1. Live'!S13='check-Jul25'!S13,"",'1. Live'!S13-'check-Jul25'!S13)</f>
        <v/>
      </c>
      <c r="T13" s="67" t="str">
        <f>IF('1. Live'!T13='check-Jul25'!T13,"",'1. Live'!T13-'check-Jul25'!T13)</f>
        <v/>
      </c>
      <c r="U13" t="str">
        <f>IF('1. Live'!U13='check-Jul25'!U13,"",'1. Live'!U13-'check-Jul25'!U13)</f>
        <v/>
      </c>
      <c r="V13" t="str">
        <f>IF('1. Live'!V13='check-Jul25'!V13,"",'1. Live'!V13-'check-Jul25'!V13)</f>
        <v/>
      </c>
      <c r="W13" t="str">
        <f>IF('1. Live'!W13='check-Jul25'!W13,"",'1. Live'!W13-'check-Jul25'!W13)</f>
        <v/>
      </c>
      <c r="X13" t="str">
        <f>IF('1. Live'!X13='check-Jul25'!X13,"",'1. Live'!X13-'check-Jul25'!X13)</f>
        <v/>
      </c>
      <c r="Y13" t="str">
        <f>IF('1. Live'!Y13='check-Jul25'!Y13,"",'1. Live'!Y13-'check-Jul25'!Y13)</f>
        <v/>
      </c>
      <c r="Z13" t="str">
        <f>IF('1. Live'!Z13='check-Jul25'!Z13,"",'1. Live'!Z13-'check-Jul25'!Z13)</f>
        <v/>
      </c>
      <c r="AA13" t="str">
        <f>IF('1. Live'!AA13='check-Jul25'!AA13,"",'1. Live'!AA13-'check-Jul25'!AA13)</f>
        <v/>
      </c>
      <c r="AB13" t="str">
        <f>IF('1. Live'!AB13='check-Jul25'!AB13,"",'1. Live'!AB13-'check-Jul25'!AB13)</f>
        <v/>
      </c>
      <c r="AC13" t="str">
        <f>IF('1. Live'!AC13='check-Jul25'!AC13,"",'1. Live'!AC13-'check-Jul25'!AC13)</f>
        <v/>
      </c>
      <c r="AD13" t="str">
        <f>IF('1. Live'!AD13='check-Jul25'!AD13,"",'1. Live'!AD13-'check-Jul25'!AD13)</f>
        <v/>
      </c>
      <c r="AE13" t="str">
        <f>IF('1. Live'!AE13='check-Jul25'!AE13,"",'1. Live'!AE13-'check-Jul25'!AE13)</f>
        <v/>
      </c>
      <c r="AF13" t="str">
        <f>IF('1. Live'!AF13='check-Jul25'!AF13,"",'1. Live'!AF13-'check-Jul25'!AF13)</f>
        <v/>
      </c>
      <c r="AG13" t="str">
        <f>IF('1. Live'!AG13='check-Jul25'!AG13,"",'1. Live'!AG13-'check-Jul25'!AG13)</f>
        <v/>
      </c>
      <c r="AH13" t="str">
        <f>IF('1. Live'!AH13='check-Jul25'!AH13,"",'1. Live'!AH13-'check-Jul25'!AH13)</f>
        <v/>
      </c>
      <c r="AI13" t="str">
        <f>IF('1. Live'!AI13='check-Jul25'!AI13,"",'1. Live'!AI13-'check-Jul25'!AI13)</f>
        <v/>
      </c>
      <c r="AJ13" t="str">
        <f>IF('1. Live'!AJ13='check-Jul25'!AJ13,"",'1. Live'!AJ13-'check-Jul25'!AJ13)</f>
        <v/>
      </c>
      <c r="AK13" t="str">
        <f>IF('1. Live'!AK13='check-Jul25'!AK13,"",'1. Live'!AK13-'check-Jul25'!AK13)</f>
        <v/>
      </c>
      <c r="AL13" t="str">
        <f>IF('1. Live'!AL13='check-Jul25'!AL13,"",'1. Live'!AL13-'check-Jul25'!AL13)</f>
        <v/>
      </c>
      <c r="AM13" t="str">
        <f>IF('1. Live'!AM13='check-Jul25'!AM13,"",'1. Live'!AM13-'check-Jul25'!AM13)</f>
        <v/>
      </c>
      <c r="AN13" t="str">
        <f>IF('1. Live'!AN13='check-Jul25'!AN13,"",'1. Live'!AN13-'check-Jul25'!AN13)</f>
        <v/>
      </c>
      <c r="AO13" t="str">
        <f>IF('1. Live'!AO13='check-Jul25'!AO13,"",'1. Live'!AO13-'check-Jul25'!AO13)</f>
        <v/>
      </c>
      <c r="AP13" t="str">
        <f>IF('1. Live'!AP13='check-Jul25'!AP13,"",'1. Live'!AP13-'check-Jul25'!AP13)</f>
        <v/>
      </c>
      <c r="AQ13" t="str">
        <f>IF('1. Live'!AQ13='check-Jul25'!AQ13,"",'1. Live'!AQ13-'check-Jul25'!AQ13)</f>
        <v/>
      </c>
      <c r="AR13" t="str">
        <f>IF('1. Live'!AR13='check-Jul25'!AR13,"",'1. Live'!AR13-'check-Jul25'!AR13)</f>
        <v/>
      </c>
      <c r="AS13" t="str">
        <f>IF('1. Live'!AS13='check-Jul25'!AS13,"",'1. Live'!AS13-'check-Jul25'!AS13)</f>
        <v/>
      </c>
      <c r="AT13" t="str">
        <f>IF('1. Live'!AT13='check-Jul25'!AT13,"",'1. Live'!AT13-'check-Jul25'!AT13)</f>
        <v/>
      </c>
      <c r="AU13" t="str">
        <f>IF('1. Live'!AU13='check-Jul25'!AU13,"",'1. Live'!AU13-'check-Jul25'!AU13)</f>
        <v/>
      </c>
      <c r="AV13" t="str">
        <f>IF('1. Live'!AV13='check-Jul25'!AV13,"",'1. Live'!AV13-'check-Jul25'!AV13)</f>
        <v/>
      </c>
      <c r="AW13" t="str">
        <f>IF('1. Live'!AW13='check-Jul25'!AW13,"",'1. Live'!AW13-'check-Jul25'!AW13)</f>
        <v/>
      </c>
      <c r="AX13" t="str">
        <f>IF('1. Live'!AX13='check-Jul25'!AX13,"",'1. Live'!AX13-'check-Jul25'!AX13)</f>
        <v/>
      </c>
      <c r="AY13" t="str">
        <f>IF('1. Live'!AY13='check-Jul25'!AY13,"",'1. Live'!AY13-'check-Jul25'!AY13)</f>
        <v/>
      </c>
      <c r="AZ13" t="str">
        <f>IF('1. Live'!AZ13='check-Jul25'!AZ13,"",'1. Live'!AZ13-'check-Jul25'!AZ13)</f>
        <v/>
      </c>
      <c r="BA13" t="str">
        <f>IF('1. Live'!BA13='check-Jul25'!BA13,"",'1. Live'!BA13-'check-Jul25'!BA13)</f>
        <v/>
      </c>
      <c r="BB13" t="str">
        <f>IF('1. Live'!BB13='check-Jul25'!BB13,"",'1. Live'!BB13-'check-Jul25'!BB13)</f>
        <v/>
      </c>
      <c r="BC13" t="str">
        <f>IF('1. Live'!BC13='check-Jul25'!BC13,"",'1. Live'!BC13-'check-Jul25'!BC13)</f>
        <v/>
      </c>
      <c r="BD13" t="str">
        <f>IF('1. Live'!BD13='check-Jul25'!BD13,"",'1. Live'!BD13-'check-Jul25'!BD13)</f>
        <v/>
      </c>
      <c r="BE13" t="str">
        <f>IF('1. Live'!BE13='check-Jul25'!BE13,"",'1. Live'!BE13-'check-Jul25'!BE13)</f>
        <v/>
      </c>
      <c r="BF13" t="str">
        <f>IF('1. Live'!BF13='check-Jul25'!BF13,"",'1. Live'!BF13-'check-Jul25'!BF13)</f>
        <v/>
      </c>
      <c r="BG13" t="str">
        <f>IF('1. Live'!BG13='check-Jul25'!BG13,"",'1. Live'!BG13-'check-Jul25'!BG13)</f>
        <v/>
      </c>
      <c r="BH13" t="str">
        <f>IF('1. Live'!BH13='check-Jul25'!BH13,"",'1. Live'!BH13-'check-Jul25'!BH13)</f>
        <v/>
      </c>
      <c r="BI13" t="str">
        <f>IF('1. Live'!BI13='check-Jul25'!BI13,"",'1. Live'!BI13-'check-Jul25'!BI13)</f>
        <v/>
      </c>
      <c r="BJ13" t="str">
        <f>IF('1. Live'!BJ13='check-Jul25'!BJ13,"",'1. Live'!BJ13-'check-Jul25'!BJ13)</f>
        <v/>
      </c>
      <c r="BK13" t="str">
        <f>IF('1. Live'!BK13='check-Jul25'!BK13,"",'1. Live'!BK13-'check-Jul25'!BK13)</f>
        <v/>
      </c>
      <c r="BL13" t="str">
        <f>IF('1. Live'!BL13='check-Jul25'!BL13,"",'1. Live'!BL13-'check-Jul25'!BL13)</f>
        <v/>
      </c>
      <c r="BM13" t="str">
        <f>IF('1. Live'!BM13='check-Jul25'!BM13,"",'1. Live'!BM13-'check-Jul25'!BM13)</f>
        <v/>
      </c>
      <c r="BN13" t="str">
        <f>IF('1. Live'!BN13='check-Jul25'!BN13,"",'1. Live'!BN13-'check-Jul25'!BN13)</f>
        <v/>
      </c>
      <c r="BO13" t="str">
        <f>IF('1. Live'!BO13='check-Jul25'!BO13,"",'1. Live'!BO13-'check-Jul25'!BO13)</f>
        <v/>
      </c>
      <c r="BP13" t="str">
        <f>IF('1. Live'!BP13='check-Jul25'!BP13,"",'1. Live'!BP13-'check-Jul25'!BP13)</f>
        <v/>
      </c>
      <c r="BQ13" t="str">
        <f>IF('1. Live'!BQ13='check-Jul25'!BQ13,"",'1. Live'!BQ13-'check-Jul25'!BQ13)</f>
        <v/>
      </c>
      <c r="BR13" t="str">
        <f>IF('1. Live'!BR13='check-Jul25'!BR13,"",'1. Live'!BR13-'check-Jul25'!BR13)</f>
        <v/>
      </c>
      <c r="BS13" t="str">
        <f>IF('1. Live'!BS13='check-Jul25'!BS13,"",'1. Live'!BS13-'check-Jul25'!BS13)</f>
        <v/>
      </c>
      <c r="BT13" t="str">
        <f>IF('1. Live'!BT13='check-Jul25'!BT13,"",'1. Live'!BT13-'check-Jul25'!BT13)</f>
        <v/>
      </c>
      <c r="BU13" t="str">
        <f>IF('1. Live'!BU13='check-Jul25'!BU13,"",'1. Live'!BU13-'check-Jul25'!BU13)</f>
        <v/>
      </c>
      <c r="BV13" t="str">
        <f>IF('1. Live'!BV13='check-Jul25'!BV13,"",'1. Live'!BV13-'check-Jul25'!BV13)</f>
        <v/>
      </c>
      <c r="BW13" t="str">
        <f>IF('1. Live'!BW13='check-Jul25'!BW13,"",'1. Live'!BW13-'check-Jul25'!BW13)</f>
        <v/>
      </c>
      <c r="BX13" t="str">
        <f>IF('1. Live'!BX13='check-Jul25'!BX13,"",'1. Live'!BX13-'check-Jul25'!BX13)</f>
        <v/>
      </c>
      <c r="BY13" t="str">
        <f>IF('1. Live'!BY13='check-Jul25'!BY13,"",'1. Live'!BY13-'check-Jul25'!BY13)</f>
        <v/>
      </c>
      <c r="BZ13" t="str">
        <f>IF('1. Live'!BZ13='check-Jul25'!BZ13,"",'1. Live'!BZ13-'check-Jul25'!BZ13)</f>
        <v/>
      </c>
      <c r="CA13" t="str">
        <f>IF('1. Live'!CA13='check-Jul25'!CA13,"",'1. Live'!CA13-'check-Jul25'!CA13)</f>
        <v/>
      </c>
      <c r="CB13" t="str">
        <f>IF('1. Live'!CB13='check-Jul25'!CB13,"",'1. Live'!CB13-'check-Jul25'!CB13)</f>
        <v/>
      </c>
      <c r="CC13" t="str">
        <f>IF('1. Live'!CC13='check-Jul25'!CC13,"",'1. Live'!CC13-'check-Jul25'!CC13)</f>
        <v/>
      </c>
      <c r="CD13" t="str">
        <f>IF('1. Live'!CD13='check-Jul25'!CD13,"",'1. Live'!CD13-'check-Jul25'!CD13)</f>
        <v/>
      </c>
      <c r="CE13" t="str">
        <f>IF('1. Live'!CE13='check-Jul25'!CE13,"",'1. Live'!CE13-'check-Jul25'!CE13)</f>
        <v/>
      </c>
      <c r="CF13" t="str">
        <f>IF('1. Live'!CF13='check-Jul25'!CF13,"",'1. Live'!CF13-'check-Jul25'!CF13)</f>
        <v/>
      </c>
      <c r="CG13" t="str">
        <f>IF('1. Live'!CG13='check-Jul25'!CG13,"",'1. Live'!CG13-'check-Jul25'!CG13)</f>
        <v/>
      </c>
      <c r="CH13" t="str">
        <f>IF('1. Live'!CH13='check-Jul25'!CH13,"",'1. Live'!CH13-'check-Jul25'!CH13)</f>
        <v/>
      </c>
      <c r="CI13" t="str">
        <f>IF('1. Live'!CI13='check-Jul25'!CI13,"",'1. Live'!CI13-'check-Jul25'!CI13)</f>
        <v/>
      </c>
      <c r="CJ13" t="str">
        <f>IF('1. Live'!CJ13='check-Jul25'!CJ13,"",'1. Live'!CJ13-'check-Jul25'!CJ13)</f>
        <v/>
      </c>
      <c r="CK13" t="str">
        <f>IF('1. Live'!CK13='check-Jul25'!CK13,"",'1. Live'!CK13-'check-Jul25'!CK13)</f>
        <v/>
      </c>
      <c r="CL13" t="str">
        <f>IF('1. Live'!CL13='check-Jul25'!CL13,"",'1. Live'!CL13-'check-Jul25'!CL13)</f>
        <v/>
      </c>
      <c r="CM13" t="str">
        <f>IF('1. Live'!CM13='check-Jul25'!CM13,"",'1. Live'!CM13-'check-Jul25'!CM13)</f>
        <v/>
      </c>
      <c r="CN13" t="str">
        <f>IF('1. Live'!CN13='check-Jul25'!CN13,"",'1. Live'!CN13-'check-Jul25'!CN13)</f>
        <v/>
      </c>
      <c r="CO13" t="str">
        <f>IF('1. Live'!CO13='check-Jul25'!CO13,"",'1. Live'!CO13-'check-Jul25'!CO13)</f>
        <v/>
      </c>
      <c r="CP13" t="str">
        <f>IF('1. Live'!CP13='check-Jul25'!CP13,"",'1. Live'!CP13-'check-Jul25'!CP13)</f>
        <v/>
      </c>
      <c r="CQ13" t="str">
        <f>IF('1. Live'!CQ13='check-Jul25'!CQ13,"",'1. Live'!CQ13-'check-Jul25'!CQ13)</f>
        <v/>
      </c>
      <c r="CR13" t="str">
        <f>IF('1. Live'!CR13='check-Jul25'!CR13,"",'1. Live'!CR13-'check-Jul25'!CR13)</f>
        <v/>
      </c>
      <c r="CS13" t="str">
        <f>IF('1. Live'!CS13='check-Jul25'!CS13,"",'1. Live'!CS13-'check-Jul25'!CS13)</f>
        <v/>
      </c>
      <c r="CT13" t="str">
        <f>IF('1. Live'!CT13='check-Jul25'!CT13,"",'1. Live'!CT13-'check-Jul25'!CT13)</f>
        <v/>
      </c>
      <c r="CU13" t="str">
        <f>IF('1. Live'!CU13='check-Jul25'!CU13,"",'1. Live'!CU13-'check-Jul25'!CU13)</f>
        <v/>
      </c>
      <c r="CV13" t="str">
        <f>IF('1. Live'!CV13='check-Jul25'!CV13,"",'1. Live'!CV13-'check-Jul25'!CV13)</f>
        <v/>
      </c>
      <c r="CW13" t="str">
        <f>IF('1. Live'!CW13='check-Jul25'!CW13,"",'1. Live'!CW13-'check-Jul25'!CW13)</f>
        <v/>
      </c>
    </row>
    <row r="14" spans="2:101">
      <c r="B14" s="66"/>
      <c r="C14" s="4" t="s">
        <v>41</v>
      </c>
      <c r="D14" s="32" t="s">
        <v>248</v>
      </c>
      <c r="E14" s="2" t="s">
        <v>77</v>
      </c>
      <c r="F14" s="2">
        <v>0</v>
      </c>
      <c r="G14" s="2" t="s">
        <v>8</v>
      </c>
      <c r="H14" s="6">
        <v>2021</v>
      </c>
      <c r="I14" s="6" t="s">
        <v>73</v>
      </c>
      <c r="J14" s="90" t="str">
        <f>IF('1. Live'!J14='check-Jul25'!J14,"",'1. Live'!J14-'check-Jul25'!J14)</f>
        <v/>
      </c>
      <c r="K14" s="17" t="str">
        <f ca="1">IF('1. Live'!K14='check-Jul25'!K14,"",'1. Live'!K14-'check-Jul25'!K14)</f>
        <v/>
      </c>
      <c r="L14" s="17" t="str">
        <f ca="1">IF('1. Live'!L14='check-Jul25'!L14,"",'1. Live'!L14-'check-Jul25'!L14)</f>
        <v/>
      </c>
      <c r="M14" s="17" t="str">
        <f>IF('1. Live'!M14='check-Jul25'!M14,"",'1. Live'!M14-'check-Jul25'!M14)</f>
        <v/>
      </c>
      <c r="N14" s="17" t="str">
        <f ca="1">IF('1. Live'!N14='check-Jul25'!N14,"",'1. Live'!N14-'check-Jul25'!N14)</f>
        <v/>
      </c>
      <c r="O14" s="17" t="str">
        <f>IF('1. Live'!O14='check-Jul25'!O14,"",'1. Live'!O14-'check-Jul25'!O14)</f>
        <v/>
      </c>
      <c r="P14" s="17" t="str">
        <f ca="1">IF('1. Live'!P14='check-Jul25'!P14,"",'1. Live'!P14-'check-Jul25'!P14)</f>
        <v/>
      </c>
      <c r="Q14" s="17" t="str">
        <f>IF('1. Live'!Q14='check-Jul25'!Q14,"",'1. Live'!Q14-'check-Jul25'!Q14)</f>
        <v/>
      </c>
      <c r="R14" s="10" t="str">
        <f ca="1">IF('1. Live'!R14='check-Jul25'!R14,"",'1. Live'!R14-'check-Jul25'!R14)</f>
        <v/>
      </c>
      <c r="S14" s="2" t="str">
        <f>IF('1. Live'!S14='check-Jul25'!S14,"",'1. Live'!S14-'check-Jul25'!S14)</f>
        <v/>
      </c>
      <c r="T14" s="67" t="str">
        <f>IF('1. Live'!T14='check-Jul25'!T14,"",'1. Live'!T14-'check-Jul25'!T14)</f>
        <v/>
      </c>
      <c r="U14" t="str">
        <f>IF('1. Live'!U14='check-Jul25'!U14,"",'1. Live'!U14-'check-Jul25'!U14)</f>
        <v/>
      </c>
      <c r="V14" t="str">
        <f>IF('1. Live'!V14='check-Jul25'!V14,"",'1. Live'!V14-'check-Jul25'!V14)</f>
        <v/>
      </c>
      <c r="W14" t="str">
        <f>IF('1. Live'!W14='check-Jul25'!W14,"",'1. Live'!W14-'check-Jul25'!W14)</f>
        <v/>
      </c>
      <c r="X14" t="str">
        <f>IF('1. Live'!X14='check-Jul25'!X14,"",'1. Live'!X14-'check-Jul25'!X14)</f>
        <v/>
      </c>
      <c r="Y14" t="str">
        <f>IF('1. Live'!Y14='check-Jul25'!Y14,"",'1. Live'!Y14-'check-Jul25'!Y14)</f>
        <v/>
      </c>
      <c r="Z14" t="str">
        <f>IF('1. Live'!Z14='check-Jul25'!Z14,"",'1. Live'!Z14-'check-Jul25'!Z14)</f>
        <v/>
      </c>
      <c r="AA14" t="str">
        <f>IF('1. Live'!AA14='check-Jul25'!AA14,"",'1. Live'!AA14-'check-Jul25'!AA14)</f>
        <v/>
      </c>
      <c r="AB14" t="str">
        <f>IF('1. Live'!AB14='check-Jul25'!AB14,"",'1. Live'!AB14-'check-Jul25'!AB14)</f>
        <v/>
      </c>
      <c r="AC14" t="str">
        <f>IF('1. Live'!AC14='check-Jul25'!AC14,"",'1. Live'!AC14-'check-Jul25'!AC14)</f>
        <v/>
      </c>
      <c r="AD14" t="str">
        <f>IF('1. Live'!AD14='check-Jul25'!AD14,"",'1. Live'!AD14-'check-Jul25'!AD14)</f>
        <v/>
      </c>
      <c r="AE14" t="str">
        <f>IF('1. Live'!AE14='check-Jul25'!AE14,"",'1. Live'!AE14-'check-Jul25'!AE14)</f>
        <v/>
      </c>
      <c r="AF14" t="str">
        <f>IF('1. Live'!AF14='check-Jul25'!AF14,"",'1. Live'!AF14-'check-Jul25'!AF14)</f>
        <v/>
      </c>
      <c r="AG14" t="str">
        <f>IF('1. Live'!AG14='check-Jul25'!AG14,"",'1. Live'!AG14-'check-Jul25'!AG14)</f>
        <v/>
      </c>
      <c r="AH14" t="str">
        <f>IF('1. Live'!AH14='check-Jul25'!AH14,"",'1. Live'!AH14-'check-Jul25'!AH14)</f>
        <v/>
      </c>
      <c r="AI14" t="str">
        <f>IF('1. Live'!AI14='check-Jul25'!AI14,"",'1. Live'!AI14-'check-Jul25'!AI14)</f>
        <v/>
      </c>
      <c r="AJ14" t="str">
        <f>IF('1. Live'!AJ14='check-Jul25'!AJ14,"",'1. Live'!AJ14-'check-Jul25'!AJ14)</f>
        <v/>
      </c>
      <c r="AK14" t="str">
        <f>IF('1. Live'!AK14='check-Jul25'!AK14,"",'1. Live'!AK14-'check-Jul25'!AK14)</f>
        <v/>
      </c>
      <c r="AL14" t="str">
        <f>IF('1. Live'!AL14='check-Jul25'!AL14,"",'1. Live'!AL14-'check-Jul25'!AL14)</f>
        <v/>
      </c>
      <c r="AM14" t="str">
        <f>IF('1. Live'!AM14='check-Jul25'!AM14,"",'1. Live'!AM14-'check-Jul25'!AM14)</f>
        <v/>
      </c>
      <c r="AN14" t="str">
        <f>IF('1. Live'!AN14='check-Jul25'!AN14,"",'1. Live'!AN14-'check-Jul25'!AN14)</f>
        <v/>
      </c>
      <c r="AO14" t="str">
        <f>IF('1. Live'!AO14='check-Jul25'!AO14,"",'1. Live'!AO14-'check-Jul25'!AO14)</f>
        <v/>
      </c>
      <c r="AP14" t="str">
        <f>IF('1. Live'!AP14='check-Jul25'!AP14,"",'1. Live'!AP14-'check-Jul25'!AP14)</f>
        <v/>
      </c>
      <c r="AQ14" t="str">
        <f>IF('1. Live'!AQ14='check-Jul25'!AQ14,"",'1. Live'!AQ14-'check-Jul25'!AQ14)</f>
        <v/>
      </c>
      <c r="AR14" t="str">
        <f>IF('1. Live'!AR14='check-Jul25'!AR14,"",'1. Live'!AR14-'check-Jul25'!AR14)</f>
        <v/>
      </c>
      <c r="AS14" t="str">
        <f>IF('1. Live'!AS14='check-Jul25'!AS14,"",'1. Live'!AS14-'check-Jul25'!AS14)</f>
        <v/>
      </c>
      <c r="AT14" t="str">
        <f>IF('1. Live'!AT14='check-Jul25'!AT14,"",'1. Live'!AT14-'check-Jul25'!AT14)</f>
        <v/>
      </c>
      <c r="AU14" t="str">
        <f>IF('1. Live'!AU14='check-Jul25'!AU14,"",'1. Live'!AU14-'check-Jul25'!AU14)</f>
        <v/>
      </c>
      <c r="AV14" t="str">
        <f>IF('1. Live'!AV14='check-Jul25'!AV14,"",'1. Live'!AV14-'check-Jul25'!AV14)</f>
        <v/>
      </c>
      <c r="AW14" t="str">
        <f>IF('1. Live'!AW14='check-Jul25'!AW14,"",'1. Live'!AW14-'check-Jul25'!AW14)</f>
        <v/>
      </c>
      <c r="AX14" t="str">
        <f>IF('1. Live'!AX14='check-Jul25'!AX14,"",'1. Live'!AX14-'check-Jul25'!AX14)</f>
        <v/>
      </c>
      <c r="AY14" t="str">
        <f>IF('1. Live'!AY14='check-Jul25'!AY14,"",'1. Live'!AY14-'check-Jul25'!AY14)</f>
        <v/>
      </c>
      <c r="AZ14" t="str">
        <f>IF('1. Live'!AZ14='check-Jul25'!AZ14,"",'1. Live'!AZ14-'check-Jul25'!AZ14)</f>
        <v/>
      </c>
      <c r="BA14" t="str">
        <f>IF('1. Live'!BA14='check-Jul25'!BA14,"",'1. Live'!BA14-'check-Jul25'!BA14)</f>
        <v/>
      </c>
      <c r="BB14" t="str">
        <f>IF('1. Live'!BB14='check-Jul25'!BB14,"",'1. Live'!BB14-'check-Jul25'!BB14)</f>
        <v/>
      </c>
      <c r="BC14" t="str">
        <f>IF('1. Live'!BC14='check-Jul25'!BC14,"",'1. Live'!BC14-'check-Jul25'!BC14)</f>
        <v/>
      </c>
      <c r="BD14" t="str">
        <f>IF('1. Live'!BD14='check-Jul25'!BD14,"",'1. Live'!BD14-'check-Jul25'!BD14)</f>
        <v/>
      </c>
      <c r="BE14" t="str">
        <f>IF('1. Live'!BE14='check-Jul25'!BE14,"",'1. Live'!BE14-'check-Jul25'!BE14)</f>
        <v/>
      </c>
      <c r="BF14" t="str">
        <f>IF('1. Live'!BF14='check-Jul25'!BF14,"",'1. Live'!BF14-'check-Jul25'!BF14)</f>
        <v/>
      </c>
      <c r="BG14" t="str">
        <f>IF('1. Live'!BG14='check-Jul25'!BG14,"",'1. Live'!BG14-'check-Jul25'!BG14)</f>
        <v/>
      </c>
      <c r="BH14" t="str">
        <f>IF('1. Live'!BH14='check-Jul25'!BH14,"",'1. Live'!BH14-'check-Jul25'!BH14)</f>
        <v/>
      </c>
      <c r="BI14" t="str">
        <f>IF('1. Live'!BI14='check-Jul25'!BI14,"",'1. Live'!BI14-'check-Jul25'!BI14)</f>
        <v/>
      </c>
      <c r="BJ14" t="str">
        <f>IF('1. Live'!BJ14='check-Jul25'!BJ14,"",'1. Live'!BJ14-'check-Jul25'!BJ14)</f>
        <v/>
      </c>
      <c r="BK14" t="str">
        <f>IF('1. Live'!BK14='check-Jul25'!BK14,"",'1. Live'!BK14-'check-Jul25'!BK14)</f>
        <v/>
      </c>
      <c r="BL14" t="str">
        <f>IF('1. Live'!BL14='check-Jul25'!BL14,"",'1. Live'!BL14-'check-Jul25'!BL14)</f>
        <v/>
      </c>
      <c r="BM14" t="str">
        <f>IF('1. Live'!BM14='check-Jul25'!BM14,"",'1. Live'!BM14-'check-Jul25'!BM14)</f>
        <v/>
      </c>
      <c r="BN14" t="str">
        <f>IF('1. Live'!BN14='check-Jul25'!BN14,"",'1. Live'!BN14-'check-Jul25'!BN14)</f>
        <v/>
      </c>
      <c r="BO14" t="str">
        <f>IF('1. Live'!BO14='check-Jul25'!BO14,"",'1. Live'!BO14-'check-Jul25'!BO14)</f>
        <v/>
      </c>
      <c r="BP14" t="str">
        <f>IF('1. Live'!BP14='check-Jul25'!BP14,"",'1. Live'!BP14-'check-Jul25'!BP14)</f>
        <v/>
      </c>
      <c r="BQ14" t="str">
        <f>IF('1. Live'!BQ14='check-Jul25'!BQ14,"",'1. Live'!BQ14-'check-Jul25'!BQ14)</f>
        <v/>
      </c>
      <c r="BR14" t="str">
        <f>IF('1. Live'!BR14='check-Jul25'!BR14,"",'1. Live'!BR14-'check-Jul25'!BR14)</f>
        <v/>
      </c>
      <c r="BS14" t="str">
        <f>IF('1. Live'!BS14='check-Jul25'!BS14,"",'1. Live'!BS14-'check-Jul25'!BS14)</f>
        <v/>
      </c>
      <c r="BT14" t="str">
        <f>IF('1. Live'!BT14='check-Jul25'!BT14,"",'1. Live'!BT14-'check-Jul25'!BT14)</f>
        <v/>
      </c>
      <c r="BU14" t="str">
        <f>IF('1. Live'!BU14='check-Jul25'!BU14,"",'1. Live'!BU14-'check-Jul25'!BU14)</f>
        <v/>
      </c>
      <c r="BV14" t="str">
        <f>IF('1. Live'!BV14='check-Jul25'!BV14,"",'1. Live'!BV14-'check-Jul25'!BV14)</f>
        <v/>
      </c>
      <c r="BW14" t="str">
        <f>IF('1. Live'!BW14='check-Jul25'!BW14,"",'1. Live'!BW14-'check-Jul25'!BW14)</f>
        <v/>
      </c>
      <c r="BX14" t="str">
        <f>IF('1. Live'!BX14='check-Jul25'!BX14,"",'1. Live'!BX14-'check-Jul25'!BX14)</f>
        <v/>
      </c>
      <c r="BY14" t="str">
        <f>IF('1. Live'!BY14='check-Jul25'!BY14,"",'1. Live'!BY14-'check-Jul25'!BY14)</f>
        <v/>
      </c>
      <c r="BZ14" t="str">
        <f>IF('1. Live'!BZ14='check-Jul25'!BZ14,"",'1. Live'!BZ14-'check-Jul25'!BZ14)</f>
        <v/>
      </c>
      <c r="CA14" t="str">
        <f>IF('1. Live'!CA14='check-Jul25'!CA14,"",'1. Live'!CA14-'check-Jul25'!CA14)</f>
        <v/>
      </c>
      <c r="CB14" t="str">
        <f>IF('1. Live'!CB14='check-Jul25'!CB14,"",'1. Live'!CB14-'check-Jul25'!CB14)</f>
        <v/>
      </c>
      <c r="CC14" t="str">
        <f>IF('1. Live'!CC14='check-Jul25'!CC14,"",'1. Live'!CC14-'check-Jul25'!CC14)</f>
        <v/>
      </c>
      <c r="CD14" t="str">
        <f>IF('1. Live'!CD14='check-Jul25'!CD14,"",'1. Live'!CD14-'check-Jul25'!CD14)</f>
        <v/>
      </c>
      <c r="CE14" t="str">
        <f>IF('1. Live'!CE14='check-Jul25'!CE14,"",'1. Live'!CE14-'check-Jul25'!CE14)</f>
        <v/>
      </c>
      <c r="CF14" t="str">
        <f>IF('1. Live'!CF14='check-Jul25'!CF14,"",'1. Live'!CF14-'check-Jul25'!CF14)</f>
        <v/>
      </c>
      <c r="CG14" t="str">
        <f>IF('1. Live'!CG14='check-Jul25'!CG14,"",'1. Live'!CG14-'check-Jul25'!CG14)</f>
        <v/>
      </c>
      <c r="CH14" t="str">
        <f>IF('1. Live'!CH14='check-Jul25'!CH14,"",'1. Live'!CH14-'check-Jul25'!CH14)</f>
        <v/>
      </c>
      <c r="CI14" t="str">
        <f>IF('1. Live'!CI14='check-Jul25'!CI14,"",'1. Live'!CI14-'check-Jul25'!CI14)</f>
        <v/>
      </c>
      <c r="CJ14" t="str">
        <f>IF('1. Live'!CJ14='check-Jul25'!CJ14,"",'1. Live'!CJ14-'check-Jul25'!CJ14)</f>
        <v/>
      </c>
      <c r="CK14" t="str">
        <f>IF('1. Live'!CK14='check-Jul25'!CK14,"",'1. Live'!CK14-'check-Jul25'!CK14)</f>
        <v/>
      </c>
      <c r="CL14" t="str">
        <f>IF('1. Live'!CL14='check-Jul25'!CL14,"",'1. Live'!CL14-'check-Jul25'!CL14)</f>
        <v/>
      </c>
      <c r="CM14" t="str">
        <f>IF('1. Live'!CM14='check-Jul25'!CM14,"",'1. Live'!CM14-'check-Jul25'!CM14)</f>
        <v/>
      </c>
      <c r="CN14" t="str">
        <f>IF('1. Live'!CN14='check-Jul25'!CN14,"",'1. Live'!CN14-'check-Jul25'!CN14)</f>
        <v/>
      </c>
      <c r="CO14" t="str">
        <f>IF('1. Live'!CO14='check-Jul25'!CO14,"",'1. Live'!CO14-'check-Jul25'!CO14)</f>
        <v/>
      </c>
      <c r="CP14" t="str">
        <f>IF('1. Live'!CP14='check-Jul25'!CP14,"",'1. Live'!CP14-'check-Jul25'!CP14)</f>
        <v/>
      </c>
      <c r="CQ14" t="str">
        <f>IF('1. Live'!CQ14='check-Jul25'!CQ14,"",'1. Live'!CQ14-'check-Jul25'!CQ14)</f>
        <v/>
      </c>
      <c r="CR14" t="str">
        <f>IF('1. Live'!CR14='check-Jul25'!CR14,"",'1. Live'!CR14-'check-Jul25'!CR14)</f>
        <v/>
      </c>
      <c r="CS14" t="str">
        <f>IF('1. Live'!CS14='check-Jul25'!CS14,"",'1. Live'!CS14-'check-Jul25'!CS14)</f>
        <v/>
      </c>
      <c r="CT14" t="str">
        <f>IF('1. Live'!CT14='check-Jul25'!CT14,"",'1. Live'!CT14-'check-Jul25'!CT14)</f>
        <v/>
      </c>
      <c r="CU14" t="str">
        <f>IF('1. Live'!CU14='check-Jul25'!CU14,"",'1. Live'!CU14-'check-Jul25'!CU14)</f>
        <v/>
      </c>
      <c r="CV14" t="str">
        <f>IF('1. Live'!CV14='check-Jul25'!CV14,"",'1. Live'!CV14-'check-Jul25'!CV14)</f>
        <v/>
      </c>
      <c r="CW14" t="str">
        <f>IF('1. Live'!CW14='check-Jul25'!CW14,"",'1. Live'!CW14-'check-Jul25'!CW14)</f>
        <v/>
      </c>
    </row>
    <row r="15" spans="2:101">
      <c r="B15" s="66"/>
      <c r="C15" s="4" t="s">
        <v>9</v>
      </c>
      <c r="D15" s="32" t="s">
        <v>248</v>
      </c>
      <c r="E15" s="2" t="s">
        <v>77</v>
      </c>
      <c r="F15" s="2">
        <v>0</v>
      </c>
      <c r="G15" s="2" t="s">
        <v>8</v>
      </c>
      <c r="H15" s="6">
        <v>2020</v>
      </c>
      <c r="I15" s="6" t="s">
        <v>71</v>
      </c>
      <c r="J15" s="90" t="str">
        <f>IF('1. Live'!J15='check-Jul25'!J15,"",'1. Live'!J15-'check-Jul25'!J15)</f>
        <v/>
      </c>
      <c r="K15" s="17" t="str">
        <f ca="1">IF('1. Live'!K15='check-Jul25'!K15,"",'1. Live'!K15-'check-Jul25'!K15)</f>
        <v/>
      </c>
      <c r="L15" s="17" t="str">
        <f ca="1">IF('1. Live'!L15='check-Jul25'!L15,"",'1. Live'!L15-'check-Jul25'!L15)</f>
        <v/>
      </c>
      <c r="M15" s="17" t="str">
        <f>IF('1. Live'!M15='check-Jul25'!M15,"",'1. Live'!M15-'check-Jul25'!M15)</f>
        <v/>
      </c>
      <c r="N15" s="17" t="str">
        <f ca="1">IF('1. Live'!N15='check-Jul25'!N15,"",'1. Live'!N15-'check-Jul25'!N15)</f>
        <v/>
      </c>
      <c r="O15" s="17" t="str">
        <f>IF('1. Live'!O15='check-Jul25'!O15,"",'1. Live'!O15-'check-Jul25'!O15)</f>
        <v/>
      </c>
      <c r="P15" s="17" t="str">
        <f ca="1">IF('1. Live'!P15='check-Jul25'!P15,"",'1. Live'!P15-'check-Jul25'!P15)</f>
        <v/>
      </c>
      <c r="Q15" s="17" t="str">
        <f>IF('1. Live'!Q15='check-Jul25'!Q15,"",'1. Live'!Q15-'check-Jul25'!Q15)</f>
        <v/>
      </c>
      <c r="R15" s="10" t="str">
        <f ca="1">IF('1. Live'!R15='check-Jul25'!R15,"",'1. Live'!R15-'check-Jul25'!R15)</f>
        <v/>
      </c>
      <c r="S15" s="2" t="str">
        <f>IF('1. Live'!S15='check-Jul25'!S15,"",'1. Live'!S15-'check-Jul25'!S15)</f>
        <v/>
      </c>
      <c r="T15" s="67" t="str">
        <f>IF('1. Live'!T15='check-Jul25'!T15,"",'1. Live'!T15-'check-Jul25'!T15)</f>
        <v/>
      </c>
      <c r="U15" t="str">
        <f>IF('1. Live'!U15='check-Jul25'!U15,"",'1. Live'!U15-'check-Jul25'!U15)</f>
        <v/>
      </c>
      <c r="V15" t="str">
        <f>IF('1. Live'!V15='check-Jul25'!V15,"",'1. Live'!V15-'check-Jul25'!V15)</f>
        <v/>
      </c>
      <c r="W15" t="str">
        <f>IF('1. Live'!W15='check-Jul25'!W15,"",'1. Live'!W15-'check-Jul25'!W15)</f>
        <v/>
      </c>
      <c r="X15" t="str">
        <f>IF('1. Live'!X15='check-Jul25'!X15,"",'1. Live'!X15-'check-Jul25'!X15)</f>
        <v/>
      </c>
      <c r="Y15" t="str">
        <f>IF('1. Live'!Y15='check-Jul25'!Y15,"",'1. Live'!Y15-'check-Jul25'!Y15)</f>
        <v/>
      </c>
      <c r="Z15" t="str">
        <f>IF('1. Live'!Z15='check-Jul25'!Z15,"",'1. Live'!Z15-'check-Jul25'!Z15)</f>
        <v/>
      </c>
      <c r="AA15" t="str">
        <f>IF('1. Live'!AA15='check-Jul25'!AA15,"",'1. Live'!AA15-'check-Jul25'!AA15)</f>
        <v/>
      </c>
      <c r="AB15" t="str">
        <f>IF('1. Live'!AB15='check-Jul25'!AB15,"",'1. Live'!AB15-'check-Jul25'!AB15)</f>
        <v/>
      </c>
      <c r="AC15" t="str">
        <f>IF('1. Live'!AC15='check-Jul25'!AC15,"",'1. Live'!AC15-'check-Jul25'!AC15)</f>
        <v/>
      </c>
      <c r="AD15" t="str">
        <f>IF('1. Live'!AD15='check-Jul25'!AD15,"",'1. Live'!AD15-'check-Jul25'!AD15)</f>
        <v/>
      </c>
      <c r="AE15" t="str">
        <f>IF('1. Live'!AE15='check-Jul25'!AE15,"",'1. Live'!AE15-'check-Jul25'!AE15)</f>
        <v/>
      </c>
      <c r="AF15" t="str">
        <f>IF('1. Live'!AF15='check-Jul25'!AF15,"",'1. Live'!AF15-'check-Jul25'!AF15)</f>
        <v/>
      </c>
      <c r="AG15" t="str">
        <f>IF('1. Live'!AG15='check-Jul25'!AG15,"",'1. Live'!AG15-'check-Jul25'!AG15)</f>
        <v/>
      </c>
      <c r="AH15" t="str">
        <f>IF('1. Live'!AH15='check-Jul25'!AH15,"",'1. Live'!AH15-'check-Jul25'!AH15)</f>
        <v/>
      </c>
      <c r="AI15" t="str">
        <f>IF('1. Live'!AI15='check-Jul25'!AI15,"",'1. Live'!AI15-'check-Jul25'!AI15)</f>
        <v/>
      </c>
      <c r="AJ15" t="str">
        <f>IF('1. Live'!AJ15='check-Jul25'!AJ15,"",'1. Live'!AJ15-'check-Jul25'!AJ15)</f>
        <v/>
      </c>
      <c r="AK15" t="str">
        <f>IF('1. Live'!AK15='check-Jul25'!AK15,"",'1. Live'!AK15-'check-Jul25'!AK15)</f>
        <v/>
      </c>
      <c r="AL15" t="str">
        <f>IF('1. Live'!AL15='check-Jul25'!AL15,"",'1. Live'!AL15-'check-Jul25'!AL15)</f>
        <v/>
      </c>
      <c r="AM15" t="str">
        <f>IF('1. Live'!AM15='check-Jul25'!AM15,"",'1. Live'!AM15-'check-Jul25'!AM15)</f>
        <v/>
      </c>
      <c r="AN15" t="str">
        <f>IF('1. Live'!AN15='check-Jul25'!AN15,"",'1. Live'!AN15-'check-Jul25'!AN15)</f>
        <v/>
      </c>
      <c r="AO15" t="str">
        <f>IF('1. Live'!AO15='check-Jul25'!AO15,"",'1. Live'!AO15-'check-Jul25'!AO15)</f>
        <v/>
      </c>
      <c r="AP15" t="str">
        <f>IF('1. Live'!AP15='check-Jul25'!AP15,"",'1. Live'!AP15-'check-Jul25'!AP15)</f>
        <v/>
      </c>
      <c r="AQ15" t="str">
        <f>IF('1. Live'!AQ15='check-Jul25'!AQ15,"",'1. Live'!AQ15-'check-Jul25'!AQ15)</f>
        <v/>
      </c>
      <c r="AR15" t="str">
        <f>IF('1. Live'!AR15='check-Jul25'!AR15,"",'1. Live'!AR15-'check-Jul25'!AR15)</f>
        <v/>
      </c>
      <c r="AS15" t="str">
        <f>IF('1. Live'!AS15='check-Jul25'!AS15,"",'1. Live'!AS15-'check-Jul25'!AS15)</f>
        <v/>
      </c>
      <c r="AT15" t="str">
        <f>IF('1. Live'!AT15='check-Jul25'!AT15,"",'1. Live'!AT15-'check-Jul25'!AT15)</f>
        <v/>
      </c>
      <c r="AU15" t="str">
        <f>IF('1. Live'!AU15='check-Jul25'!AU15,"",'1. Live'!AU15-'check-Jul25'!AU15)</f>
        <v/>
      </c>
      <c r="AV15" t="str">
        <f>IF('1. Live'!AV15='check-Jul25'!AV15,"",'1. Live'!AV15-'check-Jul25'!AV15)</f>
        <v/>
      </c>
      <c r="AW15" t="str">
        <f>IF('1. Live'!AW15='check-Jul25'!AW15,"",'1. Live'!AW15-'check-Jul25'!AW15)</f>
        <v/>
      </c>
      <c r="AX15" t="str">
        <f>IF('1. Live'!AX15='check-Jul25'!AX15,"",'1. Live'!AX15-'check-Jul25'!AX15)</f>
        <v/>
      </c>
      <c r="AY15" t="str">
        <f>IF('1. Live'!AY15='check-Jul25'!AY15,"",'1. Live'!AY15-'check-Jul25'!AY15)</f>
        <v/>
      </c>
      <c r="AZ15" t="str">
        <f>IF('1. Live'!AZ15='check-Jul25'!AZ15,"",'1. Live'!AZ15-'check-Jul25'!AZ15)</f>
        <v/>
      </c>
      <c r="BA15" t="str">
        <f>IF('1. Live'!BA15='check-Jul25'!BA15,"",'1. Live'!BA15-'check-Jul25'!BA15)</f>
        <v/>
      </c>
      <c r="BB15" t="str">
        <f>IF('1. Live'!BB15='check-Jul25'!BB15,"",'1. Live'!BB15-'check-Jul25'!BB15)</f>
        <v/>
      </c>
      <c r="BC15" t="str">
        <f>IF('1. Live'!BC15='check-Jul25'!BC15,"",'1. Live'!BC15-'check-Jul25'!BC15)</f>
        <v/>
      </c>
      <c r="BD15" t="str">
        <f>IF('1. Live'!BD15='check-Jul25'!BD15,"",'1. Live'!BD15-'check-Jul25'!BD15)</f>
        <v/>
      </c>
      <c r="BE15" t="str">
        <f>IF('1. Live'!BE15='check-Jul25'!BE15,"",'1. Live'!BE15-'check-Jul25'!BE15)</f>
        <v/>
      </c>
      <c r="BF15" t="str">
        <f>IF('1. Live'!BF15='check-Jul25'!BF15,"",'1. Live'!BF15-'check-Jul25'!BF15)</f>
        <v/>
      </c>
      <c r="BG15" t="str">
        <f>IF('1. Live'!BG15='check-Jul25'!BG15,"",'1. Live'!BG15-'check-Jul25'!BG15)</f>
        <v/>
      </c>
      <c r="BH15" t="str">
        <f>IF('1. Live'!BH15='check-Jul25'!BH15,"",'1. Live'!BH15-'check-Jul25'!BH15)</f>
        <v/>
      </c>
      <c r="BI15" t="str">
        <f>IF('1. Live'!BI15='check-Jul25'!BI15,"",'1. Live'!BI15-'check-Jul25'!BI15)</f>
        <v/>
      </c>
      <c r="BJ15" t="str">
        <f>IF('1. Live'!BJ15='check-Jul25'!BJ15,"",'1. Live'!BJ15-'check-Jul25'!BJ15)</f>
        <v/>
      </c>
      <c r="BK15" t="str">
        <f>IF('1. Live'!BK15='check-Jul25'!BK15,"",'1. Live'!BK15-'check-Jul25'!BK15)</f>
        <v/>
      </c>
      <c r="BL15" t="str">
        <f>IF('1. Live'!BL15='check-Jul25'!BL15,"",'1. Live'!BL15-'check-Jul25'!BL15)</f>
        <v/>
      </c>
      <c r="BM15" t="str">
        <f>IF('1. Live'!BM15='check-Jul25'!BM15,"",'1. Live'!BM15-'check-Jul25'!BM15)</f>
        <v/>
      </c>
      <c r="BN15" t="str">
        <f>IF('1. Live'!BN15='check-Jul25'!BN15,"",'1. Live'!BN15-'check-Jul25'!BN15)</f>
        <v/>
      </c>
      <c r="BO15" t="str">
        <f>IF('1. Live'!BO15='check-Jul25'!BO15,"",'1. Live'!BO15-'check-Jul25'!BO15)</f>
        <v/>
      </c>
      <c r="BP15" t="str">
        <f>IF('1. Live'!BP15='check-Jul25'!BP15,"",'1. Live'!BP15-'check-Jul25'!BP15)</f>
        <v/>
      </c>
      <c r="BQ15" t="str">
        <f>IF('1. Live'!BQ15='check-Jul25'!BQ15,"",'1. Live'!BQ15-'check-Jul25'!BQ15)</f>
        <v/>
      </c>
      <c r="BR15" t="str">
        <f>IF('1. Live'!BR15='check-Jul25'!BR15,"",'1. Live'!BR15-'check-Jul25'!BR15)</f>
        <v/>
      </c>
      <c r="BS15" t="str">
        <f>IF('1. Live'!BS15='check-Jul25'!BS15,"",'1. Live'!BS15-'check-Jul25'!BS15)</f>
        <v/>
      </c>
      <c r="BT15" t="str">
        <f>IF('1. Live'!BT15='check-Jul25'!BT15,"",'1. Live'!BT15-'check-Jul25'!BT15)</f>
        <v/>
      </c>
      <c r="BU15" t="str">
        <f>IF('1. Live'!BU15='check-Jul25'!BU15,"",'1. Live'!BU15-'check-Jul25'!BU15)</f>
        <v/>
      </c>
      <c r="BV15" t="str">
        <f>IF('1. Live'!BV15='check-Jul25'!BV15,"",'1. Live'!BV15-'check-Jul25'!BV15)</f>
        <v/>
      </c>
      <c r="BW15" t="str">
        <f>IF('1. Live'!BW15='check-Jul25'!BW15,"",'1. Live'!BW15-'check-Jul25'!BW15)</f>
        <v/>
      </c>
      <c r="BX15" t="str">
        <f>IF('1. Live'!BX15='check-Jul25'!BX15,"",'1. Live'!BX15-'check-Jul25'!BX15)</f>
        <v/>
      </c>
      <c r="BY15" t="str">
        <f>IF('1. Live'!BY15='check-Jul25'!BY15,"",'1. Live'!BY15-'check-Jul25'!BY15)</f>
        <v/>
      </c>
      <c r="BZ15" t="str">
        <f>IF('1. Live'!BZ15='check-Jul25'!BZ15,"",'1. Live'!BZ15-'check-Jul25'!BZ15)</f>
        <v/>
      </c>
      <c r="CA15" t="str">
        <f>IF('1. Live'!CA15='check-Jul25'!CA15,"",'1. Live'!CA15-'check-Jul25'!CA15)</f>
        <v/>
      </c>
      <c r="CB15" t="str">
        <f>IF('1. Live'!CB15='check-Jul25'!CB15,"",'1. Live'!CB15-'check-Jul25'!CB15)</f>
        <v/>
      </c>
      <c r="CC15" t="str">
        <f>IF('1. Live'!CC15='check-Jul25'!CC15,"",'1. Live'!CC15-'check-Jul25'!CC15)</f>
        <v/>
      </c>
      <c r="CD15" t="str">
        <f>IF('1. Live'!CD15='check-Jul25'!CD15,"",'1. Live'!CD15-'check-Jul25'!CD15)</f>
        <v/>
      </c>
      <c r="CE15" t="str">
        <f>IF('1. Live'!CE15='check-Jul25'!CE15,"",'1. Live'!CE15-'check-Jul25'!CE15)</f>
        <v/>
      </c>
      <c r="CF15" t="str">
        <f>IF('1. Live'!CF15='check-Jul25'!CF15,"",'1. Live'!CF15-'check-Jul25'!CF15)</f>
        <v/>
      </c>
      <c r="CG15" t="str">
        <f>IF('1. Live'!CG15='check-Jul25'!CG15,"",'1. Live'!CG15-'check-Jul25'!CG15)</f>
        <v/>
      </c>
      <c r="CH15" t="str">
        <f>IF('1. Live'!CH15='check-Jul25'!CH15,"",'1. Live'!CH15-'check-Jul25'!CH15)</f>
        <v/>
      </c>
      <c r="CI15" t="str">
        <f>IF('1. Live'!CI15='check-Jul25'!CI15,"",'1. Live'!CI15-'check-Jul25'!CI15)</f>
        <v/>
      </c>
      <c r="CJ15" t="str">
        <f>IF('1. Live'!CJ15='check-Jul25'!CJ15,"",'1. Live'!CJ15-'check-Jul25'!CJ15)</f>
        <v/>
      </c>
      <c r="CK15" t="str">
        <f>IF('1. Live'!CK15='check-Jul25'!CK15,"",'1. Live'!CK15-'check-Jul25'!CK15)</f>
        <v/>
      </c>
      <c r="CL15" t="str">
        <f>IF('1. Live'!CL15='check-Jul25'!CL15,"",'1. Live'!CL15-'check-Jul25'!CL15)</f>
        <v/>
      </c>
      <c r="CM15" t="str">
        <f>IF('1. Live'!CM15='check-Jul25'!CM15,"",'1. Live'!CM15-'check-Jul25'!CM15)</f>
        <v/>
      </c>
      <c r="CN15" t="str">
        <f>IF('1. Live'!CN15='check-Jul25'!CN15,"",'1. Live'!CN15-'check-Jul25'!CN15)</f>
        <v/>
      </c>
      <c r="CO15" t="str">
        <f>IF('1. Live'!CO15='check-Jul25'!CO15,"",'1. Live'!CO15-'check-Jul25'!CO15)</f>
        <v/>
      </c>
      <c r="CP15" t="str">
        <f>IF('1. Live'!CP15='check-Jul25'!CP15,"",'1. Live'!CP15-'check-Jul25'!CP15)</f>
        <v/>
      </c>
      <c r="CQ15" t="str">
        <f>IF('1. Live'!CQ15='check-Jul25'!CQ15,"",'1. Live'!CQ15-'check-Jul25'!CQ15)</f>
        <v/>
      </c>
      <c r="CR15" t="str">
        <f>IF('1. Live'!CR15='check-Jul25'!CR15,"",'1. Live'!CR15-'check-Jul25'!CR15)</f>
        <v/>
      </c>
      <c r="CS15" t="str">
        <f>IF('1. Live'!CS15='check-Jul25'!CS15,"",'1. Live'!CS15-'check-Jul25'!CS15)</f>
        <v/>
      </c>
      <c r="CT15" t="str">
        <f>IF('1. Live'!CT15='check-Jul25'!CT15,"",'1. Live'!CT15-'check-Jul25'!CT15)</f>
        <v/>
      </c>
      <c r="CU15" t="str">
        <f>IF('1. Live'!CU15='check-Jul25'!CU15,"",'1. Live'!CU15-'check-Jul25'!CU15)</f>
        <v/>
      </c>
      <c r="CV15" t="str">
        <f>IF('1. Live'!CV15='check-Jul25'!CV15,"",'1. Live'!CV15-'check-Jul25'!CV15)</f>
        <v/>
      </c>
      <c r="CW15" t="str">
        <f>IF('1. Live'!CW15='check-Jul25'!CW15,"",'1. Live'!CW15-'check-Jul25'!CW15)</f>
        <v/>
      </c>
    </row>
    <row r="16" spans="2:101">
      <c r="B16" s="66"/>
      <c r="C16" s="4" t="s">
        <v>37</v>
      </c>
      <c r="D16" s="32" t="s">
        <v>248</v>
      </c>
      <c r="E16" s="2" t="s">
        <v>77</v>
      </c>
      <c r="F16" s="2">
        <v>0</v>
      </c>
      <c r="G16" s="2" t="s">
        <v>8</v>
      </c>
      <c r="H16" s="6">
        <v>2020</v>
      </c>
      <c r="I16" s="6" t="s">
        <v>66</v>
      </c>
      <c r="J16" s="90" t="str">
        <f>IF('1. Live'!J16='check-Jul25'!J16,"",'1. Live'!J16-'check-Jul25'!J16)</f>
        <v/>
      </c>
      <c r="K16" s="17" t="str">
        <f ca="1">IF('1. Live'!K16='check-Jul25'!K16,"",'1. Live'!K16-'check-Jul25'!K16)</f>
        <v/>
      </c>
      <c r="L16" s="17" t="str">
        <f ca="1">IF('1. Live'!L16='check-Jul25'!L16,"",'1. Live'!L16-'check-Jul25'!L16)</f>
        <v/>
      </c>
      <c r="M16" s="17" t="str">
        <f>IF('1. Live'!M16='check-Jul25'!M16,"",'1. Live'!M16-'check-Jul25'!M16)</f>
        <v/>
      </c>
      <c r="N16" s="17" t="str">
        <f ca="1">IF('1. Live'!N16='check-Jul25'!N16,"",'1. Live'!N16-'check-Jul25'!N16)</f>
        <v/>
      </c>
      <c r="O16" s="17" t="str">
        <f>IF('1. Live'!O16='check-Jul25'!O16,"",'1. Live'!O16-'check-Jul25'!O16)</f>
        <v/>
      </c>
      <c r="P16" s="17" t="str">
        <f ca="1">IF('1. Live'!P16='check-Jul25'!P16,"",'1. Live'!P16-'check-Jul25'!P16)</f>
        <v/>
      </c>
      <c r="Q16" s="17" t="str">
        <f>IF('1. Live'!Q16='check-Jul25'!Q16,"",'1. Live'!Q16-'check-Jul25'!Q16)</f>
        <v/>
      </c>
      <c r="R16" s="10" t="str">
        <f ca="1">IF('1. Live'!R16='check-Jul25'!R16,"",'1. Live'!R16-'check-Jul25'!R16)</f>
        <v/>
      </c>
      <c r="S16" s="2" t="str">
        <f>IF('1. Live'!S16='check-Jul25'!S16,"",'1. Live'!S16-'check-Jul25'!S16)</f>
        <v/>
      </c>
      <c r="T16" s="67" t="str">
        <f>IF('1. Live'!T16='check-Jul25'!T16,"",'1. Live'!T16-'check-Jul25'!T16)</f>
        <v/>
      </c>
      <c r="U16" t="str">
        <f>IF('1. Live'!U16='check-Jul25'!U16,"",'1. Live'!U16-'check-Jul25'!U16)</f>
        <v/>
      </c>
      <c r="V16" t="str">
        <f>IF('1. Live'!V16='check-Jul25'!V16,"",'1. Live'!V16-'check-Jul25'!V16)</f>
        <v/>
      </c>
      <c r="W16" t="str">
        <f>IF('1. Live'!W16='check-Jul25'!W16,"",'1. Live'!W16-'check-Jul25'!W16)</f>
        <v/>
      </c>
      <c r="X16" t="str">
        <f>IF('1. Live'!X16='check-Jul25'!X16,"",'1. Live'!X16-'check-Jul25'!X16)</f>
        <v/>
      </c>
      <c r="Y16" t="str">
        <f>IF('1. Live'!Y16='check-Jul25'!Y16,"",'1. Live'!Y16-'check-Jul25'!Y16)</f>
        <v/>
      </c>
      <c r="Z16" t="str">
        <f>IF('1. Live'!Z16='check-Jul25'!Z16,"",'1. Live'!Z16-'check-Jul25'!Z16)</f>
        <v/>
      </c>
      <c r="AA16" t="str">
        <f>IF('1. Live'!AA16='check-Jul25'!AA16,"",'1. Live'!AA16-'check-Jul25'!AA16)</f>
        <v/>
      </c>
      <c r="AB16" t="str">
        <f>IF('1. Live'!AB16='check-Jul25'!AB16,"",'1. Live'!AB16-'check-Jul25'!AB16)</f>
        <v/>
      </c>
      <c r="AC16" t="str">
        <f>IF('1. Live'!AC16='check-Jul25'!AC16,"",'1. Live'!AC16-'check-Jul25'!AC16)</f>
        <v/>
      </c>
      <c r="AD16" t="str">
        <f>IF('1. Live'!AD16='check-Jul25'!AD16,"",'1. Live'!AD16-'check-Jul25'!AD16)</f>
        <v/>
      </c>
      <c r="AE16" t="str">
        <f>IF('1. Live'!AE16='check-Jul25'!AE16,"",'1. Live'!AE16-'check-Jul25'!AE16)</f>
        <v/>
      </c>
      <c r="AF16" t="str">
        <f>IF('1. Live'!AF16='check-Jul25'!AF16,"",'1. Live'!AF16-'check-Jul25'!AF16)</f>
        <v/>
      </c>
      <c r="AG16" t="str">
        <f>IF('1. Live'!AG16='check-Jul25'!AG16,"",'1. Live'!AG16-'check-Jul25'!AG16)</f>
        <v/>
      </c>
      <c r="AH16" t="str">
        <f>IF('1. Live'!AH16='check-Jul25'!AH16,"",'1. Live'!AH16-'check-Jul25'!AH16)</f>
        <v/>
      </c>
      <c r="AI16" t="str">
        <f>IF('1. Live'!AI16='check-Jul25'!AI16,"",'1. Live'!AI16-'check-Jul25'!AI16)</f>
        <v/>
      </c>
      <c r="AJ16" t="str">
        <f>IF('1. Live'!AJ16='check-Jul25'!AJ16,"",'1. Live'!AJ16-'check-Jul25'!AJ16)</f>
        <v/>
      </c>
      <c r="AK16" t="str">
        <f>IF('1. Live'!AK16='check-Jul25'!AK16,"",'1. Live'!AK16-'check-Jul25'!AK16)</f>
        <v/>
      </c>
      <c r="AL16" t="str">
        <f>IF('1. Live'!AL16='check-Jul25'!AL16,"",'1. Live'!AL16-'check-Jul25'!AL16)</f>
        <v/>
      </c>
      <c r="AM16" t="str">
        <f>IF('1. Live'!AM16='check-Jul25'!AM16,"",'1. Live'!AM16-'check-Jul25'!AM16)</f>
        <v/>
      </c>
      <c r="AN16" t="str">
        <f>IF('1. Live'!AN16='check-Jul25'!AN16,"",'1. Live'!AN16-'check-Jul25'!AN16)</f>
        <v/>
      </c>
      <c r="AO16" t="str">
        <f>IF('1. Live'!AO16='check-Jul25'!AO16,"",'1. Live'!AO16-'check-Jul25'!AO16)</f>
        <v/>
      </c>
      <c r="AP16" t="str">
        <f>IF('1. Live'!AP16='check-Jul25'!AP16,"",'1. Live'!AP16-'check-Jul25'!AP16)</f>
        <v/>
      </c>
      <c r="AQ16" t="str">
        <f>IF('1. Live'!AQ16='check-Jul25'!AQ16,"",'1. Live'!AQ16-'check-Jul25'!AQ16)</f>
        <v/>
      </c>
      <c r="AR16" t="str">
        <f>IF('1. Live'!AR16='check-Jul25'!AR16,"",'1. Live'!AR16-'check-Jul25'!AR16)</f>
        <v/>
      </c>
      <c r="AS16" t="str">
        <f>IF('1. Live'!AS16='check-Jul25'!AS16,"",'1. Live'!AS16-'check-Jul25'!AS16)</f>
        <v/>
      </c>
      <c r="AT16" t="str">
        <f>IF('1. Live'!AT16='check-Jul25'!AT16,"",'1. Live'!AT16-'check-Jul25'!AT16)</f>
        <v/>
      </c>
      <c r="AU16" t="str">
        <f>IF('1. Live'!AU16='check-Jul25'!AU16,"",'1. Live'!AU16-'check-Jul25'!AU16)</f>
        <v/>
      </c>
      <c r="AV16" t="str">
        <f>IF('1. Live'!AV16='check-Jul25'!AV16,"",'1. Live'!AV16-'check-Jul25'!AV16)</f>
        <v/>
      </c>
      <c r="AW16" t="str">
        <f>IF('1. Live'!AW16='check-Jul25'!AW16,"",'1. Live'!AW16-'check-Jul25'!AW16)</f>
        <v/>
      </c>
      <c r="AX16" t="str">
        <f>IF('1. Live'!AX16='check-Jul25'!AX16,"",'1. Live'!AX16-'check-Jul25'!AX16)</f>
        <v/>
      </c>
      <c r="AY16" t="str">
        <f>IF('1. Live'!AY16='check-Jul25'!AY16,"",'1. Live'!AY16-'check-Jul25'!AY16)</f>
        <v/>
      </c>
      <c r="AZ16" t="str">
        <f>IF('1. Live'!AZ16='check-Jul25'!AZ16,"",'1. Live'!AZ16-'check-Jul25'!AZ16)</f>
        <v/>
      </c>
      <c r="BA16" t="str">
        <f>IF('1. Live'!BA16='check-Jul25'!BA16,"",'1. Live'!BA16-'check-Jul25'!BA16)</f>
        <v/>
      </c>
      <c r="BB16" t="str">
        <f>IF('1. Live'!BB16='check-Jul25'!BB16,"",'1. Live'!BB16-'check-Jul25'!BB16)</f>
        <v/>
      </c>
      <c r="BC16" t="str">
        <f>IF('1. Live'!BC16='check-Jul25'!BC16,"",'1. Live'!BC16-'check-Jul25'!BC16)</f>
        <v/>
      </c>
      <c r="BD16" t="str">
        <f>IF('1. Live'!BD16='check-Jul25'!BD16,"",'1. Live'!BD16-'check-Jul25'!BD16)</f>
        <v/>
      </c>
      <c r="BE16" t="str">
        <f>IF('1. Live'!BE16='check-Jul25'!BE16,"",'1. Live'!BE16-'check-Jul25'!BE16)</f>
        <v/>
      </c>
      <c r="BF16" t="str">
        <f>IF('1. Live'!BF16='check-Jul25'!BF16,"",'1. Live'!BF16-'check-Jul25'!BF16)</f>
        <v/>
      </c>
      <c r="BG16" t="str">
        <f>IF('1. Live'!BG16='check-Jul25'!BG16,"",'1. Live'!BG16-'check-Jul25'!BG16)</f>
        <v/>
      </c>
      <c r="BH16" t="str">
        <f>IF('1. Live'!BH16='check-Jul25'!BH16,"",'1. Live'!BH16-'check-Jul25'!BH16)</f>
        <v/>
      </c>
      <c r="BI16" t="str">
        <f>IF('1. Live'!BI16='check-Jul25'!BI16,"",'1. Live'!BI16-'check-Jul25'!BI16)</f>
        <v/>
      </c>
      <c r="BJ16" t="str">
        <f>IF('1. Live'!BJ16='check-Jul25'!BJ16,"",'1. Live'!BJ16-'check-Jul25'!BJ16)</f>
        <v/>
      </c>
      <c r="BK16" t="str">
        <f>IF('1. Live'!BK16='check-Jul25'!BK16,"",'1. Live'!BK16-'check-Jul25'!BK16)</f>
        <v/>
      </c>
      <c r="BL16" t="str">
        <f>IF('1. Live'!BL16='check-Jul25'!BL16,"",'1. Live'!BL16-'check-Jul25'!BL16)</f>
        <v/>
      </c>
      <c r="BM16" t="str">
        <f>IF('1. Live'!BM16='check-Jul25'!BM16,"",'1. Live'!BM16-'check-Jul25'!BM16)</f>
        <v/>
      </c>
      <c r="BN16" t="str">
        <f>IF('1. Live'!BN16='check-Jul25'!BN16,"",'1. Live'!BN16-'check-Jul25'!BN16)</f>
        <v/>
      </c>
      <c r="BO16" t="str">
        <f>IF('1. Live'!BO16='check-Jul25'!BO16,"",'1. Live'!BO16-'check-Jul25'!BO16)</f>
        <v/>
      </c>
      <c r="BP16" t="str">
        <f>IF('1. Live'!BP16='check-Jul25'!BP16,"",'1. Live'!BP16-'check-Jul25'!BP16)</f>
        <v/>
      </c>
      <c r="BQ16" t="str">
        <f>IF('1. Live'!BQ16='check-Jul25'!BQ16,"",'1. Live'!BQ16-'check-Jul25'!BQ16)</f>
        <v/>
      </c>
      <c r="BR16" t="str">
        <f>IF('1. Live'!BR16='check-Jul25'!BR16,"",'1. Live'!BR16-'check-Jul25'!BR16)</f>
        <v/>
      </c>
      <c r="BS16" t="str">
        <f>IF('1. Live'!BS16='check-Jul25'!BS16,"",'1. Live'!BS16-'check-Jul25'!BS16)</f>
        <v/>
      </c>
      <c r="BT16" t="str">
        <f>IF('1. Live'!BT16='check-Jul25'!BT16,"",'1. Live'!BT16-'check-Jul25'!BT16)</f>
        <v/>
      </c>
      <c r="BU16" t="str">
        <f>IF('1. Live'!BU16='check-Jul25'!BU16,"",'1. Live'!BU16-'check-Jul25'!BU16)</f>
        <v/>
      </c>
      <c r="BV16" t="str">
        <f>IF('1. Live'!BV16='check-Jul25'!BV16,"",'1. Live'!BV16-'check-Jul25'!BV16)</f>
        <v/>
      </c>
      <c r="BW16" t="str">
        <f>IF('1. Live'!BW16='check-Jul25'!BW16,"",'1. Live'!BW16-'check-Jul25'!BW16)</f>
        <v/>
      </c>
      <c r="BX16" t="str">
        <f>IF('1. Live'!BX16='check-Jul25'!BX16,"",'1. Live'!BX16-'check-Jul25'!BX16)</f>
        <v/>
      </c>
      <c r="BY16" t="str">
        <f>IF('1. Live'!BY16='check-Jul25'!BY16,"",'1. Live'!BY16-'check-Jul25'!BY16)</f>
        <v/>
      </c>
      <c r="BZ16" t="str">
        <f>IF('1. Live'!BZ16='check-Jul25'!BZ16,"",'1. Live'!BZ16-'check-Jul25'!BZ16)</f>
        <v/>
      </c>
      <c r="CA16" t="str">
        <f>IF('1. Live'!CA16='check-Jul25'!CA16,"",'1. Live'!CA16-'check-Jul25'!CA16)</f>
        <v/>
      </c>
      <c r="CB16" t="str">
        <f>IF('1. Live'!CB16='check-Jul25'!CB16,"",'1. Live'!CB16-'check-Jul25'!CB16)</f>
        <v/>
      </c>
      <c r="CC16" t="str">
        <f>IF('1. Live'!CC16='check-Jul25'!CC16,"",'1. Live'!CC16-'check-Jul25'!CC16)</f>
        <v/>
      </c>
      <c r="CD16" t="str">
        <f>IF('1. Live'!CD16='check-Jul25'!CD16,"",'1. Live'!CD16-'check-Jul25'!CD16)</f>
        <v/>
      </c>
      <c r="CE16" t="str">
        <f>IF('1. Live'!CE16='check-Jul25'!CE16,"",'1. Live'!CE16-'check-Jul25'!CE16)</f>
        <v/>
      </c>
      <c r="CF16" t="str">
        <f>IF('1. Live'!CF16='check-Jul25'!CF16,"",'1. Live'!CF16-'check-Jul25'!CF16)</f>
        <v/>
      </c>
      <c r="CG16" t="str">
        <f>IF('1. Live'!CG16='check-Jul25'!CG16,"",'1. Live'!CG16-'check-Jul25'!CG16)</f>
        <v/>
      </c>
      <c r="CH16" t="str">
        <f>IF('1. Live'!CH16='check-Jul25'!CH16,"",'1. Live'!CH16-'check-Jul25'!CH16)</f>
        <v/>
      </c>
      <c r="CI16" t="str">
        <f>IF('1. Live'!CI16='check-Jul25'!CI16,"",'1. Live'!CI16-'check-Jul25'!CI16)</f>
        <v/>
      </c>
      <c r="CJ16" t="str">
        <f>IF('1. Live'!CJ16='check-Jul25'!CJ16,"",'1. Live'!CJ16-'check-Jul25'!CJ16)</f>
        <v/>
      </c>
      <c r="CK16" t="str">
        <f>IF('1. Live'!CK16='check-Jul25'!CK16,"",'1. Live'!CK16-'check-Jul25'!CK16)</f>
        <v/>
      </c>
      <c r="CL16" t="str">
        <f>IF('1. Live'!CL16='check-Jul25'!CL16,"",'1. Live'!CL16-'check-Jul25'!CL16)</f>
        <v/>
      </c>
      <c r="CM16" t="str">
        <f>IF('1. Live'!CM16='check-Jul25'!CM16,"",'1. Live'!CM16-'check-Jul25'!CM16)</f>
        <v/>
      </c>
      <c r="CN16" t="str">
        <f>IF('1. Live'!CN16='check-Jul25'!CN16,"",'1. Live'!CN16-'check-Jul25'!CN16)</f>
        <v/>
      </c>
      <c r="CO16" t="str">
        <f>IF('1. Live'!CO16='check-Jul25'!CO16,"",'1. Live'!CO16-'check-Jul25'!CO16)</f>
        <v/>
      </c>
      <c r="CP16" t="str">
        <f>IF('1. Live'!CP16='check-Jul25'!CP16,"",'1. Live'!CP16-'check-Jul25'!CP16)</f>
        <v/>
      </c>
      <c r="CQ16" t="str">
        <f>IF('1. Live'!CQ16='check-Jul25'!CQ16,"",'1. Live'!CQ16-'check-Jul25'!CQ16)</f>
        <v/>
      </c>
      <c r="CR16" t="str">
        <f>IF('1. Live'!CR16='check-Jul25'!CR16,"",'1. Live'!CR16-'check-Jul25'!CR16)</f>
        <v/>
      </c>
      <c r="CS16" t="str">
        <f>IF('1. Live'!CS16='check-Jul25'!CS16,"",'1. Live'!CS16-'check-Jul25'!CS16)</f>
        <v/>
      </c>
      <c r="CT16" t="str">
        <f>IF('1. Live'!CT16='check-Jul25'!CT16,"",'1. Live'!CT16-'check-Jul25'!CT16)</f>
        <v/>
      </c>
      <c r="CU16" t="str">
        <f>IF('1. Live'!CU16='check-Jul25'!CU16,"",'1. Live'!CU16-'check-Jul25'!CU16)</f>
        <v/>
      </c>
      <c r="CV16" t="str">
        <f>IF('1. Live'!CV16='check-Jul25'!CV16,"",'1. Live'!CV16-'check-Jul25'!CV16)</f>
        <v/>
      </c>
      <c r="CW16" t="str">
        <f>IF('1. Live'!CW16='check-Jul25'!CW16,"",'1. Live'!CW16-'check-Jul25'!CW16)</f>
        <v/>
      </c>
    </row>
    <row r="17" spans="2:101">
      <c r="B17" s="66"/>
      <c r="C17" s="4" t="s">
        <v>85</v>
      </c>
      <c r="D17" s="32" t="s">
        <v>248</v>
      </c>
      <c r="E17" s="2" t="s">
        <v>77</v>
      </c>
      <c r="F17" s="2">
        <v>0</v>
      </c>
      <c r="G17" s="2" t="s">
        <v>8</v>
      </c>
      <c r="H17" s="6">
        <v>2020</v>
      </c>
      <c r="I17" s="6" t="s">
        <v>44</v>
      </c>
      <c r="J17" s="90" t="str">
        <f>IF('1. Live'!J17='check-Jul25'!J17,"",'1. Live'!J17-'check-Jul25'!J17)</f>
        <v/>
      </c>
      <c r="K17" s="17" t="str">
        <f ca="1">IF('1. Live'!K17='check-Jul25'!K17,"",'1. Live'!K17-'check-Jul25'!K17)</f>
        <v/>
      </c>
      <c r="L17" s="17" t="str">
        <f ca="1">IF('1. Live'!L17='check-Jul25'!L17,"",'1. Live'!L17-'check-Jul25'!L17)</f>
        <v/>
      </c>
      <c r="M17" s="17" t="str">
        <f>IF('1. Live'!M17='check-Jul25'!M17,"",'1. Live'!M17-'check-Jul25'!M17)</f>
        <v/>
      </c>
      <c r="N17" s="17" t="str">
        <f ca="1">IF('1. Live'!N17='check-Jul25'!N17,"",'1. Live'!N17-'check-Jul25'!N17)</f>
        <v/>
      </c>
      <c r="O17" s="17">
        <f>IF('1. Live'!O17='check-Jul25'!O17,"",'1. Live'!O17-'check-Jul25'!O17)</f>
        <v>-11.132001089675995</v>
      </c>
      <c r="P17" s="17">
        <f ca="1">IF('1. Live'!P17='check-Jul25'!P17,"",'1. Live'!P17-'check-Jul25'!P17)</f>
        <v>-11.132001089675995</v>
      </c>
      <c r="Q17" s="17" t="str">
        <f>IF('1. Live'!Q17='check-Jul25'!Q17,"",'1. Live'!Q17-'check-Jul25'!Q17)</f>
        <v/>
      </c>
      <c r="R17" s="10">
        <f ca="1">IF('1. Live'!R17='check-Jul25'!R17,"",'1. Live'!R17-'check-Jul25'!R17)</f>
        <v>-7.8687924340419158E-2</v>
      </c>
      <c r="S17" s="2" t="str">
        <f>IF('1. Live'!S17='check-Jul25'!S17,"",'1. Live'!S17-'check-Jul25'!S17)</f>
        <v/>
      </c>
      <c r="T17" s="67" t="str">
        <f>IF('1. Live'!T17='check-Jul25'!T17,"",'1. Live'!T17-'check-Jul25'!T17)</f>
        <v/>
      </c>
      <c r="U17" t="str">
        <f>IF('1. Live'!U17='check-Jul25'!U17,"",'1. Live'!U17-'check-Jul25'!U17)</f>
        <v/>
      </c>
      <c r="V17" t="str">
        <f>IF('1. Live'!V17='check-Jul25'!V17,"",'1. Live'!V17-'check-Jul25'!V17)</f>
        <v/>
      </c>
      <c r="W17" t="str">
        <f>IF('1. Live'!W17='check-Jul25'!W17,"",'1. Live'!W17-'check-Jul25'!W17)</f>
        <v/>
      </c>
      <c r="X17" t="str">
        <f>IF('1. Live'!X17='check-Jul25'!X17,"",'1. Live'!X17-'check-Jul25'!X17)</f>
        <v/>
      </c>
      <c r="Y17" t="str">
        <f>IF('1. Live'!Y17='check-Jul25'!Y17,"",'1. Live'!Y17-'check-Jul25'!Y17)</f>
        <v/>
      </c>
      <c r="Z17" t="str">
        <f>IF('1. Live'!Z17='check-Jul25'!Z17,"",'1. Live'!Z17-'check-Jul25'!Z17)</f>
        <v/>
      </c>
      <c r="AA17" t="str">
        <f>IF('1. Live'!AA17='check-Jul25'!AA17,"",'1. Live'!AA17-'check-Jul25'!AA17)</f>
        <v/>
      </c>
      <c r="AB17" t="str">
        <f>IF('1. Live'!AB17='check-Jul25'!AB17,"",'1. Live'!AB17-'check-Jul25'!AB17)</f>
        <v/>
      </c>
      <c r="AC17" t="str">
        <f>IF('1. Live'!AC17='check-Jul25'!AC17,"",'1. Live'!AC17-'check-Jul25'!AC17)</f>
        <v/>
      </c>
      <c r="AD17" t="str">
        <f>IF('1. Live'!AD17='check-Jul25'!AD17,"",'1. Live'!AD17-'check-Jul25'!AD17)</f>
        <v/>
      </c>
      <c r="AE17" t="str">
        <f>IF('1. Live'!AE17='check-Jul25'!AE17,"",'1. Live'!AE17-'check-Jul25'!AE17)</f>
        <v/>
      </c>
      <c r="AF17" t="str">
        <f>IF('1. Live'!AF17='check-Jul25'!AF17,"",'1. Live'!AF17-'check-Jul25'!AF17)</f>
        <v/>
      </c>
      <c r="AG17" t="str">
        <f>IF('1. Live'!AG17='check-Jul25'!AG17,"",'1. Live'!AG17-'check-Jul25'!AG17)</f>
        <v/>
      </c>
      <c r="AH17" t="str">
        <f>IF('1. Live'!AH17='check-Jul25'!AH17,"",'1. Live'!AH17-'check-Jul25'!AH17)</f>
        <v/>
      </c>
      <c r="AI17" t="str">
        <f>IF('1. Live'!AI17='check-Jul25'!AI17,"",'1. Live'!AI17-'check-Jul25'!AI17)</f>
        <v/>
      </c>
      <c r="AJ17" t="str">
        <f>IF('1. Live'!AJ17='check-Jul25'!AJ17,"",'1. Live'!AJ17-'check-Jul25'!AJ17)</f>
        <v/>
      </c>
      <c r="AK17" t="str">
        <f>IF('1. Live'!AK17='check-Jul25'!AK17,"",'1. Live'!AK17-'check-Jul25'!AK17)</f>
        <v/>
      </c>
      <c r="AL17" t="str">
        <f>IF('1. Live'!AL17='check-Jul25'!AL17,"",'1. Live'!AL17-'check-Jul25'!AL17)</f>
        <v/>
      </c>
      <c r="AM17" t="str">
        <f>IF('1. Live'!AM17='check-Jul25'!AM17,"",'1. Live'!AM17-'check-Jul25'!AM17)</f>
        <v/>
      </c>
      <c r="AN17" t="str">
        <f>IF('1. Live'!AN17='check-Jul25'!AN17,"",'1. Live'!AN17-'check-Jul25'!AN17)</f>
        <v/>
      </c>
      <c r="AO17" t="str">
        <f>IF('1. Live'!AO17='check-Jul25'!AO17,"",'1. Live'!AO17-'check-Jul25'!AO17)</f>
        <v/>
      </c>
      <c r="AP17" t="str">
        <f>IF('1. Live'!AP17='check-Jul25'!AP17,"",'1. Live'!AP17-'check-Jul25'!AP17)</f>
        <v/>
      </c>
      <c r="AQ17" t="str">
        <f>IF('1. Live'!AQ17='check-Jul25'!AQ17,"",'1. Live'!AQ17-'check-Jul25'!AQ17)</f>
        <v/>
      </c>
      <c r="AR17" t="str">
        <f>IF('1. Live'!AR17='check-Jul25'!AR17,"",'1. Live'!AR17-'check-Jul25'!AR17)</f>
        <v/>
      </c>
      <c r="AS17" t="str">
        <f>IF('1. Live'!AS17='check-Jul25'!AS17,"",'1. Live'!AS17-'check-Jul25'!AS17)</f>
        <v/>
      </c>
      <c r="AT17" t="str">
        <f>IF('1. Live'!AT17='check-Jul25'!AT17,"",'1. Live'!AT17-'check-Jul25'!AT17)</f>
        <v/>
      </c>
      <c r="AU17" t="str">
        <f>IF('1. Live'!AU17='check-Jul25'!AU17,"",'1. Live'!AU17-'check-Jul25'!AU17)</f>
        <v/>
      </c>
      <c r="AV17" t="str">
        <f>IF('1. Live'!AV17='check-Jul25'!AV17,"",'1. Live'!AV17-'check-Jul25'!AV17)</f>
        <v/>
      </c>
      <c r="AW17" t="str">
        <f>IF('1. Live'!AW17='check-Jul25'!AW17,"",'1. Live'!AW17-'check-Jul25'!AW17)</f>
        <v/>
      </c>
      <c r="AX17" t="str">
        <f>IF('1. Live'!AX17='check-Jul25'!AX17,"",'1. Live'!AX17-'check-Jul25'!AX17)</f>
        <v/>
      </c>
      <c r="AY17" t="str">
        <f>IF('1. Live'!AY17='check-Jul25'!AY17,"",'1. Live'!AY17-'check-Jul25'!AY17)</f>
        <v/>
      </c>
      <c r="AZ17" t="str">
        <f>IF('1. Live'!AZ17='check-Jul25'!AZ17,"",'1. Live'!AZ17-'check-Jul25'!AZ17)</f>
        <v/>
      </c>
      <c r="BA17" t="str">
        <f>IF('1. Live'!BA17='check-Jul25'!BA17,"",'1. Live'!BA17-'check-Jul25'!BA17)</f>
        <v/>
      </c>
      <c r="BB17" t="str">
        <f>IF('1. Live'!BB17='check-Jul25'!BB17,"",'1. Live'!BB17-'check-Jul25'!BB17)</f>
        <v/>
      </c>
      <c r="BC17" t="str">
        <f>IF('1. Live'!BC17='check-Jul25'!BC17,"",'1. Live'!BC17-'check-Jul25'!BC17)</f>
        <v/>
      </c>
      <c r="BD17" t="str">
        <f>IF('1. Live'!BD17='check-Jul25'!BD17,"",'1. Live'!BD17-'check-Jul25'!BD17)</f>
        <v/>
      </c>
      <c r="BE17" t="str">
        <f>IF('1. Live'!BE17='check-Jul25'!BE17,"",'1. Live'!BE17-'check-Jul25'!BE17)</f>
        <v/>
      </c>
      <c r="BF17" t="str">
        <f>IF('1. Live'!BF17='check-Jul25'!BF17,"",'1. Live'!BF17-'check-Jul25'!BF17)</f>
        <v/>
      </c>
      <c r="BG17" t="str">
        <f>IF('1. Live'!BG17='check-Jul25'!BG17,"",'1. Live'!BG17-'check-Jul25'!BG17)</f>
        <v/>
      </c>
      <c r="BH17" t="str">
        <f>IF('1. Live'!BH17='check-Jul25'!BH17,"",'1. Live'!BH17-'check-Jul25'!BH17)</f>
        <v/>
      </c>
      <c r="BI17" t="str">
        <f>IF('1. Live'!BI17='check-Jul25'!BI17,"",'1. Live'!BI17-'check-Jul25'!BI17)</f>
        <v/>
      </c>
      <c r="BJ17" t="str">
        <f>IF('1. Live'!BJ17='check-Jul25'!BJ17,"",'1. Live'!BJ17-'check-Jul25'!BJ17)</f>
        <v/>
      </c>
      <c r="BK17" t="str">
        <f>IF('1. Live'!BK17='check-Jul25'!BK17,"",'1. Live'!BK17-'check-Jul25'!BK17)</f>
        <v/>
      </c>
      <c r="BL17" t="str">
        <f>IF('1. Live'!BL17='check-Jul25'!BL17,"",'1. Live'!BL17-'check-Jul25'!BL17)</f>
        <v/>
      </c>
      <c r="BM17" t="str">
        <f>IF('1. Live'!BM17='check-Jul25'!BM17,"",'1. Live'!BM17-'check-Jul25'!BM17)</f>
        <v/>
      </c>
      <c r="BN17" t="str">
        <f>IF('1. Live'!BN17='check-Jul25'!BN17,"",'1. Live'!BN17-'check-Jul25'!BN17)</f>
        <v/>
      </c>
      <c r="BO17" t="str">
        <f>IF('1. Live'!BO17='check-Jul25'!BO17,"",'1. Live'!BO17-'check-Jul25'!BO17)</f>
        <v/>
      </c>
      <c r="BP17" t="str">
        <f>IF('1. Live'!BP17='check-Jul25'!BP17,"",'1. Live'!BP17-'check-Jul25'!BP17)</f>
        <v/>
      </c>
      <c r="BQ17" t="str">
        <f>IF('1. Live'!BQ17='check-Jul25'!BQ17,"",'1. Live'!BQ17-'check-Jul25'!BQ17)</f>
        <v/>
      </c>
      <c r="BR17" t="str">
        <f>IF('1. Live'!BR17='check-Jul25'!BR17,"",'1. Live'!BR17-'check-Jul25'!BR17)</f>
        <v/>
      </c>
      <c r="BS17" t="str">
        <f>IF('1. Live'!BS17='check-Jul25'!BS17,"",'1. Live'!BS17-'check-Jul25'!BS17)</f>
        <v/>
      </c>
      <c r="BT17" t="str">
        <f>IF('1. Live'!BT17='check-Jul25'!BT17,"",'1. Live'!BT17-'check-Jul25'!BT17)</f>
        <v/>
      </c>
      <c r="BU17" t="str">
        <f>IF('1. Live'!BU17='check-Jul25'!BU17,"",'1. Live'!BU17-'check-Jul25'!BU17)</f>
        <v/>
      </c>
      <c r="BV17" t="str">
        <f>IF('1. Live'!BV17='check-Jul25'!BV17,"",'1. Live'!BV17-'check-Jul25'!BV17)</f>
        <v/>
      </c>
      <c r="BW17" t="str">
        <f>IF('1. Live'!BW17='check-Jul25'!BW17,"",'1. Live'!BW17-'check-Jul25'!BW17)</f>
        <v/>
      </c>
      <c r="BX17" t="str">
        <f>IF('1. Live'!BX17='check-Jul25'!BX17,"",'1. Live'!BX17-'check-Jul25'!BX17)</f>
        <v/>
      </c>
      <c r="BY17" t="str">
        <f>IF('1. Live'!BY17='check-Jul25'!BY17,"",'1. Live'!BY17-'check-Jul25'!BY17)</f>
        <v/>
      </c>
      <c r="BZ17" t="str">
        <f>IF('1. Live'!BZ17='check-Jul25'!BZ17,"",'1. Live'!BZ17-'check-Jul25'!BZ17)</f>
        <v/>
      </c>
      <c r="CA17" t="str">
        <f>IF('1. Live'!CA17='check-Jul25'!CA17,"",'1. Live'!CA17-'check-Jul25'!CA17)</f>
        <v/>
      </c>
      <c r="CB17" t="str">
        <f>IF('1. Live'!CB17='check-Jul25'!CB17,"",'1. Live'!CB17-'check-Jul25'!CB17)</f>
        <v/>
      </c>
      <c r="CC17" t="str">
        <f>IF('1. Live'!CC17='check-Jul25'!CC17,"",'1. Live'!CC17-'check-Jul25'!CC17)</f>
        <v/>
      </c>
      <c r="CD17" t="str">
        <f>IF('1. Live'!CD17='check-Jul25'!CD17,"",'1. Live'!CD17-'check-Jul25'!CD17)</f>
        <v/>
      </c>
      <c r="CE17" t="str">
        <f>IF('1. Live'!CE17='check-Jul25'!CE17,"",'1. Live'!CE17-'check-Jul25'!CE17)</f>
        <v/>
      </c>
      <c r="CF17" t="str">
        <f>IF('1. Live'!CF17='check-Jul25'!CF17,"",'1. Live'!CF17-'check-Jul25'!CF17)</f>
        <v/>
      </c>
      <c r="CG17" t="str">
        <f>IF('1. Live'!CG17='check-Jul25'!CG17,"",'1. Live'!CG17-'check-Jul25'!CG17)</f>
        <v/>
      </c>
      <c r="CH17" t="str">
        <f>IF('1. Live'!CH17='check-Jul25'!CH17,"",'1. Live'!CH17-'check-Jul25'!CH17)</f>
        <v/>
      </c>
      <c r="CI17" t="str">
        <f>IF('1. Live'!CI17='check-Jul25'!CI17,"",'1. Live'!CI17-'check-Jul25'!CI17)</f>
        <v/>
      </c>
      <c r="CJ17" t="str">
        <f>IF('1. Live'!CJ17='check-Jul25'!CJ17,"",'1. Live'!CJ17-'check-Jul25'!CJ17)</f>
        <v/>
      </c>
      <c r="CK17" t="str">
        <f>IF('1. Live'!CK17='check-Jul25'!CK17,"",'1. Live'!CK17-'check-Jul25'!CK17)</f>
        <v/>
      </c>
      <c r="CL17" t="str">
        <f>IF('1. Live'!CL17='check-Jul25'!CL17,"",'1. Live'!CL17-'check-Jul25'!CL17)</f>
        <v/>
      </c>
      <c r="CM17" t="str">
        <f>IF('1. Live'!CM17='check-Jul25'!CM17,"",'1. Live'!CM17-'check-Jul25'!CM17)</f>
        <v/>
      </c>
      <c r="CN17" t="str">
        <f>IF('1. Live'!CN17='check-Jul25'!CN17,"",'1. Live'!CN17-'check-Jul25'!CN17)</f>
        <v/>
      </c>
      <c r="CO17" t="str">
        <f>IF('1. Live'!CO17='check-Jul25'!CO17,"",'1. Live'!CO17-'check-Jul25'!CO17)</f>
        <v/>
      </c>
      <c r="CP17" t="str">
        <f>IF('1. Live'!CP17='check-Jul25'!CP17,"",'1. Live'!CP17-'check-Jul25'!CP17)</f>
        <v/>
      </c>
      <c r="CQ17" t="str">
        <f>IF('1. Live'!CQ17='check-Jul25'!CQ17,"",'1. Live'!CQ17-'check-Jul25'!CQ17)</f>
        <v/>
      </c>
      <c r="CR17" t="str">
        <f>IF('1. Live'!CR17='check-Jul25'!CR17,"",'1. Live'!CR17-'check-Jul25'!CR17)</f>
        <v/>
      </c>
      <c r="CS17" t="str">
        <f>IF('1. Live'!CS17='check-Jul25'!CS17,"",'1. Live'!CS17-'check-Jul25'!CS17)</f>
        <v/>
      </c>
      <c r="CT17" t="str">
        <f>IF('1. Live'!CT17='check-Jul25'!CT17,"",'1. Live'!CT17-'check-Jul25'!CT17)</f>
        <v/>
      </c>
      <c r="CU17" t="str">
        <f>IF('1. Live'!CU17='check-Jul25'!CU17,"",'1. Live'!CU17-'check-Jul25'!CU17)</f>
        <v/>
      </c>
      <c r="CV17" t="str">
        <f>IF('1. Live'!CV17='check-Jul25'!CV17,"",'1. Live'!CV17-'check-Jul25'!CV17)</f>
        <v/>
      </c>
      <c r="CW17" t="str">
        <f>IF('1. Live'!CW17='check-Jul25'!CW17,"",'1. Live'!CW17-'check-Jul25'!CW17)</f>
        <v/>
      </c>
    </row>
    <row r="18" spans="2:101">
      <c r="B18" s="66"/>
      <c r="C18" s="4" t="s">
        <v>38</v>
      </c>
      <c r="D18" s="32" t="s">
        <v>248</v>
      </c>
      <c r="E18" s="2" t="s">
        <v>77</v>
      </c>
      <c r="F18" s="2">
        <v>0</v>
      </c>
      <c r="G18" s="2" t="s">
        <v>8</v>
      </c>
      <c r="H18" s="6">
        <v>2019</v>
      </c>
      <c r="I18" s="6" t="s">
        <v>74</v>
      </c>
      <c r="J18" s="90" t="str">
        <f>IF('1. Live'!J18='check-Jul25'!J18,"",'1. Live'!J18-'check-Jul25'!J18)</f>
        <v/>
      </c>
      <c r="K18" s="17" t="str">
        <f ca="1">IF('1. Live'!K18='check-Jul25'!K18,"",'1. Live'!K18-'check-Jul25'!K18)</f>
        <v/>
      </c>
      <c r="L18" s="17" t="str">
        <f ca="1">IF('1. Live'!L18='check-Jul25'!L18,"",'1. Live'!L18-'check-Jul25'!L18)</f>
        <v/>
      </c>
      <c r="M18" s="17" t="str">
        <f>IF('1. Live'!M18='check-Jul25'!M18,"",'1. Live'!M18-'check-Jul25'!M18)</f>
        <v/>
      </c>
      <c r="N18" s="17" t="str">
        <f ca="1">IF('1. Live'!N18='check-Jul25'!N18,"",'1. Live'!N18-'check-Jul25'!N18)</f>
        <v/>
      </c>
      <c r="O18" s="17">
        <f>IF('1. Live'!O18='check-Jul25'!O18,"",'1. Live'!O18-'check-Jul25'!O18)</f>
        <v>-8.9050180574000031</v>
      </c>
      <c r="P18" s="17">
        <f ca="1">IF('1. Live'!P18='check-Jul25'!P18,"",'1. Live'!P18-'check-Jul25'!P18)</f>
        <v>-8.9050180574000031</v>
      </c>
      <c r="Q18" s="17" t="str">
        <f>IF('1. Live'!Q18='check-Jul25'!Q18,"",'1. Live'!Q18-'check-Jul25'!Q18)</f>
        <v/>
      </c>
      <c r="R18" s="10">
        <f ca="1">IF('1. Live'!R18='check-Jul25'!R18,"",'1. Live'!R18-'check-Jul25'!R18)</f>
        <v>-0.89050180574000048</v>
      </c>
      <c r="S18" s="2" t="str">
        <f>IF('1. Live'!S18='check-Jul25'!S18,"",'1. Live'!S18-'check-Jul25'!S18)</f>
        <v/>
      </c>
      <c r="T18" s="67" t="str">
        <f>IF('1. Live'!T18='check-Jul25'!T18,"",'1. Live'!T18-'check-Jul25'!T18)</f>
        <v/>
      </c>
      <c r="U18" t="str">
        <f>IF('1. Live'!U18='check-Jul25'!U18,"",'1. Live'!U18-'check-Jul25'!U18)</f>
        <v/>
      </c>
      <c r="V18" t="str">
        <f>IF('1. Live'!V18='check-Jul25'!V18,"",'1. Live'!V18-'check-Jul25'!V18)</f>
        <v/>
      </c>
      <c r="W18" t="str">
        <f>IF('1. Live'!W18='check-Jul25'!W18,"",'1. Live'!W18-'check-Jul25'!W18)</f>
        <v/>
      </c>
      <c r="X18" t="str">
        <f>IF('1. Live'!X18='check-Jul25'!X18,"",'1. Live'!X18-'check-Jul25'!X18)</f>
        <v/>
      </c>
      <c r="Y18" t="str">
        <f>IF('1. Live'!Y18='check-Jul25'!Y18,"",'1. Live'!Y18-'check-Jul25'!Y18)</f>
        <v/>
      </c>
      <c r="Z18" t="str">
        <f>IF('1. Live'!Z18='check-Jul25'!Z18,"",'1. Live'!Z18-'check-Jul25'!Z18)</f>
        <v/>
      </c>
      <c r="AA18" t="str">
        <f>IF('1. Live'!AA18='check-Jul25'!AA18,"",'1. Live'!AA18-'check-Jul25'!AA18)</f>
        <v/>
      </c>
      <c r="AB18" t="str">
        <f>IF('1. Live'!AB18='check-Jul25'!AB18,"",'1. Live'!AB18-'check-Jul25'!AB18)</f>
        <v/>
      </c>
      <c r="AC18" t="str">
        <f>IF('1. Live'!AC18='check-Jul25'!AC18,"",'1. Live'!AC18-'check-Jul25'!AC18)</f>
        <v/>
      </c>
      <c r="AD18" t="str">
        <f>IF('1. Live'!AD18='check-Jul25'!AD18,"",'1. Live'!AD18-'check-Jul25'!AD18)</f>
        <v/>
      </c>
      <c r="AE18" t="str">
        <f>IF('1. Live'!AE18='check-Jul25'!AE18,"",'1. Live'!AE18-'check-Jul25'!AE18)</f>
        <v/>
      </c>
      <c r="AF18" t="str">
        <f>IF('1. Live'!AF18='check-Jul25'!AF18,"",'1. Live'!AF18-'check-Jul25'!AF18)</f>
        <v/>
      </c>
      <c r="AG18" t="str">
        <f>IF('1. Live'!AG18='check-Jul25'!AG18,"",'1. Live'!AG18-'check-Jul25'!AG18)</f>
        <v/>
      </c>
      <c r="AH18" t="str">
        <f>IF('1. Live'!AH18='check-Jul25'!AH18,"",'1. Live'!AH18-'check-Jul25'!AH18)</f>
        <v/>
      </c>
      <c r="AI18" t="str">
        <f>IF('1. Live'!AI18='check-Jul25'!AI18,"",'1. Live'!AI18-'check-Jul25'!AI18)</f>
        <v/>
      </c>
      <c r="AJ18" t="str">
        <f>IF('1. Live'!AJ18='check-Jul25'!AJ18,"",'1. Live'!AJ18-'check-Jul25'!AJ18)</f>
        <v/>
      </c>
      <c r="AK18" t="str">
        <f>IF('1. Live'!AK18='check-Jul25'!AK18,"",'1. Live'!AK18-'check-Jul25'!AK18)</f>
        <v/>
      </c>
      <c r="AL18" t="str">
        <f>IF('1. Live'!AL18='check-Jul25'!AL18,"",'1. Live'!AL18-'check-Jul25'!AL18)</f>
        <v/>
      </c>
      <c r="AM18" t="str">
        <f>IF('1. Live'!AM18='check-Jul25'!AM18,"",'1. Live'!AM18-'check-Jul25'!AM18)</f>
        <v/>
      </c>
      <c r="AN18" t="str">
        <f>IF('1. Live'!AN18='check-Jul25'!AN18,"",'1. Live'!AN18-'check-Jul25'!AN18)</f>
        <v/>
      </c>
      <c r="AO18" t="str">
        <f>IF('1. Live'!AO18='check-Jul25'!AO18,"",'1. Live'!AO18-'check-Jul25'!AO18)</f>
        <v/>
      </c>
      <c r="AP18" t="str">
        <f>IF('1. Live'!AP18='check-Jul25'!AP18,"",'1. Live'!AP18-'check-Jul25'!AP18)</f>
        <v/>
      </c>
      <c r="AQ18" t="str">
        <f>IF('1. Live'!AQ18='check-Jul25'!AQ18,"",'1. Live'!AQ18-'check-Jul25'!AQ18)</f>
        <v/>
      </c>
      <c r="AR18" t="str">
        <f>IF('1. Live'!AR18='check-Jul25'!AR18,"",'1. Live'!AR18-'check-Jul25'!AR18)</f>
        <v/>
      </c>
      <c r="AS18" t="str">
        <f>IF('1. Live'!AS18='check-Jul25'!AS18,"",'1. Live'!AS18-'check-Jul25'!AS18)</f>
        <v/>
      </c>
      <c r="AT18" t="str">
        <f>IF('1. Live'!AT18='check-Jul25'!AT18,"",'1. Live'!AT18-'check-Jul25'!AT18)</f>
        <v/>
      </c>
      <c r="AU18" t="str">
        <f>IF('1. Live'!AU18='check-Jul25'!AU18,"",'1. Live'!AU18-'check-Jul25'!AU18)</f>
        <v/>
      </c>
      <c r="AV18" t="str">
        <f>IF('1. Live'!AV18='check-Jul25'!AV18,"",'1. Live'!AV18-'check-Jul25'!AV18)</f>
        <v/>
      </c>
      <c r="AW18" t="str">
        <f>IF('1. Live'!AW18='check-Jul25'!AW18,"",'1. Live'!AW18-'check-Jul25'!AW18)</f>
        <v/>
      </c>
      <c r="AX18" t="str">
        <f>IF('1. Live'!AX18='check-Jul25'!AX18,"",'1. Live'!AX18-'check-Jul25'!AX18)</f>
        <v/>
      </c>
      <c r="AY18" t="str">
        <f>IF('1. Live'!AY18='check-Jul25'!AY18,"",'1. Live'!AY18-'check-Jul25'!AY18)</f>
        <v/>
      </c>
      <c r="AZ18" t="str">
        <f>IF('1. Live'!AZ18='check-Jul25'!AZ18,"",'1. Live'!AZ18-'check-Jul25'!AZ18)</f>
        <v/>
      </c>
      <c r="BA18" t="str">
        <f>IF('1. Live'!BA18='check-Jul25'!BA18,"",'1. Live'!BA18-'check-Jul25'!BA18)</f>
        <v/>
      </c>
      <c r="BB18" t="str">
        <f>IF('1. Live'!BB18='check-Jul25'!BB18,"",'1. Live'!BB18-'check-Jul25'!BB18)</f>
        <v/>
      </c>
      <c r="BC18" t="str">
        <f>IF('1. Live'!BC18='check-Jul25'!BC18,"",'1. Live'!BC18-'check-Jul25'!BC18)</f>
        <v/>
      </c>
      <c r="BD18" t="str">
        <f>IF('1. Live'!BD18='check-Jul25'!BD18,"",'1. Live'!BD18-'check-Jul25'!BD18)</f>
        <v/>
      </c>
      <c r="BE18" t="str">
        <f>IF('1. Live'!BE18='check-Jul25'!BE18,"",'1. Live'!BE18-'check-Jul25'!BE18)</f>
        <v/>
      </c>
      <c r="BF18" t="str">
        <f>IF('1. Live'!BF18='check-Jul25'!BF18,"",'1. Live'!BF18-'check-Jul25'!BF18)</f>
        <v/>
      </c>
      <c r="BG18" t="str">
        <f>IF('1. Live'!BG18='check-Jul25'!BG18,"",'1. Live'!BG18-'check-Jul25'!BG18)</f>
        <v/>
      </c>
      <c r="BH18" t="str">
        <f>IF('1. Live'!BH18='check-Jul25'!BH18,"",'1. Live'!BH18-'check-Jul25'!BH18)</f>
        <v/>
      </c>
      <c r="BI18" t="str">
        <f>IF('1. Live'!BI18='check-Jul25'!BI18,"",'1. Live'!BI18-'check-Jul25'!BI18)</f>
        <v/>
      </c>
      <c r="BJ18" t="str">
        <f>IF('1. Live'!BJ18='check-Jul25'!BJ18,"",'1. Live'!BJ18-'check-Jul25'!BJ18)</f>
        <v/>
      </c>
      <c r="BK18" t="str">
        <f>IF('1. Live'!BK18='check-Jul25'!BK18,"",'1. Live'!BK18-'check-Jul25'!BK18)</f>
        <v/>
      </c>
      <c r="BL18" t="str">
        <f>IF('1. Live'!BL18='check-Jul25'!BL18,"",'1. Live'!BL18-'check-Jul25'!BL18)</f>
        <v/>
      </c>
      <c r="BM18" t="str">
        <f>IF('1. Live'!BM18='check-Jul25'!BM18,"",'1. Live'!BM18-'check-Jul25'!BM18)</f>
        <v/>
      </c>
      <c r="BN18" t="str">
        <f>IF('1. Live'!BN18='check-Jul25'!BN18,"",'1. Live'!BN18-'check-Jul25'!BN18)</f>
        <v/>
      </c>
      <c r="BO18" t="str">
        <f>IF('1. Live'!BO18='check-Jul25'!BO18,"",'1. Live'!BO18-'check-Jul25'!BO18)</f>
        <v/>
      </c>
      <c r="BP18" t="str">
        <f>IF('1. Live'!BP18='check-Jul25'!BP18,"",'1. Live'!BP18-'check-Jul25'!BP18)</f>
        <v/>
      </c>
      <c r="BQ18" t="str">
        <f>IF('1. Live'!BQ18='check-Jul25'!BQ18,"",'1. Live'!BQ18-'check-Jul25'!BQ18)</f>
        <v/>
      </c>
      <c r="BR18" t="str">
        <f>IF('1. Live'!BR18='check-Jul25'!BR18,"",'1. Live'!BR18-'check-Jul25'!BR18)</f>
        <v/>
      </c>
      <c r="BS18" t="str">
        <f>IF('1. Live'!BS18='check-Jul25'!BS18,"",'1. Live'!BS18-'check-Jul25'!BS18)</f>
        <v/>
      </c>
      <c r="BT18" t="str">
        <f>IF('1. Live'!BT18='check-Jul25'!BT18,"",'1. Live'!BT18-'check-Jul25'!BT18)</f>
        <v/>
      </c>
      <c r="BU18" t="str">
        <f>IF('1. Live'!BU18='check-Jul25'!BU18,"",'1. Live'!BU18-'check-Jul25'!BU18)</f>
        <v/>
      </c>
      <c r="BV18" t="str">
        <f>IF('1. Live'!BV18='check-Jul25'!BV18,"",'1. Live'!BV18-'check-Jul25'!BV18)</f>
        <v/>
      </c>
      <c r="BW18" t="str">
        <f>IF('1. Live'!BW18='check-Jul25'!BW18,"",'1. Live'!BW18-'check-Jul25'!BW18)</f>
        <v/>
      </c>
      <c r="BX18" t="str">
        <f>IF('1. Live'!BX18='check-Jul25'!BX18,"",'1. Live'!BX18-'check-Jul25'!BX18)</f>
        <v/>
      </c>
      <c r="BY18" t="str">
        <f>IF('1. Live'!BY18='check-Jul25'!BY18,"",'1. Live'!BY18-'check-Jul25'!BY18)</f>
        <v/>
      </c>
      <c r="BZ18" t="str">
        <f>IF('1. Live'!BZ18='check-Jul25'!BZ18,"",'1. Live'!BZ18-'check-Jul25'!BZ18)</f>
        <v/>
      </c>
      <c r="CA18" t="str">
        <f>IF('1. Live'!CA18='check-Jul25'!CA18,"",'1. Live'!CA18-'check-Jul25'!CA18)</f>
        <v/>
      </c>
      <c r="CB18" t="str">
        <f>IF('1. Live'!CB18='check-Jul25'!CB18,"",'1. Live'!CB18-'check-Jul25'!CB18)</f>
        <v/>
      </c>
      <c r="CC18" t="str">
        <f>IF('1. Live'!CC18='check-Jul25'!CC18,"",'1. Live'!CC18-'check-Jul25'!CC18)</f>
        <v/>
      </c>
      <c r="CD18" t="str">
        <f>IF('1. Live'!CD18='check-Jul25'!CD18,"",'1. Live'!CD18-'check-Jul25'!CD18)</f>
        <v/>
      </c>
      <c r="CE18" t="str">
        <f>IF('1. Live'!CE18='check-Jul25'!CE18,"",'1. Live'!CE18-'check-Jul25'!CE18)</f>
        <v/>
      </c>
      <c r="CF18" t="str">
        <f>IF('1. Live'!CF18='check-Jul25'!CF18,"",'1. Live'!CF18-'check-Jul25'!CF18)</f>
        <v/>
      </c>
      <c r="CG18" t="str">
        <f>IF('1. Live'!CG18='check-Jul25'!CG18,"",'1. Live'!CG18-'check-Jul25'!CG18)</f>
        <v/>
      </c>
      <c r="CH18" t="str">
        <f>IF('1. Live'!CH18='check-Jul25'!CH18,"",'1. Live'!CH18-'check-Jul25'!CH18)</f>
        <v/>
      </c>
      <c r="CI18" t="str">
        <f>IF('1. Live'!CI18='check-Jul25'!CI18,"",'1. Live'!CI18-'check-Jul25'!CI18)</f>
        <v/>
      </c>
      <c r="CJ18" t="str">
        <f>IF('1. Live'!CJ18='check-Jul25'!CJ18,"",'1. Live'!CJ18-'check-Jul25'!CJ18)</f>
        <v/>
      </c>
      <c r="CK18" t="str">
        <f>IF('1. Live'!CK18='check-Jul25'!CK18,"",'1. Live'!CK18-'check-Jul25'!CK18)</f>
        <v/>
      </c>
      <c r="CL18" t="str">
        <f>IF('1. Live'!CL18='check-Jul25'!CL18,"",'1. Live'!CL18-'check-Jul25'!CL18)</f>
        <v/>
      </c>
      <c r="CM18" t="str">
        <f>IF('1. Live'!CM18='check-Jul25'!CM18,"",'1. Live'!CM18-'check-Jul25'!CM18)</f>
        <v/>
      </c>
      <c r="CN18" t="str">
        <f>IF('1. Live'!CN18='check-Jul25'!CN18,"",'1. Live'!CN18-'check-Jul25'!CN18)</f>
        <v/>
      </c>
      <c r="CO18" t="str">
        <f>IF('1. Live'!CO18='check-Jul25'!CO18,"",'1. Live'!CO18-'check-Jul25'!CO18)</f>
        <v/>
      </c>
      <c r="CP18" t="str">
        <f>IF('1. Live'!CP18='check-Jul25'!CP18,"",'1. Live'!CP18-'check-Jul25'!CP18)</f>
        <v/>
      </c>
      <c r="CQ18" t="str">
        <f>IF('1. Live'!CQ18='check-Jul25'!CQ18,"",'1. Live'!CQ18-'check-Jul25'!CQ18)</f>
        <v/>
      </c>
      <c r="CR18" t="str">
        <f>IF('1. Live'!CR18='check-Jul25'!CR18,"",'1. Live'!CR18-'check-Jul25'!CR18)</f>
        <v/>
      </c>
      <c r="CS18" t="str">
        <f>IF('1. Live'!CS18='check-Jul25'!CS18,"",'1. Live'!CS18-'check-Jul25'!CS18)</f>
        <v/>
      </c>
      <c r="CT18" t="str">
        <f>IF('1. Live'!CT18='check-Jul25'!CT18,"",'1. Live'!CT18-'check-Jul25'!CT18)</f>
        <v/>
      </c>
      <c r="CU18" t="str">
        <f>IF('1. Live'!CU18='check-Jul25'!CU18,"",'1. Live'!CU18-'check-Jul25'!CU18)</f>
        <v/>
      </c>
      <c r="CV18" t="str">
        <f>IF('1. Live'!CV18='check-Jul25'!CV18,"",'1. Live'!CV18-'check-Jul25'!CV18)</f>
        <v/>
      </c>
      <c r="CW18" t="str">
        <f>IF('1. Live'!CW18='check-Jul25'!CW18,"",'1. Live'!CW18-'check-Jul25'!CW18)</f>
        <v/>
      </c>
    </row>
    <row r="19" spans="2:101">
      <c r="B19" s="66"/>
      <c r="C19" s="5"/>
      <c r="D19" s="13"/>
      <c r="E19" s="7"/>
      <c r="F19" s="7"/>
      <c r="G19" s="7"/>
      <c r="H19" s="7"/>
      <c r="I19" s="14"/>
      <c r="J19" s="170" t="str">
        <f>IF('1. Live'!J19='check-Jul25'!J19,"",'1. Live'!J19-'check-Jul25'!J19)</f>
        <v/>
      </c>
      <c r="K19" s="24" t="str">
        <f>IF('1. Live'!K19='check-Jul25'!K19,"",'1. Live'!K19-'check-Jul25'!K19)</f>
        <v/>
      </c>
      <c r="L19" s="24" t="str">
        <f>IF('1. Live'!L19='check-Jul25'!L19,"",'1. Live'!L19-'check-Jul25'!L19)</f>
        <v/>
      </c>
      <c r="M19" s="24" t="str">
        <f>IF('1. Live'!M19='check-Jul25'!M19,"",'1. Live'!M19-'check-Jul25'!M19)</f>
        <v/>
      </c>
      <c r="N19" s="24" t="str">
        <f>IF('1. Live'!N19='check-Jul25'!N19,"",'1. Live'!N19-'check-Jul25'!N19)</f>
        <v/>
      </c>
      <c r="O19" s="24" t="str">
        <f>IF('1. Live'!O19='check-Jul25'!O19,"",'1. Live'!O19-'check-Jul25'!O19)</f>
        <v/>
      </c>
      <c r="P19" s="24" t="str">
        <f>IF('1. Live'!P19='check-Jul25'!P19,"",'1. Live'!P19-'check-Jul25'!P19)</f>
        <v/>
      </c>
      <c r="Q19" s="24" t="str">
        <f>IF('1. Live'!Q19='check-Jul25'!Q19,"",'1. Live'!Q19-'check-Jul25'!Q19)</f>
        <v/>
      </c>
      <c r="R19" s="15" t="str">
        <f>IF('1. Live'!R19='check-Jul25'!R19,"",'1. Live'!R19-'check-Jul25'!R19)</f>
        <v/>
      </c>
      <c r="S19" s="180" t="str">
        <f>IF('1. Live'!S19='check-Jul25'!S19,"",'1. Live'!S19-'check-Jul25'!S19)</f>
        <v/>
      </c>
      <c r="T19" s="67" t="str">
        <f>IF('1. Live'!T19='check-Jul25'!T19,"",'1. Live'!T19-'check-Jul25'!T19)</f>
        <v/>
      </c>
      <c r="U19" t="str">
        <f>IF('1. Live'!U19='check-Jul25'!U19,"",'1. Live'!U19-'check-Jul25'!U19)</f>
        <v/>
      </c>
      <c r="V19" t="str">
        <f>IF('1. Live'!V19='check-Jul25'!V19,"",'1. Live'!V19-'check-Jul25'!V19)</f>
        <v/>
      </c>
      <c r="W19" t="str">
        <f>IF('1. Live'!W19='check-Jul25'!W19,"",'1. Live'!W19-'check-Jul25'!W19)</f>
        <v/>
      </c>
      <c r="X19" t="str">
        <f>IF('1. Live'!X19='check-Jul25'!X19,"",'1. Live'!X19-'check-Jul25'!X19)</f>
        <v/>
      </c>
      <c r="Y19" t="str">
        <f>IF('1. Live'!Y19='check-Jul25'!Y19,"",'1. Live'!Y19-'check-Jul25'!Y19)</f>
        <v/>
      </c>
      <c r="Z19" t="str">
        <f>IF('1. Live'!Z19='check-Jul25'!Z19,"",'1. Live'!Z19-'check-Jul25'!Z19)</f>
        <v/>
      </c>
      <c r="AA19" t="str">
        <f>IF('1. Live'!AA19='check-Jul25'!AA19,"",'1. Live'!AA19-'check-Jul25'!AA19)</f>
        <v/>
      </c>
      <c r="AB19" t="str">
        <f>IF('1. Live'!AB19='check-Jul25'!AB19,"",'1. Live'!AB19-'check-Jul25'!AB19)</f>
        <v/>
      </c>
      <c r="AC19" t="str">
        <f>IF('1. Live'!AC19='check-Jul25'!AC19,"",'1. Live'!AC19-'check-Jul25'!AC19)</f>
        <v/>
      </c>
      <c r="AD19" t="str">
        <f>IF('1. Live'!AD19='check-Jul25'!AD19,"",'1. Live'!AD19-'check-Jul25'!AD19)</f>
        <v/>
      </c>
      <c r="AE19" t="str">
        <f>IF('1. Live'!AE19='check-Jul25'!AE19,"",'1. Live'!AE19-'check-Jul25'!AE19)</f>
        <v/>
      </c>
      <c r="AF19" t="str">
        <f>IF('1. Live'!AF19='check-Jul25'!AF19,"",'1. Live'!AF19-'check-Jul25'!AF19)</f>
        <v/>
      </c>
      <c r="AG19" t="str">
        <f>IF('1. Live'!AG19='check-Jul25'!AG19,"",'1. Live'!AG19-'check-Jul25'!AG19)</f>
        <v/>
      </c>
      <c r="AH19" t="str">
        <f>IF('1. Live'!AH19='check-Jul25'!AH19,"",'1. Live'!AH19-'check-Jul25'!AH19)</f>
        <v/>
      </c>
      <c r="AI19" t="str">
        <f>IF('1. Live'!AI19='check-Jul25'!AI19,"",'1. Live'!AI19-'check-Jul25'!AI19)</f>
        <v/>
      </c>
      <c r="AJ19" t="str">
        <f>IF('1. Live'!AJ19='check-Jul25'!AJ19,"",'1. Live'!AJ19-'check-Jul25'!AJ19)</f>
        <v/>
      </c>
      <c r="AK19" t="str">
        <f>IF('1. Live'!AK19='check-Jul25'!AK19,"",'1. Live'!AK19-'check-Jul25'!AK19)</f>
        <v/>
      </c>
      <c r="AL19" t="str">
        <f>IF('1. Live'!AL19='check-Jul25'!AL19,"",'1. Live'!AL19-'check-Jul25'!AL19)</f>
        <v/>
      </c>
      <c r="AM19" t="str">
        <f>IF('1. Live'!AM19='check-Jul25'!AM19,"",'1. Live'!AM19-'check-Jul25'!AM19)</f>
        <v/>
      </c>
      <c r="AN19" t="str">
        <f>IF('1. Live'!AN19='check-Jul25'!AN19,"",'1. Live'!AN19-'check-Jul25'!AN19)</f>
        <v/>
      </c>
      <c r="AO19" t="str">
        <f>IF('1. Live'!AO19='check-Jul25'!AO19,"",'1. Live'!AO19-'check-Jul25'!AO19)</f>
        <v/>
      </c>
      <c r="AP19" t="str">
        <f>IF('1. Live'!AP19='check-Jul25'!AP19,"",'1. Live'!AP19-'check-Jul25'!AP19)</f>
        <v/>
      </c>
      <c r="AQ19" t="str">
        <f>IF('1. Live'!AQ19='check-Jul25'!AQ19,"",'1. Live'!AQ19-'check-Jul25'!AQ19)</f>
        <v/>
      </c>
      <c r="AR19" t="str">
        <f>IF('1. Live'!AR19='check-Jul25'!AR19,"",'1. Live'!AR19-'check-Jul25'!AR19)</f>
        <v/>
      </c>
      <c r="AS19" t="str">
        <f>IF('1. Live'!AS19='check-Jul25'!AS19,"",'1. Live'!AS19-'check-Jul25'!AS19)</f>
        <v/>
      </c>
      <c r="AT19" t="str">
        <f>IF('1. Live'!AT19='check-Jul25'!AT19,"",'1. Live'!AT19-'check-Jul25'!AT19)</f>
        <v/>
      </c>
      <c r="AU19" t="str">
        <f>IF('1. Live'!AU19='check-Jul25'!AU19,"",'1. Live'!AU19-'check-Jul25'!AU19)</f>
        <v/>
      </c>
      <c r="AV19" t="str">
        <f>IF('1. Live'!AV19='check-Jul25'!AV19,"",'1. Live'!AV19-'check-Jul25'!AV19)</f>
        <v/>
      </c>
      <c r="AW19" t="str">
        <f>IF('1. Live'!AW19='check-Jul25'!AW19,"",'1. Live'!AW19-'check-Jul25'!AW19)</f>
        <v/>
      </c>
      <c r="AX19" t="str">
        <f>IF('1. Live'!AX19='check-Jul25'!AX19,"",'1. Live'!AX19-'check-Jul25'!AX19)</f>
        <v/>
      </c>
      <c r="AY19" t="str">
        <f>IF('1. Live'!AY19='check-Jul25'!AY19,"",'1. Live'!AY19-'check-Jul25'!AY19)</f>
        <v/>
      </c>
      <c r="AZ19" t="str">
        <f>IF('1. Live'!AZ19='check-Jul25'!AZ19,"",'1. Live'!AZ19-'check-Jul25'!AZ19)</f>
        <v/>
      </c>
      <c r="BA19" t="str">
        <f>IF('1. Live'!BA19='check-Jul25'!BA19,"",'1. Live'!BA19-'check-Jul25'!BA19)</f>
        <v/>
      </c>
      <c r="BB19" t="str">
        <f>IF('1. Live'!BB19='check-Jul25'!BB19,"",'1. Live'!BB19-'check-Jul25'!BB19)</f>
        <v/>
      </c>
      <c r="BC19" t="str">
        <f>IF('1. Live'!BC19='check-Jul25'!BC19,"",'1. Live'!BC19-'check-Jul25'!BC19)</f>
        <v/>
      </c>
      <c r="BD19" t="str">
        <f>IF('1. Live'!BD19='check-Jul25'!BD19,"",'1. Live'!BD19-'check-Jul25'!BD19)</f>
        <v/>
      </c>
      <c r="BE19" t="str">
        <f>IF('1. Live'!BE19='check-Jul25'!BE19,"",'1. Live'!BE19-'check-Jul25'!BE19)</f>
        <v/>
      </c>
      <c r="BF19" t="str">
        <f>IF('1. Live'!BF19='check-Jul25'!BF19,"",'1. Live'!BF19-'check-Jul25'!BF19)</f>
        <v/>
      </c>
      <c r="BG19" t="str">
        <f>IF('1. Live'!BG19='check-Jul25'!BG19,"",'1. Live'!BG19-'check-Jul25'!BG19)</f>
        <v/>
      </c>
      <c r="BH19" t="str">
        <f>IF('1. Live'!BH19='check-Jul25'!BH19,"",'1. Live'!BH19-'check-Jul25'!BH19)</f>
        <v/>
      </c>
      <c r="BI19" t="str">
        <f>IF('1. Live'!BI19='check-Jul25'!BI19,"",'1. Live'!BI19-'check-Jul25'!BI19)</f>
        <v/>
      </c>
      <c r="BJ19" t="str">
        <f>IF('1. Live'!BJ19='check-Jul25'!BJ19,"",'1. Live'!BJ19-'check-Jul25'!BJ19)</f>
        <v/>
      </c>
      <c r="BK19" t="str">
        <f>IF('1. Live'!BK19='check-Jul25'!BK19,"",'1. Live'!BK19-'check-Jul25'!BK19)</f>
        <v/>
      </c>
      <c r="BL19" t="str">
        <f>IF('1. Live'!BL19='check-Jul25'!BL19,"",'1. Live'!BL19-'check-Jul25'!BL19)</f>
        <v/>
      </c>
      <c r="BM19" t="str">
        <f>IF('1. Live'!BM19='check-Jul25'!BM19,"",'1. Live'!BM19-'check-Jul25'!BM19)</f>
        <v/>
      </c>
      <c r="BN19" t="str">
        <f>IF('1. Live'!BN19='check-Jul25'!BN19,"",'1. Live'!BN19-'check-Jul25'!BN19)</f>
        <v/>
      </c>
      <c r="BO19" t="str">
        <f>IF('1. Live'!BO19='check-Jul25'!BO19,"",'1. Live'!BO19-'check-Jul25'!BO19)</f>
        <v/>
      </c>
      <c r="BP19" t="str">
        <f>IF('1. Live'!BP19='check-Jul25'!BP19,"",'1. Live'!BP19-'check-Jul25'!BP19)</f>
        <v/>
      </c>
      <c r="BQ19" t="str">
        <f>IF('1. Live'!BQ19='check-Jul25'!BQ19,"",'1. Live'!BQ19-'check-Jul25'!BQ19)</f>
        <v/>
      </c>
      <c r="BR19" t="str">
        <f>IF('1. Live'!BR19='check-Jul25'!BR19,"",'1. Live'!BR19-'check-Jul25'!BR19)</f>
        <v/>
      </c>
      <c r="BS19" t="str">
        <f>IF('1. Live'!BS19='check-Jul25'!BS19,"",'1. Live'!BS19-'check-Jul25'!BS19)</f>
        <v/>
      </c>
      <c r="BT19" t="str">
        <f>IF('1. Live'!BT19='check-Jul25'!BT19,"",'1. Live'!BT19-'check-Jul25'!BT19)</f>
        <v/>
      </c>
      <c r="BU19" t="str">
        <f>IF('1. Live'!BU19='check-Jul25'!BU19,"",'1. Live'!BU19-'check-Jul25'!BU19)</f>
        <v/>
      </c>
      <c r="BV19" t="str">
        <f>IF('1. Live'!BV19='check-Jul25'!BV19,"",'1. Live'!BV19-'check-Jul25'!BV19)</f>
        <v/>
      </c>
      <c r="BW19" t="str">
        <f>IF('1. Live'!BW19='check-Jul25'!BW19,"",'1. Live'!BW19-'check-Jul25'!BW19)</f>
        <v/>
      </c>
      <c r="BX19" t="str">
        <f>IF('1. Live'!BX19='check-Jul25'!BX19,"",'1. Live'!BX19-'check-Jul25'!BX19)</f>
        <v/>
      </c>
      <c r="BY19" t="str">
        <f>IF('1. Live'!BY19='check-Jul25'!BY19,"",'1. Live'!BY19-'check-Jul25'!BY19)</f>
        <v/>
      </c>
      <c r="BZ19" t="str">
        <f>IF('1. Live'!BZ19='check-Jul25'!BZ19,"",'1. Live'!BZ19-'check-Jul25'!BZ19)</f>
        <v/>
      </c>
      <c r="CA19" t="str">
        <f>IF('1. Live'!CA19='check-Jul25'!CA19,"",'1. Live'!CA19-'check-Jul25'!CA19)</f>
        <v/>
      </c>
      <c r="CB19" t="str">
        <f>IF('1. Live'!CB19='check-Jul25'!CB19,"",'1. Live'!CB19-'check-Jul25'!CB19)</f>
        <v/>
      </c>
      <c r="CC19" t="str">
        <f>IF('1. Live'!CC19='check-Jul25'!CC19,"",'1. Live'!CC19-'check-Jul25'!CC19)</f>
        <v/>
      </c>
      <c r="CD19" t="str">
        <f>IF('1. Live'!CD19='check-Jul25'!CD19,"",'1. Live'!CD19-'check-Jul25'!CD19)</f>
        <v/>
      </c>
      <c r="CE19" t="str">
        <f>IF('1. Live'!CE19='check-Jul25'!CE19,"",'1. Live'!CE19-'check-Jul25'!CE19)</f>
        <v/>
      </c>
      <c r="CF19" t="str">
        <f>IF('1. Live'!CF19='check-Jul25'!CF19,"",'1. Live'!CF19-'check-Jul25'!CF19)</f>
        <v/>
      </c>
      <c r="CG19" t="str">
        <f>IF('1. Live'!CG19='check-Jul25'!CG19,"",'1. Live'!CG19-'check-Jul25'!CG19)</f>
        <v/>
      </c>
      <c r="CH19" t="str">
        <f>IF('1. Live'!CH19='check-Jul25'!CH19,"",'1. Live'!CH19-'check-Jul25'!CH19)</f>
        <v/>
      </c>
      <c r="CI19" t="str">
        <f>IF('1. Live'!CI19='check-Jul25'!CI19,"",'1. Live'!CI19-'check-Jul25'!CI19)</f>
        <v/>
      </c>
      <c r="CJ19" t="str">
        <f>IF('1. Live'!CJ19='check-Jul25'!CJ19,"",'1. Live'!CJ19-'check-Jul25'!CJ19)</f>
        <v/>
      </c>
      <c r="CK19" t="str">
        <f>IF('1. Live'!CK19='check-Jul25'!CK19,"",'1. Live'!CK19-'check-Jul25'!CK19)</f>
        <v/>
      </c>
      <c r="CL19" t="str">
        <f>IF('1. Live'!CL19='check-Jul25'!CL19,"",'1. Live'!CL19-'check-Jul25'!CL19)</f>
        <v/>
      </c>
      <c r="CM19" t="str">
        <f>IF('1. Live'!CM19='check-Jul25'!CM19,"",'1. Live'!CM19-'check-Jul25'!CM19)</f>
        <v/>
      </c>
      <c r="CN19" t="str">
        <f>IF('1. Live'!CN19='check-Jul25'!CN19,"",'1. Live'!CN19-'check-Jul25'!CN19)</f>
        <v/>
      </c>
      <c r="CO19" t="str">
        <f>IF('1. Live'!CO19='check-Jul25'!CO19,"",'1. Live'!CO19-'check-Jul25'!CO19)</f>
        <v/>
      </c>
      <c r="CP19" t="str">
        <f>IF('1. Live'!CP19='check-Jul25'!CP19,"",'1. Live'!CP19-'check-Jul25'!CP19)</f>
        <v/>
      </c>
      <c r="CQ19" t="str">
        <f>IF('1. Live'!CQ19='check-Jul25'!CQ19,"",'1. Live'!CQ19-'check-Jul25'!CQ19)</f>
        <v/>
      </c>
      <c r="CR19" t="str">
        <f>IF('1. Live'!CR19='check-Jul25'!CR19,"",'1. Live'!CR19-'check-Jul25'!CR19)</f>
        <v/>
      </c>
      <c r="CS19" t="str">
        <f>IF('1. Live'!CS19='check-Jul25'!CS19,"",'1. Live'!CS19-'check-Jul25'!CS19)</f>
        <v/>
      </c>
      <c r="CT19" t="str">
        <f>IF('1. Live'!CT19='check-Jul25'!CT19,"",'1. Live'!CT19-'check-Jul25'!CT19)</f>
        <v/>
      </c>
      <c r="CU19" t="str">
        <f>IF('1. Live'!CU19='check-Jul25'!CU19,"",'1. Live'!CU19-'check-Jul25'!CU19)</f>
        <v/>
      </c>
      <c r="CV19" t="str">
        <f>IF('1. Live'!CV19='check-Jul25'!CV19,"",'1. Live'!CV19-'check-Jul25'!CV19)</f>
        <v/>
      </c>
      <c r="CW19" t="str">
        <f>IF('1. Live'!CW19='check-Jul25'!CW19,"",'1. Live'!CW19-'check-Jul25'!CW19)</f>
        <v/>
      </c>
    </row>
    <row r="20" spans="2:101">
      <c r="B20" s="66"/>
      <c r="C20" s="9"/>
      <c r="D20" s="9"/>
      <c r="E20" s="9"/>
      <c r="F20" s="9"/>
      <c r="G20" s="9"/>
      <c r="H20" s="9"/>
      <c r="I20" s="9"/>
      <c r="J20" s="93" t="str">
        <f>IF('1. Live'!J20='check-Jul25'!J20,"",'1. Live'!J20-'check-Jul25'!J20)</f>
        <v/>
      </c>
      <c r="K20" s="18" t="str">
        <f ca="1">IF('1. Live'!K20='check-Jul25'!K20,"",'1. Live'!K20-'check-Jul25'!K20)</f>
        <v/>
      </c>
      <c r="L20" s="18" t="str">
        <f ca="1">IF('1. Live'!L20='check-Jul25'!L20,"",'1. Live'!L20-'check-Jul25'!L20)</f>
        <v/>
      </c>
      <c r="M20" s="18" t="str">
        <f ca="1">IF('1. Live'!M20='check-Jul25'!M20,"",'1. Live'!M20-'check-Jul25'!M20)</f>
        <v/>
      </c>
      <c r="N20" s="18" t="str">
        <f ca="1">IF('1. Live'!N20='check-Jul25'!N20,"",'1. Live'!N20-'check-Jul25'!N20)</f>
        <v/>
      </c>
      <c r="O20" s="18">
        <f>IF('1. Live'!O20='check-Jul25'!O20,"",'1. Live'!O20-'check-Jul25'!O20)</f>
        <v>-20.037019147076023</v>
      </c>
      <c r="P20" s="18">
        <f ca="1">IF('1. Live'!P20='check-Jul25'!P20,"",'1. Live'!P20-'check-Jul25'!P20)</f>
        <v>-20.037019147076023</v>
      </c>
      <c r="Q20" s="18" t="str">
        <f>IF('1. Live'!Q20='check-Jul25'!Q20,"",'1. Live'!Q20-'check-Jul25'!Q20)</f>
        <v/>
      </c>
      <c r="R20" s="11">
        <f ca="1">IF('1. Live'!R20='check-Jul25'!R20,"",'1. Live'!R20-'check-Jul25'!R20)</f>
        <v>-5.0033727970126063E-2</v>
      </c>
      <c r="S20" s="9" t="str">
        <f>IF('1. Live'!S20='check-Jul25'!S20,"",'1. Live'!S20-'check-Jul25'!S20)</f>
        <v/>
      </c>
      <c r="T20" s="67" t="str">
        <f>IF('1. Live'!T20='check-Jul25'!T20,"",'1. Live'!T20-'check-Jul25'!T20)</f>
        <v/>
      </c>
      <c r="U20" t="str">
        <f>IF('1. Live'!U20='check-Jul25'!U20,"",'1. Live'!U20-'check-Jul25'!U20)</f>
        <v/>
      </c>
      <c r="V20" t="str">
        <f>IF('1. Live'!V20='check-Jul25'!V20,"",'1. Live'!V20-'check-Jul25'!V20)</f>
        <v/>
      </c>
      <c r="W20" t="str">
        <f>IF('1. Live'!W20='check-Jul25'!W20,"",'1. Live'!W20-'check-Jul25'!W20)</f>
        <v/>
      </c>
      <c r="X20" t="str">
        <f>IF('1. Live'!X20='check-Jul25'!X20,"",'1. Live'!X20-'check-Jul25'!X20)</f>
        <v/>
      </c>
      <c r="Y20" t="str">
        <f>IF('1. Live'!Y20='check-Jul25'!Y20,"",'1. Live'!Y20-'check-Jul25'!Y20)</f>
        <v/>
      </c>
      <c r="Z20" t="str">
        <f>IF('1. Live'!Z20='check-Jul25'!Z20,"",'1. Live'!Z20-'check-Jul25'!Z20)</f>
        <v/>
      </c>
      <c r="AA20" t="str">
        <f>IF('1. Live'!AA20='check-Jul25'!AA20,"",'1. Live'!AA20-'check-Jul25'!AA20)</f>
        <v/>
      </c>
      <c r="AB20" t="str">
        <f>IF('1. Live'!AB20='check-Jul25'!AB20,"",'1. Live'!AB20-'check-Jul25'!AB20)</f>
        <v/>
      </c>
      <c r="AC20" t="str">
        <f>IF('1. Live'!AC20='check-Jul25'!AC20,"",'1. Live'!AC20-'check-Jul25'!AC20)</f>
        <v/>
      </c>
      <c r="AD20" t="str">
        <f>IF('1. Live'!AD20='check-Jul25'!AD20,"",'1. Live'!AD20-'check-Jul25'!AD20)</f>
        <v/>
      </c>
      <c r="AE20" t="str">
        <f>IF('1. Live'!AE20='check-Jul25'!AE20,"",'1. Live'!AE20-'check-Jul25'!AE20)</f>
        <v/>
      </c>
      <c r="AF20" t="str">
        <f>IF('1. Live'!AF20='check-Jul25'!AF20,"",'1. Live'!AF20-'check-Jul25'!AF20)</f>
        <v/>
      </c>
      <c r="AG20" t="str">
        <f>IF('1. Live'!AG20='check-Jul25'!AG20,"",'1. Live'!AG20-'check-Jul25'!AG20)</f>
        <v/>
      </c>
      <c r="AH20" t="str">
        <f>IF('1. Live'!AH20='check-Jul25'!AH20,"",'1. Live'!AH20-'check-Jul25'!AH20)</f>
        <v/>
      </c>
      <c r="AI20" t="str">
        <f>IF('1. Live'!AI20='check-Jul25'!AI20,"",'1. Live'!AI20-'check-Jul25'!AI20)</f>
        <v/>
      </c>
      <c r="AJ20" t="str">
        <f>IF('1. Live'!AJ20='check-Jul25'!AJ20,"",'1. Live'!AJ20-'check-Jul25'!AJ20)</f>
        <v/>
      </c>
      <c r="AK20" t="str">
        <f>IF('1. Live'!AK20='check-Jul25'!AK20,"",'1. Live'!AK20-'check-Jul25'!AK20)</f>
        <v/>
      </c>
      <c r="AL20" t="str">
        <f>IF('1. Live'!AL20='check-Jul25'!AL20,"",'1. Live'!AL20-'check-Jul25'!AL20)</f>
        <v/>
      </c>
      <c r="AM20" t="str">
        <f>IF('1. Live'!AM20='check-Jul25'!AM20,"",'1. Live'!AM20-'check-Jul25'!AM20)</f>
        <v/>
      </c>
      <c r="AN20" t="str">
        <f>IF('1. Live'!AN20='check-Jul25'!AN20,"",'1. Live'!AN20-'check-Jul25'!AN20)</f>
        <v/>
      </c>
      <c r="AO20" t="str">
        <f>IF('1. Live'!AO20='check-Jul25'!AO20,"",'1. Live'!AO20-'check-Jul25'!AO20)</f>
        <v/>
      </c>
      <c r="AP20" t="str">
        <f>IF('1. Live'!AP20='check-Jul25'!AP20,"",'1. Live'!AP20-'check-Jul25'!AP20)</f>
        <v/>
      </c>
      <c r="AQ20" t="str">
        <f>IF('1. Live'!AQ20='check-Jul25'!AQ20,"",'1. Live'!AQ20-'check-Jul25'!AQ20)</f>
        <v/>
      </c>
      <c r="AR20" t="str">
        <f>IF('1. Live'!AR20='check-Jul25'!AR20,"",'1. Live'!AR20-'check-Jul25'!AR20)</f>
        <v/>
      </c>
      <c r="AS20" t="str">
        <f>IF('1. Live'!AS20='check-Jul25'!AS20,"",'1. Live'!AS20-'check-Jul25'!AS20)</f>
        <v/>
      </c>
      <c r="AT20" t="str">
        <f>IF('1. Live'!AT20='check-Jul25'!AT20,"",'1. Live'!AT20-'check-Jul25'!AT20)</f>
        <v/>
      </c>
      <c r="AU20" t="str">
        <f>IF('1. Live'!AU20='check-Jul25'!AU20,"",'1. Live'!AU20-'check-Jul25'!AU20)</f>
        <v/>
      </c>
      <c r="AV20" t="str">
        <f>IF('1. Live'!AV20='check-Jul25'!AV20,"",'1. Live'!AV20-'check-Jul25'!AV20)</f>
        <v/>
      </c>
      <c r="AW20" t="str">
        <f>IF('1. Live'!AW20='check-Jul25'!AW20,"",'1. Live'!AW20-'check-Jul25'!AW20)</f>
        <v/>
      </c>
      <c r="AX20" t="str">
        <f>IF('1. Live'!AX20='check-Jul25'!AX20,"",'1. Live'!AX20-'check-Jul25'!AX20)</f>
        <v/>
      </c>
      <c r="AY20" t="str">
        <f>IF('1. Live'!AY20='check-Jul25'!AY20,"",'1. Live'!AY20-'check-Jul25'!AY20)</f>
        <v/>
      </c>
      <c r="AZ20" t="str">
        <f>IF('1. Live'!AZ20='check-Jul25'!AZ20,"",'1. Live'!AZ20-'check-Jul25'!AZ20)</f>
        <v/>
      </c>
      <c r="BA20" t="str">
        <f>IF('1. Live'!BA20='check-Jul25'!BA20,"",'1. Live'!BA20-'check-Jul25'!BA20)</f>
        <v/>
      </c>
      <c r="BB20" t="str">
        <f>IF('1. Live'!BB20='check-Jul25'!BB20,"",'1. Live'!BB20-'check-Jul25'!BB20)</f>
        <v/>
      </c>
      <c r="BC20" t="str">
        <f>IF('1. Live'!BC20='check-Jul25'!BC20,"",'1. Live'!BC20-'check-Jul25'!BC20)</f>
        <v/>
      </c>
      <c r="BD20" t="str">
        <f>IF('1. Live'!BD20='check-Jul25'!BD20,"",'1. Live'!BD20-'check-Jul25'!BD20)</f>
        <v/>
      </c>
      <c r="BE20" t="str">
        <f>IF('1. Live'!BE20='check-Jul25'!BE20,"",'1. Live'!BE20-'check-Jul25'!BE20)</f>
        <v/>
      </c>
      <c r="BF20" t="str">
        <f>IF('1. Live'!BF20='check-Jul25'!BF20,"",'1. Live'!BF20-'check-Jul25'!BF20)</f>
        <v/>
      </c>
      <c r="BG20" t="str">
        <f>IF('1. Live'!BG20='check-Jul25'!BG20,"",'1. Live'!BG20-'check-Jul25'!BG20)</f>
        <v/>
      </c>
      <c r="BH20" t="str">
        <f>IF('1. Live'!BH20='check-Jul25'!BH20,"",'1. Live'!BH20-'check-Jul25'!BH20)</f>
        <v/>
      </c>
      <c r="BI20" t="str">
        <f>IF('1. Live'!BI20='check-Jul25'!BI20,"",'1. Live'!BI20-'check-Jul25'!BI20)</f>
        <v/>
      </c>
      <c r="BJ20" t="str">
        <f>IF('1. Live'!BJ20='check-Jul25'!BJ20,"",'1. Live'!BJ20-'check-Jul25'!BJ20)</f>
        <v/>
      </c>
      <c r="BK20" t="str">
        <f>IF('1. Live'!BK20='check-Jul25'!BK20,"",'1. Live'!BK20-'check-Jul25'!BK20)</f>
        <v/>
      </c>
      <c r="BL20" t="str">
        <f>IF('1. Live'!BL20='check-Jul25'!BL20,"",'1. Live'!BL20-'check-Jul25'!BL20)</f>
        <v/>
      </c>
      <c r="BM20" t="str">
        <f>IF('1. Live'!BM20='check-Jul25'!BM20,"",'1. Live'!BM20-'check-Jul25'!BM20)</f>
        <v/>
      </c>
      <c r="BN20" t="str">
        <f>IF('1. Live'!BN20='check-Jul25'!BN20,"",'1. Live'!BN20-'check-Jul25'!BN20)</f>
        <v/>
      </c>
      <c r="BO20" t="str">
        <f>IF('1. Live'!BO20='check-Jul25'!BO20,"",'1. Live'!BO20-'check-Jul25'!BO20)</f>
        <v/>
      </c>
      <c r="BP20" t="str">
        <f>IF('1. Live'!BP20='check-Jul25'!BP20,"",'1. Live'!BP20-'check-Jul25'!BP20)</f>
        <v/>
      </c>
      <c r="BQ20" t="str">
        <f>IF('1. Live'!BQ20='check-Jul25'!BQ20,"",'1. Live'!BQ20-'check-Jul25'!BQ20)</f>
        <v/>
      </c>
      <c r="BR20" t="str">
        <f>IF('1. Live'!BR20='check-Jul25'!BR20,"",'1. Live'!BR20-'check-Jul25'!BR20)</f>
        <v/>
      </c>
      <c r="BS20" t="str">
        <f>IF('1. Live'!BS20='check-Jul25'!BS20,"",'1. Live'!BS20-'check-Jul25'!BS20)</f>
        <v/>
      </c>
      <c r="BT20" t="str">
        <f>IF('1. Live'!BT20='check-Jul25'!BT20,"",'1. Live'!BT20-'check-Jul25'!BT20)</f>
        <v/>
      </c>
      <c r="BU20" t="str">
        <f>IF('1. Live'!BU20='check-Jul25'!BU20,"",'1. Live'!BU20-'check-Jul25'!BU20)</f>
        <v/>
      </c>
      <c r="BV20" t="str">
        <f>IF('1. Live'!BV20='check-Jul25'!BV20,"",'1. Live'!BV20-'check-Jul25'!BV20)</f>
        <v/>
      </c>
      <c r="BW20" t="str">
        <f>IF('1. Live'!BW20='check-Jul25'!BW20,"",'1. Live'!BW20-'check-Jul25'!BW20)</f>
        <v/>
      </c>
      <c r="BX20" t="str">
        <f>IF('1. Live'!BX20='check-Jul25'!BX20,"",'1. Live'!BX20-'check-Jul25'!BX20)</f>
        <v/>
      </c>
      <c r="BY20" t="str">
        <f>IF('1. Live'!BY20='check-Jul25'!BY20,"",'1. Live'!BY20-'check-Jul25'!BY20)</f>
        <v/>
      </c>
      <c r="BZ20" t="str">
        <f>IF('1. Live'!BZ20='check-Jul25'!BZ20,"",'1. Live'!BZ20-'check-Jul25'!BZ20)</f>
        <v/>
      </c>
      <c r="CA20" t="str">
        <f>IF('1. Live'!CA20='check-Jul25'!CA20,"",'1. Live'!CA20-'check-Jul25'!CA20)</f>
        <v/>
      </c>
      <c r="CB20" t="str">
        <f>IF('1. Live'!CB20='check-Jul25'!CB20,"",'1. Live'!CB20-'check-Jul25'!CB20)</f>
        <v/>
      </c>
      <c r="CC20" t="str">
        <f>IF('1. Live'!CC20='check-Jul25'!CC20,"",'1. Live'!CC20-'check-Jul25'!CC20)</f>
        <v/>
      </c>
      <c r="CD20" t="str">
        <f>IF('1. Live'!CD20='check-Jul25'!CD20,"",'1. Live'!CD20-'check-Jul25'!CD20)</f>
        <v/>
      </c>
      <c r="CE20" t="str">
        <f>IF('1. Live'!CE20='check-Jul25'!CE20,"",'1. Live'!CE20-'check-Jul25'!CE20)</f>
        <v/>
      </c>
      <c r="CF20" t="str">
        <f>IF('1. Live'!CF20='check-Jul25'!CF20,"",'1. Live'!CF20-'check-Jul25'!CF20)</f>
        <v/>
      </c>
      <c r="CG20" t="str">
        <f>IF('1. Live'!CG20='check-Jul25'!CG20,"",'1. Live'!CG20-'check-Jul25'!CG20)</f>
        <v/>
      </c>
      <c r="CH20" t="str">
        <f>IF('1. Live'!CH20='check-Jul25'!CH20,"",'1. Live'!CH20-'check-Jul25'!CH20)</f>
        <v/>
      </c>
      <c r="CI20" t="str">
        <f>IF('1. Live'!CI20='check-Jul25'!CI20,"",'1. Live'!CI20-'check-Jul25'!CI20)</f>
        <v/>
      </c>
      <c r="CJ20" t="str">
        <f>IF('1. Live'!CJ20='check-Jul25'!CJ20,"",'1. Live'!CJ20-'check-Jul25'!CJ20)</f>
        <v/>
      </c>
      <c r="CK20" t="str">
        <f>IF('1. Live'!CK20='check-Jul25'!CK20,"",'1. Live'!CK20-'check-Jul25'!CK20)</f>
        <v/>
      </c>
      <c r="CL20" t="str">
        <f>IF('1. Live'!CL20='check-Jul25'!CL20,"",'1. Live'!CL20-'check-Jul25'!CL20)</f>
        <v/>
      </c>
      <c r="CM20" t="str">
        <f>IF('1. Live'!CM20='check-Jul25'!CM20,"",'1. Live'!CM20-'check-Jul25'!CM20)</f>
        <v/>
      </c>
      <c r="CN20" t="str">
        <f>IF('1. Live'!CN20='check-Jul25'!CN20,"",'1. Live'!CN20-'check-Jul25'!CN20)</f>
        <v/>
      </c>
      <c r="CO20" t="str">
        <f>IF('1. Live'!CO20='check-Jul25'!CO20,"",'1. Live'!CO20-'check-Jul25'!CO20)</f>
        <v/>
      </c>
      <c r="CP20" t="str">
        <f>IF('1. Live'!CP20='check-Jul25'!CP20,"",'1. Live'!CP20-'check-Jul25'!CP20)</f>
        <v/>
      </c>
      <c r="CQ20" t="str">
        <f>IF('1. Live'!CQ20='check-Jul25'!CQ20,"",'1. Live'!CQ20-'check-Jul25'!CQ20)</f>
        <v/>
      </c>
      <c r="CR20" t="str">
        <f>IF('1. Live'!CR20='check-Jul25'!CR20,"",'1. Live'!CR20-'check-Jul25'!CR20)</f>
        <v/>
      </c>
      <c r="CS20" t="str">
        <f>IF('1. Live'!CS20='check-Jul25'!CS20,"",'1. Live'!CS20-'check-Jul25'!CS20)</f>
        <v/>
      </c>
      <c r="CT20" t="str">
        <f>IF('1. Live'!CT20='check-Jul25'!CT20,"",'1. Live'!CT20-'check-Jul25'!CT20)</f>
        <v/>
      </c>
      <c r="CU20" t="str">
        <f>IF('1. Live'!CU20='check-Jul25'!CU20,"",'1. Live'!CU20-'check-Jul25'!CU20)</f>
        <v/>
      </c>
      <c r="CV20" t="str">
        <f>IF('1. Live'!CV20='check-Jul25'!CV20,"",'1. Live'!CV20-'check-Jul25'!CV20)</f>
        <v/>
      </c>
      <c r="CW20" t="str">
        <f>IF('1. Live'!CW20='check-Jul25'!CW20,"",'1. Live'!CW20-'check-Jul25'!CW20)</f>
        <v/>
      </c>
    </row>
    <row r="21" spans="2:101">
      <c r="B21" s="66"/>
      <c r="C21" s="145"/>
      <c r="D21" s="145"/>
      <c r="E21" s="145"/>
      <c r="F21" s="145"/>
      <c r="G21" s="145"/>
      <c r="H21" s="145"/>
      <c r="I21" s="145"/>
      <c r="J21" s="92" t="str">
        <f>IF('1. Live'!J21='check-Jul25'!J21,"",'1. Live'!J21-'check-Jul25'!J21)</f>
        <v/>
      </c>
      <c r="K21" s="26" t="str">
        <f>IF('1. Live'!K21='check-Jul25'!K21,"",'1. Live'!K21-'check-Jul25'!K21)</f>
        <v/>
      </c>
      <c r="L21" s="26" t="str">
        <f>IF('1. Live'!L21='check-Jul25'!L21,"",'1. Live'!L21-'check-Jul25'!L21)</f>
        <v/>
      </c>
      <c r="M21" s="146" t="str">
        <f>IF('1. Live'!M21='check-Jul25'!M21,"",'1. Live'!M21-'check-Jul25'!M21)</f>
        <v/>
      </c>
      <c r="N21" s="26" t="str">
        <f>IF('1. Live'!N21='check-Jul25'!N21,"",'1. Live'!N21-'check-Jul25'!N21)</f>
        <v/>
      </c>
      <c r="O21" s="26" t="str">
        <f>IF('1. Live'!O21='check-Jul25'!O21,"",'1. Live'!O21-'check-Jul25'!O21)</f>
        <v/>
      </c>
      <c r="P21" s="26" t="str">
        <f>IF('1. Live'!P21='check-Jul25'!P21,"",'1. Live'!P21-'check-Jul25'!P21)</f>
        <v/>
      </c>
      <c r="Q21" s="26" t="str">
        <f>IF('1. Live'!Q21='check-Jul25'!Q21,"",'1. Live'!Q21-'check-Jul25'!Q21)</f>
        <v/>
      </c>
      <c r="R21" s="147" t="str">
        <f>IF('1. Live'!R21='check-Jul25'!R21,"",'1. Live'!R21-'check-Jul25'!R21)</f>
        <v/>
      </c>
      <c r="S21" s="145" t="str">
        <f>IF('1. Live'!S21='check-Jul25'!S21,"",'1. Live'!S21-'check-Jul25'!S21)</f>
        <v/>
      </c>
      <c r="T21" s="67" t="str">
        <f>IF('1. Live'!T21='check-Jul25'!T21,"",'1. Live'!T21-'check-Jul25'!T21)</f>
        <v/>
      </c>
      <c r="U21" t="str">
        <f>IF('1. Live'!U21='check-Jul25'!U21,"",'1. Live'!U21-'check-Jul25'!U21)</f>
        <v/>
      </c>
      <c r="V21" t="str">
        <f>IF('1. Live'!V21='check-Jul25'!V21,"",'1. Live'!V21-'check-Jul25'!V21)</f>
        <v/>
      </c>
      <c r="W21" t="str">
        <f>IF('1. Live'!W21='check-Jul25'!W21,"",'1. Live'!W21-'check-Jul25'!W21)</f>
        <v/>
      </c>
      <c r="X21" t="str">
        <f>IF('1. Live'!X21='check-Jul25'!X21,"",'1. Live'!X21-'check-Jul25'!X21)</f>
        <v/>
      </c>
      <c r="Y21" t="str">
        <f>IF('1. Live'!Y21='check-Jul25'!Y21,"",'1. Live'!Y21-'check-Jul25'!Y21)</f>
        <v/>
      </c>
      <c r="Z21" t="str">
        <f>IF('1. Live'!Z21='check-Jul25'!Z21,"",'1. Live'!Z21-'check-Jul25'!Z21)</f>
        <v/>
      </c>
      <c r="AA21" t="str">
        <f>IF('1. Live'!AA21='check-Jul25'!AA21,"",'1. Live'!AA21-'check-Jul25'!AA21)</f>
        <v/>
      </c>
      <c r="AB21" t="str">
        <f>IF('1. Live'!AB21='check-Jul25'!AB21,"",'1. Live'!AB21-'check-Jul25'!AB21)</f>
        <v/>
      </c>
      <c r="AC21" t="str">
        <f>IF('1. Live'!AC21='check-Jul25'!AC21,"",'1. Live'!AC21-'check-Jul25'!AC21)</f>
        <v/>
      </c>
      <c r="AD21" t="str">
        <f>IF('1. Live'!AD21='check-Jul25'!AD21,"",'1. Live'!AD21-'check-Jul25'!AD21)</f>
        <v/>
      </c>
      <c r="AE21" t="str">
        <f>IF('1. Live'!AE21='check-Jul25'!AE21,"",'1. Live'!AE21-'check-Jul25'!AE21)</f>
        <v/>
      </c>
      <c r="AF21" t="str">
        <f>IF('1. Live'!AF21='check-Jul25'!AF21,"",'1. Live'!AF21-'check-Jul25'!AF21)</f>
        <v/>
      </c>
      <c r="AG21" t="str">
        <f>IF('1. Live'!AG21='check-Jul25'!AG21,"",'1. Live'!AG21-'check-Jul25'!AG21)</f>
        <v/>
      </c>
      <c r="AH21" t="str">
        <f>IF('1. Live'!AH21='check-Jul25'!AH21,"",'1. Live'!AH21-'check-Jul25'!AH21)</f>
        <v/>
      </c>
      <c r="AI21" t="str">
        <f>IF('1. Live'!AI21='check-Jul25'!AI21,"",'1. Live'!AI21-'check-Jul25'!AI21)</f>
        <v/>
      </c>
      <c r="AJ21" t="str">
        <f>IF('1. Live'!AJ21='check-Jul25'!AJ21,"",'1. Live'!AJ21-'check-Jul25'!AJ21)</f>
        <v/>
      </c>
      <c r="AK21" t="str">
        <f>IF('1. Live'!AK21='check-Jul25'!AK21,"",'1. Live'!AK21-'check-Jul25'!AK21)</f>
        <v/>
      </c>
      <c r="AL21" t="str">
        <f>IF('1. Live'!AL21='check-Jul25'!AL21,"",'1. Live'!AL21-'check-Jul25'!AL21)</f>
        <v/>
      </c>
      <c r="AM21" t="str">
        <f>IF('1. Live'!AM21='check-Jul25'!AM21,"",'1. Live'!AM21-'check-Jul25'!AM21)</f>
        <v/>
      </c>
      <c r="AN21" t="str">
        <f>IF('1. Live'!AN21='check-Jul25'!AN21,"",'1. Live'!AN21-'check-Jul25'!AN21)</f>
        <v/>
      </c>
      <c r="AO21" t="str">
        <f>IF('1. Live'!AO21='check-Jul25'!AO21,"",'1. Live'!AO21-'check-Jul25'!AO21)</f>
        <v/>
      </c>
      <c r="AP21" t="str">
        <f>IF('1. Live'!AP21='check-Jul25'!AP21,"",'1. Live'!AP21-'check-Jul25'!AP21)</f>
        <v/>
      </c>
      <c r="AQ21" t="str">
        <f>IF('1. Live'!AQ21='check-Jul25'!AQ21,"",'1. Live'!AQ21-'check-Jul25'!AQ21)</f>
        <v/>
      </c>
      <c r="AR21" t="str">
        <f>IF('1. Live'!AR21='check-Jul25'!AR21,"",'1. Live'!AR21-'check-Jul25'!AR21)</f>
        <v/>
      </c>
      <c r="AS21" t="str">
        <f>IF('1. Live'!AS21='check-Jul25'!AS21,"",'1. Live'!AS21-'check-Jul25'!AS21)</f>
        <v/>
      </c>
      <c r="AT21" t="str">
        <f>IF('1. Live'!AT21='check-Jul25'!AT21,"",'1. Live'!AT21-'check-Jul25'!AT21)</f>
        <v/>
      </c>
      <c r="AU21" t="str">
        <f>IF('1. Live'!AU21='check-Jul25'!AU21,"",'1. Live'!AU21-'check-Jul25'!AU21)</f>
        <v/>
      </c>
      <c r="AV21" t="str">
        <f>IF('1. Live'!AV21='check-Jul25'!AV21,"",'1. Live'!AV21-'check-Jul25'!AV21)</f>
        <v/>
      </c>
      <c r="AW21" t="str">
        <f>IF('1. Live'!AW21='check-Jul25'!AW21,"",'1. Live'!AW21-'check-Jul25'!AW21)</f>
        <v/>
      </c>
      <c r="AX21" t="str">
        <f>IF('1. Live'!AX21='check-Jul25'!AX21,"",'1. Live'!AX21-'check-Jul25'!AX21)</f>
        <v/>
      </c>
      <c r="AY21" t="str">
        <f>IF('1. Live'!AY21='check-Jul25'!AY21,"",'1. Live'!AY21-'check-Jul25'!AY21)</f>
        <v/>
      </c>
      <c r="AZ21" t="str">
        <f>IF('1. Live'!AZ21='check-Jul25'!AZ21,"",'1. Live'!AZ21-'check-Jul25'!AZ21)</f>
        <v/>
      </c>
      <c r="BA21" t="str">
        <f>IF('1. Live'!BA21='check-Jul25'!BA21,"",'1. Live'!BA21-'check-Jul25'!BA21)</f>
        <v/>
      </c>
      <c r="BB21" t="str">
        <f>IF('1. Live'!BB21='check-Jul25'!BB21,"",'1. Live'!BB21-'check-Jul25'!BB21)</f>
        <v/>
      </c>
      <c r="BC21" t="str">
        <f>IF('1. Live'!BC21='check-Jul25'!BC21,"",'1. Live'!BC21-'check-Jul25'!BC21)</f>
        <v/>
      </c>
      <c r="BD21" t="str">
        <f>IF('1. Live'!BD21='check-Jul25'!BD21,"",'1. Live'!BD21-'check-Jul25'!BD21)</f>
        <v/>
      </c>
      <c r="BE21" t="str">
        <f>IF('1. Live'!BE21='check-Jul25'!BE21,"",'1. Live'!BE21-'check-Jul25'!BE21)</f>
        <v/>
      </c>
      <c r="BF21" t="str">
        <f>IF('1. Live'!BF21='check-Jul25'!BF21,"",'1. Live'!BF21-'check-Jul25'!BF21)</f>
        <v/>
      </c>
      <c r="BG21" t="str">
        <f>IF('1. Live'!BG21='check-Jul25'!BG21,"",'1. Live'!BG21-'check-Jul25'!BG21)</f>
        <v/>
      </c>
      <c r="BH21" t="str">
        <f>IF('1. Live'!BH21='check-Jul25'!BH21,"",'1. Live'!BH21-'check-Jul25'!BH21)</f>
        <v/>
      </c>
      <c r="BI21" t="str">
        <f>IF('1. Live'!BI21='check-Jul25'!BI21,"",'1. Live'!BI21-'check-Jul25'!BI21)</f>
        <v/>
      </c>
      <c r="BJ21" t="str">
        <f>IF('1. Live'!BJ21='check-Jul25'!BJ21,"",'1. Live'!BJ21-'check-Jul25'!BJ21)</f>
        <v/>
      </c>
      <c r="BK21" t="str">
        <f>IF('1. Live'!BK21='check-Jul25'!BK21,"",'1. Live'!BK21-'check-Jul25'!BK21)</f>
        <v/>
      </c>
      <c r="BL21" t="str">
        <f>IF('1. Live'!BL21='check-Jul25'!BL21,"",'1. Live'!BL21-'check-Jul25'!BL21)</f>
        <v/>
      </c>
      <c r="BM21" t="str">
        <f>IF('1. Live'!BM21='check-Jul25'!BM21,"",'1. Live'!BM21-'check-Jul25'!BM21)</f>
        <v/>
      </c>
      <c r="BN21" t="str">
        <f>IF('1. Live'!BN21='check-Jul25'!BN21,"",'1. Live'!BN21-'check-Jul25'!BN21)</f>
        <v/>
      </c>
      <c r="BO21" t="str">
        <f>IF('1. Live'!BO21='check-Jul25'!BO21,"",'1. Live'!BO21-'check-Jul25'!BO21)</f>
        <v/>
      </c>
      <c r="BP21" t="str">
        <f>IF('1. Live'!BP21='check-Jul25'!BP21,"",'1. Live'!BP21-'check-Jul25'!BP21)</f>
        <v/>
      </c>
      <c r="BQ21" t="str">
        <f>IF('1. Live'!BQ21='check-Jul25'!BQ21,"",'1. Live'!BQ21-'check-Jul25'!BQ21)</f>
        <v/>
      </c>
      <c r="BR21" t="str">
        <f>IF('1. Live'!BR21='check-Jul25'!BR21,"",'1. Live'!BR21-'check-Jul25'!BR21)</f>
        <v/>
      </c>
      <c r="BS21" t="str">
        <f>IF('1. Live'!BS21='check-Jul25'!BS21,"",'1. Live'!BS21-'check-Jul25'!BS21)</f>
        <v/>
      </c>
      <c r="BT21" t="str">
        <f>IF('1. Live'!BT21='check-Jul25'!BT21,"",'1. Live'!BT21-'check-Jul25'!BT21)</f>
        <v/>
      </c>
      <c r="BU21" t="str">
        <f>IF('1. Live'!BU21='check-Jul25'!BU21,"",'1. Live'!BU21-'check-Jul25'!BU21)</f>
        <v/>
      </c>
      <c r="BV21" t="str">
        <f>IF('1. Live'!BV21='check-Jul25'!BV21,"",'1. Live'!BV21-'check-Jul25'!BV21)</f>
        <v/>
      </c>
      <c r="BW21" t="str">
        <f>IF('1. Live'!BW21='check-Jul25'!BW21,"",'1. Live'!BW21-'check-Jul25'!BW21)</f>
        <v/>
      </c>
      <c r="BX21" t="str">
        <f>IF('1. Live'!BX21='check-Jul25'!BX21,"",'1. Live'!BX21-'check-Jul25'!BX21)</f>
        <v/>
      </c>
      <c r="BY21" t="str">
        <f>IF('1. Live'!BY21='check-Jul25'!BY21,"",'1. Live'!BY21-'check-Jul25'!BY21)</f>
        <v/>
      </c>
      <c r="BZ21" t="str">
        <f>IF('1. Live'!BZ21='check-Jul25'!BZ21,"",'1. Live'!BZ21-'check-Jul25'!BZ21)</f>
        <v/>
      </c>
      <c r="CA21" t="str">
        <f>IF('1. Live'!CA21='check-Jul25'!CA21,"",'1. Live'!CA21-'check-Jul25'!CA21)</f>
        <v/>
      </c>
      <c r="CB21" t="str">
        <f>IF('1. Live'!CB21='check-Jul25'!CB21,"",'1. Live'!CB21-'check-Jul25'!CB21)</f>
        <v/>
      </c>
      <c r="CC21" t="str">
        <f>IF('1. Live'!CC21='check-Jul25'!CC21,"",'1. Live'!CC21-'check-Jul25'!CC21)</f>
        <v/>
      </c>
      <c r="CD21" t="str">
        <f>IF('1. Live'!CD21='check-Jul25'!CD21,"",'1. Live'!CD21-'check-Jul25'!CD21)</f>
        <v/>
      </c>
      <c r="CE21" t="str">
        <f>IF('1. Live'!CE21='check-Jul25'!CE21,"",'1. Live'!CE21-'check-Jul25'!CE21)</f>
        <v/>
      </c>
      <c r="CF21" t="str">
        <f>IF('1. Live'!CF21='check-Jul25'!CF21,"",'1. Live'!CF21-'check-Jul25'!CF21)</f>
        <v/>
      </c>
      <c r="CG21" t="str">
        <f>IF('1. Live'!CG21='check-Jul25'!CG21,"",'1. Live'!CG21-'check-Jul25'!CG21)</f>
        <v/>
      </c>
      <c r="CH21" t="str">
        <f>IF('1. Live'!CH21='check-Jul25'!CH21,"",'1. Live'!CH21-'check-Jul25'!CH21)</f>
        <v/>
      </c>
      <c r="CI21" t="str">
        <f>IF('1. Live'!CI21='check-Jul25'!CI21,"",'1. Live'!CI21-'check-Jul25'!CI21)</f>
        <v/>
      </c>
      <c r="CJ21" t="str">
        <f>IF('1. Live'!CJ21='check-Jul25'!CJ21,"",'1. Live'!CJ21-'check-Jul25'!CJ21)</f>
        <v/>
      </c>
      <c r="CK21" t="str">
        <f>IF('1. Live'!CK21='check-Jul25'!CK21,"",'1. Live'!CK21-'check-Jul25'!CK21)</f>
        <v/>
      </c>
      <c r="CL21" t="str">
        <f>IF('1. Live'!CL21='check-Jul25'!CL21,"",'1. Live'!CL21-'check-Jul25'!CL21)</f>
        <v/>
      </c>
      <c r="CM21" t="str">
        <f>IF('1. Live'!CM21='check-Jul25'!CM21,"",'1. Live'!CM21-'check-Jul25'!CM21)</f>
        <v/>
      </c>
      <c r="CN21" t="str">
        <f>IF('1. Live'!CN21='check-Jul25'!CN21,"",'1. Live'!CN21-'check-Jul25'!CN21)</f>
        <v/>
      </c>
      <c r="CO21" t="str">
        <f>IF('1. Live'!CO21='check-Jul25'!CO21,"",'1. Live'!CO21-'check-Jul25'!CO21)</f>
        <v/>
      </c>
      <c r="CP21" t="str">
        <f>IF('1. Live'!CP21='check-Jul25'!CP21,"",'1. Live'!CP21-'check-Jul25'!CP21)</f>
        <v/>
      </c>
      <c r="CQ21" t="str">
        <f>IF('1. Live'!CQ21='check-Jul25'!CQ21,"",'1. Live'!CQ21-'check-Jul25'!CQ21)</f>
        <v/>
      </c>
      <c r="CR21" t="str">
        <f>IF('1. Live'!CR21='check-Jul25'!CR21,"",'1. Live'!CR21-'check-Jul25'!CR21)</f>
        <v/>
      </c>
      <c r="CS21" t="str">
        <f>IF('1. Live'!CS21='check-Jul25'!CS21,"",'1. Live'!CS21-'check-Jul25'!CS21)</f>
        <v/>
      </c>
      <c r="CT21" t="str">
        <f>IF('1. Live'!CT21='check-Jul25'!CT21,"",'1. Live'!CT21-'check-Jul25'!CT21)</f>
        <v/>
      </c>
      <c r="CU21" t="str">
        <f>IF('1. Live'!CU21='check-Jul25'!CU21,"",'1. Live'!CU21-'check-Jul25'!CU21)</f>
        <v/>
      </c>
      <c r="CV21" t="str">
        <f>IF('1. Live'!CV21='check-Jul25'!CV21,"",'1. Live'!CV21-'check-Jul25'!CV21)</f>
        <v/>
      </c>
      <c r="CW21" t="str">
        <f>IF('1. Live'!CW21='check-Jul25'!CW21,"",'1. Live'!CW21-'check-Jul25'!CW21)</f>
        <v/>
      </c>
    </row>
    <row r="22" spans="2:101">
      <c r="B22" s="66"/>
      <c r="C22" s="422" t="s">
        <v>540</v>
      </c>
      <c r="D22" s="334"/>
      <c r="E22" s="335"/>
      <c r="F22" s="335"/>
      <c r="G22" s="335"/>
      <c r="H22" s="335"/>
      <c r="I22" s="336"/>
      <c r="J22" s="337" t="str">
        <f>IF('1. Live'!J22='check-Jul25'!J22,"",'1. Live'!J22-'check-Jul25'!J22)</f>
        <v/>
      </c>
      <c r="K22" s="338" t="str">
        <f>IF('1. Live'!K22='check-Jul25'!K22,"",'1. Live'!K22-'check-Jul25'!K22)</f>
        <v/>
      </c>
      <c r="L22" s="338" t="str">
        <f>IF('1. Live'!L22='check-Jul25'!L22,"",'1. Live'!L22-'check-Jul25'!L22)</f>
        <v/>
      </c>
      <c r="M22" s="338" t="str">
        <f>IF('1. Live'!M22='check-Jul25'!M22,"",'1. Live'!M22-'check-Jul25'!M22)</f>
        <v/>
      </c>
      <c r="N22" s="338" t="str">
        <f>IF('1. Live'!N22='check-Jul25'!N22,"",'1. Live'!N22-'check-Jul25'!N22)</f>
        <v/>
      </c>
      <c r="O22" s="338" t="str">
        <f>IF('1. Live'!O22='check-Jul25'!O22,"",'1. Live'!O22-'check-Jul25'!O22)</f>
        <v/>
      </c>
      <c r="P22" s="338" t="str">
        <f>IF('1. Live'!P22='check-Jul25'!P22,"",'1. Live'!P22-'check-Jul25'!P22)</f>
        <v/>
      </c>
      <c r="Q22" s="338" t="str">
        <f>IF('1. Live'!Q22='check-Jul25'!Q22,"",'1. Live'!Q22-'check-Jul25'!Q22)</f>
        <v/>
      </c>
      <c r="R22" s="339" t="str">
        <f>IF('1. Live'!R22='check-Jul25'!R22,"",'1. Live'!R22-'check-Jul25'!R22)</f>
        <v/>
      </c>
      <c r="S22" s="335" t="str">
        <f>IF('1. Live'!S22='check-Jul25'!S22,"",'1. Live'!S22-'check-Jul25'!S22)</f>
        <v/>
      </c>
      <c r="T22" s="67" t="str">
        <f>IF('1. Live'!T22='check-Jul25'!T22,"",'1. Live'!T22-'check-Jul25'!T22)</f>
        <v/>
      </c>
      <c r="U22" t="str">
        <f>IF('1. Live'!U22='check-Jul25'!U22,"",'1. Live'!U22-'check-Jul25'!U22)</f>
        <v/>
      </c>
      <c r="V22" t="str">
        <f>IF('1. Live'!V22='check-Jul25'!V22,"",'1. Live'!V22-'check-Jul25'!V22)</f>
        <v/>
      </c>
      <c r="W22" t="str">
        <f>IF('1. Live'!W22='check-Jul25'!W22,"",'1. Live'!W22-'check-Jul25'!W22)</f>
        <v/>
      </c>
      <c r="X22" t="str">
        <f>IF('1. Live'!X22='check-Jul25'!X22,"",'1. Live'!X22-'check-Jul25'!X22)</f>
        <v/>
      </c>
      <c r="Y22" t="str">
        <f>IF('1. Live'!Y22='check-Jul25'!Y22,"",'1. Live'!Y22-'check-Jul25'!Y22)</f>
        <v/>
      </c>
      <c r="Z22" t="str">
        <f>IF('1. Live'!Z22='check-Jul25'!Z22,"",'1. Live'!Z22-'check-Jul25'!Z22)</f>
        <v/>
      </c>
      <c r="AA22" t="str">
        <f>IF('1. Live'!AA22='check-Jul25'!AA22,"",'1. Live'!AA22-'check-Jul25'!AA22)</f>
        <v/>
      </c>
      <c r="AB22" t="str">
        <f>IF('1. Live'!AB22='check-Jul25'!AB22,"",'1. Live'!AB22-'check-Jul25'!AB22)</f>
        <v/>
      </c>
      <c r="AC22" t="str">
        <f>IF('1. Live'!AC22='check-Jul25'!AC22,"",'1. Live'!AC22-'check-Jul25'!AC22)</f>
        <v/>
      </c>
      <c r="AD22" t="str">
        <f>IF('1. Live'!AD22='check-Jul25'!AD22,"",'1. Live'!AD22-'check-Jul25'!AD22)</f>
        <v/>
      </c>
      <c r="AE22" t="str">
        <f>IF('1. Live'!AE22='check-Jul25'!AE22,"",'1. Live'!AE22-'check-Jul25'!AE22)</f>
        <v/>
      </c>
      <c r="AF22" t="str">
        <f>IF('1. Live'!AF22='check-Jul25'!AF22,"",'1. Live'!AF22-'check-Jul25'!AF22)</f>
        <v/>
      </c>
      <c r="AG22" t="str">
        <f>IF('1. Live'!AG22='check-Jul25'!AG22,"",'1. Live'!AG22-'check-Jul25'!AG22)</f>
        <v/>
      </c>
      <c r="AH22" t="str">
        <f>IF('1. Live'!AH22='check-Jul25'!AH22,"",'1. Live'!AH22-'check-Jul25'!AH22)</f>
        <v/>
      </c>
      <c r="AI22" t="str">
        <f>IF('1. Live'!AI22='check-Jul25'!AI22,"",'1. Live'!AI22-'check-Jul25'!AI22)</f>
        <v/>
      </c>
      <c r="AJ22" t="str">
        <f>IF('1. Live'!AJ22='check-Jul25'!AJ22,"",'1. Live'!AJ22-'check-Jul25'!AJ22)</f>
        <v/>
      </c>
      <c r="AK22" t="str">
        <f>IF('1. Live'!AK22='check-Jul25'!AK22,"",'1. Live'!AK22-'check-Jul25'!AK22)</f>
        <v/>
      </c>
      <c r="AL22" t="str">
        <f>IF('1. Live'!AL22='check-Jul25'!AL22,"",'1. Live'!AL22-'check-Jul25'!AL22)</f>
        <v/>
      </c>
      <c r="AM22" t="str">
        <f>IF('1. Live'!AM22='check-Jul25'!AM22,"",'1. Live'!AM22-'check-Jul25'!AM22)</f>
        <v/>
      </c>
      <c r="AN22" t="str">
        <f>IF('1. Live'!AN22='check-Jul25'!AN22,"",'1. Live'!AN22-'check-Jul25'!AN22)</f>
        <v/>
      </c>
      <c r="AO22" t="str">
        <f>IF('1. Live'!AO22='check-Jul25'!AO22,"",'1. Live'!AO22-'check-Jul25'!AO22)</f>
        <v/>
      </c>
      <c r="AP22" t="str">
        <f>IF('1. Live'!AP22='check-Jul25'!AP22,"",'1. Live'!AP22-'check-Jul25'!AP22)</f>
        <v/>
      </c>
      <c r="AQ22" t="str">
        <f>IF('1. Live'!AQ22='check-Jul25'!AQ22,"",'1. Live'!AQ22-'check-Jul25'!AQ22)</f>
        <v/>
      </c>
      <c r="AR22" t="str">
        <f>IF('1. Live'!AR22='check-Jul25'!AR22,"",'1. Live'!AR22-'check-Jul25'!AR22)</f>
        <v/>
      </c>
      <c r="AS22" t="str">
        <f>IF('1. Live'!AS22='check-Jul25'!AS22,"",'1. Live'!AS22-'check-Jul25'!AS22)</f>
        <v/>
      </c>
      <c r="AT22" t="str">
        <f>IF('1. Live'!AT22='check-Jul25'!AT22,"",'1. Live'!AT22-'check-Jul25'!AT22)</f>
        <v/>
      </c>
      <c r="AU22" t="str">
        <f>IF('1. Live'!AU22='check-Jul25'!AU22,"",'1. Live'!AU22-'check-Jul25'!AU22)</f>
        <v/>
      </c>
      <c r="AV22" t="str">
        <f>IF('1. Live'!AV22='check-Jul25'!AV22,"",'1. Live'!AV22-'check-Jul25'!AV22)</f>
        <v/>
      </c>
      <c r="AW22" t="str">
        <f>IF('1. Live'!AW22='check-Jul25'!AW22,"",'1. Live'!AW22-'check-Jul25'!AW22)</f>
        <v/>
      </c>
      <c r="AX22" t="str">
        <f>IF('1. Live'!AX22='check-Jul25'!AX22,"",'1. Live'!AX22-'check-Jul25'!AX22)</f>
        <v/>
      </c>
      <c r="AY22" t="str">
        <f>IF('1. Live'!AY22='check-Jul25'!AY22,"",'1. Live'!AY22-'check-Jul25'!AY22)</f>
        <v/>
      </c>
      <c r="AZ22" t="str">
        <f>IF('1. Live'!AZ22='check-Jul25'!AZ22,"",'1. Live'!AZ22-'check-Jul25'!AZ22)</f>
        <v/>
      </c>
      <c r="BA22" t="str">
        <f>IF('1. Live'!BA22='check-Jul25'!BA22,"",'1. Live'!BA22-'check-Jul25'!BA22)</f>
        <v/>
      </c>
      <c r="BB22" t="str">
        <f>IF('1. Live'!BB22='check-Jul25'!BB22,"",'1. Live'!BB22-'check-Jul25'!BB22)</f>
        <v/>
      </c>
      <c r="BC22" t="str">
        <f>IF('1. Live'!BC22='check-Jul25'!BC22,"",'1. Live'!BC22-'check-Jul25'!BC22)</f>
        <v/>
      </c>
      <c r="BD22" t="str">
        <f>IF('1. Live'!BD22='check-Jul25'!BD22,"",'1. Live'!BD22-'check-Jul25'!BD22)</f>
        <v/>
      </c>
      <c r="BE22" t="str">
        <f>IF('1. Live'!BE22='check-Jul25'!BE22,"",'1. Live'!BE22-'check-Jul25'!BE22)</f>
        <v/>
      </c>
      <c r="BF22" t="str">
        <f>IF('1. Live'!BF22='check-Jul25'!BF22,"",'1. Live'!BF22-'check-Jul25'!BF22)</f>
        <v/>
      </c>
      <c r="BG22" t="str">
        <f>IF('1. Live'!BG22='check-Jul25'!BG22,"",'1. Live'!BG22-'check-Jul25'!BG22)</f>
        <v/>
      </c>
      <c r="BH22" t="str">
        <f>IF('1. Live'!BH22='check-Jul25'!BH22,"",'1. Live'!BH22-'check-Jul25'!BH22)</f>
        <v/>
      </c>
      <c r="BI22" t="str">
        <f>IF('1. Live'!BI22='check-Jul25'!BI22,"",'1. Live'!BI22-'check-Jul25'!BI22)</f>
        <v/>
      </c>
      <c r="BJ22" t="str">
        <f>IF('1. Live'!BJ22='check-Jul25'!BJ22,"",'1. Live'!BJ22-'check-Jul25'!BJ22)</f>
        <v/>
      </c>
      <c r="BK22" t="str">
        <f>IF('1. Live'!BK22='check-Jul25'!BK22,"",'1. Live'!BK22-'check-Jul25'!BK22)</f>
        <v/>
      </c>
      <c r="BL22" t="str">
        <f>IF('1. Live'!BL22='check-Jul25'!BL22,"",'1. Live'!BL22-'check-Jul25'!BL22)</f>
        <v/>
      </c>
      <c r="BM22" t="str">
        <f>IF('1. Live'!BM22='check-Jul25'!BM22,"",'1. Live'!BM22-'check-Jul25'!BM22)</f>
        <v/>
      </c>
      <c r="BN22" t="str">
        <f>IF('1. Live'!BN22='check-Jul25'!BN22,"",'1. Live'!BN22-'check-Jul25'!BN22)</f>
        <v/>
      </c>
      <c r="BO22" t="str">
        <f>IF('1. Live'!BO22='check-Jul25'!BO22,"",'1. Live'!BO22-'check-Jul25'!BO22)</f>
        <v/>
      </c>
      <c r="BP22" t="str">
        <f>IF('1. Live'!BP22='check-Jul25'!BP22,"",'1. Live'!BP22-'check-Jul25'!BP22)</f>
        <v/>
      </c>
      <c r="BQ22" t="str">
        <f>IF('1. Live'!BQ22='check-Jul25'!BQ22,"",'1. Live'!BQ22-'check-Jul25'!BQ22)</f>
        <v/>
      </c>
      <c r="BR22" t="str">
        <f>IF('1. Live'!BR22='check-Jul25'!BR22,"",'1. Live'!BR22-'check-Jul25'!BR22)</f>
        <v/>
      </c>
      <c r="BS22" t="str">
        <f>IF('1. Live'!BS22='check-Jul25'!BS22,"",'1. Live'!BS22-'check-Jul25'!BS22)</f>
        <v/>
      </c>
      <c r="BT22" t="str">
        <f>IF('1. Live'!BT22='check-Jul25'!BT22,"",'1. Live'!BT22-'check-Jul25'!BT22)</f>
        <v/>
      </c>
      <c r="BU22" t="str">
        <f>IF('1. Live'!BU22='check-Jul25'!BU22,"",'1. Live'!BU22-'check-Jul25'!BU22)</f>
        <v/>
      </c>
      <c r="BV22" t="str">
        <f>IF('1. Live'!BV22='check-Jul25'!BV22,"",'1. Live'!BV22-'check-Jul25'!BV22)</f>
        <v/>
      </c>
      <c r="BW22" t="str">
        <f>IF('1. Live'!BW22='check-Jul25'!BW22,"",'1. Live'!BW22-'check-Jul25'!BW22)</f>
        <v/>
      </c>
      <c r="BX22" t="str">
        <f>IF('1. Live'!BX22='check-Jul25'!BX22,"",'1. Live'!BX22-'check-Jul25'!BX22)</f>
        <v/>
      </c>
      <c r="BY22" t="str">
        <f>IF('1. Live'!BY22='check-Jul25'!BY22,"",'1. Live'!BY22-'check-Jul25'!BY22)</f>
        <v/>
      </c>
      <c r="BZ22" t="str">
        <f>IF('1. Live'!BZ22='check-Jul25'!BZ22,"",'1. Live'!BZ22-'check-Jul25'!BZ22)</f>
        <v/>
      </c>
      <c r="CA22" t="str">
        <f>IF('1. Live'!CA22='check-Jul25'!CA22,"",'1. Live'!CA22-'check-Jul25'!CA22)</f>
        <v/>
      </c>
      <c r="CB22" t="str">
        <f>IF('1. Live'!CB22='check-Jul25'!CB22,"",'1. Live'!CB22-'check-Jul25'!CB22)</f>
        <v/>
      </c>
      <c r="CC22" t="str">
        <f>IF('1. Live'!CC22='check-Jul25'!CC22,"",'1. Live'!CC22-'check-Jul25'!CC22)</f>
        <v/>
      </c>
      <c r="CD22" t="str">
        <f>IF('1. Live'!CD22='check-Jul25'!CD22,"",'1. Live'!CD22-'check-Jul25'!CD22)</f>
        <v/>
      </c>
      <c r="CE22" t="str">
        <f>IF('1. Live'!CE22='check-Jul25'!CE22,"",'1. Live'!CE22-'check-Jul25'!CE22)</f>
        <v/>
      </c>
      <c r="CF22" t="str">
        <f>IF('1. Live'!CF22='check-Jul25'!CF22,"",'1. Live'!CF22-'check-Jul25'!CF22)</f>
        <v/>
      </c>
      <c r="CG22" t="str">
        <f>IF('1. Live'!CG22='check-Jul25'!CG22,"",'1. Live'!CG22-'check-Jul25'!CG22)</f>
        <v/>
      </c>
      <c r="CH22" t="str">
        <f>IF('1. Live'!CH22='check-Jul25'!CH22,"",'1. Live'!CH22-'check-Jul25'!CH22)</f>
        <v/>
      </c>
      <c r="CI22" t="str">
        <f>IF('1. Live'!CI22='check-Jul25'!CI22,"",'1. Live'!CI22-'check-Jul25'!CI22)</f>
        <v/>
      </c>
      <c r="CJ22" t="str">
        <f>IF('1. Live'!CJ22='check-Jul25'!CJ22,"",'1. Live'!CJ22-'check-Jul25'!CJ22)</f>
        <v/>
      </c>
      <c r="CK22" t="str">
        <f>IF('1. Live'!CK22='check-Jul25'!CK22,"",'1. Live'!CK22-'check-Jul25'!CK22)</f>
        <v/>
      </c>
      <c r="CL22" t="str">
        <f>IF('1. Live'!CL22='check-Jul25'!CL22,"",'1. Live'!CL22-'check-Jul25'!CL22)</f>
        <v/>
      </c>
      <c r="CM22" t="str">
        <f>IF('1. Live'!CM22='check-Jul25'!CM22,"",'1. Live'!CM22-'check-Jul25'!CM22)</f>
        <v/>
      </c>
      <c r="CN22" t="str">
        <f>IF('1. Live'!CN22='check-Jul25'!CN22,"",'1. Live'!CN22-'check-Jul25'!CN22)</f>
        <v/>
      </c>
      <c r="CO22" t="str">
        <f>IF('1. Live'!CO22='check-Jul25'!CO22,"",'1. Live'!CO22-'check-Jul25'!CO22)</f>
        <v/>
      </c>
      <c r="CP22" t="str">
        <f>IF('1. Live'!CP22='check-Jul25'!CP22,"",'1. Live'!CP22-'check-Jul25'!CP22)</f>
        <v/>
      </c>
      <c r="CQ22" t="str">
        <f>IF('1. Live'!CQ22='check-Jul25'!CQ22,"",'1. Live'!CQ22-'check-Jul25'!CQ22)</f>
        <v/>
      </c>
      <c r="CR22" t="str">
        <f>IF('1. Live'!CR22='check-Jul25'!CR22,"",'1. Live'!CR22-'check-Jul25'!CR22)</f>
        <v/>
      </c>
      <c r="CS22" t="str">
        <f>IF('1. Live'!CS22='check-Jul25'!CS22,"",'1. Live'!CS22-'check-Jul25'!CS22)</f>
        <v/>
      </c>
      <c r="CT22" t="str">
        <f>IF('1. Live'!CT22='check-Jul25'!CT22,"",'1. Live'!CT22-'check-Jul25'!CT22)</f>
        <v/>
      </c>
      <c r="CU22" t="str">
        <f>IF('1. Live'!CU22='check-Jul25'!CU22,"",'1. Live'!CU22-'check-Jul25'!CU22)</f>
        <v/>
      </c>
      <c r="CV22" t="str">
        <f>IF('1. Live'!CV22='check-Jul25'!CV22,"",'1. Live'!CV22-'check-Jul25'!CV22)</f>
        <v/>
      </c>
      <c r="CW22" t="str">
        <f>IF('1. Live'!CW22='check-Jul25'!CW22,"",'1. Live'!CW22-'check-Jul25'!CW22)</f>
        <v/>
      </c>
    </row>
    <row r="23" spans="2:101">
      <c r="B23" s="66"/>
      <c r="C23" s="4" t="s">
        <v>19</v>
      </c>
      <c r="D23" s="32" t="s">
        <v>248</v>
      </c>
      <c r="E23" s="2" t="s">
        <v>780</v>
      </c>
      <c r="F23" s="2">
        <v>0</v>
      </c>
      <c r="G23" s="2" t="s">
        <v>545</v>
      </c>
      <c r="H23" s="6">
        <v>2022</v>
      </c>
      <c r="I23" s="6" t="s">
        <v>76</v>
      </c>
      <c r="J23" s="90" t="str">
        <f>IF('1. Live'!J23='check-Jul25'!J23,"",'1. Live'!J23-'check-Jul25'!J23)</f>
        <v/>
      </c>
      <c r="K23" s="17" t="str">
        <f ca="1">IF('1. Live'!K23='check-Jul25'!K23,"",'1. Live'!K23-'check-Jul25'!K23)</f>
        <v/>
      </c>
      <c r="L23" s="17" t="str">
        <f ca="1">IF('1. Live'!L23='check-Jul25'!L23,"",'1. Live'!L23-'check-Jul25'!L23)</f>
        <v/>
      </c>
      <c r="M23" s="17" t="str">
        <f>IF('1. Live'!M23='check-Jul25'!M23,"",'1. Live'!M23-'check-Jul25'!M23)</f>
        <v/>
      </c>
      <c r="N23" s="17" t="str">
        <f ca="1">IF('1. Live'!N23='check-Jul25'!N23,"",'1. Live'!N23-'check-Jul25'!N23)</f>
        <v/>
      </c>
      <c r="O23" s="17" t="str">
        <f>IF('1. Live'!O23='check-Jul25'!O23,"",'1. Live'!O23-'check-Jul25'!O23)</f>
        <v/>
      </c>
      <c r="P23" s="17" t="str">
        <f ca="1">IF('1. Live'!P23='check-Jul25'!P23,"",'1. Live'!P23-'check-Jul25'!P23)</f>
        <v/>
      </c>
      <c r="Q23" s="17" t="str">
        <f>IF('1. Live'!Q23='check-Jul25'!Q23,"",'1. Live'!Q23-'check-Jul25'!Q23)</f>
        <v/>
      </c>
      <c r="R23" s="10" t="str">
        <f ca="1">IF('1. Live'!R23='check-Jul25'!R23,"",'1. Live'!R23-'check-Jul25'!R23)</f>
        <v/>
      </c>
      <c r="S23" s="87" t="str">
        <f>IF('1. Live'!S23='check-Jul25'!S23,"",'1. Live'!S23-'check-Jul25'!S23)</f>
        <v/>
      </c>
      <c r="T23" s="67" t="str">
        <f>IF('1. Live'!T23='check-Jul25'!T23,"",'1. Live'!T23-'check-Jul25'!T23)</f>
        <v/>
      </c>
      <c r="U23" t="str">
        <f>IF('1. Live'!U23='check-Jul25'!U23,"",'1. Live'!U23-'check-Jul25'!U23)</f>
        <v/>
      </c>
      <c r="V23" t="str">
        <f>IF('1. Live'!V23='check-Jul25'!V23,"",'1. Live'!V23-'check-Jul25'!V23)</f>
        <v/>
      </c>
      <c r="W23" t="str">
        <f>IF('1. Live'!W23='check-Jul25'!W23,"",'1. Live'!W23-'check-Jul25'!W23)</f>
        <v/>
      </c>
      <c r="X23" t="str">
        <f>IF('1. Live'!X23='check-Jul25'!X23,"",'1. Live'!X23-'check-Jul25'!X23)</f>
        <v/>
      </c>
      <c r="Y23" t="str">
        <f>IF('1. Live'!Y23='check-Jul25'!Y23,"",'1. Live'!Y23-'check-Jul25'!Y23)</f>
        <v/>
      </c>
      <c r="Z23" t="str">
        <f>IF('1. Live'!Z23='check-Jul25'!Z23,"",'1. Live'!Z23-'check-Jul25'!Z23)</f>
        <v/>
      </c>
      <c r="AA23" t="str">
        <f>IF('1. Live'!AA23='check-Jul25'!AA23,"",'1. Live'!AA23-'check-Jul25'!AA23)</f>
        <v/>
      </c>
      <c r="AB23" t="str">
        <f>IF('1. Live'!AB23='check-Jul25'!AB23,"",'1. Live'!AB23-'check-Jul25'!AB23)</f>
        <v/>
      </c>
      <c r="AC23" t="str">
        <f>IF('1. Live'!AC23='check-Jul25'!AC23,"",'1. Live'!AC23-'check-Jul25'!AC23)</f>
        <v/>
      </c>
      <c r="AD23" t="str">
        <f>IF('1. Live'!AD23='check-Jul25'!AD23,"",'1. Live'!AD23-'check-Jul25'!AD23)</f>
        <v/>
      </c>
      <c r="AE23" t="str">
        <f>IF('1. Live'!AE23='check-Jul25'!AE23,"",'1. Live'!AE23-'check-Jul25'!AE23)</f>
        <v/>
      </c>
      <c r="AF23" t="str">
        <f>IF('1. Live'!AF23='check-Jul25'!AF23,"",'1. Live'!AF23-'check-Jul25'!AF23)</f>
        <v/>
      </c>
      <c r="AG23" t="str">
        <f>IF('1. Live'!AG23='check-Jul25'!AG23,"",'1. Live'!AG23-'check-Jul25'!AG23)</f>
        <v/>
      </c>
      <c r="AH23" t="str">
        <f>IF('1. Live'!AH23='check-Jul25'!AH23,"",'1. Live'!AH23-'check-Jul25'!AH23)</f>
        <v/>
      </c>
      <c r="AI23" t="str">
        <f>IF('1. Live'!AI23='check-Jul25'!AI23,"",'1. Live'!AI23-'check-Jul25'!AI23)</f>
        <v/>
      </c>
      <c r="AJ23" t="str">
        <f>IF('1. Live'!AJ23='check-Jul25'!AJ23,"",'1. Live'!AJ23-'check-Jul25'!AJ23)</f>
        <v/>
      </c>
      <c r="AK23" t="str">
        <f>IF('1. Live'!AK23='check-Jul25'!AK23,"",'1. Live'!AK23-'check-Jul25'!AK23)</f>
        <v/>
      </c>
      <c r="AL23" t="str">
        <f>IF('1. Live'!AL23='check-Jul25'!AL23,"",'1. Live'!AL23-'check-Jul25'!AL23)</f>
        <v/>
      </c>
      <c r="AM23" t="str">
        <f>IF('1. Live'!AM23='check-Jul25'!AM23,"",'1. Live'!AM23-'check-Jul25'!AM23)</f>
        <v/>
      </c>
      <c r="AN23" t="str">
        <f>IF('1. Live'!AN23='check-Jul25'!AN23,"",'1. Live'!AN23-'check-Jul25'!AN23)</f>
        <v/>
      </c>
      <c r="AO23" t="str">
        <f>IF('1. Live'!AO23='check-Jul25'!AO23,"",'1. Live'!AO23-'check-Jul25'!AO23)</f>
        <v/>
      </c>
      <c r="AP23" t="str">
        <f>IF('1. Live'!AP23='check-Jul25'!AP23,"",'1. Live'!AP23-'check-Jul25'!AP23)</f>
        <v/>
      </c>
      <c r="AQ23" t="str">
        <f>IF('1. Live'!AQ23='check-Jul25'!AQ23,"",'1. Live'!AQ23-'check-Jul25'!AQ23)</f>
        <v/>
      </c>
      <c r="AR23" t="str">
        <f>IF('1. Live'!AR23='check-Jul25'!AR23,"",'1. Live'!AR23-'check-Jul25'!AR23)</f>
        <v/>
      </c>
      <c r="AS23" t="str">
        <f>IF('1. Live'!AS23='check-Jul25'!AS23,"",'1. Live'!AS23-'check-Jul25'!AS23)</f>
        <v/>
      </c>
      <c r="AT23" t="str">
        <f>IF('1. Live'!AT23='check-Jul25'!AT23,"",'1. Live'!AT23-'check-Jul25'!AT23)</f>
        <v/>
      </c>
      <c r="AU23" t="str">
        <f>IF('1. Live'!AU23='check-Jul25'!AU23,"",'1. Live'!AU23-'check-Jul25'!AU23)</f>
        <v/>
      </c>
      <c r="AV23" t="str">
        <f>IF('1. Live'!AV23='check-Jul25'!AV23,"",'1. Live'!AV23-'check-Jul25'!AV23)</f>
        <v/>
      </c>
      <c r="AW23" t="str">
        <f>IF('1. Live'!AW23='check-Jul25'!AW23,"",'1. Live'!AW23-'check-Jul25'!AW23)</f>
        <v/>
      </c>
      <c r="AX23" t="str">
        <f>IF('1. Live'!AX23='check-Jul25'!AX23,"",'1. Live'!AX23-'check-Jul25'!AX23)</f>
        <v/>
      </c>
      <c r="AY23" t="str">
        <f>IF('1. Live'!AY23='check-Jul25'!AY23,"",'1. Live'!AY23-'check-Jul25'!AY23)</f>
        <v/>
      </c>
      <c r="AZ23" t="str">
        <f>IF('1. Live'!AZ23='check-Jul25'!AZ23,"",'1. Live'!AZ23-'check-Jul25'!AZ23)</f>
        <v/>
      </c>
      <c r="BA23" t="str">
        <f>IF('1. Live'!BA23='check-Jul25'!BA23,"",'1. Live'!BA23-'check-Jul25'!BA23)</f>
        <v/>
      </c>
      <c r="BB23" t="str">
        <f>IF('1. Live'!BB23='check-Jul25'!BB23,"",'1. Live'!BB23-'check-Jul25'!BB23)</f>
        <v/>
      </c>
      <c r="BC23" t="str">
        <f>IF('1. Live'!BC23='check-Jul25'!BC23,"",'1. Live'!BC23-'check-Jul25'!BC23)</f>
        <v/>
      </c>
      <c r="BD23" t="str">
        <f>IF('1. Live'!BD23='check-Jul25'!BD23,"",'1. Live'!BD23-'check-Jul25'!BD23)</f>
        <v/>
      </c>
      <c r="BE23" t="str">
        <f>IF('1. Live'!BE23='check-Jul25'!BE23,"",'1. Live'!BE23-'check-Jul25'!BE23)</f>
        <v/>
      </c>
      <c r="BF23" t="str">
        <f>IF('1. Live'!BF23='check-Jul25'!BF23,"",'1. Live'!BF23-'check-Jul25'!BF23)</f>
        <v/>
      </c>
      <c r="BG23" t="str">
        <f>IF('1. Live'!BG23='check-Jul25'!BG23,"",'1. Live'!BG23-'check-Jul25'!BG23)</f>
        <v/>
      </c>
      <c r="BH23" t="str">
        <f>IF('1. Live'!BH23='check-Jul25'!BH23,"",'1. Live'!BH23-'check-Jul25'!BH23)</f>
        <v/>
      </c>
      <c r="BI23" t="str">
        <f>IF('1. Live'!BI23='check-Jul25'!BI23,"",'1. Live'!BI23-'check-Jul25'!BI23)</f>
        <v/>
      </c>
      <c r="BJ23" t="str">
        <f>IF('1. Live'!BJ23='check-Jul25'!BJ23,"",'1. Live'!BJ23-'check-Jul25'!BJ23)</f>
        <v/>
      </c>
      <c r="BK23" t="str">
        <f>IF('1. Live'!BK23='check-Jul25'!BK23,"",'1. Live'!BK23-'check-Jul25'!BK23)</f>
        <v/>
      </c>
      <c r="BL23" t="str">
        <f>IF('1. Live'!BL23='check-Jul25'!BL23,"",'1. Live'!BL23-'check-Jul25'!BL23)</f>
        <v/>
      </c>
      <c r="BM23" t="str">
        <f>IF('1. Live'!BM23='check-Jul25'!BM23,"",'1. Live'!BM23-'check-Jul25'!BM23)</f>
        <v/>
      </c>
      <c r="BN23" t="str">
        <f>IF('1. Live'!BN23='check-Jul25'!BN23,"",'1. Live'!BN23-'check-Jul25'!BN23)</f>
        <v/>
      </c>
      <c r="BO23" t="str">
        <f>IF('1. Live'!BO23='check-Jul25'!BO23,"",'1. Live'!BO23-'check-Jul25'!BO23)</f>
        <v/>
      </c>
      <c r="BP23" t="str">
        <f>IF('1. Live'!BP23='check-Jul25'!BP23,"",'1. Live'!BP23-'check-Jul25'!BP23)</f>
        <v/>
      </c>
      <c r="BQ23" t="str">
        <f>IF('1. Live'!BQ23='check-Jul25'!BQ23,"",'1. Live'!BQ23-'check-Jul25'!BQ23)</f>
        <v/>
      </c>
      <c r="BR23" t="str">
        <f>IF('1. Live'!BR23='check-Jul25'!BR23,"",'1. Live'!BR23-'check-Jul25'!BR23)</f>
        <v/>
      </c>
      <c r="BS23" t="str">
        <f>IF('1. Live'!BS23='check-Jul25'!BS23,"",'1. Live'!BS23-'check-Jul25'!BS23)</f>
        <v/>
      </c>
      <c r="BT23" t="str">
        <f>IF('1. Live'!BT23='check-Jul25'!BT23,"",'1. Live'!BT23-'check-Jul25'!BT23)</f>
        <v/>
      </c>
      <c r="BU23" t="str">
        <f>IF('1. Live'!BU23='check-Jul25'!BU23,"",'1. Live'!BU23-'check-Jul25'!BU23)</f>
        <v/>
      </c>
      <c r="BV23" t="str">
        <f>IF('1. Live'!BV23='check-Jul25'!BV23,"",'1. Live'!BV23-'check-Jul25'!BV23)</f>
        <v/>
      </c>
      <c r="BW23" t="str">
        <f>IF('1. Live'!BW23='check-Jul25'!BW23,"",'1. Live'!BW23-'check-Jul25'!BW23)</f>
        <v/>
      </c>
      <c r="BX23" t="str">
        <f>IF('1. Live'!BX23='check-Jul25'!BX23,"",'1. Live'!BX23-'check-Jul25'!BX23)</f>
        <v/>
      </c>
      <c r="BY23" t="str">
        <f>IF('1. Live'!BY23='check-Jul25'!BY23,"",'1. Live'!BY23-'check-Jul25'!BY23)</f>
        <v/>
      </c>
      <c r="BZ23" t="str">
        <f>IF('1. Live'!BZ23='check-Jul25'!BZ23,"",'1. Live'!BZ23-'check-Jul25'!BZ23)</f>
        <v/>
      </c>
      <c r="CA23" t="str">
        <f>IF('1. Live'!CA23='check-Jul25'!CA23,"",'1. Live'!CA23-'check-Jul25'!CA23)</f>
        <v/>
      </c>
      <c r="CB23" t="str">
        <f>IF('1. Live'!CB23='check-Jul25'!CB23,"",'1. Live'!CB23-'check-Jul25'!CB23)</f>
        <v/>
      </c>
      <c r="CC23" t="str">
        <f>IF('1. Live'!CC23='check-Jul25'!CC23,"",'1. Live'!CC23-'check-Jul25'!CC23)</f>
        <v/>
      </c>
      <c r="CD23" t="str">
        <f>IF('1. Live'!CD23='check-Jul25'!CD23,"",'1. Live'!CD23-'check-Jul25'!CD23)</f>
        <v/>
      </c>
      <c r="CE23" t="str">
        <f>IF('1. Live'!CE23='check-Jul25'!CE23,"",'1. Live'!CE23-'check-Jul25'!CE23)</f>
        <v/>
      </c>
      <c r="CF23" t="str">
        <f>IF('1. Live'!CF23='check-Jul25'!CF23,"",'1. Live'!CF23-'check-Jul25'!CF23)</f>
        <v/>
      </c>
      <c r="CG23" t="str">
        <f>IF('1. Live'!CG23='check-Jul25'!CG23,"",'1. Live'!CG23-'check-Jul25'!CG23)</f>
        <v/>
      </c>
      <c r="CH23" t="str">
        <f>IF('1. Live'!CH23='check-Jul25'!CH23,"",'1. Live'!CH23-'check-Jul25'!CH23)</f>
        <v/>
      </c>
      <c r="CI23" t="str">
        <f>IF('1. Live'!CI23='check-Jul25'!CI23,"",'1. Live'!CI23-'check-Jul25'!CI23)</f>
        <v/>
      </c>
      <c r="CJ23" t="str">
        <f>IF('1. Live'!CJ23='check-Jul25'!CJ23,"",'1. Live'!CJ23-'check-Jul25'!CJ23)</f>
        <v/>
      </c>
      <c r="CK23" t="str">
        <f>IF('1. Live'!CK23='check-Jul25'!CK23,"",'1. Live'!CK23-'check-Jul25'!CK23)</f>
        <v/>
      </c>
      <c r="CL23" t="str">
        <f>IF('1. Live'!CL23='check-Jul25'!CL23,"",'1. Live'!CL23-'check-Jul25'!CL23)</f>
        <v/>
      </c>
      <c r="CM23" t="str">
        <f>IF('1. Live'!CM23='check-Jul25'!CM23,"",'1. Live'!CM23-'check-Jul25'!CM23)</f>
        <v/>
      </c>
      <c r="CN23" t="str">
        <f>IF('1. Live'!CN23='check-Jul25'!CN23,"",'1. Live'!CN23-'check-Jul25'!CN23)</f>
        <v/>
      </c>
      <c r="CO23" t="str">
        <f>IF('1. Live'!CO23='check-Jul25'!CO23,"",'1. Live'!CO23-'check-Jul25'!CO23)</f>
        <v/>
      </c>
      <c r="CP23" t="str">
        <f>IF('1. Live'!CP23='check-Jul25'!CP23,"",'1. Live'!CP23-'check-Jul25'!CP23)</f>
        <v/>
      </c>
      <c r="CQ23" t="str">
        <f>IF('1. Live'!CQ23='check-Jul25'!CQ23,"",'1. Live'!CQ23-'check-Jul25'!CQ23)</f>
        <v/>
      </c>
      <c r="CR23" t="str">
        <f>IF('1. Live'!CR23='check-Jul25'!CR23,"",'1. Live'!CR23-'check-Jul25'!CR23)</f>
        <v/>
      </c>
      <c r="CS23" t="str">
        <f>IF('1. Live'!CS23='check-Jul25'!CS23,"",'1. Live'!CS23-'check-Jul25'!CS23)</f>
        <v/>
      </c>
      <c r="CT23" t="str">
        <f>IF('1. Live'!CT23='check-Jul25'!CT23,"",'1. Live'!CT23-'check-Jul25'!CT23)</f>
        <v/>
      </c>
      <c r="CU23" t="str">
        <f>IF('1. Live'!CU23='check-Jul25'!CU23,"",'1. Live'!CU23-'check-Jul25'!CU23)</f>
        <v/>
      </c>
      <c r="CV23" t="str">
        <f>IF('1. Live'!CV23='check-Jul25'!CV23,"",'1. Live'!CV23-'check-Jul25'!CV23)</f>
        <v/>
      </c>
      <c r="CW23" t="str">
        <f>IF('1. Live'!CW23='check-Jul25'!CW23,"",'1. Live'!CW23-'check-Jul25'!CW23)</f>
        <v/>
      </c>
    </row>
    <row r="24" spans="2:101">
      <c r="B24" s="66"/>
      <c r="C24" s="4" t="s">
        <v>86</v>
      </c>
      <c r="D24" s="32" t="s">
        <v>248</v>
      </c>
      <c r="E24" s="2" t="s">
        <v>77</v>
      </c>
      <c r="F24" s="2">
        <v>0</v>
      </c>
      <c r="G24" s="2" t="s">
        <v>545</v>
      </c>
      <c r="H24" s="6">
        <v>2022</v>
      </c>
      <c r="I24" s="6" t="s">
        <v>44</v>
      </c>
      <c r="J24" s="90" t="str">
        <f>IF('1. Live'!J24='check-Jul25'!J24,"",'1. Live'!J24-'check-Jul25'!J24)</f>
        <v/>
      </c>
      <c r="K24" s="17" t="str">
        <f ca="1">IF('1. Live'!K24='check-Jul25'!K24,"",'1. Live'!K24-'check-Jul25'!K24)</f>
        <v/>
      </c>
      <c r="L24" s="17" t="str">
        <f ca="1">IF('1. Live'!L24='check-Jul25'!L24,"",'1. Live'!L24-'check-Jul25'!L24)</f>
        <v/>
      </c>
      <c r="M24" s="17" t="str">
        <f ca="1">IF('1. Live'!M24='check-Jul25'!M24,"",'1. Live'!M24-'check-Jul25'!M24)</f>
        <v/>
      </c>
      <c r="N24" s="17" t="str">
        <f ca="1">IF('1. Live'!N24='check-Jul25'!N24,"",'1. Live'!N24-'check-Jul25'!N24)</f>
        <v/>
      </c>
      <c r="O24" s="17">
        <f>IF('1. Live'!O24='check-Jul25'!O24,"",'1. Live'!O24-'check-Jul25'!O24)</f>
        <v>6.4914250000000173E-2</v>
      </c>
      <c r="P24" s="17">
        <f ca="1">IF('1. Live'!P24='check-Jul25'!P24,"",'1. Live'!P24-'check-Jul25'!P24)</f>
        <v>6.4914250000001061E-2</v>
      </c>
      <c r="Q24" s="17" t="str">
        <f>IF('1. Live'!Q24='check-Jul25'!Q24,"",'1. Live'!Q24-'check-Jul25'!Q24)</f>
        <v/>
      </c>
      <c r="R24" s="10">
        <f ca="1">IF('1. Live'!R24='check-Jul25'!R24,"",'1. Live'!R24-'check-Jul25'!R24)</f>
        <v>2.6461859872611571E-3</v>
      </c>
      <c r="S24" s="87" t="str">
        <f>IF('1. Live'!S24='check-Jul25'!S24,"",'1. Live'!S24-'check-Jul25'!S24)</f>
        <v/>
      </c>
      <c r="T24" s="67" t="str">
        <f>IF('1. Live'!T24='check-Jul25'!T24,"",'1. Live'!T24-'check-Jul25'!T24)</f>
        <v/>
      </c>
      <c r="U24" t="str">
        <f>IF('1. Live'!U24='check-Jul25'!U24,"",'1. Live'!U24-'check-Jul25'!U24)</f>
        <v/>
      </c>
      <c r="V24" t="str">
        <f>IF('1. Live'!V24='check-Jul25'!V24,"",'1. Live'!V24-'check-Jul25'!V24)</f>
        <v/>
      </c>
      <c r="W24" t="str">
        <f>IF('1. Live'!W24='check-Jul25'!W24,"",'1. Live'!W24-'check-Jul25'!W24)</f>
        <v/>
      </c>
      <c r="X24" t="str">
        <f>IF('1. Live'!X24='check-Jul25'!X24,"",'1. Live'!X24-'check-Jul25'!X24)</f>
        <v/>
      </c>
      <c r="Y24" t="str">
        <f>IF('1. Live'!Y24='check-Jul25'!Y24,"",'1. Live'!Y24-'check-Jul25'!Y24)</f>
        <v/>
      </c>
      <c r="Z24" t="str">
        <f>IF('1. Live'!Z24='check-Jul25'!Z24,"",'1. Live'!Z24-'check-Jul25'!Z24)</f>
        <v/>
      </c>
      <c r="AA24" t="str">
        <f>IF('1. Live'!AA24='check-Jul25'!AA24,"",'1. Live'!AA24-'check-Jul25'!AA24)</f>
        <v/>
      </c>
      <c r="AB24" t="str">
        <f>IF('1. Live'!AB24='check-Jul25'!AB24,"",'1. Live'!AB24-'check-Jul25'!AB24)</f>
        <v/>
      </c>
      <c r="AC24" t="str">
        <f>IF('1. Live'!AC24='check-Jul25'!AC24,"",'1. Live'!AC24-'check-Jul25'!AC24)</f>
        <v/>
      </c>
      <c r="AD24" t="str">
        <f>IF('1. Live'!AD24='check-Jul25'!AD24,"",'1. Live'!AD24-'check-Jul25'!AD24)</f>
        <v/>
      </c>
      <c r="AE24" t="str">
        <f>IF('1. Live'!AE24='check-Jul25'!AE24,"",'1. Live'!AE24-'check-Jul25'!AE24)</f>
        <v/>
      </c>
      <c r="AF24" t="str">
        <f>IF('1. Live'!AF24='check-Jul25'!AF24,"",'1. Live'!AF24-'check-Jul25'!AF24)</f>
        <v/>
      </c>
      <c r="AG24" t="str">
        <f>IF('1. Live'!AG24='check-Jul25'!AG24,"",'1. Live'!AG24-'check-Jul25'!AG24)</f>
        <v/>
      </c>
      <c r="AH24" t="str">
        <f>IF('1. Live'!AH24='check-Jul25'!AH24,"",'1. Live'!AH24-'check-Jul25'!AH24)</f>
        <v/>
      </c>
      <c r="AI24" t="str">
        <f>IF('1. Live'!AI24='check-Jul25'!AI24,"",'1. Live'!AI24-'check-Jul25'!AI24)</f>
        <v/>
      </c>
      <c r="AJ24" t="str">
        <f>IF('1. Live'!AJ24='check-Jul25'!AJ24,"",'1. Live'!AJ24-'check-Jul25'!AJ24)</f>
        <v/>
      </c>
      <c r="AK24" t="str">
        <f>IF('1. Live'!AK24='check-Jul25'!AK24,"",'1. Live'!AK24-'check-Jul25'!AK24)</f>
        <v/>
      </c>
      <c r="AL24" t="str">
        <f>IF('1. Live'!AL24='check-Jul25'!AL24,"",'1. Live'!AL24-'check-Jul25'!AL24)</f>
        <v/>
      </c>
      <c r="AM24" t="str">
        <f>IF('1. Live'!AM24='check-Jul25'!AM24,"",'1. Live'!AM24-'check-Jul25'!AM24)</f>
        <v/>
      </c>
      <c r="AN24" t="str">
        <f>IF('1. Live'!AN24='check-Jul25'!AN24,"",'1. Live'!AN24-'check-Jul25'!AN24)</f>
        <v/>
      </c>
      <c r="AO24" t="str">
        <f>IF('1. Live'!AO24='check-Jul25'!AO24,"",'1. Live'!AO24-'check-Jul25'!AO24)</f>
        <v/>
      </c>
      <c r="AP24" t="str">
        <f>IF('1. Live'!AP24='check-Jul25'!AP24,"",'1. Live'!AP24-'check-Jul25'!AP24)</f>
        <v/>
      </c>
      <c r="AQ24" t="str">
        <f>IF('1. Live'!AQ24='check-Jul25'!AQ24,"",'1. Live'!AQ24-'check-Jul25'!AQ24)</f>
        <v/>
      </c>
      <c r="AR24" t="str">
        <f>IF('1. Live'!AR24='check-Jul25'!AR24,"",'1. Live'!AR24-'check-Jul25'!AR24)</f>
        <v/>
      </c>
      <c r="AS24" t="str">
        <f>IF('1. Live'!AS24='check-Jul25'!AS24,"",'1. Live'!AS24-'check-Jul25'!AS24)</f>
        <v/>
      </c>
      <c r="AT24" t="str">
        <f>IF('1. Live'!AT24='check-Jul25'!AT24,"",'1. Live'!AT24-'check-Jul25'!AT24)</f>
        <v/>
      </c>
      <c r="AU24" t="str">
        <f>IF('1. Live'!AU24='check-Jul25'!AU24,"",'1. Live'!AU24-'check-Jul25'!AU24)</f>
        <v/>
      </c>
      <c r="AV24" t="str">
        <f>IF('1. Live'!AV24='check-Jul25'!AV24,"",'1. Live'!AV24-'check-Jul25'!AV24)</f>
        <v/>
      </c>
      <c r="AW24" t="str">
        <f>IF('1. Live'!AW24='check-Jul25'!AW24,"",'1. Live'!AW24-'check-Jul25'!AW24)</f>
        <v/>
      </c>
      <c r="AX24" t="str">
        <f>IF('1. Live'!AX24='check-Jul25'!AX24,"",'1. Live'!AX24-'check-Jul25'!AX24)</f>
        <v/>
      </c>
      <c r="AY24" t="str">
        <f>IF('1. Live'!AY24='check-Jul25'!AY24,"",'1. Live'!AY24-'check-Jul25'!AY24)</f>
        <v/>
      </c>
      <c r="AZ24" t="str">
        <f>IF('1. Live'!AZ24='check-Jul25'!AZ24,"",'1. Live'!AZ24-'check-Jul25'!AZ24)</f>
        <v/>
      </c>
      <c r="BA24" t="str">
        <f>IF('1. Live'!BA24='check-Jul25'!BA24,"",'1. Live'!BA24-'check-Jul25'!BA24)</f>
        <v/>
      </c>
      <c r="BB24" t="str">
        <f>IF('1. Live'!BB24='check-Jul25'!BB24,"",'1. Live'!BB24-'check-Jul25'!BB24)</f>
        <v/>
      </c>
      <c r="BC24" t="str">
        <f>IF('1. Live'!BC24='check-Jul25'!BC24,"",'1. Live'!BC24-'check-Jul25'!BC24)</f>
        <v/>
      </c>
      <c r="BD24" t="str">
        <f>IF('1. Live'!BD24='check-Jul25'!BD24,"",'1. Live'!BD24-'check-Jul25'!BD24)</f>
        <v/>
      </c>
      <c r="BE24" t="str">
        <f>IF('1. Live'!BE24='check-Jul25'!BE24,"",'1. Live'!BE24-'check-Jul25'!BE24)</f>
        <v/>
      </c>
      <c r="BF24" t="str">
        <f>IF('1. Live'!BF24='check-Jul25'!BF24,"",'1. Live'!BF24-'check-Jul25'!BF24)</f>
        <v/>
      </c>
      <c r="BG24" t="str">
        <f>IF('1. Live'!BG24='check-Jul25'!BG24,"",'1. Live'!BG24-'check-Jul25'!BG24)</f>
        <v/>
      </c>
      <c r="BH24" t="str">
        <f>IF('1. Live'!BH24='check-Jul25'!BH24,"",'1. Live'!BH24-'check-Jul25'!BH24)</f>
        <v/>
      </c>
      <c r="BI24" t="str">
        <f>IF('1. Live'!BI24='check-Jul25'!BI24,"",'1. Live'!BI24-'check-Jul25'!BI24)</f>
        <v/>
      </c>
      <c r="BJ24" t="str">
        <f>IF('1. Live'!BJ24='check-Jul25'!BJ24,"",'1. Live'!BJ24-'check-Jul25'!BJ24)</f>
        <v/>
      </c>
      <c r="BK24" t="str">
        <f>IF('1. Live'!BK24='check-Jul25'!BK24,"",'1. Live'!BK24-'check-Jul25'!BK24)</f>
        <v/>
      </c>
      <c r="BL24" t="str">
        <f>IF('1. Live'!BL24='check-Jul25'!BL24,"",'1. Live'!BL24-'check-Jul25'!BL24)</f>
        <v/>
      </c>
      <c r="BM24" t="str">
        <f>IF('1. Live'!BM24='check-Jul25'!BM24,"",'1. Live'!BM24-'check-Jul25'!BM24)</f>
        <v/>
      </c>
      <c r="BN24" t="str">
        <f>IF('1. Live'!BN24='check-Jul25'!BN24,"",'1. Live'!BN24-'check-Jul25'!BN24)</f>
        <v/>
      </c>
      <c r="BO24" t="str">
        <f>IF('1. Live'!BO24='check-Jul25'!BO24,"",'1. Live'!BO24-'check-Jul25'!BO24)</f>
        <v/>
      </c>
      <c r="BP24" t="str">
        <f>IF('1. Live'!BP24='check-Jul25'!BP24,"",'1. Live'!BP24-'check-Jul25'!BP24)</f>
        <v/>
      </c>
      <c r="BQ24" t="str">
        <f>IF('1. Live'!BQ24='check-Jul25'!BQ24,"",'1. Live'!BQ24-'check-Jul25'!BQ24)</f>
        <v/>
      </c>
      <c r="BR24" t="str">
        <f>IF('1. Live'!BR24='check-Jul25'!BR24,"",'1. Live'!BR24-'check-Jul25'!BR24)</f>
        <v/>
      </c>
      <c r="BS24" t="str">
        <f>IF('1. Live'!BS24='check-Jul25'!BS24,"",'1. Live'!BS24-'check-Jul25'!BS24)</f>
        <v/>
      </c>
      <c r="BT24" t="str">
        <f>IF('1. Live'!BT24='check-Jul25'!BT24,"",'1. Live'!BT24-'check-Jul25'!BT24)</f>
        <v/>
      </c>
      <c r="BU24" t="str">
        <f>IF('1. Live'!BU24='check-Jul25'!BU24,"",'1. Live'!BU24-'check-Jul25'!BU24)</f>
        <v/>
      </c>
      <c r="BV24" t="str">
        <f>IF('1. Live'!BV24='check-Jul25'!BV24,"",'1. Live'!BV24-'check-Jul25'!BV24)</f>
        <v/>
      </c>
      <c r="BW24" t="str">
        <f>IF('1. Live'!BW24='check-Jul25'!BW24,"",'1. Live'!BW24-'check-Jul25'!BW24)</f>
        <v/>
      </c>
      <c r="BX24" t="str">
        <f>IF('1. Live'!BX24='check-Jul25'!BX24,"",'1. Live'!BX24-'check-Jul25'!BX24)</f>
        <v/>
      </c>
      <c r="BY24" t="str">
        <f>IF('1. Live'!BY24='check-Jul25'!BY24,"",'1. Live'!BY24-'check-Jul25'!BY24)</f>
        <v/>
      </c>
      <c r="BZ24" t="str">
        <f>IF('1. Live'!BZ24='check-Jul25'!BZ24,"",'1. Live'!BZ24-'check-Jul25'!BZ24)</f>
        <v/>
      </c>
      <c r="CA24" t="str">
        <f>IF('1. Live'!CA24='check-Jul25'!CA24,"",'1. Live'!CA24-'check-Jul25'!CA24)</f>
        <v/>
      </c>
      <c r="CB24" t="str">
        <f>IF('1. Live'!CB24='check-Jul25'!CB24,"",'1. Live'!CB24-'check-Jul25'!CB24)</f>
        <v/>
      </c>
      <c r="CC24" t="str">
        <f>IF('1. Live'!CC24='check-Jul25'!CC24,"",'1. Live'!CC24-'check-Jul25'!CC24)</f>
        <v/>
      </c>
      <c r="CD24" t="str">
        <f>IF('1. Live'!CD24='check-Jul25'!CD24,"",'1. Live'!CD24-'check-Jul25'!CD24)</f>
        <v/>
      </c>
      <c r="CE24" t="str">
        <f>IF('1. Live'!CE24='check-Jul25'!CE24,"",'1. Live'!CE24-'check-Jul25'!CE24)</f>
        <v/>
      </c>
      <c r="CF24" t="str">
        <f>IF('1. Live'!CF24='check-Jul25'!CF24,"",'1. Live'!CF24-'check-Jul25'!CF24)</f>
        <v/>
      </c>
      <c r="CG24" t="str">
        <f>IF('1. Live'!CG24='check-Jul25'!CG24,"",'1. Live'!CG24-'check-Jul25'!CG24)</f>
        <v/>
      </c>
      <c r="CH24" t="str">
        <f>IF('1. Live'!CH24='check-Jul25'!CH24,"",'1. Live'!CH24-'check-Jul25'!CH24)</f>
        <v/>
      </c>
      <c r="CI24" t="str">
        <f>IF('1. Live'!CI24='check-Jul25'!CI24,"",'1. Live'!CI24-'check-Jul25'!CI24)</f>
        <v/>
      </c>
      <c r="CJ24" t="str">
        <f>IF('1. Live'!CJ24='check-Jul25'!CJ24,"",'1. Live'!CJ24-'check-Jul25'!CJ24)</f>
        <v/>
      </c>
      <c r="CK24" t="str">
        <f>IF('1. Live'!CK24='check-Jul25'!CK24,"",'1. Live'!CK24-'check-Jul25'!CK24)</f>
        <v/>
      </c>
      <c r="CL24" t="str">
        <f>IF('1. Live'!CL24='check-Jul25'!CL24,"",'1. Live'!CL24-'check-Jul25'!CL24)</f>
        <v/>
      </c>
      <c r="CM24" t="str">
        <f>IF('1. Live'!CM24='check-Jul25'!CM24,"",'1. Live'!CM24-'check-Jul25'!CM24)</f>
        <v/>
      </c>
      <c r="CN24" t="str">
        <f>IF('1. Live'!CN24='check-Jul25'!CN24,"",'1. Live'!CN24-'check-Jul25'!CN24)</f>
        <v/>
      </c>
      <c r="CO24" t="str">
        <f>IF('1. Live'!CO24='check-Jul25'!CO24,"",'1. Live'!CO24-'check-Jul25'!CO24)</f>
        <v/>
      </c>
      <c r="CP24" t="str">
        <f>IF('1. Live'!CP24='check-Jul25'!CP24,"",'1. Live'!CP24-'check-Jul25'!CP24)</f>
        <v/>
      </c>
      <c r="CQ24" t="str">
        <f>IF('1. Live'!CQ24='check-Jul25'!CQ24,"",'1. Live'!CQ24-'check-Jul25'!CQ24)</f>
        <v/>
      </c>
      <c r="CR24" t="str">
        <f>IF('1. Live'!CR24='check-Jul25'!CR24,"",'1. Live'!CR24-'check-Jul25'!CR24)</f>
        <v/>
      </c>
      <c r="CS24" t="str">
        <f>IF('1. Live'!CS24='check-Jul25'!CS24,"",'1. Live'!CS24-'check-Jul25'!CS24)</f>
        <v/>
      </c>
      <c r="CT24" t="str">
        <f>IF('1. Live'!CT24='check-Jul25'!CT24,"",'1. Live'!CT24-'check-Jul25'!CT24)</f>
        <v/>
      </c>
      <c r="CU24" t="str">
        <f>IF('1. Live'!CU24='check-Jul25'!CU24,"",'1. Live'!CU24-'check-Jul25'!CU24)</f>
        <v/>
      </c>
      <c r="CV24" t="str">
        <f>IF('1. Live'!CV24='check-Jul25'!CV24,"",'1. Live'!CV24-'check-Jul25'!CV24)</f>
        <v/>
      </c>
      <c r="CW24" t="str">
        <f>IF('1. Live'!CW24='check-Jul25'!CW24,"",'1. Live'!CW24-'check-Jul25'!CW24)</f>
        <v/>
      </c>
    </row>
    <row r="25" spans="2:101">
      <c r="B25" s="66"/>
      <c r="C25" s="4" t="s">
        <v>1</v>
      </c>
      <c r="D25" s="32" t="s">
        <v>250</v>
      </c>
      <c r="E25" s="2" t="s">
        <v>77</v>
      </c>
      <c r="F25" s="2">
        <v>0</v>
      </c>
      <c r="G25" s="2" t="s">
        <v>545</v>
      </c>
      <c r="H25" s="6">
        <v>2020</v>
      </c>
      <c r="I25" s="6" t="s">
        <v>53</v>
      </c>
      <c r="J25" s="90" t="str">
        <f>IF('1. Live'!J25='check-Jul25'!J25,"",'1. Live'!J25-'check-Jul25'!J25)</f>
        <v/>
      </c>
      <c r="K25" s="17">
        <f>IF('1. Live'!K25='check-Jul25'!K25,"",'1. Live'!K25-'check-Jul25'!K25)</f>
        <v>-0.35999999999999943</v>
      </c>
      <c r="L25" s="17" t="str">
        <f>IF('1. Live'!L25='check-Jul25'!L25,"",'1. Live'!L25-'check-Jul25'!L25)</f>
        <v/>
      </c>
      <c r="M25" s="17">
        <f>IF('1. Live'!M25='check-Jul25'!M25,"",'1. Live'!M25-'check-Jul25'!M25)</f>
        <v>-0.36</v>
      </c>
      <c r="N25" s="17" t="str">
        <f>IF('1. Live'!N25='check-Jul25'!N25,"",'1. Live'!N25-'check-Jul25'!N25)</f>
        <v/>
      </c>
      <c r="O25" s="17">
        <f>IF('1. Live'!O25='check-Jul25'!O25,"",'1. Live'!O25-'check-Jul25'!O25)</f>
        <v>4.8064980000000048</v>
      </c>
      <c r="P25" s="17">
        <f>IF('1. Live'!P25='check-Jul25'!P25,"",'1. Live'!P25-'check-Jul25'!P25)</f>
        <v>4.8064980000000048</v>
      </c>
      <c r="Q25" s="17" t="str">
        <f>IF('1. Live'!Q25='check-Jul25'!Q25,"",'1. Live'!Q25-'check-Jul25'!Q25)</f>
        <v/>
      </c>
      <c r="R25" s="10">
        <f>IF('1. Live'!R25='check-Jul25'!R25,"",'1. Live'!R25-'check-Jul25'!R25)</f>
        <v>5.7658410656195258E-2</v>
      </c>
      <c r="S25" s="2" t="str">
        <f>IF('1. Live'!S25='check-Jul25'!S25,"",'1. Live'!S25-'check-Jul25'!S25)</f>
        <v/>
      </c>
      <c r="T25" s="67" t="str">
        <f>IF('1. Live'!T25='check-Jul25'!T25,"",'1. Live'!T25-'check-Jul25'!T25)</f>
        <v/>
      </c>
      <c r="U25" t="str">
        <f>IF('1. Live'!U25='check-Jul25'!U25,"",'1. Live'!U25-'check-Jul25'!U25)</f>
        <v/>
      </c>
      <c r="V25" t="str">
        <f>IF('1. Live'!V25='check-Jul25'!V25,"",'1. Live'!V25-'check-Jul25'!V25)</f>
        <v/>
      </c>
      <c r="W25" t="str">
        <f>IF('1. Live'!W25='check-Jul25'!W25,"",'1. Live'!W25-'check-Jul25'!W25)</f>
        <v/>
      </c>
      <c r="X25" t="str">
        <f>IF('1. Live'!X25='check-Jul25'!X25,"",'1. Live'!X25-'check-Jul25'!X25)</f>
        <v/>
      </c>
      <c r="Y25" t="str">
        <f>IF('1. Live'!Y25='check-Jul25'!Y25,"",'1. Live'!Y25-'check-Jul25'!Y25)</f>
        <v/>
      </c>
      <c r="Z25" t="str">
        <f>IF('1. Live'!Z25='check-Jul25'!Z25,"",'1. Live'!Z25-'check-Jul25'!Z25)</f>
        <v/>
      </c>
      <c r="AA25" t="str">
        <f>IF('1. Live'!AA25='check-Jul25'!AA25,"",'1. Live'!AA25-'check-Jul25'!AA25)</f>
        <v/>
      </c>
      <c r="AB25" t="str">
        <f>IF('1. Live'!AB25='check-Jul25'!AB25,"",'1. Live'!AB25-'check-Jul25'!AB25)</f>
        <v/>
      </c>
      <c r="AC25" t="str">
        <f>IF('1. Live'!AC25='check-Jul25'!AC25,"",'1. Live'!AC25-'check-Jul25'!AC25)</f>
        <v/>
      </c>
      <c r="AD25" t="str">
        <f>IF('1. Live'!AD25='check-Jul25'!AD25,"",'1. Live'!AD25-'check-Jul25'!AD25)</f>
        <v/>
      </c>
      <c r="AE25" t="str">
        <f>IF('1. Live'!AE25='check-Jul25'!AE25,"",'1. Live'!AE25-'check-Jul25'!AE25)</f>
        <v/>
      </c>
      <c r="AF25" t="str">
        <f>IF('1. Live'!AF25='check-Jul25'!AF25,"",'1. Live'!AF25-'check-Jul25'!AF25)</f>
        <v/>
      </c>
      <c r="AG25" t="str">
        <f>IF('1. Live'!AG25='check-Jul25'!AG25,"",'1. Live'!AG25-'check-Jul25'!AG25)</f>
        <v/>
      </c>
      <c r="AH25" t="str">
        <f>IF('1. Live'!AH25='check-Jul25'!AH25,"",'1. Live'!AH25-'check-Jul25'!AH25)</f>
        <v/>
      </c>
      <c r="AI25" t="str">
        <f>IF('1. Live'!AI25='check-Jul25'!AI25,"",'1. Live'!AI25-'check-Jul25'!AI25)</f>
        <v/>
      </c>
      <c r="AJ25" t="str">
        <f>IF('1. Live'!AJ25='check-Jul25'!AJ25,"",'1. Live'!AJ25-'check-Jul25'!AJ25)</f>
        <v/>
      </c>
      <c r="AK25" t="str">
        <f>IF('1. Live'!AK25='check-Jul25'!AK25,"",'1. Live'!AK25-'check-Jul25'!AK25)</f>
        <v/>
      </c>
      <c r="AL25" t="str">
        <f>IF('1. Live'!AL25='check-Jul25'!AL25,"",'1. Live'!AL25-'check-Jul25'!AL25)</f>
        <v/>
      </c>
      <c r="AM25" t="str">
        <f>IF('1. Live'!AM25='check-Jul25'!AM25,"",'1. Live'!AM25-'check-Jul25'!AM25)</f>
        <v/>
      </c>
      <c r="AN25" t="str">
        <f>IF('1. Live'!AN25='check-Jul25'!AN25,"",'1. Live'!AN25-'check-Jul25'!AN25)</f>
        <v/>
      </c>
      <c r="AO25" t="str">
        <f>IF('1. Live'!AO25='check-Jul25'!AO25,"",'1. Live'!AO25-'check-Jul25'!AO25)</f>
        <v/>
      </c>
      <c r="AP25" t="str">
        <f>IF('1. Live'!AP25='check-Jul25'!AP25,"",'1. Live'!AP25-'check-Jul25'!AP25)</f>
        <v/>
      </c>
      <c r="AQ25" t="str">
        <f>IF('1. Live'!AQ25='check-Jul25'!AQ25,"",'1. Live'!AQ25-'check-Jul25'!AQ25)</f>
        <v/>
      </c>
      <c r="AR25" t="str">
        <f>IF('1. Live'!AR25='check-Jul25'!AR25,"",'1. Live'!AR25-'check-Jul25'!AR25)</f>
        <v/>
      </c>
      <c r="AS25" t="str">
        <f>IF('1. Live'!AS25='check-Jul25'!AS25,"",'1. Live'!AS25-'check-Jul25'!AS25)</f>
        <v/>
      </c>
      <c r="AT25" t="str">
        <f>IF('1. Live'!AT25='check-Jul25'!AT25,"",'1. Live'!AT25-'check-Jul25'!AT25)</f>
        <v/>
      </c>
      <c r="AU25" t="str">
        <f>IF('1. Live'!AU25='check-Jul25'!AU25,"",'1. Live'!AU25-'check-Jul25'!AU25)</f>
        <v/>
      </c>
      <c r="AV25" t="str">
        <f>IF('1. Live'!AV25='check-Jul25'!AV25,"",'1. Live'!AV25-'check-Jul25'!AV25)</f>
        <v/>
      </c>
      <c r="AW25" t="str">
        <f>IF('1. Live'!AW25='check-Jul25'!AW25,"",'1. Live'!AW25-'check-Jul25'!AW25)</f>
        <v/>
      </c>
      <c r="AX25" t="str">
        <f>IF('1. Live'!AX25='check-Jul25'!AX25,"",'1. Live'!AX25-'check-Jul25'!AX25)</f>
        <v/>
      </c>
      <c r="AY25" t="str">
        <f>IF('1. Live'!AY25='check-Jul25'!AY25,"",'1. Live'!AY25-'check-Jul25'!AY25)</f>
        <v/>
      </c>
      <c r="AZ25" t="str">
        <f>IF('1. Live'!AZ25='check-Jul25'!AZ25,"",'1. Live'!AZ25-'check-Jul25'!AZ25)</f>
        <v/>
      </c>
      <c r="BA25" t="str">
        <f>IF('1. Live'!BA25='check-Jul25'!BA25,"",'1. Live'!BA25-'check-Jul25'!BA25)</f>
        <v/>
      </c>
      <c r="BB25" t="str">
        <f>IF('1. Live'!BB25='check-Jul25'!BB25,"",'1. Live'!BB25-'check-Jul25'!BB25)</f>
        <v/>
      </c>
      <c r="BC25" t="str">
        <f>IF('1. Live'!BC25='check-Jul25'!BC25,"",'1. Live'!BC25-'check-Jul25'!BC25)</f>
        <v/>
      </c>
      <c r="BD25" t="str">
        <f>IF('1. Live'!BD25='check-Jul25'!BD25,"",'1. Live'!BD25-'check-Jul25'!BD25)</f>
        <v/>
      </c>
      <c r="BE25" t="str">
        <f>IF('1. Live'!BE25='check-Jul25'!BE25,"",'1. Live'!BE25-'check-Jul25'!BE25)</f>
        <v/>
      </c>
      <c r="BF25" t="str">
        <f>IF('1. Live'!BF25='check-Jul25'!BF25,"",'1. Live'!BF25-'check-Jul25'!BF25)</f>
        <v/>
      </c>
      <c r="BG25" t="str">
        <f>IF('1. Live'!BG25='check-Jul25'!BG25,"",'1. Live'!BG25-'check-Jul25'!BG25)</f>
        <v/>
      </c>
      <c r="BH25" t="str">
        <f>IF('1. Live'!BH25='check-Jul25'!BH25,"",'1. Live'!BH25-'check-Jul25'!BH25)</f>
        <v/>
      </c>
      <c r="BI25" t="str">
        <f>IF('1. Live'!BI25='check-Jul25'!BI25,"",'1. Live'!BI25-'check-Jul25'!BI25)</f>
        <v/>
      </c>
      <c r="BJ25" t="str">
        <f>IF('1. Live'!BJ25='check-Jul25'!BJ25,"",'1. Live'!BJ25-'check-Jul25'!BJ25)</f>
        <v/>
      </c>
      <c r="BK25" t="str">
        <f>IF('1. Live'!BK25='check-Jul25'!BK25,"",'1. Live'!BK25-'check-Jul25'!BK25)</f>
        <v/>
      </c>
      <c r="BL25" t="str">
        <f>IF('1. Live'!BL25='check-Jul25'!BL25,"",'1. Live'!BL25-'check-Jul25'!BL25)</f>
        <v/>
      </c>
      <c r="BM25" t="str">
        <f>IF('1. Live'!BM25='check-Jul25'!BM25,"",'1. Live'!BM25-'check-Jul25'!BM25)</f>
        <v/>
      </c>
      <c r="BN25" t="str">
        <f>IF('1. Live'!BN25='check-Jul25'!BN25,"",'1. Live'!BN25-'check-Jul25'!BN25)</f>
        <v/>
      </c>
      <c r="BO25" t="str">
        <f>IF('1. Live'!BO25='check-Jul25'!BO25,"",'1. Live'!BO25-'check-Jul25'!BO25)</f>
        <v/>
      </c>
      <c r="BP25" t="str">
        <f>IF('1. Live'!BP25='check-Jul25'!BP25,"",'1. Live'!BP25-'check-Jul25'!BP25)</f>
        <v/>
      </c>
      <c r="BQ25" t="str">
        <f>IF('1. Live'!BQ25='check-Jul25'!BQ25,"",'1. Live'!BQ25-'check-Jul25'!BQ25)</f>
        <v/>
      </c>
      <c r="BR25" t="str">
        <f>IF('1. Live'!BR25='check-Jul25'!BR25,"",'1. Live'!BR25-'check-Jul25'!BR25)</f>
        <v/>
      </c>
      <c r="BS25" t="str">
        <f>IF('1. Live'!BS25='check-Jul25'!BS25,"",'1. Live'!BS25-'check-Jul25'!BS25)</f>
        <v/>
      </c>
      <c r="BT25" t="str">
        <f>IF('1. Live'!BT25='check-Jul25'!BT25,"",'1. Live'!BT25-'check-Jul25'!BT25)</f>
        <v/>
      </c>
      <c r="BU25" t="str">
        <f>IF('1. Live'!BU25='check-Jul25'!BU25,"",'1. Live'!BU25-'check-Jul25'!BU25)</f>
        <v/>
      </c>
      <c r="BV25" t="str">
        <f>IF('1. Live'!BV25='check-Jul25'!BV25,"",'1. Live'!BV25-'check-Jul25'!BV25)</f>
        <v/>
      </c>
      <c r="BW25" t="str">
        <f>IF('1. Live'!BW25='check-Jul25'!BW25,"",'1. Live'!BW25-'check-Jul25'!BW25)</f>
        <v/>
      </c>
      <c r="BX25" t="str">
        <f>IF('1. Live'!BX25='check-Jul25'!BX25,"",'1. Live'!BX25-'check-Jul25'!BX25)</f>
        <v/>
      </c>
      <c r="BY25" t="str">
        <f>IF('1. Live'!BY25='check-Jul25'!BY25,"",'1. Live'!BY25-'check-Jul25'!BY25)</f>
        <v/>
      </c>
      <c r="BZ25" t="str">
        <f>IF('1. Live'!BZ25='check-Jul25'!BZ25,"",'1. Live'!BZ25-'check-Jul25'!BZ25)</f>
        <v/>
      </c>
      <c r="CA25" t="str">
        <f>IF('1. Live'!CA25='check-Jul25'!CA25,"",'1. Live'!CA25-'check-Jul25'!CA25)</f>
        <v/>
      </c>
      <c r="CB25" t="str">
        <f>IF('1. Live'!CB25='check-Jul25'!CB25,"",'1. Live'!CB25-'check-Jul25'!CB25)</f>
        <v/>
      </c>
      <c r="CC25" t="str">
        <f>IF('1. Live'!CC25='check-Jul25'!CC25,"",'1. Live'!CC25-'check-Jul25'!CC25)</f>
        <v/>
      </c>
      <c r="CD25" t="str">
        <f>IF('1. Live'!CD25='check-Jul25'!CD25,"",'1. Live'!CD25-'check-Jul25'!CD25)</f>
        <v/>
      </c>
      <c r="CE25" t="str">
        <f>IF('1. Live'!CE25='check-Jul25'!CE25,"",'1. Live'!CE25-'check-Jul25'!CE25)</f>
        <v/>
      </c>
      <c r="CF25" t="str">
        <f>IF('1. Live'!CF25='check-Jul25'!CF25,"",'1. Live'!CF25-'check-Jul25'!CF25)</f>
        <v/>
      </c>
      <c r="CG25" t="str">
        <f>IF('1. Live'!CG25='check-Jul25'!CG25,"",'1. Live'!CG25-'check-Jul25'!CG25)</f>
        <v/>
      </c>
      <c r="CH25" t="str">
        <f>IF('1. Live'!CH25='check-Jul25'!CH25,"",'1. Live'!CH25-'check-Jul25'!CH25)</f>
        <v/>
      </c>
      <c r="CI25" t="str">
        <f>IF('1. Live'!CI25='check-Jul25'!CI25,"",'1. Live'!CI25-'check-Jul25'!CI25)</f>
        <v/>
      </c>
      <c r="CJ25" t="str">
        <f>IF('1. Live'!CJ25='check-Jul25'!CJ25,"",'1. Live'!CJ25-'check-Jul25'!CJ25)</f>
        <v/>
      </c>
      <c r="CK25" t="str">
        <f>IF('1. Live'!CK25='check-Jul25'!CK25,"",'1. Live'!CK25-'check-Jul25'!CK25)</f>
        <v/>
      </c>
      <c r="CL25" t="str">
        <f>IF('1. Live'!CL25='check-Jul25'!CL25,"",'1. Live'!CL25-'check-Jul25'!CL25)</f>
        <v/>
      </c>
      <c r="CM25" t="str">
        <f>IF('1. Live'!CM25='check-Jul25'!CM25,"",'1. Live'!CM25-'check-Jul25'!CM25)</f>
        <v/>
      </c>
      <c r="CN25" t="str">
        <f>IF('1. Live'!CN25='check-Jul25'!CN25,"",'1. Live'!CN25-'check-Jul25'!CN25)</f>
        <v/>
      </c>
      <c r="CO25" t="str">
        <f>IF('1. Live'!CO25='check-Jul25'!CO25,"",'1. Live'!CO25-'check-Jul25'!CO25)</f>
        <v/>
      </c>
      <c r="CP25" t="str">
        <f>IF('1. Live'!CP25='check-Jul25'!CP25,"",'1. Live'!CP25-'check-Jul25'!CP25)</f>
        <v/>
      </c>
      <c r="CQ25" t="str">
        <f>IF('1. Live'!CQ25='check-Jul25'!CQ25,"",'1. Live'!CQ25-'check-Jul25'!CQ25)</f>
        <v/>
      </c>
      <c r="CR25" t="str">
        <f>IF('1. Live'!CR25='check-Jul25'!CR25,"",'1. Live'!CR25-'check-Jul25'!CR25)</f>
        <v/>
      </c>
      <c r="CS25" t="str">
        <f>IF('1. Live'!CS25='check-Jul25'!CS25,"",'1. Live'!CS25-'check-Jul25'!CS25)</f>
        <v/>
      </c>
      <c r="CT25" t="str">
        <f>IF('1. Live'!CT25='check-Jul25'!CT25,"",'1. Live'!CT25-'check-Jul25'!CT25)</f>
        <v/>
      </c>
      <c r="CU25" t="str">
        <f>IF('1. Live'!CU25='check-Jul25'!CU25,"",'1. Live'!CU25-'check-Jul25'!CU25)</f>
        <v/>
      </c>
      <c r="CV25" t="str">
        <f>IF('1. Live'!CV25='check-Jul25'!CV25,"",'1. Live'!CV25-'check-Jul25'!CV25)</f>
        <v/>
      </c>
      <c r="CW25" t="str">
        <f>IF('1. Live'!CW25='check-Jul25'!CW25,"",'1. Live'!CW25-'check-Jul25'!CW25)</f>
        <v/>
      </c>
    </row>
    <row r="26" spans="2:101">
      <c r="B26" s="66"/>
      <c r="C26" s="4" t="s">
        <v>115</v>
      </c>
      <c r="D26" s="32" t="s">
        <v>250</v>
      </c>
      <c r="E26" s="2" t="s">
        <v>77</v>
      </c>
      <c r="F26" s="2">
        <v>0</v>
      </c>
      <c r="G26" s="2" t="s">
        <v>545</v>
      </c>
      <c r="H26" s="6">
        <v>2020</v>
      </c>
      <c r="I26" s="6" t="s">
        <v>53</v>
      </c>
      <c r="J26" s="90" t="str">
        <f>IF('1. Live'!J26='check-Jul25'!J26,"",'1. Live'!J26-'check-Jul25'!J26)</f>
        <v/>
      </c>
      <c r="K26" s="17">
        <f ca="1">IF('1. Live'!K26='check-Jul25'!K26,"",'1. Live'!K26-'check-Jul25'!K26)</f>
        <v>0.24292229103599894</v>
      </c>
      <c r="L26" s="17" t="str">
        <f ca="1">IF('1. Live'!L26='check-Jul25'!L26,"",'1. Live'!L26-'check-Jul25'!L26)</f>
        <v/>
      </c>
      <c r="M26" s="17">
        <f>IF('1. Live'!M26='check-Jul25'!M26,"",'1. Live'!M26-'check-Jul25'!M26)</f>
        <v>0.24292229103600071</v>
      </c>
      <c r="N26" s="17" t="str">
        <f>IF('1. Live'!N26='check-Jul25'!N26,"",'1. Live'!N26-'check-Jul25'!N26)</f>
        <v/>
      </c>
      <c r="O26" s="17">
        <f>IF('1. Live'!O26='check-Jul25'!O26,"",'1. Live'!O26-'check-Jul25'!O26)</f>
        <v>0.96040918018160326</v>
      </c>
      <c r="P26" s="17">
        <f ca="1">IF('1. Live'!P26='check-Jul25'!P26,"",'1. Live'!P26-'check-Jul25'!P26)</f>
        <v>0.96040918018159971</v>
      </c>
      <c r="Q26" s="17" t="str">
        <f>IF('1. Live'!Q26='check-Jul25'!Q26,"",'1. Live'!Q26-'check-Jul25'!Q26)</f>
        <v/>
      </c>
      <c r="R26" s="10">
        <f ca="1">IF('1. Live'!R26='check-Jul25'!R26,"",'1. Live'!R26-'check-Jul25'!R26)</f>
        <v>5.0260717481615647E-2</v>
      </c>
      <c r="S26" s="2" t="str">
        <f>IF('1. Live'!S26='check-Jul25'!S26,"",'1. Live'!S26-'check-Jul25'!S26)</f>
        <v/>
      </c>
      <c r="T26" s="67" t="str">
        <f>IF('1. Live'!T26='check-Jul25'!T26,"",'1. Live'!T26-'check-Jul25'!T26)</f>
        <v/>
      </c>
      <c r="U26" t="str">
        <f>IF('1. Live'!U26='check-Jul25'!U26,"",'1. Live'!U26-'check-Jul25'!U26)</f>
        <v/>
      </c>
      <c r="V26" t="str">
        <f>IF('1. Live'!V26='check-Jul25'!V26,"",'1. Live'!V26-'check-Jul25'!V26)</f>
        <v/>
      </c>
      <c r="W26" t="str">
        <f>IF('1. Live'!W26='check-Jul25'!W26,"",'1. Live'!W26-'check-Jul25'!W26)</f>
        <v/>
      </c>
      <c r="X26" t="str">
        <f>IF('1. Live'!X26='check-Jul25'!X26,"",'1. Live'!X26-'check-Jul25'!X26)</f>
        <v/>
      </c>
      <c r="Y26" t="str">
        <f>IF('1. Live'!Y26='check-Jul25'!Y26,"",'1. Live'!Y26-'check-Jul25'!Y26)</f>
        <v/>
      </c>
      <c r="Z26" t="str">
        <f>IF('1. Live'!Z26='check-Jul25'!Z26,"",'1. Live'!Z26-'check-Jul25'!Z26)</f>
        <v/>
      </c>
      <c r="AA26" t="str">
        <f>IF('1. Live'!AA26='check-Jul25'!AA26,"",'1. Live'!AA26-'check-Jul25'!AA26)</f>
        <v/>
      </c>
      <c r="AB26" t="str">
        <f>IF('1. Live'!AB26='check-Jul25'!AB26,"",'1. Live'!AB26-'check-Jul25'!AB26)</f>
        <v/>
      </c>
      <c r="AC26" t="str">
        <f>IF('1. Live'!AC26='check-Jul25'!AC26,"",'1. Live'!AC26-'check-Jul25'!AC26)</f>
        <v/>
      </c>
      <c r="AD26" t="str">
        <f>IF('1. Live'!AD26='check-Jul25'!AD26,"",'1. Live'!AD26-'check-Jul25'!AD26)</f>
        <v/>
      </c>
      <c r="AE26" t="str">
        <f>IF('1. Live'!AE26='check-Jul25'!AE26,"",'1. Live'!AE26-'check-Jul25'!AE26)</f>
        <v/>
      </c>
      <c r="AF26" t="str">
        <f>IF('1. Live'!AF26='check-Jul25'!AF26,"",'1. Live'!AF26-'check-Jul25'!AF26)</f>
        <v/>
      </c>
      <c r="AG26" t="str">
        <f>IF('1. Live'!AG26='check-Jul25'!AG26,"",'1. Live'!AG26-'check-Jul25'!AG26)</f>
        <v/>
      </c>
      <c r="AH26" t="str">
        <f>IF('1. Live'!AH26='check-Jul25'!AH26,"",'1. Live'!AH26-'check-Jul25'!AH26)</f>
        <v/>
      </c>
      <c r="AI26" t="str">
        <f>IF('1. Live'!AI26='check-Jul25'!AI26,"",'1. Live'!AI26-'check-Jul25'!AI26)</f>
        <v/>
      </c>
      <c r="AJ26" t="str">
        <f>IF('1. Live'!AJ26='check-Jul25'!AJ26,"",'1. Live'!AJ26-'check-Jul25'!AJ26)</f>
        <v/>
      </c>
      <c r="AK26" t="str">
        <f>IF('1. Live'!AK26='check-Jul25'!AK26,"",'1. Live'!AK26-'check-Jul25'!AK26)</f>
        <v/>
      </c>
      <c r="AL26" t="str">
        <f>IF('1. Live'!AL26='check-Jul25'!AL26,"",'1. Live'!AL26-'check-Jul25'!AL26)</f>
        <v/>
      </c>
      <c r="AM26" t="str">
        <f>IF('1. Live'!AM26='check-Jul25'!AM26,"",'1. Live'!AM26-'check-Jul25'!AM26)</f>
        <v/>
      </c>
      <c r="AN26" t="str">
        <f>IF('1. Live'!AN26='check-Jul25'!AN26,"",'1. Live'!AN26-'check-Jul25'!AN26)</f>
        <v/>
      </c>
      <c r="AO26" t="str">
        <f>IF('1. Live'!AO26='check-Jul25'!AO26,"",'1. Live'!AO26-'check-Jul25'!AO26)</f>
        <v/>
      </c>
      <c r="AP26" t="str">
        <f>IF('1. Live'!AP26='check-Jul25'!AP26,"",'1. Live'!AP26-'check-Jul25'!AP26)</f>
        <v/>
      </c>
      <c r="AQ26" t="str">
        <f>IF('1. Live'!AQ26='check-Jul25'!AQ26,"",'1. Live'!AQ26-'check-Jul25'!AQ26)</f>
        <v/>
      </c>
      <c r="AR26" t="str">
        <f>IF('1. Live'!AR26='check-Jul25'!AR26,"",'1. Live'!AR26-'check-Jul25'!AR26)</f>
        <v/>
      </c>
      <c r="AS26" t="str">
        <f>IF('1. Live'!AS26='check-Jul25'!AS26,"",'1. Live'!AS26-'check-Jul25'!AS26)</f>
        <v/>
      </c>
      <c r="AT26" t="str">
        <f>IF('1. Live'!AT26='check-Jul25'!AT26,"",'1. Live'!AT26-'check-Jul25'!AT26)</f>
        <v/>
      </c>
      <c r="AU26" t="str">
        <f>IF('1. Live'!AU26='check-Jul25'!AU26,"",'1. Live'!AU26-'check-Jul25'!AU26)</f>
        <v/>
      </c>
      <c r="AV26" t="str">
        <f>IF('1. Live'!AV26='check-Jul25'!AV26,"",'1. Live'!AV26-'check-Jul25'!AV26)</f>
        <v/>
      </c>
      <c r="AW26" t="str">
        <f>IF('1. Live'!AW26='check-Jul25'!AW26,"",'1. Live'!AW26-'check-Jul25'!AW26)</f>
        <v/>
      </c>
      <c r="AX26" t="str">
        <f>IF('1. Live'!AX26='check-Jul25'!AX26,"",'1. Live'!AX26-'check-Jul25'!AX26)</f>
        <v/>
      </c>
      <c r="AY26" t="str">
        <f>IF('1. Live'!AY26='check-Jul25'!AY26,"",'1. Live'!AY26-'check-Jul25'!AY26)</f>
        <v/>
      </c>
      <c r="AZ26" t="str">
        <f>IF('1. Live'!AZ26='check-Jul25'!AZ26,"",'1. Live'!AZ26-'check-Jul25'!AZ26)</f>
        <v/>
      </c>
      <c r="BA26" t="str">
        <f>IF('1. Live'!BA26='check-Jul25'!BA26,"",'1. Live'!BA26-'check-Jul25'!BA26)</f>
        <v/>
      </c>
      <c r="BB26" t="str">
        <f>IF('1. Live'!BB26='check-Jul25'!BB26,"",'1. Live'!BB26-'check-Jul25'!BB26)</f>
        <v/>
      </c>
      <c r="BC26" t="str">
        <f>IF('1. Live'!BC26='check-Jul25'!BC26,"",'1. Live'!BC26-'check-Jul25'!BC26)</f>
        <v/>
      </c>
      <c r="BD26" t="str">
        <f>IF('1. Live'!BD26='check-Jul25'!BD26,"",'1. Live'!BD26-'check-Jul25'!BD26)</f>
        <v/>
      </c>
      <c r="BE26" t="str">
        <f>IF('1. Live'!BE26='check-Jul25'!BE26,"",'1. Live'!BE26-'check-Jul25'!BE26)</f>
        <v/>
      </c>
      <c r="BF26" t="str">
        <f>IF('1. Live'!BF26='check-Jul25'!BF26,"",'1. Live'!BF26-'check-Jul25'!BF26)</f>
        <v/>
      </c>
      <c r="BG26" t="str">
        <f>IF('1. Live'!BG26='check-Jul25'!BG26,"",'1. Live'!BG26-'check-Jul25'!BG26)</f>
        <v/>
      </c>
      <c r="BH26" t="str">
        <f>IF('1. Live'!BH26='check-Jul25'!BH26,"",'1. Live'!BH26-'check-Jul25'!BH26)</f>
        <v/>
      </c>
      <c r="BI26" t="str">
        <f>IF('1. Live'!BI26='check-Jul25'!BI26,"",'1. Live'!BI26-'check-Jul25'!BI26)</f>
        <v/>
      </c>
      <c r="BJ26" t="str">
        <f>IF('1. Live'!BJ26='check-Jul25'!BJ26,"",'1. Live'!BJ26-'check-Jul25'!BJ26)</f>
        <v/>
      </c>
      <c r="BK26" t="str">
        <f>IF('1. Live'!BK26='check-Jul25'!BK26,"",'1. Live'!BK26-'check-Jul25'!BK26)</f>
        <v/>
      </c>
      <c r="BL26" t="str">
        <f>IF('1. Live'!BL26='check-Jul25'!BL26,"",'1. Live'!BL26-'check-Jul25'!BL26)</f>
        <v/>
      </c>
      <c r="BM26" t="str">
        <f>IF('1. Live'!BM26='check-Jul25'!BM26,"",'1. Live'!BM26-'check-Jul25'!BM26)</f>
        <v/>
      </c>
      <c r="BN26" t="str">
        <f>IF('1. Live'!BN26='check-Jul25'!BN26,"",'1. Live'!BN26-'check-Jul25'!BN26)</f>
        <v/>
      </c>
      <c r="BO26" t="str">
        <f>IF('1. Live'!BO26='check-Jul25'!BO26,"",'1. Live'!BO26-'check-Jul25'!BO26)</f>
        <v/>
      </c>
      <c r="BP26" t="str">
        <f>IF('1. Live'!BP26='check-Jul25'!BP26,"",'1. Live'!BP26-'check-Jul25'!BP26)</f>
        <v/>
      </c>
      <c r="BQ26" t="str">
        <f>IF('1. Live'!BQ26='check-Jul25'!BQ26,"",'1. Live'!BQ26-'check-Jul25'!BQ26)</f>
        <v/>
      </c>
      <c r="BR26" t="str">
        <f>IF('1. Live'!BR26='check-Jul25'!BR26,"",'1. Live'!BR26-'check-Jul25'!BR26)</f>
        <v/>
      </c>
      <c r="BS26" t="str">
        <f>IF('1. Live'!BS26='check-Jul25'!BS26,"",'1. Live'!BS26-'check-Jul25'!BS26)</f>
        <v/>
      </c>
      <c r="BT26" t="str">
        <f>IF('1. Live'!BT26='check-Jul25'!BT26,"",'1. Live'!BT26-'check-Jul25'!BT26)</f>
        <v/>
      </c>
      <c r="BU26" t="str">
        <f>IF('1. Live'!BU26='check-Jul25'!BU26,"",'1. Live'!BU26-'check-Jul25'!BU26)</f>
        <v/>
      </c>
      <c r="BV26" t="str">
        <f>IF('1. Live'!BV26='check-Jul25'!BV26,"",'1. Live'!BV26-'check-Jul25'!BV26)</f>
        <v/>
      </c>
      <c r="BW26" t="str">
        <f>IF('1. Live'!BW26='check-Jul25'!BW26,"",'1. Live'!BW26-'check-Jul25'!BW26)</f>
        <v/>
      </c>
      <c r="BX26" t="str">
        <f>IF('1. Live'!BX26='check-Jul25'!BX26,"",'1. Live'!BX26-'check-Jul25'!BX26)</f>
        <v/>
      </c>
      <c r="BY26" t="str">
        <f>IF('1. Live'!BY26='check-Jul25'!BY26,"",'1. Live'!BY26-'check-Jul25'!BY26)</f>
        <v/>
      </c>
      <c r="BZ26" t="str">
        <f>IF('1. Live'!BZ26='check-Jul25'!BZ26,"",'1. Live'!BZ26-'check-Jul25'!BZ26)</f>
        <v/>
      </c>
      <c r="CA26" t="str">
        <f>IF('1. Live'!CA26='check-Jul25'!CA26,"",'1. Live'!CA26-'check-Jul25'!CA26)</f>
        <v/>
      </c>
      <c r="CB26" t="str">
        <f>IF('1. Live'!CB26='check-Jul25'!CB26,"",'1. Live'!CB26-'check-Jul25'!CB26)</f>
        <v/>
      </c>
      <c r="CC26" t="str">
        <f>IF('1. Live'!CC26='check-Jul25'!CC26,"",'1. Live'!CC26-'check-Jul25'!CC26)</f>
        <v/>
      </c>
      <c r="CD26" t="str">
        <f>IF('1. Live'!CD26='check-Jul25'!CD26,"",'1. Live'!CD26-'check-Jul25'!CD26)</f>
        <v/>
      </c>
      <c r="CE26" t="str">
        <f>IF('1. Live'!CE26='check-Jul25'!CE26,"",'1. Live'!CE26-'check-Jul25'!CE26)</f>
        <v/>
      </c>
      <c r="CF26" t="str">
        <f>IF('1. Live'!CF26='check-Jul25'!CF26,"",'1. Live'!CF26-'check-Jul25'!CF26)</f>
        <v/>
      </c>
      <c r="CG26" t="str">
        <f>IF('1. Live'!CG26='check-Jul25'!CG26,"",'1. Live'!CG26-'check-Jul25'!CG26)</f>
        <v/>
      </c>
      <c r="CH26" t="str">
        <f>IF('1. Live'!CH26='check-Jul25'!CH26,"",'1. Live'!CH26-'check-Jul25'!CH26)</f>
        <v/>
      </c>
      <c r="CI26" t="str">
        <f>IF('1. Live'!CI26='check-Jul25'!CI26,"",'1. Live'!CI26-'check-Jul25'!CI26)</f>
        <v/>
      </c>
      <c r="CJ26" t="str">
        <f>IF('1. Live'!CJ26='check-Jul25'!CJ26,"",'1. Live'!CJ26-'check-Jul25'!CJ26)</f>
        <v/>
      </c>
      <c r="CK26" t="str">
        <f>IF('1. Live'!CK26='check-Jul25'!CK26,"",'1. Live'!CK26-'check-Jul25'!CK26)</f>
        <v/>
      </c>
      <c r="CL26" t="str">
        <f>IF('1. Live'!CL26='check-Jul25'!CL26,"",'1. Live'!CL26-'check-Jul25'!CL26)</f>
        <v/>
      </c>
      <c r="CM26" t="str">
        <f>IF('1. Live'!CM26='check-Jul25'!CM26,"",'1. Live'!CM26-'check-Jul25'!CM26)</f>
        <v/>
      </c>
      <c r="CN26" t="str">
        <f>IF('1. Live'!CN26='check-Jul25'!CN26,"",'1. Live'!CN26-'check-Jul25'!CN26)</f>
        <v/>
      </c>
      <c r="CO26" t="str">
        <f>IF('1. Live'!CO26='check-Jul25'!CO26,"",'1. Live'!CO26-'check-Jul25'!CO26)</f>
        <v/>
      </c>
      <c r="CP26" t="str">
        <f>IF('1. Live'!CP26='check-Jul25'!CP26,"",'1. Live'!CP26-'check-Jul25'!CP26)</f>
        <v/>
      </c>
      <c r="CQ26" t="str">
        <f>IF('1. Live'!CQ26='check-Jul25'!CQ26,"",'1. Live'!CQ26-'check-Jul25'!CQ26)</f>
        <v/>
      </c>
      <c r="CR26" t="str">
        <f>IF('1. Live'!CR26='check-Jul25'!CR26,"",'1. Live'!CR26-'check-Jul25'!CR26)</f>
        <v/>
      </c>
      <c r="CS26" t="str">
        <f>IF('1. Live'!CS26='check-Jul25'!CS26,"",'1. Live'!CS26-'check-Jul25'!CS26)</f>
        <v/>
      </c>
      <c r="CT26" t="str">
        <f>IF('1. Live'!CT26='check-Jul25'!CT26,"",'1. Live'!CT26-'check-Jul25'!CT26)</f>
        <v/>
      </c>
      <c r="CU26" t="str">
        <f>IF('1. Live'!CU26='check-Jul25'!CU26,"",'1. Live'!CU26-'check-Jul25'!CU26)</f>
        <v/>
      </c>
      <c r="CV26" t="str">
        <f>IF('1. Live'!CV26='check-Jul25'!CV26,"",'1. Live'!CV26-'check-Jul25'!CV26)</f>
        <v/>
      </c>
      <c r="CW26" t="str">
        <f>IF('1. Live'!CW26='check-Jul25'!CW26,"",'1. Live'!CW26-'check-Jul25'!CW26)</f>
        <v/>
      </c>
    </row>
    <row r="27" spans="2:101">
      <c r="B27" s="66"/>
      <c r="C27" s="4" t="s">
        <v>284</v>
      </c>
      <c r="D27" s="32" t="s">
        <v>250</v>
      </c>
      <c r="E27" s="2" t="s">
        <v>77</v>
      </c>
      <c r="F27" s="2">
        <v>0</v>
      </c>
      <c r="G27" s="2" t="s">
        <v>545</v>
      </c>
      <c r="H27" s="6">
        <v>2023</v>
      </c>
      <c r="I27" s="6" t="s">
        <v>53</v>
      </c>
      <c r="J27" s="90" t="str">
        <f>IF('1. Live'!J27='check-Jul25'!J27,"",'1. Live'!J27-'check-Jul25'!J27)</f>
        <v/>
      </c>
      <c r="K27" s="17" t="str">
        <f>IF('1. Live'!K27='check-Jul25'!K27,"",'1. Live'!K27-'check-Jul25'!K27)</f>
        <v/>
      </c>
      <c r="L27" s="17" t="str">
        <f>IF('1. Live'!L27='check-Jul25'!L27,"",'1. Live'!L27-'check-Jul25'!L27)</f>
        <v/>
      </c>
      <c r="M27" s="17" t="str">
        <f>IF('1. Live'!M27='check-Jul25'!M27,"",'1. Live'!M27-'check-Jul25'!M27)</f>
        <v/>
      </c>
      <c r="N27" s="17" t="str">
        <f>IF('1. Live'!N27='check-Jul25'!N27,"",'1. Live'!N27-'check-Jul25'!N27)</f>
        <v/>
      </c>
      <c r="O27" s="17">
        <f ca="1">IF('1. Live'!O27='check-Jul25'!O27,"",'1. Live'!O27-'check-Jul25'!O27)</f>
        <v>0.13599958847966631</v>
      </c>
      <c r="P27" s="17">
        <f ca="1">IF('1. Live'!P27='check-Jul25'!P27,"",'1. Live'!P27-'check-Jul25'!P27)</f>
        <v>0.13599958847966631</v>
      </c>
      <c r="Q27" s="17" t="str">
        <f>IF('1. Live'!Q27='check-Jul25'!Q27,"",'1. Live'!Q27-'check-Jul25'!Q27)</f>
        <v/>
      </c>
      <c r="R27" s="10">
        <f ca="1">IF('1. Live'!R27='check-Jul25'!R27,"",'1. Live'!R27-'check-Jul25'!R27)</f>
        <v>5.0260717481615869E-2</v>
      </c>
      <c r="S27" s="79" t="str">
        <f>IF('1. Live'!S27='check-Jul25'!S27,"",'1. Live'!S27-'check-Jul25'!S27)</f>
        <v/>
      </c>
      <c r="T27" s="67" t="str">
        <f>IF('1. Live'!T27='check-Jul25'!T27,"",'1. Live'!T27-'check-Jul25'!T27)</f>
        <v/>
      </c>
      <c r="U27" t="str">
        <f>IF('1. Live'!U27='check-Jul25'!U27,"",'1. Live'!U27-'check-Jul25'!U27)</f>
        <v/>
      </c>
      <c r="V27" t="str">
        <f>IF('1. Live'!V27='check-Jul25'!V27,"",'1. Live'!V27-'check-Jul25'!V27)</f>
        <v/>
      </c>
      <c r="W27" t="str">
        <f>IF('1. Live'!W27='check-Jul25'!W27,"",'1. Live'!W27-'check-Jul25'!W27)</f>
        <v/>
      </c>
      <c r="X27" t="str">
        <f>IF('1. Live'!X27='check-Jul25'!X27,"",'1. Live'!X27-'check-Jul25'!X27)</f>
        <v/>
      </c>
      <c r="Y27" t="str">
        <f>IF('1. Live'!Y27='check-Jul25'!Y27,"",'1. Live'!Y27-'check-Jul25'!Y27)</f>
        <v/>
      </c>
      <c r="Z27" t="str">
        <f>IF('1. Live'!Z27='check-Jul25'!Z27,"",'1. Live'!Z27-'check-Jul25'!Z27)</f>
        <v/>
      </c>
      <c r="AA27" t="str">
        <f>IF('1. Live'!AA27='check-Jul25'!AA27,"",'1. Live'!AA27-'check-Jul25'!AA27)</f>
        <v/>
      </c>
      <c r="AB27" t="str">
        <f>IF('1. Live'!AB27='check-Jul25'!AB27,"",'1. Live'!AB27-'check-Jul25'!AB27)</f>
        <v/>
      </c>
      <c r="AC27" t="str">
        <f>IF('1. Live'!AC27='check-Jul25'!AC27,"",'1. Live'!AC27-'check-Jul25'!AC27)</f>
        <v/>
      </c>
      <c r="AD27" t="str">
        <f>IF('1. Live'!AD27='check-Jul25'!AD27,"",'1. Live'!AD27-'check-Jul25'!AD27)</f>
        <v/>
      </c>
      <c r="AE27" t="str">
        <f>IF('1. Live'!AE27='check-Jul25'!AE27,"",'1. Live'!AE27-'check-Jul25'!AE27)</f>
        <v/>
      </c>
      <c r="AF27" t="str">
        <f>IF('1. Live'!AF27='check-Jul25'!AF27,"",'1. Live'!AF27-'check-Jul25'!AF27)</f>
        <v/>
      </c>
      <c r="AG27" t="str">
        <f>IF('1. Live'!AG27='check-Jul25'!AG27,"",'1. Live'!AG27-'check-Jul25'!AG27)</f>
        <v/>
      </c>
      <c r="AH27" t="str">
        <f>IF('1. Live'!AH27='check-Jul25'!AH27,"",'1. Live'!AH27-'check-Jul25'!AH27)</f>
        <v/>
      </c>
      <c r="AI27" t="str">
        <f>IF('1. Live'!AI27='check-Jul25'!AI27,"",'1. Live'!AI27-'check-Jul25'!AI27)</f>
        <v/>
      </c>
      <c r="AJ27" t="str">
        <f>IF('1. Live'!AJ27='check-Jul25'!AJ27,"",'1. Live'!AJ27-'check-Jul25'!AJ27)</f>
        <v/>
      </c>
      <c r="AK27" t="str">
        <f>IF('1. Live'!AK27='check-Jul25'!AK27,"",'1. Live'!AK27-'check-Jul25'!AK27)</f>
        <v/>
      </c>
      <c r="AL27" t="str">
        <f>IF('1. Live'!AL27='check-Jul25'!AL27,"",'1. Live'!AL27-'check-Jul25'!AL27)</f>
        <v/>
      </c>
      <c r="AM27" t="str">
        <f>IF('1. Live'!AM27='check-Jul25'!AM27,"",'1. Live'!AM27-'check-Jul25'!AM27)</f>
        <v/>
      </c>
      <c r="AN27" t="str">
        <f>IF('1. Live'!AN27='check-Jul25'!AN27,"",'1. Live'!AN27-'check-Jul25'!AN27)</f>
        <v/>
      </c>
      <c r="AO27" t="str">
        <f>IF('1. Live'!AO27='check-Jul25'!AO27,"",'1. Live'!AO27-'check-Jul25'!AO27)</f>
        <v/>
      </c>
      <c r="AP27" t="str">
        <f>IF('1. Live'!AP27='check-Jul25'!AP27,"",'1. Live'!AP27-'check-Jul25'!AP27)</f>
        <v/>
      </c>
      <c r="AQ27" t="str">
        <f>IF('1. Live'!AQ27='check-Jul25'!AQ27,"",'1. Live'!AQ27-'check-Jul25'!AQ27)</f>
        <v/>
      </c>
      <c r="AR27" t="str">
        <f>IF('1. Live'!AR27='check-Jul25'!AR27,"",'1. Live'!AR27-'check-Jul25'!AR27)</f>
        <v/>
      </c>
      <c r="AS27" t="str">
        <f>IF('1. Live'!AS27='check-Jul25'!AS27,"",'1. Live'!AS27-'check-Jul25'!AS27)</f>
        <v/>
      </c>
      <c r="AT27" t="str">
        <f>IF('1. Live'!AT27='check-Jul25'!AT27,"",'1. Live'!AT27-'check-Jul25'!AT27)</f>
        <v/>
      </c>
      <c r="AU27" t="str">
        <f>IF('1. Live'!AU27='check-Jul25'!AU27,"",'1. Live'!AU27-'check-Jul25'!AU27)</f>
        <v/>
      </c>
      <c r="AV27" t="str">
        <f>IF('1. Live'!AV27='check-Jul25'!AV27,"",'1. Live'!AV27-'check-Jul25'!AV27)</f>
        <v/>
      </c>
      <c r="AW27" t="str">
        <f>IF('1. Live'!AW27='check-Jul25'!AW27,"",'1. Live'!AW27-'check-Jul25'!AW27)</f>
        <v/>
      </c>
      <c r="AX27" t="str">
        <f>IF('1. Live'!AX27='check-Jul25'!AX27,"",'1. Live'!AX27-'check-Jul25'!AX27)</f>
        <v/>
      </c>
      <c r="AY27" t="str">
        <f>IF('1. Live'!AY27='check-Jul25'!AY27,"",'1. Live'!AY27-'check-Jul25'!AY27)</f>
        <v/>
      </c>
      <c r="AZ27" t="str">
        <f>IF('1. Live'!AZ27='check-Jul25'!AZ27,"",'1. Live'!AZ27-'check-Jul25'!AZ27)</f>
        <v/>
      </c>
      <c r="BA27" t="str">
        <f>IF('1. Live'!BA27='check-Jul25'!BA27,"",'1. Live'!BA27-'check-Jul25'!BA27)</f>
        <v/>
      </c>
      <c r="BB27" t="str">
        <f>IF('1. Live'!BB27='check-Jul25'!BB27,"",'1. Live'!BB27-'check-Jul25'!BB27)</f>
        <v/>
      </c>
      <c r="BC27" t="str">
        <f>IF('1. Live'!BC27='check-Jul25'!BC27,"",'1. Live'!BC27-'check-Jul25'!BC27)</f>
        <v/>
      </c>
      <c r="BD27" t="str">
        <f>IF('1. Live'!BD27='check-Jul25'!BD27,"",'1. Live'!BD27-'check-Jul25'!BD27)</f>
        <v/>
      </c>
      <c r="BE27" t="str">
        <f>IF('1. Live'!BE27='check-Jul25'!BE27,"",'1. Live'!BE27-'check-Jul25'!BE27)</f>
        <v/>
      </c>
      <c r="BF27" t="str">
        <f>IF('1. Live'!BF27='check-Jul25'!BF27,"",'1. Live'!BF27-'check-Jul25'!BF27)</f>
        <v/>
      </c>
      <c r="BG27" t="str">
        <f>IF('1. Live'!BG27='check-Jul25'!BG27,"",'1. Live'!BG27-'check-Jul25'!BG27)</f>
        <v/>
      </c>
      <c r="BH27" t="str">
        <f>IF('1. Live'!BH27='check-Jul25'!BH27,"",'1. Live'!BH27-'check-Jul25'!BH27)</f>
        <v/>
      </c>
      <c r="BI27" t="str">
        <f>IF('1. Live'!BI27='check-Jul25'!BI27,"",'1. Live'!BI27-'check-Jul25'!BI27)</f>
        <v/>
      </c>
      <c r="BJ27" t="str">
        <f>IF('1. Live'!BJ27='check-Jul25'!BJ27,"",'1. Live'!BJ27-'check-Jul25'!BJ27)</f>
        <v/>
      </c>
      <c r="BK27" t="str">
        <f>IF('1. Live'!BK27='check-Jul25'!BK27,"",'1. Live'!BK27-'check-Jul25'!BK27)</f>
        <v/>
      </c>
      <c r="BL27" t="str">
        <f>IF('1. Live'!BL27='check-Jul25'!BL27,"",'1. Live'!BL27-'check-Jul25'!BL27)</f>
        <v/>
      </c>
      <c r="BM27" t="str">
        <f>IF('1. Live'!BM27='check-Jul25'!BM27,"",'1. Live'!BM27-'check-Jul25'!BM27)</f>
        <v/>
      </c>
      <c r="BN27" t="str">
        <f>IF('1. Live'!BN27='check-Jul25'!BN27,"",'1. Live'!BN27-'check-Jul25'!BN27)</f>
        <v/>
      </c>
      <c r="BO27" t="str">
        <f>IF('1. Live'!BO27='check-Jul25'!BO27,"",'1. Live'!BO27-'check-Jul25'!BO27)</f>
        <v/>
      </c>
      <c r="BP27" t="str">
        <f>IF('1. Live'!BP27='check-Jul25'!BP27,"",'1. Live'!BP27-'check-Jul25'!BP27)</f>
        <v/>
      </c>
      <c r="BQ27" t="str">
        <f>IF('1. Live'!BQ27='check-Jul25'!BQ27,"",'1. Live'!BQ27-'check-Jul25'!BQ27)</f>
        <v/>
      </c>
      <c r="BR27" t="str">
        <f>IF('1. Live'!BR27='check-Jul25'!BR27,"",'1. Live'!BR27-'check-Jul25'!BR27)</f>
        <v/>
      </c>
      <c r="BS27" t="str">
        <f>IF('1. Live'!BS27='check-Jul25'!BS27,"",'1. Live'!BS27-'check-Jul25'!BS27)</f>
        <v/>
      </c>
      <c r="BT27" t="str">
        <f>IF('1. Live'!BT27='check-Jul25'!BT27,"",'1. Live'!BT27-'check-Jul25'!BT27)</f>
        <v/>
      </c>
      <c r="BU27" t="str">
        <f>IF('1. Live'!BU27='check-Jul25'!BU27,"",'1. Live'!BU27-'check-Jul25'!BU27)</f>
        <v/>
      </c>
      <c r="BV27" t="str">
        <f>IF('1. Live'!BV27='check-Jul25'!BV27,"",'1. Live'!BV27-'check-Jul25'!BV27)</f>
        <v/>
      </c>
      <c r="BW27" t="str">
        <f>IF('1. Live'!BW27='check-Jul25'!BW27,"",'1. Live'!BW27-'check-Jul25'!BW27)</f>
        <v/>
      </c>
      <c r="BX27" t="str">
        <f>IF('1. Live'!BX27='check-Jul25'!BX27,"",'1. Live'!BX27-'check-Jul25'!BX27)</f>
        <v/>
      </c>
      <c r="BY27" t="str">
        <f>IF('1. Live'!BY27='check-Jul25'!BY27,"",'1. Live'!BY27-'check-Jul25'!BY27)</f>
        <v/>
      </c>
      <c r="BZ27" t="str">
        <f>IF('1. Live'!BZ27='check-Jul25'!BZ27,"",'1. Live'!BZ27-'check-Jul25'!BZ27)</f>
        <v/>
      </c>
      <c r="CA27" t="str">
        <f>IF('1. Live'!CA27='check-Jul25'!CA27,"",'1. Live'!CA27-'check-Jul25'!CA27)</f>
        <v/>
      </c>
      <c r="CB27" t="str">
        <f>IF('1. Live'!CB27='check-Jul25'!CB27,"",'1. Live'!CB27-'check-Jul25'!CB27)</f>
        <v/>
      </c>
      <c r="CC27" t="str">
        <f>IF('1. Live'!CC27='check-Jul25'!CC27,"",'1. Live'!CC27-'check-Jul25'!CC27)</f>
        <v/>
      </c>
      <c r="CD27" t="str">
        <f>IF('1. Live'!CD27='check-Jul25'!CD27,"",'1. Live'!CD27-'check-Jul25'!CD27)</f>
        <v/>
      </c>
      <c r="CE27" t="str">
        <f>IF('1. Live'!CE27='check-Jul25'!CE27,"",'1. Live'!CE27-'check-Jul25'!CE27)</f>
        <v/>
      </c>
      <c r="CF27" t="str">
        <f>IF('1. Live'!CF27='check-Jul25'!CF27,"",'1. Live'!CF27-'check-Jul25'!CF27)</f>
        <v/>
      </c>
      <c r="CG27" t="str">
        <f>IF('1. Live'!CG27='check-Jul25'!CG27,"",'1. Live'!CG27-'check-Jul25'!CG27)</f>
        <v/>
      </c>
      <c r="CH27" t="str">
        <f>IF('1. Live'!CH27='check-Jul25'!CH27,"",'1. Live'!CH27-'check-Jul25'!CH27)</f>
        <v/>
      </c>
      <c r="CI27" t="str">
        <f>IF('1. Live'!CI27='check-Jul25'!CI27,"",'1. Live'!CI27-'check-Jul25'!CI27)</f>
        <v/>
      </c>
      <c r="CJ27" t="str">
        <f>IF('1. Live'!CJ27='check-Jul25'!CJ27,"",'1. Live'!CJ27-'check-Jul25'!CJ27)</f>
        <v/>
      </c>
      <c r="CK27" t="str">
        <f>IF('1. Live'!CK27='check-Jul25'!CK27,"",'1. Live'!CK27-'check-Jul25'!CK27)</f>
        <v/>
      </c>
      <c r="CL27" t="str">
        <f>IF('1. Live'!CL27='check-Jul25'!CL27,"",'1. Live'!CL27-'check-Jul25'!CL27)</f>
        <v/>
      </c>
      <c r="CM27" t="str">
        <f>IF('1. Live'!CM27='check-Jul25'!CM27,"",'1. Live'!CM27-'check-Jul25'!CM27)</f>
        <v/>
      </c>
      <c r="CN27" t="str">
        <f>IF('1. Live'!CN27='check-Jul25'!CN27,"",'1. Live'!CN27-'check-Jul25'!CN27)</f>
        <v/>
      </c>
      <c r="CO27" t="str">
        <f>IF('1. Live'!CO27='check-Jul25'!CO27,"",'1. Live'!CO27-'check-Jul25'!CO27)</f>
        <v/>
      </c>
      <c r="CP27" t="str">
        <f>IF('1. Live'!CP27='check-Jul25'!CP27,"",'1. Live'!CP27-'check-Jul25'!CP27)</f>
        <v/>
      </c>
      <c r="CQ27" t="str">
        <f>IF('1. Live'!CQ27='check-Jul25'!CQ27,"",'1. Live'!CQ27-'check-Jul25'!CQ27)</f>
        <v/>
      </c>
      <c r="CR27" t="str">
        <f>IF('1. Live'!CR27='check-Jul25'!CR27,"",'1. Live'!CR27-'check-Jul25'!CR27)</f>
        <v/>
      </c>
      <c r="CS27" t="str">
        <f>IF('1. Live'!CS27='check-Jul25'!CS27,"",'1. Live'!CS27-'check-Jul25'!CS27)</f>
        <v/>
      </c>
      <c r="CT27" t="str">
        <f>IF('1. Live'!CT27='check-Jul25'!CT27,"",'1. Live'!CT27-'check-Jul25'!CT27)</f>
        <v/>
      </c>
      <c r="CU27" t="str">
        <f>IF('1. Live'!CU27='check-Jul25'!CU27,"",'1. Live'!CU27-'check-Jul25'!CU27)</f>
        <v/>
      </c>
      <c r="CV27" t="str">
        <f>IF('1. Live'!CV27='check-Jul25'!CV27,"",'1. Live'!CV27-'check-Jul25'!CV27)</f>
        <v/>
      </c>
      <c r="CW27" t="str">
        <f>IF('1. Live'!CW27='check-Jul25'!CW27,"",'1. Live'!CW27-'check-Jul25'!CW27)</f>
        <v/>
      </c>
    </row>
    <row r="28" spans="2:101">
      <c r="B28" s="66"/>
      <c r="C28" s="4" t="s">
        <v>160</v>
      </c>
      <c r="D28" s="32" t="s">
        <v>250</v>
      </c>
      <c r="E28" s="2" t="s">
        <v>77</v>
      </c>
      <c r="F28" s="2">
        <v>0</v>
      </c>
      <c r="G28" s="2" t="s">
        <v>545</v>
      </c>
      <c r="H28" s="6">
        <v>2021</v>
      </c>
      <c r="I28" s="6" t="s">
        <v>53</v>
      </c>
      <c r="J28" s="90" t="str">
        <f>IF('1. Live'!J28='check-Jul25'!J28,"",'1. Live'!J28-'check-Jul25'!J28)</f>
        <v/>
      </c>
      <c r="K28" s="17" t="str">
        <f>IF('1. Live'!K28='check-Jul25'!K28,"",'1. Live'!K28-'check-Jul25'!K28)</f>
        <v/>
      </c>
      <c r="L28" s="17" t="str">
        <f ca="1">IF('1. Live'!L28='check-Jul25'!L28,"",'1. Live'!L28-'check-Jul25'!L28)</f>
        <v/>
      </c>
      <c r="M28" s="17" t="str">
        <f ca="1">IF('1. Live'!M28='check-Jul25'!M28,"",'1. Live'!M28-'check-Jul25'!M28)</f>
        <v/>
      </c>
      <c r="N28" s="17" t="str">
        <f>IF('1. Live'!N28='check-Jul25'!N28,"",'1. Live'!N28-'check-Jul25'!N28)</f>
        <v/>
      </c>
      <c r="O28" s="17">
        <f>IF('1. Live'!O28='check-Jul25'!O28,"",'1. Live'!O28-'check-Jul25'!O28)</f>
        <v>0.18284500000000037</v>
      </c>
      <c r="P28" s="17">
        <f ca="1">IF('1. Live'!P28='check-Jul25'!P28,"",'1. Live'!P28-'check-Jul25'!P28)</f>
        <v>0.18284500000000037</v>
      </c>
      <c r="Q28" s="17" t="str">
        <f>IF('1. Live'!Q28='check-Jul25'!Q28,"",'1. Live'!Q28-'check-Jul25'!Q28)</f>
        <v/>
      </c>
      <c r="R28" s="10">
        <f ca="1">IF('1. Live'!R28='check-Jul25'!R28,"",'1. Live'!R28-'check-Jul25'!R28)</f>
        <v>1.162663707733258E-2</v>
      </c>
      <c r="S28" s="2" t="str">
        <f>IF('1. Live'!S28='check-Jul25'!S28,"",'1. Live'!S28-'check-Jul25'!S28)</f>
        <v/>
      </c>
      <c r="T28" s="67" t="str">
        <f>IF('1. Live'!T28='check-Jul25'!T28,"",'1. Live'!T28-'check-Jul25'!T28)</f>
        <v/>
      </c>
      <c r="U28" t="str">
        <f>IF('1. Live'!U28='check-Jul25'!U28,"",'1. Live'!U28-'check-Jul25'!U28)</f>
        <v/>
      </c>
      <c r="V28" t="str">
        <f>IF('1. Live'!V28='check-Jul25'!V28,"",'1. Live'!V28-'check-Jul25'!V28)</f>
        <v/>
      </c>
      <c r="W28" t="str">
        <f>IF('1. Live'!W28='check-Jul25'!W28,"",'1. Live'!W28-'check-Jul25'!W28)</f>
        <v/>
      </c>
      <c r="X28" t="str">
        <f>IF('1. Live'!X28='check-Jul25'!X28,"",'1. Live'!X28-'check-Jul25'!X28)</f>
        <v/>
      </c>
      <c r="Y28" t="str">
        <f>IF('1. Live'!Y28='check-Jul25'!Y28,"",'1. Live'!Y28-'check-Jul25'!Y28)</f>
        <v/>
      </c>
      <c r="Z28" t="str">
        <f>IF('1. Live'!Z28='check-Jul25'!Z28,"",'1. Live'!Z28-'check-Jul25'!Z28)</f>
        <v/>
      </c>
      <c r="AA28" t="str">
        <f>IF('1. Live'!AA28='check-Jul25'!AA28,"",'1. Live'!AA28-'check-Jul25'!AA28)</f>
        <v/>
      </c>
      <c r="AB28" t="str">
        <f>IF('1. Live'!AB28='check-Jul25'!AB28,"",'1. Live'!AB28-'check-Jul25'!AB28)</f>
        <v/>
      </c>
      <c r="AC28" t="str">
        <f>IF('1. Live'!AC28='check-Jul25'!AC28,"",'1. Live'!AC28-'check-Jul25'!AC28)</f>
        <v/>
      </c>
      <c r="AD28" t="str">
        <f>IF('1. Live'!AD28='check-Jul25'!AD28,"",'1. Live'!AD28-'check-Jul25'!AD28)</f>
        <v/>
      </c>
      <c r="AE28" t="str">
        <f>IF('1. Live'!AE28='check-Jul25'!AE28,"",'1. Live'!AE28-'check-Jul25'!AE28)</f>
        <v/>
      </c>
      <c r="AF28" t="str">
        <f>IF('1. Live'!AF28='check-Jul25'!AF28,"",'1. Live'!AF28-'check-Jul25'!AF28)</f>
        <v/>
      </c>
      <c r="AG28" t="str">
        <f>IF('1. Live'!AG28='check-Jul25'!AG28,"",'1. Live'!AG28-'check-Jul25'!AG28)</f>
        <v/>
      </c>
      <c r="AH28" t="str">
        <f>IF('1. Live'!AH28='check-Jul25'!AH28,"",'1. Live'!AH28-'check-Jul25'!AH28)</f>
        <v/>
      </c>
      <c r="AI28" t="str">
        <f>IF('1. Live'!AI28='check-Jul25'!AI28,"",'1. Live'!AI28-'check-Jul25'!AI28)</f>
        <v/>
      </c>
      <c r="AJ28" t="str">
        <f>IF('1. Live'!AJ28='check-Jul25'!AJ28,"",'1. Live'!AJ28-'check-Jul25'!AJ28)</f>
        <v/>
      </c>
      <c r="AK28" t="str">
        <f>IF('1. Live'!AK28='check-Jul25'!AK28,"",'1. Live'!AK28-'check-Jul25'!AK28)</f>
        <v/>
      </c>
      <c r="AL28" t="str">
        <f>IF('1. Live'!AL28='check-Jul25'!AL28,"",'1. Live'!AL28-'check-Jul25'!AL28)</f>
        <v/>
      </c>
      <c r="AM28" t="str">
        <f>IF('1. Live'!AM28='check-Jul25'!AM28,"",'1. Live'!AM28-'check-Jul25'!AM28)</f>
        <v/>
      </c>
      <c r="AN28" t="str">
        <f>IF('1. Live'!AN28='check-Jul25'!AN28,"",'1. Live'!AN28-'check-Jul25'!AN28)</f>
        <v/>
      </c>
      <c r="AO28" t="str">
        <f>IF('1. Live'!AO28='check-Jul25'!AO28,"",'1. Live'!AO28-'check-Jul25'!AO28)</f>
        <v/>
      </c>
      <c r="AP28" t="str">
        <f>IF('1. Live'!AP28='check-Jul25'!AP28,"",'1. Live'!AP28-'check-Jul25'!AP28)</f>
        <v/>
      </c>
      <c r="AQ28" t="str">
        <f>IF('1. Live'!AQ28='check-Jul25'!AQ28,"",'1. Live'!AQ28-'check-Jul25'!AQ28)</f>
        <v/>
      </c>
      <c r="AR28" t="str">
        <f>IF('1. Live'!AR28='check-Jul25'!AR28,"",'1. Live'!AR28-'check-Jul25'!AR28)</f>
        <v/>
      </c>
      <c r="AS28" t="str">
        <f>IF('1. Live'!AS28='check-Jul25'!AS28,"",'1. Live'!AS28-'check-Jul25'!AS28)</f>
        <v/>
      </c>
      <c r="AT28" t="str">
        <f>IF('1. Live'!AT28='check-Jul25'!AT28,"",'1. Live'!AT28-'check-Jul25'!AT28)</f>
        <v/>
      </c>
      <c r="AU28" t="str">
        <f>IF('1. Live'!AU28='check-Jul25'!AU28,"",'1. Live'!AU28-'check-Jul25'!AU28)</f>
        <v/>
      </c>
      <c r="AV28" t="str">
        <f>IF('1. Live'!AV28='check-Jul25'!AV28,"",'1. Live'!AV28-'check-Jul25'!AV28)</f>
        <v/>
      </c>
      <c r="AW28" t="str">
        <f>IF('1. Live'!AW28='check-Jul25'!AW28,"",'1. Live'!AW28-'check-Jul25'!AW28)</f>
        <v/>
      </c>
      <c r="AX28" t="str">
        <f>IF('1. Live'!AX28='check-Jul25'!AX28,"",'1. Live'!AX28-'check-Jul25'!AX28)</f>
        <v/>
      </c>
      <c r="AY28" t="str">
        <f>IF('1. Live'!AY28='check-Jul25'!AY28,"",'1. Live'!AY28-'check-Jul25'!AY28)</f>
        <v/>
      </c>
      <c r="AZ28" t="str">
        <f>IF('1. Live'!AZ28='check-Jul25'!AZ28,"",'1. Live'!AZ28-'check-Jul25'!AZ28)</f>
        <v/>
      </c>
      <c r="BA28" t="str">
        <f>IF('1. Live'!BA28='check-Jul25'!BA28,"",'1. Live'!BA28-'check-Jul25'!BA28)</f>
        <v/>
      </c>
      <c r="BB28" t="str">
        <f>IF('1. Live'!BB28='check-Jul25'!BB28,"",'1. Live'!BB28-'check-Jul25'!BB28)</f>
        <v/>
      </c>
      <c r="BC28" t="str">
        <f>IF('1. Live'!BC28='check-Jul25'!BC28,"",'1. Live'!BC28-'check-Jul25'!BC28)</f>
        <v/>
      </c>
      <c r="BD28" t="str">
        <f>IF('1. Live'!BD28='check-Jul25'!BD28,"",'1. Live'!BD28-'check-Jul25'!BD28)</f>
        <v/>
      </c>
      <c r="BE28" t="str">
        <f>IF('1. Live'!BE28='check-Jul25'!BE28,"",'1. Live'!BE28-'check-Jul25'!BE28)</f>
        <v/>
      </c>
      <c r="BF28" t="str">
        <f>IF('1. Live'!BF28='check-Jul25'!BF28,"",'1. Live'!BF28-'check-Jul25'!BF28)</f>
        <v/>
      </c>
      <c r="BG28" t="str">
        <f>IF('1. Live'!BG28='check-Jul25'!BG28,"",'1. Live'!BG28-'check-Jul25'!BG28)</f>
        <v/>
      </c>
      <c r="BH28" t="str">
        <f>IF('1. Live'!BH28='check-Jul25'!BH28,"",'1. Live'!BH28-'check-Jul25'!BH28)</f>
        <v/>
      </c>
      <c r="BI28" t="str">
        <f>IF('1. Live'!BI28='check-Jul25'!BI28,"",'1. Live'!BI28-'check-Jul25'!BI28)</f>
        <v/>
      </c>
      <c r="BJ28" t="str">
        <f>IF('1. Live'!BJ28='check-Jul25'!BJ28,"",'1. Live'!BJ28-'check-Jul25'!BJ28)</f>
        <v/>
      </c>
      <c r="BK28" t="str">
        <f>IF('1. Live'!BK28='check-Jul25'!BK28,"",'1. Live'!BK28-'check-Jul25'!BK28)</f>
        <v/>
      </c>
      <c r="BL28" t="str">
        <f>IF('1. Live'!BL28='check-Jul25'!BL28,"",'1. Live'!BL28-'check-Jul25'!BL28)</f>
        <v/>
      </c>
      <c r="BM28" t="str">
        <f>IF('1. Live'!BM28='check-Jul25'!BM28,"",'1. Live'!BM28-'check-Jul25'!BM28)</f>
        <v/>
      </c>
      <c r="BN28" t="str">
        <f>IF('1. Live'!BN28='check-Jul25'!BN28,"",'1. Live'!BN28-'check-Jul25'!BN28)</f>
        <v/>
      </c>
      <c r="BO28" t="str">
        <f>IF('1. Live'!BO28='check-Jul25'!BO28,"",'1. Live'!BO28-'check-Jul25'!BO28)</f>
        <v/>
      </c>
      <c r="BP28" t="str">
        <f>IF('1. Live'!BP28='check-Jul25'!BP28,"",'1. Live'!BP28-'check-Jul25'!BP28)</f>
        <v/>
      </c>
      <c r="BQ28" t="str">
        <f>IF('1. Live'!BQ28='check-Jul25'!BQ28,"",'1. Live'!BQ28-'check-Jul25'!BQ28)</f>
        <v/>
      </c>
      <c r="BR28" t="str">
        <f>IF('1. Live'!BR28='check-Jul25'!BR28,"",'1. Live'!BR28-'check-Jul25'!BR28)</f>
        <v/>
      </c>
      <c r="BS28" t="str">
        <f>IF('1. Live'!BS28='check-Jul25'!BS28,"",'1. Live'!BS28-'check-Jul25'!BS28)</f>
        <v/>
      </c>
      <c r="BT28" t="str">
        <f>IF('1. Live'!BT28='check-Jul25'!BT28,"",'1. Live'!BT28-'check-Jul25'!BT28)</f>
        <v/>
      </c>
      <c r="BU28" t="str">
        <f>IF('1. Live'!BU28='check-Jul25'!BU28,"",'1. Live'!BU28-'check-Jul25'!BU28)</f>
        <v/>
      </c>
      <c r="BV28" t="str">
        <f>IF('1. Live'!BV28='check-Jul25'!BV28,"",'1. Live'!BV28-'check-Jul25'!BV28)</f>
        <v/>
      </c>
      <c r="BW28" t="str">
        <f>IF('1. Live'!BW28='check-Jul25'!BW28,"",'1. Live'!BW28-'check-Jul25'!BW28)</f>
        <v/>
      </c>
      <c r="BX28" t="str">
        <f>IF('1. Live'!BX28='check-Jul25'!BX28,"",'1. Live'!BX28-'check-Jul25'!BX28)</f>
        <v/>
      </c>
      <c r="BY28" t="str">
        <f>IF('1. Live'!BY28='check-Jul25'!BY28,"",'1. Live'!BY28-'check-Jul25'!BY28)</f>
        <v/>
      </c>
      <c r="BZ28" t="str">
        <f>IF('1. Live'!BZ28='check-Jul25'!BZ28,"",'1. Live'!BZ28-'check-Jul25'!BZ28)</f>
        <v/>
      </c>
      <c r="CA28" t="str">
        <f>IF('1. Live'!CA28='check-Jul25'!CA28,"",'1. Live'!CA28-'check-Jul25'!CA28)</f>
        <v/>
      </c>
      <c r="CB28" t="str">
        <f>IF('1. Live'!CB28='check-Jul25'!CB28,"",'1. Live'!CB28-'check-Jul25'!CB28)</f>
        <v/>
      </c>
      <c r="CC28" t="str">
        <f>IF('1. Live'!CC28='check-Jul25'!CC28,"",'1. Live'!CC28-'check-Jul25'!CC28)</f>
        <v/>
      </c>
      <c r="CD28" t="str">
        <f>IF('1. Live'!CD28='check-Jul25'!CD28,"",'1. Live'!CD28-'check-Jul25'!CD28)</f>
        <v/>
      </c>
      <c r="CE28" t="str">
        <f>IF('1. Live'!CE28='check-Jul25'!CE28,"",'1. Live'!CE28-'check-Jul25'!CE28)</f>
        <v/>
      </c>
      <c r="CF28" t="str">
        <f>IF('1. Live'!CF28='check-Jul25'!CF28,"",'1. Live'!CF28-'check-Jul25'!CF28)</f>
        <v/>
      </c>
      <c r="CG28" t="str">
        <f>IF('1. Live'!CG28='check-Jul25'!CG28,"",'1. Live'!CG28-'check-Jul25'!CG28)</f>
        <v/>
      </c>
      <c r="CH28" t="str">
        <f>IF('1. Live'!CH28='check-Jul25'!CH28,"",'1. Live'!CH28-'check-Jul25'!CH28)</f>
        <v/>
      </c>
      <c r="CI28" t="str">
        <f>IF('1. Live'!CI28='check-Jul25'!CI28,"",'1. Live'!CI28-'check-Jul25'!CI28)</f>
        <v/>
      </c>
      <c r="CJ28" t="str">
        <f>IF('1. Live'!CJ28='check-Jul25'!CJ28,"",'1. Live'!CJ28-'check-Jul25'!CJ28)</f>
        <v/>
      </c>
      <c r="CK28" t="str">
        <f>IF('1. Live'!CK28='check-Jul25'!CK28,"",'1. Live'!CK28-'check-Jul25'!CK28)</f>
        <v/>
      </c>
      <c r="CL28" t="str">
        <f>IF('1. Live'!CL28='check-Jul25'!CL28,"",'1. Live'!CL28-'check-Jul25'!CL28)</f>
        <v/>
      </c>
      <c r="CM28" t="str">
        <f>IF('1. Live'!CM28='check-Jul25'!CM28,"",'1. Live'!CM28-'check-Jul25'!CM28)</f>
        <v/>
      </c>
      <c r="CN28" t="str">
        <f>IF('1. Live'!CN28='check-Jul25'!CN28,"",'1. Live'!CN28-'check-Jul25'!CN28)</f>
        <v/>
      </c>
      <c r="CO28" t="str">
        <f>IF('1. Live'!CO28='check-Jul25'!CO28,"",'1. Live'!CO28-'check-Jul25'!CO28)</f>
        <v/>
      </c>
      <c r="CP28" t="str">
        <f>IF('1. Live'!CP28='check-Jul25'!CP28,"",'1. Live'!CP28-'check-Jul25'!CP28)</f>
        <v/>
      </c>
      <c r="CQ28" t="str">
        <f>IF('1. Live'!CQ28='check-Jul25'!CQ28,"",'1. Live'!CQ28-'check-Jul25'!CQ28)</f>
        <v/>
      </c>
      <c r="CR28" t="str">
        <f>IF('1. Live'!CR28='check-Jul25'!CR28,"",'1. Live'!CR28-'check-Jul25'!CR28)</f>
        <v/>
      </c>
      <c r="CS28" t="str">
        <f>IF('1. Live'!CS28='check-Jul25'!CS28,"",'1. Live'!CS28-'check-Jul25'!CS28)</f>
        <v/>
      </c>
      <c r="CT28" t="str">
        <f>IF('1. Live'!CT28='check-Jul25'!CT28,"",'1. Live'!CT28-'check-Jul25'!CT28)</f>
        <v/>
      </c>
      <c r="CU28" t="str">
        <f>IF('1. Live'!CU28='check-Jul25'!CU28,"",'1. Live'!CU28-'check-Jul25'!CU28)</f>
        <v/>
      </c>
      <c r="CV28" t="str">
        <f>IF('1. Live'!CV28='check-Jul25'!CV28,"",'1. Live'!CV28-'check-Jul25'!CV28)</f>
        <v/>
      </c>
      <c r="CW28" t="str">
        <f>IF('1. Live'!CW28='check-Jul25'!CW28,"",'1. Live'!CW28-'check-Jul25'!CW28)</f>
        <v/>
      </c>
    </row>
    <row r="29" spans="2:101">
      <c r="B29" s="66"/>
      <c r="C29" s="4"/>
      <c r="D29" s="32"/>
      <c r="E29" s="2"/>
      <c r="F29" s="2"/>
      <c r="G29" s="2"/>
      <c r="H29" s="2"/>
      <c r="I29" s="6"/>
      <c r="J29" s="90" t="str">
        <f>IF('1. Live'!J29='check-Jul25'!J29,"",'1. Live'!J29-'check-Jul25'!J29)</f>
        <v/>
      </c>
      <c r="K29" s="17" t="str">
        <f>IF('1. Live'!K29='check-Jul25'!K29,"",'1. Live'!K29-'check-Jul25'!K29)</f>
        <v/>
      </c>
      <c r="L29" s="17" t="str">
        <f>IF('1. Live'!L29='check-Jul25'!L29,"",'1. Live'!L29-'check-Jul25'!L29)</f>
        <v/>
      </c>
      <c r="M29" s="17" t="str">
        <f>IF('1. Live'!M29='check-Jul25'!M29,"",'1. Live'!M29-'check-Jul25'!M29)</f>
        <v/>
      </c>
      <c r="N29" s="17" t="str">
        <f>IF('1. Live'!N29='check-Jul25'!N29,"",'1. Live'!N29-'check-Jul25'!N29)</f>
        <v/>
      </c>
      <c r="O29" s="17" t="str">
        <f>IF('1. Live'!O29='check-Jul25'!O29,"",'1. Live'!O29-'check-Jul25'!O29)</f>
        <v/>
      </c>
      <c r="P29" s="17" t="str">
        <f>IF('1. Live'!P29='check-Jul25'!P29,"",'1. Live'!P29-'check-Jul25'!P29)</f>
        <v/>
      </c>
      <c r="Q29" s="17" t="str">
        <f>IF('1. Live'!Q29='check-Jul25'!Q29,"",'1. Live'!Q29-'check-Jul25'!Q29)</f>
        <v/>
      </c>
      <c r="R29" s="10" t="str">
        <f>IF('1. Live'!R29='check-Jul25'!R29,"",'1. Live'!R29-'check-Jul25'!R29)</f>
        <v/>
      </c>
      <c r="S29" s="87" t="str">
        <f>IF('1. Live'!S29='check-Jul25'!S29,"",'1. Live'!S29-'check-Jul25'!S29)</f>
        <v/>
      </c>
      <c r="T29" s="67" t="str">
        <f>IF('1. Live'!T29='check-Jul25'!T29,"",'1. Live'!T29-'check-Jul25'!T29)</f>
        <v/>
      </c>
      <c r="U29" t="str">
        <f>IF('1. Live'!U29='check-Jul25'!U29,"",'1. Live'!U29-'check-Jul25'!U29)</f>
        <v/>
      </c>
      <c r="V29" t="str">
        <f>IF('1. Live'!V29='check-Jul25'!V29,"",'1. Live'!V29-'check-Jul25'!V29)</f>
        <v/>
      </c>
      <c r="W29" t="str">
        <f>IF('1. Live'!W29='check-Jul25'!W29,"",'1. Live'!W29-'check-Jul25'!W29)</f>
        <v/>
      </c>
      <c r="X29" t="str">
        <f>IF('1. Live'!X29='check-Jul25'!X29,"",'1. Live'!X29-'check-Jul25'!X29)</f>
        <v/>
      </c>
      <c r="Y29" t="str">
        <f>IF('1. Live'!Y29='check-Jul25'!Y29,"",'1. Live'!Y29-'check-Jul25'!Y29)</f>
        <v/>
      </c>
      <c r="Z29" t="str">
        <f>IF('1. Live'!Z29='check-Jul25'!Z29,"",'1. Live'!Z29-'check-Jul25'!Z29)</f>
        <v/>
      </c>
      <c r="AA29" t="str">
        <f>IF('1. Live'!AA29='check-Jul25'!AA29,"",'1. Live'!AA29-'check-Jul25'!AA29)</f>
        <v/>
      </c>
      <c r="AB29" t="str">
        <f>IF('1. Live'!AB29='check-Jul25'!AB29,"",'1. Live'!AB29-'check-Jul25'!AB29)</f>
        <v/>
      </c>
      <c r="AC29" t="str">
        <f>IF('1. Live'!AC29='check-Jul25'!AC29,"",'1. Live'!AC29-'check-Jul25'!AC29)</f>
        <v/>
      </c>
      <c r="AD29" t="str">
        <f>IF('1. Live'!AD29='check-Jul25'!AD29,"",'1. Live'!AD29-'check-Jul25'!AD29)</f>
        <v/>
      </c>
      <c r="AE29" t="str">
        <f>IF('1. Live'!AE29='check-Jul25'!AE29,"",'1. Live'!AE29-'check-Jul25'!AE29)</f>
        <v/>
      </c>
      <c r="AF29" t="str">
        <f>IF('1. Live'!AF29='check-Jul25'!AF29,"",'1. Live'!AF29-'check-Jul25'!AF29)</f>
        <v/>
      </c>
      <c r="AG29" t="str">
        <f>IF('1. Live'!AG29='check-Jul25'!AG29,"",'1. Live'!AG29-'check-Jul25'!AG29)</f>
        <v/>
      </c>
      <c r="AH29" t="str">
        <f>IF('1. Live'!AH29='check-Jul25'!AH29,"",'1. Live'!AH29-'check-Jul25'!AH29)</f>
        <v/>
      </c>
      <c r="AI29" t="str">
        <f>IF('1. Live'!AI29='check-Jul25'!AI29,"",'1. Live'!AI29-'check-Jul25'!AI29)</f>
        <v/>
      </c>
      <c r="AJ29" t="str">
        <f>IF('1. Live'!AJ29='check-Jul25'!AJ29,"",'1. Live'!AJ29-'check-Jul25'!AJ29)</f>
        <v/>
      </c>
      <c r="AK29" t="str">
        <f>IF('1. Live'!AK29='check-Jul25'!AK29,"",'1. Live'!AK29-'check-Jul25'!AK29)</f>
        <v/>
      </c>
      <c r="AL29" t="str">
        <f>IF('1. Live'!AL29='check-Jul25'!AL29,"",'1. Live'!AL29-'check-Jul25'!AL29)</f>
        <v/>
      </c>
      <c r="AM29" t="str">
        <f>IF('1. Live'!AM29='check-Jul25'!AM29,"",'1. Live'!AM29-'check-Jul25'!AM29)</f>
        <v/>
      </c>
      <c r="AN29" t="str">
        <f>IF('1. Live'!AN29='check-Jul25'!AN29,"",'1. Live'!AN29-'check-Jul25'!AN29)</f>
        <v/>
      </c>
      <c r="AO29" t="str">
        <f>IF('1. Live'!AO29='check-Jul25'!AO29,"",'1. Live'!AO29-'check-Jul25'!AO29)</f>
        <v/>
      </c>
      <c r="AP29" t="str">
        <f>IF('1. Live'!AP29='check-Jul25'!AP29,"",'1. Live'!AP29-'check-Jul25'!AP29)</f>
        <v/>
      </c>
      <c r="AQ29" t="str">
        <f>IF('1. Live'!AQ29='check-Jul25'!AQ29,"",'1. Live'!AQ29-'check-Jul25'!AQ29)</f>
        <v/>
      </c>
      <c r="AR29" t="str">
        <f>IF('1. Live'!AR29='check-Jul25'!AR29,"",'1. Live'!AR29-'check-Jul25'!AR29)</f>
        <v/>
      </c>
      <c r="AS29" t="str">
        <f>IF('1. Live'!AS29='check-Jul25'!AS29,"",'1. Live'!AS29-'check-Jul25'!AS29)</f>
        <v/>
      </c>
      <c r="AT29" t="str">
        <f>IF('1. Live'!AT29='check-Jul25'!AT29,"",'1. Live'!AT29-'check-Jul25'!AT29)</f>
        <v/>
      </c>
      <c r="AU29" t="str">
        <f>IF('1. Live'!AU29='check-Jul25'!AU29,"",'1. Live'!AU29-'check-Jul25'!AU29)</f>
        <v/>
      </c>
      <c r="AV29" t="str">
        <f>IF('1. Live'!AV29='check-Jul25'!AV29,"",'1. Live'!AV29-'check-Jul25'!AV29)</f>
        <v/>
      </c>
      <c r="AW29" t="str">
        <f>IF('1. Live'!AW29='check-Jul25'!AW29,"",'1. Live'!AW29-'check-Jul25'!AW29)</f>
        <v/>
      </c>
      <c r="AX29" t="str">
        <f>IF('1. Live'!AX29='check-Jul25'!AX29,"",'1. Live'!AX29-'check-Jul25'!AX29)</f>
        <v/>
      </c>
      <c r="AY29" t="str">
        <f>IF('1. Live'!AY29='check-Jul25'!AY29,"",'1. Live'!AY29-'check-Jul25'!AY29)</f>
        <v/>
      </c>
      <c r="AZ29" t="str">
        <f>IF('1. Live'!AZ29='check-Jul25'!AZ29,"",'1. Live'!AZ29-'check-Jul25'!AZ29)</f>
        <v/>
      </c>
      <c r="BA29" t="str">
        <f>IF('1. Live'!BA29='check-Jul25'!BA29,"",'1. Live'!BA29-'check-Jul25'!BA29)</f>
        <v/>
      </c>
      <c r="BB29" t="str">
        <f>IF('1. Live'!BB29='check-Jul25'!BB29,"",'1. Live'!BB29-'check-Jul25'!BB29)</f>
        <v/>
      </c>
      <c r="BC29" t="str">
        <f>IF('1. Live'!BC29='check-Jul25'!BC29,"",'1. Live'!BC29-'check-Jul25'!BC29)</f>
        <v/>
      </c>
      <c r="BD29" t="str">
        <f>IF('1. Live'!BD29='check-Jul25'!BD29,"",'1. Live'!BD29-'check-Jul25'!BD29)</f>
        <v/>
      </c>
      <c r="BE29" t="str">
        <f>IF('1. Live'!BE29='check-Jul25'!BE29,"",'1. Live'!BE29-'check-Jul25'!BE29)</f>
        <v/>
      </c>
      <c r="BF29" t="str">
        <f>IF('1. Live'!BF29='check-Jul25'!BF29,"",'1. Live'!BF29-'check-Jul25'!BF29)</f>
        <v/>
      </c>
      <c r="BG29" t="str">
        <f>IF('1. Live'!BG29='check-Jul25'!BG29,"",'1. Live'!BG29-'check-Jul25'!BG29)</f>
        <v/>
      </c>
      <c r="BH29" t="str">
        <f>IF('1. Live'!BH29='check-Jul25'!BH29,"",'1. Live'!BH29-'check-Jul25'!BH29)</f>
        <v/>
      </c>
      <c r="BI29" t="str">
        <f>IF('1. Live'!BI29='check-Jul25'!BI29,"",'1. Live'!BI29-'check-Jul25'!BI29)</f>
        <v/>
      </c>
      <c r="BJ29" t="str">
        <f>IF('1. Live'!BJ29='check-Jul25'!BJ29,"",'1. Live'!BJ29-'check-Jul25'!BJ29)</f>
        <v/>
      </c>
      <c r="BK29" t="str">
        <f>IF('1. Live'!BK29='check-Jul25'!BK29,"",'1. Live'!BK29-'check-Jul25'!BK29)</f>
        <v/>
      </c>
      <c r="BL29" t="str">
        <f>IF('1. Live'!BL29='check-Jul25'!BL29,"",'1. Live'!BL29-'check-Jul25'!BL29)</f>
        <v/>
      </c>
      <c r="BM29" t="str">
        <f>IF('1. Live'!BM29='check-Jul25'!BM29,"",'1. Live'!BM29-'check-Jul25'!BM29)</f>
        <v/>
      </c>
      <c r="BN29" t="str">
        <f>IF('1. Live'!BN29='check-Jul25'!BN29,"",'1. Live'!BN29-'check-Jul25'!BN29)</f>
        <v/>
      </c>
      <c r="BO29" t="str">
        <f>IF('1. Live'!BO29='check-Jul25'!BO29,"",'1. Live'!BO29-'check-Jul25'!BO29)</f>
        <v/>
      </c>
      <c r="BP29" t="str">
        <f>IF('1. Live'!BP29='check-Jul25'!BP29,"",'1. Live'!BP29-'check-Jul25'!BP29)</f>
        <v/>
      </c>
      <c r="BQ29" t="str">
        <f>IF('1. Live'!BQ29='check-Jul25'!BQ29,"",'1. Live'!BQ29-'check-Jul25'!BQ29)</f>
        <v/>
      </c>
      <c r="BR29" t="str">
        <f>IF('1. Live'!BR29='check-Jul25'!BR29,"",'1. Live'!BR29-'check-Jul25'!BR29)</f>
        <v/>
      </c>
      <c r="BS29" t="str">
        <f>IF('1. Live'!BS29='check-Jul25'!BS29,"",'1. Live'!BS29-'check-Jul25'!BS29)</f>
        <v/>
      </c>
      <c r="BT29" t="str">
        <f>IF('1. Live'!BT29='check-Jul25'!BT29,"",'1. Live'!BT29-'check-Jul25'!BT29)</f>
        <v/>
      </c>
      <c r="BU29" t="str">
        <f>IF('1. Live'!BU29='check-Jul25'!BU29,"",'1. Live'!BU29-'check-Jul25'!BU29)</f>
        <v/>
      </c>
      <c r="BV29" t="str">
        <f>IF('1. Live'!BV29='check-Jul25'!BV29,"",'1. Live'!BV29-'check-Jul25'!BV29)</f>
        <v/>
      </c>
      <c r="BW29" t="str">
        <f>IF('1. Live'!BW29='check-Jul25'!BW29,"",'1. Live'!BW29-'check-Jul25'!BW29)</f>
        <v/>
      </c>
      <c r="BX29" t="str">
        <f>IF('1. Live'!BX29='check-Jul25'!BX29,"",'1. Live'!BX29-'check-Jul25'!BX29)</f>
        <v/>
      </c>
      <c r="BY29" t="str">
        <f>IF('1. Live'!BY29='check-Jul25'!BY29,"",'1. Live'!BY29-'check-Jul25'!BY29)</f>
        <v/>
      </c>
      <c r="BZ29" t="str">
        <f>IF('1. Live'!BZ29='check-Jul25'!BZ29,"",'1. Live'!BZ29-'check-Jul25'!BZ29)</f>
        <v/>
      </c>
      <c r="CA29" t="str">
        <f>IF('1. Live'!CA29='check-Jul25'!CA29,"",'1. Live'!CA29-'check-Jul25'!CA29)</f>
        <v/>
      </c>
      <c r="CB29" t="str">
        <f>IF('1. Live'!CB29='check-Jul25'!CB29,"",'1. Live'!CB29-'check-Jul25'!CB29)</f>
        <v/>
      </c>
      <c r="CC29" t="str">
        <f>IF('1. Live'!CC29='check-Jul25'!CC29,"",'1. Live'!CC29-'check-Jul25'!CC29)</f>
        <v/>
      </c>
      <c r="CD29" t="str">
        <f>IF('1. Live'!CD29='check-Jul25'!CD29,"",'1. Live'!CD29-'check-Jul25'!CD29)</f>
        <v/>
      </c>
      <c r="CE29" t="str">
        <f>IF('1. Live'!CE29='check-Jul25'!CE29,"",'1. Live'!CE29-'check-Jul25'!CE29)</f>
        <v/>
      </c>
      <c r="CF29" t="str">
        <f>IF('1. Live'!CF29='check-Jul25'!CF29,"",'1. Live'!CF29-'check-Jul25'!CF29)</f>
        <v/>
      </c>
      <c r="CG29" t="str">
        <f>IF('1. Live'!CG29='check-Jul25'!CG29,"",'1. Live'!CG29-'check-Jul25'!CG29)</f>
        <v/>
      </c>
      <c r="CH29" t="str">
        <f>IF('1. Live'!CH29='check-Jul25'!CH29,"",'1. Live'!CH29-'check-Jul25'!CH29)</f>
        <v/>
      </c>
      <c r="CI29" t="str">
        <f>IF('1. Live'!CI29='check-Jul25'!CI29,"",'1. Live'!CI29-'check-Jul25'!CI29)</f>
        <v/>
      </c>
      <c r="CJ29" t="str">
        <f>IF('1. Live'!CJ29='check-Jul25'!CJ29,"",'1. Live'!CJ29-'check-Jul25'!CJ29)</f>
        <v/>
      </c>
      <c r="CK29" t="str">
        <f>IF('1. Live'!CK29='check-Jul25'!CK29,"",'1. Live'!CK29-'check-Jul25'!CK29)</f>
        <v/>
      </c>
      <c r="CL29" t="str">
        <f>IF('1. Live'!CL29='check-Jul25'!CL29,"",'1. Live'!CL29-'check-Jul25'!CL29)</f>
        <v/>
      </c>
      <c r="CM29" t="str">
        <f>IF('1. Live'!CM29='check-Jul25'!CM29,"",'1. Live'!CM29-'check-Jul25'!CM29)</f>
        <v/>
      </c>
      <c r="CN29" t="str">
        <f>IF('1. Live'!CN29='check-Jul25'!CN29,"",'1. Live'!CN29-'check-Jul25'!CN29)</f>
        <v/>
      </c>
      <c r="CO29" t="str">
        <f>IF('1. Live'!CO29='check-Jul25'!CO29,"",'1. Live'!CO29-'check-Jul25'!CO29)</f>
        <v/>
      </c>
      <c r="CP29" t="str">
        <f>IF('1. Live'!CP29='check-Jul25'!CP29,"",'1. Live'!CP29-'check-Jul25'!CP29)</f>
        <v/>
      </c>
      <c r="CQ29" t="str">
        <f>IF('1. Live'!CQ29='check-Jul25'!CQ29,"",'1. Live'!CQ29-'check-Jul25'!CQ29)</f>
        <v/>
      </c>
      <c r="CR29" t="str">
        <f>IF('1. Live'!CR29='check-Jul25'!CR29,"",'1. Live'!CR29-'check-Jul25'!CR29)</f>
        <v/>
      </c>
      <c r="CS29" t="str">
        <f>IF('1. Live'!CS29='check-Jul25'!CS29,"",'1. Live'!CS29-'check-Jul25'!CS29)</f>
        <v/>
      </c>
      <c r="CT29" t="str">
        <f>IF('1. Live'!CT29='check-Jul25'!CT29,"",'1. Live'!CT29-'check-Jul25'!CT29)</f>
        <v/>
      </c>
      <c r="CU29" t="str">
        <f>IF('1. Live'!CU29='check-Jul25'!CU29,"",'1. Live'!CU29-'check-Jul25'!CU29)</f>
        <v/>
      </c>
      <c r="CV29" t="str">
        <f>IF('1. Live'!CV29='check-Jul25'!CV29,"",'1. Live'!CV29-'check-Jul25'!CV29)</f>
        <v/>
      </c>
      <c r="CW29" t="str">
        <f>IF('1. Live'!CW29='check-Jul25'!CW29,"",'1. Live'!CW29-'check-Jul25'!CW29)</f>
        <v/>
      </c>
    </row>
    <row r="30" spans="2:101">
      <c r="B30" s="68"/>
      <c r="C30" s="9"/>
      <c r="D30" s="9"/>
      <c r="E30" s="9"/>
      <c r="F30" s="9"/>
      <c r="G30" s="9"/>
      <c r="H30" s="9"/>
      <c r="I30" s="9"/>
      <c r="J30" s="93" t="str">
        <f>IF('1. Live'!J30='check-Jul25'!J30,"",'1. Live'!J30-'check-Jul25'!J30)</f>
        <v/>
      </c>
      <c r="K30" s="18">
        <f ca="1">IF('1. Live'!K30='check-Jul25'!K30,"",'1. Live'!K30-'check-Jul25'!K30)</f>
        <v>-0.11707770896401826</v>
      </c>
      <c r="L30" s="18" t="str">
        <f ca="1">IF('1. Live'!L30='check-Jul25'!L30,"",'1. Live'!L30-'check-Jul25'!L30)</f>
        <v/>
      </c>
      <c r="M30" s="18">
        <f ca="1">IF('1. Live'!M30='check-Jul25'!M30,"",'1. Live'!M30-'check-Jul25'!M30)</f>
        <v>-0.11707770896399872</v>
      </c>
      <c r="N30" s="18" t="str">
        <f ca="1">IF('1. Live'!N30='check-Jul25'!N30,"",'1. Live'!N30-'check-Jul25'!N30)</f>
        <v/>
      </c>
      <c r="O30" s="18">
        <f ca="1">IF('1. Live'!O30='check-Jul25'!O30,"",'1. Live'!O30-'check-Jul25'!O30)</f>
        <v>6.1506660186612407</v>
      </c>
      <c r="P30" s="18">
        <f ca="1">IF('1. Live'!P30='check-Jul25'!P30,"",'1. Live'!P30-'check-Jul25'!P30)</f>
        <v>6.1506660186612407</v>
      </c>
      <c r="Q30" s="18" t="str">
        <f>IF('1. Live'!Q30='check-Jul25'!Q30,"",'1. Live'!Q30-'check-Jul25'!Q30)</f>
        <v/>
      </c>
      <c r="R30" s="11">
        <f ca="1">IF('1. Live'!R30='check-Jul25'!R30,"",'1. Live'!R30-'check-Jul25'!R30)</f>
        <v>1.3808264512800816E-2</v>
      </c>
      <c r="S30" s="9" t="str">
        <f>IF('1. Live'!S30='check-Jul25'!S30,"",'1. Live'!S30-'check-Jul25'!S30)</f>
        <v/>
      </c>
      <c r="T30" s="69" t="str">
        <f>IF('1. Live'!T30='check-Jul25'!T30,"",'1. Live'!T30-'check-Jul25'!T30)</f>
        <v/>
      </c>
      <c r="U30" t="str">
        <f>IF('1. Live'!U30='check-Jul25'!U30,"",'1. Live'!U30-'check-Jul25'!U30)</f>
        <v/>
      </c>
      <c r="V30" t="str">
        <f>IF('1. Live'!V30='check-Jul25'!V30,"",'1. Live'!V30-'check-Jul25'!V30)</f>
        <v/>
      </c>
      <c r="W30" t="str">
        <f>IF('1. Live'!W30='check-Jul25'!W30,"",'1. Live'!W30-'check-Jul25'!W30)</f>
        <v/>
      </c>
      <c r="X30" t="str">
        <f>IF('1. Live'!X30='check-Jul25'!X30,"",'1. Live'!X30-'check-Jul25'!X30)</f>
        <v/>
      </c>
      <c r="Y30" t="str">
        <f>IF('1. Live'!Y30='check-Jul25'!Y30,"",'1. Live'!Y30-'check-Jul25'!Y30)</f>
        <v/>
      </c>
      <c r="Z30" t="str">
        <f>IF('1. Live'!Z30='check-Jul25'!Z30,"",'1. Live'!Z30-'check-Jul25'!Z30)</f>
        <v/>
      </c>
      <c r="AA30" t="str">
        <f>IF('1. Live'!AA30='check-Jul25'!AA30,"",'1. Live'!AA30-'check-Jul25'!AA30)</f>
        <v/>
      </c>
      <c r="AB30" t="str">
        <f>IF('1. Live'!AB30='check-Jul25'!AB30,"",'1. Live'!AB30-'check-Jul25'!AB30)</f>
        <v/>
      </c>
      <c r="AC30" t="str">
        <f>IF('1. Live'!AC30='check-Jul25'!AC30,"",'1. Live'!AC30-'check-Jul25'!AC30)</f>
        <v/>
      </c>
      <c r="AD30" t="str">
        <f>IF('1. Live'!AD30='check-Jul25'!AD30,"",'1. Live'!AD30-'check-Jul25'!AD30)</f>
        <v/>
      </c>
      <c r="AE30" t="str">
        <f>IF('1. Live'!AE30='check-Jul25'!AE30,"",'1. Live'!AE30-'check-Jul25'!AE30)</f>
        <v/>
      </c>
      <c r="AF30" t="str">
        <f>IF('1. Live'!AF30='check-Jul25'!AF30,"",'1. Live'!AF30-'check-Jul25'!AF30)</f>
        <v/>
      </c>
      <c r="AG30" t="str">
        <f>IF('1. Live'!AG30='check-Jul25'!AG30,"",'1. Live'!AG30-'check-Jul25'!AG30)</f>
        <v/>
      </c>
      <c r="AH30" t="str">
        <f>IF('1. Live'!AH30='check-Jul25'!AH30,"",'1. Live'!AH30-'check-Jul25'!AH30)</f>
        <v/>
      </c>
      <c r="AI30" t="str">
        <f>IF('1. Live'!AI30='check-Jul25'!AI30,"",'1. Live'!AI30-'check-Jul25'!AI30)</f>
        <v/>
      </c>
      <c r="AJ30" t="str">
        <f>IF('1. Live'!AJ30='check-Jul25'!AJ30,"",'1. Live'!AJ30-'check-Jul25'!AJ30)</f>
        <v/>
      </c>
      <c r="AK30" t="str">
        <f>IF('1. Live'!AK30='check-Jul25'!AK30,"",'1. Live'!AK30-'check-Jul25'!AK30)</f>
        <v/>
      </c>
      <c r="AL30" t="str">
        <f>IF('1. Live'!AL30='check-Jul25'!AL30,"",'1. Live'!AL30-'check-Jul25'!AL30)</f>
        <v/>
      </c>
      <c r="AM30" t="str">
        <f>IF('1. Live'!AM30='check-Jul25'!AM30,"",'1. Live'!AM30-'check-Jul25'!AM30)</f>
        <v/>
      </c>
      <c r="AN30" t="str">
        <f>IF('1. Live'!AN30='check-Jul25'!AN30,"",'1. Live'!AN30-'check-Jul25'!AN30)</f>
        <v/>
      </c>
      <c r="AO30" t="str">
        <f>IF('1. Live'!AO30='check-Jul25'!AO30,"",'1. Live'!AO30-'check-Jul25'!AO30)</f>
        <v/>
      </c>
      <c r="AP30" t="str">
        <f>IF('1. Live'!AP30='check-Jul25'!AP30,"",'1. Live'!AP30-'check-Jul25'!AP30)</f>
        <v/>
      </c>
      <c r="AQ30" t="str">
        <f>IF('1. Live'!AQ30='check-Jul25'!AQ30,"",'1. Live'!AQ30-'check-Jul25'!AQ30)</f>
        <v/>
      </c>
      <c r="AR30" t="str">
        <f>IF('1. Live'!AR30='check-Jul25'!AR30,"",'1. Live'!AR30-'check-Jul25'!AR30)</f>
        <v/>
      </c>
      <c r="AS30" t="str">
        <f>IF('1. Live'!AS30='check-Jul25'!AS30,"",'1. Live'!AS30-'check-Jul25'!AS30)</f>
        <v/>
      </c>
      <c r="AT30" t="str">
        <f>IF('1. Live'!AT30='check-Jul25'!AT30,"",'1. Live'!AT30-'check-Jul25'!AT30)</f>
        <v/>
      </c>
      <c r="AU30" t="str">
        <f>IF('1. Live'!AU30='check-Jul25'!AU30,"",'1. Live'!AU30-'check-Jul25'!AU30)</f>
        <v/>
      </c>
      <c r="AV30" t="str">
        <f>IF('1. Live'!AV30='check-Jul25'!AV30,"",'1. Live'!AV30-'check-Jul25'!AV30)</f>
        <v/>
      </c>
      <c r="AW30" t="str">
        <f>IF('1. Live'!AW30='check-Jul25'!AW30,"",'1. Live'!AW30-'check-Jul25'!AW30)</f>
        <v/>
      </c>
      <c r="AX30" t="str">
        <f>IF('1. Live'!AX30='check-Jul25'!AX30,"",'1. Live'!AX30-'check-Jul25'!AX30)</f>
        <v/>
      </c>
      <c r="AY30" t="str">
        <f>IF('1. Live'!AY30='check-Jul25'!AY30,"",'1. Live'!AY30-'check-Jul25'!AY30)</f>
        <v/>
      </c>
      <c r="AZ30" t="str">
        <f>IF('1. Live'!AZ30='check-Jul25'!AZ30,"",'1. Live'!AZ30-'check-Jul25'!AZ30)</f>
        <v/>
      </c>
      <c r="BA30" t="str">
        <f>IF('1. Live'!BA30='check-Jul25'!BA30,"",'1. Live'!BA30-'check-Jul25'!BA30)</f>
        <v/>
      </c>
      <c r="BB30" t="str">
        <f>IF('1. Live'!BB30='check-Jul25'!BB30,"",'1. Live'!BB30-'check-Jul25'!BB30)</f>
        <v/>
      </c>
      <c r="BC30" t="str">
        <f>IF('1. Live'!BC30='check-Jul25'!BC30,"",'1. Live'!BC30-'check-Jul25'!BC30)</f>
        <v/>
      </c>
      <c r="BD30" t="str">
        <f>IF('1. Live'!BD30='check-Jul25'!BD30,"",'1. Live'!BD30-'check-Jul25'!BD30)</f>
        <v/>
      </c>
      <c r="BE30" t="str">
        <f>IF('1. Live'!BE30='check-Jul25'!BE30,"",'1. Live'!BE30-'check-Jul25'!BE30)</f>
        <v/>
      </c>
      <c r="BF30" t="str">
        <f>IF('1. Live'!BF30='check-Jul25'!BF30,"",'1. Live'!BF30-'check-Jul25'!BF30)</f>
        <v/>
      </c>
      <c r="BG30" t="str">
        <f>IF('1. Live'!BG30='check-Jul25'!BG30,"",'1. Live'!BG30-'check-Jul25'!BG30)</f>
        <v/>
      </c>
      <c r="BH30" t="str">
        <f>IF('1. Live'!BH30='check-Jul25'!BH30,"",'1. Live'!BH30-'check-Jul25'!BH30)</f>
        <v/>
      </c>
      <c r="BI30" t="str">
        <f>IF('1. Live'!BI30='check-Jul25'!BI30,"",'1. Live'!BI30-'check-Jul25'!BI30)</f>
        <v/>
      </c>
      <c r="BJ30" t="str">
        <f>IF('1. Live'!BJ30='check-Jul25'!BJ30,"",'1. Live'!BJ30-'check-Jul25'!BJ30)</f>
        <v/>
      </c>
      <c r="BK30" t="str">
        <f>IF('1. Live'!BK30='check-Jul25'!BK30,"",'1. Live'!BK30-'check-Jul25'!BK30)</f>
        <v/>
      </c>
      <c r="BL30" t="str">
        <f>IF('1. Live'!BL30='check-Jul25'!BL30,"",'1. Live'!BL30-'check-Jul25'!BL30)</f>
        <v/>
      </c>
      <c r="BM30" t="str">
        <f>IF('1. Live'!BM30='check-Jul25'!BM30,"",'1. Live'!BM30-'check-Jul25'!BM30)</f>
        <v/>
      </c>
      <c r="BN30" t="str">
        <f>IF('1. Live'!BN30='check-Jul25'!BN30,"",'1. Live'!BN30-'check-Jul25'!BN30)</f>
        <v/>
      </c>
      <c r="BO30" t="str">
        <f>IF('1. Live'!BO30='check-Jul25'!BO30,"",'1. Live'!BO30-'check-Jul25'!BO30)</f>
        <v/>
      </c>
      <c r="BP30" t="str">
        <f>IF('1. Live'!BP30='check-Jul25'!BP30,"",'1. Live'!BP30-'check-Jul25'!BP30)</f>
        <v/>
      </c>
      <c r="BQ30" t="str">
        <f>IF('1. Live'!BQ30='check-Jul25'!BQ30,"",'1. Live'!BQ30-'check-Jul25'!BQ30)</f>
        <v/>
      </c>
      <c r="BR30" t="str">
        <f>IF('1. Live'!BR30='check-Jul25'!BR30,"",'1. Live'!BR30-'check-Jul25'!BR30)</f>
        <v/>
      </c>
      <c r="BS30" t="str">
        <f>IF('1. Live'!BS30='check-Jul25'!BS30,"",'1. Live'!BS30-'check-Jul25'!BS30)</f>
        <v/>
      </c>
      <c r="BT30" t="str">
        <f>IF('1. Live'!BT30='check-Jul25'!BT30,"",'1. Live'!BT30-'check-Jul25'!BT30)</f>
        <v/>
      </c>
      <c r="BU30" t="str">
        <f>IF('1. Live'!BU30='check-Jul25'!BU30,"",'1. Live'!BU30-'check-Jul25'!BU30)</f>
        <v/>
      </c>
      <c r="BV30" t="str">
        <f>IF('1. Live'!BV30='check-Jul25'!BV30,"",'1. Live'!BV30-'check-Jul25'!BV30)</f>
        <v/>
      </c>
      <c r="BW30" t="str">
        <f>IF('1. Live'!BW30='check-Jul25'!BW30,"",'1. Live'!BW30-'check-Jul25'!BW30)</f>
        <v/>
      </c>
      <c r="BX30" t="str">
        <f>IF('1. Live'!BX30='check-Jul25'!BX30,"",'1. Live'!BX30-'check-Jul25'!BX30)</f>
        <v/>
      </c>
      <c r="BY30" t="str">
        <f>IF('1. Live'!BY30='check-Jul25'!BY30,"",'1. Live'!BY30-'check-Jul25'!BY30)</f>
        <v/>
      </c>
      <c r="BZ30" t="str">
        <f>IF('1. Live'!BZ30='check-Jul25'!BZ30,"",'1. Live'!BZ30-'check-Jul25'!BZ30)</f>
        <v/>
      </c>
      <c r="CA30" t="str">
        <f>IF('1. Live'!CA30='check-Jul25'!CA30,"",'1. Live'!CA30-'check-Jul25'!CA30)</f>
        <v/>
      </c>
      <c r="CB30" t="str">
        <f>IF('1. Live'!CB30='check-Jul25'!CB30,"",'1. Live'!CB30-'check-Jul25'!CB30)</f>
        <v/>
      </c>
      <c r="CC30" t="str">
        <f>IF('1. Live'!CC30='check-Jul25'!CC30,"",'1. Live'!CC30-'check-Jul25'!CC30)</f>
        <v/>
      </c>
      <c r="CD30" t="str">
        <f>IF('1. Live'!CD30='check-Jul25'!CD30,"",'1. Live'!CD30-'check-Jul25'!CD30)</f>
        <v/>
      </c>
      <c r="CE30" t="str">
        <f>IF('1. Live'!CE30='check-Jul25'!CE30,"",'1. Live'!CE30-'check-Jul25'!CE30)</f>
        <v/>
      </c>
      <c r="CF30" t="str">
        <f>IF('1. Live'!CF30='check-Jul25'!CF30,"",'1. Live'!CF30-'check-Jul25'!CF30)</f>
        <v/>
      </c>
      <c r="CG30" t="str">
        <f>IF('1. Live'!CG30='check-Jul25'!CG30,"",'1. Live'!CG30-'check-Jul25'!CG30)</f>
        <v/>
      </c>
      <c r="CH30" t="str">
        <f>IF('1. Live'!CH30='check-Jul25'!CH30,"",'1. Live'!CH30-'check-Jul25'!CH30)</f>
        <v/>
      </c>
      <c r="CI30" t="str">
        <f>IF('1. Live'!CI30='check-Jul25'!CI30,"",'1. Live'!CI30-'check-Jul25'!CI30)</f>
        <v/>
      </c>
      <c r="CJ30" t="str">
        <f>IF('1. Live'!CJ30='check-Jul25'!CJ30,"",'1. Live'!CJ30-'check-Jul25'!CJ30)</f>
        <v/>
      </c>
      <c r="CK30" t="str">
        <f>IF('1. Live'!CK30='check-Jul25'!CK30,"",'1. Live'!CK30-'check-Jul25'!CK30)</f>
        <v/>
      </c>
      <c r="CL30" t="str">
        <f>IF('1. Live'!CL30='check-Jul25'!CL30,"",'1. Live'!CL30-'check-Jul25'!CL30)</f>
        <v/>
      </c>
      <c r="CM30" t="str">
        <f>IF('1. Live'!CM30='check-Jul25'!CM30,"",'1. Live'!CM30-'check-Jul25'!CM30)</f>
        <v/>
      </c>
      <c r="CN30" t="str">
        <f>IF('1. Live'!CN30='check-Jul25'!CN30,"",'1. Live'!CN30-'check-Jul25'!CN30)</f>
        <v/>
      </c>
      <c r="CO30" t="str">
        <f>IF('1. Live'!CO30='check-Jul25'!CO30,"",'1. Live'!CO30-'check-Jul25'!CO30)</f>
        <v/>
      </c>
      <c r="CP30" t="str">
        <f>IF('1. Live'!CP30='check-Jul25'!CP30,"",'1. Live'!CP30-'check-Jul25'!CP30)</f>
        <v/>
      </c>
      <c r="CQ30" t="str">
        <f>IF('1. Live'!CQ30='check-Jul25'!CQ30,"",'1. Live'!CQ30-'check-Jul25'!CQ30)</f>
        <v/>
      </c>
      <c r="CR30" t="str">
        <f>IF('1. Live'!CR30='check-Jul25'!CR30,"",'1. Live'!CR30-'check-Jul25'!CR30)</f>
        <v/>
      </c>
      <c r="CS30" t="str">
        <f>IF('1. Live'!CS30='check-Jul25'!CS30,"",'1. Live'!CS30-'check-Jul25'!CS30)</f>
        <v/>
      </c>
      <c r="CT30" t="str">
        <f>IF('1. Live'!CT30='check-Jul25'!CT30,"",'1. Live'!CT30-'check-Jul25'!CT30)</f>
        <v/>
      </c>
      <c r="CU30" t="str">
        <f>IF('1. Live'!CU30='check-Jul25'!CU30,"",'1. Live'!CU30-'check-Jul25'!CU30)</f>
        <v/>
      </c>
      <c r="CV30" t="str">
        <f>IF('1. Live'!CV30='check-Jul25'!CV30,"",'1. Live'!CV30-'check-Jul25'!CV30)</f>
        <v/>
      </c>
      <c r="CW30" t="str">
        <f>IF('1. Live'!CW30='check-Jul25'!CW30,"",'1. Live'!CW30-'check-Jul25'!CW30)</f>
        <v/>
      </c>
    </row>
    <row r="31" spans="2:101">
      <c r="B31" s="68"/>
      <c r="C31" s="145"/>
      <c r="D31" s="145"/>
      <c r="E31" s="145"/>
      <c r="F31" s="145"/>
      <c r="G31" s="145"/>
      <c r="H31" s="145"/>
      <c r="I31" s="145"/>
      <c r="J31" s="92" t="str">
        <f>IF('1. Live'!J31='check-Jul25'!J31,"",'1. Live'!J31-'check-Jul25'!J31)</f>
        <v/>
      </c>
      <c r="K31" s="146" t="str">
        <f>IF('1. Live'!K31='check-Jul25'!K31,"",'1. Live'!K31-'check-Jul25'!K31)</f>
        <v/>
      </c>
      <c r="L31" s="146" t="str">
        <f>IF('1. Live'!L31='check-Jul25'!L31,"",'1. Live'!L31-'check-Jul25'!L31)</f>
        <v/>
      </c>
      <c r="M31" s="146" t="str">
        <f>IF('1. Live'!M31='check-Jul25'!M31,"",'1. Live'!M31-'check-Jul25'!M31)</f>
        <v/>
      </c>
      <c r="N31" s="146" t="str">
        <f>IF('1. Live'!N31='check-Jul25'!N31,"",'1. Live'!N31-'check-Jul25'!N31)</f>
        <v/>
      </c>
      <c r="O31" s="146" t="str">
        <f>IF('1. Live'!O31='check-Jul25'!O31,"",'1. Live'!O31-'check-Jul25'!O31)</f>
        <v/>
      </c>
      <c r="P31" s="146" t="str">
        <f>IF('1. Live'!P31='check-Jul25'!P31,"",'1. Live'!P31-'check-Jul25'!P31)</f>
        <v/>
      </c>
      <c r="Q31" s="146" t="str">
        <f>IF('1. Live'!Q31='check-Jul25'!Q31,"",'1. Live'!Q31-'check-Jul25'!Q31)</f>
        <v/>
      </c>
      <c r="R31" s="147" t="str">
        <f>IF('1. Live'!R31='check-Jul25'!R31,"",'1. Live'!R31-'check-Jul25'!R31)</f>
        <v/>
      </c>
      <c r="S31" s="145" t="str">
        <f>IF('1. Live'!S31='check-Jul25'!S31,"",'1. Live'!S31-'check-Jul25'!S31)</f>
        <v/>
      </c>
      <c r="T31" s="69" t="str">
        <f>IF('1. Live'!T31='check-Jul25'!T31,"",'1. Live'!T31-'check-Jul25'!T31)</f>
        <v/>
      </c>
      <c r="U31" t="str">
        <f>IF('1. Live'!U31='check-Jul25'!U31,"",'1. Live'!U31-'check-Jul25'!U31)</f>
        <v/>
      </c>
      <c r="V31" t="str">
        <f>IF('1. Live'!V31='check-Jul25'!V31,"",'1. Live'!V31-'check-Jul25'!V31)</f>
        <v/>
      </c>
      <c r="W31" t="str">
        <f>IF('1. Live'!W31='check-Jul25'!W31,"",'1. Live'!W31-'check-Jul25'!W31)</f>
        <v/>
      </c>
      <c r="X31" t="str">
        <f>IF('1. Live'!X31='check-Jul25'!X31,"",'1. Live'!X31-'check-Jul25'!X31)</f>
        <v/>
      </c>
      <c r="Y31" t="str">
        <f>IF('1. Live'!Y31='check-Jul25'!Y31,"",'1. Live'!Y31-'check-Jul25'!Y31)</f>
        <v/>
      </c>
      <c r="Z31" t="str">
        <f>IF('1. Live'!Z31='check-Jul25'!Z31,"",'1. Live'!Z31-'check-Jul25'!Z31)</f>
        <v/>
      </c>
      <c r="AA31" t="str">
        <f>IF('1. Live'!AA31='check-Jul25'!AA31,"",'1. Live'!AA31-'check-Jul25'!AA31)</f>
        <v/>
      </c>
      <c r="AB31" t="str">
        <f>IF('1. Live'!AB31='check-Jul25'!AB31,"",'1. Live'!AB31-'check-Jul25'!AB31)</f>
        <v/>
      </c>
      <c r="AC31" t="str">
        <f>IF('1. Live'!AC31='check-Jul25'!AC31,"",'1. Live'!AC31-'check-Jul25'!AC31)</f>
        <v/>
      </c>
      <c r="AD31" t="str">
        <f>IF('1. Live'!AD31='check-Jul25'!AD31,"",'1. Live'!AD31-'check-Jul25'!AD31)</f>
        <v/>
      </c>
      <c r="AE31" t="str">
        <f>IF('1. Live'!AE31='check-Jul25'!AE31,"",'1. Live'!AE31-'check-Jul25'!AE31)</f>
        <v/>
      </c>
      <c r="AF31" t="str">
        <f>IF('1. Live'!AF31='check-Jul25'!AF31,"",'1. Live'!AF31-'check-Jul25'!AF31)</f>
        <v/>
      </c>
      <c r="AG31" t="str">
        <f>IF('1. Live'!AG31='check-Jul25'!AG31,"",'1. Live'!AG31-'check-Jul25'!AG31)</f>
        <v/>
      </c>
      <c r="AH31" t="str">
        <f>IF('1. Live'!AH31='check-Jul25'!AH31,"",'1. Live'!AH31-'check-Jul25'!AH31)</f>
        <v/>
      </c>
      <c r="AI31" t="str">
        <f>IF('1. Live'!AI31='check-Jul25'!AI31,"",'1. Live'!AI31-'check-Jul25'!AI31)</f>
        <v/>
      </c>
      <c r="AJ31" t="str">
        <f>IF('1. Live'!AJ31='check-Jul25'!AJ31,"",'1. Live'!AJ31-'check-Jul25'!AJ31)</f>
        <v/>
      </c>
      <c r="AK31" t="str">
        <f>IF('1. Live'!AK31='check-Jul25'!AK31,"",'1. Live'!AK31-'check-Jul25'!AK31)</f>
        <v/>
      </c>
      <c r="AL31" t="str">
        <f>IF('1. Live'!AL31='check-Jul25'!AL31,"",'1. Live'!AL31-'check-Jul25'!AL31)</f>
        <v/>
      </c>
      <c r="AM31" t="str">
        <f>IF('1. Live'!AM31='check-Jul25'!AM31,"",'1. Live'!AM31-'check-Jul25'!AM31)</f>
        <v/>
      </c>
      <c r="AN31" t="str">
        <f>IF('1. Live'!AN31='check-Jul25'!AN31,"",'1. Live'!AN31-'check-Jul25'!AN31)</f>
        <v/>
      </c>
      <c r="AO31" t="str">
        <f>IF('1. Live'!AO31='check-Jul25'!AO31,"",'1. Live'!AO31-'check-Jul25'!AO31)</f>
        <v/>
      </c>
      <c r="AP31" t="str">
        <f>IF('1. Live'!AP31='check-Jul25'!AP31,"",'1. Live'!AP31-'check-Jul25'!AP31)</f>
        <v/>
      </c>
      <c r="AQ31" t="str">
        <f>IF('1. Live'!AQ31='check-Jul25'!AQ31,"",'1. Live'!AQ31-'check-Jul25'!AQ31)</f>
        <v/>
      </c>
      <c r="AR31" t="str">
        <f>IF('1. Live'!AR31='check-Jul25'!AR31,"",'1. Live'!AR31-'check-Jul25'!AR31)</f>
        <v/>
      </c>
      <c r="AS31" t="str">
        <f>IF('1. Live'!AS31='check-Jul25'!AS31,"",'1. Live'!AS31-'check-Jul25'!AS31)</f>
        <v/>
      </c>
      <c r="AT31" t="str">
        <f>IF('1. Live'!AT31='check-Jul25'!AT31,"",'1. Live'!AT31-'check-Jul25'!AT31)</f>
        <v/>
      </c>
      <c r="AU31" t="str">
        <f>IF('1. Live'!AU31='check-Jul25'!AU31,"",'1. Live'!AU31-'check-Jul25'!AU31)</f>
        <v/>
      </c>
      <c r="AV31" t="str">
        <f>IF('1. Live'!AV31='check-Jul25'!AV31,"",'1. Live'!AV31-'check-Jul25'!AV31)</f>
        <v/>
      </c>
      <c r="AW31" t="str">
        <f>IF('1. Live'!AW31='check-Jul25'!AW31,"",'1. Live'!AW31-'check-Jul25'!AW31)</f>
        <v/>
      </c>
      <c r="AX31" t="str">
        <f>IF('1. Live'!AX31='check-Jul25'!AX31,"",'1. Live'!AX31-'check-Jul25'!AX31)</f>
        <v/>
      </c>
      <c r="AY31" t="str">
        <f>IF('1. Live'!AY31='check-Jul25'!AY31,"",'1. Live'!AY31-'check-Jul25'!AY31)</f>
        <v/>
      </c>
      <c r="AZ31" t="str">
        <f>IF('1. Live'!AZ31='check-Jul25'!AZ31,"",'1. Live'!AZ31-'check-Jul25'!AZ31)</f>
        <v/>
      </c>
      <c r="BA31" t="str">
        <f>IF('1. Live'!BA31='check-Jul25'!BA31,"",'1. Live'!BA31-'check-Jul25'!BA31)</f>
        <v/>
      </c>
      <c r="BB31" t="str">
        <f>IF('1. Live'!BB31='check-Jul25'!BB31,"",'1. Live'!BB31-'check-Jul25'!BB31)</f>
        <v/>
      </c>
      <c r="BC31" t="str">
        <f>IF('1. Live'!BC31='check-Jul25'!BC31,"",'1. Live'!BC31-'check-Jul25'!BC31)</f>
        <v/>
      </c>
      <c r="BD31" t="str">
        <f>IF('1. Live'!BD31='check-Jul25'!BD31,"",'1. Live'!BD31-'check-Jul25'!BD31)</f>
        <v/>
      </c>
      <c r="BE31" t="str">
        <f>IF('1. Live'!BE31='check-Jul25'!BE31,"",'1. Live'!BE31-'check-Jul25'!BE31)</f>
        <v/>
      </c>
      <c r="BF31" t="str">
        <f>IF('1. Live'!BF31='check-Jul25'!BF31,"",'1. Live'!BF31-'check-Jul25'!BF31)</f>
        <v/>
      </c>
      <c r="BG31" t="str">
        <f>IF('1. Live'!BG31='check-Jul25'!BG31,"",'1. Live'!BG31-'check-Jul25'!BG31)</f>
        <v/>
      </c>
      <c r="BH31" t="str">
        <f>IF('1. Live'!BH31='check-Jul25'!BH31,"",'1. Live'!BH31-'check-Jul25'!BH31)</f>
        <v/>
      </c>
      <c r="BI31" t="str">
        <f>IF('1. Live'!BI31='check-Jul25'!BI31,"",'1. Live'!BI31-'check-Jul25'!BI31)</f>
        <v/>
      </c>
      <c r="BJ31" t="str">
        <f>IF('1. Live'!BJ31='check-Jul25'!BJ31,"",'1. Live'!BJ31-'check-Jul25'!BJ31)</f>
        <v/>
      </c>
      <c r="BK31" t="str">
        <f>IF('1. Live'!BK31='check-Jul25'!BK31,"",'1. Live'!BK31-'check-Jul25'!BK31)</f>
        <v/>
      </c>
      <c r="BL31" t="str">
        <f>IF('1. Live'!BL31='check-Jul25'!BL31,"",'1. Live'!BL31-'check-Jul25'!BL31)</f>
        <v/>
      </c>
      <c r="BM31" t="str">
        <f>IF('1. Live'!BM31='check-Jul25'!BM31,"",'1. Live'!BM31-'check-Jul25'!BM31)</f>
        <v/>
      </c>
      <c r="BN31" t="str">
        <f>IF('1. Live'!BN31='check-Jul25'!BN31,"",'1. Live'!BN31-'check-Jul25'!BN31)</f>
        <v/>
      </c>
      <c r="BO31" t="str">
        <f>IF('1. Live'!BO31='check-Jul25'!BO31,"",'1. Live'!BO31-'check-Jul25'!BO31)</f>
        <v/>
      </c>
      <c r="BP31" t="str">
        <f>IF('1. Live'!BP31='check-Jul25'!BP31,"",'1. Live'!BP31-'check-Jul25'!BP31)</f>
        <v/>
      </c>
      <c r="BQ31" t="str">
        <f>IF('1. Live'!BQ31='check-Jul25'!BQ31,"",'1. Live'!BQ31-'check-Jul25'!BQ31)</f>
        <v/>
      </c>
      <c r="BR31" t="str">
        <f>IF('1. Live'!BR31='check-Jul25'!BR31,"",'1. Live'!BR31-'check-Jul25'!BR31)</f>
        <v/>
      </c>
      <c r="BS31" t="str">
        <f>IF('1. Live'!BS31='check-Jul25'!BS31,"",'1. Live'!BS31-'check-Jul25'!BS31)</f>
        <v/>
      </c>
      <c r="BT31" t="str">
        <f>IF('1. Live'!BT31='check-Jul25'!BT31,"",'1. Live'!BT31-'check-Jul25'!BT31)</f>
        <v/>
      </c>
      <c r="BU31" t="str">
        <f>IF('1. Live'!BU31='check-Jul25'!BU31,"",'1. Live'!BU31-'check-Jul25'!BU31)</f>
        <v/>
      </c>
      <c r="BV31" t="str">
        <f>IF('1. Live'!BV31='check-Jul25'!BV31,"",'1. Live'!BV31-'check-Jul25'!BV31)</f>
        <v/>
      </c>
      <c r="BW31" t="str">
        <f>IF('1. Live'!BW31='check-Jul25'!BW31,"",'1. Live'!BW31-'check-Jul25'!BW31)</f>
        <v/>
      </c>
      <c r="BX31" t="str">
        <f>IF('1. Live'!BX31='check-Jul25'!BX31,"",'1. Live'!BX31-'check-Jul25'!BX31)</f>
        <v/>
      </c>
      <c r="BY31" t="str">
        <f>IF('1. Live'!BY31='check-Jul25'!BY31,"",'1. Live'!BY31-'check-Jul25'!BY31)</f>
        <v/>
      </c>
      <c r="BZ31" t="str">
        <f>IF('1. Live'!BZ31='check-Jul25'!BZ31,"",'1. Live'!BZ31-'check-Jul25'!BZ31)</f>
        <v/>
      </c>
      <c r="CA31" t="str">
        <f>IF('1. Live'!CA31='check-Jul25'!CA31,"",'1. Live'!CA31-'check-Jul25'!CA31)</f>
        <v/>
      </c>
      <c r="CB31" t="str">
        <f>IF('1. Live'!CB31='check-Jul25'!CB31,"",'1. Live'!CB31-'check-Jul25'!CB31)</f>
        <v/>
      </c>
      <c r="CC31" t="str">
        <f>IF('1. Live'!CC31='check-Jul25'!CC31,"",'1. Live'!CC31-'check-Jul25'!CC31)</f>
        <v/>
      </c>
      <c r="CD31" t="str">
        <f>IF('1. Live'!CD31='check-Jul25'!CD31,"",'1. Live'!CD31-'check-Jul25'!CD31)</f>
        <v/>
      </c>
      <c r="CE31" t="str">
        <f>IF('1. Live'!CE31='check-Jul25'!CE31,"",'1. Live'!CE31-'check-Jul25'!CE31)</f>
        <v/>
      </c>
      <c r="CF31" t="str">
        <f>IF('1. Live'!CF31='check-Jul25'!CF31,"",'1. Live'!CF31-'check-Jul25'!CF31)</f>
        <v/>
      </c>
      <c r="CG31" t="str">
        <f>IF('1. Live'!CG31='check-Jul25'!CG31,"",'1. Live'!CG31-'check-Jul25'!CG31)</f>
        <v/>
      </c>
      <c r="CH31" t="str">
        <f>IF('1. Live'!CH31='check-Jul25'!CH31,"",'1. Live'!CH31-'check-Jul25'!CH31)</f>
        <v/>
      </c>
      <c r="CI31" t="str">
        <f>IF('1. Live'!CI31='check-Jul25'!CI31,"",'1. Live'!CI31-'check-Jul25'!CI31)</f>
        <v/>
      </c>
      <c r="CJ31" t="str">
        <f>IF('1. Live'!CJ31='check-Jul25'!CJ31,"",'1. Live'!CJ31-'check-Jul25'!CJ31)</f>
        <v/>
      </c>
      <c r="CK31" t="str">
        <f>IF('1. Live'!CK31='check-Jul25'!CK31,"",'1. Live'!CK31-'check-Jul25'!CK31)</f>
        <v/>
      </c>
      <c r="CL31" t="str">
        <f>IF('1. Live'!CL31='check-Jul25'!CL31,"",'1. Live'!CL31-'check-Jul25'!CL31)</f>
        <v/>
      </c>
      <c r="CM31" t="str">
        <f>IF('1. Live'!CM31='check-Jul25'!CM31,"",'1. Live'!CM31-'check-Jul25'!CM31)</f>
        <v/>
      </c>
      <c r="CN31" t="str">
        <f>IF('1. Live'!CN31='check-Jul25'!CN31,"",'1. Live'!CN31-'check-Jul25'!CN31)</f>
        <v/>
      </c>
      <c r="CO31" t="str">
        <f>IF('1. Live'!CO31='check-Jul25'!CO31,"",'1. Live'!CO31-'check-Jul25'!CO31)</f>
        <v/>
      </c>
      <c r="CP31" t="str">
        <f>IF('1. Live'!CP31='check-Jul25'!CP31,"",'1. Live'!CP31-'check-Jul25'!CP31)</f>
        <v/>
      </c>
      <c r="CQ31" t="str">
        <f>IF('1. Live'!CQ31='check-Jul25'!CQ31,"",'1. Live'!CQ31-'check-Jul25'!CQ31)</f>
        <v/>
      </c>
      <c r="CR31" t="str">
        <f>IF('1. Live'!CR31='check-Jul25'!CR31,"",'1. Live'!CR31-'check-Jul25'!CR31)</f>
        <v/>
      </c>
      <c r="CS31" t="str">
        <f>IF('1. Live'!CS31='check-Jul25'!CS31,"",'1. Live'!CS31-'check-Jul25'!CS31)</f>
        <v/>
      </c>
      <c r="CT31" t="str">
        <f>IF('1. Live'!CT31='check-Jul25'!CT31,"",'1. Live'!CT31-'check-Jul25'!CT31)</f>
        <v/>
      </c>
      <c r="CU31" t="str">
        <f>IF('1. Live'!CU31='check-Jul25'!CU31,"",'1. Live'!CU31-'check-Jul25'!CU31)</f>
        <v/>
      </c>
      <c r="CV31" t="str">
        <f>IF('1. Live'!CV31='check-Jul25'!CV31,"",'1. Live'!CV31-'check-Jul25'!CV31)</f>
        <v/>
      </c>
      <c r="CW31" t="str">
        <f>IF('1. Live'!CW31='check-Jul25'!CW31,"",'1. Live'!CW31-'check-Jul25'!CW31)</f>
        <v/>
      </c>
    </row>
    <row r="32" spans="2:101">
      <c r="B32" s="68"/>
      <c r="C32" s="422" t="s">
        <v>543</v>
      </c>
      <c r="D32" s="334"/>
      <c r="E32" s="335"/>
      <c r="F32" s="335"/>
      <c r="G32" s="335"/>
      <c r="H32" s="335"/>
      <c r="I32" s="336"/>
      <c r="J32" s="337" t="str">
        <f>IF('1. Live'!J32='check-Jul25'!J32,"",'1. Live'!J32-'check-Jul25'!J32)</f>
        <v/>
      </c>
      <c r="K32" s="338" t="str">
        <f>IF('1. Live'!K32='check-Jul25'!K32,"",'1. Live'!K32-'check-Jul25'!K32)</f>
        <v/>
      </c>
      <c r="L32" s="338" t="str">
        <f>IF('1. Live'!L32='check-Jul25'!L32,"",'1. Live'!L32-'check-Jul25'!L32)</f>
        <v/>
      </c>
      <c r="M32" s="338" t="str">
        <f>IF('1. Live'!M32='check-Jul25'!M32,"",'1. Live'!M32-'check-Jul25'!M32)</f>
        <v/>
      </c>
      <c r="N32" s="338" t="str">
        <f>IF('1. Live'!N32='check-Jul25'!N32,"",'1. Live'!N32-'check-Jul25'!N32)</f>
        <v/>
      </c>
      <c r="O32" s="338" t="str">
        <f>IF('1. Live'!O32='check-Jul25'!O32,"",'1. Live'!O32-'check-Jul25'!O32)</f>
        <v/>
      </c>
      <c r="P32" s="338" t="str">
        <f>IF('1. Live'!P32='check-Jul25'!P32,"",'1. Live'!P32-'check-Jul25'!P32)</f>
        <v/>
      </c>
      <c r="Q32" s="338" t="str">
        <f>IF('1. Live'!Q32='check-Jul25'!Q32,"",'1. Live'!Q32-'check-Jul25'!Q32)</f>
        <v/>
      </c>
      <c r="R32" s="339" t="str">
        <f>IF('1. Live'!R32='check-Jul25'!R32,"",'1. Live'!R32-'check-Jul25'!R32)</f>
        <v/>
      </c>
      <c r="S32" s="335" t="str">
        <f>IF('1. Live'!S32='check-Jul25'!S32,"",'1. Live'!S32-'check-Jul25'!S32)</f>
        <v/>
      </c>
      <c r="T32" s="69" t="str">
        <f>IF('1. Live'!T32='check-Jul25'!T32,"",'1. Live'!T32-'check-Jul25'!T32)</f>
        <v/>
      </c>
      <c r="U32" t="str">
        <f>IF('1. Live'!U32='check-Jul25'!U32,"",'1. Live'!U32-'check-Jul25'!U32)</f>
        <v/>
      </c>
      <c r="V32" t="str">
        <f>IF('1. Live'!V32='check-Jul25'!V32,"",'1. Live'!V32-'check-Jul25'!V32)</f>
        <v/>
      </c>
      <c r="W32" t="str">
        <f>IF('1. Live'!W32='check-Jul25'!W32,"",'1. Live'!W32-'check-Jul25'!W32)</f>
        <v/>
      </c>
      <c r="X32" t="str">
        <f>IF('1. Live'!X32='check-Jul25'!X32,"",'1. Live'!X32-'check-Jul25'!X32)</f>
        <v/>
      </c>
      <c r="Y32" t="str">
        <f>IF('1. Live'!Y32='check-Jul25'!Y32,"",'1. Live'!Y32-'check-Jul25'!Y32)</f>
        <v/>
      </c>
      <c r="Z32" t="str">
        <f>IF('1. Live'!Z32='check-Jul25'!Z32,"",'1. Live'!Z32-'check-Jul25'!Z32)</f>
        <v/>
      </c>
      <c r="AA32" t="str">
        <f>IF('1. Live'!AA32='check-Jul25'!AA32,"",'1. Live'!AA32-'check-Jul25'!AA32)</f>
        <v/>
      </c>
      <c r="AB32" t="str">
        <f>IF('1. Live'!AB32='check-Jul25'!AB32,"",'1. Live'!AB32-'check-Jul25'!AB32)</f>
        <v/>
      </c>
      <c r="AC32" t="str">
        <f>IF('1. Live'!AC32='check-Jul25'!AC32,"",'1. Live'!AC32-'check-Jul25'!AC32)</f>
        <v/>
      </c>
      <c r="AD32" t="str">
        <f>IF('1. Live'!AD32='check-Jul25'!AD32,"",'1. Live'!AD32-'check-Jul25'!AD32)</f>
        <v/>
      </c>
      <c r="AE32" t="str">
        <f>IF('1. Live'!AE32='check-Jul25'!AE32,"",'1. Live'!AE32-'check-Jul25'!AE32)</f>
        <v/>
      </c>
      <c r="AF32" t="str">
        <f>IF('1. Live'!AF32='check-Jul25'!AF32,"",'1. Live'!AF32-'check-Jul25'!AF32)</f>
        <v/>
      </c>
      <c r="AG32" t="str">
        <f>IF('1. Live'!AG32='check-Jul25'!AG32,"",'1. Live'!AG32-'check-Jul25'!AG32)</f>
        <v/>
      </c>
      <c r="AH32" t="str">
        <f>IF('1. Live'!AH32='check-Jul25'!AH32,"",'1. Live'!AH32-'check-Jul25'!AH32)</f>
        <v/>
      </c>
      <c r="AI32" t="str">
        <f>IF('1. Live'!AI32='check-Jul25'!AI32,"",'1. Live'!AI32-'check-Jul25'!AI32)</f>
        <v/>
      </c>
      <c r="AJ32" t="str">
        <f>IF('1. Live'!AJ32='check-Jul25'!AJ32,"",'1. Live'!AJ32-'check-Jul25'!AJ32)</f>
        <v/>
      </c>
      <c r="AK32" t="str">
        <f>IF('1. Live'!AK32='check-Jul25'!AK32,"",'1. Live'!AK32-'check-Jul25'!AK32)</f>
        <v/>
      </c>
      <c r="AL32" t="str">
        <f>IF('1. Live'!AL32='check-Jul25'!AL32,"",'1. Live'!AL32-'check-Jul25'!AL32)</f>
        <v/>
      </c>
      <c r="AM32" t="str">
        <f>IF('1. Live'!AM32='check-Jul25'!AM32,"",'1. Live'!AM32-'check-Jul25'!AM32)</f>
        <v/>
      </c>
      <c r="AN32" t="str">
        <f>IF('1. Live'!AN32='check-Jul25'!AN32,"",'1. Live'!AN32-'check-Jul25'!AN32)</f>
        <v/>
      </c>
      <c r="AO32" t="str">
        <f>IF('1. Live'!AO32='check-Jul25'!AO32,"",'1. Live'!AO32-'check-Jul25'!AO32)</f>
        <v/>
      </c>
      <c r="AP32" t="str">
        <f>IF('1. Live'!AP32='check-Jul25'!AP32,"",'1. Live'!AP32-'check-Jul25'!AP32)</f>
        <v/>
      </c>
      <c r="AQ32" t="str">
        <f>IF('1. Live'!AQ32='check-Jul25'!AQ32,"",'1. Live'!AQ32-'check-Jul25'!AQ32)</f>
        <v/>
      </c>
      <c r="AR32" t="str">
        <f>IF('1. Live'!AR32='check-Jul25'!AR32,"",'1. Live'!AR32-'check-Jul25'!AR32)</f>
        <v/>
      </c>
      <c r="AS32" t="str">
        <f>IF('1. Live'!AS32='check-Jul25'!AS32,"",'1. Live'!AS32-'check-Jul25'!AS32)</f>
        <v/>
      </c>
      <c r="AT32" t="str">
        <f>IF('1. Live'!AT32='check-Jul25'!AT32,"",'1. Live'!AT32-'check-Jul25'!AT32)</f>
        <v/>
      </c>
      <c r="AU32" t="str">
        <f>IF('1. Live'!AU32='check-Jul25'!AU32,"",'1. Live'!AU32-'check-Jul25'!AU32)</f>
        <v/>
      </c>
      <c r="AV32" t="str">
        <f>IF('1. Live'!AV32='check-Jul25'!AV32,"",'1. Live'!AV32-'check-Jul25'!AV32)</f>
        <v/>
      </c>
      <c r="AW32" t="str">
        <f>IF('1. Live'!AW32='check-Jul25'!AW32,"",'1. Live'!AW32-'check-Jul25'!AW32)</f>
        <v/>
      </c>
      <c r="AX32" t="str">
        <f>IF('1. Live'!AX32='check-Jul25'!AX32,"",'1. Live'!AX32-'check-Jul25'!AX32)</f>
        <v/>
      </c>
      <c r="AY32" t="str">
        <f>IF('1. Live'!AY32='check-Jul25'!AY32,"",'1. Live'!AY32-'check-Jul25'!AY32)</f>
        <v/>
      </c>
      <c r="AZ32" t="str">
        <f>IF('1. Live'!AZ32='check-Jul25'!AZ32,"",'1. Live'!AZ32-'check-Jul25'!AZ32)</f>
        <v/>
      </c>
      <c r="BA32" t="str">
        <f>IF('1. Live'!BA32='check-Jul25'!BA32,"",'1. Live'!BA32-'check-Jul25'!BA32)</f>
        <v/>
      </c>
      <c r="BB32" t="str">
        <f>IF('1. Live'!BB32='check-Jul25'!BB32,"",'1. Live'!BB32-'check-Jul25'!BB32)</f>
        <v/>
      </c>
      <c r="BC32" t="str">
        <f>IF('1. Live'!BC32='check-Jul25'!BC32,"",'1. Live'!BC32-'check-Jul25'!BC32)</f>
        <v/>
      </c>
      <c r="BD32" t="str">
        <f>IF('1. Live'!BD32='check-Jul25'!BD32,"",'1. Live'!BD32-'check-Jul25'!BD32)</f>
        <v/>
      </c>
      <c r="BE32" t="str">
        <f>IF('1. Live'!BE32='check-Jul25'!BE32,"",'1. Live'!BE32-'check-Jul25'!BE32)</f>
        <v/>
      </c>
      <c r="BF32" t="str">
        <f>IF('1. Live'!BF32='check-Jul25'!BF32,"",'1. Live'!BF32-'check-Jul25'!BF32)</f>
        <v/>
      </c>
      <c r="BG32" t="str">
        <f>IF('1. Live'!BG32='check-Jul25'!BG32,"",'1. Live'!BG32-'check-Jul25'!BG32)</f>
        <v/>
      </c>
      <c r="BH32" t="str">
        <f>IF('1. Live'!BH32='check-Jul25'!BH32,"",'1. Live'!BH32-'check-Jul25'!BH32)</f>
        <v/>
      </c>
      <c r="BI32" t="str">
        <f>IF('1. Live'!BI32='check-Jul25'!BI32,"",'1. Live'!BI32-'check-Jul25'!BI32)</f>
        <v/>
      </c>
      <c r="BJ32" t="str">
        <f>IF('1. Live'!BJ32='check-Jul25'!BJ32,"",'1. Live'!BJ32-'check-Jul25'!BJ32)</f>
        <v/>
      </c>
      <c r="BK32" t="str">
        <f>IF('1. Live'!BK32='check-Jul25'!BK32,"",'1. Live'!BK32-'check-Jul25'!BK32)</f>
        <v/>
      </c>
      <c r="BL32" t="str">
        <f>IF('1. Live'!BL32='check-Jul25'!BL32,"",'1. Live'!BL32-'check-Jul25'!BL32)</f>
        <v/>
      </c>
      <c r="BM32" t="str">
        <f>IF('1. Live'!BM32='check-Jul25'!BM32,"",'1. Live'!BM32-'check-Jul25'!BM32)</f>
        <v/>
      </c>
      <c r="BN32" t="str">
        <f>IF('1. Live'!BN32='check-Jul25'!BN32,"",'1. Live'!BN32-'check-Jul25'!BN32)</f>
        <v/>
      </c>
      <c r="BO32" t="str">
        <f>IF('1. Live'!BO32='check-Jul25'!BO32,"",'1. Live'!BO32-'check-Jul25'!BO32)</f>
        <v/>
      </c>
      <c r="BP32" t="str">
        <f>IF('1. Live'!BP32='check-Jul25'!BP32,"",'1. Live'!BP32-'check-Jul25'!BP32)</f>
        <v/>
      </c>
      <c r="BQ32" t="str">
        <f>IF('1. Live'!BQ32='check-Jul25'!BQ32,"",'1. Live'!BQ32-'check-Jul25'!BQ32)</f>
        <v/>
      </c>
      <c r="BR32" t="str">
        <f>IF('1. Live'!BR32='check-Jul25'!BR32,"",'1. Live'!BR32-'check-Jul25'!BR32)</f>
        <v/>
      </c>
      <c r="BS32" t="str">
        <f>IF('1. Live'!BS32='check-Jul25'!BS32,"",'1. Live'!BS32-'check-Jul25'!BS32)</f>
        <v/>
      </c>
      <c r="BT32" t="str">
        <f>IF('1. Live'!BT32='check-Jul25'!BT32,"",'1. Live'!BT32-'check-Jul25'!BT32)</f>
        <v/>
      </c>
      <c r="BU32" t="str">
        <f>IF('1. Live'!BU32='check-Jul25'!BU32,"",'1. Live'!BU32-'check-Jul25'!BU32)</f>
        <v/>
      </c>
      <c r="BV32" t="str">
        <f>IF('1. Live'!BV32='check-Jul25'!BV32,"",'1. Live'!BV32-'check-Jul25'!BV32)</f>
        <v/>
      </c>
      <c r="BW32" t="str">
        <f>IF('1. Live'!BW32='check-Jul25'!BW32,"",'1. Live'!BW32-'check-Jul25'!BW32)</f>
        <v/>
      </c>
      <c r="BX32" t="str">
        <f>IF('1. Live'!BX32='check-Jul25'!BX32,"",'1. Live'!BX32-'check-Jul25'!BX32)</f>
        <v/>
      </c>
      <c r="BY32" t="str">
        <f>IF('1. Live'!BY32='check-Jul25'!BY32,"",'1. Live'!BY32-'check-Jul25'!BY32)</f>
        <v/>
      </c>
      <c r="BZ32" t="str">
        <f>IF('1. Live'!BZ32='check-Jul25'!BZ32,"",'1. Live'!BZ32-'check-Jul25'!BZ32)</f>
        <v/>
      </c>
      <c r="CA32" t="str">
        <f>IF('1. Live'!CA32='check-Jul25'!CA32,"",'1. Live'!CA32-'check-Jul25'!CA32)</f>
        <v/>
      </c>
      <c r="CB32" t="str">
        <f>IF('1. Live'!CB32='check-Jul25'!CB32,"",'1. Live'!CB32-'check-Jul25'!CB32)</f>
        <v/>
      </c>
      <c r="CC32" t="str">
        <f>IF('1. Live'!CC32='check-Jul25'!CC32,"",'1. Live'!CC32-'check-Jul25'!CC32)</f>
        <v/>
      </c>
      <c r="CD32" t="str">
        <f>IF('1. Live'!CD32='check-Jul25'!CD32,"",'1. Live'!CD32-'check-Jul25'!CD32)</f>
        <v/>
      </c>
      <c r="CE32" t="str">
        <f>IF('1. Live'!CE32='check-Jul25'!CE32,"",'1. Live'!CE32-'check-Jul25'!CE32)</f>
        <v/>
      </c>
      <c r="CF32" t="str">
        <f>IF('1. Live'!CF32='check-Jul25'!CF32,"",'1. Live'!CF32-'check-Jul25'!CF32)</f>
        <v/>
      </c>
      <c r="CG32" t="str">
        <f>IF('1. Live'!CG32='check-Jul25'!CG32,"",'1. Live'!CG32-'check-Jul25'!CG32)</f>
        <v/>
      </c>
      <c r="CH32" t="str">
        <f>IF('1. Live'!CH32='check-Jul25'!CH32,"",'1. Live'!CH32-'check-Jul25'!CH32)</f>
        <v/>
      </c>
      <c r="CI32" t="str">
        <f>IF('1. Live'!CI32='check-Jul25'!CI32,"",'1. Live'!CI32-'check-Jul25'!CI32)</f>
        <v/>
      </c>
      <c r="CJ32" t="str">
        <f>IF('1. Live'!CJ32='check-Jul25'!CJ32,"",'1. Live'!CJ32-'check-Jul25'!CJ32)</f>
        <v/>
      </c>
      <c r="CK32" t="str">
        <f>IF('1. Live'!CK32='check-Jul25'!CK32,"",'1. Live'!CK32-'check-Jul25'!CK32)</f>
        <v/>
      </c>
      <c r="CL32" t="str">
        <f>IF('1. Live'!CL32='check-Jul25'!CL32,"",'1. Live'!CL32-'check-Jul25'!CL32)</f>
        <v/>
      </c>
      <c r="CM32" t="str">
        <f>IF('1. Live'!CM32='check-Jul25'!CM32,"",'1. Live'!CM32-'check-Jul25'!CM32)</f>
        <v/>
      </c>
      <c r="CN32" t="str">
        <f>IF('1. Live'!CN32='check-Jul25'!CN32,"",'1. Live'!CN32-'check-Jul25'!CN32)</f>
        <v/>
      </c>
      <c r="CO32" t="str">
        <f>IF('1. Live'!CO32='check-Jul25'!CO32,"",'1. Live'!CO32-'check-Jul25'!CO32)</f>
        <v/>
      </c>
      <c r="CP32" t="str">
        <f>IF('1. Live'!CP32='check-Jul25'!CP32,"",'1. Live'!CP32-'check-Jul25'!CP32)</f>
        <v/>
      </c>
      <c r="CQ32" t="str">
        <f>IF('1. Live'!CQ32='check-Jul25'!CQ32,"",'1. Live'!CQ32-'check-Jul25'!CQ32)</f>
        <v/>
      </c>
      <c r="CR32" t="str">
        <f>IF('1. Live'!CR32='check-Jul25'!CR32,"",'1. Live'!CR32-'check-Jul25'!CR32)</f>
        <v/>
      </c>
      <c r="CS32" t="str">
        <f>IF('1. Live'!CS32='check-Jul25'!CS32,"",'1. Live'!CS32-'check-Jul25'!CS32)</f>
        <v/>
      </c>
      <c r="CT32" t="str">
        <f>IF('1. Live'!CT32='check-Jul25'!CT32,"",'1. Live'!CT32-'check-Jul25'!CT32)</f>
        <v/>
      </c>
      <c r="CU32" t="str">
        <f>IF('1. Live'!CU32='check-Jul25'!CU32,"",'1. Live'!CU32-'check-Jul25'!CU32)</f>
        <v/>
      </c>
      <c r="CV32" t="str">
        <f>IF('1. Live'!CV32='check-Jul25'!CV32,"",'1. Live'!CV32-'check-Jul25'!CV32)</f>
        <v/>
      </c>
      <c r="CW32" t="str">
        <f>IF('1. Live'!CW32='check-Jul25'!CW32,"",'1. Live'!CW32-'check-Jul25'!CW32)</f>
        <v/>
      </c>
    </row>
    <row r="33" spans="2:101">
      <c r="B33" s="68"/>
      <c r="C33" s="4" t="s">
        <v>537</v>
      </c>
      <c r="D33" s="32" t="s">
        <v>248</v>
      </c>
      <c r="E33" s="2" t="s">
        <v>77</v>
      </c>
      <c r="F33" s="2">
        <v>0</v>
      </c>
      <c r="G33" s="2" t="s">
        <v>538</v>
      </c>
      <c r="H33" s="6">
        <v>2024</v>
      </c>
      <c r="I33" s="6" t="s">
        <v>653</v>
      </c>
      <c r="J33" s="90" t="str">
        <f>IF('1. Live'!J33='check-Jul25'!J33,"",'1. Live'!J33-'check-Jul25'!J33)</f>
        <v/>
      </c>
      <c r="K33" s="17" t="str">
        <f ca="1">IF('1. Live'!K33='check-Jul25'!K33,"",'1. Live'!K33-'check-Jul25'!K33)</f>
        <v/>
      </c>
      <c r="L33" s="17" t="str">
        <f ca="1">IF('1. Live'!L33='check-Jul25'!L33,"",'1. Live'!L33-'check-Jul25'!L33)</f>
        <v/>
      </c>
      <c r="M33" s="17" t="str">
        <f ca="1">IF('1. Live'!M33='check-Jul25'!M33,"",'1. Live'!M33-'check-Jul25'!M33)</f>
        <v/>
      </c>
      <c r="N33" s="17" t="str">
        <f ca="1">IF('1. Live'!N33='check-Jul25'!N33,"",'1. Live'!N33-'check-Jul25'!N33)</f>
        <v/>
      </c>
      <c r="O33" s="17" t="str">
        <f>IF('1. Live'!O33='check-Jul25'!O33,"",'1. Live'!O33-'check-Jul25'!O33)</f>
        <v/>
      </c>
      <c r="P33" s="17" t="str">
        <f ca="1">IF('1. Live'!P33='check-Jul25'!P33,"",'1. Live'!P33-'check-Jul25'!P33)</f>
        <v/>
      </c>
      <c r="Q33" s="17" t="str">
        <f>IF('1. Live'!Q33='check-Jul25'!Q33,"",'1. Live'!Q33-'check-Jul25'!Q33)</f>
        <v/>
      </c>
      <c r="R33" s="10" t="str">
        <f ca="1">IF('1. Live'!R33='check-Jul25'!R33,"",'1. Live'!R33-'check-Jul25'!R33)</f>
        <v/>
      </c>
      <c r="S33" s="582" t="str">
        <f>IF('1. Live'!S33='check-Jul25'!S33,"",'1. Live'!S33-'check-Jul25'!S33)</f>
        <v/>
      </c>
      <c r="T33" s="69" t="str">
        <f>IF('1. Live'!T33='check-Jul25'!T33,"",'1. Live'!T33-'check-Jul25'!T33)</f>
        <v/>
      </c>
      <c r="U33" t="str">
        <f>IF('1. Live'!U33='check-Jul25'!U33,"",'1. Live'!U33-'check-Jul25'!U33)</f>
        <v/>
      </c>
      <c r="V33" t="str">
        <f>IF('1. Live'!V33='check-Jul25'!V33,"",'1. Live'!V33-'check-Jul25'!V33)</f>
        <v/>
      </c>
      <c r="W33" t="str">
        <f>IF('1. Live'!W33='check-Jul25'!W33,"",'1. Live'!W33-'check-Jul25'!W33)</f>
        <v/>
      </c>
      <c r="X33" t="str">
        <f>IF('1. Live'!X33='check-Jul25'!X33,"",'1. Live'!X33-'check-Jul25'!X33)</f>
        <v/>
      </c>
      <c r="Y33" t="str">
        <f>IF('1. Live'!Y33='check-Jul25'!Y33,"",'1. Live'!Y33-'check-Jul25'!Y33)</f>
        <v/>
      </c>
      <c r="Z33" t="str">
        <f>IF('1. Live'!Z33='check-Jul25'!Z33,"",'1. Live'!Z33-'check-Jul25'!Z33)</f>
        <v/>
      </c>
      <c r="AA33" t="str">
        <f>IF('1. Live'!AA33='check-Jul25'!AA33,"",'1. Live'!AA33-'check-Jul25'!AA33)</f>
        <v/>
      </c>
      <c r="AB33" t="str">
        <f>IF('1. Live'!AB33='check-Jul25'!AB33,"",'1. Live'!AB33-'check-Jul25'!AB33)</f>
        <v/>
      </c>
      <c r="AC33" t="str">
        <f>IF('1. Live'!AC33='check-Jul25'!AC33,"",'1. Live'!AC33-'check-Jul25'!AC33)</f>
        <v/>
      </c>
      <c r="AD33" t="str">
        <f>IF('1. Live'!AD33='check-Jul25'!AD33,"",'1. Live'!AD33-'check-Jul25'!AD33)</f>
        <v/>
      </c>
      <c r="AE33" t="str">
        <f>IF('1. Live'!AE33='check-Jul25'!AE33,"",'1. Live'!AE33-'check-Jul25'!AE33)</f>
        <v/>
      </c>
      <c r="AF33" t="str">
        <f>IF('1. Live'!AF33='check-Jul25'!AF33,"",'1. Live'!AF33-'check-Jul25'!AF33)</f>
        <v/>
      </c>
      <c r="AG33" t="str">
        <f>IF('1. Live'!AG33='check-Jul25'!AG33,"",'1. Live'!AG33-'check-Jul25'!AG33)</f>
        <v/>
      </c>
      <c r="AH33" t="str">
        <f>IF('1. Live'!AH33='check-Jul25'!AH33,"",'1. Live'!AH33-'check-Jul25'!AH33)</f>
        <v/>
      </c>
      <c r="AI33" t="str">
        <f>IF('1. Live'!AI33='check-Jul25'!AI33,"",'1. Live'!AI33-'check-Jul25'!AI33)</f>
        <v/>
      </c>
      <c r="AJ33" t="str">
        <f>IF('1. Live'!AJ33='check-Jul25'!AJ33,"",'1. Live'!AJ33-'check-Jul25'!AJ33)</f>
        <v/>
      </c>
      <c r="AK33" t="str">
        <f>IF('1. Live'!AK33='check-Jul25'!AK33,"",'1. Live'!AK33-'check-Jul25'!AK33)</f>
        <v/>
      </c>
      <c r="AL33" t="str">
        <f>IF('1. Live'!AL33='check-Jul25'!AL33,"",'1. Live'!AL33-'check-Jul25'!AL33)</f>
        <v/>
      </c>
      <c r="AM33" t="str">
        <f>IF('1. Live'!AM33='check-Jul25'!AM33,"",'1. Live'!AM33-'check-Jul25'!AM33)</f>
        <v/>
      </c>
      <c r="AN33" t="str">
        <f>IF('1. Live'!AN33='check-Jul25'!AN33,"",'1. Live'!AN33-'check-Jul25'!AN33)</f>
        <v/>
      </c>
      <c r="AO33" t="str">
        <f>IF('1. Live'!AO33='check-Jul25'!AO33,"",'1. Live'!AO33-'check-Jul25'!AO33)</f>
        <v/>
      </c>
      <c r="AP33" t="str">
        <f>IF('1. Live'!AP33='check-Jul25'!AP33,"",'1. Live'!AP33-'check-Jul25'!AP33)</f>
        <v/>
      </c>
      <c r="AQ33" t="str">
        <f>IF('1. Live'!AQ33='check-Jul25'!AQ33,"",'1. Live'!AQ33-'check-Jul25'!AQ33)</f>
        <v/>
      </c>
      <c r="AR33" t="str">
        <f>IF('1. Live'!AR33='check-Jul25'!AR33,"",'1. Live'!AR33-'check-Jul25'!AR33)</f>
        <v/>
      </c>
      <c r="AS33" t="str">
        <f>IF('1. Live'!AS33='check-Jul25'!AS33,"",'1. Live'!AS33-'check-Jul25'!AS33)</f>
        <v/>
      </c>
      <c r="AT33" t="str">
        <f>IF('1. Live'!AT33='check-Jul25'!AT33,"",'1. Live'!AT33-'check-Jul25'!AT33)</f>
        <v/>
      </c>
      <c r="AU33" t="str">
        <f>IF('1. Live'!AU33='check-Jul25'!AU33,"",'1. Live'!AU33-'check-Jul25'!AU33)</f>
        <v/>
      </c>
      <c r="AV33" t="str">
        <f>IF('1. Live'!AV33='check-Jul25'!AV33,"",'1. Live'!AV33-'check-Jul25'!AV33)</f>
        <v/>
      </c>
      <c r="AW33" t="str">
        <f>IF('1. Live'!AW33='check-Jul25'!AW33,"",'1. Live'!AW33-'check-Jul25'!AW33)</f>
        <v/>
      </c>
      <c r="AX33" t="str">
        <f>IF('1. Live'!AX33='check-Jul25'!AX33,"",'1. Live'!AX33-'check-Jul25'!AX33)</f>
        <v/>
      </c>
      <c r="AY33" t="str">
        <f>IF('1. Live'!AY33='check-Jul25'!AY33,"",'1. Live'!AY33-'check-Jul25'!AY33)</f>
        <v/>
      </c>
      <c r="AZ33" t="str">
        <f>IF('1. Live'!AZ33='check-Jul25'!AZ33,"",'1. Live'!AZ33-'check-Jul25'!AZ33)</f>
        <v/>
      </c>
      <c r="BA33" t="str">
        <f>IF('1. Live'!BA33='check-Jul25'!BA33,"",'1. Live'!BA33-'check-Jul25'!BA33)</f>
        <v/>
      </c>
      <c r="BB33" t="str">
        <f>IF('1. Live'!BB33='check-Jul25'!BB33,"",'1. Live'!BB33-'check-Jul25'!BB33)</f>
        <v/>
      </c>
      <c r="BC33" t="str">
        <f>IF('1. Live'!BC33='check-Jul25'!BC33,"",'1. Live'!BC33-'check-Jul25'!BC33)</f>
        <v/>
      </c>
      <c r="BD33" t="str">
        <f>IF('1. Live'!BD33='check-Jul25'!BD33,"",'1. Live'!BD33-'check-Jul25'!BD33)</f>
        <v/>
      </c>
      <c r="BE33" t="str">
        <f>IF('1. Live'!BE33='check-Jul25'!BE33,"",'1. Live'!BE33-'check-Jul25'!BE33)</f>
        <v/>
      </c>
      <c r="BF33" t="str">
        <f>IF('1. Live'!BF33='check-Jul25'!BF33,"",'1. Live'!BF33-'check-Jul25'!BF33)</f>
        <v/>
      </c>
      <c r="BG33" t="str">
        <f>IF('1. Live'!BG33='check-Jul25'!BG33,"",'1. Live'!BG33-'check-Jul25'!BG33)</f>
        <v/>
      </c>
      <c r="BH33" t="str">
        <f>IF('1. Live'!BH33='check-Jul25'!BH33,"",'1. Live'!BH33-'check-Jul25'!BH33)</f>
        <v/>
      </c>
      <c r="BI33" t="str">
        <f>IF('1. Live'!BI33='check-Jul25'!BI33,"",'1. Live'!BI33-'check-Jul25'!BI33)</f>
        <v/>
      </c>
      <c r="BJ33" t="str">
        <f>IF('1. Live'!BJ33='check-Jul25'!BJ33,"",'1. Live'!BJ33-'check-Jul25'!BJ33)</f>
        <v/>
      </c>
      <c r="BK33" t="str">
        <f>IF('1. Live'!BK33='check-Jul25'!BK33,"",'1. Live'!BK33-'check-Jul25'!BK33)</f>
        <v/>
      </c>
      <c r="BL33" t="str">
        <f>IF('1. Live'!BL33='check-Jul25'!BL33,"",'1. Live'!BL33-'check-Jul25'!BL33)</f>
        <v/>
      </c>
      <c r="BM33" t="str">
        <f>IF('1. Live'!BM33='check-Jul25'!BM33,"",'1. Live'!BM33-'check-Jul25'!BM33)</f>
        <v/>
      </c>
      <c r="BN33" t="str">
        <f>IF('1. Live'!BN33='check-Jul25'!BN33,"",'1. Live'!BN33-'check-Jul25'!BN33)</f>
        <v/>
      </c>
      <c r="BO33" t="str">
        <f>IF('1. Live'!BO33='check-Jul25'!BO33,"",'1. Live'!BO33-'check-Jul25'!BO33)</f>
        <v/>
      </c>
      <c r="BP33" t="str">
        <f>IF('1. Live'!BP33='check-Jul25'!BP33,"",'1. Live'!BP33-'check-Jul25'!BP33)</f>
        <v/>
      </c>
      <c r="BQ33" t="str">
        <f>IF('1. Live'!BQ33='check-Jul25'!BQ33,"",'1. Live'!BQ33-'check-Jul25'!BQ33)</f>
        <v/>
      </c>
      <c r="BR33" t="str">
        <f>IF('1. Live'!BR33='check-Jul25'!BR33,"",'1. Live'!BR33-'check-Jul25'!BR33)</f>
        <v/>
      </c>
      <c r="BS33" t="str">
        <f>IF('1. Live'!BS33='check-Jul25'!BS33,"",'1. Live'!BS33-'check-Jul25'!BS33)</f>
        <v/>
      </c>
      <c r="BT33" t="str">
        <f>IF('1. Live'!BT33='check-Jul25'!BT33,"",'1. Live'!BT33-'check-Jul25'!BT33)</f>
        <v/>
      </c>
      <c r="BU33" t="str">
        <f>IF('1. Live'!BU33='check-Jul25'!BU33,"",'1. Live'!BU33-'check-Jul25'!BU33)</f>
        <v/>
      </c>
      <c r="BV33" t="str">
        <f>IF('1. Live'!BV33='check-Jul25'!BV33,"",'1. Live'!BV33-'check-Jul25'!BV33)</f>
        <v/>
      </c>
      <c r="BW33" t="str">
        <f>IF('1. Live'!BW33='check-Jul25'!BW33,"",'1. Live'!BW33-'check-Jul25'!BW33)</f>
        <v/>
      </c>
      <c r="BX33" t="str">
        <f>IF('1. Live'!BX33='check-Jul25'!BX33,"",'1. Live'!BX33-'check-Jul25'!BX33)</f>
        <v/>
      </c>
      <c r="BY33" t="str">
        <f>IF('1. Live'!BY33='check-Jul25'!BY33,"",'1. Live'!BY33-'check-Jul25'!BY33)</f>
        <v/>
      </c>
      <c r="BZ33" t="str">
        <f>IF('1. Live'!BZ33='check-Jul25'!BZ33,"",'1. Live'!BZ33-'check-Jul25'!BZ33)</f>
        <v/>
      </c>
      <c r="CA33" t="str">
        <f>IF('1. Live'!CA33='check-Jul25'!CA33,"",'1. Live'!CA33-'check-Jul25'!CA33)</f>
        <v/>
      </c>
      <c r="CB33" t="str">
        <f>IF('1. Live'!CB33='check-Jul25'!CB33,"",'1. Live'!CB33-'check-Jul25'!CB33)</f>
        <v/>
      </c>
      <c r="CC33" t="str">
        <f>IF('1. Live'!CC33='check-Jul25'!CC33,"",'1. Live'!CC33-'check-Jul25'!CC33)</f>
        <v/>
      </c>
      <c r="CD33" t="str">
        <f>IF('1. Live'!CD33='check-Jul25'!CD33,"",'1. Live'!CD33-'check-Jul25'!CD33)</f>
        <v/>
      </c>
      <c r="CE33" t="str">
        <f>IF('1. Live'!CE33='check-Jul25'!CE33,"",'1. Live'!CE33-'check-Jul25'!CE33)</f>
        <v/>
      </c>
      <c r="CF33" t="str">
        <f>IF('1. Live'!CF33='check-Jul25'!CF33,"",'1. Live'!CF33-'check-Jul25'!CF33)</f>
        <v/>
      </c>
      <c r="CG33" t="str">
        <f>IF('1. Live'!CG33='check-Jul25'!CG33,"",'1. Live'!CG33-'check-Jul25'!CG33)</f>
        <v/>
      </c>
      <c r="CH33" t="str">
        <f>IF('1. Live'!CH33='check-Jul25'!CH33,"",'1. Live'!CH33-'check-Jul25'!CH33)</f>
        <v/>
      </c>
      <c r="CI33" t="str">
        <f>IF('1. Live'!CI33='check-Jul25'!CI33,"",'1. Live'!CI33-'check-Jul25'!CI33)</f>
        <v/>
      </c>
      <c r="CJ33" t="str">
        <f>IF('1. Live'!CJ33='check-Jul25'!CJ33,"",'1. Live'!CJ33-'check-Jul25'!CJ33)</f>
        <v/>
      </c>
      <c r="CK33" t="str">
        <f>IF('1. Live'!CK33='check-Jul25'!CK33,"",'1. Live'!CK33-'check-Jul25'!CK33)</f>
        <v/>
      </c>
      <c r="CL33" t="str">
        <f>IF('1. Live'!CL33='check-Jul25'!CL33,"",'1. Live'!CL33-'check-Jul25'!CL33)</f>
        <v/>
      </c>
      <c r="CM33" t="str">
        <f>IF('1. Live'!CM33='check-Jul25'!CM33,"",'1. Live'!CM33-'check-Jul25'!CM33)</f>
        <v/>
      </c>
      <c r="CN33" t="str">
        <f>IF('1. Live'!CN33='check-Jul25'!CN33,"",'1. Live'!CN33-'check-Jul25'!CN33)</f>
        <v/>
      </c>
      <c r="CO33" t="str">
        <f>IF('1. Live'!CO33='check-Jul25'!CO33,"",'1. Live'!CO33-'check-Jul25'!CO33)</f>
        <v/>
      </c>
      <c r="CP33" t="str">
        <f>IF('1. Live'!CP33='check-Jul25'!CP33,"",'1. Live'!CP33-'check-Jul25'!CP33)</f>
        <v/>
      </c>
      <c r="CQ33" t="str">
        <f>IF('1. Live'!CQ33='check-Jul25'!CQ33,"",'1. Live'!CQ33-'check-Jul25'!CQ33)</f>
        <v/>
      </c>
      <c r="CR33" t="str">
        <f>IF('1. Live'!CR33='check-Jul25'!CR33,"",'1. Live'!CR33-'check-Jul25'!CR33)</f>
        <v/>
      </c>
      <c r="CS33" t="str">
        <f>IF('1. Live'!CS33='check-Jul25'!CS33,"",'1. Live'!CS33-'check-Jul25'!CS33)</f>
        <v/>
      </c>
      <c r="CT33" t="str">
        <f>IF('1. Live'!CT33='check-Jul25'!CT33,"",'1. Live'!CT33-'check-Jul25'!CT33)</f>
        <v/>
      </c>
      <c r="CU33" t="str">
        <f>IF('1. Live'!CU33='check-Jul25'!CU33,"",'1. Live'!CU33-'check-Jul25'!CU33)</f>
        <v/>
      </c>
      <c r="CV33" t="str">
        <f>IF('1. Live'!CV33='check-Jul25'!CV33,"",'1. Live'!CV33-'check-Jul25'!CV33)</f>
        <v/>
      </c>
      <c r="CW33" t="str">
        <f>IF('1. Live'!CW33='check-Jul25'!CW33,"",'1. Live'!CW33-'check-Jul25'!CW33)</f>
        <v/>
      </c>
    </row>
    <row r="34" spans="2:101">
      <c r="B34" s="68"/>
      <c r="C34" s="4" t="s">
        <v>702</v>
      </c>
      <c r="D34" s="32" t="s">
        <v>248</v>
      </c>
      <c r="E34" s="2" t="s">
        <v>696</v>
      </c>
      <c r="F34" s="2">
        <v>0</v>
      </c>
      <c r="G34" s="2" t="s">
        <v>538</v>
      </c>
      <c r="H34" s="6">
        <v>2025</v>
      </c>
      <c r="I34" s="6" t="s">
        <v>700</v>
      </c>
      <c r="J34" s="90" t="str">
        <f>IF('1. Live'!J34='check-Jul25'!J34,"",'1. Live'!J34-'check-Jul25'!J34)</f>
        <v/>
      </c>
      <c r="K34" s="17" t="str">
        <f>IF('1. Live'!K34='check-Jul25'!K34,"",'1. Live'!K34-'check-Jul25'!K34)</f>
        <v/>
      </c>
      <c r="L34" s="17" t="str">
        <f>IF('1. Live'!L34='check-Jul25'!L34,"",'1. Live'!L34-'check-Jul25'!L34)</f>
        <v/>
      </c>
      <c r="M34" s="17" t="str">
        <f>IF('1. Live'!M34='check-Jul25'!M34,"",'1. Live'!M34-'check-Jul25'!M34)</f>
        <v/>
      </c>
      <c r="N34" s="17" t="str">
        <f>IF('1. Live'!N34='check-Jul25'!N34,"",'1. Live'!N34-'check-Jul25'!N34)</f>
        <v/>
      </c>
      <c r="O34" s="17" t="str">
        <f>IF('1. Live'!O34='check-Jul25'!O34,"",'1. Live'!O34-'check-Jul25'!O34)</f>
        <v/>
      </c>
      <c r="P34" s="17" t="str">
        <f>IF('1. Live'!P34='check-Jul25'!P34,"",'1. Live'!P34-'check-Jul25'!P34)</f>
        <v/>
      </c>
      <c r="Q34" s="17" t="str">
        <f>IF('1. Live'!Q34='check-Jul25'!Q34,"",'1. Live'!Q34-'check-Jul25'!Q34)</f>
        <v/>
      </c>
      <c r="R34" s="10" t="str">
        <f>IF('1. Live'!R34='check-Jul25'!R34,"",'1. Live'!R34-'check-Jul25'!R34)</f>
        <v/>
      </c>
      <c r="S34" s="87" t="str">
        <f>IF('1. Live'!S34='check-Jul25'!S34,"",'1. Live'!S34-'check-Jul25'!S34)</f>
        <v/>
      </c>
      <c r="T34" s="69" t="str">
        <f>IF('1. Live'!T34='check-Jul25'!T34,"",'1. Live'!T34-'check-Jul25'!T34)</f>
        <v/>
      </c>
      <c r="U34" t="str">
        <f>IF('1. Live'!U34='check-Jul25'!U34,"",'1. Live'!U34-'check-Jul25'!U34)</f>
        <v/>
      </c>
      <c r="V34" t="str">
        <f>IF('1. Live'!V34='check-Jul25'!V34,"",'1. Live'!V34-'check-Jul25'!V34)</f>
        <v/>
      </c>
      <c r="W34" t="str">
        <f>IF('1. Live'!W34='check-Jul25'!W34,"",'1. Live'!W34-'check-Jul25'!W34)</f>
        <v/>
      </c>
      <c r="X34" t="str">
        <f>IF('1. Live'!X34='check-Jul25'!X34,"",'1. Live'!X34-'check-Jul25'!X34)</f>
        <v/>
      </c>
      <c r="Y34" t="str">
        <f>IF('1. Live'!Y34='check-Jul25'!Y34,"",'1. Live'!Y34-'check-Jul25'!Y34)</f>
        <v/>
      </c>
      <c r="Z34" t="str">
        <f>IF('1. Live'!Z34='check-Jul25'!Z34,"",'1. Live'!Z34-'check-Jul25'!Z34)</f>
        <v/>
      </c>
      <c r="AA34" t="str">
        <f>IF('1. Live'!AA34='check-Jul25'!AA34,"",'1. Live'!AA34-'check-Jul25'!AA34)</f>
        <v/>
      </c>
      <c r="AB34" t="str">
        <f>IF('1. Live'!AB34='check-Jul25'!AB34,"",'1. Live'!AB34-'check-Jul25'!AB34)</f>
        <v/>
      </c>
      <c r="AC34" t="str">
        <f>IF('1. Live'!AC34='check-Jul25'!AC34,"",'1. Live'!AC34-'check-Jul25'!AC34)</f>
        <v/>
      </c>
      <c r="AD34" t="str">
        <f>IF('1. Live'!AD34='check-Jul25'!AD34,"",'1. Live'!AD34-'check-Jul25'!AD34)</f>
        <v/>
      </c>
      <c r="AE34" t="str">
        <f>IF('1. Live'!AE34='check-Jul25'!AE34,"",'1. Live'!AE34-'check-Jul25'!AE34)</f>
        <v/>
      </c>
      <c r="AF34" t="str">
        <f>IF('1. Live'!AF34='check-Jul25'!AF34,"",'1. Live'!AF34-'check-Jul25'!AF34)</f>
        <v/>
      </c>
      <c r="AG34" t="str">
        <f>IF('1. Live'!AG34='check-Jul25'!AG34,"",'1. Live'!AG34-'check-Jul25'!AG34)</f>
        <v/>
      </c>
      <c r="AH34" t="str">
        <f>IF('1. Live'!AH34='check-Jul25'!AH34,"",'1. Live'!AH34-'check-Jul25'!AH34)</f>
        <v/>
      </c>
      <c r="AI34" t="str">
        <f>IF('1. Live'!AI34='check-Jul25'!AI34,"",'1. Live'!AI34-'check-Jul25'!AI34)</f>
        <v/>
      </c>
      <c r="AJ34" t="str">
        <f>IF('1. Live'!AJ34='check-Jul25'!AJ34,"",'1. Live'!AJ34-'check-Jul25'!AJ34)</f>
        <v/>
      </c>
      <c r="AK34" t="str">
        <f>IF('1. Live'!AK34='check-Jul25'!AK34,"",'1. Live'!AK34-'check-Jul25'!AK34)</f>
        <v/>
      </c>
      <c r="AL34" t="str">
        <f>IF('1. Live'!AL34='check-Jul25'!AL34,"",'1. Live'!AL34-'check-Jul25'!AL34)</f>
        <v/>
      </c>
      <c r="AM34" t="str">
        <f>IF('1. Live'!AM34='check-Jul25'!AM34,"",'1. Live'!AM34-'check-Jul25'!AM34)</f>
        <v/>
      </c>
      <c r="AN34" t="str">
        <f>IF('1. Live'!AN34='check-Jul25'!AN34,"",'1. Live'!AN34-'check-Jul25'!AN34)</f>
        <v/>
      </c>
      <c r="AO34" t="str">
        <f>IF('1. Live'!AO34='check-Jul25'!AO34,"",'1. Live'!AO34-'check-Jul25'!AO34)</f>
        <v/>
      </c>
      <c r="AP34" t="str">
        <f>IF('1. Live'!AP34='check-Jul25'!AP34,"",'1. Live'!AP34-'check-Jul25'!AP34)</f>
        <v/>
      </c>
      <c r="AQ34" t="str">
        <f>IF('1. Live'!AQ34='check-Jul25'!AQ34,"",'1. Live'!AQ34-'check-Jul25'!AQ34)</f>
        <v/>
      </c>
      <c r="AR34" t="str">
        <f>IF('1. Live'!AR34='check-Jul25'!AR34,"",'1. Live'!AR34-'check-Jul25'!AR34)</f>
        <v/>
      </c>
      <c r="AS34" t="str">
        <f>IF('1. Live'!AS34='check-Jul25'!AS34,"",'1. Live'!AS34-'check-Jul25'!AS34)</f>
        <v/>
      </c>
      <c r="AT34" t="str">
        <f>IF('1. Live'!AT34='check-Jul25'!AT34,"",'1. Live'!AT34-'check-Jul25'!AT34)</f>
        <v/>
      </c>
      <c r="AU34" t="str">
        <f>IF('1. Live'!AU34='check-Jul25'!AU34,"",'1. Live'!AU34-'check-Jul25'!AU34)</f>
        <v/>
      </c>
      <c r="AV34" t="str">
        <f>IF('1. Live'!AV34='check-Jul25'!AV34,"",'1. Live'!AV34-'check-Jul25'!AV34)</f>
        <v/>
      </c>
      <c r="AW34" t="str">
        <f>IF('1. Live'!AW34='check-Jul25'!AW34,"",'1. Live'!AW34-'check-Jul25'!AW34)</f>
        <v/>
      </c>
      <c r="AX34" t="str">
        <f>IF('1. Live'!AX34='check-Jul25'!AX34,"",'1. Live'!AX34-'check-Jul25'!AX34)</f>
        <v/>
      </c>
      <c r="AY34" t="str">
        <f>IF('1. Live'!AY34='check-Jul25'!AY34,"",'1. Live'!AY34-'check-Jul25'!AY34)</f>
        <v/>
      </c>
      <c r="AZ34" t="str">
        <f>IF('1. Live'!AZ34='check-Jul25'!AZ34,"",'1. Live'!AZ34-'check-Jul25'!AZ34)</f>
        <v/>
      </c>
      <c r="BA34" t="str">
        <f>IF('1. Live'!BA34='check-Jul25'!BA34,"",'1. Live'!BA34-'check-Jul25'!BA34)</f>
        <v/>
      </c>
      <c r="BB34" t="str">
        <f>IF('1. Live'!BB34='check-Jul25'!BB34,"",'1. Live'!BB34-'check-Jul25'!BB34)</f>
        <v/>
      </c>
      <c r="BC34" t="str">
        <f>IF('1. Live'!BC34='check-Jul25'!BC34,"",'1. Live'!BC34-'check-Jul25'!BC34)</f>
        <v/>
      </c>
      <c r="BD34" t="str">
        <f>IF('1. Live'!BD34='check-Jul25'!BD34,"",'1. Live'!BD34-'check-Jul25'!BD34)</f>
        <v/>
      </c>
      <c r="BE34" t="str">
        <f>IF('1. Live'!BE34='check-Jul25'!BE34,"",'1. Live'!BE34-'check-Jul25'!BE34)</f>
        <v/>
      </c>
      <c r="BF34" t="str">
        <f>IF('1. Live'!BF34='check-Jul25'!BF34,"",'1. Live'!BF34-'check-Jul25'!BF34)</f>
        <v/>
      </c>
      <c r="BG34" t="str">
        <f>IF('1. Live'!BG34='check-Jul25'!BG34,"",'1. Live'!BG34-'check-Jul25'!BG34)</f>
        <v/>
      </c>
      <c r="BH34" t="str">
        <f>IF('1. Live'!BH34='check-Jul25'!BH34,"",'1. Live'!BH34-'check-Jul25'!BH34)</f>
        <v/>
      </c>
      <c r="BI34" t="str">
        <f>IF('1. Live'!BI34='check-Jul25'!BI34,"",'1. Live'!BI34-'check-Jul25'!BI34)</f>
        <v/>
      </c>
      <c r="BJ34" t="str">
        <f>IF('1. Live'!BJ34='check-Jul25'!BJ34,"",'1. Live'!BJ34-'check-Jul25'!BJ34)</f>
        <v/>
      </c>
      <c r="BK34" t="str">
        <f>IF('1. Live'!BK34='check-Jul25'!BK34,"",'1. Live'!BK34-'check-Jul25'!BK34)</f>
        <v/>
      </c>
      <c r="BL34" t="str">
        <f>IF('1. Live'!BL34='check-Jul25'!BL34,"",'1. Live'!BL34-'check-Jul25'!BL34)</f>
        <v/>
      </c>
      <c r="BM34" t="str">
        <f>IF('1. Live'!BM34='check-Jul25'!BM34,"",'1. Live'!BM34-'check-Jul25'!BM34)</f>
        <v/>
      </c>
      <c r="BN34" t="str">
        <f>IF('1. Live'!BN34='check-Jul25'!BN34,"",'1. Live'!BN34-'check-Jul25'!BN34)</f>
        <v/>
      </c>
      <c r="BO34" t="str">
        <f>IF('1. Live'!BO34='check-Jul25'!BO34,"",'1. Live'!BO34-'check-Jul25'!BO34)</f>
        <v/>
      </c>
      <c r="BP34" t="str">
        <f>IF('1. Live'!BP34='check-Jul25'!BP34,"",'1. Live'!BP34-'check-Jul25'!BP34)</f>
        <v/>
      </c>
      <c r="BQ34" t="str">
        <f>IF('1. Live'!BQ34='check-Jul25'!BQ34,"",'1. Live'!BQ34-'check-Jul25'!BQ34)</f>
        <v/>
      </c>
      <c r="BR34" t="str">
        <f>IF('1. Live'!BR34='check-Jul25'!BR34,"",'1. Live'!BR34-'check-Jul25'!BR34)</f>
        <v/>
      </c>
      <c r="BS34" t="str">
        <f>IF('1. Live'!BS34='check-Jul25'!BS34,"",'1. Live'!BS34-'check-Jul25'!BS34)</f>
        <v/>
      </c>
      <c r="BT34" t="str">
        <f>IF('1. Live'!BT34='check-Jul25'!BT34,"",'1. Live'!BT34-'check-Jul25'!BT34)</f>
        <v/>
      </c>
      <c r="BU34" t="str">
        <f>IF('1. Live'!BU34='check-Jul25'!BU34,"",'1. Live'!BU34-'check-Jul25'!BU34)</f>
        <v/>
      </c>
      <c r="BV34" t="str">
        <f>IF('1. Live'!BV34='check-Jul25'!BV34,"",'1. Live'!BV34-'check-Jul25'!BV34)</f>
        <v/>
      </c>
      <c r="BW34" t="str">
        <f>IF('1. Live'!BW34='check-Jul25'!BW34,"",'1. Live'!BW34-'check-Jul25'!BW34)</f>
        <v/>
      </c>
      <c r="BX34" t="str">
        <f>IF('1. Live'!BX34='check-Jul25'!BX34,"",'1. Live'!BX34-'check-Jul25'!BX34)</f>
        <v/>
      </c>
      <c r="BY34" t="str">
        <f>IF('1. Live'!BY34='check-Jul25'!BY34,"",'1. Live'!BY34-'check-Jul25'!BY34)</f>
        <v/>
      </c>
      <c r="BZ34" t="str">
        <f>IF('1. Live'!BZ34='check-Jul25'!BZ34,"",'1. Live'!BZ34-'check-Jul25'!BZ34)</f>
        <v/>
      </c>
      <c r="CA34" t="str">
        <f>IF('1. Live'!CA34='check-Jul25'!CA34,"",'1. Live'!CA34-'check-Jul25'!CA34)</f>
        <v/>
      </c>
      <c r="CB34" t="str">
        <f>IF('1. Live'!CB34='check-Jul25'!CB34,"",'1. Live'!CB34-'check-Jul25'!CB34)</f>
        <v/>
      </c>
      <c r="CC34" t="str">
        <f>IF('1. Live'!CC34='check-Jul25'!CC34,"",'1. Live'!CC34-'check-Jul25'!CC34)</f>
        <v/>
      </c>
      <c r="CD34" t="str">
        <f>IF('1. Live'!CD34='check-Jul25'!CD34,"",'1. Live'!CD34-'check-Jul25'!CD34)</f>
        <v/>
      </c>
      <c r="CE34" t="str">
        <f>IF('1. Live'!CE34='check-Jul25'!CE34,"",'1. Live'!CE34-'check-Jul25'!CE34)</f>
        <v/>
      </c>
      <c r="CF34" t="str">
        <f>IF('1. Live'!CF34='check-Jul25'!CF34,"",'1. Live'!CF34-'check-Jul25'!CF34)</f>
        <v/>
      </c>
      <c r="CG34" t="str">
        <f>IF('1. Live'!CG34='check-Jul25'!CG34,"",'1. Live'!CG34-'check-Jul25'!CG34)</f>
        <v/>
      </c>
      <c r="CH34" t="str">
        <f>IF('1. Live'!CH34='check-Jul25'!CH34,"",'1. Live'!CH34-'check-Jul25'!CH34)</f>
        <v/>
      </c>
      <c r="CI34" t="str">
        <f>IF('1. Live'!CI34='check-Jul25'!CI34,"",'1. Live'!CI34-'check-Jul25'!CI34)</f>
        <v/>
      </c>
      <c r="CJ34" t="str">
        <f>IF('1. Live'!CJ34='check-Jul25'!CJ34,"",'1. Live'!CJ34-'check-Jul25'!CJ34)</f>
        <v/>
      </c>
      <c r="CK34" t="str">
        <f>IF('1. Live'!CK34='check-Jul25'!CK34,"",'1. Live'!CK34-'check-Jul25'!CK34)</f>
        <v/>
      </c>
      <c r="CL34" t="str">
        <f>IF('1. Live'!CL34='check-Jul25'!CL34,"",'1. Live'!CL34-'check-Jul25'!CL34)</f>
        <v/>
      </c>
      <c r="CM34" t="str">
        <f>IF('1. Live'!CM34='check-Jul25'!CM34,"",'1. Live'!CM34-'check-Jul25'!CM34)</f>
        <v/>
      </c>
      <c r="CN34" t="str">
        <f>IF('1. Live'!CN34='check-Jul25'!CN34,"",'1. Live'!CN34-'check-Jul25'!CN34)</f>
        <v/>
      </c>
      <c r="CO34" t="str">
        <f>IF('1. Live'!CO34='check-Jul25'!CO34,"",'1. Live'!CO34-'check-Jul25'!CO34)</f>
        <v/>
      </c>
      <c r="CP34" t="str">
        <f>IF('1. Live'!CP34='check-Jul25'!CP34,"",'1. Live'!CP34-'check-Jul25'!CP34)</f>
        <v/>
      </c>
      <c r="CQ34" t="str">
        <f>IF('1. Live'!CQ34='check-Jul25'!CQ34,"",'1. Live'!CQ34-'check-Jul25'!CQ34)</f>
        <v/>
      </c>
      <c r="CR34" t="str">
        <f>IF('1. Live'!CR34='check-Jul25'!CR34,"",'1. Live'!CR34-'check-Jul25'!CR34)</f>
        <v/>
      </c>
      <c r="CS34" t="str">
        <f>IF('1. Live'!CS34='check-Jul25'!CS34,"",'1. Live'!CS34-'check-Jul25'!CS34)</f>
        <v/>
      </c>
      <c r="CT34" t="str">
        <f>IF('1. Live'!CT34='check-Jul25'!CT34,"",'1. Live'!CT34-'check-Jul25'!CT34)</f>
        <v/>
      </c>
      <c r="CU34" t="str">
        <f>IF('1. Live'!CU34='check-Jul25'!CU34,"",'1. Live'!CU34-'check-Jul25'!CU34)</f>
        <v/>
      </c>
      <c r="CV34" t="str">
        <f>IF('1. Live'!CV34='check-Jul25'!CV34,"",'1. Live'!CV34-'check-Jul25'!CV34)</f>
        <v/>
      </c>
      <c r="CW34" t="str">
        <f>IF('1. Live'!CW34='check-Jul25'!CW34,"",'1. Live'!CW34-'check-Jul25'!CW34)</f>
        <v/>
      </c>
    </row>
    <row r="35" spans="2:101">
      <c r="B35" s="68"/>
      <c r="C35" s="4" t="s">
        <v>588</v>
      </c>
      <c r="D35" s="32" t="s">
        <v>248</v>
      </c>
      <c r="E35" s="2" t="s">
        <v>77</v>
      </c>
      <c r="F35" s="2">
        <v>0</v>
      </c>
      <c r="G35" s="2" t="s">
        <v>538</v>
      </c>
      <c r="H35" s="6">
        <v>2024</v>
      </c>
      <c r="I35" s="6"/>
      <c r="J35" s="90">
        <f>IF('1. Live'!J35='check-Jul25'!J35,"",'1. Live'!J35-'check-Jul25'!J35)</f>
        <v>-1.3461781253487057E-2</v>
      </c>
      <c r="K35" s="17" t="str">
        <f>IF('1. Live'!K35='check-Jul25'!K35,"",'1. Live'!K35-'check-Jul25'!K35)</f>
        <v/>
      </c>
      <c r="L35" s="17" t="str">
        <f ca="1">IF('1. Live'!L35='check-Jul25'!L35,"",'1. Live'!L35-'check-Jul25'!L35)</f>
        <v/>
      </c>
      <c r="M35" s="17" t="str">
        <f ca="1">IF('1. Live'!M35='check-Jul25'!M35,"",'1. Live'!M35-'check-Jul25'!M35)</f>
        <v/>
      </c>
      <c r="N35" s="17" t="str">
        <f ca="1">IF('1. Live'!N35='check-Jul25'!N35,"",'1. Live'!N35-'check-Jul25'!N35)</f>
        <v/>
      </c>
      <c r="O35" s="17">
        <f>IF('1. Live'!O35='check-Jul25'!O35,"",'1. Live'!O35-'check-Jul25'!O35)</f>
        <v>-0.17394272422222201</v>
      </c>
      <c r="P35" s="17">
        <f ca="1">IF('1. Live'!P35='check-Jul25'!P35,"",'1. Live'!P35-'check-Jul25'!P35)</f>
        <v>-0.17394272422222201</v>
      </c>
      <c r="Q35" s="17" t="str">
        <f>IF('1. Live'!Q35='check-Jul25'!Q35,"",'1. Live'!Q35-'check-Jul25'!Q35)</f>
        <v/>
      </c>
      <c r="R35" s="10">
        <f ca="1">IF('1. Live'!R35='check-Jul25'!R35,"",'1. Live'!R35-'check-Jul25'!R35)</f>
        <v>-1.7394272422222246E-2</v>
      </c>
      <c r="S35" s="87" t="str">
        <f>IF('1. Live'!S35='check-Jul25'!S35,"",'1. Live'!S35-'check-Jul25'!S35)</f>
        <v/>
      </c>
      <c r="T35" s="69" t="str">
        <f>IF('1. Live'!T35='check-Jul25'!T35,"",'1. Live'!T35-'check-Jul25'!T35)</f>
        <v/>
      </c>
      <c r="U35" t="str">
        <f>IF('1. Live'!U35='check-Jul25'!U35,"",'1. Live'!U35-'check-Jul25'!U35)</f>
        <v/>
      </c>
      <c r="V35" t="str">
        <f>IF('1. Live'!V35='check-Jul25'!V35,"",'1. Live'!V35-'check-Jul25'!V35)</f>
        <v/>
      </c>
      <c r="W35" t="str">
        <f>IF('1. Live'!W35='check-Jul25'!W35,"",'1. Live'!W35-'check-Jul25'!W35)</f>
        <v/>
      </c>
      <c r="X35" t="str">
        <f>IF('1. Live'!X35='check-Jul25'!X35,"",'1. Live'!X35-'check-Jul25'!X35)</f>
        <v/>
      </c>
      <c r="Y35" t="str">
        <f>IF('1. Live'!Y35='check-Jul25'!Y35,"",'1. Live'!Y35-'check-Jul25'!Y35)</f>
        <v/>
      </c>
      <c r="Z35" t="str">
        <f>IF('1. Live'!Z35='check-Jul25'!Z35,"",'1. Live'!Z35-'check-Jul25'!Z35)</f>
        <v/>
      </c>
      <c r="AA35" t="str">
        <f>IF('1. Live'!AA35='check-Jul25'!AA35,"",'1. Live'!AA35-'check-Jul25'!AA35)</f>
        <v/>
      </c>
      <c r="AB35" t="str">
        <f>IF('1. Live'!AB35='check-Jul25'!AB35,"",'1. Live'!AB35-'check-Jul25'!AB35)</f>
        <v/>
      </c>
      <c r="AC35" t="str">
        <f>IF('1. Live'!AC35='check-Jul25'!AC35,"",'1. Live'!AC35-'check-Jul25'!AC35)</f>
        <v/>
      </c>
      <c r="AD35" t="str">
        <f>IF('1. Live'!AD35='check-Jul25'!AD35,"",'1. Live'!AD35-'check-Jul25'!AD35)</f>
        <v/>
      </c>
      <c r="AE35" t="str">
        <f>IF('1. Live'!AE35='check-Jul25'!AE35,"",'1. Live'!AE35-'check-Jul25'!AE35)</f>
        <v/>
      </c>
      <c r="AF35" t="str">
        <f>IF('1. Live'!AF35='check-Jul25'!AF35,"",'1. Live'!AF35-'check-Jul25'!AF35)</f>
        <v/>
      </c>
      <c r="AG35" t="str">
        <f>IF('1. Live'!AG35='check-Jul25'!AG35,"",'1. Live'!AG35-'check-Jul25'!AG35)</f>
        <v/>
      </c>
      <c r="AH35" t="str">
        <f>IF('1. Live'!AH35='check-Jul25'!AH35,"",'1. Live'!AH35-'check-Jul25'!AH35)</f>
        <v/>
      </c>
      <c r="AI35" t="str">
        <f>IF('1. Live'!AI35='check-Jul25'!AI35,"",'1. Live'!AI35-'check-Jul25'!AI35)</f>
        <v/>
      </c>
      <c r="AJ35" t="str">
        <f>IF('1. Live'!AJ35='check-Jul25'!AJ35,"",'1. Live'!AJ35-'check-Jul25'!AJ35)</f>
        <v/>
      </c>
      <c r="AK35" t="str">
        <f>IF('1. Live'!AK35='check-Jul25'!AK35,"",'1. Live'!AK35-'check-Jul25'!AK35)</f>
        <v/>
      </c>
      <c r="AL35" t="str">
        <f>IF('1. Live'!AL35='check-Jul25'!AL35,"",'1. Live'!AL35-'check-Jul25'!AL35)</f>
        <v/>
      </c>
      <c r="AM35" t="str">
        <f>IF('1. Live'!AM35='check-Jul25'!AM35,"",'1. Live'!AM35-'check-Jul25'!AM35)</f>
        <v/>
      </c>
      <c r="AN35" t="str">
        <f>IF('1. Live'!AN35='check-Jul25'!AN35,"",'1. Live'!AN35-'check-Jul25'!AN35)</f>
        <v/>
      </c>
      <c r="AO35" t="str">
        <f>IF('1. Live'!AO35='check-Jul25'!AO35,"",'1. Live'!AO35-'check-Jul25'!AO35)</f>
        <v/>
      </c>
      <c r="AP35" t="str">
        <f>IF('1. Live'!AP35='check-Jul25'!AP35,"",'1. Live'!AP35-'check-Jul25'!AP35)</f>
        <v/>
      </c>
      <c r="AQ35" t="str">
        <f>IF('1. Live'!AQ35='check-Jul25'!AQ35,"",'1. Live'!AQ35-'check-Jul25'!AQ35)</f>
        <v/>
      </c>
      <c r="AR35" t="str">
        <f>IF('1. Live'!AR35='check-Jul25'!AR35,"",'1. Live'!AR35-'check-Jul25'!AR35)</f>
        <v/>
      </c>
      <c r="AS35" t="str">
        <f>IF('1. Live'!AS35='check-Jul25'!AS35,"",'1. Live'!AS35-'check-Jul25'!AS35)</f>
        <v/>
      </c>
      <c r="AT35" t="str">
        <f>IF('1. Live'!AT35='check-Jul25'!AT35,"",'1. Live'!AT35-'check-Jul25'!AT35)</f>
        <v/>
      </c>
      <c r="AU35" t="str">
        <f>IF('1. Live'!AU35='check-Jul25'!AU35,"",'1. Live'!AU35-'check-Jul25'!AU35)</f>
        <v/>
      </c>
      <c r="AV35" t="str">
        <f>IF('1. Live'!AV35='check-Jul25'!AV35,"",'1. Live'!AV35-'check-Jul25'!AV35)</f>
        <v/>
      </c>
      <c r="AW35" t="str">
        <f>IF('1. Live'!AW35='check-Jul25'!AW35,"",'1. Live'!AW35-'check-Jul25'!AW35)</f>
        <v/>
      </c>
      <c r="AX35" t="str">
        <f>IF('1. Live'!AX35='check-Jul25'!AX35,"",'1. Live'!AX35-'check-Jul25'!AX35)</f>
        <v/>
      </c>
      <c r="AY35" t="str">
        <f>IF('1. Live'!AY35='check-Jul25'!AY35,"",'1. Live'!AY35-'check-Jul25'!AY35)</f>
        <v/>
      </c>
      <c r="AZ35" t="str">
        <f>IF('1. Live'!AZ35='check-Jul25'!AZ35,"",'1. Live'!AZ35-'check-Jul25'!AZ35)</f>
        <v/>
      </c>
      <c r="BA35" t="str">
        <f>IF('1. Live'!BA35='check-Jul25'!BA35,"",'1. Live'!BA35-'check-Jul25'!BA35)</f>
        <v/>
      </c>
      <c r="BB35" t="str">
        <f>IF('1. Live'!BB35='check-Jul25'!BB35,"",'1. Live'!BB35-'check-Jul25'!BB35)</f>
        <v/>
      </c>
      <c r="BC35" t="str">
        <f>IF('1. Live'!BC35='check-Jul25'!BC35,"",'1. Live'!BC35-'check-Jul25'!BC35)</f>
        <v/>
      </c>
      <c r="BD35" t="str">
        <f>IF('1. Live'!BD35='check-Jul25'!BD35,"",'1. Live'!BD35-'check-Jul25'!BD35)</f>
        <v/>
      </c>
      <c r="BE35" t="str">
        <f>IF('1. Live'!BE35='check-Jul25'!BE35,"",'1. Live'!BE35-'check-Jul25'!BE35)</f>
        <v/>
      </c>
      <c r="BF35" t="str">
        <f>IF('1. Live'!BF35='check-Jul25'!BF35,"",'1. Live'!BF35-'check-Jul25'!BF35)</f>
        <v/>
      </c>
      <c r="BG35" t="str">
        <f>IF('1. Live'!BG35='check-Jul25'!BG35,"",'1. Live'!BG35-'check-Jul25'!BG35)</f>
        <v/>
      </c>
      <c r="BH35" t="str">
        <f>IF('1. Live'!BH35='check-Jul25'!BH35,"",'1. Live'!BH35-'check-Jul25'!BH35)</f>
        <v/>
      </c>
      <c r="BI35" t="str">
        <f>IF('1. Live'!BI35='check-Jul25'!BI35,"",'1. Live'!BI35-'check-Jul25'!BI35)</f>
        <v/>
      </c>
      <c r="BJ35" t="str">
        <f>IF('1. Live'!BJ35='check-Jul25'!BJ35,"",'1. Live'!BJ35-'check-Jul25'!BJ35)</f>
        <v/>
      </c>
      <c r="BK35" t="str">
        <f>IF('1. Live'!BK35='check-Jul25'!BK35,"",'1. Live'!BK35-'check-Jul25'!BK35)</f>
        <v/>
      </c>
      <c r="BL35" t="str">
        <f>IF('1. Live'!BL35='check-Jul25'!BL35,"",'1. Live'!BL35-'check-Jul25'!BL35)</f>
        <v/>
      </c>
      <c r="BM35" t="str">
        <f>IF('1. Live'!BM35='check-Jul25'!BM35,"",'1. Live'!BM35-'check-Jul25'!BM35)</f>
        <v/>
      </c>
      <c r="BN35" t="str">
        <f>IF('1. Live'!BN35='check-Jul25'!BN35,"",'1. Live'!BN35-'check-Jul25'!BN35)</f>
        <v/>
      </c>
      <c r="BO35" t="str">
        <f>IF('1. Live'!BO35='check-Jul25'!BO35,"",'1. Live'!BO35-'check-Jul25'!BO35)</f>
        <v/>
      </c>
      <c r="BP35" t="str">
        <f>IF('1. Live'!BP35='check-Jul25'!BP35,"",'1. Live'!BP35-'check-Jul25'!BP35)</f>
        <v/>
      </c>
      <c r="BQ35" t="str">
        <f>IF('1. Live'!BQ35='check-Jul25'!BQ35,"",'1. Live'!BQ35-'check-Jul25'!BQ35)</f>
        <v/>
      </c>
      <c r="BR35" t="str">
        <f>IF('1. Live'!BR35='check-Jul25'!BR35,"",'1. Live'!BR35-'check-Jul25'!BR35)</f>
        <v/>
      </c>
      <c r="BS35" t="str">
        <f>IF('1. Live'!BS35='check-Jul25'!BS35,"",'1. Live'!BS35-'check-Jul25'!BS35)</f>
        <v/>
      </c>
      <c r="BT35" t="str">
        <f>IF('1. Live'!BT35='check-Jul25'!BT35,"",'1. Live'!BT35-'check-Jul25'!BT35)</f>
        <v/>
      </c>
      <c r="BU35" t="str">
        <f>IF('1. Live'!BU35='check-Jul25'!BU35,"",'1. Live'!BU35-'check-Jul25'!BU35)</f>
        <v/>
      </c>
      <c r="BV35" t="str">
        <f>IF('1. Live'!BV35='check-Jul25'!BV35,"",'1. Live'!BV35-'check-Jul25'!BV35)</f>
        <v/>
      </c>
      <c r="BW35" t="str">
        <f>IF('1. Live'!BW35='check-Jul25'!BW35,"",'1. Live'!BW35-'check-Jul25'!BW35)</f>
        <v/>
      </c>
      <c r="BX35" t="str">
        <f>IF('1. Live'!BX35='check-Jul25'!BX35,"",'1. Live'!BX35-'check-Jul25'!BX35)</f>
        <v/>
      </c>
      <c r="BY35" t="str">
        <f>IF('1. Live'!BY35='check-Jul25'!BY35,"",'1. Live'!BY35-'check-Jul25'!BY35)</f>
        <v/>
      </c>
      <c r="BZ35" t="str">
        <f>IF('1. Live'!BZ35='check-Jul25'!BZ35,"",'1. Live'!BZ35-'check-Jul25'!BZ35)</f>
        <v/>
      </c>
      <c r="CA35" t="str">
        <f>IF('1. Live'!CA35='check-Jul25'!CA35,"",'1. Live'!CA35-'check-Jul25'!CA35)</f>
        <v/>
      </c>
      <c r="CB35" t="str">
        <f>IF('1. Live'!CB35='check-Jul25'!CB35,"",'1. Live'!CB35-'check-Jul25'!CB35)</f>
        <v/>
      </c>
      <c r="CC35" t="str">
        <f>IF('1. Live'!CC35='check-Jul25'!CC35,"",'1. Live'!CC35-'check-Jul25'!CC35)</f>
        <v/>
      </c>
      <c r="CD35" t="str">
        <f>IF('1. Live'!CD35='check-Jul25'!CD35,"",'1. Live'!CD35-'check-Jul25'!CD35)</f>
        <v/>
      </c>
      <c r="CE35" t="str">
        <f>IF('1. Live'!CE35='check-Jul25'!CE35,"",'1. Live'!CE35-'check-Jul25'!CE35)</f>
        <v/>
      </c>
      <c r="CF35" t="str">
        <f>IF('1. Live'!CF35='check-Jul25'!CF35,"",'1. Live'!CF35-'check-Jul25'!CF35)</f>
        <v/>
      </c>
      <c r="CG35" t="str">
        <f>IF('1. Live'!CG35='check-Jul25'!CG35,"",'1. Live'!CG35-'check-Jul25'!CG35)</f>
        <v/>
      </c>
      <c r="CH35" t="str">
        <f>IF('1. Live'!CH35='check-Jul25'!CH35,"",'1. Live'!CH35-'check-Jul25'!CH35)</f>
        <v/>
      </c>
      <c r="CI35" t="str">
        <f>IF('1. Live'!CI35='check-Jul25'!CI35,"",'1. Live'!CI35-'check-Jul25'!CI35)</f>
        <v/>
      </c>
      <c r="CJ35" t="str">
        <f>IF('1. Live'!CJ35='check-Jul25'!CJ35,"",'1. Live'!CJ35-'check-Jul25'!CJ35)</f>
        <v/>
      </c>
      <c r="CK35" t="str">
        <f>IF('1. Live'!CK35='check-Jul25'!CK35,"",'1. Live'!CK35-'check-Jul25'!CK35)</f>
        <v/>
      </c>
      <c r="CL35" t="str">
        <f>IF('1. Live'!CL35='check-Jul25'!CL35,"",'1. Live'!CL35-'check-Jul25'!CL35)</f>
        <v/>
      </c>
      <c r="CM35" t="str">
        <f>IF('1. Live'!CM35='check-Jul25'!CM35,"",'1. Live'!CM35-'check-Jul25'!CM35)</f>
        <v/>
      </c>
      <c r="CN35" t="str">
        <f>IF('1. Live'!CN35='check-Jul25'!CN35,"",'1. Live'!CN35-'check-Jul25'!CN35)</f>
        <v/>
      </c>
      <c r="CO35" t="str">
        <f>IF('1. Live'!CO35='check-Jul25'!CO35,"",'1. Live'!CO35-'check-Jul25'!CO35)</f>
        <v/>
      </c>
      <c r="CP35" t="str">
        <f>IF('1. Live'!CP35='check-Jul25'!CP35,"",'1. Live'!CP35-'check-Jul25'!CP35)</f>
        <v/>
      </c>
      <c r="CQ35" t="str">
        <f>IF('1. Live'!CQ35='check-Jul25'!CQ35,"",'1. Live'!CQ35-'check-Jul25'!CQ35)</f>
        <v/>
      </c>
      <c r="CR35" t="str">
        <f>IF('1. Live'!CR35='check-Jul25'!CR35,"",'1. Live'!CR35-'check-Jul25'!CR35)</f>
        <v/>
      </c>
      <c r="CS35" t="str">
        <f>IF('1. Live'!CS35='check-Jul25'!CS35,"",'1. Live'!CS35-'check-Jul25'!CS35)</f>
        <v/>
      </c>
      <c r="CT35" t="str">
        <f>IF('1. Live'!CT35='check-Jul25'!CT35,"",'1. Live'!CT35-'check-Jul25'!CT35)</f>
        <v/>
      </c>
      <c r="CU35" t="str">
        <f>IF('1. Live'!CU35='check-Jul25'!CU35,"",'1. Live'!CU35-'check-Jul25'!CU35)</f>
        <v/>
      </c>
      <c r="CV35" t="str">
        <f>IF('1. Live'!CV35='check-Jul25'!CV35,"",'1. Live'!CV35-'check-Jul25'!CV35)</f>
        <v/>
      </c>
      <c r="CW35" t="str">
        <f>IF('1. Live'!CW35='check-Jul25'!CW35,"",'1. Live'!CW35-'check-Jul25'!CW35)</f>
        <v/>
      </c>
    </row>
    <row r="36" spans="2:101">
      <c r="B36" s="68"/>
      <c r="C36" s="4" t="s">
        <v>662</v>
      </c>
      <c r="D36" s="32" t="s">
        <v>248</v>
      </c>
      <c r="E36" s="2" t="s">
        <v>77</v>
      </c>
      <c r="F36" s="2">
        <v>0</v>
      </c>
      <c r="G36" s="2" t="s">
        <v>538</v>
      </c>
      <c r="H36" s="6">
        <v>2024</v>
      </c>
      <c r="I36" s="6" t="s">
        <v>663</v>
      </c>
      <c r="J36" s="90" t="str">
        <f>IF('1. Live'!J36='check-Jul25'!J36,"",'1. Live'!J36-'check-Jul25'!J36)</f>
        <v/>
      </c>
      <c r="K36" s="17" t="str">
        <f>IF('1. Live'!K36='check-Jul25'!K36,"",'1. Live'!K36-'check-Jul25'!K36)</f>
        <v/>
      </c>
      <c r="L36" s="17" t="str">
        <f ca="1">IF('1. Live'!L36='check-Jul25'!L36,"",'1. Live'!L36-'check-Jul25'!L36)</f>
        <v/>
      </c>
      <c r="M36" s="17" t="str">
        <f ca="1">IF('1. Live'!M36='check-Jul25'!M36,"",'1. Live'!M36-'check-Jul25'!M36)</f>
        <v/>
      </c>
      <c r="N36" s="17" t="str">
        <f ca="1">IF('1. Live'!N36='check-Jul25'!N36,"",'1. Live'!N36-'check-Jul25'!N36)</f>
        <v/>
      </c>
      <c r="O36" s="17" t="str">
        <f>IF('1. Live'!O36='check-Jul25'!O36,"",'1. Live'!O36-'check-Jul25'!O36)</f>
        <v/>
      </c>
      <c r="P36" s="583" t="str">
        <f ca="1">IF('1. Live'!P36='check-Jul25'!P36,"",'1. Live'!P36-'check-Jul25'!P36)</f>
        <v/>
      </c>
      <c r="Q36" s="17" t="str">
        <f>IF('1. Live'!Q36='check-Jul25'!Q36,"",'1. Live'!Q36-'check-Jul25'!Q36)</f>
        <v/>
      </c>
      <c r="R36" s="10" t="str">
        <f ca="1">IF('1. Live'!R36='check-Jul25'!R36,"",'1. Live'!R36-'check-Jul25'!R36)</f>
        <v/>
      </c>
      <c r="S36" s="552" t="str">
        <f>IF('1. Live'!S36='check-Jul25'!S36,"",'1. Live'!S36-'check-Jul25'!S36)</f>
        <v/>
      </c>
      <c r="T36" s="69" t="str">
        <f>IF('1. Live'!T36='check-Jul25'!T36,"",'1. Live'!T36-'check-Jul25'!T36)</f>
        <v/>
      </c>
      <c r="U36" t="str">
        <f>IF('1. Live'!U36='check-Jul25'!U36,"",'1. Live'!U36-'check-Jul25'!U36)</f>
        <v/>
      </c>
      <c r="V36" t="str">
        <f>IF('1. Live'!V36='check-Jul25'!V36,"",'1. Live'!V36-'check-Jul25'!V36)</f>
        <v/>
      </c>
      <c r="W36" t="str">
        <f>IF('1. Live'!W36='check-Jul25'!W36,"",'1. Live'!W36-'check-Jul25'!W36)</f>
        <v/>
      </c>
      <c r="X36" t="str">
        <f>IF('1. Live'!X36='check-Jul25'!X36,"",'1. Live'!X36-'check-Jul25'!X36)</f>
        <v/>
      </c>
      <c r="Y36" t="str">
        <f>IF('1. Live'!Y36='check-Jul25'!Y36,"",'1. Live'!Y36-'check-Jul25'!Y36)</f>
        <v/>
      </c>
      <c r="Z36" t="str">
        <f>IF('1. Live'!Z36='check-Jul25'!Z36,"",'1. Live'!Z36-'check-Jul25'!Z36)</f>
        <v/>
      </c>
      <c r="AA36" t="str">
        <f>IF('1. Live'!AA36='check-Jul25'!AA36,"",'1. Live'!AA36-'check-Jul25'!AA36)</f>
        <v/>
      </c>
      <c r="AB36" t="str">
        <f>IF('1. Live'!AB36='check-Jul25'!AB36,"",'1. Live'!AB36-'check-Jul25'!AB36)</f>
        <v/>
      </c>
      <c r="AC36" t="str">
        <f>IF('1. Live'!AC36='check-Jul25'!AC36,"",'1. Live'!AC36-'check-Jul25'!AC36)</f>
        <v/>
      </c>
      <c r="AD36" t="str">
        <f>IF('1. Live'!AD36='check-Jul25'!AD36,"",'1. Live'!AD36-'check-Jul25'!AD36)</f>
        <v/>
      </c>
      <c r="AE36" t="str">
        <f>IF('1. Live'!AE36='check-Jul25'!AE36,"",'1. Live'!AE36-'check-Jul25'!AE36)</f>
        <v/>
      </c>
      <c r="AF36" t="str">
        <f>IF('1. Live'!AF36='check-Jul25'!AF36,"",'1. Live'!AF36-'check-Jul25'!AF36)</f>
        <v/>
      </c>
      <c r="AG36" t="str">
        <f>IF('1. Live'!AG36='check-Jul25'!AG36,"",'1. Live'!AG36-'check-Jul25'!AG36)</f>
        <v/>
      </c>
      <c r="AH36" t="str">
        <f>IF('1. Live'!AH36='check-Jul25'!AH36,"",'1. Live'!AH36-'check-Jul25'!AH36)</f>
        <v/>
      </c>
      <c r="AI36" t="str">
        <f>IF('1. Live'!AI36='check-Jul25'!AI36,"",'1. Live'!AI36-'check-Jul25'!AI36)</f>
        <v/>
      </c>
      <c r="AJ36" t="str">
        <f>IF('1. Live'!AJ36='check-Jul25'!AJ36,"",'1. Live'!AJ36-'check-Jul25'!AJ36)</f>
        <v/>
      </c>
      <c r="AK36" t="str">
        <f>IF('1. Live'!AK36='check-Jul25'!AK36,"",'1. Live'!AK36-'check-Jul25'!AK36)</f>
        <v/>
      </c>
      <c r="AL36" t="str">
        <f>IF('1. Live'!AL36='check-Jul25'!AL36,"",'1. Live'!AL36-'check-Jul25'!AL36)</f>
        <v/>
      </c>
      <c r="AM36" t="str">
        <f>IF('1. Live'!AM36='check-Jul25'!AM36,"",'1. Live'!AM36-'check-Jul25'!AM36)</f>
        <v/>
      </c>
      <c r="AN36" t="str">
        <f>IF('1. Live'!AN36='check-Jul25'!AN36,"",'1. Live'!AN36-'check-Jul25'!AN36)</f>
        <v/>
      </c>
      <c r="AO36" t="str">
        <f>IF('1. Live'!AO36='check-Jul25'!AO36,"",'1. Live'!AO36-'check-Jul25'!AO36)</f>
        <v/>
      </c>
      <c r="AP36" t="str">
        <f>IF('1. Live'!AP36='check-Jul25'!AP36,"",'1. Live'!AP36-'check-Jul25'!AP36)</f>
        <v/>
      </c>
      <c r="AQ36" t="str">
        <f>IF('1. Live'!AQ36='check-Jul25'!AQ36,"",'1. Live'!AQ36-'check-Jul25'!AQ36)</f>
        <v/>
      </c>
      <c r="AR36" t="str">
        <f>IF('1. Live'!AR36='check-Jul25'!AR36,"",'1. Live'!AR36-'check-Jul25'!AR36)</f>
        <v/>
      </c>
      <c r="AS36" t="str">
        <f>IF('1. Live'!AS36='check-Jul25'!AS36,"",'1. Live'!AS36-'check-Jul25'!AS36)</f>
        <v/>
      </c>
      <c r="AT36" t="str">
        <f>IF('1. Live'!AT36='check-Jul25'!AT36,"",'1. Live'!AT36-'check-Jul25'!AT36)</f>
        <v/>
      </c>
      <c r="AU36" t="str">
        <f>IF('1. Live'!AU36='check-Jul25'!AU36,"",'1. Live'!AU36-'check-Jul25'!AU36)</f>
        <v/>
      </c>
      <c r="AV36" t="str">
        <f>IF('1. Live'!AV36='check-Jul25'!AV36,"",'1. Live'!AV36-'check-Jul25'!AV36)</f>
        <v/>
      </c>
      <c r="AW36" t="str">
        <f>IF('1. Live'!AW36='check-Jul25'!AW36,"",'1. Live'!AW36-'check-Jul25'!AW36)</f>
        <v/>
      </c>
      <c r="AX36" t="str">
        <f>IF('1. Live'!AX36='check-Jul25'!AX36,"",'1. Live'!AX36-'check-Jul25'!AX36)</f>
        <v/>
      </c>
      <c r="AY36" t="str">
        <f>IF('1. Live'!AY36='check-Jul25'!AY36,"",'1. Live'!AY36-'check-Jul25'!AY36)</f>
        <v/>
      </c>
      <c r="AZ36" t="str">
        <f>IF('1. Live'!AZ36='check-Jul25'!AZ36,"",'1. Live'!AZ36-'check-Jul25'!AZ36)</f>
        <v/>
      </c>
      <c r="BA36" t="str">
        <f>IF('1. Live'!BA36='check-Jul25'!BA36,"",'1. Live'!BA36-'check-Jul25'!BA36)</f>
        <v/>
      </c>
      <c r="BB36" t="str">
        <f>IF('1. Live'!BB36='check-Jul25'!BB36,"",'1. Live'!BB36-'check-Jul25'!BB36)</f>
        <v/>
      </c>
      <c r="BC36" t="str">
        <f>IF('1. Live'!BC36='check-Jul25'!BC36,"",'1. Live'!BC36-'check-Jul25'!BC36)</f>
        <v/>
      </c>
      <c r="BD36" t="str">
        <f>IF('1. Live'!BD36='check-Jul25'!BD36,"",'1. Live'!BD36-'check-Jul25'!BD36)</f>
        <v/>
      </c>
      <c r="BE36" t="str">
        <f>IF('1. Live'!BE36='check-Jul25'!BE36,"",'1. Live'!BE36-'check-Jul25'!BE36)</f>
        <v/>
      </c>
      <c r="BF36" t="str">
        <f>IF('1. Live'!BF36='check-Jul25'!BF36,"",'1. Live'!BF36-'check-Jul25'!BF36)</f>
        <v/>
      </c>
      <c r="BG36" t="str">
        <f>IF('1. Live'!BG36='check-Jul25'!BG36,"",'1. Live'!BG36-'check-Jul25'!BG36)</f>
        <v/>
      </c>
      <c r="BH36" t="str">
        <f>IF('1. Live'!BH36='check-Jul25'!BH36,"",'1. Live'!BH36-'check-Jul25'!BH36)</f>
        <v/>
      </c>
      <c r="BI36" t="str">
        <f>IF('1. Live'!BI36='check-Jul25'!BI36,"",'1. Live'!BI36-'check-Jul25'!BI36)</f>
        <v/>
      </c>
      <c r="BJ36" t="str">
        <f>IF('1. Live'!BJ36='check-Jul25'!BJ36,"",'1. Live'!BJ36-'check-Jul25'!BJ36)</f>
        <v/>
      </c>
      <c r="BK36" t="str">
        <f>IF('1. Live'!BK36='check-Jul25'!BK36,"",'1. Live'!BK36-'check-Jul25'!BK36)</f>
        <v/>
      </c>
      <c r="BL36" t="str">
        <f>IF('1. Live'!BL36='check-Jul25'!BL36,"",'1. Live'!BL36-'check-Jul25'!BL36)</f>
        <v/>
      </c>
      <c r="BM36" t="str">
        <f>IF('1. Live'!BM36='check-Jul25'!BM36,"",'1. Live'!BM36-'check-Jul25'!BM36)</f>
        <v/>
      </c>
      <c r="BN36" t="str">
        <f>IF('1. Live'!BN36='check-Jul25'!BN36,"",'1. Live'!BN36-'check-Jul25'!BN36)</f>
        <v/>
      </c>
      <c r="BO36" t="str">
        <f>IF('1. Live'!BO36='check-Jul25'!BO36,"",'1. Live'!BO36-'check-Jul25'!BO36)</f>
        <v/>
      </c>
      <c r="BP36" t="str">
        <f>IF('1. Live'!BP36='check-Jul25'!BP36,"",'1. Live'!BP36-'check-Jul25'!BP36)</f>
        <v/>
      </c>
      <c r="BQ36" t="str">
        <f>IF('1. Live'!BQ36='check-Jul25'!BQ36,"",'1. Live'!BQ36-'check-Jul25'!BQ36)</f>
        <v/>
      </c>
      <c r="BR36" t="str">
        <f>IF('1. Live'!BR36='check-Jul25'!BR36,"",'1. Live'!BR36-'check-Jul25'!BR36)</f>
        <v/>
      </c>
      <c r="BS36" t="str">
        <f>IF('1. Live'!BS36='check-Jul25'!BS36,"",'1. Live'!BS36-'check-Jul25'!BS36)</f>
        <v/>
      </c>
      <c r="BT36" t="str">
        <f>IF('1. Live'!BT36='check-Jul25'!BT36,"",'1. Live'!BT36-'check-Jul25'!BT36)</f>
        <v/>
      </c>
      <c r="BU36" t="str">
        <f>IF('1. Live'!BU36='check-Jul25'!BU36,"",'1. Live'!BU36-'check-Jul25'!BU36)</f>
        <v/>
      </c>
      <c r="BV36" t="str">
        <f>IF('1. Live'!BV36='check-Jul25'!BV36,"",'1. Live'!BV36-'check-Jul25'!BV36)</f>
        <v/>
      </c>
      <c r="BW36" t="str">
        <f>IF('1. Live'!BW36='check-Jul25'!BW36,"",'1. Live'!BW36-'check-Jul25'!BW36)</f>
        <v/>
      </c>
      <c r="BX36" t="str">
        <f>IF('1. Live'!BX36='check-Jul25'!BX36,"",'1. Live'!BX36-'check-Jul25'!BX36)</f>
        <v/>
      </c>
      <c r="BY36" t="str">
        <f>IF('1. Live'!BY36='check-Jul25'!BY36,"",'1. Live'!BY36-'check-Jul25'!BY36)</f>
        <v/>
      </c>
      <c r="BZ36" t="str">
        <f>IF('1. Live'!BZ36='check-Jul25'!BZ36,"",'1. Live'!BZ36-'check-Jul25'!BZ36)</f>
        <v/>
      </c>
      <c r="CA36" t="str">
        <f>IF('1. Live'!CA36='check-Jul25'!CA36,"",'1. Live'!CA36-'check-Jul25'!CA36)</f>
        <v/>
      </c>
      <c r="CB36" t="str">
        <f>IF('1. Live'!CB36='check-Jul25'!CB36,"",'1. Live'!CB36-'check-Jul25'!CB36)</f>
        <v/>
      </c>
      <c r="CC36" t="str">
        <f>IF('1. Live'!CC36='check-Jul25'!CC36,"",'1. Live'!CC36-'check-Jul25'!CC36)</f>
        <v/>
      </c>
      <c r="CD36" t="str">
        <f>IF('1. Live'!CD36='check-Jul25'!CD36,"",'1. Live'!CD36-'check-Jul25'!CD36)</f>
        <v/>
      </c>
      <c r="CE36" t="str">
        <f>IF('1. Live'!CE36='check-Jul25'!CE36,"",'1. Live'!CE36-'check-Jul25'!CE36)</f>
        <v/>
      </c>
      <c r="CF36" t="str">
        <f>IF('1. Live'!CF36='check-Jul25'!CF36,"",'1. Live'!CF36-'check-Jul25'!CF36)</f>
        <v/>
      </c>
      <c r="CG36" t="str">
        <f>IF('1. Live'!CG36='check-Jul25'!CG36,"",'1. Live'!CG36-'check-Jul25'!CG36)</f>
        <v/>
      </c>
      <c r="CH36" t="str">
        <f>IF('1. Live'!CH36='check-Jul25'!CH36,"",'1. Live'!CH36-'check-Jul25'!CH36)</f>
        <v/>
      </c>
      <c r="CI36" t="str">
        <f>IF('1. Live'!CI36='check-Jul25'!CI36,"",'1. Live'!CI36-'check-Jul25'!CI36)</f>
        <v/>
      </c>
      <c r="CJ36" t="str">
        <f>IF('1. Live'!CJ36='check-Jul25'!CJ36,"",'1. Live'!CJ36-'check-Jul25'!CJ36)</f>
        <v/>
      </c>
      <c r="CK36" t="str">
        <f>IF('1. Live'!CK36='check-Jul25'!CK36,"",'1. Live'!CK36-'check-Jul25'!CK36)</f>
        <v/>
      </c>
      <c r="CL36" t="str">
        <f>IF('1. Live'!CL36='check-Jul25'!CL36,"",'1. Live'!CL36-'check-Jul25'!CL36)</f>
        <v/>
      </c>
      <c r="CM36" t="str">
        <f>IF('1. Live'!CM36='check-Jul25'!CM36,"",'1. Live'!CM36-'check-Jul25'!CM36)</f>
        <v/>
      </c>
      <c r="CN36" t="str">
        <f>IF('1. Live'!CN36='check-Jul25'!CN36,"",'1. Live'!CN36-'check-Jul25'!CN36)</f>
        <v/>
      </c>
      <c r="CO36" t="str">
        <f>IF('1. Live'!CO36='check-Jul25'!CO36,"",'1. Live'!CO36-'check-Jul25'!CO36)</f>
        <v/>
      </c>
      <c r="CP36" t="str">
        <f>IF('1. Live'!CP36='check-Jul25'!CP36,"",'1. Live'!CP36-'check-Jul25'!CP36)</f>
        <v/>
      </c>
      <c r="CQ36" t="str">
        <f>IF('1. Live'!CQ36='check-Jul25'!CQ36,"",'1. Live'!CQ36-'check-Jul25'!CQ36)</f>
        <v/>
      </c>
      <c r="CR36" t="str">
        <f>IF('1. Live'!CR36='check-Jul25'!CR36,"",'1. Live'!CR36-'check-Jul25'!CR36)</f>
        <v/>
      </c>
      <c r="CS36" t="str">
        <f>IF('1. Live'!CS36='check-Jul25'!CS36,"",'1. Live'!CS36-'check-Jul25'!CS36)</f>
        <v/>
      </c>
      <c r="CT36" t="str">
        <f>IF('1. Live'!CT36='check-Jul25'!CT36,"",'1. Live'!CT36-'check-Jul25'!CT36)</f>
        <v/>
      </c>
      <c r="CU36" t="str">
        <f>IF('1. Live'!CU36='check-Jul25'!CU36,"",'1. Live'!CU36-'check-Jul25'!CU36)</f>
        <v/>
      </c>
      <c r="CV36" t="str">
        <f>IF('1. Live'!CV36='check-Jul25'!CV36,"",'1. Live'!CV36-'check-Jul25'!CV36)</f>
        <v/>
      </c>
      <c r="CW36" t="str">
        <f>IF('1. Live'!CW36='check-Jul25'!CW36,"",'1. Live'!CW36-'check-Jul25'!CW36)</f>
        <v/>
      </c>
    </row>
    <row r="37" spans="2:101">
      <c r="B37" s="68"/>
      <c r="C37" s="4" t="s">
        <v>695</v>
      </c>
      <c r="D37" s="32" t="s">
        <v>248</v>
      </c>
      <c r="E37" s="2" t="s">
        <v>77</v>
      </c>
      <c r="F37" s="2">
        <v>0</v>
      </c>
      <c r="G37" s="2" t="s">
        <v>538</v>
      </c>
      <c r="H37" s="6">
        <v>2024</v>
      </c>
      <c r="I37" s="6" t="s">
        <v>360</v>
      </c>
      <c r="J37" s="90" t="e">
        <f>IF('1. Live'!J37='check-Jul25'!J37,"",'1. Live'!J37-'check-Jul25'!J37)</f>
        <v>#VALUE!</v>
      </c>
      <c r="K37" s="17" t="str">
        <f>IF('1. Live'!K37='check-Jul25'!K37,"",'1. Live'!K37-'check-Jul25'!K37)</f>
        <v/>
      </c>
      <c r="L37" s="17" t="str">
        <f ca="1">IF('1. Live'!L37='check-Jul25'!L37,"",'1. Live'!L37-'check-Jul25'!L37)</f>
        <v/>
      </c>
      <c r="M37" s="17" t="str">
        <f ca="1">IF('1. Live'!M37='check-Jul25'!M37,"",'1. Live'!M37-'check-Jul25'!M37)</f>
        <v/>
      </c>
      <c r="N37" s="17" t="str">
        <f>IF('1. Live'!N37='check-Jul25'!N37,"",'1. Live'!N37-'check-Jul25'!N37)</f>
        <v/>
      </c>
      <c r="O37" s="17" t="str">
        <f>IF('1. Live'!O37='check-Jul25'!O37,"",'1. Live'!O37-'check-Jul25'!O37)</f>
        <v/>
      </c>
      <c r="P37" s="17" t="str">
        <f ca="1">IF('1. Live'!P37='check-Jul25'!P37,"",'1. Live'!P37-'check-Jul25'!P37)</f>
        <v/>
      </c>
      <c r="Q37" s="17" t="str">
        <f>IF('1. Live'!Q37='check-Jul25'!Q37,"",'1. Live'!Q37-'check-Jul25'!Q37)</f>
        <v/>
      </c>
      <c r="R37" s="10" t="str">
        <f ca="1">IF('1. Live'!R37='check-Jul25'!R37,"",'1. Live'!R37-'check-Jul25'!R37)</f>
        <v/>
      </c>
      <c r="S37" s="87" t="str">
        <f>IF('1. Live'!S37='check-Jul25'!S37,"",'1. Live'!S37-'check-Jul25'!S37)</f>
        <v/>
      </c>
      <c r="T37" s="69" t="str">
        <f>IF('1. Live'!T37='check-Jul25'!T37,"",'1. Live'!T37-'check-Jul25'!T37)</f>
        <v/>
      </c>
      <c r="U37" t="str">
        <f>IF('1. Live'!U37='check-Jul25'!U37,"",'1. Live'!U37-'check-Jul25'!U37)</f>
        <v/>
      </c>
      <c r="V37" t="str">
        <f>IF('1. Live'!V37='check-Jul25'!V37,"",'1. Live'!V37-'check-Jul25'!V37)</f>
        <v/>
      </c>
      <c r="W37" t="str">
        <f>IF('1. Live'!W37='check-Jul25'!W37,"",'1. Live'!W37-'check-Jul25'!W37)</f>
        <v/>
      </c>
      <c r="X37" t="str">
        <f>IF('1. Live'!X37='check-Jul25'!X37,"",'1. Live'!X37-'check-Jul25'!X37)</f>
        <v/>
      </c>
      <c r="Y37" t="str">
        <f>IF('1. Live'!Y37='check-Jul25'!Y37,"",'1. Live'!Y37-'check-Jul25'!Y37)</f>
        <v/>
      </c>
      <c r="Z37" t="str">
        <f>IF('1. Live'!Z37='check-Jul25'!Z37,"",'1. Live'!Z37-'check-Jul25'!Z37)</f>
        <v/>
      </c>
      <c r="AA37" t="str">
        <f>IF('1. Live'!AA37='check-Jul25'!AA37,"",'1. Live'!AA37-'check-Jul25'!AA37)</f>
        <v/>
      </c>
      <c r="AB37" t="str">
        <f>IF('1. Live'!AB37='check-Jul25'!AB37,"",'1. Live'!AB37-'check-Jul25'!AB37)</f>
        <v/>
      </c>
      <c r="AC37" t="str">
        <f>IF('1. Live'!AC37='check-Jul25'!AC37,"",'1. Live'!AC37-'check-Jul25'!AC37)</f>
        <v/>
      </c>
      <c r="AD37" t="str">
        <f>IF('1. Live'!AD37='check-Jul25'!AD37,"",'1. Live'!AD37-'check-Jul25'!AD37)</f>
        <v/>
      </c>
      <c r="AE37" t="str">
        <f>IF('1. Live'!AE37='check-Jul25'!AE37,"",'1. Live'!AE37-'check-Jul25'!AE37)</f>
        <v/>
      </c>
      <c r="AF37" t="str">
        <f>IF('1. Live'!AF37='check-Jul25'!AF37,"",'1. Live'!AF37-'check-Jul25'!AF37)</f>
        <v/>
      </c>
      <c r="AG37" t="str">
        <f>IF('1. Live'!AG37='check-Jul25'!AG37,"",'1. Live'!AG37-'check-Jul25'!AG37)</f>
        <v/>
      </c>
      <c r="AH37" t="str">
        <f>IF('1. Live'!AH37='check-Jul25'!AH37,"",'1. Live'!AH37-'check-Jul25'!AH37)</f>
        <v/>
      </c>
      <c r="AI37" t="str">
        <f>IF('1. Live'!AI37='check-Jul25'!AI37,"",'1. Live'!AI37-'check-Jul25'!AI37)</f>
        <v/>
      </c>
      <c r="AJ37" t="str">
        <f>IF('1. Live'!AJ37='check-Jul25'!AJ37,"",'1. Live'!AJ37-'check-Jul25'!AJ37)</f>
        <v/>
      </c>
      <c r="AK37" t="str">
        <f>IF('1. Live'!AK37='check-Jul25'!AK37,"",'1. Live'!AK37-'check-Jul25'!AK37)</f>
        <v/>
      </c>
      <c r="AL37" t="str">
        <f>IF('1. Live'!AL37='check-Jul25'!AL37,"",'1. Live'!AL37-'check-Jul25'!AL37)</f>
        <v/>
      </c>
      <c r="AM37" t="str">
        <f>IF('1. Live'!AM37='check-Jul25'!AM37,"",'1. Live'!AM37-'check-Jul25'!AM37)</f>
        <v/>
      </c>
      <c r="AN37" t="str">
        <f>IF('1. Live'!AN37='check-Jul25'!AN37,"",'1. Live'!AN37-'check-Jul25'!AN37)</f>
        <v/>
      </c>
      <c r="AO37" t="str">
        <f>IF('1. Live'!AO37='check-Jul25'!AO37,"",'1. Live'!AO37-'check-Jul25'!AO37)</f>
        <v/>
      </c>
      <c r="AP37" t="str">
        <f>IF('1. Live'!AP37='check-Jul25'!AP37,"",'1. Live'!AP37-'check-Jul25'!AP37)</f>
        <v/>
      </c>
      <c r="AQ37" t="str">
        <f>IF('1. Live'!AQ37='check-Jul25'!AQ37,"",'1. Live'!AQ37-'check-Jul25'!AQ37)</f>
        <v/>
      </c>
      <c r="AR37" t="str">
        <f>IF('1. Live'!AR37='check-Jul25'!AR37,"",'1. Live'!AR37-'check-Jul25'!AR37)</f>
        <v/>
      </c>
      <c r="AS37" t="str">
        <f>IF('1. Live'!AS37='check-Jul25'!AS37,"",'1. Live'!AS37-'check-Jul25'!AS37)</f>
        <v/>
      </c>
      <c r="AT37" t="str">
        <f>IF('1. Live'!AT37='check-Jul25'!AT37,"",'1. Live'!AT37-'check-Jul25'!AT37)</f>
        <v/>
      </c>
      <c r="AU37" t="str">
        <f>IF('1. Live'!AU37='check-Jul25'!AU37,"",'1. Live'!AU37-'check-Jul25'!AU37)</f>
        <v/>
      </c>
      <c r="AV37" t="str">
        <f>IF('1. Live'!AV37='check-Jul25'!AV37,"",'1. Live'!AV37-'check-Jul25'!AV37)</f>
        <v/>
      </c>
      <c r="AW37" t="str">
        <f>IF('1. Live'!AW37='check-Jul25'!AW37,"",'1. Live'!AW37-'check-Jul25'!AW37)</f>
        <v/>
      </c>
      <c r="AX37" t="str">
        <f>IF('1. Live'!AX37='check-Jul25'!AX37,"",'1. Live'!AX37-'check-Jul25'!AX37)</f>
        <v/>
      </c>
      <c r="AY37" t="str">
        <f>IF('1. Live'!AY37='check-Jul25'!AY37,"",'1. Live'!AY37-'check-Jul25'!AY37)</f>
        <v/>
      </c>
      <c r="AZ37" t="str">
        <f>IF('1. Live'!AZ37='check-Jul25'!AZ37,"",'1. Live'!AZ37-'check-Jul25'!AZ37)</f>
        <v/>
      </c>
      <c r="BA37" t="str">
        <f>IF('1. Live'!BA37='check-Jul25'!BA37,"",'1. Live'!BA37-'check-Jul25'!BA37)</f>
        <v/>
      </c>
      <c r="BB37" t="str">
        <f>IF('1. Live'!BB37='check-Jul25'!BB37,"",'1. Live'!BB37-'check-Jul25'!BB37)</f>
        <v/>
      </c>
      <c r="BC37" t="str">
        <f>IF('1. Live'!BC37='check-Jul25'!BC37,"",'1. Live'!BC37-'check-Jul25'!BC37)</f>
        <v/>
      </c>
      <c r="BD37" t="str">
        <f>IF('1. Live'!BD37='check-Jul25'!BD37,"",'1. Live'!BD37-'check-Jul25'!BD37)</f>
        <v/>
      </c>
      <c r="BE37" t="str">
        <f>IF('1. Live'!BE37='check-Jul25'!BE37,"",'1. Live'!BE37-'check-Jul25'!BE37)</f>
        <v/>
      </c>
      <c r="BF37" t="str">
        <f>IF('1. Live'!BF37='check-Jul25'!BF37,"",'1. Live'!BF37-'check-Jul25'!BF37)</f>
        <v/>
      </c>
      <c r="BG37" t="str">
        <f>IF('1. Live'!BG37='check-Jul25'!BG37,"",'1. Live'!BG37-'check-Jul25'!BG37)</f>
        <v/>
      </c>
      <c r="BH37" t="str">
        <f>IF('1. Live'!BH37='check-Jul25'!BH37,"",'1. Live'!BH37-'check-Jul25'!BH37)</f>
        <v/>
      </c>
      <c r="BI37" t="str">
        <f>IF('1. Live'!BI37='check-Jul25'!BI37,"",'1. Live'!BI37-'check-Jul25'!BI37)</f>
        <v/>
      </c>
      <c r="BJ37" t="str">
        <f>IF('1. Live'!BJ37='check-Jul25'!BJ37,"",'1. Live'!BJ37-'check-Jul25'!BJ37)</f>
        <v/>
      </c>
      <c r="BK37" t="str">
        <f>IF('1. Live'!BK37='check-Jul25'!BK37,"",'1. Live'!BK37-'check-Jul25'!BK37)</f>
        <v/>
      </c>
      <c r="BL37" t="str">
        <f>IF('1. Live'!BL37='check-Jul25'!BL37,"",'1. Live'!BL37-'check-Jul25'!BL37)</f>
        <v/>
      </c>
      <c r="BM37" t="str">
        <f>IF('1. Live'!BM37='check-Jul25'!BM37,"",'1. Live'!BM37-'check-Jul25'!BM37)</f>
        <v/>
      </c>
      <c r="BN37" t="str">
        <f>IF('1. Live'!BN37='check-Jul25'!BN37,"",'1. Live'!BN37-'check-Jul25'!BN37)</f>
        <v/>
      </c>
      <c r="BO37" t="str">
        <f>IF('1. Live'!BO37='check-Jul25'!BO37,"",'1. Live'!BO37-'check-Jul25'!BO37)</f>
        <v/>
      </c>
      <c r="BP37" t="str">
        <f>IF('1. Live'!BP37='check-Jul25'!BP37,"",'1. Live'!BP37-'check-Jul25'!BP37)</f>
        <v/>
      </c>
      <c r="BQ37" t="str">
        <f>IF('1. Live'!BQ37='check-Jul25'!BQ37,"",'1. Live'!BQ37-'check-Jul25'!BQ37)</f>
        <v/>
      </c>
      <c r="BR37" t="str">
        <f>IF('1. Live'!BR37='check-Jul25'!BR37,"",'1. Live'!BR37-'check-Jul25'!BR37)</f>
        <v/>
      </c>
      <c r="BS37" t="str">
        <f>IF('1. Live'!BS37='check-Jul25'!BS37,"",'1. Live'!BS37-'check-Jul25'!BS37)</f>
        <v/>
      </c>
      <c r="BT37" t="str">
        <f>IF('1. Live'!BT37='check-Jul25'!BT37,"",'1. Live'!BT37-'check-Jul25'!BT37)</f>
        <v/>
      </c>
      <c r="BU37" t="str">
        <f>IF('1. Live'!BU37='check-Jul25'!BU37,"",'1. Live'!BU37-'check-Jul25'!BU37)</f>
        <v/>
      </c>
      <c r="BV37" t="str">
        <f>IF('1. Live'!BV37='check-Jul25'!BV37,"",'1. Live'!BV37-'check-Jul25'!BV37)</f>
        <v/>
      </c>
      <c r="BW37" t="str">
        <f>IF('1. Live'!BW37='check-Jul25'!BW37,"",'1. Live'!BW37-'check-Jul25'!BW37)</f>
        <v/>
      </c>
      <c r="BX37" t="str">
        <f>IF('1. Live'!BX37='check-Jul25'!BX37,"",'1. Live'!BX37-'check-Jul25'!BX37)</f>
        <v/>
      </c>
      <c r="BY37" t="str">
        <f>IF('1. Live'!BY37='check-Jul25'!BY37,"",'1. Live'!BY37-'check-Jul25'!BY37)</f>
        <v/>
      </c>
      <c r="BZ37" t="str">
        <f>IF('1. Live'!BZ37='check-Jul25'!BZ37,"",'1. Live'!BZ37-'check-Jul25'!BZ37)</f>
        <v/>
      </c>
      <c r="CA37" t="str">
        <f>IF('1. Live'!CA37='check-Jul25'!CA37,"",'1. Live'!CA37-'check-Jul25'!CA37)</f>
        <v/>
      </c>
      <c r="CB37" t="str">
        <f>IF('1. Live'!CB37='check-Jul25'!CB37,"",'1. Live'!CB37-'check-Jul25'!CB37)</f>
        <v/>
      </c>
      <c r="CC37" t="str">
        <f>IF('1. Live'!CC37='check-Jul25'!CC37,"",'1. Live'!CC37-'check-Jul25'!CC37)</f>
        <v/>
      </c>
      <c r="CD37" t="str">
        <f>IF('1. Live'!CD37='check-Jul25'!CD37,"",'1. Live'!CD37-'check-Jul25'!CD37)</f>
        <v/>
      </c>
      <c r="CE37" t="str">
        <f>IF('1. Live'!CE37='check-Jul25'!CE37,"",'1. Live'!CE37-'check-Jul25'!CE37)</f>
        <v/>
      </c>
      <c r="CF37" t="str">
        <f>IF('1. Live'!CF37='check-Jul25'!CF37,"",'1. Live'!CF37-'check-Jul25'!CF37)</f>
        <v/>
      </c>
      <c r="CG37" t="str">
        <f>IF('1. Live'!CG37='check-Jul25'!CG37,"",'1. Live'!CG37-'check-Jul25'!CG37)</f>
        <v/>
      </c>
      <c r="CH37" t="str">
        <f>IF('1. Live'!CH37='check-Jul25'!CH37,"",'1. Live'!CH37-'check-Jul25'!CH37)</f>
        <v/>
      </c>
      <c r="CI37" t="str">
        <f>IF('1. Live'!CI37='check-Jul25'!CI37,"",'1. Live'!CI37-'check-Jul25'!CI37)</f>
        <v/>
      </c>
      <c r="CJ37" t="str">
        <f>IF('1. Live'!CJ37='check-Jul25'!CJ37,"",'1. Live'!CJ37-'check-Jul25'!CJ37)</f>
        <v/>
      </c>
      <c r="CK37" t="str">
        <f>IF('1. Live'!CK37='check-Jul25'!CK37,"",'1. Live'!CK37-'check-Jul25'!CK37)</f>
        <v/>
      </c>
      <c r="CL37" t="str">
        <f>IF('1. Live'!CL37='check-Jul25'!CL37,"",'1. Live'!CL37-'check-Jul25'!CL37)</f>
        <v/>
      </c>
      <c r="CM37" t="str">
        <f>IF('1. Live'!CM37='check-Jul25'!CM37,"",'1. Live'!CM37-'check-Jul25'!CM37)</f>
        <v/>
      </c>
      <c r="CN37" t="str">
        <f>IF('1. Live'!CN37='check-Jul25'!CN37,"",'1. Live'!CN37-'check-Jul25'!CN37)</f>
        <v/>
      </c>
      <c r="CO37" t="str">
        <f>IF('1. Live'!CO37='check-Jul25'!CO37,"",'1. Live'!CO37-'check-Jul25'!CO37)</f>
        <v/>
      </c>
      <c r="CP37" t="str">
        <f>IF('1. Live'!CP37='check-Jul25'!CP37,"",'1. Live'!CP37-'check-Jul25'!CP37)</f>
        <v/>
      </c>
      <c r="CQ37" t="str">
        <f>IF('1. Live'!CQ37='check-Jul25'!CQ37,"",'1. Live'!CQ37-'check-Jul25'!CQ37)</f>
        <v/>
      </c>
      <c r="CR37" t="str">
        <f>IF('1. Live'!CR37='check-Jul25'!CR37,"",'1. Live'!CR37-'check-Jul25'!CR37)</f>
        <v/>
      </c>
      <c r="CS37" t="str">
        <f>IF('1. Live'!CS37='check-Jul25'!CS37,"",'1. Live'!CS37-'check-Jul25'!CS37)</f>
        <v/>
      </c>
      <c r="CT37" t="str">
        <f>IF('1. Live'!CT37='check-Jul25'!CT37,"",'1. Live'!CT37-'check-Jul25'!CT37)</f>
        <v/>
      </c>
      <c r="CU37" t="str">
        <f>IF('1. Live'!CU37='check-Jul25'!CU37,"",'1. Live'!CU37-'check-Jul25'!CU37)</f>
        <v/>
      </c>
      <c r="CV37" t="str">
        <f>IF('1. Live'!CV37='check-Jul25'!CV37,"",'1. Live'!CV37-'check-Jul25'!CV37)</f>
        <v/>
      </c>
      <c r="CW37" t="str">
        <f>IF('1. Live'!CW37='check-Jul25'!CW37,"",'1. Live'!CW37-'check-Jul25'!CW37)</f>
        <v/>
      </c>
    </row>
    <row r="38" spans="2:101">
      <c r="B38" s="68"/>
      <c r="C38" s="4" t="s">
        <v>781</v>
      </c>
      <c r="D38" s="32" t="s">
        <v>248</v>
      </c>
      <c r="E38" s="2" t="s">
        <v>77</v>
      </c>
      <c r="F38" s="2">
        <v>0</v>
      </c>
      <c r="G38" s="2" t="s">
        <v>538</v>
      </c>
      <c r="H38" s="6">
        <v>2025</v>
      </c>
      <c r="I38" s="6" t="s">
        <v>782</v>
      </c>
      <c r="J38" s="90" t="str">
        <f>IF('1. Live'!J38='check-Jul25'!J38,"",'1. Live'!J38-'check-Jul25'!J38)</f>
        <v/>
      </c>
      <c r="K38" s="17" t="str">
        <f ca="1">IF('1. Live'!K38='check-Jul25'!K38,"",'1. Live'!K38-'check-Jul25'!K38)</f>
        <v/>
      </c>
      <c r="L38" s="17" t="str">
        <f ca="1">IF('1. Live'!L38='check-Jul25'!L38,"",'1. Live'!L38-'check-Jul25'!L38)</f>
        <v/>
      </c>
      <c r="M38" s="17" t="str">
        <f>IF('1. Live'!M38='check-Jul25'!M38,"",'1. Live'!M38-'check-Jul25'!M38)</f>
        <v/>
      </c>
      <c r="N38" s="17" t="str">
        <f>IF('1. Live'!N38='check-Jul25'!N38,"",'1. Live'!N38-'check-Jul25'!N38)</f>
        <v/>
      </c>
      <c r="O38" s="17" t="str">
        <f>IF('1. Live'!O38='check-Jul25'!O38,"",'1. Live'!O38-'check-Jul25'!O38)</f>
        <v/>
      </c>
      <c r="P38" s="17" t="str">
        <f ca="1">IF('1. Live'!P38='check-Jul25'!P38,"",'1. Live'!P38-'check-Jul25'!P38)</f>
        <v/>
      </c>
      <c r="Q38" s="17" t="str">
        <f>IF('1. Live'!Q38='check-Jul25'!Q38,"",'1. Live'!Q38-'check-Jul25'!Q38)</f>
        <v/>
      </c>
      <c r="R38" s="10" t="str">
        <f ca="1">IF('1. Live'!R38='check-Jul25'!R38,"",'1. Live'!R38-'check-Jul25'!R38)</f>
        <v/>
      </c>
      <c r="S38" s="87" t="str">
        <f>IF('1. Live'!S38='check-Jul25'!S38,"",'1. Live'!S38-'check-Jul25'!S38)</f>
        <v/>
      </c>
      <c r="T38" s="69" t="str">
        <f>IF('1. Live'!T38='check-Jul25'!T38,"",'1. Live'!T38-'check-Jul25'!T38)</f>
        <v/>
      </c>
      <c r="U38" t="str">
        <f>IF('1. Live'!U38='check-Jul25'!U38,"",'1. Live'!U38-'check-Jul25'!U38)</f>
        <v/>
      </c>
      <c r="V38" t="str">
        <f>IF('1. Live'!V38='check-Jul25'!V38,"",'1. Live'!V38-'check-Jul25'!V38)</f>
        <v/>
      </c>
      <c r="W38" t="str">
        <f>IF('1. Live'!W38='check-Jul25'!W38,"",'1. Live'!W38-'check-Jul25'!W38)</f>
        <v/>
      </c>
      <c r="X38" t="str">
        <f>IF('1. Live'!X38='check-Jul25'!X38,"",'1. Live'!X38-'check-Jul25'!X38)</f>
        <v/>
      </c>
      <c r="Y38" t="str">
        <f>IF('1. Live'!Y38='check-Jul25'!Y38,"",'1. Live'!Y38-'check-Jul25'!Y38)</f>
        <v/>
      </c>
      <c r="Z38" t="str">
        <f>IF('1. Live'!Z38='check-Jul25'!Z38,"",'1. Live'!Z38-'check-Jul25'!Z38)</f>
        <v/>
      </c>
      <c r="AA38" t="str">
        <f>IF('1. Live'!AA38='check-Jul25'!AA38,"",'1. Live'!AA38-'check-Jul25'!AA38)</f>
        <v/>
      </c>
      <c r="AB38" t="str">
        <f>IF('1. Live'!AB38='check-Jul25'!AB38,"",'1. Live'!AB38-'check-Jul25'!AB38)</f>
        <v/>
      </c>
      <c r="AC38" t="str">
        <f>IF('1. Live'!AC38='check-Jul25'!AC38,"",'1. Live'!AC38-'check-Jul25'!AC38)</f>
        <v/>
      </c>
      <c r="AD38" t="str">
        <f>IF('1. Live'!AD38='check-Jul25'!AD38,"",'1. Live'!AD38-'check-Jul25'!AD38)</f>
        <v/>
      </c>
      <c r="AE38" t="str">
        <f>IF('1. Live'!AE38='check-Jul25'!AE38,"",'1. Live'!AE38-'check-Jul25'!AE38)</f>
        <v/>
      </c>
      <c r="AF38" t="str">
        <f>IF('1. Live'!AF38='check-Jul25'!AF38,"",'1. Live'!AF38-'check-Jul25'!AF38)</f>
        <v/>
      </c>
      <c r="AG38" t="str">
        <f>IF('1. Live'!AG38='check-Jul25'!AG38,"",'1. Live'!AG38-'check-Jul25'!AG38)</f>
        <v/>
      </c>
      <c r="AH38" t="str">
        <f>IF('1. Live'!AH38='check-Jul25'!AH38,"",'1. Live'!AH38-'check-Jul25'!AH38)</f>
        <v/>
      </c>
      <c r="AI38" t="str">
        <f>IF('1. Live'!AI38='check-Jul25'!AI38,"",'1. Live'!AI38-'check-Jul25'!AI38)</f>
        <v/>
      </c>
      <c r="AJ38" t="str">
        <f>IF('1. Live'!AJ38='check-Jul25'!AJ38,"",'1. Live'!AJ38-'check-Jul25'!AJ38)</f>
        <v/>
      </c>
      <c r="AK38" t="str">
        <f>IF('1. Live'!AK38='check-Jul25'!AK38,"",'1. Live'!AK38-'check-Jul25'!AK38)</f>
        <v/>
      </c>
      <c r="AL38" t="str">
        <f>IF('1. Live'!AL38='check-Jul25'!AL38,"",'1. Live'!AL38-'check-Jul25'!AL38)</f>
        <v/>
      </c>
      <c r="AM38" t="str">
        <f>IF('1. Live'!AM38='check-Jul25'!AM38,"",'1. Live'!AM38-'check-Jul25'!AM38)</f>
        <v/>
      </c>
      <c r="AN38" t="str">
        <f>IF('1. Live'!AN38='check-Jul25'!AN38,"",'1. Live'!AN38-'check-Jul25'!AN38)</f>
        <v/>
      </c>
      <c r="AO38" t="str">
        <f>IF('1. Live'!AO38='check-Jul25'!AO38,"",'1. Live'!AO38-'check-Jul25'!AO38)</f>
        <v/>
      </c>
      <c r="AP38" t="str">
        <f>IF('1. Live'!AP38='check-Jul25'!AP38,"",'1. Live'!AP38-'check-Jul25'!AP38)</f>
        <v/>
      </c>
      <c r="AQ38" t="str">
        <f>IF('1. Live'!AQ38='check-Jul25'!AQ38,"",'1. Live'!AQ38-'check-Jul25'!AQ38)</f>
        <v/>
      </c>
      <c r="AR38" t="str">
        <f>IF('1. Live'!AR38='check-Jul25'!AR38,"",'1. Live'!AR38-'check-Jul25'!AR38)</f>
        <v/>
      </c>
      <c r="AS38" t="str">
        <f>IF('1. Live'!AS38='check-Jul25'!AS38,"",'1. Live'!AS38-'check-Jul25'!AS38)</f>
        <v/>
      </c>
      <c r="AT38" t="str">
        <f>IF('1. Live'!AT38='check-Jul25'!AT38,"",'1. Live'!AT38-'check-Jul25'!AT38)</f>
        <v/>
      </c>
      <c r="AU38" t="str">
        <f>IF('1. Live'!AU38='check-Jul25'!AU38,"",'1. Live'!AU38-'check-Jul25'!AU38)</f>
        <v/>
      </c>
      <c r="AV38" t="str">
        <f>IF('1. Live'!AV38='check-Jul25'!AV38,"",'1. Live'!AV38-'check-Jul25'!AV38)</f>
        <v/>
      </c>
      <c r="AW38" t="str">
        <f>IF('1. Live'!AW38='check-Jul25'!AW38,"",'1. Live'!AW38-'check-Jul25'!AW38)</f>
        <v/>
      </c>
      <c r="AX38" t="str">
        <f>IF('1. Live'!AX38='check-Jul25'!AX38,"",'1. Live'!AX38-'check-Jul25'!AX38)</f>
        <v/>
      </c>
      <c r="AY38" t="str">
        <f>IF('1. Live'!AY38='check-Jul25'!AY38,"",'1. Live'!AY38-'check-Jul25'!AY38)</f>
        <v/>
      </c>
      <c r="AZ38" t="str">
        <f>IF('1. Live'!AZ38='check-Jul25'!AZ38,"",'1. Live'!AZ38-'check-Jul25'!AZ38)</f>
        <v/>
      </c>
      <c r="BA38" t="str">
        <f>IF('1. Live'!BA38='check-Jul25'!BA38,"",'1. Live'!BA38-'check-Jul25'!BA38)</f>
        <v/>
      </c>
      <c r="BB38" t="str">
        <f>IF('1. Live'!BB38='check-Jul25'!BB38,"",'1. Live'!BB38-'check-Jul25'!BB38)</f>
        <v/>
      </c>
      <c r="BC38" t="str">
        <f>IF('1. Live'!BC38='check-Jul25'!BC38,"",'1. Live'!BC38-'check-Jul25'!BC38)</f>
        <v/>
      </c>
      <c r="BD38" t="str">
        <f>IF('1. Live'!BD38='check-Jul25'!BD38,"",'1. Live'!BD38-'check-Jul25'!BD38)</f>
        <v/>
      </c>
      <c r="BE38" t="str">
        <f>IF('1. Live'!BE38='check-Jul25'!BE38,"",'1. Live'!BE38-'check-Jul25'!BE38)</f>
        <v/>
      </c>
      <c r="BF38" t="str">
        <f>IF('1. Live'!BF38='check-Jul25'!BF38,"",'1. Live'!BF38-'check-Jul25'!BF38)</f>
        <v/>
      </c>
      <c r="BG38" t="str">
        <f>IF('1. Live'!BG38='check-Jul25'!BG38,"",'1. Live'!BG38-'check-Jul25'!BG38)</f>
        <v/>
      </c>
      <c r="BH38" t="str">
        <f>IF('1. Live'!BH38='check-Jul25'!BH38,"",'1. Live'!BH38-'check-Jul25'!BH38)</f>
        <v/>
      </c>
      <c r="BI38" t="str">
        <f>IF('1. Live'!BI38='check-Jul25'!BI38,"",'1. Live'!BI38-'check-Jul25'!BI38)</f>
        <v/>
      </c>
      <c r="BJ38" t="str">
        <f>IF('1. Live'!BJ38='check-Jul25'!BJ38,"",'1. Live'!BJ38-'check-Jul25'!BJ38)</f>
        <v/>
      </c>
      <c r="BK38" t="str">
        <f>IF('1. Live'!BK38='check-Jul25'!BK38,"",'1. Live'!BK38-'check-Jul25'!BK38)</f>
        <v/>
      </c>
      <c r="BL38" t="str">
        <f>IF('1. Live'!BL38='check-Jul25'!BL38,"",'1. Live'!BL38-'check-Jul25'!BL38)</f>
        <v/>
      </c>
      <c r="BM38" t="str">
        <f>IF('1. Live'!BM38='check-Jul25'!BM38,"",'1. Live'!BM38-'check-Jul25'!BM38)</f>
        <v/>
      </c>
      <c r="BN38" t="str">
        <f>IF('1. Live'!BN38='check-Jul25'!BN38,"",'1. Live'!BN38-'check-Jul25'!BN38)</f>
        <v/>
      </c>
      <c r="BO38" t="str">
        <f>IF('1. Live'!BO38='check-Jul25'!BO38,"",'1. Live'!BO38-'check-Jul25'!BO38)</f>
        <v/>
      </c>
      <c r="BP38" t="str">
        <f>IF('1. Live'!BP38='check-Jul25'!BP38,"",'1. Live'!BP38-'check-Jul25'!BP38)</f>
        <v/>
      </c>
      <c r="BQ38" t="str">
        <f>IF('1. Live'!BQ38='check-Jul25'!BQ38,"",'1. Live'!BQ38-'check-Jul25'!BQ38)</f>
        <v/>
      </c>
      <c r="BR38" t="str">
        <f>IF('1. Live'!BR38='check-Jul25'!BR38,"",'1. Live'!BR38-'check-Jul25'!BR38)</f>
        <v/>
      </c>
      <c r="BS38" t="str">
        <f>IF('1. Live'!BS38='check-Jul25'!BS38,"",'1. Live'!BS38-'check-Jul25'!BS38)</f>
        <v/>
      </c>
      <c r="BT38" t="str">
        <f>IF('1. Live'!BT38='check-Jul25'!BT38,"",'1. Live'!BT38-'check-Jul25'!BT38)</f>
        <v/>
      </c>
      <c r="BU38" t="str">
        <f>IF('1. Live'!BU38='check-Jul25'!BU38,"",'1. Live'!BU38-'check-Jul25'!BU38)</f>
        <v/>
      </c>
      <c r="BV38" t="str">
        <f>IF('1. Live'!BV38='check-Jul25'!BV38,"",'1. Live'!BV38-'check-Jul25'!BV38)</f>
        <v/>
      </c>
      <c r="BW38" t="str">
        <f>IF('1. Live'!BW38='check-Jul25'!BW38,"",'1. Live'!BW38-'check-Jul25'!BW38)</f>
        <v/>
      </c>
      <c r="BX38" t="str">
        <f>IF('1. Live'!BX38='check-Jul25'!BX38,"",'1. Live'!BX38-'check-Jul25'!BX38)</f>
        <v/>
      </c>
      <c r="BY38" t="str">
        <f>IF('1. Live'!BY38='check-Jul25'!BY38,"",'1. Live'!BY38-'check-Jul25'!BY38)</f>
        <v/>
      </c>
      <c r="BZ38" t="str">
        <f>IF('1. Live'!BZ38='check-Jul25'!BZ38,"",'1. Live'!BZ38-'check-Jul25'!BZ38)</f>
        <v/>
      </c>
      <c r="CA38" t="str">
        <f>IF('1. Live'!CA38='check-Jul25'!CA38,"",'1. Live'!CA38-'check-Jul25'!CA38)</f>
        <v/>
      </c>
      <c r="CB38" t="str">
        <f>IF('1. Live'!CB38='check-Jul25'!CB38,"",'1. Live'!CB38-'check-Jul25'!CB38)</f>
        <v/>
      </c>
      <c r="CC38" t="str">
        <f>IF('1. Live'!CC38='check-Jul25'!CC38,"",'1. Live'!CC38-'check-Jul25'!CC38)</f>
        <v/>
      </c>
      <c r="CD38" t="str">
        <f>IF('1. Live'!CD38='check-Jul25'!CD38,"",'1. Live'!CD38-'check-Jul25'!CD38)</f>
        <v/>
      </c>
      <c r="CE38" t="str">
        <f>IF('1. Live'!CE38='check-Jul25'!CE38,"",'1. Live'!CE38-'check-Jul25'!CE38)</f>
        <v/>
      </c>
      <c r="CF38" t="str">
        <f>IF('1. Live'!CF38='check-Jul25'!CF38,"",'1. Live'!CF38-'check-Jul25'!CF38)</f>
        <v/>
      </c>
      <c r="CG38" t="str">
        <f>IF('1. Live'!CG38='check-Jul25'!CG38,"",'1. Live'!CG38-'check-Jul25'!CG38)</f>
        <v/>
      </c>
      <c r="CH38" t="str">
        <f>IF('1. Live'!CH38='check-Jul25'!CH38,"",'1. Live'!CH38-'check-Jul25'!CH38)</f>
        <v/>
      </c>
      <c r="CI38" t="str">
        <f>IF('1. Live'!CI38='check-Jul25'!CI38,"",'1. Live'!CI38-'check-Jul25'!CI38)</f>
        <v/>
      </c>
      <c r="CJ38" t="str">
        <f>IF('1. Live'!CJ38='check-Jul25'!CJ38,"",'1. Live'!CJ38-'check-Jul25'!CJ38)</f>
        <v/>
      </c>
      <c r="CK38" t="str">
        <f>IF('1. Live'!CK38='check-Jul25'!CK38,"",'1. Live'!CK38-'check-Jul25'!CK38)</f>
        <v/>
      </c>
      <c r="CL38" t="str">
        <f>IF('1. Live'!CL38='check-Jul25'!CL38,"",'1. Live'!CL38-'check-Jul25'!CL38)</f>
        <v/>
      </c>
      <c r="CM38" t="str">
        <f>IF('1. Live'!CM38='check-Jul25'!CM38,"",'1. Live'!CM38-'check-Jul25'!CM38)</f>
        <v/>
      </c>
      <c r="CN38" t="str">
        <f>IF('1. Live'!CN38='check-Jul25'!CN38,"",'1. Live'!CN38-'check-Jul25'!CN38)</f>
        <v/>
      </c>
      <c r="CO38" t="str">
        <f>IF('1. Live'!CO38='check-Jul25'!CO38,"",'1. Live'!CO38-'check-Jul25'!CO38)</f>
        <v/>
      </c>
      <c r="CP38" t="str">
        <f>IF('1. Live'!CP38='check-Jul25'!CP38,"",'1. Live'!CP38-'check-Jul25'!CP38)</f>
        <v/>
      </c>
      <c r="CQ38" t="str">
        <f>IF('1. Live'!CQ38='check-Jul25'!CQ38,"",'1. Live'!CQ38-'check-Jul25'!CQ38)</f>
        <v/>
      </c>
      <c r="CR38" t="str">
        <f>IF('1. Live'!CR38='check-Jul25'!CR38,"",'1. Live'!CR38-'check-Jul25'!CR38)</f>
        <v/>
      </c>
      <c r="CS38" t="str">
        <f>IF('1. Live'!CS38='check-Jul25'!CS38,"",'1. Live'!CS38-'check-Jul25'!CS38)</f>
        <v/>
      </c>
      <c r="CT38" t="str">
        <f>IF('1. Live'!CT38='check-Jul25'!CT38,"",'1. Live'!CT38-'check-Jul25'!CT38)</f>
        <v/>
      </c>
      <c r="CU38" t="str">
        <f>IF('1. Live'!CU38='check-Jul25'!CU38,"",'1. Live'!CU38-'check-Jul25'!CU38)</f>
        <v/>
      </c>
      <c r="CV38" t="str">
        <f>IF('1. Live'!CV38='check-Jul25'!CV38,"",'1. Live'!CV38-'check-Jul25'!CV38)</f>
        <v/>
      </c>
      <c r="CW38" t="str">
        <f>IF('1. Live'!CW38='check-Jul25'!CW38,"",'1. Live'!CW38-'check-Jul25'!CW38)</f>
        <v/>
      </c>
    </row>
    <row r="39" spans="2:101">
      <c r="B39" s="66"/>
      <c r="C39" s="5"/>
      <c r="D39" s="13"/>
      <c r="E39" s="7"/>
      <c r="F39" s="7"/>
      <c r="G39" s="7"/>
      <c r="H39" s="7"/>
      <c r="I39" s="14"/>
      <c r="J39" s="170" t="str">
        <f>IF('1. Live'!J39='check-Jul25'!J39,"",'1. Live'!J39-'check-Jul25'!J39)</f>
        <v/>
      </c>
      <c r="K39" s="24" t="str">
        <f>IF('1. Live'!K39='check-Jul25'!K39,"",'1. Live'!K39-'check-Jul25'!K39)</f>
        <v/>
      </c>
      <c r="L39" s="24" t="str">
        <f>IF('1. Live'!L39='check-Jul25'!L39,"",'1. Live'!L39-'check-Jul25'!L39)</f>
        <v/>
      </c>
      <c r="M39" s="24" t="str">
        <f>IF('1. Live'!M39='check-Jul25'!M39,"",'1. Live'!M39-'check-Jul25'!M39)</f>
        <v/>
      </c>
      <c r="N39" s="24" t="str">
        <f>IF('1. Live'!N39='check-Jul25'!N39,"",'1. Live'!N39-'check-Jul25'!N39)</f>
        <v/>
      </c>
      <c r="O39" s="24" t="str">
        <f>IF('1. Live'!O39='check-Jul25'!O39,"",'1. Live'!O39-'check-Jul25'!O39)</f>
        <v/>
      </c>
      <c r="P39" s="24" t="str">
        <f>IF('1. Live'!P39='check-Jul25'!P39,"",'1. Live'!P39-'check-Jul25'!P39)</f>
        <v/>
      </c>
      <c r="Q39" s="24" t="str">
        <f>IF('1. Live'!Q39='check-Jul25'!Q39,"",'1. Live'!Q39-'check-Jul25'!Q39)</f>
        <v/>
      </c>
      <c r="R39" s="15" t="str">
        <f>IF('1. Live'!R39='check-Jul25'!R39,"",'1. Live'!R39-'check-Jul25'!R39)</f>
        <v/>
      </c>
      <c r="S39" s="180" t="str">
        <f>IF('1. Live'!S39='check-Jul25'!S39,"",'1. Live'!S39-'check-Jul25'!S39)</f>
        <v/>
      </c>
      <c r="T39" s="67" t="str">
        <f>IF('1. Live'!T39='check-Jul25'!T39,"",'1. Live'!T39-'check-Jul25'!T39)</f>
        <v/>
      </c>
      <c r="U39" t="str">
        <f>IF('1. Live'!U39='check-Jul25'!U39,"",'1. Live'!U39-'check-Jul25'!U39)</f>
        <v/>
      </c>
      <c r="V39" t="str">
        <f>IF('1. Live'!V39='check-Jul25'!V39,"",'1. Live'!V39-'check-Jul25'!V39)</f>
        <v/>
      </c>
      <c r="W39" t="str">
        <f>IF('1. Live'!W39='check-Jul25'!W39,"",'1. Live'!W39-'check-Jul25'!W39)</f>
        <v/>
      </c>
      <c r="X39" t="str">
        <f>IF('1. Live'!X39='check-Jul25'!X39,"",'1. Live'!X39-'check-Jul25'!X39)</f>
        <v/>
      </c>
      <c r="Y39" t="str">
        <f>IF('1. Live'!Y39='check-Jul25'!Y39,"",'1. Live'!Y39-'check-Jul25'!Y39)</f>
        <v/>
      </c>
      <c r="Z39" t="str">
        <f>IF('1. Live'!Z39='check-Jul25'!Z39,"",'1. Live'!Z39-'check-Jul25'!Z39)</f>
        <v/>
      </c>
      <c r="AA39" t="str">
        <f>IF('1. Live'!AA39='check-Jul25'!AA39,"",'1. Live'!AA39-'check-Jul25'!AA39)</f>
        <v/>
      </c>
      <c r="AB39" t="str">
        <f>IF('1. Live'!AB39='check-Jul25'!AB39,"",'1. Live'!AB39-'check-Jul25'!AB39)</f>
        <v/>
      </c>
      <c r="AC39" t="str">
        <f>IF('1. Live'!AC39='check-Jul25'!AC39,"",'1. Live'!AC39-'check-Jul25'!AC39)</f>
        <v/>
      </c>
      <c r="AD39" t="str">
        <f>IF('1. Live'!AD39='check-Jul25'!AD39,"",'1. Live'!AD39-'check-Jul25'!AD39)</f>
        <v/>
      </c>
      <c r="AE39" t="str">
        <f>IF('1. Live'!AE39='check-Jul25'!AE39,"",'1. Live'!AE39-'check-Jul25'!AE39)</f>
        <v/>
      </c>
      <c r="AF39" t="str">
        <f>IF('1. Live'!AF39='check-Jul25'!AF39,"",'1. Live'!AF39-'check-Jul25'!AF39)</f>
        <v/>
      </c>
      <c r="AG39" t="str">
        <f>IF('1. Live'!AG39='check-Jul25'!AG39,"",'1. Live'!AG39-'check-Jul25'!AG39)</f>
        <v/>
      </c>
      <c r="AH39" t="str">
        <f>IF('1. Live'!AH39='check-Jul25'!AH39,"",'1. Live'!AH39-'check-Jul25'!AH39)</f>
        <v/>
      </c>
      <c r="AI39" t="str">
        <f>IF('1. Live'!AI39='check-Jul25'!AI39,"",'1. Live'!AI39-'check-Jul25'!AI39)</f>
        <v/>
      </c>
      <c r="AJ39" t="str">
        <f>IF('1. Live'!AJ39='check-Jul25'!AJ39,"",'1. Live'!AJ39-'check-Jul25'!AJ39)</f>
        <v/>
      </c>
      <c r="AK39" t="str">
        <f>IF('1. Live'!AK39='check-Jul25'!AK39,"",'1. Live'!AK39-'check-Jul25'!AK39)</f>
        <v/>
      </c>
      <c r="AL39" t="str">
        <f>IF('1. Live'!AL39='check-Jul25'!AL39,"",'1. Live'!AL39-'check-Jul25'!AL39)</f>
        <v/>
      </c>
      <c r="AM39" t="str">
        <f>IF('1. Live'!AM39='check-Jul25'!AM39,"",'1. Live'!AM39-'check-Jul25'!AM39)</f>
        <v/>
      </c>
      <c r="AN39" t="str">
        <f>IF('1. Live'!AN39='check-Jul25'!AN39,"",'1. Live'!AN39-'check-Jul25'!AN39)</f>
        <v/>
      </c>
      <c r="AO39" t="str">
        <f>IF('1. Live'!AO39='check-Jul25'!AO39,"",'1. Live'!AO39-'check-Jul25'!AO39)</f>
        <v/>
      </c>
      <c r="AP39" t="str">
        <f>IF('1. Live'!AP39='check-Jul25'!AP39,"",'1. Live'!AP39-'check-Jul25'!AP39)</f>
        <v/>
      </c>
      <c r="AQ39" t="str">
        <f>IF('1. Live'!AQ39='check-Jul25'!AQ39,"",'1. Live'!AQ39-'check-Jul25'!AQ39)</f>
        <v/>
      </c>
      <c r="AR39" t="str">
        <f>IF('1. Live'!AR39='check-Jul25'!AR39,"",'1. Live'!AR39-'check-Jul25'!AR39)</f>
        <v/>
      </c>
      <c r="AS39" t="str">
        <f>IF('1. Live'!AS39='check-Jul25'!AS39,"",'1. Live'!AS39-'check-Jul25'!AS39)</f>
        <v/>
      </c>
      <c r="AT39" t="str">
        <f>IF('1. Live'!AT39='check-Jul25'!AT39,"",'1. Live'!AT39-'check-Jul25'!AT39)</f>
        <v/>
      </c>
      <c r="AU39" t="str">
        <f>IF('1. Live'!AU39='check-Jul25'!AU39,"",'1. Live'!AU39-'check-Jul25'!AU39)</f>
        <v/>
      </c>
      <c r="AV39" t="str">
        <f>IF('1. Live'!AV39='check-Jul25'!AV39,"",'1. Live'!AV39-'check-Jul25'!AV39)</f>
        <v/>
      </c>
      <c r="AW39" t="str">
        <f>IF('1. Live'!AW39='check-Jul25'!AW39,"",'1. Live'!AW39-'check-Jul25'!AW39)</f>
        <v/>
      </c>
      <c r="AX39" t="str">
        <f>IF('1. Live'!AX39='check-Jul25'!AX39,"",'1. Live'!AX39-'check-Jul25'!AX39)</f>
        <v/>
      </c>
      <c r="AY39" t="str">
        <f>IF('1. Live'!AY39='check-Jul25'!AY39,"",'1. Live'!AY39-'check-Jul25'!AY39)</f>
        <v/>
      </c>
      <c r="AZ39" t="str">
        <f>IF('1. Live'!AZ39='check-Jul25'!AZ39,"",'1. Live'!AZ39-'check-Jul25'!AZ39)</f>
        <v/>
      </c>
      <c r="BA39" t="str">
        <f>IF('1. Live'!BA39='check-Jul25'!BA39,"",'1. Live'!BA39-'check-Jul25'!BA39)</f>
        <v/>
      </c>
      <c r="BB39" t="str">
        <f>IF('1. Live'!BB39='check-Jul25'!BB39,"",'1. Live'!BB39-'check-Jul25'!BB39)</f>
        <v/>
      </c>
      <c r="BC39" t="str">
        <f>IF('1. Live'!BC39='check-Jul25'!BC39,"",'1. Live'!BC39-'check-Jul25'!BC39)</f>
        <v/>
      </c>
      <c r="BD39" t="str">
        <f>IF('1. Live'!BD39='check-Jul25'!BD39,"",'1. Live'!BD39-'check-Jul25'!BD39)</f>
        <v/>
      </c>
      <c r="BE39" t="str">
        <f>IF('1. Live'!BE39='check-Jul25'!BE39,"",'1. Live'!BE39-'check-Jul25'!BE39)</f>
        <v/>
      </c>
      <c r="BF39" t="str">
        <f>IF('1. Live'!BF39='check-Jul25'!BF39,"",'1. Live'!BF39-'check-Jul25'!BF39)</f>
        <v/>
      </c>
      <c r="BG39" t="str">
        <f>IF('1. Live'!BG39='check-Jul25'!BG39,"",'1. Live'!BG39-'check-Jul25'!BG39)</f>
        <v/>
      </c>
      <c r="BH39" t="str">
        <f>IF('1. Live'!BH39='check-Jul25'!BH39,"",'1. Live'!BH39-'check-Jul25'!BH39)</f>
        <v/>
      </c>
      <c r="BI39" t="str">
        <f>IF('1. Live'!BI39='check-Jul25'!BI39,"",'1. Live'!BI39-'check-Jul25'!BI39)</f>
        <v/>
      </c>
      <c r="BJ39" t="str">
        <f>IF('1. Live'!BJ39='check-Jul25'!BJ39,"",'1. Live'!BJ39-'check-Jul25'!BJ39)</f>
        <v/>
      </c>
      <c r="BK39" t="str">
        <f>IF('1. Live'!BK39='check-Jul25'!BK39,"",'1. Live'!BK39-'check-Jul25'!BK39)</f>
        <v/>
      </c>
      <c r="BL39" t="str">
        <f>IF('1. Live'!BL39='check-Jul25'!BL39,"",'1. Live'!BL39-'check-Jul25'!BL39)</f>
        <v/>
      </c>
      <c r="BM39" t="str">
        <f>IF('1. Live'!BM39='check-Jul25'!BM39,"",'1. Live'!BM39-'check-Jul25'!BM39)</f>
        <v/>
      </c>
      <c r="BN39" t="str">
        <f>IF('1. Live'!BN39='check-Jul25'!BN39,"",'1. Live'!BN39-'check-Jul25'!BN39)</f>
        <v/>
      </c>
      <c r="BO39" t="str">
        <f>IF('1. Live'!BO39='check-Jul25'!BO39,"",'1. Live'!BO39-'check-Jul25'!BO39)</f>
        <v/>
      </c>
      <c r="BP39" t="str">
        <f>IF('1. Live'!BP39='check-Jul25'!BP39,"",'1. Live'!BP39-'check-Jul25'!BP39)</f>
        <v/>
      </c>
      <c r="BQ39" t="str">
        <f>IF('1. Live'!BQ39='check-Jul25'!BQ39,"",'1. Live'!BQ39-'check-Jul25'!BQ39)</f>
        <v/>
      </c>
      <c r="BR39" t="str">
        <f>IF('1. Live'!BR39='check-Jul25'!BR39,"",'1. Live'!BR39-'check-Jul25'!BR39)</f>
        <v/>
      </c>
      <c r="BS39" t="str">
        <f>IF('1. Live'!BS39='check-Jul25'!BS39,"",'1. Live'!BS39-'check-Jul25'!BS39)</f>
        <v/>
      </c>
      <c r="BT39" t="str">
        <f>IF('1. Live'!BT39='check-Jul25'!BT39,"",'1. Live'!BT39-'check-Jul25'!BT39)</f>
        <v/>
      </c>
      <c r="BU39" t="str">
        <f>IF('1. Live'!BU39='check-Jul25'!BU39,"",'1. Live'!BU39-'check-Jul25'!BU39)</f>
        <v/>
      </c>
      <c r="BV39" t="str">
        <f>IF('1. Live'!BV39='check-Jul25'!BV39,"",'1. Live'!BV39-'check-Jul25'!BV39)</f>
        <v/>
      </c>
      <c r="BW39" t="str">
        <f>IF('1. Live'!BW39='check-Jul25'!BW39,"",'1. Live'!BW39-'check-Jul25'!BW39)</f>
        <v/>
      </c>
      <c r="BX39" t="str">
        <f>IF('1. Live'!BX39='check-Jul25'!BX39,"",'1. Live'!BX39-'check-Jul25'!BX39)</f>
        <v/>
      </c>
      <c r="BY39" t="str">
        <f>IF('1. Live'!BY39='check-Jul25'!BY39,"",'1. Live'!BY39-'check-Jul25'!BY39)</f>
        <v/>
      </c>
      <c r="BZ39" t="str">
        <f>IF('1. Live'!BZ39='check-Jul25'!BZ39,"",'1. Live'!BZ39-'check-Jul25'!BZ39)</f>
        <v/>
      </c>
      <c r="CA39" t="str">
        <f>IF('1. Live'!CA39='check-Jul25'!CA39,"",'1. Live'!CA39-'check-Jul25'!CA39)</f>
        <v/>
      </c>
      <c r="CB39" t="str">
        <f>IF('1. Live'!CB39='check-Jul25'!CB39,"",'1. Live'!CB39-'check-Jul25'!CB39)</f>
        <v/>
      </c>
      <c r="CC39" t="str">
        <f>IF('1. Live'!CC39='check-Jul25'!CC39,"",'1. Live'!CC39-'check-Jul25'!CC39)</f>
        <v/>
      </c>
      <c r="CD39" t="str">
        <f>IF('1. Live'!CD39='check-Jul25'!CD39,"",'1. Live'!CD39-'check-Jul25'!CD39)</f>
        <v/>
      </c>
      <c r="CE39" t="str">
        <f>IF('1. Live'!CE39='check-Jul25'!CE39,"",'1. Live'!CE39-'check-Jul25'!CE39)</f>
        <v/>
      </c>
      <c r="CF39" t="str">
        <f>IF('1. Live'!CF39='check-Jul25'!CF39,"",'1. Live'!CF39-'check-Jul25'!CF39)</f>
        <v/>
      </c>
      <c r="CG39" t="str">
        <f>IF('1. Live'!CG39='check-Jul25'!CG39,"",'1. Live'!CG39-'check-Jul25'!CG39)</f>
        <v/>
      </c>
      <c r="CH39" t="str">
        <f>IF('1. Live'!CH39='check-Jul25'!CH39,"",'1. Live'!CH39-'check-Jul25'!CH39)</f>
        <v/>
      </c>
      <c r="CI39" t="str">
        <f>IF('1. Live'!CI39='check-Jul25'!CI39,"",'1. Live'!CI39-'check-Jul25'!CI39)</f>
        <v/>
      </c>
      <c r="CJ39" t="str">
        <f>IF('1. Live'!CJ39='check-Jul25'!CJ39,"",'1. Live'!CJ39-'check-Jul25'!CJ39)</f>
        <v/>
      </c>
      <c r="CK39" t="str">
        <f>IF('1. Live'!CK39='check-Jul25'!CK39,"",'1. Live'!CK39-'check-Jul25'!CK39)</f>
        <v/>
      </c>
      <c r="CL39" t="str">
        <f>IF('1. Live'!CL39='check-Jul25'!CL39,"",'1. Live'!CL39-'check-Jul25'!CL39)</f>
        <v/>
      </c>
      <c r="CM39" t="str">
        <f>IF('1. Live'!CM39='check-Jul25'!CM39,"",'1. Live'!CM39-'check-Jul25'!CM39)</f>
        <v/>
      </c>
      <c r="CN39" t="str">
        <f>IF('1. Live'!CN39='check-Jul25'!CN39,"",'1. Live'!CN39-'check-Jul25'!CN39)</f>
        <v/>
      </c>
      <c r="CO39" t="str">
        <f>IF('1. Live'!CO39='check-Jul25'!CO39,"",'1. Live'!CO39-'check-Jul25'!CO39)</f>
        <v/>
      </c>
      <c r="CP39" t="str">
        <f>IF('1. Live'!CP39='check-Jul25'!CP39,"",'1. Live'!CP39-'check-Jul25'!CP39)</f>
        <v/>
      </c>
      <c r="CQ39" t="str">
        <f>IF('1. Live'!CQ39='check-Jul25'!CQ39,"",'1. Live'!CQ39-'check-Jul25'!CQ39)</f>
        <v/>
      </c>
      <c r="CR39" t="str">
        <f>IF('1. Live'!CR39='check-Jul25'!CR39,"",'1. Live'!CR39-'check-Jul25'!CR39)</f>
        <v/>
      </c>
      <c r="CS39" t="str">
        <f>IF('1. Live'!CS39='check-Jul25'!CS39,"",'1. Live'!CS39-'check-Jul25'!CS39)</f>
        <v/>
      </c>
      <c r="CT39" t="str">
        <f>IF('1. Live'!CT39='check-Jul25'!CT39,"",'1. Live'!CT39-'check-Jul25'!CT39)</f>
        <v/>
      </c>
      <c r="CU39" t="str">
        <f>IF('1. Live'!CU39='check-Jul25'!CU39,"",'1. Live'!CU39-'check-Jul25'!CU39)</f>
        <v/>
      </c>
      <c r="CV39" t="str">
        <f>IF('1. Live'!CV39='check-Jul25'!CV39,"",'1. Live'!CV39-'check-Jul25'!CV39)</f>
        <v/>
      </c>
      <c r="CW39" t="str">
        <f>IF('1. Live'!CW39='check-Jul25'!CW39,"",'1. Live'!CW39-'check-Jul25'!CW39)</f>
        <v/>
      </c>
    </row>
    <row r="40" spans="2:101">
      <c r="B40" s="68"/>
      <c r="C40" s="9"/>
      <c r="D40" s="9"/>
      <c r="E40" s="9"/>
      <c r="F40" s="9"/>
      <c r="G40" s="9"/>
      <c r="H40" s="9"/>
      <c r="I40" s="9"/>
      <c r="J40" s="93" t="str">
        <f>IF('1. Live'!J40='check-Jul25'!J40,"",'1. Live'!J40-'check-Jul25'!J40)</f>
        <v/>
      </c>
      <c r="K40" s="18" t="str">
        <f ca="1">IF('1. Live'!K40='check-Jul25'!K40,"",'1. Live'!K40-'check-Jul25'!K40)</f>
        <v/>
      </c>
      <c r="L40" s="18" t="str">
        <f ca="1">IF('1. Live'!L40='check-Jul25'!L40,"",'1. Live'!L40-'check-Jul25'!L40)</f>
        <v/>
      </c>
      <c r="M40" s="18" t="str">
        <f ca="1">IF('1. Live'!M40='check-Jul25'!M40,"",'1. Live'!M40-'check-Jul25'!M40)</f>
        <v/>
      </c>
      <c r="N40" s="18" t="str">
        <f ca="1">IF('1. Live'!N40='check-Jul25'!N40,"",'1. Live'!N40-'check-Jul25'!N40)</f>
        <v/>
      </c>
      <c r="O40" s="18">
        <f>IF('1. Live'!O40='check-Jul25'!O40,"",'1. Live'!O40-'check-Jul25'!O40)</f>
        <v>-0.17394272422222912</v>
      </c>
      <c r="P40" s="18">
        <f ca="1">IF('1. Live'!P40='check-Jul25'!P40,"",'1. Live'!P40-'check-Jul25'!P40)</f>
        <v>-0.17394272422222201</v>
      </c>
      <c r="Q40" s="18" t="str">
        <f>IF('1. Live'!Q40='check-Jul25'!Q40,"",'1. Live'!Q40-'check-Jul25'!Q40)</f>
        <v/>
      </c>
      <c r="R40" s="11">
        <f ca="1">IF('1. Live'!R40='check-Jul25'!R40,"",'1. Live'!R40-'check-Jul25'!R40)</f>
        <v>-7.9064917089954889E-4</v>
      </c>
      <c r="S40" s="9" t="str">
        <f>IF('1. Live'!S40='check-Jul25'!S40,"",'1. Live'!S40-'check-Jul25'!S40)</f>
        <v/>
      </c>
      <c r="T40" s="69" t="str">
        <f>IF('1. Live'!T40='check-Jul25'!T40,"",'1. Live'!T40-'check-Jul25'!T40)</f>
        <v/>
      </c>
      <c r="U40" t="str">
        <f>IF('1. Live'!U40='check-Jul25'!U40,"",'1. Live'!U40-'check-Jul25'!U40)</f>
        <v/>
      </c>
      <c r="V40" t="str">
        <f>IF('1. Live'!V40='check-Jul25'!V40,"",'1. Live'!V40-'check-Jul25'!V40)</f>
        <v/>
      </c>
      <c r="W40" t="str">
        <f>IF('1. Live'!W40='check-Jul25'!W40,"",'1. Live'!W40-'check-Jul25'!W40)</f>
        <v/>
      </c>
      <c r="X40" t="str">
        <f>IF('1. Live'!X40='check-Jul25'!X40,"",'1. Live'!X40-'check-Jul25'!X40)</f>
        <v/>
      </c>
      <c r="Y40" t="str">
        <f>IF('1. Live'!Y40='check-Jul25'!Y40,"",'1. Live'!Y40-'check-Jul25'!Y40)</f>
        <v/>
      </c>
      <c r="Z40" t="str">
        <f>IF('1. Live'!Z40='check-Jul25'!Z40,"",'1. Live'!Z40-'check-Jul25'!Z40)</f>
        <v/>
      </c>
      <c r="AA40" t="str">
        <f>IF('1. Live'!AA40='check-Jul25'!AA40,"",'1. Live'!AA40-'check-Jul25'!AA40)</f>
        <v/>
      </c>
      <c r="AB40" t="str">
        <f>IF('1. Live'!AB40='check-Jul25'!AB40,"",'1. Live'!AB40-'check-Jul25'!AB40)</f>
        <v/>
      </c>
      <c r="AC40" t="str">
        <f>IF('1. Live'!AC40='check-Jul25'!AC40,"",'1. Live'!AC40-'check-Jul25'!AC40)</f>
        <v/>
      </c>
      <c r="AD40" t="str">
        <f>IF('1. Live'!AD40='check-Jul25'!AD40,"",'1. Live'!AD40-'check-Jul25'!AD40)</f>
        <v/>
      </c>
      <c r="AE40" t="str">
        <f>IF('1. Live'!AE40='check-Jul25'!AE40,"",'1. Live'!AE40-'check-Jul25'!AE40)</f>
        <v/>
      </c>
      <c r="AF40" t="str">
        <f>IF('1. Live'!AF40='check-Jul25'!AF40,"",'1. Live'!AF40-'check-Jul25'!AF40)</f>
        <v/>
      </c>
      <c r="AG40" t="str">
        <f>IF('1. Live'!AG40='check-Jul25'!AG40,"",'1. Live'!AG40-'check-Jul25'!AG40)</f>
        <v/>
      </c>
      <c r="AH40" t="str">
        <f>IF('1. Live'!AH40='check-Jul25'!AH40,"",'1. Live'!AH40-'check-Jul25'!AH40)</f>
        <v/>
      </c>
      <c r="AI40" t="str">
        <f>IF('1. Live'!AI40='check-Jul25'!AI40,"",'1. Live'!AI40-'check-Jul25'!AI40)</f>
        <v/>
      </c>
      <c r="AJ40" t="str">
        <f>IF('1. Live'!AJ40='check-Jul25'!AJ40,"",'1. Live'!AJ40-'check-Jul25'!AJ40)</f>
        <v/>
      </c>
      <c r="AK40" t="str">
        <f>IF('1. Live'!AK40='check-Jul25'!AK40,"",'1. Live'!AK40-'check-Jul25'!AK40)</f>
        <v/>
      </c>
      <c r="AL40" t="str">
        <f>IF('1. Live'!AL40='check-Jul25'!AL40,"",'1. Live'!AL40-'check-Jul25'!AL40)</f>
        <v/>
      </c>
      <c r="AM40" t="str">
        <f>IF('1. Live'!AM40='check-Jul25'!AM40,"",'1. Live'!AM40-'check-Jul25'!AM40)</f>
        <v/>
      </c>
      <c r="AN40" t="str">
        <f>IF('1. Live'!AN40='check-Jul25'!AN40,"",'1. Live'!AN40-'check-Jul25'!AN40)</f>
        <v/>
      </c>
      <c r="AO40" t="str">
        <f>IF('1. Live'!AO40='check-Jul25'!AO40,"",'1. Live'!AO40-'check-Jul25'!AO40)</f>
        <v/>
      </c>
      <c r="AP40" t="str">
        <f>IF('1. Live'!AP40='check-Jul25'!AP40,"",'1. Live'!AP40-'check-Jul25'!AP40)</f>
        <v/>
      </c>
      <c r="AQ40" t="str">
        <f>IF('1. Live'!AQ40='check-Jul25'!AQ40,"",'1. Live'!AQ40-'check-Jul25'!AQ40)</f>
        <v/>
      </c>
      <c r="AR40" t="str">
        <f>IF('1. Live'!AR40='check-Jul25'!AR40,"",'1. Live'!AR40-'check-Jul25'!AR40)</f>
        <v/>
      </c>
      <c r="AS40" t="str">
        <f>IF('1. Live'!AS40='check-Jul25'!AS40,"",'1. Live'!AS40-'check-Jul25'!AS40)</f>
        <v/>
      </c>
      <c r="AT40" t="str">
        <f>IF('1. Live'!AT40='check-Jul25'!AT40,"",'1. Live'!AT40-'check-Jul25'!AT40)</f>
        <v/>
      </c>
      <c r="AU40" t="str">
        <f>IF('1. Live'!AU40='check-Jul25'!AU40,"",'1. Live'!AU40-'check-Jul25'!AU40)</f>
        <v/>
      </c>
      <c r="AV40" t="str">
        <f>IF('1. Live'!AV40='check-Jul25'!AV40,"",'1. Live'!AV40-'check-Jul25'!AV40)</f>
        <v/>
      </c>
      <c r="AW40" t="str">
        <f>IF('1. Live'!AW40='check-Jul25'!AW40,"",'1. Live'!AW40-'check-Jul25'!AW40)</f>
        <v/>
      </c>
      <c r="AX40" t="str">
        <f>IF('1. Live'!AX40='check-Jul25'!AX40,"",'1. Live'!AX40-'check-Jul25'!AX40)</f>
        <v/>
      </c>
      <c r="AY40" t="str">
        <f>IF('1. Live'!AY40='check-Jul25'!AY40,"",'1. Live'!AY40-'check-Jul25'!AY40)</f>
        <v/>
      </c>
      <c r="AZ40" t="str">
        <f>IF('1. Live'!AZ40='check-Jul25'!AZ40,"",'1. Live'!AZ40-'check-Jul25'!AZ40)</f>
        <v/>
      </c>
      <c r="BA40" t="str">
        <f>IF('1. Live'!BA40='check-Jul25'!BA40,"",'1. Live'!BA40-'check-Jul25'!BA40)</f>
        <v/>
      </c>
      <c r="BB40" t="str">
        <f>IF('1. Live'!BB40='check-Jul25'!BB40,"",'1. Live'!BB40-'check-Jul25'!BB40)</f>
        <v/>
      </c>
      <c r="BC40" t="str">
        <f>IF('1. Live'!BC40='check-Jul25'!BC40,"",'1. Live'!BC40-'check-Jul25'!BC40)</f>
        <v/>
      </c>
      <c r="BD40" t="str">
        <f>IF('1. Live'!BD40='check-Jul25'!BD40,"",'1. Live'!BD40-'check-Jul25'!BD40)</f>
        <v/>
      </c>
      <c r="BE40" t="str">
        <f>IF('1. Live'!BE40='check-Jul25'!BE40,"",'1. Live'!BE40-'check-Jul25'!BE40)</f>
        <v/>
      </c>
      <c r="BF40" t="str">
        <f>IF('1. Live'!BF40='check-Jul25'!BF40,"",'1. Live'!BF40-'check-Jul25'!BF40)</f>
        <v/>
      </c>
      <c r="BG40" t="str">
        <f>IF('1. Live'!BG40='check-Jul25'!BG40,"",'1. Live'!BG40-'check-Jul25'!BG40)</f>
        <v/>
      </c>
      <c r="BH40" t="str">
        <f>IF('1. Live'!BH40='check-Jul25'!BH40,"",'1. Live'!BH40-'check-Jul25'!BH40)</f>
        <v/>
      </c>
      <c r="BI40" t="str">
        <f>IF('1. Live'!BI40='check-Jul25'!BI40,"",'1. Live'!BI40-'check-Jul25'!BI40)</f>
        <v/>
      </c>
      <c r="BJ40" t="str">
        <f>IF('1. Live'!BJ40='check-Jul25'!BJ40,"",'1. Live'!BJ40-'check-Jul25'!BJ40)</f>
        <v/>
      </c>
      <c r="BK40" t="str">
        <f>IF('1. Live'!BK40='check-Jul25'!BK40,"",'1. Live'!BK40-'check-Jul25'!BK40)</f>
        <v/>
      </c>
      <c r="BL40" t="str">
        <f>IF('1. Live'!BL40='check-Jul25'!BL40,"",'1. Live'!BL40-'check-Jul25'!BL40)</f>
        <v/>
      </c>
      <c r="BM40" t="str">
        <f>IF('1. Live'!BM40='check-Jul25'!BM40,"",'1. Live'!BM40-'check-Jul25'!BM40)</f>
        <v/>
      </c>
      <c r="BN40" t="str">
        <f>IF('1. Live'!BN40='check-Jul25'!BN40,"",'1. Live'!BN40-'check-Jul25'!BN40)</f>
        <v/>
      </c>
      <c r="BO40" t="str">
        <f>IF('1. Live'!BO40='check-Jul25'!BO40,"",'1. Live'!BO40-'check-Jul25'!BO40)</f>
        <v/>
      </c>
      <c r="BP40" t="str">
        <f>IF('1. Live'!BP40='check-Jul25'!BP40,"",'1. Live'!BP40-'check-Jul25'!BP40)</f>
        <v/>
      </c>
      <c r="BQ40" t="str">
        <f>IF('1. Live'!BQ40='check-Jul25'!BQ40,"",'1. Live'!BQ40-'check-Jul25'!BQ40)</f>
        <v/>
      </c>
      <c r="BR40" t="str">
        <f>IF('1. Live'!BR40='check-Jul25'!BR40,"",'1. Live'!BR40-'check-Jul25'!BR40)</f>
        <v/>
      </c>
      <c r="BS40" t="str">
        <f>IF('1. Live'!BS40='check-Jul25'!BS40,"",'1. Live'!BS40-'check-Jul25'!BS40)</f>
        <v/>
      </c>
      <c r="BT40" t="str">
        <f>IF('1. Live'!BT40='check-Jul25'!BT40,"",'1. Live'!BT40-'check-Jul25'!BT40)</f>
        <v/>
      </c>
      <c r="BU40" t="str">
        <f>IF('1. Live'!BU40='check-Jul25'!BU40,"",'1. Live'!BU40-'check-Jul25'!BU40)</f>
        <v/>
      </c>
      <c r="BV40" t="str">
        <f>IF('1. Live'!BV40='check-Jul25'!BV40,"",'1. Live'!BV40-'check-Jul25'!BV40)</f>
        <v/>
      </c>
      <c r="BW40" t="str">
        <f>IF('1. Live'!BW40='check-Jul25'!BW40,"",'1. Live'!BW40-'check-Jul25'!BW40)</f>
        <v/>
      </c>
      <c r="BX40" t="str">
        <f>IF('1. Live'!BX40='check-Jul25'!BX40,"",'1. Live'!BX40-'check-Jul25'!BX40)</f>
        <v/>
      </c>
      <c r="BY40" t="str">
        <f>IF('1. Live'!BY40='check-Jul25'!BY40,"",'1. Live'!BY40-'check-Jul25'!BY40)</f>
        <v/>
      </c>
      <c r="BZ40" t="str">
        <f>IF('1. Live'!BZ40='check-Jul25'!BZ40,"",'1. Live'!BZ40-'check-Jul25'!BZ40)</f>
        <v/>
      </c>
      <c r="CA40" t="str">
        <f>IF('1. Live'!CA40='check-Jul25'!CA40,"",'1. Live'!CA40-'check-Jul25'!CA40)</f>
        <v/>
      </c>
      <c r="CB40" t="str">
        <f>IF('1. Live'!CB40='check-Jul25'!CB40,"",'1. Live'!CB40-'check-Jul25'!CB40)</f>
        <v/>
      </c>
      <c r="CC40" t="str">
        <f>IF('1. Live'!CC40='check-Jul25'!CC40,"",'1. Live'!CC40-'check-Jul25'!CC40)</f>
        <v/>
      </c>
      <c r="CD40" t="str">
        <f>IF('1. Live'!CD40='check-Jul25'!CD40,"",'1. Live'!CD40-'check-Jul25'!CD40)</f>
        <v/>
      </c>
      <c r="CE40" t="str">
        <f>IF('1. Live'!CE40='check-Jul25'!CE40,"",'1. Live'!CE40-'check-Jul25'!CE40)</f>
        <v/>
      </c>
      <c r="CF40" t="str">
        <f>IF('1. Live'!CF40='check-Jul25'!CF40,"",'1. Live'!CF40-'check-Jul25'!CF40)</f>
        <v/>
      </c>
      <c r="CG40" t="str">
        <f>IF('1. Live'!CG40='check-Jul25'!CG40,"",'1. Live'!CG40-'check-Jul25'!CG40)</f>
        <v/>
      </c>
      <c r="CH40" t="str">
        <f>IF('1. Live'!CH40='check-Jul25'!CH40,"",'1. Live'!CH40-'check-Jul25'!CH40)</f>
        <v/>
      </c>
      <c r="CI40" t="str">
        <f>IF('1. Live'!CI40='check-Jul25'!CI40,"",'1. Live'!CI40-'check-Jul25'!CI40)</f>
        <v/>
      </c>
      <c r="CJ40" t="str">
        <f>IF('1. Live'!CJ40='check-Jul25'!CJ40,"",'1. Live'!CJ40-'check-Jul25'!CJ40)</f>
        <v/>
      </c>
      <c r="CK40" t="str">
        <f>IF('1. Live'!CK40='check-Jul25'!CK40,"",'1. Live'!CK40-'check-Jul25'!CK40)</f>
        <v/>
      </c>
      <c r="CL40" t="str">
        <f>IF('1. Live'!CL40='check-Jul25'!CL40,"",'1. Live'!CL40-'check-Jul25'!CL40)</f>
        <v/>
      </c>
      <c r="CM40" t="str">
        <f>IF('1. Live'!CM40='check-Jul25'!CM40,"",'1. Live'!CM40-'check-Jul25'!CM40)</f>
        <v/>
      </c>
      <c r="CN40" t="str">
        <f>IF('1. Live'!CN40='check-Jul25'!CN40,"",'1. Live'!CN40-'check-Jul25'!CN40)</f>
        <v/>
      </c>
      <c r="CO40" t="str">
        <f>IF('1. Live'!CO40='check-Jul25'!CO40,"",'1. Live'!CO40-'check-Jul25'!CO40)</f>
        <v/>
      </c>
      <c r="CP40" t="str">
        <f>IF('1. Live'!CP40='check-Jul25'!CP40,"",'1. Live'!CP40-'check-Jul25'!CP40)</f>
        <v/>
      </c>
      <c r="CQ40" t="str">
        <f>IF('1. Live'!CQ40='check-Jul25'!CQ40,"",'1. Live'!CQ40-'check-Jul25'!CQ40)</f>
        <v/>
      </c>
      <c r="CR40" t="str">
        <f>IF('1. Live'!CR40='check-Jul25'!CR40,"",'1. Live'!CR40-'check-Jul25'!CR40)</f>
        <v/>
      </c>
      <c r="CS40" t="str">
        <f>IF('1. Live'!CS40='check-Jul25'!CS40,"",'1. Live'!CS40-'check-Jul25'!CS40)</f>
        <v/>
      </c>
      <c r="CT40" t="str">
        <f>IF('1. Live'!CT40='check-Jul25'!CT40,"",'1. Live'!CT40-'check-Jul25'!CT40)</f>
        <v/>
      </c>
      <c r="CU40" t="str">
        <f>IF('1. Live'!CU40='check-Jul25'!CU40,"",'1. Live'!CU40-'check-Jul25'!CU40)</f>
        <v/>
      </c>
      <c r="CV40" t="str">
        <f>IF('1. Live'!CV40='check-Jul25'!CV40,"",'1. Live'!CV40-'check-Jul25'!CV40)</f>
        <v/>
      </c>
      <c r="CW40" t="str">
        <f>IF('1. Live'!CW40='check-Jul25'!CW40,"",'1. Live'!CW40-'check-Jul25'!CW40)</f>
        <v/>
      </c>
    </row>
    <row r="41" spans="2:101">
      <c r="B41" s="68"/>
      <c r="C41" s="145"/>
      <c r="D41" s="145"/>
      <c r="E41" s="145"/>
      <c r="F41" s="145"/>
      <c r="G41" s="145"/>
      <c r="H41" s="145"/>
      <c r="I41" s="145"/>
      <c r="J41" s="92" t="str">
        <f>IF('1. Live'!J41='check-Jul25'!J41,"",'1. Live'!J41-'check-Jul25'!J41)</f>
        <v/>
      </c>
      <c r="K41" s="146" t="str">
        <f>IF('1. Live'!K41='check-Jul25'!K41,"",'1. Live'!K41-'check-Jul25'!K41)</f>
        <v/>
      </c>
      <c r="L41" s="146" t="str">
        <f>IF('1. Live'!L41='check-Jul25'!L41,"",'1. Live'!L41-'check-Jul25'!L41)</f>
        <v/>
      </c>
      <c r="M41" s="146" t="str">
        <f>IF('1. Live'!M41='check-Jul25'!M41,"",'1. Live'!M41-'check-Jul25'!M41)</f>
        <v/>
      </c>
      <c r="N41" s="146" t="str">
        <f>IF('1. Live'!N41='check-Jul25'!N41,"",'1. Live'!N41-'check-Jul25'!N41)</f>
        <v/>
      </c>
      <c r="O41" s="146" t="str">
        <f>IF('1. Live'!O41='check-Jul25'!O41,"",'1. Live'!O41-'check-Jul25'!O41)</f>
        <v/>
      </c>
      <c r="P41" s="146" t="str">
        <f>IF('1. Live'!P41='check-Jul25'!P41,"",'1. Live'!P41-'check-Jul25'!P41)</f>
        <v/>
      </c>
      <c r="Q41" s="146" t="str">
        <f>IF('1. Live'!Q41='check-Jul25'!Q41,"",'1. Live'!Q41-'check-Jul25'!Q41)</f>
        <v/>
      </c>
      <c r="R41" s="147" t="str">
        <f>IF('1. Live'!R41='check-Jul25'!R41,"",'1. Live'!R41-'check-Jul25'!R41)</f>
        <v/>
      </c>
      <c r="S41" s="145" t="str">
        <f>IF('1. Live'!S41='check-Jul25'!S41,"",'1. Live'!S41-'check-Jul25'!S41)</f>
        <v/>
      </c>
      <c r="T41" s="69" t="str">
        <f>IF('1. Live'!T41='check-Jul25'!T41,"",'1. Live'!T41-'check-Jul25'!T41)</f>
        <v/>
      </c>
      <c r="U41" t="str">
        <f>IF('1. Live'!U41='check-Jul25'!U41,"",'1. Live'!U41-'check-Jul25'!U41)</f>
        <v/>
      </c>
      <c r="V41" t="str">
        <f>IF('1. Live'!V41='check-Jul25'!V41,"",'1. Live'!V41-'check-Jul25'!V41)</f>
        <v/>
      </c>
      <c r="W41" t="str">
        <f>IF('1. Live'!W41='check-Jul25'!W41,"",'1. Live'!W41-'check-Jul25'!W41)</f>
        <v/>
      </c>
      <c r="X41" t="str">
        <f>IF('1. Live'!X41='check-Jul25'!X41,"",'1. Live'!X41-'check-Jul25'!X41)</f>
        <v/>
      </c>
      <c r="Y41" t="str">
        <f>IF('1. Live'!Y41='check-Jul25'!Y41,"",'1. Live'!Y41-'check-Jul25'!Y41)</f>
        <v/>
      </c>
      <c r="Z41" t="str">
        <f>IF('1. Live'!Z41='check-Jul25'!Z41,"",'1. Live'!Z41-'check-Jul25'!Z41)</f>
        <v/>
      </c>
      <c r="AA41" t="str">
        <f>IF('1. Live'!AA41='check-Jul25'!AA41,"",'1. Live'!AA41-'check-Jul25'!AA41)</f>
        <v/>
      </c>
      <c r="AB41" t="str">
        <f>IF('1. Live'!AB41='check-Jul25'!AB41,"",'1. Live'!AB41-'check-Jul25'!AB41)</f>
        <v/>
      </c>
      <c r="AC41" t="str">
        <f>IF('1. Live'!AC41='check-Jul25'!AC41,"",'1. Live'!AC41-'check-Jul25'!AC41)</f>
        <v/>
      </c>
      <c r="AD41" t="str">
        <f>IF('1. Live'!AD41='check-Jul25'!AD41,"",'1. Live'!AD41-'check-Jul25'!AD41)</f>
        <v/>
      </c>
      <c r="AE41" t="str">
        <f>IF('1. Live'!AE41='check-Jul25'!AE41,"",'1. Live'!AE41-'check-Jul25'!AE41)</f>
        <v/>
      </c>
      <c r="AF41" t="str">
        <f>IF('1. Live'!AF41='check-Jul25'!AF41,"",'1. Live'!AF41-'check-Jul25'!AF41)</f>
        <v/>
      </c>
      <c r="AG41" t="str">
        <f>IF('1. Live'!AG41='check-Jul25'!AG41,"",'1. Live'!AG41-'check-Jul25'!AG41)</f>
        <v/>
      </c>
      <c r="AH41" t="str">
        <f>IF('1. Live'!AH41='check-Jul25'!AH41,"",'1. Live'!AH41-'check-Jul25'!AH41)</f>
        <v/>
      </c>
      <c r="AI41" t="str">
        <f>IF('1. Live'!AI41='check-Jul25'!AI41,"",'1. Live'!AI41-'check-Jul25'!AI41)</f>
        <v/>
      </c>
      <c r="AJ41" t="str">
        <f>IF('1. Live'!AJ41='check-Jul25'!AJ41,"",'1. Live'!AJ41-'check-Jul25'!AJ41)</f>
        <v/>
      </c>
      <c r="AK41" t="str">
        <f>IF('1. Live'!AK41='check-Jul25'!AK41,"",'1. Live'!AK41-'check-Jul25'!AK41)</f>
        <v/>
      </c>
      <c r="AL41" t="str">
        <f>IF('1. Live'!AL41='check-Jul25'!AL41,"",'1. Live'!AL41-'check-Jul25'!AL41)</f>
        <v/>
      </c>
      <c r="AM41" t="str">
        <f>IF('1. Live'!AM41='check-Jul25'!AM41,"",'1. Live'!AM41-'check-Jul25'!AM41)</f>
        <v/>
      </c>
      <c r="AN41" t="str">
        <f>IF('1. Live'!AN41='check-Jul25'!AN41,"",'1. Live'!AN41-'check-Jul25'!AN41)</f>
        <v/>
      </c>
      <c r="AO41" t="str">
        <f>IF('1. Live'!AO41='check-Jul25'!AO41,"",'1. Live'!AO41-'check-Jul25'!AO41)</f>
        <v/>
      </c>
      <c r="AP41" t="str">
        <f>IF('1. Live'!AP41='check-Jul25'!AP41,"",'1. Live'!AP41-'check-Jul25'!AP41)</f>
        <v/>
      </c>
      <c r="AQ41" t="str">
        <f>IF('1. Live'!AQ41='check-Jul25'!AQ41,"",'1. Live'!AQ41-'check-Jul25'!AQ41)</f>
        <v/>
      </c>
      <c r="AR41" t="str">
        <f>IF('1. Live'!AR41='check-Jul25'!AR41,"",'1. Live'!AR41-'check-Jul25'!AR41)</f>
        <v/>
      </c>
      <c r="AS41" t="str">
        <f>IF('1. Live'!AS41='check-Jul25'!AS41,"",'1. Live'!AS41-'check-Jul25'!AS41)</f>
        <v/>
      </c>
      <c r="AT41" t="str">
        <f>IF('1. Live'!AT41='check-Jul25'!AT41,"",'1. Live'!AT41-'check-Jul25'!AT41)</f>
        <v/>
      </c>
      <c r="AU41" t="str">
        <f>IF('1. Live'!AU41='check-Jul25'!AU41,"",'1. Live'!AU41-'check-Jul25'!AU41)</f>
        <v/>
      </c>
      <c r="AV41" t="str">
        <f>IF('1. Live'!AV41='check-Jul25'!AV41,"",'1. Live'!AV41-'check-Jul25'!AV41)</f>
        <v/>
      </c>
      <c r="AW41" t="str">
        <f>IF('1. Live'!AW41='check-Jul25'!AW41,"",'1. Live'!AW41-'check-Jul25'!AW41)</f>
        <v/>
      </c>
      <c r="AX41" t="str">
        <f>IF('1. Live'!AX41='check-Jul25'!AX41,"",'1. Live'!AX41-'check-Jul25'!AX41)</f>
        <v/>
      </c>
      <c r="AY41" t="str">
        <f>IF('1. Live'!AY41='check-Jul25'!AY41,"",'1. Live'!AY41-'check-Jul25'!AY41)</f>
        <v/>
      </c>
      <c r="AZ41" t="str">
        <f>IF('1. Live'!AZ41='check-Jul25'!AZ41,"",'1. Live'!AZ41-'check-Jul25'!AZ41)</f>
        <v/>
      </c>
      <c r="BA41" t="str">
        <f>IF('1. Live'!BA41='check-Jul25'!BA41,"",'1. Live'!BA41-'check-Jul25'!BA41)</f>
        <v/>
      </c>
      <c r="BB41" t="str">
        <f>IF('1. Live'!BB41='check-Jul25'!BB41,"",'1. Live'!BB41-'check-Jul25'!BB41)</f>
        <v/>
      </c>
      <c r="BC41" t="str">
        <f>IF('1. Live'!BC41='check-Jul25'!BC41,"",'1. Live'!BC41-'check-Jul25'!BC41)</f>
        <v/>
      </c>
      <c r="BD41" t="str">
        <f>IF('1. Live'!BD41='check-Jul25'!BD41,"",'1. Live'!BD41-'check-Jul25'!BD41)</f>
        <v/>
      </c>
      <c r="BE41" t="str">
        <f>IF('1. Live'!BE41='check-Jul25'!BE41,"",'1. Live'!BE41-'check-Jul25'!BE41)</f>
        <v/>
      </c>
      <c r="BF41" t="str">
        <f>IF('1. Live'!BF41='check-Jul25'!BF41,"",'1. Live'!BF41-'check-Jul25'!BF41)</f>
        <v/>
      </c>
      <c r="BG41" t="str">
        <f>IF('1. Live'!BG41='check-Jul25'!BG41,"",'1. Live'!BG41-'check-Jul25'!BG41)</f>
        <v/>
      </c>
      <c r="BH41" t="str">
        <f>IF('1. Live'!BH41='check-Jul25'!BH41,"",'1. Live'!BH41-'check-Jul25'!BH41)</f>
        <v/>
      </c>
      <c r="BI41" t="str">
        <f>IF('1. Live'!BI41='check-Jul25'!BI41,"",'1. Live'!BI41-'check-Jul25'!BI41)</f>
        <v/>
      </c>
      <c r="BJ41" t="str">
        <f>IF('1. Live'!BJ41='check-Jul25'!BJ41,"",'1. Live'!BJ41-'check-Jul25'!BJ41)</f>
        <v/>
      </c>
      <c r="BK41" t="str">
        <f>IF('1. Live'!BK41='check-Jul25'!BK41,"",'1. Live'!BK41-'check-Jul25'!BK41)</f>
        <v/>
      </c>
      <c r="BL41" t="str">
        <f>IF('1. Live'!BL41='check-Jul25'!BL41,"",'1. Live'!BL41-'check-Jul25'!BL41)</f>
        <v/>
      </c>
      <c r="BM41" t="str">
        <f>IF('1. Live'!BM41='check-Jul25'!BM41,"",'1. Live'!BM41-'check-Jul25'!BM41)</f>
        <v/>
      </c>
      <c r="BN41" t="str">
        <f>IF('1. Live'!BN41='check-Jul25'!BN41,"",'1. Live'!BN41-'check-Jul25'!BN41)</f>
        <v/>
      </c>
      <c r="BO41" t="str">
        <f>IF('1. Live'!BO41='check-Jul25'!BO41,"",'1. Live'!BO41-'check-Jul25'!BO41)</f>
        <v/>
      </c>
      <c r="BP41" t="str">
        <f>IF('1. Live'!BP41='check-Jul25'!BP41,"",'1. Live'!BP41-'check-Jul25'!BP41)</f>
        <v/>
      </c>
      <c r="BQ41" t="str">
        <f>IF('1. Live'!BQ41='check-Jul25'!BQ41,"",'1. Live'!BQ41-'check-Jul25'!BQ41)</f>
        <v/>
      </c>
      <c r="BR41" t="str">
        <f>IF('1. Live'!BR41='check-Jul25'!BR41,"",'1. Live'!BR41-'check-Jul25'!BR41)</f>
        <v/>
      </c>
      <c r="BS41" t="str">
        <f>IF('1. Live'!BS41='check-Jul25'!BS41,"",'1. Live'!BS41-'check-Jul25'!BS41)</f>
        <v/>
      </c>
      <c r="BT41" t="str">
        <f>IF('1. Live'!BT41='check-Jul25'!BT41,"",'1. Live'!BT41-'check-Jul25'!BT41)</f>
        <v/>
      </c>
      <c r="BU41" t="str">
        <f>IF('1. Live'!BU41='check-Jul25'!BU41,"",'1. Live'!BU41-'check-Jul25'!BU41)</f>
        <v/>
      </c>
      <c r="BV41" t="str">
        <f>IF('1. Live'!BV41='check-Jul25'!BV41,"",'1. Live'!BV41-'check-Jul25'!BV41)</f>
        <v/>
      </c>
      <c r="BW41" t="str">
        <f>IF('1. Live'!BW41='check-Jul25'!BW41,"",'1. Live'!BW41-'check-Jul25'!BW41)</f>
        <v/>
      </c>
      <c r="BX41" t="str">
        <f>IF('1. Live'!BX41='check-Jul25'!BX41,"",'1. Live'!BX41-'check-Jul25'!BX41)</f>
        <v/>
      </c>
      <c r="BY41" t="str">
        <f>IF('1. Live'!BY41='check-Jul25'!BY41,"",'1. Live'!BY41-'check-Jul25'!BY41)</f>
        <v/>
      </c>
      <c r="BZ41" t="str">
        <f>IF('1. Live'!BZ41='check-Jul25'!BZ41,"",'1. Live'!BZ41-'check-Jul25'!BZ41)</f>
        <v/>
      </c>
      <c r="CA41" t="str">
        <f>IF('1. Live'!CA41='check-Jul25'!CA41,"",'1. Live'!CA41-'check-Jul25'!CA41)</f>
        <v/>
      </c>
      <c r="CB41" t="str">
        <f>IF('1. Live'!CB41='check-Jul25'!CB41,"",'1. Live'!CB41-'check-Jul25'!CB41)</f>
        <v/>
      </c>
      <c r="CC41" t="str">
        <f>IF('1. Live'!CC41='check-Jul25'!CC41,"",'1. Live'!CC41-'check-Jul25'!CC41)</f>
        <v/>
      </c>
      <c r="CD41" t="str">
        <f>IF('1. Live'!CD41='check-Jul25'!CD41,"",'1. Live'!CD41-'check-Jul25'!CD41)</f>
        <v/>
      </c>
      <c r="CE41" t="str">
        <f>IF('1. Live'!CE41='check-Jul25'!CE41,"",'1. Live'!CE41-'check-Jul25'!CE41)</f>
        <v/>
      </c>
      <c r="CF41" t="str">
        <f>IF('1. Live'!CF41='check-Jul25'!CF41,"",'1. Live'!CF41-'check-Jul25'!CF41)</f>
        <v/>
      </c>
      <c r="CG41" t="str">
        <f>IF('1. Live'!CG41='check-Jul25'!CG41,"",'1. Live'!CG41-'check-Jul25'!CG41)</f>
        <v/>
      </c>
      <c r="CH41" t="str">
        <f>IF('1. Live'!CH41='check-Jul25'!CH41,"",'1. Live'!CH41-'check-Jul25'!CH41)</f>
        <v/>
      </c>
      <c r="CI41" t="str">
        <f>IF('1. Live'!CI41='check-Jul25'!CI41,"",'1. Live'!CI41-'check-Jul25'!CI41)</f>
        <v/>
      </c>
      <c r="CJ41" t="str">
        <f>IF('1. Live'!CJ41='check-Jul25'!CJ41,"",'1. Live'!CJ41-'check-Jul25'!CJ41)</f>
        <v/>
      </c>
      <c r="CK41" t="str">
        <f>IF('1. Live'!CK41='check-Jul25'!CK41,"",'1. Live'!CK41-'check-Jul25'!CK41)</f>
        <v/>
      </c>
      <c r="CL41" t="str">
        <f>IF('1. Live'!CL41='check-Jul25'!CL41,"",'1. Live'!CL41-'check-Jul25'!CL41)</f>
        <v/>
      </c>
      <c r="CM41" t="str">
        <f>IF('1. Live'!CM41='check-Jul25'!CM41,"",'1. Live'!CM41-'check-Jul25'!CM41)</f>
        <v/>
      </c>
      <c r="CN41" t="str">
        <f>IF('1. Live'!CN41='check-Jul25'!CN41,"",'1. Live'!CN41-'check-Jul25'!CN41)</f>
        <v/>
      </c>
      <c r="CO41" t="str">
        <f>IF('1. Live'!CO41='check-Jul25'!CO41,"",'1. Live'!CO41-'check-Jul25'!CO41)</f>
        <v/>
      </c>
      <c r="CP41" t="str">
        <f>IF('1. Live'!CP41='check-Jul25'!CP41,"",'1. Live'!CP41-'check-Jul25'!CP41)</f>
        <v/>
      </c>
      <c r="CQ41" t="str">
        <f>IF('1. Live'!CQ41='check-Jul25'!CQ41,"",'1. Live'!CQ41-'check-Jul25'!CQ41)</f>
        <v/>
      </c>
      <c r="CR41" t="str">
        <f>IF('1. Live'!CR41='check-Jul25'!CR41,"",'1. Live'!CR41-'check-Jul25'!CR41)</f>
        <v/>
      </c>
      <c r="CS41" t="str">
        <f>IF('1. Live'!CS41='check-Jul25'!CS41,"",'1. Live'!CS41-'check-Jul25'!CS41)</f>
        <v/>
      </c>
      <c r="CT41" t="str">
        <f>IF('1. Live'!CT41='check-Jul25'!CT41,"",'1. Live'!CT41-'check-Jul25'!CT41)</f>
        <v/>
      </c>
      <c r="CU41" t="str">
        <f>IF('1. Live'!CU41='check-Jul25'!CU41,"",'1. Live'!CU41-'check-Jul25'!CU41)</f>
        <v/>
      </c>
      <c r="CV41" t="str">
        <f>IF('1. Live'!CV41='check-Jul25'!CV41,"",'1. Live'!CV41-'check-Jul25'!CV41)</f>
        <v/>
      </c>
      <c r="CW41" t="str">
        <f>IF('1. Live'!CW41='check-Jul25'!CW41,"",'1. Live'!CW41-'check-Jul25'!CW41)</f>
        <v/>
      </c>
    </row>
    <row r="42" spans="2:101">
      <c r="B42" s="68"/>
      <c r="C42" s="422" t="s">
        <v>544</v>
      </c>
      <c r="D42" s="334"/>
      <c r="E42" s="335"/>
      <c r="F42" s="335"/>
      <c r="G42" s="335"/>
      <c r="H42" s="335"/>
      <c r="I42" s="336"/>
      <c r="J42" s="337" t="str">
        <f>IF('1. Live'!J42='check-Jul25'!J42,"",'1. Live'!J42-'check-Jul25'!J42)</f>
        <v/>
      </c>
      <c r="K42" s="338" t="str">
        <f>IF('1. Live'!K42='check-Jul25'!K42,"",'1. Live'!K42-'check-Jul25'!K42)</f>
        <v/>
      </c>
      <c r="L42" s="338" t="str">
        <f>IF('1. Live'!L42='check-Jul25'!L42,"",'1. Live'!L42-'check-Jul25'!L42)</f>
        <v/>
      </c>
      <c r="M42" s="338" t="str">
        <f>IF('1. Live'!M42='check-Jul25'!M42,"",'1. Live'!M42-'check-Jul25'!M42)</f>
        <v/>
      </c>
      <c r="N42" s="338" t="str">
        <f>IF('1. Live'!N42='check-Jul25'!N42,"",'1. Live'!N42-'check-Jul25'!N42)</f>
        <v/>
      </c>
      <c r="O42" s="338" t="str">
        <f>IF('1. Live'!O42='check-Jul25'!O42,"",'1. Live'!O42-'check-Jul25'!O42)</f>
        <v/>
      </c>
      <c r="P42" s="338" t="str">
        <f>IF('1. Live'!P42='check-Jul25'!P42,"",'1. Live'!P42-'check-Jul25'!P42)</f>
        <v/>
      </c>
      <c r="Q42" s="338" t="str">
        <f>IF('1. Live'!Q42='check-Jul25'!Q42,"",'1. Live'!Q42-'check-Jul25'!Q42)</f>
        <v/>
      </c>
      <c r="R42" s="339" t="str">
        <f>IF('1. Live'!R42='check-Jul25'!R42,"",'1. Live'!R42-'check-Jul25'!R42)</f>
        <v/>
      </c>
      <c r="S42" s="335" t="str">
        <f>IF('1. Live'!S42='check-Jul25'!S42,"",'1. Live'!S42-'check-Jul25'!S42)</f>
        <v/>
      </c>
      <c r="T42" s="69" t="str">
        <f>IF('1. Live'!T42='check-Jul25'!T42,"",'1. Live'!T42-'check-Jul25'!T42)</f>
        <v/>
      </c>
      <c r="U42" t="str">
        <f>IF('1. Live'!U42='check-Jul25'!U42,"",'1. Live'!U42-'check-Jul25'!U42)</f>
        <v/>
      </c>
      <c r="V42" t="str">
        <f>IF('1. Live'!V42='check-Jul25'!V42,"",'1. Live'!V42-'check-Jul25'!V42)</f>
        <v/>
      </c>
      <c r="W42" t="str">
        <f>IF('1. Live'!W42='check-Jul25'!W42,"",'1. Live'!W42-'check-Jul25'!W42)</f>
        <v/>
      </c>
      <c r="X42" t="str">
        <f>IF('1. Live'!X42='check-Jul25'!X42,"",'1. Live'!X42-'check-Jul25'!X42)</f>
        <v/>
      </c>
      <c r="Y42" t="str">
        <f>IF('1. Live'!Y42='check-Jul25'!Y42,"",'1. Live'!Y42-'check-Jul25'!Y42)</f>
        <v/>
      </c>
      <c r="Z42" t="str">
        <f>IF('1. Live'!Z42='check-Jul25'!Z42,"",'1. Live'!Z42-'check-Jul25'!Z42)</f>
        <v/>
      </c>
      <c r="AA42" t="str">
        <f>IF('1. Live'!AA42='check-Jul25'!AA42,"",'1. Live'!AA42-'check-Jul25'!AA42)</f>
        <v/>
      </c>
      <c r="AB42" t="str">
        <f>IF('1. Live'!AB42='check-Jul25'!AB42,"",'1. Live'!AB42-'check-Jul25'!AB42)</f>
        <v/>
      </c>
      <c r="AC42" t="str">
        <f>IF('1. Live'!AC42='check-Jul25'!AC42,"",'1. Live'!AC42-'check-Jul25'!AC42)</f>
        <v/>
      </c>
      <c r="AD42" t="str">
        <f>IF('1. Live'!AD42='check-Jul25'!AD42,"",'1. Live'!AD42-'check-Jul25'!AD42)</f>
        <v/>
      </c>
      <c r="AE42" t="str">
        <f>IF('1. Live'!AE42='check-Jul25'!AE42,"",'1. Live'!AE42-'check-Jul25'!AE42)</f>
        <v/>
      </c>
      <c r="AF42" t="str">
        <f>IF('1. Live'!AF42='check-Jul25'!AF42,"",'1. Live'!AF42-'check-Jul25'!AF42)</f>
        <v/>
      </c>
      <c r="AG42" t="str">
        <f>IF('1. Live'!AG42='check-Jul25'!AG42,"",'1. Live'!AG42-'check-Jul25'!AG42)</f>
        <v/>
      </c>
      <c r="AH42" t="str">
        <f>IF('1. Live'!AH42='check-Jul25'!AH42,"",'1. Live'!AH42-'check-Jul25'!AH42)</f>
        <v/>
      </c>
      <c r="AI42" t="str">
        <f>IF('1. Live'!AI42='check-Jul25'!AI42,"",'1. Live'!AI42-'check-Jul25'!AI42)</f>
        <v/>
      </c>
      <c r="AJ42" t="str">
        <f>IF('1. Live'!AJ42='check-Jul25'!AJ42,"",'1. Live'!AJ42-'check-Jul25'!AJ42)</f>
        <v/>
      </c>
      <c r="AK42" t="str">
        <f>IF('1. Live'!AK42='check-Jul25'!AK42,"",'1. Live'!AK42-'check-Jul25'!AK42)</f>
        <v/>
      </c>
      <c r="AL42" t="str">
        <f>IF('1. Live'!AL42='check-Jul25'!AL42,"",'1. Live'!AL42-'check-Jul25'!AL42)</f>
        <v/>
      </c>
      <c r="AM42" t="str">
        <f>IF('1. Live'!AM42='check-Jul25'!AM42,"",'1. Live'!AM42-'check-Jul25'!AM42)</f>
        <v/>
      </c>
      <c r="AN42" t="str">
        <f>IF('1. Live'!AN42='check-Jul25'!AN42,"",'1. Live'!AN42-'check-Jul25'!AN42)</f>
        <v/>
      </c>
      <c r="AO42" t="str">
        <f>IF('1. Live'!AO42='check-Jul25'!AO42,"",'1. Live'!AO42-'check-Jul25'!AO42)</f>
        <v/>
      </c>
      <c r="AP42" t="str">
        <f>IF('1. Live'!AP42='check-Jul25'!AP42,"",'1. Live'!AP42-'check-Jul25'!AP42)</f>
        <v/>
      </c>
      <c r="AQ42" t="str">
        <f>IF('1. Live'!AQ42='check-Jul25'!AQ42,"",'1. Live'!AQ42-'check-Jul25'!AQ42)</f>
        <v/>
      </c>
      <c r="AR42" t="str">
        <f>IF('1. Live'!AR42='check-Jul25'!AR42,"",'1. Live'!AR42-'check-Jul25'!AR42)</f>
        <v/>
      </c>
      <c r="AS42" t="str">
        <f>IF('1. Live'!AS42='check-Jul25'!AS42,"",'1. Live'!AS42-'check-Jul25'!AS42)</f>
        <v/>
      </c>
      <c r="AT42" t="str">
        <f>IF('1. Live'!AT42='check-Jul25'!AT42,"",'1. Live'!AT42-'check-Jul25'!AT42)</f>
        <v/>
      </c>
      <c r="AU42" t="str">
        <f>IF('1. Live'!AU42='check-Jul25'!AU42,"",'1. Live'!AU42-'check-Jul25'!AU42)</f>
        <v/>
      </c>
      <c r="AV42" t="str">
        <f>IF('1. Live'!AV42='check-Jul25'!AV42,"",'1. Live'!AV42-'check-Jul25'!AV42)</f>
        <v/>
      </c>
      <c r="AW42" t="str">
        <f>IF('1. Live'!AW42='check-Jul25'!AW42,"",'1. Live'!AW42-'check-Jul25'!AW42)</f>
        <v/>
      </c>
      <c r="AX42" t="str">
        <f>IF('1. Live'!AX42='check-Jul25'!AX42,"",'1. Live'!AX42-'check-Jul25'!AX42)</f>
        <v/>
      </c>
      <c r="AY42" t="str">
        <f>IF('1. Live'!AY42='check-Jul25'!AY42,"",'1. Live'!AY42-'check-Jul25'!AY42)</f>
        <v/>
      </c>
      <c r="AZ42" t="str">
        <f>IF('1. Live'!AZ42='check-Jul25'!AZ42,"",'1. Live'!AZ42-'check-Jul25'!AZ42)</f>
        <v/>
      </c>
      <c r="BA42" t="str">
        <f>IF('1. Live'!BA42='check-Jul25'!BA42,"",'1. Live'!BA42-'check-Jul25'!BA42)</f>
        <v/>
      </c>
      <c r="BB42" t="str">
        <f>IF('1. Live'!BB42='check-Jul25'!BB42,"",'1. Live'!BB42-'check-Jul25'!BB42)</f>
        <v/>
      </c>
      <c r="BC42" t="str">
        <f>IF('1. Live'!BC42='check-Jul25'!BC42,"",'1. Live'!BC42-'check-Jul25'!BC42)</f>
        <v/>
      </c>
      <c r="BD42" t="str">
        <f>IF('1. Live'!BD42='check-Jul25'!BD42,"",'1. Live'!BD42-'check-Jul25'!BD42)</f>
        <v/>
      </c>
      <c r="BE42" t="str">
        <f>IF('1. Live'!BE42='check-Jul25'!BE42,"",'1. Live'!BE42-'check-Jul25'!BE42)</f>
        <v/>
      </c>
      <c r="BF42" t="str">
        <f>IF('1. Live'!BF42='check-Jul25'!BF42,"",'1. Live'!BF42-'check-Jul25'!BF42)</f>
        <v/>
      </c>
      <c r="BG42" t="str">
        <f>IF('1. Live'!BG42='check-Jul25'!BG42,"",'1. Live'!BG42-'check-Jul25'!BG42)</f>
        <v/>
      </c>
      <c r="BH42" t="str">
        <f>IF('1. Live'!BH42='check-Jul25'!BH42,"",'1. Live'!BH42-'check-Jul25'!BH42)</f>
        <v/>
      </c>
      <c r="BI42" t="str">
        <f>IF('1. Live'!BI42='check-Jul25'!BI42,"",'1. Live'!BI42-'check-Jul25'!BI42)</f>
        <v/>
      </c>
      <c r="BJ42" t="str">
        <f>IF('1. Live'!BJ42='check-Jul25'!BJ42,"",'1. Live'!BJ42-'check-Jul25'!BJ42)</f>
        <v/>
      </c>
      <c r="BK42" t="str">
        <f>IF('1. Live'!BK42='check-Jul25'!BK42,"",'1. Live'!BK42-'check-Jul25'!BK42)</f>
        <v/>
      </c>
      <c r="BL42" t="str">
        <f>IF('1. Live'!BL42='check-Jul25'!BL42,"",'1. Live'!BL42-'check-Jul25'!BL42)</f>
        <v/>
      </c>
      <c r="BM42" t="str">
        <f>IF('1. Live'!BM42='check-Jul25'!BM42,"",'1. Live'!BM42-'check-Jul25'!BM42)</f>
        <v/>
      </c>
      <c r="BN42" t="str">
        <f>IF('1. Live'!BN42='check-Jul25'!BN42,"",'1. Live'!BN42-'check-Jul25'!BN42)</f>
        <v/>
      </c>
      <c r="BO42" t="str">
        <f>IF('1. Live'!BO42='check-Jul25'!BO42,"",'1. Live'!BO42-'check-Jul25'!BO42)</f>
        <v/>
      </c>
      <c r="BP42" t="str">
        <f>IF('1. Live'!BP42='check-Jul25'!BP42,"",'1. Live'!BP42-'check-Jul25'!BP42)</f>
        <v/>
      </c>
      <c r="BQ42" t="str">
        <f>IF('1. Live'!BQ42='check-Jul25'!BQ42,"",'1. Live'!BQ42-'check-Jul25'!BQ42)</f>
        <v/>
      </c>
      <c r="BR42" t="str">
        <f>IF('1. Live'!BR42='check-Jul25'!BR42,"",'1. Live'!BR42-'check-Jul25'!BR42)</f>
        <v/>
      </c>
      <c r="BS42" t="str">
        <f>IF('1. Live'!BS42='check-Jul25'!BS42,"",'1. Live'!BS42-'check-Jul25'!BS42)</f>
        <v/>
      </c>
      <c r="BT42" t="str">
        <f>IF('1. Live'!BT42='check-Jul25'!BT42,"",'1. Live'!BT42-'check-Jul25'!BT42)</f>
        <v/>
      </c>
      <c r="BU42" t="str">
        <f>IF('1. Live'!BU42='check-Jul25'!BU42,"",'1. Live'!BU42-'check-Jul25'!BU42)</f>
        <v/>
      </c>
      <c r="BV42" t="str">
        <f>IF('1. Live'!BV42='check-Jul25'!BV42,"",'1. Live'!BV42-'check-Jul25'!BV42)</f>
        <v/>
      </c>
      <c r="BW42" t="str">
        <f>IF('1. Live'!BW42='check-Jul25'!BW42,"",'1. Live'!BW42-'check-Jul25'!BW42)</f>
        <v/>
      </c>
      <c r="BX42" t="str">
        <f>IF('1. Live'!BX42='check-Jul25'!BX42,"",'1. Live'!BX42-'check-Jul25'!BX42)</f>
        <v/>
      </c>
      <c r="BY42" t="str">
        <f>IF('1. Live'!BY42='check-Jul25'!BY42,"",'1. Live'!BY42-'check-Jul25'!BY42)</f>
        <v/>
      </c>
      <c r="BZ42" t="str">
        <f>IF('1. Live'!BZ42='check-Jul25'!BZ42,"",'1. Live'!BZ42-'check-Jul25'!BZ42)</f>
        <v/>
      </c>
      <c r="CA42" t="str">
        <f>IF('1. Live'!CA42='check-Jul25'!CA42,"",'1. Live'!CA42-'check-Jul25'!CA42)</f>
        <v/>
      </c>
      <c r="CB42" t="str">
        <f>IF('1. Live'!CB42='check-Jul25'!CB42,"",'1. Live'!CB42-'check-Jul25'!CB42)</f>
        <v/>
      </c>
      <c r="CC42" t="str">
        <f>IF('1. Live'!CC42='check-Jul25'!CC42,"",'1. Live'!CC42-'check-Jul25'!CC42)</f>
        <v/>
      </c>
      <c r="CD42" t="str">
        <f>IF('1. Live'!CD42='check-Jul25'!CD42,"",'1. Live'!CD42-'check-Jul25'!CD42)</f>
        <v/>
      </c>
      <c r="CE42" t="str">
        <f>IF('1. Live'!CE42='check-Jul25'!CE42,"",'1. Live'!CE42-'check-Jul25'!CE42)</f>
        <v/>
      </c>
      <c r="CF42" t="str">
        <f>IF('1. Live'!CF42='check-Jul25'!CF42,"",'1. Live'!CF42-'check-Jul25'!CF42)</f>
        <v/>
      </c>
      <c r="CG42" t="str">
        <f>IF('1. Live'!CG42='check-Jul25'!CG42,"",'1. Live'!CG42-'check-Jul25'!CG42)</f>
        <v/>
      </c>
      <c r="CH42" t="str">
        <f>IF('1. Live'!CH42='check-Jul25'!CH42,"",'1. Live'!CH42-'check-Jul25'!CH42)</f>
        <v/>
      </c>
      <c r="CI42" t="str">
        <f>IF('1. Live'!CI42='check-Jul25'!CI42,"",'1. Live'!CI42-'check-Jul25'!CI42)</f>
        <v/>
      </c>
      <c r="CJ42" t="str">
        <f>IF('1. Live'!CJ42='check-Jul25'!CJ42,"",'1. Live'!CJ42-'check-Jul25'!CJ42)</f>
        <v/>
      </c>
      <c r="CK42" t="str">
        <f>IF('1. Live'!CK42='check-Jul25'!CK42,"",'1. Live'!CK42-'check-Jul25'!CK42)</f>
        <v/>
      </c>
      <c r="CL42" t="str">
        <f>IF('1. Live'!CL42='check-Jul25'!CL42,"",'1. Live'!CL42-'check-Jul25'!CL42)</f>
        <v/>
      </c>
      <c r="CM42" t="str">
        <f>IF('1. Live'!CM42='check-Jul25'!CM42,"",'1. Live'!CM42-'check-Jul25'!CM42)</f>
        <v/>
      </c>
      <c r="CN42" t="str">
        <f>IF('1. Live'!CN42='check-Jul25'!CN42,"",'1. Live'!CN42-'check-Jul25'!CN42)</f>
        <v/>
      </c>
      <c r="CO42" t="str">
        <f>IF('1. Live'!CO42='check-Jul25'!CO42,"",'1. Live'!CO42-'check-Jul25'!CO42)</f>
        <v/>
      </c>
      <c r="CP42" t="str">
        <f>IF('1. Live'!CP42='check-Jul25'!CP42,"",'1. Live'!CP42-'check-Jul25'!CP42)</f>
        <v/>
      </c>
      <c r="CQ42" t="str">
        <f>IF('1. Live'!CQ42='check-Jul25'!CQ42,"",'1. Live'!CQ42-'check-Jul25'!CQ42)</f>
        <v/>
      </c>
      <c r="CR42" t="str">
        <f>IF('1. Live'!CR42='check-Jul25'!CR42,"",'1. Live'!CR42-'check-Jul25'!CR42)</f>
        <v/>
      </c>
      <c r="CS42" t="str">
        <f>IF('1. Live'!CS42='check-Jul25'!CS42,"",'1. Live'!CS42-'check-Jul25'!CS42)</f>
        <v/>
      </c>
      <c r="CT42" t="str">
        <f>IF('1. Live'!CT42='check-Jul25'!CT42,"",'1. Live'!CT42-'check-Jul25'!CT42)</f>
        <v/>
      </c>
      <c r="CU42" t="str">
        <f>IF('1. Live'!CU42='check-Jul25'!CU42,"",'1. Live'!CU42-'check-Jul25'!CU42)</f>
        <v/>
      </c>
      <c r="CV42" t="str">
        <f>IF('1. Live'!CV42='check-Jul25'!CV42,"",'1. Live'!CV42-'check-Jul25'!CV42)</f>
        <v/>
      </c>
      <c r="CW42" t="str">
        <f>IF('1. Live'!CW42='check-Jul25'!CW42,"",'1. Live'!CW42-'check-Jul25'!CW42)</f>
        <v/>
      </c>
    </row>
    <row r="43" spans="2:101">
      <c r="B43" s="66"/>
      <c r="C43" s="4" t="s">
        <v>397</v>
      </c>
      <c r="D43" s="32" t="s">
        <v>248</v>
      </c>
      <c r="E43" s="2" t="s">
        <v>77</v>
      </c>
      <c r="F43" s="2">
        <v>0</v>
      </c>
      <c r="G43" s="2" t="s">
        <v>568</v>
      </c>
      <c r="H43" s="6">
        <v>2024</v>
      </c>
      <c r="I43" s="6" t="s">
        <v>400</v>
      </c>
      <c r="J43" s="90" t="str">
        <f>IF('1. Live'!J43='check-Jul25'!J43,"",'1. Live'!J43-'check-Jul25'!J43)</f>
        <v/>
      </c>
      <c r="K43" s="17" t="str">
        <f ca="1">IF('1. Live'!K43='check-Jul25'!K43,"",'1. Live'!K43-'check-Jul25'!K43)</f>
        <v/>
      </c>
      <c r="L43" s="17" t="str">
        <f ca="1">IF('1. Live'!L43='check-Jul25'!L43,"",'1. Live'!L43-'check-Jul25'!L43)</f>
        <v/>
      </c>
      <c r="M43" s="17" t="str">
        <f ca="1">IF('1. Live'!M43='check-Jul25'!M43,"",'1. Live'!M43-'check-Jul25'!M43)</f>
        <v/>
      </c>
      <c r="N43" s="17" t="str">
        <f ca="1">IF('1. Live'!N43='check-Jul25'!N43,"",'1. Live'!N43-'check-Jul25'!N43)</f>
        <v/>
      </c>
      <c r="O43" s="17" t="str">
        <f ca="1">IF('1. Live'!O43='check-Jul25'!O43,"",'1. Live'!O43-'check-Jul25'!O43)</f>
        <v/>
      </c>
      <c r="P43" s="17" t="str">
        <f ca="1">IF('1. Live'!P43='check-Jul25'!P43,"",'1. Live'!P43-'check-Jul25'!P43)</f>
        <v/>
      </c>
      <c r="Q43" s="17" t="str">
        <f>IF('1. Live'!Q43='check-Jul25'!Q43,"",'1. Live'!Q43-'check-Jul25'!Q43)</f>
        <v/>
      </c>
      <c r="R43" s="10" t="str">
        <f ca="1">IF('1. Live'!R43='check-Jul25'!R43,"",'1. Live'!R43-'check-Jul25'!R43)</f>
        <v/>
      </c>
      <c r="S43" s="2" t="str">
        <f>IF('1. Live'!S43='check-Jul25'!S43,"",'1. Live'!S43-'check-Jul25'!S43)</f>
        <v/>
      </c>
      <c r="T43" s="67" t="str">
        <f>IF('1. Live'!T43='check-Jul25'!T43,"",'1. Live'!T43-'check-Jul25'!T43)</f>
        <v/>
      </c>
      <c r="U43" t="str">
        <f>IF('1. Live'!U43='check-Jul25'!U43,"",'1. Live'!U43-'check-Jul25'!U43)</f>
        <v/>
      </c>
      <c r="V43" t="str">
        <f>IF('1. Live'!V43='check-Jul25'!V43,"",'1. Live'!V43-'check-Jul25'!V43)</f>
        <v/>
      </c>
      <c r="W43" t="str">
        <f>IF('1. Live'!W43='check-Jul25'!W43,"",'1. Live'!W43-'check-Jul25'!W43)</f>
        <v/>
      </c>
      <c r="X43" t="str">
        <f>IF('1. Live'!X43='check-Jul25'!X43,"",'1. Live'!X43-'check-Jul25'!X43)</f>
        <v/>
      </c>
      <c r="Y43" t="str">
        <f>IF('1. Live'!Y43='check-Jul25'!Y43,"",'1. Live'!Y43-'check-Jul25'!Y43)</f>
        <v/>
      </c>
      <c r="Z43" t="str">
        <f>IF('1. Live'!Z43='check-Jul25'!Z43,"",'1. Live'!Z43-'check-Jul25'!Z43)</f>
        <v/>
      </c>
      <c r="AA43" t="str">
        <f>IF('1. Live'!AA43='check-Jul25'!AA43,"",'1. Live'!AA43-'check-Jul25'!AA43)</f>
        <v/>
      </c>
      <c r="AB43" t="str">
        <f>IF('1. Live'!AB43='check-Jul25'!AB43,"",'1. Live'!AB43-'check-Jul25'!AB43)</f>
        <v/>
      </c>
      <c r="AC43" t="str">
        <f>IF('1. Live'!AC43='check-Jul25'!AC43,"",'1. Live'!AC43-'check-Jul25'!AC43)</f>
        <v/>
      </c>
      <c r="AD43" t="str">
        <f>IF('1. Live'!AD43='check-Jul25'!AD43,"",'1. Live'!AD43-'check-Jul25'!AD43)</f>
        <v/>
      </c>
      <c r="AE43" t="str">
        <f>IF('1. Live'!AE43='check-Jul25'!AE43,"",'1. Live'!AE43-'check-Jul25'!AE43)</f>
        <v/>
      </c>
      <c r="AF43" t="str">
        <f>IF('1. Live'!AF43='check-Jul25'!AF43,"",'1. Live'!AF43-'check-Jul25'!AF43)</f>
        <v/>
      </c>
      <c r="AG43" t="str">
        <f>IF('1. Live'!AG43='check-Jul25'!AG43,"",'1. Live'!AG43-'check-Jul25'!AG43)</f>
        <v/>
      </c>
      <c r="AH43" t="str">
        <f>IF('1. Live'!AH43='check-Jul25'!AH43,"",'1. Live'!AH43-'check-Jul25'!AH43)</f>
        <v/>
      </c>
      <c r="AI43" t="str">
        <f>IF('1. Live'!AI43='check-Jul25'!AI43,"",'1. Live'!AI43-'check-Jul25'!AI43)</f>
        <v/>
      </c>
      <c r="AJ43" t="str">
        <f>IF('1. Live'!AJ43='check-Jul25'!AJ43,"",'1. Live'!AJ43-'check-Jul25'!AJ43)</f>
        <v/>
      </c>
      <c r="AK43" t="str">
        <f>IF('1. Live'!AK43='check-Jul25'!AK43,"",'1. Live'!AK43-'check-Jul25'!AK43)</f>
        <v/>
      </c>
      <c r="AL43" t="str">
        <f>IF('1. Live'!AL43='check-Jul25'!AL43,"",'1. Live'!AL43-'check-Jul25'!AL43)</f>
        <v/>
      </c>
      <c r="AM43" t="str">
        <f>IF('1. Live'!AM43='check-Jul25'!AM43,"",'1. Live'!AM43-'check-Jul25'!AM43)</f>
        <v/>
      </c>
      <c r="AN43" t="str">
        <f>IF('1. Live'!AN43='check-Jul25'!AN43,"",'1. Live'!AN43-'check-Jul25'!AN43)</f>
        <v/>
      </c>
      <c r="AO43" t="str">
        <f>IF('1. Live'!AO43='check-Jul25'!AO43,"",'1. Live'!AO43-'check-Jul25'!AO43)</f>
        <v/>
      </c>
      <c r="AP43" t="str">
        <f>IF('1. Live'!AP43='check-Jul25'!AP43,"",'1. Live'!AP43-'check-Jul25'!AP43)</f>
        <v/>
      </c>
      <c r="AQ43" t="str">
        <f>IF('1. Live'!AQ43='check-Jul25'!AQ43,"",'1. Live'!AQ43-'check-Jul25'!AQ43)</f>
        <v/>
      </c>
      <c r="AR43" t="str">
        <f>IF('1. Live'!AR43='check-Jul25'!AR43,"",'1. Live'!AR43-'check-Jul25'!AR43)</f>
        <v/>
      </c>
      <c r="AS43" t="str">
        <f>IF('1. Live'!AS43='check-Jul25'!AS43,"",'1. Live'!AS43-'check-Jul25'!AS43)</f>
        <v/>
      </c>
      <c r="AT43" t="str">
        <f>IF('1. Live'!AT43='check-Jul25'!AT43,"",'1. Live'!AT43-'check-Jul25'!AT43)</f>
        <v/>
      </c>
      <c r="AU43" t="str">
        <f>IF('1. Live'!AU43='check-Jul25'!AU43,"",'1. Live'!AU43-'check-Jul25'!AU43)</f>
        <v/>
      </c>
      <c r="AV43" t="str">
        <f>IF('1. Live'!AV43='check-Jul25'!AV43,"",'1. Live'!AV43-'check-Jul25'!AV43)</f>
        <v/>
      </c>
      <c r="AW43" t="str">
        <f>IF('1. Live'!AW43='check-Jul25'!AW43,"",'1. Live'!AW43-'check-Jul25'!AW43)</f>
        <v/>
      </c>
      <c r="AX43" t="str">
        <f>IF('1. Live'!AX43='check-Jul25'!AX43,"",'1. Live'!AX43-'check-Jul25'!AX43)</f>
        <v/>
      </c>
      <c r="AY43" t="str">
        <f>IF('1. Live'!AY43='check-Jul25'!AY43,"",'1. Live'!AY43-'check-Jul25'!AY43)</f>
        <v/>
      </c>
      <c r="AZ43" t="str">
        <f>IF('1. Live'!AZ43='check-Jul25'!AZ43,"",'1. Live'!AZ43-'check-Jul25'!AZ43)</f>
        <v/>
      </c>
      <c r="BA43" t="str">
        <f>IF('1. Live'!BA43='check-Jul25'!BA43,"",'1. Live'!BA43-'check-Jul25'!BA43)</f>
        <v/>
      </c>
      <c r="BB43" t="str">
        <f>IF('1. Live'!BB43='check-Jul25'!BB43,"",'1. Live'!BB43-'check-Jul25'!BB43)</f>
        <v/>
      </c>
      <c r="BC43" t="str">
        <f>IF('1. Live'!BC43='check-Jul25'!BC43,"",'1. Live'!BC43-'check-Jul25'!BC43)</f>
        <v/>
      </c>
      <c r="BD43" t="str">
        <f>IF('1. Live'!BD43='check-Jul25'!BD43,"",'1. Live'!BD43-'check-Jul25'!BD43)</f>
        <v/>
      </c>
      <c r="BE43" t="str">
        <f>IF('1. Live'!BE43='check-Jul25'!BE43,"",'1. Live'!BE43-'check-Jul25'!BE43)</f>
        <v/>
      </c>
      <c r="BF43" t="str">
        <f>IF('1. Live'!BF43='check-Jul25'!BF43,"",'1. Live'!BF43-'check-Jul25'!BF43)</f>
        <v/>
      </c>
      <c r="BG43" t="str">
        <f>IF('1. Live'!BG43='check-Jul25'!BG43,"",'1. Live'!BG43-'check-Jul25'!BG43)</f>
        <v/>
      </c>
      <c r="BH43" t="str">
        <f>IF('1. Live'!BH43='check-Jul25'!BH43,"",'1. Live'!BH43-'check-Jul25'!BH43)</f>
        <v/>
      </c>
      <c r="BI43" t="str">
        <f>IF('1. Live'!BI43='check-Jul25'!BI43,"",'1. Live'!BI43-'check-Jul25'!BI43)</f>
        <v/>
      </c>
      <c r="BJ43" t="str">
        <f>IF('1. Live'!BJ43='check-Jul25'!BJ43,"",'1. Live'!BJ43-'check-Jul25'!BJ43)</f>
        <v/>
      </c>
      <c r="BK43" t="str">
        <f>IF('1. Live'!BK43='check-Jul25'!BK43,"",'1. Live'!BK43-'check-Jul25'!BK43)</f>
        <v/>
      </c>
      <c r="BL43" t="str">
        <f>IF('1. Live'!BL43='check-Jul25'!BL43,"",'1. Live'!BL43-'check-Jul25'!BL43)</f>
        <v/>
      </c>
      <c r="BM43" t="str">
        <f>IF('1. Live'!BM43='check-Jul25'!BM43,"",'1. Live'!BM43-'check-Jul25'!BM43)</f>
        <v/>
      </c>
      <c r="BN43" t="str">
        <f>IF('1. Live'!BN43='check-Jul25'!BN43,"",'1. Live'!BN43-'check-Jul25'!BN43)</f>
        <v/>
      </c>
      <c r="BO43" t="str">
        <f>IF('1. Live'!BO43='check-Jul25'!BO43,"",'1. Live'!BO43-'check-Jul25'!BO43)</f>
        <v/>
      </c>
      <c r="BP43" t="str">
        <f>IF('1. Live'!BP43='check-Jul25'!BP43,"",'1. Live'!BP43-'check-Jul25'!BP43)</f>
        <v/>
      </c>
      <c r="BQ43" t="str">
        <f>IF('1. Live'!BQ43='check-Jul25'!BQ43,"",'1. Live'!BQ43-'check-Jul25'!BQ43)</f>
        <v/>
      </c>
      <c r="BR43" t="str">
        <f>IF('1. Live'!BR43='check-Jul25'!BR43,"",'1. Live'!BR43-'check-Jul25'!BR43)</f>
        <v/>
      </c>
      <c r="BS43" t="str">
        <f>IF('1. Live'!BS43='check-Jul25'!BS43,"",'1. Live'!BS43-'check-Jul25'!BS43)</f>
        <v/>
      </c>
      <c r="BT43" t="str">
        <f>IF('1. Live'!BT43='check-Jul25'!BT43,"",'1. Live'!BT43-'check-Jul25'!BT43)</f>
        <v/>
      </c>
      <c r="BU43" t="str">
        <f>IF('1. Live'!BU43='check-Jul25'!BU43,"",'1. Live'!BU43-'check-Jul25'!BU43)</f>
        <v/>
      </c>
      <c r="BV43" t="str">
        <f>IF('1. Live'!BV43='check-Jul25'!BV43,"",'1. Live'!BV43-'check-Jul25'!BV43)</f>
        <v/>
      </c>
      <c r="BW43" t="str">
        <f>IF('1. Live'!BW43='check-Jul25'!BW43,"",'1. Live'!BW43-'check-Jul25'!BW43)</f>
        <v/>
      </c>
      <c r="BX43" t="str">
        <f>IF('1. Live'!BX43='check-Jul25'!BX43,"",'1. Live'!BX43-'check-Jul25'!BX43)</f>
        <v/>
      </c>
      <c r="BY43" t="str">
        <f>IF('1. Live'!BY43='check-Jul25'!BY43,"",'1. Live'!BY43-'check-Jul25'!BY43)</f>
        <v/>
      </c>
      <c r="BZ43" t="str">
        <f>IF('1. Live'!BZ43='check-Jul25'!BZ43,"",'1. Live'!BZ43-'check-Jul25'!BZ43)</f>
        <v/>
      </c>
      <c r="CA43" t="str">
        <f>IF('1. Live'!CA43='check-Jul25'!CA43,"",'1. Live'!CA43-'check-Jul25'!CA43)</f>
        <v/>
      </c>
      <c r="CB43" t="str">
        <f>IF('1. Live'!CB43='check-Jul25'!CB43,"",'1. Live'!CB43-'check-Jul25'!CB43)</f>
        <v/>
      </c>
      <c r="CC43" t="str">
        <f>IF('1. Live'!CC43='check-Jul25'!CC43,"",'1. Live'!CC43-'check-Jul25'!CC43)</f>
        <v/>
      </c>
      <c r="CD43" t="str">
        <f>IF('1. Live'!CD43='check-Jul25'!CD43,"",'1. Live'!CD43-'check-Jul25'!CD43)</f>
        <v/>
      </c>
      <c r="CE43" t="str">
        <f>IF('1. Live'!CE43='check-Jul25'!CE43,"",'1. Live'!CE43-'check-Jul25'!CE43)</f>
        <v/>
      </c>
      <c r="CF43" t="str">
        <f>IF('1. Live'!CF43='check-Jul25'!CF43,"",'1. Live'!CF43-'check-Jul25'!CF43)</f>
        <v/>
      </c>
      <c r="CG43" t="str">
        <f>IF('1. Live'!CG43='check-Jul25'!CG43,"",'1. Live'!CG43-'check-Jul25'!CG43)</f>
        <v/>
      </c>
      <c r="CH43" t="str">
        <f>IF('1. Live'!CH43='check-Jul25'!CH43,"",'1. Live'!CH43-'check-Jul25'!CH43)</f>
        <v/>
      </c>
      <c r="CI43" t="str">
        <f>IF('1. Live'!CI43='check-Jul25'!CI43,"",'1. Live'!CI43-'check-Jul25'!CI43)</f>
        <v/>
      </c>
      <c r="CJ43" t="str">
        <f>IF('1. Live'!CJ43='check-Jul25'!CJ43,"",'1. Live'!CJ43-'check-Jul25'!CJ43)</f>
        <v/>
      </c>
      <c r="CK43" t="str">
        <f>IF('1. Live'!CK43='check-Jul25'!CK43,"",'1. Live'!CK43-'check-Jul25'!CK43)</f>
        <v/>
      </c>
      <c r="CL43" t="str">
        <f>IF('1. Live'!CL43='check-Jul25'!CL43,"",'1. Live'!CL43-'check-Jul25'!CL43)</f>
        <v/>
      </c>
      <c r="CM43" t="str">
        <f>IF('1. Live'!CM43='check-Jul25'!CM43,"",'1. Live'!CM43-'check-Jul25'!CM43)</f>
        <v/>
      </c>
      <c r="CN43" t="str">
        <f>IF('1. Live'!CN43='check-Jul25'!CN43,"",'1. Live'!CN43-'check-Jul25'!CN43)</f>
        <v/>
      </c>
      <c r="CO43" t="str">
        <f>IF('1. Live'!CO43='check-Jul25'!CO43,"",'1. Live'!CO43-'check-Jul25'!CO43)</f>
        <v/>
      </c>
      <c r="CP43" t="str">
        <f>IF('1. Live'!CP43='check-Jul25'!CP43,"",'1. Live'!CP43-'check-Jul25'!CP43)</f>
        <v/>
      </c>
      <c r="CQ43" t="str">
        <f>IF('1. Live'!CQ43='check-Jul25'!CQ43,"",'1. Live'!CQ43-'check-Jul25'!CQ43)</f>
        <v/>
      </c>
      <c r="CR43" t="str">
        <f>IF('1. Live'!CR43='check-Jul25'!CR43,"",'1. Live'!CR43-'check-Jul25'!CR43)</f>
        <v/>
      </c>
      <c r="CS43" t="str">
        <f>IF('1. Live'!CS43='check-Jul25'!CS43,"",'1. Live'!CS43-'check-Jul25'!CS43)</f>
        <v/>
      </c>
      <c r="CT43" t="str">
        <f>IF('1. Live'!CT43='check-Jul25'!CT43,"",'1. Live'!CT43-'check-Jul25'!CT43)</f>
        <v/>
      </c>
      <c r="CU43" t="str">
        <f>IF('1. Live'!CU43='check-Jul25'!CU43,"",'1. Live'!CU43-'check-Jul25'!CU43)</f>
        <v/>
      </c>
      <c r="CV43" t="str">
        <f>IF('1. Live'!CV43='check-Jul25'!CV43,"",'1. Live'!CV43-'check-Jul25'!CV43)</f>
        <v/>
      </c>
      <c r="CW43" t="str">
        <f>IF('1. Live'!CW43='check-Jul25'!CW43,"",'1. Live'!CW43-'check-Jul25'!CW43)</f>
        <v/>
      </c>
    </row>
    <row r="44" spans="2:101">
      <c r="B44" s="66"/>
      <c r="C44" s="5"/>
      <c r="D44" s="13"/>
      <c r="E44" s="7"/>
      <c r="F44" s="7"/>
      <c r="G44" s="7"/>
      <c r="H44" s="14"/>
      <c r="I44" s="14"/>
      <c r="J44" s="170" t="str">
        <f>IF('1. Live'!J44='check-Jul25'!J44,"",'1. Live'!J44-'check-Jul25'!J44)</f>
        <v/>
      </c>
      <c r="K44" s="24" t="str">
        <f>IF('1. Live'!K44='check-Jul25'!K44,"",'1. Live'!K44-'check-Jul25'!K44)</f>
        <v/>
      </c>
      <c r="L44" s="24" t="str">
        <f>IF('1. Live'!L44='check-Jul25'!L44,"",'1. Live'!L44-'check-Jul25'!L44)</f>
        <v/>
      </c>
      <c r="M44" s="24" t="str">
        <f>IF('1. Live'!M44='check-Jul25'!M44,"",'1. Live'!M44-'check-Jul25'!M44)</f>
        <v/>
      </c>
      <c r="N44" s="24" t="str">
        <f>IF('1. Live'!N44='check-Jul25'!N44,"",'1. Live'!N44-'check-Jul25'!N44)</f>
        <v/>
      </c>
      <c r="O44" s="24" t="str">
        <f>IF('1. Live'!O44='check-Jul25'!O44,"",'1. Live'!O44-'check-Jul25'!O44)</f>
        <v/>
      </c>
      <c r="P44" s="24" t="str">
        <f>IF('1. Live'!P44='check-Jul25'!P44,"",'1. Live'!P44-'check-Jul25'!P44)</f>
        <v/>
      </c>
      <c r="Q44" s="24" t="str">
        <f>IF('1. Live'!Q44='check-Jul25'!Q44,"",'1. Live'!Q44-'check-Jul25'!Q44)</f>
        <v/>
      </c>
      <c r="R44" s="15" t="str">
        <f>IF('1. Live'!R44='check-Jul25'!R44,"",'1. Live'!R44-'check-Jul25'!R44)</f>
        <v/>
      </c>
      <c r="S44" s="7" t="str">
        <f>IF('1. Live'!S44='check-Jul25'!S44,"",'1. Live'!S44-'check-Jul25'!S44)</f>
        <v/>
      </c>
      <c r="T44" s="67" t="str">
        <f>IF('1. Live'!T44='check-Jul25'!T44,"",'1. Live'!T44-'check-Jul25'!T44)</f>
        <v/>
      </c>
      <c r="U44" t="str">
        <f>IF('1. Live'!U44='check-Jul25'!U44,"",'1. Live'!U44-'check-Jul25'!U44)</f>
        <v/>
      </c>
      <c r="V44" t="str">
        <f>IF('1. Live'!V44='check-Jul25'!V44,"",'1. Live'!V44-'check-Jul25'!V44)</f>
        <v/>
      </c>
      <c r="W44" t="str">
        <f>IF('1. Live'!W44='check-Jul25'!W44,"",'1. Live'!W44-'check-Jul25'!W44)</f>
        <v/>
      </c>
      <c r="X44" t="str">
        <f>IF('1. Live'!X44='check-Jul25'!X44,"",'1. Live'!X44-'check-Jul25'!X44)</f>
        <v/>
      </c>
      <c r="Y44" t="str">
        <f>IF('1. Live'!Y44='check-Jul25'!Y44,"",'1. Live'!Y44-'check-Jul25'!Y44)</f>
        <v/>
      </c>
      <c r="Z44" t="str">
        <f>IF('1. Live'!Z44='check-Jul25'!Z44,"",'1. Live'!Z44-'check-Jul25'!Z44)</f>
        <v/>
      </c>
      <c r="AA44" t="str">
        <f>IF('1. Live'!AA44='check-Jul25'!AA44,"",'1. Live'!AA44-'check-Jul25'!AA44)</f>
        <v/>
      </c>
      <c r="AB44" t="str">
        <f>IF('1. Live'!AB44='check-Jul25'!AB44,"",'1. Live'!AB44-'check-Jul25'!AB44)</f>
        <v/>
      </c>
      <c r="AC44" t="str">
        <f>IF('1. Live'!AC44='check-Jul25'!AC44,"",'1. Live'!AC44-'check-Jul25'!AC44)</f>
        <v/>
      </c>
      <c r="AD44" t="str">
        <f>IF('1. Live'!AD44='check-Jul25'!AD44,"",'1. Live'!AD44-'check-Jul25'!AD44)</f>
        <v/>
      </c>
      <c r="AE44" t="str">
        <f>IF('1. Live'!AE44='check-Jul25'!AE44,"",'1. Live'!AE44-'check-Jul25'!AE44)</f>
        <v/>
      </c>
      <c r="AF44" t="str">
        <f>IF('1. Live'!AF44='check-Jul25'!AF44,"",'1. Live'!AF44-'check-Jul25'!AF44)</f>
        <v/>
      </c>
      <c r="AG44" t="str">
        <f>IF('1. Live'!AG44='check-Jul25'!AG44,"",'1. Live'!AG44-'check-Jul25'!AG44)</f>
        <v/>
      </c>
      <c r="AH44" t="str">
        <f>IF('1. Live'!AH44='check-Jul25'!AH44,"",'1. Live'!AH44-'check-Jul25'!AH44)</f>
        <v/>
      </c>
      <c r="AI44" t="str">
        <f>IF('1. Live'!AI44='check-Jul25'!AI44,"",'1. Live'!AI44-'check-Jul25'!AI44)</f>
        <v/>
      </c>
      <c r="AJ44" t="str">
        <f>IF('1. Live'!AJ44='check-Jul25'!AJ44,"",'1. Live'!AJ44-'check-Jul25'!AJ44)</f>
        <v/>
      </c>
      <c r="AK44" t="str">
        <f>IF('1. Live'!AK44='check-Jul25'!AK44,"",'1. Live'!AK44-'check-Jul25'!AK44)</f>
        <v/>
      </c>
      <c r="AL44" t="str">
        <f>IF('1. Live'!AL44='check-Jul25'!AL44,"",'1. Live'!AL44-'check-Jul25'!AL44)</f>
        <v/>
      </c>
      <c r="AM44" t="str">
        <f>IF('1. Live'!AM44='check-Jul25'!AM44,"",'1. Live'!AM44-'check-Jul25'!AM44)</f>
        <v/>
      </c>
      <c r="AN44" t="str">
        <f>IF('1. Live'!AN44='check-Jul25'!AN44,"",'1. Live'!AN44-'check-Jul25'!AN44)</f>
        <v/>
      </c>
      <c r="AO44" t="str">
        <f>IF('1. Live'!AO44='check-Jul25'!AO44,"",'1. Live'!AO44-'check-Jul25'!AO44)</f>
        <v/>
      </c>
      <c r="AP44" t="str">
        <f>IF('1. Live'!AP44='check-Jul25'!AP44,"",'1. Live'!AP44-'check-Jul25'!AP44)</f>
        <v/>
      </c>
      <c r="AQ44" t="str">
        <f>IF('1. Live'!AQ44='check-Jul25'!AQ44,"",'1. Live'!AQ44-'check-Jul25'!AQ44)</f>
        <v/>
      </c>
      <c r="AR44" t="str">
        <f>IF('1. Live'!AR44='check-Jul25'!AR44,"",'1. Live'!AR44-'check-Jul25'!AR44)</f>
        <v/>
      </c>
      <c r="AS44" t="str">
        <f>IF('1. Live'!AS44='check-Jul25'!AS44,"",'1. Live'!AS44-'check-Jul25'!AS44)</f>
        <v/>
      </c>
      <c r="AT44" t="str">
        <f>IF('1. Live'!AT44='check-Jul25'!AT44,"",'1. Live'!AT44-'check-Jul25'!AT44)</f>
        <v/>
      </c>
      <c r="AU44" t="str">
        <f>IF('1. Live'!AU44='check-Jul25'!AU44,"",'1. Live'!AU44-'check-Jul25'!AU44)</f>
        <v/>
      </c>
      <c r="AV44" t="str">
        <f>IF('1. Live'!AV44='check-Jul25'!AV44,"",'1. Live'!AV44-'check-Jul25'!AV44)</f>
        <v/>
      </c>
      <c r="AW44" t="str">
        <f>IF('1. Live'!AW44='check-Jul25'!AW44,"",'1. Live'!AW44-'check-Jul25'!AW44)</f>
        <v/>
      </c>
      <c r="AX44" t="str">
        <f>IF('1. Live'!AX44='check-Jul25'!AX44,"",'1. Live'!AX44-'check-Jul25'!AX44)</f>
        <v/>
      </c>
      <c r="AY44" t="str">
        <f>IF('1. Live'!AY44='check-Jul25'!AY44,"",'1. Live'!AY44-'check-Jul25'!AY44)</f>
        <v/>
      </c>
      <c r="AZ44" t="str">
        <f>IF('1. Live'!AZ44='check-Jul25'!AZ44,"",'1. Live'!AZ44-'check-Jul25'!AZ44)</f>
        <v/>
      </c>
      <c r="BA44" t="str">
        <f>IF('1. Live'!BA44='check-Jul25'!BA44,"",'1. Live'!BA44-'check-Jul25'!BA44)</f>
        <v/>
      </c>
      <c r="BB44" t="str">
        <f>IF('1. Live'!BB44='check-Jul25'!BB44,"",'1. Live'!BB44-'check-Jul25'!BB44)</f>
        <v/>
      </c>
      <c r="BC44" t="str">
        <f>IF('1. Live'!BC44='check-Jul25'!BC44,"",'1. Live'!BC44-'check-Jul25'!BC44)</f>
        <v/>
      </c>
      <c r="BD44" t="str">
        <f>IF('1. Live'!BD44='check-Jul25'!BD44,"",'1. Live'!BD44-'check-Jul25'!BD44)</f>
        <v/>
      </c>
      <c r="BE44" t="str">
        <f>IF('1. Live'!BE44='check-Jul25'!BE44,"",'1. Live'!BE44-'check-Jul25'!BE44)</f>
        <v/>
      </c>
      <c r="BF44" t="str">
        <f>IF('1. Live'!BF44='check-Jul25'!BF44,"",'1. Live'!BF44-'check-Jul25'!BF44)</f>
        <v/>
      </c>
      <c r="BG44" t="str">
        <f>IF('1. Live'!BG44='check-Jul25'!BG44,"",'1. Live'!BG44-'check-Jul25'!BG44)</f>
        <v/>
      </c>
      <c r="BH44" t="str">
        <f>IF('1. Live'!BH44='check-Jul25'!BH44,"",'1. Live'!BH44-'check-Jul25'!BH44)</f>
        <v/>
      </c>
      <c r="BI44" t="str">
        <f>IF('1. Live'!BI44='check-Jul25'!BI44,"",'1. Live'!BI44-'check-Jul25'!BI44)</f>
        <v/>
      </c>
      <c r="BJ44" t="str">
        <f>IF('1. Live'!BJ44='check-Jul25'!BJ44,"",'1. Live'!BJ44-'check-Jul25'!BJ44)</f>
        <v/>
      </c>
      <c r="BK44" t="str">
        <f>IF('1. Live'!BK44='check-Jul25'!BK44,"",'1. Live'!BK44-'check-Jul25'!BK44)</f>
        <v/>
      </c>
      <c r="BL44" t="str">
        <f>IF('1. Live'!BL44='check-Jul25'!BL44,"",'1. Live'!BL44-'check-Jul25'!BL44)</f>
        <v/>
      </c>
      <c r="BM44" t="str">
        <f>IF('1. Live'!BM44='check-Jul25'!BM44,"",'1. Live'!BM44-'check-Jul25'!BM44)</f>
        <v/>
      </c>
      <c r="BN44" t="str">
        <f>IF('1. Live'!BN44='check-Jul25'!BN44,"",'1. Live'!BN44-'check-Jul25'!BN44)</f>
        <v/>
      </c>
      <c r="BO44" t="str">
        <f>IF('1. Live'!BO44='check-Jul25'!BO44,"",'1. Live'!BO44-'check-Jul25'!BO44)</f>
        <v/>
      </c>
      <c r="BP44" t="str">
        <f>IF('1. Live'!BP44='check-Jul25'!BP44,"",'1. Live'!BP44-'check-Jul25'!BP44)</f>
        <v/>
      </c>
      <c r="BQ44" t="str">
        <f>IF('1. Live'!BQ44='check-Jul25'!BQ44,"",'1. Live'!BQ44-'check-Jul25'!BQ44)</f>
        <v/>
      </c>
      <c r="BR44" t="str">
        <f>IF('1. Live'!BR44='check-Jul25'!BR44,"",'1. Live'!BR44-'check-Jul25'!BR44)</f>
        <v/>
      </c>
      <c r="BS44" t="str">
        <f>IF('1. Live'!BS44='check-Jul25'!BS44,"",'1. Live'!BS44-'check-Jul25'!BS44)</f>
        <v/>
      </c>
      <c r="BT44" t="str">
        <f>IF('1. Live'!BT44='check-Jul25'!BT44,"",'1. Live'!BT44-'check-Jul25'!BT44)</f>
        <v/>
      </c>
      <c r="BU44" t="str">
        <f>IF('1. Live'!BU44='check-Jul25'!BU44,"",'1. Live'!BU44-'check-Jul25'!BU44)</f>
        <v/>
      </c>
      <c r="BV44" t="str">
        <f>IF('1. Live'!BV44='check-Jul25'!BV44,"",'1. Live'!BV44-'check-Jul25'!BV44)</f>
        <v/>
      </c>
      <c r="BW44" t="str">
        <f>IF('1. Live'!BW44='check-Jul25'!BW44,"",'1. Live'!BW44-'check-Jul25'!BW44)</f>
        <v/>
      </c>
      <c r="BX44" t="str">
        <f>IF('1. Live'!BX44='check-Jul25'!BX44,"",'1. Live'!BX44-'check-Jul25'!BX44)</f>
        <v/>
      </c>
      <c r="BY44" t="str">
        <f>IF('1. Live'!BY44='check-Jul25'!BY44,"",'1. Live'!BY44-'check-Jul25'!BY44)</f>
        <v/>
      </c>
      <c r="BZ44" t="str">
        <f>IF('1. Live'!BZ44='check-Jul25'!BZ44,"",'1. Live'!BZ44-'check-Jul25'!BZ44)</f>
        <v/>
      </c>
      <c r="CA44" t="str">
        <f>IF('1. Live'!CA44='check-Jul25'!CA44,"",'1. Live'!CA44-'check-Jul25'!CA44)</f>
        <v/>
      </c>
      <c r="CB44" t="str">
        <f>IF('1. Live'!CB44='check-Jul25'!CB44,"",'1. Live'!CB44-'check-Jul25'!CB44)</f>
        <v/>
      </c>
      <c r="CC44" t="str">
        <f>IF('1. Live'!CC44='check-Jul25'!CC44,"",'1. Live'!CC44-'check-Jul25'!CC44)</f>
        <v/>
      </c>
      <c r="CD44" t="str">
        <f>IF('1. Live'!CD44='check-Jul25'!CD44,"",'1. Live'!CD44-'check-Jul25'!CD44)</f>
        <v/>
      </c>
      <c r="CE44" t="str">
        <f>IF('1. Live'!CE44='check-Jul25'!CE44,"",'1. Live'!CE44-'check-Jul25'!CE44)</f>
        <v/>
      </c>
      <c r="CF44" t="str">
        <f>IF('1. Live'!CF44='check-Jul25'!CF44,"",'1. Live'!CF44-'check-Jul25'!CF44)</f>
        <v/>
      </c>
      <c r="CG44" t="str">
        <f>IF('1. Live'!CG44='check-Jul25'!CG44,"",'1. Live'!CG44-'check-Jul25'!CG44)</f>
        <v/>
      </c>
      <c r="CH44" t="str">
        <f>IF('1. Live'!CH44='check-Jul25'!CH44,"",'1. Live'!CH44-'check-Jul25'!CH44)</f>
        <v/>
      </c>
      <c r="CI44" t="str">
        <f>IF('1. Live'!CI44='check-Jul25'!CI44,"",'1. Live'!CI44-'check-Jul25'!CI44)</f>
        <v/>
      </c>
      <c r="CJ44" t="str">
        <f>IF('1. Live'!CJ44='check-Jul25'!CJ44,"",'1. Live'!CJ44-'check-Jul25'!CJ44)</f>
        <v/>
      </c>
      <c r="CK44" t="str">
        <f>IF('1. Live'!CK44='check-Jul25'!CK44,"",'1. Live'!CK44-'check-Jul25'!CK44)</f>
        <v/>
      </c>
      <c r="CL44" t="str">
        <f>IF('1. Live'!CL44='check-Jul25'!CL44,"",'1. Live'!CL44-'check-Jul25'!CL44)</f>
        <v/>
      </c>
      <c r="CM44" t="str">
        <f>IF('1. Live'!CM44='check-Jul25'!CM44,"",'1. Live'!CM44-'check-Jul25'!CM44)</f>
        <v/>
      </c>
      <c r="CN44" t="str">
        <f>IF('1. Live'!CN44='check-Jul25'!CN44,"",'1. Live'!CN44-'check-Jul25'!CN44)</f>
        <v/>
      </c>
      <c r="CO44" t="str">
        <f>IF('1. Live'!CO44='check-Jul25'!CO44,"",'1. Live'!CO44-'check-Jul25'!CO44)</f>
        <v/>
      </c>
      <c r="CP44" t="str">
        <f>IF('1. Live'!CP44='check-Jul25'!CP44,"",'1. Live'!CP44-'check-Jul25'!CP44)</f>
        <v/>
      </c>
      <c r="CQ44" t="str">
        <f>IF('1. Live'!CQ44='check-Jul25'!CQ44,"",'1. Live'!CQ44-'check-Jul25'!CQ44)</f>
        <v/>
      </c>
      <c r="CR44" t="str">
        <f>IF('1. Live'!CR44='check-Jul25'!CR44,"",'1. Live'!CR44-'check-Jul25'!CR44)</f>
        <v/>
      </c>
      <c r="CS44" t="str">
        <f>IF('1. Live'!CS44='check-Jul25'!CS44,"",'1. Live'!CS44-'check-Jul25'!CS44)</f>
        <v/>
      </c>
      <c r="CT44" t="str">
        <f>IF('1. Live'!CT44='check-Jul25'!CT44,"",'1. Live'!CT44-'check-Jul25'!CT44)</f>
        <v/>
      </c>
      <c r="CU44" t="str">
        <f>IF('1. Live'!CU44='check-Jul25'!CU44,"",'1. Live'!CU44-'check-Jul25'!CU44)</f>
        <v/>
      </c>
      <c r="CV44" t="str">
        <f>IF('1. Live'!CV44='check-Jul25'!CV44,"",'1. Live'!CV44-'check-Jul25'!CV44)</f>
        <v/>
      </c>
      <c r="CW44" t="str">
        <f>IF('1. Live'!CW44='check-Jul25'!CW44,"",'1. Live'!CW44-'check-Jul25'!CW44)</f>
        <v/>
      </c>
    </row>
    <row r="45" spans="2:101">
      <c r="B45" s="68"/>
      <c r="C45" s="9"/>
      <c r="D45" s="9"/>
      <c r="E45" s="9"/>
      <c r="F45" s="9"/>
      <c r="G45" s="9"/>
      <c r="H45" s="9"/>
      <c r="I45" s="9"/>
      <c r="J45" s="93" t="str">
        <f>IF('1. Live'!J45='check-Jul25'!J45,"",'1. Live'!J45-'check-Jul25'!J45)</f>
        <v/>
      </c>
      <c r="K45" s="18" t="str">
        <f ca="1">IF('1. Live'!K45='check-Jul25'!K45,"",'1. Live'!K45-'check-Jul25'!K45)</f>
        <v/>
      </c>
      <c r="L45" s="18" t="str">
        <f ca="1">IF('1. Live'!L45='check-Jul25'!L45,"",'1. Live'!L45-'check-Jul25'!L45)</f>
        <v/>
      </c>
      <c r="M45" s="18" t="str">
        <f ca="1">IF('1. Live'!M45='check-Jul25'!M45,"",'1. Live'!M45-'check-Jul25'!M45)</f>
        <v/>
      </c>
      <c r="N45" s="18" t="str">
        <f ca="1">IF('1. Live'!N45='check-Jul25'!N45,"",'1. Live'!N45-'check-Jul25'!N45)</f>
        <v/>
      </c>
      <c r="O45" s="18" t="str">
        <f ca="1">IF('1. Live'!O45='check-Jul25'!O45,"",'1. Live'!O45-'check-Jul25'!O45)</f>
        <v/>
      </c>
      <c r="P45" s="18" t="str">
        <f ca="1">IF('1. Live'!P45='check-Jul25'!P45,"",'1. Live'!P45-'check-Jul25'!P45)</f>
        <v/>
      </c>
      <c r="Q45" s="18" t="str">
        <f>IF('1. Live'!Q45='check-Jul25'!Q45,"",'1. Live'!Q45-'check-Jul25'!Q45)</f>
        <v/>
      </c>
      <c r="R45" s="11" t="str">
        <f ca="1">IF('1. Live'!R45='check-Jul25'!R45,"",'1. Live'!R45-'check-Jul25'!R45)</f>
        <v/>
      </c>
      <c r="S45" s="9" t="str">
        <f>IF('1. Live'!S45='check-Jul25'!S45,"",'1. Live'!S45-'check-Jul25'!S45)</f>
        <v/>
      </c>
      <c r="T45" s="69" t="str">
        <f>IF('1. Live'!T45='check-Jul25'!T45,"",'1. Live'!T45-'check-Jul25'!T45)</f>
        <v/>
      </c>
      <c r="U45" t="str">
        <f>IF('1. Live'!U45='check-Jul25'!U45,"",'1. Live'!U45-'check-Jul25'!U45)</f>
        <v/>
      </c>
      <c r="V45" t="str">
        <f>IF('1. Live'!V45='check-Jul25'!V45,"",'1. Live'!V45-'check-Jul25'!V45)</f>
        <v/>
      </c>
      <c r="W45" t="str">
        <f>IF('1. Live'!W45='check-Jul25'!W45,"",'1. Live'!W45-'check-Jul25'!W45)</f>
        <v/>
      </c>
      <c r="X45" t="str">
        <f>IF('1. Live'!X45='check-Jul25'!X45,"",'1. Live'!X45-'check-Jul25'!X45)</f>
        <v/>
      </c>
      <c r="Y45" t="str">
        <f>IF('1. Live'!Y45='check-Jul25'!Y45,"",'1. Live'!Y45-'check-Jul25'!Y45)</f>
        <v/>
      </c>
      <c r="Z45" t="str">
        <f>IF('1. Live'!Z45='check-Jul25'!Z45,"",'1. Live'!Z45-'check-Jul25'!Z45)</f>
        <v/>
      </c>
      <c r="AA45" t="str">
        <f>IF('1. Live'!AA45='check-Jul25'!AA45,"",'1. Live'!AA45-'check-Jul25'!AA45)</f>
        <v/>
      </c>
      <c r="AB45" t="str">
        <f>IF('1. Live'!AB45='check-Jul25'!AB45,"",'1. Live'!AB45-'check-Jul25'!AB45)</f>
        <v/>
      </c>
      <c r="AC45" t="str">
        <f>IF('1. Live'!AC45='check-Jul25'!AC45,"",'1. Live'!AC45-'check-Jul25'!AC45)</f>
        <v/>
      </c>
      <c r="AD45" t="str">
        <f>IF('1. Live'!AD45='check-Jul25'!AD45,"",'1. Live'!AD45-'check-Jul25'!AD45)</f>
        <v/>
      </c>
      <c r="AE45" t="str">
        <f>IF('1. Live'!AE45='check-Jul25'!AE45,"",'1. Live'!AE45-'check-Jul25'!AE45)</f>
        <v/>
      </c>
      <c r="AF45" t="str">
        <f>IF('1. Live'!AF45='check-Jul25'!AF45,"",'1. Live'!AF45-'check-Jul25'!AF45)</f>
        <v/>
      </c>
      <c r="AG45" t="str">
        <f>IF('1. Live'!AG45='check-Jul25'!AG45,"",'1. Live'!AG45-'check-Jul25'!AG45)</f>
        <v/>
      </c>
      <c r="AH45" t="str">
        <f>IF('1. Live'!AH45='check-Jul25'!AH45,"",'1. Live'!AH45-'check-Jul25'!AH45)</f>
        <v/>
      </c>
      <c r="AI45" t="str">
        <f>IF('1. Live'!AI45='check-Jul25'!AI45,"",'1. Live'!AI45-'check-Jul25'!AI45)</f>
        <v/>
      </c>
      <c r="AJ45" t="str">
        <f>IF('1. Live'!AJ45='check-Jul25'!AJ45,"",'1. Live'!AJ45-'check-Jul25'!AJ45)</f>
        <v/>
      </c>
      <c r="AK45" t="str">
        <f>IF('1. Live'!AK45='check-Jul25'!AK45,"",'1. Live'!AK45-'check-Jul25'!AK45)</f>
        <v/>
      </c>
      <c r="AL45" t="str">
        <f>IF('1. Live'!AL45='check-Jul25'!AL45,"",'1. Live'!AL45-'check-Jul25'!AL45)</f>
        <v/>
      </c>
      <c r="AM45" t="str">
        <f>IF('1. Live'!AM45='check-Jul25'!AM45,"",'1. Live'!AM45-'check-Jul25'!AM45)</f>
        <v/>
      </c>
      <c r="AN45" t="str">
        <f>IF('1. Live'!AN45='check-Jul25'!AN45,"",'1. Live'!AN45-'check-Jul25'!AN45)</f>
        <v/>
      </c>
      <c r="AO45" t="str">
        <f>IF('1. Live'!AO45='check-Jul25'!AO45,"",'1. Live'!AO45-'check-Jul25'!AO45)</f>
        <v/>
      </c>
      <c r="AP45" t="str">
        <f>IF('1. Live'!AP45='check-Jul25'!AP45,"",'1. Live'!AP45-'check-Jul25'!AP45)</f>
        <v/>
      </c>
      <c r="AQ45" t="str">
        <f>IF('1. Live'!AQ45='check-Jul25'!AQ45,"",'1. Live'!AQ45-'check-Jul25'!AQ45)</f>
        <v/>
      </c>
      <c r="AR45" t="str">
        <f>IF('1. Live'!AR45='check-Jul25'!AR45,"",'1. Live'!AR45-'check-Jul25'!AR45)</f>
        <v/>
      </c>
      <c r="AS45" t="str">
        <f>IF('1. Live'!AS45='check-Jul25'!AS45,"",'1. Live'!AS45-'check-Jul25'!AS45)</f>
        <v/>
      </c>
      <c r="AT45" t="str">
        <f>IF('1. Live'!AT45='check-Jul25'!AT45,"",'1. Live'!AT45-'check-Jul25'!AT45)</f>
        <v/>
      </c>
      <c r="AU45" t="str">
        <f>IF('1. Live'!AU45='check-Jul25'!AU45,"",'1. Live'!AU45-'check-Jul25'!AU45)</f>
        <v/>
      </c>
      <c r="AV45" t="str">
        <f>IF('1. Live'!AV45='check-Jul25'!AV45,"",'1. Live'!AV45-'check-Jul25'!AV45)</f>
        <v/>
      </c>
      <c r="AW45" t="str">
        <f>IF('1. Live'!AW45='check-Jul25'!AW45,"",'1. Live'!AW45-'check-Jul25'!AW45)</f>
        <v/>
      </c>
      <c r="AX45" t="str">
        <f>IF('1. Live'!AX45='check-Jul25'!AX45,"",'1. Live'!AX45-'check-Jul25'!AX45)</f>
        <v/>
      </c>
      <c r="AY45" t="str">
        <f>IF('1. Live'!AY45='check-Jul25'!AY45,"",'1. Live'!AY45-'check-Jul25'!AY45)</f>
        <v/>
      </c>
      <c r="AZ45" t="str">
        <f>IF('1. Live'!AZ45='check-Jul25'!AZ45,"",'1. Live'!AZ45-'check-Jul25'!AZ45)</f>
        <v/>
      </c>
      <c r="BA45" t="str">
        <f>IF('1. Live'!BA45='check-Jul25'!BA45,"",'1. Live'!BA45-'check-Jul25'!BA45)</f>
        <v/>
      </c>
      <c r="BB45" t="str">
        <f>IF('1. Live'!BB45='check-Jul25'!BB45,"",'1. Live'!BB45-'check-Jul25'!BB45)</f>
        <v/>
      </c>
      <c r="BC45" t="str">
        <f>IF('1. Live'!BC45='check-Jul25'!BC45,"",'1. Live'!BC45-'check-Jul25'!BC45)</f>
        <v/>
      </c>
      <c r="BD45" t="str">
        <f>IF('1. Live'!BD45='check-Jul25'!BD45,"",'1. Live'!BD45-'check-Jul25'!BD45)</f>
        <v/>
      </c>
      <c r="BE45" t="str">
        <f>IF('1. Live'!BE45='check-Jul25'!BE45,"",'1. Live'!BE45-'check-Jul25'!BE45)</f>
        <v/>
      </c>
      <c r="BF45" t="str">
        <f>IF('1. Live'!BF45='check-Jul25'!BF45,"",'1. Live'!BF45-'check-Jul25'!BF45)</f>
        <v/>
      </c>
      <c r="BG45" t="str">
        <f>IF('1. Live'!BG45='check-Jul25'!BG45,"",'1. Live'!BG45-'check-Jul25'!BG45)</f>
        <v/>
      </c>
      <c r="BH45" t="str">
        <f>IF('1. Live'!BH45='check-Jul25'!BH45,"",'1. Live'!BH45-'check-Jul25'!BH45)</f>
        <v/>
      </c>
      <c r="BI45" t="str">
        <f>IF('1. Live'!BI45='check-Jul25'!BI45,"",'1. Live'!BI45-'check-Jul25'!BI45)</f>
        <v/>
      </c>
      <c r="BJ45" t="str">
        <f>IF('1. Live'!BJ45='check-Jul25'!BJ45,"",'1. Live'!BJ45-'check-Jul25'!BJ45)</f>
        <v/>
      </c>
      <c r="BK45" t="str">
        <f>IF('1. Live'!BK45='check-Jul25'!BK45,"",'1. Live'!BK45-'check-Jul25'!BK45)</f>
        <v/>
      </c>
      <c r="BL45" t="str">
        <f>IF('1. Live'!BL45='check-Jul25'!BL45,"",'1. Live'!BL45-'check-Jul25'!BL45)</f>
        <v/>
      </c>
      <c r="BM45" t="str">
        <f>IF('1. Live'!BM45='check-Jul25'!BM45,"",'1. Live'!BM45-'check-Jul25'!BM45)</f>
        <v/>
      </c>
      <c r="BN45" t="str">
        <f>IF('1. Live'!BN45='check-Jul25'!BN45,"",'1. Live'!BN45-'check-Jul25'!BN45)</f>
        <v/>
      </c>
      <c r="BO45" t="str">
        <f>IF('1. Live'!BO45='check-Jul25'!BO45,"",'1. Live'!BO45-'check-Jul25'!BO45)</f>
        <v/>
      </c>
      <c r="BP45" t="str">
        <f>IF('1. Live'!BP45='check-Jul25'!BP45,"",'1. Live'!BP45-'check-Jul25'!BP45)</f>
        <v/>
      </c>
      <c r="BQ45" t="str">
        <f>IF('1. Live'!BQ45='check-Jul25'!BQ45,"",'1. Live'!BQ45-'check-Jul25'!BQ45)</f>
        <v/>
      </c>
      <c r="BR45" t="str">
        <f>IF('1. Live'!BR45='check-Jul25'!BR45,"",'1. Live'!BR45-'check-Jul25'!BR45)</f>
        <v/>
      </c>
      <c r="BS45" t="str">
        <f>IF('1. Live'!BS45='check-Jul25'!BS45,"",'1. Live'!BS45-'check-Jul25'!BS45)</f>
        <v/>
      </c>
      <c r="BT45" t="str">
        <f>IF('1. Live'!BT45='check-Jul25'!BT45,"",'1. Live'!BT45-'check-Jul25'!BT45)</f>
        <v/>
      </c>
      <c r="BU45" t="str">
        <f>IF('1. Live'!BU45='check-Jul25'!BU45,"",'1. Live'!BU45-'check-Jul25'!BU45)</f>
        <v/>
      </c>
      <c r="BV45" t="str">
        <f>IF('1. Live'!BV45='check-Jul25'!BV45,"",'1. Live'!BV45-'check-Jul25'!BV45)</f>
        <v/>
      </c>
      <c r="BW45" t="str">
        <f>IF('1. Live'!BW45='check-Jul25'!BW45,"",'1. Live'!BW45-'check-Jul25'!BW45)</f>
        <v/>
      </c>
      <c r="BX45" t="str">
        <f>IF('1. Live'!BX45='check-Jul25'!BX45,"",'1. Live'!BX45-'check-Jul25'!BX45)</f>
        <v/>
      </c>
      <c r="BY45" t="str">
        <f>IF('1. Live'!BY45='check-Jul25'!BY45,"",'1. Live'!BY45-'check-Jul25'!BY45)</f>
        <v/>
      </c>
      <c r="BZ45" t="str">
        <f>IF('1. Live'!BZ45='check-Jul25'!BZ45,"",'1. Live'!BZ45-'check-Jul25'!BZ45)</f>
        <v/>
      </c>
      <c r="CA45" t="str">
        <f>IF('1. Live'!CA45='check-Jul25'!CA45,"",'1. Live'!CA45-'check-Jul25'!CA45)</f>
        <v/>
      </c>
      <c r="CB45" t="str">
        <f>IF('1. Live'!CB45='check-Jul25'!CB45,"",'1. Live'!CB45-'check-Jul25'!CB45)</f>
        <v/>
      </c>
      <c r="CC45" t="str">
        <f>IF('1. Live'!CC45='check-Jul25'!CC45,"",'1. Live'!CC45-'check-Jul25'!CC45)</f>
        <v/>
      </c>
      <c r="CD45" t="str">
        <f>IF('1. Live'!CD45='check-Jul25'!CD45,"",'1. Live'!CD45-'check-Jul25'!CD45)</f>
        <v/>
      </c>
      <c r="CE45" t="str">
        <f>IF('1. Live'!CE45='check-Jul25'!CE45,"",'1. Live'!CE45-'check-Jul25'!CE45)</f>
        <v/>
      </c>
      <c r="CF45" t="str">
        <f>IF('1. Live'!CF45='check-Jul25'!CF45,"",'1. Live'!CF45-'check-Jul25'!CF45)</f>
        <v/>
      </c>
      <c r="CG45" t="str">
        <f>IF('1. Live'!CG45='check-Jul25'!CG45,"",'1. Live'!CG45-'check-Jul25'!CG45)</f>
        <v/>
      </c>
      <c r="CH45" t="str">
        <f>IF('1. Live'!CH45='check-Jul25'!CH45,"",'1. Live'!CH45-'check-Jul25'!CH45)</f>
        <v/>
      </c>
      <c r="CI45" t="str">
        <f>IF('1. Live'!CI45='check-Jul25'!CI45,"",'1. Live'!CI45-'check-Jul25'!CI45)</f>
        <v/>
      </c>
      <c r="CJ45" t="str">
        <f>IF('1. Live'!CJ45='check-Jul25'!CJ45,"",'1. Live'!CJ45-'check-Jul25'!CJ45)</f>
        <v/>
      </c>
      <c r="CK45" t="str">
        <f>IF('1. Live'!CK45='check-Jul25'!CK45,"",'1. Live'!CK45-'check-Jul25'!CK45)</f>
        <v/>
      </c>
      <c r="CL45" t="str">
        <f>IF('1. Live'!CL45='check-Jul25'!CL45,"",'1. Live'!CL45-'check-Jul25'!CL45)</f>
        <v/>
      </c>
      <c r="CM45" t="str">
        <f>IF('1. Live'!CM45='check-Jul25'!CM45,"",'1. Live'!CM45-'check-Jul25'!CM45)</f>
        <v/>
      </c>
      <c r="CN45" t="str">
        <f>IF('1. Live'!CN45='check-Jul25'!CN45,"",'1. Live'!CN45-'check-Jul25'!CN45)</f>
        <v/>
      </c>
      <c r="CO45" t="str">
        <f>IF('1. Live'!CO45='check-Jul25'!CO45,"",'1. Live'!CO45-'check-Jul25'!CO45)</f>
        <v/>
      </c>
      <c r="CP45" t="str">
        <f>IF('1. Live'!CP45='check-Jul25'!CP45,"",'1. Live'!CP45-'check-Jul25'!CP45)</f>
        <v/>
      </c>
      <c r="CQ45" t="str">
        <f>IF('1. Live'!CQ45='check-Jul25'!CQ45,"",'1. Live'!CQ45-'check-Jul25'!CQ45)</f>
        <v/>
      </c>
      <c r="CR45" t="str">
        <f>IF('1. Live'!CR45='check-Jul25'!CR45,"",'1. Live'!CR45-'check-Jul25'!CR45)</f>
        <v/>
      </c>
      <c r="CS45" t="str">
        <f>IF('1. Live'!CS45='check-Jul25'!CS45,"",'1. Live'!CS45-'check-Jul25'!CS45)</f>
        <v/>
      </c>
      <c r="CT45" t="str">
        <f>IF('1. Live'!CT45='check-Jul25'!CT45,"",'1. Live'!CT45-'check-Jul25'!CT45)</f>
        <v/>
      </c>
      <c r="CU45" t="str">
        <f>IF('1. Live'!CU45='check-Jul25'!CU45,"",'1. Live'!CU45-'check-Jul25'!CU45)</f>
        <v/>
      </c>
      <c r="CV45" t="str">
        <f>IF('1. Live'!CV45='check-Jul25'!CV45,"",'1. Live'!CV45-'check-Jul25'!CV45)</f>
        <v/>
      </c>
      <c r="CW45" t="str">
        <f>IF('1. Live'!CW45='check-Jul25'!CW45,"",'1. Live'!CW45-'check-Jul25'!CW45)</f>
        <v/>
      </c>
    </row>
    <row r="46" spans="2:101">
      <c r="B46" s="68"/>
      <c r="C46" s="145"/>
      <c r="D46" s="145"/>
      <c r="E46" s="145"/>
      <c r="F46" s="145"/>
      <c r="G46" s="145"/>
      <c r="H46" s="145"/>
      <c r="I46" s="145"/>
      <c r="J46" s="92" t="str">
        <f>IF('1. Live'!J46='check-Jul25'!J46,"",'1. Live'!J46-'check-Jul25'!J46)</f>
        <v/>
      </c>
      <c r="K46" s="146" t="str">
        <f>IF('1. Live'!K46='check-Jul25'!K46,"",'1. Live'!K46-'check-Jul25'!K46)</f>
        <v/>
      </c>
      <c r="L46" s="146" t="str">
        <f>IF('1. Live'!L46='check-Jul25'!L46,"",'1. Live'!L46-'check-Jul25'!L46)</f>
        <v/>
      </c>
      <c r="M46" s="146" t="str">
        <f>IF('1. Live'!M46='check-Jul25'!M46,"",'1. Live'!M46-'check-Jul25'!M46)</f>
        <v/>
      </c>
      <c r="N46" s="146" t="str">
        <f>IF('1. Live'!N46='check-Jul25'!N46,"",'1. Live'!N46-'check-Jul25'!N46)</f>
        <v/>
      </c>
      <c r="O46" s="146" t="str">
        <f>IF('1. Live'!O46='check-Jul25'!O46,"",'1. Live'!O46-'check-Jul25'!O46)</f>
        <v/>
      </c>
      <c r="P46" s="146" t="str">
        <f>IF('1. Live'!P46='check-Jul25'!P46,"",'1. Live'!P46-'check-Jul25'!P46)</f>
        <v/>
      </c>
      <c r="Q46" s="146" t="str">
        <f>IF('1. Live'!Q46='check-Jul25'!Q46,"",'1. Live'!Q46-'check-Jul25'!Q46)</f>
        <v/>
      </c>
      <c r="R46" s="147" t="str">
        <f>IF('1. Live'!R46='check-Jul25'!R46,"",'1. Live'!R46-'check-Jul25'!R46)</f>
        <v/>
      </c>
      <c r="S46" s="145" t="str">
        <f>IF('1. Live'!S46='check-Jul25'!S46,"",'1. Live'!S46-'check-Jul25'!S46)</f>
        <v/>
      </c>
      <c r="T46" s="69" t="str">
        <f>IF('1. Live'!T46='check-Jul25'!T46,"",'1. Live'!T46-'check-Jul25'!T46)</f>
        <v/>
      </c>
      <c r="U46" t="str">
        <f>IF('1. Live'!U46='check-Jul25'!U46,"",'1. Live'!U46-'check-Jul25'!U46)</f>
        <v/>
      </c>
      <c r="V46" t="str">
        <f>IF('1. Live'!V46='check-Jul25'!V46,"",'1. Live'!V46-'check-Jul25'!V46)</f>
        <v/>
      </c>
      <c r="W46" t="str">
        <f>IF('1. Live'!W46='check-Jul25'!W46,"",'1. Live'!W46-'check-Jul25'!W46)</f>
        <v/>
      </c>
      <c r="X46" t="str">
        <f>IF('1. Live'!X46='check-Jul25'!X46,"",'1. Live'!X46-'check-Jul25'!X46)</f>
        <v/>
      </c>
      <c r="Y46" t="str">
        <f>IF('1. Live'!Y46='check-Jul25'!Y46,"",'1. Live'!Y46-'check-Jul25'!Y46)</f>
        <v/>
      </c>
      <c r="Z46" t="str">
        <f>IF('1. Live'!Z46='check-Jul25'!Z46,"",'1. Live'!Z46-'check-Jul25'!Z46)</f>
        <v/>
      </c>
      <c r="AA46" t="str">
        <f>IF('1. Live'!AA46='check-Jul25'!AA46,"",'1. Live'!AA46-'check-Jul25'!AA46)</f>
        <v/>
      </c>
      <c r="AB46" t="str">
        <f>IF('1. Live'!AB46='check-Jul25'!AB46,"",'1. Live'!AB46-'check-Jul25'!AB46)</f>
        <v/>
      </c>
      <c r="AC46" t="str">
        <f>IF('1. Live'!AC46='check-Jul25'!AC46,"",'1. Live'!AC46-'check-Jul25'!AC46)</f>
        <v/>
      </c>
      <c r="AD46" t="str">
        <f>IF('1. Live'!AD46='check-Jul25'!AD46,"",'1. Live'!AD46-'check-Jul25'!AD46)</f>
        <v/>
      </c>
      <c r="AE46" t="str">
        <f>IF('1. Live'!AE46='check-Jul25'!AE46,"",'1. Live'!AE46-'check-Jul25'!AE46)</f>
        <v/>
      </c>
      <c r="AF46" t="str">
        <f>IF('1. Live'!AF46='check-Jul25'!AF46,"",'1. Live'!AF46-'check-Jul25'!AF46)</f>
        <v/>
      </c>
      <c r="AG46" t="str">
        <f>IF('1. Live'!AG46='check-Jul25'!AG46,"",'1. Live'!AG46-'check-Jul25'!AG46)</f>
        <v/>
      </c>
      <c r="AH46" t="str">
        <f>IF('1. Live'!AH46='check-Jul25'!AH46,"",'1. Live'!AH46-'check-Jul25'!AH46)</f>
        <v/>
      </c>
      <c r="AI46" t="str">
        <f>IF('1. Live'!AI46='check-Jul25'!AI46,"",'1. Live'!AI46-'check-Jul25'!AI46)</f>
        <v/>
      </c>
      <c r="AJ46" t="str">
        <f>IF('1. Live'!AJ46='check-Jul25'!AJ46,"",'1. Live'!AJ46-'check-Jul25'!AJ46)</f>
        <v/>
      </c>
      <c r="AK46" t="str">
        <f>IF('1. Live'!AK46='check-Jul25'!AK46,"",'1. Live'!AK46-'check-Jul25'!AK46)</f>
        <v/>
      </c>
      <c r="AL46" t="str">
        <f>IF('1. Live'!AL46='check-Jul25'!AL46,"",'1. Live'!AL46-'check-Jul25'!AL46)</f>
        <v/>
      </c>
      <c r="AM46" t="str">
        <f>IF('1. Live'!AM46='check-Jul25'!AM46,"",'1. Live'!AM46-'check-Jul25'!AM46)</f>
        <v/>
      </c>
      <c r="AN46" t="str">
        <f>IF('1. Live'!AN46='check-Jul25'!AN46,"",'1. Live'!AN46-'check-Jul25'!AN46)</f>
        <v/>
      </c>
      <c r="AO46" t="str">
        <f>IF('1. Live'!AO46='check-Jul25'!AO46,"",'1. Live'!AO46-'check-Jul25'!AO46)</f>
        <v/>
      </c>
      <c r="AP46" t="str">
        <f>IF('1. Live'!AP46='check-Jul25'!AP46,"",'1. Live'!AP46-'check-Jul25'!AP46)</f>
        <v/>
      </c>
      <c r="AQ46" t="str">
        <f>IF('1. Live'!AQ46='check-Jul25'!AQ46,"",'1. Live'!AQ46-'check-Jul25'!AQ46)</f>
        <v/>
      </c>
      <c r="AR46" t="str">
        <f>IF('1. Live'!AR46='check-Jul25'!AR46,"",'1. Live'!AR46-'check-Jul25'!AR46)</f>
        <v/>
      </c>
      <c r="AS46" t="str">
        <f>IF('1. Live'!AS46='check-Jul25'!AS46,"",'1. Live'!AS46-'check-Jul25'!AS46)</f>
        <v/>
      </c>
      <c r="AT46" t="str">
        <f>IF('1. Live'!AT46='check-Jul25'!AT46,"",'1. Live'!AT46-'check-Jul25'!AT46)</f>
        <v/>
      </c>
      <c r="AU46" t="str">
        <f>IF('1. Live'!AU46='check-Jul25'!AU46,"",'1. Live'!AU46-'check-Jul25'!AU46)</f>
        <v/>
      </c>
      <c r="AV46" t="str">
        <f>IF('1. Live'!AV46='check-Jul25'!AV46,"",'1. Live'!AV46-'check-Jul25'!AV46)</f>
        <v/>
      </c>
      <c r="AW46" t="str">
        <f>IF('1. Live'!AW46='check-Jul25'!AW46,"",'1. Live'!AW46-'check-Jul25'!AW46)</f>
        <v/>
      </c>
      <c r="AX46" t="str">
        <f>IF('1. Live'!AX46='check-Jul25'!AX46,"",'1. Live'!AX46-'check-Jul25'!AX46)</f>
        <v/>
      </c>
      <c r="AY46" t="str">
        <f>IF('1. Live'!AY46='check-Jul25'!AY46,"",'1. Live'!AY46-'check-Jul25'!AY46)</f>
        <v/>
      </c>
      <c r="AZ46" t="str">
        <f>IF('1. Live'!AZ46='check-Jul25'!AZ46,"",'1. Live'!AZ46-'check-Jul25'!AZ46)</f>
        <v/>
      </c>
      <c r="BA46" t="str">
        <f>IF('1. Live'!BA46='check-Jul25'!BA46,"",'1. Live'!BA46-'check-Jul25'!BA46)</f>
        <v/>
      </c>
      <c r="BB46" t="str">
        <f>IF('1. Live'!BB46='check-Jul25'!BB46,"",'1. Live'!BB46-'check-Jul25'!BB46)</f>
        <v/>
      </c>
      <c r="BC46" t="str">
        <f>IF('1. Live'!BC46='check-Jul25'!BC46,"",'1. Live'!BC46-'check-Jul25'!BC46)</f>
        <v/>
      </c>
      <c r="BD46" t="str">
        <f>IF('1. Live'!BD46='check-Jul25'!BD46,"",'1. Live'!BD46-'check-Jul25'!BD46)</f>
        <v/>
      </c>
      <c r="BE46" t="str">
        <f>IF('1. Live'!BE46='check-Jul25'!BE46,"",'1. Live'!BE46-'check-Jul25'!BE46)</f>
        <v/>
      </c>
      <c r="BF46" t="str">
        <f>IF('1. Live'!BF46='check-Jul25'!BF46,"",'1. Live'!BF46-'check-Jul25'!BF46)</f>
        <v/>
      </c>
      <c r="BG46" t="str">
        <f>IF('1. Live'!BG46='check-Jul25'!BG46,"",'1. Live'!BG46-'check-Jul25'!BG46)</f>
        <v/>
      </c>
      <c r="BH46" t="str">
        <f>IF('1. Live'!BH46='check-Jul25'!BH46,"",'1. Live'!BH46-'check-Jul25'!BH46)</f>
        <v/>
      </c>
      <c r="BI46" t="str">
        <f>IF('1. Live'!BI46='check-Jul25'!BI46,"",'1. Live'!BI46-'check-Jul25'!BI46)</f>
        <v/>
      </c>
      <c r="BJ46" t="str">
        <f>IF('1. Live'!BJ46='check-Jul25'!BJ46,"",'1. Live'!BJ46-'check-Jul25'!BJ46)</f>
        <v/>
      </c>
      <c r="BK46" t="str">
        <f>IF('1. Live'!BK46='check-Jul25'!BK46,"",'1. Live'!BK46-'check-Jul25'!BK46)</f>
        <v/>
      </c>
      <c r="BL46" t="str">
        <f>IF('1. Live'!BL46='check-Jul25'!BL46,"",'1. Live'!BL46-'check-Jul25'!BL46)</f>
        <v/>
      </c>
      <c r="BM46" t="str">
        <f>IF('1. Live'!BM46='check-Jul25'!BM46,"",'1. Live'!BM46-'check-Jul25'!BM46)</f>
        <v/>
      </c>
      <c r="BN46" t="str">
        <f>IF('1. Live'!BN46='check-Jul25'!BN46,"",'1. Live'!BN46-'check-Jul25'!BN46)</f>
        <v/>
      </c>
      <c r="BO46" t="str">
        <f>IF('1. Live'!BO46='check-Jul25'!BO46,"",'1. Live'!BO46-'check-Jul25'!BO46)</f>
        <v/>
      </c>
      <c r="BP46" t="str">
        <f>IF('1. Live'!BP46='check-Jul25'!BP46,"",'1. Live'!BP46-'check-Jul25'!BP46)</f>
        <v/>
      </c>
      <c r="BQ46" t="str">
        <f>IF('1. Live'!BQ46='check-Jul25'!BQ46,"",'1. Live'!BQ46-'check-Jul25'!BQ46)</f>
        <v/>
      </c>
      <c r="BR46" t="str">
        <f>IF('1. Live'!BR46='check-Jul25'!BR46,"",'1. Live'!BR46-'check-Jul25'!BR46)</f>
        <v/>
      </c>
      <c r="BS46" t="str">
        <f>IF('1. Live'!BS46='check-Jul25'!BS46,"",'1. Live'!BS46-'check-Jul25'!BS46)</f>
        <v/>
      </c>
      <c r="BT46" t="str">
        <f>IF('1. Live'!BT46='check-Jul25'!BT46,"",'1. Live'!BT46-'check-Jul25'!BT46)</f>
        <v/>
      </c>
      <c r="BU46" t="str">
        <f>IF('1. Live'!BU46='check-Jul25'!BU46,"",'1. Live'!BU46-'check-Jul25'!BU46)</f>
        <v/>
      </c>
      <c r="BV46" t="str">
        <f>IF('1. Live'!BV46='check-Jul25'!BV46,"",'1. Live'!BV46-'check-Jul25'!BV46)</f>
        <v/>
      </c>
      <c r="BW46" t="str">
        <f>IF('1. Live'!BW46='check-Jul25'!BW46,"",'1. Live'!BW46-'check-Jul25'!BW46)</f>
        <v/>
      </c>
      <c r="BX46" t="str">
        <f>IF('1. Live'!BX46='check-Jul25'!BX46,"",'1. Live'!BX46-'check-Jul25'!BX46)</f>
        <v/>
      </c>
      <c r="BY46" t="str">
        <f>IF('1. Live'!BY46='check-Jul25'!BY46,"",'1. Live'!BY46-'check-Jul25'!BY46)</f>
        <v/>
      </c>
      <c r="BZ46" t="str">
        <f>IF('1. Live'!BZ46='check-Jul25'!BZ46,"",'1. Live'!BZ46-'check-Jul25'!BZ46)</f>
        <v/>
      </c>
      <c r="CA46" t="str">
        <f>IF('1. Live'!CA46='check-Jul25'!CA46,"",'1. Live'!CA46-'check-Jul25'!CA46)</f>
        <v/>
      </c>
      <c r="CB46" t="str">
        <f>IF('1. Live'!CB46='check-Jul25'!CB46,"",'1. Live'!CB46-'check-Jul25'!CB46)</f>
        <v/>
      </c>
      <c r="CC46" t="str">
        <f>IF('1. Live'!CC46='check-Jul25'!CC46,"",'1. Live'!CC46-'check-Jul25'!CC46)</f>
        <v/>
      </c>
      <c r="CD46" t="str">
        <f>IF('1. Live'!CD46='check-Jul25'!CD46,"",'1. Live'!CD46-'check-Jul25'!CD46)</f>
        <v/>
      </c>
      <c r="CE46" t="str">
        <f>IF('1. Live'!CE46='check-Jul25'!CE46,"",'1. Live'!CE46-'check-Jul25'!CE46)</f>
        <v/>
      </c>
      <c r="CF46" t="str">
        <f>IF('1. Live'!CF46='check-Jul25'!CF46,"",'1. Live'!CF46-'check-Jul25'!CF46)</f>
        <v/>
      </c>
      <c r="CG46" t="str">
        <f>IF('1. Live'!CG46='check-Jul25'!CG46,"",'1. Live'!CG46-'check-Jul25'!CG46)</f>
        <v/>
      </c>
      <c r="CH46" t="str">
        <f>IF('1. Live'!CH46='check-Jul25'!CH46,"",'1. Live'!CH46-'check-Jul25'!CH46)</f>
        <v/>
      </c>
      <c r="CI46" t="str">
        <f>IF('1. Live'!CI46='check-Jul25'!CI46,"",'1. Live'!CI46-'check-Jul25'!CI46)</f>
        <v/>
      </c>
      <c r="CJ46" t="str">
        <f>IF('1. Live'!CJ46='check-Jul25'!CJ46,"",'1. Live'!CJ46-'check-Jul25'!CJ46)</f>
        <v/>
      </c>
      <c r="CK46" t="str">
        <f>IF('1. Live'!CK46='check-Jul25'!CK46,"",'1. Live'!CK46-'check-Jul25'!CK46)</f>
        <v/>
      </c>
      <c r="CL46" t="str">
        <f>IF('1. Live'!CL46='check-Jul25'!CL46,"",'1. Live'!CL46-'check-Jul25'!CL46)</f>
        <v/>
      </c>
      <c r="CM46" t="str">
        <f>IF('1. Live'!CM46='check-Jul25'!CM46,"",'1. Live'!CM46-'check-Jul25'!CM46)</f>
        <v/>
      </c>
      <c r="CN46" t="str">
        <f>IF('1. Live'!CN46='check-Jul25'!CN46,"",'1. Live'!CN46-'check-Jul25'!CN46)</f>
        <v/>
      </c>
      <c r="CO46" t="str">
        <f>IF('1. Live'!CO46='check-Jul25'!CO46,"",'1. Live'!CO46-'check-Jul25'!CO46)</f>
        <v/>
      </c>
      <c r="CP46" t="str">
        <f>IF('1. Live'!CP46='check-Jul25'!CP46,"",'1. Live'!CP46-'check-Jul25'!CP46)</f>
        <v/>
      </c>
      <c r="CQ46" t="str">
        <f>IF('1. Live'!CQ46='check-Jul25'!CQ46,"",'1. Live'!CQ46-'check-Jul25'!CQ46)</f>
        <v/>
      </c>
      <c r="CR46" t="str">
        <f>IF('1. Live'!CR46='check-Jul25'!CR46,"",'1. Live'!CR46-'check-Jul25'!CR46)</f>
        <v/>
      </c>
      <c r="CS46" t="str">
        <f>IF('1. Live'!CS46='check-Jul25'!CS46,"",'1. Live'!CS46-'check-Jul25'!CS46)</f>
        <v/>
      </c>
      <c r="CT46" t="str">
        <f>IF('1. Live'!CT46='check-Jul25'!CT46,"",'1. Live'!CT46-'check-Jul25'!CT46)</f>
        <v/>
      </c>
      <c r="CU46" t="str">
        <f>IF('1. Live'!CU46='check-Jul25'!CU46,"",'1. Live'!CU46-'check-Jul25'!CU46)</f>
        <v/>
      </c>
      <c r="CV46" t="str">
        <f>IF('1. Live'!CV46='check-Jul25'!CV46,"",'1. Live'!CV46-'check-Jul25'!CV46)</f>
        <v/>
      </c>
      <c r="CW46" t="str">
        <f>IF('1. Live'!CW46='check-Jul25'!CW46,"",'1. Live'!CW46-'check-Jul25'!CW46)</f>
        <v/>
      </c>
    </row>
    <row r="47" spans="2:101">
      <c r="B47" s="68"/>
      <c r="C47" s="422" t="s">
        <v>804</v>
      </c>
      <c r="D47" s="334"/>
      <c r="E47" s="335"/>
      <c r="F47" s="335"/>
      <c r="G47" s="335"/>
      <c r="H47" s="335"/>
      <c r="I47" s="336"/>
      <c r="J47" s="337" t="str">
        <f>IF('1. Live'!J47='check-Jul25'!J47,"",'1. Live'!J47-'check-Jul25'!J47)</f>
        <v/>
      </c>
      <c r="K47" s="338" t="str">
        <f>IF('1. Live'!K47='check-Jul25'!K47,"",'1. Live'!K47-'check-Jul25'!K47)</f>
        <v/>
      </c>
      <c r="L47" s="338" t="str">
        <f>IF('1. Live'!L47='check-Jul25'!L47,"",'1. Live'!L47-'check-Jul25'!L47)</f>
        <v/>
      </c>
      <c r="M47" s="338" t="str">
        <f>IF('1. Live'!M47='check-Jul25'!M47,"",'1. Live'!M47-'check-Jul25'!M47)</f>
        <v/>
      </c>
      <c r="N47" s="338" t="str">
        <f>IF('1. Live'!N47='check-Jul25'!N47,"",'1. Live'!N47-'check-Jul25'!N47)</f>
        <v/>
      </c>
      <c r="O47" s="338" t="str">
        <f>IF('1. Live'!O47='check-Jul25'!O47,"",'1. Live'!O47-'check-Jul25'!O47)</f>
        <v/>
      </c>
      <c r="P47" s="338" t="str">
        <f>IF('1. Live'!P47='check-Jul25'!P47,"",'1. Live'!P47-'check-Jul25'!P47)</f>
        <v/>
      </c>
      <c r="Q47" s="338" t="str">
        <f>IF('1. Live'!Q47='check-Jul25'!Q47,"",'1. Live'!Q47-'check-Jul25'!Q47)</f>
        <v/>
      </c>
      <c r="R47" s="339" t="str">
        <f>IF('1. Live'!R47='check-Jul25'!R47,"",'1. Live'!R47-'check-Jul25'!R47)</f>
        <v/>
      </c>
      <c r="S47" s="335" t="str">
        <f>IF('1. Live'!S47='check-Jul25'!S47,"",'1. Live'!S47-'check-Jul25'!S47)</f>
        <v/>
      </c>
      <c r="T47" s="69" t="str">
        <f>IF('1. Live'!T47='check-Jul25'!T47,"",'1. Live'!T47-'check-Jul25'!T47)</f>
        <v/>
      </c>
      <c r="U47" t="str">
        <f>IF('1. Live'!U47='check-Jul25'!U47,"",'1. Live'!U47-'check-Jul25'!U47)</f>
        <v/>
      </c>
      <c r="V47" t="str">
        <f>IF('1. Live'!V47='check-Jul25'!V47,"",'1. Live'!V47-'check-Jul25'!V47)</f>
        <v/>
      </c>
      <c r="W47" t="str">
        <f>IF('1. Live'!W47='check-Jul25'!W47,"",'1. Live'!W47-'check-Jul25'!W47)</f>
        <v/>
      </c>
      <c r="X47" t="str">
        <f>IF('1. Live'!X47='check-Jul25'!X47,"",'1. Live'!X47-'check-Jul25'!X47)</f>
        <v/>
      </c>
      <c r="Y47" t="str">
        <f>IF('1. Live'!Y47='check-Jul25'!Y47,"",'1. Live'!Y47-'check-Jul25'!Y47)</f>
        <v/>
      </c>
      <c r="Z47" t="str">
        <f>IF('1. Live'!Z47='check-Jul25'!Z47,"",'1. Live'!Z47-'check-Jul25'!Z47)</f>
        <v/>
      </c>
      <c r="AA47" t="str">
        <f>IF('1. Live'!AA47='check-Jul25'!AA47,"",'1. Live'!AA47-'check-Jul25'!AA47)</f>
        <v/>
      </c>
      <c r="AB47" t="str">
        <f>IF('1. Live'!AB47='check-Jul25'!AB47,"",'1. Live'!AB47-'check-Jul25'!AB47)</f>
        <v/>
      </c>
      <c r="AC47" t="str">
        <f>IF('1. Live'!AC47='check-Jul25'!AC47,"",'1. Live'!AC47-'check-Jul25'!AC47)</f>
        <v/>
      </c>
      <c r="AD47" t="str">
        <f>IF('1. Live'!AD47='check-Jul25'!AD47,"",'1. Live'!AD47-'check-Jul25'!AD47)</f>
        <v/>
      </c>
      <c r="AE47" t="str">
        <f>IF('1. Live'!AE47='check-Jul25'!AE47,"",'1. Live'!AE47-'check-Jul25'!AE47)</f>
        <v/>
      </c>
      <c r="AF47" t="str">
        <f>IF('1. Live'!AF47='check-Jul25'!AF47,"",'1. Live'!AF47-'check-Jul25'!AF47)</f>
        <v/>
      </c>
      <c r="AG47" t="str">
        <f>IF('1. Live'!AG47='check-Jul25'!AG47,"",'1. Live'!AG47-'check-Jul25'!AG47)</f>
        <v/>
      </c>
      <c r="AH47" t="str">
        <f>IF('1. Live'!AH47='check-Jul25'!AH47,"",'1. Live'!AH47-'check-Jul25'!AH47)</f>
        <v/>
      </c>
      <c r="AI47" t="str">
        <f>IF('1. Live'!AI47='check-Jul25'!AI47,"",'1. Live'!AI47-'check-Jul25'!AI47)</f>
        <v/>
      </c>
      <c r="AJ47" t="str">
        <f>IF('1. Live'!AJ47='check-Jul25'!AJ47,"",'1. Live'!AJ47-'check-Jul25'!AJ47)</f>
        <v/>
      </c>
      <c r="AK47" t="str">
        <f>IF('1. Live'!AK47='check-Jul25'!AK47,"",'1. Live'!AK47-'check-Jul25'!AK47)</f>
        <v/>
      </c>
      <c r="AL47" t="str">
        <f>IF('1. Live'!AL47='check-Jul25'!AL47,"",'1. Live'!AL47-'check-Jul25'!AL47)</f>
        <v/>
      </c>
      <c r="AM47" t="str">
        <f>IF('1. Live'!AM47='check-Jul25'!AM47,"",'1. Live'!AM47-'check-Jul25'!AM47)</f>
        <v/>
      </c>
      <c r="AN47" t="str">
        <f>IF('1. Live'!AN47='check-Jul25'!AN47,"",'1. Live'!AN47-'check-Jul25'!AN47)</f>
        <v/>
      </c>
      <c r="AO47" t="str">
        <f>IF('1. Live'!AO47='check-Jul25'!AO47,"",'1. Live'!AO47-'check-Jul25'!AO47)</f>
        <v/>
      </c>
      <c r="AP47" t="str">
        <f>IF('1. Live'!AP47='check-Jul25'!AP47,"",'1. Live'!AP47-'check-Jul25'!AP47)</f>
        <v/>
      </c>
      <c r="AQ47" t="str">
        <f>IF('1. Live'!AQ47='check-Jul25'!AQ47,"",'1. Live'!AQ47-'check-Jul25'!AQ47)</f>
        <v/>
      </c>
      <c r="AR47" t="str">
        <f>IF('1. Live'!AR47='check-Jul25'!AR47,"",'1. Live'!AR47-'check-Jul25'!AR47)</f>
        <v/>
      </c>
      <c r="AS47" t="str">
        <f>IF('1. Live'!AS47='check-Jul25'!AS47,"",'1. Live'!AS47-'check-Jul25'!AS47)</f>
        <v/>
      </c>
      <c r="AT47" t="str">
        <f>IF('1. Live'!AT47='check-Jul25'!AT47,"",'1. Live'!AT47-'check-Jul25'!AT47)</f>
        <v/>
      </c>
      <c r="AU47" t="str">
        <f>IF('1. Live'!AU47='check-Jul25'!AU47,"",'1. Live'!AU47-'check-Jul25'!AU47)</f>
        <v/>
      </c>
      <c r="AV47" t="str">
        <f>IF('1. Live'!AV47='check-Jul25'!AV47,"",'1. Live'!AV47-'check-Jul25'!AV47)</f>
        <v/>
      </c>
      <c r="AW47" t="str">
        <f>IF('1. Live'!AW47='check-Jul25'!AW47,"",'1. Live'!AW47-'check-Jul25'!AW47)</f>
        <v/>
      </c>
      <c r="AX47" t="str">
        <f>IF('1. Live'!AX47='check-Jul25'!AX47,"",'1. Live'!AX47-'check-Jul25'!AX47)</f>
        <v/>
      </c>
      <c r="AY47" t="str">
        <f>IF('1. Live'!AY47='check-Jul25'!AY47,"",'1. Live'!AY47-'check-Jul25'!AY47)</f>
        <v/>
      </c>
      <c r="AZ47" t="str">
        <f>IF('1. Live'!AZ47='check-Jul25'!AZ47,"",'1. Live'!AZ47-'check-Jul25'!AZ47)</f>
        <v/>
      </c>
      <c r="BA47" t="str">
        <f>IF('1. Live'!BA47='check-Jul25'!BA47,"",'1. Live'!BA47-'check-Jul25'!BA47)</f>
        <v/>
      </c>
      <c r="BB47" t="str">
        <f>IF('1. Live'!BB47='check-Jul25'!BB47,"",'1. Live'!BB47-'check-Jul25'!BB47)</f>
        <v/>
      </c>
      <c r="BC47" t="str">
        <f>IF('1. Live'!BC47='check-Jul25'!BC47,"",'1. Live'!BC47-'check-Jul25'!BC47)</f>
        <v/>
      </c>
      <c r="BD47" t="str">
        <f>IF('1. Live'!BD47='check-Jul25'!BD47,"",'1. Live'!BD47-'check-Jul25'!BD47)</f>
        <v/>
      </c>
      <c r="BE47" t="str">
        <f>IF('1. Live'!BE47='check-Jul25'!BE47,"",'1. Live'!BE47-'check-Jul25'!BE47)</f>
        <v/>
      </c>
      <c r="BF47" t="str">
        <f>IF('1. Live'!BF47='check-Jul25'!BF47,"",'1. Live'!BF47-'check-Jul25'!BF47)</f>
        <v/>
      </c>
      <c r="BG47" t="str">
        <f>IF('1. Live'!BG47='check-Jul25'!BG47,"",'1. Live'!BG47-'check-Jul25'!BG47)</f>
        <v/>
      </c>
      <c r="BH47" t="str">
        <f>IF('1. Live'!BH47='check-Jul25'!BH47,"",'1. Live'!BH47-'check-Jul25'!BH47)</f>
        <v/>
      </c>
      <c r="BI47" t="str">
        <f>IF('1. Live'!BI47='check-Jul25'!BI47,"",'1. Live'!BI47-'check-Jul25'!BI47)</f>
        <v/>
      </c>
      <c r="BJ47" t="str">
        <f>IF('1. Live'!BJ47='check-Jul25'!BJ47,"",'1. Live'!BJ47-'check-Jul25'!BJ47)</f>
        <v/>
      </c>
      <c r="BK47" t="str">
        <f>IF('1. Live'!BK47='check-Jul25'!BK47,"",'1. Live'!BK47-'check-Jul25'!BK47)</f>
        <v/>
      </c>
      <c r="BL47" t="str">
        <f>IF('1. Live'!BL47='check-Jul25'!BL47,"",'1. Live'!BL47-'check-Jul25'!BL47)</f>
        <v/>
      </c>
      <c r="BM47" t="str">
        <f>IF('1. Live'!BM47='check-Jul25'!BM47,"",'1. Live'!BM47-'check-Jul25'!BM47)</f>
        <v/>
      </c>
      <c r="BN47" t="str">
        <f>IF('1. Live'!BN47='check-Jul25'!BN47,"",'1. Live'!BN47-'check-Jul25'!BN47)</f>
        <v/>
      </c>
      <c r="BO47" t="str">
        <f>IF('1. Live'!BO47='check-Jul25'!BO47,"",'1. Live'!BO47-'check-Jul25'!BO47)</f>
        <v/>
      </c>
      <c r="BP47" t="str">
        <f>IF('1. Live'!BP47='check-Jul25'!BP47,"",'1. Live'!BP47-'check-Jul25'!BP47)</f>
        <v/>
      </c>
      <c r="BQ47" t="str">
        <f>IF('1. Live'!BQ47='check-Jul25'!BQ47,"",'1. Live'!BQ47-'check-Jul25'!BQ47)</f>
        <v/>
      </c>
      <c r="BR47" t="str">
        <f>IF('1. Live'!BR47='check-Jul25'!BR47,"",'1. Live'!BR47-'check-Jul25'!BR47)</f>
        <v/>
      </c>
      <c r="BS47" t="str">
        <f>IF('1. Live'!BS47='check-Jul25'!BS47,"",'1. Live'!BS47-'check-Jul25'!BS47)</f>
        <v/>
      </c>
      <c r="BT47" t="str">
        <f>IF('1. Live'!BT47='check-Jul25'!BT47,"",'1. Live'!BT47-'check-Jul25'!BT47)</f>
        <v/>
      </c>
      <c r="BU47" t="str">
        <f>IF('1. Live'!BU47='check-Jul25'!BU47,"",'1. Live'!BU47-'check-Jul25'!BU47)</f>
        <v/>
      </c>
      <c r="BV47" t="str">
        <f>IF('1. Live'!BV47='check-Jul25'!BV47,"",'1. Live'!BV47-'check-Jul25'!BV47)</f>
        <v/>
      </c>
      <c r="BW47" t="str">
        <f>IF('1. Live'!BW47='check-Jul25'!BW47,"",'1. Live'!BW47-'check-Jul25'!BW47)</f>
        <v/>
      </c>
      <c r="BX47" t="str">
        <f>IF('1. Live'!BX47='check-Jul25'!BX47,"",'1. Live'!BX47-'check-Jul25'!BX47)</f>
        <v/>
      </c>
      <c r="BY47" t="str">
        <f>IF('1. Live'!BY47='check-Jul25'!BY47,"",'1. Live'!BY47-'check-Jul25'!BY47)</f>
        <v/>
      </c>
      <c r="BZ47" t="str">
        <f>IF('1. Live'!BZ47='check-Jul25'!BZ47,"",'1. Live'!BZ47-'check-Jul25'!BZ47)</f>
        <v/>
      </c>
      <c r="CA47" t="str">
        <f>IF('1. Live'!CA47='check-Jul25'!CA47,"",'1. Live'!CA47-'check-Jul25'!CA47)</f>
        <v/>
      </c>
      <c r="CB47" t="str">
        <f>IF('1. Live'!CB47='check-Jul25'!CB47,"",'1. Live'!CB47-'check-Jul25'!CB47)</f>
        <v/>
      </c>
      <c r="CC47" t="str">
        <f>IF('1. Live'!CC47='check-Jul25'!CC47,"",'1. Live'!CC47-'check-Jul25'!CC47)</f>
        <v/>
      </c>
      <c r="CD47" t="str">
        <f>IF('1. Live'!CD47='check-Jul25'!CD47,"",'1. Live'!CD47-'check-Jul25'!CD47)</f>
        <v/>
      </c>
      <c r="CE47" t="str">
        <f>IF('1. Live'!CE47='check-Jul25'!CE47,"",'1. Live'!CE47-'check-Jul25'!CE47)</f>
        <v/>
      </c>
      <c r="CF47" t="str">
        <f>IF('1. Live'!CF47='check-Jul25'!CF47,"",'1. Live'!CF47-'check-Jul25'!CF47)</f>
        <v/>
      </c>
      <c r="CG47" t="str">
        <f>IF('1. Live'!CG47='check-Jul25'!CG47,"",'1. Live'!CG47-'check-Jul25'!CG47)</f>
        <v/>
      </c>
      <c r="CH47" t="str">
        <f>IF('1. Live'!CH47='check-Jul25'!CH47,"",'1. Live'!CH47-'check-Jul25'!CH47)</f>
        <v/>
      </c>
      <c r="CI47" t="str">
        <f>IF('1. Live'!CI47='check-Jul25'!CI47,"",'1. Live'!CI47-'check-Jul25'!CI47)</f>
        <v/>
      </c>
      <c r="CJ47" t="str">
        <f>IF('1. Live'!CJ47='check-Jul25'!CJ47,"",'1. Live'!CJ47-'check-Jul25'!CJ47)</f>
        <v/>
      </c>
      <c r="CK47" t="str">
        <f>IF('1. Live'!CK47='check-Jul25'!CK47,"",'1. Live'!CK47-'check-Jul25'!CK47)</f>
        <v/>
      </c>
      <c r="CL47" t="str">
        <f>IF('1. Live'!CL47='check-Jul25'!CL47,"",'1. Live'!CL47-'check-Jul25'!CL47)</f>
        <v/>
      </c>
      <c r="CM47" t="str">
        <f>IF('1. Live'!CM47='check-Jul25'!CM47,"",'1. Live'!CM47-'check-Jul25'!CM47)</f>
        <v/>
      </c>
      <c r="CN47" t="str">
        <f>IF('1. Live'!CN47='check-Jul25'!CN47,"",'1. Live'!CN47-'check-Jul25'!CN47)</f>
        <v/>
      </c>
      <c r="CO47" t="str">
        <f>IF('1. Live'!CO47='check-Jul25'!CO47,"",'1. Live'!CO47-'check-Jul25'!CO47)</f>
        <v/>
      </c>
      <c r="CP47" t="str">
        <f>IF('1. Live'!CP47='check-Jul25'!CP47,"",'1. Live'!CP47-'check-Jul25'!CP47)</f>
        <v/>
      </c>
      <c r="CQ47" t="str">
        <f>IF('1. Live'!CQ47='check-Jul25'!CQ47,"",'1. Live'!CQ47-'check-Jul25'!CQ47)</f>
        <v/>
      </c>
      <c r="CR47" t="str">
        <f>IF('1. Live'!CR47='check-Jul25'!CR47,"",'1. Live'!CR47-'check-Jul25'!CR47)</f>
        <v/>
      </c>
      <c r="CS47" t="str">
        <f>IF('1. Live'!CS47='check-Jul25'!CS47,"",'1. Live'!CS47-'check-Jul25'!CS47)</f>
        <v/>
      </c>
      <c r="CT47" t="str">
        <f>IF('1. Live'!CT47='check-Jul25'!CT47,"",'1. Live'!CT47-'check-Jul25'!CT47)</f>
        <v/>
      </c>
      <c r="CU47" t="str">
        <f>IF('1. Live'!CU47='check-Jul25'!CU47,"",'1. Live'!CU47-'check-Jul25'!CU47)</f>
        <v/>
      </c>
      <c r="CV47" t="str">
        <f>IF('1. Live'!CV47='check-Jul25'!CV47,"",'1. Live'!CV47-'check-Jul25'!CV47)</f>
        <v/>
      </c>
      <c r="CW47" t="str">
        <f>IF('1. Live'!CW47='check-Jul25'!CW47,"",'1. Live'!CW47-'check-Jul25'!CW47)</f>
        <v/>
      </c>
    </row>
    <row r="48" spans="2:101">
      <c r="B48" s="68"/>
      <c r="C48" s="4" t="s">
        <v>694</v>
      </c>
      <c r="D48" s="32" t="s">
        <v>707</v>
      </c>
      <c r="E48" s="2" t="s">
        <v>77</v>
      </c>
      <c r="F48" s="2">
        <v>0</v>
      </c>
      <c r="G48" s="2" t="s">
        <v>692</v>
      </c>
      <c r="H48" s="6">
        <v>2024</v>
      </c>
      <c r="I48" s="6" t="s">
        <v>277</v>
      </c>
      <c r="J48" s="90">
        <f>IF('1. Live'!J48='check-Jul25'!J48,"",'1. Live'!J48-'check-Jul25'!J48)</f>
        <v>-3.0435164005054416E-2</v>
      </c>
      <c r="K48" s="17" t="str">
        <f>IF('1. Live'!K48='check-Jul25'!K48,"",'1. Live'!K48-'check-Jul25'!K48)</f>
        <v/>
      </c>
      <c r="L48" s="17">
        <f>IF('1. Live'!L48='check-Jul25'!L48,"",'1. Live'!L48-'check-Jul25'!L48)</f>
        <v>46.002084989999986</v>
      </c>
      <c r="M48" s="17">
        <f>IF('1. Live'!M48='check-Jul25'!M48,"",'1. Live'!M48-'check-Jul25'!M48)</f>
        <v>-46.002084990000071</v>
      </c>
      <c r="N48" s="17" t="str">
        <f>IF('1. Live'!N48='check-Jul25'!N48,"",'1. Live'!N48-'check-Jul25'!N48)</f>
        <v/>
      </c>
      <c r="O48" s="17">
        <f>IF('1. Live'!O48='check-Jul25'!O48,"",'1. Live'!O48-'check-Jul25'!O48)</f>
        <v>126.75813488026617</v>
      </c>
      <c r="P48" s="17">
        <f>IF('1. Live'!P48='check-Jul25'!P48,"",'1. Live'!P48-'check-Jul25'!P48)</f>
        <v>80.756049890266183</v>
      </c>
      <c r="Q48" s="17" t="str">
        <f>IF('1. Live'!Q48='check-Jul25'!Q48,"",'1. Live'!Q48-'check-Jul25'!Q48)</f>
        <v/>
      </c>
      <c r="R48" s="10">
        <f>IF('1. Live'!R48='check-Jul25'!R48,"",'1. Live'!R48-'check-Jul25'!R48)</f>
        <v>0.33720015914578605</v>
      </c>
      <c r="S48" s="87" t="str">
        <f>IF('1. Live'!S48='check-Jul25'!S48,"",'1. Live'!S48-'check-Jul25'!S48)</f>
        <v/>
      </c>
      <c r="T48" s="69" t="str">
        <f>IF('1. Live'!T48='check-Jul25'!T48,"",'1. Live'!T48-'check-Jul25'!T48)</f>
        <v/>
      </c>
      <c r="U48" t="str">
        <f>IF('1. Live'!U48='check-Jul25'!U48,"",'1. Live'!U48-'check-Jul25'!U48)</f>
        <v/>
      </c>
      <c r="V48" t="str">
        <f>IF('1. Live'!V48='check-Jul25'!V48,"",'1. Live'!V48-'check-Jul25'!V48)</f>
        <v/>
      </c>
      <c r="W48" t="str">
        <f>IF('1. Live'!W48='check-Jul25'!W48,"",'1. Live'!W48-'check-Jul25'!W48)</f>
        <v/>
      </c>
      <c r="X48" t="str">
        <f>IF('1. Live'!X48='check-Jul25'!X48,"",'1. Live'!X48-'check-Jul25'!X48)</f>
        <v/>
      </c>
      <c r="Y48" t="str">
        <f>IF('1. Live'!Y48='check-Jul25'!Y48,"",'1. Live'!Y48-'check-Jul25'!Y48)</f>
        <v/>
      </c>
      <c r="Z48" t="str">
        <f>IF('1. Live'!Z48='check-Jul25'!Z48,"",'1. Live'!Z48-'check-Jul25'!Z48)</f>
        <v/>
      </c>
      <c r="AA48" t="str">
        <f>IF('1. Live'!AA48='check-Jul25'!AA48,"",'1. Live'!AA48-'check-Jul25'!AA48)</f>
        <v/>
      </c>
      <c r="AB48" t="str">
        <f>IF('1. Live'!AB48='check-Jul25'!AB48,"",'1. Live'!AB48-'check-Jul25'!AB48)</f>
        <v/>
      </c>
      <c r="AC48" t="str">
        <f>IF('1. Live'!AC48='check-Jul25'!AC48,"",'1. Live'!AC48-'check-Jul25'!AC48)</f>
        <v/>
      </c>
      <c r="AD48" t="str">
        <f>IF('1. Live'!AD48='check-Jul25'!AD48,"",'1. Live'!AD48-'check-Jul25'!AD48)</f>
        <v/>
      </c>
      <c r="AE48" t="str">
        <f>IF('1. Live'!AE48='check-Jul25'!AE48,"",'1. Live'!AE48-'check-Jul25'!AE48)</f>
        <v/>
      </c>
      <c r="AF48" t="str">
        <f>IF('1. Live'!AF48='check-Jul25'!AF48,"",'1. Live'!AF48-'check-Jul25'!AF48)</f>
        <v/>
      </c>
      <c r="AG48" t="str">
        <f>IF('1. Live'!AG48='check-Jul25'!AG48,"",'1. Live'!AG48-'check-Jul25'!AG48)</f>
        <v/>
      </c>
      <c r="AH48" t="str">
        <f>IF('1. Live'!AH48='check-Jul25'!AH48,"",'1. Live'!AH48-'check-Jul25'!AH48)</f>
        <v/>
      </c>
      <c r="AI48" t="str">
        <f>IF('1. Live'!AI48='check-Jul25'!AI48,"",'1. Live'!AI48-'check-Jul25'!AI48)</f>
        <v/>
      </c>
      <c r="AJ48" t="str">
        <f>IF('1. Live'!AJ48='check-Jul25'!AJ48,"",'1. Live'!AJ48-'check-Jul25'!AJ48)</f>
        <v/>
      </c>
      <c r="AK48" t="str">
        <f>IF('1. Live'!AK48='check-Jul25'!AK48,"",'1. Live'!AK48-'check-Jul25'!AK48)</f>
        <v/>
      </c>
      <c r="AL48" t="str">
        <f>IF('1. Live'!AL48='check-Jul25'!AL48,"",'1. Live'!AL48-'check-Jul25'!AL48)</f>
        <v/>
      </c>
      <c r="AM48" t="str">
        <f>IF('1. Live'!AM48='check-Jul25'!AM48,"",'1. Live'!AM48-'check-Jul25'!AM48)</f>
        <v/>
      </c>
      <c r="AN48" t="str">
        <f>IF('1. Live'!AN48='check-Jul25'!AN48,"",'1. Live'!AN48-'check-Jul25'!AN48)</f>
        <v/>
      </c>
      <c r="AO48" t="str">
        <f>IF('1. Live'!AO48='check-Jul25'!AO48,"",'1. Live'!AO48-'check-Jul25'!AO48)</f>
        <v/>
      </c>
      <c r="AP48" t="str">
        <f>IF('1. Live'!AP48='check-Jul25'!AP48,"",'1. Live'!AP48-'check-Jul25'!AP48)</f>
        <v/>
      </c>
      <c r="AQ48" t="str">
        <f>IF('1. Live'!AQ48='check-Jul25'!AQ48,"",'1. Live'!AQ48-'check-Jul25'!AQ48)</f>
        <v/>
      </c>
      <c r="AR48" t="str">
        <f>IF('1. Live'!AR48='check-Jul25'!AR48,"",'1. Live'!AR48-'check-Jul25'!AR48)</f>
        <v/>
      </c>
      <c r="AS48" t="str">
        <f>IF('1. Live'!AS48='check-Jul25'!AS48,"",'1. Live'!AS48-'check-Jul25'!AS48)</f>
        <v/>
      </c>
      <c r="AT48" t="str">
        <f>IF('1. Live'!AT48='check-Jul25'!AT48,"",'1. Live'!AT48-'check-Jul25'!AT48)</f>
        <v/>
      </c>
      <c r="AU48" t="str">
        <f>IF('1. Live'!AU48='check-Jul25'!AU48,"",'1. Live'!AU48-'check-Jul25'!AU48)</f>
        <v/>
      </c>
      <c r="AV48" t="str">
        <f>IF('1. Live'!AV48='check-Jul25'!AV48,"",'1. Live'!AV48-'check-Jul25'!AV48)</f>
        <v/>
      </c>
      <c r="AW48" t="str">
        <f>IF('1. Live'!AW48='check-Jul25'!AW48,"",'1. Live'!AW48-'check-Jul25'!AW48)</f>
        <v/>
      </c>
      <c r="AX48" t="str">
        <f>IF('1. Live'!AX48='check-Jul25'!AX48,"",'1. Live'!AX48-'check-Jul25'!AX48)</f>
        <v/>
      </c>
      <c r="AY48" t="str">
        <f>IF('1. Live'!AY48='check-Jul25'!AY48,"",'1. Live'!AY48-'check-Jul25'!AY48)</f>
        <v/>
      </c>
      <c r="AZ48" t="str">
        <f>IF('1. Live'!AZ48='check-Jul25'!AZ48,"",'1. Live'!AZ48-'check-Jul25'!AZ48)</f>
        <v/>
      </c>
      <c r="BA48" t="str">
        <f>IF('1. Live'!BA48='check-Jul25'!BA48,"",'1. Live'!BA48-'check-Jul25'!BA48)</f>
        <v/>
      </c>
      <c r="BB48" t="str">
        <f>IF('1. Live'!BB48='check-Jul25'!BB48,"",'1. Live'!BB48-'check-Jul25'!BB48)</f>
        <v/>
      </c>
      <c r="BC48" t="str">
        <f>IF('1. Live'!BC48='check-Jul25'!BC48,"",'1. Live'!BC48-'check-Jul25'!BC48)</f>
        <v/>
      </c>
      <c r="BD48" t="str">
        <f>IF('1. Live'!BD48='check-Jul25'!BD48,"",'1. Live'!BD48-'check-Jul25'!BD48)</f>
        <v/>
      </c>
      <c r="BE48" t="str">
        <f>IF('1. Live'!BE48='check-Jul25'!BE48,"",'1. Live'!BE48-'check-Jul25'!BE48)</f>
        <v/>
      </c>
      <c r="BF48" t="str">
        <f>IF('1. Live'!BF48='check-Jul25'!BF48,"",'1. Live'!BF48-'check-Jul25'!BF48)</f>
        <v/>
      </c>
      <c r="BG48" t="str">
        <f>IF('1. Live'!BG48='check-Jul25'!BG48,"",'1. Live'!BG48-'check-Jul25'!BG48)</f>
        <v/>
      </c>
      <c r="BH48" t="str">
        <f>IF('1. Live'!BH48='check-Jul25'!BH48,"",'1. Live'!BH48-'check-Jul25'!BH48)</f>
        <v/>
      </c>
      <c r="BI48" t="str">
        <f>IF('1. Live'!BI48='check-Jul25'!BI48,"",'1. Live'!BI48-'check-Jul25'!BI48)</f>
        <v/>
      </c>
      <c r="BJ48" t="str">
        <f>IF('1. Live'!BJ48='check-Jul25'!BJ48,"",'1. Live'!BJ48-'check-Jul25'!BJ48)</f>
        <v/>
      </c>
      <c r="BK48" t="str">
        <f>IF('1. Live'!BK48='check-Jul25'!BK48,"",'1. Live'!BK48-'check-Jul25'!BK48)</f>
        <v/>
      </c>
      <c r="BL48" t="str">
        <f>IF('1. Live'!BL48='check-Jul25'!BL48,"",'1. Live'!BL48-'check-Jul25'!BL48)</f>
        <v/>
      </c>
      <c r="BM48" t="str">
        <f>IF('1. Live'!BM48='check-Jul25'!BM48,"",'1. Live'!BM48-'check-Jul25'!BM48)</f>
        <v/>
      </c>
      <c r="BN48" t="str">
        <f>IF('1. Live'!BN48='check-Jul25'!BN48,"",'1. Live'!BN48-'check-Jul25'!BN48)</f>
        <v/>
      </c>
      <c r="BO48" t="str">
        <f>IF('1. Live'!BO48='check-Jul25'!BO48,"",'1. Live'!BO48-'check-Jul25'!BO48)</f>
        <v/>
      </c>
      <c r="BP48" t="str">
        <f>IF('1. Live'!BP48='check-Jul25'!BP48,"",'1. Live'!BP48-'check-Jul25'!BP48)</f>
        <v/>
      </c>
      <c r="BQ48" t="str">
        <f>IF('1. Live'!BQ48='check-Jul25'!BQ48,"",'1. Live'!BQ48-'check-Jul25'!BQ48)</f>
        <v/>
      </c>
      <c r="BR48" t="str">
        <f>IF('1. Live'!BR48='check-Jul25'!BR48,"",'1. Live'!BR48-'check-Jul25'!BR48)</f>
        <v/>
      </c>
      <c r="BS48" t="str">
        <f>IF('1. Live'!BS48='check-Jul25'!BS48,"",'1. Live'!BS48-'check-Jul25'!BS48)</f>
        <v/>
      </c>
      <c r="BT48" t="str">
        <f>IF('1. Live'!BT48='check-Jul25'!BT48,"",'1. Live'!BT48-'check-Jul25'!BT48)</f>
        <v/>
      </c>
      <c r="BU48" t="str">
        <f>IF('1. Live'!BU48='check-Jul25'!BU48,"",'1. Live'!BU48-'check-Jul25'!BU48)</f>
        <v/>
      </c>
      <c r="BV48" t="str">
        <f>IF('1. Live'!BV48='check-Jul25'!BV48,"",'1. Live'!BV48-'check-Jul25'!BV48)</f>
        <v/>
      </c>
      <c r="BW48" t="str">
        <f>IF('1. Live'!BW48='check-Jul25'!BW48,"",'1. Live'!BW48-'check-Jul25'!BW48)</f>
        <v/>
      </c>
      <c r="BX48" t="str">
        <f>IF('1. Live'!BX48='check-Jul25'!BX48,"",'1. Live'!BX48-'check-Jul25'!BX48)</f>
        <v/>
      </c>
      <c r="BY48" t="str">
        <f>IF('1. Live'!BY48='check-Jul25'!BY48,"",'1. Live'!BY48-'check-Jul25'!BY48)</f>
        <v/>
      </c>
      <c r="BZ48" t="str">
        <f>IF('1. Live'!BZ48='check-Jul25'!BZ48,"",'1. Live'!BZ48-'check-Jul25'!BZ48)</f>
        <v/>
      </c>
      <c r="CA48" t="str">
        <f>IF('1. Live'!CA48='check-Jul25'!CA48,"",'1. Live'!CA48-'check-Jul25'!CA48)</f>
        <v/>
      </c>
      <c r="CB48" t="str">
        <f>IF('1. Live'!CB48='check-Jul25'!CB48,"",'1. Live'!CB48-'check-Jul25'!CB48)</f>
        <v/>
      </c>
      <c r="CC48" t="str">
        <f>IF('1. Live'!CC48='check-Jul25'!CC48,"",'1. Live'!CC48-'check-Jul25'!CC48)</f>
        <v/>
      </c>
      <c r="CD48" t="str">
        <f>IF('1. Live'!CD48='check-Jul25'!CD48,"",'1. Live'!CD48-'check-Jul25'!CD48)</f>
        <v/>
      </c>
      <c r="CE48" t="str">
        <f>IF('1. Live'!CE48='check-Jul25'!CE48,"",'1. Live'!CE48-'check-Jul25'!CE48)</f>
        <v/>
      </c>
      <c r="CF48" t="str">
        <f>IF('1. Live'!CF48='check-Jul25'!CF48,"",'1. Live'!CF48-'check-Jul25'!CF48)</f>
        <v/>
      </c>
      <c r="CG48" t="str">
        <f>IF('1. Live'!CG48='check-Jul25'!CG48,"",'1. Live'!CG48-'check-Jul25'!CG48)</f>
        <v/>
      </c>
      <c r="CH48" t="str">
        <f>IF('1. Live'!CH48='check-Jul25'!CH48,"",'1. Live'!CH48-'check-Jul25'!CH48)</f>
        <v/>
      </c>
      <c r="CI48" t="str">
        <f>IF('1. Live'!CI48='check-Jul25'!CI48,"",'1. Live'!CI48-'check-Jul25'!CI48)</f>
        <v/>
      </c>
      <c r="CJ48" t="str">
        <f>IF('1. Live'!CJ48='check-Jul25'!CJ48,"",'1. Live'!CJ48-'check-Jul25'!CJ48)</f>
        <v/>
      </c>
      <c r="CK48" t="str">
        <f>IF('1. Live'!CK48='check-Jul25'!CK48,"",'1. Live'!CK48-'check-Jul25'!CK48)</f>
        <v/>
      </c>
      <c r="CL48" t="str">
        <f>IF('1. Live'!CL48='check-Jul25'!CL48,"",'1. Live'!CL48-'check-Jul25'!CL48)</f>
        <v/>
      </c>
      <c r="CM48" t="str">
        <f>IF('1. Live'!CM48='check-Jul25'!CM48,"",'1. Live'!CM48-'check-Jul25'!CM48)</f>
        <v/>
      </c>
      <c r="CN48" t="str">
        <f>IF('1. Live'!CN48='check-Jul25'!CN48,"",'1. Live'!CN48-'check-Jul25'!CN48)</f>
        <v/>
      </c>
      <c r="CO48" t="str">
        <f>IF('1. Live'!CO48='check-Jul25'!CO48,"",'1. Live'!CO48-'check-Jul25'!CO48)</f>
        <v/>
      </c>
      <c r="CP48" t="str">
        <f>IF('1. Live'!CP48='check-Jul25'!CP48,"",'1. Live'!CP48-'check-Jul25'!CP48)</f>
        <v/>
      </c>
      <c r="CQ48" t="str">
        <f>IF('1. Live'!CQ48='check-Jul25'!CQ48,"",'1. Live'!CQ48-'check-Jul25'!CQ48)</f>
        <v/>
      </c>
      <c r="CR48" t="str">
        <f>IF('1. Live'!CR48='check-Jul25'!CR48,"",'1. Live'!CR48-'check-Jul25'!CR48)</f>
        <v/>
      </c>
      <c r="CS48" t="str">
        <f>IF('1. Live'!CS48='check-Jul25'!CS48,"",'1. Live'!CS48-'check-Jul25'!CS48)</f>
        <v/>
      </c>
      <c r="CT48" t="str">
        <f>IF('1. Live'!CT48='check-Jul25'!CT48,"",'1. Live'!CT48-'check-Jul25'!CT48)</f>
        <v/>
      </c>
      <c r="CU48" t="str">
        <f>IF('1. Live'!CU48='check-Jul25'!CU48,"",'1. Live'!CU48-'check-Jul25'!CU48)</f>
        <v/>
      </c>
      <c r="CV48" t="str">
        <f>IF('1. Live'!CV48='check-Jul25'!CV48,"",'1. Live'!CV48-'check-Jul25'!CV48)</f>
        <v/>
      </c>
      <c r="CW48" t="str">
        <f>IF('1. Live'!CW48='check-Jul25'!CW48,"",'1. Live'!CW48-'check-Jul25'!CW48)</f>
        <v/>
      </c>
    </row>
    <row r="49" spans="2:101">
      <c r="B49" s="68"/>
      <c r="C49" s="4" t="s">
        <v>775</v>
      </c>
      <c r="D49" s="32" t="s">
        <v>776</v>
      </c>
      <c r="E49" s="2" t="s">
        <v>77</v>
      </c>
      <c r="F49" s="2">
        <v>0</v>
      </c>
      <c r="G49" s="2" t="s">
        <v>692</v>
      </c>
      <c r="H49" s="6">
        <v>2024</v>
      </c>
      <c r="I49" s="6" t="s">
        <v>277</v>
      </c>
      <c r="J49" s="90" t="str">
        <f>IF('1. Live'!J49='check-Jul25'!J49,"",'1. Live'!J49-'check-Jul25'!J49)</f>
        <v/>
      </c>
      <c r="K49" s="17" t="str">
        <f>IF('1. Live'!K49='check-Jul25'!K49,"",'1. Live'!K49-'check-Jul25'!K49)</f>
        <v/>
      </c>
      <c r="L49" s="17" t="str">
        <f>IF('1. Live'!L49='check-Jul25'!L49,"",'1. Live'!L49-'check-Jul25'!L49)</f>
        <v/>
      </c>
      <c r="M49" s="17" t="str">
        <f>IF('1. Live'!M49='check-Jul25'!M49,"",'1. Live'!M49-'check-Jul25'!M49)</f>
        <v/>
      </c>
      <c r="N49" s="17" t="str">
        <f>IF('1. Live'!N49='check-Jul25'!N49,"",'1. Live'!N49-'check-Jul25'!N49)</f>
        <v/>
      </c>
      <c r="O49" s="17">
        <f>IF('1. Live'!O49='check-Jul25'!O49,"",'1. Live'!O49-'check-Jul25'!O49)</f>
        <v>24.402394000000015</v>
      </c>
      <c r="P49" s="17">
        <f>IF('1. Live'!P49='check-Jul25'!P49,"",'1. Live'!P49-'check-Jul25'!P49)</f>
        <v>24.402394000000015</v>
      </c>
      <c r="Q49" s="17" t="str">
        <f>IF('1. Live'!Q49='check-Jul25'!Q49,"",'1. Live'!Q49-'check-Jul25'!Q49)</f>
        <v/>
      </c>
      <c r="R49" s="10">
        <f>IF('1. Live'!R49='check-Jul25'!R49,"",'1. Live'!R49-'check-Jul25'!R49)</f>
        <v>7.8087770997462336E-2</v>
      </c>
      <c r="S49" s="87" t="str">
        <f>IF('1. Live'!S49='check-Jul25'!S49,"",'1. Live'!S49-'check-Jul25'!S49)</f>
        <v/>
      </c>
      <c r="T49" s="69" t="str">
        <f>IF('1. Live'!T49='check-Jul25'!T49,"",'1. Live'!T49-'check-Jul25'!T49)</f>
        <v/>
      </c>
      <c r="U49" t="str">
        <f>IF('1. Live'!U49='check-Jul25'!U49,"",'1. Live'!U49-'check-Jul25'!U49)</f>
        <v/>
      </c>
      <c r="V49" t="str">
        <f>IF('1. Live'!V49='check-Jul25'!V49,"",'1. Live'!V49-'check-Jul25'!V49)</f>
        <v/>
      </c>
      <c r="W49" t="str">
        <f>IF('1. Live'!W49='check-Jul25'!W49,"",'1. Live'!W49-'check-Jul25'!W49)</f>
        <v/>
      </c>
      <c r="X49" t="str">
        <f>IF('1. Live'!X49='check-Jul25'!X49,"",'1. Live'!X49-'check-Jul25'!X49)</f>
        <v/>
      </c>
      <c r="Y49" t="str">
        <f>IF('1. Live'!Y49='check-Jul25'!Y49,"",'1. Live'!Y49-'check-Jul25'!Y49)</f>
        <v/>
      </c>
      <c r="Z49" t="str">
        <f>IF('1. Live'!Z49='check-Jul25'!Z49,"",'1. Live'!Z49-'check-Jul25'!Z49)</f>
        <v/>
      </c>
      <c r="AA49" t="str">
        <f>IF('1. Live'!AA49='check-Jul25'!AA49,"",'1. Live'!AA49-'check-Jul25'!AA49)</f>
        <v/>
      </c>
      <c r="AB49" t="str">
        <f>IF('1. Live'!AB49='check-Jul25'!AB49,"",'1. Live'!AB49-'check-Jul25'!AB49)</f>
        <v/>
      </c>
      <c r="AC49" t="str">
        <f>IF('1. Live'!AC49='check-Jul25'!AC49,"",'1. Live'!AC49-'check-Jul25'!AC49)</f>
        <v/>
      </c>
      <c r="AD49" t="str">
        <f>IF('1. Live'!AD49='check-Jul25'!AD49,"",'1. Live'!AD49-'check-Jul25'!AD49)</f>
        <v/>
      </c>
      <c r="AE49" t="str">
        <f>IF('1. Live'!AE49='check-Jul25'!AE49,"",'1. Live'!AE49-'check-Jul25'!AE49)</f>
        <v/>
      </c>
      <c r="AF49" t="str">
        <f>IF('1. Live'!AF49='check-Jul25'!AF49,"",'1. Live'!AF49-'check-Jul25'!AF49)</f>
        <v/>
      </c>
      <c r="AG49" t="str">
        <f>IF('1. Live'!AG49='check-Jul25'!AG49,"",'1. Live'!AG49-'check-Jul25'!AG49)</f>
        <v/>
      </c>
      <c r="AH49" t="str">
        <f>IF('1. Live'!AH49='check-Jul25'!AH49,"",'1. Live'!AH49-'check-Jul25'!AH49)</f>
        <v/>
      </c>
      <c r="AI49" t="str">
        <f>IF('1. Live'!AI49='check-Jul25'!AI49,"",'1. Live'!AI49-'check-Jul25'!AI49)</f>
        <v/>
      </c>
      <c r="AJ49" t="str">
        <f>IF('1. Live'!AJ49='check-Jul25'!AJ49,"",'1. Live'!AJ49-'check-Jul25'!AJ49)</f>
        <v/>
      </c>
      <c r="AK49" t="str">
        <f>IF('1. Live'!AK49='check-Jul25'!AK49,"",'1. Live'!AK49-'check-Jul25'!AK49)</f>
        <v/>
      </c>
      <c r="AL49" t="str">
        <f>IF('1. Live'!AL49='check-Jul25'!AL49,"",'1. Live'!AL49-'check-Jul25'!AL49)</f>
        <v/>
      </c>
      <c r="AM49" t="str">
        <f>IF('1. Live'!AM49='check-Jul25'!AM49,"",'1. Live'!AM49-'check-Jul25'!AM49)</f>
        <v/>
      </c>
      <c r="AN49" t="str">
        <f>IF('1. Live'!AN49='check-Jul25'!AN49,"",'1. Live'!AN49-'check-Jul25'!AN49)</f>
        <v/>
      </c>
      <c r="AO49" t="str">
        <f>IF('1. Live'!AO49='check-Jul25'!AO49,"",'1. Live'!AO49-'check-Jul25'!AO49)</f>
        <v/>
      </c>
      <c r="AP49" t="str">
        <f>IF('1. Live'!AP49='check-Jul25'!AP49,"",'1. Live'!AP49-'check-Jul25'!AP49)</f>
        <v/>
      </c>
      <c r="AQ49" t="str">
        <f>IF('1. Live'!AQ49='check-Jul25'!AQ49,"",'1. Live'!AQ49-'check-Jul25'!AQ49)</f>
        <v/>
      </c>
      <c r="AR49" t="str">
        <f>IF('1. Live'!AR49='check-Jul25'!AR49,"",'1. Live'!AR49-'check-Jul25'!AR49)</f>
        <v/>
      </c>
      <c r="AS49" t="str">
        <f>IF('1. Live'!AS49='check-Jul25'!AS49,"",'1. Live'!AS49-'check-Jul25'!AS49)</f>
        <v/>
      </c>
      <c r="AT49" t="str">
        <f>IF('1. Live'!AT49='check-Jul25'!AT49,"",'1. Live'!AT49-'check-Jul25'!AT49)</f>
        <v/>
      </c>
      <c r="AU49" t="str">
        <f>IF('1. Live'!AU49='check-Jul25'!AU49,"",'1. Live'!AU49-'check-Jul25'!AU49)</f>
        <v/>
      </c>
      <c r="AV49" t="str">
        <f>IF('1. Live'!AV49='check-Jul25'!AV49,"",'1. Live'!AV49-'check-Jul25'!AV49)</f>
        <v/>
      </c>
      <c r="AW49" t="str">
        <f>IF('1. Live'!AW49='check-Jul25'!AW49,"",'1. Live'!AW49-'check-Jul25'!AW49)</f>
        <v/>
      </c>
      <c r="AX49" t="str">
        <f>IF('1. Live'!AX49='check-Jul25'!AX49,"",'1. Live'!AX49-'check-Jul25'!AX49)</f>
        <v/>
      </c>
      <c r="AY49" t="str">
        <f>IF('1. Live'!AY49='check-Jul25'!AY49,"",'1. Live'!AY49-'check-Jul25'!AY49)</f>
        <v/>
      </c>
      <c r="AZ49" t="str">
        <f>IF('1. Live'!AZ49='check-Jul25'!AZ49,"",'1. Live'!AZ49-'check-Jul25'!AZ49)</f>
        <v/>
      </c>
      <c r="BA49" t="str">
        <f>IF('1. Live'!BA49='check-Jul25'!BA49,"",'1. Live'!BA49-'check-Jul25'!BA49)</f>
        <v/>
      </c>
      <c r="BB49" t="str">
        <f>IF('1. Live'!BB49='check-Jul25'!BB49,"",'1. Live'!BB49-'check-Jul25'!BB49)</f>
        <v/>
      </c>
      <c r="BC49" t="str">
        <f>IF('1. Live'!BC49='check-Jul25'!BC49,"",'1. Live'!BC49-'check-Jul25'!BC49)</f>
        <v/>
      </c>
      <c r="BD49" t="str">
        <f>IF('1. Live'!BD49='check-Jul25'!BD49,"",'1. Live'!BD49-'check-Jul25'!BD49)</f>
        <v/>
      </c>
      <c r="BE49" t="str">
        <f>IF('1. Live'!BE49='check-Jul25'!BE49,"",'1. Live'!BE49-'check-Jul25'!BE49)</f>
        <v/>
      </c>
      <c r="BF49" t="str">
        <f>IF('1. Live'!BF49='check-Jul25'!BF49,"",'1. Live'!BF49-'check-Jul25'!BF49)</f>
        <v/>
      </c>
      <c r="BG49" t="str">
        <f>IF('1. Live'!BG49='check-Jul25'!BG49,"",'1. Live'!BG49-'check-Jul25'!BG49)</f>
        <v/>
      </c>
      <c r="BH49" t="str">
        <f>IF('1. Live'!BH49='check-Jul25'!BH49,"",'1. Live'!BH49-'check-Jul25'!BH49)</f>
        <v/>
      </c>
      <c r="BI49" t="str">
        <f>IF('1. Live'!BI49='check-Jul25'!BI49,"",'1. Live'!BI49-'check-Jul25'!BI49)</f>
        <v/>
      </c>
      <c r="BJ49" t="str">
        <f>IF('1. Live'!BJ49='check-Jul25'!BJ49,"",'1. Live'!BJ49-'check-Jul25'!BJ49)</f>
        <v/>
      </c>
      <c r="BK49" t="str">
        <f>IF('1. Live'!BK49='check-Jul25'!BK49,"",'1. Live'!BK49-'check-Jul25'!BK49)</f>
        <v/>
      </c>
      <c r="BL49" t="str">
        <f>IF('1. Live'!BL49='check-Jul25'!BL49,"",'1. Live'!BL49-'check-Jul25'!BL49)</f>
        <v/>
      </c>
      <c r="BM49" t="str">
        <f>IF('1. Live'!BM49='check-Jul25'!BM49,"",'1. Live'!BM49-'check-Jul25'!BM49)</f>
        <v/>
      </c>
      <c r="BN49" t="str">
        <f>IF('1. Live'!BN49='check-Jul25'!BN49,"",'1. Live'!BN49-'check-Jul25'!BN49)</f>
        <v/>
      </c>
      <c r="BO49" t="str">
        <f>IF('1. Live'!BO49='check-Jul25'!BO49,"",'1. Live'!BO49-'check-Jul25'!BO49)</f>
        <v/>
      </c>
      <c r="BP49" t="str">
        <f>IF('1. Live'!BP49='check-Jul25'!BP49,"",'1. Live'!BP49-'check-Jul25'!BP49)</f>
        <v/>
      </c>
      <c r="BQ49" t="str">
        <f>IF('1. Live'!BQ49='check-Jul25'!BQ49,"",'1. Live'!BQ49-'check-Jul25'!BQ49)</f>
        <v/>
      </c>
      <c r="BR49" t="str">
        <f>IF('1. Live'!BR49='check-Jul25'!BR49,"",'1. Live'!BR49-'check-Jul25'!BR49)</f>
        <v/>
      </c>
      <c r="BS49" t="str">
        <f>IF('1. Live'!BS49='check-Jul25'!BS49,"",'1. Live'!BS49-'check-Jul25'!BS49)</f>
        <v/>
      </c>
      <c r="BT49" t="str">
        <f>IF('1. Live'!BT49='check-Jul25'!BT49,"",'1. Live'!BT49-'check-Jul25'!BT49)</f>
        <v/>
      </c>
      <c r="BU49" t="str">
        <f>IF('1. Live'!BU49='check-Jul25'!BU49,"",'1. Live'!BU49-'check-Jul25'!BU49)</f>
        <v/>
      </c>
      <c r="BV49" t="str">
        <f>IF('1. Live'!BV49='check-Jul25'!BV49,"",'1. Live'!BV49-'check-Jul25'!BV49)</f>
        <v/>
      </c>
      <c r="BW49" t="str">
        <f>IF('1. Live'!BW49='check-Jul25'!BW49,"",'1. Live'!BW49-'check-Jul25'!BW49)</f>
        <v/>
      </c>
      <c r="BX49" t="str">
        <f>IF('1. Live'!BX49='check-Jul25'!BX49,"",'1. Live'!BX49-'check-Jul25'!BX49)</f>
        <v/>
      </c>
      <c r="BY49" t="str">
        <f>IF('1. Live'!BY49='check-Jul25'!BY49,"",'1. Live'!BY49-'check-Jul25'!BY49)</f>
        <v/>
      </c>
      <c r="BZ49" t="str">
        <f>IF('1. Live'!BZ49='check-Jul25'!BZ49,"",'1. Live'!BZ49-'check-Jul25'!BZ49)</f>
        <v/>
      </c>
      <c r="CA49" t="str">
        <f>IF('1. Live'!CA49='check-Jul25'!CA49,"",'1. Live'!CA49-'check-Jul25'!CA49)</f>
        <v/>
      </c>
      <c r="CB49" t="str">
        <f>IF('1. Live'!CB49='check-Jul25'!CB49,"",'1. Live'!CB49-'check-Jul25'!CB49)</f>
        <v/>
      </c>
      <c r="CC49" t="str">
        <f>IF('1. Live'!CC49='check-Jul25'!CC49,"",'1. Live'!CC49-'check-Jul25'!CC49)</f>
        <v/>
      </c>
      <c r="CD49" t="str">
        <f>IF('1. Live'!CD49='check-Jul25'!CD49,"",'1. Live'!CD49-'check-Jul25'!CD49)</f>
        <v/>
      </c>
      <c r="CE49" t="str">
        <f>IF('1. Live'!CE49='check-Jul25'!CE49,"",'1. Live'!CE49-'check-Jul25'!CE49)</f>
        <v/>
      </c>
      <c r="CF49" t="str">
        <f>IF('1. Live'!CF49='check-Jul25'!CF49,"",'1. Live'!CF49-'check-Jul25'!CF49)</f>
        <v/>
      </c>
      <c r="CG49" t="str">
        <f>IF('1. Live'!CG49='check-Jul25'!CG49,"",'1. Live'!CG49-'check-Jul25'!CG49)</f>
        <v/>
      </c>
      <c r="CH49" t="str">
        <f>IF('1. Live'!CH49='check-Jul25'!CH49,"",'1. Live'!CH49-'check-Jul25'!CH49)</f>
        <v/>
      </c>
      <c r="CI49" t="str">
        <f>IF('1. Live'!CI49='check-Jul25'!CI49,"",'1. Live'!CI49-'check-Jul25'!CI49)</f>
        <v/>
      </c>
      <c r="CJ49" t="str">
        <f>IF('1. Live'!CJ49='check-Jul25'!CJ49,"",'1. Live'!CJ49-'check-Jul25'!CJ49)</f>
        <v/>
      </c>
      <c r="CK49" t="str">
        <f>IF('1. Live'!CK49='check-Jul25'!CK49,"",'1. Live'!CK49-'check-Jul25'!CK49)</f>
        <v/>
      </c>
      <c r="CL49" t="str">
        <f>IF('1. Live'!CL49='check-Jul25'!CL49,"",'1. Live'!CL49-'check-Jul25'!CL49)</f>
        <v/>
      </c>
      <c r="CM49" t="str">
        <f>IF('1. Live'!CM49='check-Jul25'!CM49,"",'1. Live'!CM49-'check-Jul25'!CM49)</f>
        <v/>
      </c>
      <c r="CN49" t="str">
        <f>IF('1. Live'!CN49='check-Jul25'!CN49,"",'1. Live'!CN49-'check-Jul25'!CN49)</f>
        <v/>
      </c>
      <c r="CO49" t="str">
        <f>IF('1. Live'!CO49='check-Jul25'!CO49,"",'1. Live'!CO49-'check-Jul25'!CO49)</f>
        <v/>
      </c>
      <c r="CP49" t="str">
        <f>IF('1. Live'!CP49='check-Jul25'!CP49,"",'1. Live'!CP49-'check-Jul25'!CP49)</f>
        <v/>
      </c>
      <c r="CQ49" t="str">
        <f>IF('1. Live'!CQ49='check-Jul25'!CQ49,"",'1. Live'!CQ49-'check-Jul25'!CQ49)</f>
        <v/>
      </c>
      <c r="CR49" t="str">
        <f>IF('1. Live'!CR49='check-Jul25'!CR49,"",'1. Live'!CR49-'check-Jul25'!CR49)</f>
        <v/>
      </c>
      <c r="CS49" t="str">
        <f>IF('1. Live'!CS49='check-Jul25'!CS49,"",'1. Live'!CS49-'check-Jul25'!CS49)</f>
        <v/>
      </c>
      <c r="CT49" t="str">
        <f>IF('1. Live'!CT49='check-Jul25'!CT49,"",'1. Live'!CT49-'check-Jul25'!CT49)</f>
        <v/>
      </c>
      <c r="CU49" t="str">
        <f>IF('1. Live'!CU49='check-Jul25'!CU49,"",'1. Live'!CU49-'check-Jul25'!CU49)</f>
        <v/>
      </c>
      <c r="CV49" t="str">
        <f>IF('1. Live'!CV49='check-Jul25'!CV49,"",'1. Live'!CV49-'check-Jul25'!CV49)</f>
        <v/>
      </c>
      <c r="CW49" t="str">
        <f>IF('1. Live'!CW49='check-Jul25'!CW49,"",'1. Live'!CW49-'check-Jul25'!CW49)</f>
        <v/>
      </c>
    </row>
    <row r="50" spans="2:101">
      <c r="B50" s="68"/>
      <c r="C50" s="4" t="s">
        <v>691</v>
      </c>
      <c r="D50" s="32" t="s">
        <v>708</v>
      </c>
      <c r="E50" s="2" t="s">
        <v>77</v>
      </c>
      <c r="F50" s="2">
        <v>0</v>
      </c>
      <c r="G50" s="2" t="s">
        <v>692</v>
      </c>
      <c r="H50" s="6">
        <v>2024</v>
      </c>
      <c r="I50" s="6" t="s">
        <v>148</v>
      </c>
      <c r="J50" s="90" t="str">
        <f>IF('1. Live'!J50='check-Jul25'!J50,"",'1. Live'!J50-'check-Jul25'!J50)</f>
        <v/>
      </c>
      <c r="K50" s="17" t="str">
        <f>IF('1. Live'!K50='check-Jul25'!K50,"",'1. Live'!K50-'check-Jul25'!K50)</f>
        <v/>
      </c>
      <c r="L50" s="17" t="str">
        <f>IF('1. Live'!L50='check-Jul25'!L50,"",'1. Live'!L50-'check-Jul25'!L50)</f>
        <v/>
      </c>
      <c r="M50" s="17" t="str">
        <f>IF('1. Live'!M50='check-Jul25'!M50,"",'1. Live'!M50-'check-Jul25'!M50)</f>
        <v/>
      </c>
      <c r="N50" s="17" t="str">
        <f>IF('1. Live'!N50='check-Jul25'!N50,"",'1. Live'!N50-'check-Jul25'!N50)</f>
        <v/>
      </c>
      <c r="O50" s="17" t="str">
        <f>IF('1. Live'!O50='check-Jul25'!O50,"",'1. Live'!O50-'check-Jul25'!O50)</f>
        <v/>
      </c>
      <c r="P50" s="17" t="str">
        <f>IF('1. Live'!P50='check-Jul25'!P50,"",'1. Live'!P50-'check-Jul25'!P50)</f>
        <v/>
      </c>
      <c r="Q50" s="17" t="str">
        <f>IF('1. Live'!Q50='check-Jul25'!Q50,"",'1. Live'!Q50-'check-Jul25'!Q50)</f>
        <v/>
      </c>
      <c r="R50" s="10" t="str">
        <f>IF('1. Live'!R50='check-Jul25'!R50,"",'1. Live'!R50-'check-Jul25'!R50)</f>
        <v/>
      </c>
      <c r="S50" s="87" t="str">
        <f>IF('1. Live'!S50='check-Jul25'!S50,"",'1. Live'!S50-'check-Jul25'!S50)</f>
        <v/>
      </c>
      <c r="T50" s="69" t="str">
        <f>IF('1. Live'!T50='check-Jul25'!T50,"",'1. Live'!T50-'check-Jul25'!T50)</f>
        <v/>
      </c>
      <c r="U50" t="str">
        <f>IF('1. Live'!U50='check-Jul25'!U50,"",'1. Live'!U50-'check-Jul25'!U50)</f>
        <v/>
      </c>
      <c r="V50" t="str">
        <f>IF('1. Live'!V50='check-Jul25'!V50,"",'1. Live'!V50-'check-Jul25'!V50)</f>
        <v/>
      </c>
      <c r="W50" t="str">
        <f>IF('1. Live'!W50='check-Jul25'!W50,"",'1. Live'!W50-'check-Jul25'!W50)</f>
        <v/>
      </c>
      <c r="X50" t="str">
        <f>IF('1. Live'!X50='check-Jul25'!X50,"",'1. Live'!X50-'check-Jul25'!X50)</f>
        <v/>
      </c>
      <c r="Y50" t="str">
        <f>IF('1. Live'!Y50='check-Jul25'!Y50,"",'1. Live'!Y50-'check-Jul25'!Y50)</f>
        <v/>
      </c>
      <c r="Z50" t="str">
        <f>IF('1. Live'!Z50='check-Jul25'!Z50,"",'1. Live'!Z50-'check-Jul25'!Z50)</f>
        <v/>
      </c>
      <c r="AA50" t="str">
        <f>IF('1. Live'!AA50='check-Jul25'!AA50,"",'1. Live'!AA50-'check-Jul25'!AA50)</f>
        <v/>
      </c>
      <c r="AB50" t="str">
        <f>IF('1. Live'!AB50='check-Jul25'!AB50,"",'1. Live'!AB50-'check-Jul25'!AB50)</f>
        <v/>
      </c>
      <c r="AC50" t="str">
        <f>IF('1. Live'!AC50='check-Jul25'!AC50,"",'1. Live'!AC50-'check-Jul25'!AC50)</f>
        <v/>
      </c>
      <c r="AD50" t="str">
        <f>IF('1. Live'!AD50='check-Jul25'!AD50,"",'1. Live'!AD50-'check-Jul25'!AD50)</f>
        <v/>
      </c>
      <c r="AE50" t="str">
        <f>IF('1. Live'!AE50='check-Jul25'!AE50,"",'1. Live'!AE50-'check-Jul25'!AE50)</f>
        <v/>
      </c>
      <c r="AF50" t="str">
        <f>IF('1. Live'!AF50='check-Jul25'!AF50,"",'1. Live'!AF50-'check-Jul25'!AF50)</f>
        <v/>
      </c>
      <c r="AG50" t="str">
        <f>IF('1. Live'!AG50='check-Jul25'!AG50,"",'1. Live'!AG50-'check-Jul25'!AG50)</f>
        <v/>
      </c>
      <c r="AH50" t="str">
        <f>IF('1. Live'!AH50='check-Jul25'!AH50,"",'1. Live'!AH50-'check-Jul25'!AH50)</f>
        <v/>
      </c>
      <c r="AI50" t="str">
        <f>IF('1. Live'!AI50='check-Jul25'!AI50,"",'1. Live'!AI50-'check-Jul25'!AI50)</f>
        <v/>
      </c>
      <c r="AJ50" t="str">
        <f>IF('1. Live'!AJ50='check-Jul25'!AJ50,"",'1. Live'!AJ50-'check-Jul25'!AJ50)</f>
        <v/>
      </c>
      <c r="AK50" t="str">
        <f>IF('1. Live'!AK50='check-Jul25'!AK50,"",'1. Live'!AK50-'check-Jul25'!AK50)</f>
        <v/>
      </c>
      <c r="AL50" t="str">
        <f>IF('1. Live'!AL50='check-Jul25'!AL50,"",'1. Live'!AL50-'check-Jul25'!AL50)</f>
        <v/>
      </c>
      <c r="AM50" t="str">
        <f>IF('1. Live'!AM50='check-Jul25'!AM50,"",'1. Live'!AM50-'check-Jul25'!AM50)</f>
        <v/>
      </c>
      <c r="AN50" t="str">
        <f>IF('1. Live'!AN50='check-Jul25'!AN50,"",'1. Live'!AN50-'check-Jul25'!AN50)</f>
        <v/>
      </c>
      <c r="AO50" t="str">
        <f>IF('1. Live'!AO50='check-Jul25'!AO50,"",'1. Live'!AO50-'check-Jul25'!AO50)</f>
        <v/>
      </c>
      <c r="AP50" t="str">
        <f>IF('1. Live'!AP50='check-Jul25'!AP50,"",'1. Live'!AP50-'check-Jul25'!AP50)</f>
        <v/>
      </c>
      <c r="AQ50" t="str">
        <f>IF('1. Live'!AQ50='check-Jul25'!AQ50,"",'1. Live'!AQ50-'check-Jul25'!AQ50)</f>
        <v/>
      </c>
      <c r="AR50" t="str">
        <f>IF('1. Live'!AR50='check-Jul25'!AR50,"",'1. Live'!AR50-'check-Jul25'!AR50)</f>
        <v/>
      </c>
      <c r="AS50" t="str">
        <f>IF('1. Live'!AS50='check-Jul25'!AS50,"",'1. Live'!AS50-'check-Jul25'!AS50)</f>
        <v/>
      </c>
      <c r="AT50" t="str">
        <f>IF('1. Live'!AT50='check-Jul25'!AT50,"",'1. Live'!AT50-'check-Jul25'!AT50)</f>
        <v/>
      </c>
      <c r="AU50" t="str">
        <f>IF('1. Live'!AU50='check-Jul25'!AU50,"",'1. Live'!AU50-'check-Jul25'!AU50)</f>
        <v/>
      </c>
      <c r="AV50" t="str">
        <f>IF('1. Live'!AV50='check-Jul25'!AV50,"",'1. Live'!AV50-'check-Jul25'!AV50)</f>
        <v/>
      </c>
      <c r="AW50" t="str">
        <f>IF('1. Live'!AW50='check-Jul25'!AW50,"",'1. Live'!AW50-'check-Jul25'!AW50)</f>
        <v/>
      </c>
      <c r="AX50" t="str">
        <f>IF('1. Live'!AX50='check-Jul25'!AX50,"",'1. Live'!AX50-'check-Jul25'!AX50)</f>
        <v/>
      </c>
      <c r="AY50" t="str">
        <f>IF('1. Live'!AY50='check-Jul25'!AY50,"",'1. Live'!AY50-'check-Jul25'!AY50)</f>
        <v/>
      </c>
      <c r="AZ50" t="str">
        <f>IF('1. Live'!AZ50='check-Jul25'!AZ50,"",'1. Live'!AZ50-'check-Jul25'!AZ50)</f>
        <v/>
      </c>
      <c r="BA50" t="str">
        <f>IF('1. Live'!BA50='check-Jul25'!BA50,"",'1. Live'!BA50-'check-Jul25'!BA50)</f>
        <v/>
      </c>
      <c r="BB50" t="str">
        <f>IF('1. Live'!BB50='check-Jul25'!BB50,"",'1. Live'!BB50-'check-Jul25'!BB50)</f>
        <v/>
      </c>
      <c r="BC50" t="str">
        <f>IF('1. Live'!BC50='check-Jul25'!BC50,"",'1. Live'!BC50-'check-Jul25'!BC50)</f>
        <v/>
      </c>
      <c r="BD50" t="str">
        <f>IF('1. Live'!BD50='check-Jul25'!BD50,"",'1. Live'!BD50-'check-Jul25'!BD50)</f>
        <v/>
      </c>
      <c r="BE50" t="str">
        <f>IF('1. Live'!BE50='check-Jul25'!BE50,"",'1. Live'!BE50-'check-Jul25'!BE50)</f>
        <v/>
      </c>
      <c r="BF50" t="str">
        <f>IF('1. Live'!BF50='check-Jul25'!BF50,"",'1. Live'!BF50-'check-Jul25'!BF50)</f>
        <v/>
      </c>
      <c r="BG50" t="str">
        <f>IF('1. Live'!BG50='check-Jul25'!BG50,"",'1. Live'!BG50-'check-Jul25'!BG50)</f>
        <v/>
      </c>
      <c r="BH50" t="str">
        <f>IF('1. Live'!BH50='check-Jul25'!BH50,"",'1. Live'!BH50-'check-Jul25'!BH50)</f>
        <v/>
      </c>
      <c r="BI50" t="str">
        <f>IF('1. Live'!BI50='check-Jul25'!BI50,"",'1. Live'!BI50-'check-Jul25'!BI50)</f>
        <v/>
      </c>
      <c r="BJ50" t="str">
        <f>IF('1. Live'!BJ50='check-Jul25'!BJ50,"",'1. Live'!BJ50-'check-Jul25'!BJ50)</f>
        <v/>
      </c>
      <c r="BK50" t="str">
        <f>IF('1. Live'!BK50='check-Jul25'!BK50,"",'1. Live'!BK50-'check-Jul25'!BK50)</f>
        <v/>
      </c>
      <c r="BL50" t="str">
        <f>IF('1. Live'!BL50='check-Jul25'!BL50,"",'1. Live'!BL50-'check-Jul25'!BL50)</f>
        <v/>
      </c>
      <c r="BM50" t="str">
        <f>IF('1. Live'!BM50='check-Jul25'!BM50,"",'1. Live'!BM50-'check-Jul25'!BM50)</f>
        <v/>
      </c>
      <c r="BN50" t="str">
        <f>IF('1. Live'!BN50='check-Jul25'!BN50,"",'1. Live'!BN50-'check-Jul25'!BN50)</f>
        <v/>
      </c>
      <c r="BO50" t="str">
        <f>IF('1. Live'!BO50='check-Jul25'!BO50,"",'1. Live'!BO50-'check-Jul25'!BO50)</f>
        <v/>
      </c>
      <c r="BP50" t="str">
        <f>IF('1. Live'!BP50='check-Jul25'!BP50,"",'1. Live'!BP50-'check-Jul25'!BP50)</f>
        <v/>
      </c>
      <c r="BQ50" t="str">
        <f>IF('1. Live'!BQ50='check-Jul25'!BQ50,"",'1. Live'!BQ50-'check-Jul25'!BQ50)</f>
        <v/>
      </c>
      <c r="BR50" t="str">
        <f>IF('1. Live'!BR50='check-Jul25'!BR50,"",'1. Live'!BR50-'check-Jul25'!BR50)</f>
        <v/>
      </c>
      <c r="BS50" t="str">
        <f>IF('1. Live'!BS50='check-Jul25'!BS50,"",'1. Live'!BS50-'check-Jul25'!BS50)</f>
        <v/>
      </c>
      <c r="BT50" t="str">
        <f>IF('1. Live'!BT50='check-Jul25'!BT50,"",'1. Live'!BT50-'check-Jul25'!BT50)</f>
        <v/>
      </c>
      <c r="BU50" t="str">
        <f>IF('1. Live'!BU50='check-Jul25'!BU50,"",'1. Live'!BU50-'check-Jul25'!BU50)</f>
        <v/>
      </c>
      <c r="BV50" t="str">
        <f>IF('1. Live'!BV50='check-Jul25'!BV50,"",'1. Live'!BV50-'check-Jul25'!BV50)</f>
        <v/>
      </c>
      <c r="BW50" t="str">
        <f>IF('1. Live'!BW50='check-Jul25'!BW50,"",'1. Live'!BW50-'check-Jul25'!BW50)</f>
        <v/>
      </c>
      <c r="BX50" t="str">
        <f>IF('1. Live'!BX50='check-Jul25'!BX50,"",'1. Live'!BX50-'check-Jul25'!BX50)</f>
        <v/>
      </c>
      <c r="BY50" t="str">
        <f>IF('1. Live'!BY50='check-Jul25'!BY50,"",'1. Live'!BY50-'check-Jul25'!BY50)</f>
        <v/>
      </c>
      <c r="BZ50" t="str">
        <f>IF('1. Live'!BZ50='check-Jul25'!BZ50,"",'1. Live'!BZ50-'check-Jul25'!BZ50)</f>
        <v/>
      </c>
      <c r="CA50" t="str">
        <f>IF('1. Live'!CA50='check-Jul25'!CA50,"",'1. Live'!CA50-'check-Jul25'!CA50)</f>
        <v/>
      </c>
      <c r="CB50" t="str">
        <f>IF('1. Live'!CB50='check-Jul25'!CB50,"",'1. Live'!CB50-'check-Jul25'!CB50)</f>
        <v/>
      </c>
      <c r="CC50" t="str">
        <f>IF('1. Live'!CC50='check-Jul25'!CC50,"",'1. Live'!CC50-'check-Jul25'!CC50)</f>
        <v/>
      </c>
      <c r="CD50" t="str">
        <f>IF('1. Live'!CD50='check-Jul25'!CD50,"",'1. Live'!CD50-'check-Jul25'!CD50)</f>
        <v/>
      </c>
      <c r="CE50" t="str">
        <f>IF('1. Live'!CE50='check-Jul25'!CE50,"",'1. Live'!CE50-'check-Jul25'!CE50)</f>
        <v/>
      </c>
      <c r="CF50" t="str">
        <f>IF('1. Live'!CF50='check-Jul25'!CF50,"",'1. Live'!CF50-'check-Jul25'!CF50)</f>
        <v/>
      </c>
      <c r="CG50" t="str">
        <f>IF('1. Live'!CG50='check-Jul25'!CG50,"",'1. Live'!CG50-'check-Jul25'!CG50)</f>
        <v/>
      </c>
      <c r="CH50" t="str">
        <f>IF('1. Live'!CH50='check-Jul25'!CH50,"",'1. Live'!CH50-'check-Jul25'!CH50)</f>
        <v/>
      </c>
      <c r="CI50" t="str">
        <f>IF('1. Live'!CI50='check-Jul25'!CI50,"",'1. Live'!CI50-'check-Jul25'!CI50)</f>
        <v/>
      </c>
      <c r="CJ50" t="str">
        <f>IF('1. Live'!CJ50='check-Jul25'!CJ50,"",'1. Live'!CJ50-'check-Jul25'!CJ50)</f>
        <v/>
      </c>
      <c r="CK50" t="str">
        <f>IF('1. Live'!CK50='check-Jul25'!CK50,"",'1. Live'!CK50-'check-Jul25'!CK50)</f>
        <v/>
      </c>
      <c r="CL50" t="str">
        <f>IF('1. Live'!CL50='check-Jul25'!CL50,"",'1. Live'!CL50-'check-Jul25'!CL50)</f>
        <v/>
      </c>
      <c r="CM50" t="str">
        <f>IF('1. Live'!CM50='check-Jul25'!CM50,"",'1. Live'!CM50-'check-Jul25'!CM50)</f>
        <v/>
      </c>
      <c r="CN50" t="str">
        <f>IF('1. Live'!CN50='check-Jul25'!CN50,"",'1. Live'!CN50-'check-Jul25'!CN50)</f>
        <v/>
      </c>
      <c r="CO50" t="str">
        <f>IF('1. Live'!CO50='check-Jul25'!CO50,"",'1. Live'!CO50-'check-Jul25'!CO50)</f>
        <v/>
      </c>
      <c r="CP50" t="str">
        <f>IF('1. Live'!CP50='check-Jul25'!CP50,"",'1. Live'!CP50-'check-Jul25'!CP50)</f>
        <v/>
      </c>
      <c r="CQ50" t="str">
        <f>IF('1. Live'!CQ50='check-Jul25'!CQ50,"",'1. Live'!CQ50-'check-Jul25'!CQ50)</f>
        <v/>
      </c>
      <c r="CR50" t="str">
        <f>IF('1. Live'!CR50='check-Jul25'!CR50,"",'1. Live'!CR50-'check-Jul25'!CR50)</f>
        <v/>
      </c>
      <c r="CS50" t="str">
        <f>IF('1. Live'!CS50='check-Jul25'!CS50,"",'1. Live'!CS50-'check-Jul25'!CS50)</f>
        <v/>
      </c>
      <c r="CT50" t="str">
        <f>IF('1. Live'!CT50='check-Jul25'!CT50,"",'1. Live'!CT50-'check-Jul25'!CT50)</f>
        <v/>
      </c>
      <c r="CU50" t="str">
        <f>IF('1. Live'!CU50='check-Jul25'!CU50,"",'1. Live'!CU50-'check-Jul25'!CU50)</f>
        <v/>
      </c>
      <c r="CV50" t="str">
        <f>IF('1. Live'!CV50='check-Jul25'!CV50,"",'1. Live'!CV50-'check-Jul25'!CV50)</f>
        <v/>
      </c>
      <c r="CW50" t="str">
        <f>IF('1. Live'!CW50='check-Jul25'!CW50,"",'1. Live'!CW50-'check-Jul25'!CW50)</f>
        <v/>
      </c>
    </row>
    <row r="51" spans="2:101">
      <c r="B51" s="68"/>
      <c r="C51" s="5"/>
      <c r="D51" s="13"/>
      <c r="E51" s="7"/>
      <c r="F51" s="7"/>
      <c r="G51" s="7"/>
      <c r="H51" s="7"/>
      <c r="I51" s="14"/>
      <c r="J51" s="170" t="str">
        <f>IF('1. Live'!J51='check-Jul25'!J51,"",'1. Live'!J51-'check-Jul25'!J51)</f>
        <v/>
      </c>
      <c r="K51" s="24" t="str">
        <f>IF('1. Live'!K51='check-Jul25'!K51,"",'1. Live'!K51-'check-Jul25'!K51)</f>
        <v/>
      </c>
      <c r="L51" s="24" t="str">
        <f>IF('1. Live'!L51='check-Jul25'!L51,"",'1. Live'!L51-'check-Jul25'!L51)</f>
        <v/>
      </c>
      <c r="M51" s="24" t="str">
        <f>IF('1. Live'!M51='check-Jul25'!M51,"",'1. Live'!M51-'check-Jul25'!M51)</f>
        <v/>
      </c>
      <c r="N51" s="24" t="str">
        <f>IF('1. Live'!N51='check-Jul25'!N51,"",'1. Live'!N51-'check-Jul25'!N51)</f>
        <v/>
      </c>
      <c r="O51" s="24" t="str">
        <f>IF('1. Live'!O51='check-Jul25'!O51,"",'1. Live'!O51-'check-Jul25'!O51)</f>
        <v/>
      </c>
      <c r="P51" s="24" t="str">
        <f>IF('1. Live'!P51='check-Jul25'!P51,"",'1. Live'!P51-'check-Jul25'!P51)</f>
        <v/>
      </c>
      <c r="Q51" s="24" t="str">
        <f>IF('1. Live'!Q51='check-Jul25'!Q51,"",'1. Live'!Q51-'check-Jul25'!Q51)</f>
        <v/>
      </c>
      <c r="R51" s="15" t="str">
        <f>IF('1. Live'!R51='check-Jul25'!R51,"",'1. Live'!R51-'check-Jul25'!R51)</f>
        <v/>
      </c>
      <c r="S51" s="180" t="str">
        <f>IF('1. Live'!S51='check-Jul25'!S51,"",'1. Live'!S51-'check-Jul25'!S51)</f>
        <v/>
      </c>
      <c r="T51" s="69" t="str">
        <f>IF('1. Live'!T51='check-Jul25'!T51,"",'1. Live'!T51-'check-Jul25'!T51)</f>
        <v/>
      </c>
      <c r="U51" t="str">
        <f>IF('1. Live'!U51='check-Jul25'!U51,"",'1. Live'!U51-'check-Jul25'!U51)</f>
        <v/>
      </c>
      <c r="V51" t="str">
        <f>IF('1. Live'!V51='check-Jul25'!V51,"",'1. Live'!V51-'check-Jul25'!V51)</f>
        <v/>
      </c>
      <c r="W51" t="str">
        <f>IF('1. Live'!W51='check-Jul25'!W51,"",'1. Live'!W51-'check-Jul25'!W51)</f>
        <v/>
      </c>
      <c r="X51" t="str">
        <f>IF('1. Live'!X51='check-Jul25'!X51,"",'1. Live'!X51-'check-Jul25'!X51)</f>
        <v/>
      </c>
      <c r="Y51" t="str">
        <f>IF('1. Live'!Y51='check-Jul25'!Y51,"",'1. Live'!Y51-'check-Jul25'!Y51)</f>
        <v/>
      </c>
      <c r="Z51" t="str">
        <f>IF('1. Live'!Z51='check-Jul25'!Z51,"",'1. Live'!Z51-'check-Jul25'!Z51)</f>
        <v/>
      </c>
      <c r="AA51" t="str">
        <f>IF('1. Live'!AA51='check-Jul25'!AA51,"",'1. Live'!AA51-'check-Jul25'!AA51)</f>
        <v/>
      </c>
      <c r="AB51" t="str">
        <f>IF('1. Live'!AB51='check-Jul25'!AB51,"",'1. Live'!AB51-'check-Jul25'!AB51)</f>
        <v/>
      </c>
      <c r="AC51" t="str">
        <f>IF('1. Live'!AC51='check-Jul25'!AC51,"",'1. Live'!AC51-'check-Jul25'!AC51)</f>
        <v/>
      </c>
      <c r="AD51" t="str">
        <f>IF('1. Live'!AD51='check-Jul25'!AD51,"",'1. Live'!AD51-'check-Jul25'!AD51)</f>
        <v/>
      </c>
      <c r="AE51" t="str">
        <f>IF('1. Live'!AE51='check-Jul25'!AE51,"",'1. Live'!AE51-'check-Jul25'!AE51)</f>
        <v/>
      </c>
      <c r="AF51" t="str">
        <f>IF('1. Live'!AF51='check-Jul25'!AF51,"",'1. Live'!AF51-'check-Jul25'!AF51)</f>
        <v/>
      </c>
      <c r="AG51" t="str">
        <f>IF('1. Live'!AG51='check-Jul25'!AG51,"",'1. Live'!AG51-'check-Jul25'!AG51)</f>
        <v/>
      </c>
      <c r="AH51" t="str">
        <f>IF('1. Live'!AH51='check-Jul25'!AH51,"",'1. Live'!AH51-'check-Jul25'!AH51)</f>
        <v/>
      </c>
      <c r="AI51" t="str">
        <f>IF('1. Live'!AI51='check-Jul25'!AI51,"",'1. Live'!AI51-'check-Jul25'!AI51)</f>
        <v/>
      </c>
      <c r="AJ51" t="str">
        <f>IF('1. Live'!AJ51='check-Jul25'!AJ51,"",'1. Live'!AJ51-'check-Jul25'!AJ51)</f>
        <v/>
      </c>
      <c r="AK51" t="str">
        <f>IF('1. Live'!AK51='check-Jul25'!AK51,"",'1. Live'!AK51-'check-Jul25'!AK51)</f>
        <v/>
      </c>
      <c r="AL51" t="str">
        <f>IF('1. Live'!AL51='check-Jul25'!AL51,"",'1. Live'!AL51-'check-Jul25'!AL51)</f>
        <v/>
      </c>
      <c r="AM51" t="str">
        <f>IF('1. Live'!AM51='check-Jul25'!AM51,"",'1. Live'!AM51-'check-Jul25'!AM51)</f>
        <v/>
      </c>
      <c r="AN51" t="str">
        <f>IF('1. Live'!AN51='check-Jul25'!AN51,"",'1. Live'!AN51-'check-Jul25'!AN51)</f>
        <v/>
      </c>
      <c r="AO51" t="str">
        <f>IF('1. Live'!AO51='check-Jul25'!AO51,"",'1. Live'!AO51-'check-Jul25'!AO51)</f>
        <v/>
      </c>
      <c r="AP51" t="str">
        <f>IF('1. Live'!AP51='check-Jul25'!AP51,"",'1. Live'!AP51-'check-Jul25'!AP51)</f>
        <v/>
      </c>
      <c r="AQ51" t="str">
        <f>IF('1. Live'!AQ51='check-Jul25'!AQ51,"",'1. Live'!AQ51-'check-Jul25'!AQ51)</f>
        <v/>
      </c>
      <c r="AR51" t="str">
        <f>IF('1. Live'!AR51='check-Jul25'!AR51,"",'1. Live'!AR51-'check-Jul25'!AR51)</f>
        <v/>
      </c>
      <c r="AS51" t="str">
        <f>IF('1. Live'!AS51='check-Jul25'!AS51,"",'1. Live'!AS51-'check-Jul25'!AS51)</f>
        <v/>
      </c>
      <c r="AT51" t="str">
        <f>IF('1. Live'!AT51='check-Jul25'!AT51,"",'1. Live'!AT51-'check-Jul25'!AT51)</f>
        <v/>
      </c>
      <c r="AU51" t="str">
        <f>IF('1. Live'!AU51='check-Jul25'!AU51,"",'1. Live'!AU51-'check-Jul25'!AU51)</f>
        <v/>
      </c>
      <c r="AV51" t="str">
        <f>IF('1. Live'!AV51='check-Jul25'!AV51,"",'1. Live'!AV51-'check-Jul25'!AV51)</f>
        <v/>
      </c>
      <c r="AW51" t="str">
        <f>IF('1. Live'!AW51='check-Jul25'!AW51,"",'1. Live'!AW51-'check-Jul25'!AW51)</f>
        <v/>
      </c>
      <c r="AX51" t="str">
        <f>IF('1. Live'!AX51='check-Jul25'!AX51,"",'1. Live'!AX51-'check-Jul25'!AX51)</f>
        <v/>
      </c>
      <c r="AY51" t="str">
        <f>IF('1. Live'!AY51='check-Jul25'!AY51,"",'1. Live'!AY51-'check-Jul25'!AY51)</f>
        <v/>
      </c>
      <c r="AZ51" t="str">
        <f>IF('1. Live'!AZ51='check-Jul25'!AZ51,"",'1. Live'!AZ51-'check-Jul25'!AZ51)</f>
        <v/>
      </c>
      <c r="BA51" t="str">
        <f>IF('1. Live'!BA51='check-Jul25'!BA51,"",'1. Live'!BA51-'check-Jul25'!BA51)</f>
        <v/>
      </c>
      <c r="BB51" t="str">
        <f>IF('1. Live'!BB51='check-Jul25'!BB51,"",'1. Live'!BB51-'check-Jul25'!BB51)</f>
        <v/>
      </c>
      <c r="BC51" t="str">
        <f>IF('1. Live'!BC51='check-Jul25'!BC51,"",'1. Live'!BC51-'check-Jul25'!BC51)</f>
        <v/>
      </c>
      <c r="BD51" t="str">
        <f>IF('1. Live'!BD51='check-Jul25'!BD51,"",'1. Live'!BD51-'check-Jul25'!BD51)</f>
        <v/>
      </c>
      <c r="BE51" t="str">
        <f>IF('1. Live'!BE51='check-Jul25'!BE51,"",'1. Live'!BE51-'check-Jul25'!BE51)</f>
        <v/>
      </c>
      <c r="BF51" t="str">
        <f>IF('1. Live'!BF51='check-Jul25'!BF51,"",'1. Live'!BF51-'check-Jul25'!BF51)</f>
        <v/>
      </c>
      <c r="BG51" t="str">
        <f>IF('1. Live'!BG51='check-Jul25'!BG51,"",'1. Live'!BG51-'check-Jul25'!BG51)</f>
        <v/>
      </c>
      <c r="BH51" t="str">
        <f>IF('1. Live'!BH51='check-Jul25'!BH51,"",'1. Live'!BH51-'check-Jul25'!BH51)</f>
        <v/>
      </c>
      <c r="BI51" t="str">
        <f>IF('1. Live'!BI51='check-Jul25'!BI51,"",'1. Live'!BI51-'check-Jul25'!BI51)</f>
        <v/>
      </c>
      <c r="BJ51" t="str">
        <f>IF('1. Live'!BJ51='check-Jul25'!BJ51,"",'1. Live'!BJ51-'check-Jul25'!BJ51)</f>
        <v/>
      </c>
      <c r="BK51" t="str">
        <f>IF('1. Live'!BK51='check-Jul25'!BK51,"",'1. Live'!BK51-'check-Jul25'!BK51)</f>
        <v/>
      </c>
      <c r="BL51" t="str">
        <f>IF('1. Live'!BL51='check-Jul25'!BL51,"",'1. Live'!BL51-'check-Jul25'!BL51)</f>
        <v/>
      </c>
      <c r="BM51" t="str">
        <f>IF('1. Live'!BM51='check-Jul25'!BM51,"",'1. Live'!BM51-'check-Jul25'!BM51)</f>
        <v/>
      </c>
      <c r="BN51" t="str">
        <f>IF('1. Live'!BN51='check-Jul25'!BN51,"",'1. Live'!BN51-'check-Jul25'!BN51)</f>
        <v/>
      </c>
      <c r="BO51" t="str">
        <f>IF('1. Live'!BO51='check-Jul25'!BO51,"",'1. Live'!BO51-'check-Jul25'!BO51)</f>
        <v/>
      </c>
      <c r="BP51" t="str">
        <f>IF('1. Live'!BP51='check-Jul25'!BP51,"",'1. Live'!BP51-'check-Jul25'!BP51)</f>
        <v/>
      </c>
      <c r="BQ51" t="str">
        <f>IF('1. Live'!BQ51='check-Jul25'!BQ51,"",'1. Live'!BQ51-'check-Jul25'!BQ51)</f>
        <v/>
      </c>
      <c r="BR51" t="str">
        <f>IF('1. Live'!BR51='check-Jul25'!BR51,"",'1. Live'!BR51-'check-Jul25'!BR51)</f>
        <v/>
      </c>
      <c r="BS51" t="str">
        <f>IF('1. Live'!BS51='check-Jul25'!BS51,"",'1. Live'!BS51-'check-Jul25'!BS51)</f>
        <v/>
      </c>
      <c r="BT51" t="str">
        <f>IF('1. Live'!BT51='check-Jul25'!BT51,"",'1. Live'!BT51-'check-Jul25'!BT51)</f>
        <v/>
      </c>
      <c r="BU51" t="str">
        <f>IF('1. Live'!BU51='check-Jul25'!BU51,"",'1. Live'!BU51-'check-Jul25'!BU51)</f>
        <v/>
      </c>
      <c r="BV51" t="str">
        <f>IF('1. Live'!BV51='check-Jul25'!BV51,"",'1. Live'!BV51-'check-Jul25'!BV51)</f>
        <v/>
      </c>
      <c r="BW51" t="str">
        <f>IF('1. Live'!BW51='check-Jul25'!BW51,"",'1. Live'!BW51-'check-Jul25'!BW51)</f>
        <v/>
      </c>
      <c r="BX51" t="str">
        <f>IF('1. Live'!BX51='check-Jul25'!BX51,"",'1. Live'!BX51-'check-Jul25'!BX51)</f>
        <v/>
      </c>
      <c r="BY51" t="str">
        <f>IF('1. Live'!BY51='check-Jul25'!BY51,"",'1. Live'!BY51-'check-Jul25'!BY51)</f>
        <v/>
      </c>
      <c r="BZ51" t="str">
        <f>IF('1. Live'!BZ51='check-Jul25'!BZ51,"",'1. Live'!BZ51-'check-Jul25'!BZ51)</f>
        <v/>
      </c>
      <c r="CA51" t="str">
        <f>IF('1. Live'!CA51='check-Jul25'!CA51,"",'1. Live'!CA51-'check-Jul25'!CA51)</f>
        <v/>
      </c>
      <c r="CB51" t="str">
        <f>IF('1. Live'!CB51='check-Jul25'!CB51,"",'1. Live'!CB51-'check-Jul25'!CB51)</f>
        <v/>
      </c>
      <c r="CC51" t="str">
        <f>IF('1. Live'!CC51='check-Jul25'!CC51,"",'1. Live'!CC51-'check-Jul25'!CC51)</f>
        <v/>
      </c>
      <c r="CD51" t="str">
        <f>IF('1. Live'!CD51='check-Jul25'!CD51,"",'1. Live'!CD51-'check-Jul25'!CD51)</f>
        <v/>
      </c>
      <c r="CE51" t="str">
        <f>IF('1. Live'!CE51='check-Jul25'!CE51,"",'1. Live'!CE51-'check-Jul25'!CE51)</f>
        <v/>
      </c>
      <c r="CF51" t="str">
        <f>IF('1. Live'!CF51='check-Jul25'!CF51,"",'1. Live'!CF51-'check-Jul25'!CF51)</f>
        <v/>
      </c>
      <c r="CG51" t="str">
        <f>IF('1. Live'!CG51='check-Jul25'!CG51,"",'1. Live'!CG51-'check-Jul25'!CG51)</f>
        <v/>
      </c>
      <c r="CH51" t="str">
        <f>IF('1. Live'!CH51='check-Jul25'!CH51,"",'1. Live'!CH51-'check-Jul25'!CH51)</f>
        <v/>
      </c>
      <c r="CI51" t="str">
        <f>IF('1. Live'!CI51='check-Jul25'!CI51,"",'1. Live'!CI51-'check-Jul25'!CI51)</f>
        <v/>
      </c>
      <c r="CJ51" t="str">
        <f>IF('1. Live'!CJ51='check-Jul25'!CJ51,"",'1. Live'!CJ51-'check-Jul25'!CJ51)</f>
        <v/>
      </c>
      <c r="CK51" t="str">
        <f>IF('1. Live'!CK51='check-Jul25'!CK51,"",'1. Live'!CK51-'check-Jul25'!CK51)</f>
        <v/>
      </c>
      <c r="CL51" t="str">
        <f>IF('1. Live'!CL51='check-Jul25'!CL51,"",'1. Live'!CL51-'check-Jul25'!CL51)</f>
        <v/>
      </c>
      <c r="CM51" t="str">
        <f>IF('1. Live'!CM51='check-Jul25'!CM51,"",'1. Live'!CM51-'check-Jul25'!CM51)</f>
        <v/>
      </c>
      <c r="CN51" t="str">
        <f>IF('1. Live'!CN51='check-Jul25'!CN51,"",'1. Live'!CN51-'check-Jul25'!CN51)</f>
        <v/>
      </c>
      <c r="CO51" t="str">
        <f>IF('1. Live'!CO51='check-Jul25'!CO51,"",'1. Live'!CO51-'check-Jul25'!CO51)</f>
        <v/>
      </c>
      <c r="CP51" t="str">
        <f>IF('1. Live'!CP51='check-Jul25'!CP51,"",'1. Live'!CP51-'check-Jul25'!CP51)</f>
        <v/>
      </c>
      <c r="CQ51" t="str">
        <f>IF('1. Live'!CQ51='check-Jul25'!CQ51,"",'1. Live'!CQ51-'check-Jul25'!CQ51)</f>
        <v/>
      </c>
      <c r="CR51" t="str">
        <f>IF('1. Live'!CR51='check-Jul25'!CR51,"",'1. Live'!CR51-'check-Jul25'!CR51)</f>
        <v/>
      </c>
      <c r="CS51" t="str">
        <f>IF('1. Live'!CS51='check-Jul25'!CS51,"",'1. Live'!CS51-'check-Jul25'!CS51)</f>
        <v/>
      </c>
      <c r="CT51" t="str">
        <f>IF('1. Live'!CT51='check-Jul25'!CT51,"",'1. Live'!CT51-'check-Jul25'!CT51)</f>
        <v/>
      </c>
      <c r="CU51" t="str">
        <f>IF('1. Live'!CU51='check-Jul25'!CU51,"",'1. Live'!CU51-'check-Jul25'!CU51)</f>
        <v/>
      </c>
      <c r="CV51" t="str">
        <f>IF('1. Live'!CV51='check-Jul25'!CV51,"",'1. Live'!CV51-'check-Jul25'!CV51)</f>
        <v/>
      </c>
      <c r="CW51" t="str">
        <f>IF('1. Live'!CW51='check-Jul25'!CW51,"",'1. Live'!CW51-'check-Jul25'!CW51)</f>
        <v/>
      </c>
    </row>
    <row r="52" spans="2:101">
      <c r="B52" s="68"/>
      <c r="C52" s="9"/>
      <c r="D52" s="9"/>
      <c r="E52" s="9"/>
      <c r="F52" s="9"/>
      <c r="G52" s="9"/>
      <c r="H52" s="9"/>
      <c r="I52" s="9"/>
      <c r="J52" s="93" t="str">
        <f>IF('1. Live'!J52='check-Jul25'!J52,"",'1. Live'!J52-'check-Jul25'!J52)</f>
        <v/>
      </c>
      <c r="K52" s="18" t="str">
        <f>IF('1. Live'!K52='check-Jul25'!K52,"",'1. Live'!K52-'check-Jul25'!K52)</f>
        <v/>
      </c>
      <c r="L52" s="18">
        <f>IF('1. Live'!L52='check-Jul25'!L52,"",'1. Live'!L52-'check-Jul25'!L52)</f>
        <v>46.002084989999958</v>
      </c>
      <c r="M52" s="18">
        <f>IF('1. Live'!M52='check-Jul25'!M52,"",'1. Live'!M52-'check-Jul25'!M52)</f>
        <v>-46.002084990000185</v>
      </c>
      <c r="N52" s="18" t="str">
        <f>IF('1. Live'!N52='check-Jul25'!N52,"",'1. Live'!N52-'check-Jul25'!N52)</f>
        <v/>
      </c>
      <c r="O52" s="18">
        <f>IF('1. Live'!O52='check-Jul25'!O52,"",'1. Live'!O52-'check-Jul25'!O52)</f>
        <v>151.16052888026627</v>
      </c>
      <c r="P52" s="18">
        <f>IF('1. Live'!P52='check-Jul25'!P52,"",'1. Live'!P52-'check-Jul25'!P52)</f>
        <v>105.1584438902662</v>
      </c>
      <c r="Q52" s="18" t="str">
        <f>IF('1. Live'!Q52='check-Jul25'!Q52,"",'1. Live'!Q52-'check-Jul25'!Q52)</f>
        <v/>
      </c>
      <c r="R52" s="11">
        <f>IF('1. Live'!R52='check-Jul25'!R52,"",'1. Live'!R52-'check-Jul25'!R52)</f>
        <v>0.17619026006749072</v>
      </c>
      <c r="S52" s="9" t="str">
        <f>IF('1. Live'!S52='check-Jul25'!S52,"",'1. Live'!S52-'check-Jul25'!S52)</f>
        <v/>
      </c>
      <c r="T52" s="69" t="str">
        <f>IF('1. Live'!T52='check-Jul25'!T52,"",'1. Live'!T52-'check-Jul25'!T52)</f>
        <v/>
      </c>
      <c r="U52" t="str">
        <f>IF('1. Live'!U52='check-Jul25'!U52,"",'1. Live'!U52-'check-Jul25'!U52)</f>
        <v/>
      </c>
      <c r="V52" t="str">
        <f>IF('1. Live'!V52='check-Jul25'!V52,"",'1. Live'!V52-'check-Jul25'!V52)</f>
        <v/>
      </c>
      <c r="W52" t="str">
        <f>IF('1. Live'!W52='check-Jul25'!W52,"",'1. Live'!W52-'check-Jul25'!W52)</f>
        <v/>
      </c>
      <c r="X52" t="str">
        <f>IF('1. Live'!X52='check-Jul25'!X52,"",'1. Live'!X52-'check-Jul25'!X52)</f>
        <v/>
      </c>
      <c r="Y52" t="str">
        <f>IF('1. Live'!Y52='check-Jul25'!Y52,"",'1. Live'!Y52-'check-Jul25'!Y52)</f>
        <v/>
      </c>
      <c r="Z52" t="str">
        <f>IF('1. Live'!Z52='check-Jul25'!Z52,"",'1. Live'!Z52-'check-Jul25'!Z52)</f>
        <v/>
      </c>
      <c r="AA52" t="str">
        <f>IF('1. Live'!AA52='check-Jul25'!AA52,"",'1. Live'!AA52-'check-Jul25'!AA52)</f>
        <v/>
      </c>
      <c r="AB52" t="str">
        <f>IF('1. Live'!AB52='check-Jul25'!AB52,"",'1. Live'!AB52-'check-Jul25'!AB52)</f>
        <v/>
      </c>
      <c r="AC52" t="str">
        <f>IF('1. Live'!AC52='check-Jul25'!AC52,"",'1. Live'!AC52-'check-Jul25'!AC52)</f>
        <v/>
      </c>
      <c r="AD52" t="str">
        <f>IF('1. Live'!AD52='check-Jul25'!AD52,"",'1. Live'!AD52-'check-Jul25'!AD52)</f>
        <v/>
      </c>
      <c r="AE52" t="str">
        <f>IF('1. Live'!AE52='check-Jul25'!AE52,"",'1. Live'!AE52-'check-Jul25'!AE52)</f>
        <v/>
      </c>
      <c r="AF52" t="str">
        <f>IF('1. Live'!AF52='check-Jul25'!AF52,"",'1. Live'!AF52-'check-Jul25'!AF52)</f>
        <v/>
      </c>
      <c r="AG52" t="str">
        <f>IF('1. Live'!AG52='check-Jul25'!AG52,"",'1. Live'!AG52-'check-Jul25'!AG52)</f>
        <v/>
      </c>
      <c r="AH52" t="str">
        <f>IF('1. Live'!AH52='check-Jul25'!AH52,"",'1. Live'!AH52-'check-Jul25'!AH52)</f>
        <v/>
      </c>
      <c r="AI52" t="str">
        <f>IF('1. Live'!AI52='check-Jul25'!AI52,"",'1. Live'!AI52-'check-Jul25'!AI52)</f>
        <v/>
      </c>
      <c r="AJ52" t="str">
        <f>IF('1. Live'!AJ52='check-Jul25'!AJ52,"",'1. Live'!AJ52-'check-Jul25'!AJ52)</f>
        <v/>
      </c>
      <c r="AK52" t="str">
        <f>IF('1. Live'!AK52='check-Jul25'!AK52,"",'1. Live'!AK52-'check-Jul25'!AK52)</f>
        <v/>
      </c>
      <c r="AL52" t="str">
        <f>IF('1. Live'!AL52='check-Jul25'!AL52,"",'1. Live'!AL52-'check-Jul25'!AL52)</f>
        <v/>
      </c>
      <c r="AM52" t="str">
        <f>IF('1. Live'!AM52='check-Jul25'!AM52,"",'1. Live'!AM52-'check-Jul25'!AM52)</f>
        <v/>
      </c>
      <c r="AN52" t="str">
        <f>IF('1. Live'!AN52='check-Jul25'!AN52,"",'1. Live'!AN52-'check-Jul25'!AN52)</f>
        <v/>
      </c>
      <c r="AO52" t="str">
        <f>IF('1. Live'!AO52='check-Jul25'!AO52,"",'1. Live'!AO52-'check-Jul25'!AO52)</f>
        <v/>
      </c>
      <c r="AP52" t="str">
        <f>IF('1. Live'!AP52='check-Jul25'!AP52,"",'1. Live'!AP52-'check-Jul25'!AP52)</f>
        <v/>
      </c>
      <c r="AQ52" t="str">
        <f>IF('1. Live'!AQ52='check-Jul25'!AQ52,"",'1. Live'!AQ52-'check-Jul25'!AQ52)</f>
        <v/>
      </c>
      <c r="AR52" t="str">
        <f>IF('1. Live'!AR52='check-Jul25'!AR52,"",'1. Live'!AR52-'check-Jul25'!AR52)</f>
        <v/>
      </c>
      <c r="AS52" t="str">
        <f>IF('1. Live'!AS52='check-Jul25'!AS52,"",'1. Live'!AS52-'check-Jul25'!AS52)</f>
        <v/>
      </c>
      <c r="AT52" t="str">
        <f>IF('1. Live'!AT52='check-Jul25'!AT52,"",'1. Live'!AT52-'check-Jul25'!AT52)</f>
        <v/>
      </c>
      <c r="AU52" t="str">
        <f>IF('1. Live'!AU52='check-Jul25'!AU52,"",'1. Live'!AU52-'check-Jul25'!AU52)</f>
        <v/>
      </c>
      <c r="AV52" t="str">
        <f>IF('1. Live'!AV52='check-Jul25'!AV52,"",'1. Live'!AV52-'check-Jul25'!AV52)</f>
        <v/>
      </c>
      <c r="AW52" t="str">
        <f>IF('1. Live'!AW52='check-Jul25'!AW52,"",'1. Live'!AW52-'check-Jul25'!AW52)</f>
        <v/>
      </c>
      <c r="AX52" t="str">
        <f>IF('1. Live'!AX52='check-Jul25'!AX52,"",'1. Live'!AX52-'check-Jul25'!AX52)</f>
        <v/>
      </c>
      <c r="AY52" t="str">
        <f>IF('1. Live'!AY52='check-Jul25'!AY52,"",'1. Live'!AY52-'check-Jul25'!AY52)</f>
        <v/>
      </c>
      <c r="AZ52" t="str">
        <f>IF('1. Live'!AZ52='check-Jul25'!AZ52,"",'1. Live'!AZ52-'check-Jul25'!AZ52)</f>
        <v/>
      </c>
      <c r="BA52" t="str">
        <f>IF('1. Live'!BA52='check-Jul25'!BA52,"",'1. Live'!BA52-'check-Jul25'!BA52)</f>
        <v/>
      </c>
      <c r="BB52" t="str">
        <f>IF('1. Live'!BB52='check-Jul25'!BB52,"",'1. Live'!BB52-'check-Jul25'!BB52)</f>
        <v/>
      </c>
      <c r="BC52" t="str">
        <f>IF('1. Live'!BC52='check-Jul25'!BC52,"",'1. Live'!BC52-'check-Jul25'!BC52)</f>
        <v/>
      </c>
      <c r="BD52" t="str">
        <f>IF('1. Live'!BD52='check-Jul25'!BD52,"",'1. Live'!BD52-'check-Jul25'!BD52)</f>
        <v/>
      </c>
      <c r="BE52" t="str">
        <f>IF('1. Live'!BE52='check-Jul25'!BE52,"",'1. Live'!BE52-'check-Jul25'!BE52)</f>
        <v/>
      </c>
      <c r="BF52" t="str">
        <f>IF('1. Live'!BF52='check-Jul25'!BF52,"",'1. Live'!BF52-'check-Jul25'!BF52)</f>
        <v/>
      </c>
      <c r="BG52" t="str">
        <f>IF('1. Live'!BG52='check-Jul25'!BG52,"",'1. Live'!BG52-'check-Jul25'!BG52)</f>
        <v/>
      </c>
      <c r="BH52" t="str">
        <f>IF('1. Live'!BH52='check-Jul25'!BH52,"",'1. Live'!BH52-'check-Jul25'!BH52)</f>
        <v/>
      </c>
      <c r="BI52" t="str">
        <f>IF('1. Live'!BI52='check-Jul25'!BI52,"",'1. Live'!BI52-'check-Jul25'!BI52)</f>
        <v/>
      </c>
      <c r="BJ52" t="str">
        <f>IF('1. Live'!BJ52='check-Jul25'!BJ52,"",'1. Live'!BJ52-'check-Jul25'!BJ52)</f>
        <v/>
      </c>
      <c r="BK52" t="str">
        <f>IF('1. Live'!BK52='check-Jul25'!BK52,"",'1. Live'!BK52-'check-Jul25'!BK52)</f>
        <v/>
      </c>
      <c r="BL52" t="str">
        <f>IF('1. Live'!BL52='check-Jul25'!BL52,"",'1. Live'!BL52-'check-Jul25'!BL52)</f>
        <v/>
      </c>
      <c r="BM52" t="str">
        <f>IF('1. Live'!BM52='check-Jul25'!BM52,"",'1. Live'!BM52-'check-Jul25'!BM52)</f>
        <v/>
      </c>
      <c r="BN52" t="str">
        <f>IF('1. Live'!BN52='check-Jul25'!BN52,"",'1. Live'!BN52-'check-Jul25'!BN52)</f>
        <v/>
      </c>
      <c r="BO52" t="str">
        <f>IF('1. Live'!BO52='check-Jul25'!BO52,"",'1. Live'!BO52-'check-Jul25'!BO52)</f>
        <v/>
      </c>
      <c r="BP52" t="str">
        <f>IF('1. Live'!BP52='check-Jul25'!BP52,"",'1. Live'!BP52-'check-Jul25'!BP52)</f>
        <v/>
      </c>
      <c r="BQ52" t="str">
        <f>IF('1. Live'!BQ52='check-Jul25'!BQ52,"",'1. Live'!BQ52-'check-Jul25'!BQ52)</f>
        <v/>
      </c>
      <c r="BR52" t="str">
        <f>IF('1. Live'!BR52='check-Jul25'!BR52,"",'1. Live'!BR52-'check-Jul25'!BR52)</f>
        <v/>
      </c>
      <c r="BS52" t="str">
        <f>IF('1. Live'!BS52='check-Jul25'!BS52,"",'1. Live'!BS52-'check-Jul25'!BS52)</f>
        <v/>
      </c>
      <c r="BT52" t="str">
        <f>IF('1. Live'!BT52='check-Jul25'!BT52,"",'1. Live'!BT52-'check-Jul25'!BT52)</f>
        <v/>
      </c>
      <c r="BU52" t="str">
        <f>IF('1. Live'!BU52='check-Jul25'!BU52,"",'1. Live'!BU52-'check-Jul25'!BU52)</f>
        <v/>
      </c>
      <c r="BV52" t="str">
        <f>IF('1. Live'!BV52='check-Jul25'!BV52,"",'1. Live'!BV52-'check-Jul25'!BV52)</f>
        <v/>
      </c>
      <c r="BW52" t="str">
        <f>IF('1. Live'!BW52='check-Jul25'!BW52,"",'1. Live'!BW52-'check-Jul25'!BW52)</f>
        <v/>
      </c>
      <c r="BX52" t="str">
        <f>IF('1. Live'!BX52='check-Jul25'!BX52,"",'1. Live'!BX52-'check-Jul25'!BX52)</f>
        <v/>
      </c>
      <c r="BY52" t="str">
        <f>IF('1. Live'!BY52='check-Jul25'!BY52,"",'1. Live'!BY52-'check-Jul25'!BY52)</f>
        <v/>
      </c>
      <c r="BZ52" t="str">
        <f>IF('1. Live'!BZ52='check-Jul25'!BZ52,"",'1. Live'!BZ52-'check-Jul25'!BZ52)</f>
        <v/>
      </c>
      <c r="CA52" t="str">
        <f>IF('1. Live'!CA52='check-Jul25'!CA52,"",'1. Live'!CA52-'check-Jul25'!CA52)</f>
        <v/>
      </c>
      <c r="CB52" t="str">
        <f>IF('1. Live'!CB52='check-Jul25'!CB52,"",'1. Live'!CB52-'check-Jul25'!CB52)</f>
        <v/>
      </c>
      <c r="CC52" t="str">
        <f>IF('1. Live'!CC52='check-Jul25'!CC52,"",'1. Live'!CC52-'check-Jul25'!CC52)</f>
        <v/>
      </c>
      <c r="CD52" t="str">
        <f>IF('1. Live'!CD52='check-Jul25'!CD52,"",'1. Live'!CD52-'check-Jul25'!CD52)</f>
        <v/>
      </c>
      <c r="CE52" t="str">
        <f>IF('1. Live'!CE52='check-Jul25'!CE52,"",'1. Live'!CE52-'check-Jul25'!CE52)</f>
        <v/>
      </c>
      <c r="CF52" t="str">
        <f>IF('1. Live'!CF52='check-Jul25'!CF52,"",'1. Live'!CF52-'check-Jul25'!CF52)</f>
        <v/>
      </c>
      <c r="CG52" t="str">
        <f>IF('1. Live'!CG52='check-Jul25'!CG52,"",'1. Live'!CG52-'check-Jul25'!CG52)</f>
        <v/>
      </c>
      <c r="CH52" t="str">
        <f>IF('1. Live'!CH52='check-Jul25'!CH52,"",'1. Live'!CH52-'check-Jul25'!CH52)</f>
        <v/>
      </c>
      <c r="CI52" t="str">
        <f>IF('1. Live'!CI52='check-Jul25'!CI52,"",'1. Live'!CI52-'check-Jul25'!CI52)</f>
        <v/>
      </c>
      <c r="CJ52" t="str">
        <f>IF('1. Live'!CJ52='check-Jul25'!CJ52,"",'1. Live'!CJ52-'check-Jul25'!CJ52)</f>
        <v/>
      </c>
      <c r="CK52" t="str">
        <f>IF('1. Live'!CK52='check-Jul25'!CK52,"",'1. Live'!CK52-'check-Jul25'!CK52)</f>
        <v/>
      </c>
      <c r="CL52" t="str">
        <f>IF('1. Live'!CL52='check-Jul25'!CL52,"",'1. Live'!CL52-'check-Jul25'!CL52)</f>
        <v/>
      </c>
      <c r="CM52" t="str">
        <f>IF('1. Live'!CM52='check-Jul25'!CM52,"",'1. Live'!CM52-'check-Jul25'!CM52)</f>
        <v/>
      </c>
      <c r="CN52" t="str">
        <f>IF('1. Live'!CN52='check-Jul25'!CN52,"",'1. Live'!CN52-'check-Jul25'!CN52)</f>
        <v/>
      </c>
      <c r="CO52" t="str">
        <f>IF('1. Live'!CO52='check-Jul25'!CO52,"",'1. Live'!CO52-'check-Jul25'!CO52)</f>
        <v/>
      </c>
      <c r="CP52" t="str">
        <f>IF('1. Live'!CP52='check-Jul25'!CP52,"",'1. Live'!CP52-'check-Jul25'!CP52)</f>
        <v/>
      </c>
      <c r="CQ52" t="str">
        <f>IF('1. Live'!CQ52='check-Jul25'!CQ52,"",'1. Live'!CQ52-'check-Jul25'!CQ52)</f>
        <v/>
      </c>
      <c r="CR52" t="str">
        <f>IF('1. Live'!CR52='check-Jul25'!CR52,"",'1. Live'!CR52-'check-Jul25'!CR52)</f>
        <v/>
      </c>
      <c r="CS52" t="str">
        <f>IF('1. Live'!CS52='check-Jul25'!CS52,"",'1. Live'!CS52-'check-Jul25'!CS52)</f>
        <v/>
      </c>
      <c r="CT52" t="str">
        <f>IF('1. Live'!CT52='check-Jul25'!CT52,"",'1. Live'!CT52-'check-Jul25'!CT52)</f>
        <v/>
      </c>
      <c r="CU52" t="str">
        <f>IF('1. Live'!CU52='check-Jul25'!CU52,"",'1. Live'!CU52-'check-Jul25'!CU52)</f>
        <v/>
      </c>
      <c r="CV52" t="str">
        <f>IF('1. Live'!CV52='check-Jul25'!CV52,"",'1. Live'!CV52-'check-Jul25'!CV52)</f>
        <v/>
      </c>
      <c r="CW52" t="str">
        <f>IF('1. Live'!CW52='check-Jul25'!CW52,"",'1. Live'!CW52-'check-Jul25'!CW52)</f>
        <v/>
      </c>
    </row>
    <row r="53" spans="2:101">
      <c r="B53" s="68"/>
      <c r="C53" s="145"/>
      <c r="D53" s="145"/>
      <c r="E53" s="145"/>
      <c r="F53" s="145"/>
      <c r="G53" s="145"/>
      <c r="H53" s="145"/>
      <c r="I53" s="145"/>
      <c r="J53" s="92" t="str">
        <f>IF('1. Live'!J53='check-Jul25'!J53,"",'1. Live'!J53-'check-Jul25'!J53)</f>
        <v/>
      </c>
      <c r="K53" s="146" t="str">
        <f>IF('1. Live'!K53='check-Jul25'!K53,"",'1. Live'!K53-'check-Jul25'!K53)</f>
        <v/>
      </c>
      <c r="L53" s="146" t="str">
        <f>IF('1. Live'!L53='check-Jul25'!L53,"",'1. Live'!L53-'check-Jul25'!L53)</f>
        <v/>
      </c>
      <c r="M53" s="146" t="str">
        <f>IF('1. Live'!M53='check-Jul25'!M53,"",'1. Live'!M53-'check-Jul25'!M53)</f>
        <v/>
      </c>
      <c r="N53" s="146" t="str">
        <f>IF('1. Live'!N53='check-Jul25'!N53,"",'1. Live'!N53-'check-Jul25'!N53)</f>
        <v/>
      </c>
      <c r="O53" s="146" t="str">
        <f>IF('1. Live'!O53='check-Jul25'!O53,"",'1. Live'!O53-'check-Jul25'!O53)</f>
        <v/>
      </c>
      <c r="P53" s="146" t="str">
        <f>IF('1. Live'!P53='check-Jul25'!P53,"",'1. Live'!P53-'check-Jul25'!P53)</f>
        <v/>
      </c>
      <c r="Q53" s="146" t="str">
        <f>IF('1. Live'!Q53='check-Jul25'!Q53,"",'1. Live'!Q53-'check-Jul25'!Q53)</f>
        <v/>
      </c>
      <c r="R53" s="147" t="str">
        <f>IF('1. Live'!R53='check-Jul25'!R53,"",'1. Live'!R53-'check-Jul25'!R53)</f>
        <v/>
      </c>
      <c r="S53" s="145" t="str">
        <f>IF('1. Live'!S53='check-Jul25'!S53,"",'1. Live'!S53-'check-Jul25'!S53)</f>
        <v/>
      </c>
      <c r="T53" s="69" t="str">
        <f>IF('1. Live'!T53='check-Jul25'!T53,"",'1. Live'!T53-'check-Jul25'!T53)</f>
        <v/>
      </c>
      <c r="U53" t="str">
        <f>IF('1. Live'!U53='check-Jul25'!U53,"",'1. Live'!U53-'check-Jul25'!U53)</f>
        <v/>
      </c>
      <c r="V53" t="str">
        <f>IF('1. Live'!V53='check-Jul25'!V53,"",'1. Live'!V53-'check-Jul25'!V53)</f>
        <v/>
      </c>
      <c r="W53" t="str">
        <f>IF('1. Live'!W53='check-Jul25'!W53,"",'1. Live'!W53-'check-Jul25'!W53)</f>
        <v/>
      </c>
      <c r="X53" t="str">
        <f>IF('1. Live'!X53='check-Jul25'!X53,"",'1. Live'!X53-'check-Jul25'!X53)</f>
        <v/>
      </c>
      <c r="Y53" t="str">
        <f>IF('1. Live'!Y53='check-Jul25'!Y53,"",'1. Live'!Y53-'check-Jul25'!Y53)</f>
        <v/>
      </c>
      <c r="Z53" t="str">
        <f>IF('1. Live'!Z53='check-Jul25'!Z53,"",'1. Live'!Z53-'check-Jul25'!Z53)</f>
        <v/>
      </c>
      <c r="AA53" t="str">
        <f>IF('1. Live'!AA53='check-Jul25'!AA53,"",'1. Live'!AA53-'check-Jul25'!AA53)</f>
        <v/>
      </c>
      <c r="AB53" t="str">
        <f>IF('1. Live'!AB53='check-Jul25'!AB53,"",'1. Live'!AB53-'check-Jul25'!AB53)</f>
        <v/>
      </c>
      <c r="AC53" t="str">
        <f>IF('1. Live'!AC53='check-Jul25'!AC53,"",'1. Live'!AC53-'check-Jul25'!AC53)</f>
        <v/>
      </c>
      <c r="AD53" t="str">
        <f>IF('1. Live'!AD53='check-Jul25'!AD53,"",'1. Live'!AD53-'check-Jul25'!AD53)</f>
        <v/>
      </c>
      <c r="AE53" t="str">
        <f>IF('1. Live'!AE53='check-Jul25'!AE53,"",'1. Live'!AE53-'check-Jul25'!AE53)</f>
        <v/>
      </c>
      <c r="AF53" t="str">
        <f>IF('1. Live'!AF53='check-Jul25'!AF53,"",'1. Live'!AF53-'check-Jul25'!AF53)</f>
        <v/>
      </c>
      <c r="AG53" t="str">
        <f>IF('1. Live'!AG53='check-Jul25'!AG53,"",'1. Live'!AG53-'check-Jul25'!AG53)</f>
        <v/>
      </c>
      <c r="AH53" t="str">
        <f>IF('1. Live'!AH53='check-Jul25'!AH53,"",'1. Live'!AH53-'check-Jul25'!AH53)</f>
        <v/>
      </c>
      <c r="AI53" t="str">
        <f>IF('1. Live'!AI53='check-Jul25'!AI53,"",'1. Live'!AI53-'check-Jul25'!AI53)</f>
        <v/>
      </c>
      <c r="AJ53" t="str">
        <f>IF('1. Live'!AJ53='check-Jul25'!AJ53,"",'1. Live'!AJ53-'check-Jul25'!AJ53)</f>
        <v/>
      </c>
      <c r="AK53" t="str">
        <f>IF('1. Live'!AK53='check-Jul25'!AK53,"",'1. Live'!AK53-'check-Jul25'!AK53)</f>
        <v/>
      </c>
      <c r="AL53" t="str">
        <f>IF('1. Live'!AL53='check-Jul25'!AL53,"",'1. Live'!AL53-'check-Jul25'!AL53)</f>
        <v/>
      </c>
      <c r="AM53" t="str">
        <f>IF('1. Live'!AM53='check-Jul25'!AM53,"",'1. Live'!AM53-'check-Jul25'!AM53)</f>
        <v/>
      </c>
      <c r="AN53" t="str">
        <f>IF('1. Live'!AN53='check-Jul25'!AN53,"",'1. Live'!AN53-'check-Jul25'!AN53)</f>
        <v/>
      </c>
      <c r="AO53" t="str">
        <f>IF('1. Live'!AO53='check-Jul25'!AO53,"",'1. Live'!AO53-'check-Jul25'!AO53)</f>
        <v/>
      </c>
      <c r="AP53" t="str">
        <f>IF('1. Live'!AP53='check-Jul25'!AP53,"",'1. Live'!AP53-'check-Jul25'!AP53)</f>
        <v/>
      </c>
      <c r="AQ53" t="str">
        <f>IF('1. Live'!AQ53='check-Jul25'!AQ53,"",'1. Live'!AQ53-'check-Jul25'!AQ53)</f>
        <v/>
      </c>
      <c r="AR53" t="str">
        <f>IF('1. Live'!AR53='check-Jul25'!AR53,"",'1. Live'!AR53-'check-Jul25'!AR53)</f>
        <v/>
      </c>
      <c r="AS53" t="str">
        <f>IF('1. Live'!AS53='check-Jul25'!AS53,"",'1. Live'!AS53-'check-Jul25'!AS53)</f>
        <v/>
      </c>
      <c r="AT53" t="str">
        <f>IF('1. Live'!AT53='check-Jul25'!AT53,"",'1. Live'!AT53-'check-Jul25'!AT53)</f>
        <v/>
      </c>
      <c r="AU53" t="str">
        <f>IF('1. Live'!AU53='check-Jul25'!AU53,"",'1. Live'!AU53-'check-Jul25'!AU53)</f>
        <v/>
      </c>
      <c r="AV53" t="str">
        <f>IF('1. Live'!AV53='check-Jul25'!AV53,"",'1. Live'!AV53-'check-Jul25'!AV53)</f>
        <v/>
      </c>
      <c r="AW53" t="str">
        <f>IF('1. Live'!AW53='check-Jul25'!AW53,"",'1. Live'!AW53-'check-Jul25'!AW53)</f>
        <v/>
      </c>
      <c r="AX53" t="str">
        <f>IF('1. Live'!AX53='check-Jul25'!AX53,"",'1. Live'!AX53-'check-Jul25'!AX53)</f>
        <v/>
      </c>
      <c r="AY53" t="str">
        <f>IF('1. Live'!AY53='check-Jul25'!AY53,"",'1. Live'!AY53-'check-Jul25'!AY53)</f>
        <v/>
      </c>
      <c r="AZ53" t="str">
        <f>IF('1. Live'!AZ53='check-Jul25'!AZ53,"",'1. Live'!AZ53-'check-Jul25'!AZ53)</f>
        <v/>
      </c>
      <c r="BA53" t="str">
        <f>IF('1. Live'!BA53='check-Jul25'!BA53,"",'1. Live'!BA53-'check-Jul25'!BA53)</f>
        <v/>
      </c>
      <c r="BB53" t="str">
        <f>IF('1. Live'!BB53='check-Jul25'!BB53,"",'1. Live'!BB53-'check-Jul25'!BB53)</f>
        <v/>
      </c>
      <c r="BC53" t="str">
        <f>IF('1. Live'!BC53='check-Jul25'!BC53,"",'1. Live'!BC53-'check-Jul25'!BC53)</f>
        <v/>
      </c>
      <c r="BD53" t="str">
        <f>IF('1. Live'!BD53='check-Jul25'!BD53,"",'1. Live'!BD53-'check-Jul25'!BD53)</f>
        <v/>
      </c>
      <c r="BE53" t="str">
        <f>IF('1. Live'!BE53='check-Jul25'!BE53,"",'1. Live'!BE53-'check-Jul25'!BE53)</f>
        <v/>
      </c>
      <c r="BF53" t="str">
        <f>IF('1. Live'!BF53='check-Jul25'!BF53,"",'1. Live'!BF53-'check-Jul25'!BF53)</f>
        <v/>
      </c>
      <c r="BG53" t="str">
        <f>IF('1. Live'!BG53='check-Jul25'!BG53,"",'1. Live'!BG53-'check-Jul25'!BG53)</f>
        <v/>
      </c>
      <c r="BH53" t="str">
        <f>IF('1. Live'!BH53='check-Jul25'!BH53,"",'1. Live'!BH53-'check-Jul25'!BH53)</f>
        <v/>
      </c>
      <c r="BI53" t="str">
        <f>IF('1. Live'!BI53='check-Jul25'!BI53,"",'1. Live'!BI53-'check-Jul25'!BI53)</f>
        <v/>
      </c>
      <c r="BJ53" t="str">
        <f>IF('1. Live'!BJ53='check-Jul25'!BJ53,"",'1. Live'!BJ53-'check-Jul25'!BJ53)</f>
        <v/>
      </c>
      <c r="BK53" t="str">
        <f>IF('1. Live'!BK53='check-Jul25'!BK53,"",'1. Live'!BK53-'check-Jul25'!BK53)</f>
        <v/>
      </c>
      <c r="BL53" t="str">
        <f>IF('1. Live'!BL53='check-Jul25'!BL53,"",'1. Live'!BL53-'check-Jul25'!BL53)</f>
        <v/>
      </c>
      <c r="BM53" t="str">
        <f>IF('1. Live'!BM53='check-Jul25'!BM53,"",'1. Live'!BM53-'check-Jul25'!BM53)</f>
        <v/>
      </c>
      <c r="BN53" t="str">
        <f>IF('1. Live'!BN53='check-Jul25'!BN53,"",'1. Live'!BN53-'check-Jul25'!BN53)</f>
        <v/>
      </c>
      <c r="BO53" t="str">
        <f>IF('1. Live'!BO53='check-Jul25'!BO53,"",'1. Live'!BO53-'check-Jul25'!BO53)</f>
        <v/>
      </c>
      <c r="BP53" t="str">
        <f>IF('1. Live'!BP53='check-Jul25'!BP53,"",'1. Live'!BP53-'check-Jul25'!BP53)</f>
        <v/>
      </c>
      <c r="BQ53" t="str">
        <f>IF('1. Live'!BQ53='check-Jul25'!BQ53,"",'1. Live'!BQ53-'check-Jul25'!BQ53)</f>
        <v/>
      </c>
      <c r="BR53" t="str">
        <f>IF('1. Live'!BR53='check-Jul25'!BR53,"",'1. Live'!BR53-'check-Jul25'!BR53)</f>
        <v/>
      </c>
      <c r="BS53" t="str">
        <f>IF('1. Live'!BS53='check-Jul25'!BS53,"",'1. Live'!BS53-'check-Jul25'!BS53)</f>
        <v/>
      </c>
      <c r="BT53" t="str">
        <f>IF('1. Live'!BT53='check-Jul25'!BT53,"",'1. Live'!BT53-'check-Jul25'!BT53)</f>
        <v/>
      </c>
      <c r="BU53" t="str">
        <f>IF('1. Live'!BU53='check-Jul25'!BU53,"",'1. Live'!BU53-'check-Jul25'!BU53)</f>
        <v/>
      </c>
      <c r="BV53" t="str">
        <f>IF('1. Live'!BV53='check-Jul25'!BV53,"",'1. Live'!BV53-'check-Jul25'!BV53)</f>
        <v/>
      </c>
      <c r="BW53" t="str">
        <f>IF('1. Live'!BW53='check-Jul25'!BW53,"",'1. Live'!BW53-'check-Jul25'!BW53)</f>
        <v/>
      </c>
      <c r="BX53" t="str">
        <f>IF('1. Live'!BX53='check-Jul25'!BX53,"",'1. Live'!BX53-'check-Jul25'!BX53)</f>
        <v/>
      </c>
      <c r="BY53" t="str">
        <f>IF('1. Live'!BY53='check-Jul25'!BY53,"",'1. Live'!BY53-'check-Jul25'!BY53)</f>
        <v/>
      </c>
      <c r="BZ53" t="str">
        <f>IF('1. Live'!BZ53='check-Jul25'!BZ53,"",'1. Live'!BZ53-'check-Jul25'!BZ53)</f>
        <v/>
      </c>
      <c r="CA53" t="str">
        <f>IF('1. Live'!CA53='check-Jul25'!CA53,"",'1. Live'!CA53-'check-Jul25'!CA53)</f>
        <v/>
      </c>
      <c r="CB53" t="str">
        <f>IF('1. Live'!CB53='check-Jul25'!CB53,"",'1. Live'!CB53-'check-Jul25'!CB53)</f>
        <v/>
      </c>
      <c r="CC53" t="str">
        <f>IF('1. Live'!CC53='check-Jul25'!CC53,"",'1. Live'!CC53-'check-Jul25'!CC53)</f>
        <v/>
      </c>
      <c r="CD53" t="str">
        <f>IF('1. Live'!CD53='check-Jul25'!CD53,"",'1. Live'!CD53-'check-Jul25'!CD53)</f>
        <v/>
      </c>
      <c r="CE53" t="str">
        <f>IF('1. Live'!CE53='check-Jul25'!CE53,"",'1. Live'!CE53-'check-Jul25'!CE53)</f>
        <v/>
      </c>
      <c r="CF53" t="str">
        <f>IF('1. Live'!CF53='check-Jul25'!CF53,"",'1. Live'!CF53-'check-Jul25'!CF53)</f>
        <v/>
      </c>
      <c r="CG53" t="str">
        <f>IF('1. Live'!CG53='check-Jul25'!CG53,"",'1. Live'!CG53-'check-Jul25'!CG53)</f>
        <v/>
      </c>
      <c r="CH53" t="str">
        <f>IF('1. Live'!CH53='check-Jul25'!CH53,"",'1. Live'!CH53-'check-Jul25'!CH53)</f>
        <v/>
      </c>
      <c r="CI53" t="str">
        <f>IF('1. Live'!CI53='check-Jul25'!CI53,"",'1. Live'!CI53-'check-Jul25'!CI53)</f>
        <v/>
      </c>
      <c r="CJ53" t="str">
        <f>IF('1. Live'!CJ53='check-Jul25'!CJ53,"",'1. Live'!CJ53-'check-Jul25'!CJ53)</f>
        <v/>
      </c>
      <c r="CK53" t="str">
        <f>IF('1. Live'!CK53='check-Jul25'!CK53,"",'1. Live'!CK53-'check-Jul25'!CK53)</f>
        <v/>
      </c>
      <c r="CL53" t="str">
        <f>IF('1. Live'!CL53='check-Jul25'!CL53,"",'1. Live'!CL53-'check-Jul25'!CL53)</f>
        <v/>
      </c>
      <c r="CM53" t="str">
        <f>IF('1. Live'!CM53='check-Jul25'!CM53,"",'1. Live'!CM53-'check-Jul25'!CM53)</f>
        <v/>
      </c>
      <c r="CN53" t="str">
        <f>IF('1. Live'!CN53='check-Jul25'!CN53,"",'1. Live'!CN53-'check-Jul25'!CN53)</f>
        <v/>
      </c>
      <c r="CO53" t="str">
        <f>IF('1. Live'!CO53='check-Jul25'!CO53,"",'1. Live'!CO53-'check-Jul25'!CO53)</f>
        <v/>
      </c>
      <c r="CP53" t="str">
        <f>IF('1. Live'!CP53='check-Jul25'!CP53,"",'1. Live'!CP53-'check-Jul25'!CP53)</f>
        <v/>
      </c>
      <c r="CQ53" t="str">
        <f>IF('1. Live'!CQ53='check-Jul25'!CQ53,"",'1. Live'!CQ53-'check-Jul25'!CQ53)</f>
        <v/>
      </c>
      <c r="CR53" t="str">
        <f>IF('1. Live'!CR53='check-Jul25'!CR53,"",'1. Live'!CR53-'check-Jul25'!CR53)</f>
        <v/>
      </c>
      <c r="CS53" t="str">
        <f>IF('1. Live'!CS53='check-Jul25'!CS53,"",'1. Live'!CS53-'check-Jul25'!CS53)</f>
        <v/>
      </c>
      <c r="CT53" t="str">
        <f>IF('1. Live'!CT53='check-Jul25'!CT53,"",'1. Live'!CT53-'check-Jul25'!CT53)</f>
        <v/>
      </c>
      <c r="CU53" t="str">
        <f>IF('1. Live'!CU53='check-Jul25'!CU53,"",'1. Live'!CU53-'check-Jul25'!CU53)</f>
        <v/>
      </c>
      <c r="CV53" t="str">
        <f>IF('1. Live'!CV53='check-Jul25'!CV53,"",'1. Live'!CV53-'check-Jul25'!CV53)</f>
        <v/>
      </c>
      <c r="CW53" t="str">
        <f>IF('1. Live'!CW53='check-Jul25'!CW53,"",'1. Live'!CW53-'check-Jul25'!CW53)</f>
        <v/>
      </c>
    </row>
    <row r="54" spans="2:101">
      <c r="B54" s="68"/>
      <c r="C54" s="356"/>
      <c r="D54" s="356"/>
      <c r="E54" s="357"/>
      <c r="F54" s="357"/>
      <c r="G54" s="357"/>
      <c r="H54" s="357"/>
      <c r="I54" s="357"/>
      <c r="J54" s="416" t="str">
        <f>IF('1. Live'!J54='check-Jul25'!J54,"",'1. Live'!J54-'check-Jul25'!J54)</f>
        <v/>
      </c>
      <c r="K54" s="417">
        <f ca="1">IF('1. Live'!K54='check-Jul25'!K54,"",'1. Live'!K54-'check-Jul25'!K54)</f>
        <v>-0.11707770896373404</v>
      </c>
      <c r="L54" s="417">
        <f ca="1">IF('1. Live'!L54='check-Jul25'!L54,"",'1. Live'!L54-'check-Jul25'!L54)</f>
        <v>46.002084989999958</v>
      </c>
      <c r="M54" s="417">
        <f ca="1">IF('1. Live'!M54='check-Jul25'!M54,"",'1. Live'!M54-'check-Jul25'!M54)</f>
        <v>-46.119162698964146</v>
      </c>
      <c r="N54" s="417" t="str">
        <f ca="1">IF('1. Live'!N54='check-Jul25'!N54,"",'1. Live'!N54-'check-Jul25'!N54)</f>
        <v/>
      </c>
      <c r="O54" s="417">
        <f ca="1">IF('1. Live'!O54='check-Jul25'!O54,"",'1. Live'!O54-'check-Jul25'!O54)</f>
        <v>137.1002330276292</v>
      </c>
      <c r="P54" s="417">
        <f ca="1">IF('1. Live'!P54='check-Jul25'!P54,"",'1. Live'!P54-'check-Jul25'!P54)</f>
        <v>91.098148037629187</v>
      </c>
      <c r="Q54" s="417" t="str">
        <f>IF('1. Live'!Q54='check-Jul25'!Q54,"",'1. Live'!Q54-'check-Jul25'!Q54)</f>
        <v/>
      </c>
      <c r="R54" s="418">
        <f ca="1">IF('1. Live'!R54='check-Jul25'!R54,"",'1. Live'!R54-'check-Jul25'!R54)</f>
        <v>5.4160318529199891E-2</v>
      </c>
      <c r="S54" s="357" t="str">
        <f>IF('1. Live'!S54='check-Jul25'!S54,"",'1. Live'!S54-'check-Jul25'!S54)</f>
        <v/>
      </c>
      <c r="T54" s="69" t="str">
        <f>IF('1. Live'!T54='check-Jul25'!T54,"",'1. Live'!T54-'check-Jul25'!T54)</f>
        <v/>
      </c>
      <c r="U54" t="str">
        <f>IF('1. Live'!U54='check-Jul25'!U54,"",'1. Live'!U54-'check-Jul25'!U54)</f>
        <v/>
      </c>
      <c r="V54" t="str">
        <f>IF('1. Live'!V54='check-Jul25'!V54,"",'1. Live'!V54-'check-Jul25'!V54)</f>
        <v/>
      </c>
      <c r="W54" t="str">
        <f>IF('1. Live'!W54='check-Jul25'!W54,"",'1. Live'!W54-'check-Jul25'!W54)</f>
        <v/>
      </c>
      <c r="X54" t="str">
        <f>IF('1. Live'!X54='check-Jul25'!X54,"",'1. Live'!X54-'check-Jul25'!X54)</f>
        <v/>
      </c>
      <c r="Y54" t="str">
        <f>IF('1. Live'!Y54='check-Jul25'!Y54,"",'1. Live'!Y54-'check-Jul25'!Y54)</f>
        <v/>
      </c>
      <c r="Z54" t="str">
        <f>IF('1. Live'!Z54='check-Jul25'!Z54,"",'1. Live'!Z54-'check-Jul25'!Z54)</f>
        <v/>
      </c>
      <c r="AA54" t="str">
        <f>IF('1. Live'!AA54='check-Jul25'!AA54,"",'1. Live'!AA54-'check-Jul25'!AA54)</f>
        <v/>
      </c>
      <c r="AB54" t="str">
        <f>IF('1. Live'!AB54='check-Jul25'!AB54,"",'1. Live'!AB54-'check-Jul25'!AB54)</f>
        <v/>
      </c>
      <c r="AC54" t="str">
        <f>IF('1. Live'!AC54='check-Jul25'!AC54,"",'1. Live'!AC54-'check-Jul25'!AC54)</f>
        <v/>
      </c>
      <c r="AD54" t="str">
        <f>IF('1. Live'!AD54='check-Jul25'!AD54,"",'1. Live'!AD54-'check-Jul25'!AD54)</f>
        <v/>
      </c>
      <c r="AE54" t="str">
        <f>IF('1. Live'!AE54='check-Jul25'!AE54,"",'1. Live'!AE54-'check-Jul25'!AE54)</f>
        <v/>
      </c>
      <c r="AF54" t="str">
        <f>IF('1. Live'!AF54='check-Jul25'!AF54,"",'1. Live'!AF54-'check-Jul25'!AF54)</f>
        <v/>
      </c>
      <c r="AG54" t="str">
        <f>IF('1. Live'!AG54='check-Jul25'!AG54,"",'1. Live'!AG54-'check-Jul25'!AG54)</f>
        <v/>
      </c>
      <c r="AH54" t="str">
        <f>IF('1. Live'!AH54='check-Jul25'!AH54,"",'1. Live'!AH54-'check-Jul25'!AH54)</f>
        <v/>
      </c>
      <c r="AI54" t="str">
        <f>IF('1. Live'!AI54='check-Jul25'!AI54,"",'1. Live'!AI54-'check-Jul25'!AI54)</f>
        <v/>
      </c>
      <c r="AJ54" t="str">
        <f>IF('1. Live'!AJ54='check-Jul25'!AJ54,"",'1. Live'!AJ54-'check-Jul25'!AJ54)</f>
        <v/>
      </c>
      <c r="AK54" t="str">
        <f>IF('1. Live'!AK54='check-Jul25'!AK54,"",'1. Live'!AK54-'check-Jul25'!AK54)</f>
        <v/>
      </c>
      <c r="AL54" t="str">
        <f>IF('1. Live'!AL54='check-Jul25'!AL54,"",'1. Live'!AL54-'check-Jul25'!AL54)</f>
        <v/>
      </c>
      <c r="AM54" t="str">
        <f>IF('1. Live'!AM54='check-Jul25'!AM54,"",'1. Live'!AM54-'check-Jul25'!AM54)</f>
        <v/>
      </c>
      <c r="AN54" t="str">
        <f>IF('1. Live'!AN54='check-Jul25'!AN54,"",'1. Live'!AN54-'check-Jul25'!AN54)</f>
        <v/>
      </c>
      <c r="AO54" t="str">
        <f>IF('1. Live'!AO54='check-Jul25'!AO54,"",'1. Live'!AO54-'check-Jul25'!AO54)</f>
        <v/>
      </c>
      <c r="AP54" t="str">
        <f>IF('1. Live'!AP54='check-Jul25'!AP54,"",'1. Live'!AP54-'check-Jul25'!AP54)</f>
        <v/>
      </c>
      <c r="AQ54" t="str">
        <f>IF('1. Live'!AQ54='check-Jul25'!AQ54,"",'1. Live'!AQ54-'check-Jul25'!AQ54)</f>
        <v/>
      </c>
      <c r="AR54" t="str">
        <f>IF('1. Live'!AR54='check-Jul25'!AR54,"",'1. Live'!AR54-'check-Jul25'!AR54)</f>
        <v/>
      </c>
      <c r="AS54" t="str">
        <f>IF('1. Live'!AS54='check-Jul25'!AS54,"",'1. Live'!AS54-'check-Jul25'!AS54)</f>
        <v/>
      </c>
      <c r="AT54" t="str">
        <f>IF('1. Live'!AT54='check-Jul25'!AT54,"",'1. Live'!AT54-'check-Jul25'!AT54)</f>
        <v/>
      </c>
      <c r="AU54" t="str">
        <f>IF('1. Live'!AU54='check-Jul25'!AU54,"",'1. Live'!AU54-'check-Jul25'!AU54)</f>
        <v/>
      </c>
      <c r="AV54" t="str">
        <f>IF('1. Live'!AV54='check-Jul25'!AV54,"",'1. Live'!AV54-'check-Jul25'!AV54)</f>
        <v/>
      </c>
      <c r="AW54" t="str">
        <f>IF('1. Live'!AW54='check-Jul25'!AW54,"",'1. Live'!AW54-'check-Jul25'!AW54)</f>
        <v/>
      </c>
      <c r="AX54" t="str">
        <f>IF('1. Live'!AX54='check-Jul25'!AX54,"",'1. Live'!AX54-'check-Jul25'!AX54)</f>
        <v/>
      </c>
      <c r="AY54" t="str">
        <f>IF('1. Live'!AY54='check-Jul25'!AY54,"",'1. Live'!AY54-'check-Jul25'!AY54)</f>
        <v/>
      </c>
      <c r="AZ54" t="str">
        <f>IF('1. Live'!AZ54='check-Jul25'!AZ54,"",'1. Live'!AZ54-'check-Jul25'!AZ54)</f>
        <v/>
      </c>
      <c r="BA54" t="str">
        <f>IF('1. Live'!BA54='check-Jul25'!BA54,"",'1. Live'!BA54-'check-Jul25'!BA54)</f>
        <v/>
      </c>
      <c r="BB54" t="str">
        <f>IF('1. Live'!BB54='check-Jul25'!BB54,"",'1. Live'!BB54-'check-Jul25'!BB54)</f>
        <v/>
      </c>
      <c r="BC54" t="str">
        <f>IF('1. Live'!BC54='check-Jul25'!BC54,"",'1. Live'!BC54-'check-Jul25'!BC54)</f>
        <v/>
      </c>
      <c r="BD54" t="str">
        <f>IF('1. Live'!BD54='check-Jul25'!BD54,"",'1. Live'!BD54-'check-Jul25'!BD54)</f>
        <v/>
      </c>
      <c r="BE54" t="str">
        <f>IF('1. Live'!BE54='check-Jul25'!BE54,"",'1. Live'!BE54-'check-Jul25'!BE54)</f>
        <v/>
      </c>
      <c r="BF54" t="str">
        <f>IF('1. Live'!BF54='check-Jul25'!BF54,"",'1. Live'!BF54-'check-Jul25'!BF54)</f>
        <v/>
      </c>
      <c r="BG54" t="str">
        <f>IF('1. Live'!BG54='check-Jul25'!BG54,"",'1. Live'!BG54-'check-Jul25'!BG54)</f>
        <v/>
      </c>
      <c r="BH54" t="str">
        <f>IF('1. Live'!BH54='check-Jul25'!BH54,"",'1. Live'!BH54-'check-Jul25'!BH54)</f>
        <v/>
      </c>
      <c r="BI54" t="str">
        <f>IF('1. Live'!BI54='check-Jul25'!BI54,"",'1. Live'!BI54-'check-Jul25'!BI54)</f>
        <v/>
      </c>
      <c r="BJ54" t="str">
        <f>IF('1. Live'!BJ54='check-Jul25'!BJ54,"",'1. Live'!BJ54-'check-Jul25'!BJ54)</f>
        <v/>
      </c>
      <c r="BK54" t="str">
        <f>IF('1. Live'!BK54='check-Jul25'!BK54,"",'1. Live'!BK54-'check-Jul25'!BK54)</f>
        <v/>
      </c>
      <c r="BL54" t="str">
        <f>IF('1. Live'!BL54='check-Jul25'!BL54,"",'1. Live'!BL54-'check-Jul25'!BL54)</f>
        <v/>
      </c>
      <c r="BM54" t="str">
        <f>IF('1. Live'!BM54='check-Jul25'!BM54,"",'1. Live'!BM54-'check-Jul25'!BM54)</f>
        <v/>
      </c>
      <c r="BN54" t="str">
        <f>IF('1. Live'!BN54='check-Jul25'!BN54,"",'1. Live'!BN54-'check-Jul25'!BN54)</f>
        <v/>
      </c>
      <c r="BO54" t="str">
        <f>IF('1. Live'!BO54='check-Jul25'!BO54,"",'1. Live'!BO54-'check-Jul25'!BO54)</f>
        <v/>
      </c>
      <c r="BP54" t="str">
        <f>IF('1. Live'!BP54='check-Jul25'!BP54,"",'1. Live'!BP54-'check-Jul25'!BP54)</f>
        <v/>
      </c>
      <c r="BQ54" t="str">
        <f>IF('1. Live'!BQ54='check-Jul25'!BQ54,"",'1. Live'!BQ54-'check-Jul25'!BQ54)</f>
        <v/>
      </c>
      <c r="BR54" t="str">
        <f>IF('1. Live'!BR54='check-Jul25'!BR54,"",'1. Live'!BR54-'check-Jul25'!BR54)</f>
        <v/>
      </c>
      <c r="BS54" t="str">
        <f>IF('1. Live'!BS54='check-Jul25'!BS54,"",'1. Live'!BS54-'check-Jul25'!BS54)</f>
        <v/>
      </c>
      <c r="BT54" t="str">
        <f>IF('1. Live'!BT54='check-Jul25'!BT54,"",'1. Live'!BT54-'check-Jul25'!BT54)</f>
        <v/>
      </c>
      <c r="BU54" t="str">
        <f>IF('1. Live'!BU54='check-Jul25'!BU54,"",'1. Live'!BU54-'check-Jul25'!BU54)</f>
        <v/>
      </c>
      <c r="BV54" t="str">
        <f>IF('1. Live'!BV54='check-Jul25'!BV54,"",'1. Live'!BV54-'check-Jul25'!BV54)</f>
        <v/>
      </c>
      <c r="BW54" t="str">
        <f>IF('1. Live'!BW54='check-Jul25'!BW54,"",'1. Live'!BW54-'check-Jul25'!BW54)</f>
        <v/>
      </c>
      <c r="BX54" t="str">
        <f>IF('1. Live'!BX54='check-Jul25'!BX54,"",'1. Live'!BX54-'check-Jul25'!BX54)</f>
        <v/>
      </c>
      <c r="BY54" t="str">
        <f>IF('1. Live'!BY54='check-Jul25'!BY54,"",'1. Live'!BY54-'check-Jul25'!BY54)</f>
        <v/>
      </c>
      <c r="BZ54" t="str">
        <f>IF('1. Live'!BZ54='check-Jul25'!BZ54,"",'1. Live'!BZ54-'check-Jul25'!BZ54)</f>
        <v/>
      </c>
      <c r="CA54" t="str">
        <f>IF('1. Live'!CA54='check-Jul25'!CA54,"",'1. Live'!CA54-'check-Jul25'!CA54)</f>
        <v/>
      </c>
      <c r="CB54" t="str">
        <f>IF('1. Live'!CB54='check-Jul25'!CB54,"",'1. Live'!CB54-'check-Jul25'!CB54)</f>
        <v/>
      </c>
      <c r="CC54" t="str">
        <f>IF('1. Live'!CC54='check-Jul25'!CC54,"",'1. Live'!CC54-'check-Jul25'!CC54)</f>
        <v/>
      </c>
      <c r="CD54" t="str">
        <f>IF('1. Live'!CD54='check-Jul25'!CD54,"",'1. Live'!CD54-'check-Jul25'!CD54)</f>
        <v/>
      </c>
      <c r="CE54" t="str">
        <f>IF('1. Live'!CE54='check-Jul25'!CE54,"",'1. Live'!CE54-'check-Jul25'!CE54)</f>
        <v/>
      </c>
      <c r="CF54" t="str">
        <f>IF('1. Live'!CF54='check-Jul25'!CF54,"",'1. Live'!CF54-'check-Jul25'!CF54)</f>
        <v/>
      </c>
      <c r="CG54" t="str">
        <f>IF('1. Live'!CG54='check-Jul25'!CG54,"",'1. Live'!CG54-'check-Jul25'!CG54)</f>
        <v/>
      </c>
      <c r="CH54" t="str">
        <f>IF('1. Live'!CH54='check-Jul25'!CH54,"",'1. Live'!CH54-'check-Jul25'!CH54)</f>
        <v/>
      </c>
      <c r="CI54" t="str">
        <f>IF('1. Live'!CI54='check-Jul25'!CI54,"",'1. Live'!CI54-'check-Jul25'!CI54)</f>
        <v/>
      </c>
      <c r="CJ54" t="str">
        <f>IF('1. Live'!CJ54='check-Jul25'!CJ54,"",'1. Live'!CJ54-'check-Jul25'!CJ54)</f>
        <v/>
      </c>
      <c r="CK54" t="str">
        <f>IF('1. Live'!CK54='check-Jul25'!CK54,"",'1. Live'!CK54-'check-Jul25'!CK54)</f>
        <v/>
      </c>
      <c r="CL54" t="str">
        <f>IF('1. Live'!CL54='check-Jul25'!CL54,"",'1. Live'!CL54-'check-Jul25'!CL54)</f>
        <v/>
      </c>
      <c r="CM54" t="str">
        <f>IF('1. Live'!CM54='check-Jul25'!CM54,"",'1. Live'!CM54-'check-Jul25'!CM54)</f>
        <v/>
      </c>
      <c r="CN54" t="str">
        <f>IF('1. Live'!CN54='check-Jul25'!CN54,"",'1. Live'!CN54-'check-Jul25'!CN54)</f>
        <v/>
      </c>
      <c r="CO54" t="str">
        <f>IF('1. Live'!CO54='check-Jul25'!CO54,"",'1. Live'!CO54-'check-Jul25'!CO54)</f>
        <v/>
      </c>
      <c r="CP54" t="str">
        <f>IF('1. Live'!CP54='check-Jul25'!CP54,"",'1. Live'!CP54-'check-Jul25'!CP54)</f>
        <v/>
      </c>
      <c r="CQ54" t="str">
        <f>IF('1. Live'!CQ54='check-Jul25'!CQ54,"",'1. Live'!CQ54-'check-Jul25'!CQ54)</f>
        <v/>
      </c>
      <c r="CR54" t="str">
        <f>IF('1. Live'!CR54='check-Jul25'!CR54,"",'1. Live'!CR54-'check-Jul25'!CR54)</f>
        <v/>
      </c>
      <c r="CS54" t="str">
        <f>IF('1. Live'!CS54='check-Jul25'!CS54,"",'1. Live'!CS54-'check-Jul25'!CS54)</f>
        <v/>
      </c>
      <c r="CT54" t="str">
        <f>IF('1. Live'!CT54='check-Jul25'!CT54,"",'1. Live'!CT54-'check-Jul25'!CT54)</f>
        <v/>
      </c>
      <c r="CU54" t="str">
        <f>IF('1. Live'!CU54='check-Jul25'!CU54,"",'1. Live'!CU54-'check-Jul25'!CU54)</f>
        <v/>
      </c>
      <c r="CV54" t="str">
        <f>IF('1. Live'!CV54='check-Jul25'!CV54,"",'1. Live'!CV54-'check-Jul25'!CV54)</f>
        <v/>
      </c>
      <c r="CW54" t="str">
        <f>IF('1. Live'!CW54='check-Jul25'!CW54,"",'1. Live'!CW54-'check-Jul25'!CW54)</f>
        <v/>
      </c>
    </row>
    <row r="55" spans="2:101" ht="15.75" thickBot="1">
      <c r="B55" s="171"/>
      <c r="C55" s="172"/>
      <c r="D55" s="172"/>
      <c r="E55" s="173"/>
      <c r="F55" s="173"/>
      <c r="G55" s="173"/>
      <c r="H55" s="173"/>
      <c r="I55" s="173"/>
      <c r="J55" s="174" t="str">
        <f>IF('1. Live'!J55='check-Jul25'!J55,"",'1. Live'!J55-'check-Jul25'!J55)</f>
        <v/>
      </c>
      <c r="K55" s="175" t="str">
        <f>IF('1. Live'!K55='check-Jul25'!K55,"",'1. Live'!K55-'check-Jul25'!K55)</f>
        <v/>
      </c>
      <c r="L55" s="175" t="str">
        <f>IF('1. Live'!L55='check-Jul25'!L55,"",'1. Live'!L55-'check-Jul25'!L55)</f>
        <v/>
      </c>
      <c r="M55" s="175" t="str">
        <f>IF('1. Live'!M55='check-Jul25'!M55,"",'1. Live'!M55-'check-Jul25'!M55)</f>
        <v/>
      </c>
      <c r="N55" s="175" t="str">
        <f>IF('1. Live'!N55='check-Jul25'!N55,"",'1. Live'!N55-'check-Jul25'!N55)</f>
        <v/>
      </c>
      <c r="O55" s="175" t="str">
        <f>IF('1. Live'!O55='check-Jul25'!O55,"",'1. Live'!O55-'check-Jul25'!O55)</f>
        <v/>
      </c>
      <c r="P55" s="175" t="str">
        <f>IF('1. Live'!P55='check-Jul25'!P55,"",'1. Live'!P55-'check-Jul25'!P55)</f>
        <v/>
      </c>
      <c r="Q55" s="175" t="str">
        <f>IF('1. Live'!Q55='check-Jul25'!Q55,"",'1. Live'!Q55-'check-Jul25'!Q55)</f>
        <v/>
      </c>
      <c r="R55" s="176" t="str">
        <f>IF('1. Live'!R55='check-Jul25'!R55,"",'1. Live'!R55-'check-Jul25'!R55)</f>
        <v/>
      </c>
      <c r="S55" s="173" t="str">
        <f>IF('1. Live'!S55='check-Jul25'!S55,"",'1. Live'!S55-'check-Jul25'!S55)</f>
        <v/>
      </c>
      <c r="T55" s="177" t="str">
        <f>IF('1. Live'!T55='check-Jul25'!T55,"",'1. Live'!T55-'check-Jul25'!T55)</f>
        <v/>
      </c>
      <c r="U55" t="str">
        <f>IF('1. Live'!U55='check-Jul25'!U55,"",'1. Live'!U55-'check-Jul25'!U55)</f>
        <v/>
      </c>
      <c r="V55" t="str">
        <f>IF('1. Live'!V55='check-Jul25'!V55,"",'1. Live'!V55-'check-Jul25'!V55)</f>
        <v/>
      </c>
      <c r="W55" t="str">
        <f>IF('1. Live'!W55='check-Jul25'!W55,"",'1. Live'!W55-'check-Jul25'!W55)</f>
        <v/>
      </c>
      <c r="X55" t="str">
        <f>IF('1. Live'!X55='check-Jul25'!X55,"",'1. Live'!X55-'check-Jul25'!X55)</f>
        <v/>
      </c>
      <c r="Y55" t="str">
        <f>IF('1. Live'!Y55='check-Jul25'!Y55,"",'1. Live'!Y55-'check-Jul25'!Y55)</f>
        <v/>
      </c>
      <c r="Z55" t="str">
        <f>IF('1. Live'!Z55='check-Jul25'!Z55,"",'1. Live'!Z55-'check-Jul25'!Z55)</f>
        <v/>
      </c>
      <c r="AA55" t="str">
        <f>IF('1. Live'!AA55='check-Jul25'!AA55,"",'1. Live'!AA55-'check-Jul25'!AA55)</f>
        <v/>
      </c>
      <c r="AB55" t="str">
        <f>IF('1. Live'!AB55='check-Jul25'!AB55,"",'1. Live'!AB55-'check-Jul25'!AB55)</f>
        <v/>
      </c>
      <c r="AC55" t="str">
        <f>IF('1. Live'!AC55='check-Jul25'!AC55,"",'1. Live'!AC55-'check-Jul25'!AC55)</f>
        <v/>
      </c>
      <c r="AD55" t="str">
        <f>IF('1. Live'!AD55='check-Jul25'!AD55,"",'1. Live'!AD55-'check-Jul25'!AD55)</f>
        <v/>
      </c>
      <c r="AE55" t="str">
        <f>IF('1. Live'!AE55='check-Jul25'!AE55,"",'1. Live'!AE55-'check-Jul25'!AE55)</f>
        <v/>
      </c>
      <c r="AF55" t="str">
        <f>IF('1. Live'!AF55='check-Jul25'!AF55,"",'1. Live'!AF55-'check-Jul25'!AF55)</f>
        <v/>
      </c>
      <c r="AG55" t="str">
        <f>IF('1. Live'!AG55='check-Jul25'!AG55,"",'1. Live'!AG55-'check-Jul25'!AG55)</f>
        <v/>
      </c>
      <c r="AH55" t="str">
        <f>IF('1. Live'!AH55='check-Jul25'!AH55,"",'1. Live'!AH55-'check-Jul25'!AH55)</f>
        <v/>
      </c>
      <c r="AI55" t="str">
        <f>IF('1. Live'!AI55='check-Jul25'!AI55,"",'1. Live'!AI55-'check-Jul25'!AI55)</f>
        <v/>
      </c>
      <c r="AJ55" t="str">
        <f>IF('1. Live'!AJ55='check-Jul25'!AJ55,"",'1. Live'!AJ55-'check-Jul25'!AJ55)</f>
        <v/>
      </c>
      <c r="AK55" t="str">
        <f>IF('1. Live'!AK55='check-Jul25'!AK55,"",'1. Live'!AK55-'check-Jul25'!AK55)</f>
        <v/>
      </c>
      <c r="AL55" t="str">
        <f>IF('1. Live'!AL55='check-Jul25'!AL55,"",'1. Live'!AL55-'check-Jul25'!AL55)</f>
        <v/>
      </c>
      <c r="AM55" t="str">
        <f>IF('1. Live'!AM55='check-Jul25'!AM55,"",'1. Live'!AM55-'check-Jul25'!AM55)</f>
        <v/>
      </c>
      <c r="AN55" t="str">
        <f>IF('1. Live'!AN55='check-Jul25'!AN55,"",'1. Live'!AN55-'check-Jul25'!AN55)</f>
        <v/>
      </c>
      <c r="AO55" t="str">
        <f>IF('1. Live'!AO55='check-Jul25'!AO55,"",'1. Live'!AO55-'check-Jul25'!AO55)</f>
        <v/>
      </c>
      <c r="AP55" t="str">
        <f>IF('1. Live'!AP55='check-Jul25'!AP55,"",'1. Live'!AP55-'check-Jul25'!AP55)</f>
        <v/>
      </c>
      <c r="AQ55" t="str">
        <f>IF('1. Live'!AQ55='check-Jul25'!AQ55,"",'1. Live'!AQ55-'check-Jul25'!AQ55)</f>
        <v/>
      </c>
      <c r="AR55" t="str">
        <f>IF('1. Live'!AR55='check-Jul25'!AR55,"",'1. Live'!AR55-'check-Jul25'!AR55)</f>
        <v/>
      </c>
      <c r="AS55" t="str">
        <f>IF('1. Live'!AS55='check-Jul25'!AS55,"",'1. Live'!AS55-'check-Jul25'!AS55)</f>
        <v/>
      </c>
      <c r="AT55" t="str">
        <f>IF('1. Live'!AT55='check-Jul25'!AT55,"",'1. Live'!AT55-'check-Jul25'!AT55)</f>
        <v/>
      </c>
      <c r="AU55" t="str">
        <f>IF('1. Live'!AU55='check-Jul25'!AU55,"",'1. Live'!AU55-'check-Jul25'!AU55)</f>
        <v/>
      </c>
      <c r="AV55" t="str">
        <f>IF('1. Live'!AV55='check-Jul25'!AV55,"",'1. Live'!AV55-'check-Jul25'!AV55)</f>
        <v/>
      </c>
      <c r="AW55" t="str">
        <f>IF('1. Live'!AW55='check-Jul25'!AW55,"",'1. Live'!AW55-'check-Jul25'!AW55)</f>
        <v/>
      </c>
      <c r="AX55" t="str">
        <f>IF('1. Live'!AX55='check-Jul25'!AX55,"",'1. Live'!AX55-'check-Jul25'!AX55)</f>
        <v/>
      </c>
      <c r="AY55" t="str">
        <f>IF('1. Live'!AY55='check-Jul25'!AY55,"",'1. Live'!AY55-'check-Jul25'!AY55)</f>
        <v/>
      </c>
      <c r="AZ55" t="str">
        <f>IF('1. Live'!AZ55='check-Jul25'!AZ55,"",'1. Live'!AZ55-'check-Jul25'!AZ55)</f>
        <v/>
      </c>
      <c r="BA55" t="str">
        <f>IF('1. Live'!BA55='check-Jul25'!BA55,"",'1. Live'!BA55-'check-Jul25'!BA55)</f>
        <v/>
      </c>
      <c r="BB55" t="str">
        <f>IF('1. Live'!BB55='check-Jul25'!BB55,"",'1. Live'!BB55-'check-Jul25'!BB55)</f>
        <v/>
      </c>
      <c r="BC55" t="str">
        <f>IF('1. Live'!BC55='check-Jul25'!BC55,"",'1. Live'!BC55-'check-Jul25'!BC55)</f>
        <v/>
      </c>
      <c r="BD55" t="str">
        <f>IF('1. Live'!BD55='check-Jul25'!BD55,"",'1. Live'!BD55-'check-Jul25'!BD55)</f>
        <v/>
      </c>
      <c r="BE55" t="str">
        <f>IF('1. Live'!BE55='check-Jul25'!BE55,"",'1. Live'!BE55-'check-Jul25'!BE55)</f>
        <v/>
      </c>
      <c r="BF55" t="str">
        <f>IF('1. Live'!BF55='check-Jul25'!BF55,"",'1. Live'!BF55-'check-Jul25'!BF55)</f>
        <v/>
      </c>
      <c r="BG55" t="str">
        <f>IF('1. Live'!BG55='check-Jul25'!BG55,"",'1. Live'!BG55-'check-Jul25'!BG55)</f>
        <v/>
      </c>
      <c r="BH55" t="str">
        <f>IF('1. Live'!BH55='check-Jul25'!BH55,"",'1. Live'!BH55-'check-Jul25'!BH55)</f>
        <v/>
      </c>
      <c r="BI55" t="str">
        <f>IF('1. Live'!BI55='check-Jul25'!BI55,"",'1. Live'!BI55-'check-Jul25'!BI55)</f>
        <v/>
      </c>
      <c r="BJ55" t="str">
        <f>IF('1. Live'!BJ55='check-Jul25'!BJ55,"",'1. Live'!BJ55-'check-Jul25'!BJ55)</f>
        <v/>
      </c>
      <c r="BK55" t="str">
        <f>IF('1. Live'!BK55='check-Jul25'!BK55,"",'1. Live'!BK55-'check-Jul25'!BK55)</f>
        <v/>
      </c>
      <c r="BL55" t="str">
        <f>IF('1. Live'!BL55='check-Jul25'!BL55,"",'1. Live'!BL55-'check-Jul25'!BL55)</f>
        <v/>
      </c>
      <c r="BM55" t="str">
        <f>IF('1. Live'!BM55='check-Jul25'!BM55,"",'1. Live'!BM55-'check-Jul25'!BM55)</f>
        <v/>
      </c>
      <c r="BN55" t="str">
        <f>IF('1. Live'!BN55='check-Jul25'!BN55,"",'1. Live'!BN55-'check-Jul25'!BN55)</f>
        <v/>
      </c>
      <c r="BO55" t="str">
        <f>IF('1. Live'!BO55='check-Jul25'!BO55,"",'1. Live'!BO55-'check-Jul25'!BO55)</f>
        <v/>
      </c>
      <c r="BP55" t="str">
        <f>IF('1. Live'!BP55='check-Jul25'!BP55,"",'1. Live'!BP55-'check-Jul25'!BP55)</f>
        <v/>
      </c>
      <c r="BQ55" t="str">
        <f>IF('1. Live'!BQ55='check-Jul25'!BQ55,"",'1. Live'!BQ55-'check-Jul25'!BQ55)</f>
        <v/>
      </c>
      <c r="BR55" t="str">
        <f>IF('1. Live'!BR55='check-Jul25'!BR55,"",'1. Live'!BR55-'check-Jul25'!BR55)</f>
        <v/>
      </c>
      <c r="BS55" t="str">
        <f>IF('1. Live'!BS55='check-Jul25'!BS55,"",'1. Live'!BS55-'check-Jul25'!BS55)</f>
        <v/>
      </c>
      <c r="BT55" t="str">
        <f>IF('1. Live'!BT55='check-Jul25'!BT55,"",'1. Live'!BT55-'check-Jul25'!BT55)</f>
        <v/>
      </c>
      <c r="BU55" t="str">
        <f>IF('1. Live'!BU55='check-Jul25'!BU55,"",'1. Live'!BU55-'check-Jul25'!BU55)</f>
        <v/>
      </c>
      <c r="BV55" t="str">
        <f>IF('1. Live'!BV55='check-Jul25'!BV55,"",'1. Live'!BV55-'check-Jul25'!BV55)</f>
        <v/>
      </c>
      <c r="BW55" t="str">
        <f>IF('1. Live'!BW55='check-Jul25'!BW55,"",'1. Live'!BW55-'check-Jul25'!BW55)</f>
        <v/>
      </c>
      <c r="BX55" t="str">
        <f>IF('1. Live'!BX55='check-Jul25'!BX55,"",'1. Live'!BX55-'check-Jul25'!BX55)</f>
        <v/>
      </c>
      <c r="BY55" t="str">
        <f>IF('1. Live'!BY55='check-Jul25'!BY55,"",'1. Live'!BY55-'check-Jul25'!BY55)</f>
        <v/>
      </c>
      <c r="BZ55" t="str">
        <f>IF('1. Live'!BZ55='check-Jul25'!BZ55,"",'1. Live'!BZ55-'check-Jul25'!BZ55)</f>
        <v/>
      </c>
      <c r="CA55" t="str">
        <f>IF('1. Live'!CA55='check-Jul25'!CA55,"",'1. Live'!CA55-'check-Jul25'!CA55)</f>
        <v/>
      </c>
      <c r="CB55" t="str">
        <f>IF('1. Live'!CB55='check-Jul25'!CB55,"",'1. Live'!CB55-'check-Jul25'!CB55)</f>
        <v/>
      </c>
      <c r="CC55" t="str">
        <f>IF('1. Live'!CC55='check-Jul25'!CC55,"",'1. Live'!CC55-'check-Jul25'!CC55)</f>
        <v/>
      </c>
      <c r="CD55" t="str">
        <f>IF('1. Live'!CD55='check-Jul25'!CD55,"",'1. Live'!CD55-'check-Jul25'!CD55)</f>
        <v/>
      </c>
      <c r="CE55" t="str">
        <f>IF('1. Live'!CE55='check-Jul25'!CE55,"",'1. Live'!CE55-'check-Jul25'!CE55)</f>
        <v/>
      </c>
      <c r="CF55" t="str">
        <f>IF('1. Live'!CF55='check-Jul25'!CF55,"",'1. Live'!CF55-'check-Jul25'!CF55)</f>
        <v/>
      </c>
      <c r="CG55" t="str">
        <f>IF('1. Live'!CG55='check-Jul25'!CG55,"",'1. Live'!CG55-'check-Jul25'!CG55)</f>
        <v/>
      </c>
      <c r="CH55" t="str">
        <f>IF('1. Live'!CH55='check-Jul25'!CH55,"",'1. Live'!CH55-'check-Jul25'!CH55)</f>
        <v/>
      </c>
      <c r="CI55" t="str">
        <f>IF('1. Live'!CI55='check-Jul25'!CI55,"",'1. Live'!CI55-'check-Jul25'!CI55)</f>
        <v/>
      </c>
      <c r="CJ55" t="str">
        <f>IF('1. Live'!CJ55='check-Jul25'!CJ55,"",'1. Live'!CJ55-'check-Jul25'!CJ55)</f>
        <v/>
      </c>
      <c r="CK55" t="str">
        <f>IF('1. Live'!CK55='check-Jul25'!CK55,"",'1. Live'!CK55-'check-Jul25'!CK55)</f>
        <v/>
      </c>
      <c r="CL55" t="str">
        <f>IF('1. Live'!CL55='check-Jul25'!CL55,"",'1. Live'!CL55-'check-Jul25'!CL55)</f>
        <v/>
      </c>
      <c r="CM55" t="str">
        <f>IF('1. Live'!CM55='check-Jul25'!CM55,"",'1. Live'!CM55-'check-Jul25'!CM55)</f>
        <v/>
      </c>
      <c r="CN55" t="str">
        <f>IF('1. Live'!CN55='check-Jul25'!CN55,"",'1. Live'!CN55-'check-Jul25'!CN55)</f>
        <v/>
      </c>
      <c r="CO55" t="str">
        <f>IF('1. Live'!CO55='check-Jul25'!CO55,"",'1. Live'!CO55-'check-Jul25'!CO55)</f>
        <v/>
      </c>
      <c r="CP55" t="str">
        <f>IF('1. Live'!CP55='check-Jul25'!CP55,"",'1. Live'!CP55-'check-Jul25'!CP55)</f>
        <v/>
      </c>
      <c r="CQ55" t="str">
        <f>IF('1. Live'!CQ55='check-Jul25'!CQ55,"",'1. Live'!CQ55-'check-Jul25'!CQ55)</f>
        <v/>
      </c>
      <c r="CR55" t="str">
        <f>IF('1. Live'!CR55='check-Jul25'!CR55,"",'1. Live'!CR55-'check-Jul25'!CR55)</f>
        <v/>
      </c>
      <c r="CS55" t="str">
        <f>IF('1. Live'!CS55='check-Jul25'!CS55,"",'1. Live'!CS55-'check-Jul25'!CS55)</f>
        <v/>
      </c>
      <c r="CT55" t="str">
        <f>IF('1. Live'!CT55='check-Jul25'!CT55,"",'1. Live'!CT55-'check-Jul25'!CT55)</f>
        <v/>
      </c>
      <c r="CU55" t="str">
        <f>IF('1. Live'!CU55='check-Jul25'!CU55,"",'1. Live'!CU55-'check-Jul25'!CU55)</f>
        <v/>
      </c>
      <c r="CV55" t="str">
        <f>IF('1. Live'!CV55='check-Jul25'!CV55,"",'1. Live'!CV55-'check-Jul25'!CV55)</f>
        <v/>
      </c>
      <c r="CW55" t="str">
        <f>IF('1. Live'!CW55='check-Jul25'!CW55,"",'1. Live'!CW55-'check-Jul25'!CW55)</f>
        <v/>
      </c>
    </row>
    <row r="56" spans="2:101">
      <c r="J56" t="str">
        <f>IF('1. Live'!J56='check-Jul25'!J56,"",'1. Live'!J56-'check-Jul25'!J56)</f>
        <v/>
      </c>
      <c r="K56" t="str">
        <f>IF('1. Live'!K56='check-Jul25'!K56,"",'1. Live'!K56-'check-Jul25'!K56)</f>
        <v/>
      </c>
      <c r="L56" t="str">
        <f>IF('1. Live'!L56='check-Jul25'!L56,"",'1. Live'!L56-'check-Jul25'!L56)</f>
        <v/>
      </c>
      <c r="M56" t="str">
        <f>IF('1. Live'!M56='check-Jul25'!M56,"",'1. Live'!M56-'check-Jul25'!M56)</f>
        <v/>
      </c>
      <c r="N56" t="str">
        <f>IF('1. Live'!N56='check-Jul25'!N56,"",'1. Live'!N56-'check-Jul25'!N56)</f>
        <v/>
      </c>
      <c r="O56" t="str">
        <f>IF('1. Live'!O56='check-Jul25'!O56,"",'1. Live'!O56-'check-Jul25'!O56)</f>
        <v/>
      </c>
      <c r="P56" t="str">
        <f>IF('1. Live'!P56='check-Jul25'!P56,"",'1. Live'!P56-'check-Jul25'!P56)</f>
        <v/>
      </c>
      <c r="Q56" t="str">
        <f>IF('1. Live'!Q56='check-Jul25'!Q56,"",'1. Live'!Q56-'check-Jul25'!Q56)</f>
        <v/>
      </c>
      <c r="R56" t="str">
        <f>IF('1. Live'!R56='check-Jul25'!R56,"",'1. Live'!R56-'check-Jul25'!R56)</f>
        <v/>
      </c>
      <c r="S56" t="str">
        <f>IF('1. Live'!S56='check-Jul25'!S56,"",'1. Live'!S56-'check-Jul25'!S56)</f>
        <v/>
      </c>
      <c r="T56" t="str">
        <f>IF('1. Live'!T56='check-Jul25'!T56,"",'1. Live'!T56-'check-Jul25'!T56)</f>
        <v/>
      </c>
      <c r="U56" t="str">
        <f>IF('1. Live'!U56='check-Jul25'!U56,"",'1. Live'!U56-'check-Jul25'!U56)</f>
        <v/>
      </c>
      <c r="V56" t="str">
        <f>IF('1. Live'!V56='check-Jul25'!V56,"",'1. Live'!V56-'check-Jul25'!V56)</f>
        <v/>
      </c>
      <c r="W56" t="str">
        <f>IF('1. Live'!W56='check-Jul25'!W56,"",'1. Live'!W56-'check-Jul25'!W56)</f>
        <v/>
      </c>
      <c r="X56" t="str">
        <f>IF('1. Live'!X56='check-Jul25'!X56,"",'1. Live'!X56-'check-Jul25'!X56)</f>
        <v/>
      </c>
      <c r="Y56" t="str">
        <f>IF('1. Live'!Y56='check-Jul25'!Y56,"",'1. Live'!Y56-'check-Jul25'!Y56)</f>
        <v/>
      </c>
      <c r="Z56" t="str">
        <f>IF('1. Live'!Z56='check-Jul25'!Z56,"",'1. Live'!Z56-'check-Jul25'!Z56)</f>
        <v/>
      </c>
      <c r="AA56" t="str">
        <f>IF('1. Live'!AA56='check-Jul25'!AA56,"",'1. Live'!AA56-'check-Jul25'!AA56)</f>
        <v/>
      </c>
      <c r="AB56" t="str">
        <f>IF('1. Live'!AB56='check-Jul25'!AB56,"",'1. Live'!AB56-'check-Jul25'!AB56)</f>
        <v/>
      </c>
      <c r="AC56" t="str">
        <f>IF('1. Live'!AC56='check-Jul25'!AC56,"",'1. Live'!AC56-'check-Jul25'!AC56)</f>
        <v/>
      </c>
      <c r="AD56" t="str">
        <f>IF('1. Live'!AD56='check-Jul25'!AD56,"",'1. Live'!AD56-'check-Jul25'!AD56)</f>
        <v/>
      </c>
      <c r="AE56" t="str">
        <f>IF('1. Live'!AE56='check-Jul25'!AE56,"",'1. Live'!AE56-'check-Jul25'!AE56)</f>
        <v/>
      </c>
      <c r="AF56" t="str">
        <f>IF('1. Live'!AF56='check-Jul25'!AF56,"",'1. Live'!AF56-'check-Jul25'!AF56)</f>
        <v/>
      </c>
      <c r="AG56" t="str">
        <f>IF('1. Live'!AG56='check-Jul25'!AG56,"",'1. Live'!AG56-'check-Jul25'!AG56)</f>
        <v/>
      </c>
      <c r="AH56" t="str">
        <f>IF('1. Live'!AH56='check-Jul25'!AH56,"",'1. Live'!AH56-'check-Jul25'!AH56)</f>
        <v/>
      </c>
      <c r="AI56" t="str">
        <f>IF('1. Live'!AI56='check-Jul25'!AI56,"",'1. Live'!AI56-'check-Jul25'!AI56)</f>
        <v/>
      </c>
      <c r="AJ56" t="str">
        <f>IF('1. Live'!AJ56='check-Jul25'!AJ56,"",'1. Live'!AJ56-'check-Jul25'!AJ56)</f>
        <v/>
      </c>
      <c r="AK56" t="str">
        <f>IF('1. Live'!AK56='check-Jul25'!AK56,"",'1. Live'!AK56-'check-Jul25'!AK56)</f>
        <v/>
      </c>
      <c r="AL56" t="str">
        <f>IF('1. Live'!AL56='check-Jul25'!AL56,"",'1. Live'!AL56-'check-Jul25'!AL56)</f>
        <v/>
      </c>
      <c r="AM56" t="str">
        <f>IF('1. Live'!AM56='check-Jul25'!AM56,"",'1. Live'!AM56-'check-Jul25'!AM56)</f>
        <v/>
      </c>
      <c r="AN56" t="str">
        <f>IF('1. Live'!AN56='check-Jul25'!AN56,"",'1. Live'!AN56-'check-Jul25'!AN56)</f>
        <v/>
      </c>
      <c r="AO56" t="str">
        <f>IF('1. Live'!AO56='check-Jul25'!AO56,"",'1. Live'!AO56-'check-Jul25'!AO56)</f>
        <v/>
      </c>
      <c r="AP56" t="str">
        <f>IF('1. Live'!AP56='check-Jul25'!AP56,"",'1. Live'!AP56-'check-Jul25'!AP56)</f>
        <v/>
      </c>
      <c r="AQ56" t="str">
        <f>IF('1. Live'!AQ56='check-Jul25'!AQ56,"",'1. Live'!AQ56-'check-Jul25'!AQ56)</f>
        <v/>
      </c>
      <c r="AR56" t="str">
        <f>IF('1. Live'!AR56='check-Jul25'!AR56,"",'1. Live'!AR56-'check-Jul25'!AR56)</f>
        <v/>
      </c>
      <c r="AS56" t="str">
        <f>IF('1. Live'!AS56='check-Jul25'!AS56,"",'1. Live'!AS56-'check-Jul25'!AS56)</f>
        <v/>
      </c>
      <c r="AT56" t="str">
        <f>IF('1. Live'!AT56='check-Jul25'!AT56,"",'1. Live'!AT56-'check-Jul25'!AT56)</f>
        <v/>
      </c>
      <c r="AU56" t="str">
        <f>IF('1. Live'!AU56='check-Jul25'!AU56,"",'1. Live'!AU56-'check-Jul25'!AU56)</f>
        <v/>
      </c>
      <c r="AV56" t="str">
        <f>IF('1. Live'!AV56='check-Jul25'!AV56,"",'1. Live'!AV56-'check-Jul25'!AV56)</f>
        <v/>
      </c>
      <c r="AW56" t="str">
        <f>IF('1. Live'!AW56='check-Jul25'!AW56,"",'1. Live'!AW56-'check-Jul25'!AW56)</f>
        <v/>
      </c>
      <c r="AX56" t="str">
        <f>IF('1. Live'!AX56='check-Jul25'!AX56,"",'1. Live'!AX56-'check-Jul25'!AX56)</f>
        <v/>
      </c>
      <c r="AY56" t="str">
        <f>IF('1. Live'!AY56='check-Jul25'!AY56,"",'1. Live'!AY56-'check-Jul25'!AY56)</f>
        <v/>
      </c>
      <c r="AZ56" t="str">
        <f>IF('1. Live'!AZ56='check-Jul25'!AZ56,"",'1. Live'!AZ56-'check-Jul25'!AZ56)</f>
        <v/>
      </c>
      <c r="BA56" t="str">
        <f>IF('1. Live'!BA56='check-Jul25'!BA56,"",'1. Live'!BA56-'check-Jul25'!BA56)</f>
        <v/>
      </c>
      <c r="BB56" t="str">
        <f>IF('1. Live'!BB56='check-Jul25'!BB56,"",'1. Live'!BB56-'check-Jul25'!BB56)</f>
        <v/>
      </c>
      <c r="BC56" t="str">
        <f>IF('1. Live'!BC56='check-Jul25'!BC56,"",'1. Live'!BC56-'check-Jul25'!BC56)</f>
        <v/>
      </c>
      <c r="BD56" t="str">
        <f>IF('1. Live'!BD56='check-Jul25'!BD56,"",'1. Live'!BD56-'check-Jul25'!BD56)</f>
        <v/>
      </c>
      <c r="BE56" t="str">
        <f>IF('1. Live'!BE56='check-Jul25'!BE56,"",'1. Live'!BE56-'check-Jul25'!BE56)</f>
        <v/>
      </c>
      <c r="BF56" t="str">
        <f>IF('1. Live'!BF56='check-Jul25'!BF56,"",'1. Live'!BF56-'check-Jul25'!BF56)</f>
        <v/>
      </c>
      <c r="BG56" t="str">
        <f>IF('1. Live'!BG56='check-Jul25'!BG56,"",'1. Live'!BG56-'check-Jul25'!BG56)</f>
        <v/>
      </c>
      <c r="BH56" t="str">
        <f>IF('1. Live'!BH56='check-Jul25'!BH56,"",'1. Live'!BH56-'check-Jul25'!BH56)</f>
        <v/>
      </c>
      <c r="BI56" t="str">
        <f>IF('1. Live'!BI56='check-Jul25'!BI56,"",'1. Live'!BI56-'check-Jul25'!BI56)</f>
        <v/>
      </c>
      <c r="BJ56" t="str">
        <f>IF('1. Live'!BJ56='check-Jul25'!BJ56,"",'1. Live'!BJ56-'check-Jul25'!BJ56)</f>
        <v/>
      </c>
      <c r="BK56" t="str">
        <f>IF('1. Live'!BK56='check-Jul25'!BK56,"",'1. Live'!BK56-'check-Jul25'!BK56)</f>
        <v/>
      </c>
      <c r="BL56" t="str">
        <f>IF('1. Live'!BL56='check-Jul25'!BL56,"",'1. Live'!BL56-'check-Jul25'!BL56)</f>
        <v/>
      </c>
      <c r="BM56" t="str">
        <f>IF('1. Live'!BM56='check-Jul25'!BM56,"",'1. Live'!BM56-'check-Jul25'!BM56)</f>
        <v/>
      </c>
      <c r="BN56" t="str">
        <f>IF('1. Live'!BN56='check-Jul25'!BN56,"",'1. Live'!BN56-'check-Jul25'!BN56)</f>
        <v/>
      </c>
      <c r="BO56" t="str">
        <f>IF('1. Live'!BO56='check-Jul25'!BO56,"",'1. Live'!BO56-'check-Jul25'!BO56)</f>
        <v/>
      </c>
      <c r="BP56" t="str">
        <f>IF('1. Live'!BP56='check-Jul25'!BP56,"",'1. Live'!BP56-'check-Jul25'!BP56)</f>
        <v/>
      </c>
      <c r="BQ56" t="str">
        <f>IF('1. Live'!BQ56='check-Jul25'!BQ56,"",'1. Live'!BQ56-'check-Jul25'!BQ56)</f>
        <v/>
      </c>
      <c r="BR56" t="str">
        <f>IF('1. Live'!BR56='check-Jul25'!BR56,"",'1. Live'!BR56-'check-Jul25'!BR56)</f>
        <v/>
      </c>
      <c r="BS56" t="str">
        <f>IF('1. Live'!BS56='check-Jul25'!BS56,"",'1. Live'!BS56-'check-Jul25'!BS56)</f>
        <v/>
      </c>
      <c r="BT56" t="str">
        <f>IF('1. Live'!BT56='check-Jul25'!BT56,"",'1. Live'!BT56-'check-Jul25'!BT56)</f>
        <v/>
      </c>
      <c r="BU56" t="str">
        <f>IF('1. Live'!BU56='check-Jul25'!BU56,"",'1. Live'!BU56-'check-Jul25'!BU56)</f>
        <v/>
      </c>
      <c r="BV56" t="str">
        <f>IF('1. Live'!BV56='check-Jul25'!BV56,"",'1. Live'!BV56-'check-Jul25'!BV56)</f>
        <v/>
      </c>
      <c r="BW56" t="str">
        <f>IF('1. Live'!BW56='check-Jul25'!BW56,"",'1. Live'!BW56-'check-Jul25'!BW56)</f>
        <v/>
      </c>
      <c r="BX56" t="str">
        <f>IF('1. Live'!BX56='check-Jul25'!BX56,"",'1. Live'!BX56-'check-Jul25'!BX56)</f>
        <v/>
      </c>
      <c r="BY56" t="str">
        <f>IF('1. Live'!BY56='check-Jul25'!BY56,"",'1. Live'!BY56-'check-Jul25'!BY56)</f>
        <v/>
      </c>
      <c r="BZ56" t="str">
        <f>IF('1. Live'!BZ56='check-Jul25'!BZ56,"",'1. Live'!BZ56-'check-Jul25'!BZ56)</f>
        <v/>
      </c>
      <c r="CA56" t="str">
        <f>IF('1. Live'!CA56='check-Jul25'!CA56,"",'1. Live'!CA56-'check-Jul25'!CA56)</f>
        <v/>
      </c>
      <c r="CB56" t="str">
        <f>IF('1. Live'!CB56='check-Jul25'!CB56,"",'1. Live'!CB56-'check-Jul25'!CB56)</f>
        <v/>
      </c>
      <c r="CC56" t="str">
        <f>IF('1. Live'!CC56='check-Jul25'!CC56,"",'1. Live'!CC56-'check-Jul25'!CC56)</f>
        <v/>
      </c>
      <c r="CD56" t="str">
        <f>IF('1. Live'!CD56='check-Jul25'!CD56,"",'1. Live'!CD56-'check-Jul25'!CD56)</f>
        <v/>
      </c>
      <c r="CE56" t="str">
        <f>IF('1. Live'!CE56='check-Jul25'!CE56,"",'1. Live'!CE56-'check-Jul25'!CE56)</f>
        <v/>
      </c>
      <c r="CF56" t="str">
        <f>IF('1. Live'!CF56='check-Jul25'!CF56,"",'1. Live'!CF56-'check-Jul25'!CF56)</f>
        <v/>
      </c>
      <c r="CG56" t="str">
        <f>IF('1. Live'!CG56='check-Jul25'!CG56,"",'1. Live'!CG56-'check-Jul25'!CG56)</f>
        <v/>
      </c>
      <c r="CH56" t="str">
        <f>IF('1. Live'!CH56='check-Jul25'!CH56,"",'1. Live'!CH56-'check-Jul25'!CH56)</f>
        <v/>
      </c>
      <c r="CI56" t="str">
        <f>IF('1. Live'!CI56='check-Jul25'!CI56,"",'1. Live'!CI56-'check-Jul25'!CI56)</f>
        <v/>
      </c>
      <c r="CJ56" t="str">
        <f>IF('1. Live'!CJ56='check-Jul25'!CJ56,"",'1. Live'!CJ56-'check-Jul25'!CJ56)</f>
        <v/>
      </c>
      <c r="CK56" t="str">
        <f>IF('1. Live'!CK56='check-Jul25'!CK56,"",'1. Live'!CK56-'check-Jul25'!CK56)</f>
        <v/>
      </c>
      <c r="CL56" t="str">
        <f>IF('1. Live'!CL56='check-Jul25'!CL56,"",'1. Live'!CL56-'check-Jul25'!CL56)</f>
        <v/>
      </c>
      <c r="CM56" t="str">
        <f>IF('1. Live'!CM56='check-Jul25'!CM56,"",'1. Live'!CM56-'check-Jul25'!CM56)</f>
        <v/>
      </c>
      <c r="CN56" t="str">
        <f>IF('1. Live'!CN56='check-Jul25'!CN56,"",'1. Live'!CN56-'check-Jul25'!CN56)</f>
        <v/>
      </c>
      <c r="CO56" t="str">
        <f>IF('1. Live'!CO56='check-Jul25'!CO56,"",'1. Live'!CO56-'check-Jul25'!CO56)</f>
        <v/>
      </c>
      <c r="CP56" t="str">
        <f>IF('1. Live'!CP56='check-Jul25'!CP56,"",'1. Live'!CP56-'check-Jul25'!CP56)</f>
        <v/>
      </c>
      <c r="CQ56" t="str">
        <f>IF('1. Live'!CQ56='check-Jul25'!CQ56,"",'1. Live'!CQ56-'check-Jul25'!CQ56)</f>
        <v/>
      </c>
      <c r="CR56" t="str">
        <f>IF('1. Live'!CR56='check-Jul25'!CR56,"",'1. Live'!CR56-'check-Jul25'!CR56)</f>
        <v/>
      </c>
      <c r="CS56" t="str">
        <f>IF('1. Live'!CS56='check-Jul25'!CS56,"",'1. Live'!CS56-'check-Jul25'!CS56)</f>
        <v/>
      </c>
      <c r="CT56" t="str">
        <f>IF('1. Live'!CT56='check-Jul25'!CT56,"",'1. Live'!CT56-'check-Jul25'!CT56)</f>
        <v/>
      </c>
      <c r="CU56" t="str">
        <f>IF('1. Live'!CU56='check-Jul25'!CU56,"",'1. Live'!CU56-'check-Jul25'!CU56)</f>
        <v/>
      </c>
      <c r="CV56" t="str">
        <f>IF('1. Live'!CV56='check-Jul25'!CV56,"",'1. Live'!CV56-'check-Jul25'!CV56)</f>
        <v/>
      </c>
      <c r="CW56" t="str">
        <f>IF('1. Live'!CW56='check-Jul25'!CW56,"",'1. Live'!CW56-'check-Jul25'!CW56)</f>
        <v/>
      </c>
    </row>
    <row r="57" spans="2:101">
      <c r="I57" s="198"/>
    </row>
    <row r="58" spans="2:101">
      <c r="C58" s="126"/>
      <c r="D58" s="5"/>
      <c r="E58" s="7"/>
      <c r="F58" s="7"/>
      <c r="G58" s="7"/>
      <c r="H58" s="7"/>
      <c r="I58" s="199"/>
    </row>
    <row r="59" spans="2:101">
      <c r="C59" s="419"/>
      <c r="D59" s="420"/>
      <c r="E59" s="421"/>
      <c r="F59" s="190"/>
      <c r="G59" s="190"/>
      <c r="H59" s="190"/>
      <c r="I59" s="190"/>
    </row>
    <row r="60" spans="2:101">
      <c r="C60" s="13"/>
      <c r="D60" s="13"/>
    </row>
    <row r="61" spans="2:101">
      <c r="C61" s="57"/>
      <c r="D61" s="57"/>
      <c r="E61" s="190"/>
      <c r="F61" s="190"/>
      <c r="G61" s="190"/>
      <c r="H61" s="191"/>
      <c r="I61" s="190"/>
      <c r="J61" t="str">
        <f>IF('1. Live'!J61='check-Jul25'!J61,"",'1. Live'!J61-'check-Jul25'!J61)</f>
        <v/>
      </c>
      <c r="K61" t="str">
        <f>IF('1. Live'!K61='check-Jul25'!K61,"",'1. Live'!K61-'check-Jul25'!K61)</f>
        <v/>
      </c>
      <c r="L61" t="str">
        <f>IF('1. Live'!L61='check-Jul25'!L61,"",'1. Live'!L61-'check-Jul25'!L61)</f>
        <v/>
      </c>
      <c r="M61" t="str">
        <f>IF('1. Live'!M61='check-Jul25'!M61,"",'1. Live'!M61-'check-Jul25'!M61)</f>
        <v/>
      </c>
      <c r="N61" t="str">
        <f>IF('1. Live'!N61='check-Jul25'!N61,"",'1. Live'!N61-'check-Jul25'!N61)</f>
        <v/>
      </c>
      <c r="O61" t="str">
        <f>IF('1. Live'!O61='check-Jul25'!O61,"",'1. Live'!O61-'check-Jul25'!O61)</f>
        <v/>
      </c>
      <c r="P61" t="str">
        <f>IF('1. Live'!P61='check-Jul25'!P61,"",'1. Live'!P61-'check-Jul25'!P61)</f>
        <v/>
      </c>
      <c r="Q61" t="str">
        <f>IF('1. Live'!Q61='check-Jul25'!Q61,"",'1. Live'!Q61-'check-Jul25'!Q61)</f>
        <v/>
      </c>
      <c r="R61" t="str">
        <f>IF('1. Live'!R61='check-Jul25'!R61,"",'1. Live'!R61-'check-Jul25'!R61)</f>
        <v/>
      </c>
      <c r="S61" t="str">
        <f>IF('1. Live'!S61='check-Jul25'!S61,"",'1. Live'!S61-'check-Jul25'!S61)</f>
        <v/>
      </c>
      <c r="T61" t="str">
        <f>IF('1. Live'!T61='check-Jul25'!T61,"",'1. Live'!T61-'check-Jul25'!T61)</f>
        <v/>
      </c>
      <c r="U61" t="str">
        <f>IF('1. Live'!U61='check-Jul25'!U61,"",'1. Live'!U61-'check-Jul25'!U61)</f>
        <v/>
      </c>
      <c r="V61" t="str">
        <f>IF('1. Live'!V61='check-Jul25'!V61,"",'1. Live'!V61-'check-Jul25'!V61)</f>
        <v/>
      </c>
      <c r="W61" t="str">
        <f>IF('1. Live'!W61='check-Jul25'!W61,"",'1. Live'!W61-'check-Jul25'!W61)</f>
        <v/>
      </c>
      <c r="X61" t="str">
        <f>IF('1. Live'!X61='check-Jul25'!X61,"",'1. Live'!X61-'check-Jul25'!X61)</f>
        <v/>
      </c>
      <c r="Y61" t="str">
        <f>IF('1. Live'!Y61='check-Jul25'!Y61,"",'1. Live'!Y61-'check-Jul25'!Y61)</f>
        <v/>
      </c>
      <c r="Z61" t="str">
        <f>IF('1. Live'!Z61='check-Jul25'!Z61,"",'1. Live'!Z61-'check-Jul25'!Z61)</f>
        <v/>
      </c>
      <c r="AA61" t="str">
        <f>IF('1. Live'!AA61='check-Jul25'!AA61,"",'1. Live'!AA61-'check-Jul25'!AA61)</f>
        <v/>
      </c>
      <c r="AB61" t="str">
        <f>IF('1. Live'!AB61='check-Jul25'!AB61,"",'1. Live'!AB61-'check-Jul25'!AB61)</f>
        <v/>
      </c>
      <c r="AC61" t="str">
        <f>IF('1. Live'!AC61='check-Jul25'!AC61,"",'1. Live'!AC61-'check-Jul25'!AC61)</f>
        <v/>
      </c>
      <c r="AD61" t="str">
        <f>IF('1. Live'!AD61='check-Jul25'!AD61,"",'1. Live'!AD61-'check-Jul25'!AD61)</f>
        <v/>
      </c>
      <c r="AE61" t="str">
        <f>IF('1. Live'!AE61='check-Jul25'!AE61,"",'1. Live'!AE61-'check-Jul25'!AE61)</f>
        <v/>
      </c>
      <c r="AF61" t="str">
        <f>IF('1. Live'!AF61='check-Jul25'!AF61,"",'1. Live'!AF61-'check-Jul25'!AF61)</f>
        <v/>
      </c>
      <c r="AG61" t="str">
        <f>IF('1. Live'!AG61='check-Jul25'!AG61,"",'1. Live'!AG61-'check-Jul25'!AG61)</f>
        <v/>
      </c>
      <c r="AH61" t="str">
        <f>IF('1. Live'!AH61='check-Jul25'!AH61,"",'1. Live'!AH61-'check-Jul25'!AH61)</f>
        <v/>
      </c>
      <c r="AI61" t="str">
        <f>IF('1. Live'!AI61='check-Jul25'!AI61,"",'1. Live'!AI61-'check-Jul25'!AI61)</f>
        <v/>
      </c>
      <c r="AJ61" t="str">
        <f>IF('1. Live'!AJ61='check-Jul25'!AJ61,"",'1. Live'!AJ61-'check-Jul25'!AJ61)</f>
        <v/>
      </c>
      <c r="AK61" t="str">
        <f>IF('1. Live'!AK61='check-Jul25'!AK61,"",'1. Live'!AK61-'check-Jul25'!AK61)</f>
        <v/>
      </c>
      <c r="AL61" t="str">
        <f>IF('1. Live'!AL61='check-Jul25'!AL61,"",'1. Live'!AL61-'check-Jul25'!AL61)</f>
        <v/>
      </c>
      <c r="AM61" t="str">
        <f>IF('1. Live'!AM61='check-Jul25'!AM61,"",'1. Live'!AM61-'check-Jul25'!AM61)</f>
        <v/>
      </c>
      <c r="AN61" t="str">
        <f>IF('1. Live'!AN61='check-Jul25'!AN61,"",'1. Live'!AN61-'check-Jul25'!AN61)</f>
        <v/>
      </c>
      <c r="AO61" t="str">
        <f>IF('1. Live'!AO61='check-Jul25'!AO61,"",'1. Live'!AO61-'check-Jul25'!AO61)</f>
        <v/>
      </c>
      <c r="AP61" t="str">
        <f>IF('1. Live'!AP61='check-Jul25'!AP61,"",'1. Live'!AP61-'check-Jul25'!AP61)</f>
        <v/>
      </c>
      <c r="AQ61" t="str">
        <f>IF('1. Live'!AQ61='check-Jul25'!AQ61,"",'1. Live'!AQ61-'check-Jul25'!AQ61)</f>
        <v/>
      </c>
      <c r="AR61" t="str">
        <f>IF('1. Live'!AR61='check-Jul25'!AR61,"",'1. Live'!AR61-'check-Jul25'!AR61)</f>
        <v/>
      </c>
      <c r="AS61" t="str">
        <f>IF('1. Live'!AS61='check-Jul25'!AS61,"",'1. Live'!AS61-'check-Jul25'!AS61)</f>
        <v/>
      </c>
      <c r="AT61" t="str">
        <f>IF('1. Live'!AT61='check-Jul25'!AT61,"",'1. Live'!AT61-'check-Jul25'!AT61)</f>
        <v/>
      </c>
      <c r="AU61" t="str">
        <f>IF('1. Live'!AU61='check-Jul25'!AU61,"",'1. Live'!AU61-'check-Jul25'!AU61)</f>
        <v/>
      </c>
      <c r="AV61" t="str">
        <f>IF('1. Live'!AV61='check-Jul25'!AV61,"",'1. Live'!AV61-'check-Jul25'!AV61)</f>
        <v/>
      </c>
      <c r="AW61" t="str">
        <f>IF('1. Live'!AW61='check-Jul25'!AW61,"",'1. Live'!AW61-'check-Jul25'!AW61)</f>
        <v/>
      </c>
      <c r="AX61" t="str">
        <f>IF('1. Live'!AX61='check-Jul25'!AX61,"",'1. Live'!AX61-'check-Jul25'!AX61)</f>
        <v/>
      </c>
      <c r="AY61" t="str">
        <f>IF('1. Live'!AY61='check-Jul25'!AY61,"",'1. Live'!AY61-'check-Jul25'!AY61)</f>
        <v/>
      </c>
      <c r="AZ61" t="str">
        <f>IF('1. Live'!AZ61='check-Jul25'!AZ61,"",'1. Live'!AZ61-'check-Jul25'!AZ61)</f>
        <v/>
      </c>
      <c r="BA61" t="str">
        <f>IF('1. Live'!BA61='check-Jul25'!BA61,"",'1. Live'!BA61-'check-Jul25'!BA61)</f>
        <v/>
      </c>
      <c r="BB61" t="str">
        <f>IF('1. Live'!BB61='check-Jul25'!BB61,"",'1. Live'!BB61-'check-Jul25'!BB61)</f>
        <v/>
      </c>
      <c r="BC61" t="str">
        <f>IF('1. Live'!BC61='check-Jul25'!BC61,"",'1. Live'!BC61-'check-Jul25'!BC61)</f>
        <v/>
      </c>
      <c r="BD61" t="str">
        <f>IF('1. Live'!BD61='check-Jul25'!BD61,"",'1. Live'!BD61-'check-Jul25'!BD61)</f>
        <v/>
      </c>
      <c r="BE61" t="str">
        <f>IF('1. Live'!BE61='check-Jul25'!BE61,"",'1. Live'!BE61-'check-Jul25'!BE61)</f>
        <v/>
      </c>
      <c r="BF61" t="str">
        <f>IF('1. Live'!BF61='check-Jul25'!BF61,"",'1. Live'!BF61-'check-Jul25'!BF61)</f>
        <v/>
      </c>
      <c r="BG61" t="str">
        <f>IF('1. Live'!BG61='check-Jul25'!BG61,"",'1. Live'!BG61-'check-Jul25'!BG61)</f>
        <v/>
      </c>
      <c r="BH61" t="str">
        <f>IF('1. Live'!BH61='check-Jul25'!BH61,"",'1. Live'!BH61-'check-Jul25'!BH61)</f>
        <v/>
      </c>
      <c r="BI61" t="str">
        <f>IF('1. Live'!BI61='check-Jul25'!BI61,"",'1. Live'!BI61-'check-Jul25'!BI61)</f>
        <v/>
      </c>
      <c r="BJ61" t="str">
        <f>IF('1. Live'!BJ61='check-Jul25'!BJ61,"",'1. Live'!BJ61-'check-Jul25'!BJ61)</f>
        <v/>
      </c>
      <c r="BK61" t="str">
        <f>IF('1. Live'!BK61='check-Jul25'!BK61,"",'1. Live'!BK61-'check-Jul25'!BK61)</f>
        <v/>
      </c>
      <c r="BL61" t="str">
        <f>IF('1. Live'!BL61='check-Jul25'!BL61,"",'1. Live'!BL61-'check-Jul25'!BL61)</f>
        <v/>
      </c>
      <c r="BM61" t="str">
        <f>IF('1. Live'!BM61='check-Jul25'!BM61,"",'1. Live'!BM61-'check-Jul25'!BM61)</f>
        <v/>
      </c>
      <c r="BN61" t="str">
        <f>IF('1. Live'!BN61='check-Jul25'!BN61,"",'1. Live'!BN61-'check-Jul25'!BN61)</f>
        <v/>
      </c>
      <c r="BO61" t="str">
        <f>IF('1. Live'!BO61='check-Jul25'!BO61,"",'1. Live'!BO61-'check-Jul25'!BO61)</f>
        <v/>
      </c>
      <c r="BP61" t="str">
        <f>IF('1. Live'!BP61='check-Jul25'!BP61,"",'1. Live'!BP61-'check-Jul25'!BP61)</f>
        <v/>
      </c>
      <c r="BQ61" t="str">
        <f>IF('1. Live'!BQ61='check-Jul25'!BQ61,"",'1. Live'!BQ61-'check-Jul25'!BQ61)</f>
        <v/>
      </c>
      <c r="BR61" t="str">
        <f>IF('1. Live'!BR61='check-Jul25'!BR61,"",'1. Live'!BR61-'check-Jul25'!BR61)</f>
        <v/>
      </c>
      <c r="BS61" t="str">
        <f>IF('1. Live'!BS61='check-Jul25'!BS61,"",'1. Live'!BS61-'check-Jul25'!BS61)</f>
        <v/>
      </c>
      <c r="BT61" t="str">
        <f>IF('1. Live'!BT61='check-Jul25'!BT61,"",'1. Live'!BT61-'check-Jul25'!BT61)</f>
        <v/>
      </c>
      <c r="BU61" t="str">
        <f>IF('1. Live'!BU61='check-Jul25'!BU61,"",'1. Live'!BU61-'check-Jul25'!BU61)</f>
        <v/>
      </c>
      <c r="BV61" t="str">
        <f>IF('1. Live'!BV61='check-Jul25'!BV61,"",'1. Live'!BV61-'check-Jul25'!BV61)</f>
        <v/>
      </c>
      <c r="BW61" t="str">
        <f>IF('1. Live'!BW61='check-Jul25'!BW61,"",'1. Live'!BW61-'check-Jul25'!BW61)</f>
        <v/>
      </c>
      <c r="BX61" t="str">
        <f>IF('1. Live'!BX61='check-Jul25'!BX61,"",'1. Live'!BX61-'check-Jul25'!BX61)</f>
        <v/>
      </c>
      <c r="BY61" t="str">
        <f>IF('1. Live'!BY61='check-Jul25'!BY61,"",'1. Live'!BY61-'check-Jul25'!BY61)</f>
        <v/>
      </c>
      <c r="BZ61" t="str">
        <f>IF('1. Live'!BZ61='check-Jul25'!BZ61,"",'1. Live'!BZ61-'check-Jul25'!BZ61)</f>
        <v/>
      </c>
      <c r="CA61" t="str">
        <f>IF('1. Live'!CA61='check-Jul25'!CA61,"",'1. Live'!CA61-'check-Jul25'!CA61)</f>
        <v/>
      </c>
      <c r="CB61" t="str">
        <f>IF('1. Live'!CB61='check-Jul25'!CB61,"",'1. Live'!CB61-'check-Jul25'!CB61)</f>
        <v/>
      </c>
      <c r="CC61" t="str">
        <f>IF('1. Live'!CC61='check-Jul25'!CC61,"",'1. Live'!CC61-'check-Jul25'!CC61)</f>
        <v/>
      </c>
      <c r="CD61" t="str">
        <f>IF('1. Live'!CD61='check-Jul25'!CD61,"",'1. Live'!CD61-'check-Jul25'!CD61)</f>
        <v/>
      </c>
      <c r="CE61" t="str">
        <f>IF('1. Live'!CE61='check-Jul25'!CE61,"",'1. Live'!CE61-'check-Jul25'!CE61)</f>
        <v/>
      </c>
      <c r="CF61" t="str">
        <f>IF('1. Live'!CF61='check-Jul25'!CF61,"",'1. Live'!CF61-'check-Jul25'!CF61)</f>
        <v/>
      </c>
      <c r="CG61" t="str">
        <f>IF('1. Live'!CG61='check-Jul25'!CG61,"",'1. Live'!CG61-'check-Jul25'!CG61)</f>
        <v/>
      </c>
      <c r="CH61" t="str">
        <f>IF('1. Live'!CH61='check-Jul25'!CH61,"",'1. Live'!CH61-'check-Jul25'!CH61)</f>
        <v/>
      </c>
      <c r="CI61" t="str">
        <f>IF('1. Live'!CI61='check-Jul25'!CI61,"",'1. Live'!CI61-'check-Jul25'!CI61)</f>
        <v/>
      </c>
      <c r="CJ61" t="str">
        <f>IF('1. Live'!CJ61='check-Jul25'!CJ61,"",'1. Live'!CJ61-'check-Jul25'!CJ61)</f>
        <v/>
      </c>
      <c r="CK61" t="str">
        <f>IF('1. Live'!CK61='check-Jul25'!CK61,"",'1. Live'!CK61-'check-Jul25'!CK61)</f>
        <v/>
      </c>
      <c r="CL61" t="str">
        <f>IF('1. Live'!CL61='check-Jul25'!CL61,"",'1. Live'!CL61-'check-Jul25'!CL61)</f>
        <v/>
      </c>
      <c r="CM61" t="str">
        <f>IF('1. Live'!CM61='check-Jul25'!CM61,"",'1. Live'!CM61-'check-Jul25'!CM61)</f>
        <v/>
      </c>
      <c r="CN61" t="str">
        <f>IF('1. Live'!CN61='check-Jul25'!CN61,"",'1. Live'!CN61-'check-Jul25'!CN61)</f>
        <v/>
      </c>
      <c r="CO61" t="str">
        <f>IF('1. Live'!CO61='check-Jul25'!CO61,"",'1. Live'!CO61-'check-Jul25'!CO61)</f>
        <v/>
      </c>
      <c r="CP61" t="str">
        <f>IF('1. Live'!CP61='check-Jul25'!CP61,"",'1. Live'!CP61-'check-Jul25'!CP61)</f>
        <v/>
      </c>
      <c r="CQ61" t="str">
        <f>IF('1. Live'!CQ61='check-Jul25'!CQ61,"",'1. Live'!CQ61-'check-Jul25'!CQ61)</f>
        <v/>
      </c>
      <c r="CR61" t="str">
        <f>IF('1. Live'!CR61='check-Jul25'!CR61,"",'1. Live'!CR61-'check-Jul25'!CR61)</f>
        <v/>
      </c>
      <c r="CS61" t="str">
        <f>IF('1. Live'!CS61='check-Jul25'!CS61,"",'1. Live'!CS61-'check-Jul25'!CS61)</f>
        <v/>
      </c>
      <c r="CT61" t="str">
        <f>IF('1. Live'!CT61='check-Jul25'!CT61,"",'1. Live'!CT61-'check-Jul25'!CT61)</f>
        <v/>
      </c>
      <c r="CU61" t="str">
        <f>IF('1. Live'!CU61='check-Jul25'!CU61,"",'1. Live'!CU61-'check-Jul25'!CU61)</f>
        <v/>
      </c>
      <c r="CV61" t="str">
        <f>IF('1. Live'!CV61='check-Jul25'!CV61,"",'1. Live'!CV61-'check-Jul25'!CV61)</f>
        <v/>
      </c>
      <c r="CW61" t="str">
        <f>IF('1. Live'!CW61='check-Jul25'!CW61,"",'1. Live'!CW61-'check-Jul25'!CW61)</f>
        <v/>
      </c>
    </row>
    <row r="62" spans="2:101">
      <c r="C62" s="57"/>
      <c r="D62" s="57"/>
      <c r="J62" t="str">
        <f>IF('1. Live'!J62='check-Jul25'!J62,"",'1. Live'!J62-'check-Jul25'!J62)</f>
        <v/>
      </c>
      <c r="K62" t="str">
        <f>IF('1. Live'!K62='check-Jul25'!K62,"",'1. Live'!K62-'check-Jul25'!K62)</f>
        <v/>
      </c>
      <c r="L62" t="str">
        <f>IF('1. Live'!L62='check-Jul25'!L62,"",'1. Live'!L62-'check-Jul25'!L62)</f>
        <v/>
      </c>
      <c r="M62" t="str">
        <f>IF('1. Live'!M62='check-Jul25'!M62,"",'1. Live'!M62-'check-Jul25'!M62)</f>
        <v/>
      </c>
      <c r="N62" t="str">
        <f>IF('1. Live'!N62='check-Jul25'!N62,"",'1. Live'!N62-'check-Jul25'!N62)</f>
        <v/>
      </c>
      <c r="O62" t="str">
        <f>IF('1. Live'!O62='check-Jul25'!O62,"",'1. Live'!O62-'check-Jul25'!O62)</f>
        <v/>
      </c>
      <c r="P62" t="str">
        <f>IF('1. Live'!P62='check-Jul25'!P62,"",'1. Live'!P62-'check-Jul25'!P62)</f>
        <v/>
      </c>
      <c r="Q62" t="str">
        <f>IF('1. Live'!Q62='check-Jul25'!Q62,"",'1. Live'!Q62-'check-Jul25'!Q62)</f>
        <v/>
      </c>
      <c r="R62" t="str">
        <f>IF('1. Live'!R62='check-Jul25'!R62,"",'1. Live'!R62-'check-Jul25'!R62)</f>
        <v/>
      </c>
      <c r="S62" t="str">
        <f>IF('1. Live'!S62='check-Jul25'!S62,"",'1. Live'!S62-'check-Jul25'!S62)</f>
        <v/>
      </c>
      <c r="T62" t="str">
        <f>IF('1. Live'!T62='check-Jul25'!T62,"",'1. Live'!T62-'check-Jul25'!T62)</f>
        <v/>
      </c>
      <c r="U62" t="str">
        <f>IF('1. Live'!U62='check-Jul25'!U62,"",'1. Live'!U62-'check-Jul25'!U62)</f>
        <v/>
      </c>
      <c r="V62" t="str">
        <f>IF('1. Live'!V62='check-Jul25'!V62,"",'1. Live'!V62-'check-Jul25'!V62)</f>
        <v/>
      </c>
      <c r="W62" t="str">
        <f>IF('1. Live'!W62='check-Jul25'!W62,"",'1. Live'!W62-'check-Jul25'!W62)</f>
        <v/>
      </c>
      <c r="X62" t="str">
        <f>IF('1. Live'!X62='check-Jul25'!X62,"",'1. Live'!X62-'check-Jul25'!X62)</f>
        <v/>
      </c>
      <c r="Y62" t="str">
        <f>IF('1. Live'!Y62='check-Jul25'!Y62,"",'1. Live'!Y62-'check-Jul25'!Y62)</f>
        <v/>
      </c>
      <c r="Z62" t="str">
        <f>IF('1. Live'!Z62='check-Jul25'!Z62,"",'1. Live'!Z62-'check-Jul25'!Z62)</f>
        <v/>
      </c>
      <c r="AA62" t="str">
        <f>IF('1. Live'!AA62='check-Jul25'!AA62,"",'1. Live'!AA62-'check-Jul25'!AA62)</f>
        <v/>
      </c>
      <c r="AB62" t="str">
        <f>IF('1. Live'!AB62='check-Jul25'!AB62,"",'1. Live'!AB62-'check-Jul25'!AB62)</f>
        <v/>
      </c>
      <c r="AC62" t="str">
        <f>IF('1. Live'!AC62='check-Jul25'!AC62,"",'1. Live'!AC62-'check-Jul25'!AC62)</f>
        <v/>
      </c>
      <c r="AD62" t="str">
        <f>IF('1. Live'!AD62='check-Jul25'!AD62,"",'1. Live'!AD62-'check-Jul25'!AD62)</f>
        <v/>
      </c>
      <c r="AE62" t="str">
        <f>IF('1. Live'!AE62='check-Jul25'!AE62,"",'1. Live'!AE62-'check-Jul25'!AE62)</f>
        <v/>
      </c>
      <c r="AF62" t="str">
        <f>IF('1. Live'!AF62='check-Jul25'!AF62,"",'1. Live'!AF62-'check-Jul25'!AF62)</f>
        <v/>
      </c>
      <c r="AG62" t="str">
        <f>IF('1. Live'!AG62='check-Jul25'!AG62,"",'1. Live'!AG62-'check-Jul25'!AG62)</f>
        <v/>
      </c>
      <c r="AH62" t="str">
        <f>IF('1. Live'!AH62='check-Jul25'!AH62,"",'1. Live'!AH62-'check-Jul25'!AH62)</f>
        <v/>
      </c>
      <c r="AI62" t="str">
        <f>IF('1. Live'!AI62='check-Jul25'!AI62,"",'1. Live'!AI62-'check-Jul25'!AI62)</f>
        <v/>
      </c>
      <c r="AJ62" t="str">
        <f>IF('1. Live'!AJ62='check-Jul25'!AJ62,"",'1. Live'!AJ62-'check-Jul25'!AJ62)</f>
        <v/>
      </c>
      <c r="AK62" t="str">
        <f>IF('1. Live'!AK62='check-Jul25'!AK62,"",'1. Live'!AK62-'check-Jul25'!AK62)</f>
        <v/>
      </c>
      <c r="AL62" t="str">
        <f>IF('1. Live'!AL62='check-Jul25'!AL62,"",'1. Live'!AL62-'check-Jul25'!AL62)</f>
        <v/>
      </c>
      <c r="AM62" t="str">
        <f>IF('1. Live'!AM62='check-Jul25'!AM62,"",'1. Live'!AM62-'check-Jul25'!AM62)</f>
        <v/>
      </c>
      <c r="AN62" t="str">
        <f>IF('1. Live'!AN62='check-Jul25'!AN62,"",'1. Live'!AN62-'check-Jul25'!AN62)</f>
        <v/>
      </c>
      <c r="AO62" t="str">
        <f>IF('1. Live'!AO62='check-Jul25'!AO62,"",'1. Live'!AO62-'check-Jul25'!AO62)</f>
        <v/>
      </c>
      <c r="AP62" t="str">
        <f>IF('1. Live'!AP62='check-Jul25'!AP62,"",'1. Live'!AP62-'check-Jul25'!AP62)</f>
        <v/>
      </c>
      <c r="AQ62" t="str">
        <f>IF('1. Live'!AQ62='check-Jul25'!AQ62,"",'1. Live'!AQ62-'check-Jul25'!AQ62)</f>
        <v/>
      </c>
      <c r="AR62" t="str">
        <f>IF('1. Live'!AR62='check-Jul25'!AR62,"",'1. Live'!AR62-'check-Jul25'!AR62)</f>
        <v/>
      </c>
      <c r="AS62" t="str">
        <f>IF('1. Live'!AS62='check-Jul25'!AS62,"",'1. Live'!AS62-'check-Jul25'!AS62)</f>
        <v/>
      </c>
      <c r="AT62" t="str">
        <f>IF('1. Live'!AT62='check-Jul25'!AT62,"",'1. Live'!AT62-'check-Jul25'!AT62)</f>
        <v/>
      </c>
      <c r="AU62" t="str">
        <f>IF('1. Live'!AU62='check-Jul25'!AU62,"",'1. Live'!AU62-'check-Jul25'!AU62)</f>
        <v/>
      </c>
      <c r="AV62" t="str">
        <f>IF('1. Live'!AV62='check-Jul25'!AV62,"",'1. Live'!AV62-'check-Jul25'!AV62)</f>
        <v/>
      </c>
      <c r="AW62" t="str">
        <f>IF('1. Live'!AW62='check-Jul25'!AW62,"",'1. Live'!AW62-'check-Jul25'!AW62)</f>
        <v/>
      </c>
      <c r="AX62" t="str">
        <f>IF('1. Live'!AX62='check-Jul25'!AX62,"",'1. Live'!AX62-'check-Jul25'!AX62)</f>
        <v/>
      </c>
      <c r="AY62" t="str">
        <f>IF('1. Live'!AY62='check-Jul25'!AY62,"",'1. Live'!AY62-'check-Jul25'!AY62)</f>
        <v/>
      </c>
      <c r="AZ62" t="str">
        <f>IF('1. Live'!AZ62='check-Jul25'!AZ62,"",'1. Live'!AZ62-'check-Jul25'!AZ62)</f>
        <v/>
      </c>
      <c r="BA62" t="str">
        <f>IF('1. Live'!BA62='check-Jul25'!BA62,"",'1. Live'!BA62-'check-Jul25'!BA62)</f>
        <v/>
      </c>
      <c r="BB62" t="str">
        <f>IF('1. Live'!BB62='check-Jul25'!BB62,"",'1. Live'!BB62-'check-Jul25'!BB62)</f>
        <v/>
      </c>
      <c r="BC62" t="str">
        <f>IF('1. Live'!BC62='check-Jul25'!BC62,"",'1. Live'!BC62-'check-Jul25'!BC62)</f>
        <v/>
      </c>
      <c r="BD62" t="str">
        <f>IF('1. Live'!BD62='check-Jul25'!BD62,"",'1. Live'!BD62-'check-Jul25'!BD62)</f>
        <v/>
      </c>
      <c r="BE62" t="str">
        <f>IF('1. Live'!BE62='check-Jul25'!BE62,"",'1. Live'!BE62-'check-Jul25'!BE62)</f>
        <v/>
      </c>
      <c r="BF62" t="str">
        <f>IF('1. Live'!BF62='check-Jul25'!BF62,"",'1. Live'!BF62-'check-Jul25'!BF62)</f>
        <v/>
      </c>
      <c r="BG62" t="str">
        <f>IF('1. Live'!BG62='check-Jul25'!BG62,"",'1. Live'!BG62-'check-Jul25'!BG62)</f>
        <v/>
      </c>
      <c r="BH62" t="str">
        <f>IF('1. Live'!BH62='check-Jul25'!BH62,"",'1. Live'!BH62-'check-Jul25'!BH62)</f>
        <v/>
      </c>
      <c r="BI62" t="str">
        <f>IF('1. Live'!BI62='check-Jul25'!BI62,"",'1. Live'!BI62-'check-Jul25'!BI62)</f>
        <v/>
      </c>
      <c r="BJ62" t="str">
        <f>IF('1. Live'!BJ62='check-Jul25'!BJ62,"",'1. Live'!BJ62-'check-Jul25'!BJ62)</f>
        <v/>
      </c>
      <c r="BK62" t="str">
        <f>IF('1. Live'!BK62='check-Jul25'!BK62,"",'1. Live'!BK62-'check-Jul25'!BK62)</f>
        <v/>
      </c>
      <c r="BL62" t="str">
        <f>IF('1. Live'!BL62='check-Jul25'!BL62,"",'1. Live'!BL62-'check-Jul25'!BL62)</f>
        <v/>
      </c>
      <c r="BM62" t="str">
        <f>IF('1. Live'!BM62='check-Jul25'!BM62,"",'1. Live'!BM62-'check-Jul25'!BM62)</f>
        <v/>
      </c>
      <c r="BN62" t="str">
        <f>IF('1. Live'!BN62='check-Jul25'!BN62,"",'1. Live'!BN62-'check-Jul25'!BN62)</f>
        <v/>
      </c>
      <c r="BO62" t="str">
        <f>IF('1. Live'!BO62='check-Jul25'!BO62,"",'1. Live'!BO62-'check-Jul25'!BO62)</f>
        <v/>
      </c>
      <c r="BP62" t="str">
        <f>IF('1. Live'!BP62='check-Jul25'!BP62,"",'1. Live'!BP62-'check-Jul25'!BP62)</f>
        <v/>
      </c>
      <c r="BQ62" t="str">
        <f>IF('1. Live'!BQ62='check-Jul25'!BQ62,"",'1. Live'!BQ62-'check-Jul25'!BQ62)</f>
        <v/>
      </c>
      <c r="BR62" t="str">
        <f>IF('1. Live'!BR62='check-Jul25'!BR62,"",'1. Live'!BR62-'check-Jul25'!BR62)</f>
        <v/>
      </c>
      <c r="BS62" t="str">
        <f>IF('1. Live'!BS62='check-Jul25'!BS62,"",'1. Live'!BS62-'check-Jul25'!BS62)</f>
        <v/>
      </c>
      <c r="BT62" t="str">
        <f>IF('1. Live'!BT62='check-Jul25'!BT62,"",'1. Live'!BT62-'check-Jul25'!BT62)</f>
        <v/>
      </c>
      <c r="BU62" t="str">
        <f>IF('1. Live'!BU62='check-Jul25'!BU62,"",'1. Live'!BU62-'check-Jul25'!BU62)</f>
        <v/>
      </c>
      <c r="BV62" t="str">
        <f>IF('1. Live'!BV62='check-Jul25'!BV62,"",'1. Live'!BV62-'check-Jul25'!BV62)</f>
        <v/>
      </c>
      <c r="BW62" t="str">
        <f>IF('1. Live'!BW62='check-Jul25'!BW62,"",'1. Live'!BW62-'check-Jul25'!BW62)</f>
        <v/>
      </c>
      <c r="BX62" t="str">
        <f>IF('1. Live'!BX62='check-Jul25'!BX62,"",'1. Live'!BX62-'check-Jul25'!BX62)</f>
        <v/>
      </c>
      <c r="BY62" t="str">
        <f>IF('1. Live'!BY62='check-Jul25'!BY62,"",'1. Live'!BY62-'check-Jul25'!BY62)</f>
        <v/>
      </c>
      <c r="BZ62" t="str">
        <f>IF('1. Live'!BZ62='check-Jul25'!BZ62,"",'1. Live'!BZ62-'check-Jul25'!BZ62)</f>
        <v/>
      </c>
      <c r="CA62" t="str">
        <f>IF('1. Live'!CA62='check-Jul25'!CA62,"",'1. Live'!CA62-'check-Jul25'!CA62)</f>
        <v/>
      </c>
      <c r="CB62" t="str">
        <f>IF('1. Live'!CB62='check-Jul25'!CB62,"",'1. Live'!CB62-'check-Jul25'!CB62)</f>
        <v/>
      </c>
      <c r="CC62" t="str">
        <f>IF('1. Live'!CC62='check-Jul25'!CC62,"",'1. Live'!CC62-'check-Jul25'!CC62)</f>
        <v/>
      </c>
      <c r="CD62" t="str">
        <f>IF('1. Live'!CD62='check-Jul25'!CD62,"",'1. Live'!CD62-'check-Jul25'!CD62)</f>
        <v/>
      </c>
      <c r="CE62" t="str">
        <f>IF('1. Live'!CE62='check-Jul25'!CE62,"",'1. Live'!CE62-'check-Jul25'!CE62)</f>
        <v/>
      </c>
      <c r="CF62" t="str">
        <f>IF('1. Live'!CF62='check-Jul25'!CF62,"",'1. Live'!CF62-'check-Jul25'!CF62)</f>
        <v/>
      </c>
      <c r="CG62" t="str">
        <f>IF('1. Live'!CG62='check-Jul25'!CG62,"",'1. Live'!CG62-'check-Jul25'!CG62)</f>
        <v/>
      </c>
      <c r="CH62" t="str">
        <f>IF('1. Live'!CH62='check-Jul25'!CH62,"",'1. Live'!CH62-'check-Jul25'!CH62)</f>
        <v/>
      </c>
      <c r="CI62" t="str">
        <f>IF('1. Live'!CI62='check-Jul25'!CI62,"",'1. Live'!CI62-'check-Jul25'!CI62)</f>
        <v/>
      </c>
      <c r="CJ62" t="str">
        <f>IF('1. Live'!CJ62='check-Jul25'!CJ62,"",'1. Live'!CJ62-'check-Jul25'!CJ62)</f>
        <v/>
      </c>
      <c r="CK62" t="str">
        <f>IF('1. Live'!CK62='check-Jul25'!CK62,"",'1. Live'!CK62-'check-Jul25'!CK62)</f>
        <v/>
      </c>
      <c r="CL62" t="str">
        <f>IF('1. Live'!CL62='check-Jul25'!CL62,"",'1. Live'!CL62-'check-Jul25'!CL62)</f>
        <v/>
      </c>
      <c r="CM62" t="str">
        <f>IF('1. Live'!CM62='check-Jul25'!CM62,"",'1. Live'!CM62-'check-Jul25'!CM62)</f>
        <v/>
      </c>
      <c r="CN62" t="str">
        <f>IF('1. Live'!CN62='check-Jul25'!CN62,"",'1. Live'!CN62-'check-Jul25'!CN62)</f>
        <v/>
      </c>
      <c r="CO62" t="str">
        <f>IF('1. Live'!CO62='check-Jul25'!CO62,"",'1. Live'!CO62-'check-Jul25'!CO62)</f>
        <v/>
      </c>
      <c r="CP62" t="str">
        <f>IF('1. Live'!CP62='check-Jul25'!CP62,"",'1. Live'!CP62-'check-Jul25'!CP62)</f>
        <v/>
      </c>
      <c r="CQ62" t="str">
        <f>IF('1. Live'!CQ62='check-Jul25'!CQ62,"",'1. Live'!CQ62-'check-Jul25'!CQ62)</f>
        <v/>
      </c>
      <c r="CR62" t="str">
        <f>IF('1. Live'!CR62='check-Jul25'!CR62,"",'1. Live'!CR62-'check-Jul25'!CR62)</f>
        <v/>
      </c>
      <c r="CS62" t="str">
        <f>IF('1. Live'!CS62='check-Jul25'!CS62,"",'1. Live'!CS62-'check-Jul25'!CS62)</f>
        <v/>
      </c>
      <c r="CT62" t="str">
        <f>IF('1. Live'!CT62='check-Jul25'!CT62,"",'1. Live'!CT62-'check-Jul25'!CT62)</f>
        <v/>
      </c>
      <c r="CU62" t="str">
        <f>IF('1. Live'!CU62='check-Jul25'!CU62,"",'1. Live'!CU62-'check-Jul25'!CU62)</f>
        <v/>
      </c>
      <c r="CV62" t="str">
        <f>IF('1. Live'!CV62='check-Jul25'!CV62,"",'1. Live'!CV62-'check-Jul25'!CV62)</f>
        <v/>
      </c>
      <c r="CW62" t="str">
        <f>IF('1. Live'!CW62='check-Jul25'!CW62,"",'1. Live'!CW62-'check-Jul25'!CW62)</f>
        <v/>
      </c>
    </row>
    <row r="63" spans="2:101">
      <c r="J63" t="str">
        <f>IF('1. Live'!J63='check-Jul25'!J63,"",'1. Live'!J63-'check-Jul25'!J63)</f>
        <v/>
      </c>
      <c r="K63" t="str">
        <f>IF('1. Live'!K63='check-Jul25'!K63,"",'1. Live'!K63-'check-Jul25'!K63)</f>
        <v/>
      </c>
      <c r="L63" t="str">
        <f>IF('1. Live'!L63='check-Jul25'!L63,"",'1. Live'!L63-'check-Jul25'!L63)</f>
        <v/>
      </c>
      <c r="M63" t="str">
        <f>IF('1. Live'!M63='check-Jul25'!M63,"",'1. Live'!M63-'check-Jul25'!M63)</f>
        <v/>
      </c>
      <c r="N63" t="str">
        <f>IF('1. Live'!N63='check-Jul25'!N63,"",'1. Live'!N63-'check-Jul25'!N63)</f>
        <v/>
      </c>
      <c r="O63" t="str">
        <f>IF('1. Live'!O63='check-Jul25'!O63,"",'1. Live'!O63-'check-Jul25'!O63)</f>
        <v/>
      </c>
      <c r="P63" t="str">
        <f>IF('1. Live'!P63='check-Jul25'!P63,"",'1. Live'!P63-'check-Jul25'!P63)</f>
        <v/>
      </c>
      <c r="Q63" t="str">
        <f>IF('1. Live'!Q63='check-Jul25'!Q63,"",'1. Live'!Q63-'check-Jul25'!Q63)</f>
        <v/>
      </c>
      <c r="R63" t="str">
        <f>IF('1. Live'!R63='check-Jul25'!R63,"",'1. Live'!R63-'check-Jul25'!R63)</f>
        <v/>
      </c>
      <c r="S63" t="str">
        <f>IF('1. Live'!S63='check-Jul25'!S63,"",'1. Live'!S63-'check-Jul25'!S63)</f>
        <v/>
      </c>
      <c r="T63" t="str">
        <f>IF('1. Live'!T63='check-Jul25'!T63,"",'1. Live'!T63-'check-Jul25'!T63)</f>
        <v/>
      </c>
      <c r="U63" t="str">
        <f>IF('1. Live'!U63='check-Jul25'!U63,"",'1. Live'!U63-'check-Jul25'!U63)</f>
        <v/>
      </c>
      <c r="V63" t="str">
        <f>IF('1. Live'!V63='check-Jul25'!V63,"",'1. Live'!V63-'check-Jul25'!V63)</f>
        <v/>
      </c>
      <c r="W63" t="str">
        <f>IF('1. Live'!W63='check-Jul25'!W63,"",'1. Live'!W63-'check-Jul25'!W63)</f>
        <v/>
      </c>
      <c r="X63" t="str">
        <f>IF('1. Live'!X63='check-Jul25'!X63,"",'1. Live'!X63-'check-Jul25'!X63)</f>
        <v/>
      </c>
      <c r="Y63" t="str">
        <f>IF('1. Live'!Y63='check-Jul25'!Y63,"",'1. Live'!Y63-'check-Jul25'!Y63)</f>
        <v/>
      </c>
      <c r="Z63" t="str">
        <f>IF('1. Live'!Z63='check-Jul25'!Z63,"",'1. Live'!Z63-'check-Jul25'!Z63)</f>
        <v/>
      </c>
      <c r="AA63" t="str">
        <f>IF('1. Live'!AA63='check-Jul25'!AA63,"",'1. Live'!AA63-'check-Jul25'!AA63)</f>
        <v/>
      </c>
      <c r="AB63" t="str">
        <f>IF('1. Live'!AB63='check-Jul25'!AB63,"",'1. Live'!AB63-'check-Jul25'!AB63)</f>
        <v/>
      </c>
      <c r="AC63" t="str">
        <f>IF('1. Live'!AC63='check-Jul25'!AC63,"",'1. Live'!AC63-'check-Jul25'!AC63)</f>
        <v/>
      </c>
      <c r="AD63" t="str">
        <f>IF('1. Live'!AD63='check-Jul25'!AD63,"",'1. Live'!AD63-'check-Jul25'!AD63)</f>
        <v/>
      </c>
      <c r="AE63" t="str">
        <f>IF('1. Live'!AE63='check-Jul25'!AE63,"",'1. Live'!AE63-'check-Jul25'!AE63)</f>
        <v/>
      </c>
      <c r="AF63" t="str">
        <f>IF('1. Live'!AF63='check-Jul25'!AF63,"",'1. Live'!AF63-'check-Jul25'!AF63)</f>
        <v/>
      </c>
      <c r="AG63" t="str">
        <f>IF('1. Live'!AG63='check-Jul25'!AG63,"",'1. Live'!AG63-'check-Jul25'!AG63)</f>
        <v/>
      </c>
      <c r="AH63" t="str">
        <f>IF('1. Live'!AH63='check-Jul25'!AH63,"",'1. Live'!AH63-'check-Jul25'!AH63)</f>
        <v/>
      </c>
      <c r="AI63" t="str">
        <f>IF('1. Live'!AI63='check-Jul25'!AI63,"",'1. Live'!AI63-'check-Jul25'!AI63)</f>
        <v/>
      </c>
      <c r="AJ63" t="str">
        <f>IF('1. Live'!AJ63='check-Jul25'!AJ63,"",'1. Live'!AJ63-'check-Jul25'!AJ63)</f>
        <v/>
      </c>
      <c r="AK63" t="str">
        <f>IF('1. Live'!AK63='check-Jul25'!AK63,"",'1. Live'!AK63-'check-Jul25'!AK63)</f>
        <v/>
      </c>
      <c r="AL63" t="str">
        <f>IF('1. Live'!AL63='check-Jul25'!AL63,"",'1. Live'!AL63-'check-Jul25'!AL63)</f>
        <v/>
      </c>
      <c r="AM63" t="str">
        <f>IF('1. Live'!AM63='check-Jul25'!AM63,"",'1. Live'!AM63-'check-Jul25'!AM63)</f>
        <v/>
      </c>
      <c r="AN63" t="str">
        <f>IF('1. Live'!AN63='check-Jul25'!AN63,"",'1. Live'!AN63-'check-Jul25'!AN63)</f>
        <v/>
      </c>
      <c r="AO63" t="str">
        <f>IF('1. Live'!AO63='check-Jul25'!AO63,"",'1. Live'!AO63-'check-Jul25'!AO63)</f>
        <v/>
      </c>
      <c r="AP63" t="str">
        <f>IF('1. Live'!AP63='check-Jul25'!AP63,"",'1. Live'!AP63-'check-Jul25'!AP63)</f>
        <v/>
      </c>
      <c r="AQ63" t="str">
        <f>IF('1. Live'!AQ63='check-Jul25'!AQ63,"",'1. Live'!AQ63-'check-Jul25'!AQ63)</f>
        <v/>
      </c>
      <c r="AR63" t="str">
        <f>IF('1. Live'!AR63='check-Jul25'!AR63,"",'1. Live'!AR63-'check-Jul25'!AR63)</f>
        <v/>
      </c>
      <c r="AS63" t="str">
        <f>IF('1. Live'!AS63='check-Jul25'!AS63,"",'1. Live'!AS63-'check-Jul25'!AS63)</f>
        <v/>
      </c>
      <c r="AT63" t="str">
        <f>IF('1. Live'!AT63='check-Jul25'!AT63,"",'1. Live'!AT63-'check-Jul25'!AT63)</f>
        <v/>
      </c>
      <c r="AU63" t="str">
        <f>IF('1. Live'!AU63='check-Jul25'!AU63,"",'1. Live'!AU63-'check-Jul25'!AU63)</f>
        <v/>
      </c>
      <c r="AV63" t="str">
        <f>IF('1. Live'!AV63='check-Jul25'!AV63,"",'1. Live'!AV63-'check-Jul25'!AV63)</f>
        <v/>
      </c>
      <c r="AW63" t="str">
        <f>IF('1. Live'!AW63='check-Jul25'!AW63,"",'1. Live'!AW63-'check-Jul25'!AW63)</f>
        <v/>
      </c>
      <c r="AX63" t="str">
        <f>IF('1. Live'!AX63='check-Jul25'!AX63,"",'1. Live'!AX63-'check-Jul25'!AX63)</f>
        <v/>
      </c>
      <c r="AY63" t="str">
        <f>IF('1. Live'!AY63='check-Jul25'!AY63,"",'1. Live'!AY63-'check-Jul25'!AY63)</f>
        <v/>
      </c>
      <c r="AZ63" t="str">
        <f>IF('1. Live'!AZ63='check-Jul25'!AZ63,"",'1. Live'!AZ63-'check-Jul25'!AZ63)</f>
        <v/>
      </c>
      <c r="BA63" t="str">
        <f>IF('1. Live'!BA63='check-Jul25'!BA63,"",'1. Live'!BA63-'check-Jul25'!BA63)</f>
        <v/>
      </c>
      <c r="BB63" t="str">
        <f>IF('1. Live'!BB63='check-Jul25'!BB63,"",'1. Live'!BB63-'check-Jul25'!BB63)</f>
        <v/>
      </c>
      <c r="BC63" t="str">
        <f>IF('1. Live'!BC63='check-Jul25'!BC63,"",'1. Live'!BC63-'check-Jul25'!BC63)</f>
        <v/>
      </c>
      <c r="BD63" t="str">
        <f>IF('1. Live'!BD63='check-Jul25'!BD63,"",'1. Live'!BD63-'check-Jul25'!BD63)</f>
        <v/>
      </c>
      <c r="BE63" t="str">
        <f>IF('1. Live'!BE63='check-Jul25'!BE63,"",'1. Live'!BE63-'check-Jul25'!BE63)</f>
        <v/>
      </c>
      <c r="BF63" t="str">
        <f>IF('1. Live'!BF63='check-Jul25'!BF63,"",'1. Live'!BF63-'check-Jul25'!BF63)</f>
        <v/>
      </c>
      <c r="BG63" t="str">
        <f>IF('1. Live'!BG63='check-Jul25'!BG63,"",'1. Live'!BG63-'check-Jul25'!BG63)</f>
        <v/>
      </c>
      <c r="BH63" t="str">
        <f>IF('1. Live'!BH63='check-Jul25'!BH63,"",'1. Live'!BH63-'check-Jul25'!BH63)</f>
        <v/>
      </c>
      <c r="BI63" t="str">
        <f>IF('1. Live'!BI63='check-Jul25'!BI63,"",'1. Live'!BI63-'check-Jul25'!BI63)</f>
        <v/>
      </c>
      <c r="BJ63" t="str">
        <f>IF('1. Live'!BJ63='check-Jul25'!BJ63,"",'1. Live'!BJ63-'check-Jul25'!BJ63)</f>
        <v/>
      </c>
      <c r="BK63" t="str">
        <f>IF('1. Live'!BK63='check-Jul25'!BK63,"",'1. Live'!BK63-'check-Jul25'!BK63)</f>
        <v/>
      </c>
      <c r="BL63" t="str">
        <f>IF('1. Live'!BL63='check-Jul25'!BL63,"",'1. Live'!BL63-'check-Jul25'!BL63)</f>
        <v/>
      </c>
      <c r="BM63" t="str">
        <f>IF('1. Live'!BM63='check-Jul25'!BM63,"",'1. Live'!BM63-'check-Jul25'!BM63)</f>
        <v/>
      </c>
      <c r="BN63" t="str">
        <f>IF('1. Live'!BN63='check-Jul25'!BN63,"",'1. Live'!BN63-'check-Jul25'!BN63)</f>
        <v/>
      </c>
      <c r="BO63" t="str">
        <f>IF('1. Live'!BO63='check-Jul25'!BO63,"",'1. Live'!BO63-'check-Jul25'!BO63)</f>
        <v/>
      </c>
      <c r="BP63" t="str">
        <f>IF('1. Live'!BP63='check-Jul25'!BP63,"",'1. Live'!BP63-'check-Jul25'!BP63)</f>
        <v/>
      </c>
      <c r="BQ63" t="str">
        <f>IF('1. Live'!BQ63='check-Jul25'!BQ63,"",'1. Live'!BQ63-'check-Jul25'!BQ63)</f>
        <v/>
      </c>
      <c r="BR63" t="str">
        <f>IF('1. Live'!BR63='check-Jul25'!BR63,"",'1. Live'!BR63-'check-Jul25'!BR63)</f>
        <v/>
      </c>
      <c r="BS63" t="str">
        <f>IF('1. Live'!BS63='check-Jul25'!BS63,"",'1. Live'!BS63-'check-Jul25'!BS63)</f>
        <v/>
      </c>
      <c r="BT63" t="str">
        <f>IF('1. Live'!BT63='check-Jul25'!BT63,"",'1. Live'!BT63-'check-Jul25'!BT63)</f>
        <v/>
      </c>
      <c r="BU63" t="str">
        <f>IF('1. Live'!BU63='check-Jul25'!BU63,"",'1. Live'!BU63-'check-Jul25'!BU63)</f>
        <v/>
      </c>
      <c r="BV63" t="str">
        <f>IF('1. Live'!BV63='check-Jul25'!BV63,"",'1. Live'!BV63-'check-Jul25'!BV63)</f>
        <v/>
      </c>
      <c r="BW63" t="str">
        <f>IF('1. Live'!BW63='check-Jul25'!BW63,"",'1. Live'!BW63-'check-Jul25'!BW63)</f>
        <v/>
      </c>
      <c r="BX63" t="str">
        <f>IF('1. Live'!BX63='check-Jul25'!BX63,"",'1. Live'!BX63-'check-Jul25'!BX63)</f>
        <v/>
      </c>
      <c r="BY63" t="str">
        <f>IF('1. Live'!BY63='check-Jul25'!BY63,"",'1. Live'!BY63-'check-Jul25'!BY63)</f>
        <v/>
      </c>
      <c r="BZ63" t="str">
        <f>IF('1. Live'!BZ63='check-Jul25'!BZ63,"",'1. Live'!BZ63-'check-Jul25'!BZ63)</f>
        <v/>
      </c>
      <c r="CA63" t="str">
        <f>IF('1. Live'!CA63='check-Jul25'!CA63,"",'1. Live'!CA63-'check-Jul25'!CA63)</f>
        <v/>
      </c>
      <c r="CB63" t="str">
        <f>IF('1. Live'!CB63='check-Jul25'!CB63,"",'1. Live'!CB63-'check-Jul25'!CB63)</f>
        <v/>
      </c>
      <c r="CC63" t="str">
        <f>IF('1. Live'!CC63='check-Jul25'!CC63,"",'1. Live'!CC63-'check-Jul25'!CC63)</f>
        <v/>
      </c>
      <c r="CD63" t="str">
        <f>IF('1. Live'!CD63='check-Jul25'!CD63,"",'1. Live'!CD63-'check-Jul25'!CD63)</f>
        <v/>
      </c>
      <c r="CE63" t="str">
        <f>IF('1. Live'!CE63='check-Jul25'!CE63,"",'1. Live'!CE63-'check-Jul25'!CE63)</f>
        <v/>
      </c>
      <c r="CF63" t="str">
        <f>IF('1. Live'!CF63='check-Jul25'!CF63,"",'1. Live'!CF63-'check-Jul25'!CF63)</f>
        <v/>
      </c>
      <c r="CG63" t="str">
        <f>IF('1. Live'!CG63='check-Jul25'!CG63,"",'1. Live'!CG63-'check-Jul25'!CG63)</f>
        <v/>
      </c>
      <c r="CH63" t="str">
        <f>IF('1. Live'!CH63='check-Jul25'!CH63,"",'1. Live'!CH63-'check-Jul25'!CH63)</f>
        <v/>
      </c>
      <c r="CI63" t="str">
        <f>IF('1. Live'!CI63='check-Jul25'!CI63,"",'1. Live'!CI63-'check-Jul25'!CI63)</f>
        <v/>
      </c>
      <c r="CJ63" t="str">
        <f>IF('1. Live'!CJ63='check-Jul25'!CJ63,"",'1. Live'!CJ63-'check-Jul25'!CJ63)</f>
        <v/>
      </c>
      <c r="CK63" t="str">
        <f>IF('1. Live'!CK63='check-Jul25'!CK63,"",'1. Live'!CK63-'check-Jul25'!CK63)</f>
        <v/>
      </c>
      <c r="CL63" t="str">
        <f>IF('1. Live'!CL63='check-Jul25'!CL63,"",'1. Live'!CL63-'check-Jul25'!CL63)</f>
        <v/>
      </c>
      <c r="CM63" t="str">
        <f>IF('1. Live'!CM63='check-Jul25'!CM63,"",'1. Live'!CM63-'check-Jul25'!CM63)</f>
        <v/>
      </c>
      <c r="CN63" t="str">
        <f>IF('1. Live'!CN63='check-Jul25'!CN63,"",'1. Live'!CN63-'check-Jul25'!CN63)</f>
        <v/>
      </c>
      <c r="CO63" t="str">
        <f>IF('1. Live'!CO63='check-Jul25'!CO63,"",'1. Live'!CO63-'check-Jul25'!CO63)</f>
        <v/>
      </c>
      <c r="CP63" t="str">
        <f>IF('1. Live'!CP63='check-Jul25'!CP63,"",'1. Live'!CP63-'check-Jul25'!CP63)</f>
        <v/>
      </c>
      <c r="CQ63" t="str">
        <f>IF('1. Live'!CQ63='check-Jul25'!CQ63,"",'1. Live'!CQ63-'check-Jul25'!CQ63)</f>
        <v/>
      </c>
      <c r="CR63" t="str">
        <f>IF('1. Live'!CR63='check-Jul25'!CR63,"",'1. Live'!CR63-'check-Jul25'!CR63)</f>
        <v/>
      </c>
      <c r="CS63" t="str">
        <f>IF('1. Live'!CS63='check-Jul25'!CS63,"",'1. Live'!CS63-'check-Jul25'!CS63)</f>
        <v/>
      </c>
      <c r="CT63" t="str">
        <f>IF('1. Live'!CT63='check-Jul25'!CT63,"",'1. Live'!CT63-'check-Jul25'!CT63)</f>
        <v/>
      </c>
      <c r="CU63" t="str">
        <f>IF('1. Live'!CU63='check-Jul25'!CU63,"",'1. Live'!CU63-'check-Jul25'!CU63)</f>
        <v/>
      </c>
      <c r="CV63" t="str">
        <f>IF('1. Live'!CV63='check-Jul25'!CV63,"",'1. Live'!CV63-'check-Jul25'!CV63)</f>
        <v/>
      </c>
      <c r="CW63" t="str">
        <f>IF('1. Live'!CW63='check-Jul25'!CW63,"",'1. Live'!CW63-'check-Jul25'!CW63)</f>
        <v/>
      </c>
    </row>
    <row r="64" spans="2:101">
      <c r="J64" t="str">
        <f>IF('1. Live'!J64='check-Jul25'!J64,"",'1. Live'!J64-'check-Jul25'!J64)</f>
        <v/>
      </c>
      <c r="K64" t="str">
        <f>IF('1. Live'!K64='check-Jul25'!K64,"",'1. Live'!K64-'check-Jul25'!K64)</f>
        <v/>
      </c>
      <c r="L64" t="str">
        <f>IF('1. Live'!L64='check-Jul25'!L64,"",'1. Live'!L64-'check-Jul25'!L64)</f>
        <v/>
      </c>
      <c r="M64" t="str">
        <f>IF('1. Live'!M64='check-Jul25'!M64,"",'1. Live'!M64-'check-Jul25'!M64)</f>
        <v/>
      </c>
      <c r="N64" t="str">
        <f>IF('1. Live'!N64='check-Jul25'!N64,"",'1. Live'!N64-'check-Jul25'!N64)</f>
        <v/>
      </c>
      <c r="O64" t="str">
        <f>IF('1. Live'!O64='check-Jul25'!O64,"",'1. Live'!O64-'check-Jul25'!O64)</f>
        <v/>
      </c>
      <c r="P64" t="str">
        <f>IF('1. Live'!P64='check-Jul25'!P64,"",'1. Live'!P64-'check-Jul25'!P64)</f>
        <v/>
      </c>
      <c r="Q64" t="str">
        <f>IF('1. Live'!Q64='check-Jul25'!Q64,"",'1. Live'!Q64-'check-Jul25'!Q64)</f>
        <v/>
      </c>
      <c r="R64" t="str">
        <f>IF('1. Live'!R64='check-Jul25'!R64,"",'1. Live'!R64-'check-Jul25'!R64)</f>
        <v/>
      </c>
      <c r="S64" t="str">
        <f>IF('1. Live'!S64='check-Jul25'!S64,"",'1. Live'!S64-'check-Jul25'!S64)</f>
        <v/>
      </c>
      <c r="T64" t="str">
        <f>IF('1. Live'!T64='check-Jul25'!T64,"",'1. Live'!T64-'check-Jul25'!T64)</f>
        <v/>
      </c>
      <c r="U64" t="str">
        <f>IF('1. Live'!U64='check-Jul25'!U64,"",'1. Live'!U64-'check-Jul25'!U64)</f>
        <v/>
      </c>
      <c r="V64" t="str">
        <f>IF('1. Live'!V64='check-Jul25'!V64,"",'1. Live'!V64-'check-Jul25'!V64)</f>
        <v/>
      </c>
      <c r="W64" t="str">
        <f>IF('1. Live'!W64='check-Jul25'!W64,"",'1. Live'!W64-'check-Jul25'!W64)</f>
        <v/>
      </c>
      <c r="X64" t="str">
        <f>IF('1. Live'!X64='check-Jul25'!X64,"",'1. Live'!X64-'check-Jul25'!X64)</f>
        <v/>
      </c>
      <c r="Y64" t="str">
        <f>IF('1. Live'!Y64='check-Jul25'!Y64,"",'1. Live'!Y64-'check-Jul25'!Y64)</f>
        <v/>
      </c>
      <c r="Z64" t="str">
        <f>IF('1. Live'!Z64='check-Jul25'!Z64,"",'1. Live'!Z64-'check-Jul25'!Z64)</f>
        <v/>
      </c>
      <c r="AA64" t="str">
        <f>IF('1. Live'!AA64='check-Jul25'!AA64,"",'1. Live'!AA64-'check-Jul25'!AA64)</f>
        <v/>
      </c>
      <c r="AB64" t="str">
        <f>IF('1. Live'!AB64='check-Jul25'!AB64,"",'1. Live'!AB64-'check-Jul25'!AB64)</f>
        <v/>
      </c>
      <c r="AC64" t="str">
        <f>IF('1. Live'!AC64='check-Jul25'!AC64,"",'1. Live'!AC64-'check-Jul25'!AC64)</f>
        <v/>
      </c>
      <c r="AD64" t="str">
        <f>IF('1. Live'!AD64='check-Jul25'!AD64,"",'1. Live'!AD64-'check-Jul25'!AD64)</f>
        <v/>
      </c>
      <c r="AE64" t="str">
        <f>IF('1. Live'!AE64='check-Jul25'!AE64,"",'1. Live'!AE64-'check-Jul25'!AE64)</f>
        <v/>
      </c>
      <c r="AF64" t="str">
        <f>IF('1. Live'!AF64='check-Jul25'!AF64,"",'1. Live'!AF64-'check-Jul25'!AF64)</f>
        <v/>
      </c>
      <c r="AG64" t="str">
        <f>IF('1. Live'!AG64='check-Jul25'!AG64,"",'1. Live'!AG64-'check-Jul25'!AG64)</f>
        <v/>
      </c>
      <c r="AH64" t="str">
        <f>IF('1. Live'!AH64='check-Jul25'!AH64,"",'1. Live'!AH64-'check-Jul25'!AH64)</f>
        <v/>
      </c>
      <c r="AI64" t="str">
        <f>IF('1. Live'!AI64='check-Jul25'!AI64,"",'1. Live'!AI64-'check-Jul25'!AI64)</f>
        <v/>
      </c>
      <c r="AJ64" t="str">
        <f>IF('1. Live'!AJ64='check-Jul25'!AJ64,"",'1. Live'!AJ64-'check-Jul25'!AJ64)</f>
        <v/>
      </c>
      <c r="AK64" t="str">
        <f>IF('1. Live'!AK64='check-Jul25'!AK64,"",'1. Live'!AK64-'check-Jul25'!AK64)</f>
        <v/>
      </c>
      <c r="AL64" t="str">
        <f>IF('1. Live'!AL64='check-Jul25'!AL64,"",'1. Live'!AL64-'check-Jul25'!AL64)</f>
        <v/>
      </c>
      <c r="AM64" t="str">
        <f>IF('1. Live'!AM64='check-Jul25'!AM64,"",'1. Live'!AM64-'check-Jul25'!AM64)</f>
        <v/>
      </c>
      <c r="AN64" t="str">
        <f>IF('1. Live'!AN64='check-Jul25'!AN64,"",'1. Live'!AN64-'check-Jul25'!AN64)</f>
        <v/>
      </c>
      <c r="AO64" t="str">
        <f>IF('1. Live'!AO64='check-Jul25'!AO64,"",'1. Live'!AO64-'check-Jul25'!AO64)</f>
        <v/>
      </c>
      <c r="AP64" t="str">
        <f>IF('1. Live'!AP64='check-Jul25'!AP64,"",'1. Live'!AP64-'check-Jul25'!AP64)</f>
        <v/>
      </c>
      <c r="AQ64" t="str">
        <f>IF('1. Live'!AQ64='check-Jul25'!AQ64,"",'1. Live'!AQ64-'check-Jul25'!AQ64)</f>
        <v/>
      </c>
      <c r="AR64" t="str">
        <f>IF('1. Live'!AR64='check-Jul25'!AR64,"",'1. Live'!AR64-'check-Jul25'!AR64)</f>
        <v/>
      </c>
      <c r="AS64" t="str">
        <f>IF('1. Live'!AS64='check-Jul25'!AS64,"",'1. Live'!AS64-'check-Jul25'!AS64)</f>
        <v/>
      </c>
      <c r="AT64" t="str">
        <f>IF('1. Live'!AT64='check-Jul25'!AT64,"",'1. Live'!AT64-'check-Jul25'!AT64)</f>
        <v/>
      </c>
      <c r="AU64" t="str">
        <f>IF('1. Live'!AU64='check-Jul25'!AU64,"",'1. Live'!AU64-'check-Jul25'!AU64)</f>
        <v/>
      </c>
      <c r="AV64" t="str">
        <f>IF('1. Live'!AV64='check-Jul25'!AV64,"",'1. Live'!AV64-'check-Jul25'!AV64)</f>
        <v/>
      </c>
      <c r="AW64" t="str">
        <f>IF('1. Live'!AW64='check-Jul25'!AW64,"",'1. Live'!AW64-'check-Jul25'!AW64)</f>
        <v/>
      </c>
      <c r="AX64" t="str">
        <f>IF('1. Live'!AX64='check-Jul25'!AX64,"",'1. Live'!AX64-'check-Jul25'!AX64)</f>
        <v/>
      </c>
      <c r="AY64" t="str">
        <f>IF('1. Live'!AY64='check-Jul25'!AY64,"",'1. Live'!AY64-'check-Jul25'!AY64)</f>
        <v/>
      </c>
      <c r="AZ64" t="str">
        <f>IF('1. Live'!AZ64='check-Jul25'!AZ64,"",'1. Live'!AZ64-'check-Jul25'!AZ64)</f>
        <v/>
      </c>
      <c r="BA64" t="str">
        <f>IF('1. Live'!BA64='check-Jul25'!BA64,"",'1. Live'!BA64-'check-Jul25'!BA64)</f>
        <v/>
      </c>
      <c r="BB64" t="str">
        <f>IF('1. Live'!BB64='check-Jul25'!BB64,"",'1. Live'!BB64-'check-Jul25'!BB64)</f>
        <v/>
      </c>
      <c r="BC64" t="str">
        <f>IF('1. Live'!BC64='check-Jul25'!BC64,"",'1. Live'!BC64-'check-Jul25'!BC64)</f>
        <v/>
      </c>
      <c r="BD64" t="str">
        <f>IF('1. Live'!BD64='check-Jul25'!BD64,"",'1. Live'!BD64-'check-Jul25'!BD64)</f>
        <v/>
      </c>
      <c r="BE64" t="str">
        <f>IF('1. Live'!BE64='check-Jul25'!BE64,"",'1. Live'!BE64-'check-Jul25'!BE64)</f>
        <v/>
      </c>
      <c r="BF64" t="str">
        <f>IF('1. Live'!BF64='check-Jul25'!BF64,"",'1. Live'!BF64-'check-Jul25'!BF64)</f>
        <v/>
      </c>
      <c r="BG64" t="str">
        <f>IF('1. Live'!BG64='check-Jul25'!BG64,"",'1. Live'!BG64-'check-Jul25'!BG64)</f>
        <v/>
      </c>
      <c r="BH64" t="str">
        <f>IF('1. Live'!BH64='check-Jul25'!BH64,"",'1. Live'!BH64-'check-Jul25'!BH64)</f>
        <v/>
      </c>
      <c r="BI64" t="str">
        <f>IF('1. Live'!BI64='check-Jul25'!BI64,"",'1. Live'!BI64-'check-Jul25'!BI64)</f>
        <v/>
      </c>
      <c r="BJ64" t="str">
        <f>IF('1. Live'!BJ64='check-Jul25'!BJ64,"",'1. Live'!BJ64-'check-Jul25'!BJ64)</f>
        <v/>
      </c>
      <c r="BK64" t="str">
        <f>IF('1. Live'!BK64='check-Jul25'!BK64,"",'1. Live'!BK64-'check-Jul25'!BK64)</f>
        <v/>
      </c>
      <c r="BL64" t="str">
        <f>IF('1. Live'!BL64='check-Jul25'!BL64,"",'1. Live'!BL64-'check-Jul25'!BL64)</f>
        <v/>
      </c>
      <c r="BM64" t="str">
        <f>IF('1. Live'!BM64='check-Jul25'!BM64,"",'1. Live'!BM64-'check-Jul25'!BM64)</f>
        <v/>
      </c>
      <c r="BN64" t="str">
        <f>IF('1. Live'!BN64='check-Jul25'!BN64,"",'1. Live'!BN64-'check-Jul25'!BN64)</f>
        <v/>
      </c>
      <c r="BO64" t="str">
        <f>IF('1. Live'!BO64='check-Jul25'!BO64,"",'1. Live'!BO64-'check-Jul25'!BO64)</f>
        <v/>
      </c>
      <c r="BP64" t="str">
        <f>IF('1. Live'!BP64='check-Jul25'!BP64,"",'1. Live'!BP64-'check-Jul25'!BP64)</f>
        <v/>
      </c>
      <c r="BQ64" t="str">
        <f>IF('1. Live'!BQ64='check-Jul25'!BQ64,"",'1. Live'!BQ64-'check-Jul25'!BQ64)</f>
        <v/>
      </c>
      <c r="BR64" t="str">
        <f>IF('1. Live'!BR64='check-Jul25'!BR64,"",'1. Live'!BR64-'check-Jul25'!BR64)</f>
        <v/>
      </c>
      <c r="BS64" t="str">
        <f>IF('1. Live'!BS64='check-Jul25'!BS64,"",'1. Live'!BS64-'check-Jul25'!BS64)</f>
        <v/>
      </c>
      <c r="BT64" t="str">
        <f>IF('1. Live'!BT64='check-Jul25'!BT64,"",'1. Live'!BT64-'check-Jul25'!BT64)</f>
        <v/>
      </c>
      <c r="BU64" t="str">
        <f>IF('1. Live'!BU64='check-Jul25'!BU64,"",'1. Live'!BU64-'check-Jul25'!BU64)</f>
        <v/>
      </c>
      <c r="BV64" t="str">
        <f>IF('1. Live'!BV64='check-Jul25'!BV64,"",'1. Live'!BV64-'check-Jul25'!BV64)</f>
        <v/>
      </c>
      <c r="BW64" t="str">
        <f>IF('1. Live'!BW64='check-Jul25'!BW64,"",'1. Live'!BW64-'check-Jul25'!BW64)</f>
        <v/>
      </c>
      <c r="BX64" t="str">
        <f>IF('1. Live'!BX64='check-Jul25'!BX64,"",'1. Live'!BX64-'check-Jul25'!BX64)</f>
        <v/>
      </c>
      <c r="BY64" t="str">
        <f>IF('1. Live'!BY64='check-Jul25'!BY64,"",'1. Live'!BY64-'check-Jul25'!BY64)</f>
        <v/>
      </c>
      <c r="BZ64" t="str">
        <f>IF('1. Live'!BZ64='check-Jul25'!BZ64,"",'1. Live'!BZ64-'check-Jul25'!BZ64)</f>
        <v/>
      </c>
      <c r="CA64" t="str">
        <f>IF('1. Live'!CA64='check-Jul25'!CA64,"",'1. Live'!CA64-'check-Jul25'!CA64)</f>
        <v/>
      </c>
      <c r="CB64" t="str">
        <f>IF('1. Live'!CB64='check-Jul25'!CB64,"",'1. Live'!CB64-'check-Jul25'!CB64)</f>
        <v/>
      </c>
      <c r="CC64" t="str">
        <f>IF('1. Live'!CC64='check-Jul25'!CC64,"",'1. Live'!CC64-'check-Jul25'!CC64)</f>
        <v/>
      </c>
      <c r="CD64" t="str">
        <f>IF('1. Live'!CD64='check-Jul25'!CD64,"",'1. Live'!CD64-'check-Jul25'!CD64)</f>
        <v/>
      </c>
      <c r="CE64" t="str">
        <f>IF('1. Live'!CE64='check-Jul25'!CE64,"",'1. Live'!CE64-'check-Jul25'!CE64)</f>
        <v/>
      </c>
      <c r="CF64" t="str">
        <f>IF('1. Live'!CF64='check-Jul25'!CF64,"",'1. Live'!CF64-'check-Jul25'!CF64)</f>
        <v/>
      </c>
      <c r="CG64" t="str">
        <f>IF('1. Live'!CG64='check-Jul25'!CG64,"",'1. Live'!CG64-'check-Jul25'!CG64)</f>
        <v/>
      </c>
      <c r="CH64" t="str">
        <f>IF('1. Live'!CH64='check-Jul25'!CH64,"",'1. Live'!CH64-'check-Jul25'!CH64)</f>
        <v/>
      </c>
      <c r="CI64" t="str">
        <f>IF('1. Live'!CI64='check-Jul25'!CI64,"",'1. Live'!CI64-'check-Jul25'!CI64)</f>
        <v/>
      </c>
      <c r="CJ64" t="str">
        <f>IF('1. Live'!CJ64='check-Jul25'!CJ64,"",'1. Live'!CJ64-'check-Jul25'!CJ64)</f>
        <v/>
      </c>
      <c r="CK64" t="str">
        <f>IF('1. Live'!CK64='check-Jul25'!CK64,"",'1. Live'!CK64-'check-Jul25'!CK64)</f>
        <v/>
      </c>
      <c r="CL64" t="str">
        <f>IF('1. Live'!CL64='check-Jul25'!CL64,"",'1. Live'!CL64-'check-Jul25'!CL64)</f>
        <v/>
      </c>
      <c r="CM64" t="str">
        <f>IF('1. Live'!CM64='check-Jul25'!CM64,"",'1. Live'!CM64-'check-Jul25'!CM64)</f>
        <v/>
      </c>
      <c r="CN64" t="str">
        <f>IF('1. Live'!CN64='check-Jul25'!CN64,"",'1. Live'!CN64-'check-Jul25'!CN64)</f>
        <v/>
      </c>
      <c r="CO64" t="str">
        <f>IF('1. Live'!CO64='check-Jul25'!CO64,"",'1. Live'!CO64-'check-Jul25'!CO64)</f>
        <v/>
      </c>
      <c r="CP64" t="str">
        <f>IF('1. Live'!CP64='check-Jul25'!CP64,"",'1. Live'!CP64-'check-Jul25'!CP64)</f>
        <v/>
      </c>
      <c r="CQ64" t="str">
        <f>IF('1. Live'!CQ64='check-Jul25'!CQ64,"",'1. Live'!CQ64-'check-Jul25'!CQ64)</f>
        <v/>
      </c>
      <c r="CR64" t="str">
        <f>IF('1. Live'!CR64='check-Jul25'!CR64,"",'1. Live'!CR64-'check-Jul25'!CR64)</f>
        <v/>
      </c>
      <c r="CS64" t="str">
        <f>IF('1. Live'!CS64='check-Jul25'!CS64,"",'1. Live'!CS64-'check-Jul25'!CS64)</f>
        <v/>
      </c>
      <c r="CT64" t="str">
        <f>IF('1. Live'!CT64='check-Jul25'!CT64,"",'1. Live'!CT64-'check-Jul25'!CT64)</f>
        <v/>
      </c>
      <c r="CU64" t="str">
        <f>IF('1. Live'!CU64='check-Jul25'!CU64,"",'1. Live'!CU64-'check-Jul25'!CU64)</f>
        <v/>
      </c>
      <c r="CV64" t="str">
        <f>IF('1. Live'!CV64='check-Jul25'!CV64,"",'1. Live'!CV64-'check-Jul25'!CV64)</f>
        <v/>
      </c>
      <c r="CW64" t="str">
        <f>IF('1. Live'!CW64='check-Jul25'!CW64,"",'1. Live'!CW64-'check-Jul25'!CW64)</f>
        <v/>
      </c>
    </row>
    <row r="65" spans="10:101">
      <c r="J65" t="str">
        <f>IF('1. Live'!J65='check-Jul25'!J65,"",'1. Live'!J65-'check-Jul25'!J65)</f>
        <v/>
      </c>
      <c r="K65" t="str">
        <f>IF('1. Live'!K65='check-Jul25'!K65,"",'1. Live'!K65-'check-Jul25'!K65)</f>
        <v/>
      </c>
      <c r="L65" t="str">
        <f>IF('1. Live'!L65='check-Jul25'!L65,"",'1. Live'!L65-'check-Jul25'!L65)</f>
        <v/>
      </c>
      <c r="M65" t="str">
        <f>IF('1. Live'!M65='check-Jul25'!M65,"",'1. Live'!M65-'check-Jul25'!M65)</f>
        <v/>
      </c>
      <c r="N65" t="str">
        <f>IF('1. Live'!N65='check-Jul25'!N65,"",'1. Live'!N65-'check-Jul25'!N65)</f>
        <v/>
      </c>
      <c r="O65" t="str">
        <f>IF('1. Live'!O65='check-Jul25'!O65,"",'1. Live'!O65-'check-Jul25'!O65)</f>
        <v/>
      </c>
      <c r="P65" t="str">
        <f>IF('1. Live'!P65='check-Jul25'!P65,"",'1. Live'!P65-'check-Jul25'!P65)</f>
        <v/>
      </c>
      <c r="Q65" t="str">
        <f>IF('1. Live'!Q65='check-Jul25'!Q65,"",'1. Live'!Q65-'check-Jul25'!Q65)</f>
        <v/>
      </c>
      <c r="R65" t="str">
        <f>IF('1. Live'!R65='check-Jul25'!R65,"",'1. Live'!R65-'check-Jul25'!R65)</f>
        <v/>
      </c>
      <c r="S65" t="str">
        <f>IF('1. Live'!S65='check-Jul25'!S65,"",'1. Live'!S65-'check-Jul25'!S65)</f>
        <v/>
      </c>
      <c r="T65" t="str">
        <f>IF('1. Live'!T65='check-Jul25'!T65,"",'1. Live'!T65-'check-Jul25'!T65)</f>
        <v/>
      </c>
      <c r="U65" t="str">
        <f>IF('1. Live'!U65='check-Jul25'!U65,"",'1. Live'!U65-'check-Jul25'!U65)</f>
        <v/>
      </c>
      <c r="V65" t="str">
        <f>IF('1. Live'!V65='check-Jul25'!V65,"",'1. Live'!V65-'check-Jul25'!V65)</f>
        <v/>
      </c>
      <c r="W65" t="str">
        <f>IF('1. Live'!W65='check-Jul25'!W65,"",'1. Live'!W65-'check-Jul25'!W65)</f>
        <v/>
      </c>
      <c r="X65" t="str">
        <f>IF('1. Live'!X65='check-Jul25'!X65,"",'1. Live'!X65-'check-Jul25'!X65)</f>
        <v/>
      </c>
      <c r="Y65" t="str">
        <f>IF('1. Live'!Y65='check-Jul25'!Y65,"",'1. Live'!Y65-'check-Jul25'!Y65)</f>
        <v/>
      </c>
      <c r="Z65" t="str">
        <f>IF('1. Live'!Z65='check-Jul25'!Z65,"",'1. Live'!Z65-'check-Jul25'!Z65)</f>
        <v/>
      </c>
      <c r="AA65" t="str">
        <f>IF('1. Live'!AA65='check-Jul25'!AA65,"",'1. Live'!AA65-'check-Jul25'!AA65)</f>
        <v/>
      </c>
      <c r="AB65" t="str">
        <f>IF('1. Live'!AB65='check-Jul25'!AB65,"",'1. Live'!AB65-'check-Jul25'!AB65)</f>
        <v/>
      </c>
      <c r="AC65" t="str">
        <f>IF('1. Live'!AC65='check-Jul25'!AC65,"",'1. Live'!AC65-'check-Jul25'!AC65)</f>
        <v/>
      </c>
      <c r="AD65" t="str">
        <f>IF('1. Live'!AD65='check-Jul25'!AD65,"",'1. Live'!AD65-'check-Jul25'!AD65)</f>
        <v/>
      </c>
      <c r="AE65" t="str">
        <f>IF('1. Live'!AE65='check-Jul25'!AE65,"",'1. Live'!AE65-'check-Jul25'!AE65)</f>
        <v/>
      </c>
      <c r="AF65" t="str">
        <f>IF('1. Live'!AF65='check-Jul25'!AF65,"",'1. Live'!AF65-'check-Jul25'!AF65)</f>
        <v/>
      </c>
      <c r="AG65" t="str">
        <f>IF('1. Live'!AG65='check-Jul25'!AG65,"",'1. Live'!AG65-'check-Jul25'!AG65)</f>
        <v/>
      </c>
      <c r="AH65" t="str">
        <f>IF('1. Live'!AH65='check-Jul25'!AH65,"",'1. Live'!AH65-'check-Jul25'!AH65)</f>
        <v/>
      </c>
      <c r="AI65" t="str">
        <f>IF('1. Live'!AI65='check-Jul25'!AI65,"",'1. Live'!AI65-'check-Jul25'!AI65)</f>
        <v/>
      </c>
      <c r="AJ65" t="str">
        <f>IF('1. Live'!AJ65='check-Jul25'!AJ65,"",'1. Live'!AJ65-'check-Jul25'!AJ65)</f>
        <v/>
      </c>
      <c r="AK65" t="str">
        <f>IF('1. Live'!AK65='check-Jul25'!AK65,"",'1. Live'!AK65-'check-Jul25'!AK65)</f>
        <v/>
      </c>
      <c r="AL65" t="str">
        <f>IF('1. Live'!AL65='check-Jul25'!AL65,"",'1. Live'!AL65-'check-Jul25'!AL65)</f>
        <v/>
      </c>
      <c r="AM65" t="str">
        <f>IF('1. Live'!AM65='check-Jul25'!AM65,"",'1. Live'!AM65-'check-Jul25'!AM65)</f>
        <v/>
      </c>
      <c r="AN65" t="str">
        <f>IF('1. Live'!AN65='check-Jul25'!AN65,"",'1. Live'!AN65-'check-Jul25'!AN65)</f>
        <v/>
      </c>
      <c r="AO65" t="str">
        <f>IF('1. Live'!AO65='check-Jul25'!AO65,"",'1. Live'!AO65-'check-Jul25'!AO65)</f>
        <v/>
      </c>
      <c r="AP65" t="str">
        <f>IF('1. Live'!AP65='check-Jul25'!AP65,"",'1. Live'!AP65-'check-Jul25'!AP65)</f>
        <v/>
      </c>
      <c r="AQ65" t="str">
        <f>IF('1. Live'!AQ65='check-Jul25'!AQ65,"",'1. Live'!AQ65-'check-Jul25'!AQ65)</f>
        <v/>
      </c>
      <c r="AR65" t="str">
        <f>IF('1. Live'!AR65='check-Jul25'!AR65,"",'1. Live'!AR65-'check-Jul25'!AR65)</f>
        <v/>
      </c>
      <c r="AS65" t="str">
        <f>IF('1. Live'!AS65='check-Jul25'!AS65,"",'1. Live'!AS65-'check-Jul25'!AS65)</f>
        <v/>
      </c>
      <c r="AT65" t="str">
        <f>IF('1. Live'!AT65='check-Jul25'!AT65,"",'1. Live'!AT65-'check-Jul25'!AT65)</f>
        <v/>
      </c>
      <c r="AU65" t="str">
        <f>IF('1. Live'!AU65='check-Jul25'!AU65,"",'1. Live'!AU65-'check-Jul25'!AU65)</f>
        <v/>
      </c>
      <c r="AV65" t="str">
        <f>IF('1. Live'!AV65='check-Jul25'!AV65,"",'1. Live'!AV65-'check-Jul25'!AV65)</f>
        <v/>
      </c>
      <c r="AW65" t="str">
        <f>IF('1. Live'!AW65='check-Jul25'!AW65,"",'1. Live'!AW65-'check-Jul25'!AW65)</f>
        <v/>
      </c>
      <c r="AX65" t="str">
        <f>IF('1. Live'!AX65='check-Jul25'!AX65,"",'1. Live'!AX65-'check-Jul25'!AX65)</f>
        <v/>
      </c>
      <c r="AY65" t="str">
        <f>IF('1. Live'!AY65='check-Jul25'!AY65,"",'1. Live'!AY65-'check-Jul25'!AY65)</f>
        <v/>
      </c>
      <c r="AZ65" t="str">
        <f>IF('1. Live'!AZ65='check-Jul25'!AZ65,"",'1. Live'!AZ65-'check-Jul25'!AZ65)</f>
        <v/>
      </c>
      <c r="BA65" t="str">
        <f>IF('1. Live'!BA65='check-Jul25'!BA65,"",'1. Live'!BA65-'check-Jul25'!BA65)</f>
        <v/>
      </c>
      <c r="BB65" t="str">
        <f>IF('1. Live'!BB65='check-Jul25'!BB65,"",'1. Live'!BB65-'check-Jul25'!BB65)</f>
        <v/>
      </c>
      <c r="BC65" t="str">
        <f>IF('1. Live'!BC65='check-Jul25'!BC65,"",'1. Live'!BC65-'check-Jul25'!BC65)</f>
        <v/>
      </c>
      <c r="BD65" t="str">
        <f>IF('1. Live'!BD65='check-Jul25'!BD65,"",'1. Live'!BD65-'check-Jul25'!BD65)</f>
        <v/>
      </c>
      <c r="BE65" t="str">
        <f>IF('1. Live'!BE65='check-Jul25'!BE65,"",'1. Live'!BE65-'check-Jul25'!BE65)</f>
        <v/>
      </c>
      <c r="BF65" t="str">
        <f>IF('1. Live'!BF65='check-Jul25'!BF65,"",'1. Live'!BF65-'check-Jul25'!BF65)</f>
        <v/>
      </c>
      <c r="BG65" t="str">
        <f>IF('1. Live'!BG65='check-Jul25'!BG65,"",'1. Live'!BG65-'check-Jul25'!BG65)</f>
        <v/>
      </c>
      <c r="BH65" t="str">
        <f>IF('1. Live'!BH65='check-Jul25'!BH65,"",'1. Live'!BH65-'check-Jul25'!BH65)</f>
        <v/>
      </c>
      <c r="BI65" t="str">
        <f>IF('1. Live'!BI65='check-Jul25'!BI65,"",'1. Live'!BI65-'check-Jul25'!BI65)</f>
        <v/>
      </c>
      <c r="BJ65" t="str">
        <f>IF('1. Live'!BJ65='check-Jul25'!BJ65,"",'1. Live'!BJ65-'check-Jul25'!BJ65)</f>
        <v/>
      </c>
      <c r="BK65" t="str">
        <f>IF('1. Live'!BK65='check-Jul25'!BK65,"",'1. Live'!BK65-'check-Jul25'!BK65)</f>
        <v/>
      </c>
      <c r="BL65" t="str">
        <f>IF('1. Live'!BL65='check-Jul25'!BL65,"",'1. Live'!BL65-'check-Jul25'!BL65)</f>
        <v/>
      </c>
      <c r="BM65" t="str">
        <f>IF('1. Live'!BM65='check-Jul25'!BM65,"",'1. Live'!BM65-'check-Jul25'!BM65)</f>
        <v/>
      </c>
      <c r="BN65" t="str">
        <f>IF('1. Live'!BN65='check-Jul25'!BN65,"",'1. Live'!BN65-'check-Jul25'!BN65)</f>
        <v/>
      </c>
      <c r="BO65" t="str">
        <f>IF('1. Live'!BO65='check-Jul25'!BO65,"",'1. Live'!BO65-'check-Jul25'!BO65)</f>
        <v/>
      </c>
      <c r="BP65" t="str">
        <f>IF('1. Live'!BP65='check-Jul25'!BP65,"",'1. Live'!BP65-'check-Jul25'!BP65)</f>
        <v/>
      </c>
      <c r="BQ65" t="str">
        <f>IF('1. Live'!BQ65='check-Jul25'!BQ65,"",'1. Live'!BQ65-'check-Jul25'!BQ65)</f>
        <v/>
      </c>
      <c r="BR65" t="str">
        <f>IF('1. Live'!BR65='check-Jul25'!BR65,"",'1. Live'!BR65-'check-Jul25'!BR65)</f>
        <v/>
      </c>
      <c r="BS65" t="str">
        <f>IF('1. Live'!BS65='check-Jul25'!BS65,"",'1. Live'!BS65-'check-Jul25'!BS65)</f>
        <v/>
      </c>
      <c r="BT65" t="str">
        <f>IF('1. Live'!BT65='check-Jul25'!BT65,"",'1. Live'!BT65-'check-Jul25'!BT65)</f>
        <v/>
      </c>
      <c r="BU65" t="str">
        <f>IF('1. Live'!BU65='check-Jul25'!BU65,"",'1. Live'!BU65-'check-Jul25'!BU65)</f>
        <v/>
      </c>
      <c r="BV65" t="str">
        <f>IF('1. Live'!BV65='check-Jul25'!BV65,"",'1. Live'!BV65-'check-Jul25'!BV65)</f>
        <v/>
      </c>
      <c r="BW65" t="str">
        <f>IF('1. Live'!BW65='check-Jul25'!BW65,"",'1. Live'!BW65-'check-Jul25'!BW65)</f>
        <v/>
      </c>
      <c r="BX65" t="str">
        <f>IF('1. Live'!BX65='check-Jul25'!BX65,"",'1. Live'!BX65-'check-Jul25'!BX65)</f>
        <v/>
      </c>
      <c r="BY65" t="str">
        <f>IF('1. Live'!BY65='check-Jul25'!BY65,"",'1. Live'!BY65-'check-Jul25'!BY65)</f>
        <v/>
      </c>
      <c r="BZ65" t="str">
        <f>IF('1. Live'!BZ65='check-Jul25'!BZ65,"",'1. Live'!BZ65-'check-Jul25'!BZ65)</f>
        <v/>
      </c>
      <c r="CA65" t="str">
        <f>IF('1. Live'!CA65='check-Jul25'!CA65,"",'1. Live'!CA65-'check-Jul25'!CA65)</f>
        <v/>
      </c>
      <c r="CB65" t="str">
        <f>IF('1. Live'!CB65='check-Jul25'!CB65,"",'1. Live'!CB65-'check-Jul25'!CB65)</f>
        <v/>
      </c>
      <c r="CC65" t="str">
        <f>IF('1. Live'!CC65='check-Jul25'!CC65,"",'1. Live'!CC65-'check-Jul25'!CC65)</f>
        <v/>
      </c>
      <c r="CD65" t="str">
        <f>IF('1. Live'!CD65='check-Jul25'!CD65,"",'1. Live'!CD65-'check-Jul25'!CD65)</f>
        <v/>
      </c>
      <c r="CE65" t="str">
        <f>IF('1. Live'!CE65='check-Jul25'!CE65,"",'1. Live'!CE65-'check-Jul25'!CE65)</f>
        <v/>
      </c>
      <c r="CF65" t="str">
        <f>IF('1. Live'!CF65='check-Jul25'!CF65,"",'1. Live'!CF65-'check-Jul25'!CF65)</f>
        <v/>
      </c>
      <c r="CG65" t="str">
        <f>IF('1. Live'!CG65='check-Jul25'!CG65,"",'1. Live'!CG65-'check-Jul25'!CG65)</f>
        <v/>
      </c>
      <c r="CH65" t="str">
        <f>IF('1. Live'!CH65='check-Jul25'!CH65,"",'1. Live'!CH65-'check-Jul25'!CH65)</f>
        <v/>
      </c>
      <c r="CI65" t="str">
        <f>IF('1. Live'!CI65='check-Jul25'!CI65,"",'1. Live'!CI65-'check-Jul25'!CI65)</f>
        <v/>
      </c>
      <c r="CJ65" t="str">
        <f>IF('1. Live'!CJ65='check-Jul25'!CJ65,"",'1. Live'!CJ65-'check-Jul25'!CJ65)</f>
        <v/>
      </c>
      <c r="CK65" t="str">
        <f>IF('1. Live'!CK65='check-Jul25'!CK65,"",'1. Live'!CK65-'check-Jul25'!CK65)</f>
        <v/>
      </c>
      <c r="CL65" t="str">
        <f>IF('1. Live'!CL65='check-Jul25'!CL65,"",'1. Live'!CL65-'check-Jul25'!CL65)</f>
        <v/>
      </c>
      <c r="CM65" t="str">
        <f>IF('1. Live'!CM65='check-Jul25'!CM65,"",'1. Live'!CM65-'check-Jul25'!CM65)</f>
        <v/>
      </c>
      <c r="CN65" t="str">
        <f>IF('1. Live'!CN65='check-Jul25'!CN65,"",'1. Live'!CN65-'check-Jul25'!CN65)</f>
        <v/>
      </c>
      <c r="CO65" t="str">
        <f>IF('1. Live'!CO65='check-Jul25'!CO65,"",'1. Live'!CO65-'check-Jul25'!CO65)</f>
        <v/>
      </c>
      <c r="CP65" t="str">
        <f>IF('1. Live'!CP65='check-Jul25'!CP65,"",'1. Live'!CP65-'check-Jul25'!CP65)</f>
        <v/>
      </c>
      <c r="CQ65" t="str">
        <f>IF('1. Live'!CQ65='check-Jul25'!CQ65,"",'1. Live'!CQ65-'check-Jul25'!CQ65)</f>
        <v/>
      </c>
      <c r="CR65" t="str">
        <f>IF('1. Live'!CR65='check-Jul25'!CR65,"",'1. Live'!CR65-'check-Jul25'!CR65)</f>
        <v/>
      </c>
      <c r="CS65" t="str">
        <f>IF('1. Live'!CS65='check-Jul25'!CS65,"",'1. Live'!CS65-'check-Jul25'!CS65)</f>
        <v/>
      </c>
      <c r="CT65" t="str">
        <f>IF('1. Live'!CT65='check-Jul25'!CT65,"",'1. Live'!CT65-'check-Jul25'!CT65)</f>
        <v/>
      </c>
      <c r="CU65" t="str">
        <f>IF('1. Live'!CU65='check-Jul25'!CU65,"",'1. Live'!CU65-'check-Jul25'!CU65)</f>
        <v/>
      </c>
      <c r="CV65" t="str">
        <f>IF('1. Live'!CV65='check-Jul25'!CV65,"",'1. Live'!CV65-'check-Jul25'!CV65)</f>
        <v/>
      </c>
      <c r="CW65" t="str">
        <f>IF('1. Live'!CW65='check-Jul25'!CW65,"",'1. Live'!CW65-'check-Jul25'!CW65)</f>
        <v/>
      </c>
    </row>
    <row r="66" spans="10:101">
      <c r="J66" t="str">
        <f>IF('1. Live'!J66='check-Jul25'!J66,"",'1. Live'!J66-'check-Jul25'!J66)</f>
        <v/>
      </c>
      <c r="K66" t="str">
        <f>IF('1. Live'!K66='check-Jul25'!K66,"",'1. Live'!K66-'check-Jul25'!K66)</f>
        <v/>
      </c>
      <c r="L66" t="str">
        <f>IF('1. Live'!L66='check-Jul25'!L66,"",'1. Live'!L66-'check-Jul25'!L66)</f>
        <v/>
      </c>
      <c r="M66" t="str">
        <f>IF('1. Live'!M66='check-Jul25'!M66,"",'1. Live'!M66-'check-Jul25'!M66)</f>
        <v/>
      </c>
      <c r="N66" t="str">
        <f>IF('1. Live'!N66='check-Jul25'!N66,"",'1. Live'!N66-'check-Jul25'!N66)</f>
        <v/>
      </c>
      <c r="O66" t="str">
        <f>IF('1. Live'!O66='check-Jul25'!O66,"",'1. Live'!O66-'check-Jul25'!O66)</f>
        <v/>
      </c>
      <c r="P66" t="str">
        <f>IF('1. Live'!P66='check-Jul25'!P66,"",'1. Live'!P66-'check-Jul25'!P66)</f>
        <v/>
      </c>
      <c r="Q66" t="str">
        <f>IF('1. Live'!Q66='check-Jul25'!Q66,"",'1. Live'!Q66-'check-Jul25'!Q66)</f>
        <v/>
      </c>
      <c r="R66" t="str">
        <f>IF('1. Live'!R66='check-Jul25'!R66,"",'1. Live'!R66-'check-Jul25'!R66)</f>
        <v/>
      </c>
      <c r="S66" t="str">
        <f>IF('1. Live'!S66='check-Jul25'!S66,"",'1. Live'!S66-'check-Jul25'!S66)</f>
        <v/>
      </c>
      <c r="T66" t="str">
        <f>IF('1. Live'!T66='check-Jul25'!T66,"",'1. Live'!T66-'check-Jul25'!T66)</f>
        <v/>
      </c>
      <c r="U66" t="str">
        <f>IF('1. Live'!U66='check-Jul25'!U66,"",'1. Live'!U66-'check-Jul25'!U66)</f>
        <v/>
      </c>
      <c r="V66" t="str">
        <f>IF('1. Live'!V66='check-Jul25'!V66,"",'1. Live'!V66-'check-Jul25'!V66)</f>
        <v/>
      </c>
      <c r="W66" t="str">
        <f>IF('1. Live'!W66='check-Jul25'!W66,"",'1. Live'!W66-'check-Jul25'!W66)</f>
        <v/>
      </c>
      <c r="X66" t="str">
        <f>IF('1. Live'!X66='check-Jul25'!X66,"",'1. Live'!X66-'check-Jul25'!X66)</f>
        <v/>
      </c>
      <c r="Y66" t="str">
        <f>IF('1. Live'!Y66='check-Jul25'!Y66,"",'1. Live'!Y66-'check-Jul25'!Y66)</f>
        <v/>
      </c>
      <c r="Z66" t="str">
        <f>IF('1. Live'!Z66='check-Jul25'!Z66,"",'1. Live'!Z66-'check-Jul25'!Z66)</f>
        <v/>
      </c>
      <c r="AA66" t="str">
        <f>IF('1. Live'!AA66='check-Jul25'!AA66,"",'1. Live'!AA66-'check-Jul25'!AA66)</f>
        <v/>
      </c>
      <c r="AB66" t="str">
        <f>IF('1. Live'!AB66='check-Jul25'!AB66,"",'1. Live'!AB66-'check-Jul25'!AB66)</f>
        <v/>
      </c>
      <c r="AC66" t="str">
        <f>IF('1. Live'!AC66='check-Jul25'!AC66,"",'1. Live'!AC66-'check-Jul25'!AC66)</f>
        <v/>
      </c>
      <c r="AD66" t="str">
        <f>IF('1. Live'!AD66='check-Jul25'!AD66,"",'1. Live'!AD66-'check-Jul25'!AD66)</f>
        <v/>
      </c>
      <c r="AE66" t="str">
        <f>IF('1. Live'!AE66='check-Jul25'!AE66,"",'1. Live'!AE66-'check-Jul25'!AE66)</f>
        <v/>
      </c>
      <c r="AF66" t="str">
        <f>IF('1. Live'!AF66='check-Jul25'!AF66,"",'1. Live'!AF66-'check-Jul25'!AF66)</f>
        <v/>
      </c>
      <c r="AG66" t="str">
        <f>IF('1. Live'!AG66='check-Jul25'!AG66,"",'1. Live'!AG66-'check-Jul25'!AG66)</f>
        <v/>
      </c>
      <c r="AH66" t="str">
        <f>IF('1. Live'!AH66='check-Jul25'!AH66,"",'1. Live'!AH66-'check-Jul25'!AH66)</f>
        <v/>
      </c>
      <c r="AI66" t="str">
        <f>IF('1. Live'!AI66='check-Jul25'!AI66,"",'1. Live'!AI66-'check-Jul25'!AI66)</f>
        <v/>
      </c>
      <c r="AJ66" t="str">
        <f>IF('1. Live'!AJ66='check-Jul25'!AJ66,"",'1. Live'!AJ66-'check-Jul25'!AJ66)</f>
        <v/>
      </c>
      <c r="AK66" t="str">
        <f>IF('1. Live'!AK66='check-Jul25'!AK66,"",'1. Live'!AK66-'check-Jul25'!AK66)</f>
        <v/>
      </c>
      <c r="AL66" t="str">
        <f>IF('1. Live'!AL66='check-Jul25'!AL66,"",'1. Live'!AL66-'check-Jul25'!AL66)</f>
        <v/>
      </c>
      <c r="AM66" t="str">
        <f>IF('1. Live'!AM66='check-Jul25'!AM66,"",'1. Live'!AM66-'check-Jul25'!AM66)</f>
        <v/>
      </c>
      <c r="AN66" t="str">
        <f>IF('1. Live'!AN66='check-Jul25'!AN66,"",'1. Live'!AN66-'check-Jul25'!AN66)</f>
        <v/>
      </c>
      <c r="AO66" t="str">
        <f>IF('1. Live'!AO66='check-Jul25'!AO66,"",'1. Live'!AO66-'check-Jul25'!AO66)</f>
        <v/>
      </c>
      <c r="AP66" t="str">
        <f>IF('1. Live'!AP66='check-Jul25'!AP66,"",'1. Live'!AP66-'check-Jul25'!AP66)</f>
        <v/>
      </c>
      <c r="AQ66" t="str">
        <f>IF('1. Live'!AQ66='check-Jul25'!AQ66,"",'1. Live'!AQ66-'check-Jul25'!AQ66)</f>
        <v/>
      </c>
      <c r="AR66" t="str">
        <f>IF('1. Live'!AR66='check-Jul25'!AR66,"",'1. Live'!AR66-'check-Jul25'!AR66)</f>
        <v/>
      </c>
      <c r="AS66" t="str">
        <f>IF('1. Live'!AS66='check-Jul25'!AS66,"",'1. Live'!AS66-'check-Jul25'!AS66)</f>
        <v/>
      </c>
      <c r="AT66" t="str">
        <f>IF('1. Live'!AT66='check-Jul25'!AT66,"",'1. Live'!AT66-'check-Jul25'!AT66)</f>
        <v/>
      </c>
      <c r="AU66" t="str">
        <f>IF('1. Live'!AU66='check-Jul25'!AU66,"",'1. Live'!AU66-'check-Jul25'!AU66)</f>
        <v/>
      </c>
      <c r="AV66" t="str">
        <f>IF('1. Live'!AV66='check-Jul25'!AV66,"",'1. Live'!AV66-'check-Jul25'!AV66)</f>
        <v/>
      </c>
      <c r="AW66" t="str">
        <f>IF('1. Live'!AW66='check-Jul25'!AW66,"",'1. Live'!AW66-'check-Jul25'!AW66)</f>
        <v/>
      </c>
      <c r="AX66" t="str">
        <f>IF('1. Live'!AX66='check-Jul25'!AX66,"",'1. Live'!AX66-'check-Jul25'!AX66)</f>
        <v/>
      </c>
      <c r="AY66" t="str">
        <f>IF('1. Live'!AY66='check-Jul25'!AY66,"",'1. Live'!AY66-'check-Jul25'!AY66)</f>
        <v/>
      </c>
      <c r="AZ66" t="str">
        <f>IF('1. Live'!AZ66='check-Jul25'!AZ66,"",'1. Live'!AZ66-'check-Jul25'!AZ66)</f>
        <v/>
      </c>
      <c r="BA66" t="str">
        <f>IF('1. Live'!BA66='check-Jul25'!BA66,"",'1. Live'!BA66-'check-Jul25'!BA66)</f>
        <v/>
      </c>
      <c r="BB66" t="str">
        <f>IF('1. Live'!BB66='check-Jul25'!BB66,"",'1. Live'!BB66-'check-Jul25'!BB66)</f>
        <v/>
      </c>
      <c r="BC66" t="str">
        <f>IF('1. Live'!BC66='check-Jul25'!BC66,"",'1. Live'!BC66-'check-Jul25'!BC66)</f>
        <v/>
      </c>
      <c r="BD66" t="str">
        <f>IF('1. Live'!BD66='check-Jul25'!BD66,"",'1. Live'!BD66-'check-Jul25'!BD66)</f>
        <v/>
      </c>
      <c r="BE66" t="str">
        <f>IF('1. Live'!BE66='check-Jul25'!BE66,"",'1. Live'!BE66-'check-Jul25'!BE66)</f>
        <v/>
      </c>
      <c r="BF66" t="str">
        <f>IF('1. Live'!BF66='check-Jul25'!BF66,"",'1. Live'!BF66-'check-Jul25'!BF66)</f>
        <v/>
      </c>
      <c r="BG66" t="str">
        <f>IF('1. Live'!BG66='check-Jul25'!BG66,"",'1. Live'!BG66-'check-Jul25'!BG66)</f>
        <v/>
      </c>
      <c r="BH66" t="str">
        <f>IF('1. Live'!BH66='check-Jul25'!BH66,"",'1. Live'!BH66-'check-Jul25'!BH66)</f>
        <v/>
      </c>
      <c r="BI66" t="str">
        <f>IF('1. Live'!BI66='check-Jul25'!BI66,"",'1. Live'!BI66-'check-Jul25'!BI66)</f>
        <v/>
      </c>
      <c r="BJ66" t="str">
        <f>IF('1. Live'!BJ66='check-Jul25'!BJ66,"",'1. Live'!BJ66-'check-Jul25'!BJ66)</f>
        <v/>
      </c>
      <c r="BK66" t="str">
        <f>IF('1. Live'!BK66='check-Jul25'!BK66,"",'1. Live'!BK66-'check-Jul25'!BK66)</f>
        <v/>
      </c>
      <c r="BL66" t="str">
        <f>IF('1. Live'!BL66='check-Jul25'!BL66,"",'1. Live'!BL66-'check-Jul25'!BL66)</f>
        <v/>
      </c>
      <c r="BM66" t="str">
        <f>IF('1. Live'!BM66='check-Jul25'!BM66,"",'1. Live'!BM66-'check-Jul25'!BM66)</f>
        <v/>
      </c>
      <c r="BN66" t="str">
        <f>IF('1. Live'!BN66='check-Jul25'!BN66,"",'1. Live'!BN66-'check-Jul25'!BN66)</f>
        <v/>
      </c>
      <c r="BO66" t="str">
        <f>IF('1. Live'!BO66='check-Jul25'!BO66,"",'1. Live'!BO66-'check-Jul25'!BO66)</f>
        <v/>
      </c>
      <c r="BP66" t="str">
        <f>IF('1. Live'!BP66='check-Jul25'!BP66,"",'1. Live'!BP66-'check-Jul25'!BP66)</f>
        <v/>
      </c>
      <c r="BQ66" t="str">
        <f>IF('1. Live'!BQ66='check-Jul25'!BQ66,"",'1. Live'!BQ66-'check-Jul25'!BQ66)</f>
        <v/>
      </c>
      <c r="BR66" t="str">
        <f>IF('1. Live'!BR66='check-Jul25'!BR66,"",'1. Live'!BR66-'check-Jul25'!BR66)</f>
        <v/>
      </c>
      <c r="BS66" t="str">
        <f>IF('1. Live'!BS66='check-Jul25'!BS66,"",'1. Live'!BS66-'check-Jul25'!BS66)</f>
        <v/>
      </c>
      <c r="BT66" t="str">
        <f>IF('1. Live'!BT66='check-Jul25'!BT66,"",'1. Live'!BT66-'check-Jul25'!BT66)</f>
        <v/>
      </c>
      <c r="BU66" t="str">
        <f>IF('1. Live'!BU66='check-Jul25'!BU66,"",'1. Live'!BU66-'check-Jul25'!BU66)</f>
        <v/>
      </c>
      <c r="BV66" t="str">
        <f>IF('1. Live'!BV66='check-Jul25'!BV66,"",'1. Live'!BV66-'check-Jul25'!BV66)</f>
        <v/>
      </c>
      <c r="BW66" t="str">
        <f>IF('1. Live'!BW66='check-Jul25'!BW66,"",'1. Live'!BW66-'check-Jul25'!BW66)</f>
        <v/>
      </c>
      <c r="BX66" t="str">
        <f>IF('1. Live'!BX66='check-Jul25'!BX66,"",'1. Live'!BX66-'check-Jul25'!BX66)</f>
        <v/>
      </c>
      <c r="BY66" t="str">
        <f>IF('1. Live'!BY66='check-Jul25'!BY66,"",'1. Live'!BY66-'check-Jul25'!BY66)</f>
        <v/>
      </c>
      <c r="BZ66" t="str">
        <f>IF('1. Live'!BZ66='check-Jul25'!BZ66,"",'1. Live'!BZ66-'check-Jul25'!BZ66)</f>
        <v/>
      </c>
      <c r="CA66" t="str">
        <f>IF('1. Live'!CA66='check-Jul25'!CA66,"",'1. Live'!CA66-'check-Jul25'!CA66)</f>
        <v/>
      </c>
      <c r="CB66" t="str">
        <f>IF('1. Live'!CB66='check-Jul25'!CB66,"",'1. Live'!CB66-'check-Jul25'!CB66)</f>
        <v/>
      </c>
      <c r="CC66" t="str">
        <f>IF('1. Live'!CC66='check-Jul25'!CC66,"",'1. Live'!CC66-'check-Jul25'!CC66)</f>
        <v/>
      </c>
      <c r="CD66" t="str">
        <f>IF('1. Live'!CD66='check-Jul25'!CD66,"",'1. Live'!CD66-'check-Jul25'!CD66)</f>
        <v/>
      </c>
      <c r="CE66" t="str">
        <f>IF('1. Live'!CE66='check-Jul25'!CE66,"",'1. Live'!CE66-'check-Jul25'!CE66)</f>
        <v/>
      </c>
      <c r="CF66" t="str">
        <f>IF('1. Live'!CF66='check-Jul25'!CF66,"",'1. Live'!CF66-'check-Jul25'!CF66)</f>
        <v/>
      </c>
      <c r="CG66" t="str">
        <f>IF('1. Live'!CG66='check-Jul25'!CG66,"",'1. Live'!CG66-'check-Jul25'!CG66)</f>
        <v/>
      </c>
      <c r="CH66" t="str">
        <f>IF('1. Live'!CH66='check-Jul25'!CH66,"",'1. Live'!CH66-'check-Jul25'!CH66)</f>
        <v/>
      </c>
      <c r="CI66" t="str">
        <f>IF('1. Live'!CI66='check-Jul25'!CI66,"",'1. Live'!CI66-'check-Jul25'!CI66)</f>
        <v/>
      </c>
      <c r="CJ66" t="str">
        <f>IF('1. Live'!CJ66='check-Jul25'!CJ66,"",'1. Live'!CJ66-'check-Jul25'!CJ66)</f>
        <v/>
      </c>
      <c r="CK66" t="str">
        <f>IF('1. Live'!CK66='check-Jul25'!CK66,"",'1. Live'!CK66-'check-Jul25'!CK66)</f>
        <v/>
      </c>
      <c r="CL66" t="str">
        <f>IF('1. Live'!CL66='check-Jul25'!CL66,"",'1. Live'!CL66-'check-Jul25'!CL66)</f>
        <v/>
      </c>
      <c r="CM66" t="str">
        <f>IF('1. Live'!CM66='check-Jul25'!CM66,"",'1. Live'!CM66-'check-Jul25'!CM66)</f>
        <v/>
      </c>
      <c r="CN66" t="str">
        <f>IF('1. Live'!CN66='check-Jul25'!CN66,"",'1. Live'!CN66-'check-Jul25'!CN66)</f>
        <v/>
      </c>
      <c r="CO66" t="str">
        <f>IF('1. Live'!CO66='check-Jul25'!CO66,"",'1. Live'!CO66-'check-Jul25'!CO66)</f>
        <v/>
      </c>
      <c r="CP66" t="str">
        <f>IF('1. Live'!CP66='check-Jul25'!CP66,"",'1. Live'!CP66-'check-Jul25'!CP66)</f>
        <v/>
      </c>
      <c r="CQ66" t="str">
        <f>IF('1. Live'!CQ66='check-Jul25'!CQ66,"",'1. Live'!CQ66-'check-Jul25'!CQ66)</f>
        <v/>
      </c>
      <c r="CR66" t="str">
        <f>IF('1. Live'!CR66='check-Jul25'!CR66,"",'1. Live'!CR66-'check-Jul25'!CR66)</f>
        <v/>
      </c>
      <c r="CS66" t="str">
        <f>IF('1. Live'!CS66='check-Jul25'!CS66,"",'1. Live'!CS66-'check-Jul25'!CS66)</f>
        <v/>
      </c>
      <c r="CT66" t="str">
        <f>IF('1. Live'!CT66='check-Jul25'!CT66,"",'1. Live'!CT66-'check-Jul25'!CT66)</f>
        <v/>
      </c>
      <c r="CU66" t="str">
        <f>IF('1. Live'!CU66='check-Jul25'!CU66,"",'1. Live'!CU66-'check-Jul25'!CU66)</f>
        <v/>
      </c>
      <c r="CV66" t="str">
        <f>IF('1. Live'!CV66='check-Jul25'!CV66,"",'1. Live'!CV66-'check-Jul25'!CV66)</f>
        <v/>
      </c>
      <c r="CW66" t="str">
        <f>IF('1. Live'!CW66='check-Jul25'!CW66,"",'1. Live'!CW66-'check-Jul25'!CW66)</f>
        <v/>
      </c>
    </row>
    <row r="67" spans="10:101">
      <c r="J67" t="str">
        <f>IF('1. Live'!J67='check-Jul25'!J67,"",'1. Live'!J67-'check-Jul25'!J67)</f>
        <v/>
      </c>
      <c r="K67" t="str">
        <f>IF('1. Live'!K67='check-Jul25'!K67,"",'1. Live'!K67-'check-Jul25'!K67)</f>
        <v/>
      </c>
      <c r="L67" t="str">
        <f>IF('1. Live'!L67='check-Jul25'!L67,"",'1. Live'!L67-'check-Jul25'!L67)</f>
        <v/>
      </c>
      <c r="M67" t="str">
        <f>IF('1. Live'!M67='check-Jul25'!M67,"",'1. Live'!M67-'check-Jul25'!M67)</f>
        <v/>
      </c>
      <c r="N67" t="str">
        <f>IF('1. Live'!N67='check-Jul25'!N67,"",'1. Live'!N67-'check-Jul25'!N67)</f>
        <v/>
      </c>
      <c r="O67" t="str">
        <f>IF('1. Live'!O67='check-Jul25'!O67,"",'1. Live'!O67-'check-Jul25'!O67)</f>
        <v/>
      </c>
      <c r="P67" t="str">
        <f>IF('1. Live'!P67='check-Jul25'!P67,"",'1. Live'!P67-'check-Jul25'!P67)</f>
        <v/>
      </c>
      <c r="Q67" t="str">
        <f>IF('1. Live'!Q67='check-Jul25'!Q67,"",'1. Live'!Q67-'check-Jul25'!Q67)</f>
        <v/>
      </c>
      <c r="R67" t="str">
        <f>IF('1. Live'!R67='check-Jul25'!R67,"",'1. Live'!R67-'check-Jul25'!R67)</f>
        <v/>
      </c>
      <c r="S67" t="str">
        <f>IF('1. Live'!S67='check-Jul25'!S67,"",'1. Live'!S67-'check-Jul25'!S67)</f>
        <v/>
      </c>
      <c r="T67" t="str">
        <f>IF('1. Live'!T67='check-Jul25'!T67,"",'1. Live'!T67-'check-Jul25'!T67)</f>
        <v/>
      </c>
      <c r="U67" t="str">
        <f>IF('1. Live'!U67='check-Jul25'!U67,"",'1. Live'!U67-'check-Jul25'!U67)</f>
        <v/>
      </c>
      <c r="V67" t="str">
        <f>IF('1. Live'!V67='check-Jul25'!V67,"",'1. Live'!V67-'check-Jul25'!V67)</f>
        <v/>
      </c>
      <c r="W67" t="str">
        <f>IF('1. Live'!W67='check-Jul25'!W67,"",'1. Live'!W67-'check-Jul25'!W67)</f>
        <v/>
      </c>
      <c r="X67" t="str">
        <f>IF('1. Live'!X67='check-Jul25'!X67,"",'1. Live'!X67-'check-Jul25'!X67)</f>
        <v/>
      </c>
      <c r="Y67" t="str">
        <f>IF('1. Live'!Y67='check-Jul25'!Y67,"",'1. Live'!Y67-'check-Jul25'!Y67)</f>
        <v/>
      </c>
      <c r="Z67" t="str">
        <f>IF('1. Live'!Z67='check-Jul25'!Z67,"",'1. Live'!Z67-'check-Jul25'!Z67)</f>
        <v/>
      </c>
      <c r="AA67" t="str">
        <f>IF('1. Live'!AA67='check-Jul25'!AA67,"",'1. Live'!AA67-'check-Jul25'!AA67)</f>
        <v/>
      </c>
      <c r="AB67" t="str">
        <f>IF('1. Live'!AB67='check-Jul25'!AB67,"",'1. Live'!AB67-'check-Jul25'!AB67)</f>
        <v/>
      </c>
      <c r="AC67" t="str">
        <f>IF('1. Live'!AC67='check-Jul25'!AC67,"",'1. Live'!AC67-'check-Jul25'!AC67)</f>
        <v/>
      </c>
      <c r="AD67" t="str">
        <f>IF('1. Live'!AD67='check-Jul25'!AD67,"",'1. Live'!AD67-'check-Jul25'!AD67)</f>
        <v/>
      </c>
      <c r="AE67" t="str">
        <f>IF('1. Live'!AE67='check-Jul25'!AE67,"",'1. Live'!AE67-'check-Jul25'!AE67)</f>
        <v/>
      </c>
      <c r="AF67" t="str">
        <f>IF('1. Live'!AF67='check-Jul25'!AF67,"",'1. Live'!AF67-'check-Jul25'!AF67)</f>
        <v/>
      </c>
      <c r="AG67" t="str">
        <f>IF('1. Live'!AG67='check-Jul25'!AG67,"",'1. Live'!AG67-'check-Jul25'!AG67)</f>
        <v/>
      </c>
      <c r="AH67" t="str">
        <f>IF('1. Live'!AH67='check-Jul25'!AH67,"",'1. Live'!AH67-'check-Jul25'!AH67)</f>
        <v/>
      </c>
      <c r="AI67" t="str">
        <f>IF('1. Live'!AI67='check-Jul25'!AI67,"",'1. Live'!AI67-'check-Jul25'!AI67)</f>
        <v/>
      </c>
      <c r="AJ67" t="str">
        <f>IF('1. Live'!AJ67='check-Jul25'!AJ67,"",'1. Live'!AJ67-'check-Jul25'!AJ67)</f>
        <v/>
      </c>
      <c r="AK67" t="str">
        <f>IF('1. Live'!AK67='check-Jul25'!AK67,"",'1. Live'!AK67-'check-Jul25'!AK67)</f>
        <v/>
      </c>
      <c r="AL67" t="str">
        <f>IF('1. Live'!AL67='check-Jul25'!AL67,"",'1. Live'!AL67-'check-Jul25'!AL67)</f>
        <v/>
      </c>
      <c r="AM67" t="str">
        <f>IF('1. Live'!AM67='check-Jul25'!AM67,"",'1. Live'!AM67-'check-Jul25'!AM67)</f>
        <v/>
      </c>
      <c r="AN67" t="str">
        <f>IF('1. Live'!AN67='check-Jul25'!AN67,"",'1. Live'!AN67-'check-Jul25'!AN67)</f>
        <v/>
      </c>
      <c r="AO67" t="str">
        <f>IF('1. Live'!AO67='check-Jul25'!AO67,"",'1. Live'!AO67-'check-Jul25'!AO67)</f>
        <v/>
      </c>
      <c r="AP67" t="str">
        <f>IF('1. Live'!AP67='check-Jul25'!AP67,"",'1. Live'!AP67-'check-Jul25'!AP67)</f>
        <v/>
      </c>
      <c r="AQ67" t="str">
        <f>IF('1. Live'!AQ67='check-Jul25'!AQ67,"",'1. Live'!AQ67-'check-Jul25'!AQ67)</f>
        <v/>
      </c>
      <c r="AR67" t="str">
        <f>IF('1. Live'!AR67='check-Jul25'!AR67,"",'1. Live'!AR67-'check-Jul25'!AR67)</f>
        <v/>
      </c>
      <c r="AS67" t="str">
        <f>IF('1. Live'!AS67='check-Jul25'!AS67,"",'1. Live'!AS67-'check-Jul25'!AS67)</f>
        <v/>
      </c>
      <c r="AT67" t="str">
        <f>IF('1. Live'!AT67='check-Jul25'!AT67,"",'1. Live'!AT67-'check-Jul25'!AT67)</f>
        <v/>
      </c>
      <c r="AU67" t="str">
        <f>IF('1. Live'!AU67='check-Jul25'!AU67,"",'1. Live'!AU67-'check-Jul25'!AU67)</f>
        <v/>
      </c>
      <c r="AV67" t="str">
        <f>IF('1. Live'!AV67='check-Jul25'!AV67,"",'1. Live'!AV67-'check-Jul25'!AV67)</f>
        <v/>
      </c>
      <c r="AW67" t="str">
        <f>IF('1. Live'!AW67='check-Jul25'!AW67,"",'1. Live'!AW67-'check-Jul25'!AW67)</f>
        <v/>
      </c>
      <c r="AX67" t="str">
        <f>IF('1. Live'!AX67='check-Jul25'!AX67,"",'1. Live'!AX67-'check-Jul25'!AX67)</f>
        <v/>
      </c>
      <c r="AY67" t="str">
        <f>IF('1. Live'!AY67='check-Jul25'!AY67,"",'1. Live'!AY67-'check-Jul25'!AY67)</f>
        <v/>
      </c>
      <c r="AZ67" t="str">
        <f>IF('1. Live'!AZ67='check-Jul25'!AZ67,"",'1. Live'!AZ67-'check-Jul25'!AZ67)</f>
        <v/>
      </c>
      <c r="BA67" t="str">
        <f>IF('1. Live'!BA67='check-Jul25'!BA67,"",'1. Live'!BA67-'check-Jul25'!BA67)</f>
        <v/>
      </c>
      <c r="BB67" t="str">
        <f>IF('1. Live'!BB67='check-Jul25'!BB67,"",'1. Live'!BB67-'check-Jul25'!BB67)</f>
        <v/>
      </c>
      <c r="BC67" t="str">
        <f>IF('1. Live'!BC67='check-Jul25'!BC67,"",'1. Live'!BC67-'check-Jul25'!BC67)</f>
        <v/>
      </c>
      <c r="BD67" t="str">
        <f>IF('1. Live'!BD67='check-Jul25'!BD67,"",'1. Live'!BD67-'check-Jul25'!BD67)</f>
        <v/>
      </c>
      <c r="BE67" t="str">
        <f>IF('1. Live'!BE67='check-Jul25'!BE67,"",'1. Live'!BE67-'check-Jul25'!BE67)</f>
        <v/>
      </c>
      <c r="BF67" t="str">
        <f>IF('1. Live'!BF67='check-Jul25'!BF67,"",'1. Live'!BF67-'check-Jul25'!BF67)</f>
        <v/>
      </c>
      <c r="BG67" t="str">
        <f>IF('1. Live'!BG67='check-Jul25'!BG67,"",'1. Live'!BG67-'check-Jul25'!BG67)</f>
        <v/>
      </c>
      <c r="BH67" t="str">
        <f>IF('1. Live'!BH67='check-Jul25'!BH67,"",'1. Live'!BH67-'check-Jul25'!BH67)</f>
        <v/>
      </c>
      <c r="BI67" t="str">
        <f>IF('1. Live'!BI67='check-Jul25'!BI67,"",'1. Live'!BI67-'check-Jul25'!BI67)</f>
        <v/>
      </c>
      <c r="BJ67" t="str">
        <f>IF('1. Live'!BJ67='check-Jul25'!BJ67,"",'1. Live'!BJ67-'check-Jul25'!BJ67)</f>
        <v/>
      </c>
      <c r="BK67" t="str">
        <f>IF('1. Live'!BK67='check-Jul25'!BK67,"",'1. Live'!BK67-'check-Jul25'!BK67)</f>
        <v/>
      </c>
      <c r="BL67" t="str">
        <f>IF('1. Live'!BL67='check-Jul25'!BL67,"",'1. Live'!BL67-'check-Jul25'!BL67)</f>
        <v/>
      </c>
      <c r="BM67" t="str">
        <f>IF('1. Live'!BM67='check-Jul25'!BM67,"",'1. Live'!BM67-'check-Jul25'!BM67)</f>
        <v/>
      </c>
      <c r="BN67" t="str">
        <f>IF('1. Live'!BN67='check-Jul25'!BN67,"",'1. Live'!BN67-'check-Jul25'!BN67)</f>
        <v/>
      </c>
      <c r="BO67" t="str">
        <f>IF('1. Live'!BO67='check-Jul25'!BO67,"",'1. Live'!BO67-'check-Jul25'!BO67)</f>
        <v/>
      </c>
      <c r="BP67" t="str">
        <f>IF('1. Live'!BP67='check-Jul25'!BP67,"",'1. Live'!BP67-'check-Jul25'!BP67)</f>
        <v/>
      </c>
      <c r="BQ67" t="str">
        <f>IF('1. Live'!BQ67='check-Jul25'!BQ67,"",'1. Live'!BQ67-'check-Jul25'!BQ67)</f>
        <v/>
      </c>
      <c r="BR67" t="str">
        <f>IF('1. Live'!BR67='check-Jul25'!BR67,"",'1. Live'!BR67-'check-Jul25'!BR67)</f>
        <v/>
      </c>
      <c r="BS67" t="str">
        <f>IF('1. Live'!BS67='check-Jul25'!BS67,"",'1. Live'!BS67-'check-Jul25'!BS67)</f>
        <v/>
      </c>
      <c r="BT67" t="str">
        <f>IF('1. Live'!BT67='check-Jul25'!BT67,"",'1. Live'!BT67-'check-Jul25'!BT67)</f>
        <v/>
      </c>
      <c r="BU67" t="str">
        <f>IF('1. Live'!BU67='check-Jul25'!BU67,"",'1. Live'!BU67-'check-Jul25'!BU67)</f>
        <v/>
      </c>
      <c r="BV67" t="str">
        <f>IF('1. Live'!BV67='check-Jul25'!BV67,"",'1. Live'!BV67-'check-Jul25'!BV67)</f>
        <v/>
      </c>
      <c r="BW67" t="str">
        <f>IF('1. Live'!BW67='check-Jul25'!BW67,"",'1. Live'!BW67-'check-Jul25'!BW67)</f>
        <v/>
      </c>
      <c r="BX67" t="str">
        <f>IF('1. Live'!BX67='check-Jul25'!BX67,"",'1. Live'!BX67-'check-Jul25'!BX67)</f>
        <v/>
      </c>
      <c r="BY67" t="str">
        <f>IF('1. Live'!BY67='check-Jul25'!BY67,"",'1. Live'!BY67-'check-Jul25'!BY67)</f>
        <v/>
      </c>
      <c r="BZ67" t="str">
        <f>IF('1. Live'!BZ67='check-Jul25'!BZ67,"",'1. Live'!BZ67-'check-Jul25'!BZ67)</f>
        <v/>
      </c>
      <c r="CA67" t="str">
        <f>IF('1. Live'!CA67='check-Jul25'!CA67,"",'1. Live'!CA67-'check-Jul25'!CA67)</f>
        <v/>
      </c>
      <c r="CB67" t="str">
        <f>IF('1. Live'!CB67='check-Jul25'!CB67,"",'1. Live'!CB67-'check-Jul25'!CB67)</f>
        <v/>
      </c>
      <c r="CC67" t="str">
        <f>IF('1. Live'!CC67='check-Jul25'!CC67,"",'1. Live'!CC67-'check-Jul25'!CC67)</f>
        <v/>
      </c>
      <c r="CD67" t="str">
        <f>IF('1. Live'!CD67='check-Jul25'!CD67,"",'1. Live'!CD67-'check-Jul25'!CD67)</f>
        <v/>
      </c>
      <c r="CE67" t="str">
        <f>IF('1. Live'!CE67='check-Jul25'!CE67,"",'1. Live'!CE67-'check-Jul25'!CE67)</f>
        <v/>
      </c>
      <c r="CF67" t="str">
        <f>IF('1. Live'!CF67='check-Jul25'!CF67,"",'1. Live'!CF67-'check-Jul25'!CF67)</f>
        <v/>
      </c>
      <c r="CG67" t="str">
        <f>IF('1. Live'!CG67='check-Jul25'!CG67,"",'1. Live'!CG67-'check-Jul25'!CG67)</f>
        <v/>
      </c>
      <c r="CH67" t="str">
        <f>IF('1. Live'!CH67='check-Jul25'!CH67,"",'1. Live'!CH67-'check-Jul25'!CH67)</f>
        <v/>
      </c>
      <c r="CI67" t="str">
        <f>IF('1. Live'!CI67='check-Jul25'!CI67,"",'1. Live'!CI67-'check-Jul25'!CI67)</f>
        <v/>
      </c>
      <c r="CJ67" t="str">
        <f>IF('1. Live'!CJ67='check-Jul25'!CJ67,"",'1. Live'!CJ67-'check-Jul25'!CJ67)</f>
        <v/>
      </c>
      <c r="CK67" t="str">
        <f>IF('1. Live'!CK67='check-Jul25'!CK67,"",'1. Live'!CK67-'check-Jul25'!CK67)</f>
        <v/>
      </c>
      <c r="CL67" t="str">
        <f>IF('1. Live'!CL67='check-Jul25'!CL67,"",'1. Live'!CL67-'check-Jul25'!CL67)</f>
        <v/>
      </c>
      <c r="CM67" t="str">
        <f>IF('1. Live'!CM67='check-Jul25'!CM67,"",'1. Live'!CM67-'check-Jul25'!CM67)</f>
        <v/>
      </c>
      <c r="CN67" t="str">
        <f>IF('1. Live'!CN67='check-Jul25'!CN67,"",'1. Live'!CN67-'check-Jul25'!CN67)</f>
        <v/>
      </c>
      <c r="CO67" t="str">
        <f>IF('1. Live'!CO67='check-Jul25'!CO67,"",'1. Live'!CO67-'check-Jul25'!CO67)</f>
        <v/>
      </c>
      <c r="CP67" t="str">
        <f>IF('1. Live'!CP67='check-Jul25'!CP67,"",'1. Live'!CP67-'check-Jul25'!CP67)</f>
        <v/>
      </c>
      <c r="CQ67" t="str">
        <f>IF('1. Live'!CQ67='check-Jul25'!CQ67,"",'1. Live'!CQ67-'check-Jul25'!CQ67)</f>
        <v/>
      </c>
      <c r="CR67" t="str">
        <f>IF('1. Live'!CR67='check-Jul25'!CR67,"",'1. Live'!CR67-'check-Jul25'!CR67)</f>
        <v/>
      </c>
      <c r="CS67" t="str">
        <f>IF('1. Live'!CS67='check-Jul25'!CS67,"",'1. Live'!CS67-'check-Jul25'!CS67)</f>
        <v/>
      </c>
      <c r="CT67" t="str">
        <f>IF('1. Live'!CT67='check-Jul25'!CT67,"",'1. Live'!CT67-'check-Jul25'!CT67)</f>
        <v/>
      </c>
      <c r="CU67" t="str">
        <f>IF('1. Live'!CU67='check-Jul25'!CU67,"",'1. Live'!CU67-'check-Jul25'!CU67)</f>
        <v/>
      </c>
      <c r="CV67" t="str">
        <f>IF('1. Live'!CV67='check-Jul25'!CV67,"",'1. Live'!CV67-'check-Jul25'!CV67)</f>
        <v/>
      </c>
      <c r="CW67" t="str">
        <f>IF('1. Live'!CW67='check-Jul25'!CW67,"",'1. Live'!CW67-'check-Jul25'!CW67)</f>
        <v/>
      </c>
    </row>
    <row r="68" spans="10:101">
      <c r="J68" t="str">
        <f>IF('1. Live'!J68='check-Jul25'!J68,"",'1. Live'!J68-'check-Jul25'!J68)</f>
        <v/>
      </c>
      <c r="K68" t="str">
        <f>IF('1. Live'!K68='check-Jul25'!K68,"",'1. Live'!K68-'check-Jul25'!K68)</f>
        <v/>
      </c>
      <c r="L68" t="str">
        <f>IF('1. Live'!L68='check-Jul25'!L68,"",'1. Live'!L68-'check-Jul25'!L68)</f>
        <v/>
      </c>
      <c r="M68" t="str">
        <f>IF('1. Live'!M68='check-Jul25'!M68,"",'1. Live'!M68-'check-Jul25'!M68)</f>
        <v/>
      </c>
      <c r="N68" t="str">
        <f>IF('1. Live'!N68='check-Jul25'!N68,"",'1. Live'!N68-'check-Jul25'!N68)</f>
        <v/>
      </c>
      <c r="O68" t="str">
        <f>IF('1. Live'!O68='check-Jul25'!O68,"",'1. Live'!O68-'check-Jul25'!O68)</f>
        <v/>
      </c>
      <c r="P68" t="str">
        <f>IF('1. Live'!P68='check-Jul25'!P68,"",'1. Live'!P68-'check-Jul25'!P68)</f>
        <v/>
      </c>
      <c r="Q68" t="str">
        <f>IF('1. Live'!Q68='check-Jul25'!Q68,"",'1. Live'!Q68-'check-Jul25'!Q68)</f>
        <v/>
      </c>
      <c r="R68" t="str">
        <f>IF('1. Live'!R68='check-Jul25'!R68,"",'1. Live'!R68-'check-Jul25'!R68)</f>
        <v/>
      </c>
      <c r="S68" t="str">
        <f>IF('1. Live'!S68='check-Jul25'!S68,"",'1. Live'!S68-'check-Jul25'!S68)</f>
        <v/>
      </c>
      <c r="T68" t="str">
        <f>IF('1. Live'!T68='check-Jul25'!T68,"",'1. Live'!T68-'check-Jul25'!T68)</f>
        <v/>
      </c>
      <c r="U68" t="str">
        <f>IF('1. Live'!U68='check-Jul25'!U68,"",'1. Live'!U68-'check-Jul25'!U68)</f>
        <v/>
      </c>
      <c r="V68" t="str">
        <f>IF('1. Live'!V68='check-Jul25'!V68,"",'1. Live'!V68-'check-Jul25'!V68)</f>
        <v/>
      </c>
      <c r="W68" t="str">
        <f>IF('1. Live'!W68='check-Jul25'!W68,"",'1. Live'!W68-'check-Jul25'!W68)</f>
        <v/>
      </c>
      <c r="X68" t="str">
        <f>IF('1. Live'!X68='check-Jul25'!X68,"",'1. Live'!X68-'check-Jul25'!X68)</f>
        <v/>
      </c>
      <c r="Y68" t="str">
        <f>IF('1. Live'!Y68='check-Jul25'!Y68,"",'1. Live'!Y68-'check-Jul25'!Y68)</f>
        <v/>
      </c>
      <c r="Z68" t="str">
        <f>IF('1. Live'!Z68='check-Jul25'!Z68,"",'1. Live'!Z68-'check-Jul25'!Z68)</f>
        <v/>
      </c>
      <c r="AA68" t="str">
        <f>IF('1. Live'!AA68='check-Jul25'!AA68,"",'1. Live'!AA68-'check-Jul25'!AA68)</f>
        <v/>
      </c>
      <c r="AB68" t="str">
        <f>IF('1. Live'!AB68='check-Jul25'!AB68,"",'1. Live'!AB68-'check-Jul25'!AB68)</f>
        <v/>
      </c>
      <c r="AC68" t="str">
        <f>IF('1. Live'!AC68='check-Jul25'!AC68,"",'1. Live'!AC68-'check-Jul25'!AC68)</f>
        <v/>
      </c>
      <c r="AD68" t="str">
        <f>IF('1. Live'!AD68='check-Jul25'!AD68,"",'1. Live'!AD68-'check-Jul25'!AD68)</f>
        <v/>
      </c>
      <c r="AE68" t="str">
        <f>IF('1. Live'!AE68='check-Jul25'!AE68,"",'1. Live'!AE68-'check-Jul25'!AE68)</f>
        <v/>
      </c>
      <c r="AF68" t="str">
        <f>IF('1. Live'!AF68='check-Jul25'!AF68,"",'1. Live'!AF68-'check-Jul25'!AF68)</f>
        <v/>
      </c>
      <c r="AG68" t="str">
        <f>IF('1. Live'!AG68='check-Jul25'!AG68,"",'1. Live'!AG68-'check-Jul25'!AG68)</f>
        <v/>
      </c>
      <c r="AH68" t="str">
        <f>IF('1. Live'!AH68='check-Jul25'!AH68,"",'1. Live'!AH68-'check-Jul25'!AH68)</f>
        <v/>
      </c>
      <c r="AI68" t="str">
        <f>IF('1. Live'!AI68='check-Jul25'!AI68,"",'1. Live'!AI68-'check-Jul25'!AI68)</f>
        <v/>
      </c>
      <c r="AJ68" t="str">
        <f>IF('1. Live'!AJ68='check-Jul25'!AJ68,"",'1. Live'!AJ68-'check-Jul25'!AJ68)</f>
        <v/>
      </c>
      <c r="AK68" t="str">
        <f>IF('1. Live'!AK68='check-Jul25'!AK68,"",'1. Live'!AK68-'check-Jul25'!AK68)</f>
        <v/>
      </c>
      <c r="AL68" t="str">
        <f>IF('1. Live'!AL68='check-Jul25'!AL68,"",'1. Live'!AL68-'check-Jul25'!AL68)</f>
        <v/>
      </c>
      <c r="AM68" t="str">
        <f>IF('1. Live'!AM68='check-Jul25'!AM68,"",'1. Live'!AM68-'check-Jul25'!AM68)</f>
        <v/>
      </c>
      <c r="AN68" t="str">
        <f>IF('1. Live'!AN68='check-Jul25'!AN68,"",'1. Live'!AN68-'check-Jul25'!AN68)</f>
        <v/>
      </c>
      <c r="AO68" t="str">
        <f>IF('1. Live'!AO68='check-Jul25'!AO68,"",'1. Live'!AO68-'check-Jul25'!AO68)</f>
        <v/>
      </c>
      <c r="AP68" t="str">
        <f>IF('1. Live'!AP68='check-Jul25'!AP68,"",'1. Live'!AP68-'check-Jul25'!AP68)</f>
        <v/>
      </c>
      <c r="AQ68" t="str">
        <f>IF('1. Live'!AQ68='check-Jul25'!AQ68,"",'1. Live'!AQ68-'check-Jul25'!AQ68)</f>
        <v/>
      </c>
      <c r="AR68" t="str">
        <f>IF('1. Live'!AR68='check-Jul25'!AR68,"",'1. Live'!AR68-'check-Jul25'!AR68)</f>
        <v/>
      </c>
      <c r="AS68" t="str">
        <f>IF('1. Live'!AS68='check-Jul25'!AS68,"",'1. Live'!AS68-'check-Jul25'!AS68)</f>
        <v/>
      </c>
      <c r="AT68" t="str">
        <f>IF('1. Live'!AT68='check-Jul25'!AT68,"",'1. Live'!AT68-'check-Jul25'!AT68)</f>
        <v/>
      </c>
      <c r="AU68" t="str">
        <f>IF('1. Live'!AU68='check-Jul25'!AU68,"",'1. Live'!AU68-'check-Jul25'!AU68)</f>
        <v/>
      </c>
      <c r="AV68" t="str">
        <f>IF('1. Live'!AV68='check-Jul25'!AV68,"",'1. Live'!AV68-'check-Jul25'!AV68)</f>
        <v/>
      </c>
      <c r="AW68" t="str">
        <f>IF('1. Live'!AW68='check-Jul25'!AW68,"",'1. Live'!AW68-'check-Jul25'!AW68)</f>
        <v/>
      </c>
      <c r="AX68" t="str">
        <f>IF('1. Live'!AX68='check-Jul25'!AX68,"",'1. Live'!AX68-'check-Jul25'!AX68)</f>
        <v/>
      </c>
      <c r="AY68" t="str">
        <f>IF('1. Live'!AY68='check-Jul25'!AY68,"",'1. Live'!AY68-'check-Jul25'!AY68)</f>
        <v/>
      </c>
      <c r="AZ68" t="str">
        <f>IF('1. Live'!AZ68='check-Jul25'!AZ68,"",'1. Live'!AZ68-'check-Jul25'!AZ68)</f>
        <v/>
      </c>
      <c r="BA68" t="str">
        <f>IF('1. Live'!BA68='check-Jul25'!BA68,"",'1. Live'!BA68-'check-Jul25'!BA68)</f>
        <v/>
      </c>
      <c r="BB68" t="str">
        <f>IF('1. Live'!BB68='check-Jul25'!BB68,"",'1. Live'!BB68-'check-Jul25'!BB68)</f>
        <v/>
      </c>
      <c r="BC68" t="str">
        <f>IF('1. Live'!BC68='check-Jul25'!BC68,"",'1. Live'!BC68-'check-Jul25'!BC68)</f>
        <v/>
      </c>
      <c r="BD68" t="str">
        <f>IF('1. Live'!BD68='check-Jul25'!BD68,"",'1. Live'!BD68-'check-Jul25'!BD68)</f>
        <v/>
      </c>
      <c r="BE68" t="str">
        <f>IF('1. Live'!BE68='check-Jul25'!BE68,"",'1. Live'!BE68-'check-Jul25'!BE68)</f>
        <v/>
      </c>
      <c r="BF68" t="str">
        <f>IF('1. Live'!BF68='check-Jul25'!BF68,"",'1. Live'!BF68-'check-Jul25'!BF68)</f>
        <v/>
      </c>
      <c r="BG68" t="str">
        <f>IF('1. Live'!BG68='check-Jul25'!BG68,"",'1. Live'!BG68-'check-Jul25'!BG68)</f>
        <v/>
      </c>
      <c r="BH68" t="str">
        <f>IF('1. Live'!BH68='check-Jul25'!BH68,"",'1. Live'!BH68-'check-Jul25'!BH68)</f>
        <v/>
      </c>
      <c r="BI68" t="str">
        <f>IF('1. Live'!BI68='check-Jul25'!BI68,"",'1. Live'!BI68-'check-Jul25'!BI68)</f>
        <v/>
      </c>
      <c r="BJ68" t="str">
        <f>IF('1. Live'!BJ68='check-Jul25'!BJ68,"",'1. Live'!BJ68-'check-Jul25'!BJ68)</f>
        <v/>
      </c>
      <c r="BK68" t="str">
        <f>IF('1. Live'!BK68='check-Jul25'!BK68,"",'1. Live'!BK68-'check-Jul25'!BK68)</f>
        <v/>
      </c>
      <c r="BL68" t="str">
        <f>IF('1. Live'!BL68='check-Jul25'!BL68,"",'1. Live'!BL68-'check-Jul25'!BL68)</f>
        <v/>
      </c>
      <c r="BM68" t="str">
        <f>IF('1. Live'!BM68='check-Jul25'!BM68,"",'1. Live'!BM68-'check-Jul25'!BM68)</f>
        <v/>
      </c>
      <c r="BN68" t="str">
        <f>IF('1. Live'!BN68='check-Jul25'!BN68,"",'1. Live'!BN68-'check-Jul25'!BN68)</f>
        <v/>
      </c>
      <c r="BO68" t="str">
        <f>IF('1. Live'!BO68='check-Jul25'!BO68,"",'1. Live'!BO68-'check-Jul25'!BO68)</f>
        <v/>
      </c>
      <c r="BP68" t="str">
        <f>IF('1. Live'!BP68='check-Jul25'!BP68,"",'1. Live'!BP68-'check-Jul25'!BP68)</f>
        <v/>
      </c>
      <c r="BQ68" t="str">
        <f>IF('1. Live'!BQ68='check-Jul25'!BQ68,"",'1. Live'!BQ68-'check-Jul25'!BQ68)</f>
        <v/>
      </c>
      <c r="BR68" t="str">
        <f>IF('1. Live'!BR68='check-Jul25'!BR68,"",'1. Live'!BR68-'check-Jul25'!BR68)</f>
        <v/>
      </c>
      <c r="BS68" t="str">
        <f>IF('1. Live'!BS68='check-Jul25'!BS68,"",'1. Live'!BS68-'check-Jul25'!BS68)</f>
        <v/>
      </c>
      <c r="BT68" t="str">
        <f>IF('1. Live'!BT68='check-Jul25'!BT68,"",'1. Live'!BT68-'check-Jul25'!BT68)</f>
        <v/>
      </c>
      <c r="BU68" t="str">
        <f>IF('1. Live'!BU68='check-Jul25'!BU68,"",'1. Live'!BU68-'check-Jul25'!BU68)</f>
        <v/>
      </c>
      <c r="BV68" t="str">
        <f>IF('1. Live'!BV68='check-Jul25'!BV68,"",'1. Live'!BV68-'check-Jul25'!BV68)</f>
        <v/>
      </c>
      <c r="BW68" t="str">
        <f>IF('1. Live'!BW68='check-Jul25'!BW68,"",'1. Live'!BW68-'check-Jul25'!BW68)</f>
        <v/>
      </c>
      <c r="BX68" t="str">
        <f>IF('1. Live'!BX68='check-Jul25'!BX68,"",'1. Live'!BX68-'check-Jul25'!BX68)</f>
        <v/>
      </c>
      <c r="BY68" t="str">
        <f>IF('1. Live'!BY68='check-Jul25'!BY68,"",'1. Live'!BY68-'check-Jul25'!BY68)</f>
        <v/>
      </c>
      <c r="BZ68" t="str">
        <f>IF('1. Live'!BZ68='check-Jul25'!BZ68,"",'1. Live'!BZ68-'check-Jul25'!BZ68)</f>
        <v/>
      </c>
      <c r="CA68" t="str">
        <f>IF('1. Live'!CA68='check-Jul25'!CA68,"",'1. Live'!CA68-'check-Jul25'!CA68)</f>
        <v/>
      </c>
      <c r="CB68" t="str">
        <f>IF('1. Live'!CB68='check-Jul25'!CB68,"",'1. Live'!CB68-'check-Jul25'!CB68)</f>
        <v/>
      </c>
      <c r="CC68" t="str">
        <f>IF('1. Live'!CC68='check-Jul25'!CC68,"",'1. Live'!CC68-'check-Jul25'!CC68)</f>
        <v/>
      </c>
      <c r="CD68" t="str">
        <f>IF('1. Live'!CD68='check-Jul25'!CD68,"",'1. Live'!CD68-'check-Jul25'!CD68)</f>
        <v/>
      </c>
      <c r="CE68" t="str">
        <f>IF('1. Live'!CE68='check-Jul25'!CE68,"",'1. Live'!CE68-'check-Jul25'!CE68)</f>
        <v/>
      </c>
      <c r="CF68" t="str">
        <f>IF('1. Live'!CF68='check-Jul25'!CF68,"",'1. Live'!CF68-'check-Jul25'!CF68)</f>
        <v/>
      </c>
      <c r="CG68" t="str">
        <f>IF('1. Live'!CG68='check-Jul25'!CG68,"",'1. Live'!CG68-'check-Jul25'!CG68)</f>
        <v/>
      </c>
      <c r="CH68" t="str">
        <f>IF('1. Live'!CH68='check-Jul25'!CH68,"",'1. Live'!CH68-'check-Jul25'!CH68)</f>
        <v/>
      </c>
      <c r="CI68" t="str">
        <f>IF('1. Live'!CI68='check-Jul25'!CI68,"",'1. Live'!CI68-'check-Jul25'!CI68)</f>
        <v/>
      </c>
      <c r="CJ68" t="str">
        <f>IF('1. Live'!CJ68='check-Jul25'!CJ68,"",'1. Live'!CJ68-'check-Jul25'!CJ68)</f>
        <v/>
      </c>
      <c r="CK68" t="str">
        <f>IF('1. Live'!CK68='check-Jul25'!CK68,"",'1. Live'!CK68-'check-Jul25'!CK68)</f>
        <v/>
      </c>
      <c r="CL68" t="str">
        <f>IF('1. Live'!CL68='check-Jul25'!CL68,"",'1. Live'!CL68-'check-Jul25'!CL68)</f>
        <v/>
      </c>
      <c r="CM68" t="str">
        <f>IF('1. Live'!CM68='check-Jul25'!CM68,"",'1. Live'!CM68-'check-Jul25'!CM68)</f>
        <v/>
      </c>
      <c r="CN68" t="str">
        <f>IF('1. Live'!CN68='check-Jul25'!CN68,"",'1. Live'!CN68-'check-Jul25'!CN68)</f>
        <v/>
      </c>
      <c r="CO68" t="str">
        <f>IF('1. Live'!CO68='check-Jul25'!CO68,"",'1. Live'!CO68-'check-Jul25'!CO68)</f>
        <v/>
      </c>
      <c r="CP68" t="str">
        <f>IF('1. Live'!CP68='check-Jul25'!CP68,"",'1. Live'!CP68-'check-Jul25'!CP68)</f>
        <v/>
      </c>
      <c r="CQ68" t="str">
        <f>IF('1. Live'!CQ68='check-Jul25'!CQ68,"",'1. Live'!CQ68-'check-Jul25'!CQ68)</f>
        <v/>
      </c>
      <c r="CR68" t="str">
        <f>IF('1. Live'!CR68='check-Jul25'!CR68,"",'1. Live'!CR68-'check-Jul25'!CR68)</f>
        <v/>
      </c>
      <c r="CS68" t="str">
        <f>IF('1. Live'!CS68='check-Jul25'!CS68,"",'1. Live'!CS68-'check-Jul25'!CS68)</f>
        <v/>
      </c>
      <c r="CT68" t="str">
        <f>IF('1. Live'!CT68='check-Jul25'!CT68,"",'1. Live'!CT68-'check-Jul25'!CT68)</f>
        <v/>
      </c>
      <c r="CU68" t="str">
        <f>IF('1. Live'!CU68='check-Jul25'!CU68,"",'1. Live'!CU68-'check-Jul25'!CU68)</f>
        <v/>
      </c>
      <c r="CV68" t="str">
        <f>IF('1. Live'!CV68='check-Jul25'!CV68,"",'1. Live'!CV68-'check-Jul25'!CV68)</f>
        <v/>
      </c>
      <c r="CW68" t="str">
        <f>IF('1. Live'!CW68='check-Jul25'!CW68,"",'1. Live'!CW68-'check-Jul25'!CW68)</f>
        <v/>
      </c>
    </row>
    <row r="69" spans="10:101">
      <c r="J69" t="str">
        <f>IF('1. Live'!J69='check-Jul25'!J69,"",'1. Live'!J69-'check-Jul25'!J69)</f>
        <v/>
      </c>
      <c r="K69" t="str">
        <f>IF('1. Live'!K69='check-Jul25'!K69,"",'1. Live'!K69-'check-Jul25'!K69)</f>
        <v/>
      </c>
      <c r="L69" t="str">
        <f>IF('1. Live'!L69='check-Jul25'!L69,"",'1. Live'!L69-'check-Jul25'!L69)</f>
        <v/>
      </c>
      <c r="M69" t="str">
        <f>IF('1. Live'!M69='check-Jul25'!M69,"",'1. Live'!M69-'check-Jul25'!M69)</f>
        <v/>
      </c>
      <c r="N69" t="str">
        <f>IF('1. Live'!N69='check-Jul25'!N69,"",'1. Live'!N69-'check-Jul25'!N69)</f>
        <v/>
      </c>
      <c r="O69" t="str">
        <f>IF('1. Live'!O69='check-Jul25'!O69,"",'1. Live'!O69-'check-Jul25'!O69)</f>
        <v/>
      </c>
      <c r="P69" t="str">
        <f>IF('1. Live'!P69='check-Jul25'!P69,"",'1. Live'!P69-'check-Jul25'!P69)</f>
        <v/>
      </c>
      <c r="Q69" t="str">
        <f>IF('1. Live'!Q69='check-Jul25'!Q69,"",'1. Live'!Q69-'check-Jul25'!Q69)</f>
        <v/>
      </c>
      <c r="R69" t="str">
        <f>IF('1. Live'!R69='check-Jul25'!R69,"",'1. Live'!R69-'check-Jul25'!R69)</f>
        <v/>
      </c>
      <c r="S69" t="str">
        <f>IF('1. Live'!S69='check-Jul25'!S69,"",'1. Live'!S69-'check-Jul25'!S69)</f>
        <v/>
      </c>
      <c r="T69" t="str">
        <f>IF('1. Live'!T69='check-Jul25'!T69,"",'1. Live'!T69-'check-Jul25'!T69)</f>
        <v/>
      </c>
      <c r="U69" t="str">
        <f>IF('1. Live'!U69='check-Jul25'!U69,"",'1. Live'!U69-'check-Jul25'!U69)</f>
        <v/>
      </c>
      <c r="V69" t="str">
        <f>IF('1. Live'!V69='check-Jul25'!V69,"",'1. Live'!V69-'check-Jul25'!V69)</f>
        <v/>
      </c>
      <c r="W69" t="str">
        <f>IF('1. Live'!W69='check-Jul25'!W69,"",'1. Live'!W69-'check-Jul25'!W69)</f>
        <v/>
      </c>
      <c r="X69" t="str">
        <f>IF('1. Live'!X69='check-Jul25'!X69,"",'1. Live'!X69-'check-Jul25'!X69)</f>
        <v/>
      </c>
      <c r="Y69" t="str">
        <f>IF('1. Live'!Y69='check-Jul25'!Y69,"",'1. Live'!Y69-'check-Jul25'!Y69)</f>
        <v/>
      </c>
      <c r="Z69" t="str">
        <f>IF('1. Live'!Z69='check-Jul25'!Z69,"",'1. Live'!Z69-'check-Jul25'!Z69)</f>
        <v/>
      </c>
      <c r="AA69" t="str">
        <f>IF('1. Live'!AA69='check-Jul25'!AA69,"",'1. Live'!AA69-'check-Jul25'!AA69)</f>
        <v/>
      </c>
      <c r="AB69" t="str">
        <f>IF('1. Live'!AB69='check-Jul25'!AB69,"",'1. Live'!AB69-'check-Jul25'!AB69)</f>
        <v/>
      </c>
      <c r="AC69" t="str">
        <f>IF('1. Live'!AC69='check-Jul25'!AC69,"",'1. Live'!AC69-'check-Jul25'!AC69)</f>
        <v/>
      </c>
      <c r="AD69" t="str">
        <f>IF('1. Live'!AD69='check-Jul25'!AD69,"",'1. Live'!AD69-'check-Jul25'!AD69)</f>
        <v/>
      </c>
      <c r="AE69" t="str">
        <f>IF('1. Live'!AE69='check-Jul25'!AE69,"",'1. Live'!AE69-'check-Jul25'!AE69)</f>
        <v/>
      </c>
      <c r="AF69" t="str">
        <f>IF('1. Live'!AF69='check-Jul25'!AF69,"",'1. Live'!AF69-'check-Jul25'!AF69)</f>
        <v/>
      </c>
      <c r="AG69" t="str">
        <f>IF('1. Live'!AG69='check-Jul25'!AG69,"",'1. Live'!AG69-'check-Jul25'!AG69)</f>
        <v/>
      </c>
      <c r="AH69" t="str">
        <f>IF('1. Live'!AH69='check-Jul25'!AH69,"",'1. Live'!AH69-'check-Jul25'!AH69)</f>
        <v/>
      </c>
      <c r="AI69" t="str">
        <f>IF('1. Live'!AI69='check-Jul25'!AI69,"",'1. Live'!AI69-'check-Jul25'!AI69)</f>
        <v/>
      </c>
      <c r="AJ69" t="str">
        <f>IF('1. Live'!AJ69='check-Jul25'!AJ69,"",'1. Live'!AJ69-'check-Jul25'!AJ69)</f>
        <v/>
      </c>
      <c r="AK69" t="str">
        <f>IF('1. Live'!AK69='check-Jul25'!AK69,"",'1. Live'!AK69-'check-Jul25'!AK69)</f>
        <v/>
      </c>
      <c r="AL69" t="str">
        <f>IF('1. Live'!AL69='check-Jul25'!AL69,"",'1. Live'!AL69-'check-Jul25'!AL69)</f>
        <v/>
      </c>
      <c r="AM69" t="str">
        <f>IF('1. Live'!AM69='check-Jul25'!AM69,"",'1. Live'!AM69-'check-Jul25'!AM69)</f>
        <v/>
      </c>
      <c r="AN69" t="str">
        <f>IF('1. Live'!AN69='check-Jul25'!AN69,"",'1. Live'!AN69-'check-Jul25'!AN69)</f>
        <v/>
      </c>
      <c r="AO69" t="str">
        <f>IF('1. Live'!AO69='check-Jul25'!AO69,"",'1. Live'!AO69-'check-Jul25'!AO69)</f>
        <v/>
      </c>
      <c r="AP69" t="str">
        <f>IF('1. Live'!AP69='check-Jul25'!AP69,"",'1. Live'!AP69-'check-Jul25'!AP69)</f>
        <v/>
      </c>
      <c r="AQ69" t="str">
        <f>IF('1. Live'!AQ69='check-Jul25'!AQ69,"",'1. Live'!AQ69-'check-Jul25'!AQ69)</f>
        <v/>
      </c>
      <c r="AR69" t="str">
        <f>IF('1. Live'!AR69='check-Jul25'!AR69,"",'1. Live'!AR69-'check-Jul25'!AR69)</f>
        <v/>
      </c>
      <c r="AS69" t="str">
        <f>IF('1. Live'!AS69='check-Jul25'!AS69,"",'1. Live'!AS69-'check-Jul25'!AS69)</f>
        <v/>
      </c>
      <c r="AT69" t="str">
        <f>IF('1. Live'!AT69='check-Jul25'!AT69,"",'1. Live'!AT69-'check-Jul25'!AT69)</f>
        <v/>
      </c>
      <c r="AU69" t="str">
        <f>IF('1. Live'!AU69='check-Jul25'!AU69,"",'1. Live'!AU69-'check-Jul25'!AU69)</f>
        <v/>
      </c>
      <c r="AV69" t="str">
        <f>IF('1. Live'!AV69='check-Jul25'!AV69,"",'1. Live'!AV69-'check-Jul25'!AV69)</f>
        <v/>
      </c>
      <c r="AW69" t="str">
        <f>IF('1. Live'!AW69='check-Jul25'!AW69,"",'1. Live'!AW69-'check-Jul25'!AW69)</f>
        <v/>
      </c>
      <c r="AX69" t="str">
        <f>IF('1. Live'!AX69='check-Jul25'!AX69,"",'1. Live'!AX69-'check-Jul25'!AX69)</f>
        <v/>
      </c>
      <c r="AY69" t="str">
        <f>IF('1. Live'!AY69='check-Jul25'!AY69,"",'1. Live'!AY69-'check-Jul25'!AY69)</f>
        <v/>
      </c>
      <c r="AZ69" t="str">
        <f>IF('1. Live'!AZ69='check-Jul25'!AZ69,"",'1. Live'!AZ69-'check-Jul25'!AZ69)</f>
        <v/>
      </c>
      <c r="BA69" t="str">
        <f>IF('1. Live'!BA69='check-Jul25'!BA69,"",'1. Live'!BA69-'check-Jul25'!BA69)</f>
        <v/>
      </c>
      <c r="BB69" t="str">
        <f>IF('1. Live'!BB69='check-Jul25'!BB69,"",'1. Live'!BB69-'check-Jul25'!BB69)</f>
        <v/>
      </c>
      <c r="BC69" t="str">
        <f>IF('1. Live'!BC69='check-Jul25'!BC69,"",'1. Live'!BC69-'check-Jul25'!BC69)</f>
        <v/>
      </c>
      <c r="BD69" t="str">
        <f>IF('1. Live'!BD69='check-Jul25'!BD69,"",'1. Live'!BD69-'check-Jul25'!BD69)</f>
        <v/>
      </c>
      <c r="BE69" t="str">
        <f>IF('1. Live'!BE69='check-Jul25'!BE69,"",'1. Live'!BE69-'check-Jul25'!BE69)</f>
        <v/>
      </c>
      <c r="BF69" t="str">
        <f>IF('1. Live'!BF69='check-Jul25'!BF69,"",'1. Live'!BF69-'check-Jul25'!BF69)</f>
        <v/>
      </c>
      <c r="BG69" t="str">
        <f>IF('1. Live'!BG69='check-Jul25'!BG69,"",'1. Live'!BG69-'check-Jul25'!BG69)</f>
        <v/>
      </c>
      <c r="BH69" t="str">
        <f>IF('1. Live'!BH69='check-Jul25'!BH69,"",'1. Live'!BH69-'check-Jul25'!BH69)</f>
        <v/>
      </c>
      <c r="BI69" t="str">
        <f>IF('1. Live'!BI69='check-Jul25'!BI69,"",'1. Live'!BI69-'check-Jul25'!BI69)</f>
        <v/>
      </c>
      <c r="BJ69" t="str">
        <f>IF('1. Live'!BJ69='check-Jul25'!BJ69,"",'1. Live'!BJ69-'check-Jul25'!BJ69)</f>
        <v/>
      </c>
      <c r="BK69" t="str">
        <f>IF('1. Live'!BK69='check-Jul25'!BK69,"",'1. Live'!BK69-'check-Jul25'!BK69)</f>
        <v/>
      </c>
      <c r="BL69" t="str">
        <f>IF('1. Live'!BL69='check-Jul25'!BL69,"",'1. Live'!BL69-'check-Jul25'!BL69)</f>
        <v/>
      </c>
      <c r="BM69" t="str">
        <f>IF('1. Live'!BM69='check-Jul25'!BM69,"",'1. Live'!BM69-'check-Jul25'!BM69)</f>
        <v/>
      </c>
      <c r="BN69" t="str">
        <f>IF('1. Live'!BN69='check-Jul25'!BN69,"",'1. Live'!BN69-'check-Jul25'!BN69)</f>
        <v/>
      </c>
      <c r="BO69" t="str">
        <f>IF('1. Live'!BO69='check-Jul25'!BO69,"",'1. Live'!BO69-'check-Jul25'!BO69)</f>
        <v/>
      </c>
      <c r="BP69" t="str">
        <f>IF('1. Live'!BP69='check-Jul25'!BP69,"",'1. Live'!BP69-'check-Jul25'!BP69)</f>
        <v/>
      </c>
      <c r="BQ69" t="str">
        <f>IF('1. Live'!BQ69='check-Jul25'!BQ69,"",'1. Live'!BQ69-'check-Jul25'!BQ69)</f>
        <v/>
      </c>
      <c r="BR69" t="str">
        <f>IF('1. Live'!BR69='check-Jul25'!BR69,"",'1. Live'!BR69-'check-Jul25'!BR69)</f>
        <v/>
      </c>
      <c r="BS69" t="str">
        <f>IF('1. Live'!BS69='check-Jul25'!BS69,"",'1. Live'!BS69-'check-Jul25'!BS69)</f>
        <v/>
      </c>
      <c r="BT69" t="str">
        <f>IF('1. Live'!BT69='check-Jul25'!BT69,"",'1. Live'!BT69-'check-Jul25'!BT69)</f>
        <v/>
      </c>
      <c r="BU69" t="str">
        <f>IF('1. Live'!BU69='check-Jul25'!BU69,"",'1. Live'!BU69-'check-Jul25'!BU69)</f>
        <v/>
      </c>
      <c r="BV69" t="str">
        <f>IF('1. Live'!BV69='check-Jul25'!BV69,"",'1. Live'!BV69-'check-Jul25'!BV69)</f>
        <v/>
      </c>
      <c r="BW69" t="str">
        <f>IF('1. Live'!BW69='check-Jul25'!BW69,"",'1. Live'!BW69-'check-Jul25'!BW69)</f>
        <v/>
      </c>
      <c r="BX69" t="str">
        <f>IF('1. Live'!BX69='check-Jul25'!BX69,"",'1. Live'!BX69-'check-Jul25'!BX69)</f>
        <v/>
      </c>
      <c r="BY69" t="str">
        <f>IF('1. Live'!BY69='check-Jul25'!BY69,"",'1. Live'!BY69-'check-Jul25'!BY69)</f>
        <v/>
      </c>
      <c r="BZ69" t="str">
        <f>IF('1. Live'!BZ69='check-Jul25'!BZ69,"",'1. Live'!BZ69-'check-Jul25'!BZ69)</f>
        <v/>
      </c>
      <c r="CA69" t="str">
        <f>IF('1. Live'!CA69='check-Jul25'!CA69,"",'1. Live'!CA69-'check-Jul25'!CA69)</f>
        <v/>
      </c>
      <c r="CB69" t="str">
        <f>IF('1. Live'!CB69='check-Jul25'!CB69,"",'1. Live'!CB69-'check-Jul25'!CB69)</f>
        <v/>
      </c>
      <c r="CC69" t="str">
        <f>IF('1. Live'!CC69='check-Jul25'!CC69,"",'1. Live'!CC69-'check-Jul25'!CC69)</f>
        <v/>
      </c>
      <c r="CD69" t="str">
        <f>IF('1. Live'!CD69='check-Jul25'!CD69,"",'1. Live'!CD69-'check-Jul25'!CD69)</f>
        <v/>
      </c>
      <c r="CE69" t="str">
        <f>IF('1. Live'!CE69='check-Jul25'!CE69,"",'1. Live'!CE69-'check-Jul25'!CE69)</f>
        <v/>
      </c>
      <c r="CF69" t="str">
        <f>IF('1. Live'!CF69='check-Jul25'!CF69,"",'1. Live'!CF69-'check-Jul25'!CF69)</f>
        <v/>
      </c>
      <c r="CG69" t="str">
        <f>IF('1. Live'!CG69='check-Jul25'!CG69,"",'1. Live'!CG69-'check-Jul25'!CG69)</f>
        <v/>
      </c>
      <c r="CH69" t="str">
        <f>IF('1. Live'!CH69='check-Jul25'!CH69,"",'1. Live'!CH69-'check-Jul25'!CH69)</f>
        <v/>
      </c>
      <c r="CI69" t="str">
        <f>IF('1. Live'!CI69='check-Jul25'!CI69,"",'1. Live'!CI69-'check-Jul25'!CI69)</f>
        <v/>
      </c>
      <c r="CJ69" t="str">
        <f>IF('1. Live'!CJ69='check-Jul25'!CJ69,"",'1. Live'!CJ69-'check-Jul25'!CJ69)</f>
        <v/>
      </c>
      <c r="CK69" t="str">
        <f>IF('1. Live'!CK69='check-Jul25'!CK69,"",'1. Live'!CK69-'check-Jul25'!CK69)</f>
        <v/>
      </c>
      <c r="CL69" t="str">
        <f>IF('1. Live'!CL69='check-Jul25'!CL69,"",'1. Live'!CL69-'check-Jul25'!CL69)</f>
        <v/>
      </c>
      <c r="CM69" t="str">
        <f>IF('1. Live'!CM69='check-Jul25'!CM69,"",'1. Live'!CM69-'check-Jul25'!CM69)</f>
        <v/>
      </c>
      <c r="CN69" t="str">
        <f>IF('1. Live'!CN69='check-Jul25'!CN69,"",'1. Live'!CN69-'check-Jul25'!CN69)</f>
        <v/>
      </c>
      <c r="CO69" t="str">
        <f>IF('1. Live'!CO69='check-Jul25'!CO69,"",'1. Live'!CO69-'check-Jul25'!CO69)</f>
        <v/>
      </c>
      <c r="CP69" t="str">
        <f>IF('1. Live'!CP69='check-Jul25'!CP69,"",'1. Live'!CP69-'check-Jul25'!CP69)</f>
        <v/>
      </c>
      <c r="CQ69" t="str">
        <f>IF('1. Live'!CQ69='check-Jul25'!CQ69,"",'1. Live'!CQ69-'check-Jul25'!CQ69)</f>
        <v/>
      </c>
      <c r="CR69" t="str">
        <f>IF('1. Live'!CR69='check-Jul25'!CR69,"",'1. Live'!CR69-'check-Jul25'!CR69)</f>
        <v/>
      </c>
      <c r="CS69" t="str">
        <f>IF('1. Live'!CS69='check-Jul25'!CS69,"",'1. Live'!CS69-'check-Jul25'!CS69)</f>
        <v/>
      </c>
      <c r="CT69" t="str">
        <f>IF('1. Live'!CT69='check-Jul25'!CT69,"",'1. Live'!CT69-'check-Jul25'!CT69)</f>
        <v/>
      </c>
      <c r="CU69" t="str">
        <f>IF('1. Live'!CU69='check-Jul25'!CU69,"",'1. Live'!CU69-'check-Jul25'!CU69)</f>
        <v/>
      </c>
      <c r="CV69" t="str">
        <f>IF('1. Live'!CV69='check-Jul25'!CV69,"",'1. Live'!CV69-'check-Jul25'!CV69)</f>
        <v/>
      </c>
      <c r="CW69" t="str">
        <f>IF('1. Live'!CW69='check-Jul25'!CW69,"",'1. Live'!CW69-'check-Jul25'!CW69)</f>
        <v/>
      </c>
    </row>
    <row r="70" spans="10:101">
      <c r="J70" t="str">
        <f>IF('1. Live'!J70='check-Jul25'!J70,"",'1. Live'!J70-'check-Jul25'!J70)</f>
        <v/>
      </c>
      <c r="K70" t="str">
        <f>IF('1. Live'!K70='check-Jul25'!K70,"",'1. Live'!K70-'check-Jul25'!K70)</f>
        <v/>
      </c>
      <c r="L70" t="str">
        <f>IF('1. Live'!L70='check-Jul25'!L70,"",'1. Live'!L70-'check-Jul25'!L70)</f>
        <v/>
      </c>
      <c r="M70" t="str">
        <f>IF('1. Live'!M70='check-Jul25'!M70,"",'1. Live'!M70-'check-Jul25'!M70)</f>
        <v/>
      </c>
      <c r="N70" t="str">
        <f>IF('1. Live'!N70='check-Jul25'!N70,"",'1. Live'!N70-'check-Jul25'!N70)</f>
        <v/>
      </c>
      <c r="O70" t="str">
        <f>IF('1. Live'!O70='check-Jul25'!O70,"",'1. Live'!O70-'check-Jul25'!O70)</f>
        <v/>
      </c>
      <c r="P70" t="str">
        <f>IF('1. Live'!P70='check-Jul25'!P70,"",'1. Live'!P70-'check-Jul25'!P70)</f>
        <v/>
      </c>
      <c r="Q70" t="str">
        <f>IF('1. Live'!Q70='check-Jul25'!Q70,"",'1. Live'!Q70-'check-Jul25'!Q70)</f>
        <v/>
      </c>
      <c r="R70" t="str">
        <f>IF('1. Live'!R70='check-Jul25'!R70,"",'1. Live'!R70-'check-Jul25'!R70)</f>
        <v/>
      </c>
      <c r="S70" t="str">
        <f>IF('1. Live'!S70='check-Jul25'!S70,"",'1. Live'!S70-'check-Jul25'!S70)</f>
        <v/>
      </c>
      <c r="T70" t="str">
        <f>IF('1. Live'!T70='check-Jul25'!T70,"",'1. Live'!T70-'check-Jul25'!T70)</f>
        <v/>
      </c>
      <c r="U70" t="str">
        <f>IF('1. Live'!U70='check-Jul25'!U70,"",'1. Live'!U70-'check-Jul25'!U70)</f>
        <v/>
      </c>
      <c r="V70" t="str">
        <f>IF('1. Live'!V70='check-Jul25'!V70,"",'1. Live'!V70-'check-Jul25'!V70)</f>
        <v/>
      </c>
      <c r="W70" t="str">
        <f>IF('1. Live'!W70='check-Jul25'!W70,"",'1. Live'!W70-'check-Jul25'!W70)</f>
        <v/>
      </c>
      <c r="X70" t="str">
        <f>IF('1. Live'!X70='check-Jul25'!X70,"",'1. Live'!X70-'check-Jul25'!X70)</f>
        <v/>
      </c>
      <c r="Y70" t="str">
        <f>IF('1. Live'!Y70='check-Jul25'!Y70,"",'1. Live'!Y70-'check-Jul25'!Y70)</f>
        <v/>
      </c>
      <c r="Z70" t="str">
        <f>IF('1. Live'!Z70='check-Jul25'!Z70,"",'1. Live'!Z70-'check-Jul25'!Z70)</f>
        <v/>
      </c>
      <c r="AA70" t="str">
        <f>IF('1. Live'!AA70='check-Jul25'!AA70,"",'1. Live'!AA70-'check-Jul25'!AA70)</f>
        <v/>
      </c>
      <c r="AB70" t="str">
        <f>IF('1. Live'!AB70='check-Jul25'!AB70,"",'1. Live'!AB70-'check-Jul25'!AB70)</f>
        <v/>
      </c>
      <c r="AC70" t="str">
        <f>IF('1. Live'!AC70='check-Jul25'!AC70,"",'1. Live'!AC70-'check-Jul25'!AC70)</f>
        <v/>
      </c>
      <c r="AD70" t="str">
        <f>IF('1. Live'!AD70='check-Jul25'!AD70,"",'1. Live'!AD70-'check-Jul25'!AD70)</f>
        <v/>
      </c>
      <c r="AE70" t="str">
        <f>IF('1. Live'!AE70='check-Jul25'!AE70,"",'1. Live'!AE70-'check-Jul25'!AE70)</f>
        <v/>
      </c>
      <c r="AF70" t="str">
        <f>IF('1. Live'!AF70='check-Jul25'!AF70,"",'1. Live'!AF70-'check-Jul25'!AF70)</f>
        <v/>
      </c>
      <c r="AG70" t="str">
        <f>IF('1. Live'!AG70='check-Jul25'!AG70,"",'1. Live'!AG70-'check-Jul25'!AG70)</f>
        <v/>
      </c>
      <c r="AH70" t="str">
        <f>IF('1. Live'!AH70='check-Jul25'!AH70,"",'1. Live'!AH70-'check-Jul25'!AH70)</f>
        <v/>
      </c>
      <c r="AI70" t="str">
        <f>IF('1. Live'!AI70='check-Jul25'!AI70,"",'1. Live'!AI70-'check-Jul25'!AI70)</f>
        <v/>
      </c>
      <c r="AJ70" t="str">
        <f>IF('1. Live'!AJ70='check-Jul25'!AJ70,"",'1. Live'!AJ70-'check-Jul25'!AJ70)</f>
        <v/>
      </c>
      <c r="AK70" t="str">
        <f>IF('1. Live'!AK70='check-Jul25'!AK70,"",'1. Live'!AK70-'check-Jul25'!AK70)</f>
        <v/>
      </c>
      <c r="AL70" t="str">
        <f>IF('1. Live'!AL70='check-Jul25'!AL70,"",'1. Live'!AL70-'check-Jul25'!AL70)</f>
        <v/>
      </c>
      <c r="AM70" t="str">
        <f>IF('1. Live'!AM70='check-Jul25'!AM70,"",'1. Live'!AM70-'check-Jul25'!AM70)</f>
        <v/>
      </c>
      <c r="AN70" t="str">
        <f>IF('1. Live'!AN70='check-Jul25'!AN70,"",'1. Live'!AN70-'check-Jul25'!AN70)</f>
        <v/>
      </c>
      <c r="AO70" t="str">
        <f>IF('1. Live'!AO70='check-Jul25'!AO70,"",'1. Live'!AO70-'check-Jul25'!AO70)</f>
        <v/>
      </c>
      <c r="AP70" t="str">
        <f>IF('1. Live'!AP70='check-Jul25'!AP70,"",'1. Live'!AP70-'check-Jul25'!AP70)</f>
        <v/>
      </c>
      <c r="AQ70" t="str">
        <f>IF('1. Live'!AQ70='check-Jul25'!AQ70,"",'1. Live'!AQ70-'check-Jul25'!AQ70)</f>
        <v/>
      </c>
      <c r="AR70" t="str">
        <f>IF('1. Live'!AR70='check-Jul25'!AR70,"",'1. Live'!AR70-'check-Jul25'!AR70)</f>
        <v/>
      </c>
      <c r="AS70" t="str">
        <f>IF('1. Live'!AS70='check-Jul25'!AS70,"",'1. Live'!AS70-'check-Jul25'!AS70)</f>
        <v/>
      </c>
      <c r="AT70" t="str">
        <f>IF('1. Live'!AT70='check-Jul25'!AT70,"",'1. Live'!AT70-'check-Jul25'!AT70)</f>
        <v/>
      </c>
      <c r="AU70" t="str">
        <f>IF('1. Live'!AU70='check-Jul25'!AU70,"",'1. Live'!AU70-'check-Jul25'!AU70)</f>
        <v/>
      </c>
      <c r="AV70" t="str">
        <f>IF('1. Live'!AV70='check-Jul25'!AV70,"",'1. Live'!AV70-'check-Jul25'!AV70)</f>
        <v/>
      </c>
      <c r="AW70" t="str">
        <f>IF('1. Live'!AW70='check-Jul25'!AW70,"",'1. Live'!AW70-'check-Jul25'!AW70)</f>
        <v/>
      </c>
      <c r="AX70" t="str">
        <f>IF('1. Live'!AX70='check-Jul25'!AX70,"",'1. Live'!AX70-'check-Jul25'!AX70)</f>
        <v/>
      </c>
      <c r="AY70" t="str">
        <f>IF('1. Live'!AY70='check-Jul25'!AY70,"",'1. Live'!AY70-'check-Jul25'!AY70)</f>
        <v/>
      </c>
      <c r="AZ70" t="str">
        <f>IF('1. Live'!AZ70='check-Jul25'!AZ70,"",'1. Live'!AZ70-'check-Jul25'!AZ70)</f>
        <v/>
      </c>
      <c r="BA70" t="str">
        <f>IF('1. Live'!BA70='check-Jul25'!BA70,"",'1. Live'!BA70-'check-Jul25'!BA70)</f>
        <v/>
      </c>
      <c r="BB70" t="str">
        <f>IF('1. Live'!BB70='check-Jul25'!BB70,"",'1. Live'!BB70-'check-Jul25'!BB70)</f>
        <v/>
      </c>
      <c r="BC70" t="str">
        <f>IF('1. Live'!BC70='check-Jul25'!BC70,"",'1. Live'!BC70-'check-Jul25'!BC70)</f>
        <v/>
      </c>
      <c r="BD70" t="str">
        <f>IF('1. Live'!BD70='check-Jul25'!BD70,"",'1. Live'!BD70-'check-Jul25'!BD70)</f>
        <v/>
      </c>
      <c r="BE70" t="str">
        <f>IF('1. Live'!BE70='check-Jul25'!BE70,"",'1. Live'!BE70-'check-Jul25'!BE70)</f>
        <v/>
      </c>
      <c r="BF70" t="str">
        <f>IF('1. Live'!BF70='check-Jul25'!BF70,"",'1. Live'!BF70-'check-Jul25'!BF70)</f>
        <v/>
      </c>
      <c r="BG70" t="str">
        <f>IF('1. Live'!BG70='check-Jul25'!BG70,"",'1. Live'!BG70-'check-Jul25'!BG70)</f>
        <v/>
      </c>
      <c r="BH70" t="str">
        <f>IF('1. Live'!BH70='check-Jul25'!BH70,"",'1. Live'!BH70-'check-Jul25'!BH70)</f>
        <v/>
      </c>
      <c r="BI70" t="str">
        <f>IF('1. Live'!BI70='check-Jul25'!BI70,"",'1. Live'!BI70-'check-Jul25'!BI70)</f>
        <v/>
      </c>
      <c r="BJ70" t="str">
        <f>IF('1. Live'!BJ70='check-Jul25'!BJ70,"",'1. Live'!BJ70-'check-Jul25'!BJ70)</f>
        <v/>
      </c>
      <c r="BK70" t="str">
        <f>IF('1. Live'!BK70='check-Jul25'!BK70,"",'1. Live'!BK70-'check-Jul25'!BK70)</f>
        <v/>
      </c>
      <c r="BL70" t="str">
        <f>IF('1. Live'!BL70='check-Jul25'!BL70,"",'1. Live'!BL70-'check-Jul25'!BL70)</f>
        <v/>
      </c>
      <c r="BM70" t="str">
        <f>IF('1. Live'!BM70='check-Jul25'!BM70,"",'1. Live'!BM70-'check-Jul25'!BM70)</f>
        <v/>
      </c>
      <c r="BN70" t="str">
        <f>IF('1. Live'!BN70='check-Jul25'!BN70,"",'1. Live'!BN70-'check-Jul25'!BN70)</f>
        <v/>
      </c>
      <c r="BO70" t="str">
        <f>IF('1. Live'!BO70='check-Jul25'!BO70,"",'1. Live'!BO70-'check-Jul25'!BO70)</f>
        <v/>
      </c>
      <c r="BP70" t="str">
        <f>IF('1. Live'!BP70='check-Jul25'!BP70,"",'1. Live'!BP70-'check-Jul25'!BP70)</f>
        <v/>
      </c>
      <c r="BQ70" t="str">
        <f>IF('1. Live'!BQ70='check-Jul25'!BQ70,"",'1. Live'!BQ70-'check-Jul25'!BQ70)</f>
        <v/>
      </c>
      <c r="BR70" t="str">
        <f>IF('1. Live'!BR70='check-Jul25'!BR70,"",'1. Live'!BR70-'check-Jul25'!BR70)</f>
        <v/>
      </c>
      <c r="BS70" t="str">
        <f>IF('1. Live'!BS70='check-Jul25'!BS70,"",'1. Live'!BS70-'check-Jul25'!BS70)</f>
        <v/>
      </c>
      <c r="BT70" t="str">
        <f>IF('1. Live'!BT70='check-Jul25'!BT70,"",'1. Live'!BT70-'check-Jul25'!BT70)</f>
        <v/>
      </c>
      <c r="BU70" t="str">
        <f>IF('1. Live'!BU70='check-Jul25'!BU70,"",'1. Live'!BU70-'check-Jul25'!BU70)</f>
        <v/>
      </c>
      <c r="BV70" t="str">
        <f>IF('1. Live'!BV70='check-Jul25'!BV70,"",'1. Live'!BV70-'check-Jul25'!BV70)</f>
        <v/>
      </c>
      <c r="BW70" t="str">
        <f>IF('1. Live'!BW70='check-Jul25'!BW70,"",'1. Live'!BW70-'check-Jul25'!BW70)</f>
        <v/>
      </c>
      <c r="BX70" t="str">
        <f>IF('1. Live'!BX70='check-Jul25'!BX70,"",'1. Live'!BX70-'check-Jul25'!BX70)</f>
        <v/>
      </c>
      <c r="BY70" t="str">
        <f>IF('1. Live'!BY70='check-Jul25'!BY70,"",'1. Live'!BY70-'check-Jul25'!BY70)</f>
        <v/>
      </c>
      <c r="BZ70" t="str">
        <f>IF('1. Live'!BZ70='check-Jul25'!BZ70,"",'1. Live'!BZ70-'check-Jul25'!BZ70)</f>
        <v/>
      </c>
      <c r="CA70" t="str">
        <f>IF('1. Live'!CA70='check-Jul25'!CA70,"",'1. Live'!CA70-'check-Jul25'!CA70)</f>
        <v/>
      </c>
      <c r="CB70" t="str">
        <f>IF('1. Live'!CB70='check-Jul25'!CB70,"",'1. Live'!CB70-'check-Jul25'!CB70)</f>
        <v/>
      </c>
      <c r="CC70" t="str">
        <f>IF('1. Live'!CC70='check-Jul25'!CC70,"",'1. Live'!CC70-'check-Jul25'!CC70)</f>
        <v/>
      </c>
      <c r="CD70" t="str">
        <f>IF('1. Live'!CD70='check-Jul25'!CD70,"",'1. Live'!CD70-'check-Jul25'!CD70)</f>
        <v/>
      </c>
      <c r="CE70" t="str">
        <f>IF('1. Live'!CE70='check-Jul25'!CE70,"",'1. Live'!CE70-'check-Jul25'!CE70)</f>
        <v/>
      </c>
      <c r="CF70" t="str">
        <f>IF('1. Live'!CF70='check-Jul25'!CF70,"",'1. Live'!CF70-'check-Jul25'!CF70)</f>
        <v/>
      </c>
      <c r="CG70" t="str">
        <f>IF('1. Live'!CG70='check-Jul25'!CG70,"",'1. Live'!CG70-'check-Jul25'!CG70)</f>
        <v/>
      </c>
      <c r="CH70" t="str">
        <f>IF('1. Live'!CH70='check-Jul25'!CH70,"",'1. Live'!CH70-'check-Jul25'!CH70)</f>
        <v/>
      </c>
      <c r="CI70" t="str">
        <f>IF('1. Live'!CI70='check-Jul25'!CI70,"",'1. Live'!CI70-'check-Jul25'!CI70)</f>
        <v/>
      </c>
      <c r="CJ70" t="str">
        <f>IF('1. Live'!CJ70='check-Jul25'!CJ70,"",'1. Live'!CJ70-'check-Jul25'!CJ70)</f>
        <v/>
      </c>
      <c r="CK70" t="str">
        <f>IF('1. Live'!CK70='check-Jul25'!CK70,"",'1. Live'!CK70-'check-Jul25'!CK70)</f>
        <v/>
      </c>
      <c r="CL70" t="str">
        <f>IF('1. Live'!CL70='check-Jul25'!CL70,"",'1. Live'!CL70-'check-Jul25'!CL70)</f>
        <v/>
      </c>
      <c r="CM70" t="str">
        <f>IF('1. Live'!CM70='check-Jul25'!CM70,"",'1. Live'!CM70-'check-Jul25'!CM70)</f>
        <v/>
      </c>
      <c r="CN70" t="str">
        <f>IF('1. Live'!CN70='check-Jul25'!CN70,"",'1. Live'!CN70-'check-Jul25'!CN70)</f>
        <v/>
      </c>
      <c r="CO70" t="str">
        <f>IF('1. Live'!CO70='check-Jul25'!CO70,"",'1. Live'!CO70-'check-Jul25'!CO70)</f>
        <v/>
      </c>
      <c r="CP70" t="str">
        <f>IF('1. Live'!CP70='check-Jul25'!CP70,"",'1. Live'!CP70-'check-Jul25'!CP70)</f>
        <v/>
      </c>
      <c r="CQ70" t="str">
        <f>IF('1. Live'!CQ70='check-Jul25'!CQ70,"",'1. Live'!CQ70-'check-Jul25'!CQ70)</f>
        <v/>
      </c>
      <c r="CR70" t="str">
        <f>IF('1. Live'!CR70='check-Jul25'!CR70,"",'1. Live'!CR70-'check-Jul25'!CR70)</f>
        <v/>
      </c>
      <c r="CS70" t="str">
        <f>IF('1. Live'!CS70='check-Jul25'!CS70,"",'1. Live'!CS70-'check-Jul25'!CS70)</f>
        <v/>
      </c>
      <c r="CT70" t="str">
        <f>IF('1. Live'!CT70='check-Jul25'!CT70,"",'1. Live'!CT70-'check-Jul25'!CT70)</f>
        <v/>
      </c>
      <c r="CU70" t="str">
        <f>IF('1. Live'!CU70='check-Jul25'!CU70,"",'1. Live'!CU70-'check-Jul25'!CU70)</f>
        <v/>
      </c>
      <c r="CV70" t="str">
        <f>IF('1. Live'!CV70='check-Jul25'!CV70,"",'1. Live'!CV70-'check-Jul25'!CV70)</f>
        <v/>
      </c>
      <c r="CW70" t="str">
        <f>IF('1. Live'!CW70='check-Jul25'!CW70,"",'1. Live'!CW70-'check-Jul25'!CW70)</f>
        <v/>
      </c>
    </row>
    <row r="71" spans="10:101">
      <c r="J71" t="str">
        <f>IF('1. Live'!J71='check-Jul25'!J71,"",'1. Live'!J71-'check-Jul25'!J71)</f>
        <v/>
      </c>
      <c r="K71" t="str">
        <f>IF('1. Live'!K71='check-Jul25'!K71,"",'1. Live'!K71-'check-Jul25'!K71)</f>
        <v/>
      </c>
      <c r="L71" t="str">
        <f>IF('1. Live'!L71='check-Jul25'!L71,"",'1. Live'!L71-'check-Jul25'!L71)</f>
        <v/>
      </c>
      <c r="M71" t="str">
        <f>IF('1. Live'!M71='check-Jul25'!M71,"",'1. Live'!M71-'check-Jul25'!M71)</f>
        <v/>
      </c>
      <c r="N71" t="str">
        <f>IF('1. Live'!N71='check-Jul25'!N71,"",'1. Live'!N71-'check-Jul25'!N71)</f>
        <v/>
      </c>
      <c r="O71" t="str">
        <f>IF('1. Live'!O71='check-Jul25'!O71,"",'1. Live'!O71-'check-Jul25'!O71)</f>
        <v/>
      </c>
      <c r="P71" t="str">
        <f>IF('1. Live'!P71='check-Jul25'!P71,"",'1. Live'!P71-'check-Jul25'!P71)</f>
        <v/>
      </c>
      <c r="Q71" t="str">
        <f>IF('1. Live'!Q71='check-Jul25'!Q71,"",'1. Live'!Q71-'check-Jul25'!Q71)</f>
        <v/>
      </c>
      <c r="R71" t="str">
        <f>IF('1. Live'!R71='check-Jul25'!R71,"",'1. Live'!R71-'check-Jul25'!R71)</f>
        <v/>
      </c>
      <c r="S71" t="str">
        <f>IF('1. Live'!S71='check-Jul25'!S71,"",'1. Live'!S71-'check-Jul25'!S71)</f>
        <v/>
      </c>
      <c r="T71" t="str">
        <f>IF('1. Live'!T71='check-Jul25'!T71,"",'1. Live'!T71-'check-Jul25'!T71)</f>
        <v/>
      </c>
      <c r="U71" t="str">
        <f>IF('1. Live'!U71='check-Jul25'!U71,"",'1. Live'!U71-'check-Jul25'!U71)</f>
        <v/>
      </c>
      <c r="V71" t="str">
        <f>IF('1. Live'!V71='check-Jul25'!V71,"",'1. Live'!V71-'check-Jul25'!V71)</f>
        <v/>
      </c>
      <c r="W71" t="str">
        <f>IF('1. Live'!W71='check-Jul25'!W71,"",'1. Live'!W71-'check-Jul25'!W71)</f>
        <v/>
      </c>
      <c r="X71" t="str">
        <f>IF('1. Live'!X71='check-Jul25'!X71,"",'1. Live'!X71-'check-Jul25'!X71)</f>
        <v/>
      </c>
      <c r="Y71" t="str">
        <f>IF('1. Live'!Y71='check-Jul25'!Y71,"",'1. Live'!Y71-'check-Jul25'!Y71)</f>
        <v/>
      </c>
      <c r="Z71" t="str">
        <f>IF('1. Live'!Z71='check-Jul25'!Z71,"",'1. Live'!Z71-'check-Jul25'!Z71)</f>
        <v/>
      </c>
      <c r="AA71" t="str">
        <f>IF('1. Live'!AA71='check-Jul25'!AA71,"",'1. Live'!AA71-'check-Jul25'!AA71)</f>
        <v/>
      </c>
      <c r="AB71" t="str">
        <f>IF('1. Live'!AB71='check-Jul25'!AB71,"",'1. Live'!AB71-'check-Jul25'!AB71)</f>
        <v/>
      </c>
      <c r="AC71" t="str">
        <f>IF('1. Live'!AC71='check-Jul25'!AC71,"",'1. Live'!AC71-'check-Jul25'!AC71)</f>
        <v/>
      </c>
      <c r="AD71" t="str">
        <f>IF('1. Live'!AD71='check-Jul25'!AD71,"",'1. Live'!AD71-'check-Jul25'!AD71)</f>
        <v/>
      </c>
      <c r="AE71" t="str">
        <f>IF('1. Live'!AE71='check-Jul25'!AE71,"",'1. Live'!AE71-'check-Jul25'!AE71)</f>
        <v/>
      </c>
      <c r="AF71" t="str">
        <f>IF('1. Live'!AF71='check-Jul25'!AF71,"",'1. Live'!AF71-'check-Jul25'!AF71)</f>
        <v/>
      </c>
      <c r="AG71" t="str">
        <f>IF('1. Live'!AG71='check-Jul25'!AG71,"",'1. Live'!AG71-'check-Jul25'!AG71)</f>
        <v/>
      </c>
      <c r="AH71" t="str">
        <f>IF('1. Live'!AH71='check-Jul25'!AH71,"",'1. Live'!AH71-'check-Jul25'!AH71)</f>
        <v/>
      </c>
      <c r="AI71" t="str">
        <f>IF('1. Live'!AI71='check-Jul25'!AI71,"",'1. Live'!AI71-'check-Jul25'!AI71)</f>
        <v/>
      </c>
      <c r="AJ71" t="str">
        <f>IF('1. Live'!AJ71='check-Jul25'!AJ71,"",'1. Live'!AJ71-'check-Jul25'!AJ71)</f>
        <v/>
      </c>
      <c r="AK71" t="str">
        <f>IF('1. Live'!AK71='check-Jul25'!AK71,"",'1. Live'!AK71-'check-Jul25'!AK71)</f>
        <v/>
      </c>
      <c r="AL71" t="str">
        <f>IF('1. Live'!AL71='check-Jul25'!AL71,"",'1. Live'!AL71-'check-Jul25'!AL71)</f>
        <v/>
      </c>
      <c r="AM71" t="str">
        <f>IF('1. Live'!AM71='check-Jul25'!AM71,"",'1. Live'!AM71-'check-Jul25'!AM71)</f>
        <v/>
      </c>
      <c r="AN71" t="str">
        <f>IF('1. Live'!AN71='check-Jul25'!AN71,"",'1. Live'!AN71-'check-Jul25'!AN71)</f>
        <v/>
      </c>
      <c r="AO71" t="str">
        <f>IF('1. Live'!AO71='check-Jul25'!AO71,"",'1. Live'!AO71-'check-Jul25'!AO71)</f>
        <v/>
      </c>
      <c r="AP71" t="str">
        <f>IF('1. Live'!AP71='check-Jul25'!AP71,"",'1. Live'!AP71-'check-Jul25'!AP71)</f>
        <v/>
      </c>
      <c r="AQ71" t="str">
        <f>IF('1. Live'!AQ71='check-Jul25'!AQ71,"",'1. Live'!AQ71-'check-Jul25'!AQ71)</f>
        <v/>
      </c>
      <c r="AR71" t="str">
        <f>IF('1. Live'!AR71='check-Jul25'!AR71,"",'1. Live'!AR71-'check-Jul25'!AR71)</f>
        <v/>
      </c>
      <c r="AS71" t="str">
        <f>IF('1. Live'!AS71='check-Jul25'!AS71,"",'1. Live'!AS71-'check-Jul25'!AS71)</f>
        <v/>
      </c>
      <c r="AT71" t="str">
        <f>IF('1. Live'!AT71='check-Jul25'!AT71,"",'1. Live'!AT71-'check-Jul25'!AT71)</f>
        <v/>
      </c>
      <c r="AU71" t="str">
        <f>IF('1. Live'!AU71='check-Jul25'!AU71,"",'1. Live'!AU71-'check-Jul25'!AU71)</f>
        <v/>
      </c>
      <c r="AV71" t="str">
        <f>IF('1. Live'!AV71='check-Jul25'!AV71,"",'1. Live'!AV71-'check-Jul25'!AV71)</f>
        <v/>
      </c>
      <c r="AW71" t="str">
        <f>IF('1. Live'!AW71='check-Jul25'!AW71,"",'1. Live'!AW71-'check-Jul25'!AW71)</f>
        <v/>
      </c>
      <c r="AX71" t="str">
        <f>IF('1. Live'!AX71='check-Jul25'!AX71,"",'1. Live'!AX71-'check-Jul25'!AX71)</f>
        <v/>
      </c>
      <c r="AY71" t="str">
        <f>IF('1. Live'!AY71='check-Jul25'!AY71,"",'1. Live'!AY71-'check-Jul25'!AY71)</f>
        <v/>
      </c>
      <c r="AZ71" t="str">
        <f>IF('1. Live'!AZ71='check-Jul25'!AZ71,"",'1. Live'!AZ71-'check-Jul25'!AZ71)</f>
        <v/>
      </c>
      <c r="BA71" t="str">
        <f>IF('1. Live'!BA71='check-Jul25'!BA71,"",'1. Live'!BA71-'check-Jul25'!BA71)</f>
        <v/>
      </c>
      <c r="BB71" t="str">
        <f>IF('1. Live'!BB71='check-Jul25'!BB71,"",'1. Live'!BB71-'check-Jul25'!BB71)</f>
        <v/>
      </c>
      <c r="BC71" t="str">
        <f>IF('1. Live'!BC71='check-Jul25'!BC71,"",'1. Live'!BC71-'check-Jul25'!BC71)</f>
        <v/>
      </c>
      <c r="BD71" t="str">
        <f>IF('1. Live'!BD71='check-Jul25'!BD71,"",'1. Live'!BD71-'check-Jul25'!BD71)</f>
        <v/>
      </c>
      <c r="BE71" t="str">
        <f>IF('1. Live'!BE71='check-Jul25'!BE71,"",'1. Live'!BE71-'check-Jul25'!BE71)</f>
        <v/>
      </c>
      <c r="BF71" t="str">
        <f>IF('1. Live'!BF71='check-Jul25'!BF71,"",'1. Live'!BF71-'check-Jul25'!BF71)</f>
        <v/>
      </c>
      <c r="BG71" t="str">
        <f>IF('1. Live'!BG71='check-Jul25'!BG71,"",'1. Live'!BG71-'check-Jul25'!BG71)</f>
        <v/>
      </c>
      <c r="BH71" t="str">
        <f>IF('1. Live'!BH71='check-Jul25'!BH71,"",'1. Live'!BH71-'check-Jul25'!BH71)</f>
        <v/>
      </c>
      <c r="BI71" t="str">
        <f>IF('1. Live'!BI71='check-Jul25'!BI71,"",'1. Live'!BI71-'check-Jul25'!BI71)</f>
        <v/>
      </c>
      <c r="BJ71" t="str">
        <f>IF('1. Live'!BJ71='check-Jul25'!BJ71,"",'1. Live'!BJ71-'check-Jul25'!BJ71)</f>
        <v/>
      </c>
      <c r="BK71" t="str">
        <f>IF('1. Live'!BK71='check-Jul25'!BK71,"",'1. Live'!BK71-'check-Jul25'!BK71)</f>
        <v/>
      </c>
      <c r="BL71" t="str">
        <f>IF('1. Live'!BL71='check-Jul25'!BL71,"",'1. Live'!BL71-'check-Jul25'!BL71)</f>
        <v/>
      </c>
      <c r="BM71" t="str">
        <f>IF('1. Live'!BM71='check-Jul25'!BM71,"",'1. Live'!BM71-'check-Jul25'!BM71)</f>
        <v/>
      </c>
      <c r="BN71" t="str">
        <f>IF('1. Live'!BN71='check-Jul25'!BN71,"",'1. Live'!BN71-'check-Jul25'!BN71)</f>
        <v/>
      </c>
      <c r="BO71" t="str">
        <f>IF('1. Live'!BO71='check-Jul25'!BO71,"",'1. Live'!BO71-'check-Jul25'!BO71)</f>
        <v/>
      </c>
      <c r="BP71" t="str">
        <f>IF('1. Live'!BP71='check-Jul25'!BP71,"",'1. Live'!BP71-'check-Jul25'!BP71)</f>
        <v/>
      </c>
      <c r="BQ71" t="str">
        <f>IF('1. Live'!BQ71='check-Jul25'!BQ71,"",'1. Live'!BQ71-'check-Jul25'!BQ71)</f>
        <v/>
      </c>
      <c r="BR71" t="str">
        <f>IF('1. Live'!BR71='check-Jul25'!BR71,"",'1. Live'!BR71-'check-Jul25'!BR71)</f>
        <v/>
      </c>
      <c r="BS71" t="str">
        <f>IF('1. Live'!BS71='check-Jul25'!BS71,"",'1. Live'!BS71-'check-Jul25'!BS71)</f>
        <v/>
      </c>
      <c r="BT71" t="str">
        <f>IF('1. Live'!BT71='check-Jul25'!BT71,"",'1. Live'!BT71-'check-Jul25'!BT71)</f>
        <v/>
      </c>
      <c r="BU71" t="str">
        <f>IF('1. Live'!BU71='check-Jul25'!BU71,"",'1. Live'!BU71-'check-Jul25'!BU71)</f>
        <v/>
      </c>
      <c r="BV71" t="str">
        <f>IF('1. Live'!BV71='check-Jul25'!BV71,"",'1. Live'!BV71-'check-Jul25'!BV71)</f>
        <v/>
      </c>
      <c r="BW71" t="str">
        <f>IF('1. Live'!BW71='check-Jul25'!BW71,"",'1. Live'!BW71-'check-Jul25'!BW71)</f>
        <v/>
      </c>
      <c r="BX71" t="str">
        <f>IF('1. Live'!BX71='check-Jul25'!BX71,"",'1. Live'!BX71-'check-Jul25'!BX71)</f>
        <v/>
      </c>
      <c r="BY71" t="str">
        <f>IF('1. Live'!BY71='check-Jul25'!BY71,"",'1. Live'!BY71-'check-Jul25'!BY71)</f>
        <v/>
      </c>
      <c r="BZ71" t="str">
        <f>IF('1. Live'!BZ71='check-Jul25'!BZ71,"",'1. Live'!BZ71-'check-Jul25'!BZ71)</f>
        <v/>
      </c>
      <c r="CA71" t="str">
        <f>IF('1. Live'!CA71='check-Jul25'!CA71,"",'1. Live'!CA71-'check-Jul25'!CA71)</f>
        <v/>
      </c>
      <c r="CB71" t="str">
        <f>IF('1. Live'!CB71='check-Jul25'!CB71,"",'1. Live'!CB71-'check-Jul25'!CB71)</f>
        <v/>
      </c>
      <c r="CC71" t="str">
        <f>IF('1. Live'!CC71='check-Jul25'!CC71,"",'1. Live'!CC71-'check-Jul25'!CC71)</f>
        <v/>
      </c>
      <c r="CD71" t="str">
        <f>IF('1. Live'!CD71='check-Jul25'!CD71,"",'1. Live'!CD71-'check-Jul25'!CD71)</f>
        <v/>
      </c>
      <c r="CE71" t="str">
        <f>IF('1. Live'!CE71='check-Jul25'!CE71,"",'1. Live'!CE71-'check-Jul25'!CE71)</f>
        <v/>
      </c>
      <c r="CF71" t="str">
        <f>IF('1. Live'!CF71='check-Jul25'!CF71,"",'1. Live'!CF71-'check-Jul25'!CF71)</f>
        <v/>
      </c>
      <c r="CG71" t="str">
        <f>IF('1. Live'!CG71='check-Jul25'!CG71,"",'1. Live'!CG71-'check-Jul25'!CG71)</f>
        <v/>
      </c>
      <c r="CH71" t="str">
        <f>IF('1. Live'!CH71='check-Jul25'!CH71,"",'1. Live'!CH71-'check-Jul25'!CH71)</f>
        <v/>
      </c>
      <c r="CI71" t="str">
        <f>IF('1. Live'!CI71='check-Jul25'!CI71,"",'1. Live'!CI71-'check-Jul25'!CI71)</f>
        <v/>
      </c>
      <c r="CJ71" t="str">
        <f>IF('1. Live'!CJ71='check-Jul25'!CJ71,"",'1. Live'!CJ71-'check-Jul25'!CJ71)</f>
        <v/>
      </c>
      <c r="CK71" t="str">
        <f>IF('1. Live'!CK71='check-Jul25'!CK71,"",'1. Live'!CK71-'check-Jul25'!CK71)</f>
        <v/>
      </c>
      <c r="CL71" t="str">
        <f>IF('1. Live'!CL71='check-Jul25'!CL71,"",'1. Live'!CL71-'check-Jul25'!CL71)</f>
        <v/>
      </c>
      <c r="CM71" t="str">
        <f>IF('1. Live'!CM71='check-Jul25'!CM71,"",'1. Live'!CM71-'check-Jul25'!CM71)</f>
        <v/>
      </c>
      <c r="CN71" t="str">
        <f>IF('1. Live'!CN71='check-Jul25'!CN71,"",'1. Live'!CN71-'check-Jul25'!CN71)</f>
        <v/>
      </c>
      <c r="CO71" t="str">
        <f>IF('1. Live'!CO71='check-Jul25'!CO71,"",'1. Live'!CO71-'check-Jul25'!CO71)</f>
        <v/>
      </c>
      <c r="CP71" t="str">
        <f>IF('1. Live'!CP71='check-Jul25'!CP71,"",'1. Live'!CP71-'check-Jul25'!CP71)</f>
        <v/>
      </c>
      <c r="CQ71" t="str">
        <f>IF('1. Live'!CQ71='check-Jul25'!CQ71,"",'1. Live'!CQ71-'check-Jul25'!CQ71)</f>
        <v/>
      </c>
      <c r="CR71" t="str">
        <f>IF('1. Live'!CR71='check-Jul25'!CR71,"",'1. Live'!CR71-'check-Jul25'!CR71)</f>
        <v/>
      </c>
      <c r="CS71" t="str">
        <f>IF('1. Live'!CS71='check-Jul25'!CS71,"",'1. Live'!CS71-'check-Jul25'!CS71)</f>
        <v/>
      </c>
      <c r="CT71" t="str">
        <f>IF('1. Live'!CT71='check-Jul25'!CT71,"",'1. Live'!CT71-'check-Jul25'!CT71)</f>
        <v/>
      </c>
      <c r="CU71" t="str">
        <f>IF('1. Live'!CU71='check-Jul25'!CU71,"",'1. Live'!CU71-'check-Jul25'!CU71)</f>
        <v/>
      </c>
      <c r="CV71" t="str">
        <f>IF('1. Live'!CV71='check-Jul25'!CV71,"",'1. Live'!CV71-'check-Jul25'!CV71)</f>
        <v/>
      </c>
      <c r="CW71" t="str">
        <f>IF('1. Live'!CW71='check-Jul25'!CW71,"",'1. Live'!CW71-'check-Jul25'!CW71)</f>
        <v/>
      </c>
    </row>
    <row r="72" spans="10:101">
      <c r="J72" t="str">
        <f>IF('1. Live'!J72='check-Jul25'!J72,"",'1. Live'!J72-'check-Jul25'!J72)</f>
        <v/>
      </c>
      <c r="K72" t="str">
        <f>IF('1. Live'!K72='check-Jul25'!K72,"",'1. Live'!K72-'check-Jul25'!K72)</f>
        <v/>
      </c>
      <c r="L72" t="str">
        <f>IF('1. Live'!L72='check-Jul25'!L72,"",'1. Live'!L72-'check-Jul25'!L72)</f>
        <v/>
      </c>
      <c r="M72" t="str">
        <f>IF('1. Live'!M72='check-Jul25'!M72,"",'1. Live'!M72-'check-Jul25'!M72)</f>
        <v/>
      </c>
      <c r="N72" t="str">
        <f>IF('1. Live'!N72='check-Jul25'!N72,"",'1. Live'!N72-'check-Jul25'!N72)</f>
        <v/>
      </c>
      <c r="O72" t="str">
        <f>IF('1. Live'!O72='check-Jul25'!O72,"",'1. Live'!O72-'check-Jul25'!O72)</f>
        <v/>
      </c>
      <c r="P72" t="str">
        <f>IF('1. Live'!P72='check-Jul25'!P72,"",'1. Live'!P72-'check-Jul25'!P72)</f>
        <v/>
      </c>
      <c r="Q72" t="str">
        <f>IF('1. Live'!Q72='check-Jul25'!Q72,"",'1. Live'!Q72-'check-Jul25'!Q72)</f>
        <v/>
      </c>
      <c r="R72" t="str">
        <f>IF('1. Live'!R72='check-Jul25'!R72,"",'1. Live'!R72-'check-Jul25'!R72)</f>
        <v/>
      </c>
      <c r="S72" t="str">
        <f>IF('1. Live'!S72='check-Jul25'!S72,"",'1. Live'!S72-'check-Jul25'!S72)</f>
        <v/>
      </c>
      <c r="T72" t="str">
        <f>IF('1. Live'!T72='check-Jul25'!T72,"",'1. Live'!T72-'check-Jul25'!T72)</f>
        <v/>
      </c>
      <c r="U72" t="str">
        <f>IF('1. Live'!U72='check-Jul25'!U72,"",'1. Live'!U72-'check-Jul25'!U72)</f>
        <v/>
      </c>
      <c r="V72" t="str">
        <f>IF('1. Live'!V72='check-Jul25'!V72,"",'1. Live'!V72-'check-Jul25'!V72)</f>
        <v/>
      </c>
      <c r="W72" t="str">
        <f>IF('1. Live'!W72='check-Jul25'!W72,"",'1. Live'!W72-'check-Jul25'!W72)</f>
        <v/>
      </c>
      <c r="X72" t="str">
        <f>IF('1. Live'!X72='check-Jul25'!X72,"",'1. Live'!X72-'check-Jul25'!X72)</f>
        <v/>
      </c>
      <c r="Y72" t="str">
        <f>IF('1. Live'!Y72='check-Jul25'!Y72,"",'1. Live'!Y72-'check-Jul25'!Y72)</f>
        <v/>
      </c>
      <c r="Z72" t="str">
        <f>IF('1. Live'!Z72='check-Jul25'!Z72,"",'1. Live'!Z72-'check-Jul25'!Z72)</f>
        <v/>
      </c>
      <c r="AA72" t="str">
        <f>IF('1. Live'!AA72='check-Jul25'!AA72,"",'1. Live'!AA72-'check-Jul25'!AA72)</f>
        <v/>
      </c>
      <c r="AB72" t="str">
        <f>IF('1. Live'!AB72='check-Jul25'!AB72,"",'1. Live'!AB72-'check-Jul25'!AB72)</f>
        <v/>
      </c>
      <c r="AC72" t="str">
        <f>IF('1. Live'!AC72='check-Jul25'!AC72,"",'1. Live'!AC72-'check-Jul25'!AC72)</f>
        <v/>
      </c>
      <c r="AD72" t="str">
        <f>IF('1. Live'!AD72='check-Jul25'!AD72,"",'1. Live'!AD72-'check-Jul25'!AD72)</f>
        <v/>
      </c>
      <c r="AE72" t="str">
        <f>IF('1. Live'!AE72='check-Jul25'!AE72,"",'1. Live'!AE72-'check-Jul25'!AE72)</f>
        <v/>
      </c>
      <c r="AF72" t="str">
        <f>IF('1. Live'!AF72='check-Jul25'!AF72,"",'1. Live'!AF72-'check-Jul25'!AF72)</f>
        <v/>
      </c>
      <c r="AG72" t="str">
        <f>IF('1. Live'!AG72='check-Jul25'!AG72,"",'1. Live'!AG72-'check-Jul25'!AG72)</f>
        <v/>
      </c>
      <c r="AH72" t="str">
        <f>IF('1. Live'!AH72='check-Jul25'!AH72,"",'1. Live'!AH72-'check-Jul25'!AH72)</f>
        <v/>
      </c>
      <c r="AI72" t="str">
        <f>IF('1. Live'!AI72='check-Jul25'!AI72,"",'1. Live'!AI72-'check-Jul25'!AI72)</f>
        <v/>
      </c>
      <c r="AJ72" t="str">
        <f>IF('1. Live'!AJ72='check-Jul25'!AJ72,"",'1. Live'!AJ72-'check-Jul25'!AJ72)</f>
        <v/>
      </c>
      <c r="AK72" t="str">
        <f>IF('1. Live'!AK72='check-Jul25'!AK72,"",'1. Live'!AK72-'check-Jul25'!AK72)</f>
        <v/>
      </c>
      <c r="AL72" t="str">
        <f>IF('1. Live'!AL72='check-Jul25'!AL72,"",'1. Live'!AL72-'check-Jul25'!AL72)</f>
        <v/>
      </c>
      <c r="AM72" t="str">
        <f>IF('1. Live'!AM72='check-Jul25'!AM72,"",'1. Live'!AM72-'check-Jul25'!AM72)</f>
        <v/>
      </c>
      <c r="AN72" t="str">
        <f>IF('1. Live'!AN72='check-Jul25'!AN72,"",'1. Live'!AN72-'check-Jul25'!AN72)</f>
        <v/>
      </c>
      <c r="AO72" t="str">
        <f>IF('1. Live'!AO72='check-Jul25'!AO72,"",'1. Live'!AO72-'check-Jul25'!AO72)</f>
        <v/>
      </c>
      <c r="AP72" t="str">
        <f>IF('1. Live'!AP72='check-Jul25'!AP72,"",'1. Live'!AP72-'check-Jul25'!AP72)</f>
        <v/>
      </c>
      <c r="AQ72" t="str">
        <f>IF('1. Live'!AQ72='check-Jul25'!AQ72,"",'1. Live'!AQ72-'check-Jul25'!AQ72)</f>
        <v/>
      </c>
      <c r="AR72" t="str">
        <f>IF('1. Live'!AR72='check-Jul25'!AR72,"",'1. Live'!AR72-'check-Jul25'!AR72)</f>
        <v/>
      </c>
      <c r="AS72" t="str">
        <f>IF('1. Live'!AS72='check-Jul25'!AS72,"",'1. Live'!AS72-'check-Jul25'!AS72)</f>
        <v/>
      </c>
      <c r="AT72" t="str">
        <f>IF('1. Live'!AT72='check-Jul25'!AT72,"",'1. Live'!AT72-'check-Jul25'!AT72)</f>
        <v/>
      </c>
      <c r="AU72" t="str">
        <f>IF('1. Live'!AU72='check-Jul25'!AU72,"",'1. Live'!AU72-'check-Jul25'!AU72)</f>
        <v/>
      </c>
      <c r="AV72" t="str">
        <f>IF('1. Live'!AV72='check-Jul25'!AV72,"",'1. Live'!AV72-'check-Jul25'!AV72)</f>
        <v/>
      </c>
      <c r="AW72" t="str">
        <f>IF('1. Live'!AW72='check-Jul25'!AW72,"",'1. Live'!AW72-'check-Jul25'!AW72)</f>
        <v/>
      </c>
      <c r="AX72" t="str">
        <f>IF('1. Live'!AX72='check-Jul25'!AX72,"",'1. Live'!AX72-'check-Jul25'!AX72)</f>
        <v/>
      </c>
      <c r="AY72" t="str">
        <f>IF('1. Live'!AY72='check-Jul25'!AY72,"",'1. Live'!AY72-'check-Jul25'!AY72)</f>
        <v/>
      </c>
      <c r="AZ72" t="str">
        <f>IF('1. Live'!AZ72='check-Jul25'!AZ72,"",'1. Live'!AZ72-'check-Jul25'!AZ72)</f>
        <v/>
      </c>
      <c r="BA72" t="str">
        <f>IF('1. Live'!BA72='check-Jul25'!BA72,"",'1. Live'!BA72-'check-Jul25'!BA72)</f>
        <v/>
      </c>
      <c r="BB72" t="str">
        <f>IF('1. Live'!BB72='check-Jul25'!BB72,"",'1. Live'!BB72-'check-Jul25'!BB72)</f>
        <v/>
      </c>
      <c r="BC72" t="str">
        <f>IF('1. Live'!BC72='check-Jul25'!BC72,"",'1. Live'!BC72-'check-Jul25'!BC72)</f>
        <v/>
      </c>
      <c r="BD72" t="str">
        <f>IF('1. Live'!BD72='check-Jul25'!BD72,"",'1. Live'!BD72-'check-Jul25'!BD72)</f>
        <v/>
      </c>
      <c r="BE72" t="str">
        <f>IF('1. Live'!BE72='check-Jul25'!BE72,"",'1. Live'!BE72-'check-Jul25'!BE72)</f>
        <v/>
      </c>
      <c r="BF72" t="str">
        <f>IF('1. Live'!BF72='check-Jul25'!BF72,"",'1. Live'!BF72-'check-Jul25'!BF72)</f>
        <v/>
      </c>
      <c r="BG72" t="str">
        <f>IF('1. Live'!BG72='check-Jul25'!BG72,"",'1. Live'!BG72-'check-Jul25'!BG72)</f>
        <v/>
      </c>
      <c r="BH72" t="str">
        <f>IF('1. Live'!BH72='check-Jul25'!BH72,"",'1. Live'!BH72-'check-Jul25'!BH72)</f>
        <v/>
      </c>
      <c r="BI72" t="str">
        <f>IF('1. Live'!BI72='check-Jul25'!BI72,"",'1. Live'!BI72-'check-Jul25'!BI72)</f>
        <v/>
      </c>
      <c r="BJ72" t="str">
        <f>IF('1. Live'!BJ72='check-Jul25'!BJ72,"",'1. Live'!BJ72-'check-Jul25'!BJ72)</f>
        <v/>
      </c>
      <c r="BK72" t="str">
        <f>IF('1. Live'!BK72='check-Jul25'!BK72,"",'1. Live'!BK72-'check-Jul25'!BK72)</f>
        <v/>
      </c>
      <c r="BL72" t="str">
        <f>IF('1. Live'!BL72='check-Jul25'!BL72,"",'1. Live'!BL72-'check-Jul25'!BL72)</f>
        <v/>
      </c>
      <c r="BM72" t="str">
        <f>IF('1. Live'!BM72='check-Jul25'!BM72,"",'1. Live'!BM72-'check-Jul25'!BM72)</f>
        <v/>
      </c>
      <c r="BN72" t="str">
        <f>IF('1. Live'!BN72='check-Jul25'!BN72,"",'1. Live'!BN72-'check-Jul25'!BN72)</f>
        <v/>
      </c>
      <c r="BO72" t="str">
        <f>IF('1. Live'!BO72='check-Jul25'!BO72,"",'1. Live'!BO72-'check-Jul25'!BO72)</f>
        <v/>
      </c>
      <c r="BP72" t="str">
        <f>IF('1. Live'!BP72='check-Jul25'!BP72,"",'1. Live'!BP72-'check-Jul25'!BP72)</f>
        <v/>
      </c>
      <c r="BQ72" t="str">
        <f>IF('1. Live'!BQ72='check-Jul25'!BQ72,"",'1. Live'!BQ72-'check-Jul25'!BQ72)</f>
        <v/>
      </c>
      <c r="BR72" t="str">
        <f>IF('1. Live'!BR72='check-Jul25'!BR72,"",'1. Live'!BR72-'check-Jul25'!BR72)</f>
        <v/>
      </c>
      <c r="BS72" t="str">
        <f>IF('1. Live'!BS72='check-Jul25'!BS72,"",'1. Live'!BS72-'check-Jul25'!BS72)</f>
        <v/>
      </c>
      <c r="BT72" t="str">
        <f>IF('1. Live'!BT72='check-Jul25'!BT72,"",'1. Live'!BT72-'check-Jul25'!BT72)</f>
        <v/>
      </c>
      <c r="BU72" t="str">
        <f>IF('1. Live'!BU72='check-Jul25'!BU72,"",'1. Live'!BU72-'check-Jul25'!BU72)</f>
        <v/>
      </c>
      <c r="BV72" t="str">
        <f>IF('1. Live'!BV72='check-Jul25'!BV72,"",'1. Live'!BV72-'check-Jul25'!BV72)</f>
        <v/>
      </c>
      <c r="BW72" t="str">
        <f>IF('1. Live'!BW72='check-Jul25'!BW72,"",'1. Live'!BW72-'check-Jul25'!BW72)</f>
        <v/>
      </c>
      <c r="BX72" t="str">
        <f>IF('1. Live'!BX72='check-Jul25'!BX72,"",'1. Live'!BX72-'check-Jul25'!BX72)</f>
        <v/>
      </c>
      <c r="BY72" t="str">
        <f>IF('1. Live'!BY72='check-Jul25'!BY72,"",'1. Live'!BY72-'check-Jul25'!BY72)</f>
        <v/>
      </c>
      <c r="BZ72" t="str">
        <f>IF('1. Live'!BZ72='check-Jul25'!BZ72,"",'1. Live'!BZ72-'check-Jul25'!BZ72)</f>
        <v/>
      </c>
      <c r="CA72" t="str">
        <f>IF('1. Live'!CA72='check-Jul25'!CA72,"",'1. Live'!CA72-'check-Jul25'!CA72)</f>
        <v/>
      </c>
      <c r="CB72" t="str">
        <f>IF('1. Live'!CB72='check-Jul25'!CB72,"",'1. Live'!CB72-'check-Jul25'!CB72)</f>
        <v/>
      </c>
      <c r="CC72" t="str">
        <f>IF('1. Live'!CC72='check-Jul25'!CC72,"",'1. Live'!CC72-'check-Jul25'!CC72)</f>
        <v/>
      </c>
      <c r="CD72" t="str">
        <f>IF('1. Live'!CD72='check-Jul25'!CD72,"",'1. Live'!CD72-'check-Jul25'!CD72)</f>
        <v/>
      </c>
      <c r="CE72" t="str">
        <f>IF('1. Live'!CE72='check-Jul25'!CE72,"",'1. Live'!CE72-'check-Jul25'!CE72)</f>
        <v/>
      </c>
      <c r="CF72" t="str">
        <f>IF('1. Live'!CF72='check-Jul25'!CF72,"",'1. Live'!CF72-'check-Jul25'!CF72)</f>
        <v/>
      </c>
      <c r="CG72" t="str">
        <f>IF('1. Live'!CG72='check-Jul25'!CG72,"",'1. Live'!CG72-'check-Jul25'!CG72)</f>
        <v/>
      </c>
      <c r="CH72" t="str">
        <f>IF('1. Live'!CH72='check-Jul25'!CH72,"",'1. Live'!CH72-'check-Jul25'!CH72)</f>
        <v/>
      </c>
      <c r="CI72" t="str">
        <f>IF('1. Live'!CI72='check-Jul25'!CI72,"",'1. Live'!CI72-'check-Jul25'!CI72)</f>
        <v/>
      </c>
      <c r="CJ72" t="str">
        <f>IF('1. Live'!CJ72='check-Jul25'!CJ72,"",'1. Live'!CJ72-'check-Jul25'!CJ72)</f>
        <v/>
      </c>
      <c r="CK72" t="str">
        <f>IF('1. Live'!CK72='check-Jul25'!CK72,"",'1. Live'!CK72-'check-Jul25'!CK72)</f>
        <v/>
      </c>
      <c r="CL72" t="str">
        <f>IF('1. Live'!CL72='check-Jul25'!CL72,"",'1. Live'!CL72-'check-Jul25'!CL72)</f>
        <v/>
      </c>
      <c r="CM72" t="str">
        <f>IF('1. Live'!CM72='check-Jul25'!CM72,"",'1. Live'!CM72-'check-Jul25'!CM72)</f>
        <v/>
      </c>
      <c r="CN72" t="str">
        <f>IF('1. Live'!CN72='check-Jul25'!CN72,"",'1. Live'!CN72-'check-Jul25'!CN72)</f>
        <v/>
      </c>
      <c r="CO72" t="str">
        <f>IF('1. Live'!CO72='check-Jul25'!CO72,"",'1. Live'!CO72-'check-Jul25'!CO72)</f>
        <v/>
      </c>
      <c r="CP72" t="str">
        <f>IF('1. Live'!CP72='check-Jul25'!CP72,"",'1. Live'!CP72-'check-Jul25'!CP72)</f>
        <v/>
      </c>
      <c r="CQ72" t="str">
        <f>IF('1. Live'!CQ72='check-Jul25'!CQ72,"",'1. Live'!CQ72-'check-Jul25'!CQ72)</f>
        <v/>
      </c>
      <c r="CR72" t="str">
        <f>IF('1. Live'!CR72='check-Jul25'!CR72,"",'1. Live'!CR72-'check-Jul25'!CR72)</f>
        <v/>
      </c>
      <c r="CS72" t="str">
        <f>IF('1. Live'!CS72='check-Jul25'!CS72,"",'1. Live'!CS72-'check-Jul25'!CS72)</f>
        <v/>
      </c>
      <c r="CT72" t="str">
        <f>IF('1. Live'!CT72='check-Jul25'!CT72,"",'1. Live'!CT72-'check-Jul25'!CT72)</f>
        <v/>
      </c>
      <c r="CU72" t="str">
        <f>IF('1. Live'!CU72='check-Jul25'!CU72,"",'1. Live'!CU72-'check-Jul25'!CU72)</f>
        <v/>
      </c>
      <c r="CV72" t="str">
        <f>IF('1. Live'!CV72='check-Jul25'!CV72,"",'1. Live'!CV72-'check-Jul25'!CV72)</f>
        <v/>
      </c>
      <c r="CW72" t="str">
        <f>IF('1. Live'!CW72='check-Jul25'!CW72,"",'1. Live'!CW72-'check-Jul25'!CW72)</f>
        <v/>
      </c>
    </row>
    <row r="73" spans="10:101">
      <c r="J73" t="str">
        <f>IF('1. Live'!J73='check-Jul25'!J73,"",'1. Live'!J73-'check-Jul25'!J73)</f>
        <v/>
      </c>
      <c r="K73" t="str">
        <f>IF('1. Live'!K73='check-Jul25'!K73,"",'1. Live'!K73-'check-Jul25'!K73)</f>
        <v/>
      </c>
      <c r="L73" t="str">
        <f>IF('1. Live'!L73='check-Jul25'!L73,"",'1. Live'!L73-'check-Jul25'!L73)</f>
        <v/>
      </c>
      <c r="M73" t="str">
        <f>IF('1. Live'!M73='check-Jul25'!M73,"",'1. Live'!M73-'check-Jul25'!M73)</f>
        <v/>
      </c>
      <c r="N73" t="str">
        <f>IF('1. Live'!N73='check-Jul25'!N73,"",'1. Live'!N73-'check-Jul25'!N73)</f>
        <v/>
      </c>
      <c r="O73" t="str">
        <f>IF('1. Live'!O73='check-Jul25'!O73,"",'1. Live'!O73-'check-Jul25'!O73)</f>
        <v/>
      </c>
      <c r="P73" t="str">
        <f>IF('1. Live'!P73='check-Jul25'!P73,"",'1. Live'!P73-'check-Jul25'!P73)</f>
        <v/>
      </c>
      <c r="Q73" t="str">
        <f>IF('1. Live'!Q73='check-Jul25'!Q73,"",'1. Live'!Q73-'check-Jul25'!Q73)</f>
        <v/>
      </c>
      <c r="R73" t="str">
        <f>IF('1. Live'!R73='check-Jul25'!R73,"",'1. Live'!R73-'check-Jul25'!R73)</f>
        <v/>
      </c>
      <c r="S73" t="str">
        <f>IF('1. Live'!S73='check-Jul25'!S73,"",'1. Live'!S73-'check-Jul25'!S73)</f>
        <v/>
      </c>
      <c r="T73" t="str">
        <f>IF('1. Live'!T73='check-Jul25'!T73,"",'1. Live'!T73-'check-Jul25'!T73)</f>
        <v/>
      </c>
      <c r="U73" t="str">
        <f>IF('1. Live'!U73='check-Jul25'!U73,"",'1. Live'!U73-'check-Jul25'!U73)</f>
        <v/>
      </c>
      <c r="V73" t="str">
        <f>IF('1. Live'!V73='check-Jul25'!V73,"",'1. Live'!V73-'check-Jul25'!V73)</f>
        <v/>
      </c>
      <c r="W73" t="str">
        <f>IF('1. Live'!W73='check-Jul25'!W73,"",'1. Live'!W73-'check-Jul25'!W73)</f>
        <v/>
      </c>
      <c r="X73" t="str">
        <f>IF('1. Live'!X73='check-Jul25'!X73,"",'1. Live'!X73-'check-Jul25'!X73)</f>
        <v/>
      </c>
      <c r="Y73" t="str">
        <f>IF('1. Live'!Y73='check-Jul25'!Y73,"",'1. Live'!Y73-'check-Jul25'!Y73)</f>
        <v/>
      </c>
      <c r="Z73" t="str">
        <f>IF('1. Live'!Z73='check-Jul25'!Z73,"",'1. Live'!Z73-'check-Jul25'!Z73)</f>
        <v/>
      </c>
      <c r="AA73" t="str">
        <f>IF('1. Live'!AA73='check-Jul25'!AA73,"",'1. Live'!AA73-'check-Jul25'!AA73)</f>
        <v/>
      </c>
      <c r="AB73" t="str">
        <f>IF('1. Live'!AB73='check-Jul25'!AB73,"",'1. Live'!AB73-'check-Jul25'!AB73)</f>
        <v/>
      </c>
      <c r="AC73" t="str">
        <f>IF('1. Live'!AC73='check-Jul25'!AC73,"",'1. Live'!AC73-'check-Jul25'!AC73)</f>
        <v/>
      </c>
      <c r="AD73" t="str">
        <f>IF('1. Live'!AD73='check-Jul25'!AD73,"",'1. Live'!AD73-'check-Jul25'!AD73)</f>
        <v/>
      </c>
      <c r="AE73" t="str">
        <f>IF('1. Live'!AE73='check-Jul25'!AE73,"",'1. Live'!AE73-'check-Jul25'!AE73)</f>
        <v/>
      </c>
      <c r="AF73" t="str">
        <f>IF('1. Live'!AF73='check-Jul25'!AF73,"",'1. Live'!AF73-'check-Jul25'!AF73)</f>
        <v/>
      </c>
      <c r="AG73" t="str">
        <f>IF('1. Live'!AG73='check-Jul25'!AG73,"",'1. Live'!AG73-'check-Jul25'!AG73)</f>
        <v/>
      </c>
      <c r="AH73" t="str">
        <f>IF('1. Live'!AH73='check-Jul25'!AH73,"",'1. Live'!AH73-'check-Jul25'!AH73)</f>
        <v/>
      </c>
      <c r="AI73" t="str">
        <f>IF('1. Live'!AI73='check-Jul25'!AI73,"",'1. Live'!AI73-'check-Jul25'!AI73)</f>
        <v/>
      </c>
      <c r="AJ73" t="str">
        <f>IF('1. Live'!AJ73='check-Jul25'!AJ73,"",'1. Live'!AJ73-'check-Jul25'!AJ73)</f>
        <v/>
      </c>
      <c r="AK73" t="str">
        <f>IF('1. Live'!AK73='check-Jul25'!AK73,"",'1. Live'!AK73-'check-Jul25'!AK73)</f>
        <v/>
      </c>
      <c r="AL73" t="str">
        <f>IF('1. Live'!AL73='check-Jul25'!AL73,"",'1. Live'!AL73-'check-Jul25'!AL73)</f>
        <v/>
      </c>
      <c r="AM73" t="str">
        <f>IF('1. Live'!AM73='check-Jul25'!AM73,"",'1. Live'!AM73-'check-Jul25'!AM73)</f>
        <v/>
      </c>
      <c r="AN73" t="str">
        <f>IF('1. Live'!AN73='check-Jul25'!AN73,"",'1. Live'!AN73-'check-Jul25'!AN73)</f>
        <v/>
      </c>
      <c r="AO73" t="str">
        <f>IF('1. Live'!AO73='check-Jul25'!AO73,"",'1. Live'!AO73-'check-Jul25'!AO73)</f>
        <v/>
      </c>
      <c r="AP73" t="str">
        <f>IF('1. Live'!AP73='check-Jul25'!AP73,"",'1. Live'!AP73-'check-Jul25'!AP73)</f>
        <v/>
      </c>
      <c r="AQ73" t="str">
        <f>IF('1. Live'!AQ73='check-Jul25'!AQ73,"",'1. Live'!AQ73-'check-Jul25'!AQ73)</f>
        <v/>
      </c>
      <c r="AR73" t="str">
        <f>IF('1. Live'!AR73='check-Jul25'!AR73,"",'1. Live'!AR73-'check-Jul25'!AR73)</f>
        <v/>
      </c>
      <c r="AS73" t="str">
        <f>IF('1. Live'!AS73='check-Jul25'!AS73,"",'1. Live'!AS73-'check-Jul25'!AS73)</f>
        <v/>
      </c>
      <c r="AT73" t="str">
        <f>IF('1. Live'!AT73='check-Jul25'!AT73,"",'1. Live'!AT73-'check-Jul25'!AT73)</f>
        <v/>
      </c>
      <c r="AU73" t="str">
        <f>IF('1. Live'!AU73='check-Jul25'!AU73,"",'1. Live'!AU73-'check-Jul25'!AU73)</f>
        <v/>
      </c>
      <c r="AV73" t="str">
        <f>IF('1. Live'!AV73='check-Jul25'!AV73,"",'1. Live'!AV73-'check-Jul25'!AV73)</f>
        <v/>
      </c>
      <c r="AW73" t="str">
        <f>IF('1. Live'!AW73='check-Jul25'!AW73,"",'1. Live'!AW73-'check-Jul25'!AW73)</f>
        <v/>
      </c>
      <c r="AX73" t="str">
        <f>IF('1. Live'!AX73='check-Jul25'!AX73,"",'1. Live'!AX73-'check-Jul25'!AX73)</f>
        <v/>
      </c>
      <c r="AY73" t="str">
        <f>IF('1. Live'!AY73='check-Jul25'!AY73,"",'1. Live'!AY73-'check-Jul25'!AY73)</f>
        <v/>
      </c>
      <c r="AZ73" t="str">
        <f>IF('1. Live'!AZ73='check-Jul25'!AZ73,"",'1. Live'!AZ73-'check-Jul25'!AZ73)</f>
        <v/>
      </c>
      <c r="BA73" t="str">
        <f>IF('1. Live'!BA73='check-Jul25'!BA73,"",'1. Live'!BA73-'check-Jul25'!BA73)</f>
        <v/>
      </c>
      <c r="BB73" t="str">
        <f>IF('1. Live'!BB73='check-Jul25'!BB73,"",'1. Live'!BB73-'check-Jul25'!BB73)</f>
        <v/>
      </c>
      <c r="BC73" t="str">
        <f>IF('1. Live'!BC73='check-Jul25'!BC73,"",'1. Live'!BC73-'check-Jul25'!BC73)</f>
        <v/>
      </c>
      <c r="BD73" t="str">
        <f>IF('1. Live'!BD73='check-Jul25'!BD73,"",'1. Live'!BD73-'check-Jul25'!BD73)</f>
        <v/>
      </c>
      <c r="BE73" t="str">
        <f>IF('1. Live'!BE73='check-Jul25'!BE73,"",'1. Live'!BE73-'check-Jul25'!BE73)</f>
        <v/>
      </c>
      <c r="BF73" t="str">
        <f>IF('1. Live'!BF73='check-Jul25'!BF73,"",'1. Live'!BF73-'check-Jul25'!BF73)</f>
        <v/>
      </c>
      <c r="BG73" t="str">
        <f>IF('1. Live'!BG73='check-Jul25'!BG73,"",'1. Live'!BG73-'check-Jul25'!BG73)</f>
        <v/>
      </c>
      <c r="BH73" t="str">
        <f>IF('1. Live'!BH73='check-Jul25'!BH73,"",'1. Live'!BH73-'check-Jul25'!BH73)</f>
        <v/>
      </c>
      <c r="BI73" t="str">
        <f>IF('1. Live'!BI73='check-Jul25'!BI73,"",'1. Live'!BI73-'check-Jul25'!BI73)</f>
        <v/>
      </c>
      <c r="BJ73" t="str">
        <f>IF('1. Live'!BJ73='check-Jul25'!BJ73,"",'1. Live'!BJ73-'check-Jul25'!BJ73)</f>
        <v/>
      </c>
      <c r="BK73" t="str">
        <f>IF('1. Live'!BK73='check-Jul25'!BK73,"",'1. Live'!BK73-'check-Jul25'!BK73)</f>
        <v/>
      </c>
      <c r="BL73" t="str">
        <f>IF('1. Live'!BL73='check-Jul25'!BL73,"",'1. Live'!BL73-'check-Jul25'!BL73)</f>
        <v/>
      </c>
      <c r="BM73" t="str">
        <f>IF('1. Live'!BM73='check-Jul25'!BM73,"",'1. Live'!BM73-'check-Jul25'!BM73)</f>
        <v/>
      </c>
      <c r="BN73" t="str">
        <f>IF('1. Live'!BN73='check-Jul25'!BN73,"",'1. Live'!BN73-'check-Jul25'!BN73)</f>
        <v/>
      </c>
      <c r="BO73" t="str">
        <f>IF('1. Live'!BO73='check-Jul25'!BO73,"",'1. Live'!BO73-'check-Jul25'!BO73)</f>
        <v/>
      </c>
      <c r="BP73" t="str">
        <f>IF('1. Live'!BP73='check-Jul25'!BP73,"",'1. Live'!BP73-'check-Jul25'!BP73)</f>
        <v/>
      </c>
      <c r="BQ73" t="str">
        <f>IF('1. Live'!BQ73='check-Jul25'!BQ73,"",'1. Live'!BQ73-'check-Jul25'!BQ73)</f>
        <v/>
      </c>
      <c r="BR73" t="str">
        <f>IF('1. Live'!BR73='check-Jul25'!BR73,"",'1. Live'!BR73-'check-Jul25'!BR73)</f>
        <v/>
      </c>
      <c r="BS73" t="str">
        <f>IF('1. Live'!BS73='check-Jul25'!BS73,"",'1. Live'!BS73-'check-Jul25'!BS73)</f>
        <v/>
      </c>
      <c r="BT73" t="str">
        <f>IF('1. Live'!BT73='check-Jul25'!BT73,"",'1. Live'!BT73-'check-Jul25'!BT73)</f>
        <v/>
      </c>
      <c r="BU73" t="str">
        <f>IF('1. Live'!BU73='check-Jul25'!BU73,"",'1. Live'!BU73-'check-Jul25'!BU73)</f>
        <v/>
      </c>
      <c r="BV73" t="str">
        <f>IF('1. Live'!BV73='check-Jul25'!BV73,"",'1. Live'!BV73-'check-Jul25'!BV73)</f>
        <v/>
      </c>
      <c r="BW73" t="str">
        <f>IF('1. Live'!BW73='check-Jul25'!BW73,"",'1. Live'!BW73-'check-Jul25'!BW73)</f>
        <v/>
      </c>
      <c r="BX73" t="str">
        <f>IF('1. Live'!BX73='check-Jul25'!BX73,"",'1. Live'!BX73-'check-Jul25'!BX73)</f>
        <v/>
      </c>
      <c r="BY73" t="str">
        <f>IF('1. Live'!BY73='check-Jul25'!BY73,"",'1. Live'!BY73-'check-Jul25'!BY73)</f>
        <v/>
      </c>
      <c r="BZ73" t="str">
        <f>IF('1. Live'!BZ73='check-Jul25'!BZ73,"",'1. Live'!BZ73-'check-Jul25'!BZ73)</f>
        <v/>
      </c>
      <c r="CA73" t="str">
        <f>IF('1. Live'!CA73='check-Jul25'!CA73,"",'1. Live'!CA73-'check-Jul25'!CA73)</f>
        <v/>
      </c>
      <c r="CB73" t="str">
        <f>IF('1. Live'!CB73='check-Jul25'!CB73,"",'1. Live'!CB73-'check-Jul25'!CB73)</f>
        <v/>
      </c>
      <c r="CC73" t="str">
        <f>IF('1. Live'!CC73='check-Jul25'!CC73,"",'1. Live'!CC73-'check-Jul25'!CC73)</f>
        <v/>
      </c>
      <c r="CD73" t="str">
        <f>IF('1. Live'!CD73='check-Jul25'!CD73,"",'1. Live'!CD73-'check-Jul25'!CD73)</f>
        <v/>
      </c>
      <c r="CE73" t="str">
        <f>IF('1. Live'!CE73='check-Jul25'!CE73,"",'1. Live'!CE73-'check-Jul25'!CE73)</f>
        <v/>
      </c>
      <c r="CF73" t="str">
        <f>IF('1. Live'!CF73='check-Jul25'!CF73,"",'1. Live'!CF73-'check-Jul25'!CF73)</f>
        <v/>
      </c>
      <c r="CG73" t="str">
        <f>IF('1. Live'!CG73='check-Jul25'!CG73,"",'1. Live'!CG73-'check-Jul25'!CG73)</f>
        <v/>
      </c>
      <c r="CH73" t="str">
        <f>IF('1. Live'!CH73='check-Jul25'!CH73,"",'1. Live'!CH73-'check-Jul25'!CH73)</f>
        <v/>
      </c>
      <c r="CI73" t="str">
        <f>IF('1. Live'!CI73='check-Jul25'!CI73,"",'1. Live'!CI73-'check-Jul25'!CI73)</f>
        <v/>
      </c>
      <c r="CJ73" t="str">
        <f>IF('1. Live'!CJ73='check-Jul25'!CJ73,"",'1. Live'!CJ73-'check-Jul25'!CJ73)</f>
        <v/>
      </c>
      <c r="CK73" t="str">
        <f>IF('1. Live'!CK73='check-Jul25'!CK73,"",'1. Live'!CK73-'check-Jul25'!CK73)</f>
        <v/>
      </c>
      <c r="CL73" t="str">
        <f>IF('1. Live'!CL73='check-Jul25'!CL73,"",'1. Live'!CL73-'check-Jul25'!CL73)</f>
        <v/>
      </c>
      <c r="CM73" t="str">
        <f>IF('1. Live'!CM73='check-Jul25'!CM73,"",'1. Live'!CM73-'check-Jul25'!CM73)</f>
        <v/>
      </c>
      <c r="CN73" t="str">
        <f>IF('1. Live'!CN73='check-Jul25'!CN73,"",'1. Live'!CN73-'check-Jul25'!CN73)</f>
        <v/>
      </c>
      <c r="CO73" t="str">
        <f>IF('1. Live'!CO73='check-Jul25'!CO73,"",'1. Live'!CO73-'check-Jul25'!CO73)</f>
        <v/>
      </c>
      <c r="CP73" t="str">
        <f>IF('1. Live'!CP73='check-Jul25'!CP73,"",'1. Live'!CP73-'check-Jul25'!CP73)</f>
        <v/>
      </c>
      <c r="CQ73" t="str">
        <f>IF('1. Live'!CQ73='check-Jul25'!CQ73,"",'1. Live'!CQ73-'check-Jul25'!CQ73)</f>
        <v/>
      </c>
      <c r="CR73" t="str">
        <f>IF('1. Live'!CR73='check-Jul25'!CR73,"",'1. Live'!CR73-'check-Jul25'!CR73)</f>
        <v/>
      </c>
      <c r="CS73" t="str">
        <f>IF('1. Live'!CS73='check-Jul25'!CS73,"",'1. Live'!CS73-'check-Jul25'!CS73)</f>
        <v/>
      </c>
      <c r="CT73" t="str">
        <f>IF('1. Live'!CT73='check-Jul25'!CT73,"",'1. Live'!CT73-'check-Jul25'!CT73)</f>
        <v/>
      </c>
      <c r="CU73" t="str">
        <f>IF('1. Live'!CU73='check-Jul25'!CU73,"",'1. Live'!CU73-'check-Jul25'!CU73)</f>
        <v/>
      </c>
      <c r="CV73" t="str">
        <f>IF('1. Live'!CV73='check-Jul25'!CV73,"",'1. Live'!CV73-'check-Jul25'!CV73)</f>
        <v/>
      </c>
      <c r="CW73" t="str">
        <f>IF('1. Live'!CW73='check-Jul25'!CW73,"",'1. Live'!CW73-'check-Jul25'!CW73)</f>
        <v/>
      </c>
    </row>
    <row r="74" spans="10:101">
      <c r="J74" t="str">
        <f>IF('1. Live'!J74='check-Jul25'!J74,"",'1. Live'!J74-'check-Jul25'!J74)</f>
        <v/>
      </c>
      <c r="K74" t="str">
        <f>IF('1. Live'!K74='check-Jul25'!K74,"",'1. Live'!K74-'check-Jul25'!K74)</f>
        <v/>
      </c>
      <c r="L74" t="str">
        <f>IF('1. Live'!L74='check-Jul25'!L74,"",'1. Live'!L74-'check-Jul25'!L74)</f>
        <v/>
      </c>
      <c r="M74" t="str">
        <f>IF('1. Live'!M74='check-Jul25'!M74,"",'1. Live'!M74-'check-Jul25'!M74)</f>
        <v/>
      </c>
      <c r="N74" t="str">
        <f>IF('1. Live'!N74='check-Jul25'!N74,"",'1. Live'!N74-'check-Jul25'!N74)</f>
        <v/>
      </c>
      <c r="O74" t="str">
        <f>IF('1. Live'!O74='check-Jul25'!O74,"",'1. Live'!O74-'check-Jul25'!O74)</f>
        <v/>
      </c>
      <c r="P74" t="str">
        <f>IF('1. Live'!P74='check-Jul25'!P74,"",'1. Live'!P74-'check-Jul25'!P74)</f>
        <v/>
      </c>
      <c r="Q74" t="str">
        <f>IF('1. Live'!Q74='check-Jul25'!Q74,"",'1. Live'!Q74-'check-Jul25'!Q74)</f>
        <v/>
      </c>
      <c r="R74" t="str">
        <f>IF('1. Live'!R74='check-Jul25'!R74,"",'1. Live'!R74-'check-Jul25'!R74)</f>
        <v/>
      </c>
      <c r="S74" t="str">
        <f>IF('1. Live'!S74='check-Jul25'!S74,"",'1. Live'!S74-'check-Jul25'!S74)</f>
        <v/>
      </c>
      <c r="T74" t="str">
        <f>IF('1. Live'!T74='check-Jul25'!T74,"",'1. Live'!T74-'check-Jul25'!T74)</f>
        <v/>
      </c>
      <c r="U74" t="str">
        <f>IF('1. Live'!U74='check-Jul25'!U74,"",'1. Live'!U74-'check-Jul25'!U74)</f>
        <v/>
      </c>
      <c r="V74" t="str">
        <f>IF('1. Live'!V74='check-Jul25'!V74,"",'1. Live'!V74-'check-Jul25'!V74)</f>
        <v/>
      </c>
      <c r="W74" t="str">
        <f>IF('1. Live'!W74='check-Jul25'!W74,"",'1. Live'!W74-'check-Jul25'!W74)</f>
        <v/>
      </c>
      <c r="X74" t="str">
        <f>IF('1. Live'!X74='check-Jul25'!X74,"",'1. Live'!X74-'check-Jul25'!X74)</f>
        <v/>
      </c>
      <c r="Y74" t="str">
        <f>IF('1. Live'!Y74='check-Jul25'!Y74,"",'1. Live'!Y74-'check-Jul25'!Y74)</f>
        <v/>
      </c>
      <c r="Z74" t="str">
        <f>IF('1. Live'!Z74='check-Jul25'!Z74,"",'1. Live'!Z74-'check-Jul25'!Z74)</f>
        <v/>
      </c>
      <c r="AA74" t="str">
        <f>IF('1. Live'!AA74='check-Jul25'!AA74,"",'1. Live'!AA74-'check-Jul25'!AA74)</f>
        <v/>
      </c>
      <c r="AB74" t="str">
        <f>IF('1. Live'!AB74='check-Jul25'!AB74,"",'1. Live'!AB74-'check-Jul25'!AB74)</f>
        <v/>
      </c>
      <c r="AC74" t="str">
        <f>IF('1. Live'!AC74='check-Jul25'!AC74,"",'1. Live'!AC74-'check-Jul25'!AC74)</f>
        <v/>
      </c>
      <c r="AD74" t="str">
        <f>IF('1. Live'!AD74='check-Jul25'!AD74,"",'1. Live'!AD74-'check-Jul25'!AD74)</f>
        <v/>
      </c>
      <c r="AE74" t="str">
        <f>IF('1. Live'!AE74='check-Jul25'!AE74,"",'1. Live'!AE74-'check-Jul25'!AE74)</f>
        <v/>
      </c>
      <c r="AF74" t="str">
        <f>IF('1. Live'!AF74='check-Jul25'!AF74,"",'1. Live'!AF74-'check-Jul25'!AF74)</f>
        <v/>
      </c>
      <c r="AG74" t="str">
        <f>IF('1. Live'!AG74='check-Jul25'!AG74,"",'1. Live'!AG74-'check-Jul25'!AG74)</f>
        <v/>
      </c>
      <c r="AH74" t="str">
        <f>IF('1. Live'!AH74='check-Jul25'!AH74,"",'1. Live'!AH74-'check-Jul25'!AH74)</f>
        <v/>
      </c>
      <c r="AI74" t="str">
        <f>IF('1. Live'!AI74='check-Jul25'!AI74,"",'1. Live'!AI74-'check-Jul25'!AI74)</f>
        <v/>
      </c>
      <c r="AJ74" t="str">
        <f>IF('1. Live'!AJ74='check-Jul25'!AJ74,"",'1. Live'!AJ74-'check-Jul25'!AJ74)</f>
        <v/>
      </c>
      <c r="AK74" t="str">
        <f>IF('1. Live'!AK74='check-Jul25'!AK74,"",'1. Live'!AK74-'check-Jul25'!AK74)</f>
        <v/>
      </c>
      <c r="AL74" t="str">
        <f>IF('1. Live'!AL74='check-Jul25'!AL74,"",'1. Live'!AL74-'check-Jul25'!AL74)</f>
        <v/>
      </c>
      <c r="AM74" t="str">
        <f>IF('1. Live'!AM74='check-Jul25'!AM74,"",'1. Live'!AM74-'check-Jul25'!AM74)</f>
        <v/>
      </c>
      <c r="AN74" t="str">
        <f>IF('1. Live'!AN74='check-Jul25'!AN74,"",'1. Live'!AN74-'check-Jul25'!AN74)</f>
        <v/>
      </c>
      <c r="AO74" t="str">
        <f>IF('1. Live'!AO74='check-Jul25'!AO74,"",'1. Live'!AO74-'check-Jul25'!AO74)</f>
        <v/>
      </c>
      <c r="AP74" t="str">
        <f>IF('1. Live'!AP74='check-Jul25'!AP74,"",'1. Live'!AP74-'check-Jul25'!AP74)</f>
        <v/>
      </c>
      <c r="AQ74" t="str">
        <f>IF('1. Live'!AQ74='check-Jul25'!AQ74,"",'1. Live'!AQ74-'check-Jul25'!AQ74)</f>
        <v/>
      </c>
      <c r="AR74" t="str">
        <f>IF('1. Live'!AR74='check-Jul25'!AR74,"",'1. Live'!AR74-'check-Jul25'!AR74)</f>
        <v/>
      </c>
      <c r="AS74" t="str">
        <f>IF('1. Live'!AS74='check-Jul25'!AS74,"",'1. Live'!AS74-'check-Jul25'!AS74)</f>
        <v/>
      </c>
      <c r="AT74" t="str">
        <f>IF('1. Live'!AT74='check-Jul25'!AT74,"",'1. Live'!AT74-'check-Jul25'!AT74)</f>
        <v/>
      </c>
      <c r="AU74" t="str">
        <f>IF('1. Live'!AU74='check-Jul25'!AU74,"",'1. Live'!AU74-'check-Jul25'!AU74)</f>
        <v/>
      </c>
      <c r="AV74" t="str">
        <f>IF('1. Live'!AV74='check-Jul25'!AV74,"",'1. Live'!AV74-'check-Jul25'!AV74)</f>
        <v/>
      </c>
      <c r="AW74" t="str">
        <f>IF('1. Live'!AW74='check-Jul25'!AW74,"",'1. Live'!AW74-'check-Jul25'!AW74)</f>
        <v/>
      </c>
      <c r="AX74" t="str">
        <f>IF('1. Live'!AX74='check-Jul25'!AX74,"",'1. Live'!AX74-'check-Jul25'!AX74)</f>
        <v/>
      </c>
      <c r="AY74" t="str">
        <f>IF('1. Live'!AY74='check-Jul25'!AY74,"",'1. Live'!AY74-'check-Jul25'!AY74)</f>
        <v/>
      </c>
      <c r="AZ74" t="str">
        <f>IF('1. Live'!AZ74='check-Jul25'!AZ74,"",'1. Live'!AZ74-'check-Jul25'!AZ74)</f>
        <v/>
      </c>
      <c r="BA74" t="str">
        <f>IF('1. Live'!BA74='check-Jul25'!BA74,"",'1. Live'!BA74-'check-Jul25'!BA74)</f>
        <v/>
      </c>
      <c r="BB74" t="str">
        <f>IF('1. Live'!BB74='check-Jul25'!BB74,"",'1. Live'!BB74-'check-Jul25'!BB74)</f>
        <v/>
      </c>
      <c r="BC74" t="str">
        <f>IF('1. Live'!BC74='check-Jul25'!BC74,"",'1. Live'!BC74-'check-Jul25'!BC74)</f>
        <v/>
      </c>
      <c r="BD74" t="str">
        <f>IF('1. Live'!BD74='check-Jul25'!BD74,"",'1. Live'!BD74-'check-Jul25'!BD74)</f>
        <v/>
      </c>
      <c r="BE74" t="str">
        <f>IF('1. Live'!BE74='check-Jul25'!BE74,"",'1. Live'!BE74-'check-Jul25'!BE74)</f>
        <v/>
      </c>
      <c r="BF74" t="str">
        <f>IF('1. Live'!BF74='check-Jul25'!BF74,"",'1. Live'!BF74-'check-Jul25'!BF74)</f>
        <v/>
      </c>
      <c r="BG74" t="str">
        <f>IF('1. Live'!BG74='check-Jul25'!BG74,"",'1. Live'!BG74-'check-Jul25'!BG74)</f>
        <v/>
      </c>
      <c r="BH74" t="str">
        <f>IF('1. Live'!BH74='check-Jul25'!BH74,"",'1. Live'!BH74-'check-Jul25'!BH74)</f>
        <v/>
      </c>
      <c r="BI74" t="str">
        <f>IF('1. Live'!BI74='check-Jul25'!BI74,"",'1. Live'!BI74-'check-Jul25'!BI74)</f>
        <v/>
      </c>
      <c r="BJ74" t="str">
        <f>IF('1. Live'!BJ74='check-Jul25'!BJ74,"",'1. Live'!BJ74-'check-Jul25'!BJ74)</f>
        <v/>
      </c>
      <c r="BK74" t="str">
        <f>IF('1. Live'!BK74='check-Jul25'!BK74,"",'1. Live'!BK74-'check-Jul25'!BK74)</f>
        <v/>
      </c>
      <c r="BL74" t="str">
        <f>IF('1. Live'!BL74='check-Jul25'!BL74,"",'1. Live'!BL74-'check-Jul25'!BL74)</f>
        <v/>
      </c>
      <c r="BM74" t="str">
        <f>IF('1. Live'!BM74='check-Jul25'!BM74,"",'1. Live'!BM74-'check-Jul25'!BM74)</f>
        <v/>
      </c>
      <c r="BN74" t="str">
        <f>IF('1. Live'!BN74='check-Jul25'!BN74,"",'1. Live'!BN74-'check-Jul25'!BN74)</f>
        <v/>
      </c>
      <c r="BO74" t="str">
        <f>IF('1. Live'!BO74='check-Jul25'!BO74,"",'1. Live'!BO74-'check-Jul25'!BO74)</f>
        <v/>
      </c>
      <c r="BP74" t="str">
        <f>IF('1. Live'!BP74='check-Jul25'!BP74,"",'1. Live'!BP74-'check-Jul25'!BP74)</f>
        <v/>
      </c>
      <c r="BQ74" t="str">
        <f>IF('1. Live'!BQ74='check-Jul25'!BQ74,"",'1. Live'!BQ74-'check-Jul25'!BQ74)</f>
        <v/>
      </c>
      <c r="BR74" t="str">
        <f>IF('1. Live'!BR74='check-Jul25'!BR74,"",'1. Live'!BR74-'check-Jul25'!BR74)</f>
        <v/>
      </c>
      <c r="BS74" t="str">
        <f>IF('1. Live'!BS74='check-Jul25'!BS74,"",'1. Live'!BS74-'check-Jul25'!BS74)</f>
        <v/>
      </c>
      <c r="BT74" t="str">
        <f>IF('1. Live'!BT74='check-Jul25'!BT74,"",'1. Live'!BT74-'check-Jul25'!BT74)</f>
        <v/>
      </c>
      <c r="BU74" t="str">
        <f>IF('1. Live'!BU74='check-Jul25'!BU74,"",'1. Live'!BU74-'check-Jul25'!BU74)</f>
        <v/>
      </c>
      <c r="BV74" t="str">
        <f>IF('1. Live'!BV74='check-Jul25'!BV74,"",'1. Live'!BV74-'check-Jul25'!BV74)</f>
        <v/>
      </c>
      <c r="BW74" t="str">
        <f>IF('1. Live'!BW74='check-Jul25'!BW74,"",'1. Live'!BW74-'check-Jul25'!BW74)</f>
        <v/>
      </c>
      <c r="BX74" t="str">
        <f>IF('1. Live'!BX74='check-Jul25'!BX74,"",'1. Live'!BX74-'check-Jul25'!BX74)</f>
        <v/>
      </c>
      <c r="BY74" t="str">
        <f>IF('1. Live'!BY74='check-Jul25'!BY74,"",'1. Live'!BY74-'check-Jul25'!BY74)</f>
        <v/>
      </c>
      <c r="BZ74" t="str">
        <f>IF('1. Live'!BZ74='check-Jul25'!BZ74,"",'1. Live'!BZ74-'check-Jul25'!BZ74)</f>
        <v/>
      </c>
      <c r="CA74" t="str">
        <f>IF('1. Live'!CA74='check-Jul25'!CA74,"",'1. Live'!CA74-'check-Jul25'!CA74)</f>
        <v/>
      </c>
      <c r="CB74" t="str">
        <f>IF('1. Live'!CB74='check-Jul25'!CB74,"",'1. Live'!CB74-'check-Jul25'!CB74)</f>
        <v/>
      </c>
      <c r="CC74" t="str">
        <f>IF('1. Live'!CC74='check-Jul25'!CC74,"",'1. Live'!CC74-'check-Jul25'!CC74)</f>
        <v/>
      </c>
      <c r="CD74" t="str">
        <f>IF('1. Live'!CD74='check-Jul25'!CD74,"",'1. Live'!CD74-'check-Jul25'!CD74)</f>
        <v/>
      </c>
      <c r="CE74" t="str">
        <f>IF('1. Live'!CE74='check-Jul25'!CE74,"",'1. Live'!CE74-'check-Jul25'!CE74)</f>
        <v/>
      </c>
      <c r="CF74" t="str">
        <f>IF('1. Live'!CF74='check-Jul25'!CF74,"",'1. Live'!CF74-'check-Jul25'!CF74)</f>
        <v/>
      </c>
      <c r="CG74" t="str">
        <f>IF('1. Live'!CG74='check-Jul25'!CG74,"",'1. Live'!CG74-'check-Jul25'!CG74)</f>
        <v/>
      </c>
      <c r="CH74" t="str">
        <f>IF('1. Live'!CH74='check-Jul25'!CH74,"",'1. Live'!CH74-'check-Jul25'!CH74)</f>
        <v/>
      </c>
      <c r="CI74" t="str">
        <f>IF('1. Live'!CI74='check-Jul25'!CI74,"",'1. Live'!CI74-'check-Jul25'!CI74)</f>
        <v/>
      </c>
      <c r="CJ74" t="str">
        <f>IF('1. Live'!CJ74='check-Jul25'!CJ74,"",'1. Live'!CJ74-'check-Jul25'!CJ74)</f>
        <v/>
      </c>
      <c r="CK74" t="str">
        <f>IF('1. Live'!CK74='check-Jul25'!CK74,"",'1. Live'!CK74-'check-Jul25'!CK74)</f>
        <v/>
      </c>
      <c r="CL74" t="str">
        <f>IF('1. Live'!CL74='check-Jul25'!CL74,"",'1. Live'!CL74-'check-Jul25'!CL74)</f>
        <v/>
      </c>
      <c r="CM74" t="str">
        <f>IF('1. Live'!CM74='check-Jul25'!CM74,"",'1. Live'!CM74-'check-Jul25'!CM74)</f>
        <v/>
      </c>
      <c r="CN74" t="str">
        <f>IF('1. Live'!CN74='check-Jul25'!CN74,"",'1. Live'!CN74-'check-Jul25'!CN74)</f>
        <v/>
      </c>
      <c r="CO74" t="str">
        <f>IF('1. Live'!CO74='check-Jul25'!CO74,"",'1. Live'!CO74-'check-Jul25'!CO74)</f>
        <v/>
      </c>
      <c r="CP74" t="str">
        <f>IF('1. Live'!CP74='check-Jul25'!CP74,"",'1. Live'!CP74-'check-Jul25'!CP74)</f>
        <v/>
      </c>
      <c r="CQ74" t="str">
        <f>IF('1. Live'!CQ74='check-Jul25'!CQ74,"",'1. Live'!CQ74-'check-Jul25'!CQ74)</f>
        <v/>
      </c>
      <c r="CR74" t="str">
        <f>IF('1. Live'!CR74='check-Jul25'!CR74,"",'1. Live'!CR74-'check-Jul25'!CR74)</f>
        <v/>
      </c>
      <c r="CS74" t="str">
        <f>IF('1. Live'!CS74='check-Jul25'!CS74,"",'1. Live'!CS74-'check-Jul25'!CS74)</f>
        <v/>
      </c>
      <c r="CT74" t="str">
        <f>IF('1. Live'!CT74='check-Jul25'!CT74,"",'1. Live'!CT74-'check-Jul25'!CT74)</f>
        <v/>
      </c>
      <c r="CU74" t="str">
        <f>IF('1. Live'!CU74='check-Jul25'!CU74,"",'1. Live'!CU74-'check-Jul25'!CU74)</f>
        <v/>
      </c>
      <c r="CV74" t="str">
        <f>IF('1. Live'!CV74='check-Jul25'!CV74,"",'1. Live'!CV74-'check-Jul25'!CV74)</f>
        <v/>
      </c>
      <c r="CW74" t="str">
        <f>IF('1. Live'!CW74='check-Jul25'!CW74,"",'1. Live'!CW74-'check-Jul25'!CW74)</f>
        <v/>
      </c>
    </row>
    <row r="75" spans="10:101">
      <c r="J75" t="str">
        <f>IF('1. Live'!J75='check-Jul25'!J75,"",'1. Live'!J75-'check-Jul25'!J75)</f>
        <v/>
      </c>
      <c r="K75" t="str">
        <f>IF('1. Live'!K75='check-Jul25'!K75,"",'1. Live'!K75-'check-Jul25'!K75)</f>
        <v/>
      </c>
      <c r="L75" t="str">
        <f>IF('1. Live'!L75='check-Jul25'!L75,"",'1. Live'!L75-'check-Jul25'!L75)</f>
        <v/>
      </c>
      <c r="M75" t="str">
        <f>IF('1. Live'!M75='check-Jul25'!M75,"",'1. Live'!M75-'check-Jul25'!M75)</f>
        <v/>
      </c>
      <c r="N75" t="str">
        <f>IF('1. Live'!N75='check-Jul25'!N75,"",'1. Live'!N75-'check-Jul25'!N75)</f>
        <v/>
      </c>
      <c r="O75" t="str">
        <f>IF('1. Live'!O75='check-Jul25'!O75,"",'1. Live'!O75-'check-Jul25'!O75)</f>
        <v/>
      </c>
      <c r="P75" t="str">
        <f>IF('1. Live'!P75='check-Jul25'!P75,"",'1. Live'!P75-'check-Jul25'!P75)</f>
        <v/>
      </c>
      <c r="Q75" t="str">
        <f>IF('1. Live'!Q75='check-Jul25'!Q75,"",'1. Live'!Q75-'check-Jul25'!Q75)</f>
        <v/>
      </c>
      <c r="R75" t="str">
        <f>IF('1. Live'!R75='check-Jul25'!R75,"",'1. Live'!R75-'check-Jul25'!R75)</f>
        <v/>
      </c>
      <c r="S75" t="str">
        <f>IF('1. Live'!S75='check-Jul25'!S75,"",'1. Live'!S75-'check-Jul25'!S75)</f>
        <v/>
      </c>
      <c r="T75" t="str">
        <f>IF('1. Live'!T75='check-Jul25'!T75,"",'1. Live'!T75-'check-Jul25'!T75)</f>
        <v/>
      </c>
      <c r="U75" t="str">
        <f>IF('1. Live'!U75='check-Jul25'!U75,"",'1. Live'!U75-'check-Jul25'!U75)</f>
        <v/>
      </c>
      <c r="V75" t="str">
        <f>IF('1. Live'!V75='check-Jul25'!V75,"",'1. Live'!V75-'check-Jul25'!V75)</f>
        <v/>
      </c>
      <c r="W75" t="str">
        <f>IF('1. Live'!W75='check-Jul25'!W75,"",'1. Live'!W75-'check-Jul25'!W75)</f>
        <v/>
      </c>
      <c r="X75" t="str">
        <f>IF('1. Live'!X75='check-Jul25'!X75,"",'1. Live'!X75-'check-Jul25'!X75)</f>
        <v/>
      </c>
      <c r="Y75" t="str">
        <f>IF('1. Live'!Y75='check-Jul25'!Y75,"",'1. Live'!Y75-'check-Jul25'!Y75)</f>
        <v/>
      </c>
      <c r="Z75" t="str">
        <f>IF('1. Live'!Z75='check-Jul25'!Z75,"",'1. Live'!Z75-'check-Jul25'!Z75)</f>
        <v/>
      </c>
      <c r="AA75" t="str">
        <f>IF('1. Live'!AA75='check-Jul25'!AA75,"",'1. Live'!AA75-'check-Jul25'!AA75)</f>
        <v/>
      </c>
      <c r="AB75" t="str">
        <f>IF('1. Live'!AB75='check-Jul25'!AB75,"",'1. Live'!AB75-'check-Jul25'!AB75)</f>
        <v/>
      </c>
      <c r="AC75" t="str">
        <f>IF('1. Live'!AC75='check-Jul25'!AC75,"",'1. Live'!AC75-'check-Jul25'!AC75)</f>
        <v/>
      </c>
      <c r="AD75" t="str">
        <f>IF('1. Live'!AD75='check-Jul25'!AD75,"",'1. Live'!AD75-'check-Jul25'!AD75)</f>
        <v/>
      </c>
      <c r="AE75" t="str">
        <f>IF('1. Live'!AE75='check-Jul25'!AE75,"",'1. Live'!AE75-'check-Jul25'!AE75)</f>
        <v/>
      </c>
      <c r="AF75" t="str">
        <f>IF('1. Live'!AF75='check-Jul25'!AF75,"",'1. Live'!AF75-'check-Jul25'!AF75)</f>
        <v/>
      </c>
      <c r="AG75" t="str">
        <f>IF('1. Live'!AG75='check-Jul25'!AG75,"",'1. Live'!AG75-'check-Jul25'!AG75)</f>
        <v/>
      </c>
      <c r="AH75" t="str">
        <f>IF('1. Live'!AH75='check-Jul25'!AH75,"",'1. Live'!AH75-'check-Jul25'!AH75)</f>
        <v/>
      </c>
      <c r="AI75" t="str">
        <f>IF('1. Live'!AI75='check-Jul25'!AI75,"",'1. Live'!AI75-'check-Jul25'!AI75)</f>
        <v/>
      </c>
      <c r="AJ75" t="str">
        <f>IF('1. Live'!AJ75='check-Jul25'!AJ75,"",'1. Live'!AJ75-'check-Jul25'!AJ75)</f>
        <v/>
      </c>
      <c r="AK75" t="str">
        <f>IF('1. Live'!AK75='check-Jul25'!AK75,"",'1. Live'!AK75-'check-Jul25'!AK75)</f>
        <v/>
      </c>
      <c r="AL75" t="str">
        <f>IF('1. Live'!AL75='check-Jul25'!AL75,"",'1. Live'!AL75-'check-Jul25'!AL75)</f>
        <v/>
      </c>
      <c r="AM75" t="str">
        <f>IF('1. Live'!AM75='check-Jul25'!AM75,"",'1. Live'!AM75-'check-Jul25'!AM75)</f>
        <v/>
      </c>
      <c r="AN75" t="str">
        <f>IF('1. Live'!AN75='check-Jul25'!AN75,"",'1. Live'!AN75-'check-Jul25'!AN75)</f>
        <v/>
      </c>
      <c r="AO75" t="str">
        <f>IF('1. Live'!AO75='check-Jul25'!AO75,"",'1. Live'!AO75-'check-Jul25'!AO75)</f>
        <v/>
      </c>
      <c r="AP75" t="str">
        <f>IF('1. Live'!AP75='check-Jul25'!AP75,"",'1. Live'!AP75-'check-Jul25'!AP75)</f>
        <v/>
      </c>
      <c r="AQ75" t="str">
        <f>IF('1. Live'!AQ75='check-Jul25'!AQ75,"",'1. Live'!AQ75-'check-Jul25'!AQ75)</f>
        <v/>
      </c>
      <c r="AR75" t="str">
        <f>IF('1. Live'!AR75='check-Jul25'!AR75,"",'1. Live'!AR75-'check-Jul25'!AR75)</f>
        <v/>
      </c>
      <c r="AS75" t="str">
        <f>IF('1. Live'!AS75='check-Jul25'!AS75,"",'1. Live'!AS75-'check-Jul25'!AS75)</f>
        <v/>
      </c>
      <c r="AT75" t="str">
        <f>IF('1. Live'!AT75='check-Jul25'!AT75,"",'1. Live'!AT75-'check-Jul25'!AT75)</f>
        <v/>
      </c>
      <c r="AU75" t="str">
        <f>IF('1. Live'!AU75='check-Jul25'!AU75,"",'1. Live'!AU75-'check-Jul25'!AU75)</f>
        <v/>
      </c>
      <c r="AV75" t="str">
        <f>IF('1. Live'!AV75='check-Jul25'!AV75,"",'1. Live'!AV75-'check-Jul25'!AV75)</f>
        <v/>
      </c>
      <c r="AW75" t="str">
        <f>IF('1. Live'!AW75='check-Jul25'!AW75,"",'1. Live'!AW75-'check-Jul25'!AW75)</f>
        <v/>
      </c>
      <c r="AX75" t="str">
        <f>IF('1. Live'!AX75='check-Jul25'!AX75,"",'1. Live'!AX75-'check-Jul25'!AX75)</f>
        <v/>
      </c>
      <c r="AY75" t="str">
        <f>IF('1. Live'!AY75='check-Jul25'!AY75,"",'1. Live'!AY75-'check-Jul25'!AY75)</f>
        <v/>
      </c>
      <c r="AZ75" t="str">
        <f>IF('1. Live'!AZ75='check-Jul25'!AZ75,"",'1. Live'!AZ75-'check-Jul25'!AZ75)</f>
        <v/>
      </c>
      <c r="BA75" t="str">
        <f>IF('1. Live'!BA75='check-Jul25'!BA75,"",'1. Live'!BA75-'check-Jul25'!BA75)</f>
        <v/>
      </c>
      <c r="BB75" t="str">
        <f>IF('1. Live'!BB75='check-Jul25'!BB75,"",'1. Live'!BB75-'check-Jul25'!BB75)</f>
        <v/>
      </c>
      <c r="BC75" t="str">
        <f>IF('1. Live'!BC75='check-Jul25'!BC75,"",'1. Live'!BC75-'check-Jul25'!BC75)</f>
        <v/>
      </c>
      <c r="BD75" t="str">
        <f>IF('1. Live'!BD75='check-Jul25'!BD75,"",'1. Live'!BD75-'check-Jul25'!BD75)</f>
        <v/>
      </c>
      <c r="BE75" t="str">
        <f>IF('1. Live'!BE75='check-Jul25'!BE75,"",'1. Live'!BE75-'check-Jul25'!BE75)</f>
        <v/>
      </c>
      <c r="BF75" t="str">
        <f>IF('1. Live'!BF75='check-Jul25'!BF75,"",'1. Live'!BF75-'check-Jul25'!BF75)</f>
        <v/>
      </c>
      <c r="BG75" t="str">
        <f>IF('1. Live'!BG75='check-Jul25'!BG75,"",'1. Live'!BG75-'check-Jul25'!BG75)</f>
        <v/>
      </c>
      <c r="BH75" t="str">
        <f>IF('1. Live'!BH75='check-Jul25'!BH75,"",'1. Live'!BH75-'check-Jul25'!BH75)</f>
        <v/>
      </c>
      <c r="BI75" t="str">
        <f>IF('1. Live'!BI75='check-Jul25'!BI75,"",'1. Live'!BI75-'check-Jul25'!BI75)</f>
        <v/>
      </c>
      <c r="BJ75" t="str">
        <f>IF('1. Live'!BJ75='check-Jul25'!BJ75,"",'1. Live'!BJ75-'check-Jul25'!BJ75)</f>
        <v/>
      </c>
      <c r="BK75" t="str">
        <f>IF('1. Live'!BK75='check-Jul25'!BK75,"",'1. Live'!BK75-'check-Jul25'!BK75)</f>
        <v/>
      </c>
      <c r="BL75" t="str">
        <f>IF('1. Live'!BL75='check-Jul25'!BL75,"",'1. Live'!BL75-'check-Jul25'!BL75)</f>
        <v/>
      </c>
      <c r="BM75" t="str">
        <f>IF('1. Live'!BM75='check-Jul25'!BM75,"",'1. Live'!BM75-'check-Jul25'!BM75)</f>
        <v/>
      </c>
      <c r="BN75" t="str">
        <f>IF('1. Live'!BN75='check-Jul25'!BN75,"",'1. Live'!BN75-'check-Jul25'!BN75)</f>
        <v/>
      </c>
      <c r="BO75" t="str">
        <f>IF('1. Live'!BO75='check-Jul25'!BO75,"",'1. Live'!BO75-'check-Jul25'!BO75)</f>
        <v/>
      </c>
      <c r="BP75" t="str">
        <f>IF('1. Live'!BP75='check-Jul25'!BP75,"",'1. Live'!BP75-'check-Jul25'!BP75)</f>
        <v/>
      </c>
      <c r="BQ75" t="str">
        <f>IF('1. Live'!BQ75='check-Jul25'!BQ75,"",'1. Live'!BQ75-'check-Jul25'!BQ75)</f>
        <v/>
      </c>
      <c r="BR75" t="str">
        <f>IF('1. Live'!BR75='check-Jul25'!BR75,"",'1. Live'!BR75-'check-Jul25'!BR75)</f>
        <v/>
      </c>
      <c r="BS75" t="str">
        <f>IF('1. Live'!BS75='check-Jul25'!BS75,"",'1. Live'!BS75-'check-Jul25'!BS75)</f>
        <v/>
      </c>
      <c r="BT75" t="str">
        <f>IF('1. Live'!BT75='check-Jul25'!BT75,"",'1. Live'!BT75-'check-Jul25'!BT75)</f>
        <v/>
      </c>
      <c r="BU75" t="str">
        <f>IF('1. Live'!BU75='check-Jul25'!BU75,"",'1. Live'!BU75-'check-Jul25'!BU75)</f>
        <v/>
      </c>
      <c r="BV75" t="str">
        <f>IF('1. Live'!BV75='check-Jul25'!BV75,"",'1. Live'!BV75-'check-Jul25'!BV75)</f>
        <v/>
      </c>
      <c r="BW75" t="str">
        <f>IF('1. Live'!BW75='check-Jul25'!BW75,"",'1. Live'!BW75-'check-Jul25'!BW75)</f>
        <v/>
      </c>
      <c r="BX75" t="str">
        <f>IF('1. Live'!BX75='check-Jul25'!BX75,"",'1. Live'!BX75-'check-Jul25'!BX75)</f>
        <v/>
      </c>
      <c r="BY75" t="str">
        <f>IF('1. Live'!BY75='check-Jul25'!BY75,"",'1. Live'!BY75-'check-Jul25'!BY75)</f>
        <v/>
      </c>
      <c r="BZ75" t="str">
        <f>IF('1. Live'!BZ75='check-Jul25'!BZ75,"",'1. Live'!BZ75-'check-Jul25'!BZ75)</f>
        <v/>
      </c>
      <c r="CA75" t="str">
        <f>IF('1. Live'!CA75='check-Jul25'!CA75,"",'1. Live'!CA75-'check-Jul25'!CA75)</f>
        <v/>
      </c>
      <c r="CB75" t="str">
        <f>IF('1. Live'!CB75='check-Jul25'!CB75,"",'1. Live'!CB75-'check-Jul25'!CB75)</f>
        <v/>
      </c>
      <c r="CC75" t="str">
        <f>IF('1. Live'!CC75='check-Jul25'!CC75,"",'1. Live'!CC75-'check-Jul25'!CC75)</f>
        <v/>
      </c>
      <c r="CD75" t="str">
        <f>IF('1. Live'!CD75='check-Jul25'!CD75,"",'1. Live'!CD75-'check-Jul25'!CD75)</f>
        <v/>
      </c>
      <c r="CE75" t="str">
        <f>IF('1. Live'!CE75='check-Jul25'!CE75,"",'1. Live'!CE75-'check-Jul25'!CE75)</f>
        <v/>
      </c>
      <c r="CF75" t="str">
        <f>IF('1. Live'!CF75='check-Jul25'!CF75,"",'1. Live'!CF75-'check-Jul25'!CF75)</f>
        <v/>
      </c>
      <c r="CG75" t="str">
        <f>IF('1. Live'!CG75='check-Jul25'!CG75,"",'1. Live'!CG75-'check-Jul25'!CG75)</f>
        <v/>
      </c>
      <c r="CH75" t="str">
        <f>IF('1. Live'!CH75='check-Jul25'!CH75,"",'1. Live'!CH75-'check-Jul25'!CH75)</f>
        <v/>
      </c>
      <c r="CI75" t="str">
        <f>IF('1. Live'!CI75='check-Jul25'!CI75,"",'1. Live'!CI75-'check-Jul25'!CI75)</f>
        <v/>
      </c>
      <c r="CJ75" t="str">
        <f>IF('1. Live'!CJ75='check-Jul25'!CJ75,"",'1. Live'!CJ75-'check-Jul25'!CJ75)</f>
        <v/>
      </c>
      <c r="CK75" t="str">
        <f>IF('1. Live'!CK75='check-Jul25'!CK75,"",'1. Live'!CK75-'check-Jul25'!CK75)</f>
        <v/>
      </c>
      <c r="CL75" t="str">
        <f>IF('1. Live'!CL75='check-Jul25'!CL75,"",'1. Live'!CL75-'check-Jul25'!CL75)</f>
        <v/>
      </c>
      <c r="CM75" t="str">
        <f>IF('1. Live'!CM75='check-Jul25'!CM75,"",'1. Live'!CM75-'check-Jul25'!CM75)</f>
        <v/>
      </c>
      <c r="CN75" t="str">
        <f>IF('1. Live'!CN75='check-Jul25'!CN75,"",'1. Live'!CN75-'check-Jul25'!CN75)</f>
        <v/>
      </c>
      <c r="CO75" t="str">
        <f>IF('1. Live'!CO75='check-Jul25'!CO75,"",'1. Live'!CO75-'check-Jul25'!CO75)</f>
        <v/>
      </c>
      <c r="CP75" t="str">
        <f>IF('1. Live'!CP75='check-Jul25'!CP75,"",'1. Live'!CP75-'check-Jul25'!CP75)</f>
        <v/>
      </c>
      <c r="CQ75" t="str">
        <f>IF('1. Live'!CQ75='check-Jul25'!CQ75,"",'1. Live'!CQ75-'check-Jul25'!CQ75)</f>
        <v/>
      </c>
      <c r="CR75" t="str">
        <f>IF('1. Live'!CR75='check-Jul25'!CR75,"",'1. Live'!CR75-'check-Jul25'!CR75)</f>
        <v/>
      </c>
      <c r="CS75" t="str">
        <f>IF('1. Live'!CS75='check-Jul25'!CS75,"",'1. Live'!CS75-'check-Jul25'!CS75)</f>
        <v/>
      </c>
      <c r="CT75" t="str">
        <f>IF('1. Live'!CT75='check-Jul25'!CT75,"",'1. Live'!CT75-'check-Jul25'!CT75)</f>
        <v/>
      </c>
      <c r="CU75" t="str">
        <f>IF('1. Live'!CU75='check-Jul25'!CU75,"",'1. Live'!CU75-'check-Jul25'!CU75)</f>
        <v/>
      </c>
      <c r="CV75" t="str">
        <f>IF('1. Live'!CV75='check-Jul25'!CV75,"",'1. Live'!CV75-'check-Jul25'!CV75)</f>
        <v/>
      </c>
      <c r="CW75" t="str">
        <f>IF('1. Live'!CW75='check-Jul25'!CW75,"",'1. Live'!CW75-'check-Jul25'!CW75)</f>
        <v/>
      </c>
    </row>
    <row r="76" spans="10:101">
      <c r="J76" t="str">
        <f>IF('1. Live'!J76='check-Jul25'!J76,"",'1. Live'!J76-'check-Jul25'!J76)</f>
        <v/>
      </c>
      <c r="K76" t="str">
        <f>IF('1. Live'!K76='check-Jul25'!K76,"",'1. Live'!K76-'check-Jul25'!K76)</f>
        <v/>
      </c>
      <c r="L76" t="str">
        <f>IF('1. Live'!L76='check-Jul25'!L76,"",'1. Live'!L76-'check-Jul25'!L76)</f>
        <v/>
      </c>
      <c r="M76" t="str">
        <f>IF('1. Live'!M76='check-Jul25'!M76,"",'1. Live'!M76-'check-Jul25'!M76)</f>
        <v/>
      </c>
      <c r="N76" t="str">
        <f>IF('1. Live'!N76='check-Jul25'!N76,"",'1. Live'!N76-'check-Jul25'!N76)</f>
        <v/>
      </c>
      <c r="O76" t="str">
        <f>IF('1. Live'!O76='check-Jul25'!O76,"",'1. Live'!O76-'check-Jul25'!O76)</f>
        <v/>
      </c>
      <c r="P76" t="str">
        <f>IF('1. Live'!P76='check-Jul25'!P76,"",'1. Live'!P76-'check-Jul25'!P76)</f>
        <v/>
      </c>
      <c r="Q76" t="str">
        <f>IF('1. Live'!Q76='check-Jul25'!Q76,"",'1. Live'!Q76-'check-Jul25'!Q76)</f>
        <v/>
      </c>
      <c r="R76" t="str">
        <f>IF('1. Live'!R76='check-Jul25'!R76,"",'1. Live'!R76-'check-Jul25'!R76)</f>
        <v/>
      </c>
      <c r="S76" t="str">
        <f>IF('1. Live'!S76='check-Jul25'!S76,"",'1. Live'!S76-'check-Jul25'!S76)</f>
        <v/>
      </c>
      <c r="T76" t="str">
        <f>IF('1. Live'!T76='check-Jul25'!T76,"",'1. Live'!T76-'check-Jul25'!T76)</f>
        <v/>
      </c>
      <c r="U76" t="str">
        <f>IF('1. Live'!U76='check-Jul25'!U76,"",'1. Live'!U76-'check-Jul25'!U76)</f>
        <v/>
      </c>
      <c r="V76" t="str">
        <f>IF('1. Live'!V76='check-Jul25'!V76,"",'1. Live'!V76-'check-Jul25'!V76)</f>
        <v/>
      </c>
      <c r="W76" t="str">
        <f>IF('1. Live'!W76='check-Jul25'!W76,"",'1. Live'!W76-'check-Jul25'!W76)</f>
        <v/>
      </c>
      <c r="X76" t="str">
        <f>IF('1. Live'!X76='check-Jul25'!X76,"",'1. Live'!X76-'check-Jul25'!X76)</f>
        <v/>
      </c>
      <c r="Y76" t="str">
        <f>IF('1. Live'!Y76='check-Jul25'!Y76,"",'1. Live'!Y76-'check-Jul25'!Y76)</f>
        <v/>
      </c>
      <c r="Z76" t="str">
        <f>IF('1. Live'!Z76='check-Jul25'!Z76,"",'1. Live'!Z76-'check-Jul25'!Z76)</f>
        <v/>
      </c>
      <c r="AA76" t="str">
        <f>IF('1. Live'!AA76='check-Jul25'!AA76,"",'1. Live'!AA76-'check-Jul25'!AA76)</f>
        <v/>
      </c>
      <c r="AB76" t="str">
        <f>IF('1. Live'!AB76='check-Jul25'!AB76,"",'1. Live'!AB76-'check-Jul25'!AB76)</f>
        <v/>
      </c>
      <c r="AC76" t="str">
        <f>IF('1. Live'!AC76='check-Jul25'!AC76,"",'1. Live'!AC76-'check-Jul25'!AC76)</f>
        <v/>
      </c>
      <c r="AD76" t="str">
        <f>IF('1. Live'!AD76='check-Jul25'!AD76,"",'1. Live'!AD76-'check-Jul25'!AD76)</f>
        <v/>
      </c>
      <c r="AE76" t="str">
        <f>IF('1. Live'!AE76='check-Jul25'!AE76,"",'1. Live'!AE76-'check-Jul25'!AE76)</f>
        <v/>
      </c>
      <c r="AF76" t="str">
        <f>IF('1. Live'!AF76='check-Jul25'!AF76,"",'1. Live'!AF76-'check-Jul25'!AF76)</f>
        <v/>
      </c>
      <c r="AG76" t="str">
        <f>IF('1. Live'!AG76='check-Jul25'!AG76,"",'1. Live'!AG76-'check-Jul25'!AG76)</f>
        <v/>
      </c>
      <c r="AH76" t="str">
        <f>IF('1. Live'!AH76='check-Jul25'!AH76,"",'1. Live'!AH76-'check-Jul25'!AH76)</f>
        <v/>
      </c>
      <c r="AI76" t="str">
        <f>IF('1. Live'!AI76='check-Jul25'!AI76,"",'1. Live'!AI76-'check-Jul25'!AI76)</f>
        <v/>
      </c>
      <c r="AJ76" t="str">
        <f>IF('1. Live'!AJ76='check-Jul25'!AJ76,"",'1. Live'!AJ76-'check-Jul25'!AJ76)</f>
        <v/>
      </c>
      <c r="AK76" t="str">
        <f>IF('1. Live'!AK76='check-Jul25'!AK76,"",'1. Live'!AK76-'check-Jul25'!AK76)</f>
        <v/>
      </c>
      <c r="AL76" t="str">
        <f>IF('1. Live'!AL76='check-Jul25'!AL76,"",'1. Live'!AL76-'check-Jul25'!AL76)</f>
        <v/>
      </c>
      <c r="AM76" t="str">
        <f>IF('1. Live'!AM76='check-Jul25'!AM76,"",'1. Live'!AM76-'check-Jul25'!AM76)</f>
        <v/>
      </c>
      <c r="AN76" t="str">
        <f>IF('1. Live'!AN76='check-Jul25'!AN76,"",'1. Live'!AN76-'check-Jul25'!AN76)</f>
        <v/>
      </c>
      <c r="AO76" t="str">
        <f>IF('1. Live'!AO76='check-Jul25'!AO76,"",'1. Live'!AO76-'check-Jul25'!AO76)</f>
        <v/>
      </c>
      <c r="AP76" t="str">
        <f>IF('1. Live'!AP76='check-Jul25'!AP76,"",'1. Live'!AP76-'check-Jul25'!AP76)</f>
        <v/>
      </c>
      <c r="AQ76" t="str">
        <f>IF('1. Live'!AQ76='check-Jul25'!AQ76,"",'1. Live'!AQ76-'check-Jul25'!AQ76)</f>
        <v/>
      </c>
      <c r="AR76" t="str">
        <f>IF('1. Live'!AR76='check-Jul25'!AR76,"",'1. Live'!AR76-'check-Jul25'!AR76)</f>
        <v/>
      </c>
      <c r="AS76" t="str">
        <f>IF('1. Live'!AS76='check-Jul25'!AS76,"",'1. Live'!AS76-'check-Jul25'!AS76)</f>
        <v/>
      </c>
      <c r="AT76" t="str">
        <f>IF('1. Live'!AT76='check-Jul25'!AT76,"",'1. Live'!AT76-'check-Jul25'!AT76)</f>
        <v/>
      </c>
      <c r="AU76" t="str">
        <f>IF('1. Live'!AU76='check-Jul25'!AU76,"",'1. Live'!AU76-'check-Jul25'!AU76)</f>
        <v/>
      </c>
      <c r="AV76" t="str">
        <f>IF('1. Live'!AV76='check-Jul25'!AV76,"",'1. Live'!AV76-'check-Jul25'!AV76)</f>
        <v/>
      </c>
      <c r="AW76" t="str">
        <f>IF('1. Live'!AW76='check-Jul25'!AW76,"",'1. Live'!AW76-'check-Jul25'!AW76)</f>
        <v/>
      </c>
      <c r="AX76" t="str">
        <f>IF('1. Live'!AX76='check-Jul25'!AX76,"",'1. Live'!AX76-'check-Jul25'!AX76)</f>
        <v/>
      </c>
      <c r="AY76" t="str">
        <f>IF('1. Live'!AY76='check-Jul25'!AY76,"",'1. Live'!AY76-'check-Jul25'!AY76)</f>
        <v/>
      </c>
      <c r="AZ76" t="str">
        <f>IF('1. Live'!AZ76='check-Jul25'!AZ76,"",'1. Live'!AZ76-'check-Jul25'!AZ76)</f>
        <v/>
      </c>
      <c r="BA76" t="str">
        <f>IF('1. Live'!BA76='check-Jul25'!BA76,"",'1. Live'!BA76-'check-Jul25'!BA76)</f>
        <v/>
      </c>
      <c r="BB76" t="str">
        <f>IF('1. Live'!BB76='check-Jul25'!BB76,"",'1. Live'!BB76-'check-Jul25'!BB76)</f>
        <v/>
      </c>
      <c r="BC76" t="str">
        <f>IF('1. Live'!BC76='check-Jul25'!BC76,"",'1. Live'!BC76-'check-Jul25'!BC76)</f>
        <v/>
      </c>
      <c r="BD76" t="str">
        <f>IF('1. Live'!BD76='check-Jul25'!BD76,"",'1. Live'!BD76-'check-Jul25'!BD76)</f>
        <v/>
      </c>
      <c r="BE76" t="str">
        <f>IF('1. Live'!BE76='check-Jul25'!BE76,"",'1. Live'!BE76-'check-Jul25'!BE76)</f>
        <v/>
      </c>
      <c r="BF76" t="str">
        <f>IF('1. Live'!BF76='check-Jul25'!BF76,"",'1. Live'!BF76-'check-Jul25'!BF76)</f>
        <v/>
      </c>
      <c r="BG76" t="str">
        <f>IF('1. Live'!BG76='check-Jul25'!BG76,"",'1. Live'!BG76-'check-Jul25'!BG76)</f>
        <v/>
      </c>
      <c r="BH76" t="str">
        <f>IF('1. Live'!BH76='check-Jul25'!BH76,"",'1. Live'!BH76-'check-Jul25'!BH76)</f>
        <v/>
      </c>
      <c r="BI76" t="str">
        <f>IF('1. Live'!BI76='check-Jul25'!BI76,"",'1. Live'!BI76-'check-Jul25'!BI76)</f>
        <v/>
      </c>
      <c r="BJ76" t="str">
        <f>IF('1. Live'!BJ76='check-Jul25'!BJ76,"",'1. Live'!BJ76-'check-Jul25'!BJ76)</f>
        <v/>
      </c>
      <c r="BK76" t="str">
        <f>IF('1. Live'!BK76='check-Jul25'!BK76,"",'1. Live'!BK76-'check-Jul25'!BK76)</f>
        <v/>
      </c>
      <c r="BL76" t="str">
        <f>IF('1. Live'!BL76='check-Jul25'!BL76,"",'1. Live'!BL76-'check-Jul25'!BL76)</f>
        <v/>
      </c>
      <c r="BM76" t="str">
        <f>IF('1. Live'!BM76='check-Jul25'!BM76,"",'1. Live'!BM76-'check-Jul25'!BM76)</f>
        <v/>
      </c>
      <c r="BN76" t="str">
        <f>IF('1. Live'!BN76='check-Jul25'!BN76,"",'1. Live'!BN76-'check-Jul25'!BN76)</f>
        <v/>
      </c>
      <c r="BO76" t="str">
        <f>IF('1. Live'!BO76='check-Jul25'!BO76,"",'1. Live'!BO76-'check-Jul25'!BO76)</f>
        <v/>
      </c>
      <c r="BP76" t="str">
        <f>IF('1. Live'!BP76='check-Jul25'!BP76,"",'1. Live'!BP76-'check-Jul25'!BP76)</f>
        <v/>
      </c>
      <c r="BQ76" t="str">
        <f>IF('1. Live'!BQ76='check-Jul25'!BQ76,"",'1. Live'!BQ76-'check-Jul25'!BQ76)</f>
        <v/>
      </c>
      <c r="BR76" t="str">
        <f>IF('1. Live'!BR76='check-Jul25'!BR76,"",'1. Live'!BR76-'check-Jul25'!BR76)</f>
        <v/>
      </c>
      <c r="BS76" t="str">
        <f>IF('1. Live'!BS76='check-Jul25'!BS76,"",'1. Live'!BS76-'check-Jul25'!BS76)</f>
        <v/>
      </c>
      <c r="BT76" t="str">
        <f>IF('1. Live'!BT76='check-Jul25'!BT76,"",'1. Live'!BT76-'check-Jul25'!BT76)</f>
        <v/>
      </c>
      <c r="BU76" t="str">
        <f>IF('1. Live'!BU76='check-Jul25'!BU76,"",'1. Live'!BU76-'check-Jul25'!BU76)</f>
        <v/>
      </c>
      <c r="BV76" t="str">
        <f>IF('1. Live'!BV76='check-Jul25'!BV76,"",'1. Live'!BV76-'check-Jul25'!BV76)</f>
        <v/>
      </c>
      <c r="BW76" t="str">
        <f>IF('1. Live'!BW76='check-Jul25'!BW76,"",'1. Live'!BW76-'check-Jul25'!BW76)</f>
        <v/>
      </c>
      <c r="BX76" t="str">
        <f>IF('1. Live'!BX76='check-Jul25'!BX76,"",'1. Live'!BX76-'check-Jul25'!BX76)</f>
        <v/>
      </c>
      <c r="BY76" t="str">
        <f>IF('1. Live'!BY76='check-Jul25'!BY76,"",'1. Live'!BY76-'check-Jul25'!BY76)</f>
        <v/>
      </c>
      <c r="BZ76" t="str">
        <f>IF('1. Live'!BZ76='check-Jul25'!BZ76,"",'1. Live'!BZ76-'check-Jul25'!BZ76)</f>
        <v/>
      </c>
      <c r="CA76" t="str">
        <f>IF('1. Live'!CA76='check-Jul25'!CA76,"",'1. Live'!CA76-'check-Jul25'!CA76)</f>
        <v/>
      </c>
      <c r="CB76" t="str">
        <f>IF('1. Live'!CB76='check-Jul25'!CB76,"",'1. Live'!CB76-'check-Jul25'!CB76)</f>
        <v/>
      </c>
      <c r="CC76" t="str">
        <f>IF('1. Live'!CC76='check-Jul25'!CC76,"",'1. Live'!CC76-'check-Jul25'!CC76)</f>
        <v/>
      </c>
      <c r="CD76" t="str">
        <f>IF('1. Live'!CD76='check-Jul25'!CD76,"",'1. Live'!CD76-'check-Jul25'!CD76)</f>
        <v/>
      </c>
      <c r="CE76" t="str">
        <f>IF('1. Live'!CE76='check-Jul25'!CE76,"",'1. Live'!CE76-'check-Jul25'!CE76)</f>
        <v/>
      </c>
      <c r="CF76" t="str">
        <f>IF('1. Live'!CF76='check-Jul25'!CF76,"",'1. Live'!CF76-'check-Jul25'!CF76)</f>
        <v/>
      </c>
      <c r="CG76" t="str">
        <f>IF('1. Live'!CG76='check-Jul25'!CG76,"",'1. Live'!CG76-'check-Jul25'!CG76)</f>
        <v/>
      </c>
      <c r="CH76" t="str">
        <f>IF('1. Live'!CH76='check-Jul25'!CH76,"",'1. Live'!CH76-'check-Jul25'!CH76)</f>
        <v/>
      </c>
      <c r="CI76" t="str">
        <f>IF('1. Live'!CI76='check-Jul25'!CI76,"",'1. Live'!CI76-'check-Jul25'!CI76)</f>
        <v/>
      </c>
      <c r="CJ76" t="str">
        <f>IF('1. Live'!CJ76='check-Jul25'!CJ76,"",'1. Live'!CJ76-'check-Jul25'!CJ76)</f>
        <v/>
      </c>
      <c r="CK76" t="str">
        <f>IF('1. Live'!CK76='check-Jul25'!CK76,"",'1. Live'!CK76-'check-Jul25'!CK76)</f>
        <v/>
      </c>
      <c r="CL76" t="str">
        <f>IF('1. Live'!CL76='check-Jul25'!CL76,"",'1. Live'!CL76-'check-Jul25'!CL76)</f>
        <v/>
      </c>
      <c r="CM76" t="str">
        <f>IF('1. Live'!CM76='check-Jul25'!CM76,"",'1. Live'!CM76-'check-Jul25'!CM76)</f>
        <v/>
      </c>
      <c r="CN76" t="str">
        <f>IF('1. Live'!CN76='check-Jul25'!CN76,"",'1. Live'!CN76-'check-Jul25'!CN76)</f>
        <v/>
      </c>
      <c r="CO76" t="str">
        <f>IF('1. Live'!CO76='check-Jul25'!CO76,"",'1. Live'!CO76-'check-Jul25'!CO76)</f>
        <v/>
      </c>
      <c r="CP76" t="str">
        <f>IF('1. Live'!CP76='check-Jul25'!CP76,"",'1. Live'!CP76-'check-Jul25'!CP76)</f>
        <v/>
      </c>
      <c r="CQ76" t="str">
        <f>IF('1. Live'!CQ76='check-Jul25'!CQ76,"",'1. Live'!CQ76-'check-Jul25'!CQ76)</f>
        <v/>
      </c>
      <c r="CR76" t="str">
        <f>IF('1. Live'!CR76='check-Jul25'!CR76,"",'1. Live'!CR76-'check-Jul25'!CR76)</f>
        <v/>
      </c>
      <c r="CS76" t="str">
        <f>IF('1. Live'!CS76='check-Jul25'!CS76,"",'1. Live'!CS76-'check-Jul25'!CS76)</f>
        <v/>
      </c>
      <c r="CT76" t="str">
        <f>IF('1. Live'!CT76='check-Jul25'!CT76,"",'1. Live'!CT76-'check-Jul25'!CT76)</f>
        <v/>
      </c>
      <c r="CU76" t="str">
        <f>IF('1. Live'!CU76='check-Jul25'!CU76,"",'1. Live'!CU76-'check-Jul25'!CU76)</f>
        <v/>
      </c>
      <c r="CV76" t="str">
        <f>IF('1. Live'!CV76='check-Jul25'!CV76,"",'1. Live'!CV76-'check-Jul25'!CV76)</f>
        <v/>
      </c>
      <c r="CW76" t="str">
        <f>IF('1. Live'!CW76='check-Jul25'!CW76,"",'1. Live'!CW76-'check-Jul25'!CW76)</f>
        <v/>
      </c>
    </row>
    <row r="77" spans="10:101">
      <c r="J77" t="str">
        <f>IF('1. Live'!J77='check-Jul25'!J77,"",'1. Live'!J77-'check-Jul25'!J77)</f>
        <v/>
      </c>
      <c r="K77" t="str">
        <f>IF('1. Live'!K77='check-Jul25'!K77,"",'1. Live'!K77-'check-Jul25'!K77)</f>
        <v/>
      </c>
      <c r="L77" t="str">
        <f>IF('1. Live'!L77='check-Jul25'!L77,"",'1. Live'!L77-'check-Jul25'!L77)</f>
        <v/>
      </c>
      <c r="M77" t="str">
        <f>IF('1. Live'!M77='check-Jul25'!M77,"",'1. Live'!M77-'check-Jul25'!M77)</f>
        <v/>
      </c>
      <c r="N77" t="str">
        <f>IF('1. Live'!N77='check-Jul25'!N77,"",'1. Live'!N77-'check-Jul25'!N77)</f>
        <v/>
      </c>
      <c r="O77" t="str">
        <f>IF('1. Live'!O77='check-Jul25'!O77,"",'1. Live'!O77-'check-Jul25'!O77)</f>
        <v/>
      </c>
      <c r="P77" t="str">
        <f>IF('1. Live'!P77='check-Jul25'!P77,"",'1. Live'!P77-'check-Jul25'!P77)</f>
        <v/>
      </c>
      <c r="Q77" t="str">
        <f>IF('1. Live'!Q77='check-Jul25'!Q77,"",'1. Live'!Q77-'check-Jul25'!Q77)</f>
        <v/>
      </c>
      <c r="R77" t="str">
        <f>IF('1. Live'!R77='check-Jul25'!R77,"",'1. Live'!R77-'check-Jul25'!R77)</f>
        <v/>
      </c>
      <c r="S77" t="str">
        <f>IF('1. Live'!S77='check-Jul25'!S77,"",'1. Live'!S77-'check-Jul25'!S77)</f>
        <v/>
      </c>
      <c r="T77" t="str">
        <f>IF('1. Live'!T77='check-Jul25'!T77,"",'1. Live'!T77-'check-Jul25'!T77)</f>
        <v/>
      </c>
      <c r="U77" t="str">
        <f>IF('1. Live'!U77='check-Jul25'!U77,"",'1. Live'!U77-'check-Jul25'!U77)</f>
        <v/>
      </c>
      <c r="V77" t="str">
        <f>IF('1. Live'!V77='check-Jul25'!V77,"",'1. Live'!V77-'check-Jul25'!V77)</f>
        <v/>
      </c>
      <c r="W77" t="str">
        <f>IF('1. Live'!W77='check-Jul25'!W77,"",'1. Live'!W77-'check-Jul25'!W77)</f>
        <v/>
      </c>
      <c r="X77" t="str">
        <f>IF('1. Live'!X77='check-Jul25'!X77,"",'1. Live'!X77-'check-Jul25'!X77)</f>
        <v/>
      </c>
      <c r="Y77" t="str">
        <f>IF('1. Live'!Y77='check-Jul25'!Y77,"",'1. Live'!Y77-'check-Jul25'!Y77)</f>
        <v/>
      </c>
      <c r="Z77" t="str">
        <f>IF('1. Live'!Z77='check-Jul25'!Z77,"",'1. Live'!Z77-'check-Jul25'!Z77)</f>
        <v/>
      </c>
      <c r="AA77" t="str">
        <f>IF('1. Live'!AA77='check-Jul25'!AA77,"",'1. Live'!AA77-'check-Jul25'!AA77)</f>
        <v/>
      </c>
      <c r="AB77" t="str">
        <f>IF('1. Live'!AB77='check-Jul25'!AB77,"",'1. Live'!AB77-'check-Jul25'!AB77)</f>
        <v/>
      </c>
      <c r="AC77" t="str">
        <f>IF('1. Live'!AC77='check-Jul25'!AC77,"",'1. Live'!AC77-'check-Jul25'!AC77)</f>
        <v/>
      </c>
      <c r="AD77" t="str">
        <f>IF('1. Live'!AD77='check-Jul25'!AD77,"",'1. Live'!AD77-'check-Jul25'!AD77)</f>
        <v/>
      </c>
      <c r="AE77" t="str">
        <f>IF('1. Live'!AE77='check-Jul25'!AE77,"",'1. Live'!AE77-'check-Jul25'!AE77)</f>
        <v/>
      </c>
      <c r="AF77" t="str">
        <f>IF('1. Live'!AF77='check-Jul25'!AF77,"",'1. Live'!AF77-'check-Jul25'!AF77)</f>
        <v/>
      </c>
      <c r="AG77" t="str">
        <f>IF('1. Live'!AG77='check-Jul25'!AG77,"",'1. Live'!AG77-'check-Jul25'!AG77)</f>
        <v/>
      </c>
      <c r="AH77" t="str">
        <f>IF('1. Live'!AH77='check-Jul25'!AH77,"",'1. Live'!AH77-'check-Jul25'!AH77)</f>
        <v/>
      </c>
      <c r="AI77" t="str">
        <f>IF('1. Live'!AI77='check-Jul25'!AI77,"",'1. Live'!AI77-'check-Jul25'!AI77)</f>
        <v/>
      </c>
      <c r="AJ77" t="str">
        <f>IF('1. Live'!AJ77='check-Jul25'!AJ77,"",'1. Live'!AJ77-'check-Jul25'!AJ77)</f>
        <v/>
      </c>
      <c r="AK77" t="str">
        <f>IF('1. Live'!AK77='check-Jul25'!AK77,"",'1. Live'!AK77-'check-Jul25'!AK77)</f>
        <v/>
      </c>
      <c r="AL77" t="str">
        <f>IF('1. Live'!AL77='check-Jul25'!AL77,"",'1. Live'!AL77-'check-Jul25'!AL77)</f>
        <v/>
      </c>
      <c r="AM77" t="str">
        <f>IF('1. Live'!AM77='check-Jul25'!AM77,"",'1. Live'!AM77-'check-Jul25'!AM77)</f>
        <v/>
      </c>
      <c r="AN77" t="str">
        <f>IF('1. Live'!AN77='check-Jul25'!AN77,"",'1. Live'!AN77-'check-Jul25'!AN77)</f>
        <v/>
      </c>
      <c r="AO77" t="str">
        <f>IF('1. Live'!AO77='check-Jul25'!AO77,"",'1. Live'!AO77-'check-Jul25'!AO77)</f>
        <v/>
      </c>
      <c r="AP77" t="str">
        <f>IF('1. Live'!AP77='check-Jul25'!AP77,"",'1. Live'!AP77-'check-Jul25'!AP77)</f>
        <v/>
      </c>
      <c r="AQ77" t="str">
        <f>IF('1. Live'!AQ77='check-Jul25'!AQ77,"",'1. Live'!AQ77-'check-Jul25'!AQ77)</f>
        <v/>
      </c>
      <c r="AR77" t="str">
        <f>IF('1. Live'!AR77='check-Jul25'!AR77,"",'1. Live'!AR77-'check-Jul25'!AR77)</f>
        <v/>
      </c>
      <c r="AS77" t="str">
        <f>IF('1. Live'!AS77='check-Jul25'!AS77,"",'1. Live'!AS77-'check-Jul25'!AS77)</f>
        <v/>
      </c>
      <c r="AT77" t="str">
        <f>IF('1. Live'!AT77='check-Jul25'!AT77,"",'1. Live'!AT77-'check-Jul25'!AT77)</f>
        <v/>
      </c>
      <c r="AU77" t="str">
        <f>IF('1. Live'!AU77='check-Jul25'!AU77,"",'1. Live'!AU77-'check-Jul25'!AU77)</f>
        <v/>
      </c>
      <c r="AV77" t="str">
        <f>IF('1. Live'!AV77='check-Jul25'!AV77,"",'1. Live'!AV77-'check-Jul25'!AV77)</f>
        <v/>
      </c>
      <c r="AW77" t="str">
        <f>IF('1. Live'!AW77='check-Jul25'!AW77,"",'1. Live'!AW77-'check-Jul25'!AW77)</f>
        <v/>
      </c>
      <c r="AX77" t="str">
        <f>IF('1. Live'!AX77='check-Jul25'!AX77,"",'1. Live'!AX77-'check-Jul25'!AX77)</f>
        <v/>
      </c>
      <c r="AY77" t="str">
        <f>IF('1. Live'!AY77='check-Jul25'!AY77,"",'1. Live'!AY77-'check-Jul25'!AY77)</f>
        <v/>
      </c>
      <c r="AZ77" t="str">
        <f>IF('1. Live'!AZ77='check-Jul25'!AZ77,"",'1. Live'!AZ77-'check-Jul25'!AZ77)</f>
        <v/>
      </c>
      <c r="BA77" t="str">
        <f>IF('1. Live'!BA77='check-Jul25'!BA77,"",'1. Live'!BA77-'check-Jul25'!BA77)</f>
        <v/>
      </c>
      <c r="BB77" t="str">
        <f>IF('1. Live'!BB77='check-Jul25'!BB77,"",'1. Live'!BB77-'check-Jul25'!BB77)</f>
        <v/>
      </c>
      <c r="BC77" t="str">
        <f>IF('1. Live'!BC77='check-Jul25'!BC77,"",'1. Live'!BC77-'check-Jul25'!BC77)</f>
        <v/>
      </c>
      <c r="BD77" t="str">
        <f>IF('1. Live'!BD77='check-Jul25'!BD77,"",'1. Live'!BD77-'check-Jul25'!BD77)</f>
        <v/>
      </c>
      <c r="BE77" t="str">
        <f>IF('1. Live'!BE77='check-Jul25'!BE77,"",'1. Live'!BE77-'check-Jul25'!BE77)</f>
        <v/>
      </c>
      <c r="BF77" t="str">
        <f>IF('1. Live'!BF77='check-Jul25'!BF77,"",'1. Live'!BF77-'check-Jul25'!BF77)</f>
        <v/>
      </c>
      <c r="BG77" t="str">
        <f>IF('1. Live'!BG77='check-Jul25'!BG77,"",'1. Live'!BG77-'check-Jul25'!BG77)</f>
        <v/>
      </c>
      <c r="BH77" t="str">
        <f>IF('1. Live'!BH77='check-Jul25'!BH77,"",'1. Live'!BH77-'check-Jul25'!BH77)</f>
        <v/>
      </c>
      <c r="BI77" t="str">
        <f>IF('1. Live'!BI77='check-Jul25'!BI77,"",'1. Live'!BI77-'check-Jul25'!BI77)</f>
        <v/>
      </c>
      <c r="BJ77" t="str">
        <f>IF('1. Live'!BJ77='check-Jul25'!BJ77,"",'1. Live'!BJ77-'check-Jul25'!BJ77)</f>
        <v/>
      </c>
      <c r="BK77" t="str">
        <f>IF('1. Live'!BK77='check-Jul25'!BK77,"",'1. Live'!BK77-'check-Jul25'!BK77)</f>
        <v/>
      </c>
      <c r="BL77" t="str">
        <f>IF('1. Live'!BL77='check-Jul25'!BL77,"",'1. Live'!BL77-'check-Jul25'!BL77)</f>
        <v/>
      </c>
      <c r="BM77" t="str">
        <f>IF('1. Live'!BM77='check-Jul25'!BM77,"",'1. Live'!BM77-'check-Jul25'!BM77)</f>
        <v/>
      </c>
      <c r="BN77" t="str">
        <f>IF('1. Live'!BN77='check-Jul25'!BN77,"",'1. Live'!BN77-'check-Jul25'!BN77)</f>
        <v/>
      </c>
      <c r="BO77" t="str">
        <f>IF('1. Live'!BO77='check-Jul25'!BO77,"",'1. Live'!BO77-'check-Jul25'!BO77)</f>
        <v/>
      </c>
      <c r="BP77" t="str">
        <f>IF('1. Live'!BP77='check-Jul25'!BP77,"",'1. Live'!BP77-'check-Jul25'!BP77)</f>
        <v/>
      </c>
      <c r="BQ77" t="str">
        <f>IF('1. Live'!BQ77='check-Jul25'!BQ77,"",'1. Live'!BQ77-'check-Jul25'!BQ77)</f>
        <v/>
      </c>
      <c r="BR77" t="str">
        <f>IF('1. Live'!BR77='check-Jul25'!BR77,"",'1. Live'!BR77-'check-Jul25'!BR77)</f>
        <v/>
      </c>
      <c r="BS77" t="str">
        <f>IF('1. Live'!BS77='check-Jul25'!BS77,"",'1. Live'!BS77-'check-Jul25'!BS77)</f>
        <v/>
      </c>
      <c r="BT77" t="str">
        <f>IF('1. Live'!BT77='check-Jul25'!BT77,"",'1. Live'!BT77-'check-Jul25'!BT77)</f>
        <v/>
      </c>
      <c r="BU77" t="str">
        <f>IF('1. Live'!BU77='check-Jul25'!BU77,"",'1. Live'!BU77-'check-Jul25'!BU77)</f>
        <v/>
      </c>
      <c r="BV77" t="str">
        <f>IF('1. Live'!BV77='check-Jul25'!BV77,"",'1. Live'!BV77-'check-Jul25'!BV77)</f>
        <v/>
      </c>
      <c r="BW77" t="str">
        <f>IF('1. Live'!BW77='check-Jul25'!BW77,"",'1. Live'!BW77-'check-Jul25'!BW77)</f>
        <v/>
      </c>
      <c r="BX77" t="str">
        <f>IF('1. Live'!BX77='check-Jul25'!BX77,"",'1. Live'!BX77-'check-Jul25'!BX77)</f>
        <v/>
      </c>
      <c r="BY77" t="str">
        <f>IF('1. Live'!BY77='check-Jul25'!BY77,"",'1. Live'!BY77-'check-Jul25'!BY77)</f>
        <v/>
      </c>
      <c r="BZ77" t="str">
        <f>IF('1. Live'!BZ77='check-Jul25'!BZ77,"",'1. Live'!BZ77-'check-Jul25'!BZ77)</f>
        <v/>
      </c>
      <c r="CA77" t="str">
        <f>IF('1. Live'!CA77='check-Jul25'!CA77,"",'1. Live'!CA77-'check-Jul25'!CA77)</f>
        <v/>
      </c>
      <c r="CB77" t="str">
        <f>IF('1. Live'!CB77='check-Jul25'!CB77,"",'1. Live'!CB77-'check-Jul25'!CB77)</f>
        <v/>
      </c>
      <c r="CC77" t="str">
        <f>IF('1. Live'!CC77='check-Jul25'!CC77,"",'1. Live'!CC77-'check-Jul25'!CC77)</f>
        <v/>
      </c>
      <c r="CD77" t="str">
        <f>IF('1. Live'!CD77='check-Jul25'!CD77,"",'1. Live'!CD77-'check-Jul25'!CD77)</f>
        <v/>
      </c>
      <c r="CE77" t="str">
        <f>IF('1. Live'!CE77='check-Jul25'!CE77,"",'1. Live'!CE77-'check-Jul25'!CE77)</f>
        <v/>
      </c>
      <c r="CF77" t="str">
        <f>IF('1. Live'!CF77='check-Jul25'!CF77,"",'1. Live'!CF77-'check-Jul25'!CF77)</f>
        <v/>
      </c>
      <c r="CG77" t="str">
        <f>IF('1. Live'!CG77='check-Jul25'!CG77,"",'1. Live'!CG77-'check-Jul25'!CG77)</f>
        <v/>
      </c>
      <c r="CH77" t="str">
        <f>IF('1. Live'!CH77='check-Jul25'!CH77,"",'1. Live'!CH77-'check-Jul25'!CH77)</f>
        <v/>
      </c>
      <c r="CI77" t="str">
        <f>IF('1. Live'!CI77='check-Jul25'!CI77,"",'1. Live'!CI77-'check-Jul25'!CI77)</f>
        <v/>
      </c>
      <c r="CJ77" t="str">
        <f>IF('1. Live'!CJ77='check-Jul25'!CJ77,"",'1. Live'!CJ77-'check-Jul25'!CJ77)</f>
        <v/>
      </c>
      <c r="CK77" t="str">
        <f>IF('1. Live'!CK77='check-Jul25'!CK77,"",'1. Live'!CK77-'check-Jul25'!CK77)</f>
        <v/>
      </c>
      <c r="CL77" t="str">
        <f>IF('1. Live'!CL77='check-Jul25'!CL77,"",'1. Live'!CL77-'check-Jul25'!CL77)</f>
        <v/>
      </c>
      <c r="CM77" t="str">
        <f>IF('1. Live'!CM77='check-Jul25'!CM77,"",'1. Live'!CM77-'check-Jul25'!CM77)</f>
        <v/>
      </c>
      <c r="CN77" t="str">
        <f>IF('1. Live'!CN77='check-Jul25'!CN77,"",'1. Live'!CN77-'check-Jul25'!CN77)</f>
        <v/>
      </c>
      <c r="CO77" t="str">
        <f>IF('1. Live'!CO77='check-Jul25'!CO77,"",'1. Live'!CO77-'check-Jul25'!CO77)</f>
        <v/>
      </c>
      <c r="CP77" t="str">
        <f>IF('1. Live'!CP77='check-Jul25'!CP77,"",'1. Live'!CP77-'check-Jul25'!CP77)</f>
        <v/>
      </c>
      <c r="CQ77" t="str">
        <f>IF('1. Live'!CQ77='check-Jul25'!CQ77,"",'1. Live'!CQ77-'check-Jul25'!CQ77)</f>
        <v/>
      </c>
      <c r="CR77" t="str">
        <f>IF('1. Live'!CR77='check-Jul25'!CR77,"",'1. Live'!CR77-'check-Jul25'!CR77)</f>
        <v/>
      </c>
      <c r="CS77" t="str">
        <f>IF('1. Live'!CS77='check-Jul25'!CS77,"",'1. Live'!CS77-'check-Jul25'!CS77)</f>
        <v/>
      </c>
      <c r="CT77" t="str">
        <f>IF('1. Live'!CT77='check-Jul25'!CT77,"",'1. Live'!CT77-'check-Jul25'!CT77)</f>
        <v/>
      </c>
      <c r="CU77" t="str">
        <f>IF('1. Live'!CU77='check-Jul25'!CU77,"",'1. Live'!CU77-'check-Jul25'!CU77)</f>
        <v/>
      </c>
      <c r="CV77" t="str">
        <f>IF('1. Live'!CV77='check-Jul25'!CV77,"",'1. Live'!CV77-'check-Jul25'!CV77)</f>
        <v/>
      </c>
      <c r="CW77" t="str">
        <f>IF('1. Live'!CW77='check-Jul25'!CW77,"",'1. Live'!CW77-'check-Jul25'!CW77)</f>
        <v/>
      </c>
    </row>
    <row r="78" spans="10:101">
      <c r="J78" t="str">
        <f>IF('1. Live'!J78='check-Jul25'!J78,"",'1. Live'!J78-'check-Jul25'!J78)</f>
        <v/>
      </c>
      <c r="K78" t="str">
        <f>IF('1. Live'!K78='check-Jul25'!K78,"",'1. Live'!K78-'check-Jul25'!K78)</f>
        <v/>
      </c>
      <c r="L78" t="str">
        <f>IF('1. Live'!L78='check-Jul25'!L78,"",'1. Live'!L78-'check-Jul25'!L78)</f>
        <v/>
      </c>
      <c r="M78" t="str">
        <f>IF('1. Live'!M78='check-Jul25'!M78,"",'1. Live'!M78-'check-Jul25'!M78)</f>
        <v/>
      </c>
      <c r="N78" t="str">
        <f>IF('1. Live'!N78='check-Jul25'!N78,"",'1. Live'!N78-'check-Jul25'!N78)</f>
        <v/>
      </c>
      <c r="O78" t="str">
        <f>IF('1. Live'!O78='check-Jul25'!O78,"",'1. Live'!O78-'check-Jul25'!O78)</f>
        <v/>
      </c>
      <c r="P78" t="str">
        <f>IF('1. Live'!P78='check-Jul25'!P78,"",'1. Live'!P78-'check-Jul25'!P78)</f>
        <v/>
      </c>
      <c r="Q78" t="str">
        <f>IF('1. Live'!Q78='check-Jul25'!Q78,"",'1. Live'!Q78-'check-Jul25'!Q78)</f>
        <v/>
      </c>
      <c r="R78" t="str">
        <f>IF('1. Live'!R78='check-Jul25'!R78,"",'1. Live'!R78-'check-Jul25'!R78)</f>
        <v/>
      </c>
      <c r="S78" t="str">
        <f>IF('1. Live'!S78='check-Jul25'!S78,"",'1. Live'!S78-'check-Jul25'!S78)</f>
        <v/>
      </c>
      <c r="T78" t="str">
        <f>IF('1. Live'!T78='check-Jul25'!T78,"",'1. Live'!T78-'check-Jul25'!T78)</f>
        <v/>
      </c>
      <c r="U78" t="str">
        <f>IF('1. Live'!U78='check-Jul25'!U78,"",'1. Live'!U78-'check-Jul25'!U78)</f>
        <v/>
      </c>
      <c r="V78" t="str">
        <f>IF('1. Live'!V78='check-Jul25'!V78,"",'1. Live'!V78-'check-Jul25'!V78)</f>
        <v/>
      </c>
      <c r="W78" t="str">
        <f>IF('1. Live'!W78='check-Jul25'!W78,"",'1. Live'!W78-'check-Jul25'!W78)</f>
        <v/>
      </c>
      <c r="X78" t="str">
        <f>IF('1. Live'!X78='check-Jul25'!X78,"",'1. Live'!X78-'check-Jul25'!X78)</f>
        <v/>
      </c>
      <c r="Y78" t="str">
        <f>IF('1. Live'!Y78='check-Jul25'!Y78,"",'1. Live'!Y78-'check-Jul25'!Y78)</f>
        <v/>
      </c>
      <c r="Z78" t="str">
        <f>IF('1. Live'!Z78='check-Jul25'!Z78,"",'1. Live'!Z78-'check-Jul25'!Z78)</f>
        <v/>
      </c>
      <c r="AA78" t="str">
        <f>IF('1. Live'!AA78='check-Jul25'!AA78,"",'1. Live'!AA78-'check-Jul25'!AA78)</f>
        <v/>
      </c>
      <c r="AB78" t="str">
        <f>IF('1. Live'!AB78='check-Jul25'!AB78,"",'1. Live'!AB78-'check-Jul25'!AB78)</f>
        <v/>
      </c>
      <c r="AC78" t="str">
        <f>IF('1. Live'!AC78='check-Jul25'!AC78,"",'1. Live'!AC78-'check-Jul25'!AC78)</f>
        <v/>
      </c>
      <c r="AD78" t="str">
        <f>IF('1. Live'!AD78='check-Jul25'!AD78,"",'1. Live'!AD78-'check-Jul25'!AD78)</f>
        <v/>
      </c>
      <c r="AE78" t="str">
        <f>IF('1. Live'!AE78='check-Jul25'!AE78,"",'1. Live'!AE78-'check-Jul25'!AE78)</f>
        <v/>
      </c>
      <c r="AF78" t="str">
        <f>IF('1. Live'!AF78='check-Jul25'!AF78,"",'1. Live'!AF78-'check-Jul25'!AF78)</f>
        <v/>
      </c>
      <c r="AG78" t="str">
        <f>IF('1. Live'!AG78='check-Jul25'!AG78,"",'1. Live'!AG78-'check-Jul25'!AG78)</f>
        <v/>
      </c>
      <c r="AH78" t="str">
        <f>IF('1. Live'!AH78='check-Jul25'!AH78,"",'1. Live'!AH78-'check-Jul25'!AH78)</f>
        <v/>
      </c>
      <c r="AI78" t="str">
        <f>IF('1. Live'!AI78='check-Jul25'!AI78,"",'1. Live'!AI78-'check-Jul25'!AI78)</f>
        <v/>
      </c>
      <c r="AJ78" t="str">
        <f>IF('1. Live'!AJ78='check-Jul25'!AJ78,"",'1. Live'!AJ78-'check-Jul25'!AJ78)</f>
        <v/>
      </c>
      <c r="AK78" t="str">
        <f>IF('1. Live'!AK78='check-Jul25'!AK78,"",'1. Live'!AK78-'check-Jul25'!AK78)</f>
        <v/>
      </c>
      <c r="AL78" t="str">
        <f>IF('1. Live'!AL78='check-Jul25'!AL78,"",'1. Live'!AL78-'check-Jul25'!AL78)</f>
        <v/>
      </c>
      <c r="AM78" t="str">
        <f>IF('1. Live'!AM78='check-Jul25'!AM78,"",'1. Live'!AM78-'check-Jul25'!AM78)</f>
        <v/>
      </c>
      <c r="AN78" t="str">
        <f>IF('1. Live'!AN78='check-Jul25'!AN78,"",'1. Live'!AN78-'check-Jul25'!AN78)</f>
        <v/>
      </c>
      <c r="AO78" t="str">
        <f>IF('1. Live'!AO78='check-Jul25'!AO78,"",'1. Live'!AO78-'check-Jul25'!AO78)</f>
        <v/>
      </c>
      <c r="AP78" t="str">
        <f>IF('1. Live'!AP78='check-Jul25'!AP78,"",'1. Live'!AP78-'check-Jul25'!AP78)</f>
        <v/>
      </c>
      <c r="AQ78" t="str">
        <f>IF('1. Live'!AQ78='check-Jul25'!AQ78,"",'1. Live'!AQ78-'check-Jul25'!AQ78)</f>
        <v/>
      </c>
      <c r="AR78" t="str">
        <f>IF('1. Live'!AR78='check-Jul25'!AR78,"",'1. Live'!AR78-'check-Jul25'!AR78)</f>
        <v/>
      </c>
      <c r="AS78" t="str">
        <f>IF('1. Live'!AS78='check-Jul25'!AS78,"",'1. Live'!AS78-'check-Jul25'!AS78)</f>
        <v/>
      </c>
      <c r="AT78" t="str">
        <f>IF('1. Live'!AT78='check-Jul25'!AT78,"",'1. Live'!AT78-'check-Jul25'!AT78)</f>
        <v/>
      </c>
      <c r="AU78" t="str">
        <f>IF('1. Live'!AU78='check-Jul25'!AU78,"",'1. Live'!AU78-'check-Jul25'!AU78)</f>
        <v/>
      </c>
      <c r="AV78" t="str">
        <f>IF('1. Live'!AV78='check-Jul25'!AV78,"",'1. Live'!AV78-'check-Jul25'!AV78)</f>
        <v/>
      </c>
      <c r="AW78" t="str">
        <f>IF('1. Live'!AW78='check-Jul25'!AW78,"",'1. Live'!AW78-'check-Jul25'!AW78)</f>
        <v/>
      </c>
      <c r="AX78" t="str">
        <f>IF('1. Live'!AX78='check-Jul25'!AX78,"",'1. Live'!AX78-'check-Jul25'!AX78)</f>
        <v/>
      </c>
      <c r="AY78" t="str">
        <f>IF('1. Live'!AY78='check-Jul25'!AY78,"",'1. Live'!AY78-'check-Jul25'!AY78)</f>
        <v/>
      </c>
      <c r="AZ78" t="str">
        <f>IF('1. Live'!AZ78='check-Jul25'!AZ78,"",'1. Live'!AZ78-'check-Jul25'!AZ78)</f>
        <v/>
      </c>
      <c r="BA78" t="str">
        <f>IF('1. Live'!BA78='check-Jul25'!BA78,"",'1. Live'!BA78-'check-Jul25'!BA78)</f>
        <v/>
      </c>
      <c r="BB78" t="str">
        <f>IF('1. Live'!BB78='check-Jul25'!BB78,"",'1. Live'!BB78-'check-Jul25'!BB78)</f>
        <v/>
      </c>
      <c r="BC78" t="str">
        <f>IF('1. Live'!BC78='check-Jul25'!BC78,"",'1. Live'!BC78-'check-Jul25'!BC78)</f>
        <v/>
      </c>
      <c r="BD78" t="str">
        <f>IF('1. Live'!BD78='check-Jul25'!BD78,"",'1. Live'!BD78-'check-Jul25'!BD78)</f>
        <v/>
      </c>
      <c r="BE78" t="str">
        <f>IF('1. Live'!BE78='check-Jul25'!BE78,"",'1. Live'!BE78-'check-Jul25'!BE78)</f>
        <v/>
      </c>
      <c r="BF78" t="str">
        <f>IF('1. Live'!BF78='check-Jul25'!BF78,"",'1. Live'!BF78-'check-Jul25'!BF78)</f>
        <v/>
      </c>
      <c r="BG78" t="str">
        <f>IF('1. Live'!BG78='check-Jul25'!BG78,"",'1. Live'!BG78-'check-Jul25'!BG78)</f>
        <v/>
      </c>
      <c r="BH78" t="str">
        <f>IF('1. Live'!BH78='check-Jul25'!BH78,"",'1. Live'!BH78-'check-Jul25'!BH78)</f>
        <v/>
      </c>
      <c r="BI78" t="str">
        <f>IF('1. Live'!BI78='check-Jul25'!BI78,"",'1. Live'!BI78-'check-Jul25'!BI78)</f>
        <v/>
      </c>
      <c r="BJ78" t="str">
        <f>IF('1. Live'!BJ78='check-Jul25'!BJ78,"",'1. Live'!BJ78-'check-Jul25'!BJ78)</f>
        <v/>
      </c>
      <c r="BK78" t="str">
        <f>IF('1. Live'!BK78='check-Jul25'!BK78,"",'1. Live'!BK78-'check-Jul25'!BK78)</f>
        <v/>
      </c>
      <c r="BL78" t="str">
        <f>IF('1. Live'!BL78='check-Jul25'!BL78,"",'1. Live'!BL78-'check-Jul25'!BL78)</f>
        <v/>
      </c>
      <c r="BM78" t="str">
        <f>IF('1. Live'!BM78='check-Jul25'!BM78,"",'1. Live'!BM78-'check-Jul25'!BM78)</f>
        <v/>
      </c>
      <c r="BN78" t="str">
        <f>IF('1. Live'!BN78='check-Jul25'!BN78,"",'1. Live'!BN78-'check-Jul25'!BN78)</f>
        <v/>
      </c>
      <c r="BO78" t="str">
        <f>IF('1. Live'!BO78='check-Jul25'!BO78,"",'1. Live'!BO78-'check-Jul25'!BO78)</f>
        <v/>
      </c>
      <c r="BP78" t="str">
        <f>IF('1. Live'!BP78='check-Jul25'!BP78,"",'1. Live'!BP78-'check-Jul25'!BP78)</f>
        <v/>
      </c>
      <c r="BQ78" t="str">
        <f>IF('1. Live'!BQ78='check-Jul25'!BQ78,"",'1. Live'!BQ78-'check-Jul25'!BQ78)</f>
        <v/>
      </c>
      <c r="BR78" t="str">
        <f>IF('1. Live'!BR78='check-Jul25'!BR78,"",'1. Live'!BR78-'check-Jul25'!BR78)</f>
        <v/>
      </c>
      <c r="BS78" t="str">
        <f>IF('1. Live'!BS78='check-Jul25'!BS78,"",'1. Live'!BS78-'check-Jul25'!BS78)</f>
        <v/>
      </c>
      <c r="BT78" t="str">
        <f>IF('1. Live'!BT78='check-Jul25'!BT78,"",'1. Live'!BT78-'check-Jul25'!BT78)</f>
        <v/>
      </c>
      <c r="BU78" t="str">
        <f>IF('1. Live'!BU78='check-Jul25'!BU78,"",'1. Live'!BU78-'check-Jul25'!BU78)</f>
        <v/>
      </c>
      <c r="BV78" t="str">
        <f>IF('1. Live'!BV78='check-Jul25'!BV78,"",'1. Live'!BV78-'check-Jul25'!BV78)</f>
        <v/>
      </c>
      <c r="BW78" t="str">
        <f>IF('1. Live'!BW78='check-Jul25'!BW78,"",'1. Live'!BW78-'check-Jul25'!BW78)</f>
        <v/>
      </c>
      <c r="BX78" t="str">
        <f>IF('1. Live'!BX78='check-Jul25'!BX78,"",'1. Live'!BX78-'check-Jul25'!BX78)</f>
        <v/>
      </c>
      <c r="BY78" t="str">
        <f>IF('1. Live'!BY78='check-Jul25'!BY78,"",'1. Live'!BY78-'check-Jul25'!BY78)</f>
        <v/>
      </c>
      <c r="BZ78" t="str">
        <f>IF('1. Live'!BZ78='check-Jul25'!BZ78,"",'1. Live'!BZ78-'check-Jul25'!BZ78)</f>
        <v/>
      </c>
      <c r="CA78" t="str">
        <f>IF('1. Live'!CA78='check-Jul25'!CA78,"",'1. Live'!CA78-'check-Jul25'!CA78)</f>
        <v/>
      </c>
      <c r="CB78" t="str">
        <f>IF('1. Live'!CB78='check-Jul25'!CB78,"",'1. Live'!CB78-'check-Jul25'!CB78)</f>
        <v/>
      </c>
      <c r="CC78" t="str">
        <f>IF('1. Live'!CC78='check-Jul25'!CC78,"",'1. Live'!CC78-'check-Jul25'!CC78)</f>
        <v/>
      </c>
      <c r="CD78" t="str">
        <f>IF('1. Live'!CD78='check-Jul25'!CD78,"",'1. Live'!CD78-'check-Jul25'!CD78)</f>
        <v/>
      </c>
      <c r="CE78" t="str">
        <f>IF('1. Live'!CE78='check-Jul25'!CE78,"",'1. Live'!CE78-'check-Jul25'!CE78)</f>
        <v/>
      </c>
      <c r="CF78" t="str">
        <f>IF('1. Live'!CF78='check-Jul25'!CF78,"",'1. Live'!CF78-'check-Jul25'!CF78)</f>
        <v/>
      </c>
      <c r="CG78" t="str">
        <f>IF('1. Live'!CG78='check-Jul25'!CG78,"",'1. Live'!CG78-'check-Jul25'!CG78)</f>
        <v/>
      </c>
      <c r="CH78" t="str">
        <f>IF('1. Live'!CH78='check-Jul25'!CH78,"",'1. Live'!CH78-'check-Jul25'!CH78)</f>
        <v/>
      </c>
      <c r="CI78" t="str">
        <f>IF('1. Live'!CI78='check-Jul25'!CI78,"",'1. Live'!CI78-'check-Jul25'!CI78)</f>
        <v/>
      </c>
      <c r="CJ78" t="str">
        <f>IF('1. Live'!CJ78='check-Jul25'!CJ78,"",'1. Live'!CJ78-'check-Jul25'!CJ78)</f>
        <v/>
      </c>
      <c r="CK78" t="str">
        <f>IF('1. Live'!CK78='check-Jul25'!CK78,"",'1. Live'!CK78-'check-Jul25'!CK78)</f>
        <v/>
      </c>
      <c r="CL78" t="str">
        <f>IF('1. Live'!CL78='check-Jul25'!CL78,"",'1. Live'!CL78-'check-Jul25'!CL78)</f>
        <v/>
      </c>
      <c r="CM78" t="str">
        <f>IF('1. Live'!CM78='check-Jul25'!CM78,"",'1. Live'!CM78-'check-Jul25'!CM78)</f>
        <v/>
      </c>
      <c r="CN78" t="str">
        <f>IF('1. Live'!CN78='check-Jul25'!CN78,"",'1. Live'!CN78-'check-Jul25'!CN78)</f>
        <v/>
      </c>
      <c r="CO78" t="str">
        <f>IF('1. Live'!CO78='check-Jul25'!CO78,"",'1. Live'!CO78-'check-Jul25'!CO78)</f>
        <v/>
      </c>
      <c r="CP78" t="str">
        <f>IF('1. Live'!CP78='check-Jul25'!CP78,"",'1. Live'!CP78-'check-Jul25'!CP78)</f>
        <v/>
      </c>
      <c r="CQ78" t="str">
        <f>IF('1. Live'!CQ78='check-Jul25'!CQ78,"",'1. Live'!CQ78-'check-Jul25'!CQ78)</f>
        <v/>
      </c>
      <c r="CR78" t="str">
        <f>IF('1. Live'!CR78='check-Jul25'!CR78,"",'1. Live'!CR78-'check-Jul25'!CR78)</f>
        <v/>
      </c>
      <c r="CS78" t="str">
        <f>IF('1. Live'!CS78='check-Jul25'!CS78,"",'1. Live'!CS78-'check-Jul25'!CS78)</f>
        <v/>
      </c>
      <c r="CT78" t="str">
        <f>IF('1. Live'!CT78='check-Jul25'!CT78,"",'1. Live'!CT78-'check-Jul25'!CT78)</f>
        <v/>
      </c>
      <c r="CU78" t="str">
        <f>IF('1. Live'!CU78='check-Jul25'!CU78,"",'1. Live'!CU78-'check-Jul25'!CU78)</f>
        <v/>
      </c>
      <c r="CV78" t="str">
        <f>IF('1. Live'!CV78='check-Jul25'!CV78,"",'1. Live'!CV78-'check-Jul25'!CV78)</f>
        <v/>
      </c>
      <c r="CW78" t="str">
        <f>IF('1. Live'!CW78='check-Jul25'!CW78,"",'1. Live'!CW78-'check-Jul25'!CW78)</f>
        <v/>
      </c>
    </row>
    <row r="79" spans="10:101">
      <c r="J79" t="str">
        <f>IF('1. Live'!J79='check-Jul25'!J79,"",'1. Live'!J79-'check-Jul25'!J79)</f>
        <v/>
      </c>
      <c r="K79" t="str">
        <f>IF('1. Live'!K79='check-Jul25'!K79,"",'1. Live'!K79-'check-Jul25'!K79)</f>
        <v/>
      </c>
      <c r="L79" t="str">
        <f>IF('1. Live'!L79='check-Jul25'!L79,"",'1. Live'!L79-'check-Jul25'!L79)</f>
        <v/>
      </c>
      <c r="M79" t="str">
        <f>IF('1. Live'!M79='check-Jul25'!M79,"",'1. Live'!M79-'check-Jul25'!M79)</f>
        <v/>
      </c>
      <c r="N79" t="str">
        <f>IF('1. Live'!N79='check-Jul25'!N79,"",'1. Live'!N79-'check-Jul25'!N79)</f>
        <v/>
      </c>
      <c r="O79" t="str">
        <f>IF('1. Live'!O79='check-Jul25'!O79,"",'1. Live'!O79-'check-Jul25'!O79)</f>
        <v/>
      </c>
      <c r="P79" t="str">
        <f>IF('1. Live'!P79='check-Jul25'!P79,"",'1. Live'!P79-'check-Jul25'!P79)</f>
        <v/>
      </c>
      <c r="Q79" t="str">
        <f>IF('1. Live'!Q79='check-Jul25'!Q79,"",'1. Live'!Q79-'check-Jul25'!Q79)</f>
        <v/>
      </c>
      <c r="R79" t="str">
        <f>IF('1. Live'!R79='check-Jul25'!R79,"",'1. Live'!R79-'check-Jul25'!R79)</f>
        <v/>
      </c>
      <c r="S79" t="str">
        <f>IF('1. Live'!S79='check-Jul25'!S79,"",'1. Live'!S79-'check-Jul25'!S79)</f>
        <v/>
      </c>
      <c r="T79" t="str">
        <f>IF('1. Live'!T79='check-Jul25'!T79,"",'1. Live'!T79-'check-Jul25'!T79)</f>
        <v/>
      </c>
      <c r="U79" t="str">
        <f>IF('1. Live'!U79='check-Jul25'!U79,"",'1. Live'!U79-'check-Jul25'!U79)</f>
        <v/>
      </c>
      <c r="V79" t="str">
        <f>IF('1. Live'!V79='check-Jul25'!V79,"",'1. Live'!V79-'check-Jul25'!V79)</f>
        <v/>
      </c>
      <c r="W79" t="str">
        <f>IF('1. Live'!W79='check-Jul25'!W79,"",'1. Live'!W79-'check-Jul25'!W79)</f>
        <v/>
      </c>
      <c r="X79" t="str">
        <f>IF('1. Live'!X79='check-Jul25'!X79,"",'1. Live'!X79-'check-Jul25'!X79)</f>
        <v/>
      </c>
      <c r="Y79" t="str">
        <f>IF('1. Live'!Y79='check-Jul25'!Y79,"",'1. Live'!Y79-'check-Jul25'!Y79)</f>
        <v/>
      </c>
      <c r="Z79" t="str">
        <f>IF('1. Live'!Z79='check-Jul25'!Z79,"",'1. Live'!Z79-'check-Jul25'!Z79)</f>
        <v/>
      </c>
      <c r="AA79" t="str">
        <f>IF('1. Live'!AA79='check-Jul25'!AA79,"",'1. Live'!AA79-'check-Jul25'!AA79)</f>
        <v/>
      </c>
      <c r="AB79" t="str">
        <f>IF('1. Live'!AB79='check-Jul25'!AB79,"",'1. Live'!AB79-'check-Jul25'!AB79)</f>
        <v/>
      </c>
      <c r="AC79" t="str">
        <f>IF('1. Live'!AC79='check-Jul25'!AC79,"",'1. Live'!AC79-'check-Jul25'!AC79)</f>
        <v/>
      </c>
      <c r="AD79" t="str">
        <f>IF('1. Live'!AD79='check-Jul25'!AD79,"",'1. Live'!AD79-'check-Jul25'!AD79)</f>
        <v/>
      </c>
      <c r="AE79" t="str">
        <f>IF('1. Live'!AE79='check-Jul25'!AE79,"",'1. Live'!AE79-'check-Jul25'!AE79)</f>
        <v/>
      </c>
      <c r="AF79" t="str">
        <f>IF('1. Live'!AF79='check-Jul25'!AF79,"",'1. Live'!AF79-'check-Jul25'!AF79)</f>
        <v/>
      </c>
      <c r="AG79" t="str">
        <f>IF('1. Live'!AG79='check-Jul25'!AG79,"",'1. Live'!AG79-'check-Jul25'!AG79)</f>
        <v/>
      </c>
      <c r="AH79" t="str">
        <f>IF('1. Live'!AH79='check-Jul25'!AH79,"",'1. Live'!AH79-'check-Jul25'!AH79)</f>
        <v/>
      </c>
      <c r="AI79" t="str">
        <f>IF('1. Live'!AI79='check-Jul25'!AI79,"",'1. Live'!AI79-'check-Jul25'!AI79)</f>
        <v/>
      </c>
      <c r="AJ79" t="str">
        <f>IF('1. Live'!AJ79='check-Jul25'!AJ79,"",'1. Live'!AJ79-'check-Jul25'!AJ79)</f>
        <v/>
      </c>
      <c r="AK79" t="str">
        <f>IF('1. Live'!AK79='check-Jul25'!AK79,"",'1. Live'!AK79-'check-Jul25'!AK79)</f>
        <v/>
      </c>
      <c r="AL79" t="str">
        <f>IF('1. Live'!AL79='check-Jul25'!AL79,"",'1. Live'!AL79-'check-Jul25'!AL79)</f>
        <v/>
      </c>
      <c r="AM79" t="str">
        <f>IF('1. Live'!AM79='check-Jul25'!AM79,"",'1. Live'!AM79-'check-Jul25'!AM79)</f>
        <v/>
      </c>
      <c r="AN79" t="str">
        <f>IF('1. Live'!AN79='check-Jul25'!AN79,"",'1. Live'!AN79-'check-Jul25'!AN79)</f>
        <v/>
      </c>
      <c r="AO79" t="str">
        <f>IF('1. Live'!AO79='check-Jul25'!AO79,"",'1. Live'!AO79-'check-Jul25'!AO79)</f>
        <v/>
      </c>
      <c r="AP79" t="str">
        <f>IF('1. Live'!AP79='check-Jul25'!AP79,"",'1. Live'!AP79-'check-Jul25'!AP79)</f>
        <v/>
      </c>
      <c r="AQ79" t="str">
        <f>IF('1. Live'!AQ79='check-Jul25'!AQ79,"",'1. Live'!AQ79-'check-Jul25'!AQ79)</f>
        <v/>
      </c>
      <c r="AR79" t="str">
        <f>IF('1. Live'!AR79='check-Jul25'!AR79,"",'1. Live'!AR79-'check-Jul25'!AR79)</f>
        <v/>
      </c>
      <c r="AS79" t="str">
        <f>IF('1. Live'!AS79='check-Jul25'!AS79,"",'1. Live'!AS79-'check-Jul25'!AS79)</f>
        <v/>
      </c>
      <c r="AT79" t="str">
        <f>IF('1. Live'!AT79='check-Jul25'!AT79,"",'1. Live'!AT79-'check-Jul25'!AT79)</f>
        <v/>
      </c>
      <c r="AU79" t="str">
        <f>IF('1. Live'!AU79='check-Jul25'!AU79,"",'1. Live'!AU79-'check-Jul25'!AU79)</f>
        <v/>
      </c>
      <c r="AV79" t="str">
        <f>IF('1. Live'!AV79='check-Jul25'!AV79,"",'1. Live'!AV79-'check-Jul25'!AV79)</f>
        <v/>
      </c>
      <c r="AW79" t="str">
        <f>IF('1. Live'!AW79='check-Jul25'!AW79,"",'1. Live'!AW79-'check-Jul25'!AW79)</f>
        <v/>
      </c>
      <c r="AX79" t="str">
        <f>IF('1. Live'!AX79='check-Jul25'!AX79,"",'1. Live'!AX79-'check-Jul25'!AX79)</f>
        <v/>
      </c>
      <c r="AY79" t="str">
        <f>IF('1. Live'!AY79='check-Jul25'!AY79,"",'1. Live'!AY79-'check-Jul25'!AY79)</f>
        <v/>
      </c>
      <c r="AZ79" t="str">
        <f>IF('1. Live'!AZ79='check-Jul25'!AZ79,"",'1. Live'!AZ79-'check-Jul25'!AZ79)</f>
        <v/>
      </c>
      <c r="BA79" t="str">
        <f>IF('1. Live'!BA79='check-Jul25'!BA79,"",'1. Live'!BA79-'check-Jul25'!BA79)</f>
        <v/>
      </c>
      <c r="BB79" t="str">
        <f>IF('1. Live'!BB79='check-Jul25'!BB79,"",'1. Live'!BB79-'check-Jul25'!BB79)</f>
        <v/>
      </c>
      <c r="BC79" t="str">
        <f>IF('1. Live'!BC79='check-Jul25'!BC79,"",'1. Live'!BC79-'check-Jul25'!BC79)</f>
        <v/>
      </c>
      <c r="BD79" t="str">
        <f>IF('1. Live'!BD79='check-Jul25'!BD79,"",'1. Live'!BD79-'check-Jul25'!BD79)</f>
        <v/>
      </c>
      <c r="BE79" t="str">
        <f>IF('1. Live'!BE79='check-Jul25'!BE79,"",'1. Live'!BE79-'check-Jul25'!BE79)</f>
        <v/>
      </c>
      <c r="BF79" t="str">
        <f>IF('1. Live'!BF79='check-Jul25'!BF79,"",'1. Live'!BF79-'check-Jul25'!BF79)</f>
        <v/>
      </c>
      <c r="BG79" t="str">
        <f>IF('1. Live'!BG79='check-Jul25'!BG79,"",'1. Live'!BG79-'check-Jul25'!BG79)</f>
        <v/>
      </c>
      <c r="BH79" t="str">
        <f>IF('1. Live'!BH79='check-Jul25'!BH79,"",'1. Live'!BH79-'check-Jul25'!BH79)</f>
        <v/>
      </c>
      <c r="BI79" t="str">
        <f>IF('1. Live'!BI79='check-Jul25'!BI79,"",'1. Live'!BI79-'check-Jul25'!BI79)</f>
        <v/>
      </c>
      <c r="BJ79" t="str">
        <f>IF('1. Live'!BJ79='check-Jul25'!BJ79,"",'1. Live'!BJ79-'check-Jul25'!BJ79)</f>
        <v/>
      </c>
      <c r="BK79" t="str">
        <f>IF('1. Live'!BK79='check-Jul25'!BK79,"",'1. Live'!BK79-'check-Jul25'!BK79)</f>
        <v/>
      </c>
      <c r="BL79" t="str">
        <f>IF('1. Live'!BL79='check-Jul25'!BL79,"",'1. Live'!BL79-'check-Jul25'!BL79)</f>
        <v/>
      </c>
      <c r="BM79" t="str">
        <f>IF('1. Live'!BM79='check-Jul25'!BM79,"",'1. Live'!BM79-'check-Jul25'!BM79)</f>
        <v/>
      </c>
      <c r="BN79" t="str">
        <f>IF('1. Live'!BN79='check-Jul25'!BN79,"",'1. Live'!BN79-'check-Jul25'!BN79)</f>
        <v/>
      </c>
      <c r="BO79" t="str">
        <f>IF('1. Live'!BO79='check-Jul25'!BO79,"",'1. Live'!BO79-'check-Jul25'!BO79)</f>
        <v/>
      </c>
      <c r="BP79" t="str">
        <f>IF('1. Live'!BP79='check-Jul25'!BP79,"",'1. Live'!BP79-'check-Jul25'!BP79)</f>
        <v/>
      </c>
      <c r="BQ79" t="str">
        <f>IF('1. Live'!BQ79='check-Jul25'!BQ79,"",'1. Live'!BQ79-'check-Jul25'!BQ79)</f>
        <v/>
      </c>
      <c r="BR79" t="str">
        <f>IF('1. Live'!BR79='check-Jul25'!BR79,"",'1. Live'!BR79-'check-Jul25'!BR79)</f>
        <v/>
      </c>
      <c r="BS79" t="str">
        <f>IF('1. Live'!BS79='check-Jul25'!BS79,"",'1. Live'!BS79-'check-Jul25'!BS79)</f>
        <v/>
      </c>
      <c r="BT79" t="str">
        <f>IF('1. Live'!BT79='check-Jul25'!BT79,"",'1. Live'!BT79-'check-Jul25'!BT79)</f>
        <v/>
      </c>
      <c r="BU79" t="str">
        <f>IF('1. Live'!BU79='check-Jul25'!BU79,"",'1. Live'!BU79-'check-Jul25'!BU79)</f>
        <v/>
      </c>
      <c r="BV79" t="str">
        <f>IF('1. Live'!BV79='check-Jul25'!BV79,"",'1. Live'!BV79-'check-Jul25'!BV79)</f>
        <v/>
      </c>
      <c r="BW79" t="str">
        <f>IF('1. Live'!BW79='check-Jul25'!BW79,"",'1. Live'!BW79-'check-Jul25'!BW79)</f>
        <v/>
      </c>
      <c r="BX79" t="str">
        <f>IF('1. Live'!BX79='check-Jul25'!BX79,"",'1. Live'!BX79-'check-Jul25'!BX79)</f>
        <v/>
      </c>
      <c r="BY79" t="str">
        <f>IF('1. Live'!BY79='check-Jul25'!BY79,"",'1. Live'!BY79-'check-Jul25'!BY79)</f>
        <v/>
      </c>
      <c r="BZ79" t="str">
        <f>IF('1. Live'!BZ79='check-Jul25'!BZ79,"",'1. Live'!BZ79-'check-Jul25'!BZ79)</f>
        <v/>
      </c>
      <c r="CA79" t="str">
        <f>IF('1. Live'!CA79='check-Jul25'!CA79,"",'1. Live'!CA79-'check-Jul25'!CA79)</f>
        <v/>
      </c>
      <c r="CB79" t="str">
        <f>IF('1. Live'!CB79='check-Jul25'!CB79,"",'1. Live'!CB79-'check-Jul25'!CB79)</f>
        <v/>
      </c>
      <c r="CC79" t="str">
        <f>IF('1. Live'!CC79='check-Jul25'!CC79,"",'1. Live'!CC79-'check-Jul25'!CC79)</f>
        <v/>
      </c>
      <c r="CD79" t="str">
        <f>IF('1. Live'!CD79='check-Jul25'!CD79,"",'1. Live'!CD79-'check-Jul25'!CD79)</f>
        <v/>
      </c>
      <c r="CE79" t="str">
        <f>IF('1. Live'!CE79='check-Jul25'!CE79,"",'1. Live'!CE79-'check-Jul25'!CE79)</f>
        <v/>
      </c>
      <c r="CF79" t="str">
        <f>IF('1. Live'!CF79='check-Jul25'!CF79,"",'1. Live'!CF79-'check-Jul25'!CF79)</f>
        <v/>
      </c>
      <c r="CG79" t="str">
        <f>IF('1. Live'!CG79='check-Jul25'!CG79,"",'1. Live'!CG79-'check-Jul25'!CG79)</f>
        <v/>
      </c>
      <c r="CH79" t="str">
        <f>IF('1. Live'!CH79='check-Jul25'!CH79,"",'1. Live'!CH79-'check-Jul25'!CH79)</f>
        <v/>
      </c>
      <c r="CI79" t="str">
        <f>IF('1. Live'!CI79='check-Jul25'!CI79,"",'1. Live'!CI79-'check-Jul25'!CI79)</f>
        <v/>
      </c>
      <c r="CJ79" t="str">
        <f>IF('1. Live'!CJ79='check-Jul25'!CJ79,"",'1. Live'!CJ79-'check-Jul25'!CJ79)</f>
        <v/>
      </c>
      <c r="CK79" t="str">
        <f>IF('1. Live'!CK79='check-Jul25'!CK79,"",'1. Live'!CK79-'check-Jul25'!CK79)</f>
        <v/>
      </c>
      <c r="CL79" t="str">
        <f>IF('1. Live'!CL79='check-Jul25'!CL79,"",'1. Live'!CL79-'check-Jul25'!CL79)</f>
        <v/>
      </c>
      <c r="CM79" t="str">
        <f>IF('1. Live'!CM79='check-Jul25'!CM79,"",'1. Live'!CM79-'check-Jul25'!CM79)</f>
        <v/>
      </c>
      <c r="CN79" t="str">
        <f>IF('1. Live'!CN79='check-Jul25'!CN79,"",'1. Live'!CN79-'check-Jul25'!CN79)</f>
        <v/>
      </c>
      <c r="CO79" t="str">
        <f>IF('1. Live'!CO79='check-Jul25'!CO79,"",'1. Live'!CO79-'check-Jul25'!CO79)</f>
        <v/>
      </c>
      <c r="CP79" t="str">
        <f>IF('1. Live'!CP79='check-Jul25'!CP79,"",'1. Live'!CP79-'check-Jul25'!CP79)</f>
        <v/>
      </c>
      <c r="CQ79" t="str">
        <f>IF('1. Live'!CQ79='check-Jul25'!CQ79,"",'1. Live'!CQ79-'check-Jul25'!CQ79)</f>
        <v/>
      </c>
      <c r="CR79" t="str">
        <f>IF('1. Live'!CR79='check-Jul25'!CR79,"",'1. Live'!CR79-'check-Jul25'!CR79)</f>
        <v/>
      </c>
      <c r="CS79" t="str">
        <f>IF('1. Live'!CS79='check-Jul25'!CS79,"",'1. Live'!CS79-'check-Jul25'!CS79)</f>
        <v/>
      </c>
      <c r="CT79" t="str">
        <f>IF('1. Live'!CT79='check-Jul25'!CT79,"",'1. Live'!CT79-'check-Jul25'!CT79)</f>
        <v/>
      </c>
      <c r="CU79" t="str">
        <f>IF('1. Live'!CU79='check-Jul25'!CU79,"",'1. Live'!CU79-'check-Jul25'!CU79)</f>
        <v/>
      </c>
      <c r="CV79" t="str">
        <f>IF('1. Live'!CV79='check-Jul25'!CV79,"",'1. Live'!CV79-'check-Jul25'!CV79)</f>
        <v/>
      </c>
      <c r="CW79" t="str">
        <f>IF('1. Live'!CW79='check-Jul25'!CW79,"",'1. Live'!CW79-'check-Jul25'!CW79)</f>
        <v/>
      </c>
    </row>
    <row r="80" spans="10:101">
      <c r="J80" t="str">
        <f>IF('1. Live'!J80='check-Jul25'!J80,"",'1. Live'!J80-'check-Jul25'!J80)</f>
        <v/>
      </c>
      <c r="K80" t="str">
        <f>IF('1. Live'!K80='check-Jul25'!K80,"",'1. Live'!K80-'check-Jul25'!K80)</f>
        <v/>
      </c>
      <c r="L80" t="str">
        <f>IF('1. Live'!L80='check-Jul25'!L80,"",'1. Live'!L80-'check-Jul25'!L80)</f>
        <v/>
      </c>
      <c r="M80" t="str">
        <f>IF('1. Live'!M80='check-Jul25'!M80,"",'1. Live'!M80-'check-Jul25'!M80)</f>
        <v/>
      </c>
      <c r="N80" t="str">
        <f>IF('1. Live'!N80='check-Jul25'!N80,"",'1. Live'!N80-'check-Jul25'!N80)</f>
        <v/>
      </c>
      <c r="O80" t="str">
        <f>IF('1. Live'!O80='check-Jul25'!O80,"",'1. Live'!O80-'check-Jul25'!O80)</f>
        <v/>
      </c>
      <c r="P80" t="str">
        <f>IF('1. Live'!P80='check-Jul25'!P80,"",'1. Live'!P80-'check-Jul25'!P80)</f>
        <v/>
      </c>
      <c r="Q80" t="str">
        <f>IF('1. Live'!Q80='check-Jul25'!Q80,"",'1. Live'!Q80-'check-Jul25'!Q80)</f>
        <v/>
      </c>
      <c r="R80" t="str">
        <f>IF('1. Live'!R80='check-Jul25'!R80,"",'1. Live'!R80-'check-Jul25'!R80)</f>
        <v/>
      </c>
      <c r="S80" t="str">
        <f>IF('1. Live'!S80='check-Jul25'!S80,"",'1. Live'!S80-'check-Jul25'!S80)</f>
        <v/>
      </c>
      <c r="T80" t="str">
        <f>IF('1. Live'!T80='check-Jul25'!T80,"",'1. Live'!T80-'check-Jul25'!T80)</f>
        <v/>
      </c>
      <c r="U80" t="str">
        <f>IF('1. Live'!U80='check-Jul25'!U80,"",'1. Live'!U80-'check-Jul25'!U80)</f>
        <v/>
      </c>
      <c r="V80" t="str">
        <f>IF('1. Live'!V80='check-Jul25'!V80,"",'1. Live'!V80-'check-Jul25'!V80)</f>
        <v/>
      </c>
      <c r="W80" t="str">
        <f>IF('1. Live'!W80='check-Jul25'!W80,"",'1. Live'!W80-'check-Jul25'!W80)</f>
        <v/>
      </c>
      <c r="X80" t="str">
        <f>IF('1. Live'!X80='check-Jul25'!X80,"",'1. Live'!X80-'check-Jul25'!X80)</f>
        <v/>
      </c>
      <c r="Y80" t="str">
        <f>IF('1. Live'!Y80='check-Jul25'!Y80,"",'1. Live'!Y80-'check-Jul25'!Y80)</f>
        <v/>
      </c>
      <c r="Z80" t="str">
        <f>IF('1. Live'!Z80='check-Jul25'!Z80,"",'1. Live'!Z80-'check-Jul25'!Z80)</f>
        <v/>
      </c>
      <c r="AA80" t="str">
        <f>IF('1. Live'!AA80='check-Jul25'!AA80,"",'1. Live'!AA80-'check-Jul25'!AA80)</f>
        <v/>
      </c>
      <c r="AB80" t="str">
        <f>IF('1. Live'!AB80='check-Jul25'!AB80,"",'1. Live'!AB80-'check-Jul25'!AB80)</f>
        <v/>
      </c>
      <c r="AC80" t="str">
        <f>IF('1. Live'!AC80='check-Jul25'!AC80,"",'1. Live'!AC80-'check-Jul25'!AC80)</f>
        <v/>
      </c>
      <c r="AD80" t="str">
        <f>IF('1. Live'!AD80='check-Jul25'!AD80,"",'1. Live'!AD80-'check-Jul25'!AD80)</f>
        <v/>
      </c>
      <c r="AE80" t="str">
        <f>IF('1. Live'!AE80='check-Jul25'!AE80,"",'1. Live'!AE80-'check-Jul25'!AE80)</f>
        <v/>
      </c>
      <c r="AF80" t="str">
        <f>IF('1. Live'!AF80='check-Jul25'!AF80,"",'1. Live'!AF80-'check-Jul25'!AF80)</f>
        <v/>
      </c>
      <c r="AG80" t="str">
        <f>IF('1. Live'!AG80='check-Jul25'!AG80,"",'1. Live'!AG80-'check-Jul25'!AG80)</f>
        <v/>
      </c>
      <c r="AH80" t="str">
        <f>IF('1. Live'!AH80='check-Jul25'!AH80,"",'1. Live'!AH80-'check-Jul25'!AH80)</f>
        <v/>
      </c>
      <c r="AI80" t="str">
        <f>IF('1. Live'!AI80='check-Jul25'!AI80,"",'1. Live'!AI80-'check-Jul25'!AI80)</f>
        <v/>
      </c>
      <c r="AJ80" t="str">
        <f>IF('1. Live'!AJ80='check-Jul25'!AJ80,"",'1. Live'!AJ80-'check-Jul25'!AJ80)</f>
        <v/>
      </c>
      <c r="AK80" t="str">
        <f>IF('1. Live'!AK80='check-Jul25'!AK80,"",'1. Live'!AK80-'check-Jul25'!AK80)</f>
        <v/>
      </c>
      <c r="AL80" t="str">
        <f>IF('1. Live'!AL80='check-Jul25'!AL80,"",'1. Live'!AL80-'check-Jul25'!AL80)</f>
        <v/>
      </c>
      <c r="AM80" t="str">
        <f>IF('1. Live'!AM80='check-Jul25'!AM80,"",'1. Live'!AM80-'check-Jul25'!AM80)</f>
        <v/>
      </c>
      <c r="AN80" t="str">
        <f>IF('1. Live'!AN80='check-Jul25'!AN80,"",'1. Live'!AN80-'check-Jul25'!AN80)</f>
        <v/>
      </c>
      <c r="AO80" t="str">
        <f>IF('1. Live'!AO80='check-Jul25'!AO80,"",'1. Live'!AO80-'check-Jul25'!AO80)</f>
        <v/>
      </c>
      <c r="AP80" t="str">
        <f>IF('1. Live'!AP80='check-Jul25'!AP80,"",'1. Live'!AP80-'check-Jul25'!AP80)</f>
        <v/>
      </c>
      <c r="AQ80" t="str">
        <f>IF('1. Live'!AQ80='check-Jul25'!AQ80,"",'1. Live'!AQ80-'check-Jul25'!AQ80)</f>
        <v/>
      </c>
      <c r="AR80" t="str">
        <f>IF('1. Live'!AR80='check-Jul25'!AR80,"",'1. Live'!AR80-'check-Jul25'!AR80)</f>
        <v/>
      </c>
      <c r="AS80" t="str">
        <f>IF('1. Live'!AS80='check-Jul25'!AS80,"",'1. Live'!AS80-'check-Jul25'!AS80)</f>
        <v/>
      </c>
      <c r="AT80" t="str">
        <f>IF('1. Live'!AT80='check-Jul25'!AT80,"",'1. Live'!AT80-'check-Jul25'!AT80)</f>
        <v/>
      </c>
      <c r="AU80" t="str">
        <f>IF('1. Live'!AU80='check-Jul25'!AU80,"",'1. Live'!AU80-'check-Jul25'!AU80)</f>
        <v/>
      </c>
      <c r="AV80" t="str">
        <f>IF('1. Live'!AV80='check-Jul25'!AV80,"",'1. Live'!AV80-'check-Jul25'!AV80)</f>
        <v/>
      </c>
      <c r="AW80" t="str">
        <f>IF('1. Live'!AW80='check-Jul25'!AW80,"",'1. Live'!AW80-'check-Jul25'!AW80)</f>
        <v/>
      </c>
      <c r="AX80" t="str">
        <f>IF('1. Live'!AX80='check-Jul25'!AX80,"",'1. Live'!AX80-'check-Jul25'!AX80)</f>
        <v/>
      </c>
      <c r="AY80" t="str">
        <f>IF('1. Live'!AY80='check-Jul25'!AY80,"",'1. Live'!AY80-'check-Jul25'!AY80)</f>
        <v/>
      </c>
      <c r="AZ80" t="str">
        <f>IF('1. Live'!AZ80='check-Jul25'!AZ80,"",'1. Live'!AZ80-'check-Jul25'!AZ80)</f>
        <v/>
      </c>
      <c r="BA80" t="str">
        <f>IF('1. Live'!BA80='check-Jul25'!BA80,"",'1. Live'!BA80-'check-Jul25'!BA80)</f>
        <v/>
      </c>
      <c r="BB80" t="str">
        <f>IF('1. Live'!BB80='check-Jul25'!BB80,"",'1. Live'!BB80-'check-Jul25'!BB80)</f>
        <v/>
      </c>
      <c r="BC80" t="str">
        <f>IF('1. Live'!BC80='check-Jul25'!BC80,"",'1. Live'!BC80-'check-Jul25'!BC80)</f>
        <v/>
      </c>
      <c r="BD80" t="str">
        <f>IF('1. Live'!BD80='check-Jul25'!BD80,"",'1. Live'!BD80-'check-Jul25'!BD80)</f>
        <v/>
      </c>
      <c r="BE80" t="str">
        <f>IF('1. Live'!BE80='check-Jul25'!BE80,"",'1. Live'!BE80-'check-Jul25'!BE80)</f>
        <v/>
      </c>
      <c r="BF80" t="str">
        <f>IF('1. Live'!BF80='check-Jul25'!BF80,"",'1. Live'!BF80-'check-Jul25'!BF80)</f>
        <v/>
      </c>
      <c r="BG80" t="str">
        <f>IF('1. Live'!BG80='check-Jul25'!BG80,"",'1. Live'!BG80-'check-Jul25'!BG80)</f>
        <v/>
      </c>
      <c r="BH80" t="str">
        <f>IF('1. Live'!BH80='check-Jul25'!BH80,"",'1. Live'!BH80-'check-Jul25'!BH80)</f>
        <v/>
      </c>
      <c r="BI80" t="str">
        <f>IF('1. Live'!BI80='check-Jul25'!BI80,"",'1. Live'!BI80-'check-Jul25'!BI80)</f>
        <v/>
      </c>
      <c r="BJ80" t="str">
        <f>IF('1. Live'!BJ80='check-Jul25'!BJ80,"",'1. Live'!BJ80-'check-Jul25'!BJ80)</f>
        <v/>
      </c>
      <c r="BK80" t="str">
        <f>IF('1. Live'!BK80='check-Jul25'!BK80,"",'1. Live'!BK80-'check-Jul25'!BK80)</f>
        <v/>
      </c>
      <c r="BL80" t="str">
        <f>IF('1. Live'!BL80='check-Jul25'!BL80,"",'1. Live'!BL80-'check-Jul25'!BL80)</f>
        <v/>
      </c>
      <c r="BM80" t="str">
        <f>IF('1. Live'!BM80='check-Jul25'!BM80,"",'1. Live'!BM80-'check-Jul25'!BM80)</f>
        <v/>
      </c>
      <c r="BN80" t="str">
        <f>IF('1. Live'!BN80='check-Jul25'!BN80,"",'1. Live'!BN80-'check-Jul25'!BN80)</f>
        <v/>
      </c>
      <c r="BO80" t="str">
        <f>IF('1. Live'!BO80='check-Jul25'!BO80,"",'1. Live'!BO80-'check-Jul25'!BO80)</f>
        <v/>
      </c>
      <c r="BP80" t="str">
        <f>IF('1. Live'!BP80='check-Jul25'!BP80,"",'1. Live'!BP80-'check-Jul25'!BP80)</f>
        <v/>
      </c>
      <c r="BQ80" t="str">
        <f>IF('1. Live'!BQ80='check-Jul25'!BQ80,"",'1. Live'!BQ80-'check-Jul25'!BQ80)</f>
        <v/>
      </c>
      <c r="BR80" t="str">
        <f>IF('1. Live'!BR80='check-Jul25'!BR80,"",'1. Live'!BR80-'check-Jul25'!BR80)</f>
        <v/>
      </c>
      <c r="BS80" t="str">
        <f>IF('1. Live'!BS80='check-Jul25'!BS80,"",'1. Live'!BS80-'check-Jul25'!BS80)</f>
        <v/>
      </c>
      <c r="BT80" t="str">
        <f>IF('1. Live'!BT80='check-Jul25'!BT80,"",'1. Live'!BT80-'check-Jul25'!BT80)</f>
        <v/>
      </c>
      <c r="BU80" t="str">
        <f>IF('1. Live'!BU80='check-Jul25'!BU80,"",'1. Live'!BU80-'check-Jul25'!BU80)</f>
        <v/>
      </c>
      <c r="BV80" t="str">
        <f>IF('1. Live'!BV80='check-Jul25'!BV80,"",'1. Live'!BV80-'check-Jul25'!BV80)</f>
        <v/>
      </c>
      <c r="BW80" t="str">
        <f>IF('1. Live'!BW80='check-Jul25'!BW80,"",'1. Live'!BW80-'check-Jul25'!BW80)</f>
        <v/>
      </c>
      <c r="BX80" t="str">
        <f>IF('1. Live'!BX80='check-Jul25'!BX80,"",'1. Live'!BX80-'check-Jul25'!BX80)</f>
        <v/>
      </c>
      <c r="BY80" t="str">
        <f>IF('1. Live'!BY80='check-Jul25'!BY80,"",'1. Live'!BY80-'check-Jul25'!BY80)</f>
        <v/>
      </c>
      <c r="BZ80" t="str">
        <f>IF('1. Live'!BZ80='check-Jul25'!BZ80,"",'1. Live'!BZ80-'check-Jul25'!BZ80)</f>
        <v/>
      </c>
      <c r="CA80" t="str">
        <f>IF('1. Live'!CA80='check-Jul25'!CA80,"",'1. Live'!CA80-'check-Jul25'!CA80)</f>
        <v/>
      </c>
      <c r="CB80" t="str">
        <f>IF('1. Live'!CB80='check-Jul25'!CB80,"",'1. Live'!CB80-'check-Jul25'!CB80)</f>
        <v/>
      </c>
      <c r="CC80" t="str">
        <f>IF('1. Live'!CC80='check-Jul25'!CC80,"",'1. Live'!CC80-'check-Jul25'!CC80)</f>
        <v/>
      </c>
      <c r="CD80" t="str">
        <f>IF('1. Live'!CD80='check-Jul25'!CD80,"",'1. Live'!CD80-'check-Jul25'!CD80)</f>
        <v/>
      </c>
      <c r="CE80" t="str">
        <f>IF('1. Live'!CE80='check-Jul25'!CE80,"",'1. Live'!CE80-'check-Jul25'!CE80)</f>
        <v/>
      </c>
      <c r="CF80" t="str">
        <f>IF('1. Live'!CF80='check-Jul25'!CF80,"",'1. Live'!CF80-'check-Jul25'!CF80)</f>
        <v/>
      </c>
      <c r="CG80" t="str">
        <f>IF('1. Live'!CG80='check-Jul25'!CG80,"",'1. Live'!CG80-'check-Jul25'!CG80)</f>
        <v/>
      </c>
      <c r="CH80" t="str">
        <f>IF('1. Live'!CH80='check-Jul25'!CH80,"",'1. Live'!CH80-'check-Jul25'!CH80)</f>
        <v/>
      </c>
      <c r="CI80" t="str">
        <f>IF('1. Live'!CI80='check-Jul25'!CI80,"",'1. Live'!CI80-'check-Jul25'!CI80)</f>
        <v/>
      </c>
      <c r="CJ80" t="str">
        <f>IF('1. Live'!CJ80='check-Jul25'!CJ80,"",'1. Live'!CJ80-'check-Jul25'!CJ80)</f>
        <v/>
      </c>
      <c r="CK80" t="str">
        <f>IF('1. Live'!CK80='check-Jul25'!CK80,"",'1. Live'!CK80-'check-Jul25'!CK80)</f>
        <v/>
      </c>
      <c r="CL80" t="str">
        <f>IF('1. Live'!CL80='check-Jul25'!CL80,"",'1. Live'!CL80-'check-Jul25'!CL80)</f>
        <v/>
      </c>
      <c r="CM80" t="str">
        <f>IF('1. Live'!CM80='check-Jul25'!CM80,"",'1. Live'!CM80-'check-Jul25'!CM80)</f>
        <v/>
      </c>
      <c r="CN80" t="str">
        <f>IF('1. Live'!CN80='check-Jul25'!CN80,"",'1. Live'!CN80-'check-Jul25'!CN80)</f>
        <v/>
      </c>
      <c r="CO80" t="str">
        <f>IF('1. Live'!CO80='check-Jul25'!CO80,"",'1. Live'!CO80-'check-Jul25'!CO80)</f>
        <v/>
      </c>
      <c r="CP80" t="str">
        <f>IF('1. Live'!CP80='check-Jul25'!CP80,"",'1. Live'!CP80-'check-Jul25'!CP80)</f>
        <v/>
      </c>
      <c r="CQ80" t="str">
        <f>IF('1. Live'!CQ80='check-Jul25'!CQ80,"",'1. Live'!CQ80-'check-Jul25'!CQ80)</f>
        <v/>
      </c>
      <c r="CR80" t="str">
        <f>IF('1. Live'!CR80='check-Jul25'!CR80,"",'1. Live'!CR80-'check-Jul25'!CR80)</f>
        <v/>
      </c>
      <c r="CS80" t="str">
        <f>IF('1. Live'!CS80='check-Jul25'!CS80,"",'1. Live'!CS80-'check-Jul25'!CS80)</f>
        <v/>
      </c>
      <c r="CT80" t="str">
        <f>IF('1. Live'!CT80='check-Jul25'!CT80,"",'1. Live'!CT80-'check-Jul25'!CT80)</f>
        <v/>
      </c>
      <c r="CU80" t="str">
        <f>IF('1. Live'!CU80='check-Jul25'!CU80,"",'1. Live'!CU80-'check-Jul25'!CU80)</f>
        <v/>
      </c>
      <c r="CV80" t="str">
        <f>IF('1. Live'!CV80='check-Jul25'!CV80,"",'1. Live'!CV80-'check-Jul25'!CV80)</f>
        <v/>
      </c>
      <c r="CW80" t="str">
        <f>IF('1. Live'!CW80='check-Jul25'!CW80,"",'1. Live'!CW80-'check-Jul25'!CW80)</f>
        <v/>
      </c>
    </row>
    <row r="81" spans="10:101">
      <c r="J81" t="str">
        <f>IF('1. Live'!J81='check-Jul25'!J81,"",'1. Live'!J81-'check-Jul25'!J81)</f>
        <v/>
      </c>
      <c r="K81" t="str">
        <f>IF('1. Live'!K81='check-Jul25'!K81,"",'1. Live'!K81-'check-Jul25'!K81)</f>
        <v/>
      </c>
      <c r="L81" t="str">
        <f>IF('1. Live'!L81='check-Jul25'!L81,"",'1. Live'!L81-'check-Jul25'!L81)</f>
        <v/>
      </c>
      <c r="M81" t="str">
        <f>IF('1. Live'!M81='check-Jul25'!M81,"",'1. Live'!M81-'check-Jul25'!M81)</f>
        <v/>
      </c>
      <c r="N81" t="str">
        <f>IF('1. Live'!N81='check-Jul25'!N81,"",'1. Live'!N81-'check-Jul25'!N81)</f>
        <v/>
      </c>
      <c r="O81" t="str">
        <f>IF('1. Live'!O81='check-Jul25'!O81,"",'1. Live'!O81-'check-Jul25'!O81)</f>
        <v/>
      </c>
      <c r="P81" t="str">
        <f>IF('1. Live'!P81='check-Jul25'!P81,"",'1. Live'!P81-'check-Jul25'!P81)</f>
        <v/>
      </c>
      <c r="Q81" t="str">
        <f>IF('1. Live'!Q81='check-Jul25'!Q81,"",'1. Live'!Q81-'check-Jul25'!Q81)</f>
        <v/>
      </c>
      <c r="R81" t="str">
        <f>IF('1. Live'!R81='check-Jul25'!R81,"",'1. Live'!R81-'check-Jul25'!R81)</f>
        <v/>
      </c>
      <c r="S81" t="str">
        <f>IF('1. Live'!S81='check-Jul25'!S81,"",'1. Live'!S81-'check-Jul25'!S81)</f>
        <v/>
      </c>
      <c r="T81" t="str">
        <f>IF('1. Live'!T81='check-Jul25'!T81,"",'1. Live'!T81-'check-Jul25'!T81)</f>
        <v/>
      </c>
      <c r="U81" t="str">
        <f>IF('1. Live'!U81='check-Jul25'!U81,"",'1. Live'!U81-'check-Jul25'!U81)</f>
        <v/>
      </c>
      <c r="V81" t="str">
        <f>IF('1. Live'!V81='check-Jul25'!V81,"",'1. Live'!V81-'check-Jul25'!V81)</f>
        <v/>
      </c>
      <c r="W81" t="str">
        <f>IF('1. Live'!W81='check-Jul25'!W81,"",'1. Live'!W81-'check-Jul25'!W81)</f>
        <v/>
      </c>
      <c r="X81" t="str">
        <f>IF('1. Live'!X81='check-Jul25'!X81,"",'1. Live'!X81-'check-Jul25'!X81)</f>
        <v/>
      </c>
      <c r="Y81" t="str">
        <f>IF('1. Live'!Y81='check-Jul25'!Y81,"",'1. Live'!Y81-'check-Jul25'!Y81)</f>
        <v/>
      </c>
      <c r="Z81" t="str">
        <f>IF('1. Live'!Z81='check-Jul25'!Z81,"",'1. Live'!Z81-'check-Jul25'!Z81)</f>
        <v/>
      </c>
      <c r="AA81" t="str">
        <f>IF('1. Live'!AA81='check-Jul25'!AA81,"",'1. Live'!AA81-'check-Jul25'!AA81)</f>
        <v/>
      </c>
      <c r="AB81" t="str">
        <f>IF('1. Live'!AB81='check-Jul25'!AB81,"",'1. Live'!AB81-'check-Jul25'!AB81)</f>
        <v/>
      </c>
      <c r="AC81" t="str">
        <f>IF('1. Live'!AC81='check-Jul25'!AC81,"",'1. Live'!AC81-'check-Jul25'!AC81)</f>
        <v/>
      </c>
      <c r="AD81" t="str">
        <f>IF('1. Live'!AD81='check-Jul25'!AD81,"",'1. Live'!AD81-'check-Jul25'!AD81)</f>
        <v/>
      </c>
      <c r="AE81" t="str">
        <f>IF('1. Live'!AE81='check-Jul25'!AE81,"",'1. Live'!AE81-'check-Jul25'!AE81)</f>
        <v/>
      </c>
      <c r="AF81" t="str">
        <f>IF('1. Live'!AF81='check-Jul25'!AF81,"",'1. Live'!AF81-'check-Jul25'!AF81)</f>
        <v/>
      </c>
      <c r="AG81" t="str">
        <f>IF('1. Live'!AG81='check-Jul25'!AG81,"",'1. Live'!AG81-'check-Jul25'!AG81)</f>
        <v/>
      </c>
      <c r="AH81" t="str">
        <f>IF('1. Live'!AH81='check-Jul25'!AH81,"",'1. Live'!AH81-'check-Jul25'!AH81)</f>
        <v/>
      </c>
      <c r="AI81" t="str">
        <f>IF('1. Live'!AI81='check-Jul25'!AI81,"",'1. Live'!AI81-'check-Jul25'!AI81)</f>
        <v/>
      </c>
      <c r="AJ81" t="str">
        <f>IF('1. Live'!AJ81='check-Jul25'!AJ81,"",'1. Live'!AJ81-'check-Jul25'!AJ81)</f>
        <v/>
      </c>
      <c r="AK81" t="str">
        <f>IF('1. Live'!AK81='check-Jul25'!AK81,"",'1. Live'!AK81-'check-Jul25'!AK81)</f>
        <v/>
      </c>
      <c r="AL81" t="str">
        <f>IF('1. Live'!AL81='check-Jul25'!AL81,"",'1. Live'!AL81-'check-Jul25'!AL81)</f>
        <v/>
      </c>
      <c r="AM81" t="str">
        <f>IF('1. Live'!AM81='check-Jul25'!AM81,"",'1. Live'!AM81-'check-Jul25'!AM81)</f>
        <v/>
      </c>
      <c r="AN81" t="str">
        <f>IF('1. Live'!AN81='check-Jul25'!AN81,"",'1. Live'!AN81-'check-Jul25'!AN81)</f>
        <v/>
      </c>
      <c r="AO81" t="str">
        <f>IF('1. Live'!AO81='check-Jul25'!AO81,"",'1. Live'!AO81-'check-Jul25'!AO81)</f>
        <v/>
      </c>
      <c r="AP81" t="str">
        <f>IF('1. Live'!AP81='check-Jul25'!AP81,"",'1. Live'!AP81-'check-Jul25'!AP81)</f>
        <v/>
      </c>
      <c r="AQ81" t="str">
        <f>IF('1. Live'!AQ81='check-Jul25'!AQ81,"",'1. Live'!AQ81-'check-Jul25'!AQ81)</f>
        <v/>
      </c>
      <c r="AR81" t="str">
        <f>IF('1. Live'!AR81='check-Jul25'!AR81,"",'1. Live'!AR81-'check-Jul25'!AR81)</f>
        <v/>
      </c>
      <c r="AS81" t="str">
        <f>IF('1. Live'!AS81='check-Jul25'!AS81,"",'1. Live'!AS81-'check-Jul25'!AS81)</f>
        <v/>
      </c>
      <c r="AT81" t="str">
        <f>IF('1. Live'!AT81='check-Jul25'!AT81,"",'1. Live'!AT81-'check-Jul25'!AT81)</f>
        <v/>
      </c>
      <c r="AU81" t="str">
        <f>IF('1. Live'!AU81='check-Jul25'!AU81,"",'1. Live'!AU81-'check-Jul25'!AU81)</f>
        <v/>
      </c>
      <c r="AV81" t="str">
        <f>IF('1. Live'!AV81='check-Jul25'!AV81,"",'1. Live'!AV81-'check-Jul25'!AV81)</f>
        <v/>
      </c>
      <c r="AW81" t="str">
        <f>IF('1. Live'!AW81='check-Jul25'!AW81,"",'1. Live'!AW81-'check-Jul25'!AW81)</f>
        <v/>
      </c>
      <c r="AX81" t="str">
        <f>IF('1. Live'!AX81='check-Jul25'!AX81,"",'1. Live'!AX81-'check-Jul25'!AX81)</f>
        <v/>
      </c>
      <c r="AY81" t="str">
        <f>IF('1. Live'!AY81='check-Jul25'!AY81,"",'1. Live'!AY81-'check-Jul25'!AY81)</f>
        <v/>
      </c>
      <c r="AZ81" t="str">
        <f>IF('1. Live'!AZ81='check-Jul25'!AZ81,"",'1. Live'!AZ81-'check-Jul25'!AZ81)</f>
        <v/>
      </c>
      <c r="BA81" t="str">
        <f>IF('1. Live'!BA81='check-Jul25'!BA81,"",'1. Live'!BA81-'check-Jul25'!BA81)</f>
        <v/>
      </c>
      <c r="BB81" t="str">
        <f>IF('1. Live'!BB81='check-Jul25'!BB81,"",'1. Live'!BB81-'check-Jul25'!BB81)</f>
        <v/>
      </c>
      <c r="BC81" t="str">
        <f>IF('1. Live'!BC81='check-Jul25'!BC81,"",'1. Live'!BC81-'check-Jul25'!BC81)</f>
        <v/>
      </c>
      <c r="BD81" t="str">
        <f>IF('1. Live'!BD81='check-Jul25'!BD81,"",'1. Live'!BD81-'check-Jul25'!BD81)</f>
        <v/>
      </c>
      <c r="BE81" t="str">
        <f>IF('1. Live'!BE81='check-Jul25'!BE81,"",'1. Live'!BE81-'check-Jul25'!BE81)</f>
        <v/>
      </c>
      <c r="BF81" t="str">
        <f>IF('1. Live'!BF81='check-Jul25'!BF81,"",'1. Live'!BF81-'check-Jul25'!BF81)</f>
        <v/>
      </c>
      <c r="BG81" t="str">
        <f>IF('1. Live'!BG81='check-Jul25'!BG81,"",'1. Live'!BG81-'check-Jul25'!BG81)</f>
        <v/>
      </c>
      <c r="BH81" t="str">
        <f>IF('1. Live'!BH81='check-Jul25'!BH81,"",'1. Live'!BH81-'check-Jul25'!BH81)</f>
        <v/>
      </c>
      <c r="BI81" t="str">
        <f>IF('1. Live'!BI81='check-Jul25'!BI81,"",'1. Live'!BI81-'check-Jul25'!BI81)</f>
        <v/>
      </c>
      <c r="BJ81" t="str">
        <f>IF('1. Live'!BJ81='check-Jul25'!BJ81,"",'1. Live'!BJ81-'check-Jul25'!BJ81)</f>
        <v/>
      </c>
      <c r="BK81" t="str">
        <f>IF('1. Live'!BK81='check-Jul25'!BK81,"",'1. Live'!BK81-'check-Jul25'!BK81)</f>
        <v/>
      </c>
      <c r="BL81" t="str">
        <f>IF('1. Live'!BL81='check-Jul25'!BL81,"",'1. Live'!BL81-'check-Jul25'!BL81)</f>
        <v/>
      </c>
      <c r="BM81" t="str">
        <f>IF('1. Live'!BM81='check-Jul25'!BM81,"",'1. Live'!BM81-'check-Jul25'!BM81)</f>
        <v/>
      </c>
      <c r="BN81" t="str">
        <f>IF('1. Live'!BN81='check-Jul25'!BN81,"",'1. Live'!BN81-'check-Jul25'!BN81)</f>
        <v/>
      </c>
      <c r="BO81" t="str">
        <f>IF('1. Live'!BO81='check-Jul25'!BO81,"",'1. Live'!BO81-'check-Jul25'!BO81)</f>
        <v/>
      </c>
      <c r="BP81" t="str">
        <f>IF('1. Live'!BP81='check-Jul25'!BP81,"",'1. Live'!BP81-'check-Jul25'!BP81)</f>
        <v/>
      </c>
      <c r="BQ81" t="str">
        <f>IF('1. Live'!BQ81='check-Jul25'!BQ81,"",'1. Live'!BQ81-'check-Jul25'!BQ81)</f>
        <v/>
      </c>
      <c r="BR81" t="str">
        <f>IF('1. Live'!BR81='check-Jul25'!BR81,"",'1. Live'!BR81-'check-Jul25'!BR81)</f>
        <v/>
      </c>
      <c r="BS81" t="str">
        <f>IF('1. Live'!BS81='check-Jul25'!BS81,"",'1. Live'!BS81-'check-Jul25'!BS81)</f>
        <v/>
      </c>
      <c r="BT81" t="str">
        <f>IF('1. Live'!BT81='check-Jul25'!BT81,"",'1. Live'!BT81-'check-Jul25'!BT81)</f>
        <v/>
      </c>
      <c r="BU81" t="str">
        <f>IF('1. Live'!BU81='check-Jul25'!BU81,"",'1. Live'!BU81-'check-Jul25'!BU81)</f>
        <v/>
      </c>
      <c r="BV81" t="str">
        <f>IF('1. Live'!BV81='check-Jul25'!BV81,"",'1. Live'!BV81-'check-Jul25'!BV81)</f>
        <v/>
      </c>
      <c r="BW81" t="str">
        <f>IF('1. Live'!BW81='check-Jul25'!BW81,"",'1. Live'!BW81-'check-Jul25'!BW81)</f>
        <v/>
      </c>
      <c r="BX81" t="str">
        <f>IF('1. Live'!BX81='check-Jul25'!BX81,"",'1. Live'!BX81-'check-Jul25'!BX81)</f>
        <v/>
      </c>
      <c r="BY81" t="str">
        <f>IF('1. Live'!BY81='check-Jul25'!BY81,"",'1. Live'!BY81-'check-Jul25'!BY81)</f>
        <v/>
      </c>
      <c r="BZ81" t="str">
        <f>IF('1. Live'!BZ81='check-Jul25'!BZ81,"",'1. Live'!BZ81-'check-Jul25'!BZ81)</f>
        <v/>
      </c>
      <c r="CA81" t="str">
        <f>IF('1. Live'!CA81='check-Jul25'!CA81,"",'1. Live'!CA81-'check-Jul25'!CA81)</f>
        <v/>
      </c>
      <c r="CB81" t="str">
        <f>IF('1. Live'!CB81='check-Jul25'!CB81,"",'1. Live'!CB81-'check-Jul25'!CB81)</f>
        <v/>
      </c>
      <c r="CC81" t="str">
        <f>IF('1. Live'!CC81='check-Jul25'!CC81,"",'1. Live'!CC81-'check-Jul25'!CC81)</f>
        <v/>
      </c>
      <c r="CD81" t="str">
        <f>IF('1. Live'!CD81='check-Jul25'!CD81,"",'1. Live'!CD81-'check-Jul25'!CD81)</f>
        <v/>
      </c>
      <c r="CE81" t="str">
        <f>IF('1. Live'!CE81='check-Jul25'!CE81,"",'1. Live'!CE81-'check-Jul25'!CE81)</f>
        <v/>
      </c>
      <c r="CF81" t="str">
        <f>IF('1. Live'!CF81='check-Jul25'!CF81,"",'1. Live'!CF81-'check-Jul25'!CF81)</f>
        <v/>
      </c>
      <c r="CG81" t="str">
        <f>IF('1. Live'!CG81='check-Jul25'!CG81,"",'1. Live'!CG81-'check-Jul25'!CG81)</f>
        <v/>
      </c>
      <c r="CH81" t="str">
        <f>IF('1. Live'!CH81='check-Jul25'!CH81,"",'1. Live'!CH81-'check-Jul25'!CH81)</f>
        <v/>
      </c>
      <c r="CI81" t="str">
        <f>IF('1. Live'!CI81='check-Jul25'!CI81,"",'1. Live'!CI81-'check-Jul25'!CI81)</f>
        <v/>
      </c>
      <c r="CJ81" t="str">
        <f>IF('1. Live'!CJ81='check-Jul25'!CJ81,"",'1. Live'!CJ81-'check-Jul25'!CJ81)</f>
        <v/>
      </c>
      <c r="CK81" t="str">
        <f>IF('1. Live'!CK81='check-Jul25'!CK81,"",'1. Live'!CK81-'check-Jul25'!CK81)</f>
        <v/>
      </c>
      <c r="CL81" t="str">
        <f>IF('1. Live'!CL81='check-Jul25'!CL81,"",'1. Live'!CL81-'check-Jul25'!CL81)</f>
        <v/>
      </c>
      <c r="CM81" t="str">
        <f>IF('1. Live'!CM81='check-Jul25'!CM81,"",'1. Live'!CM81-'check-Jul25'!CM81)</f>
        <v/>
      </c>
      <c r="CN81" t="str">
        <f>IF('1. Live'!CN81='check-Jul25'!CN81,"",'1. Live'!CN81-'check-Jul25'!CN81)</f>
        <v/>
      </c>
      <c r="CO81" t="str">
        <f>IF('1. Live'!CO81='check-Jul25'!CO81,"",'1. Live'!CO81-'check-Jul25'!CO81)</f>
        <v/>
      </c>
      <c r="CP81" t="str">
        <f>IF('1. Live'!CP81='check-Jul25'!CP81,"",'1. Live'!CP81-'check-Jul25'!CP81)</f>
        <v/>
      </c>
      <c r="CQ81" t="str">
        <f>IF('1. Live'!CQ81='check-Jul25'!CQ81,"",'1. Live'!CQ81-'check-Jul25'!CQ81)</f>
        <v/>
      </c>
      <c r="CR81" t="str">
        <f>IF('1. Live'!CR81='check-Jul25'!CR81,"",'1. Live'!CR81-'check-Jul25'!CR81)</f>
        <v/>
      </c>
      <c r="CS81" t="str">
        <f>IF('1. Live'!CS81='check-Jul25'!CS81,"",'1. Live'!CS81-'check-Jul25'!CS81)</f>
        <v/>
      </c>
      <c r="CT81" t="str">
        <f>IF('1. Live'!CT81='check-Jul25'!CT81,"",'1. Live'!CT81-'check-Jul25'!CT81)</f>
        <v/>
      </c>
      <c r="CU81" t="str">
        <f>IF('1. Live'!CU81='check-Jul25'!CU81,"",'1. Live'!CU81-'check-Jul25'!CU81)</f>
        <v/>
      </c>
      <c r="CV81" t="str">
        <f>IF('1. Live'!CV81='check-Jul25'!CV81,"",'1. Live'!CV81-'check-Jul25'!CV81)</f>
        <v/>
      </c>
      <c r="CW81" t="str">
        <f>IF('1. Live'!CW81='check-Jul25'!CW81,"",'1. Live'!CW81-'check-Jul25'!CW81)</f>
        <v/>
      </c>
    </row>
    <row r="82" spans="10:101">
      <c r="J82" t="str">
        <f>IF('1. Live'!J82='check-Jul25'!J82,"",'1. Live'!J82-'check-Jul25'!J82)</f>
        <v/>
      </c>
      <c r="K82" t="str">
        <f>IF('1. Live'!K82='check-Jul25'!K82,"",'1. Live'!K82-'check-Jul25'!K82)</f>
        <v/>
      </c>
      <c r="L82" t="str">
        <f>IF('1. Live'!L82='check-Jul25'!L82,"",'1. Live'!L82-'check-Jul25'!L82)</f>
        <v/>
      </c>
      <c r="M82" t="str">
        <f>IF('1. Live'!M82='check-Jul25'!M82,"",'1. Live'!M82-'check-Jul25'!M82)</f>
        <v/>
      </c>
      <c r="N82" t="str">
        <f>IF('1. Live'!N82='check-Jul25'!N82,"",'1. Live'!N82-'check-Jul25'!N82)</f>
        <v/>
      </c>
      <c r="O82" t="str">
        <f>IF('1. Live'!O82='check-Jul25'!O82,"",'1. Live'!O82-'check-Jul25'!O82)</f>
        <v/>
      </c>
      <c r="P82" t="str">
        <f>IF('1. Live'!P82='check-Jul25'!P82,"",'1. Live'!P82-'check-Jul25'!P82)</f>
        <v/>
      </c>
      <c r="Q82" t="str">
        <f>IF('1. Live'!Q82='check-Jul25'!Q82,"",'1. Live'!Q82-'check-Jul25'!Q82)</f>
        <v/>
      </c>
      <c r="R82" t="str">
        <f>IF('1. Live'!R82='check-Jul25'!R82,"",'1. Live'!R82-'check-Jul25'!R82)</f>
        <v/>
      </c>
      <c r="S82" t="str">
        <f>IF('1. Live'!S82='check-Jul25'!S82,"",'1. Live'!S82-'check-Jul25'!S82)</f>
        <v/>
      </c>
      <c r="T82" t="str">
        <f>IF('1. Live'!T82='check-Jul25'!T82,"",'1. Live'!T82-'check-Jul25'!T82)</f>
        <v/>
      </c>
      <c r="U82" t="str">
        <f>IF('1. Live'!U82='check-Jul25'!U82,"",'1. Live'!U82-'check-Jul25'!U82)</f>
        <v/>
      </c>
      <c r="V82" t="str">
        <f>IF('1. Live'!V82='check-Jul25'!V82,"",'1. Live'!V82-'check-Jul25'!V82)</f>
        <v/>
      </c>
      <c r="W82" t="str">
        <f>IF('1. Live'!W82='check-Jul25'!W82,"",'1. Live'!W82-'check-Jul25'!W82)</f>
        <v/>
      </c>
      <c r="X82" t="str">
        <f>IF('1. Live'!X82='check-Jul25'!X82,"",'1. Live'!X82-'check-Jul25'!X82)</f>
        <v/>
      </c>
      <c r="Y82" t="str">
        <f>IF('1. Live'!Y82='check-Jul25'!Y82,"",'1. Live'!Y82-'check-Jul25'!Y82)</f>
        <v/>
      </c>
      <c r="Z82" t="str">
        <f>IF('1. Live'!Z82='check-Jul25'!Z82,"",'1. Live'!Z82-'check-Jul25'!Z82)</f>
        <v/>
      </c>
      <c r="AA82" t="str">
        <f>IF('1. Live'!AA82='check-Jul25'!AA82,"",'1. Live'!AA82-'check-Jul25'!AA82)</f>
        <v/>
      </c>
      <c r="AB82" t="str">
        <f>IF('1. Live'!AB82='check-Jul25'!AB82,"",'1. Live'!AB82-'check-Jul25'!AB82)</f>
        <v/>
      </c>
      <c r="AC82" t="str">
        <f>IF('1. Live'!AC82='check-Jul25'!AC82,"",'1. Live'!AC82-'check-Jul25'!AC82)</f>
        <v/>
      </c>
      <c r="AD82" t="str">
        <f>IF('1. Live'!AD82='check-Jul25'!AD82,"",'1. Live'!AD82-'check-Jul25'!AD82)</f>
        <v/>
      </c>
      <c r="AE82" t="str">
        <f>IF('1. Live'!AE82='check-Jul25'!AE82,"",'1. Live'!AE82-'check-Jul25'!AE82)</f>
        <v/>
      </c>
      <c r="AF82" t="str">
        <f>IF('1. Live'!AF82='check-Jul25'!AF82,"",'1. Live'!AF82-'check-Jul25'!AF82)</f>
        <v/>
      </c>
      <c r="AG82" t="str">
        <f>IF('1. Live'!AG82='check-Jul25'!AG82,"",'1. Live'!AG82-'check-Jul25'!AG82)</f>
        <v/>
      </c>
      <c r="AH82" t="str">
        <f>IF('1. Live'!AH82='check-Jul25'!AH82,"",'1. Live'!AH82-'check-Jul25'!AH82)</f>
        <v/>
      </c>
      <c r="AI82" t="str">
        <f>IF('1. Live'!AI82='check-Jul25'!AI82,"",'1. Live'!AI82-'check-Jul25'!AI82)</f>
        <v/>
      </c>
      <c r="AJ82" t="str">
        <f>IF('1. Live'!AJ82='check-Jul25'!AJ82,"",'1. Live'!AJ82-'check-Jul25'!AJ82)</f>
        <v/>
      </c>
      <c r="AK82" t="str">
        <f>IF('1. Live'!AK82='check-Jul25'!AK82,"",'1. Live'!AK82-'check-Jul25'!AK82)</f>
        <v/>
      </c>
      <c r="AL82" t="str">
        <f>IF('1. Live'!AL82='check-Jul25'!AL82,"",'1. Live'!AL82-'check-Jul25'!AL82)</f>
        <v/>
      </c>
      <c r="AM82" t="str">
        <f>IF('1. Live'!AM82='check-Jul25'!AM82,"",'1. Live'!AM82-'check-Jul25'!AM82)</f>
        <v/>
      </c>
      <c r="AN82" t="str">
        <f>IF('1. Live'!AN82='check-Jul25'!AN82,"",'1. Live'!AN82-'check-Jul25'!AN82)</f>
        <v/>
      </c>
      <c r="AO82" t="str">
        <f>IF('1. Live'!AO82='check-Jul25'!AO82,"",'1. Live'!AO82-'check-Jul25'!AO82)</f>
        <v/>
      </c>
      <c r="AP82" t="str">
        <f>IF('1. Live'!AP82='check-Jul25'!AP82,"",'1. Live'!AP82-'check-Jul25'!AP82)</f>
        <v/>
      </c>
      <c r="AQ82" t="str">
        <f>IF('1. Live'!AQ82='check-Jul25'!AQ82,"",'1. Live'!AQ82-'check-Jul25'!AQ82)</f>
        <v/>
      </c>
      <c r="AR82" t="str">
        <f>IF('1. Live'!AR82='check-Jul25'!AR82,"",'1. Live'!AR82-'check-Jul25'!AR82)</f>
        <v/>
      </c>
      <c r="AS82" t="str">
        <f>IF('1. Live'!AS82='check-Jul25'!AS82,"",'1. Live'!AS82-'check-Jul25'!AS82)</f>
        <v/>
      </c>
      <c r="AT82" t="str">
        <f>IF('1. Live'!AT82='check-Jul25'!AT82,"",'1. Live'!AT82-'check-Jul25'!AT82)</f>
        <v/>
      </c>
      <c r="AU82" t="str">
        <f>IF('1. Live'!AU82='check-Jul25'!AU82,"",'1. Live'!AU82-'check-Jul25'!AU82)</f>
        <v/>
      </c>
      <c r="AV82" t="str">
        <f>IF('1. Live'!AV82='check-Jul25'!AV82,"",'1. Live'!AV82-'check-Jul25'!AV82)</f>
        <v/>
      </c>
      <c r="AW82" t="str">
        <f>IF('1. Live'!AW82='check-Jul25'!AW82,"",'1. Live'!AW82-'check-Jul25'!AW82)</f>
        <v/>
      </c>
      <c r="AX82" t="str">
        <f>IF('1. Live'!AX82='check-Jul25'!AX82,"",'1. Live'!AX82-'check-Jul25'!AX82)</f>
        <v/>
      </c>
      <c r="AY82" t="str">
        <f>IF('1. Live'!AY82='check-Jul25'!AY82,"",'1. Live'!AY82-'check-Jul25'!AY82)</f>
        <v/>
      </c>
      <c r="AZ82" t="str">
        <f>IF('1. Live'!AZ82='check-Jul25'!AZ82,"",'1. Live'!AZ82-'check-Jul25'!AZ82)</f>
        <v/>
      </c>
      <c r="BA82" t="str">
        <f>IF('1. Live'!BA82='check-Jul25'!BA82,"",'1. Live'!BA82-'check-Jul25'!BA82)</f>
        <v/>
      </c>
      <c r="BB82" t="str">
        <f>IF('1. Live'!BB82='check-Jul25'!BB82,"",'1. Live'!BB82-'check-Jul25'!BB82)</f>
        <v/>
      </c>
      <c r="BC82" t="str">
        <f>IF('1. Live'!BC82='check-Jul25'!BC82,"",'1. Live'!BC82-'check-Jul25'!BC82)</f>
        <v/>
      </c>
      <c r="BD82" t="str">
        <f>IF('1. Live'!BD82='check-Jul25'!BD82,"",'1. Live'!BD82-'check-Jul25'!BD82)</f>
        <v/>
      </c>
      <c r="BE82" t="str">
        <f>IF('1. Live'!BE82='check-Jul25'!BE82,"",'1. Live'!BE82-'check-Jul25'!BE82)</f>
        <v/>
      </c>
      <c r="BF82" t="str">
        <f>IF('1. Live'!BF82='check-Jul25'!BF82,"",'1. Live'!BF82-'check-Jul25'!BF82)</f>
        <v/>
      </c>
      <c r="BG82" t="str">
        <f>IF('1. Live'!BG82='check-Jul25'!BG82,"",'1. Live'!BG82-'check-Jul25'!BG82)</f>
        <v/>
      </c>
      <c r="BH82" t="str">
        <f>IF('1. Live'!BH82='check-Jul25'!BH82,"",'1. Live'!BH82-'check-Jul25'!BH82)</f>
        <v/>
      </c>
      <c r="BI82" t="str">
        <f>IF('1. Live'!BI82='check-Jul25'!BI82,"",'1. Live'!BI82-'check-Jul25'!BI82)</f>
        <v/>
      </c>
      <c r="BJ82" t="str">
        <f>IF('1. Live'!BJ82='check-Jul25'!BJ82,"",'1. Live'!BJ82-'check-Jul25'!BJ82)</f>
        <v/>
      </c>
      <c r="BK82" t="str">
        <f>IF('1. Live'!BK82='check-Jul25'!BK82,"",'1. Live'!BK82-'check-Jul25'!BK82)</f>
        <v/>
      </c>
      <c r="BL82" t="str">
        <f>IF('1. Live'!BL82='check-Jul25'!BL82,"",'1. Live'!BL82-'check-Jul25'!BL82)</f>
        <v/>
      </c>
      <c r="BM82" t="str">
        <f>IF('1. Live'!BM82='check-Jul25'!BM82,"",'1. Live'!BM82-'check-Jul25'!BM82)</f>
        <v/>
      </c>
      <c r="BN82" t="str">
        <f>IF('1. Live'!BN82='check-Jul25'!BN82,"",'1. Live'!BN82-'check-Jul25'!BN82)</f>
        <v/>
      </c>
      <c r="BO82" t="str">
        <f>IF('1. Live'!BO82='check-Jul25'!BO82,"",'1. Live'!BO82-'check-Jul25'!BO82)</f>
        <v/>
      </c>
      <c r="BP82" t="str">
        <f>IF('1. Live'!BP82='check-Jul25'!BP82,"",'1. Live'!BP82-'check-Jul25'!BP82)</f>
        <v/>
      </c>
      <c r="BQ82" t="str">
        <f>IF('1. Live'!BQ82='check-Jul25'!BQ82,"",'1. Live'!BQ82-'check-Jul25'!BQ82)</f>
        <v/>
      </c>
      <c r="BR82" t="str">
        <f>IF('1. Live'!BR82='check-Jul25'!BR82,"",'1. Live'!BR82-'check-Jul25'!BR82)</f>
        <v/>
      </c>
      <c r="BS82" t="str">
        <f>IF('1. Live'!BS82='check-Jul25'!BS82,"",'1. Live'!BS82-'check-Jul25'!BS82)</f>
        <v/>
      </c>
      <c r="BT82" t="str">
        <f>IF('1. Live'!BT82='check-Jul25'!BT82,"",'1. Live'!BT82-'check-Jul25'!BT82)</f>
        <v/>
      </c>
      <c r="BU82" t="str">
        <f>IF('1. Live'!BU82='check-Jul25'!BU82,"",'1. Live'!BU82-'check-Jul25'!BU82)</f>
        <v/>
      </c>
      <c r="BV82" t="str">
        <f>IF('1. Live'!BV82='check-Jul25'!BV82,"",'1. Live'!BV82-'check-Jul25'!BV82)</f>
        <v/>
      </c>
      <c r="BW82" t="str">
        <f>IF('1. Live'!BW82='check-Jul25'!BW82,"",'1. Live'!BW82-'check-Jul25'!BW82)</f>
        <v/>
      </c>
      <c r="BX82" t="str">
        <f>IF('1. Live'!BX82='check-Jul25'!BX82,"",'1. Live'!BX82-'check-Jul25'!BX82)</f>
        <v/>
      </c>
      <c r="BY82" t="str">
        <f>IF('1. Live'!BY82='check-Jul25'!BY82,"",'1. Live'!BY82-'check-Jul25'!BY82)</f>
        <v/>
      </c>
      <c r="BZ82" t="str">
        <f>IF('1. Live'!BZ82='check-Jul25'!BZ82,"",'1. Live'!BZ82-'check-Jul25'!BZ82)</f>
        <v/>
      </c>
      <c r="CA82" t="str">
        <f>IF('1. Live'!CA82='check-Jul25'!CA82,"",'1. Live'!CA82-'check-Jul25'!CA82)</f>
        <v/>
      </c>
      <c r="CB82" t="str">
        <f>IF('1. Live'!CB82='check-Jul25'!CB82,"",'1. Live'!CB82-'check-Jul25'!CB82)</f>
        <v/>
      </c>
      <c r="CC82" t="str">
        <f>IF('1. Live'!CC82='check-Jul25'!CC82,"",'1. Live'!CC82-'check-Jul25'!CC82)</f>
        <v/>
      </c>
      <c r="CD82" t="str">
        <f>IF('1. Live'!CD82='check-Jul25'!CD82,"",'1. Live'!CD82-'check-Jul25'!CD82)</f>
        <v/>
      </c>
      <c r="CE82" t="str">
        <f>IF('1. Live'!CE82='check-Jul25'!CE82,"",'1. Live'!CE82-'check-Jul25'!CE82)</f>
        <v/>
      </c>
      <c r="CF82" t="str">
        <f>IF('1. Live'!CF82='check-Jul25'!CF82,"",'1. Live'!CF82-'check-Jul25'!CF82)</f>
        <v/>
      </c>
      <c r="CG82" t="str">
        <f>IF('1. Live'!CG82='check-Jul25'!CG82,"",'1. Live'!CG82-'check-Jul25'!CG82)</f>
        <v/>
      </c>
      <c r="CH82" t="str">
        <f>IF('1. Live'!CH82='check-Jul25'!CH82,"",'1. Live'!CH82-'check-Jul25'!CH82)</f>
        <v/>
      </c>
      <c r="CI82" t="str">
        <f>IF('1. Live'!CI82='check-Jul25'!CI82,"",'1. Live'!CI82-'check-Jul25'!CI82)</f>
        <v/>
      </c>
      <c r="CJ82" t="str">
        <f>IF('1. Live'!CJ82='check-Jul25'!CJ82,"",'1. Live'!CJ82-'check-Jul25'!CJ82)</f>
        <v/>
      </c>
      <c r="CK82" t="str">
        <f>IF('1. Live'!CK82='check-Jul25'!CK82,"",'1. Live'!CK82-'check-Jul25'!CK82)</f>
        <v/>
      </c>
      <c r="CL82" t="str">
        <f>IF('1. Live'!CL82='check-Jul25'!CL82,"",'1. Live'!CL82-'check-Jul25'!CL82)</f>
        <v/>
      </c>
      <c r="CM82" t="str">
        <f>IF('1. Live'!CM82='check-Jul25'!CM82,"",'1. Live'!CM82-'check-Jul25'!CM82)</f>
        <v/>
      </c>
      <c r="CN82" t="str">
        <f>IF('1. Live'!CN82='check-Jul25'!CN82,"",'1. Live'!CN82-'check-Jul25'!CN82)</f>
        <v/>
      </c>
      <c r="CO82" t="str">
        <f>IF('1. Live'!CO82='check-Jul25'!CO82,"",'1. Live'!CO82-'check-Jul25'!CO82)</f>
        <v/>
      </c>
      <c r="CP82" t="str">
        <f>IF('1. Live'!CP82='check-Jul25'!CP82,"",'1. Live'!CP82-'check-Jul25'!CP82)</f>
        <v/>
      </c>
      <c r="CQ82" t="str">
        <f>IF('1. Live'!CQ82='check-Jul25'!CQ82,"",'1. Live'!CQ82-'check-Jul25'!CQ82)</f>
        <v/>
      </c>
      <c r="CR82" t="str">
        <f>IF('1. Live'!CR82='check-Jul25'!CR82,"",'1. Live'!CR82-'check-Jul25'!CR82)</f>
        <v/>
      </c>
      <c r="CS82" t="str">
        <f>IF('1. Live'!CS82='check-Jul25'!CS82,"",'1. Live'!CS82-'check-Jul25'!CS82)</f>
        <v/>
      </c>
      <c r="CT82" t="str">
        <f>IF('1. Live'!CT82='check-Jul25'!CT82,"",'1. Live'!CT82-'check-Jul25'!CT82)</f>
        <v/>
      </c>
      <c r="CU82" t="str">
        <f>IF('1. Live'!CU82='check-Jul25'!CU82,"",'1. Live'!CU82-'check-Jul25'!CU82)</f>
        <v/>
      </c>
      <c r="CV82" t="str">
        <f>IF('1. Live'!CV82='check-Jul25'!CV82,"",'1. Live'!CV82-'check-Jul25'!CV82)</f>
        <v/>
      </c>
      <c r="CW82" t="str">
        <f>IF('1. Live'!CW82='check-Jul25'!CW82,"",'1. Live'!CW82-'check-Jul25'!CW82)</f>
        <v/>
      </c>
    </row>
    <row r="83" spans="10:101">
      <c r="J83" t="str">
        <f>IF('1. Live'!J83='check-Jul25'!J83,"",'1. Live'!J83-'check-Jul25'!J83)</f>
        <v/>
      </c>
      <c r="K83" t="str">
        <f>IF('1. Live'!K83='check-Jul25'!K83,"",'1. Live'!K83-'check-Jul25'!K83)</f>
        <v/>
      </c>
      <c r="L83" t="str">
        <f>IF('1. Live'!L83='check-Jul25'!L83,"",'1. Live'!L83-'check-Jul25'!L83)</f>
        <v/>
      </c>
      <c r="M83" t="str">
        <f>IF('1. Live'!M83='check-Jul25'!M83,"",'1. Live'!M83-'check-Jul25'!M83)</f>
        <v/>
      </c>
      <c r="N83" t="str">
        <f>IF('1. Live'!N83='check-Jul25'!N83,"",'1. Live'!N83-'check-Jul25'!N83)</f>
        <v/>
      </c>
      <c r="O83" t="str">
        <f>IF('1. Live'!O83='check-Jul25'!O83,"",'1. Live'!O83-'check-Jul25'!O83)</f>
        <v/>
      </c>
      <c r="P83" t="str">
        <f>IF('1. Live'!P83='check-Jul25'!P83,"",'1. Live'!P83-'check-Jul25'!P83)</f>
        <v/>
      </c>
      <c r="Q83" t="str">
        <f>IF('1. Live'!Q83='check-Jul25'!Q83,"",'1. Live'!Q83-'check-Jul25'!Q83)</f>
        <v/>
      </c>
      <c r="R83" t="str">
        <f>IF('1. Live'!R83='check-Jul25'!R83,"",'1. Live'!R83-'check-Jul25'!R83)</f>
        <v/>
      </c>
      <c r="S83" t="str">
        <f>IF('1. Live'!S83='check-Jul25'!S83,"",'1. Live'!S83-'check-Jul25'!S83)</f>
        <v/>
      </c>
      <c r="T83" t="str">
        <f>IF('1. Live'!T83='check-Jul25'!T83,"",'1. Live'!T83-'check-Jul25'!T83)</f>
        <v/>
      </c>
      <c r="U83" t="str">
        <f>IF('1. Live'!U83='check-Jul25'!U83,"",'1. Live'!U83-'check-Jul25'!U83)</f>
        <v/>
      </c>
      <c r="V83" t="str">
        <f>IF('1. Live'!V83='check-Jul25'!V83,"",'1. Live'!V83-'check-Jul25'!V83)</f>
        <v/>
      </c>
      <c r="W83" t="str">
        <f>IF('1. Live'!W83='check-Jul25'!W83,"",'1. Live'!W83-'check-Jul25'!W83)</f>
        <v/>
      </c>
      <c r="X83" t="str">
        <f>IF('1. Live'!X83='check-Jul25'!X83,"",'1. Live'!X83-'check-Jul25'!X83)</f>
        <v/>
      </c>
      <c r="Y83" t="str">
        <f>IF('1. Live'!Y83='check-Jul25'!Y83,"",'1. Live'!Y83-'check-Jul25'!Y83)</f>
        <v/>
      </c>
      <c r="Z83" t="str">
        <f>IF('1. Live'!Z83='check-Jul25'!Z83,"",'1. Live'!Z83-'check-Jul25'!Z83)</f>
        <v/>
      </c>
      <c r="AA83" t="str">
        <f>IF('1. Live'!AA83='check-Jul25'!AA83,"",'1. Live'!AA83-'check-Jul25'!AA83)</f>
        <v/>
      </c>
      <c r="AB83" t="str">
        <f>IF('1. Live'!AB83='check-Jul25'!AB83,"",'1. Live'!AB83-'check-Jul25'!AB83)</f>
        <v/>
      </c>
      <c r="AC83" t="str">
        <f>IF('1. Live'!AC83='check-Jul25'!AC83,"",'1. Live'!AC83-'check-Jul25'!AC83)</f>
        <v/>
      </c>
      <c r="AD83" t="str">
        <f>IF('1. Live'!AD83='check-Jul25'!AD83,"",'1. Live'!AD83-'check-Jul25'!AD83)</f>
        <v/>
      </c>
      <c r="AE83" t="str">
        <f>IF('1. Live'!AE83='check-Jul25'!AE83,"",'1. Live'!AE83-'check-Jul25'!AE83)</f>
        <v/>
      </c>
      <c r="AF83" t="str">
        <f>IF('1. Live'!AF83='check-Jul25'!AF83,"",'1. Live'!AF83-'check-Jul25'!AF83)</f>
        <v/>
      </c>
      <c r="AG83" t="str">
        <f>IF('1. Live'!AG83='check-Jul25'!AG83,"",'1. Live'!AG83-'check-Jul25'!AG83)</f>
        <v/>
      </c>
      <c r="AH83" t="str">
        <f>IF('1. Live'!AH83='check-Jul25'!AH83,"",'1. Live'!AH83-'check-Jul25'!AH83)</f>
        <v/>
      </c>
      <c r="AI83" t="str">
        <f>IF('1. Live'!AI83='check-Jul25'!AI83,"",'1. Live'!AI83-'check-Jul25'!AI83)</f>
        <v/>
      </c>
      <c r="AJ83" t="str">
        <f>IF('1. Live'!AJ83='check-Jul25'!AJ83,"",'1. Live'!AJ83-'check-Jul25'!AJ83)</f>
        <v/>
      </c>
      <c r="AK83" t="str">
        <f>IF('1. Live'!AK83='check-Jul25'!AK83,"",'1. Live'!AK83-'check-Jul25'!AK83)</f>
        <v/>
      </c>
      <c r="AL83" t="str">
        <f>IF('1. Live'!AL83='check-Jul25'!AL83,"",'1. Live'!AL83-'check-Jul25'!AL83)</f>
        <v/>
      </c>
      <c r="AM83" t="str">
        <f>IF('1. Live'!AM83='check-Jul25'!AM83,"",'1. Live'!AM83-'check-Jul25'!AM83)</f>
        <v/>
      </c>
      <c r="AN83" t="str">
        <f>IF('1. Live'!AN83='check-Jul25'!AN83,"",'1. Live'!AN83-'check-Jul25'!AN83)</f>
        <v/>
      </c>
      <c r="AO83" t="str">
        <f>IF('1. Live'!AO83='check-Jul25'!AO83,"",'1. Live'!AO83-'check-Jul25'!AO83)</f>
        <v/>
      </c>
      <c r="AP83" t="str">
        <f>IF('1. Live'!AP83='check-Jul25'!AP83,"",'1. Live'!AP83-'check-Jul25'!AP83)</f>
        <v/>
      </c>
      <c r="AQ83" t="str">
        <f>IF('1. Live'!AQ83='check-Jul25'!AQ83,"",'1. Live'!AQ83-'check-Jul25'!AQ83)</f>
        <v/>
      </c>
      <c r="AR83" t="str">
        <f>IF('1. Live'!AR83='check-Jul25'!AR83,"",'1. Live'!AR83-'check-Jul25'!AR83)</f>
        <v/>
      </c>
      <c r="AS83" t="str">
        <f>IF('1. Live'!AS83='check-Jul25'!AS83,"",'1. Live'!AS83-'check-Jul25'!AS83)</f>
        <v/>
      </c>
      <c r="AT83" t="str">
        <f>IF('1. Live'!AT83='check-Jul25'!AT83,"",'1. Live'!AT83-'check-Jul25'!AT83)</f>
        <v/>
      </c>
      <c r="AU83" t="str">
        <f>IF('1. Live'!AU83='check-Jul25'!AU83,"",'1. Live'!AU83-'check-Jul25'!AU83)</f>
        <v/>
      </c>
      <c r="AV83" t="str">
        <f>IF('1. Live'!AV83='check-Jul25'!AV83,"",'1. Live'!AV83-'check-Jul25'!AV83)</f>
        <v/>
      </c>
      <c r="AW83" t="str">
        <f>IF('1. Live'!AW83='check-Jul25'!AW83,"",'1. Live'!AW83-'check-Jul25'!AW83)</f>
        <v/>
      </c>
      <c r="AX83" t="str">
        <f>IF('1. Live'!AX83='check-Jul25'!AX83,"",'1. Live'!AX83-'check-Jul25'!AX83)</f>
        <v/>
      </c>
      <c r="AY83" t="str">
        <f>IF('1. Live'!AY83='check-Jul25'!AY83,"",'1. Live'!AY83-'check-Jul25'!AY83)</f>
        <v/>
      </c>
      <c r="AZ83" t="str">
        <f>IF('1. Live'!AZ83='check-Jul25'!AZ83,"",'1. Live'!AZ83-'check-Jul25'!AZ83)</f>
        <v/>
      </c>
      <c r="BA83" t="str">
        <f>IF('1. Live'!BA83='check-Jul25'!BA83,"",'1. Live'!BA83-'check-Jul25'!BA83)</f>
        <v/>
      </c>
      <c r="BB83" t="str">
        <f>IF('1. Live'!BB83='check-Jul25'!BB83,"",'1. Live'!BB83-'check-Jul25'!BB83)</f>
        <v/>
      </c>
      <c r="BC83" t="str">
        <f>IF('1. Live'!BC83='check-Jul25'!BC83,"",'1. Live'!BC83-'check-Jul25'!BC83)</f>
        <v/>
      </c>
      <c r="BD83" t="str">
        <f>IF('1. Live'!BD83='check-Jul25'!BD83,"",'1. Live'!BD83-'check-Jul25'!BD83)</f>
        <v/>
      </c>
      <c r="BE83" t="str">
        <f>IF('1. Live'!BE83='check-Jul25'!BE83,"",'1. Live'!BE83-'check-Jul25'!BE83)</f>
        <v/>
      </c>
      <c r="BF83" t="str">
        <f>IF('1. Live'!BF83='check-Jul25'!BF83,"",'1. Live'!BF83-'check-Jul25'!BF83)</f>
        <v/>
      </c>
      <c r="BG83" t="str">
        <f>IF('1. Live'!BG83='check-Jul25'!BG83,"",'1. Live'!BG83-'check-Jul25'!BG83)</f>
        <v/>
      </c>
      <c r="BH83" t="str">
        <f>IF('1. Live'!BH83='check-Jul25'!BH83,"",'1. Live'!BH83-'check-Jul25'!BH83)</f>
        <v/>
      </c>
      <c r="BI83" t="str">
        <f>IF('1. Live'!BI83='check-Jul25'!BI83,"",'1. Live'!BI83-'check-Jul25'!BI83)</f>
        <v/>
      </c>
      <c r="BJ83" t="str">
        <f>IF('1. Live'!BJ83='check-Jul25'!BJ83,"",'1. Live'!BJ83-'check-Jul25'!BJ83)</f>
        <v/>
      </c>
      <c r="BK83" t="str">
        <f>IF('1. Live'!BK83='check-Jul25'!BK83,"",'1. Live'!BK83-'check-Jul25'!BK83)</f>
        <v/>
      </c>
      <c r="BL83" t="str">
        <f>IF('1. Live'!BL83='check-Jul25'!BL83,"",'1. Live'!BL83-'check-Jul25'!BL83)</f>
        <v/>
      </c>
      <c r="BM83" t="str">
        <f>IF('1. Live'!BM83='check-Jul25'!BM83,"",'1. Live'!BM83-'check-Jul25'!BM83)</f>
        <v/>
      </c>
      <c r="BN83" t="str">
        <f>IF('1. Live'!BN83='check-Jul25'!BN83,"",'1. Live'!BN83-'check-Jul25'!BN83)</f>
        <v/>
      </c>
      <c r="BO83" t="str">
        <f>IF('1. Live'!BO83='check-Jul25'!BO83,"",'1. Live'!BO83-'check-Jul25'!BO83)</f>
        <v/>
      </c>
      <c r="BP83" t="str">
        <f>IF('1. Live'!BP83='check-Jul25'!BP83,"",'1. Live'!BP83-'check-Jul25'!BP83)</f>
        <v/>
      </c>
      <c r="BQ83" t="str">
        <f>IF('1. Live'!BQ83='check-Jul25'!BQ83,"",'1. Live'!BQ83-'check-Jul25'!BQ83)</f>
        <v/>
      </c>
      <c r="BR83" t="str">
        <f>IF('1. Live'!BR83='check-Jul25'!BR83,"",'1. Live'!BR83-'check-Jul25'!BR83)</f>
        <v/>
      </c>
      <c r="BS83" t="str">
        <f>IF('1. Live'!BS83='check-Jul25'!BS83,"",'1. Live'!BS83-'check-Jul25'!BS83)</f>
        <v/>
      </c>
      <c r="BT83" t="str">
        <f>IF('1. Live'!BT83='check-Jul25'!BT83,"",'1. Live'!BT83-'check-Jul25'!BT83)</f>
        <v/>
      </c>
      <c r="BU83" t="str">
        <f>IF('1. Live'!BU83='check-Jul25'!BU83,"",'1. Live'!BU83-'check-Jul25'!BU83)</f>
        <v/>
      </c>
      <c r="BV83" t="str">
        <f>IF('1. Live'!BV83='check-Jul25'!BV83,"",'1. Live'!BV83-'check-Jul25'!BV83)</f>
        <v/>
      </c>
      <c r="BW83" t="str">
        <f>IF('1. Live'!BW83='check-Jul25'!BW83,"",'1. Live'!BW83-'check-Jul25'!BW83)</f>
        <v/>
      </c>
      <c r="BX83" t="str">
        <f>IF('1. Live'!BX83='check-Jul25'!BX83,"",'1. Live'!BX83-'check-Jul25'!BX83)</f>
        <v/>
      </c>
      <c r="BY83" t="str">
        <f>IF('1. Live'!BY83='check-Jul25'!BY83,"",'1. Live'!BY83-'check-Jul25'!BY83)</f>
        <v/>
      </c>
      <c r="BZ83" t="str">
        <f>IF('1. Live'!BZ83='check-Jul25'!BZ83,"",'1. Live'!BZ83-'check-Jul25'!BZ83)</f>
        <v/>
      </c>
      <c r="CA83" t="str">
        <f>IF('1. Live'!CA83='check-Jul25'!CA83,"",'1. Live'!CA83-'check-Jul25'!CA83)</f>
        <v/>
      </c>
      <c r="CB83" t="str">
        <f>IF('1. Live'!CB83='check-Jul25'!CB83,"",'1. Live'!CB83-'check-Jul25'!CB83)</f>
        <v/>
      </c>
      <c r="CC83" t="str">
        <f>IF('1. Live'!CC83='check-Jul25'!CC83,"",'1. Live'!CC83-'check-Jul25'!CC83)</f>
        <v/>
      </c>
      <c r="CD83" t="str">
        <f>IF('1. Live'!CD83='check-Jul25'!CD83,"",'1. Live'!CD83-'check-Jul25'!CD83)</f>
        <v/>
      </c>
      <c r="CE83" t="str">
        <f>IF('1. Live'!CE83='check-Jul25'!CE83,"",'1. Live'!CE83-'check-Jul25'!CE83)</f>
        <v/>
      </c>
      <c r="CF83" t="str">
        <f>IF('1. Live'!CF83='check-Jul25'!CF83,"",'1. Live'!CF83-'check-Jul25'!CF83)</f>
        <v/>
      </c>
      <c r="CG83" t="str">
        <f>IF('1. Live'!CG83='check-Jul25'!CG83,"",'1. Live'!CG83-'check-Jul25'!CG83)</f>
        <v/>
      </c>
      <c r="CH83" t="str">
        <f>IF('1. Live'!CH83='check-Jul25'!CH83,"",'1. Live'!CH83-'check-Jul25'!CH83)</f>
        <v/>
      </c>
      <c r="CI83" t="str">
        <f>IF('1. Live'!CI83='check-Jul25'!CI83,"",'1. Live'!CI83-'check-Jul25'!CI83)</f>
        <v/>
      </c>
      <c r="CJ83" t="str">
        <f>IF('1. Live'!CJ83='check-Jul25'!CJ83,"",'1. Live'!CJ83-'check-Jul25'!CJ83)</f>
        <v/>
      </c>
      <c r="CK83" t="str">
        <f>IF('1. Live'!CK83='check-Jul25'!CK83,"",'1. Live'!CK83-'check-Jul25'!CK83)</f>
        <v/>
      </c>
      <c r="CL83" t="str">
        <f>IF('1. Live'!CL83='check-Jul25'!CL83,"",'1. Live'!CL83-'check-Jul25'!CL83)</f>
        <v/>
      </c>
      <c r="CM83" t="str">
        <f>IF('1. Live'!CM83='check-Jul25'!CM83,"",'1. Live'!CM83-'check-Jul25'!CM83)</f>
        <v/>
      </c>
      <c r="CN83" t="str">
        <f>IF('1. Live'!CN83='check-Jul25'!CN83,"",'1. Live'!CN83-'check-Jul25'!CN83)</f>
        <v/>
      </c>
      <c r="CO83" t="str">
        <f>IF('1. Live'!CO83='check-Jul25'!CO83,"",'1. Live'!CO83-'check-Jul25'!CO83)</f>
        <v/>
      </c>
      <c r="CP83" t="str">
        <f>IF('1. Live'!CP83='check-Jul25'!CP83,"",'1. Live'!CP83-'check-Jul25'!CP83)</f>
        <v/>
      </c>
      <c r="CQ83" t="str">
        <f>IF('1. Live'!CQ83='check-Jul25'!CQ83,"",'1. Live'!CQ83-'check-Jul25'!CQ83)</f>
        <v/>
      </c>
      <c r="CR83" t="str">
        <f>IF('1. Live'!CR83='check-Jul25'!CR83,"",'1. Live'!CR83-'check-Jul25'!CR83)</f>
        <v/>
      </c>
      <c r="CS83" t="str">
        <f>IF('1. Live'!CS83='check-Jul25'!CS83,"",'1. Live'!CS83-'check-Jul25'!CS83)</f>
        <v/>
      </c>
      <c r="CT83" t="str">
        <f>IF('1. Live'!CT83='check-Jul25'!CT83,"",'1. Live'!CT83-'check-Jul25'!CT83)</f>
        <v/>
      </c>
      <c r="CU83" t="str">
        <f>IF('1. Live'!CU83='check-Jul25'!CU83,"",'1. Live'!CU83-'check-Jul25'!CU83)</f>
        <v/>
      </c>
      <c r="CV83" t="str">
        <f>IF('1. Live'!CV83='check-Jul25'!CV83,"",'1. Live'!CV83-'check-Jul25'!CV83)</f>
        <v/>
      </c>
      <c r="CW83" t="str">
        <f>IF('1. Live'!CW83='check-Jul25'!CW83,"",'1. Live'!CW83-'check-Jul25'!CW83)</f>
        <v/>
      </c>
    </row>
    <row r="84" spans="10:101">
      <c r="J84" t="str">
        <f>IF('1. Live'!J84='check-Jul25'!J84,"",'1. Live'!J84-'check-Jul25'!J84)</f>
        <v/>
      </c>
      <c r="K84" t="str">
        <f>IF('1. Live'!K84='check-Jul25'!K84,"",'1. Live'!K84-'check-Jul25'!K84)</f>
        <v/>
      </c>
      <c r="L84" t="str">
        <f>IF('1. Live'!L84='check-Jul25'!L84,"",'1. Live'!L84-'check-Jul25'!L84)</f>
        <v/>
      </c>
      <c r="M84" t="str">
        <f>IF('1. Live'!M84='check-Jul25'!M84,"",'1. Live'!M84-'check-Jul25'!M84)</f>
        <v/>
      </c>
      <c r="N84" t="str">
        <f>IF('1. Live'!N84='check-Jul25'!N84,"",'1. Live'!N84-'check-Jul25'!N84)</f>
        <v/>
      </c>
      <c r="O84" t="str">
        <f>IF('1. Live'!O84='check-Jul25'!O84,"",'1. Live'!O84-'check-Jul25'!O84)</f>
        <v/>
      </c>
      <c r="P84" t="str">
        <f>IF('1. Live'!P84='check-Jul25'!P84,"",'1. Live'!P84-'check-Jul25'!P84)</f>
        <v/>
      </c>
      <c r="Q84" t="str">
        <f>IF('1. Live'!Q84='check-Jul25'!Q84,"",'1. Live'!Q84-'check-Jul25'!Q84)</f>
        <v/>
      </c>
      <c r="R84" t="str">
        <f>IF('1. Live'!R84='check-Jul25'!R84,"",'1. Live'!R84-'check-Jul25'!R84)</f>
        <v/>
      </c>
      <c r="S84" t="str">
        <f>IF('1. Live'!S84='check-Jul25'!S84,"",'1. Live'!S84-'check-Jul25'!S84)</f>
        <v/>
      </c>
      <c r="T84" t="str">
        <f>IF('1. Live'!T84='check-Jul25'!T84,"",'1. Live'!T84-'check-Jul25'!T84)</f>
        <v/>
      </c>
      <c r="U84" t="str">
        <f>IF('1. Live'!U84='check-Jul25'!U84,"",'1. Live'!U84-'check-Jul25'!U84)</f>
        <v/>
      </c>
      <c r="V84" t="str">
        <f>IF('1. Live'!V84='check-Jul25'!V84,"",'1. Live'!V84-'check-Jul25'!V84)</f>
        <v/>
      </c>
      <c r="W84" t="str">
        <f>IF('1. Live'!W84='check-Jul25'!W84,"",'1. Live'!W84-'check-Jul25'!W84)</f>
        <v/>
      </c>
      <c r="X84" t="str">
        <f>IF('1. Live'!X84='check-Jul25'!X84,"",'1. Live'!X84-'check-Jul25'!X84)</f>
        <v/>
      </c>
      <c r="Y84" t="str">
        <f>IF('1. Live'!Y84='check-Jul25'!Y84,"",'1. Live'!Y84-'check-Jul25'!Y84)</f>
        <v/>
      </c>
      <c r="Z84" t="str">
        <f>IF('1. Live'!Z84='check-Jul25'!Z84,"",'1. Live'!Z84-'check-Jul25'!Z84)</f>
        <v/>
      </c>
      <c r="AA84" t="str">
        <f>IF('1. Live'!AA84='check-Jul25'!AA84,"",'1. Live'!AA84-'check-Jul25'!AA84)</f>
        <v/>
      </c>
      <c r="AB84" t="str">
        <f>IF('1. Live'!AB84='check-Jul25'!AB84,"",'1. Live'!AB84-'check-Jul25'!AB84)</f>
        <v/>
      </c>
      <c r="AC84" t="str">
        <f>IF('1. Live'!AC84='check-Jul25'!AC84,"",'1. Live'!AC84-'check-Jul25'!AC84)</f>
        <v/>
      </c>
      <c r="AD84" t="str">
        <f>IF('1. Live'!AD84='check-Jul25'!AD84,"",'1. Live'!AD84-'check-Jul25'!AD84)</f>
        <v/>
      </c>
      <c r="AE84" t="str">
        <f>IF('1. Live'!AE84='check-Jul25'!AE84,"",'1. Live'!AE84-'check-Jul25'!AE84)</f>
        <v/>
      </c>
      <c r="AF84" t="str">
        <f>IF('1. Live'!AF84='check-Jul25'!AF84,"",'1. Live'!AF84-'check-Jul25'!AF84)</f>
        <v/>
      </c>
      <c r="AG84" t="str">
        <f>IF('1. Live'!AG84='check-Jul25'!AG84,"",'1. Live'!AG84-'check-Jul25'!AG84)</f>
        <v/>
      </c>
      <c r="AH84" t="str">
        <f>IF('1. Live'!AH84='check-Jul25'!AH84,"",'1. Live'!AH84-'check-Jul25'!AH84)</f>
        <v/>
      </c>
      <c r="AI84" t="str">
        <f>IF('1. Live'!AI84='check-Jul25'!AI84,"",'1. Live'!AI84-'check-Jul25'!AI84)</f>
        <v/>
      </c>
      <c r="AJ84" t="str">
        <f>IF('1. Live'!AJ84='check-Jul25'!AJ84,"",'1. Live'!AJ84-'check-Jul25'!AJ84)</f>
        <v/>
      </c>
      <c r="AK84" t="str">
        <f>IF('1. Live'!AK84='check-Jul25'!AK84,"",'1. Live'!AK84-'check-Jul25'!AK84)</f>
        <v/>
      </c>
      <c r="AL84" t="str">
        <f>IF('1. Live'!AL84='check-Jul25'!AL84,"",'1. Live'!AL84-'check-Jul25'!AL84)</f>
        <v/>
      </c>
      <c r="AM84" t="str">
        <f>IF('1. Live'!AM84='check-Jul25'!AM84,"",'1. Live'!AM84-'check-Jul25'!AM84)</f>
        <v/>
      </c>
      <c r="AN84" t="str">
        <f>IF('1. Live'!AN84='check-Jul25'!AN84,"",'1. Live'!AN84-'check-Jul25'!AN84)</f>
        <v/>
      </c>
      <c r="AO84" t="str">
        <f>IF('1. Live'!AO84='check-Jul25'!AO84,"",'1. Live'!AO84-'check-Jul25'!AO84)</f>
        <v/>
      </c>
      <c r="AP84" t="str">
        <f>IF('1. Live'!AP84='check-Jul25'!AP84,"",'1. Live'!AP84-'check-Jul25'!AP84)</f>
        <v/>
      </c>
      <c r="AQ84" t="str">
        <f>IF('1. Live'!AQ84='check-Jul25'!AQ84,"",'1. Live'!AQ84-'check-Jul25'!AQ84)</f>
        <v/>
      </c>
      <c r="AR84" t="str">
        <f>IF('1. Live'!AR84='check-Jul25'!AR84,"",'1. Live'!AR84-'check-Jul25'!AR84)</f>
        <v/>
      </c>
      <c r="AS84" t="str">
        <f>IF('1. Live'!AS84='check-Jul25'!AS84,"",'1. Live'!AS84-'check-Jul25'!AS84)</f>
        <v/>
      </c>
      <c r="AT84" t="str">
        <f>IF('1. Live'!AT84='check-Jul25'!AT84,"",'1. Live'!AT84-'check-Jul25'!AT84)</f>
        <v/>
      </c>
      <c r="AU84" t="str">
        <f>IF('1. Live'!AU84='check-Jul25'!AU84,"",'1. Live'!AU84-'check-Jul25'!AU84)</f>
        <v/>
      </c>
      <c r="AV84" t="str">
        <f>IF('1. Live'!AV84='check-Jul25'!AV84,"",'1. Live'!AV84-'check-Jul25'!AV84)</f>
        <v/>
      </c>
      <c r="AW84" t="str">
        <f>IF('1. Live'!AW84='check-Jul25'!AW84,"",'1. Live'!AW84-'check-Jul25'!AW84)</f>
        <v/>
      </c>
      <c r="AX84" t="str">
        <f>IF('1. Live'!AX84='check-Jul25'!AX84,"",'1. Live'!AX84-'check-Jul25'!AX84)</f>
        <v/>
      </c>
      <c r="AY84" t="str">
        <f>IF('1. Live'!AY84='check-Jul25'!AY84,"",'1. Live'!AY84-'check-Jul25'!AY84)</f>
        <v/>
      </c>
      <c r="AZ84" t="str">
        <f>IF('1. Live'!AZ84='check-Jul25'!AZ84,"",'1. Live'!AZ84-'check-Jul25'!AZ84)</f>
        <v/>
      </c>
      <c r="BA84" t="str">
        <f>IF('1. Live'!BA84='check-Jul25'!BA84,"",'1. Live'!BA84-'check-Jul25'!BA84)</f>
        <v/>
      </c>
      <c r="BB84" t="str">
        <f>IF('1. Live'!BB84='check-Jul25'!BB84,"",'1. Live'!BB84-'check-Jul25'!BB84)</f>
        <v/>
      </c>
      <c r="BC84" t="str">
        <f>IF('1. Live'!BC84='check-Jul25'!BC84,"",'1. Live'!BC84-'check-Jul25'!BC84)</f>
        <v/>
      </c>
      <c r="BD84" t="str">
        <f>IF('1. Live'!BD84='check-Jul25'!BD84,"",'1. Live'!BD84-'check-Jul25'!BD84)</f>
        <v/>
      </c>
      <c r="BE84" t="str">
        <f>IF('1. Live'!BE84='check-Jul25'!BE84,"",'1. Live'!BE84-'check-Jul25'!BE84)</f>
        <v/>
      </c>
      <c r="BF84" t="str">
        <f>IF('1. Live'!BF84='check-Jul25'!BF84,"",'1. Live'!BF84-'check-Jul25'!BF84)</f>
        <v/>
      </c>
      <c r="BG84" t="str">
        <f>IF('1. Live'!BG84='check-Jul25'!BG84,"",'1. Live'!BG84-'check-Jul25'!BG84)</f>
        <v/>
      </c>
      <c r="BH84" t="str">
        <f>IF('1. Live'!BH84='check-Jul25'!BH84,"",'1. Live'!BH84-'check-Jul25'!BH84)</f>
        <v/>
      </c>
      <c r="BI84" t="str">
        <f>IF('1. Live'!BI84='check-Jul25'!BI84,"",'1. Live'!BI84-'check-Jul25'!BI84)</f>
        <v/>
      </c>
      <c r="BJ84" t="str">
        <f>IF('1. Live'!BJ84='check-Jul25'!BJ84,"",'1. Live'!BJ84-'check-Jul25'!BJ84)</f>
        <v/>
      </c>
      <c r="BK84" t="str">
        <f>IF('1. Live'!BK84='check-Jul25'!BK84,"",'1. Live'!BK84-'check-Jul25'!BK84)</f>
        <v/>
      </c>
      <c r="BL84" t="str">
        <f>IF('1. Live'!BL84='check-Jul25'!BL84,"",'1. Live'!BL84-'check-Jul25'!BL84)</f>
        <v/>
      </c>
      <c r="BM84" t="str">
        <f>IF('1. Live'!BM84='check-Jul25'!BM84,"",'1. Live'!BM84-'check-Jul25'!BM84)</f>
        <v/>
      </c>
      <c r="BN84" t="str">
        <f>IF('1. Live'!BN84='check-Jul25'!BN84,"",'1. Live'!BN84-'check-Jul25'!BN84)</f>
        <v/>
      </c>
      <c r="BO84" t="str">
        <f>IF('1. Live'!BO84='check-Jul25'!BO84,"",'1. Live'!BO84-'check-Jul25'!BO84)</f>
        <v/>
      </c>
      <c r="BP84" t="str">
        <f>IF('1. Live'!BP84='check-Jul25'!BP84,"",'1. Live'!BP84-'check-Jul25'!BP84)</f>
        <v/>
      </c>
      <c r="BQ84" t="str">
        <f>IF('1. Live'!BQ84='check-Jul25'!BQ84,"",'1. Live'!BQ84-'check-Jul25'!BQ84)</f>
        <v/>
      </c>
      <c r="BR84" t="str">
        <f>IF('1. Live'!BR84='check-Jul25'!BR84,"",'1. Live'!BR84-'check-Jul25'!BR84)</f>
        <v/>
      </c>
      <c r="BS84" t="str">
        <f>IF('1. Live'!BS84='check-Jul25'!BS84,"",'1. Live'!BS84-'check-Jul25'!BS84)</f>
        <v/>
      </c>
      <c r="BT84" t="str">
        <f>IF('1. Live'!BT84='check-Jul25'!BT84,"",'1. Live'!BT84-'check-Jul25'!BT84)</f>
        <v/>
      </c>
      <c r="BU84" t="str">
        <f>IF('1. Live'!BU84='check-Jul25'!BU84,"",'1. Live'!BU84-'check-Jul25'!BU84)</f>
        <v/>
      </c>
      <c r="BV84" t="str">
        <f>IF('1. Live'!BV84='check-Jul25'!BV84,"",'1. Live'!BV84-'check-Jul25'!BV84)</f>
        <v/>
      </c>
      <c r="BW84" t="str">
        <f>IF('1. Live'!BW84='check-Jul25'!BW84,"",'1. Live'!BW84-'check-Jul25'!BW84)</f>
        <v/>
      </c>
      <c r="BX84" t="str">
        <f>IF('1. Live'!BX84='check-Jul25'!BX84,"",'1. Live'!BX84-'check-Jul25'!BX84)</f>
        <v/>
      </c>
      <c r="BY84" t="str">
        <f>IF('1. Live'!BY84='check-Jul25'!BY84,"",'1. Live'!BY84-'check-Jul25'!BY84)</f>
        <v/>
      </c>
      <c r="BZ84" t="str">
        <f>IF('1. Live'!BZ84='check-Jul25'!BZ84,"",'1. Live'!BZ84-'check-Jul25'!BZ84)</f>
        <v/>
      </c>
      <c r="CA84" t="str">
        <f>IF('1. Live'!CA84='check-Jul25'!CA84,"",'1. Live'!CA84-'check-Jul25'!CA84)</f>
        <v/>
      </c>
      <c r="CB84" t="str">
        <f>IF('1. Live'!CB84='check-Jul25'!CB84,"",'1. Live'!CB84-'check-Jul25'!CB84)</f>
        <v/>
      </c>
      <c r="CC84" t="str">
        <f>IF('1. Live'!CC84='check-Jul25'!CC84,"",'1. Live'!CC84-'check-Jul25'!CC84)</f>
        <v/>
      </c>
      <c r="CD84" t="str">
        <f>IF('1. Live'!CD84='check-Jul25'!CD84,"",'1. Live'!CD84-'check-Jul25'!CD84)</f>
        <v/>
      </c>
      <c r="CE84" t="str">
        <f>IF('1. Live'!CE84='check-Jul25'!CE84,"",'1. Live'!CE84-'check-Jul25'!CE84)</f>
        <v/>
      </c>
      <c r="CF84" t="str">
        <f>IF('1. Live'!CF84='check-Jul25'!CF84,"",'1. Live'!CF84-'check-Jul25'!CF84)</f>
        <v/>
      </c>
      <c r="CG84" t="str">
        <f>IF('1. Live'!CG84='check-Jul25'!CG84,"",'1. Live'!CG84-'check-Jul25'!CG84)</f>
        <v/>
      </c>
      <c r="CH84" t="str">
        <f>IF('1. Live'!CH84='check-Jul25'!CH84,"",'1. Live'!CH84-'check-Jul25'!CH84)</f>
        <v/>
      </c>
      <c r="CI84" t="str">
        <f>IF('1. Live'!CI84='check-Jul25'!CI84,"",'1. Live'!CI84-'check-Jul25'!CI84)</f>
        <v/>
      </c>
      <c r="CJ84" t="str">
        <f>IF('1. Live'!CJ84='check-Jul25'!CJ84,"",'1. Live'!CJ84-'check-Jul25'!CJ84)</f>
        <v/>
      </c>
      <c r="CK84" t="str">
        <f>IF('1. Live'!CK84='check-Jul25'!CK84,"",'1. Live'!CK84-'check-Jul25'!CK84)</f>
        <v/>
      </c>
      <c r="CL84" t="str">
        <f>IF('1. Live'!CL84='check-Jul25'!CL84,"",'1. Live'!CL84-'check-Jul25'!CL84)</f>
        <v/>
      </c>
      <c r="CM84" t="str">
        <f>IF('1. Live'!CM84='check-Jul25'!CM84,"",'1. Live'!CM84-'check-Jul25'!CM84)</f>
        <v/>
      </c>
      <c r="CN84" t="str">
        <f>IF('1. Live'!CN84='check-Jul25'!CN84,"",'1. Live'!CN84-'check-Jul25'!CN84)</f>
        <v/>
      </c>
      <c r="CO84" t="str">
        <f>IF('1. Live'!CO84='check-Jul25'!CO84,"",'1. Live'!CO84-'check-Jul25'!CO84)</f>
        <v/>
      </c>
      <c r="CP84" t="str">
        <f>IF('1. Live'!CP84='check-Jul25'!CP84,"",'1. Live'!CP84-'check-Jul25'!CP84)</f>
        <v/>
      </c>
      <c r="CQ84" t="str">
        <f>IF('1. Live'!CQ84='check-Jul25'!CQ84,"",'1. Live'!CQ84-'check-Jul25'!CQ84)</f>
        <v/>
      </c>
      <c r="CR84" t="str">
        <f>IF('1. Live'!CR84='check-Jul25'!CR84,"",'1. Live'!CR84-'check-Jul25'!CR84)</f>
        <v/>
      </c>
      <c r="CS84" t="str">
        <f>IF('1. Live'!CS84='check-Jul25'!CS84,"",'1. Live'!CS84-'check-Jul25'!CS84)</f>
        <v/>
      </c>
      <c r="CT84" t="str">
        <f>IF('1. Live'!CT84='check-Jul25'!CT84,"",'1. Live'!CT84-'check-Jul25'!CT84)</f>
        <v/>
      </c>
      <c r="CU84" t="str">
        <f>IF('1. Live'!CU84='check-Jul25'!CU84,"",'1. Live'!CU84-'check-Jul25'!CU84)</f>
        <v/>
      </c>
      <c r="CV84" t="str">
        <f>IF('1. Live'!CV84='check-Jul25'!CV84,"",'1. Live'!CV84-'check-Jul25'!CV84)</f>
        <v/>
      </c>
      <c r="CW84" t="str">
        <f>IF('1. Live'!CW84='check-Jul25'!CW84,"",'1. Live'!CW84-'check-Jul25'!CW84)</f>
        <v/>
      </c>
    </row>
    <row r="85" spans="10:101">
      <c r="J85" t="str">
        <f>IF('1. Live'!J85='check-Jul25'!J85,"",'1. Live'!J85-'check-Jul25'!J85)</f>
        <v/>
      </c>
      <c r="K85" t="str">
        <f>IF('1. Live'!K85='check-Jul25'!K85,"",'1. Live'!K85-'check-Jul25'!K85)</f>
        <v/>
      </c>
      <c r="L85" t="str">
        <f>IF('1. Live'!L85='check-Jul25'!L85,"",'1. Live'!L85-'check-Jul25'!L85)</f>
        <v/>
      </c>
      <c r="M85" t="str">
        <f>IF('1. Live'!M85='check-Jul25'!M85,"",'1. Live'!M85-'check-Jul25'!M85)</f>
        <v/>
      </c>
      <c r="N85" t="str">
        <f>IF('1. Live'!N85='check-Jul25'!N85,"",'1. Live'!N85-'check-Jul25'!N85)</f>
        <v/>
      </c>
      <c r="O85" t="str">
        <f>IF('1. Live'!O85='check-Jul25'!O85,"",'1. Live'!O85-'check-Jul25'!O85)</f>
        <v/>
      </c>
      <c r="P85" t="str">
        <f>IF('1. Live'!P85='check-Jul25'!P85,"",'1. Live'!P85-'check-Jul25'!P85)</f>
        <v/>
      </c>
      <c r="Q85" t="str">
        <f>IF('1. Live'!Q85='check-Jul25'!Q85,"",'1. Live'!Q85-'check-Jul25'!Q85)</f>
        <v/>
      </c>
      <c r="R85" t="str">
        <f>IF('1. Live'!R85='check-Jul25'!R85,"",'1. Live'!R85-'check-Jul25'!R85)</f>
        <v/>
      </c>
      <c r="S85" t="str">
        <f>IF('1. Live'!S85='check-Jul25'!S85,"",'1. Live'!S85-'check-Jul25'!S85)</f>
        <v/>
      </c>
      <c r="T85" t="str">
        <f>IF('1. Live'!T85='check-Jul25'!T85,"",'1. Live'!T85-'check-Jul25'!T85)</f>
        <v/>
      </c>
      <c r="U85" t="str">
        <f>IF('1. Live'!U85='check-Jul25'!U85,"",'1. Live'!U85-'check-Jul25'!U85)</f>
        <v/>
      </c>
      <c r="V85" t="str">
        <f>IF('1. Live'!V85='check-Jul25'!V85,"",'1. Live'!V85-'check-Jul25'!V85)</f>
        <v/>
      </c>
      <c r="W85" t="str">
        <f>IF('1. Live'!W85='check-Jul25'!W85,"",'1. Live'!W85-'check-Jul25'!W85)</f>
        <v/>
      </c>
      <c r="X85" t="str">
        <f>IF('1. Live'!X85='check-Jul25'!X85,"",'1. Live'!X85-'check-Jul25'!X85)</f>
        <v/>
      </c>
      <c r="Y85" t="str">
        <f>IF('1. Live'!Y85='check-Jul25'!Y85,"",'1. Live'!Y85-'check-Jul25'!Y85)</f>
        <v/>
      </c>
      <c r="Z85" t="str">
        <f>IF('1. Live'!Z85='check-Jul25'!Z85,"",'1. Live'!Z85-'check-Jul25'!Z85)</f>
        <v/>
      </c>
      <c r="AA85" t="str">
        <f>IF('1. Live'!AA85='check-Jul25'!AA85,"",'1. Live'!AA85-'check-Jul25'!AA85)</f>
        <v/>
      </c>
      <c r="AB85" t="str">
        <f>IF('1. Live'!AB85='check-Jul25'!AB85,"",'1. Live'!AB85-'check-Jul25'!AB85)</f>
        <v/>
      </c>
      <c r="AC85" t="str">
        <f>IF('1. Live'!AC85='check-Jul25'!AC85,"",'1. Live'!AC85-'check-Jul25'!AC85)</f>
        <v/>
      </c>
      <c r="AD85" t="str">
        <f>IF('1. Live'!AD85='check-Jul25'!AD85,"",'1. Live'!AD85-'check-Jul25'!AD85)</f>
        <v/>
      </c>
      <c r="AE85" t="str">
        <f>IF('1. Live'!AE85='check-Jul25'!AE85,"",'1. Live'!AE85-'check-Jul25'!AE85)</f>
        <v/>
      </c>
      <c r="AF85" t="str">
        <f>IF('1. Live'!AF85='check-Jul25'!AF85,"",'1. Live'!AF85-'check-Jul25'!AF85)</f>
        <v/>
      </c>
      <c r="AG85" t="str">
        <f>IF('1. Live'!AG85='check-Jul25'!AG85,"",'1. Live'!AG85-'check-Jul25'!AG85)</f>
        <v/>
      </c>
      <c r="AH85" t="str">
        <f>IF('1. Live'!AH85='check-Jul25'!AH85,"",'1. Live'!AH85-'check-Jul25'!AH85)</f>
        <v/>
      </c>
      <c r="AI85" t="str">
        <f>IF('1. Live'!AI85='check-Jul25'!AI85,"",'1. Live'!AI85-'check-Jul25'!AI85)</f>
        <v/>
      </c>
      <c r="AJ85" t="str">
        <f>IF('1. Live'!AJ85='check-Jul25'!AJ85,"",'1. Live'!AJ85-'check-Jul25'!AJ85)</f>
        <v/>
      </c>
      <c r="AK85" t="str">
        <f>IF('1. Live'!AK85='check-Jul25'!AK85,"",'1. Live'!AK85-'check-Jul25'!AK85)</f>
        <v/>
      </c>
      <c r="AL85" t="str">
        <f>IF('1. Live'!AL85='check-Jul25'!AL85,"",'1. Live'!AL85-'check-Jul25'!AL85)</f>
        <v/>
      </c>
      <c r="AM85" t="str">
        <f>IF('1. Live'!AM85='check-Jul25'!AM85,"",'1. Live'!AM85-'check-Jul25'!AM85)</f>
        <v/>
      </c>
      <c r="AN85" t="str">
        <f>IF('1. Live'!AN85='check-Jul25'!AN85,"",'1. Live'!AN85-'check-Jul25'!AN85)</f>
        <v/>
      </c>
      <c r="AO85" t="str">
        <f>IF('1. Live'!AO85='check-Jul25'!AO85,"",'1. Live'!AO85-'check-Jul25'!AO85)</f>
        <v/>
      </c>
      <c r="AP85" t="str">
        <f>IF('1. Live'!AP85='check-Jul25'!AP85,"",'1. Live'!AP85-'check-Jul25'!AP85)</f>
        <v/>
      </c>
      <c r="AQ85" t="str">
        <f>IF('1. Live'!AQ85='check-Jul25'!AQ85,"",'1. Live'!AQ85-'check-Jul25'!AQ85)</f>
        <v/>
      </c>
      <c r="AR85" t="str">
        <f>IF('1. Live'!AR85='check-Jul25'!AR85,"",'1. Live'!AR85-'check-Jul25'!AR85)</f>
        <v/>
      </c>
      <c r="AS85" t="str">
        <f>IF('1. Live'!AS85='check-Jul25'!AS85,"",'1. Live'!AS85-'check-Jul25'!AS85)</f>
        <v/>
      </c>
      <c r="AT85" t="str">
        <f>IF('1. Live'!AT85='check-Jul25'!AT85,"",'1. Live'!AT85-'check-Jul25'!AT85)</f>
        <v/>
      </c>
      <c r="AU85" t="str">
        <f>IF('1. Live'!AU85='check-Jul25'!AU85,"",'1. Live'!AU85-'check-Jul25'!AU85)</f>
        <v/>
      </c>
      <c r="AV85" t="str">
        <f>IF('1. Live'!AV85='check-Jul25'!AV85,"",'1. Live'!AV85-'check-Jul25'!AV85)</f>
        <v/>
      </c>
      <c r="AW85" t="str">
        <f>IF('1. Live'!AW85='check-Jul25'!AW85,"",'1. Live'!AW85-'check-Jul25'!AW85)</f>
        <v/>
      </c>
      <c r="AX85" t="str">
        <f>IF('1. Live'!AX85='check-Jul25'!AX85,"",'1. Live'!AX85-'check-Jul25'!AX85)</f>
        <v/>
      </c>
      <c r="AY85" t="str">
        <f>IF('1. Live'!AY85='check-Jul25'!AY85,"",'1. Live'!AY85-'check-Jul25'!AY85)</f>
        <v/>
      </c>
      <c r="AZ85" t="str">
        <f>IF('1. Live'!AZ85='check-Jul25'!AZ85,"",'1. Live'!AZ85-'check-Jul25'!AZ85)</f>
        <v/>
      </c>
      <c r="BA85" t="str">
        <f>IF('1. Live'!BA85='check-Jul25'!BA85,"",'1. Live'!BA85-'check-Jul25'!BA85)</f>
        <v/>
      </c>
      <c r="BB85" t="str">
        <f>IF('1. Live'!BB85='check-Jul25'!BB85,"",'1. Live'!BB85-'check-Jul25'!BB85)</f>
        <v/>
      </c>
      <c r="BC85" t="str">
        <f>IF('1. Live'!BC85='check-Jul25'!BC85,"",'1. Live'!BC85-'check-Jul25'!BC85)</f>
        <v/>
      </c>
      <c r="BD85" t="str">
        <f>IF('1. Live'!BD85='check-Jul25'!BD85,"",'1. Live'!BD85-'check-Jul25'!BD85)</f>
        <v/>
      </c>
      <c r="BE85" t="str">
        <f>IF('1. Live'!BE85='check-Jul25'!BE85,"",'1. Live'!BE85-'check-Jul25'!BE85)</f>
        <v/>
      </c>
      <c r="BF85" t="str">
        <f>IF('1. Live'!BF85='check-Jul25'!BF85,"",'1. Live'!BF85-'check-Jul25'!BF85)</f>
        <v/>
      </c>
      <c r="BG85" t="str">
        <f>IF('1. Live'!BG85='check-Jul25'!BG85,"",'1. Live'!BG85-'check-Jul25'!BG85)</f>
        <v/>
      </c>
      <c r="BH85" t="str">
        <f>IF('1. Live'!BH85='check-Jul25'!BH85,"",'1. Live'!BH85-'check-Jul25'!BH85)</f>
        <v/>
      </c>
      <c r="BI85" t="str">
        <f>IF('1. Live'!BI85='check-Jul25'!BI85,"",'1. Live'!BI85-'check-Jul25'!BI85)</f>
        <v/>
      </c>
      <c r="BJ85" t="str">
        <f>IF('1. Live'!BJ85='check-Jul25'!BJ85,"",'1. Live'!BJ85-'check-Jul25'!BJ85)</f>
        <v/>
      </c>
      <c r="BK85" t="str">
        <f>IF('1. Live'!BK85='check-Jul25'!BK85,"",'1. Live'!BK85-'check-Jul25'!BK85)</f>
        <v/>
      </c>
      <c r="BL85" t="str">
        <f>IF('1. Live'!BL85='check-Jul25'!BL85,"",'1. Live'!BL85-'check-Jul25'!BL85)</f>
        <v/>
      </c>
      <c r="BM85" t="str">
        <f>IF('1. Live'!BM85='check-Jul25'!BM85,"",'1. Live'!BM85-'check-Jul25'!BM85)</f>
        <v/>
      </c>
      <c r="BN85" t="str">
        <f>IF('1. Live'!BN85='check-Jul25'!BN85,"",'1. Live'!BN85-'check-Jul25'!BN85)</f>
        <v/>
      </c>
      <c r="BO85" t="str">
        <f>IF('1. Live'!BO85='check-Jul25'!BO85,"",'1. Live'!BO85-'check-Jul25'!BO85)</f>
        <v/>
      </c>
      <c r="BP85" t="str">
        <f>IF('1. Live'!BP85='check-Jul25'!BP85,"",'1. Live'!BP85-'check-Jul25'!BP85)</f>
        <v/>
      </c>
      <c r="BQ85" t="str">
        <f>IF('1. Live'!BQ85='check-Jul25'!BQ85,"",'1. Live'!BQ85-'check-Jul25'!BQ85)</f>
        <v/>
      </c>
      <c r="BR85" t="str">
        <f>IF('1. Live'!BR85='check-Jul25'!BR85,"",'1. Live'!BR85-'check-Jul25'!BR85)</f>
        <v/>
      </c>
      <c r="BS85" t="str">
        <f>IF('1. Live'!BS85='check-Jul25'!BS85,"",'1. Live'!BS85-'check-Jul25'!BS85)</f>
        <v/>
      </c>
      <c r="BT85" t="str">
        <f>IF('1. Live'!BT85='check-Jul25'!BT85,"",'1. Live'!BT85-'check-Jul25'!BT85)</f>
        <v/>
      </c>
      <c r="BU85" t="str">
        <f>IF('1. Live'!BU85='check-Jul25'!BU85,"",'1. Live'!BU85-'check-Jul25'!BU85)</f>
        <v/>
      </c>
      <c r="BV85" t="str">
        <f>IF('1. Live'!BV85='check-Jul25'!BV85,"",'1. Live'!BV85-'check-Jul25'!BV85)</f>
        <v/>
      </c>
      <c r="BW85" t="str">
        <f>IF('1. Live'!BW85='check-Jul25'!BW85,"",'1. Live'!BW85-'check-Jul25'!BW85)</f>
        <v/>
      </c>
      <c r="BX85" t="str">
        <f>IF('1. Live'!BX85='check-Jul25'!BX85,"",'1. Live'!BX85-'check-Jul25'!BX85)</f>
        <v/>
      </c>
      <c r="BY85" t="str">
        <f>IF('1. Live'!BY85='check-Jul25'!BY85,"",'1. Live'!BY85-'check-Jul25'!BY85)</f>
        <v/>
      </c>
      <c r="BZ85" t="str">
        <f>IF('1. Live'!BZ85='check-Jul25'!BZ85,"",'1. Live'!BZ85-'check-Jul25'!BZ85)</f>
        <v/>
      </c>
      <c r="CA85" t="str">
        <f>IF('1. Live'!CA85='check-Jul25'!CA85,"",'1. Live'!CA85-'check-Jul25'!CA85)</f>
        <v/>
      </c>
      <c r="CB85" t="str">
        <f>IF('1. Live'!CB85='check-Jul25'!CB85,"",'1. Live'!CB85-'check-Jul25'!CB85)</f>
        <v/>
      </c>
      <c r="CC85" t="str">
        <f>IF('1. Live'!CC85='check-Jul25'!CC85,"",'1. Live'!CC85-'check-Jul25'!CC85)</f>
        <v/>
      </c>
      <c r="CD85" t="str">
        <f>IF('1. Live'!CD85='check-Jul25'!CD85,"",'1. Live'!CD85-'check-Jul25'!CD85)</f>
        <v/>
      </c>
      <c r="CE85" t="str">
        <f>IF('1. Live'!CE85='check-Jul25'!CE85,"",'1. Live'!CE85-'check-Jul25'!CE85)</f>
        <v/>
      </c>
      <c r="CF85" t="str">
        <f>IF('1. Live'!CF85='check-Jul25'!CF85,"",'1. Live'!CF85-'check-Jul25'!CF85)</f>
        <v/>
      </c>
      <c r="CG85" t="str">
        <f>IF('1. Live'!CG85='check-Jul25'!CG85,"",'1. Live'!CG85-'check-Jul25'!CG85)</f>
        <v/>
      </c>
      <c r="CH85" t="str">
        <f>IF('1. Live'!CH85='check-Jul25'!CH85,"",'1. Live'!CH85-'check-Jul25'!CH85)</f>
        <v/>
      </c>
      <c r="CI85" t="str">
        <f>IF('1. Live'!CI85='check-Jul25'!CI85,"",'1. Live'!CI85-'check-Jul25'!CI85)</f>
        <v/>
      </c>
      <c r="CJ85" t="str">
        <f>IF('1. Live'!CJ85='check-Jul25'!CJ85,"",'1. Live'!CJ85-'check-Jul25'!CJ85)</f>
        <v/>
      </c>
      <c r="CK85" t="str">
        <f>IF('1. Live'!CK85='check-Jul25'!CK85,"",'1. Live'!CK85-'check-Jul25'!CK85)</f>
        <v/>
      </c>
      <c r="CL85" t="str">
        <f>IF('1. Live'!CL85='check-Jul25'!CL85,"",'1. Live'!CL85-'check-Jul25'!CL85)</f>
        <v/>
      </c>
      <c r="CM85" t="str">
        <f>IF('1. Live'!CM85='check-Jul25'!CM85,"",'1. Live'!CM85-'check-Jul25'!CM85)</f>
        <v/>
      </c>
      <c r="CN85" t="str">
        <f>IF('1. Live'!CN85='check-Jul25'!CN85,"",'1. Live'!CN85-'check-Jul25'!CN85)</f>
        <v/>
      </c>
      <c r="CO85" t="str">
        <f>IF('1. Live'!CO85='check-Jul25'!CO85,"",'1. Live'!CO85-'check-Jul25'!CO85)</f>
        <v/>
      </c>
      <c r="CP85" t="str">
        <f>IF('1. Live'!CP85='check-Jul25'!CP85,"",'1. Live'!CP85-'check-Jul25'!CP85)</f>
        <v/>
      </c>
      <c r="CQ85" t="str">
        <f>IF('1. Live'!CQ85='check-Jul25'!CQ85,"",'1. Live'!CQ85-'check-Jul25'!CQ85)</f>
        <v/>
      </c>
      <c r="CR85" t="str">
        <f>IF('1. Live'!CR85='check-Jul25'!CR85,"",'1. Live'!CR85-'check-Jul25'!CR85)</f>
        <v/>
      </c>
      <c r="CS85" t="str">
        <f>IF('1. Live'!CS85='check-Jul25'!CS85,"",'1. Live'!CS85-'check-Jul25'!CS85)</f>
        <v/>
      </c>
      <c r="CT85" t="str">
        <f>IF('1. Live'!CT85='check-Jul25'!CT85,"",'1. Live'!CT85-'check-Jul25'!CT85)</f>
        <v/>
      </c>
      <c r="CU85" t="str">
        <f>IF('1. Live'!CU85='check-Jul25'!CU85,"",'1. Live'!CU85-'check-Jul25'!CU85)</f>
        <v/>
      </c>
      <c r="CV85" t="str">
        <f>IF('1. Live'!CV85='check-Jul25'!CV85,"",'1. Live'!CV85-'check-Jul25'!CV85)</f>
        <v/>
      </c>
      <c r="CW85" t="str">
        <f>IF('1. Live'!CW85='check-Jul25'!CW85,"",'1. Live'!CW85-'check-Jul25'!CW85)</f>
        <v/>
      </c>
    </row>
    <row r="86" spans="10:101">
      <c r="J86" t="str">
        <f>IF('1. Live'!J86='check-Jul25'!J86,"",'1. Live'!J86-'check-Jul25'!J86)</f>
        <v/>
      </c>
      <c r="K86" t="str">
        <f>IF('1. Live'!K86='check-Jul25'!K86,"",'1. Live'!K86-'check-Jul25'!K86)</f>
        <v/>
      </c>
      <c r="L86" t="str">
        <f>IF('1. Live'!L86='check-Jul25'!L86,"",'1. Live'!L86-'check-Jul25'!L86)</f>
        <v/>
      </c>
      <c r="M86" t="str">
        <f>IF('1. Live'!M86='check-Jul25'!M86,"",'1. Live'!M86-'check-Jul25'!M86)</f>
        <v/>
      </c>
      <c r="N86" t="str">
        <f>IF('1. Live'!N86='check-Jul25'!N86,"",'1. Live'!N86-'check-Jul25'!N86)</f>
        <v/>
      </c>
      <c r="O86" t="str">
        <f>IF('1. Live'!O86='check-Jul25'!O86,"",'1. Live'!O86-'check-Jul25'!O86)</f>
        <v/>
      </c>
      <c r="P86" t="str">
        <f>IF('1. Live'!P86='check-Jul25'!P86,"",'1. Live'!P86-'check-Jul25'!P86)</f>
        <v/>
      </c>
      <c r="Q86" t="str">
        <f>IF('1. Live'!Q86='check-Jul25'!Q86,"",'1. Live'!Q86-'check-Jul25'!Q86)</f>
        <v/>
      </c>
      <c r="R86" t="str">
        <f>IF('1. Live'!R86='check-Jul25'!R86,"",'1. Live'!R86-'check-Jul25'!R86)</f>
        <v/>
      </c>
      <c r="S86" t="str">
        <f>IF('1. Live'!S86='check-Jul25'!S86,"",'1. Live'!S86-'check-Jul25'!S86)</f>
        <v/>
      </c>
      <c r="T86" t="str">
        <f>IF('1. Live'!T86='check-Jul25'!T86,"",'1. Live'!T86-'check-Jul25'!T86)</f>
        <v/>
      </c>
      <c r="U86" t="str">
        <f>IF('1. Live'!U86='check-Jul25'!U86,"",'1. Live'!U86-'check-Jul25'!U86)</f>
        <v/>
      </c>
      <c r="V86" t="str">
        <f>IF('1. Live'!V86='check-Jul25'!V86,"",'1. Live'!V86-'check-Jul25'!V86)</f>
        <v/>
      </c>
      <c r="W86" t="str">
        <f>IF('1. Live'!W86='check-Jul25'!W86,"",'1. Live'!W86-'check-Jul25'!W86)</f>
        <v/>
      </c>
      <c r="X86" t="str">
        <f>IF('1. Live'!X86='check-Jul25'!X86,"",'1. Live'!X86-'check-Jul25'!X86)</f>
        <v/>
      </c>
      <c r="Y86" t="str">
        <f>IF('1. Live'!Y86='check-Jul25'!Y86,"",'1. Live'!Y86-'check-Jul25'!Y86)</f>
        <v/>
      </c>
      <c r="Z86" t="str">
        <f>IF('1. Live'!Z86='check-Jul25'!Z86,"",'1. Live'!Z86-'check-Jul25'!Z86)</f>
        <v/>
      </c>
      <c r="AA86" t="str">
        <f>IF('1. Live'!AA86='check-Jul25'!AA86,"",'1. Live'!AA86-'check-Jul25'!AA86)</f>
        <v/>
      </c>
      <c r="AB86" t="str">
        <f>IF('1. Live'!AB86='check-Jul25'!AB86,"",'1. Live'!AB86-'check-Jul25'!AB86)</f>
        <v/>
      </c>
      <c r="AC86" t="str">
        <f>IF('1. Live'!AC86='check-Jul25'!AC86,"",'1. Live'!AC86-'check-Jul25'!AC86)</f>
        <v/>
      </c>
      <c r="AD86" t="str">
        <f>IF('1. Live'!AD86='check-Jul25'!AD86,"",'1. Live'!AD86-'check-Jul25'!AD86)</f>
        <v/>
      </c>
      <c r="AE86" t="str">
        <f>IF('1. Live'!AE86='check-Jul25'!AE86,"",'1. Live'!AE86-'check-Jul25'!AE86)</f>
        <v/>
      </c>
      <c r="AF86" t="str">
        <f>IF('1. Live'!AF86='check-Jul25'!AF86,"",'1. Live'!AF86-'check-Jul25'!AF86)</f>
        <v/>
      </c>
      <c r="AG86" t="str">
        <f>IF('1. Live'!AG86='check-Jul25'!AG86,"",'1. Live'!AG86-'check-Jul25'!AG86)</f>
        <v/>
      </c>
      <c r="AH86" t="str">
        <f>IF('1. Live'!AH86='check-Jul25'!AH86,"",'1. Live'!AH86-'check-Jul25'!AH86)</f>
        <v/>
      </c>
      <c r="AI86" t="str">
        <f>IF('1. Live'!AI86='check-Jul25'!AI86,"",'1. Live'!AI86-'check-Jul25'!AI86)</f>
        <v/>
      </c>
      <c r="AJ86" t="str">
        <f>IF('1. Live'!AJ86='check-Jul25'!AJ86,"",'1. Live'!AJ86-'check-Jul25'!AJ86)</f>
        <v/>
      </c>
      <c r="AK86" t="str">
        <f>IF('1. Live'!AK86='check-Jul25'!AK86,"",'1. Live'!AK86-'check-Jul25'!AK86)</f>
        <v/>
      </c>
      <c r="AL86" t="str">
        <f>IF('1. Live'!AL86='check-Jul25'!AL86,"",'1. Live'!AL86-'check-Jul25'!AL86)</f>
        <v/>
      </c>
      <c r="AM86" t="str">
        <f>IF('1. Live'!AM86='check-Jul25'!AM86,"",'1. Live'!AM86-'check-Jul25'!AM86)</f>
        <v/>
      </c>
      <c r="AN86" t="str">
        <f>IF('1. Live'!AN86='check-Jul25'!AN86,"",'1. Live'!AN86-'check-Jul25'!AN86)</f>
        <v/>
      </c>
      <c r="AO86" t="str">
        <f>IF('1. Live'!AO86='check-Jul25'!AO86,"",'1. Live'!AO86-'check-Jul25'!AO86)</f>
        <v/>
      </c>
      <c r="AP86" t="str">
        <f>IF('1. Live'!AP86='check-Jul25'!AP86,"",'1. Live'!AP86-'check-Jul25'!AP86)</f>
        <v/>
      </c>
      <c r="AQ86" t="str">
        <f>IF('1. Live'!AQ86='check-Jul25'!AQ86,"",'1. Live'!AQ86-'check-Jul25'!AQ86)</f>
        <v/>
      </c>
      <c r="AR86" t="str">
        <f>IF('1. Live'!AR86='check-Jul25'!AR86,"",'1. Live'!AR86-'check-Jul25'!AR86)</f>
        <v/>
      </c>
      <c r="AS86" t="str">
        <f>IF('1. Live'!AS86='check-Jul25'!AS86,"",'1. Live'!AS86-'check-Jul25'!AS86)</f>
        <v/>
      </c>
      <c r="AT86" t="str">
        <f>IF('1. Live'!AT86='check-Jul25'!AT86,"",'1. Live'!AT86-'check-Jul25'!AT86)</f>
        <v/>
      </c>
      <c r="AU86" t="str">
        <f>IF('1. Live'!AU86='check-Jul25'!AU86,"",'1. Live'!AU86-'check-Jul25'!AU86)</f>
        <v/>
      </c>
      <c r="AV86" t="str">
        <f>IF('1. Live'!AV86='check-Jul25'!AV86,"",'1. Live'!AV86-'check-Jul25'!AV86)</f>
        <v/>
      </c>
      <c r="AW86" t="str">
        <f>IF('1. Live'!AW86='check-Jul25'!AW86,"",'1. Live'!AW86-'check-Jul25'!AW86)</f>
        <v/>
      </c>
      <c r="AX86" t="str">
        <f>IF('1. Live'!AX86='check-Jul25'!AX86,"",'1. Live'!AX86-'check-Jul25'!AX86)</f>
        <v/>
      </c>
      <c r="AY86" t="str">
        <f>IF('1. Live'!AY86='check-Jul25'!AY86,"",'1. Live'!AY86-'check-Jul25'!AY86)</f>
        <v/>
      </c>
      <c r="AZ86" t="str">
        <f>IF('1. Live'!AZ86='check-Jul25'!AZ86,"",'1. Live'!AZ86-'check-Jul25'!AZ86)</f>
        <v/>
      </c>
      <c r="BA86" t="str">
        <f>IF('1. Live'!BA86='check-Jul25'!BA86,"",'1. Live'!BA86-'check-Jul25'!BA86)</f>
        <v/>
      </c>
      <c r="BB86" t="str">
        <f>IF('1. Live'!BB86='check-Jul25'!BB86,"",'1. Live'!BB86-'check-Jul25'!BB86)</f>
        <v/>
      </c>
      <c r="BC86" t="str">
        <f>IF('1. Live'!BC86='check-Jul25'!BC86,"",'1. Live'!BC86-'check-Jul25'!BC86)</f>
        <v/>
      </c>
      <c r="BD86" t="str">
        <f>IF('1. Live'!BD86='check-Jul25'!BD86,"",'1. Live'!BD86-'check-Jul25'!BD86)</f>
        <v/>
      </c>
      <c r="BE86" t="str">
        <f>IF('1. Live'!BE86='check-Jul25'!BE86,"",'1. Live'!BE86-'check-Jul25'!BE86)</f>
        <v/>
      </c>
      <c r="BF86" t="str">
        <f>IF('1. Live'!BF86='check-Jul25'!BF86,"",'1. Live'!BF86-'check-Jul25'!BF86)</f>
        <v/>
      </c>
      <c r="BG86" t="str">
        <f>IF('1. Live'!BG86='check-Jul25'!BG86,"",'1. Live'!BG86-'check-Jul25'!BG86)</f>
        <v/>
      </c>
      <c r="BH86" t="str">
        <f>IF('1. Live'!BH86='check-Jul25'!BH86,"",'1. Live'!BH86-'check-Jul25'!BH86)</f>
        <v/>
      </c>
      <c r="BI86" t="str">
        <f>IF('1. Live'!BI86='check-Jul25'!BI86,"",'1. Live'!BI86-'check-Jul25'!BI86)</f>
        <v/>
      </c>
      <c r="BJ86" t="str">
        <f>IF('1. Live'!BJ86='check-Jul25'!BJ86,"",'1. Live'!BJ86-'check-Jul25'!BJ86)</f>
        <v/>
      </c>
      <c r="BK86" t="str">
        <f>IF('1. Live'!BK86='check-Jul25'!BK86,"",'1. Live'!BK86-'check-Jul25'!BK86)</f>
        <v/>
      </c>
      <c r="BL86" t="str">
        <f>IF('1. Live'!BL86='check-Jul25'!BL86,"",'1. Live'!BL86-'check-Jul25'!BL86)</f>
        <v/>
      </c>
      <c r="BM86" t="str">
        <f>IF('1. Live'!BM86='check-Jul25'!BM86,"",'1. Live'!BM86-'check-Jul25'!BM86)</f>
        <v/>
      </c>
      <c r="BN86" t="str">
        <f>IF('1. Live'!BN86='check-Jul25'!BN86,"",'1. Live'!BN86-'check-Jul25'!BN86)</f>
        <v/>
      </c>
      <c r="BO86" t="str">
        <f>IF('1. Live'!BO86='check-Jul25'!BO86,"",'1. Live'!BO86-'check-Jul25'!BO86)</f>
        <v/>
      </c>
      <c r="BP86" t="str">
        <f>IF('1. Live'!BP86='check-Jul25'!BP86,"",'1. Live'!BP86-'check-Jul25'!BP86)</f>
        <v/>
      </c>
      <c r="BQ86" t="str">
        <f>IF('1. Live'!BQ86='check-Jul25'!BQ86,"",'1. Live'!BQ86-'check-Jul25'!BQ86)</f>
        <v/>
      </c>
      <c r="BR86" t="str">
        <f>IF('1. Live'!BR86='check-Jul25'!BR86,"",'1. Live'!BR86-'check-Jul25'!BR86)</f>
        <v/>
      </c>
      <c r="BS86" t="str">
        <f>IF('1. Live'!BS86='check-Jul25'!BS86,"",'1. Live'!BS86-'check-Jul25'!BS86)</f>
        <v/>
      </c>
      <c r="BT86" t="str">
        <f>IF('1. Live'!BT86='check-Jul25'!BT86,"",'1. Live'!BT86-'check-Jul25'!BT86)</f>
        <v/>
      </c>
      <c r="BU86" t="str">
        <f>IF('1. Live'!BU86='check-Jul25'!BU86,"",'1. Live'!BU86-'check-Jul25'!BU86)</f>
        <v/>
      </c>
      <c r="BV86" t="str">
        <f>IF('1. Live'!BV86='check-Jul25'!BV86,"",'1. Live'!BV86-'check-Jul25'!BV86)</f>
        <v/>
      </c>
      <c r="BW86" t="str">
        <f>IF('1. Live'!BW86='check-Jul25'!BW86,"",'1. Live'!BW86-'check-Jul25'!BW86)</f>
        <v/>
      </c>
      <c r="BX86" t="str">
        <f>IF('1. Live'!BX86='check-Jul25'!BX86,"",'1. Live'!BX86-'check-Jul25'!BX86)</f>
        <v/>
      </c>
      <c r="BY86" t="str">
        <f>IF('1. Live'!BY86='check-Jul25'!BY86,"",'1. Live'!BY86-'check-Jul25'!BY86)</f>
        <v/>
      </c>
      <c r="BZ86" t="str">
        <f>IF('1. Live'!BZ86='check-Jul25'!BZ86,"",'1. Live'!BZ86-'check-Jul25'!BZ86)</f>
        <v/>
      </c>
      <c r="CA86" t="str">
        <f>IF('1. Live'!CA86='check-Jul25'!CA86,"",'1. Live'!CA86-'check-Jul25'!CA86)</f>
        <v/>
      </c>
      <c r="CB86" t="str">
        <f>IF('1. Live'!CB86='check-Jul25'!CB86,"",'1. Live'!CB86-'check-Jul25'!CB86)</f>
        <v/>
      </c>
      <c r="CC86" t="str">
        <f>IF('1. Live'!CC86='check-Jul25'!CC86,"",'1. Live'!CC86-'check-Jul25'!CC86)</f>
        <v/>
      </c>
      <c r="CD86" t="str">
        <f>IF('1. Live'!CD86='check-Jul25'!CD86,"",'1. Live'!CD86-'check-Jul25'!CD86)</f>
        <v/>
      </c>
      <c r="CE86" t="str">
        <f>IF('1. Live'!CE86='check-Jul25'!CE86,"",'1. Live'!CE86-'check-Jul25'!CE86)</f>
        <v/>
      </c>
      <c r="CF86" t="str">
        <f>IF('1. Live'!CF86='check-Jul25'!CF86,"",'1. Live'!CF86-'check-Jul25'!CF86)</f>
        <v/>
      </c>
      <c r="CG86" t="str">
        <f>IF('1. Live'!CG86='check-Jul25'!CG86,"",'1. Live'!CG86-'check-Jul25'!CG86)</f>
        <v/>
      </c>
      <c r="CH86" t="str">
        <f>IF('1. Live'!CH86='check-Jul25'!CH86,"",'1. Live'!CH86-'check-Jul25'!CH86)</f>
        <v/>
      </c>
      <c r="CI86" t="str">
        <f>IF('1. Live'!CI86='check-Jul25'!CI86,"",'1. Live'!CI86-'check-Jul25'!CI86)</f>
        <v/>
      </c>
      <c r="CJ86" t="str">
        <f>IF('1. Live'!CJ86='check-Jul25'!CJ86,"",'1. Live'!CJ86-'check-Jul25'!CJ86)</f>
        <v/>
      </c>
      <c r="CK86" t="str">
        <f>IF('1. Live'!CK86='check-Jul25'!CK86,"",'1. Live'!CK86-'check-Jul25'!CK86)</f>
        <v/>
      </c>
      <c r="CL86" t="str">
        <f>IF('1. Live'!CL86='check-Jul25'!CL86,"",'1. Live'!CL86-'check-Jul25'!CL86)</f>
        <v/>
      </c>
      <c r="CM86" t="str">
        <f>IF('1. Live'!CM86='check-Jul25'!CM86,"",'1. Live'!CM86-'check-Jul25'!CM86)</f>
        <v/>
      </c>
      <c r="CN86" t="str">
        <f>IF('1. Live'!CN86='check-Jul25'!CN86,"",'1. Live'!CN86-'check-Jul25'!CN86)</f>
        <v/>
      </c>
      <c r="CO86" t="str">
        <f>IF('1. Live'!CO86='check-Jul25'!CO86,"",'1. Live'!CO86-'check-Jul25'!CO86)</f>
        <v/>
      </c>
      <c r="CP86" t="str">
        <f>IF('1. Live'!CP86='check-Jul25'!CP86,"",'1. Live'!CP86-'check-Jul25'!CP86)</f>
        <v/>
      </c>
      <c r="CQ86" t="str">
        <f>IF('1. Live'!CQ86='check-Jul25'!CQ86,"",'1. Live'!CQ86-'check-Jul25'!CQ86)</f>
        <v/>
      </c>
      <c r="CR86" t="str">
        <f>IF('1. Live'!CR86='check-Jul25'!CR86,"",'1. Live'!CR86-'check-Jul25'!CR86)</f>
        <v/>
      </c>
      <c r="CS86" t="str">
        <f>IF('1. Live'!CS86='check-Jul25'!CS86,"",'1. Live'!CS86-'check-Jul25'!CS86)</f>
        <v/>
      </c>
      <c r="CT86" t="str">
        <f>IF('1. Live'!CT86='check-Jul25'!CT86,"",'1. Live'!CT86-'check-Jul25'!CT86)</f>
        <v/>
      </c>
      <c r="CU86" t="str">
        <f>IF('1. Live'!CU86='check-Jul25'!CU86,"",'1. Live'!CU86-'check-Jul25'!CU86)</f>
        <v/>
      </c>
      <c r="CV86" t="str">
        <f>IF('1. Live'!CV86='check-Jul25'!CV86,"",'1. Live'!CV86-'check-Jul25'!CV86)</f>
        <v/>
      </c>
      <c r="CW86" t="str">
        <f>IF('1. Live'!CW86='check-Jul25'!CW86,"",'1. Live'!CW86-'check-Jul25'!CW86)</f>
        <v/>
      </c>
    </row>
    <row r="87" spans="10:101">
      <c r="J87" t="str">
        <f>IF('1. Live'!J87='check-Jul25'!J87,"",'1. Live'!J87-'check-Jul25'!J87)</f>
        <v/>
      </c>
      <c r="K87" t="str">
        <f>IF('1. Live'!K87='check-Jul25'!K87,"",'1. Live'!K87-'check-Jul25'!K87)</f>
        <v/>
      </c>
      <c r="L87" t="str">
        <f>IF('1. Live'!L87='check-Jul25'!L87,"",'1. Live'!L87-'check-Jul25'!L87)</f>
        <v/>
      </c>
      <c r="M87" t="str">
        <f>IF('1. Live'!M87='check-Jul25'!M87,"",'1. Live'!M87-'check-Jul25'!M87)</f>
        <v/>
      </c>
      <c r="N87" t="str">
        <f>IF('1. Live'!N87='check-Jul25'!N87,"",'1. Live'!N87-'check-Jul25'!N87)</f>
        <v/>
      </c>
      <c r="O87" t="str">
        <f>IF('1. Live'!O87='check-Jul25'!O87,"",'1. Live'!O87-'check-Jul25'!O87)</f>
        <v/>
      </c>
      <c r="P87" t="str">
        <f>IF('1. Live'!P87='check-Jul25'!P87,"",'1. Live'!P87-'check-Jul25'!P87)</f>
        <v/>
      </c>
      <c r="Q87" t="str">
        <f>IF('1. Live'!Q87='check-Jul25'!Q87,"",'1. Live'!Q87-'check-Jul25'!Q87)</f>
        <v/>
      </c>
      <c r="R87" t="str">
        <f>IF('1. Live'!R87='check-Jul25'!R87,"",'1. Live'!R87-'check-Jul25'!R87)</f>
        <v/>
      </c>
      <c r="S87" t="str">
        <f>IF('1. Live'!S87='check-Jul25'!S87,"",'1. Live'!S87-'check-Jul25'!S87)</f>
        <v/>
      </c>
      <c r="T87" t="str">
        <f>IF('1. Live'!T87='check-Jul25'!T87,"",'1. Live'!T87-'check-Jul25'!T87)</f>
        <v/>
      </c>
      <c r="U87" t="str">
        <f>IF('1. Live'!U87='check-Jul25'!U87,"",'1. Live'!U87-'check-Jul25'!U87)</f>
        <v/>
      </c>
      <c r="V87" t="str">
        <f>IF('1. Live'!V87='check-Jul25'!V87,"",'1. Live'!V87-'check-Jul25'!V87)</f>
        <v/>
      </c>
      <c r="W87" t="str">
        <f>IF('1. Live'!W87='check-Jul25'!W87,"",'1. Live'!W87-'check-Jul25'!W87)</f>
        <v/>
      </c>
      <c r="X87" t="str">
        <f>IF('1. Live'!X87='check-Jul25'!X87,"",'1. Live'!X87-'check-Jul25'!X87)</f>
        <v/>
      </c>
      <c r="Y87" t="str">
        <f>IF('1. Live'!Y87='check-Jul25'!Y87,"",'1. Live'!Y87-'check-Jul25'!Y87)</f>
        <v/>
      </c>
      <c r="Z87" t="str">
        <f>IF('1. Live'!Z87='check-Jul25'!Z87,"",'1. Live'!Z87-'check-Jul25'!Z87)</f>
        <v/>
      </c>
      <c r="AA87" t="str">
        <f>IF('1. Live'!AA87='check-Jul25'!AA87,"",'1. Live'!AA87-'check-Jul25'!AA87)</f>
        <v/>
      </c>
      <c r="AB87" t="str">
        <f>IF('1. Live'!AB87='check-Jul25'!AB87,"",'1. Live'!AB87-'check-Jul25'!AB87)</f>
        <v/>
      </c>
      <c r="AC87" t="str">
        <f>IF('1. Live'!AC87='check-Jul25'!AC87,"",'1. Live'!AC87-'check-Jul25'!AC87)</f>
        <v/>
      </c>
      <c r="AD87" t="str">
        <f>IF('1. Live'!AD87='check-Jul25'!AD87,"",'1. Live'!AD87-'check-Jul25'!AD87)</f>
        <v/>
      </c>
      <c r="AE87" t="str">
        <f>IF('1. Live'!AE87='check-Jul25'!AE87,"",'1. Live'!AE87-'check-Jul25'!AE87)</f>
        <v/>
      </c>
      <c r="AF87" t="str">
        <f>IF('1. Live'!AF87='check-Jul25'!AF87,"",'1. Live'!AF87-'check-Jul25'!AF87)</f>
        <v/>
      </c>
      <c r="AG87" t="str">
        <f>IF('1. Live'!AG87='check-Jul25'!AG87,"",'1. Live'!AG87-'check-Jul25'!AG87)</f>
        <v/>
      </c>
      <c r="AH87" t="str">
        <f>IF('1. Live'!AH87='check-Jul25'!AH87,"",'1. Live'!AH87-'check-Jul25'!AH87)</f>
        <v/>
      </c>
      <c r="AI87" t="str">
        <f>IF('1. Live'!AI87='check-Jul25'!AI87,"",'1. Live'!AI87-'check-Jul25'!AI87)</f>
        <v/>
      </c>
      <c r="AJ87" t="str">
        <f>IF('1. Live'!AJ87='check-Jul25'!AJ87,"",'1. Live'!AJ87-'check-Jul25'!AJ87)</f>
        <v/>
      </c>
      <c r="AK87" t="str">
        <f>IF('1. Live'!AK87='check-Jul25'!AK87,"",'1. Live'!AK87-'check-Jul25'!AK87)</f>
        <v/>
      </c>
      <c r="AL87" t="str">
        <f>IF('1. Live'!AL87='check-Jul25'!AL87,"",'1. Live'!AL87-'check-Jul25'!AL87)</f>
        <v/>
      </c>
      <c r="AM87" t="str">
        <f>IF('1. Live'!AM87='check-Jul25'!AM87,"",'1. Live'!AM87-'check-Jul25'!AM87)</f>
        <v/>
      </c>
      <c r="AN87" t="str">
        <f>IF('1. Live'!AN87='check-Jul25'!AN87,"",'1. Live'!AN87-'check-Jul25'!AN87)</f>
        <v/>
      </c>
      <c r="AO87" t="str">
        <f>IF('1. Live'!AO87='check-Jul25'!AO87,"",'1. Live'!AO87-'check-Jul25'!AO87)</f>
        <v/>
      </c>
      <c r="AP87" t="str">
        <f>IF('1. Live'!AP87='check-Jul25'!AP87,"",'1. Live'!AP87-'check-Jul25'!AP87)</f>
        <v/>
      </c>
      <c r="AQ87" t="str">
        <f>IF('1. Live'!AQ87='check-Jul25'!AQ87,"",'1. Live'!AQ87-'check-Jul25'!AQ87)</f>
        <v/>
      </c>
      <c r="AR87" t="str">
        <f>IF('1. Live'!AR87='check-Jul25'!AR87,"",'1. Live'!AR87-'check-Jul25'!AR87)</f>
        <v/>
      </c>
      <c r="AS87" t="str">
        <f>IF('1. Live'!AS87='check-Jul25'!AS87,"",'1. Live'!AS87-'check-Jul25'!AS87)</f>
        <v/>
      </c>
      <c r="AT87" t="str">
        <f>IF('1. Live'!AT87='check-Jul25'!AT87,"",'1. Live'!AT87-'check-Jul25'!AT87)</f>
        <v/>
      </c>
      <c r="AU87" t="str">
        <f>IF('1. Live'!AU87='check-Jul25'!AU87,"",'1. Live'!AU87-'check-Jul25'!AU87)</f>
        <v/>
      </c>
      <c r="AV87" t="str">
        <f>IF('1. Live'!AV87='check-Jul25'!AV87,"",'1. Live'!AV87-'check-Jul25'!AV87)</f>
        <v/>
      </c>
      <c r="AW87" t="str">
        <f>IF('1. Live'!AW87='check-Jul25'!AW87,"",'1. Live'!AW87-'check-Jul25'!AW87)</f>
        <v/>
      </c>
      <c r="AX87" t="str">
        <f>IF('1. Live'!AX87='check-Jul25'!AX87,"",'1. Live'!AX87-'check-Jul25'!AX87)</f>
        <v/>
      </c>
      <c r="AY87" t="str">
        <f>IF('1. Live'!AY87='check-Jul25'!AY87,"",'1. Live'!AY87-'check-Jul25'!AY87)</f>
        <v/>
      </c>
      <c r="AZ87" t="str">
        <f>IF('1. Live'!AZ87='check-Jul25'!AZ87,"",'1. Live'!AZ87-'check-Jul25'!AZ87)</f>
        <v/>
      </c>
      <c r="BA87" t="str">
        <f>IF('1. Live'!BA87='check-Jul25'!BA87,"",'1. Live'!BA87-'check-Jul25'!BA87)</f>
        <v/>
      </c>
      <c r="BB87" t="str">
        <f>IF('1. Live'!BB87='check-Jul25'!BB87,"",'1. Live'!BB87-'check-Jul25'!BB87)</f>
        <v/>
      </c>
      <c r="BC87" t="str">
        <f>IF('1. Live'!BC87='check-Jul25'!BC87,"",'1. Live'!BC87-'check-Jul25'!BC87)</f>
        <v/>
      </c>
      <c r="BD87" t="str">
        <f>IF('1. Live'!BD87='check-Jul25'!BD87,"",'1. Live'!BD87-'check-Jul25'!BD87)</f>
        <v/>
      </c>
      <c r="BE87" t="str">
        <f>IF('1. Live'!BE87='check-Jul25'!BE87,"",'1. Live'!BE87-'check-Jul25'!BE87)</f>
        <v/>
      </c>
      <c r="BF87" t="str">
        <f>IF('1. Live'!BF87='check-Jul25'!BF87,"",'1. Live'!BF87-'check-Jul25'!BF87)</f>
        <v/>
      </c>
      <c r="BG87" t="str">
        <f>IF('1. Live'!BG87='check-Jul25'!BG87,"",'1. Live'!BG87-'check-Jul25'!BG87)</f>
        <v/>
      </c>
      <c r="BH87" t="str">
        <f>IF('1. Live'!BH87='check-Jul25'!BH87,"",'1. Live'!BH87-'check-Jul25'!BH87)</f>
        <v/>
      </c>
      <c r="BI87" t="str">
        <f>IF('1. Live'!BI87='check-Jul25'!BI87,"",'1. Live'!BI87-'check-Jul25'!BI87)</f>
        <v/>
      </c>
      <c r="BJ87" t="str">
        <f>IF('1. Live'!BJ87='check-Jul25'!BJ87,"",'1. Live'!BJ87-'check-Jul25'!BJ87)</f>
        <v/>
      </c>
      <c r="BK87" t="str">
        <f>IF('1. Live'!BK87='check-Jul25'!BK87,"",'1. Live'!BK87-'check-Jul25'!BK87)</f>
        <v/>
      </c>
      <c r="BL87" t="str">
        <f>IF('1. Live'!BL87='check-Jul25'!BL87,"",'1. Live'!BL87-'check-Jul25'!BL87)</f>
        <v/>
      </c>
      <c r="BM87" t="str">
        <f>IF('1. Live'!BM87='check-Jul25'!BM87,"",'1. Live'!BM87-'check-Jul25'!BM87)</f>
        <v/>
      </c>
      <c r="BN87" t="str">
        <f>IF('1. Live'!BN87='check-Jul25'!BN87,"",'1. Live'!BN87-'check-Jul25'!BN87)</f>
        <v/>
      </c>
      <c r="BO87" t="str">
        <f>IF('1. Live'!BO87='check-Jul25'!BO87,"",'1. Live'!BO87-'check-Jul25'!BO87)</f>
        <v/>
      </c>
      <c r="BP87" t="str">
        <f>IF('1. Live'!BP87='check-Jul25'!BP87,"",'1. Live'!BP87-'check-Jul25'!BP87)</f>
        <v/>
      </c>
      <c r="BQ87" t="str">
        <f>IF('1. Live'!BQ87='check-Jul25'!BQ87,"",'1. Live'!BQ87-'check-Jul25'!BQ87)</f>
        <v/>
      </c>
      <c r="BR87" t="str">
        <f>IF('1. Live'!BR87='check-Jul25'!BR87,"",'1. Live'!BR87-'check-Jul25'!BR87)</f>
        <v/>
      </c>
      <c r="BS87" t="str">
        <f>IF('1. Live'!BS87='check-Jul25'!BS87,"",'1. Live'!BS87-'check-Jul25'!BS87)</f>
        <v/>
      </c>
      <c r="BT87" t="str">
        <f>IF('1. Live'!BT87='check-Jul25'!BT87,"",'1. Live'!BT87-'check-Jul25'!BT87)</f>
        <v/>
      </c>
      <c r="BU87" t="str">
        <f>IF('1. Live'!BU87='check-Jul25'!BU87,"",'1. Live'!BU87-'check-Jul25'!BU87)</f>
        <v/>
      </c>
      <c r="BV87" t="str">
        <f>IF('1. Live'!BV87='check-Jul25'!BV87,"",'1. Live'!BV87-'check-Jul25'!BV87)</f>
        <v/>
      </c>
      <c r="BW87" t="str">
        <f>IF('1. Live'!BW87='check-Jul25'!BW87,"",'1. Live'!BW87-'check-Jul25'!BW87)</f>
        <v/>
      </c>
      <c r="BX87" t="str">
        <f>IF('1. Live'!BX87='check-Jul25'!BX87,"",'1. Live'!BX87-'check-Jul25'!BX87)</f>
        <v/>
      </c>
      <c r="BY87" t="str">
        <f>IF('1. Live'!BY87='check-Jul25'!BY87,"",'1. Live'!BY87-'check-Jul25'!BY87)</f>
        <v/>
      </c>
      <c r="BZ87" t="str">
        <f>IF('1. Live'!BZ87='check-Jul25'!BZ87,"",'1. Live'!BZ87-'check-Jul25'!BZ87)</f>
        <v/>
      </c>
      <c r="CA87" t="str">
        <f>IF('1. Live'!CA87='check-Jul25'!CA87,"",'1. Live'!CA87-'check-Jul25'!CA87)</f>
        <v/>
      </c>
      <c r="CB87" t="str">
        <f>IF('1. Live'!CB87='check-Jul25'!CB87,"",'1. Live'!CB87-'check-Jul25'!CB87)</f>
        <v/>
      </c>
      <c r="CC87" t="str">
        <f>IF('1. Live'!CC87='check-Jul25'!CC87,"",'1. Live'!CC87-'check-Jul25'!CC87)</f>
        <v/>
      </c>
      <c r="CD87" t="str">
        <f>IF('1. Live'!CD87='check-Jul25'!CD87,"",'1. Live'!CD87-'check-Jul25'!CD87)</f>
        <v/>
      </c>
      <c r="CE87" t="str">
        <f>IF('1. Live'!CE87='check-Jul25'!CE87,"",'1. Live'!CE87-'check-Jul25'!CE87)</f>
        <v/>
      </c>
      <c r="CF87" t="str">
        <f>IF('1. Live'!CF87='check-Jul25'!CF87,"",'1. Live'!CF87-'check-Jul25'!CF87)</f>
        <v/>
      </c>
      <c r="CG87" t="str">
        <f>IF('1. Live'!CG87='check-Jul25'!CG87,"",'1. Live'!CG87-'check-Jul25'!CG87)</f>
        <v/>
      </c>
      <c r="CH87" t="str">
        <f>IF('1. Live'!CH87='check-Jul25'!CH87,"",'1. Live'!CH87-'check-Jul25'!CH87)</f>
        <v/>
      </c>
      <c r="CI87" t="str">
        <f>IF('1. Live'!CI87='check-Jul25'!CI87,"",'1. Live'!CI87-'check-Jul25'!CI87)</f>
        <v/>
      </c>
      <c r="CJ87" t="str">
        <f>IF('1. Live'!CJ87='check-Jul25'!CJ87,"",'1. Live'!CJ87-'check-Jul25'!CJ87)</f>
        <v/>
      </c>
      <c r="CK87" t="str">
        <f>IF('1. Live'!CK87='check-Jul25'!CK87,"",'1. Live'!CK87-'check-Jul25'!CK87)</f>
        <v/>
      </c>
      <c r="CL87" t="str">
        <f>IF('1. Live'!CL87='check-Jul25'!CL87,"",'1. Live'!CL87-'check-Jul25'!CL87)</f>
        <v/>
      </c>
      <c r="CM87" t="str">
        <f>IF('1. Live'!CM87='check-Jul25'!CM87,"",'1. Live'!CM87-'check-Jul25'!CM87)</f>
        <v/>
      </c>
      <c r="CN87" t="str">
        <f>IF('1. Live'!CN87='check-Jul25'!CN87,"",'1. Live'!CN87-'check-Jul25'!CN87)</f>
        <v/>
      </c>
      <c r="CO87" t="str">
        <f>IF('1. Live'!CO87='check-Jul25'!CO87,"",'1. Live'!CO87-'check-Jul25'!CO87)</f>
        <v/>
      </c>
      <c r="CP87" t="str">
        <f>IF('1. Live'!CP87='check-Jul25'!CP87,"",'1. Live'!CP87-'check-Jul25'!CP87)</f>
        <v/>
      </c>
      <c r="CQ87" t="str">
        <f>IF('1. Live'!CQ87='check-Jul25'!CQ87,"",'1. Live'!CQ87-'check-Jul25'!CQ87)</f>
        <v/>
      </c>
      <c r="CR87" t="str">
        <f>IF('1. Live'!CR87='check-Jul25'!CR87,"",'1. Live'!CR87-'check-Jul25'!CR87)</f>
        <v/>
      </c>
      <c r="CS87" t="str">
        <f>IF('1. Live'!CS87='check-Jul25'!CS87,"",'1. Live'!CS87-'check-Jul25'!CS87)</f>
        <v/>
      </c>
      <c r="CT87" t="str">
        <f>IF('1. Live'!CT87='check-Jul25'!CT87,"",'1. Live'!CT87-'check-Jul25'!CT87)</f>
        <v/>
      </c>
      <c r="CU87" t="str">
        <f>IF('1. Live'!CU87='check-Jul25'!CU87,"",'1. Live'!CU87-'check-Jul25'!CU87)</f>
        <v/>
      </c>
      <c r="CV87" t="str">
        <f>IF('1. Live'!CV87='check-Jul25'!CV87,"",'1. Live'!CV87-'check-Jul25'!CV87)</f>
        <v/>
      </c>
      <c r="CW87" t="str">
        <f>IF('1. Live'!CW87='check-Jul25'!CW87,"",'1. Live'!CW87-'check-Jul25'!CW87)</f>
        <v/>
      </c>
    </row>
    <row r="88" spans="10:101">
      <c r="J88" t="str">
        <f>IF('1. Live'!J88='check-Jul25'!J88,"",'1. Live'!J88-'check-Jul25'!J88)</f>
        <v/>
      </c>
      <c r="K88" t="str">
        <f>IF('1. Live'!K88='check-Jul25'!K88,"",'1. Live'!K88-'check-Jul25'!K88)</f>
        <v/>
      </c>
      <c r="L88" t="str">
        <f>IF('1. Live'!L88='check-Jul25'!L88,"",'1. Live'!L88-'check-Jul25'!L88)</f>
        <v/>
      </c>
      <c r="M88" t="str">
        <f>IF('1. Live'!M88='check-Jul25'!M88,"",'1. Live'!M88-'check-Jul25'!M88)</f>
        <v/>
      </c>
      <c r="N88" t="str">
        <f>IF('1. Live'!N88='check-Jul25'!N88,"",'1. Live'!N88-'check-Jul25'!N88)</f>
        <v/>
      </c>
      <c r="O88" t="str">
        <f>IF('1. Live'!O88='check-Jul25'!O88,"",'1. Live'!O88-'check-Jul25'!O88)</f>
        <v/>
      </c>
      <c r="P88" t="str">
        <f>IF('1. Live'!P88='check-Jul25'!P88,"",'1. Live'!P88-'check-Jul25'!P88)</f>
        <v/>
      </c>
      <c r="Q88" t="str">
        <f>IF('1. Live'!Q88='check-Jul25'!Q88,"",'1. Live'!Q88-'check-Jul25'!Q88)</f>
        <v/>
      </c>
      <c r="R88" t="str">
        <f>IF('1. Live'!R88='check-Jul25'!R88,"",'1. Live'!R88-'check-Jul25'!R88)</f>
        <v/>
      </c>
      <c r="S88" t="str">
        <f>IF('1. Live'!S88='check-Jul25'!S88,"",'1. Live'!S88-'check-Jul25'!S88)</f>
        <v/>
      </c>
      <c r="T88" t="str">
        <f>IF('1. Live'!T88='check-Jul25'!T88,"",'1. Live'!T88-'check-Jul25'!T88)</f>
        <v/>
      </c>
      <c r="U88" t="str">
        <f>IF('1. Live'!U88='check-Jul25'!U88,"",'1. Live'!U88-'check-Jul25'!U88)</f>
        <v/>
      </c>
      <c r="V88" t="str">
        <f>IF('1. Live'!V88='check-Jul25'!V88,"",'1. Live'!V88-'check-Jul25'!V88)</f>
        <v/>
      </c>
      <c r="W88" t="str">
        <f>IF('1. Live'!W88='check-Jul25'!W88,"",'1. Live'!W88-'check-Jul25'!W88)</f>
        <v/>
      </c>
      <c r="X88" t="str">
        <f>IF('1. Live'!X88='check-Jul25'!X88,"",'1. Live'!X88-'check-Jul25'!X88)</f>
        <v/>
      </c>
      <c r="Y88" t="str">
        <f>IF('1. Live'!Y88='check-Jul25'!Y88,"",'1. Live'!Y88-'check-Jul25'!Y88)</f>
        <v/>
      </c>
      <c r="Z88" t="str">
        <f>IF('1. Live'!Z88='check-Jul25'!Z88,"",'1. Live'!Z88-'check-Jul25'!Z88)</f>
        <v/>
      </c>
      <c r="AA88" t="str">
        <f>IF('1. Live'!AA88='check-Jul25'!AA88,"",'1. Live'!AA88-'check-Jul25'!AA88)</f>
        <v/>
      </c>
      <c r="AB88" t="str">
        <f>IF('1. Live'!AB88='check-Jul25'!AB88,"",'1. Live'!AB88-'check-Jul25'!AB88)</f>
        <v/>
      </c>
      <c r="AC88" t="str">
        <f>IF('1. Live'!AC88='check-Jul25'!AC88,"",'1. Live'!AC88-'check-Jul25'!AC88)</f>
        <v/>
      </c>
      <c r="AD88" t="str">
        <f>IF('1. Live'!AD88='check-Jul25'!AD88,"",'1. Live'!AD88-'check-Jul25'!AD88)</f>
        <v/>
      </c>
      <c r="AE88" t="str">
        <f>IF('1. Live'!AE88='check-Jul25'!AE88,"",'1. Live'!AE88-'check-Jul25'!AE88)</f>
        <v/>
      </c>
      <c r="AF88" t="str">
        <f>IF('1. Live'!AF88='check-Jul25'!AF88,"",'1. Live'!AF88-'check-Jul25'!AF88)</f>
        <v/>
      </c>
      <c r="AG88" t="str">
        <f>IF('1. Live'!AG88='check-Jul25'!AG88,"",'1. Live'!AG88-'check-Jul25'!AG88)</f>
        <v/>
      </c>
      <c r="AH88" t="str">
        <f>IF('1. Live'!AH88='check-Jul25'!AH88,"",'1. Live'!AH88-'check-Jul25'!AH88)</f>
        <v/>
      </c>
      <c r="AI88" t="str">
        <f>IF('1. Live'!AI88='check-Jul25'!AI88,"",'1. Live'!AI88-'check-Jul25'!AI88)</f>
        <v/>
      </c>
      <c r="AJ88" t="str">
        <f>IF('1. Live'!AJ88='check-Jul25'!AJ88,"",'1. Live'!AJ88-'check-Jul25'!AJ88)</f>
        <v/>
      </c>
      <c r="AK88" t="str">
        <f>IF('1. Live'!AK88='check-Jul25'!AK88,"",'1. Live'!AK88-'check-Jul25'!AK88)</f>
        <v/>
      </c>
      <c r="AL88" t="str">
        <f>IF('1. Live'!AL88='check-Jul25'!AL88,"",'1. Live'!AL88-'check-Jul25'!AL88)</f>
        <v/>
      </c>
      <c r="AM88" t="str">
        <f>IF('1. Live'!AM88='check-Jul25'!AM88,"",'1. Live'!AM88-'check-Jul25'!AM88)</f>
        <v/>
      </c>
      <c r="AN88" t="str">
        <f>IF('1. Live'!AN88='check-Jul25'!AN88,"",'1. Live'!AN88-'check-Jul25'!AN88)</f>
        <v/>
      </c>
      <c r="AO88" t="str">
        <f>IF('1. Live'!AO88='check-Jul25'!AO88,"",'1. Live'!AO88-'check-Jul25'!AO88)</f>
        <v/>
      </c>
      <c r="AP88" t="str">
        <f>IF('1. Live'!AP88='check-Jul25'!AP88,"",'1. Live'!AP88-'check-Jul25'!AP88)</f>
        <v/>
      </c>
      <c r="AQ88" t="str">
        <f>IF('1. Live'!AQ88='check-Jul25'!AQ88,"",'1. Live'!AQ88-'check-Jul25'!AQ88)</f>
        <v/>
      </c>
      <c r="AR88" t="str">
        <f>IF('1. Live'!AR88='check-Jul25'!AR88,"",'1. Live'!AR88-'check-Jul25'!AR88)</f>
        <v/>
      </c>
      <c r="AS88" t="str">
        <f>IF('1. Live'!AS88='check-Jul25'!AS88,"",'1. Live'!AS88-'check-Jul25'!AS88)</f>
        <v/>
      </c>
      <c r="AT88" t="str">
        <f>IF('1. Live'!AT88='check-Jul25'!AT88,"",'1. Live'!AT88-'check-Jul25'!AT88)</f>
        <v/>
      </c>
      <c r="AU88" t="str">
        <f>IF('1. Live'!AU88='check-Jul25'!AU88,"",'1. Live'!AU88-'check-Jul25'!AU88)</f>
        <v/>
      </c>
      <c r="AV88" t="str">
        <f>IF('1. Live'!AV88='check-Jul25'!AV88,"",'1. Live'!AV88-'check-Jul25'!AV88)</f>
        <v/>
      </c>
      <c r="AW88" t="str">
        <f>IF('1. Live'!AW88='check-Jul25'!AW88,"",'1. Live'!AW88-'check-Jul25'!AW88)</f>
        <v/>
      </c>
      <c r="AX88" t="str">
        <f>IF('1. Live'!AX88='check-Jul25'!AX88,"",'1. Live'!AX88-'check-Jul25'!AX88)</f>
        <v/>
      </c>
      <c r="AY88" t="str">
        <f>IF('1. Live'!AY88='check-Jul25'!AY88,"",'1. Live'!AY88-'check-Jul25'!AY88)</f>
        <v/>
      </c>
      <c r="AZ88" t="str">
        <f>IF('1. Live'!AZ88='check-Jul25'!AZ88,"",'1. Live'!AZ88-'check-Jul25'!AZ88)</f>
        <v/>
      </c>
      <c r="BA88" t="str">
        <f>IF('1. Live'!BA88='check-Jul25'!BA88,"",'1. Live'!BA88-'check-Jul25'!BA88)</f>
        <v/>
      </c>
      <c r="BB88" t="str">
        <f>IF('1. Live'!BB88='check-Jul25'!BB88,"",'1. Live'!BB88-'check-Jul25'!BB88)</f>
        <v/>
      </c>
      <c r="BC88" t="str">
        <f>IF('1. Live'!BC88='check-Jul25'!BC88,"",'1. Live'!BC88-'check-Jul25'!BC88)</f>
        <v/>
      </c>
      <c r="BD88" t="str">
        <f>IF('1. Live'!BD88='check-Jul25'!BD88,"",'1. Live'!BD88-'check-Jul25'!BD88)</f>
        <v/>
      </c>
      <c r="BE88" t="str">
        <f>IF('1. Live'!BE88='check-Jul25'!BE88,"",'1. Live'!BE88-'check-Jul25'!BE88)</f>
        <v/>
      </c>
      <c r="BF88" t="str">
        <f>IF('1. Live'!BF88='check-Jul25'!BF88,"",'1. Live'!BF88-'check-Jul25'!BF88)</f>
        <v/>
      </c>
      <c r="BG88" t="str">
        <f>IF('1. Live'!BG88='check-Jul25'!BG88,"",'1. Live'!BG88-'check-Jul25'!BG88)</f>
        <v/>
      </c>
      <c r="BH88" t="str">
        <f>IF('1. Live'!BH88='check-Jul25'!BH88,"",'1. Live'!BH88-'check-Jul25'!BH88)</f>
        <v/>
      </c>
      <c r="BI88" t="str">
        <f>IF('1. Live'!BI88='check-Jul25'!BI88,"",'1. Live'!BI88-'check-Jul25'!BI88)</f>
        <v/>
      </c>
      <c r="BJ88" t="str">
        <f>IF('1. Live'!BJ88='check-Jul25'!BJ88,"",'1. Live'!BJ88-'check-Jul25'!BJ88)</f>
        <v/>
      </c>
      <c r="BK88" t="str">
        <f>IF('1. Live'!BK88='check-Jul25'!BK88,"",'1. Live'!BK88-'check-Jul25'!BK88)</f>
        <v/>
      </c>
      <c r="BL88" t="str">
        <f>IF('1. Live'!BL88='check-Jul25'!BL88,"",'1. Live'!BL88-'check-Jul25'!BL88)</f>
        <v/>
      </c>
      <c r="BM88" t="str">
        <f>IF('1. Live'!BM88='check-Jul25'!BM88,"",'1. Live'!BM88-'check-Jul25'!BM88)</f>
        <v/>
      </c>
      <c r="BN88" t="str">
        <f>IF('1. Live'!BN88='check-Jul25'!BN88,"",'1. Live'!BN88-'check-Jul25'!BN88)</f>
        <v/>
      </c>
      <c r="BO88" t="str">
        <f>IF('1. Live'!BO88='check-Jul25'!BO88,"",'1. Live'!BO88-'check-Jul25'!BO88)</f>
        <v/>
      </c>
      <c r="BP88" t="str">
        <f>IF('1. Live'!BP88='check-Jul25'!BP88,"",'1. Live'!BP88-'check-Jul25'!BP88)</f>
        <v/>
      </c>
      <c r="BQ88" t="str">
        <f>IF('1. Live'!BQ88='check-Jul25'!BQ88,"",'1. Live'!BQ88-'check-Jul25'!BQ88)</f>
        <v/>
      </c>
      <c r="BR88" t="str">
        <f>IF('1. Live'!BR88='check-Jul25'!BR88,"",'1. Live'!BR88-'check-Jul25'!BR88)</f>
        <v/>
      </c>
      <c r="BS88" t="str">
        <f>IF('1. Live'!BS88='check-Jul25'!BS88,"",'1. Live'!BS88-'check-Jul25'!BS88)</f>
        <v/>
      </c>
      <c r="BT88" t="str">
        <f>IF('1. Live'!BT88='check-Jul25'!BT88,"",'1. Live'!BT88-'check-Jul25'!BT88)</f>
        <v/>
      </c>
      <c r="BU88" t="str">
        <f>IF('1. Live'!BU88='check-Jul25'!BU88,"",'1. Live'!BU88-'check-Jul25'!BU88)</f>
        <v/>
      </c>
      <c r="BV88" t="str">
        <f>IF('1. Live'!BV88='check-Jul25'!BV88,"",'1. Live'!BV88-'check-Jul25'!BV88)</f>
        <v/>
      </c>
      <c r="BW88" t="str">
        <f>IF('1. Live'!BW88='check-Jul25'!BW88,"",'1. Live'!BW88-'check-Jul25'!BW88)</f>
        <v/>
      </c>
      <c r="BX88" t="str">
        <f>IF('1. Live'!BX88='check-Jul25'!BX88,"",'1. Live'!BX88-'check-Jul25'!BX88)</f>
        <v/>
      </c>
      <c r="BY88" t="str">
        <f>IF('1. Live'!BY88='check-Jul25'!BY88,"",'1. Live'!BY88-'check-Jul25'!BY88)</f>
        <v/>
      </c>
      <c r="BZ88" t="str">
        <f>IF('1. Live'!BZ88='check-Jul25'!BZ88,"",'1. Live'!BZ88-'check-Jul25'!BZ88)</f>
        <v/>
      </c>
      <c r="CA88" t="str">
        <f>IF('1. Live'!CA88='check-Jul25'!CA88,"",'1. Live'!CA88-'check-Jul25'!CA88)</f>
        <v/>
      </c>
      <c r="CB88" t="str">
        <f>IF('1. Live'!CB88='check-Jul25'!CB88,"",'1. Live'!CB88-'check-Jul25'!CB88)</f>
        <v/>
      </c>
      <c r="CC88" t="str">
        <f>IF('1. Live'!CC88='check-Jul25'!CC88,"",'1. Live'!CC88-'check-Jul25'!CC88)</f>
        <v/>
      </c>
      <c r="CD88" t="str">
        <f>IF('1. Live'!CD88='check-Jul25'!CD88,"",'1. Live'!CD88-'check-Jul25'!CD88)</f>
        <v/>
      </c>
      <c r="CE88" t="str">
        <f>IF('1. Live'!CE88='check-Jul25'!CE88,"",'1. Live'!CE88-'check-Jul25'!CE88)</f>
        <v/>
      </c>
      <c r="CF88" t="str">
        <f>IF('1. Live'!CF88='check-Jul25'!CF88,"",'1. Live'!CF88-'check-Jul25'!CF88)</f>
        <v/>
      </c>
      <c r="CG88" t="str">
        <f>IF('1. Live'!CG88='check-Jul25'!CG88,"",'1. Live'!CG88-'check-Jul25'!CG88)</f>
        <v/>
      </c>
      <c r="CH88" t="str">
        <f>IF('1. Live'!CH88='check-Jul25'!CH88,"",'1. Live'!CH88-'check-Jul25'!CH88)</f>
        <v/>
      </c>
      <c r="CI88" t="str">
        <f>IF('1. Live'!CI88='check-Jul25'!CI88,"",'1. Live'!CI88-'check-Jul25'!CI88)</f>
        <v/>
      </c>
      <c r="CJ88" t="str">
        <f>IF('1. Live'!CJ88='check-Jul25'!CJ88,"",'1. Live'!CJ88-'check-Jul25'!CJ88)</f>
        <v/>
      </c>
      <c r="CK88" t="str">
        <f>IF('1. Live'!CK88='check-Jul25'!CK88,"",'1. Live'!CK88-'check-Jul25'!CK88)</f>
        <v/>
      </c>
      <c r="CL88" t="str">
        <f>IF('1. Live'!CL88='check-Jul25'!CL88,"",'1. Live'!CL88-'check-Jul25'!CL88)</f>
        <v/>
      </c>
      <c r="CM88" t="str">
        <f>IF('1. Live'!CM88='check-Jul25'!CM88,"",'1. Live'!CM88-'check-Jul25'!CM88)</f>
        <v/>
      </c>
      <c r="CN88" t="str">
        <f>IF('1. Live'!CN88='check-Jul25'!CN88,"",'1. Live'!CN88-'check-Jul25'!CN88)</f>
        <v/>
      </c>
      <c r="CO88" t="str">
        <f>IF('1. Live'!CO88='check-Jul25'!CO88,"",'1. Live'!CO88-'check-Jul25'!CO88)</f>
        <v/>
      </c>
      <c r="CP88" t="str">
        <f>IF('1. Live'!CP88='check-Jul25'!CP88,"",'1. Live'!CP88-'check-Jul25'!CP88)</f>
        <v/>
      </c>
      <c r="CQ88" t="str">
        <f>IF('1. Live'!CQ88='check-Jul25'!CQ88,"",'1. Live'!CQ88-'check-Jul25'!CQ88)</f>
        <v/>
      </c>
      <c r="CR88" t="str">
        <f>IF('1. Live'!CR88='check-Jul25'!CR88,"",'1. Live'!CR88-'check-Jul25'!CR88)</f>
        <v/>
      </c>
      <c r="CS88" t="str">
        <f>IF('1. Live'!CS88='check-Jul25'!CS88,"",'1. Live'!CS88-'check-Jul25'!CS88)</f>
        <v/>
      </c>
      <c r="CT88" t="str">
        <f>IF('1. Live'!CT88='check-Jul25'!CT88,"",'1. Live'!CT88-'check-Jul25'!CT88)</f>
        <v/>
      </c>
      <c r="CU88" t="str">
        <f>IF('1. Live'!CU88='check-Jul25'!CU88,"",'1. Live'!CU88-'check-Jul25'!CU88)</f>
        <v/>
      </c>
      <c r="CV88" t="str">
        <f>IF('1. Live'!CV88='check-Jul25'!CV88,"",'1. Live'!CV88-'check-Jul25'!CV88)</f>
        <v/>
      </c>
      <c r="CW88" t="str">
        <f>IF('1. Live'!CW88='check-Jul25'!CW88,"",'1. Live'!CW88-'check-Jul25'!CW88)</f>
        <v/>
      </c>
    </row>
    <row r="89" spans="10:101">
      <c r="J89" t="str">
        <f>IF('1. Live'!J89='check-Jul25'!J89,"",'1. Live'!J89-'check-Jul25'!J89)</f>
        <v/>
      </c>
      <c r="K89" t="str">
        <f>IF('1. Live'!K89='check-Jul25'!K89,"",'1. Live'!K89-'check-Jul25'!K89)</f>
        <v/>
      </c>
      <c r="L89" t="str">
        <f>IF('1. Live'!L89='check-Jul25'!L89,"",'1. Live'!L89-'check-Jul25'!L89)</f>
        <v/>
      </c>
      <c r="M89" t="str">
        <f>IF('1. Live'!M89='check-Jul25'!M89,"",'1. Live'!M89-'check-Jul25'!M89)</f>
        <v/>
      </c>
      <c r="N89" t="str">
        <f>IF('1. Live'!N89='check-Jul25'!N89,"",'1. Live'!N89-'check-Jul25'!N89)</f>
        <v/>
      </c>
      <c r="O89" t="str">
        <f>IF('1. Live'!O89='check-Jul25'!O89,"",'1. Live'!O89-'check-Jul25'!O89)</f>
        <v/>
      </c>
      <c r="P89" t="str">
        <f>IF('1. Live'!P89='check-Jul25'!P89,"",'1. Live'!P89-'check-Jul25'!P89)</f>
        <v/>
      </c>
      <c r="Q89" t="str">
        <f>IF('1. Live'!Q89='check-Jul25'!Q89,"",'1. Live'!Q89-'check-Jul25'!Q89)</f>
        <v/>
      </c>
      <c r="R89" t="str">
        <f>IF('1. Live'!R89='check-Jul25'!R89,"",'1. Live'!R89-'check-Jul25'!R89)</f>
        <v/>
      </c>
      <c r="S89" t="str">
        <f>IF('1. Live'!S89='check-Jul25'!S89,"",'1. Live'!S89-'check-Jul25'!S89)</f>
        <v/>
      </c>
      <c r="T89" t="str">
        <f>IF('1. Live'!T89='check-Jul25'!T89,"",'1. Live'!T89-'check-Jul25'!T89)</f>
        <v/>
      </c>
      <c r="U89" t="str">
        <f>IF('1. Live'!U89='check-Jul25'!U89,"",'1. Live'!U89-'check-Jul25'!U89)</f>
        <v/>
      </c>
      <c r="V89" t="str">
        <f>IF('1. Live'!V89='check-Jul25'!V89,"",'1. Live'!V89-'check-Jul25'!V89)</f>
        <v/>
      </c>
      <c r="W89" t="str">
        <f>IF('1. Live'!W89='check-Jul25'!W89,"",'1. Live'!W89-'check-Jul25'!W89)</f>
        <v/>
      </c>
      <c r="X89" t="str">
        <f>IF('1. Live'!X89='check-Jul25'!X89,"",'1. Live'!X89-'check-Jul25'!X89)</f>
        <v/>
      </c>
      <c r="Y89" t="str">
        <f>IF('1. Live'!Y89='check-Jul25'!Y89,"",'1. Live'!Y89-'check-Jul25'!Y89)</f>
        <v/>
      </c>
      <c r="Z89" t="str">
        <f>IF('1. Live'!Z89='check-Jul25'!Z89,"",'1. Live'!Z89-'check-Jul25'!Z89)</f>
        <v/>
      </c>
      <c r="AA89" t="str">
        <f>IF('1. Live'!AA89='check-Jul25'!AA89,"",'1. Live'!AA89-'check-Jul25'!AA89)</f>
        <v/>
      </c>
      <c r="AB89" t="str">
        <f>IF('1. Live'!AB89='check-Jul25'!AB89,"",'1. Live'!AB89-'check-Jul25'!AB89)</f>
        <v/>
      </c>
      <c r="AC89" t="str">
        <f>IF('1. Live'!AC89='check-Jul25'!AC89,"",'1. Live'!AC89-'check-Jul25'!AC89)</f>
        <v/>
      </c>
      <c r="AD89" t="str">
        <f>IF('1. Live'!AD89='check-Jul25'!AD89,"",'1. Live'!AD89-'check-Jul25'!AD89)</f>
        <v/>
      </c>
      <c r="AE89" t="str">
        <f>IF('1. Live'!AE89='check-Jul25'!AE89,"",'1. Live'!AE89-'check-Jul25'!AE89)</f>
        <v/>
      </c>
      <c r="AF89" t="str">
        <f>IF('1. Live'!AF89='check-Jul25'!AF89,"",'1. Live'!AF89-'check-Jul25'!AF89)</f>
        <v/>
      </c>
      <c r="AG89" t="str">
        <f>IF('1. Live'!AG89='check-Jul25'!AG89,"",'1. Live'!AG89-'check-Jul25'!AG89)</f>
        <v/>
      </c>
      <c r="AH89" t="str">
        <f>IF('1. Live'!AH89='check-Jul25'!AH89,"",'1. Live'!AH89-'check-Jul25'!AH89)</f>
        <v/>
      </c>
      <c r="AI89" t="str">
        <f>IF('1. Live'!AI89='check-Jul25'!AI89,"",'1. Live'!AI89-'check-Jul25'!AI89)</f>
        <v/>
      </c>
      <c r="AJ89" t="str">
        <f>IF('1. Live'!AJ89='check-Jul25'!AJ89,"",'1. Live'!AJ89-'check-Jul25'!AJ89)</f>
        <v/>
      </c>
      <c r="AK89" t="str">
        <f>IF('1. Live'!AK89='check-Jul25'!AK89,"",'1. Live'!AK89-'check-Jul25'!AK89)</f>
        <v/>
      </c>
      <c r="AL89" t="str">
        <f>IF('1. Live'!AL89='check-Jul25'!AL89,"",'1. Live'!AL89-'check-Jul25'!AL89)</f>
        <v/>
      </c>
      <c r="AM89" t="str">
        <f>IF('1. Live'!AM89='check-Jul25'!AM89,"",'1. Live'!AM89-'check-Jul25'!AM89)</f>
        <v/>
      </c>
      <c r="AN89" t="str">
        <f>IF('1. Live'!AN89='check-Jul25'!AN89,"",'1. Live'!AN89-'check-Jul25'!AN89)</f>
        <v/>
      </c>
      <c r="AO89" t="str">
        <f>IF('1. Live'!AO89='check-Jul25'!AO89,"",'1. Live'!AO89-'check-Jul25'!AO89)</f>
        <v/>
      </c>
      <c r="AP89" t="str">
        <f>IF('1. Live'!AP89='check-Jul25'!AP89,"",'1. Live'!AP89-'check-Jul25'!AP89)</f>
        <v/>
      </c>
      <c r="AQ89" t="str">
        <f>IF('1. Live'!AQ89='check-Jul25'!AQ89,"",'1. Live'!AQ89-'check-Jul25'!AQ89)</f>
        <v/>
      </c>
      <c r="AR89" t="str">
        <f>IF('1. Live'!AR89='check-Jul25'!AR89,"",'1. Live'!AR89-'check-Jul25'!AR89)</f>
        <v/>
      </c>
      <c r="AS89" t="str">
        <f>IF('1. Live'!AS89='check-Jul25'!AS89,"",'1. Live'!AS89-'check-Jul25'!AS89)</f>
        <v/>
      </c>
      <c r="AT89" t="str">
        <f>IF('1. Live'!AT89='check-Jul25'!AT89,"",'1. Live'!AT89-'check-Jul25'!AT89)</f>
        <v/>
      </c>
      <c r="AU89" t="str">
        <f>IF('1. Live'!AU89='check-Jul25'!AU89,"",'1. Live'!AU89-'check-Jul25'!AU89)</f>
        <v/>
      </c>
      <c r="AV89" t="str">
        <f>IF('1. Live'!AV89='check-Jul25'!AV89,"",'1. Live'!AV89-'check-Jul25'!AV89)</f>
        <v/>
      </c>
      <c r="AW89" t="str">
        <f>IF('1. Live'!AW89='check-Jul25'!AW89,"",'1. Live'!AW89-'check-Jul25'!AW89)</f>
        <v/>
      </c>
      <c r="AX89" t="str">
        <f>IF('1. Live'!AX89='check-Jul25'!AX89,"",'1. Live'!AX89-'check-Jul25'!AX89)</f>
        <v/>
      </c>
      <c r="AY89" t="str">
        <f>IF('1. Live'!AY89='check-Jul25'!AY89,"",'1. Live'!AY89-'check-Jul25'!AY89)</f>
        <v/>
      </c>
      <c r="AZ89" t="str">
        <f>IF('1. Live'!AZ89='check-Jul25'!AZ89,"",'1. Live'!AZ89-'check-Jul25'!AZ89)</f>
        <v/>
      </c>
      <c r="BA89" t="str">
        <f>IF('1. Live'!BA89='check-Jul25'!BA89,"",'1. Live'!BA89-'check-Jul25'!BA89)</f>
        <v/>
      </c>
      <c r="BB89" t="str">
        <f>IF('1. Live'!BB89='check-Jul25'!BB89,"",'1. Live'!BB89-'check-Jul25'!BB89)</f>
        <v/>
      </c>
      <c r="BC89" t="str">
        <f>IF('1. Live'!BC89='check-Jul25'!BC89,"",'1. Live'!BC89-'check-Jul25'!BC89)</f>
        <v/>
      </c>
      <c r="BD89" t="str">
        <f>IF('1. Live'!BD89='check-Jul25'!BD89,"",'1. Live'!BD89-'check-Jul25'!BD89)</f>
        <v/>
      </c>
      <c r="BE89" t="str">
        <f>IF('1. Live'!BE89='check-Jul25'!BE89,"",'1. Live'!BE89-'check-Jul25'!BE89)</f>
        <v/>
      </c>
      <c r="BF89" t="str">
        <f>IF('1. Live'!BF89='check-Jul25'!BF89,"",'1. Live'!BF89-'check-Jul25'!BF89)</f>
        <v/>
      </c>
      <c r="BG89" t="str">
        <f>IF('1. Live'!BG89='check-Jul25'!BG89,"",'1. Live'!BG89-'check-Jul25'!BG89)</f>
        <v/>
      </c>
      <c r="BH89" t="str">
        <f>IF('1. Live'!BH89='check-Jul25'!BH89,"",'1. Live'!BH89-'check-Jul25'!BH89)</f>
        <v/>
      </c>
      <c r="BI89" t="str">
        <f>IF('1. Live'!BI89='check-Jul25'!BI89,"",'1. Live'!BI89-'check-Jul25'!BI89)</f>
        <v/>
      </c>
      <c r="BJ89" t="str">
        <f>IF('1. Live'!BJ89='check-Jul25'!BJ89,"",'1. Live'!BJ89-'check-Jul25'!BJ89)</f>
        <v/>
      </c>
      <c r="BK89" t="str">
        <f>IF('1. Live'!BK89='check-Jul25'!BK89,"",'1. Live'!BK89-'check-Jul25'!BK89)</f>
        <v/>
      </c>
      <c r="BL89" t="str">
        <f>IF('1. Live'!BL89='check-Jul25'!BL89,"",'1. Live'!BL89-'check-Jul25'!BL89)</f>
        <v/>
      </c>
      <c r="BM89" t="str">
        <f>IF('1. Live'!BM89='check-Jul25'!BM89,"",'1. Live'!BM89-'check-Jul25'!BM89)</f>
        <v/>
      </c>
      <c r="BN89" t="str">
        <f>IF('1. Live'!BN89='check-Jul25'!BN89,"",'1. Live'!BN89-'check-Jul25'!BN89)</f>
        <v/>
      </c>
      <c r="BO89" t="str">
        <f>IF('1. Live'!BO89='check-Jul25'!BO89,"",'1. Live'!BO89-'check-Jul25'!BO89)</f>
        <v/>
      </c>
      <c r="BP89" t="str">
        <f>IF('1. Live'!BP89='check-Jul25'!BP89,"",'1. Live'!BP89-'check-Jul25'!BP89)</f>
        <v/>
      </c>
      <c r="BQ89" t="str">
        <f>IF('1. Live'!BQ89='check-Jul25'!BQ89,"",'1. Live'!BQ89-'check-Jul25'!BQ89)</f>
        <v/>
      </c>
      <c r="BR89" t="str">
        <f>IF('1. Live'!BR89='check-Jul25'!BR89,"",'1. Live'!BR89-'check-Jul25'!BR89)</f>
        <v/>
      </c>
      <c r="BS89" t="str">
        <f>IF('1. Live'!BS89='check-Jul25'!BS89,"",'1. Live'!BS89-'check-Jul25'!BS89)</f>
        <v/>
      </c>
      <c r="BT89" t="str">
        <f>IF('1. Live'!BT89='check-Jul25'!BT89,"",'1. Live'!BT89-'check-Jul25'!BT89)</f>
        <v/>
      </c>
      <c r="BU89" t="str">
        <f>IF('1. Live'!BU89='check-Jul25'!BU89,"",'1. Live'!BU89-'check-Jul25'!BU89)</f>
        <v/>
      </c>
      <c r="BV89" t="str">
        <f>IF('1. Live'!BV89='check-Jul25'!BV89,"",'1. Live'!BV89-'check-Jul25'!BV89)</f>
        <v/>
      </c>
      <c r="BW89" t="str">
        <f>IF('1. Live'!BW89='check-Jul25'!BW89,"",'1. Live'!BW89-'check-Jul25'!BW89)</f>
        <v/>
      </c>
      <c r="BX89" t="str">
        <f>IF('1. Live'!BX89='check-Jul25'!BX89,"",'1. Live'!BX89-'check-Jul25'!BX89)</f>
        <v/>
      </c>
      <c r="BY89" t="str">
        <f>IF('1. Live'!BY89='check-Jul25'!BY89,"",'1. Live'!BY89-'check-Jul25'!BY89)</f>
        <v/>
      </c>
      <c r="BZ89" t="str">
        <f>IF('1. Live'!BZ89='check-Jul25'!BZ89,"",'1. Live'!BZ89-'check-Jul25'!BZ89)</f>
        <v/>
      </c>
      <c r="CA89" t="str">
        <f>IF('1. Live'!CA89='check-Jul25'!CA89,"",'1. Live'!CA89-'check-Jul25'!CA89)</f>
        <v/>
      </c>
      <c r="CB89" t="str">
        <f>IF('1. Live'!CB89='check-Jul25'!CB89,"",'1. Live'!CB89-'check-Jul25'!CB89)</f>
        <v/>
      </c>
      <c r="CC89" t="str">
        <f>IF('1. Live'!CC89='check-Jul25'!CC89,"",'1. Live'!CC89-'check-Jul25'!CC89)</f>
        <v/>
      </c>
      <c r="CD89" t="str">
        <f>IF('1. Live'!CD89='check-Jul25'!CD89,"",'1. Live'!CD89-'check-Jul25'!CD89)</f>
        <v/>
      </c>
      <c r="CE89" t="str">
        <f>IF('1. Live'!CE89='check-Jul25'!CE89,"",'1. Live'!CE89-'check-Jul25'!CE89)</f>
        <v/>
      </c>
      <c r="CF89" t="str">
        <f>IF('1. Live'!CF89='check-Jul25'!CF89,"",'1. Live'!CF89-'check-Jul25'!CF89)</f>
        <v/>
      </c>
      <c r="CG89" t="str">
        <f>IF('1. Live'!CG89='check-Jul25'!CG89,"",'1. Live'!CG89-'check-Jul25'!CG89)</f>
        <v/>
      </c>
      <c r="CH89" t="str">
        <f>IF('1. Live'!CH89='check-Jul25'!CH89,"",'1. Live'!CH89-'check-Jul25'!CH89)</f>
        <v/>
      </c>
      <c r="CI89" t="str">
        <f>IF('1. Live'!CI89='check-Jul25'!CI89,"",'1. Live'!CI89-'check-Jul25'!CI89)</f>
        <v/>
      </c>
      <c r="CJ89" t="str">
        <f>IF('1. Live'!CJ89='check-Jul25'!CJ89,"",'1. Live'!CJ89-'check-Jul25'!CJ89)</f>
        <v/>
      </c>
      <c r="CK89" t="str">
        <f>IF('1. Live'!CK89='check-Jul25'!CK89,"",'1. Live'!CK89-'check-Jul25'!CK89)</f>
        <v/>
      </c>
      <c r="CL89" t="str">
        <f>IF('1. Live'!CL89='check-Jul25'!CL89,"",'1. Live'!CL89-'check-Jul25'!CL89)</f>
        <v/>
      </c>
      <c r="CM89" t="str">
        <f>IF('1. Live'!CM89='check-Jul25'!CM89,"",'1. Live'!CM89-'check-Jul25'!CM89)</f>
        <v/>
      </c>
      <c r="CN89" t="str">
        <f>IF('1. Live'!CN89='check-Jul25'!CN89,"",'1. Live'!CN89-'check-Jul25'!CN89)</f>
        <v/>
      </c>
      <c r="CO89" t="str">
        <f>IF('1. Live'!CO89='check-Jul25'!CO89,"",'1. Live'!CO89-'check-Jul25'!CO89)</f>
        <v/>
      </c>
      <c r="CP89" t="str">
        <f>IF('1. Live'!CP89='check-Jul25'!CP89,"",'1. Live'!CP89-'check-Jul25'!CP89)</f>
        <v/>
      </c>
      <c r="CQ89" t="str">
        <f>IF('1. Live'!CQ89='check-Jul25'!CQ89,"",'1. Live'!CQ89-'check-Jul25'!CQ89)</f>
        <v/>
      </c>
      <c r="CR89" t="str">
        <f>IF('1. Live'!CR89='check-Jul25'!CR89,"",'1. Live'!CR89-'check-Jul25'!CR89)</f>
        <v/>
      </c>
      <c r="CS89" t="str">
        <f>IF('1. Live'!CS89='check-Jul25'!CS89,"",'1. Live'!CS89-'check-Jul25'!CS89)</f>
        <v/>
      </c>
      <c r="CT89" t="str">
        <f>IF('1. Live'!CT89='check-Jul25'!CT89,"",'1. Live'!CT89-'check-Jul25'!CT89)</f>
        <v/>
      </c>
      <c r="CU89" t="str">
        <f>IF('1. Live'!CU89='check-Jul25'!CU89,"",'1. Live'!CU89-'check-Jul25'!CU89)</f>
        <v/>
      </c>
      <c r="CV89" t="str">
        <f>IF('1. Live'!CV89='check-Jul25'!CV89,"",'1. Live'!CV89-'check-Jul25'!CV89)</f>
        <v/>
      </c>
      <c r="CW89" t="str">
        <f>IF('1. Live'!CW89='check-Jul25'!CW89,"",'1. Live'!CW89-'check-Jul25'!CW89)</f>
        <v/>
      </c>
    </row>
    <row r="90" spans="10:101">
      <c r="J90" t="str">
        <f>IF('1. Live'!J90='check-Jul25'!J90,"",'1. Live'!J90-'check-Jul25'!J90)</f>
        <v/>
      </c>
      <c r="K90" t="str">
        <f>IF('1. Live'!K90='check-Jul25'!K90,"",'1. Live'!K90-'check-Jul25'!K90)</f>
        <v/>
      </c>
      <c r="L90" t="str">
        <f>IF('1. Live'!L90='check-Jul25'!L90,"",'1. Live'!L90-'check-Jul25'!L90)</f>
        <v/>
      </c>
      <c r="M90" t="str">
        <f>IF('1. Live'!M90='check-Jul25'!M90,"",'1. Live'!M90-'check-Jul25'!M90)</f>
        <v/>
      </c>
      <c r="N90" t="str">
        <f>IF('1. Live'!N90='check-Jul25'!N90,"",'1. Live'!N90-'check-Jul25'!N90)</f>
        <v/>
      </c>
      <c r="O90" t="str">
        <f>IF('1. Live'!O90='check-Jul25'!O90,"",'1. Live'!O90-'check-Jul25'!O90)</f>
        <v/>
      </c>
      <c r="P90" t="str">
        <f>IF('1. Live'!P90='check-Jul25'!P90,"",'1. Live'!P90-'check-Jul25'!P90)</f>
        <v/>
      </c>
      <c r="Q90" t="str">
        <f>IF('1. Live'!Q90='check-Jul25'!Q90,"",'1. Live'!Q90-'check-Jul25'!Q90)</f>
        <v/>
      </c>
      <c r="R90" t="str">
        <f>IF('1. Live'!R90='check-Jul25'!R90,"",'1. Live'!R90-'check-Jul25'!R90)</f>
        <v/>
      </c>
      <c r="S90" t="str">
        <f>IF('1. Live'!S90='check-Jul25'!S90,"",'1. Live'!S90-'check-Jul25'!S90)</f>
        <v/>
      </c>
      <c r="T90" t="str">
        <f>IF('1. Live'!T90='check-Jul25'!T90,"",'1. Live'!T90-'check-Jul25'!T90)</f>
        <v/>
      </c>
      <c r="U90" t="str">
        <f>IF('1. Live'!U90='check-Jul25'!U90,"",'1. Live'!U90-'check-Jul25'!U90)</f>
        <v/>
      </c>
      <c r="V90" t="str">
        <f>IF('1. Live'!V90='check-Jul25'!V90,"",'1. Live'!V90-'check-Jul25'!V90)</f>
        <v/>
      </c>
      <c r="W90" t="str">
        <f>IF('1. Live'!W90='check-Jul25'!W90,"",'1. Live'!W90-'check-Jul25'!W90)</f>
        <v/>
      </c>
      <c r="X90" t="str">
        <f>IF('1. Live'!X90='check-Jul25'!X90,"",'1. Live'!X90-'check-Jul25'!X90)</f>
        <v/>
      </c>
      <c r="Y90" t="str">
        <f>IF('1. Live'!Y90='check-Jul25'!Y90,"",'1. Live'!Y90-'check-Jul25'!Y90)</f>
        <v/>
      </c>
      <c r="Z90" t="str">
        <f>IF('1. Live'!Z90='check-Jul25'!Z90,"",'1. Live'!Z90-'check-Jul25'!Z90)</f>
        <v/>
      </c>
      <c r="AA90" t="str">
        <f>IF('1. Live'!AA90='check-Jul25'!AA90,"",'1. Live'!AA90-'check-Jul25'!AA90)</f>
        <v/>
      </c>
      <c r="AB90" t="str">
        <f>IF('1. Live'!AB90='check-Jul25'!AB90,"",'1. Live'!AB90-'check-Jul25'!AB90)</f>
        <v/>
      </c>
      <c r="AC90" t="str">
        <f>IF('1. Live'!AC90='check-Jul25'!AC90,"",'1. Live'!AC90-'check-Jul25'!AC90)</f>
        <v/>
      </c>
      <c r="AD90" t="str">
        <f>IF('1. Live'!AD90='check-Jul25'!AD90,"",'1. Live'!AD90-'check-Jul25'!AD90)</f>
        <v/>
      </c>
      <c r="AE90" t="str">
        <f>IF('1. Live'!AE90='check-Jul25'!AE90,"",'1. Live'!AE90-'check-Jul25'!AE90)</f>
        <v/>
      </c>
      <c r="AF90" t="str">
        <f>IF('1. Live'!AF90='check-Jul25'!AF90,"",'1. Live'!AF90-'check-Jul25'!AF90)</f>
        <v/>
      </c>
      <c r="AG90" t="str">
        <f>IF('1. Live'!AG90='check-Jul25'!AG90,"",'1. Live'!AG90-'check-Jul25'!AG90)</f>
        <v/>
      </c>
      <c r="AH90" t="str">
        <f>IF('1. Live'!AH90='check-Jul25'!AH90,"",'1. Live'!AH90-'check-Jul25'!AH90)</f>
        <v/>
      </c>
      <c r="AI90" t="str">
        <f>IF('1. Live'!AI90='check-Jul25'!AI90,"",'1. Live'!AI90-'check-Jul25'!AI90)</f>
        <v/>
      </c>
      <c r="AJ90" t="str">
        <f>IF('1. Live'!AJ90='check-Jul25'!AJ90,"",'1. Live'!AJ90-'check-Jul25'!AJ90)</f>
        <v/>
      </c>
      <c r="AK90" t="str">
        <f>IF('1. Live'!AK90='check-Jul25'!AK90,"",'1. Live'!AK90-'check-Jul25'!AK90)</f>
        <v/>
      </c>
      <c r="AL90" t="str">
        <f>IF('1. Live'!AL90='check-Jul25'!AL90,"",'1. Live'!AL90-'check-Jul25'!AL90)</f>
        <v/>
      </c>
      <c r="AM90" t="str">
        <f>IF('1. Live'!AM90='check-Jul25'!AM90,"",'1. Live'!AM90-'check-Jul25'!AM90)</f>
        <v/>
      </c>
      <c r="AN90" t="str">
        <f>IF('1. Live'!AN90='check-Jul25'!AN90,"",'1. Live'!AN90-'check-Jul25'!AN90)</f>
        <v/>
      </c>
      <c r="AO90" t="str">
        <f>IF('1. Live'!AO90='check-Jul25'!AO90,"",'1. Live'!AO90-'check-Jul25'!AO90)</f>
        <v/>
      </c>
      <c r="AP90" t="str">
        <f>IF('1. Live'!AP90='check-Jul25'!AP90,"",'1. Live'!AP90-'check-Jul25'!AP90)</f>
        <v/>
      </c>
      <c r="AQ90" t="str">
        <f>IF('1. Live'!AQ90='check-Jul25'!AQ90,"",'1. Live'!AQ90-'check-Jul25'!AQ90)</f>
        <v/>
      </c>
      <c r="AR90" t="str">
        <f>IF('1. Live'!AR90='check-Jul25'!AR90,"",'1. Live'!AR90-'check-Jul25'!AR90)</f>
        <v/>
      </c>
      <c r="AS90" t="str">
        <f>IF('1. Live'!AS90='check-Jul25'!AS90,"",'1. Live'!AS90-'check-Jul25'!AS90)</f>
        <v/>
      </c>
      <c r="AT90" t="str">
        <f>IF('1. Live'!AT90='check-Jul25'!AT90,"",'1. Live'!AT90-'check-Jul25'!AT90)</f>
        <v/>
      </c>
      <c r="AU90" t="str">
        <f>IF('1. Live'!AU90='check-Jul25'!AU90,"",'1. Live'!AU90-'check-Jul25'!AU90)</f>
        <v/>
      </c>
      <c r="AV90" t="str">
        <f>IF('1. Live'!AV90='check-Jul25'!AV90,"",'1. Live'!AV90-'check-Jul25'!AV90)</f>
        <v/>
      </c>
      <c r="AW90" t="str">
        <f>IF('1. Live'!AW90='check-Jul25'!AW90,"",'1. Live'!AW90-'check-Jul25'!AW90)</f>
        <v/>
      </c>
      <c r="AX90" t="str">
        <f>IF('1. Live'!AX90='check-Jul25'!AX90,"",'1. Live'!AX90-'check-Jul25'!AX90)</f>
        <v/>
      </c>
      <c r="AY90" t="str">
        <f>IF('1. Live'!AY90='check-Jul25'!AY90,"",'1. Live'!AY90-'check-Jul25'!AY90)</f>
        <v/>
      </c>
      <c r="AZ90" t="str">
        <f>IF('1. Live'!AZ90='check-Jul25'!AZ90,"",'1. Live'!AZ90-'check-Jul25'!AZ90)</f>
        <v/>
      </c>
      <c r="BA90" t="str">
        <f>IF('1. Live'!BA90='check-Jul25'!BA90,"",'1. Live'!BA90-'check-Jul25'!BA90)</f>
        <v/>
      </c>
      <c r="BB90" t="str">
        <f>IF('1. Live'!BB90='check-Jul25'!BB90,"",'1. Live'!BB90-'check-Jul25'!BB90)</f>
        <v/>
      </c>
      <c r="BC90" t="str">
        <f>IF('1. Live'!BC90='check-Jul25'!BC90,"",'1. Live'!BC90-'check-Jul25'!BC90)</f>
        <v/>
      </c>
      <c r="BD90" t="str">
        <f>IF('1. Live'!BD90='check-Jul25'!BD90,"",'1. Live'!BD90-'check-Jul25'!BD90)</f>
        <v/>
      </c>
      <c r="BE90" t="str">
        <f>IF('1. Live'!BE90='check-Jul25'!BE90,"",'1. Live'!BE90-'check-Jul25'!BE90)</f>
        <v/>
      </c>
      <c r="BF90" t="str">
        <f>IF('1. Live'!BF90='check-Jul25'!BF90,"",'1. Live'!BF90-'check-Jul25'!BF90)</f>
        <v/>
      </c>
      <c r="BG90" t="str">
        <f>IF('1. Live'!BG90='check-Jul25'!BG90,"",'1. Live'!BG90-'check-Jul25'!BG90)</f>
        <v/>
      </c>
      <c r="BH90" t="str">
        <f>IF('1. Live'!BH90='check-Jul25'!BH90,"",'1. Live'!BH90-'check-Jul25'!BH90)</f>
        <v/>
      </c>
      <c r="BI90" t="str">
        <f>IF('1. Live'!BI90='check-Jul25'!BI90,"",'1. Live'!BI90-'check-Jul25'!BI90)</f>
        <v/>
      </c>
      <c r="BJ90" t="str">
        <f>IF('1. Live'!BJ90='check-Jul25'!BJ90,"",'1. Live'!BJ90-'check-Jul25'!BJ90)</f>
        <v/>
      </c>
      <c r="BK90" t="str">
        <f>IF('1. Live'!BK90='check-Jul25'!BK90,"",'1. Live'!BK90-'check-Jul25'!BK90)</f>
        <v/>
      </c>
      <c r="BL90" t="str">
        <f>IF('1. Live'!BL90='check-Jul25'!BL90,"",'1. Live'!BL90-'check-Jul25'!BL90)</f>
        <v/>
      </c>
      <c r="BM90" t="str">
        <f>IF('1. Live'!BM90='check-Jul25'!BM90,"",'1. Live'!BM90-'check-Jul25'!BM90)</f>
        <v/>
      </c>
      <c r="BN90" t="str">
        <f>IF('1. Live'!BN90='check-Jul25'!BN90,"",'1. Live'!BN90-'check-Jul25'!BN90)</f>
        <v/>
      </c>
      <c r="BO90" t="str">
        <f>IF('1. Live'!BO90='check-Jul25'!BO90,"",'1. Live'!BO90-'check-Jul25'!BO90)</f>
        <v/>
      </c>
      <c r="BP90" t="str">
        <f>IF('1. Live'!BP90='check-Jul25'!BP90,"",'1. Live'!BP90-'check-Jul25'!BP90)</f>
        <v/>
      </c>
      <c r="BQ90" t="str">
        <f>IF('1. Live'!BQ90='check-Jul25'!BQ90,"",'1. Live'!BQ90-'check-Jul25'!BQ90)</f>
        <v/>
      </c>
      <c r="BR90" t="str">
        <f>IF('1. Live'!BR90='check-Jul25'!BR90,"",'1. Live'!BR90-'check-Jul25'!BR90)</f>
        <v/>
      </c>
      <c r="BS90" t="str">
        <f>IF('1. Live'!BS90='check-Jul25'!BS90,"",'1. Live'!BS90-'check-Jul25'!BS90)</f>
        <v/>
      </c>
      <c r="BT90" t="str">
        <f>IF('1. Live'!BT90='check-Jul25'!BT90,"",'1. Live'!BT90-'check-Jul25'!BT90)</f>
        <v/>
      </c>
      <c r="BU90" t="str">
        <f>IF('1. Live'!BU90='check-Jul25'!BU90,"",'1. Live'!BU90-'check-Jul25'!BU90)</f>
        <v/>
      </c>
      <c r="BV90" t="str">
        <f>IF('1. Live'!BV90='check-Jul25'!BV90,"",'1. Live'!BV90-'check-Jul25'!BV90)</f>
        <v/>
      </c>
      <c r="BW90" t="str">
        <f>IF('1. Live'!BW90='check-Jul25'!BW90,"",'1. Live'!BW90-'check-Jul25'!BW90)</f>
        <v/>
      </c>
      <c r="BX90" t="str">
        <f>IF('1. Live'!BX90='check-Jul25'!BX90,"",'1. Live'!BX90-'check-Jul25'!BX90)</f>
        <v/>
      </c>
      <c r="BY90" t="str">
        <f>IF('1. Live'!BY90='check-Jul25'!BY90,"",'1. Live'!BY90-'check-Jul25'!BY90)</f>
        <v/>
      </c>
      <c r="BZ90" t="str">
        <f>IF('1. Live'!BZ90='check-Jul25'!BZ90,"",'1. Live'!BZ90-'check-Jul25'!BZ90)</f>
        <v/>
      </c>
      <c r="CA90" t="str">
        <f>IF('1. Live'!CA90='check-Jul25'!CA90,"",'1. Live'!CA90-'check-Jul25'!CA90)</f>
        <v/>
      </c>
      <c r="CB90" t="str">
        <f>IF('1. Live'!CB90='check-Jul25'!CB90,"",'1. Live'!CB90-'check-Jul25'!CB90)</f>
        <v/>
      </c>
      <c r="CC90" t="str">
        <f>IF('1. Live'!CC90='check-Jul25'!CC90,"",'1. Live'!CC90-'check-Jul25'!CC90)</f>
        <v/>
      </c>
      <c r="CD90" t="str">
        <f>IF('1. Live'!CD90='check-Jul25'!CD90,"",'1. Live'!CD90-'check-Jul25'!CD90)</f>
        <v/>
      </c>
      <c r="CE90" t="str">
        <f>IF('1. Live'!CE90='check-Jul25'!CE90,"",'1. Live'!CE90-'check-Jul25'!CE90)</f>
        <v/>
      </c>
      <c r="CF90" t="str">
        <f>IF('1. Live'!CF90='check-Jul25'!CF90,"",'1. Live'!CF90-'check-Jul25'!CF90)</f>
        <v/>
      </c>
      <c r="CG90" t="str">
        <f>IF('1. Live'!CG90='check-Jul25'!CG90,"",'1. Live'!CG90-'check-Jul25'!CG90)</f>
        <v/>
      </c>
      <c r="CH90" t="str">
        <f>IF('1. Live'!CH90='check-Jul25'!CH90,"",'1. Live'!CH90-'check-Jul25'!CH90)</f>
        <v/>
      </c>
      <c r="CI90" t="str">
        <f>IF('1. Live'!CI90='check-Jul25'!CI90,"",'1. Live'!CI90-'check-Jul25'!CI90)</f>
        <v/>
      </c>
      <c r="CJ90" t="str">
        <f>IF('1. Live'!CJ90='check-Jul25'!CJ90,"",'1. Live'!CJ90-'check-Jul25'!CJ90)</f>
        <v/>
      </c>
      <c r="CK90" t="str">
        <f>IF('1. Live'!CK90='check-Jul25'!CK90,"",'1. Live'!CK90-'check-Jul25'!CK90)</f>
        <v/>
      </c>
      <c r="CL90" t="str">
        <f>IF('1. Live'!CL90='check-Jul25'!CL90,"",'1. Live'!CL90-'check-Jul25'!CL90)</f>
        <v/>
      </c>
      <c r="CM90" t="str">
        <f>IF('1. Live'!CM90='check-Jul25'!CM90,"",'1. Live'!CM90-'check-Jul25'!CM90)</f>
        <v/>
      </c>
      <c r="CN90" t="str">
        <f>IF('1. Live'!CN90='check-Jul25'!CN90,"",'1. Live'!CN90-'check-Jul25'!CN90)</f>
        <v/>
      </c>
      <c r="CO90" t="str">
        <f>IF('1. Live'!CO90='check-Jul25'!CO90,"",'1. Live'!CO90-'check-Jul25'!CO90)</f>
        <v/>
      </c>
      <c r="CP90" t="str">
        <f>IF('1. Live'!CP90='check-Jul25'!CP90,"",'1. Live'!CP90-'check-Jul25'!CP90)</f>
        <v/>
      </c>
      <c r="CQ90" t="str">
        <f>IF('1. Live'!CQ90='check-Jul25'!CQ90,"",'1. Live'!CQ90-'check-Jul25'!CQ90)</f>
        <v/>
      </c>
      <c r="CR90" t="str">
        <f>IF('1. Live'!CR90='check-Jul25'!CR90,"",'1. Live'!CR90-'check-Jul25'!CR90)</f>
        <v/>
      </c>
      <c r="CS90" t="str">
        <f>IF('1. Live'!CS90='check-Jul25'!CS90,"",'1. Live'!CS90-'check-Jul25'!CS90)</f>
        <v/>
      </c>
      <c r="CT90" t="str">
        <f>IF('1. Live'!CT90='check-Jul25'!CT90,"",'1. Live'!CT90-'check-Jul25'!CT90)</f>
        <v/>
      </c>
      <c r="CU90" t="str">
        <f>IF('1. Live'!CU90='check-Jul25'!CU90,"",'1. Live'!CU90-'check-Jul25'!CU90)</f>
        <v/>
      </c>
      <c r="CV90" t="str">
        <f>IF('1. Live'!CV90='check-Jul25'!CV90,"",'1. Live'!CV90-'check-Jul25'!CV90)</f>
        <v/>
      </c>
      <c r="CW90" t="str">
        <f>IF('1. Live'!CW90='check-Jul25'!CW90,"",'1. Live'!CW90-'check-Jul25'!CW90)</f>
        <v/>
      </c>
    </row>
    <row r="91" spans="10:101">
      <c r="J91" t="str">
        <f>IF('1. Live'!J91='check-Jul25'!J91,"",'1. Live'!J91-'check-Jul25'!J91)</f>
        <v/>
      </c>
      <c r="K91" t="str">
        <f>IF('1. Live'!K91='check-Jul25'!K91,"",'1. Live'!K91-'check-Jul25'!K91)</f>
        <v/>
      </c>
      <c r="L91" t="str">
        <f>IF('1. Live'!L91='check-Jul25'!L91,"",'1. Live'!L91-'check-Jul25'!L91)</f>
        <v/>
      </c>
      <c r="M91" t="str">
        <f>IF('1. Live'!M91='check-Jul25'!M91,"",'1. Live'!M91-'check-Jul25'!M91)</f>
        <v/>
      </c>
      <c r="N91" t="str">
        <f>IF('1. Live'!N91='check-Jul25'!N91,"",'1. Live'!N91-'check-Jul25'!N91)</f>
        <v/>
      </c>
      <c r="O91" t="str">
        <f>IF('1. Live'!O91='check-Jul25'!O91,"",'1. Live'!O91-'check-Jul25'!O91)</f>
        <v/>
      </c>
      <c r="P91" t="str">
        <f>IF('1. Live'!P91='check-Jul25'!P91,"",'1. Live'!P91-'check-Jul25'!P91)</f>
        <v/>
      </c>
      <c r="Q91" t="str">
        <f>IF('1. Live'!Q91='check-Jul25'!Q91,"",'1. Live'!Q91-'check-Jul25'!Q91)</f>
        <v/>
      </c>
      <c r="R91" t="str">
        <f>IF('1. Live'!R91='check-Jul25'!R91,"",'1. Live'!R91-'check-Jul25'!R91)</f>
        <v/>
      </c>
      <c r="S91" t="str">
        <f>IF('1. Live'!S91='check-Jul25'!S91,"",'1. Live'!S91-'check-Jul25'!S91)</f>
        <v/>
      </c>
      <c r="T91" t="str">
        <f>IF('1. Live'!T91='check-Jul25'!T91,"",'1. Live'!T91-'check-Jul25'!T91)</f>
        <v/>
      </c>
      <c r="U91" t="str">
        <f>IF('1. Live'!U91='check-Jul25'!U91,"",'1. Live'!U91-'check-Jul25'!U91)</f>
        <v/>
      </c>
      <c r="V91" t="str">
        <f>IF('1. Live'!V91='check-Jul25'!V91,"",'1. Live'!V91-'check-Jul25'!V91)</f>
        <v/>
      </c>
      <c r="W91" t="str">
        <f>IF('1. Live'!W91='check-Jul25'!W91,"",'1. Live'!W91-'check-Jul25'!W91)</f>
        <v/>
      </c>
      <c r="X91" t="str">
        <f>IF('1. Live'!X91='check-Jul25'!X91,"",'1. Live'!X91-'check-Jul25'!X91)</f>
        <v/>
      </c>
      <c r="Y91" t="str">
        <f>IF('1. Live'!Y91='check-Jul25'!Y91,"",'1. Live'!Y91-'check-Jul25'!Y91)</f>
        <v/>
      </c>
      <c r="Z91" t="str">
        <f>IF('1. Live'!Z91='check-Jul25'!Z91,"",'1. Live'!Z91-'check-Jul25'!Z91)</f>
        <v/>
      </c>
      <c r="AA91" t="str">
        <f>IF('1. Live'!AA91='check-Jul25'!AA91,"",'1. Live'!AA91-'check-Jul25'!AA91)</f>
        <v/>
      </c>
      <c r="AB91" t="str">
        <f>IF('1. Live'!AB91='check-Jul25'!AB91,"",'1. Live'!AB91-'check-Jul25'!AB91)</f>
        <v/>
      </c>
      <c r="AC91" t="str">
        <f>IF('1. Live'!AC91='check-Jul25'!AC91,"",'1. Live'!AC91-'check-Jul25'!AC91)</f>
        <v/>
      </c>
      <c r="AD91" t="str">
        <f>IF('1. Live'!AD91='check-Jul25'!AD91,"",'1. Live'!AD91-'check-Jul25'!AD91)</f>
        <v/>
      </c>
      <c r="AE91" t="str">
        <f>IF('1. Live'!AE91='check-Jul25'!AE91,"",'1. Live'!AE91-'check-Jul25'!AE91)</f>
        <v/>
      </c>
      <c r="AF91" t="str">
        <f>IF('1. Live'!AF91='check-Jul25'!AF91,"",'1. Live'!AF91-'check-Jul25'!AF91)</f>
        <v/>
      </c>
      <c r="AG91" t="str">
        <f>IF('1. Live'!AG91='check-Jul25'!AG91,"",'1. Live'!AG91-'check-Jul25'!AG91)</f>
        <v/>
      </c>
      <c r="AH91" t="str">
        <f>IF('1. Live'!AH91='check-Jul25'!AH91,"",'1. Live'!AH91-'check-Jul25'!AH91)</f>
        <v/>
      </c>
      <c r="AI91" t="str">
        <f>IF('1. Live'!AI91='check-Jul25'!AI91,"",'1. Live'!AI91-'check-Jul25'!AI91)</f>
        <v/>
      </c>
      <c r="AJ91" t="str">
        <f>IF('1. Live'!AJ91='check-Jul25'!AJ91,"",'1. Live'!AJ91-'check-Jul25'!AJ91)</f>
        <v/>
      </c>
      <c r="AK91" t="str">
        <f>IF('1. Live'!AK91='check-Jul25'!AK91,"",'1. Live'!AK91-'check-Jul25'!AK91)</f>
        <v/>
      </c>
      <c r="AL91" t="str">
        <f>IF('1. Live'!AL91='check-Jul25'!AL91,"",'1. Live'!AL91-'check-Jul25'!AL91)</f>
        <v/>
      </c>
      <c r="AM91" t="str">
        <f>IF('1. Live'!AM91='check-Jul25'!AM91,"",'1. Live'!AM91-'check-Jul25'!AM91)</f>
        <v/>
      </c>
      <c r="AN91" t="str">
        <f>IF('1. Live'!AN91='check-Jul25'!AN91,"",'1. Live'!AN91-'check-Jul25'!AN91)</f>
        <v/>
      </c>
      <c r="AO91" t="str">
        <f>IF('1. Live'!AO91='check-Jul25'!AO91,"",'1. Live'!AO91-'check-Jul25'!AO91)</f>
        <v/>
      </c>
      <c r="AP91" t="str">
        <f>IF('1. Live'!AP91='check-Jul25'!AP91,"",'1. Live'!AP91-'check-Jul25'!AP91)</f>
        <v/>
      </c>
      <c r="AQ91" t="str">
        <f>IF('1. Live'!AQ91='check-Jul25'!AQ91,"",'1. Live'!AQ91-'check-Jul25'!AQ91)</f>
        <v/>
      </c>
      <c r="AR91" t="str">
        <f>IF('1. Live'!AR91='check-Jul25'!AR91,"",'1. Live'!AR91-'check-Jul25'!AR91)</f>
        <v/>
      </c>
      <c r="AS91" t="str">
        <f>IF('1. Live'!AS91='check-Jul25'!AS91,"",'1. Live'!AS91-'check-Jul25'!AS91)</f>
        <v/>
      </c>
      <c r="AT91" t="str">
        <f>IF('1. Live'!AT91='check-Jul25'!AT91,"",'1. Live'!AT91-'check-Jul25'!AT91)</f>
        <v/>
      </c>
      <c r="AU91" t="str">
        <f>IF('1. Live'!AU91='check-Jul25'!AU91,"",'1. Live'!AU91-'check-Jul25'!AU91)</f>
        <v/>
      </c>
      <c r="AV91" t="str">
        <f>IF('1. Live'!AV91='check-Jul25'!AV91,"",'1. Live'!AV91-'check-Jul25'!AV91)</f>
        <v/>
      </c>
      <c r="AW91" t="str">
        <f>IF('1. Live'!AW91='check-Jul25'!AW91,"",'1. Live'!AW91-'check-Jul25'!AW91)</f>
        <v/>
      </c>
      <c r="AX91" t="str">
        <f>IF('1. Live'!AX91='check-Jul25'!AX91,"",'1. Live'!AX91-'check-Jul25'!AX91)</f>
        <v/>
      </c>
      <c r="AY91" t="str">
        <f>IF('1. Live'!AY91='check-Jul25'!AY91,"",'1. Live'!AY91-'check-Jul25'!AY91)</f>
        <v/>
      </c>
      <c r="AZ91" t="str">
        <f>IF('1. Live'!AZ91='check-Jul25'!AZ91,"",'1. Live'!AZ91-'check-Jul25'!AZ91)</f>
        <v/>
      </c>
      <c r="BA91" t="str">
        <f>IF('1. Live'!BA91='check-Jul25'!BA91,"",'1. Live'!BA91-'check-Jul25'!BA91)</f>
        <v/>
      </c>
      <c r="BB91" t="str">
        <f>IF('1. Live'!BB91='check-Jul25'!BB91,"",'1. Live'!BB91-'check-Jul25'!BB91)</f>
        <v/>
      </c>
      <c r="BC91" t="str">
        <f>IF('1. Live'!BC91='check-Jul25'!BC91,"",'1. Live'!BC91-'check-Jul25'!BC91)</f>
        <v/>
      </c>
      <c r="BD91" t="str">
        <f>IF('1. Live'!BD91='check-Jul25'!BD91,"",'1. Live'!BD91-'check-Jul25'!BD91)</f>
        <v/>
      </c>
      <c r="BE91" t="str">
        <f>IF('1. Live'!BE91='check-Jul25'!BE91,"",'1. Live'!BE91-'check-Jul25'!BE91)</f>
        <v/>
      </c>
      <c r="BF91" t="str">
        <f>IF('1. Live'!BF91='check-Jul25'!BF91,"",'1. Live'!BF91-'check-Jul25'!BF91)</f>
        <v/>
      </c>
      <c r="BG91" t="str">
        <f>IF('1. Live'!BG91='check-Jul25'!BG91,"",'1. Live'!BG91-'check-Jul25'!BG91)</f>
        <v/>
      </c>
      <c r="BH91" t="str">
        <f>IF('1. Live'!BH91='check-Jul25'!BH91,"",'1. Live'!BH91-'check-Jul25'!BH91)</f>
        <v/>
      </c>
      <c r="BI91" t="str">
        <f>IF('1. Live'!BI91='check-Jul25'!BI91,"",'1. Live'!BI91-'check-Jul25'!BI91)</f>
        <v/>
      </c>
      <c r="BJ91" t="str">
        <f>IF('1. Live'!BJ91='check-Jul25'!BJ91,"",'1. Live'!BJ91-'check-Jul25'!BJ91)</f>
        <v/>
      </c>
      <c r="BK91" t="str">
        <f>IF('1. Live'!BK91='check-Jul25'!BK91,"",'1. Live'!BK91-'check-Jul25'!BK91)</f>
        <v/>
      </c>
      <c r="BL91" t="str">
        <f>IF('1. Live'!BL91='check-Jul25'!BL91,"",'1. Live'!BL91-'check-Jul25'!BL91)</f>
        <v/>
      </c>
      <c r="BM91" t="str">
        <f>IF('1. Live'!BM91='check-Jul25'!BM91,"",'1. Live'!BM91-'check-Jul25'!BM91)</f>
        <v/>
      </c>
      <c r="BN91" t="str">
        <f>IF('1. Live'!BN91='check-Jul25'!BN91,"",'1. Live'!BN91-'check-Jul25'!BN91)</f>
        <v/>
      </c>
      <c r="BO91" t="str">
        <f>IF('1. Live'!BO91='check-Jul25'!BO91,"",'1. Live'!BO91-'check-Jul25'!BO91)</f>
        <v/>
      </c>
      <c r="BP91" t="str">
        <f>IF('1. Live'!BP91='check-Jul25'!BP91,"",'1. Live'!BP91-'check-Jul25'!BP91)</f>
        <v/>
      </c>
      <c r="BQ91" t="str">
        <f>IF('1. Live'!BQ91='check-Jul25'!BQ91,"",'1. Live'!BQ91-'check-Jul25'!BQ91)</f>
        <v/>
      </c>
      <c r="BR91" t="str">
        <f>IF('1. Live'!BR91='check-Jul25'!BR91,"",'1. Live'!BR91-'check-Jul25'!BR91)</f>
        <v/>
      </c>
      <c r="BS91" t="str">
        <f>IF('1. Live'!BS91='check-Jul25'!BS91,"",'1. Live'!BS91-'check-Jul25'!BS91)</f>
        <v/>
      </c>
      <c r="BT91" t="str">
        <f>IF('1. Live'!BT91='check-Jul25'!BT91,"",'1. Live'!BT91-'check-Jul25'!BT91)</f>
        <v/>
      </c>
      <c r="BU91" t="str">
        <f>IF('1. Live'!BU91='check-Jul25'!BU91,"",'1. Live'!BU91-'check-Jul25'!BU91)</f>
        <v/>
      </c>
      <c r="BV91" t="str">
        <f>IF('1. Live'!BV91='check-Jul25'!BV91,"",'1. Live'!BV91-'check-Jul25'!BV91)</f>
        <v/>
      </c>
      <c r="BW91" t="str">
        <f>IF('1. Live'!BW91='check-Jul25'!BW91,"",'1. Live'!BW91-'check-Jul25'!BW91)</f>
        <v/>
      </c>
      <c r="BX91" t="str">
        <f>IF('1. Live'!BX91='check-Jul25'!BX91,"",'1. Live'!BX91-'check-Jul25'!BX91)</f>
        <v/>
      </c>
      <c r="BY91" t="str">
        <f>IF('1. Live'!BY91='check-Jul25'!BY91,"",'1. Live'!BY91-'check-Jul25'!BY91)</f>
        <v/>
      </c>
      <c r="BZ91" t="str">
        <f>IF('1. Live'!BZ91='check-Jul25'!BZ91,"",'1. Live'!BZ91-'check-Jul25'!BZ91)</f>
        <v/>
      </c>
      <c r="CA91" t="str">
        <f>IF('1. Live'!CA91='check-Jul25'!CA91,"",'1. Live'!CA91-'check-Jul25'!CA91)</f>
        <v/>
      </c>
      <c r="CB91" t="str">
        <f>IF('1. Live'!CB91='check-Jul25'!CB91,"",'1. Live'!CB91-'check-Jul25'!CB91)</f>
        <v/>
      </c>
      <c r="CC91" t="str">
        <f>IF('1. Live'!CC91='check-Jul25'!CC91,"",'1. Live'!CC91-'check-Jul25'!CC91)</f>
        <v/>
      </c>
      <c r="CD91" t="str">
        <f>IF('1. Live'!CD91='check-Jul25'!CD91,"",'1. Live'!CD91-'check-Jul25'!CD91)</f>
        <v/>
      </c>
      <c r="CE91" t="str">
        <f>IF('1. Live'!CE91='check-Jul25'!CE91,"",'1. Live'!CE91-'check-Jul25'!CE91)</f>
        <v/>
      </c>
      <c r="CF91" t="str">
        <f>IF('1. Live'!CF91='check-Jul25'!CF91,"",'1. Live'!CF91-'check-Jul25'!CF91)</f>
        <v/>
      </c>
      <c r="CG91" t="str">
        <f>IF('1. Live'!CG91='check-Jul25'!CG91,"",'1. Live'!CG91-'check-Jul25'!CG91)</f>
        <v/>
      </c>
      <c r="CH91" t="str">
        <f>IF('1. Live'!CH91='check-Jul25'!CH91,"",'1. Live'!CH91-'check-Jul25'!CH91)</f>
        <v/>
      </c>
      <c r="CI91" t="str">
        <f>IF('1. Live'!CI91='check-Jul25'!CI91,"",'1. Live'!CI91-'check-Jul25'!CI91)</f>
        <v/>
      </c>
      <c r="CJ91" t="str">
        <f>IF('1. Live'!CJ91='check-Jul25'!CJ91,"",'1. Live'!CJ91-'check-Jul25'!CJ91)</f>
        <v/>
      </c>
      <c r="CK91" t="str">
        <f>IF('1. Live'!CK91='check-Jul25'!CK91,"",'1. Live'!CK91-'check-Jul25'!CK91)</f>
        <v/>
      </c>
      <c r="CL91" t="str">
        <f>IF('1. Live'!CL91='check-Jul25'!CL91,"",'1. Live'!CL91-'check-Jul25'!CL91)</f>
        <v/>
      </c>
      <c r="CM91" t="str">
        <f>IF('1. Live'!CM91='check-Jul25'!CM91,"",'1. Live'!CM91-'check-Jul25'!CM91)</f>
        <v/>
      </c>
      <c r="CN91" t="str">
        <f>IF('1. Live'!CN91='check-Jul25'!CN91,"",'1. Live'!CN91-'check-Jul25'!CN91)</f>
        <v/>
      </c>
      <c r="CO91" t="str">
        <f>IF('1. Live'!CO91='check-Jul25'!CO91,"",'1. Live'!CO91-'check-Jul25'!CO91)</f>
        <v/>
      </c>
      <c r="CP91" t="str">
        <f>IF('1. Live'!CP91='check-Jul25'!CP91,"",'1. Live'!CP91-'check-Jul25'!CP91)</f>
        <v/>
      </c>
      <c r="CQ91" t="str">
        <f>IF('1. Live'!CQ91='check-Jul25'!CQ91,"",'1. Live'!CQ91-'check-Jul25'!CQ91)</f>
        <v/>
      </c>
      <c r="CR91" t="str">
        <f>IF('1. Live'!CR91='check-Jul25'!CR91,"",'1. Live'!CR91-'check-Jul25'!CR91)</f>
        <v/>
      </c>
      <c r="CS91" t="str">
        <f>IF('1. Live'!CS91='check-Jul25'!CS91,"",'1. Live'!CS91-'check-Jul25'!CS91)</f>
        <v/>
      </c>
      <c r="CT91" t="str">
        <f>IF('1. Live'!CT91='check-Jul25'!CT91,"",'1. Live'!CT91-'check-Jul25'!CT91)</f>
        <v/>
      </c>
      <c r="CU91" t="str">
        <f>IF('1. Live'!CU91='check-Jul25'!CU91,"",'1. Live'!CU91-'check-Jul25'!CU91)</f>
        <v/>
      </c>
      <c r="CV91" t="str">
        <f>IF('1. Live'!CV91='check-Jul25'!CV91,"",'1. Live'!CV91-'check-Jul25'!CV91)</f>
        <v/>
      </c>
      <c r="CW91" t="str">
        <f>IF('1. Live'!CW91='check-Jul25'!CW91,"",'1. Live'!CW91-'check-Jul25'!CW91)</f>
        <v/>
      </c>
    </row>
    <row r="92" spans="10:101">
      <c r="J92" t="str">
        <f>IF('1. Live'!J92='check-Jul25'!J92,"",'1. Live'!J92-'check-Jul25'!J92)</f>
        <v/>
      </c>
      <c r="K92" t="str">
        <f>IF('1. Live'!K92='check-Jul25'!K92,"",'1. Live'!K92-'check-Jul25'!K92)</f>
        <v/>
      </c>
      <c r="L92" t="str">
        <f>IF('1. Live'!L92='check-Jul25'!L92,"",'1. Live'!L92-'check-Jul25'!L92)</f>
        <v/>
      </c>
      <c r="M92" t="str">
        <f>IF('1. Live'!M92='check-Jul25'!M92,"",'1. Live'!M92-'check-Jul25'!M92)</f>
        <v/>
      </c>
      <c r="N92" t="str">
        <f>IF('1. Live'!N92='check-Jul25'!N92,"",'1. Live'!N92-'check-Jul25'!N92)</f>
        <v/>
      </c>
      <c r="O92" t="str">
        <f>IF('1. Live'!O92='check-Jul25'!O92,"",'1. Live'!O92-'check-Jul25'!O92)</f>
        <v/>
      </c>
      <c r="P92" t="str">
        <f>IF('1. Live'!P92='check-Jul25'!P92,"",'1. Live'!P92-'check-Jul25'!P92)</f>
        <v/>
      </c>
      <c r="Q92" t="str">
        <f>IF('1. Live'!Q92='check-Jul25'!Q92,"",'1. Live'!Q92-'check-Jul25'!Q92)</f>
        <v/>
      </c>
      <c r="R92" t="str">
        <f>IF('1. Live'!R92='check-Jul25'!R92,"",'1. Live'!R92-'check-Jul25'!R92)</f>
        <v/>
      </c>
      <c r="S92" t="str">
        <f>IF('1. Live'!S92='check-Jul25'!S92,"",'1. Live'!S92-'check-Jul25'!S92)</f>
        <v/>
      </c>
      <c r="T92" t="str">
        <f>IF('1. Live'!T92='check-Jul25'!T92,"",'1. Live'!T92-'check-Jul25'!T92)</f>
        <v/>
      </c>
      <c r="U92" t="str">
        <f>IF('1. Live'!U92='check-Jul25'!U92,"",'1. Live'!U92-'check-Jul25'!U92)</f>
        <v/>
      </c>
      <c r="V92" t="str">
        <f>IF('1. Live'!V92='check-Jul25'!V92,"",'1. Live'!V92-'check-Jul25'!V92)</f>
        <v/>
      </c>
      <c r="W92" t="str">
        <f>IF('1. Live'!W92='check-Jul25'!W92,"",'1. Live'!W92-'check-Jul25'!W92)</f>
        <v/>
      </c>
      <c r="X92" t="str">
        <f>IF('1. Live'!X92='check-Jul25'!X92,"",'1. Live'!X92-'check-Jul25'!X92)</f>
        <v/>
      </c>
      <c r="Y92" t="str">
        <f>IF('1. Live'!Y92='check-Jul25'!Y92,"",'1. Live'!Y92-'check-Jul25'!Y92)</f>
        <v/>
      </c>
      <c r="Z92" t="str">
        <f>IF('1. Live'!Z92='check-Jul25'!Z92,"",'1. Live'!Z92-'check-Jul25'!Z92)</f>
        <v/>
      </c>
      <c r="AA92" t="str">
        <f>IF('1. Live'!AA92='check-Jul25'!AA92,"",'1. Live'!AA92-'check-Jul25'!AA92)</f>
        <v/>
      </c>
      <c r="AB92" t="str">
        <f>IF('1. Live'!AB92='check-Jul25'!AB92,"",'1. Live'!AB92-'check-Jul25'!AB92)</f>
        <v/>
      </c>
      <c r="AC92" t="str">
        <f>IF('1. Live'!AC92='check-Jul25'!AC92,"",'1. Live'!AC92-'check-Jul25'!AC92)</f>
        <v/>
      </c>
      <c r="AD92" t="str">
        <f>IF('1. Live'!AD92='check-Jul25'!AD92,"",'1. Live'!AD92-'check-Jul25'!AD92)</f>
        <v/>
      </c>
      <c r="AE92" t="str">
        <f>IF('1. Live'!AE92='check-Jul25'!AE92,"",'1. Live'!AE92-'check-Jul25'!AE92)</f>
        <v/>
      </c>
      <c r="AF92" t="str">
        <f>IF('1. Live'!AF92='check-Jul25'!AF92,"",'1. Live'!AF92-'check-Jul25'!AF92)</f>
        <v/>
      </c>
      <c r="AG92" t="str">
        <f>IF('1. Live'!AG92='check-Jul25'!AG92,"",'1. Live'!AG92-'check-Jul25'!AG92)</f>
        <v/>
      </c>
      <c r="AH92" t="str">
        <f>IF('1. Live'!AH92='check-Jul25'!AH92,"",'1. Live'!AH92-'check-Jul25'!AH92)</f>
        <v/>
      </c>
      <c r="AI92" t="str">
        <f>IF('1. Live'!AI92='check-Jul25'!AI92,"",'1. Live'!AI92-'check-Jul25'!AI92)</f>
        <v/>
      </c>
      <c r="AJ92" t="str">
        <f>IF('1. Live'!AJ92='check-Jul25'!AJ92,"",'1. Live'!AJ92-'check-Jul25'!AJ92)</f>
        <v/>
      </c>
      <c r="AK92" t="str">
        <f>IF('1. Live'!AK92='check-Jul25'!AK92,"",'1. Live'!AK92-'check-Jul25'!AK92)</f>
        <v/>
      </c>
      <c r="AL92" t="str">
        <f>IF('1. Live'!AL92='check-Jul25'!AL92,"",'1. Live'!AL92-'check-Jul25'!AL92)</f>
        <v/>
      </c>
      <c r="AM92" t="str">
        <f>IF('1. Live'!AM92='check-Jul25'!AM92,"",'1. Live'!AM92-'check-Jul25'!AM92)</f>
        <v/>
      </c>
      <c r="AN92" t="str">
        <f>IF('1. Live'!AN92='check-Jul25'!AN92,"",'1. Live'!AN92-'check-Jul25'!AN92)</f>
        <v/>
      </c>
      <c r="AO92" t="str">
        <f>IF('1. Live'!AO92='check-Jul25'!AO92,"",'1. Live'!AO92-'check-Jul25'!AO92)</f>
        <v/>
      </c>
      <c r="AP92" t="str">
        <f>IF('1. Live'!AP92='check-Jul25'!AP92,"",'1. Live'!AP92-'check-Jul25'!AP92)</f>
        <v/>
      </c>
      <c r="AQ92" t="str">
        <f>IF('1. Live'!AQ92='check-Jul25'!AQ92,"",'1. Live'!AQ92-'check-Jul25'!AQ92)</f>
        <v/>
      </c>
      <c r="AR92" t="str">
        <f>IF('1. Live'!AR92='check-Jul25'!AR92,"",'1. Live'!AR92-'check-Jul25'!AR92)</f>
        <v/>
      </c>
      <c r="AS92" t="str">
        <f>IF('1. Live'!AS92='check-Jul25'!AS92,"",'1. Live'!AS92-'check-Jul25'!AS92)</f>
        <v/>
      </c>
      <c r="AT92" t="str">
        <f>IF('1. Live'!AT92='check-Jul25'!AT92,"",'1. Live'!AT92-'check-Jul25'!AT92)</f>
        <v/>
      </c>
      <c r="AU92" t="str">
        <f>IF('1. Live'!AU92='check-Jul25'!AU92,"",'1. Live'!AU92-'check-Jul25'!AU92)</f>
        <v/>
      </c>
      <c r="AV92" t="str">
        <f>IF('1. Live'!AV92='check-Jul25'!AV92,"",'1. Live'!AV92-'check-Jul25'!AV92)</f>
        <v/>
      </c>
      <c r="AW92" t="str">
        <f>IF('1. Live'!AW92='check-Jul25'!AW92,"",'1. Live'!AW92-'check-Jul25'!AW92)</f>
        <v/>
      </c>
      <c r="AX92" t="str">
        <f>IF('1. Live'!AX92='check-Jul25'!AX92,"",'1. Live'!AX92-'check-Jul25'!AX92)</f>
        <v/>
      </c>
      <c r="AY92" t="str">
        <f>IF('1. Live'!AY92='check-Jul25'!AY92,"",'1. Live'!AY92-'check-Jul25'!AY92)</f>
        <v/>
      </c>
      <c r="AZ92" t="str">
        <f>IF('1. Live'!AZ92='check-Jul25'!AZ92,"",'1. Live'!AZ92-'check-Jul25'!AZ92)</f>
        <v/>
      </c>
      <c r="BA92" t="str">
        <f>IF('1. Live'!BA92='check-Jul25'!BA92,"",'1. Live'!BA92-'check-Jul25'!BA92)</f>
        <v/>
      </c>
      <c r="BB92" t="str">
        <f>IF('1. Live'!BB92='check-Jul25'!BB92,"",'1. Live'!BB92-'check-Jul25'!BB92)</f>
        <v/>
      </c>
      <c r="BC92" t="str">
        <f>IF('1. Live'!BC92='check-Jul25'!BC92,"",'1. Live'!BC92-'check-Jul25'!BC92)</f>
        <v/>
      </c>
      <c r="BD92" t="str">
        <f>IF('1. Live'!BD92='check-Jul25'!BD92,"",'1. Live'!BD92-'check-Jul25'!BD92)</f>
        <v/>
      </c>
      <c r="BE92" t="str">
        <f>IF('1. Live'!BE92='check-Jul25'!BE92,"",'1. Live'!BE92-'check-Jul25'!BE92)</f>
        <v/>
      </c>
      <c r="BF92" t="str">
        <f>IF('1. Live'!BF92='check-Jul25'!BF92,"",'1. Live'!BF92-'check-Jul25'!BF92)</f>
        <v/>
      </c>
      <c r="BG92" t="str">
        <f>IF('1. Live'!BG92='check-Jul25'!BG92,"",'1. Live'!BG92-'check-Jul25'!BG92)</f>
        <v/>
      </c>
      <c r="BH92" t="str">
        <f>IF('1. Live'!BH92='check-Jul25'!BH92,"",'1. Live'!BH92-'check-Jul25'!BH92)</f>
        <v/>
      </c>
      <c r="BI92" t="str">
        <f>IF('1. Live'!BI92='check-Jul25'!BI92,"",'1. Live'!BI92-'check-Jul25'!BI92)</f>
        <v/>
      </c>
      <c r="BJ92" t="str">
        <f>IF('1. Live'!BJ92='check-Jul25'!BJ92,"",'1. Live'!BJ92-'check-Jul25'!BJ92)</f>
        <v/>
      </c>
      <c r="BK92" t="str">
        <f>IF('1. Live'!BK92='check-Jul25'!BK92,"",'1. Live'!BK92-'check-Jul25'!BK92)</f>
        <v/>
      </c>
      <c r="BL92" t="str">
        <f>IF('1. Live'!BL92='check-Jul25'!BL92,"",'1. Live'!BL92-'check-Jul25'!BL92)</f>
        <v/>
      </c>
      <c r="BM92" t="str">
        <f>IF('1. Live'!BM92='check-Jul25'!BM92,"",'1. Live'!BM92-'check-Jul25'!BM92)</f>
        <v/>
      </c>
      <c r="BN92" t="str">
        <f>IF('1. Live'!BN92='check-Jul25'!BN92,"",'1. Live'!BN92-'check-Jul25'!BN92)</f>
        <v/>
      </c>
      <c r="BO92" t="str">
        <f>IF('1. Live'!BO92='check-Jul25'!BO92,"",'1. Live'!BO92-'check-Jul25'!BO92)</f>
        <v/>
      </c>
      <c r="BP92" t="str">
        <f>IF('1. Live'!BP92='check-Jul25'!BP92,"",'1. Live'!BP92-'check-Jul25'!BP92)</f>
        <v/>
      </c>
      <c r="BQ92" t="str">
        <f>IF('1. Live'!BQ92='check-Jul25'!BQ92,"",'1. Live'!BQ92-'check-Jul25'!BQ92)</f>
        <v/>
      </c>
      <c r="BR92" t="str">
        <f>IF('1. Live'!BR92='check-Jul25'!BR92,"",'1. Live'!BR92-'check-Jul25'!BR92)</f>
        <v/>
      </c>
      <c r="BS92" t="str">
        <f>IF('1. Live'!BS92='check-Jul25'!BS92,"",'1. Live'!BS92-'check-Jul25'!BS92)</f>
        <v/>
      </c>
      <c r="BT92" t="str">
        <f>IF('1. Live'!BT92='check-Jul25'!BT92,"",'1. Live'!BT92-'check-Jul25'!BT92)</f>
        <v/>
      </c>
      <c r="BU92" t="str">
        <f>IF('1. Live'!BU92='check-Jul25'!BU92,"",'1. Live'!BU92-'check-Jul25'!BU92)</f>
        <v/>
      </c>
      <c r="BV92" t="str">
        <f>IF('1. Live'!BV92='check-Jul25'!BV92,"",'1. Live'!BV92-'check-Jul25'!BV92)</f>
        <v/>
      </c>
      <c r="BW92" t="str">
        <f>IF('1. Live'!BW92='check-Jul25'!BW92,"",'1. Live'!BW92-'check-Jul25'!BW92)</f>
        <v/>
      </c>
      <c r="BX92" t="str">
        <f>IF('1. Live'!BX92='check-Jul25'!BX92,"",'1. Live'!BX92-'check-Jul25'!BX92)</f>
        <v/>
      </c>
      <c r="BY92" t="str">
        <f>IF('1. Live'!BY92='check-Jul25'!BY92,"",'1. Live'!BY92-'check-Jul25'!BY92)</f>
        <v/>
      </c>
      <c r="BZ92" t="str">
        <f>IF('1. Live'!BZ92='check-Jul25'!BZ92,"",'1. Live'!BZ92-'check-Jul25'!BZ92)</f>
        <v/>
      </c>
      <c r="CA92" t="str">
        <f>IF('1. Live'!CA92='check-Jul25'!CA92,"",'1. Live'!CA92-'check-Jul25'!CA92)</f>
        <v/>
      </c>
      <c r="CB92" t="str">
        <f>IF('1. Live'!CB92='check-Jul25'!CB92,"",'1. Live'!CB92-'check-Jul25'!CB92)</f>
        <v/>
      </c>
      <c r="CC92" t="str">
        <f>IF('1. Live'!CC92='check-Jul25'!CC92,"",'1. Live'!CC92-'check-Jul25'!CC92)</f>
        <v/>
      </c>
      <c r="CD92" t="str">
        <f>IF('1. Live'!CD92='check-Jul25'!CD92,"",'1. Live'!CD92-'check-Jul25'!CD92)</f>
        <v/>
      </c>
      <c r="CE92" t="str">
        <f>IF('1. Live'!CE92='check-Jul25'!CE92,"",'1. Live'!CE92-'check-Jul25'!CE92)</f>
        <v/>
      </c>
      <c r="CF92" t="str">
        <f>IF('1. Live'!CF92='check-Jul25'!CF92,"",'1. Live'!CF92-'check-Jul25'!CF92)</f>
        <v/>
      </c>
      <c r="CG92" t="str">
        <f>IF('1. Live'!CG92='check-Jul25'!CG92,"",'1. Live'!CG92-'check-Jul25'!CG92)</f>
        <v/>
      </c>
      <c r="CH92" t="str">
        <f>IF('1. Live'!CH92='check-Jul25'!CH92,"",'1. Live'!CH92-'check-Jul25'!CH92)</f>
        <v/>
      </c>
      <c r="CI92" t="str">
        <f>IF('1. Live'!CI92='check-Jul25'!CI92,"",'1. Live'!CI92-'check-Jul25'!CI92)</f>
        <v/>
      </c>
      <c r="CJ92" t="str">
        <f>IF('1. Live'!CJ92='check-Jul25'!CJ92,"",'1. Live'!CJ92-'check-Jul25'!CJ92)</f>
        <v/>
      </c>
      <c r="CK92" t="str">
        <f>IF('1. Live'!CK92='check-Jul25'!CK92,"",'1. Live'!CK92-'check-Jul25'!CK92)</f>
        <v/>
      </c>
      <c r="CL92" t="str">
        <f>IF('1. Live'!CL92='check-Jul25'!CL92,"",'1. Live'!CL92-'check-Jul25'!CL92)</f>
        <v/>
      </c>
      <c r="CM92" t="str">
        <f>IF('1. Live'!CM92='check-Jul25'!CM92,"",'1. Live'!CM92-'check-Jul25'!CM92)</f>
        <v/>
      </c>
      <c r="CN92" t="str">
        <f>IF('1. Live'!CN92='check-Jul25'!CN92,"",'1. Live'!CN92-'check-Jul25'!CN92)</f>
        <v/>
      </c>
      <c r="CO92" t="str">
        <f>IF('1. Live'!CO92='check-Jul25'!CO92,"",'1. Live'!CO92-'check-Jul25'!CO92)</f>
        <v/>
      </c>
      <c r="CP92" t="str">
        <f>IF('1. Live'!CP92='check-Jul25'!CP92,"",'1. Live'!CP92-'check-Jul25'!CP92)</f>
        <v/>
      </c>
      <c r="CQ92" t="str">
        <f>IF('1. Live'!CQ92='check-Jul25'!CQ92,"",'1. Live'!CQ92-'check-Jul25'!CQ92)</f>
        <v/>
      </c>
      <c r="CR92" t="str">
        <f>IF('1. Live'!CR92='check-Jul25'!CR92,"",'1. Live'!CR92-'check-Jul25'!CR92)</f>
        <v/>
      </c>
      <c r="CS92" t="str">
        <f>IF('1. Live'!CS92='check-Jul25'!CS92,"",'1. Live'!CS92-'check-Jul25'!CS92)</f>
        <v/>
      </c>
      <c r="CT92" t="str">
        <f>IF('1. Live'!CT92='check-Jul25'!CT92,"",'1. Live'!CT92-'check-Jul25'!CT92)</f>
        <v/>
      </c>
      <c r="CU92" t="str">
        <f>IF('1. Live'!CU92='check-Jul25'!CU92,"",'1. Live'!CU92-'check-Jul25'!CU92)</f>
        <v/>
      </c>
      <c r="CV92" t="str">
        <f>IF('1. Live'!CV92='check-Jul25'!CV92,"",'1. Live'!CV92-'check-Jul25'!CV92)</f>
        <v/>
      </c>
      <c r="CW92" t="str">
        <f>IF('1. Live'!CW92='check-Jul25'!CW92,"",'1. Live'!CW92-'check-Jul25'!CW92)</f>
        <v/>
      </c>
    </row>
    <row r="93" spans="10:101">
      <c r="J93" t="str">
        <f>IF('1. Live'!J93='check-Jul25'!J93,"",'1. Live'!J93-'check-Jul25'!J93)</f>
        <v/>
      </c>
      <c r="K93" t="str">
        <f>IF('1. Live'!K93='check-Jul25'!K93,"",'1. Live'!K93-'check-Jul25'!K93)</f>
        <v/>
      </c>
      <c r="L93" t="str">
        <f>IF('1. Live'!L93='check-Jul25'!L93,"",'1. Live'!L93-'check-Jul25'!L93)</f>
        <v/>
      </c>
      <c r="M93" t="str">
        <f>IF('1. Live'!M93='check-Jul25'!M93,"",'1. Live'!M93-'check-Jul25'!M93)</f>
        <v/>
      </c>
      <c r="N93" t="str">
        <f>IF('1. Live'!N93='check-Jul25'!N93,"",'1. Live'!N93-'check-Jul25'!N93)</f>
        <v/>
      </c>
      <c r="O93" t="str">
        <f>IF('1. Live'!O93='check-Jul25'!O93,"",'1. Live'!O93-'check-Jul25'!O93)</f>
        <v/>
      </c>
      <c r="P93" t="str">
        <f>IF('1. Live'!P93='check-Jul25'!P93,"",'1. Live'!P93-'check-Jul25'!P93)</f>
        <v/>
      </c>
      <c r="Q93" t="str">
        <f>IF('1. Live'!Q93='check-Jul25'!Q93,"",'1. Live'!Q93-'check-Jul25'!Q93)</f>
        <v/>
      </c>
      <c r="R93" t="str">
        <f>IF('1. Live'!R93='check-Jul25'!R93,"",'1. Live'!R93-'check-Jul25'!R93)</f>
        <v/>
      </c>
      <c r="S93" t="str">
        <f>IF('1. Live'!S93='check-Jul25'!S93,"",'1. Live'!S93-'check-Jul25'!S93)</f>
        <v/>
      </c>
      <c r="T93" t="str">
        <f>IF('1. Live'!T93='check-Jul25'!T93,"",'1. Live'!T93-'check-Jul25'!T93)</f>
        <v/>
      </c>
      <c r="U93" t="str">
        <f>IF('1. Live'!U93='check-Jul25'!U93,"",'1. Live'!U93-'check-Jul25'!U93)</f>
        <v/>
      </c>
      <c r="V93" t="str">
        <f>IF('1. Live'!V93='check-Jul25'!V93,"",'1. Live'!V93-'check-Jul25'!V93)</f>
        <v/>
      </c>
      <c r="W93" t="str">
        <f>IF('1. Live'!W93='check-Jul25'!W93,"",'1. Live'!W93-'check-Jul25'!W93)</f>
        <v/>
      </c>
      <c r="X93" t="str">
        <f>IF('1. Live'!X93='check-Jul25'!X93,"",'1. Live'!X93-'check-Jul25'!X93)</f>
        <v/>
      </c>
      <c r="Y93" t="str">
        <f>IF('1. Live'!Y93='check-Jul25'!Y93,"",'1. Live'!Y93-'check-Jul25'!Y93)</f>
        <v/>
      </c>
      <c r="Z93" t="str">
        <f>IF('1. Live'!Z93='check-Jul25'!Z93,"",'1. Live'!Z93-'check-Jul25'!Z93)</f>
        <v/>
      </c>
      <c r="AA93" t="str">
        <f>IF('1. Live'!AA93='check-Jul25'!AA93,"",'1. Live'!AA93-'check-Jul25'!AA93)</f>
        <v/>
      </c>
      <c r="AB93" t="str">
        <f>IF('1. Live'!AB93='check-Jul25'!AB93,"",'1. Live'!AB93-'check-Jul25'!AB93)</f>
        <v/>
      </c>
      <c r="AC93" t="str">
        <f>IF('1. Live'!AC93='check-Jul25'!AC93,"",'1. Live'!AC93-'check-Jul25'!AC93)</f>
        <v/>
      </c>
      <c r="AD93" t="str">
        <f>IF('1. Live'!AD93='check-Jul25'!AD93,"",'1. Live'!AD93-'check-Jul25'!AD93)</f>
        <v/>
      </c>
      <c r="AE93" t="str">
        <f>IF('1. Live'!AE93='check-Jul25'!AE93,"",'1. Live'!AE93-'check-Jul25'!AE93)</f>
        <v/>
      </c>
      <c r="AF93" t="str">
        <f>IF('1. Live'!AF93='check-Jul25'!AF93,"",'1. Live'!AF93-'check-Jul25'!AF93)</f>
        <v/>
      </c>
      <c r="AG93" t="str">
        <f>IF('1. Live'!AG93='check-Jul25'!AG93,"",'1. Live'!AG93-'check-Jul25'!AG93)</f>
        <v/>
      </c>
      <c r="AH93" t="str">
        <f>IF('1. Live'!AH93='check-Jul25'!AH93,"",'1. Live'!AH93-'check-Jul25'!AH93)</f>
        <v/>
      </c>
      <c r="AI93" t="str">
        <f>IF('1. Live'!AI93='check-Jul25'!AI93,"",'1. Live'!AI93-'check-Jul25'!AI93)</f>
        <v/>
      </c>
      <c r="AJ93" t="str">
        <f>IF('1. Live'!AJ93='check-Jul25'!AJ93,"",'1. Live'!AJ93-'check-Jul25'!AJ93)</f>
        <v/>
      </c>
      <c r="AK93" t="str">
        <f>IF('1. Live'!AK93='check-Jul25'!AK93,"",'1. Live'!AK93-'check-Jul25'!AK93)</f>
        <v/>
      </c>
      <c r="AL93" t="str">
        <f>IF('1. Live'!AL93='check-Jul25'!AL93,"",'1. Live'!AL93-'check-Jul25'!AL93)</f>
        <v/>
      </c>
      <c r="AM93" t="str">
        <f>IF('1. Live'!AM93='check-Jul25'!AM93,"",'1. Live'!AM93-'check-Jul25'!AM93)</f>
        <v/>
      </c>
      <c r="AN93" t="str">
        <f>IF('1. Live'!AN93='check-Jul25'!AN93,"",'1. Live'!AN93-'check-Jul25'!AN93)</f>
        <v/>
      </c>
      <c r="AO93" t="str">
        <f>IF('1. Live'!AO93='check-Jul25'!AO93,"",'1. Live'!AO93-'check-Jul25'!AO93)</f>
        <v/>
      </c>
      <c r="AP93" t="str">
        <f>IF('1. Live'!AP93='check-Jul25'!AP93,"",'1. Live'!AP93-'check-Jul25'!AP93)</f>
        <v/>
      </c>
      <c r="AQ93" t="str">
        <f>IF('1. Live'!AQ93='check-Jul25'!AQ93,"",'1. Live'!AQ93-'check-Jul25'!AQ93)</f>
        <v/>
      </c>
      <c r="AR93" t="str">
        <f>IF('1. Live'!AR93='check-Jul25'!AR93,"",'1. Live'!AR93-'check-Jul25'!AR93)</f>
        <v/>
      </c>
      <c r="AS93" t="str">
        <f>IF('1. Live'!AS93='check-Jul25'!AS93,"",'1. Live'!AS93-'check-Jul25'!AS93)</f>
        <v/>
      </c>
      <c r="AT93" t="str">
        <f>IF('1. Live'!AT93='check-Jul25'!AT93,"",'1. Live'!AT93-'check-Jul25'!AT93)</f>
        <v/>
      </c>
      <c r="AU93" t="str">
        <f>IF('1. Live'!AU93='check-Jul25'!AU93,"",'1. Live'!AU93-'check-Jul25'!AU93)</f>
        <v/>
      </c>
      <c r="AV93" t="str">
        <f>IF('1. Live'!AV93='check-Jul25'!AV93,"",'1. Live'!AV93-'check-Jul25'!AV93)</f>
        <v/>
      </c>
      <c r="AW93" t="str">
        <f>IF('1. Live'!AW93='check-Jul25'!AW93,"",'1. Live'!AW93-'check-Jul25'!AW93)</f>
        <v/>
      </c>
      <c r="AX93" t="str">
        <f>IF('1. Live'!AX93='check-Jul25'!AX93,"",'1. Live'!AX93-'check-Jul25'!AX93)</f>
        <v/>
      </c>
      <c r="AY93" t="str">
        <f>IF('1. Live'!AY93='check-Jul25'!AY93,"",'1. Live'!AY93-'check-Jul25'!AY93)</f>
        <v/>
      </c>
      <c r="AZ93" t="str">
        <f>IF('1. Live'!AZ93='check-Jul25'!AZ93,"",'1. Live'!AZ93-'check-Jul25'!AZ93)</f>
        <v/>
      </c>
      <c r="BA93" t="str">
        <f>IF('1. Live'!BA93='check-Jul25'!BA93,"",'1. Live'!BA93-'check-Jul25'!BA93)</f>
        <v/>
      </c>
      <c r="BB93" t="str">
        <f>IF('1. Live'!BB93='check-Jul25'!BB93,"",'1. Live'!BB93-'check-Jul25'!BB93)</f>
        <v/>
      </c>
      <c r="BC93" t="str">
        <f>IF('1. Live'!BC93='check-Jul25'!BC93,"",'1. Live'!BC93-'check-Jul25'!BC93)</f>
        <v/>
      </c>
      <c r="BD93" t="str">
        <f>IF('1. Live'!BD93='check-Jul25'!BD93,"",'1. Live'!BD93-'check-Jul25'!BD93)</f>
        <v/>
      </c>
      <c r="BE93" t="str">
        <f>IF('1. Live'!BE93='check-Jul25'!BE93,"",'1. Live'!BE93-'check-Jul25'!BE93)</f>
        <v/>
      </c>
      <c r="BF93" t="str">
        <f>IF('1. Live'!BF93='check-Jul25'!BF93,"",'1. Live'!BF93-'check-Jul25'!BF93)</f>
        <v/>
      </c>
      <c r="BG93" t="str">
        <f>IF('1. Live'!BG93='check-Jul25'!BG93,"",'1. Live'!BG93-'check-Jul25'!BG93)</f>
        <v/>
      </c>
      <c r="BH93" t="str">
        <f>IF('1. Live'!BH93='check-Jul25'!BH93,"",'1. Live'!BH93-'check-Jul25'!BH93)</f>
        <v/>
      </c>
      <c r="BI93" t="str">
        <f>IF('1. Live'!BI93='check-Jul25'!BI93,"",'1. Live'!BI93-'check-Jul25'!BI93)</f>
        <v/>
      </c>
      <c r="BJ93" t="str">
        <f>IF('1. Live'!BJ93='check-Jul25'!BJ93,"",'1. Live'!BJ93-'check-Jul25'!BJ93)</f>
        <v/>
      </c>
      <c r="BK93" t="str">
        <f>IF('1. Live'!BK93='check-Jul25'!BK93,"",'1. Live'!BK93-'check-Jul25'!BK93)</f>
        <v/>
      </c>
      <c r="BL93" t="str">
        <f>IF('1. Live'!BL93='check-Jul25'!BL93,"",'1. Live'!BL93-'check-Jul25'!BL93)</f>
        <v/>
      </c>
      <c r="BM93" t="str">
        <f>IF('1. Live'!BM93='check-Jul25'!BM93,"",'1. Live'!BM93-'check-Jul25'!BM93)</f>
        <v/>
      </c>
      <c r="BN93" t="str">
        <f>IF('1. Live'!BN93='check-Jul25'!BN93,"",'1. Live'!BN93-'check-Jul25'!BN93)</f>
        <v/>
      </c>
      <c r="BO93" t="str">
        <f>IF('1. Live'!BO93='check-Jul25'!BO93,"",'1. Live'!BO93-'check-Jul25'!BO93)</f>
        <v/>
      </c>
      <c r="BP93" t="str">
        <f>IF('1. Live'!BP93='check-Jul25'!BP93,"",'1. Live'!BP93-'check-Jul25'!BP93)</f>
        <v/>
      </c>
      <c r="BQ93" t="str">
        <f>IF('1. Live'!BQ93='check-Jul25'!BQ93,"",'1. Live'!BQ93-'check-Jul25'!BQ93)</f>
        <v/>
      </c>
      <c r="BR93" t="str">
        <f>IF('1. Live'!BR93='check-Jul25'!BR93,"",'1. Live'!BR93-'check-Jul25'!BR93)</f>
        <v/>
      </c>
      <c r="BS93" t="str">
        <f>IF('1. Live'!BS93='check-Jul25'!BS93,"",'1. Live'!BS93-'check-Jul25'!BS93)</f>
        <v/>
      </c>
      <c r="BT93" t="str">
        <f>IF('1. Live'!BT93='check-Jul25'!BT93,"",'1. Live'!BT93-'check-Jul25'!BT93)</f>
        <v/>
      </c>
      <c r="BU93" t="str">
        <f>IF('1. Live'!BU93='check-Jul25'!BU93,"",'1. Live'!BU93-'check-Jul25'!BU93)</f>
        <v/>
      </c>
      <c r="BV93" t="str">
        <f>IF('1. Live'!BV93='check-Jul25'!BV93,"",'1. Live'!BV93-'check-Jul25'!BV93)</f>
        <v/>
      </c>
      <c r="BW93" t="str">
        <f>IF('1. Live'!BW93='check-Jul25'!BW93,"",'1. Live'!BW93-'check-Jul25'!BW93)</f>
        <v/>
      </c>
      <c r="BX93" t="str">
        <f>IF('1. Live'!BX93='check-Jul25'!BX93,"",'1. Live'!BX93-'check-Jul25'!BX93)</f>
        <v/>
      </c>
      <c r="BY93" t="str">
        <f>IF('1. Live'!BY93='check-Jul25'!BY93,"",'1. Live'!BY93-'check-Jul25'!BY93)</f>
        <v/>
      </c>
      <c r="BZ93" t="str">
        <f>IF('1. Live'!BZ93='check-Jul25'!BZ93,"",'1. Live'!BZ93-'check-Jul25'!BZ93)</f>
        <v/>
      </c>
      <c r="CA93" t="str">
        <f>IF('1. Live'!CA93='check-Jul25'!CA93,"",'1. Live'!CA93-'check-Jul25'!CA93)</f>
        <v/>
      </c>
      <c r="CB93" t="str">
        <f>IF('1. Live'!CB93='check-Jul25'!CB93,"",'1. Live'!CB93-'check-Jul25'!CB93)</f>
        <v/>
      </c>
      <c r="CC93" t="str">
        <f>IF('1. Live'!CC93='check-Jul25'!CC93,"",'1. Live'!CC93-'check-Jul25'!CC93)</f>
        <v/>
      </c>
      <c r="CD93" t="str">
        <f>IF('1. Live'!CD93='check-Jul25'!CD93,"",'1. Live'!CD93-'check-Jul25'!CD93)</f>
        <v/>
      </c>
      <c r="CE93" t="str">
        <f>IF('1. Live'!CE93='check-Jul25'!CE93,"",'1. Live'!CE93-'check-Jul25'!CE93)</f>
        <v/>
      </c>
      <c r="CF93" t="str">
        <f>IF('1. Live'!CF93='check-Jul25'!CF93,"",'1. Live'!CF93-'check-Jul25'!CF93)</f>
        <v/>
      </c>
      <c r="CG93" t="str">
        <f>IF('1. Live'!CG93='check-Jul25'!CG93,"",'1. Live'!CG93-'check-Jul25'!CG93)</f>
        <v/>
      </c>
      <c r="CH93" t="str">
        <f>IF('1. Live'!CH93='check-Jul25'!CH93,"",'1. Live'!CH93-'check-Jul25'!CH93)</f>
        <v/>
      </c>
      <c r="CI93" t="str">
        <f>IF('1. Live'!CI93='check-Jul25'!CI93,"",'1. Live'!CI93-'check-Jul25'!CI93)</f>
        <v/>
      </c>
      <c r="CJ93" t="str">
        <f>IF('1. Live'!CJ93='check-Jul25'!CJ93,"",'1. Live'!CJ93-'check-Jul25'!CJ93)</f>
        <v/>
      </c>
      <c r="CK93" t="str">
        <f>IF('1. Live'!CK93='check-Jul25'!CK93,"",'1. Live'!CK93-'check-Jul25'!CK93)</f>
        <v/>
      </c>
      <c r="CL93" t="str">
        <f>IF('1. Live'!CL93='check-Jul25'!CL93,"",'1. Live'!CL93-'check-Jul25'!CL93)</f>
        <v/>
      </c>
      <c r="CM93" t="str">
        <f>IF('1. Live'!CM93='check-Jul25'!CM93,"",'1. Live'!CM93-'check-Jul25'!CM93)</f>
        <v/>
      </c>
      <c r="CN93" t="str">
        <f>IF('1. Live'!CN93='check-Jul25'!CN93,"",'1. Live'!CN93-'check-Jul25'!CN93)</f>
        <v/>
      </c>
      <c r="CO93" t="str">
        <f>IF('1. Live'!CO93='check-Jul25'!CO93,"",'1. Live'!CO93-'check-Jul25'!CO93)</f>
        <v/>
      </c>
      <c r="CP93" t="str">
        <f>IF('1. Live'!CP93='check-Jul25'!CP93,"",'1. Live'!CP93-'check-Jul25'!CP93)</f>
        <v/>
      </c>
      <c r="CQ93" t="str">
        <f>IF('1. Live'!CQ93='check-Jul25'!CQ93,"",'1. Live'!CQ93-'check-Jul25'!CQ93)</f>
        <v/>
      </c>
      <c r="CR93" t="str">
        <f>IF('1. Live'!CR93='check-Jul25'!CR93,"",'1. Live'!CR93-'check-Jul25'!CR93)</f>
        <v/>
      </c>
      <c r="CS93" t="str">
        <f>IF('1. Live'!CS93='check-Jul25'!CS93,"",'1. Live'!CS93-'check-Jul25'!CS93)</f>
        <v/>
      </c>
      <c r="CT93" t="str">
        <f>IF('1. Live'!CT93='check-Jul25'!CT93,"",'1. Live'!CT93-'check-Jul25'!CT93)</f>
        <v/>
      </c>
      <c r="CU93" t="str">
        <f>IF('1. Live'!CU93='check-Jul25'!CU93,"",'1. Live'!CU93-'check-Jul25'!CU93)</f>
        <v/>
      </c>
      <c r="CV93" t="str">
        <f>IF('1. Live'!CV93='check-Jul25'!CV93,"",'1. Live'!CV93-'check-Jul25'!CV93)</f>
        <v/>
      </c>
      <c r="CW93" t="str">
        <f>IF('1. Live'!CW93='check-Jul25'!CW93,"",'1. Live'!CW93-'check-Jul25'!CW93)</f>
        <v/>
      </c>
    </row>
    <row r="94" spans="10:101">
      <c r="J94" t="str">
        <f>IF('1. Live'!J94='check-Jul25'!J94,"",'1. Live'!J94-'check-Jul25'!J94)</f>
        <v/>
      </c>
      <c r="K94" t="str">
        <f>IF('1. Live'!K94='check-Jul25'!K94,"",'1. Live'!K94-'check-Jul25'!K94)</f>
        <v/>
      </c>
      <c r="L94" t="str">
        <f>IF('1. Live'!L94='check-Jul25'!L94,"",'1. Live'!L94-'check-Jul25'!L94)</f>
        <v/>
      </c>
      <c r="M94" t="str">
        <f>IF('1. Live'!M94='check-Jul25'!M94,"",'1. Live'!M94-'check-Jul25'!M94)</f>
        <v/>
      </c>
      <c r="N94" t="str">
        <f>IF('1. Live'!N94='check-Jul25'!N94,"",'1. Live'!N94-'check-Jul25'!N94)</f>
        <v/>
      </c>
      <c r="O94" t="str">
        <f>IF('1. Live'!O94='check-Jul25'!O94,"",'1. Live'!O94-'check-Jul25'!O94)</f>
        <v/>
      </c>
      <c r="P94" t="str">
        <f>IF('1. Live'!P94='check-Jul25'!P94,"",'1. Live'!P94-'check-Jul25'!P94)</f>
        <v/>
      </c>
      <c r="Q94" t="str">
        <f>IF('1. Live'!Q94='check-Jul25'!Q94,"",'1. Live'!Q94-'check-Jul25'!Q94)</f>
        <v/>
      </c>
      <c r="R94" t="str">
        <f>IF('1. Live'!R94='check-Jul25'!R94,"",'1. Live'!R94-'check-Jul25'!R94)</f>
        <v/>
      </c>
      <c r="S94" t="str">
        <f>IF('1. Live'!S94='check-Jul25'!S94,"",'1. Live'!S94-'check-Jul25'!S94)</f>
        <v/>
      </c>
      <c r="T94" t="str">
        <f>IF('1. Live'!T94='check-Jul25'!T94,"",'1. Live'!T94-'check-Jul25'!T94)</f>
        <v/>
      </c>
      <c r="U94" t="str">
        <f>IF('1. Live'!U94='check-Jul25'!U94,"",'1. Live'!U94-'check-Jul25'!U94)</f>
        <v/>
      </c>
      <c r="V94" t="str">
        <f>IF('1. Live'!V94='check-Jul25'!V94,"",'1. Live'!V94-'check-Jul25'!V94)</f>
        <v/>
      </c>
      <c r="W94" t="str">
        <f>IF('1. Live'!W94='check-Jul25'!W94,"",'1. Live'!W94-'check-Jul25'!W94)</f>
        <v/>
      </c>
      <c r="X94" t="str">
        <f>IF('1. Live'!X94='check-Jul25'!X94,"",'1. Live'!X94-'check-Jul25'!X94)</f>
        <v/>
      </c>
      <c r="Y94" t="str">
        <f>IF('1. Live'!Y94='check-Jul25'!Y94,"",'1. Live'!Y94-'check-Jul25'!Y94)</f>
        <v/>
      </c>
      <c r="Z94" t="str">
        <f>IF('1. Live'!Z94='check-Jul25'!Z94,"",'1. Live'!Z94-'check-Jul25'!Z94)</f>
        <v/>
      </c>
      <c r="AA94" t="str">
        <f>IF('1. Live'!AA94='check-Jul25'!AA94,"",'1. Live'!AA94-'check-Jul25'!AA94)</f>
        <v/>
      </c>
      <c r="AB94" t="str">
        <f>IF('1. Live'!AB94='check-Jul25'!AB94,"",'1. Live'!AB94-'check-Jul25'!AB94)</f>
        <v/>
      </c>
      <c r="AC94" t="str">
        <f>IF('1. Live'!AC94='check-Jul25'!AC94,"",'1. Live'!AC94-'check-Jul25'!AC94)</f>
        <v/>
      </c>
      <c r="AD94" t="str">
        <f>IF('1. Live'!AD94='check-Jul25'!AD94,"",'1. Live'!AD94-'check-Jul25'!AD94)</f>
        <v/>
      </c>
      <c r="AE94" t="str">
        <f>IF('1. Live'!AE94='check-Jul25'!AE94,"",'1. Live'!AE94-'check-Jul25'!AE94)</f>
        <v/>
      </c>
      <c r="AF94" t="str">
        <f>IF('1. Live'!AF94='check-Jul25'!AF94,"",'1. Live'!AF94-'check-Jul25'!AF94)</f>
        <v/>
      </c>
      <c r="AG94" t="str">
        <f>IF('1. Live'!AG94='check-Jul25'!AG94,"",'1. Live'!AG94-'check-Jul25'!AG94)</f>
        <v/>
      </c>
      <c r="AH94" t="str">
        <f>IF('1. Live'!AH94='check-Jul25'!AH94,"",'1. Live'!AH94-'check-Jul25'!AH94)</f>
        <v/>
      </c>
      <c r="AI94" t="str">
        <f>IF('1. Live'!AI94='check-Jul25'!AI94,"",'1. Live'!AI94-'check-Jul25'!AI94)</f>
        <v/>
      </c>
      <c r="AJ94" t="str">
        <f>IF('1. Live'!AJ94='check-Jul25'!AJ94,"",'1. Live'!AJ94-'check-Jul25'!AJ94)</f>
        <v/>
      </c>
      <c r="AK94" t="str">
        <f>IF('1. Live'!AK94='check-Jul25'!AK94,"",'1. Live'!AK94-'check-Jul25'!AK94)</f>
        <v/>
      </c>
      <c r="AL94" t="str">
        <f>IF('1. Live'!AL94='check-Jul25'!AL94,"",'1. Live'!AL94-'check-Jul25'!AL94)</f>
        <v/>
      </c>
      <c r="AM94" t="str">
        <f>IF('1. Live'!AM94='check-Jul25'!AM94,"",'1. Live'!AM94-'check-Jul25'!AM94)</f>
        <v/>
      </c>
      <c r="AN94" t="str">
        <f>IF('1. Live'!AN94='check-Jul25'!AN94,"",'1. Live'!AN94-'check-Jul25'!AN94)</f>
        <v/>
      </c>
      <c r="AO94" t="str">
        <f>IF('1. Live'!AO94='check-Jul25'!AO94,"",'1. Live'!AO94-'check-Jul25'!AO94)</f>
        <v/>
      </c>
      <c r="AP94" t="str">
        <f>IF('1. Live'!AP94='check-Jul25'!AP94,"",'1. Live'!AP94-'check-Jul25'!AP94)</f>
        <v/>
      </c>
      <c r="AQ94" t="str">
        <f>IF('1. Live'!AQ94='check-Jul25'!AQ94,"",'1. Live'!AQ94-'check-Jul25'!AQ94)</f>
        <v/>
      </c>
      <c r="AR94" t="str">
        <f>IF('1. Live'!AR94='check-Jul25'!AR94,"",'1. Live'!AR94-'check-Jul25'!AR94)</f>
        <v/>
      </c>
      <c r="AS94" t="str">
        <f>IF('1. Live'!AS94='check-Jul25'!AS94,"",'1. Live'!AS94-'check-Jul25'!AS94)</f>
        <v/>
      </c>
      <c r="AT94" t="str">
        <f>IF('1. Live'!AT94='check-Jul25'!AT94,"",'1. Live'!AT94-'check-Jul25'!AT94)</f>
        <v/>
      </c>
      <c r="AU94" t="str">
        <f>IF('1. Live'!AU94='check-Jul25'!AU94,"",'1. Live'!AU94-'check-Jul25'!AU94)</f>
        <v/>
      </c>
      <c r="AV94" t="str">
        <f>IF('1. Live'!AV94='check-Jul25'!AV94,"",'1. Live'!AV94-'check-Jul25'!AV94)</f>
        <v/>
      </c>
      <c r="AW94" t="str">
        <f>IF('1. Live'!AW94='check-Jul25'!AW94,"",'1. Live'!AW94-'check-Jul25'!AW94)</f>
        <v/>
      </c>
      <c r="AX94" t="str">
        <f>IF('1. Live'!AX94='check-Jul25'!AX94,"",'1. Live'!AX94-'check-Jul25'!AX94)</f>
        <v/>
      </c>
      <c r="AY94" t="str">
        <f>IF('1. Live'!AY94='check-Jul25'!AY94,"",'1. Live'!AY94-'check-Jul25'!AY94)</f>
        <v/>
      </c>
      <c r="AZ94" t="str">
        <f>IF('1. Live'!AZ94='check-Jul25'!AZ94,"",'1. Live'!AZ94-'check-Jul25'!AZ94)</f>
        <v/>
      </c>
      <c r="BA94" t="str">
        <f>IF('1. Live'!BA94='check-Jul25'!BA94,"",'1. Live'!BA94-'check-Jul25'!BA94)</f>
        <v/>
      </c>
      <c r="BB94" t="str">
        <f>IF('1. Live'!BB94='check-Jul25'!BB94,"",'1. Live'!BB94-'check-Jul25'!BB94)</f>
        <v/>
      </c>
      <c r="BC94" t="str">
        <f>IF('1. Live'!BC94='check-Jul25'!BC94,"",'1. Live'!BC94-'check-Jul25'!BC94)</f>
        <v/>
      </c>
      <c r="BD94" t="str">
        <f>IF('1. Live'!BD94='check-Jul25'!BD94,"",'1. Live'!BD94-'check-Jul25'!BD94)</f>
        <v/>
      </c>
      <c r="BE94" t="str">
        <f>IF('1. Live'!BE94='check-Jul25'!BE94,"",'1. Live'!BE94-'check-Jul25'!BE94)</f>
        <v/>
      </c>
      <c r="BF94" t="str">
        <f>IF('1. Live'!BF94='check-Jul25'!BF94,"",'1. Live'!BF94-'check-Jul25'!BF94)</f>
        <v/>
      </c>
      <c r="BG94" t="str">
        <f>IF('1. Live'!BG94='check-Jul25'!BG94,"",'1. Live'!BG94-'check-Jul25'!BG94)</f>
        <v/>
      </c>
      <c r="BH94" t="str">
        <f>IF('1. Live'!BH94='check-Jul25'!BH94,"",'1. Live'!BH94-'check-Jul25'!BH94)</f>
        <v/>
      </c>
      <c r="BI94" t="str">
        <f>IF('1. Live'!BI94='check-Jul25'!BI94,"",'1. Live'!BI94-'check-Jul25'!BI94)</f>
        <v/>
      </c>
      <c r="BJ94" t="str">
        <f>IF('1. Live'!BJ94='check-Jul25'!BJ94,"",'1. Live'!BJ94-'check-Jul25'!BJ94)</f>
        <v/>
      </c>
      <c r="BK94" t="str">
        <f>IF('1. Live'!BK94='check-Jul25'!BK94,"",'1. Live'!BK94-'check-Jul25'!BK94)</f>
        <v/>
      </c>
      <c r="BL94" t="str">
        <f>IF('1. Live'!BL94='check-Jul25'!BL94,"",'1. Live'!BL94-'check-Jul25'!BL94)</f>
        <v/>
      </c>
      <c r="BM94" t="str">
        <f>IF('1. Live'!BM94='check-Jul25'!BM94,"",'1. Live'!BM94-'check-Jul25'!BM94)</f>
        <v/>
      </c>
      <c r="BN94" t="str">
        <f>IF('1. Live'!BN94='check-Jul25'!BN94,"",'1. Live'!BN94-'check-Jul25'!BN94)</f>
        <v/>
      </c>
      <c r="BO94" t="str">
        <f>IF('1. Live'!BO94='check-Jul25'!BO94,"",'1. Live'!BO94-'check-Jul25'!BO94)</f>
        <v/>
      </c>
      <c r="BP94" t="str">
        <f>IF('1. Live'!BP94='check-Jul25'!BP94,"",'1. Live'!BP94-'check-Jul25'!BP94)</f>
        <v/>
      </c>
      <c r="BQ94" t="str">
        <f>IF('1. Live'!BQ94='check-Jul25'!BQ94,"",'1. Live'!BQ94-'check-Jul25'!BQ94)</f>
        <v/>
      </c>
      <c r="BR94" t="str">
        <f>IF('1. Live'!BR94='check-Jul25'!BR94,"",'1. Live'!BR94-'check-Jul25'!BR94)</f>
        <v/>
      </c>
      <c r="BS94" t="str">
        <f>IF('1. Live'!BS94='check-Jul25'!BS94,"",'1. Live'!BS94-'check-Jul25'!BS94)</f>
        <v/>
      </c>
      <c r="BT94" t="str">
        <f>IF('1. Live'!BT94='check-Jul25'!BT94,"",'1. Live'!BT94-'check-Jul25'!BT94)</f>
        <v/>
      </c>
      <c r="BU94" t="str">
        <f>IF('1. Live'!BU94='check-Jul25'!BU94,"",'1. Live'!BU94-'check-Jul25'!BU94)</f>
        <v/>
      </c>
      <c r="BV94" t="str">
        <f>IF('1. Live'!BV94='check-Jul25'!BV94,"",'1. Live'!BV94-'check-Jul25'!BV94)</f>
        <v/>
      </c>
      <c r="BW94" t="str">
        <f>IF('1. Live'!BW94='check-Jul25'!BW94,"",'1. Live'!BW94-'check-Jul25'!BW94)</f>
        <v/>
      </c>
      <c r="BX94" t="str">
        <f>IF('1. Live'!BX94='check-Jul25'!BX94,"",'1. Live'!BX94-'check-Jul25'!BX94)</f>
        <v/>
      </c>
      <c r="BY94" t="str">
        <f>IF('1. Live'!BY94='check-Jul25'!BY94,"",'1. Live'!BY94-'check-Jul25'!BY94)</f>
        <v/>
      </c>
      <c r="BZ94" t="str">
        <f>IF('1. Live'!BZ94='check-Jul25'!BZ94,"",'1. Live'!BZ94-'check-Jul25'!BZ94)</f>
        <v/>
      </c>
      <c r="CA94" t="str">
        <f>IF('1. Live'!CA94='check-Jul25'!CA94,"",'1. Live'!CA94-'check-Jul25'!CA94)</f>
        <v/>
      </c>
      <c r="CB94" t="str">
        <f>IF('1. Live'!CB94='check-Jul25'!CB94,"",'1. Live'!CB94-'check-Jul25'!CB94)</f>
        <v/>
      </c>
      <c r="CC94" t="str">
        <f>IF('1. Live'!CC94='check-Jul25'!CC94,"",'1. Live'!CC94-'check-Jul25'!CC94)</f>
        <v/>
      </c>
      <c r="CD94" t="str">
        <f>IF('1. Live'!CD94='check-Jul25'!CD94,"",'1. Live'!CD94-'check-Jul25'!CD94)</f>
        <v/>
      </c>
      <c r="CE94" t="str">
        <f>IF('1. Live'!CE94='check-Jul25'!CE94,"",'1. Live'!CE94-'check-Jul25'!CE94)</f>
        <v/>
      </c>
      <c r="CF94" t="str">
        <f>IF('1. Live'!CF94='check-Jul25'!CF94,"",'1. Live'!CF94-'check-Jul25'!CF94)</f>
        <v/>
      </c>
      <c r="CG94" t="str">
        <f>IF('1. Live'!CG94='check-Jul25'!CG94,"",'1. Live'!CG94-'check-Jul25'!CG94)</f>
        <v/>
      </c>
      <c r="CH94" t="str">
        <f>IF('1. Live'!CH94='check-Jul25'!CH94,"",'1. Live'!CH94-'check-Jul25'!CH94)</f>
        <v/>
      </c>
      <c r="CI94" t="str">
        <f>IF('1. Live'!CI94='check-Jul25'!CI94,"",'1. Live'!CI94-'check-Jul25'!CI94)</f>
        <v/>
      </c>
      <c r="CJ94" t="str">
        <f>IF('1. Live'!CJ94='check-Jul25'!CJ94,"",'1. Live'!CJ94-'check-Jul25'!CJ94)</f>
        <v/>
      </c>
      <c r="CK94" t="str">
        <f>IF('1. Live'!CK94='check-Jul25'!CK94,"",'1. Live'!CK94-'check-Jul25'!CK94)</f>
        <v/>
      </c>
      <c r="CL94" t="str">
        <f>IF('1. Live'!CL94='check-Jul25'!CL94,"",'1. Live'!CL94-'check-Jul25'!CL94)</f>
        <v/>
      </c>
      <c r="CM94" t="str">
        <f>IF('1. Live'!CM94='check-Jul25'!CM94,"",'1. Live'!CM94-'check-Jul25'!CM94)</f>
        <v/>
      </c>
      <c r="CN94" t="str">
        <f>IF('1. Live'!CN94='check-Jul25'!CN94,"",'1. Live'!CN94-'check-Jul25'!CN94)</f>
        <v/>
      </c>
      <c r="CO94" t="str">
        <f>IF('1. Live'!CO94='check-Jul25'!CO94,"",'1. Live'!CO94-'check-Jul25'!CO94)</f>
        <v/>
      </c>
      <c r="CP94" t="str">
        <f>IF('1. Live'!CP94='check-Jul25'!CP94,"",'1. Live'!CP94-'check-Jul25'!CP94)</f>
        <v/>
      </c>
      <c r="CQ94" t="str">
        <f>IF('1. Live'!CQ94='check-Jul25'!CQ94,"",'1. Live'!CQ94-'check-Jul25'!CQ94)</f>
        <v/>
      </c>
      <c r="CR94" t="str">
        <f>IF('1. Live'!CR94='check-Jul25'!CR94,"",'1. Live'!CR94-'check-Jul25'!CR94)</f>
        <v/>
      </c>
      <c r="CS94" t="str">
        <f>IF('1. Live'!CS94='check-Jul25'!CS94,"",'1. Live'!CS94-'check-Jul25'!CS94)</f>
        <v/>
      </c>
      <c r="CT94" t="str">
        <f>IF('1. Live'!CT94='check-Jul25'!CT94,"",'1. Live'!CT94-'check-Jul25'!CT94)</f>
        <v/>
      </c>
      <c r="CU94" t="str">
        <f>IF('1. Live'!CU94='check-Jul25'!CU94,"",'1. Live'!CU94-'check-Jul25'!CU94)</f>
        <v/>
      </c>
      <c r="CV94" t="str">
        <f>IF('1. Live'!CV94='check-Jul25'!CV94,"",'1. Live'!CV94-'check-Jul25'!CV94)</f>
        <v/>
      </c>
      <c r="CW94" t="str">
        <f>IF('1. Live'!CW94='check-Jul25'!CW94,"",'1. Live'!CW94-'check-Jul25'!CW94)</f>
        <v/>
      </c>
    </row>
    <row r="95" spans="10:101">
      <c r="J95" t="str">
        <f>IF('1. Live'!J95='check-Jul25'!J95,"",'1. Live'!J95-'check-Jul25'!J95)</f>
        <v/>
      </c>
      <c r="K95" t="str">
        <f>IF('1. Live'!K95='check-Jul25'!K95,"",'1. Live'!K95-'check-Jul25'!K95)</f>
        <v/>
      </c>
      <c r="L95" t="str">
        <f>IF('1. Live'!L95='check-Jul25'!L95,"",'1. Live'!L95-'check-Jul25'!L95)</f>
        <v/>
      </c>
      <c r="M95" t="str">
        <f>IF('1. Live'!M95='check-Jul25'!M95,"",'1. Live'!M95-'check-Jul25'!M95)</f>
        <v/>
      </c>
      <c r="N95" t="str">
        <f>IF('1. Live'!N95='check-Jul25'!N95,"",'1. Live'!N95-'check-Jul25'!N95)</f>
        <v/>
      </c>
      <c r="O95" t="str">
        <f>IF('1. Live'!O95='check-Jul25'!O95,"",'1. Live'!O95-'check-Jul25'!O95)</f>
        <v/>
      </c>
      <c r="P95" t="str">
        <f>IF('1. Live'!P95='check-Jul25'!P95,"",'1. Live'!P95-'check-Jul25'!P95)</f>
        <v/>
      </c>
      <c r="Q95" t="str">
        <f>IF('1. Live'!Q95='check-Jul25'!Q95,"",'1. Live'!Q95-'check-Jul25'!Q95)</f>
        <v/>
      </c>
      <c r="R95" t="str">
        <f>IF('1. Live'!R95='check-Jul25'!R95,"",'1. Live'!R95-'check-Jul25'!R95)</f>
        <v/>
      </c>
      <c r="S95" t="str">
        <f>IF('1. Live'!S95='check-Jul25'!S95,"",'1. Live'!S95-'check-Jul25'!S95)</f>
        <v/>
      </c>
      <c r="T95" t="str">
        <f>IF('1. Live'!T95='check-Jul25'!T95,"",'1. Live'!T95-'check-Jul25'!T95)</f>
        <v/>
      </c>
      <c r="U95" t="str">
        <f>IF('1. Live'!U95='check-Jul25'!U95,"",'1. Live'!U95-'check-Jul25'!U95)</f>
        <v/>
      </c>
      <c r="V95" t="str">
        <f>IF('1. Live'!V95='check-Jul25'!V95,"",'1. Live'!V95-'check-Jul25'!V95)</f>
        <v/>
      </c>
      <c r="W95" t="str">
        <f>IF('1. Live'!W95='check-Jul25'!W95,"",'1. Live'!W95-'check-Jul25'!W95)</f>
        <v/>
      </c>
      <c r="X95" t="str">
        <f>IF('1. Live'!X95='check-Jul25'!X95,"",'1. Live'!X95-'check-Jul25'!X95)</f>
        <v/>
      </c>
      <c r="Y95" t="str">
        <f>IF('1. Live'!Y95='check-Jul25'!Y95,"",'1. Live'!Y95-'check-Jul25'!Y95)</f>
        <v/>
      </c>
      <c r="Z95" t="str">
        <f>IF('1. Live'!Z95='check-Jul25'!Z95,"",'1. Live'!Z95-'check-Jul25'!Z95)</f>
        <v/>
      </c>
      <c r="AA95" t="str">
        <f>IF('1. Live'!AA95='check-Jul25'!AA95,"",'1. Live'!AA95-'check-Jul25'!AA95)</f>
        <v/>
      </c>
      <c r="AB95" t="str">
        <f>IF('1. Live'!AB95='check-Jul25'!AB95,"",'1. Live'!AB95-'check-Jul25'!AB95)</f>
        <v/>
      </c>
      <c r="AC95" t="str">
        <f>IF('1. Live'!AC95='check-Jul25'!AC95,"",'1. Live'!AC95-'check-Jul25'!AC95)</f>
        <v/>
      </c>
      <c r="AD95" t="str">
        <f>IF('1. Live'!AD95='check-Jul25'!AD95,"",'1. Live'!AD95-'check-Jul25'!AD95)</f>
        <v/>
      </c>
      <c r="AE95" t="str">
        <f>IF('1. Live'!AE95='check-Jul25'!AE95,"",'1. Live'!AE95-'check-Jul25'!AE95)</f>
        <v/>
      </c>
      <c r="AF95" t="str">
        <f>IF('1. Live'!AF95='check-Jul25'!AF95,"",'1. Live'!AF95-'check-Jul25'!AF95)</f>
        <v/>
      </c>
      <c r="AG95" t="str">
        <f>IF('1. Live'!AG95='check-Jul25'!AG95,"",'1. Live'!AG95-'check-Jul25'!AG95)</f>
        <v/>
      </c>
      <c r="AH95" t="str">
        <f>IF('1. Live'!AH95='check-Jul25'!AH95,"",'1. Live'!AH95-'check-Jul25'!AH95)</f>
        <v/>
      </c>
      <c r="AI95" t="str">
        <f>IF('1. Live'!AI95='check-Jul25'!AI95,"",'1. Live'!AI95-'check-Jul25'!AI95)</f>
        <v/>
      </c>
      <c r="AJ95" t="str">
        <f>IF('1. Live'!AJ95='check-Jul25'!AJ95,"",'1. Live'!AJ95-'check-Jul25'!AJ95)</f>
        <v/>
      </c>
      <c r="AK95" t="str">
        <f>IF('1. Live'!AK95='check-Jul25'!AK95,"",'1. Live'!AK95-'check-Jul25'!AK95)</f>
        <v/>
      </c>
      <c r="AL95" t="str">
        <f>IF('1. Live'!AL95='check-Jul25'!AL95,"",'1. Live'!AL95-'check-Jul25'!AL95)</f>
        <v/>
      </c>
      <c r="AM95" t="str">
        <f>IF('1. Live'!AM95='check-Jul25'!AM95,"",'1. Live'!AM95-'check-Jul25'!AM95)</f>
        <v/>
      </c>
      <c r="AN95" t="str">
        <f>IF('1. Live'!AN95='check-Jul25'!AN95,"",'1. Live'!AN95-'check-Jul25'!AN95)</f>
        <v/>
      </c>
      <c r="AO95" t="str">
        <f>IF('1. Live'!AO95='check-Jul25'!AO95,"",'1. Live'!AO95-'check-Jul25'!AO95)</f>
        <v/>
      </c>
      <c r="AP95" t="str">
        <f>IF('1. Live'!AP95='check-Jul25'!AP95,"",'1. Live'!AP95-'check-Jul25'!AP95)</f>
        <v/>
      </c>
      <c r="AQ95" t="str">
        <f>IF('1. Live'!AQ95='check-Jul25'!AQ95,"",'1. Live'!AQ95-'check-Jul25'!AQ95)</f>
        <v/>
      </c>
      <c r="AR95" t="str">
        <f>IF('1. Live'!AR95='check-Jul25'!AR95,"",'1. Live'!AR95-'check-Jul25'!AR95)</f>
        <v/>
      </c>
      <c r="AS95" t="str">
        <f>IF('1. Live'!AS95='check-Jul25'!AS95,"",'1. Live'!AS95-'check-Jul25'!AS95)</f>
        <v/>
      </c>
      <c r="AT95" t="str">
        <f>IF('1. Live'!AT95='check-Jul25'!AT95,"",'1. Live'!AT95-'check-Jul25'!AT95)</f>
        <v/>
      </c>
      <c r="AU95" t="str">
        <f>IF('1. Live'!AU95='check-Jul25'!AU95,"",'1. Live'!AU95-'check-Jul25'!AU95)</f>
        <v/>
      </c>
      <c r="AV95" t="str">
        <f>IF('1. Live'!AV95='check-Jul25'!AV95,"",'1. Live'!AV95-'check-Jul25'!AV95)</f>
        <v/>
      </c>
      <c r="AW95" t="str">
        <f>IF('1. Live'!AW95='check-Jul25'!AW95,"",'1. Live'!AW95-'check-Jul25'!AW95)</f>
        <v/>
      </c>
      <c r="AX95" t="str">
        <f>IF('1. Live'!AX95='check-Jul25'!AX95,"",'1. Live'!AX95-'check-Jul25'!AX95)</f>
        <v/>
      </c>
      <c r="AY95" t="str">
        <f>IF('1. Live'!AY95='check-Jul25'!AY95,"",'1. Live'!AY95-'check-Jul25'!AY95)</f>
        <v/>
      </c>
      <c r="AZ95" t="str">
        <f>IF('1. Live'!AZ95='check-Jul25'!AZ95,"",'1. Live'!AZ95-'check-Jul25'!AZ95)</f>
        <v/>
      </c>
      <c r="BA95" t="str">
        <f>IF('1. Live'!BA95='check-Jul25'!BA95,"",'1. Live'!BA95-'check-Jul25'!BA95)</f>
        <v/>
      </c>
      <c r="BB95" t="str">
        <f>IF('1. Live'!BB95='check-Jul25'!BB95,"",'1. Live'!BB95-'check-Jul25'!BB95)</f>
        <v/>
      </c>
      <c r="BC95" t="str">
        <f>IF('1. Live'!BC95='check-Jul25'!BC95,"",'1. Live'!BC95-'check-Jul25'!BC95)</f>
        <v/>
      </c>
      <c r="BD95" t="str">
        <f>IF('1. Live'!BD95='check-Jul25'!BD95,"",'1. Live'!BD95-'check-Jul25'!BD95)</f>
        <v/>
      </c>
      <c r="BE95" t="str">
        <f>IF('1. Live'!BE95='check-Jul25'!BE95,"",'1. Live'!BE95-'check-Jul25'!BE95)</f>
        <v/>
      </c>
      <c r="BF95" t="str">
        <f>IF('1. Live'!BF95='check-Jul25'!BF95,"",'1. Live'!BF95-'check-Jul25'!BF95)</f>
        <v/>
      </c>
      <c r="BG95" t="str">
        <f>IF('1. Live'!BG95='check-Jul25'!BG95,"",'1. Live'!BG95-'check-Jul25'!BG95)</f>
        <v/>
      </c>
      <c r="BH95" t="str">
        <f>IF('1. Live'!BH95='check-Jul25'!BH95,"",'1. Live'!BH95-'check-Jul25'!BH95)</f>
        <v/>
      </c>
      <c r="BI95" t="str">
        <f>IF('1. Live'!BI95='check-Jul25'!BI95,"",'1. Live'!BI95-'check-Jul25'!BI95)</f>
        <v/>
      </c>
      <c r="BJ95" t="str">
        <f>IF('1. Live'!BJ95='check-Jul25'!BJ95,"",'1. Live'!BJ95-'check-Jul25'!BJ95)</f>
        <v/>
      </c>
      <c r="BK95" t="str">
        <f>IF('1. Live'!BK95='check-Jul25'!BK95,"",'1. Live'!BK95-'check-Jul25'!BK95)</f>
        <v/>
      </c>
      <c r="BL95" t="str">
        <f>IF('1. Live'!BL95='check-Jul25'!BL95,"",'1. Live'!BL95-'check-Jul25'!BL95)</f>
        <v/>
      </c>
      <c r="BM95" t="str">
        <f>IF('1. Live'!BM95='check-Jul25'!BM95,"",'1. Live'!BM95-'check-Jul25'!BM95)</f>
        <v/>
      </c>
      <c r="BN95" t="str">
        <f>IF('1. Live'!BN95='check-Jul25'!BN95,"",'1. Live'!BN95-'check-Jul25'!BN95)</f>
        <v/>
      </c>
      <c r="BO95" t="str">
        <f>IF('1. Live'!BO95='check-Jul25'!BO95,"",'1. Live'!BO95-'check-Jul25'!BO95)</f>
        <v/>
      </c>
      <c r="BP95" t="str">
        <f>IF('1. Live'!BP95='check-Jul25'!BP95,"",'1. Live'!BP95-'check-Jul25'!BP95)</f>
        <v/>
      </c>
      <c r="BQ95" t="str">
        <f>IF('1. Live'!BQ95='check-Jul25'!BQ95,"",'1. Live'!BQ95-'check-Jul25'!BQ95)</f>
        <v/>
      </c>
      <c r="BR95" t="str">
        <f>IF('1. Live'!BR95='check-Jul25'!BR95,"",'1. Live'!BR95-'check-Jul25'!BR95)</f>
        <v/>
      </c>
      <c r="BS95" t="str">
        <f>IF('1. Live'!BS95='check-Jul25'!BS95,"",'1. Live'!BS95-'check-Jul25'!BS95)</f>
        <v/>
      </c>
      <c r="BT95" t="str">
        <f>IF('1. Live'!BT95='check-Jul25'!BT95,"",'1. Live'!BT95-'check-Jul25'!BT95)</f>
        <v/>
      </c>
      <c r="BU95" t="str">
        <f>IF('1. Live'!BU95='check-Jul25'!BU95,"",'1. Live'!BU95-'check-Jul25'!BU95)</f>
        <v/>
      </c>
      <c r="BV95" t="str">
        <f>IF('1. Live'!BV95='check-Jul25'!BV95,"",'1. Live'!BV95-'check-Jul25'!BV95)</f>
        <v/>
      </c>
      <c r="BW95" t="str">
        <f>IF('1. Live'!BW95='check-Jul25'!BW95,"",'1. Live'!BW95-'check-Jul25'!BW95)</f>
        <v/>
      </c>
      <c r="BX95" t="str">
        <f>IF('1. Live'!BX95='check-Jul25'!BX95,"",'1. Live'!BX95-'check-Jul25'!BX95)</f>
        <v/>
      </c>
      <c r="BY95" t="str">
        <f>IF('1. Live'!BY95='check-Jul25'!BY95,"",'1. Live'!BY95-'check-Jul25'!BY95)</f>
        <v/>
      </c>
      <c r="BZ95" t="str">
        <f>IF('1. Live'!BZ95='check-Jul25'!BZ95,"",'1. Live'!BZ95-'check-Jul25'!BZ95)</f>
        <v/>
      </c>
      <c r="CA95" t="str">
        <f>IF('1. Live'!CA95='check-Jul25'!CA95,"",'1. Live'!CA95-'check-Jul25'!CA95)</f>
        <v/>
      </c>
      <c r="CB95" t="str">
        <f>IF('1. Live'!CB95='check-Jul25'!CB95,"",'1. Live'!CB95-'check-Jul25'!CB95)</f>
        <v/>
      </c>
      <c r="CC95" t="str">
        <f>IF('1. Live'!CC95='check-Jul25'!CC95,"",'1. Live'!CC95-'check-Jul25'!CC95)</f>
        <v/>
      </c>
      <c r="CD95" t="str">
        <f>IF('1. Live'!CD95='check-Jul25'!CD95,"",'1. Live'!CD95-'check-Jul25'!CD95)</f>
        <v/>
      </c>
      <c r="CE95" t="str">
        <f>IF('1. Live'!CE95='check-Jul25'!CE95,"",'1. Live'!CE95-'check-Jul25'!CE95)</f>
        <v/>
      </c>
      <c r="CF95" t="str">
        <f>IF('1. Live'!CF95='check-Jul25'!CF95,"",'1. Live'!CF95-'check-Jul25'!CF95)</f>
        <v/>
      </c>
      <c r="CG95" t="str">
        <f>IF('1. Live'!CG95='check-Jul25'!CG95,"",'1. Live'!CG95-'check-Jul25'!CG95)</f>
        <v/>
      </c>
      <c r="CH95" t="str">
        <f>IF('1. Live'!CH95='check-Jul25'!CH95,"",'1. Live'!CH95-'check-Jul25'!CH95)</f>
        <v/>
      </c>
      <c r="CI95" t="str">
        <f>IF('1. Live'!CI95='check-Jul25'!CI95,"",'1. Live'!CI95-'check-Jul25'!CI95)</f>
        <v/>
      </c>
      <c r="CJ95" t="str">
        <f>IF('1. Live'!CJ95='check-Jul25'!CJ95,"",'1. Live'!CJ95-'check-Jul25'!CJ95)</f>
        <v/>
      </c>
      <c r="CK95" t="str">
        <f>IF('1. Live'!CK95='check-Jul25'!CK95,"",'1. Live'!CK95-'check-Jul25'!CK95)</f>
        <v/>
      </c>
      <c r="CL95" t="str">
        <f>IF('1. Live'!CL95='check-Jul25'!CL95,"",'1. Live'!CL95-'check-Jul25'!CL95)</f>
        <v/>
      </c>
      <c r="CM95" t="str">
        <f>IF('1. Live'!CM95='check-Jul25'!CM95,"",'1. Live'!CM95-'check-Jul25'!CM95)</f>
        <v/>
      </c>
      <c r="CN95" t="str">
        <f>IF('1. Live'!CN95='check-Jul25'!CN95,"",'1. Live'!CN95-'check-Jul25'!CN95)</f>
        <v/>
      </c>
      <c r="CO95" t="str">
        <f>IF('1. Live'!CO95='check-Jul25'!CO95,"",'1. Live'!CO95-'check-Jul25'!CO95)</f>
        <v/>
      </c>
      <c r="CP95" t="str">
        <f>IF('1. Live'!CP95='check-Jul25'!CP95,"",'1. Live'!CP95-'check-Jul25'!CP95)</f>
        <v/>
      </c>
      <c r="CQ95" t="str">
        <f>IF('1. Live'!CQ95='check-Jul25'!CQ95,"",'1. Live'!CQ95-'check-Jul25'!CQ95)</f>
        <v/>
      </c>
      <c r="CR95" t="str">
        <f>IF('1. Live'!CR95='check-Jul25'!CR95,"",'1. Live'!CR95-'check-Jul25'!CR95)</f>
        <v/>
      </c>
      <c r="CS95" t="str">
        <f>IF('1. Live'!CS95='check-Jul25'!CS95,"",'1. Live'!CS95-'check-Jul25'!CS95)</f>
        <v/>
      </c>
      <c r="CT95" t="str">
        <f>IF('1. Live'!CT95='check-Jul25'!CT95,"",'1. Live'!CT95-'check-Jul25'!CT95)</f>
        <v/>
      </c>
      <c r="CU95" t="str">
        <f>IF('1. Live'!CU95='check-Jul25'!CU95,"",'1. Live'!CU95-'check-Jul25'!CU95)</f>
        <v/>
      </c>
      <c r="CV95" t="str">
        <f>IF('1. Live'!CV95='check-Jul25'!CV95,"",'1. Live'!CV95-'check-Jul25'!CV95)</f>
        <v/>
      </c>
      <c r="CW95" t="str">
        <f>IF('1. Live'!CW95='check-Jul25'!CW95,"",'1. Live'!CW95-'check-Jul25'!CW95)</f>
        <v/>
      </c>
    </row>
    <row r="96" spans="10:101">
      <c r="J96" t="str">
        <f>IF('1. Live'!J96='check-Jul25'!J96,"",'1. Live'!J96-'check-Jul25'!J96)</f>
        <v/>
      </c>
      <c r="K96" t="str">
        <f>IF('1. Live'!K96='check-Jul25'!K96,"",'1. Live'!K96-'check-Jul25'!K96)</f>
        <v/>
      </c>
      <c r="L96" t="str">
        <f>IF('1. Live'!L96='check-Jul25'!L96,"",'1. Live'!L96-'check-Jul25'!L96)</f>
        <v/>
      </c>
      <c r="M96" t="str">
        <f>IF('1. Live'!M96='check-Jul25'!M96,"",'1. Live'!M96-'check-Jul25'!M96)</f>
        <v/>
      </c>
      <c r="N96" t="str">
        <f>IF('1. Live'!N96='check-Jul25'!N96,"",'1. Live'!N96-'check-Jul25'!N96)</f>
        <v/>
      </c>
      <c r="O96" t="str">
        <f>IF('1. Live'!O96='check-Jul25'!O96,"",'1. Live'!O96-'check-Jul25'!O96)</f>
        <v/>
      </c>
      <c r="P96" t="str">
        <f>IF('1. Live'!P96='check-Jul25'!P96,"",'1. Live'!P96-'check-Jul25'!P96)</f>
        <v/>
      </c>
      <c r="Q96" t="str">
        <f>IF('1. Live'!Q96='check-Jul25'!Q96,"",'1. Live'!Q96-'check-Jul25'!Q96)</f>
        <v/>
      </c>
      <c r="R96" t="str">
        <f>IF('1. Live'!R96='check-Jul25'!R96,"",'1. Live'!R96-'check-Jul25'!R96)</f>
        <v/>
      </c>
      <c r="S96" t="str">
        <f>IF('1. Live'!S96='check-Jul25'!S96,"",'1. Live'!S96-'check-Jul25'!S96)</f>
        <v/>
      </c>
      <c r="T96" t="str">
        <f>IF('1. Live'!T96='check-Jul25'!T96,"",'1. Live'!T96-'check-Jul25'!T96)</f>
        <v/>
      </c>
      <c r="U96" t="str">
        <f>IF('1. Live'!U96='check-Jul25'!U96,"",'1. Live'!U96-'check-Jul25'!U96)</f>
        <v/>
      </c>
      <c r="V96" t="str">
        <f>IF('1. Live'!V96='check-Jul25'!V96,"",'1. Live'!V96-'check-Jul25'!V96)</f>
        <v/>
      </c>
      <c r="W96" t="str">
        <f>IF('1. Live'!W96='check-Jul25'!W96,"",'1. Live'!W96-'check-Jul25'!W96)</f>
        <v/>
      </c>
      <c r="X96" t="str">
        <f>IF('1. Live'!X96='check-Jul25'!X96,"",'1. Live'!X96-'check-Jul25'!X96)</f>
        <v/>
      </c>
      <c r="Y96" t="str">
        <f>IF('1. Live'!Y96='check-Jul25'!Y96,"",'1. Live'!Y96-'check-Jul25'!Y96)</f>
        <v/>
      </c>
      <c r="Z96" t="str">
        <f>IF('1. Live'!Z96='check-Jul25'!Z96,"",'1. Live'!Z96-'check-Jul25'!Z96)</f>
        <v/>
      </c>
      <c r="AA96" t="str">
        <f>IF('1. Live'!AA96='check-Jul25'!AA96,"",'1. Live'!AA96-'check-Jul25'!AA96)</f>
        <v/>
      </c>
      <c r="AB96" t="str">
        <f>IF('1. Live'!AB96='check-Jul25'!AB96,"",'1. Live'!AB96-'check-Jul25'!AB96)</f>
        <v/>
      </c>
      <c r="AC96" t="str">
        <f>IF('1. Live'!AC96='check-Jul25'!AC96,"",'1. Live'!AC96-'check-Jul25'!AC96)</f>
        <v/>
      </c>
      <c r="AD96" t="str">
        <f>IF('1. Live'!AD96='check-Jul25'!AD96,"",'1. Live'!AD96-'check-Jul25'!AD96)</f>
        <v/>
      </c>
      <c r="AE96" t="str">
        <f>IF('1. Live'!AE96='check-Jul25'!AE96,"",'1. Live'!AE96-'check-Jul25'!AE96)</f>
        <v/>
      </c>
      <c r="AF96" t="str">
        <f>IF('1. Live'!AF96='check-Jul25'!AF96,"",'1. Live'!AF96-'check-Jul25'!AF96)</f>
        <v/>
      </c>
      <c r="AG96" t="str">
        <f>IF('1. Live'!AG96='check-Jul25'!AG96,"",'1. Live'!AG96-'check-Jul25'!AG96)</f>
        <v/>
      </c>
      <c r="AH96" t="str">
        <f>IF('1. Live'!AH96='check-Jul25'!AH96,"",'1. Live'!AH96-'check-Jul25'!AH96)</f>
        <v/>
      </c>
      <c r="AI96" t="str">
        <f>IF('1. Live'!AI96='check-Jul25'!AI96,"",'1. Live'!AI96-'check-Jul25'!AI96)</f>
        <v/>
      </c>
      <c r="AJ96" t="str">
        <f>IF('1. Live'!AJ96='check-Jul25'!AJ96,"",'1. Live'!AJ96-'check-Jul25'!AJ96)</f>
        <v/>
      </c>
      <c r="AK96" t="str">
        <f>IF('1. Live'!AK96='check-Jul25'!AK96,"",'1. Live'!AK96-'check-Jul25'!AK96)</f>
        <v/>
      </c>
      <c r="AL96" t="str">
        <f>IF('1. Live'!AL96='check-Jul25'!AL96,"",'1. Live'!AL96-'check-Jul25'!AL96)</f>
        <v/>
      </c>
      <c r="AM96" t="str">
        <f>IF('1. Live'!AM96='check-Jul25'!AM96,"",'1. Live'!AM96-'check-Jul25'!AM96)</f>
        <v/>
      </c>
      <c r="AN96" t="str">
        <f>IF('1. Live'!AN96='check-Jul25'!AN96,"",'1. Live'!AN96-'check-Jul25'!AN96)</f>
        <v/>
      </c>
      <c r="AO96" t="str">
        <f>IF('1. Live'!AO96='check-Jul25'!AO96,"",'1. Live'!AO96-'check-Jul25'!AO96)</f>
        <v/>
      </c>
      <c r="AP96" t="str">
        <f>IF('1. Live'!AP96='check-Jul25'!AP96,"",'1. Live'!AP96-'check-Jul25'!AP96)</f>
        <v/>
      </c>
      <c r="AQ96" t="str">
        <f>IF('1. Live'!AQ96='check-Jul25'!AQ96,"",'1. Live'!AQ96-'check-Jul25'!AQ96)</f>
        <v/>
      </c>
      <c r="AR96" t="str">
        <f>IF('1. Live'!AR96='check-Jul25'!AR96,"",'1. Live'!AR96-'check-Jul25'!AR96)</f>
        <v/>
      </c>
      <c r="AS96" t="str">
        <f>IF('1. Live'!AS96='check-Jul25'!AS96,"",'1. Live'!AS96-'check-Jul25'!AS96)</f>
        <v/>
      </c>
      <c r="AT96" t="str">
        <f>IF('1. Live'!AT96='check-Jul25'!AT96,"",'1. Live'!AT96-'check-Jul25'!AT96)</f>
        <v/>
      </c>
      <c r="AU96" t="str">
        <f>IF('1. Live'!AU96='check-Jul25'!AU96,"",'1. Live'!AU96-'check-Jul25'!AU96)</f>
        <v/>
      </c>
      <c r="AV96" t="str">
        <f>IF('1. Live'!AV96='check-Jul25'!AV96,"",'1. Live'!AV96-'check-Jul25'!AV96)</f>
        <v/>
      </c>
      <c r="AW96" t="str">
        <f>IF('1. Live'!AW96='check-Jul25'!AW96,"",'1. Live'!AW96-'check-Jul25'!AW96)</f>
        <v/>
      </c>
      <c r="AX96" t="str">
        <f>IF('1. Live'!AX96='check-Jul25'!AX96,"",'1. Live'!AX96-'check-Jul25'!AX96)</f>
        <v/>
      </c>
      <c r="AY96" t="str">
        <f>IF('1. Live'!AY96='check-Jul25'!AY96,"",'1. Live'!AY96-'check-Jul25'!AY96)</f>
        <v/>
      </c>
      <c r="AZ96" t="str">
        <f>IF('1. Live'!AZ96='check-Jul25'!AZ96,"",'1. Live'!AZ96-'check-Jul25'!AZ96)</f>
        <v/>
      </c>
      <c r="BA96" t="str">
        <f>IF('1. Live'!BA96='check-Jul25'!BA96,"",'1. Live'!BA96-'check-Jul25'!BA96)</f>
        <v/>
      </c>
      <c r="BB96" t="str">
        <f>IF('1. Live'!BB96='check-Jul25'!BB96,"",'1. Live'!BB96-'check-Jul25'!BB96)</f>
        <v/>
      </c>
      <c r="BC96" t="str">
        <f>IF('1. Live'!BC96='check-Jul25'!BC96,"",'1. Live'!BC96-'check-Jul25'!BC96)</f>
        <v/>
      </c>
      <c r="BD96" t="str">
        <f>IF('1. Live'!BD96='check-Jul25'!BD96,"",'1. Live'!BD96-'check-Jul25'!BD96)</f>
        <v/>
      </c>
      <c r="BE96" t="str">
        <f>IF('1. Live'!BE96='check-Jul25'!BE96,"",'1. Live'!BE96-'check-Jul25'!BE96)</f>
        <v/>
      </c>
      <c r="BF96" t="str">
        <f>IF('1. Live'!BF96='check-Jul25'!BF96,"",'1. Live'!BF96-'check-Jul25'!BF96)</f>
        <v/>
      </c>
      <c r="BG96" t="str">
        <f>IF('1. Live'!BG96='check-Jul25'!BG96,"",'1. Live'!BG96-'check-Jul25'!BG96)</f>
        <v/>
      </c>
      <c r="BH96" t="str">
        <f>IF('1. Live'!BH96='check-Jul25'!BH96,"",'1. Live'!BH96-'check-Jul25'!BH96)</f>
        <v/>
      </c>
      <c r="BI96" t="str">
        <f>IF('1. Live'!BI96='check-Jul25'!BI96,"",'1. Live'!BI96-'check-Jul25'!BI96)</f>
        <v/>
      </c>
      <c r="BJ96" t="str">
        <f>IF('1. Live'!BJ96='check-Jul25'!BJ96,"",'1. Live'!BJ96-'check-Jul25'!BJ96)</f>
        <v/>
      </c>
      <c r="BK96" t="str">
        <f>IF('1. Live'!BK96='check-Jul25'!BK96,"",'1. Live'!BK96-'check-Jul25'!BK96)</f>
        <v/>
      </c>
      <c r="BL96" t="str">
        <f>IF('1. Live'!BL96='check-Jul25'!BL96,"",'1. Live'!BL96-'check-Jul25'!BL96)</f>
        <v/>
      </c>
      <c r="BM96" t="str">
        <f>IF('1. Live'!BM96='check-Jul25'!BM96,"",'1. Live'!BM96-'check-Jul25'!BM96)</f>
        <v/>
      </c>
      <c r="BN96" t="str">
        <f>IF('1. Live'!BN96='check-Jul25'!BN96,"",'1. Live'!BN96-'check-Jul25'!BN96)</f>
        <v/>
      </c>
      <c r="BO96" t="str">
        <f>IF('1. Live'!BO96='check-Jul25'!BO96,"",'1. Live'!BO96-'check-Jul25'!BO96)</f>
        <v/>
      </c>
      <c r="BP96" t="str">
        <f>IF('1. Live'!BP96='check-Jul25'!BP96,"",'1. Live'!BP96-'check-Jul25'!BP96)</f>
        <v/>
      </c>
      <c r="BQ96" t="str">
        <f>IF('1. Live'!BQ96='check-Jul25'!BQ96,"",'1. Live'!BQ96-'check-Jul25'!BQ96)</f>
        <v/>
      </c>
      <c r="BR96" t="str">
        <f>IF('1. Live'!BR96='check-Jul25'!BR96,"",'1. Live'!BR96-'check-Jul25'!BR96)</f>
        <v/>
      </c>
      <c r="BS96" t="str">
        <f>IF('1. Live'!BS96='check-Jul25'!BS96,"",'1. Live'!BS96-'check-Jul25'!BS96)</f>
        <v/>
      </c>
      <c r="BT96" t="str">
        <f>IF('1. Live'!BT96='check-Jul25'!BT96,"",'1. Live'!BT96-'check-Jul25'!BT96)</f>
        <v/>
      </c>
      <c r="BU96" t="str">
        <f>IF('1. Live'!BU96='check-Jul25'!BU96,"",'1. Live'!BU96-'check-Jul25'!BU96)</f>
        <v/>
      </c>
      <c r="BV96" t="str">
        <f>IF('1. Live'!BV96='check-Jul25'!BV96,"",'1. Live'!BV96-'check-Jul25'!BV96)</f>
        <v/>
      </c>
      <c r="BW96" t="str">
        <f>IF('1. Live'!BW96='check-Jul25'!BW96,"",'1. Live'!BW96-'check-Jul25'!BW96)</f>
        <v/>
      </c>
      <c r="BX96" t="str">
        <f>IF('1. Live'!BX96='check-Jul25'!BX96,"",'1. Live'!BX96-'check-Jul25'!BX96)</f>
        <v/>
      </c>
      <c r="BY96" t="str">
        <f>IF('1. Live'!BY96='check-Jul25'!BY96,"",'1. Live'!BY96-'check-Jul25'!BY96)</f>
        <v/>
      </c>
      <c r="BZ96" t="str">
        <f>IF('1. Live'!BZ96='check-Jul25'!BZ96,"",'1. Live'!BZ96-'check-Jul25'!BZ96)</f>
        <v/>
      </c>
      <c r="CA96" t="str">
        <f>IF('1. Live'!CA96='check-Jul25'!CA96,"",'1. Live'!CA96-'check-Jul25'!CA96)</f>
        <v/>
      </c>
      <c r="CB96" t="str">
        <f>IF('1. Live'!CB96='check-Jul25'!CB96,"",'1. Live'!CB96-'check-Jul25'!CB96)</f>
        <v/>
      </c>
      <c r="CC96" t="str">
        <f>IF('1. Live'!CC96='check-Jul25'!CC96,"",'1. Live'!CC96-'check-Jul25'!CC96)</f>
        <v/>
      </c>
      <c r="CD96" t="str">
        <f>IF('1. Live'!CD96='check-Jul25'!CD96,"",'1. Live'!CD96-'check-Jul25'!CD96)</f>
        <v/>
      </c>
      <c r="CE96" t="str">
        <f>IF('1. Live'!CE96='check-Jul25'!CE96,"",'1. Live'!CE96-'check-Jul25'!CE96)</f>
        <v/>
      </c>
      <c r="CF96" t="str">
        <f>IF('1. Live'!CF96='check-Jul25'!CF96,"",'1. Live'!CF96-'check-Jul25'!CF96)</f>
        <v/>
      </c>
      <c r="CG96" t="str">
        <f>IF('1. Live'!CG96='check-Jul25'!CG96,"",'1. Live'!CG96-'check-Jul25'!CG96)</f>
        <v/>
      </c>
      <c r="CH96" t="str">
        <f>IF('1. Live'!CH96='check-Jul25'!CH96,"",'1. Live'!CH96-'check-Jul25'!CH96)</f>
        <v/>
      </c>
      <c r="CI96" t="str">
        <f>IF('1. Live'!CI96='check-Jul25'!CI96,"",'1. Live'!CI96-'check-Jul25'!CI96)</f>
        <v/>
      </c>
      <c r="CJ96" t="str">
        <f>IF('1. Live'!CJ96='check-Jul25'!CJ96,"",'1. Live'!CJ96-'check-Jul25'!CJ96)</f>
        <v/>
      </c>
      <c r="CK96" t="str">
        <f>IF('1. Live'!CK96='check-Jul25'!CK96,"",'1. Live'!CK96-'check-Jul25'!CK96)</f>
        <v/>
      </c>
      <c r="CL96" t="str">
        <f>IF('1. Live'!CL96='check-Jul25'!CL96,"",'1. Live'!CL96-'check-Jul25'!CL96)</f>
        <v/>
      </c>
      <c r="CM96" t="str">
        <f>IF('1. Live'!CM96='check-Jul25'!CM96,"",'1. Live'!CM96-'check-Jul25'!CM96)</f>
        <v/>
      </c>
      <c r="CN96" t="str">
        <f>IF('1. Live'!CN96='check-Jul25'!CN96,"",'1. Live'!CN96-'check-Jul25'!CN96)</f>
        <v/>
      </c>
      <c r="CO96" t="str">
        <f>IF('1. Live'!CO96='check-Jul25'!CO96,"",'1. Live'!CO96-'check-Jul25'!CO96)</f>
        <v/>
      </c>
      <c r="CP96" t="str">
        <f>IF('1. Live'!CP96='check-Jul25'!CP96,"",'1. Live'!CP96-'check-Jul25'!CP96)</f>
        <v/>
      </c>
      <c r="CQ96" t="str">
        <f>IF('1. Live'!CQ96='check-Jul25'!CQ96,"",'1. Live'!CQ96-'check-Jul25'!CQ96)</f>
        <v/>
      </c>
      <c r="CR96" t="str">
        <f>IF('1. Live'!CR96='check-Jul25'!CR96,"",'1. Live'!CR96-'check-Jul25'!CR96)</f>
        <v/>
      </c>
      <c r="CS96" t="str">
        <f>IF('1. Live'!CS96='check-Jul25'!CS96,"",'1. Live'!CS96-'check-Jul25'!CS96)</f>
        <v/>
      </c>
      <c r="CT96" t="str">
        <f>IF('1. Live'!CT96='check-Jul25'!CT96,"",'1. Live'!CT96-'check-Jul25'!CT96)</f>
        <v/>
      </c>
      <c r="CU96" t="str">
        <f>IF('1. Live'!CU96='check-Jul25'!CU96,"",'1. Live'!CU96-'check-Jul25'!CU96)</f>
        <v/>
      </c>
      <c r="CV96" t="str">
        <f>IF('1. Live'!CV96='check-Jul25'!CV96,"",'1. Live'!CV96-'check-Jul25'!CV96)</f>
        <v/>
      </c>
      <c r="CW96" t="str">
        <f>IF('1. Live'!CW96='check-Jul25'!CW96,"",'1. Live'!CW96-'check-Jul25'!CW96)</f>
        <v/>
      </c>
    </row>
    <row r="97" spans="10:101">
      <c r="J97" t="str">
        <f>IF('1. Live'!J97='check-Jul25'!J97,"",'1. Live'!J97-'check-Jul25'!J97)</f>
        <v/>
      </c>
      <c r="K97" t="str">
        <f>IF('1. Live'!K97='check-Jul25'!K97,"",'1. Live'!K97-'check-Jul25'!K97)</f>
        <v/>
      </c>
      <c r="L97" t="str">
        <f>IF('1. Live'!L97='check-Jul25'!L97,"",'1. Live'!L97-'check-Jul25'!L97)</f>
        <v/>
      </c>
      <c r="M97" t="str">
        <f>IF('1. Live'!M97='check-Jul25'!M97,"",'1. Live'!M97-'check-Jul25'!M97)</f>
        <v/>
      </c>
      <c r="N97" t="str">
        <f>IF('1. Live'!N97='check-Jul25'!N97,"",'1. Live'!N97-'check-Jul25'!N97)</f>
        <v/>
      </c>
      <c r="O97" t="str">
        <f>IF('1. Live'!O97='check-Jul25'!O97,"",'1. Live'!O97-'check-Jul25'!O97)</f>
        <v/>
      </c>
      <c r="P97" t="str">
        <f>IF('1. Live'!P97='check-Jul25'!P97,"",'1. Live'!P97-'check-Jul25'!P97)</f>
        <v/>
      </c>
      <c r="Q97" t="str">
        <f>IF('1. Live'!Q97='check-Jul25'!Q97,"",'1. Live'!Q97-'check-Jul25'!Q97)</f>
        <v/>
      </c>
      <c r="R97" t="str">
        <f>IF('1. Live'!R97='check-Jul25'!R97,"",'1. Live'!R97-'check-Jul25'!R97)</f>
        <v/>
      </c>
      <c r="S97" t="str">
        <f>IF('1. Live'!S97='check-Jul25'!S97,"",'1. Live'!S97-'check-Jul25'!S97)</f>
        <v/>
      </c>
      <c r="T97" t="str">
        <f>IF('1. Live'!T97='check-Jul25'!T97,"",'1. Live'!T97-'check-Jul25'!T97)</f>
        <v/>
      </c>
      <c r="U97" t="str">
        <f>IF('1. Live'!U97='check-Jul25'!U97,"",'1. Live'!U97-'check-Jul25'!U97)</f>
        <v/>
      </c>
      <c r="V97" t="str">
        <f>IF('1. Live'!V97='check-Jul25'!V97,"",'1. Live'!V97-'check-Jul25'!V97)</f>
        <v/>
      </c>
      <c r="W97" t="str">
        <f>IF('1. Live'!W97='check-Jul25'!W97,"",'1. Live'!W97-'check-Jul25'!W97)</f>
        <v/>
      </c>
      <c r="X97" t="str">
        <f>IF('1. Live'!X97='check-Jul25'!X97,"",'1. Live'!X97-'check-Jul25'!X97)</f>
        <v/>
      </c>
      <c r="Y97" t="str">
        <f>IF('1. Live'!Y97='check-Jul25'!Y97,"",'1. Live'!Y97-'check-Jul25'!Y97)</f>
        <v/>
      </c>
      <c r="Z97" t="str">
        <f>IF('1. Live'!Z97='check-Jul25'!Z97,"",'1. Live'!Z97-'check-Jul25'!Z97)</f>
        <v/>
      </c>
      <c r="AA97" t="str">
        <f>IF('1. Live'!AA97='check-Jul25'!AA97,"",'1. Live'!AA97-'check-Jul25'!AA97)</f>
        <v/>
      </c>
      <c r="AB97" t="str">
        <f>IF('1. Live'!AB97='check-Jul25'!AB97,"",'1. Live'!AB97-'check-Jul25'!AB97)</f>
        <v/>
      </c>
      <c r="AC97" t="str">
        <f>IF('1. Live'!AC97='check-Jul25'!AC97,"",'1. Live'!AC97-'check-Jul25'!AC97)</f>
        <v/>
      </c>
      <c r="AD97" t="str">
        <f>IF('1. Live'!AD97='check-Jul25'!AD97,"",'1. Live'!AD97-'check-Jul25'!AD97)</f>
        <v/>
      </c>
      <c r="AE97" t="str">
        <f>IF('1. Live'!AE97='check-Jul25'!AE97,"",'1. Live'!AE97-'check-Jul25'!AE97)</f>
        <v/>
      </c>
      <c r="AF97" t="str">
        <f>IF('1. Live'!AF97='check-Jul25'!AF97,"",'1. Live'!AF97-'check-Jul25'!AF97)</f>
        <v/>
      </c>
      <c r="AG97" t="str">
        <f>IF('1. Live'!AG97='check-Jul25'!AG97,"",'1. Live'!AG97-'check-Jul25'!AG97)</f>
        <v/>
      </c>
      <c r="AH97" t="str">
        <f>IF('1. Live'!AH97='check-Jul25'!AH97,"",'1. Live'!AH97-'check-Jul25'!AH97)</f>
        <v/>
      </c>
      <c r="AI97" t="str">
        <f>IF('1. Live'!AI97='check-Jul25'!AI97,"",'1. Live'!AI97-'check-Jul25'!AI97)</f>
        <v/>
      </c>
      <c r="AJ97" t="str">
        <f>IF('1. Live'!AJ97='check-Jul25'!AJ97,"",'1. Live'!AJ97-'check-Jul25'!AJ97)</f>
        <v/>
      </c>
      <c r="AK97" t="str">
        <f>IF('1. Live'!AK97='check-Jul25'!AK97,"",'1. Live'!AK97-'check-Jul25'!AK97)</f>
        <v/>
      </c>
      <c r="AL97" t="str">
        <f>IF('1. Live'!AL97='check-Jul25'!AL97,"",'1. Live'!AL97-'check-Jul25'!AL97)</f>
        <v/>
      </c>
      <c r="AM97" t="str">
        <f>IF('1. Live'!AM97='check-Jul25'!AM97,"",'1. Live'!AM97-'check-Jul25'!AM97)</f>
        <v/>
      </c>
      <c r="AN97" t="str">
        <f>IF('1. Live'!AN97='check-Jul25'!AN97,"",'1. Live'!AN97-'check-Jul25'!AN97)</f>
        <v/>
      </c>
      <c r="AO97" t="str">
        <f>IF('1. Live'!AO97='check-Jul25'!AO97,"",'1. Live'!AO97-'check-Jul25'!AO97)</f>
        <v/>
      </c>
      <c r="AP97" t="str">
        <f>IF('1. Live'!AP97='check-Jul25'!AP97,"",'1. Live'!AP97-'check-Jul25'!AP97)</f>
        <v/>
      </c>
      <c r="AQ97" t="str">
        <f>IF('1. Live'!AQ97='check-Jul25'!AQ97,"",'1. Live'!AQ97-'check-Jul25'!AQ97)</f>
        <v/>
      </c>
      <c r="AR97" t="str">
        <f>IF('1. Live'!AR97='check-Jul25'!AR97,"",'1. Live'!AR97-'check-Jul25'!AR97)</f>
        <v/>
      </c>
      <c r="AS97" t="str">
        <f>IF('1. Live'!AS97='check-Jul25'!AS97,"",'1. Live'!AS97-'check-Jul25'!AS97)</f>
        <v/>
      </c>
      <c r="AT97" t="str">
        <f>IF('1. Live'!AT97='check-Jul25'!AT97,"",'1. Live'!AT97-'check-Jul25'!AT97)</f>
        <v/>
      </c>
      <c r="AU97" t="str">
        <f>IF('1. Live'!AU97='check-Jul25'!AU97,"",'1. Live'!AU97-'check-Jul25'!AU97)</f>
        <v/>
      </c>
      <c r="AV97" t="str">
        <f>IF('1. Live'!AV97='check-Jul25'!AV97,"",'1. Live'!AV97-'check-Jul25'!AV97)</f>
        <v/>
      </c>
      <c r="AW97" t="str">
        <f>IF('1. Live'!AW97='check-Jul25'!AW97,"",'1. Live'!AW97-'check-Jul25'!AW97)</f>
        <v/>
      </c>
      <c r="AX97" t="str">
        <f>IF('1. Live'!AX97='check-Jul25'!AX97,"",'1. Live'!AX97-'check-Jul25'!AX97)</f>
        <v/>
      </c>
      <c r="AY97" t="str">
        <f>IF('1. Live'!AY97='check-Jul25'!AY97,"",'1. Live'!AY97-'check-Jul25'!AY97)</f>
        <v/>
      </c>
      <c r="AZ97" t="str">
        <f>IF('1. Live'!AZ97='check-Jul25'!AZ97,"",'1. Live'!AZ97-'check-Jul25'!AZ97)</f>
        <v/>
      </c>
      <c r="BA97" t="str">
        <f>IF('1. Live'!BA97='check-Jul25'!BA97,"",'1. Live'!BA97-'check-Jul25'!BA97)</f>
        <v/>
      </c>
      <c r="BB97" t="str">
        <f>IF('1. Live'!BB97='check-Jul25'!BB97,"",'1. Live'!BB97-'check-Jul25'!BB97)</f>
        <v/>
      </c>
      <c r="BC97" t="str">
        <f>IF('1. Live'!BC97='check-Jul25'!BC97,"",'1. Live'!BC97-'check-Jul25'!BC97)</f>
        <v/>
      </c>
      <c r="BD97" t="str">
        <f>IF('1. Live'!BD97='check-Jul25'!BD97,"",'1. Live'!BD97-'check-Jul25'!BD97)</f>
        <v/>
      </c>
      <c r="BE97" t="str">
        <f>IF('1. Live'!BE97='check-Jul25'!BE97,"",'1. Live'!BE97-'check-Jul25'!BE97)</f>
        <v/>
      </c>
      <c r="BF97" t="str">
        <f>IF('1. Live'!BF97='check-Jul25'!BF97,"",'1. Live'!BF97-'check-Jul25'!BF97)</f>
        <v/>
      </c>
      <c r="BG97" t="str">
        <f>IF('1. Live'!BG97='check-Jul25'!BG97,"",'1. Live'!BG97-'check-Jul25'!BG97)</f>
        <v/>
      </c>
      <c r="BH97" t="str">
        <f>IF('1. Live'!BH97='check-Jul25'!BH97,"",'1. Live'!BH97-'check-Jul25'!BH97)</f>
        <v/>
      </c>
      <c r="BI97" t="str">
        <f>IF('1. Live'!BI97='check-Jul25'!BI97,"",'1. Live'!BI97-'check-Jul25'!BI97)</f>
        <v/>
      </c>
      <c r="BJ97" t="str">
        <f>IF('1. Live'!BJ97='check-Jul25'!BJ97,"",'1. Live'!BJ97-'check-Jul25'!BJ97)</f>
        <v/>
      </c>
      <c r="BK97" t="str">
        <f>IF('1. Live'!BK97='check-Jul25'!BK97,"",'1. Live'!BK97-'check-Jul25'!BK97)</f>
        <v/>
      </c>
      <c r="BL97" t="str">
        <f>IF('1. Live'!BL97='check-Jul25'!BL97,"",'1. Live'!BL97-'check-Jul25'!BL97)</f>
        <v/>
      </c>
      <c r="BM97" t="str">
        <f>IF('1. Live'!BM97='check-Jul25'!BM97,"",'1. Live'!BM97-'check-Jul25'!BM97)</f>
        <v/>
      </c>
      <c r="BN97" t="str">
        <f>IF('1. Live'!BN97='check-Jul25'!BN97,"",'1. Live'!BN97-'check-Jul25'!BN97)</f>
        <v/>
      </c>
      <c r="BO97" t="str">
        <f>IF('1. Live'!BO97='check-Jul25'!BO97,"",'1. Live'!BO97-'check-Jul25'!BO97)</f>
        <v/>
      </c>
      <c r="BP97" t="str">
        <f>IF('1. Live'!BP97='check-Jul25'!BP97,"",'1. Live'!BP97-'check-Jul25'!BP97)</f>
        <v/>
      </c>
      <c r="BQ97" t="str">
        <f>IF('1. Live'!BQ97='check-Jul25'!BQ97,"",'1. Live'!BQ97-'check-Jul25'!BQ97)</f>
        <v/>
      </c>
      <c r="BR97" t="str">
        <f>IF('1. Live'!BR97='check-Jul25'!BR97,"",'1. Live'!BR97-'check-Jul25'!BR97)</f>
        <v/>
      </c>
      <c r="BS97" t="str">
        <f>IF('1. Live'!BS97='check-Jul25'!BS97,"",'1. Live'!BS97-'check-Jul25'!BS97)</f>
        <v/>
      </c>
      <c r="BT97" t="str">
        <f>IF('1. Live'!BT97='check-Jul25'!BT97,"",'1. Live'!BT97-'check-Jul25'!BT97)</f>
        <v/>
      </c>
      <c r="BU97" t="str">
        <f>IF('1. Live'!BU97='check-Jul25'!BU97,"",'1. Live'!BU97-'check-Jul25'!BU97)</f>
        <v/>
      </c>
      <c r="BV97" t="str">
        <f>IF('1. Live'!BV97='check-Jul25'!BV97,"",'1. Live'!BV97-'check-Jul25'!BV97)</f>
        <v/>
      </c>
      <c r="BW97" t="str">
        <f>IF('1. Live'!BW97='check-Jul25'!BW97,"",'1. Live'!BW97-'check-Jul25'!BW97)</f>
        <v/>
      </c>
      <c r="BX97" t="str">
        <f>IF('1. Live'!BX97='check-Jul25'!BX97,"",'1. Live'!BX97-'check-Jul25'!BX97)</f>
        <v/>
      </c>
      <c r="BY97" t="str">
        <f>IF('1. Live'!BY97='check-Jul25'!BY97,"",'1. Live'!BY97-'check-Jul25'!BY97)</f>
        <v/>
      </c>
      <c r="BZ97" t="str">
        <f>IF('1. Live'!BZ97='check-Jul25'!BZ97,"",'1. Live'!BZ97-'check-Jul25'!BZ97)</f>
        <v/>
      </c>
      <c r="CA97" t="str">
        <f>IF('1. Live'!CA97='check-Jul25'!CA97,"",'1. Live'!CA97-'check-Jul25'!CA97)</f>
        <v/>
      </c>
      <c r="CB97" t="str">
        <f>IF('1. Live'!CB97='check-Jul25'!CB97,"",'1. Live'!CB97-'check-Jul25'!CB97)</f>
        <v/>
      </c>
      <c r="CC97" t="str">
        <f>IF('1. Live'!CC97='check-Jul25'!CC97,"",'1. Live'!CC97-'check-Jul25'!CC97)</f>
        <v/>
      </c>
      <c r="CD97" t="str">
        <f>IF('1. Live'!CD97='check-Jul25'!CD97,"",'1. Live'!CD97-'check-Jul25'!CD97)</f>
        <v/>
      </c>
      <c r="CE97" t="str">
        <f>IF('1. Live'!CE97='check-Jul25'!CE97,"",'1. Live'!CE97-'check-Jul25'!CE97)</f>
        <v/>
      </c>
      <c r="CF97" t="str">
        <f>IF('1. Live'!CF97='check-Jul25'!CF97,"",'1. Live'!CF97-'check-Jul25'!CF97)</f>
        <v/>
      </c>
      <c r="CG97" t="str">
        <f>IF('1. Live'!CG97='check-Jul25'!CG97,"",'1. Live'!CG97-'check-Jul25'!CG97)</f>
        <v/>
      </c>
      <c r="CH97" t="str">
        <f>IF('1. Live'!CH97='check-Jul25'!CH97,"",'1. Live'!CH97-'check-Jul25'!CH97)</f>
        <v/>
      </c>
      <c r="CI97" t="str">
        <f>IF('1. Live'!CI97='check-Jul25'!CI97,"",'1. Live'!CI97-'check-Jul25'!CI97)</f>
        <v/>
      </c>
      <c r="CJ97" t="str">
        <f>IF('1. Live'!CJ97='check-Jul25'!CJ97,"",'1. Live'!CJ97-'check-Jul25'!CJ97)</f>
        <v/>
      </c>
      <c r="CK97" t="str">
        <f>IF('1. Live'!CK97='check-Jul25'!CK97,"",'1. Live'!CK97-'check-Jul25'!CK97)</f>
        <v/>
      </c>
      <c r="CL97" t="str">
        <f>IF('1. Live'!CL97='check-Jul25'!CL97,"",'1. Live'!CL97-'check-Jul25'!CL97)</f>
        <v/>
      </c>
      <c r="CM97" t="str">
        <f>IF('1. Live'!CM97='check-Jul25'!CM97,"",'1. Live'!CM97-'check-Jul25'!CM97)</f>
        <v/>
      </c>
      <c r="CN97" t="str">
        <f>IF('1. Live'!CN97='check-Jul25'!CN97,"",'1. Live'!CN97-'check-Jul25'!CN97)</f>
        <v/>
      </c>
      <c r="CO97" t="str">
        <f>IF('1. Live'!CO97='check-Jul25'!CO97,"",'1. Live'!CO97-'check-Jul25'!CO97)</f>
        <v/>
      </c>
      <c r="CP97" t="str">
        <f>IF('1. Live'!CP97='check-Jul25'!CP97,"",'1. Live'!CP97-'check-Jul25'!CP97)</f>
        <v/>
      </c>
      <c r="CQ97" t="str">
        <f>IF('1. Live'!CQ97='check-Jul25'!CQ97,"",'1. Live'!CQ97-'check-Jul25'!CQ97)</f>
        <v/>
      </c>
      <c r="CR97" t="str">
        <f>IF('1. Live'!CR97='check-Jul25'!CR97,"",'1. Live'!CR97-'check-Jul25'!CR97)</f>
        <v/>
      </c>
      <c r="CS97" t="str">
        <f>IF('1. Live'!CS97='check-Jul25'!CS97,"",'1. Live'!CS97-'check-Jul25'!CS97)</f>
        <v/>
      </c>
      <c r="CT97" t="str">
        <f>IF('1. Live'!CT97='check-Jul25'!CT97,"",'1. Live'!CT97-'check-Jul25'!CT97)</f>
        <v/>
      </c>
      <c r="CU97" t="str">
        <f>IF('1. Live'!CU97='check-Jul25'!CU97,"",'1. Live'!CU97-'check-Jul25'!CU97)</f>
        <v/>
      </c>
      <c r="CV97" t="str">
        <f>IF('1. Live'!CV97='check-Jul25'!CV97,"",'1. Live'!CV97-'check-Jul25'!CV97)</f>
        <v/>
      </c>
      <c r="CW97" t="str">
        <f>IF('1. Live'!CW97='check-Jul25'!CW97,"",'1. Live'!CW97-'check-Jul25'!CW97)</f>
        <v/>
      </c>
    </row>
    <row r="98" spans="10:101">
      <c r="J98" t="str">
        <f>IF('1. Live'!J98='check-Jul25'!J98,"",'1. Live'!J98-'check-Jul25'!J98)</f>
        <v/>
      </c>
      <c r="K98" t="str">
        <f>IF('1. Live'!K98='check-Jul25'!K98,"",'1. Live'!K98-'check-Jul25'!K98)</f>
        <v/>
      </c>
      <c r="L98" t="str">
        <f>IF('1. Live'!L98='check-Jul25'!L98,"",'1. Live'!L98-'check-Jul25'!L98)</f>
        <v/>
      </c>
      <c r="M98" t="str">
        <f>IF('1. Live'!M98='check-Jul25'!M98,"",'1. Live'!M98-'check-Jul25'!M98)</f>
        <v/>
      </c>
      <c r="N98" t="str">
        <f>IF('1. Live'!N98='check-Jul25'!N98,"",'1. Live'!N98-'check-Jul25'!N98)</f>
        <v/>
      </c>
      <c r="O98" t="str">
        <f>IF('1. Live'!O98='check-Jul25'!O98,"",'1. Live'!O98-'check-Jul25'!O98)</f>
        <v/>
      </c>
      <c r="P98" t="str">
        <f>IF('1. Live'!P98='check-Jul25'!P98,"",'1. Live'!P98-'check-Jul25'!P98)</f>
        <v/>
      </c>
      <c r="Q98" t="str">
        <f>IF('1. Live'!Q98='check-Jul25'!Q98,"",'1. Live'!Q98-'check-Jul25'!Q98)</f>
        <v/>
      </c>
      <c r="R98" t="str">
        <f>IF('1. Live'!R98='check-Jul25'!R98,"",'1. Live'!R98-'check-Jul25'!R98)</f>
        <v/>
      </c>
      <c r="S98" t="str">
        <f>IF('1. Live'!S98='check-Jul25'!S98,"",'1. Live'!S98-'check-Jul25'!S98)</f>
        <v/>
      </c>
      <c r="T98" t="str">
        <f>IF('1. Live'!T98='check-Jul25'!T98,"",'1. Live'!T98-'check-Jul25'!T98)</f>
        <v/>
      </c>
      <c r="U98" t="str">
        <f>IF('1. Live'!U98='check-Jul25'!U98,"",'1. Live'!U98-'check-Jul25'!U98)</f>
        <v/>
      </c>
      <c r="V98" t="str">
        <f>IF('1. Live'!V98='check-Jul25'!V98,"",'1. Live'!V98-'check-Jul25'!V98)</f>
        <v/>
      </c>
      <c r="W98" t="str">
        <f>IF('1. Live'!W98='check-Jul25'!W98,"",'1. Live'!W98-'check-Jul25'!W98)</f>
        <v/>
      </c>
      <c r="X98" t="str">
        <f>IF('1. Live'!X98='check-Jul25'!X98,"",'1. Live'!X98-'check-Jul25'!X98)</f>
        <v/>
      </c>
      <c r="Y98" t="str">
        <f>IF('1. Live'!Y98='check-Jul25'!Y98,"",'1. Live'!Y98-'check-Jul25'!Y98)</f>
        <v/>
      </c>
      <c r="Z98" t="str">
        <f>IF('1. Live'!Z98='check-Jul25'!Z98,"",'1. Live'!Z98-'check-Jul25'!Z98)</f>
        <v/>
      </c>
      <c r="AA98" t="str">
        <f>IF('1. Live'!AA98='check-Jul25'!AA98,"",'1. Live'!AA98-'check-Jul25'!AA98)</f>
        <v/>
      </c>
      <c r="AB98" t="str">
        <f>IF('1. Live'!AB98='check-Jul25'!AB98,"",'1. Live'!AB98-'check-Jul25'!AB98)</f>
        <v/>
      </c>
      <c r="AC98" t="str">
        <f>IF('1. Live'!AC98='check-Jul25'!AC98,"",'1. Live'!AC98-'check-Jul25'!AC98)</f>
        <v/>
      </c>
      <c r="AD98" t="str">
        <f>IF('1. Live'!AD98='check-Jul25'!AD98,"",'1. Live'!AD98-'check-Jul25'!AD98)</f>
        <v/>
      </c>
      <c r="AE98" t="str">
        <f>IF('1. Live'!AE98='check-Jul25'!AE98,"",'1. Live'!AE98-'check-Jul25'!AE98)</f>
        <v/>
      </c>
      <c r="AF98" t="str">
        <f>IF('1. Live'!AF98='check-Jul25'!AF98,"",'1. Live'!AF98-'check-Jul25'!AF98)</f>
        <v/>
      </c>
      <c r="AG98" t="str">
        <f>IF('1. Live'!AG98='check-Jul25'!AG98,"",'1. Live'!AG98-'check-Jul25'!AG98)</f>
        <v/>
      </c>
      <c r="AH98" t="str">
        <f>IF('1. Live'!AH98='check-Jul25'!AH98,"",'1. Live'!AH98-'check-Jul25'!AH98)</f>
        <v/>
      </c>
      <c r="AI98" t="str">
        <f>IF('1. Live'!AI98='check-Jul25'!AI98,"",'1. Live'!AI98-'check-Jul25'!AI98)</f>
        <v/>
      </c>
      <c r="AJ98" t="str">
        <f>IF('1. Live'!AJ98='check-Jul25'!AJ98,"",'1. Live'!AJ98-'check-Jul25'!AJ98)</f>
        <v/>
      </c>
      <c r="AK98" t="str">
        <f>IF('1. Live'!AK98='check-Jul25'!AK98,"",'1. Live'!AK98-'check-Jul25'!AK98)</f>
        <v/>
      </c>
      <c r="AL98" t="str">
        <f>IF('1. Live'!AL98='check-Jul25'!AL98,"",'1. Live'!AL98-'check-Jul25'!AL98)</f>
        <v/>
      </c>
      <c r="AM98" t="str">
        <f>IF('1. Live'!AM98='check-Jul25'!AM98,"",'1. Live'!AM98-'check-Jul25'!AM98)</f>
        <v/>
      </c>
      <c r="AN98" t="str">
        <f>IF('1. Live'!AN98='check-Jul25'!AN98,"",'1. Live'!AN98-'check-Jul25'!AN98)</f>
        <v/>
      </c>
      <c r="AO98" t="str">
        <f>IF('1. Live'!AO98='check-Jul25'!AO98,"",'1. Live'!AO98-'check-Jul25'!AO98)</f>
        <v/>
      </c>
      <c r="AP98" t="str">
        <f>IF('1. Live'!AP98='check-Jul25'!AP98,"",'1. Live'!AP98-'check-Jul25'!AP98)</f>
        <v/>
      </c>
      <c r="AQ98" t="str">
        <f>IF('1. Live'!AQ98='check-Jul25'!AQ98,"",'1. Live'!AQ98-'check-Jul25'!AQ98)</f>
        <v/>
      </c>
      <c r="AR98" t="str">
        <f>IF('1. Live'!AR98='check-Jul25'!AR98,"",'1. Live'!AR98-'check-Jul25'!AR98)</f>
        <v/>
      </c>
      <c r="AS98" t="str">
        <f>IF('1. Live'!AS98='check-Jul25'!AS98,"",'1. Live'!AS98-'check-Jul25'!AS98)</f>
        <v/>
      </c>
      <c r="AT98" t="str">
        <f>IF('1. Live'!AT98='check-Jul25'!AT98,"",'1. Live'!AT98-'check-Jul25'!AT98)</f>
        <v/>
      </c>
      <c r="AU98" t="str">
        <f>IF('1. Live'!AU98='check-Jul25'!AU98,"",'1. Live'!AU98-'check-Jul25'!AU98)</f>
        <v/>
      </c>
      <c r="AV98" t="str">
        <f>IF('1. Live'!AV98='check-Jul25'!AV98,"",'1. Live'!AV98-'check-Jul25'!AV98)</f>
        <v/>
      </c>
      <c r="AW98" t="str">
        <f>IF('1. Live'!AW98='check-Jul25'!AW98,"",'1. Live'!AW98-'check-Jul25'!AW98)</f>
        <v/>
      </c>
      <c r="AX98" t="str">
        <f>IF('1. Live'!AX98='check-Jul25'!AX98,"",'1. Live'!AX98-'check-Jul25'!AX98)</f>
        <v/>
      </c>
      <c r="AY98" t="str">
        <f>IF('1. Live'!AY98='check-Jul25'!AY98,"",'1. Live'!AY98-'check-Jul25'!AY98)</f>
        <v/>
      </c>
      <c r="AZ98" t="str">
        <f>IF('1. Live'!AZ98='check-Jul25'!AZ98,"",'1. Live'!AZ98-'check-Jul25'!AZ98)</f>
        <v/>
      </c>
      <c r="BA98" t="str">
        <f>IF('1. Live'!BA98='check-Jul25'!BA98,"",'1. Live'!BA98-'check-Jul25'!BA98)</f>
        <v/>
      </c>
      <c r="BB98" t="str">
        <f>IF('1. Live'!BB98='check-Jul25'!BB98,"",'1. Live'!BB98-'check-Jul25'!BB98)</f>
        <v/>
      </c>
      <c r="BC98" t="str">
        <f>IF('1. Live'!BC98='check-Jul25'!BC98,"",'1. Live'!BC98-'check-Jul25'!BC98)</f>
        <v/>
      </c>
      <c r="BD98" t="str">
        <f>IF('1. Live'!BD98='check-Jul25'!BD98,"",'1. Live'!BD98-'check-Jul25'!BD98)</f>
        <v/>
      </c>
      <c r="BE98" t="str">
        <f>IF('1. Live'!BE98='check-Jul25'!BE98,"",'1. Live'!BE98-'check-Jul25'!BE98)</f>
        <v/>
      </c>
      <c r="BF98" t="str">
        <f>IF('1. Live'!BF98='check-Jul25'!BF98,"",'1. Live'!BF98-'check-Jul25'!BF98)</f>
        <v/>
      </c>
      <c r="BG98" t="str">
        <f>IF('1. Live'!BG98='check-Jul25'!BG98,"",'1. Live'!BG98-'check-Jul25'!BG98)</f>
        <v/>
      </c>
      <c r="BH98" t="str">
        <f>IF('1. Live'!BH98='check-Jul25'!BH98,"",'1. Live'!BH98-'check-Jul25'!BH98)</f>
        <v/>
      </c>
      <c r="BI98" t="str">
        <f>IF('1. Live'!BI98='check-Jul25'!BI98,"",'1. Live'!BI98-'check-Jul25'!BI98)</f>
        <v/>
      </c>
      <c r="BJ98" t="str">
        <f>IF('1. Live'!BJ98='check-Jul25'!BJ98,"",'1. Live'!BJ98-'check-Jul25'!BJ98)</f>
        <v/>
      </c>
      <c r="BK98" t="str">
        <f>IF('1. Live'!BK98='check-Jul25'!BK98,"",'1. Live'!BK98-'check-Jul25'!BK98)</f>
        <v/>
      </c>
      <c r="BL98" t="str">
        <f>IF('1. Live'!BL98='check-Jul25'!BL98,"",'1. Live'!BL98-'check-Jul25'!BL98)</f>
        <v/>
      </c>
      <c r="BM98" t="str">
        <f>IF('1. Live'!BM98='check-Jul25'!BM98,"",'1. Live'!BM98-'check-Jul25'!BM98)</f>
        <v/>
      </c>
      <c r="BN98" t="str">
        <f>IF('1. Live'!BN98='check-Jul25'!BN98,"",'1. Live'!BN98-'check-Jul25'!BN98)</f>
        <v/>
      </c>
      <c r="BO98" t="str">
        <f>IF('1. Live'!BO98='check-Jul25'!BO98,"",'1. Live'!BO98-'check-Jul25'!BO98)</f>
        <v/>
      </c>
      <c r="BP98" t="str">
        <f>IF('1. Live'!BP98='check-Jul25'!BP98,"",'1. Live'!BP98-'check-Jul25'!BP98)</f>
        <v/>
      </c>
      <c r="BQ98" t="str">
        <f>IF('1. Live'!BQ98='check-Jul25'!BQ98,"",'1. Live'!BQ98-'check-Jul25'!BQ98)</f>
        <v/>
      </c>
      <c r="BR98" t="str">
        <f>IF('1. Live'!BR98='check-Jul25'!BR98,"",'1. Live'!BR98-'check-Jul25'!BR98)</f>
        <v/>
      </c>
      <c r="BS98" t="str">
        <f>IF('1. Live'!BS98='check-Jul25'!BS98,"",'1. Live'!BS98-'check-Jul25'!BS98)</f>
        <v/>
      </c>
      <c r="BT98" t="str">
        <f>IF('1. Live'!BT98='check-Jul25'!BT98,"",'1. Live'!BT98-'check-Jul25'!BT98)</f>
        <v/>
      </c>
      <c r="BU98" t="str">
        <f>IF('1. Live'!BU98='check-Jul25'!BU98,"",'1. Live'!BU98-'check-Jul25'!BU98)</f>
        <v/>
      </c>
      <c r="BV98" t="str">
        <f>IF('1. Live'!BV98='check-Jul25'!BV98,"",'1. Live'!BV98-'check-Jul25'!BV98)</f>
        <v/>
      </c>
      <c r="BW98" t="str">
        <f>IF('1. Live'!BW98='check-Jul25'!BW98,"",'1. Live'!BW98-'check-Jul25'!BW98)</f>
        <v/>
      </c>
      <c r="BX98" t="str">
        <f>IF('1. Live'!BX98='check-Jul25'!BX98,"",'1. Live'!BX98-'check-Jul25'!BX98)</f>
        <v/>
      </c>
      <c r="BY98" t="str">
        <f>IF('1. Live'!BY98='check-Jul25'!BY98,"",'1. Live'!BY98-'check-Jul25'!BY98)</f>
        <v/>
      </c>
      <c r="BZ98" t="str">
        <f>IF('1. Live'!BZ98='check-Jul25'!BZ98,"",'1. Live'!BZ98-'check-Jul25'!BZ98)</f>
        <v/>
      </c>
      <c r="CA98" t="str">
        <f>IF('1. Live'!CA98='check-Jul25'!CA98,"",'1. Live'!CA98-'check-Jul25'!CA98)</f>
        <v/>
      </c>
      <c r="CB98" t="str">
        <f>IF('1. Live'!CB98='check-Jul25'!CB98,"",'1. Live'!CB98-'check-Jul25'!CB98)</f>
        <v/>
      </c>
      <c r="CC98" t="str">
        <f>IF('1. Live'!CC98='check-Jul25'!CC98,"",'1. Live'!CC98-'check-Jul25'!CC98)</f>
        <v/>
      </c>
      <c r="CD98" t="str">
        <f>IF('1. Live'!CD98='check-Jul25'!CD98,"",'1. Live'!CD98-'check-Jul25'!CD98)</f>
        <v/>
      </c>
      <c r="CE98" t="str">
        <f>IF('1. Live'!CE98='check-Jul25'!CE98,"",'1. Live'!CE98-'check-Jul25'!CE98)</f>
        <v/>
      </c>
      <c r="CF98" t="str">
        <f>IF('1. Live'!CF98='check-Jul25'!CF98,"",'1. Live'!CF98-'check-Jul25'!CF98)</f>
        <v/>
      </c>
      <c r="CG98" t="str">
        <f>IF('1. Live'!CG98='check-Jul25'!CG98,"",'1. Live'!CG98-'check-Jul25'!CG98)</f>
        <v/>
      </c>
      <c r="CH98" t="str">
        <f>IF('1. Live'!CH98='check-Jul25'!CH98,"",'1. Live'!CH98-'check-Jul25'!CH98)</f>
        <v/>
      </c>
      <c r="CI98" t="str">
        <f>IF('1. Live'!CI98='check-Jul25'!CI98,"",'1. Live'!CI98-'check-Jul25'!CI98)</f>
        <v/>
      </c>
      <c r="CJ98" t="str">
        <f>IF('1. Live'!CJ98='check-Jul25'!CJ98,"",'1. Live'!CJ98-'check-Jul25'!CJ98)</f>
        <v/>
      </c>
      <c r="CK98" t="str">
        <f>IF('1. Live'!CK98='check-Jul25'!CK98,"",'1. Live'!CK98-'check-Jul25'!CK98)</f>
        <v/>
      </c>
      <c r="CL98" t="str">
        <f>IF('1. Live'!CL98='check-Jul25'!CL98,"",'1. Live'!CL98-'check-Jul25'!CL98)</f>
        <v/>
      </c>
      <c r="CM98" t="str">
        <f>IF('1. Live'!CM98='check-Jul25'!CM98,"",'1. Live'!CM98-'check-Jul25'!CM98)</f>
        <v/>
      </c>
      <c r="CN98" t="str">
        <f>IF('1. Live'!CN98='check-Jul25'!CN98,"",'1. Live'!CN98-'check-Jul25'!CN98)</f>
        <v/>
      </c>
      <c r="CO98" t="str">
        <f>IF('1. Live'!CO98='check-Jul25'!CO98,"",'1. Live'!CO98-'check-Jul25'!CO98)</f>
        <v/>
      </c>
      <c r="CP98" t="str">
        <f>IF('1. Live'!CP98='check-Jul25'!CP98,"",'1. Live'!CP98-'check-Jul25'!CP98)</f>
        <v/>
      </c>
      <c r="CQ98" t="str">
        <f>IF('1. Live'!CQ98='check-Jul25'!CQ98,"",'1. Live'!CQ98-'check-Jul25'!CQ98)</f>
        <v/>
      </c>
      <c r="CR98" t="str">
        <f>IF('1. Live'!CR98='check-Jul25'!CR98,"",'1. Live'!CR98-'check-Jul25'!CR98)</f>
        <v/>
      </c>
      <c r="CS98" t="str">
        <f>IF('1. Live'!CS98='check-Jul25'!CS98,"",'1. Live'!CS98-'check-Jul25'!CS98)</f>
        <v/>
      </c>
      <c r="CT98" t="str">
        <f>IF('1. Live'!CT98='check-Jul25'!CT98,"",'1. Live'!CT98-'check-Jul25'!CT98)</f>
        <v/>
      </c>
      <c r="CU98" t="str">
        <f>IF('1. Live'!CU98='check-Jul25'!CU98,"",'1. Live'!CU98-'check-Jul25'!CU98)</f>
        <v/>
      </c>
      <c r="CV98" t="str">
        <f>IF('1. Live'!CV98='check-Jul25'!CV98,"",'1. Live'!CV98-'check-Jul25'!CV98)</f>
        <v/>
      </c>
      <c r="CW98" t="str">
        <f>IF('1. Live'!CW98='check-Jul25'!CW98,"",'1. Live'!CW98-'check-Jul25'!CW98)</f>
        <v/>
      </c>
    </row>
    <row r="99" spans="10:101">
      <c r="J99" t="str">
        <f>IF('1. Live'!J99='check-Jul25'!J99,"",'1. Live'!J99-'check-Jul25'!J99)</f>
        <v/>
      </c>
      <c r="K99" t="str">
        <f>IF('1. Live'!K99='check-Jul25'!K99,"",'1. Live'!K99-'check-Jul25'!K99)</f>
        <v/>
      </c>
      <c r="L99" t="str">
        <f>IF('1. Live'!L99='check-Jul25'!L99,"",'1. Live'!L99-'check-Jul25'!L99)</f>
        <v/>
      </c>
      <c r="M99" t="str">
        <f>IF('1. Live'!M99='check-Jul25'!M99,"",'1. Live'!M99-'check-Jul25'!M99)</f>
        <v/>
      </c>
      <c r="N99" t="str">
        <f>IF('1. Live'!N99='check-Jul25'!N99,"",'1. Live'!N99-'check-Jul25'!N99)</f>
        <v/>
      </c>
      <c r="O99" t="str">
        <f>IF('1. Live'!O99='check-Jul25'!O99,"",'1. Live'!O99-'check-Jul25'!O99)</f>
        <v/>
      </c>
      <c r="P99" t="str">
        <f>IF('1. Live'!P99='check-Jul25'!P99,"",'1. Live'!P99-'check-Jul25'!P99)</f>
        <v/>
      </c>
      <c r="Q99" t="str">
        <f>IF('1. Live'!Q99='check-Jul25'!Q99,"",'1. Live'!Q99-'check-Jul25'!Q99)</f>
        <v/>
      </c>
      <c r="R99" t="str">
        <f>IF('1. Live'!R99='check-Jul25'!R99,"",'1. Live'!R99-'check-Jul25'!R99)</f>
        <v/>
      </c>
      <c r="S99" t="str">
        <f>IF('1. Live'!S99='check-Jul25'!S99,"",'1. Live'!S99-'check-Jul25'!S99)</f>
        <v/>
      </c>
      <c r="T99" t="str">
        <f>IF('1. Live'!T99='check-Jul25'!T99,"",'1. Live'!T99-'check-Jul25'!T99)</f>
        <v/>
      </c>
      <c r="U99" t="str">
        <f>IF('1. Live'!U99='check-Jul25'!U99,"",'1. Live'!U99-'check-Jul25'!U99)</f>
        <v/>
      </c>
      <c r="V99" t="str">
        <f>IF('1. Live'!V99='check-Jul25'!V99,"",'1. Live'!V99-'check-Jul25'!V99)</f>
        <v/>
      </c>
      <c r="W99" t="str">
        <f>IF('1. Live'!W99='check-Jul25'!W99,"",'1. Live'!W99-'check-Jul25'!W99)</f>
        <v/>
      </c>
      <c r="X99" t="str">
        <f>IF('1. Live'!X99='check-Jul25'!X99,"",'1. Live'!X99-'check-Jul25'!X99)</f>
        <v/>
      </c>
      <c r="Y99" t="str">
        <f>IF('1. Live'!Y99='check-Jul25'!Y99,"",'1. Live'!Y99-'check-Jul25'!Y99)</f>
        <v/>
      </c>
      <c r="Z99" t="str">
        <f>IF('1. Live'!Z99='check-Jul25'!Z99,"",'1. Live'!Z99-'check-Jul25'!Z99)</f>
        <v/>
      </c>
      <c r="AA99" t="str">
        <f>IF('1. Live'!AA99='check-Jul25'!AA99,"",'1. Live'!AA99-'check-Jul25'!AA99)</f>
        <v/>
      </c>
      <c r="AB99" t="str">
        <f>IF('1. Live'!AB99='check-Jul25'!AB99,"",'1. Live'!AB99-'check-Jul25'!AB99)</f>
        <v/>
      </c>
      <c r="AC99" t="str">
        <f>IF('1. Live'!AC99='check-Jul25'!AC99,"",'1. Live'!AC99-'check-Jul25'!AC99)</f>
        <v/>
      </c>
      <c r="AD99" t="str">
        <f>IF('1. Live'!AD99='check-Jul25'!AD99,"",'1. Live'!AD99-'check-Jul25'!AD99)</f>
        <v/>
      </c>
      <c r="AE99" t="str">
        <f>IF('1. Live'!AE99='check-Jul25'!AE99,"",'1. Live'!AE99-'check-Jul25'!AE99)</f>
        <v/>
      </c>
      <c r="AF99" t="str">
        <f>IF('1. Live'!AF99='check-Jul25'!AF99,"",'1. Live'!AF99-'check-Jul25'!AF99)</f>
        <v/>
      </c>
      <c r="AG99" t="str">
        <f>IF('1. Live'!AG99='check-Jul25'!AG99,"",'1. Live'!AG99-'check-Jul25'!AG99)</f>
        <v/>
      </c>
      <c r="AH99" t="str">
        <f>IF('1. Live'!AH99='check-Jul25'!AH99,"",'1. Live'!AH99-'check-Jul25'!AH99)</f>
        <v/>
      </c>
      <c r="AI99" t="str">
        <f>IF('1. Live'!AI99='check-Jul25'!AI99,"",'1. Live'!AI99-'check-Jul25'!AI99)</f>
        <v/>
      </c>
      <c r="AJ99" t="str">
        <f>IF('1. Live'!AJ99='check-Jul25'!AJ99,"",'1. Live'!AJ99-'check-Jul25'!AJ99)</f>
        <v/>
      </c>
      <c r="AK99" t="str">
        <f>IF('1. Live'!AK99='check-Jul25'!AK99,"",'1. Live'!AK99-'check-Jul25'!AK99)</f>
        <v/>
      </c>
      <c r="AL99" t="str">
        <f>IF('1. Live'!AL99='check-Jul25'!AL99,"",'1. Live'!AL99-'check-Jul25'!AL99)</f>
        <v/>
      </c>
      <c r="AM99" t="str">
        <f>IF('1. Live'!AM99='check-Jul25'!AM99,"",'1. Live'!AM99-'check-Jul25'!AM99)</f>
        <v/>
      </c>
      <c r="AN99" t="str">
        <f>IF('1. Live'!AN99='check-Jul25'!AN99,"",'1. Live'!AN99-'check-Jul25'!AN99)</f>
        <v/>
      </c>
      <c r="AO99" t="str">
        <f>IF('1. Live'!AO99='check-Jul25'!AO99,"",'1. Live'!AO99-'check-Jul25'!AO99)</f>
        <v/>
      </c>
      <c r="AP99" t="str">
        <f>IF('1. Live'!AP99='check-Jul25'!AP99,"",'1. Live'!AP99-'check-Jul25'!AP99)</f>
        <v/>
      </c>
      <c r="AQ99" t="str">
        <f>IF('1. Live'!AQ99='check-Jul25'!AQ99,"",'1. Live'!AQ99-'check-Jul25'!AQ99)</f>
        <v/>
      </c>
      <c r="AR99" t="str">
        <f>IF('1. Live'!AR99='check-Jul25'!AR99,"",'1. Live'!AR99-'check-Jul25'!AR99)</f>
        <v/>
      </c>
      <c r="AS99" t="str">
        <f>IF('1. Live'!AS99='check-Jul25'!AS99,"",'1. Live'!AS99-'check-Jul25'!AS99)</f>
        <v/>
      </c>
      <c r="AT99" t="str">
        <f>IF('1. Live'!AT99='check-Jul25'!AT99,"",'1. Live'!AT99-'check-Jul25'!AT99)</f>
        <v/>
      </c>
      <c r="AU99" t="str">
        <f>IF('1. Live'!AU99='check-Jul25'!AU99,"",'1. Live'!AU99-'check-Jul25'!AU99)</f>
        <v/>
      </c>
      <c r="AV99" t="str">
        <f>IF('1. Live'!AV99='check-Jul25'!AV99,"",'1. Live'!AV99-'check-Jul25'!AV99)</f>
        <v/>
      </c>
      <c r="AW99" t="str">
        <f>IF('1. Live'!AW99='check-Jul25'!AW99,"",'1. Live'!AW99-'check-Jul25'!AW99)</f>
        <v/>
      </c>
      <c r="AX99" t="str">
        <f>IF('1. Live'!AX99='check-Jul25'!AX99,"",'1. Live'!AX99-'check-Jul25'!AX99)</f>
        <v/>
      </c>
      <c r="AY99" t="str">
        <f>IF('1. Live'!AY99='check-Jul25'!AY99,"",'1. Live'!AY99-'check-Jul25'!AY99)</f>
        <v/>
      </c>
      <c r="AZ99" t="str">
        <f>IF('1. Live'!AZ99='check-Jul25'!AZ99,"",'1. Live'!AZ99-'check-Jul25'!AZ99)</f>
        <v/>
      </c>
      <c r="BA99" t="str">
        <f>IF('1. Live'!BA99='check-Jul25'!BA99,"",'1. Live'!BA99-'check-Jul25'!BA99)</f>
        <v/>
      </c>
      <c r="BB99" t="str">
        <f>IF('1. Live'!BB99='check-Jul25'!BB99,"",'1. Live'!BB99-'check-Jul25'!BB99)</f>
        <v/>
      </c>
      <c r="BC99" t="str">
        <f>IF('1. Live'!BC99='check-Jul25'!BC99,"",'1. Live'!BC99-'check-Jul25'!BC99)</f>
        <v/>
      </c>
      <c r="BD99" t="str">
        <f>IF('1. Live'!BD99='check-Jul25'!BD99,"",'1. Live'!BD99-'check-Jul25'!BD99)</f>
        <v/>
      </c>
      <c r="BE99" t="str">
        <f>IF('1. Live'!BE99='check-Jul25'!BE99,"",'1. Live'!BE99-'check-Jul25'!BE99)</f>
        <v/>
      </c>
      <c r="BF99" t="str">
        <f>IF('1. Live'!BF99='check-Jul25'!BF99,"",'1. Live'!BF99-'check-Jul25'!BF99)</f>
        <v/>
      </c>
      <c r="BG99" t="str">
        <f>IF('1. Live'!BG99='check-Jul25'!BG99,"",'1. Live'!BG99-'check-Jul25'!BG99)</f>
        <v/>
      </c>
      <c r="BH99" t="str">
        <f>IF('1. Live'!BH99='check-Jul25'!BH99,"",'1. Live'!BH99-'check-Jul25'!BH99)</f>
        <v/>
      </c>
      <c r="BI99" t="str">
        <f>IF('1. Live'!BI99='check-Jul25'!BI99,"",'1. Live'!BI99-'check-Jul25'!BI99)</f>
        <v/>
      </c>
      <c r="BJ99" t="str">
        <f>IF('1. Live'!BJ99='check-Jul25'!BJ99,"",'1. Live'!BJ99-'check-Jul25'!BJ99)</f>
        <v/>
      </c>
      <c r="BK99" t="str">
        <f>IF('1. Live'!BK99='check-Jul25'!BK99,"",'1. Live'!BK99-'check-Jul25'!BK99)</f>
        <v/>
      </c>
      <c r="BL99" t="str">
        <f>IF('1. Live'!BL99='check-Jul25'!BL99,"",'1. Live'!BL99-'check-Jul25'!BL99)</f>
        <v/>
      </c>
      <c r="BM99" t="str">
        <f>IF('1. Live'!BM99='check-Jul25'!BM99,"",'1. Live'!BM99-'check-Jul25'!BM99)</f>
        <v/>
      </c>
      <c r="BN99" t="str">
        <f>IF('1. Live'!BN99='check-Jul25'!BN99,"",'1. Live'!BN99-'check-Jul25'!BN99)</f>
        <v/>
      </c>
      <c r="BO99" t="str">
        <f>IF('1. Live'!BO99='check-Jul25'!BO99,"",'1. Live'!BO99-'check-Jul25'!BO99)</f>
        <v/>
      </c>
      <c r="BP99" t="str">
        <f>IF('1. Live'!BP99='check-Jul25'!BP99,"",'1. Live'!BP99-'check-Jul25'!BP99)</f>
        <v/>
      </c>
      <c r="BQ99" t="str">
        <f>IF('1. Live'!BQ99='check-Jul25'!BQ99,"",'1. Live'!BQ99-'check-Jul25'!BQ99)</f>
        <v/>
      </c>
      <c r="BR99" t="str">
        <f>IF('1. Live'!BR99='check-Jul25'!BR99,"",'1. Live'!BR99-'check-Jul25'!BR99)</f>
        <v/>
      </c>
      <c r="BS99" t="str">
        <f>IF('1. Live'!BS99='check-Jul25'!BS99,"",'1. Live'!BS99-'check-Jul25'!BS99)</f>
        <v/>
      </c>
      <c r="BT99" t="str">
        <f>IF('1. Live'!BT99='check-Jul25'!BT99,"",'1. Live'!BT99-'check-Jul25'!BT99)</f>
        <v/>
      </c>
      <c r="BU99" t="str">
        <f>IF('1. Live'!BU99='check-Jul25'!BU99,"",'1. Live'!BU99-'check-Jul25'!BU99)</f>
        <v/>
      </c>
      <c r="BV99" t="str">
        <f>IF('1. Live'!BV99='check-Jul25'!BV99,"",'1. Live'!BV99-'check-Jul25'!BV99)</f>
        <v/>
      </c>
      <c r="BW99" t="str">
        <f>IF('1. Live'!BW99='check-Jul25'!BW99,"",'1. Live'!BW99-'check-Jul25'!BW99)</f>
        <v/>
      </c>
      <c r="BX99" t="str">
        <f>IF('1. Live'!BX99='check-Jul25'!BX99,"",'1. Live'!BX99-'check-Jul25'!BX99)</f>
        <v/>
      </c>
      <c r="BY99" t="str">
        <f>IF('1. Live'!BY99='check-Jul25'!BY99,"",'1. Live'!BY99-'check-Jul25'!BY99)</f>
        <v/>
      </c>
      <c r="BZ99" t="str">
        <f>IF('1. Live'!BZ99='check-Jul25'!BZ99,"",'1. Live'!BZ99-'check-Jul25'!BZ99)</f>
        <v/>
      </c>
      <c r="CA99" t="str">
        <f>IF('1. Live'!CA99='check-Jul25'!CA99,"",'1. Live'!CA99-'check-Jul25'!CA99)</f>
        <v/>
      </c>
      <c r="CB99" t="str">
        <f>IF('1. Live'!CB99='check-Jul25'!CB99,"",'1. Live'!CB99-'check-Jul25'!CB99)</f>
        <v/>
      </c>
      <c r="CC99" t="str">
        <f>IF('1. Live'!CC99='check-Jul25'!CC99,"",'1. Live'!CC99-'check-Jul25'!CC99)</f>
        <v/>
      </c>
      <c r="CD99" t="str">
        <f>IF('1. Live'!CD99='check-Jul25'!CD99,"",'1. Live'!CD99-'check-Jul25'!CD99)</f>
        <v/>
      </c>
      <c r="CE99" t="str">
        <f>IF('1. Live'!CE99='check-Jul25'!CE99,"",'1. Live'!CE99-'check-Jul25'!CE99)</f>
        <v/>
      </c>
      <c r="CF99" t="str">
        <f>IF('1. Live'!CF99='check-Jul25'!CF99,"",'1. Live'!CF99-'check-Jul25'!CF99)</f>
        <v/>
      </c>
      <c r="CG99" t="str">
        <f>IF('1. Live'!CG99='check-Jul25'!CG99,"",'1. Live'!CG99-'check-Jul25'!CG99)</f>
        <v/>
      </c>
      <c r="CH99" t="str">
        <f>IF('1. Live'!CH99='check-Jul25'!CH99,"",'1. Live'!CH99-'check-Jul25'!CH99)</f>
        <v/>
      </c>
      <c r="CI99" t="str">
        <f>IF('1. Live'!CI99='check-Jul25'!CI99,"",'1. Live'!CI99-'check-Jul25'!CI99)</f>
        <v/>
      </c>
      <c r="CJ99" t="str">
        <f>IF('1. Live'!CJ99='check-Jul25'!CJ99,"",'1. Live'!CJ99-'check-Jul25'!CJ99)</f>
        <v/>
      </c>
      <c r="CK99" t="str">
        <f>IF('1. Live'!CK99='check-Jul25'!CK99,"",'1. Live'!CK99-'check-Jul25'!CK99)</f>
        <v/>
      </c>
      <c r="CL99" t="str">
        <f>IF('1. Live'!CL99='check-Jul25'!CL99,"",'1. Live'!CL99-'check-Jul25'!CL99)</f>
        <v/>
      </c>
      <c r="CM99" t="str">
        <f>IF('1. Live'!CM99='check-Jul25'!CM99,"",'1. Live'!CM99-'check-Jul25'!CM99)</f>
        <v/>
      </c>
      <c r="CN99" t="str">
        <f>IF('1. Live'!CN99='check-Jul25'!CN99,"",'1. Live'!CN99-'check-Jul25'!CN99)</f>
        <v/>
      </c>
      <c r="CO99" t="str">
        <f>IF('1. Live'!CO99='check-Jul25'!CO99,"",'1. Live'!CO99-'check-Jul25'!CO99)</f>
        <v/>
      </c>
      <c r="CP99" t="str">
        <f>IF('1. Live'!CP99='check-Jul25'!CP99,"",'1. Live'!CP99-'check-Jul25'!CP99)</f>
        <v/>
      </c>
      <c r="CQ99" t="str">
        <f>IF('1. Live'!CQ99='check-Jul25'!CQ99,"",'1. Live'!CQ99-'check-Jul25'!CQ99)</f>
        <v/>
      </c>
      <c r="CR99" t="str">
        <f>IF('1. Live'!CR99='check-Jul25'!CR99,"",'1. Live'!CR99-'check-Jul25'!CR99)</f>
        <v/>
      </c>
      <c r="CS99" t="str">
        <f>IF('1. Live'!CS99='check-Jul25'!CS99,"",'1. Live'!CS99-'check-Jul25'!CS99)</f>
        <v/>
      </c>
      <c r="CT99" t="str">
        <f>IF('1. Live'!CT99='check-Jul25'!CT99,"",'1. Live'!CT99-'check-Jul25'!CT99)</f>
        <v/>
      </c>
      <c r="CU99" t="str">
        <f>IF('1. Live'!CU99='check-Jul25'!CU99,"",'1. Live'!CU99-'check-Jul25'!CU99)</f>
        <v/>
      </c>
      <c r="CV99" t="str">
        <f>IF('1. Live'!CV99='check-Jul25'!CV99,"",'1. Live'!CV99-'check-Jul25'!CV99)</f>
        <v/>
      </c>
      <c r="CW99" t="str">
        <f>IF('1. Live'!CW99='check-Jul25'!CW99,"",'1. Live'!CW99-'check-Jul25'!CW99)</f>
        <v/>
      </c>
    </row>
    <row r="100" spans="10:101">
      <c r="J100" t="str">
        <f>IF('1. Live'!J100='check-Jul25'!J100,"",'1. Live'!J100-'check-Jul25'!J100)</f>
        <v/>
      </c>
      <c r="K100" t="str">
        <f>IF('1. Live'!K100='check-Jul25'!K100,"",'1. Live'!K100-'check-Jul25'!K100)</f>
        <v/>
      </c>
      <c r="L100" t="str">
        <f>IF('1. Live'!L100='check-Jul25'!L100,"",'1. Live'!L100-'check-Jul25'!L100)</f>
        <v/>
      </c>
      <c r="M100" t="str">
        <f>IF('1. Live'!M100='check-Jul25'!M100,"",'1. Live'!M100-'check-Jul25'!M100)</f>
        <v/>
      </c>
      <c r="N100" t="str">
        <f>IF('1. Live'!N100='check-Jul25'!N100,"",'1. Live'!N100-'check-Jul25'!N100)</f>
        <v/>
      </c>
      <c r="O100" t="str">
        <f>IF('1. Live'!O100='check-Jul25'!O100,"",'1. Live'!O100-'check-Jul25'!O100)</f>
        <v/>
      </c>
      <c r="P100" t="str">
        <f>IF('1. Live'!P100='check-Jul25'!P100,"",'1. Live'!P100-'check-Jul25'!P100)</f>
        <v/>
      </c>
      <c r="Q100" t="str">
        <f>IF('1. Live'!Q100='check-Jul25'!Q100,"",'1. Live'!Q100-'check-Jul25'!Q100)</f>
        <v/>
      </c>
      <c r="R100" t="str">
        <f>IF('1. Live'!R100='check-Jul25'!R100,"",'1. Live'!R100-'check-Jul25'!R100)</f>
        <v/>
      </c>
      <c r="S100" t="str">
        <f>IF('1. Live'!S100='check-Jul25'!S100,"",'1. Live'!S100-'check-Jul25'!S100)</f>
        <v/>
      </c>
      <c r="T100" t="str">
        <f>IF('1. Live'!T100='check-Jul25'!T100,"",'1. Live'!T100-'check-Jul25'!T100)</f>
        <v/>
      </c>
      <c r="U100" t="str">
        <f>IF('1. Live'!U100='check-Jul25'!U100,"",'1. Live'!U100-'check-Jul25'!U100)</f>
        <v/>
      </c>
      <c r="V100" t="str">
        <f>IF('1. Live'!V100='check-Jul25'!V100,"",'1. Live'!V100-'check-Jul25'!V100)</f>
        <v/>
      </c>
      <c r="W100" t="str">
        <f>IF('1. Live'!W100='check-Jul25'!W100,"",'1. Live'!W100-'check-Jul25'!W100)</f>
        <v/>
      </c>
      <c r="X100" t="str">
        <f>IF('1. Live'!X100='check-Jul25'!X100,"",'1. Live'!X100-'check-Jul25'!X100)</f>
        <v/>
      </c>
      <c r="Y100" t="str">
        <f>IF('1. Live'!Y100='check-Jul25'!Y100,"",'1. Live'!Y100-'check-Jul25'!Y100)</f>
        <v/>
      </c>
      <c r="Z100" t="str">
        <f>IF('1. Live'!Z100='check-Jul25'!Z100,"",'1. Live'!Z100-'check-Jul25'!Z100)</f>
        <v/>
      </c>
      <c r="AA100" t="str">
        <f>IF('1. Live'!AA100='check-Jul25'!AA100,"",'1. Live'!AA100-'check-Jul25'!AA100)</f>
        <v/>
      </c>
      <c r="AB100" t="str">
        <f>IF('1. Live'!AB100='check-Jul25'!AB100,"",'1. Live'!AB100-'check-Jul25'!AB100)</f>
        <v/>
      </c>
      <c r="AC100" t="str">
        <f>IF('1. Live'!AC100='check-Jul25'!AC100,"",'1. Live'!AC100-'check-Jul25'!AC100)</f>
        <v/>
      </c>
      <c r="AD100" t="str">
        <f>IF('1. Live'!AD100='check-Jul25'!AD100,"",'1. Live'!AD100-'check-Jul25'!AD100)</f>
        <v/>
      </c>
      <c r="AE100" t="str">
        <f>IF('1. Live'!AE100='check-Jul25'!AE100,"",'1. Live'!AE100-'check-Jul25'!AE100)</f>
        <v/>
      </c>
      <c r="AF100" t="str">
        <f>IF('1. Live'!AF100='check-Jul25'!AF100,"",'1. Live'!AF100-'check-Jul25'!AF100)</f>
        <v/>
      </c>
      <c r="AG100" t="str">
        <f>IF('1. Live'!AG100='check-Jul25'!AG100,"",'1. Live'!AG100-'check-Jul25'!AG100)</f>
        <v/>
      </c>
      <c r="AH100" t="str">
        <f>IF('1. Live'!AH100='check-Jul25'!AH100,"",'1. Live'!AH100-'check-Jul25'!AH100)</f>
        <v/>
      </c>
      <c r="AI100" t="str">
        <f>IF('1. Live'!AI100='check-Jul25'!AI100,"",'1. Live'!AI100-'check-Jul25'!AI100)</f>
        <v/>
      </c>
      <c r="AJ100" t="str">
        <f>IF('1. Live'!AJ100='check-Jul25'!AJ100,"",'1. Live'!AJ100-'check-Jul25'!AJ100)</f>
        <v/>
      </c>
      <c r="AK100" t="str">
        <f>IF('1. Live'!AK100='check-Jul25'!AK100,"",'1. Live'!AK100-'check-Jul25'!AK100)</f>
        <v/>
      </c>
      <c r="AL100" t="str">
        <f>IF('1. Live'!AL100='check-Jul25'!AL100,"",'1. Live'!AL100-'check-Jul25'!AL100)</f>
        <v/>
      </c>
      <c r="AM100" t="str">
        <f>IF('1. Live'!AM100='check-Jul25'!AM100,"",'1. Live'!AM100-'check-Jul25'!AM100)</f>
        <v/>
      </c>
      <c r="AN100" t="str">
        <f>IF('1. Live'!AN100='check-Jul25'!AN100,"",'1. Live'!AN100-'check-Jul25'!AN100)</f>
        <v/>
      </c>
      <c r="AO100" t="str">
        <f>IF('1. Live'!AO100='check-Jul25'!AO100,"",'1. Live'!AO100-'check-Jul25'!AO100)</f>
        <v/>
      </c>
      <c r="AP100" t="str">
        <f>IF('1. Live'!AP100='check-Jul25'!AP100,"",'1. Live'!AP100-'check-Jul25'!AP100)</f>
        <v/>
      </c>
      <c r="AQ100" t="str">
        <f>IF('1. Live'!AQ100='check-Jul25'!AQ100,"",'1. Live'!AQ100-'check-Jul25'!AQ100)</f>
        <v/>
      </c>
      <c r="AR100" t="str">
        <f>IF('1. Live'!AR100='check-Jul25'!AR100,"",'1. Live'!AR100-'check-Jul25'!AR100)</f>
        <v/>
      </c>
      <c r="AS100" t="str">
        <f>IF('1. Live'!AS100='check-Jul25'!AS100,"",'1. Live'!AS100-'check-Jul25'!AS100)</f>
        <v/>
      </c>
      <c r="AT100" t="str">
        <f>IF('1. Live'!AT100='check-Jul25'!AT100,"",'1. Live'!AT100-'check-Jul25'!AT100)</f>
        <v/>
      </c>
      <c r="AU100" t="str">
        <f>IF('1. Live'!AU100='check-Jul25'!AU100,"",'1. Live'!AU100-'check-Jul25'!AU100)</f>
        <v/>
      </c>
      <c r="AV100" t="str">
        <f>IF('1. Live'!AV100='check-Jul25'!AV100,"",'1. Live'!AV100-'check-Jul25'!AV100)</f>
        <v/>
      </c>
      <c r="AW100" t="str">
        <f>IF('1. Live'!AW100='check-Jul25'!AW100,"",'1. Live'!AW100-'check-Jul25'!AW100)</f>
        <v/>
      </c>
      <c r="AX100" t="str">
        <f>IF('1. Live'!AX100='check-Jul25'!AX100,"",'1. Live'!AX100-'check-Jul25'!AX100)</f>
        <v/>
      </c>
      <c r="AY100" t="str">
        <f>IF('1. Live'!AY100='check-Jul25'!AY100,"",'1. Live'!AY100-'check-Jul25'!AY100)</f>
        <v/>
      </c>
      <c r="AZ100" t="str">
        <f>IF('1. Live'!AZ100='check-Jul25'!AZ100,"",'1. Live'!AZ100-'check-Jul25'!AZ100)</f>
        <v/>
      </c>
      <c r="BA100" t="str">
        <f>IF('1. Live'!BA100='check-Jul25'!BA100,"",'1. Live'!BA100-'check-Jul25'!BA100)</f>
        <v/>
      </c>
      <c r="BB100" t="str">
        <f>IF('1. Live'!BB100='check-Jul25'!BB100,"",'1. Live'!BB100-'check-Jul25'!BB100)</f>
        <v/>
      </c>
      <c r="BC100" t="str">
        <f>IF('1. Live'!BC100='check-Jul25'!BC100,"",'1. Live'!BC100-'check-Jul25'!BC100)</f>
        <v/>
      </c>
      <c r="BD100" t="str">
        <f>IF('1. Live'!BD100='check-Jul25'!BD100,"",'1. Live'!BD100-'check-Jul25'!BD100)</f>
        <v/>
      </c>
      <c r="BE100" t="str">
        <f>IF('1. Live'!BE100='check-Jul25'!BE100,"",'1. Live'!BE100-'check-Jul25'!BE100)</f>
        <v/>
      </c>
      <c r="BF100" t="str">
        <f>IF('1. Live'!BF100='check-Jul25'!BF100,"",'1. Live'!BF100-'check-Jul25'!BF100)</f>
        <v/>
      </c>
      <c r="BG100" t="str">
        <f>IF('1. Live'!BG100='check-Jul25'!BG100,"",'1. Live'!BG100-'check-Jul25'!BG100)</f>
        <v/>
      </c>
      <c r="BH100" t="str">
        <f>IF('1. Live'!BH100='check-Jul25'!BH100,"",'1. Live'!BH100-'check-Jul25'!BH100)</f>
        <v/>
      </c>
      <c r="BI100" t="str">
        <f>IF('1. Live'!BI100='check-Jul25'!BI100,"",'1. Live'!BI100-'check-Jul25'!BI100)</f>
        <v/>
      </c>
      <c r="BJ100" t="str">
        <f>IF('1. Live'!BJ100='check-Jul25'!BJ100,"",'1. Live'!BJ100-'check-Jul25'!BJ100)</f>
        <v/>
      </c>
      <c r="BK100" t="str">
        <f>IF('1. Live'!BK100='check-Jul25'!BK100,"",'1. Live'!BK100-'check-Jul25'!BK100)</f>
        <v/>
      </c>
      <c r="BL100" t="str">
        <f>IF('1. Live'!BL100='check-Jul25'!BL100,"",'1. Live'!BL100-'check-Jul25'!BL100)</f>
        <v/>
      </c>
      <c r="BM100" t="str">
        <f>IF('1. Live'!BM100='check-Jul25'!BM100,"",'1. Live'!BM100-'check-Jul25'!BM100)</f>
        <v/>
      </c>
      <c r="BN100" t="str">
        <f>IF('1. Live'!BN100='check-Jul25'!BN100,"",'1. Live'!BN100-'check-Jul25'!BN100)</f>
        <v/>
      </c>
      <c r="BO100" t="str">
        <f>IF('1. Live'!BO100='check-Jul25'!BO100,"",'1. Live'!BO100-'check-Jul25'!BO100)</f>
        <v/>
      </c>
      <c r="BP100" t="str">
        <f>IF('1. Live'!BP100='check-Jul25'!BP100,"",'1. Live'!BP100-'check-Jul25'!BP100)</f>
        <v/>
      </c>
      <c r="BQ100" t="str">
        <f>IF('1. Live'!BQ100='check-Jul25'!BQ100,"",'1. Live'!BQ100-'check-Jul25'!BQ100)</f>
        <v/>
      </c>
      <c r="BR100" t="str">
        <f>IF('1. Live'!BR100='check-Jul25'!BR100,"",'1. Live'!BR100-'check-Jul25'!BR100)</f>
        <v/>
      </c>
      <c r="BS100" t="str">
        <f>IF('1. Live'!BS100='check-Jul25'!BS100,"",'1. Live'!BS100-'check-Jul25'!BS100)</f>
        <v/>
      </c>
      <c r="BT100" t="str">
        <f>IF('1. Live'!BT100='check-Jul25'!BT100,"",'1. Live'!BT100-'check-Jul25'!BT100)</f>
        <v/>
      </c>
      <c r="BU100" t="str">
        <f>IF('1. Live'!BU100='check-Jul25'!BU100,"",'1. Live'!BU100-'check-Jul25'!BU100)</f>
        <v/>
      </c>
      <c r="BV100" t="str">
        <f>IF('1. Live'!BV100='check-Jul25'!BV100,"",'1. Live'!BV100-'check-Jul25'!BV100)</f>
        <v/>
      </c>
      <c r="BW100" t="str">
        <f>IF('1. Live'!BW100='check-Jul25'!BW100,"",'1. Live'!BW100-'check-Jul25'!BW100)</f>
        <v/>
      </c>
      <c r="BX100" t="str">
        <f>IF('1. Live'!BX100='check-Jul25'!BX100,"",'1. Live'!BX100-'check-Jul25'!BX100)</f>
        <v/>
      </c>
      <c r="BY100" t="str">
        <f>IF('1. Live'!BY100='check-Jul25'!BY100,"",'1. Live'!BY100-'check-Jul25'!BY100)</f>
        <v/>
      </c>
      <c r="BZ100" t="str">
        <f>IF('1. Live'!BZ100='check-Jul25'!BZ100,"",'1. Live'!BZ100-'check-Jul25'!BZ100)</f>
        <v/>
      </c>
      <c r="CA100" t="str">
        <f>IF('1. Live'!CA100='check-Jul25'!CA100,"",'1. Live'!CA100-'check-Jul25'!CA100)</f>
        <v/>
      </c>
      <c r="CB100" t="str">
        <f>IF('1. Live'!CB100='check-Jul25'!CB100,"",'1. Live'!CB100-'check-Jul25'!CB100)</f>
        <v/>
      </c>
      <c r="CC100" t="str">
        <f>IF('1. Live'!CC100='check-Jul25'!CC100,"",'1. Live'!CC100-'check-Jul25'!CC100)</f>
        <v/>
      </c>
      <c r="CD100" t="str">
        <f>IF('1. Live'!CD100='check-Jul25'!CD100,"",'1. Live'!CD100-'check-Jul25'!CD100)</f>
        <v/>
      </c>
      <c r="CE100" t="str">
        <f>IF('1. Live'!CE100='check-Jul25'!CE100,"",'1. Live'!CE100-'check-Jul25'!CE100)</f>
        <v/>
      </c>
      <c r="CF100" t="str">
        <f>IF('1. Live'!CF100='check-Jul25'!CF100,"",'1. Live'!CF100-'check-Jul25'!CF100)</f>
        <v/>
      </c>
      <c r="CG100" t="str">
        <f>IF('1. Live'!CG100='check-Jul25'!CG100,"",'1. Live'!CG100-'check-Jul25'!CG100)</f>
        <v/>
      </c>
      <c r="CH100" t="str">
        <f>IF('1. Live'!CH100='check-Jul25'!CH100,"",'1. Live'!CH100-'check-Jul25'!CH100)</f>
        <v/>
      </c>
      <c r="CI100" t="str">
        <f>IF('1. Live'!CI100='check-Jul25'!CI100,"",'1. Live'!CI100-'check-Jul25'!CI100)</f>
        <v/>
      </c>
      <c r="CJ100" t="str">
        <f>IF('1. Live'!CJ100='check-Jul25'!CJ100,"",'1. Live'!CJ100-'check-Jul25'!CJ100)</f>
        <v/>
      </c>
      <c r="CK100" t="str">
        <f>IF('1. Live'!CK100='check-Jul25'!CK100,"",'1. Live'!CK100-'check-Jul25'!CK100)</f>
        <v/>
      </c>
      <c r="CL100" t="str">
        <f>IF('1. Live'!CL100='check-Jul25'!CL100,"",'1. Live'!CL100-'check-Jul25'!CL100)</f>
        <v/>
      </c>
      <c r="CM100" t="str">
        <f>IF('1. Live'!CM100='check-Jul25'!CM100,"",'1. Live'!CM100-'check-Jul25'!CM100)</f>
        <v/>
      </c>
      <c r="CN100" t="str">
        <f>IF('1. Live'!CN100='check-Jul25'!CN100,"",'1. Live'!CN100-'check-Jul25'!CN100)</f>
        <v/>
      </c>
      <c r="CO100" t="str">
        <f>IF('1. Live'!CO100='check-Jul25'!CO100,"",'1. Live'!CO100-'check-Jul25'!CO100)</f>
        <v/>
      </c>
      <c r="CP100" t="str">
        <f>IF('1. Live'!CP100='check-Jul25'!CP100,"",'1. Live'!CP100-'check-Jul25'!CP100)</f>
        <v/>
      </c>
      <c r="CQ100" t="str">
        <f>IF('1. Live'!CQ100='check-Jul25'!CQ100,"",'1. Live'!CQ100-'check-Jul25'!CQ100)</f>
        <v/>
      </c>
      <c r="CR100" t="str">
        <f>IF('1. Live'!CR100='check-Jul25'!CR100,"",'1. Live'!CR100-'check-Jul25'!CR100)</f>
        <v/>
      </c>
      <c r="CS100" t="str">
        <f>IF('1. Live'!CS100='check-Jul25'!CS100,"",'1. Live'!CS100-'check-Jul25'!CS100)</f>
        <v/>
      </c>
      <c r="CT100" t="str">
        <f>IF('1. Live'!CT100='check-Jul25'!CT100,"",'1. Live'!CT100-'check-Jul25'!CT100)</f>
        <v/>
      </c>
      <c r="CU100" t="str">
        <f>IF('1. Live'!CU100='check-Jul25'!CU100,"",'1. Live'!CU100-'check-Jul25'!CU100)</f>
        <v/>
      </c>
      <c r="CV100" t="str">
        <f>IF('1. Live'!CV100='check-Jul25'!CV100,"",'1. Live'!CV100-'check-Jul25'!CV100)</f>
        <v/>
      </c>
      <c r="CW100" t="str">
        <f>IF('1. Live'!CW100='check-Jul25'!CW100,"",'1. Live'!CW100-'check-Jul25'!CW100)</f>
        <v/>
      </c>
    </row>
    <row r="101" spans="10:101">
      <c r="J101" t="str">
        <f>IF('1. Live'!J101='check-Jul25'!J101,"",'1. Live'!J101-'check-Jul25'!J101)</f>
        <v/>
      </c>
      <c r="K101" t="str">
        <f>IF('1. Live'!K101='check-Jul25'!K101,"",'1. Live'!K101-'check-Jul25'!K101)</f>
        <v/>
      </c>
      <c r="L101" t="str">
        <f>IF('1. Live'!L101='check-Jul25'!L101,"",'1. Live'!L101-'check-Jul25'!L101)</f>
        <v/>
      </c>
      <c r="M101" t="str">
        <f>IF('1. Live'!M101='check-Jul25'!M101,"",'1. Live'!M101-'check-Jul25'!M101)</f>
        <v/>
      </c>
      <c r="N101" t="str">
        <f>IF('1. Live'!N101='check-Jul25'!N101,"",'1. Live'!N101-'check-Jul25'!N101)</f>
        <v/>
      </c>
      <c r="O101" t="str">
        <f>IF('1. Live'!O101='check-Jul25'!O101,"",'1. Live'!O101-'check-Jul25'!O101)</f>
        <v/>
      </c>
      <c r="P101" t="str">
        <f>IF('1. Live'!P101='check-Jul25'!P101,"",'1. Live'!P101-'check-Jul25'!P101)</f>
        <v/>
      </c>
      <c r="Q101" t="str">
        <f>IF('1. Live'!Q101='check-Jul25'!Q101,"",'1. Live'!Q101-'check-Jul25'!Q101)</f>
        <v/>
      </c>
      <c r="R101" t="str">
        <f>IF('1. Live'!R101='check-Jul25'!R101,"",'1. Live'!R101-'check-Jul25'!R101)</f>
        <v/>
      </c>
      <c r="S101" t="str">
        <f>IF('1. Live'!S101='check-Jul25'!S101,"",'1. Live'!S101-'check-Jul25'!S101)</f>
        <v/>
      </c>
      <c r="T101" t="str">
        <f>IF('1. Live'!T101='check-Jul25'!T101,"",'1. Live'!T101-'check-Jul25'!T101)</f>
        <v/>
      </c>
      <c r="U101" t="str">
        <f>IF('1. Live'!U101='check-Jul25'!U101,"",'1. Live'!U101-'check-Jul25'!U101)</f>
        <v/>
      </c>
      <c r="V101" t="str">
        <f>IF('1. Live'!V101='check-Jul25'!V101,"",'1. Live'!V101-'check-Jul25'!V101)</f>
        <v/>
      </c>
      <c r="W101" t="str">
        <f>IF('1. Live'!W101='check-Jul25'!W101,"",'1. Live'!W101-'check-Jul25'!W101)</f>
        <v/>
      </c>
      <c r="X101" t="str">
        <f>IF('1. Live'!X101='check-Jul25'!X101,"",'1. Live'!X101-'check-Jul25'!X101)</f>
        <v/>
      </c>
      <c r="Y101" t="str">
        <f>IF('1. Live'!Y101='check-Jul25'!Y101,"",'1. Live'!Y101-'check-Jul25'!Y101)</f>
        <v/>
      </c>
      <c r="Z101" t="str">
        <f>IF('1. Live'!Z101='check-Jul25'!Z101,"",'1. Live'!Z101-'check-Jul25'!Z101)</f>
        <v/>
      </c>
      <c r="AA101" t="str">
        <f>IF('1. Live'!AA101='check-Jul25'!AA101,"",'1. Live'!AA101-'check-Jul25'!AA101)</f>
        <v/>
      </c>
      <c r="AB101" t="str">
        <f>IF('1. Live'!AB101='check-Jul25'!AB101,"",'1. Live'!AB101-'check-Jul25'!AB101)</f>
        <v/>
      </c>
      <c r="AC101" t="str">
        <f>IF('1. Live'!AC101='check-Jul25'!AC101,"",'1. Live'!AC101-'check-Jul25'!AC101)</f>
        <v/>
      </c>
      <c r="AD101" t="str">
        <f>IF('1. Live'!AD101='check-Jul25'!AD101,"",'1. Live'!AD101-'check-Jul25'!AD101)</f>
        <v/>
      </c>
      <c r="AE101" t="str">
        <f>IF('1. Live'!AE101='check-Jul25'!AE101,"",'1. Live'!AE101-'check-Jul25'!AE101)</f>
        <v/>
      </c>
      <c r="AF101" t="str">
        <f>IF('1. Live'!AF101='check-Jul25'!AF101,"",'1. Live'!AF101-'check-Jul25'!AF101)</f>
        <v/>
      </c>
      <c r="AG101" t="str">
        <f>IF('1. Live'!AG101='check-Jul25'!AG101,"",'1. Live'!AG101-'check-Jul25'!AG101)</f>
        <v/>
      </c>
      <c r="AH101" t="str">
        <f>IF('1. Live'!AH101='check-Jul25'!AH101,"",'1. Live'!AH101-'check-Jul25'!AH101)</f>
        <v/>
      </c>
      <c r="AI101" t="str">
        <f>IF('1. Live'!AI101='check-Jul25'!AI101,"",'1. Live'!AI101-'check-Jul25'!AI101)</f>
        <v/>
      </c>
      <c r="AJ101" t="str">
        <f>IF('1. Live'!AJ101='check-Jul25'!AJ101,"",'1. Live'!AJ101-'check-Jul25'!AJ101)</f>
        <v/>
      </c>
      <c r="AK101" t="str">
        <f>IF('1. Live'!AK101='check-Jul25'!AK101,"",'1. Live'!AK101-'check-Jul25'!AK101)</f>
        <v/>
      </c>
      <c r="AL101" t="str">
        <f>IF('1. Live'!AL101='check-Jul25'!AL101,"",'1. Live'!AL101-'check-Jul25'!AL101)</f>
        <v/>
      </c>
      <c r="AM101" t="str">
        <f>IF('1. Live'!AM101='check-Jul25'!AM101,"",'1. Live'!AM101-'check-Jul25'!AM101)</f>
        <v/>
      </c>
      <c r="AN101" t="str">
        <f>IF('1. Live'!AN101='check-Jul25'!AN101,"",'1. Live'!AN101-'check-Jul25'!AN101)</f>
        <v/>
      </c>
      <c r="AO101" t="str">
        <f>IF('1. Live'!AO101='check-Jul25'!AO101,"",'1. Live'!AO101-'check-Jul25'!AO101)</f>
        <v/>
      </c>
      <c r="AP101" t="str">
        <f>IF('1. Live'!AP101='check-Jul25'!AP101,"",'1. Live'!AP101-'check-Jul25'!AP101)</f>
        <v/>
      </c>
      <c r="AQ101" t="str">
        <f>IF('1. Live'!AQ101='check-Jul25'!AQ101,"",'1. Live'!AQ101-'check-Jul25'!AQ101)</f>
        <v/>
      </c>
      <c r="AR101" t="str">
        <f>IF('1. Live'!AR101='check-Jul25'!AR101,"",'1. Live'!AR101-'check-Jul25'!AR101)</f>
        <v/>
      </c>
      <c r="AS101" t="str">
        <f>IF('1. Live'!AS101='check-Jul25'!AS101,"",'1. Live'!AS101-'check-Jul25'!AS101)</f>
        <v/>
      </c>
      <c r="AT101" t="str">
        <f>IF('1. Live'!AT101='check-Jul25'!AT101,"",'1. Live'!AT101-'check-Jul25'!AT101)</f>
        <v/>
      </c>
      <c r="AU101" t="str">
        <f>IF('1. Live'!AU101='check-Jul25'!AU101,"",'1. Live'!AU101-'check-Jul25'!AU101)</f>
        <v/>
      </c>
      <c r="AV101" t="str">
        <f>IF('1. Live'!AV101='check-Jul25'!AV101,"",'1. Live'!AV101-'check-Jul25'!AV101)</f>
        <v/>
      </c>
      <c r="AW101" t="str">
        <f>IF('1. Live'!AW101='check-Jul25'!AW101,"",'1. Live'!AW101-'check-Jul25'!AW101)</f>
        <v/>
      </c>
      <c r="AX101" t="str">
        <f>IF('1. Live'!AX101='check-Jul25'!AX101,"",'1. Live'!AX101-'check-Jul25'!AX101)</f>
        <v/>
      </c>
      <c r="AY101" t="str">
        <f>IF('1. Live'!AY101='check-Jul25'!AY101,"",'1. Live'!AY101-'check-Jul25'!AY101)</f>
        <v/>
      </c>
      <c r="AZ101" t="str">
        <f>IF('1. Live'!AZ101='check-Jul25'!AZ101,"",'1. Live'!AZ101-'check-Jul25'!AZ101)</f>
        <v/>
      </c>
      <c r="BA101" t="str">
        <f>IF('1. Live'!BA101='check-Jul25'!BA101,"",'1. Live'!BA101-'check-Jul25'!BA101)</f>
        <v/>
      </c>
      <c r="BB101" t="str">
        <f>IF('1. Live'!BB101='check-Jul25'!BB101,"",'1. Live'!BB101-'check-Jul25'!BB101)</f>
        <v/>
      </c>
      <c r="BC101" t="str">
        <f>IF('1. Live'!BC101='check-Jul25'!BC101,"",'1. Live'!BC101-'check-Jul25'!BC101)</f>
        <v/>
      </c>
      <c r="BD101" t="str">
        <f>IF('1. Live'!BD101='check-Jul25'!BD101,"",'1. Live'!BD101-'check-Jul25'!BD101)</f>
        <v/>
      </c>
      <c r="BE101" t="str">
        <f>IF('1. Live'!BE101='check-Jul25'!BE101,"",'1. Live'!BE101-'check-Jul25'!BE101)</f>
        <v/>
      </c>
      <c r="BF101" t="str">
        <f>IF('1. Live'!BF101='check-Jul25'!BF101,"",'1. Live'!BF101-'check-Jul25'!BF101)</f>
        <v/>
      </c>
      <c r="BG101" t="str">
        <f>IF('1. Live'!BG101='check-Jul25'!BG101,"",'1. Live'!BG101-'check-Jul25'!BG101)</f>
        <v/>
      </c>
      <c r="BH101" t="str">
        <f>IF('1. Live'!BH101='check-Jul25'!BH101,"",'1. Live'!BH101-'check-Jul25'!BH101)</f>
        <v/>
      </c>
      <c r="BI101" t="str">
        <f>IF('1. Live'!BI101='check-Jul25'!BI101,"",'1. Live'!BI101-'check-Jul25'!BI101)</f>
        <v/>
      </c>
      <c r="BJ101" t="str">
        <f>IF('1. Live'!BJ101='check-Jul25'!BJ101,"",'1. Live'!BJ101-'check-Jul25'!BJ101)</f>
        <v/>
      </c>
      <c r="BK101" t="str">
        <f>IF('1. Live'!BK101='check-Jul25'!BK101,"",'1. Live'!BK101-'check-Jul25'!BK101)</f>
        <v/>
      </c>
      <c r="BL101" t="str">
        <f>IF('1. Live'!BL101='check-Jul25'!BL101,"",'1. Live'!BL101-'check-Jul25'!BL101)</f>
        <v/>
      </c>
      <c r="BM101" t="str">
        <f>IF('1. Live'!BM101='check-Jul25'!BM101,"",'1. Live'!BM101-'check-Jul25'!BM101)</f>
        <v/>
      </c>
      <c r="BN101" t="str">
        <f>IF('1. Live'!BN101='check-Jul25'!BN101,"",'1. Live'!BN101-'check-Jul25'!BN101)</f>
        <v/>
      </c>
      <c r="BO101" t="str">
        <f>IF('1. Live'!BO101='check-Jul25'!BO101,"",'1. Live'!BO101-'check-Jul25'!BO101)</f>
        <v/>
      </c>
      <c r="BP101" t="str">
        <f>IF('1. Live'!BP101='check-Jul25'!BP101,"",'1. Live'!BP101-'check-Jul25'!BP101)</f>
        <v/>
      </c>
      <c r="BQ101" t="str">
        <f>IF('1. Live'!BQ101='check-Jul25'!BQ101,"",'1. Live'!BQ101-'check-Jul25'!BQ101)</f>
        <v/>
      </c>
      <c r="BR101" t="str">
        <f>IF('1. Live'!BR101='check-Jul25'!BR101,"",'1. Live'!BR101-'check-Jul25'!BR101)</f>
        <v/>
      </c>
      <c r="BS101" t="str">
        <f>IF('1. Live'!BS101='check-Jul25'!BS101,"",'1. Live'!BS101-'check-Jul25'!BS101)</f>
        <v/>
      </c>
      <c r="BT101" t="str">
        <f>IF('1. Live'!BT101='check-Jul25'!BT101,"",'1. Live'!BT101-'check-Jul25'!BT101)</f>
        <v/>
      </c>
      <c r="BU101" t="str">
        <f>IF('1. Live'!BU101='check-Jul25'!BU101,"",'1. Live'!BU101-'check-Jul25'!BU101)</f>
        <v/>
      </c>
      <c r="BV101" t="str">
        <f>IF('1. Live'!BV101='check-Jul25'!BV101,"",'1. Live'!BV101-'check-Jul25'!BV101)</f>
        <v/>
      </c>
      <c r="BW101" t="str">
        <f>IF('1. Live'!BW101='check-Jul25'!BW101,"",'1. Live'!BW101-'check-Jul25'!BW101)</f>
        <v/>
      </c>
      <c r="BX101" t="str">
        <f>IF('1. Live'!BX101='check-Jul25'!BX101,"",'1. Live'!BX101-'check-Jul25'!BX101)</f>
        <v/>
      </c>
      <c r="BY101" t="str">
        <f>IF('1. Live'!BY101='check-Jul25'!BY101,"",'1. Live'!BY101-'check-Jul25'!BY101)</f>
        <v/>
      </c>
      <c r="BZ101" t="str">
        <f>IF('1. Live'!BZ101='check-Jul25'!BZ101,"",'1. Live'!BZ101-'check-Jul25'!BZ101)</f>
        <v/>
      </c>
      <c r="CA101" t="str">
        <f>IF('1. Live'!CA101='check-Jul25'!CA101,"",'1. Live'!CA101-'check-Jul25'!CA101)</f>
        <v/>
      </c>
      <c r="CB101" t="str">
        <f>IF('1. Live'!CB101='check-Jul25'!CB101,"",'1. Live'!CB101-'check-Jul25'!CB101)</f>
        <v/>
      </c>
      <c r="CC101" t="str">
        <f>IF('1. Live'!CC101='check-Jul25'!CC101,"",'1. Live'!CC101-'check-Jul25'!CC101)</f>
        <v/>
      </c>
      <c r="CD101" t="str">
        <f>IF('1. Live'!CD101='check-Jul25'!CD101,"",'1. Live'!CD101-'check-Jul25'!CD101)</f>
        <v/>
      </c>
      <c r="CE101" t="str">
        <f>IF('1. Live'!CE101='check-Jul25'!CE101,"",'1. Live'!CE101-'check-Jul25'!CE101)</f>
        <v/>
      </c>
      <c r="CF101" t="str">
        <f>IF('1. Live'!CF101='check-Jul25'!CF101,"",'1. Live'!CF101-'check-Jul25'!CF101)</f>
        <v/>
      </c>
      <c r="CG101" t="str">
        <f>IF('1. Live'!CG101='check-Jul25'!CG101,"",'1. Live'!CG101-'check-Jul25'!CG101)</f>
        <v/>
      </c>
      <c r="CH101" t="str">
        <f>IF('1. Live'!CH101='check-Jul25'!CH101,"",'1. Live'!CH101-'check-Jul25'!CH101)</f>
        <v/>
      </c>
      <c r="CI101" t="str">
        <f>IF('1. Live'!CI101='check-Jul25'!CI101,"",'1. Live'!CI101-'check-Jul25'!CI101)</f>
        <v/>
      </c>
      <c r="CJ101" t="str">
        <f>IF('1. Live'!CJ101='check-Jul25'!CJ101,"",'1. Live'!CJ101-'check-Jul25'!CJ101)</f>
        <v/>
      </c>
      <c r="CK101" t="str">
        <f>IF('1. Live'!CK101='check-Jul25'!CK101,"",'1. Live'!CK101-'check-Jul25'!CK101)</f>
        <v/>
      </c>
      <c r="CL101" t="str">
        <f>IF('1. Live'!CL101='check-Jul25'!CL101,"",'1. Live'!CL101-'check-Jul25'!CL101)</f>
        <v/>
      </c>
      <c r="CM101" t="str">
        <f>IF('1. Live'!CM101='check-Jul25'!CM101,"",'1. Live'!CM101-'check-Jul25'!CM101)</f>
        <v/>
      </c>
      <c r="CN101" t="str">
        <f>IF('1. Live'!CN101='check-Jul25'!CN101,"",'1. Live'!CN101-'check-Jul25'!CN101)</f>
        <v/>
      </c>
      <c r="CO101" t="str">
        <f>IF('1. Live'!CO101='check-Jul25'!CO101,"",'1. Live'!CO101-'check-Jul25'!CO101)</f>
        <v/>
      </c>
      <c r="CP101" t="str">
        <f>IF('1. Live'!CP101='check-Jul25'!CP101,"",'1. Live'!CP101-'check-Jul25'!CP101)</f>
        <v/>
      </c>
      <c r="CQ101" t="str">
        <f>IF('1. Live'!CQ101='check-Jul25'!CQ101,"",'1. Live'!CQ101-'check-Jul25'!CQ101)</f>
        <v/>
      </c>
      <c r="CR101" t="str">
        <f>IF('1. Live'!CR101='check-Jul25'!CR101,"",'1. Live'!CR101-'check-Jul25'!CR101)</f>
        <v/>
      </c>
      <c r="CS101" t="str">
        <f>IF('1. Live'!CS101='check-Jul25'!CS101,"",'1. Live'!CS101-'check-Jul25'!CS101)</f>
        <v/>
      </c>
      <c r="CT101" t="str">
        <f>IF('1. Live'!CT101='check-Jul25'!CT101,"",'1. Live'!CT101-'check-Jul25'!CT101)</f>
        <v/>
      </c>
      <c r="CU101" t="str">
        <f>IF('1. Live'!CU101='check-Jul25'!CU101,"",'1. Live'!CU101-'check-Jul25'!CU101)</f>
        <v/>
      </c>
      <c r="CV101" t="str">
        <f>IF('1. Live'!CV101='check-Jul25'!CV101,"",'1. Live'!CV101-'check-Jul25'!CV101)</f>
        <v/>
      </c>
      <c r="CW101" t="str">
        <f>IF('1. Live'!CW101='check-Jul25'!CW101,"",'1. Live'!CW101-'check-Jul25'!CW101)</f>
        <v/>
      </c>
    </row>
    <row r="102" spans="10:101">
      <c r="J102" t="str">
        <f>IF('1. Live'!J102='check-Jul25'!J102,"",'1. Live'!J102-'check-Jul25'!J102)</f>
        <v/>
      </c>
      <c r="K102" t="str">
        <f>IF('1. Live'!K102='check-Jul25'!K102,"",'1. Live'!K102-'check-Jul25'!K102)</f>
        <v/>
      </c>
      <c r="L102" t="str">
        <f>IF('1. Live'!L102='check-Jul25'!L102,"",'1. Live'!L102-'check-Jul25'!L102)</f>
        <v/>
      </c>
      <c r="M102" t="str">
        <f>IF('1. Live'!M102='check-Jul25'!M102,"",'1. Live'!M102-'check-Jul25'!M102)</f>
        <v/>
      </c>
      <c r="N102" t="str">
        <f>IF('1. Live'!N102='check-Jul25'!N102,"",'1. Live'!N102-'check-Jul25'!N102)</f>
        <v/>
      </c>
      <c r="O102" t="str">
        <f>IF('1. Live'!O102='check-Jul25'!O102,"",'1. Live'!O102-'check-Jul25'!O102)</f>
        <v/>
      </c>
      <c r="P102" t="str">
        <f>IF('1. Live'!P102='check-Jul25'!P102,"",'1. Live'!P102-'check-Jul25'!P102)</f>
        <v/>
      </c>
      <c r="Q102" t="str">
        <f>IF('1. Live'!Q102='check-Jul25'!Q102,"",'1. Live'!Q102-'check-Jul25'!Q102)</f>
        <v/>
      </c>
      <c r="R102" t="str">
        <f>IF('1. Live'!R102='check-Jul25'!R102,"",'1. Live'!R102-'check-Jul25'!R102)</f>
        <v/>
      </c>
      <c r="S102" t="str">
        <f>IF('1. Live'!S102='check-Jul25'!S102,"",'1. Live'!S102-'check-Jul25'!S102)</f>
        <v/>
      </c>
      <c r="T102" t="str">
        <f>IF('1. Live'!T102='check-Jul25'!T102,"",'1. Live'!T102-'check-Jul25'!T102)</f>
        <v/>
      </c>
      <c r="U102" t="str">
        <f>IF('1. Live'!U102='check-Jul25'!U102,"",'1. Live'!U102-'check-Jul25'!U102)</f>
        <v/>
      </c>
      <c r="V102" t="str">
        <f>IF('1. Live'!V102='check-Jul25'!V102,"",'1. Live'!V102-'check-Jul25'!V102)</f>
        <v/>
      </c>
      <c r="W102" t="str">
        <f>IF('1. Live'!W102='check-Jul25'!W102,"",'1. Live'!W102-'check-Jul25'!W102)</f>
        <v/>
      </c>
      <c r="X102" t="str">
        <f>IF('1. Live'!X102='check-Jul25'!X102,"",'1. Live'!X102-'check-Jul25'!X102)</f>
        <v/>
      </c>
      <c r="Y102" t="str">
        <f>IF('1. Live'!Y102='check-Jul25'!Y102,"",'1. Live'!Y102-'check-Jul25'!Y102)</f>
        <v/>
      </c>
      <c r="Z102" t="str">
        <f>IF('1. Live'!Z102='check-Jul25'!Z102,"",'1. Live'!Z102-'check-Jul25'!Z102)</f>
        <v/>
      </c>
      <c r="AA102" t="str">
        <f>IF('1. Live'!AA102='check-Jul25'!AA102,"",'1. Live'!AA102-'check-Jul25'!AA102)</f>
        <v/>
      </c>
      <c r="AB102" t="str">
        <f>IF('1. Live'!AB102='check-Jul25'!AB102,"",'1. Live'!AB102-'check-Jul25'!AB102)</f>
        <v/>
      </c>
      <c r="AC102" t="str">
        <f>IF('1. Live'!AC102='check-Jul25'!AC102,"",'1. Live'!AC102-'check-Jul25'!AC102)</f>
        <v/>
      </c>
      <c r="AD102" t="str">
        <f>IF('1. Live'!AD102='check-Jul25'!AD102,"",'1. Live'!AD102-'check-Jul25'!AD102)</f>
        <v/>
      </c>
      <c r="AE102" t="str">
        <f>IF('1. Live'!AE102='check-Jul25'!AE102,"",'1. Live'!AE102-'check-Jul25'!AE102)</f>
        <v/>
      </c>
      <c r="AF102" t="str">
        <f>IF('1. Live'!AF102='check-Jul25'!AF102,"",'1. Live'!AF102-'check-Jul25'!AF102)</f>
        <v/>
      </c>
      <c r="AG102" t="str">
        <f>IF('1. Live'!AG102='check-Jul25'!AG102,"",'1. Live'!AG102-'check-Jul25'!AG102)</f>
        <v/>
      </c>
      <c r="AH102" t="str">
        <f>IF('1. Live'!AH102='check-Jul25'!AH102,"",'1. Live'!AH102-'check-Jul25'!AH102)</f>
        <v/>
      </c>
      <c r="AI102" t="str">
        <f>IF('1. Live'!AI102='check-Jul25'!AI102,"",'1. Live'!AI102-'check-Jul25'!AI102)</f>
        <v/>
      </c>
      <c r="AJ102" t="str">
        <f>IF('1. Live'!AJ102='check-Jul25'!AJ102,"",'1. Live'!AJ102-'check-Jul25'!AJ102)</f>
        <v/>
      </c>
      <c r="AK102" t="str">
        <f>IF('1. Live'!AK102='check-Jul25'!AK102,"",'1. Live'!AK102-'check-Jul25'!AK102)</f>
        <v/>
      </c>
      <c r="AL102" t="str">
        <f>IF('1. Live'!AL102='check-Jul25'!AL102,"",'1. Live'!AL102-'check-Jul25'!AL102)</f>
        <v/>
      </c>
      <c r="AM102" t="str">
        <f>IF('1. Live'!AM102='check-Jul25'!AM102,"",'1. Live'!AM102-'check-Jul25'!AM102)</f>
        <v/>
      </c>
      <c r="AN102" t="str">
        <f>IF('1. Live'!AN102='check-Jul25'!AN102,"",'1. Live'!AN102-'check-Jul25'!AN102)</f>
        <v/>
      </c>
      <c r="AO102" t="str">
        <f>IF('1. Live'!AO102='check-Jul25'!AO102,"",'1. Live'!AO102-'check-Jul25'!AO102)</f>
        <v/>
      </c>
      <c r="AP102" t="str">
        <f>IF('1. Live'!AP102='check-Jul25'!AP102,"",'1. Live'!AP102-'check-Jul25'!AP102)</f>
        <v/>
      </c>
      <c r="AQ102" t="str">
        <f>IF('1. Live'!AQ102='check-Jul25'!AQ102,"",'1. Live'!AQ102-'check-Jul25'!AQ102)</f>
        <v/>
      </c>
      <c r="AR102" t="str">
        <f>IF('1. Live'!AR102='check-Jul25'!AR102,"",'1. Live'!AR102-'check-Jul25'!AR102)</f>
        <v/>
      </c>
      <c r="AS102" t="str">
        <f>IF('1. Live'!AS102='check-Jul25'!AS102,"",'1. Live'!AS102-'check-Jul25'!AS102)</f>
        <v/>
      </c>
      <c r="AT102" t="str">
        <f>IF('1. Live'!AT102='check-Jul25'!AT102,"",'1. Live'!AT102-'check-Jul25'!AT102)</f>
        <v/>
      </c>
      <c r="AU102" t="str">
        <f>IF('1. Live'!AU102='check-Jul25'!AU102,"",'1. Live'!AU102-'check-Jul25'!AU102)</f>
        <v/>
      </c>
      <c r="AV102" t="str">
        <f>IF('1. Live'!AV102='check-Jul25'!AV102,"",'1. Live'!AV102-'check-Jul25'!AV102)</f>
        <v/>
      </c>
      <c r="AW102" t="str">
        <f>IF('1. Live'!AW102='check-Jul25'!AW102,"",'1. Live'!AW102-'check-Jul25'!AW102)</f>
        <v/>
      </c>
      <c r="AX102" t="str">
        <f>IF('1. Live'!AX102='check-Jul25'!AX102,"",'1. Live'!AX102-'check-Jul25'!AX102)</f>
        <v/>
      </c>
      <c r="AY102" t="str">
        <f>IF('1. Live'!AY102='check-Jul25'!AY102,"",'1. Live'!AY102-'check-Jul25'!AY102)</f>
        <v/>
      </c>
      <c r="AZ102" t="str">
        <f>IF('1. Live'!AZ102='check-Jul25'!AZ102,"",'1. Live'!AZ102-'check-Jul25'!AZ102)</f>
        <v/>
      </c>
      <c r="BA102" t="str">
        <f>IF('1. Live'!BA102='check-Jul25'!BA102,"",'1. Live'!BA102-'check-Jul25'!BA102)</f>
        <v/>
      </c>
      <c r="BB102" t="str">
        <f>IF('1. Live'!BB102='check-Jul25'!BB102,"",'1. Live'!BB102-'check-Jul25'!BB102)</f>
        <v/>
      </c>
      <c r="BC102" t="str">
        <f>IF('1. Live'!BC102='check-Jul25'!BC102,"",'1. Live'!BC102-'check-Jul25'!BC102)</f>
        <v/>
      </c>
      <c r="BD102" t="str">
        <f>IF('1. Live'!BD102='check-Jul25'!BD102,"",'1. Live'!BD102-'check-Jul25'!BD102)</f>
        <v/>
      </c>
      <c r="BE102" t="str">
        <f>IF('1. Live'!BE102='check-Jul25'!BE102,"",'1. Live'!BE102-'check-Jul25'!BE102)</f>
        <v/>
      </c>
      <c r="BF102" t="str">
        <f>IF('1. Live'!BF102='check-Jul25'!BF102,"",'1. Live'!BF102-'check-Jul25'!BF102)</f>
        <v/>
      </c>
      <c r="BG102" t="str">
        <f>IF('1. Live'!BG102='check-Jul25'!BG102,"",'1. Live'!BG102-'check-Jul25'!BG102)</f>
        <v/>
      </c>
      <c r="BH102" t="str">
        <f>IF('1. Live'!BH102='check-Jul25'!BH102,"",'1. Live'!BH102-'check-Jul25'!BH102)</f>
        <v/>
      </c>
      <c r="BI102" t="str">
        <f>IF('1. Live'!BI102='check-Jul25'!BI102,"",'1. Live'!BI102-'check-Jul25'!BI102)</f>
        <v/>
      </c>
      <c r="BJ102" t="str">
        <f>IF('1. Live'!BJ102='check-Jul25'!BJ102,"",'1. Live'!BJ102-'check-Jul25'!BJ102)</f>
        <v/>
      </c>
      <c r="BK102" t="str">
        <f>IF('1. Live'!BK102='check-Jul25'!BK102,"",'1. Live'!BK102-'check-Jul25'!BK102)</f>
        <v/>
      </c>
      <c r="BL102" t="str">
        <f>IF('1. Live'!BL102='check-Jul25'!BL102,"",'1. Live'!BL102-'check-Jul25'!BL102)</f>
        <v/>
      </c>
      <c r="BM102" t="str">
        <f>IF('1. Live'!BM102='check-Jul25'!BM102,"",'1. Live'!BM102-'check-Jul25'!BM102)</f>
        <v/>
      </c>
      <c r="BN102" t="str">
        <f>IF('1. Live'!BN102='check-Jul25'!BN102,"",'1. Live'!BN102-'check-Jul25'!BN102)</f>
        <v/>
      </c>
      <c r="BO102" t="str">
        <f>IF('1. Live'!BO102='check-Jul25'!BO102,"",'1. Live'!BO102-'check-Jul25'!BO102)</f>
        <v/>
      </c>
      <c r="BP102" t="str">
        <f>IF('1. Live'!BP102='check-Jul25'!BP102,"",'1. Live'!BP102-'check-Jul25'!BP102)</f>
        <v/>
      </c>
      <c r="BQ102" t="str">
        <f>IF('1. Live'!BQ102='check-Jul25'!BQ102,"",'1. Live'!BQ102-'check-Jul25'!BQ102)</f>
        <v/>
      </c>
      <c r="BR102" t="str">
        <f>IF('1. Live'!BR102='check-Jul25'!BR102,"",'1. Live'!BR102-'check-Jul25'!BR102)</f>
        <v/>
      </c>
      <c r="BS102" t="str">
        <f>IF('1. Live'!BS102='check-Jul25'!BS102,"",'1. Live'!BS102-'check-Jul25'!BS102)</f>
        <v/>
      </c>
      <c r="BT102" t="str">
        <f>IF('1. Live'!BT102='check-Jul25'!BT102,"",'1. Live'!BT102-'check-Jul25'!BT102)</f>
        <v/>
      </c>
      <c r="BU102" t="str">
        <f>IF('1. Live'!BU102='check-Jul25'!BU102,"",'1. Live'!BU102-'check-Jul25'!BU102)</f>
        <v/>
      </c>
      <c r="BV102" t="str">
        <f>IF('1. Live'!BV102='check-Jul25'!BV102,"",'1. Live'!BV102-'check-Jul25'!BV102)</f>
        <v/>
      </c>
      <c r="BW102" t="str">
        <f>IF('1. Live'!BW102='check-Jul25'!BW102,"",'1. Live'!BW102-'check-Jul25'!BW102)</f>
        <v/>
      </c>
      <c r="BX102" t="str">
        <f>IF('1. Live'!BX102='check-Jul25'!BX102,"",'1. Live'!BX102-'check-Jul25'!BX102)</f>
        <v/>
      </c>
      <c r="BY102" t="str">
        <f>IF('1. Live'!BY102='check-Jul25'!BY102,"",'1. Live'!BY102-'check-Jul25'!BY102)</f>
        <v/>
      </c>
      <c r="BZ102" t="str">
        <f>IF('1. Live'!BZ102='check-Jul25'!BZ102,"",'1. Live'!BZ102-'check-Jul25'!BZ102)</f>
        <v/>
      </c>
      <c r="CA102" t="str">
        <f>IF('1. Live'!CA102='check-Jul25'!CA102,"",'1. Live'!CA102-'check-Jul25'!CA102)</f>
        <v/>
      </c>
      <c r="CB102" t="str">
        <f>IF('1. Live'!CB102='check-Jul25'!CB102,"",'1. Live'!CB102-'check-Jul25'!CB102)</f>
        <v/>
      </c>
      <c r="CC102" t="str">
        <f>IF('1. Live'!CC102='check-Jul25'!CC102,"",'1. Live'!CC102-'check-Jul25'!CC102)</f>
        <v/>
      </c>
      <c r="CD102" t="str">
        <f>IF('1. Live'!CD102='check-Jul25'!CD102,"",'1. Live'!CD102-'check-Jul25'!CD102)</f>
        <v/>
      </c>
      <c r="CE102" t="str">
        <f>IF('1. Live'!CE102='check-Jul25'!CE102,"",'1. Live'!CE102-'check-Jul25'!CE102)</f>
        <v/>
      </c>
      <c r="CF102" t="str">
        <f>IF('1. Live'!CF102='check-Jul25'!CF102,"",'1. Live'!CF102-'check-Jul25'!CF102)</f>
        <v/>
      </c>
      <c r="CG102" t="str">
        <f>IF('1. Live'!CG102='check-Jul25'!CG102,"",'1. Live'!CG102-'check-Jul25'!CG102)</f>
        <v/>
      </c>
      <c r="CH102" t="str">
        <f>IF('1. Live'!CH102='check-Jul25'!CH102,"",'1. Live'!CH102-'check-Jul25'!CH102)</f>
        <v/>
      </c>
      <c r="CI102" t="str">
        <f>IF('1. Live'!CI102='check-Jul25'!CI102,"",'1. Live'!CI102-'check-Jul25'!CI102)</f>
        <v/>
      </c>
      <c r="CJ102" t="str">
        <f>IF('1. Live'!CJ102='check-Jul25'!CJ102,"",'1. Live'!CJ102-'check-Jul25'!CJ102)</f>
        <v/>
      </c>
      <c r="CK102" t="str">
        <f>IF('1. Live'!CK102='check-Jul25'!CK102,"",'1. Live'!CK102-'check-Jul25'!CK102)</f>
        <v/>
      </c>
      <c r="CL102" t="str">
        <f>IF('1. Live'!CL102='check-Jul25'!CL102,"",'1. Live'!CL102-'check-Jul25'!CL102)</f>
        <v/>
      </c>
      <c r="CM102" t="str">
        <f>IF('1. Live'!CM102='check-Jul25'!CM102,"",'1. Live'!CM102-'check-Jul25'!CM102)</f>
        <v/>
      </c>
      <c r="CN102" t="str">
        <f>IF('1. Live'!CN102='check-Jul25'!CN102,"",'1. Live'!CN102-'check-Jul25'!CN102)</f>
        <v/>
      </c>
      <c r="CO102" t="str">
        <f>IF('1. Live'!CO102='check-Jul25'!CO102,"",'1. Live'!CO102-'check-Jul25'!CO102)</f>
        <v/>
      </c>
      <c r="CP102" t="str">
        <f>IF('1. Live'!CP102='check-Jul25'!CP102,"",'1. Live'!CP102-'check-Jul25'!CP102)</f>
        <v/>
      </c>
      <c r="CQ102" t="str">
        <f>IF('1. Live'!CQ102='check-Jul25'!CQ102,"",'1. Live'!CQ102-'check-Jul25'!CQ102)</f>
        <v/>
      </c>
      <c r="CR102" t="str">
        <f>IF('1. Live'!CR102='check-Jul25'!CR102,"",'1. Live'!CR102-'check-Jul25'!CR102)</f>
        <v/>
      </c>
      <c r="CS102" t="str">
        <f>IF('1. Live'!CS102='check-Jul25'!CS102,"",'1. Live'!CS102-'check-Jul25'!CS102)</f>
        <v/>
      </c>
      <c r="CT102" t="str">
        <f>IF('1. Live'!CT102='check-Jul25'!CT102,"",'1. Live'!CT102-'check-Jul25'!CT102)</f>
        <v/>
      </c>
      <c r="CU102" t="str">
        <f>IF('1. Live'!CU102='check-Jul25'!CU102,"",'1. Live'!CU102-'check-Jul25'!CU102)</f>
        <v/>
      </c>
      <c r="CV102" t="str">
        <f>IF('1. Live'!CV102='check-Jul25'!CV102,"",'1. Live'!CV102-'check-Jul25'!CV102)</f>
        <v/>
      </c>
      <c r="CW102" t="str">
        <f>IF('1. Live'!CW102='check-Jul25'!CW102,"",'1. Live'!CW102-'check-Jul25'!CW102)</f>
        <v/>
      </c>
    </row>
    <row r="103" spans="10:101">
      <c r="J103" t="str">
        <f>IF('1. Live'!J103='check-Jul25'!J103,"",'1. Live'!J103-'check-Jul25'!J103)</f>
        <v/>
      </c>
      <c r="K103" t="str">
        <f>IF('1. Live'!K103='check-Jul25'!K103,"",'1. Live'!K103-'check-Jul25'!K103)</f>
        <v/>
      </c>
      <c r="L103" t="str">
        <f>IF('1. Live'!L103='check-Jul25'!L103,"",'1. Live'!L103-'check-Jul25'!L103)</f>
        <v/>
      </c>
      <c r="M103" t="str">
        <f>IF('1. Live'!M103='check-Jul25'!M103,"",'1. Live'!M103-'check-Jul25'!M103)</f>
        <v/>
      </c>
      <c r="N103" t="str">
        <f>IF('1. Live'!N103='check-Jul25'!N103,"",'1. Live'!N103-'check-Jul25'!N103)</f>
        <v/>
      </c>
      <c r="O103" t="str">
        <f>IF('1. Live'!O103='check-Jul25'!O103,"",'1. Live'!O103-'check-Jul25'!O103)</f>
        <v/>
      </c>
      <c r="P103" t="str">
        <f>IF('1. Live'!P103='check-Jul25'!P103,"",'1. Live'!P103-'check-Jul25'!P103)</f>
        <v/>
      </c>
      <c r="Q103" t="str">
        <f>IF('1. Live'!Q103='check-Jul25'!Q103,"",'1. Live'!Q103-'check-Jul25'!Q103)</f>
        <v/>
      </c>
      <c r="R103" t="str">
        <f>IF('1. Live'!R103='check-Jul25'!R103,"",'1. Live'!R103-'check-Jul25'!R103)</f>
        <v/>
      </c>
      <c r="S103" t="str">
        <f>IF('1. Live'!S103='check-Jul25'!S103,"",'1. Live'!S103-'check-Jul25'!S103)</f>
        <v/>
      </c>
      <c r="T103" t="str">
        <f>IF('1. Live'!T103='check-Jul25'!T103,"",'1. Live'!T103-'check-Jul25'!T103)</f>
        <v/>
      </c>
      <c r="U103" t="str">
        <f>IF('1. Live'!U103='check-Jul25'!U103,"",'1. Live'!U103-'check-Jul25'!U103)</f>
        <v/>
      </c>
      <c r="V103" t="str">
        <f>IF('1. Live'!V103='check-Jul25'!V103,"",'1. Live'!V103-'check-Jul25'!V103)</f>
        <v/>
      </c>
      <c r="W103" t="str">
        <f>IF('1. Live'!W103='check-Jul25'!W103,"",'1. Live'!W103-'check-Jul25'!W103)</f>
        <v/>
      </c>
      <c r="X103" t="str">
        <f>IF('1. Live'!X103='check-Jul25'!X103,"",'1. Live'!X103-'check-Jul25'!X103)</f>
        <v/>
      </c>
      <c r="Y103" t="str">
        <f>IF('1. Live'!Y103='check-Jul25'!Y103,"",'1. Live'!Y103-'check-Jul25'!Y103)</f>
        <v/>
      </c>
      <c r="Z103" t="str">
        <f>IF('1. Live'!Z103='check-Jul25'!Z103,"",'1. Live'!Z103-'check-Jul25'!Z103)</f>
        <v/>
      </c>
      <c r="AA103" t="str">
        <f>IF('1. Live'!AA103='check-Jul25'!AA103,"",'1. Live'!AA103-'check-Jul25'!AA103)</f>
        <v/>
      </c>
      <c r="AB103" t="str">
        <f>IF('1. Live'!AB103='check-Jul25'!AB103,"",'1. Live'!AB103-'check-Jul25'!AB103)</f>
        <v/>
      </c>
      <c r="AC103" t="str">
        <f>IF('1. Live'!AC103='check-Jul25'!AC103,"",'1. Live'!AC103-'check-Jul25'!AC103)</f>
        <v/>
      </c>
      <c r="AD103" t="str">
        <f>IF('1. Live'!AD103='check-Jul25'!AD103,"",'1. Live'!AD103-'check-Jul25'!AD103)</f>
        <v/>
      </c>
      <c r="AE103" t="str">
        <f>IF('1. Live'!AE103='check-Jul25'!AE103,"",'1. Live'!AE103-'check-Jul25'!AE103)</f>
        <v/>
      </c>
      <c r="AF103" t="str">
        <f>IF('1. Live'!AF103='check-Jul25'!AF103,"",'1. Live'!AF103-'check-Jul25'!AF103)</f>
        <v/>
      </c>
      <c r="AG103" t="str">
        <f>IF('1. Live'!AG103='check-Jul25'!AG103,"",'1. Live'!AG103-'check-Jul25'!AG103)</f>
        <v/>
      </c>
      <c r="AH103" t="str">
        <f>IF('1. Live'!AH103='check-Jul25'!AH103,"",'1. Live'!AH103-'check-Jul25'!AH103)</f>
        <v/>
      </c>
      <c r="AI103" t="str">
        <f>IF('1. Live'!AI103='check-Jul25'!AI103,"",'1. Live'!AI103-'check-Jul25'!AI103)</f>
        <v/>
      </c>
      <c r="AJ103" t="str">
        <f>IF('1. Live'!AJ103='check-Jul25'!AJ103,"",'1. Live'!AJ103-'check-Jul25'!AJ103)</f>
        <v/>
      </c>
      <c r="AK103" t="str">
        <f>IF('1. Live'!AK103='check-Jul25'!AK103,"",'1. Live'!AK103-'check-Jul25'!AK103)</f>
        <v/>
      </c>
      <c r="AL103" t="str">
        <f>IF('1. Live'!AL103='check-Jul25'!AL103,"",'1. Live'!AL103-'check-Jul25'!AL103)</f>
        <v/>
      </c>
      <c r="AM103" t="str">
        <f>IF('1. Live'!AM103='check-Jul25'!AM103,"",'1. Live'!AM103-'check-Jul25'!AM103)</f>
        <v/>
      </c>
      <c r="AN103" t="str">
        <f>IF('1. Live'!AN103='check-Jul25'!AN103,"",'1. Live'!AN103-'check-Jul25'!AN103)</f>
        <v/>
      </c>
      <c r="AO103" t="str">
        <f>IF('1. Live'!AO103='check-Jul25'!AO103,"",'1. Live'!AO103-'check-Jul25'!AO103)</f>
        <v/>
      </c>
      <c r="AP103" t="str">
        <f>IF('1. Live'!AP103='check-Jul25'!AP103,"",'1. Live'!AP103-'check-Jul25'!AP103)</f>
        <v/>
      </c>
      <c r="AQ103" t="str">
        <f>IF('1. Live'!AQ103='check-Jul25'!AQ103,"",'1. Live'!AQ103-'check-Jul25'!AQ103)</f>
        <v/>
      </c>
      <c r="AR103" t="str">
        <f>IF('1. Live'!AR103='check-Jul25'!AR103,"",'1. Live'!AR103-'check-Jul25'!AR103)</f>
        <v/>
      </c>
      <c r="AS103" t="str">
        <f>IF('1. Live'!AS103='check-Jul25'!AS103,"",'1. Live'!AS103-'check-Jul25'!AS103)</f>
        <v/>
      </c>
      <c r="AT103" t="str">
        <f>IF('1. Live'!AT103='check-Jul25'!AT103,"",'1. Live'!AT103-'check-Jul25'!AT103)</f>
        <v/>
      </c>
      <c r="AU103" t="str">
        <f>IF('1. Live'!AU103='check-Jul25'!AU103,"",'1. Live'!AU103-'check-Jul25'!AU103)</f>
        <v/>
      </c>
      <c r="AV103" t="str">
        <f>IF('1. Live'!AV103='check-Jul25'!AV103,"",'1. Live'!AV103-'check-Jul25'!AV103)</f>
        <v/>
      </c>
      <c r="AW103" t="str">
        <f>IF('1. Live'!AW103='check-Jul25'!AW103,"",'1. Live'!AW103-'check-Jul25'!AW103)</f>
        <v/>
      </c>
      <c r="AX103" t="str">
        <f>IF('1. Live'!AX103='check-Jul25'!AX103,"",'1. Live'!AX103-'check-Jul25'!AX103)</f>
        <v/>
      </c>
      <c r="AY103" t="str">
        <f>IF('1. Live'!AY103='check-Jul25'!AY103,"",'1. Live'!AY103-'check-Jul25'!AY103)</f>
        <v/>
      </c>
      <c r="AZ103" t="str">
        <f>IF('1. Live'!AZ103='check-Jul25'!AZ103,"",'1. Live'!AZ103-'check-Jul25'!AZ103)</f>
        <v/>
      </c>
      <c r="BA103" t="str">
        <f>IF('1. Live'!BA103='check-Jul25'!BA103,"",'1. Live'!BA103-'check-Jul25'!BA103)</f>
        <v/>
      </c>
      <c r="BB103" t="str">
        <f>IF('1. Live'!BB103='check-Jul25'!BB103,"",'1. Live'!BB103-'check-Jul25'!BB103)</f>
        <v/>
      </c>
      <c r="BC103" t="str">
        <f>IF('1. Live'!BC103='check-Jul25'!BC103,"",'1. Live'!BC103-'check-Jul25'!BC103)</f>
        <v/>
      </c>
      <c r="BD103" t="str">
        <f>IF('1. Live'!BD103='check-Jul25'!BD103,"",'1. Live'!BD103-'check-Jul25'!BD103)</f>
        <v/>
      </c>
      <c r="BE103" t="str">
        <f>IF('1. Live'!BE103='check-Jul25'!BE103,"",'1. Live'!BE103-'check-Jul25'!BE103)</f>
        <v/>
      </c>
      <c r="BF103" t="str">
        <f>IF('1. Live'!BF103='check-Jul25'!BF103,"",'1. Live'!BF103-'check-Jul25'!BF103)</f>
        <v/>
      </c>
      <c r="BG103" t="str">
        <f>IF('1. Live'!BG103='check-Jul25'!BG103,"",'1. Live'!BG103-'check-Jul25'!BG103)</f>
        <v/>
      </c>
      <c r="BH103" t="str">
        <f>IF('1. Live'!BH103='check-Jul25'!BH103,"",'1. Live'!BH103-'check-Jul25'!BH103)</f>
        <v/>
      </c>
      <c r="BI103" t="str">
        <f>IF('1. Live'!BI103='check-Jul25'!BI103,"",'1. Live'!BI103-'check-Jul25'!BI103)</f>
        <v/>
      </c>
      <c r="BJ103" t="str">
        <f>IF('1. Live'!BJ103='check-Jul25'!BJ103,"",'1. Live'!BJ103-'check-Jul25'!BJ103)</f>
        <v/>
      </c>
      <c r="BK103" t="str">
        <f>IF('1. Live'!BK103='check-Jul25'!BK103,"",'1. Live'!BK103-'check-Jul25'!BK103)</f>
        <v/>
      </c>
      <c r="BL103" t="str">
        <f>IF('1. Live'!BL103='check-Jul25'!BL103,"",'1. Live'!BL103-'check-Jul25'!BL103)</f>
        <v/>
      </c>
      <c r="BM103" t="str">
        <f>IF('1. Live'!BM103='check-Jul25'!BM103,"",'1. Live'!BM103-'check-Jul25'!BM103)</f>
        <v/>
      </c>
      <c r="BN103" t="str">
        <f>IF('1. Live'!BN103='check-Jul25'!BN103,"",'1. Live'!BN103-'check-Jul25'!BN103)</f>
        <v/>
      </c>
      <c r="BO103" t="str">
        <f>IF('1. Live'!BO103='check-Jul25'!BO103,"",'1. Live'!BO103-'check-Jul25'!BO103)</f>
        <v/>
      </c>
      <c r="BP103" t="str">
        <f>IF('1. Live'!BP103='check-Jul25'!BP103,"",'1. Live'!BP103-'check-Jul25'!BP103)</f>
        <v/>
      </c>
      <c r="BQ103" t="str">
        <f>IF('1. Live'!BQ103='check-Jul25'!BQ103,"",'1. Live'!BQ103-'check-Jul25'!BQ103)</f>
        <v/>
      </c>
      <c r="BR103" t="str">
        <f>IF('1. Live'!BR103='check-Jul25'!BR103,"",'1. Live'!BR103-'check-Jul25'!BR103)</f>
        <v/>
      </c>
      <c r="BS103" t="str">
        <f>IF('1. Live'!BS103='check-Jul25'!BS103,"",'1. Live'!BS103-'check-Jul25'!BS103)</f>
        <v/>
      </c>
      <c r="BT103" t="str">
        <f>IF('1. Live'!BT103='check-Jul25'!BT103,"",'1. Live'!BT103-'check-Jul25'!BT103)</f>
        <v/>
      </c>
      <c r="BU103" t="str">
        <f>IF('1. Live'!BU103='check-Jul25'!BU103,"",'1. Live'!BU103-'check-Jul25'!BU103)</f>
        <v/>
      </c>
      <c r="BV103" t="str">
        <f>IF('1. Live'!BV103='check-Jul25'!BV103,"",'1. Live'!BV103-'check-Jul25'!BV103)</f>
        <v/>
      </c>
      <c r="BW103" t="str">
        <f>IF('1. Live'!BW103='check-Jul25'!BW103,"",'1. Live'!BW103-'check-Jul25'!BW103)</f>
        <v/>
      </c>
      <c r="BX103" t="str">
        <f>IF('1. Live'!BX103='check-Jul25'!BX103,"",'1. Live'!BX103-'check-Jul25'!BX103)</f>
        <v/>
      </c>
      <c r="BY103" t="str">
        <f>IF('1. Live'!BY103='check-Jul25'!BY103,"",'1. Live'!BY103-'check-Jul25'!BY103)</f>
        <v/>
      </c>
      <c r="BZ103" t="str">
        <f>IF('1. Live'!BZ103='check-Jul25'!BZ103,"",'1. Live'!BZ103-'check-Jul25'!BZ103)</f>
        <v/>
      </c>
      <c r="CA103" t="str">
        <f>IF('1. Live'!CA103='check-Jul25'!CA103,"",'1. Live'!CA103-'check-Jul25'!CA103)</f>
        <v/>
      </c>
      <c r="CB103" t="str">
        <f>IF('1. Live'!CB103='check-Jul25'!CB103,"",'1. Live'!CB103-'check-Jul25'!CB103)</f>
        <v/>
      </c>
      <c r="CC103" t="str">
        <f>IF('1. Live'!CC103='check-Jul25'!CC103,"",'1. Live'!CC103-'check-Jul25'!CC103)</f>
        <v/>
      </c>
      <c r="CD103" t="str">
        <f>IF('1. Live'!CD103='check-Jul25'!CD103,"",'1. Live'!CD103-'check-Jul25'!CD103)</f>
        <v/>
      </c>
      <c r="CE103" t="str">
        <f>IF('1. Live'!CE103='check-Jul25'!CE103,"",'1. Live'!CE103-'check-Jul25'!CE103)</f>
        <v/>
      </c>
      <c r="CF103" t="str">
        <f>IF('1. Live'!CF103='check-Jul25'!CF103,"",'1. Live'!CF103-'check-Jul25'!CF103)</f>
        <v/>
      </c>
      <c r="CG103" t="str">
        <f>IF('1. Live'!CG103='check-Jul25'!CG103,"",'1. Live'!CG103-'check-Jul25'!CG103)</f>
        <v/>
      </c>
      <c r="CH103" t="str">
        <f>IF('1. Live'!CH103='check-Jul25'!CH103,"",'1. Live'!CH103-'check-Jul25'!CH103)</f>
        <v/>
      </c>
      <c r="CI103" t="str">
        <f>IF('1. Live'!CI103='check-Jul25'!CI103,"",'1. Live'!CI103-'check-Jul25'!CI103)</f>
        <v/>
      </c>
      <c r="CJ103" t="str">
        <f>IF('1. Live'!CJ103='check-Jul25'!CJ103,"",'1. Live'!CJ103-'check-Jul25'!CJ103)</f>
        <v/>
      </c>
      <c r="CK103" t="str">
        <f>IF('1. Live'!CK103='check-Jul25'!CK103,"",'1. Live'!CK103-'check-Jul25'!CK103)</f>
        <v/>
      </c>
      <c r="CL103" t="str">
        <f>IF('1. Live'!CL103='check-Jul25'!CL103,"",'1. Live'!CL103-'check-Jul25'!CL103)</f>
        <v/>
      </c>
      <c r="CM103" t="str">
        <f>IF('1. Live'!CM103='check-Jul25'!CM103,"",'1. Live'!CM103-'check-Jul25'!CM103)</f>
        <v/>
      </c>
      <c r="CN103" t="str">
        <f>IF('1. Live'!CN103='check-Jul25'!CN103,"",'1. Live'!CN103-'check-Jul25'!CN103)</f>
        <v/>
      </c>
      <c r="CO103" t="str">
        <f>IF('1. Live'!CO103='check-Jul25'!CO103,"",'1. Live'!CO103-'check-Jul25'!CO103)</f>
        <v/>
      </c>
      <c r="CP103" t="str">
        <f>IF('1. Live'!CP103='check-Jul25'!CP103,"",'1. Live'!CP103-'check-Jul25'!CP103)</f>
        <v/>
      </c>
      <c r="CQ103" t="str">
        <f>IF('1. Live'!CQ103='check-Jul25'!CQ103,"",'1. Live'!CQ103-'check-Jul25'!CQ103)</f>
        <v/>
      </c>
      <c r="CR103" t="str">
        <f>IF('1. Live'!CR103='check-Jul25'!CR103,"",'1. Live'!CR103-'check-Jul25'!CR103)</f>
        <v/>
      </c>
      <c r="CS103" t="str">
        <f>IF('1. Live'!CS103='check-Jul25'!CS103,"",'1. Live'!CS103-'check-Jul25'!CS103)</f>
        <v/>
      </c>
      <c r="CT103" t="str">
        <f>IF('1. Live'!CT103='check-Jul25'!CT103,"",'1. Live'!CT103-'check-Jul25'!CT103)</f>
        <v/>
      </c>
      <c r="CU103" t="str">
        <f>IF('1. Live'!CU103='check-Jul25'!CU103,"",'1. Live'!CU103-'check-Jul25'!CU103)</f>
        <v/>
      </c>
      <c r="CV103" t="str">
        <f>IF('1. Live'!CV103='check-Jul25'!CV103,"",'1. Live'!CV103-'check-Jul25'!CV103)</f>
        <v/>
      </c>
      <c r="CW103" t="str">
        <f>IF('1. Live'!CW103='check-Jul25'!CW103,"",'1. Live'!CW103-'check-Jul25'!CW103)</f>
        <v/>
      </c>
    </row>
    <row r="104" spans="10:101">
      <c r="J104" t="str">
        <f>IF('1. Live'!J104='check-Jul25'!J104,"",'1. Live'!J104-'check-Jul25'!J104)</f>
        <v/>
      </c>
      <c r="K104" t="str">
        <f>IF('1. Live'!K104='check-Jul25'!K104,"",'1. Live'!K104-'check-Jul25'!K104)</f>
        <v/>
      </c>
      <c r="L104" t="str">
        <f>IF('1. Live'!L104='check-Jul25'!L104,"",'1. Live'!L104-'check-Jul25'!L104)</f>
        <v/>
      </c>
      <c r="M104" t="str">
        <f>IF('1. Live'!M104='check-Jul25'!M104,"",'1. Live'!M104-'check-Jul25'!M104)</f>
        <v/>
      </c>
      <c r="N104" t="str">
        <f>IF('1. Live'!N104='check-Jul25'!N104,"",'1. Live'!N104-'check-Jul25'!N104)</f>
        <v/>
      </c>
      <c r="O104" t="str">
        <f>IF('1. Live'!O104='check-Jul25'!O104,"",'1. Live'!O104-'check-Jul25'!O104)</f>
        <v/>
      </c>
      <c r="P104" t="str">
        <f>IF('1. Live'!P104='check-Jul25'!P104,"",'1. Live'!P104-'check-Jul25'!P104)</f>
        <v/>
      </c>
      <c r="Q104" t="str">
        <f>IF('1. Live'!Q104='check-Jul25'!Q104,"",'1. Live'!Q104-'check-Jul25'!Q104)</f>
        <v/>
      </c>
      <c r="R104" t="str">
        <f>IF('1. Live'!R104='check-Jul25'!R104,"",'1. Live'!R104-'check-Jul25'!R104)</f>
        <v/>
      </c>
      <c r="S104" t="str">
        <f>IF('1. Live'!S104='check-Jul25'!S104,"",'1. Live'!S104-'check-Jul25'!S104)</f>
        <v/>
      </c>
      <c r="T104" t="str">
        <f>IF('1. Live'!T104='check-Jul25'!T104,"",'1. Live'!T104-'check-Jul25'!T104)</f>
        <v/>
      </c>
      <c r="U104" t="str">
        <f>IF('1. Live'!U104='check-Jul25'!U104,"",'1. Live'!U104-'check-Jul25'!U104)</f>
        <v/>
      </c>
      <c r="V104" t="str">
        <f>IF('1. Live'!V104='check-Jul25'!V104,"",'1. Live'!V104-'check-Jul25'!V104)</f>
        <v/>
      </c>
      <c r="W104" t="str">
        <f>IF('1. Live'!W104='check-Jul25'!W104,"",'1. Live'!W104-'check-Jul25'!W104)</f>
        <v/>
      </c>
      <c r="X104" t="str">
        <f>IF('1. Live'!X104='check-Jul25'!X104,"",'1. Live'!X104-'check-Jul25'!X104)</f>
        <v/>
      </c>
      <c r="Y104" t="str">
        <f>IF('1. Live'!Y104='check-Jul25'!Y104,"",'1. Live'!Y104-'check-Jul25'!Y104)</f>
        <v/>
      </c>
      <c r="Z104" t="str">
        <f>IF('1. Live'!Z104='check-Jul25'!Z104,"",'1. Live'!Z104-'check-Jul25'!Z104)</f>
        <v/>
      </c>
      <c r="AA104" t="str">
        <f>IF('1. Live'!AA104='check-Jul25'!AA104,"",'1. Live'!AA104-'check-Jul25'!AA104)</f>
        <v/>
      </c>
      <c r="AB104" t="str">
        <f>IF('1. Live'!AB104='check-Jul25'!AB104,"",'1. Live'!AB104-'check-Jul25'!AB104)</f>
        <v/>
      </c>
      <c r="AC104" t="str">
        <f>IF('1. Live'!AC104='check-Jul25'!AC104,"",'1. Live'!AC104-'check-Jul25'!AC104)</f>
        <v/>
      </c>
      <c r="AD104" t="str">
        <f>IF('1. Live'!AD104='check-Jul25'!AD104,"",'1. Live'!AD104-'check-Jul25'!AD104)</f>
        <v/>
      </c>
      <c r="AE104" t="str">
        <f>IF('1. Live'!AE104='check-Jul25'!AE104,"",'1. Live'!AE104-'check-Jul25'!AE104)</f>
        <v/>
      </c>
      <c r="AF104" t="str">
        <f>IF('1. Live'!AF104='check-Jul25'!AF104,"",'1. Live'!AF104-'check-Jul25'!AF104)</f>
        <v/>
      </c>
      <c r="AG104" t="str">
        <f>IF('1. Live'!AG104='check-Jul25'!AG104,"",'1. Live'!AG104-'check-Jul25'!AG104)</f>
        <v/>
      </c>
      <c r="AH104" t="str">
        <f>IF('1. Live'!AH104='check-Jul25'!AH104,"",'1. Live'!AH104-'check-Jul25'!AH104)</f>
        <v/>
      </c>
      <c r="AI104" t="str">
        <f>IF('1. Live'!AI104='check-Jul25'!AI104,"",'1. Live'!AI104-'check-Jul25'!AI104)</f>
        <v/>
      </c>
      <c r="AJ104" t="str">
        <f>IF('1. Live'!AJ104='check-Jul25'!AJ104,"",'1. Live'!AJ104-'check-Jul25'!AJ104)</f>
        <v/>
      </c>
      <c r="AK104" t="str">
        <f>IF('1. Live'!AK104='check-Jul25'!AK104,"",'1. Live'!AK104-'check-Jul25'!AK104)</f>
        <v/>
      </c>
      <c r="AL104" t="str">
        <f>IF('1. Live'!AL104='check-Jul25'!AL104,"",'1. Live'!AL104-'check-Jul25'!AL104)</f>
        <v/>
      </c>
      <c r="AM104" t="str">
        <f>IF('1. Live'!AM104='check-Jul25'!AM104,"",'1. Live'!AM104-'check-Jul25'!AM104)</f>
        <v/>
      </c>
      <c r="AN104" t="str">
        <f>IF('1. Live'!AN104='check-Jul25'!AN104,"",'1. Live'!AN104-'check-Jul25'!AN104)</f>
        <v/>
      </c>
      <c r="AO104" t="str">
        <f>IF('1. Live'!AO104='check-Jul25'!AO104,"",'1. Live'!AO104-'check-Jul25'!AO104)</f>
        <v/>
      </c>
      <c r="AP104" t="str">
        <f>IF('1. Live'!AP104='check-Jul25'!AP104,"",'1. Live'!AP104-'check-Jul25'!AP104)</f>
        <v/>
      </c>
      <c r="AQ104" t="str">
        <f>IF('1. Live'!AQ104='check-Jul25'!AQ104,"",'1. Live'!AQ104-'check-Jul25'!AQ104)</f>
        <v/>
      </c>
      <c r="AR104" t="str">
        <f>IF('1. Live'!AR104='check-Jul25'!AR104,"",'1. Live'!AR104-'check-Jul25'!AR104)</f>
        <v/>
      </c>
      <c r="AS104" t="str">
        <f>IF('1. Live'!AS104='check-Jul25'!AS104,"",'1. Live'!AS104-'check-Jul25'!AS104)</f>
        <v/>
      </c>
      <c r="AT104" t="str">
        <f>IF('1. Live'!AT104='check-Jul25'!AT104,"",'1. Live'!AT104-'check-Jul25'!AT104)</f>
        <v/>
      </c>
      <c r="AU104" t="str">
        <f>IF('1. Live'!AU104='check-Jul25'!AU104,"",'1. Live'!AU104-'check-Jul25'!AU104)</f>
        <v/>
      </c>
      <c r="AV104" t="str">
        <f>IF('1. Live'!AV104='check-Jul25'!AV104,"",'1. Live'!AV104-'check-Jul25'!AV104)</f>
        <v/>
      </c>
      <c r="AW104" t="str">
        <f>IF('1. Live'!AW104='check-Jul25'!AW104,"",'1. Live'!AW104-'check-Jul25'!AW104)</f>
        <v/>
      </c>
      <c r="AX104" t="str">
        <f>IF('1. Live'!AX104='check-Jul25'!AX104,"",'1. Live'!AX104-'check-Jul25'!AX104)</f>
        <v/>
      </c>
      <c r="AY104" t="str">
        <f>IF('1. Live'!AY104='check-Jul25'!AY104,"",'1. Live'!AY104-'check-Jul25'!AY104)</f>
        <v/>
      </c>
      <c r="AZ104" t="str">
        <f>IF('1. Live'!AZ104='check-Jul25'!AZ104,"",'1. Live'!AZ104-'check-Jul25'!AZ104)</f>
        <v/>
      </c>
      <c r="BA104" t="str">
        <f>IF('1. Live'!BA104='check-Jul25'!BA104,"",'1. Live'!BA104-'check-Jul25'!BA104)</f>
        <v/>
      </c>
      <c r="BB104" t="str">
        <f>IF('1. Live'!BB104='check-Jul25'!BB104,"",'1. Live'!BB104-'check-Jul25'!BB104)</f>
        <v/>
      </c>
      <c r="BC104" t="str">
        <f>IF('1. Live'!BC104='check-Jul25'!BC104,"",'1. Live'!BC104-'check-Jul25'!BC104)</f>
        <v/>
      </c>
      <c r="BD104" t="str">
        <f>IF('1. Live'!BD104='check-Jul25'!BD104,"",'1. Live'!BD104-'check-Jul25'!BD104)</f>
        <v/>
      </c>
      <c r="BE104" t="str">
        <f>IF('1. Live'!BE104='check-Jul25'!BE104,"",'1. Live'!BE104-'check-Jul25'!BE104)</f>
        <v/>
      </c>
      <c r="BF104" t="str">
        <f>IF('1. Live'!BF104='check-Jul25'!BF104,"",'1. Live'!BF104-'check-Jul25'!BF104)</f>
        <v/>
      </c>
      <c r="BG104" t="str">
        <f>IF('1. Live'!BG104='check-Jul25'!BG104,"",'1. Live'!BG104-'check-Jul25'!BG104)</f>
        <v/>
      </c>
      <c r="BH104" t="str">
        <f>IF('1. Live'!BH104='check-Jul25'!BH104,"",'1. Live'!BH104-'check-Jul25'!BH104)</f>
        <v/>
      </c>
      <c r="BI104" t="str">
        <f>IF('1. Live'!BI104='check-Jul25'!BI104,"",'1. Live'!BI104-'check-Jul25'!BI104)</f>
        <v/>
      </c>
      <c r="BJ104" t="str">
        <f>IF('1. Live'!BJ104='check-Jul25'!BJ104,"",'1. Live'!BJ104-'check-Jul25'!BJ104)</f>
        <v/>
      </c>
      <c r="BK104" t="str">
        <f>IF('1. Live'!BK104='check-Jul25'!BK104,"",'1. Live'!BK104-'check-Jul25'!BK104)</f>
        <v/>
      </c>
      <c r="BL104" t="str">
        <f>IF('1. Live'!BL104='check-Jul25'!BL104,"",'1. Live'!BL104-'check-Jul25'!BL104)</f>
        <v/>
      </c>
      <c r="BM104" t="str">
        <f>IF('1. Live'!BM104='check-Jul25'!BM104,"",'1. Live'!BM104-'check-Jul25'!BM104)</f>
        <v/>
      </c>
      <c r="BN104" t="str">
        <f>IF('1. Live'!BN104='check-Jul25'!BN104,"",'1. Live'!BN104-'check-Jul25'!BN104)</f>
        <v/>
      </c>
      <c r="BO104" t="str">
        <f>IF('1. Live'!BO104='check-Jul25'!BO104,"",'1. Live'!BO104-'check-Jul25'!BO104)</f>
        <v/>
      </c>
      <c r="BP104" t="str">
        <f>IF('1. Live'!BP104='check-Jul25'!BP104,"",'1. Live'!BP104-'check-Jul25'!BP104)</f>
        <v/>
      </c>
      <c r="BQ104" t="str">
        <f>IF('1. Live'!BQ104='check-Jul25'!BQ104,"",'1. Live'!BQ104-'check-Jul25'!BQ104)</f>
        <v/>
      </c>
      <c r="BR104" t="str">
        <f>IF('1. Live'!BR104='check-Jul25'!BR104,"",'1. Live'!BR104-'check-Jul25'!BR104)</f>
        <v/>
      </c>
      <c r="BS104" t="str">
        <f>IF('1. Live'!BS104='check-Jul25'!BS104,"",'1. Live'!BS104-'check-Jul25'!BS104)</f>
        <v/>
      </c>
      <c r="BT104" t="str">
        <f>IF('1. Live'!BT104='check-Jul25'!BT104,"",'1. Live'!BT104-'check-Jul25'!BT104)</f>
        <v/>
      </c>
      <c r="BU104" t="str">
        <f>IF('1. Live'!BU104='check-Jul25'!BU104,"",'1. Live'!BU104-'check-Jul25'!BU104)</f>
        <v/>
      </c>
      <c r="BV104" t="str">
        <f>IF('1. Live'!BV104='check-Jul25'!BV104,"",'1. Live'!BV104-'check-Jul25'!BV104)</f>
        <v/>
      </c>
      <c r="BW104" t="str">
        <f>IF('1. Live'!BW104='check-Jul25'!BW104,"",'1. Live'!BW104-'check-Jul25'!BW104)</f>
        <v/>
      </c>
      <c r="BX104" t="str">
        <f>IF('1. Live'!BX104='check-Jul25'!BX104,"",'1. Live'!BX104-'check-Jul25'!BX104)</f>
        <v/>
      </c>
      <c r="BY104" t="str">
        <f>IF('1. Live'!BY104='check-Jul25'!BY104,"",'1. Live'!BY104-'check-Jul25'!BY104)</f>
        <v/>
      </c>
      <c r="BZ104" t="str">
        <f>IF('1. Live'!BZ104='check-Jul25'!BZ104,"",'1. Live'!BZ104-'check-Jul25'!BZ104)</f>
        <v/>
      </c>
      <c r="CA104" t="str">
        <f>IF('1. Live'!CA104='check-Jul25'!CA104,"",'1. Live'!CA104-'check-Jul25'!CA104)</f>
        <v/>
      </c>
      <c r="CB104" t="str">
        <f>IF('1. Live'!CB104='check-Jul25'!CB104,"",'1. Live'!CB104-'check-Jul25'!CB104)</f>
        <v/>
      </c>
      <c r="CC104" t="str">
        <f>IF('1. Live'!CC104='check-Jul25'!CC104,"",'1. Live'!CC104-'check-Jul25'!CC104)</f>
        <v/>
      </c>
      <c r="CD104" t="str">
        <f>IF('1. Live'!CD104='check-Jul25'!CD104,"",'1. Live'!CD104-'check-Jul25'!CD104)</f>
        <v/>
      </c>
      <c r="CE104" t="str">
        <f>IF('1. Live'!CE104='check-Jul25'!CE104,"",'1. Live'!CE104-'check-Jul25'!CE104)</f>
        <v/>
      </c>
      <c r="CF104" t="str">
        <f>IF('1. Live'!CF104='check-Jul25'!CF104,"",'1. Live'!CF104-'check-Jul25'!CF104)</f>
        <v/>
      </c>
      <c r="CG104" t="str">
        <f>IF('1. Live'!CG104='check-Jul25'!CG104,"",'1. Live'!CG104-'check-Jul25'!CG104)</f>
        <v/>
      </c>
      <c r="CH104" t="str">
        <f>IF('1. Live'!CH104='check-Jul25'!CH104,"",'1. Live'!CH104-'check-Jul25'!CH104)</f>
        <v/>
      </c>
      <c r="CI104" t="str">
        <f>IF('1. Live'!CI104='check-Jul25'!CI104,"",'1. Live'!CI104-'check-Jul25'!CI104)</f>
        <v/>
      </c>
      <c r="CJ104" t="str">
        <f>IF('1. Live'!CJ104='check-Jul25'!CJ104,"",'1. Live'!CJ104-'check-Jul25'!CJ104)</f>
        <v/>
      </c>
      <c r="CK104" t="str">
        <f>IF('1. Live'!CK104='check-Jul25'!CK104,"",'1. Live'!CK104-'check-Jul25'!CK104)</f>
        <v/>
      </c>
      <c r="CL104" t="str">
        <f>IF('1. Live'!CL104='check-Jul25'!CL104,"",'1. Live'!CL104-'check-Jul25'!CL104)</f>
        <v/>
      </c>
      <c r="CM104" t="str">
        <f>IF('1. Live'!CM104='check-Jul25'!CM104,"",'1. Live'!CM104-'check-Jul25'!CM104)</f>
        <v/>
      </c>
      <c r="CN104" t="str">
        <f>IF('1. Live'!CN104='check-Jul25'!CN104,"",'1. Live'!CN104-'check-Jul25'!CN104)</f>
        <v/>
      </c>
      <c r="CO104" t="str">
        <f>IF('1. Live'!CO104='check-Jul25'!CO104,"",'1. Live'!CO104-'check-Jul25'!CO104)</f>
        <v/>
      </c>
      <c r="CP104" t="str">
        <f>IF('1. Live'!CP104='check-Jul25'!CP104,"",'1. Live'!CP104-'check-Jul25'!CP104)</f>
        <v/>
      </c>
      <c r="CQ104" t="str">
        <f>IF('1. Live'!CQ104='check-Jul25'!CQ104,"",'1. Live'!CQ104-'check-Jul25'!CQ104)</f>
        <v/>
      </c>
      <c r="CR104" t="str">
        <f>IF('1. Live'!CR104='check-Jul25'!CR104,"",'1. Live'!CR104-'check-Jul25'!CR104)</f>
        <v/>
      </c>
      <c r="CS104" t="str">
        <f>IF('1. Live'!CS104='check-Jul25'!CS104,"",'1. Live'!CS104-'check-Jul25'!CS104)</f>
        <v/>
      </c>
      <c r="CT104" t="str">
        <f>IF('1. Live'!CT104='check-Jul25'!CT104,"",'1. Live'!CT104-'check-Jul25'!CT104)</f>
        <v/>
      </c>
      <c r="CU104" t="str">
        <f>IF('1. Live'!CU104='check-Jul25'!CU104,"",'1. Live'!CU104-'check-Jul25'!CU104)</f>
        <v/>
      </c>
      <c r="CV104" t="str">
        <f>IF('1. Live'!CV104='check-Jul25'!CV104,"",'1. Live'!CV104-'check-Jul25'!CV104)</f>
        <v/>
      </c>
      <c r="CW104" t="str">
        <f>IF('1. Live'!CW104='check-Jul25'!CW104,"",'1. Live'!CW104-'check-Jul25'!CW104)</f>
        <v/>
      </c>
    </row>
    <row r="105" spans="10:101">
      <c r="J105" t="str">
        <f>IF('1. Live'!J105='check-Jul25'!J105,"",'1. Live'!J105-'check-Jul25'!J105)</f>
        <v/>
      </c>
      <c r="K105" t="str">
        <f>IF('1. Live'!K105='check-Jul25'!K105,"",'1. Live'!K105-'check-Jul25'!K105)</f>
        <v/>
      </c>
      <c r="L105" t="str">
        <f>IF('1. Live'!L105='check-Jul25'!L105,"",'1. Live'!L105-'check-Jul25'!L105)</f>
        <v/>
      </c>
      <c r="M105" t="str">
        <f>IF('1. Live'!M105='check-Jul25'!M105,"",'1. Live'!M105-'check-Jul25'!M105)</f>
        <v/>
      </c>
      <c r="N105" t="str">
        <f>IF('1. Live'!N105='check-Jul25'!N105,"",'1. Live'!N105-'check-Jul25'!N105)</f>
        <v/>
      </c>
      <c r="O105" t="str">
        <f>IF('1. Live'!O105='check-Jul25'!O105,"",'1. Live'!O105-'check-Jul25'!O105)</f>
        <v/>
      </c>
      <c r="P105" t="str">
        <f>IF('1. Live'!P105='check-Jul25'!P105,"",'1. Live'!P105-'check-Jul25'!P105)</f>
        <v/>
      </c>
      <c r="Q105" t="str">
        <f>IF('1. Live'!Q105='check-Jul25'!Q105,"",'1. Live'!Q105-'check-Jul25'!Q105)</f>
        <v/>
      </c>
      <c r="R105" t="str">
        <f>IF('1. Live'!R105='check-Jul25'!R105,"",'1. Live'!R105-'check-Jul25'!R105)</f>
        <v/>
      </c>
      <c r="S105" t="str">
        <f>IF('1. Live'!S105='check-Jul25'!S105,"",'1. Live'!S105-'check-Jul25'!S105)</f>
        <v/>
      </c>
      <c r="T105" t="str">
        <f>IF('1. Live'!T105='check-Jul25'!T105,"",'1. Live'!T105-'check-Jul25'!T105)</f>
        <v/>
      </c>
      <c r="U105" t="str">
        <f>IF('1. Live'!U105='check-Jul25'!U105,"",'1. Live'!U105-'check-Jul25'!U105)</f>
        <v/>
      </c>
      <c r="V105" t="str">
        <f>IF('1. Live'!V105='check-Jul25'!V105,"",'1. Live'!V105-'check-Jul25'!V105)</f>
        <v/>
      </c>
      <c r="W105" t="str">
        <f>IF('1. Live'!W105='check-Jul25'!W105,"",'1. Live'!W105-'check-Jul25'!W105)</f>
        <v/>
      </c>
      <c r="X105" t="str">
        <f>IF('1. Live'!X105='check-Jul25'!X105,"",'1. Live'!X105-'check-Jul25'!X105)</f>
        <v/>
      </c>
      <c r="Y105" t="str">
        <f>IF('1. Live'!Y105='check-Jul25'!Y105,"",'1. Live'!Y105-'check-Jul25'!Y105)</f>
        <v/>
      </c>
      <c r="Z105" t="str">
        <f>IF('1. Live'!Z105='check-Jul25'!Z105,"",'1. Live'!Z105-'check-Jul25'!Z105)</f>
        <v/>
      </c>
      <c r="AA105" t="str">
        <f>IF('1. Live'!AA105='check-Jul25'!AA105,"",'1. Live'!AA105-'check-Jul25'!AA105)</f>
        <v/>
      </c>
      <c r="AB105" t="str">
        <f>IF('1. Live'!AB105='check-Jul25'!AB105,"",'1. Live'!AB105-'check-Jul25'!AB105)</f>
        <v/>
      </c>
      <c r="AC105" t="str">
        <f>IF('1. Live'!AC105='check-Jul25'!AC105,"",'1. Live'!AC105-'check-Jul25'!AC105)</f>
        <v/>
      </c>
      <c r="AD105" t="str">
        <f>IF('1. Live'!AD105='check-Jul25'!AD105,"",'1. Live'!AD105-'check-Jul25'!AD105)</f>
        <v/>
      </c>
      <c r="AE105" t="str">
        <f>IF('1. Live'!AE105='check-Jul25'!AE105,"",'1. Live'!AE105-'check-Jul25'!AE105)</f>
        <v/>
      </c>
      <c r="AF105" t="str">
        <f>IF('1. Live'!AF105='check-Jul25'!AF105,"",'1. Live'!AF105-'check-Jul25'!AF105)</f>
        <v/>
      </c>
      <c r="AG105" t="str">
        <f>IF('1. Live'!AG105='check-Jul25'!AG105,"",'1. Live'!AG105-'check-Jul25'!AG105)</f>
        <v/>
      </c>
      <c r="AH105" t="str">
        <f>IF('1. Live'!AH105='check-Jul25'!AH105,"",'1. Live'!AH105-'check-Jul25'!AH105)</f>
        <v/>
      </c>
      <c r="AI105" t="str">
        <f>IF('1. Live'!AI105='check-Jul25'!AI105,"",'1. Live'!AI105-'check-Jul25'!AI105)</f>
        <v/>
      </c>
      <c r="AJ105" t="str">
        <f>IF('1. Live'!AJ105='check-Jul25'!AJ105,"",'1. Live'!AJ105-'check-Jul25'!AJ105)</f>
        <v/>
      </c>
      <c r="AK105" t="str">
        <f>IF('1. Live'!AK105='check-Jul25'!AK105,"",'1. Live'!AK105-'check-Jul25'!AK105)</f>
        <v/>
      </c>
      <c r="AL105" t="str">
        <f>IF('1. Live'!AL105='check-Jul25'!AL105,"",'1. Live'!AL105-'check-Jul25'!AL105)</f>
        <v/>
      </c>
      <c r="AM105" t="str">
        <f>IF('1. Live'!AM105='check-Jul25'!AM105,"",'1. Live'!AM105-'check-Jul25'!AM105)</f>
        <v/>
      </c>
      <c r="AN105" t="str">
        <f>IF('1. Live'!AN105='check-Jul25'!AN105,"",'1. Live'!AN105-'check-Jul25'!AN105)</f>
        <v/>
      </c>
      <c r="AO105" t="str">
        <f>IF('1. Live'!AO105='check-Jul25'!AO105,"",'1. Live'!AO105-'check-Jul25'!AO105)</f>
        <v/>
      </c>
      <c r="AP105" t="str">
        <f>IF('1. Live'!AP105='check-Jul25'!AP105,"",'1. Live'!AP105-'check-Jul25'!AP105)</f>
        <v/>
      </c>
      <c r="AQ105" t="str">
        <f>IF('1. Live'!AQ105='check-Jul25'!AQ105,"",'1. Live'!AQ105-'check-Jul25'!AQ105)</f>
        <v/>
      </c>
      <c r="AR105" t="str">
        <f>IF('1. Live'!AR105='check-Jul25'!AR105,"",'1. Live'!AR105-'check-Jul25'!AR105)</f>
        <v/>
      </c>
      <c r="AS105" t="str">
        <f>IF('1. Live'!AS105='check-Jul25'!AS105,"",'1. Live'!AS105-'check-Jul25'!AS105)</f>
        <v/>
      </c>
      <c r="AT105" t="str">
        <f>IF('1. Live'!AT105='check-Jul25'!AT105,"",'1. Live'!AT105-'check-Jul25'!AT105)</f>
        <v/>
      </c>
      <c r="AU105" t="str">
        <f>IF('1. Live'!AU105='check-Jul25'!AU105,"",'1. Live'!AU105-'check-Jul25'!AU105)</f>
        <v/>
      </c>
      <c r="AV105" t="str">
        <f>IF('1. Live'!AV105='check-Jul25'!AV105,"",'1. Live'!AV105-'check-Jul25'!AV105)</f>
        <v/>
      </c>
      <c r="AW105" t="str">
        <f>IF('1. Live'!AW105='check-Jul25'!AW105,"",'1. Live'!AW105-'check-Jul25'!AW105)</f>
        <v/>
      </c>
      <c r="AX105" t="str">
        <f>IF('1. Live'!AX105='check-Jul25'!AX105,"",'1. Live'!AX105-'check-Jul25'!AX105)</f>
        <v/>
      </c>
      <c r="AY105" t="str">
        <f>IF('1. Live'!AY105='check-Jul25'!AY105,"",'1. Live'!AY105-'check-Jul25'!AY105)</f>
        <v/>
      </c>
      <c r="AZ105" t="str">
        <f>IF('1. Live'!AZ105='check-Jul25'!AZ105,"",'1. Live'!AZ105-'check-Jul25'!AZ105)</f>
        <v/>
      </c>
      <c r="BA105" t="str">
        <f>IF('1. Live'!BA105='check-Jul25'!BA105,"",'1. Live'!BA105-'check-Jul25'!BA105)</f>
        <v/>
      </c>
      <c r="BB105" t="str">
        <f>IF('1. Live'!BB105='check-Jul25'!BB105,"",'1. Live'!BB105-'check-Jul25'!BB105)</f>
        <v/>
      </c>
      <c r="BC105" t="str">
        <f>IF('1. Live'!BC105='check-Jul25'!BC105,"",'1. Live'!BC105-'check-Jul25'!BC105)</f>
        <v/>
      </c>
      <c r="BD105" t="str">
        <f>IF('1. Live'!BD105='check-Jul25'!BD105,"",'1. Live'!BD105-'check-Jul25'!BD105)</f>
        <v/>
      </c>
      <c r="BE105" t="str">
        <f>IF('1. Live'!BE105='check-Jul25'!BE105,"",'1. Live'!BE105-'check-Jul25'!BE105)</f>
        <v/>
      </c>
      <c r="BF105" t="str">
        <f>IF('1. Live'!BF105='check-Jul25'!BF105,"",'1. Live'!BF105-'check-Jul25'!BF105)</f>
        <v/>
      </c>
      <c r="BG105" t="str">
        <f>IF('1. Live'!BG105='check-Jul25'!BG105,"",'1. Live'!BG105-'check-Jul25'!BG105)</f>
        <v/>
      </c>
      <c r="BH105" t="str">
        <f>IF('1. Live'!BH105='check-Jul25'!BH105,"",'1. Live'!BH105-'check-Jul25'!BH105)</f>
        <v/>
      </c>
      <c r="BI105" t="str">
        <f>IF('1. Live'!BI105='check-Jul25'!BI105,"",'1. Live'!BI105-'check-Jul25'!BI105)</f>
        <v/>
      </c>
      <c r="BJ105" t="str">
        <f>IF('1. Live'!BJ105='check-Jul25'!BJ105,"",'1. Live'!BJ105-'check-Jul25'!BJ105)</f>
        <v/>
      </c>
      <c r="BK105" t="str">
        <f>IF('1. Live'!BK105='check-Jul25'!BK105,"",'1. Live'!BK105-'check-Jul25'!BK105)</f>
        <v/>
      </c>
      <c r="BL105" t="str">
        <f>IF('1. Live'!BL105='check-Jul25'!BL105,"",'1. Live'!BL105-'check-Jul25'!BL105)</f>
        <v/>
      </c>
      <c r="BM105" t="str">
        <f>IF('1. Live'!BM105='check-Jul25'!BM105,"",'1. Live'!BM105-'check-Jul25'!BM105)</f>
        <v/>
      </c>
      <c r="BN105" t="str">
        <f>IF('1. Live'!BN105='check-Jul25'!BN105,"",'1. Live'!BN105-'check-Jul25'!BN105)</f>
        <v/>
      </c>
      <c r="BO105" t="str">
        <f>IF('1. Live'!BO105='check-Jul25'!BO105,"",'1. Live'!BO105-'check-Jul25'!BO105)</f>
        <v/>
      </c>
      <c r="BP105" t="str">
        <f>IF('1. Live'!BP105='check-Jul25'!BP105,"",'1. Live'!BP105-'check-Jul25'!BP105)</f>
        <v/>
      </c>
      <c r="BQ105" t="str">
        <f>IF('1. Live'!BQ105='check-Jul25'!BQ105,"",'1. Live'!BQ105-'check-Jul25'!BQ105)</f>
        <v/>
      </c>
      <c r="BR105" t="str">
        <f>IF('1. Live'!BR105='check-Jul25'!BR105,"",'1. Live'!BR105-'check-Jul25'!BR105)</f>
        <v/>
      </c>
      <c r="BS105" t="str">
        <f>IF('1. Live'!BS105='check-Jul25'!BS105,"",'1. Live'!BS105-'check-Jul25'!BS105)</f>
        <v/>
      </c>
      <c r="BT105" t="str">
        <f>IF('1. Live'!BT105='check-Jul25'!BT105,"",'1. Live'!BT105-'check-Jul25'!BT105)</f>
        <v/>
      </c>
      <c r="BU105" t="str">
        <f>IF('1. Live'!BU105='check-Jul25'!BU105,"",'1. Live'!BU105-'check-Jul25'!BU105)</f>
        <v/>
      </c>
      <c r="BV105" t="str">
        <f>IF('1. Live'!BV105='check-Jul25'!BV105,"",'1. Live'!BV105-'check-Jul25'!BV105)</f>
        <v/>
      </c>
      <c r="BW105" t="str">
        <f>IF('1. Live'!BW105='check-Jul25'!BW105,"",'1. Live'!BW105-'check-Jul25'!BW105)</f>
        <v/>
      </c>
      <c r="BX105" t="str">
        <f>IF('1. Live'!BX105='check-Jul25'!BX105,"",'1. Live'!BX105-'check-Jul25'!BX105)</f>
        <v/>
      </c>
      <c r="BY105" t="str">
        <f>IF('1. Live'!BY105='check-Jul25'!BY105,"",'1. Live'!BY105-'check-Jul25'!BY105)</f>
        <v/>
      </c>
      <c r="BZ105" t="str">
        <f>IF('1. Live'!BZ105='check-Jul25'!BZ105,"",'1. Live'!BZ105-'check-Jul25'!BZ105)</f>
        <v/>
      </c>
      <c r="CA105" t="str">
        <f>IF('1. Live'!CA105='check-Jul25'!CA105,"",'1. Live'!CA105-'check-Jul25'!CA105)</f>
        <v/>
      </c>
      <c r="CB105" t="str">
        <f>IF('1. Live'!CB105='check-Jul25'!CB105,"",'1. Live'!CB105-'check-Jul25'!CB105)</f>
        <v/>
      </c>
      <c r="CC105" t="str">
        <f>IF('1. Live'!CC105='check-Jul25'!CC105,"",'1. Live'!CC105-'check-Jul25'!CC105)</f>
        <v/>
      </c>
      <c r="CD105" t="str">
        <f>IF('1. Live'!CD105='check-Jul25'!CD105,"",'1. Live'!CD105-'check-Jul25'!CD105)</f>
        <v/>
      </c>
      <c r="CE105" t="str">
        <f>IF('1. Live'!CE105='check-Jul25'!CE105,"",'1. Live'!CE105-'check-Jul25'!CE105)</f>
        <v/>
      </c>
      <c r="CF105" t="str">
        <f>IF('1. Live'!CF105='check-Jul25'!CF105,"",'1. Live'!CF105-'check-Jul25'!CF105)</f>
        <v/>
      </c>
      <c r="CG105" t="str">
        <f>IF('1. Live'!CG105='check-Jul25'!CG105,"",'1. Live'!CG105-'check-Jul25'!CG105)</f>
        <v/>
      </c>
      <c r="CH105" t="str">
        <f>IF('1. Live'!CH105='check-Jul25'!CH105,"",'1. Live'!CH105-'check-Jul25'!CH105)</f>
        <v/>
      </c>
      <c r="CI105" t="str">
        <f>IF('1. Live'!CI105='check-Jul25'!CI105,"",'1. Live'!CI105-'check-Jul25'!CI105)</f>
        <v/>
      </c>
      <c r="CJ105" t="str">
        <f>IF('1. Live'!CJ105='check-Jul25'!CJ105,"",'1. Live'!CJ105-'check-Jul25'!CJ105)</f>
        <v/>
      </c>
      <c r="CK105" t="str">
        <f>IF('1. Live'!CK105='check-Jul25'!CK105,"",'1. Live'!CK105-'check-Jul25'!CK105)</f>
        <v/>
      </c>
      <c r="CL105" t="str">
        <f>IF('1. Live'!CL105='check-Jul25'!CL105,"",'1. Live'!CL105-'check-Jul25'!CL105)</f>
        <v/>
      </c>
      <c r="CM105" t="str">
        <f>IF('1. Live'!CM105='check-Jul25'!CM105,"",'1. Live'!CM105-'check-Jul25'!CM105)</f>
        <v/>
      </c>
      <c r="CN105" t="str">
        <f>IF('1. Live'!CN105='check-Jul25'!CN105,"",'1. Live'!CN105-'check-Jul25'!CN105)</f>
        <v/>
      </c>
      <c r="CO105" t="str">
        <f>IF('1. Live'!CO105='check-Jul25'!CO105,"",'1. Live'!CO105-'check-Jul25'!CO105)</f>
        <v/>
      </c>
      <c r="CP105" t="str">
        <f>IF('1. Live'!CP105='check-Jul25'!CP105,"",'1. Live'!CP105-'check-Jul25'!CP105)</f>
        <v/>
      </c>
      <c r="CQ105" t="str">
        <f>IF('1. Live'!CQ105='check-Jul25'!CQ105,"",'1. Live'!CQ105-'check-Jul25'!CQ105)</f>
        <v/>
      </c>
      <c r="CR105" t="str">
        <f>IF('1. Live'!CR105='check-Jul25'!CR105,"",'1. Live'!CR105-'check-Jul25'!CR105)</f>
        <v/>
      </c>
      <c r="CS105" t="str">
        <f>IF('1. Live'!CS105='check-Jul25'!CS105,"",'1. Live'!CS105-'check-Jul25'!CS105)</f>
        <v/>
      </c>
      <c r="CT105" t="str">
        <f>IF('1. Live'!CT105='check-Jul25'!CT105,"",'1. Live'!CT105-'check-Jul25'!CT105)</f>
        <v/>
      </c>
      <c r="CU105" t="str">
        <f>IF('1. Live'!CU105='check-Jul25'!CU105,"",'1. Live'!CU105-'check-Jul25'!CU105)</f>
        <v/>
      </c>
      <c r="CV105" t="str">
        <f>IF('1. Live'!CV105='check-Jul25'!CV105,"",'1. Live'!CV105-'check-Jul25'!CV105)</f>
        <v/>
      </c>
      <c r="CW105" t="str">
        <f>IF('1. Live'!CW105='check-Jul25'!CW105,"",'1. Live'!CW105-'check-Jul25'!CW105)</f>
        <v/>
      </c>
    </row>
    <row r="106" spans="10:101">
      <c r="J106" t="str">
        <f>IF('1. Live'!J106='check-Jul25'!J106,"",'1. Live'!J106-'check-Jul25'!J106)</f>
        <v/>
      </c>
      <c r="K106" t="str">
        <f>IF('1. Live'!K106='check-Jul25'!K106,"",'1. Live'!K106-'check-Jul25'!K106)</f>
        <v/>
      </c>
      <c r="L106" t="str">
        <f>IF('1. Live'!L106='check-Jul25'!L106,"",'1. Live'!L106-'check-Jul25'!L106)</f>
        <v/>
      </c>
      <c r="M106" t="str">
        <f>IF('1. Live'!M106='check-Jul25'!M106,"",'1. Live'!M106-'check-Jul25'!M106)</f>
        <v/>
      </c>
      <c r="N106" t="str">
        <f>IF('1. Live'!N106='check-Jul25'!N106,"",'1. Live'!N106-'check-Jul25'!N106)</f>
        <v/>
      </c>
      <c r="O106" t="str">
        <f>IF('1. Live'!O106='check-Jul25'!O106,"",'1. Live'!O106-'check-Jul25'!O106)</f>
        <v/>
      </c>
      <c r="P106" t="str">
        <f>IF('1. Live'!P106='check-Jul25'!P106,"",'1. Live'!P106-'check-Jul25'!P106)</f>
        <v/>
      </c>
      <c r="Q106" t="str">
        <f>IF('1. Live'!Q106='check-Jul25'!Q106,"",'1. Live'!Q106-'check-Jul25'!Q106)</f>
        <v/>
      </c>
      <c r="R106" t="str">
        <f>IF('1. Live'!R106='check-Jul25'!R106,"",'1. Live'!R106-'check-Jul25'!R106)</f>
        <v/>
      </c>
      <c r="S106" t="str">
        <f>IF('1. Live'!S106='check-Jul25'!S106,"",'1. Live'!S106-'check-Jul25'!S106)</f>
        <v/>
      </c>
      <c r="T106" t="str">
        <f>IF('1. Live'!T106='check-Jul25'!T106,"",'1. Live'!T106-'check-Jul25'!T106)</f>
        <v/>
      </c>
      <c r="U106" t="str">
        <f>IF('1. Live'!U106='check-Jul25'!U106,"",'1. Live'!U106-'check-Jul25'!U106)</f>
        <v/>
      </c>
      <c r="V106" t="str">
        <f>IF('1. Live'!V106='check-Jul25'!V106,"",'1. Live'!V106-'check-Jul25'!V106)</f>
        <v/>
      </c>
      <c r="W106" t="str">
        <f>IF('1. Live'!W106='check-Jul25'!W106,"",'1. Live'!W106-'check-Jul25'!W106)</f>
        <v/>
      </c>
      <c r="X106" t="str">
        <f>IF('1. Live'!X106='check-Jul25'!X106,"",'1. Live'!X106-'check-Jul25'!X106)</f>
        <v/>
      </c>
      <c r="Y106" t="str">
        <f>IF('1. Live'!Y106='check-Jul25'!Y106,"",'1. Live'!Y106-'check-Jul25'!Y106)</f>
        <v/>
      </c>
      <c r="Z106" t="str">
        <f>IF('1. Live'!Z106='check-Jul25'!Z106,"",'1. Live'!Z106-'check-Jul25'!Z106)</f>
        <v/>
      </c>
      <c r="AA106" t="str">
        <f>IF('1. Live'!AA106='check-Jul25'!AA106,"",'1. Live'!AA106-'check-Jul25'!AA106)</f>
        <v/>
      </c>
      <c r="AB106" t="str">
        <f>IF('1. Live'!AB106='check-Jul25'!AB106,"",'1. Live'!AB106-'check-Jul25'!AB106)</f>
        <v/>
      </c>
      <c r="AC106" t="str">
        <f>IF('1. Live'!AC106='check-Jul25'!AC106,"",'1. Live'!AC106-'check-Jul25'!AC106)</f>
        <v/>
      </c>
      <c r="AD106" t="str">
        <f>IF('1. Live'!AD106='check-Jul25'!AD106,"",'1. Live'!AD106-'check-Jul25'!AD106)</f>
        <v/>
      </c>
      <c r="AE106" t="str">
        <f>IF('1. Live'!AE106='check-Jul25'!AE106,"",'1. Live'!AE106-'check-Jul25'!AE106)</f>
        <v/>
      </c>
      <c r="AF106" t="str">
        <f>IF('1. Live'!AF106='check-Jul25'!AF106,"",'1. Live'!AF106-'check-Jul25'!AF106)</f>
        <v/>
      </c>
      <c r="AG106" t="str">
        <f>IF('1. Live'!AG106='check-Jul25'!AG106,"",'1. Live'!AG106-'check-Jul25'!AG106)</f>
        <v/>
      </c>
      <c r="AH106" t="str">
        <f>IF('1. Live'!AH106='check-Jul25'!AH106,"",'1. Live'!AH106-'check-Jul25'!AH106)</f>
        <v/>
      </c>
      <c r="AI106" t="str">
        <f>IF('1. Live'!AI106='check-Jul25'!AI106,"",'1. Live'!AI106-'check-Jul25'!AI106)</f>
        <v/>
      </c>
      <c r="AJ106" t="str">
        <f>IF('1. Live'!AJ106='check-Jul25'!AJ106,"",'1. Live'!AJ106-'check-Jul25'!AJ106)</f>
        <v/>
      </c>
      <c r="AK106" t="str">
        <f>IF('1. Live'!AK106='check-Jul25'!AK106,"",'1. Live'!AK106-'check-Jul25'!AK106)</f>
        <v/>
      </c>
      <c r="AL106" t="str">
        <f>IF('1. Live'!AL106='check-Jul25'!AL106,"",'1. Live'!AL106-'check-Jul25'!AL106)</f>
        <v/>
      </c>
      <c r="AM106" t="str">
        <f>IF('1. Live'!AM106='check-Jul25'!AM106,"",'1. Live'!AM106-'check-Jul25'!AM106)</f>
        <v/>
      </c>
      <c r="AN106" t="str">
        <f>IF('1. Live'!AN106='check-Jul25'!AN106,"",'1. Live'!AN106-'check-Jul25'!AN106)</f>
        <v/>
      </c>
      <c r="AO106" t="str">
        <f>IF('1. Live'!AO106='check-Jul25'!AO106,"",'1. Live'!AO106-'check-Jul25'!AO106)</f>
        <v/>
      </c>
      <c r="AP106" t="str">
        <f>IF('1. Live'!AP106='check-Jul25'!AP106,"",'1. Live'!AP106-'check-Jul25'!AP106)</f>
        <v/>
      </c>
      <c r="AQ106" t="str">
        <f>IF('1. Live'!AQ106='check-Jul25'!AQ106,"",'1. Live'!AQ106-'check-Jul25'!AQ106)</f>
        <v/>
      </c>
      <c r="AR106" t="str">
        <f>IF('1. Live'!AR106='check-Jul25'!AR106,"",'1. Live'!AR106-'check-Jul25'!AR106)</f>
        <v/>
      </c>
      <c r="AS106" t="str">
        <f>IF('1. Live'!AS106='check-Jul25'!AS106,"",'1. Live'!AS106-'check-Jul25'!AS106)</f>
        <v/>
      </c>
      <c r="AT106" t="str">
        <f>IF('1. Live'!AT106='check-Jul25'!AT106,"",'1. Live'!AT106-'check-Jul25'!AT106)</f>
        <v/>
      </c>
      <c r="AU106" t="str">
        <f>IF('1. Live'!AU106='check-Jul25'!AU106,"",'1. Live'!AU106-'check-Jul25'!AU106)</f>
        <v/>
      </c>
      <c r="AV106" t="str">
        <f>IF('1. Live'!AV106='check-Jul25'!AV106,"",'1. Live'!AV106-'check-Jul25'!AV106)</f>
        <v/>
      </c>
      <c r="AW106" t="str">
        <f>IF('1. Live'!AW106='check-Jul25'!AW106,"",'1. Live'!AW106-'check-Jul25'!AW106)</f>
        <v/>
      </c>
      <c r="AX106" t="str">
        <f>IF('1. Live'!AX106='check-Jul25'!AX106,"",'1. Live'!AX106-'check-Jul25'!AX106)</f>
        <v/>
      </c>
      <c r="AY106" t="str">
        <f>IF('1. Live'!AY106='check-Jul25'!AY106,"",'1. Live'!AY106-'check-Jul25'!AY106)</f>
        <v/>
      </c>
      <c r="AZ106" t="str">
        <f>IF('1. Live'!AZ106='check-Jul25'!AZ106,"",'1. Live'!AZ106-'check-Jul25'!AZ106)</f>
        <v/>
      </c>
      <c r="BA106" t="str">
        <f>IF('1. Live'!BA106='check-Jul25'!BA106,"",'1. Live'!BA106-'check-Jul25'!BA106)</f>
        <v/>
      </c>
      <c r="BB106" t="str">
        <f>IF('1. Live'!BB106='check-Jul25'!BB106,"",'1. Live'!BB106-'check-Jul25'!BB106)</f>
        <v/>
      </c>
      <c r="BC106" t="str">
        <f>IF('1. Live'!BC106='check-Jul25'!BC106,"",'1. Live'!BC106-'check-Jul25'!BC106)</f>
        <v/>
      </c>
      <c r="BD106" t="str">
        <f>IF('1. Live'!BD106='check-Jul25'!BD106,"",'1. Live'!BD106-'check-Jul25'!BD106)</f>
        <v/>
      </c>
      <c r="BE106" t="str">
        <f>IF('1. Live'!BE106='check-Jul25'!BE106,"",'1. Live'!BE106-'check-Jul25'!BE106)</f>
        <v/>
      </c>
      <c r="BF106" t="str">
        <f>IF('1. Live'!BF106='check-Jul25'!BF106,"",'1. Live'!BF106-'check-Jul25'!BF106)</f>
        <v/>
      </c>
      <c r="BG106" t="str">
        <f>IF('1. Live'!BG106='check-Jul25'!BG106,"",'1. Live'!BG106-'check-Jul25'!BG106)</f>
        <v/>
      </c>
      <c r="BH106" t="str">
        <f>IF('1. Live'!BH106='check-Jul25'!BH106,"",'1. Live'!BH106-'check-Jul25'!BH106)</f>
        <v/>
      </c>
      <c r="BI106" t="str">
        <f>IF('1. Live'!BI106='check-Jul25'!BI106,"",'1. Live'!BI106-'check-Jul25'!BI106)</f>
        <v/>
      </c>
      <c r="BJ106" t="str">
        <f>IF('1. Live'!BJ106='check-Jul25'!BJ106,"",'1. Live'!BJ106-'check-Jul25'!BJ106)</f>
        <v/>
      </c>
      <c r="BK106" t="str">
        <f>IF('1. Live'!BK106='check-Jul25'!BK106,"",'1. Live'!BK106-'check-Jul25'!BK106)</f>
        <v/>
      </c>
      <c r="BL106" t="str">
        <f>IF('1. Live'!BL106='check-Jul25'!BL106,"",'1. Live'!BL106-'check-Jul25'!BL106)</f>
        <v/>
      </c>
      <c r="BM106" t="str">
        <f>IF('1. Live'!BM106='check-Jul25'!BM106,"",'1. Live'!BM106-'check-Jul25'!BM106)</f>
        <v/>
      </c>
      <c r="BN106" t="str">
        <f>IF('1. Live'!BN106='check-Jul25'!BN106,"",'1. Live'!BN106-'check-Jul25'!BN106)</f>
        <v/>
      </c>
      <c r="BO106" t="str">
        <f>IF('1. Live'!BO106='check-Jul25'!BO106,"",'1. Live'!BO106-'check-Jul25'!BO106)</f>
        <v/>
      </c>
      <c r="BP106" t="str">
        <f>IF('1. Live'!BP106='check-Jul25'!BP106,"",'1. Live'!BP106-'check-Jul25'!BP106)</f>
        <v/>
      </c>
      <c r="BQ106" t="str">
        <f>IF('1. Live'!BQ106='check-Jul25'!BQ106,"",'1. Live'!BQ106-'check-Jul25'!BQ106)</f>
        <v/>
      </c>
      <c r="BR106" t="str">
        <f>IF('1. Live'!BR106='check-Jul25'!BR106,"",'1. Live'!BR106-'check-Jul25'!BR106)</f>
        <v/>
      </c>
      <c r="BS106" t="str">
        <f>IF('1. Live'!BS106='check-Jul25'!BS106,"",'1. Live'!BS106-'check-Jul25'!BS106)</f>
        <v/>
      </c>
      <c r="BT106" t="str">
        <f>IF('1. Live'!BT106='check-Jul25'!BT106,"",'1. Live'!BT106-'check-Jul25'!BT106)</f>
        <v/>
      </c>
      <c r="BU106" t="str">
        <f>IF('1. Live'!BU106='check-Jul25'!BU106,"",'1. Live'!BU106-'check-Jul25'!BU106)</f>
        <v/>
      </c>
      <c r="BV106" t="str">
        <f>IF('1. Live'!BV106='check-Jul25'!BV106,"",'1. Live'!BV106-'check-Jul25'!BV106)</f>
        <v/>
      </c>
      <c r="BW106" t="str">
        <f>IF('1. Live'!BW106='check-Jul25'!BW106,"",'1. Live'!BW106-'check-Jul25'!BW106)</f>
        <v/>
      </c>
      <c r="BX106" t="str">
        <f>IF('1. Live'!BX106='check-Jul25'!BX106,"",'1. Live'!BX106-'check-Jul25'!BX106)</f>
        <v/>
      </c>
      <c r="BY106" t="str">
        <f>IF('1. Live'!BY106='check-Jul25'!BY106,"",'1. Live'!BY106-'check-Jul25'!BY106)</f>
        <v/>
      </c>
      <c r="BZ106" t="str">
        <f>IF('1. Live'!BZ106='check-Jul25'!BZ106,"",'1. Live'!BZ106-'check-Jul25'!BZ106)</f>
        <v/>
      </c>
      <c r="CA106" t="str">
        <f>IF('1. Live'!CA106='check-Jul25'!CA106,"",'1. Live'!CA106-'check-Jul25'!CA106)</f>
        <v/>
      </c>
      <c r="CB106" t="str">
        <f>IF('1. Live'!CB106='check-Jul25'!CB106,"",'1. Live'!CB106-'check-Jul25'!CB106)</f>
        <v/>
      </c>
      <c r="CC106" t="str">
        <f>IF('1. Live'!CC106='check-Jul25'!CC106,"",'1. Live'!CC106-'check-Jul25'!CC106)</f>
        <v/>
      </c>
      <c r="CD106" t="str">
        <f>IF('1. Live'!CD106='check-Jul25'!CD106,"",'1. Live'!CD106-'check-Jul25'!CD106)</f>
        <v/>
      </c>
      <c r="CE106" t="str">
        <f>IF('1. Live'!CE106='check-Jul25'!CE106,"",'1. Live'!CE106-'check-Jul25'!CE106)</f>
        <v/>
      </c>
      <c r="CF106" t="str">
        <f>IF('1. Live'!CF106='check-Jul25'!CF106,"",'1. Live'!CF106-'check-Jul25'!CF106)</f>
        <v/>
      </c>
      <c r="CG106" t="str">
        <f>IF('1. Live'!CG106='check-Jul25'!CG106,"",'1. Live'!CG106-'check-Jul25'!CG106)</f>
        <v/>
      </c>
      <c r="CH106" t="str">
        <f>IF('1. Live'!CH106='check-Jul25'!CH106,"",'1. Live'!CH106-'check-Jul25'!CH106)</f>
        <v/>
      </c>
      <c r="CI106" t="str">
        <f>IF('1. Live'!CI106='check-Jul25'!CI106,"",'1. Live'!CI106-'check-Jul25'!CI106)</f>
        <v/>
      </c>
      <c r="CJ106" t="str">
        <f>IF('1. Live'!CJ106='check-Jul25'!CJ106,"",'1. Live'!CJ106-'check-Jul25'!CJ106)</f>
        <v/>
      </c>
      <c r="CK106" t="str">
        <f>IF('1. Live'!CK106='check-Jul25'!CK106,"",'1. Live'!CK106-'check-Jul25'!CK106)</f>
        <v/>
      </c>
      <c r="CL106" t="str">
        <f>IF('1. Live'!CL106='check-Jul25'!CL106,"",'1. Live'!CL106-'check-Jul25'!CL106)</f>
        <v/>
      </c>
      <c r="CM106" t="str">
        <f>IF('1. Live'!CM106='check-Jul25'!CM106,"",'1. Live'!CM106-'check-Jul25'!CM106)</f>
        <v/>
      </c>
      <c r="CN106" t="str">
        <f>IF('1. Live'!CN106='check-Jul25'!CN106,"",'1. Live'!CN106-'check-Jul25'!CN106)</f>
        <v/>
      </c>
      <c r="CO106" t="str">
        <f>IF('1. Live'!CO106='check-Jul25'!CO106,"",'1. Live'!CO106-'check-Jul25'!CO106)</f>
        <v/>
      </c>
      <c r="CP106" t="str">
        <f>IF('1. Live'!CP106='check-Jul25'!CP106,"",'1. Live'!CP106-'check-Jul25'!CP106)</f>
        <v/>
      </c>
      <c r="CQ106" t="str">
        <f>IF('1. Live'!CQ106='check-Jul25'!CQ106,"",'1. Live'!CQ106-'check-Jul25'!CQ106)</f>
        <v/>
      </c>
      <c r="CR106" t="str">
        <f>IF('1. Live'!CR106='check-Jul25'!CR106,"",'1. Live'!CR106-'check-Jul25'!CR106)</f>
        <v/>
      </c>
      <c r="CS106" t="str">
        <f>IF('1. Live'!CS106='check-Jul25'!CS106,"",'1. Live'!CS106-'check-Jul25'!CS106)</f>
        <v/>
      </c>
      <c r="CT106" t="str">
        <f>IF('1. Live'!CT106='check-Jul25'!CT106,"",'1. Live'!CT106-'check-Jul25'!CT106)</f>
        <v/>
      </c>
      <c r="CU106" t="str">
        <f>IF('1. Live'!CU106='check-Jul25'!CU106,"",'1. Live'!CU106-'check-Jul25'!CU106)</f>
        <v/>
      </c>
      <c r="CV106" t="str">
        <f>IF('1. Live'!CV106='check-Jul25'!CV106,"",'1. Live'!CV106-'check-Jul25'!CV106)</f>
        <v/>
      </c>
      <c r="CW106" t="str">
        <f>IF('1. Live'!CW106='check-Jul25'!CW106,"",'1. Live'!CW106-'check-Jul25'!CW106)</f>
        <v/>
      </c>
    </row>
    <row r="107" spans="10:101">
      <c r="J107" t="str">
        <f>IF('1. Live'!J107='check-Jul25'!J107,"",'1. Live'!J107-'check-Jul25'!J107)</f>
        <v/>
      </c>
      <c r="K107" t="str">
        <f>IF('1. Live'!K107='check-Jul25'!K107,"",'1. Live'!K107-'check-Jul25'!K107)</f>
        <v/>
      </c>
      <c r="L107" t="str">
        <f>IF('1. Live'!L107='check-Jul25'!L107,"",'1. Live'!L107-'check-Jul25'!L107)</f>
        <v/>
      </c>
      <c r="M107" t="str">
        <f>IF('1. Live'!M107='check-Jul25'!M107,"",'1. Live'!M107-'check-Jul25'!M107)</f>
        <v/>
      </c>
      <c r="N107" t="str">
        <f>IF('1. Live'!N107='check-Jul25'!N107,"",'1. Live'!N107-'check-Jul25'!N107)</f>
        <v/>
      </c>
      <c r="O107" t="str">
        <f>IF('1. Live'!O107='check-Jul25'!O107,"",'1. Live'!O107-'check-Jul25'!O107)</f>
        <v/>
      </c>
      <c r="P107" t="str">
        <f>IF('1. Live'!P107='check-Jul25'!P107,"",'1. Live'!P107-'check-Jul25'!P107)</f>
        <v/>
      </c>
      <c r="Q107" t="str">
        <f>IF('1. Live'!Q107='check-Jul25'!Q107,"",'1. Live'!Q107-'check-Jul25'!Q107)</f>
        <v/>
      </c>
      <c r="R107" t="str">
        <f>IF('1. Live'!R107='check-Jul25'!R107,"",'1. Live'!R107-'check-Jul25'!R107)</f>
        <v/>
      </c>
      <c r="S107" t="str">
        <f>IF('1. Live'!S107='check-Jul25'!S107,"",'1. Live'!S107-'check-Jul25'!S107)</f>
        <v/>
      </c>
      <c r="T107" t="str">
        <f>IF('1. Live'!T107='check-Jul25'!T107,"",'1. Live'!T107-'check-Jul25'!T107)</f>
        <v/>
      </c>
      <c r="U107" t="str">
        <f>IF('1. Live'!U107='check-Jul25'!U107,"",'1. Live'!U107-'check-Jul25'!U107)</f>
        <v/>
      </c>
      <c r="V107" t="str">
        <f>IF('1. Live'!V107='check-Jul25'!V107,"",'1. Live'!V107-'check-Jul25'!V107)</f>
        <v/>
      </c>
      <c r="W107" t="str">
        <f>IF('1. Live'!W107='check-Jul25'!W107,"",'1. Live'!W107-'check-Jul25'!W107)</f>
        <v/>
      </c>
      <c r="X107" t="str">
        <f>IF('1. Live'!X107='check-Jul25'!X107,"",'1. Live'!X107-'check-Jul25'!X107)</f>
        <v/>
      </c>
      <c r="Y107" t="str">
        <f>IF('1. Live'!Y107='check-Jul25'!Y107,"",'1. Live'!Y107-'check-Jul25'!Y107)</f>
        <v/>
      </c>
      <c r="Z107" t="str">
        <f>IF('1. Live'!Z107='check-Jul25'!Z107,"",'1. Live'!Z107-'check-Jul25'!Z107)</f>
        <v/>
      </c>
      <c r="AA107" t="str">
        <f>IF('1. Live'!AA107='check-Jul25'!AA107,"",'1. Live'!AA107-'check-Jul25'!AA107)</f>
        <v/>
      </c>
      <c r="AB107" t="str">
        <f>IF('1. Live'!AB107='check-Jul25'!AB107,"",'1. Live'!AB107-'check-Jul25'!AB107)</f>
        <v/>
      </c>
      <c r="AC107" t="str">
        <f>IF('1. Live'!AC107='check-Jul25'!AC107,"",'1. Live'!AC107-'check-Jul25'!AC107)</f>
        <v/>
      </c>
      <c r="AD107" t="str">
        <f>IF('1. Live'!AD107='check-Jul25'!AD107,"",'1. Live'!AD107-'check-Jul25'!AD107)</f>
        <v/>
      </c>
      <c r="AE107" t="str">
        <f>IF('1. Live'!AE107='check-Jul25'!AE107,"",'1. Live'!AE107-'check-Jul25'!AE107)</f>
        <v/>
      </c>
      <c r="AF107" t="str">
        <f>IF('1. Live'!AF107='check-Jul25'!AF107,"",'1. Live'!AF107-'check-Jul25'!AF107)</f>
        <v/>
      </c>
      <c r="AG107" t="str">
        <f>IF('1. Live'!AG107='check-Jul25'!AG107,"",'1. Live'!AG107-'check-Jul25'!AG107)</f>
        <v/>
      </c>
      <c r="AH107" t="str">
        <f>IF('1. Live'!AH107='check-Jul25'!AH107,"",'1. Live'!AH107-'check-Jul25'!AH107)</f>
        <v/>
      </c>
      <c r="AI107" t="str">
        <f>IF('1. Live'!AI107='check-Jul25'!AI107,"",'1. Live'!AI107-'check-Jul25'!AI107)</f>
        <v/>
      </c>
      <c r="AJ107" t="str">
        <f>IF('1. Live'!AJ107='check-Jul25'!AJ107,"",'1. Live'!AJ107-'check-Jul25'!AJ107)</f>
        <v/>
      </c>
      <c r="AK107" t="str">
        <f>IF('1. Live'!AK107='check-Jul25'!AK107,"",'1. Live'!AK107-'check-Jul25'!AK107)</f>
        <v/>
      </c>
      <c r="AL107" t="str">
        <f>IF('1. Live'!AL107='check-Jul25'!AL107,"",'1. Live'!AL107-'check-Jul25'!AL107)</f>
        <v/>
      </c>
      <c r="AM107" t="str">
        <f>IF('1. Live'!AM107='check-Jul25'!AM107,"",'1. Live'!AM107-'check-Jul25'!AM107)</f>
        <v/>
      </c>
      <c r="AN107" t="str">
        <f>IF('1. Live'!AN107='check-Jul25'!AN107,"",'1. Live'!AN107-'check-Jul25'!AN107)</f>
        <v/>
      </c>
      <c r="AO107" t="str">
        <f>IF('1. Live'!AO107='check-Jul25'!AO107,"",'1. Live'!AO107-'check-Jul25'!AO107)</f>
        <v/>
      </c>
      <c r="AP107" t="str">
        <f>IF('1. Live'!AP107='check-Jul25'!AP107,"",'1. Live'!AP107-'check-Jul25'!AP107)</f>
        <v/>
      </c>
      <c r="AQ107" t="str">
        <f>IF('1. Live'!AQ107='check-Jul25'!AQ107,"",'1. Live'!AQ107-'check-Jul25'!AQ107)</f>
        <v/>
      </c>
      <c r="AR107" t="str">
        <f>IF('1. Live'!AR107='check-Jul25'!AR107,"",'1. Live'!AR107-'check-Jul25'!AR107)</f>
        <v/>
      </c>
      <c r="AS107" t="str">
        <f>IF('1. Live'!AS107='check-Jul25'!AS107,"",'1. Live'!AS107-'check-Jul25'!AS107)</f>
        <v/>
      </c>
      <c r="AT107" t="str">
        <f>IF('1. Live'!AT107='check-Jul25'!AT107,"",'1. Live'!AT107-'check-Jul25'!AT107)</f>
        <v/>
      </c>
      <c r="AU107" t="str">
        <f>IF('1. Live'!AU107='check-Jul25'!AU107,"",'1. Live'!AU107-'check-Jul25'!AU107)</f>
        <v/>
      </c>
      <c r="AV107" t="str">
        <f>IF('1. Live'!AV107='check-Jul25'!AV107,"",'1. Live'!AV107-'check-Jul25'!AV107)</f>
        <v/>
      </c>
      <c r="AW107" t="str">
        <f>IF('1. Live'!AW107='check-Jul25'!AW107,"",'1. Live'!AW107-'check-Jul25'!AW107)</f>
        <v/>
      </c>
      <c r="AX107" t="str">
        <f>IF('1. Live'!AX107='check-Jul25'!AX107,"",'1. Live'!AX107-'check-Jul25'!AX107)</f>
        <v/>
      </c>
      <c r="AY107" t="str">
        <f>IF('1. Live'!AY107='check-Jul25'!AY107,"",'1. Live'!AY107-'check-Jul25'!AY107)</f>
        <v/>
      </c>
      <c r="AZ107" t="str">
        <f>IF('1. Live'!AZ107='check-Jul25'!AZ107,"",'1. Live'!AZ107-'check-Jul25'!AZ107)</f>
        <v/>
      </c>
      <c r="BA107" t="str">
        <f>IF('1. Live'!BA107='check-Jul25'!BA107,"",'1. Live'!BA107-'check-Jul25'!BA107)</f>
        <v/>
      </c>
      <c r="BB107" t="str">
        <f>IF('1. Live'!BB107='check-Jul25'!BB107,"",'1. Live'!BB107-'check-Jul25'!BB107)</f>
        <v/>
      </c>
      <c r="BC107" t="str">
        <f>IF('1. Live'!BC107='check-Jul25'!BC107,"",'1. Live'!BC107-'check-Jul25'!BC107)</f>
        <v/>
      </c>
      <c r="BD107" t="str">
        <f>IF('1. Live'!BD107='check-Jul25'!BD107,"",'1. Live'!BD107-'check-Jul25'!BD107)</f>
        <v/>
      </c>
      <c r="BE107" t="str">
        <f>IF('1. Live'!BE107='check-Jul25'!BE107,"",'1. Live'!BE107-'check-Jul25'!BE107)</f>
        <v/>
      </c>
      <c r="BF107" t="str">
        <f>IF('1. Live'!BF107='check-Jul25'!BF107,"",'1. Live'!BF107-'check-Jul25'!BF107)</f>
        <v/>
      </c>
      <c r="BG107" t="str">
        <f>IF('1. Live'!BG107='check-Jul25'!BG107,"",'1. Live'!BG107-'check-Jul25'!BG107)</f>
        <v/>
      </c>
      <c r="BH107" t="str">
        <f>IF('1. Live'!BH107='check-Jul25'!BH107,"",'1. Live'!BH107-'check-Jul25'!BH107)</f>
        <v/>
      </c>
      <c r="BI107" t="str">
        <f>IF('1. Live'!BI107='check-Jul25'!BI107,"",'1. Live'!BI107-'check-Jul25'!BI107)</f>
        <v/>
      </c>
      <c r="BJ107" t="str">
        <f>IF('1. Live'!BJ107='check-Jul25'!BJ107,"",'1. Live'!BJ107-'check-Jul25'!BJ107)</f>
        <v/>
      </c>
      <c r="BK107" t="str">
        <f>IF('1. Live'!BK107='check-Jul25'!BK107,"",'1. Live'!BK107-'check-Jul25'!BK107)</f>
        <v/>
      </c>
      <c r="BL107" t="str">
        <f>IF('1. Live'!BL107='check-Jul25'!BL107,"",'1. Live'!BL107-'check-Jul25'!BL107)</f>
        <v/>
      </c>
      <c r="BM107" t="str">
        <f>IF('1. Live'!BM107='check-Jul25'!BM107,"",'1. Live'!BM107-'check-Jul25'!BM107)</f>
        <v/>
      </c>
      <c r="BN107" t="str">
        <f>IF('1. Live'!BN107='check-Jul25'!BN107,"",'1. Live'!BN107-'check-Jul25'!BN107)</f>
        <v/>
      </c>
      <c r="BO107" t="str">
        <f>IF('1. Live'!BO107='check-Jul25'!BO107,"",'1. Live'!BO107-'check-Jul25'!BO107)</f>
        <v/>
      </c>
      <c r="BP107" t="str">
        <f>IF('1. Live'!BP107='check-Jul25'!BP107,"",'1. Live'!BP107-'check-Jul25'!BP107)</f>
        <v/>
      </c>
      <c r="BQ107" t="str">
        <f>IF('1. Live'!BQ107='check-Jul25'!BQ107,"",'1. Live'!BQ107-'check-Jul25'!BQ107)</f>
        <v/>
      </c>
      <c r="BR107" t="str">
        <f>IF('1. Live'!BR107='check-Jul25'!BR107,"",'1. Live'!BR107-'check-Jul25'!BR107)</f>
        <v/>
      </c>
      <c r="BS107" t="str">
        <f>IF('1. Live'!BS107='check-Jul25'!BS107,"",'1. Live'!BS107-'check-Jul25'!BS107)</f>
        <v/>
      </c>
      <c r="BT107" t="str">
        <f>IF('1. Live'!BT107='check-Jul25'!BT107,"",'1. Live'!BT107-'check-Jul25'!BT107)</f>
        <v/>
      </c>
      <c r="BU107" t="str">
        <f>IF('1. Live'!BU107='check-Jul25'!BU107,"",'1. Live'!BU107-'check-Jul25'!BU107)</f>
        <v/>
      </c>
      <c r="BV107" t="str">
        <f>IF('1. Live'!BV107='check-Jul25'!BV107,"",'1. Live'!BV107-'check-Jul25'!BV107)</f>
        <v/>
      </c>
      <c r="BW107" t="str">
        <f>IF('1. Live'!BW107='check-Jul25'!BW107,"",'1. Live'!BW107-'check-Jul25'!BW107)</f>
        <v/>
      </c>
      <c r="BX107" t="str">
        <f>IF('1. Live'!BX107='check-Jul25'!BX107,"",'1. Live'!BX107-'check-Jul25'!BX107)</f>
        <v/>
      </c>
      <c r="BY107" t="str">
        <f>IF('1. Live'!BY107='check-Jul25'!BY107,"",'1. Live'!BY107-'check-Jul25'!BY107)</f>
        <v/>
      </c>
      <c r="BZ107" t="str">
        <f>IF('1. Live'!BZ107='check-Jul25'!BZ107,"",'1. Live'!BZ107-'check-Jul25'!BZ107)</f>
        <v/>
      </c>
      <c r="CA107" t="str">
        <f>IF('1. Live'!CA107='check-Jul25'!CA107,"",'1. Live'!CA107-'check-Jul25'!CA107)</f>
        <v/>
      </c>
      <c r="CB107" t="str">
        <f>IF('1. Live'!CB107='check-Jul25'!CB107,"",'1. Live'!CB107-'check-Jul25'!CB107)</f>
        <v/>
      </c>
      <c r="CC107" t="str">
        <f>IF('1. Live'!CC107='check-Jul25'!CC107,"",'1. Live'!CC107-'check-Jul25'!CC107)</f>
        <v/>
      </c>
      <c r="CD107" t="str">
        <f>IF('1. Live'!CD107='check-Jul25'!CD107,"",'1. Live'!CD107-'check-Jul25'!CD107)</f>
        <v/>
      </c>
      <c r="CE107" t="str">
        <f>IF('1. Live'!CE107='check-Jul25'!CE107,"",'1. Live'!CE107-'check-Jul25'!CE107)</f>
        <v/>
      </c>
      <c r="CF107" t="str">
        <f>IF('1. Live'!CF107='check-Jul25'!CF107,"",'1. Live'!CF107-'check-Jul25'!CF107)</f>
        <v/>
      </c>
      <c r="CG107" t="str">
        <f>IF('1. Live'!CG107='check-Jul25'!CG107,"",'1. Live'!CG107-'check-Jul25'!CG107)</f>
        <v/>
      </c>
      <c r="CH107" t="str">
        <f>IF('1. Live'!CH107='check-Jul25'!CH107,"",'1. Live'!CH107-'check-Jul25'!CH107)</f>
        <v/>
      </c>
      <c r="CI107" t="str">
        <f>IF('1. Live'!CI107='check-Jul25'!CI107,"",'1. Live'!CI107-'check-Jul25'!CI107)</f>
        <v/>
      </c>
      <c r="CJ107" t="str">
        <f>IF('1. Live'!CJ107='check-Jul25'!CJ107,"",'1. Live'!CJ107-'check-Jul25'!CJ107)</f>
        <v/>
      </c>
      <c r="CK107" t="str">
        <f>IF('1. Live'!CK107='check-Jul25'!CK107,"",'1. Live'!CK107-'check-Jul25'!CK107)</f>
        <v/>
      </c>
      <c r="CL107" t="str">
        <f>IF('1. Live'!CL107='check-Jul25'!CL107,"",'1. Live'!CL107-'check-Jul25'!CL107)</f>
        <v/>
      </c>
      <c r="CM107" t="str">
        <f>IF('1. Live'!CM107='check-Jul25'!CM107,"",'1. Live'!CM107-'check-Jul25'!CM107)</f>
        <v/>
      </c>
      <c r="CN107" t="str">
        <f>IF('1. Live'!CN107='check-Jul25'!CN107,"",'1. Live'!CN107-'check-Jul25'!CN107)</f>
        <v/>
      </c>
      <c r="CO107" t="str">
        <f>IF('1. Live'!CO107='check-Jul25'!CO107,"",'1. Live'!CO107-'check-Jul25'!CO107)</f>
        <v/>
      </c>
      <c r="CP107" t="str">
        <f>IF('1. Live'!CP107='check-Jul25'!CP107,"",'1. Live'!CP107-'check-Jul25'!CP107)</f>
        <v/>
      </c>
      <c r="CQ107" t="str">
        <f>IF('1. Live'!CQ107='check-Jul25'!CQ107,"",'1. Live'!CQ107-'check-Jul25'!CQ107)</f>
        <v/>
      </c>
      <c r="CR107" t="str">
        <f>IF('1. Live'!CR107='check-Jul25'!CR107,"",'1. Live'!CR107-'check-Jul25'!CR107)</f>
        <v/>
      </c>
      <c r="CS107" t="str">
        <f>IF('1. Live'!CS107='check-Jul25'!CS107,"",'1. Live'!CS107-'check-Jul25'!CS107)</f>
        <v/>
      </c>
      <c r="CT107" t="str">
        <f>IF('1. Live'!CT107='check-Jul25'!CT107,"",'1. Live'!CT107-'check-Jul25'!CT107)</f>
        <v/>
      </c>
      <c r="CU107" t="str">
        <f>IF('1. Live'!CU107='check-Jul25'!CU107,"",'1. Live'!CU107-'check-Jul25'!CU107)</f>
        <v/>
      </c>
      <c r="CV107" t="str">
        <f>IF('1. Live'!CV107='check-Jul25'!CV107,"",'1. Live'!CV107-'check-Jul25'!CV107)</f>
        <v/>
      </c>
      <c r="CW107" t="str">
        <f>IF('1. Live'!CW107='check-Jul25'!CW107,"",'1. Live'!CW107-'check-Jul25'!CW107)</f>
        <v/>
      </c>
    </row>
    <row r="108" spans="10:101">
      <c r="J108" t="str">
        <f>IF('1. Live'!J108='check-Jul25'!J108,"",'1. Live'!J108-'check-Jul25'!J108)</f>
        <v/>
      </c>
      <c r="K108" t="str">
        <f>IF('1. Live'!K108='check-Jul25'!K108,"",'1. Live'!K108-'check-Jul25'!K108)</f>
        <v/>
      </c>
      <c r="L108" t="str">
        <f>IF('1. Live'!L108='check-Jul25'!L108,"",'1. Live'!L108-'check-Jul25'!L108)</f>
        <v/>
      </c>
      <c r="M108" t="str">
        <f>IF('1. Live'!M108='check-Jul25'!M108,"",'1. Live'!M108-'check-Jul25'!M108)</f>
        <v/>
      </c>
      <c r="N108" t="str">
        <f>IF('1. Live'!N108='check-Jul25'!N108,"",'1. Live'!N108-'check-Jul25'!N108)</f>
        <v/>
      </c>
      <c r="O108" t="str">
        <f>IF('1. Live'!O108='check-Jul25'!O108,"",'1. Live'!O108-'check-Jul25'!O108)</f>
        <v/>
      </c>
      <c r="P108" t="str">
        <f>IF('1. Live'!P108='check-Jul25'!P108,"",'1. Live'!P108-'check-Jul25'!P108)</f>
        <v/>
      </c>
      <c r="Q108" t="str">
        <f>IF('1. Live'!Q108='check-Jul25'!Q108,"",'1. Live'!Q108-'check-Jul25'!Q108)</f>
        <v/>
      </c>
      <c r="R108" t="str">
        <f>IF('1. Live'!R108='check-Jul25'!R108,"",'1. Live'!R108-'check-Jul25'!R108)</f>
        <v/>
      </c>
      <c r="S108" t="str">
        <f>IF('1. Live'!S108='check-Jul25'!S108,"",'1. Live'!S108-'check-Jul25'!S108)</f>
        <v/>
      </c>
      <c r="T108" t="str">
        <f>IF('1. Live'!T108='check-Jul25'!T108,"",'1. Live'!T108-'check-Jul25'!T108)</f>
        <v/>
      </c>
      <c r="U108" t="str">
        <f>IF('1. Live'!U108='check-Jul25'!U108,"",'1. Live'!U108-'check-Jul25'!U108)</f>
        <v/>
      </c>
      <c r="V108" t="str">
        <f>IF('1. Live'!V108='check-Jul25'!V108,"",'1. Live'!V108-'check-Jul25'!V108)</f>
        <v/>
      </c>
      <c r="W108" t="str">
        <f>IF('1. Live'!W108='check-Jul25'!W108,"",'1. Live'!W108-'check-Jul25'!W108)</f>
        <v/>
      </c>
      <c r="X108" t="str">
        <f>IF('1. Live'!X108='check-Jul25'!X108,"",'1. Live'!X108-'check-Jul25'!X108)</f>
        <v/>
      </c>
      <c r="Y108" t="str">
        <f>IF('1. Live'!Y108='check-Jul25'!Y108,"",'1. Live'!Y108-'check-Jul25'!Y108)</f>
        <v/>
      </c>
      <c r="Z108" t="str">
        <f>IF('1. Live'!Z108='check-Jul25'!Z108,"",'1. Live'!Z108-'check-Jul25'!Z108)</f>
        <v/>
      </c>
      <c r="AA108" t="str">
        <f>IF('1. Live'!AA108='check-Jul25'!AA108,"",'1. Live'!AA108-'check-Jul25'!AA108)</f>
        <v/>
      </c>
      <c r="AB108" t="str">
        <f>IF('1. Live'!AB108='check-Jul25'!AB108,"",'1. Live'!AB108-'check-Jul25'!AB108)</f>
        <v/>
      </c>
      <c r="AC108" t="str">
        <f>IF('1. Live'!AC108='check-Jul25'!AC108,"",'1. Live'!AC108-'check-Jul25'!AC108)</f>
        <v/>
      </c>
      <c r="AD108" t="str">
        <f>IF('1. Live'!AD108='check-Jul25'!AD108,"",'1. Live'!AD108-'check-Jul25'!AD108)</f>
        <v/>
      </c>
      <c r="AE108" t="str">
        <f>IF('1. Live'!AE108='check-Jul25'!AE108,"",'1. Live'!AE108-'check-Jul25'!AE108)</f>
        <v/>
      </c>
      <c r="AF108" t="str">
        <f>IF('1. Live'!AF108='check-Jul25'!AF108,"",'1. Live'!AF108-'check-Jul25'!AF108)</f>
        <v/>
      </c>
      <c r="AG108" t="str">
        <f>IF('1. Live'!AG108='check-Jul25'!AG108,"",'1. Live'!AG108-'check-Jul25'!AG108)</f>
        <v/>
      </c>
      <c r="AH108" t="str">
        <f>IF('1. Live'!AH108='check-Jul25'!AH108,"",'1. Live'!AH108-'check-Jul25'!AH108)</f>
        <v/>
      </c>
      <c r="AI108" t="str">
        <f>IF('1. Live'!AI108='check-Jul25'!AI108,"",'1. Live'!AI108-'check-Jul25'!AI108)</f>
        <v/>
      </c>
      <c r="AJ108" t="str">
        <f>IF('1. Live'!AJ108='check-Jul25'!AJ108,"",'1. Live'!AJ108-'check-Jul25'!AJ108)</f>
        <v/>
      </c>
      <c r="AK108" t="str">
        <f>IF('1. Live'!AK108='check-Jul25'!AK108,"",'1. Live'!AK108-'check-Jul25'!AK108)</f>
        <v/>
      </c>
      <c r="AL108" t="str">
        <f>IF('1. Live'!AL108='check-Jul25'!AL108,"",'1. Live'!AL108-'check-Jul25'!AL108)</f>
        <v/>
      </c>
      <c r="AM108" t="str">
        <f>IF('1. Live'!AM108='check-Jul25'!AM108,"",'1. Live'!AM108-'check-Jul25'!AM108)</f>
        <v/>
      </c>
      <c r="AN108" t="str">
        <f>IF('1. Live'!AN108='check-Jul25'!AN108,"",'1. Live'!AN108-'check-Jul25'!AN108)</f>
        <v/>
      </c>
      <c r="AO108" t="str">
        <f>IF('1. Live'!AO108='check-Jul25'!AO108,"",'1. Live'!AO108-'check-Jul25'!AO108)</f>
        <v/>
      </c>
      <c r="AP108" t="str">
        <f>IF('1. Live'!AP108='check-Jul25'!AP108,"",'1. Live'!AP108-'check-Jul25'!AP108)</f>
        <v/>
      </c>
      <c r="AQ108" t="str">
        <f>IF('1. Live'!AQ108='check-Jul25'!AQ108,"",'1. Live'!AQ108-'check-Jul25'!AQ108)</f>
        <v/>
      </c>
      <c r="AR108" t="str">
        <f>IF('1. Live'!AR108='check-Jul25'!AR108,"",'1. Live'!AR108-'check-Jul25'!AR108)</f>
        <v/>
      </c>
      <c r="AS108" t="str">
        <f>IF('1. Live'!AS108='check-Jul25'!AS108,"",'1. Live'!AS108-'check-Jul25'!AS108)</f>
        <v/>
      </c>
      <c r="AT108" t="str">
        <f>IF('1. Live'!AT108='check-Jul25'!AT108,"",'1. Live'!AT108-'check-Jul25'!AT108)</f>
        <v/>
      </c>
      <c r="AU108" t="str">
        <f>IF('1. Live'!AU108='check-Jul25'!AU108,"",'1. Live'!AU108-'check-Jul25'!AU108)</f>
        <v/>
      </c>
      <c r="AV108" t="str">
        <f>IF('1. Live'!AV108='check-Jul25'!AV108,"",'1. Live'!AV108-'check-Jul25'!AV108)</f>
        <v/>
      </c>
      <c r="AW108" t="str">
        <f>IF('1. Live'!AW108='check-Jul25'!AW108,"",'1. Live'!AW108-'check-Jul25'!AW108)</f>
        <v/>
      </c>
      <c r="AX108" t="str">
        <f>IF('1. Live'!AX108='check-Jul25'!AX108,"",'1. Live'!AX108-'check-Jul25'!AX108)</f>
        <v/>
      </c>
      <c r="AY108" t="str">
        <f>IF('1. Live'!AY108='check-Jul25'!AY108,"",'1. Live'!AY108-'check-Jul25'!AY108)</f>
        <v/>
      </c>
      <c r="AZ108" t="str">
        <f>IF('1. Live'!AZ108='check-Jul25'!AZ108,"",'1. Live'!AZ108-'check-Jul25'!AZ108)</f>
        <v/>
      </c>
      <c r="BA108" t="str">
        <f>IF('1. Live'!BA108='check-Jul25'!BA108,"",'1. Live'!BA108-'check-Jul25'!BA108)</f>
        <v/>
      </c>
      <c r="BB108" t="str">
        <f>IF('1. Live'!BB108='check-Jul25'!BB108,"",'1. Live'!BB108-'check-Jul25'!BB108)</f>
        <v/>
      </c>
      <c r="BC108" t="str">
        <f>IF('1. Live'!BC108='check-Jul25'!BC108,"",'1. Live'!BC108-'check-Jul25'!BC108)</f>
        <v/>
      </c>
      <c r="BD108" t="str">
        <f>IF('1. Live'!BD108='check-Jul25'!BD108,"",'1. Live'!BD108-'check-Jul25'!BD108)</f>
        <v/>
      </c>
      <c r="BE108" t="str">
        <f>IF('1. Live'!BE108='check-Jul25'!BE108,"",'1. Live'!BE108-'check-Jul25'!BE108)</f>
        <v/>
      </c>
      <c r="BF108" t="str">
        <f>IF('1. Live'!BF108='check-Jul25'!BF108,"",'1. Live'!BF108-'check-Jul25'!BF108)</f>
        <v/>
      </c>
      <c r="BG108" t="str">
        <f>IF('1. Live'!BG108='check-Jul25'!BG108,"",'1. Live'!BG108-'check-Jul25'!BG108)</f>
        <v/>
      </c>
      <c r="BH108" t="str">
        <f>IF('1. Live'!BH108='check-Jul25'!BH108,"",'1. Live'!BH108-'check-Jul25'!BH108)</f>
        <v/>
      </c>
      <c r="BI108" t="str">
        <f>IF('1. Live'!BI108='check-Jul25'!BI108,"",'1. Live'!BI108-'check-Jul25'!BI108)</f>
        <v/>
      </c>
      <c r="BJ108" t="str">
        <f>IF('1. Live'!BJ108='check-Jul25'!BJ108,"",'1. Live'!BJ108-'check-Jul25'!BJ108)</f>
        <v/>
      </c>
      <c r="BK108" t="str">
        <f>IF('1. Live'!BK108='check-Jul25'!BK108,"",'1. Live'!BK108-'check-Jul25'!BK108)</f>
        <v/>
      </c>
      <c r="BL108" t="str">
        <f>IF('1. Live'!BL108='check-Jul25'!BL108,"",'1. Live'!BL108-'check-Jul25'!BL108)</f>
        <v/>
      </c>
      <c r="BM108" t="str">
        <f>IF('1. Live'!BM108='check-Jul25'!BM108,"",'1. Live'!BM108-'check-Jul25'!BM108)</f>
        <v/>
      </c>
      <c r="BN108" t="str">
        <f>IF('1. Live'!BN108='check-Jul25'!BN108,"",'1. Live'!BN108-'check-Jul25'!BN108)</f>
        <v/>
      </c>
      <c r="BO108" t="str">
        <f>IF('1. Live'!BO108='check-Jul25'!BO108,"",'1. Live'!BO108-'check-Jul25'!BO108)</f>
        <v/>
      </c>
      <c r="BP108" t="str">
        <f>IF('1. Live'!BP108='check-Jul25'!BP108,"",'1. Live'!BP108-'check-Jul25'!BP108)</f>
        <v/>
      </c>
      <c r="BQ108" t="str">
        <f>IF('1. Live'!BQ108='check-Jul25'!BQ108,"",'1. Live'!BQ108-'check-Jul25'!BQ108)</f>
        <v/>
      </c>
      <c r="BR108" t="str">
        <f>IF('1. Live'!BR108='check-Jul25'!BR108,"",'1. Live'!BR108-'check-Jul25'!BR108)</f>
        <v/>
      </c>
      <c r="BS108" t="str">
        <f>IF('1. Live'!BS108='check-Jul25'!BS108,"",'1. Live'!BS108-'check-Jul25'!BS108)</f>
        <v/>
      </c>
      <c r="BT108" t="str">
        <f>IF('1. Live'!BT108='check-Jul25'!BT108,"",'1. Live'!BT108-'check-Jul25'!BT108)</f>
        <v/>
      </c>
      <c r="BU108" t="str">
        <f>IF('1. Live'!BU108='check-Jul25'!BU108,"",'1. Live'!BU108-'check-Jul25'!BU108)</f>
        <v/>
      </c>
      <c r="BV108" t="str">
        <f>IF('1. Live'!BV108='check-Jul25'!BV108,"",'1. Live'!BV108-'check-Jul25'!BV108)</f>
        <v/>
      </c>
      <c r="BW108" t="str">
        <f>IF('1. Live'!BW108='check-Jul25'!BW108,"",'1. Live'!BW108-'check-Jul25'!BW108)</f>
        <v/>
      </c>
      <c r="BX108" t="str">
        <f>IF('1. Live'!BX108='check-Jul25'!BX108,"",'1. Live'!BX108-'check-Jul25'!BX108)</f>
        <v/>
      </c>
      <c r="BY108" t="str">
        <f>IF('1. Live'!BY108='check-Jul25'!BY108,"",'1. Live'!BY108-'check-Jul25'!BY108)</f>
        <v/>
      </c>
      <c r="BZ108" t="str">
        <f>IF('1. Live'!BZ108='check-Jul25'!BZ108,"",'1. Live'!BZ108-'check-Jul25'!BZ108)</f>
        <v/>
      </c>
      <c r="CA108" t="str">
        <f>IF('1. Live'!CA108='check-Jul25'!CA108,"",'1. Live'!CA108-'check-Jul25'!CA108)</f>
        <v/>
      </c>
      <c r="CB108" t="str">
        <f>IF('1. Live'!CB108='check-Jul25'!CB108,"",'1. Live'!CB108-'check-Jul25'!CB108)</f>
        <v/>
      </c>
      <c r="CC108" t="str">
        <f>IF('1. Live'!CC108='check-Jul25'!CC108,"",'1. Live'!CC108-'check-Jul25'!CC108)</f>
        <v/>
      </c>
      <c r="CD108" t="str">
        <f>IF('1. Live'!CD108='check-Jul25'!CD108,"",'1. Live'!CD108-'check-Jul25'!CD108)</f>
        <v/>
      </c>
      <c r="CE108" t="str">
        <f>IF('1. Live'!CE108='check-Jul25'!CE108,"",'1. Live'!CE108-'check-Jul25'!CE108)</f>
        <v/>
      </c>
      <c r="CF108" t="str">
        <f>IF('1. Live'!CF108='check-Jul25'!CF108,"",'1. Live'!CF108-'check-Jul25'!CF108)</f>
        <v/>
      </c>
      <c r="CG108" t="str">
        <f>IF('1. Live'!CG108='check-Jul25'!CG108,"",'1. Live'!CG108-'check-Jul25'!CG108)</f>
        <v/>
      </c>
      <c r="CH108" t="str">
        <f>IF('1. Live'!CH108='check-Jul25'!CH108,"",'1. Live'!CH108-'check-Jul25'!CH108)</f>
        <v/>
      </c>
      <c r="CI108" t="str">
        <f>IF('1. Live'!CI108='check-Jul25'!CI108,"",'1. Live'!CI108-'check-Jul25'!CI108)</f>
        <v/>
      </c>
      <c r="CJ108" t="str">
        <f>IF('1. Live'!CJ108='check-Jul25'!CJ108,"",'1. Live'!CJ108-'check-Jul25'!CJ108)</f>
        <v/>
      </c>
      <c r="CK108" t="str">
        <f>IF('1. Live'!CK108='check-Jul25'!CK108,"",'1. Live'!CK108-'check-Jul25'!CK108)</f>
        <v/>
      </c>
      <c r="CL108" t="str">
        <f>IF('1. Live'!CL108='check-Jul25'!CL108,"",'1. Live'!CL108-'check-Jul25'!CL108)</f>
        <v/>
      </c>
      <c r="CM108" t="str">
        <f>IF('1. Live'!CM108='check-Jul25'!CM108,"",'1. Live'!CM108-'check-Jul25'!CM108)</f>
        <v/>
      </c>
      <c r="CN108" t="str">
        <f>IF('1. Live'!CN108='check-Jul25'!CN108,"",'1. Live'!CN108-'check-Jul25'!CN108)</f>
        <v/>
      </c>
      <c r="CO108" t="str">
        <f>IF('1. Live'!CO108='check-Jul25'!CO108,"",'1. Live'!CO108-'check-Jul25'!CO108)</f>
        <v/>
      </c>
      <c r="CP108" t="str">
        <f>IF('1. Live'!CP108='check-Jul25'!CP108,"",'1. Live'!CP108-'check-Jul25'!CP108)</f>
        <v/>
      </c>
      <c r="CQ108" t="str">
        <f>IF('1. Live'!CQ108='check-Jul25'!CQ108,"",'1. Live'!CQ108-'check-Jul25'!CQ108)</f>
        <v/>
      </c>
      <c r="CR108" t="str">
        <f>IF('1. Live'!CR108='check-Jul25'!CR108,"",'1. Live'!CR108-'check-Jul25'!CR108)</f>
        <v/>
      </c>
      <c r="CS108" t="str">
        <f>IF('1. Live'!CS108='check-Jul25'!CS108,"",'1. Live'!CS108-'check-Jul25'!CS108)</f>
        <v/>
      </c>
      <c r="CT108" t="str">
        <f>IF('1. Live'!CT108='check-Jul25'!CT108,"",'1. Live'!CT108-'check-Jul25'!CT108)</f>
        <v/>
      </c>
      <c r="CU108" t="str">
        <f>IF('1. Live'!CU108='check-Jul25'!CU108,"",'1. Live'!CU108-'check-Jul25'!CU108)</f>
        <v/>
      </c>
      <c r="CV108" t="str">
        <f>IF('1. Live'!CV108='check-Jul25'!CV108,"",'1. Live'!CV108-'check-Jul25'!CV108)</f>
        <v/>
      </c>
      <c r="CW108" t="str">
        <f>IF('1. Live'!CW108='check-Jul25'!CW108,"",'1. Live'!CW108-'check-Jul25'!CW108)</f>
        <v/>
      </c>
    </row>
    <row r="109" spans="10:101">
      <c r="J109" t="str">
        <f>IF('1. Live'!J109='check-Jul25'!J109,"",'1. Live'!J109-'check-Jul25'!J109)</f>
        <v/>
      </c>
      <c r="K109" t="str">
        <f>IF('1. Live'!K109='check-Jul25'!K109,"",'1. Live'!K109-'check-Jul25'!K109)</f>
        <v/>
      </c>
      <c r="L109" t="str">
        <f>IF('1. Live'!L109='check-Jul25'!L109,"",'1. Live'!L109-'check-Jul25'!L109)</f>
        <v/>
      </c>
      <c r="M109" t="str">
        <f>IF('1. Live'!M109='check-Jul25'!M109,"",'1. Live'!M109-'check-Jul25'!M109)</f>
        <v/>
      </c>
      <c r="N109" t="str">
        <f>IF('1. Live'!N109='check-Jul25'!N109,"",'1. Live'!N109-'check-Jul25'!N109)</f>
        <v/>
      </c>
      <c r="O109" t="str">
        <f>IF('1. Live'!O109='check-Jul25'!O109,"",'1. Live'!O109-'check-Jul25'!O109)</f>
        <v/>
      </c>
      <c r="P109" t="str">
        <f>IF('1. Live'!P109='check-Jul25'!P109,"",'1. Live'!P109-'check-Jul25'!P109)</f>
        <v/>
      </c>
      <c r="Q109" t="str">
        <f>IF('1. Live'!Q109='check-Jul25'!Q109,"",'1. Live'!Q109-'check-Jul25'!Q109)</f>
        <v/>
      </c>
      <c r="R109" t="str">
        <f>IF('1. Live'!R109='check-Jul25'!R109,"",'1. Live'!R109-'check-Jul25'!R109)</f>
        <v/>
      </c>
      <c r="S109" t="str">
        <f>IF('1. Live'!S109='check-Jul25'!S109,"",'1. Live'!S109-'check-Jul25'!S109)</f>
        <v/>
      </c>
      <c r="T109" t="str">
        <f>IF('1. Live'!T109='check-Jul25'!T109,"",'1. Live'!T109-'check-Jul25'!T109)</f>
        <v/>
      </c>
      <c r="U109" t="str">
        <f>IF('1. Live'!U109='check-Jul25'!U109,"",'1. Live'!U109-'check-Jul25'!U109)</f>
        <v/>
      </c>
      <c r="V109" t="str">
        <f>IF('1. Live'!V109='check-Jul25'!V109,"",'1. Live'!V109-'check-Jul25'!V109)</f>
        <v/>
      </c>
      <c r="W109" t="str">
        <f>IF('1. Live'!W109='check-Jul25'!W109,"",'1. Live'!W109-'check-Jul25'!W109)</f>
        <v/>
      </c>
      <c r="X109" t="str">
        <f>IF('1. Live'!X109='check-Jul25'!X109,"",'1. Live'!X109-'check-Jul25'!X109)</f>
        <v/>
      </c>
      <c r="Y109" t="str">
        <f>IF('1. Live'!Y109='check-Jul25'!Y109,"",'1. Live'!Y109-'check-Jul25'!Y109)</f>
        <v/>
      </c>
      <c r="Z109" t="str">
        <f>IF('1. Live'!Z109='check-Jul25'!Z109,"",'1. Live'!Z109-'check-Jul25'!Z109)</f>
        <v/>
      </c>
      <c r="AA109" t="str">
        <f>IF('1. Live'!AA109='check-Jul25'!AA109,"",'1. Live'!AA109-'check-Jul25'!AA109)</f>
        <v/>
      </c>
      <c r="AB109" t="str">
        <f>IF('1. Live'!AB109='check-Jul25'!AB109,"",'1. Live'!AB109-'check-Jul25'!AB109)</f>
        <v/>
      </c>
      <c r="AC109" t="str">
        <f>IF('1. Live'!AC109='check-Jul25'!AC109,"",'1. Live'!AC109-'check-Jul25'!AC109)</f>
        <v/>
      </c>
      <c r="AD109" t="str">
        <f>IF('1. Live'!AD109='check-Jul25'!AD109,"",'1. Live'!AD109-'check-Jul25'!AD109)</f>
        <v/>
      </c>
      <c r="AE109" t="str">
        <f>IF('1. Live'!AE109='check-Jul25'!AE109,"",'1. Live'!AE109-'check-Jul25'!AE109)</f>
        <v/>
      </c>
      <c r="AF109" t="str">
        <f>IF('1. Live'!AF109='check-Jul25'!AF109,"",'1. Live'!AF109-'check-Jul25'!AF109)</f>
        <v/>
      </c>
      <c r="AG109" t="str">
        <f>IF('1. Live'!AG109='check-Jul25'!AG109,"",'1. Live'!AG109-'check-Jul25'!AG109)</f>
        <v/>
      </c>
      <c r="AH109" t="str">
        <f>IF('1. Live'!AH109='check-Jul25'!AH109,"",'1. Live'!AH109-'check-Jul25'!AH109)</f>
        <v/>
      </c>
      <c r="AI109" t="str">
        <f>IF('1. Live'!AI109='check-Jul25'!AI109,"",'1. Live'!AI109-'check-Jul25'!AI109)</f>
        <v/>
      </c>
      <c r="AJ109" t="str">
        <f>IF('1. Live'!AJ109='check-Jul25'!AJ109,"",'1. Live'!AJ109-'check-Jul25'!AJ109)</f>
        <v/>
      </c>
      <c r="AK109" t="str">
        <f>IF('1. Live'!AK109='check-Jul25'!AK109,"",'1. Live'!AK109-'check-Jul25'!AK109)</f>
        <v/>
      </c>
      <c r="AL109" t="str">
        <f>IF('1. Live'!AL109='check-Jul25'!AL109,"",'1. Live'!AL109-'check-Jul25'!AL109)</f>
        <v/>
      </c>
      <c r="AM109" t="str">
        <f>IF('1. Live'!AM109='check-Jul25'!AM109,"",'1. Live'!AM109-'check-Jul25'!AM109)</f>
        <v/>
      </c>
      <c r="AN109" t="str">
        <f>IF('1. Live'!AN109='check-Jul25'!AN109,"",'1. Live'!AN109-'check-Jul25'!AN109)</f>
        <v/>
      </c>
      <c r="AO109" t="str">
        <f>IF('1. Live'!AO109='check-Jul25'!AO109,"",'1. Live'!AO109-'check-Jul25'!AO109)</f>
        <v/>
      </c>
      <c r="AP109" t="str">
        <f>IF('1. Live'!AP109='check-Jul25'!AP109,"",'1. Live'!AP109-'check-Jul25'!AP109)</f>
        <v/>
      </c>
      <c r="AQ109" t="str">
        <f>IF('1. Live'!AQ109='check-Jul25'!AQ109,"",'1. Live'!AQ109-'check-Jul25'!AQ109)</f>
        <v/>
      </c>
      <c r="AR109" t="str">
        <f>IF('1. Live'!AR109='check-Jul25'!AR109,"",'1. Live'!AR109-'check-Jul25'!AR109)</f>
        <v/>
      </c>
      <c r="AS109" t="str">
        <f>IF('1. Live'!AS109='check-Jul25'!AS109,"",'1. Live'!AS109-'check-Jul25'!AS109)</f>
        <v/>
      </c>
      <c r="AT109" t="str">
        <f>IF('1. Live'!AT109='check-Jul25'!AT109,"",'1. Live'!AT109-'check-Jul25'!AT109)</f>
        <v/>
      </c>
      <c r="AU109" t="str">
        <f>IF('1. Live'!AU109='check-Jul25'!AU109,"",'1. Live'!AU109-'check-Jul25'!AU109)</f>
        <v/>
      </c>
      <c r="AV109" t="str">
        <f>IF('1. Live'!AV109='check-Jul25'!AV109,"",'1. Live'!AV109-'check-Jul25'!AV109)</f>
        <v/>
      </c>
      <c r="AW109" t="str">
        <f>IF('1. Live'!AW109='check-Jul25'!AW109,"",'1. Live'!AW109-'check-Jul25'!AW109)</f>
        <v/>
      </c>
      <c r="AX109" t="str">
        <f>IF('1. Live'!AX109='check-Jul25'!AX109,"",'1. Live'!AX109-'check-Jul25'!AX109)</f>
        <v/>
      </c>
      <c r="AY109" t="str">
        <f>IF('1. Live'!AY109='check-Jul25'!AY109,"",'1. Live'!AY109-'check-Jul25'!AY109)</f>
        <v/>
      </c>
      <c r="AZ109" t="str">
        <f>IF('1. Live'!AZ109='check-Jul25'!AZ109,"",'1. Live'!AZ109-'check-Jul25'!AZ109)</f>
        <v/>
      </c>
      <c r="BA109" t="str">
        <f>IF('1. Live'!BA109='check-Jul25'!BA109,"",'1. Live'!BA109-'check-Jul25'!BA109)</f>
        <v/>
      </c>
      <c r="BB109" t="str">
        <f>IF('1. Live'!BB109='check-Jul25'!BB109,"",'1. Live'!BB109-'check-Jul25'!BB109)</f>
        <v/>
      </c>
      <c r="BC109" t="str">
        <f>IF('1. Live'!BC109='check-Jul25'!BC109,"",'1. Live'!BC109-'check-Jul25'!BC109)</f>
        <v/>
      </c>
      <c r="BD109" t="str">
        <f>IF('1. Live'!BD109='check-Jul25'!BD109,"",'1. Live'!BD109-'check-Jul25'!BD109)</f>
        <v/>
      </c>
      <c r="BE109" t="str">
        <f>IF('1. Live'!BE109='check-Jul25'!BE109,"",'1. Live'!BE109-'check-Jul25'!BE109)</f>
        <v/>
      </c>
      <c r="BF109" t="str">
        <f>IF('1. Live'!BF109='check-Jul25'!BF109,"",'1. Live'!BF109-'check-Jul25'!BF109)</f>
        <v/>
      </c>
      <c r="BG109" t="str">
        <f>IF('1. Live'!BG109='check-Jul25'!BG109,"",'1. Live'!BG109-'check-Jul25'!BG109)</f>
        <v/>
      </c>
      <c r="BH109" t="str">
        <f>IF('1. Live'!BH109='check-Jul25'!BH109,"",'1. Live'!BH109-'check-Jul25'!BH109)</f>
        <v/>
      </c>
      <c r="BI109" t="str">
        <f>IF('1. Live'!BI109='check-Jul25'!BI109,"",'1. Live'!BI109-'check-Jul25'!BI109)</f>
        <v/>
      </c>
      <c r="BJ109" t="str">
        <f>IF('1. Live'!BJ109='check-Jul25'!BJ109,"",'1. Live'!BJ109-'check-Jul25'!BJ109)</f>
        <v/>
      </c>
      <c r="BK109" t="str">
        <f>IF('1. Live'!BK109='check-Jul25'!BK109,"",'1. Live'!BK109-'check-Jul25'!BK109)</f>
        <v/>
      </c>
      <c r="BL109" t="str">
        <f>IF('1. Live'!BL109='check-Jul25'!BL109,"",'1. Live'!BL109-'check-Jul25'!BL109)</f>
        <v/>
      </c>
      <c r="BM109" t="str">
        <f>IF('1. Live'!BM109='check-Jul25'!BM109,"",'1. Live'!BM109-'check-Jul25'!BM109)</f>
        <v/>
      </c>
      <c r="BN109" t="str">
        <f>IF('1. Live'!BN109='check-Jul25'!BN109,"",'1. Live'!BN109-'check-Jul25'!BN109)</f>
        <v/>
      </c>
      <c r="BO109" t="str">
        <f>IF('1. Live'!BO109='check-Jul25'!BO109,"",'1. Live'!BO109-'check-Jul25'!BO109)</f>
        <v/>
      </c>
      <c r="BP109" t="str">
        <f>IF('1. Live'!BP109='check-Jul25'!BP109,"",'1. Live'!BP109-'check-Jul25'!BP109)</f>
        <v/>
      </c>
      <c r="BQ109" t="str">
        <f>IF('1. Live'!BQ109='check-Jul25'!BQ109,"",'1. Live'!BQ109-'check-Jul25'!BQ109)</f>
        <v/>
      </c>
      <c r="BR109" t="str">
        <f>IF('1. Live'!BR109='check-Jul25'!BR109,"",'1. Live'!BR109-'check-Jul25'!BR109)</f>
        <v/>
      </c>
      <c r="BS109" t="str">
        <f>IF('1. Live'!BS109='check-Jul25'!BS109,"",'1. Live'!BS109-'check-Jul25'!BS109)</f>
        <v/>
      </c>
      <c r="BT109" t="str">
        <f>IF('1. Live'!BT109='check-Jul25'!BT109,"",'1. Live'!BT109-'check-Jul25'!BT109)</f>
        <v/>
      </c>
      <c r="BU109" t="str">
        <f>IF('1. Live'!BU109='check-Jul25'!BU109,"",'1. Live'!BU109-'check-Jul25'!BU109)</f>
        <v/>
      </c>
      <c r="BV109" t="str">
        <f>IF('1. Live'!BV109='check-Jul25'!BV109,"",'1. Live'!BV109-'check-Jul25'!BV109)</f>
        <v/>
      </c>
      <c r="BW109" t="str">
        <f>IF('1. Live'!BW109='check-Jul25'!BW109,"",'1. Live'!BW109-'check-Jul25'!BW109)</f>
        <v/>
      </c>
      <c r="BX109" t="str">
        <f>IF('1. Live'!BX109='check-Jul25'!BX109,"",'1. Live'!BX109-'check-Jul25'!BX109)</f>
        <v/>
      </c>
      <c r="BY109" t="str">
        <f>IF('1. Live'!BY109='check-Jul25'!BY109,"",'1. Live'!BY109-'check-Jul25'!BY109)</f>
        <v/>
      </c>
      <c r="BZ109" t="str">
        <f>IF('1. Live'!BZ109='check-Jul25'!BZ109,"",'1. Live'!BZ109-'check-Jul25'!BZ109)</f>
        <v/>
      </c>
      <c r="CA109" t="str">
        <f>IF('1. Live'!CA109='check-Jul25'!CA109,"",'1. Live'!CA109-'check-Jul25'!CA109)</f>
        <v/>
      </c>
      <c r="CB109" t="str">
        <f>IF('1. Live'!CB109='check-Jul25'!CB109,"",'1. Live'!CB109-'check-Jul25'!CB109)</f>
        <v/>
      </c>
      <c r="CC109" t="str">
        <f>IF('1. Live'!CC109='check-Jul25'!CC109,"",'1. Live'!CC109-'check-Jul25'!CC109)</f>
        <v/>
      </c>
      <c r="CD109" t="str">
        <f>IF('1. Live'!CD109='check-Jul25'!CD109,"",'1. Live'!CD109-'check-Jul25'!CD109)</f>
        <v/>
      </c>
      <c r="CE109" t="str">
        <f>IF('1. Live'!CE109='check-Jul25'!CE109,"",'1. Live'!CE109-'check-Jul25'!CE109)</f>
        <v/>
      </c>
      <c r="CF109" t="str">
        <f>IF('1. Live'!CF109='check-Jul25'!CF109,"",'1. Live'!CF109-'check-Jul25'!CF109)</f>
        <v/>
      </c>
      <c r="CG109" t="str">
        <f>IF('1. Live'!CG109='check-Jul25'!CG109,"",'1. Live'!CG109-'check-Jul25'!CG109)</f>
        <v/>
      </c>
      <c r="CH109" t="str">
        <f>IF('1. Live'!CH109='check-Jul25'!CH109,"",'1. Live'!CH109-'check-Jul25'!CH109)</f>
        <v/>
      </c>
      <c r="CI109" t="str">
        <f>IF('1. Live'!CI109='check-Jul25'!CI109,"",'1. Live'!CI109-'check-Jul25'!CI109)</f>
        <v/>
      </c>
      <c r="CJ109" t="str">
        <f>IF('1. Live'!CJ109='check-Jul25'!CJ109,"",'1. Live'!CJ109-'check-Jul25'!CJ109)</f>
        <v/>
      </c>
      <c r="CK109" t="str">
        <f>IF('1. Live'!CK109='check-Jul25'!CK109,"",'1. Live'!CK109-'check-Jul25'!CK109)</f>
        <v/>
      </c>
      <c r="CL109" t="str">
        <f>IF('1. Live'!CL109='check-Jul25'!CL109,"",'1. Live'!CL109-'check-Jul25'!CL109)</f>
        <v/>
      </c>
      <c r="CM109" t="str">
        <f>IF('1. Live'!CM109='check-Jul25'!CM109,"",'1. Live'!CM109-'check-Jul25'!CM109)</f>
        <v/>
      </c>
      <c r="CN109" t="str">
        <f>IF('1. Live'!CN109='check-Jul25'!CN109,"",'1. Live'!CN109-'check-Jul25'!CN109)</f>
        <v/>
      </c>
      <c r="CO109" t="str">
        <f>IF('1. Live'!CO109='check-Jul25'!CO109,"",'1. Live'!CO109-'check-Jul25'!CO109)</f>
        <v/>
      </c>
      <c r="CP109" t="str">
        <f>IF('1. Live'!CP109='check-Jul25'!CP109,"",'1. Live'!CP109-'check-Jul25'!CP109)</f>
        <v/>
      </c>
      <c r="CQ109" t="str">
        <f>IF('1. Live'!CQ109='check-Jul25'!CQ109,"",'1. Live'!CQ109-'check-Jul25'!CQ109)</f>
        <v/>
      </c>
      <c r="CR109" t="str">
        <f>IF('1. Live'!CR109='check-Jul25'!CR109,"",'1. Live'!CR109-'check-Jul25'!CR109)</f>
        <v/>
      </c>
      <c r="CS109" t="str">
        <f>IF('1. Live'!CS109='check-Jul25'!CS109,"",'1. Live'!CS109-'check-Jul25'!CS109)</f>
        <v/>
      </c>
      <c r="CT109" t="str">
        <f>IF('1. Live'!CT109='check-Jul25'!CT109,"",'1. Live'!CT109-'check-Jul25'!CT109)</f>
        <v/>
      </c>
      <c r="CU109" t="str">
        <f>IF('1. Live'!CU109='check-Jul25'!CU109,"",'1. Live'!CU109-'check-Jul25'!CU109)</f>
        <v/>
      </c>
      <c r="CV109" t="str">
        <f>IF('1. Live'!CV109='check-Jul25'!CV109,"",'1. Live'!CV109-'check-Jul25'!CV109)</f>
        <v/>
      </c>
      <c r="CW109" t="str">
        <f>IF('1. Live'!CW109='check-Jul25'!CW109,"",'1. Live'!CW109-'check-Jul25'!CW109)</f>
        <v/>
      </c>
    </row>
    <row r="110" spans="10:101">
      <c r="J110" t="str">
        <f>IF('1. Live'!J110='check-Jul25'!J110,"",'1. Live'!J110-'check-Jul25'!J110)</f>
        <v/>
      </c>
      <c r="K110" t="str">
        <f>IF('1. Live'!K110='check-Jul25'!K110,"",'1. Live'!K110-'check-Jul25'!K110)</f>
        <v/>
      </c>
      <c r="L110" t="str">
        <f>IF('1. Live'!L110='check-Jul25'!L110,"",'1. Live'!L110-'check-Jul25'!L110)</f>
        <v/>
      </c>
      <c r="M110" t="str">
        <f>IF('1. Live'!M110='check-Jul25'!M110,"",'1. Live'!M110-'check-Jul25'!M110)</f>
        <v/>
      </c>
      <c r="N110" t="str">
        <f>IF('1. Live'!N110='check-Jul25'!N110,"",'1. Live'!N110-'check-Jul25'!N110)</f>
        <v/>
      </c>
      <c r="O110" t="str">
        <f>IF('1. Live'!O110='check-Jul25'!O110,"",'1. Live'!O110-'check-Jul25'!O110)</f>
        <v/>
      </c>
      <c r="P110" t="str">
        <f>IF('1. Live'!P110='check-Jul25'!P110,"",'1. Live'!P110-'check-Jul25'!P110)</f>
        <v/>
      </c>
      <c r="Q110" t="str">
        <f>IF('1. Live'!Q110='check-Jul25'!Q110,"",'1. Live'!Q110-'check-Jul25'!Q110)</f>
        <v/>
      </c>
      <c r="R110" t="str">
        <f>IF('1. Live'!R110='check-Jul25'!R110,"",'1. Live'!R110-'check-Jul25'!R110)</f>
        <v/>
      </c>
      <c r="S110" t="str">
        <f>IF('1. Live'!S110='check-Jul25'!S110,"",'1. Live'!S110-'check-Jul25'!S110)</f>
        <v/>
      </c>
      <c r="T110" t="str">
        <f>IF('1. Live'!T110='check-Jul25'!T110,"",'1. Live'!T110-'check-Jul25'!T110)</f>
        <v/>
      </c>
      <c r="U110" t="str">
        <f>IF('1. Live'!U110='check-Jul25'!U110,"",'1. Live'!U110-'check-Jul25'!U110)</f>
        <v/>
      </c>
      <c r="V110" t="str">
        <f>IF('1. Live'!V110='check-Jul25'!V110,"",'1. Live'!V110-'check-Jul25'!V110)</f>
        <v/>
      </c>
      <c r="W110" t="str">
        <f>IF('1. Live'!W110='check-Jul25'!W110,"",'1. Live'!W110-'check-Jul25'!W110)</f>
        <v/>
      </c>
      <c r="X110" t="str">
        <f>IF('1. Live'!X110='check-Jul25'!X110,"",'1. Live'!X110-'check-Jul25'!X110)</f>
        <v/>
      </c>
      <c r="Y110" t="str">
        <f>IF('1. Live'!Y110='check-Jul25'!Y110,"",'1. Live'!Y110-'check-Jul25'!Y110)</f>
        <v/>
      </c>
      <c r="Z110" t="str">
        <f>IF('1. Live'!Z110='check-Jul25'!Z110,"",'1. Live'!Z110-'check-Jul25'!Z110)</f>
        <v/>
      </c>
      <c r="AA110" t="str">
        <f>IF('1. Live'!AA110='check-Jul25'!AA110,"",'1. Live'!AA110-'check-Jul25'!AA110)</f>
        <v/>
      </c>
      <c r="AB110" t="str">
        <f>IF('1. Live'!AB110='check-Jul25'!AB110,"",'1. Live'!AB110-'check-Jul25'!AB110)</f>
        <v/>
      </c>
      <c r="AC110" t="str">
        <f>IF('1. Live'!AC110='check-Jul25'!AC110,"",'1. Live'!AC110-'check-Jul25'!AC110)</f>
        <v/>
      </c>
      <c r="AD110" t="str">
        <f>IF('1. Live'!AD110='check-Jul25'!AD110,"",'1. Live'!AD110-'check-Jul25'!AD110)</f>
        <v/>
      </c>
      <c r="AE110" t="str">
        <f>IF('1. Live'!AE110='check-Jul25'!AE110,"",'1. Live'!AE110-'check-Jul25'!AE110)</f>
        <v/>
      </c>
      <c r="AF110" t="str">
        <f>IF('1. Live'!AF110='check-Jul25'!AF110,"",'1. Live'!AF110-'check-Jul25'!AF110)</f>
        <v/>
      </c>
      <c r="AG110" t="str">
        <f>IF('1. Live'!AG110='check-Jul25'!AG110,"",'1. Live'!AG110-'check-Jul25'!AG110)</f>
        <v/>
      </c>
      <c r="AH110" t="str">
        <f>IF('1. Live'!AH110='check-Jul25'!AH110,"",'1. Live'!AH110-'check-Jul25'!AH110)</f>
        <v/>
      </c>
      <c r="AI110" t="str">
        <f>IF('1. Live'!AI110='check-Jul25'!AI110,"",'1. Live'!AI110-'check-Jul25'!AI110)</f>
        <v/>
      </c>
      <c r="AJ110" t="str">
        <f>IF('1. Live'!AJ110='check-Jul25'!AJ110,"",'1. Live'!AJ110-'check-Jul25'!AJ110)</f>
        <v/>
      </c>
      <c r="AK110" t="str">
        <f>IF('1. Live'!AK110='check-Jul25'!AK110,"",'1. Live'!AK110-'check-Jul25'!AK110)</f>
        <v/>
      </c>
      <c r="AL110" t="str">
        <f>IF('1. Live'!AL110='check-Jul25'!AL110,"",'1. Live'!AL110-'check-Jul25'!AL110)</f>
        <v/>
      </c>
      <c r="AM110" t="str">
        <f>IF('1. Live'!AM110='check-Jul25'!AM110,"",'1. Live'!AM110-'check-Jul25'!AM110)</f>
        <v/>
      </c>
      <c r="AN110" t="str">
        <f>IF('1. Live'!AN110='check-Jul25'!AN110,"",'1. Live'!AN110-'check-Jul25'!AN110)</f>
        <v/>
      </c>
      <c r="AO110" t="str">
        <f>IF('1. Live'!AO110='check-Jul25'!AO110,"",'1. Live'!AO110-'check-Jul25'!AO110)</f>
        <v/>
      </c>
      <c r="AP110" t="str">
        <f>IF('1. Live'!AP110='check-Jul25'!AP110,"",'1. Live'!AP110-'check-Jul25'!AP110)</f>
        <v/>
      </c>
      <c r="AQ110" t="str">
        <f>IF('1. Live'!AQ110='check-Jul25'!AQ110,"",'1. Live'!AQ110-'check-Jul25'!AQ110)</f>
        <v/>
      </c>
      <c r="AR110" t="str">
        <f>IF('1. Live'!AR110='check-Jul25'!AR110,"",'1. Live'!AR110-'check-Jul25'!AR110)</f>
        <v/>
      </c>
      <c r="AS110" t="str">
        <f>IF('1. Live'!AS110='check-Jul25'!AS110,"",'1. Live'!AS110-'check-Jul25'!AS110)</f>
        <v/>
      </c>
      <c r="AT110" t="str">
        <f>IF('1. Live'!AT110='check-Jul25'!AT110,"",'1. Live'!AT110-'check-Jul25'!AT110)</f>
        <v/>
      </c>
      <c r="AU110" t="str">
        <f>IF('1. Live'!AU110='check-Jul25'!AU110,"",'1. Live'!AU110-'check-Jul25'!AU110)</f>
        <v/>
      </c>
      <c r="AV110" t="str">
        <f>IF('1. Live'!AV110='check-Jul25'!AV110,"",'1. Live'!AV110-'check-Jul25'!AV110)</f>
        <v/>
      </c>
      <c r="AW110" t="str">
        <f>IF('1. Live'!AW110='check-Jul25'!AW110,"",'1. Live'!AW110-'check-Jul25'!AW110)</f>
        <v/>
      </c>
      <c r="AX110" t="str">
        <f>IF('1. Live'!AX110='check-Jul25'!AX110,"",'1. Live'!AX110-'check-Jul25'!AX110)</f>
        <v/>
      </c>
      <c r="AY110" t="str">
        <f>IF('1. Live'!AY110='check-Jul25'!AY110,"",'1. Live'!AY110-'check-Jul25'!AY110)</f>
        <v/>
      </c>
      <c r="AZ110" t="str">
        <f>IF('1. Live'!AZ110='check-Jul25'!AZ110,"",'1. Live'!AZ110-'check-Jul25'!AZ110)</f>
        <v/>
      </c>
      <c r="BA110" t="str">
        <f>IF('1. Live'!BA110='check-Jul25'!BA110,"",'1. Live'!BA110-'check-Jul25'!BA110)</f>
        <v/>
      </c>
      <c r="BB110" t="str">
        <f>IF('1. Live'!BB110='check-Jul25'!BB110,"",'1. Live'!BB110-'check-Jul25'!BB110)</f>
        <v/>
      </c>
      <c r="BC110" t="str">
        <f>IF('1. Live'!BC110='check-Jul25'!BC110,"",'1. Live'!BC110-'check-Jul25'!BC110)</f>
        <v/>
      </c>
      <c r="BD110" t="str">
        <f>IF('1. Live'!BD110='check-Jul25'!BD110,"",'1. Live'!BD110-'check-Jul25'!BD110)</f>
        <v/>
      </c>
      <c r="BE110" t="str">
        <f>IF('1. Live'!BE110='check-Jul25'!BE110,"",'1. Live'!BE110-'check-Jul25'!BE110)</f>
        <v/>
      </c>
      <c r="BF110" t="str">
        <f>IF('1. Live'!BF110='check-Jul25'!BF110,"",'1. Live'!BF110-'check-Jul25'!BF110)</f>
        <v/>
      </c>
      <c r="BG110" t="str">
        <f>IF('1. Live'!BG110='check-Jul25'!BG110,"",'1. Live'!BG110-'check-Jul25'!BG110)</f>
        <v/>
      </c>
      <c r="BH110" t="str">
        <f>IF('1. Live'!BH110='check-Jul25'!BH110,"",'1. Live'!BH110-'check-Jul25'!BH110)</f>
        <v/>
      </c>
      <c r="BI110" t="str">
        <f>IF('1. Live'!BI110='check-Jul25'!BI110,"",'1. Live'!BI110-'check-Jul25'!BI110)</f>
        <v/>
      </c>
      <c r="BJ110" t="str">
        <f>IF('1. Live'!BJ110='check-Jul25'!BJ110,"",'1. Live'!BJ110-'check-Jul25'!BJ110)</f>
        <v/>
      </c>
      <c r="BK110" t="str">
        <f>IF('1. Live'!BK110='check-Jul25'!BK110,"",'1. Live'!BK110-'check-Jul25'!BK110)</f>
        <v/>
      </c>
      <c r="BL110" t="str">
        <f>IF('1. Live'!BL110='check-Jul25'!BL110,"",'1. Live'!BL110-'check-Jul25'!BL110)</f>
        <v/>
      </c>
      <c r="BM110" t="str">
        <f>IF('1. Live'!BM110='check-Jul25'!BM110,"",'1. Live'!BM110-'check-Jul25'!BM110)</f>
        <v/>
      </c>
      <c r="BN110" t="str">
        <f>IF('1. Live'!BN110='check-Jul25'!BN110,"",'1. Live'!BN110-'check-Jul25'!BN110)</f>
        <v/>
      </c>
      <c r="BO110" t="str">
        <f>IF('1. Live'!BO110='check-Jul25'!BO110,"",'1. Live'!BO110-'check-Jul25'!BO110)</f>
        <v/>
      </c>
      <c r="BP110" t="str">
        <f>IF('1. Live'!BP110='check-Jul25'!BP110,"",'1. Live'!BP110-'check-Jul25'!BP110)</f>
        <v/>
      </c>
      <c r="BQ110" t="str">
        <f>IF('1. Live'!BQ110='check-Jul25'!BQ110,"",'1. Live'!BQ110-'check-Jul25'!BQ110)</f>
        <v/>
      </c>
      <c r="BR110" t="str">
        <f>IF('1. Live'!BR110='check-Jul25'!BR110,"",'1. Live'!BR110-'check-Jul25'!BR110)</f>
        <v/>
      </c>
      <c r="BS110" t="str">
        <f>IF('1. Live'!BS110='check-Jul25'!BS110,"",'1. Live'!BS110-'check-Jul25'!BS110)</f>
        <v/>
      </c>
      <c r="BT110" t="str">
        <f>IF('1. Live'!BT110='check-Jul25'!BT110,"",'1. Live'!BT110-'check-Jul25'!BT110)</f>
        <v/>
      </c>
      <c r="BU110" t="str">
        <f>IF('1. Live'!BU110='check-Jul25'!BU110,"",'1. Live'!BU110-'check-Jul25'!BU110)</f>
        <v/>
      </c>
      <c r="BV110" t="str">
        <f>IF('1. Live'!BV110='check-Jul25'!BV110,"",'1. Live'!BV110-'check-Jul25'!BV110)</f>
        <v/>
      </c>
      <c r="BW110" t="str">
        <f>IF('1. Live'!BW110='check-Jul25'!BW110,"",'1. Live'!BW110-'check-Jul25'!BW110)</f>
        <v/>
      </c>
      <c r="BX110" t="str">
        <f>IF('1. Live'!BX110='check-Jul25'!BX110,"",'1. Live'!BX110-'check-Jul25'!BX110)</f>
        <v/>
      </c>
      <c r="BY110" t="str">
        <f>IF('1. Live'!BY110='check-Jul25'!BY110,"",'1. Live'!BY110-'check-Jul25'!BY110)</f>
        <v/>
      </c>
      <c r="BZ110" t="str">
        <f>IF('1. Live'!BZ110='check-Jul25'!BZ110,"",'1. Live'!BZ110-'check-Jul25'!BZ110)</f>
        <v/>
      </c>
      <c r="CA110" t="str">
        <f>IF('1. Live'!CA110='check-Jul25'!CA110,"",'1. Live'!CA110-'check-Jul25'!CA110)</f>
        <v/>
      </c>
      <c r="CB110" t="str">
        <f>IF('1. Live'!CB110='check-Jul25'!CB110,"",'1. Live'!CB110-'check-Jul25'!CB110)</f>
        <v/>
      </c>
      <c r="CC110" t="str">
        <f>IF('1. Live'!CC110='check-Jul25'!CC110,"",'1. Live'!CC110-'check-Jul25'!CC110)</f>
        <v/>
      </c>
      <c r="CD110" t="str">
        <f>IF('1. Live'!CD110='check-Jul25'!CD110,"",'1. Live'!CD110-'check-Jul25'!CD110)</f>
        <v/>
      </c>
      <c r="CE110" t="str">
        <f>IF('1. Live'!CE110='check-Jul25'!CE110,"",'1. Live'!CE110-'check-Jul25'!CE110)</f>
        <v/>
      </c>
      <c r="CF110" t="str">
        <f>IF('1. Live'!CF110='check-Jul25'!CF110,"",'1. Live'!CF110-'check-Jul25'!CF110)</f>
        <v/>
      </c>
      <c r="CG110" t="str">
        <f>IF('1. Live'!CG110='check-Jul25'!CG110,"",'1. Live'!CG110-'check-Jul25'!CG110)</f>
        <v/>
      </c>
      <c r="CH110" t="str">
        <f>IF('1. Live'!CH110='check-Jul25'!CH110,"",'1. Live'!CH110-'check-Jul25'!CH110)</f>
        <v/>
      </c>
      <c r="CI110" t="str">
        <f>IF('1. Live'!CI110='check-Jul25'!CI110,"",'1. Live'!CI110-'check-Jul25'!CI110)</f>
        <v/>
      </c>
      <c r="CJ110" t="str">
        <f>IF('1. Live'!CJ110='check-Jul25'!CJ110,"",'1. Live'!CJ110-'check-Jul25'!CJ110)</f>
        <v/>
      </c>
      <c r="CK110" t="str">
        <f>IF('1. Live'!CK110='check-Jul25'!CK110,"",'1. Live'!CK110-'check-Jul25'!CK110)</f>
        <v/>
      </c>
      <c r="CL110" t="str">
        <f>IF('1. Live'!CL110='check-Jul25'!CL110,"",'1. Live'!CL110-'check-Jul25'!CL110)</f>
        <v/>
      </c>
      <c r="CM110" t="str">
        <f>IF('1. Live'!CM110='check-Jul25'!CM110,"",'1. Live'!CM110-'check-Jul25'!CM110)</f>
        <v/>
      </c>
      <c r="CN110" t="str">
        <f>IF('1. Live'!CN110='check-Jul25'!CN110,"",'1. Live'!CN110-'check-Jul25'!CN110)</f>
        <v/>
      </c>
      <c r="CO110" t="str">
        <f>IF('1. Live'!CO110='check-Jul25'!CO110,"",'1. Live'!CO110-'check-Jul25'!CO110)</f>
        <v/>
      </c>
      <c r="CP110" t="str">
        <f>IF('1. Live'!CP110='check-Jul25'!CP110,"",'1. Live'!CP110-'check-Jul25'!CP110)</f>
        <v/>
      </c>
      <c r="CQ110" t="str">
        <f>IF('1. Live'!CQ110='check-Jul25'!CQ110,"",'1. Live'!CQ110-'check-Jul25'!CQ110)</f>
        <v/>
      </c>
      <c r="CR110" t="str">
        <f>IF('1. Live'!CR110='check-Jul25'!CR110,"",'1. Live'!CR110-'check-Jul25'!CR110)</f>
        <v/>
      </c>
      <c r="CS110" t="str">
        <f>IF('1. Live'!CS110='check-Jul25'!CS110,"",'1. Live'!CS110-'check-Jul25'!CS110)</f>
        <v/>
      </c>
      <c r="CT110" t="str">
        <f>IF('1. Live'!CT110='check-Jul25'!CT110,"",'1. Live'!CT110-'check-Jul25'!CT110)</f>
        <v/>
      </c>
      <c r="CU110" t="str">
        <f>IF('1. Live'!CU110='check-Jul25'!CU110,"",'1. Live'!CU110-'check-Jul25'!CU110)</f>
        <v/>
      </c>
      <c r="CV110" t="str">
        <f>IF('1. Live'!CV110='check-Jul25'!CV110,"",'1. Live'!CV110-'check-Jul25'!CV110)</f>
        <v/>
      </c>
      <c r="CW110" t="str">
        <f>IF('1. Live'!CW110='check-Jul25'!CW110,"",'1. Live'!CW110-'check-Jul25'!CW110)</f>
        <v/>
      </c>
    </row>
    <row r="111" spans="10:101">
      <c r="J111" t="str">
        <f>IF('1. Live'!J111='check-Jul25'!J111,"",'1. Live'!J111-'check-Jul25'!J111)</f>
        <v/>
      </c>
      <c r="K111" t="str">
        <f>IF('1. Live'!K111='check-Jul25'!K111,"",'1. Live'!K111-'check-Jul25'!K111)</f>
        <v/>
      </c>
      <c r="L111" t="str">
        <f>IF('1. Live'!L111='check-Jul25'!L111,"",'1. Live'!L111-'check-Jul25'!L111)</f>
        <v/>
      </c>
      <c r="M111" t="str">
        <f>IF('1. Live'!M111='check-Jul25'!M111,"",'1. Live'!M111-'check-Jul25'!M111)</f>
        <v/>
      </c>
      <c r="N111" t="str">
        <f>IF('1. Live'!N111='check-Jul25'!N111,"",'1. Live'!N111-'check-Jul25'!N111)</f>
        <v/>
      </c>
      <c r="O111" t="str">
        <f>IF('1. Live'!O111='check-Jul25'!O111,"",'1. Live'!O111-'check-Jul25'!O111)</f>
        <v/>
      </c>
      <c r="P111" t="str">
        <f>IF('1. Live'!P111='check-Jul25'!P111,"",'1. Live'!P111-'check-Jul25'!P111)</f>
        <v/>
      </c>
      <c r="Q111" t="str">
        <f>IF('1. Live'!Q111='check-Jul25'!Q111,"",'1. Live'!Q111-'check-Jul25'!Q111)</f>
        <v/>
      </c>
      <c r="R111" t="str">
        <f>IF('1. Live'!R111='check-Jul25'!R111,"",'1. Live'!R111-'check-Jul25'!R111)</f>
        <v/>
      </c>
      <c r="S111" t="str">
        <f>IF('1. Live'!S111='check-Jul25'!S111,"",'1. Live'!S111-'check-Jul25'!S111)</f>
        <v/>
      </c>
      <c r="T111" t="str">
        <f>IF('1. Live'!T111='check-Jul25'!T111,"",'1. Live'!T111-'check-Jul25'!T111)</f>
        <v/>
      </c>
      <c r="U111" t="str">
        <f>IF('1. Live'!U111='check-Jul25'!U111,"",'1. Live'!U111-'check-Jul25'!U111)</f>
        <v/>
      </c>
      <c r="V111" t="str">
        <f>IF('1. Live'!V111='check-Jul25'!V111,"",'1. Live'!V111-'check-Jul25'!V111)</f>
        <v/>
      </c>
      <c r="W111" t="str">
        <f>IF('1. Live'!W111='check-Jul25'!W111,"",'1. Live'!W111-'check-Jul25'!W111)</f>
        <v/>
      </c>
      <c r="X111" t="str">
        <f>IF('1. Live'!X111='check-Jul25'!X111,"",'1. Live'!X111-'check-Jul25'!X111)</f>
        <v/>
      </c>
      <c r="Y111" t="str">
        <f>IF('1. Live'!Y111='check-Jul25'!Y111,"",'1. Live'!Y111-'check-Jul25'!Y111)</f>
        <v/>
      </c>
      <c r="Z111" t="str">
        <f>IF('1. Live'!Z111='check-Jul25'!Z111,"",'1. Live'!Z111-'check-Jul25'!Z111)</f>
        <v/>
      </c>
      <c r="AA111" t="str">
        <f>IF('1. Live'!AA111='check-Jul25'!AA111,"",'1. Live'!AA111-'check-Jul25'!AA111)</f>
        <v/>
      </c>
      <c r="AB111" t="str">
        <f>IF('1. Live'!AB111='check-Jul25'!AB111,"",'1. Live'!AB111-'check-Jul25'!AB111)</f>
        <v/>
      </c>
      <c r="AC111" t="str">
        <f>IF('1. Live'!AC111='check-Jul25'!AC111,"",'1. Live'!AC111-'check-Jul25'!AC111)</f>
        <v/>
      </c>
      <c r="AD111" t="str">
        <f>IF('1. Live'!AD111='check-Jul25'!AD111,"",'1. Live'!AD111-'check-Jul25'!AD111)</f>
        <v/>
      </c>
      <c r="AE111" t="str">
        <f>IF('1. Live'!AE111='check-Jul25'!AE111,"",'1. Live'!AE111-'check-Jul25'!AE111)</f>
        <v/>
      </c>
      <c r="AF111" t="str">
        <f>IF('1. Live'!AF111='check-Jul25'!AF111,"",'1. Live'!AF111-'check-Jul25'!AF111)</f>
        <v/>
      </c>
      <c r="AG111" t="str">
        <f>IF('1. Live'!AG111='check-Jul25'!AG111,"",'1. Live'!AG111-'check-Jul25'!AG111)</f>
        <v/>
      </c>
      <c r="AH111" t="str">
        <f>IF('1. Live'!AH111='check-Jul25'!AH111,"",'1. Live'!AH111-'check-Jul25'!AH111)</f>
        <v/>
      </c>
      <c r="AI111" t="str">
        <f>IF('1. Live'!AI111='check-Jul25'!AI111,"",'1. Live'!AI111-'check-Jul25'!AI111)</f>
        <v/>
      </c>
      <c r="AJ111" t="str">
        <f>IF('1. Live'!AJ111='check-Jul25'!AJ111,"",'1. Live'!AJ111-'check-Jul25'!AJ111)</f>
        <v/>
      </c>
      <c r="AK111" t="str">
        <f>IF('1. Live'!AK111='check-Jul25'!AK111,"",'1. Live'!AK111-'check-Jul25'!AK111)</f>
        <v/>
      </c>
      <c r="AL111" t="str">
        <f>IF('1. Live'!AL111='check-Jul25'!AL111,"",'1. Live'!AL111-'check-Jul25'!AL111)</f>
        <v/>
      </c>
      <c r="AM111" t="str">
        <f>IF('1. Live'!AM111='check-Jul25'!AM111,"",'1. Live'!AM111-'check-Jul25'!AM111)</f>
        <v/>
      </c>
      <c r="AN111" t="str">
        <f>IF('1. Live'!AN111='check-Jul25'!AN111,"",'1. Live'!AN111-'check-Jul25'!AN111)</f>
        <v/>
      </c>
      <c r="AO111" t="str">
        <f>IF('1. Live'!AO111='check-Jul25'!AO111,"",'1. Live'!AO111-'check-Jul25'!AO111)</f>
        <v/>
      </c>
      <c r="AP111" t="str">
        <f>IF('1. Live'!AP111='check-Jul25'!AP111,"",'1. Live'!AP111-'check-Jul25'!AP111)</f>
        <v/>
      </c>
      <c r="AQ111" t="str">
        <f>IF('1. Live'!AQ111='check-Jul25'!AQ111,"",'1. Live'!AQ111-'check-Jul25'!AQ111)</f>
        <v/>
      </c>
      <c r="AR111" t="str">
        <f>IF('1. Live'!AR111='check-Jul25'!AR111,"",'1. Live'!AR111-'check-Jul25'!AR111)</f>
        <v/>
      </c>
      <c r="AS111" t="str">
        <f>IF('1. Live'!AS111='check-Jul25'!AS111,"",'1. Live'!AS111-'check-Jul25'!AS111)</f>
        <v/>
      </c>
      <c r="AT111" t="str">
        <f>IF('1. Live'!AT111='check-Jul25'!AT111,"",'1. Live'!AT111-'check-Jul25'!AT111)</f>
        <v/>
      </c>
      <c r="AU111" t="str">
        <f>IF('1. Live'!AU111='check-Jul25'!AU111,"",'1. Live'!AU111-'check-Jul25'!AU111)</f>
        <v/>
      </c>
      <c r="AV111" t="str">
        <f>IF('1. Live'!AV111='check-Jul25'!AV111,"",'1. Live'!AV111-'check-Jul25'!AV111)</f>
        <v/>
      </c>
      <c r="AW111" t="str">
        <f>IF('1. Live'!AW111='check-Jul25'!AW111,"",'1. Live'!AW111-'check-Jul25'!AW111)</f>
        <v/>
      </c>
      <c r="AX111" t="str">
        <f>IF('1. Live'!AX111='check-Jul25'!AX111,"",'1. Live'!AX111-'check-Jul25'!AX111)</f>
        <v/>
      </c>
      <c r="AY111" t="str">
        <f>IF('1. Live'!AY111='check-Jul25'!AY111,"",'1. Live'!AY111-'check-Jul25'!AY111)</f>
        <v/>
      </c>
      <c r="AZ111" t="str">
        <f>IF('1. Live'!AZ111='check-Jul25'!AZ111,"",'1. Live'!AZ111-'check-Jul25'!AZ111)</f>
        <v/>
      </c>
      <c r="BA111" t="str">
        <f>IF('1. Live'!BA111='check-Jul25'!BA111,"",'1. Live'!BA111-'check-Jul25'!BA111)</f>
        <v/>
      </c>
      <c r="BB111" t="str">
        <f>IF('1. Live'!BB111='check-Jul25'!BB111,"",'1. Live'!BB111-'check-Jul25'!BB111)</f>
        <v/>
      </c>
      <c r="BC111" t="str">
        <f>IF('1. Live'!BC111='check-Jul25'!BC111,"",'1. Live'!BC111-'check-Jul25'!BC111)</f>
        <v/>
      </c>
      <c r="BD111" t="str">
        <f>IF('1. Live'!BD111='check-Jul25'!BD111,"",'1. Live'!BD111-'check-Jul25'!BD111)</f>
        <v/>
      </c>
      <c r="BE111" t="str">
        <f>IF('1. Live'!BE111='check-Jul25'!BE111,"",'1. Live'!BE111-'check-Jul25'!BE111)</f>
        <v/>
      </c>
      <c r="BF111" t="str">
        <f>IF('1. Live'!BF111='check-Jul25'!BF111,"",'1. Live'!BF111-'check-Jul25'!BF111)</f>
        <v/>
      </c>
      <c r="BG111" t="str">
        <f>IF('1. Live'!BG111='check-Jul25'!BG111,"",'1. Live'!BG111-'check-Jul25'!BG111)</f>
        <v/>
      </c>
      <c r="BH111" t="str">
        <f>IF('1. Live'!BH111='check-Jul25'!BH111,"",'1. Live'!BH111-'check-Jul25'!BH111)</f>
        <v/>
      </c>
      <c r="BI111" t="str">
        <f>IF('1. Live'!BI111='check-Jul25'!BI111,"",'1. Live'!BI111-'check-Jul25'!BI111)</f>
        <v/>
      </c>
      <c r="BJ111" t="str">
        <f>IF('1. Live'!BJ111='check-Jul25'!BJ111,"",'1. Live'!BJ111-'check-Jul25'!BJ111)</f>
        <v/>
      </c>
      <c r="BK111" t="str">
        <f>IF('1. Live'!BK111='check-Jul25'!BK111,"",'1. Live'!BK111-'check-Jul25'!BK111)</f>
        <v/>
      </c>
      <c r="BL111" t="str">
        <f>IF('1. Live'!BL111='check-Jul25'!BL111,"",'1. Live'!BL111-'check-Jul25'!BL111)</f>
        <v/>
      </c>
      <c r="BM111" t="str">
        <f>IF('1. Live'!BM111='check-Jul25'!BM111,"",'1. Live'!BM111-'check-Jul25'!BM111)</f>
        <v/>
      </c>
      <c r="BN111" t="str">
        <f>IF('1. Live'!BN111='check-Jul25'!BN111,"",'1. Live'!BN111-'check-Jul25'!BN111)</f>
        <v/>
      </c>
      <c r="BO111" t="str">
        <f>IF('1. Live'!BO111='check-Jul25'!BO111,"",'1. Live'!BO111-'check-Jul25'!BO111)</f>
        <v/>
      </c>
      <c r="BP111" t="str">
        <f>IF('1. Live'!BP111='check-Jul25'!BP111,"",'1. Live'!BP111-'check-Jul25'!BP111)</f>
        <v/>
      </c>
      <c r="BQ111" t="str">
        <f>IF('1. Live'!BQ111='check-Jul25'!BQ111,"",'1. Live'!BQ111-'check-Jul25'!BQ111)</f>
        <v/>
      </c>
      <c r="BR111" t="str">
        <f>IF('1. Live'!BR111='check-Jul25'!BR111,"",'1. Live'!BR111-'check-Jul25'!BR111)</f>
        <v/>
      </c>
      <c r="BS111" t="str">
        <f>IF('1. Live'!BS111='check-Jul25'!BS111,"",'1. Live'!BS111-'check-Jul25'!BS111)</f>
        <v/>
      </c>
      <c r="BT111" t="str">
        <f>IF('1. Live'!BT111='check-Jul25'!BT111,"",'1. Live'!BT111-'check-Jul25'!BT111)</f>
        <v/>
      </c>
      <c r="BU111" t="str">
        <f>IF('1. Live'!BU111='check-Jul25'!BU111,"",'1. Live'!BU111-'check-Jul25'!BU111)</f>
        <v/>
      </c>
      <c r="BV111" t="str">
        <f>IF('1. Live'!BV111='check-Jul25'!BV111,"",'1. Live'!BV111-'check-Jul25'!BV111)</f>
        <v/>
      </c>
      <c r="BW111" t="str">
        <f>IF('1. Live'!BW111='check-Jul25'!BW111,"",'1. Live'!BW111-'check-Jul25'!BW111)</f>
        <v/>
      </c>
      <c r="BX111" t="str">
        <f>IF('1. Live'!BX111='check-Jul25'!BX111,"",'1. Live'!BX111-'check-Jul25'!BX111)</f>
        <v/>
      </c>
      <c r="BY111" t="str">
        <f>IF('1. Live'!BY111='check-Jul25'!BY111,"",'1. Live'!BY111-'check-Jul25'!BY111)</f>
        <v/>
      </c>
      <c r="BZ111" t="str">
        <f>IF('1. Live'!BZ111='check-Jul25'!BZ111,"",'1. Live'!BZ111-'check-Jul25'!BZ111)</f>
        <v/>
      </c>
      <c r="CA111" t="str">
        <f>IF('1. Live'!CA111='check-Jul25'!CA111,"",'1. Live'!CA111-'check-Jul25'!CA111)</f>
        <v/>
      </c>
      <c r="CB111" t="str">
        <f>IF('1. Live'!CB111='check-Jul25'!CB111,"",'1. Live'!CB111-'check-Jul25'!CB111)</f>
        <v/>
      </c>
      <c r="CC111" t="str">
        <f>IF('1. Live'!CC111='check-Jul25'!CC111,"",'1. Live'!CC111-'check-Jul25'!CC111)</f>
        <v/>
      </c>
      <c r="CD111" t="str">
        <f>IF('1. Live'!CD111='check-Jul25'!CD111,"",'1. Live'!CD111-'check-Jul25'!CD111)</f>
        <v/>
      </c>
      <c r="CE111" t="str">
        <f>IF('1. Live'!CE111='check-Jul25'!CE111,"",'1. Live'!CE111-'check-Jul25'!CE111)</f>
        <v/>
      </c>
      <c r="CF111" t="str">
        <f>IF('1. Live'!CF111='check-Jul25'!CF111,"",'1. Live'!CF111-'check-Jul25'!CF111)</f>
        <v/>
      </c>
      <c r="CG111" t="str">
        <f>IF('1. Live'!CG111='check-Jul25'!CG111,"",'1. Live'!CG111-'check-Jul25'!CG111)</f>
        <v/>
      </c>
      <c r="CH111" t="str">
        <f>IF('1. Live'!CH111='check-Jul25'!CH111,"",'1. Live'!CH111-'check-Jul25'!CH111)</f>
        <v/>
      </c>
      <c r="CI111" t="str">
        <f>IF('1. Live'!CI111='check-Jul25'!CI111,"",'1. Live'!CI111-'check-Jul25'!CI111)</f>
        <v/>
      </c>
      <c r="CJ111" t="str">
        <f>IF('1. Live'!CJ111='check-Jul25'!CJ111,"",'1. Live'!CJ111-'check-Jul25'!CJ111)</f>
        <v/>
      </c>
      <c r="CK111" t="str">
        <f>IF('1. Live'!CK111='check-Jul25'!CK111,"",'1. Live'!CK111-'check-Jul25'!CK111)</f>
        <v/>
      </c>
      <c r="CL111" t="str">
        <f>IF('1. Live'!CL111='check-Jul25'!CL111,"",'1. Live'!CL111-'check-Jul25'!CL111)</f>
        <v/>
      </c>
      <c r="CM111" t="str">
        <f>IF('1. Live'!CM111='check-Jul25'!CM111,"",'1. Live'!CM111-'check-Jul25'!CM111)</f>
        <v/>
      </c>
      <c r="CN111" t="str">
        <f>IF('1. Live'!CN111='check-Jul25'!CN111,"",'1. Live'!CN111-'check-Jul25'!CN111)</f>
        <v/>
      </c>
      <c r="CO111" t="str">
        <f>IF('1. Live'!CO111='check-Jul25'!CO111,"",'1. Live'!CO111-'check-Jul25'!CO111)</f>
        <v/>
      </c>
      <c r="CP111" t="str">
        <f>IF('1. Live'!CP111='check-Jul25'!CP111,"",'1. Live'!CP111-'check-Jul25'!CP111)</f>
        <v/>
      </c>
      <c r="CQ111" t="str">
        <f>IF('1. Live'!CQ111='check-Jul25'!CQ111,"",'1. Live'!CQ111-'check-Jul25'!CQ111)</f>
        <v/>
      </c>
      <c r="CR111" t="str">
        <f>IF('1. Live'!CR111='check-Jul25'!CR111,"",'1. Live'!CR111-'check-Jul25'!CR111)</f>
        <v/>
      </c>
      <c r="CS111" t="str">
        <f>IF('1. Live'!CS111='check-Jul25'!CS111,"",'1. Live'!CS111-'check-Jul25'!CS111)</f>
        <v/>
      </c>
      <c r="CT111" t="str">
        <f>IF('1. Live'!CT111='check-Jul25'!CT111,"",'1. Live'!CT111-'check-Jul25'!CT111)</f>
        <v/>
      </c>
      <c r="CU111" t="str">
        <f>IF('1. Live'!CU111='check-Jul25'!CU111,"",'1. Live'!CU111-'check-Jul25'!CU111)</f>
        <v/>
      </c>
      <c r="CV111" t="str">
        <f>IF('1. Live'!CV111='check-Jul25'!CV111,"",'1. Live'!CV111-'check-Jul25'!CV111)</f>
        <v/>
      </c>
      <c r="CW111" t="str">
        <f>IF('1. Live'!CW111='check-Jul25'!CW111,"",'1. Live'!CW111-'check-Jul25'!CW111)</f>
        <v/>
      </c>
    </row>
    <row r="112" spans="10:101">
      <c r="J112" t="str">
        <f>IF('1. Live'!J112='check-Jul25'!J112,"",'1. Live'!J112-'check-Jul25'!J112)</f>
        <v/>
      </c>
      <c r="K112" t="str">
        <f>IF('1. Live'!K112='check-Jul25'!K112,"",'1. Live'!K112-'check-Jul25'!K112)</f>
        <v/>
      </c>
      <c r="L112" t="str">
        <f>IF('1. Live'!L112='check-Jul25'!L112,"",'1. Live'!L112-'check-Jul25'!L112)</f>
        <v/>
      </c>
      <c r="M112" t="str">
        <f>IF('1. Live'!M112='check-Jul25'!M112,"",'1. Live'!M112-'check-Jul25'!M112)</f>
        <v/>
      </c>
      <c r="N112" t="str">
        <f>IF('1. Live'!N112='check-Jul25'!N112,"",'1. Live'!N112-'check-Jul25'!N112)</f>
        <v/>
      </c>
      <c r="O112" t="str">
        <f>IF('1. Live'!O112='check-Jul25'!O112,"",'1. Live'!O112-'check-Jul25'!O112)</f>
        <v/>
      </c>
      <c r="P112" t="str">
        <f>IF('1. Live'!P112='check-Jul25'!P112,"",'1. Live'!P112-'check-Jul25'!P112)</f>
        <v/>
      </c>
      <c r="Q112" t="str">
        <f>IF('1. Live'!Q112='check-Jul25'!Q112,"",'1. Live'!Q112-'check-Jul25'!Q112)</f>
        <v/>
      </c>
      <c r="R112" t="str">
        <f>IF('1. Live'!R112='check-Jul25'!R112,"",'1. Live'!R112-'check-Jul25'!R112)</f>
        <v/>
      </c>
      <c r="S112" t="str">
        <f>IF('1. Live'!S112='check-Jul25'!S112,"",'1. Live'!S112-'check-Jul25'!S112)</f>
        <v/>
      </c>
      <c r="T112" t="str">
        <f>IF('1. Live'!T112='check-Jul25'!T112,"",'1. Live'!T112-'check-Jul25'!T112)</f>
        <v/>
      </c>
      <c r="U112" t="str">
        <f>IF('1. Live'!U112='check-Jul25'!U112,"",'1. Live'!U112-'check-Jul25'!U112)</f>
        <v/>
      </c>
      <c r="V112" t="str">
        <f>IF('1. Live'!V112='check-Jul25'!V112,"",'1. Live'!V112-'check-Jul25'!V112)</f>
        <v/>
      </c>
      <c r="W112" t="str">
        <f>IF('1. Live'!W112='check-Jul25'!W112,"",'1. Live'!W112-'check-Jul25'!W112)</f>
        <v/>
      </c>
      <c r="X112" t="str">
        <f>IF('1. Live'!X112='check-Jul25'!X112,"",'1. Live'!X112-'check-Jul25'!X112)</f>
        <v/>
      </c>
      <c r="Y112" t="str">
        <f>IF('1. Live'!Y112='check-Jul25'!Y112,"",'1. Live'!Y112-'check-Jul25'!Y112)</f>
        <v/>
      </c>
      <c r="Z112" t="str">
        <f>IF('1. Live'!Z112='check-Jul25'!Z112,"",'1. Live'!Z112-'check-Jul25'!Z112)</f>
        <v/>
      </c>
      <c r="AA112" t="str">
        <f>IF('1. Live'!AA112='check-Jul25'!AA112,"",'1. Live'!AA112-'check-Jul25'!AA112)</f>
        <v/>
      </c>
      <c r="AB112" t="str">
        <f>IF('1. Live'!AB112='check-Jul25'!AB112,"",'1. Live'!AB112-'check-Jul25'!AB112)</f>
        <v/>
      </c>
      <c r="AC112" t="str">
        <f>IF('1. Live'!AC112='check-Jul25'!AC112,"",'1. Live'!AC112-'check-Jul25'!AC112)</f>
        <v/>
      </c>
      <c r="AD112" t="str">
        <f>IF('1. Live'!AD112='check-Jul25'!AD112,"",'1. Live'!AD112-'check-Jul25'!AD112)</f>
        <v/>
      </c>
      <c r="AE112" t="str">
        <f>IF('1. Live'!AE112='check-Jul25'!AE112,"",'1. Live'!AE112-'check-Jul25'!AE112)</f>
        <v/>
      </c>
      <c r="AF112" t="str">
        <f>IF('1. Live'!AF112='check-Jul25'!AF112,"",'1. Live'!AF112-'check-Jul25'!AF112)</f>
        <v/>
      </c>
      <c r="AG112" t="str">
        <f>IF('1. Live'!AG112='check-Jul25'!AG112,"",'1. Live'!AG112-'check-Jul25'!AG112)</f>
        <v/>
      </c>
      <c r="AH112" t="str">
        <f>IF('1. Live'!AH112='check-Jul25'!AH112,"",'1. Live'!AH112-'check-Jul25'!AH112)</f>
        <v/>
      </c>
      <c r="AI112" t="str">
        <f>IF('1. Live'!AI112='check-Jul25'!AI112,"",'1. Live'!AI112-'check-Jul25'!AI112)</f>
        <v/>
      </c>
      <c r="AJ112" t="str">
        <f>IF('1. Live'!AJ112='check-Jul25'!AJ112,"",'1. Live'!AJ112-'check-Jul25'!AJ112)</f>
        <v/>
      </c>
      <c r="AK112" t="str">
        <f>IF('1. Live'!AK112='check-Jul25'!AK112,"",'1. Live'!AK112-'check-Jul25'!AK112)</f>
        <v/>
      </c>
      <c r="AL112" t="str">
        <f>IF('1. Live'!AL112='check-Jul25'!AL112,"",'1. Live'!AL112-'check-Jul25'!AL112)</f>
        <v/>
      </c>
      <c r="AM112" t="str">
        <f>IF('1. Live'!AM112='check-Jul25'!AM112,"",'1. Live'!AM112-'check-Jul25'!AM112)</f>
        <v/>
      </c>
      <c r="AN112" t="str">
        <f>IF('1. Live'!AN112='check-Jul25'!AN112,"",'1. Live'!AN112-'check-Jul25'!AN112)</f>
        <v/>
      </c>
      <c r="AO112" t="str">
        <f>IF('1. Live'!AO112='check-Jul25'!AO112,"",'1. Live'!AO112-'check-Jul25'!AO112)</f>
        <v/>
      </c>
      <c r="AP112" t="str">
        <f>IF('1. Live'!AP112='check-Jul25'!AP112,"",'1. Live'!AP112-'check-Jul25'!AP112)</f>
        <v/>
      </c>
      <c r="AQ112" t="str">
        <f>IF('1. Live'!AQ112='check-Jul25'!AQ112,"",'1. Live'!AQ112-'check-Jul25'!AQ112)</f>
        <v/>
      </c>
      <c r="AR112" t="str">
        <f>IF('1. Live'!AR112='check-Jul25'!AR112,"",'1. Live'!AR112-'check-Jul25'!AR112)</f>
        <v/>
      </c>
      <c r="AS112" t="str">
        <f>IF('1. Live'!AS112='check-Jul25'!AS112,"",'1. Live'!AS112-'check-Jul25'!AS112)</f>
        <v/>
      </c>
      <c r="AT112" t="str">
        <f>IF('1. Live'!AT112='check-Jul25'!AT112,"",'1. Live'!AT112-'check-Jul25'!AT112)</f>
        <v/>
      </c>
      <c r="AU112" t="str">
        <f>IF('1. Live'!AU112='check-Jul25'!AU112,"",'1. Live'!AU112-'check-Jul25'!AU112)</f>
        <v/>
      </c>
      <c r="AV112" t="str">
        <f>IF('1. Live'!AV112='check-Jul25'!AV112,"",'1. Live'!AV112-'check-Jul25'!AV112)</f>
        <v/>
      </c>
      <c r="AW112" t="str">
        <f>IF('1. Live'!AW112='check-Jul25'!AW112,"",'1. Live'!AW112-'check-Jul25'!AW112)</f>
        <v/>
      </c>
      <c r="AX112" t="str">
        <f>IF('1. Live'!AX112='check-Jul25'!AX112,"",'1. Live'!AX112-'check-Jul25'!AX112)</f>
        <v/>
      </c>
      <c r="AY112" t="str">
        <f>IF('1. Live'!AY112='check-Jul25'!AY112,"",'1. Live'!AY112-'check-Jul25'!AY112)</f>
        <v/>
      </c>
      <c r="AZ112" t="str">
        <f>IF('1. Live'!AZ112='check-Jul25'!AZ112,"",'1. Live'!AZ112-'check-Jul25'!AZ112)</f>
        <v/>
      </c>
      <c r="BA112" t="str">
        <f>IF('1. Live'!BA112='check-Jul25'!BA112,"",'1. Live'!BA112-'check-Jul25'!BA112)</f>
        <v/>
      </c>
      <c r="BB112" t="str">
        <f>IF('1. Live'!BB112='check-Jul25'!BB112,"",'1. Live'!BB112-'check-Jul25'!BB112)</f>
        <v/>
      </c>
      <c r="BC112" t="str">
        <f>IF('1. Live'!BC112='check-Jul25'!BC112,"",'1. Live'!BC112-'check-Jul25'!BC112)</f>
        <v/>
      </c>
      <c r="BD112" t="str">
        <f>IF('1. Live'!BD112='check-Jul25'!BD112,"",'1. Live'!BD112-'check-Jul25'!BD112)</f>
        <v/>
      </c>
      <c r="BE112" t="str">
        <f>IF('1. Live'!BE112='check-Jul25'!BE112,"",'1. Live'!BE112-'check-Jul25'!BE112)</f>
        <v/>
      </c>
      <c r="BF112" t="str">
        <f>IF('1. Live'!BF112='check-Jul25'!BF112,"",'1. Live'!BF112-'check-Jul25'!BF112)</f>
        <v/>
      </c>
      <c r="BG112" t="str">
        <f>IF('1. Live'!BG112='check-Jul25'!BG112,"",'1. Live'!BG112-'check-Jul25'!BG112)</f>
        <v/>
      </c>
      <c r="BH112" t="str">
        <f>IF('1. Live'!BH112='check-Jul25'!BH112,"",'1. Live'!BH112-'check-Jul25'!BH112)</f>
        <v/>
      </c>
      <c r="BI112" t="str">
        <f>IF('1. Live'!BI112='check-Jul25'!BI112,"",'1. Live'!BI112-'check-Jul25'!BI112)</f>
        <v/>
      </c>
      <c r="BJ112" t="str">
        <f>IF('1. Live'!BJ112='check-Jul25'!BJ112,"",'1. Live'!BJ112-'check-Jul25'!BJ112)</f>
        <v/>
      </c>
      <c r="BK112" t="str">
        <f>IF('1. Live'!BK112='check-Jul25'!BK112,"",'1. Live'!BK112-'check-Jul25'!BK112)</f>
        <v/>
      </c>
      <c r="BL112" t="str">
        <f>IF('1. Live'!BL112='check-Jul25'!BL112,"",'1. Live'!BL112-'check-Jul25'!BL112)</f>
        <v/>
      </c>
      <c r="BM112" t="str">
        <f>IF('1. Live'!BM112='check-Jul25'!BM112,"",'1. Live'!BM112-'check-Jul25'!BM112)</f>
        <v/>
      </c>
      <c r="BN112" t="str">
        <f>IF('1. Live'!BN112='check-Jul25'!BN112,"",'1. Live'!BN112-'check-Jul25'!BN112)</f>
        <v/>
      </c>
      <c r="BO112" t="str">
        <f>IF('1. Live'!BO112='check-Jul25'!BO112,"",'1. Live'!BO112-'check-Jul25'!BO112)</f>
        <v/>
      </c>
      <c r="BP112" t="str">
        <f>IF('1. Live'!BP112='check-Jul25'!BP112,"",'1. Live'!BP112-'check-Jul25'!BP112)</f>
        <v/>
      </c>
      <c r="BQ112" t="str">
        <f>IF('1. Live'!BQ112='check-Jul25'!BQ112,"",'1. Live'!BQ112-'check-Jul25'!BQ112)</f>
        <v/>
      </c>
      <c r="BR112" t="str">
        <f>IF('1. Live'!BR112='check-Jul25'!BR112,"",'1. Live'!BR112-'check-Jul25'!BR112)</f>
        <v/>
      </c>
      <c r="BS112" t="str">
        <f>IF('1. Live'!BS112='check-Jul25'!BS112,"",'1. Live'!BS112-'check-Jul25'!BS112)</f>
        <v/>
      </c>
      <c r="BT112" t="str">
        <f>IF('1. Live'!BT112='check-Jul25'!BT112,"",'1. Live'!BT112-'check-Jul25'!BT112)</f>
        <v/>
      </c>
      <c r="BU112" t="str">
        <f>IF('1. Live'!BU112='check-Jul25'!BU112,"",'1. Live'!BU112-'check-Jul25'!BU112)</f>
        <v/>
      </c>
      <c r="BV112" t="str">
        <f>IF('1. Live'!BV112='check-Jul25'!BV112,"",'1. Live'!BV112-'check-Jul25'!BV112)</f>
        <v/>
      </c>
      <c r="BW112" t="str">
        <f>IF('1. Live'!BW112='check-Jul25'!BW112,"",'1. Live'!BW112-'check-Jul25'!BW112)</f>
        <v/>
      </c>
      <c r="BX112" t="str">
        <f>IF('1. Live'!BX112='check-Jul25'!BX112,"",'1. Live'!BX112-'check-Jul25'!BX112)</f>
        <v/>
      </c>
      <c r="BY112" t="str">
        <f>IF('1. Live'!BY112='check-Jul25'!BY112,"",'1. Live'!BY112-'check-Jul25'!BY112)</f>
        <v/>
      </c>
      <c r="BZ112" t="str">
        <f>IF('1. Live'!BZ112='check-Jul25'!BZ112,"",'1. Live'!BZ112-'check-Jul25'!BZ112)</f>
        <v/>
      </c>
      <c r="CA112" t="str">
        <f>IF('1. Live'!CA112='check-Jul25'!CA112,"",'1. Live'!CA112-'check-Jul25'!CA112)</f>
        <v/>
      </c>
      <c r="CB112" t="str">
        <f>IF('1. Live'!CB112='check-Jul25'!CB112,"",'1. Live'!CB112-'check-Jul25'!CB112)</f>
        <v/>
      </c>
      <c r="CC112" t="str">
        <f>IF('1. Live'!CC112='check-Jul25'!CC112,"",'1. Live'!CC112-'check-Jul25'!CC112)</f>
        <v/>
      </c>
      <c r="CD112" t="str">
        <f>IF('1. Live'!CD112='check-Jul25'!CD112,"",'1. Live'!CD112-'check-Jul25'!CD112)</f>
        <v/>
      </c>
      <c r="CE112" t="str">
        <f>IF('1. Live'!CE112='check-Jul25'!CE112,"",'1. Live'!CE112-'check-Jul25'!CE112)</f>
        <v/>
      </c>
      <c r="CF112" t="str">
        <f>IF('1. Live'!CF112='check-Jul25'!CF112,"",'1. Live'!CF112-'check-Jul25'!CF112)</f>
        <v/>
      </c>
      <c r="CG112" t="str">
        <f>IF('1. Live'!CG112='check-Jul25'!CG112,"",'1. Live'!CG112-'check-Jul25'!CG112)</f>
        <v/>
      </c>
      <c r="CH112" t="str">
        <f>IF('1. Live'!CH112='check-Jul25'!CH112,"",'1. Live'!CH112-'check-Jul25'!CH112)</f>
        <v/>
      </c>
      <c r="CI112" t="str">
        <f>IF('1. Live'!CI112='check-Jul25'!CI112,"",'1. Live'!CI112-'check-Jul25'!CI112)</f>
        <v/>
      </c>
      <c r="CJ112" t="str">
        <f>IF('1. Live'!CJ112='check-Jul25'!CJ112,"",'1. Live'!CJ112-'check-Jul25'!CJ112)</f>
        <v/>
      </c>
      <c r="CK112" t="str">
        <f>IF('1. Live'!CK112='check-Jul25'!CK112,"",'1. Live'!CK112-'check-Jul25'!CK112)</f>
        <v/>
      </c>
      <c r="CL112" t="str">
        <f>IF('1. Live'!CL112='check-Jul25'!CL112,"",'1. Live'!CL112-'check-Jul25'!CL112)</f>
        <v/>
      </c>
      <c r="CM112" t="str">
        <f>IF('1. Live'!CM112='check-Jul25'!CM112,"",'1. Live'!CM112-'check-Jul25'!CM112)</f>
        <v/>
      </c>
      <c r="CN112" t="str">
        <f>IF('1. Live'!CN112='check-Jul25'!CN112,"",'1. Live'!CN112-'check-Jul25'!CN112)</f>
        <v/>
      </c>
      <c r="CO112" t="str">
        <f>IF('1. Live'!CO112='check-Jul25'!CO112,"",'1. Live'!CO112-'check-Jul25'!CO112)</f>
        <v/>
      </c>
      <c r="CP112" t="str">
        <f>IF('1. Live'!CP112='check-Jul25'!CP112,"",'1. Live'!CP112-'check-Jul25'!CP112)</f>
        <v/>
      </c>
      <c r="CQ112" t="str">
        <f>IF('1. Live'!CQ112='check-Jul25'!CQ112,"",'1. Live'!CQ112-'check-Jul25'!CQ112)</f>
        <v/>
      </c>
      <c r="CR112" t="str">
        <f>IF('1. Live'!CR112='check-Jul25'!CR112,"",'1. Live'!CR112-'check-Jul25'!CR112)</f>
        <v/>
      </c>
      <c r="CS112" t="str">
        <f>IF('1. Live'!CS112='check-Jul25'!CS112,"",'1. Live'!CS112-'check-Jul25'!CS112)</f>
        <v/>
      </c>
      <c r="CT112" t="str">
        <f>IF('1. Live'!CT112='check-Jul25'!CT112,"",'1. Live'!CT112-'check-Jul25'!CT112)</f>
        <v/>
      </c>
      <c r="CU112" t="str">
        <f>IF('1. Live'!CU112='check-Jul25'!CU112,"",'1. Live'!CU112-'check-Jul25'!CU112)</f>
        <v/>
      </c>
      <c r="CV112" t="str">
        <f>IF('1. Live'!CV112='check-Jul25'!CV112,"",'1. Live'!CV112-'check-Jul25'!CV112)</f>
        <v/>
      </c>
      <c r="CW112" t="str">
        <f>IF('1. Live'!CW112='check-Jul25'!CW112,"",'1. Live'!CW112-'check-Jul25'!CW112)</f>
        <v/>
      </c>
    </row>
    <row r="113" spans="10:101">
      <c r="J113" t="str">
        <f>IF('1. Live'!J113='check-Jul25'!J113,"",'1. Live'!J113-'check-Jul25'!J113)</f>
        <v/>
      </c>
      <c r="K113" t="str">
        <f>IF('1. Live'!K113='check-Jul25'!K113,"",'1. Live'!K113-'check-Jul25'!K113)</f>
        <v/>
      </c>
      <c r="L113" t="str">
        <f>IF('1. Live'!L113='check-Jul25'!L113,"",'1. Live'!L113-'check-Jul25'!L113)</f>
        <v/>
      </c>
      <c r="M113" t="str">
        <f>IF('1. Live'!M113='check-Jul25'!M113,"",'1. Live'!M113-'check-Jul25'!M113)</f>
        <v/>
      </c>
      <c r="N113" t="str">
        <f>IF('1. Live'!N113='check-Jul25'!N113,"",'1. Live'!N113-'check-Jul25'!N113)</f>
        <v/>
      </c>
      <c r="O113" t="str">
        <f>IF('1. Live'!O113='check-Jul25'!O113,"",'1. Live'!O113-'check-Jul25'!O113)</f>
        <v/>
      </c>
      <c r="P113" t="str">
        <f>IF('1. Live'!P113='check-Jul25'!P113,"",'1. Live'!P113-'check-Jul25'!P113)</f>
        <v/>
      </c>
      <c r="Q113" t="str">
        <f>IF('1. Live'!Q113='check-Jul25'!Q113,"",'1. Live'!Q113-'check-Jul25'!Q113)</f>
        <v/>
      </c>
      <c r="R113" t="str">
        <f>IF('1. Live'!R113='check-Jul25'!R113,"",'1. Live'!R113-'check-Jul25'!R113)</f>
        <v/>
      </c>
      <c r="S113" t="str">
        <f>IF('1. Live'!S113='check-Jul25'!S113,"",'1. Live'!S113-'check-Jul25'!S113)</f>
        <v/>
      </c>
      <c r="T113" t="str">
        <f>IF('1. Live'!T113='check-Jul25'!T113,"",'1. Live'!T113-'check-Jul25'!T113)</f>
        <v/>
      </c>
      <c r="U113" t="str">
        <f>IF('1. Live'!U113='check-Jul25'!U113,"",'1. Live'!U113-'check-Jul25'!U113)</f>
        <v/>
      </c>
      <c r="V113" t="str">
        <f>IF('1. Live'!V113='check-Jul25'!V113,"",'1. Live'!V113-'check-Jul25'!V113)</f>
        <v/>
      </c>
      <c r="W113" t="str">
        <f>IF('1. Live'!W113='check-Jul25'!W113,"",'1. Live'!W113-'check-Jul25'!W113)</f>
        <v/>
      </c>
      <c r="X113" t="str">
        <f>IF('1. Live'!X113='check-Jul25'!X113,"",'1. Live'!X113-'check-Jul25'!X113)</f>
        <v/>
      </c>
      <c r="Y113" t="str">
        <f>IF('1. Live'!Y113='check-Jul25'!Y113,"",'1. Live'!Y113-'check-Jul25'!Y113)</f>
        <v/>
      </c>
      <c r="Z113" t="str">
        <f>IF('1. Live'!Z113='check-Jul25'!Z113,"",'1. Live'!Z113-'check-Jul25'!Z113)</f>
        <v/>
      </c>
      <c r="AA113" t="str">
        <f>IF('1. Live'!AA113='check-Jul25'!AA113,"",'1. Live'!AA113-'check-Jul25'!AA113)</f>
        <v/>
      </c>
      <c r="AB113" t="str">
        <f>IF('1. Live'!AB113='check-Jul25'!AB113,"",'1. Live'!AB113-'check-Jul25'!AB113)</f>
        <v/>
      </c>
      <c r="AC113" t="str">
        <f>IF('1. Live'!AC113='check-Jul25'!AC113,"",'1. Live'!AC113-'check-Jul25'!AC113)</f>
        <v/>
      </c>
      <c r="AD113" t="str">
        <f>IF('1. Live'!AD113='check-Jul25'!AD113,"",'1. Live'!AD113-'check-Jul25'!AD113)</f>
        <v/>
      </c>
      <c r="AE113" t="str">
        <f>IF('1. Live'!AE113='check-Jul25'!AE113,"",'1. Live'!AE113-'check-Jul25'!AE113)</f>
        <v/>
      </c>
      <c r="AF113" t="str">
        <f>IF('1. Live'!AF113='check-Jul25'!AF113,"",'1. Live'!AF113-'check-Jul25'!AF113)</f>
        <v/>
      </c>
      <c r="AG113" t="str">
        <f>IF('1. Live'!AG113='check-Jul25'!AG113,"",'1. Live'!AG113-'check-Jul25'!AG113)</f>
        <v/>
      </c>
      <c r="AH113" t="str">
        <f>IF('1. Live'!AH113='check-Jul25'!AH113,"",'1. Live'!AH113-'check-Jul25'!AH113)</f>
        <v/>
      </c>
      <c r="AI113" t="str">
        <f>IF('1. Live'!AI113='check-Jul25'!AI113,"",'1. Live'!AI113-'check-Jul25'!AI113)</f>
        <v/>
      </c>
      <c r="AJ113" t="str">
        <f>IF('1. Live'!AJ113='check-Jul25'!AJ113,"",'1. Live'!AJ113-'check-Jul25'!AJ113)</f>
        <v/>
      </c>
      <c r="AK113" t="str">
        <f>IF('1. Live'!AK113='check-Jul25'!AK113,"",'1. Live'!AK113-'check-Jul25'!AK113)</f>
        <v/>
      </c>
      <c r="AL113" t="str">
        <f>IF('1. Live'!AL113='check-Jul25'!AL113,"",'1. Live'!AL113-'check-Jul25'!AL113)</f>
        <v/>
      </c>
      <c r="AM113" t="str">
        <f>IF('1. Live'!AM113='check-Jul25'!AM113,"",'1. Live'!AM113-'check-Jul25'!AM113)</f>
        <v/>
      </c>
      <c r="AN113" t="str">
        <f>IF('1. Live'!AN113='check-Jul25'!AN113,"",'1. Live'!AN113-'check-Jul25'!AN113)</f>
        <v/>
      </c>
      <c r="AO113" t="str">
        <f>IF('1. Live'!AO113='check-Jul25'!AO113,"",'1. Live'!AO113-'check-Jul25'!AO113)</f>
        <v/>
      </c>
      <c r="AP113" t="str">
        <f>IF('1. Live'!AP113='check-Jul25'!AP113,"",'1. Live'!AP113-'check-Jul25'!AP113)</f>
        <v/>
      </c>
      <c r="AQ113" t="str">
        <f>IF('1. Live'!AQ113='check-Jul25'!AQ113,"",'1. Live'!AQ113-'check-Jul25'!AQ113)</f>
        <v/>
      </c>
      <c r="AR113" t="str">
        <f>IF('1. Live'!AR113='check-Jul25'!AR113,"",'1. Live'!AR113-'check-Jul25'!AR113)</f>
        <v/>
      </c>
      <c r="AS113" t="str">
        <f>IF('1. Live'!AS113='check-Jul25'!AS113,"",'1. Live'!AS113-'check-Jul25'!AS113)</f>
        <v/>
      </c>
      <c r="AT113" t="str">
        <f>IF('1. Live'!AT113='check-Jul25'!AT113,"",'1. Live'!AT113-'check-Jul25'!AT113)</f>
        <v/>
      </c>
      <c r="AU113" t="str">
        <f>IF('1. Live'!AU113='check-Jul25'!AU113,"",'1. Live'!AU113-'check-Jul25'!AU113)</f>
        <v/>
      </c>
      <c r="AV113" t="str">
        <f>IF('1. Live'!AV113='check-Jul25'!AV113,"",'1. Live'!AV113-'check-Jul25'!AV113)</f>
        <v/>
      </c>
      <c r="AW113" t="str">
        <f>IF('1. Live'!AW113='check-Jul25'!AW113,"",'1. Live'!AW113-'check-Jul25'!AW113)</f>
        <v/>
      </c>
      <c r="AX113" t="str">
        <f>IF('1. Live'!AX113='check-Jul25'!AX113,"",'1. Live'!AX113-'check-Jul25'!AX113)</f>
        <v/>
      </c>
      <c r="AY113" t="str">
        <f>IF('1. Live'!AY113='check-Jul25'!AY113,"",'1. Live'!AY113-'check-Jul25'!AY113)</f>
        <v/>
      </c>
      <c r="AZ113" t="str">
        <f>IF('1. Live'!AZ113='check-Jul25'!AZ113,"",'1. Live'!AZ113-'check-Jul25'!AZ113)</f>
        <v/>
      </c>
      <c r="BA113" t="str">
        <f>IF('1. Live'!BA113='check-Jul25'!BA113,"",'1. Live'!BA113-'check-Jul25'!BA113)</f>
        <v/>
      </c>
      <c r="BB113" t="str">
        <f>IF('1. Live'!BB113='check-Jul25'!BB113,"",'1. Live'!BB113-'check-Jul25'!BB113)</f>
        <v/>
      </c>
      <c r="BC113" t="str">
        <f>IF('1. Live'!BC113='check-Jul25'!BC113,"",'1. Live'!BC113-'check-Jul25'!BC113)</f>
        <v/>
      </c>
      <c r="BD113" t="str">
        <f>IF('1. Live'!BD113='check-Jul25'!BD113,"",'1. Live'!BD113-'check-Jul25'!BD113)</f>
        <v/>
      </c>
      <c r="BE113" t="str">
        <f>IF('1. Live'!BE113='check-Jul25'!BE113,"",'1. Live'!BE113-'check-Jul25'!BE113)</f>
        <v/>
      </c>
      <c r="BF113" t="str">
        <f>IF('1. Live'!BF113='check-Jul25'!BF113,"",'1. Live'!BF113-'check-Jul25'!BF113)</f>
        <v/>
      </c>
      <c r="BG113" t="str">
        <f>IF('1. Live'!BG113='check-Jul25'!BG113,"",'1. Live'!BG113-'check-Jul25'!BG113)</f>
        <v/>
      </c>
      <c r="BH113" t="str">
        <f>IF('1. Live'!BH113='check-Jul25'!BH113,"",'1. Live'!BH113-'check-Jul25'!BH113)</f>
        <v/>
      </c>
      <c r="BI113" t="str">
        <f>IF('1. Live'!BI113='check-Jul25'!BI113,"",'1. Live'!BI113-'check-Jul25'!BI113)</f>
        <v/>
      </c>
      <c r="BJ113" t="str">
        <f>IF('1. Live'!BJ113='check-Jul25'!BJ113,"",'1. Live'!BJ113-'check-Jul25'!BJ113)</f>
        <v/>
      </c>
      <c r="BK113" t="str">
        <f>IF('1. Live'!BK113='check-Jul25'!BK113,"",'1. Live'!BK113-'check-Jul25'!BK113)</f>
        <v/>
      </c>
      <c r="BL113" t="str">
        <f>IF('1. Live'!BL113='check-Jul25'!BL113,"",'1. Live'!BL113-'check-Jul25'!BL113)</f>
        <v/>
      </c>
      <c r="BM113" t="str">
        <f>IF('1. Live'!BM113='check-Jul25'!BM113,"",'1. Live'!BM113-'check-Jul25'!BM113)</f>
        <v/>
      </c>
      <c r="BN113" t="str">
        <f>IF('1. Live'!BN113='check-Jul25'!BN113,"",'1. Live'!BN113-'check-Jul25'!BN113)</f>
        <v/>
      </c>
      <c r="BO113" t="str">
        <f>IF('1. Live'!BO113='check-Jul25'!BO113,"",'1. Live'!BO113-'check-Jul25'!BO113)</f>
        <v/>
      </c>
      <c r="BP113" t="str">
        <f>IF('1. Live'!BP113='check-Jul25'!BP113,"",'1. Live'!BP113-'check-Jul25'!BP113)</f>
        <v/>
      </c>
      <c r="BQ113" t="str">
        <f>IF('1. Live'!BQ113='check-Jul25'!BQ113,"",'1. Live'!BQ113-'check-Jul25'!BQ113)</f>
        <v/>
      </c>
      <c r="BR113" t="str">
        <f>IF('1. Live'!BR113='check-Jul25'!BR113,"",'1. Live'!BR113-'check-Jul25'!BR113)</f>
        <v/>
      </c>
      <c r="BS113" t="str">
        <f>IF('1. Live'!BS113='check-Jul25'!BS113,"",'1. Live'!BS113-'check-Jul25'!BS113)</f>
        <v/>
      </c>
      <c r="BT113" t="str">
        <f>IF('1. Live'!BT113='check-Jul25'!BT113,"",'1. Live'!BT113-'check-Jul25'!BT113)</f>
        <v/>
      </c>
      <c r="BU113" t="str">
        <f>IF('1. Live'!BU113='check-Jul25'!BU113,"",'1. Live'!BU113-'check-Jul25'!BU113)</f>
        <v/>
      </c>
      <c r="BV113" t="str">
        <f>IF('1. Live'!BV113='check-Jul25'!BV113,"",'1. Live'!BV113-'check-Jul25'!BV113)</f>
        <v/>
      </c>
      <c r="BW113" t="str">
        <f>IF('1. Live'!BW113='check-Jul25'!BW113,"",'1. Live'!BW113-'check-Jul25'!BW113)</f>
        <v/>
      </c>
      <c r="BX113" t="str">
        <f>IF('1. Live'!BX113='check-Jul25'!BX113,"",'1. Live'!BX113-'check-Jul25'!BX113)</f>
        <v/>
      </c>
      <c r="BY113" t="str">
        <f>IF('1. Live'!BY113='check-Jul25'!BY113,"",'1. Live'!BY113-'check-Jul25'!BY113)</f>
        <v/>
      </c>
      <c r="BZ113" t="str">
        <f>IF('1. Live'!BZ113='check-Jul25'!BZ113,"",'1. Live'!BZ113-'check-Jul25'!BZ113)</f>
        <v/>
      </c>
      <c r="CA113" t="str">
        <f>IF('1. Live'!CA113='check-Jul25'!CA113,"",'1. Live'!CA113-'check-Jul25'!CA113)</f>
        <v/>
      </c>
      <c r="CB113" t="str">
        <f>IF('1. Live'!CB113='check-Jul25'!CB113,"",'1. Live'!CB113-'check-Jul25'!CB113)</f>
        <v/>
      </c>
      <c r="CC113" t="str">
        <f>IF('1. Live'!CC113='check-Jul25'!CC113,"",'1. Live'!CC113-'check-Jul25'!CC113)</f>
        <v/>
      </c>
      <c r="CD113" t="str">
        <f>IF('1. Live'!CD113='check-Jul25'!CD113,"",'1. Live'!CD113-'check-Jul25'!CD113)</f>
        <v/>
      </c>
      <c r="CE113" t="str">
        <f>IF('1. Live'!CE113='check-Jul25'!CE113,"",'1. Live'!CE113-'check-Jul25'!CE113)</f>
        <v/>
      </c>
      <c r="CF113" t="str">
        <f>IF('1. Live'!CF113='check-Jul25'!CF113,"",'1. Live'!CF113-'check-Jul25'!CF113)</f>
        <v/>
      </c>
      <c r="CG113" t="str">
        <f>IF('1. Live'!CG113='check-Jul25'!CG113,"",'1. Live'!CG113-'check-Jul25'!CG113)</f>
        <v/>
      </c>
      <c r="CH113" t="str">
        <f>IF('1. Live'!CH113='check-Jul25'!CH113,"",'1. Live'!CH113-'check-Jul25'!CH113)</f>
        <v/>
      </c>
      <c r="CI113" t="str">
        <f>IF('1. Live'!CI113='check-Jul25'!CI113,"",'1. Live'!CI113-'check-Jul25'!CI113)</f>
        <v/>
      </c>
      <c r="CJ113" t="str">
        <f>IF('1. Live'!CJ113='check-Jul25'!CJ113,"",'1. Live'!CJ113-'check-Jul25'!CJ113)</f>
        <v/>
      </c>
      <c r="CK113" t="str">
        <f>IF('1. Live'!CK113='check-Jul25'!CK113,"",'1. Live'!CK113-'check-Jul25'!CK113)</f>
        <v/>
      </c>
      <c r="CL113" t="str">
        <f>IF('1. Live'!CL113='check-Jul25'!CL113,"",'1. Live'!CL113-'check-Jul25'!CL113)</f>
        <v/>
      </c>
      <c r="CM113" t="str">
        <f>IF('1. Live'!CM113='check-Jul25'!CM113,"",'1. Live'!CM113-'check-Jul25'!CM113)</f>
        <v/>
      </c>
      <c r="CN113" t="str">
        <f>IF('1. Live'!CN113='check-Jul25'!CN113,"",'1. Live'!CN113-'check-Jul25'!CN113)</f>
        <v/>
      </c>
      <c r="CO113" t="str">
        <f>IF('1. Live'!CO113='check-Jul25'!CO113,"",'1. Live'!CO113-'check-Jul25'!CO113)</f>
        <v/>
      </c>
      <c r="CP113" t="str">
        <f>IF('1. Live'!CP113='check-Jul25'!CP113,"",'1. Live'!CP113-'check-Jul25'!CP113)</f>
        <v/>
      </c>
      <c r="CQ113" t="str">
        <f>IF('1. Live'!CQ113='check-Jul25'!CQ113,"",'1. Live'!CQ113-'check-Jul25'!CQ113)</f>
        <v/>
      </c>
      <c r="CR113" t="str">
        <f>IF('1. Live'!CR113='check-Jul25'!CR113,"",'1. Live'!CR113-'check-Jul25'!CR113)</f>
        <v/>
      </c>
      <c r="CS113" t="str">
        <f>IF('1. Live'!CS113='check-Jul25'!CS113,"",'1. Live'!CS113-'check-Jul25'!CS113)</f>
        <v/>
      </c>
      <c r="CT113" t="str">
        <f>IF('1. Live'!CT113='check-Jul25'!CT113,"",'1. Live'!CT113-'check-Jul25'!CT113)</f>
        <v/>
      </c>
      <c r="CU113" t="str">
        <f>IF('1. Live'!CU113='check-Jul25'!CU113,"",'1. Live'!CU113-'check-Jul25'!CU113)</f>
        <v/>
      </c>
      <c r="CV113" t="str">
        <f>IF('1. Live'!CV113='check-Jul25'!CV113,"",'1. Live'!CV113-'check-Jul25'!CV113)</f>
        <v/>
      </c>
      <c r="CW113" t="str">
        <f>IF('1. Live'!CW113='check-Jul25'!CW113,"",'1. Live'!CW113-'check-Jul25'!CW113)</f>
        <v/>
      </c>
    </row>
    <row r="114" spans="10:101">
      <c r="J114" t="str">
        <f>IF('1. Live'!J114='check-Jul25'!J114,"",'1. Live'!J114-'check-Jul25'!J114)</f>
        <v/>
      </c>
      <c r="K114" t="str">
        <f>IF('1. Live'!K114='check-Jul25'!K114,"",'1. Live'!K114-'check-Jul25'!K114)</f>
        <v/>
      </c>
      <c r="L114" t="str">
        <f>IF('1. Live'!L114='check-Jul25'!L114,"",'1. Live'!L114-'check-Jul25'!L114)</f>
        <v/>
      </c>
      <c r="M114" t="str">
        <f>IF('1. Live'!M114='check-Jul25'!M114,"",'1. Live'!M114-'check-Jul25'!M114)</f>
        <v/>
      </c>
      <c r="N114" t="str">
        <f>IF('1. Live'!N114='check-Jul25'!N114,"",'1. Live'!N114-'check-Jul25'!N114)</f>
        <v/>
      </c>
      <c r="O114" t="str">
        <f>IF('1. Live'!O114='check-Jul25'!O114,"",'1. Live'!O114-'check-Jul25'!O114)</f>
        <v/>
      </c>
      <c r="P114" t="str">
        <f>IF('1. Live'!P114='check-Jul25'!P114,"",'1. Live'!P114-'check-Jul25'!P114)</f>
        <v/>
      </c>
      <c r="Q114" t="str">
        <f>IF('1. Live'!Q114='check-Jul25'!Q114,"",'1. Live'!Q114-'check-Jul25'!Q114)</f>
        <v/>
      </c>
      <c r="R114" t="str">
        <f>IF('1. Live'!R114='check-Jul25'!R114,"",'1. Live'!R114-'check-Jul25'!R114)</f>
        <v/>
      </c>
      <c r="S114" t="str">
        <f>IF('1. Live'!S114='check-Jul25'!S114,"",'1. Live'!S114-'check-Jul25'!S114)</f>
        <v/>
      </c>
      <c r="T114" t="str">
        <f>IF('1. Live'!T114='check-Jul25'!T114,"",'1. Live'!T114-'check-Jul25'!T114)</f>
        <v/>
      </c>
      <c r="U114" t="str">
        <f>IF('1. Live'!U114='check-Jul25'!U114,"",'1. Live'!U114-'check-Jul25'!U114)</f>
        <v/>
      </c>
      <c r="V114" t="str">
        <f>IF('1. Live'!V114='check-Jul25'!V114,"",'1. Live'!V114-'check-Jul25'!V114)</f>
        <v/>
      </c>
      <c r="W114" t="str">
        <f>IF('1. Live'!W114='check-Jul25'!W114,"",'1. Live'!W114-'check-Jul25'!W114)</f>
        <v/>
      </c>
      <c r="X114" t="str">
        <f>IF('1. Live'!X114='check-Jul25'!X114,"",'1. Live'!X114-'check-Jul25'!X114)</f>
        <v/>
      </c>
      <c r="Y114" t="str">
        <f>IF('1. Live'!Y114='check-Jul25'!Y114,"",'1. Live'!Y114-'check-Jul25'!Y114)</f>
        <v/>
      </c>
      <c r="Z114" t="str">
        <f>IF('1. Live'!Z114='check-Jul25'!Z114,"",'1. Live'!Z114-'check-Jul25'!Z114)</f>
        <v/>
      </c>
      <c r="AA114" t="str">
        <f>IF('1. Live'!AA114='check-Jul25'!AA114,"",'1. Live'!AA114-'check-Jul25'!AA114)</f>
        <v/>
      </c>
      <c r="AB114" t="str">
        <f>IF('1. Live'!AB114='check-Jul25'!AB114,"",'1. Live'!AB114-'check-Jul25'!AB114)</f>
        <v/>
      </c>
      <c r="AC114" t="str">
        <f>IF('1. Live'!AC114='check-Jul25'!AC114,"",'1. Live'!AC114-'check-Jul25'!AC114)</f>
        <v/>
      </c>
      <c r="AD114" t="str">
        <f>IF('1. Live'!AD114='check-Jul25'!AD114,"",'1. Live'!AD114-'check-Jul25'!AD114)</f>
        <v/>
      </c>
      <c r="AE114" t="str">
        <f>IF('1. Live'!AE114='check-Jul25'!AE114,"",'1. Live'!AE114-'check-Jul25'!AE114)</f>
        <v/>
      </c>
      <c r="AF114" t="str">
        <f>IF('1. Live'!AF114='check-Jul25'!AF114,"",'1. Live'!AF114-'check-Jul25'!AF114)</f>
        <v/>
      </c>
      <c r="AG114" t="str">
        <f>IF('1. Live'!AG114='check-Jul25'!AG114,"",'1. Live'!AG114-'check-Jul25'!AG114)</f>
        <v/>
      </c>
      <c r="AH114" t="str">
        <f>IF('1. Live'!AH114='check-Jul25'!AH114,"",'1. Live'!AH114-'check-Jul25'!AH114)</f>
        <v/>
      </c>
      <c r="AI114" t="str">
        <f>IF('1. Live'!AI114='check-Jul25'!AI114,"",'1. Live'!AI114-'check-Jul25'!AI114)</f>
        <v/>
      </c>
      <c r="AJ114" t="str">
        <f>IF('1. Live'!AJ114='check-Jul25'!AJ114,"",'1. Live'!AJ114-'check-Jul25'!AJ114)</f>
        <v/>
      </c>
      <c r="AK114" t="str">
        <f>IF('1. Live'!AK114='check-Jul25'!AK114,"",'1. Live'!AK114-'check-Jul25'!AK114)</f>
        <v/>
      </c>
      <c r="AL114" t="str">
        <f>IF('1. Live'!AL114='check-Jul25'!AL114,"",'1. Live'!AL114-'check-Jul25'!AL114)</f>
        <v/>
      </c>
      <c r="AM114" t="str">
        <f>IF('1. Live'!AM114='check-Jul25'!AM114,"",'1. Live'!AM114-'check-Jul25'!AM114)</f>
        <v/>
      </c>
      <c r="AN114" t="str">
        <f>IF('1. Live'!AN114='check-Jul25'!AN114,"",'1. Live'!AN114-'check-Jul25'!AN114)</f>
        <v/>
      </c>
      <c r="AO114" t="str">
        <f>IF('1. Live'!AO114='check-Jul25'!AO114,"",'1. Live'!AO114-'check-Jul25'!AO114)</f>
        <v/>
      </c>
      <c r="AP114" t="str">
        <f>IF('1. Live'!AP114='check-Jul25'!AP114,"",'1. Live'!AP114-'check-Jul25'!AP114)</f>
        <v/>
      </c>
      <c r="AQ114" t="str">
        <f>IF('1. Live'!AQ114='check-Jul25'!AQ114,"",'1. Live'!AQ114-'check-Jul25'!AQ114)</f>
        <v/>
      </c>
      <c r="AR114" t="str">
        <f>IF('1. Live'!AR114='check-Jul25'!AR114,"",'1. Live'!AR114-'check-Jul25'!AR114)</f>
        <v/>
      </c>
      <c r="AS114" t="str">
        <f>IF('1. Live'!AS114='check-Jul25'!AS114,"",'1. Live'!AS114-'check-Jul25'!AS114)</f>
        <v/>
      </c>
      <c r="AT114" t="str">
        <f>IF('1. Live'!AT114='check-Jul25'!AT114,"",'1. Live'!AT114-'check-Jul25'!AT114)</f>
        <v/>
      </c>
      <c r="AU114" t="str">
        <f>IF('1. Live'!AU114='check-Jul25'!AU114,"",'1. Live'!AU114-'check-Jul25'!AU114)</f>
        <v/>
      </c>
      <c r="AV114" t="str">
        <f>IF('1. Live'!AV114='check-Jul25'!AV114,"",'1. Live'!AV114-'check-Jul25'!AV114)</f>
        <v/>
      </c>
      <c r="AW114" t="str">
        <f>IF('1. Live'!AW114='check-Jul25'!AW114,"",'1. Live'!AW114-'check-Jul25'!AW114)</f>
        <v/>
      </c>
      <c r="AX114" t="str">
        <f>IF('1. Live'!AX114='check-Jul25'!AX114,"",'1. Live'!AX114-'check-Jul25'!AX114)</f>
        <v/>
      </c>
      <c r="AY114" t="str">
        <f>IF('1. Live'!AY114='check-Jul25'!AY114,"",'1. Live'!AY114-'check-Jul25'!AY114)</f>
        <v/>
      </c>
      <c r="AZ114" t="str">
        <f>IF('1. Live'!AZ114='check-Jul25'!AZ114,"",'1. Live'!AZ114-'check-Jul25'!AZ114)</f>
        <v/>
      </c>
      <c r="BA114" t="str">
        <f>IF('1. Live'!BA114='check-Jul25'!BA114,"",'1. Live'!BA114-'check-Jul25'!BA114)</f>
        <v/>
      </c>
      <c r="BB114" t="str">
        <f>IF('1. Live'!BB114='check-Jul25'!BB114,"",'1. Live'!BB114-'check-Jul25'!BB114)</f>
        <v/>
      </c>
      <c r="BC114" t="str">
        <f>IF('1. Live'!BC114='check-Jul25'!BC114,"",'1. Live'!BC114-'check-Jul25'!BC114)</f>
        <v/>
      </c>
      <c r="BD114" t="str">
        <f>IF('1. Live'!BD114='check-Jul25'!BD114,"",'1. Live'!BD114-'check-Jul25'!BD114)</f>
        <v/>
      </c>
      <c r="BE114" t="str">
        <f>IF('1. Live'!BE114='check-Jul25'!BE114,"",'1. Live'!BE114-'check-Jul25'!BE114)</f>
        <v/>
      </c>
      <c r="BF114" t="str">
        <f>IF('1. Live'!BF114='check-Jul25'!BF114,"",'1. Live'!BF114-'check-Jul25'!BF114)</f>
        <v/>
      </c>
      <c r="BG114" t="str">
        <f>IF('1. Live'!BG114='check-Jul25'!BG114,"",'1. Live'!BG114-'check-Jul25'!BG114)</f>
        <v/>
      </c>
      <c r="BH114" t="str">
        <f>IF('1. Live'!BH114='check-Jul25'!BH114,"",'1. Live'!BH114-'check-Jul25'!BH114)</f>
        <v/>
      </c>
      <c r="BI114" t="str">
        <f>IF('1. Live'!BI114='check-Jul25'!BI114,"",'1. Live'!BI114-'check-Jul25'!BI114)</f>
        <v/>
      </c>
      <c r="BJ114" t="str">
        <f>IF('1. Live'!BJ114='check-Jul25'!BJ114,"",'1. Live'!BJ114-'check-Jul25'!BJ114)</f>
        <v/>
      </c>
      <c r="BK114" t="str">
        <f>IF('1. Live'!BK114='check-Jul25'!BK114,"",'1. Live'!BK114-'check-Jul25'!BK114)</f>
        <v/>
      </c>
      <c r="BL114" t="str">
        <f>IF('1. Live'!BL114='check-Jul25'!BL114,"",'1. Live'!BL114-'check-Jul25'!BL114)</f>
        <v/>
      </c>
      <c r="BM114" t="str">
        <f>IF('1. Live'!BM114='check-Jul25'!BM114,"",'1. Live'!BM114-'check-Jul25'!BM114)</f>
        <v/>
      </c>
      <c r="BN114" t="str">
        <f>IF('1. Live'!BN114='check-Jul25'!BN114,"",'1. Live'!BN114-'check-Jul25'!BN114)</f>
        <v/>
      </c>
      <c r="BO114" t="str">
        <f>IF('1. Live'!BO114='check-Jul25'!BO114,"",'1. Live'!BO114-'check-Jul25'!BO114)</f>
        <v/>
      </c>
      <c r="BP114" t="str">
        <f>IF('1. Live'!BP114='check-Jul25'!BP114,"",'1. Live'!BP114-'check-Jul25'!BP114)</f>
        <v/>
      </c>
      <c r="BQ114" t="str">
        <f>IF('1. Live'!BQ114='check-Jul25'!BQ114,"",'1. Live'!BQ114-'check-Jul25'!BQ114)</f>
        <v/>
      </c>
      <c r="BR114" t="str">
        <f>IF('1. Live'!BR114='check-Jul25'!BR114,"",'1. Live'!BR114-'check-Jul25'!BR114)</f>
        <v/>
      </c>
      <c r="BS114" t="str">
        <f>IF('1. Live'!BS114='check-Jul25'!BS114,"",'1. Live'!BS114-'check-Jul25'!BS114)</f>
        <v/>
      </c>
      <c r="BT114" t="str">
        <f>IF('1. Live'!BT114='check-Jul25'!BT114,"",'1. Live'!BT114-'check-Jul25'!BT114)</f>
        <v/>
      </c>
      <c r="BU114" t="str">
        <f>IF('1. Live'!BU114='check-Jul25'!BU114,"",'1. Live'!BU114-'check-Jul25'!BU114)</f>
        <v/>
      </c>
      <c r="BV114" t="str">
        <f>IF('1. Live'!BV114='check-Jul25'!BV114,"",'1. Live'!BV114-'check-Jul25'!BV114)</f>
        <v/>
      </c>
      <c r="BW114" t="str">
        <f>IF('1. Live'!BW114='check-Jul25'!BW114,"",'1. Live'!BW114-'check-Jul25'!BW114)</f>
        <v/>
      </c>
      <c r="BX114" t="str">
        <f>IF('1. Live'!BX114='check-Jul25'!BX114,"",'1. Live'!BX114-'check-Jul25'!BX114)</f>
        <v/>
      </c>
      <c r="BY114" t="str">
        <f>IF('1. Live'!BY114='check-Jul25'!BY114,"",'1. Live'!BY114-'check-Jul25'!BY114)</f>
        <v/>
      </c>
      <c r="BZ114" t="str">
        <f>IF('1. Live'!BZ114='check-Jul25'!BZ114,"",'1. Live'!BZ114-'check-Jul25'!BZ114)</f>
        <v/>
      </c>
      <c r="CA114" t="str">
        <f>IF('1. Live'!CA114='check-Jul25'!CA114,"",'1. Live'!CA114-'check-Jul25'!CA114)</f>
        <v/>
      </c>
      <c r="CB114" t="str">
        <f>IF('1. Live'!CB114='check-Jul25'!CB114,"",'1. Live'!CB114-'check-Jul25'!CB114)</f>
        <v/>
      </c>
      <c r="CC114" t="str">
        <f>IF('1. Live'!CC114='check-Jul25'!CC114,"",'1. Live'!CC114-'check-Jul25'!CC114)</f>
        <v/>
      </c>
      <c r="CD114" t="str">
        <f>IF('1. Live'!CD114='check-Jul25'!CD114,"",'1. Live'!CD114-'check-Jul25'!CD114)</f>
        <v/>
      </c>
      <c r="CE114" t="str">
        <f>IF('1. Live'!CE114='check-Jul25'!CE114,"",'1. Live'!CE114-'check-Jul25'!CE114)</f>
        <v/>
      </c>
      <c r="CF114" t="str">
        <f>IF('1. Live'!CF114='check-Jul25'!CF114,"",'1. Live'!CF114-'check-Jul25'!CF114)</f>
        <v/>
      </c>
      <c r="CG114" t="str">
        <f>IF('1. Live'!CG114='check-Jul25'!CG114,"",'1. Live'!CG114-'check-Jul25'!CG114)</f>
        <v/>
      </c>
      <c r="CH114" t="str">
        <f>IF('1. Live'!CH114='check-Jul25'!CH114,"",'1. Live'!CH114-'check-Jul25'!CH114)</f>
        <v/>
      </c>
      <c r="CI114" t="str">
        <f>IF('1. Live'!CI114='check-Jul25'!CI114,"",'1. Live'!CI114-'check-Jul25'!CI114)</f>
        <v/>
      </c>
      <c r="CJ114" t="str">
        <f>IF('1. Live'!CJ114='check-Jul25'!CJ114,"",'1. Live'!CJ114-'check-Jul25'!CJ114)</f>
        <v/>
      </c>
      <c r="CK114" t="str">
        <f>IF('1. Live'!CK114='check-Jul25'!CK114,"",'1. Live'!CK114-'check-Jul25'!CK114)</f>
        <v/>
      </c>
      <c r="CL114" t="str">
        <f>IF('1. Live'!CL114='check-Jul25'!CL114,"",'1. Live'!CL114-'check-Jul25'!CL114)</f>
        <v/>
      </c>
      <c r="CM114" t="str">
        <f>IF('1. Live'!CM114='check-Jul25'!CM114,"",'1. Live'!CM114-'check-Jul25'!CM114)</f>
        <v/>
      </c>
      <c r="CN114" t="str">
        <f>IF('1. Live'!CN114='check-Jul25'!CN114,"",'1. Live'!CN114-'check-Jul25'!CN114)</f>
        <v/>
      </c>
      <c r="CO114" t="str">
        <f>IF('1. Live'!CO114='check-Jul25'!CO114,"",'1. Live'!CO114-'check-Jul25'!CO114)</f>
        <v/>
      </c>
      <c r="CP114" t="str">
        <f>IF('1. Live'!CP114='check-Jul25'!CP114,"",'1. Live'!CP114-'check-Jul25'!CP114)</f>
        <v/>
      </c>
      <c r="CQ114" t="str">
        <f>IF('1. Live'!CQ114='check-Jul25'!CQ114,"",'1. Live'!CQ114-'check-Jul25'!CQ114)</f>
        <v/>
      </c>
      <c r="CR114" t="str">
        <f>IF('1. Live'!CR114='check-Jul25'!CR114,"",'1. Live'!CR114-'check-Jul25'!CR114)</f>
        <v/>
      </c>
      <c r="CS114" t="str">
        <f>IF('1. Live'!CS114='check-Jul25'!CS114,"",'1. Live'!CS114-'check-Jul25'!CS114)</f>
        <v/>
      </c>
      <c r="CT114" t="str">
        <f>IF('1. Live'!CT114='check-Jul25'!CT114,"",'1. Live'!CT114-'check-Jul25'!CT114)</f>
        <v/>
      </c>
      <c r="CU114" t="str">
        <f>IF('1. Live'!CU114='check-Jul25'!CU114,"",'1. Live'!CU114-'check-Jul25'!CU114)</f>
        <v/>
      </c>
      <c r="CV114" t="str">
        <f>IF('1. Live'!CV114='check-Jul25'!CV114,"",'1. Live'!CV114-'check-Jul25'!CV114)</f>
        <v/>
      </c>
      <c r="CW114" t="str">
        <f>IF('1. Live'!CW114='check-Jul25'!CW114,"",'1. Live'!CW114-'check-Jul25'!CW114)</f>
        <v/>
      </c>
    </row>
    <row r="115" spans="10:101">
      <c r="J115" t="str">
        <f>IF('1. Live'!J115='check-Jul25'!J115,"",'1. Live'!J115-'check-Jul25'!J115)</f>
        <v/>
      </c>
      <c r="K115" t="str">
        <f>IF('1. Live'!K115='check-Jul25'!K115,"",'1. Live'!K115-'check-Jul25'!K115)</f>
        <v/>
      </c>
      <c r="L115" t="str">
        <f>IF('1. Live'!L115='check-Jul25'!L115,"",'1. Live'!L115-'check-Jul25'!L115)</f>
        <v/>
      </c>
      <c r="M115" t="str">
        <f>IF('1. Live'!M115='check-Jul25'!M115,"",'1. Live'!M115-'check-Jul25'!M115)</f>
        <v/>
      </c>
      <c r="N115" t="str">
        <f>IF('1. Live'!N115='check-Jul25'!N115,"",'1. Live'!N115-'check-Jul25'!N115)</f>
        <v/>
      </c>
      <c r="O115" t="str">
        <f>IF('1. Live'!O115='check-Jul25'!O115,"",'1. Live'!O115-'check-Jul25'!O115)</f>
        <v/>
      </c>
      <c r="P115" t="str">
        <f>IF('1. Live'!P115='check-Jul25'!P115,"",'1. Live'!P115-'check-Jul25'!P115)</f>
        <v/>
      </c>
      <c r="Q115" t="str">
        <f>IF('1. Live'!Q115='check-Jul25'!Q115,"",'1. Live'!Q115-'check-Jul25'!Q115)</f>
        <v/>
      </c>
      <c r="R115" t="str">
        <f>IF('1. Live'!R115='check-Jul25'!R115,"",'1. Live'!R115-'check-Jul25'!R115)</f>
        <v/>
      </c>
      <c r="S115" t="str">
        <f>IF('1. Live'!S115='check-Jul25'!S115,"",'1. Live'!S115-'check-Jul25'!S115)</f>
        <v/>
      </c>
      <c r="T115" t="str">
        <f>IF('1. Live'!T115='check-Jul25'!T115,"",'1. Live'!T115-'check-Jul25'!T115)</f>
        <v/>
      </c>
      <c r="U115" t="str">
        <f>IF('1. Live'!U115='check-Jul25'!U115,"",'1. Live'!U115-'check-Jul25'!U115)</f>
        <v/>
      </c>
      <c r="V115" t="str">
        <f>IF('1. Live'!V115='check-Jul25'!V115,"",'1. Live'!V115-'check-Jul25'!V115)</f>
        <v/>
      </c>
      <c r="W115" t="str">
        <f>IF('1. Live'!W115='check-Jul25'!W115,"",'1. Live'!W115-'check-Jul25'!W115)</f>
        <v/>
      </c>
      <c r="X115" t="str">
        <f>IF('1. Live'!X115='check-Jul25'!X115,"",'1. Live'!X115-'check-Jul25'!X115)</f>
        <v/>
      </c>
      <c r="Y115" t="str">
        <f>IF('1. Live'!Y115='check-Jul25'!Y115,"",'1. Live'!Y115-'check-Jul25'!Y115)</f>
        <v/>
      </c>
      <c r="Z115" t="str">
        <f>IF('1. Live'!Z115='check-Jul25'!Z115,"",'1. Live'!Z115-'check-Jul25'!Z115)</f>
        <v/>
      </c>
      <c r="AA115" t="str">
        <f>IF('1. Live'!AA115='check-Jul25'!AA115,"",'1. Live'!AA115-'check-Jul25'!AA115)</f>
        <v/>
      </c>
      <c r="AB115" t="str">
        <f>IF('1. Live'!AB115='check-Jul25'!AB115,"",'1. Live'!AB115-'check-Jul25'!AB115)</f>
        <v/>
      </c>
      <c r="AC115" t="str">
        <f>IF('1. Live'!AC115='check-Jul25'!AC115,"",'1. Live'!AC115-'check-Jul25'!AC115)</f>
        <v/>
      </c>
      <c r="AD115" t="str">
        <f>IF('1. Live'!AD115='check-Jul25'!AD115,"",'1. Live'!AD115-'check-Jul25'!AD115)</f>
        <v/>
      </c>
      <c r="AE115" t="str">
        <f>IF('1. Live'!AE115='check-Jul25'!AE115,"",'1. Live'!AE115-'check-Jul25'!AE115)</f>
        <v/>
      </c>
      <c r="AF115" t="str">
        <f>IF('1. Live'!AF115='check-Jul25'!AF115,"",'1. Live'!AF115-'check-Jul25'!AF115)</f>
        <v/>
      </c>
      <c r="AG115" t="str">
        <f>IF('1. Live'!AG115='check-Jul25'!AG115,"",'1. Live'!AG115-'check-Jul25'!AG115)</f>
        <v/>
      </c>
      <c r="AH115" t="str">
        <f>IF('1. Live'!AH115='check-Jul25'!AH115,"",'1. Live'!AH115-'check-Jul25'!AH115)</f>
        <v/>
      </c>
      <c r="AI115" t="str">
        <f>IF('1. Live'!AI115='check-Jul25'!AI115,"",'1. Live'!AI115-'check-Jul25'!AI115)</f>
        <v/>
      </c>
      <c r="AJ115" t="str">
        <f>IF('1. Live'!AJ115='check-Jul25'!AJ115,"",'1. Live'!AJ115-'check-Jul25'!AJ115)</f>
        <v/>
      </c>
      <c r="AK115" t="str">
        <f>IF('1. Live'!AK115='check-Jul25'!AK115,"",'1. Live'!AK115-'check-Jul25'!AK115)</f>
        <v/>
      </c>
      <c r="AL115" t="str">
        <f>IF('1. Live'!AL115='check-Jul25'!AL115,"",'1. Live'!AL115-'check-Jul25'!AL115)</f>
        <v/>
      </c>
      <c r="AM115" t="str">
        <f>IF('1. Live'!AM115='check-Jul25'!AM115,"",'1. Live'!AM115-'check-Jul25'!AM115)</f>
        <v/>
      </c>
      <c r="AN115" t="str">
        <f>IF('1. Live'!AN115='check-Jul25'!AN115,"",'1. Live'!AN115-'check-Jul25'!AN115)</f>
        <v/>
      </c>
      <c r="AO115" t="str">
        <f>IF('1. Live'!AO115='check-Jul25'!AO115,"",'1. Live'!AO115-'check-Jul25'!AO115)</f>
        <v/>
      </c>
      <c r="AP115" t="str">
        <f>IF('1. Live'!AP115='check-Jul25'!AP115,"",'1. Live'!AP115-'check-Jul25'!AP115)</f>
        <v/>
      </c>
      <c r="AQ115" t="str">
        <f>IF('1. Live'!AQ115='check-Jul25'!AQ115,"",'1. Live'!AQ115-'check-Jul25'!AQ115)</f>
        <v/>
      </c>
      <c r="AR115" t="str">
        <f>IF('1. Live'!AR115='check-Jul25'!AR115,"",'1. Live'!AR115-'check-Jul25'!AR115)</f>
        <v/>
      </c>
      <c r="AS115" t="str">
        <f>IF('1. Live'!AS115='check-Jul25'!AS115,"",'1. Live'!AS115-'check-Jul25'!AS115)</f>
        <v/>
      </c>
      <c r="AT115" t="str">
        <f>IF('1. Live'!AT115='check-Jul25'!AT115,"",'1. Live'!AT115-'check-Jul25'!AT115)</f>
        <v/>
      </c>
      <c r="AU115" t="str">
        <f>IF('1. Live'!AU115='check-Jul25'!AU115,"",'1. Live'!AU115-'check-Jul25'!AU115)</f>
        <v/>
      </c>
      <c r="AV115" t="str">
        <f>IF('1. Live'!AV115='check-Jul25'!AV115,"",'1. Live'!AV115-'check-Jul25'!AV115)</f>
        <v/>
      </c>
      <c r="AW115" t="str">
        <f>IF('1. Live'!AW115='check-Jul25'!AW115,"",'1. Live'!AW115-'check-Jul25'!AW115)</f>
        <v/>
      </c>
      <c r="AX115" t="str">
        <f>IF('1. Live'!AX115='check-Jul25'!AX115,"",'1. Live'!AX115-'check-Jul25'!AX115)</f>
        <v/>
      </c>
      <c r="AY115" t="str">
        <f>IF('1. Live'!AY115='check-Jul25'!AY115,"",'1. Live'!AY115-'check-Jul25'!AY115)</f>
        <v/>
      </c>
      <c r="AZ115" t="str">
        <f>IF('1. Live'!AZ115='check-Jul25'!AZ115,"",'1. Live'!AZ115-'check-Jul25'!AZ115)</f>
        <v/>
      </c>
      <c r="BA115" t="str">
        <f>IF('1. Live'!BA115='check-Jul25'!BA115,"",'1. Live'!BA115-'check-Jul25'!BA115)</f>
        <v/>
      </c>
      <c r="BB115" t="str">
        <f>IF('1. Live'!BB115='check-Jul25'!BB115,"",'1. Live'!BB115-'check-Jul25'!BB115)</f>
        <v/>
      </c>
      <c r="BC115" t="str">
        <f>IF('1. Live'!BC115='check-Jul25'!BC115,"",'1. Live'!BC115-'check-Jul25'!BC115)</f>
        <v/>
      </c>
      <c r="BD115" t="str">
        <f>IF('1. Live'!BD115='check-Jul25'!BD115,"",'1. Live'!BD115-'check-Jul25'!BD115)</f>
        <v/>
      </c>
      <c r="BE115" t="str">
        <f>IF('1. Live'!BE115='check-Jul25'!BE115,"",'1. Live'!BE115-'check-Jul25'!BE115)</f>
        <v/>
      </c>
      <c r="BF115" t="str">
        <f>IF('1. Live'!BF115='check-Jul25'!BF115,"",'1. Live'!BF115-'check-Jul25'!BF115)</f>
        <v/>
      </c>
      <c r="BG115" t="str">
        <f>IF('1. Live'!BG115='check-Jul25'!BG115,"",'1. Live'!BG115-'check-Jul25'!BG115)</f>
        <v/>
      </c>
      <c r="BH115" t="str">
        <f>IF('1. Live'!BH115='check-Jul25'!BH115,"",'1. Live'!BH115-'check-Jul25'!BH115)</f>
        <v/>
      </c>
      <c r="BI115" t="str">
        <f>IF('1. Live'!BI115='check-Jul25'!BI115,"",'1. Live'!BI115-'check-Jul25'!BI115)</f>
        <v/>
      </c>
      <c r="BJ115" t="str">
        <f>IF('1. Live'!BJ115='check-Jul25'!BJ115,"",'1. Live'!BJ115-'check-Jul25'!BJ115)</f>
        <v/>
      </c>
      <c r="BK115" t="str">
        <f>IF('1. Live'!BK115='check-Jul25'!BK115,"",'1. Live'!BK115-'check-Jul25'!BK115)</f>
        <v/>
      </c>
      <c r="BL115" t="str">
        <f>IF('1. Live'!BL115='check-Jul25'!BL115,"",'1. Live'!BL115-'check-Jul25'!BL115)</f>
        <v/>
      </c>
      <c r="BM115" t="str">
        <f>IF('1. Live'!BM115='check-Jul25'!BM115,"",'1. Live'!BM115-'check-Jul25'!BM115)</f>
        <v/>
      </c>
      <c r="BN115" t="str">
        <f>IF('1. Live'!BN115='check-Jul25'!BN115,"",'1. Live'!BN115-'check-Jul25'!BN115)</f>
        <v/>
      </c>
      <c r="BO115" t="str">
        <f>IF('1. Live'!BO115='check-Jul25'!BO115,"",'1. Live'!BO115-'check-Jul25'!BO115)</f>
        <v/>
      </c>
      <c r="BP115" t="str">
        <f>IF('1. Live'!BP115='check-Jul25'!BP115,"",'1. Live'!BP115-'check-Jul25'!BP115)</f>
        <v/>
      </c>
      <c r="BQ115" t="str">
        <f>IF('1. Live'!BQ115='check-Jul25'!BQ115,"",'1. Live'!BQ115-'check-Jul25'!BQ115)</f>
        <v/>
      </c>
      <c r="BR115" t="str">
        <f>IF('1. Live'!BR115='check-Jul25'!BR115,"",'1. Live'!BR115-'check-Jul25'!BR115)</f>
        <v/>
      </c>
      <c r="BS115" t="str">
        <f>IF('1. Live'!BS115='check-Jul25'!BS115,"",'1. Live'!BS115-'check-Jul25'!BS115)</f>
        <v/>
      </c>
      <c r="BT115" t="str">
        <f>IF('1. Live'!BT115='check-Jul25'!BT115,"",'1. Live'!BT115-'check-Jul25'!BT115)</f>
        <v/>
      </c>
      <c r="BU115" t="str">
        <f>IF('1. Live'!BU115='check-Jul25'!BU115,"",'1. Live'!BU115-'check-Jul25'!BU115)</f>
        <v/>
      </c>
      <c r="BV115" t="str">
        <f>IF('1. Live'!BV115='check-Jul25'!BV115,"",'1. Live'!BV115-'check-Jul25'!BV115)</f>
        <v/>
      </c>
      <c r="BW115" t="str">
        <f>IF('1. Live'!BW115='check-Jul25'!BW115,"",'1. Live'!BW115-'check-Jul25'!BW115)</f>
        <v/>
      </c>
      <c r="BX115" t="str">
        <f>IF('1. Live'!BX115='check-Jul25'!BX115,"",'1. Live'!BX115-'check-Jul25'!BX115)</f>
        <v/>
      </c>
      <c r="BY115" t="str">
        <f>IF('1. Live'!BY115='check-Jul25'!BY115,"",'1. Live'!BY115-'check-Jul25'!BY115)</f>
        <v/>
      </c>
      <c r="BZ115" t="str">
        <f>IF('1. Live'!BZ115='check-Jul25'!BZ115,"",'1. Live'!BZ115-'check-Jul25'!BZ115)</f>
        <v/>
      </c>
      <c r="CA115" t="str">
        <f>IF('1. Live'!CA115='check-Jul25'!CA115,"",'1. Live'!CA115-'check-Jul25'!CA115)</f>
        <v/>
      </c>
      <c r="CB115" t="str">
        <f>IF('1. Live'!CB115='check-Jul25'!CB115,"",'1. Live'!CB115-'check-Jul25'!CB115)</f>
        <v/>
      </c>
      <c r="CC115" t="str">
        <f>IF('1. Live'!CC115='check-Jul25'!CC115,"",'1. Live'!CC115-'check-Jul25'!CC115)</f>
        <v/>
      </c>
      <c r="CD115" t="str">
        <f>IF('1. Live'!CD115='check-Jul25'!CD115,"",'1. Live'!CD115-'check-Jul25'!CD115)</f>
        <v/>
      </c>
      <c r="CE115" t="str">
        <f>IF('1. Live'!CE115='check-Jul25'!CE115,"",'1. Live'!CE115-'check-Jul25'!CE115)</f>
        <v/>
      </c>
      <c r="CF115" t="str">
        <f>IF('1. Live'!CF115='check-Jul25'!CF115,"",'1. Live'!CF115-'check-Jul25'!CF115)</f>
        <v/>
      </c>
      <c r="CG115" t="str">
        <f>IF('1. Live'!CG115='check-Jul25'!CG115,"",'1. Live'!CG115-'check-Jul25'!CG115)</f>
        <v/>
      </c>
      <c r="CH115" t="str">
        <f>IF('1. Live'!CH115='check-Jul25'!CH115,"",'1. Live'!CH115-'check-Jul25'!CH115)</f>
        <v/>
      </c>
      <c r="CI115" t="str">
        <f>IF('1. Live'!CI115='check-Jul25'!CI115,"",'1. Live'!CI115-'check-Jul25'!CI115)</f>
        <v/>
      </c>
      <c r="CJ115" t="str">
        <f>IF('1. Live'!CJ115='check-Jul25'!CJ115,"",'1. Live'!CJ115-'check-Jul25'!CJ115)</f>
        <v/>
      </c>
      <c r="CK115" t="str">
        <f>IF('1. Live'!CK115='check-Jul25'!CK115,"",'1. Live'!CK115-'check-Jul25'!CK115)</f>
        <v/>
      </c>
      <c r="CL115" t="str">
        <f>IF('1. Live'!CL115='check-Jul25'!CL115,"",'1. Live'!CL115-'check-Jul25'!CL115)</f>
        <v/>
      </c>
      <c r="CM115" t="str">
        <f>IF('1. Live'!CM115='check-Jul25'!CM115,"",'1. Live'!CM115-'check-Jul25'!CM115)</f>
        <v/>
      </c>
      <c r="CN115" t="str">
        <f>IF('1. Live'!CN115='check-Jul25'!CN115,"",'1. Live'!CN115-'check-Jul25'!CN115)</f>
        <v/>
      </c>
      <c r="CO115" t="str">
        <f>IF('1. Live'!CO115='check-Jul25'!CO115,"",'1. Live'!CO115-'check-Jul25'!CO115)</f>
        <v/>
      </c>
      <c r="CP115" t="str">
        <f>IF('1. Live'!CP115='check-Jul25'!CP115,"",'1. Live'!CP115-'check-Jul25'!CP115)</f>
        <v/>
      </c>
      <c r="CQ115" t="str">
        <f>IF('1. Live'!CQ115='check-Jul25'!CQ115,"",'1. Live'!CQ115-'check-Jul25'!CQ115)</f>
        <v/>
      </c>
      <c r="CR115" t="str">
        <f>IF('1. Live'!CR115='check-Jul25'!CR115,"",'1. Live'!CR115-'check-Jul25'!CR115)</f>
        <v/>
      </c>
      <c r="CS115" t="str">
        <f>IF('1. Live'!CS115='check-Jul25'!CS115,"",'1. Live'!CS115-'check-Jul25'!CS115)</f>
        <v/>
      </c>
      <c r="CT115" t="str">
        <f>IF('1. Live'!CT115='check-Jul25'!CT115,"",'1. Live'!CT115-'check-Jul25'!CT115)</f>
        <v/>
      </c>
      <c r="CU115" t="str">
        <f>IF('1. Live'!CU115='check-Jul25'!CU115,"",'1. Live'!CU115-'check-Jul25'!CU115)</f>
        <v/>
      </c>
      <c r="CV115" t="str">
        <f>IF('1. Live'!CV115='check-Jul25'!CV115,"",'1. Live'!CV115-'check-Jul25'!CV115)</f>
        <v/>
      </c>
      <c r="CW115" t="str">
        <f>IF('1. Live'!CW115='check-Jul25'!CW115,"",'1. Live'!CW115-'check-Jul25'!CW115)</f>
        <v/>
      </c>
    </row>
    <row r="116" spans="10:101">
      <c r="J116" t="str">
        <f>IF('1. Live'!J116='check-Jul25'!J116,"",'1. Live'!J116-'check-Jul25'!J116)</f>
        <v/>
      </c>
      <c r="K116" t="str">
        <f>IF('1. Live'!K116='check-Jul25'!K116,"",'1. Live'!K116-'check-Jul25'!K116)</f>
        <v/>
      </c>
      <c r="L116" t="str">
        <f>IF('1. Live'!L116='check-Jul25'!L116,"",'1. Live'!L116-'check-Jul25'!L116)</f>
        <v/>
      </c>
      <c r="M116" t="str">
        <f>IF('1. Live'!M116='check-Jul25'!M116,"",'1. Live'!M116-'check-Jul25'!M116)</f>
        <v/>
      </c>
      <c r="N116" t="str">
        <f>IF('1. Live'!N116='check-Jul25'!N116,"",'1. Live'!N116-'check-Jul25'!N116)</f>
        <v/>
      </c>
      <c r="O116" t="str">
        <f>IF('1. Live'!O116='check-Jul25'!O116,"",'1. Live'!O116-'check-Jul25'!O116)</f>
        <v/>
      </c>
      <c r="P116" t="str">
        <f>IF('1. Live'!P116='check-Jul25'!P116,"",'1. Live'!P116-'check-Jul25'!P116)</f>
        <v/>
      </c>
      <c r="Q116" t="str">
        <f>IF('1. Live'!Q116='check-Jul25'!Q116,"",'1. Live'!Q116-'check-Jul25'!Q116)</f>
        <v/>
      </c>
      <c r="R116" t="str">
        <f>IF('1. Live'!R116='check-Jul25'!R116,"",'1. Live'!R116-'check-Jul25'!R116)</f>
        <v/>
      </c>
      <c r="S116" t="str">
        <f>IF('1. Live'!S116='check-Jul25'!S116,"",'1. Live'!S116-'check-Jul25'!S116)</f>
        <v/>
      </c>
      <c r="T116" t="str">
        <f>IF('1. Live'!T116='check-Jul25'!T116,"",'1. Live'!T116-'check-Jul25'!T116)</f>
        <v/>
      </c>
      <c r="U116" t="str">
        <f>IF('1. Live'!U116='check-Jul25'!U116,"",'1. Live'!U116-'check-Jul25'!U116)</f>
        <v/>
      </c>
      <c r="V116" t="str">
        <f>IF('1. Live'!V116='check-Jul25'!V116,"",'1. Live'!V116-'check-Jul25'!V116)</f>
        <v/>
      </c>
      <c r="W116" t="str">
        <f>IF('1. Live'!W116='check-Jul25'!W116,"",'1. Live'!W116-'check-Jul25'!W116)</f>
        <v/>
      </c>
      <c r="X116" t="str">
        <f>IF('1. Live'!X116='check-Jul25'!X116,"",'1. Live'!X116-'check-Jul25'!X116)</f>
        <v/>
      </c>
      <c r="Y116" t="str">
        <f>IF('1. Live'!Y116='check-Jul25'!Y116,"",'1. Live'!Y116-'check-Jul25'!Y116)</f>
        <v/>
      </c>
      <c r="Z116" t="str">
        <f>IF('1. Live'!Z116='check-Jul25'!Z116,"",'1. Live'!Z116-'check-Jul25'!Z116)</f>
        <v/>
      </c>
      <c r="AA116" t="str">
        <f>IF('1. Live'!AA116='check-Jul25'!AA116,"",'1. Live'!AA116-'check-Jul25'!AA116)</f>
        <v/>
      </c>
      <c r="AB116" t="str">
        <f>IF('1. Live'!AB116='check-Jul25'!AB116,"",'1. Live'!AB116-'check-Jul25'!AB116)</f>
        <v/>
      </c>
      <c r="AC116" t="str">
        <f>IF('1. Live'!AC116='check-Jul25'!AC116,"",'1. Live'!AC116-'check-Jul25'!AC116)</f>
        <v/>
      </c>
      <c r="AD116" t="str">
        <f>IF('1. Live'!AD116='check-Jul25'!AD116,"",'1. Live'!AD116-'check-Jul25'!AD116)</f>
        <v/>
      </c>
      <c r="AE116" t="str">
        <f>IF('1. Live'!AE116='check-Jul25'!AE116,"",'1. Live'!AE116-'check-Jul25'!AE116)</f>
        <v/>
      </c>
      <c r="AF116" t="str">
        <f>IF('1. Live'!AF116='check-Jul25'!AF116,"",'1. Live'!AF116-'check-Jul25'!AF116)</f>
        <v/>
      </c>
      <c r="AG116" t="str">
        <f>IF('1. Live'!AG116='check-Jul25'!AG116,"",'1. Live'!AG116-'check-Jul25'!AG116)</f>
        <v/>
      </c>
      <c r="AH116" t="str">
        <f>IF('1. Live'!AH116='check-Jul25'!AH116,"",'1. Live'!AH116-'check-Jul25'!AH116)</f>
        <v/>
      </c>
      <c r="AI116" t="str">
        <f>IF('1. Live'!AI116='check-Jul25'!AI116,"",'1. Live'!AI116-'check-Jul25'!AI116)</f>
        <v/>
      </c>
      <c r="AJ116" t="str">
        <f>IF('1. Live'!AJ116='check-Jul25'!AJ116,"",'1. Live'!AJ116-'check-Jul25'!AJ116)</f>
        <v/>
      </c>
      <c r="AK116" t="str">
        <f>IF('1. Live'!AK116='check-Jul25'!AK116,"",'1. Live'!AK116-'check-Jul25'!AK116)</f>
        <v/>
      </c>
      <c r="AL116" t="str">
        <f>IF('1. Live'!AL116='check-Jul25'!AL116,"",'1. Live'!AL116-'check-Jul25'!AL116)</f>
        <v/>
      </c>
      <c r="AM116" t="str">
        <f>IF('1. Live'!AM116='check-Jul25'!AM116,"",'1. Live'!AM116-'check-Jul25'!AM116)</f>
        <v/>
      </c>
      <c r="AN116" t="str">
        <f>IF('1. Live'!AN116='check-Jul25'!AN116,"",'1. Live'!AN116-'check-Jul25'!AN116)</f>
        <v/>
      </c>
      <c r="AO116" t="str">
        <f>IF('1. Live'!AO116='check-Jul25'!AO116,"",'1. Live'!AO116-'check-Jul25'!AO116)</f>
        <v/>
      </c>
      <c r="AP116" t="str">
        <f>IF('1. Live'!AP116='check-Jul25'!AP116,"",'1. Live'!AP116-'check-Jul25'!AP116)</f>
        <v/>
      </c>
      <c r="AQ116" t="str">
        <f>IF('1. Live'!AQ116='check-Jul25'!AQ116,"",'1. Live'!AQ116-'check-Jul25'!AQ116)</f>
        <v/>
      </c>
      <c r="AR116" t="str">
        <f>IF('1. Live'!AR116='check-Jul25'!AR116,"",'1. Live'!AR116-'check-Jul25'!AR116)</f>
        <v/>
      </c>
      <c r="AS116" t="str">
        <f>IF('1. Live'!AS116='check-Jul25'!AS116,"",'1. Live'!AS116-'check-Jul25'!AS116)</f>
        <v/>
      </c>
      <c r="AT116" t="str">
        <f>IF('1. Live'!AT116='check-Jul25'!AT116,"",'1. Live'!AT116-'check-Jul25'!AT116)</f>
        <v/>
      </c>
      <c r="AU116" t="str">
        <f>IF('1. Live'!AU116='check-Jul25'!AU116,"",'1. Live'!AU116-'check-Jul25'!AU116)</f>
        <v/>
      </c>
      <c r="AV116" t="str">
        <f>IF('1. Live'!AV116='check-Jul25'!AV116,"",'1. Live'!AV116-'check-Jul25'!AV116)</f>
        <v/>
      </c>
      <c r="AW116" t="str">
        <f>IF('1. Live'!AW116='check-Jul25'!AW116,"",'1. Live'!AW116-'check-Jul25'!AW116)</f>
        <v/>
      </c>
      <c r="AX116" t="str">
        <f>IF('1. Live'!AX116='check-Jul25'!AX116,"",'1. Live'!AX116-'check-Jul25'!AX116)</f>
        <v/>
      </c>
      <c r="AY116" t="str">
        <f>IF('1. Live'!AY116='check-Jul25'!AY116,"",'1. Live'!AY116-'check-Jul25'!AY116)</f>
        <v/>
      </c>
      <c r="AZ116" t="str">
        <f>IF('1. Live'!AZ116='check-Jul25'!AZ116,"",'1. Live'!AZ116-'check-Jul25'!AZ116)</f>
        <v/>
      </c>
      <c r="BA116" t="str">
        <f>IF('1. Live'!BA116='check-Jul25'!BA116,"",'1. Live'!BA116-'check-Jul25'!BA116)</f>
        <v/>
      </c>
      <c r="BB116" t="str">
        <f>IF('1. Live'!BB116='check-Jul25'!BB116,"",'1. Live'!BB116-'check-Jul25'!BB116)</f>
        <v/>
      </c>
      <c r="BC116" t="str">
        <f>IF('1. Live'!BC116='check-Jul25'!BC116,"",'1. Live'!BC116-'check-Jul25'!BC116)</f>
        <v/>
      </c>
      <c r="BD116" t="str">
        <f>IF('1. Live'!BD116='check-Jul25'!BD116,"",'1. Live'!BD116-'check-Jul25'!BD116)</f>
        <v/>
      </c>
      <c r="BE116" t="str">
        <f>IF('1. Live'!BE116='check-Jul25'!BE116,"",'1. Live'!BE116-'check-Jul25'!BE116)</f>
        <v/>
      </c>
      <c r="BF116" t="str">
        <f>IF('1. Live'!BF116='check-Jul25'!BF116,"",'1. Live'!BF116-'check-Jul25'!BF116)</f>
        <v/>
      </c>
      <c r="BG116" t="str">
        <f>IF('1. Live'!BG116='check-Jul25'!BG116,"",'1. Live'!BG116-'check-Jul25'!BG116)</f>
        <v/>
      </c>
      <c r="BH116" t="str">
        <f>IF('1. Live'!BH116='check-Jul25'!BH116,"",'1. Live'!BH116-'check-Jul25'!BH116)</f>
        <v/>
      </c>
      <c r="BI116" t="str">
        <f>IF('1. Live'!BI116='check-Jul25'!BI116,"",'1. Live'!BI116-'check-Jul25'!BI116)</f>
        <v/>
      </c>
      <c r="BJ116" t="str">
        <f>IF('1. Live'!BJ116='check-Jul25'!BJ116,"",'1. Live'!BJ116-'check-Jul25'!BJ116)</f>
        <v/>
      </c>
      <c r="BK116" t="str">
        <f>IF('1. Live'!BK116='check-Jul25'!BK116,"",'1. Live'!BK116-'check-Jul25'!BK116)</f>
        <v/>
      </c>
      <c r="BL116" t="str">
        <f>IF('1. Live'!BL116='check-Jul25'!BL116,"",'1. Live'!BL116-'check-Jul25'!BL116)</f>
        <v/>
      </c>
      <c r="BM116" t="str">
        <f>IF('1. Live'!BM116='check-Jul25'!BM116,"",'1. Live'!BM116-'check-Jul25'!BM116)</f>
        <v/>
      </c>
      <c r="BN116" t="str">
        <f>IF('1. Live'!BN116='check-Jul25'!BN116,"",'1. Live'!BN116-'check-Jul25'!BN116)</f>
        <v/>
      </c>
      <c r="BO116" t="str">
        <f>IF('1. Live'!BO116='check-Jul25'!BO116,"",'1. Live'!BO116-'check-Jul25'!BO116)</f>
        <v/>
      </c>
      <c r="BP116" t="str">
        <f>IF('1. Live'!BP116='check-Jul25'!BP116,"",'1. Live'!BP116-'check-Jul25'!BP116)</f>
        <v/>
      </c>
      <c r="BQ116" t="str">
        <f>IF('1. Live'!BQ116='check-Jul25'!BQ116,"",'1. Live'!BQ116-'check-Jul25'!BQ116)</f>
        <v/>
      </c>
      <c r="BR116" t="str">
        <f>IF('1. Live'!BR116='check-Jul25'!BR116,"",'1. Live'!BR116-'check-Jul25'!BR116)</f>
        <v/>
      </c>
      <c r="BS116" t="str">
        <f>IF('1. Live'!BS116='check-Jul25'!BS116,"",'1. Live'!BS116-'check-Jul25'!BS116)</f>
        <v/>
      </c>
      <c r="BT116" t="str">
        <f>IF('1. Live'!BT116='check-Jul25'!BT116,"",'1. Live'!BT116-'check-Jul25'!BT116)</f>
        <v/>
      </c>
      <c r="BU116" t="str">
        <f>IF('1. Live'!BU116='check-Jul25'!BU116,"",'1. Live'!BU116-'check-Jul25'!BU116)</f>
        <v/>
      </c>
      <c r="BV116" t="str">
        <f>IF('1. Live'!BV116='check-Jul25'!BV116,"",'1. Live'!BV116-'check-Jul25'!BV116)</f>
        <v/>
      </c>
      <c r="BW116" t="str">
        <f>IF('1. Live'!BW116='check-Jul25'!BW116,"",'1. Live'!BW116-'check-Jul25'!BW116)</f>
        <v/>
      </c>
      <c r="BX116" t="str">
        <f>IF('1. Live'!BX116='check-Jul25'!BX116,"",'1. Live'!BX116-'check-Jul25'!BX116)</f>
        <v/>
      </c>
      <c r="BY116" t="str">
        <f>IF('1. Live'!BY116='check-Jul25'!BY116,"",'1. Live'!BY116-'check-Jul25'!BY116)</f>
        <v/>
      </c>
      <c r="BZ116" t="str">
        <f>IF('1. Live'!BZ116='check-Jul25'!BZ116,"",'1. Live'!BZ116-'check-Jul25'!BZ116)</f>
        <v/>
      </c>
      <c r="CA116" t="str">
        <f>IF('1. Live'!CA116='check-Jul25'!CA116,"",'1. Live'!CA116-'check-Jul25'!CA116)</f>
        <v/>
      </c>
      <c r="CB116" t="str">
        <f>IF('1. Live'!CB116='check-Jul25'!CB116,"",'1. Live'!CB116-'check-Jul25'!CB116)</f>
        <v/>
      </c>
      <c r="CC116" t="str">
        <f>IF('1. Live'!CC116='check-Jul25'!CC116,"",'1. Live'!CC116-'check-Jul25'!CC116)</f>
        <v/>
      </c>
      <c r="CD116" t="str">
        <f>IF('1. Live'!CD116='check-Jul25'!CD116,"",'1. Live'!CD116-'check-Jul25'!CD116)</f>
        <v/>
      </c>
      <c r="CE116" t="str">
        <f>IF('1. Live'!CE116='check-Jul25'!CE116,"",'1. Live'!CE116-'check-Jul25'!CE116)</f>
        <v/>
      </c>
      <c r="CF116" t="str">
        <f>IF('1. Live'!CF116='check-Jul25'!CF116,"",'1. Live'!CF116-'check-Jul25'!CF116)</f>
        <v/>
      </c>
      <c r="CG116" t="str">
        <f>IF('1. Live'!CG116='check-Jul25'!CG116,"",'1. Live'!CG116-'check-Jul25'!CG116)</f>
        <v/>
      </c>
      <c r="CH116" t="str">
        <f>IF('1. Live'!CH116='check-Jul25'!CH116,"",'1. Live'!CH116-'check-Jul25'!CH116)</f>
        <v/>
      </c>
      <c r="CI116" t="str">
        <f>IF('1. Live'!CI116='check-Jul25'!CI116,"",'1. Live'!CI116-'check-Jul25'!CI116)</f>
        <v/>
      </c>
      <c r="CJ116" t="str">
        <f>IF('1. Live'!CJ116='check-Jul25'!CJ116,"",'1. Live'!CJ116-'check-Jul25'!CJ116)</f>
        <v/>
      </c>
      <c r="CK116" t="str">
        <f>IF('1. Live'!CK116='check-Jul25'!CK116,"",'1. Live'!CK116-'check-Jul25'!CK116)</f>
        <v/>
      </c>
      <c r="CL116" t="str">
        <f>IF('1. Live'!CL116='check-Jul25'!CL116,"",'1. Live'!CL116-'check-Jul25'!CL116)</f>
        <v/>
      </c>
      <c r="CM116" t="str">
        <f>IF('1. Live'!CM116='check-Jul25'!CM116,"",'1. Live'!CM116-'check-Jul25'!CM116)</f>
        <v/>
      </c>
      <c r="CN116" t="str">
        <f>IF('1. Live'!CN116='check-Jul25'!CN116,"",'1. Live'!CN116-'check-Jul25'!CN116)</f>
        <v/>
      </c>
      <c r="CO116" t="str">
        <f>IF('1. Live'!CO116='check-Jul25'!CO116,"",'1. Live'!CO116-'check-Jul25'!CO116)</f>
        <v/>
      </c>
      <c r="CP116" t="str">
        <f>IF('1. Live'!CP116='check-Jul25'!CP116,"",'1. Live'!CP116-'check-Jul25'!CP116)</f>
        <v/>
      </c>
      <c r="CQ116" t="str">
        <f>IF('1. Live'!CQ116='check-Jul25'!CQ116,"",'1. Live'!CQ116-'check-Jul25'!CQ116)</f>
        <v/>
      </c>
      <c r="CR116" t="str">
        <f>IF('1. Live'!CR116='check-Jul25'!CR116,"",'1. Live'!CR116-'check-Jul25'!CR116)</f>
        <v/>
      </c>
      <c r="CS116" t="str">
        <f>IF('1. Live'!CS116='check-Jul25'!CS116,"",'1. Live'!CS116-'check-Jul25'!CS116)</f>
        <v/>
      </c>
      <c r="CT116" t="str">
        <f>IF('1. Live'!CT116='check-Jul25'!CT116,"",'1. Live'!CT116-'check-Jul25'!CT116)</f>
        <v/>
      </c>
      <c r="CU116" t="str">
        <f>IF('1. Live'!CU116='check-Jul25'!CU116,"",'1. Live'!CU116-'check-Jul25'!CU116)</f>
        <v/>
      </c>
      <c r="CV116" t="str">
        <f>IF('1. Live'!CV116='check-Jul25'!CV116,"",'1. Live'!CV116-'check-Jul25'!CV116)</f>
        <v/>
      </c>
      <c r="CW116" t="str">
        <f>IF('1. Live'!CW116='check-Jul25'!CW116,"",'1. Live'!CW116-'check-Jul25'!CW116)</f>
        <v/>
      </c>
    </row>
    <row r="117" spans="10:101">
      <c r="J117" t="str">
        <f>IF('1. Live'!J117='check-Jul25'!J117,"",'1. Live'!J117-'check-Jul25'!J117)</f>
        <v/>
      </c>
      <c r="K117" t="str">
        <f>IF('1. Live'!K117='check-Jul25'!K117,"",'1. Live'!K117-'check-Jul25'!K117)</f>
        <v/>
      </c>
      <c r="L117" t="str">
        <f>IF('1. Live'!L117='check-Jul25'!L117,"",'1. Live'!L117-'check-Jul25'!L117)</f>
        <v/>
      </c>
      <c r="M117" t="str">
        <f>IF('1. Live'!M117='check-Jul25'!M117,"",'1. Live'!M117-'check-Jul25'!M117)</f>
        <v/>
      </c>
      <c r="N117" t="str">
        <f>IF('1. Live'!N117='check-Jul25'!N117,"",'1. Live'!N117-'check-Jul25'!N117)</f>
        <v/>
      </c>
      <c r="O117" t="str">
        <f>IF('1. Live'!O117='check-Jul25'!O117,"",'1. Live'!O117-'check-Jul25'!O117)</f>
        <v/>
      </c>
      <c r="P117" t="str">
        <f>IF('1. Live'!P117='check-Jul25'!P117,"",'1. Live'!P117-'check-Jul25'!P117)</f>
        <v/>
      </c>
      <c r="Q117" t="str">
        <f>IF('1. Live'!Q117='check-Jul25'!Q117,"",'1. Live'!Q117-'check-Jul25'!Q117)</f>
        <v/>
      </c>
      <c r="R117" t="str">
        <f>IF('1. Live'!R117='check-Jul25'!R117,"",'1. Live'!R117-'check-Jul25'!R117)</f>
        <v/>
      </c>
      <c r="S117" t="str">
        <f>IF('1. Live'!S117='check-Jul25'!S117,"",'1. Live'!S117-'check-Jul25'!S117)</f>
        <v/>
      </c>
      <c r="T117" t="str">
        <f>IF('1. Live'!T117='check-Jul25'!T117,"",'1. Live'!T117-'check-Jul25'!T117)</f>
        <v/>
      </c>
      <c r="U117" t="str">
        <f>IF('1. Live'!U117='check-Jul25'!U117,"",'1. Live'!U117-'check-Jul25'!U117)</f>
        <v/>
      </c>
      <c r="V117" t="str">
        <f>IF('1. Live'!V117='check-Jul25'!V117,"",'1. Live'!V117-'check-Jul25'!V117)</f>
        <v/>
      </c>
      <c r="W117" t="str">
        <f>IF('1. Live'!W117='check-Jul25'!W117,"",'1. Live'!W117-'check-Jul25'!W117)</f>
        <v/>
      </c>
      <c r="X117" t="str">
        <f>IF('1. Live'!X117='check-Jul25'!X117,"",'1. Live'!X117-'check-Jul25'!X117)</f>
        <v/>
      </c>
      <c r="Y117" t="str">
        <f>IF('1. Live'!Y117='check-Jul25'!Y117,"",'1. Live'!Y117-'check-Jul25'!Y117)</f>
        <v/>
      </c>
      <c r="Z117" t="str">
        <f>IF('1. Live'!Z117='check-Jul25'!Z117,"",'1. Live'!Z117-'check-Jul25'!Z117)</f>
        <v/>
      </c>
      <c r="AA117" t="str">
        <f>IF('1. Live'!AA117='check-Jul25'!AA117,"",'1. Live'!AA117-'check-Jul25'!AA117)</f>
        <v/>
      </c>
      <c r="AB117" t="str">
        <f>IF('1. Live'!AB117='check-Jul25'!AB117,"",'1. Live'!AB117-'check-Jul25'!AB117)</f>
        <v/>
      </c>
      <c r="AC117" t="str">
        <f>IF('1. Live'!AC117='check-Jul25'!AC117,"",'1. Live'!AC117-'check-Jul25'!AC117)</f>
        <v/>
      </c>
      <c r="AD117" t="str">
        <f>IF('1. Live'!AD117='check-Jul25'!AD117,"",'1. Live'!AD117-'check-Jul25'!AD117)</f>
        <v/>
      </c>
      <c r="AE117" t="str">
        <f>IF('1. Live'!AE117='check-Jul25'!AE117,"",'1. Live'!AE117-'check-Jul25'!AE117)</f>
        <v/>
      </c>
      <c r="AF117" t="str">
        <f>IF('1. Live'!AF117='check-Jul25'!AF117,"",'1. Live'!AF117-'check-Jul25'!AF117)</f>
        <v/>
      </c>
      <c r="AG117" t="str">
        <f>IF('1. Live'!AG117='check-Jul25'!AG117,"",'1. Live'!AG117-'check-Jul25'!AG117)</f>
        <v/>
      </c>
      <c r="AH117" t="str">
        <f>IF('1. Live'!AH117='check-Jul25'!AH117,"",'1. Live'!AH117-'check-Jul25'!AH117)</f>
        <v/>
      </c>
      <c r="AI117" t="str">
        <f>IF('1. Live'!AI117='check-Jul25'!AI117,"",'1. Live'!AI117-'check-Jul25'!AI117)</f>
        <v/>
      </c>
      <c r="AJ117" t="str">
        <f>IF('1. Live'!AJ117='check-Jul25'!AJ117,"",'1. Live'!AJ117-'check-Jul25'!AJ117)</f>
        <v/>
      </c>
      <c r="AK117" t="str">
        <f>IF('1. Live'!AK117='check-Jul25'!AK117,"",'1. Live'!AK117-'check-Jul25'!AK117)</f>
        <v/>
      </c>
      <c r="AL117" t="str">
        <f>IF('1. Live'!AL117='check-Jul25'!AL117,"",'1. Live'!AL117-'check-Jul25'!AL117)</f>
        <v/>
      </c>
      <c r="AM117" t="str">
        <f>IF('1. Live'!AM117='check-Jul25'!AM117,"",'1. Live'!AM117-'check-Jul25'!AM117)</f>
        <v/>
      </c>
      <c r="AN117" t="str">
        <f>IF('1. Live'!AN117='check-Jul25'!AN117,"",'1. Live'!AN117-'check-Jul25'!AN117)</f>
        <v/>
      </c>
      <c r="AO117" t="str">
        <f>IF('1. Live'!AO117='check-Jul25'!AO117,"",'1. Live'!AO117-'check-Jul25'!AO117)</f>
        <v/>
      </c>
      <c r="AP117" t="str">
        <f>IF('1. Live'!AP117='check-Jul25'!AP117,"",'1. Live'!AP117-'check-Jul25'!AP117)</f>
        <v/>
      </c>
      <c r="AQ117" t="str">
        <f>IF('1. Live'!AQ117='check-Jul25'!AQ117,"",'1. Live'!AQ117-'check-Jul25'!AQ117)</f>
        <v/>
      </c>
      <c r="AR117" t="str">
        <f>IF('1. Live'!AR117='check-Jul25'!AR117,"",'1. Live'!AR117-'check-Jul25'!AR117)</f>
        <v/>
      </c>
      <c r="AS117" t="str">
        <f>IF('1. Live'!AS117='check-Jul25'!AS117,"",'1. Live'!AS117-'check-Jul25'!AS117)</f>
        <v/>
      </c>
      <c r="AT117" t="str">
        <f>IF('1. Live'!AT117='check-Jul25'!AT117,"",'1. Live'!AT117-'check-Jul25'!AT117)</f>
        <v/>
      </c>
      <c r="AU117" t="str">
        <f>IF('1. Live'!AU117='check-Jul25'!AU117,"",'1. Live'!AU117-'check-Jul25'!AU117)</f>
        <v/>
      </c>
      <c r="AV117" t="str">
        <f>IF('1. Live'!AV117='check-Jul25'!AV117,"",'1. Live'!AV117-'check-Jul25'!AV117)</f>
        <v/>
      </c>
      <c r="AW117" t="str">
        <f>IF('1. Live'!AW117='check-Jul25'!AW117,"",'1. Live'!AW117-'check-Jul25'!AW117)</f>
        <v/>
      </c>
      <c r="AX117" t="str">
        <f>IF('1. Live'!AX117='check-Jul25'!AX117,"",'1. Live'!AX117-'check-Jul25'!AX117)</f>
        <v/>
      </c>
      <c r="AY117" t="str">
        <f>IF('1. Live'!AY117='check-Jul25'!AY117,"",'1. Live'!AY117-'check-Jul25'!AY117)</f>
        <v/>
      </c>
      <c r="AZ117" t="str">
        <f>IF('1. Live'!AZ117='check-Jul25'!AZ117,"",'1. Live'!AZ117-'check-Jul25'!AZ117)</f>
        <v/>
      </c>
      <c r="BA117" t="str">
        <f>IF('1. Live'!BA117='check-Jul25'!BA117,"",'1. Live'!BA117-'check-Jul25'!BA117)</f>
        <v/>
      </c>
      <c r="BB117" t="str">
        <f>IF('1. Live'!BB117='check-Jul25'!BB117,"",'1. Live'!BB117-'check-Jul25'!BB117)</f>
        <v/>
      </c>
      <c r="BC117" t="str">
        <f>IF('1. Live'!BC117='check-Jul25'!BC117,"",'1. Live'!BC117-'check-Jul25'!BC117)</f>
        <v/>
      </c>
      <c r="BD117" t="str">
        <f>IF('1. Live'!BD117='check-Jul25'!BD117,"",'1. Live'!BD117-'check-Jul25'!BD117)</f>
        <v/>
      </c>
      <c r="BE117" t="str">
        <f>IF('1. Live'!BE117='check-Jul25'!BE117,"",'1. Live'!BE117-'check-Jul25'!BE117)</f>
        <v/>
      </c>
      <c r="BF117" t="str">
        <f>IF('1. Live'!BF117='check-Jul25'!BF117,"",'1. Live'!BF117-'check-Jul25'!BF117)</f>
        <v/>
      </c>
      <c r="BG117" t="str">
        <f>IF('1. Live'!BG117='check-Jul25'!BG117,"",'1. Live'!BG117-'check-Jul25'!BG117)</f>
        <v/>
      </c>
      <c r="BH117" t="str">
        <f>IF('1. Live'!BH117='check-Jul25'!BH117,"",'1. Live'!BH117-'check-Jul25'!BH117)</f>
        <v/>
      </c>
      <c r="BI117" t="str">
        <f>IF('1. Live'!BI117='check-Jul25'!BI117,"",'1. Live'!BI117-'check-Jul25'!BI117)</f>
        <v/>
      </c>
      <c r="BJ117" t="str">
        <f>IF('1. Live'!BJ117='check-Jul25'!BJ117,"",'1. Live'!BJ117-'check-Jul25'!BJ117)</f>
        <v/>
      </c>
      <c r="BK117" t="str">
        <f>IF('1. Live'!BK117='check-Jul25'!BK117,"",'1. Live'!BK117-'check-Jul25'!BK117)</f>
        <v/>
      </c>
      <c r="BL117" t="str">
        <f>IF('1. Live'!BL117='check-Jul25'!BL117,"",'1. Live'!BL117-'check-Jul25'!BL117)</f>
        <v/>
      </c>
      <c r="BM117" t="str">
        <f>IF('1. Live'!BM117='check-Jul25'!BM117,"",'1. Live'!BM117-'check-Jul25'!BM117)</f>
        <v/>
      </c>
      <c r="BN117" t="str">
        <f>IF('1. Live'!BN117='check-Jul25'!BN117,"",'1. Live'!BN117-'check-Jul25'!BN117)</f>
        <v/>
      </c>
      <c r="BO117" t="str">
        <f>IF('1. Live'!BO117='check-Jul25'!BO117,"",'1. Live'!BO117-'check-Jul25'!BO117)</f>
        <v/>
      </c>
      <c r="BP117" t="str">
        <f>IF('1. Live'!BP117='check-Jul25'!BP117,"",'1. Live'!BP117-'check-Jul25'!BP117)</f>
        <v/>
      </c>
      <c r="BQ117" t="str">
        <f>IF('1. Live'!BQ117='check-Jul25'!BQ117,"",'1. Live'!BQ117-'check-Jul25'!BQ117)</f>
        <v/>
      </c>
      <c r="BR117" t="str">
        <f>IF('1. Live'!BR117='check-Jul25'!BR117,"",'1. Live'!BR117-'check-Jul25'!BR117)</f>
        <v/>
      </c>
      <c r="BS117" t="str">
        <f>IF('1. Live'!BS117='check-Jul25'!BS117,"",'1. Live'!BS117-'check-Jul25'!BS117)</f>
        <v/>
      </c>
      <c r="BT117" t="str">
        <f>IF('1. Live'!BT117='check-Jul25'!BT117,"",'1. Live'!BT117-'check-Jul25'!BT117)</f>
        <v/>
      </c>
      <c r="BU117" t="str">
        <f>IF('1. Live'!BU117='check-Jul25'!BU117,"",'1. Live'!BU117-'check-Jul25'!BU117)</f>
        <v/>
      </c>
      <c r="BV117" t="str">
        <f>IF('1. Live'!BV117='check-Jul25'!BV117,"",'1. Live'!BV117-'check-Jul25'!BV117)</f>
        <v/>
      </c>
      <c r="BW117" t="str">
        <f>IF('1. Live'!BW117='check-Jul25'!BW117,"",'1. Live'!BW117-'check-Jul25'!BW117)</f>
        <v/>
      </c>
      <c r="BX117" t="str">
        <f>IF('1. Live'!BX117='check-Jul25'!BX117,"",'1. Live'!BX117-'check-Jul25'!BX117)</f>
        <v/>
      </c>
      <c r="BY117" t="str">
        <f>IF('1. Live'!BY117='check-Jul25'!BY117,"",'1. Live'!BY117-'check-Jul25'!BY117)</f>
        <v/>
      </c>
      <c r="BZ117" t="str">
        <f>IF('1. Live'!BZ117='check-Jul25'!BZ117,"",'1. Live'!BZ117-'check-Jul25'!BZ117)</f>
        <v/>
      </c>
      <c r="CA117" t="str">
        <f>IF('1. Live'!CA117='check-Jul25'!CA117,"",'1. Live'!CA117-'check-Jul25'!CA117)</f>
        <v/>
      </c>
      <c r="CB117" t="str">
        <f>IF('1. Live'!CB117='check-Jul25'!CB117,"",'1. Live'!CB117-'check-Jul25'!CB117)</f>
        <v/>
      </c>
      <c r="CC117" t="str">
        <f>IF('1. Live'!CC117='check-Jul25'!CC117,"",'1. Live'!CC117-'check-Jul25'!CC117)</f>
        <v/>
      </c>
      <c r="CD117" t="str">
        <f>IF('1. Live'!CD117='check-Jul25'!CD117,"",'1. Live'!CD117-'check-Jul25'!CD117)</f>
        <v/>
      </c>
      <c r="CE117" t="str">
        <f>IF('1. Live'!CE117='check-Jul25'!CE117,"",'1. Live'!CE117-'check-Jul25'!CE117)</f>
        <v/>
      </c>
      <c r="CF117" t="str">
        <f>IF('1. Live'!CF117='check-Jul25'!CF117,"",'1. Live'!CF117-'check-Jul25'!CF117)</f>
        <v/>
      </c>
      <c r="CG117" t="str">
        <f>IF('1. Live'!CG117='check-Jul25'!CG117,"",'1. Live'!CG117-'check-Jul25'!CG117)</f>
        <v/>
      </c>
      <c r="CH117" t="str">
        <f>IF('1. Live'!CH117='check-Jul25'!CH117,"",'1. Live'!CH117-'check-Jul25'!CH117)</f>
        <v/>
      </c>
      <c r="CI117" t="str">
        <f>IF('1. Live'!CI117='check-Jul25'!CI117,"",'1. Live'!CI117-'check-Jul25'!CI117)</f>
        <v/>
      </c>
      <c r="CJ117" t="str">
        <f>IF('1. Live'!CJ117='check-Jul25'!CJ117,"",'1. Live'!CJ117-'check-Jul25'!CJ117)</f>
        <v/>
      </c>
      <c r="CK117" t="str">
        <f>IF('1. Live'!CK117='check-Jul25'!CK117,"",'1. Live'!CK117-'check-Jul25'!CK117)</f>
        <v/>
      </c>
      <c r="CL117" t="str">
        <f>IF('1. Live'!CL117='check-Jul25'!CL117,"",'1. Live'!CL117-'check-Jul25'!CL117)</f>
        <v/>
      </c>
      <c r="CM117" t="str">
        <f>IF('1. Live'!CM117='check-Jul25'!CM117,"",'1. Live'!CM117-'check-Jul25'!CM117)</f>
        <v/>
      </c>
      <c r="CN117" t="str">
        <f>IF('1. Live'!CN117='check-Jul25'!CN117,"",'1. Live'!CN117-'check-Jul25'!CN117)</f>
        <v/>
      </c>
      <c r="CO117" t="str">
        <f>IF('1. Live'!CO117='check-Jul25'!CO117,"",'1. Live'!CO117-'check-Jul25'!CO117)</f>
        <v/>
      </c>
      <c r="CP117" t="str">
        <f>IF('1. Live'!CP117='check-Jul25'!CP117,"",'1. Live'!CP117-'check-Jul25'!CP117)</f>
        <v/>
      </c>
      <c r="CQ117" t="str">
        <f>IF('1. Live'!CQ117='check-Jul25'!CQ117,"",'1. Live'!CQ117-'check-Jul25'!CQ117)</f>
        <v/>
      </c>
      <c r="CR117" t="str">
        <f>IF('1. Live'!CR117='check-Jul25'!CR117,"",'1. Live'!CR117-'check-Jul25'!CR117)</f>
        <v/>
      </c>
      <c r="CS117" t="str">
        <f>IF('1. Live'!CS117='check-Jul25'!CS117,"",'1. Live'!CS117-'check-Jul25'!CS117)</f>
        <v/>
      </c>
      <c r="CT117" t="str">
        <f>IF('1. Live'!CT117='check-Jul25'!CT117,"",'1. Live'!CT117-'check-Jul25'!CT117)</f>
        <v/>
      </c>
      <c r="CU117" t="str">
        <f>IF('1. Live'!CU117='check-Jul25'!CU117,"",'1. Live'!CU117-'check-Jul25'!CU117)</f>
        <v/>
      </c>
      <c r="CV117" t="str">
        <f>IF('1. Live'!CV117='check-Jul25'!CV117,"",'1. Live'!CV117-'check-Jul25'!CV117)</f>
        <v/>
      </c>
      <c r="CW117" t="str">
        <f>IF('1. Live'!CW117='check-Jul25'!CW117,"",'1. Live'!CW117-'check-Jul25'!CW117)</f>
        <v/>
      </c>
    </row>
    <row r="118" spans="10:101">
      <c r="J118" t="str">
        <f>IF('1. Live'!J118='check-Jul25'!J118,"",'1. Live'!J118-'check-Jul25'!J118)</f>
        <v/>
      </c>
      <c r="K118" t="str">
        <f>IF('1. Live'!K118='check-Jul25'!K118,"",'1. Live'!K118-'check-Jul25'!K118)</f>
        <v/>
      </c>
      <c r="L118" t="str">
        <f>IF('1. Live'!L118='check-Jul25'!L118,"",'1. Live'!L118-'check-Jul25'!L118)</f>
        <v/>
      </c>
      <c r="M118" t="str">
        <f>IF('1. Live'!M118='check-Jul25'!M118,"",'1. Live'!M118-'check-Jul25'!M118)</f>
        <v/>
      </c>
      <c r="N118" t="str">
        <f>IF('1. Live'!N118='check-Jul25'!N118,"",'1. Live'!N118-'check-Jul25'!N118)</f>
        <v/>
      </c>
      <c r="O118" t="str">
        <f>IF('1. Live'!O118='check-Jul25'!O118,"",'1. Live'!O118-'check-Jul25'!O118)</f>
        <v/>
      </c>
      <c r="P118" t="str">
        <f>IF('1. Live'!P118='check-Jul25'!P118,"",'1. Live'!P118-'check-Jul25'!P118)</f>
        <v/>
      </c>
      <c r="Q118" t="str">
        <f>IF('1. Live'!Q118='check-Jul25'!Q118,"",'1. Live'!Q118-'check-Jul25'!Q118)</f>
        <v/>
      </c>
      <c r="R118" t="str">
        <f>IF('1. Live'!R118='check-Jul25'!R118,"",'1. Live'!R118-'check-Jul25'!R118)</f>
        <v/>
      </c>
      <c r="S118" t="str">
        <f>IF('1. Live'!S118='check-Jul25'!S118,"",'1. Live'!S118-'check-Jul25'!S118)</f>
        <v/>
      </c>
      <c r="T118" t="str">
        <f>IF('1. Live'!T118='check-Jul25'!T118,"",'1. Live'!T118-'check-Jul25'!T118)</f>
        <v/>
      </c>
      <c r="U118" t="str">
        <f>IF('1. Live'!U118='check-Jul25'!U118,"",'1. Live'!U118-'check-Jul25'!U118)</f>
        <v/>
      </c>
      <c r="V118" t="str">
        <f>IF('1. Live'!V118='check-Jul25'!V118,"",'1. Live'!V118-'check-Jul25'!V118)</f>
        <v/>
      </c>
      <c r="W118" t="str">
        <f>IF('1. Live'!W118='check-Jul25'!W118,"",'1. Live'!W118-'check-Jul25'!W118)</f>
        <v/>
      </c>
      <c r="X118" t="str">
        <f>IF('1. Live'!X118='check-Jul25'!X118,"",'1. Live'!X118-'check-Jul25'!X118)</f>
        <v/>
      </c>
      <c r="Y118" t="str">
        <f>IF('1. Live'!Y118='check-Jul25'!Y118,"",'1. Live'!Y118-'check-Jul25'!Y118)</f>
        <v/>
      </c>
      <c r="Z118" t="str">
        <f>IF('1. Live'!Z118='check-Jul25'!Z118,"",'1. Live'!Z118-'check-Jul25'!Z118)</f>
        <v/>
      </c>
      <c r="AA118" t="str">
        <f>IF('1. Live'!AA118='check-Jul25'!AA118,"",'1. Live'!AA118-'check-Jul25'!AA118)</f>
        <v/>
      </c>
      <c r="AB118" t="str">
        <f>IF('1. Live'!AB118='check-Jul25'!AB118,"",'1. Live'!AB118-'check-Jul25'!AB118)</f>
        <v/>
      </c>
      <c r="AC118" t="str">
        <f>IF('1. Live'!AC118='check-Jul25'!AC118,"",'1. Live'!AC118-'check-Jul25'!AC118)</f>
        <v/>
      </c>
      <c r="AD118" t="str">
        <f>IF('1. Live'!AD118='check-Jul25'!AD118,"",'1. Live'!AD118-'check-Jul25'!AD118)</f>
        <v/>
      </c>
      <c r="AE118" t="str">
        <f>IF('1. Live'!AE118='check-Jul25'!AE118,"",'1. Live'!AE118-'check-Jul25'!AE118)</f>
        <v/>
      </c>
      <c r="AF118" t="str">
        <f>IF('1. Live'!AF118='check-Jul25'!AF118,"",'1. Live'!AF118-'check-Jul25'!AF118)</f>
        <v/>
      </c>
      <c r="AG118" t="str">
        <f>IF('1. Live'!AG118='check-Jul25'!AG118,"",'1. Live'!AG118-'check-Jul25'!AG118)</f>
        <v/>
      </c>
      <c r="AH118" t="str">
        <f>IF('1. Live'!AH118='check-Jul25'!AH118,"",'1. Live'!AH118-'check-Jul25'!AH118)</f>
        <v/>
      </c>
      <c r="AI118" t="str">
        <f>IF('1. Live'!AI118='check-Jul25'!AI118,"",'1. Live'!AI118-'check-Jul25'!AI118)</f>
        <v/>
      </c>
      <c r="AJ118" t="str">
        <f>IF('1. Live'!AJ118='check-Jul25'!AJ118,"",'1. Live'!AJ118-'check-Jul25'!AJ118)</f>
        <v/>
      </c>
      <c r="AK118" t="str">
        <f>IF('1. Live'!AK118='check-Jul25'!AK118,"",'1. Live'!AK118-'check-Jul25'!AK118)</f>
        <v/>
      </c>
      <c r="AL118" t="str">
        <f>IF('1. Live'!AL118='check-Jul25'!AL118,"",'1. Live'!AL118-'check-Jul25'!AL118)</f>
        <v/>
      </c>
      <c r="AM118" t="str">
        <f>IF('1. Live'!AM118='check-Jul25'!AM118,"",'1. Live'!AM118-'check-Jul25'!AM118)</f>
        <v/>
      </c>
      <c r="AN118" t="str">
        <f>IF('1. Live'!AN118='check-Jul25'!AN118,"",'1. Live'!AN118-'check-Jul25'!AN118)</f>
        <v/>
      </c>
      <c r="AO118" t="str">
        <f>IF('1. Live'!AO118='check-Jul25'!AO118,"",'1. Live'!AO118-'check-Jul25'!AO118)</f>
        <v/>
      </c>
      <c r="AP118" t="str">
        <f>IF('1. Live'!AP118='check-Jul25'!AP118,"",'1. Live'!AP118-'check-Jul25'!AP118)</f>
        <v/>
      </c>
      <c r="AQ118" t="str">
        <f>IF('1. Live'!AQ118='check-Jul25'!AQ118,"",'1. Live'!AQ118-'check-Jul25'!AQ118)</f>
        <v/>
      </c>
      <c r="AR118" t="str">
        <f>IF('1. Live'!AR118='check-Jul25'!AR118,"",'1. Live'!AR118-'check-Jul25'!AR118)</f>
        <v/>
      </c>
      <c r="AS118" t="str">
        <f>IF('1. Live'!AS118='check-Jul25'!AS118,"",'1. Live'!AS118-'check-Jul25'!AS118)</f>
        <v/>
      </c>
      <c r="AT118" t="str">
        <f>IF('1. Live'!AT118='check-Jul25'!AT118,"",'1. Live'!AT118-'check-Jul25'!AT118)</f>
        <v/>
      </c>
      <c r="AU118" t="str">
        <f>IF('1. Live'!AU118='check-Jul25'!AU118,"",'1. Live'!AU118-'check-Jul25'!AU118)</f>
        <v/>
      </c>
      <c r="AV118" t="str">
        <f>IF('1. Live'!AV118='check-Jul25'!AV118,"",'1. Live'!AV118-'check-Jul25'!AV118)</f>
        <v/>
      </c>
      <c r="AW118" t="str">
        <f>IF('1. Live'!AW118='check-Jul25'!AW118,"",'1. Live'!AW118-'check-Jul25'!AW118)</f>
        <v/>
      </c>
      <c r="AX118" t="str">
        <f>IF('1. Live'!AX118='check-Jul25'!AX118,"",'1. Live'!AX118-'check-Jul25'!AX118)</f>
        <v/>
      </c>
      <c r="AY118" t="str">
        <f>IF('1. Live'!AY118='check-Jul25'!AY118,"",'1. Live'!AY118-'check-Jul25'!AY118)</f>
        <v/>
      </c>
      <c r="AZ118" t="str">
        <f>IF('1. Live'!AZ118='check-Jul25'!AZ118,"",'1. Live'!AZ118-'check-Jul25'!AZ118)</f>
        <v/>
      </c>
      <c r="BA118" t="str">
        <f>IF('1. Live'!BA118='check-Jul25'!BA118,"",'1. Live'!BA118-'check-Jul25'!BA118)</f>
        <v/>
      </c>
      <c r="BB118" t="str">
        <f>IF('1. Live'!BB118='check-Jul25'!BB118,"",'1. Live'!BB118-'check-Jul25'!BB118)</f>
        <v/>
      </c>
      <c r="BC118" t="str">
        <f>IF('1. Live'!BC118='check-Jul25'!BC118,"",'1. Live'!BC118-'check-Jul25'!BC118)</f>
        <v/>
      </c>
      <c r="BD118" t="str">
        <f>IF('1. Live'!BD118='check-Jul25'!BD118,"",'1. Live'!BD118-'check-Jul25'!BD118)</f>
        <v/>
      </c>
      <c r="BE118" t="str">
        <f>IF('1. Live'!BE118='check-Jul25'!BE118,"",'1. Live'!BE118-'check-Jul25'!BE118)</f>
        <v/>
      </c>
      <c r="BF118" t="str">
        <f>IF('1. Live'!BF118='check-Jul25'!BF118,"",'1. Live'!BF118-'check-Jul25'!BF118)</f>
        <v/>
      </c>
      <c r="BG118" t="str">
        <f>IF('1. Live'!BG118='check-Jul25'!BG118,"",'1. Live'!BG118-'check-Jul25'!BG118)</f>
        <v/>
      </c>
      <c r="BH118" t="str">
        <f>IF('1. Live'!BH118='check-Jul25'!BH118,"",'1. Live'!BH118-'check-Jul25'!BH118)</f>
        <v/>
      </c>
      <c r="BI118" t="str">
        <f>IF('1. Live'!BI118='check-Jul25'!BI118,"",'1. Live'!BI118-'check-Jul25'!BI118)</f>
        <v/>
      </c>
      <c r="BJ118" t="str">
        <f>IF('1. Live'!BJ118='check-Jul25'!BJ118,"",'1. Live'!BJ118-'check-Jul25'!BJ118)</f>
        <v/>
      </c>
      <c r="BK118" t="str">
        <f>IF('1. Live'!BK118='check-Jul25'!BK118,"",'1. Live'!BK118-'check-Jul25'!BK118)</f>
        <v/>
      </c>
      <c r="BL118" t="str">
        <f>IF('1. Live'!BL118='check-Jul25'!BL118,"",'1. Live'!BL118-'check-Jul25'!BL118)</f>
        <v/>
      </c>
      <c r="BM118" t="str">
        <f>IF('1. Live'!BM118='check-Jul25'!BM118,"",'1. Live'!BM118-'check-Jul25'!BM118)</f>
        <v/>
      </c>
      <c r="BN118" t="str">
        <f>IF('1. Live'!BN118='check-Jul25'!BN118,"",'1. Live'!BN118-'check-Jul25'!BN118)</f>
        <v/>
      </c>
      <c r="BO118" t="str">
        <f>IF('1. Live'!BO118='check-Jul25'!BO118,"",'1. Live'!BO118-'check-Jul25'!BO118)</f>
        <v/>
      </c>
      <c r="BP118" t="str">
        <f>IF('1. Live'!BP118='check-Jul25'!BP118,"",'1. Live'!BP118-'check-Jul25'!BP118)</f>
        <v/>
      </c>
      <c r="BQ118" t="str">
        <f>IF('1. Live'!BQ118='check-Jul25'!BQ118,"",'1. Live'!BQ118-'check-Jul25'!BQ118)</f>
        <v/>
      </c>
      <c r="BR118" t="str">
        <f>IF('1. Live'!BR118='check-Jul25'!BR118,"",'1. Live'!BR118-'check-Jul25'!BR118)</f>
        <v/>
      </c>
      <c r="BS118" t="str">
        <f>IF('1. Live'!BS118='check-Jul25'!BS118,"",'1. Live'!BS118-'check-Jul25'!BS118)</f>
        <v/>
      </c>
      <c r="BT118" t="str">
        <f>IF('1. Live'!BT118='check-Jul25'!BT118,"",'1. Live'!BT118-'check-Jul25'!BT118)</f>
        <v/>
      </c>
      <c r="BU118" t="str">
        <f>IF('1. Live'!BU118='check-Jul25'!BU118,"",'1. Live'!BU118-'check-Jul25'!BU118)</f>
        <v/>
      </c>
      <c r="BV118" t="str">
        <f>IF('1. Live'!BV118='check-Jul25'!BV118,"",'1. Live'!BV118-'check-Jul25'!BV118)</f>
        <v/>
      </c>
      <c r="BW118" t="str">
        <f>IF('1. Live'!BW118='check-Jul25'!BW118,"",'1. Live'!BW118-'check-Jul25'!BW118)</f>
        <v/>
      </c>
      <c r="BX118" t="str">
        <f>IF('1. Live'!BX118='check-Jul25'!BX118,"",'1. Live'!BX118-'check-Jul25'!BX118)</f>
        <v/>
      </c>
      <c r="BY118" t="str">
        <f>IF('1. Live'!BY118='check-Jul25'!BY118,"",'1. Live'!BY118-'check-Jul25'!BY118)</f>
        <v/>
      </c>
      <c r="BZ118" t="str">
        <f>IF('1. Live'!BZ118='check-Jul25'!BZ118,"",'1. Live'!BZ118-'check-Jul25'!BZ118)</f>
        <v/>
      </c>
      <c r="CA118" t="str">
        <f>IF('1. Live'!CA118='check-Jul25'!CA118,"",'1. Live'!CA118-'check-Jul25'!CA118)</f>
        <v/>
      </c>
      <c r="CB118" t="str">
        <f>IF('1. Live'!CB118='check-Jul25'!CB118,"",'1. Live'!CB118-'check-Jul25'!CB118)</f>
        <v/>
      </c>
      <c r="CC118" t="str">
        <f>IF('1. Live'!CC118='check-Jul25'!CC118,"",'1. Live'!CC118-'check-Jul25'!CC118)</f>
        <v/>
      </c>
      <c r="CD118" t="str">
        <f>IF('1. Live'!CD118='check-Jul25'!CD118,"",'1. Live'!CD118-'check-Jul25'!CD118)</f>
        <v/>
      </c>
      <c r="CE118" t="str">
        <f>IF('1. Live'!CE118='check-Jul25'!CE118,"",'1. Live'!CE118-'check-Jul25'!CE118)</f>
        <v/>
      </c>
      <c r="CF118" t="str">
        <f>IF('1. Live'!CF118='check-Jul25'!CF118,"",'1. Live'!CF118-'check-Jul25'!CF118)</f>
        <v/>
      </c>
      <c r="CG118" t="str">
        <f>IF('1. Live'!CG118='check-Jul25'!CG118,"",'1. Live'!CG118-'check-Jul25'!CG118)</f>
        <v/>
      </c>
      <c r="CH118" t="str">
        <f>IF('1. Live'!CH118='check-Jul25'!CH118,"",'1. Live'!CH118-'check-Jul25'!CH118)</f>
        <v/>
      </c>
      <c r="CI118" t="str">
        <f>IF('1. Live'!CI118='check-Jul25'!CI118,"",'1. Live'!CI118-'check-Jul25'!CI118)</f>
        <v/>
      </c>
      <c r="CJ118" t="str">
        <f>IF('1. Live'!CJ118='check-Jul25'!CJ118,"",'1. Live'!CJ118-'check-Jul25'!CJ118)</f>
        <v/>
      </c>
      <c r="CK118" t="str">
        <f>IF('1. Live'!CK118='check-Jul25'!CK118,"",'1. Live'!CK118-'check-Jul25'!CK118)</f>
        <v/>
      </c>
      <c r="CL118" t="str">
        <f>IF('1. Live'!CL118='check-Jul25'!CL118,"",'1. Live'!CL118-'check-Jul25'!CL118)</f>
        <v/>
      </c>
      <c r="CM118" t="str">
        <f>IF('1. Live'!CM118='check-Jul25'!CM118,"",'1. Live'!CM118-'check-Jul25'!CM118)</f>
        <v/>
      </c>
      <c r="CN118" t="str">
        <f>IF('1. Live'!CN118='check-Jul25'!CN118,"",'1. Live'!CN118-'check-Jul25'!CN118)</f>
        <v/>
      </c>
      <c r="CO118" t="str">
        <f>IF('1. Live'!CO118='check-Jul25'!CO118,"",'1. Live'!CO118-'check-Jul25'!CO118)</f>
        <v/>
      </c>
      <c r="CP118" t="str">
        <f>IF('1. Live'!CP118='check-Jul25'!CP118,"",'1. Live'!CP118-'check-Jul25'!CP118)</f>
        <v/>
      </c>
      <c r="CQ118" t="str">
        <f>IF('1. Live'!CQ118='check-Jul25'!CQ118,"",'1. Live'!CQ118-'check-Jul25'!CQ118)</f>
        <v/>
      </c>
      <c r="CR118" t="str">
        <f>IF('1. Live'!CR118='check-Jul25'!CR118,"",'1. Live'!CR118-'check-Jul25'!CR118)</f>
        <v/>
      </c>
      <c r="CS118" t="str">
        <f>IF('1. Live'!CS118='check-Jul25'!CS118,"",'1. Live'!CS118-'check-Jul25'!CS118)</f>
        <v/>
      </c>
      <c r="CT118" t="str">
        <f>IF('1. Live'!CT118='check-Jul25'!CT118,"",'1. Live'!CT118-'check-Jul25'!CT118)</f>
        <v/>
      </c>
      <c r="CU118" t="str">
        <f>IF('1. Live'!CU118='check-Jul25'!CU118,"",'1. Live'!CU118-'check-Jul25'!CU118)</f>
        <v/>
      </c>
      <c r="CV118" t="str">
        <f>IF('1. Live'!CV118='check-Jul25'!CV118,"",'1. Live'!CV118-'check-Jul25'!CV118)</f>
        <v/>
      </c>
      <c r="CW118" t="str">
        <f>IF('1. Live'!CW118='check-Jul25'!CW118,"",'1. Live'!CW118-'check-Jul25'!CW118)</f>
        <v/>
      </c>
    </row>
    <row r="119" spans="10:101">
      <c r="J119" t="str">
        <f>IF('1. Live'!J119='check-Jul25'!J119,"",'1. Live'!J119-'check-Jul25'!J119)</f>
        <v/>
      </c>
      <c r="K119" t="str">
        <f>IF('1. Live'!K119='check-Jul25'!K119,"",'1. Live'!K119-'check-Jul25'!K119)</f>
        <v/>
      </c>
      <c r="L119" t="str">
        <f>IF('1. Live'!L119='check-Jul25'!L119,"",'1. Live'!L119-'check-Jul25'!L119)</f>
        <v/>
      </c>
      <c r="M119" t="str">
        <f>IF('1. Live'!M119='check-Jul25'!M119,"",'1. Live'!M119-'check-Jul25'!M119)</f>
        <v/>
      </c>
      <c r="N119" t="str">
        <f>IF('1. Live'!N119='check-Jul25'!N119,"",'1. Live'!N119-'check-Jul25'!N119)</f>
        <v/>
      </c>
      <c r="O119" t="str">
        <f>IF('1. Live'!O119='check-Jul25'!O119,"",'1. Live'!O119-'check-Jul25'!O119)</f>
        <v/>
      </c>
      <c r="P119" t="str">
        <f>IF('1. Live'!P119='check-Jul25'!P119,"",'1. Live'!P119-'check-Jul25'!P119)</f>
        <v/>
      </c>
      <c r="Q119" t="str">
        <f>IF('1. Live'!Q119='check-Jul25'!Q119,"",'1. Live'!Q119-'check-Jul25'!Q119)</f>
        <v/>
      </c>
      <c r="R119" t="str">
        <f>IF('1. Live'!R119='check-Jul25'!R119,"",'1. Live'!R119-'check-Jul25'!R119)</f>
        <v/>
      </c>
      <c r="S119" t="str">
        <f>IF('1. Live'!S119='check-Jul25'!S119,"",'1. Live'!S119-'check-Jul25'!S119)</f>
        <v/>
      </c>
      <c r="T119" t="str">
        <f>IF('1. Live'!T119='check-Jul25'!T119,"",'1. Live'!T119-'check-Jul25'!T119)</f>
        <v/>
      </c>
      <c r="U119" t="str">
        <f>IF('1. Live'!U119='check-Jul25'!U119,"",'1. Live'!U119-'check-Jul25'!U119)</f>
        <v/>
      </c>
      <c r="V119" t="str">
        <f>IF('1. Live'!V119='check-Jul25'!V119,"",'1. Live'!V119-'check-Jul25'!V119)</f>
        <v/>
      </c>
      <c r="W119" t="str">
        <f>IF('1. Live'!W119='check-Jul25'!W119,"",'1. Live'!W119-'check-Jul25'!W119)</f>
        <v/>
      </c>
      <c r="X119" t="str">
        <f>IF('1. Live'!X119='check-Jul25'!X119,"",'1. Live'!X119-'check-Jul25'!X119)</f>
        <v/>
      </c>
      <c r="Y119" t="str">
        <f>IF('1. Live'!Y119='check-Jul25'!Y119,"",'1. Live'!Y119-'check-Jul25'!Y119)</f>
        <v/>
      </c>
      <c r="Z119" t="str">
        <f>IF('1. Live'!Z119='check-Jul25'!Z119,"",'1. Live'!Z119-'check-Jul25'!Z119)</f>
        <v/>
      </c>
      <c r="AA119" t="str">
        <f>IF('1. Live'!AA119='check-Jul25'!AA119,"",'1. Live'!AA119-'check-Jul25'!AA119)</f>
        <v/>
      </c>
      <c r="AB119" t="str">
        <f>IF('1. Live'!AB119='check-Jul25'!AB119,"",'1. Live'!AB119-'check-Jul25'!AB119)</f>
        <v/>
      </c>
      <c r="AC119" t="str">
        <f>IF('1. Live'!AC119='check-Jul25'!AC119,"",'1. Live'!AC119-'check-Jul25'!AC119)</f>
        <v/>
      </c>
      <c r="AD119" t="str">
        <f>IF('1. Live'!AD119='check-Jul25'!AD119,"",'1. Live'!AD119-'check-Jul25'!AD119)</f>
        <v/>
      </c>
      <c r="AE119" t="str">
        <f>IF('1. Live'!AE119='check-Jul25'!AE119,"",'1. Live'!AE119-'check-Jul25'!AE119)</f>
        <v/>
      </c>
      <c r="AF119" t="str">
        <f>IF('1. Live'!AF119='check-Jul25'!AF119,"",'1. Live'!AF119-'check-Jul25'!AF119)</f>
        <v/>
      </c>
      <c r="AG119" t="str">
        <f>IF('1. Live'!AG119='check-Jul25'!AG119,"",'1. Live'!AG119-'check-Jul25'!AG119)</f>
        <v/>
      </c>
      <c r="AH119" t="str">
        <f>IF('1. Live'!AH119='check-Jul25'!AH119,"",'1. Live'!AH119-'check-Jul25'!AH119)</f>
        <v/>
      </c>
      <c r="AI119" t="str">
        <f>IF('1. Live'!AI119='check-Jul25'!AI119,"",'1. Live'!AI119-'check-Jul25'!AI119)</f>
        <v/>
      </c>
      <c r="AJ119" t="str">
        <f>IF('1. Live'!AJ119='check-Jul25'!AJ119,"",'1. Live'!AJ119-'check-Jul25'!AJ119)</f>
        <v/>
      </c>
      <c r="AK119" t="str">
        <f>IF('1. Live'!AK119='check-Jul25'!AK119,"",'1. Live'!AK119-'check-Jul25'!AK119)</f>
        <v/>
      </c>
      <c r="AL119" t="str">
        <f>IF('1. Live'!AL119='check-Jul25'!AL119,"",'1. Live'!AL119-'check-Jul25'!AL119)</f>
        <v/>
      </c>
      <c r="AM119" t="str">
        <f>IF('1. Live'!AM119='check-Jul25'!AM119,"",'1. Live'!AM119-'check-Jul25'!AM119)</f>
        <v/>
      </c>
      <c r="AN119" t="str">
        <f>IF('1. Live'!AN119='check-Jul25'!AN119,"",'1. Live'!AN119-'check-Jul25'!AN119)</f>
        <v/>
      </c>
      <c r="AO119" t="str">
        <f>IF('1. Live'!AO119='check-Jul25'!AO119,"",'1. Live'!AO119-'check-Jul25'!AO119)</f>
        <v/>
      </c>
      <c r="AP119" t="str">
        <f>IF('1. Live'!AP119='check-Jul25'!AP119,"",'1. Live'!AP119-'check-Jul25'!AP119)</f>
        <v/>
      </c>
      <c r="AQ119" t="str">
        <f>IF('1. Live'!AQ119='check-Jul25'!AQ119,"",'1. Live'!AQ119-'check-Jul25'!AQ119)</f>
        <v/>
      </c>
      <c r="AR119" t="str">
        <f>IF('1. Live'!AR119='check-Jul25'!AR119,"",'1. Live'!AR119-'check-Jul25'!AR119)</f>
        <v/>
      </c>
      <c r="AS119" t="str">
        <f>IF('1. Live'!AS119='check-Jul25'!AS119,"",'1. Live'!AS119-'check-Jul25'!AS119)</f>
        <v/>
      </c>
      <c r="AT119" t="str">
        <f>IF('1. Live'!AT119='check-Jul25'!AT119,"",'1. Live'!AT119-'check-Jul25'!AT119)</f>
        <v/>
      </c>
      <c r="AU119" t="str">
        <f>IF('1. Live'!AU119='check-Jul25'!AU119,"",'1. Live'!AU119-'check-Jul25'!AU119)</f>
        <v/>
      </c>
      <c r="AV119" t="str">
        <f>IF('1. Live'!AV119='check-Jul25'!AV119,"",'1. Live'!AV119-'check-Jul25'!AV119)</f>
        <v/>
      </c>
      <c r="AW119" t="str">
        <f>IF('1. Live'!AW119='check-Jul25'!AW119,"",'1. Live'!AW119-'check-Jul25'!AW119)</f>
        <v/>
      </c>
      <c r="AX119" t="str">
        <f>IF('1. Live'!AX119='check-Jul25'!AX119,"",'1. Live'!AX119-'check-Jul25'!AX119)</f>
        <v/>
      </c>
      <c r="AY119" t="str">
        <f>IF('1. Live'!AY119='check-Jul25'!AY119,"",'1. Live'!AY119-'check-Jul25'!AY119)</f>
        <v/>
      </c>
      <c r="AZ119" t="str">
        <f>IF('1. Live'!AZ119='check-Jul25'!AZ119,"",'1. Live'!AZ119-'check-Jul25'!AZ119)</f>
        <v/>
      </c>
      <c r="BA119" t="str">
        <f>IF('1. Live'!BA119='check-Jul25'!BA119,"",'1. Live'!BA119-'check-Jul25'!BA119)</f>
        <v/>
      </c>
      <c r="BB119" t="str">
        <f>IF('1. Live'!BB119='check-Jul25'!BB119,"",'1. Live'!BB119-'check-Jul25'!BB119)</f>
        <v/>
      </c>
      <c r="BC119" t="str">
        <f>IF('1. Live'!BC119='check-Jul25'!BC119,"",'1. Live'!BC119-'check-Jul25'!BC119)</f>
        <v/>
      </c>
      <c r="BD119" t="str">
        <f>IF('1. Live'!BD119='check-Jul25'!BD119,"",'1. Live'!BD119-'check-Jul25'!BD119)</f>
        <v/>
      </c>
      <c r="BE119" t="str">
        <f>IF('1. Live'!BE119='check-Jul25'!BE119,"",'1. Live'!BE119-'check-Jul25'!BE119)</f>
        <v/>
      </c>
      <c r="BF119" t="str">
        <f>IF('1. Live'!BF119='check-Jul25'!BF119,"",'1. Live'!BF119-'check-Jul25'!BF119)</f>
        <v/>
      </c>
      <c r="BG119" t="str">
        <f>IF('1. Live'!BG119='check-Jul25'!BG119,"",'1. Live'!BG119-'check-Jul25'!BG119)</f>
        <v/>
      </c>
      <c r="BH119" t="str">
        <f>IF('1. Live'!BH119='check-Jul25'!BH119,"",'1. Live'!BH119-'check-Jul25'!BH119)</f>
        <v/>
      </c>
      <c r="BI119" t="str">
        <f>IF('1. Live'!BI119='check-Jul25'!BI119,"",'1. Live'!BI119-'check-Jul25'!BI119)</f>
        <v/>
      </c>
      <c r="BJ119" t="str">
        <f>IF('1. Live'!BJ119='check-Jul25'!BJ119,"",'1. Live'!BJ119-'check-Jul25'!BJ119)</f>
        <v/>
      </c>
      <c r="BK119" t="str">
        <f>IF('1. Live'!BK119='check-Jul25'!BK119,"",'1. Live'!BK119-'check-Jul25'!BK119)</f>
        <v/>
      </c>
      <c r="BL119" t="str">
        <f>IF('1. Live'!BL119='check-Jul25'!BL119,"",'1. Live'!BL119-'check-Jul25'!BL119)</f>
        <v/>
      </c>
      <c r="BM119" t="str">
        <f>IF('1. Live'!BM119='check-Jul25'!BM119,"",'1. Live'!BM119-'check-Jul25'!BM119)</f>
        <v/>
      </c>
      <c r="BN119" t="str">
        <f>IF('1. Live'!BN119='check-Jul25'!BN119,"",'1. Live'!BN119-'check-Jul25'!BN119)</f>
        <v/>
      </c>
      <c r="BO119" t="str">
        <f>IF('1. Live'!BO119='check-Jul25'!BO119,"",'1. Live'!BO119-'check-Jul25'!BO119)</f>
        <v/>
      </c>
      <c r="BP119" t="str">
        <f>IF('1. Live'!BP119='check-Jul25'!BP119,"",'1. Live'!BP119-'check-Jul25'!BP119)</f>
        <v/>
      </c>
      <c r="BQ119" t="str">
        <f>IF('1. Live'!BQ119='check-Jul25'!BQ119,"",'1. Live'!BQ119-'check-Jul25'!BQ119)</f>
        <v/>
      </c>
      <c r="BR119" t="str">
        <f>IF('1. Live'!BR119='check-Jul25'!BR119,"",'1. Live'!BR119-'check-Jul25'!BR119)</f>
        <v/>
      </c>
      <c r="BS119" t="str">
        <f>IF('1. Live'!BS119='check-Jul25'!BS119,"",'1. Live'!BS119-'check-Jul25'!BS119)</f>
        <v/>
      </c>
      <c r="BT119" t="str">
        <f>IF('1. Live'!BT119='check-Jul25'!BT119,"",'1. Live'!BT119-'check-Jul25'!BT119)</f>
        <v/>
      </c>
      <c r="BU119" t="str">
        <f>IF('1. Live'!BU119='check-Jul25'!BU119,"",'1. Live'!BU119-'check-Jul25'!BU119)</f>
        <v/>
      </c>
      <c r="BV119" t="str">
        <f>IF('1. Live'!BV119='check-Jul25'!BV119,"",'1. Live'!BV119-'check-Jul25'!BV119)</f>
        <v/>
      </c>
      <c r="BW119" t="str">
        <f>IF('1. Live'!BW119='check-Jul25'!BW119,"",'1. Live'!BW119-'check-Jul25'!BW119)</f>
        <v/>
      </c>
      <c r="BX119" t="str">
        <f>IF('1. Live'!BX119='check-Jul25'!BX119,"",'1. Live'!BX119-'check-Jul25'!BX119)</f>
        <v/>
      </c>
      <c r="BY119" t="str">
        <f>IF('1. Live'!BY119='check-Jul25'!BY119,"",'1. Live'!BY119-'check-Jul25'!BY119)</f>
        <v/>
      </c>
      <c r="BZ119" t="str">
        <f>IF('1. Live'!BZ119='check-Jul25'!BZ119,"",'1. Live'!BZ119-'check-Jul25'!BZ119)</f>
        <v/>
      </c>
      <c r="CA119" t="str">
        <f>IF('1. Live'!CA119='check-Jul25'!CA119,"",'1. Live'!CA119-'check-Jul25'!CA119)</f>
        <v/>
      </c>
      <c r="CB119" t="str">
        <f>IF('1. Live'!CB119='check-Jul25'!CB119,"",'1. Live'!CB119-'check-Jul25'!CB119)</f>
        <v/>
      </c>
      <c r="CC119" t="str">
        <f>IF('1. Live'!CC119='check-Jul25'!CC119,"",'1. Live'!CC119-'check-Jul25'!CC119)</f>
        <v/>
      </c>
      <c r="CD119" t="str">
        <f>IF('1. Live'!CD119='check-Jul25'!CD119,"",'1. Live'!CD119-'check-Jul25'!CD119)</f>
        <v/>
      </c>
      <c r="CE119" t="str">
        <f>IF('1. Live'!CE119='check-Jul25'!CE119,"",'1. Live'!CE119-'check-Jul25'!CE119)</f>
        <v/>
      </c>
      <c r="CF119" t="str">
        <f>IF('1. Live'!CF119='check-Jul25'!CF119,"",'1. Live'!CF119-'check-Jul25'!CF119)</f>
        <v/>
      </c>
      <c r="CG119" t="str">
        <f>IF('1. Live'!CG119='check-Jul25'!CG119,"",'1. Live'!CG119-'check-Jul25'!CG119)</f>
        <v/>
      </c>
      <c r="CH119" t="str">
        <f>IF('1. Live'!CH119='check-Jul25'!CH119,"",'1. Live'!CH119-'check-Jul25'!CH119)</f>
        <v/>
      </c>
      <c r="CI119" t="str">
        <f>IF('1. Live'!CI119='check-Jul25'!CI119,"",'1. Live'!CI119-'check-Jul25'!CI119)</f>
        <v/>
      </c>
      <c r="CJ119" t="str">
        <f>IF('1. Live'!CJ119='check-Jul25'!CJ119,"",'1. Live'!CJ119-'check-Jul25'!CJ119)</f>
        <v/>
      </c>
      <c r="CK119" t="str">
        <f>IF('1. Live'!CK119='check-Jul25'!CK119,"",'1. Live'!CK119-'check-Jul25'!CK119)</f>
        <v/>
      </c>
      <c r="CL119" t="str">
        <f>IF('1. Live'!CL119='check-Jul25'!CL119,"",'1. Live'!CL119-'check-Jul25'!CL119)</f>
        <v/>
      </c>
      <c r="CM119" t="str">
        <f>IF('1. Live'!CM119='check-Jul25'!CM119,"",'1. Live'!CM119-'check-Jul25'!CM119)</f>
        <v/>
      </c>
      <c r="CN119" t="str">
        <f>IF('1. Live'!CN119='check-Jul25'!CN119,"",'1. Live'!CN119-'check-Jul25'!CN119)</f>
        <v/>
      </c>
      <c r="CO119" t="str">
        <f>IF('1. Live'!CO119='check-Jul25'!CO119,"",'1. Live'!CO119-'check-Jul25'!CO119)</f>
        <v/>
      </c>
      <c r="CP119" t="str">
        <f>IF('1. Live'!CP119='check-Jul25'!CP119,"",'1. Live'!CP119-'check-Jul25'!CP119)</f>
        <v/>
      </c>
      <c r="CQ119" t="str">
        <f>IF('1. Live'!CQ119='check-Jul25'!CQ119,"",'1. Live'!CQ119-'check-Jul25'!CQ119)</f>
        <v/>
      </c>
      <c r="CR119" t="str">
        <f>IF('1. Live'!CR119='check-Jul25'!CR119,"",'1. Live'!CR119-'check-Jul25'!CR119)</f>
        <v/>
      </c>
      <c r="CS119" t="str">
        <f>IF('1. Live'!CS119='check-Jul25'!CS119,"",'1. Live'!CS119-'check-Jul25'!CS119)</f>
        <v/>
      </c>
      <c r="CT119" t="str">
        <f>IF('1. Live'!CT119='check-Jul25'!CT119,"",'1. Live'!CT119-'check-Jul25'!CT119)</f>
        <v/>
      </c>
      <c r="CU119" t="str">
        <f>IF('1. Live'!CU119='check-Jul25'!CU119,"",'1. Live'!CU119-'check-Jul25'!CU119)</f>
        <v/>
      </c>
      <c r="CV119" t="str">
        <f>IF('1. Live'!CV119='check-Jul25'!CV119,"",'1. Live'!CV119-'check-Jul25'!CV119)</f>
        <v/>
      </c>
      <c r="CW119" t="str">
        <f>IF('1. Live'!CW119='check-Jul25'!CW119,"",'1. Live'!CW119-'check-Jul25'!CW119)</f>
        <v/>
      </c>
    </row>
    <row r="120" spans="10:101">
      <c r="J120" t="str">
        <f>IF('1. Live'!J120='check-Jul25'!J120,"",'1. Live'!J120-'check-Jul25'!J120)</f>
        <v/>
      </c>
      <c r="K120" t="str">
        <f>IF('1. Live'!K120='check-Jul25'!K120,"",'1. Live'!K120-'check-Jul25'!K120)</f>
        <v/>
      </c>
      <c r="L120" t="str">
        <f>IF('1. Live'!L120='check-Jul25'!L120,"",'1. Live'!L120-'check-Jul25'!L120)</f>
        <v/>
      </c>
      <c r="M120" t="str">
        <f>IF('1. Live'!M120='check-Jul25'!M120,"",'1. Live'!M120-'check-Jul25'!M120)</f>
        <v/>
      </c>
      <c r="N120" t="str">
        <f>IF('1. Live'!N120='check-Jul25'!N120,"",'1. Live'!N120-'check-Jul25'!N120)</f>
        <v/>
      </c>
      <c r="O120" t="str">
        <f>IF('1. Live'!O120='check-Jul25'!O120,"",'1. Live'!O120-'check-Jul25'!O120)</f>
        <v/>
      </c>
      <c r="P120" t="str">
        <f>IF('1. Live'!P120='check-Jul25'!P120,"",'1. Live'!P120-'check-Jul25'!P120)</f>
        <v/>
      </c>
      <c r="Q120" t="str">
        <f>IF('1. Live'!Q120='check-Jul25'!Q120,"",'1. Live'!Q120-'check-Jul25'!Q120)</f>
        <v/>
      </c>
      <c r="R120" t="str">
        <f>IF('1. Live'!R120='check-Jul25'!R120,"",'1. Live'!R120-'check-Jul25'!R120)</f>
        <v/>
      </c>
      <c r="S120" t="str">
        <f>IF('1. Live'!S120='check-Jul25'!S120,"",'1. Live'!S120-'check-Jul25'!S120)</f>
        <v/>
      </c>
      <c r="T120" t="str">
        <f>IF('1. Live'!T120='check-Jul25'!T120,"",'1. Live'!T120-'check-Jul25'!T120)</f>
        <v/>
      </c>
      <c r="U120" t="str">
        <f>IF('1. Live'!U120='check-Jul25'!U120,"",'1. Live'!U120-'check-Jul25'!U120)</f>
        <v/>
      </c>
      <c r="V120" t="str">
        <f>IF('1. Live'!V120='check-Jul25'!V120,"",'1. Live'!V120-'check-Jul25'!V120)</f>
        <v/>
      </c>
      <c r="W120" t="str">
        <f>IF('1. Live'!W120='check-Jul25'!W120,"",'1. Live'!W120-'check-Jul25'!W120)</f>
        <v/>
      </c>
      <c r="X120" t="str">
        <f>IF('1. Live'!X120='check-Jul25'!X120,"",'1. Live'!X120-'check-Jul25'!X120)</f>
        <v/>
      </c>
      <c r="Y120" t="str">
        <f>IF('1. Live'!Y120='check-Jul25'!Y120,"",'1. Live'!Y120-'check-Jul25'!Y120)</f>
        <v/>
      </c>
      <c r="Z120" t="str">
        <f>IF('1. Live'!Z120='check-Jul25'!Z120,"",'1. Live'!Z120-'check-Jul25'!Z120)</f>
        <v/>
      </c>
      <c r="AA120" t="str">
        <f>IF('1. Live'!AA120='check-Jul25'!AA120,"",'1. Live'!AA120-'check-Jul25'!AA120)</f>
        <v/>
      </c>
      <c r="AB120" t="str">
        <f>IF('1. Live'!AB120='check-Jul25'!AB120,"",'1. Live'!AB120-'check-Jul25'!AB120)</f>
        <v/>
      </c>
      <c r="AC120" t="str">
        <f>IF('1. Live'!AC120='check-Jul25'!AC120,"",'1. Live'!AC120-'check-Jul25'!AC120)</f>
        <v/>
      </c>
      <c r="AD120" t="str">
        <f>IF('1. Live'!AD120='check-Jul25'!AD120,"",'1. Live'!AD120-'check-Jul25'!AD120)</f>
        <v/>
      </c>
      <c r="AE120" t="str">
        <f>IF('1. Live'!AE120='check-Jul25'!AE120,"",'1. Live'!AE120-'check-Jul25'!AE120)</f>
        <v/>
      </c>
      <c r="AF120" t="str">
        <f>IF('1. Live'!AF120='check-Jul25'!AF120,"",'1. Live'!AF120-'check-Jul25'!AF120)</f>
        <v/>
      </c>
      <c r="AG120" t="str">
        <f>IF('1. Live'!AG120='check-Jul25'!AG120,"",'1. Live'!AG120-'check-Jul25'!AG120)</f>
        <v/>
      </c>
      <c r="AH120" t="str">
        <f>IF('1. Live'!AH120='check-Jul25'!AH120,"",'1. Live'!AH120-'check-Jul25'!AH120)</f>
        <v/>
      </c>
      <c r="AI120" t="str">
        <f>IF('1. Live'!AI120='check-Jul25'!AI120,"",'1. Live'!AI120-'check-Jul25'!AI120)</f>
        <v/>
      </c>
      <c r="AJ120" t="str">
        <f>IF('1. Live'!AJ120='check-Jul25'!AJ120,"",'1. Live'!AJ120-'check-Jul25'!AJ120)</f>
        <v/>
      </c>
      <c r="AK120" t="str">
        <f>IF('1. Live'!AK120='check-Jul25'!AK120,"",'1. Live'!AK120-'check-Jul25'!AK120)</f>
        <v/>
      </c>
      <c r="AL120" t="str">
        <f>IF('1. Live'!AL120='check-Jul25'!AL120,"",'1. Live'!AL120-'check-Jul25'!AL120)</f>
        <v/>
      </c>
      <c r="AM120" t="str">
        <f>IF('1. Live'!AM120='check-Jul25'!AM120,"",'1. Live'!AM120-'check-Jul25'!AM120)</f>
        <v/>
      </c>
      <c r="AN120" t="str">
        <f>IF('1. Live'!AN120='check-Jul25'!AN120,"",'1. Live'!AN120-'check-Jul25'!AN120)</f>
        <v/>
      </c>
      <c r="AO120" t="str">
        <f>IF('1. Live'!AO120='check-Jul25'!AO120,"",'1. Live'!AO120-'check-Jul25'!AO120)</f>
        <v/>
      </c>
      <c r="AP120" t="str">
        <f>IF('1. Live'!AP120='check-Jul25'!AP120,"",'1. Live'!AP120-'check-Jul25'!AP120)</f>
        <v/>
      </c>
      <c r="AQ120" t="str">
        <f>IF('1. Live'!AQ120='check-Jul25'!AQ120,"",'1. Live'!AQ120-'check-Jul25'!AQ120)</f>
        <v/>
      </c>
      <c r="AR120" t="str">
        <f>IF('1. Live'!AR120='check-Jul25'!AR120,"",'1. Live'!AR120-'check-Jul25'!AR120)</f>
        <v/>
      </c>
      <c r="AS120" t="str">
        <f>IF('1. Live'!AS120='check-Jul25'!AS120,"",'1. Live'!AS120-'check-Jul25'!AS120)</f>
        <v/>
      </c>
      <c r="AT120" t="str">
        <f>IF('1. Live'!AT120='check-Jul25'!AT120,"",'1. Live'!AT120-'check-Jul25'!AT120)</f>
        <v/>
      </c>
      <c r="AU120" t="str">
        <f>IF('1. Live'!AU120='check-Jul25'!AU120,"",'1. Live'!AU120-'check-Jul25'!AU120)</f>
        <v/>
      </c>
      <c r="AV120" t="str">
        <f>IF('1. Live'!AV120='check-Jul25'!AV120,"",'1. Live'!AV120-'check-Jul25'!AV120)</f>
        <v/>
      </c>
      <c r="AW120" t="str">
        <f>IF('1. Live'!AW120='check-Jul25'!AW120,"",'1. Live'!AW120-'check-Jul25'!AW120)</f>
        <v/>
      </c>
      <c r="AX120" t="str">
        <f>IF('1. Live'!AX120='check-Jul25'!AX120,"",'1. Live'!AX120-'check-Jul25'!AX120)</f>
        <v/>
      </c>
      <c r="AY120" t="str">
        <f>IF('1. Live'!AY120='check-Jul25'!AY120,"",'1. Live'!AY120-'check-Jul25'!AY120)</f>
        <v/>
      </c>
      <c r="AZ120" t="str">
        <f>IF('1. Live'!AZ120='check-Jul25'!AZ120,"",'1. Live'!AZ120-'check-Jul25'!AZ120)</f>
        <v/>
      </c>
      <c r="BA120" t="str">
        <f>IF('1. Live'!BA120='check-Jul25'!BA120,"",'1. Live'!BA120-'check-Jul25'!BA120)</f>
        <v/>
      </c>
      <c r="BB120" t="str">
        <f>IF('1. Live'!BB120='check-Jul25'!BB120,"",'1. Live'!BB120-'check-Jul25'!BB120)</f>
        <v/>
      </c>
      <c r="BC120" t="str">
        <f>IF('1. Live'!BC120='check-Jul25'!BC120,"",'1. Live'!BC120-'check-Jul25'!BC120)</f>
        <v/>
      </c>
      <c r="BD120" t="str">
        <f>IF('1. Live'!BD120='check-Jul25'!BD120,"",'1. Live'!BD120-'check-Jul25'!BD120)</f>
        <v/>
      </c>
      <c r="BE120" t="str">
        <f>IF('1. Live'!BE120='check-Jul25'!BE120,"",'1. Live'!BE120-'check-Jul25'!BE120)</f>
        <v/>
      </c>
      <c r="BF120" t="str">
        <f>IF('1. Live'!BF120='check-Jul25'!BF120,"",'1. Live'!BF120-'check-Jul25'!BF120)</f>
        <v/>
      </c>
      <c r="BG120" t="str">
        <f>IF('1. Live'!BG120='check-Jul25'!BG120,"",'1. Live'!BG120-'check-Jul25'!BG120)</f>
        <v/>
      </c>
      <c r="BH120" t="str">
        <f>IF('1. Live'!BH120='check-Jul25'!BH120,"",'1. Live'!BH120-'check-Jul25'!BH120)</f>
        <v/>
      </c>
      <c r="BI120" t="str">
        <f>IF('1. Live'!BI120='check-Jul25'!BI120,"",'1. Live'!BI120-'check-Jul25'!BI120)</f>
        <v/>
      </c>
      <c r="BJ120" t="str">
        <f>IF('1. Live'!BJ120='check-Jul25'!BJ120,"",'1. Live'!BJ120-'check-Jul25'!BJ120)</f>
        <v/>
      </c>
      <c r="BK120" t="str">
        <f>IF('1. Live'!BK120='check-Jul25'!BK120,"",'1. Live'!BK120-'check-Jul25'!BK120)</f>
        <v/>
      </c>
      <c r="BL120" t="str">
        <f>IF('1. Live'!BL120='check-Jul25'!BL120,"",'1. Live'!BL120-'check-Jul25'!BL120)</f>
        <v/>
      </c>
      <c r="BM120" t="str">
        <f>IF('1. Live'!BM120='check-Jul25'!BM120,"",'1. Live'!BM120-'check-Jul25'!BM120)</f>
        <v/>
      </c>
      <c r="BN120" t="str">
        <f>IF('1. Live'!BN120='check-Jul25'!BN120,"",'1. Live'!BN120-'check-Jul25'!BN120)</f>
        <v/>
      </c>
      <c r="BO120" t="str">
        <f>IF('1. Live'!BO120='check-Jul25'!BO120,"",'1. Live'!BO120-'check-Jul25'!BO120)</f>
        <v/>
      </c>
      <c r="BP120" t="str">
        <f>IF('1. Live'!BP120='check-Jul25'!BP120,"",'1. Live'!BP120-'check-Jul25'!BP120)</f>
        <v/>
      </c>
      <c r="BQ120" t="str">
        <f>IF('1. Live'!BQ120='check-Jul25'!BQ120,"",'1. Live'!BQ120-'check-Jul25'!BQ120)</f>
        <v/>
      </c>
      <c r="BR120" t="str">
        <f>IF('1. Live'!BR120='check-Jul25'!BR120,"",'1. Live'!BR120-'check-Jul25'!BR120)</f>
        <v/>
      </c>
      <c r="BS120" t="str">
        <f>IF('1. Live'!BS120='check-Jul25'!BS120,"",'1. Live'!BS120-'check-Jul25'!BS120)</f>
        <v/>
      </c>
      <c r="BT120" t="str">
        <f>IF('1. Live'!BT120='check-Jul25'!BT120,"",'1. Live'!BT120-'check-Jul25'!BT120)</f>
        <v/>
      </c>
      <c r="BU120" t="str">
        <f>IF('1. Live'!BU120='check-Jul25'!BU120,"",'1. Live'!BU120-'check-Jul25'!BU120)</f>
        <v/>
      </c>
      <c r="BV120" t="str">
        <f>IF('1. Live'!BV120='check-Jul25'!BV120,"",'1. Live'!BV120-'check-Jul25'!BV120)</f>
        <v/>
      </c>
      <c r="BW120" t="str">
        <f>IF('1. Live'!BW120='check-Jul25'!BW120,"",'1. Live'!BW120-'check-Jul25'!BW120)</f>
        <v/>
      </c>
      <c r="BX120" t="str">
        <f>IF('1. Live'!BX120='check-Jul25'!BX120,"",'1. Live'!BX120-'check-Jul25'!BX120)</f>
        <v/>
      </c>
      <c r="BY120" t="str">
        <f>IF('1. Live'!BY120='check-Jul25'!BY120,"",'1. Live'!BY120-'check-Jul25'!BY120)</f>
        <v/>
      </c>
      <c r="BZ120" t="str">
        <f>IF('1. Live'!BZ120='check-Jul25'!BZ120,"",'1. Live'!BZ120-'check-Jul25'!BZ120)</f>
        <v/>
      </c>
      <c r="CA120" t="str">
        <f>IF('1. Live'!CA120='check-Jul25'!CA120,"",'1. Live'!CA120-'check-Jul25'!CA120)</f>
        <v/>
      </c>
      <c r="CB120" t="str">
        <f>IF('1. Live'!CB120='check-Jul25'!CB120,"",'1. Live'!CB120-'check-Jul25'!CB120)</f>
        <v/>
      </c>
      <c r="CC120" t="str">
        <f>IF('1. Live'!CC120='check-Jul25'!CC120,"",'1. Live'!CC120-'check-Jul25'!CC120)</f>
        <v/>
      </c>
      <c r="CD120" t="str">
        <f>IF('1. Live'!CD120='check-Jul25'!CD120,"",'1. Live'!CD120-'check-Jul25'!CD120)</f>
        <v/>
      </c>
      <c r="CE120" t="str">
        <f>IF('1. Live'!CE120='check-Jul25'!CE120,"",'1. Live'!CE120-'check-Jul25'!CE120)</f>
        <v/>
      </c>
      <c r="CF120" t="str">
        <f>IF('1. Live'!CF120='check-Jul25'!CF120,"",'1. Live'!CF120-'check-Jul25'!CF120)</f>
        <v/>
      </c>
      <c r="CG120" t="str">
        <f>IF('1. Live'!CG120='check-Jul25'!CG120,"",'1. Live'!CG120-'check-Jul25'!CG120)</f>
        <v/>
      </c>
      <c r="CH120" t="str">
        <f>IF('1. Live'!CH120='check-Jul25'!CH120,"",'1. Live'!CH120-'check-Jul25'!CH120)</f>
        <v/>
      </c>
      <c r="CI120" t="str">
        <f>IF('1. Live'!CI120='check-Jul25'!CI120,"",'1. Live'!CI120-'check-Jul25'!CI120)</f>
        <v/>
      </c>
      <c r="CJ120" t="str">
        <f>IF('1. Live'!CJ120='check-Jul25'!CJ120,"",'1. Live'!CJ120-'check-Jul25'!CJ120)</f>
        <v/>
      </c>
      <c r="CK120" t="str">
        <f>IF('1. Live'!CK120='check-Jul25'!CK120,"",'1. Live'!CK120-'check-Jul25'!CK120)</f>
        <v/>
      </c>
      <c r="CL120" t="str">
        <f>IF('1. Live'!CL120='check-Jul25'!CL120,"",'1. Live'!CL120-'check-Jul25'!CL120)</f>
        <v/>
      </c>
      <c r="CM120" t="str">
        <f>IF('1. Live'!CM120='check-Jul25'!CM120,"",'1. Live'!CM120-'check-Jul25'!CM120)</f>
        <v/>
      </c>
      <c r="CN120" t="str">
        <f>IF('1. Live'!CN120='check-Jul25'!CN120,"",'1. Live'!CN120-'check-Jul25'!CN120)</f>
        <v/>
      </c>
      <c r="CO120" t="str">
        <f>IF('1. Live'!CO120='check-Jul25'!CO120,"",'1. Live'!CO120-'check-Jul25'!CO120)</f>
        <v/>
      </c>
      <c r="CP120" t="str">
        <f>IF('1. Live'!CP120='check-Jul25'!CP120,"",'1. Live'!CP120-'check-Jul25'!CP120)</f>
        <v/>
      </c>
      <c r="CQ120" t="str">
        <f>IF('1. Live'!CQ120='check-Jul25'!CQ120,"",'1. Live'!CQ120-'check-Jul25'!CQ120)</f>
        <v/>
      </c>
      <c r="CR120" t="str">
        <f>IF('1. Live'!CR120='check-Jul25'!CR120,"",'1. Live'!CR120-'check-Jul25'!CR120)</f>
        <v/>
      </c>
      <c r="CS120" t="str">
        <f>IF('1. Live'!CS120='check-Jul25'!CS120,"",'1. Live'!CS120-'check-Jul25'!CS120)</f>
        <v/>
      </c>
      <c r="CT120" t="str">
        <f>IF('1. Live'!CT120='check-Jul25'!CT120,"",'1. Live'!CT120-'check-Jul25'!CT120)</f>
        <v/>
      </c>
      <c r="CU120" t="str">
        <f>IF('1. Live'!CU120='check-Jul25'!CU120,"",'1. Live'!CU120-'check-Jul25'!CU120)</f>
        <v/>
      </c>
      <c r="CV120" t="str">
        <f>IF('1. Live'!CV120='check-Jul25'!CV120,"",'1. Live'!CV120-'check-Jul25'!CV120)</f>
        <v/>
      </c>
      <c r="CW120" t="str">
        <f>IF('1. Live'!CW120='check-Jul25'!CW120,"",'1. Live'!CW120-'check-Jul25'!CW120)</f>
        <v/>
      </c>
    </row>
    <row r="121" spans="10:101">
      <c r="J121" t="str">
        <f>IF('1. Live'!J121='check-Jul25'!J121,"",'1. Live'!J121-'check-Jul25'!J121)</f>
        <v/>
      </c>
      <c r="K121" t="str">
        <f>IF('1. Live'!K121='check-Jul25'!K121,"",'1. Live'!K121-'check-Jul25'!K121)</f>
        <v/>
      </c>
      <c r="L121" t="str">
        <f>IF('1. Live'!L121='check-Jul25'!L121,"",'1. Live'!L121-'check-Jul25'!L121)</f>
        <v/>
      </c>
      <c r="M121" t="str">
        <f>IF('1. Live'!M121='check-Jul25'!M121,"",'1. Live'!M121-'check-Jul25'!M121)</f>
        <v/>
      </c>
      <c r="N121" t="str">
        <f>IF('1. Live'!N121='check-Jul25'!N121,"",'1. Live'!N121-'check-Jul25'!N121)</f>
        <v/>
      </c>
      <c r="O121" t="str">
        <f>IF('1. Live'!O121='check-Jul25'!O121,"",'1. Live'!O121-'check-Jul25'!O121)</f>
        <v/>
      </c>
      <c r="P121" t="str">
        <f>IF('1. Live'!P121='check-Jul25'!P121,"",'1. Live'!P121-'check-Jul25'!P121)</f>
        <v/>
      </c>
      <c r="Q121" t="str">
        <f>IF('1. Live'!Q121='check-Jul25'!Q121,"",'1. Live'!Q121-'check-Jul25'!Q121)</f>
        <v/>
      </c>
      <c r="R121" t="str">
        <f>IF('1. Live'!R121='check-Jul25'!R121,"",'1. Live'!R121-'check-Jul25'!R121)</f>
        <v/>
      </c>
      <c r="S121" t="str">
        <f>IF('1. Live'!S121='check-Jul25'!S121,"",'1. Live'!S121-'check-Jul25'!S121)</f>
        <v/>
      </c>
      <c r="T121" t="str">
        <f>IF('1. Live'!T121='check-Jul25'!T121,"",'1. Live'!T121-'check-Jul25'!T121)</f>
        <v/>
      </c>
      <c r="U121" t="str">
        <f>IF('1. Live'!U121='check-Jul25'!U121,"",'1. Live'!U121-'check-Jul25'!U121)</f>
        <v/>
      </c>
      <c r="V121" t="str">
        <f>IF('1. Live'!V121='check-Jul25'!V121,"",'1. Live'!V121-'check-Jul25'!V121)</f>
        <v/>
      </c>
      <c r="W121" t="str">
        <f>IF('1. Live'!W121='check-Jul25'!W121,"",'1. Live'!W121-'check-Jul25'!W121)</f>
        <v/>
      </c>
      <c r="X121" t="str">
        <f>IF('1. Live'!X121='check-Jul25'!X121,"",'1. Live'!X121-'check-Jul25'!X121)</f>
        <v/>
      </c>
      <c r="Y121" t="str">
        <f>IF('1. Live'!Y121='check-Jul25'!Y121,"",'1. Live'!Y121-'check-Jul25'!Y121)</f>
        <v/>
      </c>
      <c r="Z121" t="str">
        <f>IF('1. Live'!Z121='check-Jul25'!Z121,"",'1. Live'!Z121-'check-Jul25'!Z121)</f>
        <v/>
      </c>
      <c r="AA121" t="str">
        <f>IF('1. Live'!AA121='check-Jul25'!AA121,"",'1. Live'!AA121-'check-Jul25'!AA121)</f>
        <v/>
      </c>
      <c r="AB121" t="str">
        <f>IF('1. Live'!AB121='check-Jul25'!AB121,"",'1. Live'!AB121-'check-Jul25'!AB121)</f>
        <v/>
      </c>
      <c r="AC121" t="str">
        <f>IF('1. Live'!AC121='check-Jul25'!AC121,"",'1. Live'!AC121-'check-Jul25'!AC121)</f>
        <v/>
      </c>
      <c r="AD121" t="str">
        <f>IF('1. Live'!AD121='check-Jul25'!AD121,"",'1. Live'!AD121-'check-Jul25'!AD121)</f>
        <v/>
      </c>
      <c r="AE121" t="str">
        <f>IF('1. Live'!AE121='check-Jul25'!AE121,"",'1. Live'!AE121-'check-Jul25'!AE121)</f>
        <v/>
      </c>
      <c r="AF121" t="str">
        <f>IF('1. Live'!AF121='check-Jul25'!AF121,"",'1. Live'!AF121-'check-Jul25'!AF121)</f>
        <v/>
      </c>
      <c r="AG121" t="str">
        <f>IF('1. Live'!AG121='check-Jul25'!AG121,"",'1. Live'!AG121-'check-Jul25'!AG121)</f>
        <v/>
      </c>
      <c r="AH121" t="str">
        <f>IF('1. Live'!AH121='check-Jul25'!AH121,"",'1. Live'!AH121-'check-Jul25'!AH121)</f>
        <v/>
      </c>
      <c r="AI121" t="str">
        <f>IF('1. Live'!AI121='check-Jul25'!AI121,"",'1. Live'!AI121-'check-Jul25'!AI121)</f>
        <v/>
      </c>
      <c r="AJ121" t="str">
        <f>IF('1. Live'!AJ121='check-Jul25'!AJ121,"",'1. Live'!AJ121-'check-Jul25'!AJ121)</f>
        <v/>
      </c>
      <c r="AK121" t="str">
        <f>IF('1. Live'!AK121='check-Jul25'!AK121,"",'1. Live'!AK121-'check-Jul25'!AK121)</f>
        <v/>
      </c>
      <c r="AL121" t="str">
        <f>IF('1. Live'!AL121='check-Jul25'!AL121,"",'1. Live'!AL121-'check-Jul25'!AL121)</f>
        <v/>
      </c>
      <c r="AM121" t="str">
        <f>IF('1. Live'!AM121='check-Jul25'!AM121,"",'1. Live'!AM121-'check-Jul25'!AM121)</f>
        <v/>
      </c>
      <c r="AN121" t="str">
        <f>IF('1. Live'!AN121='check-Jul25'!AN121,"",'1. Live'!AN121-'check-Jul25'!AN121)</f>
        <v/>
      </c>
      <c r="AO121" t="str">
        <f>IF('1. Live'!AO121='check-Jul25'!AO121,"",'1. Live'!AO121-'check-Jul25'!AO121)</f>
        <v/>
      </c>
      <c r="AP121" t="str">
        <f>IF('1. Live'!AP121='check-Jul25'!AP121,"",'1. Live'!AP121-'check-Jul25'!AP121)</f>
        <v/>
      </c>
      <c r="AQ121" t="str">
        <f>IF('1. Live'!AQ121='check-Jul25'!AQ121,"",'1. Live'!AQ121-'check-Jul25'!AQ121)</f>
        <v/>
      </c>
      <c r="AR121" t="str">
        <f>IF('1. Live'!AR121='check-Jul25'!AR121,"",'1. Live'!AR121-'check-Jul25'!AR121)</f>
        <v/>
      </c>
      <c r="AS121" t="str">
        <f>IF('1. Live'!AS121='check-Jul25'!AS121,"",'1. Live'!AS121-'check-Jul25'!AS121)</f>
        <v/>
      </c>
      <c r="AT121" t="str">
        <f>IF('1. Live'!AT121='check-Jul25'!AT121,"",'1. Live'!AT121-'check-Jul25'!AT121)</f>
        <v/>
      </c>
      <c r="AU121" t="str">
        <f>IF('1. Live'!AU121='check-Jul25'!AU121,"",'1. Live'!AU121-'check-Jul25'!AU121)</f>
        <v/>
      </c>
      <c r="AV121" t="str">
        <f>IF('1. Live'!AV121='check-Jul25'!AV121,"",'1. Live'!AV121-'check-Jul25'!AV121)</f>
        <v/>
      </c>
      <c r="AW121" t="str">
        <f>IF('1. Live'!AW121='check-Jul25'!AW121,"",'1. Live'!AW121-'check-Jul25'!AW121)</f>
        <v/>
      </c>
      <c r="AX121" t="str">
        <f>IF('1. Live'!AX121='check-Jul25'!AX121,"",'1. Live'!AX121-'check-Jul25'!AX121)</f>
        <v/>
      </c>
      <c r="AY121" t="str">
        <f>IF('1. Live'!AY121='check-Jul25'!AY121,"",'1. Live'!AY121-'check-Jul25'!AY121)</f>
        <v/>
      </c>
      <c r="AZ121" t="str">
        <f>IF('1. Live'!AZ121='check-Jul25'!AZ121,"",'1. Live'!AZ121-'check-Jul25'!AZ121)</f>
        <v/>
      </c>
      <c r="BA121" t="str">
        <f>IF('1. Live'!BA121='check-Jul25'!BA121,"",'1. Live'!BA121-'check-Jul25'!BA121)</f>
        <v/>
      </c>
      <c r="BB121" t="str">
        <f>IF('1. Live'!BB121='check-Jul25'!BB121,"",'1. Live'!BB121-'check-Jul25'!BB121)</f>
        <v/>
      </c>
      <c r="BC121" t="str">
        <f>IF('1. Live'!BC121='check-Jul25'!BC121,"",'1. Live'!BC121-'check-Jul25'!BC121)</f>
        <v/>
      </c>
      <c r="BD121" t="str">
        <f>IF('1. Live'!BD121='check-Jul25'!BD121,"",'1. Live'!BD121-'check-Jul25'!BD121)</f>
        <v/>
      </c>
      <c r="BE121" t="str">
        <f>IF('1. Live'!BE121='check-Jul25'!BE121,"",'1. Live'!BE121-'check-Jul25'!BE121)</f>
        <v/>
      </c>
      <c r="BF121" t="str">
        <f>IF('1. Live'!BF121='check-Jul25'!BF121,"",'1. Live'!BF121-'check-Jul25'!BF121)</f>
        <v/>
      </c>
      <c r="BG121" t="str">
        <f>IF('1. Live'!BG121='check-Jul25'!BG121,"",'1. Live'!BG121-'check-Jul25'!BG121)</f>
        <v/>
      </c>
      <c r="BH121" t="str">
        <f>IF('1. Live'!BH121='check-Jul25'!BH121,"",'1. Live'!BH121-'check-Jul25'!BH121)</f>
        <v/>
      </c>
      <c r="BI121" t="str">
        <f>IF('1. Live'!BI121='check-Jul25'!BI121,"",'1. Live'!BI121-'check-Jul25'!BI121)</f>
        <v/>
      </c>
      <c r="BJ121" t="str">
        <f>IF('1. Live'!BJ121='check-Jul25'!BJ121,"",'1. Live'!BJ121-'check-Jul25'!BJ121)</f>
        <v/>
      </c>
      <c r="BK121" t="str">
        <f>IF('1. Live'!BK121='check-Jul25'!BK121,"",'1. Live'!BK121-'check-Jul25'!BK121)</f>
        <v/>
      </c>
      <c r="BL121" t="str">
        <f>IF('1. Live'!BL121='check-Jul25'!BL121,"",'1. Live'!BL121-'check-Jul25'!BL121)</f>
        <v/>
      </c>
      <c r="BM121" t="str">
        <f>IF('1. Live'!BM121='check-Jul25'!BM121,"",'1. Live'!BM121-'check-Jul25'!BM121)</f>
        <v/>
      </c>
      <c r="BN121" t="str">
        <f>IF('1. Live'!BN121='check-Jul25'!BN121,"",'1. Live'!BN121-'check-Jul25'!BN121)</f>
        <v/>
      </c>
      <c r="BO121" t="str">
        <f>IF('1. Live'!BO121='check-Jul25'!BO121,"",'1. Live'!BO121-'check-Jul25'!BO121)</f>
        <v/>
      </c>
      <c r="BP121" t="str">
        <f>IF('1. Live'!BP121='check-Jul25'!BP121,"",'1. Live'!BP121-'check-Jul25'!BP121)</f>
        <v/>
      </c>
      <c r="BQ121" t="str">
        <f>IF('1. Live'!BQ121='check-Jul25'!BQ121,"",'1. Live'!BQ121-'check-Jul25'!BQ121)</f>
        <v/>
      </c>
      <c r="BR121" t="str">
        <f>IF('1. Live'!BR121='check-Jul25'!BR121,"",'1. Live'!BR121-'check-Jul25'!BR121)</f>
        <v/>
      </c>
      <c r="BS121" t="str">
        <f>IF('1. Live'!BS121='check-Jul25'!BS121,"",'1. Live'!BS121-'check-Jul25'!BS121)</f>
        <v/>
      </c>
      <c r="BT121" t="str">
        <f>IF('1. Live'!BT121='check-Jul25'!BT121,"",'1. Live'!BT121-'check-Jul25'!BT121)</f>
        <v/>
      </c>
      <c r="BU121" t="str">
        <f>IF('1. Live'!BU121='check-Jul25'!BU121,"",'1. Live'!BU121-'check-Jul25'!BU121)</f>
        <v/>
      </c>
      <c r="BV121" t="str">
        <f>IF('1. Live'!BV121='check-Jul25'!BV121,"",'1. Live'!BV121-'check-Jul25'!BV121)</f>
        <v/>
      </c>
      <c r="BW121" t="str">
        <f>IF('1. Live'!BW121='check-Jul25'!BW121,"",'1. Live'!BW121-'check-Jul25'!BW121)</f>
        <v/>
      </c>
      <c r="BX121" t="str">
        <f>IF('1. Live'!BX121='check-Jul25'!BX121,"",'1. Live'!BX121-'check-Jul25'!BX121)</f>
        <v/>
      </c>
      <c r="BY121" t="str">
        <f>IF('1. Live'!BY121='check-Jul25'!BY121,"",'1. Live'!BY121-'check-Jul25'!BY121)</f>
        <v/>
      </c>
      <c r="BZ121" t="str">
        <f>IF('1. Live'!BZ121='check-Jul25'!BZ121,"",'1. Live'!BZ121-'check-Jul25'!BZ121)</f>
        <v/>
      </c>
      <c r="CA121" t="str">
        <f>IF('1. Live'!CA121='check-Jul25'!CA121,"",'1. Live'!CA121-'check-Jul25'!CA121)</f>
        <v/>
      </c>
      <c r="CB121" t="str">
        <f>IF('1. Live'!CB121='check-Jul25'!CB121,"",'1. Live'!CB121-'check-Jul25'!CB121)</f>
        <v/>
      </c>
      <c r="CC121" t="str">
        <f>IF('1. Live'!CC121='check-Jul25'!CC121,"",'1. Live'!CC121-'check-Jul25'!CC121)</f>
        <v/>
      </c>
      <c r="CD121" t="str">
        <f>IF('1. Live'!CD121='check-Jul25'!CD121,"",'1. Live'!CD121-'check-Jul25'!CD121)</f>
        <v/>
      </c>
      <c r="CE121" t="str">
        <f>IF('1. Live'!CE121='check-Jul25'!CE121,"",'1. Live'!CE121-'check-Jul25'!CE121)</f>
        <v/>
      </c>
      <c r="CF121" t="str">
        <f>IF('1. Live'!CF121='check-Jul25'!CF121,"",'1. Live'!CF121-'check-Jul25'!CF121)</f>
        <v/>
      </c>
      <c r="CG121" t="str">
        <f>IF('1. Live'!CG121='check-Jul25'!CG121,"",'1. Live'!CG121-'check-Jul25'!CG121)</f>
        <v/>
      </c>
      <c r="CH121" t="str">
        <f>IF('1. Live'!CH121='check-Jul25'!CH121,"",'1. Live'!CH121-'check-Jul25'!CH121)</f>
        <v/>
      </c>
      <c r="CI121" t="str">
        <f>IF('1. Live'!CI121='check-Jul25'!CI121,"",'1. Live'!CI121-'check-Jul25'!CI121)</f>
        <v/>
      </c>
      <c r="CJ121" t="str">
        <f>IF('1. Live'!CJ121='check-Jul25'!CJ121,"",'1. Live'!CJ121-'check-Jul25'!CJ121)</f>
        <v/>
      </c>
      <c r="CK121" t="str">
        <f>IF('1. Live'!CK121='check-Jul25'!CK121,"",'1. Live'!CK121-'check-Jul25'!CK121)</f>
        <v/>
      </c>
      <c r="CL121" t="str">
        <f>IF('1. Live'!CL121='check-Jul25'!CL121,"",'1. Live'!CL121-'check-Jul25'!CL121)</f>
        <v/>
      </c>
      <c r="CM121" t="str">
        <f>IF('1. Live'!CM121='check-Jul25'!CM121,"",'1. Live'!CM121-'check-Jul25'!CM121)</f>
        <v/>
      </c>
      <c r="CN121" t="str">
        <f>IF('1. Live'!CN121='check-Jul25'!CN121,"",'1. Live'!CN121-'check-Jul25'!CN121)</f>
        <v/>
      </c>
      <c r="CO121" t="str">
        <f>IF('1. Live'!CO121='check-Jul25'!CO121,"",'1. Live'!CO121-'check-Jul25'!CO121)</f>
        <v/>
      </c>
      <c r="CP121" t="str">
        <f>IF('1. Live'!CP121='check-Jul25'!CP121,"",'1. Live'!CP121-'check-Jul25'!CP121)</f>
        <v/>
      </c>
      <c r="CQ121" t="str">
        <f>IF('1. Live'!CQ121='check-Jul25'!CQ121,"",'1. Live'!CQ121-'check-Jul25'!CQ121)</f>
        <v/>
      </c>
      <c r="CR121" t="str">
        <f>IF('1. Live'!CR121='check-Jul25'!CR121,"",'1. Live'!CR121-'check-Jul25'!CR121)</f>
        <v/>
      </c>
      <c r="CS121" t="str">
        <f>IF('1. Live'!CS121='check-Jul25'!CS121,"",'1. Live'!CS121-'check-Jul25'!CS121)</f>
        <v/>
      </c>
      <c r="CT121" t="str">
        <f>IF('1. Live'!CT121='check-Jul25'!CT121,"",'1. Live'!CT121-'check-Jul25'!CT121)</f>
        <v/>
      </c>
      <c r="CU121" t="str">
        <f>IF('1. Live'!CU121='check-Jul25'!CU121,"",'1. Live'!CU121-'check-Jul25'!CU121)</f>
        <v/>
      </c>
      <c r="CV121" t="str">
        <f>IF('1. Live'!CV121='check-Jul25'!CV121,"",'1. Live'!CV121-'check-Jul25'!CV121)</f>
        <v/>
      </c>
      <c r="CW121" t="str">
        <f>IF('1. Live'!CW121='check-Jul25'!CW121,"",'1. Live'!CW121-'check-Jul25'!CW121)</f>
        <v/>
      </c>
    </row>
    <row r="122" spans="10:101">
      <c r="J122" t="str">
        <f>IF('1. Live'!J122='check-Jul25'!J122,"",'1. Live'!J122-'check-Jul25'!J122)</f>
        <v/>
      </c>
      <c r="K122" t="str">
        <f>IF('1. Live'!K122='check-Jul25'!K122,"",'1. Live'!K122-'check-Jul25'!K122)</f>
        <v/>
      </c>
      <c r="L122" t="str">
        <f>IF('1. Live'!L122='check-Jul25'!L122,"",'1. Live'!L122-'check-Jul25'!L122)</f>
        <v/>
      </c>
      <c r="M122" t="str">
        <f>IF('1. Live'!M122='check-Jul25'!M122,"",'1. Live'!M122-'check-Jul25'!M122)</f>
        <v/>
      </c>
      <c r="N122" t="str">
        <f>IF('1. Live'!N122='check-Jul25'!N122,"",'1. Live'!N122-'check-Jul25'!N122)</f>
        <v/>
      </c>
      <c r="O122" t="str">
        <f>IF('1. Live'!O122='check-Jul25'!O122,"",'1. Live'!O122-'check-Jul25'!O122)</f>
        <v/>
      </c>
      <c r="P122" t="str">
        <f>IF('1. Live'!P122='check-Jul25'!P122,"",'1. Live'!P122-'check-Jul25'!P122)</f>
        <v/>
      </c>
      <c r="Q122" t="str">
        <f>IF('1. Live'!Q122='check-Jul25'!Q122,"",'1. Live'!Q122-'check-Jul25'!Q122)</f>
        <v/>
      </c>
      <c r="R122" t="str">
        <f>IF('1. Live'!R122='check-Jul25'!R122,"",'1. Live'!R122-'check-Jul25'!R122)</f>
        <v/>
      </c>
      <c r="S122" t="str">
        <f>IF('1. Live'!S122='check-Jul25'!S122,"",'1. Live'!S122-'check-Jul25'!S122)</f>
        <v/>
      </c>
      <c r="T122" t="str">
        <f>IF('1. Live'!T122='check-Jul25'!T122,"",'1. Live'!T122-'check-Jul25'!T122)</f>
        <v/>
      </c>
      <c r="U122" t="str">
        <f>IF('1. Live'!U122='check-Jul25'!U122,"",'1. Live'!U122-'check-Jul25'!U122)</f>
        <v/>
      </c>
      <c r="V122" t="str">
        <f>IF('1. Live'!V122='check-Jul25'!V122,"",'1. Live'!V122-'check-Jul25'!V122)</f>
        <v/>
      </c>
      <c r="W122" t="str">
        <f>IF('1. Live'!W122='check-Jul25'!W122,"",'1. Live'!W122-'check-Jul25'!W122)</f>
        <v/>
      </c>
      <c r="X122" t="str">
        <f>IF('1. Live'!X122='check-Jul25'!X122,"",'1. Live'!X122-'check-Jul25'!X122)</f>
        <v/>
      </c>
      <c r="Y122" t="str">
        <f>IF('1. Live'!Y122='check-Jul25'!Y122,"",'1. Live'!Y122-'check-Jul25'!Y122)</f>
        <v/>
      </c>
      <c r="Z122" t="str">
        <f>IF('1. Live'!Z122='check-Jul25'!Z122,"",'1. Live'!Z122-'check-Jul25'!Z122)</f>
        <v/>
      </c>
      <c r="AA122" t="str">
        <f>IF('1. Live'!AA122='check-Jul25'!AA122,"",'1. Live'!AA122-'check-Jul25'!AA122)</f>
        <v/>
      </c>
      <c r="AB122" t="str">
        <f>IF('1. Live'!AB122='check-Jul25'!AB122,"",'1. Live'!AB122-'check-Jul25'!AB122)</f>
        <v/>
      </c>
      <c r="AC122" t="str">
        <f>IF('1. Live'!AC122='check-Jul25'!AC122,"",'1. Live'!AC122-'check-Jul25'!AC122)</f>
        <v/>
      </c>
      <c r="AD122" t="str">
        <f>IF('1. Live'!AD122='check-Jul25'!AD122,"",'1. Live'!AD122-'check-Jul25'!AD122)</f>
        <v/>
      </c>
      <c r="AE122" t="str">
        <f>IF('1. Live'!AE122='check-Jul25'!AE122,"",'1. Live'!AE122-'check-Jul25'!AE122)</f>
        <v/>
      </c>
      <c r="AF122" t="str">
        <f>IF('1. Live'!AF122='check-Jul25'!AF122,"",'1. Live'!AF122-'check-Jul25'!AF122)</f>
        <v/>
      </c>
      <c r="AG122" t="str">
        <f>IF('1. Live'!AG122='check-Jul25'!AG122,"",'1. Live'!AG122-'check-Jul25'!AG122)</f>
        <v/>
      </c>
      <c r="AH122" t="str">
        <f>IF('1. Live'!AH122='check-Jul25'!AH122,"",'1. Live'!AH122-'check-Jul25'!AH122)</f>
        <v/>
      </c>
      <c r="AI122" t="str">
        <f>IF('1. Live'!AI122='check-Jul25'!AI122,"",'1. Live'!AI122-'check-Jul25'!AI122)</f>
        <v/>
      </c>
      <c r="AJ122" t="str">
        <f>IF('1. Live'!AJ122='check-Jul25'!AJ122,"",'1. Live'!AJ122-'check-Jul25'!AJ122)</f>
        <v/>
      </c>
      <c r="AK122" t="str">
        <f>IF('1. Live'!AK122='check-Jul25'!AK122,"",'1. Live'!AK122-'check-Jul25'!AK122)</f>
        <v/>
      </c>
      <c r="AL122" t="str">
        <f>IF('1. Live'!AL122='check-Jul25'!AL122,"",'1. Live'!AL122-'check-Jul25'!AL122)</f>
        <v/>
      </c>
      <c r="AM122" t="str">
        <f>IF('1. Live'!AM122='check-Jul25'!AM122,"",'1. Live'!AM122-'check-Jul25'!AM122)</f>
        <v/>
      </c>
      <c r="AN122" t="str">
        <f>IF('1. Live'!AN122='check-Jul25'!AN122,"",'1. Live'!AN122-'check-Jul25'!AN122)</f>
        <v/>
      </c>
      <c r="AO122" t="str">
        <f>IF('1. Live'!AO122='check-Jul25'!AO122,"",'1. Live'!AO122-'check-Jul25'!AO122)</f>
        <v/>
      </c>
      <c r="AP122" t="str">
        <f>IF('1. Live'!AP122='check-Jul25'!AP122,"",'1. Live'!AP122-'check-Jul25'!AP122)</f>
        <v/>
      </c>
      <c r="AQ122" t="str">
        <f>IF('1. Live'!AQ122='check-Jul25'!AQ122,"",'1. Live'!AQ122-'check-Jul25'!AQ122)</f>
        <v/>
      </c>
      <c r="AR122" t="str">
        <f>IF('1. Live'!AR122='check-Jul25'!AR122,"",'1. Live'!AR122-'check-Jul25'!AR122)</f>
        <v/>
      </c>
      <c r="AS122" t="str">
        <f>IF('1. Live'!AS122='check-Jul25'!AS122,"",'1. Live'!AS122-'check-Jul25'!AS122)</f>
        <v/>
      </c>
      <c r="AT122" t="str">
        <f>IF('1. Live'!AT122='check-Jul25'!AT122,"",'1. Live'!AT122-'check-Jul25'!AT122)</f>
        <v/>
      </c>
      <c r="AU122" t="str">
        <f>IF('1. Live'!AU122='check-Jul25'!AU122,"",'1. Live'!AU122-'check-Jul25'!AU122)</f>
        <v/>
      </c>
      <c r="AV122" t="str">
        <f>IF('1. Live'!AV122='check-Jul25'!AV122,"",'1. Live'!AV122-'check-Jul25'!AV122)</f>
        <v/>
      </c>
      <c r="AW122" t="str">
        <f>IF('1. Live'!AW122='check-Jul25'!AW122,"",'1. Live'!AW122-'check-Jul25'!AW122)</f>
        <v/>
      </c>
      <c r="AX122" t="str">
        <f>IF('1. Live'!AX122='check-Jul25'!AX122,"",'1. Live'!AX122-'check-Jul25'!AX122)</f>
        <v/>
      </c>
      <c r="AY122" t="str">
        <f>IF('1. Live'!AY122='check-Jul25'!AY122,"",'1. Live'!AY122-'check-Jul25'!AY122)</f>
        <v/>
      </c>
      <c r="AZ122" t="str">
        <f>IF('1. Live'!AZ122='check-Jul25'!AZ122,"",'1. Live'!AZ122-'check-Jul25'!AZ122)</f>
        <v/>
      </c>
      <c r="BA122" t="str">
        <f>IF('1. Live'!BA122='check-Jul25'!BA122,"",'1. Live'!BA122-'check-Jul25'!BA122)</f>
        <v/>
      </c>
      <c r="BB122" t="str">
        <f>IF('1. Live'!BB122='check-Jul25'!BB122,"",'1. Live'!BB122-'check-Jul25'!BB122)</f>
        <v/>
      </c>
      <c r="BC122" t="str">
        <f>IF('1. Live'!BC122='check-Jul25'!BC122,"",'1. Live'!BC122-'check-Jul25'!BC122)</f>
        <v/>
      </c>
      <c r="BD122" t="str">
        <f>IF('1. Live'!BD122='check-Jul25'!BD122,"",'1. Live'!BD122-'check-Jul25'!BD122)</f>
        <v/>
      </c>
      <c r="BE122" t="str">
        <f>IF('1. Live'!BE122='check-Jul25'!BE122,"",'1. Live'!BE122-'check-Jul25'!BE122)</f>
        <v/>
      </c>
      <c r="BF122" t="str">
        <f>IF('1. Live'!BF122='check-Jul25'!BF122,"",'1. Live'!BF122-'check-Jul25'!BF122)</f>
        <v/>
      </c>
      <c r="BG122" t="str">
        <f>IF('1. Live'!BG122='check-Jul25'!BG122,"",'1. Live'!BG122-'check-Jul25'!BG122)</f>
        <v/>
      </c>
      <c r="BH122" t="str">
        <f>IF('1. Live'!BH122='check-Jul25'!BH122,"",'1. Live'!BH122-'check-Jul25'!BH122)</f>
        <v/>
      </c>
      <c r="BI122" t="str">
        <f>IF('1. Live'!BI122='check-Jul25'!BI122,"",'1. Live'!BI122-'check-Jul25'!BI122)</f>
        <v/>
      </c>
      <c r="BJ122" t="str">
        <f>IF('1. Live'!BJ122='check-Jul25'!BJ122,"",'1. Live'!BJ122-'check-Jul25'!BJ122)</f>
        <v/>
      </c>
      <c r="BK122" t="str">
        <f>IF('1. Live'!BK122='check-Jul25'!BK122,"",'1. Live'!BK122-'check-Jul25'!BK122)</f>
        <v/>
      </c>
      <c r="BL122" t="str">
        <f>IF('1. Live'!BL122='check-Jul25'!BL122,"",'1. Live'!BL122-'check-Jul25'!BL122)</f>
        <v/>
      </c>
      <c r="BM122" t="str">
        <f>IF('1. Live'!BM122='check-Jul25'!BM122,"",'1. Live'!BM122-'check-Jul25'!BM122)</f>
        <v/>
      </c>
      <c r="BN122" t="str">
        <f>IF('1. Live'!BN122='check-Jul25'!BN122,"",'1. Live'!BN122-'check-Jul25'!BN122)</f>
        <v/>
      </c>
      <c r="BO122" t="str">
        <f>IF('1. Live'!BO122='check-Jul25'!BO122,"",'1. Live'!BO122-'check-Jul25'!BO122)</f>
        <v/>
      </c>
      <c r="BP122" t="str">
        <f>IF('1. Live'!BP122='check-Jul25'!BP122,"",'1. Live'!BP122-'check-Jul25'!BP122)</f>
        <v/>
      </c>
      <c r="BQ122" t="str">
        <f>IF('1. Live'!BQ122='check-Jul25'!BQ122,"",'1. Live'!BQ122-'check-Jul25'!BQ122)</f>
        <v/>
      </c>
      <c r="BR122" t="str">
        <f>IF('1. Live'!BR122='check-Jul25'!BR122,"",'1. Live'!BR122-'check-Jul25'!BR122)</f>
        <v/>
      </c>
      <c r="BS122" t="str">
        <f>IF('1. Live'!BS122='check-Jul25'!BS122,"",'1. Live'!BS122-'check-Jul25'!BS122)</f>
        <v/>
      </c>
      <c r="BT122" t="str">
        <f>IF('1. Live'!BT122='check-Jul25'!BT122,"",'1. Live'!BT122-'check-Jul25'!BT122)</f>
        <v/>
      </c>
      <c r="BU122" t="str">
        <f>IF('1. Live'!BU122='check-Jul25'!BU122,"",'1. Live'!BU122-'check-Jul25'!BU122)</f>
        <v/>
      </c>
      <c r="BV122" t="str">
        <f>IF('1. Live'!BV122='check-Jul25'!BV122,"",'1. Live'!BV122-'check-Jul25'!BV122)</f>
        <v/>
      </c>
      <c r="BW122" t="str">
        <f>IF('1. Live'!BW122='check-Jul25'!BW122,"",'1. Live'!BW122-'check-Jul25'!BW122)</f>
        <v/>
      </c>
      <c r="BX122" t="str">
        <f>IF('1. Live'!BX122='check-Jul25'!BX122,"",'1. Live'!BX122-'check-Jul25'!BX122)</f>
        <v/>
      </c>
      <c r="BY122" t="str">
        <f>IF('1. Live'!BY122='check-Jul25'!BY122,"",'1. Live'!BY122-'check-Jul25'!BY122)</f>
        <v/>
      </c>
      <c r="BZ122" t="str">
        <f>IF('1. Live'!BZ122='check-Jul25'!BZ122,"",'1. Live'!BZ122-'check-Jul25'!BZ122)</f>
        <v/>
      </c>
      <c r="CA122" t="str">
        <f>IF('1. Live'!CA122='check-Jul25'!CA122,"",'1. Live'!CA122-'check-Jul25'!CA122)</f>
        <v/>
      </c>
      <c r="CB122" t="str">
        <f>IF('1. Live'!CB122='check-Jul25'!CB122,"",'1. Live'!CB122-'check-Jul25'!CB122)</f>
        <v/>
      </c>
      <c r="CC122" t="str">
        <f>IF('1. Live'!CC122='check-Jul25'!CC122,"",'1. Live'!CC122-'check-Jul25'!CC122)</f>
        <v/>
      </c>
      <c r="CD122" t="str">
        <f>IF('1. Live'!CD122='check-Jul25'!CD122,"",'1. Live'!CD122-'check-Jul25'!CD122)</f>
        <v/>
      </c>
      <c r="CE122" t="str">
        <f>IF('1. Live'!CE122='check-Jul25'!CE122,"",'1. Live'!CE122-'check-Jul25'!CE122)</f>
        <v/>
      </c>
      <c r="CF122" t="str">
        <f>IF('1. Live'!CF122='check-Jul25'!CF122,"",'1. Live'!CF122-'check-Jul25'!CF122)</f>
        <v/>
      </c>
      <c r="CG122" t="str">
        <f>IF('1. Live'!CG122='check-Jul25'!CG122,"",'1. Live'!CG122-'check-Jul25'!CG122)</f>
        <v/>
      </c>
      <c r="CH122" t="str">
        <f>IF('1. Live'!CH122='check-Jul25'!CH122,"",'1. Live'!CH122-'check-Jul25'!CH122)</f>
        <v/>
      </c>
      <c r="CI122" t="str">
        <f>IF('1. Live'!CI122='check-Jul25'!CI122,"",'1. Live'!CI122-'check-Jul25'!CI122)</f>
        <v/>
      </c>
      <c r="CJ122" t="str">
        <f>IF('1. Live'!CJ122='check-Jul25'!CJ122,"",'1. Live'!CJ122-'check-Jul25'!CJ122)</f>
        <v/>
      </c>
      <c r="CK122" t="str">
        <f>IF('1. Live'!CK122='check-Jul25'!CK122,"",'1. Live'!CK122-'check-Jul25'!CK122)</f>
        <v/>
      </c>
      <c r="CL122" t="str">
        <f>IF('1. Live'!CL122='check-Jul25'!CL122,"",'1. Live'!CL122-'check-Jul25'!CL122)</f>
        <v/>
      </c>
      <c r="CM122" t="str">
        <f>IF('1. Live'!CM122='check-Jul25'!CM122,"",'1. Live'!CM122-'check-Jul25'!CM122)</f>
        <v/>
      </c>
      <c r="CN122" t="str">
        <f>IF('1. Live'!CN122='check-Jul25'!CN122,"",'1. Live'!CN122-'check-Jul25'!CN122)</f>
        <v/>
      </c>
      <c r="CO122" t="str">
        <f>IF('1. Live'!CO122='check-Jul25'!CO122,"",'1. Live'!CO122-'check-Jul25'!CO122)</f>
        <v/>
      </c>
      <c r="CP122" t="str">
        <f>IF('1. Live'!CP122='check-Jul25'!CP122,"",'1. Live'!CP122-'check-Jul25'!CP122)</f>
        <v/>
      </c>
      <c r="CQ122" t="str">
        <f>IF('1. Live'!CQ122='check-Jul25'!CQ122,"",'1. Live'!CQ122-'check-Jul25'!CQ122)</f>
        <v/>
      </c>
      <c r="CR122" t="str">
        <f>IF('1. Live'!CR122='check-Jul25'!CR122,"",'1. Live'!CR122-'check-Jul25'!CR122)</f>
        <v/>
      </c>
      <c r="CS122" t="str">
        <f>IF('1. Live'!CS122='check-Jul25'!CS122,"",'1. Live'!CS122-'check-Jul25'!CS122)</f>
        <v/>
      </c>
      <c r="CT122" t="str">
        <f>IF('1. Live'!CT122='check-Jul25'!CT122,"",'1. Live'!CT122-'check-Jul25'!CT122)</f>
        <v/>
      </c>
      <c r="CU122" t="str">
        <f>IF('1. Live'!CU122='check-Jul25'!CU122,"",'1. Live'!CU122-'check-Jul25'!CU122)</f>
        <v/>
      </c>
      <c r="CV122" t="str">
        <f>IF('1. Live'!CV122='check-Jul25'!CV122,"",'1. Live'!CV122-'check-Jul25'!CV122)</f>
        <v/>
      </c>
      <c r="CW122" t="str">
        <f>IF('1. Live'!CW122='check-Jul25'!CW122,"",'1. Live'!CW122-'check-Jul25'!CW122)</f>
        <v/>
      </c>
    </row>
    <row r="123" spans="10:101">
      <c r="J123" t="str">
        <f>IF('1. Live'!J123='check-Jul25'!J123,"",'1. Live'!J123-'check-Jul25'!J123)</f>
        <v/>
      </c>
      <c r="K123" t="str">
        <f>IF('1. Live'!K123='check-Jul25'!K123,"",'1. Live'!K123-'check-Jul25'!K123)</f>
        <v/>
      </c>
      <c r="L123" t="str">
        <f>IF('1. Live'!L123='check-Jul25'!L123,"",'1. Live'!L123-'check-Jul25'!L123)</f>
        <v/>
      </c>
      <c r="M123" t="str">
        <f>IF('1. Live'!M123='check-Jul25'!M123,"",'1. Live'!M123-'check-Jul25'!M123)</f>
        <v/>
      </c>
      <c r="N123" t="str">
        <f>IF('1. Live'!N123='check-Jul25'!N123,"",'1. Live'!N123-'check-Jul25'!N123)</f>
        <v/>
      </c>
      <c r="O123" t="str">
        <f>IF('1. Live'!O123='check-Jul25'!O123,"",'1. Live'!O123-'check-Jul25'!O123)</f>
        <v/>
      </c>
      <c r="P123" t="str">
        <f>IF('1. Live'!P123='check-Jul25'!P123,"",'1. Live'!P123-'check-Jul25'!P123)</f>
        <v/>
      </c>
      <c r="Q123" t="str">
        <f>IF('1. Live'!Q123='check-Jul25'!Q123,"",'1. Live'!Q123-'check-Jul25'!Q123)</f>
        <v/>
      </c>
      <c r="R123" t="str">
        <f>IF('1. Live'!R123='check-Jul25'!R123,"",'1. Live'!R123-'check-Jul25'!R123)</f>
        <v/>
      </c>
      <c r="S123" t="str">
        <f>IF('1. Live'!S123='check-Jul25'!S123,"",'1. Live'!S123-'check-Jul25'!S123)</f>
        <v/>
      </c>
      <c r="T123" t="str">
        <f>IF('1. Live'!T123='check-Jul25'!T123,"",'1. Live'!T123-'check-Jul25'!T123)</f>
        <v/>
      </c>
      <c r="U123" t="str">
        <f>IF('1. Live'!U123='check-Jul25'!U123,"",'1. Live'!U123-'check-Jul25'!U123)</f>
        <v/>
      </c>
      <c r="V123" t="str">
        <f>IF('1. Live'!V123='check-Jul25'!V123,"",'1. Live'!V123-'check-Jul25'!V123)</f>
        <v/>
      </c>
      <c r="W123" t="str">
        <f>IF('1. Live'!W123='check-Jul25'!W123,"",'1. Live'!W123-'check-Jul25'!W123)</f>
        <v/>
      </c>
      <c r="X123" t="str">
        <f>IF('1. Live'!X123='check-Jul25'!X123,"",'1. Live'!X123-'check-Jul25'!X123)</f>
        <v/>
      </c>
      <c r="Y123" t="str">
        <f>IF('1. Live'!Y123='check-Jul25'!Y123,"",'1. Live'!Y123-'check-Jul25'!Y123)</f>
        <v/>
      </c>
      <c r="Z123" t="str">
        <f>IF('1. Live'!Z123='check-Jul25'!Z123,"",'1. Live'!Z123-'check-Jul25'!Z123)</f>
        <v/>
      </c>
      <c r="AA123" t="str">
        <f>IF('1. Live'!AA123='check-Jul25'!AA123,"",'1. Live'!AA123-'check-Jul25'!AA123)</f>
        <v/>
      </c>
      <c r="AB123" t="str">
        <f>IF('1. Live'!AB123='check-Jul25'!AB123,"",'1. Live'!AB123-'check-Jul25'!AB123)</f>
        <v/>
      </c>
      <c r="AC123" t="str">
        <f>IF('1. Live'!AC123='check-Jul25'!AC123,"",'1. Live'!AC123-'check-Jul25'!AC123)</f>
        <v/>
      </c>
      <c r="AD123" t="str">
        <f>IF('1. Live'!AD123='check-Jul25'!AD123,"",'1. Live'!AD123-'check-Jul25'!AD123)</f>
        <v/>
      </c>
      <c r="AE123" t="str">
        <f>IF('1. Live'!AE123='check-Jul25'!AE123,"",'1. Live'!AE123-'check-Jul25'!AE123)</f>
        <v/>
      </c>
      <c r="AF123" t="str">
        <f>IF('1. Live'!AF123='check-Jul25'!AF123,"",'1. Live'!AF123-'check-Jul25'!AF123)</f>
        <v/>
      </c>
      <c r="AG123" t="str">
        <f>IF('1. Live'!AG123='check-Jul25'!AG123,"",'1. Live'!AG123-'check-Jul25'!AG123)</f>
        <v/>
      </c>
      <c r="AH123" t="str">
        <f>IF('1. Live'!AH123='check-Jul25'!AH123,"",'1. Live'!AH123-'check-Jul25'!AH123)</f>
        <v/>
      </c>
      <c r="AI123" t="str">
        <f>IF('1. Live'!AI123='check-Jul25'!AI123,"",'1. Live'!AI123-'check-Jul25'!AI123)</f>
        <v/>
      </c>
      <c r="AJ123" t="str">
        <f>IF('1. Live'!AJ123='check-Jul25'!AJ123,"",'1. Live'!AJ123-'check-Jul25'!AJ123)</f>
        <v/>
      </c>
      <c r="AK123" t="str">
        <f>IF('1. Live'!AK123='check-Jul25'!AK123,"",'1. Live'!AK123-'check-Jul25'!AK123)</f>
        <v/>
      </c>
      <c r="AL123" t="str">
        <f>IF('1. Live'!AL123='check-Jul25'!AL123,"",'1. Live'!AL123-'check-Jul25'!AL123)</f>
        <v/>
      </c>
      <c r="AM123" t="str">
        <f>IF('1. Live'!AM123='check-Jul25'!AM123,"",'1. Live'!AM123-'check-Jul25'!AM123)</f>
        <v/>
      </c>
      <c r="AN123" t="str">
        <f>IF('1. Live'!AN123='check-Jul25'!AN123,"",'1. Live'!AN123-'check-Jul25'!AN123)</f>
        <v/>
      </c>
      <c r="AO123" t="str">
        <f>IF('1. Live'!AO123='check-Jul25'!AO123,"",'1. Live'!AO123-'check-Jul25'!AO123)</f>
        <v/>
      </c>
      <c r="AP123" t="str">
        <f>IF('1. Live'!AP123='check-Jul25'!AP123,"",'1. Live'!AP123-'check-Jul25'!AP123)</f>
        <v/>
      </c>
      <c r="AQ123" t="str">
        <f>IF('1. Live'!AQ123='check-Jul25'!AQ123,"",'1. Live'!AQ123-'check-Jul25'!AQ123)</f>
        <v/>
      </c>
      <c r="AR123" t="str">
        <f>IF('1. Live'!AR123='check-Jul25'!AR123,"",'1. Live'!AR123-'check-Jul25'!AR123)</f>
        <v/>
      </c>
      <c r="AS123" t="str">
        <f>IF('1. Live'!AS123='check-Jul25'!AS123,"",'1. Live'!AS123-'check-Jul25'!AS123)</f>
        <v/>
      </c>
      <c r="AT123" t="str">
        <f>IF('1. Live'!AT123='check-Jul25'!AT123,"",'1. Live'!AT123-'check-Jul25'!AT123)</f>
        <v/>
      </c>
      <c r="AU123" t="str">
        <f>IF('1. Live'!AU123='check-Jul25'!AU123,"",'1. Live'!AU123-'check-Jul25'!AU123)</f>
        <v/>
      </c>
      <c r="AV123" t="str">
        <f>IF('1. Live'!AV123='check-Jul25'!AV123,"",'1. Live'!AV123-'check-Jul25'!AV123)</f>
        <v/>
      </c>
      <c r="AW123" t="str">
        <f>IF('1. Live'!AW123='check-Jul25'!AW123,"",'1. Live'!AW123-'check-Jul25'!AW123)</f>
        <v/>
      </c>
      <c r="AX123" t="str">
        <f>IF('1. Live'!AX123='check-Jul25'!AX123,"",'1. Live'!AX123-'check-Jul25'!AX123)</f>
        <v/>
      </c>
      <c r="AY123" t="str">
        <f>IF('1. Live'!AY123='check-Jul25'!AY123,"",'1. Live'!AY123-'check-Jul25'!AY123)</f>
        <v/>
      </c>
      <c r="AZ123" t="str">
        <f>IF('1. Live'!AZ123='check-Jul25'!AZ123,"",'1. Live'!AZ123-'check-Jul25'!AZ123)</f>
        <v/>
      </c>
      <c r="BA123" t="str">
        <f>IF('1. Live'!BA123='check-Jul25'!BA123,"",'1. Live'!BA123-'check-Jul25'!BA123)</f>
        <v/>
      </c>
      <c r="BB123" t="str">
        <f>IF('1. Live'!BB123='check-Jul25'!BB123,"",'1. Live'!BB123-'check-Jul25'!BB123)</f>
        <v/>
      </c>
      <c r="BC123" t="str">
        <f>IF('1. Live'!BC123='check-Jul25'!BC123,"",'1. Live'!BC123-'check-Jul25'!BC123)</f>
        <v/>
      </c>
      <c r="BD123" t="str">
        <f>IF('1. Live'!BD123='check-Jul25'!BD123,"",'1. Live'!BD123-'check-Jul25'!BD123)</f>
        <v/>
      </c>
      <c r="BE123" t="str">
        <f>IF('1. Live'!BE123='check-Jul25'!BE123,"",'1. Live'!BE123-'check-Jul25'!BE123)</f>
        <v/>
      </c>
      <c r="BF123" t="str">
        <f>IF('1. Live'!BF123='check-Jul25'!BF123,"",'1. Live'!BF123-'check-Jul25'!BF123)</f>
        <v/>
      </c>
      <c r="BG123" t="str">
        <f>IF('1. Live'!BG123='check-Jul25'!BG123,"",'1. Live'!BG123-'check-Jul25'!BG123)</f>
        <v/>
      </c>
      <c r="BH123" t="str">
        <f>IF('1. Live'!BH123='check-Jul25'!BH123,"",'1. Live'!BH123-'check-Jul25'!BH123)</f>
        <v/>
      </c>
      <c r="BI123" t="str">
        <f>IF('1. Live'!BI123='check-Jul25'!BI123,"",'1. Live'!BI123-'check-Jul25'!BI123)</f>
        <v/>
      </c>
      <c r="BJ123" t="str">
        <f>IF('1. Live'!BJ123='check-Jul25'!BJ123,"",'1. Live'!BJ123-'check-Jul25'!BJ123)</f>
        <v/>
      </c>
      <c r="BK123" t="str">
        <f>IF('1. Live'!BK123='check-Jul25'!BK123,"",'1. Live'!BK123-'check-Jul25'!BK123)</f>
        <v/>
      </c>
      <c r="BL123" t="str">
        <f>IF('1. Live'!BL123='check-Jul25'!BL123,"",'1. Live'!BL123-'check-Jul25'!BL123)</f>
        <v/>
      </c>
      <c r="BM123" t="str">
        <f>IF('1. Live'!BM123='check-Jul25'!BM123,"",'1. Live'!BM123-'check-Jul25'!BM123)</f>
        <v/>
      </c>
      <c r="BN123" t="str">
        <f>IF('1. Live'!BN123='check-Jul25'!BN123,"",'1. Live'!BN123-'check-Jul25'!BN123)</f>
        <v/>
      </c>
      <c r="BO123" t="str">
        <f>IF('1. Live'!BO123='check-Jul25'!BO123,"",'1. Live'!BO123-'check-Jul25'!BO123)</f>
        <v/>
      </c>
      <c r="BP123" t="str">
        <f>IF('1. Live'!BP123='check-Jul25'!BP123,"",'1. Live'!BP123-'check-Jul25'!BP123)</f>
        <v/>
      </c>
      <c r="BQ123" t="str">
        <f>IF('1. Live'!BQ123='check-Jul25'!BQ123,"",'1. Live'!BQ123-'check-Jul25'!BQ123)</f>
        <v/>
      </c>
      <c r="BR123" t="str">
        <f>IF('1. Live'!BR123='check-Jul25'!BR123,"",'1. Live'!BR123-'check-Jul25'!BR123)</f>
        <v/>
      </c>
      <c r="BS123" t="str">
        <f>IF('1. Live'!BS123='check-Jul25'!BS123,"",'1. Live'!BS123-'check-Jul25'!BS123)</f>
        <v/>
      </c>
      <c r="BT123" t="str">
        <f>IF('1. Live'!BT123='check-Jul25'!BT123,"",'1. Live'!BT123-'check-Jul25'!BT123)</f>
        <v/>
      </c>
      <c r="BU123" t="str">
        <f>IF('1. Live'!BU123='check-Jul25'!BU123,"",'1. Live'!BU123-'check-Jul25'!BU123)</f>
        <v/>
      </c>
      <c r="BV123" t="str">
        <f>IF('1. Live'!BV123='check-Jul25'!BV123,"",'1. Live'!BV123-'check-Jul25'!BV123)</f>
        <v/>
      </c>
      <c r="BW123" t="str">
        <f>IF('1. Live'!BW123='check-Jul25'!BW123,"",'1. Live'!BW123-'check-Jul25'!BW123)</f>
        <v/>
      </c>
      <c r="BX123" t="str">
        <f>IF('1. Live'!BX123='check-Jul25'!BX123,"",'1. Live'!BX123-'check-Jul25'!BX123)</f>
        <v/>
      </c>
      <c r="BY123" t="str">
        <f>IF('1. Live'!BY123='check-Jul25'!BY123,"",'1. Live'!BY123-'check-Jul25'!BY123)</f>
        <v/>
      </c>
      <c r="BZ123" t="str">
        <f>IF('1. Live'!BZ123='check-Jul25'!BZ123,"",'1. Live'!BZ123-'check-Jul25'!BZ123)</f>
        <v/>
      </c>
      <c r="CA123" t="str">
        <f>IF('1. Live'!CA123='check-Jul25'!CA123,"",'1. Live'!CA123-'check-Jul25'!CA123)</f>
        <v/>
      </c>
      <c r="CB123" t="str">
        <f>IF('1. Live'!CB123='check-Jul25'!CB123,"",'1. Live'!CB123-'check-Jul25'!CB123)</f>
        <v/>
      </c>
      <c r="CC123" t="str">
        <f>IF('1. Live'!CC123='check-Jul25'!CC123,"",'1. Live'!CC123-'check-Jul25'!CC123)</f>
        <v/>
      </c>
      <c r="CD123" t="str">
        <f>IF('1. Live'!CD123='check-Jul25'!CD123,"",'1. Live'!CD123-'check-Jul25'!CD123)</f>
        <v/>
      </c>
      <c r="CE123" t="str">
        <f>IF('1. Live'!CE123='check-Jul25'!CE123,"",'1. Live'!CE123-'check-Jul25'!CE123)</f>
        <v/>
      </c>
      <c r="CF123" t="str">
        <f>IF('1. Live'!CF123='check-Jul25'!CF123,"",'1. Live'!CF123-'check-Jul25'!CF123)</f>
        <v/>
      </c>
      <c r="CG123" t="str">
        <f>IF('1. Live'!CG123='check-Jul25'!CG123,"",'1. Live'!CG123-'check-Jul25'!CG123)</f>
        <v/>
      </c>
      <c r="CH123" t="str">
        <f>IF('1. Live'!CH123='check-Jul25'!CH123,"",'1. Live'!CH123-'check-Jul25'!CH123)</f>
        <v/>
      </c>
      <c r="CI123" t="str">
        <f>IF('1. Live'!CI123='check-Jul25'!CI123,"",'1. Live'!CI123-'check-Jul25'!CI123)</f>
        <v/>
      </c>
      <c r="CJ123" t="str">
        <f>IF('1. Live'!CJ123='check-Jul25'!CJ123,"",'1. Live'!CJ123-'check-Jul25'!CJ123)</f>
        <v/>
      </c>
      <c r="CK123" t="str">
        <f>IF('1. Live'!CK123='check-Jul25'!CK123,"",'1. Live'!CK123-'check-Jul25'!CK123)</f>
        <v/>
      </c>
      <c r="CL123" t="str">
        <f>IF('1. Live'!CL123='check-Jul25'!CL123,"",'1. Live'!CL123-'check-Jul25'!CL123)</f>
        <v/>
      </c>
      <c r="CM123" t="str">
        <f>IF('1. Live'!CM123='check-Jul25'!CM123,"",'1. Live'!CM123-'check-Jul25'!CM123)</f>
        <v/>
      </c>
      <c r="CN123" t="str">
        <f>IF('1. Live'!CN123='check-Jul25'!CN123,"",'1. Live'!CN123-'check-Jul25'!CN123)</f>
        <v/>
      </c>
      <c r="CO123" t="str">
        <f>IF('1. Live'!CO123='check-Jul25'!CO123,"",'1. Live'!CO123-'check-Jul25'!CO123)</f>
        <v/>
      </c>
      <c r="CP123" t="str">
        <f>IF('1. Live'!CP123='check-Jul25'!CP123,"",'1. Live'!CP123-'check-Jul25'!CP123)</f>
        <v/>
      </c>
      <c r="CQ123" t="str">
        <f>IF('1. Live'!CQ123='check-Jul25'!CQ123,"",'1. Live'!CQ123-'check-Jul25'!CQ123)</f>
        <v/>
      </c>
      <c r="CR123" t="str">
        <f>IF('1. Live'!CR123='check-Jul25'!CR123,"",'1. Live'!CR123-'check-Jul25'!CR123)</f>
        <v/>
      </c>
      <c r="CS123" t="str">
        <f>IF('1. Live'!CS123='check-Jul25'!CS123,"",'1. Live'!CS123-'check-Jul25'!CS123)</f>
        <v/>
      </c>
      <c r="CT123" t="str">
        <f>IF('1. Live'!CT123='check-Jul25'!CT123,"",'1. Live'!CT123-'check-Jul25'!CT123)</f>
        <v/>
      </c>
      <c r="CU123" t="str">
        <f>IF('1. Live'!CU123='check-Jul25'!CU123,"",'1. Live'!CU123-'check-Jul25'!CU123)</f>
        <v/>
      </c>
      <c r="CV123" t="str">
        <f>IF('1. Live'!CV123='check-Jul25'!CV123,"",'1. Live'!CV123-'check-Jul25'!CV123)</f>
        <v/>
      </c>
      <c r="CW123" t="str">
        <f>IF('1. Live'!CW123='check-Jul25'!CW123,"",'1. Live'!CW123-'check-Jul25'!CW123)</f>
        <v/>
      </c>
    </row>
    <row r="124" spans="10:101">
      <c r="J124" t="str">
        <f>IF('1. Live'!J124='check-Jul25'!J124,"",'1. Live'!J124-'check-Jul25'!J124)</f>
        <v/>
      </c>
      <c r="K124" t="str">
        <f>IF('1. Live'!K124='check-Jul25'!K124,"",'1. Live'!K124-'check-Jul25'!K124)</f>
        <v/>
      </c>
      <c r="L124" t="str">
        <f>IF('1. Live'!L124='check-Jul25'!L124,"",'1. Live'!L124-'check-Jul25'!L124)</f>
        <v/>
      </c>
      <c r="M124" t="str">
        <f>IF('1. Live'!M124='check-Jul25'!M124,"",'1. Live'!M124-'check-Jul25'!M124)</f>
        <v/>
      </c>
      <c r="N124" t="str">
        <f>IF('1. Live'!N124='check-Jul25'!N124,"",'1. Live'!N124-'check-Jul25'!N124)</f>
        <v/>
      </c>
      <c r="O124" t="str">
        <f>IF('1. Live'!O124='check-Jul25'!O124,"",'1. Live'!O124-'check-Jul25'!O124)</f>
        <v/>
      </c>
      <c r="P124" t="str">
        <f>IF('1. Live'!P124='check-Jul25'!P124,"",'1. Live'!P124-'check-Jul25'!P124)</f>
        <v/>
      </c>
      <c r="Q124" t="str">
        <f>IF('1. Live'!Q124='check-Jul25'!Q124,"",'1. Live'!Q124-'check-Jul25'!Q124)</f>
        <v/>
      </c>
      <c r="R124" t="str">
        <f>IF('1. Live'!R124='check-Jul25'!R124,"",'1. Live'!R124-'check-Jul25'!R124)</f>
        <v/>
      </c>
      <c r="S124" t="str">
        <f>IF('1. Live'!S124='check-Jul25'!S124,"",'1. Live'!S124-'check-Jul25'!S124)</f>
        <v/>
      </c>
      <c r="T124" t="str">
        <f>IF('1. Live'!T124='check-Jul25'!T124,"",'1. Live'!T124-'check-Jul25'!T124)</f>
        <v/>
      </c>
      <c r="U124" t="str">
        <f>IF('1. Live'!U124='check-Jul25'!U124,"",'1. Live'!U124-'check-Jul25'!U124)</f>
        <v/>
      </c>
      <c r="V124" t="str">
        <f>IF('1. Live'!V124='check-Jul25'!V124,"",'1. Live'!V124-'check-Jul25'!V124)</f>
        <v/>
      </c>
      <c r="W124" t="str">
        <f>IF('1. Live'!W124='check-Jul25'!W124,"",'1. Live'!W124-'check-Jul25'!W124)</f>
        <v/>
      </c>
      <c r="X124" t="str">
        <f>IF('1. Live'!X124='check-Jul25'!X124,"",'1. Live'!X124-'check-Jul25'!X124)</f>
        <v/>
      </c>
      <c r="Y124" t="str">
        <f>IF('1. Live'!Y124='check-Jul25'!Y124,"",'1. Live'!Y124-'check-Jul25'!Y124)</f>
        <v/>
      </c>
      <c r="Z124" t="str">
        <f>IF('1. Live'!Z124='check-Jul25'!Z124,"",'1. Live'!Z124-'check-Jul25'!Z124)</f>
        <v/>
      </c>
      <c r="AA124" t="str">
        <f>IF('1. Live'!AA124='check-Jul25'!AA124,"",'1. Live'!AA124-'check-Jul25'!AA124)</f>
        <v/>
      </c>
      <c r="AB124" t="str">
        <f>IF('1. Live'!AB124='check-Jul25'!AB124,"",'1. Live'!AB124-'check-Jul25'!AB124)</f>
        <v/>
      </c>
      <c r="AC124" t="str">
        <f>IF('1. Live'!AC124='check-Jul25'!AC124,"",'1. Live'!AC124-'check-Jul25'!AC124)</f>
        <v/>
      </c>
      <c r="AD124" t="str">
        <f>IF('1. Live'!AD124='check-Jul25'!AD124,"",'1. Live'!AD124-'check-Jul25'!AD124)</f>
        <v/>
      </c>
      <c r="AE124" t="str">
        <f>IF('1. Live'!AE124='check-Jul25'!AE124,"",'1. Live'!AE124-'check-Jul25'!AE124)</f>
        <v/>
      </c>
      <c r="AF124" t="str">
        <f>IF('1. Live'!AF124='check-Jul25'!AF124,"",'1. Live'!AF124-'check-Jul25'!AF124)</f>
        <v/>
      </c>
      <c r="AG124" t="str">
        <f>IF('1. Live'!AG124='check-Jul25'!AG124,"",'1. Live'!AG124-'check-Jul25'!AG124)</f>
        <v/>
      </c>
      <c r="AH124" t="str">
        <f>IF('1. Live'!AH124='check-Jul25'!AH124,"",'1. Live'!AH124-'check-Jul25'!AH124)</f>
        <v/>
      </c>
      <c r="AI124" t="str">
        <f>IF('1. Live'!AI124='check-Jul25'!AI124,"",'1. Live'!AI124-'check-Jul25'!AI124)</f>
        <v/>
      </c>
      <c r="AJ124" t="str">
        <f>IF('1. Live'!AJ124='check-Jul25'!AJ124,"",'1. Live'!AJ124-'check-Jul25'!AJ124)</f>
        <v/>
      </c>
      <c r="AK124" t="str">
        <f>IF('1. Live'!AK124='check-Jul25'!AK124,"",'1. Live'!AK124-'check-Jul25'!AK124)</f>
        <v/>
      </c>
      <c r="AL124" t="str">
        <f>IF('1. Live'!AL124='check-Jul25'!AL124,"",'1. Live'!AL124-'check-Jul25'!AL124)</f>
        <v/>
      </c>
      <c r="AM124" t="str">
        <f>IF('1. Live'!AM124='check-Jul25'!AM124,"",'1. Live'!AM124-'check-Jul25'!AM124)</f>
        <v/>
      </c>
      <c r="AN124" t="str">
        <f>IF('1. Live'!AN124='check-Jul25'!AN124,"",'1. Live'!AN124-'check-Jul25'!AN124)</f>
        <v/>
      </c>
      <c r="AO124" t="str">
        <f>IF('1. Live'!AO124='check-Jul25'!AO124,"",'1. Live'!AO124-'check-Jul25'!AO124)</f>
        <v/>
      </c>
      <c r="AP124" t="str">
        <f>IF('1. Live'!AP124='check-Jul25'!AP124,"",'1. Live'!AP124-'check-Jul25'!AP124)</f>
        <v/>
      </c>
      <c r="AQ124" t="str">
        <f>IF('1. Live'!AQ124='check-Jul25'!AQ124,"",'1. Live'!AQ124-'check-Jul25'!AQ124)</f>
        <v/>
      </c>
      <c r="AR124" t="str">
        <f>IF('1. Live'!AR124='check-Jul25'!AR124,"",'1. Live'!AR124-'check-Jul25'!AR124)</f>
        <v/>
      </c>
      <c r="AS124" t="str">
        <f>IF('1. Live'!AS124='check-Jul25'!AS124,"",'1. Live'!AS124-'check-Jul25'!AS124)</f>
        <v/>
      </c>
      <c r="AT124" t="str">
        <f>IF('1. Live'!AT124='check-Jul25'!AT124,"",'1. Live'!AT124-'check-Jul25'!AT124)</f>
        <v/>
      </c>
      <c r="AU124" t="str">
        <f>IF('1. Live'!AU124='check-Jul25'!AU124,"",'1. Live'!AU124-'check-Jul25'!AU124)</f>
        <v/>
      </c>
      <c r="AV124" t="str">
        <f>IF('1. Live'!AV124='check-Jul25'!AV124,"",'1. Live'!AV124-'check-Jul25'!AV124)</f>
        <v/>
      </c>
      <c r="AW124" t="str">
        <f>IF('1. Live'!AW124='check-Jul25'!AW124,"",'1. Live'!AW124-'check-Jul25'!AW124)</f>
        <v/>
      </c>
      <c r="AX124" t="str">
        <f>IF('1. Live'!AX124='check-Jul25'!AX124,"",'1. Live'!AX124-'check-Jul25'!AX124)</f>
        <v/>
      </c>
      <c r="AY124" t="str">
        <f>IF('1. Live'!AY124='check-Jul25'!AY124,"",'1. Live'!AY124-'check-Jul25'!AY124)</f>
        <v/>
      </c>
      <c r="AZ124" t="str">
        <f>IF('1. Live'!AZ124='check-Jul25'!AZ124,"",'1. Live'!AZ124-'check-Jul25'!AZ124)</f>
        <v/>
      </c>
      <c r="BA124" t="str">
        <f>IF('1. Live'!BA124='check-Jul25'!BA124,"",'1. Live'!BA124-'check-Jul25'!BA124)</f>
        <v/>
      </c>
      <c r="BB124" t="str">
        <f>IF('1. Live'!BB124='check-Jul25'!BB124,"",'1. Live'!BB124-'check-Jul25'!BB124)</f>
        <v/>
      </c>
      <c r="BC124" t="str">
        <f>IF('1. Live'!BC124='check-Jul25'!BC124,"",'1. Live'!BC124-'check-Jul25'!BC124)</f>
        <v/>
      </c>
      <c r="BD124" t="str">
        <f>IF('1. Live'!BD124='check-Jul25'!BD124,"",'1. Live'!BD124-'check-Jul25'!BD124)</f>
        <v/>
      </c>
      <c r="BE124" t="str">
        <f>IF('1. Live'!BE124='check-Jul25'!BE124,"",'1. Live'!BE124-'check-Jul25'!BE124)</f>
        <v/>
      </c>
      <c r="BF124" t="str">
        <f>IF('1. Live'!BF124='check-Jul25'!BF124,"",'1. Live'!BF124-'check-Jul25'!BF124)</f>
        <v/>
      </c>
      <c r="BG124" t="str">
        <f>IF('1. Live'!BG124='check-Jul25'!BG124,"",'1. Live'!BG124-'check-Jul25'!BG124)</f>
        <v/>
      </c>
      <c r="BH124" t="str">
        <f>IF('1. Live'!BH124='check-Jul25'!BH124,"",'1. Live'!BH124-'check-Jul25'!BH124)</f>
        <v/>
      </c>
      <c r="BI124" t="str">
        <f>IF('1. Live'!BI124='check-Jul25'!BI124,"",'1. Live'!BI124-'check-Jul25'!BI124)</f>
        <v/>
      </c>
      <c r="BJ124" t="str">
        <f>IF('1. Live'!BJ124='check-Jul25'!BJ124,"",'1. Live'!BJ124-'check-Jul25'!BJ124)</f>
        <v/>
      </c>
      <c r="BK124" t="str">
        <f>IF('1. Live'!BK124='check-Jul25'!BK124,"",'1. Live'!BK124-'check-Jul25'!BK124)</f>
        <v/>
      </c>
      <c r="BL124" t="str">
        <f>IF('1. Live'!BL124='check-Jul25'!BL124,"",'1. Live'!BL124-'check-Jul25'!BL124)</f>
        <v/>
      </c>
      <c r="BM124" t="str">
        <f>IF('1. Live'!BM124='check-Jul25'!BM124,"",'1. Live'!BM124-'check-Jul25'!BM124)</f>
        <v/>
      </c>
      <c r="BN124" t="str">
        <f>IF('1. Live'!BN124='check-Jul25'!BN124,"",'1. Live'!BN124-'check-Jul25'!BN124)</f>
        <v/>
      </c>
      <c r="BO124" t="str">
        <f>IF('1. Live'!BO124='check-Jul25'!BO124,"",'1. Live'!BO124-'check-Jul25'!BO124)</f>
        <v/>
      </c>
      <c r="BP124" t="str">
        <f>IF('1. Live'!BP124='check-Jul25'!BP124,"",'1. Live'!BP124-'check-Jul25'!BP124)</f>
        <v/>
      </c>
      <c r="BQ124" t="str">
        <f>IF('1. Live'!BQ124='check-Jul25'!BQ124,"",'1. Live'!BQ124-'check-Jul25'!BQ124)</f>
        <v/>
      </c>
      <c r="BR124" t="str">
        <f>IF('1. Live'!BR124='check-Jul25'!BR124,"",'1. Live'!BR124-'check-Jul25'!BR124)</f>
        <v/>
      </c>
      <c r="BS124" t="str">
        <f>IF('1. Live'!BS124='check-Jul25'!BS124,"",'1. Live'!BS124-'check-Jul25'!BS124)</f>
        <v/>
      </c>
      <c r="BT124" t="str">
        <f>IF('1. Live'!BT124='check-Jul25'!BT124,"",'1. Live'!BT124-'check-Jul25'!BT124)</f>
        <v/>
      </c>
      <c r="BU124" t="str">
        <f>IF('1. Live'!BU124='check-Jul25'!BU124,"",'1. Live'!BU124-'check-Jul25'!BU124)</f>
        <v/>
      </c>
      <c r="BV124" t="str">
        <f>IF('1. Live'!BV124='check-Jul25'!BV124,"",'1. Live'!BV124-'check-Jul25'!BV124)</f>
        <v/>
      </c>
      <c r="BW124" t="str">
        <f>IF('1. Live'!BW124='check-Jul25'!BW124,"",'1. Live'!BW124-'check-Jul25'!BW124)</f>
        <v/>
      </c>
      <c r="BX124" t="str">
        <f>IF('1. Live'!BX124='check-Jul25'!BX124,"",'1. Live'!BX124-'check-Jul25'!BX124)</f>
        <v/>
      </c>
      <c r="BY124" t="str">
        <f>IF('1. Live'!BY124='check-Jul25'!BY124,"",'1. Live'!BY124-'check-Jul25'!BY124)</f>
        <v/>
      </c>
      <c r="BZ124" t="str">
        <f>IF('1. Live'!BZ124='check-Jul25'!BZ124,"",'1. Live'!BZ124-'check-Jul25'!BZ124)</f>
        <v/>
      </c>
      <c r="CA124" t="str">
        <f>IF('1. Live'!CA124='check-Jul25'!CA124,"",'1. Live'!CA124-'check-Jul25'!CA124)</f>
        <v/>
      </c>
      <c r="CB124" t="str">
        <f>IF('1. Live'!CB124='check-Jul25'!CB124,"",'1. Live'!CB124-'check-Jul25'!CB124)</f>
        <v/>
      </c>
      <c r="CC124" t="str">
        <f>IF('1. Live'!CC124='check-Jul25'!CC124,"",'1. Live'!CC124-'check-Jul25'!CC124)</f>
        <v/>
      </c>
      <c r="CD124" t="str">
        <f>IF('1. Live'!CD124='check-Jul25'!CD124,"",'1. Live'!CD124-'check-Jul25'!CD124)</f>
        <v/>
      </c>
      <c r="CE124" t="str">
        <f>IF('1. Live'!CE124='check-Jul25'!CE124,"",'1. Live'!CE124-'check-Jul25'!CE124)</f>
        <v/>
      </c>
      <c r="CF124" t="str">
        <f>IF('1. Live'!CF124='check-Jul25'!CF124,"",'1. Live'!CF124-'check-Jul25'!CF124)</f>
        <v/>
      </c>
      <c r="CG124" t="str">
        <f>IF('1. Live'!CG124='check-Jul25'!CG124,"",'1. Live'!CG124-'check-Jul25'!CG124)</f>
        <v/>
      </c>
      <c r="CH124" t="str">
        <f>IF('1. Live'!CH124='check-Jul25'!CH124,"",'1. Live'!CH124-'check-Jul25'!CH124)</f>
        <v/>
      </c>
      <c r="CI124" t="str">
        <f>IF('1. Live'!CI124='check-Jul25'!CI124,"",'1. Live'!CI124-'check-Jul25'!CI124)</f>
        <v/>
      </c>
      <c r="CJ124" t="str">
        <f>IF('1. Live'!CJ124='check-Jul25'!CJ124,"",'1. Live'!CJ124-'check-Jul25'!CJ124)</f>
        <v/>
      </c>
      <c r="CK124" t="str">
        <f>IF('1. Live'!CK124='check-Jul25'!CK124,"",'1. Live'!CK124-'check-Jul25'!CK124)</f>
        <v/>
      </c>
      <c r="CL124" t="str">
        <f>IF('1. Live'!CL124='check-Jul25'!CL124,"",'1. Live'!CL124-'check-Jul25'!CL124)</f>
        <v/>
      </c>
      <c r="CM124" t="str">
        <f>IF('1. Live'!CM124='check-Jul25'!CM124,"",'1. Live'!CM124-'check-Jul25'!CM124)</f>
        <v/>
      </c>
      <c r="CN124" t="str">
        <f>IF('1. Live'!CN124='check-Jul25'!CN124,"",'1. Live'!CN124-'check-Jul25'!CN124)</f>
        <v/>
      </c>
      <c r="CO124" t="str">
        <f>IF('1. Live'!CO124='check-Jul25'!CO124,"",'1. Live'!CO124-'check-Jul25'!CO124)</f>
        <v/>
      </c>
      <c r="CP124" t="str">
        <f>IF('1. Live'!CP124='check-Jul25'!CP124,"",'1. Live'!CP124-'check-Jul25'!CP124)</f>
        <v/>
      </c>
      <c r="CQ124" t="str">
        <f>IF('1. Live'!CQ124='check-Jul25'!CQ124,"",'1. Live'!CQ124-'check-Jul25'!CQ124)</f>
        <v/>
      </c>
      <c r="CR124" t="str">
        <f>IF('1. Live'!CR124='check-Jul25'!CR124,"",'1. Live'!CR124-'check-Jul25'!CR124)</f>
        <v/>
      </c>
      <c r="CS124" t="str">
        <f>IF('1. Live'!CS124='check-Jul25'!CS124,"",'1. Live'!CS124-'check-Jul25'!CS124)</f>
        <v/>
      </c>
      <c r="CT124" t="str">
        <f>IF('1. Live'!CT124='check-Jul25'!CT124,"",'1. Live'!CT124-'check-Jul25'!CT124)</f>
        <v/>
      </c>
      <c r="CU124" t="str">
        <f>IF('1. Live'!CU124='check-Jul25'!CU124,"",'1. Live'!CU124-'check-Jul25'!CU124)</f>
        <v/>
      </c>
      <c r="CV124" t="str">
        <f>IF('1. Live'!CV124='check-Jul25'!CV124,"",'1. Live'!CV124-'check-Jul25'!CV124)</f>
        <v/>
      </c>
      <c r="CW124" t="str">
        <f>IF('1. Live'!CW124='check-Jul25'!CW124,"",'1. Live'!CW124-'check-Jul25'!CW124)</f>
        <v/>
      </c>
    </row>
    <row r="125" spans="10:101">
      <c r="J125" t="str">
        <f>IF('1. Live'!J125='check-Jul25'!J125,"",'1. Live'!J125-'check-Jul25'!J125)</f>
        <v/>
      </c>
      <c r="K125" t="str">
        <f>IF('1. Live'!K125='check-Jul25'!K125,"",'1. Live'!K125-'check-Jul25'!K125)</f>
        <v/>
      </c>
      <c r="L125" t="str">
        <f>IF('1. Live'!L125='check-Jul25'!L125,"",'1. Live'!L125-'check-Jul25'!L125)</f>
        <v/>
      </c>
      <c r="M125" t="str">
        <f>IF('1. Live'!M125='check-Jul25'!M125,"",'1. Live'!M125-'check-Jul25'!M125)</f>
        <v/>
      </c>
      <c r="N125" t="str">
        <f>IF('1. Live'!N125='check-Jul25'!N125,"",'1. Live'!N125-'check-Jul25'!N125)</f>
        <v/>
      </c>
      <c r="O125" t="str">
        <f>IF('1. Live'!O125='check-Jul25'!O125,"",'1. Live'!O125-'check-Jul25'!O125)</f>
        <v/>
      </c>
      <c r="P125" t="str">
        <f>IF('1. Live'!P125='check-Jul25'!P125,"",'1. Live'!P125-'check-Jul25'!P125)</f>
        <v/>
      </c>
      <c r="Q125" t="str">
        <f>IF('1. Live'!Q125='check-Jul25'!Q125,"",'1. Live'!Q125-'check-Jul25'!Q125)</f>
        <v/>
      </c>
      <c r="R125" t="str">
        <f>IF('1. Live'!R125='check-Jul25'!R125,"",'1. Live'!R125-'check-Jul25'!R125)</f>
        <v/>
      </c>
      <c r="S125" t="str">
        <f>IF('1. Live'!S125='check-Jul25'!S125,"",'1. Live'!S125-'check-Jul25'!S125)</f>
        <v/>
      </c>
      <c r="T125" t="str">
        <f>IF('1. Live'!T125='check-Jul25'!T125,"",'1. Live'!T125-'check-Jul25'!T125)</f>
        <v/>
      </c>
      <c r="U125" t="str">
        <f>IF('1. Live'!U125='check-Jul25'!U125,"",'1. Live'!U125-'check-Jul25'!U125)</f>
        <v/>
      </c>
      <c r="V125" t="str">
        <f>IF('1. Live'!V125='check-Jul25'!V125,"",'1. Live'!V125-'check-Jul25'!V125)</f>
        <v/>
      </c>
      <c r="W125" t="str">
        <f>IF('1. Live'!W125='check-Jul25'!W125,"",'1. Live'!W125-'check-Jul25'!W125)</f>
        <v/>
      </c>
      <c r="X125" t="str">
        <f>IF('1. Live'!X125='check-Jul25'!X125,"",'1. Live'!X125-'check-Jul25'!X125)</f>
        <v/>
      </c>
      <c r="Y125" t="str">
        <f>IF('1. Live'!Y125='check-Jul25'!Y125,"",'1. Live'!Y125-'check-Jul25'!Y125)</f>
        <v/>
      </c>
      <c r="Z125" t="str">
        <f>IF('1. Live'!Z125='check-Jul25'!Z125,"",'1. Live'!Z125-'check-Jul25'!Z125)</f>
        <v/>
      </c>
      <c r="AA125" t="str">
        <f>IF('1. Live'!AA125='check-Jul25'!AA125,"",'1. Live'!AA125-'check-Jul25'!AA125)</f>
        <v/>
      </c>
      <c r="AB125" t="str">
        <f>IF('1. Live'!AB125='check-Jul25'!AB125,"",'1. Live'!AB125-'check-Jul25'!AB125)</f>
        <v/>
      </c>
      <c r="AC125" t="str">
        <f>IF('1. Live'!AC125='check-Jul25'!AC125,"",'1. Live'!AC125-'check-Jul25'!AC125)</f>
        <v/>
      </c>
      <c r="AD125" t="str">
        <f>IF('1. Live'!AD125='check-Jul25'!AD125,"",'1. Live'!AD125-'check-Jul25'!AD125)</f>
        <v/>
      </c>
      <c r="AE125" t="str">
        <f>IF('1. Live'!AE125='check-Jul25'!AE125,"",'1. Live'!AE125-'check-Jul25'!AE125)</f>
        <v/>
      </c>
      <c r="AF125" t="str">
        <f>IF('1. Live'!AF125='check-Jul25'!AF125,"",'1. Live'!AF125-'check-Jul25'!AF125)</f>
        <v/>
      </c>
      <c r="AG125" t="str">
        <f>IF('1. Live'!AG125='check-Jul25'!AG125,"",'1. Live'!AG125-'check-Jul25'!AG125)</f>
        <v/>
      </c>
      <c r="AH125" t="str">
        <f>IF('1. Live'!AH125='check-Jul25'!AH125,"",'1. Live'!AH125-'check-Jul25'!AH125)</f>
        <v/>
      </c>
      <c r="AI125" t="str">
        <f>IF('1. Live'!AI125='check-Jul25'!AI125,"",'1. Live'!AI125-'check-Jul25'!AI125)</f>
        <v/>
      </c>
      <c r="AJ125" t="str">
        <f>IF('1. Live'!AJ125='check-Jul25'!AJ125,"",'1. Live'!AJ125-'check-Jul25'!AJ125)</f>
        <v/>
      </c>
      <c r="AK125" t="str">
        <f>IF('1. Live'!AK125='check-Jul25'!AK125,"",'1. Live'!AK125-'check-Jul25'!AK125)</f>
        <v/>
      </c>
      <c r="AL125" t="str">
        <f>IF('1. Live'!AL125='check-Jul25'!AL125,"",'1. Live'!AL125-'check-Jul25'!AL125)</f>
        <v/>
      </c>
      <c r="AM125" t="str">
        <f>IF('1. Live'!AM125='check-Jul25'!AM125,"",'1. Live'!AM125-'check-Jul25'!AM125)</f>
        <v/>
      </c>
      <c r="AN125" t="str">
        <f>IF('1. Live'!AN125='check-Jul25'!AN125,"",'1. Live'!AN125-'check-Jul25'!AN125)</f>
        <v/>
      </c>
      <c r="AO125" t="str">
        <f>IF('1. Live'!AO125='check-Jul25'!AO125,"",'1. Live'!AO125-'check-Jul25'!AO125)</f>
        <v/>
      </c>
      <c r="AP125" t="str">
        <f>IF('1. Live'!AP125='check-Jul25'!AP125,"",'1. Live'!AP125-'check-Jul25'!AP125)</f>
        <v/>
      </c>
      <c r="AQ125" t="str">
        <f>IF('1. Live'!AQ125='check-Jul25'!AQ125,"",'1. Live'!AQ125-'check-Jul25'!AQ125)</f>
        <v/>
      </c>
      <c r="AR125" t="str">
        <f>IF('1. Live'!AR125='check-Jul25'!AR125,"",'1. Live'!AR125-'check-Jul25'!AR125)</f>
        <v/>
      </c>
      <c r="AS125" t="str">
        <f>IF('1. Live'!AS125='check-Jul25'!AS125,"",'1. Live'!AS125-'check-Jul25'!AS125)</f>
        <v/>
      </c>
      <c r="AT125" t="str">
        <f>IF('1. Live'!AT125='check-Jul25'!AT125,"",'1. Live'!AT125-'check-Jul25'!AT125)</f>
        <v/>
      </c>
      <c r="AU125" t="str">
        <f>IF('1. Live'!AU125='check-Jul25'!AU125,"",'1. Live'!AU125-'check-Jul25'!AU125)</f>
        <v/>
      </c>
      <c r="AV125" t="str">
        <f>IF('1. Live'!AV125='check-Jul25'!AV125,"",'1. Live'!AV125-'check-Jul25'!AV125)</f>
        <v/>
      </c>
      <c r="AW125" t="str">
        <f>IF('1. Live'!AW125='check-Jul25'!AW125,"",'1. Live'!AW125-'check-Jul25'!AW125)</f>
        <v/>
      </c>
      <c r="AX125" t="str">
        <f>IF('1. Live'!AX125='check-Jul25'!AX125,"",'1. Live'!AX125-'check-Jul25'!AX125)</f>
        <v/>
      </c>
      <c r="AY125" t="str">
        <f>IF('1. Live'!AY125='check-Jul25'!AY125,"",'1. Live'!AY125-'check-Jul25'!AY125)</f>
        <v/>
      </c>
      <c r="AZ125" t="str">
        <f>IF('1. Live'!AZ125='check-Jul25'!AZ125,"",'1. Live'!AZ125-'check-Jul25'!AZ125)</f>
        <v/>
      </c>
      <c r="BA125" t="str">
        <f>IF('1. Live'!BA125='check-Jul25'!BA125,"",'1. Live'!BA125-'check-Jul25'!BA125)</f>
        <v/>
      </c>
      <c r="BB125" t="str">
        <f>IF('1. Live'!BB125='check-Jul25'!BB125,"",'1. Live'!BB125-'check-Jul25'!BB125)</f>
        <v/>
      </c>
      <c r="BC125" t="str">
        <f>IF('1. Live'!BC125='check-Jul25'!BC125,"",'1. Live'!BC125-'check-Jul25'!BC125)</f>
        <v/>
      </c>
      <c r="BD125" t="str">
        <f>IF('1. Live'!BD125='check-Jul25'!BD125,"",'1. Live'!BD125-'check-Jul25'!BD125)</f>
        <v/>
      </c>
      <c r="BE125" t="str">
        <f>IF('1. Live'!BE125='check-Jul25'!BE125,"",'1. Live'!BE125-'check-Jul25'!BE125)</f>
        <v/>
      </c>
      <c r="BF125" t="str">
        <f>IF('1. Live'!BF125='check-Jul25'!BF125,"",'1. Live'!BF125-'check-Jul25'!BF125)</f>
        <v/>
      </c>
      <c r="BG125" t="str">
        <f>IF('1. Live'!BG125='check-Jul25'!BG125,"",'1. Live'!BG125-'check-Jul25'!BG125)</f>
        <v/>
      </c>
      <c r="BH125" t="str">
        <f>IF('1. Live'!BH125='check-Jul25'!BH125,"",'1. Live'!BH125-'check-Jul25'!BH125)</f>
        <v/>
      </c>
      <c r="BI125" t="str">
        <f>IF('1. Live'!BI125='check-Jul25'!BI125,"",'1. Live'!BI125-'check-Jul25'!BI125)</f>
        <v/>
      </c>
      <c r="BJ125" t="str">
        <f>IF('1. Live'!BJ125='check-Jul25'!BJ125,"",'1. Live'!BJ125-'check-Jul25'!BJ125)</f>
        <v/>
      </c>
      <c r="BK125" t="str">
        <f>IF('1. Live'!BK125='check-Jul25'!BK125,"",'1. Live'!BK125-'check-Jul25'!BK125)</f>
        <v/>
      </c>
      <c r="BL125" t="str">
        <f>IF('1. Live'!BL125='check-Jul25'!BL125,"",'1. Live'!BL125-'check-Jul25'!BL125)</f>
        <v/>
      </c>
      <c r="BM125" t="str">
        <f>IF('1. Live'!BM125='check-Jul25'!BM125,"",'1. Live'!BM125-'check-Jul25'!BM125)</f>
        <v/>
      </c>
      <c r="BN125" t="str">
        <f>IF('1. Live'!BN125='check-Jul25'!BN125,"",'1. Live'!BN125-'check-Jul25'!BN125)</f>
        <v/>
      </c>
      <c r="BO125" t="str">
        <f>IF('1. Live'!BO125='check-Jul25'!BO125,"",'1. Live'!BO125-'check-Jul25'!BO125)</f>
        <v/>
      </c>
      <c r="BP125" t="str">
        <f>IF('1. Live'!BP125='check-Jul25'!BP125,"",'1. Live'!BP125-'check-Jul25'!BP125)</f>
        <v/>
      </c>
      <c r="BQ125" t="str">
        <f>IF('1. Live'!BQ125='check-Jul25'!BQ125,"",'1. Live'!BQ125-'check-Jul25'!BQ125)</f>
        <v/>
      </c>
      <c r="BR125" t="str">
        <f>IF('1. Live'!BR125='check-Jul25'!BR125,"",'1. Live'!BR125-'check-Jul25'!BR125)</f>
        <v/>
      </c>
      <c r="BS125" t="str">
        <f>IF('1. Live'!BS125='check-Jul25'!BS125,"",'1. Live'!BS125-'check-Jul25'!BS125)</f>
        <v/>
      </c>
      <c r="BT125" t="str">
        <f>IF('1. Live'!BT125='check-Jul25'!BT125,"",'1. Live'!BT125-'check-Jul25'!BT125)</f>
        <v/>
      </c>
      <c r="BU125" t="str">
        <f>IF('1. Live'!BU125='check-Jul25'!BU125,"",'1. Live'!BU125-'check-Jul25'!BU125)</f>
        <v/>
      </c>
      <c r="BV125" t="str">
        <f>IF('1. Live'!BV125='check-Jul25'!BV125,"",'1. Live'!BV125-'check-Jul25'!BV125)</f>
        <v/>
      </c>
      <c r="BW125" t="str">
        <f>IF('1. Live'!BW125='check-Jul25'!BW125,"",'1. Live'!BW125-'check-Jul25'!BW125)</f>
        <v/>
      </c>
      <c r="BX125" t="str">
        <f>IF('1. Live'!BX125='check-Jul25'!BX125,"",'1. Live'!BX125-'check-Jul25'!BX125)</f>
        <v/>
      </c>
      <c r="BY125" t="str">
        <f>IF('1. Live'!BY125='check-Jul25'!BY125,"",'1. Live'!BY125-'check-Jul25'!BY125)</f>
        <v/>
      </c>
      <c r="BZ125" t="str">
        <f>IF('1. Live'!BZ125='check-Jul25'!BZ125,"",'1. Live'!BZ125-'check-Jul25'!BZ125)</f>
        <v/>
      </c>
      <c r="CA125" t="str">
        <f>IF('1. Live'!CA125='check-Jul25'!CA125,"",'1. Live'!CA125-'check-Jul25'!CA125)</f>
        <v/>
      </c>
      <c r="CB125" t="str">
        <f>IF('1. Live'!CB125='check-Jul25'!CB125,"",'1. Live'!CB125-'check-Jul25'!CB125)</f>
        <v/>
      </c>
      <c r="CC125" t="str">
        <f>IF('1. Live'!CC125='check-Jul25'!CC125,"",'1. Live'!CC125-'check-Jul25'!CC125)</f>
        <v/>
      </c>
      <c r="CD125" t="str">
        <f>IF('1. Live'!CD125='check-Jul25'!CD125,"",'1. Live'!CD125-'check-Jul25'!CD125)</f>
        <v/>
      </c>
      <c r="CE125" t="str">
        <f>IF('1. Live'!CE125='check-Jul25'!CE125,"",'1. Live'!CE125-'check-Jul25'!CE125)</f>
        <v/>
      </c>
      <c r="CF125" t="str">
        <f>IF('1. Live'!CF125='check-Jul25'!CF125,"",'1. Live'!CF125-'check-Jul25'!CF125)</f>
        <v/>
      </c>
      <c r="CG125" t="str">
        <f>IF('1. Live'!CG125='check-Jul25'!CG125,"",'1. Live'!CG125-'check-Jul25'!CG125)</f>
        <v/>
      </c>
      <c r="CH125" t="str">
        <f>IF('1. Live'!CH125='check-Jul25'!CH125,"",'1. Live'!CH125-'check-Jul25'!CH125)</f>
        <v/>
      </c>
      <c r="CI125" t="str">
        <f>IF('1. Live'!CI125='check-Jul25'!CI125,"",'1. Live'!CI125-'check-Jul25'!CI125)</f>
        <v/>
      </c>
      <c r="CJ125" t="str">
        <f>IF('1. Live'!CJ125='check-Jul25'!CJ125,"",'1. Live'!CJ125-'check-Jul25'!CJ125)</f>
        <v/>
      </c>
      <c r="CK125" t="str">
        <f>IF('1. Live'!CK125='check-Jul25'!CK125,"",'1. Live'!CK125-'check-Jul25'!CK125)</f>
        <v/>
      </c>
      <c r="CL125" t="str">
        <f>IF('1. Live'!CL125='check-Jul25'!CL125,"",'1. Live'!CL125-'check-Jul25'!CL125)</f>
        <v/>
      </c>
      <c r="CM125" t="str">
        <f>IF('1. Live'!CM125='check-Jul25'!CM125,"",'1. Live'!CM125-'check-Jul25'!CM125)</f>
        <v/>
      </c>
      <c r="CN125" t="str">
        <f>IF('1. Live'!CN125='check-Jul25'!CN125,"",'1. Live'!CN125-'check-Jul25'!CN125)</f>
        <v/>
      </c>
      <c r="CO125" t="str">
        <f>IF('1. Live'!CO125='check-Jul25'!CO125,"",'1. Live'!CO125-'check-Jul25'!CO125)</f>
        <v/>
      </c>
      <c r="CP125" t="str">
        <f>IF('1. Live'!CP125='check-Jul25'!CP125,"",'1. Live'!CP125-'check-Jul25'!CP125)</f>
        <v/>
      </c>
      <c r="CQ125" t="str">
        <f>IF('1. Live'!CQ125='check-Jul25'!CQ125,"",'1. Live'!CQ125-'check-Jul25'!CQ125)</f>
        <v/>
      </c>
      <c r="CR125" t="str">
        <f>IF('1. Live'!CR125='check-Jul25'!CR125,"",'1. Live'!CR125-'check-Jul25'!CR125)</f>
        <v/>
      </c>
      <c r="CS125" t="str">
        <f>IF('1. Live'!CS125='check-Jul25'!CS125,"",'1. Live'!CS125-'check-Jul25'!CS125)</f>
        <v/>
      </c>
      <c r="CT125" t="str">
        <f>IF('1. Live'!CT125='check-Jul25'!CT125,"",'1. Live'!CT125-'check-Jul25'!CT125)</f>
        <v/>
      </c>
      <c r="CU125" t="str">
        <f>IF('1. Live'!CU125='check-Jul25'!CU125,"",'1. Live'!CU125-'check-Jul25'!CU125)</f>
        <v/>
      </c>
      <c r="CV125" t="str">
        <f>IF('1. Live'!CV125='check-Jul25'!CV125,"",'1. Live'!CV125-'check-Jul25'!CV125)</f>
        <v/>
      </c>
      <c r="CW125" t="str">
        <f>IF('1. Live'!CW125='check-Jul25'!CW125,"",'1. Live'!CW125-'check-Jul25'!CW125)</f>
        <v/>
      </c>
    </row>
    <row r="126" spans="10:101">
      <c r="J126" t="str">
        <f>IF('1. Live'!J126='check-Jul25'!J126,"",'1. Live'!J126-'check-Jul25'!J126)</f>
        <v/>
      </c>
      <c r="K126" t="str">
        <f>IF('1. Live'!K126='check-Jul25'!K126,"",'1. Live'!K126-'check-Jul25'!K126)</f>
        <v/>
      </c>
      <c r="L126" t="str">
        <f>IF('1. Live'!L126='check-Jul25'!L126,"",'1. Live'!L126-'check-Jul25'!L126)</f>
        <v/>
      </c>
      <c r="M126" t="str">
        <f>IF('1. Live'!M126='check-Jul25'!M126,"",'1. Live'!M126-'check-Jul25'!M126)</f>
        <v/>
      </c>
      <c r="N126" t="str">
        <f>IF('1. Live'!N126='check-Jul25'!N126,"",'1. Live'!N126-'check-Jul25'!N126)</f>
        <v/>
      </c>
      <c r="O126" t="str">
        <f>IF('1. Live'!O126='check-Jul25'!O126,"",'1. Live'!O126-'check-Jul25'!O126)</f>
        <v/>
      </c>
      <c r="P126" t="str">
        <f>IF('1. Live'!P126='check-Jul25'!P126,"",'1. Live'!P126-'check-Jul25'!P126)</f>
        <v/>
      </c>
      <c r="Q126" t="str">
        <f>IF('1. Live'!Q126='check-Jul25'!Q126,"",'1. Live'!Q126-'check-Jul25'!Q126)</f>
        <v/>
      </c>
      <c r="R126" t="str">
        <f>IF('1. Live'!R126='check-Jul25'!R126,"",'1. Live'!R126-'check-Jul25'!R126)</f>
        <v/>
      </c>
      <c r="S126" t="str">
        <f>IF('1. Live'!S126='check-Jul25'!S126,"",'1. Live'!S126-'check-Jul25'!S126)</f>
        <v/>
      </c>
      <c r="T126" t="str">
        <f>IF('1. Live'!T126='check-Jul25'!T126,"",'1. Live'!T126-'check-Jul25'!T126)</f>
        <v/>
      </c>
      <c r="U126" t="str">
        <f>IF('1. Live'!U126='check-Jul25'!U126,"",'1. Live'!U126-'check-Jul25'!U126)</f>
        <v/>
      </c>
      <c r="V126" t="str">
        <f>IF('1. Live'!V126='check-Jul25'!V126,"",'1. Live'!V126-'check-Jul25'!V126)</f>
        <v/>
      </c>
      <c r="W126" t="str">
        <f>IF('1. Live'!W126='check-Jul25'!W126,"",'1. Live'!W126-'check-Jul25'!W126)</f>
        <v/>
      </c>
      <c r="X126" t="str">
        <f>IF('1. Live'!X126='check-Jul25'!X126,"",'1. Live'!X126-'check-Jul25'!X126)</f>
        <v/>
      </c>
      <c r="Y126" t="str">
        <f>IF('1. Live'!Y126='check-Jul25'!Y126,"",'1. Live'!Y126-'check-Jul25'!Y126)</f>
        <v/>
      </c>
      <c r="Z126" t="str">
        <f>IF('1. Live'!Z126='check-Jul25'!Z126,"",'1. Live'!Z126-'check-Jul25'!Z126)</f>
        <v/>
      </c>
      <c r="AA126" t="str">
        <f>IF('1. Live'!AA126='check-Jul25'!AA126,"",'1. Live'!AA126-'check-Jul25'!AA126)</f>
        <v/>
      </c>
      <c r="AB126" t="str">
        <f>IF('1. Live'!AB126='check-Jul25'!AB126,"",'1. Live'!AB126-'check-Jul25'!AB126)</f>
        <v/>
      </c>
      <c r="AC126" t="str">
        <f>IF('1. Live'!AC126='check-Jul25'!AC126,"",'1. Live'!AC126-'check-Jul25'!AC126)</f>
        <v/>
      </c>
      <c r="AD126" t="str">
        <f>IF('1. Live'!AD126='check-Jul25'!AD126,"",'1. Live'!AD126-'check-Jul25'!AD126)</f>
        <v/>
      </c>
      <c r="AE126" t="str">
        <f>IF('1. Live'!AE126='check-Jul25'!AE126,"",'1. Live'!AE126-'check-Jul25'!AE126)</f>
        <v/>
      </c>
      <c r="AF126" t="str">
        <f>IF('1. Live'!AF126='check-Jul25'!AF126,"",'1. Live'!AF126-'check-Jul25'!AF126)</f>
        <v/>
      </c>
      <c r="AG126" t="str">
        <f>IF('1. Live'!AG126='check-Jul25'!AG126,"",'1. Live'!AG126-'check-Jul25'!AG126)</f>
        <v/>
      </c>
      <c r="AH126" t="str">
        <f>IF('1. Live'!AH126='check-Jul25'!AH126,"",'1. Live'!AH126-'check-Jul25'!AH126)</f>
        <v/>
      </c>
      <c r="AI126" t="str">
        <f>IF('1. Live'!AI126='check-Jul25'!AI126,"",'1. Live'!AI126-'check-Jul25'!AI126)</f>
        <v/>
      </c>
      <c r="AJ126" t="str">
        <f>IF('1. Live'!AJ126='check-Jul25'!AJ126,"",'1. Live'!AJ126-'check-Jul25'!AJ126)</f>
        <v/>
      </c>
      <c r="AK126" t="str">
        <f>IF('1. Live'!AK126='check-Jul25'!AK126,"",'1. Live'!AK126-'check-Jul25'!AK126)</f>
        <v/>
      </c>
      <c r="AL126" t="str">
        <f>IF('1. Live'!AL126='check-Jul25'!AL126,"",'1. Live'!AL126-'check-Jul25'!AL126)</f>
        <v/>
      </c>
      <c r="AM126" t="str">
        <f>IF('1. Live'!AM126='check-Jul25'!AM126,"",'1. Live'!AM126-'check-Jul25'!AM126)</f>
        <v/>
      </c>
      <c r="AN126" t="str">
        <f>IF('1. Live'!AN126='check-Jul25'!AN126,"",'1. Live'!AN126-'check-Jul25'!AN126)</f>
        <v/>
      </c>
      <c r="AO126" t="str">
        <f>IF('1. Live'!AO126='check-Jul25'!AO126,"",'1. Live'!AO126-'check-Jul25'!AO126)</f>
        <v/>
      </c>
      <c r="AP126" t="str">
        <f>IF('1. Live'!AP126='check-Jul25'!AP126,"",'1. Live'!AP126-'check-Jul25'!AP126)</f>
        <v/>
      </c>
      <c r="AQ126" t="str">
        <f>IF('1. Live'!AQ126='check-Jul25'!AQ126,"",'1. Live'!AQ126-'check-Jul25'!AQ126)</f>
        <v/>
      </c>
      <c r="AR126" t="str">
        <f>IF('1. Live'!AR126='check-Jul25'!AR126,"",'1. Live'!AR126-'check-Jul25'!AR126)</f>
        <v/>
      </c>
      <c r="AS126" t="str">
        <f>IF('1. Live'!AS126='check-Jul25'!AS126,"",'1. Live'!AS126-'check-Jul25'!AS126)</f>
        <v/>
      </c>
      <c r="AT126" t="str">
        <f>IF('1. Live'!AT126='check-Jul25'!AT126,"",'1. Live'!AT126-'check-Jul25'!AT126)</f>
        <v/>
      </c>
      <c r="AU126" t="str">
        <f>IF('1. Live'!AU126='check-Jul25'!AU126,"",'1. Live'!AU126-'check-Jul25'!AU126)</f>
        <v/>
      </c>
      <c r="AV126" t="str">
        <f>IF('1. Live'!AV126='check-Jul25'!AV126,"",'1. Live'!AV126-'check-Jul25'!AV126)</f>
        <v/>
      </c>
      <c r="AW126" t="str">
        <f>IF('1. Live'!AW126='check-Jul25'!AW126,"",'1. Live'!AW126-'check-Jul25'!AW126)</f>
        <v/>
      </c>
      <c r="AX126" t="str">
        <f>IF('1. Live'!AX126='check-Jul25'!AX126,"",'1. Live'!AX126-'check-Jul25'!AX126)</f>
        <v/>
      </c>
      <c r="AY126" t="str">
        <f>IF('1. Live'!AY126='check-Jul25'!AY126,"",'1. Live'!AY126-'check-Jul25'!AY126)</f>
        <v/>
      </c>
      <c r="AZ126" t="str">
        <f>IF('1. Live'!AZ126='check-Jul25'!AZ126,"",'1. Live'!AZ126-'check-Jul25'!AZ126)</f>
        <v/>
      </c>
      <c r="BA126" t="str">
        <f>IF('1. Live'!BA126='check-Jul25'!BA126,"",'1. Live'!BA126-'check-Jul25'!BA126)</f>
        <v/>
      </c>
      <c r="BB126" t="str">
        <f>IF('1. Live'!BB126='check-Jul25'!BB126,"",'1. Live'!BB126-'check-Jul25'!BB126)</f>
        <v/>
      </c>
      <c r="BC126" t="str">
        <f>IF('1. Live'!BC126='check-Jul25'!BC126,"",'1. Live'!BC126-'check-Jul25'!BC126)</f>
        <v/>
      </c>
      <c r="BD126" t="str">
        <f>IF('1. Live'!BD126='check-Jul25'!BD126,"",'1. Live'!BD126-'check-Jul25'!BD126)</f>
        <v/>
      </c>
      <c r="BE126" t="str">
        <f>IF('1. Live'!BE126='check-Jul25'!BE126,"",'1. Live'!BE126-'check-Jul25'!BE126)</f>
        <v/>
      </c>
      <c r="BF126" t="str">
        <f>IF('1. Live'!BF126='check-Jul25'!BF126,"",'1. Live'!BF126-'check-Jul25'!BF126)</f>
        <v/>
      </c>
      <c r="BG126" t="str">
        <f>IF('1. Live'!BG126='check-Jul25'!BG126,"",'1. Live'!BG126-'check-Jul25'!BG126)</f>
        <v/>
      </c>
      <c r="BH126" t="str">
        <f>IF('1. Live'!BH126='check-Jul25'!BH126,"",'1. Live'!BH126-'check-Jul25'!BH126)</f>
        <v/>
      </c>
      <c r="BI126" t="str">
        <f>IF('1. Live'!BI126='check-Jul25'!BI126,"",'1. Live'!BI126-'check-Jul25'!BI126)</f>
        <v/>
      </c>
      <c r="BJ126" t="str">
        <f>IF('1. Live'!BJ126='check-Jul25'!BJ126,"",'1. Live'!BJ126-'check-Jul25'!BJ126)</f>
        <v/>
      </c>
      <c r="BK126" t="str">
        <f>IF('1. Live'!BK126='check-Jul25'!BK126,"",'1. Live'!BK126-'check-Jul25'!BK126)</f>
        <v/>
      </c>
      <c r="BL126" t="str">
        <f>IF('1. Live'!BL126='check-Jul25'!BL126,"",'1. Live'!BL126-'check-Jul25'!BL126)</f>
        <v/>
      </c>
      <c r="BM126" t="str">
        <f>IF('1. Live'!BM126='check-Jul25'!BM126,"",'1. Live'!BM126-'check-Jul25'!BM126)</f>
        <v/>
      </c>
      <c r="BN126" t="str">
        <f>IF('1. Live'!BN126='check-Jul25'!BN126,"",'1. Live'!BN126-'check-Jul25'!BN126)</f>
        <v/>
      </c>
      <c r="BO126" t="str">
        <f>IF('1. Live'!BO126='check-Jul25'!BO126,"",'1. Live'!BO126-'check-Jul25'!BO126)</f>
        <v/>
      </c>
      <c r="BP126" t="str">
        <f>IF('1. Live'!BP126='check-Jul25'!BP126,"",'1. Live'!BP126-'check-Jul25'!BP126)</f>
        <v/>
      </c>
      <c r="BQ126" t="str">
        <f>IF('1. Live'!BQ126='check-Jul25'!BQ126,"",'1. Live'!BQ126-'check-Jul25'!BQ126)</f>
        <v/>
      </c>
      <c r="BR126" t="str">
        <f>IF('1. Live'!BR126='check-Jul25'!BR126,"",'1. Live'!BR126-'check-Jul25'!BR126)</f>
        <v/>
      </c>
      <c r="BS126" t="str">
        <f>IF('1. Live'!BS126='check-Jul25'!BS126,"",'1. Live'!BS126-'check-Jul25'!BS126)</f>
        <v/>
      </c>
      <c r="BT126" t="str">
        <f>IF('1. Live'!BT126='check-Jul25'!BT126,"",'1. Live'!BT126-'check-Jul25'!BT126)</f>
        <v/>
      </c>
      <c r="BU126" t="str">
        <f>IF('1. Live'!BU126='check-Jul25'!BU126,"",'1. Live'!BU126-'check-Jul25'!BU126)</f>
        <v/>
      </c>
      <c r="BV126" t="str">
        <f>IF('1. Live'!BV126='check-Jul25'!BV126,"",'1. Live'!BV126-'check-Jul25'!BV126)</f>
        <v/>
      </c>
      <c r="BW126" t="str">
        <f>IF('1. Live'!BW126='check-Jul25'!BW126,"",'1. Live'!BW126-'check-Jul25'!BW126)</f>
        <v/>
      </c>
      <c r="BX126" t="str">
        <f>IF('1. Live'!BX126='check-Jul25'!BX126,"",'1. Live'!BX126-'check-Jul25'!BX126)</f>
        <v/>
      </c>
      <c r="BY126" t="str">
        <f>IF('1. Live'!BY126='check-Jul25'!BY126,"",'1. Live'!BY126-'check-Jul25'!BY126)</f>
        <v/>
      </c>
      <c r="BZ126" t="str">
        <f>IF('1. Live'!BZ126='check-Jul25'!BZ126,"",'1. Live'!BZ126-'check-Jul25'!BZ126)</f>
        <v/>
      </c>
      <c r="CA126" t="str">
        <f>IF('1. Live'!CA126='check-Jul25'!CA126,"",'1. Live'!CA126-'check-Jul25'!CA126)</f>
        <v/>
      </c>
      <c r="CB126" t="str">
        <f>IF('1. Live'!CB126='check-Jul25'!CB126,"",'1. Live'!CB126-'check-Jul25'!CB126)</f>
        <v/>
      </c>
      <c r="CC126" t="str">
        <f>IF('1. Live'!CC126='check-Jul25'!CC126,"",'1. Live'!CC126-'check-Jul25'!CC126)</f>
        <v/>
      </c>
      <c r="CD126" t="str">
        <f>IF('1. Live'!CD126='check-Jul25'!CD126,"",'1. Live'!CD126-'check-Jul25'!CD126)</f>
        <v/>
      </c>
      <c r="CE126" t="str">
        <f>IF('1. Live'!CE126='check-Jul25'!CE126,"",'1. Live'!CE126-'check-Jul25'!CE126)</f>
        <v/>
      </c>
      <c r="CF126" t="str">
        <f>IF('1. Live'!CF126='check-Jul25'!CF126,"",'1. Live'!CF126-'check-Jul25'!CF126)</f>
        <v/>
      </c>
      <c r="CG126" t="str">
        <f>IF('1. Live'!CG126='check-Jul25'!CG126,"",'1. Live'!CG126-'check-Jul25'!CG126)</f>
        <v/>
      </c>
      <c r="CH126" t="str">
        <f>IF('1. Live'!CH126='check-Jul25'!CH126,"",'1. Live'!CH126-'check-Jul25'!CH126)</f>
        <v/>
      </c>
      <c r="CI126" t="str">
        <f>IF('1. Live'!CI126='check-Jul25'!CI126,"",'1. Live'!CI126-'check-Jul25'!CI126)</f>
        <v/>
      </c>
      <c r="CJ126" t="str">
        <f>IF('1. Live'!CJ126='check-Jul25'!CJ126,"",'1. Live'!CJ126-'check-Jul25'!CJ126)</f>
        <v/>
      </c>
      <c r="CK126" t="str">
        <f>IF('1. Live'!CK126='check-Jul25'!CK126,"",'1. Live'!CK126-'check-Jul25'!CK126)</f>
        <v/>
      </c>
      <c r="CL126" t="str">
        <f>IF('1. Live'!CL126='check-Jul25'!CL126,"",'1. Live'!CL126-'check-Jul25'!CL126)</f>
        <v/>
      </c>
      <c r="CM126" t="str">
        <f>IF('1. Live'!CM126='check-Jul25'!CM126,"",'1. Live'!CM126-'check-Jul25'!CM126)</f>
        <v/>
      </c>
      <c r="CN126" t="str">
        <f>IF('1. Live'!CN126='check-Jul25'!CN126,"",'1. Live'!CN126-'check-Jul25'!CN126)</f>
        <v/>
      </c>
      <c r="CO126" t="str">
        <f>IF('1. Live'!CO126='check-Jul25'!CO126,"",'1. Live'!CO126-'check-Jul25'!CO126)</f>
        <v/>
      </c>
      <c r="CP126" t="str">
        <f>IF('1. Live'!CP126='check-Jul25'!CP126,"",'1. Live'!CP126-'check-Jul25'!CP126)</f>
        <v/>
      </c>
      <c r="CQ126" t="str">
        <f>IF('1. Live'!CQ126='check-Jul25'!CQ126,"",'1. Live'!CQ126-'check-Jul25'!CQ126)</f>
        <v/>
      </c>
      <c r="CR126" t="str">
        <f>IF('1. Live'!CR126='check-Jul25'!CR126,"",'1. Live'!CR126-'check-Jul25'!CR126)</f>
        <v/>
      </c>
      <c r="CS126" t="str">
        <f>IF('1. Live'!CS126='check-Jul25'!CS126,"",'1. Live'!CS126-'check-Jul25'!CS126)</f>
        <v/>
      </c>
      <c r="CT126" t="str">
        <f>IF('1. Live'!CT126='check-Jul25'!CT126,"",'1. Live'!CT126-'check-Jul25'!CT126)</f>
        <v/>
      </c>
      <c r="CU126" t="str">
        <f>IF('1. Live'!CU126='check-Jul25'!CU126,"",'1. Live'!CU126-'check-Jul25'!CU126)</f>
        <v/>
      </c>
      <c r="CV126" t="str">
        <f>IF('1. Live'!CV126='check-Jul25'!CV126,"",'1. Live'!CV126-'check-Jul25'!CV126)</f>
        <v/>
      </c>
      <c r="CW126" t="str">
        <f>IF('1. Live'!CW126='check-Jul25'!CW126,"",'1. Live'!CW126-'check-Jul25'!CW126)</f>
        <v/>
      </c>
    </row>
    <row r="127" spans="10:101">
      <c r="J127" t="str">
        <f>IF('1. Live'!J127='check-Jul25'!J127,"",'1. Live'!J127-'check-Jul25'!J127)</f>
        <v/>
      </c>
      <c r="K127" t="str">
        <f>IF('1. Live'!K127='check-Jul25'!K127,"",'1. Live'!K127-'check-Jul25'!K127)</f>
        <v/>
      </c>
      <c r="L127" t="str">
        <f>IF('1. Live'!L127='check-Jul25'!L127,"",'1. Live'!L127-'check-Jul25'!L127)</f>
        <v/>
      </c>
      <c r="M127" t="str">
        <f>IF('1. Live'!M127='check-Jul25'!M127,"",'1. Live'!M127-'check-Jul25'!M127)</f>
        <v/>
      </c>
      <c r="N127" t="str">
        <f>IF('1. Live'!N127='check-Jul25'!N127,"",'1. Live'!N127-'check-Jul25'!N127)</f>
        <v/>
      </c>
      <c r="O127" t="str">
        <f>IF('1. Live'!O127='check-Jul25'!O127,"",'1. Live'!O127-'check-Jul25'!O127)</f>
        <v/>
      </c>
      <c r="P127" t="str">
        <f>IF('1. Live'!P127='check-Jul25'!P127,"",'1. Live'!P127-'check-Jul25'!P127)</f>
        <v/>
      </c>
      <c r="Q127" t="str">
        <f>IF('1. Live'!Q127='check-Jul25'!Q127,"",'1. Live'!Q127-'check-Jul25'!Q127)</f>
        <v/>
      </c>
      <c r="R127" t="str">
        <f>IF('1. Live'!R127='check-Jul25'!R127,"",'1. Live'!R127-'check-Jul25'!R127)</f>
        <v/>
      </c>
      <c r="S127" t="str">
        <f>IF('1. Live'!S127='check-Jul25'!S127,"",'1. Live'!S127-'check-Jul25'!S127)</f>
        <v/>
      </c>
      <c r="T127" t="str">
        <f>IF('1. Live'!T127='check-Jul25'!T127,"",'1. Live'!T127-'check-Jul25'!T127)</f>
        <v/>
      </c>
      <c r="U127" t="str">
        <f>IF('1. Live'!U127='check-Jul25'!U127,"",'1. Live'!U127-'check-Jul25'!U127)</f>
        <v/>
      </c>
      <c r="V127" t="str">
        <f>IF('1. Live'!V127='check-Jul25'!V127,"",'1. Live'!V127-'check-Jul25'!V127)</f>
        <v/>
      </c>
      <c r="W127" t="str">
        <f>IF('1. Live'!W127='check-Jul25'!W127,"",'1. Live'!W127-'check-Jul25'!W127)</f>
        <v/>
      </c>
      <c r="X127" t="str">
        <f>IF('1. Live'!X127='check-Jul25'!X127,"",'1. Live'!X127-'check-Jul25'!X127)</f>
        <v/>
      </c>
      <c r="Y127" t="str">
        <f>IF('1. Live'!Y127='check-Jul25'!Y127,"",'1. Live'!Y127-'check-Jul25'!Y127)</f>
        <v/>
      </c>
      <c r="Z127" t="str">
        <f>IF('1. Live'!Z127='check-Jul25'!Z127,"",'1. Live'!Z127-'check-Jul25'!Z127)</f>
        <v/>
      </c>
      <c r="AA127" t="str">
        <f>IF('1. Live'!AA127='check-Jul25'!AA127,"",'1. Live'!AA127-'check-Jul25'!AA127)</f>
        <v/>
      </c>
      <c r="AB127" t="str">
        <f>IF('1. Live'!AB127='check-Jul25'!AB127,"",'1. Live'!AB127-'check-Jul25'!AB127)</f>
        <v/>
      </c>
      <c r="AC127" t="str">
        <f>IF('1. Live'!AC127='check-Jul25'!AC127,"",'1. Live'!AC127-'check-Jul25'!AC127)</f>
        <v/>
      </c>
      <c r="AD127" t="str">
        <f>IF('1. Live'!AD127='check-Jul25'!AD127,"",'1. Live'!AD127-'check-Jul25'!AD127)</f>
        <v/>
      </c>
      <c r="AE127" t="str">
        <f>IF('1. Live'!AE127='check-Jul25'!AE127,"",'1. Live'!AE127-'check-Jul25'!AE127)</f>
        <v/>
      </c>
      <c r="AF127" t="str">
        <f>IF('1. Live'!AF127='check-Jul25'!AF127,"",'1. Live'!AF127-'check-Jul25'!AF127)</f>
        <v/>
      </c>
      <c r="AG127" t="str">
        <f>IF('1. Live'!AG127='check-Jul25'!AG127,"",'1. Live'!AG127-'check-Jul25'!AG127)</f>
        <v/>
      </c>
      <c r="AH127" t="str">
        <f>IF('1. Live'!AH127='check-Jul25'!AH127,"",'1. Live'!AH127-'check-Jul25'!AH127)</f>
        <v/>
      </c>
      <c r="AI127" t="str">
        <f>IF('1. Live'!AI127='check-Jul25'!AI127,"",'1. Live'!AI127-'check-Jul25'!AI127)</f>
        <v/>
      </c>
      <c r="AJ127" t="str">
        <f>IF('1. Live'!AJ127='check-Jul25'!AJ127,"",'1. Live'!AJ127-'check-Jul25'!AJ127)</f>
        <v/>
      </c>
      <c r="AK127" t="str">
        <f>IF('1. Live'!AK127='check-Jul25'!AK127,"",'1. Live'!AK127-'check-Jul25'!AK127)</f>
        <v/>
      </c>
      <c r="AL127" t="str">
        <f>IF('1. Live'!AL127='check-Jul25'!AL127,"",'1. Live'!AL127-'check-Jul25'!AL127)</f>
        <v/>
      </c>
      <c r="AM127" t="str">
        <f>IF('1. Live'!AM127='check-Jul25'!AM127,"",'1. Live'!AM127-'check-Jul25'!AM127)</f>
        <v/>
      </c>
      <c r="AN127" t="str">
        <f>IF('1. Live'!AN127='check-Jul25'!AN127,"",'1. Live'!AN127-'check-Jul25'!AN127)</f>
        <v/>
      </c>
      <c r="AO127" t="str">
        <f>IF('1. Live'!AO127='check-Jul25'!AO127,"",'1. Live'!AO127-'check-Jul25'!AO127)</f>
        <v/>
      </c>
      <c r="AP127" t="str">
        <f>IF('1. Live'!AP127='check-Jul25'!AP127,"",'1. Live'!AP127-'check-Jul25'!AP127)</f>
        <v/>
      </c>
      <c r="AQ127" t="str">
        <f>IF('1. Live'!AQ127='check-Jul25'!AQ127,"",'1. Live'!AQ127-'check-Jul25'!AQ127)</f>
        <v/>
      </c>
      <c r="AR127" t="str">
        <f>IF('1. Live'!AR127='check-Jul25'!AR127,"",'1. Live'!AR127-'check-Jul25'!AR127)</f>
        <v/>
      </c>
      <c r="AS127" t="str">
        <f>IF('1. Live'!AS127='check-Jul25'!AS127,"",'1. Live'!AS127-'check-Jul25'!AS127)</f>
        <v/>
      </c>
      <c r="AT127" t="str">
        <f>IF('1. Live'!AT127='check-Jul25'!AT127,"",'1. Live'!AT127-'check-Jul25'!AT127)</f>
        <v/>
      </c>
      <c r="AU127" t="str">
        <f>IF('1. Live'!AU127='check-Jul25'!AU127,"",'1. Live'!AU127-'check-Jul25'!AU127)</f>
        <v/>
      </c>
      <c r="AV127" t="str">
        <f>IF('1. Live'!AV127='check-Jul25'!AV127,"",'1. Live'!AV127-'check-Jul25'!AV127)</f>
        <v/>
      </c>
      <c r="AW127" t="str">
        <f>IF('1. Live'!AW127='check-Jul25'!AW127,"",'1. Live'!AW127-'check-Jul25'!AW127)</f>
        <v/>
      </c>
      <c r="AX127" t="str">
        <f>IF('1. Live'!AX127='check-Jul25'!AX127,"",'1. Live'!AX127-'check-Jul25'!AX127)</f>
        <v/>
      </c>
      <c r="AY127" t="str">
        <f>IF('1. Live'!AY127='check-Jul25'!AY127,"",'1. Live'!AY127-'check-Jul25'!AY127)</f>
        <v/>
      </c>
      <c r="AZ127" t="str">
        <f>IF('1. Live'!AZ127='check-Jul25'!AZ127,"",'1. Live'!AZ127-'check-Jul25'!AZ127)</f>
        <v/>
      </c>
      <c r="BA127" t="str">
        <f>IF('1. Live'!BA127='check-Jul25'!BA127,"",'1. Live'!BA127-'check-Jul25'!BA127)</f>
        <v/>
      </c>
      <c r="BB127" t="str">
        <f>IF('1. Live'!BB127='check-Jul25'!BB127,"",'1. Live'!BB127-'check-Jul25'!BB127)</f>
        <v/>
      </c>
      <c r="BC127" t="str">
        <f>IF('1. Live'!BC127='check-Jul25'!BC127,"",'1. Live'!BC127-'check-Jul25'!BC127)</f>
        <v/>
      </c>
      <c r="BD127" t="str">
        <f>IF('1. Live'!BD127='check-Jul25'!BD127,"",'1. Live'!BD127-'check-Jul25'!BD127)</f>
        <v/>
      </c>
      <c r="BE127" t="str">
        <f>IF('1. Live'!BE127='check-Jul25'!BE127,"",'1. Live'!BE127-'check-Jul25'!BE127)</f>
        <v/>
      </c>
      <c r="BF127" t="str">
        <f>IF('1. Live'!BF127='check-Jul25'!BF127,"",'1. Live'!BF127-'check-Jul25'!BF127)</f>
        <v/>
      </c>
      <c r="BG127" t="str">
        <f>IF('1. Live'!BG127='check-Jul25'!BG127,"",'1. Live'!BG127-'check-Jul25'!BG127)</f>
        <v/>
      </c>
      <c r="BH127" t="str">
        <f>IF('1. Live'!BH127='check-Jul25'!BH127,"",'1. Live'!BH127-'check-Jul25'!BH127)</f>
        <v/>
      </c>
      <c r="BI127" t="str">
        <f>IF('1. Live'!BI127='check-Jul25'!BI127,"",'1. Live'!BI127-'check-Jul25'!BI127)</f>
        <v/>
      </c>
      <c r="BJ127" t="str">
        <f>IF('1. Live'!BJ127='check-Jul25'!BJ127,"",'1. Live'!BJ127-'check-Jul25'!BJ127)</f>
        <v/>
      </c>
      <c r="BK127" t="str">
        <f>IF('1. Live'!BK127='check-Jul25'!BK127,"",'1. Live'!BK127-'check-Jul25'!BK127)</f>
        <v/>
      </c>
      <c r="BL127" t="str">
        <f>IF('1. Live'!BL127='check-Jul25'!BL127,"",'1. Live'!BL127-'check-Jul25'!BL127)</f>
        <v/>
      </c>
      <c r="BM127" t="str">
        <f>IF('1. Live'!BM127='check-Jul25'!BM127,"",'1. Live'!BM127-'check-Jul25'!BM127)</f>
        <v/>
      </c>
      <c r="BN127" t="str">
        <f>IF('1. Live'!BN127='check-Jul25'!BN127,"",'1. Live'!BN127-'check-Jul25'!BN127)</f>
        <v/>
      </c>
      <c r="BO127" t="str">
        <f>IF('1. Live'!BO127='check-Jul25'!BO127,"",'1. Live'!BO127-'check-Jul25'!BO127)</f>
        <v/>
      </c>
      <c r="BP127" t="str">
        <f>IF('1. Live'!BP127='check-Jul25'!BP127,"",'1. Live'!BP127-'check-Jul25'!BP127)</f>
        <v/>
      </c>
      <c r="BQ127" t="str">
        <f>IF('1. Live'!BQ127='check-Jul25'!BQ127,"",'1. Live'!BQ127-'check-Jul25'!BQ127)</f>
        <v/>
      </c>
      <c r="BR127" t="str">
        <f>IF('1. Live'!BR127='check-Jul25'!BR127,"",'1. Live'!BR127-'check-Jul25'!BR127)</f>
        <v/>
      </c>
      <c r="BS127" t="str">
        <f>IF('1. Live'!BS127='check-Jul25'!BS127,"",'1. Live'!BS127-'check-Jul25'!BS127)</f>
        <v/>
      </c>
      <c r="BT127" t="str">
        <f>IF('1. Live'!BT127='check-Jul25'!BT127,"",'1. Live'!BT127-'check-Jul25'!BT127)</f>
        <v/>
      </c>
      <c r="BU127" t="str">
        <f>IF('1. Live'!BU127='check-Jul25'!BU127,"",'1. Live'!BU127-'check-Jul25'!BU127)</f>
        <v/>
      </c>
      <c r="BV127" t="str">
        <f>IF('1. Live'!BV127='check-Jul25'!BV127,"",'1. Live'!BV127-'check-Jul25'!BV127)</f>
        <v/>
      </c>
      <c r="BW127" t="str">
        <f>IF('1. Live'!BW127='check-Jul25'!BW127,"",'1. Live'!BW127-'check-Jul25'!BW127)</f>
        <v/>
      </c>
      <c r="BX127" t="str">
        <f>IF('1. Live'!BX127='check-Jul25'!BX127,"",'1. Live'!BX127-'check-Jul25'!BX127)</f>
        <v/>
      </c>
      <c r="BY127" t="str">
        <f>IF('1. Live'!BY127='check-Jul25'!BY127,"",'1. Live'!BY127-'check-Jul25'!BY127)</f>
        <v/>
      </c>
      <c r="BZ127" t="str">
        <f>IF('1. Live'!BZ127='check-Jul25'!BZ127,"",'1. Live'!BZ127-'check-Jul25'!BZ127)</f>
        <v/>
      </c>
      <c r="CA127" t="str">
        <f>IF('1. Live'!CA127='check-Jul25'!CA127,"",'1. Live'!CA127-'check-Jul25'!CA127)</f>
        <v/>
      </c>
      <c r="CB127" t="str">
        <f>IF('1. Live'!CB127='check-Jul25'!CB127,"",'1. Live'!CB127-'check-Jul25'!CB127)</f>
        <v/>
      </c>
      <c r="CC127" t="str">
        <f>IF('1. Live'!CC127='check-Jul25'!CC127,"",'1. Live'!CC127-'check-Jul25'!CC127)</f>
        <v/>
      </c>
      <c r="CD127" t="str">
        <f>IF('1. Live'!CD127='check-Jul25'!CD127,"",'1. Live'!CD127-'check-Jul25'!CD127)</f>
        <v/>
      </c>
      <c r="CE127" t="str">
        <f>IF('1. Live'!CE127='check-Jul25'!CE127,"",'1. Live'!CE127-'check-Jul25'!CE127)</f>
        <v/>
      </c>
      <c r="CF127" t="str">
        <f>IF('1. Live'!CF127='check-Jul25'!CF127,"",'1. Live'!CF127-'check-Jul25'!CF127)</f>
        <v/>
      </c>
      <c r="CG127" t="str">
        <f>IF('1. Live'!CG127='check-Jul25'!CG127,"",'1. Live'!CG127-'check-Jul25'!CG127)</f>
        <v/>
      </c>
      <c r="CH127" t="str">
        <f>IF('1. Live'!CH127='check-Jul25'!CH127,"",'1. Live'!CH127-'check-Jul25'!CH127)</f>
        <v/>
      </c>
      <c r="CI127" t="str">
        <f>IF('1. Live'!CI127='check-Jul25'!CI127,"",'1. Live'!CI127-'check-Jul25'!CI127)</f>
        <v/>
      </c>
      <c r="CJ127" t="str">
        <f>IF('1. Live'!CJ127='check-Jul25'!CJ127,"",'1. Live'!CJ127-'check-Jul25'!CJ127)</f>
        <v/>
      </c>
      <c r="CK127" t="str">
        <f>IF('1. Live'!CK127='check-Jul25'!CK127,"",'1. Live'!CK127-'check-Jul25'!CK127)</f>
        <v/>
      </c>
      <c r="CL127" t="str">
        <f>IF('1. Live'!CL127='check-Jul25'!CL127,"",'1. Live'!CL127-'check-Jul25'!CL127)</f>
        <v/>
      </c>
      <c r="CM127" t="str">
        <f>IF('1. Live'!CM127='check-Jul25'!CM127,"",'1. Live'!CM127-'check-Jul25'!CM127)</f>
        <v/>
      </c>
      <c r="CN127" t="str">
        <f>IF('1. Live'!CN127='check-Jul25'!CN127,"",'1. Live'!CN127-'check-Jul25'!CN127)</f>
        <v/>
      </c>
      <c r="CO127" t="str">
        <f>IF('1. Live'!CO127='check-Jul25'!CO127,"",'1. Live'!CO127-'check-Jul25'!CO127)</f>
        <v/>
      </c>
      <c r="CP127" t="str">
        <f>IF('1. Live'!CP127='check-Jul25'!CP127,"",'1. Live'!CP127-'check-Jul25'!CP127)</f>
        <v/>
      </c>
      <c r="CQ127" t="str">
        <f>IF('1. Live'!CQ127='check-Jul25'!CQ127,"",'1. Live'!CQ127-'check-Jul25'!CQ127)</f>
        <v/>
      </c>
      <c r="CR127" t="str">
        <f>IF('1. Live'!CR127='check-Jul25'!CR127,"",'1. Live'!CR127-'check-Jul25'!CR127)</f>
        <v/>
      </c>
      <c r="CS127" t="str">
        <f>IF('1. Live'!CS127='check-Jul25'!CS127,"",'1. Live'!CS127-'check-Jul25'!CS127)</f>
        <v/>
      </c>
      <c r="CT127" t="str">
        <f>IF('1. Live'!CT127='check-Jul25'!CT127,"",'1. Live'!CT127-'check-Jul25'!CT127)</f>
        <v/>
      </c>
      <c r="CU127" t="str">
        <f>IF('1. Live'!CU127='check-Jul25'!CU127,"",'1. Live'!CU127-'check-Jul25'!CU127)</f>
        <v/>
      </c>
      <c r="CV127" t="str">
        <f>IF('1. Live'!CV127='check-Jul25'!CV127,"",'1. Live'!CV127-'check-Jul25'!CV127)</f>
        <v/>
      </c>
      <c r="CW127" t="str">
        <f>IF('1. Live'!CW127='check-Jul25'!CW127,"",'1. Live'!CW127-'check-Jul25'!CW127)</f>
        <v/>
      </c>
    </row>
    <row r="128" spans="10:101">
      <c r="J128" t="str">
        <f>IF('1. Live'!J128='check-Jul25'!J128,"",'1. Live'!J128-'check-Jul25'!J128)</f>
        <v/>
      </c>
      <c r="K128" t="str">
        <f>IF('1. Live'!K128='check-Jul25'!K128,"",'1. Live'!K128-'check-Jul25'!K128)</f>
        <v/>
      </c>
      <c r="L128" t="str">
        <f>IF('1. Live'!L128='check-Jul25'!L128,"",'1. Live'!L128-'check-Jul25'!L128)</f>
        <v/>
      </c>
      <c r="M128" t="str">
        <f>IF('1. Live'!M128='check-Jul25'!M128,"",'1. Live'!M128-'check-Jul25'!M128)</f>
        <v/>
      </c>
      <c r="N128" t="str">
        <f>IF('1. Live'!N128='check-Jul25'!N128,"",'1. Live'!N128-'check-Jul25'!N128)</f>
        <v/>
      </c>
      <c r="O128" t="str">
        <f>IF('1. Live'!O128='check-Jul25'!O128,"",'1. Live'!O128-'check-Jul25'!O128)</f>
        <v/>
      </c>
      <c r="P128" t="str">
        <f>IF('1. Live'!P128='check-Jul25'!P128,"",'1. Live'!P128-'check-Jul25'!P128)</f>
        <v/>
      </c>
      <c r="Q128" t="str">
        <f>IF('1. Live'!Q128='check-Jul25'!Q128,"",'1. Live'!Q128-'check-Jul25'!Q128)</f>
        <v/>
      </c>
      <c r="R128" t="str">
        <f>IF('1. Live'!R128='check-Jul25'!R128,"",'1. Live'!R128-'check-Jul25'!R128)</f>
        <v/>
      </c>
      <c r="S128" t="str">
        <f>IF('1. Live'!S128='check-Jul25'!S128,"",'1. Live'!S128-'check-Jul25'!S128)</f>
        <v/>
      </c>
      <c r="T128" t="str">
        <f>IF('1. Live'!T128='check-Jul25'!T128,"",'1. Live'!T128-'check-Jul25'!T128)</f>
        <v/>
      </c>
      <c r="U128" t="str">
        <f>IF('1. Live'!U128='check-Jul25'!U128,"",'1. Live'!U128-'check-Jul25'!U128)</f>
        <v/>
      </c>
      <c r="V128" t="str">
        <f>IF('1. Live'!V128='check-Jul25'!V128,"",'1. Live'!V128-'check-Jul25'!V128)</f>
        <v/>
      </c>
      <c r="W128" t="str">
        <f>IF('1. Live'!W128='check-Jul25'!W128,"",'1. Live'!W128-'check-Jul25'!W128)</f>
        <v/>
      </c>
      <c r="X128" t="str">
        <f>IF('1. Live'!X128='check-Jul25'!X128,"",'1. Live'!X128-'check-Jul25'!X128)</f>
        <v/>
      </c>
      <c r="Y128" t="str">
        <f>IF('1. Live'!Y128='check-Jul25'!Y128,"",'1. Live'!Y128-'check-Jul25'!Y128)</f>
        <v/>
      </c>
      <c r="Z128" t="str">
        <f>IF('1. Live'!Z128='check-Jul25'!Z128,"",'1. Live'!Z128-'check-Jul25'!Z128)</f>
        <v/>
      </c>
      <c r="AA128" t="str">
        <f>IF('1. Live'!AA128='check-Jul25'!AA128,"",'1. Live'!AA128-'check-Jul25'!AA128)</f>
        <v/>
      </c>
      <c r="AB128" t="str">
        <f>IF('1. Live'!AB128='check-Jul25'!AB128,"",'1. Live'!AB128-'check-Jul25'!AB128)</f>
        <v/>
      </c>
      <c r="AC128" t="str">
        <f>IF('1. Live'!AC128='check-Jul25'!AC128,"",'1. Live'!AC128-'check-Jul25'!AC128)</f>
        <v/>
      </c>
      <c r="AD128" t="str">
        <f>IF('1. Live'!AD128='check-Jul25'!AD128,"",'1. Live'!AD128-'check-Jul25'!AD128)</f>
        <v/>
      </c>
      <c r="AE128" t="str">
        <f>IF('1. Live'!AE128='check-Jul25'!AE128,"",'1. Live'!AE128-'check-Jul25'!AE128)</f>
        <v/>
      </c>
      <c r="AF128" t="str">
        <f>IF('1. Live'!AF128='check-Jul25'!AF128,"",'1. Live'!AF128-'check-Jul25'!AF128)</f>
        <v/>
      </c>
      <c r="AG128" t="str">
        <f>IF('1. Live'!AG128='check-Jul25'!AG128,"",'1. Live'!AG128-'check-Jul25'!AG128)</f>
        <v/>
      </c>
      <c r="AH128" t="str">
        <f>IF('1. Live'!AH128='check-Jul25'!AH128,"",'1. Live'!AH128-'check-Jul25'!AH128)</f>
        <v/>
      </c>
      <c r="AI128" t="str">
        <f>IF('1. Live'!AI128='check-Jul25'!AI128,"",'1. Live'!AI128-'check-Jul25'!AI128)</f>
        <v/>
      </c>
      <c r="AJ128" t="str">
        <f>IF('1. Live'!AJ128='check-Jul25'!AJ128,"",'1. Live'!AJ128-'check-Jul25'!AJ128)</f>
        <v/>
      </c>
      <c r="AK128" t="str">
        <f>IF('1. Live'!AK128='check-Jul25'!AK128,"",'1. Live'!AK128-'check-Jul25'!AK128)</f>
        <v/>
      </c>
      <c r="AL128" t="str">
        <f>IF('1. Live'!AL128='check-Jul25'!AL128,"",'1. Live'!AL128-'check-Jul25'!AL128)</f>
        <v/>
      </c>
      <c r="AM128" t="str">
        <f>IF('1. Live'!AM128='check-Jul25'!AM128,"",'1. Live'!AM128-'check-Jul25'!AM128)</f>
        <v/>
      </c>
      <c r="AN128" t="str">
        <f>IF('1. Live'!AN128='check-Jul25'!AN128,"",'1. Live'!AN128-'check-Jul25'!AN128)</f>
        <v/>
      </c>
      <c r="AO128" t="str">
        <f>IF('1. Live'!AO128='check-Jul25'!AO128,"",'1. Live'!AO128-'check-Jul25'!AO128)</f>
        <v/>
      </c>
      <c r="AP128" t="str">
        <f>IF('1. Live'!AP128='check-Jul25'!AP128,"",'1. Live'!AP128-'check-Jul25'!AP128)</f>
        <v/>
      </c>
      <c r="AQ128" t="str">
        <f>IF('1. Live'!AQ128='check-Jul25'!AQ128,"",'1. Live'!AQ128-'check-Jul25'!AQ128)</f>
        <v/>
      </c>
      <c r="AR128" t="str">
        <f>IF('1. Live'!AR128='check-Jul25'!AR128,"",'1. Live'!AR128-'check-Jul25'!AR128)</f>
        <v/>
      </c>
      <c r="AS128" t="str">
        <f>IF('1. Live'!AS128='check-Jul25'!AS128,"",'1. Live'!AS128-'check-Jul25'!AS128)</f>
        <v/>
      </c>
      <c r="AT128" t="str">
        <f>IF('1. Live'!AT128='check-Jul25'!AT128,"",'1. Live'!AT128-'check-Jul25'!AT128)</f>
        <v/>
      </c>
      <c r="AU128" t="str">
        <f>IF('1. Live'!AU128='check-Jul25'!AU128,"",'1. Live'!AU128-'check-Jul25'!AU128)</f>
        <v/>
      </c>
      <c r="AV128" t="str">
        <f>IF('1. Live'!AV128='check-Jul25'!AV128,"",'1. Live'!AV128-'check-Jul25'!AV128)</f>
        <v/>
      </c>
      <c r="AW128" t="str">
        <f>IF('1. Live'!AW128='check-Jul25'!AW128,"",'1. Live'!AW128-'check-Jul25'!AW128)</f>
        <v/>
      </c>
      <c r="AX128" t="str">
        <f>IF('1. Live'!AX128='check-Jul25'!AX128,"",'1. Live'!AX128-'check-Jul25'!AX128)</f>
        <v/>
      </c>
      <c r="AY128" t="str">
        <f>IF('1. Live'!AY128='check-Jul25'!AY128,"",'1. Live'!AY128-'check-Jul25'!AY128)</f>
        <v/>
      </c>
      <c r="AZ128" t="str">
        <f>IF('1. Live'!AZ128='check-Jul25'!AZ128,"",'1. Live'!AZ128-'check-Jul25'!AZ128)</f>
        <v/>
      </c>
      <c r="BA128" t="str">
        <f>IF('1. Live'!BA128='check-Jul25'!BA128,"",'1. Live'!BA128-'check-Jul25'!BA128)</f>
        <v/>
      </c>
      <c r="BB128" t="str">
        <f>IF('1. Live'!BB128='check-Jul25'!BB128,"",'1. Live'!BB128-'check-Jul25'!BB128)</f>
        <v/>
      </c>
      <c r="BC128" t="str">
        <f>IF('1. Live'!BC128='check-Jul25'!BC128,"",'1. Live'!BC128-'check-Jul25'!BC128)</f>
        <v/>
      </c>
      <c r="BD128" t="str">
        <f>IF('1. Live'!BD128='check-Jul25'!BD128,"",'1. Live'!BD128-'check-Jul25'!BD128)</f>
        <v/>
      </c>
      <c r="BE128" t="str">
        <f>IF('1. Live'!BE128='check-Jul25'!BE128,"",'1. Live'!BE128-'check-Jul25'!BE128)</f>
        <v/>
      </c>
      <c r="BF128" t="str">
        <f>IF('1. Live'!BF128='check-Jul25'!BF128,"",'1. Live'!BF128-'check-Jul25'!BF128)</f>
        <v/>
      </c>
      <c r="BG128" t="str">
        <f>IF('1. Live'!BG128='check-Jul25'!BG128,"",'1. Live'!BG128-'check-Jul25'!BG128)</f>
        <v/>
      </c>
      <c r="BH128" t="str">
        <f>IF('1. Live'!BH128='check-Jul25'!BH128,"",'1. Live'!BH128-'check-Jul25'!BH128)</f>
        <v/>
      </c>
      <c r="BI128" t="str">
        <f>IF('1. Live'!BI128='check-Jul25'!BI128,"",'1. Live'!BI128-'check-Jul25'!BI128)</f>
        <v/>
      </c>
      <c r="BJ128" t="str">
        <f>IF('1. Live'!BJ128='check-Jul25'!BJ128,"",'1. Live'!BJ128-'check-Jul25'!BJ128)</f>
        <v/>
      </c>
      <c r="BK128" t="str">
        <f>IF('1. Live'!BK128='check-Jul25'!BK128,"",'1. Live'!BK128-'check-Jul25'!BK128)</f>
        <v/>
      </c>
      <c r="BL128" t="str">
        <f>IF('1. Live'!BL128='check-Jul25'!BL128,"",'1. Live'!BL128-'check-Jul25'!BL128)</f>
        <v/>
      </c>
      <c r="BM128" t="str">
        <f>IF('1. Live'!BM128='check-Jul25'!BM128,"",'1. Live'!BM128-'check-Jul25'!BM128)</f>
        <v/>
      </c>
      <c r="BN128" t="str">
        <f>IF('1. Live'!BN128='check-Jul25'!BN128,"",'1. Live'!BN128-'check-Jul25'!BN128)</f>
        <v/>
      </c>
      <c r="BO128" t="str">
        <f>IF('1. Live'!BO128='check-Jul25'!BO128,"",'1. Live'!BO128-'check-Jul25'!BO128)</f>
        <v/>
      </c>
      <c r="BP128" t="str">
        <f>IF('1. Live'!BP128='check-Jul25'!BP128,"",'1. Live'!BP128-'check-Jul25'!BP128)</f>
        <v/>
      </c>
      <c r="BQ128" t="str">
        <f>IF('1. Live'!BQ128='check-Jul25'!BQ128,"",'1. Live'!BQ128-'check-Jul25'!BQ128)</f>
        <v/>
      </c>
      <c r="BR128" t="str">
        <f>IF('1. Live'!BR128='check-Jul25'!BR128,"",'1. Live'!BR128-'check-Jul25'!BR128)</f>
        <v/>
      </c>
      <c r="BS128" t="str">
        <f>IF('1. Live'!BS128='check-Jul25'!BS128,"",'1. Live'!BS128-'check-Jul25'!BS128)</f>
        <v/>
      </c>
      <c r="BT128" t="str">
        <f>IF('1. Live'!BT128='check-Jul25'!BT128,"",'1. Live'!BT128-'check-Jul25'!BT128)</f>
        <v/>
      </c>
      <c r="BU128" t="str">
        <f>IF('1. Live'!BU128='check-Jul25'!BU128,"",'1. Live'!BU128-'check-Jul25'!BU128)</f>
        <v/>
      </c>
      <c r="BV128" t="str">
        <f>IF('1. Live'!BV128='check-Jul25'!BV128,"",'1. Live'!BV128-'check-Jul25'!BV128)</f>
        <v/>
      </c>
      <c r="BW128" t="str">
        <f>IF('1. Live'!BW128='check-Jul25'!BW128,"",'1. Live'!BW128-'check-Jul25'!BW128)</f>
        <v/>
      </c>
      <c r="BX128" t="str">
        <f>IF('1. Live'!BX128='check-Jul25'!BX128,"",'1. Live'!BX128-'check-Jul25'!BX128)</f>
        <v/>
      </c>
      <c r="BY128" t="str">
        <f>IF('1. Live'!BY128='check-Jul25'!BY128,"",'1. Live'!BY128-'check-Jul25'!BY128)</f>
        <v/>
      </c>
      <c r="BZ128" t="str">
        <f>IF('1. Live'!BZ128='check-Jul25'!BZ128,"",'1. Live'!BZ128-'check-Jul25'!BZ128)</f>
        <v/>
      </c>
      <c r="CA128" t="str">
        <f>IF('1. Live'!CA128='check-Jul25'!CA128,"",'1. Live'!CA128-'check-Jul25'!CA128)</f>
        <v/>
      </c>
      <c r="CB128" t="str">
        <f>IF('1. Live'!CB128='check-Jul25'!CB128,"",'1. Live'!CB128-'check-Jul25'!CB128)</f>
        <v/>
      </c>
      <c r="CC128" t="str">
        <f>IF('1. Live'!CC128='check-Jul25'!CC128,"",'1. Live'!CC128-'check-Jul25'!CC128)</f>
        <v/>
      </c>
      <c r="CD128" t="str">
        <f>IF('1. Live'!CD128='check-Jul25'!CD128,"",'1. Live'!CD128-'check-Jul25'!CD128)</f>
        <v/>
      </c>
      <c r="CE128" t="str">
        <f>IF('1. Live'!CE128='check-Jul25'!CE128,"",'1. Live'!CE128-'check-Jul25'!CE128)</f>
        <v/>
      </c>
      <c r="CF128" t="str">
        <f>IF('1. Live'!CF128='check-Jul25'!CF128,"",'1. Live'!CF128-'check-Jul25'!CF128)</f>
        <v/>
      </c>
      <c r="CG128" t="str">
        <f>IF('1. Live'!CG128='check-Jul25'!CG128,"",'1. Live'!CG128-'check-Jul25'!CG128)</f>
        <v/>
      </c>
      <c r="CH128" t="str">
        <f>IF('1. Live'!CH128='check-Jul25'!CH128,"",'1. Live'!CH128-'check-Jul25'!CH128)</f>
        <v/>
      </c>
      <c r="CI128" t="str">
        <f>IF('1. Live'!CI128='check-Jul25'!CI128,"",'1. Live'!CI128-'check-Jul25'!CI128)</f>
        <v/>
      </c>
      <c r="CJ128" t="str">
        <f>IF('1. Live'!CJ128='check-Jul25'!CJ128,"",'1. Live'!CJ128-'check-Jul25'!CJ128)</f>
        <v/>
      </c>
      <c r="CK128" t="str">
        <f>IF('1. Live'!CK128='check-Jul25'!CK128,"",'1. Live'!CK128-'check-Jul25'!CK128)</f>
        <v/>
      </c>
      <c r="CL128" t="str">
        <f>IF('1. Live'!CL128='check-Jul25'!CL128,"",'1. Live'!CL128-'check-Jul25'!CL128)</f>
        <v/>
      </c>
      <c r="CM128" t="str">
        <f>IF('1. Live'!CM128='check-Jul25'!CM128,"",'1. Live'!CM128-'check-Jul25'!CM128)</f>
        <v/>
      </c>
      <c r="CN128" t="str">
        <f>IF('1. Live'!CN128='check-Jul25'!CN128,"",'1. Live'!CN128-'check-Jul25'!CN128)</f>
        <v/>
      </c>
      <c r="CO128" t="str">
        <f>IF('1. Live'!CO128='check-Jul25'!CO128,"",'1. Live'!CO128-'check-Jul25'!CO128)</f>
        <v/>
      </c>
      <c r="CP128" t="str">
        <f>IF('1. Live'!CP128='check-Jul25'!CP128,"",'1. Live'!CP128-'check-Jul25'!CP128)</f>
        <v/>
      </c>
      <c r="CQ128" t="str">
        <f>IF('1. Live'!CQ128='check-Jul25'!CQ128,"",'1. Live'!CQ128-'check-Jul25'!CQ128)</f>
        <v/>
      </c>
      <c r="CR128" t="str">
        <f>IF('1. Live'!CR128='check-Jul25'!CR128,"",'1. Live'!CR128-'check-Jul25'!CR128)</f>
        <v/>
      </c>
      <c r="CS128" t="str">
        <f>IF('1. Live'!CS128='check-Jul25'!CS128,"",'1. Live'!CS128-'check-Jul25'!CS128)</f>
        <v/>
      </c>
      <c r="CT128" t="str">
        <f>IF('1. Live'!CT128='check-Jul25'!CT128,"",'1. Live'!CT128-'check-Jul25'!CT128)</f>
        <v/>
      </c>
      <c r="CU128" t="str">
        <f>IF('1. Live'!CU128='check-Jul25'!CU128,"",'1. Live'!CU128-'check-Jul25'!CU128)</f>
        <v/>
      </c>
      <c r="CV128" t="str">
        <f>IF('1. Live'!CV128='check-Jul25'!CV128,"",'1. Live'!CV128-'check-Jul25'!CV128)</f>
        <v/>
      </c>
      <c r="CW128" t="str">
        <f>IF('1. Live'!CW128='check-Jul25'!CW128,"",'1. Live'!CW128-'check-Jul25'!CW128)</f>
        <v/>
      </c>
    </row>
    <row r="129" spans="10:101">
      <c r="J129" t="str">
        <f>IF('1. Live'!J129='check-Jul25'!J129,"",'1. Live'!J129-'check-Jul25'!J129)</f>
        <v/>
      </c>
      <c r="K129" t="str">
        <f>IF('1. Live'!K129='check-Jul25'!K129,"",'1. Live'!K129-'check-Jul25'!K129)</f>
        <v/>
      </c>
      <c r="L129" t="str">
        <f>IF('1. Live'!L129='check-Jul25'!L129,"",'1. Live'!L129-'check-Jul25'!L129)</f>
        <v/>
      </c>
      <c r="M129" t="str">
        <f>IF('1. Live'!M129='check-Jul25'!M129,"",'1. Live'!M129-'check-Jul25'!M129)</f>
        <v/>
      </c>
      <c r="N129" t="str">
        <f>IF('1. Live'!N129='check-Jul25'!N129,"",'1. Live'!N129-'check-Jul25'!N129)</f>
        <v/>
      </c>
      <c r="O129" t="str">
        <f>IF('1. Live'!O129='check-Jul25'!O129,"",'1. Live'!O129-'check-Jul25'!O129)</f>
        <v/>
      </c>
      <c r="P129" t="str">
        <f>IF('1. Live'!P129='check-Jul25'!P129,"",'1. Live'!P129-'check-Jul25'!P129)</f>
        <v/>
      </c>
      <c r="Q129" t="str">
        <f>IF('1. Live'!Q129='check-Jul25'!Q129,"",'1. Live'!Q129-'check-Jul25'!Q129)</f>
        <v/>
      </c>
      <c r="R129" t="str">
        <f>IF('1. Live'!R129='check-Jul25'!R129,"",'1. Live'!R129-'check-Jul25'!R129)</f>
        <v/>
      </c>
      <c r="S129" t="str">
        <f>IF('1. Live'!S129='check-Jul25'!S129,"",'1. Live'!S129-'check-Jul25'!S129)</f>
        <v/>
      </c>
      <c r="T129" t="str">
        <f>IF('1. Live'!T129='check-Jul25'!T129,"",'1. Live'!T129-'check-Jul25'!T129)</f>
        <v/>
      </c>
      <c r="U129" t="str">
        <f>IF('1. Live'!U129='check-Jul25'!U129,"",'1. Live'!U129-'check-Jul25'!U129)</f>
        <v/>
      </c>
      <c r="V129" t="str">
        <f>IF('1. Live'!V129='check-Jul25'!V129,"",'1. Live'!V129-'check-Jul25'!V129)</f>
        <v/>
      </c>
      <c r="W129" t="str">
        <f>IF('1. Live'!W129='check-Jul25'!W129,"",'1. Live'!W129-'check-Jul25'!W129)</f>
        <v/>
      </c>
      <c r="X129" t="str">
        <f>IF('1. Live'!X129='check-Jul25'!X129,"",'1. Live'!X129-'check-Jul25'!X129)</f>
        <v/>
      </c>
      <c r="Y129" t="str">
        <f>IF('1. Live'!Y129='check-Jul25'!Y129,"",'1. Live'!Y129-'check-Jul25'!Y129)</f>
        <v/>
      </c>
      <c r="Z129" t="str">
        <f>IF('1. Live'!Z129='check-Jul25'!Z129,"",'1. Live'!Z129-'check-Jul25'!Z129)</f>
        <v/>
      </c>
      <c r="AA129" t="str">
        <f>IF('1. Live'!AA129='check-Jul25'!AA129,"",'1. Live'!AA129-'check-Jul25'!AA129)</f>
        <v/>
      </c>
      <c r="AB129" t="str">
        <f>IF('1. Live'!AB129='check-Jul25'!AB129,"",'1. Live'!AB129-'check-Jul25'!AB129)</f>
        <v/>
      </c>
      <c r="AC129" t="str">
        <f>IF('1. Live'!AC129='check-Jul25'!AC129,"",'1. Live'!AC129-'check-Jul25'!AC129)</f>
        <v/>
      </c>
      <c r="AD129" t="str">
        <f>IF('1. Live'!AD129='check-Jul25'!AD129,"",'1. Live'!AD129-'check-Jul25'!AD129)</f>
        <v/>
      </c>
      <c r="AE129" t="str">
        <f>IF('1. Live'!AE129='check-Jul25'!AE129,"",'1. Live'!AE129-'check-Jul25'!AE129)</f>
        <v/>
      </c>
      <c r="AF129" t="str">
        <f>IF('1. Live'!AF129='check-Jul25'!AF129,"",'1. Live'!AF129-'check-Jul25'!AF129)</f>
        <v/>
      </c>
      <c r="AG129" t="str">
        <f>IF('1. Live'!AG129='check-Jul25'!AG129,"",'1. Live'!AG129-'check-Jul25'!AG129)</f>
        <v/>
      </c>
      <c r="AH129" t="str">
        <f>IF('1. Live'!AH129='check-Jul25'!AH129,"",'1. Live'!AH129-'check-Jul25'!AH129)</f>
        <v/>
      </c>
      <c r="AI129" t="str">
        <f>IF('1. Live'!AI129='check-Jul25'!AI129,"",'1. Live'!AI129-'check-Jul25'!AI129)</f>
        <v/>
      </c>
      <c r="AJ129" t="str">
        <f>IF('1. Live'!AJ129='check-Jul25'!AJ129,"",'1. Live'!AJ129-'check-Jul25'!AJ129)</f>
        <v/>
      </c>
      <c r="AK129" t="str">
        <f>IF('1. Live'!AK129='check-Jul25'!AK129,"",'1. Live'!AK129-'check-Jul25'!AK129)</f>
        <v/>
      </c>
      <c r="AL129" t="str">
        <f>IF('1. Live'!AL129='check-Jul25'!AL129,"",'1. Live'!AL129-'check-Jul25'!AL129)</f>
        <v/>
      </c>
      <c r="AM129" t="str">
        <f>IF('1. Live'!AM129='check-Jul25'!AM129,"",'1. Live'!AM129-'check-Jul25'!AM129)</f>
        <v/>
      </c>
      <c r="AN129" t="str">
        <f>IF('1. Live'!AN129='check-Jul25'!AN129,"",'1. Live'!AN129-'check-Jul25'!AN129)</f>
        <v/>
      </c>
      <c r="AO129" t="str">
        <f>IF('1. Live'!AO129='check-Jul25'!AO129,"",'1. Live'!AO129-'check-Jul25'!AO129)</f>
        <v/>
      </c>
      <c r="AP129" t="str">
        <f>IF('1. Live'!AP129='check-Jul25'!AP129,"",'1. Live'!AP129-'check-Jul25'!AP129)</f>
        <v/>
      </c>
      <c r="AQ129" t="str">
        <f>IF('1. Live'!AQ129='check-Jul25'!AQ129,"",'1. Live'!AQ129-'check-Jul25'!AQ129)</f>
        <v/>
      </c>
      <c r="AR129" t="str">
        <f>IF('1. Live'!AR129='check-Jul25'!AR129,"",'1. Live'!AR129-'check-Jul25'!AR129)</f>
        <v/>
      </c>
      <c r="AS129" t="str">
        <f>IF('1. Live'!AS129='check-Jul25'!AS129,"",'1. Live'!AS129-'check-Jul25'!AS129)</f>
        <v/>
      </c>
      <c r="AT129" t="str">
        <f>IF('1. Live'!AT129='check-Jul25'!AT129,"",'1. Live'!AT129-'check-Jul25'!AT129)</f>
        <v/>
      </c>
      <c r="AU129" t="str">
        <f>IF('1. Live'!AU129='check-Jul25'!AU129,"",'1. Live'!AU129-'check-Jul25'!AU129)</f>
        <v/>
      </c>
      <c r="AV129" t="str">
        <f>IF('1. Live'!AV129='check-Jul25'!AV129,"",'1. Live'!AV129-'check-Jul25'!AV129)</f>
        <v/>
      </c>
      <c r="AW129" t="str">
        <f>IF('1. Live'!AW129='check-Jul25'!AW129,"",'1. Live'!AW129-'check-Jul25'!AW129)</f>
        <v/>
      </c>
      <c r="AX129" t="str">
        <f>IF('1. Live'!AX129='check-Jul25'!AX129,"",'1. Live'!AX129-'check-Jul25'!AX129)</f>
        <v/>
      </c>
      <c r="AY129" t="str">
        <f>IF('1. Live'!AY129='check-Jul25'!AY129,"",'1. Live'!AY129-'check-Jul25'!AY129)</f>
        <v/>
      </c>
      <c r="AZ129" t="str">
        <f>IF('1. Live'!AZ129='check-Jul25'!AZ129,"",'1. Live'!AZ129-'check-Jul25'!AZ129)</f>
        <v/>
      </c>
      <c r="BA129" t="str">
        <f>IF('1. Live'!BA129='check-Jul25'!BA129,"",'1. Live'!BA129-'check-Jul25'!BA129)</f>
        <v/>
      </c>
      <c r="BB129" t="str">
        <f>IF('1. Live'!BB129='check-Jul25'!BB129,"",'1. Live'!BB129-'check-Jul25'!BB129)</f>
        <v/>
      </c>
      <c r="BC129" t="str">
        <f>IF('1. Live'!BC129='check-Jul25'!BC129,"",'1. Live'!BC129-'check-Jul25'!BC129)</f>
        <v/>
      </c>
      <c r="BD129" t="str">
        <f>IF('1. Live'!BD129='check-Jul25'!BD129,"",'1. Live'!BD129-'check-Jul25'!BD129)</f>
        <v/>
      </c>
      <c r="BE129" t="str">
        <f>IF('1. Live'!BE129='check-Jul25'!BE129,"",'1. Live'!BE129-'check-Jul25'!BE129)</f>
        <v/>
      </c>
      <c r="BF129" t="str">
        <f>IF('1. Live'!BF129='check-Jul25'!BF129,"",'1. Live'!BF129-'check-Jul25'!BF129)</f>
        <v/>
      </c>
      <c r="BG129" t="str">
        <f>IF('1. Live'!BG129='check-Jul25'!BG129,"",'1. Live'!BG129-'check-Jul25'!BG129)</f>
        <v/>
      </c>
      <c r="BH129" t="str">
        <f>IF('1. Live'!BH129='check-Jul25'!BH129,"",'1. Live'!BH129-'check-Jul25'!BH129)</f>
        <v/>
      </c>
      <c r="BI129" t="str">
        <f>IF('1. Live'!BI129='check-Jul25'!BI129,"",'1. Live'!BI129-'check-Jul25'!BI129)</f>
        <v/>
      </c>
      <c r="BJ129" t="str">
        <f>IF('1. Live'!BJ129='check-Jul25'!BJ129,"",'1. Live'!BJ129-'check-Jul25'!BJ129)</f>
        <v/>
      </c>
      <c r="BK129" t="str">
        <f>IF('1. Live'!BK129='check-Jul25'!BK129,"",'1. Live'!BK129-'check-Jul25'!BK129)</f>
        <v/>
      </c>
      <c r="BL129" t="str">
        <f>IF('1. Live'!BL129='check-Jul25'!BL129,"",'1. Live'!BL129-'check-Jul25'!BL129)</f>
        <v/>
      </c>
      <c r="BM129" t="str">
        <f>IF('1. Live'!BM129='check-Jul25'!BM129,"",'1. Live'!BM129-'check-Jul25'!BM129)</f>
        <v/>
      </c>
      <c r="BN129" t="str">
        <f>IF('1. Live'!BN129='check-Jul25'!BN129,"",'1. Live'!BN129-'check-Jul25'!BN129)</f>
        <v/>
      </c>
      <c r="BO129" t="str">
        <f>IF('1. Live'!BO129='check-Jul25'!BO129,"",'1. Live'!BO129-'check-Jul25'!BO129)</f>
        <v/>
      </c>
      <c r="BP129" t="str">
        <f>IF('1. Live'!BP129='check-Jul25'!BP129,"",'1. Live'!BP129-'check-Jul25'!BP129)</f>
        <v/>
      </c>
      <c r="BQ129" t="str">
        <f>IF('1. Live'!BQ129='check-Jul25'!BQ129,"",'1. Live'!BQ129-'check-Jul25'!BQ129)</f>
        <v/>
      </c>
      <c r="BR129" t="str">
        <f>IF('1. Live'!BR129='check-Jul25'!BR129,"",'1. Live'!BR129-'check-Jul25'!BR129)</f>
        <v/>
      </c>
      <c r="BS129" t="str">
        <f>IF('1. Live'!BS129='check-Jul25'!BS129,"",'1. Live'!BS129-'check-Jul25'!BS129)</f>
        <v/>
      </c>
      <c r="BT129" t="str">
        <f>IF('1. Live'!BT129='check-Jul25'!BT129,"",'1. Live'!BT129-'check-Jul25'!BT129)</f>
        <v/>
      </c>
      <c r="BU129" t="str">
        <f>IF('1. Live'!BU129='check-Jul25'!BU129,"",'1. Live'!BU129-'check-Jul25'!BU129)</f>
        <v/>
      </c>
      <c r="BV129" t="str">
        <f>IF('1. Live'!BV129='check-Jul25'!BV129,"",'1. Live'!BV129-'check-Jul25'!BV129)</f>
        <v/>
      </c>
      <c r="BW129" t="str">
        <f>IF('1. Live'!BW129='check-Jul25'!BW129,"",'1. Live'!BW129-'check-Jul25'!BW129)</f>
        <v/>
      </c>
      <c r="BX129" t="str">
        <f>IF('1. Live'!BX129='check-Jul25'!BX129,"",'1. Live'!BX129-'check-Jul25'!BX129)</f>
        <v/>
      </c>
      <c r="BY129" t="str">
        <f>IF('1. Live'!BY129='check-Jul25'!BY129,"",'1. Live'!BY129-'check-Jul25'!BY129)</f>
        <v/>
      </c>
      <c r="BZ129" t="str">
        <f>IF('1. Live'!BZ129='check-Jul25'!BZ129,"",'1. Live'!BZ129-'check-Jul25'!BZ129)</f>
        <v/>
      </c>
      <c r="CA129" t="str">
        <f>IF('1. Live'!CA129='check-Jul25'!CA129,"",'1. Live'!CA129-'check-Jul25'!CA129)</f>
        <v/>
      </c>
      <c r="CB129" t="str">
        <f>IF('1. Live'!CB129='check-Jul25'!CB129,"",'1. Live'!CB129-'check-Jul25'!CB129)</f>
        <v/>
      </c>
      <c r="CC129" t="str">
        <f>IF('1. Live'!CC129='check-Jul25'!CC129,"",'1. Live'!CC129-'check-Jul25'!CC129)</f>
        <v/>
      </c>
      <c r="CD129" t="str">
        <f>IF('1. Live'!CD129='check-Jul25'!CD129,"",'1. Live'!CD129-'check-Jul25'!CD129)</f>
        <v/>
      </c>
      <c r="CE129" t="str">
        <f>IF('1. Live'!CE129='check-Jul25'!CE129,"",'1. Live'!CE129-'check-Jul25'!CE129)</f>
        <v/>
      </c>
      <c r="CF129" t="str">
        <f>IF('1. Live'!CF129='check-Jul25'!CF129,"",'1. Live'!CF129-'check-Jul25'!CF129)</f>
        <v/>
      </c>
      <c r="CG129" t="str">
        <f>IF('1. Live'!CG129='check-Jul25'!CG129,"",'1. Live'!CG129-'check-Jul25'!CG129)</f>
        <v/>
      </c>
      <c r="CH129" t="str">
        <f>IF('1. Live'!CH129='check-Jul25'!CH129,"",'1. Live'!CH129-'check-Jul25'!CH129)</f>
        <v/>
      </c>
      <c r="CI129" t="str">
        <f>IF('1. Live'!CI129='check-Jul25'!CI129,"",'1. Live'!CI129-'check-Jul25'!CI129)</f>
        <v/>
      </c>
      <c r="CJ129" t="str">
        <f>IF('1. Live'!CJ129='check-Jul25'!CJ129,"",'1. Live'!CJ129-'check-Jul25'!CJ129)</f>
        <v/>
      </c>
      <c r="CK129" t="str">
        <f>IF('1. Live'!CK129='check-Jul25'!CK129,"",'1. Live'!CK129-'check-Jul25'!CK129)</f>
        <v/>
      </c>
      <c r="CL129" t="str">
        <f>IF('1. Live'!CL129='check-Jul25'!CL129,"",'1. Live'!CL129-'check-Jul25'!CL129)</f>
        <v/>
      </c>
      <c r="CM129" t="str">
        <f>IF('1. Live'!CM129='check-Jul25'!CM129,"",'1. Live'!CM129-'check-Jul25'!CM129)</f>
        <v/>
      </c>
      <c r="CN129" t="str">
        <f>IF('1. Live'!CN129='check-Jul25'!CN129,"",'1. Live'!CN129-'check-Jul25'!CN129)</f>
        <v/>
      </c>
      <c r="CO129" t="str">
        <f>IF('1. Live'!CO129='check-Jul25'!CO129,"",'1. Live'!CO129-'check-Jul25'!CO129)</f>
        <v/>
      </c>
      <c r="CP129" t="str">
        <f>IF('1. Live'!CP129='check-Jul25'!CP129,"",'1. Live'!CP129-'check-Jul25'!CP129)</f>
        <v/>
      </c>
      <c r="CQ129" t="str">
        <f>IF('1. Live'!CQ129='check-Jul25'!CQ129,"",'1. Live'!CQ129-'check-Jul25'!CQ129)</f>
        <v/>
      </c>
      <c r="CR129" t="str">
        <f>IF('1. Live'!CR129='check-Jul25'!CR129,"",'1. Live'!CR129-'check-Jul25'!CR129)</f>
        <v/>
      </c>
      <c r="CS129" t="str">
        <f>IF('1. Live'!CS129='check-Jul25'!CS129,"",'1. Live'!CS129-'check-Jul25'!CS129)</f>
        <v/>
      </c>
      <c r="CT129" t="str">
        <f>IF('1. Live'!CT129='check-Jul25'!CT129,"",'1. Live'!CT129-'check-Jul25'!CT129)</f>
        <v/>
      </c>
      <c r="CU129" t="str">
        <f>IF('1. Live'!CU129='check-Jul25'!CU129,"",'1. Live'!CU129-'check-Jul25'!CU129)</f>
        <v/>
      </c>
      <c r="CV129" t="str">
        <f>IF('1. Live'!CV129='check-Jul25'!CV129,"",'1. Live'!CV129-'check-Jul25'!CV129)</f>
        <v/>
      </c>
      <c r="CW129" t="str">
        <f>IF('1. Live'!CW129='check-Jul25'!CW129,"",'1. Live'!CW129-'check-Jul25'!CW129)</f>
        <v/>
      </c>
    </row>
    <row r="130" spans="10:101">
      <c r="J130" t="str">
        <f>IF('1. Live'!J130='check-Jul25'!J130,"",'1. Live'!J130-'check-Jul25'!J130)</f>
        <v/>
      </c>
      <c r="K130" t="str">
        <f>IF('1. Live'!K130='check-Jul25'!K130,"",'1. Live'!K130-'check-Jul25'!K130)</f>
        <v/>
      </c>
      <c r="L130" t="str">
        <f>IF('1. Live'!L130='check-Jul25'!L130,"",'1. Live'!L130-'check-Jul25'!L130)</f>
        <v/>
      </c>
      <c r="M130" t="str">
        <f>IF('1. Live'!M130='check-Jul25'!M130,"",'1. Live'!M130-'check-Jul25'!M130)</f>
        <v/>
      </c>
      <c r="N130" t="str">
        <f>IF('1. Live'!N130='check-Jul25'!N130,"",'1. Live'!N130-'check-Jul25'!N130)</f>
        <v/>
      </c>
      <c r="O130" t="str">
        <f>IF('1. Live'!O130='check-Jul25'!O130,"",'1. Live'!O130-'check-Jul25'!O130)</f>
        <v/>
      </c>
      <c r="P130" t="str">
        <f>IF('1. Live'!P130='check-Jul25'!P130,"",'1. Live'!P130-'check-Jul25'!P130)</f>
        <v/>
      </c>
      <c r="Q130" t="str">
        <f>IF('1. Live'!Q130='check-Jul25'!Q130,"",'1. Live'!Q130-'check-Jul25'!Q130)</f>
        <v/>
      </c>
      <c r="R130" t="str">
        <f>IF('1. Live'!R130='check-Jul25'!R130,"",'1. Live'!R130-'check-Jul25'!R130)</f>
        <v/>
      </c>
      <c r="S130" t="str">
        <f>IF('1. Live'!S130='check-Jul25'!S130,"",'1. Live'!S130-'check-Jul25'!S130)</f>
        <v/>
      </c>
      <c r="T130" t="str">
        <f>IF('1. Live'!T130='check-Jul25'!T130,"",'1. Live'!T130-'check-Jul25'!T130)</f>
        <v/>
      </c>
      <c r="U130" t="str">
        <f>IF('1. Live'!U130='check-Jul25'!U130,"",'1. Live'!U130-'check-Jul25'!U130)</f>
        <v/>
      </c>
      <c r="V130" t="str">
        <f>IF('1. Live'!V130='check-Jul25'!V130,"",'1. Live'!V130-'check-Jul25'!V130)</f>
        <v/>
      </c>
      <c r="W130" t="str">
        <f>IF('1. Live'!W130='check-Jul25'!W130,"",'1. Live'!W130-'check-Jul25'!W130)</f>
        <v/>
      </c>
      <c r="X130" t="str">
        <f>IF('1. Live'!X130='check-Jul25'!X130,"",'1. Live'!X130-'check-Jul25'!X130)</f>
        <v/>
      </c>
      <c r="Y130" t="str">
        <f>IF('1. Live'!Y130='check-Jul25'!Y130,"",'1. Live'!Y130-'check-Jul25'!Y130)</f>
        <v/>
      </c>
      <c r="Z130" t="str">
        <f>IF('1. Live'!Z130='check-Jul25'!Z130,"",'1. Live'!Z130-'check-Jul25'!Z130)</f>
        <v/>
      </c>
      <c r="AA130" t="str">
        <f>IF('1. Live'!AA130='check-Jul25'!AA130,"",'1. Live'!AA130-'check-Jul25'!AA130)</f>
        <v/>
      </c>
      <c r="AB130" t="str">
        <f>IF('1. Live'!AB130='check-Jul25'!AB130,"",'1. Live'!AB130-'check-Jul25'!AB130)</f>
        <v/>
      </c>
      <c r="AC130" t="str">
        <f>IF('1. Live'!AC130='check-Jul25'!AC130,"",'1. Live'!AC130-'check-Jul25'!AC130)</f>
        <v/>
      </c>
      <c r="AD130" t="str">
        <f>IF('1. Live'!AD130='check-Jul25'!AD130,"",'1. Live'!AD130-'check-Jul25'!AD130)</f>
        <v/>
      </c>
      <c r="AE130" t="str">
        <f>IF('1. Live'!AE130='check-Jul25'!AE130,"",'1. Live'!AE130-'check-Jul25'!AE130)</f>
        <v/>
      </c>
      <c r="AF130" t="str">
        <f>IF('1. Live'!AF130='check-Jul25'!AF130,"",'1. Live'!AF130-'check-Jul25'!AF130)</f>
        <v/>
      </c>
      <c r="AG130" t="str">
        <f>IF('1. Live'!AG130='check-Jul25'!AG130,"",'1. Live'!AG130-'check-Jul25'!AG130)</f>
        <v/>
      </c>
      <c r="AH130" t="str">
        <f>IF('1. Live'!AH130='check-Jul25'!AH130,"",'1. Live'!AH130-'check-Jul25'!AH130)</f>
        <v/>
      </c>
      <c r="AI130" t="str">
        <f>IF('1. Live'!AI130='check-Jul25'!AI130,"",'1. Live'!AI130-'check-Jul25'!AI130)</f>
        <v/>
      </c>
      <c r="AJ130" t="str">
        <f>IF('1. Live'!AJ130='check-Jul25'!AJ130,"",'1. Live'!AJ130-'check-Jul25'!AJ130)</f>
        <v/>
      </c>
      <c r="AK130" t="str">
        <f>IF('1. Live'!AK130='check-Jul25'!AK130,"",'1. Live'!AK130-'check-Jul25'!AK130)</f>
        <v/>
      </c>
      <c r="AL130" t="str">
        <f>IF('1. Live'!AL130='check-Jul25'!AL130,"",'1. Live'!AL130-'check-Jul25'!AL130)</f>
        <v/>
      </c>
      <c r="AM130" t="str">
        <f>IF('1. Live'!AM130='check-Jul25'!AM130,"",'1. Live'!AM130-'check-Jul25'!AM130)</f>
        <v/>
      </c>
      <c r="AN130" t="str">
        <f>IF('1. Live'!AN130='check-Jul25'!AN130,"",'1. Live'!AN130-'check-Jul25'!AN130)</f>
        <v/>
      </c>
      <c r="AO130" t="str">
        <f>IF('1. Live'!AO130='check-Jul25'!AO130,"",'1. Live'!AO130-'check-Jul25'!AO130)</f>
        <v/>
      </c>
      <c r="AP130" t="str">
        <f>IF('1. Live'!AP130='check-Jul25'!AP130,"",'1. Live'!AP130-'check-Jul25'!AP130)</f>
        <v/>
      </c>
      <c r="AQ130" t="str">
        <f>IF('1. Live'!AQ130='check-Jul25'!AQ130,"",'1. Live'!AQ130-'check-Jul25'!AQ130)</f>
        <v/>
      </c>
      <c r="AR130" t="str">
        <f>IF('1. Live'!AR130='check-Jul25'!AR130,"",'1. Live'!AR130-'check-Jul25'!AR130)</f>
        <v/>
      </c>
      <c r="AS130" t="str">
        <f>IF('1. Live'!AS130='check-Jul25'!AS130,"",'1. Live'!AS130-'check-Jul25'!AS130)</f>
        <v/>
      </c>
      <c r="AT130" t="str">
        <f>IF('1. Live'!AT130='check-Jul25'!AT130,"",'1. Live'!AT130-'check-Jul25'!AT130)</f>
        <v/>
      </c>
      <c r="AU130" t="str">
        <f>IF('1. Live'!AU130='check-Jul25'!AU130,"",'1. Live'!AU130-'check-Jul25'!AU130)</f>
        <v/>
      </c>
      <c r="AV130" t="str">
        <f>IF('1. Live'!AV130='check-Jul25'!AV130,"",'1. Live'!AV130-'check-Jul25'!AV130)</f>
        <v/>
      </c>
      <c r="AW130" t="str">
        <f>IF('1. Live'!AW130='check-Jul25'!AW130,"",'1. Live'!AW130-'check-Jul25'!AW130)</f>
        <v/>
      </c>
      <c r="AX130" t="str">
        <f>IF('1. Live'!AX130='check-Jul25'!AX130,"",'1. Live'!AX130-'check-Jul25'!AX130)</f>
        <v/>
      </c>
      <c r="AY130" t="str">
        <f>IF('1. Live'!AY130='check-Jul25'!AY130,"",'1. Live'!AY130-'check-Jul25'!AY130)</f>
        <v/>
      </c>
      <c r="AZ130" t="str">
        <f>IF('1. Live'!AZ130='check-Jul25'!AZ130,"",'1. Live'!AZ130-'check-Jul25'!AZ130)</f>
        <v/>
      </c>
      <c r="BA130" t="str">
        <f>IF('1. Live'!BA130='check-Jul25'!BA130,"",'1. Live'!BA130-'check-Jul25'!BA130)</f>
        <v/>
      </c>
      <c r="BB130" t="str">
        <f>IF('1. Live'!BB130='check-Jul25'!BB130,"",'1. Live'!BB130-'check-Jul25'!BB130)</f>
        <v/>
      </c>
      <c r="BC130" t="str">
        <f>IF('1. Live'!BC130='check-Jul25'!BC130,"",'1. Live'!BC130-'check-Jul25'!BC130)</f>
        <v/>
      </c>
      <c r="BD130" t="str">
        <f>IF('1. Live'!BD130='check-Jul25'!BD130,"",'1. Live'!BD130-'check-Jul25'!BD130)</f>
        <v/>
      </c>
      <c r="BE130" t="str">
        <f>IF('1. Live'!BE130='check-Jul25'!BE130,"",'1. Live'!BE130-'check-Jul25'!BE130)</f>
        <v/>
      </c>
      <c r="BF130" t="str">
        <f>IF('1. Live'!BF130='check-Jul25'!BF130,"",'1. Live'!BF130-'check-Jul25'!BF130)</f>
        <v/>
      </c>
      <c r="BG130" t="str">
        <f>IF('1. Live'!BG130='check-Jul25'!BG130,"",'1. Live'!BG130-'check-Jul25'!BG130)</f>
        <v/>
      </c>
      <c r="BH130" t="str">
        <f>IF('1. Live'!BH130='check-Jul25'!BH130,"",'1. Live'!BH130-'check-Jul25'!BH130)</f>
        <v/>
      </c>
      <c r="BI130" t="str">
        <f>IF('1. Live'!BI130='check-Jul25'!BI130,"",'1. Live'!BI130-'check-Jul25'!BI130)</f>
        <v/>
      </c>
      <c r="BJ130" t="str">
        <f>IF('1. Live'!BJ130='check-Jul25'!BJ130,"",'1. Live'!BJ130-'check-Jul25'!BJ130)</f>
        <v/>
      </c>
      <c r="BK130" t="str">
        <f>IF('1. Live'!BK130='check-Jul25'!BK130,"",'1. Live'!BK130-'check-Jul25'!BK130)</f>
        <v/>
      </c>
      <c r="BL130" t="str">
        <f>IF('1. Live'!BL130='check-Jul25'!BL130,"",'1. Live'!BL130-'check-Jul25'!BL130)</f>
        <v/>
      </c>
      <c r="BM130" t="str">
        <f>IF('1. Live'!BM130='check-Jul25'!BM130,"",'1. Live'!BM130-'check-Jul25'!BM130)</f>
        <v/>
      </c>
      <c r="BN130" t="str">
        <f>IF('1. Live'!BN130='check-Jul25'!BN130,"",'1. Live'!BN130-'check-Jul25'!BN130)</f>
        <v/>
      </c>
      <c r="BO130" t="str">
        <f>IF('1. Live'!BO130='check-Jul25'!BO130,"",'1. Live'!BO130-'check-Jul25'!BO130)</f>
        <v/>
      </c>
      <c r="BP130" t="str">
        <f>IF('1. Live'!BP130='check-Jul25'!BP130,"",'1. Live'!BP130-'check-Jul25'!BP130)</f>
        <v/>
      </c>
      <c r="BQ130" t="str">
        <f>IF('1. Live'!BQ130='check-Jul25'!BQ130,"",'1. Live'!BQ130-'check-Jul25'!BQ130)</f>
        <v/>
      </c>
      <c r="BR130" t="str">
        <f>IF('1. Live'!BR130='check-Jul25'!BR130,"",'1. Live'!BR130-'check-Jul25'!BR130)</f>
        <v/>
      </c>
      <c r="BS130" t="str">
        <f>IF('1. Live'!BS130='check-Jul25'!BS130,"",'1. Live'!BS130-'check-Jul25'!BS130)</f>
        <v/>
      </c>
      <c r="BT130" t="str">
        <f>IF('1. Live'!BT130='check-Jul25'!BT130,"",'1. Live'!BT130-'check-Jul25'!BT130)</f>
        <v/>
      </c>
      <c r="BU130" t="str">
        <f>IF('1. Live'!BU130='check-Jul25'!BU130,"",'1. Live'!BU130-'check-Jul25'!BU130)</f>
        <v/>
      </c>
      <c r="BV130" t="str">
        <f>IF('1. Live'!BV130='check-Jul25'!BV130,"",'1. Live'!BV130-'check-Jul25'!BV130)</f>
        <v/>
      </c>
      <c r="BW130" t="str">
        <f>IF('1. Live'!BW130='check-Jul25'!BW130,"",'1. Live'!BW130-'check-Jul25'!BW130)</f>
        <v/>
      </c>
      <c r="BX130" t="str">
        <f>IF('1. Live'!BX130='check-Jul25'!BX130,"",'1. Live'!BX130-'check-Jul25'!BX130)</f>
        <v/>
      </c>
      <c r="BY130" t="str">
        <f>IF('1. Live'!BY130='check-Jul25'!BY130,"",'1. Live'!BY130-'check-Jul25'!BY130)</f>
        <v/>
      </c>
      <c r="BZ130" t="str">
        <f>IF('1. Live'!BZ130='check-Jul25'!BZ130,"",'1. Live'!BZ130-'check-Jul25'!BZ130)</f>
        <v/>
      </c>
      <c r="CA130" t="str">
        <f>IF('1. Live'!CA130='check-Jul25'!CA130,"",'1. Live'!CA130-'check-Jul25'!CA130)</f>
        <v/>
      </c>
      <c r="CB130" t="str">
        <f>IF('1. Live'!CB130='check-Jul25'!CB130,"",'1. Live'!CB130-'check-Jul25'!CB130)</f>
        <v/>
      </c>
      <c r="CC130" t="str">
        <f>IF('1. Live'!CC130='check-Jul25'!CC130,"",'1. Live'!CC130-'check-Jul25'!CC130)</f>
        <v/>
      </c>
      <c r="CD130" t="str">
        <f>IF('1. Live'!CD130='check-Jul25'!CD130,"",'1. Live'!CD130-'check-Jul25'!CD130)</f>
        <v/>
      </c>
      <c r="CE130" t="str">
        <f>IF('1. Live'!CE130='check-Jul25'!CE130,"",'1. Live'!CE130-'check-Jul25'!CE130)</f>
        <v/>
      </c>
      <c r="CF130" t="str">
        <f>IF('1. Live'!CF130='check-Jul25'!CF130,"",'1. Live'!CF130-'check-Jul25'!CF130)</f>
        <v/>
      </c>
      <c r="CG130" t="str">
        <f>IF('1. Live'!CG130='check-Jul25'!CG130,"",'1. Live'!CG130-'check-Jul25'!CG130)</f>
        <v/>
      </c>
      <c r="CH130" t="str">
        <f>IF('1. Live'!CH130='check-Jul25'!CH130,"",'1. Live'!CH130-'check-Jul25'!CH130)</f>
        <v/>
      </c>
      <c r="CI130" t="str">
        <f>IF('1. Live'!CI130='check-Jul25'!CI130,"",'1. Live'!CI130-'check-Jul25'!CI130)</f>
        <v/>
      </c>
      <c r="CJ130" t="str">
        <f>IF('1. Live'!CJ130='check-Jul25'!CJ130,"",'1. Live'!CJ130-'check-Jul25'!CJ130)</f>
        <v/>
      </c>
      <c r="CK130" t="str">
        <f>IF('1. Live'!CK130='check-Jul25'!CK130,"",'1. Live'!CK130-'check-Jul25'!CK130)</f>
        <v/>
      </c>
      <c r="CL130" t="str">
        <f>IF('1. Live'!CL130='check-Jul25'!CL130,"",'1. Live'!CL130-'check-Jul25'!CL130)</f>
        <v/>
      </c>
      <c r="CM130" t="str">
        <f>IF('1. Live'!CM130='check-Jul25'!CM130,"",'1. Live'!CM130-'check-Jul25'!CM130)</f>
        <v/>
      </c>
      <c r="CN130" t="str">
        <f>IF('1. Live'!CN130='check-Jul25'!CN130,"",'1. Live'!CN130-'check-Jul25'!CN130)</f>
        <v/>
      </c>
      <c r="CO130" t="str">
        <f>IF('1. Live'!CO130='check-Jul25'!CO130,"",'1. Live'!CO130-'check-Jul25'!CO130)</f>
        <v/>
      </c>
      <c r="CP130" t="str">
        <f>IF('1. Live'!CP130='check-Jul25'!CP130,"",'1. Live'!CP130-'check-Jul25'!CP130)</f>
        <v/>
      </c>
      <c r="CQ130" t="str">
        <f>IF('1. Live'!CQ130='check-Jul25'!CQ130,"",'1. Live'!CQ130-'check-Jul25'!CQ130)</f>
        <v/>
      </c>
      <c r="CR130" t="str">
        <f>IF('1. Live'!CR130='check-Jul25'!CR130,"",'1. Live'!CR130-'check-Jul25'!CR130)</f>
        <v/>
      </c>
      <c r="CS130" t="str">
        <f>IF('1. Live'!CS130='check-Jul25'!CS130,"",'1. Live'!CS130-'check-Jul25'!CS130)</f>
        <v/>
      </c>
      <c r="CT130" t="str">
        <f>IF('1. Live'!CT130='check-Jul25'!CT130,"",'1. Live'!CT130-'check-Jul25'!CT130)</f>
        <v/>
      </c>
      <c r="CU130" t="str">
        <f>IF('1. Live'!CU130='check-Jul25'!CU130,"",'1. Live'!CU130-'check-Jul25'!CU130)</f>
        <v/>
      </c>
      <c r="CV130" t="str">
        <f>IF('1. Live'!CV130='check-Jul25'!CV130,"",'1. Live'!CV130-'check-Jul25'!CV130)</f>
        <v/>
      </c>
      <c r="CW130" t="str">
        <f>IF('1. Live'!CW130='check-Jul25'!CW130,"",'1. Live'!CW130-'check-Jul25'!CW130)</f>
        <v/>
      </c>
    </row>
    <row r="131" spans="10:101">
      <c r="J131" t="str">
        <f>IF('1. Live'!J131='check-Jul25'!J131,"",'1. Live'!J131-'check-Jul25'!J131)</f>
        <v/>
      </c>
      <c r="K131" t="str">
        <f>IF('1. Live'!K131='check-Jul25'!K131,"",'1. Live'!K131-'check-Jul25'!K131)</f>
        <v/>
      </c>
      <c r="L131" t="str">
        <f>IF('1. Live'!L131='check-Jul25'!L131,"",'1. Live'!L131-'check-Jul25'!L131)</f>
        <v/>
      </c>
      <c r="M131" t="str">
        <f>IF('1. Live'!M131='check-Jul25'!M131,"",'1. Live'!M131-'check-Jul25'!M131)</f>
        <v/>
      </c>
      <c r="N131" t="str">
        <f>IF('1. Live'!N131='check-Jul25'!N131,"",'1. Live'!N131-'check-Jul25'!N131)</f>
        <v/>
      </c>
      <c r="O131" t="str">
        <f>IF('1. Live'!O131='check-Jul25'!O131,"",'1. Live'!O131-'check-Jul25'!O131)</f>
        <v/>
      </c>
      <c r="P131" t="str">
        <f>IF('1. Live'!P131='check-Jul25'!P131,"",'1. Live'!P131-'check-Jul25'!P131)</f>
        <v/>
      </c>
      <c r="Q131" t="str">
        <f>IF('1. Live'!Q131='check-Jul25'!Q131,"",'1. Live'!Q131-'check-Jul25'!Q131)</f>
        <v/>
      </c>
      <c r="R131" t="str">
        <f>IF('1. Live'!R131='check-Jul25'!R131,"",'1. Live'!R131-'check-Jul25'!R131)</f>
        <v/>
      </c>
      <c r="S131" t="str">
        <f>IF('1. Live'!S131='check-Jul25'!S131,"",'1. Live'!S131-'check-Jul25'!S131)</f>
        <v/>
      </c>
      <c r="T131" t="str">
        <f>IF('1. Live'!T131='check-Jul25'!T131,"",'1. Live'!T131-'check-Jul25'!T131)</f>
        <v/>
      </c>
      <c r="U131" t="str">
        <f>IF('1. Live'!U131='check-Jul25'!U131,"",'1. Live'!U131-'check-Jul25'!U131)</f>
        <v/>
      </c>
      <c r="V131" t="str">
        <f>IF('1. Live'!V131='check-Jul25'!V131,"",'1. Live'!V131-'check-Jul25'!V131)</f>
        <v/>
      </c>
      <c r="W131" t="str">
        <f>IF('1. Live'!W131='check-Jul25'!W131,"",'1. Live'!W131-'check-Jul25'!W131)</f>
        <v/>
      </c>
      <c r="X131" t="str">
        <f>IF('1. Live'!X131='check-Jul25'!X131,"",'1. Live'!X131-'check-Jul25'!X131)</f>
        <v/>
      </c>
      <c r="Y131" t="str">
        <f>IF('1. Live'!Y131='check-Jul25'!Y131,"",'1. Live'!Y131-'check-Jul25'!Y131)</f>
        <v/>
      </c>
      <c r="Z131" t="str">
        <f>IF('1. Live'!Z131='check-Jul25'!Z131,"",'1. Live'!Z131-'check-Jul25'!Z131)</f>
        <v/>
      </c>
      <c r="AA131" t="str">
        <f>IF('1. Live'!AA131='check-Jul25'!AA131,"",'1. Live'!AA131-'check-Jul25'!AA131)</f>
        <v/>
      </c>
      <c r="AB131" t="str">
        <f>IF('1. Live'!AB131='check-Jul25'!AB131,"",'1. Live'!AB131-'check-Jul25'!AB131)</f>
        <v/>
      </c>
      <c r="AC131" t="str">
        <f>IF('1. Live'!AC131='check-Jul25'!AC131,"",'1. Live'!AC131-'check-Jul25'!AC131)</f>
        <v/>
      </c>
      <c r="AD131" t="str">
        <f>IF('1. Live'!AD131='check-Jul25'!AD131,"",'1. Live'!AD131-'check-Jul25'!AD131)</f>
        <v/>
      </c>
      <c r="AE131" t="str">
        <f>IF('1. Live'!AE131='check-Jul25'!AE131,"",'1. Live'!AE131-'check-Jul25'!AE131)</f>
        <v/>
      </c>
      <c r="AF131" t="str">
        <f>IF('1. Live'!AF131='check-Jul25'!AF131,"",'1. Live'!AF131-'check-Jul25'!AF131)</f>
        <v/>
      </c>
      <c r="AG131" t="str">
        <f>IF('1. Live'!AG131='check-Jul25'!AG131,"",'1. Live'!AG131-'check-Jul25'!AG131)</f>
        <v/>
      </c>
      <c r="AH131" t="str">
        <f>IF('1. Live'!AH131='check-Jul25'!AH131,"",'1. Live'!AH131-'check-Jul25'!AH131)</f>
        <v/>
      </c>
      <c r="AI131" t="str">
        <f>IF('1. Live'!AI131='check-Jul25'!AI131,"",'1. Live'!AI131-'check-Jul25'!AI131)</f>
        <v/>
      </c>
      <c r="AJ131" t="str">
        <f>IF('1. Live'!AJ131='check-Jul25'!AJ131,"",'1. Live'!AJ131-'check-Jul25'!AJ131)</f>
        <v/>
      </c>
      <c r="AK131" t="str">
        <f>IF('1. Live'!AK131='check-Jul25'!AK131,"",'1. Live'!AK131-'check-Jul25'!AK131)</f>
        <v/>
      </c>
      <c r="AL131" t="str">
        <f>IF('1. Live'!AL131='check-Jul25'!AL131,"",'1. Live'!AL131-'check-Jul25'!AL131)</f>
        <v/>
      </c>
      <c r="AM131" t="str">
        <f>IF('1. Live'!AM131='check-Jul25'!AM131,"",'1. Live'!AM131-'check-Jul25'!AM131)</f>
        <v/>
      </c>
      <c r="AN131" t="str">
        <f>IF('1. Live'!AN131='check-Jul25'!AN131,"",'1. Live'!AN131-'check-Jul25'!AN131)</f>
        <v/>
      </c>
      <c r="AO131" t="str">
        <f>IF('1. Live'!AO131='check-Jul25'!AO131,"",'1. Live'!AO131-'check-Jul25'!AO131)</f>
        <v/>
      </c>
      <c r="AP131" t="str">
        <f>IF('1. Live'!AP131='check-Jul25'!AP131,"",'1. Live'!AP131-'check-Jul25'!AP131)</f>
        <v/>
      </c>
      <c r="AQ131" t="str">
        <f>IF('1. Live'!AQ131='check-Jul25'!AQ131,"",'1. Live'!AQ131-'check-Jul25'!AQ131)</f>
        <v/>
      </c>
      <c r="AR131" t="str">
        <f>IF('1. Live'!AR131='check-Jul25'!AR131,"",'1. Live'!AR131-'check-Jul25'!AR131)</f>
        <v/>
      </c>
      <c r="AS131" t="str">
        <f>IF('1. Live'!AS131='check-Jul25'!AS131,"",'1. Live'!AS131-'check-Jul25'!AS131)</f>
        <v/>
      </c>
      <c r="AT131" t="str">
        <f>IF('1. Live'!AT131='check-Jul25'!AT131,"",'1. Live'!AT131-'check-Jul25'!AT131)</f>
        <v/>
      </c>
      <c r="AU131" t="str">
        <f>IF('1. Live'!AU131='check-Jul25'!AU131,"",'1. Live'!AU131-'check-Jul25'!AU131)</f>
        <v/>
      </c>
      <c r="AV131" t="str">
        <f>IF('1. Live'!AV131='check-Jul25'!AV131,"",'1. Live'!AV131-'check-Jul25'!AV131)</f>
        <v/>
      </c>
      <c r="AW131" t="str">
        <f>IF('1. Live'!AW131='check-Jul25'!AW131,"",'1. Live'!AW131-'check-Jul25'!AW131)</f>
        <v/>
      </c>
      <c r="AX131" t="str">
        <f>IF('1. Live'!AX131='check-Jul25'!AX131,"",'1. Live'!AX131-'check-Jul25'!AX131)</f>
        <v/>
      </c>
      <c r="AY131" t="str">
        <f>IF('1. Live'!AY131='check-Jul25'!AY131,"",'1. Live'!AY131-'check-Jul25'!AY131)</f>
        <v/>
      </c>
      <c r="AZ131" t="str">
        <f>IF('1. Live'!AZ131='check-Jul25'!AZ131,"",'1. Live'!AZ131-'check-Jul25'!AZ131)</f>
        <v/>
      </c>
      <c r="BA131" t="str">
        <f>IF('1. Live'!BA131='check-Jul25'!BA131,"",'1. Live'!BA131-'check-Jul25'!BA131)</f>
        <v/>
      </c>
      <c r="BB131" t="str">
        <f>IF('1. Live'!BB131='check-Jul25'!BB131,"",'1. Live'!BB131-'check-Jul25'!BB131)</f>
        <v/>
      </c>
      <c r="BC131" t="str">
        <f>IF('1. Live'!BC131='check-Jul25'!BC131,"",'1. Live'!BC131-'check-Jul25'!BC131)</f>
        <v/>
      </c>
      <c r="BD131" t="str">
        <f>IF('1. Live'!BD131='check-Jul25'!BD131,"",'1. Live'!BD131-'check-Jul25'!BD131)</f>
        <v/>
      </c>
      <c r="BE131" t="str">
        <f>IF('1. Live'!BE131='check-Jul25'!BE131,"",'1. Live'!BE131-'check-Jul25'!BE131)</f>
        <v/>
      </c>
      <c r="BF131" t="str">
        <f>IF('1. Live'!BF131='check-Jul25'!BF131,"",'1. Live'!BF131-'check-Jul25'!BF131)</f>
        <v/>
      </c>
      <c r="BG131" t="str">
        <f>IF('1. Live'!BG131='check-Jul25'!BG131,"",'1. Live'!BG131-'check-Jul25'!BG131)</f>
        <v/>
      </c>
      <c r="BH131" t="str">
        <f>IF('1. Live'!BH131='check-Jul25'!BH131,"",'1. Live'!BH131-'check-Jul25'!BH131)</f>
        <v/>
      </c>
      <c r="BI131" t="str">
        <f>IF('1. Live'!BI131='check-Jul25'!BI131,"",'1. Live'!BI131-'check-Jul25'!BI131)</f>
        <v/>
      </c>
      <c r="BJ131" t="str">
        <f>IF('1. Live'!BJ131='check-Jul25'!BJ131,"",'1. Live'!BJ131-'check-Jul25'!BJ131)</f>
        <v/>
      </c>
      <c r="BK131" t="str">
        <f>IF('1. Live'!BK131='check-Jul25'!BK131,"",'1. Live'!BK131-'check-Jul25'!BK131)</f>
        <v/>
      </c>
      <c r="BL131" t="str">
        <f>IF('1. Live'!BL131='check-Jul25'!BL131,"",'1. Live'!BL131-'check-Jul25'!BL131)</f>
        <v/>
      </c>
      <c r="BM131" t="str">
        <f>IF('1. Live'!BM131='check-Jul25'!BM131,"",'1. Live'!BM131-'check-Jul25'!BM131)</f>
        <v/>
      </c>
      <c r="BN131" t="str">
        <f>IF('1. Live'!BN131='check-Jul25'!BN131,"",'1. Live'!BN131-'check-Jul25'!BN131)</f>
        <v/>
      </c>
      <c r="BO131" t="str">
        <f>IF('1. Live'!BO131='check-Jul25'!BO131,"",'1. Live'!BO131-'check-Jul25'!BO131)</f>
        <v/>
      </c>
      <c r="BP131" t="str">
        <f>IF('1. Live'!BP131='check-Jul25'!BP131,"",'1. Live'!BP131-'check-Jul25'!BP131)</f>
        <v/>
      </c>
      <c r="BQ131" t="str">
        <f>IF('1. Live'!BQ131='check-Jul25'!BQ131,"",'1. Live'!BQ131-'check-Jul25'!BQ131)</f>
        <v/>
      </c>
      <c r="BR131" t="str">
        <f>IF('1. Live'!BR131='check-Jul25'!BR131,"",'1. Live'!BR131-'check-Jul25'!BR131)</f>
        <v/>
      </c>
      <c r="BS131" t="str">
        <f>IF('1. Live'!BS131='check-Jul25'!BS131,"",'1. Live'!BS131-'check-Jul25'!BS131)</f>
        <v/>
      </c>
      <c r="BT131" t="str">
        <f>IF('1. Live'!BT131='check-Jul25'!BT131,"",'1. Live'!BT131-'check-Jul25'!BT131)</f>
        <v/>
      </c>
      <c r="BU131" t="str">
        <f>IF('1. Live'!BU131='check-Jul25'!BU131,"",'1. Live'!BU131-'check-Jul25'!BU131)</f>
        <v/>
      </c>
      <c r="BV131" t="str">
        <f>IF('1. Live'!BV131='check-Jul25'!BV131,"",'1. Live'!BV131-'check-Jul25'!BV131)</f>
        <v/>
      </c>
      <c r="BW131" t="str">
        <f>IF('1. Live'!BW131='check-Jul25'!BW131,"",'1. Live'!BW131-'check-Jul25'!BW131)</f>
        <v/>
      </c>
      <c r="BX131" t="str">
        <f>IF('1. Live'!BX131='check-Jul25'!BX131,"",'1. Live'!BX131-'check-Jul25'!BX131)</f>
        <v/>
      </c>
      <c r="BY131" t="str">
        <f>IF('1. Live'!BY131='check-Jul25'!BY131,"",'1. Live'!BY131-'check-Jul25'!BY131)</f>
        <v/>
      </c>
      <c r="BZ131" t="str">
        <f>IF('1. Live'!BZ131='check-Jul25'!BZ131,"",'1. Live'!BZ131-'check-Jul25'!BZ131)</f>
        <v/>
      </c>
      <c r="CA131" t="str">
        <f>IF('1. Live'!CA131='check-Jul25'!CA131,"",'1. Live'!CA131-'check-Jul25'!CA131)</f>
        <v/>
      </c>
      <c r="CB131" t="str">
        <f>IF('1. Live'!CB131='check-Jul25'!CB131,"",'1. Live'!CB131-'check-Jul25'!CB131)</f>
        <v/>
      </c>
      <c r="CC131" t="str">
        <f>IF('1. Live'!CC131='check-Jul25'!CC131,"",'1. Live'!CC131-'check-Jul25'!CC131)</f>
        <v/>
      </c>
      <c r="CD131" t="str">
        <f>IF('1. Live'!CD131='check-Jul25'!CD131,"",'1. Live'!CD131-'check-Jul25'!CD131)</f>
        <v/>
      </c>
      <c r="CE131" t="str">
        <f>IF('1. Live'!CE131='check-Jul25'!CE131,"",'1. Live'!CE131-'check-Jul25'!CE131)</f>
        <v/>
      </c>
      <c r="CF131" t="str">
        <f>IF('1. Live'!CF131='check-Jul25'!CF131,"",'1. Live'!CF131-'check-Jul25'!CF131)</f>
        <v/>
      </c>
      <c r="CG131" t="str">
        <f>IF('1. Live'!CG131='check-Jul25'!CG131,"",'1. Live'!CG131-'check-Jul25'!CG131)</f>
        <v/>
      </c>
      <c r="CH131" t="str">
        <f>IF('1. Live'!CH131='check-Jul25'!CH131,"",'1. Live'!CH131-'check-Jul25'!CH131)</f>
        <v/>
      </c>
      <c r="CI131" t="str">
        <f>IF('1. Live'!CI131='check-Jul25'!CI131,"",'1. Live'!CI131-'check-Jul25'!CI131)</f>
        <v/>
      </c>
      <c r="CJ131" t="str">
        <f>IF('1. Live'!CJ131='check-Jul25'!CJ131,"",'1. Live'!CJ131-'check-Jul25'!CJ131)</f>
        <v/>
      </c>
      <c r="CK131" t="str">
        <f>IF('1. Live'!CK131='check-Jul25'!CK131,"",'1. Live'!CK131-'check-Jul25'!CK131)</f>
        <v/>
      </c>
      <c r="CL131" t="str">
        <f>IF('1. Live'!CL131='check-Jul25'!CL131,"",'1. Live'!CL131-'check-Jul25'!CL131)</f>
        <v/>
      </c>
      <c r="CM131" t="str">
        <f>IF('1. Live'!CM131='check-Jul25'!CM131,"",'1. Live'!CM131-'check-Jul25'!CM131)</f>
        <v/>
      </c>
      <c r="CN131" t="str">
        <f>IF('1. Live'!CN131='check-Jul25'!CN131,"",'1. Live'!CN131-'check-Jul25'!CN131)</f>
        <v/>
      </c>
      <c r="CO131" t="str">
        <f>IF('1. Live'!CO131='check-Jul25'!CO131,"",'1. Live'!CO131-'check-Jul25'!CO131)</f>
        <v/>
      </c>
      <c r="CP131" t="str">
        <f>IF('1. Live'!CP131='check-Jul25'!CP131,"",'1. Live'!CP131-'check-Jul25'!CP131)</f>
        <v/>
      </c>
      <c r="CQ131" t="str">
        <f>IF('1. Live'!CQ131='check-Jul25'!CQ131,"",'1. Live'!CQ131-'check-Jul25'!CQ131)</f>
        <v/>
      </c>
      <c r="CR131" t="str">
        <f>IF('1. Live'!CR131='check-Jul25'!CR131,"",'1. Live'!CR131-'check-Jul25'!CR131)</f>
        <v/>
      </c>
      <c r="CS131" t="str">
        <f>IF('1. Live'!CS131='check-Jul25'!CS131,"",'1. Live'!CS131-'check-Jul25'!CS131)</f>
        <v/>
      </c>
      <c r="CT131" t="str">
        <f>IF('1. Live'!CT131='check-Jul25'!CT131,"",'1. Live'!CT131-'check-Jul25'!CT131)</f>
        <v/>
      </c>
      <c r="CU131" t="str">
        <f>IF('1. Live'!CU131='check-Jul25'!CU131,"",'1. Live'!CU131-'check-Jul25'!CU131)</f>
        <v/>
      </c>
      <c r="CV131" t="str">
        <f>IF('1. Live'!CV131='check-Jul25'!CV131,"",'1. Live'!CV131-'check-Jul25'!CV131)</f>
        <v/>
      </c>
      <c r="CW131" t="str">
        <f>IF('1. Live'!CW131='check-Jul25'!CW131,"",'1. Live'!CW131-'check-Jul25'!CW131)</f>
        <v/>
      </c>
    </row>
    <row r="132" spans="10:101">
      <c r="J132" t="str">
        <f>IF('1. Live'!J132='check-Jul25'!J132,"",'1. Live'!J132-'check-Jul25'!J132)</f>
        <v/>
      </c>
      <c r="K132" t="str">
        <f>IF('1. Live'!K132='check-Jul25'!K132,"",'1. Live'!K132-'check-Jul25'!K132)</f>
        <v/>
      </c>
      <c r="L132" t="str">
        <f>IF('1. Live'!L132='check-Jul25'!L132,"",'1. Live'!L132-'check-Jul25'!L132)</f>
        <v/>
      </c>
      <c r="M132" t="str">
        <f>IF('1. Live'!M132='check-Jul25'!M132,"",'1. Live'!M132-'check-Jul25'!M132)</f>
        <v/>
      </c>
      <c r="N132" t="str">
        <f>IF('1. Live'!N132='check-Jul25'!N132,"",'1. Live'!N132-'check-Jul25'!N132)</f>
        <v/>
      </c>
      <c r="O132" t="str">
        <f>IF('1. Live'!O132='check-Jul25'!O132,"",'1. Live'!O132-'check-Jul25'!O132)</f>
        <v/>
      </c>
      <c r="P132" t="str">
        <f>IF('1. Live'!P132='check-Jul25'!P132,"",'1. Live'!P132-'check-Jul25'!P132)</f>
        <v/>
      </c>
      <c r="Q132" t="str">
        <f>IF('1. Live'!Q132='check-Jul25'!Q132,"",'1. Live'!Q132-'check-Jul25'!Q132)</f>
        <v/>
      </c>
      <c r="R132" t="str">
        <f>IF('1. Live'!R132='check-Jul25'!R132,"",'1. Live'!R132-'check-Jul25'!R132)</f>
        <v/>
      </c>
      <c r="S132" t="str">
        <f>IF('1. Live'!S132='check-Jul25'!S132,"",'1. Live'!S132-'check-Jul25'!S132)</f>
        <v/>
      </c>
      <c r="T132" t="str">
        <f>IF('1. Live'!T132='check-Jul25'!T132,"",'1. Live'!T132-'check-Jul25'!T132)</f>
        <v/>
      </c>
      <c r="U132" t="str">
        <f>IF('1. Live'!U132='check-Jul25'!U132,"",'1. Live'!U132-'check-Jul25'!U132)</f>
        <v/>
      </c>
      <c r="V132" t="str">
        <f>IF('1. Live'!V132='check-Jul25'!V132,"",'1. Live'!V132-'check-Jul25'!V132)</f>
        <v/>
      </c>
      <c r="W132" t="str">
        <f>IF('1. Live'!W132='check-Jul25'!W132,"",'1. Live'!W132-'check-Jul25'!W132)</f>
        <v/>
      </c>
      <c r="X132" t="str">
        <f>IF('1. Live'!X132='check-Jul25'!X132,"",'1. Live'!X132-'check-Jul25'!X132)</f>
        <v/>
      </c>
      <c r="Y132" t="str">
        <f>IF('1. Live'!Y132='check-Jul25'!Y132,"",'1. Live'!Y132-'check-Jul25'!Y132)</f>
        <v/>
      </c>
      <c r="Z132" t="str">
        <f>IF('1. Live'!Z132='check-Jul25'!Z132,"",'1. Live'!Z132-'check-Jul25'!Z132)</f>
        <v/>
      </c>
      <c r="AA132" t="str">
        <f>IF('1. Live'!AA132='check-Jul25'!AA132,"",'1. Live'!AA132-'check-Jul25'!AA132)</f>
        <v/>
      </c>
      <c r="AB132" t="str">
        <f>IF('1. Live'!AB132='check-Jul25'!AB132,"",'1. Live'!AB132-'check-Jul25'!AB132)</f>
        <v/>
      </c>
      <c r="AC132" t="str">
        <f>IF('1. Live'!AC132='check-Jul25'!AC132,"",'1. Live'!AC132-'check-Jul25'!AC132)</f>
        <v/>
      </c>
      <c r="AD132" t="str">
        <f>IF('1. Live'!AD132='check-Jul25'!AD132,"",'1. Live'!AD132-'check-Jul25'!AD132)</f>
        <v/>
      </c>
      <c r="AE132" t="str">
        <f>IF('1. Live'!AE132='check-Jul25'!AE132,"",'1. Live'!AE132-'check-Jul25'!AE132)</f>
        <v/>
      </c>
      <c r="AF132" t="str">
        <f>IF('1. Live'!AF132='check-Jul25'!AF132,"",'1. Live'!AF132-'check-Jul25'!AF132)</f>
        <v/>
      </c>
      <c r="AG132" t="str">
        <f>IF('1. Live'!AG132='check-Jul25'!AG132,"",'1. Live'!AG132-'check-Jul25'!AG132)</f>
        <v/>
      </c>
      <c r="AH132" t="str">
        <f>IF('1. Live'!AH132='check-Jul25'!AH132,"",'1. Live'!AH132-'check-Jul25'!AH132)</f>
        <v/>
      </c>
      <c r="AI132" t="str">
        <f>IF('1. Live'!AI132='check-Jul25'!AI132,"",'1. Live'!AI132-'check-Jul25'!AI132)</f>
        <v/>
      </c>
      <c r="AJ132" t="str">
        <f>IF('1. Live'!AJ132='check-Jul25'!AJ132,"",'1. Live'!AJ132-'check-Jul25'!AJ132)</f>
        <v/>
      </c>
      <c r="AK132" t="str">
        <f>IF('1. Live'!AK132='check-Jul25'!AK132,"",'1. Live'!AK132-'check-Jul25'!AK132)</f>
        <v/>
      </c>
      <c r="AL132" t="str">
        <f>IF('1. Live'!AL132='check-Jul25'!AL132,"",'1. Live'!AL132-'check-Jul25'!AL132)</f>
        <v/>
      </c>
      <c r="AM132" t="str">
        <f>IF('1. Live'!AM132='check-Jul25'!AM132,"",'1. Live'!AM132-'check-Jul25'!AM132)</f>
        <v/>
      </c>
      <c r="AN132" t="str">
        <f>IF('1. Live'!AN132='check-Jul25'!AN132,"",'1. Live'!AN132-'check-Jul25'!AN132)</f>
        <v/>
      </c>
      <c r="AO132" t="str">
        <f>IF('1. Live'!AO132='check-Jul25'!AO132,"",'1. Live'!AO132-'check-Jul25'!AO132)</f>
        <v/>
      </c>
      <c r="AP132" t="str">
        <f>IF('1. Live'!AP132='check-Jul25'!AP132,"",'1. Live'!AP132-'check-Jul25'!AP132)</f>
        <v/>
      </c>
      <c r="AQ132" t="str">
        <f>IF('1. Live'!AQ132='check-Jul25'!AQ132,"",'1. Live'!AQ132-'check-Jul25'!AQ132)</f>
        <v/>
      </c>
      <c r="AR132" t="str">
        <f>IF('1. Live'!AR132='check-Jul25'!AR132,"",'1. Live'!AR132-'check-Jul25'!AR132)</f>
        <v/>
      </c>
      <c r="AS132" t="str">
        <f>IF('1. Live'!AS132='check-Jul25'!AS132,"",'1. Live'!AS132-'check-Jul25'!AS132)</f>
        <v/>
      </c>
      <c r="AT132" t="str">
        <f>IF('1. Live'!AT132='check-Jul25'!AT132,"",'1. Live'!AT132-'check-Jul25'!AT132)</f>
        <v/>
      </c>
      <c r="AU132" t="str">
        <f>IF('1. Live'!AU132='check-Jul25'!AU132,"",'1. Live'!AU132-'check-Jul25'!AU132)</f>
        <v/>
      </c>
      <c r="AV132" t="str">
        <f>IF('1. Live'!AV132='check-Jul25'!AV132,"",'1. Live'!AV132-'check-Jul25'!AV132)</f>
        <v/>
      </c>
      <c r="AW132" t="str">
        <f>IF('1. Live'!AW132='check-Jul25'!AW132,"",'1. Live'!AW132-'check-Jul25'!AW132)</f>
        <v/>
      </c>
      <c r="AX132" t="str">
        <f>IF('1. Live'!AX132='check-Jul25'!AX132,"",'1. Live'!AX132-'check-Jul25'!AX132)</f>
        <v/>
      </c>
      <c r="AY132" t="str">
        <f>IF('1. Live'!AY132='check-Jul25'!AY132,"",'1. Live'!AY132-'check-Jul25'!AY132)</f>
        <v/>
      </c>
      <c r="AZ132" t="str">
        <f>IF('1. Live'!AZ132='check-Jul25'!AZ132,"",'1. Live'!AZ132-'check-Jul25'!AZ132)</f>
        <v/>
      </c>
      <c r="BA132" t="str">
        <f>IF('1. Live'!BA132='check-Jul25'!BA132,"",'1. Live'!BA132-'check-Jul25'!BA132)</f>
        <v/>
      </c>
      <c r="BB132" t="str">
        <f>IF('1. Live'!BB132='check-Jul25'!BB132,"",'1. Live'!BB132-'check-Jul25'!BB132)</f>
        <v/>
      </c>
      <c r="BC132" t="str">
        <f>IF('1. Live'!BC132='check-Jul25'!BC132,"",'1. Live'!BC132-'check-Jul25'!BC132)</f>
        <v/>
      </c>
      <c r="BD132" t="str">
        <f>IF('1. Live'!BD132='check-Jul25'!BD132,"",'1. Live'!BD132-'check-Jul25'!BD132)</f>
        <v/>
      </c>
      <c r="BE132" t="str">
        <f>IF('1. Live'!BE132='check-Jul25'!BE132,"",'1. Live'!BE132-'check-Jul25'!BE132)</f>
        <v/>
      </c>
      <c r="BF132" t="str">
        <f>IF('1. Live'!BF132='check-Jul25'!BF132,"",'1. Live'!BF132-'check-Jul25'!BF132)</f>
        <v/>
      </c>
      <c r="BG132" t="str">
        <f>IF('1. Live'!BG132='check-Jul25'!BG132,"",'1. Live'!BG132-'check-Jul25'!BG132)</f>
        <v/>
      </c>
      <c r="BH132" t="str">
        <f>IF('1. Live'!BH132='check-Jul25'!BH132,"",'1. Live'!BH132-'check-Jul25'!BH132)</f>
        <v/>
      </c>
      <c r="BI132" t="str">
        <f>IF('1. Live'!BI132='check-Jul25'!BI132,"",'1. Live'!BI132-'check-Jul25'!BI132)</f>
        <v/>
      </c>
      <c r="BJ132" t="str">
        <f>IF('1. Live'!BJ132='check-Jul25'!BJ132,"",'1. Live'!BJ132-'check-Jul25'!BJ132)</f>
        <v/>
      </c>
      <c r="BK132" t="str">
        <f>IF('1. Live'!BK132='check-Jul25'!BK132,"",'1. Live'!BK132-'check-Jul25'!BK132)</f>
        <v/>
      </c>
      <c r="BL132" t="str">
        <f>IF('1. Live'!BL132='check-Jul25'!BL132,"",'1. Live'!BL132-'check-Jul25'!BL132)</f>
        <v/>
      </c>
      <c r="BM132" t="str">
        <f>IF('1. Live'!BM132='check-Jul25'!BM132,"",'1. Live'!BM132-'check-Jul25'!BM132)</f>
        <v/>
      </c>
      <c r="BN132" t="str">
        <f>IF('1. Live'!BN132='check-Jul25'!BN132,"",'1. Live'!BN132-'check-Jul25'!BN132)</f>
        <v/>
      </c>
      <c r="BO132" t="str">
        <f>IF('1. Live'!BO132='check-Jul25'!BO132,"",'1. Live'!BO132-'check-Jul25'!BO132)</f>
        <v/>
      </c>
      <c r="BP132" t="str">
        <f>IF('1. Live'!BP132='check-Jul25'!BP132,"",'1. Live'!BP132-'check-Jul25'!BP132)</f>
        <v/>
      </c>
      <c r="BQ132" t="str">
        <f>IF('1. Live'!BQ132='check-Jul25'!BQ132,"",'1. Live'!BQ132-'check-Jul25'!BQ132)</f>
        <v/>
      </c>
      <c r="BR132" t="str">
        <f>IF('1. Live'!BR132='check-Jul25'!BR132,"",'1. Live'!BR132-'check-Jul25'!BR132)</f>
        <v/>
      </c>
      <c r="BS132" t="str">
        <f>IF('1. Live'!BS132='check-Jul25'!BS132,"",'1. Live'!BS132-'check-Jul25'!BS132)</f>
        <v/>
      </c>
      <c r="BT132" t="str">
        <f>IF('1. Live'!BT132='check-Jul25'!BT132,"",'1. Live'!BT132-'check-Jul25'!BT132)</f>
        <v/>
      </c>
      <c r="BU132" t="str">
        <f>IF('1. Live'!BU132='check-Jul25'!BU132,"",'1. Live'!BU132-'check-Jul25'!BU132)</f>
        <v/>
      </c>
      <c r="BV132" t="str">
        <f>IF('1. Live'!BV132='check-Jul25'!BV132,"",'1. Live'!BV132-'check-Jul25'!BV132)</f>
        <v/>
      </c>
      <c r="BW132" t="str">
        <f>IF('1. Live'!BW132='check-Jul25'!BW132,"",'1. Live'!BW132-'check-Jul25'!BW132)</f>
        <v/>
      </c>
      <c r="BX132" t="str">
        <f>IF('1. Live'!BX132='check-Jul25'!BX132,"",'1. Live'!BX132-'check-Jul25'!BX132)</f>
        <v/>
      </c>
      <c r="BY132" t="str">
        <f>IF('1. Live'!BY132='check-Jul25'!BY132,"",'1. Live'!BY132-'check-Jul25'!BY132)</f>
        <v/>
      </c>
      <c r="BZ132" t="str">
        <f>IF('1. Live'!BZ132='check-Jul25'!BZ132,"",'1. Live'!BZ132-'check-Jul25'!BZ132)</f>
        <v/>
      </c>
      <c r="CA132" t="str">
        <f>IF('1. Live'!CA132='check-Jul25'!CA132,"",'1. Live'!CA132-'check-Jul25'!CA132)</f>
        <v/>
      </c>
      <c r="CB132" t="str">
        <f>IF('1. Live'!CB132='check-Jul25'!CB132,"",'1. Live'!CB132-'check-Jul25'!CB132)</f>
        <v/>
      </c>
      <c r="CC132" t="str">
        <f>IF('1. Live'!CC132='check-Jul25'!CC132,"",'1. Live'!CC132-'check-Jul25'!CC132)</f>
        <v/>
      </c>
      <c r="CD132" t="str">
        <f>IF('1. Live'!CD132='check-Jul25'!CD132,"",'1. Live'!CD132-'check-Jul25'!CD132)</f>
        <v/>
      </c>
      <c r="CE132" t="str">
        <f>IF('1. Live'!CE132='check-Jul25'!CE132,"",'1. Live'!CE132-'check-Jul25'!CE132)</f>
        <v/>
      </c>
      <c r="CF132" t="str">
        <f>IF('1. Live'!CF132='check-Jul25'!CF132,"",'1. Live'!CF132-'check-Jul25'!CF132)</f>
        <v/>
      </c>
      <c r="CG132" t="str">
        <f>IF('1. Live'!CG132='check-Jul25'!CG132,"",'1. Live'!CG132-'check-Jul25'!CG132)</f>
        <v/>
      </c>
      <c r="CH132" t="str">
        <f>IF('1. Live'!CH132='check-Jul25'!CH132,"",'1. Live'!CH132-'check-Jul25'!CH132)</f>
        <v/>
      </c>
      <c r="CI132" t="str">
        <f>IF('1. Live'!CI132='check-Jul25'!CI132,"",'1. Live'!CI132-'check-Jul25'!CI132)</f>
        <v/>
      </c>
      <c r="CJ132" t="str">
        <f>IF('1. Live'!CJ132='check-Jul25'!CJ132,"",'1. Live'!CJ132-'check-Jul25'!CJ132)</f>
        <v/>
      </c>
      <c r="CK132" t="str">
        <f>IF('1. Live'!CK132='check-Jul25'!CK132,"",'1. Live'!CK132-'check-Jul25'!CK132)</f>
        <v/>
      </c>
      <c r="CL132" t="str">
        <f>IF('1. Live'!CL132='check-Jul25'!CL132,"",'1. Live'!CL132-'check-Jul25'!CL132)</f>
        <v/>
      </c>
      <c r="CM132" t="str">
        <f>IF('1. Live'!CM132='check-Jul25'!CM132,"",'1. Live'!CM132-'check-Jul25'!CM132)</f>
        <v/>
      </c>
      <c r="CN132" t="str">
        <f>IF('1. Live'!CN132='check-Jul25'!CN132,"",'1. Live'!CN132-'check-Jul25'!CN132)</f>
        <v/>
      </c>
      <c r="CO132" t="str">
        <f>IF('1. Live'!CO132='check-Jul25'!CO132,"",'1. Live'!CO132-'check-Jul25'!CO132)</f>
        <v/>
      </c>
      <c r="CP132" t="str">
        <f>IF('1. Live'!CP132='check-Jul25'!CP132,"",'1. Live'!CP132-'check-Jul25'!CP132)</f>
        <v/>
      </c>
      <c r="CQ132" t="str">
        <f>IF('1. Live'!CQ132='check-Jul25'!CQ132,"",'1. Live'!CQ132-'check-Jul25'!CQ132)</f>
        <v/>
      </c>
      <c r="CR132" t="str">
        <f>IF('1. Live'!CR132='check-Jul25'!CR132,"",'1. Live'!CR132-'check-Jul25'!CR132)</f>
        <v/>
      </c>
      <c r="CS132" t="str">
        <f>IF('1. Live'!CS132='check-Jul25'!CS132,"",'1. Live'!CS132-'check-Jul25'!CS132)</f>
        <v/>
      </c>
      <c r="CT132" t="str">
        <f>IF('1. Live'!CT132='check-Jul25'!CT132,"",'1. Live'!CT132-'check-Jul25'!CT132)</f>
        <v/>
      </c>
      <c r="CU132" t="str">
        <f>IF('1. Live'!CU132='check-Jul25'!CU132,"",'1. Live'!CU132-'check-Jul25'!CU132)</f>
        <v/>
      </c>
      <c r="CV132" t="str">
        <f>IF('1. Live'!CV132='check-Jul25'!CV132,"",'1. Live'!CV132-'check-Jul25'!CV132)</f>
        <v/>
      </c>
      <c r="CW132" t="str">
        <f>IF('1. Live'!CW132='check-Jul25'!CW132,"",'1. Live'!CW132-'check-Jul25'!CW132)</f>
        <v/>
      </c>
    </row>
    <row r="133" spans="10:101">
      <c r="J133" t="str">
        <f>IF('1. Live'!J133='check-Jul25'!J133,"",'1. Live'!J133-'check-Jul25'!J133)</f>
        <v/>
      </c>
      <c r="K133" t="str">
        <f>IF('1. Live'!K133='check-Jul25'!K133,"",'1. Live'!K133-'check-Jul25'!K133)</f>
        <v/>
      </c>
      <c r="L133" t="str">
        <f>IF('1. Live'!L133='check-Jul25'!L133,"",'1. Live'!L133-'check-Jul25'!L133)</f>
        <v/>
      </c>
      <c r="M133" t="str">
        <f>IF('1. Live'!M133='check-Jul25'!M133,"",'1. Live'!M133-'check-Jul25'!M133)</f>
        <v/>
      </c>
      <c r="N133" t="str">
        <f>IF('1. Live'!N133='check-Jul25'!N133,"",'1. Live'!N133-'check-Jul25'!N133)</f>
        <v/>
      </c>
      <c r="O133" t="str">
        <f>IF('1. Live'!O133='check-Jul25'!O133,"",'1. Live'!O133-'check-Jul25'!O133)</f>
        <v/>
      </c>
      <c r="P133" t="str">
        <f>IF('1. Live'!P133='check-Jul25'!P133,"",'1. Live'!P133-'check-Jul25'!P133)</f>
        <v/>
      </c>
      <c r="Q133" t="str">
        <f>IF('1. Live'!Q133='check-Jul25'!Q133,"",'1. Live'!Q133-'check-Jul25'!Q133)</f>
        <v/>
      </c>
      <c r="R133" t="str">
        <f>IF('1. Live'!R133='check-Jul25'!R133,"",'1. Live'!R133-'check-Jul25'!R133)</f>
        <v/>
      </c>
      <c r="S133" t="str">
        <f>IF('1. Live'!S133='check-Jul25'!S133,"",'1. Live'!S133-'check-Jul25'!S133)</f>
        <v/>
      </c>
      <c r="T133" t="str">
        <f>IF('1. Live'!T133='check-Jul25'!T133,"",'1. Live'!T133-'check-Jul25'!T133)</f>
        <v/>
      </c>
      <c r="U133" t="str">
        <f>IF('1. Live'!U133='check-Jul25'!U133,"",'1. Live'!U133-'check-Jul25'!U133)</f>
        <v/>
      </c>
      <c r="V133" t="str">
        <f>IF('1. Live'!V133='check-Jul25'!V133,"",'1. Live'!V133-'check-Jul25'!V133)</f>
        <v/>
      </c>
      <c r="W133" t="str">
        <f>IF('1. Live'!W133='check-Jul25'!W133,"",'1. Live'!W133-'check-Jul25'!W133)</f>
        <v/>
      </c>
      <c r="X133" t="str">
        <f>IF('1. Live'!X133='check-Jul25'!X133,"",'1. Live'!X133-'check-Jul25'!X133)</f>
        <v/>
      </c>
      <c r="Y133" t="str">
        <f>IF('1. Live'!Y133='check-Jul25'!Y133,"",'1. Live'!Y133-'check-Jul25'!Y133)</f>
        <v/>
      </c>
      <c r="Z133" t="str">
        <f>IF('1. Live'!Z133='check-Jul25'!Z133,"",'1. Live'!Z133-'check-Jul25'!Z133)</f>
        <v/>
      </c>
      <c r="AA133" t="str">
        <f>IF('1. Live'!AA133='check-Jul25'!AA133,"",'1. Live'!AA133-'check-Jul25'!AA133)</f>
        <v/>
      </c>
      <c r="AB133" t="str">
        <f>IF('1. Live'!AB133='check-Jul25'!AB133,"",'1. Live'!AB133-'check-Jul25'!AB133)</f>
        <v/>
      </c>
      <c r="AC133" t="str">
        <f>IF('1. Live'!AC133='check-Jul25'!AC133,"",'1. Live'!AC133-'check-Jul25'!AC133)</f>
        <v/>
      </c>
      <c r="AD133" t="str">
        <f>IF('1. Live'!AD133='check-Jul25'!AD133,"",'1. Live'!AD133-'check-Jul25'!AD133)</f>
        <v/>
      </c>
      <c r="AE133" t="str">
        <f>IF('1. Live'!AE133='check-Jul25'!AE133,"",'1. Live'!AE133-'check-Jul25'!AE133)</f>
        <v/>
      </c>
      <c r="AF133" t="str">
        <f>IF('1. Live'!AF133='check-Jul25'!AF133,"",'1. Live'!AF133-'check-Jul25'!AF133)</f>
        <v/>
      </c>
      <c r="AG133" t="str">
        <f>IF('1. Live'!AG133='check-Jul25'!AG133,"",'1. Live'!AG133-'check-Jul25'!AG133)</f>
        <v/>
      </c>
      <c r="AH133" t="str">
        <f>IF('1. Live'!AH133='check-Jul25'!AH133,"",'1. Live'!AH133-'check-Jul25'!AH133)</f>
        <v/>
      </c>
      <c r="AI133" t="str">
        <f>IF('1. Live'!AI133='check-Jul25'!AI133,"",'1. Live'!AI133-'check-Jul25'!AI133)</f>
        <v/>
      </c>
      <c r="AJ133" t="str">
        <f>IF('1. Live'!AJ133='check-Jul25'!AJ133,"",'1. Live'!AJ133-'check-Jul25'!AJ133)</f>
        <v/>
      </c>
      <c r="AK133" t="str">
        <f>IF('1. Live'!AK133='check-Jul25'!AK133,"",'1. Live'!AK133-'check-Jul25'!AK133)</f>
        <v/>
      </c>
      <c r="AL133" t="str">
        <f>IF('1. Live'!AL133='check-Jul25'!AL133,"",'1. Live'!AL133-'check-Jul25'!AL133)</f>
        <v/>
      </c>
      <c r="AM133" t="str">
        <f>IF('1. Live'!AM133='check-Jul25'!AM133,"",'1. Live'!AM133-'check-Jul25'!AM133)</f>
        <v/>
      </c>
      <c r="AN133" t="str">
        <f>IF('1. Live'!AN133='check-Jul25'!AN133,"",'1. Live'!AN133-'check-Jul25'!AN133)</f>
        <v/>
      </c>
      <c r="AO133" t="str">
        <f>IF('1. Live'!AO133='check-Jul25'!AO133,"",'1. Live'!AO133-'check-Jul25'!AO133)</f>
        <v/>
      </c>
      <c r="AP133" t="str">
        <f>IF('1. Live'!AP133='check-Jul25'!AP133,"",'1. Live'!AP133-'check-Jul25'!AP133)</f>
        <v/>
      </c>
      <c r="AQ133" t="str">
        <f>IF('1. Live'!AQ133='check-Jul25'!AQ133,"",'1. Live'!AQ133-'check-Jul25'!AQ133)</f>
        <v/>
      </c>
      <c r="AR133" t="str">
        <f>IF('1. Live'!AR133='check-Jul25'!AR133,"",'1. Live'!AR133-'check-Jul25'!AR133)</f>
        <v/>
      </c>
      <c r="AS133" t="str">
        <f>IF('1. Live'!AS133='check-Jul25'!AS133,"",'1. Live'!AS133-'check-Jul25'!AS133)</f>
        <v/>
      </c>
      <c r="AT133" t="str">
        <f>IF('1. Live'!AT133='check-Jul25'!AT133,"",'1. Live'!AT133-'check-Jul25'!AT133)</f>
        <v/>
      </c>
      <c r="AU133" t="str">
        <f>IF('1. Live'!AU133='check-Jul25'!AU133,"",'1. Live'!AU133-'check-Jul25'!AU133)</f>
        <v/>
      </c>
      <c r="AV133" t="str">
        <f>IF('1. Live'!AV133='check-Jul25'!AV133,"",'1. Live'!AV133-'check-Jul25'!AV133)</f>
        <v/>
      </c>
      <c r="AW133" t="str">
        <f>IF('1. Live'!AW133='check-Jul25'!AW133,"",'1. Live'!AW133-'check-Jul25'!AW133)</f>
        <v/>
      </c>
      <c r="AX133" t="str">
        <f>IF('1. Live'!AX133='check-Jul25'!AX133,"",'1. Live'!AX133-'check-Jul25'!AX133)</f>
        <v/>
      </c>
      <c r="AY133" t="str">
        <f>IF('1. Live'!AY133='check-Jul25'!AY133,"",'1. Live'!AY133-'check-Jul25'!AY133)</f>
        <v/>
      </c>
      <c r="AZ133" t="str">
        <f>IF('1. Live'!AZ133='check-Jul25'!AZ133,"",'1. Live'!AZ133-'check-Jul25'!AZ133)</f>
        <v/>
      </c>
      <c r="BA133" t="str">
        <f>IF('1. Live'!BA133='check-Jul25'!BA133,"",'1. Live'!BA133-'check-Jul25'!BA133)</f>
        <v/>
      </c>
      <c r="BB133" t="str">
        <f>IF('1. Live'!BB133='check-Jul25'!BB133,"",'1. Live'!BB133-'check-Jul25'!BB133)</f>
        <v/>
      </c>
      <c r="BC133" t="str">
        <f>IF('1. Live'!BC133='check-Jul25'!BC133,"",'1. Live'!BC133-'check-Jul25'!BC133)</f>
        <v/>
      </c>
      <c r="BD133" t="str">
        <f>IF('1. Live'!BD133='check-Jul25'!BD133,"",'1. Live'!BD133-'check-Jul25'!BD133)</f>
        <v/>
      </c>
      <c r="BE133" t="str">
        <f>IF('1. Live'!BE133='check-Jul25'!BE133,"",'1. Live'!BE133-'check-Jul25'!BE133)</f>
        <v/>
      </c>
      <c r="BF133" t="str">
        <f>IF('1. Live'!BF133='check-Jul25'!BF133,"",'1. Live'!BF133-'check-Jul25'!BF133)</f>
        <v/>
      </c>
      <c r="BG133" t="str">
        <f>IF('1. Live'!BG133='check-Jul25'!BG133,"",'1. Live'!BG133-'check-Jul25'!BG133)</f>
        <v/>
      </c>
      <c r="BH133" t="str">
        <f>IF('1. Live'!BH133='check-Jul25'!BH133,"",'1. Live'!BH133-'check-Jul25'!BH133)</f>
        <v/>
      </c>
      <c r="BI133" t="str">
        <f>IF('1. Live'!BI133='check-Jul25'!BI133,"",'1. Live'!BI133-'check-Jul25'!BI133)</f>
        <v/>
      </c>
      <c r="BJ133" t="str">
        <f>IF('1. Live'!BJ133='check-Jul25'!BJ133,"",'1. Live'!BJ133-'check-Jul25'!BJ133)</f>
        <v/>
      </c>
      <c r="BK133" t="str">
        <f>IF('1. Live'!BK133='check-Jul25'!BK133,"",'1. Live'!BK133-'check-Jul25'!BK133)</f>
        <v/>
      </c>
      <c r="BL133" t="str">
        <f>IF('1. Live'!BL133='check-Jul25'!BL133,"",'1. Live'!BL133-'check-Jul25'!BL133)</f>
        <v/>
      </c>
      <c r="BM133" t="str">
        <f>IF('1. Live'!BM133='check-Jul25'!BM133,"",'1. Live'!BM133-'check-Jul25'!BM133)</f>
        <v/>
      </c>
      <c r="BN133" t="str">
        <f>IF('1. Live'!BN133='check-Jul25'!BN133,"",'1. Live'!BN133-'check-Jul25'!BN133)</f>
        <v/>
      </c>
      <c r="BO133" t="str">
        <f>IF('1. Live'!BO133='check-Jul25'!BO133,"",'1. Live'!BO133-'check-Jul25'!BO133)</f>
        <v/>
      </c>
      <c r="BP133" t="str">
        <f>IF('1. Live'!BP133='check-Jul25'!BP133,"",'1. Live'!BP133-'check-Jul25'!BP133)</f>
        <v/>
      </c>
      <c r="BQ133" t="str">
        <f>IF('1. Live'!BQ133='check-Jul25'!BQ133,"",'1. Live'!BQ133-'check-Jul25'!BQ133)</f>
        <v/>
      </c>
      <c r="BR133" t="str">
        <f>IF('1. Live'!BR133='check-Jul25'!BR133,"",'1. Live'!BR133-'check-Jul25'!BR133)</f>
        <v/>
      </c>
      <c r="BS133" t="str">
        <f>IF('1. Live'!BS133='check-Jul25'!BS133,"",'1. Live'!BS133-'check-Jul25'!BS133)</f>
        <v/>
      </c>
      <c r="BT133" t="str">
        <f>IF('1. Live'!BT133='check-Jul25'!BT133,"",'1. Live'!BT133-'check-Jul25'!BT133)</f>
        <v/>
      </c>
      <c r="BU133" t="str">
        <f>IF('1. Live'!BU133='check-Jul25'!BU133,"",'1. Live'!BU133-'check-Jul25'!BU133)</f>
        <v/>
      </c>
      <c r="BV133" t="str">
        <f>IF('1. Live'!BV133='check-Jul25'!BV133,"",'1. Live'!BV133-'check-Jul25'!BV133)</f>
        <v/>
      </c>
      <c r="BW133" t="str">
        <f>IF('1. Live'!BW133='check-Jul25'!BW133,"",'1. Live'!BW133-'check-Jul25'!BW133)</f>
        <v/>
      </c>
      <c r="BX133" t="str">
        <f>IF('1. Live'!BX133='check-Jul25'!BX133,"",'1. Live'!BX133-'check-Jul25'!BX133)</f>
        <v/>
      </c>
      <c r="BY133" t="str">
        <f>IF('1. Live'!BY133='check-Jul25'!BY133,"",'1. Live'!BY133-'check-Jul25'!BY133)</f>
        <v/>
      </c>
      <c r="BZ133" t="str">
        <f>IF('1. Live'!BZ133='check-Jul25'!BZ133,"",'1. Live'!BZ133-'check-Jul25'!BZ133)</f>
        <v/>
      </c>
      <c r="CA133" t="str">
        <f>IF('1. Live'!CA133='check-Jul25'!CA133,"",'1. Live'!CA133-'check-Jul25'!CA133)</f>
        <v/>
      </c>
      <c r="CB133" t="str">
        <f>IF('1. Live'!CB133='check-Jul25'!CB133,"",'1. Live'!CB133-'check-Jul25'!CB133)</f>
        <v/>
      </c>
      <c r="CC133" t="str">
        <f>IF('1. Live'!CC133='check-Jul25'!CC133,"",'1. Live'!CC133-'check-Jul25'!CC133)</f>
        <v/>
      </c>
      <c r="CD133" t="str">
        <f>IF('1. Live'!CD133='check-Jul25'!CD133,"",'1. Live'!CD133-'check-Jul25'!CD133)</f>
        <v/>
      </c>
      <c r="CE133" t="str">
        <f>IF('1. Live'!CE133='check-Jul25'!CE133,"",'1. Live'!CE133-'check-Jul25'!CE133)</f>
        <v/>
      </c>
      <c r="CF133" t="str">
        <f>IF('1. Live'!CF133='check-Jul25'!CF133,"",'1. Live'!CF133-'check-Jul25'!CF133)</f>
        <v/>
      </c>
      <c r="CG133" t="str">
        <f>IF('1. Live'!CG133='check-Jul25'!CG133,"",'1. Live'!CG133-'check-Jul25'!CG133)</f>
        <v/>
      </c>
      <c r="CH133" t="str">
        <f>IF('1. Live'!CH133='check-Jul25'!CH133,"",'1. Live'!CH133-'check-Jul25'!CH133)</f>
        <v/>
      </c>
      <c r="CI133" t="str">
        <f>IF('1. Live'!CI133='check-Jul25'!CI133,"",'1. Live'!CI133-'check-Jul25'!CI133)</f>
        <v/>
      </c>
      <c r="CJ133" t="str">
        <f>IF('1. Live'!CJ133='check-Jul25'!CJ133,"",'1. Live'!CJ133-'check-Jul25'!CJ133)</f>
        <v/>
      </c>
      <c r="CK133" t="str">
        <f>IF('1. Live'!CK133='check-Jul25'!CK133,"",'1. Live'!CK133-'check-Jul25'!CK133)</f>
        <v/>
      </c>
      <c r="CL133" t="str">
        <f>IF('1. Live'!CL133='check-Jul25'!CL133,"",'1. Live'!CL133-'check-Jul25'!CL133)</f>
        <v/>
      </c>
      <c r="CM133" t="str">
        <f>IF('1. Live'!CM133='check-Jul25'!CM133,"",'1. Live'!CM133-'check-Jul25'!CM133)</f>
        <v/>
      </c>
      <c r="CN133" t="str">
        <f>IF('1. Live'!CN133='check-Jul25'!CN133,"",'1. Live'!CN133-'check-Jul25'!CN133)</f>
        <v/>
      </c>
      <c r="CO133" t="str">
        <f>IF('1. Live'!CO133='check-Jul25'!CO133,"",'1. Live'!CO133-'check-Jul25'!CO133)</f>
        <v/>
      </c>
      <c r="CP133" t="str">
        <f>IF('1. Live'!CP133='check-Jul25'!CP133,"",'1. Live'!CP133-'check-Jul25'!CP133)</f>
        <v/>
      </c>
      <c r="CQ133" t="str">
        <f>IF('1. Live'!CQ133='check-Jul25'!CQ133,"",'1. Live'!CQ133-'check-Jul25'!CQ133)</f>
        <v/>
      </c>
      <c r="CR133" t="str">
        <f>IF('1. Live'!CR133='check-Jul25'!CR133,"",'1. Live'!CR133-'check-Jul25'!CR133)</f>
        <v/>
      </c>
      <c r="CS133" t="str">
        <f>IF('1. Live'!CS133='check-Jul25'!CS133,"",'1. Live'!CS133-'check-Jul25'!CS133)</f>
        <v/>
      </c>
      <c r="CT133" t="str">
        <f>IF('1. Live'!CT133='check-Jul25'!CT133,"",'1. Live'!CT133-'check-Jul25'!CT133)</f>
        <v/>
      </c>
      <c r="CU133" t="str">
        <f>IF('1. Live'!CU133='check-Jul25'!CU133,"",'1. Live'!CU133-'check-Jul25'!CU133)</f>
        <v/>
      </c>
      <c r="CV133" t="str">
        <f>IF('1. Live'!CV133='check-Jul25'!CV133,"",'1. Live'!CV133-'check-Jul25'!CV133)</f>
        <v/>
      </c>
      <c r="CW133" t="str">
        <f>IF('1. Live'!CW133='check-Jul25'!CW133,"",'1. Live'!CW133-'check-Jul25'!CW133)</f>
        <v/>
      </c>
    </row>
    <row r="134" spans="10:101">
      <c r="J134" t="str">
        <f>IF('1. Live'!J134='check-Jul25'!J134,"",'1. Live'!J134-'check-Jul25'!J134)</f>
        <v/>
      </c>
      <c r="K134" t="str">
        <f>IF('1. Live'!K134='check-Jul25'!K134,"",'1. Live'!K134-'check-Jul25'!K134)</f>
        <v/>
      </c>
      <c r="L134" t="str">
        <f>IF('1. Live'!L134='check-Jul25'!L134,"",'1. Live'!L134-'check-Jul25'!L134)</f>
        <v/>
      </c>
      <c r="M134" t="str">
        <f>IF('1. Live'!M134='check-Jul25'!M134,"",'1. Live'!M134-'check-Jul25'!M134)</f>
        <v/>
      </c>
      <c r="N134" t="str">
        <f>IF('1. Live'!N134='check-Jul25'!N134,"",'1. Live'!N134-'check-Jul25'!N134)</f>
        <v/>
      </c>
      <c r="O134" t="str">
        <f>IF('1. Live'!O134='check-Jul25'!O134,"",'1. Live'!O134-'check-Jul25'!O134)</f>
        <v/>
      </c>
      <c r="P134" t="str">
        <f>IF('1. Live'!P134='check-Jul25'!P134,"",'1. Live'!P134-'check-Jul25'!P134)</f>
        <v/>
      </c>
      <c r="Q134" t="str">
        <f>IF('1. Live'!Q134='check-Jul25'!Q134,"",'1. Live'!Q134-'check-Jul25'!Q134)</f>
        <v/>
      </c>
      <c r="R134" t="str">
        <f>IF('1. Live'!R134='check-Jul25'!R134,"",'1. Live'!R134-'check-Jul25'!R134)</f>
        <v/>
      </c>
      <c r="S134" t="str">
        <f>IF('1. Live'!S134='check-Jul25'!S134,"",'1. Live'!S134-'check-Jul25'!S134)</f>
        <v/>
      </c>
      <c r="T134" t="str">
        <f>IF('1. Live'!T134='check-Jul25'!T134,"",'1. Live'!T134-'check-Jul25'!T134)</f>
        <v/>
      </c>
      <c r="U134" t="str">
        <f>IF('1. Live'!U134='check-Jul25'!U134,"",'1. Live'!U134-'check-Jul25'!U134)</f>
        <v/>
      </c>
      <c r="V134" t="str">
        <f>IF('1. Live'!V134='check-Jul25'!V134,"",'1. Live'!V134-'check-Jul25'!V134)</f>
        <v/>
      </c>
      <c r="W134" t="str">
        <f>IF('1. Live'!W134='check-Jul25'!W134,"",'1. Live'!W134-'check-Jul25'!W134)</f>
        <v/>
      </c>
      <c r="X134" t="str">
        <f>IF('1. Live'!X134='check-Jul25'!X134,"",'1. Live'!X134-'check-Jul25'!X134)</f>
        <v/>
      </c>
      <c r="Y134" t="str">
        <f>IF('1. Live'!Y134='check-Jul25'!Y134,"",'1. Live'!Y134-'check-Jul25'!Y134)</f>
        <v/>
      </c>
      <c r="Z134" t="str">
        <f>IF('1. Live'!Z134='check-Jul25'!Z134,"",'1. Live'!Z134-'check-Jul25'!Z134)</f>
        <v/>
      </c>
      <c r="AA134" t="str">
        <f>IF('1. Live'!AA134='check-Jul25'!AA134,"",'1. Live'!AA134-'check-Jul25'!AA134)</f>
        <v/>
      </c>
      <c r="AB134" t="str">
        <f>IF('1. Live'!AB134='check-Jul25'!AB134,"",'1. Live'!AB134-'check-Jul25'!AB134)</f>
        <v/>
      </c>
      <c r="AC134" t="str">
        <f>IF('1. Live'!AC134='check-Jul25'!AC134,"",'1. Live'!AC134-'check-Jul25'!AC134)</f>
        <v/>
      </c>
      <c r="AD134" t="str">
        <f>IF('1. Live'!AD134='check-Jul25'!AD134,"",'1. Live'!AD134-'check-Jul25'!AD134)</f>
        <v/>
      </c>
      <c r="AE134" t="str">
        <f>IF('1. Live'!AE134='check-Jul25'!AE134,"",'1. Live'!AE134-'check-Jul25'!AE134)</f>
        <v/>
      </c>
      <c r="AF134" t="str">
        <f>IF('1. Live'!AF134='check-Jul25'!AF134,"",'1. Live'!AF134-'check-Jul25'!AF134)</f>
        <v/>
      </c>
      <c r="AG134" t="str">
        <f>IF('1. Live'!AG134='check-Jul25'!AG134,"",'1. Live'!AG134-'check-Jul25'!AG134)</f>
        <v/>
      </c>
      <c r="AH134" t="str">
        <f>IF('1. Live'!AH134='check-Jul25'!AH134,"",'1. Live'!AH134-'check-Jul25'!AH134)</f>
        <v/>
      </c>
      <c r="AI134" t="str">
        <f>IF('1. Live'!AI134='check-Jul25'!AI134,"",'1. Live'!AI134-'check-Jul25'!AI134)</f>
        <v/>
      </c>
      <c r="AJ134" t="str">
        <f>IF('1. Live'!AJ134='check-Jul25'!AJ134,"",'1. Live'!AJ134-'check-Jul25'!AJ134)</f>
        <v/>
      </c>
      <c r="AK134" t="str">
        <f>IF('1. Live'!AK134='check-Jul25'!AK134,"",'1. Live'!AK134-'check-Jul25'!AK134)</f>
        <v/>
      </c>
      <c r="AL134" t="str">
        <f>IF('1. Live'!AL134='check-Jul25'!AL134,"",'1. Live'!AL134-'check-Jul25'!AL134)</f>
        <v/>
      </c>
      <c r="AM134" t="str">
        <f>IF('1. Live'!AM134='check-Jul25'!AM134,"",'1. Live'!AM134-'check-Jul25'!AM134)</f>
        <v/>
      </c>
      <c r="AN134" t="str">
        <f>IF('1. Live'!AN134='check-Jul25'!AN134,"",'1. Live'!AN134-'check-Jul25'!AN134)</f>
        <v/>
      </c>
      <c r="AO134" t="str">
        <f>IF('1. Live'!AO134='check-Jul25'!AO134,"",'1. Live'!AO134-'check-Jul25'!AO134)</f>
        <v/>
      </c>
      <c r="AP134" t="str">
        <f>IF('1. Live'!AP134='check-Jul25'!AP134,"",'1. Live'!AP134-'check-Jul25'!AP134)</f>
        <v/>
      </c>
      <c r="AQ134" t="str">
        <f>IF('1. Live'!AQ134='check-Jul25'!AQ134,"",'1. Live'!AQ134-'check-Jul25'!AQ134)</f>
        <v/>
      </c>
      <c r="AR134" t="str">
        <f>IF('1. Live'!AR134='check-Jul25'!AR134,"",'1. Live'!AR134-'check-Jul25'!AR134)</f>
        <v/>
      </c>
      <c r="AS134" t="str">
        <f>IF('1. Live'!AS134='check-Jul25'!AS134,"",'1. Live'!AS134-'check-Jul25'!AS134)</f>
        <v/>
      </c>
      <c r="AT134" t="str">
        <f>IF('1. Live'!AT134='check-Jul25'!AT134,"",'1. Live'!AT134-'check-Jul25'!AT134)</f>
        <v/>
      </c>
      <c r="AU134" t="str">
        <f>IF('1. Live'!AU134='check-Jul25'!AU134,"",'1. Live'!AU134-'check-Jul25'!AU134)</f>
        <v/>
      </c>
      <c r="AV134" t="str">
        <f>IF('1. Live'!AV134='check-Jul25'!AV134,"",'1. Live'!AV134-'check-Jul25'!AV134)</f>
        <v/>
      </c>
      <c r="AW134" t="str">
        <f>IF('1. Live'!AW134='check-Jul25'!AW134,"",'1. Live'!AW134-'check-Jul25'!AW134)</f>
        <v/>
      </c>
      <c r="AX134" t="str">
        <f>IF('1. Live'!AX134='check-Jul25'!AX134,"",'1. Live'!AX134-'check-Jul25'!AX134)</f>
        <v/>
      </c>
      <c r="AY134" t="str">
        <f>IF('1. Live'!AY134='check-Jul25'!AY134,"",'1. Live'!AY134-'check-Jul25'!AY134)</f>
        <v/>
      </c>
      <c r="AZ134" t="str">
        <f>IF('1. Live'!AZ134='check-Jul25'!AZ134,"",'1. Live'!AZ134-'check-Jul25'!AZ134)</f>
        <v/>
      </c>
      <c r="BA134" t="str">
        <f>IF('1. Live'!BA134='check-Jul25'!BA134,"",'1. Live'!BA134-'check-Jul25'!BA134)</f>
        <v/>
      </c>
      <c r="BB134" t="str">
        <f>IF('1. Live'!BB134='check-Jul25'!BB134,"",'1. Live'!BB134-'check-Jul25'!BB134)</f>
        <v/>
      </c>
      <c r="BC134" t="str">
        <f>IF('1. Live'!BC134='check-Jul25'!BC134,"",'1. Live'!BC134-'check-Jul25'!BC134)</f>
        <v/>
      </c>
      <c r="BD134" t="str">
        <f>IF('1. Live'!BD134='check-Jul25'!BD134,"",'1. Live'!BD134-'check-Jul25'!BD134)</f>
        <v/>
      </c>
      <c r="BE134" t="str">
        <f>IF('1. Live'!BE134='check-Jul25'!BE134,"",'1. Live'!BE134-'check-Jul25'!BE134)</f>
        <v/>
      </c>
      <c r="BF134" t="str">
        <f>IF('1. Live'!BF134='check-Jul25'!BF134,"",'1. Live'!BF134-'check-Jul25'!BF134)</f>
        <v/>
      </c>
      <c r="BG134" t="str">
        <f>IF('1. Live'!BG134='check-Jul25'!BG134,"",'1. Live'!BG134-'check-Jul25'!BG134)</f>
        <v/>
      </c>
      <c r="BH134" t="str">
        <f>IF('1. Live'!BH134='check-Jul25'!BH134,"",'1. Live'!BH134-'check-Jul25'!BH134)</f>
        <v/>
      </c>
      <c r="BI134" t="str">
        <f>IF('1. Live'!BI134='check-Jul25'!BI134,"",'1. Live'!BI134-'check-Jul25'!BI134)</f>
        <v/>
      </c>
      <c r="BJ134" t="str">
        <f>IF('1. Live'!BJ134='check-Jul25'!BJ134,"",'1. Live'!BJ134-'check-Jul25'!BJ134)</f>
        <v/>
      </c>
      <c r="BK134" t="str">
        <f>IF('1. Live'!BK134='check-Jul25'!BK134,"",'1. Live'!BK134-'check-Jul25'!BK134)</f>
        <v/>
      </c>
      <c r="BL134" t="str">
        <f>IF('1. Live'!BL134='check-Jul25'!BL134,"",'1. Live'!BL134-'check-Jul25'!BL134)</f>
        <v/>
      </c>
      <c r="BM134" t="str">
        <f>IF('1. Live'!BM134='check-Jul25'!BM134,"",'1. Live'!BM134-'check-Jul25'!BM134)</f>
        <v/>
      </c>
      <c r="BN134" t="str">
        <f>IF('1. Live'!BN134='check-Jul25'!BN134,"",'1. Live'!BN134-'check-Jul25'!BN134)</f>
        <v/>
      </c>
      <c r="BO134" t="str">
        <f>IF('1. Live'!BO134='check-Jul25'!BO134,"",'1. Live'!BO134-'check-Jul25'!BO134)</f>
        <v/>
      </c>
      <c r="BP134" t="str">
        <f>IF('1. Live'!BP134='check-Jul25'!BP134,"",'1. Live'!BP134-'check-Jul25'!BP134)</f>
        <v/>
      </c>
      <c r="BQ134" t="str">
        <f>IF('1. Live'!BQ134='check-Jul25'!BQ134,"",'1. Live'!BQ134-'check-Jul25'!BQ134)</f>
        <v/>
      </c>
      <c r="BR134" t="str">
        <f>IF('1. Live'!BR134='check-Jul25'!BR134,"",'1. Live'!BR134-'check-Jul25'!BR134)</f>
        <v/>
      </c>
      <c r="BS134" t="str">
        <f>IF('1. Live'!BS134='check-Jul25'!BS134,"",'1. Live'!BS134-'check-Jul25'!BS134)</f>
        <v/>
      </c>
      <c r="BT134" t="str">
        <f>IF('1. Live'!BT134='check-Jul25'!BT134,"",'1. Live'!BT134-'check-Jul25'!BT134)</f>
        <v/>
      </c>
      <c r="BU134" t="str">
        <f>IF('1. Live'!BU134='check-Jul25'!BU134,"",'1. Live'!BU134-'check-Jul25'!BU134)</f>
        <v/>
      </c>
      <c r="BV134" t="str">
        <f>IF('1. Live'!BV134='check-Jul25'!BV134,"",'1. Live'!BV134-'check-Jul25'!BV134)</f>
        <v/>
      </c>
      <c r="BW134" t="str">
        <f>IF('1. Live'!BW134='check-Jul25'!BW134,"",'1. Live'!BW134-'check-Jul25'!BW134)</f>
        <v/>
      </c>
      <c r="BX134" t="str">
        <f>IF('1. Live'!BX134='check-Jul25'!BX134,"",'1. Live'!BX134-'check-Jul25'!BX134)</f>
        <v/>
      </c>
      <c r="BY134" t="str">
        <f>IF('1. Live'!BY134='check-Jul25'!BY134,"",'1. Live'!BY134-'check-Jul25'!BY134)</f>
        <v/>
      </c>
      <c r="BZ134" t="str">
        <f>IF('1. Live'!BZ134='check-Jul25'!BZ134,"",'1. Live'!BZ134-'check-Jul25'!BZ134)</f>
        <v/>
      </c>
      <c r="CA134" t="str">
        <f>IF('1. Live'!CA134='check-Jul25'!CA134,"",'1. Live'!CA134-'check-Jul25'!CA134)</f>
        <v/>
      </c>
      <c r="CB134" t="str">
        <f>IF('1. Live'!CB134='check-Jul25'!CB134,"",'1. Live'!CB134-'check-Jul25'!CB134)</f>
        <v/>
      </c>
      <c r="CC134" t="str">
        <f>IF('1. Live'!CC134='check-Jul25'!CC134,"",'1. Live'!CC134-'check-Jul25'!CC134)</f>
        <v/>
      </c>
      <c r="CD134" t="str">
        <f>IF('1. Live'!CD134='check-Jul25'!CD134,"",'1. Live'!CD134-'check-Jul25'!CD134)</f>
        <v/>
      </c>
      <c r="CE134" t="str">
        <f>IF('1. Live'!CE134='check-Jul25'!CE134,"",'1. Live'!CE134-'check-Jul25'!CE134)</f>
        <v/>
      </c>
      <c r="CF134" t="str">
        <f>IF('1. Live'!CF134='check-Jul25'!CF134,"",'1. Live'!CF134-'check-Jul25'!CF134)</f>
        <v/>
      </c>
      <c r="CG134" t="str">
        <f>IF('1. Live'!CG134='check-Jul25'!CG134,"",'1. Live'!CG134-'check-Jul25'!CG134)</f>
        <v/>
      </c>
      <c r="CH134" t="str">
        <f>IF('1. Live'!CH134='check-Jul25'!CH134,"",'1. Live'!CH134-'check-Jul25'!CH134)</f>
        <v/>
      </c>
      <c r="CI134" t="str">
        <f>IF('1. Live'!CI134='check-Jul25'!CI134,"",'1. Live'!CI134-'check-Jul25'!CI134)</f>
        <v/>
      </c>
      <c r="CJ134" t="str">
        <f>IF('1. Live'!CJ134='check-Jul25'!CJ134,"",'1. Live'!CJ134-'check-Jul25'!CJ134)</f>
        <v/>
      </c>
      <c r="CK134" t="str">
        <f>IF('1. Live'!CK134='check-Jul25'!CK134,"",'1. Live'!CK134-'check-Jul25'!CK134)</f>
        <v/>
      </c>
      <c r="CL134" t="str">
        <f>IF('1. Live'!CL134='check-Jul25'!CL134,"",'1. Live'!CL134-'check-Jul25'!CL134)</f>
        <v/>
      </c>
      <c r="CM134" t="str">
        <f>IF('1. Live'!CM134='check-Jul25'!CM134,"",'1. Live'!CM134-'check-Jul25'!CM134)</f>
        <v/>
      </c>
      <c r="CN134" t="str">
        <f>IF('1. Live'!CN134='check-Jul25'!CN134,"",'1. Live'!CN134-'check-Jul25'!CN134)</f>
        <v/>
      </c>
      <c r="CO134" t="str">
        <f>IF('1. Live'!CO134='check-Jul25'!CO134,"",'1. Live'!CO134-'check-Jul25'!CO134)</f>
        <v/>
      </c>
      <c r="CP134" t="str">
        <f>IF('1. Live'!CP134='check-Jul25'!CP134,"",'1. Live'!CP134-'check-Jul25'!CP134)</f>
        <v/>
      </c>
      <c r="CQ134" t="str">
        <f>IF('1. Live'!CQ134='check-Jul25'!CQ134,"",'1. Live'!CQ134-'check-Jul25'!CQ134)</f>
        <v/>
      </c>
      <c r="CR134" t="str">
        <f>IF('1. Live'!CR134='check-Jul25'!CR134,"",'1. Live'!CR134-'check-Jul25'!CR134)</f>
        <v/>
      </c>
      <c r="CS134" t="str">
        <f>IF('1. Live'!CS134='check-Jul25'!CS134,"",'1. Live'!CS134-'check-Jul25'!CS134)</f>
        <v/>
      </c>
      <c r="CT134" t="str">
        <f>IF('1. Live'!CT134='check-Jul25'!CT134,"",'1. Live'!CT134-'check-Jul25'!CT134)</f>
        <v/>
      </c>
      <c r="CU134" t="str">
        <f>IF('1. Live'!CU134='check-Jul25'!CU134,"",'1. Live'!CU134-'check-Jul25'!CU134)</f>
        <v/>
      </c>
      <c r="CV134" t="str">
        <f>IF('1. Live'!CV134='check-Jul25'!CV134,"",'1. Live'!CV134-'check-Jul25'!CV134)</f>
        <v/>
      </c>
      <c r="CW134" t="str">
        <f>IF('1. Live'!CW134='check-Jul25'!CW134,"",'1. Live'!CW134-'check-Jul25'!CW134)</f>
        <v/>
      </c>
    </row>
    <row r="135" spans="10:101">
      <c r="J135" t="str">
        <f>IF('1. Live'!J135='check-Jul25'!J135,"",'1. Live'!J135-'check-Jul25'!J135)</f>
        <v/>
      </c>
      <c r="K135" t="str">
        <f>IF('1. Live'!K135='check-Jul25'!K135,"",'1. Live'!K135-'check-Jul25'!K135)</f>
        <v/>
      </c>
      <c r="L135" t="str">
        <f>IF('1. Live'!L135='check-Jul25'!L135,"",'1. Live'!L135-'check-Jul25'!L135)</f>
        <v/>
      </c>
      <c r="M135" t="str">
        <f>IF('1. Live'!M135='check-Jul25'!M135,"",'1. Live'!M135-'check-Jul25'!M135)</f>
        <v/>
      </c>
      <c r="N135" t="str">
        <f>IF('1. Live'!N135='check-Jul25'!N135,"",'1. Live'!N135-'check-Jul25'!N135)</f>
        <v/>
      </c>
      <c r="O135" t="str">
        <f>IF('1. Live'!O135='check-Jul25'!O135,"",'1. Live'!O135-'check-Jul25'!O135)</f>
        <v/>
      </c>
      <c r="P135" t="str">
        <f>IF('1. Live'!P135='check-Jul25'!P135,"",'1. Live'!P135-'check-Jul25'!P135)</f>
        <v/>
      </c>
      <c r="Q135" t="str">
        <f>IF('1. Live'!Q135='check-Jul25'!Q135,"",'1. Live'!Q135-'check-Jul25'!Q135)</f>
        <v/>
      </c>
      <c r="R135" t="str">
        <f>IF('1. Live'!R135='check-Jul25'!R135,"",'1. Live'!R135-'check-Jul25'!R135)</f>
        <v/>
      </c>
      <c r="S135" t="str">
        <f>IF('1. Live'!S135='check-Jul25'!S135,"",'1. Live'!S135-'check-Jul25'!S135)</f>
        <v/>
      </c>
      <c r="T135" t="str">
        <f>IF('1. Live'!T135='check-Jul25'!T135,"",'1. Live'!T135-'check-Jul25'!T135)</f>
        <v/>
      </c>
      <c r="U135" t="str">
        <f>IF('1. Live'!U135='check-Jul25'!U135,"",'1. Live'!U135-'check-Jul25'!U135)</f>
        <v/>
      </c>
      <c r="V135" t="str">
        <f>IF('1. Live'!V135='check-Jul25'!V135,"",'1. Live'!V135-'check-Jul25'!V135)</f>
        <v/>
      </c>
      <c r="W135" t="str">
        <f>IF('1. Live'!W135='check-Jul25'!W135,"",'1. Live'!W135-'check-Jul25'!W135)</f>
        <v/>
      </c>
      <c r="X135" t="str">
        <f>IF('1. Live'!X135='check-Jul25'!X135,"",'1. Live'!X135-'check-Jul25'!X135)</f>
        <v/>
      </c>
      <c r="Y135" t="str">
        <f>IF('1. Live'!Y135='check-Jul25'!Y135,"",'1. Live'!Y135-'check-Jul25'!Y135)</f>
        <v/>
      </c>
      <c r="Z135" t="str">
        <f>IF('1. Live'!Z135='check-Jul25'!Z135,"",'1. Live'!Z135-'check-Jul25'!Z135)</f>
        <v/>
      </c>
      <c r="AA135" t="str">
        <f>IF('1. Live'!AA135='check-Jul25'!AA135,"",'1. Live'!AA135-'check-Jul25'!AA135)</f>
        <v/>
      </c>
      <c r="AB135" t="str">
        <f>IF('1. Live'!AB135='check-Jul25'!AB135,"",'1. Live'!AB135-'check-Jul25'!AB135)</f>
        <v/>
      </c>
      <c r="AC135" t="str">
        <f>IF('1. Live'!AC135='check-Jul25'!AC135,"",'1. Live'!AC135-'check-Jul25'!AC135)</f>
        <v/>
      </c>
      <c r="AD135" t="str">
        <f>IF('1. Live'!AD135='check-Jul25'!AD135,"",'1. Live'!AD135-'check-Jul25'!AD135)</f>
        <v/>
      </c>
      <c r="AE135" t="str">
        <f>IF('1. Live'!AE135='check-Jul25'!AE135,"",'1. Live'!AE135-'check-Jul25'!AE135)</f>
        <v/>
      </c>
      <c r="AF135" t="str">
        <f>IF('1. Live'!AF135='check-Jul25'!AF135,"",'1. Live'!AF135-'check-Jul25'!AF135)</f>
        <v/>
      </c>
      <c r="AG135" t="str">
        <f>IF('1. Live'!AG135='check-Jul25'!AG135,"",'1. Live'!AG135-'check-Jul25'!AG135)</f>
        <v/>
      </c>
      <c r="AH135" t="str">
        <f>IF('1. Live'!AH135='check-Jul25'!AH135,"",'1. Live'!AH135-'check-Jul25'!AH135)</f>
        <v/>
      </c>
      <c r="AI135" t="str">
        <f>IF('1. Live'!AI135='check-Jul25'!AI135,"",'1. Live'!AI135-'check-Jul25'!AI135)</f>
        <v/>
      </c>
      <c r="AJ135" t="str">
        <f>IF('1. Live'!AJ135='check-Jul25'!AJ135,"",'1. Live'!AJ135-'check-Jul25'!AJ135)</f>
        <v/>
      </c>
      <c r="AK135" t="str">
        <f>IF('1. Live'!AK135='check-Jul25'!AK135,"",'1. Live'!AK135-'check-Jul25'!AK135)</f>
        <v/>
      </c>
      <c r="AL135" t="str">
        <f>IF('1. Live'!AL135='check-Jul25'!AL135,"",'1. Live'!AL135-'check-Jul25'!AL135)</f>
        <v/>
      </c>
      <c r="AM135" t="str">
        <f>IF('1. Live'!AM135='check-Jul25'!AM135,"",'1. Live'!AM135-'check-Jul25'!AM135)</f>
        <v/>
      </c>
      <c r="AN135" t="str">
        <f>IF('1. Live'!AN135='check-Jul25'!AN135,"",'1. Live'!AN135-'check-Jul25'!AN135)</f>
        <v/>
      </c>
      <c r="AO135" t="str">
        <f>IF('1. Live'!AO135='check-Jul25'!AO135,"",'1. Live'!AO135-'check-Jul25'!AO135)</f>
        <v/>
      </c>
      <c r="AP135" t="str">
        <f>IF('1. Live'!AP135='check-Jul25'!AP135,"",'1. Live'!AP135-'check-Jul25'!AP135)</f>
        <v/>
      </c>
      <c r="AQ135" t="str">
        <f>IF('1. Live'!AQ135='check-Jul25'!AQ135,"",'1. Live'!AQ135-'check-Jul25'!AQ135)</f>
        <v/>
      </c>
      <c r="AR135" t="str">
        <f>IF('1. Live'!AR135='check-Jul25'!AR135,"",'1. Live'!AR135-'check-Jul25'!AR135)</f>
        <v/>
      </c>
      <c r="AS135" t="str">
        <f>IF('1. Live'!AS135='check-Jul25'!AS135,"",'1. Live'!AS135-'check-Jul25'!AS135)</f>
        <v/>
      </c>
      <c r="AT135" t="str">
        <f>IF('1. Live'!AT135='check-Jul25'!AT135,"",'1. Live'!AT135-'check-Jul25'!AT135)</f>
        <v/>
      </c>
      <c r="AU135" t="str">
        <f>IF('1. Live'!AU135='check-Jul25'!AU135,"",'1. Live'!AU135-'check-Jul25'!AU135)</f>
        <v/>
      </c>
      <c r="AV135" t="str">
        <f>IF('1. Live'!AV135='check-Jul25'!AV135,"",'1. Live'!AV135-'check-Jul25'!AV135)</f>
        <v/>
      </c>
      <c r="AW135" t="str">
        <f>IF('1. Live'!AW135='check-Jul25'!AW135,"",'1. Live'!AW135-'check-Jul25'!AW135)</f>
        <v/>
      </c>
      <c r="AX135" t="str">
        <f>IF('1. Live'!AX135='check-Jul25'!AX135,"",'1. Live'!AX135-'check-Jul25'!AX135)</f>
        <v/>
      </c>
      <c r="AY135" t="str">
        <f>IF('1. Live'!AY135='check-Jul25'!AY135,"",'1. Live'!AY135-'check-Jul25'!AY135)</f>
        <v/>
      </c>
      <c r="AZ135" t="str">
        <f>IF('1. Live'!AZ135='check-Jul25'!AZ135,"",'1. Live'!AZ135-'check-Jul25'!AZ135)</f>
        <v/>
      </c>
      <c r="BA135" t="str">
        <f>IF('1. Live'!BA135='check-Jul25'!BA135,"",'1. Live'!BA135-'check-Jul25'!BA135)</f>
        <v/>
      </c>
      <c r="BB135" t="str">
        <f>IF('1. Live'!BB135='check-Jul25'!BB135,"",'1. Live'!BB135-'check-Jul25'!BB135)</f>
        <v/>
      </c>
      <c r="BC135" t="str">
        <f>IF('1. Live'!BC135='check-Jul25'!BC135,"",'1. Live'!BC135-'check-Jul25'!BC135)</f>
        <v/>
      </c>
      <c r="BD135" t="str">
        <f>IF('1. Live'!BD135='check-Jul25'!BD135,"",'1. Live'!BD135-'check-Jul25'!BD135)</f>
        <v/>
      </c>
      <c r="BE135" t="str">
        <f>IF('1. Live'!BE135='check-Jul25'!BE135,"",'1. Live'!BE135-'check-Jul25'!BE135)</f>
        <v/>
      </c>
      <c r="BF135" t="str">
        <f>IF('1. Live'!BF135='check-Jul25'!BF135,"",'1. Live'!BF135-'check-Jul25'!BF135)</f>
        <v/>
      </c>
      <c r="BG135" t="str">
        <f>IF('1. Live'!BG135='check-Jul25'!BG135,"",'1. Live'!BG135-'check-Jul25'!BG135)</f>
        <v/>
      </c>
      <c r="BH135" t="str">
        <f>IF('1. Live'!BH135='check-Jul25'!BH135,"",'1. Live'!BH135-'check-Jul25'!BH135)</f>
        <v/>
      </c>
      <c r="BI135" t="str">
        <f>IF('1. Live'!BI135='check-Jul25'!BI135,"",'1. Live'!BI135-'check-Jul25'!BI135)</f>
        <v/>
      </c>
      <c r="BJ135" t="str">
        <f>IF('1. Live'!BJ135='check-Jul25'!BJ135,"",'1. Live'!BJ135-'check-Jul25'!BJ135)</f>
        <v/>
      </c>
      <c r="BK135" t="str">
        <f>IF('1. Live'!BK135='check-Jul25'!BK135,"",'1. Live'!BK135-'check-Jul25'!BK135)</f>
        <v/>
      </c>
      <c r="BL135" t="str">
        <f>IF('1. Live'!BL135='check-Jul25'!BL135,"",'1. Live'!BL135-'check-Jul25'!BL135)</f>
        <v/>
      </c>
      <c r="BM135" t="str">
        <f>IF('1. Live'!BM135='check-Jul25'!BM135,"",'1. Live'!BM135-'check-Jul25'!BM135)</f>
        <v/>
      </c>
      <c r="BN135" t="str">
        <f>IF('1. Live'!BN135='check-Jul25'!BN135,"",'1. Live'!BN135-'check-Jul25'!BN135)</f>
        <v/>
      </c>
      <c r="BO135" t="str">
        <f>IF('1. Live'!BO135='check-Jul25'!BO135,"",'1. Live'!BO135-'check-Jul25'!BO135)</f>
        <v/>
      </c>
      <c r="BP135" t="str">
        <f>IF('1. Live'!BP135='check-Jul25'!BP135,"",'1. Live'!BP135-'check-Jul25'!BP135)</f>
        <v/>
      </c>
      <c r="BQ135" t="str">
        <f>IF('1. Live'!BQ135='check-Jul25'!BQ135,"",'1. Live'!BQ135-'check-Jul25'!BQ135)</f>
        <v/>
      </c>
      <c r="BR135" t="str">
        <f>IF('1. Live'!BR135='check-Jul25'!BR135,"",'1. Live'!BR135-'check-Jul25'!BR135)</f>
        <v/>
      </c>
      <c r="BS135" t="str">
        <f>IF('1. Live'!BS135='check-Jul25'!BS135,"",'1. Live'!BS135-'check-Jul25'!BS135)</f>
        <v/>
      </c>
      <c r="BT135" t="str">
        <f>IF('1. Live'!BT135='check-Jul25'!BT135,"",'1. Live'!BT135-'check-Jul25'!BT135)</f>
        <v/>
      </c>
      <c r="BU135" t="str">
        <f>IF('1. Live'!BU135='check-Jul25'!BU135,"",'1. Live'!BU135-'check-Jul25'!BU135)</f>
        <v/>
      </c>
      <c r="BV135" t="str">
        <f>IF('1. Live'!BV135='check-Jul25'!BV135,"",'1. Live'!BV135-'check-Jul25'!BV135)</f>
        <v/>
      </c>
      <c r="BW135" t="str">
        <f>IF('1. Live'!BW135='check-Jul25'!BW135,"",'1. Live'!BW135-'check-Jul25'!BW135)</f>
        <v/>
      </c>
      <c r="BX135" t="str">
        <f>IF('1. Live'!BX135='check-Jul25'!BX135,"",'1. Live'!BX135-'check-Jul25'!BX135)</f>
        <v/>
      </c>
      <c r="BY135" t="str">
        <f>IF('1. Live'!BY135='check-Jul25'!BY135,"",'1. Live'!BY135-'check-Jul25'!BY135)</f>
        <v/>
      </c>
      <c r="BZ135" t="str">
        <f>IF('1. Live'!BZ135='check-Jul25'!BZ135,"",'1. Live'!BZ135-'check-Jul25'!BZ135)</f>
        <v/>
      </c>
      <c r="CA135" t="str">
        <f>IF('1. Live'!CA135='check-Jul25'!CA135,"",'1. Live'!CA135-'check-Jul25'!CA135)</f>
        <v/>
      </c>
      <c r="CB135" t="str">
        <f>IF('1. Live'!CB135='check-Jul25'!CB135,"",'1. Live'!CB135-'check-Jul25'!CB135)</f>
        <v/>
      </c>
      <c r="CC135" t="str">
        <f>IF('1. Live'!CC135='check-Jul25'!CC135,"",'1. Live'!CC135-'check-Jul25'!CC135)</f>
        <v/>
      </c>
      <c r="CD135" t="str">
        <f>IF('1. Live'!CD135='check-Jul25'!CD135,"",'1. Live'!CD135-'check-Jul25'!CD135)</f>
        <v/>
      </c>
      <c r="CE135" t="str">
        <f>IF('1. Live'!CE135='check-Jul25'!CE135,"",'1. Live'!CE135-'check-Jul25'!CE135)</f>
        <v/>
      </c>
      <c r="CF135" t="str">
        <f>IF('1. Live'!CF135='check-Jul25'!CF135,"",'1. Live'!CF135-'check-Jul25'!CF135)</f>
        <v/>
      </c>
      <c r="CG135" t="str">
        <f>IF('1. Live'!CG135='check-Jul25'!CG135,"",'1. Live'!CG135-'check-Jul25'!CG135)</f>
        <v/>
      </c>
      <c r="CH135" t="str">
        <f>IF('1. Live'!CH135='check-Jul25'!CH135,"",'1. Live'!CH135-'check-Jul25'!CH135)</f>
        <v/>
      </c>
      <c r="CI135" t="str">
        <f>IF('1. Live'!CI135='check-Jul25'!CI135,"",'1. Live'!CI135-'check-Jul25'!CI135)</f>
        <v/>
      </c>
      <c r="CJ135" t="str">
        <f>IF('1. Live'!CJ135='check-Jul25'!CJ135,"",'1. Live'!CJ135-'check-Jul25'!CJ135)</f>
        <v/>
      </c>
      <c r="CK135" t="str">
        <f>IF('1. Live'!CK135='check-Jul25'!CK135,"",'1. Live'!CK135-'check-Jul25'!CK135)</f>
        <v/>
      </c>
      <c r="CL135" t="str">
        <f>IF('1. Live'!CL135='check-Jul25'!CL135,"",'1. Live'!CL135-'check-Jul25'!CL135)</f>
        <v/>
      </c>
      <c r="CM135" t="str">
        <f>IF('1. Live'!CM135='check-Jul25'!CM135,"",'1. Live'!CM135-'check-Jul25'!CM135)</f>
        <v/>
      </c>
      <c r="CN135" t="str">
        <f>IF('1. Live'!CN135='check-Jul25'!CN135,"",'1. Live'!CN135-'check-Jul25'!CN135)</f>
        <v/>
      </c>
      <c r="CO135" t="str">
        <f>IF('1. Live'!CO135='check-Jul25'!CO135,"",'1. Live'!CO135-'check-Jul25'!CO135)</f>
        <v/>
      </c>
      <c r="CP135" t="str">
        <f>IF('1. Live'!CP135='check-Jul25'!CP135,"",'1. Live'!CP135-'check-Jul25'!CP135)</f>
        <v/>
      </c>
      <c r="CQ135" t="str">
        <f>IF('1. Live'!CQ135='check-Jul25'!CQ135,"",'1. Live'!CQ135-'check-Jul25'!CQ135)</f>
        <v/>
      </c>
      <c r="CR135" t="str">
        <f>IF('1. Live'!CR135='check-Jul25'!CR135,"",'1. Live'!CR135-'check-Jul25'!CR135)</f>
        <v/>
      </c>
      <c r="CS135" t="str">
        <f>IF('1. Live'!CS135='check-Jul25'!CS135,"",'1. Live'!CS135-'check-Jul25'!CS135)</f>
        <v/>
      </c>
      <c r="CT135" t="str">
        <f>IF('1. Live'!CT135='check-Jul25'!CT135,"",'1. Live'!CT135-'check-Jul25'!CT135)</f>
        <v/>
      </c>
      <c r="CU135" t="str">
        <f>IF('1. Live'!CU135='check-Jul25'!CU135,"",'1. Live'!CU135-'check-Jul25'!CU135)</f>
        <v/>
      </c>
      <c r="CV135" t="str">
        <f>IF('1. Live'!CV135='check-Jul25'!CV135,"",'1. Live'!CV135-'check-Jul25'!CV135)</f>
        <v/>
      </c>
      <c r="CW135" t="str">
        <f>IF('1. Live'!CW135='check-Jul25'!CW135,"",'1. Live'!CW135-'check-Jul25'!CW135)</f>
        <v/>
      </c>
    </row>
    <row r="136" spans="10:101">
      <c r="J136" t="str">
        <f>IF('1. Live'!J136='check-Jul25'!J136,"",'1. Live'!J136-'check-Jul25'!J136)</f>
        <v/>
      </c>
      <c r="K136" t="str">
        <f>IF('1. Live'!K136='check-Jul25'!K136,"",'1. Live'!K136-'check-Jul25'!K136)</f>
        <v/>
      </c>
      <c r="L136" t="str">
        <f>IF('1. Live'!L136='check-Jul25'!L136,"",'1. Live'!L136-'check-Jul25'!L136)</f>
        <v/>
      </c>
      <c r="M136" t="str">
        <f>IF('1. Live'!M136='check-Jul25'!M136,"",'1. Live'!M136-'check-Jul25'!M136)</f>
        <v/>
      </c>
      <c r="N136" t="str">
        <f>IF('1. Live'!N136='check-Jul25'!N136,"",'1. Live'!N136-'check-Jul25'!N136)</f>
        <v/>
      </c>
      <c r="O136" t="str">
        <f>IF('1. Live'!O136='check-Jul25'!O136,"",'1. Live'!O136-'check-Jul25'!O136)</f>
        <v/>
      </c>
      <c r="P136" t="str">
        <f>IF('1. Live'!P136='check-Jul25'!P136,"",'1. Live'!P136-'check-Jul25'!P136)</f>
        <v/>
      </c>
      <c r="Q136" t="str">
        <f>IF('1. Live'!Q136='check-Jul25'!Q136,"",'1. Live'!Q136-'check-Jul25'!Q136)</f>
        <v/>
      </c>
      <c r="R136" t="str">
        <f>IF('1. Live'!R136='check-Jul25'!R136,"",'1. Live'!R136-'check-Jul25'!R136)</f>
        <v/>
      </c>
      <c r="S136" t="str">
        <f>IF('1. Live'!S136='check-Jul25'!S136,"",'1. Live'!S136-'check-Jul25'!S136)</f>
        <v/>
      </c>
      <c r="T136" t="str">
        <f>IF('1. Live'!T136='check-Jul25'!T136,"",'1. Live'!T136-'check-Jul25'!T136)</f>
        <v/>
      </c>
      <c r="U136" t="str">
        <f>IF('1. Live'!U136='check-Jul25'!U136,"",'1. Live'!U136-'check-Jul25'!U136)</f>
        <v/>
      </c>
      <c r="V136" t="str">
        <f>IF('1. Live'!V136='check-Jul25'!V136,"",'1. Live'!V136-'check-Jul25'!V136)</f>
        <v/>
      </c>
      <c r="W136" t="str">
        <f>IF('1. Live'!W136='check-Jul25'!W136,"",'1. Live'!W136-'check-Jul25'!W136)</f>
        <v/>
      </c>
      <c r="X136" t="str">
        <f>IF('1. Live'!X136='check-Jul25'!X136,"",'1. Live'!X136-'check-Jul25'!X136)</f>
        <v/>
      </c>
      <c r="Y136" t="str">
        <f>IF('1. Live'!Y136='check-Jul25'!Y136,"",'1. Live'!Y136-'check-Jul25'!Y136)</f>
        <v/>
      </c>
      <c r="Z136" t="str">
        <f>IF('1. Live'!Z136='check-Jul25'!Z136,"",'1. Live'!Z136-'check-Jul25'!Z136)</f>
        <v/>
      </c>
      <c r="AA136" t="str">
        <f>IF('1. Live'!AA136='check-Jul25'!AA136,"",'1. Live'!AA136-'check-Jul25'!AA136)</f>
        <v/>
      </c>
      <c r="AB136" t="str">
        <f>IF('1. Live'!AB136='check-Jul25'!AB136,"",'1. Live'!AB136-'check-Jul25'!AB136)</f>
        <v/>
      </c>
      <c r="AC136" t="str">
        <f>IF('1. Live'!AC136='check-Jul25'!AC136,"",'1. Live'!AC136-'check-Jul25'!AC136)</f>
        <v/>
      </c>
      <c r="AD136" t="str">
        <f>IF('1. Live'!AD136='check-Jul25'!AD136,"",'1. Live'!AD136-'check-Jul25'!AD136)</f>
        <v/>
      </c>
      <c r="AE136" t="str">
        <f>IF('1. Live'!AE136='check-Jul25'!AE136,"",'1. Live'!AE136-'check-Jul25'!AE136)</f>
        <v/>
      </c>
      <c r="AF136" t="str">
        <f>IF('1. Live'!AF136='check-Jul25'!AF136,"",'1. Live'!AF136-'check-Jul25'!AF136)</f>
        <v/>
      </c>
      <c r="AG136" t="str">
        <f>IF('1. Live'!AG136='check-Jul25'!AG136,"",'1. Live'!AG136-'check-Jul25'!AG136)</f>
        <v/>
      </c>
      <c r="AH136" t="str">
        <f>IF('1. Live'!AH136='check-Jul25'!AH136,"",'1. Live'!AH136-'check-Jul25'!AH136)</f>
        <v/>
      </c>
      <c r="AI136" t="str">
        <f>IF('1. Live'!AI136='check-Jul25'!AI136,"",'1. Live'!AI136-'check-Jul25'!AI136)</f>
        <v/>
      </c>
      <c r="AJ136" t="str">
        <f>IF('1. Live'!AJ136='check-Jul25'!AJ136,"",'1. Live'!AJ136-'check-Jul25'!AJ136)</f>
        <v/>
      </c>
      <c r="AK136" t="str">
        <f>IF('1. Live'!AK136='check-Jul25'!AK136,"",'1. Live'!AK136-'check-Jul25'!AK136)</f>
        <v/>
      </c>
      <c r="AL136" t="str">
        <f>IF('1. Live'!AL136='check-Jul25'!AL136,"",'1. Live'!AL136-'check-Jul25'!AL136)</f>
        <v/>
      </c>
      <c r="AM136" t="str">
        <f>IF('1. Live'!AM136='check-Jul25'!AM136,"",'1. Live'!AM136-'check-Jul25'!AM136)</f>
        <v/>
      </c>
      <c r="AN136" t="str">
        <f>IF('1. Live'!AN136='check-Jul25'!AN136,"",'1. Live'!AN136-'check-Jul25'!AN136)</f>
        <v/>
      </c>
      <c r="AO136" t="str">
        <f>IF('1. Live'!AO136='check-Jul25'!AO136,"",'1. Live'!AO136-'check-Jul25'!AO136)</f>
        <v/>
      </c>
      <c r="AP136" t="str">
        <f>IF('1. Live'!AP136='check-Jul25'!AP136,"",'1. Live'!AP136-'check-Jul25'!AP136)</f>
        <v/>
      </c>
      <c r="AQ136" t="str">
        <f>IF('1. Live'!AQ136='check-Jul25'!AQ136,"",'1. Live'!AQ136-'check-Jul25'!AQ136)</f>
        <v/>
      </c>
      <c r="AR136" t="str">
        <f>IF('1. Live'!AR136='check-Jul25'!AR136,"",'1. Live'!AR136-'check-Jul25'!AR136)</f>
        <v/>
      </c>
      <c r="AS136" t="str">
        <f>IF('1. Live'!AS136='check-Jul25'!AS136,"",'1. Live'!AS136-'check-Jul25'!AS136)</f>
        <v/>
      </c>
      <c r="AT136" t="str">
        <f>IF('1. Live'!AT136='check-Jul25'!AT136,"",'1. Live'!AT136-'check-Jul25'!AT136)</f>
        <v/>
      </c>
      <c r="AU136" t="str">
        <f>IF('1. Live'!AU136='check-Jul25'!AU136,"",'1. Live'!AU136-'check-Jul25'!AU136)</f>
        <v/>
      </c>
      <c r="AV136" t="str">
        <f>IF('1. Live'!AV136='check-Jul25'!AV136,"",'1. Live'!AV136-'check-Jul25'!AV136)</f>
        <v/>
      </c>
      <c r="AW136" t="str">
        <f>IF('1. Live'!AW136='check-Jul25'!AW136,"",'1. Live'!AW136-'check-Jul25'!AW136)</f>
        <v/>
      </c>
      <c r="AX136" t="str">
        <f>IF('1. Live'!AX136='check-Jul25'!AX136,"",'1. Live'!AX136-'check-Jul25'!AX136)</f>
        <v/>
      </c>
      <c r="AY136" t="str">
        <f>IF('1. Live'!AY136='check-Jul25'!AY136,"",'1. Live'!AY136-'check-Jul25'!AY136)</f>
        <v/>
      </c>
      <c r="AZ136" t="str">
        <f>IF('1. Live'!AZ136='check-Jul25'!AZ136,"",'1. Live'!AZ136-'check-Jul25'!AZ136)</f>
        <v/>
      </c>
      <c r="BA136" t="str">
        <f>IF('1. Live'!BA136='check-Jul25'!BA136,"",'1. Live'!BA136-'check-Jul25'!BA136)</f>
        <v/>
      </c>
      <c r="BB136" t="str">
        <f>IF('1. Live'!BB136='check-Jul25'!BB136,"",'1. Live'!BB136-'check-Jul25'!BB136)</f>
        <v/>
      </c>
      <c r="BC136" t="str">
        <f>IF('1. Live'!BC136='check-Jul25'!BC136,"",'1. Live'!BC136-'check-Jul25'!BC136)</f>
        <v/>
      </c>
      <c r="BD136" t="str">
        <f>IF('1. Live'!BD136='check-Jul25'!BD136,"",'1. Live'!BD136-'check-Jul25'!BD136)</f>
        <v/>
      </c>
      <c r="BE136" t="str">
        <f>IF('1. Live'!BE136='check-Jul25'!BE136,"",'1. Live'!BE136-'check-Jul25'!BE136)</f>
        <v/>
      </c>
      <c r="BF136" t="str">
        <f>IF('1. Live'!BF136='check-Jul25'!BF136,"",'1. Live'!BF136-'check-Jul25'!BF136)</f>
        <v/>
      </c>
      <c r="BG136" t="str">
        <f>IF('1. Live'!BG136='check-Jul25'!BG136,"",'1. Live'!BG136-'check-Jul25'!BG136)</f>
        <v/>
      </c>
      <c r="BH136" t="str">
        <f>IF('1. Live'!BH136='check-Jul25'!BH136,"",'1. Live'!BH136-'check-Jul25'!BH136)</f>
        <v/>
      </c>
      <c r="BI136" t="str">
        <f>IF('1. Live'!BI136='check-Jul25'!BI136,"",'1. Live'!BI136-'check-Jul25'!BI136)</f>
        <v/>
      </c>
      <c r="BJ136" t="str">
        <f>IF('1. Live'!BJ136='check-Jul25'!BJ136,"",'1. Live'!BJ136-'check-Jul25'!BJ136)</f>
        <v/>
      </c>
      <c r="BK136" t="str">
        <f>IF('1. Live'!BK136='check-Jul25'!BK136,"",'1. Live'!BK136-'check-Jul25'!BK136)</f>
        <v/>
      </c>
      <c r="BL136" t="str">
        <f>IF('1. Live'!BL136='check-Jul25'!BL136,"",'1. Live'!BL136-'check-Jul25'!BL136)</f>
        <v/>
      </c>
      <c r="BM136" t="str">
        <f>IF('1. Live'!BM136='check-Jul25'!BM136,"",'1. Live'!BM136-'check-Jul25'!BM136)</f>
        <v/>
      </c>
      <c r="BN136" t="str">
        <f>IF('1. Live'!BN136='check-Jul25'!BN136,"",'1. Live'!BN136-'check-Jul25'!BN136)</f>
        <v/>
      </c>
      <c r="BO136" t="str">
        <f>IF('1. Live'!BO136='check-Jul25'!BO136,"",'1. Live'!BO136-'check-Jul25'!BO136)</f>
        <v/>
      </c>
      <c r="BP136" t="str">
        <f>IF('1. Live'!BP136='check-Jul25'!BP136,"",'1. Live'!BP136-'check-Jul25'!BP136)</f>
        <v/>
      </c>
      <c r="BQ136" t="str">
        <f>IF('1. Live'!BQ136='check-Jul25'!BQ136,"",'1. Live'!BQ136-'check-Jul25'!BQ136)</f>
        <v/>
      </c>
      <c r="BR136" t="str">
        <f>IF('1. Live'!BR136='check-Jul25'!BR136,"",'1. Live'!BR136-'check-Jul25'!BR136)</f>
        <v/>
      </c>
      <c r="BS136" t="str">
        <f>IF('1. Live'!BS136='check-Jul25'!BS136,"",'1. Live'!BS136-'check-Jul25'!BS136)</f>
        <v/>
      </c>
      <c r="BT136" t="str">
        <f>IF('1. Live'!BT136='check-Jul25'!BT136,"",'1. Live'!BT136-'check-Jul25'!BT136)</f>
        <v/>
      </c>
      <c r="BU136" t="str">
        <f>IF('1. Live'!BU136='check-Jul25'!BU136,"",'1. Live'!BU136-'check-Jul25'!BU136)</f>
        <v/>
      </c>
      <c r="BV136" t="str">
        <f>IF('1. Live'!BV136='check-Jul25'!BV136,"",'1. Live'!BV136-'check-Jul25'!BV136)</f>
        <v/>
      </c>
      <c r="BW136" t="str">
        <f>IF('1. Live'!BW136='check-Jul25'!BW136,"",'1. Live'!BW136-'check-Jul25'!BW136)</f>
        <v/>
      </c>
      <c r="BX136" t="str">
        <f>IF('1. Live'!BX136='check-Jul25'!BX136,"",'1. Live'!BX136-'check-Jul25'!BX136)</f>
        <v/>
      </c>
      <c r="BY136" t="str">
        <f>IF('1. Live'!BY136='check-Jul25'!BY136,"",'1. Live'!BY136-'check-Jul25'!BY136)</f>
        <v/>
      </c>
      <c r="BZ136" t="str">
        <f>IF('1. Live'!BZ136='check-Jul25'!BZ136,"",'1. Live'!BZ136-'check-Jul25'!BZ136)</f>
        <v/>
      </c>
      <c r="CA136" t="str">
        <f>IF('1. Live'!CA136='check-Jul25'!CA136,"",'1. Live'!CA136-'check-Jul25'!CA136)</f>
        <v/>
      </c>
      <c r="CB136" t="str">
        <f>IF('1. Live'!CB136='check-Jul25'!CB136,"",'1. Live'!CB136-'check-Jul25'!CB136)</f>
        <v/>
      </c>
      <c r="CC136" t="str">
        <f>IF('1. Live'!CC136='check-Jul25'!CC136,"",'1. Live'!CC136-'check-Jul25'!CC136)</f>
        <v/>
      </c>
      <c r="CD136" t="str">
        <f>IF('1. Live'!CD136='check-Jul25'!CD136,"",'1. Live'!CD136-'check-Jul25'!CD136)</f>
        <v/>
      </c>
      <c r="CE136" t="str">
        <f>IF('1. Live'!CE136='check-Jul25'!CE136,"",'1. Live'!CE136-'check-Jul25'!CE136)</f>
        <v/>
      </c>
      <c r="CF136" t="str">
        <f>IF('1. Live'!CF136='check-Jul25'!CF136,"",'1. Live'!CF136-'check-Jul25'!CF136)</f>
        <v/>
      </c>
      <c r="CG136" t="str">
        <f>IF('1. Live'!CG136='check-Jul25'!CG136,"",'1. Live'!CG136-'check-Jul25'!CG136)</f>
        <v/>
      </c>
      <c r="CH136" t="str">
        <f>IF('1. Live'!CH136='check-Jul25'!CH136,"",'1. Live'!CH136-'check-Jul25'!CH136)</f>
        <v/>
      </c>
      <c r="CI136" t="str">
        <f>IF('1. Live'!CI136='check-Jul25'!CI136,"",'1. Live'!CI136-'check-Jul25'!CI136)</f>
        <v/>
      </c>
      <c r="CJ136" t="str">
        <f>IF('1. Live'!CJ136='check-Jul25'!CJ136,"",'1. Live'!CJ136-'check-Jul25'!CJ136)</f>
        <v/>
      </c>
      <c r="CK136" t="str">
        <f>IF('1. Live'!CK136='check-Jul25'!CK136,"",'1. Live'!CK136-'check-Jul25'!CK136)</f>
        <v/>
      </c>
      <c r="CL136" t="str">
        <f>IF('1. Live'!CL136='check-Jul25'!CL136,"",'1. Live'!CL136-'check-Jul25'!CL136)</f>
        <v/>
      </c>
      <c r="CM136" t="str">
        <f>IF('1. Live'!CM136='check-Jul25'!CM136,"",'1. Live'!CM136-'check-Jul25'!CM136)</f>
        <v/>
      </c>
      <c r="CN136" t="str">
        <f>IF('1. Live'!CN136='check-Jul25'!CN136,"",'1. Live'!CN136-'check-Jul25'!CN136)</f>
        <v/>
      </c>
      <c r="CO136" t="str">
        <f>IF('1. Live'!CO136='check-Jul25'!CO136,"",'1. Live'!CO136-'check-Jul25'!CO136)</f>
        <v/>
      </c>
      <c r="CP136" t="str">
        <f>IF('1. Live'!CP136='check-Jul25'!CP136,"",'1. Live'!CP136-'check-Jul25'!CP136)</f>
        <v/>
      </c>
      <c r="CQ136" t="str">
        <f>IF('1. Live'!CQ136='check-Jul25'!CQ136,"",'1. Live'!CQ136-'check-Jul25'!CQ136)</f>
        <v/>
      </c>
      <c r="CR136" t="str">
        <f>IF('1. Live'!CR136='check-Jul25'!CR136,"",'1. Live'!CR136-'check-Jul25'!CR136)</f>
        <v/>
      </c>
      <c r="CS136" t="str">
        <f>IF('1. Live'!CS136='check-Jul25'!CS136,"",'1. Live'!CS136-'check-Jul25'!CS136)</f>
        <v/>
      </c>
      <c r="CT136" t="str">
        <f>IF('1. Live'!CT136='check-Jul25'!CT136,"",'1. Live'!CT136-'check-Jul25'!CT136)</f>
        <v/>
      </c>
      <c r="CU136" t="str">
        <f>IF('1. Live'!CU136='check-Jul25'!CU136,"",'1. Live'!CU136-'check-Jul25'!CU136)</f>
        <v/>
      </c>
      <c r="CV136" t="str">
        <f>IF('1. Live'!CV136='check-Jul25'!CV136,"",'1. Live'!CV136-'check-Jul25'!CV136)</f>
        <v/>
      </c>
      <c r="CW136" t="str">
        <f>IF('1. Live'!CW136='check-Jul25'!CW136,"",'1. Live'!CW136-'check-Jul25'!CW136)</f>
        <v/>
      </c>
    </row>
    <row r="137" spans="10:101">
      <c r="J137" t="str">
        <f>IF('1. Live'!J137='check-Jul25'!J137,"",'1. Live'!J137-'check-Jul25'!J137)</f>
        <v/>
      </c>
      <c r="K137" t="str">
        <f>IF('1. Live'!K137='check-Jul25'!K137,"",'1. Live'!K137-'check-Jul25'!K137)</f>
        <v/>
      </c>
      <c r="L137" t="str">
        <f>IF('1. Live'!L137='check-Jul25'!L137,"",'1. Live'!L137-'check-Jul25'!L137)</f>
        <v/>
      </c>
      <c r="M137" t="str">
        <f>IF('1. Live'!M137='check-Jul25'!M137,"",'1. Live'!M137-'check-Jul25'!M137)</f>
        <v/>
      </c>
      <c r="N137" t="str">
        <f>IF('1. Live'!N137='check-Jul25'!N137,"",'1. Live'!N137-'check-Jul25'!N137)</f>
        <v/>
      </c>
      <c r="O137" t="str">
        <f>IF('1. Live'!O137='check-Jul25'!O137,"",'1. Live'!O137-'check-Jul25'!O137)</f>
        <v/>
      </c>
      <c r="P137" t="str">
        <f>IF('1. Live'!P137='check-Jul25'!P137,"",'1. Live'!P137-'check-Jul25'!P137)</f>
        <v/>
      </c>
      <c r="Q137" t="str">
        <f>IF('1. Live'!Q137='check-Jul25'!Q137,"",'1. Live'!Q137-'check-Jul25'!Q137)</f>
        <v/>
      </c>
      <c r="R137" t="str">
        <f>IF('1. Live'!R137='check-Jul25'!R137,"",'1. Live'!R137-'check-Jul25'!R137)</f>
        <v/>
      </c>
      <c r="S137" t="str">
        <f>IF('1. Live'!S137='check-Jul25'!S137,"",'1. Live'!S137-'check-Jul25'!S137)</f>
        <v/>
      </c>
      <c r="T137" t="str">
        <f>IF('1. Live'!T137='check-Jul25'!T137,"",'1. Live'!T137-'check-Jul25'!T137)</f>
        <v/>
      </c>
      <c r="U137" t="str">
        <f>IF('1. Live'!U137='check-Jul25'!U137,"",'1. Live'!U137-'check-Jul25'!U137)</f>
        <v/>
      </c>
      <c r="V137" t="str">
        <f>IF('1. Live'!V137='check-Jul25'!V137,"",'1. Live'!V137-'check-Jul25'!V137)</f>
        <v/>
      </c>
      <c r="W137" t="str">
        <f>IF('1. Live'!W137='check-Jul25'!W137,"",'1. Live'!W137-'check-Jul25'!W137)</f>
        <v/>
      </c>
      <c r="X137" t="str">
        <f>IF('1. Live'!X137='check-Jul25'!X137,"",'1. Live'!X137-'check-Jul25'!X137)</f>
        <v/>
      </c>
      <c r="Y137" t="str">
        <f>IF('1. Live'!Y137='check-Jul25'!Y137,"",'1. Live'!Y137-'check-Jul25'!Y137)</f>
        <v/>
      </c>
      <c r="Z137" t="str">
        <f>IF('1. Live'!Z137='check-Jul25'!Z137,"",'1. Live'!Z137-'check-Jul25'!Z137)</f>
        <v/>
      </c>
      <c r="AA137" t="str">
        <f>IF('1. Live'!AA137='check-Jul25'!AA137,"",'1. Live'!AA137-'check-Jul25'!AA137)</f>
        <v/>
      </c>
      <c r="AB137" t="str">
        <f>IF('1. Live'!AB137='check-Jul25'!AB137,"",'1. Live'!AB137-'check-Jul25'!AB137)</f>
        <v/>
      </c>
      <c r="AC137" t="str">
        <f>IF('1. Live'!AC137='check-Jul25'!AC137,"",'1. Live'!AC137-'check-Jul25'!AC137)</f>
        <v/>
      </c>
      <c r="AD137" t="str">
        <f>IF('1. Live'!AD137='check-Jul25'!AD137,"",'1. Live'!AD137-'check-Jul25'!AD137)</f>
        <v/>
      </c>
      <c r="AE137" t="str">
        <f>IF('1. Live'!AE137='check-Jul25'!AE137,"",'1. Live'!AE137-'check-Jul25'!AE137)</f>
        <v/>
      </c>
      <c r="AF137" t="str">
        <f>IF('1. Live'!AF137='check-Jul25'!AF137,"",'1. Live'!AF137-'check-Jul25'!AF137)</f>
        <v/>
      </c>
      <c r="AG137" t="str">
        <f>IF('1. Live'!AG137='check-Jul25'!AG137,"",'1. Live'!AG137-'check-Jul25'!AG137)</f>
        <v/>
      </c>
      <c r="AH137" t="str">
        <f>IF('1. Live'!AH137='check-Jul25'!AH137,"",'1. Live'!AH137-'check-Jul25'!AH137)</f>
        <v/>
      </c>
      <c r="AI137" t="str">
        <f>IF('1. Live'!AI137='check-Jul25'!AI137,"",'1. Live'!AI137-'check-Jul25'!AI137)</f>
        <v/>
      </c>
      <c r="AJ137" t="str">
        <f>IF('1. Live'!AJ137='check-Jul25'!AJ137,"",'1. Live'!AJ137-'check-Jul25'!AJ137)</f>
        <v/>
      </c>
      <c r="AK137" t="str">
        <f>IF('1. Live'!AK137='check-Jul25'!AK137,"",'1. Live'!AK137-'check-Jul25'!AK137)</f>
        <v/>
      </c>
      <c r="AL137" t="str">
        <f>IF('1. Live'!AL137='check-Jul25'!AL137,"",'1. Live'!AL137-'check-Jul25'!AL137)</f>
        <v/>
      </c>
      <c r="AM137" t="str">
        <f>IF('1. Live'!AM137='check-Jul25'!AM137,"",'1. Live'!AM137-'check-Jul25'!AM137)</f>
        <v/>
      </c>
      <c r="AN137" t="str">
        <f>IF('1. Live'!AN137='check-Jul25'!AN137,"",'1. Live'!AN137-'check-Jul25'!AN137)</f>
        <v/>
      </c>
      <c r="AO137" t="str">
        <f>IF('1. Live'!AO137='check-Jul25'!AO137,"",'1. Live'!AO137-'check-Jul25'!AO137)</f>
        <v/>
      </c>
      <c r="AP137" t="str">
        <f>IF('1. Live'!AP137='check-Jul25'!AP137,"",'1. Live'!AP137-'check-Jul25'!AP137)</f>
        <v/>
      </c>
      <c r="AQ137" t="str">
        <f>IF('1. Live'!AQ137='check-Jul25'!AQ137,"",'1. Live'!AQ137-'check-Jul25'!AQ137)</f>
        <v/>
      </c>
      <c r="AR137" t="str">
        <f>IF('1. Live'!AR137='check-Jul25'!AR137,"",'1. Live'!AR137-'check-Jul25'!AR137)</f>
        <v/>
      </c>
      <c r="AS137" t="str">
        <f>IF('1. Live'!AS137='check-Jul25'!AS137,"",'1. Live'!AS137-'check-Jul25'!AS137)</f>
        <v/>
      </c>
      <c r="AT137" t="str">
        <f>IF('1. Live'!AT137='check-Jul25'!AT137,"",'1. Live'!AT137-'check-Jul25'!AT137)</f>
        <v/>
      </c>
      <c r="AU137" t="str">
        <f>IF('1. Live'!AU137='check-Jul25'!AU137,"",'1. Live'!AU137-'check-Jul25'!AU137)</f>
        <v/>
      </c>
      <c r="AV137" t="str">
        <f>IF('1. Live'!AV137='check-Jul25'!AV137,"",'1. Live'!AV137-'check-Jul25'!AV137)</f>
        <v/>
      </c>
      <c r="AW137" t="str">
        <f>IF('1. Live'!AW137='check-Jul25'!AW137,"",'1. Live'!AW137-'check-Jul25'!AW137)</f>
        <v/>
      </c>
      <c r="AX137" t="str">
        <f>IF('1. Live'!AX137='check-Jul25'!AX137,"",'1. Live'!AX137-'check-Jul25'!AX137)</f>
        <v/>
      </c>
      <c r="AY137" t="str">
        <f>IF('1. Live'!AY137='check-Jul25'!AY137,"",'1. Live'!AY137-'check-Jul25'!AY137)</f>
        <v/>
      </c>
      <c r="AZ137" t="str">
        <f>IF('1. Live'!AZ137='check-Jul25'!AZ137,"",'1. Live'!AZ137-'check-Jul25'!AZ137)</f>
        <v/>
      </c>
      <c r="BA137" t="str">
        <f>IF('1. Live'!BA137='check-Jul25'!BA137,"",'1. Live'!BA137-'check-Jul25'!BA137)</f>
        <v/>
      </c>
      <c r="BB137" t="str">
        <f>IF('1. Live'!BB137='check-Jul25'!BB137,"",'1. Live'!BB137-'check-Jul25'!BB137)</f>
        <v/>
      </c>
      <c r="BC137" t="str">
        <f>IF('1. Live'!BC137='check-Jul25'!BC137,"",'1. Live'!BC137-'check-Jul25'!BC137)</f>
        <v/>
      </c>
      <c r="BD137" t="str">
        <f>IF('1. Live'!BD137='check-Jul25'!BD137,"",'1. Live'!BD137-'check-Jul25'!BD137)</f>
        <v/>
      </c>
      <c r="BE137" t="str">
        <f>IF('1. Live'!BE137='check-Jul25'!BE137,"",'1. Live'!BE137-'check-Jul25'!BE137)</f>
        <v/>
      </c>
      <c r="BF137" t="str">
        <f>IF('1. Live'!BF137='check-Jul25'!BF137,"",'1. Live'!BF137-'check-Jul25'!BF137)</f>
        <v/>
      </c>
      <c r="BG137" t="str">
        <f>IF('1. Live'!BG137='check-Jul25'!BG137,"",'1. Live'!BG137-'check-Jul25'!BG137)</f>
        <v/>
      </c>
      <c r="BH137" t="str">
        <f>IF('1. Live'!BH137='check-Jul25'!BH137,"",'1. Live'!BH137-'check-Jul25'!BH137)</f>
        <v/>
      </c>
      <c r="BI137" t="str">
        <f>IF('1. Live'!BI137='check-Jul25'!BI137,"",'1. Live'!BI137-'check-Jul25'!BI137)</f>
        <v/>
      </c>
      <c r="BJ137" t="str">
        <f>IF('1. Live'!BJ137='check-Jul25'!BJ137,"",'1. Live'!BJ137-'check-Jul25'!BJ137)</f>
        <v/>
      </c>
      <c r="BK137" t="str">
        <f>IF('1. Live'!BK137='check-Jul25'!BK137,"",'1. Live'!BK137-'check-Jul25'!BK137)</f>
        <v/>
      </c>
      <c r="BL137" t="str">
        <f>IF('1. Live'!BL137='check-Jul25'!BL137,"",'1. Live'!BL137-'check-Jul25'!BL137)</f>
        <v/>
      </c>
      <c r="BM137" t="str">
        <f>IF('1. Live'!BM137='check-Jul25'!BM137,"",'1. Live'!BM137-'check-Jul25'!BM137)</f>
        <v/>
      </c>
      <c r="BN137" t="str">
        <f>IF('1. Live'!BN137='check-Jul25'!BN137,"",'1. Live'!BN137-'check-Jul25'!BN137)</f>
        <v/>
      </c>
      <c r="BO137" t="str">
        <f>IF('1. Live'!BO137='check-Jul25'!BO137,"",'1. Live'!BO137-'check-Jul25'!BO137)</f>
        <v/>
      </c>
      <c r="BP137" t="str">
        <f>IF('1. Live'!BP137='check-Jul25'!BP137,"",'1. Live'!BP137-'check-Jul25'!BP137)</f>
        <v/>
      </c>
      <c r="BQ137" t="str">
        <f>IF('1. Live'!BQ137='check-Jul25'!BQ137,"",'1. Live'!BQ137-'check-Jul25'!BQ137)</f>
        <v/>
      </c>
      <c r="BR137" t="str">
        <f>IF('1. Live'!BR137='check-Jul25'!BR137,"",'1. Live'!BR137-'check-Jul25'!BR137)</f>
        <v/>
      </c>
      <c r="BS137" t="str">
        <f>IF('1. Live'!BS137='check-Jul25'!BS137,"",'1. Live'!BS137-'check-Jul25'!BS137)</f>
        <v/>
      </c>
      <c r="BT137" t="str">
        <f>IF('1. Live'!BT137='check-Jul25'!BT137,"",'1. Live'!BT137-'check-Jul25'!BT137)</f>
        <v/>
      </c>
      <c r="BU137" t="str">
        <f>IF('1. Live'!BU137='check-Jul25'!BU137,"",'1. Live'!BU137-'check-Jul25'!BU137)</f>
        <v/>
      </c>
      <c r="BV137" t="str">
        <f>IF('1. Live'!BV137='check-Jul25'!BV137,"",'1. Live'!BV137-'check-Jul25'!BV137)</f>
        <v/>
      </c>
      <c r="BW137" t="str">
        <f>IF('1. Live'!BW137='check-Jul25'!BW137,"",'1. Live'!BW137-'check-Jul25'!BW137)</f>
        <v/>
      </c>
      <c r="BX137" t="str">
        <f>IF('1. Live'!BX137='check-Jul25'!BX137,"",'1. Live'!BX137-'check-Jul25'!BX137)</f>
        <v/>
      </c>
      <c r="BY137" t="str">
        <f>IF('1. Live'!BY137='check-Jul25'!BY137,"",'1. Live'!BY137-'check-Jul25'!BY137)</f>
        <v/>
      </c>
      <c r="BZ137" t="str">
        <f>IF('1. Live'!BZ137='check-Jul25'!BZ137,"",'1. Live'!BZ137-'check-Jul25'!BZ137)</f>
        <v/>
      </c>
      <c r="CA137" t="str">
        <f>IF('1. Live'!CA137='check-Jul25'!CA137,"",'1. Live'!CA137-'check-Jul25'!CA137)</f>
        <v/>
      </c>
      <c r="CB137" t="str">
        <f>IF('1. Live'!CB137='check-Jul25'!CB137,"",'1. Live'!CB137-'check-Jul25'!CB137)</f>
        <v/>
      </c>
      <c r="CC137" t="str">
        <f>IF('1. Live'!CC137='check-Jul25'!CC137,"",'1. Live'!CC137-'check-Jul25'!CC137)</f>
        <v/>
      </c>
      <c r="CD137" t="str">
        <f>IF('1. Live'!CD137='check-Jul25'!CD137,"",'1. Live'!CD137-'check-Jul25'!CD137)</f>
        <v/>
      </c>
      <c r="CE137" t="str">
        <f>IF('1. Live'!CE137='check-Jul25'!CE137,"",'1. Live'!CE137-'check-Jul25'!CE137)</f>
        <v/>
      </c>
      <c r="CF137" t="str">
        <f>IF('1. Live'!CF137='check-Jul25'!CF137,"",'1. Live'!CF137-'check-Jul25'!CF137)</f>
        <v/>
      </c>
      <c r="CG137" t="str">
        <f>IF('1. Live'!CG137='check-Jul25'!CG137,"",'1. Live'!CG137-'check-Jul25'!CG137)</f>
        <v/>
      </c>
      <c r="CH137" t="str">
        <f>IF('1. Live'!CH137='check-Jul25'!CH137,"",'1. Live'!CH137-'check-Jul25'!CH137)</f>
        <v/>
      </c>
      <c r="CI137" t="str">
        <f>IF('1. Live'!CI137='check-Jul25'!CI137,"",'1. Live'!CI137-'check-Jul25'!CI137)</f>
        <v/>
      </c>
      <c r="CJ137" t="str">
        <f>IF('1. Live'!CJ137='check-Jul25'!CJ137,"",'1. Live'!CJ137-'check-Jul25'!CJ137)</f>
        <v/>
      </c>
      <c r="CK137" t="str">
        <f>IF('1. Live'!CK137='check-Jul25'!CK137,"",'1. Live'!CK137-'check-Jul25'!CK137)</f>
        <v/>
      </c>
      <c r="CL137" t="str">
        <f>IF('1. Live'!CL137='check-Jul25'!CL137,"",'1. Live'!CL137-'check-Jul25'!CL137)</f>
        <v/>
      </c>
      <c r="CM137" t="str">
        <f>IF('1. Live'!CM137='check-Jul25'!CM137,"",'1. Live'!CM137-'check-Jul25'!CM137)</f>
        <v/>
      </c>
      <c r="CN137" t="str">
        <f>IF('1. Live'!CN137='check-Jul25'!CN137,"",'1. Live'!CN137-'check-Jul25'!CN137)</f>
        <v/>
      </c>
      <c r="CO137" t="str">
        <f>IF('1. Live'!CO137='check-Jul25'!CO137,"",'1. Live'!CO137-'check-Jul25'!CO137)</f>
        <v/>
      </c>
      <c r="CP137" t="str">
        <f>IF('1. Live'!CP137='check-Jul25'!CP137,"",'1. Live'!CP137-'check-Jul25'!CP137)</f>
        <v/>
      </c>
      <c r="CQ137" t="str">
        <f>IF('1. Live'!CQ137='check-Jul25'!CQ137,"",'1. Live'!CQ137-'check-Jul25'!CQ137)</f>
        <v/>
      </c>
      <c r="CR137" t="str">
        <f>IF('1. Live'!CR137='check-Jul25'!CR137,"",'1. Live'!CR137-'check-Jul25'!CR137)</f>
        <v/>
      </c>
      <c r="CS137" t="str">
        <f>IF('1. Live'!CS137='check-Jul25'!CS137,"",'1. Live'!CS137-'check-Jul25'!CS137)</f>
        <v/>
      </c>
      <c r="CT137" t="str">
        <f>IF('1. Live'!CT137='check-Jul25'!CT137,"",'1. Live'!CT137-'check-Jul25'!CT137)</f>
        <v/>
      </c>
      <c r="CU137" t="str">
        <f>IF('1. Live'!CU137='check-Jul25'!CU137,"",'1. Live'!CU137-'check-Jul25'!CU137)</f>
        <v/>
      </c>
      <c r="CV137" t="str">
        <f>IF('1. Live'!CV137='check-Jul25'!CV137,"",'1. Live'!CV137-'check-Jul25'!CV137)</f>
        <v/>
      </c>
      <c r="CW137" t="str">
        <f>IF('1. Live'!CW137='check-Jul25'!CW137,"",'1. Live'!CW137-'check-Jul25'!CW137)</f>
        <v/>
      </c>
    </row>
    <row r="138" spans="10:101">
      <c r="J138" t="str">
        <f>IF('1. Live'!J138='check-Jul25'!J138,"",'1. Live'!J138-'check-Jul25'!J138)</f>
        <v/>
      </c>
      <c r="K138" t="str">
        <f>IF('1. Live'!K138='check-Jul25'!K138,"",'1. Live'!K138-'check-Jul25'!K138)</f>
        <v/>
      </c>
      <c r="L138" t="str">
        <f>IF('1. Live'!L138='check-Jul25'!L138,"",'1. Live'!L138-'check-Jul25'!L138)</f>
        <v/>
      </c>
      <c r="M138" t="str">
        <f>IF('1. Live'!M138='check-Jul25'!M138,"",'1. Live'!M138-'check-Jul25'!M138)</f>
        <v/>
      </c>
      <c r="N138" t="str">
        <f>IF('1. Live'!N138='check-Jul25'!N138,"",'1. Live'!N138-'check-Jul25'!N138)</f>
        <v/>
      </c>
      <c r="O138" t="str">
        <f>IF('1. Live'!O138='check-Jul25'!O138,"",'1. Live'!O138-'check-Jul25'!O138)</f>
        <v/>
      </c>
      <c r="P138" t="str">
        <f>IF('1. Live'!P138='check-Jul25'!P138,"",'1. Live'!P138-'check-Jul25'!P138)</f>
        <v/>
      </c>
      <c r="Q138" t="str">
        <f>IF('1. Live'!Q138='check-Jul25'!Q138,"",'1. Live'!Q138-'check-Jul25'!Q138)</f>
        <v/>
      </c>
      <c r="R138" t="str">
        <f>IF('1. Live'!R138='check-Jul25'!R138,"",'1. Live'!R138-'check-Jul25'!R138)</f>
        <v/>
      </c>
      <c r="S138" t="str">
        <f>IF('1. Live'!S138='check-Jul25'!S138,"",'1. Live'!S138-'check-Jul25'!S138)</f>
        <v/>
      </c>
      <c r="T138" t="str">
        <f>IF('1. Live'!T138='check-Jul25'!T138,"",'1. Live'!T138-'check-Jul25'!T138)</f>
        <v/>
      </c>
      <c r="U138" t="str">
        <f>IF('1. Live'!U138='check-Jul25'!U138,"",'1. Live'!U138-'check-Jul25'!U138)</f>
        <v/>
      </c>
      <c r="V138" t="str">
        <f>IF('1. Live'!V138='check-Jul25'!V138,"",'1. Live'!V138-'check-Jul25'!V138)</f>
        <v/>
      </c>
      <c r="W138" t="str">
        <f>IF('1. Live'!W138='check-Jul25'!W138,"",'1. Live'!W138-'check-Jul25'!W138)</f>
        <v/>
      </c>
      <c r="X138" t="str">
        <f>IF('1. Live'!X138='check-Jul25'!X138,"",'1. Live'!X138-'check-Jul25'!X138)</f>
        <v/>
      </c>
      <c r="Y138" t="str">
        <f>IF('1. Live'!Y138='check-Jul25'!Y138,"",'1. Live'!Y138-'check-Jul25'!Y138)</f>
        <v/>
      </c>
      <c r="Z138" t="str">
        <f>IF('1. Live'!Z138='check-Jul25'!Z138,"",'1. Live'!Z138-'check-Jul25'!Z138)</f>
        <v/>
      </c>
      <c r="AA138" t="str">
        <f>IF('1. Live'!AA138='check-Jul25'!AA138,"",'1. Live'!AA138-'check-Jul25'!AA138)</f>
        <v/>
      </c>
      <c r="AB138" t="str">
        <f>IF('1. Live'!AB138='check-Jul25'!AB138,"",'1. Live'!AB138-'check-Jul25'!AB138)</f>
        <v/>
      </c>
      <c r="AC138" t="str">
        <f>IF('1. Live'!AC138='check-Jul25'!AC138,"",'1. Live'!AC138-'check-Jul25'!AC138)</f>
        <v/>
      </c>
      <c r="AD138" t="str">
        <f>IF('1. Live'!AD138='check-Jul25'!AD138,"",'1. Live'!AD138-'check-Jul25'!AD138)</f>
        <v/>
      </c>
      <c r="AE138" t="str">
        <f>IF('1. Live'!AE138='check-Jul25'!AE138,"",'1. Live'!AE138-'check-Jul25'!AE138)</f>
        <v/>
      </c>
      <c r="AF138" t="str">
        <f>IF('1. Live'!AF138='check-Jul25'!AF138,"",'1. Live'!AF138-'check-Jul25'!AF138)</f>
        <v/>
      </c>
      <c r="AG138" t="str">
        <f>IF('1. Live'!AG138='check-Jul25'!AG138,"",'1. Live'!AG138-'check-Jul25'!AG138)</f>
        <v/>
      </c>
      <c r="AH138" t="str">
        <f>IF('1. Live'!AH138='check-Jul25'!AH138,"",'1. Live'!AH138-'check-Jul25'!AH138)</f>
        <v/>
      </c>
      <c r="AI138" t="str">
        <f>IF('1. Live'!AI138='check-Jul25'!AI138,"",'1. Live'!AI138-'check-Jul25'!AI138)</f>
        <v/>
      </c>
      <c r="AJ138" t="str">
        <f>IF('1. Live'!AJ138='check-Jul25'!AJ138,"",'1. Live'!AJ138-'check-Jul25'!AJ138)</f>
        <v/>
      </c>
      <c r="AK138" t="str">
        <f>IF('1. Live'!AK138='check-Jul25'!AK138,"",'1. Live'!AK138-'check-Jul25'!AK138)</f>
        <v/>
      </c>
      <c r="AL138" t="str">
        <f>IF('1. Live'!AL138='check-Jul25'!AL138,"",'1. Live'!AL138-'check-Jul25'!AL138)</f>
        <v/>
      </c>
      <c r="AM138" t="str">
        <f>IF('1. Live'!AM138='check-Jul25'!AM138,"",'1. Live'!AM138-'check-Jul25'!AM138)</f>
        <v/>
      </c>
      <c r="AN138" t="str">
        <f>IF('1. Live'!AN138='check-Jul25'!AN138,"",'1. Live'!AN138-'check-Jul25'!AN138)</f>
        <v/>
      </c>
      <c r="AO138" t="str">
        <f>IF('1. Live'!AO138='check-Jul25'!AO138,"",'1. Live'!AO138-'check-Jul25'!AO138)</f>
        <v/>
      </c>
      <c r="AP138" t="str">
        <f>IF('1. Live'!AP138='check-Jul25'!AP138,"",'1. Live'!AP138-'check-Jul25'!AP138)</f>
        <v/>
      </c>
      <c r="AQ138" t="str">
        <f>IF('1. Live'!AQ138='check-Jul25'!AQ138,"",'1. Live'!AQ138-'check-Jul25'!AQ138)</f>
        <v/>
      </c>
      <c r="AR138" t="str">
        <f>IF('1. Live'!AR138='check-Jul25'!AR138,"",'1. Live'!AR138-'check-Jul25'!AR138)</f>
        <v/>
      </c>
      <c r="AS138" t="str">
        <f>IF('1. Live'!AS138='check-Jul25'!AS138,"",'1. Live'!AS138-'check-Jul25'!AS138)</f>
        <v/>
      </c>
      <c r="AT138" t="str">
        <f>IF('1. Live'!AT138='check-Jul25'!AT138,"",'1. Live'!AT138-'check-Jul25'!AT138)</f>
        <v/>
      </c>
      <c r="AU138" t="str">
        <f>IF('1. Live'!AU138='check-Jul25'!AU138,"",'1. Live'!AU138-'check-Jul25'!AU138)</f>
        <v/>
      </c>
      <c r="AV138" t="str">
        <f>IF('1. Live'!AV138='check-Jul25'!AV138,"",'1. Live'!AV138-'check-Jul25'!AV138)</f>
        <v/>
      </c>
      <c r="AW138" t="str">
        <f>IF('1. Live'!AW138='check-Jul25'!AW138,"",'1. Live'!AW138-'check-Jul25'!AW138)</f>
        <v/>
      </c>
      <c r="AX138" t="str">
        <f>IF('1. Live'!AX138='check-Jul25'!AX138,"",'1. Live'!AX138-'check-Jul25'!AX138)</f>
        <v/>
      </c>
      <c r="AY138" t="str">
        <f>IF('1. Live'!AY138='check-Jul25'!AY138,"",'1. Live'!AY138-'check-Jul25'!AY138)</f>
        <v/>
      </c>
      <c r="AZ138" t="str">
        <f>IF('1. Live'!AZ138='check-Jul25'!AZ138,"",'1. Live'!AZ138-'check-Jul25'!AZ138)</f>
        <v/>
      </c>
      <c r="BA138" t="str">
        <f>IF('1. Live'!BA138='check-Jul25'!BA138,"",'1. Live'!BA138-'check-Jul25'!BA138)</f>
        <v/>
      </c>
      <c r="BB138" t="str">
        <f>IF('1. Live'!BB138='check-Jul25'!BB138,"",'1. Live'!BB138-'check-Jul25'!BB138)</f>
        <v/>
      </c>
      <c r="BC138" t="str">
        <f>IF('1. Live'!BC138='check-Jul25'!BC138,"",'1. Live'!BC138-'check-Jul25'!BC138)</f>
        <v/>
      </c>
      <c r="BD138" t="str">
        <f>IF('1. Live'!BD138='check-Jul25'!BD138,"",'1. Live'!BD138-'check-Jul25'!BD138)</f>
        <v/>
      </c>
      <c r="BE138" t="str">
        <f>IF('1. Live'!BE138='check-Jul25'!BE138,"",'1. Live'!BE138-'check-Jul25'!BE138)</f>
        <v/>
      </c>
      <c r="BF138" t="str">
        <f>IF('1. Live'!BF138='check-Jul25'!BF138,"",'1. Live'!BF138-'check-Jul25'!BF138)</f>
        <v/>
      </c>
      <c r="BG138" t="str">
        <f>IF('1. Live'!BG138='check-Jul25'!BG138,"",'1. Live'!BG138-'check-Jul25'!BG138)</f>
        <v/>
      </c>
      <c r="BH138" t="str">
        <f>IF('1. Live'!BH138='check-Jul25'!BH138,"",'1. Live'!BH138-'check-Jul25'!BH138)</f>
        <v/>
      </c>
      <c r="BI138" t="str">
        <f>IF('1. Live'!BI138='check-Jul25'!BI138,"",'1. Live'!BI138-'check-Jul25'!BI138)</f>
        <v/>
      </c>
      <c r="BJ138" t="str">
        <f>IF('1. Live'!BJ138='check-Jul25'!BJ138,"",'1. Live'!BJ138-'check-Jul25'!BJ138)</f>
        <v/>
      </c>
      <c r="BK138" t="str">
        <f>IF('1. Live'!BK138='check-Jul25'!BK138,"",'1. Live'!BK138-'check-Jul25'!BK138)</f>
        <v/>
      </c>
      <c r="BL138" t="str">
        <f>IF('1. Live'!BL138='check-Jul25'!BL138,"",'1. Live'!BL138-'check-Jul25'!BL138)</f>
        <v/>
      </c>
      <c r="BM138" t="str">
        <f>IF('1. Live'!BM138='check-Jul25'!BM138,"",'1. Live'!BM138-'check-Jul25'!BM138)</f>
        <v/>
      </c>
      <c r="BN138" t="str">
        <f>IF('1. Live'!BN138='check-Jul25'!BN138,"",'1. Live'!BN138-'check-Jul25'!BN138)</f>
        <v/>
      </c>
      <c r="BO138" t="str">
        <f>IF('1. Live'!BO138='check-Jul25'!BO138,"",'1. Live'!BO138-'check-Jul25'!BO138)</f>
        <v/>
      </c>
      <c r="BP138" t="str">
        <f>IF('1. Live'!BP138='check-Jul25'!BP138,"",'1. Live'!BP138-'check-Jul25'!BP138)</f>
        <v/>
      </c>
      <c r="BQ138" t="str">
        <f>IF('1. Live'!BQ138='check-Jul25'!BQ138,"",'1. Live'!BQ138-'check-Jul25'!BQ138)</f>
        <v/>
      </c>
      <c r="BR138" t="str">
        <f>IF('1. Live'!BR138='check-Jul25'!BR138,"",'1. Live'!BR138-'check-Jul25'!BR138)</f>
        <v/>
      </c>
      <c r="BS138" t="str">
        <f>IF('1. Live'!BS138='check-Jul25'!BS138,"",'1. Live'!BS138-'check-Jul25'!BS138)</f>
        <v/>
      </c>
      <c r="BT138" t="str">
        <f>IF('1. Live'!BT138='check-Jul25'!BT138,"",'1. Live'!BT138-'check-Jul25'!BT138)</f>
        <v/>
      </c>
      <c r="BU138" t="str">
        <f>IF('1. Live'!BU138='check-Jul25'!BU138,"",'1. Live'!BU138-'check-Jul25'!BU138)</f>
        <v/>
      </c>
      <c r="BV138" t="str">
        <f>IF('1. Live'!BV138='check-Jul25'!BV138,"",'1. Live'!BV138-'check-Jul25'!BV138)</f>
        <v/>
      </c>
      <c r="BW138" t="str">
        <f>IF('1. Live'!BW138='check-Jul25'!BW138,"",'1. Live'!BW138-'check-Jul25'!BW138)</f>
        <v/>
      </c>
      <c r="BX138" t="str">
        <f>IF('1. Live'!BX138='check-Jul25'!BX138,"",'1. Live'!BX138-'check-Jul25'!BX138)</f>
        <v/>
      </c>
      <c r="BY138" t="str">
        <f>IF('1. Live'!BY138='check-Jul25'!BY138,"",'1. Live'!BY138-'check-Jul25'!BY138)</f>
        <v/>
      </c>
      <c r="BZ138" t="str">
        <f>IF('1. Live'!BZ138='check-Jul25'!BZ138,"",'1. Live'!BZ138-'check-Jul25'!BZ138)</f>
        <v/>
      </c>
      <c r="CA138" t="str">
        <f>IF('1. Live'!CA138='check-Jul25'!CA138,"",'1. Live'!CA138-'check-Jul25'!CA138)</f>
        <v/>
      </c>
      <c r="CB138" t="str">
        <f>IF('1. Live'!CB138='check-Jul25'!CB138,"",'1. Live'!CB138-'check-Jul25'!CB138)</f>
        <v/>
      </c>
      <c r="CC138" t="str">
        <f>IF('1. Live'!CC138='check-Jul25'!CC138,"",'1. Live'!CC138-'check-Jul25'!CC138)</f>
        <v/>
      </c>
      <c r="CD138" t="str">
        <f>IF('1. Live'!CD138='check-Jul25'!CD138,"",'1. Live'!CD138-'check-Jul25'!CD138)</f>
        <v/>
      </c>
      <c r="CE138" t="str">
        <f>IF('1. Live'!CE138='check-Jul25'!CE138,"",'1. Live'!CE138-'check-Jul25'!CE138)</f>
        <v/>
      </c>
      <c r="CF138" t="str">
        <f>IF('1. Live'!CF138='check-Jul25'!CF138,"",'1. Live'!CF138-'check-Jul25'!CF138)</f>
        <v/>
      </c>
      <c r="CG138" t="str">
        <f>IF('1. Live'!CG138='check-Jul25'!CG138,"",'1. Live'!CG138-'check-Jul25'!CG138)</f>
        <v/>
      </c>
      <c r="CH138" t="str">
        <f>IF('1. Live'!CH138='check-Jul25'!CH138,"",'1. Live'!CH138-'check-Jul25'!CH138)</f>
        <v/>
      </c>
      <c r="CI138" t="str">
        <f>IF('1. Live'!CI138='check-Jul25'!CI138,"",'1. Live'!CI138-'check-Jul25'!CI138)</f>
        <v/>
      </c>
      <c r="CJ138" t="str">
        <f>IF('1. Live'!CJ138='check-Jul25'!CJ138,"",'1. Live'!CJ138-'check-Jul25'!CJ138)</f>
        <v/>
      </c>
      <c r="CK138" t="str">
        <f>IF('1. Live'!CK138='check-Jul25'!CK138,"",'1. Live'!CK138-'check-Jul25'!CK138)</f>
        <v/>
      </c>
      <c r="CL138" t="str">
        <f>IF('1. Live'!CL138='check-Jul25'!CL138,"",'1. Live'!CL138-'check-Jul25'!CL138)</f>
        <v/>
      </c>
      <c r="CM138" t="str">
        <f>IF('1. Live'!CM138='check-Jul25'!CM138,"",'1. Live'!CM138-'check-Jul25'!CM138)</f>
        <v/>
      </c>
      <c r="CN138" t="str">
        <f>IF('1. Live'!CN138='check-Jul25'!CN138,"",'1. Live'!CN138-'check-Jul25'!CN138)</f>
        <v/>
      </c>
      <c r="CO138" t="str">
        <f>IF('1. Live'!CO138='check-Jul25'!CO138,"",'1. Live'!CO138-'check-Jul25'!CO138)</f>
        <v/>
      </c>
      <c r="CP138" t="str">
        <f>IF('1. Live'!CP138='check-Jul25'!CP138,"",'1. Live'!CP138-'check-Jul25'!CP138)</f>
        <v/>
      </c>
      <c r="CQ138" t="str">
        <f>IF('1. Live'!CQ138='check-Jul25'!CQ138,"",'1. Live'!CQ138-'check-Jul25'!CQ138)</f>
        <v/>
      </c>
      <c r="CR138" t="str">
        <f>IF('1. Live'!CR138='check-Jul25'!CR138,"",'1. Live'!CR138-'check-Jul25'!CR138)</f>
        <v/>
      </c>
      <c r="CS138" t="str">
        <f>IF('1. Live'!CS138='check-Jul25'!CS138,"",'1. Live'!CS138-'check-Jul25'!CS138)</f>
        <v/>
      </c>
      <c r="CT138" t="str">
        <f>IF('1. Live'!CT138='check-Jul25'!CT138,"",'1. Live'!CT138-'check-Jul25'!CT138)</f>
        <v/>
      </c>
      <c r="CU138" t="str">
        <f>IF('1. Live'!CU138='check-Jul25'!CU138,"",'1. Live'!CU138-'check-Jul25'!CU138)</f>
        <v/>
      </c>
      <c r="CV138" t="str">
        <f>IF('1. Live'!CV138='check-Jul25'!CV138,"",'1. Live'!CV138-'check-Jul25'!CV138)</f>
        <v/>
      </c>
      <c r="CW138" t="str">
        <f>IF('1. Live'!CW138='check-Jul25'!CW138,"",'1. Live'!CW138-'check-Jul25'!CW138)</f>
        <v/>
      </c>
    </row>
    <row r="139" spans="10:101">
      <c r="J139" t="str">
        <f>IF('1. Live'!J139='check-Jul25'!J139,"",'1. Live'!J139-'check-Jul25'!J139)</f>
        <v/>
      </c>
      <c r="K139" t="str">
        <f>IF('1. Live'!K139='check-Jul25'!K139,"",'1. Live'!K139-'check-Jul25'!K139)</f>
        <v/>
      </c>
      <c r="L139" t="str">
        <f>IF('1. Live'!L139='check-Jul25'!L139,"",'1. Live'!L139-'check-Jul25'!L139)</f>
        <v/>
      </c>
      <c r="M139" t="str">
        <f>IF('1. Live'!M139='check-Jul25'!M139,"",'1. Live'!M139-'check-Jul25'!M139)</f>
        <v/>
      </c>
      <c r="N139" t="str">
        <f>IF('1. Live'!N139='check-Jul25'!N139,"",'1. Live'!N139-'check-Jul25'!N139)</f>
        <v/>
      </c>
      <c r="O139" t="str">
        <f>IF('1. Live'!O139='check-Jul25'!O139,"",'1. Live'!O139-'check-Jul25'!O139)</f>
        <v/>
      </c>
      <c r="P139" t="str">
        <f>IF('1. Live'!P139='check-Jul25'!P139,"",'1. Live'!P139-'check-Jul25'!P139)</f>
        <v/>
      </c>
      <c r="Q139" t="str">
        <f>IF('1. Live'!Q139='check-Jul25'!Q139,"",'1. Live'!Q139-'check-Jul25'!Q139)</f>
        <v/>
      </c>
      <c r="R139" t="str">
        <f>IF('1. Live'!R139='check-Jul25'!R139,"",'1. Live'!R139-'check-Jul25'!R139)</f>
        <v/>
      </c>
      <c r="S139" t="str">
        <f>IF('1. Live'!S139='check-Jul25'!S139,"",'1. Live'!S139-'check-Jul25'!S139)</f>
        <v/>
      </c>
      <c r="T139" t="str">
        <f>IF('1. Live'!T139='check-Jul25'!T139,"",'1. Live'!T139-'check-Jul25'!T139)</f>
        <v/>
      </c>
      <c r="U139" t="str">
        <f>IF('1. Live'!U139='check-Jul25'!U139,"",'1. Live'!U139-'check-Jul25'!U139)</f>
        <v/>
      </c>
      <c r="V139" t="str">
        <f>IF('1. Live'!V139='check-Jul25'!V139,"",'1. Live'!V139-'check-Jul25'!V139)</f>
        <v/>
      </c>
      <c r="W139" t="str">
        <f>IF('1. Live'!W139='check-Jul25'!W139,"",'1. Live'!W139-'check-Jul25'!W139)</f>
        <v/>
      </c>
      <c r="X139" t="str">
        <f>IF('1. Live'!X139='check-Jul25'!X139,"",'1. Live'!X139-'check-Jul25'!X139)</f>
        <v/>
      </c>
      <c r="Y139" t="str">
        <f>IF('1. Live'!Y139='check-Jul25'!Y139,"",'1. Live'!Y139-'check-Jul25'!Y139)</f>
        <v/>
      </c>
      <c r="Z139" t="str">
        <f>IF('1. Live'!Z139='check-Jul25'!Z139,"",'1. Live'!Z139-'check-Jul25'!Z139)</f>
        <v/>
      </c>
      <c r="AA139" t="str">
        <f>IF('1. Live'!AA139='check-Jul25'!AA139,"",'1. Live'!AA139-'check-Jul25'!AA139)</f>
        <v/>
      </c>
      <c r="AB139" t="str">
        <f>IF('1. Live'!AB139='check-Jul25'!AB139,"",'1. Live'!AB139-'check-Jul25'!AB139)</f>
        <v/>
      </c>
      <c r="AC139" t="str">
        <f>IF('1. Live'!AC139='check-Jul25'!AC139,"",'1. Live'!AC139-'check-Jul25'!AC139)</f>
        <v/>
      </c>
      <c r="AD139" t="str">
        <f>IF('1. Live'!AD139='check-Jul25'!AD139,"",'1. Live'!AD139-'check-Jul25'!AD139)</f>
        <v/>
      </c>
      <c r="AE139" t="str">
        <f>IF('1. Live'!AE139='check-Jul25'!AE139,"",'1. Live'!AE139-'check-Jul25'!AE139)</f>
        <v/>
      </c>
      <c r="AF139" t="str">
        <f>IF('1. Live'!AF139='check-Jul25'!AF139,"",'1. Live'!AF139-'check-Jul25'!AF139)</f>
        <v/>
      </c>
      <c r="AG139" t="str">
        <f>IF('1. Live'!AG139='check-Jul25'!AG139,"",'1. Live'!AG139-'check-Jul25'!AG139)</f>
        <v/>
      </c>
      <c r="AH139" t="str">
        <f>IF('1. Live'!AH139='check-Jul25'!AH139,"",'1. Live'!AH139-'check-Jul25'!AH139)</f>
        <v/>
      </c>
      <c r="AI139" t="str">
        <f>IF('1. Live'!AI139='check-Jul25'!AI139,"",'1. Live'!AI139-'check-Jul25'!AI139)</f>
        <v/>
      </c>
      <c r="AJ139" t="str">
        <f>IF('1. Live'!AJ139='check-Jul25'!AJ139,"",'1. Live'!AJ139-'check-Jul25'!AJ139)</f>
        <v/>
      </c>
      <c r="AK139" t="str">
        <f>IF('1. Live'!AK139='check-Jul25'!AK139,"",'1. Live'!AK139-'check-Jul25'!AK139)</f>
        <v/>
      </c>
      <c r="AL139" t="str">
        <f>IF('1. Live'!AL139='check-Jul25'!AL139,"",'1. Live'!AL139-'check-Jul25'!AL139)</f>
        <v/>
      </c>
      <c r="AM139" t="str">
        <f>IF('1. Live'!AM139='check-Jul25'!AM139,"",'1. Live'!AM139-'check-Jul25'!AM139)</f>
        <v/>
      </c>
      <c r="AN139" t="str">
        <f>IF('1. Live'!AN139='check-Jul25'!AN139,"",'1. Live'!AN139-'check-Jul25'!AN139)</f>
        <v/>
      </c>
      <c r="AO139" t="str">
        <f>IF('1. Live'!AO139='check-Jul25'!AO139,"",'1. Live'!AO139-'check-Jul25'!AO139)</f>
        <v/>
      </c>
      <c r="AP139" t="str">
        <f>IF('1. Live'!AP139='check-Jul25'!AP139,"",'1. Live'!AP139-'check-Jul25'!AP139)</f>
        <v/>
      </c>
      <c r="AQ139" t="str">
        <f>IF('1. Live'!AQ139='check-Jul25'!AQ139,"",'1. Live'!AQ139-'check-Jul25'!AQ139)</f>
        <v/>
      </c>
      <c r="AR139" t="str">
        <f>IF('1. Live'!AR139='check-Jul25'!AR139,"",'1. Live'!AR139-'check-Jul25'!AR139)</f>
        <v/>
      </c>
      <c r="AS139" t="str">
        <f>IF('1. Live'!AS139='check-Jul25'!AS139,"",'1. Live'!AS139-'check-Jul25'!AS139)</f>
        <v/>
      </c>
      <c r="AT139" t="str">
        <f>IF('1. Live'!AT139='check-Jul25'!AT139,"",'1. Live'!AT139-'check-Jul25'!AT139)</f>
        <v/>
      </c>
      <c r="AU139" t="str">
        <f>IF('1. Live'!AU139='check-Jul25'!AU139,"",'1. Live'!AU139-'check-Jul25'!AU139)</f>
        <v/>
      </c>
      <c r="AV139" t="str">
        <f>IF('1. Live'!AV139='check-Jul25'!AV139,"",'1. Live'!AV139-'check-Jul25'!AV139)</f>
        <v/>
      </c>
      <c r="AW139" t="str">
        <f>IF('1. Live'!AW139='check-Jul25'!AW139,"",'1. Live'!AW139-'check-Jul25'!AW139)</f>
        <v/>
      </c>
      <c r="AX139" t="str">
        <f>IF('1. Live'!AX139='check-Jul25'!AX139,"",'1. Live'!AX139-'check-Jul25'!AX139)</f>
        <v/>
      </c>
      <c r="AY139" t="str">
        <f>IF('1. Live'!AY139='check-Jul25'!AY139,"",'1. Live'!AY139-'check-Jul25'!AY139)</f>
        <v/>
      </c>
      <c r="AZ139" t="str">
        <f>IF('1. Live'!AZ139='check-Jul25'!AZ139,"",'1. Live'!AZ139-'check-Jul25'!AZ139)</f>
        <v/>
      </c>
      <c r="BA139" t="str">
        <f>IF('1. Live'!BA139='check-Jul25'!BA139,"",'1. Live'!BA139-'check-Jul25'!BA139)</f>
        <v/>
      </c>
      <c r="BB139" t="str">
        <f>IF('1. Live'!BB139='check-Jul25'!BB139,"",'1. Live'!BB139-'check-Jul25'!BB139)</f>
        <v/>
      </c>
      <c r="BC139" t="str">
        <f>IF('1. Live'!BC139='check-Jul25'!BC139,"",'1. Live'!BC139-'check-Jul25'!BC139)</f>
        <v/>
      </c>
      <c r="BD139" t="str">
        <f>IF('1. Live'!BD139='check-Jul25'!BD139,"",'1. Live'!BD139-'check-Jul25'!BD139)</f>
        <v/>
      </c>
      <c r="BE139" t="str">
        <f>IF('1. Live'!BE139='check-Jul25'!BE139,"",'1. Live'!BE139-'check-Jul25'!BE139)</f>
        <v/>
      </c>
      <c r="BF139" t="str">
        <f>IF('1. Live'!BF139='check-Jul25'!BF139,"",'1. Live'!BF139-'check-Jul25'!BF139)</f>
        <v/>
      </c>
      <c r="BG139" t="str">
        <f>IF('1. Live'!BG139='check-Jul25'!BG139,"",'1. Live'!BG139-'check-Jul25'!BG139)</f>
        <v/>
      </c>
      <c r="BH139" t="str">
        <f>IF('1. Live'!BH139='check-Jul25'!BH139,"",'1. Live'!BH139-'check-Jul25'!BH139)</f>
        <v/>
      </c>
      <c r="BI139" t="str">
        <f>IF('1. Live'!BI139='check-Jul25'!BI139,"",'1. Live'!BI139-'check-Jul25'!BI139)</f>
        <v/>
      </c>
      <c r="BJ139" t="str">
        <f>IF('1. Live'!BJ139='check-Jul25'!BJ139,"",'1. Live'!BJ139-'check-Jul25'!BJ139)</f>
        <v/>
      </c>
      <c r="BK139" t="str">
        <f>IF('1. Live'!BK139='check-Jul25'!BK139,"",'1. Live'!BK139-'check-Jul25'!BK139)</f>
        <v/>
      </c>
      <c r="BL139" t="str">
        <f>IF('1. Live'!BL139='check-Jul25'!BL139,"",'1. Live'!BL139-'check-Jul25'!BL139)</f>
        <v/>
      </c>
      <c r="BM139" t="str">
        <f>IF('1. Live'!BM139='check-Jul25'!BM139,"",'1. Live'!BM139-'check-Jul25'!BM139)</f>
        <v/>
      </c>
      <c r="BN139" t="str">
        <f>IF('1. Live'!BN139='check-Jul25'!BN139,"",'1. Live'!BN139-'check-Jul25'!BN139)</f>
        <v/>
      </c>
      <c r="BO139" t="str">
        <f>IF('1. Live'!BO139='check-Jul25'!BO139,"",'1. Live'!BO139-'check-Jul25'!BO139)</f>
        <v/>
      </c>
      <c r="BP139" t="str">
        <f>IF('1. Live'!BP139='check-Jul25'!BP139,"",'1. Live'!BP139-'check-Jul25'!BP139)</f>
        <v/>
      </c>
      <c r="BQ139" t="str">
        <f>IF('1. Live'!BQ139='check-Jul25'!BQ139,"",'1. Live'!BQ139-'check-Jul25'!BQ139)</f>
        <v/>
      </c>
      <c r="BR139" t="str">
        <f>IF('1. Live'!BR139='check-Jul25'!BR139,"",'1. Live'!BR139-'check-Jul25'!BR139)</f>
        <v/>
      </c>
      <c r="BS139" t="str">
        <f>IF('1. Live'!BS139='check-Jul25'!BS139,"",'1. Live'!BS139-'check-Jul25'!BS139)</f>
        <v/>
      </c>
      <c r="BT139" t="str">
        <f>IF('1. Live'!BT139='check-Jul25'!BT139,"",'1. Live'!BT139-'check-Jul25'!BT139)</f>
        <v/>
      </c>
      <c r="BU139" t="str">
        <f>IF('1. Live'!BU139='check-Jul25'!BU139,"",'1. Live'!BU139-'check-Jul25'!BU139)</f>
        <v/>
      </c>
      <c r="BV139" t="str">
        <f>IF('1. Live'!BV139='check-Jul25'!BV139,"",'1. Live'!BV139-'check-Jul25'!BV139)</f>
        <v/>
      </c>
      <c r="BW139" t="str">
        <f>IF('1. Live'!BW139='check-Jul25'!BW139,"",'1. Live'!BW139-'check-Jul25'!BW139)</f>
        <v/>
      </c>
      <c r="BX139" t="str">
        <f>IF('1. Live'!BX139='check-Jul25'!BX139,"",'1. Live'!BX139-'check-Jul25'!BX139)</f>
        <v/>
      </c>
      <c r="BY139" t="str">
        <f>IF('1. Live'!BY139='check-Jul25'!BY139,"",'1. Live'!BY139-'check-Jul25'!BY139)</f>
        <v/>
      </c>
      <c r="BZ139" t="str">
        <f>IF('1. Live'!BZ139='check-Jul25'!BZ139,"",'1. Live'!BZ139-'check-Jul25'!BZ139)</f>
        <v/>
      </c>
      <c r="CA139" t="str">
        <f>IF('1. Live'!CA139='check-Jul25'!CA139,"",'1. Live'!CA139-'check-Jul25'!CA139)</f>
        <v/>
      </c>
      <c r="CB139" t="str">
        <f>IF('1. Live'!CB139='check-Jul25'!CB139,"",'1. Live'!CB139-'check-Jul25'!CB139)</f>
        <v/>
      </c>
      <c r="CC139" t="str">
        <f>IF('1. Live'!CC139='check-Jul25'!CC139,"",'1. Live'!CC139-'check-Jul25'!CC139)</f>
        <v/>
      </c>
      <c r="CD139" t="str">
        <f>IF('1. Live'!CD139='check-Jul25'!CD139,"",'1. Live'!CD139-'check-Jul25'!CD139)</f>
        <v/>
      </c>
      <c r="CE139" t="str">
        <f>IF('1. Live'!CE139='check-Jul25'!CE139,"",'1. Live'!CE139-'check-Jul25'!CE139)</f>
        <v/>
      </c>
      <c r="CF139" t="str">
        <f>IF('1. Live'!CF139='check-Jul25'!CF139,"",'1. Live'!CF139-'check-Jul25'!CF139)</f>
        <v/>
      </c>
      <c r="CG139" t="str">
        <f>IF('1. Live'!CG139='check-Jul25'!CG139,"",'1. Live'!CG139-'check-Jul25'!CG139)</f>
        <v/>
      </c>
      <c r="CH139" t="str">
        <f>IF('1. Live'!CH139='check-Jul25'!CH139,"",'1. Live'!CH139-'check-Jul25'!CH139)</f>
        <v/>
      </c>
      <c r="CI139" t="str">
        <f>IF('1. Live'!CI139='check-Jul25'!CI139,"",'1. Live'!CI139-'check-Jul25'!CI139)</f>
        <v/>
      </c>
      <c r="CJ139" t="str">
        <f>IF('1. Live'!CJ139='check-Jul25'!CJ139,"",'1. Live'!CJ139-'check-Jul25'!CJ139)</f>
        <v/>
      </c>
      <c r="CK139" t="str">
        <f>IF('1. Live'!CK139='check-Jul25'!CK139,"",'1. Live'!CK139-'check-Jul25'!CK139)</f>
        <v/>
      </c>
      <c r="CL139" t="str">
        <f>IF('1. Live'!CL139='check-Jul25'!CL139,"",'1. Live'!CL139-'check-Jul25'!CL139)</f>
        <v/>
      </c>
      <c r="CM139" t="str">
        <f>IF('1. Live'!CM139='check-Jul25'!CM139,"",'1. Live'!CM139-'check-Jul25'!CM139)</f>
        <v/>
      </c>
      <c r="CN139" t="str">
        <f>IF('1. Live'!CN139='check-Jul25'!CN139,"",'1. Live'!CN139-'check-Jul25'!CN139)</f>
        <v/>
      </c>
      <c r="CO139" t="str">
        <f>IF('1. Live'!CO139='check-Jul25'!CO139,"",'1. Live'!CO139-'check-Jul25'!CO139)</f>
        <v/>
      </c>
      <c r="CP139" t="str">
        <f>IF('1. Live'!CP139='check-Jul25'!CP139,"",'1. Live'!CP139-'check-Jul25'!CP139)</f>
        <v/>
      </c>
      <c r="CQ139" t="str">
        <f>IF('1. Live'!CQ139='check-Jul25'!CQ139,"",'1. Live'!CQ139-'check-Jul25'!CQ139)</f>
        <v/>
      </c>
      <c r="CR139" t="str">
        <f>IF('1. Live'!CR139='check-Jul25'!CR139,"",'1. Live'!CR139-'check-Jul25'!CR139)</f>
        <v/>
      </c>
      <c r="CS139" t="str">
        <f>IF('1. Live'!CS139='check-Jul25'!CS139,"",'1. Live'!CS139-'check-Jul25'!CS139)</f>
        <v/>
      </c>
      <c r="CT139" t="str">
        <f>IF('1. Live'!CT139='check-Jul25'!CT139,"",'1. Live'!CT139-'check-Jul25'!CT139)</f>
        <v/>
      </c>
      <c r="CU139" t="str">
        <f>IF('1. Live'!CU139='check-Jul25'!CU139,"",'1. Live'!CU139-'check-Jul25'!CU139)</f>
        <v/>
      </c>
      <c r="CV139" t="str">
        <f>IF('1. Live'!CV139='check-Jul25'!CV139,"",'1. Live'!CV139-'check-Jul25'!CV139)</f>
        <v/>
      </c>
      <c r="CW139" t="str">
        <f>IF('1. Live'!CW139='check-Jul25'!CW139,"",'1. Live'!CW139-'check-Jul25'!CW139)</f>
        <v/>
      </c>
    </row>
    <row r="140" spans="10:101">
      <c r="J140" t="str">
        <f>IF('1. Live'!J140='check-Jul25'!J140,"",'1. Live'!J140-'check-Jul25'!J140)</f>
        <v/>
      </c>
      <c r="K140" t="str">
        <f>IF('1. Live'!K140='check-Jul25'!K140,"",'1. Live'!K140-'check-Jul25'!K140)</f>
        <v/>
      </c>
      <c r="L140" t="str">
        <f>IF('1. Live'!L140='check-Jul25'!L140,"",'1. Live'!L140-'check-Jul25'!L140)</f>
        <v/>
      </c>
      <c r="M140" t="str">
        <f>IF('1. Live'!M140='check-Jul25'!M140,"",'1. Live'!M140-'check-Jul25'!M140)</f>
        <v/>
      </c>
      <c r="N140" t="str">
        <f>IF('1. Live'!N140='check-Jul25'!N140,"",'1. Live'!N140-'check-Jul25'!N140)</f>
        <v/>
      </c>
      <c r="O140" t="str">
        <f>IF('1. Live'!O140='check-Jul25'!O140,"",'1. Live'!O140-'check-Jul25'!O140)</f>
        <v/>
      </c>
      <c r="P140" t="str">
        <f>IF('1. Live'!P140='check-Jul25'!P140,"",'1. Live'!P140-'check-Jul25'!P140)</f>
        <v/>
      </c>
      <c r="Q140" t="str">
        <f>IF('1. Live'!Q140='check-Jul25'!Q140,"",'1. Live'!Q140-'check-Jul25'!Q140)</f>
        <v/>
      </c>
      <c r="R140" t="str">
        <f>IF('1. Live'!R140='check-Jul25'!R140,"",'1. Live'!R140-'check-Jul25'!R140)</f>
        <v/>
      </c>
      <c r="S140" t="str">
        <f>IF('1. Live'!S140='check-Jul25'!S140,"",'1. Live'!S140-'check-Jul25'!S140)</f>
        <v/>
      </c>
      <c r="T140" t="str">
        <f>IF('1. Live'!T140='check-Jul25'!T140,"",'1. Live'!T140-'check-Jul25'!T140)</f>
        <v/>
      </c>
      <c r="U140" t="str">
        <f>IF('1. Live'!U140='check-Jul25'!U140,"",'1. Live'!U140-'check-Jul25'!U140)</f>
        <v/>
      </c>
      <c r="V140" t="str">
        <f>IF('1. Live'!V140='check-Jul25'!V140,"",'1. Live'!V140-'check-Jul25'!V140)</f>
        <v/>
      </c>
      <c r="W140" t="str">
        <f>IF('1. Live'!W140='check-Jul25'!W140,"",'1. Live'!W140-'check-Jul25'!W140)</f>
        <v/>
      </c>
      <c r="X140" t="str">
        <f>IF('1. Live'!X140='check-Jul25'!X140,"",'1. Live'!X140-'check-Jul25'!X140)</f>
        <v/>
      </c>
      <c r="Y140" t="str">
        <f>IF('1. Live'!Y140='check-Jul25'!Y140,"",'1. Live'!Y140-'check-Jul25'!Y140)</f>
        <v/>
      </c>
      <c r="Z140" t="str">
        <f>IF('1. Live'!Z140='check-Jul25'!Z140,"",'1. Live'!Z140-'check-Jul25'!Z140)</f>
        <v/>
      </c>
      <c r="AA140" t="str">
        <f>IF('1. Live'!AA140='check-Jul25'!AA140,"",'1. Live'!AA140-'check-Jul25'!AA140)</f>
        <v/>
      </c>
      <c r="AB140" t="str">
        <f>IF('1. Live'!AB140='check-Jul25'!AB140,"",'1. Live'!AB140-'check-Jul25'!AB140)</f>
        <v/>
      </c>
      <c r="AC140" t="str">
        <f>IF('1. Live'!AC140='check-Jul25'!AC140,"",'1. Live'!AC140-'check-Jul25'!AC140)</f>
        <v/>
      </c>
      <c r="AD140" t="str">
        <f>IF('1. Live'!AD140='check-Jul25'!AD140,"",'1. Live'!AD140-'check-Jul25'!AD140)</f>
        <v/>
      </c>
      <c r="AE140" t="str">
        <f>IF('1. Live'!AE140='check-Jul25'!AE140,"",'1. Live'!AE140-'check-Jul25'!AE140)</f>
        <v/>
      </c>
      <c r="AF140" t="str">
        <f>IF('1. Live'!AF140='check-Jul25'!AF140,"",'1. Live'!AF140-'check-Jul25'!AF140)</f>
        <v/>
      </c>
      <c r="AG140" t="str">
        <f>IF('1. Live'!AG140='check-Jul25'!AG140,"",'1. Live'!AG140-'check-Jul25'!AG140)</f>
        <v/>
      </c>
      <c r="AH140" t="str">
        <f>IF('1. Live'!AH140='check-Jul25'!AH140,"",'1. Live'!AH140-'check-Jul25'!AH140)</f>
        <v/>
      </c>
      <c r="AI140" t="str">
        <f>IF('1. Live'!AI140='check-Jul25'!AI140,"",'1. Live'!AI140-'check-Jul25'!AI140)</f>
        <v/>
      </c>
      <c r="AJ140" t="str">
        <f>IF('1. Live'!AJ140='check-Jul25'!AJ140,"",'1. Live'!AJ140-'check-Jul25'!AJ140)</f>
        <v/>
      </c>
      <c r="AK140" t="str">
        <f>IF('1. Live'!AK140='check-Jul25'!AK140,"",'1. Live'!AK140-'check-Jul25'!AK140)</f>
        <v/>
      </c>
      <c r="AL140" t="str">
        <f>IF('1. Live'!AL140='check-Jul25'!AL140,"",'1. Live'!AL140-'check-Jul25'!AL140)</f>
        <v/>
      </c>
      <c r="AM140" t="str">
        <f>IF('1. Live'!AM140='check-Jul25'!AM140,"",'1. Live'!AM140-'check-Jul25'!AM140)</f>
        <v/>
      </c>
      <c r="AN140" t="str">
        <f>IF('1. Live'!AN140='check-Jul25'!AN140,"",'1. Live'!AN140-'check-Jul25'!AN140)</f>
        <v/>
      </c>
      <c r="AO140" t="str">
        <f>IF('1. Live'!AO140='check-Jul25'!AO140,"",'1. Live'!AO140-'check-Jul25'!AO140)</f>
        <v/>
      </c>
      <c r="AP140" t="str">
        <f>IF('1. Live'!AP140='check-Jul25'!AP140,"",'1. Live'!AP140-'check-Jul25'!AP140)</f>
        <v/>
      </c>
      <c r="AQ140" t="str">
        <f>IF('1. Live'!AQ140='check-Jul25'!AQ140,"",'1. Live'!AQ140-'check-Jul25'!AQ140)</f>
        <v/>
      </c>
      <c r="AR140" t="str">
        <f>IF('1. Live'!AR140='check-Jul25'!AR140,"",'1. Live'!AR140-'check-Jul25'!AR140)</f>
        <v/>
      </c>
      <c r="AS140" t="str">
        <f>IF('1. Live'!AS140='check-Jul25'!AS140,"",'1. Live'!AS140-'check-Jul25'!AS140)</f>
        <v/>
      </c>
      <c r="AT140" t="str">
        <f>IF('1. Live'!AT140='check-Jul25'!AT140,"",'1. Live'!AT140-'check-Jul25'!AT140)</f>
        <v/>
      </c>
      <c r="AU140" t="str">
        <f>IF('1. Live'!AU140='check-Jul25'!AU140,"",'1. Live'!AU140-'check-Jul25'!AU140)</f>
        <v/>
      </c>
      <c r="AV140" t="str">
        <f>IF('1. Live'!AV140='check-Jul25'!AV140,"",'1. Live'!AV140-'check-Jul25'!AV140)</f>
        <v/>
      </c>
      <c r="AW140" t="str">
        <f>IF('1. Live'!AW140='check-Jul25'!AW140,"",'1. Live'!AW140-'check-Jul25'!AW140)</f>
        <v/>
      </c>
      <c r="AX140" t="str">
        <f>IF('1. Live'!AX140='check-Jul25'!AX140,"",'1. Live'!AX140-'check-Jul25'!AX140)</f>
        <v/>
      </c>
      <c r="AY140" t="str">
        <f>IF('1. Live'!AY140='check-Jul25'!AY140,"",'1. Live'!AY140-'check-Jul25'!AY140)</f>
        <v/>
      </c>
      <c r="AZ140" t="str">
        <f>IF('1. Live'!AZ140='check-Jul25'!AZ140,"",'1. Live'!AZ140-'check-Jul25'!AZ140)</f>
        <v/>
      </c>
      <c r="BA140" t="str">
        <f>IF('1. Live'!BA140='check-Jul25'!BA140,"",'1. Live'!BA140-'check-Jul25'!BA140)</f>
        <v/>
      </c>
      <c r="BB140" t="str">
        <f>IF('1. Live'!BB140='check-Jul25'!BB140,"",'1. Live'!BB140-'check-Jul25'!BB140)</f>
        <v/>
      </c>
      <c r="BC140" t="str">
        <f>IF('1. Live'!BC140='check-Jul25'!BC140,"",'1. Live'!BC140-'check-Jul25'!BC140)</f>
        <v/>
      </c>
      <c r="BD140" t="str">
        <f>IF('1. Live'!BD140='check-Jul25'!BD140,"",'1. Live'!BD140-'check-Jul25'!BD140)</f>
        <v/>
      </c>
      <c r="BE140" t="str">
        <f>IF('1. Live'!BE140='check-Jul25'!BE140,"",'1. Live'!BE140-'check-Jul25'!BE140)</f>
        <v/>
      </c>
      <c r="BF140" t="str">
        <f>IF('1. Live'!BF140='check-Jul25'!BF140,"",'1. Live'!BF140-'check-Jul25'!BF140)</f>
        <v/>
      </c>
      <c r="BG140" t="str">
        <f>IF('1. Live'!BG140='check-Jul25'!BG140,"",'1. Live'!BG140-'check-Jul25'!BG140)</f>
        <v/>
      </c>
      <c r="BH140" t="str">
        <f>IF('1. Live'!BH140='check-Jul25'!BH140,"",'1. Live'!BH140-'check-Jul25'!BH140)</f>
        <v/>
      </c>
      <c r="BI140" t="str">
        <f>IF('1. Live'!BI140='check-Jul25'!BI140,"",'1. Live'!BI140-'check-Jul25'!BI140)</f>
        <v/>
      </c>
      <c r="BJ140" t="str">
        <f>IF('1. Live'!BJ140='check-Jul25'!BJ140,"",'1. Live'!BJ140-'check-Jul25'!BJ140)</f>
        <v/>
      </c>
      <c r="BK140" t="str">
        <f>IF('1. Live'!BK140='check-Jul25'!BK140,"",'1. Live'!BK140-'check-Jul25'!BK140)</f>
        <v/>
      </c>
      <c r="BL140" t="str">
        <f>IF('1. Live'!BL140='check-Jul25'!BL140,"",'1. Live'!BL140-'check-Jul25'!BL140)</f>
        <v/>
      </c>
      <c r="BM140" t="str">
        <f>IF('1. Live'!BM140='check-Jul25'!BM140,"",'1. Live'!BM140-'check-Jul25'!BM140)</f>
        <v/>
      </c>
      <c r="BN140" t="str">
        <f>IF('1. Live'!BN140='check-Jul25'!BN140,"",'1. Live'!BN140-'check-Jul25'!BN140)</f>
        <v/>
      </c>
      <c r="BO140" t="str">
        <f>IF('1. Live'!BO140='check-Jul25'!BO140,"",'1. Live'!BO140-'check-Jul25'!BO140)</f>
        <v/>
      </c>
      <c r="BP140" t="str">
        <f>IF('1. Live'!BP140='check-Jul25'!BP140,"",'1. Live'!BP140-'check-Jul25'!BP140)</f>
        <v/>
      </c>
      <c r="BQ140" t="str">
        <f>IF('1. Live'!BQ140='check-Jul25'!BQ140,"",'1. Live'!BQ140-'check-Jul25'!BQ140)</f>
        <v/>
      </c>
      <c r="BR140" t="str">
        <f>IF('1. Live'!BR140='check-Jul25'!BR140,"",'1. Live'!BR140-'check-Jul25'!BR140)</f>
        <v/>
      </c>
      <c r="BS140" t="str">
        <f>IF('1. Live'!BS140='check-Jul25'!BS140,"",'1. Live'!BS140-'check-Jul25'!BS140)</f>
        <v/>
      </c>
      <c r="BT140" t="str">
        <f>IF('1. Live'!BT140='check-Jul25'!BT140,"",'1. Live'!BT140-'check-Jul25'!BT140)</f>
        <v/>
      </c>
      <c r="BU140" t="str">
        <f>IF('1. Live'!BU140='check-Jul25'!BU140,"",'1. Live'!BU140-'check-Jul25'!BU140)</f>
        <v/>
      </c>
      <c r="BV140" t="str">
        <f>IF('1. Live'!BV140='check-Jul25'!BV140,"",'1. Live'!BV140-'check-Jul25'!BV140)</f>
        <v/>
      </c>
      <c r="BW140" t="str">
        <f>IF('1. Live'!BW140='check-Jul25'!BW140,"",'1. Live'!BW140-'check-Jul25'!BW140)</f>
        <v/>
      </c>
      <c r="BX140" t="str">
        <f>IF('1. Live'!BX140='check-Jul25'!BX140,"",'1. Live'!BX140-'check-Jul25'!BX140)</f>
        <v/>
      </c>
      <c r="BY140" t="str">
        <f>IF('1. Live'!BY140='check-Jul25'!BY140,"",'1. Live'!BY140-'check-Jul25'!BY140)</f>
        <v/>
      </c>
      <c r="BZ140" t="str">
        <f>IF('1. Live'!BZ140='check-Jul25'!BZ140,"",'1. Live'!BZ140-'check-Jul25'!BZ140)</f>
        <v/>
      </c>
      <c r="CA140" t="str">
        <f>IF('1. Live'!CA140='check-Jul25'!CA140,"",'1. Live'!CA140-'check-Jul25'!CA140)</f>
        <v/>
      </c>
      <c r="CB140" t="str">
        <f>IF('1. Live'!CB140='check-Jul25'!CB140,"",'1. Live'!CB140-'check-Jul25'!CB140)</f>
        <v/>
      </c>
      <c r="CC140" t="str">
        <f>IF('1. Live'!CC140='check-Jul25'!CC140,"",'1. Live'!CC140-'check-Jul25'!CC140)</f>
        <v/>
      </c>
      <c r="CD140" t="str">
        <f>IF('1. Live'!CD140='check-Jul25'!CD140,"",'1. Live'!CD140-'check-Jul25'!CD140)</f>
        <v/>
      </c>
      <c r="CE140" t="str">
        <f>IF('1. Live'!CE140='check-Jul25'!CE140,"",'1. Live'!CE140-'check-Jul25'!CE140)</f>
        <v/>
      </c>
      <c r="CF140" t="str">
        <f>IF('1. Live'!CF140='check-Jul25'!CF140,"",'1. Live'!CF140-'check-Jul25'!CF140)</f>
        <v/>
      </c>
      <c r="CG140" t="str">
        <f>IF('1. Live'!CG140='check-Jul25'!CG140,"",'1. Live'!CG140-'check-Jul25'!CG140)</f>
        <v/>
      </c>
      <c r="CH140" t="str">
        <f>IF('1. Live'!CH140='check-Jul25'!CH140,"",'1. Live'!CH140-'check-Jul25'!CH140)</f>
        <v/>
      </c>
      <c r="CI140" t="str">
        <f>IF('1. Live'!CI140='check-Jul25'!CI140,"",'1. Live'!CI140-'check-Jul25'!CI140)</f>
        <v/>
      </c>
      <c r="CJ140" t="str">
        <f>IF('1. Live'!CJ140='check-Jul25'!CJ140,"",'1. Live'!CJ140-'check-Jul25'!CJ140)</f>
        <v/>
      </c>
      <c r="CK140" t="str">
        <f>IF('1. Live'!CK140='check-Jul25'!CK140,"",'1. Live'!CK140-'check-Jul25'!CK140)</f>
        <v/>
      </c>
      <c r="CL140" t="str">
        <f>IF('1. Live'!CL140='check-Jul25'!CL140,"",'1. Live'!CL140-'check-Jul25'!CL140)</f>
        <v/>
      </c>
      <c r="CM140" t="str">
        <f>IF('1. Live'!CM140='check-Jul25'!CM140,"",'1. Live'!CM140-'check-Jul25'!CM140)</f>
        <v/>
      </c>
      <c r="CN140" t="str">
        <f>IF('1. Live'!CN140='check-Jul25'!CN140,"",'1. Live'!CN140-'check-Jul25'!CN140)</f>
        <v/>
      </c>
      <c r="CO140" t="str">
        <f>IF('1. Live'!CO140='check-Jul25'!CO140,"",'1. Live'!CO140-'check-Jul25'!CO140)</f>
        <v/>
      </c>
      <c r="CP140" t="str">
        <f>IF('1. Live'!CP140='check-Jul25'!CP140,"",'1. Live'!CP140-'check-Jul25'!CP140)</f>
        <v/>
      </c>
      <c r="CQ140" t="str">
        <f>IF('1. Live'!CQ140='check-Jul25'!CQ140,"",'1. Live'!CQ140-'check-Jul25'!CQ140)</f>
        <v/>
      </c>
      <c r="CR140" t="str">
        <f>IF('1. Live'!CR140='check-Jul25'!CR140,"",'1. Live'!CR140-'check-Jul25'!CR140)</f>
        <v/>
      </c>
      <c r="CS140" t="str">
        <f>IF('1. Live'!CS140='check-Jul25'!CS140,"",'1. Live'!CS140-'check-Jul25'!CS140)</f>
        <v/>
      </c>
      <c r="CT140" t="str">
        <f>IF('1. Live'!CT140='check-Jul25'!CT140,"",'1. Live'!CT140-'check-Jul25'!CT140)</f>
        <v/>
      </c>
      <c r="CU140" t="str">
        <f>IF('1. Live'!CU140='check-Jul25'!CU140,"",'1. Live'!CU140-'check-Jul25'!CU140)</f>
        <v/>
      </c>
      <c r="CV140" t="str">
        <f>IF('1. Live'!CV140='check-Jul25'!CV140,"",'1. Live'!CV140-'check-Jul25'!CV140)</f>
        <v/>
      </c>
      <c r="CW140" t="str">
        <f>IF('1. Live'!CW140='check-Jul25'!CW140,"",'1. Live'!CW140-'check-Jul25'!CW140)</f>
        <v/>
      </c>
    </row>
    <row r="141" spans="10:101">
      <c r="J141" t="str">
        <f>IF('1. Live'!J141='check-Jul25'!J141,"",'1. Live'!J141-'check-Jul25'!J141)</f>
        <v/>
      </c>
      <c r="K141" t="str">
        <f>IF('1. Live'!K141='check-Jul25'!K141,"",'1. Live'!K141-'check-Jul25'!K141)</f>
        <v/>
      </c>
      <c r="L141" t="str">
        <f>IF('1. Live'!L141='check-Jul25'!L141,"",'1. Live'!L141-'check-Jul25'!L141)</f>
        <v/>
      </c>
      <c r="M141" t="str">
        <f>IF('1. Live'!M141='check-Jul25'!M141,"",'1. Live'!M141-'check-Jul25'!M141)</f>
        <v/>
      </c>
      <c r="N141" t="str">
        <f>IF('1. Live'!N141='check-Jul25'!N141,"",'1. Live'!N141-'check-Jul25'!N141)</f>
        <v/>
      </c>
      <c r="O141" t="str">
        <f>IF('1. Live'!O141='check-Jul25'!O141,"",'1. Live'!O141-'check-Jul25'!O141)</f>
        <v/>
      </c>
      <c r="P141" t="str">
        <f>IF('1. Live'!P141='check-Jul25'!P141,"",'1. Live'!P141-'check-Jul25'!P141)</f>
        <v/>
      </c>
      <c r="Q141" t="str">
        <f>IF('1. Live'!Q141='check-Jul25'!Q141,"",'1. Live'!Q141-'check-Jul25'!Q141)</f>
        <v/>
      </c>
      <c r="R141" t="str">
        <f>IF('1. Live'!R141='check-Jul25'!R141,"",'1. Live'!R141-'check-Jul25'!R141)</f>
        <v/>
      </c>
      <c r="S141" t="str">
        <f>IF('1. Live'!S141='check-Jul25'!S141,"",'1. Live'!S141-'check-Jul25'!S141)</f>
        <v/>
      </c>
      <c r="T141" t="str">
        <f>IF('1. Live'!T141='check-Jul25'!T141,"",'1. Live'!T141-'check-Jul25'!T141)</f>
        <v/>
      </c>
      <c r="U141" t="str">
        <f>IF('1. Live'!U141='check-Jul25'!U141,"",'1. Live'!U141-'check-Jul25'!U141)</f>
        <v/>
      </c>
      <c r="V141" t="str">
        <f>IF('1. Live'!V141='check-Jul25'!V141,"",'1. Live'!V141-'check-Jul25'!V141)</f>
        <v/>
      </c>
      <c r="W141" t="str">
        <f>IF('1. Live'!W141='check-Jul25'!W141,"",'1. Live'!W141-'check-Jul25'!W141)</f>
        <v/>
      </c>
      <c r="X141" t="str">
        <f>IF('1. Live'!X141='check-Jul25'!X141,"",'1. Live'!X141-'check-Jul25'!X141)</f>
        <v/>
      </c>
      <c r="Y141" t="str">
        <f>IF('1. Live'!Y141='check-Jul25'!Y141,"",'1. Live'!Y141-'check-Jul25'!Y141)</f>
        <v/>
      </c>
      <c r="Z141" t="str">
        <f>IF('1. Live'!Z141='check-Jul25'!Z141,"",'1. Live'!Z141-'check-Jul25'!Z141)</f>
        <v/>
      </c>
      <c r="AA141" t="str">
        <f>IF('1. Live'!AA141='check-Jul25'!AA141,"",'1. Live'!AA141-'check-Jul25'!AA141)</f>
        <v/>
      </c>
      <c r="AB141" t="str">
        <f>IF('1. Live'!AB141='check-Jul25'!AB141,"",'1. Live'!AB141-'check-Jul25'!AB141)</f>
        <v/>
      </c>
      <c r="AC141" t="str">
        <f>IF('1. Live'!AC141='check-Jul25'!AC141,"",'1. Live'!AC141-'check-Jul25'!AC141)</f>
        <v/>
      </c>
      <c r="AD141" t="str">
        <f>IF('1. Live'!AD141='check-Jul25'!AD141,"",'1. Live'!AD141-'check-Jul25'!AD141)</f>
        <v/>
      </c>
      <c r="AE141" t="str">
        <f>IF('1. Live'!AE141='check-Jul25'!AE141,"",'1. Live'!AE141-'check-Jul25'!AE141)</f>
        <v/>
      </c>
      <c r="AF141" t="str">
        <f>IF('1. Live'!AF141='check-Jul25'!AF141,"",'1. Live'!AF141-'check-Jul25'!AF141)</f>
        <v/>
      </c>
      <c r="AG141" t="str">
        <f>IF('1. Live'!AG141='check-Jul25'!AG141,"",'1. Live'!AG141-'check-Jul25'!AG141)</f>
        <v/>
      </c>
      <c r="AH141" t="str">
        <f>IF('1. Live'!AH141='check-Jul25'!AH141,"",'1. Live'!AH141-'check-Jul25'!AH141)</f>
        <v/>
      </c>
      <c r="AI141" t="str">
        <f>IF('1. Live'!AI141='check-Jul25'!AI141,"",'1. Live'!AI141-'check-Jul25'!AI141)</f>
        <v/>
      </c>
      <c r="AJ141" t="str">
        <f>IF('1. Live'!AJ141='check-Jul25'!AJ141,"",'1. Live'!AJ141-'check-Jul25'!AJ141)</f>
        <v/>
      </c>
      <c r="AK141" t="str">
        <f>IF('1. Live'!AK141='check-Jul25'!AK141,"",'1. Live'!AK141-'check-Jul25'!AK141)</f>
        <v/>
      </c>
      <c r="AL141" t="str">
        <f>IF('1. Live'!AL141='check-Jul25'!AL141,"",'1. Live'!AL141-'check-Jul25'!AL141)</f>
        <v/>
      </c>
      <c r="AM141" t="str">
        <f>IF('1. Live'!AM141='check-Jul25'!AM141,"",'1. Live'!AM141-'check-Jul25'!AM141)</f>
        <v/>
      </c>
      <c r="AN141" t="str">
        <f>IF('1. Live'!AN141='check-Jul25'!AN141,"",'1. Live'!AN141-'check-Jul25'!AN141)</f>
        <v/>
      </c>
      <c r="AO141" t="str">
        <f>IF('1. Live'!AO141='check-Jul25'!AO141,"",'1. Live'!AO141-'check-Jul25'!AO141)</f>
        <v/>
      </c>
      <c r="AP141" t="str">
        <f>IF('1. Live'!AP141='check-Jul25'!AP141,"",'1. Live'!AP141-'check-Jul25'!AP141)</f>
        <v/>
      </c>
      <c r="AQ141" t="str">
        <f>IF('1. Live'!AQ141='check-Jul25'!AQ141,"",'1. Live'!AQ141-'check-Jul25'!AQ141)</f>
        <v/>
      </c>
      <c r="AR141" t="str">
        <f>IF('1. Live'!AR141='check-Jul25'!AR141,"",'1. Live'!AR141-'check-Jul25'!AR141)</f>
        <v/>
      </c>
      <c r="AS141" t="str">
        <f>IF('1. Live'!AS141='check-Jul25'!AS141,"",'1. Live'!AS141-'check-Jul25'!AS141)</f>
        <v/>
      </c>
      <c r="AT141" t="str">
        <f>IF('1. Live'!AT141='check-Jul25'!AT141,"",'1. Live'!AT141-'check-Jul25'!AT141)</f>
        <v/>
      </c>
      <c r="AU141" t="str">
        <f>IF('1. Live'!AU141='check-Jul25'!AU141,"",'1. Live'!AU141-'check-Jul25'!AU141)</f>
        <v/>
      </c>
      <c r="AV141" t="str">
        <f>IF('1. Live'!AV141='check-Jul25'!AV141,"",'1. Live'!AV141-'check-Jul25'!AV141)</f>
        <v/>
      </c>
      <c r="AW141" t="str">
        <f>IF('1. Live'!AW141='check-Jul25'!AW141,"",'1. Live'!AW141-'check-Jul25'!AW141)</f>
        <v/>
      </c>
      <c r="AX141" t="str">
        <f>IF('1. Live'!AX141='check-Jul25'!AX141,"",'1. Live'!AX141-'check-Jul25'!AX141)</f>
        <v/>
      </c>
      <c r="AY141" t="str">
        <f>IF('1. Live'!AY141='check-Jul25'!AY141,"",'1. Live'!AY141-'check-Jul25'!AY141)</f>
        <v/>
      </c>
      <c r="AZ141" t="str">
        <f>IF('1. Live'!AZ141='check-Jul25'!AZ141,"",'1. Live'!AZ141-'check-Jul25'!AZ141)</f>
        <v/>
      </c>
      <c r="BA141" t="str">
        <f>IF('1. Live'!BA141='check-Jul25'!BA141,"",'1. Live'!BA141-'check-Jul25'!BA141)</f>
        <v/>
      </c>
      <c r="BB141" t="str">
        <f>IF('1. Live'!BB141='check-Jul25'!BB141,"",'1. Live'!BB141-'check-Jul25'!BB141)</f>
        <v/>
      </c>
      <c r="BC141" t="str">
        <f>IF('1. Live'!BC141='check-Jul25'!BC141,"",'1. Live'!BC141-'check-Jul25'!BC141)</f>
        <v/>
      </c>
      <c r="BD141" t="str">
        <f>IF('1. Live'!BD141='check-Jul25'!BD141,"",'1. Live'!BD141-'check-Jul25'!BD141)</f>
        <v/>
      </c>
      <c r="BE141" t="str">
        <f>IF('1. Live'!BE141='check-Jul25'!BE141,"",'1. Live'!BE141-'check-Jul25'!BE141)</f>
        <v/>
      </c>
      <c r="BF141" t="str">
        <f>IF('1. Live'!BF141='check-Jul25'!BF141,"",'1. Live'!BF141-'check-Jul25'!BF141)</f>
        <v/>
      </c>
      <c r="BG141" t="str">
        <f>IF('1. Live'!BG141='check-Jul25'!BG141,"",'1. Live'!BG141-'check-Jul25'!BG141)</f>
        <v/>
      </c>
      <c r="BH141" t="str">
        <f>IF('1. Live'!BH141='check-Jul25'!BH141,"",'1. Live'!BH141-'check-Jul25'!BH141)</f>
        <v/>
      </c>
      <c r="BI141" t="str">
        <f>IF('1. Live'!BI141='check-Jul25'!BI141,"",'1. Live'!BI141-'check-Jul25'!BI141)</f>
        <v/>
      </c>
      <c r="BJ141" t="str">
        <f>IF('1. Live'!BJ141='check-Jul25'!BJ141,"",'1. Live'!BJ141-'check-Jul25'!BJ141)</f>
        <v/>
      </c>
      <c r="BK141" t="str">
        <f>IF('1. Live'!BK141='check-Jul25'!BK141,"",'1. Live'!BK141-'check-Jul25'!BK141)</f>
        <v/>
      </c>
      <c r="BL141" t="str">
        <f>IF('1. Live'!BL141='check-Jul25'!BL141,"",'1. Live'!BL141-'check-Jul25'!BL141)</f>
        <v/>
      </c>
      <c r="BM141" t="str">
        <f>IF('1. Live'!BM141='check-Jul25'!BM141,"",'1. Live'!BM141-'check-Jul25'!BM141)</f>
        <v/>
      </c>
      <c r="BN141" t="str">
        <f>IF('1. Live'!BN141='check-Jul25'!BN141,"",'1. Live'!BN141-'check-Jul25'!BN141)</f>
        <v/>
      </c>
      <c r="BO141" t="str">
        <f>IF('1. Live'!BO141='check-Jul25'!BO141,"",'1. Live'!BO141-'check-Jul25'!BO141)</f>
        <v/>
      </c>
      <c r="BP141" t="str">
        <f>IF('1. Live'!BP141='check-Jul25'!BP141,"",'1. Live'!BP141-'check-Jul25'!BP141)</f>
        <v/>
      </c>
      <c r="BQ141" t="str">
        <f>IF('1. Live'!BQ141='check-Jul25'!BQ141,"",'1. Live'!BQ141-'check-Jul25'!BQ141)</f>
        <v/>
      </c>
      <c r="BR141" t="str">
        <f>IF('1. Live'!BR141='check-Jul25'!BR141,"",'1. Live'!BR141-'check-Jul25'!BR141)</f>
        <v/>
      </c>
      <c r="BS141" t="str">
        <f>IF('1. Live'!BS141='check-Jul25'!BS141,"",'1. Live'!BS141-'check-Jul25'!BS141)</f>
        <v/>
      </c>
      <c r="BT141" t="str">
        <f>IF('1. Live'!BT141='check-Jul25'!BT141,"",'1. Live'!BT141-'check-Jul25'!BT141)</f>
        <v/>
      </c>
      <c r="BU141" t="str">
        <f>IF('1. Live'!BU141='check-Jul25'!BU141,"",'1. Live'!BU141-'check-Jul25'!BU141)</f>
        <v/>
      </c>
      <c r="BV141" t="str">
        <f>IF('1. Live'!BV141='check-Jul25'!BV141,"",'1. Live'!BV141-'check-Jul25'!BV141)</f>
        <v/>
      </c>
      <c r="BW141" t="str">
        <f>IF('1. Live'!BW141='check-Jul25'!BW141,"",'1. Live'!BW141-'check-Jul25'!BW141)</f>
        <v/>
      </c>
      <c r="BX141" t="str">
        <f>IF('1. Live'!BX141='check-Jul25'!BX141,"",'1. Live'!BX141-'check-Jul25'!BX141)</f>
        <v/>
      </c>
      <c r="BY141" t="str">
        <f>IF('1. Live'!BY141='check-Jul25'!BY141,"",'1. Live'!BY141-'check-Jul25'!BY141)</f>
        <v/>
      </c>
      <c r="BZ141" t="str">
        <f>IF('1. Live'!BZ141='check-Jul25'!BZ141,"",'1. Live'!BZ141-'check-Jul25'!BZ141)</f>
        <v/>
      </c>
      <c r="CA141" t="str">
        <f>IF('1. Live'!CA141='check-Jul25'!CA141,"",'1. Live'!CA141-'check-Jul25'!CA141)</f>
        <v/>
      </c>
      <c r="CB141" t="str">
        <f>IF('1. Live'!CB141='check-Jul25'!CB141,"",'1. Live'!CB141-'check-Jul25'!CB141)</f>
        <v/>
      </c>
      <c r="CC141" t="str">
        <f>IF('1. Live'!CC141='check-Jul25'!CC141,"",'1. Live'!CC141-'check-Jul25'!CC141)</f>
        <v/>
      </c>
      <c r="CD141" t="str">
        <f>IF('1. Live'!CD141='check-Jul25'!CD141,"",'1. Live'!CD141-'check-Jul25'!CD141)</f>
        <v/>
      </c>
      <c r="CE141" t="str">
        <f>IF('1. Live'!CE141='check-Jul25'!CE141,"",'1. Live'!CE141-'check-Jul25'!CE141)</f>
        <v/>
      </c>
      <c r="CF141" t="str">
        <f>IF('1. Live'!CF141='check-Jul25'!CF141,"",'1. Live'!CF141-'check-Jul25'!CF141)</f>
        <v/>
      </c>
      <c r="CG141" t="str">
        <f>IF('1. Live'!CG141='check-Jul25'!CG141,"",'1. Live'!CG141-'check-Jul25'!CG141)</f>
        <v/>
      </c>
      <c r="CH141" t="str">
        <f>IF('1. Live'!CH141='check-Jul25'!CH141,"",'1. Live'!CH141-'check-Jul25'!CH141)</f>
        <v/>
      </c>
      <c r="CI141" t="str">
        <f>IF('1. Live'!CI141='check-Jul25'!CI141,"",'1. Live'!CI141-'check-Jul25'!CI141)</f>
        <v/>
      </c>
      <c r="CJ141" t="str">
        <f>IF('1. Live'!CJ141='check-Jul25'!CJ141,"",'1. Live'!CJ141-'check-Jul25'!CJ141)</f>
        <v/>
      </c>
      <c r="CK141" t="str">
        <f>IF('1. Live'!CK141='check-Jul25'!CK141,"",'1. Live'!CK141-'check-Jul25'!CK141)</f>
        <v/>
      </c>
      <c r="CL141" t="str">
        <f>IF('1. Live'!CL141='check-Jul25'!CL141,"",'1. Live'!CL141-'check-Jul25'!CL141)</f>
        <v/>
      </c>
      <c r="CM141" t="str">
        <f>IF('1. Live'!CM141='check-Jul25'!CM141,"",'1. Live'!CM141-'check-Jul25'!CM141)</f>
        <v/>
      </c>
      <c r="CN141" t="str">
        <f>IF('1. Live'!CN141='check-Jul25'!CN141,"",'1. Live'!CN141-'check-Jul25'!CN141)</f>
        <v/>
      </c>
      <c r="CO141" t="str">
        <f>IF('1. Live'!CO141='check-Jul25'!CO141,"",'1. Live'!CO141-'check-Jul25'!CO141)</f>
        <v/>
      </c>
      <c r="CP141" t="str">
        <f>IF('1. Live'!CP141='check-Jul25'!CP141,"",'1. Live'!CP141-'check-Jul25'!CP141)</f>
        <v/>
      </c>
      <c r="CQ141" t="str">
        <f>IF('1. Live'!CQ141='check-Jul25'!CQ141,"",'1. Live'!CQ141-'check-Jul25'!CQ141)</f>
        <v/>
      </c>
      <c r="CR141" t="str">
        <f>IF('1. Live'!CR141='check-Jul25'!CR141,"",'1. Live'!CR141-'check-Jul25'!CR141)</f>
        <v/>
      </c>
      <c r="CS141" t="str">
        <f>IF('1. Live'!CS141='check-Jul25'!CS141,"",'1. Live'!CS141-'check-Jul25'!CS141)</f>
        <v/>
      </c>
      <c r="CT141" t="str">
        <f>IF('1. Live'!CT141='check-Jul25'!CT141,"",'1. Live'!CT141-'check-Jul25'!CT141)</f>
        <v/>
      </c>
      <c r="CU141" t="str">
        <f>IF('1. Live'!CU141='check-Jul25'!CU141,"",'1. Live'!CU141-'check-Jul25'!CU141)</f>
        <v/>
      </c>
      <c r="CV141" t="str">
        <f>IF('1. Live'!CV141='check-Jul25'!CV141,"",'1. Live'!CV141-'check-Jul25'!CV141)</f>
        <v/>
      </c>
      <c r="CW141" t="str">
        <f>IF('1. Live'!CW141='check-Jul25'!CW141,"",'1. Live'!CW141-'check-Jul25'!CW141)</f>
        <v/>
      </c>
    </row>
    <row r="142" spans="10:101">
      <c r="J142" t="str">
        <f>IF('1. Live'!J142='check-Jul25'!J142,"",'1. Live'!J142-'check-Jul25'!J142)</f>
        <v/>
      </c>
      <c r="K142" t="str">
        <f>IF('1. Live'!K142='check-Jul25'!K142,"",'1. Live'!K142-'check-Jul25'!K142)</f>
        <v/>
      </c>
      <c r="L142" t="str">
        <f>IF('1. Live'!L142='check-Jul25'!L142,"",'1. Live'!L142-'check-Jul25'!L142)</f>
        <v/>
      </c>
      <c r="M142" t="str">
        <f>IF('1. Live'!M142='check-Jul25'!M142,"",'1. Live'!M142-'check-Jul25'!M142)</f>
        <v/>
      </c>
      <c r="N142" t="str">
        <f>IF('1. Live'!N142='check-Jul25'!N142,"",'1. Live'!N142-'check-Jul25'!N142)</f>
        <v/>
      </c>
      <c r="O142" t="str">
        <f>IF('1. Live'!O142='check-Jul25'!O142,"",'1. Live'!O142-'check-Jul25'!O142)</f>
        <v/>
      </c>
      <c r="P142" t="str">
        <f>IF('1. Live'!P142='check-Jul25'!P142,"",'1. Live'!P142-'check-Jul25'!P142)</f>
        <v/>
      </c>
      <c r="Q142" t="str">
        <f>IF('1. Live'!Q142='check-Jul25'!Q142,"",'1. Live'!Q142-'check-Jul25'!Q142)</f>
        <v/>
      </c>
      <c r="R142" t="str">
        <f>IF('1. Live'!R142='check-Jul25'!R142,"",'1. Live'!R142-'check-Jul25'!R142)</f>
        <v/>
      </c>
      <c r="S142" t="str">
        <f>IF('1. Live'!S142='check-Jul25'!S142,"",'1. Live'!S142-'check-Jul25'!S142)</f>
        <v/>
      </c>
      <c r="T142" t="str">
        <f>IF('1. Live'!T142='check-Jul25'!T142,"",'1. Live'!T142-'check-Jul25'!T142)</f>
        <v/>
      </c>
      <c r="U142" t="str">
        <f>IF('1. Live'!U142='check-Jul25'!U142,"",'1. Live'!U142-'check-Jul25'!U142)</f>
        <v/>
      </c>
      <c r="V142" t="str">
        <f>IF('1. Live'!V142='check-Jul25'!V142,"",'1. Live'!V142-'check-Jul25'!V142)</f>
        <v/>
      </c>
      <c r="W142" t="str">
        <f>IF('1. Live'!W142='check-Jul25'!W142,"",'1. Live'!W142-'check-Jul25'!W142)</f>
        <v/>
      </c>
      <c r="X142" t="str">
        <f>IF('1. Live'!X142='check-Jul25'!X142,"",'1. Live'!X142-'check-Jul25'!X142)</f>
        <v/>
      </c>
      <c r="Y142" t="str">
        <f>IF('1. Live'!Y142='check-Jul25'!Y142,"",'1. Live'!Y142-'check-Jul25'!Y142)</f>
        <v/>
      </c>
      <c r="Z142" t="str">
        <f>IF('1. Live'!Z142='check-Jul25'!Z142,"",'1. Live'!Z142-'check-Jul25'!Z142)</f>
        <v/>
      </c>
      <c r="AA142" t="str">
        <f>IF('1. Live'!AA142='check-Jul25'!AA142,"",'1. Live'!AA142-'check-Jul25'!AA142)</f>
        <v/>
      </c>
      <c r="AB142" t="str">
        <f>IF('1. Live'!AB142='check-Jul25'!AB142,"",'1. Live'!AB142-'check-Jul25'!AB142)</f>
        <v/>
      </c>
      <c r="AC142" t="str">
        <f>IF('1. Live'!AC142='check-Jul25'!AC142,"",'1. Live'!AC142-'check-Jul25'!AC142)</f>
        <v/>
      </c>
      <c r="AD142" t="str">
        <f>IF('1. Live'!AD142='check-Jul25'!AD142,"",'1. Live'!AD142-'check-Jul25'!AD142)</f>
        <v/>
      </c>
      <c r="AE142" t="str">
        <f>IF('1. Live'!AE142='check-Jul25'!AE142,"",'1. Live'!AE142-'check-Jul25'!AE142)</f>
        <v/>
      </c>
      <c r="AF142" t="str">
        <f>IF('1. Live'!AF142='check-Jul25'!AF142,"",'1. Live'!AF142-'check-Jul25'!AF142)</f>
        <v/>
      </c>
      <c r="AG142" t="str">
        <f>IF('1. Live'!AG142='check-Jul25'!AG142,"",'1. Live'!AG142-'check-Jul25'!AG142)</f>
        <v/>
      </c>
      <c r="AH142" t="str">
        <f>IF('1. Live'!AH142='check-Jul25'!AH142,"",'1. Live'!AH142-'check-Jul25'!AH142)</f>
        <v/>
      </c>
      <c r="AI142" t="str">
        <f>IF('1. Live'!AI142='check-Jul25'!AI142,"",'1. Live'!AI142-'check-Jul25'!AI142)</f>
        <v/>
      </c>
      <c r="AJ142" t="str">
        <f>IF('1. Live'!AJ142='check-Jul25'!AJ142,"",'1. Live'!AJ142-'check-Jul25'!AJ142)</f>
        <v/>
      </c>
      <c r="AK142" t="str">
        <f>IF('1. Live'!AK142='check-Jul25'!AK142,"",'1. Live'!AK142-'check-Jul25'!AK142)</f>
        <v/>
      </c>
      <c r="AL142" t="str">
        <f>IF('1. Live'!AL142='check-Jul25'!AL142,"",'1. Live'!AL142-'check-Jul25'!AL142)</f>
        <v/>
      </c>
      <c r="AM142" t="str">
        <f>IF('1. Live'!AM142='check-Jul25'!AM142,"",'1. Live'!AM142-'check-Jul25'!AM142)</f>
        <v/>
      </c>
      <c r="AN142" t="str">
        <f>IF('1. Live'!AN142='check-Jul25'!AN142,"",'1. Live'!AN142-'check-Jul25'!AN142)</f>
        <v/>
      </c>
      <c r="AO142" t="str">
        <f>IF('1. Live'!AO142='check-Jul25'!AO142,"",'1. Live'!AO142-'check-Jul25'!AO142)</f>
        <v/>
      </c>
      <c r="AP142" t="str">
        <f>IF('1. Live'!AP142='check-Jul25'!AP142,"",'1. Live'!AP142-'check-Jul25'!AP142)</f>
        <v/>
      </c>
      <c r="AQ142" t="str">
        <f>IF('1. Live'!AQ142='check-Jul25'!AQ142,"",'1. Live'!AQ142-'check-Jul25'!AQ142)</f>
        <v/>
      </c>
      <c r="AR142" t="str">
        <f>IF('1. Live'!AR142='check-Jul25'!AR142,"",'1. Live'!AR142-'check-Jul25'!AR142)</f>
        <v/>
      </c>
      <c r="AS142" t="str">
        <f>IF('1. Live'!AS142='check-Jul25'!AS142,"",'1. Live'!AS142-'check-Jul25'!AS142)</f>
        <v/>
      </c>
      <c r="AT142" t="str">
        <f>IF('1. Live'!AT142='check-Jul25'!AT142,"",'1. Live'!AT142-'check-Jul25'!AT142)</f>
        <v/>
      </c>
      <c r="AU142" t="str">
        <f>IF('1. Live'!AU142='check-Jul25'!AU142,"",'1. Live'!AU142-'check-Jul25'!AU142)</f>
        <v/>
      </c>
      <c r="AV142" t="str">
        <f>IF('1. Live'!AV142='check-Jul25'!AV142,"",'1. Live'!AV142-'check-Jul25'!AV142)</f>
        <v/>
      </c>
      <c r="AW142" t="str">
        <f>IF('1. Live'!AW142='check-Jul25'!AW142,"",'1. Live'!AW142-'check-Jul25'!AW142)</f>
        <v/>
      </c>
      <c r="AX142" t="str">
        <f>IF('1. Live'!AX142='check-Jul25'!AX142,"",'1. Live'!AX142-'check-Jul25'!AX142)</f>
        <v/>
      </c>
      <c r="AY142" t="str">
        <f>IF('1. Live'!AY142='check-Jul25'!AY142,"",'1. Live'!AY142-'check-Jul25'!AY142)</f>
        <v/>
      </c>
      <c r="AZ142" t="str">
        <f>IF('1. Live'!AZ142='check-Jul25'!AZ142,"",'1. Live'!AZ142-'check-Jul25'!AZ142)</f>
        <v/>
      </c>
      <c r="BA142" t="str">
        <f>IF('1. Live'!BA142='check-Jul25'!BA142,"",'1. Live'!BA142-'check-Jul25'!BA142)</f>
        <v/>
      </c>
      <c r="BB142" t="str">
        <f>IF('1. Live'!BB142='check-Jul25'!BB142,"",'1. Live'!BB142-'check-Jul25'!BB142)</f>
        <v/>
      </c>
      <c r="BC142" t="str">
        <f>IF('1. Live'!BC142='check-Jul25'!BC142,"",'1. Live'!BC142-'check-Jul25'!BC142)</f>
        <v/>
      </c>
      <c r="BD142" t="str">
        <f>IF('1. Live'!BD142='check-Jul25'!BD142,"",'1. Live'!BD142-'check-Jul25'!BD142)</f>
        <v/>
      </c>
      <c r="BE142" t="str">
        <f>IF('1. Live'!BE142='check-Jul25'!BE142,"",'1. Live'!BE142-'check-Jul25'!BE142)</f>
        <v/>
      </c>
      <c r="BF142" t="str">
        <f>IF('1. Live'!BF142='check-Jul25'!BF142,"",'1. Live'!BF142-'check-Jul25'!BF142)</f>
        <v/>
      </c>
      <c r="BG142" t="str">
        <f>IF('1. Live'!BG142='check-Jul25'!BG142,"",'1. Live'!BG142-'check-Jul25'!BG142)</f>
        <v/>
      </c>
      <c r="BH142" t="str">
        <f>IF('1. Live'!BH142='check-Jul25'!BH142,"",'1. Live'!BH142-'check-Jul25'!BH142)</f>
        <v/>
      </c>
      <c r="BI142" t="str">
        <f>IF('1. Live'!BI142='check-Jul25'!BI142,"",'1. Live'!BI142-'check-Jul25'!BI142)</f>
        <v/>
      </c>
      <c r="BJ142" t="str">
        <f>IF('1. Live'!BJ142='check-Jul25'!BJ142,"",'1. Live'!BJ142-'check-Jul25'!BJ142)</f>
        <v/>
      </c>
      <c r="BK142" t="str">
        <f>IF('1. Live'!BK142='check-Jul25'!BK142,"",'1. Live'!BK142-'check-Jul25'!BK142)</f>
        <v/>
      </c>
      <c r="BL142" t="str">
        <f>IF('1. Live'!BL142='check-Jul25'!BL142,"",'1. Live'!BL142-'check-Jul25'!BL142)</f>
        <v/>
      </c>
      <c r="BM142" t="str">
        <f>IF('1. Live'!BM142='check-Jul25'!BM142,"",'1. Live'!BM142-'check-Jul25'!BM142)</f>
        <v/>
      </c>
      <c r="BN142" t="str">
        <f>IF('1. Live'!BN142='check-Jul25'!BN142,"",'1. Live'!BN142-'check-Jul25'!BN142)</f>
        <v/>
      </c>
      <c r="BO142" t="str">
        <f>IF('1. Live'!BO142='check-Jul25'!BO142,"",'1. Live'!BO142-'check-Jul25'!BO142)</f>
        <v/>
      </c>
      <c r="BP142" t="str">
        <f>IF('1. Live'!BP142='check-Jul25'!BP142,"",'1. Live'!BP142-'check-Jul25'!BP142)</f>
        <v/>
      </c>
      <c r="BQ142" t="str">
        <f>IF('1. Live'!BQ142='check-Jul25'!BQ142,"",'1. Live'!BQ142-'check-Jul25'!BQ142)</f>
        <v/>
      </c>
      <c r="BR142" t="str">
        <f>IF('1. Live'!BR142='check-Jul25'!BR142,"",'1. Live'!BR142-'check-Jul25'!BR142)</f>
        <v/>
      </c>
      <c r="BS142" t="str">
        <f>IF('1. Live'!BS142='check-Jul25'!BS142,"",'1. Live'!BS142-'check-Jul25'!BS142)</f>
        <v/>
      </c>
      <c r="BT142" t="str">
        <f>IF('1. Live'!BT142='check-Jul25'!BT142,"",'1. Live'!BT142-'check-Jul25'!BT142)</f>
        <v/>
      </c>
      <c r="BU142" t="str">
        <f>IF('1. Live'!BU142='check-Jul25'!BU142,"",'1. Live'!BU142-'check-Jul25'!BU142)</f>
        <v/>
      </c>
      <c r="BV142" t="str">
        <f>IF('1. Live'!BV142='check-Jul25'!BV142,"",'1. Live'!BV142-'check-Jul25'!BV142)</f>
        <v/>
      </c>
      <c r="BW142" t="str">
        <f>IF('1. Live'!BW142='check-Jul25'!BW142,"",'1. Live'!BW142-'check-Jul25'!BW142)</f>
        <v/>
      </c>
      <c r="BX142" t="str">
        <f>IF('1. Live'!BX142='check-Jul25'!BX142,"",'1. Live'!BX142-'check-Jul25'!BX142)</f>
        <v/>
      </c>
      <c r="BY142" t="str">
        <f>IF('1. Live'!BY142='check-Jul25'!BY142,"",'1. Live'!BY142-'check-Jul25'!BY142)</f>
        <v/>
      </c>
      <c r="BZ142" t="str">
        <f>IF('1. Live'!BZ142='check-Jul25'!BZ142,"",'1. Live'!BZ142-'check-Jul25'!BZ142)</f>
        <v/>
      </c>
      <c r="CA142" t="str">
        <f>IF('1. Live'!CA142='check-Jul25'!CA142,"",'1. Live'!CA142-'check-Jul25'!CA142)</f>
        <v/>
      </c>
      <c r="CB142" t="str">
        <f>IF('1. Live'!CB142='check-Jul25'!CB142,"",'1. Live'!CB142-'check-Jul25'!CB142)</f>
        <v/>
      </c>
      <c r="CC142" t="str">
        <f>IF('1. Live'!CC142='check-Jul25'!CC142,"",'1. Live'!CC142-'check-Jul25'!CC142)</f>
        <v/>
      </c>
      <c r="CD142" t="str">
        <f>IF('1. Live'!CD142='check-Jul25'!CD142,"",'1. Live'!CD142-'check-Jul25'!CD142)</f>
        <v/>
      </c>
      <c r="CE142" t="str">
        <f>IF('1. Live'!CE142='check-Jul25'!CE142,"",'1. Live'!CE142-'check-Jul25'!CE142)</f>
        <v/>
      </c>
      <c r="CF142" t="str">
        <f>IF('1. Live'!CF142='check-Jul25'!CF142,"",'1. Live'!CF142-'check-Jul25'!CF142)</f>
        <v/>
      </c>
      <c r="CG142" t="str">
        <f>IF('1. Live'!CG142='check-Jul25'!CG142,"",'1. Live'!CG142-'check-Jul25'!CG142)</f>
        <v/>
      </c>
      <c r="CH142" t="str">
        <f>IF('1. Live'!CH142='check-Jul25'!CH142,"",'1. Live'!CH142-'check-Jul25'!CH142)</f>
        <v/>
      </c>
      <c r="CI142" t="str">
        <f>IF('1. Live'!CI142='check-Jul25'!CI142,"",'1. Live'!CI142-'check-Jul25'!CI142)</f>
        <v/>
      </c>
      <c r="CJ142" t="str">
        <f>IF('1. Live'!CJ142='check-Jul25'!CJ142,"",'1. Live'!CJ142-'check-Jul25'!CJ142)</f>
        <v/>
      </c>
      <c r="CK142" t="str">
        <f>IF('1. Live'!CK142='check-Jul25'!CK142,"",'1. Live'!CK142-'check-Jul25'!CK142)</f>
        <v/>
      </c>
      <c r="CL142" t="str">
        <f>IF('1. Live'!CL142='check-Jul25'!CL142,"",'1. Live'!CL142-'check-Jul25'!CL142)</f>
        <v/>
      </c>
      <c r="CM142" t="str">
        <f>IF('1. Live'!CM142='check-Jul25'!CM142,"",'1. Live'!CM142-'check-Jul25'!CM142)</f>
        <v/>
      </c>
      <c r="CN142" t="str">
        <f>IF('1. Live'!CN142='check-Jul25'!CN142,"",'1. Live'!CN142-'check-Jul25'!CN142)</f>
        <v/>
      </c>
      <c r="CO142" t="str">
        <f>IF('1. Live'!CO142='check-Jul25'!CO142,"",'1. Live'!CO142-'check-Jul25'!CO142)</f>
        <v/>
      </c>
      <c r="CP142" t="str">
        <f>IF('1. Live'!CP142='check-Jul25'!CP142,"",'1. Live'!CP142-'check-Jul25'!CP142)</f>
        <v/>
      </c>
      <c r="CQ142" t="str">
        <f>IF('1. Live'!CQ142='check-Jul25'!CQ142,"",'1. Live'!CQ142-'check-Jul25'!CQ142)</f>
        <v/>
      </c>
      <c r="CR142" t="str">
        <f>IF('1. Live'!CR142='check-Jul25'!CR142,"",'1. Live'!CR142-'check-Jul25'!CR142)</f>
        <v/>
      </c>
      <c r="CS142" t="str">
        <f>IF('1. Live'!CS142='check-Jul25'!CS142,"",'1. Live'!CS142-'check-Jul25'!CS142)</f>
        <v/>
      </c>
      <c r="CT142" t="str">
        <f>IF('1. Live'!CT142='check-Jul25'!CT142,"",'1. Live'!CT142-'check-Jul25'!CT142)</f>
        <v/>
      </c>
      <c r="CU142" t="str">
        <f>IF('1. Live'!CU142='check-Jul25'!CU142,"",'1. Live'!CU142-'check-Jul25'!CU142)</f>
        <v/>
      </c>
      <c r="CV142" t="str">
        <f>IF('1. Live'!CV142='check-Jul25'!CV142,"",'1. Live'!CV142-'check-Jul25'!CV142)</f>
        <v/>
      </c>
      <c r="CW142" t="str">
        <f>IF('1. Live'!CW142='check-Jul25'!CW142,"",'1. Live'!CW142-'check-Jul25'!CW142)</f>
        <v/>
      </c>
    </row>
    <row r="143" spans="10:101">
      <c r="J143" t="str">
        <f>IF('1. Live'!J143='check-Jul25'!J143,"",'1. Live'!J143-'check-Jul25'!J143)</f>
        <v/>
      </c>
      <c r="K143" t="str">
        <f>IF('1. Live'!K143='check-Jul25'!K143,"",'1. Live'!K143-'check-Jul25'!K143)</f>
        <v/>
      </c>
      <c r="L143" t="str">
        <f>IF('1. Live'!L143='check-Jul25'!L143,"",'1. Live'!L143-'check-Jul25'!L143)</f>
        <v/>
      </c>
      <c r="M143" t="str">
        <f>IF('1. Live'!M143='check-Jul25'!M143,"",'1. Live'!M143-'check-Jul25'!M143)</f>
        <v/>
      </c>
      <c r="N143" t="str">
        <f>IF('1. Live'!N143='check-Jul25'!N143,"",'1. Live'!N143-'check-Jul25'!N143)</f>
        <v/>
      </c>
      <c r="O143" t="str">
        <f>IF('1. Live'!O143='check-Jul25'!O143,"",'1. Live'!O143-'check-Jul25'!O143)</f>
        <v/>
      </c>
      <c r="P143" t="str">
        <f>IF('1. Live'!P143='check-Jul25'!P143,"",'1. Live'!P143-'check-Jul25'!P143)</f>
        <v/>
      </c>
      <c r="Q143" t="str">
        <f>IF('1. Live'!Q143='check-Jul25'!Q143,"",'1. Live'!Q143-'check-Jul25'!Q143)</f>
        <v/>
      </c>
      <c r="R143" t="str">
        <f>IF('1. Live'!R143='check-Jul25'!R143,"",'1. Live'!R143-'check-Jul25'!R143)</f>
        <v/>
      </c>
      <c r="S143" t="str">
        <f>IF('1. Live'!S143='check-Jul25'!S143,"",'1. Live'!S143-'check-Jul25'!S143)</f>
        <v/>
      </c>
      <c r="T143" t="str">
        <f>IF('1. Live'!T143='check-Jul25'!T143,"",'1. Live'!T143-'check-Jul25'!T143)</f>
        <v/>
      </c>
      <c r="U143" t="str">
        <f>IF('1. Live'!U143='check-Jul25'!U143,"",'1. Live'!U143-'check-Jul25'!U143)</f>
        <v/>
      </c>
      <c r="V143" t="str">
        <f>IF('1. Live'!V143='check-Jul25'!V143,"",'1. Live'!V143-'check-Jul25'!V143)</f>
        <v/>
      </c>
      <c r="W143" t="str">
        <f>IF('1. Live'!W143='check-Jul25'!W143,"",'1. Live'!W143-'check-Jul25'!W143)</f>
        <v/>
      </c>
      <c r="X143" t="str">
        <f>IF('1. Live'!X143='check-Jul25'!X143,"",'1. Live'!X143-'check-Jul25'!X143)</f>
        <v/>
      </c>
      <c r="Y143" t="str">
        <f>IF('1. Live'!Y143='check-Jul25'!Y143,"",'1. Live'!Y143-'check-Jul25'!Y143)</f>
        <v/>
      </c>
      <c r="Z143" t="str">
        <f>IF('1. Live'!Z143='check-Jul25'!Z143,"",'1. Live'!Z143-'check-Jul25'!Z143)</f>
        <v/>
      </c>
      <c r="AA143" t="str">
        <f>IF('1. Live'!AA143='check-Jul25'!AA143,"",'1. Live'!AA143-'check-Jul25'!AA143)</f>
        <v/>
      </c>
      <c r="AB143" t="str">
        <f>IF('1. Live'!AB143='check-Jul25'!AB143,"",'1. Live'!AB143-'check-Jul25'!AB143)</f>
        <v/>
      </c>
      <c r="AC143" t="str">
        <f>IF('1. Live'!AC143='check-Jul25'!AC143,"",'1. Live'!AC143-'check-Jul25'!AC143)</f>
        <v/>
      </c>
      <c r="AD143" t="str">
        <f>IF('1. Live'!AD143='check-Jul25'!AD143,"",'1. Live'!AD143-'check-Jul25'!AD143)</f>
        <v/>
      </c>
      <c r="AE143" t="str">
        <f>IF('1. Live'!AE143='check-Jul25'!AE143,"",'1. Live'!AE143-'check-Jul25'!AE143)</f>
        <v/>
      </c>
      <c r="AF143" t="str">
        <f>IF('1. Live'!AF143='check-Jul25'!AF143,"",'1. Live'!AF143-'check-Jul25'!AF143)</f>
        <v/>
      </c>
      <c r="AG143" t="str">
        <f>IF('1. Live'!AG143='check-Jul25'!AG143,"",'1. Live'!AG143-'check-Jul25'!AG143)</f>
        <v/>
      </c>
      <c r="AH143" t="str">
        <f>IF('1. Live'!AH143='check-Jul25'!AH143,"",'1. Live'!AH143-'check-Jul25'!AH143)</f>
        <v/>
      </c>
      <c r="AI143" t="str">
        <f>IF('1. Live'!AI143='check-Jul25'!AI143,"",'1. Live'!AI143-'check-Jul25'!AI143)</f>
        <v/>
      </c>
      <c r="AJ143" t="str">
        <f>IF('1. Live'!AJ143='check-Jul25'!AJ143,"",'1. Live'!AJ143-'check-Jul25'!AJ143)</f>
        <v/>
      </c>
      <c r="AK143" t="str">
        <f>IF('1. Live'!AK143='check-Jul25'!AK143,"",'1. Live'!AK143-'check-Jul25'!AK143)</f>
        <v/>
      </c>
      <c r="AL143" t="str">
        <f>IF('1. Live'!AL143='check-Jul25'!AL143,"",'1. Live'!AL143-'check-Jul25'!AL143)</f>
        <v/>
      </c>
      <c r="AM143" t="str">
        <f>IF('1. Live'!AM143='check-Jul25'!AM143,"",'1. Live'!AM143-'check-Jul25'!AM143)</f>
        <v/>
      </c>
      <c r="AN143" t="str">
        <f>IF('1. Live'!AN143='check-Jul25'!AN143,"",'1. Live'!AN143-'check-Jul25'!AN143)</f>
        <v/>
      </c>
      <c r="AO143" t="str">
        <f>IF('1. Live'!AO143='check-Jul25'!AO143,"",'1. Live'!AO143-'check-Jul25'!AO143)</f>
        <v/>
      </c>
      <c r="AP143" t="str">
        <f>IF('1. Live'!AP143='check-Jul25'!AP143,"",'1. Live'!AP143-'check-Jul25'!AP143)</f>
        <v/>
      </c>
      <c r="AQ143" t="str">
        <f>IF('1. Live'!AQ143='check-Jul25'!AQ143,"",'1. Live'!AQ143-'check-Jul25'!AQ143)</f>
        <v/>
      </c>
      <c r="AR143" t="str">
        <f>IF('1. Live'!AR143='check-Jul25'!AR143,"",'1. Live'!AR143-'check-Jul25'!AR143)</f>
        <v/>
      </c>
      <c r="AS143" t="str">
        <f>IF('1. Live'!AS143='check-Jul25'!AS143,"",'1. Live'!AS143-'check-Jul25'!AS143)</f>
        <v/>
      </c>
      <c r="AT143" t="str">
        <f>IF('1. Live'!AT143='check-Jul25'!AT143,"",'1. Live'!AT143-'check-Jul25'!AT143)</f>
        <v/>
      </c>
      <c r="AU143" t="str">
        <f>IF('1. Live'!AU143='check-Jul25'!AU143,"",'1. Live'!AU143-'check-Jul25'!AU143)</f>
        <v/>
      </c>
      <c r="AV143" t="str">
        <f>IF('1. Live'!AV143='check-Jul25'!AV143,"",'1. Live'!AV143-'check-Jul25'!AV143)</f>
        <v/>
      </c>
      <c r="AW143" t="str">
        <f>IF('1. Live'!AW143='check-Jul25'!AW143,"",'1. Live'!AW143-'check-Jul25'!AW143)</f>
        <v/>
      </c>
      <c r="AX143" t="str">
        <f>IF('1. Live'!AX143='check-Jul25'!AX143,"",'1. Live'!AX143-'check-Jul25'!AX143)</f>
        <v/>
      </c>
      <c r="AY143" t="str">
        <f>IF('1. Live'!AY143='check-Jul25'!AY143,"",'1. Live'!AY143-'check-Jul25'!AY143)</f>
        <v/>
      </c>
      <c r="AZ143" t="str">
        <f>IF('1. Live'!AZ143='check-Jul25'!AZ143,"",'1. Live'!AZ143-'check-Jul25'!AZ143)</f>
        <v/>
      </c>
      <c r="BA143" t="str">
        <f>IF('1. Live'!BA143='check-Jul25'!BA143,"",'1. Live'!BA143-'check-Jul25'!BA143)</f>
        <v/>
      </c>
      <c r="BB143" t="str">
        <f>IF('1. Live'!BB143='check-Jul25'!BB143,"",'1. Live'!BB143-'check-Jul25'!BB143)</f>
        <v/>
      </c>
      <c r="BC143" t="str">
        <f>IF('1. Live'!BC143='check-Jul25'!BC143,"",'1. Live'!BC143-'check-Jul25'!BC143)</f>
        <v/>
      </c>
      <c r="BD143" t="str">
        <f>IF('1. Live'!BD143='check-Jul25'!BD143,"",'1. Live'!BD143-'check-Jul25'!BD143)</f>
        <v/>
      </c>
      <c r="BE143" t="str">
        <f>IF('1. Live'!BE143='check-Jul25'!BE143,"",'1. Live'!BE143-'check-Jul25'!BE143)</f>
        <v/>
      </c>
      <c r="BF143" t="str">
        <f>IF('1. Live'!BF143='check-Jul25'!BF143,"",'1. Live'!BF143-'check-Jul25'!BF143)</f>
        <v/>
      </c>
      <c r="BG143" t="str">
        <f>IF('1. Live'!BG143='check-Jul25'!BG143,"",'1. Live'!BG143-'check-Jul25'!BG143)</f>
        <v/>
      </c>
      <c r="BH143" t="str">
        <f>IF('1. Live'!BH143='check-Jul25'!BH143,"",'1. Live'!BH143-'check-Jul25'!BH143)</f>
        <v/>
      </c>
      <c r="BI143" t="str">
        <f>IF('1. Live'!BI143='check-Jul25'!BI143,"",'1. Live'!BI143-'check-Jul25'!BI143)</f>
        <v/>
      </c>
      <c r="BJ143" t="str">
        <f>IF('1. Live'!BJ143='check-Jul25'!BJ143,"",'1. Live'!BJ143-'check-Jul25'!BJ143)</f>
        <v/>
      </c>
      <c r="BK143" t="str">
        <f>IF('1. Live'!BK143='check-Jul25'!BK143,"",'1. Live'!BK143-'check-Jul25'!BK143)</f>
        <v/>
      </c>
      <c r="BL143" t="str">
        <f>IF('1. Live'!BL143='check-Jul25'!BL143,"",'1. Live'!BL143-'check-Jul25'!BL143)</f>
        <v/>
      </c>
      <c r="BM143" t="str">
        <f>IF('1. Live'!BM143='check-Jul25'!BM143,"",'1. Live'!BM143-'check-Jul25'!BM143)</f>
        <v/>
      </c>
      <c r="BN143" t="str">
        <f>IF('1. Live'!BN143='check-Jul25'!BN143,"",'1. Live'!BN143-'check-Jul25'!BN143)</f>
        <v/>
      </c>
      <c r="BO143" t="str">
        <f>IF('1. Live'!BO143='check-Jul25'!BO143,"",'1. Live'!BO143-'check-Jul25'!BO143)</f>
        <v/>
      </c>
      <c r="BP143" t="str">
        <f>IF('1. Live'!BP143='check-Jul25'!BP143,"",'1. Live'!BP143-'check-Jul25'!BP143)</f>
        <v/>
      </c>
      <c r="BQ143" t="str">
        <f>IF('1. Live'!BQ143='check-Jul25'!BQ143,"",'1. Live'!BQ143-'check-Jul25'!BQ143)</f>
        <v/>
      </c>
      <c r="BR143" t="str">
        <f>IF('1. Live'!BR143='check-Jul25'!BR143,"",'1. Live'!BR143-'check-Jul25'!BR143)</f>
        <v/>
      </c>
      <c r="BS143" t="str">
        <f>IF('1. Live'!BS143='check-Jul25'!BS143,"",'1. Live'!BS143-'check-Jul25'!BS143)</f>
        <v/>
      </c>
      <c r="BT143" t="str">
        <f>IF('1. Live'!BT143='check-Jul25'!BT143,"",'1. Live'!BT143-'check-Jul25'!BT143)</f>
        <v/>
      </c>
      <c r="BU143" t="str">
        <f>IF('1. Live'!BU143='check-Jul25'!BU143,"",'1. Live'!BU143-'check-Jul25'!BU143)</f>
        <v/>
      </c>
      <c r="BV143" t="str">
        <f>IF('1. Live'!BV143='check-Jul25'!BV143,"",'1. Live'!BV143-'check-Jul25'!BV143)</f>
        <v/>
      </c>
      <c r="BW143" t="str">
        <f>IF('1. Live'!BW143='check-Jul25'!BW143,"",'1. Live'!BW143-'check-Jul25'!BW143)</f>
        <v/>
      </c>
      <c r="BX143" t="str">
        <f>IF('1. Live'!BX143='check-Jul25'!BX143,"",'1. Live'!BX143-'check-Jul25'!BX143)</f>
        <v/>
      </c>
      <c r="BY143" t="str">
        <f>IF('1. Live'!BY143='check-Jul25'!BY143,"",'1. Live'!BY143-'check-Jul25'!BY143)</f>
        <v/>
      </c>
      <c r="BZ143" t="str">
        <f>IF('1. Live'!BZ143='check-Jul25'!BZ143,"",'1. Live'!BZ143-'check-Jul25'!BZ143)</f>
        <v/>
      </c>
      <c r="CA143" t="str">
        <f>IF('1. Live'!CA143='check-Jul25'!CA143,"",'1. Live'!CA143-'check-Jul25'!CA143)</f>
        <v/>
      </c>
      <c r="CB143" t="str">
        <f>IF('1. Live'!CB143='check-Jul25'!CB143,"",'1. Live'!CB143-'check-Jul25'!CB143)</f>
        <v/>
      </c>
      <c r="CC143" t="str">
        <f>IF('1. Live'!CC143='check-Jul25'!CC143,"",'1. Live'!CC143-'check-Jul25'!CC143)</f>
        <v/>
      </c>
      <c r="CD143" t="str">
        <f>IF('1. Live'!CD143='check-Jul25'!CD143,"",'1. Live'!CD143-'check-Jul25'!CD143)</f>
        <v/>
      </c>
      <c r="CE143" t="str">
        <f>IF('1. Live'!CE143='check-Jul25'!CE143,"",'1. Live'!CE143-'check-Jul25'!CE143)</f>
        <v/>
      </c>
      <c r="CF143" t="str">
        <f>IF('1. Live'!CF143='check-Jul25'!CF143,"",'1. Live'!CF143-'check-Jul25'!CF143)</f>
        <v/>
      </c>
      <c r="CG143" t="str">
        <f>IF('1. Live'!CG143='check-Jul25'!CG143,"",'1. Live'!CG143-'check-Jul25'!CG143)</f>
        <v/>
      </c>
      <c r="CH143" t="str">
        <f>IF('1. Live'!CH143='check-Jul25'!CH143,"",'1. Live'!CH143-'check-Jul25'!CH143)</f>
        <v/>
      </c>
      <c r="CI143" t="str">
        <f>IF('1. Live'!CI143='check-Jul25'!CI143,"",'1. Live'!CI143-'check-Jul25'!CI143)</f>
        <v/>
      </c>
      <c r="CJ143" t="str">
        <f>IF('1. Live'!CJ143='check-Jul25'!CJ143,"",'1. Live'!CJ143-'check-Jul25'!CJ143)</f>
        <v/>
      </c>
      <c r="CK143" t="str">
        <f>IF('1. Live'!CK143='check-Jul25'!CK143,"",'1. Live'!CK143-'check-Jul25'!CK143)</f>
        <v/>
      </c>
      <c r="CL143" t="str">
        <f>IF('1. Live'!CL143='check-Jul25'!CL143,"",'1. Live'!CL143-'check-Jul25'!CL143)</f>
        <v/>
      </c>
      <c r="CM143" t="str">
        <f>IF('1. Live'!CM143='check-Jul25'!CM143,"",'1. Live'!CM143-'check-Jul25'!CM143)</f>
        <v/>
      </c>
      <c r="CN143" t="str">
        <f>IF('1. Live'!CN143='check-Jul25'!CN143,"",'1. Live'!CN143-'check-Jul25'!CN143)</f>
        <v/>
      </c>
      <c r="CO143" t="str">
        <f>IF('1. Live'!CO143='check-Jul25'!CO143,"",'1. Live'!CO143-'check-Jul25'!CO143)</f>
        <v/>
      </c>
      <c r="CP143" t="str">
        <f>IF('1. Live'!CP143='check-Jul25'!CP143,"",'1. Live'!CP143-'check-Jul25'!CP143)</f>
        <v/>
      </c>
      <c r="CQ143" t="str">
        <f>IF('1. Live'!CQ143='check-Jul25'!CQ143,"",'1. Live'!CQ143-'check-Jul25'!CQ143)</f>
        <v/>
      </c>
      <c r="CR143" t="str">
        <f>IF('1. Live'!CR143='check-Jul25'!CR143,"",'1. Live'!CR143-'check-Jul25'!CR143)</f>
        <v/>
      </c>
      <c r="CS143" t="str">
        <f>IF('1. Live'!CS143='check-Jul25'!CS143,"",'1. Live'!CS143-'check-Jul25'!CS143)</f>
        <v/>
      </c>
      <c r="CT143" t="str">
        <f>IF('1. Live'!CT143='check-Jul25'!CT143,"",'1. Live'!CT143-'check-Jul25'!CT143)</f>
        <v/>
      </c>
      <c r="CU143" t="str">
        <f>IF('1. Live'!CU143='check-Jul25'!CU143,"",'1. Live'!CU143-'check-Jul25'!CU143)</f>
        <v/>
      </c>
      <c r="CV143" t="str">
        <f>IF('1. Live'!CV143='check-Jul25'!CV143,"",'1. Live'!CV143-'check-Jul25'!CV143)</f>
        <v/>
      </c>
      <c r="CW143" t="str">
        <f>IF('1. Live'!CW143='check-Jul25'!CW143,"",'1. Live'!CW143-'check-Jul25'!CW143)</f>
        <v/>
      </c>
    </row>
    <row r="144" spans="10:101">
      <c r="J144" t="str">
        <f>IF('1. Live'!J144='check-Jul25'!J144,"",'1. Live'!J144-'check-Jul25'!J144)</f>
        <v/>
      </c>
      <c r="K144" t="str">
        <f>IF('1. Live'!K144='check-Jul25'!K144,"",'1. Live'!K144-'check-Jul25'!K144)</f>
        <v/>
      </c>
      <c r="L144" t="str">
        <f>IF('1. Live'!L144='check-Jul25'!L144,"",'1. Live'!L144-'check-Jul25'!L144)</f>
        <v/>
      </c>
      <c r="M144" t="str">
        <f>IF('1. Live'!M144='check-Jul25'!M144,"",'1. Live'!M144-'check-Jul25'!M144)</f>
        <v/>
      </c>
      <c r="N144" t="str">
        <f>IF('1. Live'!N144='check-Jul25'!N144,"",'1. Live'!N144-'check-Jul25'!N144)</f>
        <v/>
      </c>
      <c r="O144" t="str">
        <f>IF('1. Live'!O144='check-Jul25'!O144,"",'1. Live'!O144-'check-Jul25'!O144)</f>
        <v/>
      </c>
      <c r="P144" t="str">
        <f>IF('1. Live'!P144='check-Jul25'!P144,"",'1. Live'!P144-'check-Jul25'!P144)</f>
        <v/>
      </c>
      <c r="Q144" t="str">
        <f>IF('1. Live'!Q144='check-Jul25'!Q144,"",'1. Live'!Q144-'check-Jul25'!Q144)</f>
        <v/>
      </c>
      <c r="R144" t="str">
        <f>IF('1. Live'!R144='check-Jul25'!R144,"",'1. Live'!R144-'check-Jul25'!R144)</f>
        <v/>
      </c>
      <c r="S144" t="str">
        <f>IF('1. Live'!S144='check-Jul25'!S144,"",'1. Live'!S144-'check-Jul25'!S144)</f>
        <v/>
      </c>
      <c r="T144" t="str">
        <f>IF('1. Live'!T144='check-Jul25'!T144,"",'1. Live'!T144-'check-Jul25'!T144)</f>
        <v/>
      </c>
      <c r="U144" t="str">
        <f>IF('1. Live'!U144='check-Jul25'!U144,"",'1. Live'!U144-'check-Jul25'!U144)</f>
        <v/>
      </c>
      <c r="V144" t="str">
        <f>IF('1. Live'!V144='check-Jul25'!V144,"",'1. Live'!V144-'check-Jul25'!V144)</f>
        <v/>
      </c>
      <c r="W144" t="str">
        <f>IF('1. Live'!W144='check-Jul25'!W144,"",'1. Live'!W144-'check-Jul25'!W144)</f>
        <v/>
      </c>
      <c r="X144" t="str">
        <f>IF('1. Live'!X144='check-Jul25'!X144,"",'1. Live'!X144-'check-Jul25'!X144)</f>
        <v/>
      </c>
      <c r="Y144" t="str">
        <f>IF('1. Live'!Y144='check-Jul25'!Y144,"",'1. Live'!Y144-'check-Jul25'!Y144)</f>
        <v/>
      </c>
      <c r="Z144" t="str">
        <f>IF('1. Live'!Z144='check-Jul25'!Z144,"",'1. Live'!Z144-'check-Jul25'!Z144)</f>
        <v/>
      </c>
      <c r="AA144" t="str">
        <f>IF('1. Live'!AA144='check-Jul25'!AA144,"",'1. Live'!AA144-'check-Jul25'!AA144)</f>
        <v/>
      </c>
      <c r="AB144" t="str">
        <f>IF('1. Live'!AB144='check-Jul25'!AB144,"",'1. Live'!AB144-'check-Jul25'!AB144)</f>
        <v/>
      </c>
      <c r="AC144" t="str">
        <f>IF('1. Live'!AC144='check-Jul25'!AC144,"",'1. Live'!AC144-'check-Jul25'!AC144)</f>
        <v/>
      </c>
      <c r="AD144" t="str">
        <f>IF('1. Live'!AD144='check-Jul25'!AD144,"",'1. Live'!AD144-'check-Jul25'!AD144)</f>
        <v/>
      </c>
      <c r="AE144" t="str">
        <f>IF('1. Live'!AE144='check-Jul25'!AE144,"",'1. Live'!AE144-'check-Jul25'!AE144)</f>
        <v/>
      </c>
      <c r="AF144" t="str">
        <f>IF('1. Live'!AF144='check-Jul25'!AF144,"",'1. Live'!AF144-'check-Jul25'!AF144)</f>
        <v/>
      </c>
      <c r="AG144" t="str">
        <f>IF('1. Live'!AG144='check-Jul25'!AG144,"",'1. Live'!AG144-'check-Jul25'!AG144)</f>
        <v/>
      </c>
      <c r="AH144" t="str">
        <f>IF('1. Live'!AH144='check-Jul25'!AH144,"",'1. Live'!AH144-'check-Jul25'!AH144)</f>
        <v/>
      </c>
      <c r="AI144" t="str">
        <f>IF('1. Live'!AI144='check-Jul25'!AI144,"",'1. Live'!AI144-'check-Jul25'!AI144)</f>
        <v/>
      </c>
      <c r="AJ144" t="str">
        <f>IF('1. Live'!AJ144='check-Jul25'!AJ144,"",'1. Live'!AJ144-'check-Jul25'!AJ144)</f>
        <v/>
      </c>
      <c r="AK144" t="str">
        <f>IF('1. Live'!AK144='check-Jul25'!AK144,"",'1. Live'!AK144-'check-Jul25'!AK144)</f>
        <v/>
      </c>
      <c r="AL144" t="str">
        <f>IF('1. Live'!AL144='check-Jul25'!AL144,"",'1. Live'!AL144-'check-Jul25'!AL144)</f>
        <v/>
      </c>
      <c r="AM144" t="str">
        <f>IF('1. Live'!AM144='check-Jul25'!AM144,"",'1. Live'!AM144-'check-Jul25'!AM144)</f>
        <v/>
      </c>
      <c r="AN144" t="str">
        <f>IF('1. Live'!AN144='check-Jul25'!AN144,"",'1. Live'!AN144-'check-Jul25'!AN144)</f>
        <v/>
      </c>
      <c r="AO144" t="str">
        <f>IF('1. Live'!AO144='check-Jul25'!AO144,"",'1. Live'!AO144-'check-Jul25'!AO144)</f>
        <v/>
      </c>
      <c r="AP144" t="str">
        <f>IF('1. Live'!AP144='check-Jul25'!AP144,"",'1. Live'!AP144-'check-Jul25'!AP144)</f>
        <v/>
      </c>
      <c r="AQ144" t="str">
        <f>IF('1. Live'!AQ144='check-Jul25'!AQ144,"",'1. Live'!AQ144-'check-Jul25'!AQ144)</f>
        <v/>
      </c>
      <c r="AR144" t="str">
        <f>IF('1. Live'!AR144='check-Jul25'!AR144,"",'1. Live'!AR144-'check-Jul25'!AR144)</f>
        <v/>
      </c>
      <c r="AS144" t="str">
        <f>IF('1. Live'!AS144='check-Jul25'!AS144,"",'1. Live'!AS144-'check-Jul25'!AS144)</f>
        <v/>
      </c>
      <c r="AT144" t="str">
        <f>IF('1. Live'!AT144='check-Jul25'!AT144,"",'1. Live'!AT144-'check-Jul25'!AT144)</f>
        <v/>
      </c>
      <c r="AU144" t="str">
        <f>IF('1. Live'!AU144='check-Jul25'!AU144,"",'1. Live'!AU144-'check-Jul25'!AU144)</f>
        <v/>
      </c>
      <c r="AV144" t="str">
        <f>IF('1. Live'!AV144='check-Jul25'!AV144,"",'1. Live'!AV144-'check-Jul25'!AV144)</f>
        <v/>
      </c>
      <c r="AW144" t="str">
        <f>IF('1. Live'!AW144='check-Jul25'!AW144,"",'1. Live'!AW144-'check-Jul25'!AW144)</f>
        <v/>
      </c>
      <c r="AX144" t="str">
        <f>IF('1. Live'!AX144='check-Jul25'!AX144,"",'1. Live'!AX144-'check-Jul25'!AX144)</f>
        <v/>
      </c>
      <c r="AY144" t="str">
        <f>IF('1. Live'!AY144='check-Jul25'!AY144,"",'1. Live'!AY144-'check-Jul25'!AY144)</f>
        <v/>
      </c>
      <c r="AZ144" t="str">
        <f>IF('1. Live'!AZ144='check-Jul25'!AZ144,"",'1. Live'!AZ144-'check-Jul25'!AZ144)</f>
        <v/>
      </c>
      <c r="BA144" t="str">
        <f>IF('1. Live'!BA144='check-Jul25'!BA144,"",'1. Live'!BA144-'check-Jul25'!BA144)</f>
        <v/>
      </c>
      <c r="BB144" t="str">
        <f>IF('1. Live'!BB144='check-Jul25'!BB144,"",'1. Live'!BB144-'check-Jul25'!BB144)</f>
        <v/>
      </c>
      <c r="BC144" t="str">
        <f>IF('1. Live'!BC144='check-Jul25'!BC144,"",'1. Live'!BC144-'check-Jul25'!BC144)</f>
        <v/>
      </c>
      <c r="BD144" t="str">
        <f>IF('1. Live'!BD144='check-Jul25'!BD144,"",'1. Live'!BD144-'check-Jul25'!BD144)</f>
        <v/>
      </c>
      <c r="BE144" t="str">
        <f>IF('1. Live'!BE144='check-Jul25'!BE144,"",'1. Live'!BE144-'check-Jul25'!BE144)</f>
        <v/>
      </c>
      <c r="BF144" t="str">
        <f>IF('1. Live'!BF144='check-Jul25'!BF144,"",'1. Live'!BF144-'check-Jul25'!BF144)</f>
        <v/>
      </c>
      <c r="BG144" t="str">
        <f>IF('1. Live'!BG144='check-Jul25'!BG144,"",'1. Live'!BG144-'check-Jul25'!BG144)</f>
        <v/>
      </c>
      <c r="BH144" t="str">
        <f>IF('1. Live'!BH144='check-Jul25'!BH144,"",'1. Live'!BH144-'check-Jul25'!BH144)</f>
        <v/>
      </c>
      <c r="BI144" t="str">
        <f>IF('1. Live'!BI144='check-Jul25'!BI144,"",'1. Live'!BI144-'check-Jul25'!BI144)</f>
        <v/>
      </c>
      <c r="BJ144" t="str">
        <f>IF('1. Live'!BJ144='check-Jul25'!BJ144,"",'1. Live'!BJ144-'check-Jul25'!BJ144)</f>
        <v/>
      </c>
      <c r="BK144" t="str">
        <f>IF('1. Live'!BK144='check-Jul25'!BK144,"",'1. Live'!BK144-'check-Jul25'!BK144)</f>
        <v/>
      </c>
      <c r="BL144" t="str">
        <f>IF('1. Live'!BL144='check-Jul25'!BL144,"",'1. Live'!BL144-'check-Jul25'!BL144)</f>
        <v/>
      </c>
      <c r="BM144" t="str">
        <f>IF('1. Live'!BM144='check-Jul25'!BM144,"",'1. Live'!BM144-'check-Jul25'!BM144)</f>
        <v/>
      </c>
      <c r="BN144" t="str">
        <f>IF('1. Live'!BN144='check-Jul25'!BN144,"",'1. Live'!BN144-'check-Jul25'!BN144)</f>
        <v/>
      </c>
      <c r="BO144" t="str">
        <f>IF('1. Live'!BO144='check-Jul25'!BO144,"",'1. Live'!BO144-'check-Jul25'!BO144)</f>
        <v/>
      </c>
      <c r="BP144" t="str">
        <f>IF('1. Live'!BP144='check-Jul25'!BP144,"",'1. Live'!BP144-'check-Jul25'!BP144)</f>
        <v/>
      </c>
      <c r="BQ144" t="str">
        <f>IF('1. Live'!BQ144='check-Jul25'!BQ144,"",'1. Live'!BQ144-'check-Jul25'!BQ144)</f>
        <v/>
      </c>
      <c r="BR144" t="str">
        <f>IF('1. Live'!BR144='check-Jul25'!BR144,"",'1. Live'!BR144-'check-Jul25'!BR144)</f>
        <v/>
      </c>
      <c r="BS144" t="str">
        <f>IF('1. Live'!BS144='check-Jul25'!BS144,"",'1. Live'!BS144-'check-Jul25'!BS144)</f>
        <v/>
      </c>
      <c r="BT144" t="str">
        <f>IF('1. Live'!BT144='check-Jul25'!BT144,"",'1. Live'!BT144-'check-Jul25'!BT144)</f>
        <v/>
      </c>
      <c r="BU144" t="str">
        <f>IF('1. Live'!BU144='check-Jul25'!BU144,"",'1. Live'!BU144-'check-Jul25'!BU144)</f>
        <v/>
      </c>
      <c r="BV144" t="str">
        <f>IF('1. Live'!BV144='check-Jul25'!BV144,"",'1. Live'!BV144-'check-Jul25'!BV144)</f>
        <v/>
      </c>
      <c r="BW144" t="str">
        <f>IF('1. Live'!BW144='check-Jul25'!BW144,"",'1. Live'!BW144-'check-Jul25'!BW144)</f>
        <v/>
      </c>
      <c r="BX144" t="str">
        <f>IF('1. Live'!BX144='check-Jul25'!BX144,"",'1. Live'!BX144-'check-Jul25'!BX144)</f>
        <v/>
      </c>
      <c r="BY144" t="str">
        <f>IF('1. Live'!BY144='check-Jul25'!BY144,"",'1. Live'!BY144-'check-Jul25'!BY144)</f>
        <v/>
      </c>
      <c r="BZ144" t="str">
        <f>IF('1. Live'!BZ144='check-Jul25'!BZ144,"",'1. Live'!BZ144-'check-Jul25'!BZ144)</f>
        <v/>
      </c>
      <c r="CA144" t="str">
        <f>IF('1. Live'!CA144='check-Jul25'!CA144,"",'1. Live'!CA144-'check-Jul25'!CA144)</f>
        <v/>
      </c>
      <c r="CB144" t="str">
        <f>IF('1. Live'!CB144='check-Jul25'!CB144,"",'1. Live'!CB144-'check-Jul25'!CB144)</f>
        <v/>
      </c>
      <c r="CC144" t="str">
        <f>IF('1. Live'!CC144='check-Jul25'!CC144,"",'1. Live'!CC144-'check-Jul25'!CC144)</f>
        <v/>
      </c>
      <c r="CD144" t="str">
        <f>IF('1. Live'!CD144='check-Jul25'!CD144,"",'1. Live'!CD144-'check-Jul25'!CD144)</f>
        <v/>
      </c>
      <c r="CE144" t="str">
        <f>IF('1. Live'!CE144='check-Jul25'!CE144,"",'1. Live'!CE144-'check-Jul25'!CE144)</f>
        <v/>
      </c>
      <c r="CF144" t="str">
        <f>IF('1. Live'!CF144='check-Jul25'!CF144,"",'1. Live'!CF144-'check-Jul25'!CF144)</f>
        <v/>
      </c>
      <c r="CG144" t="str">
        <f>IF('1. Live'!CG144='check-Jul25'!CG144,"",'1. Live'!CG144-'check-Jul25'!CG144)</f>
        <v/>
      </c>
      <c r="CH144" t="str">
        <f>IF('1. Live'!CH144='check-Jul25'!CH144,"",'1. Live'!CH144-'check-Jul25'!CH144)</f>
        <v/>
      </c>
      <c r="CI144" t="str">
        <f>IF('1. Live'!CI144='check-Jul25'!CI144,"",'1. Live'!CI144-'check-Jul25'!CI144)</f>
        <v/>
      </c>
      <c r="CJ144" t="str">
        <f>IF('1. Live'!CJ144='check-Jul25'!CJ144,"",'1. Live'!CJ144-'check-Jul25'!CJ144)</f>
        <v/>
      </c>
      <c r="CK144" t="str">
        <f>IF('1. Live'!CK144='check-Jul25'!CK144,"",'1. Live'!CK144-'check-Jul25'!CK144)</f>
        <v/>
      </c>
      <c r="CL144" t="str">
        <f>IF('1. Live'!CL144='check-Jul25'!CL144,"",'1. Live'!CL144-'check-Jul25'!CL144)</f>
        <v/>
      </c>
      <c r="CM144" t="str">
        <f>IF('1. Live'!CM144='check-Jul25'!CM144,"",'1. Live'!CM144-'check-Jul25'!CM144)</f>
        <v/>
      </c>
      <c r="CN144" t="str">
        <f>IF('1. Live'!CN144='check-Jul25'!CN144,"",'1. Live'!CN144-'check-Jul25'!CN144)</f>
        <v/>
      </c>
      <c r="CO144" t="str">
        <f>IF('1. Live'!CO144='check-Jul25'!CO144,"",'1. Live'!CO144-'check-Jul25'!CO144)</f>
        <v/>
      </c>
      <c r="CP144" t="str">
        <f>IF('1. Live'!CP144='check-Jul25'!CP144,"",'1. Live'!CP144-'check-Jul25'!CP144)</f>
        <v/>
      </c>
      <c r="CQ144" t="str">
        <f>IF('1. Live'!CQ144='check-Jul25'!CQ144,"",'1. Live'!CQ144-'check-Jul25'!CQ144)</f>
        <v/>
      </c>
      <c r="CR144" t="str">
        <f>IF('1. Live'!CR144='check-Jul25'!CR144,"",'1. Live'!CR144-'check-Jul25'!CR144)</f>
        <v/>
      </c>
      <c r="CS144" t="str">
        <f>IF('1. Live'!CS144='check-Jul25'!CS144,"",'1. Live'!CS144-'check-Jul25'!CS144)</f>
        <v/>
      </c>
      <c r="CT144" t="str">
        <f>IF('1. Live'!CT144='check-Jul25'!CT144,"",'1. Live'!CT144-'check-Jul25'!CT144)</f>
        <v/>
      </c>
      <c r="CU144" t="str">
        <f>IF('1. Live'!CU144='check-Jul25'!CU144,"",'1. Live'!CU144-'check-Jul25'!CU144)</f>
        <v/>
      </c>
      <c r="CV144" t="str">
        <f>IF('1. Live'!CV144='check-Jul25'!CV144,"",'1. Live'!CV144-'check-Jul25'!CV144)</f>
        <v/>
      </c>
      <c r="CW144" t="str">
        <f>IF('1. Live'!CW144='check-Jul25'!CW144,"",'1. Live'!CW144-'check-Jul25'!CW144)</f>
        <v/>
      </c>
    </row>
    <row r="145" spans="10:101">
      <c r="J145" t="str">
        <f>IF('1. Live'!J145='check-Jul25'!J145,"",'1. Live'!J145-'check-Jul25'!J145)</f>
        <v/>
      </c>
      <c r="K145" t="str">
        <f>IF('1. Live'!K145='check-Jul25'!K145,"",'1. Live'!K145-'check-Jul25'!K145)</f>
        <v/>
      </c>
      <c r="L145" t="str">
        <f>IF('1. Live'!L145='check-Jul25'!L145,"",'1. Live'!L145-'check-Jul25'!L145)</f>
        <v/>
      </c>
      <c r="M145" t="str">
        <f>IF('1. Live'!M145='check-Jul25'!M145,"",'1. Live'!M145-'check-Jul25'!M145)</f>
        <v/>
      </c>
      <c r="N145" t="str">
        <f>IF('1. Live'!N145='check-Jul25'!N145,"",'1. Live'!N145-'check-Jul25'!N145)</f>
        <v/>
      </c>
      <c r="O145" t="str">
        <f>IF('1. Live'!O145='check-Jul25'!O145,"",'1. Live'!O145-'check-Jul25'!O145)</f>
        <v/>
      </c>
      <c r="P145" t="str">
        <f>IF('1. Live'!P145='check-Jul25'!P145,"",'1. Live'!P145-'check-Jul25'!P145)</f>
        <v/>
      </c>
      <c r="Q145" t="str">
        <f>IF('1. Live'!Q145='check-Jul25'!Q145,"",'1. Live'!Q145-'check-Jul25'!Q145)</f>
        <v/>
      </c>
      <c r="R145" t="str">
        <f>IF('1. Live'!R145='check-Jul25'!R145,"",'1. Live'!R145-'check-Jul25'!R145)</f>
        <v/>
      </c>
      <c r="S145" t="str">
        <f>IF('1. Live'!S145='check-Jul25'!S145,"",'1. Live'!S145-'check-Jul25'!S145)</f>
        <v/>
      </c>
      <c r="T145" t="str">
        <f>IF('1. Live'!T145='check-Jul25'!T145,"",'1. Live'!T145-'check-Jul25'!T145)</f>
        <v/>
      </c>
      <c r="U145" t="str">
        <f>IF('1. Live'!U145='check-Jul25'!U145,"",'1. Live'!U145-'check-Jul25'!U145)</f>
        <v/>
      </c>
      <c r="V145" t="str">
        <f>IF('1. Live'!V145='check-Jul25'!V145,"",'1. Live'!V145-'check-Jul25'!V145)</f>
        <v/>
      </c>
      <c r="W145" t="str">
        <f>IF('1. Live'!W145='check-Jul25'!W145,"",'1. Live'!W145-'check-Jul25'!W145)</f>
        <v/>
      </c>
      <c r="X145" t="str">
        <f>IF('1. Live'!X145='check-Jul25'!X145,"",'1. Live'!X145-'check-Jul25'!X145)</f>
        <v/>
      </c>
      <c r="Y145" t="str">
        <f>IF('1. Live'!Y145='check-Jul25'!Y145,"",'1. Live'!Y145-'check-Jul25'!Y145)</f>
        <v/>
      </c>
      <c r="Z145" t="str">
        <f>IF('1. Live'!Z145='check-Jul25'!Z145,"",'1. Live'!Z145-'check-Jul25'!Z145)</f>
        <v/>
      </c>
      <c r="AA145" t="str">
        <f>IF('1. Live'!AA145='check-Jul25'!AA145,"",'1. Live'!AA145-'check-Jul25'!AA145)</f>
        <v/>
      </c>
      <c r="AB145" t="str">
        <f>IF('1. Live'!AB145='check-Jul25'!AB145,"",'1. Live'!AB145-'check-Jul25'!AB145)</f>
        <v/>
      </c>
      <c r="AC145" t="str">
        <f>IF('1. Live'!AC145='check-Jul25'!AC145,"",'1. Live'!AC145-'check-Jul25'!AC145)</f>
        <v/>
      </c>
      <c r="AD145" t="str">
        <f>IF('1. Live'!AD145='check-Jul25'!AD145,"",'1. Live'!AD145-'check-Jul25'!AD145)</f>
        <v/>
      </c>
      <c r="AE145" t="str">
        <f>IF('1. Live'!AE145='check-Jul25'!AE145,"",'1. Live'!AE145-'check-Jul25'!AE145)</f>
        <v/>
      </c>
      <c r="AF145" t="str">
        <f>IF('1. Live'!AF145='check-Jul25'!AF145,"",'1. Live'!AF145-'check-Jul25'!AF145)</f>
        <v/>
      </c>
      <c r="AG145" t="str">
        <f>IF('1. Live'!AG145='check-Jul25'!AG145,"",'1. Live'!AG145-'check-Jul25'!AG145)</f>
        <v/>
      </c>
      <c r="AH145" t="str">
        <f>IF('1. Live'!AH145='check-Jul25'!AH145,"",'1. Live'!AH145-'check-Jul25'!AH145)</f>
        <v/>
      </c>
      <c r="AI145" t="str">
        <f>IF('1. Live'!AI145='check-Jul25'!AI145,"",'1. Live'!AI145-'check-Jul25'!AI145)</f>
        <v/>
      </c>
      <c r="AJ145" t="str">
        <f>IF('1. Live'!AJ145='check-Jul25'!AJ145,"",'1. Live'!AJ145-'check-Jul25'!AJ145)</f>
        <v/>
      </c>
      <c r="AK145" t="str">
        <f>IF('1. Live'!AK145='check-Jul25'!AK145,"",'1. Live'!AK145-'check-Jul25'!AK145)</f>
        <v/>
      </c>
      <c r="AL145" t="str">
        <f>IF('1. Live'!AL145='check-Jul25'!AL145,"",'1. Live'!AL145-'check-Jul25'!AL145)</f>
        <v/>
      </c>
      <c r="AM145" t="str">
        <f>IF('1. Live'!AM145='check-Jul25'!AM145,"",'1. Live'!AM145-'check-Jul25'!AM145)</f>
        <v/>
      </c>
      <c r="AN145" t="str">
        <f>IF('1. Live'!AN145='check-Jul25'!AN145,"",'1. Live'!AN145-'check-Jul25'!AN145)</f>
        <v/>
      </c>
      <c r="AO145" t="str">
        <f>IF('1. Live'!AO145='check-Jul25'!AO145,"",'1. Live'!AO145-'check-Jul25'!AO145)</f>
        <v/>
      </c>
      <c r="AP145" t="str">
        <f>IF('1. Live'!AP145='check-Jul25'!AP145,"",'1. Live'!AP145-'check-Jul25'!AP145)</f>
        <v/>
      </c>
      <c r="AQ145" t="str">
        <f>IF('1. Live'!AQ145='check-Jul25'!AQ145,"",'1. Live'!AQ145-'check-Jul25'!AQ145)</f>
        <v/>
      </c>
      <c r="AR145" t="str">
        <f>IF('1. Live'!AR145='check-Jul25'!AR145,"",'1. Live'!AR145-'check-Jul25'!AR145)</f>
        <v/>
      </c>
      <c r="AS145" t="str">
        <f>IF('1. Live'!AS145='check-Jul25'!AS145,"",'1. Live'!AS145-'check-Jul25'!AS145)</f>
        <v/>
      </c>
      <c r="AT145" t="str">
        <f>IF('1. Live'!AT145='check-Jul25'!AT145,"",'1. Live'!AT145-'check-Jul25'!AT145)</f>
        <v/>
      </c>
      <c r="AU145" t="str">
        <f>IF('1. Live'!AU145='check-Jul25'!AU145,"",'1. Live'!AU145-'check-Jul25'!AU145)</f>
        <v/>
      </c>
      <c r="AV145" t="str">
        <f>IF('1. Live'!AV145='check-Jul25'!AV145,"",'1. Live'!AV145-'check-Jul25'!AV145)</f>
        <v/>
      </c>
      <c r="AW145" t="str">
        <f>IF('1. Live'!AW145='check-Jul25'!AW145,"",'1. Live'!AW145-'check-Jul25'!AW145)</f>
        <v/>
      </c>
      <c r="AX145" t="str">
        <f>IF('1. Live'!AX145='check-Jul25'!AX145,"",'1. Live'!AX145-'check-Jul25'!AX145)</f>
        <v/>
      </c>
      <c r="AY145" t="str">
        <f>IF('1. Live'!AY145='check-Jul25'!AY145,"",'1. Live'!AY145-'check-Jul25'!AY145)</f>
        <v/>
      </c>
      <c r="AZ145" t="str">
        <f>IF('1. Live'!AZ145='check-Jul25'!AZ145,"",'1. Live'!AZ145-'check-Jul25'!AZ145)</f>
        <v/>
      </c>
      <c r="BA145" t="str">
        <f>IF('1. Live'!BA145='check-Jul25'!BA145,"",'1. Live'!BA145-'check-Jul25'!BA145)</f>
        <v/>
      </c>
      <c r="BB145" t="str">
        <f>IF('1. Live'!BB145='check-Jul25'!BB145,"",'1. Live'!BB145-'check-Jul25'!BB145)</f>
        <v/>
      </c>
      <c r="BC145" t="str">
        <f>IF('1. Live'!BC145='check-Jul25'!BC145,"",'1. Live'!BC145-'check-Jul25'!BC145)</f>
        <v/>
      </c>
      <c r="BD145" t="str">
        <f>IF('1. Live'!BD145='check-Jul25'!BD145,"",'1. Live'!BD145-'check-Jul25'!BD145)</f>
        <v/>
      </c>
      <c r="BE145" t="str">
        <f>IF('1. Live'!BE145='check-Jul25'!BE145,"",'1. Live'!BE145-'check-Jul25'!BE145)</f>
        <v/>
      </c>
      <c r="BF145" t="str">
        <f>IF('1. Live'!BF145='check-Jul25'!BF145,"",'1. Live'!BF145-'check-Jul25'!BF145)</f>
        <v/>
      </c>
      <c r="BG145" t="str">
        <f>IF('1. Live'!BG145='check-Jul25'!BG145,"",'1. Live'!BG145-'check-Jul25'!BG145)</f>
        <v/>
      </c>
      <c r="BH145" t="str">
        <f>IF('1. Live'!BH145='check-Jul25'!BH145,"",'1. Live'!BH145-'check-Jul25'!BH145)</f>
        <v/>
      </c>
      <c r="BI145" t="str">
        <f>IF('1. Live'!BI145='check-Jul25'!BI145,"",'1. Live'!BI145-'check-Jul25'!BI145)</f>
        <v/>
      </c>
      <c r="BJ145" t="str">
        <f>IF('1. Live'!BJ145='check-Jul25'!BJ145,"",'1. Live'!BJ145-'check-Jul25'!BJ145)</f>
        <v/>
      </c>
      <c r="BK145" t="str">
        <f>IF('1. Live'!BK145='check-Jul25'!BK145,"",'1. Live'!BK145-'check-Jul25'!BK145)</f>
        <v/>
      </c>
      <c r="BL145" t="str">
        <f>IF('1. Live'!BL145='check-Jul25'!BL145,"",'1. Live'!BL145-'check-Jul25'!BL145)</f>
        <v/>
      </c>
      <c r="BM145" t="str">
        <f>IF('1. Live'!BM145='check-Jul25'!BM145,"",'1. Live'!BM145-'check-Jul25'!BM145)</f>
        <v/>
      </c>
      <c r="BN145" t="str">
        <f>IF('1. Live'!BN145='check-Jul25'!BN145,"",'1. Live'!BN145-'check-Jul25'!BN145)</f>
        <v/>
      </c>
      <c r="BO145" t="str">
        <f>IF('1. Live'!BO145='check-Jul25'!BO145,"",'1. Live'!BO145-'check-Jul25'!BO145)</f>
        <v/>
      </c>
      <c r="BP145" t="str">
        <f>IF('1. Live'!BP145='check-Jul25'!BP145,"",'1. Live'!BP145-'check-Jul25'!BP145)</f>
        <v/>
      </c>
      <c r="BQ145" t="str">
        <f>IF('1. Live'!BQ145='check-Jul25'!BQ145,"",'1. Live'!BQ145-'check-Jul25'!BQ145)</f>
        <v/>
      </c>
      <c r="BR145" t="str">
        <f>IF('1. Live'!BR145='check-Jul25'!BR145,"",'1. Live'!BR145-'check-Jul25'!BR145)</f>
        <v/>
      </c>
      <c r="BS145" t="str">
        <f>IF('1. Live'!BS145='check-Jul25'!BS145,"",'1. Live'!BS145-'check-Jul25'!BS145)</f>
        <v/>
      </c>
      <c r="BT145" t="str">
        <f>IF('1. Live'!BT145='check-Jul25'!BT145,"",'1. Live'!BT145-'check-Jul25'!BT145)</f>
        <v/>
      </c>
      <c r="BU145" t="str">
        <f>IF('1. Live'!BU145='check-Jul25'!BU145,"",'1. Live'!BU145-'check-Jul25'!BU145)</f>
        <v/>
      </c>
      <c r="BV145" t="str">
        <f>IF('1. Live'!BV145='check-Jul25'!BV145,"",'1. Live'!BV145-'check-Jul25'!BV145)</f>
        <v/>
      </c>
      <c r="BW145" t="str">
        <f>IF('1. Live'!BW145='check-Jul25'!BW145,"",'1. Live'!BW145-'check-Jul25'!BW145)</f>
        <v/>
      </c>
      <c r="BX145" t="str">
        <f>IF('1. Live'!BX145='check-Jul25'!BX145,"",'1. Live'!BX145-'check-Jul25'!BX145)</f>
        <v/>
      </c>
      <c r="BY145" t="str">
        <f>IF('1. Live'!BY145='check-Jul25'!BY145,"",'1. Live'!BY145-'check-Jul25'!BY145)</f>
        <v/>
      </c>
      <c r="BZ145" t="str">
        <f>IF('1. Live'!BZ145='check-Jul25'!BZ145,"",'1. Live'!BZ145-'check-Jul25'!BZ145)</f>
        <v/>
      </c>
      <c r="CA145" t="str">
        <f>IF('1. Live'!CA145='check-Jul25'!CA145,"",'1. Live'!CA145-'check-Jul25'!CA145)</f>
        <v/>
      </c>
      <c r="CB145" t="str">
        <f>IF('1. Live'!CB145='check-Jul25'!CB145,"",'1. Live'!CB145-'check-Jul25'!CB145)</f>
        <v/>
      </c>
      <c r="CC145" t="str">
        <f>IF('1. Live'!CC145='check-Jul25'!CC145,"",'1. Live'!CC145-'check-Jul25'!CC145)</f>
        <v/>
      </c>
      <c r="CD145" t="str">
        <f>IF('1. Live'!CD145='check-Jul25'!CD145,"",'1. Live'!CD145-'check-Jul25'!CD145)</f>
        <v/>
      </c>
      <c r="CE145" t="str">
        <f>IF('1. Live'!CE145='check-Jul25'!CE145,"",'1. Live'!CE145-'check-Jul25'!CE145)</f>
        <v/>
      </c>
      <c r="CF145" t="str">
        <f>IF('1. Live'!CF145='check-Jul25'!CF145,"",'1. Live'!CF145-'check-Jul25'!CF145)</f>
        <v/>
      </c>
      <c r="CG145" t="str">
        <f>IF('1. Live'!CG145='check-Jul25'!CG145,"",'1. Live'!CG145-'check-Jul25'!CG145)</f>
        <v/>
      </c>
      <c r="CH145" t="str">
        <f>IF('1. Live'!CH145='check-Jul25'!CH145,"",'1. Live'!CH145-'check-Jul25'!CH145)</f>
        <v/>
      </c>
      <c r="CI145" t="str">
        <f>IF('1. Live'!CI145='check-Jul25'!CI145,"",'1. Live'!CI145-'check-Jul25'!CI145)</f>
        <v/>
      </c>
      <c r="CJ145" t="str">
        <f>IF('1. Live'!CJ145='check-Jul25'!CJ145,"",'1. Live'!CJ145-'check-Jul25'!CJ145)</f>
        <v/>
      </c>
      <c r="CK145" t="str">
        <f>IF('1. Live'!CK145='check-Jul25'!CK145,"",'1. Live'!CK145-'check-Jul25'!CK145)</f>
        <v/>
      </c>
      <c r="CL145" t="str">
        <f>IF('1. Live'!CL145='check-Jul25'!CL145,"",'1. Live'!CL145-'check-Jul25'!CL145)</f>
        <v/>
      </c>
      <c r="CM145" t="str">
        <f>IF('1. Live'!CM145='check-Jul25'!CM145,"",'1. Live'!CM145-'check-Jul25'!CM145)</f>
        <v/>
      </c>
      <c r="CN145" t="str">
        <f>IF('1. Live'!CN145='check-Jul25'!CN145,"",'1. Live'!CN145-'check-Jul25'!CN145)</f>
        <v/>
      </c>
      <c r="CO145" t="str">
        <f>IF('1. Live'!CO145='check-Jul25'!CO145,"",'1. Live'!CO145-'check-Jul25'!CO145)</f>
        <v/>
      </c>
      <c r="CP145" t="str">
        <f>IF('1. Live'!CP145='check-Jul25'!CP145,"",'1. Live'!CP145-'check-Jul25'!CP145)</f>
        <v/>
      </c>
      <c r="CQ145" t="str">
        <f>IF('1. Live'!CQ145='check-Jul25'!CQ145,"",'1. Live'!CQ145-'check-Jul25'!CQ145)</f>
        <v/>
      </c>
      <c r="CR145" t="str">
        <f>IF('1. Live'!CR145='check-Jul25'!CR145,"",'1. Live'!CR145-'check-Jul25'!CR145)</f>
        <v/>
      </c>
      <c r="CS145" t="str">
        <f>IF('1. Live'!CS145='check-Jul25'!CS145,"",'1. Live'!CS145-'check-Jul25'!CS145)</f>
        <v/>
      </c>
      <c r="CT145" t="str">
        <f>IF('1. Live'!CT145='check-Jul25'!CT145,"",'1. Live'!CT145-'check-Jul25'!CT145)</f>
        <v/>
      </c>
      <c r="CU145" t="str">
        <f>IF('1. Live'!CU145='check-Jul25'!CU145,"",'1. Live'!CU145-'check-Jul25'!CU145)</f>
        <v/>
      </c>
      <c r="CV145" t="str">
        <f>IF('1. Live'!CV145='check-Jul25'!CV145,"",'1. Live'!CV145-'check-Jul25'!CV145)</f>
        <v/>
      </c>
      <c r="CW145" t="str">
        <f>IF('1. Live'!CW145='check-Jul25'!CW145,"",'1. Live'!CW145-'check-Jul25'!CW145)</f>
        <v/>
      </c>
    </row>
    <row r="146" spans="10:101">
      <c r="J146" t="str">
        <f>IF('1. Live'!J146='check-Jul25'!J146,"",'1. Live'!J146-'check-Jul25'!J146)</f>
        <v/>
      </c>
      <c r="K146" t="str">
        <f>IF('1. Live'!K146='check-Jul25'!K146,"",'1. Live'!K146-'check-Jul25'!K146)</f>
        <v/>
      </c>
      <c r="L146" t="str">
        <f>IF('1. Live'!L146='check-Jul25'!L146,"",'1. Live'!L146-'check-Jul25'!L146)</f>
        <v/>
      </c>
      <c r="M146" t="str">
        <f>IF('1. Live'!M146='check-Jul25'!M146,"",'1. Live'!M146-'check-Jul25'!M146)</f>
        <v/>
      </c>
      <c r="N146" t="str">
        <f>IF('1. Live'!N146='check-Jul25'!N146,"",'1. Live'!N146-'check-Jul25'!N146)</f>
        <v/>
      </c>
      <c r="O146" t="str">
        <f>IF('1. Live'!O146='check-Jul25'!O146,"",'1. Live'!O146-'check-Jul25'!O146)</f>
        <v/>
      </c>
      <c r="P146" t="str">
        <f>IF('1. Live'!P146='check-Jul25'!P146,"",'1. Live'!P146-'check-Jul25'!P146)</f>
        <v/>
      </c>
      <c r="Q146" t="str">
        <f>IF('1. Live'!Q146='check-Jul25'!Q146,"",'1. Live'!Q146-'check-Jul25'!Q146)</f>
        <v/>
      </c>
      <c r="R146" t="str">
        <f>IF('1. Live'!R146='check-Jul25'!R146,"",'1. Live'!R146-'check-Jul25'!R146)</f>
        <v/>
      </c>
      <c r="S146" t="str">
        <f>IF('1. Live'!S146='check-Jul25'!S146,"",'1. Live'!S146-'check-Jul25'!S146)</f>
        <v/>
      </c>
      <c r="T146" t="str">
        <f>IF('1. Live'!T146='check-Jul25'!T146,"",'1. Live'!T146-'check-Jul25'!T146)</f>
        <v/>
      </c>
      <c r="U146" t="str">
        <f>IF('1. Live'!U146='check-Jul25'!U146,"",'1. Live'!U146-'check-Jul25'!U146)</f>
        <v/>
      </c>
      <c r="V146" t="str">
        <f>IF('1. Live'!V146='check-Jul25'!V146,"",'1. Live'!V146-'check-Jul25'!V146)</f>
        <v/>
      </c>
      <c r="W146" t="str">
        <f>IF('1. Live'!W146='check-Jul25'!W146,"",'1. Live'!W146-'check-Jul25'!W146)</f>
        <v/>
      </c>
      <c r="X146" t="str">
        <f>IF('1. Live'!X146='check-Jul25'!X146,"",'1. Live'!X146-'check-Jul25'!X146)</f>
        <v/>
      </c>
      <c r="Y146" t="str">
        <f>IF('1. Live'!Y146='check-Jul25'!Y146,"",'1. Live'!Y146-'check-Jul25'!Y146)</f>
        <v/>
      </c>
      <c r="Z146" t="str">
        <f>IF('1. Live'!Z146='check-Jul25'!Z146,"",'1. Live'!Z146-'check-Jul25'!Z146)</f>
        <v/>
      </c>
      <c r="AA146" t="str">
        <f>IF('1. Live'!AA146='check-Jul25'!AA146,"",'1. Live'!AA146-'check-Jul25'!AA146)</f>
        <v/>
      </c>
      <c r="AB146" t="str">
        <f>IF('1. Live'!AB146='check-Jul25'!AB146,"",'1. Live'!AB146-'check-Jul25'!AB146)</f>
        <v/>
      </c>
      <c r="AC146" t="str">
        <f>IF('1. Live'!AC146='check-Jul25'!AC146,"",'1. Live'!AC146-'check-Jul25'!AC146)</f>
        <v/>
      </c>
      <c r="AD146" t="str">
        <f>IF('1. Live'!AD146='check-Jul25'!AD146,"",'1. Live'!AD146-'check-Jul25'!AD146)</f>
        <v/>
      </c>
      <c r="AE146" t="str">
        <f>IF('1. Live'!AE146='check-Jul25'!AE146,"",'1. Live'!AE146-'check-Jul25'!AE146)</f>
        <v/>
      </c>
      <c r="AF146" t="str">
        <f>IF('1. Live'!AF146='check-Jul25'!AF146,"",'1. Live'!AF146-'check-Jul25'!AF146)</f>
        <v/>
      </c>
      <c r="AG146" t="str">
        <f>IF('1. Live'!AG146='check-Jul25'!AG146,"",'1. Live'!AG146-'check-Jul25'!AG146)</f>
        <v/>
      </c>
      <c r="AH146" t="str">
        <f>IF('1. Live'!AH146='check-Jul25'!AH146,"",'1. Live'!AH146-'check-Jul25'!AH146)</f>
        <v/>
      </c>
      <c r="AI146" t="str">
        <f>IF('1. Live'!AI146='check-Jul25'!AI146,"",'1. Live'!AI146-'check-Jul25'!AI146)</f>
        <v/>
      </c>
      <c r="AJ146" t="str">
        <f>IF('1. Live'!AJ146='check-Jul25'!AJ146,"",'1. Live'!AJ146-'check-Jul25'!AJ146)</f>
        <v/>
      </c>
      <c r="AK146" t="str">
        <f>IF('1. Live'!AK146='check-Jul25'!AK146,"",'1. Live'!AK146-'check-Jul25'!AK146)</f>
        <v/>
      </c>
      <c r="AL146" t="str">
        <f>IF('1. Live'!AL146='check-Jul25'!AL146,"",'1. Live'!AL146-'check-Jul25'!AL146)</f>
        <v/>
      </c>
      <c r="AM146" t="str">
        <f>IF('1. Live'!AM146='check-Jul25'!AM146,"",'1. Live'!AM146-'check-Jul25'!AM146)</f>
        <v/>
      </c>
      <c r="AN146" t="str">
        <f>IF('1. Live'!AN146='check-Jul25'!AN146,"",'1. Live'!AN146-'check-Jul25'!AN146)</f>
        <v/>
      </c>
      <c r="AO146" t="str">
        <f>IF('1. Live'!AO146='check-Jul25'!AO146,"",'1. Live'!AO146-'check-Jul25'!AO146)</f>
        <v/>
      </c>
      <c r="AP146" t="str">
        <f>IF('1. Live'!AP146='check-Jul25'!AP146,"",'1. Live'!AP146-'check-Jul25'!AP146)</f>
        <v/>
      </c>
      <c r="AQ146" t="str">
        <f>IF('1. Live'!AQ146='check-Jul25'!AQ146,"",'1. Live'!AQ146-'check-Jul25'!AQ146)</f>
        <v/>
      </c>
      <c r="AR146" t="str">
        <f>IF('1. Live'!AR146='check-Jul25'!AR146,"",'1. Live'!AR146-'check-Jul25'!AR146)</f>
        <v/>
      </c>
      <c r="AS146" t="str">
        <f>IF('1. Live'!AS146='check-Jul25'!AS146,"",'1. Live'!AS146-'check-Jul25'!AS146)</f>
        <v/>
      </c>
      <c r="AT146" t="str">
        <f>IF('1. Live'!AT146='check-Jul25'!AT146,"",'1. Live'!AT146-'check-Jul25'!AT146)</f>
        <v/>
      </c>
      <c r="AU146" t="str">
        <f>IF('1. Live'!AU146='check-Jul25'!AU146,"",'1. Live'!AU146-'check-Jul25'!AU146)</f>
        <v/>
      </c>
      <c r="AV146" t="str">
        <f>IF('1. Live'!AV146='check-Jul25'!AV146,"",'1. Live'!AV146-'check-Jul25'!AV146)</f>
        <v/>
      </c>
      <c r="AW146" t="str">
        <f>IF('1. Live'!AW146='check-Jul25'!AW146,"",'1. Live'!AW146-'check-Jul25'!AW146)</f>
        <v/>
      </c>
      <c r="AX146" t="str">
        <f>IF('1. Live'!AX146='check-Jul25'!AX146,"",'1. Live'!AX146-'check-Jul25'!AX146)</f>
        <v/>
      </c>
      <c r="AY146" t="str">
        <f>IF('1. Live'!AY146='check-Jul25'!AY146,"",'1. Live'!AY146-'check-Jul25'!AY146)</f>
        <v/>
      </c>
      <c r="AZ146" t="str">
        <f>IF('1. Live'!AZ146='check-Jul25'!AZ146,"",'1. Live'!AZ146-'check-Jul25'!AZ146)</f>
        <v/>
      </c>
      <c r="BA146" t="str">
        <f>IF('1. Live'!BA146='check-Jul25'!BA146,"",'1. Live'!BA146-'check-Jul25'!BA146)</f>
        <v/>
      </c>
      <c r="BB146" t="str">
        <f>IF('1. Live'!BB146='check-Jul25'!BB146,"",'1. Live'!BB146-'check-Jul25'!BB146)</f>
        <v/>
      </c>
      <c r="BC146" t="str">
        <f>IF('1. Live'!BC146='check-Jul25'!BC146,"",'1. Live'!BC146-'check-Jul25'!BC146)</f>
        <v/>
      </c>
      <c r="BD146" t="str">
        <f>IF('1. Live'!BD146='check-Jul25'!BD146,"",'1. Live'!BD146-'check-Jul25'!BD146)</f>
        <v/>
      </c>
      <c r="BE146" t="str">
        <f>IF('1. Live'!BE146='check-Jul25'!BE146,"",'1. Live'!BE146-'check-Jul25'!BE146)</f>
        <v/>
      </c>
      <c r="BF146" t="str">
        <f>IF('1. Live'!BF146='check-Jul25'!BF146,"",'1. Live'!BF146-'check-Jul25'!BF146)</f>
        <v/>
      </c>
      <c r="BG146" t="str">
        <f>IF('1. Live'!BG146='check-Jul25'!BG146,"",'1. Live'!BG146-'check-Jul25'!BG146)</f>
        <v/>
      </c>
      <c r="BH146" t="str">
        <f>IF('1. Live'!BH146='check-Jul25'!BH146,"",'1. Live'!BH146-'check-Jul25'!BH146)</f>
        <v/>
      </c>
      <c r="BI146" t="str">
        <f>IF('1. Live'!BI146='check-Jul25'!BI146,"",'1. Live'!BI146-'check-Jul25'!BI146)</f>
        <v/>
      </c>
      <c r="BJ146" t="str">
        <f>IF('1. Live'!BJ146='check-Jul25'!BJ146,"",'1. Live'!BJ146-'check-Jul25'!BJ146)</f>
        <v/>
      </c>
      <c r="BK146" t="str">
        <f>IF('1. Live'!BK146='check-Jul25'!BK146,"",'1. Live'!BK146-'check-Jul25'!BK146)</f>
        <v/>
      </c>
      <c r="BL146" t="str">
        <f>IF('1. Live'!BL146='check-Jul25'!BL146,"",'1. Live'!BL146-'check-Jul25'!BL146)</f>
        <v/>
      </c>
      <c r="BM146" t="str">
        <f>IF('1. Live'!BM146='check-Jul25'!BM146,"",'1. Live'!BM146-'check-Jul25'!BM146)</f>
        <v/>
      </c>
      <c r="BN146" t="str">
        <f>IF('1. Live'!BN146='check-Jul25'!BN146,"",'1. Live'!BN146-'check-Jul25'!BN146)</f>
        <v/>
      </c>
      <c r="BO146" t="str">
        <f>IF('1. Live'!BO146='check-Jul25'!BO146,"",'1. Live'!BO146-'check-Jul25'!BO146)</f>
        <v/>
      </c>
      <c r="BP146" t="str">
        <f>IF('1. Live'!BP146='check-Jul25'!BP146,"",'1. Live'!BP146-'check-Jul25'!BP146)</f>
        <v/>
      </c>
      <c r="BQ146" t="str">
        <f>IF('1. Live'!BQ146='check-Jul25'!BQ146,"",'1. Live'!BQ146-'check-Jul25'!BQ146)</f>
        <v/>
      </c>
      <c r="BR146" t="str">
        <f>IF('1. Live'!BR146='check-Jul25'!BR146,"",'1. Live'!BR146-'check-Jul25'!BR146)</f>
        <v/>
      </c>
      <c r="BS146" t="str">
        <f>IF('1. Live'!BS146='check-Jul25'!BS146,"",'1. Live'!BS146-'check-Jul25'!BS146)</f>
        <v/>
      </c>
      <c r="BT146" t="str">
        <f>IF('1. Live'!BT146='check-Jul25'!BT146,"",'1. Live'!BT146-'check-Jul25'!BT146)</f>
        <v/>
      </c>
      <c r="BU146" t="str">
        <f>IF('1. Live'!BU146='check-Jul25'!BU146,"",'1. Live'!BU146-'check-Jul25'!BU146)</f>
        <v/>
      </c>
      <c r="BV146" t="str">
        <f>IF('1. Live'!BV146='check-Jul25'!BV146,"",'1. Live'!BV146-'check-Jul25'!BV146)</f>
        <v/>
      </c>
      <c r="BW146" t="str">
        <f>IF('1. Live'!BW146='check-Jul25'!BW146,"",'1. Live'!BW146-'check-Jul25'!BW146)</f>
        <v/>
      </c>
      <c r="BX146" t="str">
        <f>IF('1. Live'!BX146='check-Jul25'!BX146,"",'1. Live'!BX146-'check-Jul25'!BX146)</f>
        <v/>
      </c>
      <c r="BY146" t="str">
        <f>IF('1. Live'!BY146='check-Jul25'!BY146,"",'1. Live'!BY146-'check-Jul25'!BY146)</f>
        <v/>
      </c>
      <c r="BZ146" t="str">
        <f>IF('1. Live'!BZ146='check-Jul25'!BZ146,"",'1. Live'!BZ146-'check-Jul25'!BZ146)</f>
        <v/>
      </c>
      <c r="CA146" t="str">
        <f>IF('1. Live'!CA146='check-Jul25'!CA146,"",'1. Live'!CA146-'check-Jul25'!CA146)</f>
        <v/>
      </c>
      <c r="CB146" t="str">
        <f>IF('1. Live'!CB146='check-Jul25'!CB146,"",'1. Live'!CB146-'check-Jul25'!CB146)</f>
        <v/>
      </c>
      <c r="CC146" t="str">
        <f>IF('1. Live'!CC146='check-Jul25'!CC146,"",'1. Live'!CC146-'check-Jul25'!CC146)</f>
        <v/>
      </c>
      <c r="CD146" t="str">
        <f>IF('1. Live'!CD146='check-Jul25'!CD146,"",'1. Live'!CD146-'check-Jul25'!CD146)</f>
        <v/>
      </c>
      <c r="CE146" t="str">
        <f>IF('1. Live'!CE146='check-Jul25'!CE146,"",'1. Live'!CE146-'check-Jul25'!CE146)</f>
        <v/>
      </c>
      <c r="CF146" t="str">
        <f>IF('1. Live'!CF146='check-Jul25'!CF146,"",'1. Live'!CF146-'check-Jul25'!CF146)</f>
        <v/>
      </c>
      <c r="CG146" t="str">
        <f>IF('1. Live'!CG146='check-Jul25'!CG146,"",'1. Live'!CG146-'check-Jul25'!CG146)</f>
        <v/>
      </c>
      <c r="CH146" t="str">
        <f>IF('1. Live'!CH146='check-Jul25'!CH146,"",'1. Live'!CH146-'check-Jul25'!CH146)</f>
        <v/>
      </c>
      <c r="CI146" t="str">
        <f>IF('1. Live'!CI146='check-Jul25'!CI146,"",'1. Live'!CI146-'check-Jul25'!CI146)</f>
        <v/>
      </c>
      <c r="CJ146" t="str">
        <f>IF('1. Live'!CJ146='check-Jul25'!CJ146,"",'1. Live'!CJ146-'check-Jul25'!CJ146)</f>
        <v/>
      </c>
      <c r="CK146" t="str">
        <f>IF('1. Live'!CK146='check-Jul25'!CK146,"",'1. Live'!CK146-'check-Jul25'!CK146)</f>
        <v/>
      </c>
      <c r="CL146" t="str">
        <f>IF('1. Live'!CL146='check-Jul25'!CL146,"",'1. Live'!CL146-'check-Jul25'!CL146)</f>
        <v/>
      </c>
      <c r="CM146" t="str">
        <f>IF('1. Live'!CM146='check-Jul25'!CM146,"",'1. Live'!CM146-'check-Jul25'!CM146)</f>
        <v/>
      </c>
      <c r="CN146" t="str">
        <f>IF('1. Live'!CN146='check-Jul25'!CN146,"",'1. Live'!CN146-'check-Jul25'!CN146)</f>
        <v/>
      </c>
      <c r="CO146" t="str">
        <f>IF('1. Live'!CO146='check-Jul25'!CO146,"",'1. Live'!CO146-'check-Jul25'!CO146)</f>
        <v/>
      </c>
      <c r="CP146" t="str">
        <f>IF('1. Live'!CP146='check-Jul25'!CP146,"",'1. Live'!CP146-'check-Jul25'!CP146)</f>
        <v/>
      </c>
      <c r="CQ146" t="str">
        <f>IF('1. Live'!CQ146='check-Jul25'!CQ146,"",'1. Live'!CQ146-'check-Jul25'!CQ146)</f>
        <v/>
      </c>
      <c r="CR146" t="str">
        <f>IF('1. Live'!CR146='check-Jul25'!CR146,"",'1. Live'!CR146-'check-Jul25'!CR146)</f>
        <v/>
      </c>
      <c r="CS146" t="str">
        <f>IF('1. Live'!CS146='check-Jul25'!CS146,"",'1. Live'!CS146-'check-Jul25'!CS146)</f>
        <v/>
      </c>
      <c r="CT146" t="str">
        <f>IF('1. Live'!CT146='check-Jul25'!CT146,"",'1. Live'!CT146-'check-Jul25'!CT146)</f>
        <v/>
      </c>
      <c r="CU146" t="str">
        <f>IF('1. Live'!CU146='check-Jul25'!CU146,"",'1. Live'!CU146-'check-Jul25'!CU146)</f>
        <v/>
      </c>
      <c r="CV146" t="str">
        <f>IF('1. Live'!CV146='check-Jul25'!CV146,"",'1. Live'!CV146-'check-Jul25'!CV146)</f>
        <v/>
      </c>
      <c r="CW146" t="str">
        <f>IF('1. Live'!CW146='check-Jul25'!CW146,"",'1. Live'!CW146-'check-Jul25'!CW146)</f>
        <v/>
      </c>
    </row>
    <row r="147" spans="10:101">
      <c r="J147" t="str">
        <f>IF('1. Live'!J147='check-Jul25'!J147,"",'1. Live'!J147-'check-Jul25'!J147)</f>
        <v/>
      </c>
      <c r="K147" t="str">
        <f>IF('1. Live'!K147='check-Jul25'!K147,"",'1. Live'!K147-'check-Jul25'!K147)</f>
        <v/>
      </c>
      <c r="L147" t="str">
        <f>IF('1. Live'!L147='check-Jul25'!L147,"",'1. Live'!L147-'check-Jul25'!L147)</f>
        <v/>
      </c>
      <c r="M147" t="str">
        <f>IF('1. Live'!M147='check-Jul25'!M147,"",'1. Live'!M147-'check-Jul25'!M147)</f>
        <v/>
      </c>
      <c r="N147" t="str">
        <f>IF('1. Live'!N147='check-Jul25'!N147,"",'1. Live'!N147-'check-Jul25'!N147)</f>
        <v/>
      </c>
      <c r="O147" t="str">
        <f>IF('1. Live'!O147='check-Jul25'!O147,"",'1. Live'!O147-'check-Jul25'!O147)</f>
        <v/>
      </c>
      <c r="P147" t="str">
        <f>IF('1. Live'!P147='check-Jul25'!P147,"",'1. Live'!P147-'check-Jul25'!P147)</f>
        <v/>
      </c>
      <c r="Q147" t="str">
        <f>IF('1. Live'!Q147='check-Jul25'!Q147,"",'1. Live'!Q147-'check-Jul25'!Q147)</f>
        <v/>
      </c>
      <c r="R147" t="str">
        <f>IF('1. Live'!R147='check-Jul25'!R147,"",'1. Live'!R147-'check-Jul25'!R147)</f>
        <v/>
      </c>
      <c r="S147" t="str">
        <f>IF('1. Live'!S147='check-Jul25'!S147,"",'1. Live'!S147-'check-Jul25'!S147)</f>
        <v/>
      </c>
      <c r="T147" t="str">
        <f>IF('1. Live'!T147='check-Jul25'!T147,"",'1. Live'!T147-'check-Jul25'!T147)</f>
        <v/>
      </c>
      <c r="U147" t="str">
        <f>IF('1. Live'!U147='check-Jul25'!U147,"",'1. Live'!U147-'check-Jul25'!U147)</f>
        <v/>
      </c>
      <c r="V147" t="str">
        <f>IF('1. Live'!V147='check-Jul25'!V147,"",'1. Live'!V147-'check-Jul25'!V147)</f>
        <v/>
      </c>
      <c r="W147" t="str">
        <f>IF('1. Live'!W147='check-Jul25'!W147,"",'1. Live'!W147-'check-Jul25'!W147)</f>
        <v/>
      </c>
      <c r="X147" t="str">
        <f>IF('1. Live'!X147='check-Jul25'!X147,"",'1. Live'!X147-'check-Jul25'!X147)</f>
        <v/>
      </c>
      <c r="Y147" t="str">
        <f>IF('1. Live'!Y147='check-Jul25'!Y147,"",'1. Live'!Y147-'check-Jul25'!Y147)</f>
        <v/>
      </c>
      <c r="Z147" t="str">
        <f>IF('1. Live'!Z147='check-Jul25'!Z147,"",'1. Live'!Z147-'check-Jul25'!Z147)</f>
        <v/>
      </c>
      <c r="AA147" t="str">
        <f>IF('1. Live'!AA147='check-Jul25'!AA147,"",'1. Live'!AA147-'check-Jul25'!AA147)</f>
        <v/>
      </c>
      <c r="AB147" t="str">
        <f>IF('1. Live'!AB147='check-Jul25'!AB147,"",'1. Live'!AB147-'check-Jul25'!AB147)</f>
        <v/>
      </c>
      <c r="AC147" t="str">
        <f>IF('1. Live'!AC147='check-Jul25'!AC147,"",'1. Live'!AC147-'check-Jul25'!AC147)</f>
        <v/>
      </c>
      <c r="AD147" t="str">
        <f>IF('1. Live'!AD147='check-Jul25'!AD147,"",'1. Live'!AD147-'check-Jul25'!AD147)</f>
        <v/>
      </c>
      <c r="AE147" t="str">
        <f>IF('1. Live'!AE147='check-Jul25'!AE147,"",'1. Live'!AE147-'check-Jul25'!AE147)</f>
        <v/>
      </c>
      <c r="AF147" t="str">
        <f>IF('1. Live'!AF147='check-Jul25'!AF147,"",'1. Live'!AF147-'check-Jul25'!AF147)</f>
        <v/>
      </c>
      <c r="AG147" t="str">
        <f>IF('1. Live'!AG147='check-Jul25'!AG147,"",'1. Live'!AG147-'check-Jul25'!AG147)</f>
        <v/>
      </c>
      <c r="AH147" t="str">
        <f>IF('1. Live'!AH147='check-Jul25'!AH147,"",'1. Live'!AH147-'check-Jul25'!AH147)</f>
        <v/>
      </c>
      <c r="AI147" t="str">
        <f>IF('1. Live'!AI147='check-Jul25'!AI147,"",'1. Live'!AI147-'check-Jul25'!AI147)</f>
        <v/>
      </c>
      <c r="AJ147" t="str">
        <f>IF('1. Live'!AJ147='check-Jul25'!AJ147,"",'1. Live'!AJ147-'check-Jul25'!AJ147)</f>
        <v/>
      </c>
      <c r="AK147" t="str">
        <f>IF('1. Live'!AK147='check-Jul25'!AK147,"",'1. Live'!AK147-'check-Jul25'!AK147)</f>
        <v/>
      </c>
      <c r="AL147" t="str">
        <f>IF('1. Live'!AL147='check-Jul25'!AL147,"",'1. Live'!AL147-'check-Jul25'!AL147)</f>
        <v/>
      </c>
      <c r="AM147" t="str">
        <f>IF('1. Live'!AM147='check-Jul25'!AM147,"",'1. Live'!AM147-'check-Jul25'!AM147)</f>
        <v/>
      </c>
      <c r="AN147" t="str">
        <f>IF('1. Live'!AN147='check-Jul25'!AN147,"",'1. Live'!AN147-'check-Jul25'!AN147)</f>
        <v/>
      </c>
      <c r="AO147" t="str">
        <f>IF('1. Live'!AO147='check-Jul25'!AO147,"",'1. Live'!AO147-'check-Jul25'!AO147)</f>
        <v/>
      </c>
      <c r="AP147" t="str">
        <f>IF('1. Live'!AP147='check-Jul25'!AP147,"",'1. Live'!AP147-'check-Jul25'!AP147)</f>
        <v/>
      </c>
      <c r="AQ147" t="str">
        <f>IF('1. Live'!AQ147='check-Jul25'!AQ147,"",'1. Live'!AQ147-'check-Jul25'!AQ147)</f>
        <v/>
      </c>
      <c r="AR147" t="str">
        <f>IF('1. Live'!AR147='check-Jul25'!AR147,"",'1. Live'!AR147-'check-Jul25'!AR147)</f>
        <v/>
      </c>
      <c r="AS147" t="str">
        <f>IF('1. Live'!AS147='check-Jul25'!AS147,"",'1. Live'!AS147-'check-Jul25'!AS147)</f>
        <v/>
      </c>
      <c r="AT147" t="str">
        <f>IF('1. Live'!AT147='check-Jul25'!AT147,"",'1. Live'!AT147-'check-Jul25'!AT147)</f>
        <v/>
      </c>
      <c r="AU147" t="str">
        <f>IF('1. Live'!AU147='check-Jul25'!AU147,"",'1. Live'!AU147-'check-Jul25'!AU147)</f>
        <v/>
      </c>
      <c r="AV147" t="str">
        <f>IF('1. Live'!AV147='check-Jul25'!AV147,"",'1. Live'!AV147-'check-Jul25'!AV147)</f>
        <v/>
      </c>
      <c r="AW147" t="str">
        <f>IF('1. Live'!AW147='check-Jul25'!AW147,"",'1. Live'!AW147-'check-Jul25'!AW147)</f>
        <v/>
      </c>
      <c r="AX147" t="str">
        <f>IF('1. Live'!AX147='check-Jul25'!AX147,"",'1. Live'!AX147-'check-Jul25'!AX147)</f>
        <v/>
      </c>
      <c r="AY147" t="str">
        <f>IF('1. Live'!AY147='check-Jul25'!AY147,"",'1. Live'!AY147-'check-Jul25'!AY147)</f>
        <v/>
      </c>
      <c r="AZ147" t="str">
        <f>IF('1. Live'!AZ147='check-Jul25'!AZ147,"",'1. Live'!AZ147-'check-Jul25'!AZ147)</f>
        <v/>
      </c>
      <c r="BA147" t="str">
        <f>IF('1. Live'!BA147='check-Jul25'!BA147,"",'1. Live'!BA147-'check-Jul25'!BA147)</f>
        <v/>
      </c>
      <c r="BB147" t="str">
        <f>IF('1. Live'!BB147='check-Jul25'!BB147,"",'1. Live'!BB147-'check-Jul25'!BB147)</f>
        <v/>
      </c>
      <c r="BC147" t="str">
        <f>IF('1. Live'!BC147='check-Jul25'!BC147,"",'1. Live'!BC147-'check-Jul25'!BC147)</f>
        <v/>
      </c>
      <c r="BD147" t="str">
        <f>IF('1. Live'!BD147='check-Jul25'!BD147,"",'1. Live'!BD147-'check-Jul25'!BD147)</f>
        <v/>
      </c>
      <c r="BE147" t="str">
        <f>IF('1. Live'!BE147='check-Jul25'!BE147,"",'1. Live'!BE147-'check-Jul25'!BE147)</f>
        <v/>
      </c>
      <c r="BF147" t="str">
        <f>IF('1. Live'!BF147='check-Jul25'!BF147,"",'1. Live'!BF147-'check-Jul25'!BF147)</f>
        <v/>
      </c>
      <c r="BG147" t="str">
        <f>IF('1. Live'!BG147='check-Jul25'!BG147,"",'1. Live'!BG147-'check-Jul25'!BG147)</f>
        <v/>
      </c>
      <c r="BH147" t="str">
        <f>IF('1. Live'!BH147='check-Jul25'!BH147,"",'1. Live'!BH147-'check-Jul25'!BH147)</f>
        <v/>
      </c>
      <c r="BI147" t="str">
        <f>IF('1. Live'!BI147='check-Jul25'!BI147,"",'1. Live'!BI147-'check-Jul25'!BI147)</f>
        <v/>
      </c>
      <c r="BJ147" t="str">
        <f>IF('1. Live'!BJ147='check-Jul25'!BJ147,"",'1. Live'!BJ147-'check-Jul25'!BJ147)</f>
        <v/>
      </c>
      <c r="BK147" t="str">
        <f>IF('1. Live'!BK147='check-Jul25'!BK147,"",'1. Live'!BK147-'check-Jul25'!BK147)</f>
        <v/>
      </c>
      <c r="BL147" t="str">
        <f>IF('1. Live'!BL147='check-Jul25'!BL147,"",'1. Live'!BL147-'check-Jul25'!BL147)</f>
        <v/>
      </c>
      <c r="BM147" t="str">
        <f>IF('1. Live'!BM147='check-Jul25'!BM147,"",'1. Live'!BM147-'check-Jul25'!BM147)</f>
        <v/>
      </c>
      <c r="BN147" t="str">
        <f>IF('1. Live'!BN147='check-Jul25'!BN147,"",'1. Live'!BN147-'check-Jul25'!BN147)</f>
        <v/>
      </c>
      <c r="BO147" t="str">
        <f>IF('1. Live'!BO147='check-Jul25'!BO147,"",'1. Live'!BO147-'check-Jul25'!BO147)</f>
        <v/>
      </c>
      <c r="BP147" t="str">
        <f>IF('1. Live'!BP147='check-Jul25'!BP147,"",'1. Live'!BP147-'check-Jul25'!BP147)</f>
        <v/>
      </c>
      <c r="BQ147" t="str">
        <f>IF('1. Live'!BQ147='check-Jul25'!BQ147,"",'1. Live'!BQ147-'check-Jul25'!BQ147)</f>
        <v/>
      </c>
      <c r="BR147" t="str">
        <f>IF('1. Live'!BR147='check-Jul25'!BR147,"",'1. Live'!BR147-'check-Jul25'!BR147)</f>
        <v/>
      </c>
      <c r="BS147" t="str">
        <f>IF('1. Live'!BS147='check-Jul25'!BS147,"",'1. Live'!BS147-'check-Jul25'!BS147)</f>
        <v/>
      </c>
      <c r="BT147" t="str">
        <f>IF('1. Live'!BT147='check-Jul25'!BT147,"",'1. Live'!BT147-'check-Jul25'!BT147)</f>
        <v/>
      </c>
      <c r="BU147" t="str">
        <f>IF('1. Live'!BU147='check-Jul25'!BU147,"",'1. Live'!BU147-'check-Jul25'!BU147)</f>
        <v/>
      </c>
      <c r="BV147" t="str">
        <f>IF('1. Live'!BV147='check-Jul25'!BV147,"",'1. Live'!BV147-'check-Jul25'!BV147)</f>
        <v/>
      </c>
      <c r="BW147" t="str">
        <f>IF('1. Live'!BW147='check-Jul25'!BW147,"",'1. Live'!BW147-'check-Jul25'!BW147)</f>
        <v/>
      </c>
      <c r="BX147" t="str">
        <f>IF('1. Live'!BX147='check-Jul25'!BX147,"",'1. Live'!BX147-'check-Jul25'!BX147)</f>
        <v/>
      </c>
      <c r="BY147" t="str">
        <f>IF('1. Live'!BY147='check-Jul25'!BY147,"",'1. Live'!BY147-'check-Jul25'!BY147)</f>
        <v/>
      </c>
      <c r="BZ147" t="str">
        <f>IF('1. Live'!BZ147='check-Jul25'!BZ147,"",'1. Live'!BZ147-'check-Jul25'!BZ147)</f>
        <v/>
      </c>
      <c r="CA147" t="str">
        <f>IF('1. Live'!CA147='check-Jul25'!CA147,"",'1. Live'!CA147-'check-Jul25'!CA147)</f>
        <v/>
      </c>
      <c r="CB147" t="str">
        <f>IF('1. Live'!CB147='check-Jul25'!CB147,"",'1. Live'!CB147-'check-Jul25'!CB147)</f>
        <v/>
      </c>
      <c r="CC147" t="str">
        <f>IF('1. Live'!CC147='check-Jul25'!CC147,"",'1. Live'!CC147-'check-Jul25'!CC147)</f>
        <v/>
      </c>
      <c r="CD147" t="str">
        <f>IF('1. Live'!CD147='check-Jul25'!CD147,"",'1. Live'!CD147-'check-Jul25'!CD147)</f>
        <v/>
      </c>
      <c r="CE147" t="str">
        <f>IF('1. Live'!CE147='check-Jul25'!CE147,"",'1. Live'!CE147-'check-Jul25'!CE147)</f>
        <v/>
      </c>
      <c r="CF147" t="str">
        <f>IF('1. Live'!CF147='check-Jul25'!CF147,"",'1. Live'!CF147-'check-Jul25'!CF147)</f>
        <v/>
      </c>
      <c r="CG147" t="str">
        <f>IF('1. Live'!CG147='check-Jul25'!CG147,"",'1. Live'!CG147-'check-Jul25'!CG147)</f>
        <v/>
      </c>
      <c r="CH147" t="str">
        <f>IF('1. Live'!CH147='check-Jul25'!CH147,"",'1. Live'!CH147-'check-Jul25'!CH147)</f>
        <v/>
      </c>
      <c r="CI147" t="str">
        <f>IF('1. Live'!CI147='check-Jul25'!CI147,"",'1. Live'!CI147-'check-Jul25'!CI147)</f>
        <v/>
      </c>
      <c r="CJ147" t="str">
        <f>IF('1. Live'!CJ147='check-Jul25'!CJ147,"",'1. Live'!CJ147-'check-Jul25'!CJ147)</f>
        <v/>
      </c>
      <c r="CK147" t="str">
        <f>IF('1. Live'!CK147='check-Jul25'!CK147,"",'1. Live'!CK147-'check-Jul25'!CK147)</f>
        <v/>
      </c>
      <c r="CL147" t="str">
        <f>IF('1. Live'!CL147='check-Jul25'!CL147,"",'1. Live'!CL147-'check-Jul25'!CL147)</f>
        <v/>
      </c>
      <c r="CM147" t="str">
        <f>IF('1. Live'!CM147='check-Jul25'!CM147,"",'1. Live'!CM147-'check-Jul25'!CM147)</f>
        <v/>
      </c>
      <c r="CN147" t="str">
        <f>IF('1. Live'!CN147='check-Jul25'!CN147,"",'1. Live'!CN147-'check-Jul25'!CN147)</f>
        <v/>
      </c>
      <c r="CO147" t="str">
        <f>IF('1. Live'!CO147='check-Jul25'!CO147,"",'1. Live'!CO147-'check-Jul25'!CO147)</f>
        <v/>
      </c>
      <c r="CP147" t="str">
        <f>IF('1. Live'!CP147='check-Jul25'!CP147,"",'1. Live'!CP147-'check-Jul25'!CP147)</f>
        <v/>
      </c>
      <c r="CQ147" t="str">
        <f>IF('1. Live'!CQ147='check-Jul25'!CQ147,"",'1. Live'!CQ147-'check-Jul25'!CQ147)</f>
        <v/>
      </c>
      <c r="CR147" t="str">
        <f>IF('1. Live'!CR147='check-Jul25'!CR147,"",'1. Live'!CR147-'check-Jul25'!CR147)</f>
        <v/>
      </c>
      <c r="CS147" t="str">
        <f>IF('1. Live'!CS147='check-Jul25'!CS147,"",'1. Live'!CS147-'check-Jul25'!CS147)</f>
        <v/>
      </c>
      <c r="CT147" t="str">
        <f>IF('1. Live'!CT147='check-Jul25'!CT147,"",'1. Live'!CT147-'check-Jul25'!CT147)</f>
        <v/>
      </c>
      <c r="CU147" t="str">
        <f>IF('1. Live'!CU147='check-Jul25'!CU147,"",'1. Live'!CU147-'check-Jul25'!CU147)</f>
        <v/>
      </c>
      <c r="CV147" t="str">
        <f>IF('1. Live'!CV147='check-Jul25'!CV147,"",'1. Live'!CV147-'check-Jul25'!CV147)</f>
        <v/>
      </c>
      <c r="CW147" t="str">
        <f>IF('1. Live'!CW147='check-Jul25'!CW147,"",'1. Live'!CW147-'check-Jul25'!CW147)</f>
        <v/>
      </c>
    </row>
    <row r="148" spans="10:101">
      <c r="J148" t="str">
        <f>IF('1. Live'!J148='check-Jul25'!J148,"",'1. Live'!J148-'check-Jul25'!J148)</f>
        <v/>
      </c>
      <c r="K148" t="str">
        <f>IF('1. Live'!K148='check-Jul25'!K148,"",'1. Live'!K148-'check-Jul25'!K148)</f>
        <v/>
      </c>
      <c r="L148" t="str">
        <f>IF('1. Live'!L148='check-Jul25'!L148,"",'1. Live'!L148-'check-Jul25'!L148)</f>
        <v/>
      </c>
      <c r="M148" t="str">
        <f>IF('1. Live'!M148='check-Jul25'!M148,"",'1. Live'!M148-'check-Jul25'!M148)</f>
        <v/>
      </c>
      <c r="N148" t="str">
        <f>IF('1. Live'!N148='check-Jul25'!N148,"",'1. Live'!N148-'check-Jul25'!N148)</f>
        <v/>
      </c>
      <c r="O148" t="str">
        <f>IF('1. Live'!O148='check-Jul25'!O148,"",'1. Live'!O148-'check-Jul25'!O148)</f>
        <v/>
      </c>
      <c r="P148" t="str">
        <f>IF('1. Live'!P148='check-Jul25'!P148,"",'1. Live'!P148-'check-Jul25'!P148)</f>
        <v/>
      </c>
      <c r="Q148" t="str">
        <f>IF('1. Live'!Q148='check-Jul25'!Q148,"",'1. Live'!Q148-'check-Jul25'!Q148)</f>
        <v/>
      </c>
      <c r="R148" t="str">
        <f>IF('1. Live'!R148='check-Jul25'!R148,"",'1. Live'!R148-'check-Jul25'!R148)</f>
        <v/>
      </c>
      <c r="S148" t="str">
        <f>IF('1. Live'!S148='check-Jul25'!S148,"",'1. Live'!S148-'check-Jul25'!S148)</f>
        <v/>
      </c>
      <c r="T148" t="str">
        <f>IF('1. Live'!T148='check-Jul25'!T148,"",'1. Live'!T148-'check-Jul25'!T148)</f>
        <v/>
      </c>
      <c r="U148" t="str">
        <f>IF('1. Live'!U148='check-Jul25'!U148,"",'1. Live'!U148-'check-Jul25'!U148)</f>
        <v/>
      </c>
      <c r="V148" t="str">
        <f>IF('1. Live'!V148='check-Jul25'!V148,"",'1. Live'!V148-'check-Jul25'!V148)</f>
        <v/>
      </c>
      <c r="W148" t="str">
        <f>IF('1. Live'!W148='check-Jul25'!W148,"",'1. Live'!W148-'check-Jul25'!W148)</f>
        <v/>
      </c>
      <c r="X148" t="str">
        <f>IF('1. Live'!X148='check-Jul25'!X148,"",'1. Live'!X148-'check-Jul25'!X148)</f>
        <v/>
      </c>
      <c r="Y148" t="str">
        <f>IF('1. Live'!Y148='check-Jul25'!Y148,"",'1. Live'!Y148-'check-Jul25'!Y148)</f>
        <v/>
      </c>
      <c r="Z148" t="str">
        <f>IF('1. Live'!Z148='check-Jul25'!Z148,"",'1. Live'!Z148-'check-Jul25'!Z148)</f>
        <v/>
      </c>
      <c r="AA148" t="str">
        <f>IF('1. Live'!AA148='check-Jul25'!AA148,"",'1. Live'!AA148-'check-Jul25'!AA148)</f>
        <v/>
      </c>
      <c r="AB148" t="str">
        <f>IF('1. Live'!AB148='check-Jul25'!AB148,"",'1. Live'!AB148-'check-Jul25'!AB148)</f>
        <v/>
      </c>
      <c r="AC148" t="str">
        <f>IF('1. Live'!AC148='check-Jul25'!AC148,"",'1. Live'!AC148-'check-Jul25'!AC148)</f>
        <v/>
      </c>
      <c r="AD148" t="str">
        <f>IF('1. Live'!AD148='check-Jul25'!AD148,"",'1. Live'!AD148-'check-Jul25'!AD148)</f>
        <v/>
      </c>
      <c r="AE148" t="str">
        <f>IF('1. Live'!AE148='check-Jul25'!AE148,"",'1. Live'!AE148-'check-Jul25'!AE148)</f>
        <v/>
      </c>
      <c r="AF148" t="str">
        <f>IF('1. Live'!AF148='check-Jul25'!AF148,"",'1. Live'!AF148-'check-Jul25'!AF148)</f>
        <v/>
      </c>
      <c r="AG148" t="str">
        <f>IF('1. Live'!AG148='check-Jul25'!AG148,"",'1. Live'!AG148-'check-Jul25'!AG148)</f>
        <v/>
      </c>
      <c r="AH148" t="str">
        <f>IF('1. Live'!AH148='check-Jul25'!AH148,"",'1. Live'!AH148-'check-Jul25'!AH148)</f>
        <v/>
      </c>
      <c r="AI148" t="str">
        <f>IF('1. Live'!AI148='check-Jul25'!AI148,"",'1. Live'!AI148-'check-Jul25'!AI148)</f>
        <v/>
      </c>
      <c r="AJ148" t="str">
        <f>IF('1. Live'!AJ148='check-Jul25'!AJ148,"",'1. Live'!AJ148-'check-Jul25'!AJ148)</f>
        <v/>
      </c>
      <c r="AK148" t="str">
        <f>IF('1. Live'!AK148='check-Jul25'!AK148,"",'1. Live'!AK148-'check-Jul25'!AK148)</f>
        <v/>
      </c>
      <c r="AL148" t="str">
        <f>IF('1. Live'!AL148='check-Jul25'!AL148,"",'1. Live'!AL148-'check-Jul25'!AL148)</f>
        <v/>
      </c>
      <c r="AM148" t="str">
        <f>IF('1. Live'!AM148='check-Jul25'!AM148,"",'1. Live'!AM148-'check-Jul25'!AM148)</f>
        <v/>
      </c>
      <c r="AN148" t="str">
        <f>IF('1. Live'!AN148='check-Jul25'!AN148,"",'1. Live'!AN148-'check-Jul25'!AN148)</f>
        <v/>
      </c>
      <c r="AO148" t="str">
        <f>IF('1. Live'!AO148='check-Jul25'!AO148,"",'1. Live'!AO148-'check-Jul25'!AO148)</f>
        <v/>
      </c>
      <c r="AP148" t="str">
        <f>IF('1. Live'!AP148='check-Jul25'!AP148,"",'1. Live'!AP148-'check-Jul25'!AP148)</f>
        <v/>
      </c>
      <c r="AQ148" t="str">
        <f>IF('1. Live'!AQ148='check-Jul25'!AQ148,"",'1. Live'!AQ148-'check-Jul25'!AQ148)</f>
        <v/>
      </c>
      <c r="AR148" t="str">
        <f>IF('1. Live'!AR148='check-Jul25'!AR148,"",'1. Live'!AR148-'check-Jul25'!AR148)</f>
        <v/>
      </c>
      <c r="AS148" t="str">
        <f>IF('1. Live'!AS148='check-Jul25'!AS148,"",'1. Live'!AS148-'check-Jul25'!AS148)</f>
        <v/>
      </c>
      <c r="AT148" t="str">
        <f>IF('1. Live'!AT148='check-Jul25'!AT148,"",'1. Live'!AT148-'check-Jul25'!AT148)</f>
        <v/>
      </c>
      <c r="AU148" t="str">
        <f>IF('1. Live'!AU148='check-Jul25'!AU148,"",'1. Live'!AU148-'check-Jul25'!AU148)</f>
        <v/>
      </c>
      <c r="AV148" t="str">
        <f>IF('1. Live'!AV148='check-Jul25'!AV148,"",'1. Live'!AV148-'check-Jul25'!AV148)</f>
        <v/>
      </c>
      <c r="AW148" t="str">
        <f>IF('1. Live'!AW148='check-Jul25'!AW148,"",'1. Live'!AW148-'check-Jul25'!AW148)</f>
        <v/>
      </c>
      <c r="AX148" t="str">
        <f>IF('1. Live'!AX148='check-Jul25'!AX148,"",'1. Live'!AX148-'check-Jul25'!AX148)</f>
        <v/>
      </c>
      <c r="AY148" t="str">
        <f>IF('1. Live'!AY148='check-Jul25'!AY148,"",'1. Live'!AY148-'check-Jul25'!AY148)</f>
        <v/>
      </c>
      <c r="AZ148" t="str">
        <f>IF('1. Live'!AZ148='check-Jul25'!AZ148,"",'1. Live'!AZ148-'check-Jul25'!AZ148)</f>
        <v/>
      </c>
      <c r="BA148" t="str">
        <f>IF('1. Live'!BA148='check-Jul25'!BA148,"",'1. Live'!BA148-'check-Jul25'!BA148)</f>
        <v/>
      </c>
      <c r="BB148" t="str">
        <f>IF('1. Live'!BB148='check-Jul25'!BB148,"",'1. Live'!BB148-'check-Jul25'!BB148)</f>
        <v/>
      </c>
      <c r="BC148" t="str">
        <f>IF('1. Live'!BC148='check-Jul25'!BC148,"",'1. Live'!BC148-'check-Jul25'!BC148)</f>
        <v/>
      </c>
      <c r="BD148" t="str">
        <f>IF('1. Live'!BD148='check-Jul25'!BD148,"",'1. Live'!BD148-'check-Jul25'!BD148)</f>
        <v/>
      </c>
      <c r="BE148" t="str">
        <f>IF('1. Live'!BE148='check-Jul25'!BE148,"",'1. Live'!BE148-'check-Jul25'!BE148)</f>
        <v/>
      </c>
      <c r="BF148" t="str">
        <f>IF('1. Live'!BF148='check-Jul25'!BF148,"",'1. Live'!BF148-'check-Jul25'!BF148)</f>
        <v/>
      </c>
      <c r="BG148" t="str">
        <f>IF('1. Live'!BG148='check-Jul25'!BG148,"",'1. Live'!BG148-'check-Jul25'!BG148)</f>
        <v/>
      </c>
      <c r="BH148" t="str">
        <f>IF('1. Live'!BH148='check-Jul25'!BH148,"",'1. Live'!BH148-'check-Jul25'!BH148)</f>
        <v/>
      </c>
      <c r="BI148" t="str">
        <f>IF('1. Live'!BI148='check-Jul25'!BI148,"",'1. Live'!BI148-'check-Jul25'!BI148)</f>
        <v/>
      </c>
      <c r="BJ148" t="str">
        <f>IF('1. Live'!BJ148='check-Jul25'!BJ148,"",'1. Live'!BJ148-'check-Jul25'!BJ148)</f>
        <v/>
      </c>
      <c r="BK148" t="str">
        <f>IF('1. Live'!BK148='check-Jul25'!BK148,"",'1. Live'!BK148-'check-Jul25'!BK148)</f>
        <v/>
      </c>
      <c r="BL148" t="str">
        <f>IF('1. Live'!BL148='check-Jul25'!BL148,"",'1. Live'!BL148-'check-Jul25'!BL148)</f>
        <v/>
      </c>
      <c r="BM148" t="str">
        <f>IF('1. Live'!BM148='check-Jul25'!BM148,"",'1. Live'!BM148-'check-Jul25'!BM148)</f>
        <v/>
      </c>
      <c r="BN148" t="str">
        <f>IF('1. Live'!BN148='check-Jul25'!BN148,"",'1. Live'!BN148-'check-Jul25'!BN148)</f>
        <v/>
      </c>
      <c r="BO148" t="str">
        <f>IF('1. Live'!BO148='check-Jul25'!BO148,"",'1. Live'!BO148-'check-Jul25'!BO148)</f>
        <v/>
      </c>
      <c r="BP148" t="str">
        <f>IF('1. Live'!BP148='check-Jul25'!BP148,"",'1. Live'!BP148-'check-Jul25'!BP148)</f>
        <v/>
      </c>
      <c r="BQ148" t="str">
        <f>IF('1. Live'!BQ148='check-Jul25'!BQ148,"",'1. Live'!BQ148-'check-Jul25'!BQ148)</f>
        <v/>
      </c>
      <c r="BR148" t="str">
        <f>IF('1. Live'!BR148='check-Jul25'!BR148,"",'1. Live'!BR148-'check-Jul25'!BR148)</f>
        <v/>
      </c>
      <c r="BS148" t="str">
        <f>IF('1. Live'!BS148='check-Jul25'!BS148,"",'1. Live'!BS148-'check-Jul25'!BS148)</f>
        <v/>
      </c>
      <c r="BT148" t="str">
        <f>IF('1. Live'!BT148='check-Jul25'!BT148,"",'1. Live'!BT148-'check-Jul25'!BT148)</f>
        <v/>
      </c>
      <c r="BU148" t="str">
        <f>IF('1. Live'!BU148='check-Jul25'!BU148,"",'1. Live'!BU148-'check-Jul25'!BU148)</f>
        <v/>
      </c>
      <c r="BV148" t="str">
        <f>IF('1. Live'!BV148='check-Jul25'!BV148,"",'1. Live'!BV148-'check-Jul25'!BV148)</f>
        <v/>
      </c>
      <c r="BW148" t="str">
        <f>IF('1. Live'!BW148='check-Jul25'!BW148,"",'1. Live'!BW148-'check-Jul25'!BW148)</f>
        <v/>
      </c>
      <c r="BX148" t="str">
        <f>IF('1. Live'!BX148='check-Jul25'!BX148,"",'1. Live'!BX148-'check-Jul25'!BX148)</f>
        <v/>
      </c>
      <c r="BY148" t="str">
        <f>IF('1. Live'!BY148='check-Jul25'!BY148,"",'1. Live'!BY148-'check-Jul25'!BY148)</f>
        <v/>
      </c>
      <c r="BZ148" t="str">
        <f>IF('1. Live'!BZ148='check-Jul25'!BZ148,"",'1. Live'!BZ148-'check-Jul25'!BZ148)</f>
        <v/>
      </c>
      <c r="CA148" t="str">
        <f>IF('1. Live'!CA148='check-Jul25'!CA148,"",'1. Live'!CA148-'check-Jul25'!CA148)</f>
        <v/>
      </c>
      <c r="CB148" t="str">
        <f>IF('1. Live'!CB148='check-Jul25'!CB148,"",'1. Live'!CB148-'check-Jul25'!CB148)</f>
        <v/>
      </c>
      <c r="CC148" t="str">
        <f>IF('1. Live'!CC148='check-Jul25'!CC148,"",'1. Live'!CC148-'check-Jul25'!CC148)</f>
        <v/>
      </c>
      <c r="CD148" t="str">
        <f>IF('1. Live'!CD148='check-Jul25'!CD148,"",'1. Live'!CD148-'check-Jul25'!CD148)</f>
        <v/>
      </c>
      <c r="CE148" t="str">
        <f>IF('1. Live'!CE148='check-Jul25'!CE148,"",'1. Live'!CE148-'check-Jul25'!CE148)</f>
        <v/>
      </c>
      <c r="CF148" t="str">
        <f>IF('1. Live'!CF148='check-Jul25'!CF148,"",'1. Live'!CF148-'check-Jul25'!CF148)</f>
        <v/>
      </c>
      <c r="CG148" t="str">
        <f>IF('1. Live'!CG148='check-Jul25'!CG148,"",'1. Live'!CG148-'check-Jul25'!CG148)</f>
        <v/>
      </c>
      <c r="CH148" t="str">
        <f>IF('1. Live'!CH148='check-Jul25'!CH148,"",'1. Live'!CH148-'check-Jul25'!CH148)</f>
        <v/>
      </c>
      <c r="CI148" t="str">
        <f>IF('1. Live'!CI148='check-Jul25'!CI148,"",'1. Live'!CI148-'check-Jul25'!CI148)</f>
        <v/>
      </c>
      <c r="CJ148" t="str">
        <f>IF('1. Live'!CJ148='check-Jul25'!CJ148,"",'1. Live'!CJ148-'check-Jul25'!CJ148)</f>
        <v/>
      </c>
      <c r="CK148" t="str">
        <f>IF('1. Live'!CK148='check-Jul25'!CK148,"",'1. Live'!CK148-'check-Jul25'!CK148)</f>
        <v/>
      </c>
      <c r="CL148" t="str">
        <f>IF('1. Live'!CL148='check-Jul25'!CL148,"",'1. Live'!CL148-'check-Jul25'!CL148)</f>
        <v/>
      </c>
      <c r="CM148" t="str">
        <f>IF('1. Live'!CM148='check-Jul25'!CM148,"",'1. Live'!CM148-'check-Jul25'!CM148)</f>
        <v/>
      </c>
      <c r="CN148" t="str">
        <f>IF('1. Live'!CN148='check-Jul25'!CN148,"",'1. Live'!CN148-'check-Jul25'!CN148)</f>
        <v/>
      </c>
      <c r="CO148" t="str">
        <f>IF('1. Live'!CO148='check-Jul25'!CO148,"",'1. Live'!CO148-'check-Jul25'!CO148)</f>
        <v/>
      </c>
      <c r="CP148" t="str">
        <f>IF('1. Live'!CP148='check-Jul25'!CP148,"",'1. Live'!CP148-'check-Jul25'!CP148)</f>
        <v/>
      </c>
      <c r="CQ148" t="str">
        <f>IF('1. Live'!CQ148='check-Jul25'!CQ148,"",'1. Live'!CQ148-'check-Jul25'!CQ148)</f>
        <v/>
      </c>
      <c r="CR148" t="str">
        <f>IF('1. Live'!CR148='check-Jul25'!CR148,"",'1. Live'!CR148-'check-Jul25'!CR148)</f>
        <v/>
      </c>
      <c r="CS148" t="str">
        <f>IF('1. Live'!CS148='check-Jul25'!CS148,"",'1. Live'!CS148-'check-Jul25'!CS148)</f>
        <v/>
      </c>
      <c r="CT148" t="str">
        <f>IF('1. Live'!CT148='check-Jul25'!CT148,"",'1. Live'!CT148-'check-Jul25'!CT148)</f>
        <v/>
      </c>
      <c r="CU148" t="str">
        <f>IF('1. Live'!CU148='check-Jul25'!CU148,"",'1. Live'!CU148-'check-Jul25'!CU148)</f>
        <v/>
      </c>
      <c r="CV148" t="str">
        <f>IF('1. Live'!CV148='check-Jul25'!CV148,"",'1. Live'!CV148-'check-Jul25'!CV148)</f>
        <v/>
      </c>
      <c r="CW148" t="str">
        <f>IF('1. Live'!CW148='check-Jul25'!CW148,"",'1. Live'!CW148-'check-Jul25'!CW148)</f>
        <v/>
      </c>
    </row>
    <row r="149" spans="10:101">
      <c r="J149" t="str">
        <f>IF('1. Live'!J149='check-Jul25'!J149,"",'1. Live'!J149-'check-Jul25'!J149)</f>
        <v/>
      </c>
      <c r="K149" t="str">
        <f>IF('1. Live'!K149='check-Jul25'!K149,"",'1. Live'!K149-'check-Jul25'!K149)</f>
        <v/>
      </c>
      <c r="L149" t="str">
        <f>IF('1. Live'!L149='check-Jul25'!L149,"",'1. Live'!L149-'check-Jul25'!L149)</f>
        <v/>
      </c>
      <c r="M149" t="str">
        <f>IF('1. Live'!M149='check-Jul25'!M149,"",'1. Live'!M149-'check-Jul25'!M149)</f>
        <v/>
      </c>
      <c r="N149" t="str">
        <f>IF('1. Live'!N149='check-Jul25'!N149,"",'1. Live'!N149-'check-Jul25'!N149)</f>
        <v/>
      </c>
      <c r="O149" t="str">
        <f>IF('1. Live'!O149='check-Jul25'!O149,"",'1. Live'!O149-'check-Jul25'!O149)</f>
        <v/>
      </c>
      <c r="P149" t="str">
        <f>IF('1. Live'!P149='check-Jul25'!P149,"",'1. Live'!P149-'check-Jul25'!P149)</f>
        <v/>
      </c>
      <c r="Q149" t="str">
        <f>IF('1. Live'!Q149='check-Jul25'!Q149,"",'1. Live'!Q149-'check-Jul25'!Q149)</f>
        <v/>
      </c>
      <c r="R149" t="str">
        <f>IF('1. Live'!R149='check-Jul25'!R149,"",'1. Live'!R149-'check-Jul25'!R149)</f>
        <v/>
      </c>
      <c r="S149" t="str">
        <f>IF('1. Live'!S149='check-Jul25'!S149,"",'1. Live'!S149-'check-Jul25'!S149)</f>
        <v/>
      </c>
      <c r="T149" t="str">
        <f>IF('1. Live'!T149='check-Jul25'!T149,"",'1. Live'!T149-'check-Jul25'!T149)</f>
        <v/>
      </c>
      <c r="U149" t="str">
        <f>IF('1. Live'!U149='check-Jul25'!U149,"",'1. Live'!U149-'check-Jul25'!U149)</f>
        <v/>
      </c>
      <c r="V149" t="str">
        <f>IF('1. Live'!V149='check-Jul25'!V149,"",'1. Live'!V149-'check-Jul25'!V149)</f>
        <v/>
      </c>
      <c r="W149" t="str">
        <f>IF('1. Live'!W149='check-Jul25'!W149,"",'1. Live'!W149-'check-Jul25'!W149)</f>
        <v/>
      </c>
      <c r="X149" t="str">
        <f>IF('1. Live'!X149='check-Jul25'!X149,"",'1. Live'!X149-'check-Jul25'!X149)</f>
        <v/>
      </c>
      <c r="Y149" t="str">
        <f>IF('1. Live'!Y149='check-Jul25'!Y149,"",'1. Live'!Y149-'check-Jul25'!Y149)</f>
        <v/>
      </c>
      <c r="Z149" t="str">
        <f>IF('1. Live'!Z149='check-Jul25'!Z149,"",'1. Live'!Z149-'check-Jul25'!Z149)</f>
        <v/>
      </c>
      <c r="AA149" t="str">
        <f>IF('1. Live'!AA149='check-Jul25'!AA149,"",'1. Live'!AA149-'check-Jul25'!AA149)</f>
        <v/>
      </c>
      <c r="AB149" t="str">
        <f>IF('1. Live'!AB149='check-Jul25'!AB149,"",'1. Live'!AB149-'check-Jul25'!AB149)</f>
        <v/>
      </c>
      <c r="AC149" t="str">
        <f>IF('1. Live'!AC149='check-Jul25'!AC149,"",'1. Live'!AC149-'check-Jul25'!AC149)</f>
        <v/>
      </c>
      <c r="AD149" t="str">
        <f>IF('1. Live'!AD149='check-Jul25'!AD149,"",'1. Live'!AD149-'check-Jul25'!AD149)</f>
        <v/>
      </c>
      <c r="AE149" t="str">
        <f>IF('1. Live'!AE149='check-Jul25'!AE149,"",'1. Live'!AE149-'check-Jul25'!AE149)</f>
        <v/>
      </c>
      <c r="AF149" t="str">
        <f>IF('1. Live'!AF149='check-Jul25'!AF149,"",'1. Live'!AF149-'check-Jul25'!AF149)</f>
        <v/>
      </c>
      <c r="AG149" t="str">
        <f>IF('1. Live'!AG149='check-Jul25'!AG149,"",'1. Live'!AG149-'check-Jul25'!AG149)</f>
        <v/>
      </c>
      <c r="AH149" t="str">
        <f>IF('1. Live'!AH149='check-Jul25'!AH149,"",'1. Live'!AH149-'check-Jul25'!AH149)</f>
        <v/>
      </c>
      <c r="AI149" t="str">
        <f>IF('1. Live'!AI149='check-Jul25'!AI149,"",'1. Live'!AI149-'check-Jul25'!AI149)</f>
        <v/>
      </c>
      <c r="AJ149" t="str">
        <f>IF('1. Live'!AJ149='check-Jul25'!AJ149,"",'1. Live'!AJ149-'check-Jul25'!AJ149)</f>
        <v/>
      </c>
      <c r="AK149" t="str">
        <f>IF('1. Live'!AK149='check-Jul25'!AK149,"",'1. Live'!AK149-'check-Jul25'!AK149)</f>
        <v/>
      </c>
      <c r="AL149" t="str">
        <f>IF('1. Live'!AL149='check-Jul25'!AL149,"",'1. Live'!AL149-'check-Jul25'!AL149)</f>
        <v/>
      </c>
      <c r="AM149" t="str">
        <f>IF('1. Live'!AM149='check-Jul25'!AM149,"",'1. Live'!AM149-'check-Jul25'!AM149)</f>
        <v/>
      </c>
      <c r="AN149" t="str">
        <f>IF('1. Live'!AN149='check-Jul25'!AN149,"",'1. Live'!AN149-'check-Jul25'!AN149)</f>
        <v/>
      </c>
      <c r="AO149" t="str">
        <f>IF('1. Live'!AO149='check-Jul25'!AO149,"",'1. Live'!AO149-'check-Jul25'!AO149)</f>
        <v/>
      </c>
      <c r="AP149" t="str">
        <f>IF('1. Live'!AP149='check-Jul25'!AP149,"",'1. Live'!AP149-'check-Jul25'!AP149)</f>
        <v/>
      </c>
      <c r="AQ149" t="str">
        <f>IF('1. Live'!AQ149='check-Jul25'!AQ149,"",'1. Live'!AQ149-'check-Jul25'!AQ149)</f>
        <v/>
      </c>
      <c r="AR149" t="str">
        <f>IF('1. Live'!AR149='check-Jul25'!AR149,"",'1. Live'!AR149-'check-Jul25'!AR149)</f>
        <v/>
      </c>
      <c r="AS149" t="str">
        <f>IF('1. Live'!AS149='check-Jul25'!AS149,"",'1. Live'!AS149-'check-Jul25'!AS149)</f>
        <v/>
      </c>
      <c r="AT149" t="str">
        <f>IF('1. Live'!AT149='check-Jul25'!AT149,"",'1. Live'!AT149-'check-Jul25'!AT149)</f>
        <v/>
      </c>
      <c r="AU149" t="str">
        <f>IF('1. Live'!AU149='check-Jul25'!AU149,"",'1. Live'!AU149-'check-Jul25'!AU149)</f>
        <v/>
      </c>
      <c r="AV149" t="str">
        <f>IF('1. Live'!AV149='check-Jul25'!AV149,"",'1. Live'!AV149-'check-Jul25'!AV149)</f>
        <v/>
      </c>
      <c r="AW149" t="str">
        <f>IF('1. Live'!AW149='check-Jul25'!AW149,"",'1. Live'!AW149-'check-Jul25'!AW149)</f>
        <v/>
      </c>
      <c r="AX149" t="str">
        <f>IF('1. Live'!AX149='check-Jul25'!AX149,"",'1. Live'!AX149-'check-Jul25'!AX149)</f>
        <v/>
      </c>
      <c r="AY149" t="str">
        <f>IF('1. Live'!AY149='check-Jul25'!AY149,"",'1. Live'!AY149-'check-Jul25'!AY149)</f>
        <v/>
      </c>
      <c r="AZ149" t="str">
        <f>IF('1. Live'!AZ149='check-Jul25'!AZ149,"",'1. Live'!AZ149-'check-Jul25'!AZ149)</f>
        <v/>
      </c>
      <c r="BA149" t="str">
        <f>IF('1. Live'!BA149='check-Jul25'!BA149,"",'1. Live'!BA149-'check-Jul25'!BA149)</f>
        <v/>
      </c>
      <c r="BB149" t="str">
        <f>IF('1. Live'!BB149='check-Jul25'!BB149,"",'1. Live'!BB149-'check-Jul25'!BB149)</f>
        <v/>
      </c>
      <c r="BC149" t="str">
        <f>IF('1. Live'!BC149='check-Jul25'!BC149,"",'1. Live'!BC149-'check-Jul25'!BC149)</f>
        <v/>
      </c>
      <c r="BD149" t="str">
        <f>IF('1. Live'!BD149='check-Jul25'!BD149,"",'1. Live'!BD149-'check-Jul25'!BD149)</f>
        <v/>
      </c>
      <c r="BE149" t="str">
        <f>IF('1. Live'!BE149='check-Jul25'!BE149,"",'1. Live'!BE149-'check-Jul25'!BE149)</f>
        <v/>
      </c>
      <c r="BF149" t="str">
        <f>IF('1. Live'!BF149='check-Jul25'!BF149,"",'1. Live'!BF149-'check-Jul25'!BF149)</f>
        <v/>
      </c>
      <c r="BG149" t="str">
        <f>IF('1. Live'!BG149='check-Jul25'!BG149,"",'1. Live'!BG149-'check-Jul25'!BG149)</f>
        <v/>
      </c>
      <c r="BH149" t="str">
        <f>IF('1. Live'!BH149='check-Jul25'!BH149,"",'1. Live'!BH149-'check-Jul25'!BH149)</f>
        <v/>
      </c>
      <c r="BI149" t="str">
        <f>IF('1. Live'!BI149='check-Jul25'!BI149,"",'1. Live'!BI149-'check-Jul25'!BI149)</f>
        <v/>
      </c>
      <c r="BJ149" t="str">
        <f>IF('1. Live'!BJ149='check-Jul25'!BJ149,"",'1. Live'!BJ149-'check-Jul25'!BJ149)</f>
        <v/>
      </c>
      <c r="BK149" t="str">
        <f>IF('1. Live'!BK149='check-Jul25'!BK149,"",'1. Live'!BK149-'check-Jul25'!BK149)</f>
        <v/>
      </c>
      <c r="BL149" t="str">
        <f>IF('1. Live'!BL149='check-Jul25'!BL149,"",'1. Live'!BL149-'check-Jul25'!BL149)</f>
        <v/>
      </c>
      <c r="BM149" t="str">
        <f>IF('1. Live'!BM149='check-Jul25'!BM149,"",'1. Live'!BM149-'check-Jul25'!BM149)</f>
        <v/>
      </c>
      <c r="BN149" t="str">
        <f>IF('1. Live'!BN149='check-Jul25'!BN149,"",'1. Live'!BN149-'check-Jul25'!BN149)</f>
        <v/>
      </c>
      <c r="BO149" t="str">
        <f>IF('1. Live'!BO149='check-Jul25'!BO149,"",'1. Live'!BO149-'check-Jul25'!BO149)</f>
        <v/>
      </c>
      <c r="BP149" t="str">
        <f>IF('1. Live'!BP149='check-Jul25'!BP149,"",'1. Live'!BP149-'check-Jul25'!BP149)</f>
        <v/>
      </c>
      <c r="BQ149" t="str">
        <f>IF('1. Live'!BQ149='check-Jul25'!BQ149,"",'1. Live'!BQ149-'check-Jul25'!BQ149)</f>
        <v/>
      </c>
      <c r="BR149" t="str">
        <f>IF('1. Live'!BR149='check-Jul25'!BR149,"",'1. Live'!BR149-'check-Jul25'!BR149)</f>
        <v/>
      </c>
      <c r="BS149" t="str">
        <f>IF('1. Live'!BS149='check-Jul25'!BS149,"",'1. Live'!BS149-'check-Jul25'!BS149)</f>
        <v/>
      </c>
      <c r="BT149" t="str">
        <f>IF('1. Live'!BT149='check-Jul25'!BT149,"",'1. Live'!BT149-'check-Jul25'!BT149)</f>
        <v/>
      </c>
      <c r="BU149" t="str">
        <f>IF('1. Live'!BU149='check-Jul25'!BU149,"",'1. Live'!BU149-'check-Jul25'!BU149)</f>
        <v/>
      </c>
      <c r="BV149" t="str">
        <f>IF('1. Live'!BV149='check-Jul25'!BV149,"",'1. Live'!BV149-'check-Jul25'!BV149)</f>
        <v/>
      </c>
      <c r="BW149" t="str">
        <f>IF('1. Live'!BW149='check-Jul25'!BW149,"",'1. Live'!BW149-'check-Jul25'!BW149)</f>
        <v/>
      </c>
      <c r="BX149" t="str">
        <f>IF('1. Live'!BX149='check-Jul25'!BX149,"",'1. Live'!BX149-'check-Jul25'!BX149)</f>
        <v/>
      </c>
      <c r="BY149" t="str">
        <f>IF('1. Live'!BY149='check-Jul25'!BY149,"",'1. Live'!BY149-'check-Jul25'!BY149)</f>
        <v/>
      </c>
      <c r="BZ149" t="str">
        <f>IF('1. Live'!BZ149='check-Jul25'!BZ149,"",'1. Live'!BZ149-'check-Jul25'!BZ149)</f>
        <v/>
      </c>
      <c r="CA149" t="str">
        <f>IF('1. Live'!CA149='check-Jul25'!CA149,"",'1. Live'!CA149-'check-Jul25'!CA149)</f>
        <v/>
      </c>
      <c r="CB149" t="str">
        <f>IF('1. Live'!CB149='check-Jul25'!CB149,"",'1. Live'!CB149-'check-Jul25'!CB149)</f>
        <v/>
      </c>
      <c r="CC149" t="str">
        <f>IF('1. Live'!CC149='check-Jul25'!CC149,"",'1. Live'!CC149-'check-Jul25'!CC149)</f>
        <v/>
      </c>
      <c r="CD149" t="str">
        <f>IF('1. Live'!CD149='check-Jul25'!CD149,"",'1. Live'!CD149-'check-Jul25'!CD149)</f>
        <v/>
      </c>
      <c r="CE149" t="str">
        <f>IF('1. Live'!CE149='check-Jul25'!CE149,"",'1. Live'!CE149-'check-Jul25'!CE149)</f>
        <v/>
      </c>
      <c r="CF149" t="str">
        <f>IF('1. Live'!CF149='check-Jul25'!CF149,"",'1. Live'!CF149-'check-Jul25'!CF149)</f>
        <v/>
      </c>
      <c r="CG149" t="str">
        <f>IF('1. Live'!CG149='check-Jul25'!CG149,"",'1. Live'!CG149-'check-Jul25'!CG149)</f>
        <v/>
      </c>
      <c r="CH149" t="str">
        <f>IF('1. Live'!CH149='check-Jul25'!CH149,"",'1. Live'!CH149-'check-Jul25'!CH149)</f>
        <v/>
      </c>
      <c r="CI149" t="str">
        <f>IF('1. Live'!CI149='check-Jul25'!CI149,"",'1. Live'!CI149-'check-Jul25'!CI149)</f>
        <v/>
      </c>
      <c r="CJ149" t="str">
        <f>IF('1. Live'!CJ149='check-Jul25'!CJ149,"",'1. Live'!CJ149-'check-Jul25'!CJ149)</f>
        <v/>
      </c>
      <c r="CK149" t="str">
        <f>IF('1. Live'!CK149='check-Jul25'!CK149,"",'1. Live'!CK149-'check-Jul25'!CK149)</f>
        <v/>
      </c>
      <c r="CL149" t="str">
        <f>IF('1. Live'!CL149='check-Jul25'!CL149,"",'1. Live'!CL149-'check-Jul25'!CL149)</f>
        <v/>
      </c>
      <c r="CM149" t="str">
        <f>IF('1. Live'!CM149='check-Jul25'!CM149,"",'1. Live'!CM149-'check-Jul25'!CM149)</f>
        <v/>
      </c>
      <c r="CN149" t="str">
        <f>IF('1. Live'!CN149='check-Jul25'!CN149,"",'1. Live'!CN149-'check-Jul25'!CN149)</f>
        <v/>
      </c>
      <c r="CO149" t="str">
        <f>IF('1. Live'!CO149='check-Jul25'!CO149,"",'1. Live'!CO149-'check-Jul25'!CO149)</f>
        <v/>
      </c>
      <c r="CP149" t="str">
        <f>IF('1. Live'!CP149='check-Jul25'!CP149,"",'1. Live'!CP149-'check-Jul25'!CP149)</f>
        <v/>
      </c>
      <c r="CQ149" t="str">
        <f>IF('1. Live'!CQ149='check-Jul25'!CQ149,"",'1. Live'!CQ149-'check-Jul25'!CQ149)</f>
        <v/>
      </c>
      <c r="CR149" t="str">
        <f>IF('1. Live'!CR149='check-Jul25'!CR149,"",'1. Live'!CR149-'check-Jul25'!CR149)</f>
        <v/>
      </c>
      <c r="CS149" t="str">
        <f>IF('1. Live'!CS149='check-Jul25'!CS149,"",'1. Live'!CS149-'check-Jul25'!CS149)</f>
        <v/>
      </c>
      <c r="CT149" t="str">
        <f>IF('1. Live'!CT149='check-Jul25'!CT149,"",'1. Live'!CT149-'check-Jul25'!CT149)</f>
        <v/>
      </c>
      <c r="CU149" t="str">
        <f>IF('1. Live'!CU149='check-Jul25'!CU149,"",'1. Live'!CU149-'check-Jul25'!CU149)</f>
        <v/>
      </c>
      <c r="CV149" t="str">
        <f>IF('1. Live'!CV149='check-Jul25'!CV149,"",'1. Live'!CV149-'check-Jul25'!CV149)</f>
        <v/>
      </c>
      <c r="CW149" t="str">
        <f>IF('1. Live'!CW149='check-Jul25'!CW149,"",'1. Live'!CW149-'check-Jul25'!CW149)</f>
        <v/>
      </c>
    </row>
    <row r="150" spans="10:101">
      <c r="J150" t="str">
        <f>IF('1. Live'!J150='check-Jul25'!J150,"",'1. Live'!J150-'check-Jul25'!J150)</f>
        <v/>
      </c>
      <c r="K150" t="str">
        <f>IF('1. Live'!K150='check-Jul25'!K150,"",'1. Live'!K150-'check-Jul25'!K150)</f>
        <v/>
      </c>
      <c r="L150" t="str">
        <f>IF('1. Live'!L150='check-Jul25'!L150,"",'1. Live'!L150-'check-Jul25'!L150)</f>
        <v/>
      </c>
      <c r="M150" t="str">
        <f>IF('1. Live'!M150='check-Jul25'!M150,"",'1. Live'!M150-'check-Jul25'!M150)</f>
        <v/>
      </c>
      <c r="N150" t="str">
        <f>IF('1. Live'!N150='check-Jul25'!N150,"",'1. Live'!N150-'check-Jul25'!N150)</f>
        <v/>
      </c>
      <c r="O150" t="str">
        <f>IF('1. Live'!O150='check-Jul25'!O150,"",'1. Live'!O150-'check-Jul25'!O150)</f>
        <v/>
      </c>
      <c r="P150" t="str">
        <f>IF('1. Live'!P150='check-Jul25'!P150,"",'1. Live'!P150-'check-Jul25'!P150)</f>
        <v/>
      </c>
      <c r="Q150" t="str">
        <f>IF('1. Live'!Q150='check-Jul25'!Q150,"",'1. Live'!Q150-'check-Jul25'!Q150)</f>
        <v/>
      </c>
      <c r="R150" t="str">
        <f>IF('1. Live'!R150='check-Jul25'!R150,"",'1. Live'!R150-'check-Jul25'!R150)</f>
        <v/>
      </c>
      <c r="S150" t="str">
        <f>IF('1. Live'!S150='check-Jul25'!S150,"",'1. Live'!S150-'check-Jul25'!S150)</f>
        <v/>
      </c>
      <c r="T150" t="str">
        <f>IF('1. Live'!T150='check-Jul25'!T150,"",'1. Live'!T150-'check-Jul25'!T150)</f>
        <v/>
      </c>
      <c r="U150" t="str">
        <f>IF('1. Live'!U150='check-Jul25'!U150,"",'1. Live'!U150-'check-Jul25'!U150)</f>
        <v/>
      </c>
      <c r="V150" t="str">
        <f>IF('1. Live'!V150='check-Jul25'!V150,"",'1. Live'!V150-'check-Jul25'!V150)</f>
        <v/>
      </c>
      <c r="W150" t="str">
        <f>IF('1. Live'!W150='check-Jul25'!W150,"",'1. Live'!W150-'check-Jul25'!W150)</f>
        <v/>
      </c>
      <c r="X150" t="str">
        <f>IF('1. Live'!X150='check-Jul25'!X150,"",'1. Live'!X150-'check-Jul25'!X150)</f>
        <v/>
      </c>
      <c r="Y150" t="str">
        <f>IF('1. Live'!Y150='check-Jul25'!Y150,"",'1. Live'!Y150-'check-Jul25'!Y150)</f>
        <v/>
      </c>
      <c r="Z150" t="str">
        <f>IF('1. Live'!Z150='check-Jul25'!Z150,"",'1. Live'!Z150-'check-Jul25'!Z150)</f>
        <v/>
      </c>
      <c r="AA150" t="str">
        <f>IF('1. Live'!AA150='check-Jul25'!AA150,"",'1. Live'!AA150-'check-Jul25'!AA150)</f>
        <v/>
      </c>
      <c r="AB150" t="str">
        <f>IF('1. Live'!AB150='check-Jul25'!AB150,"",'1. Live'!AB150-'check-Jul25'!AB150)</f>
        <v/>
      </c>
      <c r="AC150" t="str">
        <f>IF('1. Live'!AC150='check-Jul25'!AC150,"",'1. Live'!AC150-'check-Jul25'!AC150)</f>
        <v/>
      </c>
      <c r="AD150" t="str">
        <f>IF('1. Live'!AD150='check-Jul25'!AD150,"",'1. Live'!AD150-'check-Jul25'!AD150)</f>
        <v/>
      </c>
      <c r="AE150" t="str">
        <f>IF('1. Live'!AE150='check-Jul25'!AE150,"",'1. Live'!AE150-'check-Jul25'!AE150)</f>
        <v/>
      </c>
      <c r="AF150" t="str">
        <f>IF('1. Live'!AF150='check-Jul25'!AF150,"",'1. Live'!AF150-'check-Jul25'!AF150)</f>
        <v/>
      </c>
      <c r="AG150" t="str">
        <f>IF('1. Live'!AG150='check-Jul25'!AG150,"",'1. Live'!AG150-'check-Jul25'!AG150)</f>
        <v/>
      </c>
      <c r="AH150" t="str">
        <f>IF('1. Live'!AH150='check-Jul25'!AH150,"",'1. Live'!AH150-'check-Jul25'!AH150)</f>
        <v/>
      </c>
      <c r="AI150" t="str">
        <f>IF('1. Live'!AI150='check-Jul25'!AI150,"",'1. Live'!AI150-'check-Jul25'!AI150)</f>
        <v/>
      </c>
      <c r="AJ150" t="str">
        <f>IF('1. Live'!AJ150='check-Jul25'!AJ150,"",'1. Live'!AJ150-'check-Jul25'!AJ150)</f>
        <v/>
      </c>
      <c r="AK150" t="str">
        <f>IF('1. Live'!AK150='check-Jul25'!AK150,"",'1. Live'!AK150-'check-Jul25'!AK150)</f>
        <v/>
      </c>
      <c r="AL150" t="str">
        <f>IF('1. Live'!AL150='check-Jul25'!AL150,"",'1. Live'!AL150-'check-Jul25'!AL150)</f>
        <v/>
      </c>
      <c r="AM150" t="str">
        <f>IF('1. Live'!AM150='check-Jul25'!AM150,"",'1. Live'!AM150-'check-Jul25'!AM150)</f>
        <v/>
      </c>
      <c r="AN150" t="str">
        <f>IF('1. Live'!AN150='check-Jul25'!AN150,"",'1. Live'!AN150-'check-Jul25'!AN150)</f>
        <v/>
      </c>
      <c r="AO150" t="str">
        <f>IF('1. Live'!AO150='check-Jul25'!AO150,"",'1. Live'!AO150-'check-Jul25'!AO150)</f>
        <v/>
      </c>
      <c r="AP150" t="str">
        <f>IF('1. Live'!AP150='check-Jul25'!AP150,"",'1. Live'!AP150-'check-Jul25'!AP150)</f>
        <v/>
      </c>
      <c r="AQ150" t="str">
        <f>IF('1. Live'!AQ150='check-Jul25'!AQ150,"",'1. Live'!AQ150-'check-Jul25'!AQ150)</f>
        <v/>
      </c>
      <c r="AR150" t="str">
        <f>IF('1. Live'!AR150='check-Jul25'!AR150,"",'1. Live'!AR150-'check-Jul25'!AR150)</f>
        <v/>
      </c>
      <c r="AS150" t="str">
        <f>IF('1. Live'!AS150='check-Jul25'!AS150,"",'1. Live'!AS150-'check-Jul25'!AS150)</f>
        <v/>
      </c>
      <c r="AT150" t="str">
        <f>IF('1. Live'!AT150='check-Jul25'!AT150,"",'1. Live'!AT150-'check-Jul25'!AT150)</f>
        <v/>
      </c>
      <c r="AU150" t="str">
        <f>IF('1. Live'!AU150='check-Jul25'!AU150,"",'1. Live'!AU150-'check-Jul25'!AU150)</f>
        <v/>
      </c>
      <c r="AV150" t="str">
        <f>IF('1. Live'!AV150='check-Jul25'!AV150,"",'1. Live'!AV150-'check-Jul25'!AV150)</f>
        <v/>
      </c>
      <c r="AW150" t="str">
        <f>IF('1. Live'!AW150='check-Jul25'!AW150,"",'1. Live'!AW150-'check-Jul25'!AW150)</f>
        <v/>
      </c>
      <c r="AX150" t="str">
        <f>IF('1. Live'!AX150='check-Jul25'!AX150,"",'1. Live'!AX150-'check-Jul25'!AX150)</f>
        <v/>
      </c>
      <c r="AY150" t="str">
        <f>IF('1. Live'!AY150='check-Jul25'!AY150,"",'1. Live'!AY150-'check-Jul25'!AY150)</f>
        <v/>
      </c>
      <c r="AZ150" t="str">
        <f>IF('1. Live'!AZ150='check-Jul25'!AZ150,"",'1. Live'!AZ150-'check-Jul25'!AZ150)</f>
        <v/>
      </c>
      <c r="BA150" t="str">
        <f>IF('1. Live'!BA150='check-Jul25'!BA150,"",'1. Live'!BA150-'check-Jul25'!BA150)</f>
        <v/>
      </c>
      <c r="BB150" t="str">
        <f>IF('1. Live'!BB150='check-Jul25'!BB150,"",'1. Live'!BB150-'check-Jul25'!BB150)</f>
        <v/>
      </c>
      <c r="BC150" t="str">
        <f>IF('1. Live'!BC150='check-Jul25'!BC150,"",'1. Live'!BC150-'check-Jul25'!BC150)</f>
        <v/>
      </c>
      <c r="BD150" t="str">
        <f>IF('1. Live'!BD150='check-Jul25'!BD150,"",'1. Live'!BD150-'check-Jul25'!BD150)</f>
        <v/>
      </c>
      <c r="BE150" t="str">
        <f>IF('1. Live'!BE150='check-Jul25'!BE150,"",'1. Live'!BE150-'check-Jul25'!BE150)</f>
        <v/>
      </c>
      <c r="BF150" t="str">
        <f>IF('1. Live'!BF150='check-Jul25'!BF150,"",'1. Live'!BF150-'check-Jul25'!BF150)</f>
        <v/>
      </c>
      <c r="BG150" t="str">
        <f>IF('1. Live'!BG150='check-Jul25'!BG150,"",'1. Live'!BG150-'check-Jul25'!BG150)</f>
        <v/>
      </c>
      <c r="BH150" t="str">
        <f>IF('1. Live'!BH150='check-Jul25'!BH150,"",'1. Live'!BH150-'check-Jul25'!BH150)</f>
        <v/>
      </c>
      <c r="BI150" t="str">
        <f>IF('1. Live'!BI150='check-Jul25'!BI150,"",'1. Live'!BI150-'check-Jul25'!BI150)</f>
        <v/>
      </c>
      <c r="BJ150" t="str">
        <f>IF('1. Live'!BJ150='check-Jul25'!BJ150,"",'1. Live'!BJ150-'check-Jul25'!BJ150)</f>
        <v/>
      </c>
      <c r="BK150" t="str">
        <f>IF('1. Live'!BK150='check-Jul25'!BK150,"",'1. Live'!BK150-'check-Jul25'!BK150)</f>
        <v/>
      </c>
      <c r="BL150" t="str">
        <f>IF('1. Live'!BL150='check-Jul25'!BL150,"",'1. Live'!BL150-'check-Jul25'!BL150)</f>
        <v/>
      </c>
      <c r="BM150" t="str">
        <f>IF('1. Live'!BM150='check-Jul25'!BM150,"",'1. Live'!BM150-'check-Jul25'!BM150)</f>
        <v/>
      </c>
      <c r="BN150" t="str">
        <f>IF('1. Live'!BN150='check-Jul25'!BN150,"",'1. Live'!BN150-'check-Jul25'!BN150)</f>
        <v/>
      </c>
      <c r="BO150" t="str">
        <f>IF('1. Live'!BO150='check-Jul25'!BO150,"",'1. Live'!BO150-'check-Jul25'!BO150)</f>
        <v/>
      </c>
      <c r="BP150" t="str">
        <f>IF('1. Live'!BP150='check-Jul25'!BP150,"",'1. Live'!BP150-'check-Jul25'!BP150)</f>
        <v/>
      </c>
      <c r="BQ150" t="str">
        <f>IF('1. Live'!BQ150='check-Jul25'!BQ150,"",'1. Live'!BQ150-'check-Jul25'!BQ150)</f>
        <v/>
      </c>
      <c r="BR150" t="str">
        <f>IF('1. Live'!BR150='check-Jul25'!BR150,"",'1. Live'!BR150-'check-Jul25'!BR150)</f>
        <v/>
      </c>
      <c r="BS150" t="str">
        <f>IF('1. Live'!BS150='check-Jul25'!BS150,"",'1. Live'!BS150-'check-Jul25'!BS150)</f>
        <v/>
      </c>
      <c r="BT150" t="str">
        <f>IF('1. Live'!BT150='check-Jul25'!BT150,"",'1. Live'!BT150-'check-Jul25'!BT150)</f>
        <v/>
      </c>
      <c r="BU150" t="str">
        <f>IF('1. Live'!BU150='check-Jul25'!BU150,"",'1. Live'!BU150-'check-Jul25'!BU150)</f>
        <v/>
      </c>
      <c r="BV150" t="str">
        <f>IF('1. Live'!BV150='check-Jul25'!BV150,"",'1. Live'!BV150-'check-Jul25'!BV150)</f>
        <v/>
      </c>
      <c r="BW150" t="str">
        <f>IF('1. Live'!BW150='check-Jul25'!BW150,"",'1. Live'!BW150-'check-Jul25'!BW150)</f>
        <v/>
      </c>
      <c r="BX150" t="str">
        <f>IF('1. Live'!BX150='check-Jul25'!BX150,"",'1. Live'!BX150-'check-Jul25'!BX150)</f>
        <v/>
      </c>
      <c r="BY150" t="str">
        <f>IF('1. Live'!BY150='check-Jul25'!BY150,"",'1. Live'!BY150-'check-Jul25'!BY150)</f>
        <v/>
      </c>
      <c r="BZ150" t="str">
        <f>IF('1. Live'!BZ150='check-Jul25'!BZ150,"",'1. Live'!BZ150-'check-Jul25'!BZ150)</f>
        <v/>
      </c>
      <c r="CA150" t="str">
        <f>IF('1. Live'!CA150='check-Jul25'!CA150,"",'1. Live'!CA150-'check-Jul25'!CA150)</f>
        <v/>
      </c>
      <c r="CB150" t="str">
        <f>IF('1. Live'!CB150='check-Jul25'!CB150,"",'1. Live'!CB150-'check-Jul25'!CB150)</f>
        <v/>
      </c>
      <c r="CC150" t="str">
        <f>IF('1. Live'!CC150='check-Jul25'!CC150,"",'1. Live'!CC150-'check-Jul25'!CC150)</f>
        <v/>
      </c>
      <c r="CD150" t="str">
        <f>IF('1. Live'!CD150='check-Jul25'!CD150,"",'1. Live'!CD150-'check-Jul25'!CD150)</f>
        <v/>
      </c>
      <c r="CE150" t="str">
        <f>IF('1. Live'!CE150='check-Jul25'!CE150,"",'1. Live'!CE150-'check-Jul25'!CE150)</f>
        <v/>
      </c>
      <c r="CF150" t="str">
        <f>IF('1. Live'!CF150='check-Jul25'!CF150,"",'1. Live'!CF150-'check-Jul25'!CF150)</f>
        <v/>
      </c>
      <c r="CG150" t="str">
        <f>IF('1. Live'!CG150='check-Jul25'!CG150,"",'1. Live'!CG150-'check-Jul25'!CG150)</f>
        <v/>
      </c>
      <c r="CH150" t="str">
        <f>IF('1. Live'!CH150='check-Jul25'!CH150,"",'1. Live'!CH150-'check-Jul25'!CH150)</f>
        <v/>
      </c>
      <c r="CI150" t="str">
        <f>IF('1. Live'!CI150='check-Jul25'!CI150,"",'1. Live'!CI150-'check-Jul25'!CI150)</f>
        <v/>
      </c>
      <c r="CJ150" t="str">
        <f>IF('1. Live'!CJ150='check-Jul25'!CJ150,"",'1. Live'!CJ150-'check-Jul25'!CJ150)</f>
        <v/>
      </c>
      <c r="CK150" t="str">
        <f>IF('1. Live'!CK150='check-Jul25'!CK150,"",'1. Live'!CK150-'check-Jul25'!CK150)</f>
        <v/>
      </c>
      <c r="CL150" t="str">
        <f>IF('1. Live'!CL150='check-Jul25'!CL150,"",'1. Live'!CL150-'check-Jul25'!CL150)</f>
        <v/>
      </c>
      <c r="CM150" t="str">
        <f>IF('1. Live'!CM150='check-Jul25'!CM150,"",'1. Live'!CM150-'check-Jul25'!CM150)</f>
        <v/>
      </c>
      <c r="CN150" t="str">
        <f>IF('1. Live'!CN150='check-Jul25'!CN150,"",'1. Live'!CN150-'check-Jul25'!CN150)</f>
        <v/>
      </c>
      <c r="CO150" t="str">
        <f>IF('1. Live'!CO150='check-Jul25'!CO150,"",'1. Live'!CO150-'check-Jul25'!CO150)</f>
        <v/>
      </c>
      <c r="CP150" t="str">
        <f>IF('1. Live'!CP150='check-Jul25'!CP150,"",'1. Live'!CP150-'check-Jul25'!CP150)</f>
        <v/>
      </c>
      <c r="CQ150" t="str">
        <f>IF('1. Live'!CQ150='check-Jul25'!CQ150,"",'1. Live'!CQ150-'check-Jul25'!CQ150)</f>
        <v/>
      </c>
      <c r="CR150" t="str">
        <f>IF('1. Live'!CR150='check-Jul25'!CR150,"",'1. Live'!CR150-'check-Jul25'!CR150)</f>
        <v/>
      </c>
      <c r="CS150" t="str">
        <f>IF('1. Live'!CS150='check-Jul25'!CS150,"",'1. Live'!CS150-'check-Jul25'!CS150)</f>
        <v/>
      </c>
      <c r="CT150" t="str">
        <f>IF('1. Live'!CT150='check-Jul25'!CT150,"",'1. Live'!CT150-'check-Jul25'!CT150)</f>
        <v/>
      </c>
      <c r="CU150" t="str">
        <f>IF('1. Live'!CU150='check-Jul25'!CU150,"",'1. Live'!CU150-'check-Jul25'!CU150)</f>
        <v/>
      </c>
      <c r="CV150" t="str">
        <f>IF('1. Live'!CV150='check-Jul25'!CV150,"",'1. Live'!CV150-'check-Jul25'!CV150)</f>
        <v/>
      </c>
      <c r="CW150" t="str">
        <f>IF('1. Live'!CW150='check-Jul25'!CW150,"",'1. Live'!CW150-'check-Jul25'!CW150)</f>
        <v/>
      </c>
    </row>
    <row r="151" spans="10:101">
      <c r="J151" t="str">
        <f>IF('1. Live'!J151='check-Jul25'!J151,"",'1. Live'!J151-'check-Jul25'!J151)</f>
        <v/>
      </c>
      <c r="K151" t="str">
        <f>IF('1. Live'!K151='check-Jul25'!K151,"",'1. Live'!K151-'check-Jul25'!K151)</f>
        <v/>
      </c>
      <c r="L151" t="str">
        <f>IF('1. Live'!L151='check-Jul25'!L151,"",'1. Live'!L151-'check-Jul25'!L151)</f>
        <v/>
      </c>
      <c r="M151" t="str">
        <f>IF('1. Live'!M151='check-Jul25'!M151,"",'1. Live'!M151-'check-Jul25'!M151)</f>
        <v/>
      </c>
      <c r="N151" t="str">
        <f>IF('1. Live'!N151='check-Jul25'!N151,"",'1. Live'!N151-'check-Jul25'!N151)</f>
        <v/>
      </c>
      <c r="O151" t="str">
        <f>IF('1. Live'!O151='check-Jul25'!O151,"",'1. Live'!O151-'check-Jul25'!O151)</f>
        <v/>
      </c>
      <c r="P151" t="str">
        <f>IF('1. Live'!P151='check-Jul25'!P151,"",'1. Live'!P151-'check-Jul25'!P151)</f>
        <v/>
      </c>
      <c r="Q151" t="str">
        <f>IF('1. Live'!Q151='check-Jul25'!Q151,"",'1. Live'!Q151-'check-Jul25'!Q151)</f>
        <v/>
      </c>
      <c r="R151" t="str">
        <f>IF('1. Live'!R151='check-Jul25'!R151,"",'1. Live'!R151-'check-Jul25'!R151)</f>
        <v/>
      </c>
      <c r="S151" t="str">
        <f>IF('1. Live'!S151='check-Jul25'!S151,"",'1. Live'!S151-'check-Jul25'!S151)</f>
        <v/>
      </c>
      <c r="T151" t="str">
        <f>IF('1. Live'!T151='check-Jul25'!T151,"",'1. Live'!T151-'check-Jul25'!T151)</f>
        <v/>
      </c>
      <c r="U151" t="str">
        <f>IF('1. Live'!U151='check-Jul25'!U151,"",'1. Live'!U151-'check-Jul25'!U151)</f>
        <v/>
      </c>
      <c r="V151" t="str">
        <f>IF('1. Live'!V151='check-Jul25'!V151,"",'1. Live'!V151-'check-Jul25'!V151)</f>
        <v/>
      </c>
      <c r="W151" t="str">
        <f>IF('1. Live'!W151='check-Jul25'!W151,"",'1. Live'!W151-'check-Jul25'!W151)</f>
        <v/>
      </c>
      <c r="X151" t="str">
        <f>IF('1. Live'!X151='check-Jul25'!X151,"",'1. Live'!X151-'check-Jul25'!X151)</f>
        <v/>
      </c>
      <c r="Y151" t="str">
        <f>IF('1. Live'!Y151='check-Jul25'!Y151,"",'1. Live'!Y151-'check-Jul25'!Y151)</f>
        <v/>
      </c>
      <c r="Z151" t="str">
        <f>IF('1. Live'!Z151='check-Jul25'!Z151,"",'1. Live'!Z151-'check-Jul25'!Z151)</f>
        <v/>
      </c>
      <c r="AA151" t="str">
        <f>IF('1. Live'!AA151='check-Jul25'!AA151,"",'1. Live'!AA151-'check-Jul25'!AA151)</f>
        <v/>
      </c>
      <c r="AB151" t="str">
        <f>IF('1. Live'!AB151='check-Jul25'!AB151,"",'1. Live'!AB151-'check-Jul25'!AB151)</f>
        <v/>
      </c>
      <c r="AC151" t="str">
        <f>IF('1. Live'!AC151='check-Jul25'!AC151,"",'1. Live'!AC151-'check-Jul25'!AC151)</f>
        <v/>
      </c>
      <c r="AD151" t="str">
        <f>IF('1. Live'!AD151='check-Jul25'!AD151,"",'1. Live'!AD151-'check-Jul25'!AD151)</f>
        <v/>
      </c>
      <c r="AE151" t="str">
        <f>IF('1. Live'!AE151='check-Jul25'!AE151,"",'1. Live'!AE151-'check-Jul25'!AE151)</f>
        <v/>
      </c>
      <c r="AF151" t="str">
        <f>IF('1. Live'!AF151='check-Jul25'!AF151,"",'1. Live'!AF151-'check-Jul25'!AF151)</f>
        <v/>
      </c>
      <c r="AG151" t="str">
        <f>IF('1. Live'!AG151='check-Jul25'!AG151,"",'1. Live'!AG151-'check-Jul25'!AG151)</f>
        <v/>
      </c>
      <c r="AH151" t="str">
        <f>IF('1. Live'!AH151='check-Jul25'!AH151,"",'1. Live'!AH151-'check-Jul25'!AH151)</f>
        <v/>
      </c>
      <c r="AI151" t="str">
        <f>IF('1. Live'!AI151='check-Jul25'!AI151,"",'1. Live'!AI151-'check-Jul25'!AI151)</f>
        <v/>
      </c>
      <c r="AJ151" t="str">
        <f>IF('1. Live'!AJ151='check-Jul25'!AJ151,"",'1. Live'!AJ151-'check-Jul25'!AJ151)</f>
        <v/>
      </c>
      <c r="AK151" t="str">
        <f>IF('1. Live'!AK151='check-Jul25'!AK151,"",'1. Live'!AK151-'check-Jul25'!AK151)</f>
        <v/>
      </c>
      <c r="AL151" t="str">
        <f>IF('1. Live'!AL151='check-Jul25'!AL151,"",'1. Live'!AL151-'check-Jul25'!AL151)</f>
        <v/>
      </c>
      <c r="AM151" t="str">
        <f>IF('1. Live'!AM151='check-Jul25'!AM151,"",'1. Live'!AM151-'check-Jul25'!AM151)</f>
        <v/>
      </c>
      <c r="AN151" t="str">
        <f>IF('1. Live'!AN151='check-Jul25'!AN151,"",'1. Live'!AN151-'check-Jul25'!AN151)</f>
        <v/>
      </c>
      <c r="AO151" t="str">
        <f>IF('1. Live'!AO151='check-Jul25'!AO151,"",'1. Live'!AO151-'check-Jul25'!AO151)</f>
        <v/>
      </c>
      <c r="AP151" t="str">
        <f>IF('1. Live'!AP151='check-Jul25'!AP151,"",'1. Live'!AP151-'check-Jul25'!AP151)</f>
        <v/>
      </c>
      <c r="AQ151" t="str">
        <f>IF('1. Live'!AQ151='check-Jul25'!AQ151,"",'1. Live'!AQ151-'check-Jul25'!AQ151)</f>
        <v/>
      </c>
      <c r="AR151" t="str">
        <f>IF('1. Live'!AR151='check-Jul25'!AR151,"",'1. Live'!AR151-'check-Jul25'!AR151)</f>
        <v/>
      </c>
      <c r="AS151" t="str">
        <f>IF('1. Live'!AS151='check-Jul25'!AS151,"",'1. Live'!AS151-'check-Jul25'!AS151)</f>
        <v/>
      </c>
      <c r="AT151" t="str">
        <f>IF('1. Live'!AT151='check-Jul25'!AT151,"",'1. Live'!AT151-'check-Jul25'!AT151)</f>
        <v/>
      </c>
      <c r="AU151" t="str">
        <f>IF('1. Live'!AU151='check-Jul25'!AU151,"",'1. Live'!AU151-'check-Jul25'!AU151)</f>
        <v/>
      </c>
      <c r="AV151" t="str">
        <f>IF('1. Live'!AV151='check-Jul25'!AV151,"",'1. Live'!AV151-'check-Jul25'!AV151)</f>
        <v/>
      </c>
      <c r="AW151" t="str">
        <f>IF('1. Live'!AW151='check-Jul25'!AW151,"",'1. Live'!AW151-'check-Jul25'!AW151)</f>
        <v/>
      </c>
      <c r="AX151" t="str">
        <f>IF('1. Live'!AX151='check-Jul25'!AX151,"",'1. Live'!AX151-'check-Jul25'!AX151)</f>
        <v/>
      </c>
      <c r="AY151" t="str">
        <f>IF('1. Live'!AY151='check-Jul25'!AY151,"",'1. Live'!AY151-'check-Jul25'!AY151)</f>
        <v/>
      </c>
      <c r="AZ151" t="str">
        <f>IF('1. Live'!AZ151='check-Jul25'!AZ151,"",'1. Live'!AZ151-'check-Jul25'!AZ151)</f>
        <v/>
      </c>
      <c r="BA151" t="str">
        <f>IF('1. Live'!BA151='check-Jul25'!BA151,"",'1. Live'!BA151-'check-Jul25'!BA151)</f>
        <v/>
      </c>
      <c r="BB151" t="str">
        <f>IF('1. Live'!BB151='check-Jul25'!BB151,"",'1. Live'!BB151-'check-Jul25'!BB151)</f>
        <v/>
      </c>
      <c r="BC151" t="str">
        <f>IF('1. Live'!BC151='check-Jul25'!BC151,"",'1. Live'!BC151-'check-Jul25'!BC151)</f>
        <v/>
      </c>
      <c r="BD151" t="str">
        <f>IF('1. Live'!BD151='check-Jul25'!BD151,"",'1. Live'!BD151-'check-Jul25'!BD151)</f>
        <v/>
      </c>
      <c r="BE151" t="str">
        <f>IF('1. Live'!BE151='check-Jul25'!BE151,"",'1. Live'!BE151-'check-Jul25'!BE151)</f>
        <v/>
      </c>
      <c r="BF151" t="str">
        <f>IF('1. Live'!BF151='check-Jul25'!BF151,"",'1. Live'!BF151-'check-Jul25'!BF151)</f>
        <v/>
      </c>
      <c r="BG151" t="str">
        <f>IF('1. Live'!BG151='check-Jul25'!BG151,"",'1. Live'!BG151-'check-Jul25'!BG151)</f>
        <v/>
      </c>
      <c r="BH151" t="str">
        <f>IF('1. Live'!BH151='check-Jul25'!BH151,"",'1. Live'!BH151-'check-Jul25'!BH151)</f>
        <v/>
      </c>
      <c r="BI151" t="str">
        <f>IF('1. Live'!BI151='check-Jul25'!BI151,"",'1. Live'!BI151-'check-Jul25'!BI151)</f>
        <v/>
      </c>
      <c r="BJ151" t="str">
        <f>IF('1. Live'!BJ151='check-Jul25'!BJ151,"",'1. Live'!BJ151-'check-Jul25'!BJ151)</f>
        <v/>
      </c>
      <c r="BK151" t="str">
        <f>IF('1. Live'!BK151='check-Jul25'!BK151,"",'1. Live'!BK151-'check-Jul25'!BK151)</f>
        <v/>
      </c>
      <c r="BL151" t="str">
        <f>IF('1. Live'!BL151='check-Jul25'!BL151,"",'1. Live'!BL151-'check-Jul25'!BL151)</f>
        <v/>
      </c>
      <c r="BM151" t="str">
        <f>IF('1. Live'!BM151='check-Jul25'!BM151,"",'1. Live'!BM151-'check-Jul25'!BM151)</f>
        <v/>
      </c>
      <c r="BN151" t="str">
        <f>IF('1. Live'!BN151='check-Jul25'!BN151,"",'1. Live'!BN151-'check-Jul25'!BN151)</f>
        <v/>
      </c>
      <c r="BO151" t="str">
        <f>IF('1. Live'!BO151='check-Jul25'!BO151,"",'1. Live'!BO151-'check-Jul25'!BO151)</f>
        <v/>
      </c>
      <c r="BP151" t="str">
        <f>IF('1. Live'!BP151='check-Jul25'!BP151,"",'1. Live'!BP151-'check-Jul25'!BP151)</f>
        <v/>
      </c>
      <c r="BQ151" t="str">
        <f>IF('1. Live'!BQ151='check-Jul25'!BQ151,"",'1. Live'!BQ151-'check-Jul25'!BQ151)</f>
        <v/>
      </c>
      <c r="BR151" t="str">
        <f>IF('1. Live'!BR151='check-Jul25'!BR151,"",'1. Live'!BR151-'check-Jul25'!BR151)</f>
        <v/>
      </c>
      <c r="BS151" t="str">
        <f>IF('1. Live'!BS151='check-Jul25'!BS151,"",'1. Live'!BS151-'check-Jul25'!BS151)</f>
        <v/>
      </c>
      <c r="BT151" t="str">
        <f>IF('1. Live'!BT151='check-Jul25'!BT151,"",'1. Live'!BT151-'check-Jul25'!BT151)</f>
        <v/>
      </c>
      <c r="BU151" t="str">
        <f>IF('1. Live'!BU151='check-Jul25'!BU151,"",'1. Live'!BU151-'check-Jul25'!BU151)</f>
        <v/>
      </c>
      <c r="BV151" t="str">
        <f>IF('1. Live'!BV151='check-Jul25'!BV151,"",'1. Live'!BV151-'check-Jul25'!BV151)</f>
        <v/>
      </c>
      <c r="BW151" t="str">
        <f>IF('1. Live'!BW151='check-Jul25'!BW151,"",'1. Live'!BW151-'check-Jul25'!BW151)</f>
        <v/>
      </c>
      <c r="BX151" t="str">
        <f>IF('1. Live'!BX151='check-Jul25'!BX151,"",'1. Live'!BX151-'check-Jul25'!BX151)</f>
        <v/>
      </c>
      <c r="BY151" t="str">
        <f>IF('1. Live'!BY151='check-Jul25'!BY151,"",'1. Live'!BY151-'check-Jul25'!BY151)</f>
        <v/>
      </c>
      <c r="BZ151" t="str">
        <f>IF('1. Live'!BZ151='check-Jul25'!BZ151,"",'1. Live'!BZ151-'check-Jul25'!BZ151)</f>
        <v/>
      </c>
      <c r="CA151" t="str">
        <f>IF('1. Live'!CA151='check-Jul25'!CA151,"",'1. Live'!CA151-'check-Jul25'!CA151)</f>
        <v/>
      </c>
      <c r="CB151" t="str">
        <f>IF('1. Live'!CB151='check-Jul25'!CB151,"",'1. Live'!CB151-'check-Jul25'!CB151)</f>
        <v/>
      </c>
      <c r="CC151" t="str">
        <f>IF('1. Live'!CC151='check-Jul25'!CC151,"",'1. Live'!CC151-'check-Jul25'!CC151)</f>
        <v/>
      </c>
      <c r="CD151" t="str">
        <f>IF('1. Live'!CD151='check-Jul25'!CD151,"",'1. Live'!CD151-'check-Jul25'!CD151)</f>
        <v/>
      </c>
      <c r="CE151" t="str">
        <f>IF('1. Live'!CE151='check-Jul25'!CE151,"",'1. Live'!CE151-'check-Jul25'!CE151)</f>
        <v/>
      </c>
      <c r="CF151" t="str">
        <f>IF('1. Live'!CF151='check-Jul25'!CF151,"",'1. Live'!CF151-'check-Jul25'!CF151)</f>
        <v/>
      </c>
      <c r="CG151" t="str">
        <f>IF('1. Live'!CG151='check-Jul25'!CG151,"",'1. Live'!CG151-'check-Jul25'!CG151)</f>
        <v/>
      </c>
      <c r="CH151" t="str">
        <f>IF('1. Live'!CH151='check-Jul25'!CH151,"",'1. Live'!CH151-'check-Jul25'!CH151)</f>
        <v/>
      </c>
      <c r="CI151" t="str">
        <f>IF('1. Live'!CI151='check-Jul25'!CI151,"",'1. Live'!CI151-'check-Jul25'!CI151)</f>
        <v/>
      </c>
      <c r="CJ151" t="str">
        <f>IF('1. Live'!CJ151='check-Jul25'!CJ151,"",'1. Live'!CJ151-'check-Jul25'!CJ151)</f>
        <v/>
      </c>
      <c r="CK151" t="str">
        <f>IF('1. Live'!CK151='check-Jul25'!CK151,"",'1. Live'!CK151-'check-Jul25'!CK151)</f>
        <v/>
      </c>
      <c r="CL151" t="str">
        <f>IF('1. Live'!CL151='check-Jul25'!CL151,"",'1. Live'!CL151-'check-Jul25'!CL151)</f>
        <v/>
      </c>
      <c r="CM151" t="str">
        <f>IF('1. Live'!CM151='check-Jul25'!CM151,"",'1. Live'!CM151-'check-Jul25'!CM151)</f>
        <v/>
      </c>
      <c r="CN151" t="str">
        <f>IF('1. Live'!CN151='check-Jul25'!CN151,"",'1. Live'!CN151-'check-Jul25'!CN151)</f>
        <v/>
      </c>
      <c r="CO151" t="str">
        <f>IF('1. Live'!CO151='check-Jul25'!CO151,"",'1. Live'!CO151-'check-Jul25'!CO151)</f>
        <v/>
      </c>
      <c r="CP151" t="str">
        <f>IF('1. Live'!CP151='check-Jul25'!CP151,"",'1. Live'!CP151-'check-Jul25'!CP151)</f>
        <v/>
      </c>
      <c r="CQ151" t="str">
        <f>IF('1. Live'!CQ151='check-Jul25'!CQ151,"",'1. Live'!CQ151-'check-Jul25'!CQ151)</f>
        <v/>
      </c>
      <c r="CR151" t="str">
        <f>IF('1. Live'!CR151='check-Jul25'!CR151,"",'1. Live'!CR151-'check-Jul25'!CR151)</f>
        <v/>
      </c>
      <c r="CS151" t="str">
        <f>IF('1. Live'!CS151='check-Jul25'!CS151,"",'1. Live'!CS151-'check-Jul25'!CS151)</f>
        <v/>
      </c>
      <c r="CT151" t="str">
        <f>IF('1. Live'!CT151='check-Jul25'!CT151,"",'1. Live'!CT151-'check-Jul25'!CT151)</f>
        <v/>
      </c>
      <c r="CU151" t="str">
        <f>IF('1. Live'!CU151='check-Jul25'!CU151,"",'1. Live'!CU151-'check-Jul25'!CU151)</f>
        <v/>
      </c>
      <c r="CV151" t="str">
        <f>IF('1. Live'!CV151='check-Jul25'!CV151,"",'1. Live'!CV151-'check-Jul25'!CV151)</f>
        <v/>
      </c>
      <c r="CW151" t="str">
        <f>IF('1. Live'!CW151='check-Jul25'!CW151,"",'1. Live'!CW151-'check-Jul25'!CW151)</f>
        <v/>
      </c>
    </row>
    <row r="152" spans="10:101">
      <c r="J152" t="str">
        <f>IF('1. Live'!J152='check-Jul25'!J152,"",'1. Live'!J152-'check-Jul25'!J152)</f>
        <v/>
      </c>
      <c r="K152" t="str">
        <f>IF('1. Live'!K152='check-Jul25'!K152,"",'1. Live'!K152-'check-Jul25'!K152)</f>
        <v/>
      </c>
      <c r="L152" t="str">
        <f>IF('1. Live'!L152='check-Jul25'!L152,"",'1. Live'!L152-'check-Jul25'!L152)</f>
        <v/>
      </c>
      <c r="M152" t="str">
        <f>IF('1. Live'!M152='check-Jul25'!M152,"",'1. Live'!M152-'check-Jul25'!M152)</f>
        <v/>
      </c>
      <c r="N152" t="str">
        <f>IF('1. Live'!N152='check-Jul25'!N152,"",'1. Live'!N152-'check-Jul25'!N152)</f>
        <v/>
      </c>
      <c r="O152" t="str">
        <f>IF('1. Live'!O152='check-Jul25'!O152,"",'1. Live'!O152-'check-Jul25'!O152)</f>
        <v/>
      </c>
      <c r="P152" t="str">
        <f>IF('1. Live'!P152='check-Jul25'!P152,"",'1. Live'!P152-'check-Jul25'!P152)</f>
        <v/>
      </c>
      <c r="Q152" t="str">
        <f>IF('1. Live'!Q152='check-Jul25'!Q152,"",'1. Live'!Q152-'check-Jul25'!Q152)</f>
        <v/>
      </c>
      <c r="R152" t="str">
        <f>IF('1. Live'!R152='check-Jul25'!R152,"",'1. Live'!R152-'check-Jul25'!R152)</f>
        <v/>
      </c>
      <c r="S152" t="str">
        <f>IF('1. Live'!S152='check-Jul25'!S152,"",'1. Live'!S152-'check-Jul25'!S152)</f>
        <v/>
      </c>
      <c r="T152" t="str">
        <f>IF('1. Live'!T152='check-Jul25'!T152,"",'1. Live'!T152-'check-Jul25'!T152)</f>
        <v/>
      </c>
      <c r="U152" t="str">
        <f>IF('1. Live'!U152='check-Jul25'!U152,"",'1. Live'!U152-'check-Jul25'!U152)</f>
        <v/>
      </c>
      <c r="V152" t="str">
        <f>IF('1. Live'!V152='check-Jul25'!V152,"",'1. Live'!V152-'check-Jul25'!V152)</f>
        <v/>
      </c>
      <c r="W152" t="str">
        <f>IF('1. Live'!W152='check-Jul25'!W152,"",'1. Live'!W152-'check-Jul25'!W152)</f>
        <v/>
      </c>
      <c r="X152" t="str">
        <f>IF('1. Live'!X152='check-Jul25'!X152,"",'1. Live'!X152-'check-Jul25'!X152)</f>
        <v/>
      </c>
      <c r="Y152" t="str">
        <f>IF('1. Live'!Y152='check-Jul25'!Y152,"",'1. Live'!Y152-'check-Jul25'!Y152)</f>
        <v/>
      </c>
      <c r="Z152" t="str">
        <f>IF('1. Live'!Z152='check-Jul25'!Z152,"",'1. Live'!Z152-'check-Jul25'!Z152)</f>
        <v/>
      </c>
      <c r="AA152" t="str">
        <f>IF('1. Live'!AA152='check-Jul25'!AA152,"",'1. Live'!AA152-'check-Jul25'!AA152)</f>
        <v/>
      </c>
      <c r="AB152" t="str">
        <f>IF('1. Live'!AB152='check-Jul25'!AB152,"",'1. Live'!AB152-'check-Jul25'!AB152)</f>
        <v/>
      </c>
      <c r="AC152" t="str">
        <f>IF('1. Live'!AC152='check-Jul25'!AC152,"",'1. Live'!AC152-'check-Jul25'!AC152)</f>
        <v/>
      </c>
      <c r="AD152" t="str">
        <f>IF('1. Live'!AD152='check-Jul25'!AD152,"",'1. Live'!AD152-'check-Jul25'!AD152)</f>
        <v/>
      </c>
      <c r="AE152" t="str">
        <f>IF('1. Live'!AE152='check-Jul25'!AE152,"",'1. Live'!AE152-'check-Jul25'!AE152)</f>
        <v/>
      </c>
      <c r="AF152" t="str">
        <f>IF('1. Live'!AF152='check-Jul25'!AF152,"",'1. Live'!AF152-'check-Jul25'!AF152)</f>
        <v/>
      </c>
      <c r="AG152" t="str">
        <f>IF('1. Live'!AG152='check-Jul25'!AG152,"",'1. Live'!AG152-'check-Jul25'!AG152)</f>
        <v/>
      </c>
      <c r="AH152" t="str">
        <f>IF('1. Live'!AH152='check-Jul25'!AH152,"",'1. Live'!AH152-'check-Jul25'!AH152)</f>
        <v/>
      </c>
      <c r="AI152" t="str">
        <f>IF('1. Live'!AI152='check-Jul25'!AI152,"",'1. Live'!AI152-'check-Jul25'!AI152)</f>
        <v/>
      </c>
      <c r="AJ152" t="str">
        <f>IF('1. Live'!AJ152='check-Jul25'!AJ152,"",'1. Live'!AJ152-'check-Jul25'!AJ152)</f>
        <v/>
      </c>
      <c r="AK152" t="str">
        <f>IF('1. Live'!AK152='check-Jul25'!AK152,"",'1. Live'!AK152-'check-Jul25'!AK152)</f>
        <v/>
      </c>
      <c r="AL152" t="str">
        <f>IF('1. Live'!AL152='check-Jul25'!AL152,"",'1. Live'!AL152-'check-Jul25'!AL152)</f>
        <v/>
      </c>
      <c r="AM152" t="str">
        <f>IF('1. Live'!AM152='check-Jul25'!AM152,"",'1. Live'!AM152-'check-Jul25'!AM152)</f>
        <v/>
      </c>
      <c r="AN152" t="str">
        <f>IF('1. Live'!AN152='check-Jul25'!AN152,"",'1. Live'!AN152-'check-Jul25'!AN152)</f>
        <v/>
      </c>
      <c r="AO152" t="str">
        <f>IF('1. Live'!AO152='check-Jul25'!AO152,"",'1. Live'!AO152-'check-Jul25'!AO152)</f>
        <v/>
      </c>
      <c r="AP152" t="str">
        <f>IF('1. Live'!AP152='check-Jul25'!AP152,"",'1. Live'!AP152-'check-Jul25'!AP152)</f>
        <v/>
      </c>
      <c r="AQ152" t="str">
        <f>IF('1. Live'!AQ152='check-Jul25'!AQ152,"",'1. Live'!AQ152-'check-Jul25'!AQ152)</f>
        <v/>
      </c>
      <c r="AR152" t="str">
        <f>IF('1. Live'!AR152='check-Jul25'!AR152,"",'1. Live'!AR152-'check-Jul25'!AR152)</f>
        <v/>
      </c>
      <c r="AS152" t="str">
        <f>IF('1. Live'!AS152='check-Jul25'!AS152,"",'1. Live'!AS152-'check-Jul25'!AS152)</f>
        <v/>
      </c>
      <c r="AT152" t="str">
        <f>IF('1. Live'!AT152='check-Jul25'!AT152,"",'1. Live'!AT152-'check-Jul25'!AT152)</f>
        <v/>
      </c>
      <c r="AU152" t="str">
        <f>IF('1. Live'!AU152='check-Jul25'!AU152,"",'1. Live'!AU152-'check-Jul25'!AU152)</f>
        <v/>
      </c>
      <c r="AV152" t="str">
        <f>IF('1. Live'!AV152='check-Jul25'!AV152,"",'1. Live'!AV152-'check-Jul25'!AV152)</f>
        <v/>
      </c>
      <c r="AW152" t="str">
        <f>IF('1. Live'!AW152='check-Jul25'!AW152,"",'1. Live'!AW152-'check-Jul25'!AW152)</f>
        <v/>
      </c>
      <c r="AX152" t="str">
        <f>IF('1. Live'!AX152='check-Jul25'!AX152,"",'1. Live'!AX152-'check-Jul25'!AX152)</f>
        <v/>
      </c>
      <c r="AY152" t="str">
        <f>IF('1. Live'!AY152='check-Jul25'!AY152,"",'1. Live'!AY152-'check-Jul25'!AY152)</f>
        <v/>
      </c>
      <c r="AZ152" t="str">
        <f>IF('1. Live'!AZ152='check-Jul25'!AZ152,"",'1. Live'!AZ152-'check-Jul25'!AZ152)</f>
        <v/>
      </c>
      <c r="BA152" t="str">
        <f>IF('1. Live'!BA152='check-Jul25'!BA152,"",'1. Live'!BA152-'check-Jul25'!BA152)</f>
        <v/>
      </c>
      <c r="BB152" t="str">
        <f>IF('1. Live'!BB152='check-Jul25'!BB152,"",'1. Live'!BB152-'check-Jul25'!BB152)</f>
        <v/>
      </c>
      <c r="BC152" t="str">
        <f>IF('1. Live'!BC152='check-Jul25'!BC152,"",'1. Live'!BC152-'check-Jul25'!BC152)</f>
        <v/>
      </c>
      <c r="BD152" t="str">
        <f>IF('1. Live'!BD152='check-Jul25'!BD152,"",'1. Live'!BD152-'check-Jul25'!BD152)</f>
        <v/>
      </c>
      <c r="BE152" t="str">
        <f>IF('1. Live'!BE152='check-Jul25'!BE152,"",'1. Live'!BE152-'check-Jul25'!BE152)</f>
        <v/>
      </c>
      <c r="BF152" t="str">
        <f>IF('1. Live'!BF152='check-Jul25'!BF152,"",'1. Live'!BF152-'check-Jul25'!BF152)</f>
        <v/>
      </c>
      <c r="BG152" t="str">
        <f>IF('1. Live'!BG152='check-Jul25'!BG152,"",'1. Live'!BG152-'check-Jul25'!BG152)</f>
        <v/>
      </c>
      <c r="BH152" t="str">
        <f>IF('1. Live'!BH152='check-Jul25'!BH152,"",'1. Live'!BH152-'check-Jul25'!BH152)</f>
        <v/>
      </c>
      <c r="BI152" t="str">
        <f>IF('1. Live'!BI152='check-Jul25'!BI152,"",'1. Live'!BI152-'check-Jul25'!BI152)</f>
        <v/>
      </c>
      <c r="BJ152" t="str">
        <f>IF('1. Live'!BJ152='check-Jul25'!BJ152,"",'1. Live'!BJ152-'check-Jul25'!BJ152)</f>
        <v/>
      </c>
      <c r="BK152" t="str">
        <f>IF('1. Live'!BK152='check-Jul25'!BK152,"",'1. Live'!BK152-'check-Jul25'!BK152)</f>
        <v/>
      </c>
      <c r="BL152" t="str">
        <f>IF('1. Live'!BL152='check-Jul25'!BL152,"",'1. Live'!BL152-'check-Jul25'!BL152)</f>
        <v/>
      </c>
      <c r="BM152" t="str">
        <f>IF('1. Live'!BM152='check-Jul25'!BM152,"",'1. Live'!BM152-'check-Jul25'!BM152)</f>
        <v/>
      </c>
      <c r="BN152" t="str">
        <f>IF('1. Live'!BN152='check-Jul25'!BN152,"",'1. Live'!BN152-'check-Jul25'!BN152)</f>
        <v/>
      </c>
      <c r="BO152" t="str">
        <f>IF('1. Live'!BO152='check-Jul25'!BO152,"",'1. Live'!BO152-'check-Jul25'!BO152)</f>
        <v/>
      </c>
      <c r="BP152" t="str">
        <f>IF('1. Live'!BP152='check-Jul25'!BP152,"",'1. Live'!BP152-'check-Jul25'!BP152)</f>
        <v/>
      </c>
      <c r="BQ152" t="str">
        <f>IF('1. Live'!BQ152='check-Jul25'!BQ152,"",'1. Live'!BQ152-'check-Jul25'!BQ152)</f>
        <v/>
      </c>
      <c r="BR152" t="str">
        <f>IF('1. Live'!BR152='check-Jul25'!BR152,"",'1. Live'!BR152-'check-Jul25'!BR152)</f>
        <v/>
      </c>
      <c r="BS152" t="str">
        <f>IF('1. Live'!BS152='check-Jul25'!BS152,"",'1. Live'!BS152-'check-Jul25'!BS152)</f>
        <v/>
      </c>
      <c r="BT152" t="str">
        <f>IF('1. Live'!BT152='check-Jul25'!BT152,"",'1. Live'!BT152-'check-Jul25'!BT152)</f>
        <v/>
      </c>
      <c r="BU152" t="str">
        <f>IF('1. Live'!BU152='check-Jul25'!BU152,"",'1. Live'!BU152-'check-Jul25'!BU152)</f>
        <v/>
      </c>
      <c r="BV152" t="str">
        <f>IF('1. Live'!BV152='check-Jul25'!BV152,"",'1. Live'!BV152-'check-Jul25'!BV152)</f>
        <v/>
      </c>
      <c r="BW152" t="str">
        <f>IF('1. Live'!BW152='check-Jul25'!BW152,"",'1. Live'!BW152-'check-Jul25'!BW152)</f>
        <v/>
      </c>
      <c r="BX152" t="str">
        <f>IF('1. Live'!BX152='check-Jul25'!BX152,"",'1. Live'!BX152-'check-Jul25'!BX152)</f>
        <v/>
      </c>
      <c r="BY152" t="str">
        <f>IF('1. Live'!BY152='check-Jul25'!BY152,"",'1. Live'!BY152-'check-Jul25'!BY152)</f>
        <v/>
      </c>
      <c r="BZ152" t="str">
        <f>IF('1. Live'!BZ152='check-Jul25'!BZ152,"",'1. Live'!BZ152-'check-Jul25'!BZ152)</f>
        <v/>
      </c>
      <c r="CA152" t="str">
        <f>IF('1. Live'!CA152='check-Jul25'!CA152,"",'1. Live'!CA152-'check-Jul25'!CA152)</f>
        <v/>
      </c>
      <c r="CB152" t="str">
        <f>IF('1. Live'!CB152='check-Jul25'!CB152,"",'1. Live'!CB152-'check-Jul25'!CB152)</f>
        <v/>
      </c>
      <c r="CC152" t="str">
        <f>IF('1. Live'!CC152='check-Jul25'!CC152,"",'1. Live'!CC152-'check-Jul25'!CC152)</f>
        <v/>
      </c>
      <c r="CD152" t="str">
        <f>IF('1. Live'!CD152='check-Jul25'!CD152,"",'1. Live'!CD152-'check-Jul25'!CD152)</f>
        <v/>
      </c>
      <c r="CE152" t="str">
        <f>IF('1. Live'!CE152='check-Jul25'!CE152,"",'1. Live'!CE152-'check-Jul25'!CE152)</f>
        <v/>
      </c>
      <c r="CF152" t="str">
        <f>IF('1. Live'!CF152='check-Jul25'!CF152,"",'1. Live'!CF152-'check-Jul25'!CF152)</f>
        <v/>
      </c>
      <c r="CG152" t="str">
        <f>IF('1. Live'!CG152='check-Jul25'!CG152,"",'1. Live'!CG152-'check-Jul25'!CG152)</f>
        <v/>
      </c>
      <c r="CH152" t="str">
        <f>IF('1. Live'!CH152='check-Jul25'!CH152,"",'1. Live'!CH152-'check-Jul25'!CH152)</f>
        <v/>
      </c>
      <c r="CI152" t="str">
        <f>IF('1. Live'!CI152='check-Jul25'!CI152,"",'1. Live'!CI152-'check-Jul25'!CI152)</f>
        <v/>
      </c>
      <c r="CJ152" t="str">
        <f>IF('1. Live'!CJ152='check-Jul25'!CJ152,"",'1. Live'!CJ152-'check-Jul25'!CJ152)</f>
        <v/>
      </c>
      <c r="CK152" t="str">
        <f>IF('1. Live'!CK152='check-Jul25'!CK152,"",'1. Live'!CK152-'check-Jul25'!CK152)</f>
        <v/>
      </c>
      <c r="CL152" t="str">
        <f>IF('1. Live'!CL152='check-Jul25'!CL152,"",'1. Live'!CL152-'check-Jul25'!CL152)</f>
        <v/>
      </c>
      <c r="CM152" t="str">
        <f>IF('1. Live'!CM152='check-Jul25'!CM152,"",'1. Live'!CM152-'check-Jul25'!CM152)</f>
        <v/>
      </c>
      <c r="CN152" t="str">
        <f>IF('1. Live'!CN152='check-Jul25'!CN152,"",'1. Live'!CN152-'check-Jul25'!CN152)</f>
        <v/>
      </c>
      <c r="CO152" t="str">
        <f>IF('1. Live'!CO152='check-Jul25'!CO152,"",'1. Live'!CO152-'check-Jul25'!CO152)</f>
        <v/>
      </c>
      <c r="CP152" t="str">
        <f>IF('1. Live'!CP152='check-Jul25'!CP152,"",'1. Live'!CP152-'check-Jul25'!CP152)</f>
        <v/>
      </c>
      <c r="CQ152" t="str">
        <f>IF('1. Live'!CQ152='check-Jul25'!CQ152,"",'1. Live'!CQ152-'check-Jul25'!CQ152)</f>
        <v/>
      </c>
      <c r="CR152" t="str">
        <f>IF('1. Live'!CR152='check-Jul25'!CR152,"",'1. Live'!CR152-'check-Jul25'!CR152)</f>
        <v/>
      </c>
      <c r="CS152" t="str">
        <f>IF('1. Live'!CS152='check-Jul25'!CS152,"",'1. Live'!CS152-'check-Jul25'!CS152)</f>
        <v/>
      </c>
      <c r="CT152" t="str">
        <f>IF('1. Live'!CT152='check-Jul25'!CT152,"",'1. Live'!CT152-'check-Jul25'!CT152)</f>
        <v/>
      </c>
      <c r="CU152" t="str">
        <f>IF('1. Live'!CU152='check-Jul25'!CU152,"",'1. Live'!CU152-'check-Jul25'!CU152)</f>
        <v/>
      </c>
      <c r="CV152" t="str">
        <f>IF('1. Live'!CV152='check-Jul25'!CV152,"",'1. Live'!CV152-'check-Jul25'!CV152)</f>
        <v/>
      </c>
      <c r="CW152" t="str">
        <f>IF('1. Live'!CW152='check-Jul25'!CW152,"",'1. Live'!CW152-'check-Jul25'!CW152)</f>
        <v/>
      </c>
    </row>
    <row r="153" spans="10:101">
      <c r="J153" t="str">
        <f>IF('1. Live'!J153='check-Jul25'!J153,"",'1. Live'!J153-'check-Jul25'!J153)</f>
        <v/>
      </c>
      <c r="K153" t="str">
        <f>IF('1. Live'!K153='check-Jul25'!K153,"",'1. Live'!K153-'check-Jul25'!K153)</f>
        <v/>
      </c>
      <c r="L153" t="str">
        <f>IF('1. Live'!L153='check-Jul25'!L153,"",'1. Live'!L153-'check-Jul25'!L153)</f>
        <v/>
      </c>
      <c r="M153" t="str">
        <f>IF('1. Live'!M153='check-Jul25'!M153,"",'1. Live'!M153-'check-Jul25'!M153)</f>
        <v/>
      </c>
      <c r="N153" t="str">
        <f>IF('1. Live'!N153='check-Jul25'!N153,"",'1. Live'!N153-'check-Jul25'!N153)</f>
        <v/>
      </c>
      <c r="O153" t="str">
        <f>IF('1. Live'!O153='check-Jul25'!O153,"",'1. Live'!O153-'check-Jul25'!O153)</f>
        <v/>
      </c>
      <c r="P153" t="str">
        <f>IF('1. Live'!P153='check-Jul25'!P153,"",'1. Live'!P153-'check-Jul25'!P153)</f>
        <v/>
      </c>
      <c r="Q153" t="str">
        <f>IF('1. Live'!Q153='check-Jul25'!Q153,"",'1. Live'!Q153-'check-Jul25'!Q153)</f>
        <v/>
      </c>
      <c r="R153" t="str">
        <f>IF('1. Live'!R153='check-Jul25'!R153,"",'1. Live'!R153-'check-Jul25'!R153)</f>
        <v/>
      </c>
      <c r="S153" t="str">
        <f>IF('1. Live'!S153='check-Jul25'!S153,"",'1. Live'!S153-'check-Jul25'!S153)</f>
        <v/>
      </c>
      <c r="T153" t="str">
        <f>IF('1. Live'!T153='check-Jul25'!T153,"",'1. Live'!T153-'check-Jul25'!T153)</f>
        <v/>
      </c>
      <c r="U153" t="str">
        <f>IF('1. Live'!U153='check-Jul25'!U153,"",'1. Live'!U153-'check-Jul25'!U153)</f>
        <v/>
      </c>
      <c r="V153" t="str">
        <f>IF('1. Live'!V153='check-Jul25'!V153,"",'1. Live'!V153-'check-Jul25'!V153)</f>
        <v/>
      </c>
      <c r="W153" t="str">
        <f>IF('1. Live'!W153='check-Jul25'!W153,"",'1. Live'!W153-'check-Jul25'!W153)</f>
        <v/>
      </c>
      <c r="X153" t="str">
        <f>IF('1. Live'!X153='check-Jul25'!X153,"",'1. Live'!X153-'check-Jul25'!X153)</f>
        <v/>
      </c>
      <c r="Y153" t="str">
        <f>IF('1. Live'!Y153='check-Jul25'!Y153,"",'1. Live'!Y153-'check-Jul25'!Y153)</f>
        <v/>
      </c>
      <c r="Z153" t="str">
        <f>IF('1. Live'!Z153='check-Jul25'!Z153,"",'1. Live'!Z153-'check-Jul25'!Z153)</f>
        <v/>
      </c>
      <c r="AA153" t="str">
        <f>IF('1. Live'!AA153='check-Jul25'!AA153,"",'1. Live'!AA153-'check-Jul25'!AA153)</f>
        <v/>
      </c>
      <c r="AB153" t="str">
        <f>IF('1. Live'!AB153='check-Jul25'!AB153,"",'1. Live'!AB153-'check-Jul25'!AB153)</f>
        <v/>
      </c>
      <c r="AC153" t="str">
        <f>IF('1. Live'!AC153='check-Jul25'!AC153,"",'1. Live'!AC153-'check-Jul25'!AC153)</f>
        <v/>
      </c>
      <c r="AD153" t="str">
        <f>IF('1. Live'!AD153='check-Jul25'!AD153,"",'1. Live'!AD153-'check-Jul25'!AD153)</f>
        <v/>
      </c>
      <c r="AE153" t="str">
        <f>IF('1. Live'!AE153='check-Jul25'!AE153,"",'1. Live'!AE153-'check-Jul25'!AE153)</f>
        <v/>
      </c>
      <c r="AF153" t="str">
        <f>IF('1. Live'!AF153='check-Jul25'!AF153,"",'1. Live'!AF153-'check-Jul25'!AF153)</f>
        <v/>
      </c>
      <c r="AG153" t="str">
        <f>IF('1. Live'!AG153='check-Jul25'!AG153,"",'1. Live'!AG153-'check-Jul25'!AG153)</f>
        <v/>
      </c>
      <c r="AH153" t="str">
        <f>IF('1. Live'!AH153='check-Jul25'!AH153,"",'1. Live'!AH153-'check-Jul25'!AH153)</f>
        <v/>
      </c>
      <c r="AI153" t="str">
        <f>IF('1. Live'!AI153='check-Jul25'!AI153,"",'1. Live'!AI153-'check-Jul25'!AI153)</f>
        <v/>
      </c>
      <c r="AJ153" t="str">
        <f>IF('1. Live'!AJ153='check-Jul25'!AJ153,"",'1. Live'!AJ153-'check-Jul25'!AJ153)</f>
        <v/>
      </c>
      <c r="AK153" t="str">
        <f>IF('1. Live'!AK153='check-Jul25'!AK153,"",'1. Live'!AK153-'check-Jul25'!AK153)</f>
        <v/>
      </c>
      <c r="AL153" t="str">
        <f>IF('1. Live'!AL153='check-Jul25'!AL153,"",'1. Live'!AL153-'check-Jul25'!AL153)</f>
        <v/>
      </c>
      <c r="AM153" t="str">
        <f>IF('1. Live'!AM153='check-Jul25'!AM153,"",'1. Live'!AM153-'check-Jul25'!AM153)</f>
        <v/>
      </c>
      <c r="AN153" t="str">
        <f>IF('1. Live'!AN153='check-Jul25'!AN153,"",'1. Live'!AN153-'check-Jul25'!AN153)</f>
        <v/>
      </c>
      <c r="AO153" t="str">
        <f>IF('1. Live'!AO153='check-Jul25'!AO153,"",'1. Live'!AO153-'check-Jul25'!AO153)</f>
        <v/>
      </c>
      <c r="AP153" t="str">
        <f>IF('1. Live'!AP153='check-Jul25'!AP153,"",'1. Live'!AP153-'check-Jul25'!AP153)</f>
        <v/>
      </c>
      <c r="AQ153" t="str">
        <f>IF('1. Live'!AQ153='check-Jul25'!AQ153,"",'1. Live'!AQ153-'check-Jul25'!AQ153)</f>
        <v/>
      </c>
      <c r="AR153" t="str">
        <f>IF('1. Live'!AR153='check-Jul25'!AR153,"",'1. Live'!AR153-'check-Jul25'!AR153)</f>
        <v/>
      </c>
      <c r="AS153" t="str">
        <f>IF('1. Live'!AS153='check-Jul25'!AS153,"",'1. Live'!AS153-'check-Jul25'!AS153)</f>
        <v/>
      </c>
      <c r="AT153" t="str">
        <f>IF('1. Live'!AT153='check-Jul25'!AT153,"",'1. Live'!AT153-'check-Jul25'!AT153)</f>
        <v/>
      </c>
      <c r="AU153" t="str">
        <f>IF('1. Live'!AU153='check-Jul25'!AU153,"",'1. Live'!AU153-'check-Jul25'!AU153)</f>
        <v/>
      </c>
      <c r="AV153" t="str">
        <f>IF('1. Live'!AV153='check-Jul25'!AV153,"",'1. Live'!AV153-'check-Jul25'!AV153)</f>
        <v/>
      </c>
      <c r="AW153" t="str">
        <f>IF('1. Live'!AW153='check-Jul25'!AW153,"",'1. Live'!AW153-'check-Jul25'!AW153)</f>
        <v/>
      </c>
      <c r="AX153" t="str">
        <f>IF('1. Live'!AX153='check-Jul25'!AX153,"",'1. Live'!AX153-'check-Jul25'!AX153)</f>
        <v/>
      </c>
      <c r="AY153" t="str">
        <f>IF('1. Live'!AY153='check-Jul25'!AY153,"",'1. Live'!AY153-'check-Jul25'!AY153)</f>
        <v/>
      </c>
      <c r="AZ153" t="str">
        <f>IF('1. Live'!AZ153='check-Jul25'!AZ153,"",'1. Live'!AZ153-'check-Jul25'!AZ153)</f>
        <v/>
      </c>
      <c r="BA153" t="str">
        <f>IF('1. Live'!BA153='check-Jul25'!BA153,"",'1. Live'!BA153-'check-Jul25'!BA153)</f>
        <v/>
      </c>
      <c r="BB153" t="str">
        <f>IF('1. Live'!BB153='check-Jul25'!BB153,"",'1. Live'!BB153-'check-Jul25'!BB153)</f>
        <v/>
      </c>
      <c r="BC153" t="str">
        <f>IF('1. Live'!BC153='check-Jul25'!BC153,"",'1. Live'!BC153-'check-Jul25'!BC153)</f>
        <v/>
      </c>
      <c r="BD153" t="str">
        <f>IF('1. Live'!BD153='check-Jul25'!BD153,"",'1. Live'!BD153-'check-Jul25'!BD153)</f>
        <v/>
      </c>
      <c r="BE153" t="str">
        <f>IF('1. Live'!BE153='check-Jul25'!BE153,"",'1. Live'!BE153-'check-Jul25'!BE153)</f>
        <v/>
      </c>
      <c r="BF153" t="str">
        <f>IF('1. Live'!BF153='check-Jul25'!BF153,"",'1. Live'!BF153-'check-Jul25'!BF153)</f>
        <v/>
      </c>
      <c r="BG153" t="str">
        <f>IF('1. Live'!BG153='check-Jul25'!BG153,"",'1. Live'!BG153-'check-Jul25'!BG153)</f>
        <v/>
      </c>
      <c r="BH153" t="str">
        <f>IF('1. Live'!BH153='check-Jul25'!BH153,"",'1. Live'!BH153-'check-Jul25'!BH153)</f>
        <v/>
      </c>
      <c r="BI153" t="str">
        <f>IF('1. Live'!BI153='check-Jul25'!BI153,"",'1. Live'!BI153-'check-Jul25'!BI153)</f>
        <v/>
      </c>
      <c r="BJ153" t="str">
        <f>IF('1. Live'!BJ153='check-Jul25'!BJ153,"",'1. Live'!BJ153-'check-Jul25'!BJ153)</f>
        <v/>
      </c>
      <c r="BK153" t="str">
        <f>IF('1. Live'!BK153='check-Jul25'!BK153,"",'1. Live'!BK153-'check-Jul25'!BK153)</f>
        <v/>
      </c>
      <c r="BL153" t="str">
        <f>IF('1. Live'!BL153='check-Jul25'!BL153,"",'1. Live'!BL153-'check-Jul25'!BL153)</f>
        <v/>
      </c>
      <c r="BM153" t="str">
        <f>IF('1. Live'!BM153='check-Jul25'!BM153,"",'1. Live'!BM153-'check-Jul25'!BM153)</f>
        <v/>
      </c>
      <c r="BN153" t="str">
        <f>IF('1. Live'!BN153='check-Jul25'!BN153,"",'1. Live'!BN153-'check-Jul25'!BN153)</f>
        <v/>
      </c>
      <c r="BO153" t="str">
        <f>IF('1. Live'!BO153='check-Jul25'!BO153,"",'1. Live'!BO153-'check-Jul25'!BO153)</f>
        <v/>
      </c>
      <c r="BP153" t="str">
        <f>IF('1. Live'!BP153='check-Jul25'!BP153,"",'1. Live'!BP153-'check-Jul25'!BP153)</f>
        <v/>
      </c>
      <c r="BQ153" t="str">
        <f>IF('1. Live'!BQ153='check-Jul25'!BQ153,"",'1. Live'!BQ153-'check-Jul25'!BQ153)</f>
        <v/>
      </c>
      <c r="BR153" t="str">
        <f>IF('1. Live'!BR153='check-Jul25'!BR153,"",'1. Live'!BR153-'check-Jul25'!BR153)</f>
        <v/>
      </c>
      <c r="BS153" t="str">
        <f>IF('1. Live'!BS153='check-Jul25'!BS153,"",'1. Live'!BS153-'check-Jul25'!BS153)</f>
        <v/>
      </c>
      <c r="BT153" t="str">
        <f>IF('1. Live'!BT153='check-Jul25'!BT153,"",'1. Live'!BT153-'check-Jul25'!BT153)</f>
        <v/>
      </c>
      <c r="BU153" t="str">
        <f>IF('1. Live'!BU153='check-Jul25'!BU153,"",'1. Live'!BU153-'check-Jul25'!BU153)</f>
        <v/>
      </c>
      <c r="BV153" t="str">
        <f>IF('1. Live'!BV153='check-Jul25'!BV153,"",'1. Live'!BV153-'check-Jul25'!BV153)</f>
        <v/>
      </c>
      <c r="BW153" t="str">
        <f>IF('1. Live'!BW153='check-Jul25'!BW153,"",'1. Live'!BW153-'check-Jul25'!BW153)</f>
        <v/>
      </c>
      <c r="BX153" t="str">
        <f>IF('1. Live'!BX153='check-Jul25'!BX153,"",'1. Live'!BX153-'check-Jul25'!BX153)</f>
        <v/>
      </c>
      <c r="BY153" t="str">
        <f>IF('1. Live'!BY153='check-Jul25'!BY153,"",'1. Live'!BY153-'check-Jul25'!BY153)</f>
        <v/>
      </c>
      <c r="BZ153" t="str">
        <f>IF('1. Live'!BZ153='check-Jul25'!BZ153,"",'1. Live'!BZ153-'check-Jul25'!BZ153)</f>
        <v/>
      </c>
      <c r="CA153" t="str">
        <f>IF('1. Live'!CA153='check-Jul25'!CA153,"",'1. Live'!CA153-'check-Jul25'!CA153)</f>
        <v/>
      </c>
      <c r="CB153" t="str">
        <f>IF('1. Live'!CB153='check-Jul25'!CB153,"",'1. Live'!CB153-'check-Jul25'!CB153)</f>
        <v/>
      </c>
      <c r="CC153" t="str">
        <f>IF('1. Live'!CC153='check-Jul25'!CC153,"",'1. Live'!CC153-'check-Jul25'!CC153)</f>
        <v/>
      </c>
      <c r="CD153" t="str">
        <f>IF('1. Live'!CD153='check-Jul25'!CD153,"",'1. Live'!CD153-'check-Jul25'!CD153)</f>
        <v/>
      </c>
      <c r="CE153" t="str">
        <f>IF('1. Live'!CE153='check-Jul25'!CE153,"",'1. Live'!CE153-'check-Jul25'!CE153)</f>
        <v/>
      </c>
      <c r="CF153" t="str">
        <f>IF('1. Live'!CF153='check-Jul25'!CF153,"",'1. Live'!CF153-'check-Jul25'!CF153)</f>
        <v/>
      </c>
      <c r="CG153" t="str">
        <f>IF('1. Live'!CG153='check-Jul25'!CG153,"",'1. Live'!CG153-'check-Jul25'!CG153)</f>
        <v/>
      </c>
      <c r="CH153" t="str">
        <f>IF('1. Live'!CH153='check-Jul25'!CH153,"",'1. Live'!CH153-'check-Jul25'!CH153)</f>
        <v/>
      </c>
      <c r="CI153" t="str">
        <f>IF('1. Live'!CI153='check-Jul25'!CI153,"",'1. Live'!CI153-'check-Jul25'!CI153)</f>
        <v/>
      </c>
      <c r="CJ153" t="str">
        <f>IF('1. Live'!CJ153='check-Jul25'!CJ153,"",'1. Live'!CJ153-'check-Jul25'!CJ153)</f>
        <v/>
      </c>
      <c r="CK153" t="str">
        <f>IF('1. Live'!CK153='check-Jul25'!CK153,"",'1. Live'!CK153-'check-Jul25'!CK153)</f>
        <v/>
      </c>
      <c r="CL153" t="str">
        <f>IF('1. Live'!CL153='check-Jul25'!CL153,"",'1. Live'!CL153-'check-Jul25'!CL153)</f>
        <v/>
      </c>
      <c r="CM153" t="str">
        <f>IF('1. Live'!CM153='check-Jul25'!CM153,"",'1. Live'!CM153-'check-Jul25'!CM153)</f>
        <v/>
      </c>
      <c r="CN153" t="str">
        <f>IF('1. Live'!CN153='check-Jul25'!CN153,"",'1. Live'!CN153-'check-Jul25'!CN153)</f>
        <v/>
      </c>
      <c r="CO153" t="str">
        <f>IF('1. Live'!CO153='check-Jul25'!CO153,"",'1. Live'!CO153-'check-Jul25'!CO153)</f>
        <v/>
      </c>
      <c r="CP153" t="str">
        <f>IF('1. Live'!CP153='check-Jul25'!CP153,"",'1. Live'!CP153-'check-Jul25'!CP153)</f>
        <v/>
      </c>
      <c r="CQ153" t="str">
        <f>IF('1. Live'!CQ153='check-Jul25'!CQ153,"",'1. Live'!CQ153-'check-Jul25'!CQ153)</f>
        <v/>
      </c>
      <c r="CR153" t="str">
        <f>IF('1. Live'!CR153='check-Jul25'!CR153,"",'1. Live'!CR153-'check-Jul25'!CR153)</f>
        <v/>
      </c>
      <c r="CS153" t="str">
        <f>IF('1. Live'!CS153='check-Jul25'!CS153,"",'1. Live'!CS153-'check-Jul25'!CS153)</f>
        <v/>
      </c>
      <c r="CT153" t="str">
        <f>IF('1. Live'!CT153='check-Jul25'!CT153,"",'1. Live'!CT153-'check-Jul25'!CT153)</f>
        <v/>
      </c>
      <c r="CU153" t="str">
        <f>IF('1. Live'!CU153='check-Jul25'!CU153,"",'1. Live'!CU153-'check-Jul25'!CU153)</f>
        <v/>
      </c>
      <c r="CV153" t="str">
        <f>IF('1. Live'!CV153='check-Jul25'!CV153,"",'1. Live'!CV153-'check-Jul25'!CV153)</f>
        <v/>
      </c>
      <c r="CW153" t="str">
        <f>IF('1. Live'!CW153='check-Jul25'!CW153,"",'1. Live'!CW153-'check-Jul25'!CW153)</f>
        <v/>
      </c>
    </row>
    <row r="154" spans="10:101">
      <c r="J154" t="str">
        <f>IF('1. Live'!J154='check-Jul25'!J154,"",'1. Live'!J154-'check-Jul25'!J154)</f>
        <v/>
      </c>
      <c r="K154" t="str">
        <f>IF('1. Live'!K154='check-Jul25'!K154,"",'1. Live'!K154-'check-Jul25'!K154)</f>
        <v/>
      </c>
      <c r="L154" t="str">
        <f>IF('1. Live'!L154='check-Jul25'!L154,"",'1. Live'!L154-'check-Jul25'!L154)</f>
        <v/>
      </c>
      <c r="M154" t="str">
        <f>IF('1. Live'!M154='check-Jul25'!M154,"",'1. Live'!M154-'check-Jul25'!M154)</f>
        <v/>
      </c>
      <c r="N154" t="str">
        <f>IF('1. Live'!N154='check-Jul25'!N154,"",'1. Live'!N154-'check-Jul25'!N154)</f>
        <v/>
      </c>
      <c r="O154" t="str">
        <f>IF('1. Live'!O154='check-Jul25'!O154,"",'1. Live'!O154-'check-Jul25'!O154)</f>
        <v/>
      </c>
      <c r="P154" t="str">
        <f>IF('1. Live'!P154='check-Jul25'!P154,"",'1. Live'!P154-'check-Jul25'!P154)</f>
        <v/>
      </c>
      <c r="Q154" t="str">
        <f>IF('1. Live'!Q154='check-Jul25'!Q154,"",'1. Live'!Q154-'check-Jul25'!Q154)</f>
        <v/>
      </c>
      <c r="R154" t="str">
        <f>IF('1. Live'!R154='check-Jul25'!R154,"",'1. Live'!R154-'check-Jul25'!R154)</f>
        <v/>
      </c>
      <c r="S154" t="str">
        <f>IF('1. Live'!S154='check-Jul25'!S154,"",'1. Live'!S154-'check-Jul25'!S154)</f>
        <v/>
      </c>
      <c r="T154" t="str">
        <f>IF('1. Live'!T154='check-Jul25'!T154,"",'1. Live'!T154-'check-Jul25'!T154)</f>
        <v/>
      </c>
      <c r="U154" t="str">
        <f>IF('1. Live'!U154='check-Jul25'!U154,"",'1. Live'!U154-'check-Jul25'!U154)</f>
        <v/>
      </c>
      <c r="V154" t="str">
        <f>IF('1. Live'!V154='check-Jul25'!V154,"",'1. Live'!V154-'check-Jul25'!V154)</f>
        <v/>
      </c>
      <c r="W154" t="str">
        <f>IF('1. Live'!W154='check-Jul25'!W154,"",'1. Live'!W154-'check-Jul25'!W154)</f>
        <v/>
      </c>
      <c r="X154" t="str">
        <f>IF('1. Live'!X154='check-Jul25'!X154,"",'1. Live'!X154-'check-Jul25'!X154)</f>
        <v/>
      </c>
      <c r="Y154" t="str">
        <f>IF('1. Live'!Y154='check-Jul25'!Y154,"",'1. Live'!Y154-'check-Jul25'!Y154)</f>
        <v/>
      </c>
      <c r="Z154" t="str">
        <f>IF('1. Live'!Z154='check-Jul25'!Z154,"",'1. Live'!Z154-'check-Jul25'!Z154)</f>
        <v/>
      </c>
      <c r="AA154" t="str">
        <f>IF('1. Live'!AA154='check-Jul25'!AA154,"",'1. Live'!AA154-'check-Jul25'!AA154)</f>
        <v/>
      </c>
      <c r="AB154" t="str">
        <f>IF('1. Live'!AB154='check-Jul25'!AB154,"",'1. Live'!AB154-'check-Jul25'!AB154)</f>
        <v/>
      </c>
      <c r="AC154" t="str">
        <f>IF('1. Live'!AC154='check-Jul25'!AC154,"",'1. Live'!AC154-'check-Jul25'!AC154)</f>
        <v/>
      </c>
      <c r="AD154" t="str">
        <f>IF('1. Live'!AD154='check-Jul25'!AD154,"",'1. Live'!AD154-'check-Jul25'!AD154)</f>
        <v/>
      </c>
      <c r="AE154" t="str">
        <f>IF('1. Live'!AE154='check-Jul25'!AE154,"",'1. Live'!AE154-'check-Jul25'!AE154)</f>
        <v/>
      </c>
      <c r="AF154" t="str">
        <f>IF('1. Live'!AF154='check-Jul25'!AF154,"",'1. Live'!AF154-'check-Jul25'!AF154)</f>
        <v/>
      </c>
      <c r="AG154" t="str">
        <f>IF('1. Live'!AG154='check-Jul25'!AG154,"",'1. Live'!AG154-'check-Jul25'!AG154)</f>
        <v/>
      </c>
      <c r="AH154" t="str">
        <f>IF('1. Live'!AH154='check-Jul25'!AH154,"",'1. Live'!AH154-'check-Jul25'!AH154)</f>
        <v/>
      </c>
      <c r="AI154" t="str">
        <f>IF('1. Live'!AI154='check-Jul25'!AI154,"",'1. Live'!AI154-'check-Jul25'!AI154)</f>
        <v/>
      </c>
      <c r="AJ154" t="str">
        <f>IF('1. Live'!AJ154='check-Jul25'!AJ154,"",'1. Live'!AJ154-'check-Jul25'!AJ154)</f>
        <v/>
      </c>
      <c r="AK154" t="str">
        <f>IF('1. Live'!AK154='check-Jul25'!AK154,"",'1. Live'!AK154-'check-Jul25'!AK154)</f>
        <v/>
      </c>
      <c r="AL154" t="str">
        <f>IF('1. Live'!AL154='check-Jul25'!AL154,"",'1. Live'!AL154-'check-Jul25'!AL154)</f>
        <v/>
      </c>
      <c r="AM154" t="str">
        <f>IF('1. Live'!AM154='check-Jul25'!AM154,"",'1. Live'!AM154-'check-Jul25'!AM154)</f>
        <v/>
      </c>
      <c r="AN154" t="str">
        <f>IF('1. Live'!AN154='check-Jul25'!AN154,"",'1. Live'!AN154-'check-Jul25'!AN154)</f>
        <v/>
      </c>
      <c r="AO154" t="str">
        <f>IF('1. Live'!AO154='check-Jul25'!AO154,"",'1. Live'!AO154-'check-Jul25'!AO154)</f>
        <v/>
      </c>
      <c r="AP154" t="str">
        <f>IF('1. Live'!AP154='check-Jul25'!AP154,"",'1. Live'!AP154-'check-Jul25'!AP154)</f>
        <v/>
      </c>
      <c r="AQ154" t="str">
        <f>IF('1. Live'!AQ154='check-Jul25'!AQ154,"",'1. Live'!AQ154-'check-Jul25'!AQ154)</f>
        <v/>
      </c>
      <c r="AR154" t="str">
        <f>IF('1. Live'!AR154='check-Jul25'!AR154,"",'1. Live'!AR154-'check-Jul25'!AR154)</f>
        <v/>
      </c>
      <c r="AS154" t="str">
        <f>IF('1. Live'!AS154='check-Jul25'!AS154,"",'1. Live'!AS154-'check-Jul25'!AS154)</f>
        <v/>
      </c>
      <c r="AT154" t="str">
        <f>IF('1. Live'!AT154='check-Jul25'!AT154,"",'1. Live'!AT154-'check-Jul25'!AT154)</f>
        <v/>
      </c>
      <c r="AU154" t="str">
        <f>IF('1. Live'!AU154='check-Jul25'!AU154,"",'1. Live'!AU154-'check-Jul25'!AU154)</f>
        <v/>
      </c>
      <c r="AV154" t="str">
        <f>IF('1. Live'!AV154='check-Jul25'!AV154,"",'1. Live'!AV154-'check-Jul25'!AV154)</f>
        <v/>
      </c>
      <c r="AW154" t="str">
        <f>IF('1. Live'!AW154='check-Jul25'!AW154,"",'1. Live'!AW154-'check-Jul25'!AW154)</f>
        <v/>
      </c>
      <c r="AX154" t="str">
        <f>IF('1. Live'!AX154='check-Jul25'!AX154,"",'1. Live'!AX154-'check-Jul25'!AX154)</f>
        <v/>
      </c>
      <c r="AY154" t="str">
        <f>IF('1. Live'!AY154='check-Jul25'!AY154,"",'1. Live'!AY154-'check-Jul25'!AY154)</f>
        <v/>
      </c>
      <c r="AZ154" t="str">
        <f>IF('1. Live'!AZ154='check-Jul25'!AZ154,"",'1. Live'!AZ154-'check-Jul25'!AZ154)</f>
        <v/>
      </c>
      <c r="BA154" t="str">
        <f>IF('1. Live'!BA154='check-Jul25'!BA154,"",'1. Live'!BA154-'check-Jul25'!BA154)</f>
        <v/>
      </c>
      <c r="BB154" t="str">
        <f>IF('1. Live'!BB154='check-Jul25'!BB154,"",'1. Live'!BB154-'check-Jul25'!BB154)</f>
        <v/>
      </c>
      <c r="BC154" t="str">
        <f>IF('1. Live'!BC154='check-Jul25'!BC154,"",'1. Live'!BC154-'check-Jul25'!BC154)</f>
        <v/>
      </c>
      <c r="BD154" t="str">
        <f>IF('1. Live'!BD154='check-Jul25'!BD154,"",'1. Live'!BD154-'check-Jul25'!BD154)</f>
        <v/>
      </c>
      <c r="BE154" t="str">
        <f>IF('1. Live'!BE154='check-Jul25'!BE154,"",'1. Live'!BE154-'check-Jul25'!BE154)</f>
        <v/>
      </c>
      <c r="BF154" t="str">
        <f>IF('1. Live'!BF154='check-Jul25'!BF154,"",'1. Live'!BF154-'check-Jul25'!BF154)</f>
        <v/>
      </c>
      <c r="BG154" t="str">
        <f>IF('1. Live'!BG154='check-Jul25'!BG154,"",'1. Live'!BG154-'check-Jul25'!BG154)</f>
        <v/>
      </c>
      <c r="BH154" t="str">
        <f>IF('1. Live'!BH154='check-Jul25'!BH154,"",'1. Live'!BH154-'check-Jul25'!BH154)</f>
        <v/>
      </c>
      <c r="BI154" t="str">
        <f>IF('1. Live'!BI154='check-Jul25'!BI154,"",'1. Live'!BI154-'check-Jul25'!BI154)</f>
        <v/>
      </c>
      <c r="BJ154" t="str">
        <f>IF('1. Live'!BJ154='check-Jul25'!BJ154,"",'1. Live'!BJ154-'check-Jul25'!BJ154)</f>
        <v/>
      </c>
      <c r="BK154" t="str">
        <f>IF('1. Live'!BK154='check-Jul25'!BK154,"",'1. Live'!BK154-'check-Jul25'!BK154)</f>
        <v/>
      </c>
      <c r="BL154" t="str">
        <f>IF('1. Live'!BL154='check-Jul25'!BL154,"",'1. Live'!BL154-'check-Jul25'!BL154)</f>
        <v/>
      </c>
      <c r="BM154" t="str">
        <f>IF('1. Live'!BM154='check-Jul25'!BM154,"",'1. Live'!BM154-'check-Jul25'!BM154)</f>
        <v/>
      </c>
      <c r="BN154" t="str">
        <f>IF('1. Live'!BN154='check-Jul25'!BN154,"",'1. Live'!BN154-'check-Jul25'!BN154)</f>
        <v/>
      </c>
      <c r="BO154" t="str">
        <f>IF('1. Live'!BO154='check-Jul25'!BO154,"",'1. Live'!BO154-'check-Jul25'!BO154)</f>
        <v/>
      </c>
      <c r="BP154" t="str">
        <f>IF('1. Live'!BP154='check-Jul25'!BP154,"",'1. Live'!BP154-'check-Jul25'!BP154)</f>
        <v/>
      </c>
      <c r="BQ154" t="str">
        <f>IF('1. Live'!BQ154='check-Jul25'!BQ154,"",'1. Live'!BQ154-'check-Jul25'!BQ154)</f>
        <v/>
      </c>
      <c r="BR154" t="str">
        <f>IF('1. Live'!BR154='check-Jul25'!BR154,"",'1. Live'!BR154-'check-Jul25'!BR154)</f>
        <v/>
      </c>
      <c r="BS154" t="str">
        <f>IF('1. Live'!BS154='check-Jul25'!BS154,"",'1. Live'!BS154-'check-Jul25'!BS154)</f>
        <v/>
      </c>
      <c r="BT154" t="str">
        <f>IF('1. Live'!BT154='check-Jul25'!BT154,"",'1. Live'!BT154-'check-Jul25'!BT154)</f>
        <v/>
      </c>
      <c r="BU154" t="str">
        <f>IF('1. Live'!BU154='check-Jul25'!BU154,"",'1. Live'!BU154-'check-Jul25'!BU154)</f>
        <v/>
      </c>
      <c r="BV154" t="str">
        <f>IF('1. Live'!BV154='check-Jul25'!BV154,"",'1. Live'!BV154-'check-Jul25'!BV154)</f>
        <v/>
      </c>
      <c r="BW154" t="str">
        <f>IF('1. Live'!BW154='check-Jul25'!BW154,"",'1. Live'!BW154-'check-Jul25'!BW154)</f>
        <v/>
      </c>
      <c r="BX154" t="str">
        <f>IF('1. Live'!BX154='check-Jul25'!BX154,"",'1. Live'!BX154-'check-Jul25'!BX154)</f>
        <v/>
      </c>
      <c r="BY154" t="str">
        <f>IF('1. Live'!BY154='check-Jul25'!BY154,"",'1. Live'!BY154-'check-Jul25'!BY154)</f>
        <v/>
      </c>
      <c r="BZ154" t="str">
        <f>IF('1. Live'!BZ154='check-Jul25'!BZ154,"",'1. Live'!BZ154-'check-Jul25'!BZ154)</f>
        <v/>
      </c>
      <c r="CA154" t="str">
        <f>IF('1. Live'!CA154='check-Jul25'!CA154,"",'1. Live'!CA154-'check-Jul25'!CA154)</f>
        <v/>
      </c>
      <c r="CB154" t="str">
        <f>IF('1. Live'!CB154='check-Jul25'!CB154,"",'1. Live'!CB154-'check-Jul25'!CB154)</f>
        <v/>
      </c>
      <c r="CC154" t="str">
        <f>IF('1. Live'!CC154='check-Jul25'!CC154,"",'1. Live'!CC154-'check-Jul25'!CC154)</f>
        <v/>
      </c>
      <c r="CD154" t="str">
        <f>IF('1. Live'!CD154='check-Jul25'!CD154,"",'1. Live'!CD154-'check-Jul25'!CD154)</f>
        <v/>
      </c>
      <c r="CE154" t="str">
        <f>IF('1. Live'!CE154='check-Jul25'!CE154,"",'1. Live'!CE154-'check-Jul25'!CE154)</f>
        <v/>
      </c>
      <c r="CF154" t="str">
        <f>IF('1. Live'!CF154='check-Jul25'!CF154,"",'1. Live'!CF154-'check-Jul25'!CF154)</f>
        <v/>
      </c>
      <c r="CG154" t="str">
        <f>IF('1. Live'!CG154='check-Jul25'!CG154,"",'1. Live'!CG154-'check-Jul25'!CG154)</f>
        <v/>
      </c>
      <c r="CH154" t="str">
        <f>IF('1. Live'!CH154='check-Jul25'!CH154,"",'1. Live'!CH154-'check-Jul25'!CH154)</f>
        <v/>
      </c>
      <c r="CI154" t="str">
        <f>IF('1. Live'!CI154='check-Jul25'!CI154,"",'1. Live'!CI154-'check-Jul25'!CI154)</f>
        <v/>
      </c>
      <c r="CJ154" t="str">
        <f>IF('1. Live'!CJ154='check-Jul25'!CJ154,"",'1. Live'!CJ154-'check-Jul25'!CJ154)</f>
        <v/>
      </c>
      <c r="CK154" t="str">
        <f>IF('1. Live'!CK154='check-Jul25'!CK154,"",'1. Live'!CK154-'check-Jul25'!CK154)</f>
        <v/>
      </c>
      <c r="CL154" t="str">
        <f>IF('1. Live'!CL154='check-Jul25'!CL154,"",'1. Live'!CL154-'check-Jul25'!CL154)</f>
        <v/>
      </c>
      <c r="CM154" t="str">
        <f>IF('1. Live'!CM154='check-Jul25'!CM154,"",'1. Live'!CM154-'check-Jul25'!CM154)</f>
        <v/>
      </c>
      <c r="CN154" t="str">
        <f>IF('1. Live'!CN154='check-Jul25'!CN154,"",'1. Live'!CN154-'check-Jul25'!CN154)</f>
        <v/>
      </c>
      <c r="CO154" t="str">
        <f>IF('1. Live'!CO154='check-Jul25'!CO154,"",'1. Live'!CO154-'check-Jul25'!CO154)</f>
        <v/>
      </c>
      <c r="CP154" t="str">
        <f>IF('1. Live'!CP154='check-Jul25'!CP154,"",'1. Live'!CP154-'check-Jul25'!CP154)</f>
        <v/>
      </c>
      <c r="CQ154" t="str">
        <f>IF('1. Live'!CQ154='check-Jul25'!CQ154,"",'1. Live'!CQ154-'check-Jul25'!CQ154)</f>
        <v/>
      </c>
      <c r="CR154" t="str">
        <f>IF('1. Live'!CR154='check-Jul25'!CR154,"",'1. Live'!CR154-'check-Jul25'!CR154)</f>
        <v/>
      </c>
      <c r="CS154" t="str">
        <f>IF('1. Live'!CS154='check-Jul25'!CS154,"",'1. Live'!CS154-'check-Jul25'!CS154)</f>
        <v/>
      </c>
      <c r="CT154" t="str">
        <f>IF('1. Live'!CT154='check-Jul25'!CT154,"",'1. Live'!CT154-'check-Jul25'!CT154)</f>
        <v/>
      </c>
      <c r="CU154" t="str">
        <f>IF('1. Live'!CU154='check-Jul25'!CU154,"",'1. Live'!CU154-'check-Jul25'!CU154)</f>
        <v/>
      </c>
      <c r="CV154" t="str">
        <f>IF('1. Live'!CV154='check-Jul25'!CV154,"",'1. Live'!CV154-'check-Jul25'!CV154)</f>
        <v/>
      </c>
      <c r="CW154" t="str">
        <f>IF('1. Live'!CW154='check-Jul25'!CW154,"",'1. Live'!CW154-'check-Jul25'!CW154)</f>
        <v/>
      </c>
    </row>
    <row r="155" spans="10:101">
      <c r="J155" t="str">
        <f>IF('1. Live'!J155='check-Jul25'!J155,"",'1. Live'!J155-'check-Jul25'!J155)</f>
        <v/>
      </c>
      <c r="K155" t="str">
        <f>IF('1. Live'!K155='check-Jul25'!K155,"",'1. Live'!K155-'check-Jul25'!K155)</f>
        <v/>
      </c>
      <c r="L155" t="str">
        <f>IF('1. Live'!L155='check-Jul25'!L155,"",'1. Live'!L155-'check-Jul25'!L155)</f>
        <v/>
      </c>
      <c r="M155" t="str">
        <f>IF('1. Live'!M155='check-Jul25'!M155,"",'1. Live'!M155-'check-Jul25'!M155)</f>
        <v/>
      </c>
      <c r="N155" t="str">
        <f>IF('1. Live'!N155='check-Jul25'!N155,"",'1. Live'!N155-'check-Jul25'!N155)</f>
        <v/>
      </c>
      <c r="O155" t="str">
        <f>IF('1. Live'!O155='check-Jul25'!O155,"",'1. Live'!O155-'check-Jul25'!O155)</f>
        <v/>
      </c>
      <c r="P155" t="str">
        <f>IF('1. Live'!P155='check-Jul25'!P155,"",'1. Live'!P155-'check-Jul25'!P155)</f>
        <v/>
      </c>
      <c r="Q155" t="str">
        <f>IF('1. Live'!Q155='check-Jul25'!Q155,"",'1. Live'!Q155-'check-Jul25'!Q155)</f>
        <v/>
      </c>
      <c r="R155" t="str">
        <f>IF('1. Live'!R155='check-Jul25'!R155,"",'1. Live'!R155-'check-Jul25'!R155)</f>
        <v/>
      </c>
      <c r="S155" t="str">
        <f>IF('1. Live'!S155='check-Jul25'!S155,"",'1. Live'!S155-'check-Jul25'!S155)</f>
        <v/>
      </c>
      <c r="T155" t="str">
        <f>IF('1. Live'!T155='check-Jul25'!T155,"",'1. Live'!T155-'check-Jul25'!T155)</f>
        <v/>
      </c>
      <c r="U155" t="str">
        <f>IF('1. Live'!U155='check-Jul25'!U155,"",'1. Live'!U155-'check-Jul25'!U155)</f>
        <v/>
      </c>
      <c r="V155" t="str">
        <f>IF('1. Live'!V155='check-Jul25'!V155,"",'1. Live'!V155-'check-Jul25'!V155)</f>
        <v/>
      </c>
      <c r="W155" t="str">
        <f>IF('1. Live'!W155='check-Jul25'!W155,"",'1. Live'!W155-'check-Jul25'!W155)</f>
        <v/>
      </c>
      <c r="X155" t="str">
        <f>IF('1. Live'!X155='check-Jul25'!X155,"",'1. Live'!X155-'check-Jul25'!X155)</f>
        <v/>
      </c>
      <c r="Y155" t="str">
        <f>IF('1. Live'!Y155='check-Jul25'!Y155,"",'1. Live'!Y155-'check-Jul25'!Y155)</f>
        <v/>
      </c>
      <c r="Z155" t="str">
        <f>IF('1. Live'!Z155='check-Jul25'!Z155,"",'1. Live'!Z155-'check-Jul25'!Z155)</f>
        <v/>
      </c>
      <c r="AA155" t="str">
        <f>IF('1. Live'!AA155='check-Jul25'!AA155,"",'1. Live'!AA155-'check-Jul25'!AA155)</f>
        <v/>
      </c>
      <c r="AB155" t="str">
        <f>IF('1. Live'!AB155='check-Jul25'!AB155,"",'1. Live'!AB155-'check-Jul25'!AB155)</f>
        <v/>
      </c>
      <c r="AC155" t="str">
        <f>IF('1. Live'!AC155='check-Jul25'!AC155,"",'1. Live'!AC155-'check-Jul25'!AC155)</f>
        <v/>
      </c>
      <c r="AD155" t="str">
        <f>IF('1. Live'!AD155='check-Jul25'!AD155,"",'1. Live'!AD155-'check-Jul25'!AD155)</f>
        <v/>
      </c>
      <c r="AE155" t="str">
        <f>IF('1. Live'!AE155='check-Jul25'!AE155,"",'1. Live'!AE155-'check-Jul25'!AE155)</f>
        <v/>
      </c>
      <c r="AF155" t="str">
        <f>IF('1. Live'!AF155='check-Jul25'!AF155,"",'1. Live'!AF155-'check-Jul25'!AF155)</f>
        <v/>
      </c>
      <c r="AG155" t="str">
        <f>IF('1. Live'!AG155='check-Jul25'!AG155,"",'1. Live'!AG155-'check-Jul25'!AG155)</f>
        <v/>
      </c>
      <c r="AH155" t="str">
        <f>IF('1. Live'!AH155='check-Jul25'!AH155,"",'1. Live'!AH155-'check-Jul25'!AH155)</f>
        <v/>
      </c>
      <c r="AI155" t="str">
        <f>IF('1. Live'!AI155='check-Jul25'!AI155,"",'1. Live'!AI155-'check-Jul25'!AI155)</f>
        <v/>
      </c>
      <c r="AJ155" t="str">
        <f>IF('1. Live'!AJ155='check-Jul25'!AJ155,"",'1. Live'!AJ155-'check-Jul25'!AJ155)</f>
        <v/>
      </c>
      <c r="AK155" t="str">
        <f>IF('1. Live'!AK155='check-Jul25'!AK155,"",'1. Live'!AK155-'check-Jul25'!AK155)</f>
        <v/>
      </c>
      <c r="AL155" t="str">
        <f>IF('1. Live'!AL155='check-Jul25'!AL155,"",'1. Live'!AL155-'check-Jul25'!AL155)</f>
        <v/>
      </c>
      <c r="AM155" t="str">
        <f>IF('1. Live'!AM155='check-Jul25'!AM155,"",'1. Live'!AM155-'check-Jul25'!AM155)</f>
        <v/>
      </c>
      <c r="AN155" t="str">
        <f>IF('1. Live'!AN155='check-Jul25'!AN155,"",'1. Live'!AN155-'check-Jul25'!AN155)</f>
        <v/>
      </c>
      <c r="AO155" t="str">
        <f>IF('1. Live'!AO155='check-Jul25'!AO155,"",'1. Live'!AO155-'check-Jul25'!AO155)</f>
        <v/>
      </c>
      <c r="AP155" t="str">
        <f>IF('1. Live'!AP155='check-Jul25'!AP155,"",'1. Live'!AP155-'check-Jul25'!AP155)</f>
        <v/>
      </c>
      <c r="AQ155" t="str">
        <f>IF('1. Live'!AQ155='check-Jul25'!AQ155,"",'1. Live'!AQ155-'check-Jul25'!AQ155)</f>
        <v/>
      </c>
      <c r="AR155" t="str">
        <f>IF('1. Live'!AR155='check-Jul25'!AR155,"",'1. Live'!AR155-'check-Jul25'!AR155)</f>
        <v/>
      </c>
      <c r="AS155" t="str">
        <f>IF('1. Live'!AS155='check-Jul25'!AS155,"",'1. Live'!AS155-'check-Jul25'!AS155)</f>
        <v/>
      </c>
      <c r="AT155" t="str">
        <f>IF('1. Live'!AT155='check-Jul25'!AT155,"",'1. Live'!AT155-'check-Jul25'!AT155)</f>
        <v/>
      </c>
      <c r="AU155" t="str">
        <f>IF('1. Live'!AU155='check-Jul25'!AU155,"",'1. Live'!AU155-'check-Jul25'!AU155)</f>
        <v/>
      </c>
      <c r="AV155" t="str">
        <f>IF('1. Live'!AV155='check-Jul25'!AV155,"",'1. Live'!AV155-'check-Jul25'!AV155)</f>
        <v/>
      </c>
      <c r="AW155" t="str">
        <f>IF('1. Live'!AW155='check-Jul25'!AW155,"",'1. Live'!AW155-'check-Jul25'!AW155)</f>
        <v/>
      </c>
      <c r="AX155" t="str">
        <f>IF('1. Live'!AX155='check-Jul25'!AX155,"",'1. Live'!AX155-'check-Jul25'!AX155)</f>
        <v/>
      </c>
      <c r="AY155" t="str">
        <f>IF('1. Live'!AY155='check-Jul25'!AY155,"",'1. Live'!AY155-'check-Jul25'!AY155)</f>
        <v/>
      </c>
      <c r="AZ155" t="str">
        <f>IF('1. Live'!AZ155='check-Jul25'!AZ155,"",'1. Live'!AZ155-'check-Jul25'!AZ155)</f>
        <v/>
      </c>
      <c r="BA155" t="str">
        <f>IF('1. Live'!BA155='check-Jul25'!BA155,"",'1. Live'!BA155-'check-Jul25'!BA155)</f>
        <v/>
      </c>
      <c r="BB155" t="str">
        <f>IF('1. Live'!BB155='check-Jul25'!BB155,"",'1. Live'!BB155-'check-Jul25'!BB155)</f>
        <v/>
      </c>
      <c r="BC155" t="str">
        <f>IF('1. Live'!BC155='check-Jul25'!BC155,"",'1. Live'!BC155-'check-Jul25'!BC155)</f>
        <v/>
      </c>
      <c r="BD155" t="str">
        <f>IF('1. Live'!BD155='check-Jul25'!BD155,"",'1. Live'!BD155-'check-Jul25'!BD155)</f>
        <v/>
      </c>
      <c r="BE155" t="str">
        <f>IF('1. Live'!BE155='check-Jul25'!BE155,"",'1. Live'!BE155-'check-Jul25'!BE155)</f>
        <v/>
      </c>
      <c r="BF155" t="str">
        <f>IF('1. Live'!BF155='check-Jul25'!BF155,"",'1. Live'!BF155-'check-Jul25'!BF155)</f>
        <v/>
      </c>
      <c r="BG155" t="str">
        <f>IF('1. Live'!BG155='check-Jul25'!BG155,"",'1. Live'!BG155-'check-Jul25'!BG155)</f>
        <v/>
      </c>
      <c r="BH155" t="str">
        <f>IF('1. Live'!BH155='check-Jul25'!BH155,"",'1. Live'!BH155-'check-Jul25'!BH155)</f>
        <v/>
      </c>
      <c r="BI155" t="str">
        <f>IF('1. Live'!BI155='check-Jul25'!BI155,"",'1. Live'!BI155-'check-Jul25'!BI155)</f>
        <v/>
      </c>
      <c r="BJ155" t="str">
        <f>IF('1. Live'!BJ155='check-Jul25'!BJ155,"",'1. Live'!BJ155-'check-Jul25'!BJ155)</f>
        <v/>
      </c>
      <c r="BK155" t="str">
        <f>IF('1. Live'!BK155='check-Jul25'!BK155,"",'1. Live'!BK155-'check-Jul25'!BK155)</f>
        <v/>
      </c>
      <c r="BL155" t="str">
        <f>IF('1. Live'!BL155='check-Jul25'!BL155,"",'1. Live'!BL155-'check-Jul25'!BL155)</f>
        <v/>
      </c>
      <c r="BM155" t="str">
        <f>IF('1. Live'!BM155='check-Jul25'!BM155,"",'1. Live'!BM155-'check-Jul25'!BM155)</f>
        <v/>
      </c>
      <c r="BN155" t="str">
        <f>IF('1. Live'!BN155='check-Jul25'!BN155,"",'1. Live'!BN155-'check-Jul25'!BN155)</f>
        <v/>
      </c>
      <c r="BO155" t="str">
        <f>IF('1. Live'!BO155='check-Jul25'!BO155,"",'1. Live'!BO155-'check-Jul25'!BO155)</f>
        <v/>
      </c>
      <c r="BP155" t="str">
        <f>IF('1. Live'!BP155='check-Jul25'!BP155,"",'1. Live'!BP155-'check-Jul25'!BP155)</f>
        <v/>
      </c>
      <c r="BQ155" t="str">
        <f>IF('1. Live'!BQ155='check-Jul25'!BQ155,"",'1. Live'!BQ155-'check-Jul25'!BQ155)</f>
        <v/>
      </c>
      <c r="BR155" t="str">
        <f>IF('1. Live'!BR155='check-Jul25'!BR155,"",'1. Live'!BR155-'check-Jul25'!BR155)</f>
        <v/>
      </c>
      <c r="BS155" t="str">
        <f>IF('1. Live'!BS155='check-Jul25'!BS155,"",'1. Live'!BS155-'check-Jul25'!BS155)</f>
        <v/>
      </c>
      <c r="BT155" t="str">
        <f>IF('1. Live'!BT155='check-Jul25'!BT155,"",'1. Live'!BT155-'check-Jul25'!BT155)</f>
        <v/>
      </c>
      <c r="BU155" t="str">
        <f>IF('1. Live'!BU155='check-Jul25'!BU155,"",'1. Live'!BU155-'check-Jul25'!BU155)</f>
        <v/>
      </c>
      <c r="BV155" t="str">
        <f>IF('1. Live'!BV155='check-Jul25'!BV155,"",'1. Live'!BV155-'check-Jul25'!BV155)</f>
        <v/>
      </c>
      <c r="BW155" t="str">
        <f>IF('1. Live'!BW155='check-Jul25'!BW155,"",'1. Live'!BW155-'check-Jul25'!BW155)</f>
        <v/>
      </c>
      <c r="BX155" t="str">
        <f>IF('1. Live'!BX155='check-Jul25'!BX155,"",'1. Live'!BX155-'check-Jul25'!BX155)</f>
        <v/>
      </c>
      <c r="BY155" t="str">
        <f>IF('1. Live'!BY155='check-Jul25'!BY155,"",'1. Live'!BY155-'check-Jul25'!BY155)</f>
        <v/>
      </c>
      <c r="BZ155" t="str">
        <f>IF('1. Live'!BZ155='check-Jul25'!BZ155,"",'1. Live'!BZ155-'check-Jul25'!BZ155)</f>
        <v/>
      </c>
      <c r="CA155" t="str">
        <f>IF('1. Live'!CA155='check-Jul25'!CA155,"",'1. Live'!CA155-'check-Jul25'!CA155)</f>
        <v/>
      </c>
      <c r="CB155" t="str">
        <f>IF('1. Live'!CB155='check-Jul25'!CB155,"",'1. Live'!CB155-'check-Jul25'!CB155)</f>
        <v/>
      </c>
      <c r="CC155" t="str">
        <f>IF('1. Live'!CC155='check-Jul25'!CC155,"",'1. Live'!CC155-'check-Jul25'!CC155)</f>
        <v/>
      </c>
      <c r="CD155" t="str">
        <f>IF('1. Live'!CD155='check-Jul25'!CD155,"",'1. Live'!CD155-'check-Jul25'!CD155)</f>
        <v/>
      </c>
      <c r="CE155" t="str">
        <f>IF('1. Live'!CE155='check-Jul25'!CE155,"",'1. Live'!CE155-'check-Jul25'!CE155)</f>
        <v/>
      </c>
      <c r="CF155" t="str">
        <f>IF('1. Live'!CF155='check-Jul25'!CF155,"",'1. Live'!CF155-'check-Jul25'!CF155)</f>
        <v/>
      </c>
      <c r="CG155" t="str">
        <f>IF('1. Live'!CG155='check-Jul25'!CG155,"",'1. Live'!CG155-'check-Jul25'!CG155)</f>
        <v/>
      </c>
      <c r="CH155" t="str">
        <f>IF('1. Live'!CH155='check-Jul25'!CH155,"",'1. Live'!CH155-'check-Jul25'!CH155)</f>
        <v/>
      </c>
      <c r="CI155" t="str">
        <f>IF('1. Live'!CI155='check-Jul25'!CI155,"",'1. Live'!CI155-'check-Jul25'!CI155)</f>
        <v/>
      </c>
      <c r="CJ155" t="str">
        <f>IF('1. Live'!CJ155='check-Jul25'!CJ155,"",'1. Live'!CJ155-'check-Jul25'!CJ155)</f>
        <v/>
      </c>
      <c r="CK155" t="str">
        <f>IF('1. Live'!CK155='check-Jul25'!CK155,"",'1. Live'!CK155-'check-Jul25'!CK155)</f>
        <v/>
      </c>
      <c r="CL155" t="str">
        <f>IF('1. Live'!CL155='check-Jul25'!CL155,"",'1. Live'!CL155-'check-Jul25'!CL155)</f>
        <v/>
      </c>
      <c r="CM155" t="str">
        <f>IF('1. Live'!CM155='check-Jul25'!CM155,"",'1. Live'!CM155-'check-Jul25'!CM155)</f>
        <v/>
      </c>
      <c r="CN155" t="str">
        <f>IF('1. Live'!CN155='check-Jul25'!CN155,"",'1. Live'!CN155-'check-Jul25'!CN155)</f>
        <v/>
      </c>
      <c r="CO155" t="str">
        <f>IF('1. Live'!CO155='check-Jul25'!CO155,"",'1. Live'!CO155-'check-Jul25'!CO155)</f>
        <v/>
      </c>
      <c r="CP155" t="str">
        <f>IF('1. Live'!CP155='check-Jul25'!CP155,"",'1. Live'!CP155-'check-Jul25'!CP155)</f>
        <v/>
      </c>
      <c r="CQ155" t="str">
        <f>IF('1. Live'!CQ155='check-Jul25'!CQ155,"",'1. Live'!CQ155-'check-Jul25'!CQ155)</f>
        <v/>
      </c>
      <c r="CR155" t="str">
        <f>IF('1. Live'!CR155='check-Jul25'!CR155,"",'1. Live'!CR155-'check-Jul25'!CR155)</f>
        <v/>
      </c>
      <c r="CS155" t="str">
        <f>IF('1. Live'!CS155='check-Jul25'!CS155,"",'1. Live'!CS155-'check-Jul25'!CS155)</f>
        <v/>
      </c>
      <c r="CT155" t="str">
        <f>IF('1. Live'!CT155='check-Jul25'!CT155,"",'1. Live'!CT155-'check-Jul25'!CT155)</f>
        <v/>
      </c>
      <c r="CU155" t="str">
        <f>IF('1. Live'!CU155='check-Jul25'!CU155,"",'1. Live'!CU155-'check-Jul25'!CU155)</f>
        <v/>
      </c>
      <c r="CV155" t="str">
        <f>IF('1. Live'!CV155='check-Jul25'!CV155,"",'1. Live'!CV155-'check-Jul25'!CV155)</f>
        <v/>
      </c>
      <c r="CW155" t="str">
        <f>IF('1. Live'!CW155='check-Jul25'!CW155,"",'1. Live'!CW155-'check-Jul25'!CW155)</f>
        <v/>
      </c>
    </row>
    <row r="156" spans="10:101">
      <c r="J156" t="str">
        <f>IF('1. Live'!J156='check-Jul25'!J156,"",'1. Live'!J156-'check-Jul25'!J156)</f>
        <v/>
      </c>
      <c r="K156" t="str">
        <f>IF('1. Live'!K156='check-Jul25'!K156,"",'1. Live'!K156-'check-Jul25'!K156)</f>
        <v/>
      </c>
      <c r="L156" t="str">
        <f>IF('1. Live'!L156='check-Jul25'!L156,"",'1. Live'!L156-'check-Jul25'!L156)</f>
        <v/>
      </c>
      <c r="M156" t="str">
        <f>IF('1. Live'!M156='check-Jul25'!M156,"",'1. Live'!M156-'check-Jul25'!M156)</f>
        <v/>
      </c>
      <c r="N156" t="str">
        <f>IF('1. Live'!N156='check-Jul25'!N156,"",'1. Live'!N156-'check-Jul25'!N156)</f>
        <v/>
      </c>
      <c r="O156" t="str">
        <f>IF('1. Live'!O156='check-Jul25'!O156,"",'1. Live'!O156-'check-Jul25'!O156)</f>
        <v/>
      </c>
      <c r="P156" t="str">
        <f>IF('1. Live'!P156='check-Jul25'!P156,"",'1. Live'!P156-'check-Jul25'!P156)</f>
        <v/>
      </c>
      <c r="Q156" t="str">
        <f>IF('1. Live'!Q156='check-Jul25'!Q156,"",'1. Live'!Q156-'check-Jul25'!Q156)</f>
        <v/>
      </c>
      <c r="R156" t="str">
        <f>IF('1. Live'!R156='check-Jul25'!R156,"",'1. Live'!R156-'check-Jul25'!R156)</f>
        <v/>
      </c>
      <c r="S156" t="str">
        <f>IF('1. Live'!S156='check-Jul25'!S156,"",'1. Live'!S156-'check-Jul25'!S156)</f>
        <v/>
      </c>
      <c r="T156" t="str">
        <f>IF('1. Live'!T156='check-Jul25'!T156,"",'1. Live'!T156-'check-Jul25'!T156)</f>
        <v/>
      </c>
      <c r="U156" t="str">
        <f>IF('1. Live'!U156='check-Jul25'!U156,"",'1. Live'!U156-'check-Jul25'!U156)</f>
        <v/>
      </c>
      <c r="V156" t="str">
        <f>IF('1. Live'!V156='check-Jul25'!V156,"",'1. Live'!V156-'check-Jul25'!V156)</f>
        <v/>
      </c>
      <c r="W156" t="str">
        <f>IF('1. Live'!W156='check-Jul25'!W156,"",'1. Live'!W156-'check-Jul25'!W156)</f>
        <v/>
      </c>
      <c r="X156" t="str">
        <f>IF('1. Live'!X156='check-Jul25'!X156,"",'1. Live'!X156-'check-Jul25'!X156)</f>
        <v/>
      </c>
      <c r="Y156" t="str">
        <f>IF('1. Live'!Y156='check-Jul25'!Y156,"",'1. Live'!Y156-'check-Jul25'!Y156)</f>
        <v/>
      </c>
      <c r="Z156" t="str">
        <f>IF('1. Live'!Z156='check-Jul25'!Z156,"",'1. Live'!Z156-'check-Jul25'!Z156)</f>
        <v/>
      </c>
      <c r="AA156" t="str">
        <f>IF('1. Live'!AA156='check-Jul25'!AA156,"",'1. Live'!AA156-'check-Jul25'!AA156)</f>
        <v/>
      </c>
      <c r="AB156" t="str">
        <f>IF('1. Live'!AB156='check-Jul25'!AB156,"",'1. Live'!AB156-'check-Jul25'!AB156)</f>
        <v/>
      </c>
      <c r="AC156" t="str">
        <f>IF('1. Live'!AC156='check-Jul25'!AC156,"",'1. Live'!AC156-'check-Jul25'!AC156)</f>
        <v/>
      </c>
      <c r="AD156" t="str">
        <f>IF('1. Live'!AD156='check-Jul25'!AD156,"",'1. Live'!AD156-'check-Jul25'!AD156)</f>
        <v/>
      </c>
      <c r="AE156" t="str">
        <f>IF('1. Live'!AE156='check-Jul25'!AE156,"",'1. Live'!AE156-'check-Jul25'!AE156)</f>
        <v/>
      </c>
      <c r="AF156" t="str">
        <f>IF('1. Live'!AF156='check-Jul25'!AF156,"",'1. Live'!AF156-'check-Jul25'!AF156)</f>
        <v/>
      </c>
      <c r="AG156" t="str">
        <f>IF('1. Live'!AG156='check-Jul25'!AG156,"",'1. Live'!AG156-'check-Jul25'!AG156)</f>
        <v/>
      </c>
      <c r="AH156" t="str">
        <f>IF('1. Live'!AH156='check-Jul25'!AH156,"",'1. Live'!AH156-'check-Jul25'!AH156)</f>
        <v/>
      </c>
      <c r="AI156" t="str">
        <f>IF('1. Live'!AI156='check-Jul25'!AI156,"",'1. Live'!AI156-'check-Jul25'!AI156)</f>
        <v/>
      </c>
      <c r="AJ156" t="str">
        <f>IF('1. Live'!AJ156='check-Jul25'!AJ156,"",'1. Live'!AJ156-'check-Jul25'!AJ156)</f>
        <v/>
      </c>
      <c r="AK156" t="str">
        <f>IF('1. Live'!AK156='check-Jul25'!AK156,"",'1. Live'!AK156-'check-Jul25'!AK156)</f>
        <v/>
      </c>
      <c r="AL156" t="str">
        <f>IF('1. Live'!AL156='check-Jul25'!AL156,"",'1. Live'!AL156-'check-Jul25'!AL156)</f>
        <v/>
      </c>
      <c r="AM156" t="str">
        <f>IF('1. Live'!AM156='check-Jul25'!AM156,"",'1. Live'!AM156-'check-Jul25'!AM156)</f>
        <v/>
      </c>
      <c r="AN156" t="str">
        <f>IF('1. Live'!AN156='check-Jul25'!AN156,"",'1. Live'!AN156-'check-Jul25'!AN156)</f>
        <v/>
      </c>
      <c r="AO156" t="str">
        <f>IF('1. Live'!AO156='check-Jul25'!AO156,"",'1. Live'!AO156-'check-Jul25'!AO156)</f>
        <v/>
      </c>
      <c r="AP156" t="str">
        <f>IF('1. Live'!AP156='check-Jul25'!AP156,"",'1. Live'!AP156-'check-Jul25'!AP156)</f>
        <v/>
      </c>
      <c r="AQ156" t="str">
        <f>IF('1. Live'!AQ156='check-Jul25'!AQ156,"",'1. Live'!AQ156-'check-Jul25'!AQ156)</f>
        <v/>
      </c>
      <c r="AR156" t="str">
        <f>IF('1. Live'!AR156='check-Jul25'!AR156,"",'1. Live'!AR156-'check-Jul25'!AR156)</f>
        <v/>
      </c>
      <c r="AS156" t="str">
        <f>IF('1. Live'!AS156='check-Jul25'!AS156,"",'1. Live'!AS156-'check-Jul25'!AS156)</f>
        <v/>
      </c>
      <c r="AT156" t="str">
        <f>IF('1. Live'!AT156='check-Jul25'!AT156,"",'1. Live'!AT156-'check-Jul25'!AT156)</f>
        <v/>
      </c>
      <c r="AU156" t="str">
        <f>IF('1. Live'!AU156='check-Jul25'!AU156,"",'1. Live'!AU156-'check-Jul25'!AU156)</f>
        <v/>
      </c>
      <c r="AV156" t="str">
        <f>IF('1. Live'!AV156='check-Jul25'!AV156,"",'1. Live'!AV156-'check-Jul25'!AV156)</f>
        <v/>
      </c>
      <c r="AW156" t="str">
        <f>IF('1. Live'!AW156='check-Jul25'!AW156,"",'1. Live'!AW156-'check-Jul25'!AW156)</f>
        <v/>
      </c>
      <c r="AX156" t="str">
        <f>IF('1. Live'!AX156='check-Jul25'!AX156,"",'1. Live'!AX156-'check-Jul25'!AX156)</f>
        <v/>
      </c>
      <c r="AY156" t="str">
        <f>IF('1. Live'!AY156='check-Jul25'!AY156,"",'1. Live'!AY156-'check-Jul25'!AY156)</f>
        <v/>
      </c>
      <c r="AZ156" t="str">
        <f>IF('1. Live'!AZ156='check-Jul25'!AZ156,"",'1. Live'!AZ156-'check-Jul25'!AZ156)</f>
        <v/>
      </c>
      <c r="BA156" t="str">
        <f>IF('1. Live'!BA156='check-Jul25'!BA156,"",'1. Live'!BA156-'check-Jul25'!BA156)</f>
        <v/>
      </c>
      <c r="BB156" t="str">
        <f>IF('1. Live'!BB156='check-Jul25'!BB156,"",'1. Live'!BB156-'check-Jul25'!BB156)</f>
        <v/>
      </c>
      <c r="BC156" t="str">
        <f>IF('1. Live'!BC156='check-Jul25'!BC156,"",'1. Live'!BC156-'check-Jul25'!BC156)</f>
        <v/>
      </c>
      <c r="BD156" t="str">
        <f>IF('1. Live'!BD156='check-Jul25'!BD156,"",'1. Live'!BD156-'check-Jul25'!BD156)</f>
        <v/>
      </c>
      <c r="BE156" t="str">
        <f>IF('1. Live'!BE156='check-Jul25'!BE156,"",'1. Live'!BE156-'check-Jul25'!BE156)</f>
        <v/>
      </c>
      <c r="BF156" t="str">
        <f>IF('1. Live'!BF156='check-Jul25'!BF156,"",'1. Live'!BF156-'check-Jul25'!BF156)</f>
        <v/>
      </c>
      <c r="BG156" t="str">
        <f>IF('1. Live'!BG156='check-Jul25'!BG156,"",'1. Live'!BG156-'check-Jul25'!BG156)</f>
        <v/>
      </c>
      <c r="BH156" t="str">
        <f>IF('1. Live'!BH156='check-Jul25'!BH156,"",'1. Live'!BH156-'check-Jul25'!BH156)</f>
        <v/>
      </c>
      <c r="BI156" t="str">
        <f>IF('1. Live'!BI156='check-Jul25'!BI156,"",'1. Live'!BI156-'check-Jul25'!BI156)</f>
        <v/>
      </c>
      <c r="BJ156" t="str">
        <f>IF('1. Live'!BJ156='check-Jul25'!BJ156,"",'1. Live'!BJ156-'check-Jul25'!BJ156)</f>
        <v/>
      </c>
      <c r="BK156" t="str">
        <f>IF('1. Live'!BK156='check-Jul25'!BK156,"",'1. Live'!BK156-'check-Jul25'!BK156)</f>
        <v/>
      </c>
      <c r="BL156" t="str">
        <f>IF('1. Live'!BL156='check-Jul25'!BL156,"",'1. Live'!BL156-'check-Jul25'!BL156)</f>
        <v/>
      </c>
      <c r="BM156" t="str">
        <f>IF('1. Live'!BM156='check-Jul25'!BM156,"",'1. Live'!BM156-'check-Jul25'!BM156)</f>
        <v/>
      </c>
      <c r="BN156" t="str">
        <f>IF('1. Live'!BN156='check-Jul25'!BN156,"",'1. Live'!BN156-'check-Jul25'!BN156)</f>
        <v/>
      </c>
      <c r="BO156" t="str">
        <f>IF('1. Live'!BO156='check-Jul25'!BO156,"",'1. Live'!BO156-'check-Jul25'!BO156)</f>
        <v/>
      </c>
      <c r="BP156" t="str">
        <f>IF('1. Live'!BP156='check-Jul25'!BP156,"",'1. Live'!BP156-'check-Jul25'!BP156)</f>
        <v/>
      </c>
      <c r="BQ156" t="str">
        <f>IF('1. Live'!BQ156='check-Jul25'!BQ156,"",'1. Live'!BQ156-'check-Jul25'!BQ156)</f>
        <v/>
      </c>
      <c r="BR156" t="str">
        <f>IF('1. Live'!BR156='check-Jul25'!BR156,"",'1. Live'!BR156-'check-Jul25'!BR156)</f>
        <v/>
      </c>
      <c r="BS156" t="str">
        <f>IF('1. Live'!BS156='check-Jul25'!BS156,"",'1. Live'!BS156-'check-Jul25'!BS156)</f>
        <v/>
      </c>
      <c r="BT156" t="str">
        <f>IF('1. Live'!BT156='check-Jul25'!BT156,"",'1. Live'!BT156-'check-Jul25'!BT156)</f>
        <v/>
      </c>
      <c r="BU156" t="str">
        <f>IF('1. Live'!BU156='check-Jul25'!BU156,"",'1. Live'!BU156-'check-Jul25'!BU156)</f>
        <v/>
      </c>
      <c r="BV156" t="str">
        <f>IF('1. Live'!BV156='check-Jul25'!BV156,"",'1. Live'!BV156-'check-Jul25'!BV156)</f>
        <v/>
      </c>
      <c r="BW156" t="str">
        <f>IF('1. Live'!BW156='check-Jul25'!BW156,"",'1. Live'!BW156-'check-Jul25'!BW156)</f>
        <v/>
      </c>
      <c r="BX156" t="str">
        <f>IF('1. Live'!BX156='check-Jul25'!BX156,"",'1. Live'!BX156-'check-Jul25'!BX156)</f>
        <v/>
      </c>
      <c r="BY156" t="str">
        <f>IF('1. Live'!BY156='check-Jul25'!BY156,"",'1. Live'!BY156-'check-Jul25'!BY156)</f>
        <v/>
      </c>
      <c r="BZ156" t="str">
        <f>IF('1. Live'!BZ156='check-Jul25'!BZ156,"",'1. Live'!BZ156-'check-Jul25'!BZ156)</f>
        <v/>
      </c>
      <c r="CA156" t="str">
        <f>IF('1. Live'!CA156='check-Jul25'!CA156,"",'1. Live'!CA156-'check-Jul25'!CA156)</f>
        <v/>
      </c>
      <c r="CB156" t="str">
        <f>IF('1. Live'!CB156='check-Jul25'!CB156,"",'1. Live'!CB156-'check-Jul25'!CB156)</f>
        <v/>
      </c>
      <c r="CC156" t="str">
        <f>IF('1. Live'!CC156='check-Jul25'!CC156,"",'1. Live'!CC156-'check-Jul25'!CC156)</f>
        <v/>
      </c>
      <c r="CD156" t="str">
        <f>IF('1. Live'!CD156='check-Jul25'!CD156,"",'1. Live'!CD156-'check-Jul25'!CD156)</f>
        <v/>
      </c>
      <c r="CE156" t="str">
        <f>IF('1. Live'!CE156='check-Jul25'!CE156,"",'1. Live'!CE156-'check-Jul25'!CE156)</f>
        <v/>
      </c>
      <c r="CF156" t="str">
        <f>IF('1. Live'!CF156='check-Jul25'!CF156,"",'1. Live'!CF156-'check-Jul25'!CF156)</f>
        <v/>
      </c>
      <c r="CG156" t="str">
        <f>IF('1. Live'!CG156='check-Jul25'!CG156,"",'1. Live'!CG156-'check-Jul25'!CG156)</f>
        <v/>
      </c>
      <c r="CH156" t="str">
        <f>IF('1. Live'!CH156='check-Jul25'!CH156,"",'1. Live'!CH156-'check-Jul25'!CH156)</f>
        <v/>
      </c>
      <c r="CI156" t="str">
        <f>IF('1. Live'!CI156='check-Jul25'!CI156,"",'1. Live'!CI156-'check-Jul25'!CI156)</f>
        <v/>
      </c>
      <c r="CJ156" t="str">
        <f>IF('1. Live'!CJ156='check-Jul25'!CJ156,"",'1. Live'!CJ156-'check-Jul25'!CJ156)</f>
        <v/>
      </c>
      <c r="CK156" t="str">
        <f>IF('1. Live'!CK156='check-Jul25'!CK156,"",'1. Live'!CK156-'check-Jul25'!CK156)</f>
        <v/>
      </c>
      <c r="CL156" t="str">
        <f>IF('1. Live'!CL156='check-Jul25'!CL156,"",'1. Live'!CL156-'check-Jul25'!CL156)</f>
        <v/>
      </c>
      <c r="CM156" t="str">
        <f>IF('1. Live'!CM156='check-Jul25'!CM156,"",'1. Live'!CM156-'check-Jul25'!CM156)</f>
        <v/>
      </c>
      <c r="CN156" t="str">
        <f>IF('1. Live'!CN156='check-Jul25'!CN156,"",'1. Live'!CN156-'check-Jul25'!CN156)</f>
        <v/>
      </c>
      <c r="CO156" t="str">
        <f>IF('1. Live'!CO156='check-Jul25'!CO156,"",'1. Live'!CO156-'check-Jul25'!CO156)</f>
        <v/>
      </c>
      <c r="CP156" t="str">
        <f>IF('1. Live'!CP156='check-Jul25'!CP156,"",'1. Live'!CP156-'check-Jul25'!CP156)</f>
        <v/>
      </c>
      <c r="CQ156" t="str">
        <f>IF('1. Live'!CQ156='check-Jul25'!CQ156,"",'1. Live'!CQ156-'check-Jul25'!CQ156)</f>
        <v/>
      </c>
      <c r="CR156" t="str">
        <f>IF('1. Live'!CR156='check-Jul25'!CR156,"",'1. Live'!CR156-'check-Jul25'!CR156)</f>
        <v/>
      </c>
      <c r="CS156" t="str">
        <f>IF('1. Live'!CS156='check-Jul25'!CS156,"",'1. Live'!CS156-'check-Jul25'!CS156)</f>
        <v/>
      </c>
      <c r="CT156" t="str">
        <f>IF('1. Live'!CT156='check-Jul25'!CT156,"",'1. Live'!CT156-'check-Jul25'!CT156)</f>
        <v/>
      </c>
      <c r="CU156" t="str">
        <f>IF('1. Live'!CU156='check-Jul25'!CU156,"",'1. Live'!CU156-'check-Jul25'!CU156)</f>
        <v/>
      </c>
      <c r="CV156" t="str">
        <f>IF('1. Live'!CV156='check-Jul25'!CV156,"",'1. Live'!CV156-'check-Jul25'!CV156)</f>
        <v/>
      </c>
      <c r="CW156" t="str">
        <f>IF('1. Live'!CW156='check-Jul25'!CW156,"",'1. Live'!CW156-'check-Jul25'!CW156)</f>
        <v/>
      </c>
    </row>
    <row r="157" spans="10:101">
      <c r="J157" t="str">
        <f>IF('1. Live'!J157='check-Jul25'!J157,"",'1. Live'!J157-'check-Jul25'!J157)</f>
        <v/>
      </c>
      <c r="K157" t="str">
        <f>IF('1. Live'!K157='check-Jul25'!K157,"",'1. Live'!K157-'check-Jul25'!K157)</f>
        <v/>
      </c>
      <c r="L157" t="str">
        <f>IF('1. Live'!L157='check-Jul25'!L157,"",'1. Live'!L157-'check-Jul25'!L157)</f>
        <v/>
      </c>
      <c r="M157" t="str">
        <f>IF('1. Live'!M157='check-Jul25'!M157,"",'1. Live'!M157-'check-Jul25'!M157)</f>
        <v/>
      </c>
      <c r="N157" t="str">
        <f>IF('1. Live'!N157='check-Jul25'!N157,"",'1. Live'!N157-'check-Jul25'!N157)</f>
        <v/>
      </c>
      <c r="O157" t="str">
        <f>IF('1. Live'!O157='check-Jul25'!O157,"",'1. Live'!O157-'check-Jul25'!O157)</f>
        <v/>
      </c>
      <c r="P157" t="str">
        <f>IF('1. Live'!P157='check-Jul25'!P157,"",'1. Live'!P157-'check-Jul25'!P157)</f>
        <v/>
      </c>
      <c r="Q157" t="str">
        <f>IF('1. Live'!Q157='check-Jul25'!Q157,"",'1. Live'!Q157-'check-Jul25'!Q157)</f>
        <v/>
      </c>
      <c r="R157" t="str">
        <f>IF('1. Live'!R157='check-Jul25'!R157,"",'1. Live'!R157-'check-Jul25'!R157)</f>
        <v/>
      </c>
      <c r="S157" t="str">
        <f>IF('1. Live'!S157='check-Jul25'!S157,"",'1. Live'!S157-'check-Jul25'!S157)</f>
        <v/>
      </c>
      <c r="T157" t="str">
        <f>IF('1. Live'!T157='check-Jul25'!T157,"",'1. Live'!T157-'check-Jul25'!T157)</f>
        <v/>
      </c>
      <c r="U157" t="str">
        <f>IF('1. Live'!U157='check-Jul25'!U157,"",'1. Live'!U157-'check-Jul25'!U157)</f>
        <v/>
      </c>
      <c r="V157" t="str">
        <f>IF('1. Live'!V157='check-Jul25'!V157,"",'1. Live'!V157-'check-Jul25'!V157)</f>
        <v/>
      </c>
      <c r="W157" t="str">
        <f>IF('1. Live'!W157='check-Jul25'!W157,"",'1. Live'!W157-'check-Jul25'!W157)</f>
        <v/>
      </c>
      <c r="X157" t="str">
        <f>IF('1. Live'!X157='check-Jul25'!X157,"",'1. Live'!X157-'check-Jul25'!X157)</f>
        <v/>
      </c>
      <c r="Y157" t="str">
        <f>IF('1. Live'!Y157='check-Jul25'!Y157,"",'1. Live'!Y157-'check-Jul25'!Y157)</f>
        <v/>
      </c>
      <c r="Z157" t="str">
        <f>IF('1. Live'!Z157='check-Jul25'!Z157,"",'1. Live'!Z157-'check-Jul25'!Z157)</f>
        <v/>
      </c>
      <c r="AA157" t="str">
        <f>IF('1. Live'!AA157='check-Jul25'!AA157,"",'1. Live'!AA157-'check-Jul25'!AA157)</f>
        <v/>
      </c>
      <c r="AB157" t="str">
        <f>IF('1. Live'!AB157='check-Jul25'!AB157,"",'1. Live'!AB157-'check-Jul25'!AB157)</f>
        <v/>
      </c>
      <c r="AC157" t="str">
        <f>IF('1. Live'!AC157='check-Jul25'!AC157,"",'1. Live'!AC157-'check-Jul25'!AC157)</f>
        <v/>
      </c>
      <c r="AD157" t="str">
        <f>IF('1. Live'!AD157='check-Jul25'!AD157,"",'1. Live'!AD157-'check-Jul25'!AD157)</f>
        <v/>
      </c>
      <c r="AE157" t="str">
        <f>IF('1. Live'!AE157='check-Jul25'!AE157,"",'1. Live'!AE157-'check-Jul25'!AE157)</f>
        <v/>
      </c>
      <c r="AF157" t="str">
        <f>IF('1. Live'!AF157='check-Jul25'!AF157,"",'1. Live'!AF157-'check-Jul25'!AF157)</f>
        <v/>
      </c>
      <c r="AG157" t="str">
        <f>IF('1. Live'!AG157='check-Jul25'!AG157,"",'1. Live'!AG157-'check-Jul25'!AG157)</f>
        <v/>
      </c>
      <c r="AH157" t="str">
        <f>IF('1. Live'!AH157='check-Jul25'!AH157,"",'1. Live'!AH157-'check-Jul25'!AH157)</f>
        <v/>
      </c>
      <c r="AI157" t="str">
        <f>IF('1. Live'!AI157='check-Jul25'!AI157,"",'1. Live'!AI157-'check-Jul25'!AI157)</f>
        <v/>
      </c>
      <c r="AJ157" t="str">
        <f>IF('1. Live'!AJ157='check-Jul25'!AJ157,"",'1. Live'!AJ157-'check-Jul25'!AJ157)</f>
        <v/>
      </c>
      <c r="AK157" t="str">
        <f>IF('1. Live'!AK157='check-Jul25'!AK157,"",'1. Live'!AK157-'check-Jul25'!AK157)</f>
        <v/>
      </c>
      <c r="AL157" t="str">
        <f>IF('1. Live'!AL157='check-Jul25'!AL157,"",'1. Live'!AL157-'check-Jul25'!AL157)</f>
        <v/>
      </c>
      <c r="AM157" t="str">
        <f>IF('1. Live'!AM157='check-Jul25'!AM157,"",'1. Live'!AM157-'check-Jul25'!AM157)</f>
        <v/>
      </c>
      <c r="AN157" t="str">
        <f>IF('1. Live'!AN157='check-Jul25'!AN157,"",'1. Live'!AN157-'check-Jul25'!AN157)</f>
        <v/>
      </c>
      <c r="AO157" t="str">
        <f>IF('1. Live'!AO157='check-Jul25'!AO157,"",'1. Live'!AO157-'check-Jul25'!AO157)</f>
        <v/>
      </c>
      <c r="AP157" t="str">
        <f>IF('1. Live'!AP157='check-Jul25'!AP157,"",'1. Live'!AP157-'check-Jul25'!AP157)</f>
        <v/>
      </c>
      <c r="AQ157" t="str">
        <f>IF('1. Live'!AQ157='check-Jul25'!AQ157,"",'1. Live'!AQ157-'check-Jul25'!AQ157)</f>
        <v/>
      </c>
      <c r="AR157" t="str">
        <f>IF('1. Live'!AR157='check-Jul25'!AR157,"",'1. Live'!AR157-'check-Jul25'!AR157)</f>
        <v/>
      </c>
      <c r="AS157" t="str">
        <f>IF('1. Live'!AS157='check-Jul25'!AS157,"",'1. Live'!AS157-'check-Jul25'!AS157)</f>
        <v/>
      </c>
      <c r="AT157" t="str">
        <f>IF('1. Live'!AT157='check-Jul25'!AT157,"",'1. Live'!AT157-'check-Jul25'!AT157)</f>
        <v/>
      </c>
      <c r="AU157" t="str">
        <f>IF('1. Live'!AU157='check-Jul25'!AU157,"",'1. Live'!AU157-'check-Jul25'!AU157)</f>
        <v/>
      </c>
      <c r="AV157" t="str">
        <f>IF('1. Live'!AV157='check-Jul25'!AV157,"",'1. Live'!AV157-'check-Jul25'!AV157)</f>
        <v/>
      </c>
      <c r="AW157" t="str">
        <f>IF('1. Live'!AW157='check-Jul25'!AW157,"",'1. Live'!AW157-'check-Jul25'!AW157)</f>
        <v/>
      </c>
      <c r="AX157" t="str">
        <f>IF('1. Live'!AX157='check-Jul25'!AX157,"",'1. Live'!AX157-'check-Jul25'!AX157)</f>
        <v/>
      </c>
      <c r="AY157" t="str">
        <f>IF('1. Live'!AY157='check-Jul25'!AY157,"",'1. Live'!AY157-'check-Jul25'!AY157)</f>
        <v/>
      </c>
      <c r="AZ157" t="str">
        <f>IF('1. Live'!AZ157='check-Jul25'!AZ157,"",'1. Live'!AZ157-'check-Jul25'!AZ157)</f>
        <v/>
      </c>
      <c r="BA157" t="str">
        <f>IF('1. Live'!BA157='check-Jul25'!BA157,"",'1. Live'!BA157-'check-Jul25'!BA157)</f>
        <v/>
      </c>
      <c r="BB157" t="str">
        <f>IF('1. Live'!BB157='check-Jul25'!BB157,"",'1. Live'!BB157-'check-Jul25'!BB157)</f>
        <v/>
      </c>
      <c r="BC157" t="str">
        <f>IF('1. Live'!BC157='check-Jul25'!BC157,"",'1. Live'!BC157-'check-Jul25'!BC157)</f>
        <v/>
      </c>
      <c r="BD157" t="str">
        <f>IF('1. Live'!BD157='check-Jul25'!BD157,"",'1. Live'!BD157-'check-Jul25'!BD157)</f>
        <v/>
      </c>
      <c r="BE157" t="str">
        <f>IF('1. Live'!BE157='check-Jul25'!BE157,"",'1. Live'!BE157-'check-Jul25'!BE157)</f>
        <v/>
      </c>
      <c r="BF157" t="str">
        <f>IF('1. Live'!BF157='check-Jul25'!BF157,"",'1. Live'!BF157-'check-Jul25'!BF157)</f>
        <v/>
      </c>
      <c r="BG157" t="str">
        <f>IF('1. Live'!BG157='check-Jul25'!BG157,"",'1. Live'!BG157-'check-Jul25'!BG157)</f>
        <v/>
      </c>
      <c r="BH157" t="str">
        <f>IF('1. Live'!BH157='check-Jul25'!BH157,"",'1. Live'!BH157-'check-Jul25'!BH157)</f>
        <v/>
      </c>
      <c r="BI157" t="str">
        <f>IF('1. Live'!BI157='check-Jul25'!BI157,"",'1. Live'!BI157-'check-Jul25'!BI157)</f>
        <v/>
      </c>
      <c r="BJ157" t="str">
        <f>IF('1. Live'!BJ157='check-Jul25'!BJ157,"",'1. Live'!BJ157-'check-Jul25'!BJ157)</f>
        <v/>
      </c>
      <c r="BK157" t="str">
        <f>IF('1. Live'!BK157='check-Jul25'!BK157,"",'1. Live'!BK157-'check-Jul25'!BK157)</f>
        <v/>
      </c>
      <c r="BL157" t="str">
        <f>IF('1. Live'!BL157='check-Jul25'!BL157,"",'1. Live'!BL157-'check-Jul25'!BL157)</f>
        <v/>
      </c>
      <c r="BM157" t="str">
        <f>IF('1. Live'!BM157='check-Jul25'!BM157,"",'1. Live'!BM157-'check-Jul25'!BM157)</f>
        <v/>
      </c>
      <c r="BN157" t="str">
        <f>IF('1. Live'!BN157='check-Jul25'!BN157,"",'1. Live'!BN157-'check-Jul25'!BN157)</f>
        <v/>
      </c>
      <c r="BO157" t="str">
        <f>IF('1. Live'!BO157='check-Jul25'!BO157,"",'1. Live'!BO157-'check-Jul25'!BO157)</f>
        <v/>
      </c>
      <c r="BP157" t="str">
        <f>IF('1. Live'!BP157='check-Jul25'!BP157,"",'1. Live'!BP157-'check-Jul25'!BP157)</f>
        <v/>
      </c>
      <c r="BQ157" t="str">
        <f>IF('1. Live'!BQ157='check-Jul25'!BQ157,"",'1. Live'!BQ157-'check-Jul25'!BQ157)</f>
        <v/>
      </c>
      <c r="BR157" t="str">
        <f>IF('1. Live'!BR157='check-Jul25'!BR157,"",'1. Live'!BR157-'check-Jul25'!BR157)</f>
        <v/>
      </c>
      <c r="BS157" t="str">
        <f>IF('1. Live'!BS157='check-Jul25'!BS157,"",'1. Live'!BS157-'check-Jul25'!BS157)</f>
        <v/>
      </c>
      <c r="BT157" t="str">
        <f>IF('1. Live'!BT157='check-Jul25'!BT157,"",'1. Live'!BT157-'check-Jul25'!BT157)</f>
        <v/>
      </c>
      <c r="BU157" t="str">
        <f>IF('1. Live'!BU157='check-Jul25'!BU157,"",'1. Live'!BU157-'check-Jul25'!BU157)</f>
        <v/>
      </c>
      <c r="BV157" t="str">
        <f>IF('1. Live'!BV157='check-Jul25'!BV157,"",'1. Live'!BV157-'check-Jul25'!BV157)</f>
        <v/>
      </c>
      <c r="BW157" t="str">
        <f>IF('1. Live'!BW157='check-Jul25'!BW157,"",'1. Live'!BW157-'check-Jul25'!BW157)</f>
        <v/>
      </c>
      <c r="BX157" t="str">
        <f>IF('1. Live'!BX157='check-Jul25'!BX157,"",'1. Live'!BX157-'check-Jul25'!BX157)</f>
        <v/>
      </c>
      <c r="BY157" t="str">
        <f>IF('1. Live'!BY157='check-Jul25'!BY157,"",'1. Live'!BY157-'check-Jul25'!BY157)</f>
        <v/>
      </c>
      <c r="BZ157" t="str">
        <f>IF('1. Live'!BZ157='check-Jul25'!BZ157,"",'1. Live'!BZ157-'check-Jul25'!BZ157)</f>
        <v/>
      </c>
      <c r="CA157" t="str">
        <f>IF('1. Live'!CA157='check-Jul25'!CA157,"",'1. Live'!CA157-'check-Jul25'!CA157)</f>
        <v/>
      </c>
      <c r="CB157" t="str">
        <f>IF('1. Live'!CB157='check-Jul25'!CB157,"",'1. Live'!CB157-'check-Jul25'!CB157)</f>
        <v/>
      </c>
      <c r="CC157" t="str">
        <f>IF('1. Live'!CC157='check-Jul25'!CC157,"",'1. Live'!CC157-'check-Jul25'!CC157)</f>
        <v/>
      </c>
      <c r="CD157" t="str">
        <f>IF('1. Live'!CD157='check-Jul25'!CD157,"",'1. Live'!CD157-'check-Jul25'!CD157)</f>
        <v/>
      </c>
      <c r="CE157" t="str">
        <f>IF('1. Live'!CE157='check-Jul25'!CE157,"",'1. Live'!CE157-'check-Jul25'!CE157)</f>
        <v/>
      </c>
      <c r="CF157" t="str">
        <f>IF('1. Live'!CF157='check-Jul25'!CF157,"",'1. Live'!CF157-'check-Jul25'!CF157)</f>
        <v/>
      </c>
      <c r="CG157" t="str">
        <f>IF('1. Live'!CG157='check-Jul25'!CG157,"",'1. Live'!CG157-'check-Jul25'!CG157)</f>
        <v/>
      </c>
      <c r="CH157" t="str">
        <f>IF('1. Live'!CH157='check-Jul25'!CH157,"",'1. Live'!CH157-'check-Jul25'!CH157)</f>
        <v/>
      </c>
      <c r="CI157" t="str">
        <f>IF('1. Live'!CI157='check-Jul25'!CI157,"",'1. Live'!CI157-'check-Jul25'!CI157)</f>
        <v/>
      </c>
      <c r="CJ157" t="str">
        <f>IF('1. Live'!CJ157='check-Jul25'!CJ157,"",'1. Live'!CJ157-'check-Jul25'!CJ157)</f>
        <v/>
      </c>
      <c r="CK157" t="str">
        <f>IF('1. Live'!CK157='check-Jul25'!CK157,"",'1. Live'!CK157-'check-Jul25'!CK157)</f>
        <v/>
      </c>
      <c r="CL157" t="str">
        <f>IF('1. Live'!CL157='check-Jul25'!CL157,"",'1. Live'!CL157-'check-Jul25'!CL157)</f>
        <v/>
      </c>
      <c r="CM157" t="str">
        <f>IF('1. Live'!CM157='check-Jul25'!CM157,"",'1. Live'!CM157-'check-Jul25'!CM157)</f>
        <v/>
      </c>
      <c r="CN157" t="str">
        <f>IF('1. Live'!CN157='check-Jul25'!CN157,"",'1. Live'!CN157-'check-Jul25'!CN157)</f>
        <v/>
      </c>
      <c r="CO157" t="str">
        <f>IF('1. Live'!CO157='check-Jul25'!CO157,"",'1. Live'!CO157-'check-Jul25'!CO157)</f>
        <v/>
      </c>
      <c r="CP157" t="str">
        <f>IF('1. Live'!CP157='check-Jul25'!CP157,"",'1. Live'!CP157-'check-Jul25'!CP157)</f>
        <v/>
      </c>
      <c r="CQ157" t="str">
        <f>IF('1. Live'!CQ157='check-Jul25'!CQ157,"",'1. Live'!CQ157-'check-Jul25'!CQ157)</f>
        <v/>
      </c>
      <c r="CR157" t="str">
        <f>IF('1. Live'!CR157='check-Jul25'!CR157,"",'1. Live'!CR157-'check-Jul25'!CR157)</f>
        <v/>
      </c>
      <c r="CS157" t="str">
        <f>IF('1. Live'!CS157='check-Jul25'!CS157,"",'1. Live'!CS157-'check-Jul25'!CS157)</f>
        <v/>
      </c>
      <c r="CT157" t="str">
        <f>IF('1. Live'!CT157='check-Jul25'!CT157,"",'1. Live'!CT157-'check-Jul25'!CT157)</f>
        <v/>
      </c>
      <c r="CU157" t="str">
        <f>IF('1. Live'!CU157='check-Jul25'!CU157,"",'1. Live'!CU157-'check-Jul25'!CU157)</f>
        <v/>
      </c>
      <c r="CV157" t="str">
        <f>IF('1. Live'!CV157='check-Jul25'!CV157,"",'1. Live'!CV157-'check-Jul25'!CV157)</f>
        <v/>
      </c>
      <c r="CW157" t="str">
        <f>IF('1. Live'!CW157='check-Jul25'!CW157,"",'1. Live'!CW157-'check-Jul25'!CW157)</f>
        <v/>
      </c>
    </row>
    <row r="158" spans="10:101">
      <c r="J158" t="str">
        <f>IF('1. Live'!J158='check-Jul25'!J158,"",'1. Live'!J158-'check-Jul25'!J158)</f>
        <v/>
      </c>
      <c r="K158" t="str">
        <f>IF('1. Live'!K158='check-Jul25'!K158,"",'1. Live'!K158-'check-Jul25'!K158)</f>
        <v/>
      </c>
      <c r="L158" t="str">
        <f>IF('1. Live'!L158='check-Jul25'!L158,"",'1. Live'!L158-'check-Jul25'!L158)</f>
        <v/>
      </c>
      <c r="M158" t="str">
        <f>IF('1. Live'!M158='check-Jul25'!M158,"",'1. Live'!M158-'check-Jul25'!M158)</f>
        <v/>
      </c>
      <c r="N158" t="str">
        <f>IF('1. Live'!N158='check-Jul25'!N158,"",'1. Live'!N158-'check-Jul25'!N158)</f>
        <v/>
      </c>
      <c r="O158" t="str">
        <f>IF('1. Live'!O158='check-Jul25'!O158,"",'1. Live'!O158-'check-Jul25'!O158)</f>
        <v/>
      </c>
      <c r="P158" t="str">
        <f>IF('1. Live'!P158='check-Jul25'!P158,"",'1. Live'!P158-'check-Jul25'!P158)</f>
        <v/>
      </c>
      <c r="Q158" t="str">
        <f>IF('1. Live'!Q158='check-Jul25'!Q158,"",'1. Live'!Q158-'check-Jul25'!Q158)</f>
        <v/>
      </c>
      <c r="R158" t="str">
        <f>IF('1. Live'!R158='check-Jul25'!R158,"",'1. Live'!R158-'check-Jul25'!R158)</f>
        <v/>
      </c>
      <c r="S158" t="str">
        <f>IF('1. Live'!S158='check-Jul25'!S158,"",'1. Live'!S158-'check-Jul25'!S158)</f>
        <v/>
      </c>
      <c r="T158" t="str">
        <f>IF('1. Live'!T158='check-Jul25'!T158,"",'1. Live'!T158-'check-Jul25'!T158)</f>
        <v/>
      </c>
      <c r="U158" t="str">
        <f>IF('1. Live'!U158='check-Jul25'!U158,"",'1. Live'!U158-'check-Jul25'!U158)</f>
        <v/>
      </c>
      <c r="V158" t="str">
        <f>IF('1. Live'!V158='check-Jul25'!V158,"",'1. Live'!V158-'check-Jul25'!V158)</f>
        <v/>
      </c>
      <c r="W158" t="str">
        <f>IF('1. Live'!W158='check-Jul25'!W158,"",'1. Live'!W158-'check-Jul25'!W158)</f>
        <v/>
      </c>
      <c r="X158" t="str">
        <f>IF('1. Live'!X158='check-Jul25'!X158,"",'1. Live'!X158-'check-Jul25'!X158)</f>
        <v/>
      </c>
      <c r="Y158" t="str">
        <f>IF('1. Live'!Y158='check-Jul25'!Y158,"",'1. Live'!Y158-'check-Jul25'!Y158)</f>
        <v/>
      </c>
      <c r="Z158" t="str">
        <f>IF('1. Live'!Z158='check-Jul25'!Z158,"",'1. Live'!Z158-'check-Jul25'!Z158)</f>
        <v/>
      </c>
      <c r="AA158" t="str">
        <f>IF('1. Live'!AA158='check-Jul25'!AA158,"",'1. Live'!AA158-'check-Jul25'!AA158)</f>
        <v/>
      </c>
      <c r="AB158" t="str">
        <f>IF('1. Live'!AB158='check-Jul25'!AB158,"",'1. Live'!AB158-'check-Jul25'!AB158)</f>
        <v/>
      </c>
      <c r="AC158" t="str">
        <f>IF('1. Live'!AC158='check-Jul25'!AC158,"",'1. Live'!AC158-'check-Jul25'!AC158)</f>
        <v/>
      </c>
      <c r="AD158" t="str">
        <f>IF('1. Live'!AD158='check-Jul25'!AD158,"",'1. Live'!AD158-'check-Jul25'!AD158)</f>
        <v/>
      </c>
      <c r="AE158" t="str">
        <f>IF('1. Live'!AE158='check-Jul25'!AE158,"",'1. Live'!AE158-'check-Jul25'!AE158)</f>
        <v/>
      </c>
      <c r="AF158" t="str">
        <f>IF('1. Live'!AF158='check-Jul25'!AF158,"",'1. Live'!AF158-'check-Jul25'!AF158)</f>
        <v/>
      </c>
      <c r="AG158" t="str">
        <f>IF('1. Live'!AG158='check-Jul25'!AG158,"",'1. Live'!AG158-'check-Jul25'!AG158)</f>
        <v/>
      </c>
      <c r="AH158" t="str">
        <f>IF('1. Live'!AH158='check-Jul25'!AH158,"",'1. Live'!AH158-'check-Jul25'!AH158)</f>
        <v/>
      </c>
      <c r="AI158" t="str">
        <f>IF('1. Live'!AI158='check-Jul25'!AI158,"",'1. Live'!AI158-'check-Jul25'!AI158)</f>
        <v/>
      </c>
      <c r="AJ158" t="str">
        <f>IF('1. Live'!AJ158='check-Jul25'!AJ158,"",'1. Live'!AJ158-'check-Jul25'!AJ158)</f>
        <v/>
      </c>
      <c r="AK158" t="str">
        <f>IF('1. Live'!AK158='check-Jul25'!AK158,"",'1. Live'!AK158-'check-Jul25'!AK158)</f>
        <v/>
      </c>
      <c r="AL158" t="str">
        <f>IF('1. Live'!AL158='check-Jul25'!AL158,"",'1. Live'!AL158-'check-Jul25'!AL158)</f>
        <v/>
      </c>
      <c r="AM158" t="str">
        <f>IF('1. Live'!AM158='check-Jul25'!AM158,"",'1. Live'!AM158-'check-Jul25'!AM158)</f>
        <v/>
      </c>
      <c r="AN158" t="str">
        <f>IF('1. Live'!AN158='check-Jul25'!AN158,"",'1. Live'!AN158-'check-Jul25'!AN158)</f>
        <v/>
      </c>
      <c r="AO158" t="str">
        <f>IF('1. Live'!AO158='check-Jul25'!AO158,"",'1. Live'!AO158-'check-Jul25'!AO158)</f>
        <v/>
      </c>
      <c r="AP158" t="str">
        <f>IF('1. Live'!AP158='check-Jul25'!AP158,"",'1. Live'!AP158-'check-Jul25'!AP158)</f>
        <v/>
      </c>
      <c r="AQ158" t="str">
        <f>IF('1. Live'!AQ158='check-Jul25'!AQ158,"",'1. Live'!AQ158-'check-Jul25'!AQ158)</f>
        <v/>
      </c>
      <c r="AR158" t="str">
        <f>IF('1. Live'!AR158='check-Jul25'!AR158,"",'1. Live'!AR158-'check-Jul25'!AR158)</f>
        <v/>
      </c>
      <c r="AS158" t="str">
        <f>IF('1. Live'!AS158='check-Jul25'!AS158,"",'1. Live'!AS158-'check-Jul25'!AS158)</f>
        <v/>
      </c>
      <c r="AT158" t="str">
        <f>IF('1. Live'!AT158='check-Jul25'!AT158,"",'1. Live'!AT158-'check-Jul25'!AT158)</f>
        <v/>
      </c>
      <c r="AU158" t="str">
        <f>IF('1. Live'!AU158='check-Jul25'!AU158,"",'1. Live'!AU158-'check-Jul25'!AU158)</f>
        <v/>
      </c>
      <c r="AV158" t="str">
        <f>IF('1. Live'!AV158='check-Jul25'!AV158,"",'1. Live'!AV158-'check-Jul25'!AV158)</f>
        <v/>
      </c>
      <c r="AW158" t="str">
        <f>IF('1. Live'!AW158='check-Jul25'!AW158,"",'1. Live'!AW158-'check-Jul25'!AW158)</f>
        <v/>
      </c>
      <c r="AX158" t="str">
        <f>IF('1. Live'!AX158='check-Jul25'!AX158,"",'1. Live'!AX158-'check-Jul25'!AX158)</f>
        <v/>
      </c>
      <c r="AY158" t="str">
        <f>IF('1. Live'!AY158='check-Jul25'!AY158,"",'1. Live'!AY158-'check-Jul25'!AY158)</f>
        <v/>
      </c>
      <c r="AZ158" t="str">
        <f>IF('1. Live'!AZ158='check-Jul25'!AZ158,"",'1. Live'!AZ158-'check-Jul25'!AZ158)</f>
        <v/>
      </c>
      <c r="BA158" t="str">
        <f>IF('1. Live'!BA158='check-Jul25'!BA158,"",'1. Live'!BA158-'check-Jul25'!BA158)</f>
        <v/>
      </c>
      <c r="BB158" t="str">
        <f>IF('1. Live'!BB158='check-Jul25'!BB158,"",'1. Live'!BB158-'check-Jul25'!BB158)</f>
        <v/>
      </c>
      <c r="BC158" t="str">
        <f>IF('1. Live'!BC158='check-Jul25'!BC158,"",'1. Live'!BC158-'check-Jul25'!BC158)</f>
        <v/>
      </c>
      <c r="BD158" t="str">
        <f>IF('1. Live'!BD158='check-Jul25'!BD158,"",'1. Live'!BD158-'check-Jul25'!BD158)</f>
        <v/>
      </c>
      <c r="BE158" t="str">
        <f>IF('1. Live'!BE158='check-Jul25'!BE158,"",'1. Live'!BE158-'check-Jul25'!BE158)</f>
        <v/>
      </c>
      <c r="BF158" t="str">
        <f>IF('1. Live'!BF158='check-Jul25'!BF158,"",'1. Live'!BF158-'check-Jul25'!BF158)</f>
        <v/>
      </c>
      <c r="BG158" t="str">
        <f>IF('1. Live'!BG158='check-Jul25'!BG158,"",'1. Live'!BG158-'check-Jul25'!BG158)</f>
        <v/>
      </c>
      <c r="BH158" t="str">
        <f>IF('1. Live'!BH158='check-Jul25'!BH158,"",'1. Live'!BH158-'check-Jul25'!BH158)</f>
        <v/>
      </c>
      <c r="BI158" t="str">
        <f>IF('1. Live'!BI158='check-Jul25'!BI158,"",'1. Live'!BI158-'check-Jul25'!BI158)</f>
        <v/>
      </c>
      <c r="BJ158" t="str">
        <f>IF('1. Live'!BJ158='check-Jul25'!BJ158,"",'1. Live'!BJ158-'check-Jul25'!BJ158)</f>
        <v/>
      </c>
      <c r="BK158" t="str">
        <f>IF('1. Live'!BK158='check-Jul25'!BK158,"",'1. Live'!BK158-'check-Jul25'!BK158)</f>
        <v/>
      </c>
      <c r="BL158" t="str">
        <f>IF('1. Live'!BL158='check-Jul25'!BL158,"",'1. Live'!BL158-'check-Jul25'!BL158)</f>
        <v/>
      </c>
      <c r="BM158" t="str">
        <f>IF('1. Live'!BM158='check-Jul25'!BM158,"",'1. Live'!BM158-'check-Jul25'!BM158)</f>
        <v/>
      </c>
      <c r="BN158" t="str">
        <f>IF('1. Live'!BN158='check-Jul25'!BN158,"",'1. Live'!BN158-'check-Jul25'!BN158)</f>
        <v/>
      </c>
      <c r="BO158" t="str">
        <f>IF('1. Live'!BO158='check-Jul25'!BO158,"",'1. Live'!BO158-'check-Jul25'!BO158)</f>
        <v/>
      </c>
      <c r="BP158" t="str">
        <f>IF('1. Live'!BP158='check-Jul25'!BP158,"",'1. Live'!BP158-'check-Jul25'!BP158)</f>
        <v/>
      </c>
      <c r="BQ158" t="str">
        <f>IF('1. Live'!BQ158='check-Jul25'!BQ158,"",'1. Live'!BQ158-'check-Jul25'!BQ158)</f>
        <v/>
      </c>
      <c r="BR158" t="str">
        <f>IF('1. Live'!BR158='check-Jul25'!BR158,"",'1. Live'!BR158-'check-Jul25'!BR158)</f>
        <v/>
      </c>
      <c r="BS158" t="str">
        <f>IF('1. Live'!BS158='check-Jul25'!BS158,"",'1. Live'!BS158-'check-Jul25'!BS158)</f>
        <v/>
      </c>
      <c r="BT158" t="str">
        <f>IF('1. Live'!BT158='check-Jul25'!BT158,"",'1. Live'!BT158-'check-Jul25'!BT158)</f>
        <v/>
      </c>
      <c r="BU158" t="str">
        <f>IF('1. Live'!BU158='check-Jul25'!BU158,"",'1. Live'!BU158-'check-Jul25'!BU158)</f>
        <v/>
      </c>
      <c r="BV158" t="str">
        <f>IF('1. Live'!BV158='check-Jul25'!BV158,"",'1. Live'!BV158-'check-Jul25'!BV158)</f>
        <v/>
      </c>
      <c r="BW158" t="str">
        <f>IF('1. Live'!BW158='check-Jul25'!BW158,"",'1. Live'!BW158-'check-Jul25'!BW158)</f>
        <v/>
      </c>
      <c r="BX158" t="str">
        <f>IF('1. Live'!BX158='check-Jul25'!BX158,"",'1. Live'!BX158-'check-Jul25'!BX158)</f>
        <v/>
      </c>
      <c r="BY158" t="str">
        <f>IF('1. Live'!BY158='check-Jul25'!BY158,"",'1. Live'!BY158-'check-Jul25'!BY158)</f>
        <v/>
      </c>
      <c r="BZ158" t="str">
        <f>IF('1. Live'!BZ158='check-Jul25'!BZ158,"",'1. Live'!BZ158-'check-Jul25'!BZ158)</f>
        <v/>
      </c>
      <c r="CA158" t="str">
        <f>IF('1. Live'!CA158='check-Jul25'!CA158,"",'1. Live'!CA158-'check-Jul25'!CA158)</f>
        <v/>
      </c>
      <c r="CB158" t="str">
        <f>IF('1. Live'!CB158='check-Jul25'!CB158,"",'1. Live'!CB158-'check-Jul25'!CB158)</f>
        <v/>
      </c>
      <c r="CC158" t="str">
        <f>IF('1. Live'!CC158='check-Jul25'!CC158,"",'1. Live'!CC158-'check-Jul25'!CC158)</f>
        <v/>
      </c>
      <c r="CD158" t="str">
        <f>IF('1. Live'!CD158='check-Jul25'!CD158,"",'1. Live'!CD158-'check-Jul25'!CD158)</f>
        <v/>
      </c>
      <c r="CE158" t="str">
        <f>IF('1. Live'!CE158='check-Jul25'!CE158,"",'1. Live'!CE158-'check-Jul25'!CE158)</f>
        <v/>
      </c>
      <c r="CF158" t="str">
        <f>IF('1. Live'!CF158='check-Jul25'!CF158,"",'1. Live'!CF158-'check-Jul25'!CF158)</f>
        <v/>
      </c>
      <c r="CG158" t="str">
        <f>IF('1. Live'!CG158='check-Jul25'!CG158,"",'1. Live'!CG158-'check-Jul25'!CG158)</f>
        <v/>
      </c>
      <c r="CH158" t="str">
        <f>IF('1. Live'!CH158='check-Jul25'!CH158,"",'1. Live'!CH158-'check-Jul25'!CH158)</f>
        <v/>
      </c>
      <c r="CI158" t="str">
        <f>IF('1. Live'!CI158='check-Jul25'!CI158,"",'1. Live'!CI158-'check-Jul25'!CI158)</f>
        <v/>
      </c>
      <c r="CJ158" t="str">
        <f>IF('1. Live'!CJ158='check-Jul25'!CJ158,"",'1. Live'!CJ158-'check-Jul25'!CJ158)</f>
        <v/>
      </c>
      <c r="CK158" t="str">
        <f>IF('1. Live'!CK158='check-Jul25'!CK158,"",'1. Live'!CK158-'check-Jul25'!CK158)</f>
        <v/>
      </c>
      <c r="CL158" t="str">
        <f>IF('1. Live'!CL158='check-Jul25'!CL158,"",'1. Live'!CL158-'check-Jul25'!CL158)</f>
        <v/>
      </c>
      <c r="CM158" t="str">
        <f>IF('1. Live'!CM158='check-Jul25'!CM158,"",'1. Live'!CM158-'check-Jul25'!CM158)</f>
        <v/>
      </c>
      <c r="CN158" t="str">
        <f>IF('1. Live'!CN158='check-Jul25'!CN158,"",'1. Live'!CN158-'check-Jul25'!CN158)</f>
        <v/>
      </c>
      <c r="CO158" t="str">
        <f>IF('1. Live'!CO158='check-Jul25'!CO158,"",'1. Live'!CO158-'check-Jul25'!CO158)</f>
        <v/>
      </c>
      <c r="CP158" t="str">
        <f>IF('1. Live'!CP158='check-Jul25'!CP158,"",'1. Live'!CP158-'check-Jul25'!CP158)</f>
        <v/>
      </c>
      <c r="CQ158" t="str">
        <f>IF('1. Live'!CQ158='check-Jul25'!CQ158,"",'1. Live'!CQ158-'check-Jul25'!CQ158)</f>
        <v/>
      </c>
      <c r="CR158" t="str">
        <f>IF('1. Live'!CR158='check-Jul25'!CR158,"",'1. Live'!CR158-'check-Jul25'!CR158)</f>
        <v/>
      </c>
      <c r="CS158" t="str">
        <f>IF('1. Live'!CS158='check-Jul25'!CS158,"",'1. Live'!CS158-'check-Jul25'!CS158)</f>
        <v/>
      </c>
      <c r="CT158" t="str">
        <f>IF('1. Live'!CT158='check-Jul25'!CT158,"",'1. Live'!CT158-'check-Jul25'!CT158)</f>
        <v/>
      </c>
      <c r="CU158" t="str">
        <f>IF('1. Live'!CU158='check-Jul25'!CU158,"",'1. Live'!CU158-'check-Jul25'!CU158)</f>
        <v/>
      </c>
      <c r="CV158" t="str">
        <f>IF('1. Live'!CV158='check-Jul25'!CV158,"",'1. Live'!CV158-'check-Jul25'!CV158)</f>
        <v/>
      </c>
      <c r="CW158" t="str">
        <f>IF('1. Live'!CW158='check-Jul25'!CW158,"",'1. Live'!CW158-'check-Jul25'!CW158)</f>
        <v/>
      </c>
    </row>
    <row r="159" spans="10:101">
      <c r="J159" t="str">
        <f>IF('1. Live'!J159='check-Jul25'!J159,"",'1. Live'!J159-'check-Jul25'!J159)</f>
        <v/>
      </c>
      <c r="K159" t="str">
        <f>IF('1. Live'!K159='check-Jul25'!K159,"",'1. Live'!K159-'check-Jul25'!K159)</f>
        <v/>
      </c>
      <c r="L159" t="str">
        <f>IF('1. Live'!L159='check-Jul25'!L159,"",'1. Live'!L159-'check-Jul25'!L159)</f>
        <v/>
      </c>
      <c r="M159" t="str">
        <f>IF('1. Live'!M159='check-Jul25'!M159,"",'1. Live'!M159-'check-Jul25'!M159)</f>
        <v/>
      </c>
      <c r="N159" t="str">
        <f>IF('1. Live'!N159='check-Jul25'!N159,"",'1. Live'!N159-'check-Jul25'!N159)</f>
        <v/>
      </c>
      <c r="O159" t="str">
        <f>IF('1. Live'!O159='check-Jul25'!O159,"",'1. Live'!O159-'check-Jul25'!O159)</f>
        <v/>
      </c>
      <c r="P159" t="str">
        <f>IF('1. Live'!P159='check-Jul25'!P159,"",'1. Live'!P159-'check-Jul25'!P159)</f>
        <v/>
      </c>
      <c r="Q159" t="str">
        <f>IF('1. Live'!Q159='check-Jul25'!Q159,"",'1. Live'!Q159-'check-Jul25'!Q159)</f>
        <v/>
      </c>
      <c r="R159" t="str">
        <f>IF('1. Live'!R159='check-Jul25'!R159,"",'1. Live'!R159-'check-Jul25'!R159)</f>
        <v/>
      </c>
      <c r="S159" t="str">
        <f>IF('1. Live'!S159='check-Jul25'!S159,"",'1. Live'!S159-'check-Jul25'!S159)</f>
        <v/>
      </c>
      <c r="T159" t="str">
        <f>IF('1. Live'!T159='check-Jul25'!T159,"",'1. Live'!T159-'check-Jul25'!T159)</f>
        <v/>
      </c>
      <c r="U159" t="str">
        <f>IF('1. Live'!U159='check-Jul25'!U159,"",'1. Live'!U159-'check-Jul25'!U159)</f>
        <v/>
      </c>
      <c r="V159" t="str">
        <f>IF('1. Live'!V159='check-Jul25'!V159,"",'1. Live'!V159-'check-Jul25'!V159)</f>
        <v/>
      </c>
      <c r="W159" t="str">
        <f>IF('1. Live'!W159='check-Jul25'!W159,"",'1. Live'!W159-'check-Jul25'!W159)</f>
        <v/>
      </c>
      <c r="X159" t="str">
        <f>IF('1. Live'!X159='check-Jul25'!X159,"",'1. Live'!X159-'check-Jul25'!X159)</f>
        <v/>
      </c>
      <c r="Y159" t="str">
        <f>IF('1. Live'!Y159='check-Jul25'!Y159,"",'1. Live'!Y159-'check-Jul25'!Y159)</f>
        <v/>
      </c>
      <c r="Z159" t="str">
        <f>IF('1. Live'!Z159='check-Jul25'!Z159,"",'1. Live'!Z159-'check-Jul25'!Z159)</f>
        <v/>
      </c>
      <c r="AA159" t="str">
        <f>IF('1. Live'!AA159='check-Jul25'!AA159,"",'1. Live'!AA159-'check-Jul25'!AA159)</f>
        <v/>
      </c>
      <c r="AB159" t="str">
        <f>IF('1. Live'!AB159='check-Jul25'!AB159,"",'1. Live'!AB159-'check-Jul25'!AB159)</f>
        <v/>
      </c>
      <c r="AC159" t="str">
        <f>IF('1. Live'!AC159='check-Jul25'!AC159,"",'1. Live'!AC159-'check-Jul25'!AC159)</f>
        <v/>
      </c>
      <c r="AD159" t="str">
        <f>IF('1. Live'!AD159='check-Jul25'!AD159,"",'1. Live'!AD159-'check-Jul25'!AD159)</f>
        <v/>
      </c>
      <c r="AE159" t="str">
        <f>IF('1. Live'!AE159='check-Jul25'!AE159,"",'1. Live'!AE159-'check-Jul25'!AE159)</f>
        <v/>
      </c>
      <c r="AF159" t="str">
        <f>IF('1. Live'!AF159='check-Jul25'!AF159,"",'1. Live'!AF159-'check-Jul25'!AF159)</f>
        <v/>
      </c>
      <c r="AG159" t="str">
        <f>IF('1. Live'!AG159='check-Jul25'!AG159,"",'1. Live'!AG159-'check-Jul25'!AG159)</f>
        <v/>
      </c>
      <c r="AH159" t="str">
        <f>IF('1. Live'!AH159='check-Jul25'!AH159,"",'1. Live'!AH159-'check-Jul25'!AH159)</f>
        <v/>
      </c>
      <c r="AI159" t="str">
        <f>IF('1. Live'!AI159='check-Jul25'!AI159,"",'1. Live'!AI159-'check-Jul25'!AI159)</f>
        <v/>
      </c>
      <c r="AJ159" t="str">
        <f>IF('1. Live'!AJ159='check-Jul25'!AJ159,"",'1. Live'!AJ159-'check-Jul25'!AJ159)</f>
        <v/>
      </c>
      <c r="AK159" t="str">
        <f>IF('1. Live'!AK159='check-Jul25'!AK159,"",'1. Live'!AK159-'check-Jul25'!AK159)</f>
        <v/>
      </c>
      <c r="AL159" t="str">
        <f>IF('1. Live'!AL159='check-Jul25'!AL159,"",'1. Live'!AL159-'check-Jul25'!AL159)</f>
        <v/>
      </c>
      <c r="AM159" t="str">
        <f>IF('1. Live'!AM159='check-Jul25'!AM159,"",'1. Live'!AM159-'check-Jul25'!AM159)</f>
        <v/>
      </c>
      <c r="AN159" t="str">
        <f>IF('1. Live'!AN159='check-Jul25'!AN159,"",'1. Live'!AN159-'check-Jul25'!AN159)</f>
        <v/>
      </c>
      <c r="AO159" t="str">
        <f>IF('1. Live'!AO159='check-Jul25'!AO159,"",'1. Live'!AO159-'check-Jul25'!AO159)</f>
        <v/>
      </c>
      <c r="AP159" t="str">
        <f>IF('1. Live'!AP159='check-Jul25'!AP159,"",'1. Live'!AP159-'check-Jul25'!AP159)</f>
        <v/>
      </c>
      <c r="AQ159" t="str">
        <f>IF('1. Live'!AQ159='check-Jul25'!AQ159,"",'1. Live'!AQ159-'check-Jul25'!AQ159)</f>
        <v/>
      </c>
      <c r="AR159" t="str">
        <f>IF('1. Live'!AR159='check-Jul25'!AR159,"",'1. Live'!AR159-'check-Jul25'!AR159)</f>
        <v/>
      </c>
      <c r="AS159" t="str">
        <f>IF('1. Live'!AS159='check-Jul25'!AS159,"",'1. Live'!AS159-'check-Jul25'!AS159)</f>
        <v/>
      </c>
      <c r="AT159" t="str">
        <f>IF('1. Live'!AT159='check-Jul25'!AT159,"",'1. Live'!AT159-'check-Jul25'!AT159)</f>
        <v/>
      </c>
      <c r="AU159" t="str">
        <f>IF('1. Live'!AU159='check-Jul25'!AU159,"",'1. Live'!AU159-'check-Jul25'!AU159)</f>
        <v/>
      </c>
      <c r="AV159" t="str">
        <f>IF('1. Live'!AV159='check-Jul25'!AV159,"",'1. Live'!AV159-'check-Jul25'!AV159)</f>
        <v/>
      </c>
      <c r="AW159" t="str">
        <f>IF('1. Live'!AW159='check-Jul25'!AW159,"",'1. Live'!AW159-'check-Jul25'!AW159)</f>
        <v/>
      </c>
      <c r="AX159" t="str">
        <f>IF('1. Live'!AX159='check-Jul25'!AX159,"",'1. Live'!AX159-'check-Jul25'!AX159)</f>
        <v/>
      </c>
      <c r="AY159" t="str">
        <f>IF('1. Live'!AY159='check-Jul25'!AY159,"",'1. Live'!AY159-'check-Jul25'!AY159)</f>
        <v/>
      </c>
      <c r="AZ159" t="str">
        <f>IF('1. Live'!AZ159='check-Jul25'!AZ159,"",'1. Live'!AZ159-'check-Jul25'!AZ159)</f>
        <v/>
      </c>
      <c r="BA159" t="str">
        <f>IF('1. Live'!BA159='check-Jul25'!BA159,"",'1. Live'!BA159-'check-Jul25'!BA159)</f>
        <v/>
      </c>
      <c r="BB159" t="str">
        <f>IF('1. Live'!BB159='check-Jul25'!BB159,"",'1. Live'!BB159-'check-Jul25'!BB159)</f>
        <v/>
      </c>
      <c r="BC159" t="str">
        <f>IF('1. Live'!BC159='check-Jul25'!BC159,"",'1. Live'!BC159-'check-Jul25'!BC159)</f>
        <v/>
      </c>
      <c r="BD159" t="str">
        <f>IF('1. Live'!BD159='check-Jul25'!BD159,"",'1. Live'!BD159-'check-Jul25'!BD159)</f>
        <v/>
      </c>
      <c r="BE159" t="str">
        <f>IF('1. Live'!BE159='check-Jul25'!BE159,"",'1. Live'!BE159-'check-Jul25'!BE159)</f>
        <v/>
      </c>
      <c r="BF159" t="str">
        <f>IF('1. Live'!BF159='check-Jul25'!BF159,"",'1. Live'!BF159-'check-Jul25'!BF159)</f>
        <v/>
      </c>
      <c r="BG159" t="str">
        <f>IF('1. Live'!BG159='check-Jul25'!BG159,"",'1. Live'!BG159-'check-Jul25'!BG159)</f>
        <v/>
      </c>
      <c r="BH159" t="str">
        <f>IF('1. Live'!BH159='check-Jul25'!BH159,"",'1. Live'!BH159-'check-Jul25'!BH159)</f>
        <v/>
      </c>
      <c r="BI159" t="str">
        <f>IF('1. Live'!BI159='check-Jul25'!BI159,"",'1. Live'!BI159-'check-Jul25'!BI159)</f>
        <v/>
      </c>
      <c r="BJ159" t="str">
        <f>IF('1. Live'!BJ159='check-Jul25'!BJ159,"",'1. Live'!BJ159-'check-Jul25'!BJ159)</f>
        <v/>
      </c>
      <c r="BK159" t="str">
        <f>IF('1. Live'!BK159='check-Jul25'!BK159,"",'1. Live'!BK159-'check-Jul25'!BK159)</f>
        <v/>
      </c>
      <c r="BL159" t="str">
        <f>IF('1. Live'!BL159='check-Jul25'!BL159,"",'1. Live'!BL159-'check-Jul25'!BL159)</f>
        <v/>
      </c>
      <c r="BM159" t="str">
        <f>IF('1. Live'!BM159='check-Jul25'!BM159,"",'1. Live'!BM159-'check-Jul25'!BM159)</f>
        <v/>
      </c>
      <c r="BN159" t="str">
        <f>IF('1. Live'!BN159='check-Jul25'!BN159,"",'1. Live'!BN159-'check-Jul25'!BN159)</f>
        <v/>
      </c>
      <c r="BO159" t="str">
        <f>IF('1. Live'!BO159='check-Jul25'!BO159,"",'1. Live'!BO159-'check-Jul25'!BO159)</f>
        <v/>
      </c>
      <c r="BP159" t="str">
        <f>IF('1. Live'!BP159='check-Jul25'!BP159,"",'1. Live'!BP159-'check-Jul25'!BP159)</f>
        <v/>
      </c>
      <c r="BQ159" t="str">
        <f>IF('1. Live'!BQ159='check-Jul25'!BQ159,"",'1. Live'!BQ159-'check-Jul25'!BQ159)</f>
        <v/>
      </c>
      <c r="BR159" t="str">
        <f>IF('1. Live'!BR159='check-Jul25'!BR159,"",'1. Live'!BR159-'check-Jul25'!BR159)</f>
        <v/>
      </c>
      <c r="BS159" t="str">
        <f>IF('1. Live'!BS159='check-Jul25'!BS159,"",'1. Live'!BS159-'check-Jul25'!BS159)</f>
        <v/>
      </c>
      <c r="BT159" t="str">
        <f>IF('1. Live'!BT159='check-Jul25'!BT159,"",'1. Live'!BT159-'check-Jul25'!BT159)</f>
        <v/>
      </c>
      <c r="BU159" t="str">
        <f>IF('1. Live'!BU159='check-Jul25'!BU159,"",'1. Live'!BU159-'check-Jul25'!BU159)</f>
        <v/>
      </c>
      <c r="BV159" t="str">
        <f>IF('1. Live'!BV159='check-Jul25'!BV159,"",'1. Live'!BV159-'check-Jul25'!BV159)</f>
        <v/>
      </c>
      <c r="BW159" t="str">
        <f>IF('1. Live'!BW159='check-Jul25'!BW159,"",'1. Live'!BW159-'check-Jul25'!BW159)</f>
        <v/>
      </c>
      <c r="BX159" t="str">
        <f>IF('1. Live'!BX159='check-Jul25'!BX159,"",'1. Live'!BX159-'check-Jul25'!BX159)</f>
        <v/>
      </c>
      <c r="BY159" t="str">
        <f>IF('1. Live'!BY159='check-Jul25'!BY159,"",'1. Live'!BY159-'check-Jul25'!BY159)</f>
        <v/>
      </c>
      <c r="BZ159" t="str">
        <f>IF('1. Live'!BZ159='check-Jul25'!BZ159,"",'1. Live'!BZ159-'check-Jul25'!BZ159)</f>
        <v/>
      </c>
      <c r="CA159" t="str">
        <f>IF('1. Live'!CA159='check-Jul25'!CA159,"",'1. Live'!CA159-'check-Jul25'!CA159)</f>
        <v/>
      </c>
      <c r="CB159" t="str">
        <f>IF('1. Live'!CB159='check-Jul25'!CB159,"",'1. Live'!CB159-'check-Jul25'!CB159)</f>
        <v/>
      </c>
      <c r="CC159" t="str">
        <f>IF('1. Live'!CC159='check-Jul25'!CC159,"",'1. Live'!CC159-'check-Jul25'!CC159)</f>
        <v/>
      </c>
      <c r="CD159" t="str">
        <f>IF('1. Live'!CD159='check-Jul25'!CD159,"",'1. Live'!CD159-'check-Jul25'!CD159)</f>
        <v/>
      </c>
      <c r="CE159" t="str">
        <f>IF('1. Live'!CE159='check-Jul25'!CE159,"",'1. Live'!CE159-'check-Jul25'!CE159)</f>
        <v/>
      </c>
      <c r="CF159" t="str">
        <f>IF('1. Live'!CF159='check-Jul25'!CF159,"",'1. Live'!CF159-'check-Jul25'!CF159)</f>
        <v/>
      </c>
      <c r="CG159" t="str">
        <f>IF('1. Live'!CG159='check-Jul25'!CG159,"",'1. Live'!CG159-'check-Jul25'!CG159)</f>
        <v/>
      </c>
      <c r="CH159" t="str">
        <f>IF('1. Live'!CH159='check-Jul25'!CH159,"",'1. Live'!CH159-'check-Jul25'!CH159)</f>
        <v/>
      </c>
      <c r="CI159" t="str">
        <f>IF('1. Live'!CI159='check-Jul25'!CI159,"",'1. Live'!CI159-'check-Jul25'!CI159)</f>
        <v/>
      </c>
      <c r="CJ159" t="str">
        <f>IF('1. Live'!CJ159='check-Jul25'!CJ159,"",'1. Live'!CJ159-'check-Jul25'!CJ159)</f>
        <v/>
      </c>
      <c r="CK159" t="str">
        <f>IF('1. Live'!CK159='check-Jul25'!CK159,"",'1. Live'!CK159-'check-Jul25'!CK159)</f>
        <v/>
      </c>
      <c r="CL159" t="str">
        <f>IF('1. Live'!CL159='check-Jul25'!CL159,"",'1. Live'!CL159-'check-Jul25'!CL159)</f>
        <v/>
      </c>
      <c r="CM159" t="str">
        <f>IF('1. Live'!CM159='check-Jul25'!CM159,"",'1. Live'!CM159-'check-Jul25'!CM159)</f>
        <v/>
      </c>
      <c r="CN159" t="str">
        <f>IF('1. Live'!CN159='check-Jul25'!CN159,"",'1. Live'!CN159-'check-Jul25'!CN159)</f>
        <v/>
      </c>
      <c r="CO159" t="str">
        <f>IF('1. Live'!CO159='check-Jul25'!CO159,"",'1. Live'!CO159-'check-Jul25'!CO159)</f>
        <v/>
      </c>
      <c r="CP159" t="str">
        <f>IF('1. Live'!CP159='check-Jul25'!CP159,"",'1. Live'!CP159-'check-Jul25'!CP159)</f>
        <v/>
      </c>
      <c r="CQ159" t="str">
        <f>IF('1. Live'!CQ159='check-Jul25'!CQ159,"",'1. Live'!CQ159-'check-Jul25'!CQ159)</f>
        <v/>
      </c>
      <c r="CR159" t="str">
        <f>IF('1. Live'!CR159='check-Jul25'!CR159,"",'1. Live'!CR159-'check-Jul25'!CR159)</f>
        <v/>
      </c>
      <c r="CS159" t="str">
        <f>IF('1. Live'!CS159='check-Jul25'!CS159,"",'1. Live'!CS159-'check-Jul25'!CS159)</f>
        <v/>
      </c>
      <c r="CT159" t="str">
        <f>IF('1. Live'!CT159='check-Jul25'!CT159,"",'1. Live'!CT159-'check-Jul25'!CT159)</f>
        <v/>
      </c>
      <c r="CU159" t="str">
        <f>IF('1. Live'!CU159='check-Jul25'!CU159,"",'1. Live'!CU159-'check-Jul25'!CU159)</f>
        <v/>
      </c>
      <c r="CV159" t="str">
        <f>IF('1. Live'!CV159='check-Jul25'!CV159,"",'1. Live'!CV159-'check-Jul25'!CV159)</f>
        <v/>
      </c>
      <c r="CW159" t="str">
        <f>IF('1. Live'!CW159='check-Jul25'!CW159,"",'1. Live'!CW159-'check-Jul25'!CW159)</f>
        <v/>
      </c>
    </row>
    <row r="160" spans="10:101">
      <c r="J160" t="str">
        <f>IF('1. Live'!J160='check-Jul25'!J160,"",'1. Live'!J160-'check-Jul25'!J160)</f>
        <v/>
      </c>
      <c r="K160" t="str">
        <f>IF('1. Live'!K160='check-Jul25'!K160,"",'1. Live'!K160-'check-Jul25'!K160)</f>
        <v/>
      </c>
      <c r="L160" t="str">
        <f>IF('1. Live'!L160='check-Jul25'!L160,"",'1. Live'!L160-'check-Jul25'!L160)</f>
        <v/>
      </c>
      <c r="M160" t="str">
        <f>IF('1. Live'!M160='check-Jul25'!M160,"",'1. Live'!M160-'check-Jul25'!M160)</f>
        <v/>
      </c>
      <c r="N160" t="str">
        <f>IF('1. Live'!N160='check-Jul25'!N160,"",'1. Live'!N160-'check-Jul25'!N160)</f>
        <v/>
      </c>
      <c r="O160" t="str">
        <f>IF('1. Live'!O160='check-Jul25'!O160,"",'1. Live'!O160-'check-Jul25'!O160)</f>
        <v/>
      </c>
      <c r="P160" t="str">
        <f>IF('1. Live'!P160='check-Jul25'!P160,"",'1. Live'!P160-'check-Jul25'!P160)</f>
        <v/>
      </c>
      <c r="Q160" t="str">
        <f>IF('1. Live'!Q160='check-Jul25'!Q160,"",'1. Live'!Q160-'check-Jul25'!Q160)</f>
        <v/>
      </c>
      <c r="R160" t="str">
        <f>IF('1. Live'!R160='check-Jul25'!R160,"",'1. Live'!R160-'check-Jul25'!R160)</f>
        <v/>
      </c>
      <c r="S160" t="str">
        <f>IF('1. Live'!S160='check-Jul25'!S160,"",'1. Live'!S160-'check-Jul25'!S160)</f>
        <v/>
      </c>
      <c r="T160" t="str">
        <f>IF('1. Live'!T160='check-Jul25'!T160,"",'1. Live'!T160-'check-Jul25'!T160)</f>
        <v/>
      </c>
      <c r="U160" t="str">
        <f>IF('1. Live'!U160='check-Jul25'!U160,"",'1. Live'!U160-'check-Jul25'!U160)</f>
        <v/>
      </c>
      <c r="V160" t="str">
        <f>IF('1. Live'!V160='check-Jul25'!V160,"",'1. Live'!V160-'check-Jul25'!V160)</f>
        <v/>
      </c>
      <c r="W160" t="str">
        <f>IF('1. Live'!W160='check-Jul25'!W160,"",'1. Live'!W160-'check-Jul25'!W160)</f>
        <v/>
      </c>
      <c r="X160" t="str">
        <f>IF('1. Live'!X160='check-Jul25'!X160,"",'1. Live'!X160-'check-Jul25'!X160)</f>
        <v/>
      </c>
      <c r="Y160" t="str">
        <f>IF('1. Live'!Y160='check-Jul25'!Y160,"",'1. Live'!Y160-'check-Jul25'!Y160)</f>
        <v/>
      </c>
      <c r="Z160" t="str">
        <f>IF('1. Live'!Z160='check-Jul25'!Z160,"",'1. Live'!Z160-'check-Jul25'!Z160)</f>
        <v/>
      </c>
      <c r="AA160" t="str">
        <f>IF('1. Live'!AA160='check-Jul25'!AA160,"",'1. Live'!AA160-'check-Jul25'!AA160)</f>
        <v/>
      </c>
      <c r="AB160" t="str">
        <f>IF('1. Live'!AB160='check-Jul25'!AB160,"",'1. Live'!AB160-'check-Jul25'!AB160)</f>
        <v/>
      </c>
      <c r="AC160" t="str">
        <f>IF('1. Live'!AC160='check-Jul25'!AC160,"",'1. Live'!AC160-'check-Jul25'!AC160)</f>
        <v/>
      </c>
      <c r="AD160" t="str">
        <f>IF('1. Live'!AD160='check-Jul25'!AD160,"",'1. Live'!AD160-'check-Jul25'!AD160)</f>
        <v/>
      </c>
      <c r="AE160" t="str">
        <f>IF('1. Live'!AE160='check-Jul25'!AE160,"",'1. Live'!AE160-'check-Jul25'!AE160)</f>
        <v/>
      </c>
      <c r="AF160" t="str">
        <f>IF('1. Live'!AF160='check-Jul25'!AF160,"",'1. Live'!AF160-'check-Jul25'!AF160)</f>
        <v/>
      </c>
      <c r="AG160" t="str">
        <f>IF('1. Live'!AG160='check-Jul25'!AG160,"",'1. Live'!AG160-'check-Jul25'!AG160)</f>
        <v/>
      </c>
      <c r="AH160" t="str">
        <f>IF('1. Live'!AH160='check-Jul25'!AH160,"",'1. Live'!AH160-'check-Jul25'!AH160)</f>
        <v/>
      </c>
      <c r="AI160" t="str">
        <f>IF('1. Live'!AI160='check-Jul25'!AI160,"",'1. Live'!AI160-'check-Jul25'!AI160)</f>
        <v/>
      </c>
      <c r="AJ160" t="str">
        <f>IF('1. Live'!AJ160='check-Jul25'!AJ160,"",'1. Live'!AJ160-'check-Jul25'!AJ160)</f>
        <v/>
      </c>
      <c r="AK160" t="str">
        <f>IF('1. Live'!AK160='check-Jul25'!AK160,"",'1. Live'!AK160-'check-Jul25'!AK160)</f>
        <v/>
      </c>
      <c r="AL160" t="str">
        <f>IF('1. Live'!AL160='check-Jul25'!AL160,"",'1. Live'!AL160-'check-Jul25'!AL160)</f>
        <v/>
      </c>
      <c r="AM160" t="str">
        <f>IF('1. Live'!AM160='check-Jul25'!AM160,"",'1. Live'!AM160-'check-Jul25'!AM160)</f>
        <v/>
      </c>
      <c r="AN160" t="str">
        <f>IF('1. Live'!AN160='check-Jul25'!AN160,"",'1. Live'!AN160-'check-Jul25'!AN160)</f>
        <v/>
      </c>
      <c r="AO160" t="str">
        <f>IF('1. Live'!AO160='check-Jul25'!AO160,"",'1. Live'!AO160-'check-Jul25'!AO160)</f>
        <v/>
      </c>
      <c r="AP160" t="str">
        <f>IF('1. Live'!AP160='check-Jul25'!AP160,"",'1. Live'!AP160-'check-Jul25'!AP160)</f>
        <v/>
      </c>
      <c r="AQ160" t="str">
        <f>IF('1. Live'!AQ160='check-Jul25'!AQ160,"",'1. Live'!AQ160-'check-Jul25'!AQ160)</f>
        <v/>
      </c>
      <c r="AR160" t="str">
        <f>IF('1. Live'!AR160='check-Jul25'!AR160,"",'1. Live'!AR160-'check-Jul25'!AR160)</f>
        <v/>
      </c>
      <c r="AS160" t="str">
        <f>IF('1. Live'!AS160='check-Jul25'!AS160,"",'1. Live'!AS160-'check-Jul25'!AS160)</f>
        <v/>
      </c>
      <c r="AT160" t="str">
        <f>IF('1. Live'!AT160='check-Jul25'!AT160,"",'1. Live'!AT160-'check-Jul25'!AT160)</f>
        <v/>
      </c>
      <c r="AU160" t="str">
        <f>IF('1. Live'!AU160='check-Jul25'!AU160,"",'1. Live'!AU160-'check-Jul25'!AU160)</f>
        <v/>
      </c>
      <c r="AV160" t="str">
        <f>IF('1. Live'!AV160='check-Jul25'!AV160,"",'1. Live'!AV160-'check-Jul25'!AV160)</f>
        <v/>
      </c>
      <c r="AW160" t="str">
        <f>IF('1. Live'!AW160='check-Jul25'!AW160,"",'1. Live'!AW160-'check-Jul25'!AW160)</f>
        <v/>
      </c>
      <c r="AX160" t="str">
        <f>IF('1. Live'!AX160='check-Jul25'!AX160,"",'1. Live'!AX160-'check-Jul25'!AX160)</f>
        <v/>
      </c>
      <c r="AY160" t="str">
        <f>IF('1. Live'!AY160='check-Jul25'!AY160,"",'1. Live'!AY160-'check-Jul25'!AY160)</f>
        <v/>
      </c>
      <c r="AZ160" t="str">
        <f>IF('1. Live'!AZ160='check-Jul25'!AZ160,"",'1. Live'!AZ160-'check-Jul25'!AZ160)</f>
        <v/>
      </c>
      <c r="BA160" t="str">
        <f>IF('1. Live'!BA160='check-Jul25'!BA160,"",'1. Live'!BA160-'check-Jul25'!BA160)</f>
        <v/>
      </c>
      <c r="BB160" t="str">
        <f>IF('1. Live'!BB160='check-Jul25'!BB160,"",'1. Live'!BB160-'check-Jul25'!BB160)</f>
        <v/>
      </c>
      <c r="BC160" t="str">
        <f>IF('1. Live'!BC160='check-Jul25'!BC160,"",'1. Live'!BC160-'check-Jul25'!BC160)</f>
        <v/>
      </c>
      <c r="BD160" t="str">
        <f>IF('1. Live'!BD160='check-Jul25'!BD160,"",'1. Live'!BD160-'check-Jul25'!BD160)</f>
        <v/>
      </c>
      <c r="BE160" t="str">
        <f>IF('1. Live'!BE160='check-Jul25'!BE160,"",'1. Live'!BE160-'check-Jul25'!BE160)</f>
        <v/>
      </c>
      <c r="BF160" t="str">
        <f>IF('1. Live'!BF160='check-Jul25'!BF160,"",'1. Live'!BF160-'check-Jul25'!BF160)</f>
        <v/>
      </c>
      <c r="BG160" t="str">
        <f>IF('1. Live'!BG160='check-Jul25'!BG160,"",'1. Live'!BG160-'check-Jul25'!BG160)</f>
        <v/>
      </c>
      <c r="BH160" t="str">
        <f>IF('1. Live'!BH160='check-Jul25'!BH160,"",'1. Live'!BH160-'check-Jul25'!BH160)</f>
        <v/>
      </c>
      <c r="BI160" t="str">
        <f>IF('1. Live'!BI160='check-Jul25'!BI160,"",'1. Live'!BI160-'check-Jul25'!BI160)</f>
        <v/>
      </c>
      <c r="BJ160" t="str">
        <f>IF('1. Live'!BJ160='check-Jul25'!BJ160,"",'1. Live'!BJ160-'check-Jul25'!BJ160)</f>
        <v/>
      </c>
      <c r="BK160" t="str">
        <f>IF('1. Live'!BK160='check-Jul25'!BK160,"",'1. Live'!BK160-'check-Jul25'!BK160)</f>
        <v/>
      </c>
      <c r="BL160" t="str">
        <f>IF('1. Live'!BL160='check-Jul25'!BL160,"",'1. Live'!BL160-'check-Jul25'!BL160)</f>
        <v/>
      </c>
      <c r="BM160" t="str">
        <f>IF('1. Live'!BM160='check-Jul25'!BM160,"",'1. Live'!BM160-'check-Jul25'!BM160)</f>
        <v/>
      </c>
      <c r="BN160" t="str">
        <f>IF('1. Live'!BN160='check-Jul25'!BN160,"",'1. Live'!BN160-'check-Jul25'!BN160)</f>
        <v/>
      </c>
      <c r="BO160" t="str">
        <f>IF('1. Live'!BO160='check-Jul25'!BO160,"",'1. Live'!BO160-'check-Jul25'!BO160)</f>
        <v/>
      </c>
      <c r="BP160" t="str">
        <f>IF('1. Live'!BP160='check-Jul25'!BP160,"",'1. Live'!BP160-'check-Jul25'!BP160)</f>
        <v/>
      </c>
      <c r="BQ160" t="str">
        <f>IF('1. Live'!BQ160='check-Jul25'!BQ160,"",'1. Live'!BQ160-'check-Jul25'!BQ160)</f>
        <v/>
      </c>
      <c r="BR160" t="str">
        <f>IF('1. Live'!BR160='check-Jul25'!BR160,"",'1. Live'!BR160-'check-Jul25'!BR160)</f>
        <v/>
      </c>
      <c r="BS160" t="str">
        <f>IF('1. Live'!BS160='check-Jul25'!BS160,"",'1. Live'!BS160-'check-Jul25'!BS160)</f>
        <v/>
      </c>
      <c r="BT160" t="str">
        <f>IF('1. Live'!BT160='check-Jul25'!BT160,"",'1. Live'!BT160-'check-Jul25'!BT160)</f>
        <v/>
      </c>
      <c r="BU160" t="str">
        <f>IF('1. Live'!BU160='check-Jul25'!BU160,"",'1. Live'!BU160-'check-Jul25'!BU160)</f>
        <v/>
      </c>
      <c r="BV160" t="str">
        <f>IF('1. Live'!BV160='check-Jul25'!BV160,"",'1. Live'!BV160-'check-Jul25'!BV160)</f>
        <v/>
      </c>
      <c r="BW160" t="str">
        <f>IF('1. Live'!BW160='check-Jul25'!BW160,"",'1. Live'!BW160-'check-Jul25'!BW160)</f>
        <v/>
      </c>
      <c r="BX160" t="str">
        <f>IF('1. Live'!BX160='check-Jul25'!BX160,"",'1. Live'!BX160-'check-Jul25'!BX160)</f>
        <v/>
      </c>
      <c r="BY160" t="str">
        <f>IF('1. Live'!BY160='check-Jul25'!BY160,"",'1. Live'!BY160-'check-Jul25'!BY160)</f>
        <v/>
      </c>
      <c r="BZ160" t="str">
        <f>IF('1. Live'!BZ160='check-Jul25'!BZ160,"",'1. Live'!BZ160-'check-Jul25'!BZ160)</f>
        <v/>
      </c>
      <c r="CA160" t="str">
        <f>IF('1. Live'!CA160='check-Jul25'!CA160,"",'1. Live'!CA160-'check-Jul25'!CA160)</f>
        <v/>
      </c>
      <c r="CB160" t="str">
        <f>IF('1. Live'!CB160='check-Jul25'!CB160,"",'1. Live'!CB160-'check-Jul25'!CB160)</f>
        <v/>
      </c>
      <c r="CC160" t="str">
        <f>IF('1. Live'!CC160='check-Jul25'!CC160,"",'1. Live'!CC160-'check-Jul25'!CC160)</f>
        <v/>
      </c>
      <c r="CD160" t="str">
        <f>IF('1. Live'!CD160='check-Jul25'!CD160,"",'1. Live'!CD160-'check-Jul25'!CD160)</f>
        <v/>
      </c>
      <c r="CE160" t="str">
        <f>IF('1. Live'!CE160='check-Jul25'!CE160,"",'1. Live'!CE160-'check-Jul25'!CE160)</f>
        <v/>
      </c>
      <c r="CF160" t="str">
        <f>IF('1. Live'!CF160='check-Jul25'!CF160,"",'1. Live'!CF160-'check-Jul25'!CF160)</f>
        <v/>
      </c>
      <c r="CG160" t="str">
        <f>IF('1. Live'!CG160='check-Jul25'!CG160,"",'1. Live'!CG160-'check-Jul25'!CG160)</f>
        <v/>
      </c>
      <c r="CH160" t="str">
        <f>IF('1. Live'!CH160='check-Jul25'!CH160,"",'1. Live'!CH160-'check-Jul25'!CH160)</f>
        <v/>
      </c>
      <c r="CI160" t="str">
        <f>IF('1. Live'!CI160='check-Jul25'!CI160,"",'1. Live'!CI160-'check-Jul25'!CI160)</f>
        <v/>
      </c>
      <c r="CJ160" t="str">
        <f>IF('1. Live'!CJ160='check-Jul25'!CJ160,"",'1. Live'!CJ160-'check-Jul25'!CJ160)</f>
        <v/>
      </c>
      <c r="CK160" t="str">
        <f>IF('1. Live'!CK160='check-Jul25'!CK160,"",'1. Live'!CK160-'check-Jul25'!CK160)</f>
        <v/>
      </c>
      <c r="CL160" t="str">
        <f>IF('1. Live'!CL160='check-Jul25'!CL160,"",'1. Live'!CL160-'check-Jul25'!CL160)</f>
        <v/>
      </c>
      <c r="CM160" t="str">
        <f>IF('1. Live'!CM160='check-Jul25'!CM160,"",'1. Live'!CM160-'check-Jul25'!CM160)</f>
        <v/>
      </c>
      <c r="CN160" t="str">
        <f>IF('1. Live'!CN160='check-Jul25'!CN160,"",'1. Live'!CN160-'check-Jul25'!CN160)</f>
        <v/>
      </c>
      <c r="CO160" t="str">
        <f>IF('1. Live'!CO160='check-Jul25'!CO160,"",'1. Live'!CO160-'check-Jul25'!CO160)</f>
        <v/>
      </c>
      <c r="CP160" t="str">
        <f>IF('1. Live'!CP160='check-Jul25'!CP160,"",'1. Live'!CP160-'check-Jul25'!CP160)</f>
        <v/>
      </c>
      <c r="CQ160" t="str">
        <f>IF('1. Live'!CQ160='check-Jul25'!CQ160,"",'1. Live'!CQ160-'check-Jul25'!CQ160)</f>
        <v/>
      </c>
      <c r="CR160" t="str">
        <f>IF('1. Live'!CR160='check-Jul25'!CR160,"",'1. Live'!CR160-'check-Jul25'!CR160)</f>
        <v/>
      </c>
      <c r="CS160" t="str">
        <f>IF('1. Live'!CS160='check-Jul25'!CS160,"",'1. Live'!CS160-'check-Jul25'!CS160)</f>
        <v/>
      </c>
      <c r="CT160" t="str">
        <f>IF('1. Live'!CT160='check-Jul25'!CT160,"",'1. Live'!CT160-'check-Jul25'!CT160)</f>
        <v/>
      </c>
      <c r="CU160" t="str">
        <f>IF('1. Live'!CU160='check-Jul25'!CU160,"",'1. Live'!CU160-'check-Jul25'!CU160)</f>
        <v/>
      </c>
      <c r="CV160" t="str">
        <f>IF('1. Live'!CV160='check-Jul25'!CV160,"",'1. Live'!CV160-'check-Jul25'!CV160)</f>
        <v/>
      </c>
      <c r="CW160" t="str">
        <f>IF('1. Live'!CW160='check-Jul25'!CW160,"",'1. Live'!CW160-'check-Jul25'!CW160)</f>
        <v/>
      </c>
    </row>
    <row r="161" spans="10:101">
      <c r="J161" t="str">
        <f>IF('1. Live'!J161='check-Jul25'!J161,"",'1. Live'!J161-'check-Jul25'!J161)</f>
        <v/>
      </c>
      <c r="K161" t="str">
        <f>IF('1. Live'!K161='check-Jul25'!K161,"",'1. Live'!K161-'check-Jul25'!K161)</f>
        <v/>
      </c>
      <c r="L161" t="str">
        <f>IF('1. Live'!L161='check-Jul25'!L161,"",'1. Live'!L161-'check-Jul25'!L161)</f>
        <v/>
      </c>
      <c r="M161" t="str">
        <f>IF('1. Live'!M161='check-Jul25'!M161,"",'1. Live'!M161-'check-Jul25'!M161)</f>
        <v/>
      </c>
      <c r="N161" t="str">
        <f>IF('1. Live'!N161='check-Jul25'!N161,"",'1. Live'!N161-'check-Jul25'!N161)</f>
        <v/>
      </c>
      <c r="O161" t="str">
        <f>IF('1. Live'!O161='check-Jul25'!O161,"",'1. Live'!O161-'check-Jul25'!O161)</f>
        <v/>
      </c>
      <c r="P161" t="str">
        <f>IF('1. Live'!P161='check-Jul25'!P161,"",'1. Live'!P161-'check-Jul25'!P161)</f>
        <v/>
      </c>
      <c r="Q161" t="str">
        <f>IF('1. Live'!Q161='check-Jul25'!Q161,"",'1. Live'!Q161-'check-Jul25'!Q161)</f>
        <v/>
      </c>
      <c r="R161" t="str">
        <f>IF('1. Live'!R161='check-Jul25'!R161,"",'1. Live'!R161-'check-Jul25'!R161)</f>
        <v/>
      </c>
      <c r="S161" t="str">
        <f>IF('1. Live'!S161='check-Jul25'!S161,"",'1. Live'!S161-'check-Jul25'!S161)</f>
        <v/>
      </c>
      <c r="T161" t="str">
        <f>IF('1. Live'!T161='check-Jul25'!T161,"",'1. Live'!T161-'check-Jul25'!T161)</f>
        <v/>
      </c>
      <c r="U161" t="str">
        <f>IF('1. Live'!U161='check-Jul25'!U161,"",'1. Live'!U161-'check-Jul25'!U161)</f>
        <v/>
      </c>
      <c r="V161" t="str">
        <f>IF('1. Live'!V161='check-Jul25'!V161,"",'1. Live'!V161-'check-Jul25'!V161)</f>
        <v/>
      </c>
      <c r="W161" t="str">
        <f>IF('1. Live'!W161='check-Jul25'!W161,"",'1. Live'!W161-'check-Jul25'!W161)</f>
        <v/>
      </c>
      <c r="X161" t="str">
        <f>IF('1. Live'!X161='check-Jul25'!X161,"",'1. Live'!X161-'check-Jul25'!X161)</f>
        <v/>
      </c>
      <c r="Y161" t="str">
        <f>IF('1. Live'!Y161='check-Jul25'!Y161,"",'1. Live'!Y161-'check-Jul25'!Y161)</f>
        <v/>
      </c>
      <c r="Z161" t="str">
        <f>IF('1. Live'!Z161='check-Jul25'!Z161,"",'1. Live'!Z161-'check-Jul25'!Z161)</f>
        <v/>
      </c>
      <c r="AA161" t="str">
        <f>IF('1. Live'!AA161='check-Jul25'!AA161,"",'1. Live'!AA161-'check-Jul25'!AA161)</f>
        <v/>
      </c>
      <c r="AB161" t="str">
        <f>IF('1. Live'!AB161='check-Jul25'!AB161,"",'1. Live'!AB161-'check-Jul25'!AB161)</f>
        <v/>
      </c>
      <c r="AC161" t="str">
        <f>IF('1. Live'!AC161='check-Jul25'!AC161,"",'1. Live'!AC161-'check-Jul25'!AC161)</f>
        <v/>
      </c>
      <c r="AD161" t="str">
        <f>IF('1. Live'!AD161='check-Jul25'!AD161,"",'1. Live'!AD161-'check-Jul25'!AD161)</f>
        <v/>
      </c>
      <c r="AE161" t="str">
        <f>IF('1. Live'!AE161='check-Jul25'!AE161,"",'1. Live'!AE161-'check-Jul25'!AE161)</f>
        <v/>
      </c>
      <c r="AF161" t="str">
        <f>IF('1. Live'!AF161='check-Jul25'!AF161,"",'1. Live'!AF161-'check-Jul25'!AF161)</f>
        <v/>
      </c>
      <c r="AG161" t="str">
        <f>IF('1. Live'!AG161='check-Jul25'!AG161,"",'1. Live'!AG161-'check-Jul25'!AG161)</f>
        <v/>
      </c>
      <c r="AH161" t="str">
        <f>IF('1. Live'!AH161='check-Jul25'!AH161,"",'1. Live'!AH161-'check-Jul25'!AH161)</f>
        <v/>
      </c>
      <c r="AI161" t="str">
        <f>IF('1. Live'!AI161='check-Jul25'!AI161,"",'1. Live'!AI161-'check-Jul25'!AI161)</f>
        <v/>
      </c>
      <c r="AJ161" t="str">
        <f>IF('1. Live'!AJ161='check-Jul25'!AJ161,"",'1. Live'!AJ161-'check-Jul25'!AJ161)</f>
        <v/>
      </c>
      <c r="AK161" t="str">
        <f>IF('1. Live'!AK161='check-Jul25'!AK161,"",'1. Live'!AK161-'check-Jul25'!AK161)</f>
        <v/>
      </c>
      <c r="AL161" t="str">
        <f>IF('1. Live'!AL161='check-Jul25'!AL161,"",'1. Live'!AL161-'check-Jul25'!AL161)</f>
        <v/>
      </c>
      <c r="AM161" t="str">
        <f>IF('1. Live'!AM161='check-Jul25'!AM161,"",'1. Live'!AM161-'check-Jul25'!AM161)</f>
        <v/>
      </c>
      <c r="AN161" t="str">
        <f>IF('1. Live'!AN161='check-Jul25'!AN161,"",'1. Live'!AN161-'check-Jul25'!AN161)</f>
        <v/>
      </c>
      <c r="AO161" t="str">
        <f>IF('1. Live'!AO161='check-Jul25'!AO161,"",'1. Live'!AO161-'check-Jul25'!AO161)</f>
        <v/>
      </c>
      <c r="AP161" t="str">
        <f>IF('1. Live'!AP161='check-Jul25'!AP161,"",'1. Live'!AP161-'check-Jul25'!AP161)</f>
        <v/>
      </c>
      <c r="AQ161" t="str">
        <f>IF('1. Live'!AQ161='check-Jul25'!AQ161,"",'1. Live'!AQ161-'check-Jul25'!AQ161)</f>
        <v/>
      </c>
      <c r="AR161" t="str">
        <f>IF('1. Live'!AR161='check-Jul25'!AR161,"",'1. Live'!AR161-'check-Jul25'!AR161)</f>
        <v/>
      </c>
      <c r="AS161" t="str">
        <f>IF('1. Live'!AS161='check-Jul25'!AS161,"",'1. Live'!AS161-'check-Jul25'!AS161)</f>
        <v/>
      </c>
      <c r="AT161" t="str">
        <f>IF('1. Live'!AT161='check-Jul25'!AT161,"",'1. Live'!AT161-'check-Jul25'!AT161)</f>
        <v/>
      </c>
      <c r="AU161" t="str">
        <f>IF('1. Live'!AU161='check-Jul25'!AU161,"",'1. Live'!AU161-'check-Jul25'!AU161)</f>
        <v/>
      </c>
      <c r="AV161" t="str">
        <f>IF('1. Live'!AV161='check-Jul25'!AV161,"",'1. Live'!AV161-'check-Jul25'!AV161)</f>
        <v/>
      </c>
      <c r="AW161" t="str">
        <f>IF('1. Live'!AW161='check-Jul25'!AW161,"",'1. Live'!AW161-'check-Jul25'!AW161)</f>
        <v/>
      </c>
      <c r="AX161" t="str">
        <f>IF('1. Live'!AX161='check-Jul25'!AX161,"",'1. Live'!AX161-'check-Jul25'!AX161)</f>
        <v/>
      </c>
      <c r="AY161" t="str">
        <f>IF('1. Live'!AY161='check-Jul25'!AY161,"",'1. Live'!AY161-'check-Jul25'!AY161)</f>
        <v/>
      </c>
      <c r="AZ161" t="str">
        <f>IF('1. Live'!AZ161='check-Jul25'!AZ161,"",'1. Live'!AZ161-'check-Jul25'!AZ161)</f>
        <v/>
      </c>
      <c r="BA161" t="str">
        <f>IF('1. Live'!BA161='check-Jul25'!BA161,"",'1. Live'!BA161-'check-Jul25'!BA161)</f>
        <v/>
      </c>
      <c r="BB161" t="str">
        <f>IF('1. Live'!BB161='check-Jul25'!BB161,"",'1. Live'!BB161-'check-Jul25'!BB161)</f>
        <v/>
      </c>
      <c r="BC161" t="str">
        <f>IF('1. Live'!BC161='check-Jul25'!BC161,"",'1. Live'!BC161-'check-Jul25'!BC161)</f>
        <v/>
      </c>
      <c r="BD161" t="str">
        <f>IF('1. Live'!BD161='check-Jul25'!BD161,"",'1. Live'!BD161-'check-Jul25'!BD161)</f>
        <v/>
      </c>
      <c r="BE161" t="str">
        <f>IF('1. Live'!BE161='check-Jul25'!BE161,"",'1. Live'!BE161-'check-Jul25'!BE161)</f>
        <v/>
      </c>
      <c r="BF161" t="str">
        <f>IF('1. Live'!BF161='check-Jul25'!BF161,"",'1. Live'!BF161-'check-Jul25'!BF161)</f>
        <v/>
      </c>
      <c r="BG161" t="str">
        <f>IF('1. Live'!BG161='check-Jul25'!BG161,"",'1. Live'!BG161-'check-Jul25'!BG161)</f>
        <v/>
      </c>
      <c r="BH161" t="str">
        <f>IF('1. Live'!BH161='check-Jul25'!BH161,"",'1. Live'!BH161-'check-Jul25'!BH161)</f>
        <v/>
      </c>
      <c r="BI161" t="str">
        <f>IF('1. Live'!BI161='check-Jul25'!BI161,"",'1. Live'!BI161-'check-Jul25'!BI161)</f>
        <v/>
      </c>
      <c r="BJ161" t="str">
        <f>IF('1. Live'!BJ161='check-Jul25'!BJ161,"",'1. Live'!BJ161-'check-Jul25'!BJ161)</f>
        <v/>
      </c>
      <c r="BK161" t="str">
        <f>IF('1. Live'!BK161='check-Jul25'!BK161,"",'1. Live'!BK161-'check-Jul25'!BK161)</f>
        <v/>
      </c>
      <c r="BL161" t="str">
        <f>IF('1. Live'!BL161='check-Jul25'!BL161,"",'1. Live'!BL161-'check-Jul25'!BL161)</f>
        <v/>
      </c>
      <c r="BM161" t="str">
        <f>IF('1. Live'!BM161='check-Jul25'!BM161,"",'1. Live'!BM161-'check-Jul25'!BM161)</f>
        <v/>
      </c>
      <c r="BN161" t="str">
        <f>IF('1. Live'!BN161='check-Jul25'!BN161,"",'1. Live'!BN161-'check-Jul25'!BN161)</f>
        <v/>
      </c>
      <c r="BO161" t="str">
        <f>IF('1. Live'!BO161='check-Jul25'!BO161,"",'1. Live'!BO161-'check-Jul25'!BO161)</f>
        <v/>
      </c>
      <c r="BP161" t="str">
        <f>IF('1. Live'!BP161='check-Jul25'!BP161,"",'1. Live'!BP161-'check-Jul25'!BP161)</f>
        <v/>
      </c>
      <c r="BQ161" t="str">
        <f>IF('1. Live'!BQ161='check-Jul25'!BQ161,"",'1. Live'!BQ161-'check-Jul25'!BQ161)</f>
        <v/>
      </c>
      <c r="BR161" t="str">
        <f>IF('1. Live'!BR161='check-Jul25'!BR161,"",'1. Live'!BR161-'check-Jul25'!BR161)</f>
        <v/>
      </c>
      <c r="BS161" t="str">
        <f>IF('1. Live'!BS161='check-Jul25'!BS161,"",'1. Live'!BS161-'check-Jul25'!BS161)</f>
        <v/>
      </c>
      <c r="BT161" t="str">
        <f>IF('1. Live'!BT161='check-Jul25'!BT161,"",'1. Live'!BT161-'check-Jul25'!BT161)</f>
        <v/>
      </c>
      <c r="BU161" t="str">
        <f>IF('1. Live'!BU161='check-Jul25'!BU161,"",'1. Live'!BU161-'check-Jul25'!BU161)</f>
        <v/>
      </c>
      <c r="BV161" t="str">
        <f>IF('1. Live'!BV161='check-Jul25'!BV161,"",'1. Live'!BV161-'check-Jul25'!BV161)</f>
        <v/>
      </c>
      <c r="BW161" t="str">
        <f>IF('1. Live'!BW161='check-Jul25'!BW161,"",'1. Live'!BW161-'check-Jul25'!BW161)</f>
        <v/>
      </c>
      <c r="BX161" t="str">
        <f>IF('1. Live'!BX161='check-Jul25'!BX161,"",'1. Live'!BX161-'check-Jul25'!BX161)</f>
        <v/>
      </c>
      <c r="BY161" t="str">
        <f>IF('1. Live'!BY161='check-Jul25'!BY161,"",'1. Live'!BY161-'check-Jul25'!BY161)</f>
        <v/>
      </c>
      <c r="BZ161" t="str">
        <f>IF('1. Live'!BZ161='check-Jul25'!BZ161,"",'1. Live'!BZ161-'check-Jul25'!BZ161)</f>
        <v/>
      </c>
      <c r="CA161" t="str">
        <f>IF('1. Live'!CA161='check-Jul25'!CA161,"",'1. Live'!CA161-'check-Jul25'!CA161)</f>
        <v/>
      </c>
      <c r="CB161" t="str">
        <f>IF('1. Live'!CB161='check-Jul25'!CB161,"",'1. Live'!CB161-'check-Jul25'!CB161)</f>
        <v/>
      </c>
      <c r="CC161" t="str">
        <f>IF('1. Live'!CC161='check-Jul25'!CC161,"",'1. Live'!CC161-'check-Jul25'!CC161)</f>
        <v/>
      </c>
      <c r="CD161" t="str">
        <f>IF('1. Live'!CD161='check-Jul25'!CD161,"",'1. Live'!CD161-'check-Jul25'!CD161)</f>
        <v/>
      </c>
      <c r="CE161" t="str">
        <f>IF('1. Live'!CE161='check-Jul25'!CE161,"",'1. Live'!CE161-'check-Jul25'!CE161)</f>
        <v/>
      </c>
      <c r="CF161" t="str">
        <f>IF('1. Live'!CF161='check-Jul25'!CF161,"",'1. Live'!CF161-'check-Jul25'!CF161)</f>
        <v/>
      </c>
      <c r="CG161" t="str">
        <f>IF('1. Live'!CG161='check-Jul25'!CG161,"",'1. Live'!CG161-'check-Jul25'!CG161)</f>
        <v/>
      </c>
      <c r="CH161" t="str">
        <f>IF('1. Live'!CH161='check-Jul25'!CH161,"",'1. Live'!CH161-'check-Jul25'!CH161)</f>
        <v/>
      </c>
      <c r="CI161" t="str">
        <f>IF('1. Live'!CI161='check-Jul25'!CI161,"",'1. Live'!CI161-'check-Jul25'!CI161)</f>
        <v/>
      </c>
      <c r="CJ161" t="str">
        <f>IF('1. Live'!CJ161='check-Jul25'!CJ161,"",'1. Live'!CJ161-'check-Jul25'!CJ161)</f>
        <v/>
      </c>
      <c r="CK161" t="str">
        <f>IF('1. Live'!CK161='check-Jul25'!CK161,"",'1. Live'!CK161-'check-Jul25'!CK161)</f>
        <v/>
      </c>
      <c r="CL161" t="str">
        <f>IF('1. Live'!CL161='check-Jul25'!CL161,"",'1. Live'!CL161-'check-Jul25'!CL161)</f>
        <v/>
      </c>
      <c r="CM161" t="str">
        <f>IF('1. Live'!CM161='check-Jul25'!CM161,"",'1. Live'!CM161-'check-Jul25'!CM161)</f>
        <v/>
      </c>
      <c r="CN161" t="str">
        <f>IF('1. Live'!CN161='check-Jul25'!CN161,"",'1. Live'!CN161-'check-Jul25'!CN161)</f>
        <v/>
      </c>
      <c r="CO161" t="str">
        <f>IF('1. Live'!CO161='check-Jul25'!CO161,"",'1. Live'!CO161-'check-Jul25'!CO161)</f>
        <v/>
      </c>
      <c r="CP161" t="str">
        <f>IF('1. Live'!CP161='check-Jul25'!CP161,"",'1. Live'!CP161-'check-Jul25'!CP161)</f>
        <v/>
      </c>
      <c r="CQ161" t="str">
        <f>IF('1. Live'!CQ161='check-Jul25'!CQ161,"",'1. Live'!CQ161-'check-Jul25'!CQ161)</f>
        <v/>
      </c>
      <c r="CR161" t="str">
        <f>IF('1. Live'!CR161='check-Jul25'!CR161,"",'1. Live'!CR161-'check-Jul25'!CR161)</f>
        <v/>
      </c>
      <c r="CS161" t="str">
        <f>IF('1. Live'!CS161='check-Jul25'!CS161,"",'1. Live'!CS161-'check-Jul25'!CS161)</f>
        <v/>
      </c>
      <c r="CT161" t="str">
        <f>IF('1. Live'!CT161='check-Jul25'!CT161,"",'1. Live'!CT161-'check-Jul25'!CT161)</f>
        <v/>
      </c>
      <c r="CU161" t="str">
        <f>IF('1. Live'!CU161='check-Jul25'!CU161,"",'1. Live'!CU161-'check-Jul25'!CU161)</f>
        <v/>
      </c>
      <c r="CV161" t="str">
        <f>IF('1. Live'!CV161='check-Jul25'!CV161,"",'1. Live'!CV161-'check-Jul25'!CV161)</f>
        <v/>
      </c>
      <c r="CW161" t="str">
        <f>IF('1. Live'!CW161='check-Jul25'!CW161,"",'1. Live'!CW161-'check-Jul25'!CW161)</f>
        <v/>
      </c>
    </row>
    <row r="162" spans="10:101">
      <c r="J162" t="str">
        <f>IF('1. Live'!J162='check-Jul25'!J162,"",'1. Live'!J162-'check-Jul25'!J162)</f>
        <v/>
      </c>
      <c r="K162" t="str">
        <f>IF('1. Live'!K162='check-Jul25'!K162,"",'1. Live'!K162-'check-Jul25'!K162)</f>
        <v/>
      </c>
      <c r="L162" t="str">
        <f>IF('1. Live'!L162='check-Jul25'!L162,"",'1. Live'!L162-'check-Jul25'!L162)</f>
        <v/>
      </c>
      <c r="M162" t="str">
        <f>IF('1. Live'!M162='check-Jul25'!M162,"",'1. Live'!M162-'check-Jul25'!M162)</f>
        <v/>
      </c>
      <c r="N162" t="str">
        <f>IF('1. Live'!N162='check-Jul25'!N162,"",'1. Live'!N162-'check-Jul25'!N162)</f>
        <v/>
      </c>
      <c r="O162" t="str">
        <f>IF('1. Live'!O162='check-Jul25'!O162,"",'1. Live'!O162-'check-Jul25'!O162)</f>
        <v/>
      </c>
      <c r="P162" t="str">
        <f>IF('1. Live'!P162='check-Jul25'!P162,"",'1. Live'!P162-'check-Jul25'!P162)</f>
        <v/>
      </c>
      <c r="Q162" t="str">
        <f>IF('1. Live'!Q162='check-Jul25'!Q162,"",'1. Live'!Q162-'check-Jul25'!Q162)</f>
        <v/>
      </c>
      <c r="R162" t="str">
        <f>IF('1. Live'!R162='check-Jul25'!R162,"",'1. Live'!R162-'check-Jul25'!R162)</f>
        <v/>
      </c>
      <c r="S162" t="str">
        <f>IF('1. Live'!S162='check-Jul25'!S162,"",'1. Live'!S162-'check-Jul25'!S162)</f>
        <v/>
      </c>
      <c r="T162" t="str">
        <f>IF('1. Live'!T162='check-Jul25'!T162,"",'1. Live'!T162-'check-Jul25'!T162)</f>
        <v/>
      </c>
      <c r="U162" t="str">
        <f>IF('1. Live'!U162='check-Jul25'!U162,"",'1. Live'!U162-'check-Jul25'!U162)</f>
        <v/>
      </c>
      <c r="V162" t="str">
        <f>IF('1. Live'!V162='check-Jul25'!V162,"",'1. Live'!V162-'check-Jul25'!V162)</f>
        <v/>
      </c>
      <c r="W162" t="str">
        <f>IF('1. Live'!W162='check-Jul25'!W162,"",'1. Live'!W162-'check-Jul25'!W162)</f>
        <v/>
      </c>
      <c r="X162" t="str">
        <f>IF('1. Live'!X162='check-Jul25'!X162,"",'1. Live'!X162-'check-Jul25'!X162)</f>
        <v/>
      </c>
      <c r="Y162" t="str">
        <f>IF('1. Live'!Y162='check-Jul25'!Y162,"",'1. Live'!Y162-'check-Jul25'!Y162)</f>
        <v/>
      </c>
      <c r="Z162" t="str">
        <f>IF('1. Live'!Z162='check-Jul25'!Z162,"",'1. Live'!Z162-'check-Jul25'!Z162)</f>
        <v/>
      </c>
      <c r="AA162" t="str">
        <f>IF('1. Live'!AA162='check-Jul25'!AA162,"",'1. Live'!AA162-'check-Jul25'!AA162)</f>
        <v/>
      </c>
      <c r="AB162" t="str">
        <f>IF('1. Live'!AB162='check-Jul25'!AB162,"",'1. Live'!AB162-'check-Jul25'!AB162)</f>
        <v/>
      </c>
      <c r="AC162" t="str">
        <f>IF('1. Live'!AC162='check-Jul25'!AC162,"",'1. Live'!AC162-'check-Jul25'!AC162)</f>
        <v/>
      </c>
      <c r="AD162" t="str">
        <f>IF('1. Live'!AD162='check-Jul25'!AD162,"",'1. Live'!AD162-'check-Jul25'!AD162)</f>
        <v/>
      </c>
      <c r="AE162" t="str">
        <f>IF('1. Live'!AE162='check-Jul25'!AE162,"",'1. Live'!AE162-'check-Jul25'!AE162)</f>
        <v/>
      </c>
      <c r="AF162" t="str">
        <f>IF('1. Live'!AF162='check-Jul25'!AF162,"",'1. Live'!AF162-'check-Jul25'!AF162)</f>
        <v/>
      </c>
      <c r="AG162" t="str">
        <f>IF('1. Live'!AG162='check-Jul25'!AG162,"",'1. Live'!AG162-'check-Jul25'!AG162)</f>
        <v/>
      </c>
      <c r="AH162" t="str">
        <f>IF('1. Live'!AH162='check-Jul25'!AH162,"",'1. Live'!AH162-'check-Jul25'!AH162)</f>
        <v/>
      </c>
      <c r="AI162" t="str">
        <f>IF('1. Live'!AI162='check-Jul25'!AI162,"",'1. Live'!AI162-'check-Jul25'!AI162)</f>
        <v/>
      </c>
      <c r="AJ162" t="str">
        <f>IF('1. Live'!AJ162='check-Jul25'!AJ162,"",'1. Live'!AJ162-'check-Jul25'!AJ162)</f>
        <v/>
      </c>
      <c r="AK162" t="str">
        <f>IF('1. Live'!AK162='check-Jul25'!AK162,"",'1. Live'!AK162-'check-Jul25'!AK162)</f>
        <v/>
      </c>
      <c r="AL162" t="str">
        <f>IF('1. Live'!AL162='check-Jul25'!AL162,"",'1. Live'!AL162-'check-Jul25'!AL162)</f>
        <v/>
      </c>
      <c r="AM162" t="str">
        <f>IF('1. Live'!AM162='check-Jul25'!AM162,"",'1. Live'!AM162-'check-Jul25'!AM162)</f>
        <v/>
      </c>
      <c r="AN162" t="str">
        <f>IF('1. Live'!AN162='check-Jul25'!AN162,"",'1. Live'!AN162-'check-Jul25'!AN162)</f>
        <v/>
      </c>
      <c r="AO162" t="str">
        <f>IF('1. Live'!AO162='check-Jul25'!AO162,"",'1. Live'!AO162-'check-Jul25'!AO162)</f>
        <v/>
      </c>
      <c r="AP162" t="str">
        <f>IF('1. Live'!AP162='check-Jul25'!AP162,"",'1. Live'!AP162-'check-Jul25'!AP162)</f>
        <v/>
      </c>
      <c r="AQ162" t="str">
        <f>IF('1. Live'!AQ162='check-Jul25'!AQ162,"",'1. Live'!AQ162-'check-Jul25'!AQ162)</f>
        <v/>
      </c>
      <c r="AR162" t="str">
        <f>IF('1. Live'!AR162='check-Jul25'!AR162,"",'1. Live'!AR162-'check-Jul25'!AR162)</f>
        <v/>
      </c>
      <c r="AS162" t="str">
        <f>IF('1. Live'!AS162='check-Jul25'!AS162,"",'1. Live'!AS162-'check-Jul25'!AS162)</f>
        <v/>
      </c>
      <c r="AT162" t="str">
        <f>IF('1. Live'!AT162='check-Jul25'!AT162,"",'1. Live'!AT162-'check-Jul25'!AT162)</f>
        <v/>
      </c>
      <c r="AU162" t="str">
        <f>IF('1. Live'!AU162='check-Jul25'!AU162,"",'1. Live'!AU162-'check-Jul25'!AU162)</f>
        <v/>
      </c>
      <c r="AV162" t="str">
        <f>IF('1. Live'!AV162='check-Jul25'!AV162,"",'1. Live'!AV162-'check-Jul25'!AV162)</f>
        <v/>
      </c>
      <c r="AW162" t="str">
        <f>IF('1. Live'!AW162='check-Jul25'!AW162,"",'1. Live'!AW162-'check-Jul25'!AW162)</f>
        <v/>
      </c>
      <c r="AX162" t="str">
        <f>IF('1. Live'!AX162='check-Jul25'!AX162,"",'1. Live'!AX162-'check-Jul25'!AX162)</f>
        <v/>
      </c>
      <c r="AY162" t="str">
        <f>IF('1. Live'!AY162='check-Jul25'!AY162,"",'1. Live'!AY162-'check-Jul25'!AY162)</f>
        <v/>
      </c>
      <c r="AZ162" t="str">
        <f>IF('1. Live'!AZ162='check-Jul25'!AZ162,"",'1. Live'!AZ162-'check-Jul25'!AZ162)</f>
        <v/>
      </c>
      <c r="BA162" t="str">
        <f>IF('1. Live'!BA162='check-Jul25'!BA162,"",'1. Live'!BA162-'check-Jul25'!BA162)</f>
        <v/>
      </c>
      <c r="BB162" t="str">
        <f>IF('1. Live'!BB162='check-Jul25'!BB162,"",'1. Live'!BB162-'check-Jul25'!BB162)</f>
        <v/>
      </c>
      <c r="BC162" t="str">
        <f>IF('1. Live'!BC162='check-Jul25'!BC162,"",'1. Live'!BC162-'check-Jul25'!BC162)</f>
        <v/>
      </c>
      <c r="BD162" t="str">
        <f>IF('1. Live'!BD162='check-Jul25'!BD162,"",'1. Live'!BD162-'check-Jul25'!BD162)</f>
        <v/>
      </c>
      <c r="BE162" t="str">
        <f>IF('1. Live'!BE162='check-Jul25'!BE162,"",'1. Live'!BE162-'check-Jul25'!BE162)</f>
        <v/>
      </c>
      <c r="BF162" t="str">
        <f>IF('1. Live'!BF162='check-Jul25'!BF162,"",'1. Live'!BF162-'check-Jul25'!BF162)</f>
        <v/>
      </c>
      <c r="BG162" t="str">
        <f>IF('1. Live'!BG162='check-Jul25'!BG162,"",'1. Live'!BG162-'check-Jul25'!BG162)</f>
        <v/>
      </c>
      <c r="BH162" t="str">
        <f>IF('1. Live'!BH162='check-Jul25'!BH162,"",'1. Live'!BH162-'check-Jul25'!BH162)</f>
        <v/>
      </c>
      <c r="BI162" t="str">
        <f>IF('1. Live'!BI162='check-Jul25'!BI162,"",'1. Live'!BI162-'check-Jul25'!BI162)</f>
        <v/>
      </c>
      <c r="BJ162" t="str">
        <f>IF('1. Live'!BJ162='check-Jul25'!BJ162,"",'1. Live'!BJ162-'check-Jul25'!BJ162)</f>
        <v/>
      </c>
      <c r="BK162" t="str">
        <f>IF('1. Live'!BK162='check-Jul25'!BK162,"",'1. Live'!BK162-'check-Jul25'!BK162)</f>
        <v/>
      </c>
      <c r="BL162" t="str">
        <f>IF('1. Live'!BL162='check-Jul25'!BL162,"",'1. Live'!BL162-'check-Jul25'!BL162)</f>
        <v/>
      </c>
      <c r="BM162" t="str">
        <f>IF('1. Live'!BM162='check-Jul25'!BM162,"",'1. Live'!BM162-'check-Jul25'!BM162)</f>
        <v/>
      </c>
      <c r="BN162" t="str">
        <f>IF('1. Live'!BN162='check-Jul25'!BN162,"",'1. Live'!BN162-'check-Jul25'!BN162)</f>
        <v/>
      </c>
      <c r="BO162" t="str">
        <f>IF('1. Live'!BO162='check-Jul25'!BO162,"",'1. Live'!BO162-'check-Jul25'!BO162)</f>
        <v/>
      </c>
      <c r="BP162" t="str">
        <f>IF('1. Live'!BP162='check-Jul25'!BP162,"",'1. Live'!BP162-'check-Jul25'!BP162)</f>
        <v/>
      </c>
      <c r="BQ162" t="str">
        <f>IF('1. Live'!BQ162='check-Jul25'!BQ162,"",'1. Live'!BQ162-'check-Jul25'!BQ162)</f>
        <v/>
      </c>
      <c r="BR162" t="str">
        <f>IF('1. Live'!BR162='check-Jul25'!BR162,"",'1. Live'!BR162-'check-Jul25'!BR162)</f>
        <v/>
      </c>
      <c r="BS162" t="str">
        <f>IF('1. Live'!BS162='check-Jul25'!BS162,"",'1. Live'!BS162-'check-Jul25'!BS162)</f>
        <v/>
      </c>
      <c r="BT162" t="str">
        <f>IF('1. Live'!BT162='check-Jul25'!BT162,"",'1. Live'!BT162-'check-Jul25'!BT162)</f>
        <v/>
      </c>
      <c r="BU162" t="str">
        <f>IF('1. Live'!BU162='check-Jul25'!BU162,"",'1. Live'!BU162-'check-Jul25'!BU162)</f>
        <v/>
      </c>
      <c r="BV162" t="str">
        <f>IF('1. Live'!BV162='check-Jul25'!BV162,"",'1. Live'!BV162-'check-Jul25'!BV162)</f>
        <v/>
      </c>
      <c r="BW162" t="str">
        <f>IF('1. Live'!BW162='check-Jul25'!BW162,"",'1. Live'!BW162-'check-Jul25'!BW162)</f>
        <v/>
      </c>
      <c r="BX162" t="str">
        <f>IF('1. Live'!BX162='check-Jul25'!BX162,"",'1. Live'!BX162-'check-Jul25'!BX162)</f>
        <v/>
      </c>
      <c r="BY162" t="str">
        <f>IF('1. Live'!BY162='check-Jul25'!BY162,"",'1. Live'!BY162-'check-Jul25'!BY162)</f>
        <v/>
      </c>
      <c r="BZ162" t="str">
        <f>IF('1. Live'!BZ162='check-Jul25'!BZ162,"",'1. Live'!BZ162-'check-Jul25'!BZ162)</f>
        <v/>
      </c>
      <c r="CA162" t="str">
        <f>IF('1. Live'!CA162='check-Jul25'!CA162,"",'1. Live'!CA162-'check-Jul25'!CA162)</f>
        <v/>
      </c>
      <c r="CB162" t="str">
        <f>IF('1. Live'!CB162='check-Jul25'!CB162,"",'1. Live'!CB162-'check-Jul25'!CB162)</f>
        <v/>
      </c>
      <c r="CC162" t="str">
        <f>IF('1. Live'!CC162='check-Jul25'!CC162,"",'1. Live'!CC162-'check-Jul25'!CC162)</f>
        <v/>
      </c>
      <c r="CD162" t="str">
        <f>IF('1. Live'!CD162='check-Jul25'!CD162,"",'1. Live'!CD162-'check-Jul25'!CD162)</f>
        <v/>
      </c>
      <c r="CE162" t="str">
        <f>IF('1. Live'!CE162='check-Jul25'!CE162,"",'1. Live'!CE162-'check-Jul25'!CE162)</f>
        <v/>
      </c>
      <c r="CF162" t="str">
        <f>IF('1. Live'!CF162='check-Jul25'!CF162,"",'1. Live'!CF162-'check-Jul25'!CF162)</f>
        <v/>
      </c>
      <c r="CG162" t="str">
        <f>IF('1. Live'!CG162='check-Jul25'!CG162,"",'1. Live'!CG162-'check-Jul25'!CG162)</f>
        <v/>
      </c>
      <c r="CH162" t="str">
        <f>IF('1. Live'!CH162='check-Jul25'!CH162,"",'1. Live'!CH162-'check-Jul25'!CH162)</f>
        <v/>
      </c>
      <c r="CI162" t="str">
        <f>IF('1. Live'!CI162='check-Jul25'!CI162,"",'1. Live'!CI162-'check-Jul25'!CI162)</f>
        <v/>
      </c>
      <c r="CJ162" t="str">
        <f>IF('1. Live'!CJ162='check-Jul25'!CJ162,"",'1. Live'!CJ162-'check-Jul25'!CJ162)</f>
        <v/>
      </c>
      <c r="CK162" t="str">
        <f>IF('1. Live'!CK162='check-Jul25'!CK162,"",'1. Live'!CK162-'check-Jul25'!CK162)</f>
        <v/>
      </c>
      <c r="CL162" t="str">
        <f>IF('1. Live'!CL162='check-Jul25'!CL162,"",'1. Live'!CL162-'check-Jul25'!CL162)</f>
        <v/>
      </c>
      <c r="CM162" t="str">
        <f>IF('1. Live'!CM162='check-Jul25'!CM162,"",'1. Live'!CM162-'check-Jul25'!CM162)</f>
        <v/>
      </c>
      <c r="CN162" t="str">
        <f>IF('1. Live'!CN162='check-Jul25'!CN162,"",'1. Live'!CN162-'check-Jul25'!CN162)</f>
        <v/>
      </c>
      <c r="CO162" t="str">
        <f>IF('1. Live'!CO162='check-Jul25'!CO162,"",'1. Live'!CO162-'check-Jul25'!CO162)</f>
        <v/>
      </c>
      <c r="CP162" t="str">
        <f>IF('1. Live'!CP162='check-Jul25'!CP162,"",'1. Live'!CP162-'check-Jul25'!CP162)</f>
        <v/>
      </c>
      <c r="CQ162" t="str">
        <f>IF('1. Live'!CQ162='check-Jul25'!CQ162,"",'1. Live'!CQ162-'check-Jul25'!CQ162)</f>
        <v/>
      </c>
      <c r="CR162" t="str">
        <f>IF('1. Live'!CR162='check-Jul25'!CR162,"",'1. Live'!CR162-'check-Jul25'!CR162)</f>
        <v/>
      </c>
      <c r="CS162" t="str">
        <f>IF('1. Live'!CS162='check-Jul25'!CS162,"",'1. Live'!CS162-'check-Jul25'!CS162)</f>
        <v/>
      </c>
      <c r="CT162" t="str">
        <f>IF('1. Live'!CT162='check-Jul25'!CT162,"",'1. Live'!CT162-'check-Jul25'!CT162)</f>
        <v/>
      </c>
      <c r="CU162" t="str">
        <f>IF('1. Live'!CU162='check-Jul25'!CU162,"",'1. Live'!CU162-'check-Jul25'!CU162)</f>
        <v/>
      </c>
      <c r="CV162" t="str">
        <f>IF('1. Live'!CV162='check-Jul25'!CV162,"",'1. Live'!CV162-'check-Jul25'!CV162)</f>
        <v/>
      </c>
      <c r="CW162" t="str">
        <f>IF('1. Live'!CW162='check-Jul25'!CW162,"",'1. Live'!CW162-'check-Jul25'!CW162)</f>
        <v/>
      </c>
    </row>
    <row r="163" spans="10:101">
      <c r="J163" t="str">
        <f>IF('1. Live'!J163='check-Jul25'!J163,"",'1. Live'!J163-'check-Jul25'!J163)</f>
        <v/>
      </c>
      <c r="K163" t="str">
        <f>IF('1. Live'!K163='check-Jul25'!K163,"",'1. Live'!K163-'check-Jul25'!K163)</f>
        <v/>
      </c>
      <c r="L163" t="str">
        <f>IF('1. Live'!L163='check-Jul25'!L163,"",'1. Live'!L163-'check-Jul25'!L163)</f>
        <v/>
      </c>
      <c r="M163" t="str">
        <f>IF('1. Live'!M163='check-Jul25'!M163,"",'1. Live'!M163-'check-Jul25'!M163)</f>
        <v/>
      </c>
      <c r="N163" t="str">
        <f>IF('1. Live'!N163='check-Jul25'!N163,"",'1. Live'!N163-'check-Jul25'!N163)</f>
        <v/>
      </c>
      <c r="O163" t="str">
        <f>IF('1. Live'!O163='check-Jul25'!O163,"",'1. Live'!O163-'check-Jul25'!O163)</f>
        <v/>
      </c>
      <c r="P163" t="str">
        <f>IF('1. Live'!P163='check-Jul25'!P163,"",'1. Live'!P163-'check-Jul25'!P163)</f>
        <v/>
      </c>
      <c r="Q163" t="str">
        <f>IF('1. Live'!Q163='check-Jul25'!Q163,"",'1. Live'!Q163-'check-Jul25'!Q163)</f>
        <v/>
      </c>
      <c r="R163" t="str">
        <f>IF('1. Live'!R163='check-Jul25'!R163,"",'1. Live'!R163-'check-Jul25'!R163)</f>
        <v/>
      </c>
      <c r="S163" t="str">
        <f>IF('1. Live'!S163='check-Jul25'!S163,"",'1. Live'!S163-'check-Jul25'!S163)</f>
        <v/>
      </c>
      <c r="T163" t="str">
        <f>IF('1. Live'!T163='check-Jul25'!T163,"",'1. Live'!T163-'check-Jul25'!T163)</f>
        <v/>
      </c>
      <c r="U163" t="str">
        <f>IF('1. Live'!U163='check-Jul25'!U163,"",'1. Live'!U163-'check-Jul25'!U163)</f>
        <v/>
      </c>
      <c r="V163" t="str">
        <f>IF('1. Live'!V163='check-Jul25'!V163,"",'1. Live'!V163-'check-Jul25'!V163)</f>
        <v/>
      </c>
      <c r="W163" t="str">
        <f>IF('1. Live'!W163='check-Jul25'!W163,"",'1. Live'!W163-'check-Jul25'!W163)</f>
        <v/>
      </c>
      <c r="X163" t="str">
        <f>IF('1. Live'!X163='check-Jul25'!X163,"",'1. Live'!X163-'check-Jul25'!X163)</f>
        <v/>
      </c>
      <c r="Y163" t="str">
        <f>IF('1. Live'!Y163='check-Jul25'!Y163,"",'1. Live'!Y163-'check-Jul25'!Y163)</f>
        <v/>
      </c>
      <c r="Z163" t="str">
        <f>IF('1. Live'!Z163='check-Jul25'!Z163,"",'1. Live'!Z163-'check-Jul25'!Z163)</f>
        <v/>
      </c>
      <c r="AA163" t="str">
        <f>IF('1. Live'!AA163='check-Jul25'!AA163,"",'1. Live'!AA163-'check-Jul25'!AA163)</f>
        <v/>
      </c>
      <c r="AB163" t="str">
        <f>IF('1. Live'!AB163='check-Jul25'!AB163,"",'1. Live'!AB163-'check-Jul25'!AB163)</f>
        <v/>
      </c>
      <c r="AC163" t="str">
        <f>IF('1. Live'!AC163='check-Jul25'!AC163,"",'1. Live'!AC163-'check-Jul25'!AC163)</f>
        <v/>
      </c>
      <c r="AD163" t="str">
        <f>IF('1. Live'!AD163='check-Jul25'!AD163,"",'1. Live'!AD163-'check-Jul25'!AD163)</f>
        <v/>
      </c>
      <c r="AE163" t="str">
        <f>IF('1. Live'!AE163='check-Jul25'!AE163,"",'1. Live'!AE163-'check-Jul25'!AE163)</f>
        <v/>
      </c>
      <c r="AF163" t="str">
        <f>IF('1. Live'!AF163='check-Jul25'!AF163,"",'1. Live'!AF163-'check-Jul25'!AF163)</f>
        <v/>
      </c>
      <c r="AG163" t="str">
        <f>IF('1. Live'!AG163='check-Jul25'!AG163,"",'1. Live'!AG163-'check-Jul25'!AG163)</f>
        <v/>
      </c>
      <c r="AH163" t="str">
        <f>IF('1. Live'!AH163='check-Jul25'!AH163,"",'1. Live'!AH163-'check-Jul25'!AH163)</f>
        <v/>
      </c>
      <c r="AI163" t="str">
        <f>IF('1. Live'!AI163='check-Jul25'!AI163,"",'1. Live'!AI163-'check-Jul25'!AI163)</f>
        <v/>
      </c>
      <c r="AJ163" t="str">
        <f>IF('1. Live'!AJ163='check-Jul25'!AJ163,"",'1. Live'!AJ163-'check-Jul25'!AJ163)</f>
        <v/>
      </c>
      <c r="AK163" t="str">
        <f>IF('1. Live'!AK163='check-Jul25'!AK163,"",'1. Live'!AK163-'check-Jul25'!AK163)</f>
        <v/>
      </c>
      <c r="AL163" t="str">
        <f>IF('1. Live'!AL163='check-Jul25'!AL163,"",'1. Live'!AL163-'check-Jul25'!AL163)</f>
        <v/>
      </c>
      <c r="AM163" t="str">
        <f>IF('1. Live'!AM163='check-Jul25'!AM163,"",'1. Live'!AM163-'check-Jul25'!AM163)</f>
        <v/>
      </c>
      <c r="AN163" t="str">
        <f>IF('1. Live'!AN163='check-Jul25'!AN163,"",'1. Live'!AN163-'check-Jul25'!AN163)</f>
        <v/>
      </c>
      <c r="AO163" t="str">
        <f>IF('1. Live'!AO163='check-Jul25'!AO163,"",'1. Live'!AO163-'check-Jul25'!AO163)</f>
        <v/>
      </c>
      <c r="AP163" t="str">
        <f>IF('1. Live'!AP163='check-Jul25'!AP163,"",'1. Live'!AP163-'check-Jul25'!AP163)</f>
        <v/>
      </c>
      <c r="AQ163" t="str">
        <f>IF('1. Live'!AQ163='check-Jul25'!AQ163,"",'1. Live'!AQ163-'check-Jul25'!AQ163)</f>
        <v/>
      </c>
      <c r="AR163" t="str">
        <f>IF('1. Live'!AR163='check-Jul25'!AR163,"",'1. Live'!AR163-'check-Jul25'!AR163)</f>
        <v/>
      </c>
      <c r="AS163" t="str">
        <f>IF('1. Live'!AS163='check-Jul25'!AS163,"",'1. Live'!AS163-'check-Jul25'!AS163)</f>
        <v/>
      </c>
      <c r="AT163" t="str">
        <f>IF('1. Live'!AT163='check-Jul25'!AT163,"",'1. Live'!AT163-'check-Jul25'!AT163)</f>
        <v/>
      </c>
      <c r="AU163" t="str">
        <f>IF('1. Live'!AU163='check-Jul25'!AU163,"",'1. Live'!AU163-'check-Jul25'!AU163)</f>
        <v/>
      </c>
      <c r="AV163" t="str">
        <f>IF('1. Live'!AV163='check-Jul25'!AV163,"",'1. Live'!AV163-'check-Jul25'!AV163)</f>
        <v/>
      </c>
      <c r="AW163" t="str">
        <f>IF('1. Live'!AW163='check-Jul25'!AW163,"",'1. Live'!AW163-'check-Jul25'!AW163)</f>
        <v/>
      </c>
      <c r="AX163" t="str">
        <f>IF('1. Live'!AX163='check-Jul25'!AX163,"",'1. Live'!AX163-'check-Jul25'!AX163)</f>
        <v/>
      </c>
      <c r="AY163" t="str">
        <f>IF('1. Live'!AY163='check-Jul25'!AY163,"",'1. Live'!AY163-'check-Jul25'!AY163)</f>
        <v/>
      </c>
      <c r="AZ163" t="str">
        <f>IF('1. Live'!AZ163='check-Jul25'!AZ163,"",'1. Live'!AZ163-'check-Jul25'!AZ163)</f>
        <v/>
      </c>
      <c r="BA163" t="str">
        <f>IF('1. Live'!BA163='check-Jul25'!BA163,"",'1. Live'!BA163-'check-Jul25'!BA163)</f>
        <v/>
      </c>
      <c r="BB163" t="str">
        <f>IF('1. Live'!BB163='check-Jul25'!BB163,"",'1. Live'!BB163-'check-Jul25'!BB163)</f>
        <v/>
      </c>
      <c r="BC163" t="str">
        <f>IF('1. Live'!BC163='check-Jul25'!BC163,"",'1. Live'!BC163-'check-Jul25'!BC163)</f>
        <v/>
      </c>
      <c r="BD163" t="str">
        <f>IF('1. Live'!BD163='check-Jul25'!BD163,"",'1. Live'!BD163-'check-Jul25'!BD163)</f>
        <v/>
      </c>
      <c r="BE163" t="str">
        <f>IF('1. Live'!BE163='check-Jul25'!BE163,"",'1. Live'!BE163-'check-Jul25'!BE163)</f>
        <v/>
      </c>
      <c r="BF163" t="str">
        <f>IF('1. Live'!BF163='check-Jul25'!BF163,"",'1. Live'!BF163-'check-Jul25'!BF163)</f>
        <v/>
      </c>
      <c r="BG163" t="str">
        <f>IF('1. Live'!BG163='check-Jul25'!BG163,"",'1. Live'!BG163-'check-Jul25'!BG163)</f>
        <v/>
      </c>
      <c r="BH163" t="str">
        <f>IF('1. Live'!BH163='check-Jul25'!BH163,"",'1. Live'!BH163-'check-Jul25'!BH163)</f>
        <v/>
      </c>
      <c r="BI163" t="str">
        <f>IF('1. Live'!BI163='check-Jul25'!BI163,"",'1. Live'!BI163-'check-Jul25'!BI163)</f>
        <v/>
      </c>
      <c r="BJ163" t="str">
        <f>IF('1. Live'!BJ163='check-Jul25'!BJ163,"",'1. Live'!BJ163-'check-Jul25'!BJ163)</f>
        <v/>
      </c>
      <c r="BK163" t="str">
        <f>IF('1. Live'!BK163='check-Jul25'!BK163,"",'1. Live'!BK163-'check-Jul25'!BK163)</f>
        <v/>
      </c>
      <c r="BL163" t="str">
        <f>IF('1. Live'!BL163='check-Jul25'!BL163,"",'1. Live'!BL163-'check-Jul25'!BL163)</f>
        <v/>
      </c>
      <c r="BM163" t="str">
        <f>IF('1. Live'!BM163='check-Jul25'!BM163,"",'1. Live'!BM163-'check-Jul25'!BM163)</f>
        <v/>
      </c>
      <c r="BN163" t="str">
        <f>IF('1. Live'!BN163='check-Jul25'!BN163,"",'1. Live'!BN163-'check-Jul25'!BN163)</f>
        <v/>
      </c>
      <c r="BO163" t="str">
        <f>IF('1. Live'!BO163='check-Jul25'!BO163,"",'1. Live'!BO163-'check-Jul25'!BO163)</f>
        <v/>
      </c>
      <c r="BP163" t="str">
        <f>IF('1. Live'!BP163='check-Jul25'!BP163,"",'1. Live'!BP163-'check-Jul25'!BP163)</f>
        <v/>
      </c>
      <c r="BQ163" t="str">
        <f>IF('1. Live'!BQ163='check-Jul25'!BQ163,"",'1. Live'!BQ163-'check-Jul25'!BQ163)</f>
        <v/>
      </c>
      <c r="BR163" t="str">
        <f>IF('1. Live'!BR163='check-Jul25'!BR163,"",'1. Live'!BR163-'check-Jul25'!BR163)</f>
        <v/>
      </c>
      <c r="BS163" t="str">
        <f>IF('1. Live'!BS163='check-Jul25'!BS163,"",'1. Live'!BS163-'check-Jul25'!BS163)</f>
        <v/>
      </c>
      <c r="BT163" t="str">
        <f>IF('1. Live'!BT163='check-Jul25'!BT163,"",'1. Live'!BT163-'check-Jul25'!BT163)</f>
        <v/>
      </c>
      <c r="BU163" t="str">
        <f>IF('1. Live'!BU163='check-Jul25'!BU163,"",'1. Live'!BU163-'check-Jul25'!BU163)</f>
        <v/>
      </c>
      <c r="BV163" t="str">
        <f>IF('1. Live'!BV163='check-Jul25'!BV163,"",'1. Live'!BV163-'check-Jul25'!BV163)</f>
        <v/>
      </c>
      <c r="BW163" t="str">
        <f>IF('1. Live'!BW163='check-Jul25'!BW163,"",'1. Live'!BW163-'check-Jul25'!BW163)</f>
        <v/>
      </c>
      <c r="BX163" t="str">
        <f>IF('1. Live'!BX163='check-Jul25'!BX163,"",'1. Live'!BX163-'check-Jul25'!BX163)</f>
        <v/>
      </c>
      <c r="BY163" t="str">
        <f>IF('1. Live'!BY163='check-Jul25'!BY163,"",'1. Live'!BY163-'check-Jul25'!BY163)</f>
        <v/>
      </c>
      <c r="BZ163" t="str">
        <f>IF('1. Live'!BZ163='check-Jul25'!BZ163,"",'1. Live'!BZ163-'check-Jul25'!BZ163)</f>
        <v/>
      </c>
      <c r="CA163" t="str">
        <f>IF('1. Live'!CA163='check-Jul25'!CA163,"",'1. Live'!CA163-'check-Jul25'!CA163)</f>
        <v/>
      </c>
      <c r="CB163" t="str">
        <f>IF('1. Live'!CB163='check-Jul25'!CB163,"",'1. Live'!CB163-'check-Jul25'!CB163)</f>
        <v/>
      </c>
      <c r="CC163" t="str">
        <f>IF('1. Live'!CC163='check-Jul25'!CC163,"",'1. Live'!CC163-'check-Jul25'!CC163)</f>
        <v/>
      </c>
      <c r="CD163" t="str">
        <f>IF('1. Live'!CD163='check-Jul25'!CD163,"",'1. Live'!CD163-'check-Jul25'!CD163)</f>
        <v/>
      </c>
      <c r="CE163" t="str">
        <f>IF('1. Live'!CE163='check-Jul25'!CE163,"",'1. Live'!CE163-'check-Jul25'!CE163)</f>
        <v/>
      </c>
      <c r="CF163" t="str">
        <f>IF('1. Live'!CF163='check-Jul25'!CF163,"",'1. Live'!CF163-'check-Jul25'!CF163)</f>
        <v/>
      </c>
      <c r="CG163" t="str">
        <f>IF('1. Live'!CG163='check-Jul25'!CG163,"",'1. Live'!CG163-'check-Jul25'!CG163)</f>
        <v/>
      </c>
      <c r="CH163" t="str">
        <f>IF('1. Live'!CH163='check-Jul25'!CH163,"",'1. Live'!CH163-'check-Jul25'!CH163)</f>
        <v/>
      </c>
      <c r="CI163" t="str">
        <f>IF('1. Live'!CI163='check-Jul25'!CI163,"",'1. Live'!CI163-'check-Jul25'!CI163)</f>
        <v/>
      </c>
      <c r="CJ163" t="str">
        <f>IF('1. Live'!CJ163='check-Jul25'!CJ163,"",'1. Live'!CJ163-'check-Jul25'!CJ163)</f>
        <v/>
      </c>
      <c r="CK163" t="str">
        <f>IF('1. Live'!CK163='check-Jul25'!CK163,"",'1. Live'!CK163-'check-Jul25'!CK163)</f>
        <v/>
      </c>
      <c r="CL163" t="str">
        <f>IF('1. Live'!CL163='check-Jul25'!CL163,"",'1. Live'!CL163-'check-Jul25'!CL163)</f>
        <v/>
      </c>
      <c r="CM163" t="str">
        <f>IF('1. Live'!CM163='check-Jul25'!CM163,"",'1. Live'!CM163-'check-Jul25'!CM163)</f>
        <v/>
      </c>
      <c r="CN163" t="str">
        <f>IF('1. Live'!CN163='check-Jul25'!CN163,"",'1. Live'!CN163-'check-Jul25'!CN163)</f>
        <v/>
      </c>
      <c r="CO163" t="str">
        <f>IF('1. Live'!CO163='check-Jul25'!CO163,"",'1. Live'!CO163-'check-Jul25'!CO163)</f>
        <v/>
      </c>
      <c r="CP163" t="str">
        <f>IF('1. Live'!CP163='check-Jul25'!CP163,"",'1. Live'!CP163-'check-Jul25'!CP163)</f>
        <v/>
      </c>
      <c r="CQ163" t="str">
        <f>IF('1. Live'!CQ163='check-Jul25'!CQ163,"",'1. Live'!CQ163-'check-Jul25'!CQ163)</f>
        <v/>
      </c>
      <c r="CR163" t="str">
        <f>IF('1. Live'!CR163='check-Jul25'!CR163,"",'1. Live'!CR163-'check-Jul25'!CR163)</f>
        <v/>
      </c>
      <c r="CS163" t="str">
        <f>IF('1. Live'!CS163='check-Jul25'!CS163,"",'1. Live'!CS163-'check-Jul25'!CS163)</f>
        <v/>
      </c>
      <c r="CT163" t="str">
        <f>IF('1. Live'!CT163='check-Jul25'!CT163,"",'1. Live'!CT163-'check-Jul25'!CT163)</f>
        <v/>
      </c>
      <c r="CU163" t="str">
        <f>IF('1. Live'!CU163='check-Jul25'!CU163,"",'1. Live'!CU163-'check-Jul25'!CU163)</f>
        <v/>
      </c>
      <c r="CV163" t="str">
        <f>IF('1. Live'!CV163='check-Jul25'!CV163,"",'1. Live'!CV163-'check-Jul25'!CV163)</f>
        <v/>
      </c>
      <c r="CW163" t="str">
        <f>IF('1. Live'!CW163='check-Jul25'!CW163,"",'1. Live'!CW163-'check-Jul25'!CW163)</f>
        <v/>
      </c>
    </row>
    <row r="164" spans="10:101">
      <c r="J164" t="str">
        <f>IF('1. Live'!J164='check-Jul25'!J164,"",'1. Live'!J164-'check-Jul25'!J164)</f>
        <v/>
      </c>
      <c r="K164" t="str">
        <f>IF('1. Live'!K164='check-Jul25'!K164,"",'1. Live'!K164-'check-Jul25'!K164)</f>
        <v/>
      </c>
      <c r="L164" t="str">
        <f>IF('1. Live'!L164='check-Jul25'!L164,"",'1. Live'!L164-'check-Jul25'!L164)</f>
        <v/>
      </c>
      <c r="M164" t="str">
        <f>IF('1. Live'!M164='check-Jul25'!M164,"",'1. Live'!M164-'check-Jul25'!M164)</f>
        <v/>
      </c>
      <c r="N164" t="str">
        <f>IF('1. Live'!N164='check-Jul25'!N164,"",'1. Live'!N164-'check-Jul25'!N164)</f>
        <v/>
      </c>
      <c r="O164" t="str">
        <f>IF('1. Live'!O164='check-Jul25'!O164,"",'1. Live'!O164-'check-Jul25'!O164)</f>
        <v/>
      </c>
      <c r="P164" t="str">
        <f>IF('1. Live'!P164='check-Jul25'!P164,"",'1. Live'!P164-'check-Jul25'!P164)</f>
        <v/>
      </c>
      <c r="Q164" t="str">
        <f>IF('1. Live'!Q164='check-Jul25'!Q164,"",'1. Live'!Q164-'check-Jul25'!Q164)</f>
        <v/>
      </c>
      <c r="R164" t="str">
        <f>IF('1. Live'!R164='check-Jul25'!R164,"",'1. Live'!R164-'check-Jul25'!R164)</f>
        <v/>
      </c>
      <c r="S164" t="str">
        <f>IF('1. Live'!S164='check-Jul25'!S164,"",'1. Live'!S164-'check-Jul25'!S164)</f>
        <v/>
      </c>
      <c r="T164" t="str">
        <f>IF('1. Live'!T164='check-Jul25'!T164,"",'1. Live'!T164-'check-Jul25'!T164)</f>
        <v/>
      </c>
      <c r="U164" t="str">
        <f>IF('1. Live'!U164='check-Jul25'!U164,"",'1. Live'!U164-'check-Jul25'!U164)</f>
        <v/>
      </c>
      <c r="V164" t="str">
        <f>IF('1. Live'!V164='check-Jul25'!V164,"",'1. Live'!V164-'check-Jul25'!V164)</f>
        <v/>
      </c>
      <c r="W164" t="str">
        <f>IF('1. Live'!W164='check-Jul25'!W164,"",'1. Live'!W164-'check-Jul25'!W164)</f>
        <v/>
      </c>
      <c r="X164" t="str">
        <f>IF('1. Live'!X164='check-Jul25'!X164,"",'1. Live'!X164-'check-Jul25'!X164)</f>
        <v/>
      </c>
      <c r="Y164" t="str">
        <f>IF('1. Live'!Y164='check-Jul25'!Y164,"",'1. Live'!Y164-'check-Jul25'!Y164)</f>
        <v/>
      </c>
      <c r="Z164" t="str">
        <f>IF('1. Live'!Z164='check-Jul25'!Z164,"",'1. Live'!Z164-'check-Jul25'!Z164)</f>
        <v/>
      </c>
      <c r="AA164" t="str">
        <f>IF('1. Live'!AA164='check-Jul25'!AA164,"",'1. Live'!AA164-'check-Jul25'!AA164)</f>
        <v/>
      </c>
      <c r="AB164" t="str">
        <f>IF('1. Live'!AB164='check-Jul25'!AB164,"",'1. Live'!AB164-'check-Jul25'!AB164)</f>
        <v/>
      </c>
      <c r="AC164" t="str">
        <f>IF('1. Live'!AC164='check-Jul25'!AC164,"",'1. Live'!AC164-'check-Jul25'!AC164)</f>
        <v/>
      </c>
      <c r="AD164" t="str">
        <f>IF('1. Live'!AD164='check-Jul25'!AD164,"",'1. Live'!AD164-'check-Jul25'!AD164)</f>
        <v/>
      </c>
      <c r="AE164" t="str">
        <f>IF('1. Live'!AE164='check-Jul25'!AE164,"",'1. Live'!AE164-'check-Jul25'!AE164)</f>
        <v/>
      </c>
      <c r="AF164" t="str">
        <f>IF('1. Live'!AF164='check-Jul25'!AF164,"",'1. Live'!AF164-'check-Jul25'!AF164)</f>
        <v/>
      </c>
      <c r="AG164" t="str">
        <f>IF('1. Live'!AG164='check-Jul25'!AG164,"",'1. Live'!AG164-'check-Jul25'!AG164)</f>
        <v/>
      </c>
      <c r="AH164" t="str">
        <f>IF('1. Live'!AH164='check-Jul25'!AH164,"",'1. Live'!AH164-'check-Jul25'!AH164)</f>
        <v/>
      </c>
      <c r="AI164" t="str">
        <f>IF('1. Live'!AI164='check-Jul25'!AI164,"",'1. Live'!AI164-'check-Jul25'!AI164)</f>
        <v/>
      </c>
      <c r="AJ164" t="str">
        <f>IF('1. Live'!AJ164='check-Jul25'!AJ164,"",'1. Live'!AJ164-'check-Jul25'!AJ164)</f>
        <v/>
      </c>
      <c r="AK164" t="str">
        <f>IF('1. Live'!AK164='check-Jul25'!AK164,"",'1. Live'!AK164-'check-Jul25'!AK164)</f>
        <v/>
      </c>
      <c r="AL164" t="str">
        <f>IF('1. Live'!AL164='check-Jul25'!AL164,"",'1. Live'!AL164-'check-Jul25'!AL164)</f>
        <v/>
      </c>
      <c r="AM164" t="str">
        <f>IF('1. Live'!AM164='check-Jul25'!AM164,"",'1. Live'!AM164-'check-Jul25'!AM164)</f>
        <v/>
      </c>
      <c r="AN164" t="str">
        <f>IF('1. Live'!AN164='check-Jul25'!AN164,"",'1. Live'!AN164-'check-Jul25'!AN164)</f>
        <v/>
      </c>
      <c r="AO164" t="str">
        <f>IF('1. Live'!AO164='check-Jul25'!AO164,"",'1. Live'!AO164-'check-Jul25'!AO164)</f>
        <v/>
      </c>
      <c r="AP164" t="str">
        <f>IF('1. Live'!AP164='check-Jul25'!AP164,"",'1. Live'!AP164-'check-Jul25'!AP164)</f>
        <v/>
      </c>
      <c r="AQ164" t="str">
        <f>IF('1. Live'!AQ164='check-Jul25'!AQ164,"",'1. Live'!AQ164-'check-Jul25'!AQ164)</f>
        <v/>
      </c>
      <c r="AR164" t="str">
        <f>IF('1. Live'!AR164='check-Jul25'!AR164,"",'1. Live'!AR164-'check-Jul25'!AR164)</f>
        <v/>
      </c>
      <c r="AS164" t="str">
        <f>IF('1. Live'!AS164='check-Jul25'!AS164,"",'1. Live'!AS164-'check-Jul25'!AS164)</f>
        <v/>
      </c>
      <c r="AT164" t="str">
        <f>IF('1. Live'!AT164='check-Jul25'!AT164,"",'1. Live'!AT164-'check-Jul25'!AT164)</f>
        <v/>
      </c>
      <c r="AU164" t="str">
        <f>IF('1. Live'!AU164='check-Jul25'!AU164,"",'1. Live'!AU164-'check-Jul25'!AU164)</f>
        <v/>
      </c>
      <c r="AV164" t="str">
        <f>IF('1. Live'!AV164='check-Jul25'!AV164,"",'1. Live'!AV164-'check-Jul25'!AV164)</f>
        <v/>
      </c>
      <c r="AW164" t="str">
        <f>IF('1. Live'!AW164='check-Jul25'!AW164,"",'1. Live'!AW164-'check-Jul25'!AW164)</f>
        <v/>
      </c>
      <c r="AX164" t="str">
        <f>IF('1. Live'!AX164='check-Jul25'!AX164,"",'1. Live'!AX164-'check-Jul25'!AX164)</f>
        <v/>
      </c>
      <c r="AY164" t="str">
        <f>IF('1. Live'!AY164='check-Jul25'!AY164,"",'1. Live'!AY164-'check-Jul25'!AY164)</f>
        <v/>
      </c>
      <c r="AZ164" t="str">
        <f>IF('1. Live'!AZ164='check-Jul25'!AZ164,"",'1. Live'!AZ164-'check-Jul25'!AZ164)</f>
        <v/>
      </c>
      <c r="BA164" t="str">
        <f>IF('1. Live'!BA164='check-Jul25'!BA164,"",'1. Live'!BA164-'check-Jul25'!BA164)</f>
        <v/>
      </c>
      <c r="BB164" t="str">
        <f>IF('1. Live'!BB164='check-Jul25'!BB164,"",'1. Live'!BB164-'check-Jul25'!BB164)</f>
        <v/>
      </c>
      <c r="BC164" t="str">
        <f>IF('1. Live'!BC164='check-Jul25'!BC164,"",'1. Live'!BC164-'check-Jul25'!BC164)</f>
        <v/>
      </c>
      <c r="BD164" t="str">
        <f>IF('1. Live'!BD164='check-Jul25'!BD164,"",'1. Live'!BD164-'check-Jul25'!BD164)</f>
        <v/>
      </c>
      <c r="BE164" t="str">
        <f>IF('1. Live'!BE164='check-Jul25'!BE164,"",'1. Live'!BE164-'check-Jul25'!BE164)</f>
        <v/>
      </c>
      <c r="BF164" t="str">
        <f>IF('1. Live'!BF164='check-Jul25'!BF164,"",'1. Live'!BF164-'check-Jul25'!BF164)</f>
        <v/>
      </c>
      <c r="BG164" t="str">
        <f>IF('1. Live'!BG164='check-Jul25'!BG164,"",'1. Live'!BG164-'check-Jul25'!BG164)</f>
        <v/>
      </c>
      <c r="BH164" t="str">
        <f>IF('1. Live'!BH164='check-Jul25'!BH164,"",'1. Live'!BH164-'check-Jul25'!BH164)</f>
        <v/>
      </c>
      <c r="BI164" t="str">
        <f>IF('1. Live'!BI164='check-Jul25'!BI164,"",'1. Live'!BI164-'check-Jul25'!BI164)</f>
        <v/>
      </c>
      <c r="BJ164" t="str">
        <f>IF('1. Live'!BJ164='check-Jul25'!BJ164,"",'1. Live'!BJ164-'check-Jul25'!BJ164)</f>
        <v/>
      </c>
      <c r="BK164" t="str">
        <f>IF('1. Live'!BK164='check-Jul25'!BK164,"",'1. Live'!BK164-'check-Jul25'!BK164)</f>
        <v/>
      </c>
      <c r="BL164" t="str">
        <f>IF('1. Live'!BL164='check-Jul25'!BL164,"",'1. Live'!BL164-'check-Jul25'!BL164)</f>
        <v/>
      </c>
      <c r="BM164" t="str">
        <f>IF('1. Live'!BM164='check-Jul25'!BM164,"",'1. Live'!BM164-'check-Jul25'!BM164)</f>
        <v/>
      </c>
      <c r="BN164" t="str">
        <f>IF('1. Live'!BN164='check-Jul25'!BN164,"",'1. Live'!BN164-'check-Jul25'!BN164)</f>
        <v/>
      </c>
      <c r="BO164" t="str">
        <f>IF('1. Live'!BO164='check-Jul25'!BO164,"",'1. Live'!BO164-'check-Jul25'!BO164)</f>
        <v/>
      </c>
      <c r="BP164" t="str">
        <f>IF('1. Live'!BP164='check-Jul25'!BP164,"",'1. Live'!BP164-'check-Jul25'!BP164)</f>
        <v/>
      </c>
      <c r="BQ164" t="str">
        <f>IF('1. Live'!BQ164='check-Jul25'!BQ164,"",'1. Live'!BQ164-'check-Jul25'!BQ164)</f>
        <v/>
      </c>
      <c r="BR164" t="str">
        <f>IF('1. Live'!BR164='check-Jul25'!BR164,"",'1. Live'!BR164-'check-Jul25'!BR164)</f>
        <v/>
      </c>
      <c r="BS164" t="str">
        <f>IF('1. Live'!BS164='check-Jul25'!BS164,"",'1. Live'!BS164-'check-Jul25'!BS164)</f>
        <v/>
      </c>
      <c r="BT164" t="str">
        <f>IF('1. Live'!BT164='check-Jul25'!BT164,"",'1. Live'!BT164-'check-Jul25'!BT164)</f>
        <v/>
      </c>
      <c r="BU164" t="str">
        <f>IF('1. Live'!BU164='check-Jul25'!BU164,"",'1. Live'!BU164-'check-Jul25'!BU164)</f>
        <v/>
      </c>
      <c r="BV164" t="str">
        <f>IF('1. Live'!BV164='check-Jul25'!BV164,"",'1. Live'!BV164-'check-Jul25'!BV164)</f>
        <v/>
      </c>
      <c r="BW164" t="str">
        <f>IF('1. Live'!BW164='check-Jul25'!BW164,"",'1. Live'!BW164-'check-Jul25'!BW164)</f>
        <v/>
      </c>
      <c r="BX164" t="str">
        <f>IF('1. Live'!BX164='check-Jul25'!BX164,"",'1. Live'!BX164-'check-Jul25'!BX164)</f>
        <v/>
      </c>
      <c r="BY164" t="str">
        <f>IF('1. Live'!BY164='check-Jul25'!BY164,"",'1. Live'!BY164-'check-Jul25'!BY164)</f>
        <v/>
      </c>
      <c r="BZ164" t="str">
        <f>IF('1. Live'!BZ164='check-Jul25'!BZ164,"",'1. Live'!BZ164-'check-Jul25'!BZ164)</f>
        <v/>
      </c>
      <c r="CA164" t="str">
        <f>IF('1. Live'!CA164='check-Jul25'!CA164,"",'1. Live'!CA164-'check-Jul25'!CA164)</f>
        <v/>
      </c>
      <c r="CB164" t="str">
        <f>IF('1. Live'!CB164='check-Jul25'!CB164,"",'1. Live'!CB164-'check-Jul25'!CB164)</f>
        <v/>
      </c>
      <c r="CC164" t="str">
        <f>IF('1. Live'!CC164='check-Jul25'!CC164,"",'1. Live'!CC164-'check-Jul25'!CC164)</f>
        <v/>
      </c>
      <c r="CD164" t="str">
        <f>IF('1. Live'!CD164='check-Jul25'!CD164,"",'1. Live'!CD164-'check-Jul25'!CD164)</f>
        <v/>
      </c>
      <c r="CE164" t="str">
        <f>IF('1. Live'!CE164='check-Jul25'!CE164,"",'1. Live'!CE164-'check-Jul25'!CE164)</f>
        <v/>
      </c>
      <c r="CF164" t="str">
        <f>IF('1. Live'!CF164='check-Jul25'!CF164,"",'1. Live'!CF164-'check-Jul25'!CF164)</f>
        <v/>
      </c>
      <c r="CG164" t="str">
        <f>IF('1. Live'!CG164='check-Jul25'!CG164,"",'1. Live'!CG164-'check-Jul25'!CG164)</f>
        <v/>
      </c>
      <c r="CH164" t="str">
        <f>IF('1. Live'!CH164='check-Jul25'!CH164,"",'1. Live'!CH164-'check-Jul25'!CH164)</f>
        <v/>
      </c>
      <c r="CI164" t="str">
        <f>IF('1. Live'!CI164='check-Jul25'!CI164,"",'1. Live'!CI164-'check-Jul25'!CI164)</f>
        <v/>
      </c>
      <c r="CJ164" t="str">
        <f>IF('1. Live'!CJ164='check-Jul25'!CJ164,"",'1. Live'!CJ164-'check-Jul25'!CJ164)</f>
        <v/>
      </c>
      <c r="CK164" t="str">
        <f>IF('1. Live'!CK164='check-Jul25'!CK164,"",'1. Live'!CK164-'check-Jul25'!CK164)</f>
        <v/>
      </c>
      <c r="CL164" t="str">
        <f>IF('1. Live'!CL164='check-Jul25'!CL164,"",'1. Live'!CL164-'check-Jul25'!CL164)</f>
        <v/>
      </c>
      <c r="CM164" t="str">
        <f>IF('1. Live'!CM164='check-Jul25'!CM164,"",'1. Live'!CM164-'check-Jul25'!CM164)</f>
        <v/>
      </c>
      <c r="CN164" t="str">
        <f>IF('1. Live'!CN164='check-Jul25'!CN164,"",'1. Live'!CN164-'check-Jul25'!CN164)</f>
        <v/>
      </c>
      <c r="CO164" t="str">
        <f>IF('1. Live'!CO164='check-Jul25'!CO164,"",'1. Live'!CO164-'check-Jul25'!CO164)</f>
        <v/>
      </c>
      <c r="CP164" t="str">
        <f>IF('1. Live'!CP164='check-Jul25'!CP164,"",'1. Live'!CP164-'check-Jul25'!CP164)</f>
        <v/>
      </c>
      <c r="CQ164" t="str">
        <f>IF('1. Live'!CQ164='check-Jul25'!CQ164,"",'1. Live'!CQ164-'check-Jul25'!CQ164)</f>
        <v/>
      </c>
      <c r="CR164" t="str">
        <f>IF('1. Live'!CR164='check-Jul25'!CR164,"",'1. Live'!CR164-'check-Jul25'!CR164)</f>
        <v/>
      </c>
      <c r="CS164" t="str">
        <f>IF('1. Live'!CS164='check-Jul25'!CS164,"",'1. Live'!CS164-'check-Jul25'!CS164)</f>
        <v/>
      </c>
      <c r="CT164" t="str">
        <f>IF('1. Live'!CT164='check-Jul25'!CT164,"",'1. Live'!CT164-'check-Jul25'!CT164)</f>
        <v/>
      </c>
      <c r="CU164" t="str">
        <f>IF('1. Live'!CU164='check-Jul25'!CU164,"",'1. Live'!CU164-'check-Jul25'!CU164)</f>
        <v/>
      </c>
      <c r="CV164" t="str">
        <f>IF('1. Live'!CV164='check-Jul25'!CV164,"",'1. Live'!CV164-'check-Jul25'!CV164)</f>
        <v/>
      </c>
      <c r="CW164" t="str">
        <f>IF('1. Live'!CW164='check-Jul25'!CW164,"",'1. Live'!CW164-'check-Jul25'!CW164)</f>
        <v/>
      </c>
    </row>
    <row r="165" spans="10:101">
      <c r="J165" t="str">
        <f>IF('1. Live'!J165='check-Jul25'!J165,"",'1. Live'!J165-'check-Jul25'!J165)</f>
        <v/>
      </c>
      <c r="K165" t="str">
        <f>IF('1. Live'!K165='check-Jul25'!K165,"",'1. Live'!K165-'check-Jul25'!K165)</f>
        <v/>
      </c>
      <c r="L165" t="str">
        <f>IF('1. Live'!L165='check-Jul25'!L165,"",'1. Live'!L165-'check-Jul25'!L165)</f>
        <v/>
      </c>
      <c r="M165" t="str">
        <f>IF('1. Live'!M165='check-Jul25'!M165,"",'1. Live'!M165-'check-Jul25'!M165)</f>
        <v/>
      </c>
      <c r="N165" t="str">
        <f>IF('1. Live'!N165='check-Jul25'!N165,"",'1. Live'!N165-'check-Jul25'!N165)</f>
        <v/>
      </c>
      <c r="O165" t="str">
        <f>IF('1. Live'!O165='check-Jul25'!O165,"",'1. Live'!O165-'check-Jul25'!O165)</f>
        <v/>
      </c>
      <c r="P165" t="str">
        <f>IF('1. Live'!P165='check-Jul25'!P165,"",'1. Live'!P165-'check-Jul25'!P165)</f>
        <v/>
      </c>
      <c r="Q165" t="str">
        <f>IF('1. Live'!Q165='check-Jul25'!Q165,"",'1. Live'!Q165-'check-Jul25'!Q165)</f>
        <v/>
      </c>
      <c r="R165" t="str">
        <f>IF('1. Live'!R165='check-Jul25'!R165,"",'1. Live'!R165-'check-Jul25'!R165)</f>
        <v/>
      </c>
      <c r="S165" t="str">
        <f>IF('1. Live'!S165='check-Jul25'!S165,"",'1. Live'!S165-'check-Jul25'!S165)</f>
        <v/>
      </c>
      <c r="T165" t="str">
        <f>IF('1. Live'!T165='check-Jul25'!T165,"",'1. Live'!T165-'check-Jul25'!T165)</f>
        <v/>
      </c>
      <c r="U165" t="str">
        <f>IF('1. Live'!U165='check-Jul25'!U165,"",'1. Live'!U165-'check-Jul25'!U165)</f>
        <v/>
      </c>
      <c r="V165" t="str">
        <f>IF('1. Live'!V165='check-Jul25'!V165,"",'1. Live'!V165-'check-Jul25'!V165)</f>
        <v/>
      </c>
      <c r="W165" t="str">
        <f>IF('1. Live'!W165='check-Jul25'!W165,"",'1. Live'!W165-'check-Jul25'!W165)</f>
        <v/>
      </c>
      <c r="X165" t="str">
        <f>IF('1. Live'!X165='check-Jul25'!X165,"",'1. Live'!X165-'check-Jul25'!X165)</f>
        <v/>
      </c>
      <c r="Y165" t="str">
        <f>IF('1. Live'!Y165='check-Jul25'!Y165,"",'1. Live'!Y165-'check-Jul25'!Y165)</f>
        <v/>
      </c>
      <c r="Z165" t="str">
        <f>IF('1. Live'!Z165='check-Jul25'!Z165,"",'1. Live'!Z165-'check-Jul25'!Z165)</f>
        <v/>
      </c>
      <c r="AA165" t="str">
        <f>IF('1. Live'!AA165='check-Jul25'!AA165,"",'1. Live'!AA165-'check-Jul25'!AA165)</f>
        <v/>
      </c>
      <c r="AB165" t="str">
        <f>IF('1. Live'!AB165='check-Jul25'!AB165,"",'1. Live'!AB165-'check-Jul25'!AB165)</f>
        <v/>
      </c>
      <c r="AC165" t="str">
        <f>IF('1. Live'!AC165='check-Jul25'!AC165,"",'1. Live'!AC165-'check-Jul25'!AC165)</f>
        <v/>
      </c>
      <c r="AD165" t="str">
        <f>IF('1. Live'!AD165='check-Jul25'!AD165,"",'1. Live'!AD165-'check-Jul25'!AD165)</f>
        <v/>
      </c>
      <c r="AE165" t="str">
        <f>IF('1. Live'!AE165='check-Jul25'!AE165,"",'1. Live'!AE165-'check-Jul25'!AE165)</f>
        <v/>
      </c>
      <c r="AF165" t="str">
        <f>IF('1. Live'!AF165='check-Jul25'!AF165,"",'1. Live'!AF165-'check-Jul25'!AF165)</f>
        <v/>
      </c>
      <c r="AG165" t="str">
        <f>IF('1. Live'!AG165='check-Jul25'!AG165,"",'1. Live'!AG165-'check-Jul25'!AG165)</f>
        <v/>
      </c>
      <c r="AH165" t="str">
        <f>IF('1. Live'!AH165='check-Jul25'!AH165,"",'1. Live'!AH165-'check-Jul25'!AH165)</f>
        <v/>
      </c>
      <c r="AI165" t="str">
        <f>IF('1. Live'!AI165='check-Jul25'!AI165,"",'1. Live'!AI165-'check-Jul25'!AI165)</f>
        <v/>
      </c>
      <c r="AJ165" t="str">
        <f>IF('1. Live'!AJ165='check-Jul25'!AJ165,"",'1. Live'!AJ165-'check-Jul25'!AJ165)</f>
        <v/>
      </c>
      <c r="AK165" t="str">
        <f>IF('1. Live'!AK165='check-Jul25'!AK165,"",'1. Live'!AK165-'check-Jul25'!AK165)</f>
        <v/>
      </c>
      <c r="AL165" t="str">
        <f>IF('1. Live'!AL165='check-Jul25'!AL165,"",'1. Live'!AL165-'check-Jul25'!AL165)</f>
        <v/>
      </c>
      <c r="AM165" t="str">
        <f>IF('1. Live'!AM165='check-Jul25'!AM165,"",'1. Live'!AM165-'check-Jul25'!AM165)</f>
        <v/>
      </c>
      <c r="AN165" t="str">
        <f>IF('1. Live'!AN165='check-Jul25'!AN165,"",'1. Live'!AN165-'check-Jul25'!AN165)</f>
        <v/>
      </c>
      <c r="AO165" t="str">
        <f>IF('1. Live'!AO165='check-Jul25'!AO165,"",'1. Live'!AO165-'check-Jul25'!AO165)</f>
        <v/>
      </c>
      <c r="AP165" t="str">
        <f>IF('1. Live'!AP165='check-Jul25'!AP165,"",'1. Live'!AP165-'check-Jul25'!AP165)</f>
        <v/>
      </c>
      <c r="AQ165" t="str">
        <f>IF('1. Live'!AQ165='check-Jul25'!AQ165,"",'1. Live'!AQ165-'check-Jul25'!AQ165)</f>
        <v/>
      </c>
      <c r="AR165" t="str">
        <f>IF('1. Live'!AR165='check-Jul25'!AR165,"",'1. Live'!AR165-'check-Jul25'!AR165)</f>
        <v/>
      </c>
      <c r="AS165" t="str">
        <f>IF('1. Live'!AS165='check-Jul25'!AS165,"",'1. Live'!AS165-'check-Jul25'!AS165)</f>
        <v/>
      </c>
      <c r="AT165" t="str">
        <f>IF('1. Live'!AT165='check-Jul25'!AT165,"",'1. Live'!AT165-'check-Jul25'!AT165)</f>
        <v/>
      </c>
      <c r="AU165" t="str">
        <f>IF('1. Live'!AU165='check-Jul25'!AU165,"",'1. Live'!AU165-'check-Jul25'!AU165)</f>
        <v/>
      </c>
      <c r="AV165" t="str">
        <f>IF('1. Live'!AV165='check-Jul25'!AV165,"",'1. Live'!AV165-'check-Jul25'!AV165)</f>
        <v/>
      </c>
      <c r="AW165" t="str">
        <f>IF('1. Live'!AW165='check-Jul25'!AW165,"",'1. Live'!AW165-'check-Jul25'!AW165)</f>
        <v/>
      </c>
      <c r="AX165" t="str">
        <f>IF('1. Live'!AX165='check-Jul25'!AX165,"",'1. Live'!AX165-'check-Jul25'!AX165)</f>
        <v/>
      </c>
      <c r="AY165" t="str">
        <f>IF('1. Live'!AY165='check-Jul25'!AY165,"",'1. Live'!AY165-'check-Jul25'!AY165)</f>
        <v/>
      </c>
      <c r="AZ165" t="str">
        <f>IF('1. Live'!AZ165='check-Jul25'!AZ165,"",'1. Live'!AZ165-'check-Jul25'!AZ165)</f>
        <v/>
      </c>
      <c r="BA165" t="str">
        <f>IF('1. Live'!BA165='check-Jul25'!BA165,"",'1. Live'!BA165-'check-Jul25'!BA165)</f>
        <v/>
      </c>
      <c r="BB165" t="str">
        <f>IF('1. Live'!BB165='check-Jul25'!BB165,"",'1. Live'!BB165-'check-Jul25'!BB165)</f>
        <v/>
      </c>
      <c r="BC165" t="str">
        <f>IF('1. Live'!BC165='check-Jul25'!BC165,"",'1. Live'!BC165-'check-Jul25'!BC165)</f>
        <v/>
      </c>
      <c r="BD165" t="str">
        <f>IF('1. Live'!BD165='check-Jul25'!BD165,"",'1. Live'!BD165-'check-Jul25'!BD165)</f>
        <v/>
      </c>
      <c r="BE165" t="str">
        <f>IF('1. Live'!BE165='check-Jul25'!BE165,"",'1. Live'!BE165-'check-Jul25'!BE165)</f>
        <v/>
      </c>
      <c r="BF165" t="str">
        <f>IF('1. Live'!BF165='check-Jul25'!BF165,"",'1. Live'!BF165-'check-Jul25'!BF165)</f>
        <v/>
      </c>
      <c r="BG165" t="str">
        <f>IF('1. Live'!BG165='check-Jul25'!BG165,"",'1. Live'!BG165-'check-Jul25'!BG165)</f>
        <v/>
      </c>
      <c r="BH165" t="str">
        <f>IF('1. Live'!BH165='check-Jul25'!BH165,"",'1. Live'!BH165-'check-Jul25'!BH165)</f>
        <v/>
      </c>
      <c r="BI165" t="str">
        <f>IF('1. Live'!BI165='check-Jul25'!BI165,"",'1. Live'!BI165-'check-Jul25'!BI165)</f>
        <v/>
      </c>
      <c r="BJ165" t="str">
        <f>IF('1. Live'!BJ165='check-Jul25'!BJ165,"",'1. Live'!BJ165-'check-Jul25'!BJ165)</f>
        <v/>
      </c>
      <c r="BK165" t="str">
        <f>IF('1. Live'!BK165='check-Jul25'!BK165,"",'1. Live'!BK165-'check-Jul25'!BK165)</f>
        <v/>
      </c>
      <c r="BL165" t="str">
        <f>IF('1. Live'!BL165='check-Jul25'!BL165,"",'1. Live'!BL165-'check-Jul25'!BL165)</f>
        <v/>
      </c>
      <c r="BM165" t="str">
        <f>IF('1. Live'!BM165='check-Jul25'!BM165,"",'1. Live'!BM165-'check-Jul25'!BM165)</f>
        <v/>
      </c>
      <c r="BN165" t="str">
        <f>IF('1. Live'!BN165='check-Jul25'!BN165,"",'1. Live'!BN165-'check-Jul25'!BN165)</f>
        <v/>
      </c>
      <c r="BO165" t="str">
        <f>IF('1. Live'!BO165='check-Jul25'!BO165,"",'1. Live'!BO165-'check-Jul25'!BO165)</f>
        <v/>
      </c>
      <c r="BP165" t="str">
        <f>IF('1. Live'!BP165='check-Jul25'!BP165,"",'1. Live'!BP165-'check-Jul25'!BP165)</f>
        <v/>
      </c>
      <c r="BQ165" t="str">
        <f>IF('1. Live'!BQ165='check-Jul25'!BQ165,"",'1. Live'!BQ165-'check-Jul25'!BQ165)</f>
        <v/>
      </c>
      <c r="BR165" t="str">
        <f>IF('1. Live'!BR165='check-Jul25'!BR165,"",'1. Live'!BR165-'check-Jul25'!BR165)</f>
        <v/>
      </c>
      <c r="BS165" t="str">
        <f>IF('1. Live'!BS165='check-Jul25'!BS165,"",'1. Live'!BS165-'check-Jul25'!BS165)</f>
        <v/>
      </c>
      <c r="BT165" t="str">
        <f>IF('1. Live'!BT165='check-Jul25'!BT165,"",'1. Live'!BT165-'check-Jul25'!BT165)</f>
        <v/>
      </c>
      <c r="BU165" t="str">
        <f>IF('1. Live'!BU165='check-Jul25'!BU165,"",'1. Live'!BU165-'check-Jul25'!BU165)</f>
        <v/>
      </c>
      <c r="BV165" t="str">
        <f>IF('1. Live'!BV165='check-Jul25'!BV165,"",'1. Live'!BV165-'check-Jul25'!BV165)</f>
        <v/>
      </c>
      <c r="BW165" t="str">
        <f>IF('1. Live'!BW165='check-Jul25'!BW165,"",'1. Live'!BW165-'check-Jul25'!BW165)</f>
        <v/>
      </c>
      <c r="BX165" t="str">
        <f>IF('1. Live'!BX165='check-Jul25'!BX165,"",'1. Live'!BX165-'check-Jul25'!BX165)</f>
        <v/>
      </c>
      <c r="BY165" t="str">
        <f>IF('1. Live'!BY165='check-Jul25'!BY165,"",'1. Live'!BY165-'check-Jul25'!BY165)</f>
        <v/>
      </c>
      <c r="BZ165" t="str">
        <f>IF('1. Live'!BZ165='check-Jul25'!BZ165,"",'1. Live'!BZ165-'check-Jul25'!BZ165)</f>
        <v/>
      </c>
      <c r="CA165" t="str">
        <f>IF('1. Live'!CA165='check-Jul25'!CA165,"",'1. Live'!CA165-'check-Jul25'!CA165)</f>
        <v/>
      </c>
      <c r="CB165" t="str">
        <f>IF('1. Live'!CB165='check-Jul25'!CB165,"",'1. Live'!CB165-'check-Jul25'!CB165)</f>
        <v/>
      </c>
      <c r="CC165" t="str">
        <f>IF('1. Live'!CC165='check-Jul25'!CC165,"",'1. Live'!CC165-'check-Jul25'!CC165)</f>
        <v/>
      </c>
      <c r="CD165" t="str">
        <f>IF('1. Live'!CD165='check-Jul25'!CD165,"",'1. Live'!CD165-'check-Jul25'!CD165)</f>
        <v/>
      </c>
      <c r="CE165" t="str">
        <f>IF('1. Live'!CE165='check-Jul25'!CE165,"",'1. Live'!CE165-'check-Jul25'!CE165)</f>
        <v/>
      </c>
      <c r="CF165" t="str">
        <f>IF('1. Live'!CF165='check-Jul25'!CF165,"",'1. Live'!CF165-'check-Jul25'!CF165)</f>
        <v/>
      </c>
      <c r="CG165" t="str">
        <f>IF('1. Live'!CG165='check-Jul25'!CG165,"",'1. Live'!CG165-'check-Jul25'!CG165)</f>
        <v/>
      </c>
      <c r="CH165" t="str">
        <f>IF('1. Live'!CH165='check-Jul25'!CH165,"",'1. Live'!CH165-'check-Jul25'!CH165)</f>
        <v/>
      </c>
      <c r="CI165" t="str">
        <f>IF('1. Live'!CI165='check-Jul25'!CI165,"",'1. Live'!CI165-'check-Jul25'!CI165)</f>
        <v/>
      </c>
      <c r="CJ165" t="str">
        <f>IF('1. Live'!CJ165='check-Jul25'!CJ165,"",'1. Live'!CJ165-'check-Jul25'!CJ165)</f>
        <v/>
      </c>
      <c r="CK165" t="str">
        <f>IF('1. Live'!CK165='check-Jul25'!CK165,"",'1. Live'!CK165-'check-Jul25'!CK165)</f>
        <v/>
      </c>
      <c r="CL165" t="str">
        <f>IF('1. Live'!CL165='check-Jul25'!CL165,"",'1. Live'!CL165-'check-Jul25'!CL165)</f>
        <v/>
      </c>
      <c r="CM165" t="str">
        <f>IF('1. Live'!CM165='check-Jul25'!CM165,"",'1. Live'!CM165-'check-Jul25'!CM165)</f>
        <v/>
      </c>
      <c r="CN165" t="str">
        <f>IF('1. Live'!CN165='check-Jul25'!CN165,"",'1. Live'!CN165-'check-Jul25'!CN165)</f>
        <v/>
      </c>
      <c r="CO165" t="str">
        <f>IF('1. Live'!CO165='check-Jul25'!CO165,"",'1. Live'!CO165-'check-Jul25'!CO165)</f>
        <v/>
      </c>
      <c r="CP165" t="str">
        <f>IF('1. Live'!CP165='check-Jul25'!CP165,"",'1. Live'!CP165-'check-Jul25'!CP165)</f>
        <v/>
      </c>
      <c r="CQ165" t="str">
        <f>IF('1. Live'!CQ165='check-Jul25'!CQ165,"",'1. Live'!CQ165-'check-Jul25'!CQ165)</f>
        <v/>
      </c>
      <c r="CR165" t="str">
        <f>IF('1. Live'!CR165='check-Jul25'!CR165,"",'1. Live'!CR165-'check-Jul25'!CR165)</f>
        <v/>
      </c>
      <c r="CS165" t="str">
        <f>IF('1. Live'!CS165='check-Jul25'!CS165,"",'1. Live'!CS165-'check-Jul25'!CS165)</f>
        <v/>
      </c>
      <c r="CT165" t="str">
        <f>IF('1. Live'!CT165='check-Jul25'!CT165,"",'1. Live'!CT165-'check-Jul25'!CT165)</f>
        <v/>
      </c>
      <c r="CU165" t="str">
        <f>IF('1. Live'!CU165='check-Jul25'!CU165,"",'1. Live'!CU165-'check-Jul25'!CU165)</f>
        <v/>
      </c>
      <c r="CV165" t="str">
        <f>IF('1. Live'!CV165='check-Jul25'!CV165,"",'1. Live'!CV165-'check-Jul25'!CV165)</f>
        <v/>
      </c>
      <c r="CW165" t="str">
        <f>IF('1. Live'!CW165='check-Jul25'!CW165,"",'1. Live'!CW165-'check-Jul25'!CW165)</f>
        <v/>
      </c>
    </row>
    <row r="166" spans="10:101">
      <c r="J166" t="str">
        <f>IF('1. Live'!J166='check-Jul25'!J166,"",'1. Live'!J166-'check-Jul25'!J166)</f>
        <v/>
      </c>
      <c r="K166" t="str">
        <f>IF('1. Live'!K166='check-Jul25'!K166,"",'1. Live'!K166-'check-Jul25'!K166)</f>
        <v/>
      </c>
      <c r="L166" t="str">
        <f>IF('1. Live'!L166='check-Jul25'!L166,"",'1. Live'!L166-'check-Jul25'!L166)</f>
        <v/>
      </c>
      <c r="M166" t="str">
        <f>IF('1. Live'!M166='check-Jul25'!M166,"",'1. Live'!M166-'check-Jul25'!M166)</f>
        <v/>
      </c>
      <c r="N166" t="str">
        <f>IF('1. Live'!N166='check-Jul25'!N166,"",'1. Live'!N166-'check-Jul25'!N166)</f>
        <v/>
      </c>
      <c r="O166" t="str">
        <f>IF('1. Live'!O166='check-Jul25'!O166,"",'1. Live'!O166-'check-Jul25'!O166)</f>
        <v/>
      </c>
      <c r="P166" t="str">
        <f>IF('1. Live'!P166='check-Jul25'!P166,"",'1. Live'!P166-'check-Jul25'!P166)</f>
        <v/>
      </c>
      <c r="Q166" t="str">
        <f>IF('1. Live'!Q166='check-Jul25'!Q166,"",'1. Live'!Q166-'check-Jul25'!Q166)</f>
        <v/>
      </c>
      <c r="R166" t="str">
        <f>IF('1. Live'!R166='check-Jul25'!R166,"",'1. Live'!R166-'check-Jul25'!R166)</f>
        <v/>
      </c>
      <c r="S166" t="str">
        <f>IF('1. Live'!S166='check-Jul25'!S166,"",'1. Live'!S166-'check-Jul25'!S166)</f>
        <v/>
      </c>
      <c r="T166" t="str">
        <f>IF('1. Live'!T166='check-Jul25'!T166,"",'1. Live'!T166-'check-Jul25'!T166)</f>
        <v/>
      </c>
      <c r="U166" t="str">
        <f>IF('1. Live'!U166='check-Jul25'!U166,"",'1. Live'!U166-'check-Jul25'!U166)</f>
        <v/>
      </c>
      <c r="V166" t="str">
        <f>IF('1. Live'!V166='check-Jul25'!V166,"",'1. Live'!V166-'check-Jul25'!V166)</f>
        <v/>
      </c>
      <c r="W166" t="str">
        <f>IF('1. Live'!W166='check-Jul25'!W166,"",'1. Live'!W166-'check-Jul25'!W166)</f>
        <v/>
      </c>
      <c r="X166" t="str">
        <f>IF('1. Live'!X166='check-Jul25'!X166,"",'1. Live'!X166-'check-Jul25'!X166)</f>
        <v/>
      </c>
      <c r="Y166" t="str">
        <f>IF('1. Live'!Y166='check-Jul25'!Y166,"",'1. Live'!Y166-'check-Jul25'!Y166)</f>
        <v/>
      </c>
      <c r="Z166" t="str">
        <f>IF('1. Live'!Z166='check-Jul25'!Z166,"",'1. Live'!Z166-'check-Jul25'!Z166)</f>
        <v/>
      </c>
      <c r="AA166" t="str">
        <f>IF('1. Live'!AA166='check-Jul25'!AA166,"",'1. Live'!AA166-'check-Jul25'!AA166)</f>
        <v/>
      </c>
      <c r="AB166" t="str">
        <f>IF('1. Live'!AB166='check-Jul25'!AB166,"",'1. Live'!AB166-'check-Jul25'!AB166)</f>
        <v/>
      </c>
      <c r="AC166" t="str">
        <f>IF('1. Live'!AC166='check-Jul25'!AC166,"",'1. Live'!AC166-'check-Jul25'!AC166)</f>
        <v/>
      </c>
      <c r="AD166" t="str">
        <f>IF('1. Live'!AD166='check-Jul25'!AD166,"",'1. Live'!AD166-'check-Jul25'!AD166)</f>
        <v/>
      </c>
      <c r="AE166" t="str">
        <f>IF('1. Live'!AE166='check-Jul25'!AE166,"",'1. Live'!AE166-'check-Jul25'!AE166)</f>
        <v/>
      </c>
      <c r="AF166" t="str">
        <f>IF('1. Live'!AF166='check-Jul25'!AF166,"",'1. Live'!AF166-'check-Jul25'!AF166)</f>
        <v/>
      </c>
      <c r="AG166" t="str">
        <f>IF('1. Live'!AG166='check-Jul25'!AG166,"",'1. Live'!AG166-'check-Jul25'!AG166)</f>
        <v/>
      </c>
      <c r="AH166" t="str">
        <f>IF('1. Live'!AH166='check-Jul25'!AH166,"",'1. Live'!AH166-'check-Jul25'!AH166)</f>
        <v/>
      </c>
      <c r="AI166" t="str">
        <f>IF('1. Live'!AI166='check-Jul25'!AI166,"",'1. Live'!AI166-'check-Jul25'!AI166)</f>
        <v/>
      </c>
      <c r="AJ166" t="str">
        <f>IF('1. Live'!AJ166='check-Jul25'!AJ166,"",'1. Live'!AJ166-'check-Jul25'!AJ166)</f>
        <v/>
      </c>
      <c r="AK166" t="str">
        <f>IF('1. Live'!AK166='check-Jul25'!AK166,"",'1. Live'!AK166-'check-Jul25'!AK166)</f>
        <v/>
      </c>
      <c r="AL166" t="str">
        <f>IF('1. Live'!AL166='check-Jul25'!AL166,"",'1. Live'!AL166-'check-Jul25'!AL166)</f>
        <v/>
      </c>
      <c r="AM166" t="str">
        <f>IF('1. Live'!AM166='check-Jul25'!AM166,"",'1. Live'!AM166-'check-Jul25'!AM166)</f>
        <v/>
      </c>
      <c r="AN166" t="str">
        <f>IF('1. Live'!AN166='check-Jul25'!AN166,"",'1. Live'!AN166-'check-Jul25'!AN166)</f>
        <v/>
      </c>
      <c r="AO166" t="str">
        <f>IF('1. Live'!AO166='check-Jul25'!AO166,"",'1. Live'!AO166-'check-Jul25'!AO166)</f>
        <v/>
      </c>
      <c r="AP166" t="str">
        <f>IF('1. Live'!AP166='check-Jul25'!AP166,"",'1. Live'!AP166-'check-Jul25'!AP166)</f>
        <v/>
      </c>
      <c r="AQ166" t="str">
        <f>IF('1. Live'!AQ166='check-Jul25'!AQ166,"",'1. Live'!AQ166-'check-Jul25'!AQ166)</f>
        <v/>
      </c>
      <c r="AR166" t="str">
        <f>IF('1. Live'!AR166='check-Jul25'!AR166,"",'1. Live'!AR166-'check-Jul25'!AR166)</f>
        <v/>
      </c>
      <c r="AS166" t="str">
        <f>IF('1. Live'!AS166='check-Jul25'!AS166,"",'1. Live'!AS166-'check-Jul25'!AS166)</f>
        <v/>
      </c>
      <c r="AT166" t="str">
        <f>IF('1. Live'!AT166='check-Jul25'!AT166,"",'1. Live'!AT166-'check-Jul25'!AT166)</f>
        <v/>
      </c>
      <c r="AU166" t="str">
        <f>IF('1. Live'!AU166='check-Jul25'!AU166,"",'1. Live'!AU166-'check-Jul25'!AU166)</f>
        <v/>
      </c>
      <c r="AV166" t="str">
        <f>IF('1. Live'!AV166='check-Jul25'!AV166,"",'1. Live'!AV166-'check-Jul25'!AV166)</f>
        <v/>
      </c>
      <c r="AW166" t="str">
        <f>IF('1. Live'!AW166='check-Jul25'!AW166,"",'1. Live'!AW166-'check-Jul25'!AW166)</f>
        <v/>
      </c>
      <c r="AX166" t="str">
        <f>IF('1. Live'!AX166='check-Jul25'!AX166,"",'1. Live'!AX166-'check-Jul25'!AX166)</f>
        <v/>
      </c>
      <c r="AY166" t="str">
        <f>IF('1. Live'!AY166='check-Jul25'!AY166,"",'1. Live'!AY166-'check-Jul25'!AY166)</f>
        <v/>
      </c>
      <c r="AZ166" t="str">
        <f>IF('1. Live'!AZ166='check-Jul25'!AZ166,"",'1. Live'!AZ166-'check-Jul25'!AZ166)</f>
        <v/>
      </c>
      <c r="BA166" t="str">
        <f>IF('1. Live'!BA166='check-Jul25'!BA166,"",'1. Live'!BA166-'check-Jul25'!BA166)</f>
        <v/>
      </c>
      <c r="BB166" t="str">
        <f>IF('1. Live'!BB166='check-Jul25'!BB166,"",'1. Live'!BB166-'check-Jul25'!BB166)</f>
        <v/>
      </c>
      <c r="BC166" t="str">
        <f>IF('1. Live'!BC166='check-Jul25'!BC166,"",'1. Live'!BC166-'check-Jul25'!BC166)</f>
        <v/>
      </c>
      <c r="BD166" t="str">
        <f>IF('1. Live'!BD166='check-Jul25'!BD166,"",'1. Live'!BD166-'check-Jul25'!BD166)</f>
        <v/>
      </c>
      <c r="BE166" t="str">
        <f>IF('1. Live'!BE166='check-Jul25'!BE166,"",'1. Live'!BE166-'check-Jul25'!BE166)</f>
        <v/>
      </c>
      <c r="BF166" t="str">
        <f>IF('1. Live'!BF166='check-Jul25'!BF166,"",'1. Live'!BF166-'check-Jul25'!BF166)</f>
        <v/>
      </c>
      <c r="BG166" t="str">
        <f>IF('1. Live'!BG166='check-Jul25'!BG166,"",'1. Live'!BG166-'check-Jul25'!BG166)</f>
        <v/>
      </c>
      <c r="BH166" t="str">
        <f>IF('1. Live'!BH166='check-Jul25'!BH166,"",'1. Live'!BH166-'check-Jul25'!BH166)</f>
        <v/>
      </c>
      <c r="BI166" t="str">
        <f>IF('1. Live'!BI166='check-Jul25'!BI166,"",'1. Live'!BI166-'check-Jul25'!BI166)</f>
        <v/>
      </c>
      <c r="BJ166" t="str">
        <f>IF('1. Live'!BJ166='check-Jul25'!BJ166,"",'1. Live'!BJ166-'check-Jul25'!BJ166)</f>
        <v/>
      </c>
      <c r="BK166" t="str">
        <f>IF('1. Live'!BK166='check-Jul25'!BK166,"",'1. Live'!BK166-'check-Jul25'!BK166)</f>
        <v/>
      </c>
      <c r="BL166" t="str">
        <f>IF('1. Live'!BL166='check-Jul25'!BL166,"",'1. Live'!BL166-'check-Jul25'!BL166)</f>
        <v/>
      </c>
      <c r="BM166" t="str">
        <f>IF('1. Live'!BM166='check-Jul25'!BM166,"",'1. Live'!BM166-'check-Jul25'!BM166)</f>
        <v/>
      </c>
      <c r="BN166" t="str">
        <f>IF('1. Live'!BN166='check-Jul25'!BN166,"",'1. Live'!BN166-'check-Jul25'!BN166)</f>
        <v/>
      </c>
      <c r="BO166" t="str">
        <f>IF('1. Live'!BO166='check-Jul25'!BO166,"",'1. Live'!BO166-'check-Jul25'!BO166)</f>
        <v/>
      </c>
      <c r="BP166" t="str">
        <f>IF('1. Live'!BP166='check-Jul25'!BP166,"",'1. Live'!BP166-'check-Jul25'!BP166)</f>
        <v/>
      </c>
      <c r="BQ166" t="str">
        <f>IF('1. Live'!BQ166='check-Jul25'!BQ166,"",'1. Live'!BQ166-'check-Jul25'!BQ166)</f>
        <v/>
      </c>
      <c r="BR166" t="str">
        <f>IF('1. Live'!BR166='check-Jul25'!BR166,"",'1. Live'!BR166-'check-Jul25'!BR166)</f>
        <v/>
      </c>
      <c r="BS166" t="str">
        <f>IF('1. Live'!BS166='check-Jul25'!BS166,"",'1. Live'!BS166-'check-Jul25'!BS166)</f>
        <v/>
      </c>
      <c r="BT166" t="str">
        <f>IF('1. Live'!BT166='check-Jul25'!BT166,"",'1. Live'!BT166-'check-Jul25'!BT166)</f>
        <v/>
      </c>
      <c r="BU166" t="str">
        <f>IF('1. Live'!BU166='check-Jul25'!BU166,"",'1. Live'!BU166-'check-Jul25'!BU166)</f>
        <v/>
      </c>
      <c r="BV166" t="str">
        <f>IF('1. Live'!BV166='check-Jul25'!BV166,"",'1. Live'!BV166-'check-Jul25'!BV166)</f>
        <v/>
      </c>
      <c r="BW166" t="str">
        <f>IF('1. Live'!BW166='check-Jul25'!BW166,"",'1. Live'!BW166-'check-Jul25'!BW166)</f>
        <v/>
      </c>
      <c r="BX166" t="str">
        <f>IF('1. Live'!BX166='check-Jul25'!BX166,"",'1. Live'!BX166-'check-Jul25'!BX166)</f>
        <v/>
      </c>
      <c r="BY166" t="str">
        <f>IF('1. Live'!BY166='check-Jul25'!BY166,"",'1. Live'!BY166-'check-Jul25'!BY166)</f>
        <v/>
      </c>
      <c r="BZ166" t="str">
        <f>IF('1. Live'!BZ166='check-Jul25'!BZ166,"",'1. Live'!BZ166-'check-Jul25'!BZ166)</f>
        <v/>
      </c>
      <c r="CA166" t="str">
        <f>IF('1. Live'!CA166='check-Jul25'!CA166,"",'1. Live'!CA166-'check-Jul25'!CA166)</f>
        <v/>
      </c>
      <c r="CB166" t="str">
        <f>IF('1. Live'!CB166='check-Jul25'!CB166,"",'1. Live'!CB166-'check-Jul25'!CB166)</f>
        <v/>
      </c>
      <c r="CC166" t="str">
        <f>IF('1. Live'!CC166='check-Jul25'!CC166,"",'1. Live'!CC166-'check-Jul25'!CC166)</f>
        <v/>
      </c>
      <c r="CD166" t="str">
        <f>IF('1. Live'!CD166='check-Jul25'!CD166,"",'1. Live'!CD166-'check-Jul25'!CD166)</f>
        <v/>
      </c>
      <c r="CE166" t="str">
        <f>IF('1. Live'!CE166='check-Jul25'!CE166,"",'1. Live'!CE166-'check-Jul25'!CE166)</f>
        <v/>
      </c>
      <c r="CF166" t="str">
        <f>IF('1. Live'!CF166='check-Jul25'!CF166,"",'1. Live'!CF166-'check-Jul25'!CF166)</f>
        <v/>
      </c>
      <c r="CG166" t="str">
        <f>IF('1. Live'!CG166='check-Jul25'!CG166,"",'1. Live'!CG166-'check-Jul25'!CG166)</f>
        <v/>
      </c>
      <c r="CH166" t="str">
        <f>IF('1. Live'!CH166='check-Jul25'!CH166,"",'1. Live'!CH166-'check-Jul25'!CH166)</f>
        <v/>
      </c>
      <c r="CI166" t="str">
        <f>IF('1. Live'!CI166='check-Jul25'!CI166,"",'1. Live'!CI166-'check-Jul25'!CI166)</f>
        <v/>
      </c>
      <c r="CJ166" t="str">
        <f>IF('1. Live'!CJ166='check-Jul25'!CJ166,"",'1. Live'!CJ166-'check-Jul25'!CJ166)</f>
        <v/>
      </c>
      <c r="CK166" t="str">
        <f>IF('1. Live'!CK166='check-Jul25'!CK166,"",'1. Live'!CK166-'check-Jul25'!CK166)</f>
        <v/>
      </c>
      <c r="CL166" t="str">
        <f>IF('1. Live'!CL166='check-Jul25'!CL166,"",'1. Live'!CL166-'check-Jul25'!CL166)</f>
        <v/>
      </c>
      <c r="CM166" t="str">
        <f>IF('1. Live'!CM166='check-Jul25'!CM166,"",'1. Live'!CM166-'check-Jul25'!CM166)</f>
        <v/>
      </c>
      <c r="CN166" t="str">
        <f>IF('1. Live'!CN166='check-Jul25'!CN166,"",'1. Live'!CN166-'check-Jul25'!CN166)</f>
        <v/>
      </c>
      <c r="CO166" t="str">
        <f>IF('1. Live'!CO166='check-Jul25'!CO166,"",'1. Live'!CO166-'check-Jul25'!CO166)</f>
        <v/>
      </c>
      <c r="CP166" t="str">
        <f>IF('1. Live'!CP166='check-Jul25'!CP166,"",'1. Live'!CP166-'check-Jul25'!CP166)</f>
        <v/>
      </c>
      <c r="CQ166" t="str">
        <f>IF('1. Live'!CQ166='check-Jul25'!CQ166,"",'1. Live'!CQ166-'check-Jul25'!CQ166)</f>
        <v/>
      </c>
      <c r="CR166" t="str">
        <f>IF('1. Live'!CR166='check-Jul25'!CR166,"",'1. Live'!CR166-'check-Jul25'!CR166)</f>
        <v/>
      </c>
      <c r="CS166" t="str">
        <f>IF('1. Live'!CS166='check-Jul25'!CS166,"",'1. Live'!CS166-'check-Jul25'!CS166)</f>
        <v/>
      </c>
      <c r="CT166" t="str">
        <f>IF('1. Live'!CT166='check-Jul25'!CT166,"",'1. Live'!CT166-'check-Jul25'!CT166)</f>
        <v/>
      </c>
      <c r="CU166" t="str">
        <f>IF('1. Live'!CU166='check-Jul25'!CU166,"",'1. Live'!CU166-'check-Jul25'!CU166)</f>
        <v/>
      </c>
      <c r="CV166" t="str">
        <f>IF('1. Live'!CV166='check-Jul25'!CV166,"",'1. Live'!CV166-'check-Jul25'!CV166)</f>
        <v/>
      </c>
      <c r="CW166" t="str">
        <f>IF('1. Live'!CW166='check-Jul25'!CW166,"",'1. Live'!CW166-'check-Jul25'!CW166)</f>
        <v/>
      </c>
    </row>
    <row r="167" spans="10:101">
      <c r="J167" t="str">
        <f>IF('1. Live'!J167='check-Jul25'!J167,"",'1. Live'!J167-'check-Jul25'!J167)</f>
        <v/>
      </c>
      <c r="K167" t="str">
        <f>IF('1. Live'!K167='check-Jul25'!K167,"",'1. Live'!K167-'check-Jul25'!K167)</f>
        <v/>
      </c>
      <c r="L167" t="str">
        <f>IF('1. Live'!L167='check-Jul25'!L167,"",'1. Live'!L167-'check-Jul25'!L167)</f>
        <v/>
      </c>
      <c r="M167" t="str">
        <f>IF('1. Live'!M167='check-Jul25'!M167,"",'1. Live'!M167-'check-Jul25'!M167)</f>
        <v/>
      </c>
      <c r="N167" t="str">
        <f>IF('1. Live'!N167='check-Jul25'!N167,"",'1. Live'!N167-'check-Jul25'!N167)</f>
        <v/>
      </c>
      <c r="O167" t="str">
        <f>IF('1. Live'!O167='check-Jul25'!O167,"",'1. Live'!O167-'check-Jul25'!O167)</f>
        <v/>
      </c>
      <c r="P167" t="str">
        <f>IF('1. Live'!P167='check-Jul25'!P167,"",'1. Live'!P167-'check-Jul25'!P167)</f>
        <v/>
      </c>
      <c r="Q167" t="str">
        <f>IF('1. Live'!Q167='check-Jul25'!Q167,"",'1. Live'!Q167-'check-Jul25'!Q167)</f>
        <v/>
      </c>
      <c r="R167" t="str">
        <f>IF('1. Live'!R167='check-Jul25'!R167,"",'1. Live'!R167-'check-Jul25'!R167)</f>
        <v/>
      </c>
      <c r="S167" t="str">
        <f>IF('1. Live'!S167='check-Jul25'!S167,"",'1. Live'!S167-'check-Jul25'!S167)</f>
        <v/>
      </c>
      <c r="T167" t="str">
        <f>IF('1. Live'!T167='check-Jul25'!T167,"",'1. Live'!T167-'check-Jul25'!T167)</f>
        <v/>
      </c>
      <c r="U167" t="str">
        <f>IF('1. Live'!U167='check-Jul25'!U167,"",'1. Live'!U167-'check-Jul25'!U167)</f>
        <v/>
      </c>
      <c r="V167" t="str">
        <f>IF('1. Live'!V167='check-Jul25'!V167,"",'1. Live'!V167-'check-Jul25'!V167)</f>
        <v/>
      </c>
      <c r="W167" t="str">
        <f>IF('1. Live'!W167='check-Jul25'!W167,"",'1. Live'!W167-'check-Jul25'!W167)</f>
        <v/>
      </c>
      <c r="X167" t="str">
        <f>IF('1. Live'!X167='check-Jul25'!X167,"",'1. Live'!X167-'check-Jul25'!X167)</f>
        <v/>
      </c>
      <c r="Y167" t="str">
        <f>IF('1. Live'!Y167='check-Jul25'!Y167,"",'1. Live'!Y167-'check-Jul25'!Y167)</f>
        <v/>
      </c>
      <c r="Z167" t="str">
        <f>IF('1. Live'!Z167='check-Jul25'!Z167,"",'1. Live'!Z167-'check-Jul25'!Z167)</f>
        <v/>
      </c>
      <c r="AA167" t="str">
        <f>IF('1. Live'!AA167='check-Jul25'!AA167,"",'1. Live'!AA167-'check-Jul25'!AA167)</f>
        <v/>
      </c>
      <c r="AB167" t="str">
        <f>IF('1. Live'!AB167='check-Jul25'!AB167,"",'1. Live'!AB167-'check-Jul25'!AB167)</f>
        <v/>
      </c>
      <c r="AC167" t="str">
        <f>IF('1. Live'!AC167='check-Jul25'!AC167,"",'1. Live'!AC167-'check-Jul25'!AC167)</f>
        <v/>
      </c>
      <c r="AD167" t="str">
        <f>IF('1. Live'!AD167='check-Jul25'!AD167,"",'1. Live'!AD167-'check-Jul25'!AD167)</f>
        <v/>
      </c>
      <c r="AE167" t="str">
        <f>IF('1. Live'!AE167='check-Jul25'!AE167,"",'1. Live'!AE167-'check-Jul25'!AE167)</f>
        <v/>
      </c>
      <c r="AF167" t="str">
        <f>IF('1. Live'!AF167='check-Jul25'!AF167,"",'1. Live'!AF167-'check-Jul25'!AF167)</f>
        <v/>
      </c>
      <c r="AG167" t="str">
        <f>IF('1. Live'!AG167='check-Jul25'!AG167,"",'1. Live'!AG167-'check-Jul25'!AG167)</f>
        <v/>
      </c>
      <c r="AH167" t="str">
        <f>IF('1. Live'!AH167='check-Jul25'!AH167,"",'1. Live'!AH167-'check-Jul25'!AH167)</f>
        <v/>
      </c>
      <c r="AI167" t="str">
        <f>IF('1. Live'!AI167='check-Jul25'!AI167,"",'1. Live'!AI167-'check-Jul25'!AI167)</f>
        <v/>
      </c>
      <c r="AJ167" t="str">
        <f>IF('1. Live'!AJ167='check-Jul25'!AJ167,"",'1. Live'!AJ167-'check-Jul25'!AJ167)</f>
        <v/>
      </c>
      <c r="AK167" t="str">
        <f>IF('1. Live'!AK167='check-Jul25'!AK167,"",'1. Live'!AK167-'check-Jul25'!AK167)</f>
        <v/>
      </c>
      <c r="AL167" t="str">
        <f>IF('1. Live'!AL167='check-Jul25'!AL167,"",'1. Live'!AL167-'check-Jul25'!AL167)</f>
        <v/>
      </c>
      <c r="AM167" t="str">
        <f>IF('1. Live'!AM167='check-Jul25'!AM167,"",'1. Live'!AM167-'check-Jul25'!AM167)</f>
        <v/>
      </c>
      <c r="AN167" t="str">
        <f>IF('1. Live'!AN167='check-Jul25'!AN167,"",'1. Live'!AN167-'check-Jul25'!AN167)</f>
        <v/>
      </c>
      <c r="AO167" t="str">
        <f>IF('1. Live'!AO167='check-Jul25'!AO167,"",'1. Live'!AO167-'check-Jul25'!AO167)</f>
        <v/>
      </c>
      <c r="AP167" t="str">
        <f>IF('1. Live'!AP167='check-Jul25'!AP167,"",'1. Live'!AP167-'check-Jul25'!AP167)</f>
        <v/>
      </c>
      <c r="AQ167" t="str">
        <f>IF('1. Live'!AQ167='check-Jul25'!AQ167,"",'1. Live'!AQ167-'check-Jul25'!AQ167)</f>
        <v/>
      </c>
      <c r="AR167" t="str">
        <f>IF('1. Live'!AR167='check-Jul25'!AR167,"",'1. Live'!AR167-'check-Jul25'!AR167)</f>
        <v/>
      </c>
      <c r="AS167" t="str">
        <f>IF('1. Live'!AS167='check-Jul25'!AS167,"",'1. Live'!AS167-'check-Jul25'!AS167)</f>
        <v/>
      </c>
      <c r="AT167" t="str">
        <f>IF('1. Live'!AT167='check-Jul25'!AT167,"",'1. Live'!AT167-'check-Jul25'!AT167)</f>
        <v/>
      </c>
      <c r="AU167" t="str">
        <f>IF('1. Live'!AU167='check-Jul25'!AU167,"",'1. Live'!AU167-'check-Jul25'!AU167)</f>
        <v/>
      </c>
      <c r="AV167" t="str">
        <f>IF('1. Live'!AV167='check-Jul25'!AV167,"",'1. Live'!AV167-'check-Jul25'!AV167)</f>
        <v/>
      </c>
      <c r="AW167" t="str">
        <f>IF('1. Live'!AW167='check-Jul25'!AW167,"",'1. Live'!AW167-'check-Jul25'!AW167)</f>
        <v/>
      </c>
      <c r="AX167" t="str">
        <f>IF('1. Live'!AX167='check-Jul25'!AX167,"",'1. Live'!AX167-'check-Jul25'!AX167)</f>
        <v/>
      </c>
      <c r="AY167" t="str">
        <f>IF('1. Live'!AY167='check-Jul25'!AY167,"",'1. Live'!AY167-'check-Jul25'!AY167)</f>
        <v/>
      </c>
      <c r="AZ167" t="str">
        <f>IF('1. Live'!AZ167='check-Jul25'!AZ167,"",'1. Live'!AZ167-'check-Jul25'!AZ167)</f>
        <v/>
      </c>
      <c r="BA167" t="str">
        <f>IF('1. Live'!BA167='check-Jul25'!BA167,"",'1. Live'!BA167-'check-Jul25'!BA167)</f>
        <v/>
      </c>
      <c r="BB167" t="str">
        <f>IF('1. Live'!BB167='check-Jul25'!BB167,"",'1. Live'!BB167-'check-Jul25'!BB167)</f>
        <v/>
      </c>
      <c r="BC167" t="str">
        <f>IF('1. Live'!BC167='check-Jul25'!BC167,"",'1. Live'!BC167-'check-Jul25'!BC167)</f>
        <v/>
      </c>
      <c r="BD167" t="str">
        <f>IF('1. Live'!BD167='check-Jul25'!BD167,"",'1. Live'!BD167-'check-Jul25'!BD167)</f>
        <v/>
      </c>
      <c r="BE167" t="str">
        <f>IF('1. Live'!BE167='check-Jul25'!BE167,"",'1. Live'!BE167-'check-Jul25'!BE167)</f>
        <v/>
      </c>
      <c r="BF167" t="str">
        <f>IF('1. Live'!BF167='check-Jul25'!BF167,"",'1. Live'!BF167-'check-Jul25'!BF167)</f>
        <v/>
      </c>
      <c r="BG167" t="str">
        <f>IF('1. Live'!BG167='check-Jul25'!BG167,"",'1. Live'!BG167-'check-Jul25'!BG167)</f>
        <v/>
      </c>
      <c r="BH167" t="str">
        <f>IF('1. Live'!BH167='check-Jul25'!BH167,"",'1. Live'!BH167-'check-Jul25'!BH167)</f>
        <v/>
      </c>
      <c r="BI167" t="str">
        <f>IF('1. Live'!BI167='check-Jul25'!BI167,"",'1. Live'!BI167-'check-Jul25'!BI167)</f>
        <v/>
      </c>
      <c r="BJ167" t="str">
        <f>IF('1. Live'!BJ167='check-Jul25'!BJ167,"",'1. Live'!BJ167-'check-Jul25'!BJ167)</f>
        <v/>
      </c>
      <c r="BK167" t="str">
        <f>IF('1. Live'!BK167='check-Jul25'!BK167,"",'1. Live'!BK167-'check-Jul25'!BK167)</f>
        <v/>
      </c>
      <c r="BL167" t="str">
        <f>IF('1. Live'!BL167='check-Jul25'!BL167,"",'1. Live'!BL167-'check-Jul25'!BL167)</f>
        <v/>
      </c>
      <c r="BM167" t="str">
        <f>IF('1. Live'!BM167='check-Jul25'!BM167,"",'1. Live'!BM167-'check-Jul25'!BM167)</f>
        <v/>
      </c>
      <c r="BN167" t="str">
        <f>IF('1. Live'!BN167='check-Jul25'!BN167,"",'1. Live'!BN167-'check-Jul25'!BN167)</f>
        <v/>
      </c>
      <c r="BO167" t="str">
        <f>IF('1. Live'!BO167='check-Jul25'!BO167,"",'1. Live'!BO167-'check-Jul25'!BO167)</f>
        <v/>
      </c>
      <c r="BP167" t="str">
        <f>IF('1. Live'!BP167='check-Jul25'!BP167,"",'1. Live'!BP167-'check-Jul25'!BP167)</f>
        <v/>
      </c>
      <c r="BQ167" t="str">
        <f>IF('1. Live'!BQ167='check-Jul25'!BQ167,"",'1. Live'!BQ167-'check-Jul25'!BQ167)</f>
        <v/>
      </c>
      <c r="BR167" t="str">
        <f>IF('1. Live'!BR167='check-Jul25'!BR167,"",'1. Live'!BR167-'check-Jul25'!BR167)</f>
        <v/>
      </c>
      <c r="BS167" t="str">
        <f>IF('1. Live'!BS167='check-Jul25'!BS167,"",'1. Live'!BS167-'check-Jul25'!BS167)</f>
        <v/>
      </c>
      <c r="BT167" t="str">
        <f>IF('1. Live'!BT167='check-Jul25'!BT167,"",'1. Live'!BT167-'check-Jul25'!BT167)</f>
        <v/>
      </c>
      <c r="BU167" t="str">
        <f>IF('1. Live'!BU167='check-Jul25'!BU167,"",'1. Live'!BU167-'check-Jul25'!BU167)</f>
        <v/>
      </c>
      <c r="BV167" t="str">
        <f>IF('1. Live'!BV167='check-Jul25'!BV167,"",'1. Live'!BV167-'check-Jul25'!BV167)</f>
        <v/>
      </c>
      <c r="BW167" t="str">
        <f>IF('1. Live'!BW167='check-Jul25'!BW167,"",'1. Live'!BW167-'check-Jul25'!BW167)</f>
        <v/>
      </c>
      <c r="BX167" t="str">
        <f>IF('1. Live'!BX167='check-Jul25'!BX167,"",'1. Live'!BX167-'check-Jul25'!BX167)</f>
        <v/>
      </c>
      <c r="BY167" t="str">
        <f>IF('1. Live'!BY167='check-Jul25'!BY167,"",'1. Live'!BY167-'check-Jul25'!BY167)</f>
        <v/>
      </c>
      <c r="BZ167" t="str">
        <f>IF('1. Live'!BZ167='check-Jul25'!BZ167,"",'1. Live'!BZ167-'check-Jul25'!BZ167)</f>
        <v/>
      </c>
      <c r="CA167" t="str">
        <f>IF('1. Live'!CA167='check-Jul25'!CA167,"",'1. Live'!CA167-'check-Jul25'!CA167)</f>
        <v/>
      </c>
      <c r="CB167" t="str">
        <f>IF('1. Live'!CB167='check-Jul25'!CB167,"",'1. Live'!CB167-'check-Jul25'!CB167)</f>
        <v/>
      </c>
      <c r="CC167" t="str">
        <f>IF('1. Live'!CC167='check-Jul25'!CC167,"",'1. Live'!CC167-'check-Jul25'!CC167)</f>
        <v/>
      </c>
      <c r="CD167" t="str">
        <f>IF('1. Live'!CD167='check-Jul25'!CD167,"",'1. Live'!CD167-'check-Jul25'!CD167)</f>
        <v/>
      </c>
      <c r="CE167" t="str">
        <f>IF('1. Live'!CE167='check-Jul25'!CE167,"",'1. Live'!CE167-'check-Jul25'!CE167)</f>
        <v/>
      </c>
      <c r="CF167" t="str">
        <f>IF('1. Live'!CF167='check-Jul25'!CF167,"",'1. Live'!CF167-'check-Jul25'!CF167)</f>
        <v/>
      </c>
      <c r="CG167" t="str">
        <f>IF('1. Live'!CG167='check-Jul25'!CG167,"",'1. Live'!CG167-'check-Jul25'!CG167)</f>
        <v/>
      </c>
      <c r="CH167" t="str">
        <f>IF('1. Live'!CH167='check-Jul25'!CH167,"",'1. Live'!CH167-'check-Jul25'!CH167)</f>
        <v/>
      </c>
      <c r="CI167" t="str">
        <f>IF('1. Live'!CI167='check-Jul25'!CI167,"",'1. Live'!CI167-'check-Jul25'!CI167)</f>
        <v/>
      </c>
      <c r="CJ167" t="str">
        <f>IF('1. Live'!CJ167='check-Jul25'!CJ167,"",'1. Live'!CJ167-'check-Jul25'!CJ167)</f>
        <v/>
      </c>
      <c r="CK167" t="str">
        <f>IF('1. Live'!CK167='check-Jul25'!CK167,"",'1. Live'!CK167-'check-Jul25'!CK167)</f>
        <v/>
      </c>
      <c r="CL167" t="str">
        <f>IF('1. Live'!CL167='check-Jul25'!CL167,"",'1. Live'!CL167-'check-Jul25'!CL167)</f>
        <v/>
      </c>
      <c r="CM167" t="str">
        <f>IF('1. Live'!CM167='check-Jul25'!CM167,"",'1. Live'!CM167-'check-Jul25'!CM167)</f>
        <v/>
      </c>
      <c r="CN167" t="str">
        <f>IF('1. Live'!CN167='check-Jul25'!CN167,"",'1. Live'!CN167-'check-Jul25'!CN167)</f>
        <v/>
      </c>
      <c r="CO167" t="str">
        <f>IF('1. Live'!CO167='check-Jul25'!CO167,"",'1. Live'!CO167-'check-Jul25'!CO167)</f>
        <v/>
      </c>
      <c r="CP167" t="str">
        <f>IF('1. Live'!CP167='check-Jul25'!CP167,"",'1. Live'!CP167-'check-Jul25'!CP167)</f>
        <v/>
      </c>
      <c r="CQ167" t="str">
        <f>IF('1. Live'!CQ167='check-Jul25'!CQ167,"",'1. Live'!CQ167-'check-Jul25'!CQ167)</f>
        <v/>
      </c>
      <c r="CR167" t="str">
        <f>IF('1. Live'!CR167='check-Jul25'!CR167,"",'1. Live'!CR167-'check-Jul25'!CR167)</f>
        <v/>
      </c>
      <c r="CS167" t="str">
        <f>IF('1. Live'!CS167='check-Jul25'!CS167,"",'1. Live'!CS167-'check-Jul25'!CS167)</f>
        <v/>
      </c>
      <c r="CT167" t="str">
        <f>IF('1. Live'!CT167='check-Jul25'!CT167,"",'1. Live'!CT167-'check-Jul25'!CT167)</f>
        <v/>
      </c>
      <c r="CU167" t="str">
        <f>IF('1. Live'!CU167='check-Jul25'!CU167,"",'1. Live'!CU167-'check-Jul25'!CU167)</f>
        <v/>
      </c>
      <c r="CV167" t="str">
        <f>IF('1. Live'!CV167='check-Jul25'!CV167,"",'1. Live'!CV167-'check-Jul25'!CV167)</f>
        <v/>
      </c>
      <c r="CW167" t="str">
        <f>IF('1. Live'!CW167='check-Jul25'!CW167,"",'1. Live'!CW167-'check-Jul25'!CW167)</f>
        <v/>
      </c>
    </row>
    <row r="168" spans="10:101">
      <c r="J168" t="str">
        <f>IF('1. Live'!J168='check-Jul25'!J168,"",'1. Live'!J168-'check-Jul25'!J168)</f>
        <v/>
      </c>
      <c r="K168" t="str">
        <f>IF('1. Live'!K168='check-Jul25'!K168,"",'1. Live'!K168-'check-Jul25'!K168)</f>
        <v/>
      </c>
      <c r="L168" t="str">
        <f>IF('1. Live'!L168='check-Jul25'!L168,"",'1. Live'!L168-'check-Jul25'!L168)</f>
        <v/>
      </c>
      <c r="M168" t="str">
        <f>IF('1. Live'!M168='check-Jul25'!M168,"",'1. Live'!M168-'check-Jul25'!M168)</f>
        <v/>
      </c>
      <c r="N168" t="str">
        <f>IF('1. Live'!N168='check-Jul25'!N168,"",'1. Live'!N168-'check-Jul25'!N168)</f>
        <v/>
      </c>
      <c r="O168" t="str">
        <f>IF('1. Live'!O168='check-Jul25'!O168,"",'1. Live'!O168-'check-Jul25'!O168)</f>
        <v/>
      </c>
      <c r="P168" t="str">
        <f>IF('1. Live'!P168='check-Jul25'!P168,"",'1. Live'!P168-'check-Jul25'!P168)</f>
        <v/>
      </c>
      <c r="Q168" t="str">
        <f>IF('1. Live'!Q168='check-Jul25'!Q168,"",'1. Live'!Q168-'check-Jul25'!Q168)</f>
        <v/>
      </c>
      <c r="R168" t="str">
        <f>IF('1. Live'!R168='check-Jul25'!R168,"",'1. Live'!R168-'check-Jul25'!R168)</f>
        <v/>
      </c>
      <c r="S168" t="str">
        <f>IF('1. Live'!S168='check-Jul25'!S168,"",'1. Live'!S168-'check-Jul25'!S168)</f>
        <v/>
      </c>
      <c r="T168" t="str">
        <f>IF('1. Live'!T168='check-Jul25'!T168,"",'1. Live'!T168-'check-Jul25'!T168)</f>
        <v/>
      </c>
      <c r="U168" t="str">
        <f>IF('1. Live'!U168='check-Jul25'!U168,"",'1. Live'!U168-'check-Jul25'!U168)</f>
        <v/>
      </c>
      <c r="V168" t="str">
        <f>IF('1. Live'!V168='check-Jul25'!V168,"",'1. Live'!V168-'check-Jul25'!V168)</f>
        <v/>
      </c>
      <c r="W168" t="str">
        <f>IF('1. Live'!W168='check-Jul25'!W168,"",'1. Live'!W168-'check-Jul25'!W168)</f>
        <v/>
      </c>
      <c r="X168" t="str">
        <f>IF('1. Live'!X168='check-Jul25'!X168,"",'1. Live'!X168-'check-Jul25'!X168)</f>
        <v/>
      </c>
      <c r="Y168" t="str">
        <f>IF('1. Live'!Y168='check-Jul25'!Y168,"",'1. Live'!Y168-'check-Jul25'!Y168)</f>
        <v/>
      </c>
      <c r="Z168" t="str">
        <f>IF('1. Live'!Z168='check-Jul25'!Z168,"",'1. Live'!Z168-'check-Jul25'!Z168)</f>
        <v/>
      </c>
      <c r="AA168" t="str">
        <f>IF('1. Live'!AA168='check-Jul25'!AA168,"",'1. Live'!AA168-'check-Jul25'!AA168)</f>
        <v/>
      </c>
      <c r="AB168" t="str">
        <f>IF('1. Live'!AB168='check-Jul25'!AB168,"",'1. Live'!AB168-'check-Jul25'!AB168)</f>
        <v/>
      </c>
      <c r="AC168" t="str">
        <f>IF('1. Live'!AC168='check-Jul25'!AC168,"",'1. Live'!AC168-'check-Jul25'!AC168)</f>
        <v/>
      </c>
      <c r="AD168" t="str">
        <f>IF('1. Live'!AD168='check-Jul25'!AD168,"",'1. Live'!AD168-'check-Jul25'!AD168)</f>
        <v/>
      </c>
      <c r="AE168" t="str">
        <f>IF('1. Live'!AE168='check-Jul25'!AE168,"",'1. Live'!AE168-'check-Jul25'!AE168)</f>
        <v/>
      </c>
      <c r="AF168" t="str">
        <f>IF('1. Live'!AF168='check-Jul25'!AF168,"",'1. Live'!AF168-'check-Jul25'!AF168)</f>
        <v/>
      </c>
      <c r="AG168" t="str">
        <f>IF('1. Live'!AG168='check-Jul25'!AG168,"",'1. Live'!AG168-'check-Jul25'!AG168)</f>
        <v/>
      </c>
      <c r="AH168" t="str">
        <f>IF('1. Live'!AH168='check-Jul25'!AH168,"",'1. Live'!AH168-'check-Jul25'!AH168)</f>
        <v/>
      </c>
      <c r="AI168" t="str">
        <f>IF('1. Live'!AI168='check-Jul25'!AI168,"",'1. Live'!AI168-'check-Jul25'!AI168)</f>
        <v/>
      </c>
      <c r="AJ168" t="str">
        <f>IF('1. Live'!AJ168='check-Jul25'!AJ168,"",'1. Live'!AJ168-'check-Jul25'!AJ168)</f>
        <v/>
      </c>
      <c r="AK168" t="str">
        <f>IF('1. Live'!AK168='check-Jul25'!AK168,"",'1. Live'!AK168-'check-Jul25'!AK168)</f>
        <v/>
      </c>
      <c r="AL168" t="str">
        <f>IF('1. Live'!AL168='check-Jul25'!AL168,"",'1. Live'!AL168-'check-Jul25'!AL168)</f>
        <v/>
      </c>
      <c r="AM168" t="str">
        <f>IF('1. Live'!AM168='check-Jul25'!AM168,"",'1. Live'!AM168-'check-Jul25'!AM168)</f>
        <v/>
      </c>
      <c r="AN168" t="str">
        <f>IF('1. Live'!AN168='check-Jul25'!AN168,"",'1. Live'!AN168-'check-Jul25'!AN168)</f>
        <v/>
      </c>
      <c r="AO168" t="str">
        <f>IF('1. Live'!AO168='check-Jul25'!AO168,"",'1. Live'!AO168-'check-Jul25'!AO168)</f>
        <v/>
      </c>
      <c r="AP168" t="str">
        <f>IF('1. Live'!AP168='check-Jul25'!AP168,"",'1. Live'!AP168-'check-Jul25'!AP168)</f>
        <v/>
      </c>
      <c r="AQ168" t="str">
        <f>IF('1. Live'!AQ168='check-Jul25'!AQ168,"",'1. Live'!AQ168-'check-Jul25'!AQ168)</f>
        <v/>
      </c>
      <c r="AR168" t="str">
        <f>IF('1. Live'!AR168='check-Jul25'!AR168,"",'1. Live'!AR168-'check-Jul25'!AR168)</f>
        <v/>
      </c>
      <c r="AS168" t="str">
        <f>IF('1. Live'!AS168='check-Jul25'!AS168,"",'1. Live'!AS168-'check-Jul25'!AS168)</f>
        <v/>
      </c>
      <c r="AT168" t="str">
        <f>IF('1. Live'!AT168='check-Jul25'!AT168,"",'1. Live'!AT168-'check-Jul25'!AT168)</f>
        <v/>
      </c>
      <c r="AU168" t="str">
        <f>IF('1. Live'!AU168='check-Jul25'!AU168,"",'1. Live'!AU168-'check-Jul25'!AU168)</f>
        <v/>
      </c>
      <c r="AV168" t="str">
        <f>IF('1. Live'!AV168='check-Jul25'!AV168,"",'1. Live'!AV168-'check-Jul25'!AV168)</f>
        <v/>
      </c>
      <c r="AW168" t="str">
        <f>IF('1. Live'!AW168='check-Jul25'!AW168,"",'1. Live'!AW168-'check-Jul25'!AW168)</f>
        <v/>
      </c>
      <c r="AX168" t="str">
        <f>IF('1. Live'!AX168='check-Jul25'!AX168,"",'1. Live'!AX168-'check-Jul25'!AX168)</f>
        <v/>
      </c>
      <c r="AY168" t="str">
        <f>IF('1. Live'!AY168='check-Jul25'!AY168,"",'1. Live'!AY168-'check-Jul25'!AY168)</f>
        <v/>
      </c>
      <c r="AZ168" t="str">
        <f>IF('1. Live'!AZ168='check-Jul25'!AZ168,"",'1. Live'!AZ168-'check-Jul25'!AZ168)</f>
        <v/>
      </c>
      <c r="BA168" t="str">
        <f>IF('1. Live'!BA168='check-Jul25'!BA168,"",'1. Live'!BA168-'check-Jul25'!BA168)</f>
        <v/>
      </c>
      <c r="BB168" t="str">
        <f>IF('1. Live'!BB168='check-Jul25'!BB168,"",'1. Live'!BB168-'check-Jul25'!BB168)</f>
        <v/>
      </c>
      <c r="BC168" t="str">
        <f>IF('1. Live'!BC168='check-Jul25'!BC168,"",'1. Live'!BC168-'check-Jul25'!BC168)</f>
        <v/>
      </c>
      <c r="BD168" t="str">
        <f>IF('1. Live'!BD168='check-Jul25'!BD168,"",'1. Live'!BD168-'check-Jul25'!BD168)</f>
        <v/>
      </c>
      <c r="BE168" t="str">
        <f>IF('1. Live'!BE168='check-Jul25'!BE168,"",'1. Live'!BE168-'check-Jul25'!BE168)</f>
        <v/>
      </c>
      <c r="BF168" t="str">
        <f>IF('1. Live'!BF168='check-Jul25'!BF168,"",'1. Live'!BF168-'check-Jul25'!BF168)</f>
        <v/>
      </c>
      <c r="BG168" t="str">
        <f>IF('1. Live'!BG168='check-Jul25'!BG168,"",'1. Live'!BG168-'check-Jul25'!BG168)</f>
        <v/>
      </c>
      <c r="BH168" t="str">
        <f>IF('1. Live'!BH168='check-Jul25'!BH168,"",'1. Live'!BH168-'check-Jul25'!BH168)</f>
        <v/>
      </c>
      <c r="BI168" t="str">
        <f>IF('1. Live'!BI168='check-Jul25'!BI168,"",'1. Live'!BI168-'check-Jul25'!BI168)</f>
        <v/>
      </c>
      <c r="BJ168" t="str">
        <f>IF('1. Live'!BJ168='check-Jul25'!BJ168,"",'1. Live'!BJ168-'check-Jul25'!BJ168)</f>
        <v/>
      </c>
      <c r="BK168" t="str">
        <f>IF('1. Live'!BK168='check-Jul25'!BK168,"",'1. Live'!BK168-'check-Jul25'!BK168)</f>
        <v/>
      </c>
      <c r="BL168" t="str">
        <f>IF('1. Live'!BL168='check-Jul25'!BL168,"",'1. Live'!BL168-'check-Jul25'!BL168)</f>
        <v/>
      </c>
      <c r="BM168" t="str">
        <f>IF('1. Live'!BM168='check-Jul25'!BM168,"",'1. Live'!BM168-'check-Jul25'!BM168)</f>
        <v/>
      </c>
      <c r="BN168" t="str">
        <f>IF('1. Live'!BN168='check-Jul25'!BN168,"",'1. Live'!BN168-'check-Jul25'!BN168)</f>
        <v/>
      </c>
      <c r="BO168" t="str">
        <f>IF('1. Live'!BO168='check-Jul25'!BO168,"",'1. Live'!BO168-'check-Jul25'!BO168)</f>
        <v/>
      </c>
      <c r="BP168" t="str">
        <f>IF('1. Live'!BP168='check-Jul25'!BP168,"",'1. Live'!BP168-'check-Jul25'!BP168)</f>
        <v/>
      </c>
      <c r="BQ168" t="str">
        <f>IF('1. Live'!BQ168='check-Jul25'!BQ168,"",'1. Live'!BQ168-'check-Jul25'!BQ168)</f>
        <v/>
      </c>
      <c r="BR168" t="str">
        <f>IF('1. Live'!BR168='check-Jul25'!BR168,"",'1. Live'!BR168-'check-Jul25'!BR168)</f>
        <v/>
      </c>
      <c r="BS168" t="str">
        <f>IF('1. Live'!BS168='check-Jul25'!BS168,"",'1. Live'!BS168-'check-Jul25'!BS168)</f>
        <v/>
      </c>
      <c r="BT168" t="str">
        <f>IF('1. Live'!BT168='check-Jul25'!BT168,"",'1. Live'!BT168-'check-Jul25'!BT168)</f>
        <v/>
      </c>
      <c r="BU168" t="str">
        <f>IF('1. Live'!BU168='check-Jul25'!BU168,"",'1. Live'!BU168-'check-Jul25'!BU168)</f>
        <v/>
      </c>
      <c r="BV168" t="str">
        <f>IF('1. Live'!BV168='check-Jul25'!BV168,"",'1. Live'!BV168-'check-Jul25'!BV168)</f>
        <v/>
      </c>
      <c r="BW168" t="str">
        <f>IF('1. Live'!BW168='check-Jul25'!BW168,"",'1. Live'!BW168-'check-Jul25'!BW168)</f>
        <v/>
      </c>
      <c r="BX168" t="str">
        <f>IF('1. Live'!BX168='check-Jul25'!BX168,"",'1. Live'!BX168-'check-Jul25'!BX168)</f>
        <v/>
      </c>
      <c r="BY168" t="str">
        <f>IF('1. Live'!BY168='check-Jul25'!BY168,"",'1. Live'!BY168-'check-Jul25'!BY168)</f>
        <v/>
      </c>
      <c r="BZ168" t="str">
        <f>IF('1. Live'!BZ168='check-Jul25'!BZ168,"",'1. Live'!BZ168-'check-Jul25'!BZ168)</f>
        <v/>
      </c>
      <c r="CA168" t="str">
        <f>IF('1. Live'!CA168='check-Jul25'!CA168,"",'1. Live'!CA168-'check-Jul25'!CA168)</f>
        <v/>
      </c>
      <c r="CB168" t="str">
        <f>IF('1. Live'!CB168='check-Jul25'!CB168,"",'1. Live'!CB168-'check-Jul25'!CB168)</f>
        <v/>
      </c>
      <c r="CC168" t="str">
        <f>IF('1. Live'!CC168='check-Jul25'!CC168,"",'1. Live'!CC168-'check-Jul25'!CC168)</f>
        <v/>
      </c>
      <c r="CD168" t="str">
        <f>IF('1. Live'!CD168='check-Jul25'!CD168,"",'1. Live'!CD168-'check-Jul25'!CD168)</f>
        <v/>
      </c>
      <c r="CE168" t="str">
        <f>IF('1. Live'!CE168='check-Jul25'!CE168,"",'1. Live'!CE168-'check-Jul25'!CE168)</f>
        <v/>
      </c>
      <c r="CF168" t="str">
        <f>IF('1. Live'!CF168='check-Jul25'!CF168,"",'1. Live'!CF168-'check-Jul25'!CF168)</f>
        <v/>
      </c>
      <c r="CG168" t="str">
        <f>IF('1. Live'!CG168='check-Jul25'!CG168,"",'1. Live'!CG168-'check-Jul25'!CG168)</f>
        <v/>
      </c>
      <c r="CH168" t="str">
        <f>IF('1. Live'!CH168='check-Jul25'!CH168,"",'1. Live'!CH168-'check-Jul25'!CH168)</f>
        <v/>
      </c>
      <c r="CI168" t="str">
        <f>IF('1. Live'!CI168='check-Jul25'!CI168,"",'1. Live'!CI168-'check-Jul25'!CI168)</f>
        <v/>
      </c>
      <c r="CJ168" t="str">
        <f>IF('1. Live'!CJ168='check-Jul25'!CJ168,"",'1. Live'!CJ168-'check-Jul25'!CJ168)</f>
        <v/>
      </c>
      <c r="CK168" t="str">
        <f>IF('1. Live'!CK168='check-Jul25'!CK168,"",'1. Live'!CK168-'check-Jul25'!CK168)</f>
        <v/>
      </c>
      <c r="CL168" t="str">
        <f>IF('1. Live'!CL168='check-Jul25'!CL168,"",'1. Live'!CL168-'check-Jul25'!CL168)</f>
        <v/>
      </c>
      <c r="CM168" t="str">
        <f>IF('1. Live'!CM168='check-Jul25'!CM168,"",'1. Live'!CM168-'check-Jul25'!CM168)</f>
        <v/>
      </c>
      <c r="CN168" t="str">
        <f>IF('1. Live'!CN168='check-Jul25'!CN168,"",'1. Live'!CN168-'check-Jul25'!CN168)</f>
        <v/>
      </c>
      <c r="CO168" t="str">
        <f>IF('1. Live'!CO168='check-Jul25'!CO168,"",'1. Live'!CO168-'check-Jul25'!CO168)</f>
        <v/>
      </c>
      <c r="CP168" t="str">
        <f>IF('1. Live'!CP168='check-Jul25'!CP168,"",'1. Live'!CP168-'check-Jul25'!CP168)</f>
        <v/>
      </c>
      <c r="CQ168" t="str">
        <f>IF('1. Live'!CQ168='check-Jul25'!CQ168,"",'1. Live'!CQ168-'check-Jul25'!CQ168)</f>
        <v/>
      </c>
      <c r="CR168" t="str">
        <f>IF('1. Live'!CR168='check-Jul25'!CR168,"",'1. Live'!CR168-'check-Jul25'!CR168)</f>
        <v/>
      </c>
      <c r="CS168" t="str">
        <f>IF('1. Live'!CS168='check-Jul25'!CS168,"",'1. Live'!CS168-'check-Jul25'!CS168)</f>
        <v/>
      </c>
      <c r="CT168" t="str">
        <f>IF('1. Live'!CT168='check-Jul25'!CT168,"",'1. Live'!CT168-'check-Jul25'!CT168)</f>
        <v/>
      </c>
      <c r="CU168" t="str">
        <f>IF('1. Live'!CU168='check-Jul25'!CU168,"",'1. Live'!CU168-'check-Jul25'!CU168)</f>
        <v/>
      </c>
      <c r="CV168" t="str">
        <f>IF('1. Live'!CV168='check-Jul25'!CV168,"",'1. Live'!CV168-'check-Jul25'!CV168)</f>
        <v/>
      </c>
      <c r="CW168" t="str">
        <f>IF('1. Live'!CW168='check-Jul25'!CW168,"",'1. Live'!CW168-'check-Jul25'!CW168)</f>
        <v/>
      </c>
    </row>
    <row r="169" spans="10:101">
      <c r="J169" t="str">
        <f>IF('1. Live'!J169='check-Jul25'!J169,"",'1. Live'!J169-'check-Jul25'!J169)</f>
        <v/>
      </c>
      <c r="K169" t="str">
        <f>IF('1. Live'!K169='check-Jul25'!K169,"",'1. Live'!K169-'check-Jul25'!K169)</f>
        <v/>
      </c>
      <c r="L169" t="str">
        <f>IF('1. Live'!L169='check-Jul25'!L169,"",'1. Live'!L169-'check-Jul25'!L169)</f>
        <v/>
      </c>
      <c r="M169" t="str">
        <f>IF('1. Live'!M169='check-Jul25'!M169,"",'1. Live'!M169-'check-Jul25'!M169)</f>
        <v/>
      </c>
      <c r="N169" t="str">
        <f>IF('1. Live'!N169='check-Jul25'!N169,"",'1. Live'!N169-'check-Jul25'!N169)</f>
        <v/>
      </c>
      <c r="O169" t="str">
        <f>IF('1. Live'!O169='check-Jul25'!O169,"",'1. Live'!O169-'check-Jul25'!O169)</f>
        <v/>
      </c>
      <c r="P169" t="str">
        <f>IF('1. Live'!P169='check-Jul25'!P169,"",'1. Live'!P169-'check-Jul25'!P169)</f>
        <v/>
      </c>
      <c r="Q169" t="str">
        <f>IF('1. Live'!Q169='check-Jul25'!Q169,"",'1. Live'!Q169-'check-Jul25'!Q169)</f>
        <v/>
      </c>
      <c r="R169" t="str">
        <f>IF('1. Live'!R169='check-Jul25'!R169,"",'1. Live'!R169-'check-Jul25'!R169)</f>
        <v/>
      </c>
      <c r="S169" t="str">
        <f>IF('1. Live'!S169='check-Jul25'!S169,"",'1. Live'!S169-'check-Jul25'!S169)</f>
        <v/>
      </c>
      <c r="T169" t="str">
        <f>IF('1. Live'!T169='check-Jul25'!T169,"",'1. Live'!T169-'check-Jul25'!T169)</f>
        <v/>
      </c>
      <c r="U169" t="str">
        <f>IF('1. Live'!U169='check-Jul25'!U169,"",'1. Live'!U169-'check-Jul25'!U169)</f>
        <v/>
      </c>
      <c r="V169" t="str">
        <f>IF('1. Live'!V169='check-Jul25'!V169,"",'1. Live'!V169-'check-Jul25'!V169)</f>
        <v/>
      </c>
      <c r="W169" t="str">
        <f>IF('1. Live'!W169='check-Jul25'!W169,"",'1. Live'!W169-'check-Jul25'!W169)</f>
        <v/>
      </c>
      <c r="X169" t="str">
        <f>IF('1. Live'!X169='check-Jul25'!X169,"",'1. Live'!X169-'check-Jul25'!X169)</f>
        <v/>
      </c>
      <c r="Y169" t="str">
        <f>IF('1. Live'!Y169='check-Jul25'!Y169,"",'1. Live'!Y169-'check-Jul25'!Y169)</f>
        <v/>
      </c>
      <c r="Z169" t="str">
        <f>IF('1. Live'!Z169='check-Jul25'!Z169,"",'1. Live'!Z169-'check-Jul25'!Z169)</f>
        <v/>
      </c>
      <c r="AA169" t="str">
        <f>IF('1. Live'!AA169='check-Jul25'!AA169,"",'1. Live'!AA169-'check-Jul25'!AA169)</f>
        <v/>
      </c>
      <c r="AB169" t="str">
        <f>IF('1. Live'!AB169='check-Jul25'!AB169,"",'1. Live'!AB169-'check-Jul25'!AB169)</f>
        <v/>
      </c>
      <c r="AC169" t="str">
        <f>IF('1. Live'!AC169='check-Jul25'!AC169,"",'1. Live'!AC169-'check-Jul25'!AC169)</f>
        <v/>
      </c>
      <c r="AD169" t="str">
        <f>IF('1. Live'!AD169='check-Jul25'!AD169,"",'1. Live'!AD169-'check-Jul25'!AD169)</f>
        <v/>
      </c>
      <c r="AE169" t="str">
        <f>IF('1. Live'!AE169='check-Jul25'!AE169,"",'1. Live'!AE169-'check-Jul25'!AE169)</f>
        <v/>
      </c>
      <c r="AF169" t="str">
        <f>IF('1. Live'!AF169='check-Jul25'!AF169,"",'1. Live'!AF169-'check-Jul25'!AF169)</f>
        <v/>
      </c>
      <c r="AG169" t="str">
        <f>IF('1. Live'!AG169='check-Jul25'!AG169,"",'1. Live'!AG169-'check-Jul25'!AG169)</f>
        <v/>
      </c>
      <c r="AH169" t="str">
        <f>IF('1. Live'!AH169='check-Jul25'!AH169,"",'1. Live'!AH169-'check-Jul25'!AH169)</f>
        <v/>
      </c>
      <c r="AI169" t="str">
        <f>IF('1. Live'!AI169='check-Jul25'!AI169,"",'1. Live'!AI169-'check-Jul25'!AI169)</f>
        <v/>
      </c>
      <c r="AJ169" t="str">
        <f>IF('1. Live'!AJ169='check-Jul25'!AJ169,"",'1. Live'!AJ169-'check-Jul25'!AJ169)</f>
        <v/>
      </c>
      <c r="AK169" t="str">
        <f>IF('1. Live'!AK169='check-Jul25'!AK169,"",'1. Live'!AK169-'check-Jul25'!AK169)</f>
        <v/>
      </c>
      <c r="AL169" t="str">
        <f>IF('1. Live'!AL169='check-Jul25'!AL169,"",'1. Live'!AL169-'check-Jul25'!AL169)</f>
        <v/>
      </c>
      <c r="AM169" t="str">
        <f>IF('1. Live'!AM169='check-Jul25'!AM169,"",'1. Live'!AM169-'check-Jul25'!AM169)</f>
        <v/>
      </c>
      <c r="AN169" t="str">
        <f>IF('1. Live'!AN169='check-Jul25'!AN169,"",'1. Live'!AN169-'check-Jul25'!AN169)</f>
        <v/>
      </c>
      <c r="AO169" t="str">
        <f>IF('1. Live'!AO169='check-Jul25'!AO169,"",'1. Live'!AO169-'check-Jul25'!AO169)</f>
        <v/>
      </c>
      <c r="AP169" t="str">
        <f>IF('1. Live'!AP169='check-Jul25'!AP169,"",'1. Live'!AP169-'check-Jul25'!AP169)</f>
        <v/>
      </c>
      <c r="AQ169" t="str">
        <f>IF('1. Live'!AQ169='check-Jul25'!AQ169,"",'1. Live'!AQ169-'check-Jul25'!AQ169)</f>
        <v/>
      </c>
      <c r="AR169" t="str">
        <f>IF('1. Live'!AR169='check-Jul25'!AR169,"",'1. Live'!AR169-'check-Jul25'!AR169)</f>
        <v/>
      </c>
      <c r="AS169" t="str">
        <f>IF('1. Live'!AS169='check-Jul25'!AS169,"",'1. Live'!AS169-'check-Jul25'!AS169)</f>
        <v/>
      </c>
      <c r="AT169" t="str">
        <f>IF('1. Live'!AT169='check-Jul25'!AT169,"",'1. Live'!AT169-'check-Jul25'!AT169)</f>
        <v/>
      </c>
      <c r="AU169" t="str">
        <f>IF('1. Live'!AU169='check-Jul25'!AU169,"",'1. Live'!AU169-'check-Jul25'!AU169)</f>
        <v/>
      </c>
      <c r="AV169" t="str">
        <f>IF('1. Live'!AV169='check-Jul25'!AV169,"",'1. Live'!AV169-'check-Jul25'!AV169)</f>
        <v/>
      </c>
      <c r="AW169" t="str">
        <f>IF('1. Live'!AW169='check-Jul25'!AW169,"",'1. Live'!AW169-'check-Jul25'!AW169)</f>
        <v/>
      </c>
      <c r="AX169" t="str">
        <f>IF('1. Live'!AX169='check-Jul25'!AX169,"",'1. Live'!AX169-'check-Jul25'!AX169)</f>
        <v/>
      </c>
      <c r="AY169" t="str">
        <f>IF('1. Live'!AY169='check-Jul25'!AY169,"",'1. Live'!AY169-'check-Jul25'!AY169)</f>
        <v/>
      </c>
      <c r="AZ169" t="str">
        <f>IF('1. Live'!AZ169='check-Jul25'!AZ169,"",'1. Live'!AZ169-'check-Jul25'!AZ169)</f>
        <v/>
      </c>
      <c r="BA169" t="str">
        <f>IF('1. Live'!BA169='check-Jul25'!BA169,"",'1. Live'!BA169-'check-Jul25'!BA169)</f>
        <v/>
      </c>
      <c r="BB169" t="str">
        <f>IF('1. Live'!BB169='check-Jul25'!BB169,"",'1. Live'!BB169-'check-Jul25'!BB169)</f>
        <v/>
      </c>
      <c r="BC169" t="str">
        <f>IF('1. Live'!BC169='check-Jul25'!BC169,"",'1. Live'!BC169-'check-Jul25'!BC169)</f>
        <v/>
      </c>
      <c r="BD169" t="str">
        <f>IF('1. Live'!BD169='check-Jul25'!BD169,"",'1. Live'!BD169-'check-Jul25'!BD169)</f>
        <v/>
      </c>
      <c r="BE169" t="str">
        <f>IF('1. Live'!BE169='check-Jul25'!BE169,"",'1. Live'!BE169-'check-Jul25'!BE169)</f>
        <v/>
      </c>
      <c r="BF169" t="str">
        <f>IF('1. Live'!BF169='check-Jul25'!BF169,"",'1. Live'!BF169-'check-Jul25'!BF169)</f>
        <v/>
      </c>
      <c r="BG169" t="str">
        <f>IF('1. Live'!BG169='check-Jul25'!BG169,"",'1. Live'!BG169-'check-Jul25'!BG169)</f>
        <v/>
      </c>
      <c r="BH169" t="str">
        <f>IF('1. Live'!BH169='check-Jul25'!BH169,"",'1. Live'!BH169-'check-Jul25'!BH169)</f>
        <v/>
      </c>
      <c r="BI169" t="str">
        <f>IF('1. Live'!BI169='check-Jul25'!BI169,"",'1. Live'!BI169-'check-Jul25'!BI169)</f>
        <v/>
      </c>
      <c r="BJ169" t="str">
        <f>IF('1. Live'!BJ169='check-Jul25'!BJ169,"",'1. Live'!BJ169-'check-Jul25'!BJ169)</f>
        <v/>
      </c>
      <c r="BK169" t="str">
        <f>IF('1. Live'!BK169='check-Jul25'!BK169,"",'1. Live'!BK169-'check-Jul25'!BK169)</f>
        <v/>
      </c>
      <c r="BL169" t="str">
        <f>IF('1. Live'!BL169='check-Jul25'!BL169,"",'1. Live'!BL169-'check-Jul25'!BL169)</f>
        <v/>
      </c>
      <c r="BM169" t="str">
        <f>IF('1. Live'!BM169='check-Jul25'!BM169,"",'1. Live'!BM169-'check-Jul25'!BM169)</f>
        <v/>
      </c>
      <c r="BN169" t="str">
        <f>IF('1. Live'!BN169='check-Jul25'!BN169,"",'1. Live'!BN169-'check-Jul25'!BN169)</f>
        <v/>
      </c>
      <c r="BO169" t="str">
        <f>IF('1. Live'!BO169='check-Jul25'!BO169,"",'1. Live'!BO169-'check-Jul25'!BO169)</f>
        <v/>
      </c>
      <c r="BP169" t="str">
        <f>IF('1. Live'!BP169='check-Jul25'!BP169,"",'1. Live'!BP169-'check-Jul25'!BP169)</f>
        <v/>
      </c>
      <c r="BQ169" t="str">
        <f>IF('1. Live'!BQ169='check-Jul25'!BQ169,"",'1. Live'!BQ169-'check-Jul25'!BQ169)</f>
        <v/>
      </c>
      <c r="BR169" t="str">
        <f>IF('1. Live'!BR169='check-Jul25'!BR169,"",'1. Live'!BR169-'check-Jul25'!BR169)</f>
        <v/>
      </c>
      <c r="BS169" t="str">
        <f>IF('1. Live'!BS169='check-Jul25'!BS169,"",'1. Live'!BS169-'check-Jul25'!BS169)</f>
        <v/>
      </c>
      <c r="BT169" t="str">
        <f>IF('1. Live'!BT169='check-Jul25'!BT169,"",'1. Live'!BT169-'check-Jul25'!BT169)</f>
        <v/>
      </c>
      <c r="BU169" t="str">
        <f>IF('1. Live'!BU169='check-Jul25'!BU169,"",'1. Live'!BU169-'check-Jul25'!BU169)</f>
        <v/>
      </c>
      <c r="BV169" t="str">
        <f>IF('1. Live'!BV169='check-Jul25'!BV169,"",'1. Live'!BV169-'check-Jul25'!BV169)</f>
        <v/>
      </c>
      <c r="BW169" t="str">
        <f>IF('1. Live'!BW169='check-Jul25'!BW169,"",'1. Live'!BW169-'check-Jul25'!BW169)</f>
        <v/>
      </c>
      <c r="BX169" t="str">
        <f>IF('1. Live'!BX169='check-Jul25'!BX169,"",'1. Live'!BX169-'check-Jul25'!BX169)</f>
        <v/>
      </c>
      <c r="BY169" t="str">
        <f>IF('1. Live'!BY169='check-Jul25'!BY169,"",'1. Live'!BY169-'check-Jul25'!BY169)</f>
        <v/>
      </c>
      <c r="BZ169" t="str">
        <f>IF('1. Live'!BZ169='check-Jul25'!BZ169,"",'1. Live'!BZ169-'check-Jul25'!BZ169)</f>
        <v/>
      </c>
      <c r="CA169" t="str">
        <f>IF('1. Live'!CA169='check-Jul25'!CA169,"",'1. Live'!CA169-'check-Jul25'!CA169)</f>
        <v/>
      </c>
      <c r="CB169" t="str">
        <f>IF('1. Live'!CB169='check-Jul25'!CB169,"",'1. Live'!CB169-'check-Jul25'!CB169)</f>
        <v/>
      </c>
      <c r="CC169" t="str">
        <f>IF('1. Live'!CC169='check-Jul25'!CC169,"",'1. Live'!CC169-'check-Jul25'!CC169)</f>
        <v/>
      </c>
      <c r="CD169" t="str">
        <f>IF('1. Live'!CD169='check-Jul25'!CD169,"",'1. Live'!CD169-'check-Jul25'!CD169)</f>
        <v/>
      </c>
      <c r="CE169" t="str">
        <f>IF('1. Live'!CE169='check-Jul25'!CE169,"",'1. Live'!CE169-'check-Jul25'!CE169)</f>
        <v/>
      </c>
      <c r="CF169" t="str">
        <f>IF('1. Live'!CF169='check-Jul25'!CF169,"",'1. Live'!CF169-'check-Jul25'!CF169)</f>
        <v/>
      </c>
      <c r="CG169" t="str">
        <f>IF('1. Live'!CG169='check-Jul25'!CG169,"",'1. Live'!CG169-'check-Jul25'!CG169)</f>
        <v/>
      </c>
      <c r="CH169" t="str">
        <f>IF('1. Live'!CH169='check-Jul25'!CH169,"",'1. Live'!CH169-'check-Jul25'!CH169)</f>
        <v/>
      </c>
      <c r="CI169" t="str">
        <f>IF('1. Live'!CI169='check-Jul25'!CI169,"",'1. Live'!CI169-'check-Jul25'!CI169)</f>
        <v/>
      </c>
      <c r="CJ169" t="str">
        <f>IF('1. Live'!CJ169='check-Jul25'!CJ169,"",'1. Live'!CJ169-'check-Jul25'!CJ169)</f>
        <v/>
      </c>
      <c r="CK169" t="str">
        <f>IF('1. Live'!CK169='check-Jul25'!CK169,"",'1. Live'!CK169-'check-Jul25'!CK169)</f>
        <v/>
      </c>
      <c r="CL169" t="str">
        <f>IF('1. Live'!CL169='check-Jul25'!CL169,"",'1. Live'!CL169-'check-Jul25'!CL169)</f>
        <v/>
      </c>
      <c r="CM169" t="str">
        <f>IF('1. Live'!CM169='check-Jul25'!CM169,"",'1. Live'!CM169-'check-Jul25'!CM169)</f>
        <v/>
      </c>
      <c r="CN169" t="str">
        <f>IF('1. Live'!CN169='check-Jul25'!CN169,"",'1. Live'!CN169-'check-Jul25'!CN169)</f>
        <v/>
      </c>
      <c r="CO169" t="str">
        <f>IF('1. Live'!CO169='check-Jul25'!CO169,"",'1. Live'!CO169-'check-Jul25'!CO169)</f>
        <v/>
      </c>
      <c r="CP169" t="str">
        <f>IF('1. Live'!CP169='check-Jul25'!CP169,"",'1. Live'!CP169-'check-Jul25'!CP169)</f>
        <v/>
      </c>
      <c r="CQ169" t="str">
        <f>IF('1. Live'!CQ169='check-Jul25'!CQ169,"",'1. Live'!CQ169-'check-Jul25'!CQ169)</f>
        <v/>
      </c>
      <c r="CR169" t="str">
        <f>IF('1. Live'!CR169='check-Jul25'!CR169,"",'1. Live'!CR169-'check-Jul25'!CR169)</f>
        <v/>
      </c>
      <c r="CS169" t="str">
        <f>IF('1. Live'!CS169='check-Jul25'!CS169,"",'1. Live'!CS169-'check-Jul25'!CS169)</f>
        <v/>
      </c>
      <c r="CT169" t="str">
        <f>IF('1. Live'!CT169='check-Jul25'!CT169,"",'1. Live'!CT169-'check-Jul25'!CT169)</f>
        <v/>
      </c>
      <c r="CU169" t="str">
        <f>IF('1. Live'!CU169='check-Jul25'!CU169,"",'1. Live'!CU169-'check-Jul25'!CU169)</f>
        <v/>
      </c>
      <c r="CV169" t="str">
        <f>IF('1. Live'!CV169='check-Jul25'!CV169,"",'1. Live'!CV169-'check-Jul25'!CV169)</f>
        <v/>
      </c>
      <c r="CW169" t="str">
        <f>IF('1. Live'!CW169='check-Jul25'!CW169,"",'1. Live'!CW169-'check-Jul25'!CW169)</f>
        <v/>
      </c>
    </row>
    <row r="170" spans="10:101">
      <c r="J170" t="str">
        <f>IF('1. Live'!J170='check-Jul25'!J170,"",'1. Live'!J170-'check-Jul25'!J170)</f>
        <v/>
      </c>
      <c r="K170" t="str">
        <f>IF('1. Live'!K170='check-Jul25'!K170,"",'1. Live'!K170-'check-Jul25'!K170)</f>
        <v/>
      </c>
      <c r="L170" t="str">
        <f>IF('1. Live'!L170='check-Jul25'!L170,"",'1. Live'!L170-'check-Jul25'!L170)</f>
        <v/>
      </c>
      <c r="M170" t="str">
        <f>IF('1. Live'!M170='check-Jul25'!M170,"",'1. Live'!M170-'check-Jul25'!M170)</f>
        <v/>
      </c>
      <c r="N170" t="str">
        <f>IF('1. Live'!N170='check-Jul25'!N170,"",'1. Live'!N170-'check-Jul25'!N170)</f>
        <v/>
      </c>
      <c r="O170" t="str">
        <f>IF('1. Live'!O170='check-Jul25'!O170,"",'1. Live'!O170-'check-Jul25'!O170)</f>
        <v/>
      </c>
      <c r="P170" t="str">
        <f>IF('1. Live'!P170='check-Jul25'!P170,"",'1. Live'!P170-'check-Jul25'!P170)</f>
        <v/>
      </c>
      <c r="Q170" t="str">
        <f>IF('1. Live'!Q170='check-Jul25'!Q170,"",'1. Live'!Q170-'check-Jul25'!Q170)</f>
        <v/>
      </c>
      <c r="R170" t="str">
        <f>IF('1. Live'!R170='check-Jul25'!R170,"",'1. Live'!R170-'check-Jul25'!R170)</f>
        <v/>
      </c>
      <c r="S170" t="str">
        <f>IF('1. Live'!S170='check-Jul25'!S170,"",'1. Live'!S170-'check-Jul25'!S170)</f>
        <v/>
      </c>
      <c r="T170" t="str">
        <f>IF('1. Live'!T170='check-Jul25'!T170,"",'1. Live'!T170-'check-Jul25'!T170)</f>
        <v/>
      </c>
      <c r="U170" t="str">
        <f>IF('1. Live'!U170='check-Jul25'!U170,"",'1. Live'!U170-'check-Jul25'!U170)</f>
        <v/>
      </c>
      <c r="V170" t="str">
        <f>IF('1. Live'!V170='check-Jul25'!V170,"",'1. Live'!V170-'check-Jul25'!V170)</f>
        <v/>
      </c>
      <c r="W170" t="str">
        <f>IF('1. Live'!W170='check-Jul25'!W170,"",'1. Live'!W170-'check-Jul25'!W170)</f>
        <v/>
      </c>
      <c r="X170" t="str">
        <f>IF('1. Live'!X170='check-Jul25'!X170,"",'1. Live'!X170-'check-Jul25'!X170)</f>
        <v/>
      </c>
      <c r="Y170" t="str">
        <f>IF('1. Live'!Y170='check-Jul25'!Y170,"",'1. Live'!Y170-'check-Jul25'!Y170)</f>
        <v/>
      </c>
      <c r="Z170" t="str">
        <f>IF('1. Live'!Z170='check-Jul25'!Z170,"",'1. Live'!Z170-'check-Jul25'!Z170)</f>
        <v/>
      </c>
      <c r="AA170" t="str">
        <f>IF('1. Live'!AA170='check-Jul25'!AA170,"",'1. Live'!AA170-'check-Jul25'!AA170)</f>
        <v/>
      </c>
      <c r="AB170" t="str">
        <f>IF('1. Live'!AB170='check-Jul25'!AB170,"",'1. Live'!AB170-'check-Jul25'!AB170)</f>
        <v/>
      </c>
      <c r="AC170" t="str">
        <f>IF('1. Live'!AC170='check-Jul25'!AC170,"",'1. Live'!AC170-'check-Jul25'!AC170)</f>
        <v/>
      </c>
      <c r="AD170" t="str">
        <f>IF('1. Live'!AD170='check-Jul25'!AD170,"",'1. Live'!AD170-'check-Jul25'!AD170)</f>
        <v/>
      </c>
      <c r="AE170" t="str">
        <f>IF('1. Live'!AE170='check-Jul25'!AE170,"",'1. Live'!AE170-'check-Jul25'!AE170)</f>
        <v/>
      </c>
      <c r="AF170" t="str">
        <f>IF('1. Live'!AF170='check-Jul25'!AF170,"",'1. Live'!AF170-'check-Jul25'!AF170)</f>
        <v/>
      </c>
      <c r="AG170" t="str">
        <f>IF('1. Live'!AG170='check-Jul25'!AG170,"",'1. Live'!AG170-'check-Jul25'!AG170)</f>
        <v/>
      </c>
      <c r="AH170" t="str">
        <f>IF('1. Live'!AH170='check-Jul25'!AH170,"",'1. Live'!AH170-'check-Jul25'!AH170)</f>
        <v/>
      </c>
      <c r="AI170" t="str">
        <f>IF('1. Live'!AI170='check-Jul25'!AI170,"",'1. Live'!AI170-'check-Jul25'!AI170)</f>
        <v/>
      </c>
      <c r="AJ170" t="str">
        <f>IF('1. Live'!AJ170='check-Jul25'!AJ170,"",'1. Live'!AJ170-'check-Jul25'!AJ170)</f>
        <v/>
      </c>
      <c r="AK170" t="str">
        <f>IF('1. Live'!AK170='check-Jul25'!AK170,"",'1. Live'!AK170-'check-Jul25'!AK170)</f>
        <v/>
      </c>
      <c r="AL170" t="str">
        <f>IF('1. Live'!AL170='check-Jul25'!AL170,"",'1. Live'!AL170-'check-Jul25'!AL170)</f>
        <v/>
      </c>
      <c r="AM170" t="str">
        <f>IF('1. Live'!AM170='check-Jul25'!AM170,"",'1. Live'!AM170-'check-Jul25'!AM170)</f>
        <v/>
      </c>
      <c r="AN170" t="str">
        <f>IF('1. Live'!AN170='check-Jul25'!AN170,"",'1. Live'!AN170-'check-Jul25'!AN170)</f>
        <v/>
      </c>
      <c r="AO170" t="str">
        <f>IF('1. Live'!AO170='check-Jul25'!AO170,"",'1. Live'!AO170-'check-Jul25'!AO170)</f>
        <v/>
      </c>
      <c r="AP170" t="str">
        <f>IF('1. Live'!AP170='check-Jul25'!AP170,"",'1. Live'!AP170-'check-Jul25'!AP170)</f>
        <v/>
      </c>
      <c r="AQ170" t="str">
        <f>IF('1. Live'!AQ170='check-Jul25'!AQ170,"",'1. Live'!AQ170-'check-Jul25'!AQ170)</f>
        <v/>
      </c>
      <c r="AR170" t="str">
        <f>IF('1. Live'!AR170='check-Jul25'!AR170,"",'1. Live'!AR170-'check-Jul25'!AR170)</f>
        <v/>
      </c>
      <c r="AS170" t="str">
        <f>IF('1. Live'!AS170='check-Jul25'!AS170,"",'1. Live'!AS170-'check-Jul25'!AS170)</f>
        <v/>
      </c>
      <c r="AT170" t="str">
        <f>IF('1. Live'!AT170='check-Jul25'!AT170,"",'1. Live'!AT170-'check-Jul25'!AT170)</f>
        <v/>
      </c>
      <c r="AU170" t="str">
        <f>IF('1. Live'!AU170='check-Jul25'!AU170,"",'1. Live'!AU170-'check-Jul25'!AU170)</f>
        <v/>
      </c>
      <c r="AV170" t="str">
        <f>IF('1. Live'!AV170='check-Jul25'!AV170,"",'1. Live'!AV170-'check-Jul25'!AV170)</f>
        <v/>
      </c>
      <c r="AW170" t="str">
        <f>IF('1. Live'!AW170='check-Jul25'!AW170,"",'1. Live'!AW170-'check-Jul25'!AW170)</f>
        <v/>
      </c>
      <c r="AX170" t="str">
        <f>IF('1. Live'!AX170='check-Jul25'!AX170,"",'1. Live'!AX170-'check-Jul25'!AX170)</f>
        <v/>
      </c>
      <c r="AY170" t="str">
        <f>IF('1. Live'!AY170='check-Jul25'!AY170,"",'1. Live'!AY170-'check-Jul25'!AY170)</f>
        <v/>
      </c>
      <c r="AZ170" t="str">
        <f>IF('1. Live'!AZ170='check-Jul25'!AZ170,"",'1. Live'!AZ170-'check-Jul25'!AZ170)</f>
        <v/>
      </c>
      <c r="BA170" t="str">
        <f>IF('1. Live'!BA170='check-Jul25'!BA170,"",'1. Live'!BA170-'check-Jul25'!BA170)</f>
        <v/>
      </c>
      <c r="BB170" t="str">
        <f>IF('1. Live'!BB170='check-Jul25'!BB170,"",'1. Live'!BB170-'check-Jul25'!BB170)</f>
        <v/>
      </c>
      <c r="BC170" t="str">
        <f>IF('1. Live'!BC170='check-Jul25'!BC170,"",'1. Live'!BC170-'check-Jul25'!BC170)</f>
        <v/>
      </c>
      <c r="BD170" t="str">
        <f>IF('1. Live'!BD170='check-Jul25'!BD170,"",'1. Live'!BD170-'check-Jul25'!BD170)</f>
        <v/>
      </c>
      <c r="BE170" t="str">
        <f>IF('1. Live'!BE170='check-Jul25'!BE170,"",'1. Live'!BE170-'check-Jul25'!BE170)</f>
        <v/>
      </c>
      <c r="BF170" t="str">
        <f>IF('1. Live'!BF170='check-Jul25'!BF170,"",'1. Live'!BF170-'check-Jul25'!BF170)</f>
        <v/>
      </c>
      <c r="BG170" t="str">
        <f>IF('1. Live'!BG170='check-Jul25'!BG170,"",'1. Live'!BG170-'check-Jul25'!BG170)</f>
        <v/>
      </c>
      <c r="BH170" t="str">
        <f>IF('1. Live'!BH170='check-Jul25'!BH170,"",'1. Live'!BH170-'check-Jul25'!BH170)</f>
        <v/>
      </c>
      <c r="BI170" t="str">
        <f>IF('1. Live'!BI170='check-Jul25'!BI170,"",'1. Live'!BI170-'check-Jul25'!BI170)</f>
        <v/>
      </c>
      <c r="BJ170" t="str">
        <f>IF('1. Live'!BJ170='check-Jul25'!BJ170,"",'1. Live'!BJ170-'check-Jul25'!BJ170)</f>
        <v/>
      </c>
      <c r="BK170" t="str">
        <f>IF('1. Live'!BK170='check-Jul25'!BK170,"",'1. Live'!BK170-'check-Jul25'!BK170)</f>
        <v/>
      </c>
      <c r="BL170" t="str">
        <f>IF('1. Live'!BL170='check-Jul25'!BL170,"",'1. Live'!BL170-'check-Jul25'!BL170)</f>
        <v/>
      </c>
      <c r="BM170" t="str">
        <f>IF('1. Live'!BM170='check-Jul25'!BM170,"",'1. Live'!BM170-'check-Jul25'!BM170)</f>
        <v/>
      </c>
      <c r="BN170" t="str">
        <f>IF('1. Live'!BN170='check-Jul25'!BN170,"",'1. Live'!BN170-'check-Jul25'!BN170)</f>
        <v/>
      </c>
      <c r="BO170" t="str">
        <f>IF('1. Live'!BO170='check-Jul25'!BO170,"",'1. Live'!BO170-'check-Jul25'!BO170)</f>
        <v/>
      </c>
      <c r="BP170" t="str">
        <f>IF('1. Live'!BP170='check-Jul25'!BP170,"",'1. Live'!BP170-'check-Jul25'!BP170)</f>
        <v/>
      </c>
      <c r="BQ170" t="str">
        <f>IF('1. Live'!BQ170='check-Jul25'!BQ170,"",'1. Live'!BQ170-'check-Jul25'!BQ170)</f>
        <v/>
      </c>
      <c r="BR170" t="str">
        <f>IF('1. Live'!BR170='check-Jul25'!BR170,"",'1. Live'!BR170-'check-Jul25'!BR170)</f>
        <v/>
      </c>
      <c r="BS170" t="str">
        <f>IF('1. Live'!BS170='check-Jul25'!BS170,"",'1. Live'!BS170-'check-Jul25'!BS170)</f>
        <v/>
      </c>
      <c r="BT170" t="str">
        <f>IF('1. Live'!BT170='check-Jul25'!BT170,"",'1. Live'!BT170-'check-Jul25'!BT170)</f>
        <v/>
      </c>
      <c r="BU170" t="str">
        <f>IF('1. Live'!BU170='check-Jul25'!BU170,"",'1. Live'!BU170-'check-Jul25'!BU170)</f>
        <v/>
      </c>
      <c r="BV170" t="str">
        <f>IF('1. Live'!BV170='check-Jul25'!BV170,"",'1. Live'!BV170-'check-Jul25'!BV170)</f>
        <v/>
      </c>
      <c r="BW170" t="str">
        <f>IF('1. Live'!BW170='check-Jul25'!BW170,"",'1. Live'!BW170-'check-Jul25'!BW170)</f>
        <v/>
      </c>
      <c r="BX170" t="str">
        <f>IF('1. Live'!BX170='check-Jul25'!BX170,"",'1. Live'!BX170-'check-Jul25'!BX170)</f>
        <v/>
      </c>
      <c r="BY170" t="str">
        <f>IF('1. Live'!BY170='check-Jul25'!BY170,"",'1. Live'!BY170-'check-Jul25'!BY170)</f>
        <v/>
      </c>
      <c r="BZ170" t="str">
        <f>IF('1. Live'!BZ170='check-Jul25'!BZ170,"",'1. Live'!BZ170-'check-Jul25'!BZ170)</f>
        <v/>
      </c>
      <c r="CA170" t="str">
        <f>IF('1. Live'!CA170='check-Jul25'!CA170,"",'1. Live'!CA170-'check-Jul25'!CA170)</f>
        <v/>
      </c>
      <c r="CB170" t="str">
        <f>IF('1. Live'!CB170='check-Jul25'!CB170,"",'1. Live'!CB170-'check-Jul25'!CB170)</f>
        <v/>
      </c>
      <c r="CC170" t="str">
        <f>IF('1. Live'!CC170='check-Jul25'!CC170,"",'1. Live'!CC170-'check-Jul25'!CC170)</f>
        <v/>
      </c>
      <c r="CD170" t="str">
        <f>IF('1. Live'!CD170='check-Jul25'!CD170,"",'1. Live'!CD170-'check-Jul25'!CD170)</f>
        <v/>
      </c>
      <c r="CE170" t="str">
        <f>IF('1. Live'!CE170='check-Jul25'!CE170,"",'1. Live'!CE170-'check-Jul25'!CE170)</f>
        <v/>
      </c>
      <c r="CF170" t="str">
        <f>IF('1. Live'!CF170='check-Jul25'!CF170,"",'1. Live'!CF170-'check-Jul25'!CF170)</f>
        <v/>
      </c>
      <c r="CG170" t="str">
        <f>IF('1. Live'!CG170='check-Jul25'!CG170,"",'1. Live'!CG170-'check-Jul25'!CG170)</f>
        <v/>
      </c>
      <c r="CH170" t="str">
        <f>IF('1. Live'!CH170='check-Jul25'!CH170,"",'1. Live'!CH170-'check-Jul25'!CH170)</f>
        <v/>
      </c>
      <c r="CI170" t="str">
        <f>IF('1. Live'!CI170='check-Jul25'!CI170,"",'1. Live'!CI170-'check-Jul25'!CI170)</f>
        <v/>
      </c>
      <c r="CJ170" t="str">
        <f>IF('1. Live'!CJ170='check-Jul25'!CJ170,"",'1. Live'!CJ170-'check-Jul25'!CJ170)</f>
        <v/>
      </c>
      <c r="CK170" t="str">
        <f>IF('1. Live'!CK170='check-Jul25'!CK170,"",'1. Live'!CK170-'check-Jul25'!CK170)</f>
        <v/>
      </c>
      <c r="CL170" t="str">
        <f>IF('1. Live'!CL170='check-Jul25'!CL170,"",'1. Live'!CL170-'check-Jul25'!CL170)</f>
        <v/>
      </c>
      <c r="CM170" t="str">
        <f>IF('1. Live'!CM170='check-Jul25'!CM170,"",'1. Live'!CM170-'check-Jul25'!CM170)</f>
        <v/>
      </c>
      <c r="CN170" t="str">
        <f>IF('1. Live'!CN170='check-Jul25'!CN170,"",'1. Live'!CN170-'check-Jul25'!CN170)</f>
        <v/>
      </c>
      <c r="CO170" t="str">
        <f>IF('1. Live'!CO170='check-Jul25'!CO170,"",'1. Live'!CO170-'check-Jul25'!CO170)</f>
        <v/>
      </c>
      <c r="CP170" t="str">
        <f>IF('1. Live'!CP170='check-Jul25'!CP170,"",'1. Live'!CP170-'check-Jul25'!CP170)</f>
        <v/>
      </c>
      <c r="CQ170" t="str">
        <f>IF('1. Live'!CQ170='check-Jul25'!CQ170,"",'1. Live'!CQ170-'check-Jul25'!CQ170)</f>
        <v/>
      </c>
      <c r="CR170" t="str">
        <f>IF('1. Live'!CR170='check-Jul25'!CR170,"",'1. Live'!CR170-'check-Jul25'!CR170)</f>
        <v/>
      </c>
      <c r="CS170" t="str">
        <f>IF('1. Live'!CS170='check-Jul25'!CS170,"",'1. Live'!CS170-'check-Jul25'!CS170)</f>
        <v/>
      </c>
      <c r="CT170" t="str">
        <f>IF('1. Live'!CT170='check-Jul25'!CT170,"",'1. Live'!CT170-'check-Jul25'!CT170)</f>
        <v/>
      </c>
      <c r="CU170" t="str">
        <f>IF('1. Live'!CU170='check-Jul25'!CU170,"",'1. Live'!CU170-'check-Jul25'!CU170)</f>
        <v/>
      </c>
      <c r="CV170" t="str">
        <f>IF('1. Live'!CV170='check-Jul25'!CV170,"",'1. Live'!CV170-'check-Jul25'!CV170)</f>
        <v/>
      </c>
      <c r="CW170" t="str">
        <f>IF('1. Live'!CW170='check-Jul25'!CW170,"",'1. Live'!CW170-'check-Jul25'!CW170)</f>
        <v/>
      </c>
    </row>
    <row r="171" spans="10:101">
      <c r="J171" t="str">
        <f>IF('1. Live'!J171='check-Jul25'!J171,"",'1. Live'!J171-'check-Jul25'!J171)</f>
        <v/>
      </c>
      <c r="K171" t="str">
        <f>IF('1. Live'!K171='check-Jul25'!K171,"",'1. Live'!K171-'check-Jul25'!K171)</f>
        <v/>
      </c>
      <c r="L171" t="str">
        <f>IF('1. Live'!L171='check-Jul25'!L171,"",'1. Live'!L171-'check-Jul25'!L171)</f>
        <v/>
      </c>
      <c r="M171" t="str">
        <f>IF('1. Live'!M171='check-Jul25'!M171,"",'1. Live'!M171-'check-Jul25'!M171)</f>
        <v/>
      </c>
      <c r="N171" t="str">
        <f>IF('1. Live'!N171='check-Jul25'!N171,"",'1. Live'!N171-'check-Jul25'!N171)</f>
        <v/>
      </c>
      <c r="O171" t="str">
        <f>IF('1. Live'!O171='check-Jul25'!O171,"",'1. Live'!O171-'check-Jul25'!O171)</f>
        <v/>
      </c>
      <c r="P171" t="str">
        <f>IF('1. Live'!P171='check-Jul25'!P171,"",'1. Live'!P171-'check-Jul25'!P171)</f>
        <v/>
      </c>
      <c r="Q171" t="str">
        <f>IF('1. Live'!Q171='check-Jul25'!Q171,"",'1. Live'!Q171-'check-Jul25'!Q171)</f>
        <v/>
      </c>
      <c r="R171" t="str">
        <f>IF('1. Live'!R171='check-Jul25'!R171,"",'1. Live'!R171-'check-Jul25'!R171)</f>
        <v/>
      </c>
      <c r="S171" t="str">
        <f>IF('1. Live'!S171='check-Jul25'!S171,"",'1. Live'!S171-'check-Jul25'!S171)</f>
        <v/>
      </c>
      <c r="T171" t="str">
        <f>IF('1. Live'!T171='check-Jul25'!T171,"",'1. Live'!T171-'check-Jul25'!T171)</f>
        <v/>
      </c>
      <c r="U171" t="str">
        <f>IF('1. Live'!U171='check-Jul25'!U171,"",'1. Live'!U171-'check-Jul25'!U171)</f>
        <v/>
      </c>
      <c r="V171" t="str">
        <f>IF('1. Live'!V171='check-Jul25'!V171,"",'1. Live'!V171-'check-Jul25'!V171)</f>
        <v/>
      </c>
      <c r="W171" t="str">
        <f>IF('1. Live'!W171='check-Jul25'!W171,"",'1. Live'!W171-'check-Jul25'!W171)</f>
        <v/>
      </c>
      <c r="X171" t="str">
        <f>IF('1. Live'!X171='check-Jul25'!X171,"",'1. Live'!X171-'check-Jul25'!X171)</f>
        <v/>
      </c>
      <c r="Y171" t="str">
        <f>IF('1. Live'!Y171='check-Jul25'!Y171,"",'1. Live'!Y171-'check-Jul25'!Y171)</f>
        <v/>
      </c>
      <c r="Z171" t="str">
        <f>IF('1. Live'!Z171='check-Jul25'!Z171,"",'1. Live'!Z171-'check-Jul25'!Z171)</f>
        <v/>
      </c>
      <c r="AA171" t="str">
        <f>IF('1. Live'!AA171='check-Jul25'!AA171,"",'1. Live'!AA171-'check-Jul25'!AA171)</f>
        <v/>
      </c>
      <c r="AB171" t="str">
        <f>IF('1. Live'!AB171='check-Jul25'!AB171,"",'1. Live'!AB171-'check-Jul25'!AB171)</f>
        <v/>
      </c>
      <c r="AC171" t="str">
        <f>IF('1. Live'!AC171='check-Jul25'!AC171,"",'1. Live'!AC171-'check-Jul25'!AC171)</f>
        <v/>
      </c>
      <c r="AD171" t="str">
        <f>IF('1. Live'!AD171='check-Jul25'!AD171,"",'1. Live'!AD171-'check-Jul25'!AD171)</f>
        <v/>
      </c>
      <c r="AE171" t="str">
        <f>IF('1. Live'!AE171='check-Jul25'!AE171,"",'1. Live'!AE171-'check-Jul25'!AE171)</f>
        <v/>
      </c>
      <c r="AF171" t="str">
        <f>IF('1. Live'!AF171='check-Jul25'!AF171,"",'1. Live'!AF171-'check-Jul25'!AF171)</f>
        <v/>
      </c>
      <c r="AG171" t="str">
        <f>IF('1. Live'!AG171='check-Jul25'!AG171,"",'1. Live'!AG171-'check-Jul25'!AG171)</f>
        <v/>
      </c>
      <c r="AH171" t="str">
        <f>IF('1. Live'!AH171='check-Jul25'!AH171,"",'1. Live'!AH171-'check-Jul25'!AH171)</f>
        <v/>
      </c>
      <c r="AI171" t="str">
        <f>IF('1. Live'!AI171='check-Jul25'!AI171,"",'1. Live'!AI171-'check-Jul25'!AI171)</f>
        <v/>
      </c>
      <c r="AJ171" t="str">
        <f>IF('1. Live'!AJ171='check-Jul25'!AJ171,"",'1. Live'!AJ171-'check-Jul25'!AJ171)</f>
        <v/>
      </c>
      <c r="AK171" t="str">
        <f>IF('1. Live'!AK171='check-Jul25'!AK171,"",'1. Live'!AK171-'check-Jul25'!AK171)</f>
        <v/>
      </c>
      <c r="AL171" t="str">
        <f>IF('1. Live'!AL171='check-Jul25'!AL171,"",'1. Live'!AL171-'check-Jul25'!AL171)</f>
        <v/>
      </c>
      <c r="AM171" t="str">
        <f>IF('1. Live'!AM171='check-Jul25'!AM171,"",'1. Live'!AM171-'check-Jul25'!AM171)</f>
        <v/>
      </c>
      <c r="AN171" t="str">
        <f>IF('1. Live'!AN171='check-Jul25'!AN171,"",'1. Live'!AN171-'check-Jul25'!AN171)</f>
        <v/>
      </c>
      <c r="AO171" t="str">
        <f>IF('1. Live'!AO171='check-Jul25'!AO171,"",'1. Live'!AO171-'check-Jul25'!AO171)</f>
        <v/>
      </c>
      <c r="AP171" t="str">
        <f>IF('1. Live'!AP171='check-Jul25'!AP171,"",'1. Live'!AP171-'check-Jul25'!AP171)</f>
        <v/>
      </c>
      <c r="AQ171" t="str">
        <f>IF('1. Live'!AQ171='check-Jul25'!AQ171,"",'1. Live'!AQ171-'check-Jul25'!AQ171)</f>
        <v/>
      </c>
      <c r="AR171" t="str">
        <f>IF('1. Live'!AR171='check-Jul25'!AR171,"",'1. Live'!AR171-'check-Jul25'!AR171)</f>
        <v/>
      </c>
      <c r="AS171" t="str">
        <f>IF('1. Live'!AS171='check-Jul25'!AS171,"",'1. Live'!AS171-'check-Jul25'!AS171)</f>
        <v/>
      </c>
      <c r="AT171" t="str">
        <f>IF('1. Live'!AT171='check-Jul25'!AT171,"",'1. Live'!AT171-'check-Jul25'!AT171)</f>
        <v/>
      </c>
      <c r="AU171" t="str">
        <f>IF('1. Live'!AU171='check-Jul25'!AU171,"",'1. Live'!AU171-'check-Jul25'!AU171)</f>
        <v/>
      </c>
      <c r="AV171" t="str">
        <f>IF('1. Live'!AV171='check-Jul25'!AV171,"",'1. Live'!AV171-'check-Jul25'!AV171)</f>
        <v/>
      </c>
      <c r="AW171" t="str">
        <f>IF('1. Live'!AW171='check-Jul25'!AW171,"",'1. Live'!AW171-'check-Jul25'!AW171)</f>
        <v/>
      </c>
      <c r="AX171" t="str">
        <f>IF('1. Live'!AX171='check-Jul25'!AX171,"",'1. Live'!AX171-'check-Jul25'!AX171)</f>
        <v/>
      </c>
      <c r="AY171" t="str">
        <f>IF('1. Live'!AY171='check-Jul25'!AY171,"",'1. Live'!AY171-'check-Jul25'!AY171)</f>
        <v/>
      </c>
      <c r="AZ171" t="str">
        <f>IF('1. Live'!AZ171='check-Jul25'!AZ171,"",'1. Live'!AZ171-'check-Jul25'!AZ171)</f>
        <v/>
      </c>
      <c r="BA171" t="str">
        <f>IF('1. Live'!BA171='check-Jul25'!BA171,"",'1. Live'!BA171-'check-Jul25'!BA171)</f>
        <v/>
      </c>
      <c r="BB171" t="str">
        <f>IF('1. Live'!BB171='check-Jul25'!BB171,"",'1. Live'!BB171-'check-Jul25'!BB171)</f>
        <v/>
      </c>
      <c r="BC171" t="str">
        <f>IF('1. Live'!BC171='check-Jul25'!BC171,"",'1. Live'!BC171-'check-Jul25'!BC171)</f>
        <v/>
      </c>
      <c r="BD171" t="str">
        <f>IF('1. Live'!BD171='check-Jul25'!BD171,"",'1. Live'!BD171-'check-Jul25'!BD171)</f>
        <v/>
      </c>
      <c r="BE171" t="str">
        <f>IF('1. Live'!BE171='check-Jul25'!BE171,"",'1. Live'!BE171-'check-Jul25'!BE171)</f>
        <v/>
      </c>
      <c r="BF171" t="str">
        <f>IF('1. Live'!BF171='check-Jul25'!BF171,"",'1. Live'!BF171-'check-Jul25'!BF171)</f>
        <v/>
      </c>
      <c r="BG171" t="str">
        <f>IF('1. Live'!BG171='check-Jul25'!BG171,"",'1. Live'!BG171-'check-Jul25'!BG171)</f>
        <v/>
      </c>
      <c r="BH171" t="str">
        <f>IF('1. Live'!BH171='check-Jul25'!BH171,"",'1. Live'!BH171-'check-Jul25'!BH171)</f>
        <v/>
      </c>
      <c r="BI171" t="str">
        <f>IF('1. Live'!BI171='check-Jul25'!BI171,"",'1. Live'!BI171-'check-Jul25'!BI171)</f>
        <v/>
      </c>
      <c r="BJ171" t="str">
        <f>IF('1. Live'!BJ171='check-Jul25'!BJ171,"",'1. Live'!BJ171-'check-Jul25'!BJ171)</f>
        <v/>
      </c>
      <c r="BK171" t="str">
        <f>IF('1. Live'!BK171='check-Jul25'!BK171,"",'1. Live'!BK171-'check-Jul25'!BK171)</f>
        <v/>
      </c>
      <c r="BL171" t="str">
        <f>IF('1. Live'!BL171='check-Jul25'!BL171,"",'1. Live'!BL171-'check-Jul25'!BL171)</f>
        <v/>
      </c>
      <c r="BM171" t="str">
        <f>IF('1. Live'!BM171='check-Jul25'!BM171,"",'1. Live'!BM171-'check-Jul25'!BM171)</f>
        <v/>
      </c>
      <c r="BN171" t="str">
        <f>IF('1. Live'!BN171='check-Jul25'!BN171,"",'1. Live'!BN171-'check-Jul25'!BN171)</f>
        <v/>
      </c>
      <c r="BO171" t="str">
        <f>IF('1. Live'!BO171='check-Jul25'!BO171,"",'1. Live'!BO171-'check-Jul25'!BO171)</f>
        <v/>
      </c>
      <c r="BP171" t="str">
        <f>IF('1. Live'!BP171='check-Jul25'!BP171,"",'1. Live'!BP171-'check-Jul25'!BP171)</f>
        <v/>
      </c>
      <c r="BQ171" t="str">
        <f>IF('1. Live'!BQ171='check-Jul25'!BQ171,"",'1. Live'!BQ171-'check-Jul25'!BQ171)</f>
        <v/>
      </c>
      <c r="BR171" t="str">
        <f>IF('1. Live'!BR171='check-Jul25'!BR171,"",'1. Live'!BR171-'check-Jul25'!BR171)</f>
        <v/>
      </c>
      <c r="BS171" t="str">
        <f>IF('1. Live'!BS171='check-Jul25'!BS171,"",'1. Live'!BS171-'check-Jul25'!BS171)</f>
        <v/>
      </c>
      <c r="BT171" t="str">
        <f>IF('1. Live'!BT171='check-Jul25'!BT171,"",'1. Live'!BT171-'check-Jul25'!BT171)</f>
        <v/>
      </c>
      <c r="BU171" t="str">
        <f>IF('1. Live'!BU171='check-Jul25'!BU171,"",'1. Live'!BU171-'check-Jul25'!BU171)</f>
        <v/>
      </c>
      <c r="BV171" t="str">
        <f>IF('1. Live'!BV171='check-Jul25'!BV171,"",'1. Live'!BV171-'check-Jul25'!BV171)</f>
        <v/>
      </c>
      <c r="BW171" t="str">
        <f>IF('1. Live'!BW171='check-Jul25'!BW171,"",'1. Live'!BW171-'check-Jul25'!BW171)</f>
        <v/>
      </c>
      <c r="BX171" t="str">
        <f>IF('1. Live'!BX171='check-Jul25'!BX171,"",'1. Live'!BX171-'check-Jul25'!BX171)</f>
        <v/>
      </c>
      <c r="BY171" t="str">
        <f>IF('1. Live'!BY171='check-Jul25'!BY171,"",'1. Live'!BY171-'check-Jul25'!BY171)</f>
        <v/>
      </c>
      <c r="BZ171" t="str">
        <f>IF('1. Live'!BZ171='check-Jul25'!BZ171,"",'1. Live'!BZ171-'check-Jul25'!BZ171)</f>
        <v/>
      </c>
      <c r="CA171" t="str">
        <f>IF('1. Live'!CA171='check-Jul25'!CA171,"",'1. Live'!CA171-'check-Jul25'!CA171)</f>
        <v/>
      </c>
      <c r="CB171" t="str">
        <f>IF('1. Live'!CB171='check-Jul25'!CB171,"",'1. Live'!CB171-'check-Jul25'!CB171)</f>
        <v/>
      </c>
      <c r="CC171" t="str">
        <f>IF('1. Live'!CC171='check-Jul25'!CC171,"",'1. Live'!CC171-'check-Jul25'!CC171)</f>
        <v/>
      </c>
      <c r="CD171" t="str">
        <f>IF('1. Live'!CD171='check-Jul25'!CD171,"",'1. Live'!CD171-'check-Jul25'!CD171)</f>
        <v/>
      </c>
      <c r="CE171" t="str">
        <f>IF('1. Live'!CE171='check-Jul25'!CE171,"",'1. Live'!CE171-'check-Jul25'!CE171)</f>
        <v/>
      </c>
      <c r="CF171" t="str">
        <f>IF('1. Live'!CF171='check-Jul25'!CF171,"",'1. Live'!CF171-'check-Jul25'!CF171)</f>
        <v/>
      </c>
      <c r="CG171" t="str">
        <f>IF('1. Live'!CG171='check-Jul25'!CG171,"",'1. Live'!CG171-'check-Jul25'!CG171)</f>
        <v/>
      </c>
      <c r="CH171" t="str">
        <f>IF('1. Live'!CH171='check-Jul25'!CH171,"",'1. Live'!CH171-'check-Jul25'!CH171)</f>
        <v/>
      </c>
      <c r="CI171" t="str">
        <f>IF('1. Live'!CI171='check-Jul25'!CI171,"",'1. Live'!CI171-'check-Jul25'!CI171)</f>
        <v/>
      </c>
      <c r="CJ171" t="str">
        <f>IF('1. Live'!CJ171='check-Jul25'!CJ171,"",'1. Live'!CJ171-'check-Jul25'!CJ171)</f>
        <v/>
      </c>
      <c r="CK171" t="str">
        <f>IF('1. Live'!CK171='check-Jul25'!CK171,"",'1. Live'!CK171-'check-Jul25'!CK171)</f>
        <v/>
      </c>
      <c r="CL171" t="str">
        <f>IF('1. Live'!CL171='check-Jul25'!CL171,"",'1. Live'!CL171-'check-Jul25'!CL171)</f>
        <v/>
      </c>
      <c r="CM171" t="str">
        <f>IF('1. Live'!CM171='check-Jul25'!CM171,"",'1. Live'!CM171-'check-Jul25'!CM171)</f>
        <v/>
      </c>
      <c r="CN171" t="str">
        <f>IF('1. Live'!CN171='check-Jul25'!CN171,"",'1. Live'!CN171-'check-Jul25'!CN171)</f>
        <v/>
      </c>
      <c r="CO171" t="str">
        <f>IF('1. Live'!CO171='check-Jul25'!CO171,"",'1. Live'!CO171-'check-Jul25'!CO171)</f>
        <v/>
      </c>
      <c r="CP171" t="str">
        <f>IF('1. Live'!CP171='check-Jul25'!CP171,"",'1. Live'!CP171-'check-Jul25'!CP171)</f>
        <v/>
      </c>
      <c r="CQ171" t="str">
        <f>IF('1. Live'!CQ171='check-Jul25'!CQ171,"",'1. Live'!CQ171-'check-Jul25'!CQ171)</f>
        <v/>
      </c>
      <c r="CR171" t="str">
        <f>IF('1. Live'!CR171='check-Jul25'!CR171,"",'1. Live'!CR171-'check-Jul25'!CR171)</f>
        <v/>
      </c>
      <c r="CS171" t="str">
        <f>IF('1. Live'!CS171='check-Jul25'!CS171,"",'1. Live'!CS171-'check-Jul25'!CS171)</f>
        <v/>
      </c>
      <c r="CT171" t="str">
        <f>IF('1. Live'!CT171='check-Jul25'!CT171,"",'1. Live'!CT171-'check-Jul25'!CT171)</f>
        <v/>
      </c>
      <c r="CU171" t="str">
        <f>IF('1. Live'!CU171='check-Jul25'!CU171,"",'1. Live'!CU171-'check-Jul25'!CU171)</f>
        <v/>
      </c>
      <c r="CV171" t="str">
        <f>IF('1. Live'!CV171='check-Jul25'!CV171,"",'1. Live'!CV171-'check-Jul25'!CV171)</f>
        <v/>
      </c>
      <c r="CW171" t="str">
        <f>IF('1. Live'!CW171='check-Jul25'!CW171,"",'1. Live'!CW171-'check-Jul25'!CW171)</f>
        <v/>
      </c>
    </row>
    <row r="172" spans="10:101">
      <c r="J172" t="str">
        <f>IF('1. Live'!J172='check-Jul25'!J172,"",'1. Live'!J172-'check-Jul25'!J172)</f>
        <v/>
      </c>
      <c r="K172" t="str">
        <f>IF('1. Live'!K172='check-Jul25'!K172,"",'1. Live'!K172-'check-Jul25'!K172)</f>
        <v/>
      </c>
      <c r="L172" t="str">
        <f>IF('1. Live'!L172='check-Jul25'!L172,"",'1. Live'!L172-'check-Jul25'!L172)</f>
        <v/>
      </c>
      <c r="M172" t="str">
        <f>IF('1. Live'!M172='check-Jul25'!M172,"",'1. Live'!M172-'check-Jul25'!M172)</f>
        <v/>
      </c>
      <c r="N172" t="str">
        <f>IF('1. Live'!N172='check-Jul25'!N172,"",'1. Live'!N172-'check-Jul25'!N172)</f>
        <v/>
      </c>
      <c r="O172" t="str">
        <f>IF('1. Live'!O172='check-Jul25'!O172,"",'1. Live'!O172-'check-Jul25'!O172)</f>
        <v/>
      </c>
      <c r="P172" t="str">
        <f>IF('1. Live'!P172='check-Jul25'!P172,"",'1. Live'!P172-'check-Jul25'!P172)</f>
        <v/>
      </c>
      <c r="Q172" t="str">
        <f>IF('1. Live'!Q172='check-Jul25'!Q172,"",'1. Live'!Q172-'check-Jul25'!Q172)</f>
        <v/>
      </c>
      <c r="R172" t="str">
        <f>IF('1. Live'!R172='check-Jul25'!R172,"",'1. Live'!R172-'check-Jul25'!R172)</f>
        <v/>
      </c>
      <c r="S172" t="str">
        <f>IF('1. Live'!S172='check-Jul25'!S172,"",'1. Live'!S172-'check-Jul25'!S172)</f>
        <v/>
      </c>
      <c r="T172" t="str">
        <f>IF('1. Live'!T172='check-Jul25'!T172,"",'1. Live'!T172-'check-Jul25'!T172)</f>
        <v/>
      </c>
      <c r="U172" t="str">
        <f>IF('1. Live'!U172='check-Jul25'!U172,"",'1. Live'!U172-'check-Jul25'!U172)</f>
        <v/>
      </c>
      <c r="V172" t="str">
        <f>IF('1. Live'!V172='check-Jul25'!V172,"",'1. Live'!V172-'check-Jul25'!V172)</f>
        <v/>
      </c>
      <c r="W172" t="str">
        <f>IF('1. Live'!W172='check-Jul25'!W172,"",'1. Live'!W172-'check-Jul25'!W172)</f>
        <v/>
      </c>
      <c r="X172" t="str">
        <f>IF('1. Live'!X172='check-Jul25'!X172,"",'1. Live'!X172-'check-Jul25'!X172)</f>
        <v/>
      </c>
      <c r="Y172" t="str">
        <f>IF('1. Live'!Y172='check-Jul25'!Y172,"",'1. Live'!Y172-'check-Jul25'!Y172)</f>
        <v/>
      </c>
      <c r="Z172" t="str">
        <f>IF('1. Live'!Z172='check-Jul25'!Z172,"",'1. Live'!Z172-'check-Jul25'!Z172)</f>
        <v/>
      </c>
      <c r="AA172" t="str">
        <f>IF('1. Live'!AA172='check-Jul25'!AA172,"",'1. Live'!AA172-'check-Jul25'!AA172)</f>
        <v/>
      </c>
      <c r="AB172" t="str">
        <f>IF('1. Live'!AB172='check-Jul25'!AB172,"",'1. Live'!AB172-'check-Jul25'!AB172)</f>
        <v/>
      </c>
      <c r="AC172" t="str">
        <f>IF('1. Live'!AC172='check-Jul25'!AC172,"",'1. Live'!AC172-'check-Jul25'!AC172)</f>
        <v/>
      </c>
      <c r="AD172" t="str">
        <f>IF('1. Live'!AD172='check-Jul25'!AD172,"",'1. Live'!AD172-'check-Jul25'!AD172)</f>
        <v/>
      </c>
      <c r="AE172" t="str">
        <f>IF('1. Live'!AE172='check-Jul25'!AE172,"",'1. Live'!AE172-'check-Jul25'!AE172)</f>
        <v/>
      </c>
      <c r="AF172" t="str">
        <f>IF('1. Live'!AF172='check-Jul25'!AF172,"",'1. Live'!AF172-'check-Jul25'!AF172)</f>
        <v/>
      </c>
      <c r="AG172" t="str">
        <f>IF('1. Live'!AG172='check-Jul25'!AG172,"",'1. Live'!AG172-'check-Jul25'!AG172)</f>
        <v/>
      </c>
      <c r="AH172" t="str">
        <f>IF('1. Live'!AH172='check-Jul25'!AH172,"",'1. Live'!AH172-'check-Jul25'!AH172)</f>
        <v/>
      </c>
      <c r="AI172" t="str">
        <f>IF('1. Live'!AI172='check-Jul25'!AI172,"",'1. Live'!AI172-'check-Jul25'!AI172)</f>
        <v/>
      </c>
      <c r="AJ172" t="str">
        <f>IF('1. Live'!AJ172='check-Jul25'!AJ172,"",'1. Live'!AJ172-'check-Jul25'!AJ172)</f>
        <v/>
      </c>
      <c r="AK172" t="str">
        <f>IF('1. Live'!AK172='check-Jul25'!AK172,"",'1. Live'!AK172-'check-Jul25'!AK172)</f>
        <v/>
      </c>
      <c r="AL172" t="str">
        <f>IF('1. Live'!AL172='check-Jul25'!AL172,"",'1. Live'!AL172-'check-Jul25'!AL172)</f>
        <v/>
      </c>
      <c r="AM172" t="str">
        <f>IF('1. Live'!AM172='check-Jul25'!AM172,"",'1. Live'!AM172-'check-Jul25'!AM172)</f>
        <v/>
      </c>
      <c r="AN172" t="str">
        <f>IF('1. Live'!AN172='check-Jul25'!AN172,"",'1. Live'!AN172-'check-Jul25'!AN172)</f>
        <v/>
      </c>
      <c r="AO172" t="str">
        <f>IF('1. Live'!AO172='check-Jul25'!AO172,"",'1. Live'!AO172-'check-Jul25'!AO172)</f>
        <v/>
      </c>
      <c r="AP172" t="str">
        <f>IF('1. Live'!AP172='check-Jul25'!AP172,"",'1. Live'!AP172-'check-Jul25'!AP172)</f>
        <v/>
      </c>
      <c r="AQ172" t="str">
        <f>IF('1. Live'!AQ172='check-Jul25'!AQ172,"",'1. Live'!AQ172-'check-Jul25'!AQ172)</f>
        <v/>
      </c>
      <c r="AR172" t="str">
        <f>IF('1. Live'!AR172='check-Jul25'!AR172,"",'1. Live'!AR172-'check-Jul25'!AR172)</f>
        <v/>
      </c>
      <c r="AS172" t="str">
        <f>IF('1. Live'!AS172='check-Jul25'!AS172,"",'1. Live'!AS172-'check-Jul25'!AS172)</f>
        <v/>
      </c>
      <c r="AT172" t="str">
        <f>IF('1. Live'!AT172='check-Jul25'!AT172,"",'1. Live'!AT172-'check-Jul25'!AT172)</f>
        <v/>
      </c>
      <c r="AU172" t="str">
        <f>IF('1. Live'!AU172='check-Jul25'!AU172,"",'1. Live'!AU172-'check-Jul25'!AU172)</f>
        <v/>
      </c>
      <c r="AV172" t="str">
        <f>IF('1. Live'!AV172='check-Jul25'!AV172,"",'1. Live'!AV172-'check-Jul25'!AV172)</f>
        <v/>
      </c>
      <c r="AW172" t="str">
        <f>IF('1. Live'!AW172='check-Jul25'!AW172,"",'1. Live'!AW172-'check-Jul25'!AW172)</f>
        <v/>
      </c>
      <c r="AX172" t="str">
        <f>IF('1. Live'!AX172='check-Jul25'!AX172,"",'1. Live'!AX172-'check-Jul25'!AX172)</f>
        <v/>
      </c>
      <c r="AY172" t="str">
        <f>IF('1. Live'!AY172='check-Jul25'!AY172,"",'1. Live'!AY172-'check-Jul25'!AY172)</f>
        <v/>
      </c>
      <c r="AZ172" t="str">
        <f>IF('1. Live'!AZ172='check-Jul25'!AZ172,"",'1. Live'!AZ172-'check-Jul25'!AZ172)</f>
        <v/>
      </c>
      <c r="BA172" t="str">
        <f>IF('1. Live'!BA172='check-Jul25'!BA172,"",'1. Live'!BA172-'check-Jul25'!BA172)</f>
        <v/>
      </c>
      <c r="BB172" t="str">
        <f>IF('1. Live'!BB172='check-Jul25'!BB172,"",'1. Live'!BB172-'check-Jul25'!BB172)</f>
        <v/>
      </c>
      <c r="BC172" t="str">
        <f>IF('1. Live'!BC172='check-Jul25'!BC172,"",'1. Live'!BC172-'check-Jul25'!BC172)</f>
        <v/>
      </c>
      <c r="BD172" t="str">
        <f>IF('1. Live'!BD172='check-Jul25'!BD172,"",'1. Live'!BD172-'check-Jul25'!BD172)</f>
        <v/>
      </c>
      <c r="BE172" t="str">
        <f>IF('1. Live'!BE172='check-Jul25'!BE172,"",'1. Live'!BE172-'check-Jul25'!BE172)</f>
        <v/>
      </c>
      <c r="BF172" t="str">
        <f>IF('1. Live'!BF172='check-Jul25'!BF172,"",'1. Live'!BF172-'check-Jul25'!BF172)</f>
        <v/>
      </c>
      <c r="BG172" t="str">
        <f>IF('1. Live'!BG172='check-Jul25'!BG172,"",'1. Live'!BG172-'check-Jul25'!BG172)</f>
        <v/>
      </c>
      <c r="BH172" t="str">
        <f>IF('1. Live'!BH172='check-Jul25'!BH172,"",'1. Live'!BH172-'check-Jul25'!BH172)</f>
        <v/>
      </c>
      <c r="BI172" t="str">
        <f>IF('1. Live'!BI172='check-Jul25'!BI172,"",'1. Live'!BI172-'check-Jul25'!BI172)</f>
        <v/>
      </c>
      <c r="BJ172" t="str">
        <f>IF('1. Live'!BJ172='check-Jul25'!BJ172,"",'1. Live'!BJ172-'check-Jul25'!BJ172)</f>
        <v/>
      </c>
      <c r="BK172" t="str">
        <f>IF('1. Live'!BK172='check-Jul25'!BK172,"",'1. Live'!BK172-'check-Jul25'!BK172)</f>
        <v/>
      </c>
      <c r="BL172" t="str">
        <f>IF('1. Live'!BL172='check-Jul25'!BL172,"",'1. Live'!BL172-'check-Jul25'!BL172)</f>
        <v/>
      </c>
      <c r="BM172" t="str">
        <f>IF('1. Live'!BM172='check-Jul25'!BM172,"",'1. Live'!BM172-'check-Jul25'!BM172)</f>
        <v/>
      </c>
      <c r="BN172" t="str">
        <f>IF('1. Live'!BN172='check-Jul25'!BN172,"",'1. Live'!BN172-'check-Jul25'!BN172)</f>
        <v/>
      </c>
      <c r="BO172" t="str">
        <f>IF('1. Live'!BO172='check-Jul25'!BO172,"",'1. Live'!BO172-'check-Jul25'!BO172)</f>
        <v/>
      </c>
      <c r="BP172" t="str">
        <f>IF('1. Live'!BP172='check-Jul25'!BP172,"",'1. Live'!BP172-'check-Jul25'!BP172)</f>
        <v/>
      </c>
      <c r="BQ172" t="str">
        <f>IF('1. Live'!BQ172='check-Jul25'!BQ172,"",'1. Live'!BQ172-'check-Jul25'!BQ172)</f>
        <v/>
      </c>
      <c r="BR172" t="str">
        <f>IF('1. Live'!BR172='check-Jul25'!BR172,"",'1. Live'!BR172-'check-Jul25'!BR172)</f>
        <v/>
      </c>
      <c r="BS172" t="str">
        <f>IF('1. Live'!BS172='check-Jul25'!BS172,"",'1. Live'!BS172-'check-Jul25'!BS172)</f>
        <v/>
      </c>
      <c r="BT172" t="str">
        <f>IF('1. Live'!BT172='check-Jul25'!BT172,"",'1. Live'!BT172-'check-Jul25'!BT172)</f>
        <v/>
      </c>
      <c r="BU172" t="str">
        <f>IF('1. Live'!BU172='check-Jul25'!BU172,"",'1. Live'!BU172-'check-Jul25'!BU172)</f>
        <v/>
      </c>
      <c r="BV172" t="str">
        <f>IF('1. Live'!BV172='check-Jul25'!BV172,"",'1. Live'!BV172-'check-Jul25'!BV172)</f>
        <v/>
      </c>
      <c r="BW172" t="str">
        <f>IF('1. Live'!BW172='check-Jul25'!BW172,"",'1. Live'!BW172-'check-Jul25'!BW172)</f>
        <v/>
      </c>
      <c r="BX172" t="str">
        <f>IF('1. Live'!BX172='check-Jul25'!BX172,"",'1. Live'!BX172-'check-Jul25'!BX172)</f>
        <v/>
      </c>
      <c r="BY172" t="str">
        <f>IF('1. Live'!BY172='check-Jul25'!BY172,"",'1. Live'!BY172-'check-Jul25'!BY172)</f>
        <v/>
      </c>
      <c r="BZ172" t="str">
        <f>IF('1. Live'!BZ172='check-Jul25'!BZ172,"",'1. Live'!BZ172-'check-Jul25'!BZ172)</f>
        <v/>
      </c>
      <c r="CA172" t="str">
        <f>IF('1. Live'!CA172='check-Jul25'!CA172,"",'1. Live'!CA172-'check-Jul25'!CA172)</f>
        <v/>
      </c>
      <c r="CB172" t="str">
        <f>IF('1. Live'!CB172='check-Jul25'!CB172,"",'1. Live'!CB172-'check-Jul25'!CB172)</f>
        <v/>
      </c>
      <c r="CC172" t="str">
        <f>IF('1. Live'!CC172='check-Jul25'!CC172,"",'1. Live'!CC172-'check-Jul25'!CC172)</f>
        <v/>
      </c>
      <c r="CD172" t="str">
        <f>IF('1. Live'!CD172='check-Jul25'!CD172,"",'1. Live'!CD172-'check-Jul25'!CD172)</f>
        <v/>
      </c>
      <c r="CE172" t="str">
        <f>IF('1. Live'!CE172='check-Jul25'!CE172,"",'1. Live'!CE172-'check-Jul25'!CE172)</f>
        <v/>
      </c>
      <c r="CF172" t="str">
        <f>IF('1. Live'!CF172='check-Jul25'!CF172,"",'1. Live'!CF172-'check-Jul25'!CF172)</f>
        <v/>
      </c>
      <c r="CG172" t="str">
        <f>IF('1. Live'!CG172='check-Jul25'!CG172,"",'1. Live'!CG172-'check-Jul25'!CG172)</f>
        <v/>
      </c>
      <c r="CH172" t="str">
        <f>IF('1. Live'!CH172='check-Jul25'!CH172,"",'1. Live'!CH172-'check-Jul25'!CH172)</f>
        <v/>
      </c>
      <c r="CI172" t="str">
        <f>IF('1. Live'!CI172='check-Jul25'!CI172,"",'1. Live'!CI172-'check-Jul25'!CI172)</f>
        <v/>
      </c>
      <c r="CJ172" t="str">
        <f>IF('1. Live'!CJ172='check-Jul25'!CJ172,"",'1. Live'!CJ172-'check-Jul25'!CJ172)</f>
        <v/>
      </c>
      <c r="CK172" t="str">
        <f>IF('1. Live'!CK172='check-Jul25'!CK172,"",'1. Live'!CK172-'check-Jul25'!CK172)</f>
        <v/>
      </c>
      <c r="CL172" t="str">
        <f>IF('1. Live'!CL172='check-Jul25'!CL172,"",'1. Live'!CL172-'check-Jul25'!CL172)</f>
        <v/>
      </c>
      <c r="CM172" t="str">
        <f>IF('1. Live'!CM172='check-Jul25'!CM172,"",'1. Live'!CM172-'check-Jul25'!CM172)</f>
        <v/>
      </c>
      <c r="CN172" t="str">
        <f>IF('1. Live'!CN172='check-Jul25'!CN172,"",'1. Live'!CN172-'check-Jul25'!CN172)</f>
        <v/>
      </c>
      <c r="CO172" t="str">
        <f>IF('1. Live'!CO172='check-Jul25'!CO172,"",'1. Live'!CO172-'check-Jul25'!CO172)</f>
        <v/>
      </c>
      <c r="CP172" t="str">
        <f>IF('1. Live'!CP172='check-Jul25'!CP172,"",'1. Live'!CP172-'check-Jul25'!CP172)</f>
        <v/>
      </c>
      <c r="CQ172" t="str">
        <f>IF('1. Live'!CQ172='check-Jul25'!CQ172,"",'1. Live'!CQ172-'check-Jul25'!CQ172)</f>
        <v/>
      </c>
      <c r="CR172" t="str">
        <f>IF('1. Live'!CR172='check-Jul25'!CR172,"",'1. Live'!CR172-'check-Jul25'!CR172)</f>
        <v/>
      </c>
      <c r="CS172" t="str">
        <f>IF('1. Live'!CS172='check-Jul25'!CS172,"",'1. Live'!CS172-'check-Jul25'!CS172)</f>
        <v/>
      </c>
      <c r="CT172" t="str">
        <f>IF('1. Live'!CT172='check-Jul25'!CT172,"",'1. Live'!CT172-'check-Jul25'!CT172)</f>
        <v/>
      </c>
      <c r="CU172" t="str">
        <f>IF('1. Live'!CU172='check-Jul25'!CU172,"",'1. Live'!CU172-'check-Jul25'!CU172)</f>
        <v/>
      </c>
      <c r="CV172" t="str">
        <f>IF('1. Live'!CV172='check-Jul25'!CV172,"",'1. Live'!CV172-'check-Jul25'!CV172)</f>
        <v/>
      </c>
      <c r="CW172" t="str">
        <f>IF('1. Live'!CW172='check-Jul25'!CW172,"",'1. Live'!CW172-'check-Jul25'!CW172)</f>
        <v/>
      </c>
    </row>
    <row r="173" spans="10:101">
      <c r="J173" t="str">
        <f>IF('1. Live'!J173='check-Jul25'!J173,"",'1. Live'!J173-'check-Jul25'!J173)</f>
        <v/>
      </c>
      <c r="K173" t="str">
        <f>IF('1. Live'!K173='check-Jul25'!K173,"",'1. Live'!K173-'check-Jul25'!K173)</f>
        <v/>
      </c>
      <c r="L173" t="str">
        <f>IF('1. Live'!L173='check-Jul25'!L173,"",'1. Live'!L173-'check-Jul25'!L173)</f>
        <v/>
      </c>
      <c r="M173" t="str">
        <f>IF('1. Live'!M173='check-Jul25'!M173,"",'1. Live'!M173-'check-Jul25'!M173)</f>
        <v/>
      </c>
      <c r="N173" t="str">
        <f>IF('1. Live'!N173='check-Jul25'!N173,"",'1. Live'!N173-'check-Jul25'!N173)</f>
        <v/>
      </c>
      <c r="O173" t="str">
        <f>IF('1. Live'!O173='check-Jul25'!O173,"",'1. Live'!O173-'check-Jul25'!O173)</f>
        <v/>
      </c>
      <c r="P173" t="str">
        <f>IF('1. Live'!P173='check-Jul25'!P173,"",'1. Live'!P173-'check-Jul25'!P173)</f>
        <v/>
      </c>
      <c r="Q173" t="str">
        <f>IF('1. Live'!Q173='check-Jul25'!Q173,"",'1. Live'!Q173-'check-Jul25'!Q173)</f>
        <v/>
      </c>
      <c r="R173" t="str">
        <f>IF('1. Live'!R173='check-Jul25'!R173,"",'1. Live'!R173-'check-Jul25'!R173)</f>
        <v/>
      </c>
      <c r="S173" t="str">
        <f>IF('1. Live'!S173='check-Jul25'!S173,"",'1. Live'!S173-'check-Jul25'!S173)</f>
        <v/>
      </c>
      <c r="T173" t="str">
        <f>IF('1. Live'!T173='check-Jul25'!T173,"",'1. Live'!T173-'check-Jul25'!T173)</f>
        <v/>
      </c>
      <c r="U173" t="str">
        <f>IF('1. Live'!U173='check-Jul25'!U173,"",'1. Live'!U173-'check-Jul25'!U173)</f>
        <v/>
      </c>
      <c r="V173" t="str">
        <f>IF('1. Live'!V173='check-Jul25'!V173,"",'1. Live'!V173-'check-Jul25'!V173)</f>
        <v/>
      </c>
      <c r="W173" t="str">
        <f>IF('1. Live'!W173='check-Jul25'!W173,"",'1. Live'!W173-'check-Jul25'!W173)</f>
        <v/>
      </c>
      <c r="X173" t="str">
        <f>IF('1. Live'!X173='check-Jul25'!X173,"",'1. Live'!X173-'check-Jul25'!X173)</f>
        <v/>
      </c>
      <c r="Y173" t="str">
        <f>IF('1. Live'!Y173='check-Jul25'!Y173,"",'1. Live'!Y173-'check-Jul25'!Y173)</f>
        <v/>
      </c>
      <c r="Z173" t="str">
        <f>IF('1. Live'!Z173='check-Jul25'!Z173,"",'1. Live'!Z173-'check-Jul25'!Z173)</f>
        <v/>
      </c>
      <c r="AA173" t="str">
        <f>IF('1. Live'!AA173='check-Jul25'!AA173,"",'1. Live'!AA173-'check-Jul25'!AA173)</f>
        <v/>
      </c>
      <c r="AB173" t="str">
        <f>IF('1. Live'!AB173='check-Jul25'!AB173,"",'1. Live'!AB173-'check-Jul25'!AB173)</f>
        <v/>
      </c>
      <c r="AC173" t="str">
        <f>IF('1. Live'!AC173='check-Jul25'!AC173,"",'1. Live'!AC173-'check-Jul25'!AC173)</f>
        <v/>
      </c>
      <c r="AD173" t="str">
        <f>IF('1. Live'!AD173='check-Jul25'!AD173,"",'1. Live'!AD173-'check-Jul25'!AD173)</f>
        <v/>
      </c>
      <c r="AE173" t="str">
        <f>IF('1. Live'!AE173='check-Jul25'!AE173,"",'1. Live'!AE173-'check-Jul25'!AE173)</f>
        <v/>
      </c>
      <c r="AF173" t="str">
        <f>IF('1. Live'!AF173='check-Jul25'!AF173,"",'1. Live'!AF173-'check-Jul25'!AF173)</f>
        <v/>
      </c>
      <c r="AG173" t="str">
        <f>IF('1. Live'!AG173='check-Jul25'!AG173,"",'1. Live'!AG173-'check-Jul25'!AG173)</f>
        <v/>
      </c>
      <c r="AH173" t="str">
        <f>IF('1. Live'!AH173='check-Jul25'!AH173,"",'1. Live'!AH173-'check-Jul25'!AH173)</f>
        <v/>
      </c>
      <c r="AI173" t="str">
        <f>IF('1. Live'!AI173='check-Jul25'!AI173,"",'1. Live'!AI173-'check-Jul25'!AI173)</f>
        <v/>
      </c>
      <c r="AJ173" t="str">
        <f>IF('1. Live'!AJ173='check-Jul25'!AJ173,"",'1. Live'!AJ173-'check-Jul25'!AJ173)</f>
        <v/>
      </c>
      <c r="AK173" t="str">
        <f>IF('1. Live'!AK173='check-Jul25'!AK173,"",'1. Live'!AK173-'check-Jul25'!AK173)</f>
        <v/>
      </c>
      <c r="AL173" t="str">
        <f>IF('1. Live'!AL173='check-Jul25'!AL173,"",'1. Live'!AL173-'check-Jul25'!AL173)</f>
        <v/>
      </c>
      <c r="AM173" t="str">
        <f>IF('1. Live'!AM173='check-Jul25'!AM173,"",'1. Live'!AM173-'check-Jul25'!AM173)</f>
        <v/>
      </c>
      <c r="AN173" t="str">
        <f>IF('1. Live'!AN173='check-Jul25'!AN173,"",'1. Live'!AN173-'check-Jul25'!AN173)</f>
        <v/>
      </c>
      <c r="AO173" t="str">
        <f>IF('1. Live'!AO173='check-Jul25'!AO173,"",'1. Live'!AO173-'check-Jul25'!AO173)</f>
        <v/>
      </c>
      <c r="AP173" t="str">
        <f>IF('1. Live'!AP173='check-Jul25'!AP173,"",'1. Live'!AP173-'check-Jul25'!AP173)</f>
        <v/>
      </c>
      <c r="AQ173" t="str">
        <f>IF('1. Live'!AQ173='check-Jul25'!AQ173,"",'1. Live'!AQ173-'check-Jul25'!AQ173)</f>
        <v/>
      </c>
      <c r="AR173" t="str">
        <f>IF('1. Live'!AR173='check-Jul25'!AR173,"",'1. Live'!AR173-'check-Jul25'!AR173)</f>
        <v/>
      </c>
      <c r="AS173" t="str">
        <f>IF('1. Live'!AS173='check-Jul25'!AS173,"",'1. Live'!AS173-'check-Jul25'!AS173)</f>
        <v/>
      </c>
      <c r="AT173" t="str">
        <f>IF('1. Live'!AT173='check-Jul25'!AT173,"",'1. Live'!AT173-'check-Jul25'!AT173)</f>
        <v/>
      </c>
      <c r="AU173" t="str">
        <f>IF('1. Live'!AU173='check-Jul25'!AU173,"",'1. Live'!AU173-'check-Jul25'!AU173)</f>
        <v/>
      </c>
      <c r="AV173" t="str">
        <f>IF('1. Live'!AV173='check-Jul25'!AV173,"",'1. Live'!AV173-'check-Jul25'!AV173)</f>
        <v/>
      </c>
      <c r="AW173" t="str">
        <f>IF('1. Live'!AW173='check-Jul25'!AW173,"",'1. Live'!AW173-'check-Jul25'!AW173)</f>
        <v/>
      </c>
      <c r="AX173" t="str">
        <f>IF('1. Live'!AX173='check-Jul25'!AX173,"",'1. Live'!AX173-'check-Jul25'!AX173)</f>
        <v/>
      </c>
      <c r="AY173" t="str">
        <f>IF('1. Live'!AY173='check-Jul25'!AY173,"",'1. Live'!AY173-'check-Jul25'!AY173)</f>
        <v/>
      </c>
      <c r="AZ173" t="str">
        <f>IF('1. Live'!AZ173='check-Jul25'!AZ173,"",'1. Live'!AZ173-'check-Jul25'!AZ173)</f>
        <v/>
      </c>
      <c r="BA173" t="str">
        <f>IF('1. Live'!BA173='check-Jul25'!BA173,"",'1. Live'!BA173-'check-Jul25'!BA173)</f>
        <v/>
      </c>
      <c r="BB173" t="str">
        <f>IF('1. Live'!BB173='check-Jul25'!BB173,"",'1. Live'!BB173-'check-Jul25'!BB173)</f>
        <v/>
      </c>
      <c r="BC173" t="str">
        <f>IF('1. Live'!BC173='check-Jul25'!BC173,"",'1. Live'!BC173-'check-Jul25'!BC173)</f>
        <v/>
      </c>
      <c r="BD173" t="str">
        <f>IF('1. Live'!BD173='check-Jul25'!BD173,"",'1. Live'!BD173-'check-Jul25'!BD173)</f>
        <v/>
      </c>
      <c r="BE173" t="str">
        <f>IF('1. Live'!BE173='check-Jul25'!BE173,"",'1. Live'!BE173-'check-Jul25'!BE173)</f>
        <v/>
      </c>
      <c r="BF173" t="str">
        <f>IF('1. Live'!BF173='check-Jul25'!BF173,"",'1. Live'!BF173-'check-Jul25'!BF173)</f>
        <v/>
      </c>
      <c r="BG173" t="str">
        <f>IF('1. Live'!BG173='check-Jul25'!BG173,"",'1. Live'!BG173-'check-Jul25'!BG173)</f>
        <v/>
      </c>
      <c r="BH173" t="str">
        <f>IF('1. Live'!BH173='check-Jul25'!BH173,"",'1. Live'!BH173-'check-Jul25'!BH173)</f>
        <v/>
      </c>
      <c r="BI173" t="str">
        <f>IF('1. Live'!BI173='check-Jul25'!BI173,"",'1. Live'!BI173-'check-Jul25'!BI173)</f>
        <v/>
      </c>
      <c r="BJ173" t="str">
        <f>IF('1. Live'!BJ173='check-Jul25'!BJ173,"",'1. Live'!BJ173-'check-Jul25'!BJ173)</f>
        <v/>
      </c>
      <c r="BK173" t="str">
        <f>IF('1. Live'!BK173='check-Jul25'!BK173,"",'1. Live'!BK173-'check-Jul25'!BK173)</f>
        <v/>
      </c>
      <c r="BL173" t="str">
        <f>IF('1. Live'!BL173='check-Jul25'!BL173,"",'1. Live'!BL173-'check-Jul25'!BL173)</f>
        <v/>
      </c>
      <c r="BM173" t="str">
        <f>IF('1. Live'!BM173='check-Jul25'!BM173,"",'1. Live'!BM173-'check-Jul25'!BM173)</f>
        <v/>
      </c>
      <c r="BN173" t="str">
        <f>IF('1. Live'!BN173='check-Jul25'!BN173,"",'1. Live'!BN173-'check-Jul25'!BN173)</f>
        <v/>
      </c>
      <c r="BO173" t="str">
        <f>IF('1. Live'!BO173='check-Jul25'!BO173,"",'1. Live'!BO173-'check-Jul25'!BO173)</f>
        <v/>
      </c>
      <c r="BP173" t="str">
        <f>IF('1. Live'!BP173='check-Jul25'!BP173,"",'1. Live'!BP173-'check-Jul25'!BP173)</f>
        <v/>
      </c>
      <c r="BQ173" t="str">
        <f>IF('1. Live'!BQ173='check-Jul25'!BQ173,"",'1. Live'!BQ173-'check-Jul25'!BQ173)</f>
        <v/>
      </c>
      <c r="BR173" t="str">
        <f>IF('1. Live'!BR173='check-Jul25'!BR173,"",'1. Live'!BR173-'check-Jul25'!BR173)</f>
        <v/>
      </c>
      <c r="BS173" t="str">
        <f>IF('1. Live'!BS173='check-Jul25'!BS173,"",'1. Live'!BS173-'check-Jul25'!BS173)</f>
        <v/>
      </c>
      <c r="BT173" t="str">
        <f>IF('1. Live'!BT173='check-Jul25'!BT173,"",'1. Live'!BT173-'check-Jul25'!BT173)</f>
        <v/>
      </c>
      <c r="BU173" t="str">
        <f>IF('1. Live'!BU173='check-Jul25'!BU173,"",'1. Live'!BU173-'check-Jul25'!BU173)</f>
        <v/>
      </c>
      <c r="BV173" t="str">
        <f>IF('1. Live'!BV173='check-Jul25'!BV173,"",'1. Live'!BV173-'check-Jul25'!BV173)</f>
        <v/>
      </c>
      <c r="BW173" t="str">
        <f>IF('1. Live'!BW173='check-Jul25'!BW173,"",'1. Live'!BW173-'check-Jul25'!BW173)</f>
        <v/>
      </c>
      <c r="BX173" t="str">
        <f>IF('1. Live'!BX173='check-Jul25'!BX173,"",'1. Live'!BX173-'check-Jul25'!BX173)</f>
        <v/>
      </c>
      <c r="BY173" t="str">
        <f>IF('1. Live'!BY173='check-Jul25'!BY173,"",'1. Live'!BY173-'check-Jul25'!BY173)</f>
        <v/>
      </c>
      <c r="BZ173" t="str">
        <f>IF('1. Live'!BZ173='check-Jul25'!BZ173,"",'1. Live'!BZ173-'check-Jul25'!BZ173)</f>
        <v/>
      </c>
      <c r="CA173" t="str">
        <f>IF('1. Live'!CA173='check-Jul25'!CA173,"",'1. Live'!CA173-'check-Jul25'!CA173)</f>
        <v/>
      </c>
      <c r="CB173" t="str">
        <f>IF('1. Live'!CB173='check-Jul25'!CB173,"",'1. Live'!CB173-'check-Jul25'!CB173)</f>
        <v/>
      </c>
      <c r="CC173" t="str">
        <f>IF('1. Live'!CC173='check-Jul25'!CC173,"",'1. Live'!CC173-'check-Jul25'!CC173)</f>
        <v/>
      </c>
      <c r="CD173" t="str">
        <f>IF('1. Live'!CD173='check-Jul25'!CD173,"",'1. Live'!CD173-'check-Jul25'!CD173)</f>
        <v/>
      </c>
      <c r="CE173" t="str">
        <f>IF('1. Live'!CE173='check-Jul25'!CE173,"",'1. Live'!CE173-'check-Jul25'!CE173)</f>
        <v/>
      </c>
      <c r="CF173" t="str">
        <f>IF('1. Live'!CF173='check-Jul25'!CF173,"",'1. Live'!CF173-'check-Jul25'!CF173)</f>
        <v/>
      </c>
      <c r="CG173" t="str">
        <f>IF('1. Live'!CG173='check-Jul25'!CG173,"",'1. Live'!CG173-'check-Jul25'!CG173)</f>
        <v/>
      </c>
      <c r="CH173" t="str">
        <f>IF('1. Live'!CH173='check-Jul25'!CH173,"",'1. Live'!CH173-'check-Jul25'!CH173)</f>
        <v/>
      </c>
      <c r="CI173" t="str">
        <f>IF('1. Live'!CI173='check-Jul25'!CI173,"",'1. Live'!CI173-'check-Jul25'!CI173)</f>
        <v/>
      </c>
      <c r="CJ173" t="str">
        <f>IF('1. Live'!CJ173='check-Jul25'!CJ173,"",'1. Live'!CJ173-'check-Jul25'!CJ173)</f>
        <v/>
      </c>
      <c r="CK173" t="str">
        <f>IF('1. Live'!CK173='check-Jul25'!CK173,"",'1. Live'!CK173-'check-Jul25'!CK173)</f>
        <v/>
      </c>
      <c r="CL173" t="str">
        <f>IF('1. Live'!CL173='check-Jul25'!CL173,"",'1. Live'!CL173-'check-Jul25'!CL173)</f>
        <v/>
      </c>
      <c r="CM173" t="str">
        <f>IF('1. Live'!CM173='check-Jul25'!CM173,"",'1. Live'!CM173-'check-Jul25'!CM173)</f>
        <v/>
      </c>
      <c r="CN173" t="str">
        <f>IF('1. Live'!CN173='check-Jul25'!CN173,"",'1. Live'!CN173-'check-Jul25'!CN173)</f>
        <v/>
      </c>
      <c r="CO173" t="str">
        <f>IF('1. Live'!CO173='check-Jul25'!CO173,"",'1. Live'!CO173-'check-Jul25'!CO173)</f>
        <v/>
      </c>
      <c r="CP173" t="str">
        <f>IF('1. Live'!CP173='check-Jul25'!CP173,"",'1. Live'!CP173-'check-Jul25'!CP173)</f>
        <v/>
      </c>
      <c r="CQ173" t="str">
        <f>IF('1. Live'!CQ173='check-Jul25'!CQ173,"",'1. Live'!CQ173-'check-Jul25'!CQ173)</f>
        <v/>
      </c>
      <c r="CR173" t="str">
        <f>IF('1. Live'!CR173='check-Jul25'!CR173,"",'1. Live'!CR173-'check-Jul25'!CR173)</f>
        <v/>
      </c>
      <c r="CS173" t="str">
        <f>IF('1. Live'!CS173='check-Jul25'!CS173,"",'1. Live'!CS173-'check-Jul25'!CS173)</f>
        <v/>
      </c>
      <c r="CT173" t="str">
        <f>IF('1. Live'!CT173='check-Jul25'!CT173,"",'1. Live'!CT173-'check-Jul25'!CT173)</f>
        <v/>
      </c>
      <c r="CU173" t="str">
        <f>IF('1. Live'!CU173='check-Jul25'!CU173,"",'1. Live'!CU173-'check-Jul25'!CU173)</f>
        <v/>
      </c>
      <c r="CV173" t="str">
        <f>IF('1. Live'!CV173='check-Jul25'!CV173,"",'1. Live'!CV173-'check-Jul25'!CV173)</f>
        <v/>
      </c>
      <c r="CW173" t="str">
        <f>IF('1. Live'!CW173='check-Jul25'!CW173,"",'1. Live'!CW173-'check-Jul25'!CW173)</f>
        <v/>
      </c>
    </row>
    <row r="174" spans="10:101">
      <c r="J174" t="str">
        <f>IF('1. Live'!J174='check-Jul25'!J174,"",'1. Live'!J174-'check-Jul25'!J174)</f>
        <v/>
      </c>
      <c r="K174" t="str">
        <f>IF('1. Live'!K174='check-Jul25'!K174,"",'1. Live'!K174-'check-Jul25'!K174)</f>
        <v/>
      </c>
      <c r="L174" t="str">
        <f>IF('1. Live'!L174='check-Jul25'!L174,"",'1. Live'!L174-'check-Jul25'!L174)</f>
        <v/>
      </c>
      <c r="M174" t="str">
        <f>IF('1. Live'!M174='check-Jul25'!M174,"",'1. Live'!M174-'check-Jul25'!M174)</f>
        <v/>
      </c>
      <c r="N174" t="str">
        <f>IF('1. Live'!N174='check-Jul25'!N174,"",'1. Live'!N174-'check-Jul25'!N174)</f>
        <v/>
      </c>
      <c r="O174" t="str">
        <f>IF('1. Live'!O174='check-Jul25'!O174,"",'1. Live'!O174-'check-Jul25'!O174)</f>
        <v/>
      </c>
      <c r="P174" t="str">
        <f>IF('1. Live'!P174='check-Jul25'!P174,"",'1. Live'!P174-'check-Jul25'!P174)</f>
        <v/>
      </c>
      <c r="Q174" t="str">
        <f>IF('1. Live'!Q174='check-Jul25'!Q174,"",'1. Live'!Q174-'check-Jul25'!Q174)</f>
        <v/>
      </c>
      <c r="R174" t="str">
        <f>IF('1. Live'!R174='check-Jul25'!R174,"",'1. Live'!R174-'check-Jul25'!R174)</f>
        <v/>
      </c>
      <c r="S174" t="str">
        <f>IF('1. Live'!S174='check-Jul25'!S174,"",'1. Live'!S174-'check-Jul25'!S174)</f>
        <v/>
      </c>
      <c r="T174" t="str">
        <f>IF('1. Live'!T174='check-Jul25'!T174,"",'1. Live'!T174-'check-Jul25'!T174)</f>
        <v/>
      </c>
      <c r="U174" t="str">
        <f>IF('1. Live'!U174='check-Jul25'!U174,"",'1. Live'!U174-'check-Jul25'!U174)</f>
        <v/>
      </c>
      <c r="V174" t="str">
        <f>IF('1. Live'!V174='check-Jul25'!V174,"",'1. Live'!V174-'check-Jul25'!V174)</f>
        <v/>
      </c>
      <c r="W174" t="str">
        <f>IF('1. Live'!W174='check-Jul25'!W174,"",'1. Live'!W174-'check-Jul25'!W174)</f>
        <v/>
      </c>
      <c r="X174" t="str">
        <f>IF('1. Live'!X174='check-Jul25'!X174,"",'1. Live'!X174-'check-Jul25'!X174)</f>
        <v/>
      </c>
      <c r="Y174" t="str">
        <f>IF('1. Live'!Y174='check-Jul25'!Y174,"",'1. Live'!Y174-'check-Jul25'!Y174)</f>
        <v/>
      </c>
      <c r="Z174" t="str">
        <f>IF('1. Live'!Z174='check-Jul25'!Z174,"",'1. Live'!Z174-'check-Jul25'!Z174)</f>
        <v/>
      </c>
      <c r="AA174" t="str">
        <f>IF('1. Live'!AA174='check-Jul25'!AA174,"",'1. Live'!AA174-'check-Jul25'!AA174)</f>
        <v/>
      </c>
      <c r="AB174" t="str">
        <f>IF('1. Live'!AB174='check-Jul25'!AB174,"",'1. Live'!AB174-'check-Jul25'!AB174)</f>
        <v/>
      </c>
      <c r="AC174" t="str">
        <f>IF('1. Live'!AC174='check-Jul25'!AC174,"",'1. Live'!AC174-'check-Jul25'!AC174)</f>
        <v/>
      </c>
      <c r="AD174" t="str">
        <f>IF('1. Live'!AD174='check-Jul25'!AD174,"",'1. Live'!AD174-'check-Jul25'!AD174)</f>
        <v/>
      </c>
      <c r="AE174" t="str">
        <f>IF('1. Live'!AE174='check-Jul25'!AE174,"",'1. Live'!AE174-'check-Jul25'!AE174)</f>
        <v/>
      </c>
      <c r="AF174" t="str">
        <f>IF('1. Live'!AF174='check-Jul25'!AF174,"",'1. Live'!AF174-'check-Jul25'!AF174)</f>
        <v/>
      </c>
      <c r="AG174" t="str">
        <f>IF('1. Live'!AG174='check-Jul25'!AG174,"",'1. Live'!AG174-'check-Jul25'!AG174)</f>
        <v/>
      </c>
      <c r="AH174" t="str">
        <f>IF('1. Live'!AH174='check-Jul25'!AH174,"",'1. Live'!AH174-'check-Jul25'!AH174)</f>
        <v/>
      </c>
      <c r="AI174" t="str">
        <f>IF('1. Live'!AI174='check-Jul25'!AI174,"",'1. Live'!AI174-'check-Jul25'!AI174)</f>
        <v/>
      </c>
      <c r="AJ174" t="str">
        <f>IF('1. Live'!AJ174='check-Jul25'!AJ174,"",'1. Live'!AJ174-'check-Jul25'!AJ174)</f>
        <v/>
      </c>
      <c r="AK174" t="str">
        <f>IF('1. Live'!AK174='check-Jul25'!AK174,"",'1. Live'!AK174-'check-Jul25'!AK174)</f>
        <v/>
      </c>
      <c r="AL174" t="str">
        <f>IF('1. Live'!AL174='check-Jul25'!AL174,"",'1. Live'!AL174-'check-Jul25'!AL174)</f>
        <v/>
      </c>
      <c r="AM174" t="str">
        <f>IF('1. Live'!AM174='check-Jul25'!AM174,"",'1. Live'!AM174-'check-Jul25'!AM174)</f>
        <v/>
      </c>
      <c r="AN174" t="str">
        <f>IF('1. Live'!AN174='check-Jul25'!AN174,"",'1. Live'!AN174-'check-Jul25'!AN174)</f>
        <v/>
      </c>
      <c r="AO174" t="str">
        <f>IF('1. Live'!AO174='check-Jul25'!AO174,"",'1. Live'!AO174-'check-Jul25'!AO174)</f>
        <v/>
      </c>
      <c r="AP174" t="str">
        <f>IF('1. Live'!AP174='check-Jul25'!AP174,"",'1. Live'!AP174-'check-Jul25'!AP174)</f>
        <v/>
      </c>
      <c r="AQ174" t="str">
        <f>IF('1. Live'!AQ174='check-Jul25'!AQ174,"",'1. Live'!AQ174-'check-Jul25'!AQ174)</f>
        <v/>
      </c>
      <c r="AR174" t="str">
        <f>IF('1. Live'!AR174='check-Jul25'!AR174,"",'1. Live'!AR174-'check-Jul25'!AR174)</f>
        <v/>
      </c>
      <c r="AS174" t="str">
        <f>IF('1. Live'!AS174='check-Jul25'!AS174,"",'1. Live'!AS174-'check-Jul25'!AS174)</f>
        <v/>
      </c>
      <c r="AT174" t="str">
        <f>IF('1. Live'!AT174='check-Jul25'!AT174,"",'1. Live'!AT174-'check-Jul25'!AT174)</f>
        <v/>
      </c>
      <c r="AU174" t="str">
        <f>IF('1. Live'!AU174='check-Jul25'!AU174,"",'1. Live'!AU174-'check-Jul25'!AU174)</f>
        <v/>
      </c>
      <c r="AV174" t="str">
        <f>IF('1. Live'!AV174='check-Jul25'!AV174,"",'1. Live'!AV174-'check-Jul25'!AV174)</f>
        <v/>
      </c>
      <c r="AW174" t="str">
        <f>IF('1. Live'!AW174='check-Jul25'!AW174,"",'1. Live'!AW174-'check-Jul25'!AW174)</f>
        <v/>
      </c>
      <c r="AX174" t="str">
        <f>IF('1. Live'!AX174='check-Jul25'!AX174,"",'1. Live'!AX174-'check-Jul25'!AX174)</f>
        <v/>
      </c>
      <c r="AY174" t="str">
        <f>IF('1. Live'!AY174='check-Jul25'!AY174,"",'1. Live'!AY174-'check-Jul25'!AY174)</f>
        <v/>
      </c>
      <c r="AZ174" t="str">
        <f>IF('1. Live'!AZ174='check-Jul25'!AZ174,"",'1. Live'!AZ174-'check-Jul25'!AZ174)</f>
        <v/>
      </c>
      <c r="BA174" t="str">
        <f>IF('1. Live'!BA174='check-Jul25'!BA174,"",'1. Live'!BA174-'check-Jul25'!BA174)</f>
        <v/>
      </c>
      <c r="BB174" t="str">
        <f>IF('1. Live'!BB174='check-Jul25'!BB174,"",'1. Live'!BB174-'check-Jul25'!BB174)</f>
        <v/>
      </c>
      <c r="BC174" t="str">
        <f>IF('1. Live'!BC174='check-Jul25'!BC174,"",'1. Live'!BC174-'check-Jul25'!BC174)</f>
        <v/>
      </c>
      <c r="BD174" t="str">
        <f>IF('1. Live'!BD174='check-Jul25'!BD174,"",'1. Live'!BD174-'check-Jul25'!BD174)</f>
        <v/>
      </c>
      <c r="BE174" t="str">
        <f>IF('1. Live'!BE174='check-Jul25'!BE174,"",'1. Live'!BE174-'check-Jul25'!BE174)</f>
        <v/>
      </c>
      <c r="BF174" t="str">
        <f>IF('1. Live'!BF174='check-Jul25'!BF174,"",'1. Live'!BF174-'check-Jul25'!BF174)</f>
        <v/>
      </c>
      <c r="BG174" t="str">
        <f>IF('1. Live'!BG174='check-Jul25'!BG174,"",'1. Live'!BG174-'check-Jul25'!BG174)</f>
        <v/>
      </c>
      <c r="BH174" t="str">
        <f>IF('1. Live'!BH174='check-Jul25'!BH174,"",'1. Live'!BH174-'check-Jul25'!BH174)</f>
        <v/>
      </c>
      <c r="BI174" t="str">
        <f>IF('1. Live'!BI174='check-Jul25'!BI174,"",'1. Live'!BI174-'check-Jul25'!BI174)</f>
        <v/>
      </c>
      <c r="BJ174" t="str">
        <f>IF('1. Live'!BJ174='check-Jul25'!BJ174,"",'1. Live'!BJ174-'check-Jul25'!BJ174)</f>
        <v/>
      </c>
      <c r="BK174" t="str">
        <f>IF('1. Live'!BK174='check-Jul25'!BK174,"",'1. Live'!BK174-'check-Jul25'!BK174)</f>
        <v/>
      </c>
      <c r="BL174" t="str">
        <f>IF('1. Live'!BL174='check-Jul25'!BL174,"",'1. Live'!BL174-'check-Jul25'!BL174)</f>
        <v/>
      </c>
      <c r="BM174" t="str">
        <f>IF('1. Live'!BM174='check-Jul25'!BM174,"",'1. Live'!BM174-'check-Jul25'!BM174)</f>
        <v/>
      </c>
      <c r="BN174" t="str">
        <f>IF('1. Live'!BN174='check-Jul25'!BN174,"",'1. Live'!BN174-'check-Jul25'!BN174)</f>
        <v/>
      </c>
      <c r="BO174" t="str">
        <f>IF('1. Live'!BO174='check-Jul25'!BO174,"",'1. Live'!BO174-'check-Jul25'!BO174)</f>
        <v/>
      </c>
      <c r="BP174" t="str">
        <f>IF('1. Live'!BP174='check-Jul25'!BP174,"",'1. Live'!BP174-'check-Jul25'!BP174)</f>
        <v/>
      </c>
      <c r="BQ174" t="str">
        <f>IF('1. Live'!BQ174='check-Jul25'!BQ174,"",'1. Live'!BQ174-'check-Jul25'!BQ174)</f>
        <v/>
      </c>
      <c r="BR174" t="str">
        <f>IF('1. Live'!BR174='check-Jul25'!BR174,"",'1. Live'!BR174-'check-Jul25'!BR174)</f>
        <v/>
      </c>
      <c r="BS174" t="str">
        <f>IF('1. Live'!BS174='check-Jul25'!BS174,"",'1. Live'!BS174-'check-Jul25'!BS174)</f>
        <v/>
      </c>
      <c r="BT174" t="str">
        <f>IF('1. Live'!BT174='check-Jul25'!BT174,"",'1. Live'!BT174-'check-Jul25'!BT174)</f>
        <v/>
      </c>
      <c r="BU174" t="str">
        <f>IF('1. Live'!BU174='check-Jul25'!BU174,"",'1. Live'!BU174-'check-Jul25'!BU174)</f>
        <v/>
      </c>
      <c r="BV174" t="str">
        <f>IF('1. Live'!BV174='check-Jul25'!BV174,"",'1. Live'!BV174-'check-Jul25'!BV174)</f>
        <v/>
      </c>
      <c r="BW174" t="str">
        <f>IF('1. Live'!BW174='check-Jul25'!BW174,"",'1. Live'!BW174-'check-Jul25'!BW174)</f>
        <v/>
      </c>
      <c r="BX174" t="str">
        <f>IF('1. Live'!BX174='check-Jul25'!BX174,"",'1. Live'!BX174-'check-Jul25'!BX174)</f>
        <v/>
      </c>
      <c r="BY174" t="str">
        <f>IF('1. Live'!BY174='check-Jul25'!BY174,"",'1. Live'!BY174-'check-Jul25'!BY174)</f>
        <v/>
      </c>
      <c r="BZ174" t="str">
        <f>IF('1. Live'!BZ174='check-Jul25'!BZ174,"",'1. Live'!BZ174-'check-Jul25'!BZ174)</f>
        <v/>
      </c>
      <c r="CA174" t="str">
        <f>IF('1. Live'!CA174='check-Jul25'!CA174,"",'1. Live'!CA174-'check-Jul25'!CA174)</f>
        <v/>
      </c>
      <c r="CB174" t="str">
        <f>IF('1. Live'!CB174='check-Jul25'!CB174,"",'1. Live'!CB174-'check-Jul25'!CB174)</f>
        <v/>
      </c>
      <c r="CC174" t="str">
        <f>IF('1. Live'!CC174='check-Jul25'!CC174,"",'1. Live'!CC174-'check-Jul25'!CC174)</f>
        <v/>
      </c>
      <c r="CD174" t="str">
        <f>IF('1. Live'!CD174='check-Jul25'!CD174,"",'1. Live'!CD174-'check-Jul25'!CD174)</f>
        <v/>
      </c>
      <c r="CE174" t="str">
        <f>IF('1. Live'!CE174='check-Jul25'!CE174,"",'1. Live'!CE174-'check-Jul25'!CE174)</f>
        <v/>
      </c>
      <c r="CF174" t="str">
        <f>IF('1. Live'!CF174='check-Jul25'!CF174,"",'1. Live'!CF174-'check-Jul25'!CF174)</f>
        <v/>
      </c>
      <c r="CG174" t="str">
        <f>IF('1. Live'!CG174='check-Jul25'!CG174,"",'1. Live'!CG174-'check-Jul25'!CG174)</f>
        <v/>
      </c>
      <c r="CH174" t="str">
        <f>IF('1. Live'!CH174='check-Jul25'!CH174,"",'1. Live'!CH174-'check-Jul25'!CH174)</f>
        <v/>
      </c>
      <c r="CI174" t="str">
        <f>IF('1. Live'!CI174='check-Jul25'!CI174,"",'1. Live'!CI174-'check-Jul25'!CI174)</f>
        <v/>
      </c>
      <c r="CJ174" t="str">
        <f>IF('1. Live'!CJ174='check-Jul25'!CJ174,"",'1. Live'!CJ174-'check-Jul25'!CJ174)</f>
        <v/>
      </c>
      <c r="CK174" t="str">
        <f>IF('1. Live'!CK174='check-Jul25'!CK174,"",'1. Live'!CK174-'check-Jul25'!CK174)</f>
        <v/>
      </c>
      <c r="CL174" t="str">
        <f>IF('1. Live'!CL174='check-Jul25'!CL174,"",'1. Live'!CL174-'check-Jul25'!CL174)</f>
        <v/>
      </c>
      <c r="CM174" t="str">
        <f>IF('1. Live'!CM174='check-Jul25'!CM174,"",'1. Live'!CM174-'check-Jul25'!CM174)</f>
        <v/>
      </c>
      <c r="CN174" t="str">
        <f>IF('1. Live'!CN174='check-Jul25'!CN174,"",'1. Live'!CN174-'check-Jul25'!CN174)</f>
        <v/>
      </c>
      <c r="CO174" t="str">
        <f>IF('1. Live'!CO174='check-Jul25'!CO174,"",'1. Live'!CO174-'check-Jul25'!CO174)</f>
        <v/>
      </c>
      <c r="CP174" t="str">
        <f>IF('1. Live'!CP174='check-Jul25'!CP174,"",'1. Live'!CP174-'check-Jul25'!CP174)</f>
        <v/>
      </c>
      <c r="CQ174" t="str">
        <f>IF('1. Live'!CQ174='check-Jul25'!CQ174,"",'1. Live'!CQ174-'check-Jul25'!CQ174)</f>
        <v/>
      </c>
      <c r="CR174" t="str">
        <f>IF('1. Live'!CR174='check-Jul25'!CR174,"",'1. Live'!CR174-'check-Jul25'!CR174)</f>
        <v/>
      </c>
      <c r="CS174" t="str">
        <f>IF('1. Live'!CS174='check-Jul25'!CS174,"",'1. Live'!CS174-'check-Jul25'!CS174)</f>
        <v/>
      </c>
      <c r="CT174" t="str">
        <f>IF('1. Live'!CT174='check-Jul25'!CT174,"",'1. Live'!CT174-'check-Jul25'!CT174)</f>
        <v/>
      </c>
      <c r="CU174" t="str">
        <f>IF('1. Live'!CU174='check-Jul25'!CU174,"",'1. Live'!CU174-'check-Jul25'!CU174)</f>
        <v/>
      </c>
      <c r="CV174" t="str">
        <f>IF('1. Live'!CV174='check-Jul25'!CV174,"",'1. Live'!CV174-'check-Jul25'!CV174)</f>
        <v/>
      </c>
      <c r="CW174" t="str">
        <f>IF('1. Live'!CW174='check-Jul25'!CW174,"",'1. Live'!CW174-'check-Jul25'!CW174)</f>
        <v/>
      </c>
    </row>
    <row r="175" spans="10:101">
      <c r="J175" t="str">
        <f>IF('1. Live'!J175='check-Jul25'!J175,"",'1. Live'!J175-'check-Jul25'!J175)</f>
        <v/>
      </c>
      <c r="K175" t="str">
        <f>IF('1. Live'!K175='check-Jul25'!K175,"",'1. Live'!K175-'check-Jul25'!K175)</f>
        <v/>
      </c>
      <c r="L175" t="str">
        <f>IF('1. Live'!L175='check-Jul25'!L175,"",'1. Live'!L175-'check-Jul25'!L175)</f>
        <v/>
      </c>
      <c r="M175" t="str">
        <f>IF('1. Live'!M175='check-Jul25'!M175,"",'1. Live'!M175-'check-Jul25'!M175)</f>
        <v/>
      </c>
      <c r="N175" t="str">
        <f>IF('1. Live'!N175='check-Jul25'!N175,"",'1. Live'!N175-'check-Jul25'!N175)</f>
        <v/>
      </c>
      <c r="O175" t="str">
        <f>IF('1. Live'!O175='check-Jul25'!O175,"",'1. Live'!O175-'check-Jul25'!O175)</f>
        <v/>
      </c>
      <c r="P175" t="str">
        <f>IF('1. Live'!P175='check-Jul25'!P175,"",'1. Live'!P175-'check-Jul25'!P175)</f>
        <v/>
      </c>
      <c r="Q175" t="str">
        <f>IF('1. Live'!Q175='check-Jul25'!Q175,"",'1. Live'!Q175-'check-Jul25'!Q175)</f>
        <v/>
      </c>
      <c r="R175" t="str">
        <f>IF('1. Live'!R175='check-Jul25'!R175,"",'1. Live'!R175-'check-Jul25'!R175)</f>
        <v/>
      </c>
      <c r="S175" t="str">
        <f>IF('1. Live'!S175='check-Jul25'!S175,"",'1. Live'!S175-'check-Jul25'!S175)</f>
        <v/>
      </c>
      <c r="T175" t="str">
        <f>IF('1. Live'!T175='check-Jul25'!T175,"",'1. Live'!T175-'check-Jul25'!T175)</f>
        <v/>
      </c>
      <c r="U175" t="str">
        <f>IF('1. Live'!U175='check-Jul25'!U175,"",'1. Live'!U175-'check-Jul25'!U175)</f>
        <v/>
      </c>
      <c r="V175" t="str">
        <f>IF('1. Live'!V175='check-Jul25'!V175,"",'1. Live'!V175-'check-Jul25'!V175)</f>
        <v/>
      </c>
      <c r="W175" t="str">
        <f>IF('1. Live'!W175='check-Jul25'!W175,"",'1. Live'!W175-'check-Jul25'!W175)</f>
        <v/>
      </c>
      <c r="X175" t="str">
        <f>IF('1. Live'!X175='check-Jul25'!X175,"",'1. Live'!X175-'check-Jul25'!X175)</f>
        <v/>
      </c>
      <c r="Y175" t="str">
        <f>IF('1. Live'!Y175='check-Jul25'!Y175,"",'1. Live'!Y175-'check-Jul25'!Y175)</f>
        <v/>
      </c>
      <c r="Z175" t="str">
        <f>IF('1. Live'!Z175='check-Jul25'!Z175,"",'1. Live'!Z175-'check-Jul25'!Z175)</f>
        <v/>
      </c>
      <c r="AA175" t="str">
        <f>IF('1. Live'!AA175='check-Jul25'!AA175,"",'1. Live'!AA175-'check-Jul25'!AA175)</f>
        <v/>
      </c>
      <c r="AB175" t="str">
        <f>IF('1. Live'!AB175='check-Jul25'!AB175,"",'1. Live'!AB175-'check-Jul25'!AB175)</f>
        <v/>
      </c>
      <c r="AC175" t="str">
        <f>IF('1. Live'!AC175='check-Jul25'!AC175,"",'1. Live'!AC175-'check-Jul25'!AC175)</f>
        <v/>
      </c>
      <c r="AD175" t="str">
        <f>IF('1. Live'!AD175='check-Jul25'!AD175,"",'1. Live'!AD175-'check-Jul25'!AD175)</f>
        <v/>
      </c>
      <c r="AE175" t="str">
        <f>IF('1. Live'!AE175='check-Jul25'!AE175,"",'1. Live'!AE175-'check-Jul25'!AE175)</f>
        <v/>
      </c>
      <c r="AF175" t="str">
        <f>IF('1. Live'!AF175='check-Jul25'!AF175,"",'1. Live'!AF175-'check-Jul25'!AF175)</f>
        <v/>
      </c>
      <c r="AG175" t="str">
        <f>IF('1. Live'!AG175='check-Jul25'!AG175,"",'1. Live'!AG175-'check-Jul25'!AG175)</f>
        <v/>
      </c>
      <c r="AH175" t="str">
        <f>IF('1. Live'!AH175='check-Jul25'!AH175,"",'1. Live'!AH175-'check-Jul25'!AH175)</f>
        <v/>
      </c>
      <c r="AI175" t="str">
        <f>IF('1. Live'!AI175='check-Jul25'!AI175,"",'1. Live'!AI175-'check-Jul25'!AI175)</f>
        <v/>
      </c>
      <c r="AJ175" t="str">
        <f>IF('1. Live'!AJ175='check-Jul25'!AJ175,"",'1. Live'!AJ175-'check-Jul25'!AJ175)</f>
        <v/>
      </c>
      <c r="AK175" t="str">
        <f>IF('1. Live'!AK175='check-Jul25'!AK175,"",'1. Live'!AK175-'check-Jul25'!AK175)</f>
        <v/>
      </c>
      <c r="AL175" t="str">
        <f>IF('1. Live'!AL175='check-Jul25'!AL175,"",'1. Live'!AL175-'check-Jul25'!AL175)</f>
        <v/>
      </c>
      <c r="AM175" t="str">
        <f>IF('1. Live'!AM175='check-Jul25'!AM175,"",'1. Live'!AM175-'check-Jul25'!AM175)</f>
        <v/>
      </c>
      <c r="AN175" t="str">
        <f>IF('1. Live'!AN175='check-Jul25'!AN175,"",'1. Live'!AN175-'check-Jul25'!AN175)</f>
        <v/>
      </c>
      <c r="AO175" t="str">
        <f>IF('1. Live'!AO175='check-Jul25'!AO175,"",'1. Live'!AO175-'check-Jul25'!AO175)</f>
        <v/>
      </c>
      <c r="AP175" t="str">
        <f>IF('1. Live'!AP175='check-Jul25'!AP175,"",'1. Live'!AP175-'check-Jul25'!AP175)</f>
        <v/>
      </c>
      <c r="AQ175" t="str">
        <f>IF('1. Live'!AQ175='check-Jul25'!AQ175,"",'1. Live'!AQ175-'check-Jul25'!AQ175)</f>
        <v/>
      </c>
      <c r="AR175" t="str">
        <f>IF('1. Live'!AR175='check-Jul25'!AR175,"",'1. Live'!AR175-'check-Jul25'!AR175)</f>
        <v/>
      </c>
      <c r="AS175" t="str">
        <f>IF('1. Live'!AS175='check-Jul25'!AS175,"",'1. Live'!AS175-'check-Jul25'!AS175)</f>
        <v/>
      </c>
      <c r="AT175" t="str">
        <f>IF('1. Live'!AT175='check-Jul25'!AT175,"",'1. Live'!AT175-'check-Jul25'!AT175)</f>
        <v/>
      </c>
      <c r="AU175" t="str">
        <f>IF('1. Live'!AU175='check-Jul25'!AU175,"",'1. Live'!AU175-'check-Jul25'!AU175)</f>
        <v/>
      </c>
      <c r="AV175" t="str">
        <f>IF('1. Live'!AV175='check-Jul25'!AV175,"",'1. Live'!AV175-'check-Jul25'!AV175)</f>
        <v/>
      </c>
      <c r="AW175" t="str">
        <f>IF('1. Live'!AW175='check-Jul25'!AW175,"",'1. Live'!AW175-'check-Jul25'!AW175)</f>
        <v/>
      </c>
      <c r="AX175" t="str">
        <f>IF('1. Live'!AX175='check-Jul25'!AX175,"",'1. Live'!AX175-'check-Jul25'!AX175)</f>
        <v/>
      </c>
      <c r="AY175" t="str">
        <f>IF('1. Live'!AY175='check-Jul25'!AY175,"",'1. Live'!AY175-'check-Jul25'!AY175)</f>
        <v/>
      </c>
      <c r="AZ175" t="str">
        <f>IF('1. Live'!AZ175='check-Jul25'!AZ175,"",'1. Live'!AZ175-'check-Jul25'!AZ175)</f>
        <v/>
      </c>
      <c r="BA175" t="str">
        <f>IF('1. Live'!BA175='check-Jul25'!BA175,"",'1. Live'!BA175-'check-Jul25'!BA175)</f>
        <v/>
      </c>
      <c r="BB175" t="str">
        <f>IF('1. Live'!BB175='check-Jul25'!BB175,"",'1. Live'!BB175-'check-Jul25'!BB175)</f>
        <v/>
      </c>
      <c r="BC175" t="str">
        <f>IF('1. Live'!BC175='check-Jul25'!BC175,"",'1. Live'!BC175-'check-Jul25'!BC175)</f>
        <v/>
      </c>
      <c r="BD175" t="str">
        <f>IF('1. Live'!BD175='check-Jul25'!BD175,"",'1. Live'!BD175-'check-Jul25'!BD175)</f>
        <v/>
      </c>
      <c r="BE175" t="str">
        <f>IF('1. Live'!BE175='check-Jul25'!BE175,"",'1. Live'!BE175-'check-Jul25'!BE175)</f>
        <v/>
      </c>
      <c r="BF175" t="str">
        <f>IF('1. Live'!BF175='check-Jul25'!BF175,"",'1. Live'!BF175-'check-Jul25'!BF175)</f>
        <v/>
      </c>
      <c r="BG175" t="str">
        <f>IF('1. Live'!BG175='check-Jul25'!BG175,"",'1. Live'!BG175-'check-Jul25'!BG175)</f>
        <v/>
      </c>
      <c r="BH175" t="str">
        <f>IF('1. Live'!BH175='check-Jul25'!BH175,"",'1. Live'!BH175-'check-Jul25'!BH175)</f>
        <v/>
      </c>
      <c r="BI175" t="str">
        <f>IF('1. Live'!BI175='check-Jul25'!BI175,"",'1. Live'!BI175-'check-Jul25'!BI175)</f>
        <v/>
      </c>
      <c r="BJ175" t="str">
        <f>IF('1. Live'!BJ175='check-Jul25'!BJ175,"",'1. Live'!BJ175-'check-Jul25'!BJ175)</f>
        <v/>
      </c>
      <c r="BK175" t="str">
        <f>IF('1. Live'!BK175='check-Jul25'!BK175,"",'1. Live'!BK175-'check-Jul25'!BK175)</f>
        <v/>
      </c>
      <c r="BL175" t="str">
        <f>IF('1. Live'!BL175='check-Jul25'!BL175,"",'1. Live'!BL175-'check-Jul25'!BL175)</f>
        <v/>
      </c>
      <c r="BM175" t="str">
        <f>IF('1. Live'!BM175='check-Jul25'!BM175,"",'1. Live'!BM175-'check-Jul25'!BM175)</f>
        <v/>
      </c>
      <c r="BN175" t="str">
        <f>IF('1. Live'!BN175='check-Jul25'!BN175,"",'1. Live'!BN175-'check-Jul25'!BN175)</f>
        <v/>
      </c>
      <c r="BO175" t="str">
        <f>IF('1. Live'!BO175='check-Jul25'!BO175,"",'1. Live'!BO175-'check-Jul25'!BO175)</f>
        <v/>
      </c>
      <c r="BP175" t="str">
        <f>IF('1. Live'!BP175='check-Jul25'!BP175,"",'1. Live'!BP175-'check-Jul25'!BP175)</f>
        <v/>
      </c>
      <c r="BQ175" t="str">
        <f>IF('1. Live'!BQ175='check-Jul25'!BQ175,"",'1. Live'!BQ175-'check-Jul25'!BQ175)</f>
        <v/>
      </c>
      <c r="BR175" t="str">
        <f>IF('1. Live'!BR175='check-Jul25'!BR175,"",'1. Live'!BR175-'check-Jul25'!BR175)</f>
        <v/>
      </c>
      <c r="BS175" t="str">
        <f>IF('1. Live'!BS175='check-Jul25'!BS175,"",'1. Live'!BS175-'check-Jul25'!BS175)</f>
        <v/>
      </c>
      <c r="BT175" t="str">
        <f>IF('1. Live'!BT175='check-Jul25'!BT175,"",'1. Live'!BT175-'check-Jul25'!BT175)</f>
        <v/>
      </c>
      <c r="BU175" t="str">
        <f>IF('1. Live'!BU175='check-Jul25'!BU175,"",'1. Live'!BU175-'check-Jul25'!BU175)</f>
        <v/>
      </c>
      <c r="BV175" t="str">
        <f>IF('1. Live'!BV175='check-Jul25'!BV175,"",'1. Live'!BV175-'check-Jul25'!BV175)</f>
        <v/>
      </c>
      <c r="BW175" t="str">
        <f>IF('1. Live'!BW175='check-Jul25'!BW175,"",'1. Live'!BW175-'check-Jul25'!BW175)</f>
        <v/>
      </c>
      <c r="BX175" t="str">
        <f>IF('1. Live'!BX175='check-Jul25'!BX175,"",'1. Live'!BX175-'check-Jul25'!BX175)</f>
        <v/>
      </c>
      <c r="BY175" t="str">
        <f>IF('1. Live'!BY175='check-Jul25'!BY175,"",'1. Live'!BY175-'check-Jul25'!BY175)</f>
        <v/>
      </c>
      <c r="BZ175" t="str">
        <f>IF('1. Live'!BZ175='check-Jul25'!BZ175,"",'1. Live'!BZ175-'check-Jul25'!BZ175)</f>
        <v/>
      </c>
      <c r="CA175" t="str">
        <f>IF('1. Live'!CA175='check-Jul25'!CA175,"",'1. Live'!CA175-'check-Jul25'!CA175)</f>
        <v/>
      </c>
      <c r="CB175" t="str">
        <f>IF('1. Live'!CB175='check-Jul25'!CB175,"",'1. Live'!CB175-'check-Jul25'!CB175)</f>
        <v/>
      </c>
      <c r="CC175" t="str">
        <f>IF('1. Live'!CC175='check-Jul25'!CC175,"",'1. Live'!CC175-'check-Jul25'!CC175)</f>
        <v/>
      </c>
      <c r="CD175" t="str">
        <f>IF('1. Live'!CD175='check-Jul25'!CD175,"",'1. Live'!CD175-'check-Jul25'!CD175)</f>
        <v/>
      </c>
      <c r="CE175" t="str">
        <f>IF('1. Live'!CE175='check-Jul25'!CE175,"",'1. Live'!CE175-'check-Jul25'!CE175)</f>
        <v/>
      </c>
      <c r="CF175" t="str">
        <f>IF('1. Live'!CF175='check-Jul25'!CF175,"",'1. Live'!CF175-'check-Jul25'!CF175)</f>
        <v/>
      </c>
      <c r="CG175" t="str">
        <f>IF('1. Live'!CG175='check-Jul25'!CG175,"",'1. Live'!CG175-'check-Jul25'!CG175)</f>
        <v/>
      </c>
      <c r="CH175" t="str">
        <f>IF('1. Live'!CH175='check-Jul25'!CH175,"",'1. Live'!CH175-'check-Jul25'!CH175)</f>
        <v/>
      </c>
      <c r="CI175" t="str">
        <f>IF('1. Live'!CI175='check-Jul25'!CI175,"",'1. Live'!CI175-'check-Jul25'!CI175)</f>
        <v/>
      </c>
      <c r="CJ175" t="str">
        <f>IF('1. Live'!CJ175='check-Jul25'!CJ175,"",'1. Live'!CJ175-'check-Jul25'!CJ175)</f>
        <v/>
      </c>
      <c r="CK175" t="str">
        <f>IF('1. Live'!CK175='check-Jul25'!CK175,"",'1. Live'!CK175-'check-Jul25'!CK175)</f>
        <v/>
      </c>
      <c r="CL175" t="str">
        <f>IF('1. Live'!CL175='check-Jul25'!CL175,"",'1. Live'!CL175-'check-Jul25'!CL175)</f>
        <v/>
      </c>
      <c r="CM175" t="str">
        <f>IF('1. Live'!CM175='check-Jul25'!CM175,"",'1. Live'!CM175-'check-Jul25'!CM175)</f>
        <v/>
      </c>
      <c r="CN175" t="str">
        <f>IF('1. Live'!CN175='check-Jul25'!CN175,"",'1. Live'!CN175-'check-Jul25'!CN175)</f>
        <v/>
      </c>
      <c r="CO175" t="str">
        <f>IF('1. Live'!CO175='check-Jul25'!CO175,"",'1. Live'!CO175-'check-Jul25'!CO175)</f>
        <v/>
      </c>
      <c r="CP175" t="str">
        <f>IF('1. Live'!CP175='check-Jul25'!CP175,"",'1. Live'!CP175-'check-Jul25'!CP175)</f>
        <v/>
      </c>
      <c r="CQ175" t="str">
        <f>IF('1. Live'!CQ175='check-Jul25'!CQ175,"",'1. Live'!CQ175-'check-Jul25'!CQ175)</f>
        <v/>
      </c>
      <c r="CR175" t="str">
        <f>IF('1. Live'!CR175='check-Jul25'!CR175,"",'1. Live'!CR175-'check-Jul25'!CR175)</f>
        <v/>
      </c>
      <c r="CS175" t="str">
        <f>IF('1. Live'!CS175='check-Jul25'!CS175,"",'1. Live'!CS175-'check-Jul25'!CS175)</f>
        <v/>
      </c>
      <c r="CT175" t="str">
        <f>IF('1. Live'!CT175='check-Jul25'!CT175,"",'1. Live'!CT175-'check-Jul25'!CT175)</f>
        <v/>
      </c>
      <c r="CU175" t="str">
        <f>IF('1. Live'!CU175='check-Jul25'!CU175,"",'1. Live'!CU175-'check-Jul25'!CU175)</f>
        <v/>
      </c>
      <c r="CV175" t="str">
        <f>IF('1. Live'!CV175='check-Jul25'!CV175,"",'1. Live'!CV175-'check-Jul25'!CV175)</f>
        <v/>
      </c>
      <c r="CW175" t="str">
        <f>IF('1. Live'!CW175='check-Jul25'!CW175,"",'1. Live'!CW175-'check-Jul25'!CW175)</f>
        <v/>
      </c>
    </row>
    <row r="176" spans="10:101">
      <c r="J176" t="str">
        <f>IF('1. Live'!J176='check-Jul25'!J176,"",'1. Live'!J176-'check-Jul25'!J176)</f>
        <v/>
      </c>
      <c r="K176" t="str">
        <f>IF('1. Live'!K176='check-Jul25'!K176,"",'1. Live'!K176-'check-Jul25'!K176)</f>
        <v/>
      </c>
      <c r="L176" t="str">
        <f>IF('1. Live'!L176='check-Jul25'!L176,"",'1. Live'!L176-'check-Jul25'!L176)</f>
        <v/>
      </c>
      <c r="M176" t="str">
        <f>IF('1. Live'!M176='check-Jul25'!M176,"",'1. Live'!M176-'check-Jul25'!M176)</f>
        <v/>
      </c>
      <c r="N176" t="str">
        <f>IF('1. Live'!N176='check-Jul25'!N176,"",'1. Live'!N176-'check-Jul25'!N176)</f>
        <v/>
      </c>
      <c r="O176" t="str">
        <f>IF('1. Live'!O176='check-Jul25'!O176,"",'1. Live'!O176-'check-Jul25'!O176)</f>
        <v/>
      </c>
      <c r="P176" t="str">
        <f>IF('1. Live'!P176='check-Jul25'!P176,"",'1. Live'!P176-'check-Jul25'!P176)</f>
        <v/>
      </c>
      <c r="Q176" t="str">
        <f>IF('1. Live'!Q176='check-Jul25'!Q176,"",'1. Live'!Q176-'check-Jul25'!Q176)</f>
        <v/>
      </c>
      <c r="R176" t="str">
        <f>IF('1. Live'!R176='check-Jul25'!R176,"",'1. Live'!R176-'check-Jul25'!R176)</f>
        <v/>
      </c>
      <c r="S176" t="str">
        <f>IF('1. Live'!S176='check-Jul25'!S176,"",'1. Live'!S176-'check-Jul25'!S176)</f>
        <v/>
      </c>
      <c r="T176" t="str">
        <f>IF('1. Live'!T176='check-Jul25'!T176,"",'1. Live'!T176-'check-Jul25'!T176)</f>
        <v/>
      </c>
      <c r="U176" t="str">
        <f>IF('1. Live'!U176='check-Jul25'!U176,"",'1. Live'!U176-'check-Jul25'!U176)</f>
        <v/>
      </c>
      <c r="V176" t="str">
        <f>IF('1. Live'!V176='check-Jul25'!V176,"",'1. Live'!V176-'check-Jul25'!V176)</f>
        <v/>
      </c>
      <c r="W176" t="str">
        <f>IF('1. Live'!W176='check-Jul25'!W176,"",'1. Live'!W176-'check-Jul25'!W176)</f>
        <v/>
      </c>
      <c r="X176" t="str">
        <f>IF('1. Live'!X176='check-Jul25'!X176,"",'1. Live'!X176-'check-Jul25'!X176)</f>
        <v/>
      </c>
      <c r="Y176" t="str">
        <f>IF('1. Live'!Y176='check-Jul25'!Y176,"",'1. Live'!Y176-'check-Jul25'!Y176)</f>
        <v/>
      </c>
      <c r="Z176" t="str">
        <f>IF('1. Live'!Z176='check-Jul25'!Z176,"",'1. Live'!Z176-'check-Jul25'!Z176)</f>
        <v/>
      </c>
      <c r="AA176" t="str">
        <f>IF('1. Live'!AA176='check-Jul25'!AA176,"",'1. Live'!AA176-'check-Jul25'!AA176)</f>
        <v/>
      </c>
      <c r="AB176" t="str">
        <f>IF('1. Live'!AB176='check-Jul25'!AB176,"",'1. Live'!AB176-'check-Jul25'!AB176)</f>
        <v/>
      </c>
      <c r="AC176" t="str">
        <f>IF('1. Live'!AC176='check-Jul25'!AC176,"",'1. Live'!AC176-'check-Jul25'!AC176)</f>
        <v/>
      </c>
      <c r="AD176" t="str">
        <f>IF('1. Live'!AD176='check-Jul25'!AD176,"",'1. Live'!AD176-'check-Jul25'!AD176)</f>
        <v/>
      </c>
      <c r="AE176" t="str">
        <f>IF('1. Live'!AE176='check-Jul25'!AE176,"",'1. Live'!AE176-'check-Jul25'!AE176)</f>
        <v/>
      </c>
      <c r="AF176" t="str">
        <f>IF('1. Live'!AF176='check-Jul25'!AF176,"",'1. Live'!AF176-'check-Jul25'!AF176)</f>
        <v/>
      </c>
      <c r="AG176" t="str">
        <f>IF('1. Live'!AG176='check-Jul25'!AG176,"",'1. Live'!AG176-'check-Jul25'!AG176)</f>
        <v/>
      </c>
      <c r="AH176" t="str">
        <f>IF('1. Live'!AH176='check-Jul25'!AH176,"",'1. Live'!AH176-'check-Jul25'!AH176)</f>
        <v/>
      </c>
      <c r="AI176" t="str">
        <f>IF('1. Live'!AI176='check-Jul25'!AI176,"",'1. Live'!AI176-'check-Jul25'!AI176)</f>
        <v/>
      </c>
      <c r="AJ176" t="str">
        <f>IF('1. Live'!AJ176='check-Jul25'!AJ176,"",'1. Live'!AJ176-'check-Jul25'!AJ176)</f>
        <v/>
      </c>
      <c r="AK176" t="str">
        <f>IF('1. Live'!AK176='check-Jul25'!AK176,"",'1. Live'!AK176-'check-Jul25'!AK176)</f>
        <v/>
      </c>
      <c r="AL176" t="str">
        <f>IF('1. Live'!AL176='check-Jul25'!AL176,"",'1. Live'!AL176-'check-Jul25'!AL176)</f>
        <v/>
      </c>
      <c r="AM176" t="str">
        <f>IF('1. Live'!AM176='check-Jul25'!AM176,"",'1. Live'!AM176-'check-Jul25'!AM176)</f>
        <v/>
      </c>
      <c r="AN176" t="str">
        <f>IF('1. Live'!AN176='check-Jul25'!AN176,"",'1. Live'!AN176-'check-Jul25'!AN176)</f>
        <v/>
      </c>
      <c r="AO176" t="str">
        <f>IF('1. Live'!AO176='check-Jul25'!AO176,"",'1. Live'!AO176-'check-Jul25'!AO176)</f>
        <v/>
      </c>
      <c r="AP176" t="str">
        <f>IF('1. Live'!AP176='check-Jul25'!AP176,"",'1. Live'!AP176-'check-Jul25'!AP176)</f>
        <v/>
      </c>
      <c r="AQ176" t="str">
        <f>IF('1. Live'!AQ176='check-Jul25'!AQ176,"",'1. Live'!AQ176-'check-Jul25'!AQ176)</f>
        <v/>
      </c>
      <c r="AR176" t="str">
        <f>IF('1. Live'!AR176='check-Jul25'!AR176,"",'1. Live'!AR176-'check-Jul25'!AR176)</f>
        <v/>
      </c>
      <c r="AS176" t="str">
        <f>IF('1. Live'!AS176='check-Jul25'!AS176,"",'1. Live'!AS176-'check-Jul25'!AS176)</f>
        <v/>
      </c>
      <c r="AT176" t="str">
        <f>IF('1. Live'!AT176='check-Jul25'!AT176,"",'1. Live'!AT176-'check-Jul25'!AT176)</f>
        <v/>
      </c>
      <c r="AU176" t="str">
        <f>IF('1. Live'!AU176='check-Jul25'!AU176,"",'1. Live'!AU176-'check-Jul25'!AU176)</f>
        <v/>
      </c>
      <c r="AV176" t="str">
        <f>IF('1. Live'!AV176='check-Jul25'!AV176,"",'1. Live'!AV176-'check-Jul25'!AV176)</f>
        <v/>
      </c>
      <c r="AW176" t="str">
        <f>IF('1. Live'!AW176='check-Jul25'!AW176,"",'1. Live'!AW176-'check-Jul25'!AW176)</f>
        <v/>
      </c>
      <c r="AX176" t="str">
        <f>IF('1. Live'!AX176='check-Jul25'!AX176,"",'1. Live'!AX176-'check-Jul25'!AX176)</f>
        <v/>
      </c>
      <c r="AY176" t="str">
        <f>IF('1. Live'!AY176='check-Jul25'!AY176,"",'1. Live'!AY176-'check-Jul25'!AY176)</f>
        <v/>
      </c>
      <c r="AZ176" t="str">
        <f>IF('1. Live'!AZ176='check-Jul25'!AZ176,"",'1. Live'!AZ176-'check-Jul25'!AZ176)</f>
        <v/>
      </c>
      <c r="BA176" t="str">
        <f>IF('1. Live'!BA176='check-Jul25'!BA176,"",'1. Live'!BA176-'check-Jul25'!BA176)</f>
        <v/>
      </c>
      <c r="BB176" t="str">
        <f>IF('1. Live'!BB176='check-Jul25'!BB176,"",'1. Live'!BB176-'check-Jul25'!BB176)</f>
        <v/>
      </c>
      <c r="BC176" t="str">
        <f>IF('1. Live'!BC176='check-Jul25'!BC176,"",'1. Live'!BC176-'check-Jul25'!BC176)</f>
        <v/>
      </c>
      <c r="BD176" t="str">
        <f>IF('1. Live'!BD176='check-Jul25'!BD176,"",'1. Live'!BD176-'check-Jul25'!BD176)</f>
        <v/>
      </c>
      <c r="BE176" t="str">
        <f>IF('1. Live'!BE176='check-Jul25'!BE176,"",'1. Live'!BE176-'check-Jul25'!BE176)</f>
        <v/>
      </c>
      <c r="BF176" t="str">
        <f>IF('1. Live'!BF176='check-Jul25'!BF176,"",'1. Live'!BF176-'check-Jul25'!BF176)</f>
        <v/>
      </c>
      <c r="BG176" t="str">
        <f>IF('1. Live'!BG176='check-Jul25'!BG176,"",'1. Live'!BG176-'check-Jul25'!BG176)</f>
        <v/>
      </c>
      <c r="BH176" t="str">
        <f>IF('1. Live'!BH176='check-Jul25'!BH176,"",'1. Live'!BH176-'check-Jul25'!BH176)</f>
        <v/>
      </c>
      <c r="BI176" t="str">
        <f>IF('1. Live'!BI176='check-Jul25'!BI176,"",'1. Live'!BI176-'check-Jul25'!BI176)</f>
        <v/>
      </c>
      <c r="BJ176" t="str">
        <f>IF('1. Live'!BJ176='check-Jul25'!BJ176,"",'1. Live'!BJ176-'check-Jul25'!BJ176)</f>
        <v/>
      </c>
      <c r="BK176" t="str">
        <f>IF('1. Live'!BK176='check-Jul25'!BK176,"",'1. Live'!BK176-'check-Jul25'!BK176)</f>
        <v/>
      </c>
      <c r="BL176" t="str">
        <f>IF('1. Live'!BL176='check-Jul25'!BL176,"",'1. Live'!BL176-'check-Jul25'!BL176)</f>
        <v/>
      </c>
      <c r="BM176" t="str">
        <f>IF('1. Live'!BM176='check-Jul25'!BM176,"",'1. Live'!BM176-'check-Jul25'!BM176)</f>
        <v/>
      </c>
      <c r="BN176" t="str">
        <f>IF('1. Live'!BN176='check-Jul25'!BN176,"",'1. Live'!BN176-'check-Jul25'!BN176)</f>
        <v/>
      </c>
      <c r="BO176" t="str">
        <f>IF('1. Live'!BO176='check-Jul25'!BO176,"",'1. Live'!BO176-'check-Jul25'!BO176)</f>
        <v/>
      </c>
      <c r="BP176" t="str">
        <f>IF('1. Live'!BP176='check-Jul25'!BP176,"",'1. Live'!BP176-'check-Jul25'!BP176)</f>
        <v/>
      </c>
      <c r="BQ176" t="str">
        <f>IF('1. Live'!BQ176='check-Jul25'!BQ176,"",'1. Live'!BQ176-'check-Jul25'!BQ176)</f>
        <v/>
      </c>
      <c r="BR176" t="str">
        <f>IF('1. Live'!BR176='check-Jul25'!BR176,"",'1. Live'!BR176-'check-Jul25'!BR176)</f>
        <v/>
      </c>
      <c r="BS176" t="str">
        <f>IF('1. Live'!BS176='check-Jul25'!BS176,"",'1. Live'!BS176-'check-Jul25'!BS176)</f>
        <v/>
      </c>
      <c r="BT176" t="str">
        <f>IF('1. Live'!BT176='check-Jul25'!BT176,"",'1. Live'!BT176-'check-Jul25'!BT176)</f>
        <v/>
      </c>
      <c r="BU176" t="str">
        <f>IF('1. Live'!BU176='check-Jul25'!BU176,"",'1. Live'!BU176-'check-Jul25'!BU176)</f>
        <v/>
      </c>
      <c r="BV176" t="str">
        <f>IF('1. Live'!BV176='check-Jul25'!BV176,"",'1. Live'!BV176-'check-Jul25'!BV176)</f>
        <v/>
      </c>
      <c r="BW176" t="str">
        <f>IF('1. Live'!BW176='check-Jul25'!BW176,"",'1. Live'!BW176-'check-Jul25'!BW176)</f>
        <v/>
      </c>
      <c r="BX176" t="str">
        <f>IF('1. Live'!BX176='check-Jul25'!BX176,"",'1. Live'!BX176-'check-Jul25'!BX176)</f>
        <v/>
      </c>
      <c r="BY176" t="str">
        <f>IF('1. Live'!BY176='check-Jul25'!BY176,"",'1. Live'!BY176-'check-Jul25'!BY176)</f>
        <v/>
      </c>
      <c r="BZ176" t="str">
        <f>IF('1. Live'!BZ176='check-Jul25'!BZ176,"",'1. Live'!BZ176-'check-Jul25'!BZ176)</f>
        <v/>
      </c>
      <c r="CA176" t="str">
        <f>IF('1. Live'!CA176='check-Jul25'!CA176,"",'1. Live'!CA176-'check-Jul25'!CA176)</f>
        <v/>
      </c>
      <c r="CB176" t="str">
        <f>IF('1. Live'!CB176='check-Jul25'!CB176,"",'1. Live'!CB176-'check-Jul25'!CB176)</f>
        <v/>
      </c>
      <c r="CC176" t="str">
        <f>IF('1. Live'!CC176='check-Jul25'!CC176,"",'1. Live'!CC176-'check-Jul25'!CC176)</f>
        <v/>
      </c>
      <c r="CD176" t="str">
        <f>IF('1. Live'!CD176='check-Jul25'!CD176,"",'1. Live'!CD176-'check-Jul25'!CD176)</f>
        <v/>
      </c>
      <c r="CE176" t="str">
        <f>IF('1. Live'!CE176='check-Jul25'!CE176,"",'1. Live'!CE176-'check-Jul25'!CE176)</f>
        <v/>
      </c>
      <c r="CF176" t="str">
        <f>IF('1. Live'!CF176='check-Jul25'!CF176,"",'1. Live'!CF176-'check-Jul25'!CF176)</f>
        <v/>
      </c>
      <c r="CG176" t="str">
        <f>IF('1. Live'!CG176='check-Jul25'!CG176,"",'1. Live'!CG176-'check-Jul25'!CG176)</f>
        <v/>
      </c>
      <c r="CH176" t="str">
        <f>IF('1. Live'!CH176='check-Jul25'!CH176,"",'1. Live'!CH176-'check-Jul25'!CH176)</f>
        <v/>
      </c>
      <c r="CI176" t="str">
        <f>IF('1. Live'!CI176='check-Jul25'!CI176,"",'1. Live'!CI176-'check-Jul25'!CI176)</f>
        <v/>
      </c>
      <c r="CJ176" t="str">
        <f>IF('1. Live'!CJ176='check-Jul25'!CJ176,"",'1. Live'!CJ176-'check-Jul25'!CJ176)</f>
        <v/>
      </c>
      <c r="CK176" t="str">
        <f>IF('1. Live'!CK176='check-Jul25'!CK176,"",'1. Live'!CK176-'check-Jul25'!CK176)</f>
        <v/>
      </c>
      <c r="CL176" t="str">
        <f>IF('1. Live'!CL176='check-Jul25'!CL176,"",'1. Live'!CL176-'check-Jul25'!CL176)</f>
        <v/>
      </c>
      <c r="CM176" t="str">
        <f>IF('1. Live'!CM176='check-Jul25'!CM176,"",'1. Live'!CM176-'check-Jul25'!CM176)</f>
        <v/>
      </c>
      <c r="CN176" t="str">
        <f>IF('1. Live'!CN176='check-Jul25'!CN176,"",'1. Live'!CN176-'check-Jul25'!CN176)</f>
        <v/>
      </c>
      <c r="CO176" t="str">
        <f>IF('1. Live'!CO176='check-Jul25'!CO176,"",'1. Live'!CO176-'check-Jul25'!CO176)</f>
        <v/>
      </c>
      <c r="CP176" t="str">
        <f>IF('1. Live'!CP176='check-Jul25'!CP176,"",'1. Live'!CP176-'check-Jul25'!CP176)</f>
        <v/>
      </c>
      <c r="CQ176" t="str">
        <f>IF('1. Live'!CQ176='check-Jul25'!CQ176,"",'1. Live'!CQ176-'check-Jul25'!CQ176)</f>
        <v/>
      </c>
      <c r="CR176" t="str">
        <f>IF('1. Live'!CR176='check-Jul25'!CR176,"",'1. Live'!CR176-'check-Jul25'!CR176)</f>
        <v/>
      </c>
      <c r="CS176" t="str">
        <f>IF('1. Live'!CS176='check-Jul25'!CS176,"",'1. Live'!CS176-'check-Jul25'!CS176)</f>
        <v/>
      </c>
      <c r="CT176" t="str">
        <f>IF('1. Live'!CT176='check-Jul25'!CT176,"",'1. Live'!CT176-'check-Jul25'!CT176)</f>
        <v/>
      </c>
      <c r="CU176" t="str">
        <f>IF('1. Live'!CU176='check-Jul25'!CU176,"",'1. Live'!CU176-'check-Jul25'!CU176)</f>
        <v/>
      </c>
      <c r="CV176" t="str">
        <f>IF('1. Live'!CV176='check-Jul25'!CV176,"",'1. Live'!CV176-'check-Jul25'!CV176)</f>
        <v/>
      </c>
      <c r="CW176" t="str">
        <f>IF('1. Live'!CW176='check-Jul25'!CW176,"",'1. Live'!CW176-'check-Jul25'!CW176)</f>
        <v/>
      </c>
    </row>
    <row r="177" spans="10:101">
      <c r="J177" t="str">
        <f>IF('1. Live'!J177='check-Jul25'!J177,"",'1. Live'!J177-'check-Jul25'!J177)</f>
        <v/>
      </c>
      <c r="K177" t="str">
        <f>IF('1. Live'!K177='check-Jul25'!K177,"",'1. Live'!K177-'check-Jul25'!K177)</f>
        <v/>
      </c>
      <c r="L177" t="str">
        <f>IF('1. Live'!L177='check-Jul25'!L177,"",'1. Live'!L177-'check-Jul25'!L177)</f>
        <v/>
      </c>
      <c r="M177" t="str">
        <f>IF('1. Live'!M177='check-Jul25'!M177,"",'1. Live'!M177-'check-Jul25'!M177)</f>
        <v/>
      </c>
      <c r="N177" t="str">
        <f>IF('1. Live'!N177='check-Jul25'!N177,"",'1. Live'!N177-'check-Jul25'!N177)</f>
        <v/>
      </c>
      <c r="O177" t="str">
        <f>IF('1. Live'!O177='check-Jul25'!O177,"",'1. Live'!O177-'check-Jul25'!O177)</f>
        <v/>
      </c>
      <c r="P177" t="str">
        <f>IF('1. Live'!P177='check-Jul25'!P177,"",'1. Live'!P177-'check-Jul25'!P177)</f>
        <v/>
      </c>
      <c r="Q177" t="str">
        <f>IF('1. Live'!Q177='check-Jul25'!Q177,"",'1. Live'!Q177-'check-Jul25'!Q177)</f>
        <v/>
      </c>
      <c r="R177" t="str">
        <f>IF('1. Live'!R177='check-Jul25'!R177,"",'1. Live'!R177-'check-Jul25'!R177)</f>
        <v/>
      </c>
      <c r="S177" t="str">
        <f>IF('1. Live'!S177='check-Jul25'!S177,"",'1. Live'!S177-'check-Jul25'!S177)</f>
        <v/>
      </c>
      <c r="T177" t="str">
        <f>IF('1. Live'!T177='check-Jul25'!T177,"",'1. Live'!T177-'check-Jul25'!T177)</f>
        <v/>
      </c>
      <c r="U177" t="str">
        <f>IF('1. Live'!U177='check-Jul25'!U177,"",'1. Live'!U177-'check-Jul25'!U177)</f>
        <v/>
      </c>
      <c r="V177" t="str">
        <f>IF('1. Live'!V177='check-Jul25'!V177,"",'1. Live'!V177-'check-Jul25'!V177)</f>
        <v/>
      </c>
      <c r="W177" t="str">
        <f>IF('1. Live'!W177='check-Jul25'!W177,"",'1. Live'!W177-'check-Jul25'!W177)</f>
        <v/>
      </c>
      <c r="X177" t="str">
        <f>IF('1. Live'!X177='check-Jul25'!X177,"",'1. Live'!X177-'check-Jul25'!X177)</f>
        <v/>
      </c>
      <c r="Y177" t="str">
        <f>IF('1. Live'!Y177='check-Jul25'!Y177,"",'1. Live'!Y177-'check-Jul25'!Y177)</f>
        <v/>
      </c>
      <c r="Z177" t="str">
        <f>IF('1. Live'!Z177='check-Jul25'!Z177,"",'1. Live'!Z177-'check-Jul25'!Z177)</f>
        <v/>
      </c>
      <c r="AA177" t="str">
        <f>IF('1. Live'!AA177='check-Jul25'!AA177,"",'1. Live'!AA177-'check-Jul25'!AA177)</f>
        <v/>
      </c>
      <c r="AB177" t="str">
        <f>IF('1. Live'!AB177='check-Jul25'!AB177,"",'1. Live'!AB177-'check-Jul25'!AB177)</f>
        <v/>
      </c>
      <c r="AC177" t="str">
        <f>IF('1. Live'!AC177='check-Jul25'!AC177,"",'1. Live'!AC177-'check-Jul25'!AC177)</f>
        <v/>
      </c>
      <c r="AD177" t="str">
        <f>IF('1. Live'!AD177='check-Jul25'!AD177,"",'1. Live'!AD177-'check-Jul25'!AD177)</f>
        <v/>
      </c>
      <c r="AE177" t="str">
        <f>IF('1. Live'!AE177='check-Jul25'!AE177,"",'1. Live'!AE177-'check-Jul25'!AE177)</f>
        <v/>
      </c>
      <c r="AF177" t="str">
        <f>IF('1. Live'!AF177='check-Jul25'!AF177,"",'1. Live'!AF177-'check-Jul25'!AF177)</f>
        <v/>
      </c>
      <c r="AG177" t="str">
        <f>IF('1. Live'!AG177='check-Jul25'!AG177,"",'1. Live'!AG177-'check-Jul25'!AG177)</f>
        <v/>
      </c>
      <c r="AH177" t="str">
        <f>IF('1. Live'!AH177='check-Jul25'!AH177,"",'1. Live'!AH177-'check-Jul25'!AH177)</f>
        <v/>
      </c>
      <c r="AI177" t="str">
        <f>IF('1. Live'!AI177='check-Jul25'!AI177,"",'1. Live'!AI177-'check-Jul25'!AI177)</f>
        <v/>
      </c>
      <c r="AJ177" t="str">
        <f>IF('1. Live'!AJ177='check-Jul25'!AJ177,"",'1. Live'!AJ177-'check-Jul25'!AJ177)</f>
        <v/>
      </c>
      <c r="AK177" t="str">
        <f>IF('1. Live'!AK177='check-Jul25'!AK177,"",'1. Live'!AK177-'check-Jul25'!AK177)</f>
        <v/>
      </c>
      <c r="AL177" t="str">
        <f>IF('1. Live'!AL177='check-Jul25'!AL177,"",'1. Live'!AL177-'check-Jul25'!AL177)</f>
        <v/>
      </c>
      <c r="AM177" t="str">
        <f>IF('1. Live'!AM177='check-Jul25'!AM177,"",'1. Live'!AM177-'check-Jul25'!AM177)</f>
        <v/>
      </c>
      <c r="AN177" t="str">
        <f>IF('1. Live'!AN177='check-Jul25'!AN177,"",'1. Live'!AN177-'check-Jul25'!AN177)</f>
        <v/>
      </c>
      <c r="AO177" t="str">
        <f>IF('1. Live'!AO177='check-Jul25'!AO177,"",'1. Live'!AO177-'check-Jul25'!AO177)</f>
        <v/>
      </c>
      <c r="AP177" t="str">
        <f>IF('1. Live'!AP177='check-Jul25'!AP177,"",'1. Live'!AP177-'check-Jul25'!AP177)</f>
        <v/>
      </c>
      <c r="AQ177" t="str">
        <f>IF('1. Live'!AQ177='check-Jul25'!AQ177,"",'1. Live'!AQ177-'check-Jul25'!AQ177)</f>
        <v/>
      </c>
      <c r="AR177" t="str">
        <f>IF('1. Live'!AR177='check-Jul25'!AR177,"",'1. Live'!AR177-'check-Jul25'!AR177)</f>
        <v/>
      </c>
      <c r="AS177" t="str">
        <f>IF('1. Live'!AS177='check-Jul25'!AS177,"",'1. Live'!AS177-'check-Jul25'!AS177)</f>
        <v/>
      </c>
      <c r="AT177" t="str">
        <f>IF('1. Live'!AT177='check-Jul25'!AT177,"",'1. Live'!AT177-'check-Jul25'!AT177)</f>
        <v/>
      </c>
      <c r="AU177" t="str">
        <f>IF('1. Live'!AU177='check-Jul25'!AU177,"",'1. Live'!AU177-'check-Jul25'!AU177)</f>
        <v/>
      </c>
      <c r="AV177" t="str">
        <f>IF('1. Live'!AV177='check-Jul25'!AV177,"",'1. Live'!AV177-'check-Jul25'!AV177)</f>
        <v/>
      </c>
      <c r="AW177" t="str">
        <f>IF('1. Live'!AW177='check-Jul25'!AW177,"",'1. Live'!AW177-'check-Jul25'!AW177)</f>
        <v/>
      </c>
      <c r="AX177" t="str">
        <f>IF('1. Live'!AX177='check-Jul25'!AX177,"",'1. Live'!AX177-'check-Jul25'!AX177)</f>
        <v/>
      </c>
      <c r="AY177" t="str">
        <f>IF('1. Live'!AY177='check-Jul25'!AY177,"",'1. Live'!AY177-'check-Jul25'!AY177)</f>
        <v/>
      </c>
      <c r="AZ177" t="str">
        <f>IF('1. Live'!AZ177='check-Jul25'!AZ177,"",'1. Live'!AZ177-'check-Jul25'!AZ177)</f>
        <v/>
      </c>
      <c r="BA177" t="str">
        <f>IF('1. Live'!BA177='check-Jul25'!BA177,"",'1. Live'!BA177-'check-Jul25'!BA177)</f>
        <v/>
      </c>
      <c r="BB177" t="str">
        <f>IF('1. Live'!BB177='check-Jul25'!BB177,"",'1. Live'!BB177-'check-Jul25'!BB177)</f>
        <v/>
      </c>
      <c r="BC177" t="str">
        <f>IF('1. Live'!BC177='check-Jul25'!BC177,"",'1. Live'!BC177-'check-Jul25'!BC177)</f>
        <v/>
      </c>
      <c r="BD177" t="str">
        <f>IF('1. Live'!BD177='check-Jul25'!BD177,"",'1. Live'!BD177-'check-Jul25'!BD177)</f>
        <v/>
      </c>
      <c r="BE177" t="str">
        <f>IF('1. Live'!BE177='check-Jul25'!BE177,"",'1. Live'!BE177-'check-Jul25'!BE177)</f>
        <v/>
      </c>
      <c r="BF177" t="str">
        <f>IF('1. Live'!BF177='check-Jul25'!BF177,"",'1. Live'!BF177-'check-Jul25'!BF177)</f>
        <v/>
      </c>
      <c r="BG177" t="str">
        <f>IF('1. Live'!BG177='check-Jul25'!BG177,"",'1. Live'!BG177-'check-Jul25'!BG177)</f>
        <v/>
      </c>
      <c r="BH177" t="str">
        <f>IF('1. Live'!BH177='check-Jul25'!BH177,"",'1. Live'!BH177-'check-Jul25'!BH177)</f>
        <v/>
      </c>
      <c r="BI177" t="str">
        <f>IF('1. Live'!BI177='check-Jul25'!BI177,"",'1. Live'!BI177-'check-Jul25'!BI177)</f>
        <v/>
      </c>
      <c r="BJ177" t="str">
        <f>IF('1. Live'!BJ177='check-Jul25'!BJ177,"",'1. Live'!BJ177-'check-Jul25'!BJ177)</f>
        <v/>
      </c>
      <c r="BK177" t="str">
        <f>IF('1. Live'!BK177='check-Jul25'!BK177,"",'1. Live'!BK177-'check-Jul25'!BK177)</f>
        <v/>
      </c>
      <c r="BL177" t="str">
        <f>IF('1. Live'!BL177='check-Jul25'!BL177,"",'1. Live'!BL177-'check-Jul25'!BL177)</f>
        <v/>
      </c>
      <c r="BM177" t="str">
        <f>IF('1. Live'!BM177='check-Jul25'!BM177,"",'1. Live'!BM177-'check-Jul25'!BM177)</f>
        <v/>
      </c>
      <c r="BN177" t="str">
        <f>IF('1. Live'!BN177='check-Jul25'!BN177,"",'1. Live'!BN177-'check-Jul25'!BN177)</f>
        <v/>
      </c>
      <c r="BO177" t="str">
        <f>IF('1. Live'!BO177='check-Jul25'!BO177,"",'1. Live'!BO177-'check-Jul25'!BO177)</f>
        <v/>
      </c>
      <c r="BP177" t="str">
        <f>IF('1. Live'!BP177='check-Jul25'!BP177,"",'1. Live'!BP177-'check-Jul25'!BP177)</f>
        <v/>
      </c>
      <c r="BQ177" t="str">
        <f>IF('1. Live'!BQ177='check-Jul25'!BQ177,"",'1. Live'!BQ177-'check-Jul25'!BQ177)</f>
        <v/>
      </c>
      <c r="BR177" t="str">
        <f>IF('1. Live'!BR177='check-Jul25'!BR177,"",'1. Live'!BR177-'check-Jul25'!BR177)</f>
        <v/>
      </c>
      <c r="BS177" t="str">
        <f>IF('1. Live'!BS177='check-Jul25'!BS177,"",'1. Live'!BS177-'check-Jul25'!BS177)</f>
        <v/>
      </c>
      <c r="BT177" t="str">
        <f>IF('1. Live'!BT177='check-Jul25'!BT177,"",'1. Live'!BT177-'check-Jul25'!BT177)</f>
        <v/>
      </c>
      <c r="BU177" t="str">
        <f>IF('1. Live'!BU177='check-Jul25'!BU177,"",'1. Live'!BU177-'check-Jul25'!BU177)</f>
        <v/>
      </c>
      <c r="BV177" t="str">
        <f>IF('1. Live'!BV177='check-Jul25'!BV177,"",'1. Live'!BV177-'check-Jul25'!BV177)</f>
        <v/>
      </c>
      <c r="BW177" t="str">
        <f>IF('1. Live'!BW177='check-Jul25'!BW177,"",'1. Live'!BW177-'check-Jul25'!BW177)</f>
        <v/>
      </c>
      <c r="BX177" t="str">
        <f>IF('1. Live'!BX177='check-Jul25'!BX177,"",'1. Live'!BX177-'check-Jul25'!BX177)</f>
        <v/>
      </c>
      <c r="BY177" t="str">
        <f>IF('1. Live'!BY177='check-Jul25'!BY177,"",'1. Live'!BY177-'check-Jul25'!BY177)</f>
        <v/>
      </c>
      <c r="BZ177" t="str">
        <f>IF('1. Live'!BZ177='check-Jul25'!BZ177,"",'1. Live'!BZ177-'check-Jul25'!BZ177)</f>
        <v/>
      </c>
      <c r="CA177" t="str">
        <f>IF('1. Live'!CA177='check-Jul25'!CA177,"",'1. Live'!CA177-'check-Jul25'!CA177)</f>
        <v/>
      </c>
      <c r="CB177" t="str">
        <f>IF('1. Live'!CB177='check-Jul25'!CB177,"",'1. Live'!CB177-'check-Jul25'!CB177)</f>
        <v/>
      </c>
      <c r="CC177" t="str">
        <f>IF('1. Live'!CC177='check-Jul25'!CC177,"",'1. Live'!CC177-'check-Jul25'!CC177)</f>
        <v/>
      </c>
      <c r="CD177" t="str">
        <f>IF('1. Live'!CD177='check-Jul25'!CD177,"",'1. Live'!CD177-'check-Jul25'!CD177)</f>
        <v/>
      </c>
      <c r="CE177" t="str">
        <f>IF('1. Live'!CE177='check-Jul25'!CE177,"",'1. Live'!CE177-'check-Jul25'!CE177)</f>
        <v/>
      </c>
      <c r="CF177" t="str">
        <f>IF('1. Live'!CF177='check-Jul25'!CF177,"",'1. Live'!CF177-'check-Jul25'!CF177)</f>
        <v/>
      </c>
      <c r="CG177" t="str">
        <f>IF('1. Live'!CG177='check-Jul25'!CG177,"",'1. Live'!CG177-'check-Jul25'!CG177)</f>
        <v/>
      </c>
      <c r="CH177" t="str">
        <f>IF('1. Live'!CH177='check-Jul25'!CH177,"",'1. Live'!CH177-'check-Jul25'!CH177)</f>
        <v/>
      </c>
      <c r="CI177" t="str">
        <f>IF('1. Live'!CI177='check-Jul25'!CI177,"",'1. Live'!CI177-'check-Jul25'!CI177)</f>
        <v/>
      </c>
      <c r="CJ177" t="str">
        <f>IF('1. Live'!CJ177='check-Jul25'!CJ177,"",'1. Live'!CJ177-'check-Jul25'!CJ177)</f>
        <v/>
      </c>
      <c r="CK177" t="str">
        <f>IF('1. Live'!CK177='check-Jul25'!CK177,"",'1. Live'!CK177-'check-Jul25'!CK177)</f>
        <v/>
      </c>
      <c r="CL177" t="str">
        <f>IF('1. Live'!CL177='check-Jul25'!CL177,"",'1. Live'!CL177-'check-Jul25'!CL177)</f>
        <v/>
      </c>
      <c r="CM177" t="str">
        <f>IF('1. Live'!CM177='check-Jul25'!CM177,"",'1. Live'!CM177-'check-Jul25'!CM177)</f>
        <v/>
      </c>
      <c r="CN177" t="str">
        <f>IF('1. Live'!CN177='check-Jul25'!CN177,"",'1. Live'!CN177-'check-Jul25'!CN177)</f>
        <v/>
      </c>
      <c r="CO177" t="str">
        <f>IF('1. Live'!CO177='check-Jul25'!CO177,"",'1. Live'!CO177-'check-Jul25'!CO177)</f>
        <v/>
      </c>
      <c r="CP177" t="str">
        <f>IF('1. Live'!CP177='check-Jul25'!CP177,"",'1. Live'!CP177-'check-Jul25'!CP177)</f>
        <v/>
      </c>
      <c r="CQ177" t="str">
        <f>IF('1. Live'!CQ177='check-Jul25'!CQ177,"",'1. Live'!CQ177-'check-Jul25'!CQ177)</f>
        <v/>
      </c>
      <c r="CR177" t="str">
        <f>IF('1. Live'!CR177='check-Jul25'!CR177,"",'1. Live'!CR177-'check-Jul25'!CR177)</f>
        <v/>
      </c>
      <c r="CS177" t="str">
        <f>IF('1. Live'!CS177='check-Jul25'!CS177,"",'1. Live'!CS177-'check-Jul25'!CS177)</f>
        <v/>
      </c>
      <c r="CT177" t="str">
        <f>IF('1. Live'!CT177='check-Jul25'!CT177,"",'1. Live'!CT177-'check-Jul25'!CT177)</f>
        <v/>
      </c>
      <c r="CU177" t="str">
        <f>IF('1. Live'!CU177='check-Jul25'!CU177,"",'1. Live'!CU177-'check-Jul25'!CU177)</f>
        <v/>
      </c>
      <c r="CV177" t="str">
        <f>IF('1. Live'!CV177='check-Jul25'!CV177,"",'1. Live'!CV177-'check-Jul25'!CV177)</f>
        <v/>
      </c>
      <c r="CW177" t="str">
        <f>IF('1. Live'!CW177='check-Jul25'!CW177,"",'1. Live'!CW177-'check-Jul25'!CW177)</f>
        <v/>
      </c>
    </row>
    <row r="178" spans="10:101">
      <c r="J178" t="str">
        <f>IF('1. Live'!J178='check-Jul25'!J178,"",'1. Live'!J178-'check-Jul25'!J178)</f>
        <v/>
      </c>
      <c r="K178" t="str">
        <f>IF('1. Live'!K178='check-Jul25'!K178,"",'1. Live'!K178-'check-Jul25'!K178)</f>
        <v/>
      </c>
      <c r="L178" t="str">
        <f>IF('1. Live'!L178='check-Jul25'!L178,"",'1. Live'!L178-'check-Jul25'!L178)</f>
        <v/>
      </c>
      <c r="M178" t="str">
        <f>IF('1. Live'!M178='check-Jul25'!M178,"",'1. Live'!M178-'check-Jul25'!M178)</f>
        <v/>
      </c>
      <c r="N178" t="str">
        <f>IF('1. Live'!N178='check-Jul25'!N178,"",'1. Live'!N178-'check-Jul25'!N178)</f>
        <v/>
      </c>
      <c r="O178" t="str">
        <f>IF('1. Live'!O178='check-Jul25'!O178,"",'1. Live'!O178-'check-Jul25'!O178)</f>
        <v/>
      </c>
      <c r="P178" t="str">
        <f>IF('1. Live'!P178='check-Jul25'!P178,"",'1. Live'!P178-'check-Jul25'!P178)</f>
        <v/>
      </c>
      <c r="Q178" t="str">
        <f>IF('1. Live'!Q178='check-Jul25'!Q178,"",'1. Live'!Q178-'check-Jul25'!Q178)</f>
        <v/>
      </c>
      <c r="R178" t="str">
        <f>IF('1. Live'!R178='check-Jul25'!R178,"",'1. Live'!R178-'check-Jul25'!R178)</f>
        <v/>
      </c>
      <c r="S178" t="str">
        <f>IF('1. Live'!S178='check-Jul25'!S178,"",'1. Live'!S178-'check-Jul25'!S178)</f>
        <v/>
      </c>
      <c r="T178" t="str">
        <f>IF('1. Live'!T178='check-Jul25'!T178,"",'1. Live'!T178-'check-Jul25'!T178)</f>
        <v/>
      </c>
      <c r="U178" t="str">
        <f>IF('1. Live'!U178='check-Jul25'!U178,"",'1. Live'!U178-'check-Jul25'!U178)</f>
        <v/>
      </c>
      <c r="V178" t="str">
        <f>IF('1. Live'!V178='check-Jul25'!V178,"",'1. Live'!V178-'check-Jul25'!V178)</f>
        <v/>
      </c>
      <c r="W178" t="str">
        <f>IF('1. Live'!W178='check-Jul25'!W178,"",'1. Live'!W178-'check-Jul25'!W178)</f>
        <v/>
      </c>
      <c r="X178" t="str">
        <f>IF('1. Live'!X178='check-Jul25'!X178,"",'1. Live'!X178-'check-Jul25'!X178)</f>
        <v/>
      </c>
      <c r="Y178" t="str">
        <f>IF('1. Live'!Y178='check-Jul25'!Y178,"",'1. Live'!Y178-'check-Jul25'!Y178)</f>
        <v/>
      </c>
      <c r="Z178" t="str">
        <f>IF('1. Live'!Z178='check-Jul25'!Z178,"",'1. Live'!Z178-'check-Jul25'!Z178)</f>
        <v/>
      </c>
      <c r="AA178" t="str">
        <f>IF('1. Live'!AA178='check-Jul25'!AA178,"",'1. Live'!AA178-'check-Jul25'!AA178)</f>
        <v/>
      </c>
      <c r="AB178" t="str">
        <f>IF('1. Live'!AB178='check-Jul25'!AB178,"",'1. Live'!AB178-'check-Jul25'!AB178)</f>
        <v/>
      </c>
      <c r="AC178" t="str">
        <f>IF('1. Live'!AC178='check-Jul25'!AC178,"",'1. Live'!AC178-'check-Jul25'!AC178)</f>
        <v/>
      </c>
      <c r="AD178" t="str">
        <f>IF('1. Live'!AD178='check-Jul25'!AD178,"",'1. Live'!AD178-'check-Jul25'!AD178)</f>
        <v/>
      </c>
      <c r="AE178" t="str">
        <f>IF('1. Live'!AE178='check-Jul25'!AE178,"",'1. Live'!AE178-'check-Jul25'!AE178)</f>
        <v/>
      </c>
      <c r="AF178" t="str">
        <f>IF('1. Live'!AF178='check-Jul25'!AF178,"",'1. Live'!AF178-'check-Jul25'!AF178)</f>
        <v/>
      </c>
      <c r="AG178" t="str">
        <f>IF('1. Live'!AG178='check-Jul25'!AG178,"",'1. Live'!AG178-'check-Jul25'!AG178)</f>
        <v/>
      </c>
      <c r="AH178" t="str">
        <f>IF('1. Live'!AH178='check-Jul25'!AH178,"",'1. Live'!AH178-'check-Jul25'!AH178)</f>
        <v/>
      </c>
      <c r="AI178" t="str">
        <f>IF('1. Live'!AI178='check-Jul25'!AI178,"",'1. Live'!AI178-'check-Jul25'!AI178)</f>
        <v/>
      </c>
      <c r="AJ178" t="str">
        <f>IF('1. Live'!AJ178='check-Jul25'!AJ178,"",'1. Live'!AJ178-'check-Jul25'!AJ178)</f>
        <v/>
      </c>
      <c r="AK178" t="str">
        <f>IF('1. Live'!AK178='check-Jul25'!AK178,"",'1. Live'!AK178-'check-Jul25'!AK178)</f>
        <v/>
      </c>
      <c r="AL178" t="str">
        <f>IF('1. Live'!AL178='check-Jul25'!AL178,"",'1. Live'!AL178-'check-Jul25'!AL178)</f>
        <v/>
      </c>
      <c r="AM178" t="str">
        <f>IF('1. Live'!AM178='check-Jul25'!AM178,"",'1. Live'!AM178-'check-Jul25'!AM178)</f>
        <v/>
      </c>
      <c r="AN178" t="str">
        <f>IF('1. Live'!AN178='check-Jul25'!AN178,"",'1. Live'!AN178-'check-Jul25'!AN178)</f>
        <v/>
      </c>
      <c r="AO178" t="str">
        <f>IF('1. Live'!AO178='check-Jul25'!AO178,"",'1. Live'!AO178-'check-Jul25'!AO178)</f>
        <v/>
      </c>
      <c r="AP178" t="str">
        <f>IF('1. Live'!AP178='check-Jul25'!AP178,"",'1. Live'!AP178-'check-Jul25'!AP178)</f>
        <v/>
      </c>
      <c r="AQ178" t="str">
        <f>IF('1. Live'!AQ178='check-Jul25'!AQ178,"",'1. Live'!AQ178-'check-Jul25'!AQ178)</f>
        <v/>
      </c>
      <c r="AR178" t="str">
        <f>IF('1. Live'!AR178='check-Jul25'!AR178,"",'1. Live'!AR178-'check-Jul25'!AR178)</f>
        <v/>
      </c>
      <c r="AS178" t="str">
        <f>IF('1. Live'!AS178='check-Jul25'!AS178,"",'1. Live'!AS178-'check-Jul25'!AS178)</f>
        <v/>
      </c>
      <c r="AT178" t="str">
        <f>IF('1. Live'!AT178='check-Jul25'!AT178,"",'1. Live'!AT178-'check-Jul25'!AT178)</f>
        <v/>
      </c>
      <c r="AU178" t="str">
        <f>IF('1. Live'!AU178='check-Jul25'!AU178,"",'1. Live'!AU178-'check-Jul25'!AU178)</f>
        <v/>
      </c>
      <c r="AV178" t="str">
        <f>IF('1. Live'!AV178='check-Jul25'!AV178,"",'1. Live'!AV178-'check-Jul25'!AV178)</f>
        <v/>
      </c>
      <c r="AW178" t="str">
        <f>IF('1. Live'!AW178='check-Jul25'!AW178,"",'1. Live'!AW178-'check-Jul25'!AW178)</f>
        <v/>
      </c>
      <c r="AX178" t="str">
        <f>IF('1. Live'!AX178='check-Jul25'!AX178,"",'1. Live'!AX178-'check-Jul25'!AX178)</f>
        <v/>
      </c>
      <c r="AY178" t="str">
        <f>IF('1. Live'!AY178='check-Jul25'!AY178,"",'1. Live'!AY178-'check-Jul25'!AY178)</f>
        <v/>
      </c>
      <c r="AZ178" t="str">
        <f>IF('1. Live'!AZ178='check-Jul25'!AZ178,"",'1. Live'!AZ178-'check-Jul25'!AZ178)</f>
        <v/>
      </c>
      <c r="BA178" t="str">
        <f>IF('1. Live'!BA178='check-Jul25'!BA178,"",'1. Live'!BA178-'check-Jul25'!BA178)</f>
        <v/>
      </c>
      <c r="BB178" t="str">
        <f>IF('1. Live'!BB178='check-Jul25'!BB178,"",'1. Live'!BB178-'check-Jul25'!BB178)</f>
        <v/>
      </c>
      <c r="BC178" t="str">
        <f>IF('1. Live'!BC178='check-Jul25'!BC178,"",'1. Live'!BC178-'check-Jul25'!BC178)</f>
        <v/>
      </c>
      <c r="BD178" t="str">
        <f>IF('1. Live'!BD178='check-Jul25'!BD178,"",'1. Live'!BD178-'check-Jul25'!BD178)</f>
        <v/>
      </c>
      <c r="BE178" t="str">
        <f>IF('1. Live'!BE178='check-Jul25'!BE178,"",'1. Live'!BE178-'check-Jul25'!BE178)</f>
        <v/>
      </c>
      <c r="BF178" t="str">
        <f>IF('1. Live'!BF178='check-Jul25'!BF178,"",'1. Live'!BF178-'check-Jul25'!BF178)</f>
        <v/>
      </c>
      <c r="BG178" t="str">
        <f>IF('1. Live'!BG178='check-Jul25'!BG178,"",'1. Live'!BG178-'check-Jul25'!BG178)</f>
        <v/>
      </c>
      <c r="BH178" t="str">
        <f>IF('1. Live'!BH178='check-Jul25'!BH178,"",'1. Live'!BH178-'check-Jul25'!BH178)</f>
        <v/>
      </c>
      <c r="BI178" t="str">
        <f>IF('1. Live'!BI178='check-Jul25'!BI178,"",'1. Live'!BI178-'check-Jul25'!BI178)</f>
        <v/>
      </c>
      <c r="BJ178" t="str">
        <f>IF('1. Live'!BJ178='check-Jul25'!BJ178,"",'1. Live'!BJ178-'check-Jul25'!BJ178)</f>
        <v/>
      </c>
      <c r="BK178" t="str">
        <f>IF('1. Live'!BK178='check-Jul25'!BK178,"",'1. Live'!BK178-'check-Jul25'!BK178)</f>
        <v/>
      </c>
      <c r="BL178" t="str">
        <f>IF('1. Live'!BL178='check-Jul25'!BL178,"",'1. Live'!BL178-'check-Jul25'!BL178)</f>
        <v/>
      </c>
      <c r="BM178" t="str">
        <f>IF('1. Live'!BM178='check-Jul25'!BM178,"",'1. Live'!BM178-'check-Jul25'!BM178)</f>
        <v/>
      </c>
      <c r="BN178" t="str">
        <f>IF('1. Live'!BN178='check-Jul25'!BN178,"",'1. Live'!BN178-'check-Jul25'!BN178)</f>
        <v/>
      </c>
      <c r="BO178" t="str">
        <f>IF('1. Live'!BO178='check-Jul25'!BO178,"",'1. Live'!BO178-'check-Jul25'!BO178)</f>
        <v/>
      </c>
      <c r="BP178" t="str">
        <f>IF('1. Live'!BP178='check-Jul25'!BP178,"",'1. Live'!BP178-'check-Jul25'!BP178)</f>
        <v/>
      </c>
      <c r="BQ178" t="str">
        <f>IF('1. Live'!BQ178='check-Jul25'!BQ178,"",'1. Live'!BQ178-'check-Jul25'!BQ178)</f>
        <v/>
      </c>
      <c r="BR178" t="str">
        <f>IF('1. Live'!BR178='check-Jul25'!BR178,"",'1. Live'!BR178-'check-Jul25'!BR178)</f>
        <v/>
      </c>
      <c r="BS178" t="str">
        <f>IF('1. Live'!BS178='check-Jul25'!BS178,"",'1. Live'!BS178-'check-Jul25'!BS178)</f>
        <v/>
      </c>
      <c r="BT178" t="str">
        <f>IF('1. Live'!BT178='check-Jul25'!BT178,"",'1. Live'!BT178-'check-Jul25'!BT178)</f>
        <v/>
      </c>
      <c r="BU178" t="str">
        <f>IF('1. Live'!BU178='check-Jul25'!BU178,"",'1. Live'!BU178-'check-Jul25'!BU178)</f>
        <v/>
      </c>
      <c r="BV178" t="str">
        <f>IF('1. Live'!BV178='check-Jul25'!BV178,"",'1. Live'!BV178-'check-Jul25'!BV178)</f>
        <v/>
      </c>
      <c r="BW178" t="str">
        <f>IF('1. Live'!BW178='check-Jul25'!BW178,"",'1. Live'!BW178-'check-Jul25'!BW178)</f>
        <v/>
      </c>
      <c r="BX178" t="str">
        <f>IF('1. Live'!BX178='check-Jul25'!BX178,"",'1. Live'!BX178-'check-Jul25'!BX178)</f>
        <v/>
      </c>
      <c r="BY178" t="str">
        <f>IF('1. Live'!BY178='check-Jul25'!BY178,"",'1. Live'!BY178-'check-Jul25'!BY178)</f>
        <v/>
      </c>
      <c r="BZ178" t="str">
        <f>IF('1. Live'!BZ178='check-Jul25'!BZ178,"",'1. Live'!BZ178-'check-Jul25'!BZ178)</f>
        <v/>
      </c>
      <c r="CA178" t="str">
        <f>IF('1. Live'!CA178='check-Jul25'!CA178,"",'1. Live'!CA178-'check-Jul25'!CA178)</f>
        <v/>
      </c>
      <c r="CB178" t="str">
        <f>IF('1. Live'!CB178='check-Jul25'!CB178,"",'1. Live'!CB178-'check-Jul25'!CB178)</f>
        <v/>
      </c>
      <c r="CC178" t="str">
        <f>IF('1. Live'!CC178='check-Jul25'!CC178,"",'1. Live'!CC178-'check-Jul25'!CC178)</f>
        <v/>
      </c>
      <c r="CD178" t="str">
        <f>IF('1. Live'!CD178='check-Jul25'!CD178,"",'1. Live'!CD178-'check-Jul25'!CD178)</f>
        <v/>
      </c>
      <c r="CE178" t="str">
        <f>IF('1. Live'!CE178='check-Jul25'!CE178,"",'1. Live'!CE178-'check-Jul25'!CE178)</f>
        <v/>
      </c>
      <c r="CF178" t="str">
        <f>IF('1. Live'!CF178='check-Jul25'!CF178,"",'1. Live'!CF178-'check-Jul25'!CF178)</f>
        <v/>
      </c>
      <c r="CG178" t="str">
        <f>IF('1. Live'!CG178='check-Jul25'!CG178,"",'1. Live'!CG178-'check-Jul25'!CG178)</f>
        <v/>
      </c>
      <c r="CH178" t="str">
        <f>IF('1. Live'!CH178='check-Jul25'!CH178,"",'1. Live'!CH178-'check-Jul25'!CH178)</f>
        <v/>
      </c>
      <c r="CI178" t="str">
        <f>IF('1. Live'!CI178='check-Jul25'!CI178,"",'1. Live'!CI178-'check-Jul25'!CI178)</f>
        <v/>
      </c>
      <c r="CJ178" t="str">
        <f>IF('1. Live'!CJ178='check-Jul25'!CJ178,"",'1. Live'!CJ178-'check-Jul25'!CJ178)</f>
        <v/>
      </c>
      <c r="CK178" t="str">
        <f>IF('1. Live'!CK178='check-Jul25'!CK178,"",'1. Live'!CK178-'check-Jul25'!CK178)</f>
        <v/>
      </c>
      <c r="CL178" t="str">
        <f>IF('1. Live'!CL178='check-Jul25'!CL178,"",'1. Live'!CL178-'check-Jul25'!CL178)</f>
        <v/>
      </c>
      <c r="CM178" t="str">
        <f>IF('1. Live'!CM178='check-Jul25'!CM178,"",'1. Live'!CM178-'check-Jul25'!CM178)</f>
        <v/>
      </c>
      <c r="CN178" t="str">
        <f>IF('1. Live'!CN178='check-Jul25'!CN178,"",'1. Live'!CN178-'check-Jul25'!CN178)</f>
        <v/>
      </c>
      <c r="CO178" t="str">
        <f>IF('1. Live'!CO178='check-Jul25'!CO178,"",'1. Live'!CO178-'check-Jul25'!CO178)</f>
        <v/>
      </c>
      <c r="CP178" t="str">
        <f>IF('1. Live'!CP178='check-Jul25'!CP178,"",'1. Live'!CP178-'check-Jul25'!CP178)</f>
        <v/>
      </c>
      <c r="CQ178" t="str">
        <f>IF('1. Live'!CQ178='check-Jul25'!CQ178,"",'1. Live'!CQ178-'check-Jul25'!CQ178)</f>
        <v/>
      </c>
      <c r="CR178" t="str">
        <f>IF('1. Live'!CR178='check-Jul25'!CR178,"",'1. Live'!CR178-'check-Jul25'!CR178)</f>
        <v/>
      </c>
      <c r="CS178" t="str">
        <f>IF('1. Live'!CS178='check-Jul25'!CS178,"",'1. Live'!CS178-'check-Jul25'!CS178)</f>
        <v/>
      </c>
      <c r="CT178" t="str">
        <f>IF('1. Live'!CT178='check-Jul25'!CT178,"",'1. Live'!CT178-'check-Jul25'!CT178)</f>
        <v/>
      </c>
      <c r="CU178" t="str">
        <f>IF('1. Live'!CU178='check-Jul25'!CU178,"",'1. Live'!CU178-'check-Jul25'!CU178)</f>
        <v/>
      </c>
      <c r="CV178" t="str">
        <f>IF('1. Live'!CV178='check-Jul25'!CV178,"",'1. Live'!CV178-'check-Jul25'!CV178)</f>
        <v/>
      </c>
      <c r="CW178" t="str">
        <f>IF('1. Live'!CW178='check-Jul25'!CW178,"",'1. Live'!CW178-'check-Jul25'!CW178)</f>
        <v/>
      </c>
    </row>
    <row r="179" spans="10:101">
      <c r="J179" t="str">
        <f>IF('1. Live'!J179='check-Jul25'!J179,"",'1. Live'!J179-'check-Jul25'!J179)</f>
        <v/>
      </c>
      <c r="K179" t="str">
        <f>IF('1. Live'!K179='check-Jul25'!K179,"",'1. Live'!K179-'check-Jul25'!K179)</f>
        <v/>
      </c>
      <c r="L179" t="str">
        <f>IF('1. Live'!L179='check-Jul25'!L179,"",'1. Live'!L179-'check-Jul25'!L179)</f>
        <v/>
      </c>
      <c r="M179" t="str">
        <f>IF('1. Live'!M179='check-Jul25'!M179,"",'1. Live'!M179-'check-Jul25'!M179)</f>
        <v/>
      </c>
      <c r="N179" t="str">
        <f>IF('1. Live'!N179='check-Jul25'!N179,"",'1. Live'!N179-'check-Jul25'!N179)</f>
        <v/>
      </c>
      <c r="O179" t="str">
        <f>IF('1. Live'!O179='check-Jul25'!O179,"",'1. Live'!O179-'check-Jul25'!O179)</f>
        <v/>
      </c>
      <c r="P179" t="str">
        <f>IF('1. Live'!P179='check-Jul25'!P179,"",'1. Live'!P179-'check-Jul25'!P179)</f>
        <v/>
      </c>
      <c r="Q179" t="str">
        <f>IF('1. Live'!Q179='check-Jul25'!Q179,"",'1. Live'!Q179-'check-Jul25'!Q179)</f>
        <v/>
      </c>
      <c r="R179" t="str">
        <f>IF('1. Live'!R179='check-Jul25'!R179,"",'1. Live'!R179-'check-Jul25'!R179)</f>
        <v/>
      </c>
      <c r="S179" t="str">
        <f>IF('1. Live'!S179='check-Jul25'!S179,"",'1. Live'!S179-'check-Jul25'!S179)</f>
        <v/>
      </c>
      <c r="T179" t="str">
        <f>IF('1. Live'!T179='check-Jul25'!T179,"",'1. Live'!T179-'check-Jul25'!T179)</f>
        <v/>
      </c>
      <c r="U179" t="str">
        <f>IF('1. Live'!U179='check-Jul25'!U179,"",'1. Live'!U179-'check-Jul25'!U179)</f>
        <v/>
      </c>
      <c r="V179" t="str">
        <f>IF('1. Live'!V179='check-Jul25'!V179,"",'1. Live'!V179-'check-Jul25'!V179)</f>
        <v/>
      </c>
      <c r="W179" t="str">
        <f>IF('1. Live'!W179='check-Jul25'!W179,"",'1. Live'!W179-'check-Jul25'!W179)</f>
        <v/>
      </c>
      <c r="X179" t="str">
        <f>IF('1. Live'!X179='check-Jul25'!X179,"",'1. Live'!X179-'check-Jul25'!X179)</f>
        <v/>
      </c>
      <c r="Y179" t="str">
        <f>IF('1. Live'!Y179='check-Jul25'!Y179,"",'1. Live'!Y179-'check-Jul25'!Y179)</f>
        <v/>
      </c>
      <c r="Z179" t="str">
        <f>IF('1. Live'!Z179='check-Jul25'!Z179,"",'1. Live'!Z179-'check-Jul25'!Z179)</f>
        <v/>
      </c>
      <c r="AA179" t="str">
        <f>IF('1. Live'!AA179='check-Jul25'!AA179,"",'1. Live'!AA179-'check-Jul25'!AA179)</f>
        <v/>
      </c>
      <c r="AB179" t="str">
        <f>IF('1. Live'!AB179='check-Jul25'!AB179,"",'1. Live'!AB179-'check-Jul25'!AB179)</f>
        <v/>
      </c>
      <c r="AC179" t="str">
        <f>IF('1. Live'!AC179='check-Jul25'!AC179,"",'1. Live'!AC179-'check-Jul25'!AC179)</f>
        <v/>
      </c>
      <c r="AD179" t="str">
        <f>IF('1. Live'!AD179='check-Jul25'!AD179,"",'1. Live'!AD179-'check-Jul25'!AD179)</f>
        <v/>
      </c>
      <c r="AE179" t="str">
        <f>IF('1. Live'!AE179='check-Jul25'!AE179,"",'1. Live'!AE179-'check-Jul25'!AE179)</f>
        <v/>
      </c>
      <c r="AF179" t="str">
        <f>IF('1. Live'!AF179='check-Jul25'!AF179,"",'1. Live'!AF179-'check-Jul25'!AF179)</f>
        <v/>
      </c>
      <c r="AG179" t="str">
        <f>IF('1. Live'!AG179='check-Jul25'!AG179,"",'1. Live'!AG179-'check-Jul25'!AG179)</f>
        <v/>
      </c>
      <c r="AH179" t="str">
        <f>IF('1. Live'!AH179='check-Jul25'!AH179,"",'1. Live'!AH179-'check-Jul25'!AH179)</f>
        <v/>
      </c>
      <c r="AI179" t="str">
        <f>IF('1. Live'!AI179='check-Jul25'!AI179,"",'1. Live'!AI179-'check-Jul25'!AI179)</f>
        <v/>
      </c>
      <c r="AJ179" t="str">
        <f>IF('1. Live'!AJ179='check-Jul25'!AJ179,"",'1. Live'!AJ179-'check-Jul25'!AJ179)</f>
        <v/>
      </c>
      <c r="AK179" t="str">
        <f>IF('1. Live'!AK179='check-Jul25'!AK179,"",'1. Live'!AK179-'check-Jul25'!AK179)</f>
        <v/>
      </c>
      <c r="AL179" t="str">
        <f>IF('1. Live'!AL179='check-Jul25'!AL179,"",'1. Live'!AL179-'check-Jul25'!AL179)</f>
        <v/>
      </c>
      <c r="AM179" t="str">
        <f>IF('1. Live'!AM179='check-Jul25'!AM179,"",'1. Live'!AM179-'check-Jul25'!AM179)</f>
        <v/>
      </c>
      <c r="AN179" t="str">
        <f>IF('1. Live'!AN179='check-Jul25'!AN179,"",'1. Live'!AN179-'check-Jul25'!AN179)</f>
        <v/>
      </c>
      <c r="AO179" t="str">
        <f>IF('1. Live'!AO179='check-Jul25'!AO179,"",'1. Live'!AO179-'check-Jul25'!AO179)</f>
        <v/>
      </c>
      <c r="AP179" t="str">
        <f>IF('1. Live'!AP179='check-Jul25'!AP179,"",'1. Live'!AP179-'check-Jul25'!AP179)</f>
        <v/>
      </c>
      <c r="AQ179" t="str">
        <f>IF('1. Live'!AQ179='check-Jul25'!AQ179,"",'1. Live'!AQ179-'check-Jul25'!AQ179)</f>
        <v/>
      </c>
      <c r="AR179" t="str">
        <f>IF('1. Live'!AR179='check-Jul25'!AR179,"",'1. Live'!AR179-'check-Jul25'!AR179)</f>
        <v/>
      </c>
      <c r="AS179" t="str">
        <f>IF('1. Live'!AS179='check-Jul25'!AS179,"",'1. Live'!AS179-'check-Jul25'!AS179)</f>
        <v/>
      </c>
      <c r="AT179" t="str">
        <f>IF('1. Live'!AT179='check-Jul25'!AT179,"",'1. Live'!AT179-'check-Jul25'!AT179)</f>
        <v/>
      </c>
      <c r="AU179" t="str">
        <f>IF('1. Live'!AU179='check-Jul25'!AU179,"",'1. Live'!AU179-'check-Jul25'!AU179)</f>
        <v/>
      </c>
      <c r="AV179" t="str">
        <f>IF('1. Live'!AV179='check-Jul25'!AV179,"",'1. Live'!AV179-'check-Jul25'!AV179)</f>
        <v/>
      </c>
      <c r="AW179" t="str">
        <f>IF('1. Live'!AW179='check-Jul25'!AW179,"",'1. Live'!AW179-'check-Jul25'!AW179)</f>
        <v/>
      </c>
      <c r="AX179" t="str">
        <f>IF('1. Live'!AX179='check-Jul25'!AX179,"",'1. Live'!AX179-'check-Jul25'!AX179)</f>
        <v/>
      </c>
      <c r="AY179" t="str">
        <f>IF('1. Live'!AY179='check-Jul25'!AY179,"",'1. Live'!AY179-'check-Jul25'!AY179)</f>
        <v/>
      </c>
      <c r="AZ179" t="str">
        <f>IF('1. Live'!AZ179='check-Jul25'!AZ179,"",'1. Live'!AZ179-'check-Jul25'!AZ179)</f>
        <v/>
      </c>
      <c r="BA179" t="str">
        <f>IF('1. Live'!BA179='check-Jul25'!BA179,"",'1. Live'!BA179-'check-Jul25'!BA179)</f>
        <v/>
      </c>
      <c r="BB179" t="str">
        <f>IF('1. Live'!BB179='check-Jul25'!BB179,"",'1. Live'!BB179-'check-Jul25'!BB179)</f>
        <v/>
      </c>
      <c r="BC179" t="str">
        <f>IF('1. Live'!BC179='check-Jul25'!BC179,"",'1. Live'!BC179-'check-Jul25'!BC179)</f>
        <v/>
      </c>
      <c r="BD179" t="str">
        <f>IF('1. Live'!BD179='check-Jul25'!BD179,"",'1. Live'!BD179-'check-Jul25'!BD179)</f>
        <v/>
      </c>
      <c r="BE179" t="str">
        <f>IF('1. Live'!BE179='check-Jul25'!BE179,"",'1. Live'!BE179-'check-Jul25'!BE179)</f>
        <v/>
      </c>
      <c r="BF179" t="str">
        <f>IF('1. Live'!BF179='check-Jul25'!BF179,"",'1. Live'!BF179-'check-Jul25'!BF179)</f>
        <v/>
      </c>
      <c r="BG179" t="str">
        <f>IF('1. Live'!BG179='check-Jul25'!BG179,"",'1. Live'!BG179-'check-Jul25'!BG179)</f>
        <v/>
      </c>
      <c r="BH179" t="str">
        <f>IF('1. Live'!BH179='check-Jul25'!BH179,"",'1. Live'!BH179-'check-Jul25'!BH179)</f>
        <v/>
      </c>
      <c r="BI179" t="str">
        <f>IF('1. Live'!BI179='check-Jul25'!BI179,"",'1. Live'!BI179-'check-Jul25'!BI179)</f>
        <v/>
      </c>
      <c r="BJ179" t="str">
        <f>IF('1. Live'!BJ179='check-Jul25'!BJ179,"",'1. Live'!BJ179-'check-Jul25'!BJ179)</f>
        <v/>
      </c>
      <c r="BK179" t="str">
        <f>IF('1. Live'!BK179='check-Jul25'!BK179,"",'1. Live'!BK179-'check-Jul25'!BK179)</f>
        <v/>
      </c>
      <c r="BL179" t="str">
        <f>IF('1. Live'!BL179='check-Jul25'!BL179,"",'1. Live'!BL179-'check-Jul25'!BL179)</f>
        <v/>
      </c>
      <c r="BM179" t="str">
        <f>IF('1. Live'!BM179='check-Jul25'!BM179,"",'1. Live'!BM179-'check-Jul25'!BM179)</f>
        <v/>
      </c>
      <c r="BN179" t="str">
        <f>IF('1. Live'!BN179='check-Jul25'!BN179,"",'1. Live'!BN179-'check-Jul25'!BN179)</f>
        <v/>
      </c>
      <c r="BO179" t="str">
        <f>IF('1. Live'!BO179='check-Jul25'!BO179,"",'1. Live'!BO179-'check-Jul25'!BO179)</f>
        <v/>
      </c>
      <c r="BP179" t="str">
        <f>IF('1. Live'!BP179='check-Jul25'!BP179,"",'1. Live'!BP179-'check-Jul25'!BP179)</f>
        <v/>
      </c>
      <c r="BQ179" t="str">
        <f>IF('1. Live'!BQ179='check-Jul25'!BQ179,"",'1. Live'!BQ179-'check-Jul25'!BQ179)</f>
        <v/>
      </c>
      <c r="BR179" t="str">
        <f>IF('1. Live'!BR179='check-Jul25'!BR179,"",'1. Live'!BR179-'check-Jul25'!BR179)</f>
        <v/>
      </c>
      <c r="BS179" t="str">
        <f>IF('1. Live'!BS179='check-Jul25'!BS179,"",'1. Live'!BS179-'check-Jul25'!BS179)</f>
        <v/>
      </c>
      <c r="BT179" t="str">
        <f>IF('1. Live'!BT179='check-Jul25'!BT179,"",'1. Live'!BT179-'check-Jul25'!BT179)</f>
        <v/>
      </c>
      <c r="BU179" t="str">
        <f>IF('1. Live'!BU179='check-Jul25'!BU179,"",'1. Live'!BU179-'check-Jul25'!BU179)</f>
        <v/>
      </c>
      <c r="BV179" t="str">
        <f>IF('1. Live'!BV179='check-Jul25'!BV179,"",'1. Live'!BV179-'check-Jul25'!BV179)</f>
        <v/>
      </c>
      <c r="BW179" t="str">
        <f>IF('1. Live'!BW179='check-Jul25'!BW179,"",'1. Live'!BW179-'check-Jul25'!BW179)</f>
        <v/>
      </c>
      <c r="BX179" t="str">
        <f>IF('1. Live'!BX179='check-Jul25'!BX179,"",'1. Live'!BX179-'check-Jul25'!BX179)</f>
        <v/>
      </c>
      <c r="BY179" t="str">
        <f>IF('1. Live'!BY179='check-Jul25'!BY179,"",'1. Live'!BY179-'check-Jul25'!BY179)</f>
        <v/>
      </c>
      <c r="BZ179" t="str">
        <f>IF('1. Live'!BZ179='check-Jul25'!BZ179,"",'1. Live'!BZ179-'check-Jul25'!BZ179)</f>
        <v/>
      </c>
      <c r="CA179" t="str">
        <f>IF('1. Live'!CA179='check-Jul25'!CA179,"",'1. Live'!CA179-'check-Jul25'!CA179)</f>
        <v/>
      </c>
      <c r="CB179" t="str">
        <f>IF('1. Live'!CB179='check-Jul25'!CB179,"",'1. Live'!CB179-'check-Jul25'!CB179)</f>
        <v/>
      </c>
      <c r="CC179" t="str">
        <f>IF('1. Live'!CC179='check-Jul25'!CC179,"",'1. Live'!CC179-'check-Jul25'!CC179)</f>
        <v/>
      </c>
      <c r="CD179" t="str">
        <f>IF('1. Live'!CD179='check-Jul25'!CD179,"",'1. Live'!CD179-'check-Jul25'!CD179)</f>
        <v/>
      </c>
      <c r="CE179" t="str">
        <f>IF('1. Live'!CE179='check-Jul25'!CE179,"",'1. Live'!CE179-'check-Jul25'!CE179)</f>
        <v/>
      </c>
      <c r="CF179" t="str">
        <f>IF('1. Live'!CF179='check-Jul25'!CF179,"",'1. Live'!CF179-'check-Jul25'!CF179)</f>
        <v/>
      </c>
      <c r="CG179" t="str">
        <f>IF('1. Live'!CG179='check-Jul25'!CG179,"",'1. Live'!CG179-'check-Jul25'!CG179)</f>
        <v/>
      </c>
      <c r="CH179" t="str">
        <f>IF('1. Live'!CH179='check-Jul25'!CH179,"",'1. Live'!CH179-'check-Jul25'!CH179)</f>
        <v/>
      </c>
      <c r="CI179" t="str">
        <f>IF('1. Live'!CI179='check-Jul25'!CI179,"",'1. Live'!CI179-'check-Jul25'!CI179)</f>
        <v/>
      </c>
      <c r="CJ179" t="str">
        <f>IF('1. Live'!CJ179='check-Jul25'!CJ179,"",'1. Live'!CJ179-'check-Jul25'!CJ179)</f>
        <v/>
      </c>
      <c r="CK179" t="str">
        <f>IF('1. Live'!CK179='check-Jul25'!CK179,"",'1. Live'!CK179-'check-Jul25'!CK179)</f>
        <v/>
      </c>
      <c r="CL179" t="str">
        <f>IF('1. Live'!CL179='check-Jul25'!CL179,"",'1. Live'!CL179-'check-Jul25'!CL179)</f>
        <v/>
      </c>
      <c r="CM179" t="str">
        <f>IF('1. Live'!CM179='check-Jul25'!CM179,"",'1. Live'!CM179-'check-Jul25'!CM179)</f>
        <v/>
      </c>
      <c r="CN179" t="str">
        <f>IF('1. Live'!CN179='check-Jul25'!CN179,"",'1. Live'!CN179-'check-Jul25'!CN179)</f>
        <v/>
      </c>
      <c r="CO179" t="str">
        <f>IF('1. Live'!CO179='check-Jul25'!CO179,"",'1. Live'!CO179-'check-Jul25'!CO179)</f>
        <v/>
      </c>
      <c r="CP179" t="str">
        <f>IF('1. Live'!CP179='check-Jul25'!CP179,"",'1. Live'!CP179-'check-Jul25'!CP179)</f>
        <v/>
      </c>
      <c r="CQ179" t="str">
        <f>IF('1. Live'!CQ179='check-Jul25'!CQ179,"",'1. Live'!CQ179-'check-Jul25'!CQ179)</f>
        <v/>
      </c>
      <c r="CR179" t="str">
        <f>IF('1. Live'!CR179='check-Jul25'!CR179,"",'1. Live'!CR179-'check-Jul25'!CR179)</f>
        <v/>
      </c>
      <c r="CS179" t="str">
        <f>IF('1. Live'!CS179='check-Jul25'!CS179,"",'1. Live'!CS179-'check-Jul25'!CS179)</f>
        <v/>
      </c>
      <c r="CT179" t="str">
        <f>IF('1. Live'!CT179='check-Jul25'!CT179,"",'1. Live'!CT179-'check-Jul25'!CT179)</f>
        <v/>
      </c>
      <c r="CU179" t="str">
        <f>IF('1. Live'!CU179='check-Jul25'!CU179,"",'1. Live'!CU179-'check-Jul25'!CU179)</f>
        <v/>
      </c>
      <c r="CV179" t="str">
        <f>IF('1. Live'!CV179='check-Jul25'!CV179,"",'1. Live'!CV179-'check-Jul25'!CV179)</f>
        <v/>
      </c>
      <c r="CW179" t="str">
        <f>IF('1. Live'!CW179='check-Jul25'!CW179,"",'1. Live'!CW179-'check-Jul25'!CW179)</f>
        <v/>
      </c>
    </row>
    <row r="180" spans="10:101">
      <c r="J180" t="str">
        <f>IF('1. Live'!J180='check-Jul25'!J180,"",'1. Live'!J180-'check-Jul25'!J180)</f>
        <v/>
      </c>
      <c r="K180" t="str">
        <f>IF('1. Live'!K180='check-Jul25'!K180,"",'1. Live'!K180-'check-Jul25'!K180)</f>
        <v/>
      </c>
      <c r="L180" t="str">
        <f>IF('1. Live'!L180='check-Jul25'!L180,"",'1. Live'!L180-'check-Jul25'!L180)</f>
        <v/>
      </c>
      <c r="M180" t="str">
        <f>IF('1. Live'!M180='check-Jul25'!M180,"",'1. Live'!M180-'check-Jul25'!M180)</f>
        <v/>
      </c>
      <c r="N180" t="str">
        <f>IF('1. Live'!N180='check-Jul25'!N180,"",'1. Live'!N180-'check-Jul25'!N180)</f>
        <v/>
      </c>
      <c r="O180" t="str">
        <f>IF('1. Live'!O180='check-Jul25'!O180,"",'1. Live'!O180-'check-Jul25'!O180)</f>
        <v/>
      </c>
      <c r="P180" t="str">
        <f>IF('1. Live'!P180='check-Jul25'!P180,"",'1. Live'!P180-'check-Jul25'!P180)</f>
        <v/>
      </c>
      <c r="Q180" t="str">
        <f>IF('1. Live'!Q180='check-Jul25'!Q180,"",'1. Live'!Q180-'check-Jul25'!Q180)</f>
        <v/>
      </c>
      <c r="R180" t="str">
        <f>IF('1. Live'!R180='check-Jul25'!R180,"",'1. Live'!R180-'check-Jul25'!R180)</f>
        <v/>
      </c>
      <c r="S180" t="str">
        <f>IF('1. Live'!S180='check-Jul25'!S180,"",'1. Live'!S180-'check-Jul25'!S180)</f>
        <v/>
      </c>
      <c r="T180" t="str">
        <f>IF('1. Live'!T180='check-Jul25'!T180,"",'1. Live'!T180-'check-Jul25'!T180)</f>
        <v/>
      </c>
      <c r="U180" t="str">
        <f>IF('1. Live'!U180='check-Jul25'!U180,"",'1. Live'!U180-'check-Jul25'!U180)</f>
        <v/>
      </c>
      <c r="V180" t="str">
        <f>IF('1. Live'!V180='check-Jul25'!V180,"",'1. Live'!V180-'check-Jul25'!V180)</f>
        <v/>
      </c>
      <c r="W180" t="str">
        <f>IF('1. Live'!W180='check-Jul25'!W180,"",'1. Live'!W180-'check-Jul25'!W180)</f>
        <v/>
      </c>
      <c r="X180" t="str">
        <f>IF('1. Live'!X180='check-Jul25'!X180,"",'1. Live'!X180-'check-Jul25'!X180)</f>
        <v/>
      </c>
      <c r="Y180" t="str">
        <f>IF('1. Live'!Y180='check-Jul25'!Y180,"",'1. Live'!Y180-'check-Jul25'!Y180)</f>
        <v/>
      </c>
      <c r="Z180" t="str">
        <f>IF('1. Live'!Z180='check-Jul25'!Z180,"",'1. Live'!Z180-'check-Jul25'!Z180)</f>
        <v/>
      </c>
      <c r="AA180" t="str">
        <f>IF('1. Live'!AA180='check-Jul25'!AA180,"",'1. Live'!AA180-'check-Jul25'!AA180)</f>
        <v/>
      </c>
      <c r="AB180" t="str">
        <f>IF('1. Live'!AB180='check-Jul25'!AB180,"",'1. Live'!AB180-'check-Jul25'!AB180)</f>
        <v/>
      </c>
      <c r="AC180" t="str">
        <f>IF('1. Live'!AC180='check-Jul25'!AC180,"",'1. Live'!AC180-'check-Jul25'!AC180)</f>
        <v/>
      </c>
      <c r="AD180" t="str">
        <f>IF('1. Live'!AD180='check-Jul25'!AD180,"",'1. Live'!AD180-'check-Jul25'!AD180)</f>
        <v/>
      </c>
      <c r="AE180" t="str">
        <f>IF('1. Live'!AE180='check-Jul25'!AE180,"",'1. Live'!AE180-'check-Jul25'!AE180)</f>
        <v/>
      </c>
      <c r="AF180" t="str">
        <f>IF('1. Live'!AF180='check-Jul25'!AF180,"",'1. Live'!AF180-'check-Jul25'!AF180)</f>
        <v/>
      </c>
      <c r="AG180" t="str">
        <f>IF('1. Live'!AG180='check-Jul25'!AG180,"",'1. Live'!AG180-'check-Jul25'!AG180)</f>
        <v/>
      </c>
      <c r="AH180" t="str">
        <f>IF('1. Live'!AH180='check-Jul25'!AH180,"",'1. Live'!AH180-'check-Jul25'!AH180)</f>
        <v/>
      </c>
      <c r="AI180" t="str">
        <f>IF('1. Live'!AI180='check-Jul25'!AI180,"",'1. Live'!AI180-'check-Jul25'!AI180)</f>
        <v/>
      </c>
      <c r="AJ180" t="str">
        <f>IF('1. Live'!AJ180='check-Jul25'!AJ180,"",'1. Live'!AJ180-'check-Jul25'!AJ180)</f>
        <v/>
      </c>
      <c r="AK180" t="str">
        <f>IF('1. Live'!AK180='check-Jul25'!AK180,"",'1. Live'!AK180-'check-Jul25'!AK180)</f>
        <v/>
      </c>
      <c r="AL180" t="str">
        <f>IF('1. Live'!AL180='check-Jul25'!AL180,"",'1. Live'!AL180-'check-Jul25'!AL180)</f>
        <v/>
      </c>
      <c r="AM180" t="str">
        <f>IF('1. Live'!AM180='check-Jul25'!AM180,"",'1. Live'!AM180-'check-Jul25'!AM180)</f>
        <v/>
      </c>
      <c r="AN180" t="str">
        <f>IF('1. Live'!AN180='check-Jul25'!AN180,"",'1. Live'!AN180-'check-Jul25'!AN180)</f>
        <v/>
      </c>
      <c r="AO180" t="str">
        <f>IF('1. Live'!AO180='check-Jul25'!AO180,"",'1. Live'!AO180-'check-Jul25'!AO180)</f>
        <v/>
      </c>
      <c r="AP180" t="str">
        <f>IF('1. Live'!AP180='check-Jul25'!AP180,"",'1. Live'!AP180-'check-Jul25'!AP180)</f>
        <v/>
      </c>
      <c r="AQ180" t="str">
        <f>IF('1. Live'!AQ180='check-Jul25'!AQ180,"",'1. Live'!AQ180-'check-Jul25'!AQ180)</f>
        <v/>
      </c>
      <c r="AR180" t="str">
        <f>IF('1. Live'!AR180='check-Jul25'!AR180,"",'1. Live'!AR180-'check-Jul25'!AR180)</f>
        <v/>
      </c>
      <c r="AS180" t="str">
        <f>IF('1. Live'!AS180='check-Jul25'!AS180,"",'1. Live'!AS180-'check-Jul25'!AS180)</f>
        <v/>
      </c>
      <c r="AT180" t="str">
        <f>IF('1. Live'!AT180='check-Jul25'!AT180,"",'1. Live'!AT180-'check-Jul25'!AT180)</f>
        <v/>
      </c>
      <c r="AU180" t="str">
        <f>IF('1. Live'!AU180='check-Jul25'!AU180,"",'1. Live'!AU180-'check-Jul25'!AU180)</f>
        <v/>
      </c>
      <c r="AV180" t="str">
        <f>IF('1. Live'!AV180='check-Jul25'!AV180,"",'1. Live'!AV180-'check-Jul25'!AV180)</f>
        <v/>
      </c>
      <c r="AW180" t="str">
        <f>IF('1. Live'!AW180='check-Jul25'!AW180,"",'1. Live'!AW180-'check-Jul25'!AW180)</f>
        <v/>
      </c>
      <c r="AX180" t="str">
        <f>IF('1. Live'!AX180='check-Jul25'!AX180,"",'1. Live'!AX180-'check-Jul25'!AX180)</f>
        <v/>
      </c>
      <c r="AY180" t="str">
        <f>IF('1. Live'!AY180='check-Jul25'!AY180,"",'1. Live'!AY180-'check-Jul25'!AY180)</f>
        <v/>
      </c>
      <c r="AZ180" t="str">
        <f>IF('1. Live'!AZ180='check-Jul25'!AZ180,"",'1. Live'!AZ180-'check-Jul25'!AZ180)</f>
        <v/>
      </c>
      <c r="BA180" t="str">
        <f>IF('1. Live'!BA180='check-Jul25'!BA180,"",'1. Live'!BA180-'check-Jul25'!BA180)</f>
        <v/>
      </c>
      <c r="BB180" t="str">
        <f>IF('1. Live'!BB180='check-Jul25'!BB180,"",'1. Live'!BB180-'check-Jul25'!BB180)</f>
        <v/>
      </c>
      <c r="BC180" t="str">
        <f>IF('1. Live'!BC180='check-Jul25'!BC180,"",'1. Live'!BC180-'check-Jul25'!BC180)</f>
        <v/>
      </c>
      <c r="BD180" t="str">
        <f>IF('1. Live'!BD180='check-Jul25'!BD180,"",'1. Live'!BD180-'check-Jul25'!BD180)</f>
        <v/>
      </c>
      <c r="BE180" t="str">
        <f>IF('1. Live'!BE180='check-Jul25'!BE180,"",'1. Live'!BE180-'check-Jul25'!BE180)</f>
        <v/>
      </c>
      <c r="BF180" t="str">
        <f>IF('1. Live'!BF180='check-Jul25'!BF180,"",'1. Live'!BF180-'check-Jul25'!BF180)</f>
        <v/>
      </c>
      <c r="BG180" t="str">
        <f>IF('1. Live'!BG180='check-Jul25'!BG180,"",'1. Live'!BG180-'check-Jul25'!BG180)</f>
        <v/>
      </c>
      <c r="BH180" t="str">
        <f>IF('1. Live'!BH180='check-Jul25'!BH180,"",'1. Live'!BH180-'check-Jul25'!BH180)</f>
        <v/>
      </c>
      <c r="BI180" t="str">
        <f>IF('1. Live'!BI180='check-Jul25'!BI180,"",'1. Live'!BI180-'check-Jul25'!BI180)</f>
        <v/>
      </c>
      <c r="BJ180" t="str">
        <f>IF('1. Live'!BJ180='check-Jul25'!BJ180,"",'1. Live'!BJ180-'check-Jul25'!BJ180)</f>
        <v/>
      </c>
      <c r="BK180" t="str">
        <f>IF('1. Live'!BK180='check-Jul25'!BK180,"",'1. Live'!BK180-'check-Jul25'!BK180)</f>
        <v/>
      </c>
      <c r="BL180" t="str">
        <f>IF('1. Live'!BL180='check-Jul25'!BL180,"",'1. Live'!BL180-'check-Jul25'!BL180)</f>
        <v/>
      </c>
      <c r="BM180" t="str">
        <f>IF('1. Live'!BM180='check-Jul25'!BM180,"",'1. Live'!BM180-'check-Jul25'!BM180)</f>
        <v/>
      </c>
      <c r="BN180" t="str">
        <f>IF('1. Live'!BN180='check-Jul25'!BN180,"",'1. Live'!BN180-'check-Jul25'!BN180)</f>
        <v/>
      </c>
      <c r="BO180" t="str">
        <f>IF('1. Live'!BO180='check-Jul25'!BO180,"",'1. Live'!BO180-'check-Jul25'!BO180)</f>
        <v/>
      </c>
      <c r="BP180" t="str">
        <f>IF('1. Live'!BP180='check-Jul25'!BP180,"",'1. Live'!BP180-'check-Jul25'!BP180)</f>
        <v/>
      </c>
      <c r="BQ180" t="str">
        <f>IF('1. Live'!BQ180='check-Jul25'!BQ180,"",'1. Live'!BQ180-'check-Jul25'!BQ180)</f>
        <v/>
      </c>
      <c r="BR180" t="str">
        <f>IF('1. Live'!BR180='check-Jul25'!BR180,"",'1. Live'!BR180-'check-Jul25'!BR180)</f>
        <v/>
      </c>
      <c r="BS180" t="str">
        <f>IF('1. Live'!BS180='check-Jul25'!BS180,"",'1. Live'!BS180-'check-Jul25'!BS180)</f>
        <v/>
      </c>
      <c r="BT180" t="str">
        <f>IF('1. Live'!BT180='check-Jul25'!BT180,"",'1. Live'!BT180-'check-Jul25'!BT180)</f>
        <v/>
      </c>
      <c r="BU180" t="str">
        <f>IF('1. Live'!BU180='check-Jul25'!BU180,"",'1. Live'!BU180-'check-Jul25'!BU180)</f>
        <v/>
      </c>
      <c r="BV180" t="str">
        <f>IF('1. Live'!BV180='check-Jul25'!BV180,"",'1. Live'!BV180-'check-Jul25'!BV180)</f>
        <v/>
      </c>
      <c r="BW180" t="str">
        <f>IF('1. Live'!BW180='check-Jul25'!BW180,"",'1. Live'!BW180-'check-Jul25'!BW180)</f>
        <v/>
      </c>
      <c r="BX180" t="str">
        <f>IF('1. Live'!BX180='check-Jul25'!BX180,"",'1. Live'!BX180-'check-Jul25'!BX180)</f>
        <v/>
      </c>
      <c r="BY180" t="str">
        <f>IF('1. Live'!BY180='check-Jul25'!BY180,"",'1. Live'!BY180-'check-Jul25'!BY180)</f>
        <v/>
      </c>
      <c r="BZ180" t="str">
        <f>IF('1. Live'!BZ180='check-Jul25'!BZ180,"",'1. Live'!BZ180-'check-Jul25'!BZ180)</f>
        <v/>
      </c>
      <c r="CA180" t="str">
        <f>IF('1. Live'!CA180='check-Jul25'!CA180,"",'1. Live'!CA180-'check-Jul25'!CA180)</f>
        <v/>
      </c>
      <c r="CB180" t="str">
        <f>IF('1. Live'!CB180='check-Jul25'!CB180,"",'1. Live'!CB180-'check-Jul25'!CB180)</f>
        <v/>
      </c>
      <c r="CC180" t="str">
        <f>IF('1. Live'!CC180='check-Jul25'!CC180,"",'1. Live'!CC180-'check-Jul25'!CC180)</f>
        <v/>
      </c>
      <c r="CD180" t="str">
        <f>IF('1. Live'!CD180='check-Jul25'!CD180,"",'1. Live'!CD180-'check-Jul25'!CD180)</f>
        <v/>
      </c>
      <c r="CE180" t="str">
        <f>IF('1. Live'!CE180='check-Jul25'!CE180,"",'1. Live'!CE180-'check-Jul25'!CE180)</f>
        <v/>
      </c>
      <c r="CF180" t="str">
        <f>IF('1. Live'!CF180='check-Jul25'!CF180,"",'1. Live'!CF180-'check-Jul25'!CF180)</f>
        <v/>
      </c>
      <c r="CG180" t="str">
        <f>IF('1. Live'!CG180='check-Jul25'!CG180,"",'1. Live'!CG180-'check-Jul25'!CG180)</f>
        <v/>
      </c>
      <c r="CH180" t="str">
        <f>IF('1. Live'!CH180='check-Jul25'!CH180,"",'1. Live'!CH180-'check-Jul25'!CH180)</f>
        <v/>
      </c>
      <c r="CI180" t="str">
        <f>IF('1. Live'!CI180='check-Jul25'!CI180,"",'1. Live'!CI180-'check-Jul25'!CI180)</f>
        <v/>
      </c>
      <c r="CJ180" t="str">
        <f>IF('1. Live'!CJ180='check-Jul25'!CJ180,"",'1. Live'!CJ180-'check-Jul25'!CJ180)</f>
        <v/>
      </c>
      <c r="CK180" t="str">
        <f>IF('1. Live'!CK180='check-Jul25'!CK180,"",'1. Live'!CK180-'check-Jul25'!CK180)</f>
        <v/>
      </c>
      <c r="CL180" t="str">
        <f>IF('1. Live'!CL180='check-Jul25'!CL180,"",'1. Live'!CL180-'check-Jul25'!CL180)</f>
        <v/>
      </c>
      <c r="CM180" t="str">
        <f>IF('1. Live'!CM180='check-Jul25'!CM180,"",'1. Live'!CM180-'check-Jul25'!CM180)</f>
        <v/>
      </c>
      <c r="CN180" t="str">
        <f>IF('1. Live'!CN180='check-Jul25'!CN180,"",'1. Live'!CN180-'check-Jul25'!CN180)</f>
        <v/>
      </c>
      <c r="CO180" t="str">
        <f>IF('1. Live'!CO180='check-Jul25'!CO180,"",'1. Live'!CO180-'check-Jul25'!CO180)</f>
        <v/>
      </c>
      <c r="CP180" t="str">
        <f>IF('1. Live'!CP180='check-Jul25'!CP180,"",'1. Live'!CP180-'check-Jul25'!CP180)</f>
        <v/>
      </c>
      <c r="CQ180" t="str">
        <f>IF('1. Live'!CQ180='check-Jul25'!CQ180,"",'1. Live'!CQ180-'check-Jul25'!CQ180)</f>
        <v/>
      </c>
      <c r="CR180" t="str">
        <f>IF('1. Live'!CR180='check-Jul25'!CR180,"",'1. Live'!CR180-'check-Jul25'!CR180)</f>
        <v/>
      </c>
      <c r="CS180" t="str">
        <f>IF('1. Live'!CS180='check-Jul25'!CS180,"",'1. Live'!CS180-'check-Jul25'!CS180)</f>
        <v/>
      </c>
      <c r="CT180" t="str">
        <f>IF('1. Live'!CT180='check-Jul25'!CT180,"",'1. Live'!CT180-'check-Jul25'!CT180)</f>
        <v/>
      </c>
      <c r="CU180" t="str">
        <f>IF('1. Live'!CU180='check-Jul25'!CU180,"",'1. Live'!CU180-'check-Jul25'!CU180)</f>
        <v/>
      </c>
      <c r="CV180" t="str">
        <f>IF('1. Live'!CV180='check-Jul25'!CV180,"",'1. Live'!CV180-'check-Jul25'!CV180)</f>
        <v/>
      </c>
      <c r="CW180" t="str">
        <f>IF('1. Live'!CW180='check-Jul25'!CW180,"",'1. Live'!CW180-'check-Jul25'!CW180)</f>
        <v/>
      </c>
    </row>
    <row r="181" spans="10:101">
      <c r="J181" t="str">
        <f>IF('1. Live'!J181='check-Jul25'!J181,"",'1. Live'!J181-'check-Jul25'!J181)</f>
        <v/>
      </c>
      <c r="K181" t="str">
        <f>IF('1. Live'!K181='check-Jul25'!K181,"",'1. Live'!K181-'check-Jul25'!K181)</f>
        <v/>
      </c>
      <c r="L181" t="str">
        <f>IF('1. Live'!L181='check-Jul25'!L181,"",'1. Live'!L181-'check-Jul25'!L181)</f>
        <v/>
      </c>
      <c r="M181" t="str">
        <f>IF('1. Live'!M181='check-Jul25'!M181,"",'1. Live'!M181-'check-Jul25'!M181)</f>
        <v/>
      </c>
      <c r="N181" t="str">
        <f>IF('1. Live'!N181='check-Jul25'!N181,"",'1. Live'!N181-'check-Jul25'!N181)</f>
        <v/>
      </c>
      <c r="O181" t="str">
        <f>IF('1. Live'!O181='check-Jul25'!O181,"",'1. Live'!O181-'check-Jul25'!O181)</f>
        <v/>
      </c>
      <c r="P181" t="str">
        <f>IF('1. Live'!P181='check-Jul25'!P181,"",'1. Live'!P181-'check-Jul25'!P181)</f>
        <v/>
      </c>
      <c r="Q181" t="str">
        <f>IF('1. Live'!Q181='check-Jul25'!Q181,"",'1. Live'!Q181-'check-Jul25'!Q181)</f>
        <v/>
      </c>
      <c r="R181" t="str">
        <f>IF('1. Live'!R181='check-Jul25'!R181,"",'1. Live'!R181-'check-Jul25'!R181)</f>
        <v/>
      </c>
      <c r="S181" t="str">
        <f>IF('1. Live'!S181='check-Jul25'!S181,"",'1. Live'!S181-'check-Jul25'!S181)</f>
        <v/>
      </c>
      <c r="T181" t="str">
        <f>IF('1. Live'!T181='check-Jul25'!T181,"",'1. Live'!T181-'check-Jul25'!T181)</f>
        <v/>
      </c>
      <c r="U181" t="str">
        <f>IF('1. Live'!U181='check-Jul25'!U181,"",'1. Live'!U181-'check-Jul25'!U181)</f>
        <v/>
      </c>
      <c r="V181" t="str">
        <f>IF('1. Live'!V181='check-Jul25'!V181,"",'1. Live'!V181-'check-Jul25'!V181)</f>
        <v/>
      </c>
      <c r="W181" t="str">
        <f>IF('1. Live'!W181='check-Jul25'!W181,"",'1. Live'!W181-'check-Jul25'!W181)</f>
        <v/>
      </c>
      <c r="X181" t="str">
        <f>IF('1. Live'!X181='check-Jul25'!X181,"",'1. Live'!X181-'check-Jul25'!X181)</f>
        <v/>
      </c>
      <c r="Y181" t="str">
        <f>IF('1. Live'!Y181='check-Jul25'!Y181,"",'1. Live'!Y181-'check-Jul25'!Y181)</f>
        <v/>
      </c>
      <c r="Z181" t="str">
        <f>IF('1. Live'!Z181='check-Jul25'!Z181,"",'1. Live'!Z181-'check-Jul25'!Z181)</f>
        <v/>
      </c>
      <c r="AA181" t="str">
        <f>IF('1. Live'!AA181='check-Jul25'!AA181,"",'1. Live'!AA181-'check-Jul25'!AA181)</f>
        <v/>
      </c>
      <c r="AB181" t="str">
        <f>IF('1. Live'!AB181='check-Jul25'!AB181,"",'1. Live'!AB181-'check-Jul25'!AB181)</f>
        <v/>
      </c>
      <c r="AC181" t="str">
        <f>IF('1. Live'!AC181='check-Jul25'!AC181,"",'1. Live'!AC181-'check-Jul25'!AC181)</f>
        <v/>
      </c>
      <c r="AD181" t="str">
        <f>IF('1. Live'!AD181='check-Jul25'!AD181,"",'1. Live'!AD181-'check-Jul25'!AD181)</f>
        <v/>
      </c>
      <c r="AE181" t="str">
        <f>IF('1. Live'!AE181='check-Jul25'!AE181,"",'1. Live'!AE181-'check-Jul25'!AE181)</f>
        <v/>
      </c>
      <c r="AF181" t="str">
        <f>IF('1. Live'!AF181='check-Jul25'!AF181,"",'1. Live'!AF181-'check-Jul25'!AF181)</f>
        <v/>
      </c>
      <c r="AG181" t="str">
        <f>IF('1. Live'!AG181='check-Jul25'!AG181,"",'1. Live'!AG181-'check-Jul25'!AG181)</f>
        <v/>
      </c>
      <c r="AH181" t="str">
        <f>IF('1. Live'!AH181='check-Jul25'!AH181,"",'1. Live'!AH181-'check-Jul25'!AH181)</f>
        <v/>
      </c>
      <c r="AI181" t="str">
        <f>IF('1. Live'!AI181='check-Jul25'!AI181,"",'1. Live'!AI181-'check-Jul25'!AI181)</f>
        <v/>
      </c>
      <c r="AJ181" t="str">
        <f>IF('1. Live'!AJ181='check-Jul25'!AJ181,"",'1. Live'!AJ181-'check-Jul25'!AJ181)</f>
        <v/>
      </c>
      <c r="AK181" t="str">
        <f>IF('1. Live'!AK181='check-Jul25'!AK181,"",'1. Live'!AK181-'check-Jul25'!AK181)</f>
        <v/>
      </c>
      <c r="AL181" t="str">
        <f>IF('1. Live'!AL181='check-Jul25'!AL181,"",'1. Live'!AL181-'check-Jul25'!AL181)</f>
        <v/>
      </c>
      <c r="AM181" t="str">
        <f>IF('1. Live'!AM181='check-Jul25'!AM181,"",'1. Live'!AM181-'check-Jul25'!AM181)</f>
        <v/>
      </c>
      <c r="AN181" t="str">
        <f>IF('1. Live'!AN181='check-Jul25'!AN181,"",'1. Live'!AN181-'check-Jul25'!AN181)</f>
        <v/>
      </c>
      <c r="AO181" t="str">
        <f>IF('1. Live'!AO181='check-Jul25'!AO181,"",'1. Live'!AO181-'check-Jul25'!AO181)</f>
        <v/>
      </c>
      <c r="AP181" t="str">
        <f>IF('1. Live'!AP181='check-Jul25'!AP181,"",'1. Live'!AP181-'check-Jul25'!AP181)</f>
        <v/>
      </c>
      <c r="AQ181" t="str">
        <f>IF('1. Live'!AQ181='check-Jul25'!AQ181,"",'1. Live'!AQ181-'check-Jul25'!AQ181)</f>
        <v/>
      </c>
      <c r="AR181" t="str">
        <f>IF('1. Live'!AR181='check-Jul25'!AR181,"",'1. Live'!AR181-'check-Jul25'!AR181)</f>
        <v/>
      </c>
      <c r="AS181" t="str">
        <f>IF('1. Live'!AS181='check-Jul25'!AS181,"",'1. Live'!AS181-'check-Jul25'!AS181)</f>
        <v/>
      </c>
      <c r="AT181" t="str">
        <f>IF('1. Live'!AT181='check-Jul25'!AT181,"",'1. Live'!AT181-'check-Jul25'!AT181)</f>
        <v/>
      </c>
      <c r="AU181" t="str">
        <f>IF('1. Live'!AU181='check-Jul25'!AU181,"",'1. Live'!AU181-'check-Jul25'!AU181)</f>
        <v/>
      </c>
      <c r="AV181" t="str">
        <f>IF('1. Live'!AV181='check-Jul25'!AV181,"",'1. Live'!AV181-'check-Jul25'!AV181)</f>
        <v/>
      </c>
      <c r="AW181" t="str">
        <f>IF('1. Live'!AW181='check-Jul25'!AW181,"",'1. Live'!AW181-'check-Jul25'!AW181)</f>
        <v/>
      </c>
      <c r="AX181" t="str">
        <f>IF('1. Live'!AX181='check-Jul25'!AX181,"",'1. Live'!AX181-'check-Jul25'!AX181)</f>
        <v/>
      </c>
      <c r="AY181" t="str">
        <f>IF('1. Live'!AY181='check-Jul25'!AY181,"",'1. Live'!AY181-'check-Jul25'!AY181)</f>
        <v/>
      </c>
      <c r="AZ181" t="str">
        <f>IF('1. Live'!AZ181='check-Jul25'!AZ181,"",'1. Live'!AZ181-'check-Jul25'!AZ181)</f>
        <v/>
      </c>
      <c r="BA181" t="str">
        <f>IF('1. Live'!BA181='check-Jul25'!BA181,"",'1. Live'!BA181-'check-Jul25'!BA181)</f>
        <v/>
      </c>
      <c r="BB181" t="str">
        <f>IF('1. Live'!BB181='check-Jul25'!BB181,"",'1. Live'!BB181-'check-Jul25'!BB181)</f>
        <v/>
      </c>
      <c r="BC181" t="str">
        <f>IF('1. Live'!BC181='check-Jul25'!BC181,"",'1. Live'!BC181-'check-Jul25'!BC181)</f>
        <v/>
      </c>
      <c r="BD181" t="str">
        <f>IF('1. Live'!BD181='check-Jul25'!BD181,"",'1. Live'!BD181-'check-Jul25'!BD181)</f>
        <v/>
      </c>
      <c r="BE181" t="str">
        <f>IF('1. Live'!BE181='check-Jul25'!BE181,"",'1. Live'!BE181-'check-Jul25'!BE181)</f>
        <v/>
      </c>
      <c r="BF181" t="str">
        <f>IF('1. Live'!BF181='check-Jul25'!BF181,"",'1. Live'!BF181-'check-Jul25'!BF181)</f>
        <v/>
      </c>
      <c r="BG181" t="str">
        <f>IF('1. Live'!BG181='check-Jul25'!BG181,"",'1. Live'!BG181-'check-Jul25'!BG181)</f>
        <v/>
      </c>
      <c r="BH181" t="str">
        <f>IF('1. Live'!BH181='check-Jul25'!BH181,"",'1. Live'!BH181-'check-Jul25'!BH181)</f>
        <v/>
      </c>
      <c r="BI181" t="str">
        <f>IF('1. Live'!BI181='check-Jul25'!BI181,"",'1. Live'!BI181-'check-Jul25'!BI181)</f>
        <v/>
      </c>
      <c r="BJ181" t="str">
        <f>IF('1. Live'!BJ181='check-Jul25'!BJ181,"",'1. Live'!BJ181-'check-Jul25'!BJ181)</f>
        <v/>
      </c>
      <c r="BK181" t="str">
        <f>IF('1. Live'!BK181='check-Jul25'!BK181,"",'1. Live'!BK181-'check-Jul25'!BK181)</f>
        <v/>
      </c>
      <c r="BL181" t="str">
        <f>IF('1. Live'!BL181='check-Jul25'!BL181,"",'1. Live'!BL181-'check-Jul25'!BL181)</f>
        <v/>
      </c>
      <c r="BM181" t="str">
        <f>IF('1. Live'!BM181='check-Jul25'!BM181,"",'1. Live'!BM181-'check-Jul25'!BM181)</f>
        <v/>
      </c>
      <c r="BN181" t="str">
        <f>IF('1. Live'!BN181='check-Jul25'!BN181,"",'1. Live'!BN181-'check-Jul25'!BN181)</f>
        <v/>
      </c>
      <c r="BO181" t="str">
        <f>IF('1. Live'!BO181='check-Jul25'!BO181,"",'1. Live'!BO181-'check-Jul25'!BO181)</f>
        <v/>
      </c>
      <c r="BP181" t="str">
        <f>IF('1. Live'!BP181='check-Jul25'!BP181,"",'1. Live'!BP181-'check-Jul25'!BP181)</f>
        <v/>
      </c>
      <c r="BQ181" t="str">
        <f>IF('1. Live'!BQ181='check-Jul25'!BQ181,"",'1. Live'!BQ181-'check-Jul25'!BQ181)</f>
        <v/>
      </c>
      <c r="BR181" t="str">
        <f>IF('1. Live'!BR181='check-Jul25'!BR181,"",'1. Live'!BR181-'check-Jul25'!BR181)</f>
        <v/>
      </c>
      <c r="BS181" t="str">
        <f>IF('1. Live'!BS181='check-Jul25'!BS181,"",'1. Live'!BS181-'check-Jul25'!BS181)</f>
        <v/>
      </c>
      <c r="BT181" t="str">
        <f>IF('1. Live'!BT181='check-Jul25'!BT181,"",'1. Live'!BT181-'check-Jul25'!BT181)</f>
        <v/>
      </c>
      <c r="BU181" t="str">
        <f>IF('1. Live'!BU181='check-Jul25'!BU181,"",'1. Live'!BU181-'check-Jul25'!BU181)</f>
        <v/>
      </c>
      <c r="BV181" t="str">
        <f>IF('1. Live'!BV181='check-Jul25'!BV181,"",'1. Live'!BV181-'check-Jul25'!BV181)</f>
        <v/>
      </c>
      <c r="BW181" t="str">
        <f>IF('1. Live'!BW181='check-Jul25'!BW181,"",'1. Live'!BW181-'check-Jul25'!BW181)</f>
        <v/>
      </c>
      <c r="BX181" t="str">
        <f>IF('1. Live'!BX181='check-Jul25'!BX181,"",'1. Live'!BX181-'check-Jul25'!BX181)</f>
        <v/>
      </c>
      <c r="BY181" t="str">
        <f>IF('1. Live'!BY181='check-Jul25'!BY181,"",'1. Live'!BY181-'check-Jul25'!BY181)</f>
        <v/>
      </c>
      <c r="BZ181" t="str">
        <f>IF('1. Live'!BZ181='check-Jul25'!BZ181,"",'1. Live'!BZ181-'check-Jul25'!BZ181)</f>
        <v/>
      </c>
      <c r="CA181" t="str">
        <f>IF('1. Live'!CA181='check-Jul25'!CA181,"",'1. Live'!CA181-'check-Jul25'!CA181)</f>
        <v/>
      </c>
      <c r="CB181" t="str">
        <f>IF('1. Live'!CB181='check-Jul25'!CB181,"",'1. Live'!CB181-'check-Jul25'!CB181)</f>
        <v/>
      </c>
      <c r="CC181" t="str">
        <f>IF('1. Live'!CC181='check-Jul25'!CC181,"",'1. Live'!CC181-'check-Jul25'!CC181)</f>
        <v/>
      </c>
      <c r="CD181" t="str">
        <f>IF('1. Live'!CD181='check-Jul25'!CD181,"",'1. Live'!CD181-'check-Jul25'!CD181)</f>
        <v/>
      </c>
      <c r="CE181" t="str">
        <f>IF('1. Live'!CE181='check-Jul25'!CE181,"",'1. Live'!CE181-'check-Jul25'!CE181)</f>
        <v/>
      </c>
      <c r="CF181" t="str">
        <f>IF('1. Live'!CF181='check-Jul25'!CF181,"",'1. Live'!CF181-'check-Jul25'!CF181)</f>
        <v/>
      </c>
      <c r="CG181" t="str">
        <f>IF('1. Live'!CG181='check-Jul25'!CG181,"",'1. Live'!CG181-'check-Jul25'!CG181)</f>
        <v/>
      </c>
      <c r="CH181" t="str">
        <f>IF('1. Live'!CH181='check-Jul25'!CH181,"",'1. Live'!CH181-'check-Jul25'!CH181)</f>
        <v/>
      </c>
      <c r="CI181" t="str">
        <f>IF('1. Live'!CI181='check-Jul25'!CI181,"",'1. Live'!CI181-'check-Jul25'!CI181)</f>
        <v/>
      </c>
      <c r="CJ181" t="str">
        <f>IF('1. Live'!CJ181='check-Jul25'!CJ181,"",'1. Live'!CJ181-'check-Jul25'!CJ181)</f>
        <v/>
      </c>
      <c r="CK181" t="str">
        <f>IF('1. Live'!CK181='check-Jul25'!CK181,"",'1. Live'!CK181-'check-Jul25'!CK181)</f>
        <v/>
      </c>
      <c r="CL181" t="str">
        <f>IF('1. Live'!CL181='check-Jul25'!CL181,"",'1. Live'!CL181-'check-Jul25'!CL181)</f>
        <v/>
      </c>
      <c r="CM181" t="str">
        <f>IF('1. Live'!CM181='check-Jul25'!CM181,"",'1. Live'!CM181-'check-Jul25'!CM181)</f>
        <v/>
      </c>
      <c r="CN181" t="str">
        <f>IF('1. Live'!CN181='check-Jul25'!CN181,"",'1. Live'!CN181-'check-Jul25'!CN181)</f>
        <v/>
      </c>
      <c r="CO181" t="str">
        <f>IF('1. Live'!CO181='check-Jul25'!CO181,"",'1. Live'!CO181-'check-Jul25'!CO181)</f>
        <v/>
      </c>
      <c r="CP181" t="str">
        <f>IF('1. Live'!CP181='check-Jul25'!CP181,"",'1. Live'!CP181-'check-Jul25'!CP181)</f>
        <v/>
      </c>
      <c r="CQ181" t="str">
        <f>IF('1. Live'!CQ181='check-Jul25'!CQ181,"",'1. Live'!CQ181-'check-Jul25'!CQ181)</f>
        <v/>
      </c>
      <c r="CR181" t="str">
        <f>IF('1. Live'!CR181='check-Jul25'!CR181,"",'1. Live'!CR181-'check-Jul25'!CR181)</f>
        <v/>
      </c>
      <c r="CS181" t="str">
        <f>IF('1. Live'!CS181='check-Jul25'!CS181,"",'1. Live'!CS181-'check-Jul25'!CS181)</f>
        <v/>
      </c>
      <c r="CT181" t="str">
        <f>IF('1. Live'!CT181='check-Jul25'!CT181,"",'1. Live'!CT181-'check-Jul25'!CT181)</f>
        <v/>
      </c>
      <c r="CU181" t="str">
        <f>IF('1. Live'!CU181='check-Jul25'!CU181,"",'1. Live'!CU181-'check-Jul25'!CU181)</f>
        <v/>
      </c>
      <c r="CV181" t="str">
        <f>IF('1. Live'!CV181='check-Jul25'!CV181,"",'1. Live'!CV181-'check-Jul25'!CV181)</f>
        <v/>
      </c>
      <c r="CW181" t="str">
        <f>IF('1. Live'!CW181='check-Jul25'!CW181,"",'1. Live'!CW181-'check-Jul25'!CW181)</f>
        <v/>
      </c>
    </row>
    <row r="182" spans="10:101">
      <c r="J182" t="str">
        <f>IF('1. Live'!J182='check-Jul25'!J182,"",'1. Live'!J182-'check-Jul25'!J182)</f>
        <v/>
      </c>
      <c r="K182" t="str">
        <f>IF('1. Live'!K182='check-Jul25'!K182,"",'1. Live'!K182-'check-Jul25'!K182)</f>
        <v/>
      </c>
      <c r="L182" t="str">
        <f>IF('1. Live'!L182='check-Jul25'!L182,"",'1. Live'!L182-'check-Jul25'!L182)</f>
        <v/>
      </c>
      <c r="M182" t="str">
        <f>IF('1. Live'!M182='check-Jul25'!M182,"",'1. Live'!M182-'check-Jul25'!M182)</f>
        <v/>
      </c>
      <c r="N182" t="str">
        <f>IF('1. Live'!N182='check-Jul25'!N182,"",'1. Live'!N182-'check-Jul25'!N182)</f>
        <v/>
      </c>
      <c r="O182" t="str">
        <f>IF('1. Live'!O182='check-Jul25'!O182,"",'1. Live'!O182-'check-Jul25'!O182)</f>
        <v/>
      </c>
      <c r="P182" t="str">
        <f>IF('1. Live'!P182='check-Jul25'!P182,"",'1. Live'!P182-'check-Jul25'!P182)</f>
        <v/>
      </c>
      <c r="Q182" t="str">
        <f>IF('1. Live'!Q182='check-Jul25'!Q182,"",'1. Live'!Q182-'check-Jul25'!Q182)</f>
        <v/>
      </c>
      <c r="R182" t="str">
        <f>IF('1. Live'!R182='check-Jul25'!R182,"",'1. Live'!R182-'check-Jul25'!R182)</f>
        <v/>
      </c>
      <c r="S182" t="str">
        <f>IF('1. Live'!S182='check-Jul25'!S182,"",'1. Live'!S182-'check-Jul25'!S182)</f>
        <v/>
      </c>
      <c r="T182" t="str">
        <f>IF('1. Live'!T182='check-Jul25'!T182,"",'1. Live'!T182-'check-Jul25'!T182)</f>
        <v/>
      </c>
      <c r="U182" t="str">
        <f>IF('1. Live'!U182='check-Jul25'!U182,"",'1. Live'!U182-'check-Jul25'!U182)</f>
        <v/>
      </c>
      <c r="V182" t="str">
        <f>IF('1. Live'!V182='check-Jul25'!V182,"",'1. Live'!V182-'check-Jul25'!V182)</f>
        <v/>
      </c>
      <c r="W182" t="str">
        <f>IF('1. Live'!W182='check-Jul25'!W182,"",'1. Live'!W182-'check-Jul25'!W182)</f>
        <v/>
      </c>
      <c r="X182" t="str">
        <f>IF('1. Live'!X182='check-Jul25'!X182,"",'1. Live'!X182-'check-Jul25'!X182)</f>
        <v/>
      </c>
      <c r="Y182" t="str">
        <f>IF('1. Live'!Y182='check-Jul25'!Y182,"",'1. Live'!Y182-'check-Jul25'!Y182)</f>
        <v/>
      </c>
      <c r="Z182" t="str">
        <f>IF('1. Live'!Z182='check-Jul25'!Z182,"",'1. Live'!Z182-'check-Jul25'!Z182)</f>
        <v/>
      </c>
      <c r="AA182" t="str">
        <f>IF('1. Live'!AA182='check-Jul25'!AA182,"",'1. Live'!AA182-'check-Jul25'!AA182)</f>
        <v/>
      </c>
      <c r="AB182" t="str">
        <f>IF('1. Live'!AB182='check-Jul25'!AB182,"",'1. Live'!AB182-'check-Jul25'!AB182)</f>
        <v/>
      </c>
      <c r="AC182" t="str">
        <f>IF('1. Live'!AC182='check-Jul25'!AC182,"",'1. Live'!AC182-'check-Jul25'!AC182)</f>
        <v/>
      </c>
      <c r="AD182" t="str">
        <f>IF('1. Live'!AD182='check-Jul25'!AD182,"",'1. Live'!AD182-'check-Jul25'!AD182)</f>
        <v/>
      </c>
      <c r="AE182" t="str">
        <f>IF('1. Live'!AE182='check-Jul25'!AE182,"",'1. Live'!AE182-'check-Jul25'!AE182)</f>
        <v/>
      </c>
      <c r="AF182" t="str">
        <f>IF('1. Live'!AF182='check-Jul25'!AF182,"",'1. Live'!AF182-'check-Jul25'!AF182)</f>
        <v/>
      </c>
      <c r="AG182" t="str">
        <f>IF('1. Live'!AG182='check-Jul25'!AG182,"",'1. Live'!AG182-'check-Jul25'!AG182)</f>
        <v/>
      </c>
      <c r="AH182" t="str">
        <f>IF('1. Live'!AH182='check-Jul25'!AH182,"",'1. Live'!AH182-'check-Jul25'!AH182)</f>
        <v/>
      </c>
      <c r="AI182" t="str">
        <f>IF('1. Live'!AI182='check-Jul25'!AI182,"",'1. Live'!AI182-'check-Jul25'!AI182)</f>
        <v/>
      </c>
      <c r="AJ182" t="str">
        <f>IF('1. Live'!AJ182='check-Jul25'!AJ182,"",'1. Live'!AJ182-'check-Jul25'!AJ182)</f>
        <v/>
      </c>
      <c r="AK182" t="str">
        <f>IF('1. Live'!AK182='check-Jul25'!AK182,"",'1. Live'!AK182-'check-Jul25'!AK182)</f>
        <v/>
      </c>
      <c r="AL182" t="str">
        <f>IF('1. Live'!AL182='check-Jul25'!AL182,"",'1. Live'!AL182-'check-Jul25'!AL182)</f>
        <v/>
      </c>
      <c r="AM182" t="str">
        <f>IF('1. Live'!AM182='check-Jul25'!AM182,"",'1. Live'!AM182-'check-Jul25'!AM182)</f>
        <v/>
      </c>
      <c r="AN182" t="str">
        <f>IF('1. Live'!AN182='check-Jul25'!AN182,"",'1. Live'!AN182-'check-Jul25'!AN182)</f>
        <v/>
      </c>
      <c r="AO182" t="str">
        <f>IF('1. Live'!AO182='check-Jul25'!AO182,"",'1. Live'!AO182-'check-Jul25'!AO182)</f>
        <v/>
      </c>
      <c r="AP182" t="str">
        <f>IF('1. Live'!AP182='check-Jul25'!AP182,"",'1. Live'!AP182-'check-Jul25'!AP182)</f>
        <v/>
      </c>
      <c r="AQ182" t="str">
        <f>IF('1. Live'!AQ182='check-Jul25'!AQ182,"",'1. Live'!AQ182-'check-Jul25'!AQ182)</f>
        <v/>
      </c>
      <c r="AR182" t="str">
        <f>IF('1. Live'!AR182='check-Jul25'!AR182,"",'1. Live'!AR182-'check-Jul25'!AR182)</f>
        <v/>
      </c>
      <c r="AS182" t="str">
        <f>IF('1. Live'!AS182='check-Jul25'!AS182,"",'1. Live'!AS182-'check-Jul25'!AS182)</f>
        <v/>
      </c>
      <c r="AT182" t="str">
        <f>IF('1. Live'!AT182='check-Jul25'!AT182,"",'1. Live'!AT182-'check-Jul25'!AT182)</f>
        <v/>
      </c>
      <c r="AU182" t="str">
        <f>IF('1. Live'!AU182='check-Jul25'!AU182,"",'1. Live'!AU182-'check-Jul25'!AU182)</f>
        <v/>
      </c>
      <c r="AV182" t="str">
        <f>IF('1. Live'!AV182='check-Jul25'!AV182,"",'1. Live'!AV182-'check-Jul25'!AV182)</f>
        <v/>
      </c>
      <c r="AW182" t="str">
        <f>IF('1. Live'!AW182='check-Jul25'!AW182,"",'1. Live'!AW182-'check-Jul25'!AW182)</f>
        <v/>
      </c>
      <c r="AX182" t="str">
        <f>IF('1. Live'!AX182='check-Jul25'!AX182,"",'1. Live'!AX182-'check-Jul25'!AX182)</f>
        <v/>
      </c>
      <c r="AY182" t="str">
        <f>IF('1. Live'!AY182='check-Jul25'!AY182,"",'1. Live'!AY182-'check-Jul25'!AY182)</f>
        <v/>
      </c>
      <c r="AZ182" t="str">
        <f>IF('1. Live'!AZ182='check-Jul25'!AZ182,"",'1. Live'!AZ182-'check-Jul25'!AZ182)</f>
        <v/>
      </c>
      <c r="BA182" t="str">
        <f>IF('1. Live'!BA182='check-Jul25'!BA182,"",'1. Live'!BA182-'check-Jul25'!BA182)</f>
        <v/>
      </c>
      <c r="BB182" t="str">
        <f>IF('1. Live'!BB182='check-Jul25'!BB182,"",'1. Live'!BB182-'check-Jul25'!BB182)</f>
        <v/>
      </c>
      <c r="BC182" t="str">
        <f>IF('1. Live'!BC182='check-Jul25'!BC182,"",'1. Live'!BC182-'check-Jul25'!BC182)</f>
        <v/>
      </c>
      <c r="BD182" t="str">
        <f>IF('1. Live'!BD182='check-Jul25'!BD182,"",'1. Live'!BD182-'check-Jul25'!BD182)</f>
        <v/>
      </c>
      <c r="BE182" t="str">
        <f>IF('1. Live'!BE182='check-Jul25'!BE182,"",'1. Live'!BE182-'check-Jul25'!BE182)</f>
        <v/>
      </c>
      <c r="BF182" t="str">
        <f>IF('1. Live'!BF182='check-Jul25'!BF182,"",'1. Live'!BF182-'check-Jul25'!BF182)</f>
        <v/>
      </c>
      <c r="BG182" t="str">
        <f>IF('1. Live'!BG182='check-Jul25'!BG182,"",'1. Live'!BG182-'check-Jul25'!BG182)</f>
        <v/>
      </c>
      <c r="BH182" t="str">
        <f>IF('1. Live'!BH182='check-Jul25'!BH182,"",'1. Live'!BH182-'check-Jul25'!BH182)</f>
        <v/>
      </c>
      <c r="BI182" t="str">
        <f>IF('1. Live'!BI182='check-Jul25'!BI182,"",'1. Live'!BI182-'check-Jul25'!BI182)</f>
        <v/>
      </c>
      <c r="BJ182" t="str">
        <f>IF('1. Live'!BJ182='check-Jul25'!BJ182,"",'1. Live'!BJ182-'check-Jul25'!BJ182)</f>
        <v/>
      </c>
      <c r="BK182" t="str">
        <f>IF('1. Live'!BK182='check-Jul25'!BK182,"",'1. Live'!BK182-'check-Jul25'!BK182)</f>
        <v/>
      </c>
      <c r="BL182" t="str">
        <f>IF('1. Live'!BL182='check-Jul25'!BL182,"",'1. Live'!BL182-'check-Jul25'!BL182)</f>
        <v/>
      </c>
      <c r="BM182" t="str">
        <f>IF('1. Live'!BM182='check-Jul25'!BM182,"",'1. Live'!BM182-'check-Jul25'!BM182)</f>
        <v/>
      </c>
      <c r="BN182" t="str">
        <f>IF('1. Live'!BN182='check-Jul25'!BN182,"",'1. Live'!BN182-'check-Jul25'!BN182)</f>
        <v/>
      </c>
      <c r="BO182" t="str">
        <f>IF('1. Live'!BO182='check-Jul25'!BO182,"",'1. Live'!BO182-'check-Jul25'!BO182)</f>
        <v/>
      </c>
      <c r="BP182" t="str">
        <f>IF('1. Live'!BP182='check-Jul25'!BP182,"",'1. Live'!BP182-'check-Jul25'!BP182)</f>
        <v/>
      </c>
      <c r="BQ182" t="str">
        <f>IF('1. Live'!BQ182='check-Jul25'!BQ182,"",'1. Live'!BQ182-'check-Jul25'!BQ182)</f>
        <v/>
      </c>
      <c r="BR182" t="str">
        <f>IF('1. Live'!BR182='check-Jul25'!BR182,"",'1. Live'!BR182-'check-Jul25'!BR182)</f>
        <v/>
      </c>
      <c r="BS182" t="str">
        <f>IF('1. Live'!BS182='check-Jul25'!BS182,"",'1. Live'!BS182-'check-Jul25'!BS182)</f>
        <v/>
      </c>
      <c r="BT182" t="str">
        <f>IF('1. Live'!BT182='check-Jul25'!BT182,"",'1. Live'!BT182-'check-Jul25'!BT182)</f>
        <v/>
      </c>
      <c r="BU182" t="str">
        <f>IF('1. Live'!BU182='check-Jul25'!BU182,"",'1. Live'!BU182-'check-Jul25'!BU182)</f>
        <v/>
      </c>
      <c r="BV182" t="str">
        <f>IF('1. Live'!BV182='check-Jul25'!BV182,"",'1. Live'!BV182-'check-Jul25'!BV182)</f>
        <v/>
      </c>
      <c r="BW182" t="str">
        <f>IF('1. Live'!BW182='check-Jul25'!BW182,"",'1. Live'!BW182-'check-Jul25'!BW182)</f>
        <v/>
      </c>
      <c r="BX182" t="str">
        <f>IF('1. Live'!BX182='check-Jul25'!BX182,"",'1. Live'!BX182-'check-Jul25'!BX182)</f>
        <v/>
      </c>
      <c r="BY182" t="str">
        <f>IF('1. Live'!BY182='check-Jul25'!BY182,"",'1. Live'!BY182-'check-Jul25'!BY182)</f>
        <v/>
      </c>
      <c r="BZ182" t="str">
        <f>IF('1. Live'!BZ182='check-Jul25'!BZ182,"",'1. Live'!BZ182-'check-Jul25'!BZ182)</f>
        <v/>
      </c>
      <c r="CA182" t="str">
        <f>IF('1. Live'!CA182='check-Jul25'!CA182,"",'1. Live'!CA182-'check-Jul25'!CA182)</f>
        <v/>
      </c>
      <c r="CB182" t="str">
        <f>IF('1. Live'!CB182='check-Jul25'!CB182,"",'1. Live'!CB182-'check-Jul25'!CB182)</f>
        <v/>
      </c>
      <c r="CC182" t="str">
        <f>IF('1. Live'!CC182='check-Jul25'!CC182,"",'1. Live'!CC182-'check-Jul25'!CC182)</f>
        <v/>
      </c>
      <c r="CD182" t="str">
        <f>IF('1. Live'!CD182='check-Jul25'!CD182,"",'1. Live'!CD182-'check-Jul25'!CD182)</f>
        <v/>
      </c>
      <c r="CE182" t="str">
        <f>IF('1. Live'!CE182='check-Jul25'!CE182,"",'1. Live'!CE182-'check-Jul25'!CE182)</f>
        <v/>
      </c>
      <c r="CF182" t="str">
        <f>IF('1. Live'!CF182='check-Jul25'!CF182,"",'1. Live'!CF182-'check-Jul25'!CF182)</f>
        <v/>
      </c>
      <c r="CG182" t="str">
        <f>IF('1. Live'!CG182='check-Jul25'!CG182,"",'1. Live'!CG182-'check-Jul25'!CG182)</f>
        <v/>
      </c>
      <c r="CH182" t="str">
        <f>IF('1. Live'!CH182='check-Jul25'!CH182,"",'1. Live'!CH182-'check-Jul25'!CH182)</f>
        <v/>
      </c>
      <c r="CI182" t="str">
        <f>IF('1. Live'!CI182='check-Jul25'!CI182,"",'1. Live'!CI182-'check-Jul25'!CI182)</f>
        <v/>
      </c>
      <c r="CJ182" t="str">
        <f>IF('1. Live'!CJ182='check-Jul25'!CJ182,"",'1. Live'!CJ182-'check-Jul25'!CJ182)</f>
        <v/>
      </c>
      <c r="CK182" t="str">
        <f>IF('1. Live'!CK182='check-Jul25'!CK182,"",'1. Live'!CK182-'check-Jul25'!CK182)</f>
        <v/>
      </c>
      <c r="CL182" t="str">
        <f>IF('1. Live'!CL182='check-Jul25'!CL182,"",'1. Live'!CL182-'check-Jul25'!CL182)</f>
        <v/>
      </c>
      <c r="CM182" t="str">
        <f>IF('1. Live'!CM182='check-Jul25'!CM182,"",'1. Live'!CM182-'check-Jul25'!CM182)</f>
        <v/>
      </c>
      <c r="CN182" t="str">
        <f>IF('1. Live'!CN182='check-Jul25'!CN182,"",'1. Live'!CN182-'check-Jul25'!CN182)</f>
        <v/>
      </c>
      <c r="CO182" t="str">
        <f>IF('1. Live'!CO182='check-Jul25'!CO182,"",'1. Live'!CO182-'check-Jul25'!CO182)</f>
        <v/>
      </c>
      <c r="CP182" t="str">
        <f>IF('1. Live'!CP182='check-Jul25'!CP182,"",'1. Live'!CP182-'check-Jul25'!CP182)</f>
        <v/>
      </c>
      <c r="CQ182" t="str">
        <f>IF('1. Live'!CQ182='check-Jul25'!CQ182,"",'1. Live'!CQ182-'check-Jul25'!CQ182)</f>
        <v/>
      </c>
      <c r="CR182" t="str">
        <f>IF('1. Live'!CR182='check-Jul25'!CR182,"",'1. Live'!CR182-'check-Jul25'!CR182)</f>
        <v/>
      </c>
      <c r="CS182" t="str">
        <f>IF('1. Live'!CS182='check-Jul25'!CS182,"",'1. Live'!CS182-'check-Jul25'!CS182)</f>
        <v/>
      </c>
      <c r="CT182" t="str">
        <f>IF('1. Live'!CT182='check-Jul25'!CT182,"",'1. Live'!CT182-'check-Jul25'!CT182)</f>
        <v/>
      </c>
      <c r="CU182" t="str">
        <f>IF('1. Live'!CU182='check-Jul25'!CU182,"",'1. Live'!CU182-'check-Jul25'!CU182)</f>
        <v/>
      </c>
      <c r="CV182" t="str">
        <f>IF('1. Live'!CV182='check-Jul25'!CV182,"",'1. Live'!CV182-'check-Jul25'!CV182)</f>
        <v/>
      </c>
      <c r="CW182" t="str">
        <f>IF('1. Live'!CW182='check-Jul25'!CW182,"",'1. Live'!CW182-'check-Jul25'!CW182)</f>
        <v/>
      </c>
    </row>
    <row r="183" spans="10:101">
      <c r="J183" t="str">
        <f>IF('1. Live'!J183='check-Jul25'!J183,"",'1. Live'!J183-'check-Jul25'!J183)</f>
        <v/>
      </c>
      <c r="K183" t="str">
        <f>IF('1. Live'!K183='check-Jul25'!K183,"",'1. Live'!K183-'check-Jul25'!K183)</f>
        <v/>
      </c>
      <c r="L183" t="str">
        <f>IF('1. Live'!L183='check-Jul25'!L183,"",'1. Live'!L183-'check-Jul25'!L183)</f>
        <v/>
      </c>
      <c r="M183" t="str">
        <f>IF('1. Live'!M183='check-Jul25'!M183,"",'1. Live'!M183-'check-Jul25'!M183)</f>
        <v/>
      </c>
      <c r="N183" t="str">
        <f>IF('1. Live'!N183='check-Jul25'!N183,"",'1. Live'!N183-'check-Jul25'!N183)</f>
        <v/>
      </c>
      <c r="O183" t="str">
        <f>IF('1. Live'!O183='check-Jul25'!O183,"",'1. Live'!O183-'check-Jul25'!O183)</f>
        <v/>
      </c>
      <c r="P183" t="str">
        <f>IF('1. Live'!P183='check-Jul25'!P183,"",'1. Live'!P183-'check-Jul25'!P183)</f>
        <v/>
      </c>
      <c r="Q183" t="str">
        <f>IF('1. Live'!Q183='check-Jul25'!Q183,"",'1. Live'!Q183-'check-Jul25'!Q183)</f>
        <v/>
      </c>
      <c r="R183" t="str">
        <f>IF('1. Live'!R183='check-Jul25'!R183,"",'1. Live'!R183-'check-Jul25'!R183)</f>
        <v/>
      </c>
      <c r="S183" t="str">
        <f>IF('1. Live'!S183='check-Jul25'!S183,"",'1. Live'!S183-'check-Jul25'!S183)</f>
        <v/>
      </c>
      <c r="T183" t="str">
        <f>IF('1. Live'!T183='check-Jul25'!T183,"",'1. Live'!T183-'check-Jul25'!T183)</f>
        <v/>
      </c>
      <c r="U183" t="str">
        <f>IF('1. Live'!U183='check-Jul25'!U183,"",'1. Live'!U183-'check-Jul25'!U183)</f>
        <v/>
      </c>
      <c r="V183" t="str">
        <f>IF('1. Live'!V183='check-Jul25'!V183,"",'1. Live'!V183-'check-Jul25'!V183)</f>
        <v/>
      </c>
      <c r="W183" t="str">
        <f>IF('1. Live'!W183='check-Jul25'!W183,"",'1. Live'!W183-'check-Jul25'!W183)</f>
        <v/>
      </c>
      <c r="X183" t="str">
        <f>IF('1. Live'!X183='check-Jul25'!X183,"",'1. Live'!X183-'check-Jul25'!X183)</f>
        <v/>
      </c>
      <c r="Y183" t="str">
        <f>IF('1. Live'!Y183='check-Jul25'!Y183,"",'1. Live'!Y183-'check-Jul25'!Y183)</f>
        <v/>
      </c>
      <c r="Z183" t="str">
        <f>IF('1. Live'!Z183='check-Jul25'!Z183,"",'1. Live'!Z183-'check-Jul25'!Z183)</f>
        <v/>
      </c>
      <c r="AA183" t="str">
        <f>IF('1. Live'!AA183='check-Jul25'!AA183,"",'1. Live'!AA183-'check-Jul25'!AA183)</f>
        <v/>
      </c>
      <c r="AB183" t="str">
        <f>IF('1. Live'!AB183='check-Jul25'!AB183,"",'1. Live'!AB183-'check-Jul25'!AB183)</f>
        <v/>
      </c>
      <c r="AC183" t="str">
        <f>IF('1. Live'!AC183='check-Jul25'!AC183,"",'1. Live'!AC183-'check-Jul25'!AC183)</f>
        <v/>
      </c>
      <c r="AD183" t="str">
        <f>IF('1. Live'!AD183='check-Jul25'!AD183,"",'1. Live'!AD183-'check-Jul25'!AD183)</f>
        <v/>
      </c>
      <c r="AE183" t="str">
        <f>IF('1. Live'!AE183='check-Jul25'!AE183,"",'1. Live'!AE183-'check-Jul25'!AE183)</f>
        <v/>
      </c>
      <c r="AF183" t="str">
        <f>IF('1. Live'!AF183='check-Jul25'!AF183,"",'1. Live'!AF183-'check-Jul25'!AF183)</f>
        <v/>
      </c>
      <c r="AG183" t="str">
        <f>IF('1. Live'!AG183='check-Jul25'!AG183,"",'1. Live'!AG183-'check-Jul25'!AG183)</f>
        <v/>
      </c>
      <c r="AH183" t="str">
        <f>IF('1. Live'!AH183='check-Jul25'!AH183,"",'1. Live'!AH183-'check-Jul25'!AH183)</f>
        <v/>
      </c>
      <c r="AI183" t="str">
        <f>IF('1. Live'!AI183='check-Jul25'!AI183,"",'1. Live'!AI183-'check-Jul25'!AI183)</f>
        <v/>
      </c>
      <c r="AJ183" t="str">
        <f>IF('1. Live'!AJ183='check-Jul25'!AJ183,"",'1. Live'!AJ183-'check-Jul25'!AJ183)</f>
        <v/>
      </c>
      <c r="AK183" t="str">
        <f>IF('1. Live'!AK183='check-Jul25'!AK183,"",'1. Live'!AK183-'check-Jul25'!AK183)</f>
        <v/>
      </c>
      <c r="AL183" t="str">
        <f>IF('1. Live'!AL183='check-Jul25'!AL183,"",'1. Live'!AL183-'check-Jul25'!AL183)</f>
        <v/>
      </c>
      <c r="AM183" t="str">
        <f>IF('1. Live'!AM183='check-Jul25'!AM183,"",'1. Live'!AM183-'check-Jul25'!AM183)</f>
        <v/>
      </c>
      <c r="AN183" t="str">
        <f>IF('1. Live'!AN183='check-Jul25'!AN183,"",'1. Live'!AN183-'check-Jul25'!AN183)</f>
        <v/>
      </c>
      <c r="AO183" t="str">
        <f>IF('1. Live'!AO183='check-Jul25'!AO183,"",'1. Live'!AO183-'check-Jul25'!AO183)</f>
        <v/>
      </c>
      <c r="AP183" t="str">
        <f>IF('1. Live'!AP183='check-Jul25'!AP183,"",'1. Live'!AP183-'check-Jul25'!AP183)</f>
        <v/>
      </c>
      <c r="AQ183" t="str">
        <f>IF('1. Live'!AQ183='check-Jul25'!AQ183,"",'1. Live'!AQ183-'check-Jul25'!AQ183)</f>
        <v/>
      </c>
      <c r="AR183" t="str">
        <f>IF('1. Live'!AR183='check-Jul25'!AR183,"",'1. Live'!AR183-'check-Jul25'!AR183)</f>
        <v/>
      </c>
      <c r="AS183" t="str">
        <f>IF('1. Live'!AS183='check-Jul25'!AS183,"",'1. Live'!AS183-'check-Jul25'!AS183)</f>
        <v/>
      </c>
      <c r="AT183" t="str">
        <f>IF('1. Live'!AT183='check-Jul25'!AT183,"",'1. Live'!AT183-'check-Jul25'!AT183)</f>
        <v/>
      </c>
      <c r="AU183" t="str">
        <f>IF('1. Live'!AU183='check-Jul25'!AU183,"",'1. Live'!AU183-'check-Jul25'!AU183)</f>
        <v/>
      </c>
      <c r="AV183" t="str">
        <f>IF('1. Live'!AV183='check-Jul25'!AV183,"",'1. Live'!AV183-'check-Jul25'!AV183)</f>
        <v/>
      </c>
      <c r="AW183" t="str">
        <f>IF('1. Live'!AW183='check-Jul25'!AW183,"",'1. Live'!AW183-'check-Jul25'!AW183)</f>
        <v/>
      </c>
      <c r="AX183" t="str">
        <f>IF('1. Live'!AX183='check-Jul25'!AX183,"",'1. Live'!AX183-'check-Jul25'!AX183)</f>
        <v/>
      </c>
      <c r="AY183" t="str">
        <f>IF('1. Live'!AY183='check-Jul25'!AY183,"",'1. Live'!AY183-'check-Jul25'!AY183)</f>
        <v/>
      </c>
      <c r="AZ183" t="str">
        <f>IF('1. Live'!AZ183='check-Jul25'!AZ183,"",'1. Live'!AZ183-'check-Jul25'!AZ183)</f>
        <v/>
      </c>
      <c r="BA183" t="str">
        <f>IF('1. Live'!BA183='check-Jul25'!BA183,"",'1. Live'!BA183-'check-Jul25'!BA183)</f>
        <v/>
      </c>
      <c r="BB183" t="str">
        <f>IF('1. Live'!BB183='check-Jul25'!BB183,"",'1. Live'!BB183-'check-Jul25'!BB183)</f>
        <v/>
      </c>
      <c r="BC183" t="str">
        <f>IF('1. Live'!BC183='check-Jul25'!BC183,"",'1. Live'!BC183-'check-Jul25'!BC183)</f>
        <v/>
      </c>
      <c r="BD183" t="str">
        <f>IF('1. Live'!BD183='check-Jul25'!BD183,"",'1. Live'!BD183-'check-Jul25'!BD183)</f>
        <v/>
      </c>
      <c r="BE183" t="str">
        <f>IF('1. Live'!BE183='check-Jul25'!BE183,"",'1. Live'!BE183-'check-Jul25'!BE183)</f>
        <v/>
      </c>
      <c r="BF183" t="str">
        <f>IF('1. Live'!BF183='check-Jul25'!BF183,"",'1. Live'!BF183-'check-Jul25'!BF183)</f>
        <v/>
      </c>
      <c r="BG183" t="str">
        <f>IF('1. Live'!BG183='check-Jul25'!BG183,"",'1. Live'!BG183-'check-Jul25'!BG183)</f>
        <v/>
      </c>
      <c r="BH183" t="str">
        <f>IF('1. Live'!BH183='check-Jul25'!BH183,"",'1. Live'!BH183-'check-Jul25'!BH183)</f>
        <v/>
      </c>
      <c r="BI183" t="str">
        <f>IF('1. Live'!BI183='check-Jul25'!BI183,"",'1. Live'!BI183-'check-Jul25'!BI183)</f>
        <v/>
      </c>
      <c r="BJ183" t="str">
        <f>IF('1. Live'!BJ183='check-Jul25'!BJ183,"",'1. Live'!BJ183-'check-Jul25'!BJ183)</f>
        <v/>
      </c>
      <c r="BK183" t="str">
        <f>IF('1. Live'!BK183='check-Jul25'!BK183,"",'1. Live'!BK183-'check-Jul25'!BK183)</f>
        <v/>
      </c>
      <c r="BL183" t="str">
        <f>IF('1. Live'!BL183='check-Jul25'!BL183,"",'1. Live'!BL183-'check-Jul25'!BL183)</f>
        <v/>
      </c>
      <c r="BM183" t="str">
        <f>IF('1. Live'!BM183='check-Jul25'!BM183,"",'1. Live'!BM183-'check-Jul25'!BM183)</f>
        <v/>
      </c>
      <c r="BN183" t="str">
        <f>IF('1. Live'!BN183='check-Jul25'!BN183,"",'1. Live'!BN183-'check-Jul25'!BN183)</f>
        <v/>
      </c>
      <c r="BO183" t="str">
        <f>IF('1. Live'!BO183='check-Jul25'!BO183,"",'1. Live'!BO183-'check-Jul25'!BO183)</f>
        <v/>
      </c>
      <c r="BP183" t="str">
        <f>IF('1. Live'!BP183='check-Jul25'!BP183,"",'1. Live'!BP183-'check-Jul25'!BP183)</f>
        <v/>
      </c>
      <c r="BQ183" t="str">
        <f>IF('1. Live'!BQ183='check-Jul25'!BQ183,"",'1. Live'!BQ183-'check-Jul25'!BQ183)</f>
        <v/>
      </c>
      <c r="BR183" t="str">
        <f>IF('1. Live'!BR183='check-Jul25'!BR183,"",'1. Live'!BR183-'check-Jul25'!BR183)</f>
        <v/>
      </c>
      <c r="BS183" t="str">
        <f>IF('1. Live'!BS183='check-Jul25'!BS183,"",'1. Live'!BS183-'check-Jul25'!BS183)</f>
        <v/>
      </c>
      <c r="BT183" t="str">
        <f>IF('1. Live'!BT183='check-Jul25'!BT183,"",'1. Live'!BT183-'check-Jul25'!BT183)</f>
        <v/>
      </c>
      <c r="BU183" t="str">
        <f>IF('1. Live'!BU183='check-Jul25'!BU183,"",'1. Live'!BU183-'check-Jul25'!BU183)</f>
        <v/>
      </c>
      <c r="BV183" t="str">
        <f>IF('1. Live'!BV183='check-Jul25'!BV183,"",'1. Live'!BV183-'check-Jul25'!BV183)</f>
        <v/>
      </c>
      <c r="BW183" t="str">
        <f>IF('1. Live'!BW183='check-Jul25'!BW183,"",'1. Live'!BW183-'check-Jul25'!BW183)</f>
        <v/>
      </c>
      <c r="BX183" t="str">
        <f>IF('1. Live'!BX183='check-Jul25'!BX183,"",'1. Live'!BX183-'check-Jul25'!BX183)</f>
        <v/>
      </c>
      <c r="BY183" t="str">
        <f>IF('1. Live'!BY183='check-Jul25'!BY183,"",'1. Live'!BY183-'check-Jul25'!BY183)</f>
        <v/>
      </c>
      <c r="BZ183" t="str">
        <f>IF('1. Live'!BZ183='check-Jul25'!BZ183,"",'1. Live'!BZ183-'check-Jul25'!BZ183)</f>
        <v/>
      </c>
      <c r="CA183" t="str">
        <f>IF('1. Live'!CA183='check-Jul25'!CA183,"",'1. Live'!CA183-'check-Jul25'!CA183)</f>
        <v/>
      </c>
      <c r="CB183" t="str">
        <f>IF('1. Live'!CB183='check-Jul25'!CB183,"",'1. Live'!CB183-'check-Jul25'!CB183)</f>
        <v/>
      </c>
      <c r="CC183" t="str">
        <f>IF('1. Live'!CC183='check-Jul25'!CC183,"",'1. Live'!CC183-'check-Jul25'!CC183)</f>
        <v/>
      </c>
      <c r="CD183" t="str">
        <f>IF('1. Live'!CD183='check-Jul25'!CD183,"",'1. Live'!CD183-'check-Jul25'!CD183)</f>
        <v/>
      </c>
      <c r="CE183" t="str">
        <f>IF('1. Live'!CE183='check-Jul25'!CE183,"",'1. Live'!CE183-'check-Jul25'!CE183)</f>
        <v/>
      </c>
      <c r="CF183" t="str">
        <f>IF('1. Live'!CF183='check-Jul25'!CF183,"",'1. Live'!CF183-'check-Jul25'!CF183)</f>
        <v/>
      </c>
      <c r="CG183" t="str">
        <f>IF('1. Live'!CG183='check-Jul25'!CG183,"",'1. Live'!CG183-'check-Jul25'!CG183)</f>
        <v/>
      </c>
      <c r="CH183" t="str">
        <f>IF('1. Live'!CH183='check-Jul25'!CH183,"",'1. Live'!CH183-'check-Jul25'!CH183)</f>
        <v/>
      </c>
      <c r="CI183" t="str">
        <f>IF('1. Live'!CI183='check-Jul25'!CI183,"",'1. Live'!CI183-'check-Jul25'!CI183)</f>
        <v/>
      </c>
      <c r="CJ183" t="str">
        <f>IF('1. Live'!CJ183='check-Jul25'!CJ183,"",'1. Live'!CJ183-'check-Jul25'!CJ183)</f>
        <v/>
      </c>
      <c r="CK183" t="str">
        <f>IF('1. Live'!CK183='check-Jul25'!CK183,"",'1. Live'!CK183-'check-Jul25'!CK183)</f>
        <v/>
      </c>
      <c r="CL183" t="str">
        <f>IF('1. Live'!CL183='check-Jul25'!CL183,"",'1. Live'!CL183-'check-Jul25'!CL183)</f>
        <v/>
      </c>
      <c r="CM183" t="str">
        <f>IF('1. Live'!CM183='check-Jul25'!CM183,"",'1. Live'!CM183-'check-Jul25'!CM183)</f>
        <v/>
      </c>
      <c r="CN183" t="str">
        <f>IF('1. Live'!CN183='check-Jul25'!CN183,"",'1. Live'!CN183-'check-Jul25'!CN183)</f>
        <v/>
      </c>
      <c r="CO183" t="str">
        <f>IF('1. Live'!CO183='check-Jul25'!CO183,"",'1. Live'!CO183-'check-Jul25'!CO183)</f>
        <v/>
      </c>
      <c r="CP183" t="str">
        <f>IF('1. Live'!CP183='check-Jul25'!CP183,"",'1. Live'!CP183-'check-Jul25'!CP183)</f>
        <v/>
      </c>
      <c r="CQ183" t="str">
        <f>IF('1. Live'!CQ183='check-Jul25'!CQ183,"",'1. Live'!CQ183-'check-Jul25'!CQ183)</f>
        <v/>
      </c>
      <c r="CR183" t="str">
        <f>IF('1. Live'!CR183='check-Jul25'!CR183,"",'1. Live'!CR183-'check-Jul25'!CR183)</f>
        <v/>
      </c>
      <c r="CS183" t="str">
        <f>IF('1. Live'!CS183='check-Jul25'!CS183,"",'1. Live'!CS183-'check-Jul25'!CS183)</f>
        <v/>
      </c>
      <c r="CT183" t="str">
        <f>IF('1. Live'!CT183='check-Jul25'!CT183,"",'1. Live'!CT183-'check-Jul25'!CT183)</f>
        <v/>
      </c>
      <c r="CU183" t="str">
        <f>IF('1. Live'!CU183='check-Jul25'!CU183,"",'1. Live'!CU183-'check-Jul25'!CU183)</f>
        <v/>
      </c>
      <c r="CV183" t="str">
        <f>IF('1. Live'!CV183='check-Jul25'!CV183,"",'1. Live'!CV183-'check-Jul25'!CV183)</f>
        <v/>
      </c>
      <c r="CW183" t="str">
        <f>IF('1. Live'!CW183='check-Jul25'!CW183,"",'1. Live'!CW183-'check-Jul25'!CW183)</f>
        <v/>
      </c>
    </row>
    <row r="184" spans="10:101">
      <c r="J184" t="str">
        <f>IF('1. Live'!J184='check-Jul25'!J184,"",'1. Live'!J184-'check-Jul25'!J184)</f>
        <v/>
      </c>
      <c r="K184" t="str">
        <f>IF('1. Live'!K184='check-Jul25'!K184,"",'1. Live'!K184-'check-Jul25'!K184)</f>
        <v/>
      </c>
      <c r="L184" t="str">
        <f>IF('1. Live'!L184='check-Jul25'!L184,"",'1. Live'!L184-'check-Jul25'!L184)</f>
        <v/>
      </c>
      <c r="M184" t="str">
        <f>IF('1. Live'!M184='check-Jul25'!M184,"",'1. Live'!M184-'check-Jul25'!M184)</f>
        <v/>
      </c>
      <c r="N184" t="str">
        <f>IF('1. Live'!N184='check-Jul25'!N184,"",'1. Live'!N184-'check-Jul25'!N184)</f>
        <v/>
      </c>
      <c r="O184" t="str">
        <f>IF('1. Live'!O184='check-Jul25'!O184,"",'1. Live'!O184-'check-Jul25'!O184)</f>
        <v/>
      </c>
      <c r="P184" t="str">
        <f>IF('1. Live'!P184='check-Jul25'!P184,"",'1. Live'!P184-'check-Jul25'!P184)</f>
        <v/>
      </c>
      <c r="Q184" t="str">
        <f>IF('1. Live'!Q184='check-Jul25'!Q184,"",'1. Live'!Q184-'check-Jul25'!Q184)</f>
        <v/>
      </c>
      <c r="R184" t="str">
        <f>IF('1. Live'!R184='check-Jul25'!R184,"",'1. Live'!R184-'check-Jul25'!R184)</f>
        <v/>
      </c>
      <c r="S184" t="str">
        <f>IF('1. Live'!S184='check-Jul25'!S184,"",'1. Live'!S184-'check-Jul25'!S184)</f>
        <v/>
      </c>
      <c r="T184" t="str">
        <f>IF('1. Live'!T184='check-Jul25'!T184,"",'1. Live'!T184-'check-Jul25'!T184)</f>
        <v/>
      </c>
      <c r="U184" t="str">
        <f>IF('1. Live'!U184='check-Jul25'!U184,"",'1. Live'!U184-'check-Jul25'!U184)</f>
        <v/>
      </c>
      <c r="V184" t="str">
        <f>IF('1. Live'!V184='check-Jul25'!V184,"",'1. Live'!V184-'check-Jul25'!V184)</f>
        <v/>
      </c>
      <c r="W184" t="str">
        <f>IF('1. Live'!W184='check-Jul25'!W184,"",'1. Live'!W184-'check-Jul25'!W184)</f>
        <v/>
      </c>
      <c r="X184" t="str">
        <f>IF('1. Live'!X184='check-Jul25'!X184,"",'1. Live'!X184-'check-Jul25'!X184)</f>
        <v/>
      </c>
      <c r="Y184" t="str">
        <f>IF('1. Live'!Y184='check-Jul25'!Y184,"",'1. Live'!Y184-'check-Jul25'!Y184)</f>
        <v/>
      </c>
      <c r="Z184" t="str">
        <f>IF('1. Live'!Z184='check-Jul25'!Z184,"",'1. Live'!Z184-'check-Jul25'!Z184)</f>
        <v/>
      </c>
      <c r="AA184" t="str">
        <f>IF('1. Live'!AA184='check-Jul25'!AA184,"",'1. Live'!AA184-'check-Jul25'!AA184)</f>
        <v/>
      </c>
      <c r="AB184" t="str">
        <f>IF('1. Live'!AB184='check-Jul25'!AB184,"",'1. Live'!AB184-'check-Jul25'!AB184)</f>
        <v/>
      </c>
      <c r="AC184" t="str">
        <f>IF('1. Live'!AC184='check-Jul25'!AC184,"",'1. Live'!AC184-'check-Jul25'!AC184)</f>
        <v/>
      </c>
      <c r="AD184" t="str">
        <f>IF('1. Live'!AD184='check-Jul25'!AD184,"",'1. Live'!AD184-'check-Jul25'!AD184)</f>
        <v/>
      </c>
      <c r="AE184" t="str">
        <f>IF('1. Live'!AE184='check-Jul25'!AE184,"",'1. Live'!AE184-'check-Jul25'!AE184)</f>
        <v/>
      </c>
      <c r="AF184" t="str">
        <f>IF('1. Live'!AF184='check-Jul25'!AF184,"",'1. Live'!AF184-'check-Jul25'!AF184)</f>
        <v/>
      </c>
      <c r="AG184" t="str">
        <f>IF('1. Live'!AG184='check-Jul25'!AG184,"",'1. Live'!AG184-'check-Jul25'!AG184)</f>
        <v/>
      </c>
      <c r="AH184" t="str">
        <f>IF('1. Live'!AH184='check-Jul25'!AH184,"",'1. Live'!AH184-'check-Jul25'!AH184)</f>
        <v/>
      </c>
      <c r="AI184" t="str">
        <f>IF('1. Live'!AI184='check-Jul25'!AI184,"",'1. Live'!AI184-'check-Jul25'!AI184)</f>
        <v/>
      </c>
      <c r="AJ184" t="str">
        <f>IF('1. Live'!AJ184='check-Jul25'!AJ184,"",'1. Live'!AJ184-'check-Jul25'!AJ184)</f>
        <v/>
      </c>
      <c r="AK184" t="str">
        <f>IF('1. Live'!AK184='check-Jul25'!AK184,"",'1. Live'!AK184-'check-Jul25'!AK184)</f>
        <v/>
      </c>
      <c r="AL184" t="str">
        <f>IF('1. Live'!AL184='check-Jul25'!AL184,"",'1. Live'!AL184-'check-Jul25'!AL184)</f>
        <v/>
      </c>
      <c r="AM184" t="str">
        <f>IF('1. Live'!AM184='check-Jul25'!AM184,"",'1. Live'!AM184-'check-Jul25'!AM184)</f>
        <v/>
      </c>
      <c r="AN184" t="str">
        <f>IF('1. Live'!AN184='check-Jul25'!AN184,"",'1. Live'!AN184-'check-Jul25'!AN184)</f>
        <v/>
      </c>
      <c r="AO184" t="str">
        <f>IF('1. Live'!AO184='check-Jul25'!AO184,"",'1. Live'!AO184-'check-Jul25'!AO184)</f>
        <v/>
      </c>
      <c r="AP184" t="str">
        <f>IF('1. Live'!AP184='check-Jul25'!AP184,"",'1. Live'!AP184-'check-Jul25'!AP184)</f>
        <v/>
      </c>
      <c r="AQ184" t="str">
        <f>IF('1. Live'!AQ184='check-Jul25'!AQ184,"",'1. Live'!AQ184-'check-Jul25'!AQ184)</f>
        <v/>
      </c>
      <c r="AR184" t="str">
        <f>IF('1. Live'!AR184='check-Jul25'!AR184,"",'1. Live'!AR184-'check-Jul25'!AR184)</f>
        <v/>
      </c>
      <c r="AS184" t="str">
        <f>IF('1. Live'!AS184='check-Jul25'!AS184,"",'1. Live'!AS184-'check-Jul25'!AS184)</f>
        <v/>
      </c>
      <c r="AT184" t="str">
        <f>IF('1. Live'!AT184='check-Jul25'!AT184,"",'1. Live'!AT184-'check-Jul25'!AT184)</f>
        <v/>
      </c>
      <c r="AU184" t="str">
        <f>IF('1. Live'!AU184='check-Jul25'!AU184,"",'1. Live'!AU184-'check-Jul25'!AU184)</f>
        <v/>
      </c>
      <c r="AV184" t="str">
        <f>IF('1. Live'!AV184='check-Jul25'!AV184,"",'1. Live'!AV184-'check-Jul25'!AV184)</f>
        <v/>
      </c>
      <c r="AW184" t="str">
        <f>IF('1. Live'!AW184='check-Jul25'!AW184,"",'1. Live'!AW184-'check-Jul25'!AW184)</f>
        <v/>
      </c>
      <c r="AX184" t="str">
        <f>IF('1. Live'!AX184='check-Jul25'!AX184,"",'1. Live'!AX184-'check-Jul25'!AX184)</f>
        <v/>
      </c>
      <c r="AY184" t="str">
        <f>IF('1. Live'!AY184='check-Jul25'!AY184,"",'1. Live'!AY184-'check-Jul25'!AY184)</f>
        <v/>
      </c>
      <c r="AZ184" t="str">
        <f>IF('1. Live'!AZ184='check-Jul25'!AZ184,"",'1. Live'!AZ184-'check-Jul25'!AZ184)</f>
        <v/>
      </c>
      <c r="BA184" t="str">
        <f>IF('1. Live'!BA184='check-Jul25'!BA184,"",'1. Live'!BA184-'check-Jul25'!BA184)</f>
        <v/>
      </c>
      <c r="BB184" t="str">
        <f>IF('1. Live'!BB184='check-Jul25'!BB184,"",'1. Live'!BB184-'check-Jul25'!BB184)</f>
        <v/>
      </c>
      <c r="BC184" t="str">
        <f>IF('1. Live'!BC184='check-Jul25'!BC184,"",'1. Live'!BC184-'check-Jul25'!BC184)</f>
        <v/>
      </c>
      <c r="BD184" t="str">
        <f>IF('1. Live'!BD184='check-Jul25'!BD184,"",'1. Live'!BD184-'check-Jul25'!BD184)</f>
        <v/>
      </c>
      <c r="BE184" t="str">
        <f>IF('1. Live'!BE184='check-Jul25'!BE184,"",'1. Live'!BE184-'check-Jul25'!BE184)</f>
        <v/>
      </c>
      <c r="BF184" t="str">
        <f>IF('1. Live'!BF184='check-Jul25'!BF184,"",'1. Live'!BF184-'check-Jul25'!BF184)</f>
        <v/>
      </c>
      <c r="BG184" t="str">
        <f>IF('1. Live'!BG184='check-Jul25'!BG184,"",'1. Live'!BG184-'check-Jul25'!BG184)</f>
        <v/>
      </c>
      <c r="BH184" t="str">
        <f>IF('1. Live'!BH184='check-Jul25'!BH184,"",'1. Live'!BH184-'check-Jul25'!BH184)</f>
        <v/>
      </c>
      <c r="BI184" t="str">
        <f>IF('1. Live'!BI184='check-Jul25'!BI184,"",'1. Live'!BI184-'check-Jul25'!BI184)</f>
        <v/>
      </c>
      <c r="BJ184" t="str">
        <f>IF('1. Live'!BJ184='check-Jul25'!BJ184,"",'1. Live'!BJ184-'check-Jul25'!BJ184)</f>
        <v/>
      </c>
      <c r="BK184" t="str">
        <f>IF('1. Live'!BK184='check-Jul25'!BK184,"",'1. Live'!BK184-'check-Jul25'!BK184)</f>
        <v/>
      </c>
      <c r="BL184" t="str">
        <f>IF('1. Live'!BL184='check-Jul25'!BL184,"",'1. Live'!BL184-'check-Jul25'!BL184)</f>
        <v/>
      </c>
      <c r="BM184" t="str">
        <f>IF('1. Live'!BM184='check-Jul25'!BM184,"",'1. Live'!BM184-'check-Jul25'!BM184)</f>
        <v/>
      </c>
      <c r="BN184" t="str">
        <f>IF('1. Live'!BN184='check-Jul25'!BN184,"",'1. Live'!BN184-'check-Jul25'!BN184)</f>
        <v/>
      </c>
      <c r="BO184" t="str">
        <f>IF('1. Live'!BO184='check-Jul25'!BO184,"",'1. Live'!BO184-'check-Jul25'!BO184)</f>
        <v/>
      </c>
      <c r="BP184" t="str">
        <f>IF('1. Live'!BP184='check-Jul25'!BP184,"",'1. Live'!BP184-'check-Jul25'!BP184)</f>
        <v/>
      </c>
      <c r="BQ184" t="str">
        <f>IF('1. Live'!BQ184='check-Jul25'!BQ184,"",'1. Live'!BQ184-'check-Jul25'!BQ184)</f>
        <v/>
      </c>
      <c r="BR184" t="str">
        <f>IF('1. Live'!BR184='check-Jul25'!BR184,"",'1. Live'!BR184-'check-Jul25'!BR184)</f>
        <v/>
      </c>
      <c r="BS184" t="str">
        <f>IF('1. Live'!BS184='check-Jul25'!BS184,"",'1. Live'!BS184-'check-Jul25'!BS184)</f>
        <v/>
      </c>
      <c r="BT184" t="str">
        <f>IF('1. Live'!BT184='check-Jul25'!BT184,"",'1. Live'!BT184-'check-Jul25'!BT184)</f>
        <v/>
      </c>
      <c r="BU184" t="str">
        <f>IF('1. Live'!BU184='check-Jul25'!BU184,"",'1. Live'!BU184-'check-Jul25'!BU184)</f>
        <v/>
      </c>
      <c r="BV184" t="str">
        <f>IF('1. Live'!BV184='check-Jul25'!BV184,"",'1. Live'!BV184-'check-Jul25'!BV184)</f>
        <v/>
      </c>
      <c r="BW184" t="str">
        <f>IF('1. Live'!BW184='check-Jul25'!BW184,"",'1. Live'!BW184-'check-Jul25'!BW184)</f>
        <v/>
      </c>
      <c r="BX184" t="str">
        <f>IF('1. Live'!BX184='check-Jul25'!BX184,"",'1. Live'!BX184-'check-Jul25'!BX184)</f>
        <v/>
      </c>
      <c r="BY184" t="str">
        <f>IF('1. Live'!BY184='check-Jul25'!BY184,"",'1. Live'!BY184-'check-Jul25'!BY184)</f>
        <v/>
      </c>
      <c r="BZ184" t="str">
        <f>IF('1. Live'!BZ184='check-Jul25'!BZ184,"",'1. Live'!BZ184-'check-Jul25'!BZ184)</f>
        <v/>
      </c>
      <c r="CA184" t="str">
        <f>IF('1. Live'!CA184='check-Jul25'!CA184,"",'1. Live'!CA184-'check-Jul25'!CA184)</f>
        <v/>
      </c>
      <c r="CB184" t="str">
        <f>IF('1. Live'!CB184='check-Jul25'!CB184,"",'1. Live'!CB184-'check-Jul25'!CB184)</f>
        <v/>
      </c>
      <c r="CC184" t="str">
        <f>IF('1. Live'!CC184='check-Jul25'!CC184,"",'1. Live'!CC184-'check-Jul25'!CC184)</f>
        <v/>
      </c>
      <c r="CD184" t="str">
        <f>IF('1. Live'!CD184='check-Jul25'!CD184,"",'1. Live'!CD184-'check-Jul25'!CD184)</f>
        <v/>
      </c>
      <c r="CE184" t="str">
        <f>IF('1. Live'!CE184='check-Jul25'!CE184,"",'1. Live'!CE184-'check-Jul25'!CE184)</f>
        <v/>
      </c>
      <c r="CF184" t="str">
        <f>IF('1. Live'!CF184='check-Jul25'!CF184,"",'1. Live'!CF184-'check-Jul25'!CF184)</f>
        <v/>
      </c>
      <c r="CG184" t="str">
        <f>IF('1. Live'!CG184='check-Jul25'!CG184,"",'1. Live'!CG184-'check-Jul25'!CG184)</f>
        <v/>
      </c>
      <c r="CH184" t="str">
        <f>IF('1. Live'!CH184='check-Jul25'!CH184,"",'1. Live'!CH184-'check-Jul25'!CH184)</f>
        <v/>
      </c>
      <c r="CI184" t="str">
        <f>IF('1. Live'!CI184='check-Jul25'!CI184,"",'1. Live'!CI184-'check-Jul25'!CI184)</f>
        <v/>
      </c>
      <c r="CJ184" t="str">
        <f>IF('1. Live'!CJ184='check-Jul25'!CJ184,"",'1. Live'!CJ184-'check-Jul25'!CJ184)</f>
        <v/>
      </c>
      <c r="CK184" t="str">
        <f>IF('1. Live'!CK184='check-Jul25'!CK184,"",'1. Live'!CK184-'check-Jul25'!CK184)</f>
        <v/>
      </c>
      <c r="CL184" t="str">
        <f>IF('1. Live'!CL184='check-Jul25'!CL184,"",'1. Live'!CL184-'check-Jul25'!CL184)</f>
        <v/>
      </c>
      <c r="CM184" t="str">
        <f>IF('1. Live'!CM184='check-Jul25'!CM184,"",'1. Live'!CM184-'check-Jul25'!CM184)</f>
        <v/>
      </c>
      <c r="CN184" t="str">
        <f>IF('1. Live'!CN184='check-Jul25'!CN184,"",'1. Live'!CN184-'check-Jul25'!CN184)</f>
        <v/>
      </c>
      <c r="CO184" t="str">
        <f>IF('1. Live'!CO184='check-Jul25'!CO184,"",'1. Live'!CO184-'check-Jul25'!CO184)</f>
        <v/>
      </c>
      <c r="CP184" t="str">
        <f>IF('1. Live'!CP184='check-Jul25'!CP184,"",'1. Live'!CP184-'check-Jul25'!CP184)</f>
        <v/>
      </c>
      <c r="CQ184" t="str">
        <f>IF('1. Live'!CQ184='check-Jul25'!CQ184,"",'1. Live'!CQ184-'check-Jul25'!CQ184)</f>
        <v/>
      </c>
      <c r="CR184" t="str">
        <f>IF('1. Live'!CR184='check-Jul25'!CR184,"",'1. Live'!CR184-'check-Jul25'!CR184)</f>
        <v/>
      </c>
      <c r="CS184" t="str">
        <f>IF('1. Live'!CS184='check-Jul25'!CS184,"",'1. Live'!CS184-'check-Jul25'!CS184)</f>
        <v/>
      </c>
      <c r="CT184" t="str">
        <f>IF('1. Live'!CT184='check-Jul25'!CT184,"",'1. Live'!CT184-'check-Jul25'!CT184)</f>
        <v/>
      </c>
      <c r="CU184" t="str">
        <f>IF('1. Live'!CU184='check-Jul25'!CU184,"",'1. Live'!CU184-'check-Jul25'!CU184)</f>
        <v/>
      </c>
      <c r="CV184" t="str">
        <f>IF('1. Live'!CV184='check-Jul25'!CV184,"",'1. Live'!CV184-'check-Jul25'!CV184)</f>
        <v/>
      </c>
      <c r="CW184" t="str">
        <f>IF('1. Live'!CW184='check-Jul25'!CW184,"",'1. Live'!CW184-'check-Jul25'!CW184)</f>
        <v/>
      </c>
    </row>
    <row r="185" spans="10:101">
      <c r="J185" t="str">
        <f>IF('1. Live'!J185='check-Jul25'!J185,"",'1. Live'!J185-'check-Jul25'!J185)</f>
        <v/>
      </c>
      <c r="K185" t="str">
        <f>IF('1. Live'!K185='check-Jul25'!K185,"",'1. Live'!K185-'check-Jul25'!K185)</f>
        <v/>
      </c>
      <c r="L185" t="str">
        <f>IF('1. Live'!L185='check-Jul25'!L185,"",'1. Live'!L185-'check-Jul25'!L185)</f>
        <v/>
      </c>
      <c r="M185" t="str">
        <f>IF('1. Live'!M185='check-Jul25'!M185,"",'1. Live'!M185-'check-Jul25'!M185)</f>
        <v/>
      </c>
      <c r="N185" t="str">
        <f>IF('1. Live'!N185='check-Jul25'!N185,"",'1. Live'!N185-'check-Jul25'!N185)</f>
        <v/>
      </c>
      <c r="O185" t="str">
        <f>IF('1. Live'!O185='check-Jul25'!O185,"",'1. Live'!O185-'check-Jul25'!O185)</f>
        <v/>
      </c>
      <c r="P185" t="str">
        <f>IF('1. Live'!P185='check-Jul25'!P185,"",'1. Live'!P185-'check-Jul25'!P185)</f>
        <v/>
      </c>
      <c r="Q185" t="str">
        <f>IF('1. Live'!Q185='check-Jul25'!Q185,"",'1. Live'!Q185-'check-Jul25'!Q185)</f>
        <v/>
      </c>
      <c r="R185" t="str">
        <f>IF('1. Live'!R185='check-Jul25'!R185,"",'1. Live'!R185-'check-Jul25'!R185)</f>
        <v/>
      </c>
      <c r="S185" t="str">
        <f>IF('1. Live'!S185='check-Jul25'!S185,"",'1. Live'!S185-'check-Jul25'!S185)</f>
        <v/>
      </c>
      <c r="T185" t="str">
        <f>IF('1. Live'!T185='check-Jul25'!T185,"",'1. Live'!T185-'check-Jul25'!T185)</f>
        <v/>
      </c>
      <c r="U185" t="str">
        <f>IF('1. Live'!U185='check-Jul25'!U185,"",'1. Live'!U185-'check-Jul25'!U185)</f>
        <v/>
      </c>
      <c r="V185" t="str">
        <f>IF('1. Live'!V185='check-Jul25'!V185,"",'1. Live'!V185-'check-Jul25'!V185)</f>
        <v/>
      </c>
      <c r="W185" t="str">
        <f>IF('1. Live'!W185='check-Jul25'!W185,"",'1. Live'!W185-'check-Jul25'!W185)</f>
        <v/>
      </c>
      <c r="X185" t="str">
        <f>IF('1. Live'!X185='check-Jul25'!X185,"",'1. Live'!X185-'check-Jul25'!X185)</f>
        <v/>
      </c>
      <c r="Y185" t="str">
        <f>IF('1. Live'!Y185='check-Jul25'!Y185,"",'1. Live'!Y185-'check-Jul25'!Y185)</f>
        <v/>
      </c>
      <c r="Z185" t="str">
        <f>IF('1. Live'!Z185='check-Jul25'!Z185,"",'1. Live'!Z185-'check-Jul25'!Z185)</f>
        <v/>
      </c>
      <c r="AA185" t="str">
        <f>IF('1. Live'!AA185='check-Jul25'!AA185,"",'1. Live'!AA185-'check-Jul25'!AA185)</f>
        <v/>
      </c>
      <c r="AB185" t="str">
        <f>IF('1. Live'!AB185='check-Jul25'!AB185,"",'1. Live'!AB185-'check-Jul25'!AB185)</f>
        <v/>
      </c>
      <c r="AC185" t="str">
        <f>IF('1. Live'!AC185='check-Jul25'!AC185,"",'1. Live'!AC185-'check-Jul25'!AC185)</f>
        <v/>
      </c>
      <c r="AD185" t="str">
        <f>IF('1. Live'!AD185='check-Jul25'!AD185,"",'1. Live'!AD185-'check-Jul25'!AD185)</f>
        <v/>
      </c>
      <c r="AE185" t="str">
        <f>IF('1. Live'!AE185='check-Jul25'!AE185,"",'1. Live'!AE185-'check-Jul25'!AE185)</f>
        <v/>
      </c>
      <c r="AF185" t="str">
        <f>IF('1. Live'!AF185='check-Jul25'!AF185,"",'1. Live'!AF185-'check-Jul25'!AF185)</f>
        <v/>
      </c>
      <c r="AG185" t="str">
        <f>IF('1. Live'!AG185='check-Jul25'!AG185,"",'1. Live'!AG185-'check-Jul25'!AG185)</f>
        <v/>
      </c>
      <c r="AH185" t="str">
        <f>IF('1. Live'!AH185='check-Jul25'!AH185,"",'1. Live'!AH185-'check-Jul25'!AH185)</f>
        <v/>
      </c>
      <c r="AI185" t="str">
        <f>IF('1. Live'!AI185='check-Jul25'!AI185,"",'1. Live'!AI185-'check-Jul25'!AI185)</f>
        <v/>
      </c>
      <c r="AJ185" t="str">
        <f>IF('1. Live'!AJ185='check-Jul25'!AJ185,"",'1. Live'!AJ185-'check-Jul25'!AJ185)</f>
        <v/>
      </c>
      <c r="AK185" t="str">
        <f>IF('1. Live'!AK185='check-Jul25'!AK185,"",'1. Live'!AK185-'check-Jul25'!AK185)</f>
        <v/>
      </c>
      <c r="AL185" t="str">
        <f>IF('1. Live'!AL185='check-Jul25'!AL185,"",'1. Live'!AL185-'check-Jul25'!AL185)</f>
        <v/>
      </c>
      <c r="AM185" t="str">
        <f>IF('1. Live'!AM185='check-Jul25'!AM185,"",'1. Live'!AM185-'check-Jul25'!AM185)</f>
        <v/>
      </c>
      <c r="AN185" t="str">
        <f>IF('1. Live'!AN185='check-Jul25'!AN185,"",'1. Live'!AN185-'check-Jul25'!AN185)</f>
        <v/>
      </c>
      <c r="AO185" t="str">
        <f>IF('1. Live'!AO185='check-Jul25'!AO185,"",'1. Live'!AO185-'check-Jul25'!AO185)</f>
        <v/>
      </c>
      <c r="AP185" t="str">
        <f>IF('1. Live'!AP185='check-Jul25'!AP185,"",'1. Live'!AP185-'check-Jul25'!AP185)</f>
        <v/>
      </c>
      <c r="AQ185" t="str">
        <f>IF('1. Live'!AQ185='check-Jul25'!AQ185,"",'1. Live'!AQ185-'check-Jul25'!AQ185)</f>
        <v/>
      </c>
      <c r="AR185" t="str">
        <f>IF('1. Live'!AR185='check-Jul25'!AR185,"",'1. Live'!AR185-'check-Jul25'!AR185)</f>
        <v/>
      </c>
      <c r="AS185" t="str">
        <f>IF('1. Live'!AS185='check-Jul25'!AS185,"",'1. Live'!AS185-'check-Jul25'!AS185)</f>
        <v/>
      </c>
      <c r="AT185" t="str">
        <f>IF('1. Live'!AT185='check-Jul25'!AT185,"",'1. Live'!AT185-'check-Jul25'!AT185)</f>
        <v/>
      </c>
      <c r="AU185" t="str">
        <f>IF('1. Live'!AU185='check-Jul25'!AU185,"",'1. Live'!AU185-'check-Jul25'!AU185)</f>
        <v/>
      </c>
      <c r="AV185" t="str">
        <f>IF('1. Live'!AV185='check-Jul25'!AV185,"",'1. Live'!AV185-'check-Jul25'!AV185)</f>
        <v/>
      </c>
      <c r="AW185" t="str">
        <f>IF('1. Live'!AW185='check-Jul25'!AW185,"",'1. Live'!AW185-'check-Jul25'!AW185)</f>
        <v/>
      </c>
      <c r="AX185" t="str">
        <f>IF('1. Live'!AX185='check-Jul25'!AX185,"",'1. Live'!AX185-'check-Jul25'!AX185)</f>
        <v/>
      </c>
      <c r="AY185" t="str">
        <f>IF('1. Live'!AY185='check-Jul25'!AY185,"",'1. Live'!AY185-'check-Jul25'!AY185)</f>
        <v/>
      </c>
      <c r="AZ185" t="str">
        <f>IF('1. Live'!AZ185='check-Jul25'!AZ185,"",'1. Live'!AZ185-'check-Jul25'!AZ185)</f>
        <v/>
      </c>
      <c r="BA185" t="str">
        <f>IF('1. Live'!BA185='check-Jul25'!BA185,"",'1. Live'!BA185-'check-Jul25'!BA185)</f>
        <v/>
      </c>
      <c r="BB185" t="str">
        <f>IF('1. Live'!BB185='check-Jul25'!BB185,"",'1. Live'!BB185-'check-Jul25'!BB185)</f>
        <v/>
      </c>
      <c r="BC185" t="str">
        <f>IF('1. Live'!BC185='check-Jul25'!BC185,"",'1. Live'!BC185-'check-Jul25'!BC185)</f>
        <v/>
      </c>
      <c r="BD185" t="str">
        <f>IF('1. Live'!BD185='check-Jul25'!BD185,"",'1. Live'!BD185-'check-Jul25'!BD185)</f>
        <v/>
      </c>
      <c r="BE185" t="str">
        <f>IF('1. Live'!BE185='check-Jul25'!BE185,"",'1. Live'!BE185-'check-Jul25'!BE185)</f>
        <v/>
      </c>
      <c r="BF185" t="str">
        <f>IF('1. Live'!BF185='check-Jul25'!BF185,"",'1. Live'!BF185-'check-Jul25'!BF185)</f>
        <v/>
      </c>
      <c r="BG185" t="str">
        <f>IF('1. Live'!BG185='check-Jul25'!BG185,"",'1. Live'!BG185-'check-Jul25'!BG185)</f>
        <v/>
      </c>
      <c r="BH185" t="str">
        <f>IF('1. Live'!BH185='check-Jul25'!BH185,"",'1. Live'!BH185-'check-Jul25'!BH185)</f>
        <v/>
      </c>
      <c r="BI185" t="str">
        <f>IF('1. Live'!BI185='check-Jul25'!BI185,"",'1. Live'!BI185-'check-Jul25'!BI185)</f>
        <v/>
      </c>
      <c r="BJ185" t="str">
        <f>IF('1. Live'!BJ185='check-Jul25'!BJ185,"",'1. Live'!BJ185-'check-Jul25'!BJ185)</f>
        <v/>
      </c>
      <c r="BK185" t="str">
        <f>IF('1. Live'!BK185='check-Jul25'!BK185,"",'1. Live'!BK185-'check-Jul25'!BK185)</f>
        <v/>
      </c>
      <c r="BL185" t="str">
        <f>IF('1. Live'!BL185='check-Jul25'!BL185,"",'1. Live'!BL185-'check-Jul25'!BL185)</f>
        <v/>
      </c>
      <c r="BM185" t="str">
        <f>IF('1. Live'!BM185='check-Jul25'!BM185,"",'1. Live'!BM185-'check-Jul25'!BM185)</f>
        <v/>
      </c>
      <c r="BN185" t="str">
        <f>IF('1. Live'!BN185='check-Jul25'!BN185,"",'1. Live'!BN185-'check-Jul25'!BN185)</f>
        <v/>
      </c>
      <c r="BO185" t="str">
        <f>IF('1. Live'!BO185='check-Jul25'!BO185,"",'1. Live'!BO185-'check-Jul25'!BO185)</f>
        <v/>
      </c>
      <c r="BP185" t="str">
        <f>IF('1. Live'!BP185='check-Jul25'!BP185,"",'1. Live'!BP185-'check-Jul25'!BP185)</f>
        <v/>
      </c>
      <c r="BQ185" t="str">
        <f>IF('1. Live'!BQ185='check-Jul25'!BQ185,"",'1. Live'!BQ185-'check-Jul25'!BQ185)</f>
        <v/>
      </c>
      <c r="BR185" t="str">
        <f>IF('1. Live'!BR185='check-Jul25'!BR185,"",'1. Live'!BR185-'check-Jul25'!BR185)</f>
        <v/>
      </c>
      <c r="BS185" t="str">
        <f>IF('1. Live'!BS185='check-Jul25'!BS185,"",'1. Live'!BS185-'check-Jul25'!BS185)</f>
        <v/>
      </c>
      <c r="BT185" t="str">
        <f>IF('1. Live'!BT185='check-Jul25'!BT185,"",'1. Live'!BT185-'check-Jul25'!BT185)</f>
        <v/>
      </c>
      <c r="BU185" t="str">
        <f>IF('1. Live'!BU185='check-Jul25'!BU185,"",'1. Live'!BU185-'check-Jul25'!BU185)</f>
        <v/>
      </c>
      <c r="BV185" t="str">
        <f>IF('1. Live'!BV185='check-Jul25'!BV185,"",'1. Live'!BV185-'check-Jul25'!BV185)</f>
        <v/>
      </c>
      <c r="BW185" t="str">
        <f>IF('1. Live'!BW185='check-Jul25'!BW185,"",'1. Live'!BW185-'check-Jul25'!BW185)</f>
        <v/>
      </c>
      <c r="BX185" t="str">
        <f>IF('1. Live'!BX185='check-Jul25'!BX185,"",'1. Live'!BX185-'check-Jul25'!BX185)</f>
        <v/>
      </c>
      <c r="BY185" t="str">
        <f>IF('1. Live'!BY185='check-Jul25'!BY185,"",'1. Live'!BY185-'check-Jul25'!BY185)</f>
        <v/>
      </c>
      <c r="BZ185" t="str">
        <f>IF('1. Live'!BZ185='check-Jul25'!BZ185,"",'1. Live'!BZ185-'check-Jul25'!BZ185)</f>
        <v/>
      </c>
      <c r="CA185" t="str">
        <f>IF('1. Live'!CA185='check-Jul25'!CA185,"",'1. Live'!CA185-'check-Jul25'!CA185)</f>
        <v/>
      </c>
      <c r="CB185" t="str">
        <f>IF('1. Live'!CB185='check-Jul25'!CB185,"",'1. Live'!CB185-'check-Jul25'!CB185)</f>
        <v/>
      </c>
      <c r="CC185" t="str">
        <f>IF('1. Live'!CC185='check-Jul25'!CC185,"",'1. Live'!CC185-'check-Jul25'!CC185)</f>
        <v/>
      </c>
      <c r="CD185" t="str">
        <f>IF('1. Live'!CD185='check-Jul25'!CD185,"",'1. Live'!CD185-'check-Jul25'!CD185)</f>
        <v/>
      </c>
      <c r="CE185" t="str">
        <f>IF('1. Live'!CE185='check-Jul25'!CE185,"",'1. Live'!CE185-'check-Jul25'!CE185)</f>
        <v/>
      </c>
      <c r="CF185" t="str">
        <f>IF('1. Live'!CF185='check-Jul25'!CF185,"",'1. Live'!CF185-'check-Jul25'!CF185)</f>
        <v/>
      </c>
      <c r="CG185" t="str">
        <f>IF('1. Live'!CG185='check-Jul25'!CG185,"",'1. Live'!CG185-'check-Jul25'!CG185)</f>
        <v/>
      </c>
      <c r="CH185" t="str">
        <f>IF('1. Live'!CH185='check-Jul25'!CH185,"",'1. Live'!CH185-'check-Jul25'!CH185)</f>
        <v/>
      </c>
      <c r="CI185" t="str">
        <f>IF('1. Live'!CI185='check-Jul25'!CI185,"",'1. Live'!CI185-'check-Jul25'!CI185)</f>
        <v/>
      </c>
      <c r="CJ185" t="str">
        <f>IF('1. Live'!CJ185='check-Jul25'!CJ185,"",'1. Live'!CJ185-'check-Jul25'!CJ185)</f>
        <v/>
      </c>
      <c r="CK185" t="str">
        <f>IF('1. Live'!CK185='check-Jul25'!CK185,"",'1. Live'!CK185-'check-Jul25'!CK185)</f>
        <v/>
      </c>
      <c r="CL185" t="str">
        <f>IF('1. Live'!CL185='check-Jul25'!CL185,"",'1. Live'!CL185-'check-Jul25'!CL185)</f>
        <v/>
      </c>
      <c r="CM185" t="str">
        <f>IF('1. Live'!CM185='check-Jul25'!CM185,"",'1. Live'!CM185-'check-Jul25'!CM185)</f>
        <v/>
      </c>
      <c r="CN185" t="str">
        <f>IF('1. Live'!CN185='check-Jul25'!CN185,"",'1. Live'!CN185-'check-Jul25'!CN185)</f>
        <v/>
      </c>
      <c r="CO185" t="str">
        <f>IF('1. Live'!CO185='check-Jul25'!CO185,"",'1. Live'!CO185-'check-Jul25'!CO185)</f>
        <v/>
      </c>
      <c r="CP185" t="str">
        <f>IF('1. Live'!CP185='check-Jul25'!CP185,"",'1. Live'!CP185-'check-Jul25'!CP185)</f>
        <v/>
      </c>
      <c r="CQ185" t="str">
        <f>IF('1. Live'!CQ185='check-Jul25'!CQ185,"",'1. Live'!CQ185-'check-Jul25'!CQ185)</f>
        <v/>
      </c>
      <c r="CR185" t="str">
        <f>IF('1. Live'!CR185='check-Jul25'!CR185,"",'1. Live'!CR185-'check-Jul25'!CR185)</f>
        <v/>
      </c>
      <c r="CS185" t="str">
        <f>IF('1. Live'!CS185='check-Jul25'!CS185,"",'1. Live'!CS185-'check-Jul25'!CS185)</f>
        <v/>
      </c>
      <c r="CT185" t="str">
        <f>IF('1. Live'!CT185='check-Jul25'!CT185,"",'1. Live'!CT185-'check-Jul25'!CT185)</f>
        <v/>
      </c>
      <c r="CU185" t="str">
        <f>IF('1. Live'!CU185='check-Jul25'!CU185,"",'1. Live'!CU185-'check-Jul25'!CU185)</f>
        <v/>
      </c>
      <c r="CV185" t="str">
        <f>IF('1. Live'!CV185='check-Jul25'!CV185,"",'1. Live'!CV185-'check-Jul25'!CV185)</f>
        <v/>
      </c>
      <c r="CW185" t="str">
        <f>IF('1. Live'!CW185='check-Jul25'!CW185,"",'1. Live'!CW185-'check-Jul25'!CW185)</f>
        <v/>
      </c>
    </row>
    <row r="186" spans="10:101">
      <c r="J186" t="str">
        <f>IF('1. Live'!J186='check-Jul25'!J186,"",'1. Live'!J186-'check-Jul25'!J186)</f>
        <v/>
      </c>
      <c r="K186" t="str">
        <f>IF('1. Live'!K186='check-Jul25'!K186,"",'1. Live'!K186-'check-Jul25'!K186)</f>
        <v/>
      </c>
      <c r="L186" t="str">
        <f>IF('1. Live'!L186='check-Jul25'!L186,"",'1. Live'!L186-'check-Jul25'!L186)</f>
        <v/>
      </c>
      <c r="M186" t="str">
        <f>IF('1. Live'!M186='check-Jul25'!M186,"",'1. Live'!M186-'check-Jul25'!M186)</f>
        <v/>
      </c>
      <c r="N186" t="str">
        <f>IF('1. Live'!N186='check-Jul25'!N186,"",'1. Live'!N186-'check-Jul25'!N186)</f>
        <v/>
      </c>
      <c r="O186" t="str">
        <f>IF('1. Live'!O186='check-Jul25'!O186,"",'1. Live'!O186-'check-Jul25'!O186)</f>
        <v/>
      </c>
      <c r="P186" t="str">
        <f>IF('1. Live'!P186='check-Jul25'!P186,"",'1. Live'!P186-'check-Jul25'!P186)</f>
        <v/>
      </c>
      <c r="Q186" t="str">
        <f>IF('1. Live'!Q186='check-Jul25'!Q186,"",'1. Live'!Q186-'check-Jul25'!Q186)</f>
        <v/>
      </c>
      <c r="R186" t="str">
        <f>IF('1. Live'!R186='check-Jul25'!R186,"",'1. Live'!R186-'check-Jul25'!R186)</f>
        <v/>
      </c>
      <c r="S186" t="str">
        <f>IF('1. Live'!S186='check-Jul25'!S186,"",'1. Live'!S186-'check-Jul25'!S186)</f>
        <v/>
      </c>
      <c r="T186" t="str">
        <f>IF('1. Live'!T186='check-Jul25'!T186,"",'1. Live'!T186-'check-Jul25'!T186)</f>
        <v/>
      </c>
      <c r="U186" t="str">
        <f>IF('1. Live'!U186='check-Jul25'!U186,"",'1. Live'!U186-'check-Jul25'!U186)</f>
        <v/>
      </c>
      <c r="V186" t="str">
        <f>IF('1. Live'!V186='check-Jul25'!V186,"",'1. Live'!V186-'check-Jul25'!V186)</f>
        <v/>
      </c>
      <c r="W186" t="str">
        <f>IF('1. Live'!W186='check-Jul25'!W186,"",'1. Live'!W186-'check-Jul25'!W186)</f>
        <v/>
      </c>
      <c r="X186" t="str">
        <f>IF('1. Live'!X186='check-Jul25'!X186,"",'1. Live'!X186-'check-Jul25'!X186)</f>
        <v/>
      </c>
      <c r="Y186" t="str">
        <f>IF('1. Live'!Y186='check-Jul25'!Y186,"",'1. Live'!Y186-'check-Jul25'!Y186)</f>
        <v/>
      </c>
      <c r="Z186" t="str">
        <f>IF('1. Live'!Z186='check-Jul25'!Z186,"",'1. Live'!Z186-'check-Jul25'!Z186)</f>
        <v/>
      </c>
      <c r="AA186" t="str">
        <f>IF('1. Live'!AA186='check-Jul25'!AA186,"",'1. Live'!AA186-'check-Jul25'!AA186)</f>
        <v/>
      </c>
      <c r="AB186" t="str">
        <f>IF('1. Live'!AB186='check-Jul25'!AB186,"",'1. Live'!AB186-'check-Jul25'!AB186)</f>
        <v/>
      </c>
      <c r="AC186" t="str">
        <f>IF('1. Live'!AC186='check-Jul25'!AC186,"",'1. Live'!AC186-'check-Jul25'!AC186)</f>
        <v/>
      </c>
      <c r="AD186" t="str">
        <f>IF('1. Live'!AD186='check-Jul25'!AD186,"",'1. Live'!AD186-'check-Jul25'!AD186)</f>
        <v/>
      </c>
      <c r="AE186" t="str">
        <f>IF('1. Live'!AE186='check-Jul25'!AE186,"",'1. Live'!AE186-'check-Jul25'!AE186)</f>
        <v/>
      </c>
      <c r="AF186" t="str">
        <f>IF('1. Live'!AF186='check-Jul25'!AF186,"",'1. Live'!AF186-'check-Jul25'!AF186)</f>
        <v/>
      </c>
      <c r="AG186" t="str">
        <f>IF('1. Live'!AG186='check-Jul25'!AG186,"",'1. Live'!AG186-'check-Jul25'!AG186)</f>
        <v/>
      </c>
      <c r="AH186" t="str">
        <f>IF('1. Live'!AH186='check-Jul25'!AH186,"",'1. Live'!AH186-'check-Jul25'!AH186)</f>
        <v/>
      </c>
      <c r="AI186" t="str">
        <f>IF('1. Live'!AI186='check-Jul25'!AI186,"",'1. Live'!AI186-'check-Jul25'!AI186)</f>
        <v/>
      </c>
      <c r="AJ186" t="str">
        <f>IF('1. Live'!AJ186='check-Jul25'!AJ186,"",'1. Live'!AJ186-'check-Jul25'!AJ186)</f>
        <v/>
      </c>
      <c r="AK186" t="str">
        <f>IF('1. Live'!AK186='check-Jul25'!AK186,"",'1. Live'!AK186-'check-Jul25'!AK186)</f>
        <v/>
      </c>
      <c r="AL186" t="str">
        <f>IF('1. Live'!AL186='check-Jul25'!AL186,"",'1. Live'!AL186-'check-Jul25'!AL186)</f>
        <v/>
      </c>
      <c r="AM186" t="str">
        <f>IF('1. Live'!AM186='check-Jul25'!AM186,"",'1. Live'!AM186-'check-Jul25'!AM186)</f>
        <v/>
      </c>
      <c r="AN186" t="str">
        <f>IF('1. Live'!AN186='check-Jul25'!AN186,"",'1. Live'!AN186-'check-Jul25'!AN186)</f>
        <v/>
      </c>
      <c r="AO186" t="str">
        <f>IF('1. Live'!AO186='check-Jul25'!AO186,"",'1. Live'!AO186-'check-Jul25'!AO186)</f>
        <v/>
      </c>
      <c r="AP186" t="str">
        <f>IF('1. Live'!AP186='check-Jul25'!AP186,"",'1. Live'!AP186-'check-Jul25'!AP186)</f>
        <v/>
      </c>
      <c r="AQ186" t="str">
        <f>IF('1. Live'!AQ186='check-Jul25'!AQ186,"",'1. Live'!AQ186-'check-Jul25'!AQ186)</f>
        <v/>
      </c>
      <c r="AR186" t="str">
        <f>IF('1. Live'!AR186='check-Jul25'!AR186,"",'1. Live'!AR186-'check-Jul25'!AR186)</f>
        <v/>
      </c>
      <c r="AS186" t="str">
        <f>IF('1. Live'!AS186='check-Jul25'!AS186,"",'1. Live'!AS186-'check-Jul25'!AS186)</f>
        <v/>
      </c>
      <c r="AT186" t="str">
        <f>IF('1. Live'!AT186='check-Jul25'!AT186,"",'1. Live'!AT186-'check-Jul25'!AT186)</f>
        <v/>
      </c>
      <c r="AU186" t="str">
        <f>IF('1. Live'!AU186='check-Jul25'!AU186,"",'1. Live'!AU186-'check-Jul25'!AU186)</f>
        <v/>
      </c>
      <c r="AV186" t="str">
        <f>IF('1. Live'!AV186='check-Jul25'!AV186,"",'1. Live'!AV186-'check-Jul25'!AV186)</f>
        <v/>
      </c>
      <c r="AW186" t="str">
        <f>IF('1. Live'!AW186='check-Jul25'!AW186,"",'1. Live'!AW186-'check-Jul25'!AW186)</f>
        <v/>
      </c>
      <c r="AX186" t="str">
        <f>IF('1. Live'!AX186='check-Jul25'!AX186,"",'1. Live'!AX186-'check-Jul25'!AX186)</f>
        <v/>
      </c>
      <c r="AY186" t="str">
        <f>IF('1. Live'!AY186='check-Jul25'!AY186,"",'1. Live'!AY186-'check-Jul25'!AY186)</f>
        <v/>
      </c>
      <c r="AZ186" t="str">
        <f>IF('1. Live'!AZ186='check-Jul25'!AZ186,"",'1. Live'!AZ186-'check-Jul25'!AZ186)</f>
        <v/>
      </c>
      <c r="BA186" t="str">
        <f>IF('1. Live'!BA186='check-Jul25'!BA186,"",'1. Live'!BA186-'check-Jul25'!BA186)</f>
        <v/>
      </c>
      <c r="BB186" t="str">
        <f>IF('1. Live'!BB186='check-Jul25'!BB186,"",'1. Live'!BB186-'check-Jul25'!BB186)</f>
        <v/>
      </c>
      <c r="BC186" t="str">
        <f>IF('1. Live'!BC186='check-Jul25'!BC186,"",'1. Live'!BC186-'check-Jul25'!BC186)</f>
        <v/>
      </c>
      <c r="BD186" t="str">
        <f>IF('1. Live'!BD186='check-Jul25'!BD186,"",'1. Live'!BD186-'check-Jul25'!BD186)</f>
        <v/>
      </c>
      <c r="BE186" t="str">
        <f>IF('1. Live'!BE186='check-Jul25'!BE186,"",'1. Live'!BE186-'check-Jul25'!BE186)</f>
        <v/>
      </c>
      <c r="BF186" t="str">
        <f>IF('1. Live'!BF186='check-Jul25'!BF186,"",'1. Live'!BF186-'check-Jul25'!BF186)</f>
        <v/>
      </c>
      <c r="BG186" t="str">
        <f>IF('1. Live'!BG186='check-Jul25'!BG186,"",'1. Live'!BG186-'check-Jul25'!BG186)</f>
        <v/>
      </c>
      <c r="BH186" t="str">
        <f>IF('1. Live'!BH186='check-Jul25'!BH186,"",'1. Live'!BH186-'check-Jul25'!BH186)</f>
        <v/>
      </c>
      <c r="BI186" t="str">
        <f>IF('1. Live'!BI186='check-Jul25'!BI186,"",'1. Live'!BI186-'check-Jul25'!BI186)</f>
        <v/>
      </c>
      <c r="BJ186" t="str">
        <f>IF('1. Live'!BJ186='check-Jul25'!BJ186,"",'1. Live'!BJ186-'check-Jul25'!BJ186)</f>
        <v/>
      </c>
      <c r="BK186" t="str">
        <f>IF('1. Live'!BK186='check-Jul25'!BK186,"",'1. Live'!BK186-'check-Jul25'!BK186)</f>
        <v/>
      </c>
      <c r="BL186" t="str">
        <f>IF('1. Live'!BL186='check-Jul25'!BL186,"",'1. Live'!BL186-'check-Jul25'!BL186)</f>
        <v/>
      </c>
      <c r="BM186" t="str">
        <f>IF('1. Live'!BM186='check-Jul25'!BM186,"",'1. Live'!BM186-'check-Jul25'!BM186)</f>
        <v/>
      </c>
      <c r="BN186" t="str">
        <f>IF('1. Live'!BN186='check-Jul25'!BN186,"",'1. Live'!BN186-'check-Jul25'!BN186)</f>
        <v/>
      </c>
      <c r="BO186" t="str">
        <f>IF('1. Live'!BO186='check-Jul25'!BO186,"",'1. Live'!BO186-'check-Jul25'!BO186)</f>
        <v/>
      </c>
      <c r="BP186" t="str">
        <f>IF('1. Live'!BP186='check-Jul25'!BP186,"",'1. Live'!BP186-'check-Jul25'!BP186)</f>
        <v/>
      </c>
      <c r="BQ186" t="str">
        <f>IF('1. Live'!BQ186='check-Jul25'!BQ186,"",'1. Live'!BQ186-'check-Jul25'!BQ186)</f>
        <v/>
      </c>
      <c r="BR186" t="str">
        <f>IF('1. Live'!BR186='check-Jul25'!BR186,"",'1. Live'!BR186-'check-Jul25'!BR186)</f>
        <v/>
      </c>
      <c r="BS186" t="str">
        <f>IF('1. Live'!BS186='check-Jul25'!BS186,"",'1. Live'!BS186-'check-Jul25'!BS186)</f>
        <v/>
      </c>
      <c r="BT186" t="str">
        <f>IF('1. Live'!BT186='check-Jul25'!BT186,"",'1. Live'!BT186-'check-Jul25'!BT186)</f>
        <v/>
      </c>
      <c r="BU186" t="str">
        <f>IF('1. Live'!BU186='check-Jul25'!BU186,"",'1. Live'!BU186-'check-Jul25'!BU186)</f>
        <v/>
      </c>
      <c r="BV186" t="str">
        <f>IF('1. Live'!BV186='check-Jul25'!BV186,"",'1. Live'!BV186-'check-Jul25'!BV186)</f>
        <v/>
      </c>
      <c r="BW186" t="str">
        <f>IF('1. Live'!BW186='check-Jul25'!BW186,"",'1. Live'!BW186-'check-Jul25'!BW186)</f>
        <v/>
      </c>
      <c r="BX186" t="str">
        <f>IF('1. Live'!BX186='check-Jul25'!BX186,"",'1. Live'!BX186-'check-Jul25'!BX186)</f>
        <v/>
      </c>
      <c r="BY186" t="str">
        <f>IF('1. Live'!BY186='check-Jul25'!BY186,"",'1. Live'!BY186-'check-Jul25'!BY186)</f>
        <v/>
      </c>
      <c r="BZ186" t="str">
        <f>IF('1. Live'!BZ186='check-Jul25'!BZ186,"",'1. Live'!BZ186-'check-Jul25'!BZ186)</f>
        <v/>
      </c>
      <c r="CA186" t="str">
        <f>IF('1. Live'!CA186='check-Jul25'!CA186,"",'1. Live'!CA186-'check-Jul25'!CA186)</f>
        <v/>
      </c>
      <c r="CB186" t="str">
        <f>IF('1. Live'!CB186='check-Jul25'!CB186,"",'1. Live'!CB186-'check-Jul25'!CB186)</f>
        <v/>
      </c>
      <c r="CC186" t="str">
        <f>IF('1. Live'!CC186='check-Jul25'!CC186,"",'1. Live'!CC186-'check-Jul25'!CC186)</f>
        <v/>
      </c>
      <c r="CD186" t="str">
        <f>IF('1. Live'!CD186='check-Jul25'!CD186,"",'1. Live'!CD186-'check-Jul25'!CD186)</f>
        <v/>
      </c>
      <c r="CE186" t="str">
        <f>IF('1. Live'!CE186='check-Jul25'!CE186,"",'1. Live'!CE186-'check-Jul25'!CE186)</f>
        <v/>
      </c>
      <c r="CF186" t="str">
        <f>IF('1. Live'!CF186='check-Jul25'!CF186,"",'1. Live'!CF186-'check-Jul25'!CF186)</f>
        <v/>
      </c>
      <c r="CG186" t="str">
        <f>IF('1. Live'!CG186='check-Jul25'!CG186,"",'1. Live'!CG186-'check-Jul25'!CG186)</f>
        <v/>
      </c>
      <c r="CH186" t="str">
        <f>IF('1. Live'!CH186='check-Jul25'!CH186,"",'1. Live'!CH186-'check-Jul25'!CH186)</f>
        <v/>
      </c>
      <c r="CI186" t="str">
        <f>IF('1. Live'!CI186='check-Jul25'!CI186,"",'1. Live'!CI186-'check-Jul25'!CI186)</f>
        <v/>
      </c>
      <c r="CJ186" t="str">
        <f>IF('1. Live'!CJ186='check-Jul25'!CJ186,"",'1. Live'!CJ186-'check-Jul25'!CJ186)</f>
        <v/>
      </c>
      <c r="CK186" t="str">
        <f>IF('1. Live'!CK186='check-Jul25'!CK186,"",'1. Live'!CK186-'check-Jul25'!CK186)</f>
        <v/>
      </c>
      <c r="CL186" t="str">
        <f>IF('1. Live'!CL186='check-Jul25'!CL186,"",'1. Live'!CL186-'check-Jul25'!CL186)</f>
        <v/>
      </c>
      <c r="CM186" t="str">
        <f>IF('1. Live'!CM186='check-Jul25'!CM186,"",'1. Live'!CM186-'check-Jul25'!CM186)</f>
        <v/>
      </c>
      <c r="CN186" t="str">
        <f>IF('1. Live'!CN186='check-Jul25'!CN186,"",'1. Live'!CN186-'check-Jul25'!CN186)</f>
        <v/>
      </c>
      <c r="CO186" t="str">
        <f>IF('1. Live'!CO186='check-Jul25'!CO186,"",'1. Live'!CO186-'check-Jul25'!CO186)</f>
        <v/>
      </c>
      <c r="CP186" t="str">
        <f>IF('1. Live'!CP186='check-Jul25'!CP186,"",'1. Live'!CP186-'check-Jul25'!CP186)</f>
        <v/>
      </c>
      <c r="CQ186" t="str">
        <f>IF('1. Live'!CQ186='check-Jul25'!CQ186,"",'1. Live'!CQ186-'check-Jul25'!CQ186)</f>
        <v/>
      </c>
      <c r="CR186" t="str">
        <f>IF('1. Live'!CR186='check-Jul25'!CR186,"",'1. Live'!CR186-'check-Jul25'!CR186)</f>
        <v/>
      </c>
      <c r="CS186" t="str">
        <f>IF('1. Live'!CS186='check-Jul25'!CS186,"",'1. Live'!CS186-'check-Jul25'!CS186)</f>
        <v/>
      </c>
      <c r="CT186" t="str">
        <f>IF('1. Live'!CT186='check-Jul25'!CT186,"",'1. Live'!CT186-'check-Jul25'!CT186)</f>
        <v/>
      </c>
      <c r="CU186" t="str">
        <f>IF('1. Live'!CU186='check-Jul25'!CU186,"",'1. Live'!CU186-'check-Jul25'!CU186)</f>
        <v/>
      </c>
      <c r="CV186" t="str">
        <f>IF('1. Live'!CV186='check-Jul25'!CV186,"",'1. Live'!CV186-'check-Jul25'!CV186)</f>
        <v/>
      </c>
      <c r="CW186" t="str">
        <f>IF('1. Live'!CW186='check-Jul25'!CW186,"",'1. Live'!CW186-'check-Jul25'!CW186)</f>
        <v/>
      </c>
    </row>
    <row r="187" spans="10:101">
      <c r="J187" t="str">
        <f>IF('1. Live'!J187='check-Jul25'!J187,"",'1. Live'!J187-'check-Jul25'!J187)</f>
        <v/>
      </c>
      <c r="K187" t="str">
        <f>IF('1. Live'!K187='check-Jul25'!K187,"",'1. Live'!K187-'check-Jul25'!K187)</f>
        <v/>
      </c>
      <c r="L187" t="str">
        <f>IF('1. Live'!L187='check-Jul25'!L187,"",'1. Live'!L187-'check-Jul25'!L187)</f>
        <v/>
      </c>
      <c r="M187" t="str">
        <f>IF('1. Live'!M187='check-Jul25'!M187,"",'1. Live'!M187-'check-Jul25'!M187)</f>
        <v/>
      </c>
      <c r="N187" t="str">
        <f>IF('1. Live'!N187='check-Jul25'!N187,"",'1. Live'!N187-'check-Jul25'!N187)</f>
        <v/>
      </c>
      <c r="O187" t="str">
        <f>IF('1. Live'!O187='check-Jul25'!O187,"",'1. Live'!O187-'check-Jul25'!O187)</f>
        <v/>
      </c>
      <c r="P187" t="str">
        <f>IF('1. Live'!P187='check-Jul25'!P187,"",'1. Live'!P187-'check-Jul25'!P187)</f>
        <v/>
      </c>
      <c r="Q187" t="str">
        <f>IF('1. Live'!Q187='check-Jul25'!Q187,"",'1. Live'!Q187-'check-Jul25'!Q187)</f>
        <v/>
      </c>
      <c r="R187" t="str">
        <f>IF('1. Live'!R187='check-Jul25'!R187,"",'1. Live'!R187-'check-Jul25'!R187)</f>
        <v/>
      </c>
      <c r="S187" t="str">
        <f>IF('1. Live'!S187='check-Jul25'!S187,"",'1. Live'!S187-'check-Jul25'!S187)</f>
        <v/>
      </c>
      <c r="T187" t="str">
        <f>IF('1. Live'!T187='check-Jul25'!T187,"",'1. Live'!T187-'check-Jul25'!T187)</f>
        <v/>
      </c>
      <c r="U187" t="str">
        <f>IF('1. Live'!U187='check-Jul25'!U187,"",'1. Live'!U187-'check-Jul25'!U187)</f>
        <v/>
      </c>
      <c r="V187" t="str">
        <f>IF('1. Live'!V187='check-Jul25'!V187,"",'1. Live'!V187-'check-Jul25'!V187)</f>
        <v/>
      </c>
      <c r="W187" t="str">
        <f>IF('1. Live'!W187='check-Jul25'!W187,"",'1. Live'!W187-'check-Jul25'!W187)</f>
        <v/>
      </c>
      <c r="X187" t="str">
        <f>IF('1. Live'!X187='check-Jul25'!X187,"",'1. Live'!X187-'check-Jul25'!X187)</f>
        <v/>
      </c>
      <c r="Y187" t="str">
        <f>IF('1. Live'!Y187='check-Jul25'!Y187,"",'1. Live'!Y187-'check-Jul25'!Y187)</f>
        <v/>
      </c>
      <c r="Z187" t="str">
        <f>IF('1. Live'!Z187='check-Jul25'!Z187,"",'1. Live'!Z187-'check-Jul25'!Z187)</f>
        <v/>
      </c>
      <c r="AA187" t="str">
        <f>IF('1. Live'!AA187='check-Jul25'!AA187,"",'1. Live'!AA187-'check-Jul25'!AA187)</f>
        <v/>
      </c>
      <c r="AB187" t="str">
        <f>IF('1. Live'!AB187='check-Jul25'!AB187,"",'1. Live'!AB187-'check-Jul25'!AB187)</f>
        <v/>
      </c>
      <c r="AC187" t="str">
        <f>IF('1. Live'!AC187='check-Jul25'!AC187,"",'1. Live'!AC187-'check-Jul25'!AC187)</f>
        <v/>
      </c>
      <c r="AD187" t="str">
        <f>IF('1. Live'!AD187='check-Jul25'!AD187,"",'1. Live'!AD187-'check-Jul25'!AD187)</f>
        <v/>
      </c>
      <c r="AE187" t="str">
        <f>IF('1. Live'!AE187='check-Jul25'!AE187,"",'1. Live'!AE187-'check-Jul25'!AE187)</f>
        <v/>
      </c>
      <c r="AF187" t="str">
        <f>IF('1. Live'!AF187='check-Jul25'!AF187,"",'1. Live'!AF187-'check-Jul25'!AF187)</f>
        <v/>
      </c>
      <c r="AG187" t="str">
        <f>IF('1. Live'!AG187='check-Jul25'!AG187,"",'1. Live'!AG187-'check-Jul25'!AG187)</f>
        <v/>
      </c>
      <c r="AH187" t="str">
        <f>IF('1. Live'!AH187='check-Jul25'!AH187,"",'1. Live'!AH187-'check-Jul25'!AH187)</f>
        <v/>
      </c>
      <c r="AI187" t="str">
        <f>IF('1. Live'!AI187='check-Jul25'!AI187,"",'1. Live'!AI187-'check-Jul25'!AI187)</f>
        <v/>
      </c>
      <c r="AJ187" t="str">
        <f>IF('1. Live'!AJ187='check-Jul25'!AJ187,"",'1. Live'!AJ187-'check-Jul25'!AJ187)</f>
        <v/>
      </c>
      <c r="AK187" t="str">
        <f>IF('1. Live'!AK187='check-Jul25'!AK187,"",'1. Live'!AK187-'check-Jul25'!AK187)</f>
        <v/>
      </c>
      <c r="AL187" t="str">
        <f>IF('1. Live'!AL187='check-Jul25'!AL187,"",'1. Live'!AL187-'check-Jul25'!AL187)</f>
        <v/>
      </c>
      <c r="AM187" t="str">
        <f>IF('1. Live'!AM187='check-Jul25'!AM187,"",'1. Live'!AM187-'check-Jul25'!AM187)</f>
        <v/>
      </c>
      <c r="AN187" t="str">
        <f>IF('1. Live'!AN187='check-Jul25'!AN187,"",'1. Live'!AN187-'check-Jul25'!AN187)</f>
        <v/>
      </c>
      <c r="AO187" t="str">
        <f>IF('1. Live'!AO187='check-Jul25'!AO187,"",'1. Live'!AO187-'check-Jul25'!AO187)</f>
        <v/>
      </c>
      <c r="AP187" t="str">
        <f>IF('1. Live'!AP187='check-Jul25'!AP187,"",'1. Live'!AP187-'check-Jul25'!AP187)</f>
        <v/>
      </c>
      <c r="AQ187" t="str">
        <f>IF('1. Live'!AQ187='check-Jul25'!AQ187,"",'1. Live'!AQ187-'check-Jul25'!AQ187)</f>
        <v/>
      </c>
      <c r="AR187" t="str">
        <f>IF('1. Live'!AR187='check-Jul25'!AR187,"",'1. Live'!AR187-'check-Jul25'!AR187)</f>
        <v/>
      </c>
      <c r="AS187" t="str">
        <f>IF('1. Live'!AS187='check-Jul25'!AS187,"",'1. Live'!AS187-'check-Jul25'!AS187)</f>
        <v/>
      </c>
      <c r="AT187" t="str">
        <f>IF('1. Live'!AT187='check-Jul25'!AT187,"",'1. Live'!AT187-'check-Jul25'!AT187)</f>
        <v/>
      </c>
      <c r="AU187" t="str">
        <f>IF('1. Live'!AU187='check-Jul25'!AU187,"",'1. Live'!AU187-'check-Jul25'!AU187)</f>
        <v/>
      </c>
      <c r="AV187" t="str">
        <f>IF('1. Live'!AV187='check-Jul25'!AV187,"",'1. Live'!AV187-'check-Jul25'!AV187)</f>
        <v/>
      </c>
      <c r="AW187" t="str">
        <f>IF('1. Live'!AW187='check-Jul25'!AW187,"",'1. Live'!AW187-'check-Jul25'!AW187)</f>
        <v/>
      </c>
      <c r="AX187" t="str">
        <f>IF('1. Live'!AX187='check-Jul25'!AX187,"",'1. Live'!AX187-'check-Jul25'!AX187)</f>
        <v/>
      </c>
      <c r="AY187" t="str">
        <f>IF('1. Live'!AY187='check-Jul25'!AY187,"",'1. Live'!AY187-'check-Jul25'!AY187)</f>
        <v/>
      </c>
      <c r="AZ187" t="str">
        <f>IF('1. Live'!AZ187='check-Jul25'!AZ187,"",'1. Live'!AZ187-'check-Jul25'!AZ187)</f>
        <v/>
      </c>
      <c r="BA187" t="str">
        <f>IF('1. Live'!BA187='check-Jul25'!BA187,"",'1. Live'!BA187-'check-Jul25'!BA187)</f>
        <v/>
      </c>
      <c r="BB187" t="str">
        <f>IF('1. Live'!BB187='check-Jul25'!BB187,"",'1. Live'!BB187-'check-Jul25'!BB187)</f>
        <v/>
      </c>
      <c r="BC187" t="str">
        <f>IF('1. Live'!BC187='check-Jul25'!BC187,"",'1. Live'!BC187-'check-Jul25'!BC187)</f>
        <v/>
      </c>
      <c r="BD187" t="str">
        <f>IF('1. Live'!BD187='check-Jul25'!BD187,"",'1. Live'!BD187-'check-Jul25'!BD187)</f>
        <v/>
      </c>
      <c r="BE187" t="str">
        <f>IF('1. Live'!BE187='check-Jul25'!BE187,"",'1. Live'!BE187-'check-Jul25'!BE187)</f>
        <v/>
      </c>
      <c r="BF187" t="str">
        <f>IF('1. Live'!BF187='check-Jul25'!BF187,"",'1. Live'!BF187-'check-Jul25'!BF187)</f>
        <v/>
      </c>
      <c r="BG187" t="str">
        <f>IF('1. Live'!BG187='check-Jul25'!BG187,"",'1. Live'!BG187-'check-Jul25'!BG187)</f>
        <v/>
      </c>
      <c r="BH187" t="str">
        <f>IF('1. Live'!BH187='check-Jul25'!BH187,"",'1. Live'!BH187-'check-Jul25'!BH187)</f>
        <v/>
      </c>
      <c r="BI187" t="str">
        <f>IF('1. Live'!BI187='check-Jul25'!BI187,"",'1. Live'!BI187-'check-Jul25'!BI187)</f>
        <v/>
      </c>
      <c r="BJ187" t="str">
        <f>IF('1. Live'!BJ187='check-Jul25'!BJ187,"",'1. Live'!BJ187-'check-Jul25'!BJ187)</f>
        <v/>
      </c>
      <c r="BK187" t="str">
        <f>IF('1. Live'!BK187='check-Jul25'!BK187,"",'1. Live'!BK187-'check-Jul25'!BK187)</f>
        <v/>
      </c>
      <c r="BL187" t="str">
        <f>IF('1. Live'!BL187='check-Jul25'!BL187,"",'1. Live'!BL187-'check-Jul25'!BL187)</f>
        <v/>
      </c>
      <c r="BM187" t="str">
        <f>IF('1. Live'!BM187='check-Jul25'!BM187,"",'1. Live'!BM187-'check-Jul25'!BM187)</f>
        <v/>
      </c>
      <c r="BN187" t="str">
        <f>IF('1. Live'!BN187='check-Jul25'!BN187,"",'1. Live'!BN187-'check-Jul25'!BN187)</f>
        <v/>
      </c>
      <c r="BO187" t="str">
        <f>IF('1. Live'!BO187='check-Jul25'!BO187,"",'1. Live'!BO187-'check-Jul25'!BO187)</f>
        <v/>
      </c>
      <c r="BP187" t="str">
        <f>IF('1. Live'!BP187='check-Jul25'!BP187,"",'1. Live'!BP187-'check-Jul25'!BP187)</f>
        <v/>
      </c>
      <c r="BQ187" t="str">
        <f>IF('1. Live'!BQ187='check-Jul25'!BQ187,"",'1. Live'!BQ187-'check-Jul25'!BQ187)</f>
        <v/>
      </c>
      <c r="BR187" t="str">
        <f>IF('1. Live'!BR187='check-Jul25'!BR187,"",'1. Live'!BR187-'check-Jul25'!BR187)</f>
        <v/>
      </c>
      <c r="BS187" t="str">
        <f>IF('1. Live'!BS187='check-Jul25'!BS187,"",'1. Live'!BS187-'check-Jul25'!BS187)</f>
        <v/>
      </c>
      <c r="BT187" t="str">
        <f>IF('1. Live'!BT187='check-Jul25'!BT187,"",'1. Live'!BT187-'check-Jul25'!BT187)</f>
        <v/>
      </c>
      <c r="BU187" t="str">
        <f>IF('1. Live'!BU187='check-Jul25'!BU187,"",'1. Live'!BU187-'check-Jul25'!BU187)</f>
        <v/>
      </c>
      <c r="BV187" t="str">
        <f>IF('1. Live'!BV187='check-Jul25'!BV187,"",'1. Live'!BV187-'check-Jul25'!BV187)</f>
        <v/>
      </c>
      <c r="BW187" t="str">
        <f>IF('1. Live'!BW187='check-Jul25'!BW187,"",'1. Live'!BW187-'check-Jul25'!BW187)</f>
        <v/>
      </c>
      <c r="BX187" t="str">
        <f>IF('1. Live'!BX187='check-Jul25'!BX187,"",'1. Live'!BX187-'check-Jul25'!BX187)</f>
        <v/>
      </c>
      <c r="BY187" t="str">
        <f>IF('1. Live'!BY187='check-Jul25'!BY187,"",'1. Live'!BY187-'check-Jul25'!BY187)</f>
        <v/>
      </c>
      <c r="BZ187" t="str">
        <f>IF('1. Live'!BZ187='check-Jul25'!BZ187,"",'1. Live'!BZ187-'check-Jul25'!BZ187)</f>
        <v/>
      </c>
      <c r="CA187" t="str">
        <f>IF('1. Live'!CA187='check-Jul25'!CA187,"",'1. Live'!CA187-'check-Jul25'!CA187)</f>
        <v/>
      </c>
      <c r="CB187" t="str">
        <f>IF('1. Live'!CB187='check-Jul25'!CB187,"",'1. Live'!CB187-'check-Jul25'!CB187)</f>
        <v/>
      </c>
      <c r="CC187" t="str">
        <f>IF('1. Live'!CC187='check-Jul25'!CC187,"",'1. Live'!CC187-'check-Jul25'!CC187)</f>
        <v/>
      </c>
      <c r="CD187" t="str">
        <f>IF('1. Live'!CD187='check-Jul25'!CD187,"",'1. Live'!CD187-'check-Jul25'!CD187)</f>
        <v/>
      </c>
      <c r="CE187" t="str">
        <f>IF('1. Live'!CE187='check-Jul25'!CE187,"",'1. Live'!CE187-'check-Jul25'!CE187)</f>
        <v/>
      </c>
      <c r="CF187" t="str">
        <f>IF('1. Live'!CF187='check-Jul25'!CF187,"",'1. Live'!CF187-'check-Jul25'!CF187)</f>
        <v/>
      </c>
      <c r="CG187" t="str">
        <f>IF('1. Live'!CG187='check-Jul25'!CG187,"",'1. Live'!CG187-'check-Jul25'!CG187)</f>
        <v/>
      </c>
      <c r="CH187" t="str">
        <f>IF('1. Live'!CH187='check-Jul25'!CH187,"",'1. Live'!CH187-'check-Jul25'!CH187)</f>
        <v/>
      </c>
      <c r="CI187" t="str">
        <f>IF('1. Live'!CI187='check-Jul25'!CI187,"",'1. Live'!CI187-'check-Jul25'!CI187)</f>
        <v/>
      </c>
      <c r="CJ187" t="str">
        <f>IF('1. Live'!CJ187='check-Jul25'!CJ187,"",'1. Live'!CJ187-'check-Jul25'!CJ187)</f>
        <v/>
      </c>
      <c r="CK187" t="str">
        <f>IF('1. Live'!CK187='check-Jul25'!CK187,"",'1. Live'!CK187-'check-Jul25'!CK187)</f>
        <v/>
      </c>
      <c r="CL187" t="str">
        <f>IF('1. Live'!CL187='check-Jul25'!CL187,"",'1. Live'!CL187-'check-Jul25'!CL187)</f>
        <v/>
      </c>
      <c r="CM187" t="str">
        <f>IF('1. Live'!CM187='check-Jul25'!CM187,"",'1. Live'!CM187-'check-Jul25'!CM187)</f>
        <v/>
      </c>
      <c r="CN187" t="str">
        <f>IF('1. Live'!CN187='check-Jul25'!CN187,"",'1. Live'!CN187-'check-Jul25'!CN187)</f>
        <v/>
      </c>
      <c r="CO187" t="str">
        <f>IF('1. Live'!CO187='check-Jul25'!CO187,"",'1. Live'!CO187-'check-Jul25'!CO187)</f>
        <v/>
      </c>
      <c r="CP187" t="str">
        <f>IF('1. Live'!CP187='check-Jul25'!CP187,"",'1. Live'!CP187-'check-Jul25'!CP187)</f>
        <v/>
      </c>
      <c r="CQ187" t="str">
        <f>IF('1. Live'!CQ187='check-Jul25'!CQ187,"",'1. Live'!CQ187-'check-Jul25'!CQ187)</f>
        <v/>
      </c>
      <c r="CR187" t="str">
        <f>IF('1. Live'!CR187='check-Jul25'!CR187,"",'1. Live'!CR187-'check-Jul25'!CR187)</f>
        <v/>
      </c>
      <c r="CS187" t="str">
        <f>IF('1. Live'!CS187='check-Jul25'!CS187,"",'1. Live'!CS187-'check-Jul25'!CS187)</f>
        <v/>
      </c>
      <c r="CT187" t="str">
        <f>IF('1. Live'!CT187='check-Jul25'!CT187,"",'1. Live'!CT187-'check-Jul25'!CT187)</f>
        <v/>
      </c>
      <c r="CU187" t="str">
        <f>IF('1. Live'!CU187='check-Jul25'!CU187,"",'1. Live'!CU187-'check-Jul25'!CU187)</f>
        <v/>
      </c>
      <c r="CV187" t="str">
        <f>IF('1. Live'!CV187='check-Jul25'!CV187,"",'1. Live'!CV187-'check-Jul25'!CV187)</f>
        <v/>
      </c>
      <c r="CW187" t="str">
        <f>IF('1. Live'!CW187='check-Jul25'!CW187,"",'1. Live'!CW187-'check-Jul25'!CW187)</f>
        <v/>
      </c>
    </row>
    <row r="188" spans="10:101">
      <c r="J188" t="str">
        <f>IF('1. Live'!J188='check-Jul25'!J188,"",'1. Live'!J188-'check-Jul25'!J188)</f>
        <v/>
      </c>
      <c r="K188" t="str">
        <f>IF('1. Live'!K188='check-Jul25'!K188,"",'1. Live'!K188-'check-Jul25'!K188)</f>
        <v/>
      </c>
      <c r="L188" t="str">
        <f>IF('1. Live'!L188='check-Jul25'!L188,"",'1. Live'!L188-'check-Jul25'!L188)</f>
        <v/>
      </c>
      <c r="M188" t="str">
        <f>IF('1. Live'!M188='check-Jul25'!M188,"",'1. Live'!M188-'check-Jul25'!M188)</f>
        <v/>
      </c>
      <c r="N188" t="str">
        <f>IF('1. Live'!N188='check-Jul25'!N188,"",'1. Live'!N188-'check-Jul25'!N188)</f>
        <v/>
      </c>
      <c r="O188" t="str">
        <f>IF('1. Live'!O188='check-Jul25'!O188,"",'1. Live'!O188-'check-Jul25'!O188)</f>
        <v/>
      </c>
      <c r="P188" t="str">
        <f>IF('1. Live'!P188='check-Jul25'!P188,"",'1. Live'!P188-'check-Jul25'!P188)</f>
        <v/>
      </c>
      <c r="Q188" t="str">
        <f>IF('1. Live'!Q188='check-Jul25'!Q188,"",'1. Live'!Q188-'check-Jul25'!Q188)</f>
        <v/>
      </c>
      <c r="R188" t="str">
        <f>IF('1. Live'!R188='check-Jul25'!R188,"",'1. Live'!R188-'check-Jul25'!R188)</f>
        <v/>
      </c>
      <c r="S188" t="str">
        <f>IF('1. Live'!S188='check-Jul25'!S188,"",'1. Live'!S188-'check-Jul25'!S188)</f>
        <v/>
      </c>
      <c r="T188" t="str">
        <f>IF('1. Live'!T188='check-Jul25'!T188,"",'1. Live'!T188-'check-Jul25'!T188)</f>
        <v/>
      </c>
      <c r="U188" t="str">
        <f>IF('1. Live'!U188='check-Jul25'!U188,"",'1. Live'!U188-'check-Jul25'!U188)</f>
        <v/>
      </c>
      <c r="V188" t="str">
        <f>IF('1. Live'!V188='check-Jul25'!V188,"",'1. Live'!V188-'check-Jul25'!V188)</f>
        <v/>
      </c>
      <c r="W188" t="str">
        <f>IF('1. Live'!W188='check-Jul25'!W188,"",'1. Live'!W188-'check-Jul25'!W188)</f>
        <v/>
      </c>
      <c r="X188" t="str">
        <f>IF('1. Live'!X188='check-Jul25'!X188,"",'1. Live'!X188-'check-Jul25'!X188)</f>
        <v/>
      </c>
      <c r="Y188" t="str">
        <f>IF('1. Live'!Y188='check-Jul25'!Y188,"",'1. Live'!Y188-'check-Jul25'!Y188)</f>
        <v/>
      </c>
      <c r="Z188" t="str">
        <f>IF('1. Live'!Z188='check-Jul25'!Z188,"",'1. Live'!Z188-'check-Jul25'!Z188)</f>
        <v/>
      </c>
      <c r="AA188" t="str">
        <f>IF('1. Live'!AA188='check-Jul25'!AA188,"",'1. Live'!AA188-'check-Jul25'!AA188)</f>
        <v/>
      </c>
      <c r="AB188" t="str">
        <f>IF('1. Live'!AB188='check-Jul25'!AB188,"",'1. Live'!AB188-'check-Jul25'!AB188)</f>
        <v/>
      </c>
      <c r="AC188" t="str">
        <f>IF('1. Live'!AC188='check-Jul25'!AC188,"",'1. Live'!AC188-'check-Jul25'!AC188)</f>
        <v/>
      </c>
      <c r="AD188" t="str">
        <f>IF('1. Live'!AD188='check-Jul25'!AD188,"",'1. Live'!AD188-'check-Jul25'!AD188)</f>
        <v/>
      </c>
      <c r="AE188" t="str">
        <f>IF('1. Live'!AE188='check-Jul25'!AE188,"",'1. Live'!AE188-'check-Jul25'!AE188)</f>
        <v/>
      </c>
      <c r="AF188" t="str">
        <f>IF('1. Live'!AF188='check-Jul25'!AF188,"",'1. Live'!AF188-'check-Jul25'!AF188)</f>
        <v/>
      </c>
      <c r="AG188" t="str">
        <f>IF('1. Live'!AG188='check-Jul25'!AG188,"",'1. Live'!AG188-'check-Jul25'!AG188)</f>
        <v/>
      </c>
      <c r="AH188" t="str">
        <f>IF('1. Live'!AH188='check-Jul25'!AH188,"",'1. Live'!AH188-'check-Jul25'!AH188)</f>
        <v/>
      </c>
      <c r="AI188" t="str">
        <f>IF('1. Live'!AI188='check-Jul25'!AI188,"",'1. Live'!AI188-'check-Jul25'!AI188)</f>
        <v/>
      </c>
      <c r="AJ188" t="str">
        <f>IF('1. Live'!AJ188='check-Jul25'!AJ188,"",'1. Live'!AJ188-'check-Jul25'!AJ188)</f>
        <v/>
      </c>
      <c r="AK188" t="str">
        <f>IF('1. Live'!AK188='check-Jul25'!AK188,"",'1. Live'!AK188-'check-Jul25'!AK188)</f>
        <v/>
      </c>
      <c r="AL188" t="str">
        <f>IF('1. Live'!AL188='check-Jul25'!AL188,"",'1. Live'!AL188-'check-Jul25'!AL188)</f>
        <v/>
      </c>
      <c r="AM188" t="str">
        <f>IF('1. Live'!AM188='check-Jul25'!AM188,"",'1. Live'!AM188-'check-Jul25'!AM188)</f>
        <v/>
      </c>
      <c r="AN188" t="str">
        <f>IF('1. Live'!AN188='check-Jul25'!AN188,"",'1. Live'!AN188-'check-Jul25'!AN188)</f>
        <v/>
      </c>
      <c r="AO188" t="str">
        <f>IF('1. Live'!AO188='check-Jul25'!AO188,"",'1. Live'!AO188-'check-Jul25'!AO188)</f>
        <v/>
      </c>
      <c r="AP188" t="str">
        <f>IF('1. Live'!AP188='check-Jul25'!AP188,"",'1. Live'!AP188-'check-Jul25'!AP188)</f>
        <v/>
      </c>
      <c r="AQ188" t="str">
        <f>IF('1. Live'!AQ188='check-Jul25'!AQ188,"",'1. Live'!AQ188-'check-Jul25'!AQ188)</f>
        <v/>
      </c>
      <c r="AR188" t="str">
        <f>IF('1. Live'!AR188='check-Jul25'!AR188,"",'1. Live'!AR188-'check-Jul25'!AR188)</f>
        <v/>
      </c>
      <c r="AS188" t="str">
        <f>IF('1. Live'!AS188='check-Jul25'!AS188,"",'1. Live'!AS188-'check-Jul25'!AS188)</f>
        <v/>
      </c>
      <c r="AT188" t="str">
        <f>IF('1. Live'!AT188='check-Jul25'!AT188,"",'1. Live'!AT188-'check-Jul25'!AT188)</f>
        <v/>
      </c>
      <c r="AU188" t="str">
        <f>IF('1. Live'!AU188='check-Jul25'!AU188,"",'1. Live'!AU188-'check-Jul25'!AU188)</f>
        <v/>
      </c>
      <c r="AV188" t="str">
        <f>IF('1. Live'!AV188='check-Jul25'!AV188,"",'1. Live'!AV188-'check-Jul25'!AV188)</f>
        <v/>
      </c>
      <c r="AW188" t="str">
        <f>IF('1. Live'!AW188='check-Jul25'!AW188,"",'1. Live'!AW188-'check-Jul25'!AW188)</f>
        <v/>
      </c>
      <c r="AX188" t="str">
        <f>IF('1. Live'!AX188='check-Jul25'!AX188,"",'1. Live'!AX188-'check-Jul25'!AX188)</f>
        <v/>
      </c>
      <c r="AY188" t="str">
        <f>IF('1. Live'!AY188='check-Jul25'!AY188,"",'1. Live'!AY188-'check-Jul25'!AY188)</f>
        <v/>
      </c>
      <c r="AZ188" t="str">
        <f>IF('1. Live'!AZ188='check-Jul25'!AZ188,"",'1. Live'!AZ188-'check-Jul25'!AZ188)</f>
        <v/>
      </c>
      <c r="BA188" t="str">
        <f>IF('1. Live'!BA188='check-Jul25'!BA188,"",'1. Live'!BA188-'check-Jul25'!BA188)</f>
        <v/>
      </c>
      <c r="BB188" t="str">
        <f>IF('1. Live'!BB188='check-Jul25'!BB188,"",'1. Live'!BB188-'check-Jul25'!BB188)</f>
        <v/>
      </c>
      <c r="BC188" t="str">
        <f>IF('1. Live'!BC188='check-Jul25'!BC188,"",'1. Live'!BC188-'check-Jul25'!BC188)</f>
        <v/>
      </c>
      <c r="BD188" t="str">
        <f>IF('1. Live'!BD188='check-Jul25'!BD188,"",'1. Live'!BD188-'check-Jul25'!BD188)</f>
        <v/>
      </c>
      <c r="BE188" t="str">
        <f>IF('1. Live'!BE188='check-Jul25'!BE188,"",'1. Live'!BE188-'check-Jul25'!BE188)</f>
        <v/>
      </c>
      <c r="BF188" t="str">
        <f>IF('1. Live'!BF188='check-Jul25'!BF188,"",'1. Live'!BF188-'check-Jul25'!BF188)</f>
        <v/>
      </c>
      <c r="BG188" t="str">
        <f>IF('1. Live'!BG188='check-Jul25'!BG188,"",'1. Live'!BG188-'check-Jul25'!BG188)</f>
        <v/>
      </c>
      <c r="BH188" t="str">
        <f>IF('1. Live'!BH188='check-Jul25'!BH188,"",'1. Live'!BH188-'check-Jul25'!BH188)</f>
        <v/>
      </c>
      <c r="BI188" t="str">
        <f>IF('1. Live'!BI188='check-Jul25'!BI188,"",'1. Live'!BI188-'check-Jul25'!BI188)</f>
        <v/>
      </c>
      <c r="BJ188" t="str">
        <f>IF('1. Live'!BJ188='check-Jul25'!BJ188,"",'1. Live'!BJ188-'check-Jul25'!BJ188)</f>
        <v/>
      </c>
      <c r="BK188" t="str">
        <f>IF('1. Live'!BK188='check-Jul25'!BK188,"",'1. Live'!BK188-'check-Jul25'!BK188)</f>
        <v/>
      </c>
      <c r="BL188" t="str">
        <f>IF('1. Live'!BL188='check-Jul25'!BL188,"",'1. Live'!BL188-'check-Jul25'!BL188)</f>
        <v/>
      </c>
      <c r="BM188" t="str">
        <f>IF('1. Live'!BM188='check-Jul25'!BM188,"",'1. Live'!BM188-'check-Jul25'!BM188)</f>
        <v/>
      </c>
      <c r="BN188" t="str">
        <f>IF('1. Live'!BN188='check-Jul25'!BN188,"",'1. Live'!BN188-'check-Jul25'!BN188)</f>
        <v/>
      </c>
      <c r="BO188" t="str">
        <f>IF('1. Live'!BO188='check-Jul25'!BO188,"",'1. Live'!BO188-'check-Jul25'!BO188)</f>
        <v/>
      </c>
      <c r="BP188" t="str">
        <f>IF('1. Live'!BP188='check-Jul25'!BP188,"",'1. Live'!BP188-'check-Jul25'!BP188)</f>
        <v/>
      </c>
      <c r="BQ188" t="str">
        <f>IF('1. Live'!BQ188='check-Jul25'!BQ188,"",'1. Live'!BQ188-'check-Jul25'!BQ188)</f>
        <v/>
      </c>
      <c r="BR188" t="str">
        <f>IF('1. Live'!BR188='check-Jul25'!BR188,"",'1. Live'!BR188-'check-Jul25'!BR188)</f>
        <v/>
      </c>
      <c r="BS188" t="str">
        <f>IF('1. Live'!BS188='check-Jul25'!BS188,"",'1. Live'!BS188-'check-Jul25'!BS188)</f>
        <v/>
      </c>
      <c r="BT188" t="str">
        <f>IF('1. Live'!BT188='check-Jul25'!BT188,"",'1. Live'!BT188-'check-Jul25'!BT188)</f>
        <v/>
      </c>
      <c r="BU188" t="str">
        <f>IF('1. Live'!BU188='check-Jul25'!BU188,"",'1. Live'!BU188-'check-Jul25'!BU188)</f>
        <v/>
      </c>
      <c r="BV188" t="str">
        <f>IF('1. Live'!BV188='check-Jul25'!BV188,"",'1. Live'!BV188-'check-Jul25'!BV188)</f>
        <v/>
      </c>
      <c r="BW188" t="str">
        <f>IF('1. Live'!BW188='check-Jul25'!BW188,"",'1. Live'!BW188-'check-Jul25'!BW188)</f>
        <v/>
      </c>
      <c r="BX188" t="str">
        <f>IF('1. Live'!BX188='check-Jul25'!BX188,"",'1. Live'!BX188-'check-Jul25'!BX188)</f>
        <v/>
      </c>
      <c r="BY188" t="str">
        <f>IF('1. Live'!BY188='check-Jul25'!BY188,"",'1. Live'!BY188-'check-Jul25'!BY188)</f>
        <v/>
      </c>
      <c r="BZ188" t="str">
        <f>IF('1. Live'!BZ188='check-Jul25'!BZ188,"",'1. Live'!BZ188-'check-Jul25'!BZ188)</f>
        <v/>
      </c>
      <c r="CA188" t="str">
        <f>IF('1. Live'!CA188='check-Jul25'!CA188,"",'1. Live'!CA188-'check-Jul25'!CA188)</f>
        <v/>
      </c>
      <c r="CB188" t="str">
        <f>IF('1. Live'!CB188='check-Jul25'!CB188,"",'1. Live'!CB188-'check-Jul25'!CB188)</f>
        <v/>
      </c>
      <c r="CC188" t="str">
        <f>IF('1. Live'!CC188='check-Jul25'!CC188,"",'1. Live'!CC188-'check-Jul25'!CC188)</f>
        <v/>
      </c>
      <c r="CD188" t="str">
        <f>IF('1. Live'!CD188='check-Jul25'!CD188,"",'1. Live'!CD188-'check-Jul25'!CD188)</f>
        <v/>
      </c>
      <c r="CE188" t="str">
        <f>IF('1. Live'!CE188='check-Jul25'!CE188,"",'1. Live'!CE188-'check-Jul25'!CE188)</f>
        <v/>
      </c>
      <c r="CF188" t="str">
        <f>IF('1. Live'!CF188='check-Jul25'!CF188,"",'1. Live'!CF188-'check-Jul25'!CF188)</f>
        <v/>
      </c>
      <c r="CG188" t="str">
        <f>IF('1. Live'!CG188='check-Jul25'!CG188,"",'1. Live'!CG188-'check-Jul25'!CG188)</f>
        <v/>
      </c>
      <c r="CH188" t="str">
        <f>IF('1. Live'!CH188='check-Jul25'!CH188,"",'1. Live'!CH188-'check-Jul25'!CH188)</f>
        <v/>
      </c>
      <c r="CI188" t="str">
        <f>IF('1. Live'!CI188='check-Jul25'!CI188,"",'1. Live'!CI188-'check-Jul25'!CI188)</f>
        <v/>
      </c>
      <c r="CJ188" t="str">
        <f>IF('1. Live'!CJ188='check-Jul25'!CJ188,"",'1. Live'!CJ188-'check-Jul25'!CJ188)</f>
        <v/>
      </c>
      <c r="CK188" t="str">
        <f>IF('1. Live'!CK188='check-Jul25'!CK188,"",'1. Live'!CK188-'check-Jul25'!CK188)</f>
        <v/>
      </c>
      <c r="CL188" t="str">
        <f>IF('1. Live'!CL188='check-Jul25'!CL188,"",'1. Live'!CL188-'check-Jul25'!CL188)</f>
        <v/>
      </c>
      <c r="CM188" t="str">
        <f>IF('1. Live'!CM188='check-Jul25'!CM188,"",'1. Live'!CM188-'check-Jul25'!CM188)</f>
        <v/>
      </c>
      <c r="CN188" t="str">
        <f>IF('1. Live'!CN188='check-Jul25'!CN188,"",'1. Live'!CN188-'check-Jul25'!CN188)</f>
        <v/>
      </c>
      <c r="CO188" t="str">
        <f>IF('1. Live'!CO188='check-Jul25'!CO188,"",'1. Live'!CO188-'check-Jul25'!CO188)</f>
        <v/>
      </c>
      <c r="CP188" t="str">
        <f>IF('1. Live'!CP188='check-Jul25'!CP188,"",'1. Live'!CP188-'check-Jul25'!CP188)</f>
        <v/>
      </c>
      <c r="CQ188" t="str">
        <f>IF('1. Live'!CQ188='check-Jul25'!CQ188,"",'1. Live'!CQ188-'check-Jul25'!CQ188)</f>
        <v/>
      </c>
      <c r="CR188" t="str">
        <f>IF('1. Live'!CR188='check-Jul25'!CR188,"",'1. Live'!CR188-'check-Jul25'!CR188)</f>
        <v/>
      </c>
      <c r="CS188" t="str">
        <f>IF('1. Live'!CS188='check-Jul25'!CS188,"",'1. Live'!CS188-'check-Jul25'!CS188)</f>
        <v/>
      </c>
      <c r="CT188" t="str">
        <f>IF('1. Live'!CT188='check-Jul25'!CT188,"",'1. Live'!CT188-'check-Jul25'!CT188)</f>
        <v/>
      </c>
      <c r="CU188" t="str">
        <f>IF('1. Live'!CU188='check-Jul25'!CU188,"",'1. Live'!CU188-'check-Jul25'!CU188)</f>
        <v/>
      </c>
      <c r="CV188" t="str">
        <f>IF('1. Live'!CV188='check-Jul25'!CV188,"",'1. Live'!CV188-'check-Jul25'!CV188)</f>
        <v/>
      </c>
      <c r="CW188" t="str">
        <f>IF('1. Live'!CW188='check-Jul25'!CW188,"",'1. Live'!CW188-'check-Jul25'!CW188)</f>
        <v/>
      </c>
    </row>
    <row r="189" spans="10:101">
      <c r="J189" t="str">
        <f>IF('1. Live'!J189='check-Jul25'!J189,"",'1. Live'!J189-'check-Jul25'!J189)</f>
        <v/>
      </c>
      <c r="K189" t="str">
        <f>IF('1. Live'!K189='check-Jul25'!K189,"",'1. Live'!K189-'check-Jul25'!K189)</f>
        <v/>
      </c>
      <c r="L189" t="str">
        <f>IF('1. Live'!L189='check-Jul25'!L189,"",'1. Live'!L189-'check-Jul25'!L189)</f>
        <v/>
      </c>
      <c r="M189" t="str">
        <f>IF('1. Live'!M189='check-Jul25'!M189,"",'1. Live'!M189-'check-Jul25'!M189)</f>
        <v/>
      </c>
      <c r="N189" t="str">
        <f>IF('1. Live'!N189='check-Jul25'!N189,"",'1. Live'!N189-'check-Jul25'!N189)</f>
        <v/>
      </c>
      <c r="O189" t="str">
        <f>IF('1. Live'!O189='check-Jul25'!O189,"",'1. Live'!O189-'check-Jul25'!O189)</f>
        <v/>
      </c>
      <c r="P189" t="str">
        <f>IF('1. Live'!P189='check-Jul25'!P189,"",'1. Live'!P189-'check-Jul25'!P189)</f>
        <v/>
      </c>
      <c r="Q189" t="str">
        <f>IF('1. Live'!Q189='check-Jul25'!Q189,"",'1. Live'!Q189-'check-Jul25'!Q189)</f>
        <v/>
      </c>
      <c r="R189" t="str">
        <f>IF('1. Live'!R189='check-Jul25'!R189,"",'1. Live'!R189-'check-Jul25'!R189)</f>
        <v/>
      </c>
      <c r="S189" t="str">
        <f>IF('1. Live'!S189='check-Jul25'!S189,"",'1. Live'!S189-'check-Jul25'!S189)</f>
        <v/>
      </c>
      <c r="T189" t="str">
        <f>IF('1. Live'!T189='check-Jul25'!T189,"",'1. Live'!T189-'check-Jul25'!T189)</f>
        <v/>
      </c>
      <c r="U189" t="str">
        <f>IF('1. Live'!U189='check-Jul25'!U189,"",'1. Live'!U189-'check-Jul25'!U189)</f>
        <v/>
      </c>
      <c r="V189" t="str">
        <f>IF('1. Live'!V189='check-Jul25'!V189,"",'1. Live'!V189-'check-Jul25'!V189)</f>
        <v/>
      </c>
      <c r="W189" t="str">
        <f>IF('1. Live'!W189='check-Jul25'!W189,"",'1. Live'!W189-'check-Jul25'!W189)</f>
        <v/>
      </c>
      <c r="X189" t="str">
        <f>IF('1. Live'!X189='check-Jul25'!X189,"",'1. Live'!X189-'check-Jul25'!X189)</f>
        <v/>
      </c>
      <c r="Y189" t="str">
        <f>IF('1. Live'!Y189='check-Jul25'!Y189,"",'1. Live'!Y189-'check-Jul25'!Y189)</f>
        <v/>
      </c>
      <c r="Z189" t="str">
        <f>IF('1. Live'!Z189='check-Jul25'!Z189,"",'1. Live'!Z189-'check-Jul25'!Z189)</f>
        <v/>
      </c>
      <c r="AA189" t="str">
        <f>IF('1. Live'!AA189='check-Jul25'!AA189,"",'1. Live'!AA189-'check-Jul25'!AA189)</f>
        <v/>
      </c>
      <c r="AB189" t="str">
        <f>IF('1. Live'!AB189='check-Jul25'!AB189,"",'1. Live'!AB189-'check-Jul25'!AB189)</f>
        <v/>
      </c>
      <c r="AC189" t="str">
        <f>IF('1. Live'!AC189='check-Jul25'!AC189,"",'1. Live'!AC189-'check-Jul25'!AC189)</f>
        <v/>
      </c>
      <c r="AD189" t="str">
        <f>IF('1. Live'!AD189='check-Jul25'!AD189,"",'1. Live'!AD189-'check-Jul25'!AD189)</f>
        <v/>
      </c>
      <c r="AE189" t="str">
        <f>IF('1. Live'!AE189='check-Jul25'!AE189,"",'1. Live'!AE189-'check-Jul25'!AE189)</f>
        <v/>
      </c>
      <c r="AF189" t="str">
        <f>IF('1. Live'!AF189='check-Jul25'!AF189,"",'1. Live'!AF189-'check-Jul25'!AF189)</f>
        <v/>
      </c>
      <c r="AG189" t="str">
        <f>IF('1. Live'!AG189='check-Jul25'!AG189,"",'1. Live'!AG189-'check-Jul25'!AG189)</f>
        <v/>
      </c>
      <c r="AH189" t="str">
        <f>IF('1. Live'!AH189='check-Jul25'!AH189,"",'1. Live'!AH189-'check-Jul25'!AH189)</f>
        <v/>
      </c>
      <c r="AI189" t="str">
        <f>IF('1. Live'!AI189='check-Jul25'!AI189,"",'1. Live'!AI189-'check-Jul25'!AI189)</f>
        <v/>
      </c>
      <c r="AJ189" t="str">
        <f>IF('1. Live'!AJ189='check-Jul25'!AJ189,"",'1. Live'!AJ189-'check-Jul25'!AJ189)</f>
        <v/>
      </c>
      <c r="AK189" t="str">
        <f>IF('1. Live'!AK189='check-Jul25'!AK189,"",'1. Live'!AK189-'check-Jul25'!AK189)</f>
        <v/>
      </c>
      <c r="AL189" t="str">
        <f>IF('1. Live'!AL189='check-Jul25'!AL189,"",'1. Live'!AL189-'check-Jul25'!AL189)</f>
        <v/>
      </c>
      <c r="AM189" t="str">
        <f>IF('1. Live'!AM189='check-Jul25'!AM189,"",'1. Live'!AM189-'check-Jul25'!AM189)</f>
        <v/>
      </c>
      <c r="AN189" t="str">
        <f>IF('1. Live'!AN189='check-Jul25'!AN189,"",'1. Live'!AN189-'check-Jul25'!AN189)</f>
        <v/>
      </c>
      <c r="AO189" t="str">
        <f>IF('1. Live'!AO189='check-Jul25'!AO189,"",'1. Live'!AO189-'check-Jul25'!AO189)</f>
        <v/>
      </c>
      <c r="AP189" t="str">
        <f>IF('1. Live'!AP189='check-Jul25'!AP189,"",'1. Live'!AP189-'check-Jul25'!AP189)</f>
        <v/>
      </c>
      <c r="AQ189" t="str">
        <f>IF('1. Live'!AQ189='check-Jul25'!AQ189,"",'1. Live'!AQ189-'check-Jul25'!AQ189)</f>
        <v/>
      </c>
      <c r="AR189" t="str">
        <f>IF('1. Live'!AR189='check-Jul25'!AR189,"",'1. Live'!AR189-'check-Jul25'!AR189)</f>
        <v/>
      </c>
      <c r="AS189" t="str">
        <f>IF('1. Live'!AS189='check-Jul25'!AS189,"",'1. Live'!AS189-'check-Jul25'!AS189)</f>
        <v/>
      </c>
      <c r="AT189" t="str">
        <f>IF('1. Live'!AT189='check-Jul25'!AT189,"",'1. Live'!AT189-'check-Jul25'!AT189)</f>
        <v/>
      </c>
      <c r="AU189" t="str">
        <f>IF('1. Live'!AU189='check-Jul25'!AU189,"",'1. Live'!AU189-'check-Jul25'!AU189)</f>
        <v/>
      </c>
      <c r="AV189" t="str">
        <f>IF('1. Live'!AV189='check-Jul25'!AV189,"",'1. Live'!AV189-'check-Jul25'!AV189)</f>
        <v/>
      </c>
      <c r="AW189" t="str">
        <f>IF('1. Live'!AW189='check-Jul25'!AW189,"",'1. Live'!AW189-'check-Jul25'!AW189)</f>
        <v/>
      </c>
      <c r="AX189" t="str">
        <f>IF('1. Live'!AX189='check-Jul25'!AX189,"",'1. Live'!AX189-'check-Jul25'!AX189)</f>
        <v/>
      </c>
      <c r="AY189" t="str">
        <f>IF('1. Live'!AY189='check-Jul25'!AY189,"",'1. Live'!AY189-'check-Jul25'!AY189)</f>
        <v/>
      </c>
      <c r="AZ189" t="str">
        <f>IF('1. Live'!AZ189='check-Jul25'!AZ189,"",'1. Live'!AZ189-'check-Jul25'!AZ189)</f>
        <v/>
      </c>
      <c r="BA189" t="str">
        <f>IF('1. Live'!BA189='check-Jul25'!BA189,"",'1. Live'!BA189-'check-Jul25'!BA189)</f>
        <v/>
      </c>
      <c r="BB189" t="str">
        <f>IF('1. Live'!BB189='check-Jul25'!BB189,"",'1. Live'!BB189-'check-Jul25'!BB189)</f>
        <v/>
      </c>
      <c r="BC189" t="str">
        <f>IF('1. Live'!BC189='check-Jul25'!BC189,"",'1. Live'!BC189-'check-Jul25'!BC189)</f>
        <v/>
      </c>
      <c r="BD189" t="str">
        <f>IF('1. Live'!BD189='check-Jul25'!BD189,"",'1. Live'!BD189-'check-Jul25'!BD189)</f>
        <v/>
      </c>
      <c r="BE189" t="str">
        <f>IF('1. Live'!BE189='check-Jul25'!BE189,"",'1. Live'!BE189-'check-Jul25'!BE189)</f>
        <v/>
      </c>
      <c r="BF189" t="str">
        <f>IF('1. Live'!BF189='check-Jul25'!BF189,"",'1. Live'!BF189-'check-Jul25'!BF189)</f>
        <v/>
      </c>
      <c r="BG189" t="str">
        <f>IF('1. Live'!BG189='check-Jul25'!BG189,"",'1. Live'!BG189-'check-Jul25'!BG189)</f>
        <v/>
      </c>
      <c r="BH189" t="str">
        <f>IF('1. Live'!BH189='check-Jul25'!BH189,"",'1. Live'!BH189-'check-Jul25'!BH189)</f>
        <v/>
      </c>
      <c r="BI189" t="str">
        <f>IF('1. Live'!BI189='check-Jul25'!BI189,"",'1. Live'!BI189-'check-Jul25'!BI189)</f>
        <v/>
      </c>
      <c r="BJ189" t="str">
        <f>IF('1. Live'!BJ189='check-Jul25'!BJ189,"",'1. Live'!BJ189-'check-Jul25'!BJ189)</f>
        <v/>
      </c>
      <c r="BK189" t="str">
        <f>IF('1. Live'!BK189='check-Jul25'!BK189,"",'1. Live'!BK189-'check-Jul25'!BK189)</f>
        <v/>
      </c>
      <c r="BL189" t="str">
        <f>IF('1. Live'!BL189='check-Jul25'!BL189,"",'1. Live'!BL189-'check-Jul25'!BL189)</f>
        <v/>
      </c>
      <c r="BM189" t="str">
        <f>IF('1. Live'!BM189='check-Jul25'!BM189,"",'1. Live'!BM189-'check-Jul25'!BM189)</f>
        <v/>
      </c>
      <c r="BN189" t="str">
        <f>IF('1. Live'!BN189='check-Jul25'!BN189,"",'1. Live'!BN189-'check-Jul25'!BN189)</f>
        <v/>
      </c>
      <c r="BO189" t="str">
        <f>IF('1. Live'!BO189='check-Jul25'!BO189,"",'1. Live'!BO189-'check-Jul25'!BO189)</f>
        <v/>
      </c>
      <c r="BP189" t="str">
        <f>IF('1. Live'!BP189='check-Jul25'!BP189,"",'1. Live'!BP189-'check-Jul25'!BP189)</f>
        <v/>
      </c>
      <c r="BQ189" t="str">
        <f>IF('1. Live'!BQ189='check-Jul25'!BQ189,"",'1. Live'!BQ189-'check-Jul25'!BQ189)</f>
        <v/>
      </c>
      <c r="BR189" t="str">
        <f>IF('1. Live'!BR189='check-Jul25'!BR189,"",'1. Live'!BR189-'check-Jul25'!BR189)</f>
        <v/>
      </c>
      <c r="BS189" t="str">
        <f>IF('1. Live'!BS189='check-Jul25'!BS189,"",'1. Live'!BS189-'check-Jul25'!BS189)</f>
        <v/>
      </c>
      <c r="BT189" t="str">
        <f>IF('1. Live'!BT189='check-Jul25'!BT189,"",'1. Live'!BT189-'check-Jul25'!BT189)</f>
        <v/>
      </c>
      <c r="BU189" t="str">
        <f>IF('1. Live'!BU189='check-Jul25'!BU189,"",'1. Live'!BU189-'check-Jul25'!BU189)</f>
        <v/>
      </c>
      <c r="BV189" t="str">
        <f>IF('1. Live'!BV189='check-Jul25'!BV189,"",'1. Live'!BV189-'check-Jul25'!BV189)</f>
        <v/>
      </c>
      <c r="BW189" t="str">
        <f>IF('1. Live'!BW189='check-Jul25'!BW189,"",'1. Live'!BW189-'check-Jul25'!BW189)</f>
        <v/>
      </c>
      <c r="BX189" t="str">
        <f>IF('1. Live'!BX189='check-Jul25'!BX189,"",'1. Live'!BX189-'check-Jul25'!BX189)</f>
        <v/>
      </c>
      <c r="BY189" t="str">
        <f>IF('1. Live'!BY189='check-Jul25'!BY189,"",'1. Live'!BY189-'check-Jul25'!BY189)</f>
        <v/>
      </c>
      <c r="BZ189" t="str">
        <f>IF('1. Live'!BZ189='check-Jul25'!BZ189,"",'1. Live'!BZ189-'check-Jul25'!BZ189)</f>
        <v/>
      </c>
      <c r="CA189" t="str">
        <f>IF('1. Live'!CA189='check-Jul25'!CA189,"",'1. Live'!CA189-'check-Jul25'!CA189)</f>
        <v/>
      </c>
      <c r="CB189" t="str">
        <f>IF('1. Live'!CB189='check-Jul25'!CB189,"",'1. Live'!CB189-'check-Jul25'!CB189)</f>
        <v/>
      </c>
      <c r="CC189" t="str">
        <f>IF('1. Live'!CC189='check-Jul25'!CC189,"",'1. Live'!CC189-'check-Jul25'!CC189)</f>
        <v/>
      </c>
      <c r="CD189" t="str">
        <f>IF('1. Live'!CD189='check-Jul25'!CD189,"",'1. Live'!CD189-'check-Jul25'!CD189)</f>
        <v/>
      </c>
      <c r="CE189" t="str">
        <f>IF('1. Live'!CE189='check-Jul25'!CE189,"",'1. Live'!CE189-'check-Jul25'!CE189)</f>
        <v/>
      </c>
      <c r="CF189" t="str">
        <f>IF('1. Live'!CF189='check-Jul25'!CF189,"",'1. Live'!CF189-'check-Jul25'!CF189)</f>
        <v/>
      </c>
      <c r="CG189" t="str">
        <f>IF('1. Live'!CG189='check-Jul25'!CG189,"",'1. Live'!CG189-'check-Jul25'!CG189)</f>
        <v/>
      </c>
      <c r="CH189" t="str">
        <f>IF('1. Live'!CH189='check-Jul25'!CH189,"",'1. Live'!CH189-'check-Jul25'!CH189)</f>
        <v/>
      </c>
      <c r="CI189" t="str">
        <f>IF('1. Live'!CI189='check-Jul25'!CI189,"",'1. Live'!CI189-'check-Jul25'!CI189)</f>
        <v/>
      </c>
      <c r="CJ189" t="str">
        <f>IF('1. Live'!CJ189='check-Jul25'!CJ189,"",'1. Live'!CJ189-'check-Jul25'!CJ189)</f>
        <v/>
      </c>
      <c r="CK189" t="str">
        <f>IF('1. Live'!CK189='check-Jul25'!CK189,"",'1. Live'!CK189-'check-Jul25'!CK189)</f>
        <v/>
      </c>
      <c r="CL189" t="str">
        <f>IF('1. Live'!CL189='check-Jul25'!CL189,"",'1. Live'!CL189-'check-Jul25'!CL189)</f>
        <v/>
      </c>
      <c r="CM189" t="str">
        <f>IF('1. Live'!CM189='check-Jul25'!CM189,"",'1. Live'!CM189-'check-Jul25'!CM189)</f>
        <v/>
      </c>
      <c r="CN189" t="str">
        <f>IF('1. Live'!CN189='check-Jul25'!CN189,"",'1. Live'!CN189-'check-Jul25'!CN189)</f>
        <v/>
      </c>
      <c r="CO189" t="str">
        <f>IF('1. Live'!CO189='check-Jul25'!CO189,"",'1. Live'!CO189-'check-Jul25'!CO189)</f>
        <v/>
      </c>
      <c r="CP189" t="str">
        <f>IF('1. Live'!CP189='check-Jul25'!CP189,"",'1. Live'!CP189-'check-Jul25'!CP189)</f>
        <v/>
      </c>
      <c r="CQ189" t="str">
        <f>IF('1. Live'!CQ189='check-Jul25'!CQ189,"",'1. Live'!CQ189-'check-Jul25'!CQ189)</f>
        <v/>
      </c>
      <c r="CR189" t="str">
        <f>IF('1. Live'!CR189='check-Jul25'!CR189,"",'1. Live'!CR189-'check-Jul25'!CR189)</f>
        <v/>
      </c>
      <c r="CS189" t="str">
        <f>IF('1. Live'!CS189='check-Jul25'!CS189,"",'1. Live'!CS189-'check-Jul25'!CS189)</f>
        <v/>
      </c>
      <c r="CT189" t="str">
        <f>IF('1. Live'!CT189='check-Jul25'!CT189,"",'1. Live'!CT189-'check-Jul25'!CT189)</f>
        <v/>
      </c>
      <c r="CU189" t="str">
        <f>IF('1. Live'!CU189='check-Jul25'!CU189,"",'1. Live'!CU189-'check-Jul25'!CU189)</f>
        <v/>
      </c>
      <c r="CV189" t="str">
        <f>IF('1. Live'!CV189='check-Jul25'!CV189,"",'1. Live'!CV189-'check-Jul25'!CV189)</f>
        <v/>
      </c>
      <c r="CW189" t="str">
        <f>IF('1. Live'!CW189='check-Jul25'!CW189,"",'1. Live'!CW189-'check-Jul25'!CW189)</f>
        <v/>
      </c>
    </row>
    <row r="190" spans="10:101">
      <c r="J190" t="str">
        <f>IF('1. Live'!J190='check-Jul25'!J190,"",'1. Live'!J190-'check-Jul25'!J190)</f>
        <v/>
      </c>
      <c r="K190" t="str">
        <f>IF('1. Live'!K190='check-Jul25'!K190,"",'1. Live'!K190-'check-Jul25'!K190)</f>
        <v/>
      </c>
      <c r="L190" t="str">
        <f>IF('1. Live'!L190='check-Jul25'!L190,"",'1. Live'!L190-'check-Jul25'!L190)</f>
        <v/>
      </c>
      <c r="M190" t="str">
        <f>IF('1. Live'!M190='check-Jul25'!M190,"",'1. Live'!M190-'check-Jul25'!M190)</f>
        <v/>
      </c>
      <c r="N190" t="str">
        <f>IF('1. Live'!N190='check-Jul25'!N190,"",'1. Live'!N190-'check-Jul25'!N190)</f>
        <v/>
      </c>
      <c r="O190" t="str">
        <f>IF('1. Live'!O190='check-Jul25'!O190,"",'1. Live'!O190-'check-Jul25'!O190)</f>
        <v/>
      </c>
      <c r="P190" t="str">
        <f>IF('1. Live'!P190='check-Jul25'!P190,"",'1. Live'!P190-'check-Jul25'!P190)</f>
        <v/>
      </c>
      <c r="Q190" t="str">
        <f>IF('1. Live'!Q190='check-Jul25'!Q190,"",'1. Live'!Q190-'check-Jul25'!Q190)</f>
        <v/>
      </c>
      <c r="R190" t="str">
        <f>IF('1. Live'!R190='check-Jul25'!R190,"",'1. Live'!R190-'check-Jul25'!R190)</f>
        <v/>
      </c>
      <c r="S190" t="str">
        <f>IF('1. Live'!S190='check-Jul25'!S190,"",'1. Live'!S190-'check-Jul25'!S190)</f>
        <v/>
      </c>
      <c r="T190" t="str">
        <f>IF('1. Live'!T190='check-Jul25'!T190,"",'1. Live'!T190-'check-Jul25'!T190)</f>
        <v/>
      </c>
      <c r="U190" t="str">
        <f>IF('1. Live'!U190='check-Jul25'!U190,"",'1. Live'!U190-'check-Jul25'!U190)</f>
        <v/>
      </c>
      <c r="V190" t="str">
        <f>IF('1. Live'!V190='check-Jul25'!V190,"",'1. Live'!V190-'check-Jul25'!V190)</f>
        <v/>
      </c>
      <c r="W190" t="str">
        <f>IF('1. Live'!W190='check-Jul25'!W190,"",'1. Live'!W190-'check-Jul25'!W190)</f>
        <v/>
      </c>
      <c r="X190" t="str">
        <f>IF('1. Live'!X190='check-Jul25'!X190,"",'1. Live'!X190-'check-Jul25'!X190)</f>
        <v/>
      </c>
      <c r="Y190" t="str">
        <f>IF('1. Live'!Y190='check-Jul25'!Y190,"",'1. Live'!Y190-'check-Jul25'!Y190)</f>
        <v/>
      </c>
      <c r="Z190" t="str">
        <f>IF('1. Live'!Z190='check-Jul25'!Z190,"",'1. Live'!Z190-'check-Jul25'!Z190)</f>
        <v/>
      </c>
      <c r="AA190" t="str">
        <f>IF('1. Live'!AA190='check-Jul25'!AA190,"",'1. Live'!AA190-'check-Jul25'!AA190)</f>
        <v/>
      </c>
      <c r="AB190" t="str">
        <f>IF('1. Live'!AB190='check-Jul25'!AB190,"",'1. Live'!AB190-'check-Jul25'!AB190)</f>
        <v/>
      </c>
      <c r="AC190" t="str">
        <f>IF('1. Live'!AC190='check-Jul25'!AC190,"",'1. Live'!AC190-'check-Jul25'!AC190)</f>
        <v/>
      </c>
      <c r="AD190" t="str">
        <f>IF('1. Live'!AD190='check-Jul25'!AD190,"",'1. Live'!AD190-'check-Jul25'!AD190)</f>
        <v/>
      </c>
      <c r="AE190" t="str">
        <f>IF('1. Live'!AE190='check-Jul25'!AE190,"",'1. Live'!AE190-'check-Jul25'!AE190)</f>
        <v/>
      </c>
      <c r="AF190" t="str">
        <f>IF('1. Live'!AF190='check-Jul25'!AF190,"",'1. Live'!AF190-'check-Jul25'!AF190)</f>
        <v/>
      </c>
      <c r="AG190" t="str">
        <f>IF('1. Live'!AG190='check-Jul25'!AG190,"",'1. Live'!AG190-'check-Jul25'!AG190)</f>
        <v/>
      </c>
      <c r="AH190" t="str">
        <f>IF('1. Live'!AH190='check-Jul25'!AH190,"",'1. Live'!AH190-'check-Jul25'!AH190)</f>
        <v/>
      </c>
      <c r="AI190" t="str">
        <f>IF('1. Live'!AI190='check-Jul25'!AI190,"",'1. Live'!AI190-'check-Jul25'!AI190)</f>
        <v/>
      </c>
      <c r="AJ190" t="str">
        <f>IF('1. Live'!AJ190='check-Jul25'!AJ190,"",'1. Live'!AJ190-'check-Jul25'!AJ190)</f>
        <v/>
      </c>
      <c r="AK190" t="str">
        <f>IF('1. Live'!AK190='check-Jul25'!AK190,"",'1. Live'!AK190-'check-Jul25'!AK190)</f>
        <v/>
      </c>
      <c r="AL190" t="str">
        <f>IF('1. Live'!AL190='check-Jul25'!AL190,"",'1. Live'!AL190-'check-Jul25'!AL190)</f>
        <v/>
      </c>
      <c r="AM190" t="str">
        <f>IF('1. Live'!AM190='check-Jul25'!AM190,"",'1. Live'!AM190-'check-Jul25'!AM190)</f>
        <v/>
      </c>
      <c r="AN190" t="str">
        <f>IF('1. Live'!AN190='check-Jul25'!AN190,"",'1. Live'!AN190-'check-Jul25'!AN190)</f>
        <v/>
      </c>
      <c r="AO190" t="str">
        <f>IF('1. Live'!AO190='check-Jul25'!AO190,"",'1. Live'!AO190-'check-Jul25'!AO190)</f>
        <v/>
      </c>
      <c r="AP190" t="str">
        <f>IF('1. Live'!AP190='check-Jul25'!AP190,"",'1. Live'!AP190-'check-Jul25'!AP190)</f>
        <v/>
      </c>
      <c r="AQ190" t="str">
        <f>IF('1. Live'!AQ190='check-Jul25'!AQ190,"",'1. Live'!AQ190-'check-Jul25'!AQ190)</f>
        <v/>
      </c>
      <c r="AR190" t="str">
        <f>IF('1. Live'!AR190='check-Jul25'!AR190,"",'1. Live'!AR190-'check-Jul25'!AR190)</f>
        <v/>
      </c>
      <c r="AS190" t="str">
        <f>IF('1. Live'!AS190='check-Jul25'!AS190,"",'1. Live'!AS190-'check-Jul25'!AS190)</f>
        <v/>
      </c>
      <c r="AT190" t="str">
        <f>IF('1. Live'!AT190='check-Jul25'!AT190,"",'1. Live'!AT190-'check-Jul25'!AT190)</f>
        <v/>
      </c>
      <c r="AU190" t="str">
        <f>IF('1. Live'!AU190='check-Jul25'!AU190,"",'1. Live'!AU190-'check-Jul25'!AU190)</f>
        <v/>
      </c>
      <c r="AV190" t="str">
        <f>IF('1. Live'!AV190='check-Jul25'!AV190,"",'1. Live'!AV190-'check-Jul25'!AV190)</f>
        <v/>
      </c>
      <c r="AW190" t="str">
        <f>IF('1. Live'!AW190='check-Jul25'!AW190,"",'1. Live'!AW190-'check-Jul25'!AW190)</f>
        <v/>
      </c>
      <c r="AX190" t="str">
        <f>IF('1. Live'!AX190='check-Jul25'!AX190,"",'1. Live'!AX190-'check-Jul25'!AX190)</f>
        <v/>
      </c>
      <c r="AY190" t="str">
        <f>IF('1. Live'!AY190='check-Jul25'!AY190,"",'1. Live'!AY190-'check-Jul25'!AY190)</f>
        <v/>
      </c>
      <c r="AZ190" t="str">
        <f>IF('1. Live'!AZ190='check-Jul25'!AZ190,"",'1. Live'!AZ190-'check-Jul25'!AZ190)</f>
        <v/>
      </c>
      <c r="BA190" t="str">
        <f>IF('1. Live'!BA190='check-Jul25'!BA190,"",'1. Live'!BA190-'check-Jul25'!BA190)</f>
        <v/>
      </c>
      <c r="BB190" t="str">
        <f>IF('1. Live'!BB190='check-Jul25'!BB190,"",'1. Live'!BB190-'check-Jul25'!BB190)</f>
        <v/>
      </c>
      <c r="BC190" t="str">
        <f>IF('1. Live'!BC190='check-Jul25'!BC190,"",'1. Live'!BC190-'check-Jul25'!BC190)</f>
        <v/>
      </c>
      <c r="BD190" t="str">
        <f>IF('1. Live'!BD190='check-Jul25'!BD190,"",'1. Live'!BD190-'check-Jul25'!BD190)</f>
        <v/>
      </c>
      <c r="BE190" t="str">
        <f>IF('1. Live'!BE190='check-Jul25'!BE190,"",'1. Live'!BE190-'check-Jul25'!BE190)</f>
        <v/>
      </c>
      <c r="BF190" t="str">
        <f>IF('1. Live'!BF190='check-Jul25'!BF190,"",'1. Live'!BF190-'check-Jul25'!BF190)</f>
        <v/>
      </c>
      <c r="BG190" t="str">
        <f>IF('1. Live'!BG190='check-Jul25'!BG190,"",'1. Live'!BG190-'check-Jul25'!BG190)</f>
        <v/>
      </c>
      <c r="BH190" t="str">
        <f>IF('1. Live'!BH190='check-Jul25'!BH190,"",'1. Live'!BH190-'check-Jul25'!BH190)</f>
        <v/>
      </c>
      <c r="BI190" t="str">
        <f>IF('1. Live'!BI190='check-Jul25'!BI190,"",'1. Live'!BI190-'check-Jul25'!BI190)</f>
        <v/>
      </c>
      <c r="BJ190" t="str">
        <f>IF('1. Live'!BJ190='check-Jul25'!BJ190,"",'1. Live'!BJ190-'check-Jul25'!BJ190)</f>
        <v/>
      </c>
      <c r="BK190" t="str">
        <f>IF('1. Live'!BK190='check-Jul25'!BK190,"",'1. Live'!BK190-'check-Jul25'!BK190)</f>
        <v/>
      </c>
      <c r="BL190" t="str">
        <f>IF('1. Live'!BL190='check-Jul25'!BL190,"",'1. Live'!BL190-'check-Jul25'!BL190)</f>
        <v/>
      </c>
      <c r="BM190" t="str">
        <f>IF('1. Live'!BM190='check-Jul25'!BM190,"",'1. Live'!BM190-'check-Jul25'!BM190)</f>
        <v/>
      </c>
      <c r="BN190" t="str">
        <f>IF('1. Live'!BN190='check-Jul25'!BN190,"",'1. Live'!BN190-'check-Jul25'!BN190)</f>
        <v/>
      </c>
      <c r="BO190" t="str">
        <f>IF('1. Live'!BO190='check-Jul25'!BO190,"",'1. Live'!BO190-'check-Jul25'!BO190)</f>
        <v/>
      </c>
      <c r="BP190" t="str">
        <f>IF('1. Live'!BP190='check-Jul25'!BP190,"",'1. Live'!BP190-'check-Jul25'!BP190)</f>
        <v/>
      </c>
      <c r="BQ190" t="str">
        <f>IF('1. Live'!BQ190='check-Jul25'!BQ190,"",'1. Live'!BQ190-'check-Jul25'!BQ190)</f>
        <v/>
      </c>
      <c r="BR190" t="str">
        <f>IF('1. Live'!BR190='check-Jul25'!BR190,"",'1. Live'!BR190-'check-Jul25'!BR190)</f>
        <v/>
      </c>
      <c r="BS190" t="str">
        <f>IF('1. Live'!BS190='check-Jul25'!BS190,"",'1. Live'!BS190-'check-Jul25'!BS190)</f>
        <v/>
      </c>
      <c r="BT190" t="str">
        <f>IF('1. Live'!BT190='check-Jul25'!BT190,"",'1. Live'!BT190-'check-Jul25'!BT190)</f>
        <v/>
      </c>
      <c r="BU190" t="str">
        <f>IF('1. Live'!BU190='check-Jul25'!BU190,"",'1. Live'!BU190-'check-Jul25'!BU190)</f>
        <v/>
      </c>
      <c r="BV190" t="str">
        <f>IF('1. Live'!BV190='check-Jul25'!BV190,"",'1. Live'!BV190-'check-Jul25'!BV190)</f>
        <v/>
      </c>
      <c r="BW190" t="str">
        <f>IF('1. Live'!BW190='check-Jul25'!BW190,"",'1. Live'!BW190-'check-Jul25'!BW190)</f>
        <v/>
      </c>
      <c r="BX190" t="str">
        <f>IF('1. Live'!BX190='check-Jul25'!BX190,"",'1. Live'!BX190-'check-Jul25'!BX190)</f>
        <v/>
      </c>
      <c r="BY190" t="str">
        <f>IF('1. Live'!BY190='check-Jul25'!BY190,"",'1. Live'!BY190-'check-Jul25'!BY190)</f>
        <v/>
      </c>
      <c r="BZ190" t="str">
        <f>IF('1. Live'!BZ190='check-Jul25'!BZ190,"",'1. Live'!BZ190-'check-Jul25'!BZ190)</f>
        <v/>
      </c>
      <c r="CA190" t="str">
        <f>IF('1. Live'!CA190='check-Jul25'!CA190,"",'1. Live'!CA190-'check-Jul25'!CA190)</f>
        <v/>
      </c>
      <c r="CB190" t="str">
        <f>IF('1. Live'!CB190='check-Jul25'!CB190,"",'1. Live'!CB190-'check-Jul25'!CB190)</f>
        <v/>
      </c>
      <c r="CC190" t="str">
        <f>IF('1. Live'!CC190='check-Jul25'!CC190,"",'1. Live'!CC190-'check-Jul25'!CC190)</f>
        <v/>
      </c>
      <c r="CD190" t="str">
        <f>IF('1. Live'!CD190='check-Jul25'!CD190,"",'1. Live'!CD190-'check-Jul25'!CD190)</f>
        <v/>
      </c>
      <c r="CE190" t="str">
        <f>IF('1. Live'!CE190='check-Jul25'!CE190,"",'1. Live'!CE190-'check-Jul25'!CE190)</f>
        <v/>
      </c>
      <c r="CF190" t="str">
        <f>IF('1. Live'!CF190='check-Jul25'!CF190,"",'1. Live'!CF190-'check-Jul25'!CF190)</f>
        <v/>
      </c>
      <c r="CG190" t="str">
        <f>IF('1. Live'!CG190='check-Jul25'!CG190,"",'1. Live'!CG190-'check-Jul25'!CG190)</f>
        <v/>
      </c>
      <c r="CH190" t="str">
        <f>IF('1. Live'!CH190='check-Jul25'!CH190,"",'1. Live'!CH190-'check-Jul25'!CH190)</f>
        <v/>
      </c>
      <c r="CI190" t="str">
        <f>IF('1. Live'!CI190='check-Jul25'!CI190,"",'1. Live'!CI190-'check-Jul25'!CI190)</f>
        <v/>
      </c>
      <c r="CJ190" t="str">
        <f>IF('1. Live'!CJ190='check-Jul25'!CJ190,"",'1. Live'!CJ190-'check-Jul25'!CJ190)</f>
        <v/>
      </c>
      <c r="CK190" t="str">
        <f>IF('1. Live'!CK190='check-Jul25'!CK190,"",'1. Live'!CK190-'check-Jul25'!CK190)</f>
        <v/>
      </c>
      <c r="CL190" t="str">
        <f>IF('1. Live'!CL190='check-Jul25'!CL190,"",'1. Live'!CL190-'check-Jul25'!CL190)</f>
        <v/>
      </c>
      <c r="CM190" t="str">
        <f>IF('1. Live'!CM190='check-Jul25'!CM190,"",'1. Live'!CM190-'check-Jul25'!CM190)</f>
        <v/>
      </c>
      <c r="CN190" t="str">
        <f>IF('1. Live'!CN190='check-Jul25'!CN190,"",'1. Live'!CN190-'check-Jul25'!CN190)</f>
        <v/>
      </c>
      <c r="CO190" t="str">
        <f>IF('1. Live'!CO190='check-Jul25'!CO190,"",'1. Live'!CO190-'check-Jul25'!CO190)</f>
        <v/>
      </c>
      <c r="CP190" t="str">
        <f>IF('1. Live'!CP190='check-Jul25'!CP190,"",'1. Live'!CP190-'check-Jul25'!CP190)</f>
        <v/>
      </c>
      <c r="CQ190" t="str">
        <f>IF('1. Live'!CQ190='check-Jul25'!CQ190,"",'1. Live'!CQ190-'check-Jul25'!CQ190)</f>
        <v/>
      </c>
      <c r="CR190" t="str">
        <f>IF('1. Live'!CR190='check-Jul25'!CR190,"",'1. Live'!CR190-'check-Jul25'!CR190)</f>
        <v/>
      </c>
      <c r="CS190" t="str">
        <f>IF('1. Live'!CS190='check-Jul25'!CS190,"",'1. Live'!CS190-'check-Jul25'!CS190)</f>
        <v/>
      </c>
      <c r="CT190" t="str">
        <f>IF('1. Live'!CT190='check-Jul25'!CT190,"",'1. Live'!CT190-'check-Jul25'!CT190)</f>
        <v/>
      </c>
      <c r="CU190" t="str">
        <f>IF('1. Live'!CU190='check-Jul25'!CU190,"",'1. Live'!CU190-'check-Jul25'!CU190)</f>
        <v/>
      </c>
      <c r="CV190" t="str">
        <f>IF('1. Live'!CV190='check-Jul25'!CV190,"",'1. Live'!CV190-'check-Jul25'!CV190)</f>
        <v/>
      </c>
      <c r="CW190" t="str">
        <f>IF('1. Live'!CW190='check-Jul25'!CW190,"",'1. Live'!CW190-'check-Jul25'!CW190)</f>
        <v/>
      </c>
    </row>
    <row r="191" spans="10:101">
      <c r="J191" t="str">
        <f>IF('1. Live'!J191='check-Jul25'!J191,"",'1. Live'!J191-'check-Jul25'!J191)</f>
        <v/>
      </c>
      <c r="K191" t="str">
        <f>IF('1. Live'!K191='check-Jul25'!K191,"",'1. Live'!K191-'check-Jul25'!K191)</f>
        <v/>
      </c>
      <c r="L191" t="str">
        <f>IF('1. Live'!L191='check-Jul25'!L191,"",'1. Live'!L191-'check-Jul25'!L191)</f>
        <v/>
      </c>
      <c r="M191" t="str">
        <f>IF('1. Live'!M191='check-Jul25'!M191,"",'1. Live'!M191-'check-Jul25'!M191)</f>
        <v/>
      </c>
      <c r="N191" t="str">
        <f>IF('1. Live'!N191='check-Jul25'!N191,"",'1. Live'!N191-'check-Jul25'!N191)</f>
        <v/>
      </c>
      <c r="O191" t="str">
        <f>IF('1. Live'!O191='check-Jul25'!O191,"",'1. Live'!O191-'check-Jul25'!O191)</f>
        <v/>
      </c>
      <c r="P191" t="str">
        <f>IF('1. Live'!P191='check-Jul25'!P191,"",'1. Live'!P191-'check-Jul25'!P191)</f>
        <v/>
      </c>
      <c r="Q191" t="str">
        <f>IF('1. Live'!Q191='check-Jul25'!Q191,"",'1. Live'!Q191-'check-Jul25'!Q191)</f>
        <v/>
      </c>
      <c r="R191" t="str">
        <f>IF('1. Live'!R191='check-Jul25'!R191,"",'1. Live'!R191-'check-Jul25'!R191)</f>
        <v/>
      </c>
      <c r="S191" t="str">
        <f>IF('1. Live'!S191='check-Jul25'!S191,"",'1. Live'!S191-'check-Jul25'!S191)</f>
        <v/>
      </c>
      <c r="T191" t="str">
        <f>IF('1. Live'!T191='check-Jul25'!T191,"",'1. Live'!T191-'check-Jul25'!T191)</f>
        <v/>
      </c>
      <c r="U191" t="str">
        <f>IF('1. Live'!U191='check-Jul25'!U191,"",'1. Live'!U191-'check-Jul25'!U191)</f>
        <v/>
      </c>
      <c r="V191" t="str">
        <f>IF('1. Live'!V191='check-Jul25'!V191,"",'1. Live'!V191-'check-Jul25'!V191)</f>
        <v/>
      </c>
      <c r="W191" t="str">
        <f>IF('1. Live'!W191='check-Jul25'!W191,"",'1. Live'!W191-'check-Jul25'!W191)</f>
        <v/>
      </c>
      <c r="X191" t="str">
        <f>IF('1. Live'!X191='check-Jul25'!X191,"",'1. Live'!X191-'check-Jul25'!X191)</f>
        <v/>
      </c>
      <c r="Y191" t="str">
        <f>IF('1. Live'!Y191='check-Jul25'!Y191,"",'1. Live'!Y191-'check-Jul25'!Y191)</f>
        <v/>
      </c>
      <c r="Z191" t="str">
        <f>IF('1. Live'!Z191='check-Jul25'!Z191,"",'1. Live'!Z191-'check-Jul25'!Z191)</f>
        <v/>
      </c>
      <c r="AA191" t="str">
        <f>IF('1. Live'!AA191='check-Jul25'!AA191,"",'1. Live'!AA191-'check-Jul25'!AA191)</f>
        <v/>
      </c>
      <c r="AB191" t="str">
        <f>IF('1. Live'!AB191='check-Jul25'!AB191,"",'1. Live'!AB191-'check-Jul25'!AB191)</f>
        <v/>
      </c>
      <c r="AC191" t="str">
        <f>IF('1. Live'!AC191='check-Jul25'!AC191,"",'1. Live'!AC191-'check-Jul25'!AC191)</f>
        <v/>
      </c>
      <c r="AD191" t="str">
        <f>IF('1. Live'!AD191='check-Jul25'!AD191,"",'1. Live'!AD191-'check-Jul25'!AD191)</f>
        <v/>
      </c>
      <c r="AE191" t="str">
        <f>IF('1. Live'!AE191='check-Jul25'!AE191,"",'1. Live'!AE191-'check-Jul25'!AE191)</f>
        <v/>
      </c>
      <c r="AF191" t="str">
        <f>IF('1. Live'!AF191='check-Jul25'!AF191,"",'1. Live'!AF191-'check-Jul25'!AF191)</f>
        <v/>
      </c>
      <c r="AG191" t="str">
        <f>IF('1. Live'!AG191='check-Jul25'!AG191,"",'1. Live'!AG191-'check-Jul25'!AG191)</f>
        <v/>
      </c>
      <c r="AH191" t="str">
        <f>IF('1. Live'!AH191='check-Jul25'!AH191,"",'1. Live'!AH191-'check-Jul25'!AH191)</f>
        <v/>
      </c>
      <c r="AI191" t="str">
        <f>IF('1. Live'!AI191='check-Jul25'!AI191,"",'1. Live'!AI191-'check-Jul25'!AI191)</f>
        <v/>
      </c>
      <c r="AJ191" t="str">
        <f>IF('1. Live'!AJ191='check-Jul25'!AJ191,"",'1. Live'!AJ191-'check-Jul25'!AJ191)</f>
        <v/>
      </c>
      <c r="AK191" t="str">
        <f>IF('1. Live'!AK191='check-Jul25'!AK191,"",'1. Live'!AK191-'check-Jul25'!AK191)</f>
        <v/>
      </c>
      <c r="AL191" t="str">
        <f>IF('1. Live'!AL191='check-Jul25'!AL191,"",'1. Live'!AL191-'check-Jul25'!AL191)</f>
        <v/>
      </c>
      <c r="AM191" t="str">
        <f>IF('1. Live'!AM191='check-Jul25'!AM191,"",'1. Live'!AM191-'check-Jul25'!AM191)</f>
        <v/>
      </c>
      <c r="AN191" t="str">
        <f>IF('1. Live'!AN191='check-Jul25'!AN191,"",'1. Live'!AN191-'check-Jul25'!AN191)</f>
        <v/>
      </c>
      <c r="AO191" t="str">
        <f>IF('1. Live'!AO191='check-Jul25'!AO191,"",'1. Live'!AO191-'check-Jul25'!AO191)</f>
        <v/>
      </c>
      <c r="AP191" t="str">
        <f>IF('1. Live'!AP191='check-Jul25'!AP191,"",'1. Live'!AP191-'check-Jul25'!AP191)</f>
        <v/>
      </c>
      <c r="AQ191" t="str">
        <f>IF('1. Live'!AQ191='check-Jul25'!AQ191,"",'1. Live'!AQ191-'check-Jul25'!AQ191)</f>
        <v/>
      </c>
      <c r="AR191" t="str">
        <f>IF('1. Live'!AR191='check-Jul25'!AR191,"",'1. Live'!AR191-'check-Jul25'!AR191)</f>
        <v/>
      </c>
      <c r="AS191" t="str">
        <f>IF('1. Live'!AS191='check-Jul25'!AS191,"",'1. Live'!AS191-'check-Jul25'!AS191)</f>
        <v/>
      </c>
      <c r="AT191" t="str">
        <f>IF('1. Live'!AT191='check-Jul25'!AT191,"",'1. Live'!AT191-'check-Jul25'!AT191)</f>
        <v/>
      </c>
      <c r="AU191" t="str">
        <f>IF('1. Live'!AU191='check-Jul25'!AU191,"",'1. Live'!AU191-'check-Jul25'!AU191)</f>
        <v/>
      </c>
      <c r="AV191" t="str">
        <f>IF('1. Live'!AV191='check-Jul25'!AV191,"",'1. Live'!AV191-'check-Jul25'!AV191)</f>
        <v/>
      </c>
      <c r="AW191" t="str">
        <f>IF('1. Live'!AW191='check-Jul25'!AW191,"",'1. Live'!AW191-'check-Jul25'!AW191)</f>
        <v/>
      </c>
      <c r="AX191" t="str">
        <f>IF('1. Live'!AX191='check-Jul25'!AX191,"",'1. Live'!AX191-'check-Jul25'!AX191)</f>
        <v/>
      </c>
      <c r="AY191" t="str">
        <f>IF('1. Live'!AY191='check-Jul25'!AY191,"",'1. Live'!AY191-'check-Jul25'!AY191)</f>
        <v/>
      </c>
      <c r="AZ191" t="str">
        <f>IF('1. Live'!AZ191='check-Jul25'!AZ191,"",'1. Live'!AZ191-'check-Jul25'!AZ191)</f>
        <v/>
      </c>
      <c r="BA191" t="str">
        <f>IF('1. Live'!BA191='check-Jul25'!BA191,"",'1. Live'!BA191-'check-Jul25'!BA191)</f>
        <v/>
      </c>
      <c r="BB191" t="str">
        <f>IF('1. Live'!BB191='check-Jul25'!BB191,"",'1. Live'!BB191-'check-Jul25'!BB191)</f>
        <v/>
      </c>
      <c r="BC191" t="str">
        <f>IF('1. Live'!BC191='check-Jul25'!BC191,"",'1. Live'!BC191-'check-Jul25'!BC191)</f>
        <v/>
      </c>
      <c r="BD191" t="str">
        <f>IF('1. Live'!BD191='check-Jul25'!BD191,"",'1. Live'!BD191-'check-Jul25'!BD191)</f>
        <v/>
      </c>
      <c r="BE191" t="str">
        <f>IF('1. Live'!BE191='check-Jul25'!BE191,"",'1. Live'!BE191-'check-Jul25'!BE191)</f>
        <v/>
      </c>
      <c r="BF191" t="str">
        <f>IF('1. Live'!BF191='check-Jul25'!BF191,"",'1. Live'!BF191-'check-Jul25'!BF191)</f>
        <v/>
      </c>
      <c r="BG191" t="str">
        <f>IF('1. Live'!BG191='check-Jul25'!BG191,"",'1. Live'!BG191-'check-Jul25'!BG191)</f>
        <v/>
      </c>
      <c r="BH191" t="str">
        <f>IF('1. Live'!BH191='check-Jul25'!BH191,"",'1. Live'!BH191-'check-Jul25'!BH191)</f>
        <v/>
      </c>
      <c r="BI191" t="str">
        <f>IF('1. Live'!BI191='check-Jul25'!BI191,"",'1. Live'!BI191-'check-Jul25'!BI191)</f>
        <v/>
      </c>
      <c r="BJ191" t="str">
        <f>IF('1. Live'!BJ191='check-Jul25'!BJ191,"",'1. Live'!BJ191-'check-Jul25'!BJ191)</f>
        <v/>
      </c>
      <c r="BK191" t="str">
        <f>IF('1. Live'!BK191='check-Jul25'!BK191,"",'1. Live'!BK191-'check-Jul25'!BK191)</f>
        <v/>
      </c>
      <c r="BL191" t="str">
        <f>IF('1. Live'!BL191='check-Jul25'!BL191,"",'1. Live'!BL191-'check-Jul25'!BL191)</f>
        <v/>
      </c>
      <c r="BM191" t="str">
        <f>IF('1. Live'!BM191='check-Jul25'!BM191,"",'1. Live'!BM191-'check-Jul25'!BM191)</f>
        <v/>
      </c>
      <c r="BN191" t="str">
        <f>IF('1. Live'!BN191='check-Jul25'!BN191,"",'1. Live'!BN191-'check-Jul25'!BN191)</f>
        <v/>
      </c>
      <c r="BO191" t="str">
        <f>IF('1. Live'!BO191='check-Jul25'!BO191,"",'1. Live'!BO191-'check-Jul25'!BO191)</f>
        <v/>
      </c>
      <c r="BP191" t="str">
        <f>IF('1. Live'!BP191='check-Jul25'!BP191,"",'1. Live'!BP191-'check-Jul25'!BP191)</f>
        <v/>
      </c>
      <c r="BQ191" t="str">
        <f>IF('1. Live'!BQ191='check-Jul25'!BQ191,"",'1. Live'!BQ191-'check-Jul25'!BQ191)</f>
        <v/>
      </c>
      <c r="BR191" t="str">
        <f>IF('1. Live'!BR191='check-Jul25'!BR191,"",'1. Live'!BR191-'check-Jul25'!BR191)</f>
        <v/>
      </c>
      <c r="BS191" t="str">
        <f>IF('1. Live'!BS191='check-Jul25'!BS191,"",'1. Live'!BS191-'check-Jul25'!BS191)</f>
        <v/>
      </c>
      <c r="BT191" t="str">
        <f>IF('1. Live'!BT191='check-Jul25'!BT191,"",'1. Live'!BT191-'check-Jul25'!BT191)</f>
        <v/>
      </c>
      <c r="BU191" t="str">
        <f>IF('1. Live'!BU191='check-Jul25'!BU191,"",'1. Live'!BU191-'check-Jul25'!BU191)</f>
        <v/>
      </c>
      <c r="BV191" t="str">
        <f>IF('1. Live'!BV191='check-Jul25'!BV191,"",'1. Live'!BV191-'check-Jul25'!BV191)</f>
        <v/>
      </c>
      <c r="BW191" t="str">
        <f>IF('1. Live'!BW191='check-Jul25'!BW191,"",'1. Live'!BW191-'check-Jul25'!BW191)</f>
        <v/>
      </c>
      <c r="BX191" t="str">
        <f>IF('1. Live'!BX191='check-Jul25'!BX191,"",'1. Live'!BX191-'check-Jul25'!BX191)</f>
        <v/>
      </c>
      <c r="BY191" t="str">
        <f>IF('1. Live'!BY191='check-Jul25'!BY191,"",'1. Live'!BY191-'check-Jul25'!BY191)</f>
        <v/>
      </c>
      <c r="BZ191" t="str">
        <f>IF('1. Live'!BZ191='check-Jul25'!BZ191,"",'1. Live'!BZ191-'check-Jul25'!BZ191)</f>
        <v/>
      </c>
      <c r="CA191" t="str">
        <f>IF('1. Live'!CA191='check-Jul25'!CA191,"",'1. Live'!CA191-'check-Jul25'!CA191)</f>
        <v/>
      </c>
      <c r="CB191" t="str">
        <f>IF('1. Live'!CB191='check-Jul25'!CB191,"",'1. Live'!CB191-'check-Jul25'!CB191)</f>
        <v/>
      </c>
      <c r="CC191" t="str">
        <f>IF('1. Live'!CC191='check-Jul25'!CC191,"",'1. Live'!CC191-'check-Jul25'!CC191)</f>
        <v/>
      </c>
      <c r="CD191" t="str">
        <f>IF('1. Live'!CD191='check-Jul25'!CD191,"",'1. Live'!CD191-'check-Jul25'!CD191)</f>
        <v/>
      </c>
      <c r="CE191" t="str">
        <f>IF('1. Live'!CE191='check-Jul25'!CE191,"",'1. Live'!CE191-'check-Jul25'!CE191)</f>
        <v/>
      </c>
      <c r="CF191" t="str">
        <f>IF('1. Live'!CF191='check-Jul25'!CF191,"",'1. Live'!CF191-'check-Jul25'!CF191)</f>
        <v/>
      </c>
      <c r="CG191" t="str">
        <f>IF('1. Live'!CG191='check-Jul25'!CG191,"",'1. Live'!CG191-'check-Jul25'!CG191)</f>
        <v/>
      </c>
      <c r="CH191" t="str">
        <f>IF('1. Live'!CH191='check-Jul25'!CH191,"",'1. Live'!CH191-'check-Jul25'!CH191)</f>
        <v/>
      </c>
      <c r="CI191" t="str">
        <f>IF('1. Live'!CI191='check-Jul25'!CI191,"",'1. Live'!CI191-'check-Jul25'!CI191)</f>
        <v/>
      </c>
      <c r="CJ191" t="str">
        <f>IF('1. Live'!CJ191='check-Jul25'!CJ191,"",'1. Live'!CJ191-'check-Jul25'!CJ191)</f>
        <v/>
      </c>
      <c r="CK191" t="str">
        <f>IF('1. Live'!CK191='check-Jul25'!CK191,"",'1. Live'!CK191-'check-Jul25'!CK191)</f>
        <v/>
      </c>
      <c r="CL191" t="str">
        <f>IF('1. Live'!CL191='check-Jul25'!CL191,"",'1. Live'!CL191-'check-Jul25'!CL191)</f>
        <v/>
      </c>
      <c r="CM191" t="str">
        <f>IF('1. Live'!CM191='check-Jul25'!CM191,"",'1. Live'!CM191-'check-Jul25'!CM191)</f>
        <v/>
      </c>
      <c r="CN191" t="str">
        <f>IF('1. Live'!CN191='check-Jul25'!CN191,"",'1. Live'!CN191-'check-Jul25'!CN191)</f>
        <v/>
      </c>
      <c r="CO191" t="str">
        <f>IF('1. Live'!CO191='check-Jul25'!CO191,"",'1. Live'!CO191-'check-Jul25'!CO191)</f>
        <v/>
      </c>
      <c r="CP191" t="str">
        <f>IF('1. Live'!CP191='check-Jul25'!CP191,"",'1. Live'!CP191-'check-Jul25'!CP191)</f>
        <v/>
      </c>
      <c r="CQ191" t="str">
        <f>IF('1. Live'!CQ191='check-Jul25'!CQ191,"",'1. Live'!CQ191-'check-Jul25'!CQ191)</f>
        <v/>
      </c>
      <c r="CR191" t="str">
        <f>IF('1. Live'!CR191='check-Jul25'!CR191,"",'1. Live'!CR191-'check-Jul25'!CR191)</f>
        <v/>
      </c>
      <c r="CS191" t="str">
        <f>IF('1. Live'!CS191='check-Jul25'!CS191,"",'1. Live'!CS191-'check-Jul25'!CS191)</f>
        <v/>
      </c>
      <c r="CT191" t="str">
        <f>IF('1. Live'!CT191='check-Jul25'!CT191,"",'1. Live'!CT191-'check-Jul25'!CT191)</f>
        <v/>
      </c>
      <c r="CU191" t="str">
        <f>IF('1. Live'!CU191='check-Jul25'!CU191,"",'1. Live'!CU191-'check-Jul25'!CU191)</f>
        <v/>
      </c>
      <c r="CV191" t="str">
        <f>IF('1. Live'!CV191='check-Jul25'!CV191,"",'1. Live'!CV191-'check-Jul25'!CV191)</f>
        <v/>
      </c>
      <c r="CW191" t="str">
        <f>IF('1. Live'!CW191='check-Jul25'!CW191,"",'1. Live'!CW191-'check-Jul25'!CW191)</f>
        <v/>
      </c>
    </row>
    <row r="192" spans="10:101">
      <c r="J192" t="str">
        <f>IF('1. Live'!J192='check-Jul25'!J192,"",'1. Live'!J192-'check-Jul25'!J192)</f>
        <v/>
      </c>
      <c r="K192" t="str">
        <f>IF('1. Live'!K192='check-Jul25'!K192,"",'1. Live'!K192-'check-Jul25'!K192)</f>
        <v/>
      </c>
      <c r="L192" t="str">
        <f>IF('1. Live'!L192='check-Jul25'!L192,"",'1. Live'!L192-'check-Jul25'!L192)</f>
        <v/>
      </c>
      <c r="M192" t="str">
        <f>IF('1. Live'!M192='check-Jul25'!M192,"",'1. Live'!M192-'check-Jul25'!M192)</f>
        <v/>
      </c>
      <c r="N192" t="str">
        <f>IF('1. Live'!N192='check-Jul25'!N192,"",'1. Live'!N192-'check-Jul25'!N192)</f>
        <v/>
      </c>
      <c r="O192" t="str">
        <f>IF('1. Live'!O192='check-Jul25'!O192,"",'1. Live'!O192-'check-Jul25'!O192)</f>
        <v/>
      </c>
      <c r="P192" t="str">
        <f>IF('1. Live'!P192='check-Jul25'!P192,"",'1. Live'!P192-'check-Jul25'!P192)</f>
        <v/>
      </c>
      <c r="Q192" t="str">
        <f>IF('1. Live'!Q192='check-Jul25'!Q192,"",'1. Live'!Q192-'check-Jul25'!Q192)</f>
        <v/>
      </c>
      <c r="R192" t="str">
        <f>IF('1. Live'!R192='check-Jul25'!R192,"",'1. Live'!R192-'check-Jul25'!R192)</f>
        <v/>
      </c>
      <c r="S192" t="str">
        <f>IF('1. Live'!S192='check-Jul25'!S192,"",'1. Live'!S192-'check-Jul25'!S192)</f>
        <v/>
      </c>
      <c r="T192" t="str">
        <f>IF('1. Live'!T192='check-Jul25'!T192,"",'1. Live'!T192-'check-Jul25'!T192)</f>
        <v/>
      </c>
      <c r="U192" t="str">
        <f>IF('1. Live'!U192='check-Jul25'!U192,"",'1. Live'!U192-'check-Jul25'!U192)</f>
        <v/>
      </c>
      <c r="V192" t="str">
        <f>IF('1. Live'!V192='check-Jul25'!V192,"",'1. Live'!V192-'check-Jul25'!V192)</f>
        <v/>
      </c>
      <c r="W192" t="str">
        <f>IF('1. Live'!W192='check-Jul25'!W192,"",'1. Live'!W192-'check-Jul25'!W192)</f>
        <v/>
      </c>
      <c r="X192" t="str">
        <f>IF('1. Live'!X192='check-Jul25'!X192,"",'1. Live'!X192-'check-Jul25'!X192)</f>
        <v/>
      </c>
      <c r="Y192" t="str">
        <f>IF('1. Live'!Y192='check-Jul25'!Y192,"",'1. Live'!Y192-'check-Jul25'!Y192)</f>
        <v/>
      </c>
      <c r="Z192" t="str">
        <f>IF('1. Live'!Z192='check-Jul25'!Z192,"",'1. Live'!Z192-'check-Jul25'!Z192)</f>
        <v/>
      </c>
      <c r="AA192" t="str">
        <f>IF('1. Live'!AA192='check-Jul25'!AA192,"",'1. Live'!AA192-'check-Jul25'!AA192)</f>
        <v/>
      </c>
      <c r="AB192" t="str">
        <f>IF('1. Live'!AB192='check-Jul25'!AB192,"",'1. Live'!AB192-'check-Jul25'!AB192)</f>
        <v/>
      </c>
      <c r="AC192" t="str">
        <f>IF('1. Live'!AC192='check-Jul25'!AC192,"",'1. Live'!AC192-'check-Jul25'!AC192)</f>
        <v/>
      </c>
      <c r="AD192" t="str">
        <f>IF('1. Live'!AD192='check-Jul25'!AD192,"",'1. Live'!AD192-'check-Jul25'!AD192)</f>
        <v/>
      </c>
      <c r="AE192" t="str">
        <f>IF('1. Live'!AE192='check-Jul25'!AE192,"",'1. Live'!AE192-'check-Jul25'!AE192)</f>
        <v/>
      </c>
      <c r="AF192" t="str">
        <f>IF('1. Live'!AF192='check-Jul25'!AF192,"",'1. Live'!AF192-'check-Jul25'!AF192)</f>
        <v/>
      </c>
      <c r="AG192" t="str">
        <f>IF('1. Live'!AG192='check-Jul25'!AG192,"",'1. Live'!AG192-'check-Jul25'!AG192)</f>
        <v/>
      </c>
      <c r="AH192" t="str">
        <f>IF('1. Live'!AH192='check-Jul25'!AH192,"",'1. Live'!AH192-'check-Jul25'!AH192)</f>
        <v/>
      </c>
      <c r="AI192" t="str">
        <f>IF('1. Live'!AI192='check-Jul25'!AI192,"",'1. Live'!AI192-'check-Jul25'!AI192)</f>
        <v/>
      </c>
      <c r="AJ192" t="str">
        <f>IF('1. Live'!AJ192='check-Jul25'!AJ192,"",'1. Live'!AJ192-'check-Jul25'!AJ192)</f>
        <v/>
      </c>
      <c r="AK192" t="str">
        <f>IF('1. Live'!AK192='check-Jul25'!AK192,"",'1. Live'!AK192-'check-Jul25'!AK192)</f>
        <v/>
      </c>
      <c r="AL192" t="str">
        <f>IF('1. Live'!AL192='check-Jul25'!AL192,"",'1. Live'!AL192-'check-Jul25'!AL192)</f>
        <v/>
      </c>
      <c r="AM192" t="str">
        <f>IF('1. Live'!AM192='check-Jul25'!AM192,"",'1. Live'!AM192-'check-Jul25'!AM192)</f>
        <v/>
      </c>
      <c r="AN192" t="str">
        <f>IF('1. Live'!AN192='check-Jul25'!AN192,"",'1. Live'!AN192-'check-Jul25'!AN192)</f>
        <v/>
      </c>
      <c r="AO192" t="str">
        <f>IF('1. Live'!AO192='check-Jul25'!AO192,"",'1. Live'!AO192-'check-Jul25'!AO192)</f>
        <v/>
      </c>
      <c r="AP192" t="str">
        <f>IF('1. Live'!AP192='check-Jul25'!AP192,"",'1. Live'!AP192-'check-Jul25'!AP192)</f>
        <v/>
      </c>
      <c r="AQ192" t="str">
        <f>IF('1. Live'!AQ192='check-Jul25'!AQ192,"",'1. Live'!AQ192-'check-Jul25'!AQ192)</f>
        <v/>
      </c>
      <c r="AR192" t="str">
        <f>IF('1. Live'!AR192='check-Jul25'!AR192,"",'1. Live'!AR192-'check-Jul25'!AR192)</f>
        <v/>
      </c>
      <c r="AS192" t="str">
        <f>IF('1. Live'!AS192='check-Jul25'!AS192,"",'1. Live'!AS192-'check-Jul25'!AS192)</f>
        <v/>
      </c>
      <c r="AT192" t="str">
        <f>IF('1. Live'!AT192='check-Jul25'!AT192,"",'1. Live'!AT192-'check-Jul25'!AT192)</f>
        <v/>
      </c>
      <c r="AU192" t="str">
        <f>IF('1. Live'!AU192='check-Jul25'!AU192,"",'1. Live'!AU192-'check-Jul25'!AU192)</f>
        <v/>
      </c>
      <c r="AV192" t="str">
        <f>IF('1. Live'!AV192='check-Jul25'!AV192,"",'1. Live'!AV192-'check-Jul25'!AV192)</f>
        <v/>
      </c>
      <c r="AW192" t="str">
        <f>IF('1. Live'!AW192='check-Jul25'!AW192,"",'1. Live'!AW192-'check-Jul25'!AW192)</f>
        <v/>
      </c>
      <c r="AX192" t="str">
        <f>IF('1. Live'!AX192='check-Jul25'!AX192,"",'1. Live'!AX192-'check-Jul25'!AX192)</f>
        <v/>
      </c>
      <c r="AY192" t="str">
        <f>IF('1. Live'!AY192='check-Jul25'!AY192,"",'1. Live'!AY192-'check-Jul25'!AY192)</f>
        <v/>
      </c>
      <c r="AZ192" t="str">
        <f>IF('1. Live'!AZ192='check-Jul25'!AZ192,"",'1. Live'!AZ192-'check-Jul25'!AZ192)</f>
        <v/>
      </c>
      <c r="BA192" t="str">
        <f>IF('1. Live'!BA192='check-Jul25'!BA192,"",'1. Live'!BA192-'check-Jul25'!BA192)</f>
        <v/>
      </c>
      <c r="BB192" t="str">
        <f>IF('1. Live'!BB192='check-Jul25'!BB192,"",'1. Live'!BB192-'check-Jul25'!BB192)</f>
        <v/>
      </c>
      <c r="BC192" t="str">
        <f>IF('1. Live'!BC192='check-Jul25'!BC192,"",'1. Live'!BC192-'check-Jul25'!BC192)</f>
        <v/>
      </c>
      <c r="BD192" t="str">
        <f>IF('1. Live'!BD192='check-Jul25'!BD192,"",'1. Live'!BD192-'check-Jul25'!BD192)</f>
        <v/>
      </c>
      <c r="BE192" t="str">
        <f>IF('1. Live'!BE192='check-Jul25'!BE192,"",'1. Live'!BE192-'check-Jul25'!BE192)</f>
        <v/>
      </c>
      <c r="BF192" t="str">
        <f>IF('1. Live'!BF192='check-Jul25'!BF192,"",'1. Live'!BF192-'check-Jul25'!BF192)</f>
        <v/>
      </c>
      <c r="BG192" t="str">
        <f>IF('1. Live'!BG192='check-Jul25'!BG192,"",'1. Live'!BG192-'check-Jul25'!BG192)</f>
        <v/>
      </c>
      <c r="BH192" t="str">
        <f>IF('1. Live'!BH192='check-Jul25'!BH192,"",'1. Live'!BH192-'check-Jul25'!BH192)</f>
        <v/>
      </c>
      <c r="BI192" t="str">
        <f>IF('1. Live'!BI192='check-Jul25'!BI192,"",'1. Live'!BI192-'check-Jul25'!BI192)</f>
        <v/>
      </c>
      <c r="BJ192" t="str">
        <f>IF('1. Live'!BJ192='check-Jul25'!BJ192,"",'1. Live'!BJ192-'check-Jul25'!BJ192)</f>
        <v/>
      </c>
      <c r="BK192" t="str">
        <f>IF('1. Live'!BK192='check-Jul25'!BK192,"",'1. Live'!BK192-'check-Jul25'!BK192)</f>
        <v/>
      </c>
      <c r="BL192" t="str">
        <f>IF('1. Live'!BL192='check-Jul25'!BL192,"",'1. Live'!BL192-'check-Jul25'!BL192)</f>
        <v/>
      </c>
      <c r="BM192" t="str">
        <f>IF('1. Live'!BM192='check-Jul25'!BM192,"",'1. Live'!BM192-'check-Jul25'!BM192)</f>
        <v/>
      </c>
      <c r="BN192" t="str">
        <f>IF('1. Live'!BN192='check-Jul25'!BN192,"",'1. Live'!BN192-'check-Jul25'!BN192)</f>
        <v/>
      </c>
      <c r="BO192" t="str">
        <f>IF('1. Live'!BO192='check-Jul25'!BO192,"",'1. Live'!BO192-'check-Jul25'!BO192)</f>
        <v/>
      </c>
      <c r="BP192" t="str">
        <f>IF('1. Live'!BP192='check-Jul25'!BP192,"",'1. Live'!BP192-'check-Jul25'!BP192)</f>
        <v/>
      </c>
      <c r="BQ192" t="str">
        <f>IF('1. Live'!BQ192='check-Jul25'!BQ192,"",'1. Live'!BQ192-'check-Jul25'!BQ192)</f>
        <v/>
      </c>
      <c r="BR192" t="str">
        <f>IF('1. Live'!BR192='check-Jul25'!BR192,"",'1. Live'!BR192-'check-Jul25'!BR192)</f>
        <v/>
      </c>
      <c r="BS192" t="str">
        <f>IF('1. Live'!BS192='check-Jul25'!BS192,"",'1. Live'!BS192-'check-Jul25'!BS192)</f>
        <v/>
      </c>
      <c r="BT192" t="str">
        <f>IF('1. Live'!BT192='check-Jul25'!BT192,"",'1. Live'!BT192-'check-Jul25'!BT192)</f>
        <v/>
      </c>
      <c r="BU192" t="str">
        <f>IF('1. Live'!BU192='check-Jul25'!BU192,"",'1. Live'!BU192-'check-Jul25'!BU192)</f>
        <v/>
      </c>
      <c r="BV192" t="str">
        <f>IF('1. Live'!BV192='check-Jul25'!BV192,"",'1. Live'!BV192-'check-Jul25'!BV192)</f>
        <v/>
      </c>
      <c r="BW192" t="str">
        <f>IF('1. Live'!BW192='check-Jul25'!BW192,"",'1. Live'!BW192-'check-Jul25'!BW192)</f>
        <v/>
      </c>
      <c r="BX192" t="str">
        <f>IF('1. Live'!BX192='check-Jul25'!BX192,"",'1. Live'!BX192-'check-Jul25'!BX192)</f>
        <v/>
      </c>
      <c r="BY192" t="str">
        <f>IF('1. Live'!BY192='check-Jul25'!BY192,"",'1. Live'!BY192-'check-Jul25'!BY192)</f>
        <v/>
      </c>
      <c r="BZ192" t="str">
        <f>IF('1. Live'!BZ192='check-Jul25'!BZ192,"",'1. Live'!BZ192-'check-Jul25'!BZ192)</f>
        <v/>
      </c>
      <c r="CA192" t="str">
        <f>IF('1. Live'!CA192='check-Jul25'!CA192,"",'1. Live'!CA192-'check-Jul25'!CA192)</f>
        <v/>
      </c>
      <c r="CB192" t="str">
        <f>IF('1. Live'!CB192='check-Jul25'!CB192,"",'1. Live'!CB192-'check-Jul25'!CB192)</f>
        <v/>
      </c>
      <c r="CC192" t="str">
        <f>IF('1. Live'!CC192='check-Jul25'!CC192,"",'1. Live'!CC192-'check-Jul25'!CC192)</f>
        <v/>
      </c>
      <c r="CD192" t="str">
        <f>IF('1. Live'!CD192='check-Jul25'!CD192,"",'1. Live'!CD192-'check-Jul25'!CD192)</f>
        <v/>
      </c>
      <c r="CE192" t="str">
        <f>IF('1. Live'!CE192='check-Jul25'!CE192,"",'1. Live'!CE192-'check-Jul25'!CE192)</f>
        <v/>
      </c>
      <c r="CF192" t="str">
        <f>IF('1. Live'!CF192='check-Jul25'!CF192,"",'1. Live'!CF192-'check-Jul25'!CF192)</f>
        <v/>
      </c>
      <c r="CG192" t="str">
        <f>IF('1. Live'!CG192='check-Jul25'!CG192,"",'1. Live'!CG192-'check-Jul25'!CG192)</f>
        <v/>
      </c>
      <c r="CH192" t="str">
        <f>IF('1. Live'!CH192='check-Jul25'!CH192,"",'1. Live'!CH192-'check-Jul25'!CH192)</f>
        <v/>
      </c>
      <c r="CI192" t="str">
        <f>IF('1. Live'!CI192='check-Jul25'!CI192,"",'1. Live'!CI192-'check-Jul25'!CI192)</f>
        <v/>
      </c>
      <c r="CJ192" t="str">
        <f>IF('1. Live'!CJ192='check-Jul25'!CJ192,"",'1. Live'!CJ192-'check-Jul25'!CJ192)</f>
        <v/>
      </c>
      <c r="CK192" t="str">
        <f>IF('1. Live'!CK192='check-Jul25'!CK192,"",'1. Live'!CK192-'check-Jul25'!CK192)</f>
        <v/>
      </c>
      <c r="CL192" t="str">
        <f>IF('1. Live'!CL192='check-Jul25'!CL192,"",'1. Live'!CL192-'check-Jul25'!CL192)</f>
        <v/>
      </c>
      <c r="CM192" t="str">
        <f>IF('1. Live'!CM192='check-Jul25'!CM192,"",'1. Live'!CM192-'check-Jul25'!CM192)</f>
        <v/>
      </c>
      <c r="CN192" t="str">
        <f>IF('1. Live'!CN192='check-Jul25'!CN192,"",'1. Live'!CN192-'check-Jul25'!CN192)</f>
        <v/>
      </c>
      <c r="CO192" t="str">
        <f>IF('1. Live'!CO192='check-Jul25'!CO192,"",'1. Live'!CO192-'check-Jul25'!CO192)</f>
        <v/>
      </c>
      <c r="CP192" t="str">
        <f>IF('1. Live'!CP192='check-Jul25'!CP192,"",'1. Live'!CP192-'check-Jul25'!CP192)</f>
        <v/>
      </c>
      <c r="CQ192" t="str">
        <f>IF('1. Live'!CQ192='check-Jul25'!CQ192,"",'1. Live'!CQ192-'check-Jul25'!CQ192)</f>
        <v/>
      </c>
      <c r="CR192" t="str">
        <f>IF('1. Live'!CR192='check-Jul25'!CR192,"",'1. Live'!CR192-'check-Jul25'!CR192)</f>
        <v/>
      </c>
      <c r="CS192" t="str">
        <f>IF('1. Live'!CS192='check-Jul25'!CS192,"",'1. Live'!CS192-'check-Jul25'!CS192)</f>
        <v/>
      </c>
      <c r="CT192" t="str">
        <f>IF('1. Live'!CT192='check-Jul25'!CT192,"",'1. Live'!CT192-'check-Jul25'!CT192)</f>
        <v/>
      </c>
      <c r="CU192" t="str">
        <f>IF('1. Live'!CU192='check-Jul25'!CU192,"",'1. Live'!CU192-'check-Jul25'!CU192)</f>
        <v/>
      </c>
      <c r="CV192" t="str">
        <f>IF('1. Live'!CV192='check-Jul25'!CV192,"",'1. Live'!CV192-'check-Jul25'!CV192)</f>
        <v/>
      </c>
      <c r="CW192" t="str">
        <f>IF('1. Live'!CW192='check-Jul25'!CW192,"",'1. Live'!CW192-'check-Jul25'!CW192)</f>
        <v/>
      </c>
    </row>
    <row r="193" spans="10:101">
      <c r="J193" t="str">
        <f>IF('1. Live'!J193='check-Jul25'!J193,"",'1. Live'!J193-'check-Jul25'!J193)</f>
        <v/>
      </c>
      <c r="K193" t="str">
        <f>IF('1. Live'!K193='check-Jul25'!K193,"",'1. Live'!K193-'check-Jul25'!K193)</f>
        <v/>
      </c>
      <c r="L193" t="str">
        <f>IF('1. Live'!L193='check-Jul25'!L193,"",'1. Live'!L193-'check-Jul25'!L193)</f>
        <v/>
      </c>
      <c r="M193" t="str">
        <f>IF('1. Live'!M193='check-Jul25'!M193,"",'1. Live'!M193-'check-Jul25'!M193)</f>
        <v/>
      </c>
      <c r="N193" t="str">
        <f>IF('1. Live'!N193='check-Jul25'!N193,"",'1. Live'!N193-'check-Jul25'!N193)</f>
        <v/>
      </c>
      <c r="O193" t="str">
        <f>IF('1. Live'!O193='check-Jul25'!O193,"",'1. Live'!O193-'check-Jul25'!O193)</f>
        <v/>
      </c>
      <c r="P193" t="str">
        <f>IF('1. Live'!P193='check-Jul25'!P193,"",'1. Live'!P193-'check-Jul25'!P193)</f>
        <v/>
      </c>
      <c r="Q193" t="str">
        <f>IF('1. Live'!Q193='check-Jul25'!Q193,"",'1. Live'!Q193-'check-Jul25'!Q193)</f>
        <v/>
      </c>
      <c r="R193" t="str">
        <f>IF('1. Live'!R193='check-Jul25'!R193,"",'1. Live'!R193-'check-Jul25'!R193)</f>
        <v/>
      </c>
      <c r="S193" t="str">
        <f>IF('1. Live'!S193='check-Jul25'!S193,"",'1. Live'!S193-'check-Jul25'!S193)</f>
        <v/>
      </c>
      <c r="T193" t="str">
        <f>IF('1. Live'!T193='check-Jul25'!T193,"",'1. Live'!T193-'check-Jul25'!T193)</f>
        <v/>
      </c>
      <c r="U193" t="str">
        <f>IF('1. Live'!U193='check-Jul25'!U193,"",'1. Live'!U193-'check-Jul25'!U193)</f>
        <v/>
      </c>
      <c r="V193" t="str">
        <f>IF('1. Live'!V193='check-Jul25'!V193,"",'1. Live'!V193-'check-Jul25'!V193)</f>
        <v/>
      </c>
      <c r="W193" t="str">
        <f>IF('1. Live'!W193='check-Jul25'!W193,"",'1. Live'!W193-'check-Jul25'!W193)</f>
        <v/>
      </c>
      <c r="X193" t="str">
        <f>IF('1. Live'!X193='check-Jul25'!X193,"",'1. Live'!X193-'check-Jul25'!X193)</f>
        <v/>
      </c>
      <c r="Y193" t="str">
        <f>IF('1. Live'!Y193='check-Jul25'!Y193,"",'1. Live'!Y193-'check-Jul25'!Y193)</f>
        <v/>
      </c>
      <c r="Z193" t="str">
        <f>IF('1. Live'!Z193='check-Jul25'!Z193,"",'1. Live'!Z193-'check-Jul25'!Z193)</f>
        <v/>
      </c>
      <c r="AA193" t="str">
        <f>IF('1. Live'!AA193='check-Jul25'!AA193,"",'1. Live'!AA193-'check-Jul25'!AA193)</f>
        <v/>
      </c>
      <c r="AB193" t="str">
        <f>IF('1. Live'!AB193='check-Jul25'!AB193,"",'1. Live'!AB193-'check-Jul25'!AB193)</f>
        <v/>
      </c>
      <c r="AC193" t="str">
        <f>IF('1. Live'!AC193='check-Jul25'!AC193,"",'1. Live'!AC193-'check-Jul25'!AC193)</f>
        <v/>
      </c>
      <c r="AD193" t="str">
        <f>IF('1. Live'!AD193='check-Jul25'!AD193,"",'1. Live'!AD193-'check-Jul25'!AD193)</f>
        <v/>
      </c>
      <c r="AE193" t="str">
        <f>IF('1. Live'!AE193='check-Jul25'!AE193,"",'1. Live'!AE193-'check-Jul25'!AE193)</f>
        <v/>
      </c>
      <c r="AF193" t="str">
        <f>IF('1. Live'!AF193='check-Jul25'!AF193,"",'1. Live'!AF193-'check-Jul25'!AF193)</f>
        <v/>
      </c>
      <c r="AG193" t="str">
        <f>IF('1. Live'!AG193='check-Jul25'!AG193,"",'1. Live'!AG193-'check-Jul25'!AG193)</f>
        <v/>
      </c>
      <c r="AH193" t="str">
        <f>IF('1. Live'!AH193='check-Jul25'!AH193,"",'1. Live'!AH193-'check-Jul25'!AH193)</f>
        <v/>
      </c>
      <c r="AI193" t="str">
        <f>IF('1. Live'!AI193='check-Jul25'!AI193,"",'1. Live'!AI193-'check-Jul25'!AI193)</f>
        <v/>
      </c>
      <c r="AJ193" t="str">
        <f>IF('1. Live'!AJ193='check-Jul25'!AJ193,"",'1. Live'!AJ193-'check-Jul25'!AJ193)</f>
        <v/>
      </c>
      <c r="AK193" t="str">
        <f>IF('1. Live'!AK193='check-Jul25'!AK193,"",'1. Live'!AK193-'check-Jul25'!AK193)</f>
        <v/>
      </c>
      <c r="AL193" t="str">
        <f>IF('1. Live'!AL193='check-Jul25'!AL193,"",'1. Live'!AL193-'check-Jul25'!AL193)</f>
        <v/>
      </c>
      <c r="AM193" t="str">
        <f>IF('1. Live'!AM193='check-Jul25'!AM193,"",'1. Live'!AM193-'check-Jul25'!AM193)</f>
        <v/>
      </c>
      <c r="AN193" t="str">
        <f>IF('1. Live'!AN193='check-Jul25'!AN193,"",'1. Live'!AN193-'check-Jul25'!AN193)</f>
        <v/>
      </c>
      <c r="AO193" t="str">
        <f>IF('1. Live'!AO193='check-Jul25'!AO193,"",'1. Live'!AO193-'check-Jul25'!AO193)</f>
        <v/>
      </c>
      <c r="AP193" t="str">
        <f>IF('1. Live'!AP193='check-Jul25'!AP193,"",'1. Live'!AP193-'check-Jul25'!AP193)</f>
        <v/>
      </c>
      <c r="AQ193" t="str">
        <f>IF('1. Live'!AQ193='check-Jul25'!AQ193,"",'1. Live'!AQ193-'check-Jul25'!AQ193)</f>
        <v/>
      </c>
      <c r="AR193" t="str">
        <f>IF('1. Live'!AR193='check-Jul25'!AR193,"",'1. Live'!AR193-'check-Jul25'!AR193)</f>
        <v/>
      </c>
      <c r="AS193" t="str">
        <f>IF('1. Live'!AS193='check-Jul25'!AS193,"",'1. Live'!AS193-'check-Jul25'!AS193)</f>
        <v/>
      </c>
      <c r="AT193" t="str">
        <f>IF('1. Live'!AT193='check-Jul25'!AT193,"",'1. Live'!AT193-'check-Jul25'!AT193)</f>
        <v/>
      </c>
      <c r="AU193" t="str">
        <f>IF('1. Live'!AU193='check-Jul25'!AU193,"",'1. Live'!AU193-'check-Jul25'!AU193)</f>
        <v/>
      </c>
      <c r="AV193" t="str">
        <f>IF('1. Live'!AV193='check-Jul25'!AV193,"",'1. Live'!AV193-'check-Jul25'!AV193)</f>
        <v/>
      </c>
      <c r="AW193" t="str">
        <f>IF('1. Live'!AW193='check-Jul25'!AW193,"",'1. Live'!AW193-'check-Jul25'!AW193)</f>
        <v/>
      </c>
      <c r="AX193" t="str">
        <f>IF('1. Live'!AX193='check-Jul25'!AX193,"",'1. Live'!AX193-'check-Jul25'!AX193)</f>
        <v/>
      </c>
      <c r="AY193" t="str">
        <f>IF('1. Live'!AY193='check-Jul25'!AY193,"",'1. Live'!AY193-'check-Jul25'!AY193)</f>
        <v/>
      </c>
      <c r="AZ193" t="str">
        <f>IF('1. Live'!AZ193='check-Jul25'!AZ193,"",'1. Live'!AZ193-'check-Jul25'!AZ193)</f>
        <v/>
      </c>
      <c r="BA193" t="str">
        <f>IF('1. Live'!BA193='check-Jul25'!BA193,"",'1. Live'!BA193-'check-Jul25'!BA193)</f>
        <v/>
      </c>
      <c r="BB193" t="str">
        <f>IF('1. Live'!BB193='check-Jul25'!BB193,"",'1. Live'!BB193-'check-Jul25'!BB193)</f>
        <v/>
      </c>
      <c r="BC193" t="str">
        <f>IF('1. Live'!BC193='check-Jul25'!BC193,"",'1. Live'!BC193-'check-Jul25'!BC193)</f>
        <v/>
      </c>
      <c r="BD193" t="str">
        <f>IF('1. Live'!BD193='check-Jul25'!BD193,"",'1. Live'!BD193-'check-Jul25'!BD193)</f>
        <v/>
      </c>
      <c r="BE193" t="str">
        <f>IF('1. Live'!BE193='check-Jul25'!BE193,"",'1. Live'!BE193-'check-Jul25'!BE193)</f>
        <v/>
      </c>
      <c r="BF193" t="str">
        <f>IF('1. Live'!BF193='check-Jul25'!BF193,"",'1. Live'!BF193-'check-Jul25'!BF193)</f>
        <v/>
      </c>
      <c r="BG193" t="str">
        <f>IF('1. Live'!BG193='check-Jul25'!BG193,"",'1. Live'!BG193-'check-Jul25'!BG193)</f>
        <v/>
      </c>
      <c r="BH193" t="str">
        <f>IF('1. Live'!BH193='check-Jul25'!BH193,"",'1. Live'!BH193-'check-Jul25'!BH193)</f>
        <v/>
      </c>
      <c r="BI193" t="str">
        <f>IF('1. Live'!BI193='check-Jul25'!BI193,"",'1. Live'!BI193-'check-Jul25'!BI193)</f>
        <v/>
      </c>
      <c r="BJ193" t="str">
        <f>IF('1. Live'!BJ193='check-Jul25'!BJ193,"",'1. Live'!BJ193-'check-Jul25'!BJ193)</f>
        <v/>
      </c>
      <c r="BK193" t="str">
        <f>IF('1. Live'!BK193='check-Jul25'!BK193,"",'1. Live'!BK193-'check-Jul25'!BK193)</f>
        <v/>
      </c>
      <c r="BL193" t="str">
        <f>IF('1. Live'!BL193='check-Jul25'!BL193,"",'1. Live'!BL193-'check-Jul25'!BL193)</f>
        <v/>
      </c>
      <c r="BM193" t="str">
        <f>IF('1. Live'!BM193='check-Jul25'!BM193,"",'1. Live'!BM193-'check-Jul25'!BM193)</f>
        <v/>
      </c>
      <c r="BN193" t="str">
        <f>IF('1. Live'!BN193='check-Jul25'!BN193,"",'1. Live'!BN193-'check-Jul25'!BN193)</f>
        <v/>
      </c>
      <c r="BO193" t="str">
        <f>IF('1. Live'!BO193='check-Jul25'!BO193,"",'1. Live'!BO193-'check-Jul25'!BO193)</f>
        <v/>
      </c>
      <c r="BP193" t="str">
        <f>IF('1. Live'!BP193='check-Jul25'!BP193,"",'1. Live'!BP193-'check-Jul25'!BP193)</f>
        <v/>
      </c>
      <c r="BQ193" t="str">
        <f>IF('1. Live'!BQ193='check-Jul25'!BQ193,"",'1. Live'!BQ193-'check-Jul25'!BQ193)</f>
        <v/>
      </c>
      <c r="BR193" t="str">
        <f>IF('1. Live'!BR193='check-Jul25'!BR193,"",'1. Live'!BR193-'check-Jul25'!BR193)</f>
        <v/>
      </c>
      <c r="BS193" t="str">
        <f>IF('1. Live'!BS193='check-Jul25'!BS193,"",'1. Live'!BS193-'check-Jul25'!BS193)</f>
        <v/>
      </c>
      <c r="BT193" t="str">
        <f>IF('1. Live'!BT193='check-Jul25'!BT193,"",'1. Live'!BT193-'check-Jul25'!BT193)</f>
        <v/>
      </c>
      <c r="BU193" t="str">
        <f>IF('1. Live'!BU193='check-Jul25'!BU193,"",'1. Live'!BU193-'check-Jul25'!BU193)</f>
        <v/>
      </c>
      <c r="BV193" t="str">
        <f>IF('1. Live'!BV193='check-Jul25'!BV193,"",'1. Live'!BV193-'check-Jul25'!BV193)</f>
        <v/>
      </c>
      <c r="BW193" t="str">
        <f>IF('1. Live'!BW193='check-Jul25'!BW193,"",'1. Live'!BW193-'check-Jul25'!BW193)</f>
        <v/>
      </c>
      <c r="BX193" t="str">
        <f>IF('1. Live'!BX193='check-Jul25'!BX193,"",'1. Live'!BX193-'check-Jul25'!BX193)</f>
        <v/>
      </c>
      <c r="BY193" t="str">
        <f>IF('1. Live'!BY193='check-Jul25'!BY193,"",'1. Live'!BY193-'check-Jul25'!BY193)</f>
        <v/>
      </c>
      <c r="BZ193" t="str">
        <f>IF('1. Live'!BZ193='check-Jul25'!BZ193,"",'1. Live'!BZ193-'check-Jul25'!BZ193)</f>
        <v/>
      </c>
      <c r="CA193" t="str">
        <f>IF('1. Live'!CA193='check-Jul25'!CA193,"",'1. Live'!CA193-'check-Jul25'!CA193)</f>
        <v/>
      </c>
      <c r="CB193" t="str">
        <f>IF('1. Live'!CB193='check-Jul25'!CB193,"",'1. Live'!CB193-'check-Jul25'!CB193)</f>
        <v/>
      </c>
      <c r="CC193" t="str">
        <f>IF('1. Live'!CC193='check-Jul25'!CC193,"",'1. Live'!CC193-'check-Jul25'!CC193)</f>
        <v/>
      </c>
      <c r="CD193" t="str">
        <f>IF('1. Live'!CD193='check-Jul25'!CD193,"",'1. Live'!CD193-'check-Jul25'!CD193)</f>
        <v/>
      </c>
      <c r="CE193" t="str">
        <f>IF('1. Live'!CE193='check-Jul25'!CE193,"",'1. Live'!CE193-'check-Jul25'!CE193)</f>
        <v/>
      </c>
      <c r="CF193" t="str">
        <f>IF('1. Live'!CF193='check-Jul25'!CF193,"",'1. Live'!CF193-'check-Jul25'!CF193)</f>
        <v/>
      </c>
      <c r="CG193" t="str">
        <f>IF('1. Live'!CG193='check-Jul25'!CG193,"",'1. Live'!CG193-'check-Jul25'!CG193)</f>
        <v/>
      </c>
      <c r="CH193" t="str">
        <f>IF('1. Live'!CH193='check-Jul25'!CH193,"",'1. Live'!CH193-'check-Jul25'!CH193)</f>
        <v/>
      </c>
      <c r="CI193" t="str">
        <f>IF('1. Live'!CI193='check-Jul25'!CI193,"",'1. Live'!CI193-'check-Jul25'!CI193)</f>
        <v/>
      </c>
      <c r="CJ193" t="str">
        <f>IF('1. Live'!CJ193='check-Jul25'!CJ193,"",'1. Live'!CJ193-'check-Jul25'!CJ193)</f>
        <v/>
      </c>
      <c r="CK193" t="str">
        <f>IF('1. Live'!CK193='check-Jul25'!CK193,"",'1. Live'!CK193-'check-Jul25'!CK193)</f>
        <v/>
      </c>
      <c r="CL193" t="str">
        <f>IF('1. Live'!CL193='check-Jul25'!CL193,"",'1. Live'!CL193-'check-Jul25'!CL193)</f>
        <v/>
      </c>
      <c r="CM193" t="str">
        <f>IF('1. Live'!CM193='check-Jul25'!CM193,"",'1. Live'!CM193-'check-Jul25'!CM193)</f>
        <v/>
      </c>
      <c r="CN193" t="str">
        <f>IF('1. Live'!CN193='check-Jul25'!CN193,"",'1. Live'!CN193-'check-Jul25'!CN193)</f>
        <v/>
      </c>
      <c r="CO193" t="str">
        <f>IF('1. Live'!CO193='check-Jul25'!CO193,"",'1. Live'!CO193-'check-Jul25'!CO193)</f>
        <v/>
      </c>
      <c r="CP193" t="str">
        <f>IF('1. Live'!CP193='check-Jul25'!CP193,"",'1. Live'!CP193-'check-Jul25'!CP193)</f>
        <v/>
      </c>
      <c r="CQ193" t="str">
        <f>IF('1. Live'!CQ193='check-Jul25'!CQ193,"",'1. Live'!CQ193-'check-Jul25'!CQ193)</f>
        <v/>
      </c>
      <c r="CR193" t="str">
        <f>IF('1. Live'!CR193='check-Jul25'!CR193,"",'1. Live'!CR193-'check-Jul25'!CR193)</f>
        <v/>
      </c>
      <c r="CS193" t="str">
        <f>IF('1. Live'!CS193='check-Jul25'!CS193,"",'1. Live'!CS193-'check-Jul25'!CS193)</f>
        <v/>
      </c>
      <c r="CT193" t="str">
        <f>IF('1. Live'!CT193='check-Jul25'!CT193,"",'1. Live'!CT193-'check-Jul25'!CT193)</f>
        <v/>
      </c>
      <c r="CU193" t="str">
        <f>IF('1. Live'!CU193='check-Jul25'!CU193,"",'1. Live'!CU193-'check-Jul25'!CU193)</f>
        <v/>
      </c>
      <c r="CV193" t="str">
        <f>IF('1. Live'!CV193='check-Jul25'!CV193,"",'1. Live'!CV193-'check-Jul25'!CV193)</f>
        <v/>
      </c>
      <c r="CW193" t="str">
        <f>IF('1. Live'!CW193='check-Jul25'!CW193,"",'1. Live'!CW193-'check-Jul25'!CW193)</f>
        <v/>
      </c>
    </row>
    <row r="194" spans="10:101">
      <c r="J194" t="str">
        <f>IF('1. Live'!J194='check-Jul25'!J194,"",'1. Live'!J194-'check-Jul25'!J194)</f>
        <v/>
      </c>
      <c r="K194" t="str">
        <f>IF('1. Live'!K194='check-Jul25'!K194,"",'1. Live'!K194-'check-Jul25'!K194)</f>
        <v/>
      </c>
      <c r="L194" t="str">
        <f>IF('1. Live'!L194='check-Jul25'!L194,"",'1. Live'!L194-'check-Jul25'!L194)</f>
        <v/>
      </c>
      <c r="M194" t="str">
        <f>IF('1. Live'!M194='check-Jul25'!M194,"",'1. Live'!M194-'check-Jul25'!M194)</f>
        <v/>
      </c>
      <c r="N194" t="str">
        <f>IF('1. Live'!N194='check-Jul25'!N194,"",'1. Live'!N194-'check-Jul25'!N194)</f>
        <v/>
      </c>
      <c r="O194" t="str">
        <f>IF('1. Live'!O194='check-Jul25'!O194,"",'1. Live'!O194-'check-Jul25'!O194)</f>
        <v/>
      </c>
      <c r="P194" t="str">
        <f>IF('1. Live'!P194='check-Jul25'!P194,"",'1. Live'!P194-'check-Jul25'!P194)</f>
        <v/>
      </c>
      <c r="Q194" t="str">
        <f>IF('1. Live'!Q194='check-Jul25'!Q194,"",'1. Live'!Q194-'check-Jul25'!Q194)</f>
        <v/>
      </c>
      <c r="R194" t="str">
        <f>IF('1. Live'!R194='check-Jul25'!R194,"",'1. Live'!R194-'check-Jul25'!R194)</f>
        <v/>
      </c>
      <c r="S194" t="str">
        <f>IF('1. Live'!S194='check-Jul25'!S194,"",'1. Live'!S194-'check-Jul25'!S194)</f>
        <v/>
      </c>
      <c r="T194" t="str">
        <f>IF('1. Live'!T194='check-Jul25'!T194,"",'1. Live'!T194-'check-Jul25'!T194)</f>
        <v/>
      </c>
      <c r="U194" t="str">
        <f>IF('1. Live'!U194='check-Jul25'!U194,"",'1. Live'!U194-'check-Jul25'!U194)</f>
        <v/>
      </c>
      <c r="V194" t="str">
        <f>IF('1. Live'!V194='check-Jul25'!V194,"",'1. Live'!V194-'check-Jul25'!V194)</f>
        <v/>
      </c>
      <c r="W194" t="str">
        <f>IF('1. Live'!W194='check-Jul25'!W194,"",'1. Live'!W194-'check-Jul25'!W194)</f>
        <v/>
      </c>
      <c r="X194" t="str">
        <f>IF('1. Live'!X194='check-Jul25'!X194,"",'1. Live'!X194-'check-Jul25'!X194)</f>
        <v/>
      </c>
      <c r="Y194" t="str">
        <f>IF('1. Live'!Y194='check-Jul25'!Y194,"",'1. Live'!Y194-'check-Jul25'!Y194)</f>
        <v/>
      </c>
      <c r="Z194" t="str">
        <f>IF('1. Live'!Z194='check-Jul25'!Z194,"",'1. Live'!Z194-'check-Jul25'!Z194)</f>
        <v/>
      </c>
      <c r="AA194" t="str">
        <f>IF('1. Live'!AA194='check-Jul25'!AA194,"",'1. Live'!AA194-'check-Jul25'!AA194)</f>
        <v/>
      </c>
      <c r="AB194" t="str">
        <f>IF('1. Live'!AB194='check-Jul25'!AB194,"",'1. Live'!AB194-'check-Jul25'!AB194)</f>
        <v/>
      </c>
      <c r="AC194" t="str">
        <f>IF('1. Live'!AC194='check-Jul25'!AC194,"",'1. Live'!AC194-'check-Jul25'!AC194)</f>
        <v/>
      </c>
      <c r="AD194" t="str">
        <f>IF('1. Live'!AD194='check-Jul25'!AD194,"",'1. Live'!AD194-'check-Jul25'!AD194)</f>
        <v/>
      </c>
      <c r="AE194" t="str">
        <f>IF('1. Live'!AE194='check-Jul25'!AE194,"",'1. Live'!AE194-'check-Jul25'!AE194)</f>
        <v/>
      </c>
      <c r="AF194" t="str">
        <f>IF('1. Live'!AF194='check-Jul25'!AF194,"",'1. Live'!AF194-'check-Jul25'!AF194)</f>
        <v/>
      </c>
      <c r="AG194" t="str">
        <f>IF('1. Live'!AG194='check-Jul25'!AG194,"",'1. Live'!AG194-'check-Jul25'!AG194)</f>
        <v/>
      </c>
      <c r="AH194" t="str">
        <f>IF('1. Live'!AH194='check-Jul25'!AH194,"",'1. Live'!AH194-'check-Jul25'!AH194)</f>
        <v/>
      </c>
      <c r="AI194" t="str">
        <f>IF('1. Live'!AI194='check-Jul25'!AI194,"",'1. Live'!AI194-'check-Jul25'!AI194)</f>
        <v/>
      </c>
      <c r="AJ194" t="str">
        <f>IF('1. Live'!AJ194='check-Jul25'!AJ194,"",'1. Live'!AJ194-'check-Jul25'!AJ194)</f>
        <v/>
      </c>
      <c r="AK194" t="str">
        <f>IF('1. Live'!AK194='check-Jul25'!AK194,"",'1. Live'!AK194-'check-Jul25'!AK194)</f>
        <v/>
      </c>
      <c r="AL194" t="str">
        <f>IF('1. Live'!AL194='check-Jul25'!AL194,"",'1. Live'!AL194-'check-Jul25'!AL194)</f>
        <v/>
      </c>
      <c r="AM194" t="str">
        <f>IF('1. Live'!AM194='check-Jul25'!AM194,"",'1. Live'!AM194-'check-Jul25'!AM194)</f>
        <v/>
      </c>
      <c r="AN194" t="str">
        <f>IF('1. Live'!AN194='check-Jul25'!AN194,"",'1. Live'!AN194-'check-Jul25'!AN194)</f>
        <v/>
      </c>
      <c r="AO194" t="str">
        <f>IF('1. Live'!AO194='check-Jul25'!AO194,"",'1. Live'!AO194-'check-Jul25'!AO194)</f>
        <v/>
      </c>
      <c r="AP194" t="str">
        <f>IF('1. Live'!AP194='check-Jul25'!AP194,"",'1. Live'!AP194-'check-Jul25'!AP194)</f>
        <v/>
      </c>
      <c r="AQ194" t="str">
        <f>IF('1. Live'!AQ194='check-Jul25'!AQ194,"",'1. Live'!AQ194-'check-Jul25'!AQ194)</f>
        <v/>
      </c>
      <c r="AR194" t="str">
        <f>IF('1. Live'!AR194='check-Jul25'!AR194,"",'1. Live'!AR194-'check-Jul25'!AR194)</f>
        <v/>
      </c>
      <c r="AS194" t="str">
        <f>IF('1. Live'!AS194='check-Jul25'!AS194,"",'1. Live'!AS194-'check-Jul25'!AS194)</f>
        <v/>
      </c>
      <c r="AT194" t="str">
        <f>IF('1. Live'!AT194='check-Jul25'!AT194,"",'1. Live'!AT194-'check-Jul25'!AT194)</f>
        <v/>
      </c>
      <c r="AU194" t="str">
        <f>IF('1. Live'!AU194='check-Jul25'!AU194,"",'1. Live'!AU194-'check-Jul25'!AU194)</f>
        <v/>
      </c>
      <c r="AV194" t="str">
        <f>IF('1. Live'!AV194='check-Jul25'!AV194,"",'1. Live'!AV194-'check-Jul25'!AV194)</f>
        <v/>
      </c>
      <c r="AW194" t="str">
        <f>IF('1. Live'!AW194='check-Jul25'!AW194,"",'1. Live'!AW194-'check-Jul25'!AW194)</f>
        <v/>
      </c>
      <c r="AX194" t="str">
        <f>IF('1. Live'!AX194='check-Jul25'!AX194,"",'1. Live'!AX194-'check-Jul25'!AX194)</f>
        <v/>
      </c>
      <c r="AY194" t="str">
        <f>IF('1. Live'!AY194='check-Jul25'!AY194,"",'1. Live'!AY194-'check-Jul25'!AY194)</f>
        <v/>
      </c>
      <c r="AZ194" t="str">
        <f>IF('1. Live'!AZ194='check-Jul25'!AZ194,"",'1. Live'!AZ194-'check-Jul25'!AZ194)</f>
        <v/>
      </c>
      <c r="BA194" t="str">
        <f>IF('1. Live'!BA194='check-Jul25'!BA194,"",'1. Live'!BA194-'check-Jul25'!BA194)</f>
        <v/>
      </c>
      <c r="BB194" t="str">
        <f>IF('1. Live'!BB194='check-Jul25'!BB194,"",'1. Live'!BB194-'check-Jul25'!BB194)</f>
        <v/>
      </c>
      <c r="BC194" t="str">
        <f>IF('1. Live'!BC194='check-Jul25'!BC194,"",'1. Live'!BC194-'check-Jul25'!BC194)</f>
        <v/>
      </c>
      <c r="BD194" t="str">
        <f>IF('1. Live'!BD194='check-Jul25'!BD194,"",'1. Live'!BD194-'check-Jul25'!BD194)</f>
        <v/>
      </c>
      <c r="BE194" t="str">
        <f>IF('1. Live'!BE194='check-Jul25'!BE194,"",'1. Live'!BE194-'check-Jul25'!BE194)</f>
        <v/>
      </c>
      <c r="BF194" t="str">
        <f>IF('1. Live'!BF194='check-Jul25'!BF194,"",'1. Live'!BF194-'check-Jul25'!BF194)</f>
        <v/>
      </c>
      <c r="BG194" t="str">
        <f>IF('1. Live'!BG194='check-Jul25'!BG194,"",'1. Live'!BG194-'check-Jul25'!BG194)</f>
        <v/>
      </c>
      <c r="BH194" t="str">
        <f>IF('1. Live'!BH194='check-Jul25'!BH194,"",'1. Live'!BH194-'check-Jul25'!BH194)</f>
        <v/>
      </c>
      <c r="BI194" t="str">
        <f>IF('1. Live'!BI194='check-Jul25'!BI194,"",'1. Live'!BI194-'check-Jul25'!BI194)</f>
        <v/>
      </c>
      <c r="BJ194" t="str">
        <f>IF('1. Live'!BJ194='check-Jul25'!BJ194,"",'1. Live'!BJ194-'check-Jul25'!BJ194)</f>
        <v/>
      </c>
      <c r="BK194" t="str">
        <f>IF('1. Live'!BK194='check-Jul25'!BK194,"",'1. Live'!BK194-'check-Jul25'!BK194)</f>
        <v/>
      </c>
      <c r="BL194" t="str">
        <f>IF('1. Live'!BL194='check-Jul25'!BL194,"",'1. Live'!BL194-'check-Jul25'!BL194)</f>
        <v/>
      </c>
      <c r="BM194" t="str">
        <f>IF('1. Live'!BM194='check-Jul25'!BM194,"",'1. Live'!BM194-'check-Jul25'!BM194)</f>
        <v/>
      </c>
      <c r="BN194" t="str">
        <f>IF('1. Live'!BN194='check-Jul25'!BN194,"",'1. Live'!BN194-'check-Jul25'!BN194)</f>
        <v/>
      </c>
      <c r="BO194" t="str">
        <f>IF('1. Live'!BO194='check-Jul25'!BO194,"",'1. Live'!BO194-'check-Jul25'!BO194)</f>
        <v/>
      </c>
      <c r="BP194" t="str">
        <f>IF('1. Live'!BP194='check-Jul25'!BP194,"",'1. Live'!BP194-'check-Jul25'!BP194)</f>
        <v/>
      </c>
      <c r="BQ194" t="str">
        <f>IF('1. Live'!BQ194='check-Jul25'!BQ194,"",'1. Live'!BQ194-'check-Jul25'!BQ194)</f>
        <v/>
      </c>
      <c r="BR194" t="str">
        <f>IF('1. Live'!BR194='check-Jul25'!BR194,"",'1. Live'!BR194-'check-Jul25'!BR194)</f>
        <v/>
      </c>
      <c r="BS194" t="str">
        <f>IF('1. Live'!BS194='check-Jul25'!BS194,"",'1. Live'!BS194-'check-Jul25'!BS194)</f>
        <v/>
      </c>
      <c r="BT194" t="str">
        <f>IF('1. Live'!BT194='check-Jul25'!BT194,"",'1. Live'!BT194-'check-Jul25'!BT194)</f>
        <v/>
      </c>
      <c r="BU194" t="str">
        <f>IF('1. Live'!BU194='check-Jul25'!BU194,"",'1. Live'!BU194-'check-Jul25'!BU194)</f>
        <v/>
      </c>
      <c r="BV194" t="str">
        <f>IF('1. Live'!BV194='check-Jul25'!BV194,"",'1. Live'!BV194-'check-Jul25'!BV194)</f>
        <v/>
      </c>
      <c r="BW194" t="str">
        <f>IF('1. Live'!BW194='check-Jul25'!BW194,"",'1. Live'!BW194-'check-Jul25'!BW194)</f>
        <v/>
      </c>
      <c r="BX194" t="str">
        <f>IF('1. Live'!BX194='check-Jul25'!BX194,"",'1. Live'!BX194-'check-Jul25'!BX194)</f>
        <v/>
      </c>
      <c r="BY194" t="str">
        <f>IF('1. Live'!BY194='check-Jul25'!BY194,"",'1. Live'!BY194-'check-Jul25'!BY194)</f>
        <v/>
      </c>
      <c r="BZ194" t="str">
        <f>IF('1. Live'!BZ194='check-Jul25'!BZ194,"",'1. Live'!BZ194-'check-Jul25'!BZ194)</f>
        <v/>
      </c>
      <c r="CA194" t="str">
        <f>IF('1. Live'!CA194='check-Jul25'!CA194,"",'1. Live'!CA194-'check-Jul25'!CA194)</f>
        <v/>
      </c>
      <c r="CB194" t="str">
        <f>IF('1. Live'!CB194='check-Jul25'!CB194,"",'1. Live'!CB194-'check-Jul25'!CB194)</f>
        <v/>
      </c>
      <c r="CC194" t="str">
        <f>IF('1. Live'!CC194='check-Jul25'!CC194,"",'1. Live'!CC194-'check-Jul25'!CC194)</f>
        <v/>
      </c>
      <c r="CD194" t="str">
        <f>IF('1. Live'!CD194='check-Jul25'!CD194,"",'1. Live'!CD194-'check-Jul25'!CD194)</f>
        <v/>
      </c>
      <c r="CE194" t="str">
        <f>IF('1. Live'!CE194='check-Jul25'!CE194,"",'1. Live'!CE194-'check-Jul25'!CE194)</f>
        <v/>
      </c>
      <c r="CF194" t="str">
        <f>IF('1. Live'!CF194='check-Jul25'!CF194,"",'1. Live'!CF194-'check-Jul25'!CF194)</f>
        <v/>
      </c>
      <c r="CG194" t="str">
        <f>IF('1. Live'!CG194='check-Jul25'!CG194,"",'1. Live'!CG194-'check-Jul25'!CG194)</f>
        <v/>
      </c>
      <c r="CH194" t="str">
        <f>IF('1. Live'!CH194='check-Jul25'!CH194,"",'1. Live'!CH194-'check-Jul25'!CH194)</f>
        <v/>
      </c>
      <c r="CI194" t="str">
        <f>IF('1. Live'!CI194='check-Jul25'!CI194,"",'1. Live'!CI194-'check-Jul25'!CI194)</f>
        <v/>
      </c>
      <c r="CJ194" t="str">
        <f>IF('1. Live'!CJ194='check-Jul25'!CJ194,"",'1. Live'!CJ194-'check-Jul25'!CJ194)</f>
        <v/>
      </c>
      <c r="CK194" t="str">
        <f>IF('1. Live'!CK194='check-Jul25'!CK194,"",'1. Live'!CK194-'check-Jul25'!CK194)</f>
        <v/>
      </c>
      <c r="CL194" t="str">
        <f>IF('1. Live'!CL194='check-Jul25'!CL194,"",'1. Live'!CL194-'check-Jul25'!CL194)</f>
        <v/>
      </c>
      <c r="CM194" t="str">
        <f>IF('1. Live'!CM194='check-Jul25'!CM194,"",'1. Live'!CM194-'check-Jul25'!CM194)</f>
        <v/>
      </c>
      <c r="CN194" t="str">
        <f>IF('1. Live'!CN194='check-Jul25'!CN194,"",'1. Live'!CN194-'check-Jul25'!CN194)</f>
        <v/>
      </c>
      <c r="CO194" t="str">
        <f>IF('1. Live'!CO194='check-Jul25'!CO194,"",'1. Live'!CO194-'check-Jul25'!CO194)</f>
        <v/>
      </c>
      <c r="CP194" t="str">
        <f>IF('1. Live'!CP194='check-Jul25'!CP194,"",'1. Live'!CP194-'check-Jul25'!CP194)</f>
        <v/>
      </c>
      <c r="CQ194" t="str">
        <f>IF('1. Live'!CQ194='check-Jul25'!CQ194,"",'1. Live'!CQ194-'check-Jul25'!CQ194)</f>
        <v/>
      </c>
      <c r="CR194" t="str">
        <f>IF('1. Live'!CR194='check-Jul25'!CR194,"",'1. Live'!CR194-'check-Jul25'!CR194)</f>
        <v/>
      </c>
      <c r="CS194" t="str">
        <f>IF('1. Live'!CS194='check-Jul25'!CS194,"",'1. Live'!CS194-'check-Jul25'!CS194)</f>
        <v/>
      </c>
      <c r="CT194" t="str">
        <f>IF('1. Live'!CT194='check-Jul25'!CT194,"",'1. Live'!CT194-'check-Jul25'!CT194)</f>
        <v/>
      </c>
      <c r="CU194" t="str">
        <f>IF('1. Live'!CU194='check-Jul25'!CU194,"",'1. Live'!CU194-'check-Jul25'!CU194)</f>
        <v/>
      </c>
      <c r="CV194" t="str">
        <f>IF('1. Live'!CV194='check-Jul25'!CV194,"",'1. Live'!CV194-'check-Jul25'!CV194)</f>
        <v/>
      </c>
      <c r="CW194" t="str">
        <f>IF('1. Live'!CW194='check-Jul25'!CW194,"",'1. Live'!CW194-'check-Jul25'!CW194)</f>
        <v/>
      </c>
    </row>
    <row r="195" spans="10:101">
      <c r="J195" t="str">
        <f>IF('1. Live'!J195='check-Jul25'!J195,"",'1. Live'!J195-'check-Jul25'!J195)</f>
        <v/>
      </c>
      <c r="K195" t="str">
        <f>IF('1. Live'!K195='check-Jul25'!K195,"",'1. Live'!K195-'check-Jul25'!K195)</f>
        <v/>
      </c>
      <c r="L195" t="str">
        <f>IF('1. Live'!L195='check-Jul25'!L195,"",'1. Live'!L195-'check-Jul25'!L195)</f>
        <v/>
      </c>
      <c r="M195" t="str">
        <f>IF('1. Live'!M195='check-Jul25'!M195,"",'1. Live'!M195-'check-Jul25'!M195)</f>
        <v/>
      </c>
      <c r="N195" t="str">
        <f>IF('1. Live'!N195='check-Jul25'!N195,"",'1. Live'!N195-'check-Jul25'!N195)</f>
        <v/>
      </c>
      <c r="O195" t="str">
        <f>IF('1. Live'!O195='check-Jul25'!O195,"",'1. Live'!O195-'check-Jul25'!O195)</f>
        <v/>
      </c>
      <c r="P195" t="str">
        <f>IF('1. Live'!P195='check-Jul25'!P195,"",'1. Live'!P195-'check-Jul25'!P195)</f>
        <v/>
      </c>
      <c r="Q195" t="str">
        <f>IF('1. Live'!Q195='check-Jul25'!Q195,"",'1. Live'!Q195-'check-Jul25'!Q195)</f>
        <v/>
      </c>
      <c r="R195" t="str">
        <f>IF('1. Live'!R195='check-Jul25'!R195,"",'1. Live'!R195-'check-Jul25'!R195)</f>
        <v/>
      </c>
      <c r="S195" t="str">
        <f>IF('1. Live'!S195='check-Jul25'!S195,"",'1. Live'!S195-'check-Jul25'!S195)</f>
        <v/>
      </c>
      <c r="T195" t="str">
        <f>IF('1. Live'!T195='check-Jul25'!T195,"",'1. Live'!T195-'check-Jul25'!T195)</f>
        <v/>
      </c>
      <c r="U195" t="str">
        <f>IF('1. Live'!U195='check-Jul25'!U195,"",'1. Live'!U195-'check-Jul25'!U195)</f>
        <v/>
      </c>
      <c r="V195" t="str">
        <f>IF('1. Live'!V195='check-Jul25'!V195,"",'1. Live'!V195-'check-Jul25'!V195)</f>
        <v/>
      </c>
      <c r="W195" t="str">
        <f>IF('1. Live'!W195='check-Jul25'!W195,"",'1. Live'!W195-'check-Jul25'!W195)</f>
        <v/>
      </c>
      <c r="X195" t="str">
        <f>IF('1. Live'!X195='check-Jul25'!X195,"",'1. Live'!X195-'check-Jul25'!X195)</f>
        <v/>
      </c>
      <c r="Y195" t="str">
        <f>IF('1. Live'!Y195='check-Jul25'!Y195,"",'1. Live'!Y195-'check-Jul25'!Y195)</f>
        <v/>
      </c>
      <c r="Z195" t="str">
        <f>IF('1. Live'!Z195='check-Jul25'!Z195,"",'1. Live'!Z195-'check-Jul25'!Z195)</f>
        <v/>
      </c>
      <c r="AA195" t="str">
        <f>IF('1. Live'!AA195='check-Jul25'!AA195,"",'1. Live'!AA195-'check-Jul25'!AA195)</f>
        <v/>
      </c>
      <c r="AB195" t="str">
        <f>IF('1. Live'!AB195='check-Jul25'!AB195,"",'1. Live'!AB195-'check-Jul25'!AB195)</f>
        <v/>
      </c>
      <c r="AC195" t="str">
        <f>IF('1. Live'!AC195='check-Jul25'!AC195,"",'1. Live'!AC195-'check-Jul25'!AC195)</f>
        <v/>
      </c>
      <c r="AD195" t="str">
        <f>IF('1. Live'!AD195='check-Jul25'!AD195,"",'1. Live'!AD195-'check-Jul25'!AD195)</f>
        <v/>
      </c>
      <c r="AE195" t="str">
        <f>IF('1. Live'!AE195='check-Jul25'!AE195,"",'1. Live'!AE195-'check-Jul25'!AE195)</f>
        <v/>
      </c>
      <c r="AF195" t="str">
        <f>IF('1. Live'!AF195='check-Jul25'!AF195,"",'1. Live'!AF195-'check-Jul25'!AF195)</f>
        <v/>
      </c>
      <c r="AG195" t="str">
        <f>IF('1. Live'!AG195='check-Jul25'!AG195,"",'1. Live'!AG195-'check-Jul25'!AG195)</f>
        <v/>
      </c>
      <c r="AH195" t="str">
        <f>IF('1. Live'!AH195='check-Jul25'!AH195,"",'1. Live'!AH195-'check-Jul25'!AH195)</f>
        <v/>
      </c>
      <c r="AI195" t="str">
        <f>IF('1. Live'!AI195='check-Jul25'!AI195,"",'1. Live'!AI195-'check-Jul25'!AI195)</f>
        <v/>
      </c>
      <c r="AJ195" t="str">
        <f>IF('1. Live'!AJ195='check-Jul25'!AJ195,"",'1. Live'!AJ195-'check-Jul25'!AJ195)</f>
        <v/>
      </c>
      <c r="AK195" t="str">
        <f>IF('1. Live'!AK195='check-Jul25'!AK195,"",'1. Live'!AK195-'check-Jul25'!AK195)</f>
        <v/>
      </c>
      <c r="AL195" t="str">
        <f>IF('1. Live'!AL195='check-Jul25'!AL195,"",'1. Live'!AL195-'check-Jul25'!AL195)</f>
        <v/>
      </c>
      <c r="AM195" t="str">
        <f>IF('1. Live'!AM195='check-Jul25'!AM195,"",'1. Live'!AM195-'check-Jul25'!AM195)</f>
        <v/>
      </c>
      <c r="AN195" t="str">
        <f>IF('1. Live'!AN195='check-Jul25'!AN195,"",'1. Live'!AN195-'check-Jul25'!AN195)</f>
        <v/>
      </c>
      <c r="AO195" t="str">
        <f>IF('1. Live'!AO195='check-Jul25'!AO195,"",'1. Live'!AO195-'check-Jul25'!AO195)</f>
        <v/>
      </c>
      <c r="AP195" t="str">
        <f>IF('1. Live'!AP195='check-Jul25'!AP195,"",'1. Live'!AP195-'check-Jul25'!AP195)</f>
        <v/>
      </c>
      <c r="AQ195" t="str">
        <f>IF('1. Live'!AQ195='check-Jul25'!AQ195,"",'1. Live'!AQ195-'check-Jul25'!AQ195)</f>
        <v/>
      </c>
      <c r="AR195" t="str">
        <f>IF('1. Live'!AR195='check-Jul25'!AR195,"",'1. Live'!AR195-'check-Jul25'!AR195)</f>
        <v/>
      </c>
      <c r="AS195" t="str">
        <f>IF('1. Live'!AS195='check-Jul25'!AS195,"",'1. Live'!AS195-'check-Jul25'!AS195)</f>
        <v/>
      </c>
      <c r="AT195" t="str">
        <f>IF('1. Live'!AT195='check-Jul25'!AT195,"",'1. Live'!AT195-'check-Jul25'!AT195)</f>
        <v/>
      </c>
      <c r="AU195" t="str">
        <f>IF('1. Live'!AU195='check-Jul25'!AU195,"",'1. Live'!AU195-'check-Jul25'!AU195)</f>
        <v/>
      </c>
      <c r="AV195" t="str">
        <f>IF('1. Live'!AV195='check-Jul25'!AV195,"",'1. Live'!AV195-'check-Jul25'!AV195)</f>
        <v/>
      </c>
      <c r="AW195" t="str">
        <f>IF('1. Live'!AW195='check-Jul25'!AW195,"",'1. Live'!AW195-'check-Jul25'!AW195)</f>
        <v/>
      </c>
      <c r="AX195" t="str">
        <f>IF('1. Live'!AX195='check-Jul25'!AX195,"",'1. Live'!AX195-'check-Jul25'!AX195)</f>
        <v/>
      </c>
      <c r="AY195" t="str">
        <f>IF('1. Live'!AY195='check-Jul25'!AY195,"",'1. Live'!AY195-'check-Jul25'!AY195)</f>
        <v/>
      </c>
      <c r="AZ195" t="str">
        <f>IF('1. Live'!AZ195='check-Jul25'!AZ195,"",'1. Live'!AZ195-'check-Jul25'!AZ195)</f>
        <v/>
      </c>
      <c r="BA195" t="str">
        <f>IF('1. Live'!BA195='check-Jul25'!BA195,"",'1. Live'!BA195-'check-Jul25'!BA195)</f>
        <v/>
      </c>
      <c r="BB195" t="str">
        <f>IF('1. Live'!BB195='check-Jul25'!BB195,"",'1. Live'!BB195-'check-Jul25'!BB195)</f>
        <v/>
      </c>
      <c r="BC195" t="str">
        <f>IF('1. Live'!BC195='check-Jul25'!BC195,"",'1. Live'!BC195-'check-Jul25'!BC195)</f>
        <v/>
      </c>
      <c r="BD195" t="str">
        <f>IF('1. Live'!BD195='check-Jul25'!BD195,"",'1. Live'!BD195-'check-Jul25'!BD195)</f>
        <v/>
      </c>
      <c r="BE195" t="str">
        <f>IF('1. Live'!BE195='check-Jul25'!BE195,"",'1. Live'!BE195-'check-Jul25'!BE195)</f>
        <v/>
      </c>
      <c r="BF195" t="str">
        <f>IF('1. Live'!BF195='check-Jul25'!BF195,"",'1. Live'!BF195-'check-Jul25'!BF195)</f>
        <v/>
      </c>
      <c r="BG195" t="str">
        <f>IF('1. Live'!BG195='check-Jul25'!BG195,"",'1. Live'!BG195-'check-Jul25'!BG195)</f>
        <v/>
      </c>
      <c r="BH195" t="str">
        <f>IF('1. Live'!BH195='check-Jul25'!BH195,"",'1. Live'!BH195-'check-Jul25'!BH195)</f>
        <v/>
      </c>
      <c r="BI195" t="str">
        <f>IF('1. Live'!BI195='check-Jul25'!BI195,"",'1. Live'!BI195-'check-Jul25'!BI195)</f>
        <v/>
      </c>
      <c r="BJ195" t="str">
        <f>IF('1. Live'!BJ195='check-Jul25'!BJ195,"",'1. Live'!BJ195-'check-Jul25'!BJ195)</f>
        <v/>
      </c>
      <c r="BK195" t="str">
        <f>IF('1. Live'!BK195='check-Jul25'!BK195,"",'1. Live'!BK195-'check-Jul25'!BK195)</f>
        <v/>
      </c>
      <c r="BL195" t="str">
        <f>IF('1. Live'!BL195='check-Jul25'!BL195,"",'1. Live'!BL195-'check-Jul25'!BL195)</f>
        <v/>
      </c>
      <c r="BM195" t="str">
        <f>IF('1. Live'!BM195='check-Jul25'!BM195,"",'1. Live'!BM195-'check-Jul25'!BM195)</f>
        <v/>
      </c>
      <c r="BN195" t="str">
        <f>IF('1. Live'!BN195='check-Jul25'!BN195,"",'1. Live'!BN195-'check-Jul25'!BN195)</f>
        <v/>
      </c>
      <c r="BO195" t="str">
        <f>IF('1. Live'!BO195='check-Jul25'!BO195,"",'1. Live'!BO195-'check-Jul25'!BO195)</f>
        <v/>
      </c>
      <c r="BP195" t="str">
        <f>IF('1. Live'!BP195='check-Jul25'!BP195,"",'1. Live'!BP195-'check-Jul25'!BP195)</f>
        <v/>
      </c>
      <c r="BQ195" t="str">
        <f>IF('1. Live'!BQ195='check-Jul25'!BQ195,"",'1. Live'!BQ195-'check-Jul25'!BQ195)</f>
        <v/>
      </c>
      <c r="BR195" t="str">
        <f>IF('1. Live'!BR195='check-Jul25'!BR195,"",'1. Live'!BR195-'check-Jul25'!BR195)</f>
        <v/>
      </c>
      <c r="BS195" t="str">
        <f>IF('1. Live'!BS195='check-Jul25'!BS195,"",'1. Live'!BS195-'check-Jul25'!BS195)</f>
        <v/>
      </c>
      <c r="BT195" t="str">
        <f>IF('1. Live'!BT195='check-Jul25'!BT195,"",'1. Live'!BT195-'check-Jul25'!BT195)</f>
        <v/>
      </c>
      <c r="BU195" t="str">
        <f>IF('1. Live'!BU195='check-Jul25'!BU195,"",'1. Live'!BU195-'check-Jul25'!BU195)</f>
        <v/>
      </c>
      <c r="BV195" t="str">
        <f>IF('1. Live'!BV195='check-Jul25'!BV195,"",'1. Live'!BV195-'check-Jul25'!BV195)</f>
        <v/>
      </c>
      <c r="BW195" t="str">
        <f>IF('1. Live'!BW195='check-Jul25'!BW195,"",'1. Live'!BW195-'check-Jul25'!BW195)</f>
        <v/>
      </c>
      <c r="BX195" t="str">
        <f>IF('1. Live'!BX195='check-Jul25'!BX195,"",'1. Live'!BX195-'check-Jul25'!BX195)</f>
        <v/>
      </c>
      <c r="BY195" t="str">
        <f>IF('1. Live'!BY195='check-Jul25'!BY195,"",'1. Live'!BY195-'check-Jul25'!BY195)</f>
        <v/>
      </c>
      <c r="BZ195" t="str">
        <f>IF('1. Live'!BZ195='check-Jul25'!BZ195,"",'1. Live'!BZ195-'check-Jul25'!BZ195)</f>
        <v/>
      </c>
      <c r="CA195" t="str">
        <f>IF('1. Live'!CA195='check-Jul25'!CA195,"",'1. Live'!CA195-'check-Jul25'!CA195)</f>
        <v/>
      </c>
      <c r="CB195" t="str">
        <f>IF('1. Live'!CB195='check-Jul25'!CB195,"",'1. Live'!CB195-'check-Jul25'!CB195)</f>
        <v/>
      </c>
      <c r="CC195" t="str">
        <f>IF('1. Live'!CC195='check-Jul25'!CC195,"",'1. Live'!CC195-'check-Jul25'!CC195)</f>
        <v/>
      </c>
      <c r="CD195" t="str">
        <f>IF('1. Live'!CD195='check-Jul25'!CD195,"",'1. Live'!CD195-'check-Jul25'!CD195)</f>
        <v/>
      </c>
      <c r="CE195" t="str">
        <f>IF('1. Live'!CE195='check-Jul25'!CE195,"",'1. Live'!CE195-'check-Jul25'!CE195)</f>
        <v/>
      </c>
      <c r="CF195" t="str">
        <f>IF('1. Live'!CF195='check-Jul25'!CF195,"",'1. Live'!CF195-'check-Jul25'!CF195)</f>
        <v/>
      </c>
      <c r="CG195" t="str">
        <f>IF('1. Live'!CG195='check-Jul25'!CG195,"",'1. Live'!CG195-'check-Jul25'!CG195)</f>
        <v/>
      </c>
      <c r="CH195" t="str">
        <f>IF('1. Live'!CH195='check-Jul25'!CH195,"",'1. Live'!CH195-'check-Jul25'!CH195)</f>
        <v/>
      </c>
      <c r="CI195" t="str">
        <f>IF('1. Live'!CI195='check-Jul25'!CI195,"",'1. Live'!CI195-'check-Jul25'!CI195)</f>
        <v/>
      </c>
      <c r="CJ195" t="str">
        <f>IF('1. Live'!CJ195='check-Jul25'!CJ195,"",'1. Live'!CJ195-'check-Jul25'!CJ195)</f>
        <v/>
      </c>
      <c r="CK195" t="str">
        <f>IF('1. Live'!CK195='check-Jul25'!CK195,"",'1. Live'!CK195-'check-Jul25'!CK195)</f>
        <v/>
      </c>
      <c r="CL195" t="str">
        <f>IF('1. Live'!CL195='check-Jul25'!CL195,"",'1. Live'!CL195-'check-Jul25'!CL195)</f>
        <v/>
      </c>
      <c r="CM195" t="str">
        <f>IF('1. Live'!CM195='check-Jul25'!CM195,"",'1. Live'!CM195-'check-Jul25'!CM195)</f>
        <v/>
      </c>
      <c r="CN195" t="str">
        <f>IF('1. Live'!CN195='check-Jul25'!CN195,"",'1. Live'!CN195-'check-Jul25'!CN195)</f>
        <v/>
      </c>
      <c r="CO195" t="str">
        <f>IF('1. Live'!CO195='check-Jul25'!CO195,"",'1. Live'!CO195-'check-Jul25'!CO195)</f>
        <v/>
      </c>
      <c r="CP195" t="str">
        <f>IF('1. Live'!CP195='check-Jul25'!CP195,"",'1. Live'!CP195-'check-Jul25'!CP195)</f>
        <v/>
      </c>
      <c r="CQ195" t="str">
        <f>IF('1. Live'!CQ195='check-Jul25'!CQ195,"",'1. Live'!CQ195-'check-Jul25'!CQ195)</f>
        <v/>
      </c>
      <c r="CR195" t="str">
        <f>IF('1. Live'!CR195='check-Jul25'!CR195,"",'1. Live'!CR195-'check-Jul25'!CR195)</f>
        <v/>
      </c>
      <c r="CS195" t="str">
        <f>IF('1. Live'!CS195='check-Jul25'!CS195,"",'1. Live'!CS195-'check-Jul25'!CS195)</f>
        <v/>
      </c>
      <c r="CT195" t="str">
        <f>IF('1. Live'!CT195='check-Jul25'!CT195,"",'1. Live'!CT195-'check-Jul25'!CT195)</f>
        <v/>
      </c>
      <c r="CU195" t="str">
        <f>IF('1. Live'!CU195='check-Jul25'!CU195,"",'1. Live'!CU195-'check-Jul25'!CU195)</f>
        <v/>
      </c>
      <c r="CV195" t="str">
        <f>IF('1. Live'!CV195='check-Jul25'!CV195,"",'1. Live'!CV195-'check-Jul25'!CV195)</f>
        <v/>
      </c>
      <c r="CW195" t="str">
        <f>IF('1. Live'!CW195='check-Jul25'!CW195,"",'1. Live'!CW195-'check-Jul25'!CW195)</f>
        <v/>
      </c>
    </row>
    <row r="196" spans="10:101">
      <c r="J196" t="str">
        <f>IF('1. Live'!J196='check-Jul25'!J196,"",'1. Live'!J196-'check-Jul25'!J196)</f>
        <v/>
      </c>
      <c r="K196" t="str">
        <f>IF('1. Live'!K196='check-Jul25'!K196,"",'1. Live'!K196-'check-Jul25'!K196)</f>
        <v/>
      </c>
      <c r="L196" t="str">
        <f>IF('1. Live'!L196='check-Jul25'!L196,"",'1. Live'!L196-'check-Jul25'!L196)</f>
        <v/>
      </c>
      <c r="M196" t="str">
        <f>IF('1. Live'!M196='check-Jul25'!M196,"",'1. Live'!M196-'check-Jul25'!M196)</f>
        <v/>
      </c>
      <c r="N196" t="str">
        <f>IF('1. Live'!N196='check-Jul25'!N196,"",'1. Live'!N196-'check-Jul25'!N196)</f>
        <v/>
      </c>
      <c r="O196" t="str">
        <f>IF('1. Live'!O196='check-Jul25'!O196,"",'1. Live'!O196-'check-Jul25'!O196)</f>
        <v/>
      </c>
      <c r="P196" t="str">
        <f>IF('1. Live'!P196='check-Jul25'!P196,"",'1. Live'!P196-'check-Jul25'!P196)</f>
        <v/>
      </c>
      <c r="Q196" t="str">
        <f>IF('1. Live'!Q196='check-Jul25'!Q196,"",'1. Live'!Q196-'check-Jul25'!Q196)</f>
        <v/>
      </c>
      <c r="R196" t="str">
        <f>IF('1. Live'!R196='check-Jul25'!R196,"",'1. Live'!R196-'check-Jul25'!R196)</f>
        <v/>
      </c>
      <c r="S196" t="str">
        <f>IF('1. Live'!S196='check-Jul25'!S196,"",'1. Live'!S196-'check-Jul25'!S196)</f>
        <v/>
      </c>
      <c r="T196" t="str">
        <f>IF('1. Live'!T196='check-Jul25'!T196,"",'1. Live'!T196-'check-Jul25'!T196)</f>
        <v/>
      </c>
      <c r="U196" t="str">
        <f>IF('1. Live'!U196='check-Jul25'!U196,"",'1. Live'!U196-'check-Jul25'!U196)</f>
        <v/>
      </c>
      <c r="V196" t="str">
        <f>IF('1. Live'!V196='check-Jul25'!V196,"",'1. Live'!V196-'check-Jul25'!V196)</f>
        <v/>
      </c>
      <c r="W196" t="str">
        <f>IF('1. Live'!W196='check-Jul25'!W196,"",'1. Live'!W196-'check-Jul25'!W196)</f>
        <v/>
      </c>
      <c r="X196" t="str">
        <f>IF('1. Live'!X196='check-Jul25'!X196,"",'1. Live'!X196-'check-Jul25'!X196)</f>
        <v/>
      </c>
      <c r="Y196" t="str">
        <f>IF('1. Live'!Y196='check-Jul25'!Y196,"",'1. Live'!Y196-'check-Jul25'!Y196)</f>
        <v/>
      </c>
      <c r="Z196" t="str">
        <f>IF('1. Live'!Z196='check-Jul25'!Z196,"",'1. Live'!Z196-'check-Jul25'!Z196)</f>
        <v/>
      </c>
      <c r="AA196" t="str">
        <f>IF('1. Live'!AA196='check-Jul25'!AA196,"",'1. Live'!AA196-'check-Jul25'!AA196)</f>
        <v/>
      </c>
      <c r="AB196" t="str">
        <f>IF('1. Live'!AB196='check-Jul25'!AB196,"",'1. Live'!AB196-'check-Jul25'!AB196)</f>
        <v/>
      </c>
      <c r="AC196" t="str">
        <f>IF('1. Live'!AC196='check-Jul25'!AC196,"",'1. Live'!AC196-'check-Jul25'!AC196)</f>
        <v/>
      </c>
      <c r="AD196" t="str">
        <f>IF('1. Live'!AD196='check-Jul25'!AD196,"",'1. Live'!AD196-'check-Jul25'!AD196)</f>
        <v/>
      </c>
      <c r="AE196" t="str">
        <f>IF('1. Live'!AE196='check-Jul25'!AE196,"",'1. Live'!AE196-'check-Jul25'!AE196)</f>
        <v/>
      </c>
      <c r="AF196" t="str">
        <f>IF('1. Live'!AF196='check-Jul25'!AF196,"",'1. Live'!AF196-'check-Jul25'!AF196)</f>
        <v/>
      </c>
      <c r="AG196" t="str">
        <f>IF('1. Live'!AG196='check-Jul25'!AG196,"",'1. Live'!AG196-'check-Jul25'!AG196)</f>
        <v/>
      </c>
      <c r="AH196" t="str">
        <f>IF('1. Live'!AH196='check-Jul25'!AH196,"",'1. Live'!AH196-'check-Jul25'!AH196)</f>
        <v/>
      </c>
      <c r="AI196" t="str">
        <f>IF('1. Live'!AI196='check-Jul25'!AI196,"",'1. Live'!AI196-'check-Jul25'!AI196)</f>
        <v/>
      </c>
      <c r="AJ196" t="str">
        <f>IF('1. Live'!AJ196='check-Jul25'!AJ196,"",'1. Live'!AJ196-'check-Jul25'!AJ196)</f>
        <v/>
      </c>
      <c r="AK196" t="str">
        <f>IF('1. Live'!AK196='check-Jul25'!AK196,"",'1. Live'!AK196-'check-Jul25'!AK196)</f>
        <v/>
      </c>
      <c r="AL196" t="str">
        <f>IF('1. Live'!AL196='check-Jul25'!AL196,"",'1. Live'!AL196-'check-Jul25'!AL196)</f>
        <v/>
      </c>
      <c r="AM196" t="str">
        <f>IF('1. Live'!AM196='check-Jul25'!AM196,"",'1. Live'!AM196-'check-Jul25'!AM196)</f>
        <v/>
      </c>
      <c r="AN196" t="str">
        <f>IF('1. Live'!AN196='check-Jul25'!AN196,"",'1. Live'!AN196-'check-Jul25'!AN196)</f>
        <v/>
      </c>
      <c r="AO196" t="str">
        <f>IF('1. Live'!AO196='check-Jul25'!AO196,"",'1. Live'!AO196-'check-Jul25'!AO196)</f>
        <v/>
      </c>
      <c r="AP196" t="str">
        <f>IF('1. Live'!AP196='check-Jul25'!AP196,"",'1. Live'!AP196-'check-Jul25'!AP196)</f>
        <v/>
      </c>
      <c r="AQ196" t="str">
        <f>IF('1. Live'!AQ196='check-Jul25'!AQ196,"",'1. Live'!AQ196-'check-Jul25'!AQ196)</f>
        <v/>
      </c>
      <c r="AR196" t="str">
        <f>IF('1. Live'!AR196='check-Jul25'!AR196,"",'1. Live'!AR196-'check-Jul25'!AR196)</f>
        <v/>
      </c>
      <c r="AS196" t="str">
        <f>IF('1. Live'!AS196='check-Jul25'!AS196,"",'1. Live'!AS196-'check-Jul25'!AS196)</f>
        <v/>
      </c>
      <c r="AT196" t="str">
        <f>IF('1. Live'!AT196='check-Jul25'!AT196,"",'1. Live'!AT196-'check-Jul25'!AT196)</f>
        <v/>
      </c>
      <c r="AU196" t="str">
        <f>IF('1. Live'!AU196='check-Jul25'!AU196,"",'1. Live'!AU196-'check-Jul25'!AU196)</f>
        <v/>
      </c>
      <c r="AV196" t="str">
        <f>IF('1. Live'!AV196='check-Jul25'!AV196,"",'1. Live'!AV196-'check-Jul25'!AV196)</f>
        <v/>
      </c>
      <c r="AW196" t="str">
        <f>IF('1. Live'!AW196='check-Jul25'!AW196,"",'1. Live'!AW196-'check-Jul25'!AW196)</f>
        <v/>
      </c>
      <c r="AX196" t="str">
        <f>IF('1. Live'!AX196='check-Jul25'!AX196,"",'1. Live'!AX196-'check-Jul25'!AX196)</f>
        <v/>
      </c>
      <c r="AY196" t="str">
        <f>IF('1. Live'!AY196='check-Jul25'!AY196,"",'1. Live'!AY196-'check-Jul25'!AY196)</f>
        <v/>
      </c>
      <c r="AZ196" t="str">
        <f>IF('1. Live'!AZ196='check-Jul25'!AZ196,"",'1. Live'!AZ196-'check-Jul25'!AZ196)</f>
        <v/>
      </c>
      <c r="BA196" t="str">
        <f>IF('1. Live'!BA196='check-Jul25'!BA196,"",'1. Live'!BA196-'check-Jul25'!BA196)</f>
        <v/>
      </c>
      <c r="BB196" t="str">
        <f>IF('1. Live'!BB196='check-Jul25'!BB196,"",'1. Live'!BB196-'check-Jul25'!BB196)</f>
        <v/>
      </c>
      <c r="BC196" t="str">
        <f>IF('1. Live'!BC196='check-Jul25'!BC196,"",'1. Live'!BC196-'check-Jul25'!BC196)</f>
        <v/>
      </c>
      <c r="BD196" t="str">
        <f>IF('1. Live'!BD196='check-Jul25'!BD196,"",'1. Live'!BD196-'check-Jul25'!BD196)</f>
        <v/>
      </c>
      <c r="BE196" t="str">
        <f>IF('1. Live'!BE196='check-Jul25'!BE196,"",'1. Live'!BE196-'check-Jul25'!BE196)</f>
        <v/>
      </c>
      <c r="BF196" t="str">
        <f>IF('1. Live'!BF196='check-Jul25'!BF196,"",'1. Live'!BF196-'check-Jul25'!BF196)</f>
        <v/>
      </c>
      <c r="BG196" t="str">
        <f>IF('1. Live'!BG196='check-Jul25'!BG196,"",'1. Live'!BG196-'check-Jul25'!BG196)</f>
        <v/>
      </c>
      <c r="BH196" t="str">
        <f>IF('1. Live'!BH196='check-Jul25'!BH196,"",'1. Live'!BH196-'check-Jul25'!BH196)</f>
        <v/>
      </c>
      <c r="BI196" t="str">
        <f>IF('1. Live'!BI196='check-Jul25'!BI196,"",'1. Live'!BI196-'check-Jul25'!BI196)</f>
        <v/>
      </c>
      <c r="BJ196" t="str">
        <f>IF('1. Live'!BJ196='check-Jul25'!BJ196,"",'1. Live'!BJ196-'check-Jul25'!BJ196)</f>
        <v/>
      </c>
      <c r="BK196" t="str">
        <f>IF('1. Live'!BK196='check-Jul25'!BK196,"",'1. Live'!BK196-'check-Jul25'!BK196)</f>
        <v/>
      </c>
      <c r="BL196" t="str">
        <f>IF('1. Live'!BL196='check-Jul25'!BL196,"",'1. Live'!BL196-'check-Jul25'!BL196)</f>
        <v/>
      </c>
      <c r="BM196" t="str">
        <f>IF('1. Live'!BM196='check-Jul25'!BM196,"",'1. Live'!BM196-'check-Jul25'!BM196)</f>
        <v/>
      </c>
      <c r="BN196" t="str">
        <f>IF('1. Live'!BN196='check-Jul25'!BN196,"",'1. Live'!BN196-'check-Jul25'!BN196)</f>
        <v/>
      </c>
      <c r="BO196" t="str">
        <f>IF('1. Live'!BO196='check-Jul25'!BO196,"",'1. Live'!BO196-'check-Jul25'!BO196)</f>
        <v/>
      </c>
      <c r="BP196" t="str">
        <f>IF('1. Live'!BP196='check-Jul25'!BP196,"",'1. Live'!BP196-'check-Jul25'!BP196)</f>
        <v/>
      </c>
      <c r="BQ196" t="str">
        <f>IF('1. Live'!BQ196='check-Jul25'!BQ196,"",'1. Live'!BQ196-'check-Jul25'!BQ196)</f>
        <v/>
      </c>
      <c r="BR196" t="str">
        <f>IF('1. Live'!BR196='check-Jul25'!BR196,"",'1. Live'!BR196-'check-Jul25'!BR196)</f>
        <v/>
      </c>
      <c r="BS196" t="str">
        <f>IF('1. Live'!BS196='check-Jul25'!BS196,"",'1. Live'!BS196-'check-Jul25'!BS196)</f>
        <v/>
      </c>
      <c r="BT196" t="str">
        <f>IF('1. Live'!BT196='check-Jul25'!BT196,"",'1. Live'!BT196-'check-Jul25'!BT196)</f>
        <v/>
      </c>
      <c r="BU196" t="str">
        <f>IF('1. Live'!BU196='check-Jul25'!BU196,"",'1. Live'!BU196-'check-Jul25'!BU196)</f>
        <v/>
      </c>
      <c r="BV196" t="str">
        <f>IF('1. Live'!BV196='check-Jul25'!BV196,"",'1. Live'!BV196-'check-Jul25'!BV196)</f>
        <v/>
      </c>
      <c r="BW196" t="str">
        <f>IF('1. Live'!BW196='check-Jul25'!BW196,"",'1. Live'!BW196-'check-Jul25'!BW196)</f>
        <v/>
      </c>
      <c r="BX196" t="str">
        <f>IF('1. Live'!BX196='check-Jul25'!BX196,"",'1. Live'!BX196-'check-Jul25'!BX196)</f>
        <v/>
      </c>
      <c r="BY196" t="str">
        <f>IF('1. Live'!BY196='check-Jul25'!BY196,"",'1. Live'!BY196-'check-Jul25'!BY196)</f>
        <v/>
      </c>
      <c r="BZ196" t="str">
        <f>IF('1. Live'!BZ196='check-Jul25'!BZ196,"",'1. Live'!BZ196-'check-Jul25'!BZ196)</f>
        <v/>
      </c>
      <c r="CA196" t="str">
        <f>IF('1. Live'!CA196='check-Jul25'!CA196,"",'1. Live'!CA196-'check-Jul25'!CA196)</f>
        <v/>
      </c>
      <c r="CB196" t="str">
        <f>IF('1. Live'!CB196='check-Jul25'!CB196,"",'1. Live'!CB196-'check-Jul25'!CB196)</f>
        <v/>
      </c>
      <c r="CC196" t="str">
        <f>IF('1. Live'!CC196='check-Jul25'!CC196,"",'1. Live'!CC196-'check-Jul25'!CC196)</f>
        <v/>
      </c>
      <c r="CD196" t="str">
        <f>IF('1. Live'!CD196='check-Jul25'!CD196,"",'1. Live'!CD196-'check-Jul25'!CD196)</f>
        <v/>
      </c>
      <c r="CE196" t="str">
        <f>IF('1. Live'!CE196='check-Jul25'!CE196,"",'1. Live'!CE196-'check-Jul25'!CE196)</f>
        <v/>
      </c>
      <c r="CF196" t="str">
        <f>IF('1. Live'!CF196='check-Jul25'!CF196,"",'1. Live'!CF196-'check-Jul25'!CF196)</f>
        <v/>
      </c>
      <c r="CG196" t="str">
        <f>IF('1. Live'!CG196='check-Jul25'!CG196,"",'1. Live'!CG196-'check-Jul25'!CG196)</f>
        <v/>
      </c>
      <c r="CH196" t="str">
        <f>IF('1. Live'!CH196='check-Jul25'!CH196,"",'1. Live'!CH196-'check-Jul25'!CH196)</f>
        <v/>
      </c>
      <c r="CI196" t="str">
        <f>IF('1. Live'!CI196='check-Jul25'!CI196,"",'1. Live'!CI196-'check-Jul25'!CI196)</f>
        <v/>
      </c>
      <c r="CJ196" t="str">
        <f>IF('1. Live'!CJ196='check-Jul25'!CJ196,"",'1. Live'!CJ196-'check-Jul25'!CJ196)</f>
        <v/>
      </c>
      <c r="CK196" t="str">
        <f>IF('1. Live'!CK196='check-Jul25'!CK196,"",'1. Live'!CK196-'check-Jul25'!CK196)</f>
        <v/>
      </c>
      <c r="CL196" t="str">
        <f>IF('1. Live'!CL196='check-Jul25'!CL196,"",'1. Live'!CL196-'check-Jul25'!CL196)</f>
        <v/>
      </c>
      <c r="CM196" t="str">
        <f>IF('1. Live'!CM196='check-Jul25'!CM196,"",'1. Live'!CM196-'check-Jul25'!CM196)</f>
        <v/>
      </c>
      <c r="CN196" t="str">
        <f>IF('1. Live'!CN196='check-Jul25'!CN196,"",'1. Live'!CN196-'check-Jul25'!CN196)</f>
        <v/>
      </c>
      <c r="CO196" t="str">
        <f>IF('1. Live'!CO196='check-Jul25'!CO196,"",'1. Live'!CO196-'check-Jul25'!CO196)</f>
        <v/>
      </c>
      <c r="CP196" t="str">
        <f>IF('1. Live'!CP196='check-Jul25'!CP196,"",'1. Live'!CP196-'check-Jul25'!CP196)</f>
        <v/>
      </c>
      <c r="CQ196" t="str">
        <f>IF('1. Live'!CQ196='check-Jul25'!CQ196,"",'1. Live'!CQ196-'check-Jul25'!CQ196)</f>
        <v/>
      </c>
      <c r="CR196" t="str">
        <f>IF('1. Live'!CR196='check-Jul25'!CR196,"",'1. Live'!CR196-'check-Jul25'!CR196)</f>
        <v/>
      </c>
      <c r="CS196" t="str">
        <f>IF('1. Live'!CS196='check-Jul25'!CS196,"",'1. Live'!CS196-'check-Jul25'!CS196)</f>
        <v/>
      </c>
      <c r="CT196" t="str">
        <f>IF('1. Live'!CT196='check-Jul25'!CT196,"",'1. Live'!CT196-'check-Jul25'!CT196)</f>
        <v/>
      </c>
      <c r="CU196" t="str">
        <f>IF('1. Live'!CU196='check-Jul25'!CU196,"",'1. Live'!CU196-'check-Jul25'!CU196)</f>
        <v/>
      </c>
      <c r="CV196" t="str">
        <f>IF('1. Live'!CV196='check-Jul25'!CV196,"",'1. Live'!CV196-'check-Jul25'!CV196)</f>
        <v/>
      </c>
      <c r="CW196" t="str">
        <f>IF('1. Live'!CW196='check-Jul25'!CW196,"",'1. Live'!CW196-'check-Jul25'!CW196)</f>
        <v/>
      </c>
    </row>
    <row r="197" spans="10:101">
      <c r="J197" t="str">
        <f>IF('1. Live'!J197='check-Jul25'!J197,"",'1. Live'!J197-'check-Jul25'!J197)</f>
        <v/>
      </c>
      <c r="K197" t="str">
        <f>IF('1. Live'!K197='check-Jul25'!K197,"",'1. Live'!K197-'check-Jul25'!K197)</f>
        <v/>
      </c>
      <c r="L197" t="str">
        <f>IF('1. Live'!L197='check-Jul25'!L197,"",'1. Live'!L197-'check-Jul25'!L197)</f>
        <v/>
      </c>
      <c r="M197" t="str">
        <f>IF('1. Live'!M197='check-Jul25'!M197,"",'1. Live'!M197-'check-Jul25'!M197)</f>
        <v/>
      </c>
      <c r="N197" t="str">
        <f>IF('1. Live'!N197='check-Jul25'!N197,"",'1. Live'!N197-'check-Jul25'!N197)</f>
        <v/>
      </c>
      <c r="O197" t="str">
        <f>IF('1. Live'!O197='check-Jul25'!O197,"",'1. Live'!O197-'check-Jul25'!O197)</f>
        <v/>
      </c>
      <c r="P197" t="str">
        <f>IF('1. Live'!P197='check-Jul25'!P197,"",'1. Live'!P197-'check-Jul25'!P197)</f>
        <v/>
      </c>
      <c r="Q197" t="str">
        <f>IF('1. Live'!Q197='check-Jul25'!Q197,"",'1. Live'!Q197-'check-Jul25'!Q197)</f>
        <v/>
      </c>
      <c r="R197" t="str">
        <f>IF('1. Live'!R197='check-Jul25'!R197,"",'1. Live'!R197-'check-Jul25'!R197)</f>
        <v/>
      </c>
      <c r="S197" t="str">
        <f>IF('1. Live'!S197='check-Jul25'!S197,"",'1. Live'!S197-'check-Jul25'!S197)</f>
        <v/>
      </c>
      <c r="T197" t="str">
        <f>IF('1. Live'!T197='check-Jul25'!T197,"",'1. Live'!T197-'check-Jul25'!T197)</f>
        <v/>
      </c>
      <c r="U197" t="str">
        <f>IF('1. Live'!U197='check-Jul25'!U197,"",'1. Live'!U197-'check-Jul25'!U197)</f>
        <v/>
      </c>
      <c r="V197" t="str">
        <f>IF('1. Live'!V197='check-Jul25'!V197,"",'1. Live'!V197-'check-Jul25'!V197)</f>
        <v/>
      </c>
      <c r="W197" t="str">
        <f>IF('1. Live'!W197='check-Jul25'!W197,"",'1. Live'!W197-'check-Jul25'!W197)</f>
        <v/>
      </c>
      <c r="X197" t="str">
        <f>IF('1. Live'!X197='check-Jul25'!X197,"",'1. Live'!X197-'check-Jul25'!X197)</f>
        <v/>
      </c>
      <c r="Y197" t="str">
        <f>IF('1. Live'!Y197='check-Jul25'!Y197,"",'1. Live'!Y197-'check-Jul25'!Y197)</f>
        <v/>
      </c>
      <c r="Z197" t="str">
        <f>IF('1. Live'!Z197='check-Jul25'!Z197,"",'1. Live'!Z197-'check-Jul25'!Z197)</f>
        <v/>
      </c>
      <c r="AA197" t="str">
        <f>IF('1. Live'!AA197='check-Jul25'!AA197,"",'1. Live'!AA197-'check-Jul25'!AA197)</f>
        <v/>
      </c>
      <c r="AB197" t="str">
        <f>IF('1. Live'!AB197='check-Jul25'!AB197,"",'1. Live'!AB197-'check-Jul25'!AB197)</f>
        <v/>
      </c>
      <c r="AC197" t="str">
        <f>IF('1. Live'!AC197='check-Jul25'!AC197,"",'1. Live'!AC197-'check-Jul25'!AC197)</f>
        <v/>
      </c>
      <c r="AD197" t="str">
        <f>IF('1. Live'!AD197='check-Jul25'!AD197,"",'1. Live'!AD197-'check-Jul25'!AD197)</f>
        <v/>
      </c>
      <c r="AE197" t="str">
        <f>IF('1. Live'!AE197='check-Jul25'!AE197,"",'1. Live'!AE197-'check-Jul25'!AE197)</f>
        <v/>
      </c>
      <c r="AF197" t="str">
        <f>IF('1. Live'!AF197='check-Jul25'!AF197,"",'1. Live'!AF197-'check-Jul25'!AF197)</f>
        <v/>
      </c>
      <c r="AG197" t="str">
        <f>IF('1. Live'!AG197='check-Jul25'!AG197,"",'1. Live'!AG197-'check-Jul25'!AG197)</f>
        <v/>
      </c>
      <c r="AH197" t="str">
        <f>IF('1. Live'!AH197='check-Jul25'!AH197,"",'1. Live'!AH197-'check-Jul25'!AH197)</f>
        <v/>
      </c>
      <c r="AI197" t="str">
        <f>IF('1. Live'!AI197='check-Jul25'!AI197,"",'1. Live'!AI197-'check-Jul25'!AI197)</f>
        <v/>
      </c>
      <c r="AJ197" t="str">
        <f>IF('1. Live'!AJ197='check-Jul25'!AJ197,"",'1. Live'!AJ197-'check-Jul25'!AJ197)</f>
        <v/>
      </c>
      <c r="AK197" t="str">
        <f>IF('1. Live'!AK197='check-Jul25'!AK197,"",'1. Live'!AK197-'check-Jul25'!AK197)</f>
        <v/>
      </c>
      <c r="AL197" t="str">
        <f>IF('1. Live'!AL197='check-Jul25'!AL197,"",'1. Live'!AL197-'check-Jul25'!AL197)</f>
        <v/>
      </c>
      <c r="AM197" t="str">
        <f>IF('1. Live'!AM197='check-Jul25'!AM197,"",'1. Live'!AM197-'check-Jul25'!AM197)</f>
        <v/>
      </c>
      <c r="AN197" t="str">
        <f>IF('1. Live'!AN197='check-Jul25'!AN197,"",'1. Live'!AN197-'check-Jul25'!AN197)</f>
        <v/>
      </c>
      <c r="AO197" t="str">
        <f>IF('1. Live'!AO197='check-Jul25'!AO197,"",'1. Live'!AO197-'check-Jul25'!AO197)</f>
        <v/>
      </c>
      <c r="AP197" t="str">
        <f>IF('1. Live'!AP197='check-Jul25'!AP197,"",'1. Live'!AP197-'check-Jul25'!AP197)</f>
        <v/>
      </c>
      <c r="AQ197" t="str">
        <f>IF('1. Live'!AQ197='check-Jul25'!AQ197,"",'1. Live'!AQ197-'check-Jul25'!AQ197)</f>
        <v/>
      </c>
      <c r="AR197" t="str">
        <f>IF('1. Live'!AR197='check-Jul25'!AR197,"",'1. Live'!AR197-'check-Jul25'!AR197)</f>
        <v/>
      </c>
      <c r="AS197" t="str">
        <f>IF('1. Live'!AS197='check-Jul25'!AS197,"",'1. Live'!AS197-'check-Jul25'!AS197)</f>
        <v/>
      </c>
      <c r="AT197" t="str">
        <f>IF('1. Live'!AT197='check-Jul25'!AT197,"",'1. Live'!AT197-'check-Jul25'!AT197)</f>
        <v/>
      </c>
      <c r="AU197" t="str">
        <f>IF('1. Live'!AU197='check-Jul25'!AU197,"",'1. Live'!AU197-'check-Jul25'!AU197)</f>
        <v/>
      </c>
      <c r="AV197" t="str">
        <f>IF('1. Live'!AV197='check-Jul25'!AV197,"",'1. Live'!AV197-'check-Jul25'!AV197)</f>
        <v/>
      </c>
      <c r="AW197" t="str">
        <f>IF('1. Live'!AW197='check-Jul25'!AW197,"",'1. Live'!AW197-'check-Jul25'!AW197)</f>
        <v/>
      </c>
      <c r="AX197" t="str">
        <f>IF('1. Live'!AX197='check-Jul25'!AX197,"",'1. Live'!AX197-'check-Jul25'!AX197)</f>
        <v/>
      </c>
      <c r="AY197" t="str">
        <f>IF('1. Live'!AY197='check-Jul25'!AY197,"",'1. Live'!AY197-'check-Jul25'!AY197)</f>
        <v/>
      </c>
      <c r="AZ197" t="str">
        <f>IF('1. Live'!AZ197='check-Jul25'!AZ197,"",'1. Live'!AZ197-'check-Jul25'!AZ197)</f>
        <v/>
      </c>
      <c r="BA197" t="str">
        <f>IF('1. Live'!BA197='check-Jul25'!BA197,"",'1. Live'!BA197-'check-Jul25'!BA197)</f>
        <v/>
      </c>
      <c r="BB197" t="str">
        <f>IF('1. Live'!BB197='check-Jul25'!BB197,"",'1. Live'!BB197-'check-Jul25'!BB197)</f>
        <v/>
      </c>
      <c r="BC197" t="str">
        <f>IF('1. Live'!BC197='check-Jul25'!BC197,"",'1. Live'!BC197-'check-Jul25'!BC197)</f>
        <v/>
      </c>
      <c r="BD197" t="str">
        <f>IF('1. Live'!BD197='check-Jul25'!BD197,"",'1. Live'!BD197-'check-Jul25'!BD197)</f>
        <v/>
      </c>
      <c r="BE197" t="str">
        <f>IF('1. Live'!BE197='check-Jul25'!BE197,"",'1. Live'!BE197-'check-Jul25'!BE197)</f>
        <v/>
      </c>
      <c r="BF197" t="str">
        <f>IF('1. Live'!BF197='check-Jul25'!BF197,"",'1. Live'!BF197-'check-Jul25'!BF197)</f>
        <v/>
      </c>
      <c r="BG197" t="str">
        <f>IF('1. Live'!BG197='check-Jul25'!BG197,"",'1. Live'!BG197-'check-Jul25'!BG197)</f>
        <v/>
      </c>
      <c r="BH197" t="str">
        <f>IF('1. Live'!BH197='check-Jul25'!BH197,"",'1. Live'!BH197-'check-Jul25'!BH197)</f>
        <v/>
      </c>
      <c r="BI197" t="str">
        <f>IF('1. Live'!BI197='check-Jul25'!BI197,"",'1. Live'!BI197-'check-Jul25'!BI197)</f>
        <v/>
      </c>
      <c r="BJ197" t="str">
        <f>IF('1. Live'!BJ197='check-Jul25'!BJ197,"",'1. Live'!BJ197-'check-Jul25'!BJ197)</f>
        <v/>
      </c>
      <c r="BK197" t="str">
        <f>IF('1. Live'!BK197='check-Jul25'!BK197,"",'1. Live'!BK197-'check-Jul25'!BK197)</f>
        <v/>
      </c>
      <c r="BL197" t="str">
        <f>IF('1. Live'!BL197='check-Jul25'!BL197,"",'1. Live'!BL197-'check-Jul25'!BL197)</f>
        <v/>
      </c>
      <c r="BM197" t="str">
        <f>IF('1. Live'!BM197='check-Jul25'!BM197,"",'1. Live'!BM197-'check-Jul25'!BM197)</f>
        <v/>
      </c>
      <c r="BN197" t="str">
        <f>IF('1. Live'!BN197='check-Jul25'!BN197,"",'1. Live'!BN197-'check-Jul25'!BN197)</f>
        <v/>
      </c>
      <c r="BO197" t="str">
        <f>IF('1. Live'!BO197='check-Jul25'!BO197,"",'1. Live'!BO197-'check-Jul25'!BO197)</f>
        <v/>
      </c>
      <c r="BP197" t="str">
        <f>IF('1. Live'!BP197='check-Jul25'!BP197,"",'1. Live'!BP197-'check-Jul25'!BP197)</f>
        <v/>
      </c>
      <c r="BQ197" t="str">
        <f>IF('1. Live'!BQ197='check-Jul25'!BQ197,"",'1. Live'!BQ197-'check-Jul25'!BQ197)</f>
        <v/>
      </c>
      <c r="BR197" t="str">
        <f>IF('1. Live'!BR197='check-Jul25'!BR197,"",'1. Live'!BR197-'check-Jul25'!BR197)</f>
        <v/>
      </c>
      <c r="BS197" t="str">
        <f>IF('1. Live'!BS197='check-Jul25'!BS197,"",'1. Live'!BS197-'check-Jul25'!BS197)</f>
        <v/>
      </c>
      <c r="BT197" t="str">
        <f>IF('1. Live'!BT197='check-Jul25'!BT197,"",'1. Live'!BT197-'check-Jul25'!BT197)</f>
        <v/>
      </c>
      <c r="BU197" t="str">
        <f>IF('1. Live'!BU197='check-Jul25'!BU197,"",'1. Live'!BU197-'check-Jul25'!BU197)</f>
        <v/>
      </c>
      <c r="BV197" t="str">
        <f>IF('1. Live'!BV197='check-Jul25'!BV197,"",'1. Live'!BV197-'check-Jul25'!BV197)</f>
        <v/>
      </c>
      <c r="BW197" t="str">
        <f>IF('1. Live'!BW197='check-Jul25'!BW197,"",'1. Live'!BW197-'check-Jul25'!BW197)</f>
        <v/>
      </c>
      <c r="BX197" t="str">
        <f>IF('1. Live'!BX197='check-Jul25'!BX197,"",'1. Live'!BX197-'check-Jul25'!BX197)</f>
        <v/>
      </c>
      <c r="BY197" t="str">
        <f>IF('1. Live'!BY197='check-Jul25'!BY197,"",'1. Live'!BY197-'check-Jul25'!BY197)</f>
        <v/>
      </c>
      <c r="BZ197" t="str">
        <f>IF('1. Live'!BZ197='check-Jul25'!BZ197,"",'1. Live'!BZ197-'check-Jul25'!BZ197)</f>
        <v/>
      </c>
      <c r="CA197" t="str">
        <f>IF('1. Live'!CA197='check-Jul25'!CA197,"",'1. Live'!CA197-'check-Jul25'!CA197)</f>
        <v/>
      </c>
      <c r="CB197" t="str">
        <f>IF('1. Live'!CB197='check-Jul25'!CB197,"",'1. Live'!CB197-'check-Jul25'!CB197)</f>
        <v/>
      </c>
      <c r="CC197" t="str">
        <f>IF('1. Live'!CC197='check-Jul25'!CC197,"",'1. Live'!CC197-'check-Jul25'!CC197)</f>
        <v/>
      </c>
      <c r="CD197" t="str">
        <f>IF('1. Live'!CD197='check-Jul25'!CD197,"",'1. Live'!CD197-'check-Jul25'!CD197)</f>
        <v/>
      </c>
      <c r="CE197" t="str">
        <f>IF('1. Live'!CE197='check-Jul25'!CE197,"",'1. Live'!CE197-'check-Jul25'!CE197)</f>
        <v/>
      </c>
      <c r="CF197" t="str">
        <f>IF('1. Live'!CF197='check-Jul25'!CF197,"",'1. Live'!CF197-'check-Jul25'!CF197)</f>
        <v/>
      </c>
      <c r="CG197" t="str">
        <f>IF('1. Live'!CG197='check-Jul25'!CG197,"",'1. Live'!CG197-'check-Jul25'!CG197)</f>
        <v/>
      </c>
      <c r="CH197" t="str">
        <f>IF('1. Live'!CH197='check-Jul25'!CH197,"",'1. Live'!CH197-'check-Jul25'!CH197)</f>
        <v/>
      </c>
      <c r="CI197" t="str">
        <f>IF('1. Live'!CI197='check-Jul25'!CI197,"",'1. Live'!CI197-'check-Jul25'!CI197)</f>
        <v/>
      </c>
      <c r="CJ197" t="str">
        <f>IF('1. Live'!CJ197='check-Jul25'!CJ197,"",'1. Live'!CJ197-'check-Jul25'!CJ197)</f>
        <v/>
      </c>
      <c r="CK197" t="str">
        <f>IF('1. Live'!CK197='check-Jul25'!CK197,"",'1. Live'!CK197-'check-Jul25'!CK197)</f>
        <v/>
      </c>
      <c r="CL197" t="str">
        <f>IF('1. Live'!CL197='check-Jul25'!CL197,"",'1. Live'!CL197-'check-Jul25'!CL197)</f>
        <v/>
      </c>
      <c r="CM197" t="str">
        <f>IF('1. Live'!CM197='check-Jul25'!CM197,"",'1. Live'!CM197-'check-Jul25'!CM197)</f>
        <v/>
      </c>
      <c r="CN197" t="str">
        <f>IF('1. Live'!CN197='check-Jul25'!CN197,"",'1. Live'!CN197-'check-Jul25'!CN197)</f>
        <v/>
      </c>
      <c r="CO197" t="str">
        <f>IF('1. Live'!CO197='check-Jul25'!CO197,"",'1. Live'!CO197-'check-Jul25'!CO197)</f>
        <v/>
      </c>
      <c r="CP197" t="str">
        <f>IF('1. Live'!CP197='check-Jul25'!CP197,"",'1. Live'!CP197-'check-Jul25'!CP197)</f>
        <v/>
      </c>
      <c r="CQ197" t="str">
        <f>IF('1. Live'!CQ197='check-Jul25'!CQ197,"",'1. Live'!CQ197-'check-Jul25'!CQ197)</f>
        <v/>
      </c>
      <c r="CR197" t="str">
        <f>IF('1. Live'!CR197='check-Jul25'!CR197,"",'1. Live'!CR197-'check-Jul25'!CR197)</f>
        <v/>
      </c>
      <c r="CS197" t="str">
        <f>IF('1. Live'!CS197='check-Jul25'!CS197,"",'1. Live'!CS197-'check-Jul25'!CS197)</f>
        <v/>
      </c>
      <c r="CT197" t="str">
        <f>IF('1. Live'!CT197='check-Jul25'!CT197,"",'1. Live'!CT197-'check-Jul25'!CT197)</f>
        <v/>
      </c>
      <c r="CU197" t="str">
        <f>IF('1. Live'!CU197='check-Jul25'!CU197,"",'1. Live'!CU197-'check-Jul25'!CU197)</f>
        <v/>
      </c>
      <c r="CV197" t="str">
        <f>IF('1. Live'!CV197='check-Jul25'!CV197,"",'1. Live'!CV197-'check-Jul25'!CV197)</f>
        <v/>
      </c>
      <c r="CW197" t="str">
        <f>IF('1. Live'!CW197='check-Jul25'!CW197,"",'1. Live'!CW197-'check-Jul25'!CW197)</f>
        <v/>
      </c>
    </row>
    <row r="198" spans="10:101">
      <c r="J198" t="str">
        <f>IF('1. Live'!J198='check-Jul25'!J198,"",'1. Live'!J198-'check-Jul25'!J198)</f>
        <v/>
      </c>
      <c r="K198" t="str">
        <f>IF('1. Live'!K198='check-Jul25'!K198,"",'1. Live'!K198-'check-Jul25'!K198)</f>
        <v/>
      </c>
      <c r="L198" t="str">
        <f>IF('1. Live'!L198='check-Jul25'!L198,"",'1. Live'!L198-'check-Jul25'!L198)</f>
        <v/>
      </c>
      <c r="M198" t="str">
        <f>IF('1. Live'!M198='check-Jul25'!M198,"",'1. Live'!M198-'check-Jul25'!M198)</f>
        <v/>
      </c>
      <c r="N198" t="str">
        <f>IF('1. Live'!N198='check-Jul25'!N198,"",'1. Live'!N198-'check-Jul25'!N198)</f>
        <v/>
      </c>
      <c r="O198" t="str">
        <f>IF('1. Live'!O198='check-Jul25'!O198,"",'1. Live'!O198-'check-Jul25'!O198)</f>
        <v/>
      </c>
      <c r="P198" t="str">
        <f>IF('1. Live'!P198='check-Jul25'!P198,"",'1. Live'!P198-'check-Jul25'!P198)</f>
        <v/>
      </c>
      <c r="Q198" t="str">
        <f>IF('1. Live'!Q198='check-Jul25'!Q198,"",'1. Live'!Q198-'check-Jul25'!Q198)</f>
        <v/>
      </c>
      <c r="R198" t="str">
        <f>IF('1. Live'!R198='check-Jul25'!R198,"",'1. Live'!R198-'check-Jul25'!R198)</f>
        <v/>
      </c>
      <c r="S198" t="str">
        <f>IF('1. Live'!S198='check-Jul25'!S198,"",'1. Live'!S198-'check-Jul25'!S198)</f>
        <v/>
      </c>
      <c r="T198" t="str">
        <f>IF('1. Live'!T198='check-Jul25'!T198,"",'1. Live'!T198-'check-Jul25'!T198)</f>
        <v/>
      </c>
      <c r="U198" t="str">
        <f>IF('1. Live'!U198='check-Jul25'!U198,"",'1. Live'!U198-'check-Jul25'!U198)</f>
        <v/>
      </c>
      <c r="V198" t="str">
        <f>IF('1. Live'!V198='check-Jul25'!V198,"",'1. Live'!V198-'check-Jul25'!V198)</f>
        <v/>
      </c>
      <c r="W198" t="str">
        <f>IF('1. Live'!W198='check-Jul25'!W198,"",'1. Live'!W198-'check-Jul25'!W198)</f>
        <v/>
      </c>
      <c r="X198" t="str">
        <f>IF('1. Live'!X198='check-Jul25'!X198,"",'1. Live'!X198-'check-Jul25'!X198)</f>
        <v/>
      </c>
      <c r="Y198" t="str">
        <f>IF('1. Live'!Y198='check-Jul25'!Y198,"",'1. Live'!Y198-'check-Jul25'!Y198)</f>
        <v/>
      </c>
      <c r="Z198" t="str">
        <f>IF('1. Live'!Z198='check-Jul25'!Z198,"",'1. Live'!Z198-'check-Jul25'!Z198)</f>
        <v/>
      </c>
      <c r="AA198" t="str">
        <f>IF('1. Live'!AA198='check-Jul25'!AA198,"",'1. Live'!AA198-'check-Jul25'!AA198)</f>
        <v/>
      </c>
      <c r="AB198" t="str">
        <f>IF('1. Live'!AB198='check-Jul25'!AB198,"",'1. Live'!AB198-'check-Jul25'!AB198)</f>
        <v/>
      </c>
      <c r="AC198" t="str">
        <f>IF('1. Live'!AC198='check-Jul25'!AC198,"",'1. Live'!AC198-'check-Jul25'!AC198)</f>
        <v/>
      </c>
      <c r="AD198" t="str">
        <f>IF('1. Live'!AD198='check-Jul25'!AD198,"",'1. Live'!AD198-'check-Jul25'!AD198)</f>
        <v/>
      </c>
      <c r="AE198" t="str">
        <f>IF('1. Live'!AE198='check-Jul25'!AE198,"",'1. Live'!AE198-'check-Jul25'!AE198)</f>
        <v/>
      </c>
      <c r="AF198" t="str">
        <f>IF('1. Live'!AF198='check-Jul25'!AF198,"",'1. Live'!AF198-'check-Jul25'!AF198)</f>
        <v/>
      </c>
      <c r="AG198" t="str">
        <f>IF('1. Live'!AG198='check-Jul25'!AG198,"",'1. Live'!AG198-'check-Jul25'!AG198)</f>
        <v/>
      </c>
      <c r="AH198" t="str">
        <f>IF('1. Live'!AH198='check-Jul25'!AH198,"",'1. Live'!AH198-'check-Jul25'!AH198)</f>
        <v/>
      </c>
      <c r="AI198" t="str">
        <f>IF('1. Live'!AI198='check-Jul25'!AI198,"",'1. Live'!AI198-'check-Jul25'!AI198)</f>
        <v/>
      </c>
      <c r="AJ198" t="str">
        <f>IF('1. Live'!AJ198='check-Jul25'!AJ198,"",'1. Live'!AJ198-'check-Jul25'!AJ198)</f>
        <v/>
      </c>
      <c r="AK198" t="str">
        <f>IF('1. Live'!AK198='check-Jul25'!AK198,"",'1. Live'!AK198-'check-Jul25'!AK198)</f>
        <v/>
      </c>
      <c r="AL198" t="str">
        <f>IF('1. Live'!AL198='check-Jul25'!AL198,"",'1. Live'!AL198-'check-Jul25'!AL198)</f>
        <v/>
      </c>
      <c r="AM198" t="str">
        <f>IF('1. Live'!AM198='check-Jul25'!AM198,"",'1. Live'!AM198-'check-Jul25'!AM198)</f>
        <v/>
      </c>
      <c r="AN198" t="str">
        <f>IF('1. Live'!AN198='check-Jul25'!AN198,"",'1. Live'!AN198-'check-Jul25'!AN198)</f>
        <v/>
      </c>
      <c r="AO198" t="str">
        <f>IF('1. Live'!AO198='check-Jul25'!AO198,"",'1. Live'!AO198-'check-Jul25'!AO198)</f>
        <v/>
      </c>
      <c r="AP198" t="str">
        <f>IF('1. Live'!AP198='check-Jul25'!AP198,"",'1. Live'!AP198-'check-Jul25'!AP198)</f>
        <v/>
      </c>
      <c r="AQ198" t="str">
        <f>IF('1. Live'!AQ198='check-Jul25'!AQ198,"",'1. Live'!AQ198-'check-Jul25'!AQ198)</f>
        <v/>
      </c>
      <c r="AR198" t="str">
        <f>IF('1. Live'!AR198='check-Jul25'!AR198,"",'1. Live'!AR198-'check-Jul25'!AR198)</f>
        <v/>
      </c>
      <c r="AS198" t="str">
        <f>IF('1. Live'!AS198='check-Jul25'!AS198,"",'1. Live'!AS198-'check-Jul25'!AS198)</f>
        <v/>
      </c>
      <c r="AT198" t="str">
        <f>IF('1. Live'!AT198='check-Jul25'!AT198,"",'1. Live'!AT198-'check-Jul25'!AT198)</f>
        <v/>
      </c>
      <c r="AU198" t="str">
        <f>IF('1. Live'!AU198='check-Jul25'!AU198,"",'1. Live'!AU198-'check-Jul25'!AU198)</f>
        <v/>
      </c>
      <c r="AV198" t="str">
        <f>IF('1. Live'!AV198='check-Jul25'!AV198,"",'1. Live'!AV198-'check-Jul25'!AV198)</f>
        <v/>
      </c>
      <c r="AW198" t="str">
        <f>IF('1. Live'!AW198='check-Jul25'!AW198,"",'1. Live'!AW198-'check-Jul25'!AW198)</f>
        <v/>
      </c>
      <c r="AX198" t="str">
        <f>IF('1. Live'!AX198='check-Jul25'!AX198,"",'1. Live'!AX198-'check-Jul25'!AX198)</f>
        <v/>
      </c>
      <c r="AY198" t="str">
        <f>IF('1. Live'!AY198='check-Jul25'!AY198,"",'1. Live'!AY198-'check-Jul25'!AY198)</f>
        <v/>
      </c>
      <c r="AZ198" t="str">
        <f>IF('1. Live'!AZ198='check-Jul25'!AZ198,"",'1. Live'!AZ198-'check-Jul25'!AZ198)</f>
        <v/>
      </c>
      <c r="BA198" t="str">
        <f>IF('1. Live'!BA198='check-Jul25'!BA198,"",'1. Live'!BA198-'check-Jul25'!BA198)</f>
        <v/>
      </c>
      <c r="BB198" t="str">
        <f>IF('1. Live'!BB198='check-Jul25'!BB198,"",'1. Live'!BB198-'check-Jul25'!BB198)</f>
        <v/>
      </c>
      <c r="BC198" t="str">
        <f>IF('1. Live'!BC198='check-Jul25'!BC198,"",'1. Live'!BC198-'check-Jul25'!BC198)</f>
        <v/>
      </c>
      <c r="BD198" t="str">
        <f>IF('1. Live'!BD198='check-Jul25'!BD198,"",'1. Live'!BD198-'check-Jul25'!BD198)</f>
        <v/>
      </c>
      <c r="BE198" t="str">
        <f>IF('1. Live'!BE198='check-Jul25'!BE198,"",'1. Live'!BE198-'check-Jul25'!BE198)</f>
        <v/>
      </c>
      <c r="BF198" t="str">
        <f>IF('1. Live'!BF198='check-Jul25'!BF198,"",'1. Live'!BF198-'check-Jul25'!BF198)</f>
        <v/>
      </c>
      <c r="BG198" t="str">
        <f>IF('1. Live'!BG198='check-Jul25'!BG198,"",'1. Live'!BG198-'check-Jul25'!BG198)</f>
        <v/>
      </c>
      <c r="BH198" t="str">
        <f>IF('1. Live'!BH198='check-Jul25'!BH198,"",'1. Live'!BH198-'check-Jul25'!BH198)</f>
        <v/>
      </c>
      <c r="BI198" t="str">
        <f>IF('1. Live'!BI198='check-Jul25'!BI198,"",'1. Live'!BI198-'check-Jul25'!BI198)</f>
        <v/>
      </c>
      <c r="BJ198" t="str">
        <f>IF('1. Live'!BJ198='check-Jul25'!BJ198,"",'1. Live'!BJ198-'check-Jul25'!BJ198)</f>
        <v/>
      </c>
      <c r="BK198" t="str">
        <f>IF('1. Live'!BK198='check-Jul25'!BK198,"",'1. Live'!BK198-'check-Jul25'!BK198)</f>
        <v/>
      </c>
      <c r="BL198" t="str">
        <f>IF('1. Live'!BL198='check-Jul25'!BL198,"",'1. Live'!BL198-'check-Jul25'!BL198)</f>
        <v/>
      </c>
      <c r="BM198" t="str">
        <f>IF('1. Live'!BM198='check-Jul25'!BM198,"",'1. Live'!BM198-'check-Jul25'!BM198)</f>
        <v/>
      </c>
      <c r="BN198" t="str">
        <f>IF('1. Live'!BN198='check-Jul25'!BN198,"",'1. Live'!BN198-'check-Jul25'!BN198)</f>
        <v/>
      </c>
      <c r="BO198" t="str">
        <f>IF('1. Live'!BO198='check-Jul25'!BO198,"",'1. Live'!BO198-'check-Jul25'!BO198)</f>
        <v/>
      </c>
      <c r="BP198" t="str">
        <f>IF('1. Live'!BP198='check-Jul25'!BP198,"",'1. Live'!BP198-'check-Jul25'!BP198)</f>
        <v/>
      </c>
      <c r="BQ198" t="str">
        <f>IF('1. Live'!BQ198='check-Jul25'!BQ198,"",'1. Live'!BQ198-'check-Jul25'!BQ198)</f>
        <v/>
      </c>
      <c r="BR198" t="str">
        <f>IF('1. Live'!BR198='check-Jul25'!BR198,"",'1. Live'!BR198-'check-Jul25'!BR198)</f>
        <v/>
      </c>
      <c r="BS198" t="str">
        <f>IF('1. Live'!BS198='check-Jul25'!BS198,"",'1. Live'!BS198-'check-Jul25'!BS198)</f>
        <v/>
      </c>
      <c r="BT198" t="str">
        <f>IF('1. Live'!BT198='check-Jul25'!BT198,"",'1. Live'!BT198-'check-Jul25'!BT198)</f>
        <v/>
      </c>
      <c r="BU198" t="str">
        <f>IF('1. Live'!BU198='check-Jul25'!BU198,"",'1. Live'!BU198-'check-Jul25'!BU198)</f>
        <v/>
      </c>
      <c r="BV198" t="str">
        <f>IF('1. Live'!BV198='check-Jul25'!BV198,"",'1. Live'!BV198-'check-Jul25'!BV198)</f>
        <v/>
      </c>
      <c r="BW198" t="str">
        <f>IF('1. Live'!BW198='check-Jul25'!BW198,"",'1. Live'!BW198-'check-Jul25'!BW198)</f>
        <v/>
      </c>
      <c r="BX198" t="str">
        <f>IF('1. Live'!BX198='check-Jul25'!BX198,"",'1. Live'!BX198-'check-Jul25'!BX198)</f>
        <v/>
      </c>
      <c r="BY198" t="str">
        <f>IF('1. Live'!BY198='check-Jul25'!BY198,"",'1. Live'!BY198-'check-Jul25'!BY198)</f>
        <v/>
      </c>
      <c r="BZ198" t="str">
        <f>IF('1. Live'!BZ198='check-Jul25'!BZ198,"",'1. Live'!BZ198-'check-Jul25'!BZ198)</f>
        <v/>
      </c>
      <c r="CA198" t="str">
        <f>IF('1. Live'!CA198='check-Jul25'!CA198,"",'1. Live'!CA198-'check-Jul25'!CA198)</f>
        <v/>
      </c>
      <c r="CB198" t="str">
        <f>IF('1. Live'!CB198='check-Jul25'!CB198,"",'1. Live'!CB198-'check-Jul25'!CB198)</f>
        <v/>
      </c>
      <c r="CC198" t="str">
        <f>IF('1. Live'!CC198='check-Jul25'!CC198,"",'1. Live'!CC198-'check-Jul25'!CC198)</f>
        <v/>
      </c>
      <c r="CD198" t="str">
        <f>IF('1. Live'!CD198='check-Jul25'!CD198,"",'1. Live'!CD198-'check-Jul25'!CD198)</f>
        <v/>
      </c>
      <c r="CE198" t="str">
        <f>IF('1. Live'!CE198='check-Jul25'!CE198,"",'1. Live'!CE198-'check-Jul25'!CE198)</f>
        <v/>
      </c>
      <c r="CF198" t="str">
        <f>IF('1. Live'!CF198='check-Jul25'!CF198,"",'1. Live'!CF198-'check-Jul25'!CF198)</f>
        <v/>
      </c>
      <c r="CG198" t="str">
        <f>IF('1. Live'!CG198='check-Jul25'!CG198,"",'1. Live'!CG198-'check-Jul25'!CG198)</f>
        <v/>
      </c>
      <c r="CH198" t="str">
        <f>IF('1. Live'!CH198='check-Jul25'!CH198,"",'1. Live'!CH198-'check-Jul25'!CH198)</f>
        <v/>
      </c>
      <c r="CI198" t="str">
        <f>IF('1. Live'!CI198='check-Jul25'!CI198,"",'1. Live'!CI198-'check-Jul25'!CI198)</f>
        <v/>
      </c>
      <c r="CJ198" t="str">
        <f>IF('1. Live'!CJ198='check-Jul25'!CJ198,"",'1. Live'!CJ198-'check-Jul25'!CJ198)</f>
        <v/>
      </c>
      <c r="CK198" t="str">
        <f>IF('1. Live'!CK198='check-Jul25'!CK198,"",'1. Live'!CK198-'check-Jul25'!CK198)</f>
        <v/>
      </c>
      <c r="CL198" t="str">
        <f>IF('1. Live'!CL198='check-Jul25'!CL198,"",'1. Live'!CL198-'check-Jul25'!CL198)</f>
        <v/>
      </c>
      <c r="CM198" t="str">
        <f>IF('1. Live'!CM198='check-Jul25'!CM198,"",'1. Live'!CM198-'check-Jul25'!CM198)</f>
        <v/>
      </c>
      <c r="CN198" t="str">
        <f>IF('1. Live'!CN198='check-Jul25'!CN198,"",'1. Live'!CN198-'check-Jul25'!CN198)</f>
        <v/>
      </c>
      <c r="CO198" t="str">
        <f>IF('1. Live'!CO198='check-Jul25'!CO198,"",'1. Live'!CO198-'check-Jul25'!CO198)</f>
        <v/>
      </c>
      <c r="CP198" t="str">
        <f>IF('1. Live'!CP198='check-Jul25'!CP198,"",'1. Live'!CP198-'check-Jul25'!CP198)</f>
        <v/>
      </c>
      <c r="CQ198" t="str">
        <f>IF('1. Live'!CQ198='check-Jul25'!CQ198,"",'1. Live'!CQ198-'check-Jul25'!CQ198)</f>
        <v/>
      </c>
      <c r="CR198" t="str">
        <f>IF('1. Live'!CR198='check-Jul25'!CR198,"",'1. Live'!CR198-'check-Jul25'!CR198)</f>
        <v/>
      </c>
      <c r="CS198" t="str">
        <f>IF('1. Live'!CS198='check-Jul25'!CS198,"",'1. Live'!CS198-'check-Jul25'!CS198)</f>
        <v/>
      </c>
      <c r="CT198" t="str">
        <f>IF('1. Live'!CT198='check-Jul25'!CT198,"",'1. Live'!CT198-'check-Jul25'!CT198)</f>
        <v/>
      </c>
      <c r="CU198" t="str">
        <f>IF('1. Live'!CU198='check-Jul25'!CU198,"",'1. Live'!CU198-'check-Jul25'!CU198)</f>
        <v/>
      </c>
      <c r="CV198" t="str">
        <f>IF('1. Live'!CV198='check-Jul25'!CV198,"",'1. Live'!CV198-'check-Jul25'!CV198)</f>
        <v/>
      </c>
      <c r="CW198" t="str">
        <f>IF('1. Live'!CW198='check-Jul25'!CW198,"",'1. Live'!CW198-'check-Jul25'!CW198)</f>
        <v/>
      </c>
    </row>
    <row r="199" spans="10:101">
      <c r="J199" t="str">
        <f>IF('1. Live'!J199='check-Jul25'!J199,"",'1. Live'!J199-'check-Jul25'!J199)</f>
        <v/>
      </c>
      <c r="K199" t="str">
        <f>IF('1. Live'!K199='check-Jul25'!K199,"",'1. Live'!K199-'check-Jul25'!K199)</f>
        <v/>
      </c>
      <c r="L199" t="str">
        <f>IF('1. Live'!L199='check-Jul25'!L199,"",'1. Live'!L199-'check-Jul25'!L199)</f>
        <v/>
      </c>
      <c r="M199" t="str">
        <f>IF('1. Live'!M199='check-Jul25'!M199,"",'1. Live'!M199-'check-Jul25'!M199)</f>
        <v/>
      </c>
      <c r="N199" t="str">
        <f>IF('1. Live'!N199='check-Jul25'!N199,"",'1. Live'!N199-'check-Jul25'!N199)</f>
        <v/>
      </c>
      <c r="O199" t="str">
        <f>IF('1. Live'!O199='check-Jul25'!O199,"",'1. Live'!O199-'check-Jul25'!O199)</f>
        <v/>
      </c>
      <c r="P199" t="str">
        <f>IF('1. Live'!P199='check-Jul25'!P199,"",'1. Live'!P199-'check-Jul25'!P199)</f>
        <v/>
      </c>
      <c r="Q199" t="str">
        <f>IF('1. Live'!Q199='check-Jul25'!Q199,"",'1. Live'!Q199-'check-Jul25'!Q199)</f>
        <v/>
      </c>
      <c r="R199" t="str">
        <f>IF('1. Live'!R199='check-Jul25'!R199,"",'1. Live'!R199-'check-Jul25'!R199)</f>
        <v/>
      </c>
      <c r="S199" t="str">
        <f>IF('1. Live'!S199='check-Jul25'!S199,"",'1. Live'!S199-'check-Jul25'!S199)</f>
        <v/>
      </c>
      <c r="T199" t="str">
        <f>IF('1. Live'!T199='check-Jul25'!T199,"",'1. Live'!T199-'check-Jul25'!T199)</f>
        <v/>
      </c>
      <c r="U199" t="str">
        <f>IF('1. Live'!U199='check-Jul25'!U199,"",'1. Live'!U199-'check-Jul25'!U199)</f>
        <v/>
      </c>
      <c r="V199" t="str">
        <f>IF('1. Live'!V199='check-Jul25'!V199,"",'1. Live'!V199-'check-Jul25'!V199)</f>
        <v/>
      </c>
      <c r="W199" t="str">
        <f>IF('1. Live'!W199='check-Jul25'!W199,"",'1. Live'!W199-'check-Jul25'!W199)</f>
        <v/>
      </c>
      <c r="X199" t="str">
        <f>IF('1. Live'!X199='check-Jul25'!X199,"",'1. Live'!X199-'check-Jul25'!X199)</f>
        <v/>
      </c>
      <c r="Y199" t="str">
        <f>IF('1. Live'!Y199='check-Jul25'!Y199,"",'1. Live'!Y199-'check-Jul25'!Y199)</f>
        <v/>
      </c>
      <c r="Z199" t="str">
        <f>IF('1. Live'!Z199='check-Jul25'!Z199,"",'1. Live'!Z199-'check-Jul25'!Z199)</f>
        <v/>
      </c>
      <c r="AA199" t="str">
        <f>IF('1. Live'!AA199='check-Jul25'!AA199,"",'1. Live'!AA199-'check-Jul25'!AA199)</f>
        <v/>
      </c>
      <c r="AB199" t="str">
        <f>IF('1. Live'!AB199='check-Jul25'!AB199,"",'1. Live'!AB199-'check-Jul25'!AB199)</f>
        <v/>
      </c>
      <c r="AC199" t="str">
        <f>IF('1. Live'!AC199='check-Jul25'!AC199,"",'1. Live'!AC199-'check-Jul25'!AC199)</f>
        <v/>
      </c>
      <c r="AD199" t="str">
        <f>IF('1. Live'!AD199='check-Jul25'!AD199,"",'1. Live'!AD199-'check-Jul25'!AD199)</f>
        <v/>
      </c>
      <c r="AE199" t="str">
        <f>IF('1. Live'!AE199='check-Jul25'!AE199,"",'1. Live'!AE199-'check-Jul25'!AE199)</f>
        <v/>
      </c>
      <c r="AF199" t="str">
        <f>IF('1. Live'!AF199='check-Jul25'!AF199,"",'1. Live'!AF199-'check-Jul25'!AF199)</f>
        <v/>
      </c>
      <c r="AG199" t="str">
        <f>IF('1. Live'!AG199='check-Jul25'!AG199,"",'1. Live'!AG199-'check-Jul25'!AG199)</f>
        <v/>
      </c>
      <c r="AH199" t="str">
        <f>IF('1. Live'!AH199='check-Jul25'!AH199,"",'1. Live'!AH199-'check-Jul25'!AH199)</f>
        <v/>
      </c>
      <c r="AI199" t="str">
        <f>IF('1. Live'!AI199='check-Jul25'!AI199,"",'1. Live'!AI199-'check-Jul25'!AI199)</f>
        <v/>
      </c>
      <c r="AJ199" t="str">
        <f>IF('1. Live'!AJ199='check-Jul25'!AJ199,"",'1. Live'!AJ199-'check-Jul25'!AJ199)</f>
        <v/>
      </c>
      <c r="AK199" t="str">
        <f>IF('1. Live'!AK199='check-Jul25'!AK199,"",'1. Live'!AK199-'check-Jul25'!AK199)</f>
        <v/>
      </c>
      <c r="AL199" t="str">
        <f>IF('1. Live'!AL199='check-Jul25'!AL199,"",'1. Live'!AL199-'check-Jul25'!AL199)</f>
        <v/>
      </c>
      <c r="AM199" t="str">
        <f>IF('1. Live'!AM199='check-Jul25'!AM199,"",'1. Live'!AM199-'check-Jul25'!AM199)</f>
        <v/>
      </c>
      <c r="AN199" t="str">
        <f>IF('1. Live'!AN199='check-Jul25'!AN199,"",'1. Live'!AN199-'check-Jul25'!AN199)</f>
        <v/>
      </c>
      <c r="AO199" t="str">
        <f>IF('1. Live'!AO199='check-Jul25'!AO199,"",'1. Live'!AO199-'check-Jul25'!AO199)</f>
        <v/>
      </c>
      <c r="AP199" t="str">
        <f>IF('1. Live'!AP199='check-Jul25'!AP199,"",'1. Live'!AP199-'check-Jul25'!AP199)</f>
        <v/>
      </c>
      <c r="AQ199" t="str">
        <f>IF('1. Live'!AQ199='check-Jul25'!AQ199,"",'1. Live'!AQ199-'check-Jul25'!AQ199)</f>
        <v/>
      </c>
      <c r="AR199" t="str">
        <f>IF('1. Live'!AR199='check-Jul25'!AR199,"",'1. Live'!AR199-'check-Jul25'!AR199)</f>
        <v/>
      </c>
      <c r="AS199" t="str">
        <f>IF('1. Live'!AS199='check-Jul25'!AS199,"",'1. Live'!AS199-'check-Jul25'!AS199)</f>
        <v/>
      </c>
      <c r="AT199" t="str">
        <f>IF('1. Live'!AT199='check-Jul25'!AT199,"",'1. Live'!AT199-'check-Jul25'!AT199)</f>
        <v/>
      </c>
      <c r="AU199" t="str">
        <f>IF('1. Live'!AU199='check-Jul25'!AU199,"",'1. Live'!AU199-'check-Jul25'!AU199)</f>
        <v/>
      </c>
      <c r="AV199" t="str">
        <f>IF('1. Live'!AV199='check-Jul25'!AV199,"",'1. Live'!AV199-'check-Jul25'!AV199)</f>
        <v/>
      </c>
      <c r="AW199" t="str">
        <f>IF('1. Live'!AW199='check-Jul25'!AW199,"",'1. Live'!AW199-'check-Jul25'!AW199)</f>
        <v/>
      </c>
      <c r="AX199" t="str">
        <f>IF('1. Live'!AX199='check-Jul25'!AX199,"",'1. Live'!AX199-'check-Jul25'!AX199)</f>
        <v/>
      </c>
      <c r="AY199" t="str">
        <f>IF('1. Live'!AY199='check-Jul25'!AY199,"",'1. Live'!AY199-'check-Jul25'!AY199)</f>
        <v/>
      </c>
      <c r="AZ199" t="str">
        <f>IF('1. Live'!AZ199='check-Jul25'!AZ199,"",'1. Live'!AZ199-'check-Jul25'!AZ199)</f>
        <v/>
      </c>
      <c r="BA199" t="str">
        <f>IF('1. Live'!BA199='check-Jul25'!BA199,"",'1. Live'!BA199-'check-Jul25'!BA199)</f>
        <v/>
      </c>
      <c r="BB199" t="str">
        <f>IF('1. Live'!BB199='check-Jul25'!BB199,"",'1. Live'!BB199-'check-Jul25'!BB199)</f>
        <v/>
      </c>
      <c r="BC199" t="str">
        <f>IF('1. Live'!BC199='check-Jul25'!BC199,"",'1. Live'!BC199-'check-Jul25'!BC199)</f>
        <v/>
      </c>
      <c r="BD199" t="str">
        <f>IF('1. Live'!BD199='check-Jul25'!BD199,"",'1. Live'!BD199-'check-Jul25'!BD199)</f>
        <v/>
      </c>
      <c r="BE199" t="str">
        <f>IF('1. Live'!BE199='check-Jul25'!BE199,"",'1. Live'!BE199-'check-Jul25'!BE199)</f>
        <v/>
      </c>
      <c r="BF199" t="str">
        <f>IF('1. Live'!BF199='check-Jul25'!BF199,"",'1. Live'!BF199-'check-Jul25'!BF199)</f>
        <v/>
      </c>
      <c r="BG199" t="str">
        <f>IF('1. Live'!BG199='check-Jul25'!BG199,"",'1. Live'!BG199-'check-Jul25'!BG199)</f>
        <v/>
      </c>
      <c r="BH199" t="str">
        <f>IF('1. Live'!BH199='check-Jul25'!BH199,"",'1. Live'!BH199-'check-Jul25'!BH199)</f>
        <v/>
      </c>
      <c r="BI199" t="str">
        <f>IF('1. Live'!BI199='check-Jul25'!BI199,"",'1. Live'!BI199-'check-Jul25'!BI199)</f>
        <v/>
      </c>
      <c r="BJ199" t="str">
        <f>IF('1. Live'!BJ199='check-Jul25'!BJ199,"",'1. Live'!BJ199-'check-Jul25'!BJ199)</f>
        <v/>
      </c>
      <c r="BK199" t="str">
        <f>IF('1. Live'!BK199='check-Jul25'!BK199,"",'1. Live'!BK199-'check-Jul25'!BK199)</f>
        <v/>
      </c>
      <c r="BL199" t="str">
        <f>IF('1. Live'!BL199='check-Jul25'!BL199,"",'1. Live'!BL199-'check-Jul25'!BL199)</f>
        <v/>
      </c>
      <c r="BM199" t="str">
        <f>IF('1. Live'!BM199='check-Jul25'!BM199,"",'1. Live'!BM199-'check-Jul25'!BM199)</f>
        <v/>
      </c>
      <c r="BN199" t="str">
        <f>IF('1. Live'!BN199='check-Jul25'!BN199,"",'1. Live'!BN199-'check-Jul25'!BN199)</f>
        <v/>
      </c>
      <c r="BO199" t="str">
        <f>IF('1. Live'!BO199='check-Jul25'!BO199,"",'1. Live'!BO199-'check-Jul25'!BO199)</f>
        <v/>
      </c>
      <c r="BP199" t="str">
        <f>IF('1. Live'!BP199='check-Jul25'!BP199,"",'1. Live'!BP199-'check-Jul25'!BP199)</f>
        <v/>
      </c>
      <c r="BQ199" t="str">
        <f>IF('1. Live'!BQ199='check-Jul25'!BQ199,"",'1. Live'!BQ199-'check-Jul25'!BQ199)</f>
        <v/>
      </c>
      <c r="BR199" t="str">
        <f>IF('1. Live'!BR199='check-Jul25'!BR199,"",'1. Live'!BR199-'check-Jul25'!BR199)</f>
        <v/>
      </c>
      <c r="BS199" t="str">
        <f>IF('1. Live'!BS199='check-Jul25'!BS199,"",'1. Live'!BS199-'check-Jul25'!BS199)</f>
        <v/>
      </c>
      <c r="BT199" t="str">
        <f>IF('1. Live'!BT199='check-Jul25'!BT199,"",'1. Live'!BT199-'check-Jul25'!BT199)</f>
        <v/>
      </c>
      <c r="BU199" t="str">
        <f>IF('1. Live'!BU199='check-Jul25'!BU199,"",'1. Live'!BU199-'check-Jul25'!BU199)</f>
        <v/>
      </c>
      <c r="BV199" t="str">
        <f>IF('1. Live'!BV199='check-Jul25'!BV199,"",'1. Live'!BV199-'check-Jul25'!BV199)</f>
        <v/>
      </c>
      <c r="BW199" t="str">
        <f>IF('1. Live'!BW199='check-Jul25'!BW199,"",'1. Live'!BW199-'check-Jul25'!BW199)</f>
        <v/>
      </c>
      <c r="BX199" t="str">
        <f>IF('1. Live'!BX199='check-Jul25'!BX199,"",'1. Live'!BX199-'check-Jul25'!BX199)</f>
        <v/>
      </c>
      <c r="BY199" t="str">
        <f>IF('1. Live'!BY199='check-Jul25'!BY199,"",'1. Live'!BY199-'check-Jul25'!BY199)</f>
        <v/>
      </c>
      <c r="BZ199" t="str">
        <f>IF('1. Live'!BZ199='check-Jul25'!BZ199,"",'1. Live'!BZ199-'check-Jul25'!BZ199)</f>
        <v/>
      </c>
      <c r="CA199" t="str">
        <f>IF('1. Live'!CA199='check-Jul25'!CA199,"",'1. Live'!CA199-'check-Jul25'!CA199)</f>
        <v/>
      </c>
      <c r="CB199" t="str">
        <f>IF('1. Live'!CB199='check-Jul25'!CB199,"",'1. Live'!CB199-'check-Jul25'!CB199)</f>
        <v/>
      </c>
      <c r="CC199" t="str">
        <f>IF('1. Live'!CC199='check-Jul25'!CC199,"",'1. Live'!CC199-'check-Jul25'!CC199)</f>
        <v/>
      </c>
      <c r="CD199" t="str">
        <f>IF('1. Live'!CD199='check-Jul25'!CD199,"",'1. Live'!CD199-'check-Jul25'!CD199)</f>
        <v/>
      </c>
      <c r="CE199" t="str">
        <f>IF('1. Live'!CE199='check-Jul25'!CE199,"",'1. Live'!CE199-'check-Jul25'!CE199)</f>
        <v/>
      </c>
      <c r="CF199" t="str">
        <f>IF('1. Live'!CF199='check-Jul25'!CF199,"",'1. Live'!CF199-'check-Jul25'!CF199)</f>
        <v/>
      </c>
      <c r="CG199" t="str">
        <f>IF('1. Live'!CG199='check-Jul25'!CG199,"",'1. Live'!CG199-'check-Jul25'!CG199)</f>
        <v/>
      </c>
      <c r="CH199" t="str">
        <f>IF('1. Live'!CH199='check-Jul25'!CH199,"",'1. Live'!CH199-'check-Jul25'!CH199)</f>
        <v/>
      </c>
      <c r="CI199" t="str">
        <f>IF('1. Live'!CI199='check-Jul25'!CI199,"",'1. Live'!CI199-'check-Jul25'!CI199)</f>
        <v/>
      </c>
      <c r="CJ199" t="str">
        <f>IF('1. Live'!CJ199='check-Jul25'!CJ199,"",'1. Live'!CJ199-'check-Jul25'!CJ199)</f>
        <v/>
      </c>
      <c r="CK199" t="str">
        <f>IF('1. Live'!CK199='check-Jul25'!CK199,"",'1. Live'!CK199-'check-Jul25'!CK199)</f>
        <v/>
      </c>
      <c r="CL199" t="str">
        <f>IF('1. Live'!CL199='check-Jul25'!CL199,"",'1. Live'!CL199-'check-Jul25'!CL199)</f>
        <v/>
      </c>
      <c r="CM199" t="str">
        <f>IF('1. Live'!CM199='check-Jul25'!CM199,"",'1. Live'!CM199-'check-Jul25'!CM199)</f>
        <v/>
      </c>
      <c r="CN199" t="str">
        <f>IF('1. Live'!CN199='check-Jul25'!CN199,"",'1. Live'!CN199-'check-Jul25'!CN199)</f>
        <v/>
      </c>
      <c r="CO199" t="str">
        <f>IF('1. Live'!CO199='check-Jul25'!CO199,"",'1. Live'!CO199-'check-Jul25'!CO199)</f>
        <v/>
      </c>
      <c r="CP199" t="str">
        <f>IF('1. Live'!CP199='check-Jul25'!CP199,"",'1. Live'!CP199-'check-Jul25'!CP199)</f>
        <v/>
      </c>
      <c r="CQ199" t="str">
        <f>IF('1. Live'!CQ199='check-Jul25'!CQ199,"",'1. Live'!CQ199-'check-Jul25'!CQ199)</f>
        <v/>
      </c>
      <c r="CR199" t="str">
        <f>IF('1. Live'!CR199='check-Jul25'!CR199,"",'1. Live'!CR199-'check-Jul25'!CR199)</f>
        <v/>
      </c>
      <c r="CS199" t="str">
        <f>IF('1. Live'!CS199='check-Jul25'!CS199,"",'1. Live'!CS199-'check-Jul25'!CS199)</f>
        <v/>
      </c>
      <c r="CT199" t="str">
        <f>IF('1. Live'!CT199='check-Jul25'!CT199,"",'1. Live'!CT199-'check-Jul25'!CT199)</f>
        <v/>
      </c>
      <c r="CU199" t="str">
        <f>IF('1. Live'!CU199='check-Jul25'!CU199,"",'1. Live'!CU199-'check-Jul25'!CU199)</f>
        <v/>
      </c>
      <c r="CV199" t="str">
        <f>IF('1. Live'!CV199='check-Jul25'!CV199,"",'1. Live'!CV199-'check-Jul25'!CV199)</f>
        <v/>
      </c>
      <c r="CW199" t="str">
        <f>IF('1. Live'!CW199='check-Jul25'!CW199,"",'1. Live'!CW199-'check-Jul25'!CW199)</f>
        <v/>
      </c>
    </row>
    <row r="200" spans="10:101">
      <c r="J200" t="str">
        <f>IF('1. Live'!J200='check-Jul25'!J200,"",'1. Live'!J200-'check-Jul25'!J200)</f>
        <v/>
      </c>
      <c r="K200" t="str">
        <f>IF('1. Live'!K200='check-Jul25'!K200,"",'1. Live'!K200-'check-Jul25'!K200)</f>
        <v/>
      </c>
      <c r="L200" t="str">
        <f>IF('1. Live'!L200='check-Jul25'!L200,"",'1. Live'!L200-'check-Jul25'!L200)</f>
        <v/>
      </c>
      <c r="M200" t="str">
        <f>IF('1. Live'!M200='check-Jul25'!M200,"",'1. Live'!M200-'check-Jul25'!M200)</f>
        <v/>
      </c>
      <c r="N200" t="str">
        <f>IF('1. Live'!N200='check-Jul25'!N200,"",'1. Live'!N200-'check-Jul25'!N200)</f>
        <v/>
      </c>
      <c r="O200" t="str">
        <f>IF('1. Live'!O200='check-Jul25'!O200,"",'1. Live'!O200-'check-Jul25'!O200)</f>
        <v/>
      </c>
      <c r="P200" t="str">
        <f>IF('1. Live'!P200='check-Jul25'!P200,"",'1. Live'!P200-'check-Jul25'!P200)</f>
        <v/>
      </c>
      <c r="Q200" t="str">
        <f>IF('1. Live'!Q200='check-Jul25'!Q200,"",'1. Live'!Q200-'check-Jul25'!Q200)</f>
        <v/>
      </c>
      <c r="R200" t="str">
        <f>IF('1. Live'!R200='check-Jul25'!R200,"",'1. Live'!R200-'check-Jul25'!R200)</f>
        <v/>
      </c>
      <c r="S200" t="str">
        <f>IF('1. Live'!S200='check-Jul25'!S200,"",'1. Live'!S200-'check-Jul25'!S200)</f>
        <v/>
      </c>
      <c r="T200" t="str">
        <f>IF('1. Live'!T200='check-Jul25'!T200,"",'1. Live'!T200-'check-Jul25'!T200)</f>
        <v/>
      </c>
      <c r="U200" t="str">
        <f>IF('1. Live'!U200='check-Jul25'!U200,"",'1. Live'!U200-'check-Jul25'!U200)</f>
        <v/>
      </c>
      <c r="V200" t="str">
        <f>IF('1. Live'!V200='check-Jul25'!V200,"",'1. Live'!V200-'check-Jul25'!V200)</f>
        <v/>
      </c>
      <c r="W200" t="str">
        <f>IF('1. Live'!W200='check-Jul25'!W200,"",'1. Live'!W200-'check-Jul25'!W200)</f>
        <v/>
      </c>
      <c r="X200" t="str">
        <f>IF('1. Live'!X200='check-Jul25'!X200,"",'1. Live'!X200-'check-Jul25'!X200)</f>
        <v/>
      </c>
      <c r="Y200" t="str">
        <f>IF('1. Live'!Y200='check-Jul25'!Y200,"",'1. Live'!Y200-'check-Jul25'!Y200)</f>
        <v/>
      </c>
      <c r="Z200" t="str">
        <f>IF('1. Live'!Z200='check-Jul25'!Z200,"",'1. Live'!Z200-'check-Jul25'!Z200)</f>
        <v/>
      </c>
      <c r="AA200" t="str">
        <f>IF('1. Live'!AA200='check-Jul25'!AA200,"",'1. Live'!AA200-'check-Jul25'!AA200)</f>
        <v/>
      </c>
      <c r="AB200" t="str">
        <f>IF('1. Live'!AB200='check-Jul25'!AB200,"",'1. Live'!AB200-'check-Jul25'!AB200)</f>
        <v/>
      </c>
      <c r="AC200" t="str">
        <f>IF('1. Live'!AC200='check-Jul25'!AC200,"",'1. Live'!AC200-'check-Jul25'!AC200)</f>
        <v/>
      </c>
      <c r="AD200" t="str">
        <f>IF('1. Live'!AD200='check-Jul25'!AD200,"",'1. Live'!AD200-'check-Jul25'!AD200)</f>
        <v/>
      </c>
      <c r="AE200" t="str">
        <f>IF('1. Live'!AE200='check-Jul25'!AE200,"",'1. Live'!AE200-'check-Jul25'!AE200)</f>
        <v/>
      </c>
      <c r="AF200" t="str">
        <f>IF('1. Live'!AF200='check-Jul25'!AF200,"",'1. Live'!AF200-'check-Jul25'!AF200)</f>
        <v/>
      </c>
      <c r="AG200" t="str">
        <f>IF('1. Live'!AG200='check-Jul25'!AG200,"",'1. Live'!AG200-'check-Jul25'!AG200)</f>
        <v/>
      </c>
      <c r="AH200" t="str">
        <f>IF('1. Live'!AH200='check-Jul25'!AH200,"",'1. Live'!AH200-'check-Jul25'!AH200)</f>
        <v/>
      </c>
      <c r="AI200" t="str">
        <f>IF('1. Live'!AI200='check-Jul25'!AI200,"",'1. Live'!AI200-'check-Jul25'!AI200)</f>
        <v/>
      </c>
      <c r="AJ200" t="str">
        <f>IF('1. Live'!AJ200='check-Jul25'!AJ200,"",'1. Live'!AJ200-'check-Jul25'!AJ200)</f>
        <v/>
      </c>
      <c r="AK200" t="str">
        <f>IF('1. Live'!AK200='check-Jul25'!AK200,"",'1. Live'!AK200-'check-Jul25'!AK200)</f>
        <v/>
      </c>
      <c r="AL200" t="str">
        <f>IF('1. Live'!AL200='check-Jul25'!AL200,"",'1. Live'!AL200-'check-Jul25'!AL200)</f>
        <v/>
      </c>
      <c r="AM200" t="str">
        <f>IF('1. Live'!AM200='check-Jul25'!AM200,"",'1. Live'!AM200-'check-Jul25'!AM200)</f>
        <v/>
      </c>
      <c r="AN200" t="str">
        <f>IF('1. Live'!AN200='check-Jul25'!AN200,"",'1. Live'!AN200-'check-Jul25'!AN200)</f>
        <v/>
      </c>
      <c r="AO200" t="str">
        <f>IF('1. Live'!AO200='check-Jul25'!AO200,"",'1. Live'!AO200-'check-Jul25'!AO200)</f>
        <v/>
      </c>
      <c r="AP200" t="str">
        <f>IF('1. Live'!AP200='check-Jul25'!AP200,"",'1. Live'!AP200-'check-Jul25'!AP200)</f>
        <v/>
      </c>
      <c r="AQ200" t="str">
        <f>IF('1. Live'!AQ200='check-Jul25'!AQ200,"",'1. Live'!AQ200-'check-Jul25'!AQ200)</f>
        <v/>
      </c>
      <c r="AR200" t="str">
        <f>IF('1. Live'!AR200='check-Jul25'!AR200,"",'1. Live'!AR200-'check-Jul25'!AR200)</f>
        <v/>
      </c>
      <c r="AS200" t="str">
        <f>IF('1. Live'!AS200='check-Jul25'!AS200,"",'1. Live'!AS200-'check-Jul25'!AS200)</f>
        <v/>
      </c>
      <c r="AT200" t="str">
        <f>IF('1. Live'!AT200='check-Jul25'!AT200,"",'1. Live'!AT200-'check-Jul25'!AT200)</f>
        <v/>
      </c>
      <c r="AU200" t="str">
        <f>IF('1. Live'!AU200='check-Jul25'!AU200,"",'1. Live'!AU200-'check-Jul25'!AU200)</f>
        <v/>
      </c>
      <c r="AV200" t="str">
        <f>IF('1. Live'!AV200='check-Jul25'!AV200,"",'1. Live'!AV200-'check-Jul25'!AV200)</f>
        <v/>
      </c>
      <c r="AW200" t="str">
        <f>IF('1. Live'!AW200='check-Jul25'!AW200,"",'1. Live'!AW200-'check-Jul25'!AW200)</f>
        <v/>
      </c>
      <c r="AX200" t="str">
        <f>IF('1. Live'!AX200='check-Jul25'!AX200,"",'1. Live'!AX200-'check-Jul25'!AX200)</f>
        <v/>
      </c>
      <c r="AY200" t="str">
        <f>IF('1. Live'!AY200='check-Jul25'!AY200,"",'1. Live'!AY200-'check-Jul25'!AY200)</f>
        <v/>
      </c>
      <c r="AZ200" t="str">
        <f>IF('1. Live'!AZ200='check-Jul25'!AZ200,"",'1. Live'!AZ200-'check-Jul25'!AZ200)</f>
        <v/>
      </c>
      <c r="BA200" t="str">
        <f>IF('1. Live'!BA200='check-Jul25'!BA200,"",'1. Live'!BA200-'check-Jul25'!BA200)</f>
        <v/>
      </c>
      <c r="BB200" t="str">
        <f>IF('1. Live'!BB200='check-Jul25'!BB200,"",'1. Live'!BB200-'check-Jul25'!BB200)</f>
        <v/>
      </c>
      <c r="BC200" t="str">
        <f>IF('1. Live'!BC200='check-Jul25'!BC200,"",'1. Live'!BC200-'check-Jul25'!BC200)</f>
        <v/>
      </c>
      <c r="BD200" t="str">
        <f>IF('1. Live'!BD200='check-Jul25'!BD200,"",'1. Live'!BD200-'check-Jul25'!BD200)</f>
        <v/>
      </c>
      <c r="BE200" t="str">
        <f>IF('1. Live'!BE200='check-Jul25'!BE200,"",'1. Live'!BE200-'check-Jul25'!BE200)</f>
        <v/>
      </c>
      <c r="BF200" t="str">
        <f>IF('1. Live'!BF200='check-Jul25'!BF200,"",'1. Live'!BF200-'check-Jul25'!BF200)</f>
        <v/>
      </c>
      <c r="BG200" t="str">
        <f>IF('1. Live'!BG200='check-Jul25'!BG200,"",'1. Live'!BG200-'check-Jul25'!BG200)</f>
        <v/>
      </c>
      <c r="BH200" t="str">
        <f>IF('1. Live'!BH200='check-Jul25'!BH200,"",'1. Live'!BH200-'check-Jul25'!BH200)</f>
        <v/>
      </c>
      <c r="BI200" t="str">
        <f>IF('1. Live'!BI200='check-Jul25'!BI200,"",'1. Live'!BI200-'check-Jul25'!BI200)</f>
        <v/>
      </c>
      <c r="BJ200" t="str">
        <f>IF('1. Live'!BJ200='check-Jul25'!BJ200,"",'1. Live'!BJ200-'check-Jul25'!BJ200)</f>
        <v/>
      </c>
      <c r="BK200" t="str">
        <f>IF('1. Live'!BK200='check-Jul25'!BK200,"",'1. Live'!BK200-'check-Jul25'!BK200)</f>
        <v/>
      </c>
      <c r="BL200" t="str">
        <f>IF('1. Live'!BL200='check-Jul25'!BL200,"",'1. Live'!BL200-'check-Jul25'!BL200)</f>
        <v/>
      </c>
      <c r="BM200" t="str">
        <f>IF('1. Live'!BM200='check-Jul25'!BM200,"",'1. Live'!BM200-'check-Jul25'!BM200)</f>
        <v/>
      </c>
      <c r="BN200" t="str">
        <f>IF('1. Live'!BN200='check-Jul25'!BN200,"",'1. Live'!BN200-'check-Jul25'!BN200)</f>
        <v/>
      </c>
      <c r="BO200" t="str">
        <f>IF('1. Live'!BO200='check-Jul25'!BO200,"",'1. Live'!BO200-'check-Jul25'!BO200)</f>
        <v/>
      </c>
      <c r="BP200" t="str">
        <f>IF('1. Live'!BP200='check-Jul25'!BP200,"",'1. Live'!BP200-'check-Jul25'!BP200)</f>
        <v/>
      </c>
      <c r="BQ200" t="str">
        <f>IF('1. Live'!BQ200='check-Jul25'!BQ200,"",'1. Live'!BQ200-'check-Jul25'!BQ200)</f>
        <v/>
      </c>
      <c r="BR200" t="str">
        <f>IF('1. Live'!BR200='check-Jul25'!BR200,"",'1. Live'!BR200-'check-Jul25'!BR200)</f>
        <v/>
      </c>
      <c r="BS200" t="str">
        <f>IF('1. Live'!BS200='check-Jul25'!BS200,"",'1. Live'!BS200-'check-Jul25'!BS200)</f>
        <v/>
      </c>
      <c r="BT200" t="str">
        <f>IF('1. Live'!BT200='check-Jul25'!BT200,"",'1. Live'!BT200-'check-Jul25'!BT200)</f>
        <v/>
      </c>
      <c r="BU200" t="str">
        <f>IF('1. Live'!BU200='check-Jul25'!BU200,"",'1. Live'!BU200-'check-Jul25'!BU200)</f>
        <v/>
      </c>
      <c r="BV200" t="str">
        <f>IF('1. Live'!BV200='check-Jul25'!BV200,"",'1. Live'!BV200-'check-Jul25'!BV200)</f>
        <v/>
      </c>
      <c r="BW200" t="str">
        <f>IF('1. Live'!BW200='check-Jul25'!BW200,"",'1. Live'!BW200-'check-Jul25'!BW200)</f>
        <v/>
      </c>
      <c r="BX200" t="str">
        <f>IF('1. Live'!BX200='check-Jul25'!BX200,"",'1. Live'!BX200-'check-Jul25'!BX200)</f>
        <v/>
      </c>
      <c r="BY200" t="str">
        <f>IF('1. Live'!BY200='check-Jul25'!BY200,"",'1. Live'!BY200-'check-Jul25'!BY200)</f>
        <v/>
      </c>
      <c r="BZ200" t="str">
        <f>IF('1. Live'!BZ200='check-Jul25'!BZ200,"",'1. Live'!BZ200-'check-Jul25'!BZ200)</f>
        <v/>
      </c>
      <c r="CA200" t="str">
        <f>IF('1. Live'!CA200='check-Jul25'!CA200,"",'1. Live'!CA200-'check-Jul25'!CA200)</f>
        <v/>
      </c>
      <c r="CB200" t="str">
        <f>IF('1. Live'!CB200='check-Jul25'!CB200,"",'1. Live'!CB200-'check-Jul25'!CB200)</f>
        <v/>
      </c>
      <c r="CC200" t="str">
        <f>IF('1. Live'!CC200='check-Jul25'!CC200,"",'1. Live'!CC200-'check-Jul25'!CC200)</f>
        <v/>
      </c>
      <c r="CD200" t="str">
        <f>IF('1. Live'!CD200='check-Jul25'!CD200,"",'1. Live'!CD200-'check-Jul25'!CD200)</f>
        <v/>
      </c>
      <c r="CE200" t="str">
        <f>IF('1. Live'!CE200='check-Jul25'!CE200,"",'1. Live'!CE200-'check-Jul25'!CE200)</f>
        <v/>
      </c>
      <c r="CF200" t="str">
        <f>IF('1. Live'!CF200='check-Jul25'!CF200,"",'1. Live'!CF200-'check-Jul25'!CF200)</f>
        <v/>
      </c>
      <c r="CG200" t="str">
        <f>IF('1. Live'!CG200='check-Jul25'!CG200,"",'1. Live'!CG200-'check-Jul25'!CG200)</f>
        <v/>
      </c>
      <c r="CH200" t="str">
        <f>IF('1. Live'!CH200='check-Jul25'!CH200,"",'1. Live'!CH200-'check-Jul25'!CH200)</f>
        <v/>
      </c>
      <c r="CI200" t="str">
        <f>IF('1. Live'!CI200='check-Jul25'!CI200,"",'1. Live'!CI200-'check-Jul25'!CI200)</f>
        <v/>
      </c>
      <c r="CJ200" t="str">
        <f>IF('1. Live'!CJ200='check-Jul25'!CJ200,"",'1. Live'!CJ200-'check-Jul25'!CJ200)</f>
        <v/>
      </c>
      <c r="CK200" t="str">
        <f>IF('1. Live'!CK200='check-Jul25'!CK200,"",'1. Live'!CK200-'check-Jul25'!CK200)</f>
        <v/>
      </c>
      <c r="CL200" t="str">
        <f>IF('1. Live'!CL200='check-Jul25'!CL200,"",'1. Live'!CL200-'check-Jul25'!CL200)</f>
        <v/>
      </c>
      <c r="CM200" t="str">
        <f>IF('1. Live'!CM200='check-Jul25'!CM200,"",'1. Live'!CM200-'check-Jul25'!CM200)</f>
        <v/>
      </c>
      <c r="CN200" t="str">
        <f>IF('1. Live'!CN200='check-Jul25'!CN200,"",'1. Live'!CN200-'check-Jul25'!CN200)</f>
        <v/>
      </c>
      <c r="CO200" t="str">
        <f>IF('1. Live'!CO200='check-Jul25'!CO200,"",'1. Live'!CO200-'check-Jul25'!CO200)</f>
        <v/>
      </c>
      <c r="CP200" t="str">
        <f>IF('1. Live'!CP200='check-Jul25'!CP200,"",'1. Live'!CP200-'check-Jul25'!CP200)</f>
        <v/>
      </c>
      <c r="CQ200" t="str">
        <f>IF('1. Live'!CQ200='check-Jul25'!CQ200,"",'1. Live'!CQ200-'check-Jul25'!CQ200)</f>
        <v/>
      </c>
      <c r="CR200" t="str">
        <f>IF('1. Live'!CR200='check-Jul25'!CR200,"",'1. Live'!CR200-'check-Jul25'!CR200)</f>
        <v/>
      </c>
      <c r="CS200" t="str">
        <f>IF('1. Live'!CS200='check-Jul25'!CS200,"",'1. Live'!CS200-'check-Jul25'!CS200)</f>
        <v/>
      </c>
      <c r="CT200" t="str">
        <f>IF('1. Live'!CT200='check-Jul25'!CT200,"",'1. Live'!CT200-'check-Jul25'!CT200)</f>
        <v/>
      </c>
      <c r="CU200" t="str">
        <f>IF('1. Live'!CU200='check-Jul25'!CU200,"",'1. Live'!CU200-'check-Jul25'!CU200)</f>
        <v/>
      </c>
      <c r="CV200" t="str">
        <f>IF('1. Live'!CV200='check-Jul25'!CV200,"",'1. Live'!CV200-'check-Jul25'!CV200)</f>
        <v/>
      </c>
      <c r="CW200" t="str">
        <f>IF('1. Live'!CW200='check-Jul25'!CW200,"",'1. Live'!CW200-'check-Jul25'!CW200)</f>
        <v/>
      </c>
    </row>
    <row r="201" spans="10:101">
      <c r="J201" t="str">
        <f>IF('1. Live'!J201='check-Jul25'!J201,"",'1. Live'!J201-'check-Jul25'!J201)</f>
        <v/>
      </c>
      <c r="K201" t="str">
        <f>IF('1. Live'!K201='check-Jul25'!K201,"",'1. Live'!K201-'check-Jul25'!K201)</f>
        <v/>
      </c>
      <c r="L201" t="str">
        <f>IF('1. Live'!L201='check-Jul25'!L201,"",'1. Live'!L201-'check-Jul25'!L201)</f>
        <v/>
      </c>
      <c r="M201" t="str">
        <f>IF('1. Live'!M201='check-Jul25'!M201,"",'1. Live'!M201-'check-Jul25'!M201)</f>
        <v/>
      </c>
      <c r="N201" t="str">
        <f>IF('1. Live'!N201='check-Jul25'!N201,"",'1. Live'!N201-'check-Jul25'!N201)</f>
        <v/>
      </c>
      <c r="O201" t="str">
        <f>IF('1. Live'!O201='check-Jul25'!O201,"",'1. Live'!O201-'check-Jul25'!O201)</f>
        <v/>
      </c>
      <c r="P201" t="str">
        <f>IF('1. Live'!P201='check-Jul25'!P201,"",'1. Live'!P201-'check-Jul25'!P201)</f>
        <v/>
      </c>
      <c r="Q201" t="str">
        <f>IF('1. Live'!Q201='check-Jul25'!Q201,"",'1. Live'!Q201-'check-Jul25'!Q201)</f>
        <v/>
      </c>
      <c r="R201" t="str">
        <f>IF('1. Live'!R201='check-Jul25'!R201,"",'1. Live'!R201-'check-Jul25'!R201)</f>
        <v/>
      </c>
      <c r="S201" t="str">
        <f>IF('1. Live'!S201='check-Jul25'!S201,"",'1. Live'!S201-'check-Jul25'!S201)</f>
        <v/>
      </c>
      <c r="T201" t="str">
        <f>IF('1. Live'!T201='check-Jul25'!T201,"",'1. Live'!T201-'check-Jul25'!T201)</f>
        <v/>
      </c>
      <c r="U201" t="str">
        <f>IF('1. Live'!U201='check-Jul25'!U201,"",'1. Live'!U201-'check-Jul25'!U201)</f>
        <v/>
      </c>
      <c r="V201" t="str">
        <f>IF('1. Live'!V201='check-Jul25'!V201,"",'1. Live'!V201-'check-Jul25'!V201)</f>
        <v/>
      </c>
      <c r="W201" t="str">
        <f>IF('1. Live'!W201='check-Jul25'!W201,"",'1. Live'!W201-'check-Jul25'!W201)</f>
        <v/>
      </c>
      <c r="X201" t="str">
        <f>IF('1. Live'!X201='check-Jul25'!X201,"",'1. Live'!X201-'check-Jul25'!X201)</f>
        <v/>
      </c>
      <c r="Y201" t="str">
        <f>IF('1. Live'!Y201='check-Jul25'!Y201,"",'1. Live'!Y201-'check-Jul25'!Y201)</f>
        <v/>
      </c>
      <c r="Z201" t="str">
        <f>IF('1. Live'!Z201='check-Jul25'!Z201,"",'1. Live'!Z201-'check-Jul25'!Z201)</f>
        <v/>
      </c>
      <c r="AA201" t="str">
        <f>IF('1. Live'!AA201='check-Jul25'!AA201,"",'1. Live'!AA201-'check-Jul25'!AA201)</f>
        <v/>
      </c>
      <c r="AB201" t="str">
        <f>IF('1. Live'!AB201='check-Jul25'!AB201,"",'1. Live'!AB201-'check-Jul25'!AB201)</f>
        <v/>
      </c>
      <c r="AC201" t="str">
        <f>IF('1. Live'!AC201='check-Jul25'!AC201,"",'1. Live'!AC201-'check-Jul25'!AC201)</f>
        <v/>
      </c>
      <c r="AD201" t="str">
        <f>IF('1. Live'!AD201='check-Jul25'!AD201,"",'1. Live'!AD201-'check-Jul25'!AD201)</f>
        <v/>
      </c>
      <c r="AE201" t="str">
        <f>IF('1. Live'!AE201='check-Jul25'!AE201,"",'1. Live'!AE201-'check-Jul25'!AE201)</f>
        <v/>
      </c>
      <c r="AF201" t="str">
        <f>IF('1. Live'!AF201='check-Jul25'!AF201,"",'1. Live'!AF201-'check-Jul25'!AF201)</f>
        <v/>
      </c>
      <c r="AG201" t="str">
        <f>IF('1. Live'!AG201='check-Jul25'!AG201,"",'1. Live'!AG201-'check-Jul25'!AG201)</f>
        <v/>
      </c>
      <c r="AH201" t="str">
        <f>IF('1. Live'!AH201='check-Jul25'!AH201,"",'1. Live'!AH201-'check-Jul25'!AH201)</f>
        <v/>
      </c>
      <c r="AI201" t="str">
        <f>IF('1. Live'!AI201='check-Jul25'!AI201,"",'1. Live'!AI201-'check-Jul25'!AI201)</f>
        <v/>
      </c>
      <c r="AJ201" t="str">
        <f>IF('1. Live'!AJ201='check-Jul25'!AJ201,"",'1. Live'!AJ201-'check-Jul25'!AJ201)</f>
        <v/>
      </c>
      <c r="AK201" t="str">
        <f>IF('1. Live'!AK201='check-Jul25'!AK201,"",'1. Live'!AK201-'check-Jul25'!AK201)</f>
        <v/>
      </c>
      <c r="AL201" t="str">
        <f>IF('1. Live'!AL201='check-Jul25'!AL201,"",'1. Live'!AL201-'check-Jul25'!AL201)</f>
        <v/>
      </c>
      <c r="AM201" t="str">
        <f>IF('1. Live'!AM201='check-Jul25'!AM201,"",'1. Live'!AM201-'check-Jul25'!AM201)</f>
        <v/>
      </c>
      <c r="AN201" t="str">
        <f>IF('1. Live'!AN201='check-Jul25'!AN201,"",'1. Live'!AN201-'check-Jul25'!AN201)</f>
        <v/>
      </c>
      <c r="AO201" t="str">
        <f>IF('1. Live'!AO201='check-Jul25'!AO201,"",'1. Live'!AO201-'check-Jul25'!AO201)</f>
        <v/>
      </c>
      <c r="AP201" t="str">
        <f>IF('1. Live'!AP201='check-Jul25'!AP201,"",'1. Live'!AP201-'check-Jul25'!AP201)</f>
        <v/>
      </c>
      <c r="AQ201" t="str">
        <f>IF('1. Live'!AQ201='check-Jul25'!AQ201,"",'1. Live'!AQ201-'check-Jul25'!AQ201)</f>
        <v/>
      </c>
      <c r="AR201" t="str">
        <f>IF('1. Live'!AR201='check-Jul25'!AR201,"",'1. Live'!AR201-'check-Jul25'!AR201)</f>
        <v/>
      </c>
      <c r="AS201" t="str">
        <f>IF('1. Live'!AS201='check-Jul25'!AS201,"",'1. Live'!AS201-'check-Jul25'!AS201)</f>
        <v/>
      </c>
      <c r="AT201" t="str">
        <f>IF('1. Live'!AT201='check-Jul25'!AT201,"",'1. Live'!AT201-'check-Jul25'!AT201)</f>
        <v/>
      </c>
      <c r="AU201" t="str">
        <f>IF('1. Live'!AU201='check-Jul25'!AU201,"",'1. Live'!AU201-'check-Jul25'!AU201)</f>
        <v/>
      </c>
      <c r="AV201" t="str">
        <f>IF('1. Live'!AV201='check-Jul25'!AV201,"",'1. Live'!AV201-'check-Jul25'!AV201)</f>
        <v/>
      </c>
      <c r="AW201" t="str">
        <f>IF('1. Live'!AW201='check-Jul25'!AW201,"",'1. Live'!AW201-'check-Jul25'!AW201)</f>
        <v/>
      </c>
      <c r="AX201" t="str">
        <f>IF('1. Live'!AX201='check-Jul25'!AX201,"",'1. Live'!AX201-'check-Jul25'!AX201)</f>
        <v/>
      </c>
      <c r="AY201" t="str">
        <f>IF('1. Live'!AY201='check-Jul25'!AY201,"",'1. Live'!AY201-'check-Jul25'!AY201)</f>
        <v/>
      </c>
      <c r="AZ201" t="str">
        <f>IF('1. Live'!AZ201='check-Jul25'!AZ201,"",'1. Live'!AZ201-'check-Jul25'!AZ201)</f>
        <v/>
      </c>
      <c r="BA201" t="str">
        <f>IF('1. Live'!BA201='check-Jul25'!BA201,"",'1. Live'!BA201-'check-Jul25'!BA201)</f>
        <v/>
      </c>
      <c r="BB201" t="str">
        <f>IF('1. Live'!BB201='check-Jul25'!BB201,"",'1. Live'!BB201-'check-Jul25'!BB201)</f>
        <v/>
      </c>
      <c r="BC201" t="str">
        <f>IF('1. Live'!BC201='check-Jul25'!BC201,"",'1. Live'!BC201-'check-Jul25'!BC201)</f>
        <v/>
      </c>
      <c r="BD201" t="str">
        <f>IF('1. Live'!BD201='check-Jul25'!BD201,"",'1. Live'!BD201-'check-Jul25'!BD201)</f>
        <v/>
      </c>
      <c r="BE201" t="str">
        <f>IF('1. Live'!BE201='check-Jul25'!BE201,"",'1. Live'!BE201-'check-Jul25'!BE201)</f>
        <v/>
      </c>
      <c r="BF201" t="str">
        <f>IF('1. Live'!BF201='check-Jul25'!BF201,"",'1. Live'!BF201-'check-Jul25'!BF201)</f>
        <v/>
      </c>
      <c r="BG201" t="str">
        <f>IF('1. Live'!BG201='check-Jul25'!BG201,"",'1. Live'!BG201-'check-Jul25'!BG201)</f>
        <v/>
      </c>
      <c r="BH201" t="str">
        <f>IF('1. Live'!BH201='check-Jul25'!BH201,"",'1. Live'!BH201-'check-Jul25'!BH201)</f>
        <v/>
      </c>
      <c r="BI201" t="str">
        <f>IF('1. Live'!BI201='check-Jul25'!BI201,"",'1. Live'!BI201-'check-Jul25'!BI201)</f>
        <v/>
      </c>
      <c r="BJ201" t="str">
        <f>IF('1. Live'!BJ201='check-Jul25'!BJ201,"",'1. Live'!BJ201-'check-Jul25'!BJ201)</f>
        <v/>
      </c>
      <c r="BK201" t="str">
        <f>IF('1. Live'!BK201='check-Jul25'!BK201,"",'1. Live'!BK201-'check-Jul25'!BK201)</f>
        <v/>
      </c>
      <c r="BL201" t="str">
        <f>IF('1. Live'!BL201='check-Jul25'!BL201,"",'1. Live'!BL201-'check-Jul25'!BL201)</f>
        <v/>
      </c>
      <c r="BM201" t="str">
        <f>IF('1. Live'!BM201='check-Jul25'!BM201,"",'1. Live'!BM201-'check-Jul25'!BM201)</f>
        <v/>
      </c>
      <c r="BN201" t="str">
        <f>IF('1. Live'!BN201='check-Jul25'!BN201,"",'1. Live'!BN201-'check-Jul25'!BN201)</f>
        <v/>
      </c>
      <c r="BO201" t="str">
        <f>IF('1. Live'!BO201='check-Jul25'!BO201,"",'1. Live'!BO201-'check-Jul25'!BO201)</f>
        <v/>
      </c>
      <c r="BP201" t="str">
        <f>IF('1. Live'!BP201='check-Jul25'!BP201,"",'1. Live'!BP201-'check-Jul25'!BP201)</f>
        <v/>
      </c>
      <c r="BQ201" t="str">
        <f>IF('1. Live'!BQ201='check-Jul25'!BQ201,"",'1. Live'!BQ201-'check-Jul25'!BQ201)</f>
        <v/>
      </c>
      <c r="BR201" t="str">
        <f>IF('1. Live'!BR201='check-Jul25'!BR201,"",'1. Live'!BR201-'check-Jul25'!BR201)</f>
        <v/>
      </c>
      <c r="BS201" t="str">
        <f>IF('1. Live'!BS201='check-Jul25'!BS201,"",'1. Live'!BS201-'check-Jul25'!BS201)</f>
        <v/>
      </c>
      <c r="BT201" t="str">
        <f>IF('1. Live'!BT201='check-Jul25'!BT201,"",'1. Live'!BT201-'check-Jul25'!BT201)</f>
        <v/>
      </c>
      <c r="BU201" t="str">
        <f>IF('1. Live'!BU201='check-Jul25'!BU201,"",'1. Live'!BU201-'check-Jul25'!BU201)</f>
        <v/>
      </c>
      <c r="BV201" t="str">
        <f>IF('1. Live'!BV201='check-Jul25'!BV201,"",'1. Live'!BV201-'check-Jul25'!BV201)</f>
        <v/>
      </c>
      <c r="BW201" t="str">
        <f>IF('1. Live'!BW201='check-Jul25'!BW201,"",'1. Live'!BW201-'check-Jul25'!BW201)</f>
        <v/>
      </c>
      <c r="BX201" t="str">
        <f>IF('1. Live'!BX201='check-Jul25'!BX201,"",'1. Live'!BX201-'check-Jul25'!BX201)</f>
        <v/>
      </c>
      <c r="BY201" t="str">
        <f>IF('1. Live'!BY201='check-Jul25'!BY201,"",'1. Live'!BY201-'check-Jul25'!BY201)</f>
        <v/>
      </c>
      <c r="BZ201" t="str">
        <f>IF('1. Live'!BZ201='check-Jul25'!BZ201,"",'1. Live'!BZ201-'check-Jul25'!BZ201)</f>
        <v/>
      </c>
      <c r="CA201" t="str">
        <f>IF('1. Live'!CA201='check-Jul25'!CA201,"",'1. Live'!CA201-'check-Jul25'!CA201)</f>
        <v/>
      </c>
      <c r="CB201" t="str">
        <f>IF('1. Live'!CB201='check-Jul25'!CB201,"",'1. Live'!CB201-'check-Jul25'!CB201)</f>
        <v/>
      </c>
      <c r="CC201" t="str">
        <f>IF('1. Live'!CC201='check-Jul25'!CC201,"",'1. Live'!CC201-'check-Jul25'!CC201)</f>
        <v/>
      </c>
      <c r="CD201" t="str">
        <f>IF('1. Live'!CD201='check-Jul25'!CD201,"",'1. Live'!CD201-'check-Jul25'!CD201)</f>
        <v/>
      </c>
      <c r="CE201" t="str">
        <f>IF('1. Live'!CE201='check-Jul25'!CE201,"",'1. Live'!CE201-'check-Jul25'!CE201)</f>
        <v/>
      </c>
      <c r="CF201" t="str">
        <f>IF('1. Live'!CF201='check-Jul25'!CF201,"",'1. Live'!CF201-'check-Jul25'!CF201)</f>
        <v/>
      </c>
      <c r="CG201" t="str">
        <f>IF('1. Live'!CG201='check-Jul25'!CG201,"",'1. Live'!CG201-'check-Jul25'!CG201)</f>
        <v/>
      </c>
      <c r="CH201" t="str">
        <f>IF('1. Live'!CH201='check-Jul25'!CH201,"",'1. Live'!CH201-'check-Jul25'!CH201)</f>
        <v/>
      </c>
      <c r="CI201" t="str">
        <f>IF('1. Live'!CI201='check-Jul25'!CI201,"",'1. Live'!CI201-'check-Jul25'!CI201)</f>
        <v/>
      </c>
      <c r="CJ201" t="str">
        <f>IF('1. Live'!CJ201='check-Jul25'!CJ201,"",'1. Live'!CJ201-'check-Jul25'!CJ201)</f>
        <v/>
      </c>
      <c r="CK201" t="str">
        <f>IF('1. Live'!CK201='check-Jul25'!CK201,"",'1. Live'!CK201-'check-Jul25'!CK201)</f>
        <v/>
      </c>
      <c r="CL201" t="str">
        <f>IF('1. Live'!CL201='check-Jul25'!CL201,"",'1. Live'!CL201-'check-Jul25'!CL201)</f>
        <v/>
      </c>
      <c r="CM201" t="str">
        <f>IF('1. Live'!CM201='check-Jul25'!CM201,"",'1. Live'!CM201-'check-Jul25'!CM201)</f>
        <v/>
      </c>
      <c r="CN201" t="str">
        <f>IF('1. Live'!CN201='check-Jul25'!CN201,"",'1. Live'!CN201-'check-Jul25'!CN201)</f>
        <v/>
      </c>
      <c r="CO201" t="str">
        <f>IF('1. Live'!CO201='check-Jul25'!CO201,"",'1. Live'!CO201-'check-Jul25'!CO201)</f>
        <v/>
      </c>
      <c r="CP201" t="str">
        <f>IF('1. Live'!CP201='check-Jul25'!CP201,"",'1. Live'!CP201-'check-Jul25'!CP201)</f>
        <v/>
      </c>
      <c r="CQ201" t="str">
        <f>IF('1. Live'!CQ201='check-Jul25'!CQ201,"",'1. Live'!CQ201-'check-Jul25'!CQ201)</f>
        <v/>
      </c>
      <c r="CR201" t="str">
        <f>IF('1. Live'!CR201='check-Jul25'!CR201,"",'1. Live'!CR201-'check-Jul25'!CR201)</f>
        <v/>
      </c>
      <c r="CS201" t="str">
        <f>IF('1. Live'!CS201='check-Jul25'!CS201,"",'1. Live'!CS201-'check-Jul25'!CS201)</f>
        <v/>
      </c>
      <c r="CT201" t="str">
        <f>IF('1. Live'!CT201='check-Jul25'!CT201,"",'1. Live'!CT201-'check-Jul25'!CT201)</f>
        <v/>
      </c>
      <c r="CU201" t="str">
        <f>IF('1. Live'!CU201='check-Jul25'!CU201,"",'1. Live'!CU201-'check-Jul25'!CU201)</f>
        <v/>
      </c>
      <c r="CV201" t="str">
        <f>IF('1. Live'!CV201='check-Jul25'!CV201,"",'1. Live'!CV201-'check-Jul25'!CV201)</f>
        <v/>
      </c>
      <c r="CW201" t="str">
        <f>IF('1. Live'!CW201='check-Jul25'!CW201,"",'1. Live'!CW201-'check-Jul25'!CW201)</f>
        <v/>
      </c>
    </row>
    <row r="202" spans="10:101">
      <c r="J202" t="str">
        <f>IF('1. Live'!J202='check-Jul25'!J202,"",'1. Live'!J202-'check-Jul25'!J202)</f>
        <v/>
      </c>
      <c r="K202" t="str">
        <f>IF('1. Live'!K202='check-Jul25'!K202,"",'1. Live'!K202-'check-Jul25'!K202)</f>
        <v/>
      </c>
      <c r="L202" t="str">
        <f>IF('1. Live'!L202='check-Jul25'!L202,"",'1. Live'!L202-'check-Jul25'!L202)</f>
        <v/>
      </c>
      <c r="M202" t="str">
        <f>IF('1. Live'!M202='check-Jul25'!M202,"",'1. Live'!M202-'check-Jul25'!M202)</f>
        <v/>
      </c>
      <c r="N202" t="str">
        <f>IF('1. Live'!N202='check-Jul25'!N202,"",'1. Live'!N202-'check-Jul25'!N202)</f>
        <v/>
      </c>
      <c r="O202" t="str">
        <f>IF('1. Live'!O202='check-Jul25'!O202,"",'1. Live'!O202-'check-Jul25'!O202)</f>
        <v/>
      </c>
      <c r="P202" t="str">
        <f>IF('1. Live'!P202='check-Jul25'!P202,"",'1. Live'!P202-'check-Jul25'!P202)</f>
        <v/>
      </c>
      <c r="Q202" t="str">
        <f>IF('1. Live'!Q202='check-Jul25'!Q202,"",'1. Live'!Q202-'check-Jul25'!Q202)</f>
        <v/>
      </c>
      <c r="R202" t="str">
        <f>IF('1. Live'!R202='check-Jul25'!R202,"",'1. Live'!R202-'check-Jul25'!R202)</f>
        <v/>
      </c>
      <c r="S202" t="str">
        <f>IF('1. Live'!S202='check-Jul25'!S202,"",'1. Live'!S202-'check-Jul25'!S202)</f>
        <v/>
      </c>
      <c r="T202" t="str">
        <f>IF('1. Live'!T202='check-Jul25'!T202,"",'1. Live'!T202-'check-Jul25'!T202)</f>
        <v/>
      </c>
      <c r="U202" t="str">
        <f>IF('1. Live'!U202='check-Jul25'!U202,"",'1. Live'!U202-'check-Jul25'!U202)</f>
        <v/>
      </c>
      <c r="V202" t="str">
        <f>IF('1. Live'!V202='check-Jul25'!V202,"",'1. Live'!V202-'check-Jul25'!V202)</f>
        <v/>
      </c>
      <c r="W202" t="str">
        <f>IF('1. Live'!W202='check-Jul25'!W202,"",'1. Live'!W202-'check-Jul25'!W202)</f>
        <v/>
      </c>
      <c r="X202" t="str">
        <f>IF('1. Live'!X202='check-Jul25'!X202,"",'1. Live'!X202-'check-Jul25'!X202)</f>
        <v/>
      </c>
      <c r="Y202" t="str">
        <f>IF('1. Live'!Y202='check-Jul25'!Y202,"",'1. Live'!Y202-'check-Jul25'!Y202)</f>
        <v/>
      </c>
      <c r="Z202" t="str">
        <f>IF('1. Live'!Z202='check-Jul25'!Z202,"",'1. Live'!Z202-'check-Jul25'!Z202)</f>
        <v/>
      </c>
      <c r="AA202" t="str">
        <f>IF('1. Live'!AA202='check-Jul25'!AA202,"",'1. Live'!AA202-'check-Jul25'!AA202)</f>
        <v/>
      </c>
      <c r="AB202" t="str">
        <f>IF('1. Live'!AB202='check-Jul25'!AB202,"",'1. Live'!AB202-'check-Jul25'!AB202)</f>
        <v/>
      </c>
      <c r="AC202" t="str">
        <f>IF('1. Live'!AC202='check-Jul25'!AC202,"",'1. Live'!AC202-'check-Jul25'!AC202)</f>
        <v/>
      </c>
      <c r="AD202" t="str">
        <f>IF('1. Live'!AD202='check-Jul25'!AD202,"",'1. Live'!AD202-'check-Jul25'!AD202)</f>
        <v/>
      </c>
      <c r="AE202" t="str">
        <f>IF('1. Live'!AE202='check-Jul25'!AE202,"",'1. Live'!AE202-'check-Jul25'!AE202)</f>
        <v/>
      </c>
      <c r="AF202" t="str">
        <f>IF('1. Live'!AF202='check-Jul25'!AF202,"",'1. Live'!AF202-'check-Jul25'!AF202)</f>
        <v/>
      </c>
      <c r="AG202" t="str">
        <f>IF('1. Live'!AG202='check-Jul25'!AG202,"",'1. Live'!AG202-'check-Jul25'!AG202)</f>
        <v/>
      </c>
      <c r="AH202" t="str">
        <f>IF('1. Live'!AH202='check-Jul25'!AH202,"",'1. Live'!AH202-'check-Jul25'!AH202)</f>
        <v/>
      </c>
      <c r="AI202" t="str">
        <f>IF('1. Live'!AI202='check-Jul25'!AI202,"",'1. Live'!AI202-'check-Jul25'!AI202)</f>
        <v/>
      </c>
      <c r="AJ202" t="str">
        <f>IF('1. Live'!AJ202='check-Jul25'!AJ202,"",'1. Live'!AJ202-'check-Jul25'!AJ202)</f>
        <v/>
      </c>
      <c r="AK202" t="str">
        <f>IF('1. Live'!AK202='check-Jul25'!AK202,"",'1. Live'!AK202-'check-Jul25'!AK202)</f>
        <v/>
      </c>
      <c r="AL202" t="str">
        <f>IF('1. Live'!AL202='check-Jul25'!AL202,"",'1. Live'!AL202-'check-Jul25'!AL202)</f>
        <v/>
      </c>
      <c r="AM202" t="str">
        <f>IF('1. Live'!AM202='check-Jul25'!AM202,"",'1. Live'!AM202-'check-Jul25'!AM202)</f>
        <v/>
      </c>
      <c r="AN202" t="str">
        <f>IF('1. Live'!AN202='check-Jul25'!AN202,"",'1. Live'!AN202-'check-Jul25'!AN202)</f>
        <v/>
      </c>
      <c r="AO202" t="str">
        <f>IF('1. Live'!AO202='check-Jul25'!AO202,"",'1. Live'!AO202-'check-Jul25'!AO202)</f>
        <v/>
      </c>
      <c r="AP202" t="str">
        <f>IF('1. Live'!AP202='check-Jul25'!AP202,"",'1. Live'!AP202-'check-Jul25'!AP202)</f>
        <v/>
      </c>
      <c r="AQ202" t="str">
        <f>IF('1. Live'!AQ202='check-Jul25'!AQ202,"",'1. Live'!AQ202-'check-Jul25'!AQ202)</f>
        <v/>
      </c>
      <c r="AR202" t="str">
        <f>IF('1. Live'!AR202='check-Jul25'!AR202,"",'1. Live'!AR202-'check-Jul25'!AR202)</f>
        <v/>
      </c>
      <c r="AS202" t="str">
        <f>IF('1. Live'!AS202='check-Jul25'!AS202,"",'1. Live'!AS202-'check-Jul25'!AS202)</f>
        <v/>
      </c>
      <c r="AT202" t="str">
        <f>IF('1. Live'!AT202='check-Jul25'!AT202,"",'1. Live'!AT202-'check-Jul25'!AT202)</f>
        <v/>
      </c>
      <c r="AU202" t="str">
        <f>IF('1. Live'!AU202='check-Jul25'!AU202,"",'1. Live'!AU202-'check-Jul25'!AU202)</f>
        <v/>
      </c>
      <c r="AV202" t="str">
        <f>IF('1. Live'!AV202='check-Jul25'!AV202,"",'1. Live'!AV202-'check-Jul25'!AV202)</f>
        <v/>
      </c>
      <c r="AW202" t="str">
        <f>IF('1. Live'!AW202='check-Jul25'!AW202,"",'1. Live'!AW202-'check-Jul25'!AW202)</f>
        <v/>
      </c>
      <c r="AX202" t="str">
        <f>IF('1. Live'!AX202='check-Jul25'!AX202,"",'1. Live'!AX202-'check-Jul25'!AX202)</f>
        <v/>
      </c>
      <c r="AY202" t="str">
        <f>IF('1. Live'!AY202='check-Jul25'!AY202,"",'1. Live'!AY202-'check-Jul25'!AY202)</f>
        <v/>
      </c>
      <c r="AZ202" t="str">
        <f>IF('1. Live'!AZ202='check-Jul25'!AZ202,"",'1. Live'!AZ202-'check-Jul25'!AZ202)</f>
        <v/>
      </c>
      <c r="BA202" t="str">
        <f>IF('1. Live'!BA202='check-Jul25'!BA202,"",'1. Live'!BA202-'check-Jul25'!BA202)</f>
        <v/>
      </c>
      <c r="BB202" t="str">
        <f>IF('1. Live'!BB202='check-Jul25'!BB202,"",'1. Live'!BB202-'check-Jul25'!BB202)</f>
        <v/>
      </c>
      <c r="BC202" t="str">
        <f>IF('1. Live'!BC202='check-Jul25'!BC202,"",'1. Live'!BC202-'check-Jul25'!BC202)</f>
        <v/>
      </c>
      <c r="BD202" t="str">
        <f>IF('1. Live'!BD202='check-Jul25'!BD202,"",'1. Live'!BD202-'check-Jul25'!BD202)</f>
        <v/>
      </c>
      <c r="BE202" t="str">
        <f>IF('1. Live'!BE202='check-Jul25'!BE202,"",'1. Live'!BE202-'check-Jul25'!BE202)</f>
        <v/>
      </c>
      <c r="BF202" t="str">
        <f>IF('1. Live'!BF202='check-Jul25'!BF202,"",'1. Live'!BF202-'check-Jul25'!BF202)</f>
        <v/>
      </c>
      <c r="BG202" t="str">
        <f>IF('1. Live'!BG202='check-Jul25'!BG202,"",'1. Live'!BG202-'check-Jul25'!BG202)</f>
        <v/>
      </c>
      <c r="BH202" t="str">
        <f>IF('1. Live'!BH202='check-Jul25'!BH202,"",'1. Live'!BH202-'check-Jul25'!BH202)</f>
        <v/>
      </c>
      <c r="BI202" t="str">
        <f>IF('1. Live'!BI202='check-Jul25'!BI202,"",'1. Live'!BI202-'check-Jul25'!BI202)</f>
        <v/>
      </c>
      <c r="BJ202" t="str">
        <f>IF('1. Live'!BJ202='check-Jul25'!BJ202,"",'1. Live'!BJ202-'check-Jul25'!BJ202)</f>
        <v/>
      </c>
      <c r="BK202" t="str">
        <f>IF('1. Live'!BK202='check-Jul25'!BK202,"",'1. Live'!BK202-'check-Jul25'!BK202)</f>
        <v/>
      </c>
      <c r="BL202" t="str">
        <f>IF('1. Live'!BL202='check-Jul25'!BL202,"",'1. Live'!BL202-'check-Jul25'!BL202)</f>
        <v/>
      </c>
      <c r="BM202" t="str">
        <f>IF('1. Live'!BM202='check-Jul25'!BM202,"",'1. Live'!BM202-'check-Jul25'!BM202)</f>
        <v/>
      </c>
      <c r="BN202" t="str">
        <f>IF('1. Live'!BN202='check-Jul25'!BN202,"",'1. Live'!BN202-'check-Jul25'!BN202)</f>
        <v/>
      </c>
      <c r="BO202" t="str">
        <f>IF('1. Live'!BO202='check-Jul25'!BO202,"",'1. Live'!BO202-'check-Jul25'!BO202)</f>
        <v/>
      </c>
      <c r="BP202" t="str">
        <f>IF('1. Live'!BP202='check-Jul25'!BP202,"",'1. Live'!BP202-'check-Jul25'!BP202)</f>
        <v/>
      </c>
      <c r="BQ202" t="str">
        <f>IF('1. Live'!BQ202='check-Jul25'!BQ202,"",'1. Live'!BQ202-'check-Jul25'!BQ202)</f>
        <v/>
      </c>
      <c r="BR202" t="str">
        <f>IF('1. Live'!BR202='check-Jul25'!BR202,"",'1. Live'!BR202-'check-Jul25'!BR202)</f>
        <v/>
      </c>
      <c r="BS202" t="str">
        <f>IF('1. Live'!BS202='check-Jul25'!BS202,"",'1. Live'!BS202-'check-Jul25'!BS202)</f>
        <v/>
      </c>
      <c r="BT202" t="str">
        <f>IF('1. Live'!BT202='check-Jul25'!BT202,"",'1. Live'!BT202-'check-Jul25'!BT202)</f>
        <v/>
      </c>
      <c r="BU202" t="str">
        <f>IF('1. Live'!BU202='check-Jul25'!BU202,"",'1. Live'!BU202-'check-Jul25'!BU202)</f>
        <v/>
      </c>
      <c r="BV202" t="str">
        <f>IF('1. Live'!BV202='check-Jul25'!BV202,"",'1. Live'!BV202-'check-Jul25'!BV202)</f>
        <v/>
      </c>
      <c r="BW202" t="str">
        <f>IF('1. Live'!BW202='check-Jul25'!BW202,"",'1. Live'!BW202-'check-Jul25'!BW202)</f>
        <v/>
      </c>
      <c r="BX202" t="str">
        <f>IF('1. Live'!BX202='check-Jul25'!BX202,"",'1. Live'!BX202-'check-Jul25'!BX202)</f>
        <v/>
      </c>
      <c r="BY202" t="str">
        <f>IF('1. Live'!BY202='check-Jul25'!BY202,"",'1. Live'!BY202-'check-Jul25'!BY202)</f>
        <v/>
      </c>
      <c r="BZ202" t="str">
        <f>IF('1. Live'!BZ202='check-Jul25'!BZ202,"",'1. Live'!BZ202-'check-Jul25'!BZ202)</f>
        <v/>
      </c>
      <c r="CA202" t="str">
        <f>IF('1. Live'!CA202='check-Jul25'!CA202,"",'1. Live'!CA202-'check-Jul25'!CA202)</f>
        <v/>
      </c>
      <c r="CB202" t="str">
        <f>IF('1. Live'!CB202='check-Jul25'!CB202,"",'1. Live'!CB202-'check-Jul25'!CB202)</f>
        <v/>
      </c>
      <c r="CC202" t="str">
        <f>IF('1. Live'!CC202='check-Jul25'!CC202,"",'1. Live'!CC202-'check-Jul25'!CC202)</f>
        <v/>
      </c>
      <c r="CD202" t="str">
        <f>IF('1. Live'!CD202='check-Jul25'!CD202,"",'1. Live'!CD202-'check-Jul25'!CD202)</f>
        <v/>
      </c>
      <c r="CE202" t="str">
        <f>IF('1. Live'!CE202='check-Jul25'!CE202,"",'1. Live'!CE202-'check-Jul25'!CE202)</f>
        <v/>
      </c>
      <c r="CF202" t="str">
        <f>IF('1. Live'!CF202='check-Jul25'!CF202,"",'1. Live'!CF202-'check-Jul25'!CF202)</f>
        <v/>
      </c>
      <c r="CG202" t="str">
        <f>IF('1. Live'!CG202='check-Jul25'!CG202,"",'1. Live'!CG202-'check-Jul25'!CG202)</f>
        <v/>
      </c>
      <c r="CH202" t="str">
        <f>IF('1. Live'!CH202='check-Jul25'!CH202,"",'1. Live'!CH202-'check-Jul25'!CH202)</f>
        <v/>
      </c>
      <c r="CI202" t="str">
        <f>IF('1. Live'!CI202='check-Jul25'!CI202,"",'1. Live'!CI202-'check-Jul25'!CI202)</f>
        <v/>
      </c>
      <c r="CJ202" t="str">
        <f>IF('1. Live'!CJ202='check-Jul25'!CJ202,"",'1. Live'!CJ202-'check-Jul25'!CJ202)</f>
        <v/>
      </c>
      <c r="CK202" t="str">
        <f>IF('1. Live'!CK202='check-Jul25'!CK202,"",'1. Live'!CK202-'check-Jul25'!CK202)</f>
        <v/>
      </c>
      <c r="CL202" t="str">
        <f>IF('1. Live'!CL202='check-Jul25'!CL202,"",'1. Live'!CL202-'check-Jul25'!CL202)</f>
        <v/>
      </c>
      <c r="CM202" t="str">
        <f>IF('1. Live'!CM202='check-Jul25'!CM202,"",'1. Live'!CM202-'check-Jul25'!CM202)</f>
        <v/>
      </c>
      <c r="CN202" t="str">
        <f>IF('1. Live'!CN202='check-Jul25'!CN202,"",'1. Live'!CN202-'check-Jul25'!CN202)</f>
        <v/>
      </c>
      <c r="CO202" t="str">
        <f>IF('1. Live'!CO202='check-Jul25'!CO202,"",'1. Live'!CO202-'check-Jul25'!CO202)</f>
        <v/>
      </c>
      <c r="CP202" t="str">
        <f>IF('1. Live'!CP202='check-Jul25'!CP202,"",'1. Live'!CP202-'check-Jul25'!CP202)</f>
        <v/>
      </c>
      <c r="CQ202" t="str">
        <f>IF('1. Live'!CQ202='check-Jul25'!CQ202,"",'1. Live'!CQ202-'check-Jul25'!CQ202)</f>
        <v/>
      </c>
      <c r="CR202" t="str">
        <f>IF('1. Live'!CR202='check-Jul25'!CR202,"",'1. Live'!CR202-'check-Jul25'!CR202)</f>
        <v/>
      </c>
      <c r="CS202" t="str">
        <f>IF('1. Live'!CS202='check-Jul25'!CS202,"",'1. Live'!CS202-'check-Jul25'!CS202)</f>
        <v/>
      </c>
      <c r="CT202" t="str">
        <f>IF('1. Live'!CT202='check-Jul25'!CT202,"",'1. Live'!CT202-'check-Jul25'!CT202)</f>
        <v/>
      </c>
      <c r="CU202" t="str">
        <f>IF('1. Live'!CU202='check-Jul25'!CU202,"",'1. Live'!CU202-'check-Jul25'!CU202)</f>
        <v/>
      </c>
      <c r="CV202" t="str">
        <f>IF('1. Live'!CV202='check-Jul25'!CV202,"",'1. Live'!CV202-'check-Jul25'!CV202)</f>
        <v/>
      </c>
      <c r="CW202" t="str">
        <f>IF('1. Live'!CW202='check-Jul25'!CW202,"",'1. Live'!CW202-'check-Jul25'!CW202)</f>
        <v/>
      </c>
    </row>
    <row r="203" spans="10:101">
      <c r="J203" t="str">
        <f>IF('1. Live'!J203='check-Jul25'!J203,"",'1. Live'!J203-'check-Jul25'!J203)</f>
        <v/>
      </c>
      <c r="K203" t="str">
        <f>IF('1. Live'!K203='check-Jul25'!K203,"",'1. Live'!K203-'check-Jul25'!K203)</f>
        <v/>
      </c>
      <c r="L203" t="str">
        <f>IF('1. Live'!L203='check-Jul25'!L203,"",'1. Live'!L203-'check-Jul25'!L203)</f>
        <v/>
      </c>
      <c r="M203" t="str">
        <f>IF('1. Live'!M203='check-Jul25'!M203,"",'1. Live'!M203-'check-Jul25'!M203)</f>
        <v/>
      </c>
      <c r="N203" t="str">
        <f>IF('1. Live'!N203='check-Jul25'!N203,"",'1. Live'!N203-'check-Jul25'!N203)</f>
        <v/>
      </c>
      <c r="O203" t="str">
        <f>IF('1. Live'!O203='check-Jul25'!O203,"",'1. Live'!O203-'check-Jul25'!O203)</f>
        <v/>
      </c>
      <c r="P203" t="str">
        <f>IF('1. Live'!P203='check-Jul25'!P203,"",'1. Live'!P203-'check-Jul25'!P203)</f>
        <v/>
      </c>
      <c r="Q203" t="str">
        <f>IF('1. Live'!Q203='check-Jul25'!Q203,"",'1. Live'!Q203-'check-Jul25'!Q203)</f>
        <v/>
      </c>
      <c r="R203" t="str">
        <f>IF('1. Live'!R203='check-Jul25'!R203,"",'1. Live'!R203-'check-Jul25'!R203)</f>
        <v/>
      </c>
      <c r="S203" t="str">
        <f>IF('1. Live'!S203='check-Jul25'!S203,"",'1. Live'!S203-'check-Jul25'!S203)</f>
        <v/>
      </c>
      <c r="T203" t="str">
        <f>IF('1. Live'!T203='check-Jul25'!T203,"",'1. Live'!T203-'check-Jul25'!T203)</f>
        <v/>
      </c>
      <c r="U203" t="str">
        <f>IF('1. Live'!U203='check-Jul25'!U203,"",'1. Live'!U203-'check-Jul25'!U203)</f>
        <v/>
      </c>
      <c r="V203" t="str">
        <f>IF('1. Live'!V203='check-Jul25'!V203,"",'1. Live'!V203-'check-Jul25'!V203)</f>
        <v/>
      </c>
      <c r="W203" t="str">
        <f>IF('1. Live'!W203='check-Jul25'!W203,"",'1. Live'!W203-'check-Jul25'!W203)</f>
        <v/>
      </c>
      <c r="X203" t="str">
        <f>IF('1. Live'!X203='check-Jul25'!X203,"",'1. Live'!X203-'check-Jul25'!X203)</f>
        <v/>
      </c>
      <c r="Y203" t="str">
        <f>IF('1. Live'!Y203='check-Jul25'!Y203,"",'1. Live'!Y203-'check-Jul25'!Y203)</f>
        <v/>
      </c>
      <c r="Z203" t="str">
        <f>IF('1. Live'!Z203='check-Jul25'!Z203,"",'1. Live'!Z203-'check-Jul25'!Z203)</f>
        <v/>
      </c>
      <c r="AA203" t="str">
        <f>IF('1. Live'!AA203='check-Jul25'!AA203,"",'1. Live'!AA203-'check-Jul25'!AA203)</f>
        <v/>
      </c>
      <c r="AB203" t="str">
        <f>IF('1. Live'!AB203='check-Jul25'!AB203,"",'1. Live'!AB203-'check-Jul25'!AB203)</f>
        <v/>
      </c>
      <c r="AC203" t="str">
        <f>IF('1. Live'!AC203='check-Jul25'!AC203,"",'1. Live'!AC203-'check-Jul25'!AC203)</f>
        <v/>
      </c>
      <c r="AD203" t="str">
        <f>IF('1. Live'!AD203='check-Jul25'!AD203,"",'1. Live'!AD203-'check-Jul25'!AD203)</f>
        <v/>
      </c>
      <c r="AE203" t="str">
        <f>IF('1. Live'!AE203='check-Jul25'!AE203,"",'1. Live'!AE203-'check-Jul25'!AE203)</f>
        <v/>
      </c>
      <c r="AF203" t="str">
        <f>IF('1. Live'!AF203='check-Jul25'!AF203,"",'1. Live'!AF203-'check-Jul25'!AF203)</f>
        <v/>
      </c>
      <c r="AG203" t="str">
        <f>IF('1. Live'!AG203='check-Jul25'!AG203,"",'1. Live'!AG203-'check-Jul25'!AG203)</f>
        <v/>
      </c>
      <c r="AH203" t="str">
        <f>IF('1. Live'!AH203='check-Jul25'!AH203,"",'1. Live'!AH203-'check-Jul25'!AH203)</f>
        <v/>
      </c>
      <c r="AI203" t="str">
        <f>IF('1. Live'!AI203='check-Jul25'!AI203,"",'1. Live'!AI203-'check-Jul25'!AI203)</f>
        <v/>
      </c>
      <c r="AJ203" t="str">
        <f>IF('1. Live'!AJ203='check-Jul25'!AJ203,"",'1. Live'!AJ203-'check-Jul25'!AJ203)</f>
        <v/>
      </c>
      <c r="AK203" t="str">
        <f>IF('1. Live'!AK203='check-Jul25'!AK203,"",'1. Live'!AK203-'check-Jul25'!AK203)</f>
        <v/>
      </c>
      <c r="AL203" t="str">
        <f>IF('1. Live'!AL203='check-Jul25'!AL203,"",'1. Live'!AL203-'check-Jul25'!AL203)</f>
        <v/>
      </c>
      <c r="AM203" t="str">
        <f>IF('1. Live'!AM203='check-Jul25'!AM203,"",'1. Live'!AM203-'check-Jul25'!AM203)</f>
        <v/>
      </c>
      <c r="AN203" t="str">
        <f>IF('1. Live'!AN203='check-Jul25'!AN203,"",'1. Live'!AN203-'check-Jul25'!AN203)</f>
        <v/>
      </c>
      <c r="AO203" t="str">
        <f>IF('1. Live'!AO203='check-Jul25'!AO203,"",'1. Live'!AO203-'check-Jul25'!AO203)</f>
        <v/>
      </c>
      <c r="AP203" t="str">
        <f>IF('1. Live'!AP203='check-Jul25'!AP203,"",'1. Live'!AP203-'check-Jul25'!AP203)</f>
        <v/>
      </c>
      <c r="AQ203" t="str">
        <f>IF('1. Live'!AQ203='check-Jul25'!AQ203,"",'1. Live'!AQ203-'check-Jul25'!AQ203)</f>
        <v/>
      </c>
      <c r="AR203" t="str">
        <f>IF('1. Live'!AR203='check-Jul25'!AR203,"",'1. Live'!AR203-'check-Jul25'!AR203)</f>
        <v/>
      </c>
      <c r="AS203" t="str">
        <f>IF('1. Live'!AS203='check-Jul25'!AS203,"",'1. Live'!AS203-'check-Jul25'!AS203)</f>
        <v/>
      </c>
      <c r="AT203" t="str">
        <f>IF('1. Live'!AT203='check-Jul25'!AT203,"",'1. Live'!AT203-'check-Jul25'!AT203)</f>
        <v/>
      </c>
      <c r="AU203" t="str">
        <f>IF('1. Live'!AU203='check-Jul25'!AU203,"",'1. Live'!AU203-'check-Jul25'!AU203)</f>
        <v/>
      </c>
      <c r="AV203" t="str">
        <f>IF('1. Live'!AV203='check-Jul25'!AV203,"",'1. Live'!AV203-'check-Jul25'!AV203)</f>
        <v/>
      </c>
      <c r="AW203" t="str">
        <f>IF('1. Live'!AW203='check-Jul25'!AW203,"",'1. Live'!AW203-'check-Jul25'!AW203)</f>
        <v/>
      </c>
      <c r="AX203" t="str">
        <f>IF('1. Live'!AX203='check-Jul25'!AX203,"",'1. Live'!AX203-'check-Jul25'!AX203)</f>
        <v/>
      </c>
      <c r="AY203" t="str">
        <f>IF('1. Live'!AY203='check-Jul25'!AY203,"",'1. Live'!AY203-'check-Jul25'!AY203)</f>
        <v/>
      </c>
      <c r="AZ203" t="str">
        <f>IF('1. Live'!AZ203='check-Jul25'!AZ203,"",'1. Live'!AZ203-'check-Jul25'!AZ203)</f>
        <v/>
      </c>
      <c r="BA203" t="str">
        <f>IF('1. Live'!BA203='check-Jul25'!BA203,"",'1. Live'!BA203-'check-Jul25'!BA203)</f>
        <v/>
      </c>
      <c r="BB203" t="str">
        <f>IF('1. Live'!BB203='check-Jul25'!BB203,"",'1. Live'!BB203-'check-Jul25'!BB203)</f>
        <v/>
      </c>
      <c r="BC203" t="str">
        <f>IF('1. Live'!BC203='check-Jul25'!BC203,"",'1. Live'!BC203-'check-Jul25'!BC203)</f>
        <v/>
      </c>
      <c r="BD203" t="str">
        <f>IF('1. Live'!BD203='check-Jul25'!BD203,"",'1. Live'!BD203-'check-Jul25'!BD203)</f>
        <v/>
      </c>
      <c r="BE203" t="str">
        <f>IF('1. Live'!BE203='check-Jul25'!BE203,"",'1. Live'!BE203-'check-Jul25'!BE203)</f>
        <v/>
      </c>
      <c r="BF203" t="str">
        <f>IF('1. Live'!BF203='check-Jul25'!BF203,"",'1. Live'!BF203-'check-Jul25'!BF203)</f>
        <v/>
      </c>
      <c r="BG203" t="str">
        <f>IF('1. Live'!BG203='check-Jul25'!BG203,"",'1. Live'!BG203-'check-Jul25'!BG203)</f>
        <v/>
      </c>
      <c r="BH203" t="str">
        <f>IF('1. Live'!BH203='check-Jul25'!BH203,"",'1. Live'!BH203-'check-Jul25'!BH203)</f>
        <v/>
      </c>
      <c r="BI203" t="str">
        <f>IF('1. Live'!BI203='check-Jul25'!BI203,"",'1. Live'!BI203-'check-Jul25'!BI203)</f>
        <v/>
      </c>
      <c r="BJ203" t="str">
        <f>IF('1. Live'!BJ203='check-Jul25'!BJ203,"",'1. Live'!BJ203-'check-Jul25'!BJ203)</f>
        <v/>
      </c>
      <c r="BK203" t="str">
        <f>IF('1. Live'!BK203='check-Jul25'!BK203,"",'1. Live'!BK203-'check-Jul25'!BK203)</f>
        <v/>
      </c>
      <c r="BL203" t="str">
        <f>IF('1. Live'!BL203='check-Jul25'!BL203,"",'1. Live'!BL203-'check-Jul25'!BL203)</f>
        <v/>
      </c>
      <c r="BM203" t="str">
        <f>IF('1. Live'!BM203='check-Jul25'!BM203,"",'1. Live'!BM203-'check-Jul25'!BM203)</f>
        <v/>
      </c>
      <c r="BN203" t="str">
        <f>IF('1. Live'!BN203='check-Jul25'!BN203,"",'1. Live'!BN203-'check-Jul25'!BN203)</f>
        <v/>
      </c>
      <c r="BO203" t="str">
        <f>IF('1. Live'!BO203='check-Jul25'!BO203,"",'1. Live'!BO203-'check-Jul25'!BO203)</f>
        <v/>
      </c>
      <c r="BP203" t="str">
        <f>IF('1. Live'!BP203='check-Jul25'!BP203,"",'1. Live'!BP203-'check-Jul25'!BP203)</f>
        <v/>
      </c>
      <c r="BQ203" t="str">
        <f>IF('1. Live'!BQ203='check-Jul25'!BQ203,"",'1. Live'!BQ203-'check-Jul25'!BQ203)</f>
        <v/>
      </c>
      <c r="BR203" t="str">
        <f>IF('1. Live'!BR203='check-Jul25'!BR203,"",'1. Live'!BR203-'check-Jul25'!BR203)</f>
        <v/>
      </c>
      <c r="BS203" t="str">
        <f>IF('1. Live'!BS203='check-Jul25'!BS203,"",'1. Live'!BS203-'check-Jul25'!BS203)</f>
        <v/>
      </c>
      <c r="BT203" t="str">
        <f>IF('1. Live'!BT203='check-Jul25'!BT203,"",'1. Live'!BT203-'check-Jul25'!BT203)</f>
        <v/>
      </c>
      <c r="BU203" t="str">
        <f>IF('1. Live'!BU203='check-Jul25'!BU203,"",'1. Live'!BU203-'check-Jul25'!BU203)</f>
        <v/>
      </c>
      <c r="BV203" t="str">
        <f>IF('1. Live'!BV203='check-Jul25'!BV203,"",'1. Live'!BV203-'check-Jul25'!BV203)</f>
        <v/>
      </c>
      <c r="BW203" t="str">
        <f>IF('1. Live'!BW203='check-Jul25'!BW203,"",'1. Live'!BW203-'check-Jul25'!BW203)</f>
        <v/>
      </c>
      <c r="BX203" t="str">
        <f>IF('1. Live'!BX203='check-Jul25'!BX203,"",'1. Live'!BX203-'check-Jul25'!BX203)</f>
        <v/>
      </c>
      <c r="BY203" t="str">
        <f>IF('1. Live'!BY203='check-Jul25'!BY203,"",'1. Live'!BY203-'check-Jul25'!BY203)</f>
        <v/>
      </c>
      <c r="BZ203" t="str">
        <f>IF('1. Live'!BZ203='check-Jul25'!BZ203,"",'1. Live'!BZ203-'check-Jul25'!BZ203)</f>
        <v/>
      </c>
      <c r="CA203" t="str">
        <f>IF('1. Live'!CA203='check-Jul25'!CA203,"",'1. Live'!CA203-'check-Jul25'!CA203)</f>
        <v/>
      </c>
      <c r="CB203" t="str">
        <f>IF('1. Live'!CB203='check-Jul25'!CB203,"",'1. Live'!CB203-'check-Jul25'!CB203)</f>
        <v/>
      </c>
      <c r="CC203" t="str">
        <f>IF('1. Live'!CC203='check-Jul25'!CC203,"",'1. Live'!CC203-'check-Jul25'!CC203)</f>
        <v/>
      </c>
      <c r="CD203" t="str">
        <f>IF('1. Live'!CD203='check-Jul25'!CD203,"",'1. Live'!CD203-'check-Jul25'!CD203)</f>
        <v/>
      </c>
      <c r="CE203" t="str">
        <f>IF('1. Live'!CE203='check-Jul25'!CE203,"",'1. Live'!CE203-'check-Jul25'!CE203)</f>
        <v/>
      </c>
      <c r="CF203" t="str">
        <f>IF('1. Live'!CF203='check-Jul25'!CF203,"",'1. Live'!CF203-'check-Jul25'!CF203)</f>
        <v/>
      </c>
      <c r="CG203" t="str">
        <f>IF('1. Live'!CG203='check-Jul25'!CG203,"",'1. Live'!CG203-'check-Jul25'!CG203)</f>
        <v/>
      </c>
      <c r="CH203" t="str">
        <f>IF('1. Live'!CH203='check-Jul25'!CH203,"",'1. Live'!CH203-'check-Jul25'!CH203)</f>
        <v/>
      </c>
      <c r="CI203" t="str">
        <f>IF('1. Live'!CI203='check-Jul25'!CI203,"",'1. Live'!CI203-'check-Jul25'!CI203)</f>
        <v/>
      </c>
      <c r="CJ203" t="str">
        <f>IF('1. Live'!CJ203='check-Jul25'!CJ203,"",'1. Live'!CJ203-'check-Jul25'!CJ203)</f>
        <v/>
      </c>
      <c r="CK203" t="str">
        <f>IF('1. Live'!CK203='check-Jul25'!CK203,"",'1. Live'!CK203-'check-Jul25'!CK203)</f>
        <v/>
      </c>
      <c r="CL203" t="str">
        <f>IF('1. Live'!CL203='check-Jul25'!CL203,"",'1. Live'!CL203-'check-Jul25'!CL203)</f>
        <v/>
      </c>
      <c r="CM203" t="str">
        <f>IF('1. Live'!CM203='check-Jul25'!CM203,"",'1. Live'!CM203-'check-Jul25'!CM203)</f>
        <v/>
      </c>
      <c r="CN203" t="str">
        <f>IF('1. Live'!CN203='check-Jul25'!CN203,"",'1. Live'!CN203-'check-Jul25'!CN203)</f>
        <v/>
      </c>
      <c r="CO203" t="str">
        <f>IF('1. Live'!CO203='check-Jul25'!CO203,"",'1. Live'!CO203-'check-Jul25'!CO203)</f>
        <v/>
      </c>
      <c r="CP203" t="str">
        <f>IF('1. Live'!CP203='check-Jul25'!CP203,"",'1. Live'!CP203-'check-Jul25'!CP203)</f>
        <v/>
      </c>
      <c r="CQ203" t="str">
        <f>IF('1. Live'!CQ203='check-Jul25'!CQ203,"",'1. Live'!CQ203-'check-Jul25'!CQ203)</f>
        <v/>
      </c>
      <c r="CR203" t="str">
        <f>IF('1. Live'!CR203='check-Jul25'!CR203,"",'1. Live'!CR203-'check-Jul25'!CR203)</f>
        <v/>
      </c>
      <c r="CS203" t="str">
        <f>IF('1. Live'!CS203='check-Jul25'!CS203,"",'1. Live'!CS203-'check-Jul25'!CS203)</f>
        <v/>
      </c>
      <c r="CT203" t="str">
        <f>IF('1. Live'!CT203='check-Jul25'!CT203,"",'1. Live'!CT203-'check-Jul25'!CT203)</f>
        <v/>
      </c>
      <c r="CU203" t="str">
        <f>IF('1. Live'!CU203='check-Jul25'!CU203,"",'1. Live'!CU203-'check-Jul25'!CU203)</f>
        <v/>
      </c>
      <c r="CV203" t="str">
        <f>IF('1. Live'!CV203='check-Jul25'!CV203,"",'1. Live'!CV203-'check-Jul25'!CV203)</f>
        <v/>
      </c>
      <c r="CW203" t="str">
        <f>IF('1. Live'!CW203='check-Jul25'!CW203,"",'1. Live'!CW203-'check-Jul25'!CW203)</f>
        <v/>
      </c>
    </row>
    <row r="204" spans="10:101">
      <c r="J204" t="str">
        <f>IF('1. Live'!J204='check-Jul25'!J204,"",'1. Live'!J204-'check-Jul25'!J204)</f>
        <v/>
      </c>
      <c r="K204" t="str">
        <f>IF('1. Live'!K204='check-Jul25'!K204,"",'1. Live'!K204-'check-Jul25'!K204)</f>
        <v/>
      </c>
      <c r="L204" t="str">
        <f>IF('1. Live'!L204='check-Jul25'!L204,"",'1. Live'!L204-'check-Jul25'!L204)</f>
        <v/>
      </c>
      <c r="M204" t="str">
        <f>IF('1. Live'!M204='check-Jul25'!M204,"",'1. Live'!M204-'check-Jul25'!M204)</f>
        <v/>
      </c>
      <c r="N204" t="str">
        <f>IF('1. Live'!N204='check-Jul25'!N204,"",'1. Live'!N204-'check-Jul25'!N204)</f>
        <v/>
      </c>
      <c r="O204" t="str">
        <f>IF('1. Live'!O204='check-Jul25'!O204,"",'1. Live'!O204-'check-Jul25'!O204)</f>
        <v/>
      </c>
      <c r="P204" t="str">
        <f>IF('1. Live'!P204='check-Jul25'!P204,"",'1. Live'!P204-'check-Jul25'!P204)</f>
        <v/>
      </c>
      <c r="Q204" t="str">
        <f>IF('1. Live'!Q204='check-Jul25'!Q204,"",'1. Live'!Q204-'check-Jul25'!Q204)</f>
        <v/>
      </c>
      <c r="R204" t="str">
        <f>IF('1. Live'!R204='check-Jul25'!R204,"",'1. Live'!R204-'check-Jul25'!R204)</f>
        <v/>
      </c>
      <c r="S204" t="str">
        <f>IF('1. Live'!S204='check-Jul25'!S204,"",'1. Live'!S204-'check-Jul25'!S204)</f>
        <v/>
      </c>
      <c r="T204" t="str">
        <f>IF('1. Live'!T204='check-Jul25'!T204,"",'1. Live'!T204-'check-Jul25'!T204)</f>
        <v/>
      </c>
      <c r="U204" t="str">
        <f>IF('1. Live'!U204='check-Jul25'!U204,"",'1. Live'!U204-'check-Jul25'!U204)</f>
        <v/>
      </c>
      <c r="V204" t="str">
        <f>IF('1. Live'!V204='check-Jul25'!V204,"",'1. Live'!V204-'check-Jul25'!V204)</f>
        <v/>
      </c>
      <c r="W204" t="str">
        <f>IF('1. Live'!W204='check-Jul25'!W204,"",'1. Live'!W204-'check-Jul25'!W204)</f>
        <v/>
      </c>
      <c r="X204" t="str">
        <f>IF('1. Live'!X204='check-Jul25'!X204,"",'1. Live'!X204-'check-Jul25'!X204)</f>
        <v/>
      </c>
      <c r="Y204" t="str">
        <f>IF('1. Live'!Y204='check-Jul25'!Y204,"",'1. Live'!Y204-'check-Jul25'!Y204)</f>
        <v/>
      </c>
      <c r="Z204" t="str">
        <f>IF('1. Live'!Z204='check-Jul25'!Z204,"",'1. Live'!Z204-'check-Jul25'!Z204)</f>
        <v/>
      </c>
      <c r="AA204" t="str">
        <f>IF('1. Live'!AA204='check-Jul25'!AA204,"",'1. Live'!AA204-'check-Jul25'!AA204)</f>
        <v/>
      </c>
      <c r="AB204" t="str">
        <f>IF('1. Live'!AB204='check-Jul25'!AB204,"",'1. Live'!AB204-'check-Jul25'!AB204)</f>
        <v/>
      </c>
      <c r="AC204" t="str">
        <f>IF('1. Live'!AC204='check-Jul25'!AC204,"",'1. Live'!AC204-'check-Jul25'!AC204)</f>
        <v/>
      </c>
      <c r="AD204" t="str">
        <f>IF('1. Live'!AD204='check-Jul25'!AD204,"",'1. Live'!AD204-'check-Jul25'!AD204)</f>
        <v/>
      </c>
      <c r="AE204" t="str">
        <f>IF('1. Live'!AE204='check-Jul25'!AE204,"",'1. Live'!AE204-'check-Jul25'!AE204)</f>
        <v/>
      </c>
      <c r="AF204" t="str">
        <f>IF('1. Live'!AF204='check-Jul25'!AF204,"",'1. Live'!AF204-'check-Jul25'!AF204)</f>
        <v/>
      </c>
      <c r="AG204" t="str">
        <f>IF('1. Live'!AG204='check-Jul25'!AG204,"",'1. Live'!AG204-'check-Jul25'!AG204)</f>
        <v/>
      </c>
      <c r="AH204" t="str">
        <f>IF('1. Live'!AH204='check-Jul25'!AH204,"",'1. Live'!AH204-'check-Jul25'!AH204)</f>
        <v/>
      </c>
      <c r="AI204" t="str">
        <f>IF('1. Live'!AI204='check-Jul25'!AI204,"",'1. Live'!AI204-'check-Jul25'!AI204)</f>
        <v/>
      </c>
      <c r="AJ204" t="str">
        <f>IF('1. Live'!AJ204='check-Jul25'!AJ204,"",'1. Live'!AJ204-'check-Jul25'!AJ204)</f>
        <v/>
      </c>
      <c r="AK204" t="str">
        <f>IF('1. Live'!AK204='check-Jul25'!AK204,"",'1. Live'!AK204-'check-Jul25'!AK204)</f>
        <v/>
      </c>
      <c r="AL204" t="str">
        <f>IF('1. Live'!AL204='check-Jul25'!AL204,"",'1. Live'!AL204-'check-Jul25'!AL204)</f>
        <v/>
      </c>
      <c r="AM204" t="str">
        <f>IF('1. Live'!AM204='check-Jul25'!AM204,"",'1. Live'!AM204-'check-Jul25'!AM204)</f>
        <v/>
      </c>
      <c r="AN204" t="str">
        <f>IF('1. Live'!AN204='check-Jul25'!AN204,"",'1. Live'!AN204-'check-Jul25'!AN204)</f>
        <v/>
      </c>
      <c r="AO204" t="str">
        <f>IF('1. Live'!AO204='check-Jul25'!AO204,"",'1. Live'!AO204-'check-Jul25'!AO204)</f>
        <v/>
      </c>
      <c r="AP204" t="str">
        <f>IF('1. Live'!AP204='check-Jul25'!AP204,"",'1. Live'!AP204-'check-Jul25'!AP204)</f>
        <v/>
      </c>
      <c r="AQ204" t="str">
        <f>IF('1. Live'!AQ204='check-Jul25'!AQ204,"",'1. Live'!AQ204-'check-Jul25'!AQ204)</f>
        <v/>
      </c>
      <c r="AR204" t="str">
        <f>IF('1. Live'!AR204='check-Jul25'!AR204,"",'1. Live'!AR204-'check-Jul25'!AR204)</f>
        <v/>
      </c>
      <c r="AS204" t="str">
        <f>IF('1. Live'!AS204='check-Jul25'!AS204,"",'1. Live'!AS204-'check-Jul25'!AS204)</f>
        <v/>
      </c>
      <c r="AT204" t="str">
        <f>IF('1. Live'!AT204='check-Jul25'!AT204,"",'1. Live'!AT204-'check-Jul25'!AT204)</f>
        <v/>
      </c>
      <c r="AU204" t="str">
        <f>IF('1. Live'!AU204='check-Jul25'!AU204,"",'1. Live'!AU204-'check-Jul25'!AU204)</f>
        <v/>
      </c>
      <c r="AV204" t="str">
        <f>IF('1. Live'!AV204='check-Jul25'!AV204,"",'1. Live'!AV204-'check-Jul25'!AV204)</f>
        <v/>
      </c>
      <c r="AW204" t="str">
        <f>IF('1. Live'!AW204='check-Jul25'!AW204,"",'1. Live'!AW204-'check-Jul25'!AW204)</f>
        <v/>
      </c>
      <c r="AX204" t="str">
        <f>IF('1. Live'!AX204='check-Jul25'!AX204,"",'1. Live'!AX204-'check-Jul25'!AX204)</f>
        <v/>
      </c>
      <c r="AY204" t="str">
        <f>IF('1. Live'!AY204='check-Jul25'!AY204,"",'1. Live'!AY204-'check-Jul25'!AY204)</f>
        <v/>
      </c>
      <c r="AZ204" t="str">
        <f>IF('1. Live'!AZ204='check-Jul25'!AZ204,"",'1. Live'!AZ204-'check-Jul25'!AZ204)</f>
        <v/>
      </c>
      <c r="BA204" t="str">
        <f>IF('1. Live'!BA204='check-Jul25'!BA204,"",'1. Live'!BA204-'check-Jul25'!BA204)</f>
        <v/>
      </c>
      <c r="BB204" t="str">
        <f>IF('1. Live'!BB204='check-Jul25'!BB204,"",'1. Live'!BB204-'check-Jul25'!BB204)</f>
        <v/>
      </c>
      <c r="BC204" t="str">
        <f>IF('1. Live'!BC204='check-Jul25'!BC204,"",'1. Live'!BC204-'check-Jul25'!BC204)</f>
        <v/>
      </c>
      <c r="BD204" t="str">
        <f>IF('1. Live'!BD204='check-Jul25'!BD204,"",'1. Live'!BD204-'check-Jul25'!BD204)</f>
        <v/>
      </c>
      <c r="BE204" t="str">
        <f>IF('1. Live'!BE204='check-Jul25'!BE204,"",'1. Live'!BE204-'check-Jul25'!BE204)</f>
        <v/>
      </c>
      <c r="BF204" t="str">
        <f>IF('1. Live'!BF204='check-Jul25'!BF204,"",'1. Live'!BF204-'check-Jul25'!BF204)</f>
        <v/>
      </c>
      <c r="BG204" t="str">
        <f>IF('1. Live'!BG204='check-Jul25'!BG204,"",'1. Live'!BG204-'check-Jul25'!BG204)</f>
        <v/>
      </c>
      <c r="BH204" t="str">
        <f>IF('1. Live'!BH204='check-Jul25'!BH204,"",'1. Live'!BH204-'check-Jul25'!BH204)</f>
        <v/>
      </c>
      <c r="BI204" t="str">
        <f>IF('1. Live'!BI204='check-Jul25'!BI204,"",'1. Live'!BI204-'check-Jul25'!BI204)</f>
        <v/>
      </c>
      <c r="BJ204" t="str">
        <f>IF('1. Live'!BJ204='check-Jul25'!BJ204,"",'1. Live'!BJ204-'check-Jul25'!BJ204)</f>
        <v/>
      </c>
      <c r="BK204" t="str">
        <f>IF('1. Live'!BK204='check-Jul25'!BK204,"",'1. Live'!BK204-'check-Jul25'!BK204)</f>
        <v/>
      </c>
      <c r="BL204" t="str">
        <f>IF('1. Live'!BL204='check-Jul25'!BL204,"",'1. Live'!BL204-'check-Jul25'!BL204)</f>
        <v/>
      </c>
      <c r="BM204" t="str">
        <f>IF('1. Live'!BM204='check-Jul25'!BM204,"",'1. Live'!BM204-'check-Jul25'!BM204)</f>
        <v/>
      </c>
      <c r="BN204" t="str">
        <f>IF('1. Live'!BN204='check-Jul25'!BN204,"",'1. Live'!BN204-'check-Jul25'!BN204)</f>
        <v/>
      </c>
      <c r="BO204" t="str">
        <f>IF('1. Live'!BO204='check-Jul25'!BO204,"",'1. Live'!BO204-'check-Jul25'!BO204)</f>
        <v/>
      </c>
      <c r="BP204" t="str">
        <f>IF('1. Live'!BP204='check-Jul25'!BP204,"",'1. Live'!BP204-'check-Jul25'!BP204)</f>
        <v/>
      </c>
      <c r="BQ204" t="str">
        <f>IF('1. Live'!BQ204='check-Jul25'!BQ204,"",'1. Live'!BQ204-'check-Jul25'!BQ204)</f>
        <v/>
      </c>
      <c r="BR204" t="str">
        <f>IF('1. Live'!BR204='check-Jul25'!BR204,"",'1. Live'!BR204-'check-Jul25'!BR204)</f>
        <v/>
      </c>
      <c r="BS204" t="str">
        <f>IF('1. Live'!BS204='check-Jul25'!BS204,"",'1. Live'!BS204-'check-Jul25'!BS204)</f>
        <v/>
      </c>
      <c r="BT204" t="str">
        <f>IF('1. Live'!BT204='check-Jul25'!BT204,"",'1. Live'!BT204-'check-Jul25'!BT204)</f>
        <v/>
      </c>
      <c r="BU204" t="str">
        <f>IF('1. Live'!BU204='check-Jul25'!BU204,"",'1. Live'!BU204-'check-Jul25'!BU204)</f>
        <v/>
      </c>
      <c r="BV204" t="str">
        <f>IF('1. Live'!BV204='check-Jul25'!BV204,"",'1. Live'!BV204-'check-Jul25'!BV204)</f>
        <v/>
      </c>
      <c r="BW204" t="str">
        <f>IF('1. Live'!BW204='check-Jul25'!BW204,"",'1. Live'!BW204-'check-Jul25'!BW204)</f>
        <v/>
      </c>
      <c r="BX204" t="str">
        <f>IF('1. Live'!BX204='check-Jul25'!BX204,"",'1. Live'!BX204-'check-Jul25'!BX204)</f>
        <v/>
      </c>
      <c r="BY204" t="str">
        <f>IF('1. Live'!BY204='check-Jul25'!BY204,"",'1. Live'!BY204-'check-Jul25'!BY204)</f>
        <v/>
      </c>
      <c r="BZ204" t="str">
        <f>IF('1. Live'!BZ204='check-Jul25'!BZ204,"",'1. Live'!BZ204-'check-Jul25'!BZ204)</f>
        <v/>
      </c>
      <c r="CA204" t="str">
        <f>IF('1. Live'!CA204='check-Jul25'!CA204,"",'1. Live'!CA204-'check-Jul25'!CA204)</f>
        <v/>
      </c>
      <c r="CB204" t="str">
        <f>IF('1. Live'!CB204='check-Jul25'!CB204,"",'1. Live'!CB204-'check-Jul25'!CB204)</f>
        <v/>
      </c>
      <c r="CC204" t="str">
        <f>IF('1. Live'!CC204='check-Jul25'!CC204,"",'1. Live'!CC204-'check-Jul25'!CC204)</f>
        <v/>
      </c>
      <c r="CD204" t="str">
        <f>IF('1. Live'!CD204='check-Jul25'!CD204,"",'1. Live'!CD204-'check-Jul25'!CD204)</f>
        <v/>
      </c>
      <c r="CE204" t="str">
        <f>IF('1. Live'!CE204='check-Jul25'!CE204,"",'1. Live'!CE204-'check-Jul25'!CE204)</f>
        <v/>
      </c>
      <c r="CF204" t="str">
        <f>IF('1. Live'!CF204='check-Jul25'!CF204,"",'1. Live'!CF204-'check-Jul25'!CF204)</f>
        <v/>
      </c>
      <c r="CG204" t="str">
        <f>IF('1. Live'!CG204='check-Jul25'!CG204,"",'1. Live'!CG204-'check-Jul25'!CG204)</f>
        <v/>
      </c>
      <c r="CH204" t="str">
        <f>IF('1. Live'!CH204='check-Jul25'!CH204,"",'1. Live'!CH204-'check-Jul25'!CH204)</f>
        <v/>
      </c>
      <c r="CI204" t="str">
        <f>IF('1. Live'!CI204='check-Jul25'!CI204,"",'1. Live'!CI204-'check-Jul25'!CI204)</f>
        <v/>
      </c>
      <c r="CJ204" t="str">
        <f>IF('1. Live'!CJ204='check-Jul25'!CJ204,"",'1. Live'!CJ204-'check-Jul25'!CJ204)</f>
        <v/>
      </c>
      <c r="CK204" t="str">
        <f>IF('1. Live'!CK204='check-Jul25'!CK204,"",'1. Live'!CK204-'check-Jul25'!CK204)</f>
        <v/>
      </c>
      <c r="CL204" t="str">
        <f>IF('1. Live'!CL204='check-Jul25'!CL204,"",'1. Live'!CL204-'check-Jul25'!CL204)</f>
        <v/>
      </c>
      <c r="CM204" t="str">
        <f>IF('1. Live'!CM204='check-Jul25'!CM204,"",'1. Live'!CM204-'check-Jul25'!CM204)</f>
        <v/>
      </c>
      <c r="CN204" t="str">
        <f>IF('1. Live'!CN204='check-Jul25'!CN204,"",'1. Live'!CN204-'check-Jul25'!CN204)</f>
        <v/>
      </c>
      <c r="CO204" t="str">
        <f>IF('1. Live'!CO204='check-Jul25'!CO204,"",'1. Live'!CO204-'check-Jul25'!CO204)</f>
        <v/>
      </c>
      <c r="CP204" t="str">
        <f>IF('1. Live'!CP204='check-Jul25'!CP204,"",'1. Live'!CP204-'check-Jul25'!CP204)</f>
        <v/>
      </c>
      <c r="CQ204" t="str">
        <f>IF('1. Live'!CQ204='check-Jul25'!CQ204,"",'1. Live'!CQ204-'check-Jul25'!CQ204)</f>
        <v/>
      </c>
      <c r="CR204" t="str">
        <f>IF('1. Live'!CR204='check-Jul25'!CR204,"",'1. Live'!CR204-'check-Jul25'!CR204)</f>
        <v/>
      </c>
      <c r="CS204" t="str">
        <f>IF('1. Live'!CS204='check-Jul25'!CS204,"",'1. Live'!CS204-'check-Jul25'!CS204)</f>
        <v/>
      </c>
      <c r="CT204" t="str">
        <f>IF('1. Live'!CT204='check-Jul25'!CT204,"",'1. Live'!CT204-'check-Jul25'!CT204)</f>
        <v/>
      </c>
      <c r="CU204" t="str">
        <f>IF('1. Live'!CU204='check-Jul25'!CU204,"",'1. Live'!CU204-'check-Jul25'!CU204)</f>
        <v/>
      </c>
      <c r="CV204" t="str">
        <f>IF('1. Live'!CV204='check-Jul25'!CV204,"",'1. Live'!CV204-'check-Jul25'!CV204)</f>
        <v/>
      </c>
      <c r="CW204" t="str">
        <f>IF('1. Live'!CW204='check-Jul25'!CW204,"",'1. Live'!CW204-'check-Jul25'!CW204)</f>
        <v/>
      </c>
    </row>
    <row r="205" spans="10:101">
      <c r="J205" t="str">
        <f>IF('1. Live'!J205='check-Jul25'!J205,"",'1. Live'!J205-'check-Jul25'!J205)</f>
        <v/>
      </c>
      <c r="K205" t="str">
        <f>IF('1. Live'!K205='check-Jul25'!K205,"",'1. Live'!K205-'check-Jul25'!K205)</f>
        <v/>
      </c>
      <c r="L205" t="str">
        <f>IF('1. Live'!L205='check-Jul25'!L205,"",'1. Live'!L205-'check-Jul25'!L205)</f>
        <v/>
      </c>
      <c r="M205" t="str">
        <f>IF('1. Live'!M205='check-Jul25'!M205,"",'1. Live'!M205-'check-Jul25'!M205)</f>
        <v/>
      </c>
      <c r="N205" t="str">
        <f>IF('1. Live'!N205='check-Jul25'!N205,"",'1. Live'!N205-'check-Jul25'!N205)</f>
        <v/>
      </c>
      <c r="O205" t="str">
        <f>IF('1. Live'!O205='check-Jul25'!O205,"",'1. Live'!O205-'check-Jul25'!O205)</f>
        <v/>
      </c>
      <c r="P205" t="str">
        <f>IF('1. Live'!P205='check-Jul25'!P205,"",'1. Live'!P205-'check-Jul25'!P205)</f>
        <v/>
      </c>
      <c r="Q205" t="str">
        <f>IF('1. Live'!Q205='check-Jul25'!Q205,"",'1. Live'!Q205-'check-Jul25'!Q205)</f>
        <v/>
      </c>
      <c r="R205" t="str">
        <f>IF('1. Live'!R205='check-Jul25'!R205,"",'1. Live'!R205-'check-Jul25'!R205)</f>
        <v/>
      </c>
      <c r="S205" t="str">
        <f>IF('1. Live'!S205='check-Jul25'!S205,"",'1. Live'!S205-'check-Jul25'!S205)</f>
        <v/>
      </c>
      <c r="T205" t="str">
        <f>IF('1. Live'!T205='check-Jul25'!T205,"",'1. Live'!T205-'check-Jul25'!T205)</f>
        <v/>
      </c>
      <c r="U205" t="str">
        <f>IF('1. Live'!U205='check-Jul25'!U205,"",'1. Live'!U205-'check-Jul25'!U205)</f>
        <v/>
      </c>
      <c r="V205" t="str">
        <f>IF('1. Live'!V205='check-Jul25'!V205,"",'1. Live'!V205-'check-Jul25'!V205)</f>
        <v/>
      </c>
      <c r="W205" t="str">
        <f>IF('1. Live'!W205='check-Jul25'!W205,"",'1. Live'!W205-'check-Jul25'!W205)</f>
        <v/>
      </c>
      <c r="X205" t="str">
        <f>IF('1. Live'!X205='check-Jul25'!X205,"",'1. Live'!X205-'check-Jul25'!X205)</f>
        <v/>
      </c>
      <c r="Y205" t="str">
        <f>IF('1. Live'!Y205='check-Jul25'!Y205,"",'1. Live'!Y205-'check-Jul25'!Y205)</f>
        <v/>
      </c>
      <c r="Z205" t="str">
        <f>IF('1. Live'!Z205='check-Jul25'!Z205,"",'1. Live'!Z205-'check-Jul25'!Z205)</f>
        <v/>
      </c>
      <c r="AA205" t="str">
        <f>IF('1. Live'!AA205='check-Jul25'!AA205,"",'1. Live'!AA205-'check-Jul25'!AA205)</f>
        <v/>
      </c>
      <c r="AB205" t="str">
        <f>IF('1. Live'!AB205='check-Jul25'!AB205,"",'1. Live'!AB205-'check-Jul25'!AB205)</f>
        <v/>
      </c>
      <c r="AC205" t="str">
        <f>IF('1. Live'!AC205='check-Jul25'!AC205,"",'1. Live'!AC205-'check-Jul25'!AC205)</f>
        <v/>
      </c>
      <c r="AD205" t="str">
        <f>IF('1. Live'!AD205='check-Jul25'!AD205,"",'1. Live'!AD205-'check-Jul25'!AD205)</f>
        <v/>
      </c>
      <c r="AE205" t="str">
        <f>IF('1. Live'!AE205='check-Jul25'!AE205,"",'1. Live'!AE205-'check-Jul25'!AE205)</f>
        <v/>
      </c>
      <c r="AF205" t="str">
        <f>IF('1. Live'!AF205='check-Jul25'!AF205,"",'1. Live'!AF205-'check-Jul25'!AF205)</f>
        <v/>
      </c>
      <c r="AG205" t="str">
        <f>IF('1. Live'!AG205='check-Jul25'!AG205,"",'1. Live'!AG205-'check-Jul25'!AG205)</f>
        <v/>
      </c>
      <c r="AH205" t="str">
        <f>IF('1. Live'!AH205='check-Jul25'!AH205,"",'1. Live'!AH205-'check-Jul25'!AH205)</f>
        <v/>
      </c>
      <c r="AI205" t="str">
        <f>IF('1. Live'!AI205='check-Jul25'!AI205,"",'1. Live'!AI205-'check-Jul25'!AI205)</f>
        <v/>
      </c>
      <c r="AJ205" t="str">
        <f>IF('1. Live'!AJ205='check-Jul25'!AJ205,"",'1. Live'!AJ205-'check-Jul25'!AJ205)</f>
        <v/>
      </c>
      <c r="AK205" t="str">
        <f>IF('1. Live'!AK205='check-Jul25'!AK205,"",'1. Live'!AK205-'check-Jul25'!AK205)</f>
        <v/>
      </c>
      <c r="AL205" t="str">
        <f>IF('1. Live'!AL205='check-Jul25'!AL205,"",'1. Live'!AL205-'check-Jul25'!AL205)</f>
        <v/>
      </c>
      <c r="AM205" t="str">
        <f>IF('1. Live'!AM205='check-Jul25'!AM205,"",'1. Live'!AM205-'check-Jul25'!AM205)</f>
        <v/>
      </c>
      <c r="AN205" t="str">
        <f>IF('1. Live'!AN205='check-Jul25'!AN205,"",'1. Live'!AN205-'check-Jul25'!AN205)</f>
        <v/>
      </c>
      <c r="AO205" t="str">
        <f>IF('1. Live'!AO205='check-Jul25'!AO205,"",'1. Live'!AO205-'check-Jul25'!AO205)</f>
        <v/>
      </c>
      <c r="AP205" t="str">
        <f>IF('1. Live'!AP205='check-Jul25'!AP205,"",'1. Live'!AP205-'check-Jul25'!AP205)</f>
        <v/>
      </c>
      <c r="AQ205" t="str">
        <f>IF('1. Live'!AQ205='check-Jul25'!AQ205,"",'1. Live'!AQ205-'check-Jul25'!AQ205)</f>
        <v/>
      </c>
      <c r="AR205" t="str">
        <f>IF('1. Live'!AR205='check-Jul25'!AR205,"",'1. Live'!AR205-'check-Jul25'!AR205)</f>
        <v/>
      </c>
      <c r="AS205" t="str">
        <f>IF('1. Live'!AS205='check-Jul25'!AS205,"",'1. Live'!AS205-'check-Jul25'!AS205)</f>
        <v/>
      </c>
      <c r="AT205" t="str">
        <f>IF('1. Live'!AT205='check-Jul25'!AT205,"",'1. Live'!AT205-'check-Jul25'!AT205)</f>
        <v/>
      </c>
      <c r="AU205" t="str">
        <f>IF('1. Live'!AU205='check-Jul25'!AU205,"",'1. Live'!AU205-'check-Jul25'!AU205)</f>
        <v/>
      </c>
      <c r="AV205" t="str">
        <f>IF('1. Live'!AV205='check-Jul25'!AV205,"",'1. Live'!AV205-'check-Jul25'!AV205)</f>
        <v/>
      </c>
      <c r="AW205" t="str">
        <f>IF('1. Live'!AW205='check-Jul25'!AW205,"",'1. Live'!AW205-'check-Jul25'!AW205)</f>
        <v/>
      </c>
      <c r="AX205" t="str">
        <f>IF('1. Live'!AX205='check-Jul25'!AX205,"",'1. Live'!AX205-'check-Jul25'!AX205)</f>
        <v/>
      </c>
      <c r="AY205" t="str">
        <f>IF('1. Live'!AY205='check-Jul25'!AY205,"",'1. Live'!AY205-'check-Jul25'!AY205)</f>
        <v/>
      </c>
      <c r="AZ205" t="str">
        <f>IF('1. Live'!AZ205='check-Jul25'!AZ205,"",'1. Live'!AZ205-'check-Jul25'!AZ205)</f>
        <v/>
      </c>
      <c r="BA205" t="str">
        <f>IF('1. Live'!BA205='check-Jul25'!BA205,"",'1. Live'!BA205-'check-Jul25'!BA205)</f>
        <v/>
      </c>
      <c r="BB205" t="str">
        <f>IF('1. Live'!BB205='check-Jul25'!BB205,"",'1. Live'!BB205-'check-Jul25'!BB205)</f>
        <v/>
      </c>
      <c r="BC205" t="str">
        <f>IF('1. Live'!BC205='check-Jul25'!BC205,"",'1. Live'!BC205-'check-Jul25'!BC205)</f>
        <v/>
      </c>
      <c r="BD205" t="str">
        <f>IF('1. Live'!BD205='check-Jul25'!BD205,"",'1. Live'!BD205-'check-Jul25'!BD205)</f>
        <v/>
      </c>
      <c r="BE205" t="str">
        <f>IF('1. Live'!BE205='check-Jul25'!BE205,"",'1. Live'!BE205-'check-Jul25'!BE205)</f>
        <v/>
      </c>
      <c r="BF205" t="str">
        <f>IF('1. Live'!BF205='check-Jul25'!BF205,"",'1. Live'!BF205-'check-Jul25'!BF205)</f>
        <v/>
      </c>
      <c r="BG205" t="str">
        <f>IF('1. Live'!BG205='check-Jul25'!BG205,"",'1. Live'!BG205-'check-Jul25'!BG205)</f>
        <v/>
      </c>
      <c r="BH205" t="str">
        <f>IF('1. Live'!BH205='check-Jul25'!BH205,"",'1. Live'!BH205-'check-Jul25'!BH205)</f>
        <v/>
      </c>
      <c r="BI205" t="str">
        <f>IF('1. Live'!BI205='check-Jul25'!BI205,"",'1. Live'!BI205-'check-Jul25'!BI205)</f>
        <v/>
      </c>
      <c r="BJ205" t="str">
        <f>IF('1. Live'!BJ205='check-Jul25'!BJ205,"",'1. Live'!BJ205-'check-Jul25'!BJ205)</f>
        <v/>
      </c>
      <c r="BK205" t="str">
        <f>IF('1. Live'!BK205='check-Jul25'!BK205,"",'1. Live'!BK205-'check-Jul25'!BK205)</f>
        <v/>
      </c>
      <c r="BL205" t="str">
        <f>IF('1. Live'!BL205='check-Jul25'!BL205,"",'1. Live'!BL205-'check-Jul25'!BL205)</f>
        <v/>
      </c>
      <c r="BM205" t="str">
        <f>IF('1. Live'!BM205='check-Jul25'!BM205,"",'1. Live'!BM205-'check-Jul25'!BM205)</f>
        <v/>
      </c>
      <c r="BN205" t="str">
        <f>IF('1. Live'!BN205='check-Jul25'!BN205,"",'1. Live'!BN205-'check-Jul25'!BN205)</f>
        <v/>
      </c>
      <c r="BO205" t="str">
        <f>IF('1. Live'!BO205='check-Jul25'!BO205,"",'1. Live'!BO205-'check-Jul25'!BO205)</f>
        <v/>
      </c>
      <c r="BP205" t="str">
        <f>IF('1. Live'!BP205='check-Jul25'!BP205,"",'1. Live'!BP205-'check-Jul25'!BP205)</f>
        <v/>
      </c>
      <c r="BQ205" t="str">
        <f>IF('1. Live'!BQ205='check-Jul25'!BQ205,"",'1. Live'!BQ205-'check-Jul25'!BQ205)</f>
        <v/>
      </c>
      <c r="BR205" t="str">
        <f>IF('1. Live'!BR205='check-Jul25'!BR205,"",'1. Live'!BR205-'check-Jul25'!BR205)</f>
        <v/>
      </c>
      <c r="BS205" t="str">
        <f>IF('1. Live'!BS205='check-Jul25'!BS205,"",'1. Live'!BS205-'check-Jul25'!BS205)</f>
        <v/>
      </c>
      <c r="BT205" t="str">
        <f>IF('1. Live'!BT205='check-Jul25'!BT205,"",'1. Live'!BT205-'check-Jul25'!BT205)</f>
        <v/>
      </c>
      <c r="BU205" t="str">
        <f>IF('1. Live'!BU205='check-Jul25'!BU205,"",'1. Live'!BU205-'check-Jul25'!BU205)</f>
        <v/>
      </c>
      <c r="BV205" t="str">
        <f>IF('1. Live'!BV205='check-Jul25'!BV205,"",'1. Live'!BV205-'check-Jul25'!BV205)</f>
        <v/>
      </c>
      <c r="BW205" t="str">
        <f>IF('1. Live'!BW205='check-Jul25'!BW205,"",'1. Live'!BW205-'check-Jul25'!BW205)</f>
        <v/>
      </c>
      <c r="BX205" t="str">
        <f>IF('1. Live'!BX205='check-Jul25'!BX205,"",'1. Live'!BX205-'check-Jul25'!BX205)</f>
        <v/>
      </c>
      <c r="BY205" t="str">
        <f>IF('1. Live'!BY205='check-Jul25'!BY205,"",'1. Live'!BY205-'check-Jul25'!BY205)</f>
        <v/>
      </c>
      <c r="BZ205" t="str">
        <f>IF('1. Live'!BZ205='check-Jul25'!BZ205,"",'1. Live'!BZ205-'check-Jul25'!BZ205)</f>
        <v/>
      </c>
      <c r="CA205" t="str">
        <f>IF('1. Live'!CA205='check-Jul25'!CA205,"",'1. Live'!CA205-'check-Jul25'!CA205)</f>
        <v/>
      </c>
      <c r="CB205" t="str">
        <f>IF('1. Live'!CB205='check-Jul25'!CB205,"",'1. Live'!CB205-'check-Jul25'!CB205)</f>
        <v/>
      </c>
      <c r="CC205" t="str">
        <f>IF('1. Live'!CC205='check-Jul25'!CC205,"",'1. Live'!CC205-'check-Jul25'!CC205)</f>
        <v/>
      </c>
      <c r="CD205" t="str">
        <f>IF('1. Live'!CD205='check-Jul25'!CD205,"",'1. Live'!CD205-'check-Jul25'!CD205)</f>
        <v/>
      </c>
      <c r="CE205" t="str">
        <f>IF('1. Live'!CE205='check-Jul25'!CE205,"",'1. Live'!CE205-'check-Jul25'!CE205)</f>
        <v/>
      </c>
      <c r="CF205" t="str">
        <f>IF('1. Live'!CF205='check-Jul25'!CF205,"",'1. Live'!CF205-'check-Jul25'!CF205)</f>
        <v/>
      </c>
      <c r="CG205" t="str">
        <f>IF('1. Live'!CG205='check-Jul25'!CG205,"",'1. Live'!CG205-'check-Jul25'!CG205)</f>
        <v/>
      </c>
      <c r="CH205" t="str">
        <f>IF('1. Live'!CH205='check-Jul25'!CH205,"",'1. Live'!CH205-'check-Jul25'!CH205)</f>
        <v/>
      </c>
      <c r="CI205" t="str">
        <f>IF('1. Live'!CI205='check-Jul25'!CI205,"",'1. Live'!CI205-'check-Jul25'!CI205)</f>
        <v/>
      </c>
      <c r="CJ205" t="str">
        <f>IF('1. Live'!CJ205='check-Jul25'!CJ205,"",'1. Live'!CJ205-'check-Jul25'!CJ205)</f>
        <v/>
      </c>
      <c r="CK205" t="str">
        <f>IF('1. Live'!CK205='check-Jul25'!CK205,"",'1. Live'!CK205-'check-Jul25'!CK205)</f>
        <v/>
      </c>
      <c r="CL205" t="str">
        <f>IF('1. Live'!CL205='check-Jul25'!CL205,"",'1. Live'!CL205-'check-Jul25'!CL205)</f>
        <v/>
      </c>
      <c r="CM205" t="str">
        <f>IF('1. Live'!CM205='check-Jul25'!CM205,"",'1. Live'!CM205-'check-Jul25'!CM205)</f>
        <v/>
      </c>
      <c r="CN205" t="str">
        <f>IF('1. Live'!CN205='check-Jul25'!CN205,"",'1. Live'!CN205-'check-Jul25'!CN205)</f>
        <v/>
      </c>
      <c r="CO205" t="str">
        <f>IF('1. Live'!CO205='check-Jul25'!CO205,"",'1. Live'!CO205-'check-Jul25'!CO205)</f>
        <v/>
      </c>
      <c r="CP205" t="str">
        <f>IF('1. Live'!CP205='check-Jul25'!CP205,"",'1. Live'!CP205-'check-Jul25'!CP205)</f>
        <v/>
      </c>
      <c r="CQ205" t="str">
        <f>IF('1. Live'!CQ205='check-Jul25'!CQ205,"",'1. Live'!CQ205-'check-Jul25'!CQ205)</f>
        <v/>
      </c>
      <c r="CR205" t="str">
        <f>IF('1. Live'!CR205='check-Jul25'!CR205,"",'1. Live'!CR205-'check-Jul25'!CR205)</f>
        <v/>
      </c>
      <c r="CS205" t="str">
        <f>IF('1. Live'!CS205='check-Jul25'!CS205,"",'1. Live'!CS205-'check-Jul25'!CS205)</f>
        <v/>
      </c>
      <c r="CT205" t="str">
        <f>IF('1. Live'!CT205='check-Jul25'!CT205,"",'1. Live'!CT205-'check-Jul25'!CT205)</f>
        <v/>
      </c>
      <c r="CU205" t="str">
        <f>IF('1. Live'!CU205='check-Jul25'!CU205,"",'1. Live'!CU205-'check-Jul25'!CU205)</f>
        <v/>
      </c>
      <c r="CV205" t="str">
        <f>IF('1. Live'!CV205='check-Jul25'!CV205,"",'1. Live'!CV205-'check-Jul25'!CV205)</f>
        <v/>
      </c>
      <c r="CW205" t="str">
        <f>IF('1. Live'!CW205='check-Jul25'!CW205,"",'1. Live'!CW205-'check-Jul25'!CW205)</f>
        <v/>
      </c>
    </row>
    <row r="206" spans="10:101">
      <c r="J206" t="str">
        <f>IF('1. Live'!J206='check-Jul25'!J206,"",'1. Live'!J206-'check-Jul25'!J206)</f>
        <v/>
      </c>
      <c r="K206" t="str">
        <f>IF('1. Live'!K206='check-Jul25'!K206,"",'1. Live'!K206-'check-Jul25'!K206)</f>
        <v/>
      </c>
      <c r="L206" t="str">
        <f>IF('1. Live'!L206='check-Jul25'!L206,"",'1. Live'!L206-'check-Jul25'!L206)</f>
        <v/>
      </c>
      <c r="M206" t="str">
        <f>IF('1. Live'!M206='check-Jul25'!M206,"",'1. Live'!M206-'check-Jul25'!M206)</f>
        <v/>
      </c>
      <c r="N206" t="str">
        <f>IF('1. Live'!N206='check-Jul25'!N206,"",'1. Live'!N206-'check-Jul25'!N206)</f>
        <v/>
      </c>
      <c r="O206" t="str">
        <f>IF('1. Live'!O206='check-Jul25'!O206,"",'1. Live'!O206-'check-Jul25'!O206)</f>
        <v/>
      </c>
      <c r="P206" t="str">
        <f>IF('1. Live'!P206='check-Jul25'!P206,"",'1. Live'!P206-'check-Jul25'!P206)</f>
        <v/>
      </c>
      <c r="Q206" t="str">
        <f>IF('1. Live'!Q206='check-Jul25'!Q206,"",'1. Live'!Q206-'check-Jul25'!Q206)</f>
        <v/>
      </c>
      <c r="R206" t="str">
        <f>IF('1. Live'!R206='check-Jul25'!R206,"",'1. Live'!R206-'check-Jul25'!R206)</f>
        <v/>
      </c>
      <c r="S206" t="str">
        <f>IF('1. Live'!S206='check-Jul25'!S206,"",'1. Live'!S206-'check-Jul25'!S206)</f>
        <v/>
      </c>
      <c r="T206" t="str">
        <f>IF('1. Live'!T206='check-Jul25'!T206,"",'1. Live'!T206-'check-Jul25'!T206)</f>
        <v/>
      </c>
      <c r="U206" t="str">
        <f>IF('1. Live'!U206='check-Jul25'!U206,"",'1. Live'!U206-'check-Jul25'!U206)</f>
        <v/>
      </c>
      <c r="V206" t="str">
        <f>IF('1. Live'!V206='check-Jul25'!V206,"",'1. Live'!V206-'check-Jul25'!V206)</f>
        <v/>
      </c>
      <c r="W206" t="str">
        <f>IF('1. Live'!W206='check-Jul25'!W206,"",'1. Live'!W206-'check-Jul25'!W206)</f>
        <v/>
      </c>
      <c r="X206" t="str">
        <f>IF('1. Live'!X206='check-Jul25'!X206,"",'1. Live'!X206-'check-Jul25'!X206)</f>
        <v/>
      </c>
      <c r="Y206" t="str">
        <f>IF('1. Live'!Y206='check-Jul25'!Y206,"",'1. Live'!Y206-'check-Jul25'!Y206)</f>
        <v/>
      </c>
      <c r="Z206" t="str">
        <f>IF('1. Live'!Z206='check-Jul25'!Z206,"",'1. Live'!Z206-'check-Jul25'!Z206)</f>
        <v/>
      </c>
      <c r="AA206" t="str">
        <f>IF('1. Live'!AA206='check-Jul25'!AA206,"",'1. Live'!AA206-'check-Jul25'!AA206)</f>
        <v/>
      </c>
      <c r="AB206" t="str">
        <f>IF('1. Live'!AB206='check-Jul25'!AB206,"",'1. Live'!AB206-'check-Jul25'!AB206)</f>
        <v/>
      </c>
      <c r="AC206" t="str">
        <f>IF('1. Live'!AC206='check-Jul25'!AC206,"",'1. Live'!AC206-'check-Jul25'!AC206)</f>
        <v/>
      </c>
      <c r="AD206" t="str">
        <f>IF('1. Live'!AD206='check-Jul25'!AD206,"",'1. Live'!AD206-'check-Jul25'!AD206)</f>
        <v/>
      </c>
      <c r="AE206" t="str">
        <f>IF('1. Live'!AE206='check-Jul25'!AE206,"",'1. Live'!AE206-'check-Jul25'!AE206)</f>
        <v/>
      </c>
      <c r="AF206" t="str">
        <f>IF('1. Live'!AF206='check-Jul25'!AF206,"",'1. Live'!AF206-'check-Jul25'!AF206)</f>
        <v/>
      </c>
      <c r="AG206" t="str">
        <f>IF('1. Live'!AG206='check-Jul25'!AG206,"",'1. Live'!AG206-'check-Jul25'!AG206)</f>
        <v/>
      </c>
      <c r="AH206" t="str">
        <f>IF('1. Live'!AH206='check-Jul25'!AH206,"",'1. Live'!AH206-'check-Jul25'!AH206)</f>
        <v/>
      </c>
      <c r="AI206" t="str">
        <f>IF('1. Live'!AI206='check-Jul25'!AI206,"",'1. Live'!AI206-'check-Jul25'!AI206)</f>
        <v/>
      </c>
      <c r="AJ206" t="str">
        <f>IF('1. Live'!AJ206='check-Jul25'!AJ206,"",'1. Live'!AJ206-'check-Jul25'!AJ206)</f>
        <v/>
      </c>
      <c r="AK206" t="str">
        <f>IF('1. Live'!AK206='check-Jul25'!AK206,"",'1. Live'!AK206-'check-Jul25'!AK206)</f>
        <v/>
      </c>
      <c r="AL206" t="str">
        <f>IF('1. Live'!AL206='check-Jul25'!AL206,"",'1. Live'!AL206-'check-Jul25'!AL206)</f>
        <v/>
      </c>
      <c r="AM206" t="str">
        <f>IF('1. Live'!AM206='check-Jul25'!AM206,"",'1. Live'!AM206-'check-Jul25'!AM206)</f>
        <v/>
      </c>
      <c r="AN206" t="str">
        <f>IF('1. Live'!AN206='check-Jul25'!AN206,"",'1. Live'!AN206-'check-Jul25'!AN206)</f>
        <v/>
      </c>
      <c r="AO206" t="str">
        <f>IF('1. Live'!AO206='check-Jul25'!AO206,"",'1. Live'!AO206-'check-Jul25'!AO206)</f>
        <v/>
      </c>
      <c r="AP206" t="str">
        <f>IF('1. Live'!AP206='check-Jul25'!AP206,"",'1. Live'!AP206-'check-Jul25'!AP206)</f>
        <v/>
      </c>
      <c r="AQ206" t="str">
        <f>IF('1. Live'!AQ206='check-Jul25'!AQ206,"",'1. Live'!AQ206-'check-Jul25'!AQ206)</f>
        <v/>
      </c>
      <c r="AR206" t="str">
        <f>IF('1. Live'!AR206='check-Jul25'!AR206,"",'1. Live'!AR206-'check-Jul25'!AR206)</f>
        <v/>
      </c>
      <c r="AS206" t="str">
        <f>IF('1. Live'!AS206='check-Jul25'!AS206,"",'1. Live'!AS206-'check-Jul25'!AS206)</f>
        <v/>
      </c>
      <c r="AT206" t="str">
        <f>IF('1. Live'!AT206='check-Jul25'!AT206,"",'1. Live'!AT206-'check-Jul25'!AT206)</f>
        <v/>
      </c>
      <c r="AU206" t="str">
        <f>IF('1. Live'!AU206='check-Jul25'!AU206,"",'1. Live'!AU206-'check-Jul25'!AU206)</f>
        <v/>
      </c>
      <c r="AV206" t="str">
        <f>IF('1. Live'!AV206='check-Jul25'!AV206,"",'1. Live'!AV206-'check-Jul25'!AV206)</f>
        <v/>
      </c>
      <c r="AW206" t="str">
        <f>IF('1. Live'!AW206='check-Jul25'!AW206,"",'1. Live'!AW206-'check-Jul25'!AW206)</f>
        <v/>
      </c>
      <c r="AX206" t="str">
        <f>IF('1. Live'!AX206='check-Jul25'!AX206,"",'1. Live'!AX206-'check-Jul25'!AX206)</f>
        <v/>
      </c>
      <c r="AY206" t="str">
        <f>IF('1. Live'!AY206='check-Jul25'!AY206,"",'1. Live'!AY206-'check-Jul25'!AY206)</f>
        <v/>
      </c>
      <c r="AZ206" t="str">
        <f>IF('1. Live'!AZ206='check-Jul25'!AZ206,"",'1. Live'!AZ206-'check-Jul25'!AZ206)</f>
        <v/>
      </c>
      <c r="BA206" t="str">
        <f>IF('1. Live'!BA206='check-Jul25'!BA206,"",'1. Live'!BA206-'check-Jul25'!BA206)</f>
        <v/>
      </c>
      <c r="BB206" t="str">
        <f>IF('1. Live'!BB206='check-Jul25'!BB206,"",'1. Live'!BB206-'check-Jul25'!BB206)</f>
        <v/>
      </c>
      <c r="BC206" t="str">
        <f>IF('1. Live'!BC206='check-Jul25'!BC206,"",'1. Live'!BC206-'check-Jul25'!BC206)</f>
        <v/>
      </c>
      <c r="BD206" t="str">
        <f>IF('1. Live'!BD206='check-Jul25'!BD206,"",'1. Live'!BD206-'check-Jul25'!BD206)</f>
        <v/>
      </c>
      <c r="BE206" t="str">
        <f>IF('1. Live'!BE206='check-Jul25'!BE206,"",'1. Live'!BE206-'check-Jul25'!BE206)</f>
        <v/>
      </c>
      <c r="BF206" t="str">
        <f>IF('1. Live'!BF206='check-Jul25'!BF206,"",'1. Live'!BF206-'check-Jul25'!BF206)</f>
        <v/>
      </c>
      <c r="BG206" t="str">
        <f>IF('1. Live'!BG206='check-Jul25'!BG206,"",'1. Live'!BG206-'check-Jul25'!BG206)</f>
        <v/>
      </c>
      <c r="BH206" t="str">
        <f>IF('1. Live'!BH206='check-Jul25'!BH206,"",'1. Live'!BH206-'check-Jul25'!BH206)</f>
        <v/>
      </c>
      <c r="BI206" t="str">
        <f>IF('1. Live'!BI206='check-Jul25'!BI206,"",'1. Live'!BI206-'check-Jul25'!BI206)</f>
        <v/>
      </c>
      <c r="BJ206" t="str">
        <f>IF('1. Live'!BJ206='check-Jul25'!BJ206,"",'1. Live'!BJ206-'check-Jul25'!BJ206)</f>
        <v/>
      </c>
      <c r="BK206" t="str">
        <f>IF('1. Live'!BK206='check-Jul25'!BK206,"",'1. Live'!BK206-'check-Jul25'!BK206)</f>
        <v/>
      </c>
      <c r="BL206" t="str">
        <f>IF('1. Live'!BL206='check-Jul25'!BL206,"",'1. Live'!BL206-'check-Jul25'!BL206)</f>
        <v/>
      </c>
      <c r="BM206" t="str">
        <f>IF('1. Live'!BM206='check-Jul25'!BM206,"",'1. Live'!BM206-'check-Jul25'!BM206)</f>
        <v/>
      </c>
      <c r="BN206" t="str">
        <f>IF('1. Live'!BN206='check-Jul25'!BN206,"",'1. Live'!BN206-'check-Jul25'!BN206)</f>
        <v/>
      </c>
      <c r="BO206" t="str">
        <f>IF('1. Live'!BO206='check-Jul25'!BO206,"",'1. Live'!BO206-'check-Jul25'!BO206)</f>
        <v/>
      </c>
      <c r="BP206" t="str">
        <f>IF('1. Live'!BP206='check-Jul25'!BP206,"",'1. Live'!BP206-'check-Jul25'!BP206)</f>
        <v/>
      </c>
      <c r="BQ206" t="str">
        <f>IF('1. Live'!BQ206='check-Jul25'!BQ206,"",'1. Live'!BQ206-'check-Jul25'!BQ206)</f>
        <v/>
      </c>
      <c r="BR206" t="str">
        <f>IF('1. Live'!BR206='check-Jul25'!BR206,"",'1. Live'!BR206-'check-Jul25'!BR206)</f>
        <v/>
      </c>
      <c r="BS206" t="str">
        <f>IF('1. Live'!BS206='check-Jul25'!BS206,"",'1. Live'!BS206-'check-Jul25'!BS206)</f>
        <v/>
      </c>
      <c r="BT206" t="str">
        <f>IF('1. Live'!BT206='check-Jul25'!BT206,"",'1. Live'!BT206-'check-Jul25'!BT206)</f>
        <v/>
      </c>
      <c r="BU206" t="str">
        <f>IF('1. Live'!BU206='check-Jul25'!BU206,"",'1. Live'!BU206-'check-Jul25'!BU206)</f>
        <v/>
      </c>
      <c r="BV206" t="str">
        <f>IF('1. Live'!BV206='check-Jul25'!BV206,"",'1. Live'!BV206-'check-Jul25'!BV206)</f>
        <v/>
      </c>
      <c r="BW206" t="str">
        <f>IF('1. Live'!BW206='check-Jul25'!BW206,"",'1. Live'!BW206-'check-Jul25'!BW206)</f>
        <v/>
      </c>
      <c r="BX206" t="str">
        <f>IF('1. Live'!BX206='check-Jul25'!BX206,"",'1. Live'!BX206-'check-Jul25'!BX206)</f>
        <v/>
      </c>
      <c r="BY206" t="str">
        <f>IF('1. Live'!BY206='check-Jul25'!BY206,"",'1. Live'!BY206-'check-Jul25'!BY206)</f>
        <v/>
      </c>
      <c r="BZ206" t="str">
        <f>IF('1. Live'!BZ206='check-Jul25'!BZ206,"",'1. Live'!BZ206-'check-Jul25'!BZ206)</f>
        <v/>
      </c>
      <c r="CA206" t="str">
        <f>IF('1. Live'!CA206='check-Jul25'!CA206,"",'1. Live'!CA206-'check-Jul25'!CA206)</f>
        <v/>
      </c>
      <c r="CB206" t="str">
        <f>IF('1. Live'!CB206='check-Jul25'!CB206,"",'1. Live'!CB206-'check-Jul25'!CB206)</f>
        <v/>
      </c>
      <c r="CC206" t="str">
        <f>IF('1. Live'!CC206='check-Jul25'!CC206,"",'1. Live'!CC206-'check-Jul25'!CC206)</f>
        <v/>
      </c>
      <c r="CD206" t="str">
        <f>IF('1. Live'!CD206='check-Jul25'!CD206,"",'1. Live'!CD206-'check-Jul25'!CD206)</f>
        <v/>
      </c>
      <c r="CE206" t="str">
        <f>IF('1. Live'!CE206='check-Jul25'!CE206,"",'1. Live'!CE206-'check-Jul25'!CE206)</f>
        <v/>
      </c>
      <c r="CF206" t="str">
        <f>IF('1. Live'!CF206='check-Jul25'!CF206,"",'1. Live'!CF206-'check-Jul25'!CF206)</f>
        <v/>
      </c>
      <c r="CG206" t="str">
        <f>IF('1. Live'!CG206='check-Jul25'!CG206,"",'1. Live'!CG206-'check-Jul25'!CG206)</f>
        <v/>
      </c>
      <c r="CH206" t="str">
        <f>IF('1. Live'!CH206='check-Jul25'!CH206,"",'1. Live'!CH206-'check-Jul25'!CH206)</f>
        <v/>
      </c>
      <c r="CI206" t="str">
        <f>IF('1. Live'!CI206='check-Jul25'!CI206,"",'1. Live'!CI206-'check-Jul25'!CI206)</f>
        <v/>
      </c>
      <c r="CJ206" t="str">
        <f>IF('1. Live'!CJ206='check-Jul25'!CJ206,"",'1. Live'!CJ206-'check-Jul25'!CJ206)</f>
        <v/>
      </c>
      <c r="CK206" t="str">
        <f>IF('1. Live'!CK206='check-Jul25'!CK206,"",'1. Live'!CK206-'check-Jul25'!CK206)</f>
        <v/>
      </c>
      <c r="CL206" t="str">
        <f>IF('1. Live'!CL206='check-Jul25'!CL206,"",'1. Live'!CL206-'check-Jul25'!CL206)</f>
        <v/>
      </c>
      <c r="CM206" t="str">
        <f>IF('1. Live'!CM206='check-Jul25'!CM206,"",'1. Live'!CM206-'check-Jul25'!CM206)</f>
        <v/>
      </c>
      <c r="CN206" t="str">
        <f>IF('1. Live'!CN206='check-Jul25'!CN206,"",'1. Live'!CN206-'check-Jul25'!CN206)</f>
        <v/>
      </c>
      <c r="CO206" t="str">
        <f>IF('1. Live'!CO206='check-Jul25'!CO206,"",'1. Live'!CO206-'check-Jul25'!CO206)</f>
        <v/>
      </c>
      <c r="CP206" t="str">
        <f>IF('1. Live'!CP206='check-Jul25'!CP206,"",'1. Live'!CP206-'check-Jul25'!CP206)</f>
        <v/>
      </c>
      <c r="CQ206" t="str">
        <f>IF('1. Live'!CQ206='check-Jul25'!CQ206,"",'1. Live'!CQ206-'check-Jul25'!CQ206)</f>
        <v/>
      </c>
      <c r="CR206" t="str">
        <f>IF('1. Live'!CR206='check-Jul25'!CR206,"",'1. Live'!CR206-'check-Jul25'!CR206)</f>
        <v/>
      </c>
      <c r="CS206" t="str">
        <f>IF('1. Live'!CS206='check-Jul25'!CS206,"",'1. Live'!CS206-'check-Jul25'!CS206)</f>
        <v/>
      </c>
      <c r="CT206" t="str">
        <f>IF('1. Live'!CT206='check-Jul25'!CT206,"",'1. Live'!CT206-'check-Jul25'!CT206)</f>
        <v/>
      </c>
      <c r="CU206" t="str">
        <f>IF('1. Live'!CU206='check-Jul25'!CU206,"",'1. Live'!CU206-'check-Jul25'!CU206)</f>
        <v/>
      </c>
      <c r="CV206" t="str">
        <f>IF('1. Live'!CV206='check-Jul25'!CV206,"",'1. Live'!CV206-'check-Jul25'!CV206)</f>
        <v/>
      </c>
      <c r="CW206" t="str">
        <f>IF('1. Live'!CW206='check-Jul25'!CW206,"",'1. Live'!CW206-'check-Jul25'!CW206)</f>
        <v/>
      </c>
    </row>
    <row r="207" spans="10:101">
      <c r="J207" t="str">
        <f>IF('1. Live'!J207='check-Jul25'!J207,"",'1. Live'!J207-'check-Jul25'!J207)</f>
        <v/>
      </c>
      <c r="K207" t="str">
        <f>IF('1. Live'!K207='check-Jul25'!K207,"",'1. Live'!K207-'check-Jul25'!K207)</f>
        <v/>
      </c>
      <c r="L207" t="str">
        <f>IF('1. Live'!L207='check-Jul25'!L207,"",'1. Live'!L207-'check-Jul25'!L207)</f>
        <v/>
      </c>
      <c r="M207" t="str">
        <f>IF('1. Live'!M207='check-Jul25'!M207,"",'1. Live'!M207-'check-Jul25'!M207)</f>
        <v/>
      </c>
      <c r="N207" t="str">
        <f>IF('1. Live'!N207='check-Jul25'!N207,"",'1. Live'!N207-'check-Jul25'!N207)</f>
        <v/>
      </c>
      <c r="O207" t="str">
        <f>IF('1. Live'!O207='check-Jul25'!O207,"",'1. Live'!O207-'check-Jul25'!O207)</f>
        <v/>
      </c>
      <c r="P207" t="str">
        <f>IF('1. Live'!P207='check-Jul25'!P207,"",'1. Live'!P207-'check-Jul25'!P207)</f>
        <v/>
      </c>
      <c r="Q207" t="str">
        <f>IF('1. Live'!Q207='check-Jul25'!Q207,"",'1. Live'!Q207-'check-Jul25'!Q207)</f>
        <v/>
      </c>
      <c r="R207" t="str">
        <f>IF('1. Live'!R207='check-Jul25'!R207,"",'1. Live'!R207-'check-Jul25'!R207)</f>
        <v/>
      </c>
      <c r="S207" t="str">
        <f>IF('1. Live'!S207='check-Jul25'!S207,"",'1. Live'!S207-'check-Jul25'!S207)</f>
        <v/>
      </c>
      <c r="T207" t="str">
        <f>IF('1. Live'!T207='check-Jul25'!T207,"",'1. Live'!T207-'check-Jul25'!T207)</f>
        <v/>
      </c>
      <c r="U207" t="str">
        <f>IF('1. Live'!U207='check-Jul25'!U207,"",'1. Live'!U207-'check-Jul25'!U207)</f>
        <v/>
      </c>
      <c r="V207" t="str">
        <f>IF('1. Live'!V207='check-Jul25'!V207,"",'1. Live'!V207-'check-Jul25'!V207)</f>
        <v/>
      </c>
      <c r="W207" t="str">
        <f>IF('1. Live'!W207='check-Jul25'!W207,"",'1. Live'!W207-'check-Jul25'!W207)</f>
        <v/>
      </c>
      <c r="X207" t="str">
        <f>IF('1. Live'!X207='check-Jul25'!X207,"",'1. Live'!X207-'check-Jul25'!X207)</f>
        <v/>
      </c>
      <c r="Y207" t="str">
        <f>IF('1. Live'!Y207='check-Jul25'!Y207,"",'1. Live'!Y207-'check-Jul25'!Y207)</f>
        <v/>
      </c>
      <c r="Z207" t="str">
        <f>IF('1. Live'!Z207='check-Jul25'!Z207,"",'1. Live'!Z207-'check-Jul25'!Z207)</f>
        <v/>
      </c>
      <c r="AA207" t="str">
        <f>IF('1. Live'!AA207='check-Jul25'!AA207,"",'1. Live'!AA207-'check-Jul25'!AA207)</f>
        <v/>
      </c>
      <c r="AB207" t="str">
        <f>IF('1. Live'!AB207='check-Jul25'!AB207,"",'1. Live'!AB207-'check-Jul25'!AB207)</f>
        <v/>
      </c>
      <c r="AC207" t="str">
        <f>IF('1. Live'!AC207='check-Jul25'!AC207,"",'1. Live'!AC207-'check-Jul25'!AC207)</f>
        <v/>
      </c>
      <c r="AD207" t="str">
        <f>IF('1. Live'!AD207='check-Jul25'!AD207,"",'1. Live'!AD207-'check-Jul25'!AD207)</f>
        <v/>
      </c>
      <c r="AE207" t="str">
        <f>IF('1. Live'!AE207='check-Jul25'!AE207,"",'1. Live'!AE207-'check-Jul25'!AE207)</f>
        <v/>
      </c>
      <c r="AF207" t="str">
        <f>IF('1. Live'!AF207='check-Jul25'!AF207,"",'1. Live'!AF207-'check-Jul25'!AF207)</f>
        <v/>
      </c>
      <c r="AG207" t="str">
        <f>IF('1. Live'!AG207='check-Jul25'!AG207,"",'1. Live'!AG207-'check-Jul25'!AG207)</f>
        <v/>
      </c>
      <c r="AH207" t="str">
        <f>IF('1. Live'!AH207='check-Jul25'!AH207,"",'1. Live'!AH207-'check-Jul25'!AH207)</f>
        <v/>
      </c>
      <c r="AI207" t="str">
        <f>IF('1. Live'!AI207='check-Jul25'!AI207,"",'1. Live'!AI207-'check-Jul25'!AI207)</f>
        <v/>
      </c>
      <c r="AJ207" t="str">
        <f>IF('1. Live'!AJ207='check-Jul25'!AJ207,"",'1. Live'!AJ207-'check-Jul25'!AJ207)</f>
        <v/>
      </c>
      <c r="AK207" t="str">
        <f>IF('1. Live'!AK207='check-Jul25'!AK207,"",'1. Live'!AK207-'check-Jul25'!AK207)</f>
        <v/>
      </c>
      <c r="AL207" t="str">
        <f>IF('1. Live'!AL207='check-Jul25'!AL207,"",'1. Live'!AL207-'check-Jul25'!AL207)</f>
        <v/>
      </c>
      <c r="AM207" t="str">
        <f>IF('1. Live'!AM207='check-Jul25'!AM207,"",'1. Live'!AM207-'check-Jul25'!AM207)</f>
        <v/>
      </c>
      <c r="AN207" t="str">
        <f>IF('1. Live'!AN207='check-Jul25'!AN207,"",'1. Live'!AN207-'check-Jul25'!AN207)</f>
        <v/>
      </c>
      <c r="AO207" t="str">
        <f>IF('1. Live'!AO207='check-Jul25'!AO207,"",'1. Live'!AO207-'check-Jul25'!AO207)</f>
        <v/>
      </c>
      <c r="AP207" t="str">
        <f>IF('1. Live'!AP207='check-Jul25'!AP207,"",'1. Live'!AP207-'check-Jul25'!AP207)</f>
        <v/>
      </c>
      <c r="AQ207" t="str">
        <f>IF('1. Live'!AQ207='check-Jul25'!AQ207,"",'1. Live'!AQ207-'check-Jul25'!AQ207)</f>
        <v/>
      </c>
      <c r="AR207" t="str">
        <f>IF('1. Live'!AR207='check-Jul25'!AR207,"",'1. Live'!AR207-'check-Jul25'!AR207)</f>
        <v/>
      </c>
      <c r="AS207" t="str">
        <f>IF('1. Live'!AS207='check-Jul25'!AS207,"",'1. Live'!AS207-'check-Jul25'!AS207)</f>
        <v/>
      </c>
      <c r="AT207" t="str">
        <f>IF('1. Live'!AT207='check-Jul25'!AT207,"",'1. Live'!AT207-'check-Jul25'!AT207)</f>
        <v/>
      </c>
      <c r="AU207" t="str">
        <f>IF('1. Live'!AU207='check-Jul25'!AU207,"",'1. Live'!AU207-'check-Jul25'!AU207)</f>
        <v/>
      </c>
      <c r="AV207" t="str">
        <f>IF('1. Live'!AV207='check-Jul25'!AV207,"",'1. Live'!AV207-'check-Jul25'!AV207)</f>
        <v/>
      </c>
      <c r="AW207" t="str">
        <f>IF('1. Live'!AW207='check-Jul25'!AW207,"",'1. Live'!AW207-'check-Jul25'!AW207)</f>
        <v/>
      </c>
      <c r="AX207" t="str">
        <f>IF('1. Live'!AX207='check-Jul25'!AX207,"",'1. Live'!AX207-'check-Jul25'!AX207)</f>
        <v/>
      </c>
      <c r="AY207" t="str">
        <f>IF('1. Live'!AY207='check-Jul25'!AY207,"",'1. Live'!AY207-'check-Jul25'!AY207)</f>
        <v/>
      </c>
      <c r="AZ207" t="str">
        <f>IF('1. Live'!AZ207='check-Jul25'!AZ207,"",'1. Live'!AZ207-'check-Jul25'!AZ207)</f>
        <v/>
      </c>
      <c r="BA207" t="str">
        <f>IF('1. Live'!BA207='check-Jul25'!BA207,"",'1. Live'!BA207-'check-Jul25'!BA207)</f>
        <v/>
      </c>
      <c r="BB207" t="str">
        <f>IF('1. Live'!BB207='check-Jul25'!BB207,"",'1. Live'!BB207-'check-Jul25'!BB207)</f>
        <v/>
      </c>
      <c r="BC207" t="str">
        <f>IF('1. Live'!BC207='check-Jul25'!BC207,"",'1. Live'!BC207-'check-Jul25'!BC207)</f>
        <v/>
      </c>
      <c r="BD207" t="str">
        <f>IF('1. Live'!BD207='check-Jul25'!BD207,"",'1. Live'!BD207-'check-Jul25'!BD207)</f>
        <v/>
      </c>
      <c r="BE207" t="str">
        <f>IF('1. Live'!BE207='check-Jul25'!BE207,"",'1. Live'!BE207-'check-Jul25'!BE207)</f>
        <v/>
      </c>
      <c r="BF207" t="str">
        <f>IF('1. Live'!BF207='check-Jul25'!BF207,"",'1. Live'!BF207-'check-Jul25'!BF207)</f>
        <v/>
      </c>
      <c r="BG207" t="str">
        <f>IF('1. Live'!BG207='check-Jul25'!BG207,"",'1. Live'!BG207-'check-Jul25'!BG207)</f>
        <v/>
      </c>
      <c r="BH207" t="str">
        <f>IF('1. Live'!BH207='check-Jul25'!BH207,"",'1. Live'!BH207-'check-Jul25'!BH207)</f>
        <v/>
      </c>
      <c r="BI207" t="str">
        <f>IF('1. Live'!BI207='check-Jul25'!BI207,"",'1. Live'!BI207-'check-Jul25'!BI207)</f>
        <v/>
      </c>
      <c r="BJ207" t="str">
        <f>IF('1. Live'!BJ207='check-Jul25'!BJ207,"",'1. Live'!BJ207-'check-Jul25'!BJ207)</f>
        <v/>
      </c>
      <c r="BK207" t="str">
        <f>IF('1. Live'!BK207='check-Jul25'!BK207,"",'1. Live'!BK207-'check-Jul25'!BK207)</f>
        <v/>
      </c>
      <c r="BL207" t="str">
        <f>IF('1. Live'!BL207='check-Jul25'!BL207,"",'1. Live'!BL207-'check-Jul25'!BL207)</f>
        <v/>
      </c>
      <c r="BM207" t="str">
        <f>IF('1. Live'!BM207='check-Jul25'!BM207,"",'1. Live'!BM207-'check-Jul25'!BM207)</f>
        <v/>
      </c>
      <c r="BN207" t="str">
        <f>IF('1. Live'!BN207='check-Jul25'!BN207,"",'1. Live'!BN207-'check-Jul25'!BN207)</f>
        <v/>
      </c>
      <c r="BO207" t="str">
        <f>IF('1. Live'!BO207='check-Jul25'!BO207,"",'1. Live'!BO207-'check-Jul25'!BO207)</f>
        <v/>
      </c>
      <c r="BP207" t="str">
        <f>IF('1. Live'!BP207='check-Jul25'!BP207,"",'1. Live'!BP207-'check-Jul25'!BP207)</f>
        <v/>
      </c>
      <c r="BQ207" t="str">
        <f>IF('1. Live'!BQ207='check-Jul25'!BQ207,"",'1. Live'!BQ207-'check-Jul25'!BQ207)</f>
        <v/>
      </c>
      <c r="BR207" t="str">
        <f>IF('1. Live'!BR207='check-Jul25'!BR207,"",'1. Live'!BR207-'check-Jul25'!BR207)</f>
        <v/>
      </c>
      <c r="BS207" t="str">
        <f>IF('1. Live'!BS207='check-Jul25'!BS207,"",'1. Live'!BS207-'check-Jul25'!BS207)</f>
        <v/>
      </c>
      <c r="BT207" t="str">
        <f>IF('1. Live'!BT207='check-Jul25'!BT207,"",'1. Live'!BT207-'check-Jul25'!BT207)</f>
        <v/>
      </c>
      <c r="BU207" t="str">
        <f>IF('1. Live'!BU207='check-Jul25'!BU207,"",'1. Live'!BU207-'check-Jul25'!BU207)</f>
        <v/>
      </c>
      <c r="BV207" t="str">
        <f>IF('1. Live'!BV207='check-Jul25'!BV207,"",'1. Live'!BV207-'check-Jul25'!BV207)</f>
        <v/>
      </c>
      <c r="BW207" t="str">
        <f>IF('1. Live'!BW207='check-Jul25'!BW207,"",'1. Live'!BW207-'check-Jul25'!BW207)</f>
        <v/>
      </c>
      <c r="BX207" t="str">
        <f>IF('1. Live'!BX207='check-Jul25'!BX207,"",'1. Live'!BX207-'check-Jul25'!BX207)</f>
        <v/>
      </c>
      <c r="BY207" t="str">
        <f>IF('1. Live'!BY207='check-Jul25'!BY207,"",'1. Live'!BY207-'check-Jul25'!BY207)</f>
        <v/>
      </c>
      <c r="BZ207" t="str">
        <f>IF('1. Live'!BZ207='check-Jul25'!BZ207,"",'1. Live'!BZ207-'check-Jul25'!BZ207)</f>
        <v/>
      </c>
      <c r="CA207" t="str">
        <f>IF('1. Live'!CA207='check-Jul25'!CA207,"",'1. Live'!CA207-'check-Jul25'!CA207)</f>
        <v/>
      </c>
      <c r="CB207" t="str">
        <f>IF('1. Live'!CB207='check-Jul25'!CB207,"",'1. Live'!CB207-'check-Jul25'!CB207)</f>
        <v/>
      </c>
      <c r="CC207" t="str">
        <f>IF('1. Live'!CC207='check-Jul25'!CC207,"",'1. Live'!CC207-'check-Jul25'!CC207)</f>
        <v/>
      </c>
      <c r="CD207" t="str">
        <f>IF('1. Live'!CD207='check-Jul25'!CD207,"",'1. Live'!CD207-'check-Jul25'!CD207)</f>
        <v/>
      </c>
      <c r="CE207" t="str">
        <f>IF('1. Live'!CE207='check-Jul25'!CE207,"",'1. Live'!CE207-'check-Jul25'!CE207)</f>
        <v/>
      </c>
      <c r="CF207" t="str">
        <f>IF('1. Live'!CF207='check-Jul25'!CF207,"",'1. Live'!CF207-'check-Jul25'!CF207)</f>
        <v/>
      </c>
      <c r="CG207" t="str">
        <f>IF('1. Live'!CG207='check-Jul25'!CG207,"",'1. Live'!CG207-'check-Jul25'!CG207)</f>
        <v/>
      </c>
      <c r="CH207" t="str">
        <f>IF('1. Live'!CH207='check-Jul25'!CH207,"",'1. Live'!CH207-'check-Jul25'!CH207)</f>
        <v/>
      </c>
      <c r="CI207" t="str">
        <f>IF('1. Live'!CI207='check-Jul25'!CI207,"",'1. Live'!CI207-'check-Jul25'!CI207)</f>
        <v/>
      </c>
      <c r="CJ207" t="str">
        <f>IF('1. Live'!CJ207='check-Jul25'!CJ207,"",'1. Live'!CJ207-'check-Jul25'!CJ207)</f>
        <v/>
      </c>
      <c r="CK207" t="str">
        <f>IF('1. Live'!CK207='check-Jul25'!CK207,"",'1. Live'!CK207-'check-Jul25'!CK207)</f>
        <v/>
      </c>
      <c r="CL207" t="str">
        <f>IF('1. Live'!CL207='check-Jul25'!CL207,"",'1. Live'!CL207-'check-Jul25'!CL207)</f>
        <v/>
      </c>
      <c r="CM207" t="str">
        <f>IF('1. Live'!CM207='check-Jul25'!CM207,"",'1. Live'!CM207-'check-Jul25'!CM207)</f>
        <v/>
      </c>
      <c r="CN207" t="str">
        <f>IF('1. Live'!CN207='check-Jul25'!CN207,"",'1. Live'!CN207-'check-Jul25'!CN207)</f>
        <v/>
      </c>
      <c r="CO207" t="str">
        <f>IF('1. Live'!CO207='check-Jul25'!CO207,"",'1. Live'!CO207-'check-Jul25'!CO207)</f>
        <v/>
      </c>
      <c r="CP207" t="str">
        <f>IF('1. Live'!CP207='check-Jul25'!CP207,"",'1. Live'!CP207-'check-Jul25'!CP207)</f>
        <v/>
      </c>
      <c r="CQ207" t="str">
        <f>IF('1. Live'!CQ207='check-Jul25'!CQ207,"",'1. Live'!CQ207-'check-Jul25'!CQ207)</f>
        <v/>
      </c>
      <c r="CR207" t="str">
        <f>IF('1. Live'!CR207='check-Jul25'!CR207,"",'1. Live'!CR207-'check-Jul25'!CR207)</f>
        <v/>
      </c>
      <c r="CS207" t="str">
        <f>IF('1. Live'!CS207='check-Jul25'!CS207,"",'1. Live'!CS207-'check-Jul25'!CS207)</f>
        <v/>
      </c>
      <c r="CT207" t="str">
        <f>IF('1. Live'!CT207='check-Jul25'!CT207,"",'1. Live'!CT207-'check-Jul25'!CT207)</f>
        <v/>
      </c>
      <c r="CU207" t="str">
        <f>IF('1. Live'!CU207='check-Jul25'!CU207,"",'1. Live'!CU207-'check-Jul25'!CU207)</f>
        <v/>
      </c>
      <c r="CV207" t="str">
        <f>IF('1. Live'!CV207='check-Jul25'!CV207,"",'1. Live'!CV207-'check-Jul25'!CV207)</f>
        <v/>
      </c>
      <c r="CW207" t="str">
        <f>IF('1. Live'!CW207='check-Jul25'!CW207,"",'1. Live'!CW207-'check-Jul25'!CW207)</f>
        <v/>
      </c>
    </row>
    <row r="208" spans="10:101">
      <c r="J208" t="str">
        <f>IF('1. Live'!J208='check-Jul25'!J208,"",'1. Live'!J208-'check-Jul25'!J208)</f>
        <v/>
      </c>
      <c r="K208" t="str">
        <f>IF('1. Live'!K208='check-Jul25'!K208,"",'1. Live'!K208-'check-Jul25'!K208)</f>
        <v/>
      </c>
      <c r="L208" t="str">
        <f>IF('1. Live'!L208='check-Jul25'!L208,"",'1. Live'!L208-'check-Jul25'!L208)</f>
        <v/>
      </c>
      <c r="M208" t="str">
        <f>IF('1. Live'!M208='check-Jul25'!M208,"",'1. Live'!M208-'check-Jul25'!M208)</f>
        <v/>
      </c>
      <c r="N208" t="str">
        <f>IF('1. Live'!N208='check-Jul25'!N208,"",'1. Live'!N208-'check-Jul25'!N208)</f>
        <v/>
      </c>
      <c r="O208" t="str">
        <f>IF('1. Live'!O208='check-Jul25'!O208,"",'1. Live'!O208-'check-Jul25'!O208)</f>
        <v/>
      </c>
      <c r="P208" t="str">
        <f>IF('1. Live'!P208='check-Jul25'!P208,"",'1. Live'!P208-'check-Jul25'!P208)</f>
        <v/>
      </c>
      <c r="Q208" t="str">
        <f>IF('1. Live'!Q208='check-Jul25'!Q208,"",'1. Live'!Q208-'check-Jul25'!Q208)</f>
        <v/>
      </c>
      <c r="R208" t="str">
        <f>IF('1. Live'!R208='check-Jul25'!R208,"",'1. Live'!R208-'check-Jul25'!R208)</f>
        <v/>
      </c>
      <c r="S208" t="str">
        <f>IF('1. Live'!S208='check-Jul25'!S208,"",'1. Live'!S208-'check-Jul25'!S208)</f>
        <v/>
      </c>
      <c r="T208" t="str">
        <f>IF('1. Live'!T208='check-Jul25'!T208,"",'1. Live'!T208-'check-Jul25'!T208)</f>
        <v/>
      </c>
      <c r="U208" t="str">
        <f>IF('1. Live'!U208='check-Jul25'!U208,"",'1. Live'!U208-'check-Jul25'!U208)</f>
        <v/>
      </c>
      <c r="V208" t="str">
        <f>IF('1. Live'!V208='check-Jul25'!V208,"",'1. Live'!V208-'check-Jul25'!V208)</f>
        <v/>
      </c>
      <c r="W208" t="str">
        <f>IF('1. Live'!W208='check-Jul25'!W208,"",'1. Live'!W208-'check-Jul25'!W208)</f>
        <v/>
      </c>
      <c r="X208" t="str">
        <f>IF('1. Live'!X208='check-Jul25'!X208,"",'1. Live'!X208-'check-Jul25'!X208)</f>
        <v/>
      </c>
      <c r="Y208" t="str">
        <f>IF('1. Live'!Y208='check-Jul25'!Y208,"",'1. Live'!Y208-'check-Jul25'!Y208)</f>
        <v/>
      </c>
      <c r="Z208" t="str">
        <f>IF('1. Live'!Z208='check-Jul25'!Z208,"",'1. Live'!Z208-'check-Jul25'!Z208)</f>
        <v/>
      </c>
      <c r="AA208" t="str">
        <f>IF('1. Live'!AA208='check-Jul25'!AA208,"",'1. Live'!AA208-'check-Jul25'!AA208)</f>
        <v/>
      </c>
      <c r="AB208" t="str">
        <f>IF('1. Live'!AB208='check-Jul25'!AB208,"",'1. Live'!AB208-'check-Jul25'!AB208)</f>
        <v/>
      </c>
      <c r="AC208" t="str">
        <f>IF('1. Live'!AC208='check-Jul25'!AC208,"",'1. Live'!AC208-'check-Jul25'!AC208)</f>
        <v/>
      </c>
      <c r="AD208" t="str">
        <f>IF('1. Live'!AD208='check-Jul25'!AD208,"",'1. Live'!AD208-'check-Jul25'!AD208)</f>
        <v/>
      </c>
      <c r="AE208" t="str">
        <f>IF('1. Live'!AE208='check-Jul25'!AE208,"",'1. Live'!AE208-'check-Jul25'!AE208)</f>
        <v/>
      </c>
      <c r="AF208" t="str">
        <f>IF('1. Live'!AF208='check-Jul25'!AF208,"",'1. Live'!AF208-'check-Jul25'!AF208)</f>
        <v/>
      </c>
      <c r="AG208" t="str">
        <f>IF('1. Live'!AG208='check-Jul25'!AG208,"",'1. Live'!AG208-'check-Jul25'!AG208)</f>
        <v/>
      </c>
      <c r="AH208" t="str">
        <f>IF('1. Live'!AH208='check-Jul25'!AH208,"",'1. Live'!AH208-'check-Jul25'!AH208)</f>
        <v/>
      </c>
      <c r="AI208" t="str">
        <f>IF('1. Live'!AI208='check-Jul25'!AI208,"",'1. Live'!AI208-'check-Jul25'!AI208)</f>
        <v/>
      </c>
      <c r="AJ208" t="str">
        <f>IF('1. Live'!AJ208='check-Jul25'!AJ208,"",'1. Live'!AJ208-'check-Jul25'!AJ208)</f>
        <v/>
      </c>
      <c r="AK208" t="str">
        <f>IF('1. Live'!AK208='check-Jul25'!AK208,"",'1. Live'!AK208-'check-Jul25'!AK208)</f>
        <v/>
      </c>
      <c r="AL208" t="str">
        <f>IF('1. Live'!AL208='check-Jul25'!AL208,"",'1. Live'!AL208-'check-Jul25'!AL208)</f>
        <v/>
      </c>
      <c r="AM208" t="str">
        <f>IF('1. Live'!AM208='check-Jul25'!AM208,"",'1. Live'!AM208-'check-Jul25'!AM208)</f>
        <v/>
      </c>
      <c r="AN208" t="str">
        <f>IF('1. Live'!AN208='check-Jul25'!AN208,"",'1. Live'!AN208-'check-Jul25'!AN208)</f>
        <v/>
      </c>
      <c r="AO208" t="str">
        <f>IF('1. Live'!AO208='check-Jul25'!AO208,"",'1. Live'!AO208-'check-Jul25'!AO208)</f>
        <v/>
      </c>
      <c r="AP208" t="str">
        <f>IF('1. Live'!AP208='check-Jul25'!AP208,"",'1. Live'!AP208-'check-Jul25'!AP208)</f>
        <v/>
      </c>
      <c r="AQ208" t="str">
        <f>IF('1. Live'!AQ208='check-Jul25'!AQ208,"",'1. Live'!AQ208-'check-Jul25'!AQ208)</f>
        <v/>
      </c>
      <c r="AR208" t="str">
        <f>IF('1. Live'!AR208='check-Jul25'!AR208,"",'1. Live'!AR208-'check-Jul25'!AR208)</f>
        <v/>
      </c>
      <c r="AS208" t="str">
        <f>IF('1. Live'!AS208='check-Jul25'!AS208,"",'1. Live'!AS208-'check-Jul25'!AS208)</f>
        <v/>
      </c>
      <c r="AT208" t="str">
        <f>IF('1. Live'!AT208='check-Jul25'!AT208,"",'1. Live'!AT208-'check-Jul25'!AT208)</f>
        <v/>
      </c>
      <c r="AU208" t="str">
        <f>IF('1. Live'!AU208='check-Jul25'!AU208,"",'1. Live'!AU208-'check-Jul25'!AU208)</f>
        <v/>
      </c>
      <c r="AV208" t="str">
        <f>IF('1. Live'!AV208='check-Jul25'!AV208,"",'1. Live'!AV208-'check-Jul25'!AV208)</f>
        <v/>
      </c>
      <c r="AW208" t="str">
        <f>IF('1. Live'!AW208='check-Jul25'!AW208,"",'1. Live'!AW208-'check-Jul25'!AW208)</f>
        <v/>
      </c>
      <c r="AX208" t="str">
        <f>IF('1. Live'!AX208='check-Jul25'!AX208,"",'1. Live'!AX208-'check-Jul25'!AX208)</f>
        <v/>
      </c>
      <c r="AY208" t="str">
        <f>IF('1. Live'!AY208='check-Jul25'!AY208,"",'1. Live'!AY208-'check-Jul25'!AY208)</f>
        <v/>
      </c>
      <c r="AZ208" t="str">
        <f>IF('1. Live'!AZ208='check-Jul25'!AZ208,"",'1. Live'!AZ208-'check-Jul25'!AZ208)</f>
        <v/>
      </c>
      <c r="BA208" t="str">
        <f>IF('1. Live'!BA208='check-Jul25'!BA208,"",'1. Live'!BA208-'check-Jul25'!BA208)</f>
        <v/>
      </c>
      <c r="BB208" t="str">
        <f>IF('1. Live'!BB208='check-Jul25'!BB208,"",'1. Live'!BB208-'check-Jul25'!BB208)</f>
        <v/>
      </c>
      <c r="BC208" t="str">
        <f>IF('1. Live'!BC208='check-Jul25'!BC208,"",'1. Live'!BC208-'check-Jul25'!BC208)</f>
        <v/>
      </c>
      <c r="BD208" t="str">
        <f>IF('1. Live'!BD208='check-Jul25'!BD208,"",'1. Live'!BD208-'check-Jul25'!BD208)</f>
        <v/>
      </c>
      <c r="BE208" t="str">
        <f>IF('1. Live'!BE208='check-Jul25'!BE208,"",'1. Live'!BE208-'check-Jul25'!BE208)</f>
        <v/>
      </c>
      <c r="BF208" t="str">
        <f>IF('1. Live'!BF208='check-Jul25'!BF208,"",'1. Live'!BF208-'check-Jul25'!BF208)</f>
        <v/>
      </c>
      <c r="BG208" t="str">
        <f>IF('1. Live'!BG208='check-Jul25'!BG208,"",'1. Live'!BG208-'check-Jul25'!BG208)</f>
        <v/>
      </c>
      <c r="BH208" t="str">
        <f>IF('1. Live'!BH208='check-Jul25'!BH208,"",'1. Live'!BH208-'check-Jul25'!BH208)</f>
        <v/>
      </c>
      <c r="BI208" t="str">
        <f>IF('1. Live'!BI208='check-Jul25'!BI208,"",'1. Live'!BI208-'check-Jul25'!BI208)</f>
        <v/>
      </c>
      <c r="BJ208" t="str">
        <f>IF('1. Live'!BJ208='check-Jul25'!BJ208,"",'1. Live'!BJ208-'check-Jul25'!BJ208)</f>
        <v/>
      </c>
      <c r="BK208" t="str">
        <f>IF('1. Live'!BK208='check-Jul25'!BK208,"",'1. Live'!BK208-'check-Jul25'!BK208)</f>
        <v/>
      </c>
      <c r="BL208" t="str">
        <f>IF('1. Live'!BL208='check-Jul25'!BL208,"",'1. Live'!BL208-'check-Jul25'!BL208)</f>
        <v/>
      </c>
      <c r="BM208" t="str">
        <f>IF('1. Live'!BM208='check-Jul25'!BM208,"",'1. Live'!BM208-'check-Jul25'!BM208)</f>
        <v/>
      </c>
      <c r="BN208" t="str">
        <f>IF('1. Live'!BN208='check-Jul25'!BN208,"",'1. Live'!BN208-'check-Jul25'!BN208)</f>
        <v/>
      </c>
      <c r="BO208" t="str">
        <f>IF('1. Live'!BO208='check-Jul25'!BO208,"",'1. Live'!BO208-'check-Jul25'!BO208)</f>
        <v/>
      </c>
      <c r="BP208" t="str">
        <f>IF('1. Live'!BP208='check-Jul25'!BP208,"",'1. Live'!BP208-'check-Jul25'!BP208)</f>
        <v/>
      </c>
      <c r="BQ208" t="str">
        <f>IF('1. Live'!BQ208='check-Jul25'!BQ208,"",'1. Live'!BQ208-'check-Jul25'!BQ208)</f>
        <v/>
      </c>
      <c r="BR208" t="str">
        <f>IF('1. Live'!BR208='check-Jul25'!BR208,"",'1. Live'!BR208-'check-Jul25'!BR208)</f>
        <v/>
      </c>
      <c r="BS208" t="str">
        <f>IF('1. Live'!BS208='check-Jul25'!BS208,"",'1. Live'!BS208-'check-Jul25'!BS208)</f>
        <v/>
      </c>
      <c r="BT208" t="str">
        <f>IF('1. Live'!BT208='check-Jul25'!BT208,"",'1. Live'!BT208-'check-Jul25'!BT208)</f>
        <v/>
      </c>
      <c r="BU208" t="str">
        <f>IF('1. Live'!BU208='check-Jul25'!BU208,"",'1. Live'!BU208-'check-Jul25'!BU208)</f>
        <v/>
      </c>
      <c r="BV208" t="str">
        <f>IF('1. Live'!BV208='check-Jul25'!BV208,"",'1. Live'!BV208-'check-Jul25'!BV208)</f>
        <v/>
      </c>
      <c r="BW208" t="str">
        <f>IF('1. Live'!BW208='check-Jul25'!BW208,"",'1. Live'!BW208-'check-Jul25'!BW208)</f>
        <v/>
      </c>
      <c r="BX208" t="str">
        <f>IF('1. Live'!BX208='check-Jul25'!BX208,"",'1. Live'!BX208-'check-Jul25'!BX208)</f>
        <v/>
      </c>
      <c r="BY208" t="str">
        <f>IF('1. Live'!BY208='check-Jul25'!BY208,"",'1. Live'!BY208-'check-Jul25'!BY208)</f>
        <v/>
      </c>
      <c r="BZ208" t="str">
        <f>IF('1. Live'!BZ208='check-Jul25'!BZ208,"",'1. Live'!BZ208-'check-Jul25'!BZ208)</f>
        <v/>
      </c>
      <c r="CA208" t="str">
        <f>IF('1. Live'!CA208='check-Jul25'!CA208,"",'1. Live'!CA208-'check-Jul25'!CA208)</f>
        <v/>
      </c>
      <c r="CB208" t="str">
        <f>IF('1. Live'!CB208='check-Jul25'!CB208,"",'1. Live'!CB208-'check-Jul25'!CB208)</f>
        <v/>
      </c>
      <c r="CC208" t="str">
        <f>IF('1. Live'!CC208='check-Jul25'!CC208,"",'1. Live'!CC208-'check-Jul25'!CC208)</f>
        <v/>
      </c>
      <c r="CD208" t="str">
        <f>IF('1. Live'!CD208='check-Jul25'!CD208,"",'1. Live'!CD208-'check-Jul25'!CD208)</f>
        <v/>
      </c>
      <c r="CE208" t="str">
        <f>IF('1. Live'!CE208='check-Jul25'!CE208,"",'1. Live'!CE208-'check-Jul25'!CE208)</f>
        <v/>
      </c>
      <c r="CF208" t="str">
        <f>IF('1. Live'!CF208='check-Jul25'!CF208,"",'1. Live'!CF208-'check-Jul25'!CF208)</f>
        <v/>
      </c>
      <c r="CG208" t="str">
        <f>IF('1. Live'!CG208='check-Jul25'!CG208,"",'1. Live'!CG208-'check-Jul25'!CG208)</f>
        <v/>
      </c>
      <c r="CH208" t="str">
        <f>IF('1. Live'!CH208='check-Jul25'!CH208,"",'1. Live'!CH208-'check-Jul25'!CH208)</f>
        <v/>
      </c>
      <c r="CI208" t="str">
        <f>IF('1. Live'!CI208='check-Jul25'!CI208,"",'1. Live'!CI208-'check-Jul25'!CI208)</f>
        <v/>
      </c>
      <c r="CJ208" t="str">
        <f>IF('1. Live'!CJ208='check-Jul25'!CJ208,"",'1. Live'!CJ208-'check-Jul25'!CJ208)</f>
        <v/>
      </c>
      <c r="CK208" t="str">
        <f>IF('1. Live'!CK208='check-Jul25'!CK208,"",'1. Live'!CK208-'check-Jul25'!CK208)</f>
        <v/>
      </c>
      <c r="CL208" t="str">
        <f>IF('1. Live'!CL208='check-Jul25'!CL208,"",'1. Live'!CL208-'check-Jul25'!CL208)</f>
        <v/>
      </c>
      <c r="CM208" t="str">
        <f>IF('1. Live'!CM208='check-Jul25'!CM208,"",'1. Live'!CM208-'check-Jul25'!CM208)</f>
        <v/>
      </c>
      <c r="CN208" t="str">
        <f>IF('1. Live'!CN208='check-Jul25'!CN208,"",'1. Live'!CN208-'check-Jul25'!CN208)</f>
        <v/>
      </c>
      <c r="CO208" t="str">
        <f>IF('1. Live'!CO208='check-Jul25'!CO208,"",'1. Live'!CO208-'check-Jul25'!CO208)</f>
        <v/>
      </c>
      <c r="CP208" t="str">
        <f>IF('1. Live'!CP208='check-Jul25'!CP208,"",'1. Live'!CP208-'check-Jul25'!CP208)</f>
        <v/>
      </c>
      <c r="CQ208" t="str">
        <f>IF('1. Live'!CQ208='check-Jul25'!CQ208,"",'1. Live'!CQ208-'check-Jul25'!CQ208)</f>
        <v/>
      </c>
      <c r="CR208" t="str">
        <f>IF('1. Live'!CR208='check-Jul25'!CR208,"",'1. Live'!CR208-'check-Jul25'!CR208)</f>
        <v/>
      </c>
      <c r="CS208" t="str">
        <f>IF('1. Live'!CS208='check-Jul25'!CS208,"",'1. Live'!CS208-'check-Jul25'!CS208)</f>
        <v/>
      </c>
      <c r="CT208" t="str">
        <f>IF('1. Live'!CT208='check-Jul25'!CT208,"",'1. Live'!CT208-'check-Jul25'!CT208)</f>
        <v/>
      </c>
      <c r="CU208" t="str">
        <f>IF('1. Live'!CU208='check-Jul25'!CU208,"",'1. Live'!CU208-'check-Jul25'!CU208)</f>
        <v/>
      </c>
      <c r="CV208" t="str">
        <f>IF('1. Live'!CV208='check-Jul25'!CV208,"",'1. Live'!CV208-'check-Jul25'!CV208)</f>
        <v/>
      </c>
      <c r="CW208" t="str">
        <f>IF('1. Live'!CW208='check-Jul25'!CW208,"",'1. Live'!CW208-'check-Jul25'!CW208)</f>
        <v/>
      </c>
    </row>
    <row r="209" spans="10:101">
      <c r="J209" t="str">
        <f>IF('1. Live'!J209='check-Jul25'!J209,"",'1. Live'!J209-'check-Jul25'!J209)</f>
        <v/>
      </c>
      <c r="K209" t="str">
        <f>IF('1. Live'!K209='check-Jul25'!K209,"",'1. Live'!K209-'check-Jul25'!K209)</f>
        <v/>
      </c>
      <c r="L209" t="str">
        <f>IF('1. Live'!L209='check-Jul25'!L209,"",'1. Live'!L209-'check-Jul25'!L209)</f>
        <v/>
      </c>
      <c r="M209" t="str">
        <f>IF('1. Live'!M209='check-Jul25'!M209,"",'1. Live'!M209-'check-Jul25'!M209)</f>
        <v/>
      </c>
      <c r="N209" t="str">
        <f>IF('1. Live'!N209='check-Jul25'!N209,"",'1. Live'!N209-'check-Jul25'!N209)</f>
        <v/>
      </c>
      <c r="O209" t="str">
        <f>IF('1. Live'!O209='check-Jul25'!O209,"",'1. Live'!O209-'check-Jul25'!O209)</f>
        <v/>
      </c>
      <c r="P209" t="str">
        <f>IF('1. Live'!P209='check-Jul25'!P209,"",'1. Live'!P209-'check-Jul25'!P209)</f>
        <v/>
      </c>
      <c r="Q209" t="str">
        <f>IF('1. Live'!Q209='check-Jul25'!Q209,"",'1. Live'!Q209-'check-Jul25'!Q209)</f>
        <v/>
      </c>
      <c r="R209" t="str">
        <f>IF('1. Live'!R209='check-Jul25'!R209,"",'1. Live'!R209-'check-Jul25'!R209)</f>
        <v/>
      </c>
      <c r="S209" t="str">
        <f>IF('1. Live'!S209='check-Jul25'!S209,"",'1. Live'!S209-'check-Jul25'!S209)</f>
        <v/>
      </c>
      <c r="T209" t="str">
        <f>IF('1. Live'!T209='check-Jul25'!T209,"",'1. Live'!T209-'check-Jul25'!T209)</f>
        <v/>
      </c>
      <c r="U209" t="str">
        <f>IF('1. Live'!U209='check-Jul25'!U209,"",'1. Live'!U209-'check-Jul25'!U209)</f>
        <v/>
      </c>
      <c r="V209" t="str">
        <f>IF('1. Live'!V209='check-Jul25'!V209,"",'1. Live'!V209-'check-Jul25'!V209)</f>
        <v/>
      </c>
      <c r="W209" t="str">
        <f>IF('1. Live'!W209='check-Jul25'!W209,"",'1. Live'!W209-'check-Jul25'!W209)</f>
        <v/>
      </c>
      <c r="X209" t="str">
        <f>IF('1. Live'!X209='check-Jul25'!X209,"",'1. Live'!X209-'check-Jul25'!X209)</f>
        <v/>
      </c>
      <c r="Y209" t="str">
        <f>IF('1. Live'!Y209='check-Jul25'!Y209,"",'1. Live'!Y209-'check-Jul25'!Y209)</f>
        <v/>
      </c>
      <c r="Z209" t="str">
        <f>IF('1. Live'!Z209='check-Jul25'!Z209,"",'1. Live'!Z209-'check-Jul25'!Z209)</f>
        <v/>
      </c>
      <c r="AA209" t="str">
        <f>IF('1. Live'!AA209='check-Jul25'!AA209,"",'1. Live'!AA209-'check-Jul25'!AA209)</f>
        <v/>
      </c>
      <c r="AB209" t="str">
        <f>IF('1. Live'!AB209='check-Jul25'!AB209,"",'1. Live'!AB209-'check-Jul25'!AB209)</f>
        <v/>
      </c>
      <c r="AC209" t="str">
        <f>IF('1. Live'!AC209='check-Jul25'!AC209,"",'1. Live'!AC209-'check-Jul25'!AC209)</f>
        <v/>
      </c>
      <c r="AD209" t="str">
        <f>IF('1. Live'!AD209='check-Jul25'!AD209,"",'1. Live'!AD209-'check-Jul25'!AD209)</f>
        <v/>
      </c>
      <c r="AE209" t="str">
        <f>IF('1. Live'!AE209='check-Jul25'!AE209,"",'1. Live'!AE209-'check-Jul25'!AE209)</f>
        <v/>
      </c>
      <c r="AF209" t="str">
        <f>IF('1. Live'!AF209='check-Jul25'!AF209,"",'1. Live'!AF209-'check-Jul25'!AF209)</f>
        <v/>
      </c>
      <c r="AG209" t="str">
        <f>IF('1. Live'!AG209='check-Jul25'!AG209,"",'1. Live'!AG209-'check-Jul25'!AG209)</f>
        <v/>
      </c>
      <c r="AH209" t="str">
        <f>IF('1. Live'!AH209='check-Jul25'!AH209,"",'1. Live'!AH209-'check-Jul25'!AH209)</f>
        <v/>
      </c>
      <c r="AI209" t="str">
        <f>IF('1. Live'!AI209='check-Jul25'!AI209,"",'1. Live'!AI209-'check-Jul25'!AI209)</f>
        <v/>
      </c>
      <c r="AJ209" t="str">
        <f>IF('1. Live'!AJ209='check-Jul25'!AJ209,"",'1. Live'!AJ209-'check-Jul25'!AJ209)</f>
        <v/>
      </c>
      <c r="AK209" t="str">
        <f>IF('1. Live'!AK209='check-Jul25'!AK209,"",'1. Live'!AK209-'check-Jul25'!AK209)</f>
        <v/>
      </c>
      <c r="AL209" t="str">
        <f>IF('1. Live'!AL209='check-Jul25'!AL209,"",'1. Live'!AL209-'check-Jul25'!AL209)</f>
        <v/>
      </c>
      <c r="AM209" t="str">
        <f>IF('1. Live'!AM209='check-Jul25'!AM209,"",'1. Live'!AM209-'check-Jul25'!AM209)</f>
        <v/>
      </c>
      <c r="AN209" t="str">
        <f>IF('1. Live'!AN209='check-Jul25'!AN209,"",'1. Live'!AN209-'check-Jul25'!AN209)</f>
        <v/>
      </c>
      <c r="AO209" t="str">
        <f>IF('1. Live'!AO209='check-Jul25'!AO209,"",'1. Live'!AO209-'check-Jul25'!AO209)</f>
        <v/>
      </c>
      <c r="AP209" t="str">
        <f>IF('1. Live'!AP209='check-Jul25'!AP209,"",'1. Live'!AP209-'check-Jul25'!AP209)</f>
        <v/>
      </c>
      <c r="AQ209" t="str">
        <f>IF('1. Live'!AQ209='check-Jul25'!AQ209,"",'1. Live'!AQ209-'check-Jul25'!AQ209)</f>
        <v/>
      </c>
      <c r="AR209" t="str">
        <f>IF('1. Live'!AR209='check-Jul25'!AR209,"",'1. Live'!AR209-'check-Jul25'!AR209)</f>
        <v/>
      </c>
      <c r="AS209" t="str">
        <f>IF('1. Live'!AS209='check-Jul25'!AS209,"",'1. Live'!AS209-'check-Jul25'!AS209)</f>
        <v/>
      </c>
      <c r="AT209" t="str">
        <f>IF('1. Live'!AT209='check-Jul25'!AT209,"",'1. Live'!AT209-'check-Jul25'!AT209)</f>
        <v/>
      </c>
      <c r="AU209" t="str">
        <f>IF('1. Live'!AU209='check-Jul25'!AU209,"",'1. Live'!AU209-'check-Jul25'!AU209)</f>
        <v/>
      </c>
      <c r="AV209" t="str">
        <f>IF('1. Live'!AV209='check-Jul25'!AV209,"",'1. Live'!AV209-'check-Jul25'!AV209)</f>
        <v/>
      </c>
      <c r="AW209" t="str">
        <f>IF('1. Live'!AW209='check-Jul25'!AW209,"",'1. Live'!AW209-'check-Jul25'!AW209)</f>
        <v/>
      </c>
      <c r="AX209" t="str">
        <f>IF('1. Live'!AX209='check-Jul25'!AX209,"",'1. Live'!AX209-'check-Jul25'!AX209)</f>
        <v/>
      </c>
      <c r="AY209" t="str">
        <f>IF('1. Live'!AY209='check-Jul25'!AY209,"",'1. Live'!AY209-'check-Jul25'!AY209)</f>
        <v/>
      </c>
      <c r="AZ209" t="str">
        <f>IF('1. Live'!AZ209='check-Jul25'!AZ209,"",'1. Live'!AZ209-'check-Jul25'!AZ209)</f>
        <v/>
      </c>
      <c r="BA209" t="str">
        <f>IF('1. Live'!BA209='check-Jul25'!BA209,"",'1. Live'!BA209-'check-Jul25'!BA209)</f>
        <v/>
      </c>
      <c r="BB209" t="str">
        <f>IF('1. Live'!BB209='check-Jul25'!BB209,"",'1. Live'!BB209-'check-Jul25'!BB209)</f>
        <v/>
      </c>
      <c r="BC209" t="str">
        <f>IF('1. Live'!BC209='check-Jul25'!BC209,"",'1. Live'!BC209-'check-Jul25'!BC209)</f>
        <v/>
      </c>
      <c r="BD209" t="str">
        <f>IF('1. Live'!BD209='check-Jul25'!BD209,"",'1. Live'!BD209-'check-Jul25'!BD209)</f>
        <v/>
      </c>
      <c r="BE209" t="str">
        <f>IF('1. Live'!BE209='check-Jul25'!BE209,"",'1. Live'!BE209-'check-Jul25'!BE209)</f>
        <v/>
      </c>
      <c r="BF209" t="str">
        <f>IF('1. Live'!BF209='check-Jul25'!BF209,"",'1. Live'!BF209-'check-Jul25'!BF209)</f>
        <v/>
      </c>
      <c r="BG209" t="str">
        <f>IF('1. Live'!BG209='check-Jul25'!BG209,"",'1. Live'!BG209-'check-Jul25'!BG209)</f>
        <v/>
      </c>
      <c r="BH209" t="str">
        <f>IF('1. Live'!BH209='check-Jul25'!BH209,"",'1. Live'!BH209-'check-Jul25'!BH209)</f>
        <v/>
      </c>
      <c r="BI209" t="str">
        <f>IF('1. Live'!BI209='check-Jul25'!BI209,"",'1. Live'!BI209-'check-Jul25'!BI209)</f>
        <v/>
      </c>
      <c r="BJ209" t="str">
        <f>IF('1. Live'!BJ209='check-Jul25'!BJ209,"",'1. Live'!BJ209-'check-Jul25'!BJ209)</f>
        <v/>
      </c>
      <c r="BK209" t="str">
        <f>IF('1. Live'!BK209='check-Jul25'!BK209,"",'1. Live'!BK209-'check-Jul25'!BK209)</f>
        <v/>
      </c>
      <c r="BL209" t="str">
        <f>IF('1. Live'!BL209='check-Jul25'!BL209,"",'1. Live'!BL209-'check-Jul25'!BL209)</f>
        <v/>
      </c>
      <c r="BM209" t="str">
        <f>IF('1. Live'!BM209='check-Jul25'!BM209,"",'1. Live'!BM209-'check-Jul25'!BM209)</f>
        <v/>
      </c>
      <c r="BN209" t="str">
        <f>IF('1. Live'!BN209='check-Jul25'!BN209,"",'1. Live'!BN209-'check-Jul25'!BN209)</f>
        <v/>
      </c>
      <c r="BO209" t="str">
        <f>IF('1. Live'!BO209='check-Jul25'!BO209,"",'1. Live'!BO209-'check-Jul25'!BO209)</f>
        <v/>
      </c>
      <c r="BP209" t="str">
        <f>IF('1. Live'!BP209='check-Jul25'!BP209,"",'1. Live'!BP209-'check-Jul25'!BP209)</f>
        <v/>
      </c>
      <c r="BQ209" t="str">
        <f>IF('1. Live'!BQ209='check-Jul25'!BQ209,"",'1. Live'!BQ209-'check-Jul25'!BQ209)</f>
        <v/>
      </c>
      <c r="BR209" t="str">
        <f>IF('1. Live'!BR209='check-Jul25'!BR209,"",'1. Live'!BR209-'check-Jul25'!BR209)</f>
        <v/>
      </c>
      <c r="BS209" t="str">
        <f>IF('1. Live'!BS209='check-Jul25'!BS209,"",'1. Live'!BS209-'check-Jul25'!BS209)</f>
        <v/>
      </c>
      <c r="BT209" t="str">
        <f>IF('1. Live'!BT209='check-Jul25'!BT209,"",'1. Live'!BT209-'check-Jul25'!BT209)</f>
        <v/>
      </c>
      <c r="BU209" t="str">
        <f>IF('1. Live'!BU209='check-Jul25'!BU209,"",'1. Live'!BU209-'check-Jul25'!BU209)</f>
        <v/>
      </c>
      <c r="BV209" t="str">
        <f>IF('1. Live'!BV209='check-Jul25'!BV209,"",'1. Live'!BV209-'check-Jul25'!BV209)</f>
        <v/>
      </c>
      <c r="BW209" t="str">
        <f>IF('1. Live'!BW209='check-Jul25'!BW209,"",'1. Live'!BW209-'check-Jul25'!BW209)</f>
        <v/>
      </c>
      <c r="BX209" t="str">
        <f>IF('1. Live'!BX209='check-Jul25'!BX209,"",'1. Live'!BX209-'check-Jul25'!BX209)</f>
        <v/>
      </c>
      <c r="BY209" t="str">
        <f>IF('1. Live'!BY209='check-Jul25'!BY209,"",'1. Live'!BY209-'check-Jul25'!BY209)</f>
        <v/>
      </c>
      <c r="BZ209" t="str">
        <f>IF('1. Live'!BZ209='check-Jul25'!BZ209,"",'1. Live'!BZ209-'check-Jul25'!BZ209)</f>
        <v/>
      </c>
      <c r="CA209" t="str">
        <f>IF('1. Live'!CA209='check-Jul25'!CA209,"",'1. Live'!CA209-'check-Jul25'!CA209)</f>
        <v/>
      </c>
      <c r="CB209" t="str">
        <f>IF('1. Live'!CB209='check-Jul25'!CB209,"",'1. Live'!CB209-'check-Jul25'!CB209)</f>
        <v/>
      </c>
      <c r="CC209" t="str">
        <f>IF('1. Live'!CC209='check-Jul25'!CC209,"",'1. Live'!CC209-'check-Jul25'!CC209)</f>
        <v/>
      </c>
      <c r="CD209" t="str">
        <f>IF('1. Live'!CD209='check-Jul25'!CD209,"",'1. Live'!CD209-'check-Jul25'!CD209)</f>
        <v/>
      </c>
      <c r="CE209" t="str">
        <f>IF('1. Live'!CE209='check-Jul25'!CE209,"",'1. Live'!CE209-'check-Jul25'!CE209)</f>
        <v/>
      </c>
      <c r="CF209" t="str">
        <f>IF('1. Live'!CF209='check-Jul25'!CF209,"",'1. Live'!CF209-'check-Jul25'!CF209)</f>
        <v/>
      </c>
      <c r="CG209" t="str">
        <f>IF('1. Live'!CG209='check-Jul25'!CG209,"",'1. Live'!CG209-'check-Jul25'!CG209)</f>
        <v/>
      </c>
      <c r="CH209" t="str">
        <f>IF('1. Live'!CH209='check-Jul25'!CH209,"",'1. Live'!CH209-'check-Jul25'!CH209)</f>
        <v/>
      </c>
      <c r="CI209" t="str">
        <f>IF('1. Live'!CI209='check-Jul25'!CI209,"",'1. Live'!CI209-'check-Jul25'!CI209)</f>
        <v/>
      </c>
      <c r="CJ209" t="str">
        <f>IF('1. Live'!CJ209='check-Jul25'!CJ209,"",'1. Live'!CJ209-'check-Jul25'!CJ209)</f>
        <v/>
      </c>
      <c r="CK209" t="str">
        <f>IF('1. Live'!CK209='check-Jul25'!CK209,"",'1. Live'!CK209-'check-Jul25'!CK209)</f>
        <v/>
      </c>
      <c r="CL209" t="str">
        <f>IF('1. Live'!CL209='check-Jul25'!CL209,"",'1. Live'!CL209-'check-Jul25'!CL209)</f>
        <v/>
      </c>
      <c r="CM209" t="str">
        <f>IF('1. Live'!CM209='check-Jul25'!CM209,"",'1. Live'!CM209-'check-Jul25'!CM209)</f>
        <v/>
      </c>
      <c r="CN209" t="str">
        <f>IF('1. Live'!CN209='check-Jul25'!CN209,"",'1. Live'!CN209-'check-Jul25'!CN209)</f>
        <v/>
      </c>
      <c r="CO209" t="str">
        <f>IF('1. Live'!CO209='check-Jul25'!CO209,"",'1. Live'!CO209-'check-Jul25'!CO209)</f>
        <v/>
      </c>
      <c r="CP209" t="str">
        <f>IF('1. Live'!CP209='check-Jul25'!CP209,"",'1. Live'!CP209-'check-Jul25'!CP209)</f>
        <v/>
      </c>
      <c r="CQ209" t="str">
        <f>IF('1. Live'!CQ209='check-Jul25'!CQ209,"",'1. Live'!CQ209-'check-Jul25'!CQ209)</f>
        <v/>
      </c>
      <c r="CR209" t="str">
        <f>IF('1. Live'!CR209='check-Jul25'!CR209,"",'1. Live'!CR209-'check-Jul25'!CR209)</f>
        <v/>
      </c>
      <c r="CS209" t="str">
        <f>IF('1. Live'!CS209='check-Jul25'!CS209,"",'1. Live'!CS209-'check-Jul25'!CS209)</f>
        <v/>
      </c>
      <c r="CT209" t="str">
        <f>IF('1. Live'!CT209='check-Jul25'!CT209,"",'1. Live'!CT209-'check-Jul25'!CT209)</f>
        <v/>
      </c>
      <c r="CU209" t="str">
        <f>IF('1. Live'!CU209='check-Jul25'!CU209,"",'1. Live'!CU209-'check-Jul25'!CU209)</f>
        <v/>
      </c>
      <c r="CV209" t="str">
        <f>IF('1. Live'!CV209='check-Jul25'!CV209,"",'1. Live'!CV209-'check-Jul25'!CV209)</f>
        <v/>
      </c>
      <c r="CW209" t="str">
        <f>IF('1. Live'!CW209='check-Jul25'!CW209,"",'1. Live'!CW209-'check-Jul25'!CW209)</f>
        <v/>
      </c>
    </row>
    <row r="210" spans="10:101">
      <c r="J210" t="str">
        <f>IF('1. Live'!J210='check-Jul25'!J210,"",'1. Live'!J210-'check-Jul25'!J210)</f>
        <v/>
      </c>
      <c r="K210" t="str">
        <f>IF('1. Live'!K210='check-Jul25'!K210,"",'1. Live'!K210-'check-Jul25'!K210)</f>
        <v/>
      </c>
      <c r="L210" t="str">
        <f>IF('1. Live'!L210='check-Jul25'!L210,"",'1. Live'!L210-'check-Jul25'!L210)</f>
        <v/>
      </c>
      <c r="M210" t="str">
        <f>IF('1. Live'!M210='check-Jul25'!M210,"",'1. Live'!M210-'check-Jul25'!M210)</f>
        <v/>
      </c>
      <c r="N210" t="str">
        <f>IF('1. Live'!N210='check-Jul25'!N210,"",'1. Live'!N210-'check-Jul25'!N210)</f>
        <v/>
      </c>
      <c r="O210" t="str">
        <f>IF('1. Live'!O210='check-Jul25'!O210,"",'1. Live'!O210-'check-Jul25'!O210)</f>
        <v/>
      </c>
      <c r="P210" t="str">
        <f>IF('1. Live'!P210='check-Jul25'!P210,"",'1. Live'!P210-'check-Jul25'!P210)</f>
        <v/>
      </c>
      <c r="Q210" t="str">
        <f>IF('1. Live'!Q210='check-Jul25'!Q210,"",'1. Live'!Q210-'check-Jul25'!Q210)</f>
        <v/>
      </c>
      <c r="R210" t="str">
        <f>IF('1. Live'!R210='check-Jul25'!R210,"",'1. Live'!R210-'check-Jul25'!R210)</f>
        <v/>
      </c>
      <c r="S210" t="str">
        <f>IF('1. Live'!S210='check-Jul25'!S210,"",'1. Live'!S210-'check-Jul25'!S210)</f>
        <v/>
      </c>
      <c r="T210" t="str">
        <f>IF('1. Live'!T210='check-Jul25'!T210,"",'1. Live'!T210-'check-Jul25'!T210)</f>
        <v/>
      </c>
      <c r="U210" t="str">
        <f>IF('1. Live'!U210='check-Jul25'!U210,"",'1. Live'!U210-'check-Jul25'!U210)</f>
        <v/>
      </c>
      <c r="V210" t="str">
        <f>IF('1. Live'!V210='check-Jul25'!V210,"",'1. Live'!V210-'check-Jul25'!V210)</f>
        <v/>
      </c>
      <c r="W210" t="str">
        <f>IF('1. Live'!W210='check-Jul25'!W210,"",'1. Live'!W210-'check-Jul25'!W210)</f>
        <v/>
      </c>
      <c r="X210" t="str">
        <f>IF('1. Live'!X210='check-Jul25'!X210,"",'1. Live'!X210-'check-Jul25'!X210)</f>
        <v/>
      </c>
      <c r="Y210" t="str">
        <f>IF('1. Live'!Y210='check-Jul25'!Y210,"",'1. Live'!Y210-'check-Jul25'!Y210)</f>
        <v/>
      </c>
      <c r="Z210" t="str">
        <f>IF('1. Live'!Z210='check-Jul25'!Z210,"",'1. Live'!Z210-'check-Jul25'!Z210)</f>
        <v/>
      </c>
      <c r="AA210" t="str">
        <f>IF('1. Live'!AA210='check-Jul25'!AA210,"",'1. Live'!AA210-'check-Jul25'!AA210)</f>
        <v/>
      </c>
      <c r="AB210" t="str">
        <f>IF('1. Live'!AB210='check-Jul25'!AB210,"",'1. Live'!AB210-'check-Jul25'!AB210)</f>
        <v/>
      </c>
      <c r="AC210" t="str">
        <f>IF('1. Live'!AC210='check-Jul25'!AC210,"",'1. Live'!AC210-'check-Jul25'!AC210)</f>
        <v/>
      </c>
      <c r="AD210" t="str">
        <f>IF('1. Live'!AD210='check-Jul25'!AD210,"",'1. Live'!AD210-'check-Jul25'!AD210)</f>
        <v/>
      </c>
      <c r="AE210" t="str">
        <f>IF('1. Live'!AE210='check-Jul25'!AE210,"",'1. Live'!AE210-'check-Jul25'!AE210)</f>
        <v/>
      </c>
      <c r="AF210" t="str">
        <f>IF('1. Live'!AF210='check-Jul25'!AF210,"",'1. Live'!AF210-'check-Jul25'!AF210)</f>
        <v/>
      </c>
      <c r="AG210" t="str">
        <f>IF('1. Live'!AG210='check-Jul25'!AG210,"",'1. Live'!AG210-'check-Jul25'!AG210)</f>
        <v/>
      </c>
      <c r="AH210" t="str">
        <f>IF('1. Live'!AH210='check-Jul25'!AH210,"",'1. Live'!AH210-'check-Jul25'!AH210)</f>
        <v/>
      </c>
      <c r="AI210" t="str">
        <f>IF('1. Live'!AI210='check-Jul25'!AI210,"",'1. Live'!AI210-'check-Jul25'!AI210)</f>
        <v/>
      </c>
      <c r="AJ210" t="str">
        <f>IF('1. Live'!AJ210='check-Jul25'!AJ210,"",'1. Live'!AJ210-'check-Jul25'!AJ210)</f>
        <v/>
      </c>
      <c r="AK210" t="str">
        <f>IF('1. Live'!AK210='check-Jul25'!AK210,"",'1. Live'!AK210-'check-Jul25'!AK210)</f>
        <v/>
      </c>
      <c r="AL210" t="str">
        <f>IF('1. Live'!AL210='check-Jul25'!AL210,"",'1. Live'!AL210-'check-Jul25'!AL210)</f>
        <v/>
      </c>
      <c r="AM210" t="str">
        <f>IF('1. Live'!AM210='check-Jul25'!AM210,"",'1. Live'!AM210-'check-Jul25'!AM210)</f>
        <v/>
      </c>
      <c r="AN210" t="str">
        <f>IF('1. Live'!AN210='check-Jul25'!AN210,"",'1. Live'!AN210-'check-Jul25'!AN210)</f>
        <v/>
      </c>
      <c r="AO210" t="str">
        <f>IF('1. Live'!AO210='check-Jul25'!AO210,"",'1. Live'!AO210-'check-Jul25'!AO210)</f>
        <v/>
      </c>
      <c r="AP210" t="str">
        <f>IF('1. Live'!AP210='check-Jul25'!AP210,"",'1. Live'!AP210-'check-Jul25'!AP210)</f>
        <v/>
      </c>
      <c r="AQ210" t="str">
        <f>IF('1. Live'!AQ210='check-Jul25'!AQ210,"",'1. Live'!AQ210-'check-Jul25'!AQ210)</f>
        <v/>
      </c>
      <c r="AR210" t="str">
        <f>IF('1. Live'!AR210='check-Jul25'!AR210,"",'1. Live'!AR210-'check-Jul25'!AR210)</f>
        <v/>
      </c>
      <c r="AS210" t="str">
        <f>IF('1. Live'!AS210='check-Jul25'!AS210,"",'1. Live'!AS210-'check-Jul25'!AS210)</f>
        <v/>
      </c>
      <c r="AT210" t="str">
        <f>IF('1. Live'!AT210='check-Jul25'!AT210,"",'1. Live'!AT210-'check-Jul25'!AT210)</f>
        <v/>
      </c>
      <c r="AU210" t="str">
        <f>IF('1. Live'!AU210='check-Jul25'!AU210,"",'1. Live'!AU210-'check-Jul25'!AU210)</f>
        <v/>
      </c>
      <c r="AV210" t="str">
        <f>IF('1. Live'!AV210='check-Jul25'!AV210,"",'1. Live'!AV210-'check-Jul25'!AV210)</f>
        <v/>
      </c>
      <c r="AW210" t="str">
        <f>IF('1. Live'!AW210='check-Jul25'!AW210,"",'1. Live'!AW210-'check-Jul25'!AW210)</f>
        <v/>
      </c>
      <c r="AX210" t="str">
        <f>IF('1. Live'!AX210='check-Jul25'!AX210,"",'1. Live'!AX210-'check-Jul25'!AX210)</f>
        <v/>
      </c>
      <c r="AY210" t="str">
        <f>IF('1. Live'!AY210='check-Jul25'!AY210,"",'1. Live'!AY210-'check-Jul25'!AY210)</f>
        <v/>
      </c>
      <c r="AZ210" t="str">
        <f>IF('1. Live'!AZ210='check-Jul25'!AZ210,"",'1. Live'!AZ210-'check-Jul25'!AZ210)</f>
        <v/>
      </c>
      <c r="BA210" t="str">
        <f>IF('1. Live'!BA210='check-Jul25'!BA210,"",'1. Live'!BA210-'check-Jul25'!BA210)</f>
        <v/>
      </c>
      <c r="BB210" t="str">
        <f>IF('1. Live'!BB210='check-Jul25'!BB210,"",'1. Live'!BB210-'check-Jul25'!BB210)</f>
        <v/>
      </c>
      <c r="BC210" t="str">
        <f>IF('1. Live'!BC210='check-Jul25'!BC210,"",'1. Live'!BC210-'check-Jul25'!BC210)</f>
        <v/>
      </c>
      <c r="BD210" t="str">
        <f>IF('1. Live'!BD210='check-Jul25'!BD210,"",'1. Live'!BD210-'check-Jul25'!BD210)</f>
        <v/>
      </c>
      <c r="BE210" t="str">
        <f>IF('1. Live'!BE210='check-Jul25'!BE210,"",'1. Live'!BE210-'check-Jul25'!BE210)</f>
        <v/>
      </c>
      <c r="BF210" t="str">
        <f>IF('1. Live'!BF210='check-Jul25'!BF210,"",'1. Live'!BF210-'check-Jul25'!BF210)</f>
        <v/>
      </c>
      <c r="BG210" t="str">
        <f>IF('1. Live'!BG210='check-Jul25'!BG210,"",'1. Live'!BG210-'check-Jul25'!BG210)</f>
        <v/>
      </c>
      <c r="BH210" t="str">
        <f>IF('1. Live'!BH210='check-Jul25'!BH210,"",'1. Live'!BH210-'check-Jul25'!BH210)</f>
        <v/>
      </c>
      <c r="BI210" t="str">
        <f>IF('1. Live'!BI210='check-Jul25'!BI210,"",'1. Live'!BI210-'check-Jul25'!BI210)</f>
        <v/>
      </c>
      <c r="BJ210" t="str">
        <f>IF('1. Live'!BJ210='check-Jul25'!BJ210,"",'1. Live'!BJ210-'check-Jul25'!BJ210)</f>
        <v/>
      </c>
      <c r="BK210" t="str">
        <f>IF('1. Live'!BK210='check-Jul25'!BK210,"",'1. Live'!BK210-'check-Jul25'!BK210)</f>
        <v/>
      </c>
      <c r="BL210" t="str">
        <f>IF('1. Live'!BL210='check-Jul25'!BL210,"",'1. Live'!BL210-'check-Jul25'!BL210)</f>
        <v/>
      </c>
      <c r="BM210" t="str">
        <f>IF('1. Live'!BM210='check-Jul25'!BM210,"",'1. Live'!BM210-'check-Jul25'!BM210)</f>
        <v/>
      </c>
      <c r="BN210" t="str">
        <f>IF('1. Live'!BN210='check-Jul25'!BN210,"",'1. Live'!BN210-'check-Jul25'!BN210)</f>
        <v/>
      </c>
      <c r="BO210" t="str">
        <f>IF('1. Live'!BO210='check-Jul25'!BO210,"",'1. Live'!BO210-'check-Jul25'!BO210)</f>
        <v/>
      </c>
      <c r="BP210" t="str">
        <f>IF('1. Live'!BP210='check-Jul25'!BP210,"",'1. Live'!BP210-'check-Jul25'!BP210)</f>
        <v/>
      </c>
      <c r="BQ210" t="str">
        <f>IF('1. Live'!BQ210='check-Jul25'!BQ210,"",'1. Live'!BQ210-'check-Jul25'!BQ210)</f>
        <v/>
      </c>
      <c r="BR210" t="str">
        <f>IF('1. Live'!BR210='check-Jul25'!BR210,"",'1. Live'!BR210-'check-Jul25'!BR210)</f>
        <v/>
      </c>
      <c r="BS210" t="str">
        <f>IF('1. Live'!BS210='check-Jul25'!BS210,"",'1. Live'!BS210-'check-Jul25'!BS210)</f>
        <v/>
      </c>
      <c r="BT210" t="str">
        <f>IF('1. Live'!BT210='check-Jul25'!BT210,"",'1. Live'!BT210-'check-Jul25'!BT210)</f>
        <v/>
      </c>
      <c r="BU210" t="str">
        <f>IF('1. Live'!BU210='check-Jul25'!BU210,"",'1. Live'!BU210-'check-Jul25'!BU210)</f>
        <v/>
      </c>
      <c r="BV210" t="str">
        <f>IF('1. Live'!BV210='check-Jul25'!BV210,"",'1. Live'!BV210-'check-Jul25'!BV210)</f>
        <v/>
      </c>
      <c r="BW210" t="str">
        <f>IF('1. Live'!BW210='check-Jul25'!BW210,"",'1. Live'!BW210-'check-Jul25'!BW210)</f>
        <v/>
      </c>
      <c r="BX210" t="str">
        <f>IF('1. Live'!BX210='check-Jul25'!BX210,"",'1. Live'!BX210-'check-Jul25'!BX210)</f>
        <v/>
      </c>
      <c r="BY210" t="str">
        <f>IF('1. Live'!BY210='check-Jul25'!BY210,"",'1. Live'!BY210-'check-Jul25'!BY210)</f>
        <v/>
      </c>
      <c r="BZ210" t="str">
        <f>IF('1. Live'!BZ210='check-Jul25'!BZ210,"",'1. Live'!BZ210-'check-Jul25'!BZ210)</f>
        <v/>
      </c>
      <c r="CA210" t="str">
        <f>IF('1. Live'!CA210='check-Jul25'!CA210,"",'1. Live'!CA210-'check-Jul25'!CA210)</f>
        <v/>
      </c>
      <c r="CB210" t="str">
        <f>IF('1. Live'!CB210='check-Jul25'!CB210,"",'1. Live'!CB210-'check-Jul25'!CB210)</f>
        <v/>
      </c>
      <c r="CC210" t="str">
        <f>IF('1. Live'!CC210='check-Jul25'!CC210,"",'1. Live'!CC210-'check-Jul25'!CC210)</f>
        <v/>
      </c>
      <c r="CD210" t="str">
        <f>IF('1. Live'!CD210='check-Jul25'!CD210,"",'1. Live'!CD210-'check-Jul25'!CD210)</f>
        <v/>
      </c>
      <c r="CE210" t="str">
        <f>IF('1. Live'!CE210='check-Jul25'!CE210,"",'1. Live'!CE210-'check-Jul25'!CE210)</f>
        <v/>
      </c>
      <c r="CF210" t="str">
        <f>IF('1. Live'!CF210='check-Jul25'!CF210,"",'1. Live'!CF210-'check-Jul25'!CF210)</f>
        <v/>
      </c>
      <c r="CG210" t="str">
        <f>IF('1. Live'!CG210='check-Jul25'!CG210,"",'1. Live'!CG210-'check-Jul25'!CG210)</f>
        <v/>
      </c>
      <c r="CH210" t="str">
        <f>IF('1. Live'!CH210='check-Jul25'!CH210,"",'1. Live'!CH210-'check-Jul25'!CH210)</f>
        <v/>
      </c>
      <c r="CI210" t="str">
        <f>IF('1. Live'!CI210='check-Jul25'!CI210,"",'1. Live'!CI210-'check-Jul25'!CI210)</f>
        <v/>
      </c>
      <c r="CJ210" t="str">
        <f>IF('1. Live'!CJ210='check-Jul25'!CJ210,"",'1. Live'!CJ210-'check-Jul25'!CJ210)</f>
        <v/>
      </c>
      <c r="CK210" t="str">
        <f>IF('1. Live'!CK210='check-Jul25'!CK210,"",'1. Live'!CK210-'check-Jul25'!CK210)</f>
        <v/>
      </c>
      <c r="CL210" t="str">
        <f>IF('1. Live'!CL210='check-Jul25'!CL210,"",'1. Live'!CL210-'check-Jul25'!CL210)</f>
        <v/>
      </c>
      <c r="CM210" t="str">
        <f>IF('1. Live'!CM210='check-Jul25'!CM210,"",'1. Live'!CM210-'check-Jul25'!CM210)</f>
        <v/>
      </c>
      <c r="CN210" t="str">
        <f>IF('1. Live'!CN210='check-Jul25'!CN210,"",'1. Live'!CN210-'check-Jul25'!CN210)</f>
        <v/>
      </c>
      <c r="CO210" t="str">
        <f>IF('1. Live'!CO210='check-Jul25'!CO210,"",'1. Live'!CO210-'check-Jul25'!CO210)</f>
        <v/>
      </c>
      <c r="CP210" t="str">
        <f>IF('1. Live'!CP210='check-Jul25'!CP210,"",'1. Live'!CP210-'check-Jul25'!CP210)</f>
        <v/>
      </c>
      <c r="CQ210" t="str">
        <f>IF('1. Live'!CQ210='check-Jul25'!CQ210,"",'1. Live'!CQ210-'check-Jul25'!CQ210)</f>
        <v/>
      </c>
      <c r="CR210" t="str">
        <f>IF('1. Live'!CR210='check-Jul25'!CR210,"",'1. Live'!CR210-'check-Jul25'!CR210)</f>
        <v/>
      </c>
      <c r="CS210" t="str">
        <f>IF('1. Live'!CS210='check-Jul25'!CS210,"",'1. Live'!CS210-'check-Jul25'!CS210)</f>
        <v/>
      </c>
      <c r="CT210" t="str">
        <f>IF('1. Live'!CT210='check-Jul25'!CT210,"",'1. Live'!CT210-'check-Jul25'!CT210)</f>
        <v/>
      </c>
      <c r="CU210" t="str">
        <f>IF('1. Live'!CU210='check-Jul25'!CU210,"",'1. Live'!CU210-'check-Jul25'!CU210)</f>
        <v/>
      </c>
      <c r="CV210" t="str">
        <f>IF('1. Live'!CV210='check-Jul25'!CV210,"",'1. Live'!CV210-'check-Jul25'!CV210)</f>
        <v/>
      </c>
      <c r="CW210" t="str">
        <f>IF('1. Live'!CW210='check-Jul25'!CW210,"",'1. Live'!CW210-'check-Jul25'!CW210)</f>
        <v/>
      </c>
    </row>
    <row r="211" spans="10:101">
      <c r="J211" t="str">
        <f>IF('1. Live'!J211='check-Jul25'!J211,"",'1. Live'!J211-'check-Jul25'!J211)</f>
        <v/>
      </c>
      <c r="K211" t="str">
        <f>IF('1. Live'!K211='check-Jul25'!K211,"",'1. Live'!K211-'check-Jul25'!K211)</f>
        <v/>
      </c>
      <c r="L211" t="str">
        <f>IF('1. Live'!L211='check-Jul25'!L211,"",'1. Live'!L211-'check-Jul25'!L211)</f>
        <v/>
      </c>
      <c r="M211" t="str">
        <f>IF('1. Live'!M211='check-Jul25'!M211,"",'1. Live'!M211-'check-Jul25'!M211)</f>
        <v/>
      </c>
      <c r="N211" t="str">
        <f>IF('1. Live'!N211='check-Jul25'!N211,"",'1. Live'!N211-'check-Jul25'!N211)</f>
        <v/>
      </c>
      <c r="O211" t="str">
        <f>IF('1. Live'!O211='check-Jul25'!O211,"",'1. Live'!O211-'check-Jul25'!O211)</f>
        <v/>
      </c>
      <c r="P211" t="str">
        <f>IF('1. Live'!P211='check-Jul25'!P211,"",'1. Live'!P211-'check-Jul25'!P211)</f>
        <v/>
      </c>
      <c r="Q211" t="str">
        <f>IF('1. Live'!Q211='check-Jul25'!Q211,"",'1. Live'!Q211-'check-Jul25'!Q211)</f>
        <v/>
      </c>
      <c r="R211" t="str">
        <f>IF('1. Live'!R211='check-Jul25'!R211,"",'1. Live'!R211-'check-Jul25'!R211)</f>
        <v/>
      </c>
      <c r="S211" t="str">
        <f>IF('1. Live'!S211='check-Jul25'!S211,"",'1. Live'!S211-'check-Jul25'!S211)</f>
        <v/>
      </c>
      <c r="T211" t="str">
        <f>IF('1. Live'!T211='check-Jul25'!T211,"",'1. Live'!T211-'check-Jul25'!T211)</f>
        <v/>
      </c>
      <c r="U211" t="str">
        <f>IF('1. Live'!U211='check-Jul25'!U211,"",'1. Live'!U211-'check-Jul25'!U211)</f>
        <v/>
      </c>
      <c r="V211" t="str">
        <f>IF('1. Live'!V211='check-Jul25'!V211,"",'1. Live'!V211-'check-Jul25'!V211)</f>
        <v/>
      </c>
      <c r="W211" t="str">
        <f>IF('1. Live'!W211='check-Jul25'!W211,"",'1. Live'!W211-'check-Jul25'!W211)</f>
        <v/>
      </c>
      <c r="X211" t="str">
        <f>IF('1. Live'!X211='check-Jul25'!X211,"",'1. Live'!X211-'check-Jul25'!X211)</f>
        <v/>
      </c>
      <c r="Y211" t="str">
        <f>IF('1. Live'!Y211='check-Jul25'!Y211,"",'1. Live'!Y211-'check-Jul25'!Y211)</f>
        <v/>
      </c>
      <c r="Z211" t="str">
        <f>IF('1. Live'!Z211='check-Jul25'!Z211,"",'1. Live'!Z211-'check-Jul25'!Z211)</f>
        <v/>
      </c>
      <c r="AA211" t="str">
        <f>IF('1. Live'!AA211='check-Jul25'!AA211,"",'1. Live'!AA211-'check-Jul25'!AA211)</f>
        <v/>
      </c>
      <c r="AB211" t="str">
        <f>IF('1. Live'!AB211='check-Jul25'!AB211,"",'1. Live'!AB211-'check-Jul25'!AB211)</f>
        <v/>
      </c>
      <c r="AC211" t="str">
        <f>IF('1. Live'!AC211='check-Jul25'!AC211,"",'1. Live'!AC211-'check-Jul25'!AC211)</f>
        <v/>
      </c>
      <c r="AD211" t="str">
        <f>IF('1. Live'!AD211='check-Jul25'!AD211,"",'1. Live'!AD211-'check-Jul25'!AD211)</f>
        <v/>
      </c>
      <c r="AE211" t="str">
        <f>IF('1. Live'!AE211='check-Jul25'!AE211,"",'1. Live'!AE211-'check-Jul25'!AE211)</f>
        <v/>
      </c>
      <c r="AF211" t="str">
        <f>IF('1. Live'!AF211='check-Jul25'!AF211,"",'1. Live'!AF211-'check-Jul25'!AF211)</f>
        <v/>
      </c>
      <c r="AG211" t="str">
        <f>IF('1. Live'!AG211='check-Jul25'!AG211,"",'1. Live'!AG211-'check-Jul25'!AG211)</f>
        <v/>
      </c>
      <c r="AH211" t="str">
        <f>IF('1. Live'!AH211='check-Jul25'!AH211,"",'1. Live'!AH211-'check-Jul25'!AH211)</f>
        <v/>
      </c>
      <c r="AI211" t="str">
        <f>IF('1. Live'!AI211='check-Jul25'!AI211,"",'1. Live'!AI211-'check-Jul25'!AI211)</f>
        <v/>
      </c>
      <c r="AJ211" t="str">
        <f>IF('1. Live'!AJ211='check-Jul25'!AJ211,"",'1. Live'!AJ211-'check-Jul25'!AJ211)</f>
        <v/>
      </c>
      <c r="AK211" t="str">
        <f>IF('1. Live'!AK211='check-Jul25'!AK211,"",'1. Live'!AK211-'check-Jul25'!AK211)</f>
        <v/>
      </c>
      <c r="AL211" t="str">
        <f>IF('1. Live'!AL211='check-Jul25'!AL211,"",'1. Live'!AL211-'check-Jul25'!AL211)</f>
        <v/>
      </c>
      <c r="AM211" t="str">
        <f>IF('1. Live'!AM211='check-Jul25'!AM211,"",'1. Live'!AM211-'check-Jul25'!AM211)</f>
        <v/>
      </c>
      <c r="AN211" t="str">
        <f>IF('1. Live'!AN211='check-Jul25'!AN211,"",'1. Live'!AN211-'check-Jul25'!AN211)</f>
        <v/>
      </c>
      <c r="AO211" t="str">
        <f>IF('1. Live'!AO211='check-Jul25'!AO211,"",'1. Live'!AO211-'check-Jul25'!AO211)</f>
        <v/>
      </c>
      <c r="AP211" t="str">
        <f>IF('1. Live'!AP211='check-Jul25'!AP211,"",'1. Live'!AP211-'check-Jul25'!AP211)</f>
        <v/>
      </c>
      <c r="AQ211" t="str">
        <f>IF('1. Live'!AQ211='check-Jul25'!AQ211,"",'1. Live'!AQ211-'check-Jul25'!AQ211)</f>
        <v/>
      </c>
      <c r="AR211" t="str">
        <f>IF('1. Live'!AR211='check-Jul25'!AR211,"",'1. Live'!AR211-'check-Jul25'!AR211)</f>
        <v/>
      </c>
      <c r="AS211" t="str">
        <f>IF('1. Live'!AS211='check-Jul25'!AS211,"",'1. Live'!AS211-'check-Jul25'!AS211)</f>
        <v/>
      </c>
      <c r="AT211" t="str">
        <f>IF('1. Live'!AT211='check-Jul25'!AT211,"",'1. Live'!AT211-'check-Jul25'!AT211)</f>
        <v/>
      </c>
      <c r="AU211" t="str">
        <f>IF('1. Live'!AU211='check-Jul25'!AU211,"",'1. Live'!AU211-'check-Jul25'!AU211)</f>
        <v/>
      </c>
      <c r="AV211" t="str">
        <f>IF('1. Live'!AV211='check-Jul25'!AV211,"",'1. Live'!AV211-'check-Jul25'!AV211)</f>
        <v/>
      </c>
      <c r="AW211" t="str">
        <f>IF('1. Live'!AW211='check-Jul25'!AW211,"",'1. Live'!AW211-'check-Jul25'!AW211)</f>
        <v/>
      </c>
      <c r="AX211" t="str">
        <f>IF('1. Live'!AX211='check-Jul25'!AX211,"",'1. Live'!AX211-'check-Jul25'!AX211)</f>
        <v/>
      </c>
      <c r="AY211" t="str">
        <f>IF('1. Live'!AY211='check-Jul25'!AY211,"",'1. Live'!AY211-'check-Jul25'!AY211)</f>
        <v/>
      </c>
      <c r="AZ211" t="str">
        <f>IF('1. Live'!AZ211='check-Jul25'!AZ211,"",'1. Live'!AZ211-'check-Jul25'!AZ211)</f>
        <v/>
      </c>
      <c r="BA211" t="str">
        <f>IF('1. Live'!BA211='check-Jul25'!BA211,"",'1. Live'!BA211-'check-Jul25'!BA211)</f>
        <v/>
      </c>
      <c r="BB211" t="str">
        <f>IF('1. Live'!BB211='check-Jul25'!BB211,"",'1. Live'!BB211-'check-Jul25'!BB211)</f>
        <v/>
      </c>
      <c r="BC211" t="str">
        <f>IF('1. Live'!BC211='check-Jul25'!BC211,"",'1. Live'!BC211-'check-Jul25'!BC211)</f>
        <v/>
      </c>
      <c r="BD211" t="str">
        <f>IF('1. Live'!BD211='check-Jul25'!BD211,"",'1. Live'!BD211-'check-Jul25'!BD211)</f>
        <v/>
      </c>
      <c r="BE211" t="str">
        <f>IF('1. Live'!BE211='check-Jul25'!BE211,"",'1. Live'!BE211-'check-Jul25'!BE211)</f>
        <v/>
      </c>
      <c r="BF211" t="str">
        <f>IF('1. Live'!BF211='check-Jul25'!BF211,"",'1. Live'!BF211-'check-Jul25'!BF211)</f>
        <v/>
      </c>
      <c r="BG211" t="str">
        <f>IF('1. Live'!BG211='check-Jul25'!BG211,"",'1. Live'!BG211-'check-Jul25'!BG211)</f>
        <v/>
      </c>
      <c r="BH211" t="str">
        <f>IF('1. Live'!BH211='check-Jul25'!BH211,"",'1. Live'!BH211-'check-Jul25'!BH211)</f>
        <v/>
      </c>
      <c r="BI211" t="str">
        <f>IF('1. Live'!BI211='check-Jul25'!BI211,"",'1. Live'!BI211-'check-Jul25'!BI211)</f>
        <v/>
      </c>
      <c r="BJ211" t="str">
        <f>IF('1. Live'!BJ211='check-Jul25'!BJ211,"",'1. Live'!BJ211-'check-Jul25'!BJ211)</f>
        <v/>
      </c>
      <c r="BK211" t="str">
        <f>IF('1. Live'!BK211='check-Jul25'!BK211,"",'1. Live'!BK211-'check-Jul25'!BK211)</f>
        <v/>
      </c>
      <c r="BL211" t="str">
        <f>IF('1. Live'!BL211='check-Jul25'!BL211,"",'1. Live'!BL211-'check-Jul25'!BL211)</f>
        <v/>
      </c>
      <c r="BM211" t="str">
        <f>IF('1. Live'!BM211='check-Jul25'!BM211,"",'1. Live'!BM211-'check-Jul25'!BM211)</f>
        <v/>
      </c>
      <c r="BN211" t="str">
        <f>IF('1. Live'!BN211='check-Jul25'!BN211,"",'1. Live'!BN211-'check-Jul25'!BN211)</f>
        <v/>
      </c>
      <c r="BO211" t="str">
        <f>IF('1. Live'!BO211='check-Jul25'!BO211,"",'1. Live'!BO211-'check-Jul25'!BO211)</f>
        <v/>
      </c>
      <c r="BP211" t="str">
        <f>IF('1. Live'!BP211='check-Jul25'!BP211,"",'1. Live'!BP211-'check-Jul25'!BP211)</f>
        <v/>
      </c>
      <c r="BQ211" t="str">
        <f>IF('1. Live'!BQ211='check-Jul25'!BQ211,"",'1. Live'!BQ211-'check-Jul25'!BQ211)</f>
        <v/>
      </c>
      <c r="BR211" t="str">
        <f>IF('1. Live'!BR211='check-Jul25'!BR211,"",'1. Live'!BR211-'check-Jul25'!BR211)</f>
        <v/>
      </c>
      <c r="BS211" t="str">
        <f>IF('1. Live'!BS211='check-Jul25'!BS211,"",'1. Live'!BS211-'check-Jul25'!BS211)</f>
        <v/>
      </c>
      <c r="BT211" t="str">
        <f>IF('1. Live'!BT211='check-Jul25'!BT211,"",'1. Live'!BT211-'check-Jul25'!BT211)</f>
        <v/>
      </c>
      <c r="BU211" t="str">
        <f>IF('1. Live'!BU211='check-Jul25'!BU211,"",'1. Live'!BU211-'check-Jul25'!BU211)</f>
        <v/>
      </c>
      <c r="BV211" t="str">
        <f>IF('1. Live'!BV211='check-Jul25'!BV211,"",'1. Live'!BV211-'check-Jul25'!BV211)</f>
        <v/>
      </c>
      <c r="BW211" t="str">
        <f>IF('1. Live'!BW211='check-Jul25'!BW211,"",'1. Live'!BW211-'check-Jul25'!BW211)</f>
        <v/>
      </c>
      <c r="BX211" t="str">
        <f>IF('1. Live'!BX211='check-Jul25'!BX211,"",'1. Live'!BX211-'check-Jul25'!BX211)</f>
        <v/>
      </c>
      <c r="BY211" t="str">
        <f>IF('1. Live'!BY211='check-Jul25'!BY211,"",'1. Live'!BY211-'check-Jul25'!BY211)</f>
        <v/>
      </c>
      <c r="BZ211" t="str">
        <f>IF('1. Live'!BZ211='check-Jul25'!BZ211,"",'1. Live'!BZ211-'check-Jul25'!BZ211)</f>
        <v/>
      </c>
      <c r="CA211" t="str">
        <f>IF('1. Live'!CA211='check-Jul25'!CA211,"",'1. Live'!CA211-'check-Jul25'!CA211)</f>
        <v/>
      </c>
      <c r="CB211" t="str">
        <f>IF('1. Live'!CB211='check-Jul25'!CB211,"",'1. Live'!CB211-'check-Jul25'!CB211)</f>
        <v/>
      </c>
      <c r="CC211" t="str">
        <f>IF('1. Live'!CC211='check-Jul25'!CC211,"",'1. Live'!CC211-'check-Jul25'!CC211)</f>
        <v/>
      </c>
      <c r="CD211" t="str">
        <f>IF('1. Live'!CD211='check-Jul25'!CD211,"",'1. Live'!CD211-'check-Jul25'!CD211)</f>
        <v/>
      </c>
      <c r="CE211" t="str">
        <f>IF('1. Live'!CE211='check-Jul25'!CE211,"",'1. Live'!CE211-'check-Jul25'!CE211)</f>
        <v/>
      </c>
      <c r="CF211" t="str">
        <f>IF('1. Live'!CF211='check-Jul25'!CF211,"",'1. Live'!CF211-'check-Jul25'!CF211)</f>
        <v/>
      </c>
      <c r="CG211" t="str">
        <f>IF('1. Live'!CG211='check-Jul25'!CG211,"",'1. Live'!CG211-'check-Jul25'!CG211)</f>
        <v/>
      </c>
      <c r="CH211" t="str">
        <f>IF('1. Live'!CH211='check-Jul25'!CH211,"",'1. Live'!CH211-'check-Jul25'!CH211)</f>
        <v/>
      </c>
      <c r="CI211" t="str">
        <f>IF('1. Live'!CI211='check-Jul25'!CI211,"",'1. Live'!CI211-'check-Jul25'!CI211)</f>
        <v/>
      </c>
      <c r="CJ211" t="str">
        <f>IF('1. Live'!CJ211='check-Jul25'!CJ211,"",'1. Live'!CJ211-'check-Jul25'!CJ211)</f>
        <v/>
      </c>
      <c r="CK211" t="str">
        <f>IF('1. Live'!CK211='check-Jul25'!CK211,"",'1. Live'!CK211-'check-Jul25'!CK211)</f>
        <v/>
      </c>
      <c r="CL211" t="str">
        <f>IF('1. Live'!CL211='check-Jul25'!CL211,"",'1. Live'!CL211-'check-Jul25'!CL211)</f>
        <v/>
      </c>
      <c r="CM211" t="str">
        <f>IF('1. Live'!CM211='check-Jul25'!CM211,"",'1. Live'!CM211-'check-Jul25'!CM211)</f>
        <v/>
      </c>
      <c r="CN211" t="str">
        <f>IF('1. Live'!CN211='check-Jul25'!CN211,"",'1. Live'!CN211-'check-Jul25'!CN211)</f>
        <v/>
      </c>
      <c r="CO211" t="str">
        <f>IF('1. Live'!CO211='check-Jul25'!CO211,"",'1. Live'!CO211-'check-Jul25'!CO211)</f>
        <v/>
      </c>
      <c r="CP211" t="str">
        <f>IF('1. Live'!CP211='check-Jul25'!CP211,"",'1. Live'!CP211-'check-Jul25'!CP211)</f>
        <v/>
      </c>
      <c r="CQ211" t="str">
        <f>IF('1. Live'!CQ211='check-Jul25'!CQ211,"",'1. Live'!CQ211-'check-Jul25'!CQ211)</f>
        <v/>
      </c>
      <c r="CR211" t="str">
        <f>IF('1. Live'!CR211='check-Jul25'!CR211,"",'1. Live'!CR211-'check-Jul25'!CR211)</f>
        <v/>
      </c>
      <c r="CS211" t="str">
        <f>IF('1. Live'!CS211='check-Jul25'!CS211,"",'1. Live'!CS211-'check-Jul25'!CS211)</f>
        <v/>
      </c>
      <c r="CT211" t="str">
        <f>IF('1. Live'!CT211='check-Jul25'!CT211,"",'1. Live'!CT211-'check-Jul25'!CT211)</f>
        <v/>
      </c>
      <c r="CU211" t="str">
        <f>IF('1. Live'!CU211='check-Jul25'!CU211,"",'1. Live'!CU211-'check-Jul25'!CU211)</f>
        <v/>
      </c>
      <c r="CV211" t="str">
        <f>IF('1. Live'!CV211='check-Jul25'!CV211,"",'1. Live'!CV211-'check-Jul25'!CV211)</f>
        <v/>
      </c>
      <c r="CW211" t="str">
        <f>IF('1. Live'!CW211='check-Jul25'!CW211,"",'1. Live'!CW211-'check-Jul25'!CW211)</f>
        <v/>
      </c>
    </row>
    <row r="212" spans="10:101">
      <c r="J212" t="str">
        <f>IF('1. Live'!J212='check-Jul25'!J212,"",'1. Live'!J212-'check-Jul25'!J212)</f>
        <v/>
      </c>
      <c r="K212" t="str">
        <f>IF('1. Live'!K212='check-Jul25'!K212,"",'1. Live'!K212-'check-Jul25'!K212)</f>
        <v/>
      </c>
      <c r="L212" t="str">
        <f>IF('1. Live'!L212='check-Jul25'!L212,"",'1. Live'!L212-'check-Jul25'!L212)</f>
        <v/>
      </c>
      <c r="M212" t="str">
        <f>IF('1. Live'!M212='check-Jul25'!M212,"",'1. Live'!M212-'check-Jul25'!M212)</f>
        <v/>
      </c>
      <c r="N212" t="str">
        <f>IF('1. Live'!N212='check-Jul25'!N212,"",'1. Live'!N212-'check-Jul25'!N212)</f>
        <v/>
      </c>
      <c r="O212" t="str">
        <f>IF('1. Live'!O212='check-Jul25'!O212,"",'1. Live'!O212-'check-Jul25'!O212)</f>
        <v/>
      </c>
      <c r="P212" t="str">
        <f>IF('1. Live'!P212='check-Jul25'!P212,"",'1. Live'!P212-'check-Jul25'!P212)</f>
        <v/>
      </c>
      <c r="Q212" t="str">
        <f>IF('1. Live'!Q212='check-Jul25'!Q212,"",'1. Live'!Q212-'check-Jul25'!Q212)</f>
        <v/>
      </c>
      <c r="R212" t="str">
        <f>IF('1. Live'!R212='check-Jul25'!R212,"",'1. Live'!R212-'check-Jul25'!R212)</f>
        <v/>
      </c>
      <c r="S212" t="str">
        <f>IF('1. Live'!S212='check-Jul25'!S212,"",'1. Live'!S212-'check-Jul25'!S212)</f>
        <v/>
      </c>
      <c r="T212" t="str">
        <f>IF('1. Live'!T212='check-Jul25'!T212,"",'1. Live'!T212-'check-Jul25'!T212)</f>
        <v/>
      </c>
      <c r="U212" t="str">
        <f>IF('1. Live'!U212='check-Jul25'!U212,"",'1. Live'!U212-'check-Jul25'!U212)</f>
        <v/>
      </c>
      <c r="V212" t="str">
        <f>IF('1. Live'!V212='check-Jul25'!V212,"",'1. Live'!V212-'check-Jul25'!V212)</f>
        <v/>
      </c>
      <c r="W212" t="str">
        <f>IF('1. Live'!W212='check-Jul25'!W212,"",'1. Live'!W212-'check-Jul25'!W212)</f>
        <v/>
      </c>
      <c r="X212" t="str">
        <f>IF('1. Live'!X212='check-Jul25'!X212,"",'1. Live'!X212-'check-Jul25'!X212)</f>
        <v/>
      </c>
      <c r="Y212" t="str">
        <f>IF('1. Live'!Y212='check-Jul25'!Y212,"",'1. Live'!Y212-'check-Jul25'!Y212)</f>
        <v/>
      </c>
      <c r="Z212" t="str">
        <f>IF('1. Live'!Z212='check-Jul25'!Z212,"",'1. Live'!Z212-'check-Jul25'!Z212)</f>
        <v/>
      </c>
      <c r="AA212" t="str">
        <f>IF('1. Live'!AA212='check-Jul25'!AA212,"",'1. Live'!AA212-'check-Jul25'!AA212)</f>
        <v/>
      </c>
      <c r="AB212" t="str">
        <f>IF('1. Live'!AB212='check-Jul25'!AB212,"",'1. Live'!AB212-'check-Jul25'!AB212)</f>
        <v/>
      </c>
      <c r="AC212" t="str">
        <f>IF('1. Live'!AC212='check-Jul25'!AC212,"",'1. Live'!AC212-'check-Jul25'!AC212)</f>
        <v/>
      </c>
      <c r="AD212" t="str">
        <f>IF('1. Live'!AD212='check-Jul25'!AD212,"",'1. Live'!AD212-'check-Jul25'!AD212)</f>
        <v/>
      </c>
      <c r="AE212" t="str">
        <f>IF('1. Live'!AE212='check-Jul25'!AE212,"",'1. Live'!AE212-'check-Jul25'!AE212)</f>
        <v/>
      </c>
      <c r="AF212" t="str">
        <f>IF('1. Live'!AF212='check-Jul25'!AF212,"",'1. Live'!AF212-'check-Jul25'!AF212)</f>
        <v/>
      </c>
      <c r="AG212" t="str">
        <f>IF('1. Live'!AG212='check-Jul25'!AG212,"",'1. Live'!AG212-'check-Jul25'!AG212)</f>
        <v/>
      </c>
      <c r="AH212" t="str">
        <f>IF('1. Live'!AH212='check-Jul25'!AH212,"",'1. Live'!AH212-'check-Jul25'!AH212)</f>
        <v/>
      </c>
      <c r="AI212" t="str">
        <f>IF('1. Live'!AI212='check-Jul25'!AI212,"",'1. Live'!AI212-'check-Jul25'!AI212)</f>
        <v/>
      </c>
      <c r="AJ212" t="str">
        <f>IF('1. Live'!AJ212='check-Jul25'!AJ212,"",'1. Live'!AJ212-'check-Jul25'!AJ212)</f>
        <v/>
      </c>
      <c r="AK212" t="str">
        <f>IF('1. Live'!AK212='check-Jul25'!AK212,"",'1. Live'!AK212-'check-Jul25'!AK212)</f>
        <v/>
      </c>
      <c r="AL212" t="str">
        <f>IF('1. Live'!AL212='check-Jul25'!AL212,"",'1. Live'!AL212-'check-Jul25'!AL212)</f>
        <v/>
      </c>
      <c r="AM212" t="str">
        <f>IF('1. Live'!AM212='check-Jul25'!AM212,"",'1. Live'!AM212-'check-Jul25'!AM212)</f>
        <v/>
      </c>
      <c r="AN212" t="str">
        <f>IF('1. Live'!AN212='check-Jul25'!AN212,"",'1. Live'!AN212-'check-Jul25'!AN212)</f>
        <v/>
      </c>
      <c r="AO212" t="str">
        <f>IF('1. Live'!AO212='check-Jul25'!AO212,"",'1. Live'!AO212-'check-Jul25'!AO212)</f>
        <v/>
      </c>
      <c r="AP212" t="str">
        <f>IF('1. Live'!AP212='check-Jul25'!AP212,"",'1. Live'!AP212-'check-Jul25'!AP212)</f>
        <v/>
      </c>
      <c r="AQ212" t="str">
        <f>IF('1. Live'!AQ212='check-Jul25'!AQ212,"",'1. Live'!AQ212-'check-Jul25'!AQ212)</f>
        <v/>
      </c>
      <c r="AR212" t="str">
        <f>IF('1. Live'!AR212='check-Jul25'!AR212,"",'1. Live'!AR212-'check-Jul25'!AR212)</f>
        <v/>
      </c>
      <c r="AS212" t="str">
        <f>IF('1. Live'!AS212='check-Jul25'!AS212,"",'1. Live'!AS212-'check-Jul25'!AS212)</f>
        <v/>
      </c>
      <c r="AT212" t="str">
        <f>IF('1. Live'!AT212='check-Jul25'!AT212,"",'1. Live'!AT212-'check-Jul25'!AT212)</f>
        <v/>
      </c>
      <c r="AU212" t="str">
        <f>IF('1. Live'!AU212='check-Jul25'!AU212,"",'1. Live'!AU212-'check-Jul25'!AU212)</f>
        <v/>
      </c>
      <c r="AV212" t="str">
        <f>IF('1. Live'!AV212='check-Jul25'!AV212,"",'1. Live'!AV212-'check-Jul25'!AV212)</f>
        <v/>
      </c>
      <c r="AW212" t="str">
        <f>IF('1. Live'!AW212='check-Jul25'!AW212,"",'1. Live'!AW212-'check-Jul25'!AW212)</f>
        <v/>
      </c>
      <c r="AX212" t="str">
        <f>IF('1. Live'!AX212='check-Jul25'!AX212,"",'1. Live'!AX212-'check-Jul25'!AX212)</f>
        <v/>
      </c>
      <c r="AY212" t="str">
        <f>IF('1. Live'!AY212='check-Jul25'!AY212,"",'1. Live'!AY212-'check-Jul25'!AY212)</f>
        <v/>
      </c>
      <c r="AZ212" t="str">
        <f>IF('1. Live'!AZ212='check-Jul25'!AZ212,"",'1. Live'!AZ212-'check-Jul25'!AZ212)</f>
        <v/>
      </c>
      <c r="BA212" t="str">
        <f>IF('1. Live'!BA212='check-Jul25'!BA212,"",'1. Live'!BA212-'check-Jul25'!BA212)</f>
        <v/>
      </c>
      <c r="BB212" t="str">
        <f>IF('1. Live'!BB212='check-Jul25'!BB212,"",'1. Live'!BB212-'check-Jul25'!BB212)</f>
        <v/>
      </c>
      <c r="BC212" t="str">
        <f>IF('1. Live'!BC212='check-Jul25'!BC212,"",'1. Live'!BC212-'check-Jul25'!BC212)</f>
        <v/>
      </c>
      <c r="BD212" t="str">
        <f>IF('1. Live'!BD212='check-Jul25'!BD212,"",'1. Live'!BD212-'check-Jul25'!BD212)</f>
        <v/>
      </c>
      <c r="BE212" t="str">
        <f>IF('1. Live'!BE212='check-Jul25'!BE212,"",'1. Live'!BE212-'check-Jul25'!BE212)</f>
        <v/>
      </c>
      <c r="BF212" t="str">
        <f>IF('1. Live'!BF212='check-Jul25'!BF212,"",'1. Live'!BF212-'check-Jul25'!BF212)</f>
        <v/>
      </c>
      <c r="BG212" t="str">
        <f>IF('1. Live'!BG212='check-Jul25'!BG212,"",'1. Live'!BG212-'check-Jul25'!BG212)</f>
        <v/>
      </c>
      <c r="BH212" t="str">
        <f>IF('1. Live'!BH212='check-Jul25'!BH212,"",'1. Live'!BH212-'check-Jul25'!BH212)</f>
        <v/>
      </c>
      <c r="BI212" t="str">
        <f>IF('1. Live'!BI212='check-Jul25'!BI212,"",'1. Live'!BI212-'check-Jul25'!BI212)</f>
        <v/>
      </c>
      <c r="BJ212" t="str">
        <f>IF('1. Live'!BJ212='check-Jul25'!BJ212,"",'1. Live'!BJ212-'check-Jul25'!BJ212)</f>
        <v/>
      </c>
      <c r="BK212" t="str">
        <f>IF('1. Live'!BK212='check-Jul25'!BK212,"",'1. Live'!BK212-'check-Jul25'!BK212)</f>
        <v/>
      </c>
      <c r="BL212" t="str">
        <f>IF('1. Live'!BL212='check-Jul25'!BL212,"",'1. Live'!BL212-'check-Jul25'!BL212)</f>
        <v/>
      </c>
      <c r="BM212" t="str">
        <f>IF('1. Live'!BM212='check-Jul25'!BM212,"",'1. Live'!BM212-'check-Jul25'!BM212)</f>
        <v/>
      </c>
      <c r="BN212" t="str">
        <f>IF('1. Live'!BN212='check-Jul25'!BN212,"",'1. Live'!BN212-'check-Jul25'!BN212)</f>
        <v/>
      </c>
      <c r="BO212" t="str">
        <f>IF('1. Live'!BO212='check-Jul25'!BO212,"",'1. Live'!BO212-'check-Jul25'!BO212)</f>
        <v/>
      </c>
      <c r="BP212" t="str">
        <f>IF('1. Live'!BP212='check-Jul25'!BP212,"",'1. Live'!BP212-'check-Jul25'!BP212)</f>
        <v/>
      </c>
      <c r="BQ212" t="str">
        <f>IF('1. Live'!BQ212='check-Jul25'!BQ212,"",'1. Live'!BQ212-'check-Jul25'!BQ212)</f>
        <v/>
      </c>
      <c r="BR212" t="str">
        <f>IF('1. Live'!BR212='check-Jul25'!BR212,"",'1. Live'!BR212-'check-Jul25'!BR212)</f>
        <v/>
      </c>
      <c r="BS212" t="str">
        <f>IF('1. Live'!BS212='check-Jul25'!BS212,"",'1. Live'!BS212-'check-Jul25'!BS212)</f>
        <v/>
      </c>
      <c r="BT212" t="str">
        <f>IF('1. Live'!BT212='check-Jul25'!BT212,"",'1. Live'!BT212-'check-Jul25'!BT212)</f>
        <v/>
      </c>
      <c r="BU212" t="str">
        <f>IF('1. Live'!BU212='check-Jul25'!BU212,"",'1. Live'!BU212-'check-Jul25'!BU212)</f>
        <v/>
      </c>
      <c r="BV212" t="str">
        <f>IF('1. Live'!BV212='check-Jul25'!BV212,"",'1. Live'!BV212-'check-Jul25'!BV212)</f>
        <v/>
      </c>
      <c r="BW212" t="str">
        <f>IF('1. Live'!BW212='check-Jul25'!BW212,"",'1. Live'!BW212-'check-Jul25'!BW212)</f>
        <v/>
      </c>
      <c r="BX212" t="str">
        <f>IF('1. Live'!BX212='check-Jul25'!BX212,"",'1. Live'!BX212-'check-Jul25'!BX212)</f>
        <v/>
      </c>
      <c r="BY212" t="str">
        <f>IF('1. Live'!BY212='check-Jul25'!BY212,"",'1. Live'!BY212-'check-Jul25'!BY212)</f>
        <v/>
      </c>
      <c r="BZ212" t="str">
        <f>IF('1. Live'!BZ212='check-Jul25'!BZ212,"",'1. Live'!BZ212-'check-Jul25'!BZ212)</f>
        <v/>
      </c>
      <c r="CA212" t="str">
        <f>IF('1. Live'!CA212='check-Jul25'!CA212,"",'1. Live'!CA212-'check-Jul25'!CA212)</f>
        <v/>
      </c>
      <c r="CB212" t="str">
        <f>IF('1. Live'!CB212='check-Jul25'!CB212,"",'1. Live'!CB212-'check-Jul25'!CB212)</f>
        <v/>
      </c>
      <c r="CC212" t="str">
        <f>IF('1. Live'!CC212='check-Jul25'!CC212,"",'1. Live'!CC212-'check-Jul25'!CC212)</f>
        <v/>
      </c>
      <c r="CD212" t="str">
        <f>IF('1. Live'!CD212='check-Jul25'!CD212,"",'1. Live'!CD212-'check-Jul25'!CD212)</f>
        <v/>
      </c>
      <c r="CE212" t="str">
        <f>IF('1. Live'!CE212='check-Jul25'!CE212,"",'1. Live'!CE212-'check-Jul25'!CE212)</f>
        <v/>
      </c>
      <c r="CF212" t="str">
        <f>IF('1. Live'!CF212='check-Jul25'!CF212,"",'1. Live'!CF212-'check-Jul25'!CF212)</f>
        <v/>
      </c>
      <c r="CG212" t="str">
        <f>IF('1. Live'!CG212='check-Jul25'!CG212,"",'1. Live'!CG212-'check-Jul25'!CG212)</f>
        <v/>
      </c>
      <c r="CH212" t="str">
        <f>IF('1. Live'!CH212='check-Jul25'!CH212,"",'1. Live'!CH212-'check-Jul25'!CH212)</f>
        <v/>
      </c>
      <c r="CI212" t="str">
        <f>IF('1. Live'!CI212='check-Jul25'!CI212,"",'1. Live'!CI212-'check-Jul25'!CI212)</f>
        <v/>
      </c>
      <c r="CJ212" t="str">
        <f>IF('1. Live'!CJ212='check-Jul25'!CJ212,"",'1. Live'!CJ212-'check-Jul25'!CJ212)</f>
        <v/>
      </c>
      <c r="CK212" t="str">
        <f>IF('1. Live'!CK212='check-Jul25'!CK212,"",'1. Live'!CK212-'check-Jul25'!CK212)</f>
        <v/>
      </c>
      <c r="CL212" t="str">
        <f>IF('1. Live'!CL212='check-Jul25'!CL212,"",'1. Live'!CL212-'check-Jul25'!CL212)</f>
        <v/>
      </c>
      <c r="CM212" t="str">
        <f>IF('1. Live'!CM212='check-Jul25'!CM212,"",'1. Live'!CM212-'check-Jul25'!CM212)</f>
        <v/>
      </c>
      <c r="CN212" t="str">
        <f>IF('1. Live'!CN212='check-Jul25'!CN212,"",'1. Live'!CN212-'check-Jul25'!CN212)</f>
        <v/>
      </c>
      <c r="CO212" t="str">
        <f>IF('1. Live'!CO212='check-Jul25'!CO212,"",'1. Live'!CO212-'check-Jul25'!CO212)</f>
        <v/>
      </c>
      <c r="CP212" t="str">
        <f>IF('1. Live'!CP212='check-Jul25'!CP212,"",'1. Live'!CP212-'check-Jul25'!CP212)</f>
        <v/>
      </c>
      <c r="CQ212" t="str">
        <f>IF('1. Live'!CQ212='check-Jul25'!CQ212,"",'1. Live'!CQ212-'check-Jul25'!CQ212)</f>
        <v/>
      </c>
      <c r="CR212" t="str">
        <f>IF('1. Live'!CR212='check-Jul25'!CR212,"",'1. Live'!CR212-'check-Jul25'!CR212)</f>
        <v/>
      </c>
      <c r="CS212" t="str">
        <f>IF('1. Live'!CS212='check-Jul25'!CS212,"",'1. Live'!CS212-'check-Jul25'!CS212)</f>
        <v/>
      </c>
      <c r="CT212" t="str">
        <f>IF('1. Live'!CT212='check-Jul25'!CT212,"",'1. Live'!CT212-'check-Jul25'!CT212)</f>
        <v/>
      </c>
      <c r="CU212" t="str">
        <f>IF('1. Live'!CU212='check-Jul25'!CU212,"",'1. Live'!CU212-'check-Jul25'!CU212)</f>
        <v/>
      </c>
      <c r="CV212" t="str">
        <f>IF('1. Live'!CV212='check-Jul25'!CV212,"",'1. Live'!CV212-'check-Jul25'!CV212)</f>
        <v/>
      </c>
      <c r="CW212" t="str">
        <f>IF('1. Live'!CW212='check-Jul25'!CW212,"",'1. Live'!CW212-'check-Jul25'!CW212)</f>
        <v/>
      </c>
    </row>
    <row r="213" spans="10:101">
      <c r="J213" t="str">
        <f>IF('1. Live'!J213='check-Jul25'!J213,"",'1. Live'!J213-'check-Jul25'!J213)</f>
        <v/>
      </c>
      <c r="K213" t="str">
        <f>IF('1. Live'!K213='check-Jul25'!K213,"",'1. Live'!K213-'check-Jul25'!K213)</f>
        <v/>
      </c>
      <c r="L213" t="str">
        <f>IF('1. Live'!L213='check-Jul25'!L213,"",'1. Live'!L213-'check-Jul25'!L213)</f>
        <v/>
      </c>
      <c r="M213" t="str">
        <f>IF('1. Live'!M213='check-Jul25'!M213,"",'1. Live'!M213-'check-Jul25'!M213)</f>
        <v/>
      </c>
      <c r="N213" t="str">
        <f>IF('1. Live'!N213='check-Jul25'!N213,"",'1. Live'!N213-'check-Jul25'!N213)</f>
        <v/>
      </c>
      <c r="O213" t="str">
        <f>IF('1. Live'!O213='check-Jul25'!O213,"",'1. Live'!O213-'check-Jul25'!O213)</f>
        <v/>
      </c>
      <c r="P213" t="str">
        <f>IF('1. Live'!P213='check-Jul25'!P213,"",'1. Live'!P213-'check-Jul25'!P213)</f>
        <v/>
      </c>
      <c r="Q213" t="str">
        <f>IF('1. Live'!Q213='check-Jul25'!Q213,"",'1. Live'!Q213-'check-Jul25'!Q213)</f>
        <v/>
      </c>
      <c r="R213" t="str">
        <f>IF('1. Live'!R213='check-Jul25'!R213,"",'1. Live'!R213-'check-Jul25'!R213)</f>
        <v/>
      </c>
      <c r="S213" t="str">
        <f>IF('1. Live'!S213='check-Jul25'!S213,"",'1. Live'!S213-'check-Jul25'!S213)</f>
        <v/>
      </c>
      <c r="T213" t="str">
        <f>IF('1. Live'!T213='check-Jul25'!T213,"",'1. Live'!T213-'check-Jul25'!T213)</f>
        <v/>
      </c>
      <c r="U213" t="str">
        <f>IF('1. Live'!U213='check-Jul25'!U213,"",'1. Live'!U213-'check-Jul25'!U213)</f>
        <v/>
      </c>
      <c r="V213" t="str">
        <f>IF('1. Live'!V213='check-Jul25'!V213,"",'1. Live'!V213-'check-Jul25'!V213)</f>
        <v/>
      </c>
      <c r="W213" t="str">
        <f>IF('1. Live'!W213='check-Jul25'!W213,"",'1. Live'!W213-'check-Jul25'!W213)</f>
        <v/>
      </c>
      <c r="X213" t="str">
        <f>IF('1. Live'!X213='check-Jul25'!X213,"",'1. Live'!X213-'check-Jul25'!X213)</f>
        <v/>
      </c>
      <c r="Y213" t="str">
        <f>IF('1. Live'!Y213='check-Jul25'!Y213,"",'1. Live'!Y213-'check-Jul25'!Y213)</f>
        <v/>
      </c>
      <c r="Z213" t="str">
        <f>IF('1. Live'!Z213='check-Jul25'!Z213,"",'1. Live'!Z213-'check-Jul25'!Z213)</f>
        <v/>
      </c>
      <c r="AA213" t="str">
        <f>IF('1. Live'!AA213='check-Jul25'!AA213,"",'1. Live'!AA213-'check-Jul25'!AA213)</f>
        <v/>
      </c>
      <c r="AB213" t="str">
        <f>IF('1. Live'!AB213='check-Jul25'!AB213,"",'1. Live'!AB213-'check-Jul25'!AB213)</f>
        <v/>
      </c>
      <c r="AC213" t="str">
        <f>IF('1. Live'!AC213='check-Jul25'!AC213,"",'1. Live'!AC213-'check-Jul25'!AC213)</f>
        <v/>
      </c>
      <c r="AD213" t="str">
        <f>IF('1. Live'!AD213='check-Jul25'!AD213,"",'1. Live'!AD213-'check-Jul25'!AD213)</f>
        <v/>
      </c>
      <c r="AE213" t="str">
        <f>IF('1. Live'!AE213='check-Jul25'!AE213,"",'1. Live'!AE213-'check-Jul25'!AE213)</f>
        <v/>
      </c>
      <c r="AF213" t="str">
        <f>IF('1. Live'!AF213='check-Jul25'!AF213,"",'1. Live'!AF213-'check-Jul25'!AF213)</f>
        <v/>
      </c>
      <c r="AG213" t="str">
        <f>IF('1. Live'!AG213='check-Jul25'!AG213,"",'1. Live'!AG213-'check-Jul25'!AG213)</f>
        <v/>
      </c>
      <c r="AH213" t="str">
        <f>IF('1. Live'!AH213='check-Jul25'!AH213,"",'1. Live'!AH213-'check-Jul25'!AH213)</f>
        <v/>
      </c>
      <c r="AI213" t="str">
        <f>IF('1. Live'!AI213='check-Jul25'!AI213,"",'1. Live'!AI213-'check-Jul25'!AI213)</f>
        <v/>
      </c>
      <c r="AJ213" t="str">
        <f>IF('1. Live'!AJ213='check-Jul25'!AJ213,"",'1. Live'!AJ213-'check-Jul25'!AJ213)</f>
        <v/>
      </c>
      <c r="AK213" t="str">
        <f>IF('1. Live'!AK213='check-Jul25'!AK213,"",'1. Live'!AK213-'check-Jul25'!AK213)</f>
        <v/>
      </c>
      <c r="AL213" t="str">
        <f>IF('1. Live'!AL213='check-Jul25'!AL213,"",'1. Live'!AL213-'check-Jul25'!AL213)</f>
        <v/>
      </c>
      <c r="AM213" t="str">
        <f>IF('1. Live'!AM213='check-Jul25'!AM213,"",'1. Live'!AM213-'check-Jul25'!AM213)</f>
        <v/>
      </c>
      <c r="AN213" t="str">
        <f>IF('1. Live'!AN213='check-Jul25'!AN213,"",'1. Live'!AN213-'check-Jul25'!AN213)</f>
        <v/>
      </c>
      <c r="AO213" t="str">
        <f>IF('1. Live'!AO213='check-Jul25'!AO213,"",'1. Live'!AO213-'check-Jul25'!AO213)</f>
        <v/>
      </c>
      <c r="AP213" t="str">
        <f>IF('1. Live'!AP213='check-Jul25'!AP213,"",'1. Live'!AP213-'check-Jul25'!AP213)</f>
        <v/>
      </c>
      <c r="AQ213" t="str">
        <f>IF('1. Live'!AQ213='check-Jul25'!AQ213,"",'1. Live'!AQ213-'check-Jul25'!AQ213)</f>
        <v/>
      </c>
      <c r="AR213" t="str">
        <f>IF('1. Live'!AR213='check-Jul25'!AR213,"",'1. Live'!AR213-'check-Jul25'!AR213)</f>
        <v/>
      </c>
      <c r="AS213" t="str">
        <f>IF('1. Live'!AS213='check-Jul25'!AS213,"",'1. Live'!AS213-'check-Jul25'!AS213)</f>
        <v/>
      </c>
      <c r="AT213" t="str">
        <f>IF('1. Live'!AT213='check-Jul25'!AT213,"",'1. Live'!AT213-'check-Jul25'!AT213)</f>
        <v/>
      </c>
      <c r="AU213" t="str">
        <f>IF('1. Live'!AU213='check-Jul25'!AU213,"",'1. Live'!AU213-'check-Jul25'!AU213)</f>
        <v/>
      </c>
      <c r="AV213" t="str">
        <f>IF('1. Live'!AV213='check-Jul25'!AV213,"",'1. Live'!AV213-'check-Jul25'!AV213)</f>
        <v/>
      </c>
      <c r="AW213" t="str">
        <f>IF('1. Live'!AW213='check-Jul25'!AW213,"",'1. Live'!AW213-'check-Jul25'!AW213)</f>
        <v/>
      </c>
      <c r="AX213" t="str">
        <f>IF('1. Live'!AX213='check-Jul25'!AX213,"",'1. Live'!AX213-'check-Jul25'!AX213)</f>
        <v/>
      </c>
      <c r="AY213" t="str">
        <f>IF('1. Live'!AY213='check-Jul25'!AY213,"",'1. Live'!AY213-'check-Jul25'!AY213)</f>
        <v/>
      </c>
      <c r="AZ213" t="str">
        <f>IF('1. Live'!AZ213='check-Jul25'!AZ213,"",'1. Live'!AZ213-'check-Jul25'!AZ213)</f>
        <v/>
      </c>
      <c r="BA213" t="str">
        <f>IF('1. Live'!BA213='check-Jul25'!BA213,"",'1. Live'!BA213-'check-Jul25'!BA213)</f>
        <v/>
      </c>
      <c r="BB213" t="str">
        <f>IF('1. Live'!BB213='check-Jul25'!BB213,"",'1. Live'!BB213-'check-Jul25'!BB213)</f>
        <v/>
      </c>
      <c r="BC213" t="str">
        <f>IF('1. Live'!BC213='check-Jul25'!BC213,"",'1. Live'!BC213-'check-Jul25'!BC213)</f>
        <v/>
      </c>
      <c r="BD213" t="str">
        <f>IF('1. Live'!BD213='check-Jul25'!BD213,"",'1. Live'!BD213-'check-Jul25'!BD213)</f>
        <v/>
      </c>
      <c r="BE213" t="str">
        <f>IF('1. Live'!BE213='check-Jul25'!BE213,"",'1. Live'!BE213-'check-Jul25'!BE213)</f>
        <v/>
      </c>
      <c r="BF213" t="str">
        <f>IF('1. Live'!BF213='check-Jul25'!BF213,"",'1. Live'!BF213-'check-Jul25'!BF213)</f>
        <v/>
      </c>
      <c r="BG213" t="str">
        <f>IF('1. Live'!BG213='check-Jul25'!BG213,"",'1. Live'!BG213-'check-Jul25'!BG213)</f>
        <v/>
      </c>
      <c r="BH213" t="str">
        <f>IF('1. Live'!BH213='check-Jul25'!BH213,"",'1. Live'!BH213-'check-Jul25'!BH213)</f>
        <v/>
      </c>
      <c r="BI213" t="str">
        <f>IF('1. Live'!BI213='check-Jul25'!BI213,"",'1. Live'!BI213-'check-Jul25'!BI213)</f>
        <v/>
      </c>
      <c r="BJ213" t="str">
        <f>IF('1. Live'!BJ213='check-Jul25'!BJ213,"",'1. Live'!BJ213-'check-Jul25'!BJ213)</f>
        <v/>
      </c>
      <c r="BK213" t="str">
        <f>IF('1. Live'!BK213='check-Jul25'!BK213,"",'1. Live'!BK213-'check-Jul25'!BK213)</f>
        <v/>
      </c>
      <c r="BL213" t="str">
        <f>IF('1. Live'!BL213='check-Jul25'!BL213,"",'1. Live'!BL213-'check-Jul25'!BL213)</f>
        <v/>
      </c>
      <c r="BM213" t="str">
        <f>IF('1. Live'!BM213='check-Jul25'!BM213,"",'1. Live'!BM213-'check-Jul25'!BM213)</f>
        <v/>
      </c>
      <c r="BN213" t="str">
        <f>IF('1. Live'!BN213='check-Jul25'!BN213,"",'1. Live'!BN213-'check-Jul25'!BN213)</f>
        <v/>
      </c>
      <c r="BO213" t="str">
        <f>IF('1. Live'!BO213='check-Jul25'!BO213,"",'1. Live'!BO213-'check-Jul25'!BO213)</f>
        <v/>
      </c>
      <c r="BP213" t="str">
        <f>IF('1. Live'!BP213='check-Jul25'!BP213,"",'1. Live'!BP213-'check-Jul25'!BP213)</f>
        <v/>
      </c>
      <c r="BQ213" t="str">
        <f>IF('1. Live'!BQ213='check-Jul25'!BQ213,"",'1. Live'!BQ213-'check-Jul25'!BQ213)</f>
        <v/>
      </c>
      <c r="BR213" t="str">
        <f>IF('1. Live'!BR213='check-Jul25'!BR213,"",'1. Live'!BR213-'check-Jul25'!BR213)</f>
        <v/>
      </c>
      <c r="BS213" t="str">
        <f>IF('1. Live'!BS213='check-Jul25'!BS213,"",'1. Live'!BS213-'check-Jul25'!BS213)</f>
        <v/>
      </c>
      <c r="BT213" t="str">
        <f>IF('1. Live'!BT213='check-Jul25'!BT213,"",'1. Live'!BT213-'check-Jul25'!BT213)</f>
        <v/>
      </c>
      <c r="BU213" t="str">
        <f>IF('1. Live'!BU213='check-Jul25'!BU213,"",'1. Live'!BU213-'check-Jul25'!BU213)</f>
        <v/>
      </c>
      <c r="BV213" t="str">
        <f>IF('1. Live'!BV213='check-Jul25'!BV213,"",'1. Live'!BV213-'check-Jul25'!BV213)</f>
        <v/>
      </c>
      <c r="BW213" t="str">
        <f>IF('1. Live'!BW213='check-Jul25'!BW213,"",'1. Live'!BW213-'check-Jul25'!BW213)</f>
        <v/>
      </c>
      <c r="BX213" t="str">
        <f>IF('1. Live'!BX213='check-Jul25'!BX213,"",'1. Live'!BX213-'check-Jul25'!BX213)</f>
        <v/>
      </c>
      <c r="BY213" t="str">
        <f>IF('1. Live'!BY213='check-Jul25'!BY213,"",'1. Live'!BY213-'check-Jul25'!BY213)</f>
        <v/>
      </c>
      <c r="BZ213" t="str">
        <f>IF('1. Live'!BZ213='check-Jul25'!BZ213,"",'1. Live'!BZ213-'check-Jul25'!BZ213)</f>
        <v/>
      </c>
      <c r="CA213" t="str">
        <f>IF('1. Live'!CA213='check-Jul25'!CA213,"",'1. Live'!CA213-'check-Jul25'!CA213)</f>
        <v/>
      </c>
      <c r="CB213" t="str">
        <f>IF('1. Live'!CB213='check-Jul25'!CB213,"",'1. Live'!CB213-'check-Jul25'!CB213)</f>
        <v/>
      </c>
      <c r="CC213" t="str">
        <f>IF('1. Live'!CC213='check-Jul25'!CC213,"",'1. Live'!CC213-'check-Jul25'!CC213)</f>
        <v/>
      </c>
      <c r="CD213" t="str">
        <f>IF('1. Live'!CD213='check-Jul25'!CD213,"",'1. Live'!CD213-'check-Jul25'!CD213)</f>
        <v/>
      </c>
      <c r="CE213" t="str">
        <f>IF('1. Live'!CE213='check-Jul25'!CE213,"",'1. Live'!CE213-'check-Jul25'!CE213)</f>
        <v/>
      </c>
      <c r="CF213" t="str">
        <f>IF('1. Live'!CF213='check-Jul25'!CF213,"",'1. Live'!CF213-'check-Jul25'!CF213)</f>
        <v/>
      </c>
      <c r="CG213" t="str">
        <f>IF('1. Live'!CG213='check-Jul25'!CG213,"",'1. Live'!CG213-'check-Jul25'!CG213)</f>
        <v/>
      </c>
      <c r="CH213" t="str">
        <f>IF('1. Live'!CH213='check-Jul25'!CH213,"",'1. Live'!CH213-'check-Jul25'!CH213)</f>
        <v/>
      </c>
      <c r="CI213" t="str">
        <f>IF('1. Live'!CI213='check-Jul25'!CI213,"",'1. Live'!CI213-'check-Jul25'!CI213)</f>
        <v/>
      </c>
      <c r="CJ213" t="str">
        <f>IF('1. Live'!CJ213='check-Jul25'!CJ213,"",'1. Live'!CJ213-'check-Jul25'!CJ213)</f>
        <v/>
      </c>
      <c r="CK213" t="str">
        <f>IF('1. Live'!CK213='check-Jul25'!CK213,"",'1. Live'!CK213-'check-Jul25'!CK213)</f>
        <v/>
      </c>
      <c r="CL213" t="str">
        <f>IF('1. Live'!CL213='check-Jul25'!CL213,"",'1. Live'!CL213-'check-Jul25'!CL213)</f>
        <v/>
      </c>
      <c r="CM213" t="str">
        <f>IF('1. Live'!CM213='check-Jul25'!CM213,"",'1. Live'!CM213-'check-Jul25'!CM213)</f>
        <v/>
      </c>
      <c r="CN213" t="str">
        <f>IF('1. Live'!CN213='check-Jul25'!CN213,"",'1. Live'!CN213-'check-Jul25'!CN213)</f>
        <v/>
      </c>
      <c r="CO213" t="str">
        <f>IF('1. Live'!CO213='check-Jul25'!CO213,"",'1. Live'!CO213-'check-Jul25'!CO213)</f>
        <v/>
      </c>
      <c r="CP213" t="str">
        <f>IF('1. Live'!CP213='check-Jul25'!CP213,"",'1. Live'!CP213-'check-Jul25'!CP213)</f>
        <v/>
      </c>
      <c r="CQ213" t="str">
        <f>IF('1. Live'!CQ213='check-Jul25'!CQ213,"",'1. Live'!CQ213-'check-Jul25'!CQ213)</f>
        <v/>
      </c>
      <c r="CR213" t="str">
        <f>IF('1. Live'!CR213='check-Jul25'!CR213,"",'1. Live'!CR213-'check-Jul25'!CR213)</f>
        <v/>
      </c>
      <c r="CS213" t="str">
        <f>IF('1. Live'!CS213='check-Jul25'!CS213,"",'1. Live'!CS213-'check-Jul25'!CS213)</f>
        <v/>
      </c>
      <c r="CT213" t="str">
        <f>IF('1. Live'!CT213='check-Jul25'!CT213,"",'1. Live'!CT213-'check-Jul25'!CT213)</f>
        <v/>
      </c>
      <c r="CU213" t="str">
        <f>IF('1. Live'!CU213='check-Jul25'!CU213,"",'1. Live'!CU213-'check-Jul25'!CU213)</f>
        <v/>
      </c>
      <c r="CV213" t="str">
        <f>IF('1. Live'!CV213='check-Jul25'!CV213,"",'1. Live'!CV213-'check-Jul25'!CV213)</f>
        <v/>
      </c>
      <c r="CW213" t="str">
        <f>IF('1. Live'!CW213='check-Jul25'!CW213,"",'1. Live'!CW213-'check-Jul25'!CW213)</f>
        <v/>
      </c>
    </row>
    <row r="214" spans="10:101">
      <c r="J214" t="str">
        <f>IF('1. Live'!J214='check-Jul25'!J214,"",'1. Live'!J214-'check-Jul25'!J214)</f>
        <v/>
      </c>
      <c r="K214" t="str">
        <f>IF('1. Live'!K214='check-Jul25'!K214,"",'1. Live'!K214-'check-Jul25'!K214)</f>
        <v/>
      </c>
      <c r="L214" t="str">
        <f>IF('1. Live'!L214='check-Jul25'!L214,"",'1. Live'!L214-'check-Jul25'!L214)</f>
        <v/>
      </c>
      <c r="M214" t="str">
        <f>IF('1. Live'!M214='check-Jul25'!M214,"",'1. Live'!M214-'check-Jul25'!M214)</f>
        <v/>
      </c>
      <c r="N214" t="str">
        <f>IF('1. Live'!N214='check-Jul25'!N214,"",'1. Live'!N214-'check-Jul25'!N214)</f>
        <v/>
      </c>
      <c r="O214" t="str">
        <f>IF('1. Live'!O214='check-Jul25'!O214,"",'1. Live'!O214-'check-Jul25'!O214)</f>
        <v/>
      </c>
      <c r="P214" t="str">
        <f>IF('1. Live'!P214='check-Jul25'!P214,"",'1. Live'!P214-'check-Jul25'!P214)</f>
        <v/>
      </c>
      <c r="Q214" t="str">
        <f>IF('1. Live'!Q214='check-Jul25'!Q214,"",'1. Live'!Q214-'check-Jul25'!Q214)</f>
        <v/>
      </c>
      <c r="R214" t="str">
        <f>IF('1. Live'!R214='check-Jul25'!R214,"",'1. Live'!R214-'check-Jul25'!R214)</f>
        <v/>
      </c>
      <c r="S214" t="str">
        <f>IF('1. Live'!S214='check-Jul25'!S214,"",'1. Live'!S214-'check-Jul25'!S214)</f>
        <v/>
      </c>
      <c r="T214" t="str">
        <f>IF('1. Live'!T214='check-Jul25'!T214,"",'1. Live'!T214-'check-Jul25'!T214)</f>
        <v/>
      </c>
      <c r="U214" t="str">
        <f>IF('1. Live'!U214='check-Jul25'!U214,"",'1. Live'!U214-'check-Jul25'!U214)</f>
        <v/>
      </c>
      <c r="V214" t="str">
        <f>IF('1. Live'!V214='check-Jul25'!V214,"",'1. Live'!V214-'check-Jul25'!V214)</f>
        <v/>
      </c>
      <c r="W214" t="str">
        <f>IF('1. Live'!W214='check-Jul25'!W214,"",'1. Live'!W214-'check-Jul25'!W214)</f>
        <v/>
      </c>
      <c r="X214" t="str">
        <f>IF('1. Live'!X214='check-Jul25'!X214,"",'1. Live'!X214-'check-Jul25'!X214)</f>
        <v/>
      </c>
      <c r="Y214" t="str">
        <f>IF('1. Live'!Y214='check-Jul25'!Y214,"",'1. Live'!Y214-'check-Jul25'!Y214)</f>
        <v/>
      </c>
      <c r="Z214" t="str">
        <f>IF('1. Live'!Z214='check-Jul25'!Z214,"",'1. Live'!Z214-'check-Jul25'!Z214)</f>
        <v/>
      </c>
      <c r="AA214" t="str">
        <f>IF('1. Live'!AA214='check-Jul25'!AA214,"",'1. Live'!AA214-'check-Jul25'!AA214)</f>
        <v/>
      </c>
      <c r="AB214" t="str">
        <f>IF('1. Live'!AB214='check-Jul25'!AB214,"",'1. Live'!AB214-'check-Jul25'!AB214)</f>
        <v/>
      </c>
      <c r="AC214" t="str">
        <f>IF('1. Live'!AC214='check-Jul25'!AC214,"",'1. Live'!AC214-'check-Jul25'!AC214)</f>
        <v/>
      </c>
      <c r="AD214" t="str">
        <f>IF('1. Live'!AD214='check-Jul25'!AD214,"",'1. Live'!AD214-'check-Jul25'!AD214)</f>
        <v/>
      </c>
      <c r="AE214" t="str">
        <f>IF('1. Live'!AE214='check-Jul25'!AE214,"",'1. Live'!AE214-'check-Jul25'!AE214)</f>
        <v/>
      </c>
      <c r="AF214" t="str">
        <f>IF('1. Live'!AF214='check-Jul25'!AF214,"",'1. Live'!AF214-'check-Jul25'!AF214)</f>
        <v/>
      </c>
      <c r="AG214" t="str">
        <f>IF('1. Live'!AG214='check-Jul25'!AG214,"",'1. Live'!AG214-'check-Jul25'!AG214)</f>
        <v/>
      </c>
      <c r="AH214" t="str">
        <f>IF('1. Live'!AH214='check-Jul25'!AH214,"",'1. Live'!AH214-'check-Jul25'!AH214)</f>
        <v/>
      </c>
      <c r="AI214" t="str">
        <f>IF('1. Live'!AI214='check-Jul25'!AI214,"",'1. Live'!AI214-'check-Jul25'!AI214)</f>
        <v/>
      </c>
      <c r="AJ214" t="str">
        <f>IF('1. Live'!AJ214='check-Jul25'!AJ214,"",'1. Live'!AJ214-'check-Jul25'!AJ214)</f>
        <v/>
      </c>
      <c r="AK214" t="str">
        <f>IF('1. Live'!AK214='check-Jul25'!AK214,"",'1. Live'!AK214-'check-Jul25'!AK214)</f>
        <v/>
      </c>
      <c r="AL214" t="str">
        <f>IF('1. Live'!AL214='check-Jul25'!AL214,"",'1. Live'!AL214-'check-Jul25'!AL214)</f>
        <v/>
      </c>
      <c r="AM214" t="str">
        <f>IF('1. Live'!AM214='check-Jul25'!AM214,"",'1. Live'!AM214-'check-Jul25'!AM214)</f>
        <v/>
      </c>
      <c r="AN214" t="str">
        <f>IF('1. Live'!AN214='check-Jul25'!AN214,"",'1. Live'!AN214-'check-Jul25'!AN214)</f>
        <v/>
      </c>
      <c r="AO214" t="str">
        <f>IF('1. Live'!AO214='check-Jul25'!AO214,"",'1. Live'!AO214-'check-Jul25'!AO214)</f>
        <v/>
      </c>
      <c r="AP214" t="str">
        <f>IF('1. Live'!AP214='check-Jul25'!AP214,"",'1. Live'!AP214-'check-Jul25'!AP214)</f>
        <v/>
      </c>
      <c r="AQ214" t="str">
        <f>IF('1. Live'!AQ214='check-Jul25'!AQ214,"",'1. Live'!AQ214-'check-Jul25'!AQ214)</f>
        <v/>
      </c>
      <c r="AR214" t="str">
        <f>IF('1. Live'!AR214='check-Jul25'!AR214,"",'1. Live'!AR214-'check-Jul25'!AR214)</f>
        <v/>
      </c>
      <c r="AS214" t="str">
        <f>IF('1. Live'!AS214='check-Jul25'!AS214,"",'1. Live'!AS214-'check-Jul25'!AS214)</f>
        <v/>
      </c>
      <c r="AT214" t="str">
        <f>IF('1. Live'!AT214='check-Jul25'!AT214,"",'1. Live'!AT214-'check-Jul25'!AT214)</f>
        <v/>
      </c>
      <c r="AU214" t="str">
        <f>IF('1. Live'!AU214='check-Jul25'!AU214,"",'1. Live'!AU214-'check-Jul25'!AU214)</f>
        <v/>
      </c>
      <c r="AV214" t="str">
        <f>IF('1. Live'!AV214='check-Jul25'!AV214,"",'1. Live'!AV214-'check-Jul25'!AV214)</f>
        <v/>
      </c>
      <c r="AW214" t="str">
        <f>IF('1. Live'!AW214='check-Jul25'!AW214,"",'1. Live'!AW214-'check-Jul25'!AW214)</f>
        <v/>
      </c>
      <c r="AX214" t="str">
        <f>IF('1. Live'!AX214='check-Jul25'!AX214,"",'1. Live'!AX214-'check-Jul25'!AX214)</f>
        <v/>
      </c>
      <c r="AY214" t="str">
        <f>IF('1. Live'!AY214='check-Jul25'!AY214,"",'1. Live'!AY214-'check-Jul25'!AY214)</f>
        <v/>
      </c>
      <c r="AZ214" t="str">
        <f>IF('1. Live'!AZ214='check-Jul25'!AZ214,"",'1. Live'!AZ214-'check-Jul25'!AZ214)</f>
        <v/>
      </c>
      <c r="BA214" t="str">
        <f>IF('1. Live'!BA214='check-Jul25'!BA214,"",'1. Live'!BA214-'check-Jul25'!BA214)</f>
        <v/>
      </c>
      <c r="BB214" t="str">
        <f>IF('1. Live'!BB214='check-Jul25'!BB214,"",'1. Live'!BB214-'check-Jul25'!BB214)</f>
        <v/>
      </c>
      <c r="BC214" t="str">
        <f>IF('1. Live'!BC214='check-Jul25'!BC214,"",'1. Live'!BC214-'check-Jul25'!BC214)</f>
        <v/>
      </c>
      <c r="BD214" t="str">
        <f>IF('1. Live'!BD214='check-Jul25'!BD214,"",'1. Live'!BD214-'check-Jul25'!BD214)</f>
        <v/>
      </c>
      <c r="BE214" t="str">
        <f>IF('1. Live'!BE214='check-Jul25'!BE214,"",'1. Live'!BE214-'check-Jul25'!BE214)</f>
        <v/>
      </c>
      <c r="BF214" t="str">
        <f>IF('1. Live'!BF214='check-Jul25'!BF214,"",'1. Live'!BF214-'check-Jul25'!BF214)</f>
        <v/>
      </c>
      <c r="BG214" t="str">
        <f>IF('1. Live'!BG214='check-Jul25'!BG214,"",'1. Live'!BG214-'check-Jul25'!BG214)</f>
        <v/>
      </c>
      <c r="BH214" t="str">
        <f>IF('1. Live'!BH214='check-Jul25'!BH214,"",'1. Live'!BH214-'check-Jul25'!BH214)</f>
        <v/>
      </c>
      <c r="BI214" t="str">
        <f>IF('1. Live'!BI214='check-Jul25'!BI214,"",'1. Live'!BI214-'check-Jul25'!BI214)</f>
        <v/>
      </c>
      <c r="BJ214" t="str">
        <f>IF('1. Live'!BJ214='check-Jul25'!BJ214,"",'1. Live'!BJ214-'check-Jul25'!BJ214)</f>
        <v/>
      </c>
      <c r="BK214" t="str">
        <f>IF('1. Live'!BK214='check-Jul25'!BK214,"",'1. Live'!BK214-'check-Jul25'!BK214)</f>
        <v/>
      </c>
      <c r="BL214" t="str">
        <f>IF('1. Live'!BL214='check-Jul25'!BL214,"",'1. Live'!BL214-'check-Jul25'!BL214)</f>
        <v/>
      </c>
      <c r="BM214" t="str">
        <f>IF('1. Live'!BM214='check-Jul25'!BM214,"",'1. Live'!BM214-'check-Jul25'!BM214)</f>
        <v/>
      </c>
      <c r="BN214" t="str">
        <f>IF('1. Live'!BN214='check-Jul25'!BN214,"",'1. Live'!BN214-'check-Jul25'!BN214)</f>
        <v/>
      </c>
      <c r="BO214" t="str">
        <f>IF('1. Live'!BO214='check-Jul25'!BO214,"",'1. Live'!BO214-'check-Jul25'!BO214)</f>
        <v/>
      </c>
      <c r="BP214" t="str">
        <f>IF('1. Live'!BP214='check-Jul25'!BP214,"",'1. Live'!BP214-'check-Jul25'!BP214)</f>
        <v/>
      </c>
      <c r="BQ214" t="str">
        <f>IF('1. Live'!BQ214='check-Jul25'!BQ214,"",'1. Live'!BQ214-'check-Jul25'!BQ214)</f>
        <v/>
      </c>
      <c r="BR214" t="str">
        <f>IF('1. Live'!BR214='check-Jul25'!BR214,"",'1. Live'!BR214-'check-Jul25'!BR214)</f>
        <v/>
      </c>
      <c r="BS214" t="str">
        <f>IF('1. Live'!BS214='check-Jul25'!BS214,"",'1. Live'!BS214-'check-Jul25'!BS214)</f>
        <v/>
      </c>
      <c r="BT214" t="str">
        <f>IF('1. Live'!BT214='check-Jul25'!BT214,"",'1. Live'!BT214-'check-Jul25'!BT214)</f>
        <v/>
      </c>
      <c r="BU214" t="str">
        <f>IF('1. Live'!BU214='check-Jul25'!BU214,"",'1. Live'!BU214-'check-Jul25'!BU214)</f>
        <v/>
      </c>
      <c r="BV214" t="str">
        <f>IF('1. Live'!BV214='check-Jul25'!BV214,"",'1. Live'!BV214-'check-Jul25'!BV214)</f>
        <v/>
      </c>
      <c r="BW214" t="str">
        <f>IF('1. Live'!BW214='check-Jul25'!BW214,"",'1. Live'!BW214-'check-Jul25'!BW214)</f>
        <v/>
      </c>
      <c r="BX214" t="str">
        <f>IF('1. Live'!BX214='check-Jul25'!BX214,"",'1. Live'!BX214-'check-Jul25'!BX214)</f>
        <v/>
      </c>
      <c r="BY214" t="str">
        <f>IF('1. Live'!BY214='check-Jul25'!BY214,"",'1. Live'!BY214-'check-Jul25'!BY214)</f>
        <v/>
      </c>
      <c r="BZ214" t="str">
        <f>IF('1. Live'!BZ214='check-Jul25'!BZ214,"",'1. Live'!BZ214-'check-Jul25'!BZ214)</f>
        <v/>
      </c>
      <c r="CA214" t="str">
        <f>IF('1. Live'!CA214='check-Jul25'!CA214,"",'1. Live'!CA214-'check-Jul25'!CA214)</f>
        <v/>
      </c>
      <c r="CB214" t="str">
        <f>IF('1. Live'!CB214='check-Jul25'!CB214,"",'1. Live'!CB214-'check-Jul25'!CB214)</f>
        <v/>
      </c>
      <c r="CC214" t="str">
        <f>IF('1. Live'!CC214='check-Jul25'!CC214,"",'1. Live'!CC214-'check-Jul25'!CC214)</f>
        <v/>
      </c>
      <c r="CD214" t="str">
        <f>IF('1. Live'!CD214='check-Jul25'!CD214,"",'1. Live'!CD214-'check-Jul25'!CD214)</f>
        <v/>
      </c>
      <c r="CE214" t="str">
        <f>IF('1. Live'!CE214='check-Jul25'!CE214,"",'1. Live'!CE214-'check-Jul25'!CE214)</f>
        <v/>
      </c>
      <c r="CF214" t="str">
        <f>IF('1. Live'!CF214='check-Jul25'!CF214,"",'1. Live'!CF214-'check-Jul25'!CF214)</f>
        <v/>
      </c>
      <c r="CG214" t="str">
        <f>IF('1. Live'!CG214='check-Jul25'!CG214,"",'1. Live'!CG214-'check-Jul25'!CG214)</f>
        <v/>
      </c>
      <c r="CH214" t="str">
        <f>IF('1. Live'!CH214='check-Jul25'!CH214,"",'1. Live'!CH214-'check-Jul25'!CH214)</f>
        <v/>
      </c>
      <c r="CI214" t="str">
        <f>IF('1. Live'!CI214='check-Jul25'!CI214,"",'1. Live'!CI214-'check-Jul25'!CI214)</f>
        <v/>
      </c>
      <c r="CJ214" t="str">
        <f>IF('1. Live'!CJ214='check-Jul25'!CJ214,"",'1. Live'!CJ214-'check-Jul25'!CJ214)</f>
        <v/>
      </c>
      <c r="CK214" t="str">
        <f>IF('1. Live'!CK214='check-Jul25'!CK214,"",'1. Live'!CK214-'check-Jul25'!CK214)</f>
        <v/>
      </c>
      <c r="CL214" t="str">
        <f>IF('1. Live'!CL214='check-Jul25'!CL214,"",'1. Live'!CL214-'check-Jul25'!CL214)</f>
        <v/>
      </c>
      <c r="CM214" t="str">
        <f>IF('1. Live'!CM214='check-Jul25'!CM214,"",'1. Live'!CM214-'check-Jul25'!CM214)</f>
        <v/>
      </c>
      <c r="CN214" t="str">
        <f>IF('1. Live'!CN214='check-Jul25'!CN214,"",'1. Live'!CN214-'check-Jul25'!CN214)</f>
        <v/>
      </c>
      <c r="CO214" t="str">
        <f>IF('1. Live'!CO214='check-Jul25'!CO214,"",'1. Live'!CO214-'check-Jul25'!CO214)</f>
        <v/>
      </c>
      <c r="CP214" t="str">
        <f>IF('1. Live'!CP214='check-Jul25'!CP214,"",'1. Live'!CP214-'check-Jul25'!CP214)</f>
        <v/>
      </c>
      <c r="CQ214" t="str">
        <f>IF('1. Live'!CQ214='check-Jul25'!CQ214,"",'1. Live'!CQ214-'check-Jul25'!CQ214)</f>
        <v/>
      </c>
      <c r="CR214" t="str">
        <f>IF('1. Live'!CR214='check-Jul25'!CR214,"",'1. Live'!CR214-'check-Jul25'!CR214)</f>
        <v/>
      </c>
      <c r="CS214" t="str">
        <f>IF('1. Live'!CS214='check-Jul25'!CS214,"",'1. Live'!CS214-'check-Jul25'!CS214)</f>
        <v/>
      </c>
      <c r="CT214" t="str">
        <f>IF('1. Live'!CT214='check-Jul25'!CT214,"",'1. Live'!CT214-'check-Jul25'!CT214)</f>
        <v/>
      </c>
      <c r="CU214" t="str">
        <f>IF('1. Live'!CU214='check-Jul25'!CU214,"",'1. Live'!CU214-'check-Jul25'!CU214)</f>
        <v/>
      </c>
      <c r="CV214" t="str">
        <f>IF('1. Live'!CV214='check-Jul25'!CV214,"",'1. Live'!CV214-'check-Jul25'!CV214)</f>
        <v/>
      </c>
      <c r="CW214" t="str">
        <f>IF('1. Live'!CW214='check-Jul25'!CW214,"",'1. Live'!CW214-'check-Jul25'!CW214)</f>
        <v/>
      </c>
    </row>
    <row r="215" spans="10:101">
      <c r="J215" t="str">
        <f>IF('1. Live'!J215='check-Jul25'!J215,"",'1. Live'!J215-'check-Jul25'!J215)</f>
        <v/>
      </c>
      <c r="K215" t="str">
        <f>IF('1. Live'!K215='check-Jul25'!K215,"",'1. Live'!K215-'check-Jul25'!K215)</f>
        <v/>
      </c>
      <c r="L215" t="str">
        <f>IF('1. Live'!L215='check-Jul25'!L215,"",'1. Live'!L215-'check-Jul25'!L215)</f>
        <v/>
      </c>
      <c r="M215" t="str">
        <f>IF('1. Live'!M215='check-Jul25'!M215,"",'1. Live'!M215-'check-Jul25'!M215)</f>
        <v/>
      </c>
      <c r="N215" t="str">
        <f>IF('1. Live'!N215='check-Jul25'!N215,"",'1. Live'!N215-'check-Jul25'!N215)</f>
        <v/>
      </c>
      <c r="O215" t="str">
        <f>IF('1. Live'!O215='check-Jul25'!O215,"",'1. Live'!O215-'check-Jul25'!O215)</f>
        <v/>
      </c>
      <c r="P215" t="str">
        <f>IF('1. Live'!P215='check-Jul25'!P215,"",'1. Live'!P215-'check-Jul25'!P215)</f>
        <v/>
      </c>
      <c r="Q215" t="str">
        <f>IF('1. Live'!Q215='check-Jul25'!Q215,"",'1. Live'!Q215-'check-Jul25'!Q215)</f>
        <v/>
      </c>
      <c r="R215" t="str">
        <f>IF('1. Live'!R215='check-Jul25'!R215,"",'1. Live'!R215-'check-Jul25'!R215)</f>
        <v/>
      </c>
      <c r="S215" t="str">
        <f>IF('1. Live'!S215='check-Jul25'!S215,"",'1. Live'!S215-'check-Jul25'!S215)</f>
        <v/>
      </c>
      <c r="T215" t="str">
        <f>IF('1. Live'!T215='check-Jul25'!T215,"",'1. Live'!T215-'check-Jul25'!T215)</f>
        <v/>
      </c>
      <c r="U215" t="str">
        <f>IF('1. Live'!U215='check-Jul25'!U215,"",'1. Live'!U215-'check-Jul25'!U215)</f>
        <v/>
      </c>
      <c r="V215" t="str">
        <f>IF('1. Live'!V215='check-Jul25'!V215,"",'1. Live'!V215-'check-Jul25'!V215)</f>
        <v/>
      </c>
      <c r="W215" t="str">
        <f>IF('1. Live'!W215='check-Jul25'!W215,"",'1. Live'!W215-'check-Jul25'!W215)</f>
        <v/>
      </c>
      <c r="X215" t="str">
        <f>IF('1. Live'!X215='check-Jul25'!X215,"",'1. Live'!X215-'check-Jul25'!X215)</f>
        <v/>
      </c>
      <c r="Y215" t="str">
        <f>IF('1. Live'!Y215='check-Jul25'!Y215,"",'1. Live'!Y215-'check-Jul25'!Y215)</f>
        <v/>
      </c>
      <c r="Z215" t="str">
        <f>IF('1. Live'!Z215='check-Jul25'!Z215,"",'1. Live'!Z215-'check-Jul25'!Z215)</f>
        <v/>
      </c>
      <c r="AA215" t="str">
        <f>IF('1. Live'!AA215='check-Jul25'!AA215,"",'1. Live'!AA215-'check-Jul25'!AA215)</f>
        <v/>
      </c>
      <c r="AB215" t="str">
        <f>IF('1. Live'!AB215='check-Jul25'!AB215,"",'1. Live'!AB215-'check-Jul25'!AB215)</f>
        <v/>
      </c>
      <c r="AC215" t="str">
        <f>IF('1. Live'!AC215='check-Jul25'!AC215,"",'1. Live'!AC215-'check-Jul25'!AC215)</f>
        <v/>
      </c>
      <c r="AD215" t="str">
        <f>IF('1. Live'!AD215='check-Jul25'!AD215,"",'1. Live'!AD215-'check-Jul25'!AD215)</f>
        <v/>
      </c>
      <c r="AE215" t="str">
        <f>IF('1. Live'!AE215='check-Jul25'!AE215,"",'1. Live'!AE215-'check-Jul25'!AE215)</f>
        <v/>
      </c>
      <c r="AF215" t="str">
        <f>IF('1. Live'!AF215='check-Jul25'!AF215,"",'1. Live'!AF215-'check-Jul25'!AF215)</f>
        <v/>
      </c>
      <c r="AG215" t="str">
        <f>IF('1. Live'!AG215='check-Jul25'!AG215,"",'1. Live'!AG215-'check-Jul25'!AG215)</f>
        <v/>
      </c>
      <c r="AH215" t="str">
        <f>IF('1. Live'!AH215='check-Jul25'!AH215,"",'1. Live'!AH215-'check-Jul25'!AH215)</f>
        <v/>
      </c>
      <c r="AI215" t="str">
        <f>IF('1. Live'!AI215='check-Jul25'!AI215,"",'1. Live'!AI215-'check-Jul25'!AI215)</f>
        <v/>
      </c>
      <c r="AJ215" t="str">
        <f>IF('1. Live'!AJ215='check-Jul25'!AJ215,"",'1. Live'!AJ215-'check-Jul25'!AJ215)</f>
        <v/>
      </c>
      <c r="AK215" t="str">
        <f>IF('1. Live'!AK215='check-Jul25'!AK215,"",'1. Live'!AK215-'check-Jul25'!AK215)</f>
        <v/>
      </c>
      <c r="AL215" t="str">
        <f>IF('1. Live'!AL215='check-Jul25'!AL215,"",'1. Live'!AL215-'check-Jul25'!AL215)</f>
        <v/>
      </c>
      <c r="AM215" t="str">
        <f>IF('1. Live'!AM215='check-Jul25'!AM215,"",'1. Live'!AM215-'check-Jul25'!AM215)</f>
        <v/>
      </c>
      <c r="AN215" t="str">
        <f>IF('1. Live'!AN215='check-Jul25'!AN215,"",'1. Live'!AN215-'check-Jul25'!AN215)</f>
        <v/>
      </c>
      <c r="AO215" t="str">
        <f>IF('1. Live'!AO215='check-Jul25'!AO215,"",'1. Live'!AO215-'check-Jul25'!AO215)</f>
        <v/>
      </c>
      <c r="AP215" t="str">
        <f>IF('1. Live'!AP215='check-Jul25'!AP215,"",'1. Live'!AP215-'check-Jul25'!AP215)</f>
        <v/>
      </c>
      <c r="AQ215" t="str">
        <f>IF('1. Live'!AQ215='check-Jul25'!AQ215,"",'1. Live'!AQ215-'check-Jul25'!AQ215)</f>
        <v/>
      </c>
      <c r="AR215" t="str">
        <f>IF('1. Live'!AR215='check-Jul25'!AR215,"",'1. Live'!AR215-'check-Jul25'!AR215)</f>
        <v/>
      </c>
      <c r="AS215" t="str">
        <f>IF('1. Live'!AS215='check-Jul25'!AS215,"",'1. Live'!AS215-'check-Jul25'!AS215)</f>
        <v/>
      </c>
      <c r="AT215" t="str">
        <f>IF('1. Live'!AT215='check-Jul25'!AT215,"",'1. Live'!AT215-'check-Jul25'!AT215)</f>
        <v/>
      </c>
      <c r="AU215" t="str">
        <f>IF('1. Live'!AU215='check-Jul25'!AU215,"",'1. Live'!AU215-'check-Jul25'!AU215)</f>
        <v/>
      </c>
      <c r="AV215" t="str">
        <f>IF('1. Live'!AV215='check-Jul25'!AV215,"",'1. Live'!AV215-'check-Jul25'!AV215)</f>
        <v/>
      </c>
      <c r="AW215" t="str">
        <f>IF('1. Live'!AW215='check-Jul25'!AW215,"",'1. Live'!AW215-'check-Jul25'!AW215)</f>
        <v/>
      </c>
      <c r="AX215" t="str">
        <f>IF('1. Live'!AX215='check-Jul25'!AX215,"",'1. Live'!AX215-'check-Jul25'!AX215)</f>
        <v/>
      </c>
      <c r="AY215" t="str">
        <f>IF('1. Live'!AY215='check-Jul25'!AY215,"",'1. Live'!AY215-'check-Jul25'!AY215)</f>
        <v/>
      </c>
      <c r="AZ215" t="str">
        <f>IF('1. Live'!AZ215='check-Jul25'!AZ215,"",'1. Live'!AZ215-'check-Jul25'!AZ215)</f>
        <v/>
      </c>
      <c r="BA215" t="str">
        <f>IF('1. Live'!BA215='check-Jul25'!BA215,"",'1. Live'!BA215-'check-Jul25'!BA215)</f>
        <v/>
      </c>
      <c r="BB215" t="str">
        <f>IF('1. Live'!BB215='check-Jul25'!BB215,"",'1. Live'!BB215-'check-Jul25'!BB215)</f>
        <v/>
      </c>
      <c r="BC215" t="str">
        <f>IF('1. Live'!BC215='check-Jul25'!BC215,"",'1. Live'!BC215-'check-Jul25'!BC215)</f>
        <v/>
      </c>
      <c r="BD215" t="str">
        <f>IF('1. Live'!BD215='check-Jul25'!BD215,"",'1. Live'!BD215-'check-Jul25'!BD215)</f>
        <v/>
      </c>
      <c r="BE215" t="str">
        <f>IF('1. Live'!BE215='check-Jul25'!BE215,"",'1. Live'!BE215-'check-Jul25'!BE215)</f>
        <v/>
      </c>
      <c r="BF215" t="str">
        <f>IF('1. Live'!BF215='check-Jul25'!BF215,"",'1. Live'!BF215-'check-Jul25'!BF215)</f>
        <v/>
      </c>
      <c r="BG215" t="str">
        <f>IF('1. Live'!BG215='check-Jul25'!BG215,"",'1. Live'!BG215-'check-Jul25'!BG215)</f>
        <v/>
      </c>
      <c r="BH215" t="str">
        <f>IF('1. Live'!BH215='check-Jul25'!BH215,"",'1. Live'!BH215-'check-Jul25'!BH215)</f>
        <v/>
      </c>
      <c r="BI215" t="str">
        <f>IF('1. Live'!BI215='check-Jul25'!BI215,"",'1. Live'!BI215-'check-Jul25'!BI215)</f>
        <v/>
      </c>
      <c r="BJ215" t="str">
        <f>IF('1. Live'!BJ215='check-Jul25'!BJ215,"",'1. Live'!BJ215-'check-Jul25'!BJ215)</f>
        <v/>
      </c>
      <c r="BK215" t="str">
        <f>IF('1. Live'!BK215='check-Jul25'!BK215,"",'1. Live'!BK215-'check-Jul25'!BK215)</f>
        <v/>
      </c>
      <c r="BL215" t="str">
        <f>IF('1. Live'!BL215='check-Jul25'!BL215,"",'1. Live'!BL215-'check-Jul25'!BL215)</f>
        <v/>
      </c>
      <c r="BM215" t="str">
        <f>IF('1. Live'!BM215='check-Jul25'!BM215,"",'1. Live'!BM215-'check-Jul25'!BM215)</f>
        <v/>
      </c>
      <c r="BN215" t="str">
        <f>IF('1. Live'!BN215='check-Jul25'!BN215,"",'1. Live'!BN215-'check-Jul25'!BN215)</f>
        <v/>
      </c>
      <c r="BO215" t="str">
        <f>IF('1. Live'!BO215='check-Jul25'!BO215,"",'1. Live'!BO215-'check-Jul25'!BO215)</f>
        <v/>
      </c>
      <c r="BP215" t="str">
        <f>IF('1. Live'!BP215='check-Jul25'!BP215,"",'1. Live'!BP215-'check-Jul25'!BP215)</f>
        <v/>
      </c>
      <c r="BQ215" t="str">
        <f>IF('1. Live'!BQ215='check-Jul25'!BQ215,"",'1. Live'!BQ215-'check-Jul25'!BQ215)</f>
        <v/>
      </c>
      <c r="BR215" t="str">
        <f>IF('1. Live'!BR215='check-Jul25'!BR215,"",'1. Live'!BR215-'check-Jul25'!BR215)</f>
        <v/>
      </c>
      <c r="BS215" t="str">
        <f>IF('1. Live'!BS215='check-Jul25'!BS215,"",'1. Live'!BS215-'check-Jul25'!BS215)</f>
        <v/>
      </c>
      <c r="BT215" t="str">
        <f>IF('1. Live'!BT215='check-Jul25'!BT215,"",'1. Live'!BT215-'check-Jul25'!BT215)</f>
        <v/>
      </c>
      <c r="BU215" t="str">
        <f>IF('1. Live'!BU215='check-Jul25'!BU215,"",'1. Live'!BU215-'check-Jul25'!BU215)</f>
        <v/>
      </c>
      <c r="BV215" t="str">
        <f>IF('1. Live'!BV215='check-Jul25'!BV215,"",'1. Live'!BV215-'check-Jul25'!BV215)</f>
        <v/>
      </c>
      <c r="BW215" t="str">
        <f>IF('1. Live'!BW215='check-Jul25'!BW215,"",'1. Live'!BW215-'check-Jul25'!BW215)</f>
        <v/>
      </c>
      <c r="BX215" t="str">
        <f>IF('1. Live'!BX215='check-Jul25'!BX215,"",'1. Live'!BX215-'check-Jul25'!BX215)</f>
        <v/>
      </c>
      <c r="BY215" t="str">
        <f>IF('1. Live'!BY215='check-Jul25'!BY215,"",'1. Live'!BY215-'check-Jul25'!BY215)</f>
        <v/>
      </c>
      <c r="BZ215" t="str">
        <f>IF('1. Live'!BZ215='check-Jul25'!BZ215,"",'1. Live'!BZ215-'check-Jul25'!BZ215)</f>
        <v/>
      </c>
      <c r="CA215" t="str">
        <f>IF('1. Live'!CA215='check-Jul25'!CA215,"",'1. Live'!CA215-'check-Jul25'!CA215)</f>
        <v/>
      </c>
      <c r="CB215" t="str">
        <f>IF('1. Live'!CB215='check-Jul25'!CB215,"",'1. Live'!CB215-'check-Jul25'!CB215)</f>
        <v/>
      </c>
      <c r="CC215" t="str">
        <f>IF('1. Live'!CC215='check-Jul25'!CC215,"",'1. Live'!CC215-'check-Jul25'!CC215)</f>
        <v/>
      </c>
      <c r="CD215" t="str">
        <f>IF('1. Live'!CD215='check-Jul25'!CD215,"",'1. Live'!CD215-'check-Jul25'!CD215)</f>
        <v/>
      </c>
      <c r="CE215" t="str">
        <f>IF('1. Live'!CE215='check-Jul25'!CE215,"",'1. Live'!CE215-'check-Jul25'!CE215)</f>
        <v/>
      </c>
      <c r="CF215" t="str">
        <f>IF('1. Live'!CF215='check-Jul25'!CF215,"",'1. Live'!CF215-'check-Jul25'!CF215)</f>
        <v/>
      </c>
      <c r="CG215" t="str">
        <f>IF('1. Live'!CG215='check-Jul25'!CG215,"",'1. Live'!CG215-'check-Jul25'!CG215)</f>
        <v/>
      </c>
      <c r="CH215" t="str">
        <f>IF('1. Live'!CH215='check-Jul25'!CH215,"",'1. Live'!CH215-'check-Jul25'!CH215)</f>
        <v/>
      </c>
      <c r="CI215" t="str">
        <f>IF('1. Live'!CI215='check-Jul25'!CI215,"",'1. Live'!CI215-'check-Jul25'!CI215)</f>
        <v/>
      </c>
      <c r="CJ215" t="str">
        <f>IF('1. Live'!CJ215='check-Jul25'!CJ215,"",'1. Live'!CJ215-'check-Jul25'!CJ215)</f>
        <v/>
      </c>
      <c r="CK215" t="str">
        <f>IF('1. Live'!CK215='check-Jul25'!CK215,"",'1. Live'!CK215-'check-Jul25'!CK215)</f>
        <v/>
      </c>
      <c r="CL215" t="str">
        <f>IF('1. Live'!CL215='check-Jul25'!CL215,"",'1. Live'!CL215-'check-Jul25'!CL215)</f>
        <v/>
      </c>
      <c r="CM215" t="str">
        <f>IF('1. Live'!CM215='check-Jul25'!CM215,"",'1. Live'!CM215-'check-Jul25'!CM215)</f>
        <v/>
      </c>
      <c r="CN215" t="str">
        <f>IF('1. Live'!CN215='check-Jul25'!CN215,"",'1. Live'!CN215-'check-Jul25'!CN215)</f>
        <v/>
      </c>
      <c r="CO215" t="str">
        <f>IF('1. Live'!CO215='check-Jul25'!CO215,"",'1. Live'!CO215-'check-Jul25'!CO215)</f>
        <v/>
      </c>
      <c r="CP215" t="str">
        <f>IF('1. Live'!CP215='check-Jul25'!CP215,"",'1. Live'!CP215-'check-Jul25'!CP215)</f>
        <v/>
      </c>
      <c r="CQ215" t="str">
        <f>IF('1. Live'!CQ215='check-Jul25'!CQ215,"",'1. Live'!CQ215-'check-Jul25'!CQ215)</f>
        <v/>
      </c>
      <c r="CR215" t="str">
        <f>IF('1. Live'!CR215='check-Jul25'!CR215,"",'1. Live'!CR215-'check-Jul25'!CR215)</f>
        <v/>
      </c>
      <c r="CS215" t="str">
        <f>IF('1. Live'!CS215='check-Jul25'!CS215,"",'1. Live'!CS215-'check-Jul25'!CS215)</f>
        <v/>
      </c>
      <c r="CT215" t="str">
        <f>IF('1. Live'!CT215='check-Jul25'!CT215,"",'1. Live'!CT215-'check-Jul25'!CT215)</f>
        <v/>
      </c>
      <c r="CU215" t="str">
        <f>IF('1. Live'!CU215='check-Jul25'!CU215,"",'1. Live'!CU215-'check-Jul25'!CU215)</f>
        <v/>
      </c>
      <c r="CV215" t="str">
        <f>IF('1. Live'!CV215='check-Jul25'!CV215,"",'1. Live'!CV215-'check-Jul25'!CV215)</f>
        <v/>
      </c>
      <c r="CW215" t="str">
        <f>IF('1. Live'!CW215='check-Jul25'!CW215,"",'1. Live'!CW215-'check-Jul25'!CW215)</f>
        <v/>
      </c>
    </row>
    <row r="216" spans="10:101">
      <c r="J216" t="str">
        <f>IF('1. Live'!J216='check-Jul25'!J216,"",'1. Live'!J216-'check-Jul25'!J216)</f>
        <v/>
      </c>
      <c r="K216" t="str">
        <f>IF('1. Live'!K216='check-Jul25'!K216,"",'1. Live'!K216-'check-Jul25'!K216)</f>
        <v/>
      </c>
      <c r="L216" t="str">
        <f>IF('1. Live'!L216='check-Jul25'!L216,"",'1. Live'!L216-'check-Jul25'!L216)</f>
        <v/>
      </c>
      <c r="M216" t="str">
        <f>IF('1. Live'!M216='check-Jul25'!M216,"",'1. Live'!M216-'check-Jul25'!M216)</f>
        <v/>
      </c>
      <c r="N216" t="str">
        <f>IF('1. Live'!N216='check-Jul25'!N216,"",'1. Live'!N216-'check-Jul25'!N216)</f>
        <v/>
      </c>
      <c r="O216" t="str">
        <f>IF('1. Live'!O216='check-Jul25'!O216,"",'1. Live'!O216-'check-Jul25'!O216)</f>
        <v/>
      </c>
      <c r="P216" t="str">
        <f>IF('1. Live'!P216='check-Jul25'!P216,"",'1. Live'!P216-'check-Jul25'!P216)</f>
        <v/>
      </c>
      <c r="Q216" t="str">
        <f>IF('1. Live'!Q216='check-Jul25'!Q216,"",'1. Live'!Q216-'check-Jul25'!Q216)</f>
        <v/>
      </c>
      <c r="R216" t="str">
        <f>IF('1. Live'!R216='check-Jul25'!R216,"",'1. Live'!R216-'check-Jul25'!R216)</f>
        <v/>
      </c>
      <c r="S216" t="str">
        <f>IF('1. Live'!S216='check-Jul25'!S216,"",'1. Live'!S216-'check-Jul25'!S216)</f>
        <v/>
      </c>
      <c r="T216" t="str">
        <f>IF('1. Live'!T216='check-Jul25'!T216,"",'1. Live'!T216-'check-Jul25'!T216)</f>
        <v/>
      </c>
      <c r="U216" t="str">
        <f>IF('1. Live'!U216='check-Jul25'!U216,"",'1. Live'!U216-'check-Jul25'!U216)</f>
        <v/>
      </c>
      <c r="V216" t="str">
        <f>IF('1. Live'!V216='check-Jul25'!V216,"",'1. Live'!V216-'check-Jul25'!V216)</f>
        <v/>
      </c>
      <c r="W216" t="str">
        <f>IF('1. Live'!W216='check-Jul25'!W216,"",'1. Live'!W216-'check-Jul25'!W216)</f>
        <v/>
      </c>
      <c r="X216" t="str">
        <f>IF('1. Live'!X216='check-Jul25'!X216,"",'1. Live'!X216-'check-Jul25'!X216)</f>
        <v/>
      </c>
      <c r="Y216" t="str">
        <f>IF('1. Live'!Y216='check-Jul25'!Y216,"",'1. Live'!Y216-'check-Jul25'!Y216)</f>
        <v/>
      </c>
      <c r="Z216" t="str">
        <f>IF('1. Live'!Z216='check-Jul25'!Z216,"",'1. Live'!Z216-'check-Jul25'!Z216)</f>
        <v/>
      </c>
      <c r="AA216" t="str">
        <f>IF('1. Live'!AA216='check-Jul25'!AA216,"",'1. Live'!AA216-'check-Jul25'!AA216)</f>
        <v/>
      </c>
      <c r="AB216" t="str">
        <f>IF('1. Live'!AB216='check-Jul25'!AB216,"",'1. Live'!AB216-'check-Jul25'!AB216)</f>
        <v/>
      </c>
      <c r="AC216" t="str">
        <f>IF('1. Live'!AC216='check-Jul25'!AC216,"",'1. Live'!AC216-'check-Jul25'!AC216)</f>
        <v/>
      </c>
      <c r="AD216" t="str">
        <f>IF('1. Live'!AD216='check-Jul25'!AD216,"",'1. Live'!AD216-'check-Jul25'!AD216)</f>
        <v/>
      </c>
      <c r="AE216" t="str">
        <f>IF('1. Live'!AE216='check-Jul25'!AE216,"",'1. Live'!AE216-'check-Jul25'!AE216)</f>
        <v/>
      </c>
      <c r="AF216" t="str">
        <f>IF('1. Live'!AF216='check-Jul25'!AF216,"",'1. Live'!AF216-'check-Jul25'!AF216)</f>
        <v/>
      </c>
      <c r="AG216" t="str">
        <f>IF('1. Live'!AG216='check-Jul25'!AG216,"",'1. Live'!AG216-'check-Jul25'!AG216)</f>
        <v/>
      </c>
      <c r="AH216" t="str">
        <f>IF('1. Live'!AH216='check-Jul25'!AH216,"",'1. Live'!AH216-'check-Jul25'!AH216)</f>
        <v/>
      </c>
      <c r="AI216" t="str">
        <f>IF('1. Live'!AI216='check-Jul25'!AI216,"",'1. Live'!AI216-'check-Jul25'!AI216)</f>
        <v/>
      </c>
      <c r="AJ216" t="str">
        <f>IF('1. Live'!AJ216='check-Jul25'!AJ216,"",'1. Live'!AJ216-'check-Jul25'!AJ216)</f>
        <v/>
      </c>
      <c r="AK216" t="str">
        <f>IF('1. Live'!AK216='check-Jul25'!AK216,"",'1. Live'!AK216-'check-Jul25'!AK216)</f>
        <v/>
      </c>
      <c r="AL216" t="str">
        <f>IF('1. Live'!AL216='check-Jul25'!AL216,"",'1. Live'!AL216-'check-Jul25'!AL216)</f>
        <v/>
      </c>
      <c r="AM216" t="str">
        <f>IF('1. Live'!AM216='check-Jul25'!AM216,"",'1. Live'!AM216-'check-Jul25'!AM216)</f>
        <v/>
      </c>
      <c r="AN216" t="str">
        <f>IF('1. Live'!AN216='check-Jul25'!AN216,"",'1. Live'!AN216-'check-Jul25'!AN216)</f>
        <v/>
      </c>
      <c r="AO216" t="str">
        <f>IF('1. Live'!AO216='check-Jul25'!AO216,"",'1. Live'!AO216-'check-Jul25'!AO216)</f>
        <v/>
      </c>
      <c r="AP216" t="str">
        <f>IF('1. Live'!AP216='check-Jul25'!AP216,"",'1. Live'!AP216-'check-Jul25'!AP216)</f>
        <v/>
      </c>
      <c r="AQ216" t="str">
        <f>IF('1. Live'!AQ216='check-Jul25'!AQ216,"",'1. Live'!AQ216-'check-Jul25'!AQ216)</f>
        <v/>
      </c>
      <c r="AR216" t="str">
        <f>IF('1. Live'!AR216='check-Jul25'!AR216,"",'1. Live'!AR216-'check-Jul25'!AR216)</f>
        <v/>
      </c>
      <c r="AS216" t="str">
        <f>IF('1. Live'!AS216='check-Jul25'!AS216,"",'1. Live'!AS216-'check-Jul25'!AS216)</f>
        <v/>
      </c>
      <c r="AT216" t="str">
        <f>IF('1. Live'!AT216='check-Jul25'!AT216,"",'1. Live'!AT216-'check-Jul25'!AT216)</f>
        <v/>
      </c>
      <c r="AU216" t="str">
        <f>IF('1. Live'!AU216='check-Jul25'!AU216,"",'1. Live'!AU216-'check-Jul25'!AU216)</f>
        <v/>
      </c>
      <c r="AV216" t="str">
        <f>IF('1. Live'!AV216='check-Jul25'!AV216,"",'1. Live'!AV216-'check-Jul25'!AV216)</f>
        <v/>
      </c>
      <c r="AW216" t="str">
        <f>IF('1. Live'!AW216='check-Jul25'!AW216,"",'1. Live'!AW216-'check-Jul25'!AW216)</f>
        <v/>
      </c>
      <c r="AX216" t="str">
        <f>IF('1. Live'!AX216='check-Jul25'!AX216,"",'1. Live'!AX216-'check-Jul25'!AX216)</f>
        <v/>
      </c>
      <c r="AY216" t="str">
        <f>IF('1. Live'!AY216='check-Jul25'!AY216,"",'1. Live'!AY216-'check-Jul25'!AY216)</f>
        <v/>
      </c>
      <c r="AZ216" t="str">
        <f>IF('1. Live'!AZ216='check-Jul25'!AZ216,"",'1. Live'!AZ216-'check-Jul25'!AZ216)</f>
        <v/>
      </c>
      <c r="BA216" t="str">
        <f>IF('1. Live'!BA216='check-Jul25'!BA216,"",'1. Live'!BA216-'check-Jul25'!BA216)</f>
        <v/>
      </c>
      <c r="BB216" t="str">
        <f>IF('1. Live'!BB216='check-Jul25'!BB216,"",'1. Live'!BB216-'check-Jul25'!BB216)</f>
        <v/>
      </c>
      <c r="BC216" t="str">
        <f>IF('1. Live'!BC216='check-Jul25'!BC216,"",'1. Live'!BC216-'check-Jul25'!BC216)</f>
        <v/>
      </c>
      <c r="BD216" t="str">
        <f>IF('1. Live'!BD216='check-Jul25'!BD216,"",'1. Live'!BD216-'check-Jul25'!BD216)</f>
        <v/>
      </c>
      <c r="BE216" t="str">
        <f>IF('1. Live'!BE216='check-Jul25'!BE216,"",'1. Live'!BE216-'check-Jul25'!BE216)</f>
        <v/>
      </c>
      <c r="BF216" t="str">
        <f>IF('1. Live'!BF216='check-Jul25'!BF216,"",'1. Live'!BF216-'check-Jul25'!BF216)</f>
        <v/>
      </c>
      <c r="BG216" t="str">
        <f>IF('1. Live'!BG216='check-Jul25'!BG216,"",'1. Live'!BG216-'check-Jul25'!BG216)</f>
        <v/>
      </c>
      <c r="BH216" t="str">
        <f>IF('1. Live'!BH216='check-Jul25'!BH216,"",'1. Live'!BH216-'check-Jul25'!BH216)</f>
        <v/>
      </c>
      <c r="BI216" t="str">
        <f>IF('1. Live'!BI216='check-Jul25'!BI216,"",'1. Live'!BI216-'check-Jul25'!BI216)</f>
        <v/>
      </c>
      <c r="BJ216" t="str">
        <f>IF('1. Live'!BJ216='check-Jul25'!BJ216,"",'1. Live'!BJ216-'check-Jul25'!BJ216)</f>
        <v/>
      </c>
      <c r="BK216" t="str">
        <f>IF('1. Live'!BK216='check-Jul25'!BK216,"",'1. Live'!BK216-'check-Jul25'!BK216)</f>
        <v/>
      </c>
      <c r="BL216" t="str">
        <f>IF('1. Live'!BL216='check-Jul25'!BL216,"",'1. Live'!BL216-'check-Jul25'!BL216)</f>
        <v/>
      </c>
      <c r="BM216" t="str">
        <f>IF('1. Live'!BM216='check-Jul25'!BM216,"",'1. Live'!BM216-'check-Jul25'!BM216)</f>
        <v/>
      </c>
      <c r="BN216" t="str">
        <f>IF('1. Live'!BN216='check-Jul25'!BN216,"",'1. Live'!BN216-'check-Jul25'!BN216)</f>
        <v/>
      </c>
      <c r="BO216" t="str">
        <f>IF('1. Live'!BO216='check-Jul25'!BO216,"",'1. Live'!BO216-'check-Jul25'!BO216)</f>
        <v/>
      </c>
      <c r="BP216" t="str">
        <f>IF('1. Live'!BP216='check-Jul25'!BP216,"",'1. Live'!BP216-'check-Jul25'!BP216)</f>
        <v/>
      </c>
      <c r="BQ216" t="str">
        <f>IF('1. Live'!BQ216='check-Jul25'!BQ216,"",'1. Live'!BQ216-'check-Jul25'!BQ216)</f>
        <v/>
      </c>
      <c r="BR216" t="str">
        <f>IF('1. Live'!BR216='check-Jul25'!BR216,"",'1. Live'!BR216-'check-Jul25'!BR216)</f>
        <v/>
      </c>
      <c r="BS216" t="str">
        <f>IF('1. Live'!BS216='check-Jul25'!BS216,"",'1. Live'!BS216-'check-Jul25'!BS216)</f>
        <v/>
      </c>
      <c r="BT216" t="str">
        <f>IF('1. Live'!BT216='check-Jul25'!BT216,"",'1. Live'!BT216-'check-Jul25'!BT216)</f>
        <v/>
      </c>
      <c r="BU216" t="str">
        <f>IF('1. Live'!BU216='check-Jul25'!BU216,"",'1. Live'!BU216-'check-Jul25'!BU216)</f>
        <v/>
      </c>
      <c r="BV216" t="str">
        <f>IF('1. Live'!BV216='check-Jul25'!BV216,"",'1. Live'!BV216-'check-Jul25'!BV216)</f>
        <v/>
      </c>
      <c r="BW216" t="str">
        <f>IF('1. Live'!BW216='check-Jul25'!BW216,"",'1. Live'!BW216-'check-Jul25'!BW216)</f>
        <v/>
      </c>
      <c r="BX216" t="str">
        <f>IF('1. Live'!BX216='check-Jul25'!BX216,"",'1. Live'!BX216-'check-Jul25'!BX216)</f>
        <v/>
      </c>
      <c r="BY216" t="str">
        <f>IF('1. Live'!BY216='check-Jul25'!BY216,"",'1. Live'!BY216-'check-Jul25'!BY216)</f>
        <v/>
      </c>
      <c r="BZ216" t="str">
        <f>IF('1. Live'!BZ216='check-Jul25'!BZ216,"",'1. Live'!BZ216-'check-Jul25'!BZ216)</f>
        <v/>
      </c>
      <c r="CA216" t="str">
        <f>IF('1. Live'!CA216='check-Jul25'!CA216,"",'1. Live'!CA216-'check-Jul25'!CA216)</f>
        <v/>
      </c>
      <c r="CB216" t="str">
        <f>IF('1. Live'!CB216='check-Jul25'!CB216,"",'1. Live'!CB216-'check-Jul25'!CB216)</f>
        <v/>
      </c>
      <c r="CC216" t="str">
        <f>IF('1. Live'!CC216='check-Jul25'!CC216,"",'1. Live'!CC216-'check-Jul25'!CC216)</f>
        <v/>
      </c>
      <c r="CD216" t="str">
        <f>IF('1. Live'!CD216='check-Jul25'!CD216,"",'1. Live'!CD216-'check-Jul25'!CD216)</f>
        <v/>
      </c>
      <c r="CE216" t="str">
        <f>IF('1. Live'!CE216='check-Jul25'!CE216,"",'1. Live'!CE216-'check-Jul25'!CE216)</f>
        <v/>
      </c>
      <c r="CF216" t="str">
        <f>IF('1. Live'!CF216='check-Jul25'!CF216,"",'1. Live'!CF216-'check-Jul25'!CF216)</f>
        <v/>
      </c>
      <c r="CG216" t="str">
        <f>IF('1. Live'!CG216='check-Jul25'!CG216,"",'1. Live'!CG216-'check-Jul25'!CG216)</f>
        <v/>
      </c>
      <c r="CH216" t="str">
        <f>IF('1. Live'!CH216='check-Jul25'!CH216,"",'1. Live'!CH216-'check-Jul25'!CH216)</f>
        <v/>
      </c>
      <c r="CI216" t="str">
        <f>IF('1. Live'!CI216='check-Jul25'!CI216,"",'1. Live'!CI216-'check-Jul25'!CI216)</f>
        <v/>
      </c>
      <c r="CJ216" t="str">
        <f>IF('1. Live'!CJ216='check-Jul25'!CJ216,"",'1. Live'!CJ216-'check-Jul25'!CJ216)</f>
        <v/>
      </c>
      <c r="CK216" t="str">
        <f>IF('1. Live'!CK216='check-Jul25'!CK216,"",'1. Live'!CK216-'check-Jul25'!CK216)</f>
        <v/>
      </c>
      <c r="CL216" t="str">
        <f>IF('1. Live'!CL216='check-Jul25'!CL216,"",'1. Live'!CL216-'check-Jul25'!CL216)</f>
        <v/>
      </c>
      <c r="CM216" t="str">
        <f>IF('1. Live'!CM216='check-Jul25'!CM216,"",'1. Live'!CM216-'check-Jul25'!CM216)</f>
        <v/>
      </c>
      <c r="CN216" t="str">
        <f>IF('1. Live'!CN216='check-Jul25'!CN216,"",'1. Live'!CN216-'check-Jul25'!CN216)</f>
        <v/>
      </c>
      <c r="CO216" t="str">
        <f>IF('1. Live'!CO216='check-Jul25'!CO216,"",'1. Live'!CO216-'check-Jul25'!CO216)</f>
        <v/>
      </c>
      <c r="CP216" t="str">
        <f>IF('1. Live'!CP216='check-Jul25'!CP216,"",'1. Live'!CP216-'check-Jul25'!CP216)</f>
        <v/>
      </c>
      <c r="CQ216" t="str">
        <f>IF('1. Live'!CQ216='check-Jul25'!CQ216,"",'1. Live'!CQ216-'check-Jul25'!CQ216)</f>
        <v/>
      </c>
      <c r="CR216" t="str">
        <f>IF('1. Live'!CR216='check-Jul25'!CR216,"",'1. Live'!CR216-'check-Jul25'!CR216)</f>
        <v/>
      </c>
      <c r="CS216" t="str">
        <f>IF('1. Live'!CS216='check-Jul25'!CS216,"",'1. Live'!CS216-'check-Jul25'!CS216)</f>
        <v/>
      </c>
      <c r="CT216" t="str">
        <f>IF('1. Live'!CT216='check-Jul25'!CT216,"",'1. Live'!CT216-'check-Jul25'!CT216)</f>
        <v/>
      </c>
      <c r="CU216" t="str">
        <f>IF('1. Live'!CU216='check-Jul25'!CU216,"",'1. Live'!CU216-'check-Jul25'!CU216)</f>
        <v/>
      </c>
      <c r="CV216" t="str">
        <f>IF('1. Live'!CV216='check-Jul25'!CV216,"",'1. Live'!CV216-'check-Jul25'!CV216)</f>
        <v/>
      </c>
      <c r="CW216" t="str">
        <f>IF('1. Live'!CW216='check-Jul25'!CW216,"",'1. Live'!CW216-'check-Jul25'!CW216)</f>
        <v/>
      </c>
    </row>
    <row r="217" spans="10:101">
      <c r="J217" t="str">
        <f>IF('1. Live'!J217='check-Jul25'!J217,"",'1. Live'!J217-'check-Jul25'!J217)</f>
        <v/>
      </c>
      <c r="K217" t="str">
        <f>IF('1. Live'!K217='check-Jul25'!K217,"",'1. Live'!K217-'check-Jul25'!K217)</f>
        <v/>
      </c>
      <c r="L217" t="str">
        <f>IF('1. Live'!L217='check-Jul25'!L217,"",'1. Live'!L217-'check-Jul25'!L217)</f>
        <v/>
      </c>
      <c r="M217" t="str">
        <f>IF('1. Live'!M217='check-Jul25'!M217,"",'1. Live'!M217-'check-Jul25'!M217)</f>
        <v/>
      </c>
      <c r="N217" t="str">
        <f>IF('1. Live'!N217='check-Jul25'!N217,"",'1. Live'!N217-'check-Jul25'!N217)</f>
        <v/>
      </c>
      <c r="O217" t="str">
        <f>IF('1. Live'!O217='check-Jul25'!O217,"",'1. Live'!O217-'check-Jul25'!O217)</f>
        <v/>
      </c>
      <c r="P217" t="str">
        <f>IF('1. Live'!P217='check-Jul25'!P217,"",'1. Live'!P217-'check-Jul25'!P217)</f>
        <v/>
      </c>
      <c r="Q217" t="str">
        <f>IF('1. Live'!Q217='check-Jul25'!Q217,"",'1. Live'!Q217-'check-Jul25'!Q217)</f>
        <v/>
      </c>
      <c r="R217" t="str">
        <f>IF('1. Live'!R217='check-Jul25'!R217,"",'1. Live'!R217-'check-Jul25'!R217)</f>
        <v/>
      </c>
      <c r="S217" t="str">
        <f>IF('1. Live'!S217='check-Jul25'!S217,"",'1. Live'!S217-'check-Jul25'!S217)</f>
        <v/>
      </c>
      <c r="T217" t="str">
        <f>IF('1. Live'!T217='check-Jul25'!T217,"",'1. Live'!T217-'check-Jul25'!T217)</f>
        <v/>
      </c>
      <c r="U217" t="str">
        <f>IF('1. Live'!U217='check-Jul25'!U217,"",'1. Live'!U217-'check-Jul25'!U217)</f>
        <v/>
      </c>
      <c r="V217" t="str">
        <f>IF('1. Live'!V217='check-Jul25'!V217,"",'1. Live'!V217-'check-Jul25'!V217)</f>
        <v/>
      </c>
      <c r="W217" t="str">
        <f>IF('1. Live'!W217='check-Jul25'!W217,"",'1. Live'!W217-'check-Jul25'!W217)</f>
        <v/>
      </c>
      <c r="X217" t="str">
        <f>IF('1. Live'!X217='check-Jul25'!X217,"",'1. Live'!X217-'check-Jul25'!X217)</f>
        <v/>
      </c>
      <c r="Y217" t="str">
        <f>IF('1. Live'!Y217='check-Jul25'!Y217,"",'1. Live'!Y217-'check-Jul25'!Y217)</f>
        <v/>
      </c>
      <c r="Z217" t="str">
        <f>IF('1. Live'!Z217='check-Jul25'!Z217,"",'1. Live'!Z217-'check-Jul25'!Z217)</f>
        <v/>
      </c>
      <c r="AA217" t="str">
        <f>IF('1. Live'!AA217='check-Jul25'!AA217,"",'1. Live'!AA217-'check-Jul25'!AA217)</f>
        <v/>
      </c>
      <c r="AB217" t="str">
        <f>IF('1. Live'!AB217='check-Jul25'!AB217,"",'1. Live'!AB217-'check-Jul25'!AB217)</f>
        <v/>
      </c>
      <c r="AC217" t="str">
        <f>IF('1. Live'!AC217='check-Jul25'!AC217,"",'1. Live'!AC217-'check-Jul25'!AC217)</f>
        <v/>
      </c>
      <c r="AD217" t="str">
        <f>IF('1. Live'!AD217='check-Jul25'!AD217,"",'1. Live'!AD217-'check-Jul25'!AD217)</f>
        <v/>
      </c>
      <c r="AE217" t="str">
        <f>IF('1. Live'!AE217='check-Jul25'!AE217,"",'1. Live'!AE217-'check-Jul25'!AE217)</f>
        <v/>
      </c>
      <c r="AF217" t="str">
        <f>IF('1. Live'!AF217='check-Jul25'!AF217,"",'1. Live'!AF217-'check-Jul25'!AF217)</f>
        <v/>
      </c>
      <c r="AG217" t="str">
        <f>IF('1. Live'!AG217='check-Jul25'!AG217,"",'1. Live'!AG217-'check-Jul25'!AG217)</f>
        <v/>
      </c>
      <c r="AH217" t="str">
        <f>IF('1. Live'!AH217='check-Jul25'!AH217,"",'1. Live'!AH217-'check-Jul25'!AH217)</f>
        <v/>
      </c>
      <c r="AI217" t="str">
        <f>IF('1. Live'!AI217='check-Jul25'!AI217,"",'1. Live'!AI217-'check-Jul25'!AI217)</f>
        <v/>
      </c>
      <c r="AJ217" t="str">
        <f>IF('1. Live'!AJ217='check-Jul25'!AJ217,"",'1. Live'!AJ217-'check-Jul25'!AJ217)</f>
        <v/>
      </c>
      <c r="AK217" t="str">
        <f>IF('1. Live'!AK217='check-Jul25'!AK217,"",'1. Live'!AK217-'check-Jul25'!AK217)</f>
        <v/>
      </c>
      <c r="AL217" t="str">
        <f>IF('1. Live'!AL217='check-Jul25'!AL217,"",'1. Live'!AL217-'check-Jul25'!AL217)</f>
        <v/>
      </c>
      <c r="AM217" t="str">
        <f>IF('1. Live'!AM217='check-Jul25'!AM217,"",'1. Live'!AM217-'check-Jul25'!AM217)</f>
        <v/>
      </c>
      <c r="AN217" t="str">
        <f>IF('1. Live'!AN217='check-Jul25'!AN217,"",'1. Live'!AN217-'check-Jul25'!AN217)</f>
        <v/>
      </c>
      <c r="AO217" t="str">
        <f>IF('1. Live'!AO217='check-Jul25'!AO217,"",'1. Live'!AO217-'check-Jul25'!AO217)</f>
        <v/>
      </c>
      <c r="AP217" t="str">
        <f>IF('1. Live'!AP217='check-Jul25'!AP217,"",'1. Live'!AP217-'check-Jul25'!AP217)</f>
        <v/>
      </c>
      <c r="AQ217" t="str">
        <f>IF('1. Live'!AQ217='check-Jul25'!AQ217,"",'1. Live'!AQ217-'check-Jul25'!AQ217)</f>
        <v/>
      </c>
      <c r="AR217" t="str">
        <f>IF('1. Live'!AR217='check-Jul25'!AR217,"",'1. Live'!AR217-'check-Jul25'!AR217)</f>
        <v/>
      </c>
      <c r="AS217" t="str">
        <f>IF('1. Live'!AS217='check-Jul25'!AS217,"",'1. Live'!AS217-'check-Jul25'!AS217)</f>
        <v/>
      </c>
      <c r="AT217" t="str">
        <f>IF('1. Live'!AT217='check-Jul25'!AT217,"",'1. Live'!AT217-'check-Jul25'!AT217)</f>
        <v/>
      </c>
      <c r="AU217" t="str">
        <f>IF('1. Live'!AU217='check-Jul25'!AU217,"",'1. Live'!AU217-'check-Jul25'!AU217)</f>
        <v/>
      </c>
      <c r="AV217" t="str">
        <f>IF('1. Live'!AV217='check-Jul25'!AV217,"",'1. Live'!AV217-'check-Jul25'!AV217)</f>
        <v/>
      </c>
      <c r="AW217" t="str">
        <f>IF('1. Live'!AW217='check-Jul25'!AW217,"",'1. Live'!AW217-'check-Jul25'!AW217)</f>
        <v/>
      </c>
      <c r="AX217" t="str">
        <f>IF('1. Live'!AX217='check-Jul25'!AX217,"",'1. Live'!AX217-'check-Jul25'!AX217)</f>
        <v/>
      </c>
      <c r="AY217" t="str">
        <f>IF('1. Live'!AY217='check-Jul25'!AY217,"",'1. Live'!AY217-'check-Jul25'!AY217)</f>
        <v/>
      </c>
      <c r="AZ217" t="str">
        <f>IF('1. Live'!AZ217='check-Jul25'!AZ217,"",'1. Live'!AZ217-'check-Jul25'!AZ217)</f>
        <v/>
      </c>
      <c r="BA217" t="str">
        <f>IF('1. Live'!BA217='check-Jul25'!BA217,"",'1. Live'!BA217-'check-Jul25'!BA217)</f>
        <v/>
      </c>
      <c r="BB217" t="str">
        <f>IF('1. Live'!BB217='check-Jul25'!BB217,"",'1. Live'!BB217-'check-Jul25'!BB217)</f>
        <v/>
      </c>
      <c r="BC217" t="str">
        <f>IF('1. Live'!BC217='check-Jul25'!BC217,"",'1. Live'!BC217-'check-Jul25'!BC217)</f>
        <v/>
      </c>
      <c r="BD217" t="str">
        <f>IF('1. Live'!BD217='check-Jul25'!BD217,"",'1. Live'!BD217-'check-Jul25'!BD217)</f>
        <v/>
      </c>
      <c r="BE217" t="str">
        <f>IF('1. Live'!BE217='check-Jul25'!BE217,"",'1. Live'!BE217-'check-Jul25'!BE217)</f>
        <v/>
      </c>
      <c r="BF217" t="str">
        <f>IF('1. Live'!BF217='check-Jul25'!BF217,"",'1. Live'!BF217-'check-Jul25'!BF217)</f>
        <v/>
      </c>
      <c r="BG217" t="str">
        <f>IF('1. Live'!BG217='check-Jul25'!BG217,"",'1. Live'!BG217-'check-Jul25'!BG217)</f>
        <v/>
      </c>
      <c r="BH217" t="str">
        <f>IF('1. Live'!BH217='check-Jul25'!BH217,"",'1. Live'!BH217-'check-Jul25'!BH217)</f>
        <v/>
      </c>
      <c r="BI217" t="str">
        <f>IF('1. Live'!BI217='check-Jul25'!BI217,"",'1. Live'!BI217-'check-Jul25'!BI217)</f>
        <v/>
      </c>
      <c r="BJ217" t="str">
        <f>IF('1. Live'!BJ217='check-Jul25'!BJ217,"",'1. Live'!BJ217-'check-Jul25'!BJ217)</f>
        <v/>
      </c>
      <c r="BK217" t="str">
        <f>IF('1. Live'!BK217='check-Jul25'!BK217,"",'1. Live'!BK217-'check-Jul25'!BK217)</f>
        <v/>
      </c>
      <c r="BL217" t="str">
        <f>IF('1. Live'!BL217='check-Jul25'!BL217,"",'1. Live'!BL217-'check-Jul25'!BL217)</f>
        <v/>
      </c>
      <c r="BM217" t="str">
        <f>IF('1. Live'!BM217='check-Jul25'!BM217,"",'1. Live'!BM217-'check-Jul25'!BM217)</f>
        <v/>
      </c>
      <c r="BN217" t="str">
        <f>IF('1. Live'!BN217='check-Jul25'!BN217,"",'1. Live'!BN217-'check-Jul25'!BN217)</f>
        <v/>
      </c>
      <c r="BO217" t="str">
        <f>IF('1. Live'!BO217='check-Jul25'!BO217,"",'1. Live'!BO217-'check-Jul25'!BO217)</f>
        <v/>
      </c>
      <c r="BP217" t="str">
        <f>IF('1. Live'!BP217='check-Jul25'!BP217,"",'1. Live'!BP217-'check-Jul25'!BP217)</f>
        <v/>
      </c>
      <c r="BQ217" t="str">
        <f>IF('1. Live'!BQ217='check-Jul25'!BQ217,"",'1. Live'!BQ217-'check-Jul25'!BQ217)</f>
        <v/>
      </c>
      <c r="BR217" t="str">
        <f>IF('1. Live'!BR217='check-Jul25'!BR217,"",'1. Live'!BR217-'check-Jul25'!BR217)</f>
        <v/>
      </c>
      <c r="BS217" t="str">
        <f>IF('1. Live'!BS217='check-Jul25'!BS217,"",'1. Live'!BS217-'check-Jul25'!BS217)</f>
        <v/>
      </c>
      <c r="BT217" t="str">
        <f>IF('1. Live'!BT217='check-Jul25'!BT217,"",'1. Live'!BT217-'check-Jul25'!BT217)</f>
        <v/>
      </c>
      <c r="BU217" t="str">
        <f>IF('1. Live'!BU217='check-Jul25'!BU217,"",'1. Live'!BU217-'check-Jul25'!BU217)</f>
        <v/>
      </c>
      <c r="BV217" t="str">
        <f>IF('1. Live'!BV217='check-Jul25'!BV217,"",'1. Live'!BV217-'check-Jul25'!BV217)</f>
        <v/>
      </c>
      <c r="BW217" t="str">
        <f>IF('1. Live'!BW217='check-Jul25'!BW217,"",'1. Live'!BW217-'check-Jul25'!BW217)</f>
        <v/>
      </c>
      <c r="BX217" t="str">
        <f>IF('1. Live'!BX217='check-Jul25'!BX217,"",'1. Live'!BX217-'check-Jul25'!BX217)</f>
        <v/>
      </c>
      <c r="BY217" t="str">
        <f>IF('1. Live'!BY217='check-Jul25'!BY217,"",'1. Live'!BY217-'check-Jul25'!BY217)</f>
        <v/>
      </c>
      <c r="BZ217" t="str">
        <f>IF('1. Live'!BZ217='check-Jul25'!BZ217,"",'1. Live'!BZ217-'check-Jul25'!BZ217)</f>
        <v/>
      </c>
      <c r="CA217" t="str">
        <f>IF('1. Live'!CA217='check-Jul25'!CA217,"",'1. Live'!CA217-'check-Jul25'!CA217)</f>
        <v/>
      </c>
      <c r="CB217" t="str">
        <f>IF('1. Live'!CB217='check-Jul25'!CB217,"",'1. Live'!CB217-'check-Jul25'!CB217)</f>
        <v/>
      </c>
      <c r="CC217" t="str">
        <f>IF('1. Live'!CC217='check-Jul25'!CC217,"",'1. Live'!CC217-'check-Jul25'!CC217)</f>
        <v/>
      </c>
      <c r="CD217" t="str">
        <f>IF('1. Live'!CD217='check-Jul25'!CD217,"",'1. Live'!CD217-'check-Jul25'!CD217)</f>
        <v/>
      </c>
      <c r="CE217" t="str">
        <f>IF('1. Live'!CE217='check-Jul25'!CE217,"",'1. Live'!CE217-'check-Jul25'!CE217)</f>
        <v/>
      </c>
      <c r="CF217" t="str">
        <f>IF('1. Live'!CF217='check-Jul25'!CF217,"",'1. Live'!CF217-'check-Jul25'!CF217)</f>
        <v/>
      </c>
      <c r="CG217" t="str">
        <f>IF('1. Live'!CG217='check-Jul25'!CG217,"",'1. Live'!CG217-'check-Jul25'!CG217)</f>
        <v/>
      </c>
      <c r="CH217" t="str">
        <f>IF('1. Live'!CH217='check-Jul25'!CH217,"",'1. Live'!CH217-'check-Jul25'!CH217)</f>
        <v/>
      </c>
      <c r="CI217" t="str">
        <f>IF('1. Live'!CI217='check-Jul25'!CI217,"",'1. Live'!CI217-'check-Jul25'!CI217)</f>
        <v/>
      </c>
      <c r="CJ217" t="str">
        <f>IF('1. Live'!CJ217='check-Jul25'!CJ217,"",'1. Live'!CJ217-'check-Jul25'!CJ217)</f>
        <v/>
      </c>
      <c r="CK217" t="str">
        <f>IF('1. Live'!CK217='check-Jul25'!CK217,"",'1. Live'!CK217-'check-Jul25'!CK217)</f>
        <v/>
      </c>
      <c r="CL217" t="str">
        <f>IF('1. Live'!CL217='check-Jul25'!CL217,"",'1. Live'!CL217-'check-Jul25'!CL217)</f>
        <v/>
      </c>
      <c r="CM217" t="str">
        <f>IF('1. Live'!CM217='check-Jul25'!CM217,"",'1. Live'!CM217-'check-Jul25'!CM217)</f>
        <v/>
      </c>
      <c r="CN217" t="str">
        <f>IF('1. Live'!CN217='check-Jul25'!CN217,"",'1. Live'!CN217-'check-Jul25'!CN217)</f>
        <v/>
      </c>
      <c r="CO217" t="str">
        <f>IF('1. Live'!CO217='check-Jul25'!CO217,"",'1. Live'!CO217-'check-Jul25'!CO217)</f>
        <v/>
      </c>
      <c r="CP217" t="str">
        <f>IF('1. Live'!CP217='check-Jul25'!CP217,"",'1. Live'!CP217-'check-Jul25'!CP217)</f>
        <v/>
      </c>
      <c r="CQ217" t="str">
        <f>IF('1. Live'!CQ217='check-Jul25'!CQ217,"",'1. Live'!CQ217-'check-Jul25'!CQ217)</f>
        <v/>
      </c>
      <c r="CR217" t="str">
        <f>IF('1. Live'!CR217='check-Jul25'!CR217,"",'1. Live'!CR217-'check-Jul25'!CR217)</f>
        <v/>
      </c>
      <c r="CS217" t="str">
        <f>IF('1. Live'!CS217='check-Jul25'!CS217,"",'1. Live'!CS217-'check-Jul25'!CS217)</f>
        <v/>
      </c>
      <c r="CT217" t="str">
        <f>IF('1. Live'!CT217='check-Jul25'!CT217,"",'1. Live'!CT217-'check-Jul25'!CT217)</f>
        <v/>
      </c>
      <c r="CU217" t="str">
        <f>IF('1. Live'!CU217='check-Jul25'!CU217,"",'1. Live'!CU217-'check-Jul25'!CU217)</f>
        <v/>
      </c>
      <c r="CV217" t="str">
        <f>IF('1. Live'!CV217='check-Jul25'!CV217,"",'1. Live'!CV217-'check-Jul25'!CV217)</f>
        <v/>
      </c>
      <c r="CW217" t="str">
        <f>IF('1. Live'!CW217='check-Jul25'!CW217,"",'1. Live'!CW217-'check-Jul25'!CW217)</f>
        <v/>
      </c>
    </row>
    <row r="218" spans="10:101">
      <c r="J218" t="str">
        <f>IF('1. Live'!J218='check-Jul25'!J218,"",'1. Live'!J218-'check-Jul25'!J218)</f>
        <v/>
      </c>
      <c r="K218" t="str">
        <f>IF('1. Live'!K218='check-Jul25'!K218,"",'1. Live'!K218-'check-Jul25'!K218)</f>
        <v/>
      </c>
      <c r="L218" t="str">
        <f>IF('1. Live'!L218='check-Jul25'!L218,"",'1. Live'!L218-'check-Jul25'!L218)</f>
        <v/>
      </c>
      <c r="M218" t="str">
        <f>IF('1. Live'!M218='check-Jul25'!M218,"",'1. Live'!M218-'check-Jul25'!M218)</f>
        <v/>
      </c>
      <c r="N218" t="str">
        <f>IF('1. Live'!N218='check-Jul25'!N218,"",'1. Live'!N218-'check-Jul25'!N218)</f>
        <v/>
      </c>
      <c r="O218" t="str">
        <f>IF('1. Live'!O218='check-Jul25'!O218,"",'1. Live'!O218-'check-Jul25'!O218)</f>
        <v/>
      </c>
      <c r="P218" t="str">
        <f>IF('1. Live'!P218='check-Jul25'!P218,"",'1. Live'!P218-'check-Jul25'!P218)</f>
        <v/>
      </c>
      <c r="Q218" t="str">
        <f>IF('1. Live'!Q218='check-Jul25'!Q218,"",'1. Live'!Q218-'check-Jul25'!Q218)</f>
        <v/>
      </c>
      <c r="R218" t="str">
        <f>IF('1. Live'!R218='check-Jul25'!R218,"",'1. Live'!R218-'check-Jul25'!R218)</f>
        <v/>
      </c>
      <c r="S218" t="str">
        <f>IF('1. Live'!S218='check-Jul25'!S218,"",'1. Live'!S218-'check-Jul25'!S218)</f>
        <v/>
      </c>
      <c r="T218" t="str">
        <f>IF('1. Live'!T218='check-Jul25'!T218,"",'1. Live'!T218-'check-Jul25'!T218)</f>
        <v/>
      </c>
      <c r="U218" t="str">
        <f>IF('1. Live'!U218='check-Jul25'!U218,"",'1. Live'!U218-'check-Jul25'!U218)</f>
        <v/>
      </c>
      <c r="V218" t="str">
        <f>IF('1. Live'!V218='check-Jul25'!V218,"",'1. Live'!V218-'check-Jul25'!V218)</f>
        <v/>
      </c>
      <c r="W218" t="str">
        <f>IF('1. Live'!W218='check-Jul25'!W218,"",'1. Live'!W218-'check-Jul25'!W218)</f>
        <v/>
      </c>
      <c r="X218" t="str">
        <f>IF('1. Live'!X218='check-Jul25'!X218,"",'1. Live'!X218-'check-Jul25'!X218)</f>
        <v/>
      </c>
      <c r="Y218" t="str">
        <f>IF('1. Live'!Y218='check-Jul25'!Y218,"",'1. Live'!Y218-'check-Jul25'!Y218)</f>
        <v/>
      </c>
      <c r="Z218" t="str">
        <f>IF('1. Live'!Z218='check-Jul25'!Z218,"",'1. Live'!Z218-'check-Jul25'!Z218)</f>
        <v/>
      </c>
      <c r="AA218" t="str">
        <f>IF('1. Live'!AA218='check-Jul25'!AA218,"",'1. Live'!AA218-'check-Jul25'!AA218)</f>
        <v/>
      </c>
      <c r="AB218" t="str">
        <f>IF('1. Live'!AB218='check-Jul25'!AB218,"",'1. Live'!AB218-'check-Jul25'!AB218)</f>
        <v/>
      </c>
      <c r="AC218" t="str">
        <f>IF('1. Live'!AC218='check-Jul25'!AC218,"",'1. Live'!AC218-'check-Jul25'!AC218)</f>
        <v/>
      </c>
      <c r="AD218" t="str">
        <f>IF('1. Live'!AD218='check-Jul25'!AD218,"",'1. Live'!AD218-'check-Jul25'!AD218)</f>
        <v/>
      </c>
      <c r="AE218" t="str">
        <f>IF('1. Live'!AE218='check-Jul25'!AE218,"",'1. Live'!AE218-'check-Jul25'!AE218)</f>
        <v/>
      </c>
      <c r="AF218" t="str">
        <f>IF('1. Live'!AF218='check-Jul25'!AF218,"",'1. Live'!AF218-'check-Jul25'!AF218)</f>
        <v/>
      </c>
      <c r="AG218" t="str">
        <f>IF('1. Live'!AG218='check-Jul25'!AG218,"",'1. Live'!AG218-'check-Jul25'!AG218)</f>
        <v/>
      </c>
      <c r="AH218" t="str">
        <f>IF('1. Live'!AH218='check-Jul25'!AH218,"",'1. Live'!AH218-'check-Jul25'!AH218)</f>
        <v/>
      </c>
      <c r="AI218" t="str">
        <f>IF('1. Live'!AI218='check-Jul25'!AI218,"",'1. Live'!AI218-'check-Jul25'!AI218)</f>
        <v/>
      </c>
      <c r="AJ218" t="str">
        <f>IF('1. Live'!AJ218='check-Jul25'!AJ218,"",'1. Live'!AJ218-'check-Jul25'!AJ218)</f>
        <v/>
      </c>
      <c r="AK218" t="str">
        <f>IF('1. Live'!AK218='check-Jul25'!AK218,"",'1. Live'!AK218-'check-Jul25'!AK218)</f>
        <v/>
      </c>
      <c r="AL218" t="str">
        <f>IF('1. Live'!AL218='check-Jul25'!AL218,"",'1. Live'!AL218-'check-Jul25'!AL218)</f>
        <v/>
      </c>
      <c r="AM218" t="str">
        <f>IF('1. Live'!AM218='check-Jul25'!AM218,"",'1. Live'!AM218-'check-Jul25'!AM218)</f>
        <v/>
      </c>
      <c r="AN218" t="str">
        <f>IF('1. Live'!AN218='check-Jul25'!AN218,"",'1. Live'!AN218-'check-Jul25'!AN218)</f>
        <v/>
      </c>
      <c r="AO218" t="str">
        <f>IF('1. Live'!AO218='check-Jul25'!AO218,"",'1. Live'!AO218-'check-Jul25'!AO218)</f>
        <v/>
      </c>
      <c r="AP218" t="str">
        <f>IF('1. Live'!AP218='check-Jul25'!AP218,"",'1. Live'!AP218-'check-Jul25'!AP218)</f>
        <v/>
      </c>
      <c r="AQ218" t="str">
        <f>IF('1. Live'!AQ218='check-Jul25'!AQ218,"",'1. Live'!AQ218-'check-Jul25'!AQ218)</f>
        <v/>
      </c>
      <c r="AR218" t="str">
        <f>IF('1. Live'!AR218='check-Jul25'!AR218,"",'1. Live'!AR218-'check-Jul25'!AR218)</f>
        <v/>
      </c>
      <c r="AS218" t="str">
        <f>IF('1. Live'!AS218='check-Jul25'!AS218,"",'1. Live'!AS218-'check-Jul25'!AS218)</f>
        <v/>
      </c>
      <c r="AT218" t="str">
        <f>IF('1. Live'!AT218='check-Jul25'!AT218,"",'1. Live'!AT218-'check-Jul25'!AT218)</f>
        <v/>
      </c>
      <c r="AU218" t="str">
        <f>IF('1. Live'!AU218='check-Jul25'!AU218,"",'1. Live'!AU218-'check-Jul25'!AU218)</f>
        <v/>
      </c>
      <c r="AV218" t="str">
        <f>IF('1. Live'!AV218='check-Jul25'!AV218,"",'1. Live'!AV218-'check-Jul25'!AV218)</f>
        <v/>
      </c>
      <c r="AW218" t="str">
        <f>IF('1. Live'!AW218='check-Jul25'!AW218,"",'1. Live'!AW218-'check-Jul25'!AW218)</f>
        <v/>
      </c>
      <c r="AX218" t="str">
        <f>IF('1. Live'!AX218='check-Jul25'!AX218,"",'1. Live'!AX218-'check-Jul25'!AX218)</f>
        <v/>
      </c>
      <c r="AY218" t="str">
        <f>IF('1. Live'!AY218='check-Jul25'!AY218,"",'1. Live'!AY218-'check-Jul25'!AY218)</f>
        <v/>
      </c>
      <c r="AZ218" t="str">
        <f>IF('1. Live'!AZ218='check-Jul25'!AZ218,"",'1. Live'!AZ218-'check-Jul25'!AZ218)</f>
        <v/>
      </c>
      <c r="BA218" t="str">
        <f>IF('1. Live'!BA218='check-Jul25'!BA218,"",'1. Live'!BA218-'check-Jul25'!BA218)</f>
        <v/>
      </c>
      <c r="BB218" t="str">
        <f>IF('1. Live'!BB218='check-Jul25'!BB218,"",'1. Live'!BB218-'check-Jul25'!BB218)</f>
        <v/>
      </c>
      <c r="BC218" t="str">
        <f>IF('1. Live'!BC218='check-Jul25'!BC218,"",'1. Live'!BC218-'check-Jul25'!BC218)</f>
        <v/>
      </c>
      <c r="BD218" t="str">
        <f>IF('1. Live'!BD218='check-Jul25'!BD218,"",'1. Live'!BD218-'check-Jul25'!BD218)</f>
        <v/>
      </c>
      <c r="BE218" t="str">
        <f>IF('1. Live'!BE218='check-Jul25'!BE218,"",'1. Live'!BE218-'check-Jul25'!BE218)</f>
        <v/>
      </c>
      <c r="BF218" t="str">
        <f>IF('1. Live'!BF218='check-Jul25'!BF218,"",'1. Live'!BF218-'check-Jul25'!BF218)</f>
        <v/>
      </c>
      <c r="BG218" t="str">
        <f>IF('1. Live'!BG218='check-Jul25'!BG218,"",'1. Live'!BG218-'check-Jul25'!BG218)</f>
        <v/>
      </c>
      <c r="BH218" t="str">
        <f>IF('1. Live'!BH218='check-Jul25'!BH218,"",'1. Live'!BH218-'check-Jul25'!BH218)</f>
        <v/>
      </c>
      <c r="BI218" t="str">
        <f>IF('1. Live'!BI218='check-Jul25'!BI218,"",'1. Live'!BI218-'check-Jul25'!BI218)</f>
        <v/>
      </c>
      <c r="BJ218" t="str">
        <f>IF('1. Live'!BJ218='check-Jul25'!BJ218,"",'1. Live'!BJ218-'check-Jul25'!BJ218)</f>
        <v/>
      </c>
      <c r="BK218" t="str">
        <f>IF('1. Live'!BK218='check-Jul25'!BK218,"",'1. Live'!BK218-'check-Jul25'!BK218)</f>
        <v/>
      </c>
      <c r="BL218" t="str">
        <f>IF('1. Live'!BL218='check-Jul25'!BL218,"",'1. Live'!BL218-'check-Jul25'!BL218)</f>
        <v/>
      </c>
      <c r="BM218" t="str">
        <f>IF('1. Live'!BM218='check-Jul25'!BM218,"",'1. Live'!BM218-'check-Jul25'!BM218)</f>
        <v/>
      </c>
      <c r="BN218" t="str">
        <f>IF('1. Live'!BN218='check-Jul25'!BN218,"",'1. Live'!BN218-'check-Jul25'!BN218)</f>
        <v/>
      </c>
      <c r="BO218" t="str">
        <f>IF('1. Live'!BO218='check-Jul25'!BO218,"",'1. Live'!BO218-'check-Jul25'!BO218)</f>
        <v/>
      </c>
      <c r="BP218" t="str">
        <f>IF('1. Live'!BP218='check-Jul25'!BP218,"",'1. Live'!BP218-'check-Jul25'!BP218)</f>
        <v/>
      </c>
      <c r="BQ218" t="str">
        <f>IF('1. Live'!BQ218='check-Jul25'!BQ218,"",'1. Live'!BQ218-'check-Jul25'!BQ218)</f>
        <v/>
      </c>
      <c r="BR218" t="str">
        <f>IF('1. Live'!BR218='check-Jul25'!BR218,"",'1. Live'!BR218-'check-Jul25'!BR218)</f>
        <v/>
      </c>
      <c r="BS218" t="str">
        <f>IF('1. Live'!BS218='check-Jul25'!BS218,"",'1. Live'!BS218-'check-Jul25'!BS218)</f>
        <v/>
      </c>
      <c r="BT218" t="str">
        <f>IF('1. Live'!BT218='check-Jul25'!BT218,"",'1. Live'!BT218-'check-Jul25'!BT218)</f>
        <v/>
      </c>
      <c r="BU218" t="str">
        <f>IF('1. Live'!BU218='check-Jul25'!BU218,"",'1. Live'!BU218-'check-Jul25'!BU218)</f>
        <v/>
      </c>
      <c r="BV218" t="str">
        <f>IF('1. Live'!BV218='check-Jul25'!BV218,"",'1. Live'!BV218-'check-Jul25'!BV218)</f>
        <v/>
      </c>
      <c r="BW218" t="str">
        <f>IF('1. Live'!BW218='check-Jul25'!BW218,"",'1. Live'!BW218-'check-Jul25'!BW218)</f>
        <v/>
      </c>
      <c r="BX218" t="str">
        <f>IF('1. Live'!BX218='check-Jul25'!BX218,"",'1. Live'!BX218-'check-Jul25'!BX218)</f>
        <v/>
      </c>
      <c r="BY218" t="str">
        <f>IF('1. Live'!BY218='check-Jul25'!BY218,"",'1. Live'!BY218-'check-Jul25'!BY218)</f>
        <v/>
      </c>
      <c r="BZ218" t="str">
        <f>IF('1. Live'!BZ218='check-Jul25'!BZ218,"",'1. Live'!BZ218-'check-Jul25'!BZ218)</f>
        <v/>
      </c>
      <c r="CA218" t="str">
        <f>IF('1. Live'!CA218='check-Jul25'!CA218,"",'1. Live'!CA218-'check-Jul25'!CA218)</f>
        <v/>
      </c>
      <c r="CB218" t="str">
        <f>IF('1. Live'!CB218='check-Jul25'!CB218,"",'1. Live'!CB218-'check-Jul25'!CB218)</f>
        <v/>
      </c>
      <c r="CC218" t="str">
        <f>IF('1. Live'!CC218='check-Jul25'!CC218,"",'1. Live'!CC218-'check-Jul25'!CC218)</f>
        <v/>
      </c>
      <c r="CD218" t="str">
        <f>IF('1. Live'!CD218='check-Jul25'!CD218,"",'1. Live'!CD218-'check-Jul25'!CD218)</f>
        <v/>
      </c>
      <c r="CE218" t="str">
        <f>IF('1. Live'!CE218='check-Jul25'!CE218,"",'1. Live'!CE218-'check-Jul25'!CE218)</f>
        <v/>
      </c>
      <c r="CF218" t="str">
        <f>IF('1. Live'!CF218='check-Jul25'!CF218,"",'1. Live'!CF218-'check-Jul25'!CF218)</f>
        <v/>
      </c>
      <c r="CG218" t="str">
        <f>IF('1. Live'!CG218='check-Jul25'!CG218,"",'1. Live'!CG218-'check-Jul25'!CG218)</f>
        <v/>
      </c>
      <c r="CH218" t="str">
        <f>IF('1. Live'!CH218='check-Jul25'!CH218,"",'1. Live'!CH218-'check-Jul25'!CH218)</f>
        <v/>
      </c>
      <c r="CI218" t="str">
        <f>IF('1. Live'!CI218='check-Jul25'!CI218,"",'1. Live'!CI218-'check-Jul25'!CI218)</f>
        <v/>
      </c>
      <c r="CJ218" t="str">
        <f>IF('1. Live'!CJ218='check-Jul25'!CJ218,"",'1. Live'!CJ218-'check-Jul25'!CJ218)</f>
        <v/>
      </c>
      <c r="CK218" t="str">
        <f>IF('1. Live'!CK218='check-Jul25'!CK218,"",'1. Live'!CK218-'check-Jul25'!CK218)</f>
        <v/>
      </c>
      <c r="CL218" t="str">
        <f>IF('1. Live'!CL218='check-Jul25'!CL218,"",'1. Live'!CL218-'check-Jul25'!CL218)</f>
        <v/>
      </c>
      <c r="CM218" t="str">
        <f>IF('1. Live'!CM218='check-Jul25'!CM218,"",'1. Live'!CM218-'check-Jul25'!CM218)</f>
        <v/>
      </c>
      <c r="CN218" t="str">
        <f>IF('1. Live'!CN218='check-Jul25'!CN218,"",'1. Live'!CN218-'check-Jul25'!CN218)</f>
        <v/>
      </c>
      <c r="CO218" t="str">
        <f>IF('1. Live'!CO218='check-Jul25'!CO218,"",'1. Live'!CO218-'check-Jul25'!CO218)</f>
        <v/>
      </c>
      <c r="CP218" t="str">
        <f>IF('1. Live'!CP218='check-Jul25'!CP218,"",'1. Live'!CP218-'check-Jul25'!CP218)</f>
        <v/>
      </c>
      <c r="CQ218" t="str">
        <f>IF('1. Live'!CQ218='check-Jul25'!CQ218,"",'1. Live'!CQ218-'check-Jul25'!CQ218)</f>
        <v/>
      </c>
      <c r="CR218" t="str">
        <f>IF('1. Live'!CR218='check-Jul25'!CR218,"",'1. Live'!CR218-'check-Jul25'!CR218)</f>
        <v/>
      </c>
      <c r="CS218" t="str">
        <f>IF('1. Live'!CS218='check-Jul25'!CS218,"",'1. Live'!CS218-'check-Jul25'!CS218)</f>
        <v/>
      </c>
      <c r="CT218" t="str">
        <f>IF('1. Live'!CT218='check-Jul25'!CT218,"",'1. Live'!CT218-'check-Jul25'!CT218)</f>
        <v/>
      </c>
      <c r="CU218" t="str">
        <f>IF('1. Live'!CU218='check-Jul25'!CU218,"",'1. Live'!CU218-'check-Jul25'!CU218)</f>
        <v/>
      </c>
      <c r="CV218" t="str">
        <f>IF('1. Live'!CV218='check-Jul25'!CV218,"",'1. Live'!CV218-'check-Jul25'!CV218)</f>
        <v/>
      </c>
      <c r="CW218" t="str">
        <f>IF('1. Live'!CW218='check-Jul25'!CW218,"",'1. Live'!CW218-'check-Jul25'!CW218)</f>
        <v/>
      </c>
    </row>
    <row r="219" spans="10:101">
      <c r="J219" t="str">
        <f>IF('1. Live'!J219='check-Jul25'!J219,"",'1. Live'!J219-'check-Jul25'!J219)</f>
        <v/>
      </c>
      <c r="K219" t="str">
        <f>IF('1. Live'!K219='check-Jul25'!K219,"",'1. Live'!K219-'check-Jul25'!K219)</f>
        <v/>
      </c>
      <c r="L219" t="str">
        <f>IF('1. Live'!L219='check-Jul25'!L219,"",'1. Live'!L219-'check-Jul25'!L219)</f>
        <v/>
      </c>
      <c r="M219" t="str">
        <f>IF('1. Live'!M219='check-Jul25'!M219,"",'1. Live'!M219-'check-Jul25'!M219)</f>
        <v/>
      </c>
      <c r="N219" t="str">
        <f>IF('1. Live'!N219='check-Jul25'!N219,"",'1. Live'!N219-'check-Jul25'!N219)</f>
        <v/>
      </c>
      <c r="O219" t="str">
        <f>IF('1. Live'!O219='check-Jul25'!O219,"",'1. Live'!O219-'check-Jul25'!O219)</f>
        <v/>
      </c>
      <c r="P219" t="str">
        <f>IF('1. Live'!P219='check-Jul25'!P219,"",'1. Live'!P219-'check-Jul25'!P219)</f>
        <v/>
      </c>
      <c r="Q219" t="str">
        <f>IF('1. Live'!Q219='check-Jul25'!Q219,"",'1. Live'!Q219-'check-Jul25'!Q219)</f>
        <v/>
      </c>
      <c r="R219" t="str">
        <f>IF('1. Live'!R219='check-Jul25'!R219,"",'1. Live'!R219-'check-Jul25'!R219)</f>
        <v/>
      </c>
      <c r="S219" t="str">
        <f>IF('1. Live'!S219='check-Jul25'!S219,"",'1. Live'!S219-'check-Jul25'!S219)</f>
        <v/>
      </c>
      <c r="T219" t="str">
        <f>IF('1. Live'!T219='check-Jul25'!T219,"",'1. Live'!T219-'check-Jul25'!T219)</f>
        <v/>
      </c>
      <c r="U219" t="str">
        <f>IF('1. Live'!U219='check-Jul25'!U219,"",'1. Live'!U219-'check-Jul25'!U219)</f>
        <v/>
      </c>
      <c r="V219" t="str">
        <f>IF('1. Live'!V219='check-Jul25'!V219,"",'1. Live'!V219-'check-Jul25'!V219)</f>
        <v/>
      </c>
      <c r="W219" t="str">
        <f>IF('1. Live'!W219='check-Jul25'!W219,"",'1. Live'!W219-'check-Jul25'!W219)</f>
        <v/>
      </c>
      <c r="X219" t="str">
        <f>IF('1. Live'!X219='check-Jul25'!X219,"",'1. Live'!X219-'check-Jul25'!X219)</f>
        <v/>
      </c>
      <c r="Y219" t="str">
        <f>IF('1. Live'!Y219='check-Jul25'!Y219,"",'1. Live'!Y219-'check-Jul25'!Y219)</f>
        <v/>
      </c>
      <c r="Z219" t="str">
        <f>IF('1. Live'!Z219='check-Jul25'!Z219,"",'1. Live'!Z219-'check-Jul25'!Z219)</f>
        <v/>
      </c>
      <c r="AA219" t="str">
        <f>IF('1. Live'!AA219='check-Jul25'!AA219,"",'1. Live'!AA219-'check-Jul25'!AA219)</f>
        <v/>
      </c>
      <c r="AB219" t="str">
        <f>IF('1. Live'!AB219='check-Jul25'!AB219,"",'1. Live'!AB219-'check-Jul25'!AB219)</f>
        <v/>
      </c>
      <c r="AC219" t="str">
        <f>IF('1. Live'!AC219='check-Jul25'!AC219,"",'1. Live'!AC219-'check-Jul25'!AC219)</f>
        <v/>
      </c>
      <c r="AD219" t="str">
        <f>IF('1. Live'!AD219='check-Jul25'!AD219,"",'1. Live'!AD219-'check-Jul25'!AD219)</f>
        <v/>
      </c>
      <c r="AE219" t="str">
        <f>IF('1. Live'!AE219='check-Jul25'!AE219,"",'1. Live'!AE219-'check-Jul25'!AE219)</f>
        <v/>
      </c>
      <c r="AF219" t="str">
        <f>IF('1. Live'!AF219='check-Jul25'!AF219,"",'1. Live'!AF219-'check-Jul25'!AF219)</f>
        <v/>
      </c>
      <c r="AG219" t="str">
        <f>IF('1. Live'!AG219='check-Jul25'!AG219,"",'1. Live'!AG219-'check-Jul25'!AG219)</f>
        <v/>
      </c>
      <c r="AH219" t="str">
        <f>IF('1. Live'!AH219='check-Jul25'!AH219,"",'1. Live'!AH219-'check-Jul25'!AH219)</f>
        <v/>
      </c>
      <c r="AI219" t="str">
        <f>IF('1. Live'!AI219='check-Jul25'!AI219,"",'1. Live'!AI219-'check-Jul25'!AI219)</f>
        <v/>
      </c>
      <c r="AJ219" t="str">
        <f>IF('1. Live'!AJ219='check-Jul25'!AJ219,"",'1. Live'!AJ219-'check-Jul25'!AJ219)</f>
        <v/>
      </c>
      <c r="AK219" t="str">
        <f>IF('1. Live'!AK219='check-Jul25'!AK219,"",'1. Live'!AK219-'check-Jul25'!AK219)</f>
        <v/>
      </c>
      <c r="AL219" t="str">
        <f>IF('1. Live'!AL219='check-Jul25'!AL219,"",'1. Live'!AL219-'check-Jul25'!AL219)</f>
        <v/>
      </c>
      <c r="AM219" t="str">
        <f>IF('1. Live'!AM219='check-Jul25'!AM219,"",'1. Live'!AM219-'check-Jul25'!AM219)</f>
        <v/>
      </c>
      <c r="AN219" t="str">
        <f>IF('1. Live'!AN219='check-Jul25'!AN219,"",'1. Live'!AN219-'check-Jul25'!AN219)</f>
        <v/>
      </c>
      <c r="AO219" t="str">
        <f>IF('1. Live'!AO219='check-Jul25'!AO219,"",'1. Live'!AO219-'check-Jul25'!AO219)</f>
        <v/>
      </c>
      <c r="AP219" t="str">
        <f>IF('1. Live'!AP219='check-Jul25'!AP219,"",'1. Live'!AP219-'check-Jul25'!AP219)</f>
        <v/>
      </c>
      <c r="AQ219" t="str">
        <f>IF('1. Live'!AQ219='check-Jul25'!AQ219,"",'1. Live'!AQ219-'check-Jul25'!AQ219)</f>
        <v/>
      </c>
      <c r="AR219" t="str">
        <f>IF('1. Live'!AR219='check-Jul25'!AR219,"",'1. Live'!AR219-'check-Jul25'!AR219)</f>
        <v/>
      </c>
      <c r="AS219" t="str">
        <f>IF('1. Live'!AS219='check-Jul25'!AS219,"",'1. Live'!AS219-'check-Jul25'!AS219)</f>
        <v/>
      </c>
      <c r="AT219" t="str">
        <f>IF('1. Live'!AT219='check-Jul25'!AT219,"",'1. Live'!AT219-'check-Jul25'!AT219)</f>
        <v/>
      </c>
      <c r="AU219" t="str">
        <f>IF('1. Live'!AU219='check-Jul25'!AU219,"",'1. Live'!AU219-'check-Jul25'!AU219)</f>
        <v/>
      </c>
      <c r="AV219" t="str">
        <f>IF('1. Live'!AV219='check-Jul25'!AV219,"",'1. Live'!AV219-'check-Jul25'!AV219)</f>
        <v/>
      </c>
      <c r="AW219" t="str">
        <f>IF('1. Live'!AW219='check-Jul25'!AW219,"",'1. Live'!AW219-'check-Jul25'!AW219)</f>
        <v/>
      </c>
      <c r="AX219" t="str">
        <f>IF('1. Live'!AX219='check-Jul25'!AX219,"",'1. Live'!AX219-'check-Jul25'!AX219)</f>
        <v/>
      </c>
      <c r="AY219" t="str">
        <f>IF('1. Live'!AY219='check-Jul25'!AY219,"",'1. Live'!AY219-'check-Jul25'!AY219)</f>
        <v/>
      </c>
      <c r="AZ219" t="str">
        <f>IF('1. Live'!AZ219='check-Jul25'!AZ219,"",'1. Live'!AZ219-'check-Jul25'!AZ219)</f>
        <v/>
      </c>
      <c r="BA219" t="str">
        <f>IF('1. Live'!BA219='check-Jul25'!BA219,"",'1. Live'!BA219-'check-Jul25'!BA219)</f>
        <v/>
      </c>
      <c r="BB219" t="str">
        <f>IF('1. Live'!BB219='check-Jul25'!BB219,"",'1. Live'!BB219-'check-Jul25'!BB219)</f>
        <v/>
      </c>
      <c r="BC219" t="str">
        <f>IF('1. Live'!BC219='check-Jul25'!BC219,"",'1. Live'!BC219-'check-Jul25'!BC219)</f>
        <v/>
      </c>
      <c r="BD219" t="str">
        <f>IF('1. Live'!BD219='check-Jul25'!BD219,"",'1. Live'!BD219-'check-Jul25'!BD219)</f>
        <v/>
      </c>
      <c r="BE219" t="str">
        <f>IF('1. Live'!BE219='check-Jul25'!BE219,"",'1. Live'!BE219-'check-Jul25'!BE219)</f>
        <v/>
      </c>
      <c r="BF219" t="str">
        <f>IF('1. Live'!BF219='check-Jul25'!BF219,"",'1. Live'!BF219-'check-Jul25'!BF219)</f>
        <v/>
      </c>
      <c r="BG219" t="str">
        <f>IF('1. Live'!BG219='check-Jul25'!BG219,"",'1. Live'!BG219-'check-Jul25'!BG219)</f>
        <v/>
      </c>
      <c r="BH219" t="str">
        <f>IF('1. Live'!BH219='check-Jul25'!BH219,"",'1. Live'!BH219-'check-Jul25'!BH219)</f>
        <v/>
      </c>
      <c r="BI219" t="str">
        <f>IF('1. Live'!BI219='check-Jul25'!BI219,"",'1. Live'!BI219-'check-Jul25'!BI219)</f>
        <v/>
      </c>
      <c r="BJ219" t="str">
        <f>IF('1. Live'!BJ219='check-Jul25'!BJ219,"",'1. Live'!BJ219-'check-Jul25'!BJ219)</f>
        <v/>
      </c>
      <c r="BK219" t="str">
        <f>IF('1. Live'!BK219='check-Jul25'!BK219,"",'1. Live'!BK219-'check-Jul25'!BK219)</f>
        <v/>
      </c>
      <c r="BL219" t="str">
        <f>IF('1. Live'!BL219='check-Jul25'!BL219,"",'1. Live'!BL219-'check-Jul25'!BL219)</f>
        <v/>
      </c>
      <c r="BM219" t="str">
        <f>IF('1. Live'!BM219='check-Jul25'!BM219,"",'1. Live'!BM219-'check-Jul25'!BM219)</f>
        <v/>
      </c>
      <c r="BN219" t="str">
        <f>IF('1. Live'!BN219='check-Jul25'!BN219,"",'1. Live'!BN219-'check-Jul25'!BN219)</f>
        <v/>
      </c>
      <c r="BO219" t="str">
        <f>IF('1. Live'!BO219='check-Jul25'!BO219,"",'1. Live'!BO219-'check-Jul25'!BO219)</f>
        <v/>
      </c>
      <c r="BP219" t="str">
        <f>IF('1. Live'!BP219='check-Jul25'!BP219,"",'1. Live'!BP219-'check-Jul25'!BP219)</f>
        <v/>
      </c>
      <c r="BQ219" t="str">
        <f>IF('1. Live'!BQ219='check-Jul25'!BQ219,"",'1. Live'!BQ219-'check-Jul25'!BQ219)</f>
        <v/>
      </c>
      <c r="BR219" t="str">
        <f>IF('1. Live'!BR219='check-Jul25'!BR219,"",'1. Live'!BR219-'check-Jul25'!BR219)</f>
        <v/>
      </c>
      <c r="BS219" t="str">
        <f>IF('1. Live'!BS219='check-Jul25'!BS219,"",'1. Live'!BS219-'check-Jul25'!BS219)</f>
        <v/>
      </c>
      <c r="BT219" t="str">
        <f>IF('1. Live'!BT219='check-Jul25'!BT219,"",'1. Live'!BT219-'check-Jul25'!BT219)</f>
        <v/>
      </c>
      <c r="BU219" t="str">
        <f>IF('1. Live'!BU219='check-Jul25'!BU219,"",'1. Live'!BU219-'check-Jul25'!BU219)</f>
        <v/>
      </c>
      <c r="BV219" t="str">
        <f>IF('1. Live'!BV219='check-Jul25'!BV219,"",'1. Live'!BV219-'check-Jul25'!BV219)</f>
        <v/>
      </c>
      <c r="BW219" t="str">
        <f>IF('1. Live'!BW219='check-Jul25'!BW219,"",'1. Live'!BW219-'check-Jul25'!BW219)</f>
        <v/>
      </c>
      <c r="BX219" t="str">
        <f>IF('1. Live'!BX219='check-Jul25'!BX219,"",'1. Live'!BX219-'check-Jul25'!BX219)</f>
        <v/>
      </c>
      <c r="BY219" t="str">
        <f>IF('1. Live'!BY219='check-Jul25'!BY219,"",'1. Live'!BY219-'check-Jul25'!BY219)</f>
        <v/>
      </c>
      <c r="BZ219" t="str">
        <f>IF('1. Live'!BZ219='check-Jul25'!BZ219,"",'1. Live'!BZ219-'check-Jul25'!BZ219)</f>
        <v/>
      </c>
      <c r="CA219" t="str">
        <f>IF('1. Live'!CA219='check-Jul25'!CA219,"",'1. Live'!CA219-'check-Jul25'!CA219)</f>
        <v/>
      </c>
      <c r="CB219" t="str">
        <f>IF('1. Live'!CB219='check-Jul25'!CB219,"",'1. Live'!CB219-'check-Jul25'!CB219)</f>
        <v/>
      </c>
      <c r="CC219" t="str">
        <f>IF('1. Live'!CC219='check-Jul25'!CC219,"",'1. Live'!CC219-'check-Jul25'!CC219)</f>
        <v/>
      </c>
      <c r="CD219" t="str">
        <f>IF('1. Live'!CD219='check-Jul25'!CD219,"",'1. Live'!CD219-'check-Jul25'!CD219)</f>
        <v/>
      </c>
      <c r="CE219" t="str">
        <f>IF('1. Live'!CE219='check-Jul25'!CE219,"",'1. Live'!CE219-'check-Jul25'!CE219)</f>
        <v/>
      </c>
      <c r="CF219" t="str">
        <f>IF('1. Live'!CF219='check-Jul25'!CF219,"",'1. Live'!CF219-'check-Jul25'!CF219)</f>
        <v/>
      </c>
      <c r="CG219" t="str">
        <f>IF('1. Live'!CG219='check-Jul25'!CG219,"",'1. Live'!CG219-'check-Jul25'!CG219)</f>
        <v/>
      </c>
      <c r="CH219" t="str">
        <f>IF('1. Live'!CH219='check-Jul25'!CH219,"",'1. Live'!CH219-'check-Jul25'!CH219)</f>
        <v/>
      </c>
      <c r="CI219" t="str">
        <f>IF('1. Live'!CI219='check-Jul25'!CI219,"",'1. Live'!CI219-'check-Jul25'!CI219)</f>
        <v/>
      </c>
      <c r="CJ219" t="str">
        <f>IF('1. Live'!CJ219='check-Jul25'!CJ219,"",'1. Live'!CJ219-'check-Jul25'!CJ219)</f>
        <v/>
      </c>
      <c r="CK219" t="str">
        <f>IF('1. Live'!CK219='check-Jul25'!CK219,"",'1. Live'!CK219-'check-Jul25'!CK219)</f>
        <v/>
      </c>
      <c r="CL219" t="str">
        <f>IF('1. Live'!CL219='check-Jul25'!CL219,"",'1. Live'!CL219-'check-Jul25'!CL219)</f>
        <v/>
      </c>
      <c r="CM219" t="str">
        <f>IF('1. Live'!CM219='check-Jul25'!CM219,"",'1. Live'!CM219-'check-Jul25'!CM219)</f>
        <v/>
      </c>
      <c r="CN219" t="str">
        <f>IF('1. Live'!CN219='check-Jul25'!CN219,"",'1. Live'!CN219-'check-Jul25'!CN219)</f>
        <v/>
      </c>
      <c r="CO219" t="str">
        <f>IF('1. Live'!CO219='check-Jul25'!CO219,"",'1. Live'!CO219-'check-Jul25'!CO219)</f>
        <v/>
      </c>
      <c r="CP219" t="str">
        <f>IF('1. Live'!CP219='check-Jul25'!CP219,"",'1. Live'!CP219-'check-Jul25'!CP219)</f>
        <v/>
      </c>
      <c r="CQ219" t="str">
        <f>IF('1. Live'!CQ219='check-Jul25'!CQ219,"",'1. Live'!CQ219-'check-Jul25'!CQ219)</f>
        <v/>
      </c>
      <c r="CR219" t="str">
        <f>IF('1. Live'!CR219='check-Jul25'!CR219,"",'1. Live'!CR219-'check-Jul25'!CR219)</f>
        <v/>
      </c>
      <c r="CS219" t="str">
        <f>IF('1. Live'!CS219='check-Jul25'!CS219,"",'1. Live'!CS219-'check-Jul25'!CS219)</f>
        <v/>
      </c>
      <c r="CT219" t="str">
        <f>IF('1. Live'!CT219='check-Jul25'!CT219,"",'1. Live'!CT219-'check-Jul25'!CT219)</f>
        <v/>
      </c>
      <c r="CU219" t="str">
        <f>IF('1. Live'!CU219='check-Jul25'!CU219,"",'1. Live'!CU219-'check-Jul25'!CU219)</f>
        <v/>
      </c>
      <c r="CV219" t="str">
        <f>IF('1. Live'!CV219='check-Jul25'!CV219,"",'1. Live'!CV219-'check-Jul25'!CV219)</f>
        <v/>
      </c>
      <c r="CW219" t="str">
        <f>IF('1. Live'!CW219='check-Jul25'!CW219,"",'1. Live'!CW219-'check-Jul25'!CW219)</f>
        <v/>
      </c>
    </row>
    <row r="220" spans="10:101">
      <c r="J220" t="str">
        <f>IF('1. Live'!J220='check-Jul25'!J220,"",'1. Live'!J220-'check-Jul25'!J220)</f>
        <v/>
      </c>
      <c r="K220" t="str">
        <f>IF('1. Live'!K220='check-Jul25'!K220,"",'1. Live'!K220-'check-Jul25'!K220)</f>
        <v/>
      </c>
      <c r="L220" t="str">
        <f>IF('1. Live'!L220='check-Jul25'!L220,"",'1. Live'!L220-'check-Jul25'!L220)</f>
        <v/>
      </c>
      <c r="M220" t="str">
        <f>IF('1. Live'!M220='check-Jul25'!M220,"",'1. Live'!M220-'check-Jul25'!M220)</f>
        <v/>
      </c>
      <c r="N220" t="str">
        <f>IF('1. Live'!N220='check-Jul25'!N220,"",'1. Live'!N220-'check-Jul25'!N220)</f>
        <v/>
      </c>
      <c r="O220" t="str">
        <f>IF('1. Live'!O220='check-Jul25'!O220,"",'1. Live'!O220-'check-Jul25'!O220)</f>
        <v/>
      </c>
      <c r="P220" t="str">
        <f>IF('1. Live'!P220='check-Jul25'!P220,"",'1. Live'!P220-'check-Jul25'!P220)</f>
        <v/>
      </c>
      <c r="Q220" t="str">
        <f>IF('1. Live'!Q220='check-Jul25'!Q220,"",'1. Live'!Q220-'check-Jul25'!Q220)</f>
        <v/>
      </c>
      <c r="R220" t="str">
        <f>IF('1. Live'!R220='check-Jul25'!R220,"",'1. Live'!R220-'check-Jul25'!R220)</f>
        <v/>
      </c>
      <c r="S220" t="str">
        <f>IF('1. Live'!S220='check-Jul25'!S220,"",'1. Live'!S220-'check-Jul25'!S220)</f>
        <v/>
      </c>
      <c r="T220" t="str">
        <f>IF('1. Live'!T220='check-Jul25'!T220,"",'1. Live'!T220-'check-Jul25'!T220)</f>
        <v/>
      </c>
      <c r="U220" t="str">
        <f>IF('1. Live'!U220='check-Jul25'!U220,"",'1. Live'!U220-'check-Jul25'!U220)</f>
        <v/>
      </c>
      <c r="V220" t="str">
        <f>IF('1. Live'!V220='check-Jul25'!V220,"",'1. Live'!V220-'check-Jul25'!V220)</f>
        <v/>
      </c>
      <c r="W220" t="str">
        <f>IF('1. Live'!W220='check-Jul25'!W220,"",'1. Live'!W220-'check-Jul25'!W220)</f>
        <v/>
      </c>
      <c r="X220" t="str">
        <f>IF('1. Live'!X220='check-Jul25'!X220,"",'1. Live'!X220-'check-Jul25'!X220)</f>
        <v/>
      </c>
      <c r="Y220" t="str">
        <f>IF('1. Live'!Y220='check-Jul25'!Y220,"",'1. Live'!Y220-'check-Jul25'!Y220)</f>
        <v/>
      </c>
      <c r="Z220" t="str">
        <f>IF('1. Live'!Z220='check-Jul25'!Z220,"",'1. Live'!Z220-'check-Jul25'!Z220)</f>
        <v/>
      </c>
      <c r="AA220" t="str">
        <f>IF('1. Live'!AA220='check-Jul25'!AA220,"",'1. Live'!AA220-'check-Jul25'!AA220)</f>
        <v/>
      </c>
      <c r="AB220" t="str">
        <f>IF('1. Live'!AB220='check-Jul25'!AB220,"",'1. Live'!AB220-'check-Jul25'!AB220)</f>
        <v/>
      </c>
      <c r="AC220" t="str">
        <f>IF('1. Live'!AC220='check-Jul25'!AC220,"",'1. Live'!AC220-'check-Jul25'!AC220)</f>
        <v/>
      </c>
      <c r="AD220" t="str">
        <f>IF('1. Live'!AD220='check-Jul25'!AD220,"",'1. Live'!AD220-'check-Jul25'!AD220)</f>
        <v/>
      </c>
      <c r="AE220" t="str">
        <f>IF('1. Live'!AE220='check-Jul25'!AE220,"",'1. Live'!AE220-'check-Jul25'!AE220)</f>
        <v/>
      </c>
      <c r="AF220" t="str">
        <f>IF('1. Live'!AF220='check-Jul25'!AF220,"",'1. Live'!AF220-'check-Jul25'!AF220)</f>
        <v/>
      </c>
      <c r="AG220" t="str">
        <f>IF('1. Live'!AG220='check-Jul25'!AG220,"",'1. Live'!AG220-'check-Jul25'!AG220)</f>
        <v/>
      </c>
      <c r="AH220" t="str">
        <f>IF('1. Live'!AH220='check-Jul25'!AH220,"",'1. Live'!AH220-'check-Jul25'!AH220)</f>
        <v/>
      </c>
      <c r="AI220" t="str">
        <f>IF('1. Live'!AI220='check-Jul25'!AI220,"",'1. Live'!AI220-'check-Jul25'!AI220)</f>
        <v/>
      </c>
      <c r="AJ220" t="str">
        <f>IF('1. Live'!AJ220='check-Jul25'!AJ220,"",'1. Live'!AJ220-'check-Jul25'!AJ220)</f>
        <v/>
      </c>
      <c r="AK220" t="str">
        <f>IF('1. Live'!AK220='check-Jul25'!AK220,"",'1. Live'!AK220-'check-Jul25'!AK220)</f>
        <v/>
      </c>
      <c r="AL220" t="str">
        <f>IF('1. Live'!AL220='check-Jul25'!AL220,"",'1. Live'!AL220-'check-Jul25'!AL220)</f>
        <v/>
      </c>
      <c r="AM220" t="str">
        <f>IF('1. Live'!AM220='check-Jul25'!AM220,"",'1. Live'!AM220-'check-Jul25'!AM220)</f>
        <v/>
      </c>
      <c r="AN220" t="str">
        <f>IF('1. Live'!AN220='check-Jul25'!AN220,"",'1. Live'!AN220-'check-Jul25'!AN220)</f>
        <v/>
      </c>
      <c r="AO220" t="str">
        <f>IF('1. Live'!AO220='check-Jul25'!AO220,"",'1. Live'!AO220-'check-Jul25'!AO220)</f>
        <v/>
      </c>
      <c r="AP220" t="str">
        <f>IF('1. Live'!AP220='check-Jul25'!AP220,"",'1. Live'!AP220-'check-Jul25'!AP220)</f>
        <v/>
      </c>
      <c r="AQ220" t="str">
        <f>IF('1. Live'!AQ220='check-Jul25'!AQ220,"",'1. Live'!AQ220-'check-Jul25'!AQ220)</f>
        <v/>
      </c>
      <c r="AR220" t="str">
        <f>IF('1. Live'!AR220='check-Jul25'!AR220,"",'1. Live'!AR220-'check-Jul25'!AR220)</f>
        <v/>
      </c>
      <c r="AS220" t="str">
        <f>IF('1. Live'!AS220='check-Jul25'!AS220,"",'1. Live'!AS220-'check-Jul25'!AS220)</f>
        <v/>
      </c>
      <c r="AT220" t="str">
        <f>IF('1. Live'!AT220='check-Jul25'!AT220,"",'1. Live'!AT220-'check-Jul25'!AT220)</f>
        <v/>
      </c>
      <c r="AU220" t="str">
        <f>IF('1. Live'!AU220='check-Jul25'!AU220,"",'1. Live'!AU220-'check-Jul25'!AU220)</f>
        <v/>
      </c>
      <c r="AV220" t="str">
        <f>IF('1. Live'!AV220='check-Jul25'!AV220,"",'1. Live'!AV220-'check-Jul25'!AV220)</f>
        <v/>
      </c>
      <c r="AW220" t="str">
        <f>IF('1. Live'!AW220='check-Jul25'!AW220,"",'1. Live'!AW220-'check-Jul25'!AW220)</f>
        <v/>
      </c>
      <c r="AX220" t="str">
        <f>IF('1. Live'!AX220='check-Jul25'!AX220,"",'1. Live'!AX220-'check-Jul25'!AX220)</f>
        <v/>
      </c>
      <c r="AY220" t="str">
        <f>IF('1. Live'!AY220='check-Jul25'!AY220,"",'1. Live'!AY220-'check-Jul25'!AY220)</f>
        <v/>
      </c>
      <c r="AZ220" t="str">
        <f>IF('1. Live'!AZ220='check-Jul25'!AZ220,"",'1. Live'!AZ220-'check-Jul25'!AZ220)</f>
        <v/>
      </c>
      <c r="BA220" t="str">
        <f>IF('1. Live'!BA220='check-Jul25'!BA220,"",'1. Live'!BA220-'check-Jul25'!BA220)</f>
        <v/>
      </c>
      <c r="BB220" t="str">
        <f>IF('1. Live'!BB220='check-Jul25'!BB220,"",'1. Live'!BB220-'check-Jul25'!BB220)</f>
        <v/>
      </c>
      <c r="BC220" t="str">
        <f>IF('1. Live'!BC220='check-Jul25'!BC220,"",'1. Live'!BC220-'check-Jul25'!BC220)</f>
        <v/>
      </c>
      <c r="BD220" t="str">
        <f>IF('1. Live'!BD220='check-Jul25'!BD220,"",'1. Live'!BD220-'check-Jul25'!BD220)</f>
        <v/>
      </c>
      <c r="BE220" t="str">
        <f>IF('1. Live'!BE220='check-Jul25'!BE220,"",'1. Live'!BE220-'check-Jul25'!BE220)</f>
        <v/>
      </c>
      <c r="BF220" t="str">
        <f>IF('1. Live'!BF220='check-Jul25'!BF220,"",'1. Live'!BF220-'check-Jul25'!BF220)</f>
        <v/>
      </c>
      <c r="BG220" t="str">
        <f>IF('1. Live'!BG220='check-Jul25'!BG220,"",'1. Live'!BG220-'check-Jul25'!BG220)</f>
        <v/>
      </c>
      <c r="BH220" t="str">
        <f>IF('1. Live'!BH220='check-Jul25'!BH220,"",'1. Live'!BH220-'check-Jul25'!BH220)</f>
        <v/>
      </c>
      <c r="BI220" t="str">
        <f>IF('1. Live'!BI220='check-Jul25'!BI220,"",'1. Live'!BI220-'check-Jul25'!BI220)</f>
        <v/>
      </c>
      <c r="BJ220" t="str">
        <f>IF('1. Live'!BJ220='check-Jul25'!BJ220,"",'1. Live'!BJ220-'check-Jul25'!BJ220)</f>
        <v/>
      </c>
      <c r="BK220" t="str">
        <f>IF('1. Live'!BK220='check-Jul25'!BK220,"",'1. Live'!BK220-'check-Jul25'!BK220)</f>
        <v/>
      </c>
      <c r="BL220" t="str">
        <f>IF('1. Live'!BL220='check-Jul25'!BL220,"",'1. Live'!BL220-'check-Jul25'!BL220)</f>
        <v/>
      </c>
      <c r="BM220" t="str">
        <f>IF('1. Live'!BM220='check-Jul25'!BM220,"",'1. Live'!BM220-'check-Jul25'!BM220)</f>
        <v/>
      </c>
      <c r="BN220" t="str">
        <f>IF('1. Live'!BN220='check-Jul25'!BN220,"",'1. Live'!BN220-'check-Jul25'!BN220)</f>
        <v/>
      </c>
      <c r="BO220" t="str">
        <f>IF('1. Live'!BO220='check-Jul25'!BO220,"",'1. Live'!BO220-'check-Jul25'!BO220)</f>
        <v/>
      </c>
      <c r="BP220" t="str">
        <f>IF('1. Live'!BP220='check-Jul25'!BP220,"",'1. Live'!BP220-'check-Jul25'!BP220)</f>
        <v/>
      </c>
      <c r="BQ220" t="str">
        <f>IF('1. Live'!BQ220='check-Jul25'!BQ220,"",'1. Live'!BQ220-'check-Jul25'!BQ220)</f>
        <v/>
      </c>
      <c r="BR220" t="str">
        <f>IF('1. Live'!BR220='check-Jul25'!BR220,"",'1. Live'!BR220-'check-Jul25'!BR220)</f>
        <v/>
      </c>
      <c r="BS220" t="str">
        <f>IF('1. Live'!BS220='check-Jul25'!BS220,"",'1. Live'!BS220-'check-Jul25'!BS220)</f>
        <v/>
      </c>
      <c r="BT220" t="str">
        <f>IF('1. Live'!BT220='check-Jul25'!BT220,"",'1. Live'!BT220-'check-Jul25'!BT220)</f>
        <v/>
      </c>
      <c r="BU220" t="str">
        <f>IF('1. Live'!BU220='check-Jul25'!BU220,"",'1. Live'!BU220-'check-Jul25'!BU220)</f>
        <v/>
      </c>
      <c r="BV220" t="str">
        <f>IF('1. Live'!BV220='check-Jul25'!BV220,"",'1. Live'!BV220-'check-Jul25'!BV220)</f>
        <v/>
      </c>
      <c r="BW220" t="str">
        <f>IF('1. Live'!BW220='check-Jul25'!BW220,"",'1. Live'!BW220-'check-Jul25'!BW220)</f>
        <v/>
      </c>
      <c r="BX220" t="str">
        <f>IF('1. Live'!BX220='check-Jul25'!BX220,"",'1. Live'!BX220-'check-Jul25'!BX220)</f>
        <v/>
      </c>
      <c r="BY220" t="str">
        <f>IF('1. Live'!BY220='check-Jul25'!BY220,"",'1. Live'!BY220-'check-Jul25'!BY220)</f>
        <v/>
      </c>
      <c r="BZ220" t="str">
        <f>IF('1. Live'!BZ220='check-Jul25'!BZ220,"",'1. Live'!BZ220-'check-Jul25'!BZ220)</f>
        <v/>
      </c>
      <c r="CA220" t="str">
        <f>IF('1. Live'!CA220='check-Jul25'!CA220,"",'1. Live'!CA220-'check-Jul25'!CA220)</f>
        <v/>
      </c>
      <c r="CB220" t="str">
        <f>IF('1. Live'!CB220='check-Jul25'!CB220,"",'1. Live'!CB220-'check-Jul25'!CB220)</f>
        <v/>
      </c>
      <c r="CC220" t="str">
        <f>IF('1. Live'!CC220='check-Jul25'!CC220,"",'1. Live'!CC220-'check-Jul25'!CC220)</f>
        <v/>
      </c>
      <c r="CD220" t="str">
        <f>IF('1. Live'!CD220='check-Jul25'!CD220,"",'1. Live'!CD220-'check-Jul25'!CD220)</f>
        <v/>
      </c>
      <c r="CE220" t="str">
        <f>IF('1. Live'!CE220='check-Jul25'!CE220,"",'1. Live'!CE220-'check-Jul25'!CE220)</f>
        <v/>
      </c>
      <c r="CF220" t="str">
        <f>IF('1. Live'!CF220='check-Jul25'!CF220,"",'1. Live'!CF220-'check-Jul25'!CF220)</f>
        <v/>
      </c>
      <c r="CG220" t="str">
        <f>IF('1. Live'!CG220='check-Jul25'!CG220,"",'1. Live'!CG220-'check-Jul25'!CG220)</f>
        <v/>
      </c>
      <c r="CH220" t="str">
        <f>IF('1. Live'!CH220='check-Jul25'!CH220,"",'1. Live'!CH220-'check-Jul25'!CH220)</f>
        <v/>
      </c>
      <c r="CI220" t="str">
        <f>IF('1. Live'!CI220='check-Jul25'!CI220,"",'1. Live'!CI220-'check-Jul25'!CI220)</f>
        <v/>
      </c>
      <c r="CJ220" t="str">
        <f>IF('1. Live'!CJ220='check-Jul25'!CJ220,"",'1. Live'!CJ220-'check-Jul25'!CJ220)</f>
        <v/>
      </c>
      <c r="CK220" t="str">
        <f>IF('1. Live'!CK220='check-Jul25'!CK220,"",'1. Live'!CK220-'check-Jul25'!CK220)</f>
        <v/>
      </c>
      <c r="CL220" t="str">
        <f>IF('1. Live'!CL220='check-Jul25'!CL220,"",'1. Live'!CL220-'check-Jul25'!CL220)</f>
        <v/>
      </c>
      <c r="CM220" t="str">
        <f>IF('1. Live'!CM220='check-Jul25'!CM220,"",'1. Live'!CM220-'check-Jul25'!CM220)</f>
        <v/>
      </c>
      <c r="CN220" t="str">
        <f>IF('1. Live'!CN220='check-Jul25'!CN220,"",'1. Live'!CN220-'check-Jul25'!CN220)</f>
        <v/>
      </c>
      <c r="CO220" t="str">
        <f>IF('1. Live'!CO220='check-Jul25'!CO220,"",'1. Live'!CO220-'check-Jul25'!CO220)</f>
        <v/>
      </c>
      <c r="CP220" t="str">
        <f>IF('1. Live'!CP220='check-Jul25'!CP220,"",'1. Live'!CP220-'check-Jul25'!CP220)</f>
        <v/>
      </c>
      <c r="CQ220" t="str">
        <f>IF('1. Live'!CQ220='check-Jul25'!CQ220,"",'1. Live'!CQ220-'check-Jul25'!CQ220)</f>
        <v/>
      </c>
      <c r="CR220" t="str">
        <f>IF('1. Live'!CR220='check-Jul25'!CR220,"",'1. Live'!CR220-'check-Jul25'!CR220)</f>
        <v/>
      </c>
      <c r="CS220" t="str">
        <f>IF('1. Live'!CS220='check-Jul25'!CS220,"",'1. Live'!CS220-'check-Jul25'!CS220)</f>
        <v/>
      </c>
      <c r="CT220" t="str">
        <f>IF('1. Live'!CT220='check-Jul25'!CT220,"",'1. Live'!CT220-'check-Jul25'!CT220)</f>
        <v/>
      </c>
      <c r="CU220" t="str">
        <f>IF('1. Live'!CU220='check-Jul25'!CU220,"",'1. Live'!CU220-'check-Jul25'!CU220)</f>
        <v/>
      </c>
      <c r="CV220" t="str">
        <f>IF('1. Live'!CV220='check-Jul25'!CV220,"",'1. Live'!CV220-'check-Jul25'!CV220)</f>
        <v/>
      </c>
      <c r="CW220" t="str">
        <f>IF('1. Live'!CW220='check-Jul25'!CW220,"",'1. Live'!CW220-'check-Jul25'!CW220)</f>
        <v/>
      </c>
    </row>
    <row r="221" spans="10:101">
      <c r="J221" t="str">
        <f>IF('1. Live'!J221='check-Jul25'!J221,"",'1. Live'!J221-'check-Jul25'!J221)</f>
        <v/>
      </c>
      <c r="K221" t="str">
        <f>IF('1. Live'!K221='check-Jul25'!K221,"",'1. Live'!K221-'check-Jul25'!K221)</f>
        <v/>
      </c>
      <c r="L221" t="str">
        <f>IF('1. Live'!L221='check-Jul25'!L221,"",'1. Live'!L221-'check-Jul25'!L221)</f>
        <v/>
      </c>
      <c r="M221" t="str">
        <f>IF('1. Live'!M221='check-Jul25'!M221,"",'1. Live'!M221-'check-Jul25'!M221)</f>
        <v/>
      </c>
      <c r="N221" t="str">
        <f>IF('1. Live'!N221='check-Jul25'!N221,"",'1. Live'!N221-'check-Jul25'!N221)</f>
        <v/>
      </c>
      <c r="O221" t="str">
        <f>IF('1. Live'!O221='check-Jul25'!O221,"",'1. Live'!O221-'check-Jul25'!O221)</f>
        <v/>
      </c>
      <c r="P221" t="str">
        <f>IF('1. Live'!P221='check-Jul25'!P221,"",'1. Live'!P221-'check-Jul25'!P221)</f>
        <v/>
      </c>
      <c r="Q221" t="str">
        <f>IF('1. Live'!Q221='check-Jul25'!Q221,"",'1. Live'!Q221-'check-Jul25'!Q221)</f>
        <v/>
      </c>
      <c r="R221" t="str">
        <f>IF('1. Live'!R221='check-Jul25'!R221,"",'1. Live'!R221-'check-Jul25'!R221)</f>
        <v/>
      </c>
      <c r="S221" t="str">
        <f>IF('1. Live'!S221='check-Jul25'!S221,"",'1. Live'!S221-'check-Jul25'!S221)</f>
        <v/>
      </c>
      <c r="T221" t="str">
        <f>IF('1. Live'!T221='check-Jul25'!T221,"",'1. Live'!T221-'check-Jul25'!T221)</f>
        <v/>
      </c>
      <c r="U221" t="str">
        <f>IF('1. Live'!U221='check-Jul25'!U221,"",'1. Live'!U221-'check-Jul25'!U221)</f>
        <v/>
      </c>
      <c r="V221" t="str">
        <f>IF('1. Live'!V221='check-Jul25'!V221,"",'1. Live'!V221-'check-Jul25'!V221)</f>
        <v/>
      </c>
      <c r="W221" t="str">
        <f>IF('1. Live'!W221='check-Jul25'!W221,"",'1. Live'!W221-'check-Jul25'!W221)</f>
        <v/>
      </c>
      <c r="X221" t="str">
        <f>IF('1. Live'!X221='check-Jul25'!X221,"",'1. Live'!X221-'check-Jul25'!X221)</f>
        <v/>
      </c>
      <c r="Y221" t="str">
        <f>IF('1. Live'!Y221='check-Jul25'!Y221,"",'1. Live'!Y221-'check-Jul25'!Y221)</f>
        <v/>
      </c>
      <c r="Z221" t="str">
        <f>IF('1. Live'!Z221='check-Jul25'!Z221,"",'1. Live'!Z221-'check-Jul25'!Z221)</f>
        <v/>
      </c>
      <c r="AA221" t="str">
        <f>IF('1. Live'!AA221='check-Jul25'!AA221,"",'1. Live'!AA221-'check-Jul25'!AA221)</f>
        <v/>
      </c>
      <c r="AB221" t="str">
        <f>IF('1. Live'!AB221='check-Jul25'!AB221,"",'1. Live'!AB221-'check-Jul25'!AB221)</f>
        <v/>
      </c>
      <c r="AC221" t="str">
        <f>IF('1. Live'!AC221='check-Jul25'!AC221,"",'1. Live'!AC221-'check-Jul25'!AC221)</f>
        <v/>
      </c>
      <c r="AD221" t="str">
        <f>IF('1. Live'!AD221='check-Jul25'!AD221,"",'1. Live'!AD221-'check-Jul25'!AD221)</f>
        <v/>
      </c>
      <c r="AE221" t="str">
        <f>IF('1. Live'!AE221='check-Jul25'!AE221,"",'1. Live'!AE221-'check-Jul25'!AE221)</f>
        <v/>
      </c>
      <c r="AF221" t="str">
        <f>IF('1. Live'!AF221='check-Jul25'!AF221,"",'1. Live'!AF221-'check-Jul25'!AF221)</f>
        <v/>
      </c>
      <c r="AG221" t="str">
        <f>IF('1. Live'!AG221='check-Jul25'!AG221,"",'1. Live'!AG221-'check-Jul25'!AG221)</f>
        <v/>
      </c>
      <c r="AH221" t="str">
        <f>IF('1. Live'!AH221='check-Jul25'!AH221,"",'1. Live'!AH221-'check-Jul25'!AH221)</f>
        <v/>
      </c>
      <c r="AI221" t="str">
        <f>IF('1. Live'!AI221='check-Jul25'!AI221,"",'1. Live'!AI221-'check-Jul25'!AI221)</f>
        <v/>
      </c>
      <c r="AJ221" t="str">
        <f>IF('1. Live'!AJ221='check-Jul25'!AJ221,"",'1. Live'!AJ221-'check-Jul25'!AJ221)</f>
        <v/>
      </c>
      <c r="AK221" t="str">
        <f>IF('1. Live'!AK221='check-Jul25'!AK221,"",'1. Live'!AK221-'check-Jul25'!AK221)</f>
        <v/>
      </c>
      <c r="AL221" t="str">
        <f>IF('1. Live'!AL221='check-Jul25'!AL221,"",'1. Live'!AL221-'check-Jul25'!AL221)</f>
        <v/>
      </c>
      <c r="AM221" t="str">
        <f>IF('1. Live'!AM221='check-Jul25'!AM221,"",'1. Live'!AM221-'check-Jul25'!AM221)</f>
        <v/>
      </c>
      <c r="AN221" t="str">
        <f>IF('1. Live'!AN221='check-Jul25'!AN221,"",'1. Live'!AN221-'check-Jul25'!AN221)</f>
        <v/>
      </c>
      <c r="AO221" t="str">
        <f>IF('1. Live'!AO221='check-Jul25'!AO221,"",'1. Live'!AO221-'check-Jul25'!AO221)</f>
        <v/>
      </c>
      <c r="AP221" t="str">
        <f>IF('1. Live'!AP221='check-Jul25'!AP221,"",'1. Live'!AP221-'check-Jul25'!AP221)</f>
        <v/>
      </c>
      <c r="AQ221" t="str">
        <f>IF('1. Live'!AQ221='check-Jul25'!AQ221,"",'1. Live'!AQ221-'check-Jul25'!AQ221)</f>
        <v/>
      </c>
      <c r="AR221" t="str">
        <f>IF('1. Live'!AR221='check-Jul25'!AR221,"",'1. Live'!AR221-'check-Jul25'!AR221)</f>
        <v/>
      </c>
      <c r="AS221" t="str">
        <f>IF('1. Live'!AS221='check-Jul25'!AS221,"",'1. Live'!AS221-'check-Jul25'!AS221)</f>
        <v/>
      </c>
      <c r="AT221" t="str">
        <f>IF('1. Live'!AT221='check-Jul25'!AT221,"",'1. Live'!AT221-'check-Jul25'!AT221)</f>
        <v/>
      </c>
      <c r="AU221" t="str">
        <f>IF('1. Live'!AU221='check-Jul25'!AU221,"",'1. Live'!AU221-'check-Jul25'!AU221)</f>
        <v/>
      </c>
      <c r="AV221" t="str">
        <f>IF('1. Live'!AV221='check-Jul25'!AV221,"",'1. Live'!AV221-'check-Jul25'!AV221)</f>
        <v/>
      </c>
      <c r="AW221" t="str">
        <f>IF('1. Live'!AW221='check-Jul25'!AW221,"",'1. Live'!AW221-'check-Jul25'!AW221)</f>
        <v/>
      </c>
      <c r="AX221" t="str">
        <f>IF('1. Live'!AX221='check-Jul25'!AX221,"",'1. Live'!AX221-'check-Jul25'!AX221)</f>
        <v/>
      </c>
      <c r="AY221" t="str">
        <f>IF('1. Live'!AY221='check-Jul25'!AY221,"",'1. Live'!AY221-'check-Jul25'!AY221)</f>
        <v/>
      </c>
      <c r="AZ221" t="str">
        <f>IF('1. Live'!AZ221='check-Jul25'!AZ221,"",'1. Live'!AZ221-'check-Jul25'!AZ221)</f>
        <v/>
      </c>
      <c r="BA221" t="str">
        <f>IF('1. Live'!BA221='check-Jul25'!BA221,"",'1. Live'!BA221-'check-Jul25'!BA221)</f>
        <v/>
      </c>
      <c r="BB221" t="str">
        <f>IF('1. Live'!BB221='check-Jul25'!BB221,"",'1. Live'!BB221-'check-Jul25'!BB221)</f>
        <v/>
      </c>
      <c r="BC221" t="str">
        <f>IF('1. Live'!BC221='check-Jul25'!BC221,"",'1. Live'!BC221-'check-Jul25'!BC221)</f>
        <v/>
      </c>
      <c r="BD221" t="str">
        <f>IF('1. Live'!BD221='check-Jul25'!BD221,"",'1. Live'!BD221-'check-Jul25'!BD221)</f>
        <v/>
      </c>
      <c r="BE221" t="str">
        <f>IF('1. Live'!BE221='check-Jul25'!BE221,"",'1. Live'!BE221-'check-Jul25'!BE221)</f>
        <v/>
      </c>
      <c r="BF221" t="str">
        <f>IF('1. Live'!BF221='check-Jul25'!BF221,"",'1. Live'!BF221-'check-Jul25'!BF221)</f>
        <v/>
      </c>
      <c r="BG221" t="str">
        <f>IF('1. Live'!BG221='check-Jul25'!BG221,"",'1. Live'!BG221-'check-Jul25'!BG221)</f>
        <v/>
      </c>
      <c r="BH221" t="str">
        <f>IF('1. Live'!BH221='check-Jul25'!BH221,"",'1. Live'!BH221-'check-Jul25'!BH221)</f>
        <v/>
      </c>
      <c r="BI221" t="str">
        <f>IF('1. Live'!BI221='check-Jul25'!BI221,"",'1. Live'!BI221-'check-Jul25'!BI221)</f>
        <v/>
      </c>
      <c r="BJ221" t="str">
        <f>IF('1. Live'!BJ221='check-Jul25'!BJ221,"",'1. Live'!BJ221-'check-Jul25'!BJ221)</f>
        <v/>
      </c>
      <c r="BK221" t="str">
        <f>IF('1. Live'!BK221='check-Jul25'!BK221,"",'1. Live'!BK221-'check-Jul25'!BK221)</f>
        <v/>
      </c>
      <c r="BL221" t="str">
        <f>IF('1. Live'!BL221='check-Jul25'!BL221,"",'1. Live'!BL221-'check-Jul25'!BL221)</f>
        <v/>
      </c>
      <c r="BM221" t="str">
        <f>IF('1. Live'!BM221='check-Jul25'!BM221,"",'1. Live'!BM221-'check-Jul25'!BM221)</f>
        <v/>
      </c>
      <c r="BN221" t="str">
        <f>IF('1. Live'!BN221='check-Jul25'!BN221,"",'1. Live'!BN221-'check-Jul25'!BN221)</f>
        <v/>
      </c>
      <c r="BO221" t="str">
        <f>IF('1. Live'!BO221='check-Jul25'!BO221,"",'1. Live'!BO221-'check-Jul25'!BO221)</f>
        <v/>
      </c>
      <c r="BP221" t="str">
        <f>IF('1. Live'!BP221='check-Jul25'!BP221,"",'1. Live'!BP221-'check-Jul25'!BP221)</f>
        <v/>
      </c>
      <c r="BQ221" t="str">
        <f>IF('1. Live'!BQ221='check-Jul25'!BQ221,"",'1. Live'!BQ221-'check-Jul25'!BQ221)</f>
        <v/>
      </c>
      <c r="BR221" t="str">
        <f>IF('1. Live'!BR221='check-Jul25'!BR221,"",'1. Live'!BR221-'check-Jul25'!BR221)</f>
        <v/>
      </c>
      <c r="BS221" t="str">
        <f>IF('1. Live'!BS221='check-Jul25'!BS221,"",'1. Live'!BS221-'check-Jul25'!BS221)</f>
        <v/>
      </c>
      <c r="BT221" t="str">
        <f>IF('1. Live'!BT221='check-Jul25'!BT221,"",'1. Live'!BT221-'check-Jul25'!BT221)</f>
        <v/>
      </c>
      <c r="BU221" t="str">
        <f>IF('1. Live'!BU221='check-Jul25'!BU221,"",'1. Live'!BU221-'check-Jul25'!BU221)</f>
        <v/>
      </c>
      <c r="BV221" t="str">
        <f>IF('1. Live'!BV221='check-Jul25'!BV221,"",'1. Live'!BV221-'check-Jul25'!BV221)</f>
        <v/>
      </c>
      <c r="BW221" t="str">
        <f>IF('1. Live'!BW221='check-Jul25'!BW221,"",'1. Live'!BW221-'check-Jul25'!BW221)</f>
        <v/>
      </c>
      <c r="BX221" t="str">
        <f>IF('1. Live'!BX221='check-Jul25'!BX221,"",'1. Live'!BX221-'check-Jul25'!BX221)</f>
        <v/>
      </c>
      <c r="BY221" t="str">
        <f>IF('1. Live'!BY221='check-Jul25'!BY221,"",'1. Live'!BY221-'check-Jul25'!BY221)</f>
        <v/>
      </c>
      <c r="BZ221" t="str">
        <f>IF('1. Live'!BZ221='check-Jul25'!BZ221,"",'1. Live'!BZ221-'check-Jul25'!BZ221)</f>
        <v/>
      </c>
      <c r="CA221" t="str">
        <f>IF('1. Live'!CA221='check-Jul25'!CA221,"",'1. Live'!CA221-'check-Jul25'!CA221)</f>
        <v/>
      </c>
      <c r="CB221" t="str">
        <f>IF('1. Live'!CB221='check-Jul25'!CB221,"",'1. Live'!CB221-'check-Jul25'!CB221)</f>
        <v/>
      </c>
      <c r="CC221" t="str">
        <f>IF('1. Live'!CC221='check-Jul25'!CC221,"",'1. Live'!CC221-'check-Jul25'!CC221)</f>
        <v/>
      </c>
      <c r="CD221" t="str">
        <f>IF('1. Live'!CD221='check-Jul25'!CD221,"",'1. Live'!CD221-'check-Jul25'!CD221)</f>
        <v/>
      </c>
      <c r="CE221" t="str">
        <f>IF('1. Live'!CE221='check-Jul25'!CE221,"",'1. Live'!CE221-'check-Jul25'!CE221)</f>
        <v/>
      </c>
      <c r="CF221" t="str">
        <f>IF('1. Live'!CF221='check-Jul25'!CF221,"",'1. Live'!CF221-'check-Jul25'!CF221)</f>
        <v/>
      </c>
      <c r="CG221" t="str">
        <f>IF('1. Live'!CG221='check-Jul25'!CG221,"",'1. Live'!CG221-'check-Jul25'!CG221)</f>
        <v/>
      </c>
      <c r="CH221" t="str">
        <f>IF('1. Live'!CH221='check-Jul25'!CH221,"",'1. Live'!CH221-'check-Jul25'!CH221)</f>
        <v/>
      </c>
      <c r="CI221" t="str">
        <f>IF('1. Live'!CI221='check-Jul25'!CI221,"",'1. Live'!CI221-'check-Jul25'!CI221)</f>
        <v/>
      </c>
      <c r="CJ221" t="str">
        <f>IF('1. Live'!CJ221='check-Jul25'!CJ221,"",'1. Live'!CJ221-'check-Jul25'!CJ221)</f>
        <v/>
      </c>
      <c r="CK221" t="str">
        <f>IF('1. Live'!CK221='check-Jul25'!CK221,"",'1. Live'!CK221-'check-Jul25'!CK221)</f>
        <v/>
      </c>
      <c r="CL221" t="str">
        <f>IF('1. Live'!CL221='check-Jul25'!CL221,"",'1. Live'!CL221-'check-Jul25'!CL221)</f>
        <v/>
      </c>
      <c r="CM221" t="str">
        <f>IF('1. Live'!CM221='check-Jul25'!CM221,"",'1. Live'!CM221-'check-Jul25'!CM221)</f>
        <v/>
      </c>
      <c r="CN221" t="str">
        <f>IF('1. Live'!CN221='check-Jul25'!CN221,"",'1. Live'!CN221-'check-Jul25'!CN221)</f>
        <v/>
      </c>
      <c r="CO221" t="str">
        <f>IF('1. Live'!CO221='check-Jul25'!CO221,"",'1. Live'!CO221-'check-Jul25'!CO221)</f>
        <v/>
      </c>
      <c r="CP221" t="str">
        <f>IF('1. Live'!CP221='check-Jul25'!CP221,"",'1. Live'!CP221-'check-Jul25'!CP221)</f>
        <v/>
      </c>
      <c r="CQ221" t="str">
        <f>IF('1. Live'!CQ221='check-Jul25'!CQ221,"",'1. Live'!CQ221-'check-Jul25'!CQ221)</f>
        <v/>
      </c>
      <c r="CR221" t="str">
        <f>IF('1. Live'!CR221='check-Jul25'!CR221,"",'1. Live'!CR221-'check-Jul25'!CR221)</f>
        <v/>
      </c>
      <c r="CS221" t="str">
        <f>IF('1. Live'!CS221='check-Jul25'!CS221,"",'1. Live'!CS221-'check-Jul25'!CS221)</f>
        <v/>
      </c>
      <c r="CT221" t="str">
        <f>IF('1. Live'!CT221='check-Jul25'!CT221,"",'1. Live'!CT221-'check-Jul25'!CT221)</f>
        <v/>
      </c>
      <c r="CU221" t="str">
        <f>IF('1. Live'!CU221='check-Jul25'!CU221,"",'1. Live'!CU221-'check-Jul25'!CU221)</f>
        <v/>
      </c>
      <c r="CV221" t="str">
        <f>IF('1. Live'!CV221='check-Jul25'!CV221,"",'1. Live'!CV221-'check-Jul25'!CV221)</f>
        <v/>
      </c>
      <c r="CW221" t="str">
        <f>IF('1. Live'!CW221='check-Jul25'!CW221,"",'1. Live'!CW221-'check-Jul25'!CW221)</f>
        <v/>
      </c>
    </row>
    <row r="222" spans="10:101">
      <c r="J222" t="str">
        <f>IF('1. Live'!J222='check-Jul25'!J222,"",'1. Live'!J222-'check-Jul25'!J222)</f>
        <v/>
      </c>
      <c r="K222" t="str">
        <f>IF('1. Live'!K222='check-Jul25'!K222,"",'1. Live'!K222-'check-Jul25'!K222)</f>
        <v/>
      </c>
      <c r="L222" t="str">
        <f>IF('1. Live'!L222='check-Jul25'!L222,"",'1. Live'!L222-'check-Jul25'!L222)</f>
        <v/>
      </c>
      <c r="M222" t="str">
        <f>IF('1. Live'!M222='check-Jul25'!M222,"",'1. Live'!M222-'check-Jul25'!M222)</f>
        <v/>
      </c>
      <c r="N222" t="str">
        <f>IF('1. Live'!N222='check-Jul25'!N222,"",'1. Live'!N222-'check-Jul25'!N222)</f>
        <v/>
      </c>
      <c r="O222" t="str">
        <f>IF('1. Live'!O222='check-Jul25'!O222,"",'1. Live'!O222-'check-Jul25'!O222)</f>
        <v/>
      </c>
      <c r="P222" t="str">
        <f>IF('1. Live'!P222='check-Jul25'!P222,"",'1. Live'!P222-'check-Jul25'!P222)</f>
        <v/>
      </c>
      <c r="Q222" t="str">
        <f>IF('1. Live'!Q222='check-Jul25'!Q222,"",'1. Live'!Q222-'check-Jul25'!Q222)</f>
        <v/>
      </c>
      <c r="R222" t="str">
        <f>IF('1. Live'!R222='check-Jul25'!R222,"",'1. Live'!R222-'check-Jul25'!R222)</f>
        <v/>
      </c>
      <c r="S222" t="str">
        <f>IF('1. Live'!S222='check-Jul25'!S222,"",'1. Live'!S222-'check-Jul25'!S222)</f>
        <v/>
      </c>
      <c r="T222" t="str">
        <f>IF('1. Live'!T222='check-Jul25'!T222,"",'1. Live'!T222-'check-Jul25'!T222)</f>
        <v/>
      </c>
      <c r="U222" t="str">
        <f>IF('1. Live'!U222='check-Jul25'!U222,"",'1. Live'!U222-'check-Jul25'!U222)</f>
        <v/>
      </c>
      <c r="V222" t="str">
        <f>IF('1. Live'!V222='check-Jul25'!V222,"",'1. Live'!V222-'check-Jul25'!V222)</f>
        <v/>
      </c>
      <c r="W222" t="str">
        <f>IF('1. Live'!W222='check-Jul25'!W222,"",'1. Live'!W222-'check-Jul25'!W222)</f>
        <v/>
      </c>
      <c r="X222" t="str">
        <f>IF('1. Live'!X222='check-Jul25'!X222,"",'1. Live'!X222-'check-Jul25'!X222)</f>
        <v/>
      </c>
      <c r="Y222" t="str">
        <f>IF('1. Live'!Y222='check-Jul25'!Y222,"",'1. Live'!Y222-'check-Jul25'!Y222)</f>
        <v/>
      </c>
      <c r="Z222" t="str">
        <f>IF('1. Live'!Z222='check-Jul25'!Z222,"",'1. Live'!Z222-'check-Jul25'!Z222)</f>
        <v/>
      </c>
      <c r="AA222" t="str">
        <f>IF('1. Live'!AA222='check-Jul25'!AA222,"",'1. Live'!AA222-'check-Jul25'!AA222)</f>
        <v/>
      </c>
      <c r="AB222" t="str">
        <f>IF('1. Live'!AB222='check-Jul25'!AB222,"",'1. Live'!AB222-'check-Jul25'!AB222)</f>
        <v/>
      </c>
      <c r="AC222" t="str">
        <f>IF('1. Live'!AC222='check-Jul25'!AC222,"",'1. Live'!AC222-'check-Jul25'!AC222)</f>
        <v/>
      </c>
      <c r="AD222" t="str">
        <f>IF('1. Live'!AD222='check-Jul25'!AD222,"",'1. Live'!AD222-'check-Jul25'!AD222)</f>
        <v/>
      </c>
      <c r="AE222" t="str">
        <f>IF('1. Live'!AE222='check-Jul25'!AE222,"",'1. Live'!AE222-'check-Jul25'!AE222)</f>
        <v/>
      </c>
      <c r="AF222" t="str">
        <f>IF('1. Live'!AF222='check-Jul25'!AF222,"",'1. Live'!AF222-'check-Jul25'!AF222)</f>
        <v/>
      </c>
      <c r="AG222" t="str">
        <f>IF('1. Live'!AG222='check-Jul25'!AG222,"",'1. Live'!AG222-'check-Jul25'!AG222)</f>
        <v/>
      </c>
      <c r="AH222" t="str">
        <f>IF('1. Live'!AH222='check-Jul25'!AH222,"",'1. Live'!AH222-'check-Jul25'!AH222)</f>
        <v/>
      </c>
      <c r="AI222" t="str">
        <f>IF('1. Live'!AI222='check-Jul25'!AI222,"",'1. Live'!AI222-'check-Jul25'!AI222)</f>
        <v/>
      </c>
      <c r="AJ222" t="str">
        <f>IF('1. Live'!AJ222='check-Jul25'!AJ222,"",'1. Live'!AJ222-'check-Jul25'!AJ222)</f>
        <v/>
      </c>
      <c r="AK222" t="str">
        <f>IF('1. Live'!AK222='check-Jul25'!AK222,"",'1. Live'!AK222-'check-Jul25'!AK222)</f>
        <v/>
      </c>
      <c r="AL222" t="str">
        <f>IF('1. Live'!AL222='check-Jul25'!AL222,"",'1. Live'!AL222-'check-Jul25'!AL222)</f>
        <v/>
      </c>
      <c r="AM222" t="str">
        <f>IF('1. Live'!AM222='check-Jul25'!AM222,"",'1. Live'!AM222-'check-Jul25'!AM222)</f>
        <v/>
      </c>
      <c r="AN222" t="str">
        <f>IF('1. Live'!AN222='check-Jul25'!AN222,"",'1. Live'!AN222-'check-Jul25'!AN222)</f>
        <v/>
      </c>
      <c r="AO222" t="str">
        <f>IF('1. Live'!AO222='check-Jul25'!AO222,"",'1. Live'!AO222-'check-Jul25'!AO222)</f>
        <v/>
      </c>
      <c r="AP222" t="str">
        <f>IF('1. Live'!AP222='check-Jul25'!AP222,"",'1. Live'!AP222-'check-Jul25'!AP222)</f>
        <v/>
      </c>
      <c r="AQ222" t="str">
        <f>IF('1. Live'!AQ222='check-Jul25'!AQ222,"",'1. Live'!AQ222-'check-Jul25'!AQ222)</f>
        <v/>
      </c>
      <c r="AR222" t="str">
        <f>IF('1. Live'!AR222='check-Jul25'!AR222,"",'1. Live'!AR222-'check-Jul25'!AR222)</f>
        <v/>
      </c>
      <c r="AS222" t="str">
        <f>IF('1. Live'!AS222='check-Jul25'!AS222,"",'1. Live'!AS222-'check-Jul25'!AS222)</f>
        <v/>
      </c>
      <c r="AT222" t="str">
        <f>IF('1. Live'!AT222='check-Jul25'!AT222,"",'1. Live'!AT222-'check-Jul25'!AT222)</f>
        <v/>
      </c>
      <c r="AU222" t="str">
        <f>IF('1. Live'!AU222='check-Jul25'!AU222,"",'1. Live'!AU222-'check-Jul25'!AU222)</f>
        <v/>
      </c>
      <c r="AV222" t="str">
        <f>IF('1. Live'!AV222='check-Jul25'!AV222,"",'1. Live'!AV222-'check-Jul25'!AV222)</f>
        <v/>
      </c>
      <c r="AW222" t="str">
        <f>IF('1. Live'!AW222='check-Jul25'!AW222,"",'1. Live'!AW222-'check-Jul25'!AW222)</f>
        <v/>
      </c>
      <c r="AX222" t="str">
        <f>IF('1. Live'!AX222='check-Jul25'!AX222,"",'1. Live'!AX222-'check-Jul25'!AX222)</f>
        <v/>
      </c>
      <c r="AY222" t="str">
        <f>IF('1. Live'!AY222='check-Jul25'!AY222,"",'1. Live'!AY222-'check-Jul25'!AY222)</f>
        <v/>
      </c>
      <c r="AZ222" t="str">
        <f>IF('1. Live'!AZ222='check-Jul25'!AZ222,"",'1. Live'!AZ222-'check-Jul25'!AZ222)</f>
        <v/>
      </c>
      <c r="BA222" t="str">
        <f>IF('1. Live'!BA222='check-Jul25'!BA222,"",'1. Live'!BA222-'check-Jul25'!BA222)</f>
        <v/>
      </c>
      <c r="BB222" t="str">
        <f>IF('1. Live'!BB222='check-Jul25'!BB222,"",'1. Live'!BB222-'check-Jul25'!BB222)</f>
        <v/>
      </c>
      <c r="BC222" t="str">
        <f>IF('1. Live'!BC222='check-Jul25'!BC222,"",'1. Live'!BC222-'check-Jul25'!BC222)</f>
        <v/>
      </c>
      <c r="BD222" t="str">
        <f>IF('1. Live'!BD222='check-Jul25'!BD222,"",'1. Live'!BD222-'check-Jul25'!BD222)</f>
        <v/>
      </c>
      <c r="BE222" t="str">
        <f>IF('1. Live'!BE222='check-Jul25'!BE222,"",'1. Live'!BE222-'check-Jul25'!BE222)</f>
        <v/>
      </c>
      <c r="BF222" t="str">
        <f>IF('1. Live'!BF222='check-Jul25'!BF222,"",'1. Live'!BF222-'check-Jul25'!BF222)</f>
        <v/>
      </c>
      <c r="BG222" t="str">
        <f>IF('1. Live'!BG222='check-Jul25'!BG222,"",'1. Live'!BG222-'check-Jul25'!BG222)</f>
        <v/>
      </c>
      <c r="BH222" t="str">
        <f>IF('1. Live'!BH222='check-Jul25'!BH222,"",'1. Live'!BH222-'check-Jul25'!BH222)</f>
        <v/>
      </c>
      <c r="BI222" t="str">
        <f>IF('1. Live'!BI222='check-Jul25'!BI222,"",'1. Live'!BI222-'check-Jul25'!BI222)</f>
        <v/>
      </c>
      <c r="BJ222" t="str">
        <f>IF('1. Live'!BJ222='check-Jul25'!BJ222,"",'1. Live'!BJ222-'check-Jul25'!BJ222)</f>
        <v/>
      </c>
      <c r="BK222" t="str">
        <f>IF('1. Live'!BK222='check-Jul25'!BK222,"",'1. Live'!BK222-'check-Jul25'!BK222)</f>
        <v/>
      </c>
      <c r="BL222" t="str">
        <f>IF('1. Live'!BL222='check-Jul25'!BL222,"",'1. Live'!BL222-'check-Jul25'!BL222)</f>
        <v/>
      </c>
      <c r="BM222" t="str">
        <f>IF('1. Live'!BM222='check-Jul25'!BM222,"",'1. Live'!BM222-'check-Jul25'!BM222)</f>
        <v/>
      </c>
      <c r="BN222" t="str">
        <f>IF('1. Live'!BN222='check-Jul25'!BN222,"",'1. Live'!BN222-'check-Jul25'!BN222)</f>
        <v/>
      </c>
      <c r="BO222" t="str">
        <f>IF('1. Live'!BO222='check-Jul25'!BO222,"",'1. Live'!BO222-'check-Jul25'!BO222)</f>
        <v/>
      </c>
      <c r="BP222" t="str">
        <f>IF('1. Live'!BP222='check-Jul25'!BP222,"",'1. Live'!BP222-'check-Jul25'!BP222)</f>
        <v/>
      </c>
      <c r="BQ222" t="str">
        <f>IF('1. Live'!BQ222='check-Jul25'!BQ222,"",'1. Live'!BQ222-'check-Jul25'!BQ222)</f>
        <v/>
      </c>
      <c r="BR222" t="str">
        <f>IF('1. Live'!BR222='check-Jul25'!BR222,"",'1. Live'!BR222-'check-Jul25'!BR222)</f>
        <v/>
      </c>
      <c r="BS222" t="str">
        <f>IF('1. Live'!BS222='check-Jul25'!BS222,"",'1. Live'!BS222-'check-Jul25'!BS222)</f>
        <v/>
      </c>
      <c r="BT222" t="str">
        <f>IF('1. Live'!BT222='check-Jul25'!BT222,"",'1. Live'!BT222-'check-Jul25'!BT222)</f>
        <v/>
      </c>
      <c r="BU222" t="str">
        <f>IF('1. Live'!BU222='check-Jul25'!BU222,"",'1. Live'!BU222-'check-Jul25'!BU222)</f>
        <v/>
      </c>
      <c r="BV222" t="str">
        <f>IF('1. Live'!BV222='check-Jul25'!BV222,"",'1. Live'!BV222-'check-Jul25'!BV222)</f>
        <v/>
      </c>
      <c r="BW222" t="str">
        <f>IF('1. Live'!BW222='check-Jul25'!BW222,"",'1. Live'!BW222-'check-Jul25'!BW222)</f>
        <v/>
      </c>
      <c r="BX222" t="str">
        <f>IF('1. Live'!BX222='check-Jul25'!BX222,"",'1. Live'!BX222-'check-Jul25'!BX222)</f>
        <v/>
      </c>
      <c r="BY222" t="str">
        <f>IF('1. Live'!BY222='check-Jul25'!BY222,"",'1. Live'!BY222-'check-Jul25'!BY222)</f>
        <v/>
      </c>
      <c r="BZ222" t="str">
        <f>IF('1. Live'!BZ222='check-Jul25'!BZ222,"",'1. Live'!BZ222-'check-Jul25'!BZ222)</f>
        <v/>
      </c>
      <c r="CA222" t="str">
        <f>IF('1. Live'!CA222='check-Jul25'!CA222,"",'1. Live'!CA222-'check-Jul25'!CA222)</f>
        <v/>
      </c>
      <c r="CB222" t="str">
        <f>IF('1. Live'!CB222='check-Jul25'!CB222,"",'1. Live'!CB222-'check-Jul25'!CB222)</f>
        <v/>
      </c>
      <c r="CC222" t="str">
        <f>IF('1. Live'!CC222='check-Jul25'!CC222,"",'1. Live'!CC222-'check-Jul25'!CC222)</f>
        <v/>
      </c>
      <c r="CD222" t="str">
        <f>IF('1. Live'!CD222='check-Jul25'!CD222,"",'1. Live'!CD222-'check-Jul25'!CD222)</f>
        <v/>
      </c>
      <c r="CE222" t="str">
        <f>IF('1. Live'!CE222='check-Jul25'!CE222,"",'1. Live'!CE222-'check-Jul25'!CE222)</f>
        <v/>
      </c>
      <c r="CF222" t="str">
        <f>IF('1. Live'!CF222='check-Jul25'!CF222,"",'1. Live'!CF222-'check-Jul25'!CF222)</f>
        <v/>
      </c>
      <c r="CG222" t="str">
        <f>IF('1. Live'!CG222='check-Jul25'!CG222,"",'1. Live'!CG222-'check-Jul25'!CG222)</f>
        <v/>
      </c>
      <c r="CH222" t="str">
        <f>IF('1. Live'!CH222='check-Jul25'!CH222,"",'1. Live'!CH222-'check-Jul25'!CH222)</f>
        <v/>
      </c>
      <c r="CI222" t="str">
        <f>IF('1. Live'!CI222='check-Jul25'!CI222,"",'1. Live'!CI222-'check-Jul25'!CI222)</f>
        <v/>
      </c>
      <c r="CJ222" t="str">
        <f>IF('1. Live'!CJ222='check-Jul25'!CJ222,"",'1. Live'!CJ222-'check-Jul25'!CJ222)</f>
        <v/>
      </c>
      <c r="CK222" t="str">
        <f>IF('1. Live'!CK222='check-Jul25'!CK222,"",'1. Live'!CK222-'check-Jul25'!CK222)</f>
        <v/>
      </c>
      <c r="CL222" t="str">
        <f>IF('1. Live'!CL222='check-Jul25'!CL222,"",'1. Live'!CL222-'check-Jul25'!CL222)</f>
        <v/>
      </c>
      <c r="CM222" t="str">
        <f>IF('1. Live'!CM222='check-Jul25'!CM222,"",'1. Live'!CM222-'check-Jul25'!CM222)</f>
        <v/>
      </c>
      <c r="CN222" t="str">
        <f>IF('1. Live'!CN222='check-Jul25'!CN222,"",'1. Live'!CN222-'check-Jul25'!CN222)</f>
        <v/>
      </c>
      <c r="CO222" t="str">
        <f>IF('1. Live'!CO222='check-Jul25'!CO222,"",'1. Live'!CO222-'check-Jul25'!CO222)</f>
        <v/>
      </c>
      <c r="CP222" t="str">
        <f>IF('1. Live'!CP222='check-Jul25'!CP222,"",'1. Live'!CP222-'check-Jul25'!CP222)</f>
        <v/>
      </c>
      <c r="CQ222" t="str">
        <f>IF('1. Live'!CQ222='check-Jul25'!CQ222,"",'1. Live'!CQ222-'check-Jul25'!CQ222)</f>
        <v/>
      </c>
      <c r="CR222" t="str">
        <f>IF('1. Live'!CR222='check-Jul25'!CR222,"",'1. Live'!CR222-'check-Jul25'!CR222)</f>
        <v/>
      </c>
      <c r="CS222" t="str">
        <f>IF('1. Live'!CS222='check-Jul25'!CS222,"",'1. Live'!CS222-'check-Jul25'!CS222)</f>
        <v/>
      </c>
      <c r="CT222" t="str">
        <f>IF('1. Live'!CT222='check-Jul25'!CT222,"",'1. Live'!CT222-'check-Jul25'!CT222)</f>
        <v/>
      </c>
      <c r="CU222" t="str">
        <f>IF('1. Live'!CU222='check-Jul25'!CU222,"",'1. Live'!CU222-'check-Jul25'!CU222)</f>
        <v/>
      </c>
      <c r="CV222" t="str">
        <f>IF('1. Live'!CV222='check-Jul25'!CV222,"",'1. Live'!CV222-'check-Jul25'!CV222)</f>
        <v/>
      </c>
      <c r="CW222" t="str">
        <f>IF('1. Live'!CW222='check-Jul25'!CW222,"",'1. Live'!CW222-'check-Jul25'!CW222)</f>
        <v/>
      </c>
    </row>
    <row r="223" spans="10:101">
      <c r="J223" t="str">
        <f>IF('1. Live'!J223='check-Jul25'!J223,"",'1. Live'!J223-'check-Jul25'!J223)</f>
        <v/>
      </c>
      <c r="K223" t="str">
        <f>IF('1. Live'!K223='check-Jul25'!K223,"",'1. Live'!K223-'check-Jul25'!K223)</f>
        <v/>
      </c>
      <c r="L223" t="str">
        <f>IF('1. Live'!L223='check-Jul25'!L223,"",'1. Live'!L223-'check-Jul25'!L223)</f>
        <v/>
      </c>
      <c r="M223" t="str">
        <f>IF('1. Live'!M223='check-Jul25'!M223,"",'1. Live'!M223-'check-Jul25'!M223)</f>
        <v/>
      </c>
      <c r="N223" t="str">
        <f>IF('1. Live'!N223='check-Jul25'!N223,"",'1. Live'!N223-'check-Jul25'!N223)</f>
        <v/>
      </c>
      <c r="O223" t="str">
        <f>IF('1. Live'!O223='check-Jul25'!O223,"",'1. Live'!O223-'check-Jul25'!O223)</f>
        <v/>
      </c>
      <c r="P223" t="str">
        <f>IF('1. Live'!P223='check-Jul25'!P223,"",'1. Live'!P223-'check-Jul25'!P223)</f>
        <v/>
      </c>
      <c r="Q223" t="str">
        <f>IF('1. Live'!Q223='check-Jul25'!Q223,"",'1. Live'!Q223-'check-Jul25'!Q223)</f>
        <v/>
      </c>
      <c r="R223" t="str">
        <f>IF('1. Live'!R223='check-Jul25'!R223,"",'1. Live'!R223-'check-Jul25'!R223)</f>
        <v/>
      </c>
      <c r="S223" t="str">
        <f>IF('1. Live'!S223='check-Jul25'!S223,"",'1. Live'!S223-'check-Jul25'!S223)</f>
        <v/>
      </c>
      <c r="T223" t="str">
        <f>IF('1. Live'!T223='check-Jul25'!T223,"",'1. Live'!T223-'check-Jul25'!T223)</f>
        <v/>
      </c>
      <c r="U223" t="str">
        <f>IF('1. Live'!U223='check-Jul25'!U223,"",'1. Live'!U223-'check-Jul25'!U223)</f>
        <v/>
      </c>
      <c r="V223" t="str">
        <f>IF('1. Live'!V223='check-Jul25'!V223,"",'1. Live'!V223-'check-Jul25'!V223)</f>
        <v/>
      </c>
      <c r="W223" t="str">
        <f>IF('1. Live'!W223='check-Jul25'!W223,"",'1. Live'!W223-'check-Jul25'!W223)</f>
        <v/>
      </c>
      <c r="X223" t="str">
        <f>IF('1. Live'!X223='check-Jul25'!X223,"",'1. Live'!X223-'check-Jul25'!X223)</f>
        <v/>
      </c>
      <c r="Y223" t="str">
        <f>IF('1. Live'!Y223='check-Jul25'!Y223,"",'1. Live'!Y223-'check-Jul25'!Y223)</f>
        <v/>
      </c>
      <c r="Z223" t="str">
        <f>IF('1. Live'!Z223='check-Jul25'!Z223,"",'1. Live'!Z223-'check-Jul25'!Z223)</f>
        <v/>
      </c>
      <c r="AA223" t="str">
        <f>IF('1. Live'!AA223='check-Jul25'!AA223,"",'1. Live'!AA223-'check-Jul25'!AA223)</f>
        <v/>
      </c>
      <c r="AB223" t="str">
        <f>IF('1. Live'!AB223='check-Jul25'!AB223,"",'1. Live'!AB223-'check-Jul25'!AB223)</f>
        <v/>
      </c>
      <c r="AC223" t="str">
        <f>IF('1. Live'!AC223='check-Jul25'!AC223,"",'1. Live'!AC223-'check-Jul25'!AC223)</f>
        <v/>
      </c>
      <c r="AD223" t="str">
        <f>IF('1. Live'!AD223='check-Jul25'!AD223,"",'1. Live'!AD223-'check-Jul25'!AD223)</f>
        <v/>
      </c>
      <c r="AE223" t="str">
        <f>IF('1. Live'!AE223='check-Jul25'!AE223,"",'1. Live'!AE223-'check-Jul25'!AE223)</f>
        <v/>
      </c>
      <c r="AF223" t="str">
        <f>IF('1. Live'!AF223='check-Jul25'!AF223,"",'1. Live'!AF223-'check-Jul25'!AF223)</f>
        <v/>
      </c>
      <c r="AG223" t="str">
        <f>IF('1. Live'!AG223='check-Jul25'!AG223,"",'1. Live'!AG223-'check-Jul25'!AG223)</f>
        <v/>
      </c>
      <c r="AH223" t="str">
        <f>IF('1. Live'!AH223='check-Jul25'!AH223,"",'1. Live'!AH223-'check-Jul25'!AH223)</f>
        <v/>
      </c>
      <c r="AI223" t="str">
        <f>IF('1. Live'!AI223='check-Jul25'!AI223,"",'1. Live'!AI223-'check-Jul25'!AI223)</f>
        <v/>
      </c>
      <c r="AJ223" t="str">
        <f>IF('1. Live'!AJ223='check-Jul25'!AJ223,"",'1. Live'!AJ223-'check-Jul25'!AJ223)</f>
        <v/>
      </c>
      <c r="AK223" t="str">
        <f>IF('1. Live'!AK223='check-Jul25'!AK223,"",'1. Live'!AK223-'check-Jul25'!AK223)</f>
        <v/>
      </c>
      <c r="AL223" t="str">
        <f>IF('1. Live'!AL223='check-Jul25'!AL223,"",'1. Live'!AL223-'check-Jul25'!AL223)</f>
        <v/>
      </c>
      <c r="AM223" t="str">
        <f>IF('1. Live'!AM223='check-Jul25'!AM223,"",'1. Live'!AM223-'check-Jul25'!AM223)</f>
        <v/>
      </c>
      <c r="AN223" t="str">
        <f>IF('1. Live'!AN223='check-Jul25'!AN223,"",'1. Live'!AN223-'check-Jul25'!AN223)</f>
        <v/>
      </c>
      <c r="AO223" t="str">
        <f>IF('1. Live'!AO223='check-Jul25'!AO223,"",'1. Live'!AO223-'check-Jul25'!AO223)</f>
        <v/>
      </c>
      <c r="AP223" t="str">
        <f>IF('1. Live'!AP223='check-Jul25'!AP223,"",'1. Live'!AP223-'check-Jul25'!AP223)</f>
        <v/>
      </c>
      <c r="AQ223" t="str">
        <f>IF('1. Live'!AQ223='check-Jul25'!AQ223,"",'1. Live'!AQ223-'check-Jul25'!AQ223)</f>
        <v/>
      </c>
      <c r="AR223" t="str">
        <f>IF('1. Live'!AR223='check-Jul25'!AR223,"",'1. Live'!AR223-'check-Jul25'!AR223)</f>
        <v/>
      </c>
      <c r="AS223" t="str">
        <f>IF('1. Live'!AS223='check-Jul25'!AS223,"",'1. Live'!AS223-'check-Jul25'!AS223)</f>
        <v/>
      </c>
      <c r="AT223" t="str">
        <f>IF('1. Live'!AT223='check-Jul25'!AT223,"",'1. Live'!AT223-'check-Jul25'!AT223)</f>
        <v/>
      </c>
      <c r="AU223" t="str">
        <f>IF('1. Live'!AU223='check-Jul25'!AU223,"",'1. Live'!AU223-'check-Jul25'!AU223)</f>
        <v/>
      </c>
      <c r="AV223" t="str">
        <f>IF('1. Live'!AV223='check-Jul25'!AV223,"",'1. Live'!AV223-'check-Jul25'!AV223)</f>
        <v/>
      </c>
      <c r="AW223" t="str">
        <f>IF('1. Live'!AW223='check-Jul25'!AW223,"",'1. Live'!AW223-'check-Jul25'!AW223)</f>
        <v/>
      </c>
      <c r="AX223" t="str">
        <f>IF('1. Live'!AX223='check-Jul25'!AX223,"",'1. Live'!AX223-'check-Jul25'!AX223)</f>
        <v/>
      </c>
      <c r="AY223" t="str">
        <f>IF('1. Live'!AY223='check-Jul25'!AY223,"",'1. Live'!AY223-'check-Jul25'!AY223)</f>
        <v/>
      </c>
      <c r="AZ223" t="str">
        <f>IF('1. Live'!AZ223='check-Jul25'!AZ223,"",'1. Live'!AZ223-'check-Jul25'!AZ223)</f>
        <v/>
      </c>
      <c r="BA223" t="str">
        <f>IF('1. Live'!BA223='check-Jul25'!BA223,"",'1. Live'!BA223-'check-Jul25'!BA223)</f>
        <v/>
      </c>
      <c r="BB223" t="str">
        <f>IF('1. Live'!BB223='check-Jul25'!BB223,"",'1. Live'!BB223-'check-Jul25'!BB223)</f>
        <v/>
      </c>
      <c r="BC223" t="str">
        <f>IF('1. Live'!BC223='check-Jul25'!BC223,"",'1. Live'!BC223-'check-Jul25'!BC223)</f>
        <v/>
      </c>
      <c r="BD223" t="str">
        <f>IF('1. Live'!BD223='check-Jul25'!BD223,"",'1. Live'!BD223-'check-Jul25'!BD223)</f>
        <v/>
      </c>
      <c r="BE223" t="str">
        <f>IF('1. Live'!BE223='check-Jul25'!BE223,"",'1. Live'!BE223-'check-Jul25'!BE223)</f>
        <v/>
      </c>
      <c r="BF223" t="str">
        <f>IF('1. Live'!BF223='check-Jul25'!BF223,"",'1. Live'!BF223-'check-Jul25'!BF223)</f>
        <v/>
      </c>
      <c r="BG223" t="str">
        <f>IF('1. Live'!BG223='check-Jul25'!BG223,"",'1. Live'!BG223-'check-Jul25'!BG223)</f>
        <v/>
      </c>
      <c r="BH223" t="str">
        <f>IF('1. Live'!BH223='check-Jul25'!BH223,"",'1. Live'!BH223-'check-Jul25'!BH223)</f>
        <v/>
      </c>
      <c r="BI223" t="str">
        <f>IF('1. Live'!BI223='check-Jul25'!BI223,"",'1. Live'!BI223-'check-Jul25'!BI223)</f>
        <v/>
      </c>
      <c r="BJ223" t="str">
        <f>IF('1. Live'!BJ223='check-Jul25'!BJ223,"",'1. Live'!BJ223-'check-Jul25'!BJ223)</f>
        <v/>
      </c>
      <c r="BK223" t="str">
        <f>IF('1. Live'!BK223='check-Jul25'!BK223,"",'1. Live'!BK223-'check-Jul25'!BK223)</f>
        <v/>
      </c>
      <c r="BL223" t="str">
        <f>IF('1. Live'!BL223='check-Jul25'!BL223,"",'1. Live'!BL223-'check-Jul25'!BL223)</f>
        <v/>
      </c>
      <c r="BM223" t="str">
        <f>IF('1. Live'!BM223='check-Jul25'!BM223,"",'1. Live'!BM223-'check-Jul25'!BM223)</f>
        <v/>
      </c>
      <c r="BN223" t="str">
        <f>IF('1. Live'!BN223='check-Jul25'!BN223,"",'1. Live'!BN223-'check-Jul25'!BN223)</f>
        <v/>
      </c>
      <c r="BO223" t="str">
        <f>IF('1. Live'!BO223='check-Jul25'!BO223,"",'1. Live'!BO223-'check-Jul25'!BO223)</f>
        <v/>
      </c>
      <c r="BP223" t="str">
        <f>IF('1. Live'!BP223='check-Jul25'!BP223,"",'1. Live'!BP223-'check-Jul25'!BP223)</f>
        <v/>
      </c>
      <c r="BQ223" t="str">
        <f>IF('1. Live'!BQ223='check-Jul25'!BQ223,"",'1. Live'!BQ223-'check-Jul25'!BQ223)</f>
        <v/>
      </c>
      <c r="BR223" t="str">
        <f>IF('1. Live'!BR223='check-Jul25'!BR223,"",'1. Live'!BR223-'check-Jul25'!BR223)</f>
        <v/>
      </c>
      <c r="BS223" t="str">
        <f>IF('1. Live'!BS223='check-Jul25'!BS223,"",'1. Live'!BS223-'check-Jul25'!BS223)</f>
        <v/>
      </c>
      <c r="BT223" t="str">
        <f>IF('1. Live'!BT223='check-Jul25'!BT223,"",'1. Live'!BT223-'check-Jul25'!BT223)</f>
        <v/>
      </c>
      <c r="BU223" t="str">
        <f>IF('1. Live'!BU223='check-Jul25'!BU223,"",'1. Live'!BU223-'check-Jul25'!BU223)</f>
        <v/>
      </c>
      <c r="BV223" t="str">
        <f>IF('1. Live'!BV223='check-Jul25'!BV223,"",'1. Live'!BV223-'check-Jul25'!BV223)</f>
        <v/>
      </c>
      <c r="BW223" t="str">
        <f>IF('1. Live'!BW223='check-Jul25'!BW223,"",'1. Live'!BW223-'check-Jul25'!BW223)</f>
        <v/>
      </c>
      <c r="BX223" t="str">
        <f>IF('1. Live'!BX223='check-Jul25'!BX223,"",'1. Live'!BX223-'check-Jul25'!BX223)</f>
        <v/>
      </c>
      <c r="BY223" t="str">
        <f>IF('1. Live'!BY223='check-Jul25'!BY223,"",'1. Live'!BY223-'check-Jul25'!BY223)</f>
        <v/>
      </c>
      <c r="BZ223" t="str">
        <f>IF('1. Live'!BZ223='check-Jul25'!BZ223,"",'1. Live'!BZ223-'check-Jul25'!BZ223)</f>
        <v/>
      </c>
      <c r="CA223" t="str">
        <f>IF('1. Live'!CA223='check-Jul25'!CA223,"",'1. Live'!CA223-'check-Jul25'!CA223)</f>
        <v/>
      </c>
      <c r="CB223" t="str">
        <f>IF('1. Live'!CB223='check-Jul25'!CB223,"",'1. Live'!CB223-'check-Jul25'!CB223)</f>
        <v/>
      </c>
      <c r="CC223" t="str">
        <f>IF('1. Live'!CC223='check-Jul25'!CC223,"",'1. Live'!CC223-'check-Jul25'!CC223)</f>
        <v/>
      </c>
      <c r="CD223" t="str">
        <f>IF('1. Live'!CD223='check-Jul25'!CD223,"",'1. Live'!CD223-'check-Jul25'!CD223)</f>
        <v/>
      </c>
      <c r="CE223" t="str">
        <f>IF('1. Live'!CE223='check-Jul25'!CE223,"",'1. Live'!CE223-'check-Jul25'!CE223)</f>
        <v/>
      </c>
      <c r="CF223" t="str">
        <f>IF('1. Live'!CF223='check-Jul25'!CF223,"",'1. Live'!CF223-'check-Jul25'!CF223)</f>
        <v/>
      </c>
      <c r="CG223" t="str">
        <f>IF('1. Live'!CG223='check-Jul25'!CG223,"",'1. Live'!CG223-'check-Jul25'!CG223)</f>
        <v/>
      </c>
      <c r="CH223" t="str">
        <f>IF('1. Live'!CH223='check-Jul25'!CH223,"",'1. Live'!CH223-'check-Jul25'!CH223)</f>
        <v/>
      </c>
      <c r="CI223" t="str">
        <f>IF('1. Live'!CI223='check-Jul25'!CI223,"",'1. Live'!CI223-'check-Jul25'!CI223)</f>
        <v/>
      </c>
      <c r="CJ223" t="str">
        <f>IF('1. Live'!CJ223='check-Jul25'!CJ223,"",'1. Live'!CJ223-'check-Jul25'!CJ223)</f>
        <v/>
      </c>
      <c r="CK223" t="str">
        <f>IF('1. Live'!CK223='check-Jul25'!CK223,"",'1. Live'!CK223-'check-Jul25'!CK223)</f>
        <v/>
      </c>
      <c r="CL223" t="str">
        <f>IF('1. Live'!CL223='check-Jul25'!CL223,"",'1. Live'!CL223-'check-Jul25'!CL223)</f>
        <v/>
      </c>
      <c r="CM223" t="str">
        <f>IF('1. Live'!CM223='check-Jul25'!CM223,"",'1. Live'!CM223-'check-Jul25'!CM223)</f>
        <v/>
      </c>
      <c r="CN223" t="str">
        <f>IF('1. Live'!CN223='check-Jul25'!CN223,"",'1. Live'!CN223-'check-Jul25'!CN223)</f>
        <v/>
      </c>
      <c r="CO223" t="str">
        <f>IF('1. Live'!CO223='check-Jul25'!CO223,"",'1. Live'!CO223-'check-Jul25'!CO223)</f>
        <v/>
      </c>
      <c r="CP223" t="str">
        <f>IF('1. Live'!CP223='check-Jul25'!CP223,"",'1. Live'!CP223-'check-Jul25'!CP223)</f>
        <v/>
      </c>
      <c r="CQ223" t="str">
        <f>IF('1. Live'!CQ223='check-Jul25'!CQ223,"",'1. Live'!CQ223-'check-Jul25'!CQ223)</f>
        <v/>
      </c>
      <c r="CR223" t="str">
        <f>IF('1. Live'!CR223='check-Jul25'!CR223,"",'1. Live'!CR223-'check-Jul25'!CR223)</f>
        <v/>
      </c>
      <c r="CS223" t="str">
        <f>IF('1. Live'!CS223='check-Jul25'!CS223,"",'1. Live'!CS223-'check-Jul25'!CS223)</f>
        <v/>
      </c>
      <c r="CT223" t="str">
        <f>IF('1. Live'!CT223='check-Jul25'!CT223,"",'1. Live'!CT223-'check-Jul25'!CT223)</f>
        <v/>
      </c>
      <c r="CU223" t="str">
        <f>IF('1. Live'!CU223='check-Jul25'!CU223,"",'1. Live'!CU223-'check-Jul25'!CU223)</f>
        <v/>
      </c>
      <c r="CV223" t="str">
        <f>IF('1. Live'!CV223='check-Jul25'!CV223,"",'1. Live'!CV223-'check-Jul25'!CV223)</f>
        <v/>
      </c>
      <c r="CW223" t="str">
        <f>IF('1. Live'!CW223='check-Jul25'!CW223,"",'1. Live'!CW223-'check-Jul25'!CW223)</f>
        <v/>
      </c>
    </row>
    <row r="224" spans="10:101">
      <c r="J224" t="str">
        <f>IF('1. Live'!J224='check-Jul25'!J224,"",'1. Live'!J224-'check-Jul25'!J224)</f>
        <v/>
      </c>
      <c r="K224" t="str">
        <f>IF('1. Live'!K224='check-Jul25'!K224,"",'1. Live'!K224-'check-Jul25'!K224)</f>
        <v/>
      </c>
      <c r="L224" t="str">
        <f>IF('1. Live'!L224='check-Jul25'!L224,"",'1. Live'!L224-'check-Jul25'!L224)</f>
        <v/>
      </c>
      <c r="M224" t="str">
        <f>IF('1. Live'!M224='check-Jul25'!M224,"",'1. Live'!M224-'check-Jul25'!M224)</f>
        <v/>
      </c>
      <c r="N224" t="str">
        <f>IF('1. Live'!N224='check-Jul25'!N224,"",'1. Live'!N224-'check-Jul25'!N224)</f>
        <v/>
      </c>
      <c r="O224" t="str">
        <f>IF('1. Live'!O224='check-Jul25'!O224,"",'1. Live'!O224-'check-Jul25'!O224)</f>
        <v/>
      </c>
      <c r="P224" t="str">
        <f>IF('1. Live'!P224='check-Jul25'!P224,"",'1. Live'!P224-'check-Jul25'!P224)</f>
        <v/>
      </c>
      <c r="Q224" t="str">
        <f>IF('1. Live'!Q224='check-Jul25'!Q224,"",'1. Live'!Q224-'check-Jul25'!Q224)</f>
        <v/>
      </c>
      <c r="R224" t="str">
        <f>IF('1. Live'!R224='check-Jul25'!R224,"",'1. Live'!R224-'check-Jul25'!R224)</f>
        <v/>
      </c>
      <c r="S224" t="str">
        <f>IF('1. Live'!S224='check-Jul25'!S224,"",'1. Live'!S224-'check-Jul25'!S224)</f>
        <v/>
      </c>
      <c r="T224" t="str">
        <f>IF('1. Live'!T224='check-Jul25'!T224,"",'1. Live'!T224-'check-Jul25'!T224)</f>
        <v/>
      </c>
      <c r="U224" t="str">
        <f>IF('1. Live'!U224='check-Jul25'!U224,"",'1. Live'!U224-'check-Jul25'!U224)</f>
        <v/>
      </c>
      <c r="V224" t="str">
        <f>IF('1. Live'!V224='check-Jul25'!V224,"",'1. Live'!V224-'check-Jul25'!V224)</f>
        <v/>
      </c>
      <c r="W224" t="str">
        <f>IF('1. Live'!W224='check-Jul25'!W224,"",'1. Live'!W224-'check-Jul25'!W224)</f>
        <v/>
      </c>
      <c r="X224" t="str">
        <f>IF('1. Live'!X224='check-Jul25'!X224,"",'1. Live'!X224-'check-Jul25'!X224)</f>
        <v/>
      </c>
      <c r="Y224" t="str">
        <f>IF('1. Live'!Y224='check-Jul25'!Y224,"",'1. Live'!Y224-'check-Jul25'!Y224)</f>
        <v/>
      </c>
      <c r="Z224" t="str">
        <f>IF('1. Live'!Z224='check-Jul25'!Z224,"",'1. Live'!Z224-'check-Jul25'!Z224)</f>
        <v/>
      </c>
      <c r="AA224" t="str">
        <f>IF('1. Live'!AA224='check-Jul25'!AA224,"",'1. Live'!AA224-'check-Jul25'!AA224)</f>
        <v/>
      </c>
      <c r="AB224" t="str">
        <f>IF('1. Live'!AB224='check-Jul25'!AB224,"",'1. Live'!AB224-'check-Jul25'!AB224)</f>
        <v/>
      </c>
      <c r="AC224" t="str">
        <f>IF('1. Live'!AC224='check-Jul25'!AC224,"",'1. Live'!AC224-'check-Jul25'!AC224)</f>
        <v/>
      </c>
      <c r="AD224" t="str">
        <f>IF('1. Live'!AD224='check-Jul25'!AD224,"",'1. Live'!AD224-'check-Jul25'!AD224)</f>
        <v/>
      </c>
      <c r="AE224" t="str">
        <f>IF('1. Live'!AE224='check-Jul25'!AE224,"",'1. Live'!AE224-'check-Jul25'!AE224)</f>
        <v/>
      </c>
      <c r="AF224" t="str">
        <f>IF('1. Live'!AF224='check-Jul25'!AF224,"",'1. Live'!AF224-'check-Jul25'!AF224)</f>
        <v/>
      </c>
      <c r="AG224" t="str">
        <f>IF('1. Live'!AG224='check-Jul25'!AG224,"",'1. Live'!AG224-'check-Jul25'!AG224)</f>
        <v/>
      </c>
      <c r="AH224" t="str">
        <f>IF('1. Live'!AH224='check-Jul25'!AH224,"",'1. Live'!AH224-'check-Jul25'!AH224)</f>
        <v/>
      </c>
      <c r="AI224" t="str">
        <f>IF('1. Live'!AI224='check-Jul25'!AI224,"",'1. Live'!AI224-'check-Jul25'!AI224)</f>
        <v/>
      </c>
      <c r="AJ224" t="str">
        <f>IF('1. Live'!AJ224='check-Jul25'!AJ224,"",'1. Live'!AJ224-'check-Jul25'!AJ224)</f>
        <v/>
      </c>
      <c r="AK224" t="str">
        <f>IF('1. Live'!AK224='check-Jul25'!AK224,"",'1. Live'!AK224-'check-Jul25'!AK224)</f>
        <v/>
      </c>
      <c r="AL224" t="str">
        <f>IF('1. Live'!AL224='check-Jul25'!AL224,"",'1. Live'!AL224-'check-Jul25'!AL224)</f>
        <v/>
      </c>
      <c r="AM224" t="str">
        <f>IF('1. Live'!AM224='check-Jul25'!AM224,"",'1. Live'!AM224-'check-Jul25'!AM224)</f>
        <v/>
      </c>
      <c r="AN224" t="str">
        <f>IF('1. Live'!AN224='check-Jul25'!AN224,"",'1. Live'!AN224-'check-Jul25'!AN224)</f>
        <v/>
      </c>
      <c r="AO224" t="str">
        <f>IF('1. Live'!AO224='check-Jul25'!AO224,"",'1. Live'!AO224-'check-Jul25'!AO224)</f>
        <v/>
      </c>
      <c r="AP224" t="str">
        <f>IF('1. Live'!AP224='check-Jul25'!AP224,"",'1. Live'!AP224-'check-Jul25'!AP224)</f>
        <v/>
      </c>
      <c r="AQ224" t="str">
        <f>IF('1. Live'!AQ224='check-Jul25'!AQ224,"",'1. Live'!AQ224-'check-Jul25'!AQ224)</f>
        <v/>
      </c>
      <c r="AR224" t="str">
        <f>IF('1. Live'!AR224='check-Jul25'!AR224,"",'1. Live'!AR224-'check-Jul25'!AR224)</f>
        <v/>
      </c>
      <c r="AS224" t="str">
        <f>IF('1. Live'!AS224='check-Jul25'!AS224,"",'1. Live'!AS224-'check-Jul25'!AS224)</f>
        <v/>
      </c>
      <c r="AT224" t="str">
        <f>IF('1. Live'!AT224='check-Jul25'!AT224,"",'1. Live'!AT224-'check-Jul25'!AT224)</f>
        <v/>
      </c>
      <c r="AU224" t="str">
        <f>IF('1. Live'!AU224='check-Jul25'!AU224,"",'1. Live'!AU224-'check-Jul25'!AU224)</f>
        <v/>
      </c>
      <c r="AV224" t="str">
        <f>IF('1. Live'!AV224='check-Jul25'!AV224,"",'1. Live'!AV224-'check-Jul25'!AV224)</f>
        <v/>
      </c>
      <c r="AW224" t="str">
        <f>IF('1. Live'!AW224='check-Jul25'!AW224,"",'1. Live'!AW224-'check-Jul25'!AW224)</f>
        <v/>
      </c>
      <c r="AX224" t="str">
        <f>IF('1. Live'!AX224='check-Jul25'!AX224,"",'1. Live'!AX224-'check-Jul25'!AX224)</f>
        <v/>
      </c>
      <c r="AY224" t="str">
        <f>IF('1. Live'!AY224='check-Jul25'!AY224,"",'1. Live'!AY224-'check-Jul25'!AY224)</f>
        <v/>
      </c>
      <c r="AZ224" t="str">
        <f>IF('1. Live'!AZ224='check-Jul25'!AZ224,"",'1. Live'!AZ224-'check-Jul25'!AZ224)</f>
        <v/>
      </c>
      <c r="BA224" t="str">
        <f>IF('1. Live'!BA224='check-Jul25'!BA224,"",'1. Live'!BA224-'check-Jul25'!BA224)</f>
        <v/>
      </c>
      <c r="BB224" t="str">
        <f>IF('1. Live'!BB224='check-Jul25'!BB224,"",'1. Live'!BB224-'check-Jul25'!BB224)</f>
        <v/>
      </c>
      <c r="BC224" t="str">
        <f>IF('1. Live'!BC224='check-Jul25'!BC224,"",'1. Live'!BC224-'check-Jul25'!BC224)</f>
        <v/>
      </c>
      <c r="BD224" t="str">
        <f>IF('1. Live'!BD224='check-Jul25'!BD224,"",'1. Live'!BD224-'check-Jul25'!BD224)</f>
        <v/>
      </c>
      <c r="BE224" t="str">
        <f>IF('1. Live'!BE224='check-Jul25'!BE224,"",'1. Live'!BE224-'check-Jul25'!BE224)</f>
        <v/>
      </c>
      <c r="BF224" t="str">
        <f>IF('1. Live'!BF224='check-Jul25'!BF224,"",'1. Live'!BF224-'check-Jul25'!BF224)</f>
        <v/>
      </c>
      <c r="BG224" t="str">
        <f>IF('1. Live'!BG224='check-Jul25'!BG224,"",'1. Live'!BG224-'check-Jul25'!BG224)</f>
        <v/>
      </c>
      <c r="BH224" t="str">
        <f>IF('1. Live'!BH224='check-Jul25'!BH224,"",'1. Live'!BH224-'check-Jul25'!BH224)</f>
        <v/>
      </c>
      <c r="BI224" t="str">
        <f>IF('1. Live'!BI224='check-Jul25'!BI224,"",'1. Live'!BI224-'check-Jul25'!BI224)</f>
        <v/>
      </c>
      <c r="BJ224" t="str">
        <f>IF('1. Live'!BJ224='check-Jul25'!BJ224,"",'1. Live'!BJ224-'check-Jul25'!BJ224)</f>
        <v/>
      </c>
      <c r="BK224" t="str">
        <f>IF('1. Live'!BK224='check-Jul25'!BK224,"",'1. Live'!BK224-'check-Jul25'!BK224)</f>
        <v/>
      </c>
      <c r="BL224" t="str">
        <f>IF('1. Live'!BL224='check-Jul25'!BL224,"",'1. Live'!BL224-'check-Jul25'!BL224)</f>
        <v/>
      </c>
      <c r="BM224" t="str">
        <f>IF('1. Live'!BM224='check-Jul25'!BM224,"",'1. Live'!BM224-'check-Jul25'!BM224)</f>
        <v/>
      </c>
      <c r="BN224" t="str">
        <f>IF('1. Live'!BN224='check-Jul25'!BN224,"",'1. Live'!BN224-'check-Jul25'!BN224)</f>
        <v/>
      </c>
      <c r="BO224" t="str">
        <f>IF('1. Live'!BO224='check-Jul25'!BO224,"",'1. Live'!BO224-'check-Jul25'!BO224)</f>
        <v/>
      </c>
      <c r="BP224" t="str">
        <f>IF('1. Live'!BP224='check-Jul25'!BP224,"",'1. Live'!BP224-'check-Jul25'!BP224)</f>
        <v/>
      </c>
      <c r="BQ224" t="str">
        <f>IF('1. Live'!BQ224='check-Jul25'!BQ224,"",'1. Live'!BQ224-'check-Jul25'!BQ224)</f>
        <v/>
      </c>
      <c r="BR224" t="str">
        <f>IF('1. Live'!BR224='check-Jul25'!BR224,"",'1. Live'!BR224-'check-Jul25'!BR224)</f>
        <v/>
      </c>
      <c r="BS224" t="str">
        <f>IF('1. Live'!BS224='check-Jul25'!BS224,"",'1. Live'!BS224-'check-Jul25'!BS224)</f>
        <v/>
      </c>
      <c r="BT224" t="str">
        <f>IF('1. Live'!BT224='check-Jul25'!BT224,"",'1. Live'!BT224-'check-Jul25'!BT224)</f>
        <v/>
      </c>
      <c r="BU224" t="str">
        <f>IF('1. Live'!BU224='check-Jul25'!BU224,"",'1. Live'!BU224-'check-Jul25'!BU224)</f>
        <v/>
      </c>
      <c r="BV224" t="str">
        <f>IF('1. Live'!BV224='check-Jul25'!BV224,"",'1. Live'!BV224-'check-Jul25'!BV224)</f>
        <v/>
      </c>
      <c r="BW224" t="str">
        <f>IF('1. Live'!BW224='check-Jul25'!BW224,"",'1. Live'!BW224-'check-Jul25'!BW224)</f>
        <v/>
      </c>
      <c r="BX224" t="str">
        <f>IF('1. Live'!BX224='check-Jul25'!BX224,"",'1. Live'!BX224-'check-Jul25'!BX224)</f>
        <v/>
      </c>
      <c r="BY224" t="str">
        <f>IF('1. Live'!BY224='check-Jul25'!BY224,"",'1. Live'!BY224-'check-Jul25'!BY224)</f>
        <v/>
      </c>
      <c r="BZ224" t="str">
        <f>IF('1. Live'!BZ224='check-Jul25'!BZ224,"",'1. Live'!BZ224-'check-Jul25'!BZ224)</f>
        <v/>
      </c>
      <c r="CA224" t="str">
        <f>IF('1. Live'!CA224='check-Jul25'!CA224,"",'1. Live'!CA224-'check-Jul25'!CA224)</f>
        <v/>
      </c>
      <c r="CB224" t="str">
        <f>IF('1. Live'!CB224='check-Jul25'!CB224,"",'1. Live'!CB224-'check-Jul25'!CB224)</f>
        <v/>
      </c>
      <c r="CC224" t="str">
        <f>IF('1. Live'!CC224='check-Jul25'!CC224,"",'1. Live'!CC224-'check-Jul25'!CC224)</f>
        <v/>
      </c>
      <c r="CD224" t="str">
        <f>IF('1. Live'!CD224='check-Jul25'!CD224,"",'1. Live'!CD224-'check-Jul25'!CD224)</f>
        <v/>
      </c>
      <c r="CE224" t="str">
        <f>IF('1. Live'!CE224='check-Jul25'!CE224,"",'1. Live'!CE224-'check-Jul25'!CE224)</f>
        <v/>
      </c>
      <c r="CF224" t="str">
        <f>IF('1. Live'!CF224='check-Jul25'!CF224,"",'1. Live'!CF224-'check-Jul25'!CF224)</f>
        <v/>
      </c>
      <c r="CG224" t="str">
        <f>IF('1. Live'!CG224='check-Jul25'!CG224,"",'1. Live'!CG224-'check-Jul25'!CG224)</f>
        <v/>
      </c>
      <c r="CH224" t="str">
        <f>IF('1. Live'!CH224='check-Jul25'!CH224,"",'1. Live'!CH224-'check-Jul25'!CH224)</f>
        <v/>
      </c>
      <c r="CI224" t="str">
        <f>IF('1. Live'!CI224='check-Jul25'!CI224,"",'1. Live'!CI224-'check-Jul25'!CI224)</f>
        <v/>
      </c>
      <c r="CJ224" t="str">
        <f>IF('1. Live'!CJ224='check-Jul25'!CJ224,"",'1. Live'!CJ224-'check-Jul25'!CJ224)</f>
        <v/>
      </c>
      <c r="CK224" t="str">
        <f>IF('1. Live'!CK224='check-Jul25'!CK224,"",'1. Live'!CK224-'check-Jul25'!CK224)</f>
        <v/>
      </c>
      <c r="CL224" t="str">
        <f>IF('1. Live'!CL224='check-Jul25'!CL224,"",'1. Live'!CL224-'check-Jul25'!CL224)</f>
        <v/>
      </c>
      <c r="CM224" t="str">
        <f>IF('1. Live'!CM224='check-Jul25'!CM224,"",'1. Live'!CM224-'check-Jul25'!CM224)</f>
        <v/>
      </c>
      <c r="CN224" t="str">
        <f>IF('1. Live'!CN224='check-Jul25'!CN224,"",'1. Live'!CN224-'check-Jul25'!CN224)</f>
        <v/>
      </c>
      <c r="CO224" t="str">
        <f>IF('1. Live'!CO224='check-Jul25'!CO224,"",'1. Live'!CO224-'check-Jul25'!CO224)</f>
        <v/>
      </c>
      <c r="CP224" t="str">
        <f>IF('1. Live'!CP224='check-Jul25'!CP224,"",'1. Live'!CP224-'check-Jul25'!CP224)</f>
        <v/>
      </c>
      <c r="CQ224" t="str">
        <f>IF('1. Live'!CQ224='check-Jul25'!CQ224,"",'1. Live'!CQ224-'check-Jul25'!CQ224)</f>
        <v/>
      </c>
      <c r="CR224" t="str">
        <f>IF('1. Live'!CR224='check-Jul25'!CR224,"",'1. Live'!CR224-'check-Jul25'!CR224)</f>
        <v/>
      </c>
      <c r="CS224" t="str">
        <f>IF('1. Live'!CS224='check-Jul25'!CS224,"",'1. Live'!CS224-'check-Jul25'!CS224)</f>
        <v/>
      </c>
      <c r="CT224" t="str">
        <f>IF('1. Live'!CT224='check-Jul25'!CT224,"",'1. Live'!CT224-'check-Jul25'!CT224)</f>
        <v/>
      </c>
      <c r="CU224" t="str">
        <f>IF('1. Live'!CU224='check-Jul25'!CU224,"",'1. Live'!CU224-'check-Jul25'!CU224)</f>
        <v/>
      </c>
      <c r="CV224" t="str">
        <f>IF('1. Live'!CV224='check-Jul25'!CV224,"",'1. Live'!CV224-'check-Jul25'!CV224)</f>
        <v/>
      </c>
      <c r="CW224" t="str">
        <f>IF('1. Live'!CW224='check-Jul25'!CW224,"",'1. Live'!CW224-'check-Jul25'!CW224)</f>
        <v/>
      </c>
    </row>
    <row r="225" spans="10:101">
      <c r="J225" t="str">
        <f>IF('1. Live'!J225='check-Jul25'!J225,"",'1. Live'!J225-'check-Jul25'!J225)</f>
        <v/>
      </c>
      <c r="K225" t="str">
        <f>IF('1. Live'!K225='check-Jul25'!K225,"",'1. Live'!K225-'check-Jul25'!K225)</f>
        <v/>
      </c>
      <c r="L225" t="str">
        <f>IF('1. Live'!L225='check-Jul25'!L225,"",'1. Live'!L225-'check-Jul25'!L225)</f>
        <v/>
      </c>
      <c r="M225" t="str">
        <f>IF('1. Live'!M225='check-Jul25'!M225,"",'1. Live'!M225-'check-Jul25'!M225)</f>
        <v/>
      </c>
      <c r="N225" t="str">
        <f>IF('1. Live'!N225='check-Jul25'!N225,"",'1. Live'!N225-'check-Jul25'!N225)</f>
        <v/>
      </c>
      <c r="O225" t="str">
        <f>IF('1. Live'!O225='check-Jul25'!O225,"",'1. Live'!O225-'check-Jul25'!O225)</f>
        <v/>
      </c>
      <c r="P225" t="str">
        <f>IF('1. Live'!P225='check-Jul25'!P225,"",'1. Live'!P225-'check-Jul25'!P225)</f>
        <v/>
      </c>
      <c r="Q225" t="str">
        <f>IF('1. Live'!Q225='check-Jul25'!Q225,"",'1. Live'!Q225-'check-Jul25'!Q225)</f>
        <v/>
      </c>
      <c r="R225" t="str">
        <f>IF('1. Live'!R225='check-Jul25'!R225,"",'1. Live'!R225-'check-Jul25'!R225)</f>
        <v/>
      </c>
      <c r="S225" t="str">
        <f>IF('1. Live'!S225='check-Jul25'!S225,"",'1. Live'!S225-'check-Jul25'!S225)</f>
        <v/>
      </c>
      <c r="T225" t="str">
        <f>IF('1. Live'!T225='check-Jul25'!T225,"",'1. Live'!T225-'check-Jul25'!T225)</f>
        <v/>
      </c>
      <c r="U225" t="str">
        <f>IF('1. Live'!U225='check-Jul25'!U225,"",'1. Live'!U225-'check-Jul25'!U225)</f>
        <v/>
      </c>
      <c r="V225" t="str">
        <f>IF('1. Live'!V225='check-Jul25'!V225,"",'1. Live'!V225-'check-Jul25'!V225)</f>
        <v/>
      </c>
      <c r="W225" t="str">
        <f>IF('1. Live'!W225='check-Jul25'!W225,"",'1. Live'!W225-'check-Jul25'!W225)</f>
        <v/>
      </c>
      <c r="X225" t="str">
        <f>IF('1. Live'!X225='check-Jul25'!X225,"",'1. Live'!X225-'check-Jul25'!X225)</f>
        <v/>
      </c>
      <c r="Y225" t="str">
        <f>IF('1. Live'!Y225='check-Jul25'!Y225,"",'1. Live'!Y225-'check-Jul25'!Y225)</f>
        <v/>
      </c>
      <c r="Z225" t="str">
        <f>IF('1. Live'!Z225='check-Jul25'!Z225,"",'1. Live'!Z225-'check-Jul25'!Z225)</f>
        <v/>
      </c>
      <c r="AA225" t="str">
        <f>IF('1. Live'!AA225='check-Jul25'!AA225,"",'1. Live'!AA225-'check-Jul25'!AA225)</f>
        <v/>
      </c>
      <c r="AB225" t="str">
        <f>IF('1. Live'!AB225='check-Jul25'!AB225,"",'1. Live'!AB225-'check-Jul25'!AB225)</f>
        <v/>
      </c>
      <c r="AC225" t="str">
        <f>IF('1. Live'!AC225='check-Jul25'!AC225,"",'1. Live'!AC225-'check-Jul25'!AC225)</f>
        <v/>
      </c>
      <c r="AD225" t="str">
        <f>IF('1. Live'!AD225='check-Jul25'!AD225,"",'1. Live'!AD225-'check-Jul25'!AD225)</f>
        <v/>
      </c>
      <c r="AE225" t="str">
        <f>IF('1. Live'!AE225='check-Jul25'!AE225,"",'1. Live'!AE225-'check-Jul25'!AE225)</f>
        <v/>
      </c>
      <c r="AF225" t="str">
        <f>IF('1. Live'!AF225='check-Jul25'!AF225,"",'1. Live'!AF225-'check-Jul25'!AF225)</f>
        <v/>
      </c>
      <c r="AG225" t="str">
        <f>IF('1. Live'!AG225='check-Jul25'!AG225,"",'1. Live'!AG225-'check-Jul25'!AG225)</f>
        <v/>
      </c>
      <c r="AH225" t="str">
        <f>IF('1. Live'!AH225='check-Jul25'!AH225,"",'1. Live'!AH225-'check-Jul25'!AH225)</f>
        <v/>
      </c>
      <c r="AI225" t="str">
        <f>IF('1. Live'!AI225='check-Jul25'!AI225,"",'1. Live'!AI225-'check-Jul25'!AI225)</f>
        <v/>
      </c>
      <c r="AJ225" t="str">
        <f>IF('1. Live'!AJ225='check-Jul25'!AJ225,"",'1. Live'!AJ225-'check-Jul25'!AJ225)</f>
        <v/>
      </c>
      <c r="AK225" t="str">
        <f>IF('1. Live'!AK225='check-Jul25'!AK225,"",'1. Live'!AK225-'check-Jul25'!AK225)</f>
        <v/>
      </c>
      <c r="AL225" t="str">
        <f>IF('1. Live'!AL225='check-Jul25'!AL225,"",'1. Live'!AL225-'check-Jul25'!AL225)</f>
        <v/>
      </c>
      <c r="AM225" t="str">
        <f>IF('1. Live'!AM225='check-Jul25'!AM225,"",'1. Live'!AM225-'check-Jul25'!AM225)</f>
        <v/>
      </c>
      <c r="AN225" t="str">
        <f>IF('1. Live'!AN225='check-Jul25'!AN225,"",'1. Live'!AN225-'check-Jul25'!AN225)</f>
        <v/>
      </c>
      <c r="AO225" t="str">
        <f>IF('1. Live'!AO225='check-Jul25'!AO225,"",'1. Live'!AO225-'check-Jul25'!AO225)</f>
        <v/>
      </c>
      <c r="AP225" t="str">
        <f>IF('1. Live'!AP225='check-Jul25'!AP225,"",'1. Live'!AP225-'check-Jul25'!AP225)</f>
        <v/>
      </c>
      <c r="AQ225" t="str">
        <f>IF('1. Live'!AQ225='check-Jul25'!AQ225,"",'1. Live'!AQ225-'check-Jul25'!AQ225)</f>
        <v/>
      </c>
      <c r="AR225" t="str">
        <f>IF('1. Live'!AR225='check-Jul25'!AR225,"",'1. Live'!AR225-'check-Jul25'!AR225)</f>
        <v/>
      </c>
      <c r="AS225" t="str">
        <f>IF('1. Live'!AS225='check-Jul25'!AS225,"",'1. Live'!AS225-'check-Jul25'!AS225)</f>
        <v/>
      </c>
      <c r="AT225" t="str">
        <f>IF('1. Live'!AT225='check-Jul25'!AT225,"",'1. Live'!AT225-'check-Jul25'!AT225)</f>
        <v/>
      </c>
      <c r="AU225" t="str">
        <f>IF('1. Live'!AU225='check-Jul25'!AU225,"",'1. Live'!AU225-'check-Jul25'!AU225)</f>
        <v/>
      </c>
      <c r="AV225" t="str">
        <f>IF('1. Live'!AV225='check-Jul25'!AV225,"",'1. Live'!AV225-'check-Jul25'!AV225)</f>
        <v/>
      </c>
      <c r="AW225" t="str">
        <f>IF('1. Live'!AW225='check-Jul25'!AW225,"",'1. Live'!AW225-'check-Jul25'!AW225)</f>
        <v/>
      </c>
      <c r="AX225" t="str">
        <f>IF('1. Live'!AX225='check-Jul25'!AX225,"",'1. Live'!AX225-'check-Jul25'!AX225)</f>
        <v/>
      </c>
      <c r="AY225" t="str">
        <f>IF('1. Live'!AY225='check-Jul25'!AY225,"",'1. Live'!AY225-'check-Jul25'!AY225)</f>
        <v/>
      </c>
      <c r="AZ225" t="str">
        <f>IF('1. Live'!AZ225='check-Jul25'!AZ225,"",'1. Live'!AZ225-'check-Jul25'!AZ225)</f>
        <v/>
      </c>
      <c r="BA225" t="str">
        <f>IF('1. Live'!BA225='check-Jul25'!BA225,"",'1. Live'!BA225-'check-Jul25'!BA225)</f>
        <v/>
      </c>
      <c r="BB225" t="str">
        <f>IF('1. Live'!BB225='check-Jul25'!BB225,"",'1. Live'!BB225-'check-Jul25'!BB225)</f>
        <v/>
      </c>
      <c r="BC225" t="str">
        <f>IF('1. Live'!BC225='check-Jul25'!BC225,"",'1. Live'!BC225-'check-Jul25'!BC225)</f>
        <v/>
      </c>
      <c r="BD225" t="str">
        <f>IF('1. Live'!BD225='check-Jul25'!BD225,"",'1. Live'!BD225-'check-Jul25'!BD225)</f>
        <v/>
      </c>
      <c r="BE225" t="str">
        <f>IF('1. Live'!BE225='check-Jul25'!BE225,"",'1. Live'!BE225-'check-Jul25'!BE225)</f>
        <v/>
      </c>
      <c r="BF225" t="str">
        <f>IF('1. Live'!BF225='check-Jul25'!BF225,"",'1. Live'!BF225-'check-Jul25'!BF225)</f>
        <v/>
      </c>
      <c r="BG225" t="str">
        <f>IF('1. Live'!BG225='check-Jul25'!BG225,"",'1. Live'!BG225-'check-Jul25'!BG225)</f>
        <v/>
      </c>
      <c r="BH225" t="str">
        <f>IF('1. Live'!BH225='check-Jul25'!BH225,"",'1. Live'!BH225-'check-Jul25'!BH225)</f>
        <v/>
      </c>
      <c r="BI225" t="str">
        <f>IF('1. Live'!BI225='check-Jul25'!BI225,"",'1. Live'!BI225-'check-Jul25'!BI225)</f>
        <v/>
      </c>
      <c r="BJ225" t="str">
        <f>IF('1. Live'!BJ225='check-Jul25'!BJ225,"",'1. Live'!BJ225-'check-Jul25'!BJ225)</f>
        <v/>
      </c>
      <c r="BK225" t="str">
        <f>IF('1. Live'!BK225='check-Jul25'!BK225,"",'1. Live'!BK225-'check-Jul25'!BK225)</f>
        <v/>
      </c>
      <c r="BL225" t="str">
        <f>IF('1. Live'!BL225='check-Jul25'!BL225,"",'1. Live'!BL225-'check-Jul25'!BL225)</f>
        <v/>
      </c>
      <c r="BM225" t="str">
        <f>IF('1. Live'!BM225='check-Jul25'!BM225,"",'1. Live'!BM225-'check-Jul25'!BM225)</f>
        <v/>
      </c>
      <c r="BN225" t="str">
        <f>IF('1. Live'!BN225='check-Jul25'!BN225,"",'1. Live'!BN225-'check-Jul25'!BN225)</f>
        <v/>
      </c>
      <c r="BO225" t="str">
        <f>IF('1. Live'!BO225='check-Jul25'!BO225,"",'1. Live'!BO225-'check-Jul25'!BO225)</f>
        <v/>
      </c>
      <c r="BP225" t="str">
        <f>IF('1. Live'!BP225='check-Jul25'!BP225,"",'1. Live'!BP225-'check-Jul25'!BP225)</f>
        <v/>
      </c>
      <c r="BQ225" t="str">
        <f>IF('1. Live'!BQ225='check-Jul25'!BQ225,"",'1. Live'!BQ225-'check-Jul25'!BQ225)</f>
        <v/>
      </c>
      <c r="BR225" t="str">
        <f>IF('1. Live'!BR225='check-Jul25'!BR225,"",'1. Live'!BR225-'check-Jul25'!BR225)</f>
        <v/>
      </c>
      <c r="BS225" t="str">
        <f>IF('1. Live'!BS225='check-Jul25'!BS225,"",'1. Live'!BS225-'check-Jul25'!BS225)</f>
        <v/>
      </c>
      <c r="BT225" t="str">
        <f>IF('1. Live'!BT225='check-Jul25'!BT225,"",'1. Live'!BT225-'check-Jul25'!BT225)</f>
        <v/>
      </c>
      <c r="BU225" t="str">
        <f>IF('1. Live'!BU225='check-Jul25'!BU225,"",'1. Live'!BU225-'check-Jul25'!BU225)</f>
        <v/>
      </c>
      <c r="BV225" t="str">
        <f>IF('1. Live'!BV225='check-Jul25'!BV225,"",'1. Live'!BV225-'check-Jul25'!BV225)</f>
        <v/>
      </c>
      <c r="BW225" t="str">
        <f>IF('1. Live'!BW225='check-Jul25'!BW225,"",'1. Live'!BW225-'check-Jul25'!BW225)</f>
        <v/>
      </c>
      <c r="BX225" t="str">
        <f>IF('1. Live'!BX225='check-Jul25'!BX225,"",'1. Live'!BX225-'check-Jul25'!BX225)</f>
        <v/>
      </c>
      <c r="BY225" t="str">
        <f>IF('1. Live'!BY225='check-Jul25'!BY225,"",'1. Live'!BY225-'check-Jul25'!BY225)</f>
        <v/>
      </c>
      <c r="BZ225" t="str">
        <f>IF('1. Live'!BZ225='check-Jul25'!BZ225,"",'1. Live'!BZ225-'check-Jul25'!BZ225)</f>
        <v/>
      </c>
      <c r="CA225" t="str">
        <f>IF('1. Live'!CA225='check-Jul25'!CA225,"",'1. Live'!CA225-'check-Jul25'!CA225)</f>
        <v/>
      </c>
      <c r="CB225" t="str">
        <f>IF('1. Live'!CB225='check-Jul25'!CB225,"",'1. Live'!CB225-'check-Jul25'!CB225)</f>
        <v/>
      </c>
      <c r="CC225" t="str">
        <f>IF('1. Live'!CC225='check-Jul25'!CC225,"",'1. Live'!CC225-'check-Jul25'!CC225)</f>
        <v/>
      </c>
      <c r="CD225" t="str">
        <f>IF('1. Live'!CD225='check-Jul25'!CD225,"",'1. Live'!CD225-'check-Jul25'!CD225)</f>
        <v/>
      </c>
      <c r="CE225" t="str">
        <f>IF('1. Live'!CE225='check-Jul25'!CE225,"",'1. Live'!CE225-'check-Jul25'!CE225)</f>
        <v/>
      </c>
      <c r="CF225" t="str">
        <f>IF('1. Live'!CF225='check-Jul25'!CF225,"",'1. Live'!CF225-'check-Jul25'!CF225)</f>
        <v/>
      </c>
      <c r="CG225" t="str">
        <f>IF('1. Live'!CG225='check-Jul25'!CG225,"",'1. Live'!CG225-'check-Jul25'!CG225)</f>
        <v/>
      </c>
      <c r="CH225" t="str">
        <f>IF('1. Live'!CH225='check-Jul25'!CH225,"",'1. Live'!CH225-'check-Jul25'!CH225)</f>
        <v/>
      </c>
      <c r="CI225" t="str">
        <f>IF('1. Live'!CI225='check-Jul25'!CI225,"",'1. Live'!CI225-'check-Jul25'!CI225)</f>
        <v/>
      </c>
      <c r="CJ225" t="str">
        <f>IF('1. Live'!CJ225='check-Jul25'!CJ225,"",'1. Live'!CJ225-'check-Jul25'!CJ225)</f>
        <v/>
      </c>
      <c r="CK225" t="str">
        <f>IF('1. Live'!CK225='check-Jul25'!CK225,"",'1. Live'!CK225-'check-Jul25'!CK225)</f>
        <v/>
      </c>
      <c r="CL225" t="str">
        <f>IF('1. Live'!CL225='check-Jul25'!CL225,"",'1. Live'!CL225-'check-Jul25'!CL225)</f>
        <v/>
      </c>
      <c r="CM225" t="str">
        <f>IF('1. Live'!CM225='check-Jul25'!CM225,"",'1. Live'!CM225-'check-Jul25'!CM225)</f>
        <v/>
      </c>
      <c r="CN225" t="str">
        <f>IF('1. Live'!CN225='check-Jul25'!CN225,"",'1. Live'!CN225-'check-Jul25'!CN225)</f>
        <v/>
      </c>
      <c r="CO225" t="str">
        <f>IF('1. Live'!CO225='check-Jul25'!CO225,"",'1. Live'!CO225-'check-Jul25'!CO225)</f>
        <v/>
      </c>
      <c r="CP225" t="str">
        <f>IF('1. Live'!CP225='check-Jul25'!CP225,"",'1. Live'!CP225-'check-Jul25'!CP225)</f>
        <v/>
      </c>
      <c r="CQ225" t="str">
        <f>IF('1. Live'!CQ225='check-Jul25'!CQ225,"",'1. Live'!CQ225-'check-Jul25'!CQ225)</f>
        <v/>
      </c>
      <c r="CR225" t="str">
        <f>IF('1. Live'!CR225='check-Jul25'!CR225,"",'1. Live'!CR225-'check-Jul25'!CR225)</f>
        <v/>
      </c>
      <c r="CS225" t="str">
        <f>IF('1. Live'!CS225='check-Jul25'!CS225,"",'1. Live'!CS225-'check-Jul25'!CS225)</f>
        <v/>
      </c>
      <c r="CT225" t="str">
        <f>IF('1. Live'!CT225='check-Jul25'!CT225,"",'1. Live'!CT225-'check-Jul25'!CT225)</f>
        <v/>
      </c>
      <c r="CU225" t="str">
        <f>IF('1. Live'!CU225='check-Jul25'!CU225,"",'1. Live'!CU225-'check-Jul25'!CU225)</f>
        <v/>
      </c>
      <c r="CV225" t="str">
        <f>IF('1. Live'!CV225='check-Jul25'!CV225,"",'1. Live'!CV225-'check-Jul25'!CV225)</f>
        <v/>
      </c>
      <c r="CW225" t="str">
        <f>IF('1. Live'!CW225='check-Jul25'!CW225,"",'1. Live'!CW225-'check-Jul25'!CW225)</f>
        <v/>
      </c>
    </row>
    <row r="226" spans="10:101">
      <c r="J226" t="str">
        <f>IF('1. Live'!J226='check-Jul25'!J226,"",'1. Live'!J226-'check-Jul25'!J226)</f>
        <v/>
      </c>
      <c r="K226" t="str">
        <f>IF('1. Live'!K226='check-Jul25'!K226,"",'1. Live'!K226-'check-Jul25'!K226)</f>
        <v/>
      </c>
      <c r="L226" t="str">
        <f>IF('1. Live'!L226='check-Jul25'!L226,"",'1. Live'!L226-'check-Jul25'!L226)</f>
        <v/>
      </c>
      <c r="M226" t="str">
        <f>IF('1. Live'!M226='check-Jul25'!M226,"",'1. Live'!M226-'check-Jul25'!M226)</f>
        <v/>
      </c>
      <c r="N226" t="str">
        <f>IF('1. Live'!N226='check-Jul25'!N226,"",'1. Live'!N226-'check-Jul25'!N226)</f>
        <v/>
      </c>
      <c r="O226" t="str">
        <f>IF('1. Live'!O226='check-Jul25'!O226,"",'1. Live'!O226-'check-Jul25'!O226)</f>
        <v/>
      </c>
      <c r="P226" t="str">
        <f>IF('1. Live'!P226='check-Jul25'!P226,"",'1. Live'!P226-'check-Jul25'!P226)</f>
        <v/>
      </c>
      <c r="Q226" t="str">
        <f>IF('1. Live'!Q226='check-Jul25'!Q226,"",'1. Live'!Q226-'check-Jul25'!Q226)</f>
        <v/>
      </c>
      <c r="R226" t="str">
        <f>IF('1. Live'!R226='check-Jul25'!R226,"",'1. Live'!R226-'check-Jul25'!R226)</f>
        <v/>
      </c>
      <c r="S226" t="str">
        <f>IF('1. Live'!S226='check-Jul25'!S226,"",'1. Live'!S226-'check-Jul25'!S226)</f>
        <v/>
      </c>
      <c r="T226" t="str">
        <f>IF('1. Live'!T226='check-Jul25'!T226,"",'1. Live'!T226-'check-Jul25'!T226)</f>
        <v/>
      </c>
      <c r="U226" t="str">
        <f>IF('1. Live'!U226='check-Jul25'!U226,"",'1. Live'!U226-'check-Jul25'!U226)</f>
        <v/>
      </c>
      <c r="V226" t="str">
        <f>IF('1. Live'!V226='check-Jul25'!V226,"",'1. Live'!V226-'check-Jul25'!V226)</f>
        <v/>
      </c>
      <c r="W226" t="str">
        <f>IF('1. Live'!W226='check-Jul25'!W226,"",'1. Live'!W226-'check-Jul25'!W226)</f>
        <v/>
      </c>
      <c r="X226" t="str">
        <f>IF('1. Live'!X226='check-Jul25'!X226,"",'1. Live'!X226-'check-Jul25'!X226)</f>
        <v/>
      </c>
      <c r="Y226" t="str">
        <f>IF('1. Live'!Y226='check-Jul25'!Y226,"",'1. Live'!Y226-'check-Jul25'!Y226)</f>
        <v/>
      </c>
      <c r="Z226" t="str">
        <f>IF('1. Live'!Z226='check-Jul25'!Z226,"",'1. Live'!Z226-'check-Jul25'!Z226)</f>
        <v/>
      </c>
      <c r="AA226" t="str">
        <f>IF('1. Live'!AA226='check-Jul25'!AA226,"",'1. Live'!AA226-'check-Jul25'!AA226)</f>
        <v/>
      </c>
      <c r="AB226" t="str">
        <f>IF('1. Live'!AB226='check-Jul25'!AB226,"",'1. Live'!AB226-'check-Jul25'!AB226)</f>
        <v/>
      </c>
      <c r="AC226" t="str">
        <f>IF('1. Live'!AC226='check-Jul25'!AC226,"",'1. Live'!AC226-'check-Jul25'!AC226)</f>
        <v/>
      </c>
      <c r="AD226" t="str">
        <f>IF('1. Live'!AD226='check-Jul25'!AD226,"",'1. Live'!AD226-'check-Jul25'!AD226)</f>
        <v/>
      </c>
      <c r="AE226" t="str">
        <f>IF('1. Live'!AE226='check-Jul25'!AE226,"",'1. Live'!AE226-'check-Jul25'!AE226)</f>
        <v/>
      </c>
      <c r="AF226" t="str">
        <f>IF('1. Live'!AF226='check-Jul25'!AF226,"",'1. Live'!AF226-'check-Jul25'!AF226)</f>
        <v/>
      </c>
      <c r="AG226" t="str">
        <f>IF('1. Live'!AG226='check-Jul25'!AG226,"",'1. Live'!AG226-'check-Jul25'!AG226)</f>
        <v/>
      </c>
      <c r="AH226" t="str">
        <f>IF('1. Live'!AH226='check-Jul25'!AH226,"",'1. Live'!AH226-'check-Jul25'!AH226)</f>
        <v/>
      </c>
      <c r="AI226" t="str">
        <f>IF('1. Live'!AI226='check-Jul25'!AI226,"",'1. Live'!AI226-'check-Jul25'!AI226)</f>
        <v/>
      </c>
      <c r="AJ226" t="str">
        <f>IF('1. Live'!AJ226='check-Jul25'!AJ226,"",'1. Live'!AJ226-'check-Jul25'!AJ226)</f>
        <v/>
      </c>
      <c r="AK226" t="str">
        <f>IF('1. Live'!AK226='check-Jul25'!AK226,"",'1. Live'!AK226-'check-Jul25'!AK226)</f>
        <v/>
      </c>
      <c r="AL226" t="str">
        <f>IF('1. Live'!AL226='check-Jul25'!AL226,"",'1. Live'!AL226-'check-Jul25'!AL226)</f>
        <v/>
      </c>
      <c r="AM226" t="str">
        <f>IF('1. Live'!AM226='check-Jul25'!AM226,"",'1. Live'!AM226-'check-Jul25'!AM226)</f>
        <v/>
      </c>
      <c r="AN226" t="str">
        <f>IF('1. Live'!AN226='check-Jul25'!AN226,"",'1. Live'!AN226-'check-Jul25'!AN226)</f>
        <v/>
      </c>
      <c r="AO226" t="str">
        <f>IF('1. Live'!AO226='check-Jul25'!AO226,"",'1. Live'!AO226-'check-Jul25'!AO226)</f>
        <v/>
      </c>
      <c r="AP226" t="str">
        <f>IF('1. Live'!AP226='check-Jul25'!AP226,"",'1. Live'!AP226-'check-Jul25'!AP226)</f>
        <v/>
      </c>
      <c r="AQ226" t="str">
        <f>IF('1. Live'!AQ226='check-Jul25'!AQ226,"",'1. Live'!AQ226-'check-Jul25'!AQ226)</f>
        <v/>
      </c>
      <c r="AR226" t="str">
        <f>IF('1. Live'!AR226='check-Jul25'!AR226,"",'1. Live'!AR226-'check-Jul25'!AR226)</f>
        <v/>
      </c>
      <c r="AS226" t="str">
        <f>IF('1. Live'!AS226='check-Jul25'!AS226,"",'1. Live'!AS226-'check-Jul25'!AS226)</f>
        <v/>
      </c>
      <c r="AT226" t="str">
        <f>IF('1. Live'!AT226='check-Jul25'!AT226,"",'1. Live'!AT226-'check-Jul25'!AT226)</f>
        <v/>
      </c>
      <c r="AU226" t="str">
        <f>IF('1. Live'!AU226='check-Jul25'!AU226,"",'1. Live'!AU226-'check-Jul25'!AU226)</f>
        <v/>
      </c>
      <c r="AV226" t="str">
        <f>IF('1. Live'!AV226='check-Jul25'!AV226,"",'1. Live'!AV226-'check-Jul25'!AV226)</f>
        <v/>
      </c>
      <c r="AW226" t="str">
        <f>IF('1. Live'!AW226='check-Jul25'!AW226,"",'1. Live'!AW226-'check-Jul25'!AW226)</f>
        <v/>
      </c>
      <c r="AX226" t="str">
        <f>IF('1. Live'!AX226='check-Jul25'!AX226,"",'1. Live'!AX226-'check-Jul25'!AX226)</f>
        <v/>
      </c>
      <c r="AY226" t="str">
        <f>IF('1. Live'!AY226='check-Jul25'!AY226,"",'1. Live'!AY226-'check-Jul25'!AY226)</f>
        <v/>
      </c>
      <c r="AZ226" t="str">
        <f>IF('1. Live'!AZ226='check-Jul25'!AZ226,"",'1. Live'!AZ226-'check-Jul25'!AZ226)</f>
        <v/>
      </c>
      <c r="BA226" t="str">
        <f>IF('1. Live'!BA226='check-Jul25'!BA226,"",'1. Live'!BA226-'check-Jul25'!BA226)</f>
        <v/>
      </c>
      <c r="BB226" t="str">
        <f>IF('1. Live'!BB226='check-Jul25'!BB226,"",'1. Live'!BB226-'check-Jul25'!BB226)</f>
        <v/>
      </c>
      <c r="BC226" t="str">
        <f>IF('1. Live'!BC226='check-Jul25'!BC226,"",'1. Live'!BC226-'check-Jul25'!BC226)</f>
        <v/>
      </c>
      <c r="BD226" t="str">
        <f>IF('1. Live'!BD226='check-Jul25'!BD226,"",'1. Live'!BD226-'check-Jul25'!BD226)</f>
        <v/>
      </c>
      <c r="BE226" t="str">
        <f>IF('1. Live'!BE226='check-Jul25'!BE226,"",'1. Live'!BE226-'check-Jul25'!BE226)</f>
        <v/>
      </c>
      <c r="BF226" t="str">
        <f>IF('1. Live'!BF226='check-Jul25'!BF226,"",'1. Live'!BF226-'check-Jul25'!BF226)</f>
        <v/>
      </c>
      <c r="BG226" t="str">
        <f>IF('1. Live'!BG226='check-Jul25'!BG226,"",'1. Live'!BG226-'check-Jul25'!BG226)</f>
        <v/>
      </c>
      <c r="BH226" t="str">
        <f>IF('1. Live'!BH226='check-Jul25'!BH226,"",'1. Live'!BH226-'check-Jul25'!BH226)</f>
        <v/>
      </c>
      <c r="BI226" t="str">
        <f>IF('1. Live'!BI226='check-Jul25'!BI226,"",'1. Live'!BI226-'check-Jul25'!BI226)</f>
        <v/>
      </c>
      <c r="BJ226" t="str">
        <f>IF('1. Live'!BJ226='check-Jul25'!BJ226,"",'1. Live'!BJ226-'check-Jul25'!BJ226)</f>
        <v/>
      </c>
      <c r="BK226" t="str">
        <f>IF('1. Live'!BK226='check-Jul25'!BK226,"",'1. Live'!BK226-'check-Jul25'!BK226)</f>
        <v/>
      </c>
      <c r="BL226" t="str">
        <f>IF('1. Live'!BL226='check-Jul25'!BL226,"",'1. Live'!BL226-'check-Jul25'!BL226)</f>
        <v/>
      </c>
      <c r="BM226" t="str">
        <f>IF('1. Live'!BM226='check-Jul25'!BM226,"",'1. Live'!BM226-'check-Jul25'!BM226)</f>
        <v/>
      </c>
      <c r="BN226" t="str">
        <f>IF('1. Live'!BN226='check-Jul25'!BN226,"",'1. Live'!BN226-'check-Jul25'!BN226)</f>
        <v/>
      </c>
      <c r="BO226" t="str">
        <f>IF('1. Live'!BO226='check-Jul25'!BO226,"",'1. Live'!BO226-'check-Jul25'!BO226)</f>
        <v/>
      </c>
      <c r="BP226" t="str">
        <f>IF('1. Live'!BP226='check-Jul25'!BP226,"",'1. Live'!BP226-'check-Jul25'!BP226)</f>
        <v/>
      </c>
      <c r="BQ226" t="str">
        <f>IF('1. Live'!BQ226='check-Jul25'!BQ226,"",'1. Live'!BQ226-'check-Jul25'!BQ226)</f>
        <v/>
      </c>
      <c r="BR226" t="str">
        <f>IF('1. Live'!BR226='check-Jul25'!BR226,"",'1. Live'!BR226-'check-Jul25'!BR226)</f>
        <v/>
      </c>
      <c r="BS226" t="str">
        <f>IF('1. Live'!BS226='check-Jul25'!BS226,"",'1. Live'!BS226-'check-Jul25'!BS226)</f>
        <v/>
      </c>
      <c r="BT226" t="str">
        <f>IF('1. Live'!BT226='check-Jul25'!BT226,"",'1. Live'!BT226-'check-Jul25'!BT226)</f>
        <v/>
      </c>
      <c r="BU226" t="str">
        <f>IF('1. Live'!BU226='check-Jul25'!BU226,"",'1. Live'!BU226-'check-Jul25'!BU226)</f>
        <v/>
      </c>
      <c r="BV226" t="str">
        <f>IF('1. Live'!BV226='check-Jul25'!BV226,"",'1. Live'!BV226-'check-Jul25'!BV226)</f>
        <v/>
      </c>
      <c r="BW226" t="str">
        <f>IF('1. Live'!BW226='check-Jul25'!BW226,"",'1. Live'!BW226-'check-Jul25'!BW226)</f>
        <v/>
      </c>
      <c r="BX226" t="str">
        <f>IF('1. Live'!BX226='check-Jul25'!BX226,"",'1. Live'!BX226-'check-Jul25'!BX226)</f>
        <v/>
      </c>
      <c r="BY226" t="str">
        <f>IF('1. Live'!BY226='check-Jul25'!BY226,"",'1. Live'!BY226-'check-Jul25'!BY226)</f>
        <v/>
      </c>
      <c r="BZ226" t="str">
        <f>IF('1. Live'!BZ226='check-Jul25'!BZ226,"",'1. Live'!BZ226-'check-Jul25'!BZ226)</f>
        <v/>
      </c>
      <c r="CA226" t="str">
        <f>IF('1. Live'!CA226='check-Jul25'!CA226,"",'1. Live'!CA226-'check-Jul25'!CA226)</f>
        <v/>
      </c>
      <c r="CB226" t="str">
        <f>IF('1. Live'!CB226='check-Jul25'!CB226,"",'1. Live'!CB226-'check-Jul25'!CB226)</f>
        <v/>
      </c>
      <c r="CC226" t="str">
        <f>IF('1. Live'!CC226='check-Jul25'!CC226,"",'1. Live'!CC226-'check-Jul25'!CC226)</f>
        <v/>
      </c>
      <c r="CD226" t="str">
        <f>IF('1. Live'!CD226='check-Jul25'!CD226,"",'1. Live'!CD226-'check-Jul25'!CD226)</f>
        <v/>
      </c>
      <c r="CE226" t="str">
        <f>IF('1. Live'!CE226='check-Jul25'!CE226,"",'1. Live'!CE226-'check-Jul25'!CE226)</f>
        <v/>
      </c>
      <c r="CF226" t="str">
        <f>IF('1. Live'!CF226='check-Jul25'!CF226,"",'1. Live'!CF226-'check-Jul25'!CF226)</f>
        <v/>
      </c>
      <c r="CG226" t="str">
        <f>IF('1. Live'!CG226='check-Jul25'!CG226,"",'1. Live'!CG226-'check-Jul25'!CG226)</f>
        <v/>
      </c>
      <c r="CH226" t="str">
        <f>IF('1. Live'!CH226='check-Jul25'!CH226,"",'1. Live'!CH226-'check-Jul25'!CH226)</f>
        <v/>
      </c>
      <c r="CI226" t="str">
        <f>IF('1. Live'!CI226='check-Jul25'!CI226,"",'1. Live'!CI226-'check-Jul25'!CI226)</f>
        <v/>
      </c>
      <c r="CJ226" t="str">
        <f>IF('1. Live'!CJ226='check-Jul25'!CJ226,"",'1. Live'!CJ226-'check-Jul25'!CJ226)</f>
        <v/>
      </c>
      <c r="CK226" t="str">
        <f>IF('1. Live'!CK226='check-Jul25'!CK226,"",'1. Live'!CK226-'check-Jul25'!CK226)</f>
        <v/>
      </c>
      <c r="CL226" t="str">
        <f>IF('1. Live'!CL226='check-Jul25'!CL226,"",'1. Live'!CL226-'check-Jul25'!CL226)</f>
        <v/>
      </c>
      <c r="CM226" t="str">
        <f>IF('1. Live'!CM226='check-Jul25'!CM226,"",'1. Live'!CM226-'check-Jul25'!CM226)</f>
        <v/>
      </c>
      <c r="CN226" t="str">
        <f>IF('1. Live'!CN226='check-Jul25'!CN226,"",'1. Live'!CN226-'check-Jul25'!CN226)</f>
        <v/>
      </c>
      <c r="CO226" t="str">
        <f>IF('1. Live'!CO226='check-Jul25'!CO226,"",'1. Live'!CO226-'check-Jul25'!CO226)</f>
        <v/>
      </c>
      <c r="CP226" t="str">
        <f>IF('1. Live'!CP226='check-Jul25'!CP226,"",'1. Live'!CP226-'check-Jul25'!CP226)</f>
        <v/>
      </c>
      <c r="CQ226" t="str">
        <f>IF('1. Live'!CQ226='check-Jul25'!CQ226,"",'1. Live'!CQ226-'check-Jul25'!CQ226)</f>
        <v/>
      </c>
      <c r="CR226" t="str">
        <f>IF('1. Live'!CR226='check-Jul25'!CR226,"",'1. Live'!CR226-'check-Jul25'!CR226)</f>
        <v/>
      </c>
      <c r="CS226" t="str">
        <f>IF('1. Live'!CS226='check-Jul25'!CS226,"",'1. Live'!CS226-'check-Jul25'!CS226)</f>
        <v/>
      </c>
      <c r="CT226" t="str">
        <f>IF('1. Live'!CT226='check-Jul25'!CT226,"",'1. Live'!CT226-'check-Jul25'!CT226)</f>
        <v/>
      </c>
      <c r="CU226" t="str">
        <f>IF('1. Live'!CU226='check-Jul25'!CU226,"",'1. Live'!CU226-'check-Jul25'!CU226)</f>
        <v/>
      </c>
      <c r="CV226" t="str">
        <f>IF('1. Live'!CV226='check-Jul25'!CV226,"",'1. Live'!CV226-'check-Jul25'!CV226)</f>
        <v/>
      </c>
      <c r="CW226" t="str">
        <f>IF('1. Live'!CW226='check-Jul25'!CW226,"",'1. Live'!CW226-'check-Jul25'!CW226)</f>
        <v/>
      </c>
    </row>
    <row r="227" spans="10:101">
      <c r="J227" t="str">
        <f>IF('1. Live'!J227='check-Jul25'!J227,"",'1. Live'!J227-'check-Jul25'!J227)</f>
        <v/>
      </c>
      <c r="K227" t="str">
        <f>IF('1. Live'!K227='check-Jul25'!K227,"",'1. Live'!K227-'check-Jul25'!K227)</f>
        <v/>
      </c>
      <c r="L227" t="str">
        <f>IF('1. Live'!L227='check-Jul25'!L227,"",'1. Live'!L227-'check-Jul25'!L227)</f>
        <v/>
      </c>
      <c r="M227" t="str">
        <f>IF('1. Live'!M227='check-Jul25'!M227,"",'1. Live'!M227-'check-Jul25'!M227)</f>
        <v/>
      </c>
      <c r="N227" t="str">
        <f>IF('1. Live'!N227='check-Jul25'!N227,"",'1. Live'!N227-'check-Jul25'!N227)</f>
        <v/>
      </c>
      <c r="O227" t="str">
        <f>IF('1. Live'!O227='check-Jul25'!O227,"",'1. Live'!O227-'check-Jul25'!O227)</f>
        <v/>
      </c>
      <c r="P227" t="str">
        <f>IF('1. Live'!P227='check-Jul25'!P227,"",'1. Live'!P227-'check-Jul25'!P227)</f>
        <v/>
      </c>
      <c r="Q227" t="str">
        <f>IF('1. Live'!Q227='check-Jul25'!Q227,"",'1. Live'!Q227-'check-Jul25'!Q227)</f>
        <v/>
      </c>
      <c r="R227" t="str">
        <f>IF('1. Live'!R227='check-Jul25'!R227,"",'1. Live'!R227-'check-Jul25'!R227)</f>
        <v/>
      </c>
      <c r="S227" t="str">
        <f>IF('1. Live'!S227='check-Jul25'!S227,"",'1. Live'!S227-'check-Jul25'!S227)</f>
        <v/>
      </c>
      <c r="T227" t="str">
        <f>IF('1. Live'!T227='check-Jul25'!T227,"",'1. Live'!T227-'check-Jul25'!T227)</f>
        <v/>
      </c>
      <c r="U227" t="str">
        <f>IF('1. Live'!U227='check-Jul25'!U227,"",'1. Live'!U227-'check-Jul25'!U227)</f>
        <v/>
      </c>
      <c r="V227" t="str">
        <f>IF('1. Live'!V227='check-Jul25'!V227,"",'1. Live'!V227-'check-Jul25'!V227)</f>
        <v/>
      </c>
      <c r="W227" t="str">
        <f>IF('1. Live'!W227='check-Jul25'!W227,"",'1. Live'!W227-'check-Jul25'!W227)</f>
        <v/>
      </c>
      <c r="X227" t="str">
        <f>IF('1. Live'!X227='check-Jul25'!X227,"",'1. Live'!X227-'check-Jul25'!X227)</f>
        <v/>
      </c>
      <c r="Y227" t="str">
        <f>IF('1. Live'!Y227='check-Jul25'!Y227,"",'1. Live'!Y227-'check-Jul25'!Y227)</f>
        <v/>
      </c>
      <c r="Z227" t="str">
        <f>IF('1. Live'!Z227='check-Jul25'!Z227,"",'1. Live'!Z227-'check-Jul25'!Z227)</f>
        <v/>
      </c>
      <c r="AA227" t="str">
        <f>IF('1. Live'!AA227='check-Jul25'!AA227,"",'1. Live'!AA227-'check-Jul25'!AA227)</f>
        <v/>
      </c>
      <c r="AB227" t="str">
        <f>IF('1. Live'!AB227='check-Jul25'!AB227,"",'1. Live'!AB227-'check-Jul25'!AB227)</f>
        <v/>
      </c>
      <c r="AC227" t="str">
        <f>IF('1. Live'!AC227='check-Jul25'!AC227,"",'1. Live'!AC227-'check-Jul25'!AC227)</f>
        <v/>
      </c>
      <c r="AD227" t="str">
        <f>IF('1. Live'!AD227='check-Jul25'!AD227,"",'1. Live'!AD227-'check-Jul25'!AD227)</f>
        <v/>
      </c>
      <c r="AE227" t="str">
        <f>IF('1. Live'!AE227='check-Jul25'!AE227,"",'1. Live'!AE227-'check-Jul25'!AE227)</f>
        <v/>
      </c>
      <c r="AF227" t="str">
        <f>IF('1. Live'!AF227='check-Jul25'!AF227,"",'1. Live'!AF227-'check-Jul25'!AF227)</f>
        <v/>
      </c>
      <c r="AG227" t="str">
        <f>IF('1. Live'!AG227='check-Jul25'!AG227,"",'1. Live'!AG227-'check-Jul25'!AG227)</f>
        <v/>
      </c>
      <c r="AH227" t="str">
        <f>IF('1. Live'!AH227='check-Jul25'!AH227,"",'1. Live'!AH227-'check-Jul25'!AH227)</f>
        <v/>
      </c>
      <c r="AI227" t="str">
        <f>IF('1. Live'!AI227='check-Jul25'!AI227,"",'1. Live'!AI227-'check-Jul25'!AI227)</f>
        <v/>
      </c>
      <c r="AJ227" t="str">
        <f>IF('1. Live'!AJ227='check-Jul25'!AJ227,"",'1. Live'!AJ227-'check-Jul25'!AJ227)</f>
        <v/>
      </c>
      <c r="AK227" t="str">
        <f>IF('1. Live'!AK227='check-Jul25'!AK227,"",'1. Live'!AK227-'check-Jul25'!AK227)</f>
        <v/>
      </c>
      <c r="AL227" t="str">
        <f>IF('1. Live'!AL227='check-Jul25'!AL227,"",'1. Live'!AL227-'check-Jul25'!AL227)</f>
        <v/>
      </c>
      <c r="AM227" t="str">
        <f>IF('1. Live'!AM227='check-Jul25'!AM227,"",'1. Live'!AM227-'check-Jul25'!AM227)</f>
        <v/>
      </c>
      <c r="AN227" t="str">
        <f>IF('1. Live'!AN227='check-Jul25'!AN227,"",'1. Live'!AN227-'check-Jul25'!AN227)</f>
        <v/>
      </c>
      <c r="AO227" t="str">
        <f>IF('1. Live'!AO227='check-Jul25'!AO227,"",'1. Live'!AO227-'check-Jul25'!AO227)</f>
        <v/>
      </c>
      <c r="AP227" t="str">
        <f>IF('1. Live'!AP227='check-Jul25'!AP227,"",'1. Live'!AP227-'check-Jul25'!AP227)</f>
        <v/>
      </c>
      <c r="AQ227" t="str">
        <f>IF('1. Live'!AQ227='check-Jul25'!AQ227,"",'1. Live'!AQ227-'check-Jul25'!AQ227)</f>
        <v/>
      </c>
      <c r="AR227" t="str">
        <f>IF('1. Live'!AR227='check-Jul25'!AR227,"",'1. Live'!AR227-'check-Jul25'!AR227)</f>
        <v/>
      </c>
      <c r="AS227" t="str">
        <f>IF('1. Live'!AS227='check-Jul25'!AS227,"",'1. Live'!AS227-'check-Jul25'!AS227)</f>
        <v/>
      </c>
      <c r="AT227" t="str">
        <f>IF('1. Live'!AT227='check-Jul25'!AT227,"",'1. Live'!AT227-'check-Jul25'!AT227)</f>
        <v/>
      </c>
      <c r="AU227" t="str">
        <f>IF('1. Live'!AU227='check-Jul25'!AU227,"",'1. Live'!AU227-'check-Jul25'!AU227)</f>
        <v/>
      </c>
      <c r="AV227" t="str">
        <f>IF('1. Live'!AV227='check-Jul25'!AV227,"",'1. Live'!AV227-'check-Jul25'!AV227)</f>
        <v/>
      </c>
      <c r="AW227" t="str">
        <f>IF('1. Live'!AW227='check-Jul25'!AW227,"",'1. Live'!AW227-'check-Jul25'!AW227)</f>
        <v/>
      </c>
      <c r="AX227" t="str">
        <f>IF('1. Live'!AX227='check-Jul25'!AX227,"",'1. Live'!AX227-'check-Jul25'!AX227)</f>
        <v/>
      </c>
      <c r="AY227" t="str">
        <f>IF('1. Live'!AY227='check-Jul25'!AY227,"",'1. Live'!AY227-'check-Jul25'!AY227)</f>
        <v/>
      </c>
      <c r="AZ227" t="str">
        <f>IF('1. Live'!AZ227='check-Jul25'!AZ227,"",'1. Live'!AZ227-'check-Jul25'!AZ227)</f>
        <v/>
      </c>
      <c r="BA227" t="str">
        <f>IF('1. Live'!BA227='check-Jul25'!BA227,"",'1. Live'!BA227-'check-Jul25'!BA227)</f>
        <v/>
      </c>
      <c r="BB227" t="str">
        <f>IF('1. Live'!BB227='check-Jul25'!BB227,"",'1. Live'!BB227-'check-Jul25'!BB227)</f>
        <v/>
      </c>
      <c r="BC227" t="str">
        <f>IF('1. Live'!BC227='check-Jul25'!BC227,"",'1. Live'!BC227-'check-Jul25'!BC227)</f>
        <v/>
      </c>
      <c r="BD227" t="str">
        <f>IF('1. Live'!BD227='check-Jul25'!BD227,"",'1. Live'!BD227-'check-Jul25'!BD227)</f>
        <v/>
      </c>
      <c r="BE227" t="str">
        <f>IF('1. Live'!BE227='check-Jul25'!BE227,"",'1. Live'!BE227-'check-Jul25'!BE227)</f>
        <v/>
      </c>
      <c r="BF227" t="str">
        <f>IF('1. Live'!BF227='check-Jul25'!BF227,"",'1. Live'!BF227-'check-Jul25'!BF227)</f>
        <v/>
      </c>
      <c r="BG227" t="str">
        <f>IF('1. Live'!BG227='check-Jul25'!BG227,"",'1. Live'!BG227-'check-Jul25'!BG227)</f>
        <v/>
      </c>
      <c r="BH227" t="str">
        <f>IF('1. Live'!BH227='check-Jul25'!BH227,"",'1. Live'!BH227-'check-Jul25'!BH227)</f>
        <v/>
      </c>
      <c r="BI227" t="str">
        <f>IF('1. Live'!BI227='check-Jul25'!BI227,"",'1. Live'!BI227-'check-Jul25'!BI227)</f>
        <v/>
      </c>
      <c r="BJ227" t="str">
        <f>IF('1. Live'!BJ227='check-Jul25'!BJ227,"",'1. Live'!BJ227-'check-Jul25'!BJ227)</f>
        <v/>
      </c>
      <c r="BK227" t="str">
        <f>IF('1. Live'!BK227='check-Jul25'!BK227,"",'1. Live'!BK227-'check-Jul25'!BK227)</f>
        <v/>
      </c>
      <c r="BL227" t="str">
        <f>IF('1. Live'!BL227='check-Jul25'!BL227,"",'1. Live'!BL227-'check-Jul25'!BL227)</f>
        <v/>
      </c>
      <c r="BM227" t="str">
        <f>IF('1. Live'!BM227='check-Jul25'!BM227,"",'1. Live'!BM227-'check-Jul25'!BM227)</f>
        <v/>
      </c>
      <c r="BN227" t="str">
        <f>IF('1. Live'!BN227='check-Jul25'!BN227,"",'1. Live'!BN227-'check-Jul25'!BN227)</f>
        <v/>
      </c>
      <c r="BO227" t="str">
        <f>IF('1. Live'!BO227='check-Jul25'!BO227,"",'1. Live'!BO227-'check-Jul25'!BO227)</f>
        <v/>
      </c>
      <c r="BP227" t="str">
        <f>IF('1. Live'!BP227='check-Jul25'!BP227,"",'1. Live'!BP227-'check-Jul25'!BP227)</f>
        <v/>
      </c>
      <c r="BQ227" t="str">
        <f>IF('1. Live'!BQ227='check-Jul25'!BQ227,"",'1. Live'!BQ227-'check-Jul25'!BQ227)</f>
        <v/>
      </c>
      <c r="BR227" t="str">
        <f>IF('1. Live'!BR227='check-Jul25'!BR227,"",'1. Live'!BR227-'check-Jul25'!BR227)</f>
        <v/>
      </c>
      <c r="BS227" t="str">
        <f>IF('1. Live'!BS227='check-Jul25'!BS227,"",'1. Live'!BS227-'check-Jul25'!BS227)</f>
        <v/>
      </c>
      <c r="BT227" t="str">
        <f>IF('1. Live'!BT227='check-Jul25'!BT227,"",'1. Live'!BT227-'check-Jul25'!BT227)</f>
        <v/>
      </c>
      <c r="BU227" t="str">
        <f>IF('1. Live'!BU227='check-Jul25'!BU227,"",'1. Live'!BU227-'check-Jul25'!BU227)</f>
        <v/>
      </c>
      <c r="BV227" t="str">
        <f>IF('1. Live'!BV227='check-Jul25'!BV227,"",'1. Live'!BV227-'check-Jul25'!BV227)</f>
        <v/>
      </c>
      <c r="BW227" t="str">
        <f>IF('1. Live'!BW227='check-Jul25'!BW227,"",'1. Live'!BW227-'check-Jul25'!BW227)</f>
        <v/>
      </c>
      <c r="BX227" t="str">
        <f>IF('1. Live'!BX227='check-Jul25'!BX227,"",'1. Live'!BX227-'check-Jul25'!BX227)</f>
        <v/>
      </c>
      <c r="BY227" t="str">
        <f>IF('1. Live'!BY227='check-Jul25'!BY227,"",'1. Live'!BY227-'check-Jul25'!BY227)</f>
        <v/>
      </c>
      <c r="BZ227" t="str">
        <f>IF('1. Live'!BZ227='check-Jul25'!BZ227,"",'1. Live'!BZ227-'check-Jul25'!BZ227)</f>
        <v/>
      </c>
      <c r="CA227" t="str">
        <f>IF('1. Live'!CA227='check-Jul25'!CA227,"",'1. Live'!CA227-'check-Jul25'!CA227)</f>
        <v/>
      </c>
      <c r="CB227" t="str">
        <f>IF('1. Live'!CB227='check-Jul25'!CB227,"",'1. Live'!CB227-'check-Jul25'!CB227)</f>
        <v/>
      </c>
      <c r="CC227" t="str">
        <f>IF('1. Live'!CC227='check-Jul25'!CC227,"",'1. Live'!CC227-'check-Jul25'!CC227)</f>
        <v/>
      </c>
      <c r="CD227" t="str">
        <f>IF('1. Live'!CD227='check-Jul25'!CD227,"",'1. Live'!CD227-'check-Jul25'!CD227)</f>
        <v/>
      </c>
      <c r="CE227" t="str">
        <f>IF('1. Live'!CE227='check-Jul25'!CE227,"",'1. Live'!CE227-'check-Jul25'!CE227)</f>
        <v/>
      </c>
      <c r="CF227" t="str">
        <f>IF('1. Live'!CF227='check-Jul25'!CF227,"",'1. Live'!CF227-'check-Jul25'!CF227)</f>
        <v/>
      </c>
      <c r="CG227" t="str">
        <f>IF('1. Live'!CG227='check-Jul25'!CG227,"",'1. Live'!CG227-'check-Jul25'!CG227)</f>
        <v/>
      </c>
      <c r="CH227" t="str">
        <f>IF('1. Live'!CH227='check-Jul25'!CH227,"",'1. Live'!CH227-'check-Jul25'!CH227)</f>
        <v/>
      </c>
      <c r="CI227" t="str">
        <f>IF('1. Live'!CI227='check-Jul25'!CI227,"",'1. Live'!CI227-'check-Jul25'!CI227)</f>
        <v/>
      </c>
      <c r="CJ227" t="str">
        <f>IF('1. Live'!CJ227='check-Jul25'!CJ227,"",'1. Live'!CJ227-'check-Jul25'!CJ227)</f>
        <v/>
      </c>
      <c r="CK227" t="str">
        <f>IF('1. Live'!CK227='check-Jul25'!CK227,"",'1. Live'!CK227-'check-Jul25'!CK227)</f>
        <v/>
      </c>
      <c r="CL227" t="str">
        <f>IF('1. Live'!CL227='check-Jul25'!CL227,"",'1. Live'!CL227-'check-Jul25'!CL227)</f>
        <v/>
      </c>
      <c r="CM227" t="str">
        <f>IF('1. Live'!CM227='check-Jul25'!CM227,"",'1. Live'!CM227-'check-Jul25'!CM227)</f>
        <v/>
      </c>
      <c r="CN227" t="str">
        <f>IF('1. Live'!CN227='check-Jul25'!CN227,"",'1. Live'!CN227-'check-Jul25'!CN227)</f>
        <v/>
      </c>
      <c r="CO227" t="str">
        <f>IF('1. Live'!CO227='check-Jul25'!CO227,"",'1. Live'!CO227-'check-Jul25'!CO227)</f>
        <v/>
      </c>
      <c r="CP227" t="str">
        <f>IF('1. Live'!CP227='check-Jul25'!CP227,"",'1. Live'!CP227-'check-Jul25'!CP227)</f>
        <v/>
      </c>
      <c r="CQ227" t="str">
        <f>IF('1. Live'!CQ227='check-Jul25'!CQ227,"",'1. Live'!CQ227-'check-Jul25'!CQ227)</f>
        <v/>
      </c>
      <c r="CR227" t="str">
        <f>IF('1. Live'!CR227='check-Jul25'!CR227,"",'1. Live'!CR227-'check-Jul25'!CR227)</f>
        <v/>
      </c>
      <c r="CS227" t="str">
        <f>IF('1. Live'!CS227='check-Jul25'!CS227,"",'1. Live'!CS227-'check-Jul25'!CS227)</f>
        <v/>
      </c>
      <c r="CT227" t="str">
        <f>IF('1. Live'!CT227='check-Jul25'!CT227,"",'1. Live'!CT227-'check-Jul25'!CT227)</f>
        <v/>
      </c>
      <c r="CU227" t="str">
        <f>IF('1. Live'!CU227='check-Jul25'!CU227,"",'1. Live'!CU227-'check-Jul25'!CU227)</f>
        <v/>
      </c>
      <c r="CV227" t="str">
        <f>IF('1. Live'!CV227='check-Jul25'!CV227,"",'1. Live'!CV227-'check-Jul25'!CV227)</f>
        <v/>
      </c>
      <c r="CW227" t="str">
        <f>IF('1. Live'!CW227='check-Jul25'!CW227,"",'1. Live'!CW227-'check-Jul25'!CW227)</f>
        <v/>
      </c>
    </row>
    <row r="228" spans="10:101">
      <c r="J228" t="str">
        <f>IF('1. Live'!J228='check-Jul25'!J228,"",'1. Live'!J228-'check-Jul25'!J228)</f>
        <v/>
      </c>
      <c r="K228" t="str">
        <f>IF('1. Live'!K228='check-Jul25'!K228,"",'1. Live'!K228-'check-Jul25'!K228)</f>
        <v/>
      </c>
      <c r="L228" t="str">
        <f>IF('1. Live'!L228='check-Jul25'!L228,"",'1. Live'!L228-'check-Jul25'!L228)</f>
        <v/>
      </c>
      <c r="M228" t="str">
        <f>IF('1. Live'!M228='check-Jul25'!M228,"",'1. Live'!M228-'check-Jul25'!M228)</f>
        <v/>
      </c>
      <c r="N228" t="str">
        <f>IF('1. Live'!N228='check-Jul25'!N228,"",'1. Live'!N228-'check-Jul25'!N228)</f>
        <v/>
      </c>
      <c r="O228" t="str">
        <f>IF('1. Live'!O228='check-Jul25'!O228,"",'1. Live'!O228-'check-Jul25'!O228)</f>
        <v/>
      </c>
      <c r="P228" t="str">
        <f>IF('1. Live'!P228='check-Jul25'!P228,"",'1. Live'!P228-'check-Jul25'!P228)</f>
        <v/>
      </c>
      <c r="Q228" t="str">
        <f>IF('1. Live'!Q228='check-Jul25'!Q228,"",'1. Live'!Q228-'check-Jul25'!Q228)</f>
        <v/>
      </c>
      <c r="R228" t="str">
        <f>IF('1. Live'!R228='check-Jul25'!R228,"",'1. Live'!R228-'check-Jul25'!R228)</f>
        <v/>
      </c>
      <c r="S228" t="str">
        <f>IF('1. Live'!S228='check-Jul25'!S228,"",'1. Live'!S228-'check-Jul25'!S228)</f>
        <v/>
      </c>
      <c r="T228" t="str">
        <f>IF('1. Live'!T228='check-Jul25'!T228,"",'1. Live'!T228-'check-Jul25'!T228)</f>
        <v/>
      </c>
      <c r="U228" t="str">
        <f>IF('1. Live'!U228='check-Jul25'!U228,"",'1. Live'!U228-'check-Jul25'!U228)</f>
        <v/>
      </c>
      <c r="V228" t="str">
        <f>IF('1. Live'!V228='check-Jul25'!V228,"",'1. Live'!V228-'check-Jul25'!V228)</f>
        <v/>
      </c>
      <c r="W228" t="str">
        <f>IF('1. Live'!W228='check-Jul25'!W228,"",'1. Live'!W228-'check-Jul25'!W228)</f>
        <v/>
      </c>
      <c r="X228" t="str">
        <f>IF('1. Live'!X228='check-Jul25'!X228,"",'1. Live'!X228-'check-Jul25'!X228)</f>
        <v/>
      </c>
      <c r="Y228" t="str">
        <f>IF('1. Live'!Y228='check-Jul25'!Y228,"",'1. Live'!Y228-'check-Jul25'!Y228)</f>
        <v/>
      </c>
      <c r="Z228" t="str">
        <f>IF('1. Live'!Z228='check-Jul25'!Z228,"",'1. Live'!Z228-'check-Jul25'!Z228)</f>
        <v/>
      </c>
      <c r="AA228" t="str">
        <f>IF('1. Live'!AA228='check-Jul25'!AA228,"",'1. Live'!AA228-'check-Jul25'!AA228)</f>
        <v/>
      </c>
      <c r="AB228" t="str">
        <f>IF('1. Live'!AB228='check-Jul25'!AB228,"",'1. Live'!AB228-'check-Jul25'!AB228)</f>
        <v/>
      </c>
      <c r="AC228" t="str">
        <f>IF('1. Live'!AC228='check-Jul25'!AC228,"",'1. Live'!AC228-'check-Jul25'!AC228)</f>
        <v/>
      </c>
      <c r="AD228" t="str">
        <f>IF('1. Live'!AD228='check-Jul25'!AD228,"",'1. Live'!AD228-'check-Jul25'!AD228)</f>
        <v/>
      </c>
      <c r="AE228" t="str">
        <f>IF('1. Live'!AE228='check-Jul25'!AE228,"",'1. Live'!AE228-'check-Jul25'!AE228)</f>
        <v/>
      </c>
      <c r="AF228" t="str">
        <f>IF('1. Live'!AF228='check-Jul25'!AF228,"",'1. Live'!AF228-'check-Jul25'!AF228)</f>
        <v/>
      </c>
      <c r="AG228" t="str">
        <f>IF('1. Live'!AG228='check-Jul25'!AG228,"",'1. Live'!AG228-'check-Jul25'!AG228)</f>
        <v/>
      </c>
      <c r="AH228" t="str">
        <f>IF('1. Live'!AH228='check-Jul25'!AH228,"",'1. Live'!AH228-'check-Jul25'!AH228)</f>
        <v/>
      </c>
      <c r="AI228" t="str">
        <f>IF('1. Live'!AI228='check-Jul25'!AI228,"",'1. Live'!AI228-'check-Jul25'!AI228)</f>
        <v/>
      </c>
      <c r="AJ228" t="str">
        <f>IF('1. Live'!AJ228='check-Jul25'!AJ228,"",'1. Live'!AJ228-'check-Jul25'!AJ228)</f>
        <v/>
      </c>
      <c r="AK228" t="str">
        <f>IF('1. Live'!AK228='check-Jul25'!AK228,"",'1. Live'!AK228-'check-Jul25'!AK228)</f>
        <v/>
      </c>
      <c r="AL228" t="str">
        <f>IF('1. Live'!AL228='check-Jul25'!AL228,"",'1. Live'!AL228-'check-Jul25'!AL228)</f>
        <v/>
      </c>
      <c r="AM228" t="str">
        <f>IF('1. Live'!AM228='check-Jul25'!AM228,"",'1. Live'!AM228-'check-Jul25'!AM228)</f>
        <v/>
      </c>
      <c r="AN228" t="str">
        <f>IF('1. Live'!AN228='check-Jul25'!AN228,"",'1. Live'!AN228-'check-Jul25'!AN228)</f>
        <v/>
      </c>
      <c r="AO228" t="str">
        <f>IF('1. Live'!AO228='check-Jul25'!AO228,"",'1. Live'!AO228-'check-Jul25'!AO228)</f>
        <v/>
      </c>
      <c r="AP228" t="str">
        <f>IF('1. Live'!AP228='check-Jul25'!AP228,"",'1. Live'!AP228-'check-Jul25'!AP228)</f>
        <v/>
      </c>
      <c r="AQ228" t="str">
        <f>IF('1. Live'!AQ228='check-Jul25'!AQ228,"",'1. Live'!AQ228-'check-Jul25'!AQ228)</f>
        <v/>
      </c>
      <c r="AR228" t="str">
        <f>IF('1. Live'!AR228='check-Jul25'!AR228,"",'1. Live'!AR228-'check-Jul25'!AR228)</f>
        <v/>
      </c>
      <c r="AS228" t="str">
        <f>IF('1. Live'!AS228='check-Jul25'!AS228,"",'1. Live'!AS228-'check-Jul25'!AS228)</f>
        <v/>
      </c>
      <c r="AT228" t="str">
        <f>IF('1. Live'!AT228='check-Jul25'!AT228,"",'1. Live'!AT228-'check-Jul25'!AT228)</f>
        <v/>
      </c>
      <c r="AU228" t="str">
        <f>IF('1. Live'!AU228='check-Jul25'!AU228,"",'1. Live'!AU228-'check-Jul25'!AU228)</f>
        <v/>
      </c>
      <c r="AV228" t="str">
        <f>IF('1. Live'!AV228='check-Jul25'!AV228,"",'1. Live'!AV228-'check-Jul25'!AV228)</f>
        <v/>
      </c>
      <c r="AW228" t="str">
        <f>IF('1. Live'!AW228='check-Jul25'!AW228,"",'1. Live'!AW228-'check-Jul25'!AW228)</f>
        <v/>
      </c>
      <c r="AX228" t="str">
        <f>IF('1. Live'!AX228='check-Jul25'!AX228,"",'1. Live'!AX228-'check-Jul25'!AX228)</f>
        <v/>
      </c>
      <c r="AY228" t="str">
        <f>IF('1. Live'!AY228='check-Jul25'!AY228,"",'1. Live'!AY228-'check-Jul25'!AY228)</f>
        <v/>
      </c>
      <c r="AZ228" t="str">
        <f>IF('1. Live'!AZ228='check-Jul25'!AZ228,"",'1. Live'!AZ228-'check-Jul25'!AZ228)</f>
        <v/>
      </c>
      <c r="BA228" t="str">
        <f>IF('1. Live'!BA228='check-Jul25'!BA228,"",'1. Live'!BA228-'check-Jul25'!BA228)</f>
        <v/>
      </c>
      <c r="BB228" t="str">
        <f>IF('1. Live'!BB228='check-Jul25'!BB228,"",'1. Live'!BB228-'check-Jul25'!BB228)</f>
        <v/>
      </c>
      <c r="BC228" t="str">
        <f>IF('1. Live'!BC228='check-Jul25'!BC228,"",'1. Live'!BC228-'check-Jul25'!BC228)</f>
        <v/>
      </c>
      <c r="BD228" t="str">
        <f>IF('1. Live'!BD228='check-Jul25'!BD228,"",'1. Live'!BD228-'check-Jul25'!BD228)</f>
        <v/>
      </c>
      <c r="BE228" t="str">
        <f>IF('1. Live'!BE228='check-Jul25'!BE228,"",'1. Live'!BE228-'check-Jul25'!BE228)</f>
        <v/>
      </c>
      <c r="BF228" t="str">
        <f>IF('1. Live'!BF228='check-Jul25'!BF228,"",'1. Live'!BF228-'check-Jul25'!BF228)</f>
        <v/>
      </c>
      <c r="BG228" t="str">
        <f>IF('1. Live'!BG228='check-Jul25'!BG228,"",'1. Live'!BG228-'check-Jul25'!BG228)</f>
        <v/>
      </c>
      <c r="BH228" t="str">
        <f>IF('1. Live'!BH228='check-Jul25'!BH228,"",'1. Live'!BH228-'check-Jul25'!BH228)</f>
        <v/>
      </c>
      <c r="BI228" t="str">
        <f>IF('1. Live'!BI228='check-Jul25'!BI228,"",'1. Live'!BI228-'check-Jul25'!BI228)</f>
        <v/>
      </c>
      <c r="BJ228" t="str">
        <f>IF('1. Live'!BJ228='check-Jul25'!BJ228,"",'1. Live'!BJ228-'check-Jul25'!BJ228)</f>
        <v/>
      </c>
      <c r="BK228" t="str">
        <f>IF('1. Live'!BK228='check-Jul25'!BK228,"",'1. Live'!BK228-'check-Jul25'!BK228)</f>
        <v/>
      </c>
      <c r="BL228" t="str">
        <f>IF('1. Live'!BL228='check-Jul25'!BL228,"",'1. Live'!BL228-'check-Jul25'!BL228)</f>
        <v/>
      </c>
      <c r="BM228" t="str">
        <f>IF('1. Live'!BM228='check-Jul25'!BM228,"",'1. Live'!BM228-'check-Jul25'!BM228)</f>
        <v/>
      </c>
      <c r="BN228" t="str">
        <f>IF('1. Live'!BN228='check-Jul25'!BN228,"",'1. Live'!BN228-'check-Jul25'!BN228)</f>
        <v/>
      </c>
      <c r="BO228" t="str">
        <f>IF('1. Live'!BO228='check-Jul25'!BO228,"",'1. Live'!BO228-'check-Jul25'!BO228)</f>
        <v/>
      </c>
      <c r="BP228" t="str">
        <f>IF('1. Live'!BP228='check-Jul25'!BP228,"",'1. Live'!BP228-'check-Jul25'!BP228)</f>
        <v/>
      </c>
      <c r="BQ228" t="str">
        <f>IF('1. Live'!BQ228='check-Jul25'!BQ228,"",'1. Live'!BQ228-'check-Jul25'!BQ228)</f>
        <v/>
      </c>
      <c r="BR228" t="str">
        <f>IF('1. Live'!BR228='check-Jul25'!BR228,"",'1. Live'!BR228-'check-Jul25'!BR228)</f>
        <v/>
      </c>
      <c r="BS228" t="str">
        <f>IF('1. Live'!BS228='check-Jul25'!BS228,"",'1. Live'!BS228-'check-Jul25'!BS228)</f>
        <v/>
      </c>
      <c r="BT228" t="str">
        <f>IF('1. Live'!BT228='check-Jul25'!BT228,"",'1. Live'!BT228-'check-Jul25'!BT228)</f>
        <v/>
      </c>
      <c r="BU228" t="str">
        <f>IF('1. Live'!BU228='check-Jul25'!BU228,"",'1. Live'!BU228-'check-Jul25'!BU228)</f>
        <v/>
      </c>
      <c r="BV228" t="str">
        <f>IF('1. Live'!BV228='check-Jul25'!BV228,"",'1. Live'!BV228-'check-Jul25'!BV228)</f>
        <v/>
      </c>
      <c r="BW228" t="str">
        <f>IF('1. Live'!BW228='check-Jul25'!BW228,"",'1. Live'!BW228-'check-Jul25'!BW228)</f>
        <v/>
      </c>
      <c r="BX228" t="str">
        <f>IF('1. Live'!BX228='check-Jul25'!BX228,"",'1. Live'!BX228-'check-Jul25'!BX228)</f>
        <v/>
      </c>
      <c r="BY228" t="str">
        <f>IF('1. Live'!BY228='check-Jul25'!BY228,"",'1. Live'!BY228-'check-Jul25'!BY228)</f>
        <v/>
      </c>
      <c r="BZ228" t="str">
        <f>IF('1. Live'!BZ228='check-Jul25'!BZ228,"",'1. Live'!BZ228-'check-Jul25'!BZ228)</f>
        <v/>
      </c>
      <c r="CA228" t="str">
        <f>IF('1. Live'!CA228='check-Jul25'!CA228,"",'1. Live'!CA228-'check-Jul25'!CA228)</f>
        <v/>
      </c>
      <c r="CB228" t="str">
        <f>IF('1. Live'!CB228='check-Jul25'!CB228,"",'1. Live'!CB228-'check-Jul25'!CB228)</f>
        <v/>
      </c>
      <c r="CC228" t="str">
        <f>IF('1. Live'!CC228='check-Jul25'!CC228,"",'1. Live'!CC228-'check-Jul25'!CC228)</f>
        <v/>
      </c>
      <c r="CD228" t="str">
        <f>IF('1. Live'!CD228='check-Jul25'!CD228,"",'1. Live'!CD228-'check-Jul25'!CD228)</f>
        <v/>
      </c>
      <c r="CE228" t="str">
        <f>IF('1. Live'!CE228='check-Jul25'!CE228,"",'1. Live'!CE228-'check-Jul25'!CE228)</f>
        <v/>
      </c>
      <c r="CF228" t="str">
        <f>IF('1. Live'!CF228='check-Jul25'!CF228,"",'1. Live'!CF228-'check-Jul25'!CF228)</f>
        <v/>
      </c>
      <c r="CG228" t="str">
        <f>IF('1. Live'!CG228='check-Jul25'!CG228,"",'1. Live'!CG228-'check-Jul25'!CG228)</f>
        <v/>
      </c>
      <c r="CH228" t="str">
        <f>IF('1. Live'!CH228='check-Jul25'!CH228,"",'1. Live'!CH228-'check-Jul25'!CH228)</f>
        <v/>
      </c>
      <c r="CI228" t="str">
        <f>IF('1. Live'!CI228='check-Jul25'!CI228,"",'1. Live'!CI228-'check-Jul25'!CI228)</f>
        <v/>
      </c>
      <c r="CJ228" t="str">
        <f>IF('1. Live'!CJ228='check-Jul25'!CJ228,"",'1. Live'!CJ228-'check-Jul25'!CJ228)</f>
        <v/>
      </c>
      <c r="CK228" t="str">
        <f>IF('1. Live'!CK228='check-Jul25'!CK228,"",'1. Live'!CK228-'check-Jul25'!CK228)</f>
        <v/>
      </c>
      <c r="CL228" t="str">
        <f>IF('1. Live'!CL228='check-Jul25'!CL228,"",'1. Live'!CL228-'check-Jul25'!CL228)</f>
        <v/>
      </c>
      <c r="CM228" t="str">
        <f>IF('1. Live'!CM228='check-Jul25'!CM228,"",'1. Live'!CM228-'check-Jul25'!CM228)</f>
        <v/>
      </c>
      <c r="CN228" t="str">
        <f>IF('1. Live'!CN228='check-Jul25'!CN228,"",'1. Live'!CN228-'check-Jul25'!CN228)</f>
        <v/>
      </c>
      <c r="CO228" t="str">
        <f>IF('1. Live'!CO228='check-Jul25'!CO228,"",'1. Live'!CO228-'check-Jul25'!CO228)</f>
        <v/>
      </c>
      <c r="CP228" t="str">
        <f>IF('1. Live'!CP228='check-Jul25'!CP228,"",'1. Live'!CP228-'check-Jul25'!CP228)</f>
        <v/>
      </c>
      <c r="CQ228" t="str">
        <f>IF('1. Live'!CQ228='check-Jul25'!CQ228,"",'1. Live'!CQ228-'check-Jul25'!CQ228)</f>
        <v/>
      </c>
      <c r="CR228" t="str">
        <f>IF('1. Live'!CR228='check-Jul25'!CR228,"",'1. Live'!CR228-'check-Jul25'!CR228)</f>
        <v/>
      </c>
      <c r="CS228" t="str">
        <f>IF('1. Live'!CS228='check-Jul25'!CS228,"",'1. Live'!CS228-'check-Jul25'!CS228)</f>
        <v/>
      </c>
      <c r="CT228" t="str">
        <f>IF('1. Live'!CT228='check-Jul25'!CT228,"",'1. Live'!CT228-'check-Jul25'!CT228)</f>
        <v/>
      </c>
      <c r="CU228" t="str">
        <f>IF('1. Live'!CU228='check-Jul25'!CU228,"",'1. Live'!CU228-'check-Jul25'!CU228)</f>
        <v/>
      </c>
      <c r="CV228" t="str">
        <f>IF('1. Live'!CV228='check-Jul25'!CV228,"",'1. Live'!CV228-'check-Jul25'!CV228)</f>
        <v/>
      </c>
      <c r="CW228" t="str">
        <f>IF('1. Live'!CW228='check-Jul25'!CW228,"",'1. Live'!CW228-'check-Jul25'!CW228)</f>
        <v/>
      </c>
    </row>
    <row r="229" spans="10:101">
      <c r="J229" t="str">
        <f>IF('1. Live'!J229='check-Jul25'!J229,"",'1. Live'!J229-'check-Jul25'!J229)</f>
        <v/>
      </c>
      <c r="K229" t="str">
        <f>IF('1. Live'!K229='check-Jul25'!K229,"",'1. Live'!K229-'check-Jul25'!K229)</f>
        <v/>
      </c>
      <c r="L229" t="str">
        <f>IF('1. Live'!L229='check-Jul25'!L229,"",'1. Live'!L229-'check-Jul25'!L229)</f>
        <v/>
      </c>
      <c r="M229" t="str">
        <f>IF('1. Live'!M229='check-Jul25'!M229,"",'1. Live'!M229-'check-Jul25'!M229)</f>
        <v/>
      </c>
      <c r="N229" t="str">
        <f>IF('1. Live'!N229='check-Jul25'!N229,"",'1. Live'!N229-'check-Jul25'!N229)</f>
        <v/>
      </c>
      <c r="O229" t="str">
        <f>IF('1. Live'!O229='check-Jul25'!O229,"",'1. Live'!O229-'check-Jul25'!O229)</f>
        <v/>
      </c>
      <c r="P229" t="str">
        <f>IF('1. Live'!P229='check-Jul25'!P229,"",'1. Live'!P229-'check-Jul25'!P229)</f>
        <v/>
      </c>
      <c r="Q229" t="str">
        <f>IF('1. Live'!Q229='check-Jul25'!Q229,"",'1. Live'!Q229-'check-Jul25'!Q229)</f>
        <v/>
      </c>
      <c r="R229" t="str">
        <f>IF('1. Live'!R229='check-Jul25'!R229,"",'1. Live'!R229-'check-Jul25'!R229)</f>
        <v/>
      </c>
      <c r="S229" t="str">
        <f>IF('1. Live'!S229='check-Jul25'!S229,"",'1. Live'!S229-'check-Jul25'!S229)</f>
        <v/>
      </c>
      <c r="T229" t="str">
        <f>IF('1. Live'!T229='check-Jul25'!T229,"",'1. Live'!T229-'check-Jul25'!T229)</f>
        <v/>
      </c>
      <c r="U229" t="str">
        <f>IF('1. Live'!U229='check-Jul25'!U229,"",'1. Live'!U229-'check-Jul25'!U229)</f>
        <v/>
      </c>
      <c r="V229" t="str">
        <f>IF('1. Live'!V229='check-Jul25'!V229,"",'1. Live'!V229-'check-Jul25'!V229)</f>
        <v/>
      </c>
      <c r="W229" t="str">
        <f>IF('1. Live'!W229='check-Jul25'!W229,"",'1. Live'!W229-'check-Jul25'!W229)</f>
        <v/>
      </c>
      <c r="X229" t="str">
        <f>IF('1. Live'!X229='check-Jul25'!X229,"",'1. Live'!X229-'check-Jul25'!X229)</f>
        <v/>
      </c>
      <c r="Y229" t="str">
        <f>IF('1. Live'!Y229='check-Jul25'!Y229,"",'1. Live'!Y229-'check-Jul25'!Y229)</f>
        <v/>
      </c>
      <c r="Z229" t="str">
        <f>IF('1. Live'!Z229='check-Jul25'!Z229,"",'1. Live'!Z229-'check-Jul25'!Z229)</f>
        <v/>
      </c>
      <c r="AA229" t="str">
        <f>IF('1. Live'!AA229='check-Jul25'!AA229,"",'1. Live'!AA229-'check-Jul25'!AA229)</f>
        <v/>
      </c>
      <c r="AB229" t="str">
        <f>IF('1. Live'!AB229='check-Jul25'!AB229,"",'1. Live'!AB229-'check-Jul25'!AB229)</f>
        <v/>
      </c>
      <c r="AC229" t="str">
        <f>IF('1. Live'!AC229='check-Jul25'!AC229,"",'1. Live'!AC229-'check-Jul25'!AC229)</f>
        <v/>
      </c>
      <c r="AD229" t="str">
        <f>IF('1. Live'!AD229='check-Jul25'!AD229,"",'1. Live'!AD229-'check-Jul25'!AD229)</f>
        <v/>
      </c>
      <c r="AE229" t="str">
        <f>IF('1. Live'!AE229='check-Jul25'!AE229,"",'1. Live'!AE229-'check-Jul25'!AE229)</f>
        <v/>
      </c>
      <c r="AF229" t="str">
        <f>IF('1. Live'!AF229='check-Jul25'!AF229,"",'1. Live'!AF229-'check-Jul25'!AF229)</f>
        <v/>
      </c>
      <c r="AG229" t="str">
        <f>IF('1. Live'!AG229='check-Jul25'!AG229,"",'1. Live'!AG229-'check-Jul25'!AG229)</f>
        <v/>
      </c>
      <c r="AH229" t="str">
        <f>IF('1. Live'!AH229='check-Jul25'!AH229,"",'1. Live'!AH229-'check-Jul25'!AH229)</f>
        <v/>
      </c>
      <c r="AI229" t="str">
        <f>IF('1. Live'!AI229='check-Jul25'!AI229,"",'1. Live'!AI229-'check-Jul25'!AI229)</f>
        <v/>
      </c>
      <c r="AJ229" t="str">
        <f>IF('1. Live'!AJ229='check-Jul25'!AJ229,"",'1. Live'!AJ229-'check-Jul25'!AJ229)</f>
        <v/>
      </c>
      <c r="AK229" t="str">
        <f>IF('1. Live'!AK229='check-Jul25'!AK229,"",'1. Live'!AK229-'check-Jul25'!AK229)</f>
        <v/>
      </c>
      <c r="AL229" t="str">
        <f>IF('1. Live'!AL229='check-Jul25'!AL229,"",'1. Live'!AL229-'check-Jul25'!AL229)</f>
        <v/>
      </c>
      <c r="AM229" t="str">
        <f>IF('1. Live'!AM229='check-Jul25'!AM229,"",'1. Live'!AM229-'check-Jul25'!AM229)</f>
        <v/>
      </c>
      <c r="AN229" t="str">
        <f>IF('1. Live'!AN229='check-Jul25'!AN229,"",'1. Live'!AN229-'check-Jul25'!AN229)</f>
        <v/>
      </c>
      <c r="AO229" t="str">
        <f>IF('1. Live'!AO229='check-Jul25'!AO229,"",'1. Live'!AO229-'check-Jul25'!AO229)</f>
        <v/>
      </c>
      <c r="AP229" t="str">
        <f>IF('1. Live'!AP229='check-Jul25'!AP229,"",'1. Live'!AP229-'check-Jul25'!AP229)</f>
        <v/>
      </c>
      <c r="AQ229" t="str">
        <f>IF('1. Live'!AQ229='check-Jul25'!AQ229,"",'1. Live'!AQ229-'check-Jul25'!AQ229)</f>
        <v/>
      </c>
      <c r="AR229" t="str">
        <f>IF('1. Live'!AR229='check-Jul25'!AR229,"",'1. Live'!AR229-'check-Jul25'!AR229)</f>
        <v/>
      </c>
      <c r="AS229" t="str">
        <f>IF('1. Live'!AS229='check-Jul25'!AS229,"",'1. Live'!AS229-'check-Jul25'!AS229)</f>
        <v/>
      </c>
      <c r="AT229" t="str">
        <f>IF('1. Live'!AT229='check-Jul25'!AT229,"",'1. Live'!AT229-'check-Jul25'!AT229)</f>
        <v/>
      </c>
      <c r="AU229" t="str">
        <f>IF('1. Live'!AU229='check-Jul25'!AU229,"",'1. Live'!AU229-'check-Jul25'!AU229)</f>
        <v/>
      </c>
      <c r="AV229" t="str">
        <f>IF('1. Live'!AV229='check-Jul25'!AV229,"",'1. Live'!AV229-'check-Jul25'!AV229)</f>
        <v/>
      </c>
      <c r="AW229" t="str">
        <f>IF('1. Live'!AW229='check-Jul25'!AW229,"",'1. Live'!AW229-'check-Jul25'!AW229)</f>
        <v/>
      </c>
      <c r="AX229" t="str">
        <f>IF('1. Live'!AX229='check-Jul25'!AX229,"",'1. Live'!AX229-'check-Jul25'!AX229)</f>
        <v/>
      </c>
      <c r="AY229" t="str">
        <f>IF('1. Live'!AY229='check-Jul25'!AY229,"",'1. Live'!AY229-'check-Jul25'!AY229)</f>
        <v/>
      </c>
      <c r="AZ229" t="str">
        <f>IF('1. Live'!AZ229='check-Jul25'!AZ229,"",'1. Live'!AZ229-'check-Jul25'!AZ229)</f>
        <v/>
      </c>
      <c r="BA229" t="str">
        <f>IF('1. Live'!BA229='check-Jul25'!BA229,"",'1. Live'!BA229-'check-Jul25'!BA229)</f>
        <v/>
      </c>
      <c r="BB229" t="str">
        <f>IF('1. Live'!BB229='check-Jul25'!BB229,"",'1. Live'!BB229-'check-Jul25'!BB229)</f>
        <v/>
      </c>
      <c r="BC229" t="str">
        <f>IF('1. Live'!BC229='check-Jul25'!BC229,"",'1. Live'!BC229-'check-Jul25'!BC229)</f>
        <v/>
      </c>
      <c r="BD229" t="str">
        <f>IF('1. Live'!BD229='check-Jul25'!BD229,"",'1. Live'!BD229-'check-Jul25'!BD229)</f>
        <v/>
      </c>
      <c r="BE229" t="str">
        <f>IF('1. Live'!BE229='check-Jul25'!BE229,"",'1. Live'!BE229-'check-Jul25'!BE229)</f>
        <v/>
      </c>
      <c r="BF229" t="str">
        <f>IF('1. Live'!BF229='check-Jul25'!BF229,"",'1. Live'!BF229-'check-Jul25'!BF229)</f>
        <v/>
      </c>
      <c r="BG229" t="str">
        <f>IF('1. Live'!BG229='check-Jul25'!BG229,"",'1. Live'!BG229-'check-Jul25'!BG229)</f>
        <v/>
      </c>
      <c r="BH229" t="str">
        <f>IF('1. Live'!BH229='check-Jul25'!BH229,"",'1. Live'!BH229-'check-Jul25'!BH229)</f>
        <v/>
      </c>
      <c r="BI229" t="str">
        <f>IF('1. Live'!BI229='check-Jul25'!BI229,"",'1. Live'!BI229-'check-Jul25'!BI229)</f>
        <v/>
      </c>
      <c r="BJ229" t="str">
        <f>IF('1. Live'!BJ229='check-Jul25'!BJ229,"",'1. Live'!BJ229-'check-Jul25'!BJ229)</f>
        <v/>
      </c>
      <c r="BK229" t="str">
        <f>IF('1. Live'!BK229='check-Jul25'!BK229,"",'1. Live'!BK229-'check-Jul25'!BK229)</f>
        <v/>
      </c>
      <c r="BL229" t="str">
        <f>IF('1. Live'!BL229='check-Jul25'!BL229,"",'1. Live'!BL229-'check-Jul25'!BL229)</f>
        <v/>
      </c>
      <c r="BM229" t="str">
        <f>IF('1. Live'!BM229='check-Jul25'!BM229,"",'1. Live'!BM229-'check-Jul25'!BM229)</f>
        <v/>
      </c>
      <c r="BN229" t="str">
        <f>IF('1. Live'!BN229='check-Jul25'!BN229,"",'1. Live'!BN229-'check-Jul25'!BN229)</f>
        <v/>
      </c>
      <c r="BO229" t="str">
        <f>IF('1. Live'!BO229='check-Jul25'!BO229,"",'1. Live'!BO229-'check-Jul25'!BO229)</f>
        <v/>
      </c>
      <c r="BP229" t="str">
        <f>IF('1. Live'!BP229='check-Jul25'!BP229,"",'1. Live'!BP229-'check-Jul25'!BP229)</f>
        <v/>
      </c>
      <c r="BQ229" t="str">
        <f>IF('1. Live'!BQ229='check-Jul25'!BQ229,"",'1. Live'!BQ229-'check-Jul25'!BQ229)</f>
        <v/>
      </c>
      <c r="BR229" t="str">
        <f>IF('1. Live'!BR229='check-Jul25'!BR229,"",'1. Live'!BR229-'check-Jul25'!BR229)</f>
        <v/>
      </c>
      <c r="BS229" t="str">
        <f>IF('1. Live'!BS229='check-Jul25'!BS229,"",'1. Live'!BS229-'check-Jul25'!BS229)</f>
        <v/>
      </c>
      <c r="BT229" t="str">
        <f>IF('1. Live'!BT229='check-Jul25'!BT229,"",'1. Live'!BT229-'check-Jul25'!BT229)</f>
        <v/>
      </c>
      <c r="BU229" t="str">
        <f>IF('1. Live'!BU229='check-Jul25'!BU229,"",'1. Live'!BU229-'check-Jul25'!BU229)</f>
        <v/>
      </c>
      <c r="BV229" t="str">
        <f>IF('1. Live'!BV229='check-Jul25'!BV229,"",'1. Live'!BV229-'check-Jul25'!BV229)</f>
        <v/>
      </c>
      <c r="BW229" t="str">
        <f>IF('1. Live'!BW229='check-Jul25'!BW229,"",'1. Live'!BW229-'check-Jul25'!BW229)</f>
        <v/>
      </c>
      <c r="BX229" t="str">
        <f>IF('1. Live'!BX229='check-Jul25'!BX229,"",'1. Live'!BX229-'check-Jul25'!BX229)</f>
        <v/>
      </c>
      <c r="BY229" t="str">
        <f>IF('1. Live'!BY229='check-Jul25'!BY229,"",'1. Live'!BY229-'check-Jul25'!BY229)</f>
        <v/>
      </c>
      <c r="BZ229" t="str">
        <f>IF('1. Live'!BZ229='check-Jul25'!BZ229,"",'1. Live'!BZ229-'check-Jul25'!BZ229)</f>
        <v/>
      </c>
      <c r="CA229" t="str">
        <f>IF('1. Live'!CA229='check-Jul25'!CA229,"",'1. Live'!CA229-'check-Jul25'!CA229)</f>
        <v/>
      </c>
      <c r="CB229" t="str">
        <f>IF('1. Live'!CB229='check-Jul25'!CB229,"",'1. Live'!CB229-'check-Jul25'!CB229)</f>
        <v/>
      </c>
      <c r="CC229" t="str">
        <f>IF('1. Live'!CC229='check-Jul25'!CC229,"",'1. Live'!CC229-'check-Jul25'!CC229)</f>
        <v/>
      </c>
      <c r="CD229" t="str">
        <f>IF('1. Live'!CD229='check-Jul25'!CD229,"",'1. Live'!CD229-'check-Jul25'!CD229)</f>
        <v/>
      </c>
      <c r="CE229" t="str">
        <f>IF('1. Live'!CE229='check-Jul25'!CE229,"",'1. Live'!CE229-'check-Jul25'!CE229)</f>
        <v/>
      </c>
      <c r="CF229" t="str">
        <f>IF('1. Live'!CF229='check-Jul25'!CF229,"",'1. Live'!CF229-'check-Jul25'!CF229)</f>
        <v/>
      </c>
      <c r="CG229" t="str">
        <f>IF('1. Live'!CG229='check-Jul25'!CG229,"",'1. Live'!CG229-'check-Jul25'!CG229)</f>
        <v/>
      </c>
      <c r="CH229" t="str">
        <f>IF('1. Live'!CH229='check-Jul25'!CH229,"",'1. Live'!CH229-'check-Jul25'!CH229)</f>
        <v/>
      </c>
      <c r="CI229" t="str">
        <f>IF('1. Live'!CI229='check-Jul25'!CI229,"",'1. Live'!CI229-'check-Jul25'!CI229)</f>
        <v/>
      </c>
      <c r="CJ229" t="str">
        <f>IF('1. Live'!CJ229='check-Jul25'!CJ229,"",'1. Live'!CJ229-'check-Jul25'!CJ229)</f>
        <v/>
      </c>
      <c r="CK229" t="str">
        <f>IF('1. Live'!CK229='check-Jul25'!CK229,"",'1. Live'!CK229-'check-Jul25'!CK229)</f>
        <v/>
      </c>
      <c r="CL229" t="str">
        <f>IF('1. Live'!CL229='check-Jul25'!CL229,"",'1. Live'!CL229-'check-Jul25'!CL229)</f>
        <v/>
      </c>
      <c r="CM229" t="str">
        <f>IF('1. Live'!CM229='check-Jul25'!CM229,"",'1. Live'!CM229-'check-Jul25'!CM229)</f>
        <v/>
      </c>
      <c r="CN229" t="str">
        <f>IF('1. Live'!CN229='check-Jul25'!CN229,"",'1. Live'!CN229-'check-Jul25'!CN229)</f>
        <v/>
      </c>
      <c r="CO229" t="str">
        <f>IF('1. Live'!CO229='check-Jul25'!CO229,"",'1. Live'!CO229-'check-Jul25'!CO229)</f>
        <v/>
      </c>
      <c r="CP229" t="str">
        <f>IF('1. Live'!CP229='check-Jul25'!CP229,"",'1. Live'!CP229-'check-Jul25'!CP229)</f>
        <v/>
      </c>
      <c r="CQ229" t="str">
        <f>IF('1. Live'!CQ229='check-Jul25'!CQ229,"",'1. Live'!CQ229-'check-Jul25'!CQ229)</f>
        <v/>
      </c>
      <c r="CR229" t="str">
        <f>IF('1. Live'!CR229='check-Jul25'!CR229,"",'1. Live'!CR229-'check-Jul25'!CR229)</f>
        <v/>
      </c>
      <c r="CS229" t="str">
        <f>IF('1. Live'!CS229='check-Jul25'!CS229,"",'1. Live'!CS229-'check-Jul25'!CS229)</f>
        <v/>
      </c>
      <c r="CT229" t="str">
        <f>IF('1. Live'!CT229='check-Jul25'!CT229,"",'1. Live'!CT229-'check-Jul25'!CT229)</f>
        <v/>
      </c>
      <c r="CU229" t="str">
        <f>IF('1. Live'!CU229='check-Jul25'!CU229,"",'1. Live'!CU229-'check-Jul25'!CU229)</f>
        <v/>
      </c>
      <c r="CV229" t="str">
        <f>IF('1. Live'!CV229='check-Jul25'!CV229,"",'1. Live'!CV229-'check-Jul25'!CV229)</f>
        <v/>
      </c>
      <c r="CW229" t="str">
        <f>IF('1. Live'!CW229='check-Jul25'!CW229,"",'1. Live'!CW229-'check-Jul25'!CW229)</f>
        <v/>
      </c>
    </row>
    <row r="230" spans="10:101">
      <c r="J230" t="str">
        <f>IF('1. Live'!J230='check-Jul25'!J230,"",'1. Live'!J230-'check-Jul25'!J230)</f>
        <v/>
      </c>
      <c r="K230" t="str">
        <f>IF('1. Live'!K230='check-Jul25'!K230,"",'1. Live'!K230-'check-Jul25'!K230)</f>
        <v/>
      </c>
      <c r="L230" t="str">
        <f>IF('1. Live'!L230='check-Jul25'!L230,"",'1. Live'!L230-'check-Jul25'!L230)</f>
        <v/>
      </c>
      <c r="M230" t="str">
        <f>IF('1. Live'!M230='check-Jul25'!M230,"",'1. Live'!M230-'check-Jul25'!M230)</f>
        <v/>
      </c>
      <c r="N230" t="str">
        <f>IF('1. Live'!N230='check-Jul25'!N230,"",'1. Live'!N230-'check-Jul25'!N230)</f>
        <v/>
      </c>
      <c r="O230" t="str">
        <f>IF('1. Live'!O230='check-Jul25'!O230,"",'1. Live'!O230-'check-Jul25'!O230)</f>
        <v/>
      </c>
      <c r="P230" t="str">
        <f>IF('1. Live'!P230='check-Jul25'!P230,"",'1. Live'!P230-'check-Jul25'!P230)</f>
        <v/>
      </c>
      <c r="Q230" t="str">
        <f>IF('1. Live'!Q230='check-Jul25'!Q230,"",'1. Live'!Q230-'check-Jul25'!Q230)</f>
        <v/>
      </c>
      <c r="R230" t="str">
        <f>IF('1. Live'!R230='check-Jul25'!R230,"",'1. Live'!R230-'check-Jul25'!R230)</f>
        <v/>
      </c>
      <c r="S230" t="str">
        <f>IF('1. Live'!S230='check-Jul25'!S230,"",'1. Live'!S230-'check-Jul25'!S230)</f>
        <v/>
      </c>
      <c r="T230" t="str">
        <f>IF('1. Live'!T230='check-Jul25'!T230,"",'1. Live'!T230-'check-Jul25'!T230)</f>
        <v/>
      </c>
      <c r="U230" t="str">
        <f>IF('1. Live'!U230='check-Jul25'!U230,"",'1. Live'!U230-'check-Jul25'!U230)</f>
        <v/>
      </c>
      <c r="V230" t="str">
        <f>IF('1. Live'!V230='check-Jul25'!V230,"",'1. Live'!V230-'check-Jul25'!V230)</f>
        <v/>
      </c>
      <c r="W230" t="str">
        <f>IF('1. Live'!W230='check-Jul25'!W230,"",'1. Live'!W230-'check-Jul25'!W230)</f>
        <v/>
      </c>
      <c r="X230" t="str">
        <f>IF('1. Live'!X230='check-Jul25'!X230,"",'1. Live'!X230-'check-Jul25'!X230)</f>
        <v/>
      </c>
      <c r="Y230" t="str">
        <f>IF('1. Live'!Y230='check-Jul25'!Y230,"",'1. Live'!Y230-'check-Jul25'!Y230)</f>
        <v/>
      </c>
      <c r="Z230" t="str">
        <f>IF('1. Live'!Z230='check-Jul25'!Z230,"",'1. Live'!Z230-'check-Jul25'!Z230)</f>
        <v/>
      </c>
      <c r="AA230" t="str">
        <f>IF('1. Live'!AA230='check-Jul25'!AA230,"",'1. Live'!AA230-'check-Jul25'!AA230)</f>
        <v/>
      </c>
      <c r="AB230" t="str">
        <f>IF('1. Live'!AB230='check-Jul25'!AB230,"",'1. Live'!AB230-'check-Jul25'!AB230)</f>
        <v/>
      </c>
      <c r="AC230" t="str">
        <f>IF('1. Live'!AC230='check-Jul25'!AC230,"",'1. Live'!AC230-'check-Jul25'!AC230)</f>
        <v/>
      </c>
      <c r="AD230" t="str">
        <f>IF('1. Live'!AD230='check-Jul25'!AD230,"",'1. Live'!AD230-'check-Jul25'!AD230)</f>
        <v/>
      </c>
      <c r="AE230" t="str">
        <f>IF('1. Live'!AE230='check-Jul25'!AE230,"",'1. Live'!AE230-'check-Jul25'!AE230)</f>
        <v/>
      </c>
      <c r="AF230" t="str">
        <f>IF('1. Live'!AF230='check-Jul25'!AF230,"",'1. Live'!AF230-'check-Jul25'!AF230)</f>
        <v/>
      </c>
      <c r="AG230" t="str">
        <f>IF('1. Live'!AG230='check-Jul25'!AG230,"",'1. Live'!AG230-'check-Jul25'!AG230)</f>
        <v/>
      </c>
      <c r="AH230" t="str">
        <f>IF('1. Live'!AH230='check-Jul25'!AH230,"",'1. Live'!AH230-'check-Jul25'!AH230)</f>
        <v/>
      </c>
      <c r="AI230" t="str">
        <f>IF('1. Live'!AI230='check-Jul25'!AI230,"",'1. Live'!AI230-'check-Jul25'!AI230)</f>
        <v/>
      </c>
      <c r="AJ230" t="str">
        <f>IF('1. Live'!AJ230='check-Jul25'!AJ230,"",'1. Live'!AJ230-'check-Jul25'!AJ230)</f>
        <v/>
      </c>
      <c r="AK230" t="str">
        <f>IF('1. Live'!AK230='check-Jul25'!AK230,"",'1. Live'!AK230-'check-Jul25'!AK230)</f>
        <v/>
      </c>
      <c r="AL230" t="str">
        <f>IF('1. Live'!AL230='check-Jul25'!AL230,"",'1. Live'!AL230-'check-Jul25'!AL230)</f>
        <v/>
      </c>
      <c r="AM230" t="str">
        <f>IF('1. Live'!AM230='check-Jul25'!AM230,"",'1. Live'!AM230-'check-Jul25'!AM230)</f>
        <v/>
      </c>
      <c r="AN230" t="str">
        <f>IF('1. Live'!AN230='check-Jul25'!AN230,"",'1. Live'!AN230-'check-Jul25'!AN230)</f>
        <v/>
      </c>
      <c r="AO230" t="str">
        <f>IF('1. Live'!AO230='check-Jul25'!AO230,"",'1. Live'!AO230-'check-Jul25'!AO230)</f>
        <v/>
      </c>
      <c r="AP230" t="str">
        <f>IF('1. Live'!AP230='check-Jul25'!AP230,"",'1. Live'!AP230-'check-Jul25'!AP230)</f>
        <v/>
      </c>
      <c r="AQ230" t="str">
        <f>IF('1. Live'!AQ230='check-Jul25'!AQ230,"",'1. Live'!AQ230-'check-Jul25'!AQ230)</f>
        <v/>
      </c>
      <c r="AR230" t="str">
        <f>IF('1. Live'!AR230='check-Jul25'!AR230,"",'1. Live'!AR230-'check-Jul25'!AR230)</f>
        <v/>
      </c>
      <c r="AS230" t="str">
        <f>IF('1. Live'!AS230='check-Jul25'!AS230,"",'1. Live'!AS230-'check-Jul25'!AS230)</f>
        <v/>
      </c>
      <c r="AT230" t="str">
        <f>IF('1. Live'!AT230='check-Jul25'!AT230,"",'1. Live'!AT230-'check-Jul25'!AT230)</f>
        <v/>
      </c>
      <c r="AU230" t="str">
        <f>IF('1. Live'!AU230='check-Jul25'!AU230,"",'1. Live'!AU230-'check-Jul25'!AU230)</f>
        <v/>
      </c>
      <c r="AV230" t="str">
        <f>IF('1. Live'!AV230='check-Jul25'!AV230,"",'1. Live'!AV230-'check-Jul25'!AV230)</f>
        <v/>
      </c>
      <c r="AW230" t="str">
        <f>IF('1. Live'!AW230='check-Jul25'!AW230,"",'1. Live'!AW230-'check-Jul25'!AW230)</f>
        <v/>
      </c>
      <c r="AX230" t="str">
        <f>IF('1. Live'!AX230='check-Jul25'!AX230,"",'1. Live'!AX230-'check-Jul25'!AX230)</f>
        <v/>
      </c>
      <c r="AY230" t="str">
        <f>IF('1. Live'!AY230='check-Jul25'!AY230,"",'1. Live'!AY230-'check-Jul25'!AY230)</f>
        <v/>
      </c>
      <c r="AZ230" t="str">
        <f>IF('1. Live'!AZ230='check-Jul25'!AZ230,"",'1. Live'!AZ230-'check-Jul25'!AZ230)</f>
        <v/>
      </c>
      <c r="BA230" t="str">
        <f>IF('1. Live'!BA230='check-Jul25'!BA230,"",'1. Live'!BA230-'check-Jul25'!BA230)</f>
        <v/>
      </c>
      <c r="BB230" t="str">
        <f>IF('1. Live'!BB230='check-Jul25'!BB230,"",'1. Live'!BB230-'check-Jul25'!BB230)</f>
        <v/>
      </c>
      <c r="BC230" t="str">
        <f>IF('1. Live'!BC230='check-Jul25'!BC230,"",'1. Live'!BC230-'check-Jul25'!BC230)</f>
        <v/>
      </c>
      <c r="BD230" t="str">
        <f>IF('1. Live'!BD230='check-Jul25'!BD230,"",'1. Live'!BD230-'check-Jul25'!BD230)</f>
        <v/>
      </c>
      <c r="BE230" t="str">
        <f>IF('1. Live'!BE230='check-Jul25'!BE230,"",'1. Live'!BE230-'check-Jul25'!BE230)</f>
        <v/>
      </c>
      <c r="BF230" t="str">
        <f>IF('1. Live'!BF230='check-Jul25'!BF230,"",'1. Live'!BF230-'check-Jul25'!BF230)</f>
        <v/>
      </c>
      <c r="BG230" t="str">
        <f>IF('1. Live'!BG230='check-Jul25'!BG230,"",'1. Live'!BG230-'check-Jul25'!BG230)</f>
        <v/>
      </c>
      <c r="BH230" t="str">
        <f>IF('1. Live'!BH230='check-Jul25'!BH230,"",'1. Live'!BH230-'check-Jul25'!BH230)</f>
        <v/>
      </c>
      <c r="BI230" t="str">
        <f>IF('1. Live'!BI230='check-Jul25'!BI230,"",'1. Live'!BI230-'check-Jul25'!BI230)</f>
        <v/>
      </c>
      <c r="BJ230" t="str">
        <f>IF('1. Live'!BJ230='check-Jul25'!BJ230,"",'1. Live'!BJ230-'check-Jul25'!BJ230)</f>
        <v/>
      </c>
      <c r="BK230" t="str">
        <f>IF('1. Live'!BK230='check-Jul25'!BK230,"",'1. Live'!BK230-'check-Jul25'!BK230)</f>
        <v/>
      </c>
      <c r="BL230" t="str">
        <f>IF('1. Live'!BL230='check-Jul25'!BL230,"",'1. Live'!BL230-'check-Jul25'!BL230)</f>
        <v/>
      </c>
      <c r="BM230" t="str">
        <f>IF('1. Live'!BM230='check-Jul25'!BM230,"",'1. Live'!BM230-'check-Jul25'!BM230)</f>
        <v/>
      </c>
      <c r="BN230" t="str">
        <f>IF('1. Live'!BN230='check-Jul25'!BN230,"",'1. Live'!BN230-'check-Jul25'!BN230)</f>
        <v/>
      </c>
      <c r="BO230" t="str">
        <f>IF('1. Live'!BO230='check-Jul25'!BO230,"",'1. Live'!BO230-'check-Jul25'!BO230)</f>
        <v/>
      </c>
      <c r="BP230" t="str">
        <f>IF('1. Live'!BP230='check-Jul25'!BP230,"",'1. Live'!BP230-'check-Jul25'!BP230)</f>
        <v/>
      </c>
      <c r="BQ230" t="str">
        <f>IF('1. Live'!BQ230='check-Jul25'!BQ230,"",'1. Live'!BQ230-'check-Jul25'!BQ230)</f>
        <v/>
      </c>
      <c r="BR230" t="str">
        <f>IF('1. Live'!BR230='check-Jul25'!BR230,"",'1. Live'!BR230-'check-Jul25'!BR230)</f>
        <v/>
      </c>
      <c r="BS230" t="str">
        <f>IF('1. Live'!BS230='check-Jul25'!BS230,"",'1. Live'!BS230-'check-Jul25'!BS230)</f>
        <v/>
      </c>
      <c r="BT230" t="str">
        <f>IF('1. Live'!BT230='check-Jul25'!BT230,"",'1. Live'!BT230-'check-Jul25'!BT230)</f>
        <v/>
      </c>
      <c r="BU230" t="str">
        <f>IF('1. Live'!BU230='check-Jul25'!BU230,"",'1. Live'!BU230-'check-Jul25'!BU230)</f>
        <v/>
      </c>
      <c r="BV230" t="str">
        <f>IF('1. Live'!BV230='check-Jul25'!BV230,"",'1. Live'!BV230-'check-Jul25'!BV230)</f>
        <v/>
      </c>
      <c r="BW230" t="str">
        <f>IF('1. Live'!BW230='check-Jul25'!BW230,"",'1. Live'!BW230-'check-Jul25'!BW230)</f>
        <v/>
      </c>
      <c r="BX230" t="str">
        <f>IF('1. Live'!BX230='check-Jul25'!BX230,"",'1. Live'!BX230-'check-Jul25'!BX230)</f>
        <v/>
      </c>
      <c r="BY230" t="str">
        <f>IF('1. Live'!BY230='check-Jul25'!BY230,"",'1. Live'!BY230-'check-Jul25'!BY230)</f>
        <v/>
      </c>
      <c r="BZ230" t="str">
        <f>IF('1. Live'!BZ230='check-Jul25'!BZ230,"",'1. Live'!BZ230-'check-Jul25'!BZ230)</f>
        <v/>
      </c>
      <c r="CA230" t="str">
        <f>IF('1. Live'!CA230='check-Jul25'!CA230,"",'1. Live'!CA230-'check-Jul25'!CA230)</f>
        <v/>
      </c>
      <c r="CB230" t="str">
        <f>IF('1. Live'!CB230='check-Jul25'!CB230,"",'1. Live'!CB230-'check-Jul25'!CB230)</f>
        <v/>
      </c>
      <c r="CC230" t="str">
        <f>IF('1. Live'!CC230='check-Jul25'!CC230,"",'1. Live'!CC230-'check-Jul25'!CC230)</f>
        <v/>
      </c>
      <c r="CD230" t="str">
        <f>IF('1. Live'!CD230='check-Jul25'!CD230,"",'1. Live'!CD230-'check-Jul25'!CD230)</f>
        <v/>
      </c>
      <c r="CE230" t="str">
        <f>IF('1. Live'!CE230='check-Jul25'!CE230,"",'1. Live'!CE230-'check-Jul25'!CE230)</f>
        <v/>
      </c>
      <c r="CF230" t="str">
        <f>IF('1. Live'!CF230='check-Jul25'!CF230,"",'1. Live'!CF230-'check-Jul25'!CF230)</f>
        <v/>
      </c>
      <c r="CG230" t="str">
        <f>IF('1. Live'!CG230='check-Jul25'!CG230,"",'1. Live'!CG230-'check-Jul25'!CG230)</f>
        <v/>
      </c>
      <c r="CH230" t="str">
        <f>IF('1. Live'!CH230='check-Jul25'!CH230,"",'1. Live'!CH230-'check-Jul25'!CH230)</f>
        <v/>
      </c>
      <c r="CI230" t="str">
        <f>IF('1. Live'!CI230='check-Jul25'!CI230,"",'1. Live'!CI230-'check-Jul25'!CI230)</f>
        <v/>
      </c>
      <c r="CJ230" t="str">
        <f>IF('1. Live'!CJ230='check-Jul25'!CJ230,"",'1. Live'!CJ230-'check-Jul25'!CJ230)</f>
        <v/>
      </c>
      <c r="CK230" t="str">
        <f>IF('1. Live'!CK230='check-Jul25'!CK230,"",'1. Live'!CK230-'check-Jul25'!CK230)</f>
        <v/>
      </c>
      <c r="CL230" t="str">
        <f>IF('1. Live'!CL230='check-Jul25'!CL230,"",'1. Live'!CL230-'check-Jul25'!CL230)</f>
        <v/>
      </c>
      <c r="CM230" t="str">
        <f>IF('1. Live'!CM230='check-Jul25'!CM230,"",'1. Live'!CM230-'check-Jul25'!CM230)</f>
        <v/>
      </c>
      <c r="CN230" t="str">
        <f>IF('1. Live'!CN230='check-Jul25'!CN230,"",'1. Live'!CN230-'check-Jul25'!CN230)</f>
        <v/>
      </c>
      <c r="CO230" t="str">
        <f>IF('1. Live'!CO230='check-Jul25'!CO230,"",'1. Live'!CO230-'check-Jul25'!CO230)</f>
        <v/>
      </c>
      <c r="CP230" t="str">
        <f>IF('1. Live'!CP230='check-Jul25'!CP230,"",'1. Live'!CP230-'check-Jul25'!CP230)</f>
        <v/>
      </c>
      <c r="CQ230" t="str">
        <f>IF('1. Live'!CQ230='check-Jul25'!CQ230,"",'1. Live'!CQ230-'check-Jul25'!CQ230)</f>
        <v/>
      </c>
      <c r="CR230" t="str">
        <f>IF('1. Live'!CR230='check-Jul25'!CR230,"",'1. Live'!CR230-'check-Jul25'!CR230)</f>
        <v/>
      </c>
      <c r="CS230" t="str">
        <f>IF('1. Live'!CS230='check-Jul25'!CS230,"",'1. Live'!CS230-'check-Jul25'!CS230)</f>
        <v/>
      </c>
      <c r="CT230" t="str">
        <f>IF('1. Live'!CT230='check-Jul25'!CT230,"",'1. Live'!CT230-'check-Jul25'!CT230)</f>
        <v/>
      </c>
      <c r="CU230" t="str">
        <f>IF('1. Live'!CU230='check-Jul25'!CU230,"",'1. Live'!CU230-'check-Jul25'!CU230)</f>
        <v/>
      </c>
      <c r="CV230" t="str">
        <f>IF('1. Live'!CV230='check-Jul25'!CV230,"",'1. Live'!CV230-'check-Jul25'!CV230)</f>
        <v/>
      </c>
      <c r="CW230" t="str">
        <f>IF('1. Live'!CW230='check-Jul25'!CW230,"",'1. Live'!CW230-'check-Jul25'!CW230)</f>
        <v/>
      </c>
    </row>
    <row r="231" spans="10:101">
      <c r="J231" t="str">
        <f>IF('1. Live'!J231='check-Jul25'!J231,"",'1. Live'!J231-'check-Jul25'!J231)</f>
        <v/>
      </c>
      <c r="K231" t="str">
        <f>IF('1. Live'!K231='check-Jul25'!K231,"",'1. Live'!K231-'check-Jul25'!K231)</f>
        <v/>
      </c>
      <c r="L231" t="str">
        <f>IF('1. Live'!L231='check-Jul25'!L231,"",'1. Live'!L231-'check-Jul25'!L231)</f>
        <v/>
      </c>
      <c r="M231" t="str">
        <f>IF('1. Live'!M231='check-Jul25'!M231,"",'1. Live'!M231-'check-Jul25'!M231)</f>
        <v/>
      </c>
      <c r="N231" t="str">
        <f>IF('1. Live'!N231='check-Jul25'!N231,"",'1. Live'!N231-'check-Jul25'!N231)</f>
        <v/>
      </c>
      <c r="O231" t="str">
        <f>IF('1. Live'!O231='check-Jul25'!O231,"",'1. Live'!O231-'check-Jul25'!O231)</f>
        <v/>
      </c>
      <c r="P231" t="str">
        <f>IF('1. Live'!P231='check-Jul25'!P231,"",'1. Live'!P231-'check-Jul25'!P231)</f>
        <v/>
      </c>
      <c r="Q231" t="str">
        <f>IF('1. Live'!Q231='check-Jul25'!Q231,"",'1. Live'!Q231-'check-Jul25'!Q231)</f>
        <v/>
      </c>
      <c r="R231" t="str">
        <f>IF('1. Live'!R231='check-Jul25'!R231,"",'1. Live'!R231-'check-Jul25'!R231)</f>
        <v/>
      </c>
      <c r="S231" t="str">
        <f>IF('1. Live'!S231='check-Jul25'!S231,"",'1. Live'!S231-'check-Jul25'!S231)</f>
        <v/>
      </c>
      <c r="T231" t="str">
        <f>IF('1. Live'!T231='check-Jul25'!T231,"",'1. Live'!T231-'check-Jul25'!T231)</f>
        <v/>
      </c>
      <c r="U231" t="str">
        <f>IF('1. Live'!U231='check-Jul25'!U231,"",'1. Live'!U231-'check-Jul25'!U231)</f>
        <v/>
      </c>
      <c r="V231" t="str">
        <f>IF('1. Live'!V231='check-Jul25'!V231,"",'1. Live'!V231-'check-Jul25'!V231)</f>
        <v/>
      </c>
      <c r="W231" t="str">
        <f>IF('1. Live'!W231='check-Jul25'!W231,"",'1. Live'!W231-'check-Jul25'!W231)</f>
        <v/>
      </c>
      <c r="X231" t="str">
        <f>IF('1. Live'!X231='check-Jul25'!X231,"",'1. Live'!X231-'check-Jul25'!X231)</f>
        <v/>
      </c>
      <c r="Y231" t="str">
        <f>IF('1. Live'!Y231='check-Jul25'!Y231,"",'1. Live'!Y231-'check-Jul25'!Y231)</f>
        <v/>
      </c>
      <c r="Z231" t="str">
        <f>IF('1. Live'!Z231='check-Jul25'!Z231,"",'1. Live'!Z231-'check-Jul25'!Z231)</f>
        <v/>
      </c>
      <c r="AA231" t="str">
        <f>IF('1. Live'!AA231='check-Jul25'!AA231,"",'1. Live'!AA231-'check-Jul25'!AA231)</f>
        <v/>
      </c>
      <c r="AB231" t="str">
        <f>IF('1. Live'!AB231='check-Jul25'!AB231,"",'1. Live'!AB231-'check-Jul25'!AB231)</f>
        <v/>
      </c>
      <c r="AC231" t="str">
        <f>IF('1. Live'!AC231='check-Jul25'!AC231,"",'1. Live'!AC231-'check-Jul25'!AC231)</f>
        <v/>
      </c>
      <c r="AD231" t="str">
        <f>IF('1. Live'!AD231='check-Jul25'!AD231,"",'1. Live'!AD231-'check-Jul25'!AD231)</f>
        <v/>
      </c>
      <c r="AE231" t="str">
        <f>IF('1. Live'!AE231='check-Jul25'!AE231,"",'1. Live'!AE231-'check-Jul25'!AE231)</f>
        <v/>
      </c>
      <c r="AF231" t="str">
        <f>IF('1. Live'!AF231='check-Jul25'!AF231,"",'1. Live'!AF231-'check-Jul25'!AF231)</f>
        <v/>
      </c>
      <c r="AG231" t="str">
        <f>IF('1. Live'!AG231='check-Jul25'!AG231,"",'1. Live'!AG231-'check-Jul25'!AG231)</f>
        <v/>
      </c>
      <c r="AH231" t="str">
        <f>IF('1. Live'!AH231='check-Jul25'!AH231,"",'1. Live'!AH231-'check-Jul25'!AH231)</f>
        <v/>
      </c>
      <c r="AI231" t="str">
        <f>IF('1. Live'!AI231='check-Jul25'!AI231,"",'1. Live'!AI231-'check-Jul25'!AI231)</f>
        <v/>
      </c>
      <c r="AJ231" t="str">
        <f>IF('1. Live'!AJ231='check-Jul25'!AJ231,"",'1. Live'!AJ231-'check-Jul25'!AJ231)</f>
        <v/>
      </c>
      <c r="AK231" t="str">
        <f>IF('1. Live'!AK231='check-Jul25'!AK231,"",'1. Live'!AK231-'check-Jul25'!AK231)</f>
        <v/>
      </c>
      <c r="AL231" t="str">
        <f>IF('1. Live'!AL231='check-Jul25'!AL231,"",'1. Live'!AL231-'check-Jul25'!AL231)</f>
        <v/>
      </c>
      <c r="AM231" t="str">
        <f>IF('1. Live'!AM231='check-Jul25'!AM231,"",'1. Live'!AM231-'check-Jul25'!AM231)</f>
        <v/>
      </c>
      <c r="AN231" t="str">
        <f>IF('1. Live'!AN231='check-Jul25'!AN231,"",'1. Live'!AN231-'check-Jul25'!AN231)</f>
        <v/>
      </c>
      <c r="AO231" t="str">
        <f>IF('1. Live'!AO231='check-Jul25'!AO231,"",'1. Live'!AO231-'check-Jul25'!AO231)</f>
        <v/>
      </c>
      <c r="AP231" t="str">
        <f>IF('1. Live'!AP231='check-Jul25'!AP231,"",'1. Live'!AP231-'check-Jul25'!AP231)</f>
        <v/>
      </c>
      <c r="AQ231" t="str">
        <f>IF('1. Live'!AQ231='check-Jul25'!AQ231,"",'1. Live'!AQ231-'check-Jul25'!AQ231)</f>
        <v/>
      </c>
      <c r="AR231" t="str">
        <f>IF('1. Live'!AR231='check-Jul25'!AR231,"",'1. Live'!AR231-'check-Jul25'!AR231)</f>
        <v/>
      </c>
      <c r="AS231" t="str">
        <f>IF('1. Live'!AS231='check-Jul25'!AS231,"",'1. Live'!AS231-'check-Jul25'!AS231)</f>
        <v/>
      </c>
      <c r="AT231" t="str">
        <f>IF('1. Live'!AT231='check-Jul25'!AT231,"",'1. Live'!AT231-'check-Jul25'!AT231)</f>
        <v/>
      </c>
      <c r="AU231" t="str">
        <f>IF('1. Live'!AU231='check-Jul25'!AU231,"",'1. Live'!AU231-'check-Jul25'!AU231)</f>
        <v/>
      </c>
      <c r="AV231" t="str">
        <f>IF('1. Live'!AV231='check-Jul25'!AV231,"",'1. Live'!AV231-'check-Jul25'!AV231)</f>
        <v/>
      </c>
      <c r="AW231" t="str">
        <f>IF('1. Live'!AW231='check-Jul25'!AW231,"",'1. Live'!AW231-'check-Jul25'!AW231)</f>
        <v/>
      </c>
      <c r="AX231" t="str">
        <f>IF('1. Live'!AX231='check-Jul25'!AX231,"",'1. Live'!AX231-'check-Jul25'!AX231)</f>
        <v/>
      </c>
      <c r="AY231" t="str">
        <f>IF('1. Live'!AY231='check-Jul25'!AY231,"",'1. Live'!AY231-'check-Jul25'!AY231)</f>
        <v/>
      </c>
      <c r="AZ231" t="str">
        <f>IF('1. Live'!AZ231='check-Jul25'!AZ231,"",'1. Live'!AZ231-'check-Jul25'!AZ231)</f>
        <v/>
      </c>
      <c r="BA231" t="str">
        <f>IF('1. Live'!BA231='check-Jul25'!BA231,"",'1. Live'!BA231-'check-Jul25'!BA231)</f>
        <v/>
      </c>
      <c r="BB231" t="str">
        <f>IF('1. Live'!BB231='check-Jul25'!BB231,"",'1. Live'!BB231-'check-Jul25'!BB231)</f>
        <v/>
      </c>
      <c r="BC231" t="str">
        <f>IF('1. Live'!BC231='check-Jul25'!BC231,"",'1. Live'!BC231-'check-Jul25'!BC231)</f>
        <v/>
      </c>
      <c r="BD231" t="str">
        <f>IF('1. Live'!BD231='check-Jul25'!BD231,"",'1. Live'!BD231-'check-Jul25'!BD231)</f>
        <v/>
      </c>
      <c r="BE231" t="str">
        <f>IF('1. Live'!BE231='check-Jul25'!BE231,"",'1. Live'!BE231-'check-Jul25'!BE231)</f>
        <v/>
      </c>
      <c r="BF231" t="str">
        <f>IF('1. Live'!BF231='check-Jul25'!BF231,"",'1. Live'!BF231-'check-Jul25'!BF231)</f>
        <v/>
      </c>
      <c r="BG231" t="str">
        <f>IF('1. Live'!BG231='check-Jul25'!BG231,"",'1. Live'!BG231-'check-Jul25'!BG231)</f>
        <v/>
      </c>
      <c r="BH231" t="str">
        <f>IF('1. Live'!BH231='check-Jul25'!BH231,"",'1. Live'!BH231-'check-Jul25'!BH231)</f>
        <v/>
      </c>
      <c r="BI231" t="str">
        <f>IF('1. Live'!BI231='check-Jul25'!BI231,"",'1. Live'!BI231-'check-Jul25'!BI231)</f>
        <v/>
      </c>
      <c r="BJ231" t="str">
        <f>IF('1. Live'!BJ231='check-Jul25'!BJ231,"",'1. Live'!BJ231-'check-Jul25'!BJ231)</f>
        <v/>
      </c>
      <c r="BK231" t="str">
        <f>IF('1. Live'!BK231='check-Jul25'!BK231,"",'1. Live'!BK231-'check-Jul25'!BK231)</f>
        <v/>
      </c>
      <c r="BL231" t="str">
        <f>IF('1. Live'!BL231='check-Jul25'!BL231,"",'1. Live'!BL231-'check-Jul25'!BL231)</f>
        <v/>
      </c>
      <c r="BM231" t="str">
        <f>IF('1. Live'!BM231='check-Jul25'!BM231,"",'1. Live'!BM231-'check-Jul25'!BM231)</f>
        <v/>
      </c>
      <c r="BN231" t="str">
        <f>IF('1. Live'!BN231='check-Jul25'!BN231,"",'1. Live'!BN231-'check-Jul25'!BN231)</f>
        <v/>
      </c>
      <c r="BO231" t="str">
        <f>IF('1. Live'!BO231='check-Jul25'!BO231,"",'1. Live'!BO231-'check-Jul25'!BO231)</f>
        <v/>
      </c>
      <c r="BP231" t="str">
        <f>IF('1. Live'!BP231='check-Jul25'!BP231,"",'1. Live'!BP231-'check-Jul25'!BP231)</f>
        <v/>
      </c>
      <c r="BQ231" t="str">
        <f>IF('1. Live'!BQ231='check-Jul25'!BQ231,"",'1. Live'!BQ231-'check-Jul25'!BQ231)</f>
        <v/>
      </c>
      <c r="BR231" t="str">
        <f>IF('1. Live'!BR231='check-Jul25'!BR231,"",'1. Live'!BR231-'check-Jul25'!BR231)</f>
        <v/>
      </c>
      <c r="BS231" t="str">
        <f>IF('1. Live'!BS231='check-Jul25'!BS231,"",'1. Live'!BS231-'check-Jul25'!BS231)</f>
        <v/>
      </c>
      <c r="BT231" t="str">
        <f>IF('1. Live'!BT231='check-Jul25'!BT231,"",'1. Live'!BT231-'check-Jul25'!BT231)</f>
        <v/>
      </c>
      <c r="BU231" t="str">
        <f>IF('1. Live'!BU231='check-Jul25'!BU231,"",'1. Live'!BU231-'check-Jul25'!BU231)</f>
        <v/>
      </c>
      <c r="BV231" t="str">
        <f>IF('1. Live'!BV231='check-Jul25'!BV231,"",'1. Live'!BV231-'check-Jul25'!BV231)</f>
        <v/>
      </c>
      <c r="BW231" t="str">
        <f>IF('1. Live'!BW231='check-Jul25'!BW231,"",'1. Live'!BW231-'check-Jul25'!BW231)</f>
        <v/>
      </c>
      <c r="BX231" t="str">
        <f>IF('1. Live'!BX231='check-Jul25'!BX231,"",'1. Live'!BX231-'check-Jul25'!BX231)</f>
        <v/>
      </c>
      <c r="BY231" t="str">
        <f>IF('1. Live'!BY231='check-Jul25'!BY231,"",'1. Live'!BY231-'check-Jul25'!BY231)</f>
        <v/>
      </c>
      <c r="BZ231" t="str">
        <f>IF('1. Live'!BZ231='check-Jul25'!BZ231,"",'1. Live'!BZ231-'check-Jul25'!BZ231)</f>
        <v/>
      </c>
      <c r="CA231" t="str">
        <f>IF('1. Live'!CA231='check-Jul25'!CA231,"",'1. Live'!CA231-'check-Jul25'!CA231)</f>
        <v/>
      </c>
      <c r="CB231" t="str">
        <f>IF('1. Live'!CB231='check-Jul25'!CB231,"",'1. Live'!CB231-'check-Jul25'!CB231)</f>
        <v/>
      </c>
      <c r="CC231" t="str">
        <f>IF('1. Live'!CC231='check-Jul25'!CC231,"",'1. Live'!CC231-'check-Jul25'!CC231)</f>
        <v/>
      </c>
      <c r="CD231" t="str">
        <f>IF('1. Live'!CD231='check-Jul25'!CD231,"",'1. Live'!CD231-'check-Jul25'!CD231)</f>
        <v/>
      </c>
      <c r="CE231" t="str">
        <f>IF('1. Live'!CE231='check-Jul25'!CE231,"",'1. Live'!CE231-'check-Jul25'!CE231)</f>
        <v/>
      </c>
      <c r="CF231" t="str">
        <f>IF('1. Live'!CF231='check-Jul25'!CF231,"",'1. Live'!CF231-'check-Jul25'!CF231)</f>
        <v/>
      </c>
      <c r="CG231" t="str">
        <f>IF('1. Live'!CG231='check-Jul25'!CG231,"",'1. Live'!CG231-'check-Jul25'!CG231)</f>
        <v/>
      </c>
      <c r="CH231" t="str">
        <f>IF('1. Live'!CH231='check-Jul25'!CH231,"",'1. Live'!CH231-'check-Jul25'!CH231)</f>
        <v/>
      </c>
      <c r="CI231" t="str">
        <f>IF('1. Live'!CI231='check-Jul25'!CI231,"",'1. Live'!CI231-'check-Jul25'!CI231)</f>
        <v/>
      </c>
      <c r="CJ231" t="str">
        <f>IF('1. Live'!CJ231='check-Jul25'!CJ231,"",'1. Live'!CJ231-'check-Jul25'!CJ231)</f>
        <v/>
      </c>
      <c r="CK231" t="str">
        <f>IF('1. Live'!CK231='check-Jul25'!CK231,"",'1. Live'!CK231-'check-Jul25'!CK231)</f>
        <v/>
      </c>
      <c r="CL231" t="str">
        <f>IF('1. Live'!CL231='check-Jul25'!CL231,"",'1. Live'!CL231-'check-Jul25'!CL231)</f>
        <v/>
      </c>
      <c r="CM231" t="str">
        <f>IF('1. Live'!CM231='check-Jul25'!CM231,"",'1. Live'!CM231-'check-Jul25'!CM231)</f>
        <v/>
      </c>
      <c r="CN231" t="str">
        <f>IF('1. Live'!CN231='check-Jul25'!CN231,"",'1. Live'!CN231-'check-Jul25'!CN231)</f>
        <v/>
      </c>
      <c r="CO231" t="str">
        <f>IF('1. Live'!CO231='check-Jul25'!CO231,"",'1. Live'!CO231-'check-Jul25'!CO231)</f>
        <v/>
      </c>
      <c r="CP231" t="str">
        <f>IF('1. Live'!CP231='check-Jul25'!CP231,"",'1. Live'!CP231-'check-Jul25'!CP231)</f>
        <v/>
      </c>
      <c r="CQ231" t="str">
        <f>IF('1. Live'!CQ231='check-Jul25'!CQ231,"",'1. Live'!CQ231-'check-Jul25'!CQ231)</f>
        <v/>
      </c>
      <c r="CR231" t="str">
        <f>IF('1. Live'!CR231='check-Jul25'!CR231,"",'1. Live'!CR231-'check-Jul25'!CR231)</f>
        <v/>
      </c>
      <c r="CS231" t="str">
        <f>IF('1. Live'!CS231='check-Jul25'!CS231,"",'1. Live'!CS231-'check-Jul25'!CS231)</f>
        <v/>
      </c>
      <c r="CT231" t="str">
        <f>IF('1. Live'!CT231='check-Jul25'!CT231,"",'1. Live'!CT231-'check-Jul25'!CT231)</f>
        <v/>
      </c>
      <c r="CU231" t="str">
        <f>IF('1. Live'!CU231='check-Jul25'!CU231,"",'1. Live'!CU231-'check-Jul25'!CU231)</f>
        <v/>
      </c>
      <c r="CV231" t="str">
        <f>IF('1. Live'!CV231='check-Jul25'!CV231,"",'1. Live'!CV231-'check-Jul25'!CV231)</f>
        <v/>
      </c>
      <c r="CW231" t="str">
        <f>IF('1. Live'!CW231='check-Jul25'!CW231,"",'1. Live'!CW231-'check-Jul25'!CW231)</f>
        <v/>
      </c>
    </row>
    <row r="232" spans="10:101">
      <c r="J232" t="str">
        <f>IF('1. Live'!J232='check-Jul25'!J232,"",'1. Live'!J232-'check-Jul25'!J232)</f>
        <v/>
      </c>
      <c r="K232" t="str">
        <f>IF('1. Live'!K232='check-Jul25'!K232,"",'1. Live'!K232-'check-Jul25'!K232)</f>
        <v/>
      </c>
      <c r="L232" t="str">
        <f>IF('1. Live'!L232='check-Jul25'!L232,"",'1. Live'!L232-'check-Jul25'!L232)</f>
        <v/>
      </c>
      <c r="M232" t="str">
        <f>IF('1. Live'!M232='check-Jul25'!M232,"",'1. Live'!M232-'check-Jul25'!M232)</f>
        <v/>
      </c>
      <c r="N232" t="str">
        <f>IF('1. Live'!N232='check-Jul25'!N232,"",'1. Live'!N232-'check-Jul25'!N232)</f>
        <v/>
      </c>
      <c r="O232" t="str">
        <f>IF('1. Live'!O232='check-Jul25'!O232,"",'1. Live'!O232-'check-Jul25'!O232)</f>
        <v/>
      </c>
      <c r="P232" t="str">
        <f>IF('1. Live'!P232='check-Jul25'!P232,"",'1. Live'!P232-'check-Jul25'!P232)</f>
        <v/>
      </c>
      <c r="Q232" t="str">
        <f>IF('1. Live'!Q232='check-Jul25'!Q232,"",'1. Live'!Q232-'check-Jul25'!Q232)</f>
        <v/>
      </c>
      <c r="R232" t="str">
        <f>IF('1. Live'!R232='check-Jul25'!R232,"",'1. Live'!R232-'check-Jul25'!R232)</f>
        <v/>
      </c>
      <c r="S232" t="str">
        <f>IF('1. Live'!S232='check-Jul25'!S232,"",'1. Live'!S232-'check-Jul25'!S232)</f>
        <v/>
      </c>
      <c r="T232" t="str">
        <f>IF('1. Live'!T232='check-Jul25'!T232,"",'1. Live'!T232-'check-Jul25'!T232)</f>
        <v/>
      </c>
      <c r="U232" t="str">
        <f>IF('1. Live'!U232='check-Jul25'!U232,"",'1. Live'!U232-'check-Jul25'!U232)</f>
        <v/>
      </c>
      <c r="V232" t="str">
        <f>IF('1. Live'!V232='check-Jul25'!V232,"",'1. Live'!V232-'check-Jul25'!V232)</f>
        <v/>
      </c>
      <c r="W232" t="str">
        <f>IF('1. Live'!W232='check-Jul25'!W232,"",'1. Live'!W232-'check-Jul25'!W232)</f>
        <v/>
      </c>
      <c r="X232" t="str">
        <f>IF('1. Live'!X232='check-Jul25'!X232,"",'1. Live'!X232-'check-Jul25'!X232)</f>
        <v/>
      </c>
      <c r="Y232" t="str">
        <f>IF('1. Live'!Y232='check-Jul25'!Y232,"",'1. Live'!Y232-'check-Jul25'!Y232)</f>
        <v/>
      </c>
      <c r="Z232" t="str">
        <f>IF('1. Live'!Z232='check-Jul25'!Z232,"",'1. Live'!Z232-'check-Jul25'!Z232)</f>
        <v/>
      </c>
      <c r="AA232" t="str">
        <f>IF('1. Live'!AA232='check-Jul25'!AA232,"",'1. Live'!AA232-'check-Jul25'!AA232)</f>
        <v/>
      </c>
      <c r="AB232" t="str">
        <f>IF('1. Live'!AB232='check-Jul25'!AB232,"",'1. Live'!AB232-'check-Jul25'!AB232)</f>
        <v/>
      </c>
      <c r="AC232" t="str">
        <f>IF('1. Live'!AC232='check-Jul25'!AC232,"",'1. Live'!AC232-'check-Jul25'!AC232)</f>
        <v/>
      </c>
      <c r="AD232" t="str">
        <f>IF('1. Live'!AD232='check-Jul25'!AD232,"",'1. Live'!AD232-'check-Jul25'!AD232)</f>
        <v/>
      </c>
      <c r="AE232" t="str">
        <f>IF('1. Live'!AE232='check-Jul25'!AE232,"",'1. Live'!AE232-'check-Jul25'!AE232)</f>
        <v/>
      </c>
      <c r="AF232" t="str">
        <f>IF('1. Live'!AF232='check-Jul25'!AF232,"",'1. Live'!AF232-'check-Jul25'!AF232)</f>
        <v/>
      </c>
      <c r="AG232" t="str">
        <f>IF('1. Live'!AG232='check-Jul25'!AG232,"",'1. Live'!AG232-'check-Jul25'!AG232)</f>
        <v/>
      </c>
      <c r="AH232" t="str">
        <f>IF('1. Live'!AH232='check-Jul25'!AH232,"",'1. Live'!AH232-'check-Jul25'!AH232)</f>
        <v/>
      </c>
      <c r="AI232" t="str">
        <f>IF('1. Live'!AI232='check-Jul25'!AI232,"",'1. Live'!AI232-'check-Jul25'!AI232)</f>
        <v/>
      </c>
      <c r="AJ232" t="str">
        <f>IF('1. Live'!AJ232='check-Jul25'!AJ232,"",'1. Live'!AJ232-'check-Jul25'!AJ232)</f>
        <v/>
      </c>
      <c r="AK232" t="str">
        <f>IF('1. Live'!AK232='check-Jul25'!AK232,"",'1. Live'!AK232-'check-Jul25'!AK232)</f>
        <v/>
      </c>
      <c r="AL232" t="str">
        <f>IF('1. Live'!AL232='check-Jul25'!AL232,"",'1. Live'!AL232-'check-Jul25'!AL232)</f>
        <v/>
      </c>
      <c r="AM232" t="str">
        <f>IF('1. Live'!AM232='check-Jul25'!AM232,"",'1. Live'!AM232-'check-Jul25'!AM232)</f>
        <v/>
      </c>
      <c r="AN232" t="str">
        <f>IF('1. Live'!AN232='check-Jul25'!AN232,"",'1. Live'!AN232-'check-Jul25'!AN232)</f>
        <v/>
      </c>
      <c r="AO232" t="str">
        <f>IF('1. Live'!AO232='check-Jul25'!AO232,"",'1. Live'!AO232-'check-Jul25'!AO232)</f>
        <v/>
      </c>
      <c r="AP232" t="str">
        <f>IF('1. Live'!AP232='check-Jul25'!AP232,"",'1. Live'!AP232-'check-Jul25'!AP232)</f>
        <v/>
      </c>
      <c r="AQ232" t="str">
        <f>IF('1. Live'!AQ232='check-Jul25'!AQ232,"",'1. Live'!AQ232-'check-Jul25'!AQ232)</f>
        <v/>
      </c>
      <c r="AR232" t="str">
        <f>IF('1. Live'!AR232='check-Jul25'!AR232,"",'1. Live'!AR232-'check-Jul25'!AR232)</f>
        <v/>
      </c>
      <c r="AS232" t="str">
        <f>IF('1. Live'!AS232='check-Jul25'!AS232,"",'1. Live'!AS232-'check-Jul25'!AS232)</f>
        <v/>
      </c>
      <c r="AT232" t="str">
        <f>IF('1. Live'!AT232='check-Jul25'!AT232,"",'1. Live'!AT232-'check-Jul25'!AT232)</f>
        <v/>
      </c>
      <c r="AU232" t="str">
        <f>IF('1. Live'!AU232='check-Jul25'!AU232,"",'1. Live'!AU232-'check-Jul25'!AU232)</f>
        <v/>
      </c>
      <c r="AV232" t="str">
        <f>IF('1. Live'!AV232='check-Jul25'!AV232,"",'1. Live'!AV232-'check-Jul25'!AV232)</f>
        <v/>
      </c>
      <c r="AW232" t="str">
        <f>IF('1. Live'!AW232='check-Jul25'!AW232,"",'1. Live'!AW232-'check-Jul25'!AW232)</f>
        <v/>
      </c>
      <c r="AX232" t="str">
        <f>IF('1. Live'!AX232='check-Jul25'!AX232,"",'1. Live'!AX232-'check-Jul25'!AX232)</f>
        <v/>
      </c>
      <c r="AY232" t="str">
        <f>IF('1. Live'!AY232='check-Jul25'!AY232,"",'1. Live'!AY232-'check-Jul25'!AY232)</f>
        <v/>
      </c>
      <c r="AZ232" t="str">
        <f>IF('1. Live'!AZ232='check-Jul25'!AZ232,"",'1. Live'!AZ232-'check-Jul25'!AZ232)</f>
        <v/>
      </c>
      <c r="BA232" t="str">
        <f>IF('1. Live'!BA232='check-Jul25'!BA232,"",'1. Live'!BA232-'check-Jul25'!BA232)</f>
        <v/>
      </c>
      <c r="BB232" t="str">
        <f>IF('1. Live'!BB232='check-Jul25'!BB232,"",'1. Live'!BB232-'check-Jul25'!BB232)</f>
        <v/>
      </c>
      <c r="BC232" t="str">
        <f>IF('1. Live'!BC232='check-Jul25'!BC232,"",'1. Live'!BC232-'check-Jul25'!BC232)</f>
        <v/>
      </c>
      <c r="BD232" t="str">
        <f>IF('1. Live'!BD232='check-Jul25'!BD232,"",'1. Live'!BD232-'check-Jul25'!BD232)</f>
        <v/>
      </c>
      <c r="BE232" t="str">
        <f>IF('1. Live'!BE232='check-Jul25'!BE232,"",'1. Live'!BE232-'check-Jul25'!BE232)</f>
        <v/>
      </c>
      <c r="BF232" t="str">
        <f>IF('1. Live'!BF232='check-Jul25'!BF232,"",'1. Live'!BF232-'check-Jul25'!BF232)</f>
        <v/>
      </c>
      <c r="BG232" t="str">
        <f>IF('1. Live'!BG232='check-Jul25'!BG232,"",'1. Live'!BG232-'check-Jul25'!BG232)</f>
        <v/>
      </c>
      <c r="BH232" t="str">
        <f>IF('1. Live'!BH232='check-Jul25'!BH232,"",'1. Live'!BH232-'check-Jul25'!BH232)</f>
        <v/>
      </c>
      <c r="BI232" t="str">
        <f>IF('1. Live'!BI232='check-Jul25'!BI232,"",'1. Live'!BI232-'check-Jul25'!BI232)</f>
        <v/>
      </c>
      <c r="BJ232" t="str">
        <f>IF('1. Live'!BJ232='check-Jul25'!BJ232,"",'1. Live'!BJ232-'check-Jul25'!BJ232)</f>
        <v/>
      </c>
      <c r="BK232" t="str">
        <f>IF('1. Live'!BK232='check-Jul25'!BK232,"",'1. Live'!BK232-'check-Jul25'!BK232)</f>
        <v/>
      </c>
      <c r="BL232" t="str">
        <f>IF('1. Live'!BL232='check-Jul25'!BL232,"",'1. Live'!BL232-'check-Jul25'!BL232)</f>
        <v/>
      </c>
      <c r="BM232" t="str">
        <f>IF('1. Live'!BM232='check-Jul25'!BM232,"",'1. Live'!BM232-'check-Jul25'!BM232)</f>
        <v/>
      </c>
      <c r="BN232" t="str">
        <f>IF('1. Live'!BN232='check-Jul25'!BN232,"",'1. Live'!BN232-'check-Jul25'!BN232)</f>
        <v/>
      </c>
      <c r="BO232" t="str">
        <f>IF('1. Live'!BO232='check-Jul25'!BO232,"",'1. Live'!BO232-'check-Jul25'!BO232)</f>
        <v/>
      </c>
      <c r="BP232" t="str">
        <f>IF('1. Live'!BP232='check-Jul25'!BP232,"",'1. Live'!BP232-'check-Jul25'!BP232)</f>
        <v/>
      </c>
      <c r="BQ232" t="str">
        <f>IF('1. Live'!BQ232='check-Jul25'!BQ232,"",'1. Live'!BQ232-'check-Jul25'!BQ232)</f>
        <v/>
      </c>
      <c r="BR232" t="str">
        <f>IF('1. Live'!BR232='check-Jul25'!BR232,"",'1. Live'!BR232-'check-Jul25'!BR232)</f>
        <v/>
      </c>
      <c r="BS232" t="str">
        <f>IF('1. Live'!BS232='check-Jul25'!BS232,"",'1. Live'!BS232-'check-Jul25'!BS232)</f>
        <v/>
      </c>
      <c r="BT232" t="str">
        <f>IF('1. Live'!BT232='check-Jul25'!BT232,"",'1. Live'!BT232-'check-Jul25'!BT232)</f>
        <v/>
      </c>
      <c r="BU232" t="str">
        <f>IF('1. Live'!BU232='check-Jul25'!BU232,"",'1. Live'!BU232-'check-Jul25'!BU232)</f>
        <v/>
      </c>
      <c r="BV232" t="str">
        <f>IF('1. Live'!BV232='check-Jul25'!BV232,"",'1. Live'!BV232-'check-Jul25'!BV232)</f>
        <v/>
      </c>
      <c r="BW232" t="str">
        <f>IF('1. Live'!BW232='check-Jul25'!BW232,"",'1. Live'!BW232-'check-Jul25'!BW232)</f>
        <v/>
      </c>
      <c r="BX232" t="str">
        <f>IF('1. Live'!BX232='check-Jul25'!BX232,"",'1. Live'!BX232-'check-Jul25'!BX232)</f>
        <v/>
      </c>
      <c r="BY232" t="str">
        <f>IF('1. Live'!BY232='check-Jul25'!BY232,"",'1. Live'!BY232-'check-Jul25'!BY232)</f>
        <v/>
      </c>
      <c r="BZ232" t="str">
        <f>IF('1. Live'!BZ232='check-Jul25'!BZ232,"",'1. Live'!BZ232-'check-Jul25'!BZ232)</f>
        <v/>
      </c>
      <c r="CA232" t="str">
        <f>IF('1. Live'!CA232='check-Jul25'!CA232,"",'1. Live'!CA232-'check-Jul25'!CA232)</f>
        <v/>
      </c>
      <c r="CB232" t="str">
        <f>IF('1. Live'!CB232='check-Jul25'!CB232,"",'1. Live'!CB232-'check-Jul25'!CB232)</f>
        <v/>
      </c>
      <c r="CC232" t="str">
        <f>IF('1. Live'!CC232='check-Jul25'!CC232,"",'1. Live'!CC232-'check-Jul25'!CC232)</f>
        <v/>
      </c>
      <c r="CD232" t="str">
        <f>IF('1. Live'!CD232='check-Jul25'!CD232,"",'1. Live'!CD232-'check-Jul25'!CD232)</f>
        <v/>
      </c>
      <c r="CE232" t="str">
        <f>IF('1. Live'!CE232='check-Jul25'!CE232,"",'1. Live'!CE232-'check-Jul25'!CE232)</f>
        <v/>
      </c>
      <c r="CF232" t="str">
        <f>IF('1. Live'!CF232='check-Jul25'!CF232,"",'1. Live'!CF232-'check-Jul25'!CF232)</f>
        <v/>
      </c>
      <c r="CG232" t="str">
        <f>IF('1. Live'!CG232='check-Jul25'!CG232,"",'1. Live'!CG232-'check-Jul25'!CG232)</f>
        <v/>
      </c>
      <c r="CH232" t="str">
        <f>IF('1. Live'!CH232='check-Jul25'!CH232,"",'1. Live'!CH232-'check-Jul25'!CH232)</f>
        <v/>
      </c>
      <c r="CI232" t="str">
        <f>IF('1. Live'!CI232='check-Jul25'!CI232,"",'1. Live'!CI232-'check-Jul25'!CI232)</f>
        <v/>
      </c>
      <c r="CJ232" t="str">
        <f>IF('1. Live'!CJ232='check-Jul25'!CJ232,"",'1. Live'!CJ232-'check-Jul25'!CJ232)</f>
        <v/>
      </c>
      <c r="CK232" t="str">
        <f>IF('1. Live'!CK232='check-Jul25'!CK232,"",'1. Live'!CK232-'check-Jul25'!CK232)</f>
        <v/>
      </c>
      <c r="CL232" t="str">
        <f>IF('1. Live'!CL232='check-Jul25'!CL232,"",'1. Live'!CL232-'check-Jul25'!CL232)</f>
        <v/>
      </c>
      <c r="CM232" t="str">
        <f>IF('1. Live'!CM232='check-Jul25'!CM232,"",'1. Live'!CM232-'check-Jul25'!CM232)</f>
        <v/>
      </c>
      <c r="CN232" t="str">
        <f>IF('1. Live'!CN232='check-Jul25'!CN232,"",'1. Live'!CN232-'check-Jul25'!CN232)</f>
        <v/>
      </c>
      <c r="CO232" t="str">
        <f>IF('1. Live'!CO232='check-Jul25'!CO232,"",'1. Live'!CO232-'check-Jul25'!CO232)</f>
        <v/>
      </c>
      <c r="CP232" t="str">
        <f>IF('1. Live'!CP232='check-Jul25'!CP232,"",'1. Live'!CP232-'check-Jul25'!CP232)</f>
        <v/>
      </c>
      <c r="CQ232" t="str">
        <f>IF('1. Live'!CQ232='check-Jul25'!CQ232,"",'1. Live'!CQ232-'check-Jul25'!CQ232)</f>
        <v/>
      </c>
      <c r="CR232" t="str">
        <f>IF('1. Live'!CR232='check-Jul25'!CR232,"",'1. Live'!CR232-'check-Jul25'!CR232)</f>
        <v/>
      </c>
      <c r="CS232" t="str">
        <f>IF('1. Live'!CS232='check-Jul25'!CS232,"",'1. Live'!CS232-'check-Jul25'!CS232)</f>
        <v/>
      </c>
      <c r="CT232" t="str">
        <f>IF('1. Live'!CT232='check-Jul25'!CT232,"",'1. Live'!CT232-'check-Jul25'!CT232)</f>
        <v/>
      </c>
      <c r="CU232" t="str">
        <f>IF('1. Live'!CU232='check-Jul25'!CU232,"",'1. Live'!CU232-'check-Jul25'!CU232)</f>
        <v/>
      </c>
      <c r="CV232" t="str">
        <f>IF('1. Live'!CV232='check-Jul25'!CV232,"",'1. Live'!CV232-'check-Jul25'!CV232)</f>
        <v/>
      </c>
      <c r="CW232" t="str">
        <f>IF('1. Live'!CW232='check-Jul25'!CW232,"",'1. Live'!CW232-'check-Jul25'!CW232)</f>
        <v/>
      </c>
    </row>
    <row r="233" spans="10:101">
      <c r="J233" t="str">
        <f>IF('1. Live'!J233='check-Jul25'!J233,"",'1. Live'!J233-'check-Jul25'!J233)</f>
        <v/>
      </c>
      <c r="K233" t="str">
        <f>IF('1. Live'!K233='check-Jul25'!K233,"",'1. Live'!K233-'check-Jul25'!K233)</f>
        <v/>
      </c>
      <c r="L233" t="str">
        <f>IF('1. Live'!L233='check-Jul25'!L233,"",'1. Live'!L233-'check-Jul25'!L233)</f>
        <v/>
      </c>
      <c r="M233" t="str">
        <f>IF('1. Live'!M233='check-Jul25'!M233,"",'1. Live'!M233-'check-Jul25'!M233)</f>
        <v/>
      </c>
      <c r="N233" t="str">
        <f>IF('1. Live'!N233='check-Jul25'!N233,"",'1. Live'!N233-'check-Jul25'!N233)</f>
        <v/>
      </c>
      <c r="O233" t="str">
        <f>IF('1. Live'!O233='check-Jul25'!O233,"",'1. Live'!O233-'check-Jul25'!O233)</f>
        <v/>
      </c>
      <c r="P233" t="str">
        <f>IF('1. Live'!P233='check-Jul25'!P233,"",'1. Live'!P233-'check-Jul25'!P233)</f>
        <v/>
      </c>
      <c r="Q233" t="str">
        <f>IF('1. Live'!Q233='check-Jul25'!Q233,"",'1. Live'!Q233-'check-Jul25'!Q233)</f>
        <v/>
      </c>
      <c r="R233" t="str">
        <f>IF('1. Live'!R233='check-Jul25'!R233,"",'1. Live'!R233-'check-Jul25'!R233)</f>
        <v/>
      </c>
      <c r="S233" t="str">
        <f>IF('1. Live'!S233='check-Jul25'!S233,"",'1. Live'!S233-'check-Jul25'!S233)</f>
        <v/>
      </c>
      <c r="T233" t="str">
        <f>IF('1. Live'!T233='check-Jul25'!T233,"",'1. Live'!T233-'check-Jul25'!T233)</f>
        <v/>
      </c>
      <c r="U233" t="str">
        <f>IF('1. Live'!U233='check-Jul25'!U233,"",'1. Live'!U233-'check-Jul25'!U233)</f>
        <v/>
      </c>
      <c r="V233" t="str">
        <f>IF('1. Live'!V233='check-Jul25'!V233,"",'1. Live'!V233-'check-Jul25'!V233)</f>
        <v/>
      </c>
      <c r="W233" t="str">
        <f>IF('1. Live'!W233='check-Jul25'!W233,"",'1. Live'!W233-'check-Jul25'!W233)</f>
        <v/>
      </c>
      <c r="X233" t="str">
        <f>IF('1. Live'!X233='check-Jul25'!X233,"",'1. Live'!X233-'check-Jul25'!X233)</f>
        <v/>
      </c>
      <c r="Y233" t="str">
        <f>IF('1. Live'!Y233='check-Jul25'!Y233,"",'1. Live'!Y233-'check-Jul25'!Y233)</f>
        <v/>
      </c>
      <c r="Z233" t="str">
        <f>IF('1. Live'!Z233='check-Jul25'!Z233,"",'1. Live'!Z233-'check-Jul25'!Z233)</f>
        <v/>
      </c>
      <c r="AA233" t="str">
        <f>IF('1. Live'!AA233='check-Jul25'!AA233,"",'1. Live'!AA233-'check-Jul25'!AA233)</f>
        <v/>
      </c>
      <c r="AB233" t="str">
        <f>IF('1. Live'!AB233='check-Jul25'!AB233,"",'1. Live'!AB233-'check-Jul25'!AB233)</f>
        <v/>
      </c>
      <c r="AC233" t="str">
        <f>IF('1. Live'!AC233='check-Jul25'!AC233,"",'1. Live'!AC233-'check-Jul25'!AC233)</f>
        <v/>
      </c>
      <c r="AD233" t="str">
        <f>IF('1. Live'!AD233='check-Jul25'!AD233,"",'1. Live'!AD233-'check-Jul25'!AD233)</f>
        <v/>
      </c>
      <c r="AE233" t="str">
        <f>IF('1. Live'!AE233='check-Jul25'!AE233,"",'1. Live'!AE233-'check-Jul25'!AE233)</f>
        <v/>
      </c>
      <c r="AF233" t="str">
        <f>IF('1. Live'!AF233='check-Jul25'!AF233,"",'1. Live'!AF233-'check-Jul25'!AF233)</f>
        <v/>
      </c>
      <c r="AG233" t="str">
        <f>IF('1. Live'!AG233='check-Jul25'!AG233,"",'1. Live'!AG233-'check-Jul25'!AG233)</f>
        <v/>
      </c>
      <c r="AH233" t="str">
        <f>IF('1. Live'!AH233='check-Jul25'!AH233,"",'1. Live'!AH233-'check-Jul25'!AH233)</f>
        <v/>
      </c>
      <c r="AI233" t="str">
        <f>IF('1. Live'!AI233='check-Jul25'!AI233,"",'1. Live'!AI233-'check-Jul25'!AI233)</f>
        <v/>
      </c>
      <c r="AJ233" t="str">
        <f>IF('1. Live'!AJ233='check-Jul25'!AJ233,"",'1. Live'!AJ233-'check-Jul25'!AJ233)</f>
        <v/>
      </c>
      <c r="AK233" t="str">
        <f>IF('1. Live'!AK233='check-Jul25'!AK233,"",'1. Live'!AK233-'check-Jul25'!AK233)</f>
        <v/>
      </c>
      <c r="AL233" t="str">
        <f>IF('1. Live'!AL233='check-Jul25'!AL233,"",'1. Live'!AL233-'check-Jul25'!AL233)</f>
        <v/>
      </c>
      <c r="AM233" t="str">
        <f>IF('1. Live'!AM233='check-Jul25'!AM233,"",'1. Live'!AM233-'check-Jul25'!AM233)</f>
        <v/>
      </c>
      <c r="AN233" t="str">
        <f>IF('1. Live'!AN233='check-Jul25'!AN233,"",'1. Live'!AN233-'check-Jul25'!AN233)</f>
        <v/>
      </c>
      <c r="AO233" t="str">
        <f>IF('1. Live'!AO233='check-Jul25'!AO233,"",'1. Live'!AO233-'check-Jul25'!AO233)</f>
        <v/>
      </c>
      <c r="AP233" t="str">
        <f>IF('1. Live'!AP233='check-Jul25'!AP233,"",'1. Live'!AP233-'check-Jul25'!AP233)</f>
        <v/>
      </c>
      <c r="AQ233" t="str">
        <f>IF('1. Live'!AQ233='check-Jul25'!AQ233,"",'1. Live'!AQ233-'check-Jul25'!AQ233)</f>
        <v/>
      </c>
      <c r="AR233" t="str">
        <f>IF('1. Live'!AR233='check-Jul25'!AR233,"",'1. Live'!AR233-'check-Jul25'!AR233)</f>
        <v/>
      </c>
      <c r="AS233" t="str">
        <f>IF('1. Live'!AS233='check-Jul25'!AS233,"",'1. Live'!AS233-'check-Jul25'!AS233)</f>
        <v/>
      </c>
      <c r="AT233" t="str">
        <f>IF('1. Live'!AT233='check-Jul25'!AT233,"",'1. Live'!AT233-'check-Jul25'!AT233)</f>
        <v/>
      </c>
      <c r="AU233" t="str">
        <f>IF('1. Live'!AU233='check-Jul25'!AU233,"",'1. Live'!AU233-'check-Jul25'!AU233)</f>
        <v/>
      </c>
      <c r="AV233" t="str">
        <f>IF('1. Live'!AV233='check-Jul25'!AV233,"",'1. Live'!AV233-'check-Jul25'!AV233)</f>
        <v/>
      </c>
      <c r="AW233" t="str">
        <f>IF('1. Live'!AW233='check-Jul25'!AW233,"",'1. Live'!AW233-'check-Jul25'!AW233)</f>
        <v/>
      </c>
      <c r="AX233" t="str">
        <f>IF('1. Live'!AX233='check-Jul25'!AX233,"",'1. Live'!AX233-'check-Jul25'!AX233)</f>
        <v/>
      </c>
      <c r="AY233" t="str">
        <f>IF('1. Live'!AY233='check-Jul25'!AY233,"",'1. Live'!AY233-'check-Jul25'!AY233)</f>
        <v/>
      </c>
      <c r="AZ233" t="str">
        <f>IF('1. Live'!AZ233='check-Jul25'!AZ233,"",'1. Live'!AZ233-'check-Jul25'!AZ233)</f>
        <v/>
      </c>
      <c r="BA233" t="str">
        <f>IF('1. Live'!BA233='check-Jul25'!BA233,"",'1. Live'!BA233-'check-Jul25'!BA233)</f>
        <v/>
      </c>
      <c r="BB233" t="str">
        <f>IF('1. Live'!BB233='check-Jul25'!BB233,"",'1. Live'!BB233-'check-Jul25'!BB233)</f>
        <v/>
      </c>
      <c r="BC233" t="str">
        <f>IF('1. Live'!BC233='check-Jul25'!BC233,"",'1. Live'!BC233-'check-Jul25'!BC233)</f>
        <v/>
      </c>
      <c r="BD233" t="str">
        <f>IF('1. Live'!BD233='check-Jul25'!BD233,"",'1. Live'!BD233-'check-Jul25'!BD233)</f>
        <v/>
      </c>
      <c r="BE233" t="str">
        <f>IF('1. Live'!BE233='check-Jul25'!BE233,"",'1. Live'!BE233-'check-Jul25'!BE233)</f>
        <v/>
      </c>
      <c r="BF233" t="str">
        <f>IF('1. Live'!BF233='check-Jul25'!BF233,"",'1. Live'!BF233-'check-Jul25'!BF233)</f>
        <v/>
      </c>
      <c r="BG233" t="str">
        <f>IF('1. Live'!BG233='check-Jul25'!BG233,"",'1. Live'!BG233-'check-Jul25'!BG233)</f>
        <v/>
      </c>
      <c r="BH233" t="str">
        <f>IF('1. Live'!BH233='check-Jul25'!BH233,"",'1. Live'!BH233-'check-Jul25'!BH233)</f>
        <v/>
      </c>
      <c r="BI233" t="str">
        <f>IF('1. Live'!BI233='check-Jul25'!BI233,"",'1. Live'!BI233-'check-Jul25'!BI233)</f>
        <v/>
      </c>
      <c r="BJ233" t="str">
        <f>IF('1. Live'!BJ233='check-Jul25'!BJ233,"",'1. Live'!BJ233-'check-Jul25'!BJ233)</f>
        <v/>
      </c>
      <c r="BK233" t="str">
        <f>IF('1. Live'!BK233='check-Jul25'!BK233,"",'1. Live'!BK233-'check-Jul25'!BK233)</f>
        <v/>
      </c>
      <c r="BL233" t="str">
        <f>IF('1. Live'!BL233='check-Jul25'!BL233,"",'1. Live'!BL233-'check-Jul25'!BL233)</f>
        <v/>
      </c>
      <c r="BM233" t="str">
        <f>IF('1. Live'!BM233='check-Jul25'!BM233,"",'1. Live'!BM233-'check-Jul25'!BM233)</f>
        <v/>
      </c>
      <c r="BN233" t="str">
        <f>IF('1. Live'!BN233='check-Jul25'!BN233,"",'1. Live'!BN233-'check-Jul25'!BN233)</f>
        <v/>
      </c>
      <c r="BO233" t="str">
        <f>IF('1. Live'!BO233='check-Jul25'!BO233,"",'1. Live'!BO233-'check-Jul25'!BO233)</f>
        <v/>
      </c>
      <c r="BP233" t="str">
        <f>IF('1. Live'!BP233='check-Jul25'!BP233,"",'1. Live'!BP233-'check-Jul25'!BP233)</f>
        <v/>
      </c>
      <c r="BQ233" t="str">
        <f>IF('1. Live'!BQ233='check-Jul25'!BQ233,"",'1. Live'!BQ233-'check-Jul25'!BQ233)</f>
        <v/>
      </c>
      <c r="BR233" t="str">
        <f>IF('1. Live'!BR233='check-Jul25'!BR233,"",'1. Live'!BR233-'check-Jul25'!BR233)</f>
        <v/>
      </c>
      <c r="BS233" t="str">
        <f>IF('1. Live'!BS233='check-Jul25'!BS233,"",'1. Live'!BS233-'check-Jul25'!BS233)</f>
        <v/>
      </c>
      <c r="BT233" t="str">
        <f>IF('1. Live'!BT233='check-Jul25'!BT233,"",'1. Live'!BT233-'check-Jul25'!BT233)</f>
        <v/>
      </c>
      <c r="BU233" t="str">
        <f>IF('1. Live'!BU233='check-Jul25'!BU233,"",'1. Live'!BU233-'check-Jul25'!BU233)</f>
        <v/>
      </c>
      <c r="BV233" t="str">
        <f>IF('1. Live'!BV233='check-Jul25'!BV233,"",'1. Live'!BV233-'check-Jul25'!BV233)</f>
        <v/>
      </c>
      <c r="BW233" t="str">
        <f>IF('1. Live'!BW233='check-Jul25'!BW233,"",'1. Live'!BW233-'check-Jul25'!BW233)</f>
        <v/>
      </c>
      <c r="BX233" t="str">
        <f>IF('1. Live'!BX233='check-Jul25'!BX233,"",'1. Live'!BX233-'check-Jul25'!BX233)</f>
        <v/>
      </c>
      <c r="BY233" t="str">
        <f>IF('1. Live'!BY233='check-Jul25'!BY233,"",'1. Live'!BY233-'check-Jul25'!BY233)</f>
        <v/>
      </c>
      <c r="BZ233" t="str">
        <f>IF('1. Live'!BZ233='check-Jul25'!BZ233,"",'1. Live'!BZ233-'check-Jul25'!BZ233)</f>
        <v/>
      </c>
      <c r="CA233" t="str">
        <f>IF('1. Live'!CA233='check-Jul25'!CA233,"",'1. Live'!CA233-'check-Jul25'!CA233)</f>
        <v/>
      </c>
      <c r="CB233" t="str">
        <f>IF('1. Live'!CB233='check-Jul25'!CB233,"",'1. Live'!CB233-'check-Jul25'!CB233)</f>
        <v/>
      </c>
      <c r="CC233" t="str">
        <f>IF('1. Live'!CC233='check-Jul25'!CC233,"",'1. Live'!CC233-'check-Jul25'!CC233)</f>
        <v/>
      </c>
      <c r="CD233" t="str">
        <f>IF('1. Live'!CD233='check-Jul25'!CD233,"",'1. Live'!CD233-'check-Jul25'!CD233)</f>
        <v/>
      </c>
      <c r="CE233" t="str">
        <f>IF('1. Live'!CE233='check-Jul25'!CE233,"",'1. Live'!CE233-'check-Jul25'!CE233)</f>
        <v/>
      </c>
      <c r="CF233" t="str">
        <f>IF('1. Live'!CF233='check-Jul25'!CF233,"",'1. Live'!CF233-'check-Jul25'!CF233)</f>
        <v/>
      </c>
      <c r="CG233" t="str">
        <f>IF('1. Live'!CG233='check-Jul25'!CG233,"",'1. Live'!CG233-'check-Jul25'!CG233)</f>
        <v/>
      </c>
      <c r="CH233" t="str">
        <f>IF('1. Live'!CH233='check-Jul25'!CH233,"",'1. Live'!CH233-'check-Jul25'!CH233)</f>
        <v/>
      </c>
      <c r="CI233" t="str">
        <f>IF('1. Live'!CI233='check-Jul25'!CI233,"",'1. Live'!CI233-'check-Jul25'!CI233)</f>
        <v/>
      </c>
      <c r="CJ233" t="str">
        <f>IF('1. Live'!CJ233='check-Jul25'!CJ233,"",'1. Live'!CJ233-'check-Jul25'!CJ233)</f>
        <v/>
      </c>
      <c r="CK233" t="str">
        <f>IF('1. Live'!CK233='check-Jul25'!CK233,"",'1. Live'!CK233-'check-Jul25'!CK233)</f>
        <v/>
      </c>
      <c r="CL233" t="str">
        <f>IF('1. Live'!CL233='check-Jul25'!CL233,"",'1. Live'!CL233-'check-Jul25'!CL233)</f>
        <v/>
      </c>
      <c r="CM233" t="str">
        <f>IF('1. Live'!CM233='check-Jul25'!CM233,"",'1. Live'!CM233-'check-Jul25'!CM233)</f>
        <v/>
      </c>
      <c r="CN233" t="str">
        <f>IF('1. Live'!CN233='check-Jul25'!CN233,"",'1. Live'!CN233-'check-Jul25'!CN233)</f>
        <v/>
      </c>
      <c r="CO233" t="str">
        <f>IF('1. Live'!CO233='check-Jul25'!CO233,"",'1. Live'!CO233-'check-Jul25'!CO233)</f>
        <v/>
      </c>
      <c r="CP233" t="str">
        <f>IF('1. Live'!CP233='check-Jul25'!CP233,"",'1. Live'!CP233-'check-Jul25'!CP233)</f>
        <v/>
      </c>
      <c r="CQ233" t="str">
        <f>IF('1. Live'!CQ233='check-Jul25'!CQ233,"",'1. Live'!CQ233-'check-Jul25'!CQ233)</f>
        <v/>
      </c>
      <c r="CR233" t="str">
        <f>IF('1. Live'!CR233='check-Jul25'!CR233,"",'1. Live'!CR233-'check-Jul25'!CR233)</f>
        <v/>
      </c>
      <c r="CS233" t="str">
        <f>IF('1. Live'!CS233='check-Jul25'!CS233,"",'1. Live'!CS233-'check-Jul25'!CS233)</f>
        <v/>
      </c>
      <c r="CT233" t="str">
        <f>IF('1. Live'!CT233='check-Jul25'!CT233,"",'1. Live'!CT233-'check-Jul25'!CT233)</f>
        <v/>
      </c>
      <c r="CU233" t="str">
        <f>IF('1. Live'!CU233='check-Jul25'!CU233,"",'1. Live'!CU233-'check-Jul25'!CU233)</f>
        <v/>
      </c>
      <c r="CV233" t="str">
        <f>IF('1. Live'!CV233='check-Jul25'!CV233,"",'1. Live'!CV233-'check-Jul25'!CV233)</f>
        <v/>
      </c>
      <c r="CW233" t="str">
        <f>IF('1. Live'!CW233='check-Jul25'!CW233,"",'1. Live'!CW233-'check-Jul25'!CW233)</f>
        <v/>
      </c>
    </row>
    <row r="234" spans="10:101">
      <c r="J234" t="str">
        <f>IF('1. Live'!J234='check-Jul25'!J234,"",'1. Live'!J234-'check-Jul25'!J234)</f>
        <v/>
      </c>
      <c r="K234" t="str">
        <f>IF('1. Live'!K234='check-Jul25'!K234,"",'1. Live'!K234-'check-Jul25'!K234)</f>
        <v/>
      </c>
      <c r="L234" t="str">
        <f>IF('1. Live'!L234='check-Jul25'!L234,"",'1. Live'!L234-'check-Jul25'!L234)</f>
        <v/>
      </c>
      <c r="M234" t="str">
        <f>IF('1. Live'!M234='check-Jul25'!M234,"",'1. Live'!M234-'check-Jul25'!M234)</f>
        <v/>
      </c>
      <c r="N234" t="str">
        <f>IF('1. Live'!N234='check-Jul25'!N234,"",'1. Live'!N234-'check-Jul25'!N234)</f>
        <v/>
      </c>
      <c r="O234" t="str">
        <f>IF('1. Live'!O234='check-Jul25'!O234,"",'1. Live'!O234-'check-Jul25'!O234)</f>
        <v/>
      </c>
      <c r="P234" t="str">
        <f>IF('1. Live'!P234='check-Jul25'!P234,"",'1. Live'!P234-'check-Jul25'!P234)</f>
        <v/>
      </c>
      <c r="Q234" t="str">
        <f>IF('1. Live'!Q234='check-Jul25'!Q234,"",'1. Live'!Q234-'check-Jul25'!Q234)</f>
        <v/>
      </c>
      <c r="R234" t="str">
        <f>IF('1. Live'!R234='check-Jul25'!R234,"",'1. Live'!R234-'check-Jul25'!R234)</f>
        <v/>
      </c>
      <c r="S234" t="str">
        <f>IF('1. Live'!S234='check-Jul25'!S234,"",'1. Live'!S234-'check-Jul25'!S234)</f>
        <v/>
      </c>
      <c r="T234" t="str">
        <f>IF('1. Live'!T234='check-Jul25'!T234,"",'1. Live'!T234-'check-Jul25'!T234)</f>
        <v/>
      </c>
      <c r="U234" t="str">
        <f>IF('1. Live'!U234='check-Jul25'!U234,"",'1. Live'!U234-'check-Jul25'!U234)</f>
        <v/>
      </c>
      <c r="V234" t="str">
        <f>IF('1. Live'!V234='check-Jul25'!V234,"",'1. Live'!V234-'check-Jul25'!V234)</f>
        <v/>
      </c>
      <c r="W234" t="str">
        <f>IF('1. Live'!W234='check-Jul25'!W234,"",'1. Live'!W234-'check-Jul25'!W234)</f>
        <v/>
      </c>
      <c r="X234" t="str">
        <f>IF('1. Live'!X234='check-Jul25'!X234,"",'1. Live'!X234-'check-Jul25'!X234)</f>
        <v/>
      </c>
      <c r="Y234" t="str">
        <f>IF('1. Live'!Y234='check-Jul25'!Y234,"",'1. Live'!Y234-'check-Jul25'!Y234)</f>
        <v/>
      </c>
      <c r="Z234" t="str">
        <f>IF('1. Live'!Z234='check-Jul25'!Z234,"",'1. Live'!Z234-'check-Jul25'!Z234)</f>
        <v/>
      </c>
      <c r="AA234" t="str">
        <f>IF('1. Live'!AA234='check-Jul25'!AA234,"",'1. Live'!AA234-'check-Jul25'!AA234)</f>
        <v/>
      </c>
      <c r="AB234" t="str">
        <f>IF('1. Live'!AB234='check-Jul25'!AB234,"",'1. Live'!AB234-'check-Jul25'!AB234)</f>
        <v/>
      </c>
      <c r="AC234" t="str">
        <f>IF('1. Live'!AC234='check-Jul25'!AC234,"",'1. Live'!AC234-'check-Jul25'!AC234)</f>
        <v/>
      </c>
      <c r="AD234" t="str">
        <f>IF('1. Live'!AD234='check-Jul25'!AD234,"",'1. Live'!AD234-'check-Jul25'!AD234)</f>
        <v/>
      </c>
      <c r="AE234" t="str">
        <f>IF('1. Live'!AE234='check-Jul25'!AE234,"",'1. Live'!AE234-'check-Jul25'!AE234)</f>
        <v/>
      </c>
      <c r="AF234" t="str">
        <f>IF('1. Live'!AF234='check-Jul25'!AF234,"",'1. Live'!AF234-'check-Jul25'!AF234)</f>
        <v/>
      </c>
      <c r="AG234" t="str">
        <f>IF('1. Live'!AG234='check-Jul25'!AG234,"",'1. Live'!AG234-'check-Jul25'!AG234)</f>
        <v/>
      </c>
      <c r="AH234" t="str">
        <f>IF('1. Live'!AH234='check-Jul25'!AH234,"",'1. Live'!AH234-'check-Jul25'!AH234)</f>
        <v/>
      </c>
      <c r="AI234" t="str">
        <f>IF('1. Live'!AI234='check-Jul25'!AI234,"",'1. Live'!AI234-'check-Jul25'!AI234)</f>
        <v/>
      </c>
      <c r="AJ234" t="str">
        <f>IF('1. Live'!AJ234='check-Jul25'!AJ234,"",'1. Live'!AJ234-'check-Jul25'!AJ234)</f>
        <v/>
      </c>
      <c r="AK234" t="str">
        <f>IF('1. Live'!AK234='check-Jul25'!AK234,"",'1. Live'!AK234-'check-Jul25'!AK234)</f>
        <v/>
      </c>
      <c r="AL234" t="str">
        <f>IF('1. Live'!AL234='check-Jul25'!AL234,"",'1. Live'!AL234-'check-Jul25'!AL234)</f>
        <v/>
      </c>
      <c r="AM234" t="str">
        <f>IF('1. Live'!AM234='check-Jul25'!AM234,"",'1. Live'!AM234-'check-Jul25'!AM234)</f>
        <v/>
      </c>
      <c r="AN234" t="str">
        <f>IF('1. Live'!AN234='check-Jul25'!AN234,"",'1. Live'!AN234-'check-Jul25'!AN234)</f>
        <v/>
      </c>
      <c r="AO234" t="str">
        <f>IF('1. Live'!AO234='check-Jul25'!AO234,"",'1. Live'!AO234-'check-Jul25'!AO234)</f>
        <v/>
      </c>
      <c r="AP234" t="str">
        <f>IF('1. Live'!AP234='check-Jul25'!AP234,"",'1. Live'!AP234-'check-Jul25'!AP234)</f>
        <v/>
      </c>
      <c r="AQ234" t="str">
        <f>IF('1. Live'!AQ234='check-Jul25'!AQ234,"",'1. Live'!AQ234-'check-Jul25'!AQ234)</f>
        <v/>
      </c>
      <c r="AR234" t="str">
        <f>IF('1. Live'!AR234='check-Jul25'!AR234,"",'1. Live'!AR234-'check-Jul25'!AR234)</f>
        <v/>
      </c>
      <c r="AS234" t="str">
        <f>IF('1. Live'!AS234='check-Jul25'!AS234,"",'1. Live'!AS234-'check-Jul25'!AS234)</f>
        <v/>
      </c>
      <c r="AT234" t="str">
        <f>IF('1. Live'!AT234='check-Jul25'!AT234,"",'1. Live'!AT234-'check-Jul25'!AT234)</f>
        <v/>
      </c>
      <c r="AU234" t="str">
        <f>IF('1. Live'!AU234='check-Jul25'!AU234,"",'1. Live'!AU234-'check-Jul25'!AU234)</f>
        <v/>
      </c>
      <c r="AV234" t="str">
        <f>IF('1. Live'!AV234='check-Jul25'!AV234,"",'1. Live'!AV234-'check-Jul25'!AV234)</f>
        <v/>
      </c>
      <c r="AW234" t="str">
        <f>IF('1. Live'!AW234='check-Jul25'!AW234,"",'1. Live'!AW234-'check-Jul25'!AW234)</f>
        <v/>
      </c>
      <c r="AX234" t="str">
        <f>IF('1. Live'!AX234='check-Jul25'!AX234,"",'1. Live'!AX234-'check-Jul25'!AX234)</f>
        <v/>
      </c>
      <c r="AY234" t="str">
        <f>IF('1. Live'!AY234='check-Jul25'!AY234,"",'1. Live'!AY234-'check-Jul25'!AY234)</f>
        <v/>
      </c>
      <c r="AZ234" t="str">
        <f>IF('1. Live'!AZ234='check-Jul25'!AZ234,"",'1. Live'!AZ234-'check-Jul25'!AZ234)</f>
        <v/>
      </c>
      <c r="BA234" t="str">
        <f>IF('1. Live'!BA234='check-Jul25'!BA234,"",'1. Live'!BA234-'check-Jul25'!BA234)</f>
        <v/>
      </c>
      <c r="BB234" t="str">
        <f>IF('1. Live'!BB234='check-Jul25'!BB234,"",'1. Live'!BB234-'check-Jul25'!BB234)</f>
        <v/>
      </c>
      <c r="BC234" t="str">
        <f>IF('1. Live'!BC234='check-Jul25'!BC234,"",'1. Live'!BC234-'check-Jul25'!BC234)</f>
        <v/>
      </c>
      <c r="BD234" t="str">
        <f>IF('1. Live'!BD234='check-Jul25'!BD234,"",'1. Live'!BD234-'check-Jul25'!BD234)</f>
        <v/>
      </c>
      <c r="BE234" t="str">
        <f>IF('1. Live'!BE234='check-Jul25'!BE234,"",'1. Live'!BE234-'check-Jul25'!BE234)</f>
        <v/>
      </c>
      <c r="BF234" t="str">
        <f>IF('1. Live'!BF234='check-Jul25'!BF234,"",'1. Live'!BF234-'check-Jul25'!BF234)</f>
        <v/>
      </c>
      <c r="BG234" t="str">
        <f>IF('1. Live'!BG234='check-Jul25'!BG234,"",'1. Live'!BG234-'check-Jul25'!BG234)</f>
        <v/>
      </c>
      <c r="BH234" t="str">
        <f>IF('1. Live'!BH234='check-Jul25'!BH234,"",'1. Live'!BH234-'check-Jul25'!BH234)</f>
        <v/>
      </c>
      <c r="BI234" t="str">
        <f>IF('1. Live'!BI234='check-Jul25'!BI234,"",'1. Live'!BI234-'check-Jul25'!BI234)</f>
        <v/>
      </c>
      <c r="BJ234" t="str">
        <f>IF('1. Live'!BJ234='check-Jul25'!BJ234,"",'1. Live'!BJ234-'check-Jul25'!BJ234)</f>
        <v/>
      </c>
      <c r="BK234" t="str">
        <f>IF('1. Live'!BK234='check-Jul25'!BK234,"",'1. Live'!BK234-'check-Jul25'!BK234)</f>
        <v/>
      </c>
      <c r="BL234" t="str">
        <f>IF('1. Live'!BL234='check-Jul25'!BL234,"",'1. Live'!BL234-'check-Jul25'!BL234)</f>
        <v/>
      </c>
      <c r="BM234" t="str">
        <f>IF('1. Live'!BM234='check-Jul25'!BM234,"",'1. Live'!BM234-'check-Jul25'!BM234)</f>
        <v/>
      </c>
      <c r="BN234" t="str">
        <f>IF('1. Live'!BN234='check-Jul25'!BN234,"",'1. Live'!BN234-'check-Jul25'!BN234)</f>
        <v/>
      </c>
      <c r="BO234" t="str">
        <f>IF('1. Live'!BO234='check-Jul25'!BO234,"",'1. Live'!BO234-'check-Jul25'!BO234)</f>
        <v/>
      </c>
      <c r="BP234" t="str">
        <f>IF('1. Live'!BP234='check-Jul25'!BP234,"",'1. Live'!BP234-'check-Jul25'!BP234)</f>
        <v/>
      </c>
      <c r="BQ234" t="str">
        <f>IF('1. Live'!BQ234='check-Jul25'!BQ234,"",'1. Live'!BQ234-'check-Jul25'!BQ234)</f>
        <v/>
      </c>
      <c r="BR234" t="str">
        <f>IF('1. Live'!BR234='check-Jul25'!BR234,"",'1. Live'!BR234-'check-Jul25'!BR234)</f>
        <v/>
      </c>
      <c r="BS234" t="str">
        <f>IF('1. Live'!BS234='check-Jul25'!BS234,"",'1. Live'!BS234-'check-Jul25'!BS234)</f>
        <v/>
      </c>
      <c r="BT234" t="str">
        <f>IF('1. Live'!BT234='check-Jul25'!BT234,"",'1. Live'!BT234-'check-Jul25'!BT234)</f>
        <v/>
      </c>
      <c r="BU234" t="str">
        <f>IF('1. Live'!BU234='check-Jul25'!BU234,"",'1. Live'!BU234-'check-Jul25'!BU234)</f>
        <v/>
      </c>
      <c r="BV234" t="str">
        <f>IF('1. Live'!BV234='check-Jul25'!BV234,"",'1. Live'!BV234-'check-Jul25'!BV234)</f>
        <v/>
      </c>
      <c r="BW234" t="str">
        <f>IF('1. Live'!BW234='check-Jul25'!BW234,"",'1. Live'!BW234-'check-Jul25'!BW234)</f>
        <v/>
      </c>
      <c r="BX234" t="str">
        <f>IF('1. Live'!BX234='check-Jul25'!BX234,"",'1. Live'!BX234-'check-Jul25'!BX234)</f>
        <v/>
      </c>
      <c r="BY234" t="str">
        <f>IF('1. Live'!BY234='check-Jul25'!BY234,"",'1. Live'!BY234-'check-Jul25'!BY234)</f>
        <v/>
      </c>
      <c r="BZ234" t="str">
        <f>IF('1. Live'!BZ234='check-Jul25'!BZ234,"",'1. Live'!BZ234-'check-Jul25'!BZ234)</f>
        <v/>
      </c>
      <c r="CA234" t="str">
        <f>IF('1. Live'!CA234='check-Jul25'!CA234,"",'1. Live'!CA234-'check-Jul25'!CA234)</f>
        <v/>
      </c>
      <c r="CB234" t="str">
        <f>IF('1. Live'!CB234='check-Jul25'!CB234,"",'1. Live'!CB234-'check-Jul25'!CB234)</f>
        <v/>
      </c>
      <c r="CC234" t="str">
        <f>IF('1. Live'!CC234='check-Jul25'!CC234,"",'1. Live'!CC234-'check-Jul25'!CC234)</f>
        <v/>
      </c>
      <c r="CD234" t="str">
        <f>IF('1. Live'!CD234='check-Jul25'!CD234,"",'1. Live'!CD234-'check-Jul25'!CD234)</f>
        <v/>
      </c>
      <c r="CE234" t="str">
        <f>IF('1. Live'!CE234='check-Jul25'!CE234,"",'1. Live'!CE234-'check-Jul25'!CE234)</f>
        <v/>
      </c>
      <c r="CF234" t="str">
        <f>IF('1. Live'!CF234='check-Jul25'!CF234,"",'1. Live'!CF234-'check-Jul25'!CF234)</f>
        <v/>
      </c>
      <c r="CG234" t="str">
        <f>IF('1. Live'!CG234='check-Jul25'!CG234,"",'1. Live'!CG234-'check-Jul25'!CG234)</f>
        <v/>
      </c>
      <c r="CH234" t="str">
        <f>IF('1. Live'!CH234='check-Jul25'!CH234,"",'1. Live'!CH234-'check-Jul25'!CH234)</f>
        <v/>
      </c>
      <c r="CI234" t="str">
        <f>IF('1. Live'!CI234='check-Jul25'!CI234,"",'1. Live'!CI234-'check-Jul25'!CI234)</f>
        <v/>
      </c>
      <c r="CJ234" t="str">
        <f>IF('1. Live'!CJ234='check-Jul25'!CJ234,"",'1. Live'!CJ234-'check-Jul25'!CJ234)</f>
        <v/>
      </c>
      <c r="CK234" t="str">
        <f>IF('1. Live'!CK234='check-Jul25'!CK234,"",'1. Live'!CK234-'check-Jul25'!CK234)</f>
        <v/>
      </c>
      <c r="CL234" t="str">
        <f>IF('1. Live'!CL234='check-Jul25'!CL234,"",'1. Live'!CL234-'check-Jul25'!CL234)</f>
        <v/>
      </c>
      <c r="CM234" t="str">
        <f>IF('1. Live'!CM234='check-Jul25'!CM234,"",'1. Live'!CM234-'check-Jul25'!CM234)</f>
        <v/>
      </c>
      <c r="CN234" t="str">
        <f>IF('1. Live'!CN234='check-Jul25'!CN234,"",'1. Live'!CN234-'check-Jul25'!CN234)</f>
        <v/>
      </c>
      <c r="CO234" t="str">
        <f>IF('1. Live'!CO234='check-Jul25'!CO234,"",'1. Live'!CO234-'check-Jul25'!CO234)</f>
        <v/>
      </c>
      <c r="CP234" t="str">
        <f>IF('1. Live'!CP234='check-Jul25'!CP234,"",'1. Live'!CP234-'check-Jul25'!CP234)</f>
        <v/>
      </c>
      <c r="CQ234" t="str">
        <f>IF('1. Live'!CQ234='check-Jul25'!CQ234,"",'1. Live'!CQ234-'check-Jul25'!CQ234)</f>
        <v/>
      </c>
      <c r="CR234" t="str">
        <f>IF('1. Live'!CR234='check-Jul25'!CR234,"",'1. Live'!CR234-'check-Jul25'!CR234)</f>
        <v/>
      </c>
      <c r="CS234" t="str">
        <f>IF('1. Live'!CS234='check-Jul25'!CS234,"",'1. Live'!CS234-'check-Jul25'!CS234)</f>
        <v/>
      </c>
      <c r="CT234" t="str">
        <f>IF('1. Live'!CT234='check-Jul25'!CT234,"",'1. Live'!CT234-'check-Jul25'!CT234)</f>
        <v/>
      </c>
      <c r="CU234" t="str">
        <f>IF('1. Live'!CU234='check-Jul25'!CU234,"",'1. Live'!CU234-'check-Jul25'!CU234)</f>
        <v/>
      </c>
      <c r="CV234" t="str">
        <f>IF('1. Live'!CV234='check-Jul25'!CV234,"",'1. Live'!CV234-'check-Jul25'!CV234)</f>
        <v/>
      </c>
      <c r="CW234" t="str">
        <f>IF('1. Live'!CW234='check-Jul25'!CW234,"",'1. Live'!CW234-'check-Jul25'!CW234)</f>
        <v/>
      </c>
    </row>
    <row r="235" spans="10:101">
      <c r="J235" t="str">
        <f>IF('1. Live'!J235='check-Jul25'!J235,"",'1. Live'!J235-'check-Jul25'!J235)</f>
        <v/>
      </c>
      <c r="K235" t="str">
        <f>IF('1. Live'!K235='check-Jul25'!K235,"",'1. Live'!K235-'check-Jul25'!K235)</f>
        <v/>
      </c>
      <c r="L235" t="str">
        <f>IF('1. Live'!L235='check-Jul25'!L235,"",'1. Live'!L235-'check-Jul25'!L235)</f>
        <v/>
      </c>
      <c r="M235" t="str">
        <f>IF('1. Live'!M235='check-Jul25'!M235,"",'1. Live'!M235-'check-Jul25'!M235)</f>
        <v/>
      </c>
      <c r="N235" t="str">
        <f>IF('1. Live'!N235='check-Jul25'!N235,"",'1. Live'!N235-'check-Jul25'!N235)</f>
        <v/>
      </c>
      <c r="O235" t="str">
        <f>IF('1. Live'!O235='check-Jul25'!O235,"",'1. Live'!O235-'check-Jul25'!O235)</f>
        <v/>
      </c>
      <c r="P235" t="str">
        <f>IF('1. Live'!P235='check-Jul25'!P235,"",'1. Live'!P235-'check-Jul25'!P235)</f>
        <v/>
      </c>
      <c r="Q235" t="str">
        <f>IF('1. Live'!Q235='check-Jul25'!Q235,"",'1. Live'!Q235-'check-Jul25'!Q235)</f>
        <v/>
      </c>
      <c r="R235" t="str">
        <f>IF('1. Live'!R235='check-Jul25'!R235,"",'1. Live'!R235-'check-Jul25'!R235)</f>
        <v/>
      </c>
      <c r="S235" t="str">
        <f>IF('1. Live'!S235='check-Jul25'!S235,"",'1. Live'!S235-'check-Jul25'!S235)</f>
        <v/>
      </c>
      <c r="T235" t="str">
        <f>IF('1. Live'!T235='check-Jul25'!T235,"",'1. Live'!T235-'check-Jul25'!T235)</f>
        <v/>
      </c>
      <c r="U235" t="str">
        <f>IF('1. Live'!U235='check-Jul25'!U235,"",'1. Live'!U235-'check-Jul25'!U235)</f>
        <v/>
      </c>
      <c r="V235" t="str">
        <f>IF('1. Live'!V235='check-Jul25'!V235,"",'1. Live'!V235-'check-Jul25'!V235)</f>
        <v/>
      </c>
      <c r="W235" t="str">
        <f>IF('1. Live'!W235='check-Jul25'!W235,"",'1. Live'!W235-'check-Jul25'!W235)</f>
        <v/>
      </c>
      <c r="X235" t="str">
        <f>IF('1. Live'!X235='check-Jul25'!X235,"",'1. Live'!X235-'check-Jul25'!X235)</f>
        <v/>
      </c>
      <c r="Y235" t="str">
        <f>IF('1. Live'!Y235='check-Jul25'!Y235,"",'1. Live'!Y235-'check-Jul25'!Y235)</f>
        <v/>
      </c>
      <c r="Z235" t="str">
        <f>IF('1. Live'!Z235='check-Jul25'!Z235,"",'1. Live'!Z235-'check-Jul25'!Z235)</f>
        <v/>
      </c>
      <c r="AA235" t="str">
        <f>IF('1. Live'!AA235='check-Jul25'!AA235,"",'1. Live'!AA235-'check-Jul25'!AA235)</f>
        <v/>
      </c>
      <c r="AB235" t="str">
        <f>IF('1. Live'!AB235='check-Jul25'!AB235,"",'1. Live'!AB235-'check-Jul25'!AB235)</f>
        <v/>
      </c>
      <c r="AC235" t="str">
        <f>IF('1. Live'!AC235='check-Jul25'!AC235,"",'1. Live'!AC235-'check-Jul25'!AC235)</f>
        <v/>
      </c>
      <c r="AD235" t="str">
        <f>IF('1. Live'!AD235='check-Jul25'!AD235,"",'1. Live'!AD235-'check-Jul25'!AD235)</f>
        <v/>
      </c>
      <c r="AE235" t="str">
        <f>IF('1. Live'!AE235='check-Jul25'!AE235,"",'1. Live'!AE235-'check-Jul25'!AE235)</f>
        <v/>
      </c>
      <c r="AF235" t="str">
        <f>IF('1. Live'!AF235='check-Jul25'!AF235,"",'1. Live'!AF235-'check-Jul25'!AF235)</f>
        <v/>
      </c>
      <c r="AG235" t="str">
        <f>IF('1. Live'!AG235='check-Jul25'!AG235,"",'1. Live'!AG235-'check-Jul25'!AG235)</f>
        <v/>
      </c>
      <c r="AH235" t="str">
        <f>IF('1. Live'!AH235='check-Jul25'!AH235,"",'1. Live'!AH235-'check-Jul25'!AH235)</f>
        <v/>
      </c>
      <c r="AI235" t="str">
        <f>IF('1. Live'!AI235='check-Jul25'!AI235,"",'1. Live'!AI235-'check-Jul25'!AI235)</f>
        <v/>
      </c>
      <c r="AJ235" t="str">
        <f>IF('1. Live'!AJ235='check-Jul25'!AJ235,"",'1. Live'!AJ235-'check-Jul25'!AJ235)</f>
        <v/>
      </c>
      <c r="AK235" t="str">
        <f>IF('1. Live'!AK235='check-Jul25'!AK235,"",'1. Live'!AK235-'check-Jul25'!AK235)</f>
        <v/>
      </c>
      <c r="AL235" t="str">
        <f>IF('1. Live'!AL235='check-Jul25'!AL235,"",'1. Live'!AL235-'check-Jul25'!AL235)</f>
        <v/>
      </c>
      <c r="AM235" t="str">
        <f>IF('1. Live'!AM235='check-Jul25'!AM235,"",'1. Live'!AM235-'check-Jul25'!AM235)</f>
        <v/>
      </c>
      <c r="AN235" t="str">
        <f>IF('1. Live'!AN235='check-Jul25'!AN235,"",'1. Live'!AN235-'check-Jul25'!AN235)</f>
        <v/>
      </c>
      <c r="AO235" t="str">
        <f>IF('1. Live'!AO235='check-Jul25'!AO235,"",'1. Live'!AO235-'check-Jul25'!AO235)</f>
        <v/>
      </c>
      <c r="AP235" t="str">
        <f>IF('1. Live'!AP235='check-Jul25'!AP235,"",'1. Live'!AP235-'check-Jul25'!AP235)</f>
        <v/>
      </c>
      <c r="AQ235" t="str">
        <f>IF('1. Live'!AQ235='check-Jul25'!AQ235,"",'1. Live'!AQ235-'check-Jul25'!AQ235)</f>
        <v/>
      </c>
      <c r="AR235" t="str">
        <f>IF('1. Live'!AR235='check-Jul25'!AR235,"",'1. Live'!AR235-'check-Jul25'!AR235)</f>
        <v/>
      </c>
      <c r="AS235" t="str">
        <f>IF('1. Live'!AS235='check-Jul25'!AS235,"",'1. Live'!AS235-'check-Jul25'!AS235)</f>
        <v/>
      </c>
      <c r="AT235" t="str">
        <f>IF('1. Live'!AT235='check-Jul25'!AT235,"",'1. Live'!AT235-'check-Jul25'!AT235)</f>
        <v/>
      </c>
      <c r="AU235" t="str">
        <f>IF('1. Live'!AU235='check-Jul25'!AU235,"",'1. Live'!AU235-'check-Jul25'!AU235)</f>
        <v/>
      </c>
      <c r="AV235" t="str">
        <f>IF('1. Live'!AV235='check-Jul25'!AV235,"",'1. Live'!AV235-'check-Jul25'!AV235)</f>
        <v/>
      </c>
      <c r="AW235" t="str">
        <f>IF('1. Live'!AW235='check-Jul25'!AW235,"",'1. Live'!AW235-'check-Jul25'!AW235)</f>
        <v/>
      </c>
      <c r="AX235" t="str">
        <f>IF('1. Live'!AX235='check-Jul25'!AX235,"",'1. Live'!AX235-'check-Jul25'!AX235)</f>
        <v/>
      </c>
      <c r="AY235" t="str">
        <f>IF('1. Live'!AY235='check-Jul25'!AY235,"",'1. Live'!AY235-'check-Jul25'!AY235)</f>
        <v/>
      </c>
      <c r="AZ235" t="str">
        <f>IF('1. Live'!AZ235='check-Jul25'!AZ235,"",'1. Live'!AZ235-'check-Jul25'!AZ235)</f>
        <v/>
      </c>
      <c r="BA235" t="str">
        <f>IF('1. Live'!BA235='check-Jul25'!BA235,"",'1. Live'!BA235-'check-Jul25'!BA235)</f>
        <v/>
      </c>
      <c r="BB235" t="str">
        <f>IF('1. Live'!BB235='check-Jul25'!BB235,"",'1. Live'!BB235-'check-Jul25'!BB235)</f>
        <v/>
      </c>
      <c r="BC235" t="str">
        <f>IF('1. Live'!BC235='check-Jul25'!BC235,"",'1. Live'!BC235-'check-Jul25'!BC235)</f>
        <v/>
      </c>
      <c r="BD235" t="str">
        <f>IF('1. Live'!BD235='check-Jul25'!BD235,"",'1. Live'!BD235-'check-Jul25'!BD235)</f>
        <v/>
      </c>
      <c r="BE235" t="str">
        <f>IF('1. Live'!BE235='check-Jul25'!BE235,"",'1. Live'!BE235-'check-Jul25'!BE235)</f>
        <v/>
      </c>
      <c r="BF235" t="str">
        <f>IF('1. Live'!BF235='check-Jul25'!BF235,"",'1. Live'!BF235-'check-Jul25'!BF235)</f>
        <v/>
      </c>
      <c r="BG235" t="str">
        <f>IF('1. Live'!BG235='check-Jul25'!BG235,"",'1. Live'!BG235-'check-Jul25'!BG235)</f>
        <v/>
      </c>
      <c r="BH235" t="str">
        <f>IF('1. Live'!BH235='check-Jul25'!BH235,"",'1. Live'!BH235-'check-Jul25'!BH235)</f>
        <v/>
      </c>
      <c r="BI235" t="str">
        <f>IF('1. Live'!BI235='check-Jul25'!BI235,"",'1. Live'!BI235-'check-Jul25'!BI235)</f>
        <v/>
      </c>
      <c r="BJ235" t="str">
        <f>IF('1. Live'!BJ235='check-Jul25'!BJ235,"",'1. Live'!BJ235-'check-Jul25'!BJ235)</f>
        <v/>
      </c>
      <c r="BK235" t="str">
        <f>IF('1. Live'!BK235='check-Jul25'!BK235,"",'1. Live'!BK235-'check-Jul25'!BK235)</f>
        <v/>
      </c>
      <c r="BL235" t="str">
        <f>IF('1. Live'!BL235='check-Jul25'!BL235,"",'1. Live'!BL235-'check-Jul25'!BL235)</f>
        <v/>
      </c>
      <c r="BM235" t="str">
        <f>IF('1. Live'!BM235='check-Jul25'!BM235,"",'1. Live'!BM235-'check-Jul25'!BM235)</f>
        <v/>
      </c>
      <c r="BN235" t="str">
        <f>IF('1. Live'!BN235='check-Jul25'!BN235,"",'1. Live'!BN235-'check-Jul25'!BN235)</f>
        <v/>
      </c>
      <c r="BO235" t="str">
        <f>IF('1. Live'!BO235='check-Jul25'!BO235,"",'1. Live'!BO235-'check-Jul25'!BO235)</f>
        <v/>
      </c>
      <c r="BP235" t="str">
        <f>IF('1. Live'!BP235='check-Jul25'!BP235,"",'1. Live'!BP235-'check-Jul25'!BP235)</f>
        <v/>
      </c>
      <c r="BQ235" t="str">
        <f>IF('1. Live'!BQ235='check-Jul25'!BQ235,"",'1. Live'!BQ235-'check-Jul25'!BQ235)</f>
        <v/>
      </c>
      <c r="BR235" t="str">
        <f>IF('1. Live'!BR235='check-Jul25'!BR235,"",'1. Live'!BR235-'check-Jul25'!BR235)</f>
        <v/>
      </c>
      <c r="BS235" t="str">
        <f>IF('1. Live'!BS235='check-Jul25'!BS235,"",'1. Live'!BS235-'check-Jul25'!BS235)</f>
        <v/>
      </c>
      <c r="BT235" t="str">
        <f>IF('1. Live'!BT235='check-Jul25'!BT235,"",'1. Live'!BT235-'check-Jul25'!BT235)</f>
        <v/>
      </c>
      <c r="BU235" t="str">
        <f>IF('1. Live'!BU235='check-Jul25'!BU235,"",'1. Live'!BU235-'check-Jul25'!BU235)</f>
        <v/>
      </c>
      <c r="BV235" t="str">
        <f>IF('1. Live'!BV235='check-Jul25'!BV235,"",'1. Live'!BV235-'check-Jul25'!BV235)</f>
        <v/>
      </c>
      <c r="BW235" t="str">
        <f>IF('1. Live'!BW235='check-Jul25'!BW235,"",'1. Live'!BW235-'check-Jul25'!BW235)</f>
        <v/>
      </c>
      <c r="BX235" t="str">
        <f>IF('1. Live'!BX235='check-Jul25'!BX235,"",'1. Live'!BX235-'check-Jul25'!BX235)</f>
        <v/>
      </c>
      <c r="BY235" t="str">
        <f>IF('1. Live'!BY235='check-Jul25'!BY235,"",'1. Live'!BY235-'check-Jul25'!BY235)</f>
        <v/>
      </c>
      <c r="BZ235" t="str">
        <f>IF('1. Live'!BZ235='check-Jul25'!BZ235,"",'1. Live'!BZ235-'check-Jul25'!BZ235)</f>
        <v/>
      </c>
      <c r="CA235" t="str">
        <f>IF('1. Live'!CA235='check-Jul25'!CA235,"",'1. Live'!CA235-'check-Jul25'!CA235)</f>
        <v/>
      </c>
      <c r="CB235" t="str">
        <f>IF('1. Live'!CB235='check-Jul25'!CB235,"",'1. Live'!CB235-'check-Jul25'!CB235)</f>
        <v/>
      </c>
      <c r="CC235" t="str">
        <f>IF('1. Live'!CC235='check-Jul25'!CC235,"",'1. Live'!CC235-'check-Jul25'!CC235)</f>
        <v/>
      </c>
      <c r="CD235" t="str">
        <f>IF('1. Live'!CD235='check-Jul25'!CD235,"",'1. Live'!CD235-'check-Jul25'!CD235)</f>
        <v/>
      </c>
      <c r="CE235" t="str">
        <f>IF('1. Live'!CE235='check-Jul25'!CE235,"",'1. Live'!CE235-'check-Jul25'!CE235)</f>
        <v/>
      </c>
      <c r="CF235" t="str">
        <f>IF('1. Live'!CF235='check-Jul25'!CF235,"",'1. Live'!CF235-'check-Jul25'!CF235)</f>
        <v/>
      </c>
      <c r="CG235" t="str">
        <f>IF('1. Live'!CG235='check-Jul25'!CG235,"",'1. Live'!CG235-'check-Jul25'!CG235)</f>
        <v/>
      </c>
      <c r="CH235" t="str">
        <f>IF('1. Live'!CH235='check-Jul25'!CH235,"",'1. Live'!CH235-'check-Jul25'!CH235)</f>
        <v/>
      </c>
      <c r="CI235" t="str">
        <f>IF('1. Live'!CI235='check-Jul25'!CI235,"",'1. Live'!CI235-'check-Jul25'!CI235)</f>
        <v/>
      </c>
      <c r="CJ235" t="str">
        <f>IF('1. Live'!CJ235='check-Jul25'!CJ235,"",'1. Live'!CJ235-'check-Jul25'!CJ235)</f>
        <v/>
      </c>
      <c r="CK235" t="str">
        <f>IF('1. Live'!CK235='check-Jul25'!CK235,"",'1. Live'!CK235-'check-Jul25'!CK235)</f>
        <v/>
      </c>
      <c r="CL235" t="str">
        <f>IF('1. Live'!CL235='check-Jul25'!CL235,"",'1. Live'!CL235-'check-Jul25'!CL235)</f>
        <v/>
      </c>
      <c r="CM235" t="str">
        <f>IF('1. Live'!CM235='check-Jul25'!CM235,"",'1. Live'!CM235-'check-Jul25'!CM235)</f>
        <v/>
      </c>
      <c r="CN235" t="str">
        <f>IF('1. Live'!CN235='check-Jul25'!CN235,"",'1. Live'!CN235-'check-Jul25'!CN235)</f>
        <v/>
      </c>
      <c r="CO235" t="str">
        <f>IF('1. Live'!CO235='check-Jul25'!CO235,"",'1. Live'!CO235-'check-Jul25'!CO235)</f>
        <v/>
      </c>
      <c r="CP235" t="str">
        <f>IF('1. Live'!CP235='check-Jul25'!CP235,"",'1. Live'!CP235-'check-Jul25'!CP235)</f>
        <v/>
      </c>
      <c r="CQ235" t="str">
        <f>IF('1. Live'!CQ235='check-Jul25'!CQ235,"",'1. Live'!CQ235-'check-Jul25'!CQ235)</f>
        <v/>
      </c>
      <c r="CR235" t="str">
        <f>IF('1. Live'!CR235='check-Jul25'!CR235,"",'1. Live'!CR235-'check-Jul25'!CR235)</f>
        <v/>
      </c>
      <c r="CS235" t="str">
        <f>IF('1. Live'!CS235='check-Jul25'!CS235,"",'1. Live'!CS235-'check-Jul25'!CS235)</f>
        <v/>
      </c>
      <c r="CT235" t="str">
        <f>IF('1. Live'!CT235='check-Jul25'!CT235,"",'1. Live'!CT235-'check-Jul25'!CT235)</f>
        <v/>
      </c>
      <c r="CU235" t="str">
        <f>IF('1. Live'!CU235='check-Jul25'!CU235,"",'1. Live'!CU235-'check-Jul25'!CU235)</f>
        <v/>
      </c>
      <c r="CV235" t="str">
        <f>IF('1. Live'!CV235='check-Jul25'!CV235,"",'1. Live'!CV235-'check-Jul25'!CV235)</f>
        <v/>
      </c>
      <c r="CW235" t="str">
        <f>IF('1. Live'!CW235='check-Jul25'!CW235,"",'1. Live'!CW235-'check-Jul25'!CW235)</f>
        <v/>
      </c>
    </row>
    <row r="236" spans="10:101">
      <c r="J236" t="str">
        <f>IF('1. Live'!J236='check-Jul25'!J236,"",'1. Live'!J236-'check-Jul25'!J236)</f>
        <v/>
      </c>
      <c r="K236" t="str">
        <f>IF('1. Live'!K236='check-Jul25'!K236,"",'1. Live'!K236-'check-Jul25'!K236)</f>
        <v/>
      </c>
      <c r="L236" t="str">
        <f>IF('1. Live'!L236='check-Jul25'!L236,"",'1. Live'!L236-'check-Jul25'!L236)</f>
        <v/>
      </c>
      <c r="M236" t="str">
        <f>IF('1. Live'!M236='check-Jul25'!M236,"",'1. Live'!M236-'check-Jul25'!M236)</f>
        <v/>
      </c>
      <c r="N236" t="str">
        <f>IF('1. Live'!N236='check-Jul25'!N236,"",'1. Live'!N236-'check-Jul25'!N236)</f>
        <v/>
      </c>
      <c r="O236" t="str">
        <f>IF('1. Live'!O236='check-Jul25'!O236,"",'1. Live'!O236-'check-Jul25'!O236)</f>
        <v/>
      </c>
      <c r="P236" t="str">
        <f>IF('1. Live'!P236='check-Jul25'!P236,"",'1. Live'!P236-'check-Jul25'!P236)</f>
        <v/>
      </c>
      <c r="Q236" t="str">
        <f>IF('1. Live'!Q236='check-Jul25'!Q236,"",'1. Live'!Q236-'check-Jul25'!Q236)</f>
        <v/>
      </c>
      <c r="R236" t="str">
        <f>IF('1. Live'!R236='check-Jul25'!R236,"",'1. Live'!R236-'check-Jul25'!R236)</f>
        <v/>
      </c>
      <c r="S236" t="str">
        <f>IF('1. Live'!S236='check-Jul25'!S236,"",'1. Live'!S236-'check-Jul25'!S236)</f>
        <v/>
      </c>
      <c r="T236" t="str">
        <f>IF('1. Live'!T236='check-Jul25'!T236,"",'1. Live'!T236-'check-Jul25'!T236)</f>
        <v/>
      </c>
      <c r="U236" t="str">
        <f>IF('1. Live'!U236='check-Jul25'!U236,"",'1. Live'!U236-'check-Jul25'!U236)</f>
        <v/>
      </c>
      <c r="V236" t="str">
        <f>IF('1. Live'!V236='check-Jul25'!V236,"",'1. Live'!V236-'check-Jul25'!V236)</f>
        <v/>
      </c>
      <c r="W236" t="str">
        <f>IF('1. Live'!W236='check-Jul25'!W236,"",'1. Live'!W236-'check-Jul25'!W236)</f>
        <v/>
      </c>
      <c r="X236" t="str">
        <f>IF('1. Live'!X236='check-Jul25'!X236,"",'1. Live'!X236-'check-Jul25'!X236)</f>
        <v/>
      </c>
      <c r="Y236" t="str">
        <f>IF('1. Live'!Y236='check-Jul25'!Y236,"",'1. Live'!Y236-'check-Jul25'!Y236)</f>
        <v/>
      </c>
      <c r="Z236" t="str">
        <f>IF('1. Live'!Z236='check-Jul25'!Z236,"",'1. Live'!Z236-'check-Jul25'!Z236)</f>
        <v/>
      </c>
      <c r="AA236" t="str">
        <f>IF('1. Live'!AA236='check-Jul25'!AA236,"",'1. Live'!AA236-'check-Jul25'!AA236)</f>
        <v/>
      </c>
      <c r="AB236" t="str">
        <f>IF('1. Live'!AB236='check-Jul25'!AB236,"",'1. Live'!AB236-'check-Jul25'!AB236)</f>
        <v/>
      </c>
      <c r="AC236" t="str">
        <f>IF('1. Live'!AC236='check-Jul25'!AC236,"",'1. Live'!AC236-'check-Jul25'!AC236)</f>
        <v/>
      </c>
      <c r="AD236" t="str">
        <f>IF('1. Live'!AD236='check-Jul25'!AD236,"",'1. Live'!AD236-'check-Jul25'!AD236)</f>
        <v/>
      </c>
      <c r="AE236" t="str">
        <f>IF('1. Live'!AE236='check-Jul25'!AE236,"",'1. Live'!AE236-'check-Jul25'!AE236)</f>
        <v/>
      </c>
      <c r="AF236" t="str">
        <f>IF('1. Live'!AF236='check-Jul25'!AF236,"",'1. Live'!AF236-'check-Jul25'!AF236)</f>
        <v/>
      </c>
      <c r="AG236" t="str">
        <f>IF('1. Live'!AG236='check-Jul25'!AG236,"",'1. Live'!AG236-'check-Jul25'!AG236)</f>
        <v/>
      </c>
      <c r="AH236" t="str">
        <f>IF('1. Live'!AH236='check-Jul25'!AH236,"",'1. Live'!AH236-'check-Jul25'!AH236)</f>
        <v/>
      </c>
      <c r="AI236" t="str">
        <f>IF('1. Live'!AI236='check-Jul25'!AI236,"",'1. Live'!AI236-'check-Jul25'!AI236)</f>
        <v/>
      </c>
      <c r="AJ236" t="str">
        <f>IF('1. Live'!AJ236='check-Jul25'!AJ236,"",'1. Live'!AJ236-'check-Jul25'!AJ236)</f>
        <v/>
      </c>
      <c r="AK236" t="str">
        <f>IF('1. Live'!AK236='check-Jul25'!AK236,"",'1. Live'!AK236-'check-Jul25'!AK236)</f>
        <v/>
      </c>
      <c r="AL236" t="str">
        <f>IF('1. Live'!AL236='check-Jul25'!AL236,"",'1. Live'!AL236-'check-Jul25'!AL236)</f>
        <v/>
      </c>
      <c r="AM236" t="str">
        <f>IF('1. Live'!AM236='check-Jul25'!AM236,"",'1. Live'!AM236-'check-Jul25'!AM236)</f>
        <v/>
      </c>
      <c r="AN236" t="str">
        <f>IF('1. Live'!AN236='check-Jul25'!AN236,"",'1. Live'!AN236-'check-Jul25'!AN236)</f>
        <v/>
      </c>
      <c r="AO236" t="str">
        <f>IF('1. Live'!AO236='check-Jul25'!AO236,"",'1. Live'!AO236-'check-Jul25'!AO236)</f>
        <v/>
      </c>
      <c r="AP236" t="str">
        <f>IF('1. Live'!AP236='check-Jul25'!AP236,"",'1. Live'!AP236-'check-Jul25'!AP236)</f>
        <v/>
      </c>
      <c r="AQ236" t="str">
        <f>IF('1. Live'!AQ236='check-Jul25'!AQ236,"",'1. Live'!AQ236-'check-Jul25'!AQ236)</f>
        <v/>
      </c>
      <c r="AR236" t="str">
        <f>IF('1. Live'!AR236='check-Jul25'!AR236,"",'1. Live'!AR236-'check-Jul25'!AR236)</f>
        <v/>
      </c>
      <c r="AS236" t="str">
        <f>IF('1. Live'!AS236='check-Jul25'!AS236,"",'1. Live'!AS236-'check-Jul25'!AS236)</f>
        <v/>
      </c>
      <c r="AT236" t="str">
        <f>IF('1. Live'!AT236='check-Jul25'!AT236,"",'1. Live'!AT236-'check-Jul25'!AT236)</f>
        <v/>
      </c>
      <c r="AU236" t="str">
        <f>IF('1. Live'!AU236='check-Jul25'!AU236,"",'1. Live'!AU236-'check-Jul25'!AU236)</f>
        <v/>
      </c>
      <c r="AV236" t="str">
        <f>IF('1. Live'!AV236='check-Jul25'!AV236,"",'1. Live'!AV236-'check-Jul25'!AV236)</f>
        <v/>
      </c>
      <c r="AW236" t="str">
        <f>IF('1. Live'!AW236='check-Jul25'!AW236,"",'1. Live'!AW236-'check-Jul25'!AW236)</f>
        <v/>
      </c>
      <c r="AX236" t="str">
        <f>IF('1. Live'!AX236='check-Jul25'!AX236,"",'1. Live'!AX236-'check-Jul25'!AX236)</f>
        <v/>
      </c>
      <c r="AY236" t="str">
        <f>IF('1. Live'!AY236='check-Jul25'!AY236,"",'1. Live'!AY236-'check-Jul25'!AY236)</f>
        <v/>
      </c>
      <c r="AZ236" t="str">
        <f>IF('1. Live'!AZ236='check-Jul25'!AZ236,"",'1. Live'!AZ236-'check-Jul25'!AZ236)</f>
        <v/>
      </c>
      <c r="BA236" t="str">
        <f>IF('1. Live'!BA236='check-Jul25'!BA236,"",'1. Live'!BA236-'check-Jul25'!BA236)</f>
        <v/>
      </c>
      <c r="BB236" t="str">
        <f>IF('1. Live'!BB236='check-Jul25'!BB236,"",'1. Live'!BB236-'check-Jul25'!BB236)</f>
        <v/>
      </c>
      <c r="BC236" t="str">
        <f>IF('1. Live'!BC236='check-Jul25'!BC236,"",'1. Live'!BC236-'check-Jul25'!BC236)</f>
        <v/>
      </c>
      <c r="BD236" t="str">
        <f>IF('1. Live'!BD236='check-Jul25'!BD236,"",'1. Live'!BD236-'check-Jul25'!BD236)</f>
        <v/>
      </c>
      <c r="BE236" t="str">
        <f>IF('1. Live'!BE236='check-Jul25'!BE236,"",'1. Live'!BE236-'check-Jul25'!BE236)</f>
        <v/>
      </c>
      <c r="BF236" t="str">
        <f>IF('1. Live'!BF236='check-Jul25'!BF236,"",'1. Live'!BF236-'check-Jul25'!BF236)</f>
        <v/>
      </c>
      <c r="BG236" t="str">
        <f>IF('1. Live'!BG236='check-Jul25'!BG236,"",'1. Live'!BG236-'check-Jul25'!BG236)</f>
        <v/>
      </c>
      <c r="BH236" t="str">
        <f>IF('1. Live'!BH236='check-Jul25'!BH236,"",'1. Live'!BH236-'check-Jul25'!BH236)</f>
        <v/>
      </c>
      <c r="BI236" t="str">
        <f>IF('1. Live'!BI236='check-Jul25'!BI236,"",'1. Live'!BI236-'check-Jul25'!BI236)</f>
        <v/>
      </c>
      <c r="BJ236" t="str">
        <f>IF('1. Live'!BJ236='check-Jul25'!BJ236,"",'1. Live'!BJ236-'check-Jul25'!BJ236)</f>
        <v/>
      </c>
      <c r="BK236" t="str">
        <f>IF('1. Live'!BK236='check-Jul25'!BK236,"",'1. Live'!BK236-'check-Jul25'!BK236)</f>
        <v/>
      </c>
      <c r="BL236" t="str">
        <f>IF('1. Live'!BL236='check-Jul25'!BL236,"",'1. Live'!BL236-'check-Jul25'!BL236)</f>
        <v/>
      </c>
      <c r="BM236" t="str">
        <f>IF('1. Live'!BM236='check-Jul25'!BM236,"",'1. Live'!BM236-'check-Jul25'!BM236)</f>
        <v/>
      </c>
      <c r="BN236" t="str">
        <f>IF('1. Live'!BN236='check-Jul25'!BN236,"",'1. Live'!BN236-'check-Jul25'!BN236)</f>
        <v/>
      </c>
      <c r="BO236" t="str">
        <f>IF('1. Live'!BO236='check-Jul25'!BO236,"",'1. Live'!BO236-'check-Jul25'!BO236)</f>
        <v/>
      </c>
      <c r="BP236" t="str">
        <f>IF('1. Live'!BP236='check-Jul25'!BP236,"",'1. Live'!BP236-'check-Jul25'!BP236)</f>
        <v/>
      </c>
      <c r="BQ236" t="str">
        <f>IF('1. Live'!BQ236='check-Jul25'!BQ236,"",'1. Live'!BQ236-'check-Jul25'!BQ236)</f>
        <v/>
      </c>
      <c r="BR236" t="str">
        <f>IF('1. Live'!BR236='check-Jul25'!BR236,"",'1. Live'!BR236-'check-Jul25'!BR236)</f>
        <v/>
      </c>
      <c r="BS236" t="str">
        <f>IF('1. Live'!BS236='check-Jul25'!BS236,"",'1. Live'!BS236-'check-Jul25'!BS236)</f>
        <v/>
      </c>
      <c r="BT236" t="str">
        <f>IF('1. Live'!BT236='check-Jul25'!BT236,"",'1. Live'!BT236-'check-Jul25'!BT236)</f>
        <v/>
      </c>
      <c r="BU236" t="str">
        <f>IF('1. Live'!BU236='check-Jul25'!BU236,"",'1. Live'!BU236-'check-Jul25'!BU236)</f>
        <v/>
      </c>
      <c r="BV236" t="str">
        <f>IF('1. Live'!BV236='check-Jul25'!BV236,"",'1. Live'!BV236-'check-Jul25'!BV236)</f>
        <v/>
      </c>
      <c r="BW236" t="str">
        <f>IF('1. Live'!BW236='check-Jul25'!BW236,"",'1. Live'!BW236-'check-Jul25'!BW236)</f>
        <v/>
      </c>
      <c r="BX236" t="str">
        <f>IF('1. Live'!BX236='check-Jul25'!BX236,"",'1. Live'!BX236-'check-Jul25'!BX236)</f>
        <v/>
      </c>
      <c r="BY236" t="str">
        <f>IF('1. Live'!BY236='check-Jul25'!BY236,"",'1. Live'!BY236-'check-Jul25'!BY236)</f>
        <v/>
      </c>
      <c r="BZ236" t="str">
        <f>IF('1. Live'!BZ236='check-Jul25'!BZ236,"",'1. Live'!BZ236-'check-Jul25'!BZ236)</f>
        <v/>
      </c>
      <c r="CA236" t="str">
        <f>IF('1. Live'!CA236='check-Jul25'!CA236,"",'1. Live'!CA236-'check-Jul25'!CA236)</f>
        <v/>
      </c>
      <c r="CB236" t="str">
        <f>IF('1. Live'!CB236='check-Jul25'!CB236,"",'1. Live'!CB236-'check-Jul25'!CB236)</f>
        <v/>
      </c>
      <c r="CC236" t="str">
        <f>IF('1. Live'!CC236='check-Jul25'!CC236,"",'1. Live'!CC236-'check-Jul25'!CC236)</f>
        <v/>
      </c>
      <c r="CD236" t="str">
        <f>IF('1. Live'!CD236='check-Jul25'!CD236,"",'1. Live'!CD236-'check-Jul25'!CD236)</f>
        <v/>
      </c>
      <c r="CE236" t="str">
        <f>IF('1. Live'!CE236='check-Jul25'!CE236,"",'1. Live'!CE236-'check-Jul25'!CE236)</f>
        <v/>
      </c>
      <c r="CF236" t="str">
        <f>IF('1. Live'!CF236='check-Jul25'!CF236,"",'1. Live'!CF236-'check-Jul25'!CF236)</f>
        <v/>
      </c>
      <c r="CG236" t="str">
        <f>IF('1. Live'!CG236='check-Jul25'!CG236,"",'1. Live'!CG236-'check-Jul25'!CG236)</f>
        <v/>
      </c>
      <c r="CH236" t="str">
        <f>IF('1. Live'!CH236='check-Jul25'!CH236,"",'1. Live'!CH236-'check-Jul25'!CH236)</f>
        <v/>
      </c>
      <c r="CI236" t="str">
        <f>IF('1. Live'!CI236='check-Jul25'!CI236,"",'1. Live'!CI236-'check-Jul25'!CI236)</f>
        <v/>
      </c>
      <c r="CJ236" t="str">
        <f>IF('1. Live'!CJ236='check-Jul25'!CJ236,"",'1. Live'!CJ236-'check-Jul25'!CJ236)</f>
        <v/>
      </c>
      <c r="CK236" t="str">
        <f>IF('1. Live'!CK236='check-Jul25'!CK236,"",'1. Live'!CK236-'check-Jul25'!CK236)</f>
        <v/>
      </c>
      <c r="CL236" t="str">
        <f>IF('1. Live'!CL236='check-Jul25'!CL236,"",'1. Live'!CL236-'check-Jul25'!CL236)</f>
        <v/>
      </c>
      <c r="CM236" t="str">
        <f>IF('1. Live'!CM236='check-Jul25'!CM236,"",'1. Live'!CM236-'check-Jul25'!CM236)</f>
        <v/>
      </c>
      <c r="CN236" t="str">
        <f>IF('1. Live'!CN236='check-Jul25'!CN236,"",'1. Live'!CN236-'check-Jul25'!CN236)</f>
        <v/>
      </c>
      <c r="CO236" t="str">
        <f>IF('1. Live'!CO236='check-Jul25'!CO236,"",'1. Live'!CO236-'check-Jul25'!CO236)</f>
        <v/>
      </c>
      <c r="CP236" t="str">
        <f>IF('1. Live'!CP236='check-Jul25'!CP236,"",'1. Live'!CP236-'check-Jul25'!CP236)</f>
        <v/>
      </c>
      <c r="CQ236" t="str">
        <f>IF('1. Live'!CQ236='check-Jul25'!CQ236,"",'1. Live'!CQ236-'check-Jul25'!CQ236)</f>
        <v/>
      </c>
      <c r="CR236" t="str">
        <f>IF('1. Live'!CR236='check-Jul25'!CR236,"",'1. Live'!CR236-'check-Jul25'!CR236)</f>
        <v/>
      </c>
      <c r="CS236" t="str">
        <f>IF('1. Live'!CS236='check-Jul25'!CS236,"",'1. Live'!CS236-'check-Jul25'!CS236)</f>
        <v/>
      </c>
      <c r="CT236" t="str">
        <f>IF('1. Live'!CT236='check-Jul25'!CT236,"",'1. Live'!CT236-'check-Jul25'!CT236)</f>
        <v/>
      </c>
      <c r="CU236" t="str">
        <f>IF('1. Live'!CU236='check-Jul25'!CU236,"",'1. Live'!CU236-'check-Jul25'!CU236)</f>
        <v/>
      </c>
      <c r="CV236" t="str">
        <f>IF('1. Live'!CV236='check-Jul25'!CV236,"",'1. Live'!CV236-'check-Jul25'!CV236)</f>
        <v/>
      </c>
      <c r="CW236" t="str">
        <f>IF('1. Live'!CW236='check-Jul25'!CW236,"",'1. Live'!CW236-'check-Jul25'!CW236)</f>
        <v/>
      </c>
    </row>
    <row r="237" spans="10:101">
      <c r="J237" t="str">
        <f>IF('1. Live'!J237='check-Jul25'!J237,"",'1. Live'!J237-'check-Jul25'!J237)</f>
        <v/>
      </c>
      <c r="K237" t="str">
        <f>IF('1. Live'!K237='check-Jul25'!K237,"",'1. Live'!K237-'check-Jul25'!K237)</f>
        <v/>
      </c>
      <c r="L237" t="str">
        <f>IF('1. Live'!L237='check-Jul25'!L237,"",'1. Live'!L237-'check-Jul25'!L237)</f>
        <v/>
      </c>
      <c r="M237" t="str">
        <f>IF('1. Live'!M237='check-Jul25'!M237,"",'1. Live'!M237-'check-Jul25'!M237)</f>
        <v/>
      </c>
      <c r="N237" t="str">
        <f>IF('1. Live'!N237='check-Jul25'!N237,"",'1. Live'!N237-'check-Jul25'!N237)</f>
        <v/>
      </c>
      <c r="O237" t="str">
        <f>IF('1. Live'!O237='check-Jul25'!O237,"",'1. Live'!O237-'check-Jul25'!O237)</f>
        <v/>
      </c>
      <c r="P237" t="str">
        <f>IF('1. Live'!P237='check-Jul25'!P237,"",'1. Live'!P237-'check-Jul25'!P237)</f>
        <v/>
      </c>
      <c r="Q237" t="str">
        <f>IF('1. Live'!Q237='check-Jul25'!Q237,"",'1. Live'!Q237-'check-Jul25'!Q237)</f>
        <v/>
      </c>
      <c r="R237" t="str">
        <f>IF('1. Live'!R237='check-Jul25'!R237,"",'1. Live'!R237-'check-Jul25'!R237)</f>
        <v/>
      </c>
      <c r="S237" t="str">
        <f>IF('1. Live'!S237='check-Jul25'!S237,"",'1. Live'!S237-'check-Jul25'!S237)</f>
        <v/>
      </c>
      <c r="T237" t="str">
        <f>IF('1. Live'!T237='check-Jul25'!T237,"",'1. Live'!T237-'check-Jul25'!T237)</f>
        <v/>
      </c>
      <c r="U237" t="str">
        <f>IF('1. Live'!U237='check-Jul25'!U237,"",'1. Live'!U237-'check-Jul25'!U237)</f>
        <v/>
      </c>
      <c r="V237" t="str">
        <f>IF('1. Live'!V237='check-Jul25'!V237,"",'1. Live'!V237-'check-Jul25'!V237)</f>
        <v/>
      </c>
      <c r="W237" t="str">
        <f>IF('1. Live'!W237='check-Jul25'!W237,"",'1. Live'!W237-'check-Jul25'!W237)</f>
        <v/>
      </c>
      <c r="X237" t="str">
        <f>IF('1. Live'!X237='check-Jul25'!X237,"",'1. Live'!X237-'check-Jul25'!X237)</f>
        <v/>
      </c>
      <c r="Y237" t="str">
        <f>IF('1. Live'!Y237='check-Jul25'!Y237,"",'1. Live'!Y237-'check-Jul25'!Y237)</f>
        <v/>
      </c>
      <c r="Z237" t="str">
        <f>IF('1. Live'!Z237='check-Jul25'!Z237,"",'1. Live'!Z237-'check-Jul25'!Z237)</f>
        <v/>
      </c>
      <c r="AA237" t="str">
        <f>IF('1. Live'!AA237='check-Jul25'!AA237,"",'1. Live'!AA237-'check-Jul25'!AA237)</f>
        <v/>
      </c>
      <c r="AB237" t="str">
        <f>IF('1. Live'!AB237='check-Jul25'!AB237,"",'1. Live'!AB237-'check-Jul25'!AB237)</f>
        <v/>
      </c>
      <c r="AC237" t="str">
        <f>IF('1. Live'!AC237='check-Jul25'!AC237,"",'1. Live'!AC237-'check-Jul25'!AC237)</f>
        <v/>
      </c>
      <c r="AD237" t="str">
        <f>IF('1. Live'!AD237='check-Jul25'!AD237,"",'1. Live'!AD237-'check-Jul25'!AD237)</f>
        <v/>
      </c>
      <c r="AE237" t="str">
        <f>IF('1. Live'!AE237='check-Jul25'!AE237,"",'1. Live'!AE237-'check-Jul25'!AE237)</f>
        <v/>
      </c>
      <c r="AF237" t="str">
        <f>IF('1. Live'!AF237='check-Jul25'!AF237,"",'1. Live'!AF237-'check-Jul25'!AF237)</f>
        <v/>
      </c>
      <c r="AG237" t="str">
        <f>IF('1. Live'!AG237='check-Jul25'!AG237,"",'1. Live'!AG237-'check-Jul25'!AG237)</f>
        <v/>
      </c>
      <c r="AH237" t="str">
        <f>IF('1. Live'!AH237='check-Jul25'!AH237,"",'1. Live'!AH237-'check-Jul25'!AH237)</f>
        <v/>
      </c>
      <c r="AI237" t="str">
        <f>IF('1. Live'!AI237='check-Jul25'!AI237,"",'1. Live'!AI237-'check-Jul25'!AI237)</f>
        <v/>
      </c>
      <c r="AJ237" t="str">
        <f>IF('1. Live'!AJ237='check-Jul25'!AJ237,"",'1. Live'!AJ237-'check-Jul25'!AJ237)</f>
        <v/>
      </c>
      <c r="AK237" t="str">
        <f>IF('1. Live'!AK237='check-Jul25'!AK237,"",'1. Live'!AK237-'check-Jul25'!AK237)</f>
        <v/>
      </c>
      <c r="AL237" t="str">
        <f>IF('1. Live'!AL237='check-Jul25'!AL237,"",'1. Live'!AL237-'check-Jul25'!AL237)</f>
        <v/>
      </c>
      <c r="AM237" t="str">
        <f>IF('1. Live'!AM237='check-Jul25'!AM237,"",'1. Live'!AM237-'check-Jul25'!AM237)</f>
        <v/>
      </c>
      <c r="AN237" t="str">
        <f>IF('1. Live'!AN237='check-Jul25'!AN237,"",'1. Live'!AN237-'check-Jul25'!AN237)</f>
        <v/>
      </c>
      <c r="AO237" t="str">
        <f>IF('1. Live'!AO237='check-Jul25'!AO237,"",'1. Live'!AO237-'check-Jul25'!AO237)</f>
        <v/>
      </c>
      <c r="AP237" t="str">
        <f>IF('1. Live'!AP237='check-Jul25'!AP237,"",'1. Live'!AP237-'check-Jul25'!AP237)</f>
        <v/>
      </c>
      <c r="AQ237" t="str">
        <f>IF('1. Live'!AQ237='check-Jul25'!AQ237,"",'1. Live'!AQ237-'check-Jul25'!AQ237)</f>
        <v/>
      </c>
      <c r="AR237" t="str">
        <f>IF('1. Live'!AR237='check-Jul25'!AR237,"",'1. Live'!AR237-'check-Jul25'!AR237)</f>
        <v/>
      </c>
      <c r="AS237" t="str">
        <f>IF('1. Live'!AS237='check-Jul25'!AS237,"",'1. Live'!AS237-'check-Jul25'!AS237)</f>
        <v/>
      </c>
      <c r="AT237" t="str">
        <f>IF('1. Live'!AT237='check-Jul25'!AT237,"",'1. Live'!AT237-'check-Jul25'!AT237)</f>
        <v/>
      </c>
      <c r="AU237" t="str">
        <f>IF('1. Live'!AU237='check-Jul25'!AU237,"",'1. Live'!AU237-'check-Jul25'!AU237)</f>
        <v/>
      </c>
      <c r="AV237" t="str">
        <f>IF('1. Live'!AV237='check-Jul25'!AV237,"",'1. Live'!AV237-'check-Jul25'!AV237)</f>
        <v/>
      </c>
      <c r="AW237" t="str">
        <f>IF('1. Live'!AW237='check-Jul25'!AW237,"",'1. Live'!AW237-'check-Jul25'!AW237)</f>
        <v/>
      </c>
      <c r="AX237" t="str">
        <f>IF('1. Live'!AX237='check-Jul25'!AX237,"",'1. Live'!AX237-'check-Jul25'!AX237)</f>
        <v/>
      </c>
      <c r="AY237" t="str">
        <f>IF('1. Live'!AY237='check-Jul25'!AY237,"",'1. Live'!AY237-'check-Jul25'!AY237)</f>
        <v/>
      </c>
      <c r="AZ237" t="str">
        <f>IF('1. Live'!AZ237='check-Jul25'!AZ237,"",'1. Live'!AZ237-'check-Jul25'!AZ237)</f>
        <v/>
      </c>
      <c r="BA237" t="str">
        <f>IF('1. Live'!BA237='check-Jul25'!BA237,"",'1. Live'!BA237-'check-Jul25'!BA237)</f>
        <v/>
      </c>
      <c r="BB237" t="str">
        <f>IF('1. Live'!BB237='check-Jul25'!BB237,"",'1. Live'!BB237-'check-Jul25'!BB237)</f>
        <v/>
      </c>
      <c r="BC237" t="str">
        <f>IF('1. Live'!BC237='check-Jul25'!BC237,"",'1. Live'!BC237-'check-Jul25'!BC237)</f>
        <v/>
      </c>
      <c r="BD237" t="str">
        <f>IF('1. Live'!BD237='check-Jul25'!BD237,"",'1. Live'!BD237-'check-Jul25'!BD237)</f>
        <v/>
      </c>
      <c r="BE237" t="str">
        <f>IF('1. Live'!BE237='check-Jul25'!BE237,"",'1. Live'!BE237-'check-Jul25'!BE237)</f>
        <v/>
      </c>
      <c r="BF237" t="str">
        <f>IF('1. Live'!BF237='check-Jul25'!BF237,"",'1. Live'!BF237-'check-Jul25'!BF237)</f>
        <v/>
      </c>
      <c r="BG237" t="str">
        <f>IF('1. Live'!BG237='check-Jul25'!BG237,"",'1. Live'!BG237-'check-Jul25'!BG237)</f>
        <v/>
      </c>
      <c r="BH237" t="str">
        <f>IF('1. Live'!BH237='check-Jul25'!BH237,"",'1. Live'!BH237-'check-Jul25'!BH237)</f>
        <v/>
      </c>
      <c r="BI237" t="str">
        <f>IF('1. Live'!BI237='check-Jul25'!BI237,"",'1. Live'!BI237-'check-Jul25'!BI237)</f>
        <v/>
      </c>
      <c r="BJ237" t="str">
        <f>IF('1. Live'!BJ237='check-Jul25'!BJ237,"",'1. Live'!BJ237-'check-Jul25'!BJ237)</f>
        <v/>
      </c>
      <c r="BK237" t="str">
        <f>IF('1. Live'!BK237='check-Jul25'!BK237,"",'1. Live'!BK237-'check-Jul25'!BK237)</f>
        <v/>
      </c>
      <c r="BL237" t="str">
        <f>IF('1. Live'!BL237='check-Jul25'!BL237,"",'1. Live'!BL237-'check-Jul25'!BL237)</f>
        <v/>
      </c>
      <c r="BM237" t="str">
        <f>IF('1. Live'!BM237='check-Jul25'!BM237,"",'1. Live'!BM237-'check-Jul25'!BM237)</f>
        <v/>
      </c>
      <c r="BN237" t="str">
        <f>IF('1. Live'!BN237='check-Jul25'!BN237,"",'1. Live'!BN237-'check-Jul25'!BN237)</f>
        <v/>
      </c>
      <c r="BO237" t="str">
        <f>IF('1. Live'!BO237='check-Jul25'!BO237,"",'1. Live'!BO237-'check-Jul25'!BO237)</f>
        <v/>
      </c>
      <c r="BP237" t="str">
        <f>IF('1. Live'!BP237='check-Jul25'!BP237,"",'1. Live'!BP237-'check-Jul25'!BP237)</f>
        <v/>
      </c>
      <c r="BQ237" t="str">
        <f>IF('1. Live'!BQ237='check-Jul25'!BQ237,"",'1. Live'!BQ237-'check-Jul25'!BQ237)</f>
        <v/>
      </c>
      <c r="BR237" t="str">
        <f>IF('1. Live'!BR237='check-Jul25'!BR237,"",'1. Live'!BR237-'check-Jul25'!BR237)</f>
        <v/>
      </c>
      <c r="BS237" t="str">
        <f>IF('1. Live'!BS237='check-Jul25'!BS237,"",'1. Live'!BS237-'check-Jul25'!BS237)</f>
        <v/>
      </c>
      <c r="BT237" t="str">
        <f>IF('1. Live'!BT237='check-Jul25'!BT237,"",'1. Live'!BT237-'check-Jul25'!BT237)</f>
        <v/>
      </c>
      <c r="BU237" t="str">
        <f>IF('1. Live'!BU237='check-Jul25'!BU237,"",'1. Live'!BU237-'check-Jul25'!BU237)</f>
        <v/>
      </c>
      <c r="BV237" t="str">
        <f>IF('1. Live'!BV237='check-Jul25'!BV237,"",'1. Live'!BV237-'check-Jul25'!BV237)</f>
        <v/>
      </c>
      <c r="BW237" t="str">
        <f>IF('1. Live'!BW237='check-Jul25'!BW237,"",'1. Live'!BW237-'check-Jul25'!BW237)</f>
        <v/>
      </c>
      <c r="BX237" t="str">
        <f>IF('1. Live'!BX237='check-Jul25'!BX237,"",'1. Live'!BX237-'check-Jul25'!BX237)</f>
        <v/>
      </c>
      <c r="BY237" t="str">
        <f>IF('1. Live'!BY237='check-Jul25'!BY237,"",'1. Live'!BY237-'check-Jul25'!BY237)</f>
        <v/>
      </c>
      <c r="BZ237" t="str">
        <f>IF('1. Live'!BZ237='check-Jul25'!BZ237,"",'1. Live'!BZ237-'check-Jul25'!BZ237)</f>
        <v/>
      </c>
      <c r="CA237" t="str">
        <f>IF('1. Live'!CA237='check-Jul25'!CA237,"",'1. Live'!CA237-'check-Jul25'!CA237)</f>
        <v/>
      </c>
      <c r="CB237" t="str">
        <f>IF('1. Live'!CB237='check-Jul25'!CB237,"",'1. Live'!CB237-'check-Jul25'!CB237)</f>
        <v/>
      </c>
      <c r="CC237" t="str">
        <f>IF('1. Live'!CC237='check-Jul25'!CC237,"",'1. Live'!CC237-'check-Jul25'!CC237)</f>
        <v/>
      </c>
      <c r="CD237" t="str">
        <f>IF('1. Live'!CD237='check-Jul25'!CD237,"",'1. Live'!CD237-'check-Jul25'!CD237)</f>
        <v/>
      </c>
      <c r="CE237" t="str">
        <f>IF('1. Live'!CE237='check-Jul25'!CE237,"",'1. Live'!CE237-'check-Jul25'!CE237)</f>
        <v/>
      </c>
      <c r="CF237" t="str">
        <f>IF('1. Live'!CF237='check-Jul25'!CF237,"",'1. Live'!CF237-'check-Jul25'!CF237)</f>
        <v/>
      </c>
      <c r="CG237" t="str">
        <f>IF('1. Live'!CG237='check-Jul25'!CG237,"",'1. Live'!CG237-'check-Jul25'!CG237)</f>
        <v/>
      </c>
      <c r="CH237" t="str">
        <f>IF('1. Live'!CH237='check-Jul25'!CH237,"",'1. Live'!CH237-'check-Jul25'!CH237)</f>
        <v/>
      </c>
      <c r="CI237" t="str">
        <f>IF('1. Live'!CI237='check-Jul25'!CI237,"",'1. Live'!CI237-'check-Jul25'!CI237)</f>
        <v/>
      </c>
      <c r="CJ237" t="str">
        <f>IF('1. Live'!CJ237='check-Jul25'!CJ237,"",'1. Live'!CJ237-'check-Jul25'!CJ237)</f>
        <v/>
      </c>
      <c r="CK237" t="str">
        <f>IF('1. Live'!CK237='check-Jul25'!CK237,"",'1. Live'!CK237-'check-Jul25'!CK237)</f>
        <v/>
      </c>
      <c r="CL237" t="str">
        <f>IF('1. Live'!CL237='check-Jul25'!CL237,"",'1. Live'!CL237-'check-Jul25'!CL237)</f>
        <v/>
      </c>
      <c r="CM237" t="str">
        <f>IF('1. Live'!CM237='check-Jul25'!CM237,"",'1. Live'!CM237-'check-Jul25'!CM237)</f>
        <v/>
      </c>
      <c r="CN237" t="str">
        <f>IF('1. Live'!CN237='check-Jul25'!CN237,"",'1. Live'!CN237-'check-Jul25'!CN237)</f>
        <v/>
      </c>
      <c r="CO237" t="str">
        <f>IF('1. Live'!CO237='check-Jul25'!CO237,"",'1. Live'!CO237-'check-Jul25'!CO237)</f>
        <v/>
      </c>
      <c r="CP237" t="str">
        <f>IF('1. Live'!CP237='check-Jul25'!CP237,"",'1. Live'!CP237-'check-Jul25'!CP237)</f>
        <v/>
      </c>
      <c r="CQ237" t="str">
        <f>IF('1. Live'!CQ237='check-Jul25'!CQ237,"",'1. Live'!CQ237-'check-Jul25'!CQ237)</f>
        <v/>
      </c>
      <c r="CR237" t="str">
        <f>IF('1. Live'!CR237='check-Jul25'!CR237,"",'1. Live'!CR237-'check-Jul25'!CR237)</f>
        <v/>
      </c>
      <c r="CS237" t="str">
        <f>IF('1. Live'!CS237='check-Jul25'!CS237,"",'1. Live'!CS237-'check-Jul25'!CS237)</f>
        <v/>
      </c>
      <c r="CT237" t="str">
        <f>IF('1. Live'!CT237='check-Jul25'!CT237,"",'1. Live'!CT237-'check-Jul25'!CT237)</f>
        <v/>
      </c>
      <c r="CU237" t="str">
        <f>IF('1. Live'!CU237='check-Jul25'!CU237,"",'1. Live'!CU237-'check-Jul25'!CU237)</f>
        <v/>
      </c>
      <c r="CV237" t="str">
        <f>IF('1. Live'!CV237='check-Jul25'!CV237,"",'1. Live'!CV237-'check-Jul25'!CV237)</f>
        <v/>
      </c>
      <c r="CW237" t="str">
        <f>IF('1. Live'!CW237='check-Jul25'!CW237,"",'1. Live'!CW237-'check-Jul25'!CW237)</f>
        <v/>
      </c>
    </row>
    <row r="238" spans="10:101">
      <c r="J238" t="str">
        <f>IF('1. Live'!J238='check-Jul25'!J238,"",'1. Live'!J238-'check-Jul25'!J238)</f>
        <v/>
      </c>
      <c r="K238" t="str">
        <f>IF('1. Live'!K238='check-Jul25'!K238,"",'1. Live'!K238-'check-Jul25'!K238)</f>
        <v/>
      </c>
      <c r="L238" t="str">
        <f>IF('1. Live'!L238='check-Jul25'!L238,"",'1. Live'!L238-'check-Jul25'!L238)</f>
        <v/>
      </c>
      <c r="M238" t="str">
        <f>IF('1. Live'!M238='check-Jul25'!M238,"",'1. Live'!M238-'check-Jul25'!M238)</f>
        <v/>
      </c>
      <c r="N238" t="str">
        <f>IF('1. Live'!N238='check-Jul25'!N238,"",'1. Live'!N238-'check-Jul25'!N238)</f>
        <v/>
      </c>
      <c r="O238" t="str">
        <f>IF('1. Live'!O238='check-Jul25'!O238,"",'1. Live'!O238-'check-Jul25'!O238)</f>
        <v/>
      </c>
      <c r="P238" t="str">
        <f>IF('1. Live'!P238='check-Jul25'!P238,"",'1. Live'!P238-'check-Jul25'!P238)</f>
        <v/>
      </c>
      <c r="Q238" t="str">
        <f>IF('1. Live'!Q238='check-Jul25'!Q238,"",'1. Live'!Q238-'check-Jul25'!Q238)</f>
        <v/>
      </c>
      <c r="R238" t="str">
        <f>IF('1. Live'!R238='check-Jul25'!R238,"",'1. Live'!R238-'check-Jul25'!R238)</f>
        <v/>
      </c>
      <c r="S238" t="str">
        <f>IF('1. Live'!S238='check-Jul25'!S238,"",'1. Live'!S238-'check-Jul25'!S238)</f>
        <v/>
      </c>
      <c r="T238" t="str">
        <f>IF('1. Live'!T238='check-Jul25'!T238,"",'1. Live'!T238-'check-Jul25'!T238)</f>
        <v/>
      </c>
      <c r="U238" t="str">
        <f>IF('1. Live'!U238='check-Jul25'!U238,"",'1. Live'!U238-'check-Jul25'!U238)</f>
        <v/>
      </c>
      <c r="V238" t="str">
        <f>IF('1. Live'!V238='check-Jul25'!V238,"",'1. Live'!V238-'check-Jul25'!V238)</f>
        <v/>
      </c>
      <c r="W238" t="str">
        <f>IF('1. Live'!W238='check-Jul25'!W238,"",'1. Live'!W238-'check-Jul25'!W238)</f>
        <v/>
      </c>
      <c r="X238" t="str">
        <f>IF('1. Live'!X238='check-Jul25'!X238,"",'1. Live'!X238-'check-Jul25'!X238)</f>
        <v/>
      </c>
      <c r="Y238" t="str">
        <f>IF('1. Live'!Y238='check-Jul25'!Y238,"",'1. Live'!Y238-'check-Jul25'!Y238)</f>
        <v/>
      </c>
      <c r="Z238" t="str">
        <f>IF('1. Live'!Z238='check-Jul25'!Z238,"",'1. Live'!Z238-'check-Jul25'!Z238)</f>
        <v/>
      </c>
      <c r="AA238" t="str">
        <f>IF('1. Live'!AA238='check-Jul25'!AA238,"",'1. Live'!AA238-'check-Jul25'!AA238)</f>
        <v/>
      </c>
      <c r="AB238" t="str">
        <f>IF('1. Live'!AB238='check-Jul25'!AB238,"",'1. Live'!AB238-'check-Jul25'!AB238)</f>
        <v/>
      </c>
      <c r="AC238" t="str">
        <f>IF('1. Live'!AC238='check-Jul25'!AC238,"",'1. Live'!AC238-'check-Jul25'!AC238)</f>
        <v/>
      </c>
      <c r="AD238" t="str">
        <f>IF('1. Live'!AD238='check-Jul25'!AD238,"",'1. Live'!AD238-'check-Jul25'!AD238)</f>
        <v/>
      </c>
      <c r="AE238" t="str">
        <f>IF('1. Live'!AE238='check-Jul25'!AE238,"",'1. Live'!AE238-'check-Jul25'!AE238)</f>
        <v/>
      </c>
      <c r="AF238" t="str">
        <f>IF('1. Live'!AF238='check-Jul25'!AF238,"",'1. Live'!AF238-'check-Jul25'!AF238)</f>
        <v/>
      </c>
      <c r="AG238" t="str">
        <f>IF('1. Live'!AG238='check-Jul25'!AG238,"",'1. Live'!AG238-'check-Jul25'!AG238)</f>
        <v/>
      </c>
      <c r="AH238" t="str">
        <f>IF('1. Live'!AH238='check-Jul25'!AH238,"",'1. Live'!AH238-'check-Jul25'!AH238)</f>
        <v/>
      </c>
      <c r="AI238" t="str">
        <f>IF('1. Live'!AI238='check-Jul25'!AI238,"",'1. Live'!AI238-'check-Jul25'!AI238)</f>
        <v/>
      </c>
      <c r="AJ238" t="str">
        <f>IF('1. Live'!AJ238='check-Jul25'!AJ238,"",'1. Live'!AJ238-'check-Jul25'!AJ238)</f>
        <v/>
      </c>
      <c r="AK238" t="str">
        <f>IF('1. Live'!AK238='check-Jul25'!AK238,"",'1. Live'!AK238-'check-Jul25'!AK238)</f>
        <v/>
      </c>
      <c r="AL238" t="str">
        <f>IF('1. Live'!AL238='check-Jul25'!AL238,"",'1. Live'!AL238-'check-Jul25'!AL238)</f>
        <v/>
      </c>
      <c r="AM238" t="str">
        <f>IF('1. Live'!AM238='check-Jul25'!AM238,"",'1. Live'!AM238-'check-Jul25'!AM238)</f>
        <v/>
      </c>
      <c r="AN238" t="str">
        <f>IF('1. Live'!AN238='check-Jul25'!AN238,"",'1. Live'!AN238-'check-Jul25'!AN238)</f>
        <v/>
      </c>
      <c r="AO238" t="str">
        <f>IF('1. Live'!AO238='check-Jul25'!AO238,"",'1. Live'!AO238-'check-Jul25'!AO238)</f>
        <v/>
      </c>
      <c r="AP238" t="str">
        <f>IF('1. Live'!AP238='check-Jul25'!AP238,"",'1. Live'!AP238-'check-Jul25'!AP238)</f>
        <v/>
      </c>
      <c r="AQ238" t="str">
        <f>IF('1. Live'!AQ238='check-Jul25'!AQ238,"",'1. Live'!AQ238-'check-Jul25'!AQ238)</f>
        <v/>
      </c>
      <c r="AR238" t="str">
        <f>IF('1. Live'!AR238='check-Jul25'!AR238,"",'1. Live'!AR238-'check-Jul25'!AR238)</f>
        <v/>
      </c>
      <c r="AS238" t="str">
        <f>IF('1. Live'!AS238='check-Jul25'!AS238,"",'1. Live'!AS238-'check-Jul25'!AS238)</f>
        <v/>
      </c>
      <c r="AT238" t="str">
        <f>IF('1. Live'!AT238='check-Jul25'!AT238,"",'1. Live'!AT238-'check-Jul25'!AT238)</f>
        <v/>
      </c>
      <c r="AU238" t="str">
        <f>IF('1. Live'!AU238='check-Jul25'!AU238,"",'1. Live'!AU238-'check-Jul25'!AU238)</f>
        <v/>
      </c>
      <c r="AV238" t="str">
        <f>IF('1. Live'!AV238='check-Jul25'!AV238,"",'1. Live'!AV238-'check-Jul25'!AV238)</f>
        <v/>
      </c>
      <c r="AW238" t="str">
        <f>IF('1. Live'!AW238='check-Jul25'!AW238,"",'1. Live'!AW238-'check-Jul25'!AW238)</f>
        <v/>
      </c>
      <c r="AX238" t="str">
        <f>IF('1. Live'!AX238='check-Jul25'!AX238,"",'1. Live'!AX238-'check-Jul25'!AX238)</f>
        <v/>
      </c>
      <c r="AY238" t="str">
        <f>IF('1. Live'!AY238='check-Jul25'!AY238,"",'1. Live'!AY238-'check-Jul25'!AY238)</f>
        <v/>
      </c>
      <c r="AZ238" t="str">
        <f>IF('1. Live'!AZ238='check-Jul25'!AZ238,"",'1. Live'!AZ238-'check-Jul25'!AZ238)</f>
        <v/>
      </c>
      <c r="BA238" t="str">
        <f>IF('1. Live'!BA238='check-Jul25'!BA238,"",'1. Live'!BA238-'check-Jul25'!BA238)</f>
        <v/>
      </c>
      <c r="BB238" t="str">
        <f>IF('1. Live'!BB238='check-Jul25'!BB238,"",'1. Live'!BB238-'check-Jul25'!BB238)</f>
        <v/>
      </c>
      <c r="BC238" t="str">
        <f>IF('1. Live'!BC238='check-Jul25'!BC238,"",'1. Live'!BC238-'check-Jul25'!BC238)</f>
        <v/>
      </c>
      <c r="BD238" t="str">
        <f>IF('1. Live'!BD238='check-Jul25'!BD238,"",'1. Live'!BD238-'check-Jul25'!BD238)</f>
        <v/>
      </c>
      <c r="BE238" t="str">
        <f>IF('1. Live'!BE238='check-Jul25'!BE238,"",'1. Live'!BE238-'check-Jul25'!BE238)</f>
        <v/>
      </c>
      <c r="BF238" t="str">
        <f>IF('1. Live'!BF238='check-Jul25'!BF238,"",'1. Live'!BF238-'check-Jul25'!BF238)</f>
        <v/>
      </c>
      <c r="BG238" t="str">
        <f>IF('1. Live'!BG238='check-Jul25'!BG238,"",'1. Live'!BG238-'check-Jul25'!BG238)</f>
        <v/>
      </c>
      <c r="BH238" t="str">
        <f>IF('1. Live'!BH238='check-Jul25'!BH238,"",'1. Live'!BH238-'check-Jul25'!BH238)</f>
        <v/>
      </c>
      <c r="BI238" t="str">
        <f>IF('1. Live'!BI238='check-Jul25'!BI238,"",'1. Live'!BI238-'check-Jul25'!BI238)</f>
        <v/>
      </c>
      <c r="BJ238" t="str">
        <f>IF('1. Live'!BJ238='check-Jul25'!BJ238,"",'1. Live'!BJ238-'check-Jul25'!BJ238)</f>
        <v/>
      </c>
      <c r="BK238" t="str">
        <f>IF('1. Live'!BK238='check-Jul25'!BK238,"",'1. Live'!BK238-'check-Jul25'!BK238)</f>
        <v/>
      </c>
      <c r="BL238" t="str">
        <f>IF('1. Live'!BL238='check-Jul25'!BL238,"",'1. Live'!BL238-'check-Jul25'!BL238)</f>
        <v/>
      </c>
      <c r="BM238" t="str">
        <f>IF('1. Live'!BM238='check-Jul25'!BM238,"",'1. Live'!BM238-'check-Jul25'!BM238)</f>
        <v/>
      </c>
      <c r="BN238" t="str">
        <f>IF('1. Live'!BN238='check-Jul25'!BN238,"",'1. Live'!BN238-'check-Jul25'!BN238)</f>
        <v/>
      </c>
      <c r="BO238" t="str">
        <f>IF('1. Live'!BO238='check-Jul25'!BO238,"",'1. Live'!BO238-'check-Jul25'!BO238)</f>
        <v/>
      </c>
      <c r="BP238" t="str">
        <f>IF('1. Live'!BP238='check-Jul25'!BP238,"",'1. Live'!BP238-'check-Jul25'!BP238)</f>
        <v/>
      </c>
      <c r="BQ238" t="str">
        <f>IF('1. Live'!BQ238='check-Jul25'!BQ238,"",'1. Live'!BQ238-'check-Jul25'!BQ238)</f>
        <v/>
      </c>
      <c r="BR238" t="str">
        <f>IF('1. Live'!BR238='check-Jul25'!BR238,"",'1. Live'!BR238-'check-Jul25'!BR238)</f>
        <v/>
      </c>
      <c r="BS238" t="str">
        <f>IF('1. Live'!BS238='check-Jul25'!BS238,"",'1. Live'!BS238-'check-Jul25'!BS238)</f>
        <v/>
      </c>
      <c r="BT238" t="str">
        <f>IF('1. Live'!BT238='check-Jul25'!BT238,"",'1. Live'!BT238-'check-Jul25'!BT238)</f>
        <v/>
      </c>
      <c r="BU238" t="str">
        <f>IF('1. Live'!BU238='check-Jul25'!BU238,"",'1. Live'!BU238-'check-Jul25'!BU238)</f>
        <v/>
      </c>
      <c r="BV238" t="str">
        <f>IF('1. Live'!BV238='check-Jul25'!BV238,"",'1. Live'!BV238-'check-Jul25'!BV238)</f>
        <v/>
      </c>
      <c r="BW238" t="str">
        <f>IF('1. Live'!BW238='check-Jul25'!BW238,"",'1. Live'!BW238-'check-Jul25'!BW238)</f>
        <v/>
      </c>
      <c r="BX238" t="str">
        <f>IF('1. Live'!BX238='check-Jul25'!BX238,"",'1. Live'!BX238-'check-Jul25'!BX238)</f>
        <v/>
      </c>
      <c r="BY238" t="str">
        <f>IF('1. Live'!BY238='check-Jul25'!BY238,"",'1. Live'!BY238-'check-Jul25'!BY238)</f>
        <v/>
      </c>
      <c r="BZ238" t="str">
        <f>IF('1. Live'!BZ238='check-Jul25'!BZ238,"",'1. Live'!BZ238-'check-Jul25'!BZ238)</f>
        <v/>
      </c>
      <c r="CA238" t="str">
        <f>IF('1. Live'!CA238='check-Jul25'!CA238,"",'1. Live'!CA238-'check-Jul25'!CA238)</f>
        <v/>
      </c>
      <c r="CB238" t="str">
        <f>IF('1. Live'!CB238='check-Jul25'!CB238,"",'1. Live'!CB238-'check-Jul25'!CB238)</f>
        <v/>
      </c>
      <c r="CC238" t="str">
        <f>IF('1. Live'!CC238='check-Jul25'!CC238,"",'1. Live'!CC238-'check-Jul25'!CC238)</f>
        <v/>
      </c>
      <c r="CD238" t="str">
        <f>IF('1. Live'!CD238='check-Jul25'!CD238,"",'1. Live'!CD238-'check-Jul25'!CD238)</f>
        <v/>
      </c>
      <c r="CE238" t="str">
        <f>IF('1. Live'!CE238='check-Jul25'!CE238,"",'1. Live'!CE238-'check-Jul25'!CE238)</f>
        <v/>
      </c>
      <c r="CF238" t="str">
        <f>IF('1. Live'!CF238='check-Jul25'!CF238,"",'1. Live'!CF238-'check-Jul25'!CF238)</f>
        <v/>
      </c>
      <c r="CG238" t="str">
        <f>IF('1. Live'!CG238='check-Jul25'!CG238,"",'1. Live'!CG238-'check-Jul25'!CG238)</f>
        <v/>
      </c>
      <c r="CH238" t="str">
        <f>IF('1. Live'!CH238='check-Jul25'!CH238,"",'1. Live'!CH238-'check-Jul25'!CH238)</f>
        <v/>
      </c>
      <c r="CI238" t="str">
        <f>IF('1. Live'!CI238='check-Jul25'!CI238,"",'1. Live'!CI238-'check-Jul25'!CI238)</f>
        <v/>
      </c>
      <c r="CJ238" t="str">
        <f>IF('1. Live'!CJ238='check-Jul25'!CJ238,"",'1. Live'!CJ238-'check-Jul25'!CJ238)</f>
        <v/>
      </c>
      <c r="CK238" t="str">
        <f>IF('1. Live'!CK238='check-Jul25'!CK238,"",'1. Live'!CK238-'check-Jul25'!CK238)</f>
        <v/>
      </c>
      <c r="CL238" t="str">
        <f>IF('1. Live'!CL238='check-Jul25'!CL238,"",'1. Live'!CL238-'check-Jul25'!CL238)</f>
        <v/>
      </c>
      <c r="CM238" t="str">
        <f>IF('1. Live'!CM238='check-Jul25'!CM238,"",'1. Live'!CM238-'check-Jul25'!CM238)</f>
        <v/>
      </c>
      <c r="CN238" t="str">
        <f>IF('1. Live'!CN238='check-Jul25'!CN238,"",'1. Live'!CN238-'check-Jul25'!CN238)</f>
        <v/>
      </c>
      <c r="CO238" t="str">
        <f>IF('1. Live'!CO238='check-Jul25'!CO238,"",'1. Live'!CO238-'check-Jul25'!CO238)</f>
        <v/>
      </c>
      <c r="CP238" t="str">
        <f>IF('1. Live'!CP238='check-Jul25'!CP238,"",'1. Live'!CP238-'check-Jul25'!CP238)</f>
        <v/>
      </c>
      <c r="CQ238" t="str">
        <f>IF('1. Live'!CQ238='check-Jul25'!CQ238,"",'1. Live'!CQ238-'check-Jul25'!CQ238)</f>
        <v/>
      </c>
      <c r="CR238" t="str">
        <f>IF('1. Live'!CR238='check-Jul25'!CR238,"",'1. Live'!CR238-'check-Jul25'!CR238)</f>
        <v/>
      </c>
      <c r="CS238" t="str">
        <f>IF('1. Live'!CS238='check-Jul25'!CS238,"",'1. Live'!CS238-'check-Jul25'!CS238)</f>
        <v/>
      </c>
      <c r="CT238" t="str">
        <f>IF('1. Live'!CT238='check-Jul25'!CT238,"",'1. Live'!CT238-'check-Jul25'!CT238)</f>
        <v/>
      </c>
      <c r="CU238" t="str">
        <f>IF('1. Live'!CU238='check-Jul25'!CU238,"",'1. Live'!CU238-'check-Jul25'!CU238)</f>
        <v/>
      </c>
      <c r="CV238" t="str">
        <f>IF('1. Live'!CV238='check-Jul25'!CV238,"",'1. Live'!CV238-'check-Jul25'!CV238)</f>
        <v/>
      </c>
      <c r="CW238" t="str">
        <f>IF('1. Live'!CW238='check-Jul25'!CW238,"",'1. Live'!CW238-'check-Jul25'!CW238)</f>
        <v/>
      </c>
    </row>
    <row r="239" spans="10:101">
      <c r="J239" t="str">
        <f>IF('1. Live'!J239='check-Jul25'!J239,"",'1. Live'!J239-'check-Jul25'!J239)</f>
        <v/>
      </c>
      <c r="K239" t="str">
        <f>IF('1. Live'!K239='check-Jul25'!K239,"",'1. Live'!K239-'check-Jul25'!K239)</f>
        <v/>
      </c>
      <c r="L239" t="str">
        <f>IF('1. Live'!L239='check-Jul25'!L239,"",'1. Live'!L239-'check-Jul25'!L239)</f>
        <v/>
      </c>
      <c r="M239" t="str">
        <f>IF('1. Live'!M239='check-Jul25'!M239,"",'1. Live'!M239-'check-Jul25'!M239)</f>
        <v/>
      </c>
      <c r="N239" t="str">
        <f>IF('1. Live'!N239='check-Jul25'!N239,"",'1. Live'!N239-'check-Jul25'!N239)</f>
        <v/>
      </c>
      <c r="O239" t="str">
        <f>IF('1. Live'!O239='check-Jul25'!O239,"",'1. Live'!O239-'check-Jul25'!O239)</f>
        <v/>
      </c>
      <c r="P239" t="str">
        <f>IF('1. Live'!P239='check-Jul25'!P239,"",'1. Live'!P239-'check-Jul25'!P239)</f>
        <v/>
      </c>
      <c r="Q239" t="str">
        <f>IF('1. Live'!Q239='check-Jul25'!Q239,"",'1. Live'!Q239-'check-Jul25'!Q239)</f>
        <v/>
      </c>
      <c r="R239" t="str">
        <f>IF('1. Live'!R239='check-Jul25'!R239,"",'1. Live'!R239-'check-Jul25'!R239)</f>
        <v/>
      </c>
      <c r="S239" t="str">
        <f>IF('1. Live'!S239='check-Jul25'!S239,"",'1. Live'!S239-'check-Jul25'!S239)</f>
        <v/>
      </c>
      <c r="T239" t="str">
        <f>IF('1. Live'!T239='check-Jul25'!T239,"",'1. Live'!T239-'check-Jul25'!T239)</f>
        <v/>
      </c>
      <c r="U239" t="str">
        <f>IF('1. Live'!U239='check-Jul25'!U239,"",'1. Live'!U239-'check-Jul25'!U239)</f>
        <v/>
      </c>
      <c r="V239" t="str">
        <f>IF('1. Live'!V239='check-Jul25'!V239,"",'1. Live'!V239-'check-Jul25'!V239)</f>
        <v/>
      </c>
      <c r="W239" t="str">
        <f>IF('1. Live'!W239='check-Jul25'!W239,"",'1. Live'!W239-'check-Jul25'!W239)</f>
        <v/>
      </c>
      <c r="X239" t="str">
        <f>IF('1. Live'!X239='check-Jul25'!X239,"",'1. Live'!X239-'check-Jul25'!X239)</f>
        <v/>
      </c>
      <c r="Y239" t="str">
        <f>IF('1. Live'!Y239='check-Jul25'!Y239,"",'1. Live'!Y239-'check-Jul25'!Y239)</f>
        <v/>
      </c>
      <c r="Z239" t="str">
        <f>IF('1. Live'!Z239='check-Jul25'!Z239,"",'1. Live'!Z239-'check-Jul25'!Z239)</f>
        <v/>
      </c>
      <c r="AA239" t="str">
        <f>IF('1. Live'!AA239='check-Jul25'!AA239,"",'1. Live'!AA239-'check-Jul25'!AA239)</f>
        <v/>
      </c>
      <c r="AB239" t="str">
        <f>IF('1. Live'!AB239='check-Jul25'!AB239,"",'1. Live'!AB239-'check-Jul25'!AB239)</f>
        <v/>
      </c>
      <c r="AC239" t="str">
        <f>IF('1. Live'!AC239='check-Jul25'!AC239,"",'1. Live'!AC239-'check-Jul25'!AC239)</f>
        <v/>
      </c>
      <c r="AD239" t="str">
        <f>IF('1. Live'!AD239='check-Jul25'!AD239,"",'1. Live'!AD239-'check-Jul25'!AD239)</f>
        <v/>
      </c>
      <c r="AE239" t="str">
        <f>IF('1. Live'!AE239='check-Jul25'!AE239,"",'1. Live'!AE239-'check-Jul25'!AE239)</f>
        <v/>
      </c>
      <c r="AF239" t="str">
        <f>IF('1. Live'!AF239='check-Jul25'!AF239,"",'1. Live'!AF239-'check-Jul25'!AF239)</f>
        <v/>
      </c>
      <c r="AG239" t="str">
        <f>IF('1. Live'!AG239='check-Jul25'!AG239,"",'1. Live'!AG239-'check-Jul25'!AG239)</f>
        <v/>
      </c>
      <c r="AH239" t="str">
        <f>IF('1. Live'!AH239='check-Jul25'!AH239,"",'1. Live'!AH239-'check-Jul25'!AH239)</f>
        <v/>
      </c>
      <c r="AI239" t="str">
        <f>IF('1. Live'!AI239='check-Jul25'!AI239,"",'1. Live'!AI239-'check-Jul25'!AI239)</f>
        <v/>
      </c>
      <c r="AJ239" t="str">
        <f>IF('1. Live'!AJ239='check-Jul25'!AJ239,"",'1. Live'!AJ239-'check-Jul25'!AJ239)</f>
        <v/>
      </c>
      <c r="AK239" t="str">
        <f>IF('1. Live'!AK239='check-Jul25'!AK239,"",'1. Live'!AK239-'check-Jul25'!AK239)</f>
        <v/>
      </c>
      <c r="AL239" t="str">
        <f>IF('1. Live'!AL239='check-Jul25'!AL239,"",'1. Live'!AL239-'check-Jul25'!AL239)</f>
        <v/>
      </c>
      <c r="AM239" t="str">
        <f>IF('1. Live'!AM239='check-Jul25'!AM239,"",'1. Live'!AM239-'check-Jul25'!AM239)</f>
        <v/>
      </c>
      <c r="AN239" t="str">
        <f>IF('1. Live'!AN239='check-Jul25'!AN239,"",'1. Live'!AN239-'check-Jul25'!AN239)</f>
        <v/>
      </c>
      <c r="AO239" t="str">
        <f>IF('1. Live'!AO239='check-Jul25'!AO239,"",'1. Live'!AO239-'check-Jul25'!AO239)</f>
        <v/>
      </c>
      <c r="AP239" t="str">
        <f>IF('1. Live'!AP239='check-Jul25'!AP239,"",'1. Live'!AP239-'check-Jul25'!AP239)</f>
        <v/>
      </c>
      <c r="AQ239" t="str">
        <f>IF('1. Live'!AQ239='check-Jul25'!AQ239,"",'1. Live'!AQ239-'check-Jul25'!AQ239)</f>
        <v/>
      </c>
      <c r="AR239" t="str">
        <f>IF('1. Live'!AR239='check-Jul25'!AR239,"",'1. Live'!AR239-'check-Jul25'!AR239)</f>
        <v/>
      </c>
      <c r="AS239" t="str">
        <f>IF('1. Live'!AS239='check-Jul25'!AS239,"",'1. Live'!AS239-'check-Jul25'!AS239)</f>
        <v/>
      </c>
      <c r="AT239" t="str">
        <f>IF('1. Live'!AT239='check-Jul25'!AT239,"",'1. Live'!AT239-'check-Jul25'!AT239)</f>
        <v/>
      </c>
      <c r="AU239" t="str">
        <f>IF('1. Live'!AU239='check-Jul25'!AU239,"",'1. Live'!AU239-'check-Jul25'!AU239)</f>
        <v/>
      </c>
      <c r="AV239" t="str">
        <f>IF('1. Live'!AV239='check-Jul25'!AV239,"",'1. Live'!AV239-'check-Jul25'!AV239)</f>
        <v/>
      </c>
      <c r="AW239" t="str">
        <f>IF('1. Live'!AW239='check-Jul25'!AW239,"",'1. Live'!AW239-'check-Jul25'!AW239)</f>
        <v/>
      </c>
      <c r="AX239" t="str">
        <f>IF('1. Live'!AX239='check-Jul25'!AX239,"",'1. Live'!AX239-'check-Jul25'!AX239)</f>
        <v/>
      </c>
      <c r="AY239" t="str">
        <f>IF('1. Live'!AY239='check-Jul25'!AY239,"",'1. Live'!AY239-'check-Jul25'!AY239)</f>
        <v/>
      </c>
      <c r="AZ239" t="str">
        <f>IF('1. Live'!AZ239='check-Jul25'!AZ239,"",'1. Live'!AZ239-'check-Jul25'!AZ239)</f>
        <v/>
      </c>
      <c r="BA239" t="str">
        <f>IF('1. Live'!BA239='check-Jul25'!BA239,"",'1. Live'!BA239-'check-Jul25'!BA239)</f>
        <v/>
      </c>
      <c r="BB239" t="str">
        <f>IF('1. Live'!BB239='check-Jul25'!BB239,"",'1. Live'!BB239-'check-Jul25'!BB239)</f>
        <v/>
      </c>
      <c r="BC239" t="str">
        <f>IF('1. Live'!BC239='check-Jul25'!BC239,"",'1. Live'!BC239-'check-Jul25'!BC239)</f>
        <v/>
      </c>
      <c r="BD239" t="str">
        <f>IF('1. Live'!BD239='check-Jul25'!BD239,"",'1. Live'!BD239-'check-Jul25'!BD239)</f>
        <v/>
      </c>
      <c r="BE239" t="str">
        <f>IF('1. Live'!BE239='check-Jul25'!BE239,"",'1. Live'!BE239-'check-Jul25'!BE239)</f>
        <v/>
      </c>
      <c r="BF239" t="str">
        <f>IF('1. Live'!BF239='check-Jul25'!BF239,"",'1. Live'!BF239-'check-Jul25'!BF239)</f>
        <v/>
      </c>
      <c r="BG239" t="str">
        <f>IF('1. Live'!BG239='check-Jul25'!BG239,"",'1. Live'!BG239-'check-Jul25'!BG239)</f>
        <v/>
      </c>
      <c r="BH239" t="str">
        <f>IF('1. Live'!BH239='check-Jul25'!BH239,"",'1. Live'!BH239-'check-Jul25'!BH239)</f>
        <v/>
      </c>
      <c r="BI239" t="str">
        <f>IF('1. Live'!BI239='check-Jul25'!BI239,"",'1. Live'!BI239-'check-Jul25'!BI239)</f>
        <v/>
      </c>
      <c r="BJ239" t="str">
        <f>IF('1. Live'!BJ239='check-Jul25'!BJ239,"",'1. Live'!BJ239-'check-Jul25'!BJ239)</f>
        <v/>
      </c>
      <c r="BK239" t="str">
        <f>IF('1. Live'!BK239='check-Jul25'!BK239,"",'1. Live'!BK239-'check-Jul25'!BK239)</f>
        <v/>
      </c>
      <c r="BL239" t="str">
        <f>IF('1. Live'!BL239='check-Jul25'!BL239,"",'1. Live'!BL239-'check-Jul25'!BL239)</f>
        <v/>
      </c>
      <c r="BM239" t="str">
        <f>IF('1. Live'!BM239='check-Jul25'!BM239,"",'1. Live'!BM239-'check-Jul25'!BM239)</f>
        <v/>
      </c>
      <c r="BN239" t="str">
        <f>IF('1. Live'!BN239='check-Jul25'!BN239,"",'1. Live'!BN239-'check-Jul25'!BN239)</f>
        <v/>
      </c>
      <c r="BO239" t="str">
        <f>IF('1. Live'!BO239='check-Jul25'!BO239,"",'1. Live'!BO239-'check-Jul25'!BO239)</f>
        <v/>
      </c>
      <c r="BP239" t="str">
        <f>IF('1. Live'!BP239='check-Jul25'!BP239,"",'1. Live'!BP239-'check-Jul25'!BP239)</f>
        <v/>
      </c>
      <c r="BQ239" t="str">
        <f>IF('1. Live'!BQ239='check-Jul25'!BQ239,"",'1. Live'!BQ239-'check-Jul25'!BQ239)</f>
        <v/>
      </c>
      <c r="BR239" t="str">
        <f>IF('1. Live'!BR239='check-Jul25'!BR239,"",'1. Live'!BR239-'check-Jul25'!BR239)</f>
        <v/>
      </c>
      <c r="BS239" t="str">
        <f>IF('1. Live'!BS239='check-Jul25'!BS239,"",'1. Live'!BS239-'check-Jul25'!BS239)</f>
        <v/>
      </c>
      <c r="BT239" t="str">
        <f>IF('1. Live'!BT239='check-Jul25'!BT239,"",'1. Live'!BT239-'check-Jul25'!BT239)</f>
        <v/>
      </c>
      <c r="BU239" t="str">
        <f>IF('1. Live'!BU239='check-Jul25'!BU239,"",'1. Live'!BU239-'check-Jul25'!BU239)</f>
        <v/>
      </c>
      <c r="BV239" t="str">
        <f>IF('1. Live'!BV239='check-Jul25'!BV239,"",'1. Live'!BV239-'check-Jul25'!BV239)</f>
        <v/>
      </c>
      <c r="BW239" t="str">
        <f>IF('1. Live'!BW239='check-Jul25'!BW239,"",'1. Live'!BW239-'check-Jul25'!BW239)</f>
        <v/>
      </c>
      <c r="BX239" t="str">
        <f>IF('1. Live'!BX239='check-Jul25'!BX239,"",'1. Live'!BX239-'check-Jul25'!BX239)</f>
        <v/>
      </c>
      <c r="BY239" t="str">
        <f>IF('1. Live'!BY239='check-Jul25'!BY239,"",'1. Live'!BY239-'check-Jul25'!BY239)</f>
        <v/>
      </c>
      <c r="BZ239" t="str">
        <f>IF('1. Live'!BZ239='check-Jul25'!BZ239,"",'1. Live'!BZ239-'check-Jul25'!BZ239)</f>
        <v/>
      </c>
      <c r="CA239" t="str">
        <f>IF('1. Live'!CA239='check-Jul25'!CA239,"",'1. Live'!CA239-'check-Jul25'!CA239)</f>
        <v/>
      </c>
      <c r="CB239" t="str">
        <f>IF('1. Live'!CB239='check-Jul25'!CB239,"",'1. Live'!CB239-'check-Jul25'!CB239)</f>
        <v/>
      </c>
      <c r="CC239" t="str">
        <f>IF('1. Live'!CC239='check-Jul25'!CC239,"",'1. Live'!CC239-'check-Jul25'!CC239)</f>
        <v/>
      </c>
      <c r="CD239" t="str">
        <f>IF('1. Live'!CD239='check-Jul25'!CD239,"",'1. Live'!CD239-'check-Jul25'!CD239)</f>
        <v/>
      </c>
      <c r="CE239" t="str">
        <f>IF('1. Live'!CE239='check-Jul25'!CE239,"",'1. Live'!CE239-'check-Jul25'!CE239)</f>
        <v/>
      </c>
      <c r="CF239" t="str">
        <f>IF('1. Live'!CF239='check-Jul25'!CF239,"",'1. Live'!CF239-'check-Jul25'!CF239)</f>
        <v/>
      </c>
      <c r="CG239" t="str">
        <f>IF('1. Live'!CG239='check-Jul25'!CG239,"",'1. Live'!CG239-'check-Jul25'!CG239)</f>
        <v/>
      </c>
      <c r="CH239" t="str">
        <f>IF('1. Live'!CH239='check-Jul25'!CH239,"",'1. Live'!CH239-'check-Jul25'!CH239)</f>
        <v/>
      </c>
      <c r="CI239" t="str">
        <f>IF('1. Live'!CI239='check-Jul25'!CI239,"",'1. Live'!CI239-'check-Jul25'!CI239)</f>
        <v/>
      </c>
      <c r="CJ239" t="str">
        <f>IF('1. Live'!CJ239='check-Jul25'!CJ239,"",'1. Live'!CJ239-'check-Jul25'!CJ239)</f>
        <v/>
      </c>
      <c r="CK239" t="str">
        <f>IF('1. Live'!CK239='check-Jul25'!CK239,"",'1. Live'!CK239-'check-Jul25'!CK239)</f>
        <v/>
      </c>
      <c r="CL239" t="str">
        <f>IF('1. Live'!CL239='check-Jul25'!CL239,"",'1. Live'!CL239-'check-Jul25'!CL239)</f>
        <v/>
      </c>
      <c r="CM239" t="str">
        <f>IF('1. Live'!CM239='check-Jul25'!CM239,"",'1. Live'!CM239-'check-Jul25'!CM239)</f>
        <v/>
      </c>
      <c r="CN239" t="str">
        <f>IF('1. Live'!CN239='check-Jul25'!CN239,"",'1. Live'!CN239-'check-Jul25'!CN239)</f>
        <v/>
      </c>
      <c r="CO239" t="str">
        <f>IF('1. Live'!CO239='check-Jul25'!CO239,"",'1. Live'!CO239-'check-Jul25'!CO239)</f>
        <v/>
      </c>
      <c r="CP239" t="str">
        <f>IF('1. Live'!CP239='check-Jul25'!CP239,"",'1. Live'!CP239-'check-Jul25'!CP239)</f>
        <v/>
      </c>
      <c r="CQ239" t="str">
        <f>IF('1. Live'!CQ239='check-Jul25'!CQ239,"",'1. Live'!CQ239-'check-Jul25'!CQ239)</f>
        <v/>
      </c>
      <c r="CR239" t="str">
        <f>IF('1. Live'!CR239='check-Jul25'!CR239,"",'1. Live'!CR239-'check-Jul25'!CR239)</f>
        <v/>
      </c>
      <c r="CS239" t="str">
        <f>IF('1. Live'!CS239='check-Jul25'!CS239,"",'1. Live'!CS239-'check-Jul25'!CS239)</f>
        <v/>
      </c>
      <c r="CT239" t="str">
        <f>IF('1. Live'!CT239='check-Jul25'!CT239,"",'1. Live'!CT239-'check-Jul25'!CT239)</f>
        <v/>
      </c>
      <c r="CU239" t="str">
        <f>IF('1. Live'!CU239='check-Jul25'!CU239,"",'1. Live'!CU239-'check-Jul25'!CU239)</f>
        <v/>
      </c>
      <c r="CV239" t="str">
        <f>IF('1. Live'!CV239='check-Jul25'!CV239,"",'1. Live'!CV239-'check-Jul25'!CV239)</f>
        <v/>
      </c>
      <c r="CW239" t="str">
        <f>IF('1. Live'!CW239='check-Jul25'!CW239,"",'1. Live'!CW239-'check-Jul25'!CW239)</f>
        <v/>
      </c>
    </row>
    <row r="240" spans="10:101">
      <c r="J240" t="str">
        <f>IF('1. Live'!J240='check-Jul25'!J240,"",'1. Live'!J240-'check-Jul25'!J240)</f>
        <v/>
      </c>
      <c r="K240" t="str">
        <f>IF('1. Live'!K240='check-Jul25'!K240,"",'1. Live'!K240-'check-Jul25'!K240)</f>
        <v/>
      </c>
      <c r="L240" t="str">
        <f>IF('1. Live'!L240='check-Jul25'!L240,"",'1. Live'!L240-'check-Jul25'!L240)</f>
        <v/>
      </c>
      <c r="M240" t="str">
        <f>IF('1. Live'!M240='check-Jul25'!M240,"",'1. Live'!M240-'check-Jul25'!M240)</f>
        <v/>
      </c>
      <c r="N240" t="str">
        <f>IF('1. Live'!N240='check-Jul25'!N240,"",'1. Live'!N240-'check-Jul25'!N240)</f>
        <v/>
      </c>
      <c r="O240" t="str">
        <f>IF('1. Live'!O240='check-Jul25'!O240,"",'1. Live'!O240-'check-Jul25'!O240)</f>
        <v/>
      </c>
      <c r="P240" t="str">
        <f>IF('1. Live'!P240='check-Jul25'!P240,"",'1. Live'!P240-'check-Jul25'!P240)</f>
        <v/>
      </c>
      <c r="Q240" t="str">
        <f>IF('1. Live'!Q240='check-Jul25'!Q240,"",'1. Live'!Q240-'check-Jul25'!Q240)</f>
        <v/>
      </c>
      <c r="R240" t="str">
        <f>IF('1. Live'!R240='check-Jul25'!R240,"",'1. Live'!R240-'check-Jul25'!R240)</f>
        <v/>
      </c>
      <c r="S240" t="str">
        <f>IF('1. Live'!S240='check-Jul25'!S240,"",'1. Live'!S240-'check-Jul25'!S240)</f>
        <v/>
      </c>
      <c r="T240" t="str">
        <f>IF('1. Live'!T240='check-Jul25'!T240,"",'1. Live'!T240-'check-Jul25'!T240)</f>
        <v/>
      </c>
      <c r="U240" t="str">
        <f>IF('1. Live'!U240='check-Jul25'!U240,"",'1. Live'!U240-'check-Jul25'!U240)</f>
        <v/>
      </c>
      <c r="V240" t="str">
        <f>IF('1. Live'!V240='check-Jul25'!V240,"",'1. Live'!V240-'check-Jul25'!V240)</f>
        <v/>
      </c>
      <c r="W240" t="str">
        <f>IF('1. Live'!W240='check-Jul25'!W240,"",'1. Live'!W240-'check-Jul25'!W240)</f>
        <v/>
      </c>
      <c r="X240" t="str">
        <f>IF('1. Live'!X240='check-Jul25'!X240,"",'1. Live'!X240-'check-Jul25'!X240)</f>
        <v/>
      </c>
      <c r="Y240" t="str">
        <f>IF('1. Live'!Y240='check-Jul25'!Y240,"",'1. Live'!Y240-'check-Jul25'!Y240)</f>
        <v/>
      </c>
      <c r="Z240" t="str">
        <f>IF('1. Live'!Z240='check-Jul25'!Z240,"",'1. Live'!Z240-'check-Jul25'!Z240)</f>
        <v/>
      </c>
      <c r="AA240" t="str">
        <f>IF('1. Live'!AA240='check-Jul25'!AA240,"",'1. Live'!AA240-'check-Jul25'!AA240)</f>
        <v/>
      </c>
      <c r="AB240" t="str">
        <f>IF('1. Live'!AB240='check-Jul25'!AB240,"",'1. Live'!AB240-'check-Jul25'!AB240)</f>
        <v/>
      </c>
      <c r="AC240" t="str">
        <f>IF('1. Live'!AC240='check-Jul25'!AC240,"",'1. Live'!AC240-'check-Jul25'!AC240)</f>
        <v/>
      </c>
      <c r="AD240" t="str">
        <f>IF('1. Live'!AD240='check-Jul25'!AD240,"",'1. Live'!AD240-'check-Jul25'!AD240)</f>
        <v/>
      </c>
      <c r="AE240" t="str">
        <f>IF('1. Live'!AE240='check-Jul25'!AE240,"",'1. Live'!AE240-'check-Jul25'!AE240)</f>
        <v/>
      </c>
      <c r="AF240" t="str">
        <f>IF('1. Live'!AF240='check-Jul25'!AF240,"",'1. Live'!AF240-'check-Jul25'!AF240)</f>
        <v/>
      </c>
      <c r="AG240" t="str">
        <f>IF('1. Live'!AG240='check-Jul25'!AG240,"",'1. Live'!AG240-'check-Jul25'!AG240)</f>
        <v/>
      </c>
      <c r="AH240" t="str">
        <f>IF('1. Live'!AH240='check-Jul25'!AH240,"",'1. Live'!AH240-'check-Jul25'!AH240)</f>
        <v/>
      </c>
      <c r="AI240" t="str">
        <f>IF('1. Live'!AI240='check-Jul25'!AI240,"",'1. Live'!AI240-'check-Jul25'!AI240)</f>
        <v/>
      </c>
      <c r="AJ240" t="str">
        <f>IF('1. Live'!AJ240='check-Jul25'!AJ240,"",'1. Live'!AJ240-'check-Jul25'!AJ240)</f>
        <v/>
      </c>
      <c r="AK240" t="str">
        <f>IF('1. Live'!AK240='check-Jul25'!AK240,"",'1. Live'!AK240-'check-Jul25'!AK240)</f>
        <v/>
      </c>
      <c r="AL240" t="str">
        <f>IF('1. Live'!AL240='check-Jul25'!AL240,"",'1. Live'!AL240-'check-Jul25'!AL240)</f>
        <v/>
      </c>
      <c r="AM240" t="str">
        <f>IF('1. Live'!AM240='check-Jul25'!AM240,"",'1. Live'!AM240-'check-Jul25'!AM240)</f>
        <v/>
      </c>
      <c r="AN240" t="str">
        <f>IF('1. Live'!AN240='check-Jul25'!AN240,"",'1. Live'!AN240-'check-Jul25'!AN240)</f>
        <v/>
      </c>
      <c r="AO240" t="str">
        <f>IF('1. Live'!AO240='check-Jul25'!AO240,"",'1. Live'!AO240-'check-Jul25'!AO240)</f>
        <v/>
      </c>
      <c r="AP240" t="str">
        <f>IF('1. Live'!AP240='check-Jul25'!AP240,"",'1. Live'!AP240-'check-Jul25'!AP240)</f>
        <v/>
      </c>
      <c r="AQ240" t="str">
        <f>IF('1. Live'!AQ240='check-Jul25'!AQ240,"",'1. Live'!AQ240-'check-Jul25'!AQ240)</f>
        <v/>
      </c>
      <c r="AR240" t="str">
        <f>IF('1. Live'!AR240='check-Jul25'!AR240,"",'1. Live'!AR240-'check-Jul25'!AR240)</f>
        <v/>
      </c>
      <c r="AS240" t="str">
        <f>IF('1. Live'!AS240='check-Jul25'!AS240,"",'1. Live'!AS240-'check-Jul25'!AS240)</f>
        <v/>
      </c>
      <c r="AT240" t="str">
        <f>IF('1. Live'!AT240='check-Jul25'!AT240,"",'1. Live'!AT240-'check-Jul25'!AT240)</f>
        <v/>
      </c>
      <c r="AU240" t="str">
        <f>IF('1. Live'!AU240='check-Jul25'!AU240,"",'1. Live'!AU240-'check-Jul25'!AU240)</f>
        <v/>
      </c>
      <c r="AV240" t="str">
        <f>IF('1. Live'!AV240='check-Jul25'!AV240,"",'1. Live'!AV240-'check-Jul25'!AV240)</f>
        <v/>
      </c>
      <c r="AW240" t="str">
        <f>IF('1. Live'!AW240='check-Jul25'!AW240,"",'1. Live'!AW240-'check-Jul25'!AW240)</f>
        <v/>
      </c>
      <c r="AX240" t="str">
        <f>IF('1. Live'!AX240='check-Jul25'!AX240,"",'1. Live'!AX240-'check-Jul25'!AX240)</f>
        <v/>
      </c>
      <c r="AY240" t="str">
        <f>IF('1. Live'!AY240='check-Jul25'!AY240,"",'1. Live'!AY240-'check-Jul25'!AY240)</f>
        <v/>
      </c>
      <c r="AZ240" t="str">
        <f>IF('1. Live'!AZ240='check-Jul25'!AZ240,"",'1. Live'!AZ240-'check-Jul25'!AZ240)</f>
        <v/>
      </c>
      <c r="BA240" t="str">
        <f>IF('1. Live'!BA240='check-Jul25'!BA240,"",'1. Live'!BA240-'check-Jul25'!BA240)</f>
        <v/>
      </c>
      <c r="BB240" t="str">
        <f>IF('1. Live'!BB240='check-Jul25'!BB240,"",'1. Live'!BB240-'check-Jul25'!BB240)</f>
        <v/>
      </c>
      <c r="BC240" t="str">
        <f>IF('1. Live'!BC240='check-Jul25'!BC240,"",'1. Live'!BC240-'check-Jul25'!BC240)</f>
        <v/>
      </c>
      <c r="BD240" t="str">
        <f>IF('1. Live'!BD240='check-Jul25'!BD240,"",'1. Live'!BD240-'check-Jul25'!BD240)</f>
        <v/>
      </c>
      <c r="BE240" t="str">
        <f>IF('1. Live'!BE240='check-Jul25'!BE240,"",'1. Live'!BE240-'check-Jul25'!BE240)</f>
        <v/>
      </c>
      <c r="BF240" t="str">
        <f>IF('1. Live'!BF240='check-Jul25'!BF240,"",'1. Live'!BF240-'check-Jul25'!BF240)</f>
        <v/>
      </c>
      <c r="BG240" t="str">
        <f>IF('1. Live'!BG240='check-Jul25'!BG240,"",'1. Live'!BG240-'check-Jul25'!BG240)</f>
        <v/>
      </c>
      <c r="BH240" t="str">
        <f>IF('1. Live'!BH240='check-Jul25'!BH240,"",'1. Live'!BH240-'check-Jul25'!BH240)</f>
        <v/>
      </c>
      <c r="BI240" t="str">
        <f>IF('1. Live'!BI240='check-Jul25'!BI240,"",'1. Live'!BI240-'check-Jul25'!BI240)</f>
        <v/>
      </c>
      <c r="BJ240" t="str">
        <f>IF('1. Live'!BJ240='check-Jul25'!BJ240,"",'1. Live'!BJ240-'check-Jul25'!BJ240)</f>
        <v/>
      </c>
      <c r="BK240" t="str">
        <f>IF('1. Live'!BK240='check-Jul25'!BK240,"",'1. Live'!BK240-'check-Jul25'!BK240)</f>
        <v/>
      </c>
      <c r="BL240" t="str">
        <f>IF('1. Live'!BL240='check-Jul25'!BL240,"",'1. Live'!BL240-'check-Jul25'!BL240)</f>
        <v/>
      </c>
      <c r="BM240" t="str">
        <f>IF('1. Live'!BM240='check-Jul25'!BM240,"",'1. Live'!BM240-'check-Jul25'!BM240)</f>
        <v/>
      </c>
      <c r="BN240" t="str">
        <f>IF('1. Live'!BN240='check-Jul25'!BN240,"",'1. Live'!BN240-'check-Jul25'!BN240)</f>
        <v/>
      </c>
      <c r="BO240" t="str">
        <f>IF('1. Live'!BO240='check-Jul25'!BO240,"",'1. Live'!BO240-'check-Jul25'!BO240)</f>
        <v/>
      </c>
      <c r="BP240" t="str">
        <f>IF('1. Live'!BP240='check-Jul25'!BP240,"",'1. Live'!BP240-'check-Jul25'!BP240)</f>
        <v/>
      </c>
      <c r="BQ240" t="str">
        <f>IF('1. Live'!BQ240='check-Jul25'!BQ240,"",'1. Live'!BQ240-'check-Jul25'!BQ240)</f>
        <v/>
      </c>
      <c r="BR240" t="str">
        <f>IF('1. Live'!BR240='check-Jul25'!BR240,"",'1. Live'!BR240-'check-Jul25'!BR240)</f>
        <v/>
      </c>
      <c r="BS240" t="str">
        <f>IF('1. Live'!BS240='check-Jul25'!BS240,"",'1. Live'!BS240-'check-Jul25'!BS240)</f>
        <v/>
      </c>
      <c r="BT240" t="str">
        <f>IF('1. Live'!BT240='check-Jul25'!BT240,"",'1. Live'!BT240-'check-Jul25'!BT240)</f>
        <v/>
      </c>
      <c r="BU240" t="str">
        <f>IF('1. Live'!BU240='check-Jul25'!BU240,"",'1. Live'!BU240-'check-Jul25'!BU240)</f>
        <v/>
      </c>
      <c r="BV240" t="str">
        <f>IF('1. Live'!BV240='check-Jul25'!BV240,"",'1. Live'!BV240-'check-Jul25'!BV240)</f>
        <v/>
      </c>
      <c r="BW240" t="str">
        <f>IF('1. Live'!BW240='check-Jul25'!BW240,"",'1. Live'!BW240-'check-Jul25'!BW240)</f>
        <v/>
      </c>
      <c r="BX240" t="str">
        <f>IF('1. Live'!BX240='check-Jul25'!BX240,"",'1. Live'!BX240-'check-Jul25'!BX240)</f>
        <v/>
      </c>
      <c r="BY240" t="str">
        <f>IF('1. Live'!BY240='check-Jul25'!BY240,"",'1. Live'!BY240-'check-Jul25'!BY240)</f>
        <v/>
      </c>
      <c r="BZ240" t="str">
        <f>IF('1. Live'!BZ240='check-Jul25'!BZ240,"",'1. Live'!BZ240-'check-Jul25'!BZ240)</f>
        <v/>
      </c>
      <c r="CA240" t="str">
        <f>IF('1. Live'!CA240='check-Jul25'!CA240,"",'1. Live'!CA240-'check-Jul25'!CA240)</f>
        <v/>
      </c>
      <c r="CB240" t="str">
        <f>IF('1. Live'!CB240='check-Jul25'!CB240,"",'1. Live'!CB240-'check-Jul25'!CB240)</f>
        <v/>
      </c>
      <c r="CC240" t="str">
        <f>IF('1. Live'!CC240='check-Jul25'!CC240,"",'1. Live'!CC240-'check-Jul25'!CC240)</f>
        <v/>
      </c>
      <c r="CD240" t="str">
        <f>IF('1. Live'!CD240='check-Jul25'!CD240,"",'1. Live'!CD240-'check-Jul25'!CD240)</f>
        <v/>
      </c>
      <c r="CE240" t="str">
        <f>IF('1. Live'!CE240='check-Jul25'!CE240,"",'1. Live'!CE240-'check-Jul25'!CE240)</f>
        <v/>
      </c>
      <c r="CF240" t="str">
        <f>IF('1. Live'!CF240='check-Jul25'!CF240,"",'1. Live'!CF240-'check-Jul25'!CF240)</f>
        <v/>
      </c>
      <c r="CG240" t="str">
        <f>IF('1. Live'!CG240='check-Jul25'!CG240,"",'1. Live'!CG240-'check-Jul25'!CG240)</f>
        <v/>
      </c>
      <c r="CH240" t="str">
        <f>IF('1. Live'!CH240='check-Jul25'!CH240,"",'1. Live'!CH240-'check-Jul25'!CH240)</f>
        <v/>
      </c>
      <c r="CI240" t="str">
        <f>IF('1. Live'!CI240='check-Jul25'!CI240,"",'1. Live'!CI240-'check-Jul25'!CI240)</f>
        <v/>
      </c>
      <c r="CJ240" t="str">
        <f>IF('1. Live'!CJ240='check-Jul25'!CJ240,"",'1. Live'!CJ240-'check-Jul25'!CJ240)</f>
        <v/>
      </c>
      <c r="CK240" t="str">
        <f>IF('1. Live'!CK240='check-Jul25'!CK240,"",'1. Live'!CK240-'check-Jul25'!CK240)</f>
        <v/>
      </c>
      <c r="CL240" t="str">
        <f>IF('1. Live'!CL240='check-Jul25'!CL240,"",'1. Live'!CL240-'check-Jul25'!CL240)</f>
        <v/>
      </c>
      <c r="CM240" t="str">
        <f>IF('1. Live'!CM240='check-Jul25'!CM240,"",'1. Live'!CM240-'check-Jul25'!CM240)</f>
        <v/>
      </c>
      <c r="CN240" t="str">
        <f>IF('1. Live'!CN240='check-Jul25'!CN240,"",'1. Live'!CN240-'check-Jul25'!CN240)</f>
        <v/>
      </c>
      <c r="CO240" t="str">
        <f>IF('1. Live'!CO240='check-Jul25'!CO240,"",'1. Live'!CO240-'check-Jul25'!CO240)</f>
        <v/>
      </c>
      <c r="CP240" t="str">
        <f>IF('1. Live'!CP240='check-Jul25'!CP240,"",'1. Live'!CP240-'check-Jul25'!CP240)</f>
        <v/>
      </c>
      <c r="CQ240" t="str">
        <f>IF('1. Live'!CQ240='check-Jul25'!CQ240,"",'1. Live'!CQ240-'check-Jul25'!CQ240)</f>
        <v/>
      </c>
      <c r="CR240" t="str">
        <f>IF('1. Live'!CR240='check-Jul25'!CR240,"",'1. Live'!CR240-'check-Jul25'!CR240)</f>
        <v/>
      </c>
      <c r="CS240" t="str">
        <f>IF('1. Live'!CS240='check-Jul25'!CS240,"",'1. Live'!CS240-'check-Jul25'!CS240)</f>
        <v/>
      </c>
      <c r="CT240" t="str">
        <f>IF('1. Live'!CT240='check-Jul25'!CT240,"",'1. Live'!CT240-'check-Jul25'!CT240)</f>
        <v/>
      </c>
      <c r="CU240" t="str">
        <f>IF('1. Live'!CU240='check-Jul25'!CU240,"",'1. Live'!CU240-'check-Jul25'!CU240)</f>
        <v/>
      </c>
      <c r="CV240" t="str">
        <f>IF('1. Live'!CV240='check-Jul25'!CV240,"",'1. Live'!CV240-'check-Jul25'!CV240)</f>
        <v/>
      </c>
      <c r="CW240" t="str">
        <f>IF('1. Live'!CW240='check-Jul25'!CW240,"",'1. Live'!CW240-'check-Jul25'!CW240)</f>
        <v/>
      </c>
    </row>
    <row r="241" spans="10:101">
      <c r="J241" t="str">
        <f>IF('1. Live'!J241='check-Jul25'!J241,"",'1. Live'!J241-'check-Jul25'!J241)</f>
        <v/>
      </c>
      <c r="K241" t="str">
        <f>IF('1. Live'!K241='check-Jul25'!K241,"",'1. Live'!K241-'check-Jul25'!K241)</f>
        <v/>
      </c>
      <c r="L241" t="str">
        <f>IF('1. Live'!L241='check-Jul25'!L241,"",'1. Live'!L241-'check-Jul25'!L241)</f>
        <v/>
      </c>
      <c r="M241" t="str">
        <f>IF('1. Live'!M241='check-Jul25'!M241,"",'1. Live'!M241-'check-Jul25'!M241)</f>
        <v/>
      </c>
      <c r="N241" t="str">
        <f>IF('1. Live'!N241='check-Jul25'!N241,"",'1. Live'!N241-'check-Jul25'!N241)</f>
        <v/>
      </c>
      <c r="O241" t="str">
        <f>IF('1. Live'!O241='check-Jul25'!O241,"",'1. Live'!O241-'check-Jul25'!O241)</f>
        <v/>
      </c>
      <c r="P241" t="str">
        <f>IF('1. Live'!P241='check-Jul25'!P241,"",'1. Live'!P241-'check-Jul25'!P241)</f>
        <v/>
      </c>
      <c r="Q241" t="str">
        <f>IF('1. Live'!Q241='check-Jul25'!Q241,"",'1. Live'!Q241-'check-Jul25'!Q241)</f>
        <v/>
      </c>
      <c r="R241" t="str">
        <f>IF('1. Live'!R241='check-Jul25'!R241,"",'1. Live'!R241-'check-Jul25'!R241)</f>
        <v/>
      </c>
      <c r="S241" t="str">
        <f>IF('1. Live'!S241='check-Jul25'!S241,"",'1. Live'!S241-'check-Jul25'!S241)</f>
        <v/>
      </c>
      <c r="T241" t="str">
        <f>IF('1. Live'!T241='check-Jul25'!T241,"",'1. Live'!T241-'check-Jul25'!T241)</f>
        <v/>
      </c>
      <c r="U241" t="str">
        <f>IF('1. Live'!U241='check-Jul25'!U241,"",'1. Live'!U241-'check-Jul25'!U241)</f>
        <v/>
      </c>
      <c r="V241" t="str">
        <f>IF('1. Live'!V241='check-Jul25'!V241,"",'1. Live'!V241-'check-Jul25'!V241)</f>
        <v/>
      </c>
      <c r="W241" t="str">
        <f>IF('1. Live'!W241='check-Jul25'!W241,"",'1. Live'!W241-'check-Jul25'!W241)</f>
        <v/>
      </c>
      <c r="X241" t="str">
        <f>IF('1. Live'!X241='check-Jul25'!X241,"",'1. Live'!X241-'check-Jul25'!X241)</f>
        <v/>
      </c>
      <c r="Y241" t="str">
        <f>IF('1. Live'!Y241='check-Jul25'!Y241,"",'1. Live'!Y241-'check-Jul25'!Y241)</f>
        <v/>
      </c>
      <c r="Z241" t="str">
        <f>IF('1. Live'!Z241='check-Jul25'!Z241,"",'1. Live'!Z241-'check-Jul25'!Z241)</f>
        <v/>
      </c>
      <c r="AA241" t="str">
        <f>IF('1. Live'!AA241='check-Jul25'!AA241,"",'1. Live'!AA241-'check-Jul25'!AA241)</f>
        <v/>
      </c>
      <c r="AB241" t="str">
        <f>IF('1. Live'!AB241='check-Jul25'!AB241,"",'1. Live'!AB241-'check-Jul25'!AB241)</f>
        <v/>
      </c>
      <c r="AC241" t="str">
        <f>IF('1. Live'!AC241='check-Jul25'!AC241,"",'1. Live'!AC241-'check-Jul25'!AC241)</f>
        <v/>
      </c>
      <c r="AD241" t="str">
        <f>IF('1. Live'!AD241='check-Jul25'!AD241,"",'1. Live'!AD241-'check-Jul25'!AD241)</f>
        <v/>
      </c>
      <c r="AE241" t="str">
        <f>IF('1. Live'!AE241='check-Jul25'!AE241,"",'1. Live'!AE241-'check-Jul25'!AE241)</f>
        <v/>
      </c>
      <c r="AF241" t="str">
        <f>IF('1. Live'!AF241='check-Jul25'!AF241,"",'1. Live'!AF241-'check-Jul25'!AF241)</f>
        <v/>
      </c>
      <c r="AG241" t="str">
        <f>IF('1. Live'!AG241='check-Jul25'!AG241,"",'1. Live'!AG241-'check-Jul25'!AG241)</f>
        <v/>
      </c>
      <c r="AH241" t="str">
        <f>IF('1. Live'!AH241='check-Jul25'!AH241,"",'1. Live'!AH241-'check-Jul25'!AH241)</f>
        <v/>
      </c>
      <c r="AI241" t="str">
        <f>IF('1. Live'!AI241='check-Jul25'!AI241,"",'1. Live'!AI241-'check-Jul25'!AI241)</f>
        <v/>
      </c>
      <c r="AJ241" t="str">
        <f>IF('1. Live'!AJ241='check-Jul25'!AJ241,"",'1. Live'!AJ241-'check-Jul25'!AJ241)</f>
        <v/>
      </c>
      <c r="AK241" t="str">
        <f>IF('1. Live'!AK241='check-Jul25'!AK241,"",'1. Live'!AK241-'check-Jul25'!AK241)</f>
        <v/>
      </c>
      <c r="AL241" t="str">
        <f>IF('1. Live'!AL241='check-Jul25'!AL241,"",'1. Live'!AL241-'check-Jul25'!AL241)</f>
        <v/>
      </c>
      <c r="AM241" t="str">
        <f>IF('1. Live'!AM241='check-Jul25'!AM241,"",'1. Live'!AM241-'check-Jul25'!AM241)</f>
        <v/>
      </c>
      <c r="AN241" t="str">
        <f>IF('1. Live'!AN241='check-Jul25'!AN241,"",'1. Live'!AN241-'check-Jul25'!AN241)</f>
        <v/>
      </c>
      <c r="AO241" t="str">
        <f>IF('1. Live'!AO241='check-Jul25'!AO241,"",'1. Live'!AO241-'check-Jul25'!AO241)</f>
        <v/>
      </c>
      <c r="AP241" t="str">
        <f>IF('1. Live'!AP241='check-Jul25'!AP241,"",'1. Live'!AP241-'check-Jul25'!AP241)</f>
        <v/>
      </c>
      <c r="AQ241" t="str">
        <f>IF('1. Live'!AQ241='check-Jul25'!AQ241,"",'1. Live'!AQ241-'check-Jul25'!AQ241)</f>
        <v/>
      </c>
      <c r="AR241" t="str">
        <f>IF('1. Live'!AR241='check-Jul25'!AR241,"",'1. Live'!AR241-'check-Jul25'!AR241)</f>
        <v/>
      </c>
      <c r="AS241" t="str">
        <f>IF('1. Live'!AS241='check-Jul25'!AS241,"",'1. Live'!AS241-'check-Jul25'!AS241)</f>
        <v/>
      </c>
      <c r="AT241" t="str">
        <f>IF('1. Live'!AT241='check-Jul25'!AT241,"",'1. Live'!AT241-'check-Jul25'!AT241)</f>
        <v/>
      </c>
      <c r="AU241" t="str">
        <f>IF('1. Live'!AU241='check-Jul25'!AU241,"",'1. Live'!AU241-'check-Jul25'!AU241)</f>
        <v/>
      </c>
      <c r="AV241" t="str">
        <f>IF('1. Live'!AV241='check-Jul25'!AV241,"",'1. Live'!AV241-'check-Jul25'!AV241)</f>
        <v/>
      </c>
      <c r="AW241" t="str">
        <f>IF('1. Live'!AW241='check-Jul25'!AW241,"",'1. Live'!AW241-'check-Jul25'!AW241)</f>
        <v/>
      </c>
      <c r="AX241" t="str">
        <f>IF('1. Live'!AX241='check-Jul25'!AX241,"",'1. Live'!AX241-'check-Jul25'!AX241)</f>
        <v/>
      </c>
      <c r="AY241" t="str">
        <f>IF('1. Live'!AY241='check-Jul25'!AY241,"",'1. Live'!AY241-'check-Jul25'!AY241)</f>
        <v/>
      </c>
      <c r="AZ241" t="str">
        <f>IF('1. Live'!AZ241='check-Jul25'!AZ241,"",'1. Live'!AZ241-'check-Jul25'!AZ241)</f>
        <v/>
      </c>
      <c r="BA241" t="str">
        <f>IF('1. Live'!BA241='check-Jul25'!BA241,"",'1. Live'!BA241-'check-Jul25'!BA241)</f>
        <v/>
      </c>
      <c r="BB241" t="str">
        <f>IF('1. Live'!BB241='check-Jul25'!BB241,"",'1. Live'!BB241-'check-Jul25'!BB241)</f>
        <v/>
      </c>
      <c r="BC241" t="str">
        <f>IF('1. Live'!BC241='check-Jul25'!BC241,"",'1. Live'!BC241-'check-Jul25'!BC241)</f>
        <v/>
      </c>
      <c r="BD241" t="str">
        <f>IF('1. Live'!BD241='check-Jul25'!BD241,"",'1. Live'!BD241-'check-Jul25'!BD241)</f>
        <v/>
      </c>
      <c r="BE241" t="str">
        <f>IF('1. Live'!BE241='check-Jul25'!BE241,"",'1. Live'!BE241-'check-Jul25'!BE241)</f>
        <v/>
      </c>
      <c r="BF241" t="str">
        <f>IF('1. Live'!BF241='check-Jul25'!BF241,"",'1. Live'!BF241-'check-Jul25'!BF241)</f>
        <v/>
      </c>
      <c r="BG241" t="str">
        <f>IF('1. Live'!BG241='check-Jul25'!BG241,"",'1. Live'!BG241-'check-Jul25'!BG241)</f>
        <v/>
      </c>
      <c r="BH241" t="str">
        <f>IF('1. Live'!BH241='check-Jul25'!BH241,"",'1. Live'!BH241-'check-Jul25'!BH241)</f>
        <v/>
      </c>
      <c r="BI241" t="str">
        <f>IF('1. Live'!BI241='check-Jul25'!BI241,"",'1. Live'!BI241-'check-Jul25'!BI241)</f>
        <v/>
      </c>
      <c r="BJ241" t="str">
        <f>IF('1. Live'!BJ241='check-Jul25'!BJ241,"",'1. Live'!BJ241-'check-Jul25'!BJ241)</f>
        <v/>
      </c>
      <c r="BK241" t="str">
        <f>IF('1. Live'!BK241='check-Jul25'!BK241,"",'1. Live'!BK241-'check-Jul25'!BK241)</f>
        <v/>
      </c>
      <c r="BL241" t="str">
        <f>IF('1. Live'!BL241='check-Jul25'!BL241,"",'1. Live'!BL241-'check-Jul25'!BL241)</f>
        <v/>
      </c>
      <c r="BM241" t="str">
        <f>IF('1. Live'!BM241='check-Jul25'!BM241,"",'1. Live'!BM241-'check-Jul25'!BM241)</f>
        <v/>
      </c>
      <c r="BN241" t="str">
        <f>IF('1. Live'!BN241='check-Jul25'!BN241,"",'1. Live'!BN241-'check-Jul25'!BN241)</f>
        <v/>
      </c>
      <c r="BO241" t="str">
        <f>IF('1. Live'!BO241='check-Jul25'!BO241,"",'1. Live'!BO241-'check-Jul25'!BO241)</f>
        <v/>
      </c>
      <c r="BP241" t="str">
        <f>IF('1. Live'!BP241='check-Jul25'!BP241,"",'1. Live'!BP241-'check-Jul25'!BP241)</f>
        <v/>
      </c>
      <c r="BQ241" t="str">
        <f>IF('1. Live'!BQ241='check-Jul25'!BQ241,"",'1. Live'!BQ241-'check-Jul25'!BQ241)</f>
        <v/>
      </c>
      <c r="BR241" t="str">
        <f>IF('1. Live'!BR241='check-Jul25'!BR241,"",'1. Live'!BR241-'check-Jul25'!BR241)</f>
        <v/>
      </c>
      <c r="BS241" t="str">
        <f>IF('1. Live'!BS241='check-Jul25'!BS241,"",'1. Live'!BS241-'check-Jul25'!BS241)</f>
        <v/>
      </c>
      <c r="BT241" t="str">
        <f>IF('1. Live'!BT241='check-Jul25'!BT241,"",'1. Live'!BT241-'check-Jul25'!BT241)</f>
        <v/>
      </c>
      <c r="BU241" t="str">
        <f>IF('1. Live'!BU241='check-Jul25'!BU241,"",'1. Live'!BU241-'check-Jul25'!BU241)</f>
        <v/>
      </c>
      <c r="BV241" t="str">
        <f>IF('1. Live'!BV241='check-Jul25'!BV241,"",'1. Live'!BV241-'check-Jul25'!BV241)</f>
        <v/>
      </c>
      <c r="BW241" t="str">
        <f>IF('1. Live'!BW241='check-Jul25'!BW241,"",'1. Live'!BW241-'check-Jul25'!BW241)</f>
        <v/>
      </c>
      <c r="BX241" t="str">
        <f>IF('1. Live'!BX241='check-Jul25'!BX241,"",'1. Live'!BX241-'check-Jul25'!BX241)</f>
        <v/>
      </c>
      <c r="BY241" t="str">
        <f>IF('1. Live'!BY241='check-Jul25'!BY241,"",'1. Live'!BY241-'check-Jul25'!BY241)</f>
        <v/>
      </c>
      <c r="BZ241" t="str">
        <f>IF('1. Live'!BZ241='check-Jul25'!BZ241,"",'1. Live'!BZ241-'check-Jul25'!BZ241)</f>
        <v/>
      </c>
      <c r="CA241" t="str">
        <f>IF('1. Live'!CA241='check-Jul25'!CA241,"",'1. Live'!CA241-'check-Jul25'!CA241)</f>
        <v/>
      </c>
      <c r="CB241" t="str">
        <f>IF('1. Live'!CB241='check-Jul25'!CB241,"",'1. Live'!CB241-'check-Jul25'!CB241)</f>
        <v/>
      </c>
      <c r="CC241" t="str">
        <f>IF('1. Live'!CC241='check-Jul25'!CC241,"",'1. Live'!CC241-'check-Jul25'!CC241)</f>
        <v/>
      </c>
      <c r="CD241" t="str">
        <f>IF('1. Live'!CD241='check-Jul25'!CD241,"",'1. Live'!CD241-'check-Jul25'!CD241)</f>
        <v/>
      </c>
      <c r="CE241" t="str">
        <f>IF('1. Live'!CE241='check-Jul25'!CE241,"",'1. Live'!CE241-'check-Jul25'!CE241)</f>
        <v/>
      </c>
      <c r="CF241" t="str">
        <f>IF('1. Live'!CF241='check-Jul25'!CF241,"",'1. Live'!CF241-'check-Jul25'!CF241)</f>
        <v/>
      </c>
      <c r="CG241" t="str">
        <f>IF('1. Live'!CG241='check-Jul25'!CG241,"",'1. Live'!CG241-'check-Jul25'!CG241)</f>
        <v/>
      </c>
      <c r="CH241" t="str">
        <f>IF('1. Live'!CH241='check-Jul25'!CH241,"",'1. Live'!CH241-'check-Jul25'!CH241)</f>
        <v/>
      </c>
      <c r="CI241" t="str">
        <f>IF('1. Live'!CI241='check-Jul25'!CI241,"",'1. Live'!CI241-'check-Jul25'!CI241)</f>
        <v/>
      </c>
      <c r="CJ241" t="str">
        <f>IF('1. Live'!CJ241='check-Jul25'!CJ241,"",'1. Live'!CJ241-'check-Jul25'!CJ241)</f>
        <v/>
      </c>
      <c r="CK241" t="str">
        <f>IF('1. Live'!CK241='check-Jul25'!CK241,"",'1. Live'!CK241-'check-Jul25'!CK241)</f>
        <v/>
      </c>
      <c r="CL241" t="str">
        <f>IF('1. Live'!CL241='check-Jul25'!CL241,"",'1. Live'!CL241-'check-Jul25'!CL241)</f>
        <v/>
      </c>
      <c r="CM241" t="str">
        <f>IF('1. Live'!CM241='check-Jul25'!CM241,"",'1. Live'!CM241-'check-Jul25'!CM241)</f>
        <v/>
      </c>
      <c r="CN241" t="str">
        <f>IF('1. Live'!CN241='check-Jul25'!CN241,"",'1. Live'!CN241-'check-Jul25'!CN241)</f>
        <v/>
      </c>
      <c r="CO241" t="str">
        <f>IF('1. Live'!CO241='check-Jul25'!CO241,"",'1. Live'!CO241-'check-Jul25'!CO241)</f>
        <v/>
      </c>
      <c r="CP241" t="str">
        <f>IF('1. Live'!CP241='check-Jul25'!CP241,"",'1. Live'!CP241-'check-Jul25'!CP241)</f>
        <v/>
      </c>
      <c r="CQ241" t="str">
        <f>IF('1. Live'!CQ241='check-Jul25'!CQ241,"",'1. Live'!CQ241-'check-Jul25'!CQ241)</f>
        <v/>
      </c>
      <c r="CR241" t="str">
        <f>IF('1. Live'!CR241='check-Jul25'!CR241,"",'1. Live'!CR241-'check-Jul25'!CR241)</f>
        <v/>
      </c>
      <c r="CS241" t="str">
        <f>IF('1. Live'!CS241='check-Jul25'!CS241,"",'1. Live'!CS241-'check-Jul25'!CS241)</f>
        <v/>
      </c>
      <c r="CT241" t="str">
        <f>IF('1. Live'!CT241='check-Jul25'!CT241,"",'1. Live'!CT241-'check-Jul25'!CT241)</f>
        <v/>
      </c>
      <c r="CU241" t="str">
        <f>IF('1. Live'!CU241='check-Jul25'!CU241,"",'1. Live'!CU241-'check-Jul25'!CU241)</f>
        <v/>
      </c>
      <c r="CV241" t="str">
        <f>IF('1. Live'!CV241='check-Jul25'!CV241,"",'1. Live'!CV241-'check-Jul25'!CV241)</f>
        <v/>
      </c>
      <c r="CW241" t="str">
        <f>IF('1. Live'!CW241='check-Jul25'!CW241,"",'1. Live'!CW241-'check-Jul25'!CW241)</f>
        <v/>
      </c>
    </row>
    <row r="242" spans="10:101">
      <c r="J242" t="str">
        <f>IF('1. Live'!J242='check-Jul25'!J242,"",'1. Live'!J242-'check-Jul25'!J242)</f>
        <v/>
      </c>
      <c r="K242" t="str">
        <f>IF('1. Live'!K242='check-Jul25'!K242,"",'1. Live'!K242-'check-Jul25'!K242)</f>
        <v/>
      </c>
      <c r="L242" t="str">
        <f>IF('1. Live'!L242='check-Jul25'!L242,"",'1. Live'!L242-'check-Jul25'!L242)</f>
        <v/>
      </c>
      <c r="M242" t="str">
        <f>IF('1. Live'!M242='check-Jul25'!M242,"",'1. Live'!M242-'check-Jul25'!M242)</f>
        <v/>
      </c>
      <c r="N242" t="str">
        <f>IF('1. Live'!N242='check-Jul25'!N242,"",'1. Live'!N242-'check-Jul25'!N242)</f>
        <v/>
      </c>
      <c r="O242" t="str">
        <f>IF('1. Live'!O242='check-Jul25'!O242,"",'1. Live'!O242-'check-Jul25'!O242)</f>
        <v/>
      </c>
      <c r="P242" t="str">
        <f>IF('1. Live'!P242='check-Jul25'!P242,"",'1. Live'!P242-'check-Jul25'!P242)</f>
        <v/>
      </c>
      <c r="Q242" t="str">
        <f>IF('1. Live'!Q242='check-Jul25'!Q242,"",'1. Live'!Q242-'check-Jul25'!Q242)</f>
        <v/>
      </c>
      <c r="R242" t="str">
        <f>IF('1. Live'!R242='check-Jul25'!R242,"",'1. Live'!R242-'check-Jul25'!R242)</f>
        <v/>
      </c>
      <c r="S242" t="str">
        <f>IF('1. Live'!S242='check-Jul25'!S242,"",'1. Live'!S242-'check-Jul25'!S242)</f>
        <v/>
      </c>
      <c r="T242" t="str">
        <f>IF('1. Live'!T242='check-Jul25'!T242,"",'1. Live'!T242-'check-Jul25'!T242)</f>
        <v/>
      </c>
      <c r="U242" t="str">
        <f>IF('1. Live'!U242='check-Jul25'!U242,"",'1. Live'!U242-'check-Jul25'!U242)</f>
        <v/>
      </c>
      <c r="V242" t="str">
        <f>IF('1. Live'!V242='check-Jul25'!V242,"",'1. Live'!V242-'check-Jul25'!V242)</f>
        <v/>
      </c>
      <c r="W242" t="str">
        <f>IF('1. Live'!W242='check-Jul25'!W242,"",'1. Live'!W242-'check-Jul25'!W242)</f>
        <v/>
      </c>
      <c r="X242" t="str">
        <f>IF('1. Live'!X242='check-Jul25'!X242,"",'1. Live'!X242-'check-Jul25'!X242)</f>
        <v/>
      </c>
      <c r="Y242" t="str">
        <f>IF('1. Live'!Y242='check-Jul25'!Y242,"",'1. Live'!Y242-'check-Jul25'!Y242)</f>
        <v/>
      </c>
      <c r="Z242" t="str">
        <f>IF('1. Live'!Z242='check-Jul25'!Z242,"",'1. Live'!Z242-'check-Jul25'!Z242)</f>
        <v/>
      </c>
      <c r="AA242" t="str">
        <f>IF('1. Live'!AA242='check-Jul25'!AA242,"",'1. Live'!AA242-'check-Jul25'!AA242)</f>
        <v/>
      </c>
      <c r="AB242" t="str">
        <f>IF('1. Live'!AB242='check-Jul25'!AB242,"",'1. Live'!AB242-'check-Jul25'!AB242)</f>
        <v/>
      </c>
      <c r="AC242" t="str">
        <f>IF('1. Live'!AC242='check-Jul25'!AC242,"",'1. Live'!AC242-'check-Jul25'!AC242)</f>
        <v/>
      </c>
      <c r="AD242" t="str">
        <f>IF('1. Live'!AD242='check-Jul25'!AD242,"",'1. Live'!AD242-'check-Jul25'!AD242)</f>
        <v/>
      </c>
      <c r="AE242" t="str">
        <f>IF('1. Live'!AE242='check-Jul25'!AE242,"",'1. Live'!AE242-'check-Jul25'!AE242)</f>
        <v/>
      </c>
      <c r="AF242" t="str">
        <f>IF('1. Live'!AF242='check-Jul25'!AF242,"",'1. Live'!AF242-'check-Jul25'!AF242)</f>
        <v/>
      </c>
      <c r="AG242" t="str">
        <f>IF('1. Live'!AG242='check-Jul25'!AG242,"",'1. Live'!AG242-'check-Jul25'!AG242)</f>
        <v/>
      </c>
      <c r="AH242" t="str">
        <f>IF('1. Live'!AH242='check-Jul25'!AH242,"",'1. Live'!AH242-'check-Jul25'!AH242)</f>
        <v/>
      </c>
      <c r="AI242" t="str">
        <f>IF('1. Live'!AI242='check-Jul25'!AI242,"",'1. Live'!AI242-'check-Jul25'!AI242)</f>
        <v/>
      </c>
      <c r="AJ242" t="str">
        <f>IF('1. Live'!AJ242='check-Jul25'!AJ242,"",'1. Live'!AJ242-'check-Jul25'!AJ242)</f>
        <v/>
      </c>
      <c r="AK242" t="str">
        <f>IF('1. Live'!AK242='check-Jul25'!AK242,"",'1. Live'!AK242-'check-Jul25'!AK242)</f>
        <v/>
      </c>
      <c r="AL242" t="str">
        <f>IF('1. Live'!AL242='check-Jul25'!AL242,"",'1. Live'!AL242-'check-Jul25'!AL242)</f>
        <v/>
      </c>
      <c r="AM242" t="str">
        <f>IF('1. Live'!AM242='check-Jul25'!AM242,"",'1. Live'!AM242-'check-Jul25'!AM242)</f>
        <v/>
      </c>
      <c r="AN242" t="str">
        <f>IF('1. Live'!AN242='check-Jul25'!AN242,"",'1. Live'!AN242-'check-Jul25'!AN242)</f>
        <v/>
      </c>
      <c r="AO242" t="str">
        <f>IF('1. Live'!AO242='check-Jul25'!AO242,"",'1. Live'!AO242-'check-Jul25'!AO242)</f>
        <v/>
      </c>
      <c r="AP242" t="str">
        <f>IF('1. Live'!AP242='check-Jul25'!AP242,"",'1. Live'!AP242-'check-Jul25'!AP242)</f>
        <v/>
      </c>
      <c r="AQ242" t="str">
        <f>IF('1. Live'!AQ242='check-Jul25'!AQ242,"",'1. Live'!AQ242-'check-Jul25'!AQ242)</f>
        <v/>
      </c>
      <c r="AR242" t="str">
        <f>IF('1. Live'!AR242='check-Jul25'!AR242,"",'1. Live'!AR242-'check-Jul25'!AR242)</f>
        <v/>
      </c>
      <c r="AS242" t="str">
        <f>IF('1. Live'!AS242='check-Jul25'!AS242,"",'1. Live'!AS242-'check-Jul25'!AS242)</f>
        <v/>
      </c>
      <c r="AT242" t="str">
        <f>IF('1. Live'!AT242='check-Jul25'!AT242,"",'1. Live'!AT242-'check-Jul25'!AT242)</f>
        <v/>
      </c>
      <c r="AU242" t="str">
        <f>IF('1. Live'!AU242='check-Jul25'!AU242,"",'1. Live'!AU242-'check-Jul25'!AU242)</f>
        <v/>
      </c>
      <c r="AV242" t="str">
        <f>IF('1. Live'!AV242='check-Jul25'!AV242,"",'1. Live'!AV242-'check-Jul25'!AV242)</f>
        <v/>
      </c>
      <c r="AW242" t="str">
        <f>IF('1. Live'!AW242='check-Jul25'!AW242,"",'1. Live'!AW242-'check-Jul25'!AW242)</f>
        <v/>
      </c>
      <c r="AX242" t="str">
        <f>IF('1. Live'!AX242='check-Jul25'!AX242,"",'1. Live'!AX242-'check-Jul25'!AX242)</f>
        <v/>
      </c>
      <c r="AY242" t="str">
        <f>IF('1. Live'!AY242='check-Jul25'!AY242,"",'1. Live'!AY242-'check-Jul25'!AY242)</f>
        <v/>
      </c>
      <c r="AZ242" t="str">
        <f>IF('1. Live'!AZ242='check-Jul25'!AZ242,"",'1. Live'!AZ242-'check-Jul25'!AZ242)</f>
        <v/>
      </c>
      <c r="BA242" t="str">
        <f>IF('1. Live'!BA242='check-Jul25'!BA242,"",'1. Live'!BA242-'check-Jul25'!BA242)</f>
        <v/>
      </c>
      <c r="BB242" t="str">
        <f>IF('1. Live'!BB242='check-Jul25'!BB242,"",'1. Live'!BB242-'check-Jul25'!BB242)</f>
        <v/>
      </c>
      <c r="BC242" t="str">
        <f>IF('1. Live'!BC242='check-Jul25'!BC242,"",'1. Live'!BC242-'check-Jul25'!BC242)</f>
        <v/>
      </c>
      <c r="BD242" t="str">
        <f>IF('1. Live'!BD242='check-Jul25'!BD242,"",'1. Live'!BD242-'check-Jul25'!BD242)</f>
        <v/>
      </c>
      <c r="BE242" t="str">
        <f>IF('1. Live'!BE242='check-Jul25'!BE242,"",'1. Live'!BE242-'check-Jul25'!BE242)</f>
        <v/>
      </c>
      <c r="BF242" t="str">
        <f>IF('1. Live'!BF242='check-Jul25'!BF242,"",'1. Live'!BF242-'check-Jul25'!BF242)</f>
        <v/>
      </c>
      <c r="BG242" t="str">
        <f>IF('1. Live'!BG242='check-Jul25'!BG242,"",'1. Live'!BG242-'check-Jul25'!BG242)</f>
        <v/>
      </c>
      <c r="BH242" t="str">
        <f>IF('1. Live'!BH242='check-Jul25'!BH242,"",'1. Live'!BH242-'check-Jul25'!BH242)</f>
        <v/>
      </c>
      <c r="BI242" t="str">
        <f>IF('1. Live'!BI242='check-Jul25'!BI242,"",'1. Live'!BI242-'check-Jul25'!BI242)</f>
        <v/>
      </c>
      <c r="BJ242" t="str">
        <f>IF('1. Live'!BJ242='check-Jul25'!BJ242,"",'1. Live'!BJ242-'check-Jul25'!BJ242)</f>
        <v/>
      </c>
      <c r="BK242" t="str">
        <f>IF('1. Live'!BK242='check-Jul25'!BK242,"",'1. Live'!BK242-'check-Jul25'!BK242)</f>
        <v/>
      </c>
      <c r="BL242" t="str">
        <f>IF('1. Live'!BL242='check-Jul25'!BL242,"",'1. Live'!BL242-'check-Jul25'!BL242)</f>
        <v/>
      </c>
      <c r="BM242" t="str">
        <f>IF('1. Live'!BM242='check-Jul25'!BM242,"",'1. Live'!BM242-'check-Jul25'!BM242)</f>
        <v/>
      </c>
      <c r="BN242" t="str">
        <f>IF('1. Live'!BN242='check-Jul25'!BN242,"",'1. Live'!BN242-'check-Jul25'!BN242)</f>
        <v/>
      </c>
      <c r="BO242" t="str">
        <f>IF('1. Live'!BO242='check-Jul25'!BO242,"",'1. Live'!BO242-'check-Jul25'!BO242)</f>
        <v/>
      </c>
      <c r="BP242" t="str">
        <f>IF('1. Live'!BP242='check-Jul25'!BP242,"",'1. Live'!BP242-'check-Jul25'!BP242)</f>
        <v/>
      </c>
      <c r="BQ242" t="str">
        <f>IF('1. Live'!BQ242='check-Jul25'!BQ242,"",'1. Live'!BQ242-'check-Jul25'!BQ242)</f>
        <v/>
      </c>
      <c r="BR242" t="str">
        <f>IF('1. Live'!BR242='check-Jul25'!BR242,"",'1. Live'!BR242-'check-Jul25'!BR242)</f>
        <v/>
      </c>
      <c r="BS242" t="str">
        <f>IF('1. Live'!BS242='check-Jul25'!BS242,"",'1. Live'!BS242-'check-Jul25'!BS242)</f>
        <v/>
      </c>
      <c r="BT242" t="str">
        <f>IF('1. Live'!BT242='check-Jul25'!BT242,"",'1. Live'!BT242-'check-Jul25'!BT242)</f>
        <v/>
      </c>
      <c r="BU242" t="str">
        <f>IF('1. Live'!BU242='check-Jul25'!BU242,"",'1. Live'!BU242-'check-Jul25'!BU242)</f>
        <v/>
      </c>
      <c r="BV242" t="str">
        <f>IF('1. Live'!BV242='check-Jul25'!BV242,"",'1. Live'!BV242-'check-Jul25'!BV242)</f>
        <v/>
      </c>
      <c r="BW242" t="str">
        <f>IF('1. Live'!BW242='check-Jul25'!BW242,"",'1. Live'!BW242-'check-Jul25'!BW242)</f>
        <v/>
      </c>
      <c r="BX242" t="str">
        <f>IF('1. Live'!BX242='check-Jul25'!BX242,"",'1. Live'!BX242-'check-Jul25'!BX242)</f>
        <v/>
      </c>
      <c r="BY242" t="str">
        <f>IF('1. Live'!BY242='check-Jul25'!BY242,"",'1. Live'!BY242-'check-Jul25'!BY242)</f>
        <v/>
      </c>
      <c r="BZ242" t="str">
        <f>IF('1. Live'!BZ242='check-Jul25'!BZ242,"",'1. Live'!BZ242-'check-Jul25'!BZ242)</f>
        <v/>
      </c>
      <c r="CA242" t="str">
        <f>IF('1. Live'!CA242='check-Jul25'!CA242,"",'1. Live'!CA242-'check-Jul25'!CA242)</f>
        <v/>
      </c>
      <c r="CB242" t="str">
        <f>IF('1. Live'!CB242='check-Jul25'!CB242,"",'1. Live'!CB242-'check-Jul25'!CB242)</f>
        <v/>
      </c>
      <c r="CC242" t="str">
        <f>IF('1. Live'!CC242='check-Jul25'!CC242,"",'1. Live'!CC242-'check-Jul25'!CC242)</f>
        <v/>
      </c>
      <c r="CD242" t="str">
        <f>IF('1. Live'!CD242='check-Jul25'!CD242,"",'1. Live'!CD242-'check-Jul25'!CD242)</f>
        <v/>
      </c>
      <c r="CE242" t="str">
        <f>IF('1. Live'!CE242='check-Jul25'!CE242,"",'1. Live'!CE242-'check-Jul25'!CE242)</f>
        <v/>
      </c>
      <c r="CF242" t="str">
        <f>IF('1. Live'!CF242='check-Jul25'!CF242,"",'1. Live'!CF242-'check-Jul25'!CF242)</f>
        <v/>
      </c>
      <c r="CG242" t="str">
        <f>IF('1. Live'!CG242='check-Jul25'!CG242,"",'1. Live'!CG242-'check-Jul25'!CG242)</f>
        <v/>
      </c>
      <c r="CH242" t="str">
        <f>IF('1. Live'!CH242='check-Jul25'!CH242,"",'1. Live'!CH242-'check-Jul25'!CH242)</f>
        <v/>
      </c>
      <c r="CI242" t="str">
        <f>IF('1. Live'!CI242='check-Jul25'!CI242,"",'1. Live'!CI242-'check-Jul25'!CI242)</f>
        <v/>
      </c>
      <c r="CJ242" t="str">
        <f>IF('1. Live'!CJ242='check-Jul25'!CJ242,"",'1. Live'!CJ242-'check-Jul25'!CJ242)</f>
        <v/>
      </c>
      <c r="CK242" t="str">
        <f>IF('1. Live'!CK242='check-Jul25'!CK242,"",'1. Live'!CK242-'check-Jul25'!CK242)</f>
        <v/>
      </c>
      <c r="CL242" t="str">
        <f>IF('1. Live'!CL242='check-Jul25'!CL242,"",'1. Live'!CL242-'check-Jul25'!CL242)</f>
        <v/>
      </c>
      <c r="CM242" t="str">
        <f>IF('1. Live'!CM242='check-Jul25'!CM242,"",'1. Live'!CM242-'check-Jul25'!CM242)</f>
        <v/>
      </c>
      <c r="CN242" t="str">
        <f>IF('1. Live'!CN242='check-Jul25'!CN242,"",'1. Live'!CN242-'check-Jul25'!CN242)</f>
        <v/>
      </c>
      <c r="CO242" t="str">
        <f>IF('1. Live'!CO242='check-Jul25'!CO242,"",'1. Live'!CO242-'check-Jul25'!CO242)</f>
        <v/>
      </c>
      <c r="CP242" t="str">
        <f>IF('1. Live'!CP242='check-Jul25'!CP242,"",'1. Live'!CP242-'check-Jul25'!CP242)</f>
        <v/>
      </c>
      <c r="CQ242" t="str">
        <f>IF('1. Live'!CQ242='check-Jul25'!CQ242,"",'1. Live'!CQ242-'check-Jul25'!CQ242)</f>
        <v/>
      </c>
      <c r="CR242" t="str">
        <f>IF('1. Live'!CR242='check-Jul25'!CR242,"",'1. Live'!CR242-'check-Jul25'!CR242)</f>
        <v/>
      </c>
      <c r="CS242" t="str">
        <f>IF('1. Live'!CS242='check-Jul25'!CS242,"",'1. Live'!CS242-'check-Jul25'!CS242)</f>
        <v/>
      </c>
      <c r="CT242" t="str">
        <f>IF('1. Live'!CT242='check-Jul25'!CT242,"",'1. Live'!CT242-'check-Jul25'!CT242)</f>
        <v/>
      </c>
      <c r="CU242" t="str">
        <f>IF('1. Live'!CU242='check-Jul25'!CU242,"",'1. Live'!CU242-'check-Jul25'!CU242)</f>
        <v/>
      </c>
      <c r="CV242" t="str">
        <f>IF('1. Live'!CV242='check-Jul25'!CV242,"",'1. Live'!CV242-'check-Jul25'!CV242)</f>
        <v/>
      </c>
      <c r="CW242" t="str">
        <f>IF('1. Live'!CW242='check-Jul25'!CW242,"",'1. Live'!CW242-'check-Jul25'!CW242)</f>
        <v/>
      </c>
    </row>
    <row r="243" spans="10:101">
      <c r="J243" t="str">
        <f>IF('1. Live'!J243='check-Jul25'!J243,"",'1. Live'!J243-'check-Jul25'!J243)</f>
        <v/>
      </c>
      <c r="K243" t="str">
        <f>IF('1. Live'!K243='check-Jul25'!K243,"",'1. Live'!K243-'check-Jul25'!K243)</f>
        <v/>
      </c>
      <c r="L243" t="str">
        <f>IF('1. Live'!L243='check-Jul25'!L243,"",'1. Live'!L243-'check-Jul25'!L243)</f>
        <v/>
      </c>
      <c r="M243" t="str">
        <f>IF('1. Live'!M243='check-Jul25'!M243,"",'1. Live'!M243-'check-Jul25'!M243)</f>
        <v/>
      </c>
      <c r="N243" t="str">
        <f>IF('1. Live'!N243='check-Jul25'!N243,"",'1. Live'!N243-'check-Jul25'!N243)</f>
        <v/>
      </c>
      <c r="O243" t="str">
        <f>IF('1. Live'!O243='check-Jul25'!O243,"",'1. Live'!O243-'check-Jul25'!O243)</f>
        <v/>
      </c>
      <c r="P243" t="str">
        <f>IF('1. Live'!P243='check-Jul25'!P243,"",'1. Live'!P243-'check-Jul25'!P243)</f>
        <v/>
      </c>
      <c r="Q243" t="str">
        <f>IF('1. Live'!Q243='check-Jul25'!Q243,"",'1. Live'!Q243-'check-Jul25'!Q243)</f>
        <v/>
      </c>
      <c r="R243" t="str">
        <f>IF('1. Live'!R243='check-Jul25'!R243,"",'1. Live'!R243-'check-Jul25'!R243)</f>
        <v/>
      </c>
      <c r="S243" t="str">
        <f>IF('1. Live'!S243='check-Jul25'!S243,"",'1. Live'!S243-'check-Jul25'!S243)</f>
        <v/>
      </c>
      <c r="T243" t="str">
        <f>IF('1. Live'!T243='check-Jul25'!T243,"",'1. Live'!T243-'check-Jul25'!T243)</f>
        <v/>
      </c>
      <c r="U243" t="str">
        <f>IF('1. Live'!U243='check-Jul25'!U243,"",'1. Live'!U243-'check-Jul25'!U243)</f>
        <v/>
      </c>
      <c r="V243" t="str">
        <f>IF('1. Live'!V243='check-Jul25'!V243,"",'1. Live'!V243-'check-Jul25'!V243)</f>
        <v/>
      </c>
      <c r="W243" t="str">
        <f>IF('1. Live'!W243='check-Jul25'!W243,"",'1. Live'!W243-'check-Jul25'!W243)</f>
        <v/>
      </c>
      <c r="X243" t="str">
        <f>IF('1. Live'!X243='check-Jul25'!X243,"",'1. Live'!X243-'check-Jul25'!X243)</f>
        <v/>
      </c>
      <c r="Y243" t="str">
        <f>IF('1. Live'!Y243='check-Jul25'!Y243,"",'1. Live'!Y243-'check-Jul25'!Y243)</f>
        <v/>
      </c>
      <c r="Z243" t="str">
        <f>IF('1. Live'!Z243='check-Jul25'!Z243,"",'1. Live'!Z243-'check-Jul25'!Z243)</f>
        <v/>
      </c>
      <c r="AA243" t="str">
        <f>IF('1. Live'!AA243='check-Jul25'!AA243,"",'1. Live'!AA243-'check-Jul25'!AA243)</f>
        <v/>
      </c>
      <c r="AB243" t="str">
        <f>IF('1. Live'!AB243='check-Jul25'!AB243,"",'1. Live'!AB243-'check-Jul25'!AB243)</f>
        <v/>
      </c>
      <c r="AC243" t="str">
        <f>IF('1. Live'!AC243='check-Jul25'!AC243,"",'1. Live'!AC243-'check-Jul25'!AC243)</f>
        <v/>
      </c>
      <c r="AD243" t="str">
        <f>IF('1. Live'!AD243='check-Jul25'!AD243,"",'1. Live'!AD243-'check-Jul25'!AD243)</f>
        <v/>
      </c>
      <c r="AE243" t="str">
        <f>IF('1. Live'!AE243='check-Jul25'!AE243,"",'1. Live'!AE243-'check-Jul25'!AE243)</f>
        <v/>
      </c>
      <c r="AF243" t="str">
        <f>IF('1. Live'!AF243='check-Jul25'!AF243,"",'1. Live'!AF243-'check-Jul25'!AF243)</f>
        <v/>
      </c>
      <c r="AG243" t="str">
        <f>IF('1. Live'!AG243='check-Jul25'!AG243,"",'1. Live'!AG243-'check-Jul25'!AG243)</f>
        <v/>
      </c>
      <c r="AH243" t="str">
        <f>IF('1. Live'!AH243='check-Jul25'!AH243,"",'1. Live'!AH243-'check-Jul25'!AH243)</f>
        <v/>
      </c>
      <c r="AI243" t="str">
        <f>IF('1. Live'!AI243='check-Jul25'!AI243,"",'1. Live'!AI243-'check-Jul25'!AI243)</f>
        <v/>
      </c>
      <c r="AJ243" t="str">
        <f>IF('1. Live'!AJ243='check-Jul25'!AJ243,"",'1. Live'!AJ243-'check-Jul25'!AJ243)</f>
        <v/>
      </c>
      <c r="AK243" t="str">
        <f>IF('1. Live'!AK243='check-Jul25'!AK243,"",'1. Live'!AK243-'check-Jul25'!AK243)</f>
        <v/>
      </c>
      <c r="AL243" t="str">
        <f>IF('1. Live'!AL243='check-Jul25'!AL243,"",'1. Live'!AL243-'check-Jul25'!AL243)</f>
        <v/>
      </c>
      <c r="AM243" t="str">
        <f>IF('1. Live'!AM243='check-Jul25'!AM243,"",'1. Live'!AM243-'check-Jul25'!AM243)</f>
        <v/>
      </c>
      <c r="AN243" t="str">
        <f>IF('1. Live'!AN243='check-Jul25'!AN243,"",'1. Live'!AN243-'check-Jul25'!AN243)</f>
        <v/>
      </c>
      <c r="AO243" t="str">
        <f>IF('1. Live'!AO243='check-Jul25'!AO243,"",'1. Live'!AO243-'check-Jul25'!AO243)</f>
        <v/>
      </c>
      <c r="AP243" t="str">
        <f>IF('1. Live'!AP243='check-Jul25'!AP243,"",'1. Live'!AP243-'check-Jul25'!AP243)</f>
        <v/>
      </c>
      <c r="AQ243" t="str">
        <f>IF('1. Live'!AQ243='check-Jul25'!AQ243,"",'1. Live'!AQ243-'check-Jul25'!AQ243)</f>
        <v/>
      </c>
      <c r="AR243" t="str">
        <f>IF('1. Live'!AR243='check-Jul25'!AR243,"",'1. Live'!AR243-'check-Jul25'!AR243)</f>
        <v/>
      </c>
      <c r="AS243" t="str">
        <f>IF('1. Live'!AS243='check-Jul25'!AS243,"",'1. Live'!AS243-'check-Jul25'!AS243)</f>
        <v/>
      </c>
      <c r="AT243" t="str">
        <f>IF('1. Live'!AT243='check-Jul25'!AT243,"",'1. Live'!AT243-'check-Jul25'!AT243)</f>
        <v/>
      </c>
      <c r="AU243" t="str">
        <f>IF('1. Live'!AU243='check-Jul25'!AU243,"",'1. Live'!AU243-'check-Jul25'!AU243)</f>
        <v/>
      </c>
      <c r="AV243" t="str">
        <f>IF('1. Live'!AV243='check-Jul25'!AV243,"",'1. Live'!AV243-'check-Jul25'!AV243)</f>
        <v/>
      </c>
      <c r="AW243" t="str">
        <f>IF('1. Live'!AW243='check-Jul25'!AW243,"",'1. Live'!AW243-'check-Jul25'!AW243)</f>
        <v/>
      </c>
      <c r="AX243" t="str">
        <f>IF('1. Live'!AX243='check-Jul25'!AX243,"",'1. Live'!AX243-'check-Jul25'!AX243)</f>
        <v/>
      </c>
      <c r="AY243" t="str">
        <f>IF('1. Live'!AY243='check-Jul25'!AY243,"",'1. Live'!AY243-'check-Jul25'!AY243)</f>
        <v/>
      </c>
      <c r="AZ243" t="str">
        <f>IF('1. Live'!AZ243='check-Jul25'!AZ243,"",'1. Live'!AZ243-'check-Jul25'!AZ243)</f>
        <v/>
      </c>
      <c r="BA243" t="str">
        <f>IF('1. Live'!BA243='check-Jul25'!BA243,"",'1. Live'!BA243-'check-Jul25'!BA243)</f>
        <v/>
      </c>
      <c r="BB243" t="str">
        <f>IF('1. Live'!BB243='check-Jul25'!BB243,"",'1. Live'!BB243-'check-Jul25'!BB243)</f>
        <v/>
      </c>
      <c r="BC243" t="str">
        <f>IF('1. Live'!BC243='check-Jul25'!BC243,"",'1. Live'!BC243-'check-Jul25'!BC243)</f>
        <v/>
      </c>
      <c r="BD243" t="str">
        <f>IF('1. Live'!BD243='check-Jul25'!BD243,"",'1. Live'!BD243-'check-Jul25'!BD243)</f>
        <v/>
      </c>
      <c r="BE243" t="str">
        <f>IF('1. Live'!BE243='check-Jul25'!BE243,"",'1. Live'!BE243-'check-Jul25'!BE243)</f>
        <v/>
      </c>
      <c r="BF243" t="str">
        <f>IF('1. Live'!BF243='check-Jul25'!BF243,"",'1. Live'!BF243-'check-Jul25'!BF243)</f>
        <v/>
      </c>
      <c r="BG243" t="str">
        <f>IF('1. Live'!BG243='check-Jul25'!BG243,"",'1. Live'!BG243-'check-Jul25'!BG243)</f>
        <v/>
      </c>
      <c r="BH243" t="str">
        <f>IF('1. Live'!BH243='check-Jul25'!BH243,"",'1. Live'!BH243-'check-Jul25'!BH243)</f>
        <v/>
      </c>
      <c r="BI243" t="str">
        <f>IF('1. Live'!BI243='check-Jul25'!BI243,"",'1. Live'!BI243-'check-Jul25'!BI243)</f>
        <v/>
      </c>
      <c r="BJ243" t="str">
        <f>IF('1. Live'!BJ243='check-Jul25'!BJ243,"",'1. Live'!BJ243-'check-Jul25'!BJ243)</f>
        <v/>
      </c>
      <c r="BK243" t="str">
        <f>IF('1. Live'!BK243='check-Jul25'!BK243,"",'1. Live'!BK243-'check-Jul25'!BK243)</f>
        <v/>
      </c>
      <c r="BL243" t="str">
        <f>IF('1. Live'!BL243='check-Jul25'!BL243,"",'1. Live'!BL243-'check-Jul25'!BL243)</f>
        <v/>
      </c>
      <c r="BM243" t="str">
        <f>IF('1. Live'!BM243='check-Jul25'!BM243,"",'1. Live'!BM243-'check-Jul25'!BM243)</f>
        <v/>
      </c>
      <c r="BN243" t="str">
        <f>IF('1. Live'!BN243='check-Jul25'!BN243,"",'1. Live'!BN243-'check-Jul25'!BN243)</f>
        <v/>
      </c>
      <c r="BO243" t="str">
        <f>IF('1. Live'!BO243='check-Jul25'!BO243,"",'1. Live'!BO243-'check-Jul25'!BO243)</f>
        <v/>
      </c>
      <c r="BP243" t="str">
        <f>IF('1. Live'!BP243='check-Jul25'!BP243,"",'1. Live'!BP243-'check-Jul25'!BP243)</f>
        <v/>
      </c>
      <c r="BQ243" t="str">
        <f>IF('1. Live'!BQ243='check-Jul25'!BQ243,"",'1. Live'!BQ243-'check-Jul25'!BQ243)</f>
        <v/>
      </c>
      <c r="BR243" t="str">
        <f>IF('1. Live'!BR243='check-Jul25'!BR243,"",'1. Live'!BR243-'check-Jul25'!BR243)</f>
        <v/>
      </c>
      <c r="BS243" t="str">
        <f>IF('1. Live'!BS243='check-Jul25'!BS243,"",'1. Live'!BS243-'check-Jul25'!BS243)</f>
        <v/>
      </c>
      <c r="BT243" t="str">
        <f>IF('1. Live'!BT243='check-Jul25'!BT243,"",'1. Live'!BT243-'check-Jul25'!BT243)</f>
        <v/>
      </c>
      <c r="BU243" t="str">
        <f>IF('1. Live'!BU243='check-Jul25'!BU243,"",'1. Live'!BU243-'check-Jul25'!BU243)</f>
        <v/>
      </c>
      <c r="BV243" t="str">
        <f>IF('1. Live'!BV243='check-Jul25'!BV243,"",'1. Live'!BV243-'check-Jul25'!BV243)</f>
        <v/>
      </c>
      <c r="BW243" t="str">
        <f>IF('1. Live'!BW243='check-Jul25'!BW243,"",'1. Live'!BW243-'check-Jul25'!BW243)</f>
        <v/>
      </c>
      <c r="BX243" t="str">
        <f>IF('1. Live'!BX243='check-Jul25'!BX243,"",'1. Live'!BX243-'check-Jul25'!BX243)</f>
        <v/>
      </c>
      <c r="BY243" t="str">
        <f>IF('1. Live'!BY243='check-Jul25'!BY243,"",'1. Live'!BY243-'check-Jul25'!BY243)</f>
        <v/>
      </c>
      <c r="BZ243" t="str">
        <f>IF('1. Live'!BZ243='check-Jul25'!BZ243,"",'1. Live'!BZ243-'check-Jul25'!BZ243)</f>
        <v/>
      </c>
      <c r="CA243" t="str">
        <f>IF('1. Live'!CA243='check-Jul25'!CA243,"",'1. Live'!CA243-'check-Jul25'!CA243)</f>
        <v/>
      </c>
      <c r="CB243" t="str">
        <f>IF('1. Live'!CB243='check-Jul25'!CB243,"",'1. Live'!CB243-'check-Jul25'!CB243)</f>
        <v/>
      </c>
      <c r="CC243" t="str">
        <f>IF('1. Live'!CC243='check-Jul25'!CC243,"",'1. Live'!CC243-'check-Jul25'!CC243)</f>
        <v/>
      </c>
      <c r="CD243" t="str">
        <f>IF('1. Live'!CD243='check-Jul25'!CD243,"",'1. Live'!CD243-'check-Jul25'!CD243)</f>
        <v/>
      </c>
      <c r="CE243" t="str">
        <f>IF('1. Live'!CE243='check-Jul25'!CE243,"",'1. Live'!CE243-'check-Jul25'!CE243)</f>
        <v/>
      </c>
      <c r="CF243" t="str">
        <f>IF('1. Live'!CF243='check-Jul25'!CF243,"",'1. Live'!CF243-'check-Jul25'!CF243)</f>
        <v/>
      </c>
      <c r="CG243" t="str">
        <f>IF('1. Live'!CG243='check-Jul25'!CG243,"",'1. Live'!CG243-'check-Jul25'!CG243)</f>
        <v/>
      </c>
      <c r="CH243" t="str">
        <f>IF('1. Live'!CH243='check-Jul25'!CH243,"",'1. Live'!CH243-'check-Jul25'!CH243)</f>
        <v/>
      </c>
      <c r="CI243" t="str">
        <f>IF('1. Live'!CI243='check-Jul25'!CI243,"",'1. Live'!CI243-'check-Jul25'!CI243)</f>
        <v/>
      </c>
      <c r="CJ243" t="str">
        <f>IF('1. Live'!CJ243='check-Jul25'!CJ243,"",'1. Live'!CJ243-'check-Jul25'!CJ243)</f>
        <v/>
      </c>
      <c r="CK243" t="str">
        <f>IF('1. Live'!CK243='check-Jul25'!CK243,"",'1. Live'!CK243-'check-Jul25'!CK243)</f>
        <v/>
      </c>
      <c r="CL243" t="str">
        <f>IF('1. Live'!CL243='check-Jul25'!CL243,"",'1. Live'!CL243-'check-Jul25'!CL243)</f>
        <v/>
      </c>
      <c r="CM243" t="str">
        <f>IF('1. Live'!CM243='check-Jul25'!CM243,"",'1. Live'!CM243-'check-Jul25'!CM243)</f>
        <v/>
      </c>
      <c r="CN243" t="str">
        <f>IF('1. Live'!CN243='check-Jul25'!CN243,"",'1. Live'!CN243-'check-Jul25'!CN243)</f>
        <v/>
      </c>
      <c r="CO243" t="str">
        <f>IF('1. Live'!CO243='check-Jul25'!CO243,"",'1. Live'!CO243-'check-Jul25'!CO243)</f>
        <v/>
      </c>
      <c r="CP243" t="str">
        <f>IF('1. Live'!CP243='check-Jul25'!CP243,"",'1. Live'!CP243-'check-Jul25'!CP243)</f>
        <v/>
      </c>
      <c r="CQ243" t="str">
        <f>IF('1. Live'!CQ243='check-Jul25'!CQ243,"",'1. Live'!CQ243-'check-Jul25'!CQ243)</f>
        <v/>
      </c>
      <c r="CR243" t="str">
        <f>IF('1. Live'!CR243='check-Jul25'!CR243,"",'1. Live'!CR243-'check-Jul25'!CR243)</f>
        <v/>
      </c>
      <c r="CS243" t="str">
        <f>IF('1. Live'!CS243='check-Jul25'!CS243,"",'1. Live'!CS243-'check-Jul25'!CS243)</f>
        <v/>
      </c>
      <c r="CT243" t="str">
        <f>IF('1. Live'!CT243='check-Jul25'!CT243,"",'1. Live'!CT243-'check-Jul25'!CT243)</f>
        <v/>
      </c>
      <c r="CU243" t="str">
        <f>IF('1. Live'!CU243='check-Jul25'!CU243,"",'1. Live'!CU243-'check-Jul25'!CU243)</f>
        <v/>
      </c>
      <c r="CV243" t="str">
        <f>IF('1. Live'!CV243='check-Jul25'!CV243,"",'1. Live'!CV243-'check-Jul25'!CV243)</f>
        <v/>
      </c>
      <c r="CW243" t="str">
        <f>IF('1. Live'!CW243='check-Jul25'!CW243,"",'1. Live'!CW243-'check-Jul25'!CW243)</f>
        <v/>
      </c>
    </row>
    <row r="244" spans="10:101">
      <c r="J244" t="str">
        <f>IF('1. Live'!J244='check-Jul25'!J244,"",'1. Live'!J244-'check-Jul25'!J244)</f>
        <v/>
      </c>
      <c r="K244" t="str">
        <f>IF('1. Live'!K244='check-Jul25'!K244,"",'1. Live'!K244-'check-Jul25'!K244)</f>
        <v/>
      </c>
      <c r="L244" t="str">
        <f>IF('1. Live'!L244='check-Jul25'!L244,"",'1. Live'!L244-'check-Jul25'!L244)</f>
        <v/>
      </c>
      <c r="M244" t="str">
        <f>IF('1. Live'!M244='check-Jul25'!M244,"",'1. Live'!M244-'check-Jul25'!M244)</f>
        <v/>
      </c>
      <c r="N244" t="str">
        <f>IF('1. Live'!N244='check-Jul25'!N244,"",'1. Live'!N244-'check-Jul25'!N244)</f>
        <v/>
      </c>
      <c r="O244" t="str">
        <f>IF('1. Live'!O244='check-Jul25'!O244,"",'1. Live'!O244-'check-Jul25'!O244)</f>
        <v/>
      </c>
      <c r="P244" t="str">
        <f>IF('1. Live'!P244='check-Jul25'!P244,"",'1. Live'!P244-'check-Jul25'!P244)</f>
        <v/>
      </c>
      <c r="Q244" t="str">
        <f>IF('1. Live'!Q244='check-Jul25'!Q244,"",'1. Live'!Q244-'check-Jul25'!Q244)</f>
        <v/>
      </c>
      <c r="R244" t="str">
        <f>IF('1. Live'!R244='check-Jul25'!R244,"",'1. Live'!R244-'check-Jul25'!R244)</f>
        <v/>
      </c>
      <c r="S244" t="str">
        <f>IF('1. Live'!S244='check-Jul25'!S244,"",'1. Live'!S244-'check-Jul25'!S244)</f>
        <v/>
      </c>
      <c r="T244" t="str">
        <f>IF('1. Live'!T244='check-Jul25'!T244,"",'1. Live'!T244-'check-Jul25'!T244)</f>
        <v/>
      </c>
      <c r="U244" t="str">
        <f>IF('1. Live'!U244='check-Jul25'!U244,"",'1. Live'!U244-'check-Jul25'!U244)</f>
        <v/>
      </c>
      <c r="V244" t="str">
        <f>IF('1. Live'!V244='check-Jul25'!V244,"",'1. Live'!V244-'check-Jul25'!V244)</f>
        <v/>
      </c>
      <c r="W244" t="str">
        <f>IF('1. Live'!W244='check-Jul25'!W244,"",'1. Live'!W244-'check-Jul25'!W244)</f>
        <v/>
      </c>
      <c r="X244" t="str">
        <f>IF('1. Live'!X244='check-Jul25'!X244,"",'1. Live'!X244-'check-Jul25'!X244)</f>
        <v/>
      </c>
      <c r="Y244" t="str">
        <f>IF('1. Live'!Y244='check-Jul25'!Y244,"",'1. Live'!Y244-'check-Jul25'!Y244)</f>
        <v/>
      </c>
      <c r="Z244" t="str">
        <f>IF('1. Live'!Z244='check-Jul25'!Z244,"",'1. Live'!Z244-'check-Jul25'!Z244)</f>
        <v/>
      </c>
      <c r="AA244" t="str">
        <f>IF('1. Live'!AA244='check-Jul25'!AA244,"",'1. Live'!AA244-'check-Jul25'!AA244)</f>
        <v/>
      </c>
      <c r="AB244" t="str">
        <f>IF('1. Live'!AB244='check-Jul25'!AB244,"",'1. Live'!AB244-'check-Jul25'!AB244)</f>
        <v/>
      </c>
      <c r="AC244" t="str">
        <f>IF('1. Live'!AC244='check-Jul25'!AC244,"",'1. Live'!AC244-'check-Jul25'!AC244)</f>
        <v/>
      </c>
      <c r="AD244" t="str">
        <f>IF('1. Live'!AD244='check-Jul25'!AD244,"",'1. Live'!AD244-'check-Jul25'!AD244)</f>
        <v/>
      </c>
      <c r="AE244" t="str">
        <f>IF('1. Live'!AE244='check-Jul25'!AE244,"",'1. Live'!AE244-'check-Jul25'!AE244)</f>
        <v/>
      </c>
      <c r="AF244" t="str">
        <f>IF('1. Live'!AF244='check-Jul25'!AF244,"",'1. Live'!AF244-'check-Jul25'!AF244)</f>
        <v/>
      </c>
      <c r="AG244" t="str">
        <f>IF('1. Live'!AG244='check-Jul25'!AG244,"",'1. Live'!AG244-'check-Jul25'!AG244)</f>
        <v/>
      </c>
      <c r="AH244" t="str">
        <f>IF('1. Live'!AH244='check-Jul25'!AH244,"",'1. Live'!AH244-'check-Jul25'!AH244)</f>
        <v/>
      </c>
      <c r="AI244" t="str">
        <f>IF('1. Live'!AI244='check-Jul25'!AI244,"",'1. Live'!AI244-'check-Jul25'!AI244)</f>
        <v/>
      </c>
      <c r="AJ244" t="str">
        <f>IF('1. Live'!AJ244='check-Jul25'!AJ244,"",'1. Live'!AJ244-'check-Jul25'!AJ244)</f>
        <v/>
      </c>
      <c r="AK244" t="str">
        <f>IF('1. Live'!AK244='check-Jul25'!AK244,"",'1. Live'!AK244-'check-Jul25'!AK244)</f>
        <v/>
      </c>
      <c r="AL244" t="str">
        <f>IF('1. Live'!AL244='check-Jul25'!AL244,"",'1. Live'!AL244-'check-Jul25'!AL244)</f>
        <v/>
      </c>
      <c r="AM244" t="str">
        <f>IF('1. Live'!AM244='check-Jul25'!AM244,"",'1. Live'!AM244-'check-Jul25'!AM244)</f>
        <v/>
      </c>
      <c r="AN244" t="str">
        <f>IF('1. Live'!AN244='check-Jul25'!AN244,"",'1. Live'!AN244-'check-Jul25'!AN244)</f>
        <v/>
      </c>
      <c r="AO244" t="str">
        <f>IF('1. Live'!AO244='check-Jul25'!AO244,"",'1. Live'!AO244-'check-Jul25'!AO244)</f>
        <v/>
      </c>
      <c r="AP244" t="str">
        <f>IF('1. Live'!AP244='check-Jul25'!AP244,"",'1. Live'!AP244-'check-Jul25'!AP244)</f>
        <v/>
      </c>
      <c r="AQ244" t="str">
        <f>IF('1. Live'!AQ244='check-Jul25'!AQ244,"",'1. Live'!AQ244-'check-Jul25'!AQ244)</f>
        <v/>
      </c>
      <c r="AR244" t="str">
        <f>IF('1. Live'!AR244='check-Jul25'!AR244,"",'1. Live'!AR244-'check-Jul25'!AR244)</f>
        <v/>
      </c>
      <c r="AS244" t="str">
        <f>IF('1. Live'!AS244='check-Jul25'!AS244,"",'1. Live'!AS244-'check-Jul25'!AS244)</f>
        <v/>
      </c>
      <c r="AT244" t="str">
        <f>IF('1. Live'!AT244='check-Jul25'!AT244,"",'1. Live'!AT244-'check-Jul25'!AT244)</f>
        <v/>
      </c>
      <c r="AU244" t="str">
        <f>IF('1. Live'!AU244='check-Jul25'!AU244,"",'1. Live'!AU244-'check-Jul25'!AU244)</f>
        <v/>
      </c>
      <c r="AV244" t="str">
        <f>IF('1. Live'!AV244='check-Jul25'!AV244,"",'1. Live'!AV244-'check-Jul25'!AV244)</f>
        <v/>
      </c>
      <c r="AW244" t="str">
        <f>IF('1. Live'!AW244='check-Jul25'!AW244,"",'1. Live'!AW244-'check-Jul25'!AW244)</f>
        <v/>
      </c>
      <c r="AX244" t="str">
        <f>IF('1. Live'!AX244='check-Jul25'!AX244,"",'1. Live'!AX244-'check-Jul25'!AX244)</f>
        <v/>
      </c>
      <c r="AY244" t="str">
        <f>IF('1. Live'!AY244='check-Jul25'!AY244,"",'1. Live'!AY244-'check-Jul25'!AY244)</f>
        <v/>
      </c>
      <c r="AZ244" t="str">
        <f>IF('1. Live'!AZ244='check-Jul25'!AZ244,"",'1. Live'!AZ244-'check-Jul25'!AZ244)</f>
        <v/>
      </c>
      <c r="BA244" t="str">
        <f>IF('1. Live'!BA244='check-Jul25'!BA244,"",'1. Live'!BA244-'check-Jul25'!BA244)</f>
        <v/>
      </c>
      <c r="BB244" t="str">
        <f>IF('1. Live'!BB244='check-Jul25'!BB244,"",'1. Live'!BB244-'check-Jul25'!BB244)</f>
        <v/>
      </c>
      <c r="BC244" t="str">
        <f>IF('1. Live'!BC244='check-Jul25'!BC244,"",'1. Live'!BC244-'check-Jul25'!BC244)</f>
        <v/>
      </c>
      <c r="BD244" t="str">
        <f>IF('1. Live'!BD244='check-Jul25'!BD244,"",'1. Live'!BD244-'check-Jul25'!BD244)</f>
        <v/>
      </c>
      <c r="BE244" t="str">
        <f>IF('1. Live'!BE244='check-Jul25'!BE244,"",'1. Live'!BE244-'check-Jul25'!BE244)</f>
        <v/>
      </c>
      <c r="BF244" t="str">
        <f>IF('1. Live'!BF244='check-Jul25'!BF244,"",'1. Live'!BF244-'check-Jul25'!BF244)</f>
        <v/>
      </c>
      <c r="BG244" t="str">
        <f>IF('1. Live'!BG244='check-Jul25'!BG244,"",'1. Live'!BG244-'check-Jul25'!BG244)</f>
        <v/>
      </c>
      <c r="BH244" t="str">
        <f>IF('1. Live'!BH244='check-Jul25'!BH244,"",'1. Live'!BH244-'check-Jul25'!BH244)</f>
        <v/>
      </c>
      <c r="BI244" t="str">
        <f>IF('1. Live'!BI244='check-Jul25'!BI244,"",'1. Live'!BI244-'check-Jul25'!BI244)</f>
        <v/>
      </c>
      <c r="BJ244" t="str">
        <f>IF('1. Live'!BJ244='check-Jul25'!BJ244,"",'1. Live'!BJ244-'check-Jul25'!BJ244)</f>
        <v/>
      </c>
      <c r="BK244" t="str">
        <f>IF('1. Live'!BK244='check-Jul25'!BK244,"",'1. Live'!BK244-'check-Jul25'!BK244)</f>
        <v/>
      </c>
      <c r="BL244" t="str">
        <f>IF('1. Live'!BL244='check-Jul25'!BL244,"",'1. Live'!BL244-'check-Jul25'!BL244)</f>
        <v/>
      </c>
      <c r="BM244" t="str">
        <f>IF('1. Live'!BM244='check-Jul25'!BM244,"",'1. Live'!BM244-'check-Jul25'!BM244)</f>
        <v/>
      </c>
      <c r="BN244" t="str">
        <f>IF('1. Live'!BN244='check-Jul25'!BN244,"",'1. Live'!BN244-'check-Jul25'!BN244)</f>
        <v/>
      </c>
      <c r="BO244" t="str">
        <f>IF('1. Live'!BO244='check-Jul25'!BO244,"",'1. Live'!BO244-'check-Jul25'!BO244)</f>
        <v/>
      </c>
      <c r="BP244" t="str">
        <f>IF('1. Live'!BP244='check-Jul25'!BP244,"",'1. Live'!BP244-'check-Jul25'!BP244)</f>
        <v/>
      </c>
      <c r="BQ244" t="str">
        <f>IF('1. Live'!BQ244='check-Jul25'!BQ244,"",'1. Live'!BQ244-'check-Jul25'!BQ244)</f>
        <v/>
      </c>
      <c r="BR244" t="str">
        <f>IF('1. Live'!BR244='check-Jul25'!BR244,"",'1. Live'!BR244-'check-Jul25'!BR244)</f>
        <v/>
      </c>
      <c r="BS244" t="str">
        <f>IF('1. Live'!BS244='check-Jul25'!BS244,"",'1. Live'!BS244-'check-Jul25'!BS244)</f>
        <v/>
      </c>
      <c r="BT244" t="str">
        <f>IF('1. Live'!BT244='check-Jul25'!BT244,"",'1. Live'!BT244-'check-Jul25'!BT244)</f>
        <v/>
      </c>
      <c r="BU244" t="str">
        <f>IF('1. Live'!BU244='check-Jul25'!BU244,"",'1. Live'!BU244-'check-Jul25'!BU244)</f>
        <v/>
      </c>
      <c r="BV244" t="str">
        <f>IF('1. Live'!BV244='check-Jul25'!BV244,"",'1. Live'!BV244-'check-Jul25'!BV244)</f>
        <v/>
      </c>
      <c r="BW244" t="str">
        <f>IF('1. Live'!BW244='check-Jul25'!BW244,"",'1. Live'!BW244-'check-Jul25'!BW244)</f>
        <v/>
      </c>
      <c r="BX244" t="str">
        <f>IF('1. Live'!BX244='check-Jul25'!BX244,"",'1. Live'!BX244-'check-Jul25'!BX244)</f>
        <v/>
      </c>
      <c r="BY244" t="str">
        <f>IF('1. Live'!BY244='check-Jul25'!BY244,"",'1. Live'!BY244-'check-Jul25'!BY244)</f>
        <v/>
      </c>
      <c r="BZ244" t="str">
        <f>IF('1. Live'!BZ244='check-Jul25'!BZ244,"",'1. Live'!BZ244-'check-Jul25'!BZ244)</f>
        <v/>
      </c>
      <c r="CA244" t="str">
        <f>IF('1. Live'!CA244='check-Jul25'!CA244,"",'1. Live'!CA244-'check-Jul25'!CA244)</f>
        <v/>
      </c>
      <c r="CB244" t="str">
        <f>IF('1. Live'!CB244='check-Jul25'!CB244,"",'1. Live'!CB244-'check-Jul25'!CB244)</f>
        <v/>
      </c>
      <c r="CC244" t="str">
        <f>IF('1. Live'!CC244='check-Jul25'!CC244,"",'1. Live'!CC244-'check-Jul25'!CC244)</f>
        <v/>
      </c>
      <c r="CD244" t="str">
        <f>IF('1. Live'!CD244='check-Jul25'!CD244,"",'1. Live'!CD244-'check-Jul25'!CD244)</f>
        <v/>
      </c>
      <c r="CE244" t="str">
        <f>IF('1. Live'!CE244='check-Jul25'!CE244,"",'1. Live'!CE244-'check-Jul25'!CE244)</f>
        <v/>
      </c>
      <c r="CF244" t="str">
        <f>IF('1. Live'!CF244='check-Jul25'!CF244,"",'1. Live'!CF244-'check-Jul25'!CF244)</f>
        <v/>
      </c>
      <c r="CG244" t="str">
        <f>IF('1. Live'!CG244='check-Jul25'!CG244,"",'1. Live'!CG244-'check-Jul25'!CG244)</f>
        <v/>
      </c>
      <c r="CH244" t="str">
        <f>IF('1. Live'!CH244='check-Jul25'!CH244,"",'1. Live'!CH244-'check-Jul25'!CH244)</f>
        <v/>
      </c>
      <c r="CI244" t="str">
        <f>IF('1. Live'!CI244='check-Jul25'!CI244,"",'1. Live'!CI244-'check-Jul25'!CI244)</f>
        <v/>
      </c>
      <c r="CJ244" t="str">
        <f>IF('1. Live'!CJ244='check-Jul25'!CJ244,"",'1. Live'!CJ244-'check-Jul25'!CJ244)</f>
        <v/>
      </c>
      <c r="CK244" t="str">
        <f>IF('1. Live'!CK244='check-Jul25'!CK244,"",'1. Live'!CK244-'check-Jul25'!CK244)</f>
        <v/>
      </c>
      <c r="CL244" t="str">
        <f>IF('1. Live'!CL244='check-Jul25'!CL244,"",'1. Live'!CL244-'check-Jul25'!CL244)</f>
        <v/>
      </c>
      <c r="CM244" t="str">
        <f>IF('1. Live'!CM244='check-Jul25'!CM244,"",'1. Live'!CM244-'check-Jul25'!CM244)</f>
        <v/>
      </c>
      <c r="CN244" t="str">
        <f>IF('1. Live'!CN244='check-Jul25'!CN244,"",'1. Live'!CN244-'check-Jul25'!CN244)</f>
        <v/>
      </c>
      <c r="CO244" t="str">
        <f>IF('1. Live'!CO244='check-Jul25'!CO244,"",'1. Live'!CO244-'check-Jul25'!CO244)</f>
        <v/>
      </c>
      <c r="CP244" t="str">
        <f>IF('1. Live'!CP244='check-Jul25'!CP244,"",'1. Live'!CP244-'check-Jul25'!CP244)</f>
        <v/>
      </c>
      <c r="CQ244" t="str">
        <f>IF('1. Live'!CQ244='check-Jul25'!CQ244,"",'1. Live'!CQ244-'check-Jul25'!CQ244)</f>
        <v/>
      </c>
      <c r="CR244" t="str">
        <f>IF('1. Live'!CR244='check-Jul25'!CR244,"",'1. Live'!CR244-'check-Jul25'!CR244)</f>
        <v/>
      </c>
      <c r="CS244" t="str">
        <f>IF('1. Live'!CS244='check-Jul25'!CS244,"",'1. Live'!CS244-'check-Jul25'!CS244)</f>
        <v/>
      </c>
      <c r="CT244" t="str">
        <f>IF('1. Live'!CT244='check-Jul25'!CT244,"",'1. Live'!CT244-'check-Jul25'!CT244)</f>
        <v/>
      </c>
      <c r="CU244" t="str">
        <f>IF('1. Live'!CU244='check-Jul25'!CU244,"",'1. Live'!CU244-'check-Jul25'!CU244)</f>
        <v/>
      </c>
      <c r="CV244" t="str">
        <f>IF('1. Live'!CV244='check-Jul25'!CV244,"",'1. Live'!CV244-'check-Jul25'!CV244)</f>
        <v/>
      </c>
      <c r="CW244" t="str">
        <f>IF('1. Live'!CW244='check-Jul25'!CW244,"",'1. Live'!CW244-'check-Jul25'!CW244)</f>
        <v/>
      </c>
    </row>
    <row r="245" spans="10:101">
      <c r="J245" t="str">
        <f>IF('1. Live'!J245='check-Jul25'!J245,"",'1. Live'!J245-'check-Jul25'!J245)</f>
        <v/>
      </c>
      <c r="K245" t="str">
        <f>IF('1. Live'!K245='check-Jul25'!K245,"",'1. Live'!K245-'check-Jul25'!K245)</f>
        <v/>
      </c>
      <c r="L245" t="str">
        <f>IF('1. Live'!L245='check-Jul25'!L245,"",'1. Live'!L245-'check-Jul25'!L245)</f>
        <v/>
      </c>
      <c r="M245" t="str">
        <f>IF('1. Live'!M245='check-Jul25'!M245,"",'1. Live'!M245-'check-Jul25'!M245)</f>
        <v/>
      </c>
      <c r="N245" t="str">
        <f>IF('1. Live'!N245='check-Jul25'!N245,"",'1. Live'!N245-'check-Jul25'!N245)</f>
        <v/>
      </c>
      <c r="O245" t="str">
        <f>IF('1. Live'!O245='check-Jul25'!O245,"",'1. Live'!O245-'check-Jul25'!O245)</f>
        <v/>
      </c>
      <c r="P245" t="str">
        <f>IF('1. Live'!P245='check-Jul25'!P245,"",'1. Live'!P245-'check-Jul25'!P245)</f>
        <v/>
      </c>
      <c r="Q245" t="str">
        <f>IF('1. Live'!Q245='check-Jul25'!Q245,"",'1. Live'!Q245-'check-Jul25'!Q245)</f>
        <v/>
      </c>
      <c r="R245" t="str">
        <f>IF('1. Live'!R245='check-Jul25'!R245,"",'1. Live'!R245-'check-Jul25'!R245)</f>
        <v/>
      </c>
      <c r="S245" t="str">
        <f>IF('1. Live'!S245='check-Jul25'!S245,"",'1. Live'!S245-'check-Jul25'!S245)</f>
        <v/>
      </c>
      <c r="T245" t="str">
        <f>IF('1. Live'!T245='check-Jul25'!T245,"",'1. Live'!T245-'check-Jul25'!T245)</f>
        <v/>
      </c>
      <c r="U245" t="str">
        <f>IF('1. Live'!U245='check-Jul25'!U245,"",'1. Live'!U245-'check-Jul25'!U245)</f>
        <v/>
      </c>
      <c r="V245" t="str">
        <f>IF('1. Live'!V245='check-Jul25'!V245,"",'1. Live'!V245-'check-Jul25'!V245)</f>
        <v/>
      </c>
      <c r="W245" t="str">
        <f>IF('1. Live'!W245='check-Jul25'!W245,"",'1. Live'!W245-'check-Jul25'!W245)</f>
        <v/>
      </c>
      <c r="X245" t="str">
        <f>IF('1. Live'!X245='check-Jul25'!X245,"",'1. Live'!X245-'check-Jul25'!X245)</f>
        <v/>
      </c>
      <c r="Y245" t="str">
        <f>IF('1. Live'!Y245='check-Jul25'!Y245,"",'1. Live'!Y245-'check-Jul25'!Y245)</f>
        <v/>
      </c>
      <c r="Z245" t="str">
        <f>IF('1. Live'!Z245='check-Jul25'!Z245,"",'1. Live'!Z245-'check-Jul25'!Z245)</f>
        <v/>
      </c>
      <c r="AA245" t="str">
        <f>IF('1. Live'!AA245='check-Jul25'!AA245,"",'1. Live'!AA245-'check-Jul25'!AA245)</f>
        <v/>
      </c>
      <c r="AB245" t="str">
        <f>IF('1. Live'!AB245='check-Jul25'!AB245,"",'1. Live'!AB245-'check-Jul25'!AB245)</f>
        <v/>
      </c>
      <c r="AC245" t="str">
        <f>IF('1. Live'!AC245='check-Jul25'!AC245,"",'1. Live'!AC245-'check-Jul25'!AC245)</f>
        <v/>
      </c>
      <c r="AD245" t="str">
        <f>IF('1. Live'!AD245='check-Jul25'!AD245,"",'1. Live'!AD245-'check-Jul25'!AD245)</f>
        <v/>
      </c>
      <c r="AE245" t="str">
        <f>IF('1. Live'!AE245='check-Jul25'!AE245,"",'1. Live'!AE245-'check-Jul25'!AE245)</f>
        <v/>
      </c>
      <c r="AF245" t="str">
        <f>IF('1. Live'!AF245='check-Jul25'!AF245,"",'1. Live'!AF245-'check-Jul25'!AF245)</f>
        <v/>
      </c>
      <c r="AG245" t="str">
        <f>IF('1. Live'!AG245='check-Jul25'!AG245,"",'1. Live'!AG245-'check-Jul25'!AG245)</f>
        <v/>
      </c>
      <c r="AH245" t="str">
        <f>IF('1. Live'!AH245='check-Jul25'!AH245,"",'1. Live'!AH245-'check-Jul25'!AH245)</f>
        <v/>
      </c>
      <c r="AI245" t="str">
        <f>IF('1. Live'!AI245='check-Jul25'!AI245,"",'1. Live'!AI245-'check-Jul25'!AI245)</f>
        <v/>
      </c>
      <c r="AJ245" t="str">
        <f>IF('1. Live'!AJ245='check-Jul25'!AJ245,"",'1. Live'!AJ245-'check-Jul25'!AJ245)</f>
        <v/>
      </c>
      <c r="AK245" t="str">
        <f>IF('1. Live'!AK245='check-Jul25'!AK245,"",'1. Live'!AK245-'check-Jul25'!AK245)</f>
        <v/>
      </c>
      <c r="AL245" t="str">
        <f>IF('1. Live'!AL245='check-Jul25'!AL245,"",'1. Live'!AL245-'check-Jul25'!AL245)</f>
        <v/>
      </c>
      <c r="AM245" t="str">
        <f>IF('1. Live'!AM245='check-Jul25'!AM245,"",'1. Live'!AM245-'check-Jul25'!AM245)</f>
        <v/>
      </c>
      <c r="AN245" t="str">
        <f>IF('1. Live'!AN245='check-Jul25'!AN245,"",'1. Live'!AN245-'check-Jul25'!AN245)</f>
        <v/>
      </c>
      <c r="AO245" t="str">
        <f>IF('1. Live'!AO245='check-Jul25'!AO245,"",'1. Live'!AO245-'check-Jul25'!AO245)</f>
        <v/>
      </c>
      <c r="AP245" t="str">
        <f>IF('1. Live'!AP245='check-Jul25'!AP245,"",'1. Live'!AP245-'check-Jul25'!AP245)</f>
        <v/>
      </c>
      <c r="AQ245" t="str">
        <f>IF('1. Live'!AQ245='check-Jul25'!AQ245,"",'1. Live'!AQ245-'check-Jul25'!AQ245)</f>
        <v/>
      </c>
      <c r="AR245" t="str">
        <f>IF('1. Live'!AR245='check-Jul25'!AR245,"",'1. Live'!AR245-'check-Jul25'!AR245)</f>
        <v/>
      </c>
      <c r="AS245" t="str">
        <f>IF('1. Live'!AS245='check-Jul25'!AS245,"",'1. Live'!AS245-'check-Jul25'!AS245)</f>
        <v/>
      </c>
      <c r="AT245" t="str">
        <f>IF('1. Live'!AT245='check-Jul25'!AT245,"",'1. Live'!AT245-'check-Jul25'!AT245)</f>
        <v/>
      </c>
      <c r="AU245" t="str">
        <f>IF('1. Live'!AU245='check-Jul25'!AU245,"",'1. Live'!AU245-'check-Jul25'!AU245)</f>
        <v/>
      </c>
      <c r="AV245" t="str">
        <f>IF('1. Live'!AV245='check-Jul25'!AV245,"",'1. Live'!AV245-'check-Jul25'!AV245)</f>
        <v/>
      </c>
      <c r="AW245" t="str">
        <f>IF('1. Live'!AW245='check-Jul25'!AW245,"",'1. Live'!AW245-'check-Jul25'!AW245)</f>
        <v/>
      </c>
      <c r="AX245" t="str">
        <f>IF('1. Live'!AX245='check-Jul25'!AX245,"",'1. Live'!AX245-'check-Jul25'!AX245)</f>
        <v/>
      </c>
      <c r="AY245" t="str">
        <f>IF('1. Live'!AY245='check-Jul25'!AY245,"",'1. Live'!AY245-'check-Jul25'!AY245)</f>
        <v/>
      </c>
      <c r="AZ245" t="str">
        <f>IF('1. Live'!AZ245='check-Jul25'!AZ245,"",'1. Live'!AZ245-'check-Jul25'!AZ245)</f>
        <v/>
      </c>
      <c r="BA245" t="str">
        <f>IF('1. Live'!BA245='check-Jul25'!BA245,"",'1. Live'!BA245-'check-Jul25'!BA245)</f>
        <v/>
      </c>
      <c r="BB245" t="str">
        <f>IF('1. Live'!BB245='check-Jul25'!BB245,"",'1. Live'!BB245-'check-Jul25'!BB245)</f>
        <v/>
      </c>
      <c r="BC245" t="str">
        <f>IF('1. Live'!BC245='check-Jul25'!BC245,"",'1. Live'!BC245-'check-Jul25'!BC245)</f>
        <v/>
      </c>
      <c r="BD245" t="str">
        <f>IF('1. Live'!BD245='check-Jul25'!BD245,"",'1. Live'!BD245-'check-Jul25'!BD245)</f>
        <v/>
      </c>
      <c r="BE245" t="str">
        <f>IF('1. Live'!BE245='check-Jul25'!BE245,"",'1. Live'!BE245-'check-Jul25'!BE245)</f>
        <v/>
      </c>
      <c r="BF245" t="str">
        <f>IF('1. Live'!BF245='check-Jul25'!BF245,"",'1. Live'!BF245-'check-Jul25'!BF245)</f>
        <v/>
      </c>
      <c r="BG245" t="str">
        <f>IF('1. Live'!BG245='check-Jul25'!BG245,"",'1. Live'!BG245-'check-Jul25'!BG245)</f>
        <v/>
      </c>
      <c r="BH245" t="str">
        <f>IF('1. Live'!BH245='check-Jul25'!BH245,"",'1. Live'!BH245-'check-Jul25'!BH245)</f>
        <v/>
      </c>
      <c r="BI245" t="str">
        <f>IF('1. Live'!BI245='check-Jul25'!BI245,"",'1. Live'!BI245-'check-Jul25'!BI245)</f>
        <v/>
      </c>
      <c r="BJ245" t="str">
        <f>IF('1. Live'!BJ245='check-Jul25'!BJ245,"",'1. Live'!BJ245-'check-Jul25'!BJ245)</f>
        <v/>
      </c>
      <c r="BK245" t="str">
        <f>IF('1. Live'!BK245='check-Jul25'!BK245,"",'1. Live'!BK245-'check-Jul25'!BK245)</f>
        <v/>
      </c>
      <c r="BL245" t="str">
        <f>IF('1. Live'!BL245='check-Jul25'!BL245,"",'1. Live'!BL245-'check-Jul25'!BL245)</f>
        <v/>
      </c>
      <c r="BM245" t="str">
        <f>IF('1. Live'!BM245='check-Jul25'!BM245,"",'1. Live'!BM245-'check-Jul25'!BM245)</f>
        <v/>
      </c>
      <c r="BN245" t="str">
        <f>IF('1. Live'!BN245='check-Jul25'!BN245,"",'1. Live'!BN245-'check-Jul25'!BN245)</f>
        <v/>
      </c>
      <c r="BO245" t="str">
        <f>IF('1. Live'!BO245='check-Jul25'!BO245,"",'1. Live'!BO245-'check-Jul25'!BO245)</f>
        <v/>
      </c>
      <c r="BP245" t="str">
        <f>IF('1. Live'!BP245='check-Jul25'!BP245,"",'1. Live'!BP245-'check-Jul25'!BP245)</f>
        <v/>
      </c>
      <c r="BQ245" t="str">
        <f>IF('1. Live'!BQ245='check-Jul25'!BQ245,"",'1. Live'!BQ245-'check-Jul25'!BQ245)</f>
        <v/>
      </c>
      <c r="BR245" t="str">
        <f>IF('1. Live'!BR245='check-Jul25'!BR245,"",'1. Live'!BR245-'check-Jul25'!BR245)</f>
        <v/>
      </c>
      <c r="BS245" t="str">
        <f>IF('1. Live'!BS245='check-Jul25'!BS245,"",'1. Live'!BS245-'check-Jul25'!BS245)</f>
        <v/>
      </c>
      <c r="BT245" t="str">
        <f>IF('1. Live'!BT245='check-Jul25'!BT245,"",'1. Live'!BT245-'check-Jul25'!BT245)</f>
        <v/>
      </c>
      <c r="BU245" t="str">
        <f>IF('1. Live'!BU245='check-Jul25'!BU245,"",'1. Live'!BU245-'check-Jul25'!BU245)</f>
        <v/>
      </c>
      <c r="BV245" t="str">
        <f>IF('1. Live'!BV245='check-Jul25'!BV245,"",'1. Live'!BV245-'check-Jul25'!BV245)</f>
        <v/>
      </c>
      <c r="BW245" t="str">
        <f>IF('1. Live'!BW245='check-Jul25'!BW245,"",'1. Live'!BW245-'check-Jul25'!BW245)</f>
        <v/>
      </c>
      <c r="BX245" t="str">
        <f>IF('1. Live'!BX245='check-Jul25'!BX245,"",'1. Live'!BX245-'check-Jul25'!BX245)</f>
        <v/>
      </c>
      <c r="BY245" t="str">
        <f>IF('1. Live'!BY245='check-Jul25'!BY245,"",'1. Live'!BY245-'check-Jul25'!BY245)</f>
        <v/>
      </c>
      <c r="BZ245" t="str">
        <f>IF('1. Live'!BZ245='check-Jul25'!BZ245,"",'1. Live'!BZ245-'check-Jul25'!BZ245)</f>
        <v/>
      </c>
      <c r="CA245" t="str">
        <f>IF('1. Live'!CA245='check-Jul25'!CA245,"",'1. Live'!CA245-'check-Jul25'!CA245)</f>
        <v/>
      </c>
      <c r="CB245" t="str">
        <f>IF('1. Live'!CB245='check-Jul25'!CB245,"",'1. Live'!CB245-'check-Jul25'!CB245)</f>
        <v/>
      </c>
      <c r="CC245" t="str">
        <f>IF('1. Live'!CC245='check-Jul25'!CC245,"",'1. Live'!CC245-'check-Jul25'!CC245)</f>
        <v/>
      </c>
      <c r="CD245" t="str">
        <f>IF('1. Live'!CD245='check-Jul25'!CD245,"",'1. Live'!CD245-'check-Jul25'!CD245)</f>
        <v/>
      </c>
      <c r="CE245" t="str">
        <f>IF('1. Live'!CE245='check-Jul25'!CE245,"",'1. Live'!CE245-'check-Jul25'!CE245)</f>
        <v/>
      </c>
      <c r="CF245" t="str">
        <f>IF('1. Live'!CF245='check-Jul25'!CF245,"",'1. Live'!CF245-'check-Jul25'!CF245)</f>
        <v/>
      </c>
      <c r="CG245" t="str">
        <f>IF('1. Live'!CG245='check-Jul25'!CG245,"",'1. Live'!CG245-'check-Jul25'!CG245)</f>
        <v/>
      </c>
      <c r="CH245" t="str">
        <f>IF('1. Live'!CH245='check-Jul25'!CH245,"",'1. Live'!CH245-'check-Jul25'!CH245)</f>
        <v/>
      </c>
      <c r="CI245" t="str">
        <f>IF('1. Live'!CI245='check-Jul25'!CI245,"",'1. Live'!CI245-'check-Jul25'!CI245)</f>
        <v/>
      </c>
      <c r="CJ245" t="str">
        <f>IF('1. Live'!CJ245='check-Jul25'!CJ245,"",'1. Live'!CJ245-'check-Jul25'!CJ245)</f>
        <v/>
      </c>
      <c r="CK245" t="str">
        <f>IF('1. Live'!CK245='check-Jul25'!CK245,"",'1. Live'!CK245-'check-Jul25'!CK245)</f>
        <v/>
      </c>
      <c r="CL245" t="str">
        <f>IF('1. Live'!CL245='check-Jul25'!CL245,"",'1. Live'!CL245-'check-Jul25'!CL245)</f>
        <v/>
      </c>
      <c r="CM245" t="str">
        <f>IF('1. Live'!CM245='check-Jul25'!CM245,"",'1. Live'!CM245-'check-Jul25'!CM245)</f>
        <v/>
      </c>
      <c r="CN245" t="str">
        <f>IF('1. Live'!CN245='check-Jul25'!CN245,"",'1. Live'!CN245-'check-Jul25'!CN245)</f>
        <v/>
      </c>
      <c r="CO245" t="str">
        <f>IF('1. Live'!CO245='check-Jul25'!CO245,"",'1. Live'!CO245-'check-Jul25'!CO245)</f>
        <v/>
      </c>
      <c r="CP245" t="str">
        <f>IF('1. Live'!CP245='check-Jul25'!CP245,"",'1. Live'!CP245-'check-Jul25'!CP245)</f>
        <v/>
      </c>
      <c r="CQ245" t="str">
        <f>IF('1. Live'!CQ245='check-Jul25'!CQ245,"",'1. Live'!CQ245-'check-Jul25'!CQ245)</f>
        <v/>
      </c>
      <c r="CR245" t="str">
        <f>IF('1. Live'!CR245='check-Jul25'!CR245,"",'1. Live'!CR245-'check-Jul25'!CR245)</f>
        <v/>
      </c>
      <c r="CS245" t="str">
        <f>IF('1. Live'!CS245='check-Jul25'!CS245,"",'1. Live'!CS245-'check-Jul25'!CS245)</f>
        <v/>
      </c>
      <c r="CT245" t="str">
        <f>IF('1. Live'!CT245='check-Jul25'!CT245,"",'1. Live'!CT245-'check-Jul25'!CT245)</f>
        <v/>
      </c>
      <c r="CU245" t="str">
        <f>IF('1. Live'!CU245='check-Jul25'!CU245,"",'1. Live'!CU245-'check-Jul25'!CU245)</f>
        <v/>
      </c>
      <c r="CV245" t="str">
        <f>IF('1. Live'!CV245='check-Jul25'!CV245,"",'1. Live'!CV245-'check-Jul25'!CV245)</f>
        <v/>
      </c>
      <c r="CW245" t="str">
        <f>IF('1. Live'!CW245='check-Jul25'!CW245,"",'1. Live'!CW245-'check-Jul25'!CW245)</f>
        <v/>
      </c>
    </row>
    <row r="246" spans="10:101">
      <c r="J246" t="str">
        <f>IF('1. Live'!J246='check-Jul25'!J246,"",'1. Live'!J246-'check-Jul25'!J246)</f>
        <v/>
      </c>
      <c r="K246" t="str">
        <f>IF('1. Live'!K246='check-Jul25'!K246,"",'1. Live'!K246-'check-Jul25'!K246)</f>
        <v/>
      </c>
      <c r="L246" t="str">
        <f>IF('1. Live'!L246='check-Jul25'!L246,"",'1. Live'!L246-'check-Jul25'!L246)</f>
        <v/>
      </c>
      <c r="M246" t="str">
        <f>IF('1. Live'!M246='check-Jul25'!M246,"",'1. Live'!M246-'check-Jul25'!M246)</f>
        <v/>
      </c>
      <c r="N246" t="str">
        <f>IF('1. Live'!N246='check-Jul25'!N246,"",'1. Live'!N246-'check-Jul25'!N246)</f>
        <v/>
      </c>
      <c r="O246" t="str">
        <f>IF('1. Live'!O246='check-Jul25'!O246,"",'1. Live'!O246-'check-Jul25'!O246)</f>
        <v/>
      </c>
      <c r="P246" t="str">
        <f>IF('1. Live'!P246='check-Jul25'!P246,"",'1. Live'!P246-'check-Jul25'!P246)</f>
        <v/>
      </c>
      <c r="Q246" t="str">
        <f>IF('1. Live'!Q246='check-Jul25'!Q246,"",'1. Live'!Q246-'check-Jul25'!Q246)</f>
        <v/>
      </c>
      <c r="R246" t="str">
        <f>IF('1. Live'!R246='check-Jul25'!R246,"",'1. Live'!R246-'check-Jul25'!R246)</f>
        <v/>
      </c>
      <c r="S246" t="str">
        <f>IF('1. Live'!S246='check-Jul25'!S246,"",'1. Live'!S246-'check-Jul25'!S246)</f>
        <v/>
      </c>
      <c r="T246" t="str">
        <f>IF('1. Live'!T246='check-Jul25'!T246,"",'1. Live'!T246-'check-Jul25'!T246)</f>
        <v/>
      </c>
      <c r="U246" t="str">
        <f>IF('1. Live'!U246='check-Jul25'!U246,"",'1. Live'!U246-'check-Jul25'!U246)</f>
        <v/>
      </c>
      <c r="V246" t="str">
        <f>IF('1. Live'!V246='check-Jul25'!V246,"",'1. Live'!V246-'check-Jul25'!V246)</f>
        <v/>
      </c>
      <c r="W246" t="str">
        <f>IF('1. Live'!W246='check-Jul25'!W246,"",'1. Live'!W246-'check-Jul25'!W246)</f>
        <v/>
      </c>
      <c r="X246" t="str">
        <f>IF('1. Live'!X246='check-Jul25'!X246,"",'1. Live'!X246-'check-Jul25'!X246)</f>
        <v/>
      </c>
      <c r="Y246" t="str">
        <f>IF('1. Live'!Y246='check-Jul25'!Y246,"",'1. Live'!Y246-'check-Jul25'!Y246)</f>
        <v/>
      </c>
      <c r="Z246" t="str">
        <f>IF('1. Live'!Z246='check-Jul25'!Z246,"",'1. Live'!Z246-'check-Jul25'!Z246)</f>
        <v/>
      </c>
      <c r="AA246" t="str">
        <f>IF('1. Live'!AA246='check-Jul25'!AA246,"",'1. Live'!AA246-'check-Jul25'!AA246)</f>
        <v/>
      </c>
      <c r="AB246" t="str">
        <f>IF('1. Live'!AB246='check-Jul25'!AB246,"",'1. Live'!AB246-'check-Jul25'!AB246)</f>
        <v/>
      </c>
      <c r="AC246" t="str">
        <f>IF('1. Live'!AC246='check-Jul25'!AC246,"",'1. Live'!AC246-'check-Jul25'!AC246)</f>
        <v/>
      </c>
      <c r="AD246" t="str">
        <f>IF('1. Live'!AD246='check-Jul25'!AD246,"",'1. Live'!AD246-'check-Jul25'!AD246)</f>
        <v/>
      </c>
      <c r="AE246" t="str">
        <f>IF('1. Live'!AE246='check-Jul25'!AE246,"",'1. Live'!AE246-'check-Jul25'!AE246)</f>
        <v/>
      </c>
      <c r="AF246" t="str">
        <f>IF('1. Live'!AF246='check-Jul25'!AF246,"",'1. Live'!AF246-'check-Jul25'!AF246)</f>
        <v/>
      </c>
      <c r="AG246" t="str">
        <f>IF('1. Live'!AG246='check-Jul25'!AG246,"",'1. Live'!AG246-'check-Jul25'!AG246)</f>
        <v/>
      </c>
      <c r="AH246" t="str">
        <f>IF('1. Live'!AH246='check-Jul25'!AH246,"",'1. Live'!AH246-'check-Jul25'!AH246)</f>
        <v/>
      </c>
      <c r="AI246" t="str">
        <f>IF('1. Live'!AI246='check-Jul25'!AI246,"",'1. Live'!AI246-'check-Jul25'!AI246)</f>
        <v/>
      </c>
      <c r="AJ246" t="str">
        <f>IF('1. Live'!AJ246='check-Jul25'!AJ246,"",'1. Live'!AJ246-'check-Jul25'!AJ246)</f>
        <v/>
      </c>
      <c r="AK246" t="str">
        <f>IF('1. Live'!AK246='check-Jul25'!AK246,"",'1. Live'!AK246-'check-Jul25'!AK246)</f>
        <v/>
      </c>
      <c r="AL246" t="str">
        <f>IF('1. Live'!AL246='check-Jul25'!AL246,"",'1. Live'!AL246-'check-Jul25'!AL246)</f>
        <v/>
      </c>
      <c r="AM246" t="str">
        <f>IF('1. Live'!AM246='check-Jul25'!AM246,"",'1. Live'!AM246-'check-Jul25'!AM246)</f>
        <v/>
      </c>
      <c r="AN246" t="str">
        <f>IF('1. Live'!AN246='check-Jul25'!AN246,"",'1. Live'!AN246-'check-Jul25'!AN246)</f>
        <v/>
      </c>
      <c r="AO246" t="str">
        <f>IF('1. Live'!AO246='check-Jul25'!AO246,"",'1. Live'!AO246-'check-Jul25'!AO246)</f>
        <v/>
      </c>
      <c r="AP246" t="str">
        <f>IF('1. Live'!AP246='check-Jul25'!AP246,"",'1. Live'!AP246-'check-Jul25'!AP246)</f>
        <v/>
      </c>
      <c r="AQ246" t="str">
        <f>IF('1. Live'!AQ246='check-Jul25'!AQ246,"",'1. Live'!AQ246-'check-Jul25'!AQ246)</f>
        <v/>
      </c>
      <c r="AR246" t="str">
        <f>IF('1. Live'!AR246='check-Jul25'!AR246,"",'1. Live'!AR246-'check-Jul25'!AR246)</f>
        <v/>
      </c>
      <c r="AS246" t="str">
        <f>IF('1. Live'!AS246='check-Jul25'!AS246,"",'1. Live'!AS246-'check-Jul25'!AS246)</f>
        <v/>
      </c>
      <c r="AT246" t="str">
        <f>IF('1. Live'!AT246='check-Jul25'!AT246,"",'1. Live'!AT246-'check-Jul25'!AT246)</f>
        <v/>
      </c>
      <c r="AU246" t="str">
        <f>IF('1. Live'!AU246='check-Jul25'!AU246,"",'1. Live'!AU246-'check-Jul25'!AU246)</f>
        <v/>
      </c>
      <c r="AV246" t="str">
        <f>IF('1. Live'!AV246='check-Jul25'!AV246,"",'1. Live'!AV246-'check-Jul25'!AV246)</f>
        <v/>
      </c>
      <c r="AW246" t="str">
        <f>IF('1. Live'!AW246='check-Jul25'!AW246,"",'1. Live'!AW246-'check-Jul25'!AW246)</f>
        <v/>
      </c>
      <c r="AX246" t="str">
        <f>IF('1. Live'!AX246='check-Jul25'!AX246,"",'1. Live'!AX246-'check-Jul25'!AX246)</f>
        <v/>
      </c>
      <c r="AY246" t="str">
        <f>IF('1. Live'!AY246='check-Jul25'!AY246,"",'1. Live'!AY246-'check-Jul25'!AY246)</f>
        <v/>
      </c>
      <c r="AZ246" t="str">
        <f>IF('1. Live'!AZ246='check-Jul25'!AZ246,"",'1. Live'!AZ246-'check-Jul25'!AZ246)</f>
        <v/>
      </c>
      <c r="BA246" t="str">
        <f>IF('1. Live'!BA246='check-Jul25'!BA246,"",'1. Live'!BA246-'check-Jul25'!BA246)</f>
        <v/>
      </c>
      <c r="BB246" t="str">
        <f>IF('1. Live'!BB246='check-Jul25'!BB246,"",'1. Live'!BB246-'check-Jul25'!BB246)</f>
        <v/>
      </c>
      <c r="BC246" t="str">
        <f>IF('1. Live'!BC246='check-Jul25'!BC246,"",'1. Live'!BC246-'check-Jul25'!BC246)</f>
        <v/>
      </c>
      <c r="BD246" t="str">
        <f>IF('1. Live'!BD246='check-Jul25'!BD246,"",'1. Live'!BD246-'check-Jul25'!BD246)</f>
        <v/>
      </c>
      <c r="BE246" t="str">
        <f>IF('1. Live'!BE246='check-Jul25'!BE246,"",'1. Live'!BE246-'check-Jul25'!BE246)</f>
        <v/>
      </c>
      <c r="BF246" t="str">
        <f>IF('1. Live'!BF246='check-Jul25'!BF246,"",'1. Live'!BF246-'check-Jul25'!BF246)</f>
        <v/>
      </c>
      <c r="BG246" t="str">
        <f>IF('1. Live'!BG246='check-Jul25'!BG246,"",'1. Live'!BG246-'check-Jul25'!BG246)</f>
        <v/>
      </c>
      <c r="BH246" t="str">
        <f>IF('1. Live'!BH246='check-Jul25'!BH246,"",'1. Live'!BH246-'check-Jul25'!BH246)</f>
        <v/>
      </c>
      <c r="BI246" t="str">
        <f>IF('1. Live'!BI246='check-Jul25'!BI246,"",'1. Live'!BI246-'check-Jul25'!BI246)</f>
        <v/>
      </c>
      <c r="BJ246" t="str">
        <f>IF('1. Live'!BJ246='check-Jul25'!BJ246,"",'1. Live'!BJ246-'check-Jul25'!BJ246)</f>
        <v/>
      </c>
      <c r="BK246" t="str">
        <f>IF('1. Live'!BK246='check-Jul25'!BK246,"",'1. Live'!BK246-'check-Jul25'!BK246)</f>
        <v/>
      </c>
      <c r="BL246" t="str">
        <f>IF('1. Live'!BL246='check-Jul25'!BL246,"",'1. Live'!BL246-'check-Jul25'!BL246)</f>
        <v/>
      </c>
      <c r="BM246" t="str">
        <f>IF('1. Live'!BM246='check-Jul25'!BM246,"",'1. Live'!BM246-'check-Jul25'!BM246)</f>
        <v/>
      </c>
      <c r="BN246" t="str">
        <f>IF('1. Live'!BN246='check-Jul25'!BN246,"",'1. Live'!BN246-'check-Jul25'!BN246)</f>
        <v/>
      </c>
      <c r="BO246" t="str">
        <f>IF('1. Live'!BO246='check-Jul25'!BO246,"",'1. Live'!BO246-'check-Jul25'!BO246)</f>
        <v/>
      </c>
      <c r="BP246" t="str">
        <f>IF('1. Live'!BP246='check-Jul25'!BP246,"",'1. Live'!BP246-'check-Jul25'!BP246)</f>
        <v/>
      </c>
      <c r="BQ246" t="str">
        <f>IF('1. Live'!BQ246='check-Jul25'!BQ246,"",'1. Live'!BQ246-'check-Jul25'!BQ246)</f>
        <v/>
      </c>
      <c r="BR246" t="str">
        <f>IF('1. Live'!BR246='check-Jul25'!BR246,"",'1. Live'!BR246-'check-Jul25'!BR246)</f>
        <v/>
      </c>
      <c r="BS246" t="str">
        <f>IF('1. Live'!BS246='check-Jul25'!BS246,"",'1. Live'!BS246-'check-Jul25'!BS246)</f>
        <v/>
      </c>
      <c r="BT246" t="str">
        <f>IF('1. Live'!BT246='check-Jul25'!BT246,"",'1. Live'!BT246-'check-Jul25'!BT246)</f>
        <v/>
      </c>
      <c r="BU246" t="str">
        <f>IF('1. Live'!BU246='check-Jul25'!BU246,"",'1. Live'!BU246-'check-Jul25'!BU246)</f>
        <v/>
      </c>
      <c r="BV246" t="str">
        <f>IF('1. Live'!BV246='check-Jul25'!BV246,"",'1. Live'!BV246-'check-Jul25'!BV246)</f>
        <v/>
      </c>
      <c r="BW246" t="str">
        <f>IF('1. Live'!BW246='check-Jul25'!BW246,"",'1. Live'!BW246-'check-Jul25'!BW246)</f>
        <v/>
      </c>
      <c r="BX246" t="str">
        <f>IF('1. Live'!BX246='check-Jul25'!BX246,"",'1. Live'!BX246-'check-Jul25'!BX246)</f>
        <v/>
      </c>
      <c r="BY246" t="str">
        <f>IF('1. Live'!BY246='check-Jul25'!BY246,"",'1. Live'!BY246-'check-Jul25'!BY246)</f>
        <v/>
      </c>
      <c r="BZ246" t="str">
        <f>IF('1. Live'!BZ246='check-Jul25'!BZ246,"",'1. Live'!BZ246-'check-Jul25'!BZ246)</f>
        <v/>
      </c>
      <c r="CA246" t="str">
        <f>IF('1. Live'!CA246='check-Jul25'!CA246,"",'1. Live'!CA246-'check-Jul25'!CA246)</f>
        <v/>
      </c>
      <c r="CB246" t="str">
        <f>IF('1. Live'!CB246='check-Jul25'!CB246,"",'1. Live'!CB246-'check-Jul25'!CB246)</f>
        <v/>
      </c>
      <c r="CC246" t="str">
        <f>IF('1. Live'!CC246='check-Jul25'!CC246,"",'1. Live'!CC246-'check-Jul25'!CC246)</f>
        <v/>
      </c>
      <c r="CD246" t="str">
        <f>IF('1. Live'!CD246='check-Jul25'!CD246,"",'1. Live'!CD246-'check-Jul25'!CD246)</f>
        <v/>
      </c>
      <c r="CE246" t="str">
        <f>IF('1. Live'!CE246='check-Jul25'!CE246,"",'1. Live'!CE246-'check-Jul25'!CE246)</f>
        <v/>
      </c>
      <c r="CF246" t="str">
        <f>IF('1. Live'!CF246='check-Jul25'!CF246,"",'1. Live'!CF246-'check-Jul25'!CF246)</f>
        <v/>
      </c>
      <c r="CG246" t="str">
        <f>IF('1. Live'!CG246='check-Jul25'!CG246,"",'1. Live'!CG246-'check-Jul25'!CG246)</f>
        <v/>
      </c>
      <c r="CH246" t="str">
        <f>IF('1. Live'!CH246='check-Jul25'!CH246,"",'1. Live'!CH246-'check-Jul25'!CH246)</f>
        <v/>
      </c>
      <c r="CI246" t="str">
        <f>IF('1. Live'!CI246='check-Jul25'!CI246,"",'1. Live'!CI246-'check-Jul25'!CI246)</f>
        <v/>
      </c>
      <c r="CJ246" t="str">
        <f>IF('1. Live'!CJ246='check-Jul25'!CJ246,"",'1. Live'!CJ246-'check-Jul25'!CJ246)</f>
        <v/>
      </c>
      <c r="CK246" t="str">
        <f>IF('1. Live'!CK246='check-Jul25'!CK246,"",'1. Live'!CK246-'check-Jul25'!CK246)</f>
        <v/>
      </c>
      <c r="CL246" t="str">
        <f>IF('1. Live'!CL246='check-Jul25'!CL246,"",'1. Live'!CL246-'check-Jul25'!CL246)</f>
        <v/>
      </c>
      <c r="CM246" t="str">
        <f>IF('1. Live'!CM246='check-Jul25'!CM246,"",'1. Live'!CM246-'check-Jul25'!CM246)</f>
        <v/>
      </c>
      <c r="CN246" t="str">
        <f>IF('1. Live'!CN246='check-Jul25'!CN246,"",'1. Live'!CN246-'check-Jul25'!CN246)</f>
        <v/>
      </c>
      <c r="CO246" t="str">
        <f>IF('1. Live'!CO246='check-Jul25'!CO246,"",'1. Live'!CO246-'check-Jul25'!CO246)</f>
        <v/>
      </c>
      <c r="CP246" t="str">
        <f>IF('1. Live'!CP246='check-Jul25'!CP246,"",'1. Live'!CP246-'check-Jul25'!CP246)</f>
        <v/>
      </c>
      <c r="CQ246" t="str">
        <f>IF('1. Live'!CQ246='check-Jul25'!CQ246,"",'1. Live'!CQ246-'check-Jul25'!CQ246)</f>
        <v/>
      </c>
      <c r="CR246" t="str">
        <f>IF('1. Live'!CR246='check-Jul25'!CR246,"",'1. Live'!CR246-'check-Jul25'!CR246)</f>
        <v/>
      </c>
      <c r="CS246" t="str">
        <f>IF('1. Live'!CS246='check-Jul25'!CS246,"",'1. Live'!CS246-'check-Jul25'!CS246)</f>
        <v/>
      </c>
      <c r="CT246" t="str">
        <f>IF('1. Live'!CT246='check-Jul25'!CT246,"",'1. Live'!CT246-'check-Jul25'!CT246)</f>
        <v/>
      </c>
      <c r="CU246" t="str">
        <f>IF('1. Live'!CU246='check-Jul25'!CU246,"",'1. Live'!CU246-'check-Jul25'!CU246)</f>
        <v/>
      </c>
      <c r="CV246" t="str">
        <f>IF('1. Live'!CV246='check-Jul25'!CV246,"",'1. Live'!CV246-'check-Jul25'!CV246)</f>
        <v/>
      </c>
      <c r="CW246" t="str">
        <f>IF('1. Live'!CW246='check-Jul25'!CW246,"",'1. Live'!CW246-'check-Jul25'!CW246)</f>
        <v/>
      </c>
    </row>
    <row r="247" spans="10:101">
      <c r="J247" t="str">
        <f>IF('1. Live'!J247='check-Jul25'!J247,"",'1. Live'!J247-'check-Jul25'!J247)</f>
        <v/>
      </c>
      <c r="K247" t="str">
        <f>IF('1. Live'!K247='check-Jul25'!K247,"",'1. Live'!K247-'check-Jul25'!K247)</f>
        <v/>
      </c>
      <c r="L247" t="str">
        <f>IF('1. Live'!L247='check-Jul25'!L247,"",'1. Live'!L247-'check-Jul25'!L247)</f>
        <v/>
      </c>
      <c r="M247" t="str">
        <f>IF('1. Live'!M247='check-Jul25'!M247,"",'1. Live'!M247-'check-Jul25'!M247)</f>
        <v/>
      </c>
      <c r="N247" t="str">
        <f>IF('1. Live'!N247='check-Jul25'!N247,"",'1. Live'!N247-'check-Jul25'!N247)</f>
        <v/>
      </c>
      <c r="O247" t="str">
        <f>IF('1. Live'!O247='check-Jul25'!O247,"",'1. Live'!O247-'check-Jul25'!O247)</f>
        <v/>
      </c>
      <c r="P247" t="str">
        <f>IF('1. Live'!P247='check-Jul25'!P247,"",'1. Live'!P247-'check-Jul25'!P247)</f>
        <v/>
      </c>
      <c r="Q247" t="str">
        <f>IF('1. Live'!Q247='check-Jul25'!Q247,"",'1. Live'!Q247-'check-Jul25'!Q247)</f>
        <v/>
      </c>
      <c r="R247" t="str">
        <f>IF('1. Live'!R247='check-Jul25'!R247,"",'1. Live'!R247-'check-Jul25'!R247)</f>
        <v/>
      </c>
      <c r="S247" t="str">
        <f>IF('1. Live'!S247='check-Jul25'!S247,"",'1. Live'!S247-'check-Jul25'!S247)</f>
        <v/>
      </c>
      <c r="T247" t="str">
        <f>IF('1. Live'!T247='check-Jul25'!T247,"",'1. Live'!T247-'check-Jul25'!T247)</f>
        <v/>
      </c>
      <c r="U247" t="str">
        <f>IF('1. Live'!U247='check-Jul25'!U247,"",'1. Live'!U247-'check-Jul25'!U247)</f>
        <v/>
      </c>
      <c r="V247" t="str">
        <f>IF('1. Live'!V247='check-Jul25'!V247,"",'1. Live'!V247-'check-Jul25'!V247)</f>
        <v/>
      </c>
      <c r="W247" t="str">
        <f>IF('1. Live'!W247='check-Jul25'!W247,"",'1. Live'!W247-'check-Jul25'!W247)</f>
        <v/>
      </c>
      <c r="X247" t="str">
        <f>IF('1. Live'!X247='check-Jul25'!X247,"",'1. Live'!X247-'check-Jul25'!X247)</f>
        <v/>
      </c>
      <c r="Y247" t="str">
        <f>IF('1. Live'!Y247='check-Jul25'!Y247,"",'1. Live'!Y247-'check-Jul25'!Y247)</f>
        <v/>
      </c>
      <c r="Z247" t="str">
        <f>IF('1. Live'!Z247='check-Jul25'!Z247,"",'1. Live'!Z247-'check-Jul25'!Z247)</f>
        <v/>
      </c>
      <c r="AA247" t="str">
        <f>IF('1. Live'!AA247='check-Jul25'!AA247,"",'1. Live'!AA247-'check-Jul25'!AA247)</f>
        <v/>
      </c>
      <c r="AB247" t="str">
        <f>IF('1. Live'!AB247='check-Jul25'!AB247,"",'1. Live'!AB247-'check-Jul25'!AB247)</f>
        <v/>
      </c>
      <c r="AC247" t="str">
        <f>IF('1. Live'!AC247='check-Jul25'!AC247,"",'1. Live'!AC247-'check-Jul25'!AC247)</f>
        <v/>
      </c>
      <c r="AD247" t="str">
        <f>IF('1. Live'!AD247='check-Jul25'!AD247,"",'1. Live'!AD247-'check-Jul25'!AD247)</f>
        <v/>
      </c>
      <c r="AE247" t="str">
        <f>IF('1. Live'!AE247='check-Jul25'!AE247,"",'1. Live'!AE247-'check-Jul25'!AE247)</f>
        <v/>
      </c>
      <c r="AF247" t="str">
        <f>IF('1. Live'!AF247='check-Jul25'!AF247,"",'1. Live'!AF247-'check-Jul25'!AF247)</f>
        <v/>
      </c>
      <c r="AG247" t="str">
        <f>IF('1. Live'!AG247='check-Jul25'!AG247,"",'1. Live'!AG247-'check-Jul25'!AG247)</f>
        <v/>
      </c>
      <c r="AH247" t="str">
        <f>IF('1. Live'!AH247='check-Jul25'!AH247,"",'1. Live'!AH247-'check-Jul25'!AH247)</f>
        <v/>
      </c>
      <c r="AI247" t="str">
        <f>IF('1. Live'!AI247='check-Jul25'!AI247,"",'1. Live'!AI247-'check-Jul25'!AI247)</f>
        <v/>
      </c>
      <c r="AJ247" t="str">
        <f>IF('1. Live'!AJ247='check-Jul25'!AJ247,"",'1. Live'!AJ247-'check-Jul25'!AJ247)</f>
        <v/>
      </c>
      <c r="AK247" t="str">
        <f>IF('1. Live'!AK247='check-Jul25'!AK247,"",'1. Live'!AK247-'check-Jul25'!AK247)</f>
        <v/>
      </c>
      <c r="AL247" t="str">
        <f>IF('1. Live'!AL247='check-Jul25'!AL247,"",'1. Live'!AL247-'check-Jul25'!AL247)</f>
        <v/>
      </c>
      <c r="AM247" t="str">
        <f>IF('1. Live'!AM247='check-Jul25'!AM247,"",'1. Live'!AM247-'check-Jul25'!AM247)</f>
        <v/>
      </c>
      <c r="AN247" t="str">
        <f>IF('1. Live'!AN247='check-Jul25'!AN247,"",'1. Live'!AN247-'check-Jul25'!AN247)</f>
        <v/>
      </c>
      <c r="AO247" t="str">
        <f>IF('1. Live'!AO247='check-Jul25'!AO247,"",'1. Live'!AO247-'check-Jul25'!AO247)</f>
        <v/>
      </c>
      <c r="AP247" t="str">
        <f>IF('1. Live'!AP247='check-Jul25'!AP247,"",'1. Live'!AP247-'check-Jul25'!AP247)</f>
        <v/>
      </c>
      <c r="AQ247" t="str">
        <f>IF('1. Live'!AQ247='check-Jul25'!AQ247,"",'1. Live'!AQ247-'check-Jul25'!AQ247)</f>
        <v/>
      </c>
      <c r="AR247" t="str">
        <f>IF('1. Live'!AR247='check-Jul25'!AR247,"",'1. Live'!AR247-'check-Jul25'!AR247)</f>
        <v/>
      </c>
      <c r="AS247" t="str">
        <f>IF('1. Live'!AS247='check-Jul25'!AS247,"",'1. Live'!AS247-'check-Jul25'!AS247)</f>
        <v/>
      </c>
      <c r="AT247" t="str">
        <f>IF('1. Live'!AT247='check-Jul25'!AT247,"",'1. Live'!AT247-'check-Jul25'!AT247)</f>
        <v/>
      </c>
      <c r="AU247" t="str">
        <f>IF('1. Live'!AU247='check-Jul25'!AU247,"",'1. Live'!AU247-'check-Jul25'!AU247)</f>
        <v/>
      </c>
      <c r="AV247" t="str">
        <f>IF('1. Live'!AV247='check-Jul25'!AV247,"",'1. Live'!AV247-'check-Jul25'!AV247)</f>
        <v/>
      </c>
      <c r="AW247" t="str">
        <f>IF('1. Live'!AW247='check-Jul25'!AW247,"",'1. Live'!AW247-'check-Jul25'!AW247)</f>
        <v/>
      </c>
      <c r="AX247" t="str">
        <f>IF('1. Live'!AX247='check-Jul25'!AX247,"",'1. Live'!AX247-'check-Jul25'!AX247)</f>
        <v/>
      </c>
      <c r="AY247" t="str">
        <f>IF('1. Live'!AY247='check-Jul25'!AY247,"",'1. Live'!AY247-'check-Jul25'!AY247)</f>
        <v/>
      </c>
      <c r="AZ247" t="str">
        <f>IF('1. Live'!AZ247='check-Jul25'!AZ247,"",'1. Live'!AZ247-'check-Jul25'!AZ247)</f>
        <v/>
      </c>
      <c r="BA247" t="str">
        <f>IF('1. Live'!BA247='check-Jul25'!BA247,"",'1. Live'!BA247-'check-Jul25'!BA247)</f>
        <v/>
      </c>
      <c r="BB247" t="str">
        <f>IF('1. Live'!BB247='check-Jul25'!BB247,"",'1. Live'!BB247-'check-Jul25'!BB247)</f>
        <v/>
      </c>
      <c r="BC247" t="str">
        <f>IF('1. Live'!BC247='check-Jul25'!BC247,"",'1. Live'!BC247-'check-Jul25'!BC247)</f>
        <v/>
      </c>
      <c r="BD247" t="str">
        <f>IF('1. Live'!BD247='check-Jul25'!BD247,"",'1. Live'!BD247-'check-Jul25'!BD247)</f>
        <v/>
      </c>
      <c r="BE247" t="str">
        <f>IF('1. Live'!BE247='check-Jul25'!BE247,"",'1. Live'!BE247-'check-Jul25'!BE247)</f>
        <v/>
      </c>
      <c r="BF247" t="str">
        <f>IF('1. Live'!BF247='check-Jul25'!BF247,"",'1. Live'!BF247-'check-Jul25'!BF247)</f>
        <v/>
      </c>
      <c r="BG247" t="str">
        <f>IF('1. Live'!BG247='check-Jul25'!BG247,"",'1. Live'!BG247-'check-Jul25'!BG247)</f>
        <v/>
      </c>
      <c r="BH247" t="str">
        <f>IF('1. Live'!BH247='check-Jul25'!BH247,"",'1. Live'!BH247-'check-Jul25'!BH247)</f>
        <v/>
      </c>
      <c r="BI247" t="str">
        <f>IF('1. Live'!BI247='check-Jul25'!BI247,"",'1. Live'!BI247-'check-Jul25'!BI247)</f>
        <v/>
      </c>
      <c r="BJ247" t="str">
        <f>IF('1. Live'!BJ247='check-Jul25'!BJ247,"",'1. Live'!BJ247-'check-Jul25'!BJ247)</f>
        <v/>
      </c>
      <c r="BK247" t="str">
        <f>IF('1. Live'!BK247='check-Jul25'!BK247,"",'1. Live'!BK247-'check-Jul25'!BK247)</f>
        <v/>
      </c>
      <c r="BL247" t="str">
        <f>IF('1. Live'!BL247='check-Jul25'!BL247,"",'1. Live'!BL247-'check-Jul25'!BL247)</f>
        <v/>
      </c>
      <c r="BM247" t="str">
        <f>IF('1. Live'!BM247='check-Jul25'!BM247,"",'1. Live'!BM247-'check-Jul25'!BM247)</f>
        <v/>
      </c>
      <c r="BN247" t="str">
        <f>IF('1. Live'!BN247='check-Jul25'!BN247,"",'1. Live'!BN247-'check-Jul25'!BN247)</f>
        <v/>
      </c>
      <c r="BO247" t="str">
        <f>IF('1. Live'!BO247='check-Jul25'!BO247,"",'1. Live'!BO247-'check-Jul25'!BO247)</f>
        <v/>
      </c>
      <c r="BP247" t="str">
        <f>IF('1. Live'!BP247='check-Jul25'!BP247,"",'1. Live'!BP247-'check-Jul25'!BP247)</f>
        <v/>
      </c>
      <c r="BQ247" t="str">
        <f>IF('1. Live'!BQ247='check-Jul25'!BQ247,"",'1. Live'!BQ247-'check-Jul25'!BQ247)</f>
        <v/>
      </c>
      <c r="BR247" t="str">
        <f>IF('1. Live'!BR247='check-Jul25'!BR247,"",'1. Live'!BR247-'check-Jul25'!BR247)</f>
        <v/>
      </c>
      <c r="BS247" t="str">
        <f>IF('1. Live'!BS247='check-Jul25'!BS247,"",'1. Live'!BS247-'check-Jul25'!BS247)</f>
        <v/>
      </c>
      <c r="BT247" t="str">
        <f>IF('1. Live'!BT247='check-Jul25'!BT247,"",'1. Live'!BT247-'check-Jul25'!BT247)</f>
        <v/>
      </c>
      <c r="BU247" t="str">
        <f>IF('1. Live'!BU247='check-Jul25'!BU247,"",'1. Live'!BU247-'check-Jul25'!BU247)</f>
        <v/>
      </c>
      <c r="BV247" t="str">
        <f>IF('1. Live'!BV247='check-Jul25'!BV247,"",'1. Live'!BV247-'check-Jul25'!BV247)</f>
        <v/>
      </c>
      <c r="BW247" t="str">
        <f>IF('1. Live'!BW247='check-Jul25'!BW247,"",'1. Live'!BW247-'check-Jul25'!BW247)</f>
        <v/>
      </c>
      <c r="BX247" t="str">
        <f>IF('1. Live'!BX247='check-Jul25'!BX247,"",'1. Live'!BX247-'check-Jul25'!BX247)</f>
        <v/>
      </c>
      <c r="BY247" t="str">
        <f>IF('1. Live'!BY247='check-Jul25'!BY247,"",'1. Live'!BY247-'check-Jul25'!BY247)</f>
        <v/>
      </c>
      <c r="BZ247" t="str">
        <f>IF('1. Live'!BZ247='check-Jul25'!BZ247,"",'1. Live'!BZ247-'check-Jul25'!BZ247)</f>
        <v/>
      </c>
      <c r="CA247" t="str">
        <f>IF('1. Live'!CA247='check-Jul25'!CA247,"",'1. Live'!CA247-'check-Jul25'!CA247)</f>
        <v/>
      </c>
      <c r="CB247" t="str">
        <f>IF('1. Live'!CB247='check-Jul25'!CB247,"",'1. Live'!CB247-'check-Jul25'!CB247)</f>
        <v/>
      </c>
      <c r="CC247" t="str">
        <f>IF('1. Live'!CC247='check-Jul25'!CC247,"",'1. Live'!CC247-'check-Jul25'!CC247)</f>
        <v/>
      </c>
      <c r="CD247" t="str">
        <f>IF('1. Live'!CD247='check-Jul25'!CD247,"",'1. Live'!CD247-'check-Jul25'!CD247)</f>
        <v/>
      </c>
      <c r="CE247" t="str">
        <f>IF('1. Live'!CE247='check-Jul25'!CE247,"",'1. Live'!CE247-'check-Jul25'!CE247)</f>
        <v/>
      </c>
      <c r="CF247" t="str">
        <f>IF('1. Live'!CF247='check-Jul25'!CF247,"",'1. Live'!CF247-'check-Jul25'!CF247)</f>
        <v/>
      </c>
      <c r="CG247" t="str">
        <f>IF('1. Live'!CG247='check-Jul25'!CG247,"",'1. Live'!CG247-'check-Jul25'!CG247)</f>
        <v/>
      </c>
      <c r="CH247" t="str">
        <f>IF('1. Live'!CH247='check-Jul25'!CH247,"",'1. Live'!CH247-'check-Jul25'!CH247)</f>
        <v/>
      </c>
      <c r="CI247" t="str">
        <f>IF('1. Live'!CI247='check-Jul25'!CI247,"",'1. Live'!CI247-'check-Jul25'!CI247)</f>
        <v/>
      </c>
      <c r="CJ247" t="str">
        <f>IF('1. Live'!CJ247='check-Jul25'!CJ247,"",'1. Live'!CJ247-'check-Jul25'!CJ247)</f>
        <v/>
      </c>
      <c r="CK247" t="str">
        <f>IF('1. Live'!CK247='check-Jul25'!CK247,"",'1. Live'!CK247-'check-Jul25'!CK247)</f>
        <v/>
      </c>
      <c r="CL247" t="str">
        <f>IF('1. Live'!CL247='check-Jul25'!CL247,"",'1. Live'!CL247-'check-Jul25'!CL247)</f>
        <v/>
      </c>
      <c r="CM247" t="str">
        <f>IF('1. Live'!CM247='check-Jul25'!CM247,"",'1. Live'!CM247-'check-Jul25'!CM247)</f>
        <v/>
      </c>
      <c r="CN247" t="str">
        <f>IF('1. Live'!CN247='check-Jul25'!CN247,"",'1. Live'!CN247-'check-Jul25'!CN247)</f>
        <v/>
      </c>
      <c r="CO247" t="str">
        <f>IF('1. Live'!CO247='check-Jul25'!CO247,"",'1. Live'!CO247-'check-Jul25'!CO247)</f>
        <v/>
      </c>
      <c r="CP247" t="str">
        <f>IF('1. Live'!CP247='check-Jul25'!CP247,"",'1. Live'!CP247-'check-Jul25'!CP247)</f>
        <v/>
      </c>
      <c r="CQ247" t="str">
        <f>IF('1. Live'!CQ247='check-Jul25'!CQ247,"",'1. Live'!CQ247-'check-Jul25'!CQ247)</f>
        <v/>
      </c>
      <c r="CR247" t="str">
        <f>IF('1. Live'!CR247='check-Jul25'!CR247,"",'1. Live'!CR247-'check-Jul25'!CR247)</f>
        <v/>
      </c>
      <c r="CS247" t="str">
        <f>IF('1. Live'!CS247='check-Jul25'!CS247,"",'1. Live'!CS247-'check-Jul25'!CS247)</f>
        <v/>
      </c>
      <c r="CT247" t="str">
        <f>IF('1. Live'!CT247='check-Jul25'!CT247,"",'1. Live'!CT247-'check-Jul25'!CT247)</f>
        <v/>
      </c>
      <c r="CU247" t="str">
        <f>IF('1. Live'!CU247='check-Jul25'!CU247,"",'1. Live'!CU247-'check-Jul25'!CU247)</f>
        <v/>
      </c>
      <c r="CV247" t="str">
        <f>IF('1. Live'!CV247='check-Jul25'!CV247,"",'1. Live'!CV247-'check-Jul25'!CV247)</f>
        <v/>
      </c>
      <c r="CW247" t="str">
        <f>IF('1. Live'!CW247='check-Jul25'!CW247,"",'1. Live'!CW247-'check-Jul25'!CW247)</f>
        <v/>
      </c>
    </row>
    <row r="248" spans="10:101">
      <c r="J248" t="str">
        <f>IF('1. Live'!J248='check-Jul25'!J248,"",'1. Live'!J248-'check-Jul25'!J248)</f>
        <v/>
      </c>
      <c r="K248" t="str">
        <f>IF('1. Live'!K248='check-Jul25'!K248,"",'1. Live'!K248-'check-Jul25'!K248)</f>
        <v/>
      </c>
      <c r="L248" t="str">
        <f>IF('1. Live'!L248='check-Jul25'!L248,"",'1. Live'!L248-'check-Jul25'!L248)</f>
        <v/>
      </c>
      <c r="M248" t="str">
        <f>IF('1. Live'!M248='check-Jul25'!M248,"",'1. Live'!M248-'check-Jul25'!M248)</f>
        <v/>
      </c>
      <c r="N248" t="str">
        <f>IF('1. Live'!N248='check-Jul25'!N248,"",'1. Live'!N248-'check-Jul25'!N248)</f>
        <v/>
      </c>
      <c r="O248" t="str">
        <f>IF('1. Live'!O248='check-Jul25'!O248,"",'1. Live'!O248-'check-Jul25'!O248)</f>
        <v/>
      </c>
      <c r="P248" t="str">
        <f>IF('1. Live'!P248='check-Jul25'!P248,"",'1. Live'!P248-'check-Jul25'!P248)</f>
        <v/>
      </c>
      <c r="Q248" t="str">
        <f>IF('1. Live'!Q248='check-Jul25'!Q248,"",'1. Live'!Q248-'check-Jul25'!Q248)</f>
        <v/>
      </c>
      <c r="R248" t="str">
        <f>IF('1. Live'!R248='check-Jul25'!R248,"",'1. Live'!R248-'check-Jul25'!R248)</f>
        <v/>
      </c>
      <c r="S248" t="str">
        <f>IF('1. Live'!S248='check-Jul25'!S248,"",'1. Live'!S248-'check-Jul25'!S248)</f>
        <v/>
      </c>
      <c r="T248" t="str">
        <f>IF('1. Live'!T248='check-Jul25'!T248,"",'1. Live'!T248-'check-Jul25'!T248)</f>
        <v/>
      </c>
      <c r="U248" t="str">
        <f>IF('1. Live'!U248='check-Jul25'!U248,"",'1. Live'!U248-'check-Jul25'!U248)</f>
        <v/>
      </c>
      <c r="V248" t="str">
        <f>IF('1. Live'!V248='check-Jul25'!V248,"",'1. Live'!V248-'check-Jul25'!V248)</f>
        <v/>
      </c>
      <c r="W248" t="str">
        <f>IF('1. Live'!W248='check-Jul25'!W248,"",'1. Live'!W248-'check-Jul25'!W248)</f>
        <v/>
      </c>
      <c r="X248" t="str">
        <f>IF('1. Live'!X248='check-Jul25'!X248,"",'1. Live'!X248-'check-Jul25'!X248)</f>
        <v/>
      </c>
      <c r="Y248" t="str">
        <f>IF('1. Live'!Y248='check-Jul25'!Y248,"",'1. Live'!Y248-'check-Jul25'!Y248)</f>
        <v/>
      </c>
      <c r="Z248" t="str">
        <f>IF('1. Live'!Z248='check-Jul25'!Z248,"",'1. Live'!Z248-'check-Jul25'!Z248)</f>
        <v/>
      </c>
      <c r="AA248" t="str">
        <f>IF('1. Live'!AA248='check-Jul25'!AA248,"",'1. Live'!AA248-'check-Jul25'!AA248)</f>
        <v/>
      </c>
      <c r="AB248" t="str">
        <f>IF('1. Live'!AB248='check-Jul25'!AB248,"",'1. Live'!AB248-'check-Jul25'!AB248)</f>
        <v/>
      </c>
      <c r="AC248" t="str">
        <f>IF('1. Live'!AC248='check-Jul25'!AC248,"",'1. Live'!AC248-'check-Jul25'!AC248)</f>
        <v/>
      </c>
      <c r="AD248" t="str">
        <f>IF('1. Live'!AD248='check-Jul25'!AD248,"",'1. Live'!AD248-'check-Jul25'!AD248)</f>
        <v/>
      </c>
      <c r="AE248" t="str">
        <f>IF('1. Live'!AE248='check-Jul25'!AE248,"",'1. Live'!AE248-'check-Jul25'!AE248)</f>
        <v/>
      </c>
      <c r="AF248" t="str">
        <f>IF('1. Live'!AF248='check-Jul25'!AF248,"",'1. Live'!AF248-'check-Jul25'!AF248)</f>
        <v/>
      </c>
      <c r="AG248" t="str">
        <f>IF('1. Live'!AG248='check-Jul25'!AG248,"",'1. Live'!AG248-'check-Jul25'!AG248)</f>
        <v/>
      </c>
      <c r="AH248" t="str">
        <f>IF('1. Live'!AH248='check-Jul25'!AH248,"",'1. Live'!AH248-'check-Jul25'!AH248)</f>
        <v/>
      </c>
      <c r="AI248" t="str">
        <f>IF('1. Live'!AI248='check-Jul25'!AI248,"",'1. Live'!AI248-'check-Jul25'!AI248)</f>
        <v/>
      </c>
      <c r="AJ248" t="str">
        <f>IF('1. Live'!AJ248='check-Jul25'!AJ248,"",'1. Live'!AJ248-'check-Jul25'!AJ248)</f>
        <v/>
      </c>
      <c r="AK248" t="str">
        <f>IF('1. Live'!AK248='check-Jul25'!AK248,"",'1. Live'!AK248-'check-Jul25'!AK248)</f>
        <v/>
      </c>
      <c r="AL248" t="str">
        <f>IF('1. Live'!AL248='check-Jul25'!AL248,"",'1. Live'!AL248-'check-Jul25'!AL248)</f>
        <v/>
      </c>
      <c r="AM248" t="str">
        <f>IF('1. Live'!AM248='check-Jul25'!AM248,"",'1. Live'!AM248-'check-Jul25'!AM248)</f>
        <v/>
      </c>
      <c r="AN248" t="str">
        <f>IF('1. Live'!AN248='check-Jul25'!AN248,"",'1. Live'!AN248-'check-Jul25'!AN248)</f>
        <v/>
      </c>
      <c r="AO248" t="str">
        <f>IF('1. Live'!AO248='check-Jul25'!AO248,"",'1. Live'!AO248-'check-Jul25'!AO248)</f>
        <v/>
      </c>
      <c r="AP248" t="str">
        <f>IF('1. Live'!AP248='check-Jul25'!AP248,"",'1. Live'!AP248-'check-Jul25'!AP248)</f>
        <v/>
      </c>
      <c r="AQ248" t="str">
        <f>IF('1. Live'!AQ248='check-Jul25'!AQ248,"",'1. Live'!AQ248-'check-Jul25'!AQ248)</f>
        <v/>
      </c>
      <c r="AR248" t="str">
        <f>IF('1. Live'!AR248='check-Jul25'!AR248,"",'1. Live'!AR248-'check-Jul25'!AR248)</f>
        <v/>
      </c>
      <c r="AS248" t="str">
        <f>IF('1. Live'!AS248='check-Jul25'!AS248,"",'1. Live'!AS248-'check-Jul25'!AS248)</f>
        <v/>
      </c>
      <c r="AT248" t="str">
        <f>IF('1. Live'!AT248='check-Jul25'!AT248,"",'1. Live'!AT248-'check-Jul25'!AT248)</f>
        <v/>
      </c>
      <c r="AU248" t="str">
        <f>IF('1. Live'!AU248='check-Jul25'!AU248,"",'1. Live'!AU248-'check-Jul25'!AU248)</f>
        <v/>
      </c>
      <c r="AV248" t="str">
        <f>IF('1. Live'!AV248='check-Jul25'!AV248,"",'1. Live'!AV248-'check-Jul25'!AV248)</f>
        <v/>
      </c>
      <c r="AW248" t="str">
        <f>IF('1. Live'!AW248='check-Jul25'!AW248,"",'1. Live'!AW248-'check-Jul25'!AW248)</f>
        <v/>
      </c>
      <c r="AX248" t="str">
        <f>IF('1. Live'!AX248='check-Jul25'!AX248,"",'1. Live'!AX248-'check-Jul25'!AX248)</f>
        <v/>
      </c>
      <c r="AY248" t="str">
        <f>IF('1. Live'!AY248='check-Jul25'!AY248,"",'1. Live'!AY248-'check-Jul25'!AY248)</f>
        <v/>
      </c>
      <c r="AZ248" t="str">
        <f>IF('1. Live'!AZ248='check-Jul25'!AZ248,"",'1. Live'!AZ248-'check-Jul25'!AZ248)</f>
        <v/>
      </c>
      <c r="BA248" t="str">
        <f>IF('1. Live'!BA248='check-Jul25'!BA248,"",'1. Live'!BA248-'check-Jul25'!BA248)</f>
        <v/>
      </c>
      <c r="BB248" t="str">
        <f>IF('1. Live'!BB248='check-Jul25'!BB248,"",'1. Live'!BB248-'check-Jul25'!BB248)</f>
        <v/>
      </c>
      <c r="BC248" t="str">
        <f>IF('1. Live'!BC248='check-Jul25'!BC248,"",'1. Live'!BC248-'check-Jul25'!BC248)</f>
        <v/>
      </c>
      <c r="BD248" t="str">
        <f>IF('1. Live'!BD248='check-Jul25'!BD248,"",'1. Live'!BD248-'check-Jul25'!BD248)</f>
        <v/>
      </c>
      <c r="BE248" t="str">
        <f>IF('1. Live'!BE248='check-Jul25'!BE248,"",'1. Live'!BE248-'check-Jul25'!BE248)</f>
        <v/>
      </c>
      <c r="BF248" t="str">
        <f>IF('1. Live'!BF248='check-Jul25'!BF248,"",'1. Live'!BF248-'check-Jul25'!BF248)</f>
        <v/>
      </c>
      <c r="BG248" t="str">
        <f>IF('1. Live'!BG248='check-Jul25'!BG248,"",'1. Live'!BG248-'check-Jul25'!BG248)</f>
        <v/>
      </c>
      <c r="BH248" t="str">
        <f>IF('1. Live'!BH248='check-Jul25'!BH248,"",'1. Live'!BH248-'check-Jul25'!BH248)</f>
        <v/>
      </c>
      <c r="BI248" t="str">
        <f>IF('1. Live'!BI248='check-Jul25'!BI248,"",'1. Live'!BI248-'check-Jul25'!BI248)</f>
        <v/>
      </c>
      <c r="BJ248" t="str">
        <f>IF('1. Live'!BJ248='check-Jul25'!BJ248,"",'1. Live'!BJ248-'check-Jul25'!BJ248)</f>
        <v/>
      </c>
      <c r="BK248" t="str">
        <f>IF('1. Live'!BK248='check-Jul25'!BK248,"",'1. Live'!BK248-'check-Jul25'!BK248)</f>
        <v/>
      </c>
      <c r="BL248" t="str">
        <f>IF('1. Live'!BL248='check-Jul25'!BL248,"",'1. Live'!BL248-'check-Jul25'!BL248)</f>
        <v/>
      </c>
      <c r="BM248" t="str">
        <f>IF('1. Live'!BM248='check-Jul25'!BM248,"",'1. Live'!BM248-'check-Jul25'!BM248)</f>
        <v/>
      </c>
      <c r="BN248" t="str">
        <f>IF('1. Live'!BN248='check-Jul25'!BN248,"",'1. Live'!BN248-'check-Jul25'!BN248)</f>
        <v/>
      </c>
      <c r="BO248" t="str">
        <f>IF('1. Live'!BO248='check-Jul25'!BO248,"",'1. Live'!BO248-'check-Jul25'!BO248)</f>
        <v/>
      </c>
      <c r="BP248" t="str">
        <f>IF('1. Live'!BP248='check-Jul25'!BP248,"",'1. Live'!BP248-'check-Jul25'!BP248)</f>
        <v/>
      </c>
      <c r="BQ248" t="str">
        <f>IF('1. Live'!BQ248='check-Jul25'!BQ248,"",'1. Live'!BQ248-'check-Jul25'!BQ248)</f>
        <v/>
      </c>
      <c r="BR248" t="str">
        <f>IF('1. Live'!BR248='check-Jul25'!BR248,"",'1. Live'!BR248-'check-Jul25'!BR248)</f>
        <v/>
      </c>
      <c r="BS248" t="str">
        <f>IF('1. Live'!BS248='check-Jul25'!BS248,"",'1. Live'!BS248-'check-Jul25'!BS248)</f>
        <v/>
      </c>
      <c r="BT248" t="str">
        <f>IF('1. Live'!BT248='check-Jul25'!BT248,"",'1. Live'!BT248-'check-Jul25'!BT248)</f>
        <v/>
      </c>
      <c r="BU248" t="str">
        <f>IF('1. Live'!BU248='check-Jul25'!BU248,"",'1. Live'!BU248-'check-Jul25'!BU248)</f>
        <v/>
      </c>
      <c r="BV248" t="str">
        <f>IF('1. Live'!BV248='check-Jul25'!BV248,"",'1. Live'!BV248-'check-Jul25'!BV248)</f>
        <v/>
      </c>
      <c r="BW248" t="str">
        <f>IF('1. Live'!BW248='check-Jul25'!BW248,"",'1. Live'!BW248-'check-Jul25'!BW248)</f>
        <v/>
      </c>
      <c r="BX248" t="str">
        <f>IF('1. Live'!BX248='check-Jul25'!BX248,"",'1. Live'!BX248-'check-Jul25'!BX248)</f>
        <v/>
      </c>
      <c r="BY248" t="str">
        <f>IF('1. Live'!BY248='check-Jul25'!BY248,"",'1. Live'!BY248-'check-Jul25'!BY248)</f>
        <v/>
      </c>
      <c r="BZ248" t="str">
        <f>IF('1. Live'!BZ248='check-Jul25'!BZ248,"",'1. Live'!BZ248-'check-Jul25'!BZ248)</f>
        <v/>
      </c>
      <c r="CA248" t="str">
        <f>IF('1. Live'!CA248='check-Jul25'!CA248,"",'1. Live'!CA248-'check-Jul25'!CA248)</f>
        <v/>
      </c>
      <c r="CB248" t="str">
        <f>IF('1. Live'!CB248='check-Jul25'!CB248,"",'1. Live'!CB248-'check-Jul25'!CB248)</f>
        <v/>
      </c>
      <c r="CC248" t="str">
        <f>IF('1. Live'!CC248='check-Jul25'!CC248,"",'1. Live'!CC248-'check-Jul25'!CC248)</f>
        <v/>
      </c>
      <c r="CD248" t="str">
        <f>IF('1. Live'!CD248='check-Jul25'!CD248,"",'1. Live'!CD248-'check-Jul25'!CD248)</f>
        <v/>
      </c>
      <c r="CE248" t="str">
        <f>IF('1. Live'!CE248='check-Jul25'!CE248,"",'1. Live'!CE248-'check-Jul25'!CE248)</f>
        <v/>
      </c>
      <c r="CF248" t="str">
        <f>IF('1. Live'!CF248='check-Jul25'!CF248,"",'1. Live'!CF248-'check-Jul25'!CF248)</f>
        <v/>
      </c>
      <c r="CG248" t="str">
        <f>IF('1. Live'!CG248='check-Jul25'!CG248,"",'1. Live'!CG248-'check-Jul25'!CG248)</f>
        <v/>
      </c>
      <c r="CH248" t="str">
        <f>IF('1. Live'!CH248='check-Jul25'!CH248,"",'1. Live'!CH248-'check-Jul25'!CH248)</f>
        <v/>
      </c>
      <c r="CI248" t="str">
        <f>IF('1. Live'!CI248='check-Jul25'!CI248,"",'1. Live'!CI248-'check-Jul25'!CI248)</f>
        <v/>
      </c>
      <c r="CJ248" t="str">
        <f>IF('1. Live'!CJ248='check-Jul25'!CJ248,"",'1. Live'!CJ248-'check-Jul25'!CJ248)</f>
        <v/>
      </c>
      <c r="CK248" t="str">
        <f>IF('1. Live'!CK248='check-Jul25'!CK248,"",'1. Live'!CK248-'check-Jul25'!CK248)</f>
        <v/>
      </c>
      <c r="CL248" t="str">
        <f>IF('1. Live'!CL248='check-Jul25'!CL248,"",'1. Live'!CL248-'check-Jul25'!CL248)</f>
        <v/>
      </c>
      <c r="CM248" t="str">
        <f>IF('1. Live'!CM248='check-Jul25'!CM248,"",'1. Live'!CM248-'check-Jul25'!CM248)</f>
        <v/>
      </c>
      <c r="CN248" t="str">
        <f>IF('1. Live'!CN248='check-Jul25'!CN248,"",'1. Live'!CN248-'check-Jul25'!CN248)</f>
        <v/>
      </c>
      <c r="CO248" t="str">
        <f>IF('1. Live'!CO248='check-Jul25'!CO248,"",'1. Live'!CO248-'check-Jul25'!CO248)</f>
        <v/>
      </c>
      <c r="CP248" t="str">
        <f>IF('1. Live'!CP248='check-Jul25'!CP248,"",'1. Live'!CP248-'check-Jul25'!CP248)</f>
        <v/>
      </c>
      <c r="CQ248" t="str">
        <f>IF('1. Live'!CQ248='check-Jul25'!CQ248,"",'1. Live'!CQ248-'check-Jul25'!CQ248)</f>
        <v/>
      </c>
      <c r="CR248" t="str">
        <f>IF('1. Live'!CR248='check-Jul25'!CR248,"",'1. Live'!CR248-'check-Jul25'!CR248)</f>
        <v/>
      </c>
      <c r="CS248" t="str">
        <f>IF('1. Live'!CS248='check-Jul25'!CS248,"",'1. Live'!CS248-'check-Jul25'!CS248)</f>
        <v/>
      </c>
      <c r="CT248" t="str">
        <f>IF('1. Live'!CT248='check-Jul25'!CT248,"",'1. Live'!CT248-'check-Jul25'!CT248)</f>
        <v/>
      </c>
      <c r="CU248" t="str">
        <f>IF('1. Live'!CU248='check-Jul25'!CU248,"",'1. Live'!CU248-'check-Jul25'!CU248)</f>
        <v/>
      </c>
      <c r="CV248" t="str">
        <f>IF('1. Live'!CV248='check-Jul25'!CV248,"",'1. Live'!CV248-'check-Jul25'!CV248)</f>
        <v/>
      </c>
      <c r="CW248" t="str">
        <f>IF('1. Live'!CW248='check-Jul25'!CW248,"",'1. Live'!CW248-'check-Jul25'!CW248)</f>
        <v/>
      </c>
    </row>
    <row r="249" spans="10:101">
      <c r="J249" t="str">
        <f>IF('1. Live'!J249='check-Jul25'!J249,"",'1. Live'!J249-'check-Jul25'!J249)</f>
        <v/>
      </c>
      <c r="K249" t="str">
        <f>IF('1. Live'!K249='check-Jul25'!K249,"",'1. Live'!K249-'check-Jul25'!K249)</f>
        <v/>
      </c>
      <c r="L249" t="str">
        <f>IF('1. Live'!L249='check-Jul25'!L249,"",'1. Live'!L249-'check-Jul25'!L249)</f>
        <v/>
      </c>
      <c r="M249" t="str">
        <f>IF('1. Live'!M249='check-Jul25'!M249,"",'1. Live'!M249-'check-Jul25'!M249)</f>
        <v/>
      </c>
      <c r="N249" t="str">
        <f>IF('1. Live'!N249='check-Jul25'!N249,"",'1. Live'!N249-'check-Jul25'!N249)</f>
        <v/>
      </c>
      <c r="O249" t="str">
        <f>IF('1. Live'!O249='check-Jul25'!O249,"",'1. Live'!O249-'check-Jul25'!O249)</f>
        <v/>
      </c>
      <c r="P249" t="str">
        <f>IF('1. Live'!P249='check-Jul25'!P249,"",'1. Live'!P249-'check-Jul25'!P249)</f>
        <v/>
      </c>
      <c r="Q249" t="str">
        <f>IF('1. Live'!Q249='check-Jul25'!Q249,"",'1. Live'!Q249-'check-Jul25'!Q249)</f>
        <v/>
      </c>
      <c r="R249" t="str">
        <f>IF('1. Live'!R249='check-Jul25'!R249,"",'1. Live'!R249-'check-Jul25'!R249)</f>
        <v/>
      </c>
      <c r="S249" t="str">
        <f>IF('1. Live'!S249='check-Jul25'!S249,"",'1. Live'!S249-'check-Jul25'!S249)</f>
        <v/>
      </c>
      <c r="T249" t="str">
        <f>IF('1. Live'!T249='check-Jul25'!T249,"",'1. Live'!T249-'check-Jul25'!T249)</f>
        <v/>
      </c>
      <c r="U249" t="str">
        <f>IF('1. Live'!U249='check-Jul25'!U249,"",'1. Live'!U249-'check-Jul25'!U249)</f>
        <v/>
      </c>
      <c r="V249" t="str">
        <f>IF('1. Live'!V249='check-Jul25'!V249,"",'1. Live'!V249-'check-Jul25'!V249)</f>
        <v/>
      </c>
      <c r="W249" t="str">
        <f>IF('1. Live'!W249='check-Jul25'!W249,"",'1. Live'!W249-'check-Jul25'!W249)</f>
        <v/>
      </c>
      <c r="X249" t="str">
        <f>IF('1. Live'!X249='check-Jul25'!X249,"",'1. Live'!X249-'check-Jul25'!X249)</f>
        <v/>
      </c>
      <c r="Y249" t="str">
        <f>IF('1. Live'!Y249='check-Jul25'!Y249,"",'1. Live'!Y249-'check-Jul25'!Y249)</f>
        <v/>
      </c>
      <c r="Z249" t="str">
        <f>IF('1. Live'!Z249='check-Jul25'!Z249,"",'1. Live'!Z249-'check-Jul25'!Z249)</f>
        <v/>
      </c>
      <c r="AA249" t="str">
        <f>IF('1. Live'!AA249='check-Jul25'!AA249,"",'1. Live'!AA249-'check-Jul25'!AA249)</f>
        <v/>
      </c>
      <c r="AB249" t="str">
        <f>IF('1. Live'!AB249='check-Jul25'!AB249,"",'1. Live'!AB249-'check-Jul25'!AB249)</f>
        <v/>
      </c>
      <c r="AC249" t="str">
        <f>IF('1. Live'!AC249='check-Jul25'!AC249,"",'1. Live'!AC249-'check-Jul25'!AC249)</f>
        <v/>
      </c>
      <c r="AD249" t="str">
        <f>IF('1. Live'!AD249='check-Jul25'!AD249,"",'1. Live'!AD249-'check-Jul25'!AD249)</f>
        <v/>
      </c>
      <c r="AE249" t="str">
        <f>IF('1. Live'!AE249='check-Jul25'!AE249,"",'1. Live'!AE249-'check-Jul25'!AE249)</f>
        <v/>
      </c>
      <c r="AF249" t="str">
        <f>IF('1. Live'!AF249='check-Jul25'!AF249,"",'1. Live'!AF249-'check-Jul25'!AF249)</f>
        <v/>
      </c>
      <c r="AG249" t="str">
        <f>IF('1. Live'!AG249='check-Jul25'!AG249,"",'1. Live'!AG249-'check-Jul25'!AG249)</f>
        <v/>
      </c>
      <c r="AH249" t="str">
        <f>IF('1. Live'!AH249='check-Jul25'!AH249,"",'1. Live'!AH249-'check-Jul25'!AH249)</f>
        <v/>
      </c>
      <c r="AI249" t="str">
        <f>IF('1. Live'!AI249='check-Jul25'!AI249,"",'1. Live'!AI249-'check-Jul25'!AI249)</f>
        <v/>
      </c>
      <c r="AJ249" t="str">
        <f>IF('1. Live'!AJ249='check-Jul25'!AJ249,"",'1. Live'!AJ249-'check-Jul25'!AJ249)</f>
        <v/>
      </c>
      <c r="AK249" t="str">
        <f>IF('1. Live'!AK249='check-Jul25'!AK249,"",'1. Live'!AK249-'check-Jul25'!AK249)</f>
        <v/>
      </c>
      <c r="AL249" t="str">
        <f>IF('1. Live'!AL249='check-Jul25'!AL249,"",'1. Live'!AL249-'check-Jul25'!AL249)</f>
        <v/>
      </c>
      <c r="AM249" t="str">
        <f>IF('1. Live'!AM249='check-Jul25'!AM249,"",'1. Live'!AM249-'check-Jul25'!AM249)</f>
        <v/>
      </c>
      <c r="AN249" t="str">
        <f>IF('1. Live'!AN249='check-Jul25'!AN249,"",'1. Live'!AN249-'check-Jul25'!AN249)</f>
        <v/>
      </c>
      <c r="AO249" t="str">
        <f>IF('1. Live'!AO249='check-Jul25'!AO249,"",'1. Live'!AO249-'check-Jul25'!AO249)</f>
        <v/>
      </c>
      <c r="AP249" t="str">
        <f>IF('1. Live'!AP249='check-Jul25'!AP249,"",'1. Live'!AP249-'check-Jul25'!AP249)</f>
        <v/>
      </c>
      <c r="AQ249" t="str">
        <f>IF('1. Live'!AQ249='check-Jul25'!AQ249,"",'1. Live'!AQ249-'check-Jul25'!AQ249)</f>
        <v/>
      </c>
      <c r="AR249" t="str">
        <f>IF('1. Live'!AR249='check-Jul25'!AR249,"",'1. Live'!AR249-'check-Jul25'!AR249)</f>
        <v/>
      </c>
      <c r="AS249" t="str">
        <f>IF('1. Live'!AS249='check-Jul25'!AS249,"",'1. Live'!AS249-'check-Jul25'!AS249)</f>
        <v/>
      </c>
      <c r="AT249" t="str">
        <f>IF('1. Live'!AT249='check-Jul25'!AT249,"",'1. Live'!AT249-'check-Jul25'!AT249)</f>
        <v/>
      </c>
      <c r="AU249" t="str">
        <f>IF('1. Live'!AU249='check-Jul25'!AU249,"",'1. Live'!AU249-'check-Jul25'!AU249)</f>
        <v/>
      </c>
      <c r="AV249" t="str">
        <f>IF('1. Live'!AV249='check-Jul25'!AV249,"",'1. Live'!AV249-'check-Jul25'!AV249)</f>
        <v/>
      </c>
      <c r="AW249" t="str">
        <f>IF('1. Live'!AW249='check-Jul25'!AW249,"",'1. Live'!AW249-'check-Jul25'!AW249)</f>
        <v/>
      </c>
      <c r="AX249" t="str">
        <f>IF('1. Live'!AX249='check-Jul25'!AX249,"",'1. Live'!AX249-'check-Jul25'!AX249)</f>
        <v/>
      </c>
      <c r="AY249" t="str">
        <f>IF('1. Live'!AY249='check-Jul25'!AY249,"",'1. Live'!AY249-'check-Jul25'!AY249)</f>
        <v/>
      </c>
      <c r="AZ249" t="str">
        <f>IF('1. Live'!AZ249='check-Jul25'!AZ249,"",'1. Live'!AZ249-'check-Jul25'!AZ249)</f>
        <v/>
      </c>
      <c r="BA249" t="str">
        <f>IF('1. Live'!BA249='check-Jul25'!BA249,"",'1. Live'!BA249-'check-Jul25'!BA249)</f>
        <v/>
      </c>
      <c r="BB249" t="str">
        <f>IF('1. Live'!BB249='check-Jul25'!BB249,"",'1. Live'!BB249-'check-Jul25'!BB249)</f>
        <v/>
      </c>
      <c r="BC249" t="str">
        <f>IF('1. Live'!BC249='check-Jul25'!BC249,"",'1. Live'!BC249-'check-Jul25'!BC249)</f>
        <v/>
      </c>
      <c r="BD249" t="str">
        <f>IF('1. Live'!BD249='check-Jul25'!BD249,"",'1. Live'!BD249-'check-Jul25'!BD249)</f>
        <v/>
      </c>
      <c r="BE249" t="str">
        <f>IF('1. Live'!BE249='check-Jul25'!BE249,"",'1. Live'!BE249-'check-Jul25'!BE249)</f>
        <v/>
      </c>
      <c r="BF249" t="str">
        <f>IF('1. Live'!BF249='check-Jul25'!BF249,"",'1. Live'!BF249-'check-Jul25'!BF249)</f>
        <v/>
      </c>
      <c r="BG249" t="str">
        <f>IF('1. Live'!BG249='check-Jul25'!BG249,"",'1. Live'!BG249-'check-Jul25'!BG249)</f>
        <v/>
      </c>
      <c r="BH249" t="str">
        <f>IF('1. Live'!BH249='check-Jul25'!BH249,"",'1. Live'!BH249-'check-Jul25'!BH249)</f>
        <v/>
      </c>
      <c r="BI249" t="str">
        <f>IF('1. Live'!BI249='check-Jul25'!BI249,"",'1. Live'!BI249-'check-Jul25'!BI249)</f>
        <v/>
      </c>
      <c r="BJ249" t="str">
        <f>IF('1. Live'!BJ249='check-Jul25'!BJ249,"",'1. Live'!BJ249-'check-Jul25'!BJ249)</f>
        <v/>
      </c>
      <c r="BK249" t="str">
        <f>IF('1. Live'!BK249='check-Jul25'!BK249,"",'1. Live'!BK249-'check-Jul25'!BK249)</f>
        <v/>
      </c>
      <c r="BL249" t="str">
        <f>IF('1. Live'!BL249='check-Jul25'!BL249,"",'1. Live'!BL249-'check-Jul25'!BL249)</f>
        <v/>
      </c>
      <c r="BM249" t="str">
        <f>IF('1. Live'!BM249='check-Jul25'!BM249,"",'1. Live'!BM249-'check-Jul25'!BM249)</f>
        <v/>
      </c>
      <c r="BN249" t="str">
        <f>IF('1. Live'!BN249='check-Jul25'!BN249,"",'1. Live'!BN249-'check-Jul25'!BN249)</f>
        <v/>
      </c>
      <c r="BO249" t="str">
        <f>IF('1. Live'!BO249='check-Jul25'!BO249,"",'1. Live'!BO249-'check-Jul25'!BO249)</f>
        <v/>
      </c>
      <c r="BP249" t="str">
        <f>IF('1. Live'!BP249='check-Jul25'!BP249,"",'1. Live'!BP249-'check-Jul25'!BP249)</f>
        <v/>
      </c>
      <c r="BQ249" t="str">
        <f>IF('1. Live'!BQ249='check-Jul25'!BQ249,"",'1. Live'!BQ249-'check-Jul25'!BQ249)</f>
        <v/>
      </c>
      <c r="BR249" t="str">
        <f>IF('1. Live'!BR249='check-Jul25'!BR249,"",'1. Live'!BR249-'check-Jul25'!BR249)</f>
        <v/>
      </c>
      <c r="BS249" t="str">
        <f>IF('1. Live'!BS249='check-Jul25'!BS249,"",'1. Live'!BS249-'check-Jul25'!BS249)</f>
        <v/>
      </c>
      <c r="BT249" t="str">
        <f>IF('1. Live'!BT249='check-Jul25'!BT249,"",'1. Live'!BT249-'check-Jul25'!BT249)</f>
        <v/>
      </c>
      <c r="BU249" t="str">
        <f>IF('1. Live'!BU249='check-Jul25'!BU249,"",'1. Live'!BU249-'check-Jul25'!BU249)</f>
        <v/>
      </c>
      <c r="BV249" t="str">
        <f>IF('1. Live'!BV249='check-Jul25'!BV249,"",'1. Live'!BV249-'check-Jul25'!BV249)</f>
        <v/>
      </c>
      <c r="BW249" t="str">
        <f>IF('1. Live'!BW249='check-Jul25'!BW249,"",'1. Live'!BW249-'check-Jul25'!BW249)</f>
        <v/>
      </c>
      <c r="BX249" t="str">
        <f>IF('1. Live'!BX249='check-Jul25'!BX249,"",'1. Live'!BX249-'check-Jul25'!BX249)</f>
        <v/>
      </c>
      <c r="BY249" t="str">
        <f>IF('1. Live'!BY249='check-Jul25'!BY249,"",'1. Live'!BY249-'check-Jul25'!BY249)</f>
        <v/>
      </c>
      <c r="BZ249" t="str">
        <f>IF('1. Live'!BZ249='check-Jul25'!BZ249,"",'1. Live'!BZ249-'check-Jul25'!BZ249)</f>
        <v/>
      </c>
      <c r="CA249" t="str">
        <f>IF('1. Live'!CA249='check-Jul25'!CA249,"",'1. Live'!CA249-'check-Jul25'!CA249)</f>
        <v/>
      </c>
      <c r="CB249" t="str">
        <f>IF('1. Live'!CB249='check-Jul25'!CB249,"",'1. Live'!CB249-'check-Jul25'!CB249)</f>
        <v/>
      </c>
      <c r="CC249" t="str">
        <f>IF('1. Live'!CC249='check-Jul25'!CC249,"",'1. Live'!CC249-'check-Jul25'!CC249)</f>
        <v/>
      </c>
      <c r="CD249" t="str">
        <f>IF('1. Live'!CD249='check-Jul25'!CD249,"",'1. Live'!CD249-'check-Jul25'!CD249)</f>
        <v/>
      </c>
      <c r="CE249" t="str">
        <f>IF('1. Live'!CE249='check-Jul25'!CE249,"",'1. Live'!CE249-'check-Jul25'!CE249)</f>
        <v/>
      </c>
      <c r="CF249" t="str">
        <f>IF('1. Live'!CF249='check-Jul25'!CF249,"",'1. Live'!CF249-'check-Jul25'!CF249)</f>
        <v/>
      </c>
      <c r="CG249" t="str">
        <f>IF('1. Live'!CG249='check-Jul25'!CG249,"",'1. Live'!CG249-'check-Jul25'!CG249)</f>
        <v/>
      </c>
      <c r="CH249" t="str">
        <f>IF('1. Live'!CH249='check-Jul25'!CH249,"",'1. Live'!CH249-'check-Jul25'!CH249)</f>
        <v/>
      </c>
      <c r="CI249" t="str">
        <f>IF('1. Live'!CI249='check-Jul25'!CI249,"",'1. Live'!CI249-'check-Jul25'!CI249)</f>
        <v/>
      </c>
      <c r="CJ249" t="str">
        <f>IF('1. Live'!CJ249='check-Jul25'!CJ249,"",'1. Live'!CJ249-'check-Jul25'!CJ249)</f>
        <v/>
      </c>
      <c r="CK249" t="str">
        <f>IF('1. Live'!CK249='check-Jul25'!CK249,"",'1. Live'!CK249-'check-Jul25'!CK249)</f>
        <v/>
      </c>
      <c r="CL249" t="str">
        <f>IF('1. Live'!CL249='check-Jul25'!CL249,"",'1. Live'!CL249-'check-Jul25'!CL249)</f>
        <v/>
      </c>
      <c r="CM249" t="str">
        <f>IF('1. Live'!CM249='check-Jul25'!CM249,"",'1. Live'!CM249-'check-Jul25'!CM249)</f>
        <v/>
      </c>
      <c r="CN249" t="str">
        <f>IF('1. Live'!CN249='check-Jul25'!CN249,"",'1. Live'!CN249-'check-Jul25'!CN249)</f>
        <v/>
      </c>
      <c r="CO249" t="str">
        <f>IF('1. Live'!CO249='check-Jul25'!CO249,"",'1. Live'!CO249-'check-Jul25'!CO249)</f>
        <v/>
      </c>
      <c r="CP249" t="str">
        <f>IF('1. Live'!CP249='check-Jul25'!CP249,"",'1. Live'!CP249-'check-Jul25'!CP249)</f>
        <v/>
      </c>
      <c r="CQ249" t="str">
        <f>IF('1. Live'!CQ249='check-Jul25'!CQ249,"",'1. Live'!CQ249-'check-Jul25'!CQ249)</f>
        <v/>
      </c>
      <c r="CR249" t="str">
        <f>IF('1. Live'!CR249='check-Jul25'!CR249,"",'1. Live'!CR249-'check-Jul25'!CR249)</f>
        <v/>
      </c>
      <c r="CS249" t="str">
        <f>IF('1. Live'!CS249='check-Jul25'!CS249,"",'1. Live'!CS249-'check-Jul25'!CS249)</f>
        <v/>
      </c>
      <c r="CT249" t="str">
        <f>IF('1. Live'!CT249='check-Jul25'!CT249,"",'1. Live'!CT249-'check-Jul25'!CT249)</f>
        <v/>
      </c>
      <c r="CU249" t="str">
        <f>IF('1. Live'!CU249='check-Jul25'!CU249,"",'1. Live'!CU249-'check-Jul25'!CU249)</f>
        <v/>
      </c>
      <c r="CV249" t="str">
        <f>IF('1. Live'!CV249='check-Jul25'!CV249,"",'1. Live'!CV249-'check-Jul25'!CV249)</f>
        <v/>
      </c>
      <c r="CW249" t="str">
        <f>IF('1. Live'!CW249='check-Jul25'!CW249,"",'1. Live'!CW249-'check-Jul25'!CW249)</f>
        <v/>
      </c>
    </row>
    <row r="250" spans="10:101">
      <c r="J250" t="str">
        <f>IF('1. Live'!J250='check-Jul25'!J250,"",'1. Live'!J250-'check-Jul25'!J250)</f>
        <v/>
      </c>
      <c r="K250" t="str">
        <f>IF('1. Live'!K250='check-Jul25'!K250,"",'1. Live'!K250-'check-Jul25'!K250)</f>
        <v/>
      </c>
      <c r="L250" t="str">
        <f>IF('1. Live'!L250='check-Jul25'!L250,"",'1. Live'!L250-'check-Jul25'!L250)</f>
        <v/>
      </c>
      <c r="M250" t="str">
        <f>IF('1. Live'!M250='check-Jul25'!M250,"",'1. Live'!M250-'check-Jul25'!M250)</f>
        <v/>
      </c>
      <c r="N250" t="str">
        <f>IF('1. Live'!N250='check-Jul25'!N250,"",'1. Live'!N250-'check-Jul25'!N250)</f>
        <v/>
      </c>
      <c r="O250" t="str">
        <f>IF('1. Live'!O250='check-Jul25'!O250,"",'1. Live'!O250-'check-Jul25'!O250)</f>
        <v/>
      </c>
      <c r="P250" t="str">
        <f>IF('1. Live'!P250='check-Jul25'!P250,"",'1. Live'!P250-'check-Jul25'!P250)</f>
        <v/>
      </c>
      <c r="Q250" t="str">
        <f>IF('1. Live'!Q250='check-Jul25'!Q250,"",'1. Live'!Q250-'check-Jul25'!Q250)</f>
        <v/>
      </c>
      <c r="R250" t="str">
        <f>IF('1. Live'!R250='check-Jul25'!R250,"",'1. Live'!R250-'check-Jul25'!R250)</f>
        <v/>
      </c>
      <c r="S250" t="str">
        <f>IF('1. Live'!S250='check-Jul25'!S250,"",'1. Live'!S250-'check-Jul25'!S250)</f>
        <v/>
      </c>
      <c r="T250" t="str">
        <f>IF('1. Live'!T250='check-Jul25'!T250,"",'1. Live'!T250-'check-Jul25'!T250)</f>
        <v/>
      </c>
      <c r="U250" t="str">
        <f>IF('1. Live'!U250='check-Jul25'!U250,"",'1. Live'!U250-'check-Jul25'!U250)</f>
        <v/>
      </c>
      <c r="V250" t="str">
        <f>IF('1. Live'!V250='check-Jul25'!V250,"",'1. Live'!V250-'check-Jul25'!V250)</f>
        <v/>
      </c>
      <c r="W250" t="str">
        <f>IF('1. Live'!W250='check-Jul25'!W250,"",'1. Live'!W250-'check-Jul25'!W250)</f>
        <v/>
      </c>
      <c r="X250" t="str">
        <f>IF('1. Live'!X250='check-Jul25'!X250,"",'1. Live'!X250-'check-Jul25'!X250)</f>
        <v/>
      </c>
      <c r="Y250" t="str">
        <f>IF('1. Live'!Y250='check-Jul25'!Y250,"",'1. Live'!Y250-'check-Jul25'!Y250)</f>
        <v/>
      </c>
      <c r="Z250" t="str">
        <f>IF('1. Live'!Z250='check-Jul25'!Z250,"",'1. Live'!Z250-'check-Jul25'!Z250)</f>
        <v/>
      </c>
      <c r="AA250" t="str">
        <f>IF('1. Live'!AA250='check-Jul25'!AA250,"",'1. Live'!AA250-'check-Jul25'!AA250)</f>
        <v/>
      </c>
      <c r="AB250" t="str">
        <f>IF('1. Live'!AB250='check-Jul25'!AB250,"",'1. Live'!AB250-'check-Jul25'!AB250)</f>
        <v/>
      </c>
      <c r="AC250" t="str">
        <f>IF('1. Live'!AC250='check-Jul25'!AC250,"",'1. Live'!AC250-'check-Jul25'!AC250)</f>
        <v/>
      </c>
      <c r="AD250" t="str">
        <f>IF('1. Live'!AD250='check-Jul25'!AD250,"",'1. Live'!AD250-'check-Jul25'!AD250)</f>
        <v/>
      </c>
      <c r="AE250" t="str">
        <f>IF('1. Live'!AE250='check-Jul25'!AE250,"",'1. Live'!AE250-'check-Jul25'!AE250)</f>
        <v/>
      </c>
      <c r="AF250" t="str">
        <f>IF('1. Live'!AF250='check-Jul25'!AF250,"",'1. Live'!AF250-'check-Jul25'!AF250)</f>
        <v/>
      </c>
      <c r="AG250" t="str">
        <f>IF('1. Live'!AG250='check-Jul25'!AG250,"",'1. Live'!AG250-'check-Jul25'!AG250)</f>
        <v/>
      </c>
      <c r="AH250" t="str">
        <f>IF('1. Live'!AH250='check-Jul25'!AH250,"",'1. Live'!AH250-'check-Jul25'!AH250)</f>
        <v/>
      </c>
      <c r="AI250" t="str">
        <f>IF('1. Live'!AI250='check-Jul25'!AI250,"",'1. Live'!AI250-'check-Jul25'!AI250)</f>
        <v/>
      </c>
      <c r="AJ250" t="str">
        <f>IF('1. Live'!AJ250='check-Jul25'!AJ250,"",'1. Live'!AJ250-'check-Jul25'!AJ250)</f>
        <v/>
      </c>
      <c r="AK250" t="str">
        <f>IF('1. Live'!AK250='check-Jul25'!AK250,"",'1. Live'!AK250-'check-Jul25'!AK250)</f>
        <v/>
      </c>
      <c r="AL250" t="str">
        <f>IF('1. Live'!AL250='check-Jul25'!AL250,"",'1. Live'!AL250-'check-Jul25'!AL250)</f>
        <v/>
      </c>
      <c r="AM250" t="str">
        <f>IF('1. Live'!AM250='check-Jul25'!AM250,"",'1. Live'!AM250-'check-Jul25'!AM250)</f>
        <v/>
      </c>
      <c r="AN250" t="str">
        <f>IF('1. Live'!AN250='check-Jul25'!AN250,"",'1. Live'!AN250-'check-Jul25'!AN250)</f>
        <v/>
      </c>
      <c r="AO250" t="str">
        <f>IF('1. Live'!AO250='check-Jul25'!AO250,"",'1. Live'!AO250-'check-Jul25'!AO250)</f>
        <v/>
      </c>
      <c r="AP250" t="str">
        <f>IF('1. Live'!AP250='check-Jul25'!AP250,"",'1. Live'!AP250-'check-Jul25'!AP250)</f>
        <v/>
      </c>
      <c r="AQ250" t="str">
        <f>IF('1. Live'!AQ250='check-Jul25'!AQ250,"",'1. Live'!AQ250-'check-Jul25'!AQ250)</f>
        <v/>
      </c>
      <c r="AR250" t="str">
        <f>IF('1. Live'!AR250='check-Jul25'!AR250,"",'1. Live'!AR250-'check-Jul25'!AR250)</f>
        <v/>
      </c>
      <c r="AS250" t="str">
        <f>IF('1. Live'!AS250='check-Jul25'!AS250,"",'1. Live'!AS250-'check-Jul25'!AS250)</f>
        <v/>
      </c>
      <c r="AT250" t="str">
        <f>IF('1. Live'!AT250='check-Jul25'!AT250,"",'1. Live'!AT250-'check-Jul25'!AT250)</f>
        <v/>
      </c>
      <c r="AU250" t="str">
        <f>IF('1. Live'!AU250='check-Jul25'!AU250,"",'1. Live'!AU250-'check-Jul25'!AU250)</f>
        <v/>
      </c>
      <c r="AV250" t="str">
        <f>IF('1. Live'!AV250='check-Jul25'!AV250,"",'1. Live'!AV250-'check-Jul25'!AV250)</f>
        <v/>
      </c>
      <c r="AW250" t="str">
        <f>IF('1. Live'!AW250='check-Jul25'!AW250,"",'1. Live'!AW250-'check-Jul25'!AW250)</f>
        <v/>
      </c>
      <c r="AX250" t="str">
        <f>IF('1. Live'!AX250='check-Jul25'!AX250,"",'1. Live'!AX250-'check-Jul25'!AX250)</f>
        <v/>
      </c>
      <c r="AY250" t="str">
        <f>IF('1. Live'!AY250='check-Jul25'!AY250,"",'1. Live'!AY250-'check-Jul25'!AY250)</f>
        <v/>
      </c>
      <c r="AZ250" t="str">
        <f>IF('1. Live'!AZ250='check-Jul25'!AZ250,"",'1. Live'!AZ250-'check-Jul25'!AZ250)</f>
        <v/>
      </c>
      <c r="BA250" t="str">
        <f>IF('1. Live'!BA250='check-Jul25'!BA250,"",'1. Live'!BA250-'check-Jul25'!BA250)</f>
        <v/>
      </c>
      <c r="BB250" t="str">
        <f>IF('1. Live'!BB250='check-Jul25'!BB250,"",'1. Live'!BB250-'check-Jul25'!BB250)</f>
        <v/>
      </c>
      <c r="BC250" t="str">
        <f>IF('1. Live'!BC250='check-Jul25'!BC250,"",'1. Live'!BC250-'check-Jul25'!BC250)</f>
        <v/>
      </c>
      <c r="BD250" t="str">
        <f>IF('1. Live'!BD250='check-Jul25'!BD250,"",'1. Live'!BD250-'check-Jul25'!BD250)</f>
        <v/>
      </c>
      <c r="BE250" t="str">
        <f>IF('1. Live'!BE250='check-Jul25'!BE250,"",'1. Live'!BE250-'check-Jul25'!BE250)</f>
        <v/>
      </c>
      <c r="BF250" t="str">
        <f>IF('1. Live'!BF250='check-Jul25'!BF250,"",'1. Live'!BF250-'check-Jul25'!BF250)</f>
        <v/>
      </c>
      <c r="BG250" t="str">
        <f>IF('1. Live'!BG250='check-Jul25'!BG250,"",'1. Live'!BG250-'check-Jul25'!BG250)</f>
        <v/>
      </c>
      <c r="BH250" t="str">
        <f>IF('1. Live'!BH250='check-Jul25'!BH250,"",'1. Live'!BH250-'check-Jul25'!BH250)</f>
        <v/>
      </c>
      <c r="BI250" t="str">
        <f>IF('1. Live'!BI250='check-Jul25'!BI250,"",'1. Live'!BI250-'check-Jul25'!BI250)</f>
        <v/>
      </c>
      <c r="BJ250" t="str">
        <f>IF('1. Live'!BJ250='check-Jul25'!BJ250,"",'1. Live'!BJ250-'check-Jul25'!BJ250)</f>
        <v/>
      </c>
      <c r="BK250" t="str">
        <f>IF('1. Live'!BK250='check-Jul25'!BK250,"",'1. Live'!BK250-'check-Jul25'!BK250)</f>
        <v/>
      </c>
      <c r="BL250" t="str">
        <f>IF('1. Live'!BL250='check-Jul25'!BL250,"",'1. Live'!BL250-'check-Jul25'!BL250)</f>
        <v/>
      </c>
      <c r="BM250" t="str">
        <f>IF('1. Live'!BM250='check-Jul25'!BM250,"",'1. Live'!BM250-'check-Jul25'!BM250)</f>
        <v/>
      </c>
      <c r="BN250" t="str">
        <f>IF('1. Live'!BN250='check-Jul25'!BN250,"",'1. Live'!BN250-'check-Jul25'!BN250)</f>
        <v/>
      </c>
      <c r="BO250" t="str">
        <f>IF('1. Live'!BO250='check-Jul25'!BO250,"",'1. Live'!BO250-'check-Jul25'!BO250)</f>
        <v/>
      </c>
      <c r="BP250" t="str">
        <f>IF('1. Live'!BP250='check-Jul25'!BP250,"",'1. Live'!BP250-'check-Jul25'!BP250)</f>
        <v/>
      </c>
      <c r="BQ250" t="str">
        <f>IF('1. Live'!BQ250='check-Jul25'!BQ250,"",'1. Live'!BQ250-'check-Jul25'!BQ250)</f>
        <v/>
      </c>
      <c r="BR250" t="str">
        <f>IF('1. Live'!BR250='check-Jul25'!BR250,"",'1. Live'!BR250-'check-Jul25'!BR250)</f>
        <v/>
      </c>
      <c r="BS250" t="str">
        <f>IF('1. Live'!BS250='check-Jul25'!BS250,"",'1. Live'!BS250-'check-Jul25'!BS250)</f>
        <v/>
      </c>
      <c r="BT250" t="str">
        <f>IF('1. Live'!BT250='check-Jul25'!BT250,"",'1. Live'!BT250-'check-Jul25'!BT250)</f>
        <v/>
      </c>
      <c r="BU250" t="str">
        <f>IF('1. Live'!BU250='check-Jul25'!BU250,"",'1. Live'!BU250-'check-Jul25'!BU250)</f>
        <v/>
      </c>
      <c r="BV250" t="str">
        <f>IF('1. Live'!BV250='check-Jul25'!BV250,"",'1. Live'!BV250-'check-Jul25'!BV250)</f>
        <v/>
      </c>
      <c r="BW250" t="str">
        <f>IF('1. Live'!BW250='check-Jul25'!BW250,"",'1. Live'!BW250-'check-Jul25'!BW250)</f>
        <v/>
      </c>
      <c r="BX250" t="str">
        <f>IF('1. Live'!BX250='check-Jul25'!BX250,"",'1. Live'!BX250-'check-Jul25'!BX250)</f>
        <v/>
      </c>
      <c r="BY250" t="str">
        <f>IF('1. Live'!BY250='check-Jul25'!BY250,"",'1. Live'!BY250-'check-Jul25'!BY250)</f>
        <v/>
      </c>
      <c r="BZ250" t="str">
        <f>IF('1. Live'!BZ250='check-Jul25'!BZ250,"",'1. Live'!BZ250-'check-Jul25'!BZ250)</f>
        <v/>
      </c>
      <c r="CA250" t="str">
        <f>IF('1. Live'!CA250='check-Jul25'!CA250,"",'1. Live'!CA250-'check-Jul25'!CA250)</f>
        <v/>
      </c>
      <c r="CB250" t="str">
        <f>IF('1. Live'!CB250='check-Jul25'!CB250,"",'1. Live'!CB250-'check-Jul25'!CB250)</f>
        <v/>
      </c>
      <c r="CC250" t="str">
        <f>IF('1. Live'!CC250='check-Jul25'!CC250,"",'1. Live'!CC250-'check-Jul25'!CC250)</f>
        <v/>
      </c>
      <c r="CD250" t="str">
        <f>IF('1. Live'!CD250='check-Jul25'!CD250,"",'1. Live'!CD250-'check-Jul25'!CD250)</f>
        <v/>
      </c>
      <c r="CE250" t="str">
        <f>IF('1. Live'!CE250='check-Jul25'!CE250,"",'1. Live'!CE250-'check-Jul25'!CE250)</f>
        <v/>
      </c>
      <c r="CF250" t="str">
        <f>IF('1. Live'!CF250='check-Jul25'!CF250,"",'1. Live'!CF250-'check-Jul25'!CF250)</f>
        <v/>
      </c>
      <c r="CG250" t="str">
        <f>IF('1. Live'!CG250='check-Jul25'!CG250,"",'1. Live'!CG250-'check-Jul25'!CG250)</f>
        <v/>
      </c>
      <c r="CH250" t="str">
        <f>IF('1. Live'!CH250='check-Jul25'!CH250,"",'1. Live'!CH250-'check-Jul25'!CH250)</f>
        <v/>
      </c>
      <c r="CI250" t="str">
        <f>IF('1. Live'!CI250='check-Jul25'!CI250,"",'1. Live'!CI250-'check-Jul25'!CI250)</f>
        <v/>
      </c>
      <c r="CJ250" t="str">
        <f>IF('1. Live'!CJ250='check-Jul25'!CJ250,"",'1. Live'!CJ250-'check-Jul25'!CJ250)</f>
        <v/>
      </c>
      <c r="CK250" t="str">
        <f>IF('1. Live'!CK250='check-Jul25'!CK250,"",'1. Live'!CK250-'check-Jul25'!CK250)</f>
        <v/>
      </c>
      <c r="CL250" t="str">
        <f>IF('1. Live'!CL250='check-Jul25'!CL250,"",'1. Live'!CL250-'check-Jul25'!CL250)</f>
        <v/>
      </c>
      <c r="CM250" t="str">
        <f>IF('1. Live'!CM250='check-Jul25'!CM250,"",'1. Live'!CM250-'check-Jul25'!CM250)</f>
        <v/>
      </c>
      <c r="CN250" t="str">
        <f>IF('1. Live'!CN250='check-Jul25'!CN250,"",'1. Live'!CN250-'check-Jul25'!CN250)</f>
        <v/>
      </c>
      <c r="CO250" t="str">
        <f>IF('1. Live'!CO250='check-Jul25'!CO250,"",'1. Live'!CO250-'check-Jul25'!CO250)</f>
        <v/>
      </c>
      <c r="CP250" t="str">
        <f>IF('1. Live'!CP250='check-Jul25'!CP250,"",'1. Live'!CP250-'check-Jul25'!CP250)</f>
        <v/>
      </c>
      <c r="CQ250" t="str">
        <f>IF('1. Live'!CQ250='check-Jul25'!CQ250,"",'1. Live'!CQ250-'check-Jul25'!CQ250)</f>
        <v/>
      </c>
      <c r="CR250" t="str">
        <f>IF('1. Live'!CR250='check-Jul25'!CR250,"",'1. Live'!CR250-'check-Jul25'!CR250)</f>
        <v/>
      </c>
      <c r="CS250" t="str">
        <f>IF('1. Live'!CS250='check-Jul25'!CS250,"",'1. Live'!CS250-'check-Jul25'!CS250)</f>
        <v/>
      </c>
      <c r="CT250" t="str">
        <f>IF('1. Live'!CT250='check-Jul25'!CT250,"",'1. Live'!CT250-'check-Jul25'!CT250)</f>
        <v/>
      </c>
      <c r="CU250" t="str">
        <f>IF('1. Live'!CU250='check-Jul25'!CU250,"",'1. Live'!CU250-'check-Jul25'!CU250)</f>
        <v/>
      </c>
      <c r="CV250" t="str">
        <f>IF('1. Live'!CV250='check-Jul25'!CV250,"",'1. Live'!CV250-'check-Jul25'!CV250)</f>
        <v/>
      </c>
      <c r="CW250" t="str">
        <f>IF('1. Live'!CW250='check-Jul25'!CW250,"",'1. Live'!CW250-'check-Jul25'!CW250)</f>
        <v/>
      </c>
    </row>
    <row r="251" spans="10:101">
      <c r="J251" t="str">
        <f>IF('1. Live'!J251='check-Jul25'!J251,"",'1. Live'!J251-'check-Jul25'!J251)</f>
        <v/>
      </c>
      <c r="K251" t="str">
        <f>IF('1. Live'!K251='check-Jul25'!K251,"",'1. Live'!K251-'check-Jul25'!K251)</f>
        <v/>
      </c>
      <c r="L251" t="str">
        <f>IF('1. Live'!L251='check-Jul25'!L251,"",'1. Live'!L251-'check-Jul25'!L251)</f>
        <v/>
      </c>
      <c r="M251" t="str">
        <f>IF('1. Live'!M251='check-Jul25'!M251,"",'1. Live'!M251-'check-Jul25'!M251)</f>
        <v/>
      </c>
      <c r="N251" t="str">
        <f>IF('1. Live'!N251='check-Jul25'!N251,"",'1. Live'!N251-'check-Jul25'!N251)</f>
        <v/>
      </c>
      <c r="O251" t="str">
        <f>IF('1. Live'!O251='check-Jul25'!O251,"",'1. Live'!O251-'check-Jul25'!O251)</f>
        <v/>
      </c>
      <c r="P251" t="str">
        <f>IF('1. Live'!P251='check-Jul25'!P251,"",'1. Live'!P251-'check-Jul25'!P251)</f>
        <v/>
      </c>
      <c r="Q251" t="str">
        <f>IF('1. Live'!Q251='check-Jul25'!Q251,"",'1. Live'!Q251-'check-Jul25'!Q251)</f>
        <v/>
      </c>
      <c r="R251" t="str">
        <f>IF('1. Live'!R251='check-Jul25'!R251,"",'1. Live'!R251-'check-Jul25'!R251)</f>
        <v/>
      </c>
      <c r="S251" t="str">
        <f>IF('1. Live'!S251='check-Jul25'!S251,"",'1. Live'!S251-'check-Jul25'!S251)</f>
        <v/>
      </c>
      <c r="T251" t="str">
        <f>IF('1. Live'!T251='check-Jul25'!T251,"",'1. Live'!T251-'check-Jul25'!T251)</f>
        <v/>
      </c>
      <c r="U251" t="str">
        <f>IF('1. Live'!U251='check-Jul25'!U251,"",'1. Live'!U251-'check-Jul25'!U251)</f>
        <v/>
      </c>
      <c r="V251" t="str">
        <f>IF('1. Live'!V251='check-Jul25'!V251,"",'1. Live'!V251-'check-Jul25'!V251)</f>
        <v/>
      </c>
      <c r="W251" t="str">
        <f>IF('1. Live'!W251='check-Jul25'!W251,"",'1. Live'!W251-'check-Jul25'!W251)</f>
        <v/>
      </c>
      <c r="X251" t="str">
        <f>IF('1. Live'!X251='check-Jul25'!X251,"",'1. Live'!X251-'check-Jul25'!X251)</f>
        <v/>
      </c>
      <c r="Y251" t="str">
        <f>IF('1. Live'!Y251='check-Jul25'!Y251,"",'1. Live'!Y251-'check-Jul25'!Y251)</f>
        <v/>
      </c>
      <c r="Z251" t="str">
        <f>IF('1. Live'!Z251='check-Jul25'!Z251,"",'1. Live'!Z251-'check-Jul25'!Z251)</f>
        <v/>
      </c>
      <c r="AA251" t="str">
        <f>IF('1. Live'!AA251='check-Jul25'!AA251,"",'1. Live'!AA251-'check-Jul25'!AA251)</f>
        <v/>
      </c>
      <c r="AB251" t="str">
        <f>IF('1. Live'!AB251='check-Jul25'!AB251,"",'1. Live'!AB251-'check-Jul25'!AB251)</f>
        <v/>
      </c>
      <c r="AC251" t="str">
        <f>IF('1. Live'!AC251='check-Jul25'!AC251,"",'1. Live'!AC251-'check-Jul25'!AC251)</f>
        <v/>
      </c>
      <c r="AD251" t="str">
        <f>IF('1. Live'!AD251='check-Jul25'!AD251,"",'1. Live'!AD251-'check-Jul25'!AD251)</f>
        <v/>
      </c>
      <c r="AE251" t="str">
        <f>IF('1. Live'!AE251='check-Jul25'!AE251,"",'1. Live'!AE251-'check-Jul25'!AE251)</f>
        <v/>
      </c>
      <c r="AF251" t="str">
        <f>IF('1. Live'!AF251='check-Jul25'!AF251,"",'1. Live'!AF251-'check-Jul25'!AF251)</f>
        <v/>
      </c>
      <c r="AG251" t="str">
        <f>IF('1. Live'!AG251='check-Jul25'!AG251,"",'1. Live'!AG251-'check-Jul25'!AG251)</f>
        <v/>
      </c>
      <c r="AH251" t="str">
        <f>IF('1. Live'!AH251='check-Jul25'!AH251,"",'1. Live'!AH251-'check-Jul25'!AH251)</f>
        <v/>
      </c>
      <c r="AI251" t="str">
        <f>IF('1. Live'!AI251='check-Jul25'!AI251,"",'1. Live'!AI251-'check-Jul25'!AI251)</f>
        <v/>
      </c>
      <c r="AJ251" t="str">
        <f>IF('1. Live'!AJ251='check-Jul25'!AJ251,"",'1. Live'!AJ251-'check-Jul25'!AJ251)</f>
        <v/>
      </c>
      <c r="AK251" t="str">
        <f>IF('1. Live'!AK251='check-Jul25'!AK251,"",'1. Live'!AK251-'check-Jul25'!AK251)</f>
        <v/>
      </c>
      <c r="AL251" t="str">
        <f>IF('1. Live'!AL251='check-Jul25'!AL251,"",'1. Live'!AL251-'check-Jul25'!AL251)</f>
        <v/>
      </c>
      <c r="AM251" t="str">
        <f>IF('1. Live'!AM251='check-Jul25'!AM251,"",'1. Live'!AM251-'check-Jul25'!AM251)</f>
        <v/>
      </c>
      <c r="AN251" t="str">
        <f>IF('1. Live'!AN251='check-Jul25'!AN251,"",'1. Live'!AN251-'check-Jul25'!AN251)</f>
        <v/>
      </c>
      <c r="AO251" t="str">
        <f>IF('1. Live'!AO251='check-Jul25'!AO251,"",'1. Live'!AO251-'check-Jul25'!AO251)</f>
        <v/>
      </c>
      <c r="AP251" t="str">
        <f>IF('1. Live'!AP251='check-Jul25'!AP251,"",'1. Live'!AP251-'check-Jul25'!AP251)</f>
        <v/>
      </c>
      <c r="AQ251" t="str">
        <f>IF('1. Live'!AQ251='check-Jul25'!AQ251,"",'1. Live'!AQ251-'check-Jul25'!AQ251)</f>
        <v/>
      </c>
      <c r="AR251" t="str">
        <f>IF('1. Live'!AR251='check-Jul25'!AR251,"",'1. Live'!AR251-'check-Jul25'!AR251)</f>
        <v/>
      </c>
      <c r="AS251" t="str">
        <f>IF('1. Live'!AS251='check-Jul25'!AS251,"",'1. Live'!AS251-'check-Jul25'!AS251)</f>
        <v/>
      </c>
      <c r="AT251" t="str">
        <f>IF('1. Live'!AT251='check-Jul25'!AT251,"",'1. Live'!AT251-'check-Jul25'!AT251)</f>
        <v/>
      </c>
      <c r="AU251" t="str">
        <f>IF('1. Live'!AU251='check-Jul25'!AU251,"",'1. Live'!AU251-'check-Jul25'!AU251)</f>
        <v/>
      </c>
      <c r="AV251" t="str">
        <f>IF('1. Live'!AV251='check-Jul25'!AV251,"",'1. Live'!AV251-'check-Jul25'!AV251)</f>
        <v/>
      </c>
      <c r="AW251" t="str">
        <f>IF('1. Live'!AW251='check-Jul25'!AW251,"",'1. Live'!AW251-'check-Jul25'!AW251)</f>
        <v/>
      </c>
      <c r="AX251" t="str">
        <f>IF('1. Live'!AX251='check-Jul25'!AX251,"",'1. Live'!AX251-'check-Jul25'!AX251)</f>
        <v/>
      </c>
      <c r="AY251" t="str">
        <f>IF('1. Live'!AY251='check-Jul25'!AY251,"",'1. Live'!AY251-'check-Jul25'!AY251)</f>
        <v/>
      </c>
      <c r="AZ251" t="str">
        <f>IF('1. Live'!AZ251='check-Jul25'!AZ251,"",'1. Live'!AZ251-'check-Jul25'!AZ251)</f>
        <v/>
      </c>
      <c r="BA251" t="str">
        <f>IF('1. Live'!BA251='check-Jul25'!BA251,"",'1. Live'!BA251-'check-Jul25'!BA251)</f>
        <v/>
      </c>
      <c r="BB251" t="str">
        <f>IF('1. Live'!BB251='check-Jul25'!BB251,"",'1. Live'!BB251-'check-Jul25'!BB251)</f>
        <v/>
      </c>
      <c r="BC251" t="str">
        <f>IF('1. Live'!BC251='check-Jul25'!BC251,"",'1. Live'!BC251-'check-Jul25'!BC251)</f>
        <v/>
      </c>
      <c r="BD251" t="str">
        <f>IF('1. Live'!BD251='check-Jul25'!BD251,"",'1. Live'!BD251-'check-Jul25'!BD251)</f>
        <v/>
      </c>
      <c r="BE251" t="str">
        <f>IF('1. Live'!BE251='check-Jul25'!BE251,"",'1. Live'!BE251-'check-Jul25'!BE251)</f>
        <v/>
      </c>
      <c r="BF251" t="str">
        <f>IF('1. Live'!BF251='check-Jul25'!BF251,"",'1. Live'!BF251-'check-Jul25'!BF251)</f>
        <v/>
      </c>
      <c r="BG251" t="str">
        <f>IF('1. Live'!BG251='check-Jul25'!BG251,"",'1. Live'!BG251-'check-Jul25'!BG251)</f>
        <v/>
      </c>
      <c r="BH251" t="str">
        <f>IF('1. Live'!BH251='check-Jul25'!BH251,"",'1. Live'!BH251-'check-Jul25'!BH251)</f>
        <v/>
      </c>
      <c r="BI251" t="str">
        <f>IF('1. Live'!BI251='check-Jul25'!BI251,"",'1. Live'!BI251-'check-Jul25'!BI251)</f>
        <v/>
      </c>
      <c r="BJ251" t="str">
        <f>IF('1. Live'!BJ251='check-Jul25'!BJ251,"",'1. Live'!BJ251-'check-Jul25'!BJ251)</f>
        <v/>
      </c>
      <c r="BK251" t="str">
        <f>IF('1. Live'!BK251='check-Jul25'!BK251,"",'1. Live'!BK251-'check-Jul25'!BK251)</f>
        <v/>
      </c>
      <c r="BL251" t="str">
        <f>IF('1. Live'!BL251='check-Jul25'!BL251,"",'1. Live'!BL251-'check-Jul25'!BL251)</f>
        <v/>
      </c>
      <c r="BM251" t="str">
        <f>IF('1. Live'!BM251='check-Jul25'!BM251,"",'1. Live'!BM251-'check-Jul25'!BM251)</f>
        <v/>
      </c>
      <c r="BN251" t="str">
        <f>IF('1. Live'!BN251='check-Jul25'!BN251,"",'1. Live'!BN251-'check-Jul25'!BN251)</f>
        <v/>
      </c>
      <c r="BO251" t="str">
        <f>IF('1. Live'!BO251='check-Jul25'!BO251,"",'1. Live'!BO251-'check-Jul25'!BO251)</f>
        <v/>
      </c>
      <c r="BP251" t="str">
        <f>IF('1. Live'!BP251='check-Jul25'!BP251,"",'1. Live'!BP251-'check-Jul25'!BP251)</f>
        <v/>
      </c>
      <c r="BQ251" t="str">
        <f>IF('1. Live'!BQ251='check-Jul25'!BQ251,"",'1. Live'!BQ251-'check-Jul25'!BQ251)</f>
        <v/>
      </c>
      <c r="BR251" t="str">
        <f>IF('1. Live'!BR251='check-Jul25'!BR251,"",'1. Live'!BR251-'check-Jul25'!BR251)</f>
        <v/>
      </c>
      <c r="BS251" t="str">
        <f>IF('1. Live'!BS251='check-Jul25'!BS251,"",'1. Live'!BS251-'check-Jul25'!BS251)</f>
        <v/>
      </c>
      <c r="BT251" t="str">
        <f>IF('1. Live'!BT251='check-Jul25'!BT251,"",'1. Live'!BT251-'check-Jul25'!BT251)</f>
        <v/>
      </c>
      <c r="BU251" t="str">
        <f>IF('1. Live'!BU251='check-Jul25'!BU251,"",'1. Live'!BU251-'check-Jul25'!BU251)</f>
        <v/>
      </c>
      <c r="BV251" t="str">
        <f>IF('1. Live'!BV251='check-Jul25'!BV251,"",'1. Live'!BV251-'check-Jul25'!BV251)</f>
        <v/>
      </c>
      <c r="BW251" t="str">
        <f>IF('1. Live'!BW251='check-Jul25'!BW251,"",'1. Live'!BW251-'check-Jul25'!BW251)</f>
        <v/>
      </c>
      <c r="BX251" t="str">
        <f>IF('1. Live'!BX251='check-Jul25'!BX251,"",'1. Live'!BX251-'check-Jul25'!BX251)</f>
        <v/>
      </c>
      <c r="BY251" t="str">
        <f>IF('1. Live'!BY251='check-Jul25'!BY251,"",'1. Live'!BY251-'check-Jul25'!BY251)</f>
        <v/>
      </c>
      <c r="BZ251" t="str">
        <f>IF('1. Live'!BZ251='check-Jul25'!BZ251,"",'1. Live'!BZ251-'check-Jul25'!BZ251)</f>
        <v/>
      </c>
      <c r="CA251" t="str">
        <f>IF('1. Live'!CA251='check-Jul25'!CA251,"",'1. Live'!CA251-'check-Jul25'!CA251)</f>
        <v/>
      </c>
      <c r="CB251" t="str">
        <f>IF('1. Live'!CB251='check-Jul25'!CB251,"",'1. Live'!CB251-'check-Jul25'!CB251)</f>
        <v/>
      </c>
      <c r="CC251" t="str">
        <f>IF('1. Live'!CC251='check-Jul25'!CC251,"",'1. Live'!CC251-'check-Jul25'!CC251)</f>
        <v/>
      </c>
      <c r="CD251" t="str">
        <f>IF('1. Live'!CD251='check-Jul25'!CD251,"",'1. Live'!CD251-'check-Jul25'!CD251)</f>
        <v/>
      </c>
      <c r="CE251" t="str">
        <f>IF('1. Live'!CE251='check-Jul25'!CE251,"",'1. Live'!CE251-'check-Jul25'!CE251)</f>
        <v/>
      </c>
      <c r="CF251" t="str">
        <f>IF('1. Live'!CF251='check-Jul25'!CF251,"",'1. Live'!CF251-'check-Jul25'!CF251)</f>
        <v/>
      </c>
      <c r="CG251" t="str">
        <f>IF('1. Live'!CG251='check-Jul25'!CG251,"",'1. Live'!CG251-'check-Jul25'!CG251)</f>
        <v/>
      </c>
      <c r="CH251" t="str">
        <f>IF('1. Live'!CH251='check-Jul25'!CH251,"",'1. Live'!CH251-'check-Jul25'!CH251)</f>
        <v/>
      </c>
      <c r="CI251" t="str">
        <f>IF('1. Live'!CI251='check-Jul25'!CI251,"",'1. Live'!CI251-'check-Jul25'!CI251)</f>
        <v/>
      </c>
      <c r="CJ251" t="str">
        <f>IF('1. Live'!CJ251='check-Jul25'!CJ251,"",'1. Live'!CJ251-'check-Jul25'!CJ251)</f>
        <v/>
      </c>
      <c r="CK251" t="str">
        <f>IF('1. Live'!CK251='check-Jul25'!CK251,"",'1. Live'!CK251-'check-Jul25'!CK251)</f>
        <v/>
      </c>
      <c r="CL251" t="str">
        <f>IF('1. Live'!CL251='check-Jul25'!CL251,"",'1. Live'!CL251-'check-Jul25'!CL251)</f>
        <v/>
      </c>
      <c r="CM251" t="str">
        <f>IF('1. Live'!CM251='check-Jul25'!CM251,"",'1. Live'!CM251-'check-Jul25'!CM251)</f>
        <v/>
      </c>
      <c r="CN251" t="str">
        <f>IF('1. Live'!CN251='check-Jul25'!CN251,"",'1. Live'!CN251-'check-Jul25'!CN251)</f>
        <v/>
      </c>
      <c r="CO251" t="str">
        <f>IF('1. Live'!CO251='check-Jul25'!CO251,"",'1. Live'!CO251-'check-Jul25'!CO251)</f>
        <v/>
      </c>
      <c r="CP251" t="str">
        <f>IF('1. Live'!CP251='check-Jul25'!CP251,"",'1. Live'!CP251-'check-Jul25'!CP251)</f>
        <v/>
      </c>
      <c r="CQ251" t="str">
        <f>IF('1. Live'!CQ251='check-Jul25'!CQ251,"",'1. Live'!CQ251-'check-Jul25'!CQ251)</f>
        <v/>
      </c>
      <c r="CR251" t="str">
        <f>IF('1. Live'!CR251='check-Jul25'!CR251,"",'1. Live'!CR251-'check-Jul25'!CR251)</f>
        <v/>
      </c>
      <c r="CS251" t="str">
        <f>IF('1. Live'!CS251='check-Jul25'!CS251,"",'1. Live'!CS251-'check-Jul25'!CS251)</f>
        <v/>
      </c>
      <c r="CT251" t="str">
        <f>IF('1. Live'!CT251='check-Jul25'!CT251,"",'1. Live'!CT251-'check-Jul25'!CT251)</f>
        <v/>
      </c>
      <c r="CU251" t="str">
        <f>IF('1. Live'!CU251='check-Jul25'!CU251,"",'1. Live'!CU251-'check-Jul25'!CU251)</f>
        <v/>
      </c>
      <c r="CV251" t="str">
        <f>IF('1. Live'!CV251='check-Jul25'!CV251,"",'1. Live'!CV251-'check-Jul25'!CV251)</f>
        <v/>
      </c>
      <c r="CW251" t="str">
        <f>IF('1. Live'!CW251='check-Jul25'!CW251,"",'1. Live'!CW251-'check-Jul25'!CW251)</f>
        <v/>
      </c>
    </row>
    <row r="252" spans="10:101">
      <c r="J252" t="str">
        <f>IF('1. Live'!J252='check-Jul25'!J252,"",'1. Live'!J252-'check-Jul25'!J252)</f>
        <v/>
      </c>
      <c r="K252" t="str">
        <f>IF('1. Live'!K252='check-Jul25'!K252,"",'1. Live'!K252-'check-Jul25'!K252)</f>
        <v/>
      </c>
      <c r="L252" t="str">
        <f>IF('1. Live'!L252='check-Jul25'!L252,"",'1. Live'!L252-'check-Jul25'!L252)</f>
        <v/>
      </c>
      <c r="M252" t="str">
        <f>IF('1. Live'!M252='check-Jul25'!M252,"",'1. Live'!M252-'check-Jul25'!M252)</f>
        <v/>
      </c>
      <c r="N252" t="str">
        <f>IF('1. Live'!N252='check-Jul25'!N252,"",'1. Live'!N252-'check-Jul25'!N252)</f>
        <v/>
      </c>
      <c r="O252" t="str">
        <f>IF('1. Live'!O252='check-Jul25'!O252,"",'1. Live'!O252-'check-Jul25'!O252)</f>
        <v/>
      </c>
      <c r="P252" t="str">
        <f>IF('1. Live'!P252='check-Jul25'!P252,"",'1. Live'!P252-'check-Jul25'!P252)</f>
        <v/>
      </c>
      <c r="Q252" t="str">
        <f>IF('1. Live'!Q252='check-Jul25'!Q252,"",'1. Live'!Q252-'check-Jul25'!Q252)</f>
        <v/>
      </c>
      <c r="R252" t="str">
        <f>IF('1. Live'!R252='check-Jul25'!R252,"",'1. Live'!R252-'check-Jul25'!R252)</f>
        <v/>
      </c>
      <c r="S252" t="str">
        <f>IF('1. Live'!S252='check-Jul25'!S252,"",'1. Live'!S252-'check-Jul25'!S252)</f>
        <v/>
      </c>
      <c r="T252" t="str">
        <f>IF('1. Live'!T252='check-Jul25'!T252,"",'1. Live'!T252-'check-Jul25'!T252)</f>
        <v/>
      </c>
      <c r="U252" t="str">
        <f>IF('1. Live'!U252='check-Jul25'!U252,"",'1. Live'!U252-'check-Jul25'!U252)</f>
        <v/>
      </c>
      <c r="V252" t="str">
        <f>IF('1. Live'!V252='check-Jul25'!V252,"",'1. Live'!V252-'check-Jul25'!V252)</f>
        <v/>
      </c>
      <c r="W252" t="str">
        <f>IF('1. Live'!W252='check-Jul25'!W252,"",'1. Live'!W252-'check-Jul25'!W252)</f>
        <v/>
      </c>
      <c r="X252" t="str">
        <f>IF('1. Live'!X252='check-Jul25'!X252,"",'1. Live'!X252-'check-Jul25'!X252)</f>
        <v/>
      </c>
      <c r="Y252" t="str">
        <f>IF('1. Live'!Y252='check-Jul25'!Y252,"",'1. Live'!Y252-'check-Jul25'!Y252)</f>
        <v/>
      </c>
      <c r="Z252" t="str">
        <f>IF('1. Live'!Z252='check-Jul25'!Z252,"",'1. Live'!Z252-'check-Jul25'!Z252)</f>
        <v/>
      </c>
      <c r="AA252" t="str">
        <f>IF('1. Live'!AA252='check-Jul25'!AA252,"",'1. Live'!AA252-'check-Jul25'!AA252)</f>
        <v/>
      </c>
      <c r="AB252" t="str">
        <f>IF('1. Live'!AB252='check-Jul25'!AB252,"",'1. Live'!AB252-'check-Jul25'!AB252)</f>
        <v/>
      </c>
      <c r="AC252" t="str">
        <f>IF('1. Live'!AC252='check-Jul25'!AC252,"",'1. Live'!AC252-'check-Jul25'!AC252)</f>
        <v/>
      </c>
      <c r="AD252" t="str">
        <f>IF('1. Live'!AD252='check-Jul25'!AD252,"",'1. Live'!AD252-'check-Jul25'!AD252)</f>
        <v/>
      </c>
      <c r="AE252" t="str">
        <f>IF('1. Live'!AE252='check-Jul25'!AE252,"",'1. Live'!AE252-'check-Jul25'!AE252)</f>
        <v/>
      </c>
      <c r="AF252" t="str">
        <f>IF('1. Live'!AF252='check-Jul25'!AF252,"",'1. Live'!AF252-'check-Jul25'!AF252)</f>
        <v/>
      </c>
      <c r="AG252" t="str">
        <f>IF('1. Live'!AG252='check-Jul25'!AG252,"",'1. Live'!AG252-'check-Jul25'!AG252)</f>
        <v/>
      </c>
      <c r="AH252" t="str">
        <f>IF('1. Live'!AH252='check-Jul25'!AH252,"",'1. Live'!AH252-'check-Jul25'!AH252)</f>
        <v/>
      </c>
      <c r="AI252" t="str">
        <f>IF('1. Live'!AI252='check-Jul25'!AI252,"",'1. Live'!AI252-'check-Jul25'!AI252)</f>
        <v/>
      </c>
      <c r="AJ252" t="str">
        <f>IF('1. Live'!AJ252='check-Jul25'!AJ252,"",'1. Live'!AJ252-'check-Jul25'!AJ252)</f>
        <v/>
      </c>
      <c r="AK252" t="str">
        <f>IF('1. Live'!AK252='check-Jul25'!AK252,"",'1. Live'!AK252-'check-Jul25'!AK252)</f>
        <v/>
      </c>
      <c r="AL252" t="str">
        <f>IF('1. Live'!AL252='check-Jul25'!AL252,"",'1. Live'!AL252-'check-Jul25'!AL252)</f>
        <v/>
      </c>
      <c r="AM252" t="str">
        <f>IF('1. Live'!AM252='check-Jul25'!AM252,"",'1. Live'!AM252-'check-Jul25'!AM252)</f>
        <v/>
      </c>
      <c r="AN252" t="str">
        <f>IF('1. Live'!AN252='check-Jul25'!AN252,"",'1. Live'!AN252-'check-Jul25'!AN252)</f>
        <v/>
      </c>
      <c r="AO252" t="str">
        <f>IF('1. Live'!AO252='check-Jul25'!AO252,"",'1. Live'!AO252-'check-Jul25'!AO252)</f>
        <v/>
      </c>
      <c r="AP252" t="str">
        <f>IF('1. Live'!AP252='check-Jul25'!AP252,"",'1. Live'!AP252-'check-Jul25'!AP252)</f>
        <v/>
      </c>
      <c r="AQ252" t="str">
        <f>IF('1. Live'!AQ252='check-Jul25'!AQ252,"",'1. Live'!AQ252-'check-Jul25'!AQ252)</f>
        <v/>
      </c>
      <c r="AR252" t="str">
        <f>IF('1. Live'!AR252='check-Jul25'!AR252,"",'1. Live'!AR252-'check-Jul25'!AR252)</f>
        <v/>
      </c>
      <c r="AS252" t="str">
        <f>IF('1. Live'!AS252='check-Jul25'!AS252,"",'1. Live'!AS252-'check-Jul25'!AS252)</f>
        <v/>
      </c>
      <c r="AT252" t="str">
        <f>IF('1. Live'!AT252='check-Jul25'!AT252,"",'1. Live'!AT252-'check-Jul25'!AT252)</f>
        <v/>
      </c>
      <c r="AU252" t="str">
        <f>IF('1. Live'!AU252='check-Jul25'!AU252,"",'1. Live'!AU252-'check-Jul25'!AU252)</f>
        <v/>
      </c>
      <c r="AV252" t="str">
        <f>IF('1. Live'!AV252='check-Jul25'!AV252,"",'1. Live'!AV252-'check-Jul25'!AV252)</f>
        <v/>
      </c>
      <c r="AW252" t="str">
        <f>IF('1. Live'!AW252='check-Jul25'!AW252,"",'1. Live'!AW252-'check-Jul25'!AW252)</f>
        <v/>
      </c>
      <c r="AX252" t="str">
        <f>IF('1. Live'!AX252='check-Jul25'!AX252,"",'1. Live'!AX252-'check-Jul25'!AX252)</f>
        <v/>
      </c>
      <c r="AY252" t="str">
        <f>IF('1. Live'!AY252='check-Jul25'!AY252,"",'1. Live'!AY252-'check-Jul25'!AY252)</f>
        <v/>
      </c>
      <c r="AZ252" t="str">
        <f>IF('1. Live'!AZ252='check-Jul25'!AZ252,"",'1. Live'!AZ252-'check-Jul25'!AZ252)</f>
        <v/>
      </c>
      <c r="BA252" t="str">
        <f>IF('1. Live'!BA252='check-Jul25'!BA252,"",'1. Live'!BA252-'check-Jul25'!BA252)</f>
        <v/>
      </c>
      <c r="BB252" t="str">
        <f>IF('1. Live'!BB252='check-Jul25'!BB252,"",'1. Live'!BB252-'check-Jul25'!BB252)</f>
        <v/>
      </c>
      <c r="BC252" t="str">
        <f>IF('1. Live'!BC252='check-Jul25'!BC252,"",'1. Live'!BC252-'check-Jul25'!BC252)</f>
        <v/>
      </c>
      <c r="BD252" t="str">
        <f>IF('1. Live'!BD252='check-Jul25'!BD252,"",'1. Live'!BD252-'check-Jul25'!BD252)</f>
        <v/>
      </c>
      <c r="BE252" t="str">
        <f>IF('1. Live'!BE252='check-Jul25'!BE252,"",'1. Live'!BE252-'check-Jul25'!BE252)</f>
        <v/>
      </c>
      <c r="BF252" t="str">
        <f>IF('1. Live'!BF252='check-Jul25'!BF252,"",'1. Live'!BF252-'check-Jul25'!BF252)</f>
        <v/>
      </c>
      <c r="BG252" t="str">
        <f>IF('1. Live'!BG252='check-Jul25'!BG252,"",'1. Live'!BG252-'check-Jul25'!BG252)</f>
        <v/>
      </c>
      <c r="BH252" t="str">
        <f>IF('1. Live'!BH252='check-Jul25'!BH252,"",'1. Live'!BH252-'check-Jul25'!BH252)</f>
        <v/>
      </c>
      <c r="BI252" t="str">
        <f>IF('1. Live'!BI252='check-Jul25'!BI252,"",'1. Live'!BI252-'check-Jul25'!BI252)</f>
        <v/>
      </c>
      <c r="BJ252" t="str">
        <f>IF('1. Live'!BJ252='check-Jul25'!BJ252,"",'1. Live'!BJ252-'check-Jul25'!BJ252)</f>
        <v/>
      </c>
      <c r="BK252" t="str">
        <f>IF('1. Live'!BK252='check-Jul25'!BK252,"",'1. Live'!BK252-'check-Jul25'!BK252)</f>
        <v/>
      </c>
      <c r="BL252" t="str">
        <f>IF('1. Live'!BL252='check-Jul25'!BL252,"",'1. Live'!BL252-'check-Jul25'!BL252)</f>
        <v/>
      </c>
      <c r="BM252" t="str">
        <f>IF('1. Live'!BM252='check-Jul25'!BM252,"",'1. Live'!BM252-'check-Jul25'!BM252)</f>
        <v/>
      </c>
      <c r="BN252" t="str">
        <f>IF('1. Live'!BN252='check-Jul25'!BN252,"",'1. Live'!BN252-'check-Jul25'!BN252)</f>
        <v/>
      </c>
      <c r="BO252" t="str">
        <f>IF('1. Live'!BO252='check-Jul25'!BO252,"",'1. Live'!BO252-'check-Jul25'!BO252)</f>
        <v/>
      </c>
      <c r="BP252" t="str">
        <f>IF('1. Live'!BP252='check-Jul25'!BP252,"",'1. Live'!BP252-'check-Jul25'!BP252)</f>
        <v/>
      </c>
      <c r="BQ252" t="str">
        <f>IF('1. Live'!BQ252='check-Jul25'!BQ252,"",'1. Live'!BQ252-'check-Jul25'!BQ252)</f>
        <v/>
      </c>
      <c r="BR252" t="str">
        <f>IF('1. Live'!BR252='check-Jul25'!BR252,"",'1. Live'!BR252-'check-Jul25'!BR252)</f>
        <v/>
      </c>
      <c r="BS252" t="str">
        <f>IF('1. Live'!BS252='check-Jul25'!BS252,"",'1. Live'!BS252-'check-Jul25'!BS252)</f>
        <v/>
      </c>
      <c r="BT252" t="str">
        <f>IF('1. Live'!BT252='check-Jul25'!BT252,"",'1. Live'!BT252-'check-Jul25'!BT252)</f>
        <v/>
      </c>
      <c r="BU252" t="str">
        <f>IF('1. Live'!BU252='check-Jul25'!BU252,"",'1. Live'!BU252-'check-Jul25'!BU252)</f>
        <v/>
      </c>
      <c r="BV252" t="str">
        <f>IF('1. Live'!BV252='check-Jul25'!BV252,"",'1. Live'!BV252-'check-Jul25'!BV252)</f>
        <v/>
      </c>
      <c r="BW252" t="str">
        <f>IF('1. Live'!BW252='check-Jul25'!BW252,"",'1. Live'!BW252-'check-Jul25'!BW252)</f>
        <v/>
      </c>
      <c r="BX252" t="str">
        <f>IF('1. Live'!BX252='check-Jul25'!BX252,"",'1. Live'!BX252-'check-Jul25'!BX252)</f>
        <v/>
      </c>
      <c r="BY252" t="str">
        <f>IF('1. Live'!BY252='check-Jul25'!BY252,"",'1. Live'!BY252-'check-Jul25'!BY252)</f>
        <v/>
      </c>
      <c r="BZ252" t="str">
        <f>IF('1. Live'!BZ252='check-Jul25'!BZ252,"",'1. Live'!BZ252-'check-Jul25'!BZ252)</f>
        <v/>
      </c>
      <c r="CA252" t="str">
        <f>IF('1. Live'!CA252='check-Jul25'!CA252,"",'1. Live'!CA252-'check-Jul25'!CA252)</f>
        <v/>
      </c>
      <c r="CB252" t="str">
        <f>IF('1. Live'!CB252='check-Jul25'!CB252,"",'1. Live'!CB252-'check-Jul25'!CB252)</f>
        <v/>
      </c>
      <c r="CC252" t="str">
        <f>IF('1. Live'!CC252='check-Jul25'!CC252,"",'1. Live'!CC252-'check-Jul25'!CC252)</f>
        <v/>
      </c>
      <c r="CD252" t="str">
        <f>IF('1. Live'!CD252='check-Jul25'!CD252,"",'1. Live'!CD252-'check-Jul25'!CD252)</f>
        <v/>
      </c>
      <c r="CE252" t="str">
        <f>IF('1. Live'!CE252='check-Jul25'!CE252,"",'1. Live'!CE252-'check-Jul25'!CE252)</f>
        <v/>
      </c>
      <c r="CF252" t="str">
        <f>IF('1. Live'!CF252='check-Jul25'!CF252,"",'1. Live'!CF252-'check-Jul25'!CF252)</f>
        <v/>
      </c>
      <c r="CG252" t="str">
        <f>IF('1. Live'!CG252='check-Jul25'!CG252,"",'1. Live'!CG252-'check-Jul25'!CG252)</f>
        <v/>
      </c>
      <c r="CH252" t="str">
        <f>IF('1. Live'!CH252='check-Jul25'!CH252,"",'1. Live'!CH252-'check-Jul25'!CH252)</f>
        <v/>
      </c>
      <c r="CI252" t="str">
        <f>IF('1. Live'!CI252='check-Jul25'!CI252,"",'1. Live'!CI252-'check-Jul25'!CI252)</f>
        <v/>
      </c>
      <c r="CJ252" t="str">
        <f>IF('1. Live'!CJ252='check-Jul25'!CJ252,"",'1. Live'!CJ252-'check-Jul25'!CJ252)</f>
        <v/>
      </c>
      <c r="CK252" t="str">
        <f>IF('1. Live'!CK252='check-Jul25'!CK252,"",'1. Live'!CK252-'check-Jul25'!CK252)</f>
        <v/>
      </c>
      <c r="CL252" t="str">
        <f>IF('1. Live'!CL252='check-Jul25'!CL252,"",'1. Live'!CL252-'check-Jul25'!CL252)</f>
        <v/>
      </c>
      <c r="CM252" t="str">
        <f>IF('1. Live'!CM252='check-Jul25'!CM252,"",'1. Live'!CM252-'check-Jul25'!CM252)</f>
        <v/>
      </c>
      <c r="CN252" t="str">
        <f>IF('1. Live'!CN252='check-Jul25'!CN252,"",'1. Live'!CN252-'check-Jul25'!CN252)</f>
        <v/>
      </c>
      <c r="CO252" t="str">
        <f>IF('1. Live'!CO252='check-Jul25'!CO252,"",'1. Live'!CO252-'check-Jul25'!CO252)</f>
        <v/>
      </c>
      <c r="CP252" t="str">
        <f>IF('1. Live'!CP252='check-Jul25'!CP252,"",'1. Live'!CP252-'check-Jul25'!CP252)</f>
        <v/>
      </c>
      <c r="CQ252" t="str">
        <f>IF('1. Live'!CQ252='check-Jul25'!CQ252,"",'1. Live'!CQ252-'check-Jul25'!CQ252)</f>
        <v/>
      </c>
      <c r="CR252" t="str">
        <f>IF('1. Live'!CR252='check-Jul25'!CR252,"",'1. Live'!CR252-'check-Jul25'!CR252)</f>
        <v/>
      </c>
      <c r="CS252" t="str">
        <f>IF('1. Live'!CS252='check-Jul25'!CS252,"",'1. Live'!CS252-'check-Jul25'!CS252)</f>
        <v/>
      </c>
      <c r="CT252" t="str">
        <f>IF('1. Live'!CT252='check-Jul25'!CT252,"",'1. Live'!CT252-'check-Jul25'!CT252)</f>
        <v/>
      </c>
      <c r="CU252" t="str">
        <f>IF('1. Live'!CU252='check-Jul25'!CU252,"",'1. Live'!CU252-'check-Jul25'!CU252)</f>
        <v/>
      </c>
      <c r="CV252" t="str">
        <f>IF('1. Live'!CV252='check-Jul25'!CV252,"",'1. Live'!CV252-'check-Jul25'!CV252)</f>
        <v/>
      </c>
      <c r="CW252" t="str">
        <f>IF('1. Live'!CW252='check-Jul25'!CW252,"",'1. Live'!CW252-'check-Jul25'!CW252)</f>
        <v/>
      </c>
    </row>
    <row r="253" spans="10:101">
      <c r="J253" t="str">
        <f>IF('1. Live'!J253='check-Jul25'!J253,"",'1. Live'!J253-'check-Jul25'!J253)</f>
        <v/>
      </c>
      <c r="K253" t="str">
        <f>IF('1. Live'!K253='check-Jul25'!K253,"",'1. Live'!K253-'check-Jul25'!K253)</f>
        <v/>
      </c>
      <c r="L253" t="str">
        <f>IF('1. Live'!L253='check-Jul25'!L253,"",'1. Live'!L253-'check-Jul25'!L253)</f>
        <v/>
      </c>
      <c r="M253" t="str">
        <f>IF('1. Live'!M253='check-Jul25'!M253,"",'1. Live'!M253-'check-Jul25'!M253)</f>
        <v/>
      </c>
      <c r="N253" t="str">
        <f>IF('1. Live'!N253='check-Jul25'!N253,"",'1. Live'!N253-'check-Jul25'!N253)</f>
        <v/>
      </c>
      <c r="O253" t="str">
        <f>IF('1. Live'!O253='check-Jul25'!O253,"",'1. Live'!O253-'check-Jul25'!O253)</f>
        <v/>
      </c>
      <c r="P253" t="str">
        <f>IF('1. Live'!P253='check-Jul25'!P253,"",'1. Live'!P253-'check-Jul25'!P253)</f>
        <v/>
      </c>
      <c r="Q253" t="str">
        <f>IF('1. Live'!Q253='check-Jul25'!Q253,"",'1. Live'!Q253-'check-Jul25'!Q253)</f>
        <v/>
      </c>
      <c r="R253" t="str">
        <f>IF('1. Live'!R253='check-Jul25'!R253,"",'1. Live'!R253-'check-Jul25'!R253)</f>
        <v/>
      </c>
      <c r="S253" t="str">
        <f>IF('1. Live'!S253='check-Jul25'!S253,"",'1. Live'!S253-'check-Jul25'!S253)</f>
        <v/>
      </c>
      <c r="T253" t="str">
        <f>IF('1. Live'!T253='check-Jul25'!T253,"",'1. Live'!T253-'check-Jul25'!T253)</f>
        <v/>
      </c>
      <c r="U253" t="str">
        <f>IF('1. Live'!U253='check-Jul25'!U253,"",'1. Live'!U253-'check-Jul25'!U253)</f>
        <v/>
      </c>
      <c r="V253" t="str">
        <f>IF('1. Live'!V253='check-Jul25'!V253,"",'1. Live'!V253-'check-Jul25'!V253)</f>
        <v/>
      </c>
      <c r="W253" t="str">
        <f>IF('1. Live'!W253='check-Jul25'!W253,"",'1. Live'!W253-'check-Jul25'!W253)</f>
        <v/>
      </c>
      <c r="X253" t="str">
        <f>IF('1. Live'!X253='check-Jul25'!X253,"",'1. Live'!X253-'check-Jul25'!X253)</f>
        <v/>
      </c>
      <c r="Y253" t="str">
        <f>IF('1. Live'!Y253='check-Jul25'!Y253,"",'1. Live'!Y253-'check-Jul25'!Y253)</f>
        <v/>
      </c>
      <c r="Z253" t="str">
        <f>IF('1. Live'!Z253='check-Jul25'!Z253,"",'1. Live'!Z253-'check-Jul25'!Z253)</f>
        <v/>
      </c>
      <c r="AA253" t="str">
        <f>IF('1. Live'!AA253='check-Jul25'!AA253,"",'1. Live'!AA253-'check-Jul25'!AA253)</f>
        <v/>
      </c>
      <c r="AB253" t="str">
        <f>IF('1. Live'!AB253='check-Jul25'!AB253,"",'1. Live'!AB253-'check-Jul25'!AB253)</f>
        <v/>
      </c>
      <c r="AC253" t="str">
        <f>IF('1. Live'!AC253='check-Jul25'!AC253,"",'1. Live'!AC253-'check-Jul25'!AC253)</f>
        <v/>
      </c>
      <c r="AD253" t="str">
        <f>IF('1. Live'!AD253='check-Jul25'!AD253,"",'1. Live'!AD253-'check-Jul25'!AD253)</f>
        <v/>
      </c>
      <c r="AE253" t="str">
        <f>IF('1. Live'!AE253='check-Jul25'!AE253,"",'1. Live'!AE253-'check-Jul25'!AE253)</f>
        <v/>
      </c>
      <c r="AF253" t="str">
        <f>IF('1. Live'!AF253='check-Jul25'!AF253,"",'1. Live'!AF253-'check-Jul25'!AF253)</f>
        <v/>
      </c>
      <c r="AG253" t="str">
        <f>IF('1. Live'!AG253='check-Jul25'!AG253,"",'1. Live'!AG253-'check-Jul25'!AG253)</f>
        <v/>
      </c>
      <c r="AH253" t="str">
        <f>IF('1. Live'!AH253='check-Jul25'!AH253,"",'1. Live'!AH253-'check-Jul25'!AH253)</f>
        <v/>
      </c>
      <c r="AI253" t="str">
        <f>IF('1. Live'!AI253='check-Jul25'!AI253,"",'1. Live'!AI253-'check-Jul25'!AI253)</f>
        <v/>
      </c>
      <c r="AJ253" t="str">
        <f>IF('1. Live'!AJ253='check-Jul25'!AJ253,"",'1. Live'!AJ253-'check-Jul25'!AJ253)</f>
        <v/>
      </c>
      <c r="AK253" t="str">
        <f>IF('1. Live'!AK253='check-Jul25'!AK253,"",'1. Live'!AK253-'check-Jul25'!AK253)</f>
        <v/>
      </c>
      <c r="AL253" t="str">
        <f>IF('1. Live'!AL253='check-Jul25'!AL253,"",'1. Live'!AL253-'check-Jul25'!AL253)</f>
        <v/>
      </c>
      <c r="AM253" t="str">
        <f>IF('1. Live'!AM253='check-Jul25'!AM253,"",'1. Live'!AM253-'check-Jul25'!AM253)</f>
        <v/>
      </c>
      <c r="AN253" t="str">
        <f>IF('1. Live'!AN253='check-Jul25'!AN253,"",'1. Live'!AN253-'check-Jul25'!AN253)</f>
        <v/>
      </c>
      <c r="AO253" t="str">
        <f>IF('1. Live'!AO253='check-Jul25'!AO253,"",'1. Live'!AO253-'check-Jul25'!AO253)</f>
        <v/>
      </c>
      <c r="AP253" t="str">
        <f>IF('1. Live'!AP253='check-Jul25'!AP253,"",'1. Live'!AP253-'check-Jul25'!AP253)</f>
        <v/>
      </c>
      <c r="AQ253" t="str">
        <f>IF('1. Live'!AQ253='check-Jul25'!AQ253,"",'1. Live'!AQ253-'check-Jul25'!AQ253)</f>
        <v/>
      </c>
      <c r="AR253" t="str">
        <f>IF('1. Live'!AR253='check-Jul25'!AR253,"",'1. Live'!AR253-'check-Jul25'!AR253)</f>
        <v/>
      </c>
      <c r="AS253" t="str">
        <f>IF('1. Live'!AS253='check-Jul25'!AS253,"",'1. Live'!AS253-'check-Jul25'!AS253)</f>
        <v/>
      </c>
      <c r="AT253" t="str">
        <f>IF('1. Live'!AT253='check-Jul25'!AT253,"",'1. Live'!AT253-'check-Jul25'!AT253)</f>
        <v/>
      </c>
      <c r="AU253" t="str">
        <f>IF('1. Live'!AU253='check-Jul25'!AU253,"",'1. Live'!AU253-'check-Jul25'!AU253)</f>
        <v/>
      </c>
      <c r="AV253" t="str">
        <f>IF('1. Live'!AV253='check-Jul25'!AV253,"",'1. Live'!AV253-'check-Jul25'!AV253)</f>
        <v/>
      </c>
      <c r="AW253" t="str">
        <f>IF('1. Live'!AW253='check-Jul25'!AW253,"",'1. Live'!AW253-'check-Jul25'!AW253)</f>
        <v/>
      </c>
      <c r="AX253" t="str">
        <f>IF('1. Live'!AX253='check-Jul25'!AX253,"",'1. Live'!AX253-'check-Jul25'!AX253)</f>
        <v/>
      </c>
      <c r="AY253" t="str">
        <f>IF('1. Live'!AY253='check-Jul25'!AY253,"",'1. Live'!AY253-'check-Jul25'!AY253)</f>
        <v/>
      </c>
      <c r="AZ253" t="str">
        <f>IF('1. Live'!AZ253='check-Jul25'!AZ253,"",'1. Live'!AZ253-'check-Jul25'!AZ253)</f>
        <v/>
      </c>
      <c r="BA253" t="str">
        <f>IF('1. Live'!BA253='check-Jul25'!BA253,"",'1. Live'!BA253-'check-Jul25'!BA253)</f>
        <v/>
      </c>
      <c r="BB253" t="str">
        <f>IF('1. Live'!BB253='check-Jul25'!BB253,"",'1. Live'!BB253-'check-Jul25'!BB253)</f>
        <v/>
      </c>
      <c r="BC253" t="str">
        <f>IF('1. Live'!BC253='check-Jul25'!BC253,"",'1. Live'!BC253-'check-Jul25'!BC253)</f>
        <v/>
      </c>
      <c r="BD253" t="str">
        <f>IF('1. Live'!BD253='check-Jul25'!BD253,"",'1. Live'!BD253-'check-Jul25'!BD253)</f>
        <v/>
      </c>
      <c r="BE253" t="str">
        <f>IF('1. Live'!BE253='check-Jul25'!BE253,"",'1. Live'!BE253-'check-Jul25'!BE253)</f>
        <v/>
      </c>
      <c r="BF253" t="str">
        <f>IF('1. Live'!BF253='check-Jul25'!BF253,"",'1. Live'!BF253-'check-Jul25'!BF253)</f>
        <v/>
      </c>
      <c r="BG253" t="str">
        <f>IF('1. Live'!BG253='check-Jul25'!BG253,"",'1. Live'!BG253-'check-Jul25'!BG253)</f>
        <v/>
      </c>
      <c r="BH253" t="str">
        <f>IF('1. Live'!BH253='check-Jul25'!BH253,"",'1. Live'!BH253-'check-Jul25'!BH253)</f>
        <v/>
      </c>
      <c r="BI253" t="str">
        <f>IF('1. Live'!BI253='check-Jul25'!BI253,"",'1. Live'!BI253-'check-Jul25'!BI253)</f>
        <v/>
      </c>
      <c r="BJ253" t="str">
        <f>IF('1. Live'!BJ253='check-Jul25'!BJ253,"",'1. Live'!BJ253-'check-Jul25'!BJ253)</f>
        <v/>
      </c>
      <c r="BK253" t="str">
        <f>IF('1. Live'!BK253='check-Jul25'!BK253,"",'1. Live'!BK253-'check-Jul25'!BK253)</f>
        <v/>
      </c>
      <c r="BL253" t="str">
        <f>IF('1. Live'!BL253='check-Jul25'!BL253,"",'1. Live'!BL253-'check-Jul25'!BL253)</f>
        <v/>
      </c>
      <c r="BM253" t="str">
        <f>IF('1. Live'!BM253='check-Jul25'!BM253,"",'1. Live'!BM253-'check-Jul25'!BM253)</f>
        <v/>
      </c>
      <c r="BN253" t="str">
        <f>IF('1. Live'!BN253='check-Jul25'!BN253,"",'1. Live'!BN253-'check-Jul25'!BN253)</f>
        <v/>
      </c>
      <c r="BO253" t="str">
        <f>IF('1. Live'!BO253='check-Jul25'!BO253,"",'1. Live'!BO253-'check-Jul25'!BO253)</f>
        <v/>
      </c>
      <c r="BP253" t="str">
        <f>IF('1. Live'!BP253='check-Jul25'!BP253,"",'1. Live'!BP253-'check-Jul25'!BP253)</f>
        <v/>
      </c>
      <c r="BQ253" t="str">
        <f>IF('1. Live'!BQ253='check-Jul25'!BQ253,"",'1. Live'!BQ253-'check-Jul25'!BQ253)</f>
        <v/>
      </c>
      <c r="BR253" t="str">
        <f>IF('1. Live'!BR253='check-Jul25'!BR253,"",'1. Live'!BR253-'check-Jul25'!BR253)</f>
        <v/>
      </c>
      <c r="BS253" t="str">
        <f>IF('1. Live'!BS253='check-Jul25'!BS253,"",'1. Live'!BS253-'check-Jul25'!BS253)</f>
        <v/>
      </c>
      <c r="BT253" t="str">
        <f>IF('1. Live'!BT253='check-Jul25'!BT253,"",'1. Live'!BT253-'check-Jul25'!BT253)</f>
        <v/>
      </c>
      <c r="BU253" t="str">
        <f>IF('1. Live'!BU253='check-Jul25'!BU253,"",'1. Live'!BU253-'check-Jul25'!BU253)</f>
        <v/>
      </c>
      <c r="BV253" t="str">
        <f>IF('1. Live'!BV253='check-Jul25'!BV253,"",'1. Live'!BV253-'check-Jul25'!BV253)</f>
        <v/>
      </c>
      <c r="BW253" t="str">
        <f>IF('1. Live'!BW253='check-Jul25'!BW253,"",'1. Live'!BW253-'check-Jul25'!BW253)</f>
        <v/>
      </c>
      <c r="BX253" t="str">
        <f>IF('1. Live'!BX253='check-Jul25'!BX253,"",'1. Live'!BX253-'check-Jul25'!BX253)</f>
        <v/>
      </c>
      <c r="BY253" t="str">
        <f>IF('1. Live'!BY253='check-Jul25'!BY253,"",'1. Live'!BY253-'check-Jul25'!BY253)</f>
        <v/>
      </c>
      <c r="BZ253" t="str">
        <f>IF('1. Live'!BZ253='check-Jul25'!BZ253,"",'1. Live'!BZ253-'check-Jul25'!BZ253)</f>
        <v/>
      </c>
      <c r="CA253" t="str">
        <f>IF('1. Live'!CA253='check-Jul25'!CA253,"",'1. Live'!CA253-'check-Jul25'!CA253)</f>
        <v/>
      </c>
      <c r="CB253" t="str">
        <f>IF('1. Live'!CB253='check-Jul25'!CB253,"",'1. Live'!CB253-'check-Jul25'!CB253)</f>
        <v/>
      </c>
      <c r="CC253" t="str">
        <f>IF('1. Live'!CC253='check-Jul25'!CC253,"",'1. Live'!CC253-'check-Jul25'!CC253)</f>
        <v/>
      </c>
      <c r="CD253" t="str">
        <f>IF('1. Live'!CD253='check-Jul25'!CD253,"",'1. Live'!CD253-'check-Jul25'!CD253)</f>
        <v/>
      </c>
      <c r="CE253" t="str">
        <f>IF('1. Live'!CE253='check-Jul25'!CE253,"",'1. Live'!CE253-'check-Jul25'!CE253)</f>
        <v/>
      </c>
      <c r="CF253" t="str">
        <f>IF('1. Live'!CF253='check-Jul25'!CF253,"",'1. Live'!CF253-'check-Jul25'!CF253)</f>
        <v/>
      </c>
      <c r="CG253" t="str">
        <f>IF('1. Live'!CG253='check-Jul25'!CG253,"",'1. Live'!CG253-'check-Jul25'!CG253)</f>
        <v/>
      </c>
      <c r="CH253" t="str">
        <f>IF('1. Live'!CH253='check-Jul25'!CH253,"",'1. Live'!CH253-'check-Jul25'!CH253)</f>
        <v/>
      </c>
      <c r="CI253" t="str">
        <f>IF('1. Live'!CI253='check-Jul25'!CI253,"",'1. Live'!CI253-'check-Jul25'!CI253)</f>
        <v/>
      </c>
      <c r="CJ253" t="str">
        <f>IF('1. Live'!CJ253='check-Jul25'!CJ253,"",'1. Live'!CJ253-'check-Jul25'!CJ253)</f>
        <v/>
      </c>
      <c r="CK253" t="str">
        <f>IF('1. Live'!CK253='check-Jul25'!CK253,"",'1. Live'!CK253-'check-Jul25'!CK253)</f>
        <v/>
      </c>
      <c r="CL253" t="str">
        <f>IF('1. Live'!CL253='check-Jul25'!CL253,"",'1. Live'!CL253-'check-Jul25'!CL253)</f>
        <v/>
      </c>
      <c r="CM253" t="str">
        <f>IF('1. Live'!CM253='check-Jul25'!CM253,"",'1. Live'!CM253-'check-Jul25'!CM253)</f>
        <v/>
      </c>
      <c r="CN253" t="str">
        <f>IF('1. Live'!CN253='check-Jul25'!CN253,"",'1. Live'!CN253-'check-Jul25'!CN253)</f>
        <v/>
      </c>
      <c r="CO253" t="str">
        <f>IF('1. Live'!CO253='check-Jul25'!CO253,"",'1. Live'!CO253-'check-Jul25'!CO253)</f>
        <v/>
      </c>
      <c r="CP253" t="str">
        <f>IF('1. Live'!CP253='check-Jul25'!CP253,"",'1. Live'!CP253-'check-Jul25'!CP253)</f>
        <v/>
      </c>
      <c r="CQ253" t="str">
        <f>IF('1. Live'!CQ253='check-Jul25'!CQ253,"",'1. Live'!CQ253-'check-Jul25'!CQ253)</f>
        <v/>
      </c>
      <c r="CR253" t="str">
        <f>IF('1. Live'!CR253='check-Jul25'!CR253,"",'1. Live'!CR253-'check-Jul25'!CR253)</f>
        <v/>
      </c>
      <c r="CS253" t="str">
        <f>IF('1. Live'!CS253='check-Jul25'!CS253,"",'1. Live'!CS253-'check-Jul25'!CS253)</f>
        <v/>
      </c>
      <c r="CT253" t="str">
        <f>IF('1. Live'!CT253='check-Jul25'!CT253,"",'1. Live'!CT253-'check-Jul25'!CT253)</f>
        <v/>
      </c>
      <c r="CU253" t="str">
        <f>IF('1. Live'!CU253='check-Jul25'!CU253,"",'1. Live'!CU253-'check-Jul25'!CU253)</f>
        <v/>
      </c>
      <c r="CV253" t="str">
        <f>IF('1. Live'!CV253='check-Jul25'!CV253,"",'1. Live'!CV253-'check-Jul25'!CV253)</f>
        <v/>
      </c>
      <c r="CW253" t="str">
        <f>IF('1. Live'!CW253='check-Jul25'!CW253,"",'1. Live'!CW253-'check-Jul25'!CW253)</f>
        <v/>
      </c>
    </row>
    <row r="254" spans="10:101">
      <c r="J254" t="str">
        <f>IF('1. Live'!J254='check-Jul25'!J254,"",'1. Live'!J254-'check-Jul25'!J254)</f>
        <v/>
      </c>
      <c r="K254" t="str">
        <f>IF('1. Live'!K254='check-Jul25'!K254,"",'1. Live'!K254-'check-Jul25'!K254)</f>
        <v/>
      </c>
      <c r="L254" t="str">
        <f>IF('1. Live'!L254='check-Jul25'!L254,"",'1. Live'!L254-'check-Jul25'!L254)</f>
        <v/>
      </c>
      <c r="M254" t="str">
        <f>IF('1. Live'!M254='check-Jul25'!M254,"",'1. Live'!M254-'check-Jul25'!M254)</f>
        <v/>
      </c>
      <c r="N254" t="str">
        <f>IF('1. Live'!N254='check-Jul25'!N254,"",'1. Live'!N254-'check-Jul25'!N254)</f>
        <v/>
      </c>
      <c r="O254" t="str">
        <f>IF('1. Live'!O254='check-Jul25'!O254,"",'1. Live'!O254-'check-Jul25'!O254)</f>
        <v/>
      </c>
      <c r="P254" t="str">
        <f>IF('1. Live'!P254='check-Jul25'!P254,"",'1. Live'!P254-'check-Jul25'!P254)</f>
        <v/>
      </c>
      <c r="Q254" t="str">
        <f>IF('1. Live'!Q254='check-Jul25'!Q254,"",'1. Live'!Q254-'check-Jul25'!Q254)</f>
        <v/>
      </c>
      <c r="R254" t="str">
        <f>IF('1. Live'!R254='check-Jul25'!R254,"",'1. Live'!R254-'check-Jul25'!R254)</f>
        <v/>
      </c>
      <c r="S254" t="str">
        <f>IF('1. Live'!S254='check-Jul25'!S254,"",'1. Live'!S254-'check-Jul25'!S254)</f>
        <v/>
      </c>
      <c r="T254" t="str">
        <f>IF('1. Live'!T254='check-Jul25'!T254,"",'1. Live'!T254-'check-Jul25'!T254)</f>
        <v/>
      </c>
      <c r="U254" t="str">
        <f>IF('1. Live'!U254='check-Jul25'!U254,"",'1. Live'!U254-'check-Jul25'!U254)</f>
        <v/>
      </c>
      <c r="V254" t="str">
        <f>IF('1. Live'!V254='check-Jul25'!V254,"",'1. Live'!V254-'check-Jul25'!V254)</f>
        <v/>
      </c>
      <c r="W254" t="str">
        <f>IF('1. Live'!W254='check-Jul25'!W254,"",'1. Live'!W254-'check-Jul25'!W254)</f>
        <v/>
      </c>
      <c r="X254" t="str">
        <f>IF('1. Live'!X254='check-Jul25'!X254,"",'1. Live'!X254-'check-Jul25'!X254)</f>
        <v/>
      </c>
      <c r="Y254" t="str">
        <f>IF('1. Live'!Y254='check-Jul25'!Y254,"",'1. Live'!Y254-'check-Jul25'!Y254)</f>
        <v/>
      </c>
      <c r="Z254" t="str">
        <f>IF('1. Live'!Z254='check-Jul25'!Z254,"",'1. Live'!Z254-'check-Jul25'!Z254)</f>
        <v/>
      </c>
      <c r="AA254" t="str">
        <f>IF('1. Live'!AA254='check-Jul25'!AA254,"",'1. Live'!AA254-'check-Jul25'!AA254)</f>
        <v/>
      </c>
      <c r="AB254" t="str">
        <f>IF('1. Live'!AB254='check-Jul25'!AB254,"",'1. Live'!AB254-'check-Jul25'!AB254)</f>
        <v/>
      </c>
      <c r="AC254" t="str">
        <f>IF('1. Live'!AC254='check-Jul25'!AC254,"",'1. Live'!AC254-'check-Jul25'!AC254)</f>
        <v/>
      </c>
      <c r="AD254" t="str">
        <f>IF('1. Live'!AD254='check-Jul25'!AD254,"",'1. Live'!AD254-'check-Jul25'!AD254)</f>
        <v/>
      </c>
      <c r="AE254" t="str">
        <f>IF('1. Live'!AE254='check-Jul25'!AE254,"",'1. Live'!AE254-'check-Jul25'!AE254)</f>
        <v/>
      </c>
      <c r="AF254" t="str">
        <f>IF('1. Live'!AF254='check-Jul25'!AF254,"",'1. Live'!AF254-'check-Jul25'!AF254)</f>
        <v/>
      </c>
      <c r="AG254" t="str">
        <f>IF('1. Live'!AG254='check-Jul25'!AG254,"",'1. Live'!AG254-'check-Jul25'!AG254)</f>
        <v/>
      </c>
      <c r="AH254" t="str">
        <f>IF('1. Live'!AH254='check-Jul25'!AH254,"",'1. Live'!AH254-'check-Jul25'!AH254)</f>
        <v/>
      </c>
      <c r="AI254" t="str">
        <f>IF('1. Live'!AI254='check-Jul25'!AI254,"",'1. Live'!AI254-'check-Jul25'!AI254)</f>
        <v/>
      </c>
      <c r="AJ254" t="str">
        <f>IF('1. Live'!AJ254='check-Jul25'!AJ254,"",'1. Live'!AJ254-'check-Jul25'!AJ254)</f>
        <v/>
      </c>
      <c r="AK254" t="str">
        <f>IF('1. Live'!AK254='check-Jul25'!AK254,"",'1. Live'!AK254-'check-Jul25'!AK254)</f>
        <v/>
      </c>
      <c r="AL254" t="str">
        <f>IF('1. Live'!AL254='check-Jul25'!AL254,"",'1. Live'!AL254-'check-Jul25'!AL254)</f>
        <v/>
      </c>
      <c r="AM254" t="str">
        <f>IF('1. Live'!AM254='check-Jul25'!AM254,"",'1. Live'!AM254-'check-Jul25'!AM254)</f>
        <v/>
      </c>
      <c r="AN254" t="str">
        <f>IF('1. Live'!AN254='check-Jul25'!AN254,"",'1. Live'!AN254-'check-Jul25'!AN254)</f>
        <v/>
      </c>
      <c r="AO254" t="str">
        <f>IF('1. Live'!AO254='check-Jul25'!AO254,"",'1. Live'!AO254-'check-Jul25'!AO254)</f>
        <v/>
      </c>
      <c r="AP254" t="str">
        <f>IF('1. Live'!AP254='check-Jul25'!AP254,"",'1. Live'!AP254-'check-Jul25'!AP254)</f>
        <v/>
      </c>
      <c r="AQ254" t="str">
        <f>IF('1. Live'!AQ254='check-Jul25'!AQ254,"",'1. Live'!AQ254-'check-Jul25'!AQ254)</f>
        <v/>
      </c>
      <c r="AR254" t="str">
        <f>IF('1. Live'!AR254='check-Jul25'!AR254,"",'1. Live'!AR254-'check-Jul25'!AR254)</f>
        <v/>
      </c>
      <c r="AS254" t="str">
        <f>IF('1. Live'!AS254='check-Jul25'!AS254,"",'1. Live'!AS254-'check-Jul25'!AS254)</f>
        <v/>
      </c>
      <c r="AT254" t="str">
        <f>IF('1. Live'!AT254='check-Jul25'!AT254,"",'1. Live'!AT254-'check-Jul25'!AT254)</f>
        <v/>
      </c>
      <c r="AU254" t="str">
        <f>IF('1. Live'!AU254='check-Jul25'!AU254,"",'1. Live'!AU254-'check-Jul25'!AU254)</f>
        <v/>
      </c>
      <c r="AV254" t="str">
        <f>IF('1. Live'!AV254='check-Jul25'!AV254,"",'1. Live'!AV254-'check-Jul25'!AV254)</f>
        <v/>
      </c>
      <c r="AW254" t="str">
        <f>IF('1. Live'!AW254='check-Jul25'!AW254,"",'1. Live'!AW254-'check-Jul25'!AW254)</f>
        <v/>
      </c>
      <c r="AX254" t="str">
        <f>IF('1. Live'!AX254='check-Jul25'!AX254,"",'1. Live'!AX254-'check-Jul25'!AX254)</f>
        <v/>
      </c>
      <c r="AY254" t="str">
        <f>IF('1. Live'!AY254='check-Jul25'!AY254,"",'1. Live'!AY254-'check-Jul25'!AY254)</f>
        <v/>
      </c>
      <c r="AZ254" t="str">
        <f>IF('1. Live'!AZ254='check-Jul25'!AZ254,"",'1. Live'!AZ254-'check-Jul25'!AZ254)</f>
        <v/>
      </c>
      <c r="BA254" t="str">
        <f>IF('1. Live'!BA254='check-Jul25'!BA254,"",'1. Live'!BA254-'check-Jul25'!BA254)</f>
        <v/>
      </c>
      <c r="BB254" t="str">
        <f>IF('1. Live'!BB254='check-Jul25'!BB254,"",'1. Live'!BB254-'check-Jul25'!BB254)</f>
        <v/>
      </c>
      <c r="BC254" t="str">
        <f>IF('1. Live'!BC254='check-Jul25'!BC254,"",'1. Live'!BC254-'check-Jul25'!BC254)</f>
        <v/>
      </c>
      <c r="BD254" t="str">
        <f>IF('1. Live'!BD254='check-Jul25'!BD254,"",'1. Live'!BD254-'check-Jul25'!BD254)</f>
        <v/>
      </c>
      <c r="BE254" t="str">
        <f>IF('1. Live'!BE254='check-Jul25'!BE254,"",'1. Live'!BE254-'check-Jul25'!BE254)</f>
        <v/>
      </c>
      <c r="BF254" t="str">
        <f>IF('1. Live'!BF254='check-Jul25'!BF254,"",'1. Live'!BF254-'check-Jul25'!BF254)</f>
        <v/>
      </c>
      <c r="BG254" t="str">
        <f>IF('1. Live'!BG254='check-Jul25'!BG254,"",'1. Live'!BG254-'check-Jul25'!BG254)</f>
        <v/>
      </c>
      <c r="BH254" t="str">
        <f>IF('1. Live'!BH254='check-Jul25'!BH254,"",'1. Live'!BH254-'check-Jul25'!BH254)</f>
        <v/>
      </c>
      <c r="BI254" t="str">
        <f>IF('1. Live'!BI254='check-Jul25'!BI254,"",'1. Live'!BI254-'check-Jul25'!BI254)</f>
        <v/>
      </c>
      <c r="BJ254" t="str">
        <f>IF('1. Live'!BJ254='check-Jul25'!BJ254,"",'1. Live'!BJ254-'check-Jul25'!BJ254)</f>
        <v/>
      </c>
      <c r="BK254" t="str">
        <f>IF('1. Live'!BK254='check-Jul25'!BK254,"",'1. Live'!BK254-'check-Jul25'!BK254)</f>
        <v/>
      </c>
      <c r="BL254" t="str">
        <f>IF('1. Live'!BL254='check-Jul25'!BL254,"",'1. Live'!BL254-'check-Jul25'!BL254)</f>
        <v/>
      </c>
      <c r="BM254" t="str">
        <f>IF('1. Live'!BM254='check-Jul25'!BM254,"",'1. Live'!BM254-'check-Jul25'!BM254)</f>
        <v/>
      </c>
      <c r="BN254" t="str">
        <f>IF('1. Live'!BN254='check-Jul25'!BN254,"",'1. Live'!BN254-'check-Jul25'!BN254)</f>
        <v/>
      </c>
      <c r="BO254" t="str">
        <f>IF('1. Live'!BO254='check-Jul25'!BO254,"",'1. Live'!BO254-'check-Jul25'!BO254)</f>
        <v/>
      </c>
      <c r="BP254" t="str">
        <f>IF('1. Live'!BP254='check-Jul25'!BP254,"",'1. Live'!BP254-'check-Jul25'!BP254)</f>
        <v/>
      </c>
      <c r="BQ254" t="str">
        <f>IF('1. Live'!BQ254='check-Jul25'!BQ254,"",'1. Live'!BQ254-'check-Jul25'!BQ254)</f>
        <v/>
      </c>
      <c r="BR254" t="str">
        <f>IF('1. Live'!BR254='check-Jul25'!BR254,"",'1. Live'!BR254-'check-Jul25'!BR254)</f>
        <v/>
      </c>
      <c r="BS254" t="str">
        <f>IF('1. Live'!BS254='check-Jul25'!BS254,"",'1. Live'!BS254-'check-Jul25'!BS254)</f>
        <v/>
      </c>
      <c r="BT254" t="str">
        <f>IF('1. Live'!BT254='check-Jul25'!BT254,"",'1. Live'!BT254-'check-Jul25'!BT254)</f>
        <v/>
      </c>
      <c r="BU254" t="str">
        <f>IF('1. Live'!BU254='check-Jul25'!BU254,"",'1. Live'!BU254-'check-Jul25'!BU254)</f>
        <v/>
      </c>
      <c r="BV254" t="str">
        <f>IF('1. Live'!BV254='check-Jul25'!BV254,"",'1. Live'!BV254-'check-Jul25'!BV254)</f>
        <v/>
      </c>
      <c r="BW254" t="str">
        <f>IF('1. Live'!BW254='check-Jul25'!BW254,"",'1. Live'!BW254-'check-Jul25'!BW254)</f>
        <v/>
      </c>
      <c r="BX254" t="str">
        <f>IF('1. Live'!BX254='check-Jul25'!BX254,"",'1. Live'!BX254-'check-Jul25'!BX254)</f>
        <v/>
      </c>
      <c r="BY254" t="str">
        <f>IF('1. Live'!BY254='check-Jul25'!BY254,"",'1. Live'!BY254-'check-Jul25'!BY254)</f>
        <v/>
      </c>
      <c r="BZ254" t="str">
        <f>IF('1. Live'!BZ254='check-Jul25'!BZ254,"",'1. Live'!BZ254-'check-Jul25'!BZ254)</f>
        <v/>
      </c>
      <c r="CA254" t="str">
        <f>IF('1. Live'!CA254='check-Jul25'!CA254,"",'1. Live'!CA254-'check-Jul25'!CA254)</f>
        <v/>
      </c>
      <c r="CB254" t="str">
        <f>IF('1. Live'!CB254='check-Jul25'!CB254,"",'1. Live'!CB254-'check-Jul25'!CB254)</f>
        <v/>
      </c>
      <c r="CC254" t="str">
        <f>IF('1. Live'!CC254='check-Jul25'!CC254,"",'1. Live'!CC254-'check-Jul25'!CC254)</f>
        <v/>
      </c>
      <c r="CD254" t="str">
        <f>IF('1. Live'!CD254='check-Jul25'!CD254,"",'1. Live'!CD254-'check-Jul25'!CD254)</f>
        <v/>
      </c>
      <c r="CE254" t="str">
        <f>IF('1. Live'!CE254='check-Jul25'!CE254,"",'1. Live'!CE254-'check-Jul25'!CE254)</f>
        <v/>
      </c>
      <c r="CF254" t="str">
        <f>IF('1. Live'!CF254='check-Jul25'!CF254,"",'1. Live'!CF254-'check-Jul25'!CF254)</f>
        <v/>
      </c>
      <c r="CG254" t="str">
        <f>IF('1. Live'!CG254='check-Jul25'!CG254,"",'1. Live'!CG254-'check-Jul25'!CG254)</f>
        <v/>
      </c>
      <c r="CH254" t="str">
        <f>IF('1. Live'!CH254='check-Jul25'!CH254,"",'1. Live'!CH254-'check-Jul25'!CH254)</f>
        <v/>
      </c>
      <c r="CI254" t="str">
        <f>IF('1. Live'!CI254='check-Jul25'!CI254,"",'1. Live'!CI254-'check-Jul25'!CI254)</f>
        <v/>
      </c>
      <c r="CJ254" t="str">
        <f>IF('1. Live'!CJ254='check-Jul25'!CJ254,"",'1. Live'!CJ254-'check-Jul25'!CJ254)</f>
        <v/>
      </c>
      <c r="CK254" t="str">
        <f>IF('1. Live'!CK254='check-Jul25'!CK254,"",'1. Live'!CK254-'check-Jul25'!CK254)</f>
        <v/>
      </c>
      <c r="CL254" t="str">
        <f>IF('1. Live'!CL254='check-Jul25'!CL254,"",'1. Live'!CL254-'check-Jul25'!CL254)</f>
        <v/>
      </c>
      <c r="CM254" t="str">
        <f>IF('1. Live'!CM254='check-Jul25'!CM254,"",'1. Live'!CM254-'check-Jul25'!CM254)</f>
        <v/>
      </c>
      <c r="CN254" t="str">
        <f>IF('1. Live'!CN254='check-Jul25'!CN254,"",'1. Live'!CN254-'check-Jul25'!CN254)</f>
        <v/>
      </c>
      <c r="CO254" t="str">
        <f>IF('1. Live'!CO254='check-Jul25'!CO254,"",'1. Live'!CO254-'check-Jul25'!CO254)</f>
        <v/>
      </c>
      <c r="CP254" t="str">
        <f>IF('1. Live'!CP254='check-Jul25'!CP254,"",'1. Live'!CP254-'check-Jul25'!CP254)</f>
        <v/>
      </c>
      <c r="CQ254" t="str">
        <f>IF('1. Live'!CQ254='check-Jul25'!CQ254,"",'1. Live'!CQ254-'check-Jul25'!CQ254)</f>
        <v/>
      </c>
      <c r="CR254" t="str">
        <f>IF('1. Live'!CR254='check-Jul25'!CR254,"",'1. Live'!CR254-'check-Jul25'!CR254)</f>
        <v/>
      </c>
      <c r="CS254" t="str">
        <f>IF('1. Live'!CS254='check-Jul25'!CS254,"",'1. Live'!CS254-'check-Jul25'!CS254)</f>
        <v/>
      </c>
      <c r="CT254" t="str">
        <f>IF('1. Live'!CT254='check-Jul25'!CT254,"",'1. Live'!CT254-'check-Jul25'!CT254)</f>
        <v/>
      </c>
      <c r="CU254" t="str">
        <f>IF('1. Live'!CU254='check-Jul25'!CU254,"",'1. Live'!CU254-'check-Jul25'!CU254)</f>
        <v/>
      </c>
      <c r="CV254" t="str">
        <f>IF('1. Live'!CV254='check-Jul25'!CV254,"",'1. Live'!CV254-'check-Jul25'!CV254)</f>
        <v/>
      </c>
      <c r="CW254" t="str">
        <f>IF('1. Live'!CW254='check-Jul25'!CW254,"",'1. Live'!CW254-'check-Jul25'!CW254)</f>
        <v/>
      </c>
    </row>
    <row r="255" spans="10:101">
      <c r="J255" t="str">
        <f>IF('1. Live'!J255='check-Jul25'!J255,"",'1. Live'!J255-'check-Jul25'!J255)</f>
        <v/>
      </c>
      <c r="K255" t="str">
        <f>IF('1. Live'!K255='check-Jul25'!K255,"",'1. Live'!K255-'check-Jul25'!K255)</f>
        <v/>
      </c>
      <c r="L255" t="str">
        <f>IF('1. Live'!L255='check-Jul25'!L255,"",'1. Live'!L255-'check-Jul25'!L255)</f>
        <v/>
      </c>
      <c r="M255" t="str">
        <f>IF('1. Live'!M255='check-Jul25'!M255,"",'1. Live'!M255-'check-Jul25'!M255)</f>
        <v/>
      </c>
      <c r="N255" t="str">
        <f>IF('1. Live'!N255='check-Jul25'!N255,"",'1. Live'!N255-'check-Jul25'!N255)</f>
        <v/>
      </c>
      <c r="O255" t="str">
        <f>IF('1. Live'!O255='check-Jul25'!O255,"",'1. Live'!O255-'check-Jul25'!O255)</f>
        <v/>
      </c>
      <c r="P255" t="str">
        <f>IF('1. Live'!P255='check-Jul25'!P255,"",'1. Live'!P255-'check-Jul25'!P255)</f>
        <v/>
      </c>
      <c r="Q255" t="str">
        <f>IF('1. Live'!Q255='check-Jul25'!Q255,"",'1. Live'!Q255-'check-Jul25'!Q255)</f>
        <v/>
      </c>
      <c r="R255" t="str">
        <f>IF('1. Live'!R255='check-Jul25'!R255,"",'1. Live'!R255-'check-Jul25'!R255)</f>
        <v/>
      </c>
      <c r="S255" t="str">
        <f>IF('1. Live'!S255='check-Jul25'!S255,"",'1. Live'!S255-'check-Jul25'!S255)</f>
        <v/>
      </c>
      <c r="T255" t="str">
        <f>IF('1. Live'!T255='check-Jul25'!T255,"",'1. Live'!T255-'check-Jul25'!T255)</f>
        <v/>
      </c>
      <c r="U255" t="str">
        <f>IF('1. Live'!U255='check-Jul25'!U255,"",'1. Live'!U255-'check-Jul25'!U255)</f>
        <v/>
      </c>
      <c r="V255" t="str">
        <f>IF('1. Live'!V255='check-Jul25'!V255,"",'1. Live'!V255-'check-Jul25'!V255)</f>
        <v/>
      </c>
      <c r="W255" t="str">
        <f>IF('1. Live'!W255='check-Jul25'!W255,"",'1. Live'!W255-'check-Jul25'!W255)</f>
        <v/>
      </c>
      <c r="X255" t="str">
        <f>IF('1. Live'!X255='check-Jul25'!X255,"",'1. Live'!X255-'check-Jul25'!X255)</f>
        <v/>
      </c>
      <c r="Y255" t="str">
        <f>IF('1. Live'!Y255='check-Jul25'!Y255,"",'1. Live'!Y255-'check-Jul25'!Y255)</f>
        <v/>
      </c>
      <c r="Z255" t="str">
        <f>IF('1. Live'!Z255='check-Jul25'!Z255,"",'1. Live'!Z255-'check-Jul25'!Z255)</f>
        <v/>
      </c>
      <c r="AA255" t="str">
        <f>IF('1. Live'!AA255='check-Jul25'!AA255,"",'1. Live'!AA255-'check-Jul25'!AA255)</f>
        <v/>
      </c>
      <c r="AB255" t="str">
        <f>IF('1. Live'!AB255='check-Jul25'!AB255,"",'1. Live'!AB255-'check-Jul25'!AB255)</f>
        <v/>
      </c>
      <c r="AC255" t="str">
        <f>IF('1. Live'!AC255='check-Jul25'!AC255,"",'1. Live'!AC255-'check-Jul25'!AC255)</f>
        <v/>
      </c>
      <c r="AD255" t="str">
        <f>IF('1. Live'!AD255='check-Jul25'!AD255,"",'1. Live'!AD255-'check-Jul25'!AD255)</f>
        <v/>
      </c>
      <c r="AE255" t="str">
        <f>IF('1. Live'!AE255='check-Jul25'!AE255,"",'1. Live'!AE255-'check-Jul25'!AE255)</f>
        <v/>
      </c>
      <c r="AF255" t="str">
        <f>IF('1. Live'!AF255='check-Jul25'!AF255,"",'1. Live'!AF255-'check-Jul25'!AF255)</f>
        <v/>
      </c>
      <c r="AG255" t="str">
        <f>IF('1. Live'!AG255='check-Jul25'!AG255,"",'1. Live'!AG255-'check-Jul25'!AG255)</f>
        <v/>
      </c>
      <c r="AH255" t="str">
        <f>IF('1. Live'!AH255='check-Jul25'!AH255,"",'1. Live'!AH255-'check-Jul25'!AH255)</f>
        <v/>
      </c>
      <c r="AI255" t="str">
        <f>IF('1. Live'!AI255='check-Jul25'!AI255,"",'1. Live'!AI255-'check-Jul25'!AI255)</f>
        <v/>
      </c>
      <c r="AJ255" t="str">
        <f>IF('1. Live'!AJ255='check-Jul25'!AJ255,"",'1. Live'!AJ255-'check-Jul25'!AJ255)</f>
        <v/>
      </c>
      <c r="AK255" t="str">
        <f>IF('1. Live'!AK255='check-Jul25'!AK255,"",'1. Live'!AK255-'check-Jul25'!AK255)</f>
        <v/>
      </c>
      <c r="AL255" t="str">
        <f>IF('1. Live'!AL255='check-Jul25'!AL255,"",'1. Live'!AL255-'check-Jul25'!AL255)</f>
        <v/>
      </c>
      <c r="AM255" t="str">
        <f>IF('1. Live'!AM255='check-Jul25'!AM255,"",'1. Live'!AM255-'check-Jul25'!AM255)</f>
        <v/>
      </c>
      <c r="AN255" t="str">
        <f>IF('1. Live'!AN255='check-Jul25'!AN255,"",'1. Live'!AN255-'check-Jul25'!AN255)</f>
        <v/>
      </c>
      <c r="AO255" t="str">
        <f>IF('1. Live'!AO255='check-Jul25'!AO255,"",'1. Live'!AO255-'check-Jul25'!AO255)</f>
        <v/>
      </c>
      <c r="AP255" t="str">
        <f>IF('1. Live'!AP255='check-Jul25'!AP255,"",'1. Live'!AP255-'check-Jul25'!AP255)</f>
        <v/>
      </c>
      <c r="AQ255" t="str">
        <f>IF('1. Live'!AQ255='check-Jul25'!AQ255,"",'1. Live'!AQ255-'check-Jul25'!AQ255)</f>
        <v/>
      </c>
      <c r="AR255" t="str">
        <f>IF('1. Live'!AR255='check-Jul25'!AR255,"",'1. Live'!AR255-'check-Jul25'!AR255)</f>
        <v/>
      </c>
      <c r="AS255" t="str">
        <f>IF('1. Live'!AS255='check-Jul25'!AS255,"",'1. Live'!AS255-'check-Jul25'!AS255)</f>
        <v/>
      </c>
      <c r="AT255" t="str">
        <f>IF('1. Live'!AT255='check-Jul25'!AT255,"",'1. Live'!AT255-'check-Jul25'!AT255)</f>
        <v/>
      </c>
      <c r="AU255" t="str">
        <f>IF('1. Live'!AU255='check-Jul25'!AU255,"",'1. Live'!AU255-'check-Jul25'!AU255)</f>
        <v/>
      </c>
      <c r="AV255" t="str">
        <f>IF('1. Live'!AV255='check-Jul25'!AV255,"",'1. Live'!AV255-'check-Jul25'!AV255)</f>
        <v/>
      </c>
      <c r="AW255" t="str">
        <f>IF('1. Live'!AW255='check-Jul25'!AW255,"",'1. Live'!AW255-'check-Jul25'!AW255)</f>
        <v/>
      </c>
      <c r="AX255" t="str">
        <f>IF('1. Live'!AX255='check-Jul25'!AX255,"",'1. Live'!AX255-'check-Jul25'!AX255)</f>
        <v/>
      </c>
      <c r="AY255" t="str">
        <f>IF('1. Live'!AY255='check-Jul25'!AY255,"",'1. Live'!AY255-'check-Jul25'!AY255)</f>
        <v/>
      </c>
      <c r="AZ255" t="str">
        <f>IF('1. Live'!AZ255='check-Jul25'!AZ255,"",'1. Live'!AZ255-'check-Jul25'!AZ255)</f>
        <v/>
      </c>
      <c r="BA255" t="str">
        <f>IF('1. Live'!BA255='check-Jul25'!BA255,"",'1. Live'!BA255-'check-Jul25'!BA255)</f>
        <v/>
      </c>
      <c r="BB255" t="str">
        <f>IF('1. Live'!BB255='check-Jul25'!BB255,"",'1. Live'!BB255-'check-Jul25'!BB255)</f>
        <v/>
      </c>
      <c r="BC255" t="str">
        <f>IF('1. Live'!BC255='check-Jul25'!BC255,"",'1. Live'!BC255-'check-Jul25'!BC255)</f>
        <v/>
      </c>
      <c r="BD255" t="str">
        <f>IF('1. Live'!BD255='check-Jul25'!BD255,"",'1. Live'!BD255-'check-Jul25'!BD255)</f>
        <v/>
      </c>
      <c r="BE255" t="str">
        <f>IF('1. Live'!BE255='check-Jul25'!BE255,"",'1. Live'!BE255-'check-Jul25'!BE255)</f>
        <v/>
      </c>
      <c r="BF255" t="str">
        <f>IF('1. Live'!BF255='check-Jul25'!BF255,"",'1. Live'!BF255-'check-Jul25'!BF255)</f>
        <v/>
      </c>
      <c r="BG255" t="str">
        <f>IF('1. Live'!BG255='check-Jul25'!BG255,"",'1. Live'!BG255-'check-Jul25'!BG255)</f>
        <v/>
      </c>
      <c r="BH255" t="str">
        <f>IF('1. Live'!BH255='check-Jul25'!BH255,"",'1. Live'!BH255-'check-Jul25'!BH255)</f>
        <v/>
      </c>
      <c r="BI255" t="str">
        <f>IF('1. Live'!BI255='check-Jul25'!BI255,"",'1. Live'!BI255-'check-Jul25'!BI255)</f>
        <v/>
      </c>
      <c r="BJ255" t="str">
        <f>IF('1. Live'!BJ255='check-Jul25'!BJ255,"",'1. Live'!BJ255-'check-Jul25'!BJ255)</f>
        <v/>
      </c>
      <c r="BK255" t="str">
        <f>IF('1. Live'!BK255='check-Jul25'!BK255,"",'1. Live'!BK255-'check-Jul25'!BK255)</f>
        <v/>
      </c>
      <c r="BL255" t="str">
        <f>IF('1. Live'!BL255='check-Jul25'!BL255,"",'1. Live'!BL255-'check-Jul25'!BL255)</f>
        <v/>
      </c>
      <c r="BM255" t="str">
        <f>IF('1. Live'!BM255='check-Jul25'!BM255,"",'1. Live'!BM255-'check-Jul25'!BM255)</f>
        <v/>
      </c>
      <c r="BN255" t="str">
        <f>IF('1. Live'!BN255='check-Jul25'!BN255,"",'1. Live'!BN255-'check-Jul25'!BN255)</f>
        <v/>
      </c>
      <c r="BO255" t="str">
        <f>IF('1. Live'!BO255='check-Jul25'!BO255,"",'1. Live'!BO255-'check-Jul25'!BO255)</f>
        <v/>
      </c>
      <c r="BP255" t="str">
        <f>IF('1. Live'!BP255='check-Jul25'!BP255,"",'1. Live'!BP255-'check-Jul25'!BP255)</f>
        <v/>
      </c>
      <c r="BQ255" t="str">
        <f>IF('1. Live'!BQ255='check-Jul25'!BQ255,"",'1. Live'!BQ255-'check-Jul25'!BQ255)</f>
        <v/>
      </c>
      <c r="BR255" t="str">
        <f>IF('1. Live'!BR255='check-Jul25'!BR255,"",'1. Live'!BR255-'check-Jul25'!BR255)</f>
        <v/>
      </c>
      <c r="BS255" t="str">
        <f>IF('1. Live'!BS255='check-Jul25'!BS255,"",'1. Live'!BS255-'check-Jul25'!BS255)</f>
        <v/>
      </c>
      <c r="BT255" t="str">
        <f>IF('1. Live'!BT255='check-Jul25'!BT255,"",'1. Live'!BT255-'check-Jul25'!BT255)</f>
        <v/>
      </c>
      <c r="BU255" t="str">
        <f>IF('1. Live'!BU255='check-Jul25'!BU255,"",'1. Live'!BU255-'check-Jul25'!BU255)</f>
        <v/>
      </c>
      <c r="BV255" t="str">
        <f>IF('1. Live'!BV255='check-Jul25'!BV255,"",'1. Live'!BV255-'check-Jul25'!BV255)</f>
        <v/>
      </c>
      <c r="BW255" t="str">
        <f>IF('1. Live'!BW255='check-Jul25'!BW255,"",'1. Live'!BW255-'check-Jul25'!BW255)</f>
        <v/>
      </c>
      <c r="BX255" t="str">
        <f>IF('1. Live'!BX255='check-Jul25'!BX255,"",'1. Live'!BX255-'check-Jul25'!BX255)</f>
        <v/>
      </c>
      <c r="BY255" t="str">
        <f>IF('1. Live'!BY255='check-Jul25'!BY255,"",'1. Live'!BY255-'check-Jul25'!BY255)</f>
        <v/>
      </c>
      <c r="BZ255" t="str">
        <f>IF('1. Live'!BZ255='check-Jul25'!BZ255,"",'1. Live'!BZ255-'check-Jul25'!BZ255)</f>
        <v/>
      </c>
      <c r="CA255" t="str">
        <f>IF('1. Live'!CA255='check-Jul25'!CA255,"",'1. Live'!CA255-'check-Jul25'!CA255)</f>
        <v/>
      </c>
      <c r="CB255" t="str">
        <f>IF('1. Live'!CB255='check-Jul25'!CB255,"",'1. Live'!CB255-'check-Jul25'!CB255)</f>
        <v/>
      </c>
      <c r="CC255" t="str">
        <f>IF('1. Live'!CC255='check-Jul25'!CC255,"",'1. Live'!CC255-'check-Jul25'!CC255)</f>
        <v/>
      </c>
      <c r="CD255" t="str">
        <f>IF('1. Live'!CD255='check-Jul25'!CD255,"",'1. Live'!CD255-'check-Jul25'!CD255)</f>
        <v/>
      </c>
      <c r="CE255" t="str">
        <f>IF('1. Live'!CE255='check-Jul25'!CE255,"",'1. Live'!CE255-'check-Jul25'!CE255)</f>
        <v/>
      </c>
      <c r="CF255" t="str">
        <f>IF('1. Live'!CF255='check-Jul25'!CF255,"",'1. Live'!CF255-'check-Jul25'!CF255)</f>
        <v/>
      </c>
      <c r="CG255" t="str">
        <f>IF('1. Live'!CG255='check-Jul25'!CG255,"",'1. Live'!CG255-'check-Jul25'!CG255)</f>
        <v/>
      </c>
      <c r="CH255" t="str">
        <f>IF('1. Live'!CH255='check-Jul25'!CH255,"",'1. Live'!CH255-'check-Jul25'!CH255)</f>
        <v/>
      </c>
      <c r="CI255" t="str">
        <f>IF('1. Live'!CI255='check-Jul25'!CI255,"",'1. Live'!CI255-'check-Jul25'!CI255)</f>
        <v/>
      </c>
      <c r="CJ255" t="str">
        <f>IF('1. Live'!CJ255='check-Jul25'!CJ255,"",'1. Live'!CJ255-'check-Jul25'!CJ255)</f>
        <v/>
      </c>
      <c r="CK255" t="str">
        <f>IF('1. Live'!CK255='check-Jul25'!CK255,"",'1. Live'!CK255-'check-Jul25'!CK255)</f>
        <v/>
      </c>
      <c r="CL255" t="str">
        <f>IF('1. Live'!CL255='check-Jul25'!CL255,"",'1. Live'!CL255-'check-Jul25'!CL255)</f>
        <v/>
      </c>
      <c r="CM255" t="str">
        <f>IF('1. Live'!CM255='check-Jul25'!CM255,"",'1. Live'!CM255-'check-Jul25'!CM255)</f>
        <v/>
      </c>
      <c r="CN255" t="str">
        <f>IF('1. Live'!CN255='check-Jul25'!CN255,"",'1. Live'!CN255-'check-Jul25'!CN255)</f>
        <v/>
      </c>
      <c r="CO255" t="str">
        <f>IF('1. Live'!CO255='check-Jul25'!CO255,"",'1. Live'!CO255-'check-Jul25'!CO255)</f>
        <v/>
      </c>
      <c r="CP255" t="str">
        <f>IF('1. Live'!CP255='check-Jul25'!CP255,"",'1. Live'!CP255-'check-Jul25'!CP255)</f>
        <v/>
      </c>
      <c r="CQ255" t="str">
        <f>IF('1. Live'!CQ255='check-Jul25'!CQ255,"",'1. Live'!CQ255-'check-Jul25'!CQ255)</f>
        <v/>
      </c>
      <c r="CR255" t="str">
        <f>IF('1. Live'!CR255='check-Jul25'!CR255,"",'1. Live'!CR255-'check-Jul25'!CR255)</f>
        <v/>
      </c>
      <c r="CS255" t="str">
        <f>IF('1. Live'!CS255='check-Jul25'!CS255,"",'1. Live'!CS255-'check-Jul25'!CS255)</f>
        <v/>
      </c>
      <c r="CT255" t="str">
        <f>IF('1. Live'!CT255='check-Jul25'!CT255,"",'1. Live'!CT255-'check-Jul25'!CT255)</f>
        <v/>
      </c>
      <c r="CU255" t="str">
        <f>IF('1. Live'!CU255='check-Jul25'!CU255,"",'1. Live'!CU255-'check-Jul25'!CU255)</f>
        <v/>
      </c>
      <c r="CV255" t="str">
        <f>IF('1. Live'!CV255='check-Jul25'!CV255,"",'1. Live'!CV255-'check-Jul25'!CV255)</f>
        <v/>
      </c>
      <c r="CW255" t="str">
        <f>IF('1. Live'!CW255='check-Jul25'!CW255,"",'1. Live'!CW255-'check-Jul25'!CW255)</f>
        <v/>
      </c>
    </row>
    <row r="256" spans="10:101">
      <c r="J256" t="str">
        <f>IF('1. Live'!J256='check-Jul25'!J256,"",'1. Live'!J256-'check-Jul25'!J256)</f>
        <v/>
      </c>
      <c r="K256" t="str">
        <f>IF('1. Live'!K256='check-Jul25'!K256,"",'1. Live'!K256-'check-Jul25'!K256)</f>
        <v/>
      </c>
      <c r="L256" t="str">
        <f>IF('1. Live'!L256='check-Jul25'!L256,"",'1. Live'!L256-'check-Jul25'!L256)</f>
        <v/>
      </c>
      <c r="M256" t="str">
        <f>IF('1. Live'!M256='check-Jul25'!M256,"",'1. Live'!M256-'check-Jul25'!M256)</f>
        <v/>
      </c>
      <c r="N256" t="str">
        <f>IF('1. Live'!N256='check-Jul25'!N256,"",'1. Live'!N256-'check-Jul25'!N256)</f>
        <v/>
      </c>
      <c r="O256" t="str">
        <f>IF('1. Live'!O256='check-Jul25'!O256,"",'1. Live'!O256-'check-Jul25'!O256)</f>
        <v/>
      </c>
      <c r="P256" t="str">
        <f>IF('1. Live'!P256='check-Jul25'!P256,"",'1. Live'!P256-'check-Jul25'!P256)</f>
        <v/>
      </c>
      <c r="Q256" t="str">
        <f>IF('1. Live'!Q256='check-Jul25'!Q256,"",'1. Live'!Q256-'check-Jul25'!Q256)</f>
        <v/>
      </c>
      <c r="R256" t="str">
        <f>IF('1. Live'!R256='check-Jul25'!R256,"",'1. Live'!R256-'check-Jul25'!R256)</f>
        <v/>
      </c>
      <c r="S256" t="str">
        <f>IF('1. Live'!S256='check-Jul25'!S256,"",'1. Live'!S256-'check-Jul25'!S256)</f>
        <v/>
      </c>
      <c r="T256" t="str">
        <f>IF('1. Live'!T256='check-Jul25'!T256,"",'1. Live'!T256-'check-Jul25'!T256)</f>
        <v/>
      </c>
      <c r="U256" t="str">
        <f>IF('1. Live'!U256='check-Jul25'!U256,"",'1. Live'!U256-'check-Jul25'!U256)</f>
        <v/>
      </c>
      <c r="V256" t="str">
        <f>IF('1. Live'!V256='check-Jul25'!V256,"",'1. Live'!V256-'check-Jul25'!V256)</f>
        <v/>
      </c>
      <c r="W256" t="str">
        <f>IF('1. Live'!W256='check-Jul25'!W256,"",'1. Live'!W256-'check-Jul25'!W256)</f>
        <v/>
      </c>
      <c r="X256" t="str">
        <f>IF('1. Live'!X256='check-Jul25'!X256,"",'1. Live'!X256-'check-Jul25'!X256)</f>
        <v/>
      </c>
      <c r="Y256" t="str">
        <f>IF('1. Live'!Y256='check-Jul25'!Y256,"",'1. Live'!Y256-'check-Jul25'!Y256)</f>
        <v/>
      </c>
      <c r="Z256" t="str">
        <f>IF('1. Live'!Z256='check-Jul25'!Z256,"",'1. Live'!Z256-'check-Jul25'!Z256)</f>
        <v/>
      </c>
      <c r="AA256" t="str">
        <f>IF('1. Live'!AA256='check-Jul25'!AA256,"",'1. Live'!AA256-'check-Jul25'!AA256)</f>
        <v/>
      </c>
      <c r="AB256" t="str">
        <f>IF('1. Live'!AB256='check-Jul25'!AB256,"",'1. Live'!AB256-'check-Jul25'!AB256)</f>
        <v/>
      </c>
      <c r="AC256" t="str">
        <f>IF('1. Live'!AC256='check-Jul25'!AC256,"",'1. Live'!AC256-'check-Jul25'!AC256)</f>
        <v/>
      </c>
      <c r="AD256" t="str">
        <f>IF('1. Live'!AD256='check-Jul25'!AD256,"",'1. Live'!AD256-'check-Jul25'!AD256)</f>
        <v/>
      </c>
      <c r="AE256" t="str">
        <f>IF('1. Live'!AE256='check-Jul25'!AE256,"",'1. Live'!AE256-'check-Jul25'!AE256)</f>
        <v/>
      </c>
      <c r="AF256" t="str">
        <f>IF('1. Live'!AF256='check-Jul25'!AF256,"",'1. Live'!AF256-'check-Jul25'!AF256)</f>
        <v/>
      </c>
      <c r="AG256" t="str">
        <f>IF('1. Live'!AG256='check-Jul25'!AG256,"",'1. Live'!AG256-'check-Jul25'!AG256)</f>
        <v/>
      </c>
      <c r="AH256" t="str">
        <f>IF('1. Live'!AH256='check-Jul25'!AH256,"",'1. Live'!AH256-'check-Jul25'!AH256)</f>
        <v/>
      </c>
      <c r="AI256" t="str">
        <f>IF('1. Live'!AI256='check-Jul25'!AI256,"",'1. Live'!AI256-'check-Jul25'!AI256)</f>
        <v/>
      </c>
      <c r="AJ256" t="str">
        <f>IF('1. Live'!AJ256='check-Jul25'!AJ256,"",'1. Live'!AJ256-'check-Jul25'!AJ256)</f>
        <v/>
      </c>
      <c r="AK256" t="str">
        <f>IF('1. Live'!AK256='check-Jul25'!AK256,"",'1. Live'!AK256-'check-Jul25'!AK256)</f>
        <v/>
      </c>
      <c r="AL256" t="str">
        <f>IF('1. Live'!AL256='check-Jul25'!AL256,"",'1. Live'!AL256-'check-Jul25'!AL256)</f>
        <v/>
      </c>
      <c r="AM256" t="str">
        <f>IF('1. Live'!AM256='check-Jul25'!AM256,"",'1. Live'!AM256-'check-Jul25'!AM256)</f>
        <v/>
      </c>
      <c r="AN256" t="str">
        <f>IF('1. Live'!AN256='check-Jul25'!AN256,"",'1. Live'!AN256-'check-Jul25'!AN256)</f>
        <v/>
      </c>
      <c r="AO256" t="str">
        <f>IF('1. Live'!AO256='check-Jul25'!AO256,"",'1. Live'!AO256-'check-Jul25'!AO256)</f>
        <v/>
      </c>
      <c r="AP256" t="str">
        <f>IF('1. Live'!AP256='check-Jul25'!AP256,"",'1. Live'!AP256-'check-Jul25'!AP256)</f>
        <v/>
      </c>
      <c r="AQ256" t="str">
        <f>IF('1. Live'!AQ256='check-Jul25'!AQ256,"",'1. Live'!AQ256-'check-Jul25'!AQ256)</f>
        <v/>
      </c>
      <c r="AR256" t="str">
        <f>IF('1. Live'!AR256='check-Jul25'!AR256,"",'1. Live'!AR256-'check-Jul25'!AR256)</f>
        <v/>
      </c>
      <c r="AS256" t="str">
        <f>IF('1. Live'!AS256='check-Jul25'!AS256,"",'1. Live'!AS256-'check-Jul25'!AS256)</f>
        <v/>
      </c>
      <c r="AT256" t="str">
        <f>IF('1. Live'!AT256='check-Jul25'!AT256,"",'1. Live'!AT256-'check-Jul25'!AT256)</f>
        <v/>
      </c>
      <c r="AU256" t="str">
        <f>IF('1. Live'!AU256='check-Jul25'!AU256,"",'1. Live'!AU256-'check-Jul25'!AU256)</f>
        <v/>
      </c>
      <c r="AV256" t="str">
        <f>IF('1. Live'!AV256='check-Jul25'!AV256,"",'1. Live'!AV256-'check-Jul25'!AV256)</f>
        <v/>
      </c>
      <c r="AW256" t="str">
        <f>IF('1. Live'!AW256='check-Jul25'!AW256,"",'1. Live'!AW256-'check-Jul25'!AW256)</f>
        <v/>
      </c>
      <c r="AX256" t="str">
        <f>IF('1. Live'!AX256='check-Jul25'!AX256,"",'1. Live'!AX256-'check-Jul25'!AX256)</f>
        <v/>
      </c>
      <c r="AY256" t="str">
        <f>IF('1. Live'!AY256='check-Jul25'!AY256,"",'1. Live'!AY256-'check-Jul25'!AY256)</f>
        <v/>
      </c>
      <c r="AZ256" t="str">
        <f>IF('1. Live'!AZ256='check-Jul25'!AZ256,"",'1. Live'!AZ256-'check-Jul25'!AZ256)</f>
        <v/>
      </c>
      <c r="BA256" t="str">
        <f>IF('1. Live'!BA256='check-Jul25'!BA256,"",'1. Live'!BA256-'check-Jul25'!BA256)</f>
        <v/>
      </c>
      <c r="BB256" t="str">
        <f>IF('1. Live'!BB256='check-Jul25'!BB256,"",'1. Live'!BB256-'check-Jul25'!BB256)</f>
        <v/>
      </c>
      <c r="BC256" t="str">
        <f>IF('1. Live'!BC256='check-Jul25'!BC256,"",'1. Live'!BC256-'check-Jul25'!BC256)</f>
        <v/>
      </c>
      <c r="BD256" t="str">
        <f>IF('1. Live'!BD256='check-Jul25'!BD256,"",'1. Live'!BD256-'check-Jul25'!BD256)</f>
        <v/>
      </c>
      <c r="BE256" t="str">
        <f>IF('1. Live'!BE256='check-Jul25'!BE256,"",'1. Live'!BE256-'check-Jul25'!BE256)</f>
        <v/>
      </c>
      <c r="BF256" t="str">
        <f>IF('1. Live'!BF256='check-Jul25'!BF256,"",'1. Live'!BF256-'check-Jul25'!BF256)</f>
        <v/>
      </c>
      <c r="BG256" t="str">
        <f>IF('1. Live'!BG256='check-Jul25'!BG256,"",'1. Live'!BG256-'check-Jul25'!BG256)</f>
        <v/>
      </c>
      <c r="BH256" t="str">
        <f>IF('1. Live'!BH256='check-Jul25'!BH256,"",'1. Live'!BH256-'check-Jul25'!BH256)</f>
        <v/>
      </c>
      <c r="BI256" t="str">
        <f>IF('1. Live'!BI256='check-Jul25'!BI256,"",'1. Live'!BI256-'check-Jul25'!BI256)</f>
        <v/>
      </c>
      <c r="BJ256" t="str">
        <f>IF('1. Live'!BJ256='check-Jul25'!BJ256,"",'1. Live'!BJ256-'check-Jul25'!BJ256)</f>
        <v/>
      </c>
      <c r="BK256" t="str">
        <f>IF('1. Live'!BK256='check-Jul25'!BK256,"",'1. Live'!BK256-'check-Jul25'!BK256)</f>
        <v/>
      </c>
      <c r="BL256" t="str">
        <f>IF('1. Live'!BL256='check-Jul25'!BL256,"",'1. Live'!BL256-'check-Jul25'!BL256)</f>
        <v/>
      </c>
      <c r="BM256" t="str">
        <f>IF('1. Live'!BM256='check-Jul25'!BM256,"",'1. Live'!BM256-'check-Jul25'!BM256)</f>
        <v/>
      </c>
      <c r="BN256" t="str">
        <f>IF('1. Live'!BN256='check-Jul25'!BN256,"",'1. Live'!BN256-'check-Jul25'!BN256)</f>
        <v/>
      </c>
      <c r="BO256" t="str">
        <f>IF('1. Live'!BO256='check-Jul25'!BO256,"",'1. Live'!BO256-'check-Jul25'!BO256)</f>
        <v/>
      </c>
      <c r="BP256" t="str">
        <f>IF('1. Live'!BP256='check-Jul25'!BP256,"",'1. Live'!BP256-'check-Jul25'!BP256)</f>
        <v/>
      </c>
      <c r="BQ256" t="str">
        <f>IF('1. Live'!BQ256='check-Jul25'!BQ256,"",'1. Live'!BQ256-'check-Jul25'!BQ256)</f>
        <v/>
      </c>
      <c r="BR256" t="str">
        <f>IF('1. Live'!BR256='check-Jul25'!BR256,"",'1. Live'!BR256-'check-Jul25'!BR256)</f>
        <v/>
      </c>
      <c r="BS256" t="str">
        <f>IF('1. Live'!BS256='check-Jul25'!BS256,"",'1. Live'!BS256-'check-Jul25'!BS256)</f>
        <v/>
      </c>
      <c r="BT256" t="str">
        <f>IF('1. Live'!BT256='check-Jul25'!BT256,"",'1. Live'!BT256-'check-Jul25'!BT256)</f>
        <v/>
      </c>
      <c r="BU256" t="str">
        <f>IF('1. Live'!BU256='check-Jul25'!BU256,"",'1. Live'!BU256-'check-Jul25'!BU256)</f>
        <v/>
      </c>
      <c r="BV256" t="str">
        <f>IF('1. Live'!BV256='check-Jul25'!BV256,"",'1. Live'!BV256-'check-Jul25'!BV256)</f>
        <v/>
      </c>
      <c r="BW256" t="str">
        <f>IF('1. Live'!BW256='check-Jul25'!BW256,"",'1. Live'!BW256-'check-Jul25'!BW256)</f>
        <v/>
      </c>
      <c r="BX256" t="str">
        <f>IF('1. Live'!BX256='check-Jul25'!BX256,"",'1. Live'!BX256-'check-Jul25'!BX256)</f>
        <v/>
      </c>
      <c r="BY256" t="str">
        <f>IF('1. Live'!BY256='check-Jul25'!BY256,"",'1. Live'!BY256-'check-Jul25'!BY256)</f>
        <v/>
      </c>
      <c r="BZ256" t="str">
        <f>IF('1. Live'!BZ256='check-Jul25'!BZ256,"",'1. Live'!BZ256-'check-Jul25'!BZ256)</f>
        <v/>
      </c>
      <c r="CA256" t="str">
        <f>IF('1. Live'!CA256='check-Jul25'!CA256,"",'1. Live'!CA256-'check-Jul25'!CA256)</f>
        <v/>
      </c>
      <c r="CB256" t="str">
        <f>IF('1. Live'!CB256='check-Jul25'!CB256,"",'1. Live'!CB256-'check-Jul25'!CB256)</f>
        <v/>
      </c>
      <c r="CC256" t="str">
        <f>IF('1. Live'!CC256='check-Jul25'!CC256,"",'1. Live'!CC256-'check-Jul25'!CC256)</f>
        <v/>
      </c>
      <c r="CD256" t="str">
        <f>IF('1. Live'!CD256='check-Jul25'!CD256,"",'1. Live'!CD256-'check-Jul25'!CD256)</f>
        <v/>
      </c>
      <c r="CE256" t="str">
        <f>IF('1. Live'!CE256='check-Jul25'!CE256,"",'1. Live'!CE256-'check-Jul25'!CE256)</f>
        <v/>
      </c>
      <c r="CF256" t="str">
        <f>IF('1. Live'!CF256='check-Jul25'!CF256,"",'1. Live'!CF256-'check-Jul25'!CF256)</f>
        <v/>
      </c>
      <c r="CG256" t="str">
        <f>IF('1. Live'!CG256='check-Jul25'!CG256,"",'1. Live'!CG256-'check-Jul25'!CG256)</f>
        <v/>
      </c>
      <c r="CH256" t="str">
        <f>IF('1. Live'!CH256='check-Jul25'!CH256,"",'1. Live'!CH256-'check-Jul25'!CH256)</f>
        <v/>
      </c>
      <c r="CI256" t="str">
        <f>IF('1. Live'!CI256='check-Jul25'!CI256,"",'1. Live'!CI256-'check-Jul25'!CI256)</f>
        <v/>
      </c>
      <c r="CJ256" t="str">
        <f>IF('1. Live'!CJ256='check-Jul25'!CJ256,"",'1. Live'!CJ256-'check-Jul25'!CJ256)</f>
        <v/>
      </c>
      <c r="CK256" t="str">
        <f>IF('1. Live'!CK256='check-Jul25'!CK256,"",'1. Live'!CK256-'check-Jul25'!CK256)</f>
        <v/>
      </c>
      <c r="CL256" t="str">
        <f>IF('1. Live'!CL256='check-Jul25'!CL256,"",'1. Live'!CL256-'check-Jul25'!CL256)</f>
        <v/>
      </c>
      <c r="CM256" t="str">
        <f>IF('1. Live'!CM256='check-Jul25'!CM256,"",'1. Live'!CM256-'check-Jul25'!CM256)</f>
        <v/>
      </c>
      <c r="CN256" t="str">
        <f>IF('1. Live'!CN256='check-Jul25'!CN256,"",'1. Live'!CN256-'check-Jul25'!CN256)</f>
        <v/>
      </c>
      <c r="CO256" t="str">
        <f>IF('1. Live'!CO256='check-Jul25'!CO256,"",'1. Live'!CO256-'check-Jul25'!CO256)</f>
        <v/>
      </c>
      <c r="CP256" t="str">
        <f>IF('1. Live'!CP256='check-Jul25'!CP256,"",'1. Live'!CP256-'check-Jul25'!CP256)</f>
        <v/>
      </c>
      <c r="CQ256" t="str">
        <f>IF('1. Live'!CQ256='check-Jul25'!CQ256,"",'1. Live'!CQ256-'check-Jul25'!CQ256)</f>
        <v/>
      </c>
      <c r="CR256" t="str">
        <f>IF('1. Live'!CR256='check-Jul25'!CR256,"",'1. Live'!CR256-'check-Jul25'!CR256)</f>
        <v/>
      </c>
      <c r="CS256" t="str">
        <f>IF('1. Live'!CS256='check-Jul25'!CS256,"",'1. Live'!CS256-'check-Jul25'!CS256)</f>
        <v/>
      </c>
      <c r="CT256" t="str">
        <f>IF('1. Live'!CT256='check-Jul25'!CT256,"",'1. Live'!CT256-'check-Jul25'!CT256)</f>
        <v/>
      </c>
      <c r="CU256" t="str">
        <f>IF('1. Live'!CU256='check-Jul25'!CU256,"",'1. Live'!CU256-'check-Jul25'!CU256)</f>
        <v/>
      </c>
      <c r="CV256" t="str">
        <f>IF('1. Live'!CV256='check-Jul25'!CV256,"",'1. Live'!CV256-'check-Jul25'!CV256)</f>
        <v/>
      </c>
      <c r="CW256" t="str">
        <f>IF('1. Live'!CW256='check-Jul25'!CW256,"",'1. Live'!CW256-'check-Jul25'!CW256)</f>
        <v/>
      </c>
    </row>
    <row r="257" spans="10:101">
      <c r="J257" t="str">
        <f>IF('1. Live'!J257='check-Jul25'!J257,"",'1. Live'!J257-'check-Jul25'!J257)</f>
        <v/>
      </c>
      <c r="K257" t="str">
        <f>IF('1. Live'!K257='check-Jul25'!K257,"",'1. Live'!K257-'check-Jul25'!K257)</f>
        <v/>
      </c>
      <c r="L257" t="str">
        <f>IF('1. Live'!L257='check-Jul25'!L257,"",'1. Live'!L257-'check-Jul25'!L257)</f>
        <v/>
      </c>
      <c r="M257" t="str">
        <f>IF('1. Live'!M257='check-Jul25'!M257,"",'1. Live'!M257-'check-Jul25'!M257)</f>
        <v/>
      </c>
      <c r="N257" t="str">
        <f>IF('1. Live'!N257='check-Jul25'!N257,"",'1. Live'!N257-'check-Jul25'!N257)</f>
        <v/>
      </c>
      <c r="O257" t="str">
        <f>IF('1. Live'!O257='check-Jul25'!O257,"",'1. Live'!O257-'check-Jul25'!O257)</f>
        <v/>
      </c>
      <c r="P257" t="str">
        <f>IF('1. Live'!P257='check-Jul25'!P257,"",'1. Live'!P257-'check-Jul25'!P257)</f>
        <v/>
      </c>
      <c r="Q257" t="str">
        <f>IF('1. Live'!Q257='check-Jul25'!Q257,"",'1. Live'!Q257-'check-Jul25'!Q257)</f>
        <v/>
      </c>
      <c r="R257" t="str">
        <f>IF('1. Live'!R257='check-Jul25'!R257,"",'1. Live'!R257-'check-Jul25'!R257)</f>
        <v/>
      </c>
      <c r="S257" t="str">
        <f>IF('1. Live'!S257='check-Jul25'!S257,"",'1. Live'!S257-'check-Jul25'!S257)</f>
        <v/>
      </c>
      <c r="T257" t="str">
        <f>IF('1. Live'!T257='check-Jul25'!T257,"",'1. Live'!T257-'check-Jul25'!T257)</f>
        <v/>
      </c>
      <c r="U257" t="str">
        <f>IF('1. Live'!U257='check-Jul25'!U257,"",'1. Live'!U257-'check-Jul25'!U257)</f>
        <v/>
      </c>
      <c r="V257" t="str">
        <f>IF('1. Live'!V257='check-Jul25'!V257,"",'1. Live'!V257-'check-Jul25'!V257)</f>
        <v/>
      </c>
      <c r="W257" t="str">
        <f>IF('1. Live'!W257='check-Jul25'!W257,"",'1. Live'!W257-'check-Jul25'!W257)</f>
        <v/>
      </c>
      <c r="X257" t="str">
        <f>IF('1. Live'!X257='check-Jul25'!X257,"",'1. Live'!X257-'check-Jul25'!X257)</f>
        <v/>
      </c>
      <c r="Y257" t="str">
        <f>IF('1. Live'!Y257='check-Jul25'!Y257,"",'1. Live'!Y257-'check-Jul25'!Y257)</f>
        <v/>
      </c>
      <c r="Z257" t="str">
        <f>IF('1. Live'!Z257='check-Jul25'!Z257,"",'1. Live'!Z257-'check-Jul25'!Z257)</f>
        <v/>
      </c>
      <c r="AA257" t="str">
        <f>IF('1. Live'!AA257='check-Jul25'!AA257,"",'1. Live'!AA257-'check-Jul25'!AA257)</f>
        <v/>
      </c>
      <c r="AB257" t="str">
        <f>IF('1. Live'!AB257='check-Jul25'!AB257,"",'1. Live'!AB257-'check-Jul25'!AB257)</f>
        <v/>
      </c>
      <c r="AC257" t="str">
        <f>IF('1. Live'!AC257='check-Jul25'!AC257,"",'1. Live'!AC257-'check-Jul25'!AC257)</f>
        <v/>
      </c>
      <c r="AD257" t="str">
        <f>IF('1. Live'!AD257='check-Jul25'!AD257,"",'1. Live'!AD257-'check-Jul25'!AD257)</f>
        <v/>
      </c>
      <c r="AE257" t="str">
        <f>IF('1. Live'!AE257='check-Jul25'!AE257,"",'1. Live'!AE257-'check-Jul25'!AE257)</f>
        <v/>
      </c>
      <c r="AF257" t="str">
        <f>IF('1. Live'!AF257='check-Jul25'!AF257,"",'1. Live'!AF257-'check-Jul25'!AF257)</f>
        <v/>
      </c>
      <c r="AG257" t="str">
        <f>IF('1. Live'!AG257='check-Jul25'!AG257,"",'1. Live'!AG257-'check-Jul25'!AG257)</f>
        <v/>
      </c>
      <c r="AH257" t="str">
        <f>IF('1. Live'!AH257='check-Jul25'!AH257,"",'1. Live'!AH257-'check-Jul25'!AH257)</f>
        <v/>
      </c>
      <c r="AI257" t="str">
        <f>IF('1. Live'!AI257='check-Jul25'!AI257,"",'1. Live'!AI257-'check-Jul25'!AI257)</f>
        <v/>
      </c>
      <c r="AJ257" t="str">
        <f>IF('1. Live'!AJ257='check-Jul25'!AJ257,"",'1. Live'!AJ257-'check-Jul25'!AJ257)</f>
        <v/>
      </c>
      <c r="AK257" t="str">
        <f>IF('1. Live'!AK257='check-Jul25'!AK257,"",'1. Live'!AK257-'check-Jul25'!AK257)</f>
        <v/>
      </c>
      <c r="AL257" t="str">
        <f>IF('1. Live'!AL257='check-Jul25'!AL257,"",'1. Live'!AL257-'check-Jul25'!AL257)</f>
        <v/>
      </c>
      <c r="AM257" t="str">
        <f>IF('1. Live'!AM257='check-Jul25'!AM257,"",'1. Live'!AM257-'check-Jul25'!AM257)</f>
        <v/>
      </c>
      <c r="AN257" t="str">
        <f>IF('1. Live'!AN257='check-Jul25'!AN257,"",'1. Live'!AN257-'check-Jul25'!AN257)</f>
        <v/>
      </c>
      <c r="AO257" t="str">
        <f>IF('1. Live'!AO257='check-Jul25'!AO257,"",'1. Live'!AO257-'check-Jul25'!AO257)</f>
        <v/>
      </c>
      <c r="AP257" t="str">
        <f>IF('1. Live'!AP257='check-Jul25'!AP257,"",'1. Live'!AP257-'check-Jul25'!AP257)</f>
        <v/>
      </c>
      <c r="AQ257" t="str">
        <f>IF('1. Live'!AQ257='check-Jul25'!AQ257,"",'1. Live'!AQ257-'check-Jul25'!AQ257)</f>
        <v/>
      </c>
      <c r="AR257" t="str">
        <f>IF('1. Live'!AR257='check-Jul25'!AR257,"",'1. Live'!AR257-'check-Jul25'!AR257)</f>
        <v/>
      </c>
      <c r="AS257" t="str">
        <f>IF('1. Live'!AS257='check-Jul25'!AS257,"",'1. Live'!AS257-'check-Jul25'!AS257)</f>
        <v/>
      </c>
      <c r="AT257" t="str">
        <f>IF('1. Live'!AT257='check-Jul25'!AT257,"",'1. Live'!AT257-'check-Jul25'!AT257)</f>
        <v/>
      </c>
      <c r="AU257" t="str">
        <f>IF('1. Live'!AU257='check-Jul25'!AU257,"",'1. Live'!AU257-'check-Jul25'!AU257)</f>
        <v/>
      </c>
      <c r="AV257" t="str">
        <f>IF('1. Live'!AV257='check-Jul25'!AV257,"",'1. Live'!AV257-'check-Jul25'!AV257)</f>
        <v/>
      </c>
      <c r="AW257" t="str">
        <f>IF('1. Live'!AW257='check-Jul25'!AW257,"",'1. Live'!AW257-'check-Jul25'!AW257)</f>
        <v/>
      </c>
      <c r="AX257" t="str">
        <f>IF('1. Live'!AX257='check-Jul25'!AX257,"",'1. Live'!AX257-'check-Jul25'!AX257)</f>
        <v/>
      </c>
      <c r="AY257" t="str">
        <f>IF('1. Live'!AY257='check-Jul25'!AY257,"",'1. Live'!AY257-'check-Jul25'!AY257)</f>
        <v/>
      </c>
      <c r="AZ257" t="str">
        <f>IF('1. Live'!AZ257='check-Jul25'!AZ257,"",'1. Live'!AZ257-'check-Jul25'!AZ257)</f>
        <v/>
      </c>
      <c r="BA257" t="str">
        <f>IF('1. Live'!BA257='check-Jul25'!BA257,"",'1. Live'!BA257-'check-Jul25'!BA257)</f>
        <v/>
      </c>
      <c r="BB257" t="str">
        <f>IF('1. Live'!BB257='check-Jul25'!BB257,"",'1. Live'!BB257-'check-Jul25'!BB257)</f>
        <v/>
      </c>
      <c r="BC257" t="str">
        <f>IF('1. Live'!BC257='check-Jul25'!BC257,"",'1. Live'!BC257-'check-Jul25'!BC257)</f>
        <v/>
      </c>
      <c r="BD257" t="str">
        <f>IF('1. Live'!BD257='check-Jul25'!BD257,"",'1. Live'!BD257-'check-Jul25'!BD257)</f>
        <v/>
      </c>
      <c r="BE257" t="str">
        <f>IF('1. Live'!BE257='check-Jul25'!BE257,"",'1. Live'!BE257-'check-Jul25'!BE257)</f>
        <v/>
      </c>
      <c r="BF257" t="str">
        <f>IF('1. Live'!BF257='check-Jul25'!BF257,"",'1. Live'!BF257-'check-Jul25'!BF257)</f>
        <v/>
      </c>
      <c r="BG257" t="str">
        <f>IF('1. Live'!BG257='check-Jul25'!BG257,"",'1. Live'!BG257-'check-Jul25'!BG257)</f>
        <v/>
      </c>
      <c r="BH257" t="str">
        <f>IF('1. Live'!BH257='check-Jul25'!BH257,"",'1. Live'!BH257-'check-Jul25'!BH257)</f>
        <v/>
      </c>
      <c r="BI257" t="str">
        <f>IF('1. Live'!BI257='check-Jul25'!BI257,"",'1. Live'!BI257-'check-Jul25'!BI257)</f>
        <v/>
      </c>
      <c r="BJ257" t="str">
        <f>IF('1. Live'!BJ257='check-Jul25'!BJ257,"",'1. Live'!BJ257-'check-Jul25'!BJ257)</f>
        <v/>
      </c>
      <c r="BK257" t="str">
        <f>IF('1. Live'!BK257='check-Jul25'!BK257,"",'1. Live'!BK257-'check-Jul25'!BK257)</f>
        <v/>
      </c>
      <c r="BL257" t="str">
        <f>IF('1. Live'!BL257='check-Jul25'!BL257,"",'1. Live'!BL257-'check-Jul25'!BL257)</f>
        <v/>
      </c>
      <c r="BM257" t="str">
        <f>IF('1. Live'!BM257='check-Jul25'!BM257,"",'1. Live'!BM257-'check-Jul25'!BM257)</f>
        <v/>
      </c>
      <c r="BN257" t="str">
        <f>IF('1. Live'!BN257='check-Jul25'!BN257,"",'1. Live'!BN257-'check-Jul25'!BN257)</f>
        <v/>
      </c>
      <c r="BO257" t="str">
        <f>IF('1. Live'!BO257='check-Jul25'!BO257,"",'1. Live'!BO257-'check-Jul25'!BO257)</f>
        <v/>
      </c>
      <c r="BP257" t="str">
        <f>IF('1. Live'!BP257='check-Jul25'!BP257,"",'1. Live'!BP257-'check-Jul25'!BP257)</f>
        <v/>
      </c>
      <c r="BQ257" t="str">
        <f>IF('1. Live'!BQ257='check-Jul25'!BQ257,"",'1. Live'!BQ257-'check-Jul25'!BQ257)</f>
        <v/>
      </c>
      <c r="BR257" t="str">
        <f>IF('1. Live'!BR257='check-Jul25'!BR257,"",'1. Live'!BR257-'check-Jul25'!BR257)</f>
        <v/>
      </c>
      <c r="BS257" t="str">
        <f>IF('1. Live'!BS257='check-Jul25'!BS257,"",'1. Live'!BS257-'check-Jul25'!BS257)</f>
        <v/>
      </c>
      <c r="BT257" t="str">
        <f>IF('1. Live'!BT257='check-Jul25'!BT257,"",'1. Live'!BT257-'check-Jul25'!BT257)</f>
        <v/>
      </c>
      <c r="BU257" t="str">
        <f>IF('1. Live'!BU257='check-Jul25'!BU257,"",'1. Live'!BU257-'check-Jul25'!BU257)</f>
        <v/>
      </c>
      <c r="BV257" t="str">
        <f>IF('1. Live'!BV257='check-Jul25'!BV257,"",'1. Live'!BV257-'check-Jul25'!BV257)</f>
        <v/>
      </c>
      <c r="BW257" t="str">
        <f>IF('1. Live'!BW257='check-Jul25'!BW257,"",'1. Live'!BW257-'check-Jul25'!BW257)</f>
        <v/>
      </c>
      <c r="BX257" t="str">
        <f>IF('1. Live'!BX257='check-Jul25'!BX257,"",'1. Live'!BX257-'check-Jul25'!BX257)</f>
        <v/>
      </c>
      <c r="BY257" t="str">
        <f>IF('1. Live'!BY257='check-Jul25'!BY257,"",'1. Live'!BY257-'check-Jul25'!BY257)</f>
        <v/>
      </c>
      <c r="BZ257" t="str">
        <f>IF('1. Live'!BZ257='check-Jul25'!BZ257,"",'1. Live'!BZ257-'check-Jul25'!BZ257)</f>
        <v/>
      </c>
      <c r="CA257" t="str">
        <f>IF('1. Live'!CA257='check-Jul25'!CA257,"",'1. Live'!CA257-'check-Jul25'!CA257)</f>
        <v/>
      </c>
      <c r="CB257" t="str">
        <f>IF('1. Live'!CB257='check-Jul25'!CB257,"",'1. Live'!CB257-'check-Jul25'!CB257)</f>
        <v/>
      </c>
      <c r="CC257" t="str">
        <f>IF('1. Live'!CC257='check-Jul25'!CC257,"",'1. Live'!CC257-'check-Jul25'!CC257)</f>
        <v/>
      </c>
      <c r="CD257" t="str">
        <f>IF('1. Live'!CD257='check-Jul25'!CD257,"",'1. Live'!CD257-'check-Jul25'!CD257)</f>
        <v/>
      </c>
      <c r="CE257" t="str">
        <f>IF('1. Live'!CE257='check-Jul25'!CE257,"",'1. Live'!CE257-'check-Jul25'!CE257)</f>
        <v/>
      </c>
      <c r="CF257" t="str">
        <f>IF('1. Live'!CF257='check-Jul25'!CF257,"",'1. Live'!CF257-'check-Jul25'!CF257)</f>
        <v/>
      </c>
      <c r="CG257" t="str">
        <f>IF('1. Live'!CG257='check-Jul25'!CG257,"",'1. Live'!CG257-'check-Jul25'!CG257)</f>
        <v/>
      </c>
      <c r="CH257" t="str">
        <f>IF('1. Live'!CH257='check-Jul25'!CH257,"",'1. Live'!CH257-'check-Jul25'!CH257)</f>
        <v/>
      </c>
      <c r="CI257" t="str">
        <f>IF('1. Live'!CI257='check-Jul25'!CI257,"",'1. Live'!CI257-'check-Jul25'!CI257)</f>
        <v/>
      </c>
      <c r="CJ257" t="str">
        <f>IF('1. Live'!CJ257='check-Jul25'!CJ257,"",'1. Live'!CJ257-'check-Jul25'!CJ257)</f>
        <v/>
      </c>
      <c r="CK257" t="str">
        <f>IF('1. Live'!CK257='check-Jul25'!CK257,"",'1. Live'!CK257-'check-Jul25'!CK257)</f>
        <v/>
      </c>
      <c r="CL257" t="str">
        <f>IF('1. Live'!CL257='check-Jul25'!CL257,"",'1. Live'!CL257-'check-Jul25'!CL257)</f>
        <v/>
      </c>
      <c r="CM257" t="str">
        <f>IF('1. Live'!CM257='check-Jul25'!CM257,"",'1. Live'!CM257-'check-Jul25'!CM257)</f>
        <v/>
      </c>
      <c r="CN257" t="str">
        <f>IF('1. Live'!CN257='check-Jul25'!CN257,"",'1. Live'!CN257-'check-Jul25'!CN257)</f>
        <v/>
      </c>
      <c r="CO257" t="str">
        <f>IF('1. Live'!CO257='check-Jul25'!CO257,"",'1. Live'!CO257-'check-Jul25'!CO257)</f>
        <v/>
      </c>
      <c r="CP257" t="str">
        <f>IF('1. Live'!CP257='check-Jul25'!CP257,"",'1. Live'!CP257-'check-Jul25'!CP257)</f>
        <v/>
      </c>
      <c r="CQ257" t="str">
        <f>IF('1. Live'!CQ257='check-Jul25'!CQ257,"",'1. Live'!CQ257-'check-Jul25'!CQ257)</f>
        <v/>
      </c>
      <c r="CR257" t="str">
        <f>IF('1. Live'!CR257='check-Jul25'!CR257,"",'1. Live'!CR257-'check-Jul25'!CR257)</f>
        <v/>
      </c>
      <c r="CS257" t="str">
        <f>IF('1. Live'!CS257='check-Jul25'!CS257,"",'1. Live'!CS257-'check-Jul25'!CS257)</f>
        <v/>
      </c>
      <c r="CT257" t="str">
        <f>IF('1. Live'!CT257='check-Jul25'!CT257,"",'1. Live'!CT257-'check-Jul25'!CT257)</f>
        <v/>
      </c>
      <c r="CU257" t="str">
        <f>IF('1. Live'!CU257='check-Jul25'!CU257,"",'1. Live'!CU257-'check-Jul25'!CU257)</f>
        <v/>
      </c>
      <c r="CV257" t="str">
        <f>IF('1. Live'!CV257='check-Jul25'!CV257,"",'1. Live'!CV257-'check-Jul25'!CV257)</f>
        <v/>
      </c>
      <c r="CW257" t="str">
        <f>IF('1. Live'!CW257='check-Jul25'!CW257,"",'1. Live'!CW257-'check-Jul25'!CW257)</f>
        <v/>
      </c>
    </row>
    <row r="258" spans="10:101">
      <c r="J258" t="str">
        <f>IF('1. Live'!J258='check-Jul25'!J258,"",'1. Live'!J258-'check-Jul25'!J258)</f>
        <v/>
      </c>
      <c r="K258" t="str">
        <f>IF('1. Live'!K258='check-Jul25'!K258,"",'1. Live'!K258-'check-Jul25'!K258)</f>
        <v/>
      </c>
      <c r="L258" t="str">
        <f>IF('1. Live'!L258='check-Jul25'!L258,"",'1. Live'!L258-'check-Jul25'!L258)</f>
        <v/>
      </c>
      <c r="M258" t="str">
        <f>IF('1. Live'!M258='check-Jul25'!M258,"",'1. Live'!M258-'check-Jul25'!M258)</f>
        <v/>
      </c>
      <c r="N258" t="str">
        <f>IF('1. Live'!N258='check-Jul25'!N258,"",'1. Live'!N258-'check-Jul25'!N258)</f>
        <v/>
      </c>
      <c r="O258" t="str">
        <f>IF('1. Live'!O258='check-Jul25'!O258,"",'1. Live'!O258-'check-Jul25'!O258)</f>
        <v/>
      </c>
      <c r="P258" t="str">
        <f>IF('1. Live'!P258='check-Jul25'!P258,"",'1. Live'!P258-'check-Jul25'!P258)</f>
        <v/>
      </c>
      <c r="Q258" t="str">
        <f>IF('1. Live'!Q258='check-Jul25'!Q258,"",'1. Live'!Q258-'check-Jul25'!Q258)</f>
        <v/>
      </c>
      <c r="R258" t="str">
        <f>IF('1. Live'!R258='check-Jul25'!R258,"",'1. Live'!R258-'check-Jul25'!R258)</f>
        <v/>
      </c>
      <c r="S258" t="str">
        <f>IF('1. Live'!S258='check-Jul25'!S258,"",'1. Live'!S258-'check-Jul25'!S258)</f>
        <v/>
      </c>
      <c r="T258" t="str">
        <f>IF('1. Live'!T258='check-Jul25'!T258,"",'1. Live'!T258-'check-Jul25'!T258)</f>
        <v/>
      </c>
      <c r="U258" t="str">
        <f>IF('1. Live'!U258='check-Jul25'!U258,"",'1. Live'!U258-'check-Jul25'!U258)</f>
        <v/>
      </c>
      <c r="V258" t="str">
        <f>IF('1. Live'!V258='check-Jul25'!V258,"",'1. Live'!V258-'check-Jul25'!V258)</f>
        <v/>
      </c>
      <c r="W258" t="str">
        <f>IF('1. Live'!W258='check-Jul25'!W258,"",'1. Live'!W258-'check-Jul25'!W258)</f>
        <v/>
      </c>
      <c r="X258" t="str">
        <f>IF('1. Live'!X258='check-Jul25'!X258,"",'1. Live'!X258-'check-Jul25'!X258)</f>
        <v/>
      </c>
      <c r="Y258" t="str">
        <f>IF('1. Live'!Y258='check-Jul25'!Y258,"",'1. Live'!Y258-'check-Jul25'!Y258)</f>
        <v/>
      </c>
      <c r="Z258" t="str">
        <f>IF('1. Live'!Z258='check-Jul25'!Z258,"",'1. Live'!Z258-'check-Jul25'!Z258)</f>
        <v/>
      </c>
      <c r="AA258" t="str">
        <f>IF('1. Live'!AA258='check-Jul25'!AA258,"",'1. Live'!AA258-'check-Jul25'!AA258)</f>
        <v/>
      </c>
      <c r="AB258" t="str">
        <f>IF('1. Live'!AB258='check-Jul25'!AB258,"",'1. Live'!AB258-'check-Jul25'!AB258)</f>
        <v/>
      </c>
      <c r="AC258" t="str">
        <f>IF('1. Live'!AC258='check-Jul25'!AC258,"",'1. Live'!AC258-'check-Jul25'!AC258)</f>
        <v/>
      </c>
      <c r="AD258" t="str">
        <f>IF('1. Live'!AD258='check-Jul25'!AD258,"",'1. Live'!AD258-'check-Jul25'!AD258)</f>
        <v/>
      </c>
      <c r="AE258" t="str">
        <f>IF('1. Live'!AE258='check-Jul25'!AE258,"",'1. Live'!AE258-'check-Jul25'!AE258)</f>
        <v/>
      </c>
      <c r="AF258" t="str">
        <f>IF('1. Live'!AF258='check-Jul25'!AF258,"",'1. Live'!AF258-'check-Jul25'!AF258)</f>
        <v/>
      </c>
      <c r="AG258" t="str">
        <f>IF('1. Live'!AG258='check-Jul25'!AG258,"",'1. Live'!AG258-'check-Jul25'!AG258)</f>
        <v/>
      </c>
      <c r="AH258" t="str">
        <f>IF('1. Live'!AH258='check-Jul25'!AH258,"",'1. Live'!AH258-'check-Jul25'!AH258)</f>
        <v/>
      </c>
      <c r="AI258" t="str">
        <f>IF('1. Live'!AI258='check-Jul25'!AI258,"",'1. Live'!AI258-'check-Jul25'!AI258)</f>
        <v/>
      </c>
      <c r="AJ258" t="str">
        <f>IF('1. Live'!AJ258='check-Jul25'!AJ258,"",'1. Live'!AJ258-'check-Jul25'!AJ258)</f>
        <v/>
      </c>
      <c r="AK258" t="str">
        <f>IF('1. Live'!AK258='check-Jul25'!AK258,"",'1. Live'!AK258-'check-Jul25'!AK258)</f>
        <v/>
      </c>
      <c r="AL258" t="str">
        <f>IF('1. Live'!AL258='check-Jul25'!AL258,"",'1. Live'!AL258-'check-Jul25'!AL258)</f>
        <v/>
      </c>
      <c r="AM258" t="str">
        <f>IF('1. Live'!AM258='check-Jul25'!AM258,"",'1. Live'!AM258-'check-Jul25'!AM258)</f>
        <v/>
      </c>
      <c r="AN258" t="str">
        <f>IF('1. Live'!AN258='check-Jul25'!AN258,"",'1. Live'!AN258-'check-Jul25'!AN258)</f>
        <v/>
      </c>
      <c r="AO258" t="str">
        <f>IF('1. Live'!AO258='check-Jul25'!AO258,"",'1. Live'!AO258-'check-Jul25'!AO258)</f>
        <v/>
      </c>
      <c r="AP258" t="str">
        <f>IF('1. Live'!AP258='check-Jul25'!AP258,"",'1. Live'!AP258-'check-Jul25'!AP258)</f>
        <v/>
      </c>
      <c r="AQ258" t="str">
        <f>IF('1. Live'!AQ258='check-Jul25'!AQ258,"",'1. Live'!AQ258-'check-Jul25'!AQ258)</f>
        <v/>
      </c>
      <c r="AR258" t="str">
        <f>IF('1. Live'!AR258='check-Jul25'!AR258,"",'1. Live'!AR258-'check-Jul25'!AR258)</f>
        <v/>
      </c>
      <c r="AS258" t="str">
        <f>IF('1. Live'!AS258='check-Jul25'!AS258,"",'1. Live'!AS258-'check-Jul25'!AS258)</f>
        <v/>
      </c>
      <c r="AT258" t="str">
        <f>IF('1. Live'!AT258='check-Jul25'!AT258,"",'1. Live'!AT258-'check-Jul25'!AT258)</f>
        <v/>
      </c>
      <c r="AU258" t="str">
        <f>IF('1. Live'!AU258='check-Jul25'!AU258,"",'1. Live'!AU258-'check-Jul25'!AU258)</f>
        <v/>
      </c>
      <c r="AV258" t="str">
        <f>IF('1. Live'!AV258='check-Jul25'!AV258,"",'1. Live'!AV258-'check-Jul25'!AV258)</f>
        <v/>
      </c>
      <c r="AW258" t="str">
        <f>IF('1. Live'!AW258='check-Jul25'!AW258,"",'1. Live'!AW258-'check-Jul25'!AW258)</f>
        <v/>
      </c>
      <c r="AX258" t="str">
        <f>IF('1. Live'!AX258='check-Jul25'!AX258,"",'1. Live'!AX258-'check-Jul25'!AX258)</f>
        <v/>
      </c>
      <c r="AY258" t="str">
        <f>IF('1. Live'!AY258='check-Jul25'!AY258,"",'1. Live'!AY258-'check-Jul25'!AY258)</f>
        <v/>
      </c>
      <c r="AZ258" t="str">
        <f>IF('1. Live'!AZ258='check-Jul25'!AZ258,"",'1. Live'!AZ258-'check-Jul25'!AZ258)</f>
        <v/>
      </c>
      <c r="BA258" t="str">
        <f>IF('1. Live'!BA258='check-Jul25'!BA258,"",'1. Live'!BA258-'check-Jul25'!BA258)</f>
        <v/>
      </c>
      <c r="BB258" t="str">
        <f>IF('1. Live'!BB258='check-Jul25'!BB258,"",'1. Live'!BB258-'check-Jul25'!BB258)</f>
        <v/>
      </c>
      <c r="BC258" t="str">
        <f>IF('1. Live'!BC258='check-Jul25'!BC258,"",'1. Live'!BC258-'check-Jul25'!BC258)</f>
        <v/>
      </c>
      <c r="BD258" t="str">
        <f>IF('1. Live'!BD258='check-Jul25'!BD258,"",'1. Live'!BD258-'check-Jul25'!BD258)</f>
        <v/>
      </c>
      <c r="BE258" t="str">
        <f>IF('1. Live'!BE258='check-Jul25'!BE258,"",'1. Live'!BE258-'check-Jul25'!BE258)</f>
        <v/>
      </c>
      <c r="BF258" t="str">
        <f>IF('1. Live'!BF258='check-Jul25'!BF258,"",'1. Live'!BF258-'check-Jul25'!BF258)</f>
        <v/>
      </c>
      <c r="BG258" t="str">
        <f>IF('1. Live'!BG258='check-Jul25'!BG258,"",'1. Live'!BG258-'check-Jul25'!BG258)</f>
        <v/>
      </c>
      <c r="BH258" t="str">
        <f>IF('1. Live'!BH258='check-Jul25'!BH258,"",'1. Live'!BH258-'check-Jul25'!BH258)</f>
        <v/>
      </c>
      <c r="BI258" t="str">
        <f>IF('1. Live'!BI258='check-Jul25'!BI258,"",'1. Live'!BI258-'check-Jul25'!BI258)</f>
        <v/>
      </c>
      <c r="BJ258" t="str">
        <f>IF('1. Live'!BJ258='check-Jul25'!BJ258,"",'1. Live'!BJ258-'check-Jul25'!BJ258)</f>
        <v/>
      </c>
      <c r="BK258" t="str">
        <f>IF('1. Live'!BK258='check-Jul25'!BK258,"",'1. Live'!BK258-'check-Jul25'!BK258)</f>
        <v/>
      </c>
      <c r="BL258" t="str">
        <f>IF('1. Live'!BL258='check-Jul25'!BL258,"",'1. Live'!BL258-'check-Jul25'!BL258)</f>
        <v/>
      </c>
      <c r="BM258" t="str">
        <f>IF('1. Live'!BM258='check-Jul25'!BM258,"",'1. Live'!BM258-'check-Jul25'!BM258)</f>
        <v/>
      </c>
      <c r="BN258" t="str">
        <f>IF('1. Live'!BN258='check-Jul25'!BN258,"",'1. Live'!BN258-'check-Jul25'!BN258)</f>
        <v/>
      </c>
      <c r="BO258" t="str">
        <f>IF('1. Live'!BO258='check-Jul25'!BO258,"",'1. Live'!BO258-'check-Jul25'!BO258)</f>
        <v/>
      </c>
      <c r="BP258" t="str">
        <f>IF('1. Live'!BP258='check-Jul25'!BP258,"",'1. Live'!BP258-'check-Jul25'!BP258)</f>
        <v/>
      </c>
      <c r="BQ258" t="str">
        <f>IF('1. Live'!BQ258='check-Jul25'!BQ258,"",'1. Live'!BQ258-'check-Jul25'!BQ258)</f>
        <v/>
      </c>
      <c r="BR258" t="str">
        <f>IF('1. Live'!BR258='check-Jul25'!BR258,"",'1. Live'!BR258-'check-Jul25'!BR258)</f>
        <v/>
      </c>
      <c r="BS258" t="str">
        <f>IF('1. Live'!BS258='check-Jul25'!BS258,"",'1. Live'!BS258-'check-Jul25'!BS258)</f>
        <v/>
      </c>
      <c r="BT258" t="str">
        <f>IF('1. Live'!BT258='check-Jul25'!BT258,"",'1. Live'!BT258-'check-Jul25'!BT258)</f>
        <v/>
      </c>
      <c r="BU258" t="str">
        <f>IF('1. Live'!BU258='check-Jul25'!BU258,"",'1. Live'!BU258-'check-Jul25'!BU258)</f>
        <v/>
      </c>
      <c r="BV258" t="str">
        <f>IF('1. Live'!BV258='check-Jul25'!BV258,"",'1. Live'!BV258-'check-Jul25'!BV258)</f>
        <v/>
      </c>
      <c r="BW258" t="str">
        <f>IF('1. Live'!BW258='check-Jul25'!BW258,"",'1. Live'!BW258-'check-Jul25'!BW258)</f>
        <v/>
      </c>
      <c r="BX258" t="str">
        <f>IF('1. Live'!BX258='check-Jul25'!BX258,"",'1. Live'!BX258-'check-Jul25'!BX258)</f>
        <v/>
      </c>
      <c r="BY258" t="str">
        <f>IF('1. Live'!BY258='check-Jul25'!BY258,"",'1. Live'!BY258-'check-Jul25'!BY258)</f>
        <v/>
      </c>
      <c r="BZ258" t="str">
        <f>IF('1. Live'!BZ258='check-Jul25'!BZ258,"",'1. Live'!BZ258-'check-Jul25'!BZ258)</f>
        <v/>
      </c>
      <c r="CA258" t="str">
        <f>IF('1. Live'!CA258='check-Jul25'!CA258,"",'1. Live'!CA258-'check-Jul25'!CA258)</f>
        <v/>
      </c>
      <c r="CB258" t="str">
        <f>IF('1. Live'!CB258='check-Jul25'!CB258,"",'1. Live'!CB258-'check-Jul25'!CB258)</f>
        <v/>
      </c>
      <c r="CC258" t="str">
        <f>IF('1. Live'!CC258='check-Jul25'!CC258,"",'1. Live'!CC258-'check-Jul25'!CC258)</f>
        <v/>
      </c>
      <c r="CD258" t="str">
        <f>IF('1. Live'!CD258='check-Jul25'!CD258,"",'1. Live'!CD258-'check-Jul25'!CD258)</f>
        <v/>
      </c>
      <c r="CE258" t="str">
        <f>IF('1. Live'!CE258='check-Jul25'!CE258,"",'1. Live'!CE258-'check-Jul25'!CE258)</f>
        <v/>
      </c>
      <c r="CF258" t="str">
        <f>IF('1. Live'!CF258='check-Jul25'!CF258,"",'1. Live'!CF258-'check-Jul25'!CF258)</f>
        <v/>
      </c>
      <c r="CG258" t="str">
        <f>IF('1. Live'!CG258='check-Jul25'!CG258,"",'1. Live'!CG258-'check-Jul25'!CG258)</f>
        <v/>
      </c>
      <c r="CH258" t="str">
        <f>IF('1. Live'!CH258='check-Jul25'!CH258,"",'1. Live'!CH258-'check-Jul25'!CH258)</f>
        <v/>
      </c>
      <c r="CI258" t="str">
        <f>IF('1. Live'!CI258='check-Jul25'!CI258,"",'1. Live'!CI258-'check-Jul25'!CI258)</f>
        <v/>
      </c>
      <c r="CJ258" t="str">
        <f>IF('1. Live'!CJ258='check-Jul25'!CJ258,"",'1. Live'!CJ258-'check-Jul25'!CJ258)</f>
        <v/>
      </c>
      <c r="CK258" t="str">
        <f>IF('1. Live'!CK258='check-Jul25'!CK258,"",'1. Live'!CK258-'check-Jul25'!CK258)</f>
        <v/>
      </c>
      <c r="CL258" t="str">
        <f>IF('1. Live'!CL258='check-Jul25'!CL258,"",'1. Live'!CL258-'check-Jul25'!CL258)</f>
        <v/>
      </c>
      <c r="CM258" t="str">
        <f>IF('1. Live'!CM258='check-Jul25'!CM258,"",'1. Live'!CM258-'check-Jul25'!CM258)</f>
        <v/>
      </c>
      <c r="CN258" t="str">
        <f>IF('1. Live'!CN258='check-Jul25'!CN258,"",'1. Live'!CN258-'check-Jul25'!CN258)</f>
        <v/>
      </c>
      <c r="CO258" t="str">
        <f>IF('1. Live'!CO258='check-Jul25'!CO258,"",'1. Live'!CO258-'check-Jul25'!CO258)</f>
        <v/>
      </c>
      <c r="CP258" t="str">
        <f>IF('1. Live'!CP258='check-Jul25'!CP258,"",'1. Live'!CP258-'check-Jul25'!CP258)</f>
        <v/>
      </c>
      <c r="CQ258" t="str">
        <f>IF('1. Live'!CQ258='check-Jul25'!CQ258,"",'1. Live'!CQ258-'check-Jul25'!CQ258)</f>
        <v/>
      </c>
      <c r="CR258" t="str">
        <f>IF('1. Live'!CR258='check-Jul25'!CR258,"",'1. Live'!CR258-'check-Jul25'!CR258)</f>
        <v/>
      </c>
      <c r="CS258" t="str">
        <f>IF('1. Live'!CS258='check-Jul25'!CS258,"",'1. Live'!CS258-'check-Jul25'!CS258)</f>
        <v/>
      </c>
      <c r="CT258" t="str">
        <f>IF('1. Live'!CT258='check-Jul25'!CT258,"",'1. Live'!CT258-'check-Jul25'!CT258)</f>
        <v/>
      </c>
      <c r="CU258" t="str">
        <f>IF('1. Live'!CU258='check-Jul25'!CU258,"",'1. Live'!CU258-'check-Jul25'!CU258)</f>
        <v/>
      </c>
      <c r="CV258" t="str">
        <f>IF('1. Live'!CV258='check-Jul25'!CV258,"",'1. Live'!CV258-'check-Jul25'!CV258)</f>
        <v/>
      </c>
      <c r="CW258" t="str">
        <f>IF('1. Live'!CW258='check-Jul25'!CW258,"",'1. Live'!CW258-'check-Jul25'!CW258)</f>
        <v/>
      </c>
    </row>
    <row r="259" spans="10:101">
      <c r="J259" t="str">
        <f>IF('1. Live'!J259='check-Jul25'!J259,"",'1. Live'!J259-'check-Jul25'!J259)</f>
        <v/>
      </c>
      <c r="K259" t="str">
        <f>IF('1. Live'!K259='check-Jul25'!K259,"",'1. Live'!K259-'check-Jul25'!K259)</f>
        <v/>
      </c>
      <c r="L259" t="str">
        <f>IF('1. Live'!L259='check-Jul25'!L259,"",'1. Live'!L259-'check-Jul25'!L259)</f>
        <v/>
      </c>
      <c r="M259" t="str">
        <f>IF('1. Live'!M259='check-Jul25'!M259,"",'1. Live'!M259-'check-Jul25'!M259)</f>
        <v/>
      </c>
      <c r="N259" t="str">
        <f>IF('1. Live'!N259='check-Jul25'!N259,"",'1. Live'!N259-'check-Jul25'!N259)</f>
        <v/>
      </c>
      <c r="O259" t="str">
        <f>IF('1. Live'!O259='check-Jul25'!O259,"",'1. Live'!O259-'check-Jul25'!O259)</f>
        <v/>
      </c>
      <c r="P259" t="str">
        <f>IF('1. Live'!P259='check-Jul25'!P259,"",'1. Live'!P259-'check-Jul25'!P259)</f>
        <v/>
      </c>
      <c r="Q259" t="str">
        <f>IF('1. Live'!Q259='check-Jul25'!Q259,"",'1. Live'!Q259-'check-Jul25'!Q259)</f>
        <v/>
      </c>
      <c r="R259" t="str">
        <f>IF('1. Live'!R259='check-Jul25'!R259,"",'1. Live'!R259-'check-Jul25'!R259)</f>
        <v/>
      </c>
      <c r="S259" t="str">
        <f>IF('1. Live'!S259='check-Jul25'!S259,"",'1. Live'!S259-'check-Jul25'!S259)</f>
        <v/>
      </c>
      <c r="T259" t="str">
        <f>IF('1. Live'!T259='check-Jul25'!T259,"",'1. Live'!T259-'check-Jul25'!T259)</f>
        <v/>
      </c>
      <c r="U259" t="str">
        <f>IF('1. Live'!U259='check-Jul25'!U259,"",'1. Live'!U259-'check-Jul25'!U259)</f>
        <v/>
      </c>
      <c r="V259" t="str">
        <f>IF('1. Live'!V259='check-Jul25'!V259,"",'1. Live'!V259-'check-Jul25'!V259)</f>
        <v/>
      </c>
      <c r="W259" t="str">
        <f>IF('1. Live'!W259='check-Jul25'!W259,"",'1. Live'!W259-'check-Jul25'!W259)</f>
        <v/>
      </c>
      <c r="X259" t="str">
        <f>IF('1. Live'!X259='check-Jul25'!X259,"",'1. Live'!X259-'check-Jul25'!X259)</f>
        <v/>
      </c>
      <c r="Y259" t="str">
        <f>IF('1. Live'!Y259='check-Jul25'!Y259,"",'1. Live'!Y259-'check-Jul25'!Y259)</f>
        <v/>
      </c>
      <c r="Z259" t="str">
        <f>IF('1. Live'!Z259='check-Jul25'!Z259,"",'1. Live'!Z259-'check-Jul25'!Z259)</f>
        <v/>
      </c>
      <c r="AA259" t="str">
        <f>IF('1. Live'!AA259='check-Jul25'!AA259,"",'1. Live'!AA259-'check-Jul25'!AA259)</f>
        <v/>
      </c>
      <c r="AB259" t="str">
        <f>IF('1. Live'!AB259='check-Jul25'!AB259,"",'1. Live'!AB259-'check-Jul25'!AB259)</f>
        <v/>
      </c>
      <c r="AC259" t="str">
        <f>IF('1. Live'!AC259='check-Jul25'!AC259,"",'1. Live'!AC259-'check-Jul25'!AC259)</f>
        <v/>
      </c>
      <c r="AD259" t="str">
        <f>IF('1. Live'!AD259='check-Jul25'!AD259,"",'1. Live'!AD259-'check-Jul25'!AD259)</f>
        <v/>
      </c>
      <c r="AE259" t="str">
        <f>IF('1. Live'!AE259='check-Jul25'!AE259,"",'1. Live'!AE259-'check-Jul25'!AE259)</f>
        <v/>
      </c>
      <c r="AF259" t="str">
        <f>IF('1. Live'!AF259='check-Jul25'!AF259,"",'1. Live'!AF259-'check-Jul25'!AF259)</f>
        <v/>
      </c>
      <c r="AG259" t="str">
        <f>IF('1. Live'!AG259='check-Jul25'!AG259,"",'1. Live'!AG259-'check-Jul25'!AG259)</f>
        <v/>
      </c>
      <c r="AH259" t="str">
        <f>IF('1. Live'!AH259='check-Jul25'!AH259,"",'1. Live'!AH259-'check-Jul25'!AH259)</f>
        <v/>
      </c>
      <c r="AI259" t="str">
        <f>IF('1. Live'!AI259='check-Jul25'!AI259,"",'1. Live'!AI259-'check-Jul25'!AI259)</f>
        <v/>
      </c>
      <c r="AJ259" t="str">
        <f>IF('1. Live'!AJ259='check-Jul25'!AJ259,"",'1. Live'!AJ259-'check-Jul25'!AJ259)</f>
        <v/>
      </c>
      <c r="AK259" t="str">
        <f>IF('1. Live'!AK259='check-Jul25'!AK259,"",'1. Live'!AK259-'check-Jul25'!AK259)</f>
        <v/>
      </c>
      <c r="AL259" t="str">
        <f>IF('1. Live'!AL259='check-Jul25'!AL259,"",'1. Live'!AL259-'check-Jul25'!AL259)</f>
        <v/>
      </c>
      <c r="AM259" t="str">
        <f>IF('1. Live'!AM259='check-Jul25'!AM259,"",'1. Live'!AM259-'check-Jul25'!AM259)</f>
        <v/>
      </c>
      <c r="AN259" t="str">
        <f>IF('1. Live'!AN259='check-Jul25'!AN259,"",'1. Live'!AN259-'check-Jul25'!AN259)</f>
        <v/>
      </c>
      <c r="AO259" t="str">
        <f>IF('1. Live'!AO259='check-Jul25'!AO259,"",'1. Live'!AO259-'check-Jul25'!AO259)</f>
        <v/>
      </c>
      <c r="AP259" t="str">
        <f>IF('1. Live'!AP259='check-Jul25'!AP259,"",'1. Live'!AP259-'check-Jul25'!AP259)</f>
        <v/>
      </c>
      <c r="AQ259" t="str">
        <f>IF('1. Live'!AQ259='check-Jul25'!AQ259,"",'1. Live'!AQ259-'check-Jul25'!AQ259)</f>
        <v/>
      </c>
      <c r="AR259" t="str">
        <f>IF('1. Live'!AR259='check-Jul25'!AR259,"",'1. Live'!AR259-'check-Jul25'!AR259)</f>
        <v/>
      </c>
      <c r="AS259" t="str">
        <f>IF('1. Live'!AS259='check-Jul25'!AS259,"",'1. Live'!AS259-'check-Jul25'!AS259)</f>
        <v/>
      </c>
      <c r="AT259" t="str">
        <f>IF('1. Live'!AT259='check-Jul25'!AT259,"",'1. Live'!AT259-'check-Jul25'!AT259)</f>
        <v/>
      </c>
      <c r="AU259" t="str">
        <f>IF('1. Live'!AU259='check-Jul25'!AU259,"",'1. Live'!AU259-'check-Jul25'!AU259)</f>
        <v/>
      </c>
      <c r="AV259" t="str">
        <f>IF('1. Live'!AV259='check-Jul25'!AV259,"",'1. Live'!AV259-'check-Jul25'!AV259)</f>
        <v/>
      </c>
      <c r="AW259" t="str">
        <f>IF('1. Live'!AW259='check-Jul25'!AW259,"",'1. Live'!AW259-'check-Jul25'!AW259)</f>
        <v/>
      </c>
      <c r="AX259" t="str">
        <f>IF('1. Live'!AX259='check-Jul25'!AX259,"",'1. Live'!AX259-'check-Jul25'!AX259)</f>
        <v/>
      </c>
      <c r="AY259" t="str">
        <f>IF('1. Live'!AY259='check-Jul25'!AY259,"",'1. Live'!AY259-'check-Jul25'!AY259)</f>
        <v/>
      </c>
      <c r="AZ259" t="str">
        <f>IF('1. Live'!AZ259='check-Jul25'!AZ259,"",'1. Live'!AZ259-'check-Jul25'!AZ259)</f>
        <v/>
      </c>
      <c r="BA259" t="str">
        <f>IF('1. Live'!BA259='check-Jul25'!BA259,"",'1. Live'!BA259-'check-Jul25'!BA259)</f>
        <v/>
      </c>
      <c r="BB259" t="str">
        <f>IF('1. Live'!BB259='check-Jul25'!BB259,"",'1. Live'!BB259-'check-Jul25'!BB259)</f>
        <v/>
      </c>
      <c r="BC259" t="str">
        <f>IF('1. Live'!BC259='check-Jul25'!BC259,"",'1. Live'!BC259-'check-Jul25'!BC259)</f>
        <v/>
      </c>
      <c r="BD259" t="str">
        <f>IF('1. Live'!BD259='check-Jul25'!BD259,"",'1. Live'!BD259-'check-Jul25'!BD259)</f>
        <v/>
      </c>
      <c r="BE259" t="str">
        <f>IF('1. Live'!BE259='check-Jul25'!BE259,"",'1. Live'!BE259-'check-Jul25'!BE259)</f>
        <v/>
      </c>
      <c r="BF259" t="str">
        <f>IF('1. Live'!BF259='check-Jul25'!BF259,"",'1. Live'!BF259-'check-Jul25'!BF259)</f>
        <v/>
      </c>
      <c r="BG259" t="str">
        <f>IF('1. Live'!BG259='check-Jul25'!BG259,"",'1. Live'!BG259-'check-Jul25'!BG259)</f>
        <v/>
      </c>
      <c r="BH259" t="str">
        <f>IF('1. Live'!BH259='check-Jul25'!BH259,"",'1. Live'!BH259-'check-Jul25'!BH259)</f>
        <v/>
      </c>
      <c r="BI259" t="str">
        <f>IF('1. Live'!BI259='check-Jul25'!BI259,"",'1. Live'!BI259-'check-Jul25'!BI259)</f>
        <v/>
      </c>
      <c r="BJ259" t="str">
        <f>IF('1. Live'!BJ259='check-Jul25'!BJ259,"",'1. Live'!BJ259-'check-Jul25'!BJ259)</f>
        <v/>
      </c>
      <c r="BK259" t="str">
        <f>IF('1. Live'!BK259='check-Jul25'!BK259,"",'1. Live'!BK259-'check-Jul25'!BK259)</f>
        <v/>
      </c>
      <c r="BL259" t="str">
        <f>IF('1. Live'!BL259='check-Jul25'!BL259,"",'1. Live'!BL259-'check-Jul25'!BL259)</f>
        <v/>
      </c>
      <c r="BM259" t="str">
        <f>IF('1. Live'!BM259='check-Jul25'!BM259,"",'1. Live'!BM259-'check-Jul25'!BM259)</f>
        <v/>
      </c>
      <c r="BN259" t="str">
        <f>IF('1. Live'!BN259='check-Jul25'!BN259,"",'1. Live'!BN259-'check-Jul25'!BN259)</f>
        <v/>
      </c>
      <c r="BO259" t="str">
        <f>IF('1. Live'!BO259='check-Jul25'!BO259,"",'1. Live'!BO259-'check-Jul25'!BO259)</f>
        <v/>
      </c>
      <c r="BP259" t="str">
        <f>IF('1. Live'!BP259='check-Jul25'!BP259,"",'1. Live'!BP259-'check-Jul25'!BP259)</f>
        <v/>
      </c>
      <c r="BQ259" t="str">
        <f>IF('1. Live'!BQ259='check-Jul25'!BQ259,"",'1. Live'!BQ259-'check-Jul25'!BQ259)</f>
        <v/>
      </c>
      <c r="BR259" t="str">
        <f>IF('1. Live'!BR259='check-Jul25'!BR259,"",'1. Live'!BR259-'check-Jul25'!BR259)</f>
        <v/>
      </c>
      <c r="BS259" t="str">
        <f>IF('1. Live'!BS259='check-Jul25'!BS259,"",'1. Live'!BS259-'check-Jul25'!BS259)</f>
        <v/>
      </c>
      <c r="BT259" t="str">
        <f>IF('1. Live'!BT259='check-Jul25'!BT259,"",'1. Live'!BT259-'check-Jul25'!BT259)</f>
        <v/>
      </c>
      <c r="BU259" t="str">
        <f>IF('1. Live'!BU259='check-Jul25'!BU259,"",'1. Live'!BU259-'check-Jul25'!BU259)</f>
        <v/>
      </c>
      <c r="BV259" t="str">
        <f>IF('1. Live'!BV259='check-Jul25'!BV259,"",'1. Live'!BV259-'check-Jul25'!BV259)</f>
        <v/>
      </c>
      <c r="BW259" t="str">
        <f>IF('1. Live'!BW259='check-Jul25'!BW259,"",'1. Live'!BW259-'check-Jul25'!BW259)</f>
        <v/>
      </c>
      <c r="BX259" t="str">
        <f>IF('1. Live'!BX259='check-Jul25'!BX259,"",'1. Live'!BX259-'check-Jul25'!BX259)</f>
        <v/>
      </c>
      <c r="BY259" t="str">
        <f>IF('1. Live'!BY259='check-Jul25'!BY259,"",'1. Live'!BY259-'check-Jul25'!BY259)</f>
        <v/>
      </c>
      <c r="BZ259" t="str">
        <f>IF('1. Live'!BZ259='check-Jul25'!BZ259,"",'1. Live'!BZ259-'check-Jul25'!BZ259)</f>
        <v/>
      </c>
      <c r="CA259" t="str">
        <f>IF('1. Live'!CA259='check-Jul25'!CA259,"",'1. Live'!CA259-'check-Jul25'!CA259)</f>
        <v/>
      </c>
      <c r="CB259" t="str">
        <f>IF('1. Live'!CB259='check-Jul25'!CB259,"",'1. Live'!CB259-'check-Jul25'!CB259)</f>
        <v/>
      </c>
      <c r="CC259" t="str">
        <f>IF('1. Live'!CC259='check-Jul25'!CC259,"",'1. Live'!CC259-'check-Jul25'!CC259)</f>
        <v/>
      </c>
      <c r="CD259" t="str">
        <f>IF('1. Live'!CD259='check-Jul25'!CD259,"",'1. Live'!CD259-'check-Jul25'!CD259)</f>
        <v/>
      </c>
      <c r="CE259" t="str">
        <f>IF('1. Live'!CE259='check-Jul25'!CE259,"",'1. Live'!CE259-'check-Jul25'!CE259)</f>
        <v/>
      </c>
      <c r="CF259" t="str">
        <f>IF('1. Live'!CF259='check-Jul25'!CF259,"",'1. Live'!CF259-'check-Jul25'!CF259)</f>
        <v/>
      </c>
      <c r="CG259" t="str">
        <f>IF('1. Live'!CG259='check-Jul25'!CG259,"",'1. Live'!CG259-'check-Jul25'!CG259)</f>
        <v/>
      </c>
      <c r="CH259" t="str">
        <f>IF('1. Live'!CH259='check-Jul25'!CH259,"",'1. Live'!CH259-'check-Jul25'!CH259)</f>
        <v/>
      </c>
      <c r="CI259" t="str">
        <f>IF('1. Live'!CI259='check-Jul25'!CI259,"",'1. Live'!CI259-'check-Jul25'!CI259)</f>
        <v/>
      </c>
      <c r="CJ259" t="str">
        <f>IF('1. Live'!CJ259='check-Jul25'!CJ259,"",'1. Live'!CJ259-'check-Jul25'!CJ259)</f>
        <v/>
      </c>
      <c r="CK259" t="str">
        <f>IF('1. Live'!CK259='check-Jul25'!CK259,"",'1. Live'!CK259-'check-Jul25'!CK259)</f>
        <v/>
      </c>
      <c r="CL259" t="str">
        <f>IF('1. Live'!CL259='check-Jul25'!CL259,"",'1. Live'!CL259-'check-Jul25'!CL259)</f>
        <v/>
      </c>
      <c r="CM259" t="str">
        <f>IF('1. Live'!CM259='check-Jul25'!CM259,"",'1. Live'!CM259-'check-Jul25'!CM259)</f>
        <v/>
      </c>
      <c r="CN259" t="str">
        <f>IF('1. Live'!CN259='check-Jul25'!CN259,"",'1. Live'!CN259-'check-Jul25'!CN259)</f>
        <v/>
      </c>
      <c r="CO259" t="str">
        <f>IF('1. Live'!CO259='check-Jul25'!CO259,"",'1. Live'!CO259-'check-Jul25'!CO259)</f>
        <v/>
      </c>
      <c r="CP259" t="str">
        <f>IF('1. Live'!CP259='check-Jul25'!CP259,"",'1. Live'!CP259-'check-Jul25'!CP259)</f>
        <v/>
      </c>
      <c r="CQ259" t="str">
        <f>IF('1. Live'!CQ259='check-Jul25'!CQ259,"",'1. Live'!CQ259-'check-Jul25'!CQ259)</f>
        <v/>
      </c>
      <c r="CR259" t="str">
        <f>IF('1. Live'!CR259='check-Jul25'!CR259,"",'1. Live'!CR259-'check-Jul25'!CR259)</f>
        <v/>
      </c>
      <c r="CS259" t="str">
        <f>IF('1. Live'!CS259='check-Jul25'!CS259,"",'1. Live'!CS259-'check-Jul25'!CS259)</f>
        <v/>
      </c>
      <c r="CT259" t="str">
        <f>IF('1. Live'!CT259='check-Jul25'!CT259,"",'1. Live'!CT259-'check-Jul25'!CT259)</f>
        <v/>
      </c>
      <c r="CU259" t="str">
        <f>IF('1. Live'!CU259='check-Jul25'!CU259,"",'1. Live'!CU259-'check-Jul25'!CU259)</f>
        <v/>
      </c>
      <c r="CV259" t="str">
        <f>IF('1. Live'!CV259='check-Jul25'!CV259,"",'1. Live'!CV259-'check-Jul25'!CV259)</f>
        <v/>
      </c>
      <c r="CW259" t="str">
        <f>IF('1. Live'!CW259='check-Jul25'!CW259,"",'1. Live'!CW259-'check-Jul25'!CW259)</f>
        <v/>
      </c>
    </row>
    <row r="260" spans="10:101">
      <c r="J260" t="str">
        <f>IF('1. Live'!J260='check-Jul25'!J260,"",'1. Live'!J260-'check-Jul25'!J260)</f>
        <v/>
      </c>
      <c r="K260" t="str">
        <f>IF('1. Live'!K260='check-Jul25'!K260,"",'1. Live'!K260-'check-Jul25'!K260)</f>
        <v/>
      </c>
      <c r="L260" t="str">
        <f>IF('1. Live'!L260='check-Jul25'!L260,"",'1. Live'!L260-'check-Jul25'!L260)</f>
        <v/>
      </c>
      <c r="M260" t="str">
        <f>IF('1. Live'!M260='check-Jul25'!M260,"",'1. Live'!M260-'check-Jul25'!M260)</f>
        <v/>
      </c>
      <c r="N260" t="str">
        <f>IF('1. Live'!N260='check-Jul25'!N260,"",'1. Live'!N260-'check-Jul25'!N260)</f>
        <v/>
      </c>
      <c r="O260" t="str">
        <f>IF('1. Live'!O260='check-Jul25'!O260,"",'1. Live'!O260-'check-Jul25'!O260)</f>
        <v/>
      </c>
      <c r="P260" t="str">
        <f>IF('1. Live'!P260='check-Jul25'!P260,"",'1. Live'!P260-'check-Jul25'!P260)</f>
        <v/>
      </c>
      <c r="Q260" t="str">
        <f>IF('1. Live'!Q260='check-Jul25'!Q260,"",'1. Live'!Q260-'check-Jul25'!Q260)</f>
        <v/>
      </c>
      <c r="R260" t="str">
        <f>IF('1. Live'!R260='check-Jul25'!R260,"",'1. Live'!R260-'check-Jul25'!R260)</f>
        <v/>
      </c>
      <c r="S260" t="str">
        <f>IF('1. Live'!S260='check-Jul25'!S260,"",'1. Live'!S260-'check-Jul25'!S260)</f>
        <v/>
      </c>
      <c r="T260" t="str">
        <f>IF('1. Live'!T260='check-Jul25'!T260,"",'1. Live'!T260-'check-Jul25'!T260)</f>
        <v/>
      </c>
      <c r="U260" t="str">
        <f>IF('1. Live'!U260='check-Jul25'!U260,"",'1. Live'!U260-'check-Jul25'!U260)</f>
        <v/>
      </c>
      <c r="V260" t="str">
        <f>IF('1. Live'!V260='check-Jul25'!V260,"",'1. Live'!V260-'check-Jul25'!V260)</f>
        <v/>
      </c>
      <c r="W260" t="str">
        <f>IF('1. Live'!W260='check-Jul25'!W260,"",'1. Live'!W260-'check-Jul25'!W260)</f>
        <v/>
      </c>
      <c r="X260" t="str">
        <f>IF('1. Live'!X260='check-Jul25'!X260,"",'1. Live'!X260-'check-Jul25'!X260)</f>
        <v/>
      </c>
      <c r="Y260" t="str">
        <f>IF('1. Live'!Y260='check-Jul25'!Y260,"",'1. Live'!Y260-'check-Jul25'!Y260)</f>
        <v/>
      </c>
      <c r="Z260" t="str">
        <f>IF('1. Live'!Z260='check-Jul25'!Z260,"",'1. Live'!Z260-'check-Jul25'!Z260)</f>
        <v/>
      </c>
      <c r="AA260" t="str">
        <f>IF('1. Live'!AA260='check-Jul25'!AA260,"",'1. Live'!AA260-'check-Jul25'!AA260)</f>
        <v/>
      </c>
      <c r="AB260" t="str">
        <f>IF('1. Live'!AB260='check-Jul25'!AB260,"",'1. Live'!AB260-'check-Jul25'!AB260)</f>
        <v/>
      </c>
      <c r="AC260" t="str">
        <f>IF('1. Live'!AC260='check-Jul25'!AC260,"",'1. Live'!AC260-'check-Jul25'!AC260)</f>
        <v/>
      </c>
      <c r="AD260" t="str">
        <f>IF('1. Live'!AD260='check-Jul25'!AD260,"",'1. Live'!AD260-'check-Jul25'!AD260)</f>
        <v/>
      </c>
      <c r="AE260" t="str">
        <f>IF('1. Live'!AE260='check-Jul25'!AE260,"",'1. Live'!AE260-'check-Jul25'!AE260)</f>
        <v/>
      </c>
      <c r="AF260" t="str">
        <f>IF('1. Live'!AF260='check-Jul25'!AF260,"",'1. Live'!AF260-'check-Jul25'!AF260)</f>
        <v/>
      </c>
      <c r="AG260" t="str">
        <f>IF('1. Live'!AG260='check-Jul25'!AG260,"",'1. Live'!AG260-'check-Jul25'!AG260)</f>
        <v/>
      </c>
      <c r="AH260" t="str">
        <f>IF('1. Live'!AH260='check-Jul25'!AH260,"",'1. Live'!AH260-'check-Jul25'!AH260)</f>
        <v/>
      </c>
      <c r="AI260" t="str">
        <f>IF('1. Live'!AI260='check-Jul25'!AI260,"",'1. Live'!AI260-'check-Jul25'!AI260)</f>
        <v/>
      </c>
      <c r="AJ260" t="str">
        <f>IF('1. Live'!AJ260='check-Jul25'!AJ260,"",'1. Live'!AJ260-'check-Jul25'!AJ260)</f>
        <v/>
      </c>
      <c r="AK260" t="str">
        <f>IF('1. Live'!AK260='check-Jul25'!AK260,"",'1. Live'!AK260-'check-Jul25'!AK260)</f>
        <v/>
      </c>
      <c r="AL260" t="str">
        <f>IF('1. Live'!AL260='check-Jul25'!AL260,"",'1. Live'!AL260-'check-Jul25'!AL260)</f>
        <v/>
      </c>
      <c r="AM260" t="str">
        <f>IF('1. Live'!AM260='check-Jul25'!AM260,"",'1. Live'!AM260-'check-Jul25'!AM260)</f>
        <v/>
      </c>
      <c r="AN260" t="str">
        <f>IF('1. Live'!AN260='check-Jul25'!AN260,"",'1. Live'!AN260-'check-Jul25'!AN260)</f>
        <v/>
      </c>
      <c r="AO260" t="str">
        <f>IF('1. Live'!AO260='check-Jul25'!AO260,"",'1. Live'!AO260-'check-Jul25'!AO260)</f>
        <v/>
      </c>
      <c r="AP260" t="str">
        <f>IF('1. Live'!AP260='check-Jul25'!AP260,"",'1. Live'!AP260-'check-Jul25'!AP260)</f>
        <v/>
      </c>
      <c r="AQ260" t="str">
        <f>IF('1. Live'!AQ260='check-Jul25'!AQ260,"",'1. Live'!AQ260-'check-Jul25'!AQ260)</f>
        <v/>
      </c>
      <c r="AR260" t="str">
        <f>IF('1. Live'!AR260='check-Jul25'!AR260,"",'1. Live'!AR260-'check-Jul25'!AR260)</f>
        <v/>
      </c>
      <c r="AS260" t="str">
        <f>IF('1. Live'!AS260='check-Jul25'!AS260,"",'1. Live'!AS260-'check-Jul25'!AS260)</f>
        <v/>
      </c>
      <c r="AT260" t="str">
        <f>IF('1. Live'!AT260='check-Jul25'!AT260,"",'1. Live'!AT260-'check-Jul25'!AT260)</f>
        <v/>
      </c>
      <c r="AU260" t="str">
        <f>IF('1. Live'!AU260='check-Jul25'!AU260,"",'1. Live'!AU260-'check-Jul25'!AU260)</f>
        <v/>
      </c>
      <c r="AV260" t="str">
        <f>IF('1. Live'!AV260='check-Jul25'!AV260,"",'1. Live'!AV260-'check-Jul25'!AV260)</f>
        <v/>
      </c>
      <c r="AW260" t="str">
        <f>IF('1. Live'!AW260='check-Jul25'!AW260,"",'1. Live'!AW260-'check-Jul25'!AW260)</f>
        <v/>
      </c>
      <c r="AX260" t="str">
        <f>IF('1. Live'!AX260='check-Jul25'!AX260,"",'1. Live'!AX260-'check-Jul25'!AX260)</f>
        <v/>
      </c>
      <c r="AY260" t="str">
        <f>IF('1. Live'!AY260='check-Jul25'!AY260,"",'1. Live'!AY260-'check-Jul25'!AY260)</f>
        <v/>
      </c>
      <c r="AZ260" t="str">
        <f>IF('1. Live'!AZ260='check-Jul25'!AZ260,"",'1. Live'!AZ260-'check-Jul25'!AZ260)</f>
        <v/>
      </c>
      <c r="BA260" t="str">
        <f>IF('1. Live'!BA260='check-Jul25'!BA260,"",'1. Live'!BA260-'check-Jul25'!BA260)</f>
        <v/>
      </c>
      <c r="BB260" t="str">
        <f>IF('1. Live'!BB260='check-Jul25'!BB260,"",'1. Live'!BB260-'check-Jul25'!BB260)</f>
        <v/>
      </c>
      <c r="BC260" t="str">
        <f>IF('1. Live'!BC260='check-Jul25'!BC260,"",'1. Live'!BC260-'check-Jul25'!BC260)</f>
        <v/>
      </c>
      <c r="BD260" t="str">
        <f>IF('1. Live'!BD260='check-Jul25'!BD260,"",'1. Live'!BD260-'check-Jul25'!BD260)</f>
        <v/>
      </c>
      <c r="BE260" t="str">
        <f>IF('1. Live'!BE260='check-Jul25'!BE260,"",'1. Live'!BE260-'check-Jul25'!BE260)</f>
        <v/>
      </c>
      <c r="BF260" t="str">
        <f>IF('1. Live'!BF260='check-Jul25'!BF260,"",'1. Live'!BF260-'check-Jul25'!BF260)</f>
        <v/>
      </c>
      <c r="BG260" t="str">
        <f>IF('1. Live'!BG260='check-Jul25'!BG260,"",'1. Live'!BG260-'check-Jul25'!BG260)</f>
        <v/>
      </c>
      <c r="BH260" t="str">
        <f>IF('1. Live'!BH260='check-Jul25'!BH260,"",'1. Live'!BH260-'check-Jul25'!BH260)</f>
        <v/>
      </c>
      <c r="BI260" t="str">
        <f>IF('1. Live'!BI260='check-Jul25'!BI260,"",'1. Live'!BI260-'check-Jul25'!BI260)</f>
        <v/>
      </c>
      <c r="BJ260" t="str">
        <f>IF('1. Live'!BJ260='check-Jul25'!BJ260,"",'1. Live'!BJ260-'check-Jul25'!BJ260)</f>
        <v/>
      </c>
      <c r="BK260" t="str">
        <f>IF('1. Live'!BK260='check-Jul25'!BK260,"",'1. Live'!BK260-'check-Jul25'!BK260)</f>
        <v/>
      </c>
      <c r="BL260" t="str">
        <f>IF('1. Live'!BL260='check-Jul25'!BL260,"",'1. Live'!BL260-'check-Jul25'!BL260)</f>
        <v/>
      </c>
      <c r="BM260" t="str">
        <f>IF('1. Live'!BM260='check-Jul25'!BM260,"",'1. Live'!BM260-'check-Jul25'!BM260)</f>
        <v/>
      </c>
      <c r="BN260" t="str">
        <f>IF('1. Live'!BN260='check-Jul25'!BN260,"",'1. Live'!BN260-'check-Jul25'!BN260)</f>
        <v/>
      </c>
      <c r="BO260" t="str">
        <f>IF('1. Live'!BO260='check-Jul25'!BO260,"",'1. Live'!BO260-'check-Jul25'!BO260)</f>
        <v/>
      </c>
      <c r="BP260" t="str">
        <f>IF('1. Live'!BP260='check-Jul25'!BP260,"",'1. Live'!BP260-'check-Jul25'!BP260)</f>
        <v/>
      </c>
      <c r="BQ260" t="str">
        <f>IF('1. Live'!BQ260='check-Jul25'!BQ260,"",'1. Live'!BQ260-'check-Jul25'!BQ260)</f>
        <v/>
      </c>
      <c r="BR260" t="str">
        <f>IF('1. Live'!BR260='check-Jul25'!BR260,"",'1. Live'!BR260-'check-Jul25'!BR260)</f>
        <v/>
      </c>
      <c r="BS260" t="str">
        <f>IF('1. Live'!BS260='check-Jul25'!BS260,"",'1. Live'!BS260-'check-Jul25'!BS260)</f>
        <v/>
      </c>
      <c r="BT260" t="str">
        <f>IF('1. Live'!BT260='check-Jul25'!BT260,"",'1. Live'!BT260-'check-Jul25'!BT260)</f>
        <v/>
      </c>
      <c r="BU260" t="str">
        <f>IF('1. Live'!BU260='check-Jul25'!BU260,"",'1. Live'!BU260-'check-Jul25'!BU260)</f>
        <v/>
      </c>
      <c r="BV260" t="str">
        <f>IF('1. Live'!BV260='check-Jul25'!BV260,"",'1. Live'!BV260-'check-Jul25'!BV260)</f>
        <v/>
      </c>
      <c r="BW260" t="str">
        <f>IF('1. Live'!BW260='check-Jul25'!BW260,"",'1. Live'!BW260-'check-Jul25'!BW260)</f>
        <v/>
      </c>
      <c r="BX260" t="str">
        <f>IF('1. Live'!BX260='check-Jul25'!BX260,"",'1. Live'!BX260-'check-Jul25'!BX260)</f>
        <v/>
      </c>
      <c r="BY260" t="str">
        <f>IF('1. Live'!BY260='check-Jul25'!BY260,"",'1. Live'!BY260-'check-Jul25'!BY260)</f>
        <v/>
      </c>
      <c r="BZ260" t="str">
        <f>IF('1. Live'!BZ260='check-Jul25'!BZ260,"",'1. Live'!BZ260-'check-Jul25'!BZ260)</f>
        <v/>
      </c>
      <c r="CA260" t="str">
        <f>IF('1. Live'!CA260='check-Jul25'!CA260,"",'1. Live'!CA260-'check-Jul25'!CA260)</f>
        <v/>
      </c>
      <c r="CB260" t="str">
        <f>IF('1. Live'!CB260='check-Jul25'!CB260,"",'1. Live'!CB260-'check-Jul25'!CB260)</f>
        <v/>
      </c>
      <c r="CC260" t="str">
        <f>IF('1. Live'!CC260='check-Jul25'!CC260,"",'1. Live'!CC260-'check-Jul25'!CC260)</f>
        <v/>
      </c>
      <c r="CD260" t="str">
        <f>IF('1. Live'!CD260='check-Jul25'!CD260,"",'1. Live'!CD260-'check-Jul25'!CD260)</f>
        <v/>
      </c>
      <c r="CE260" t="str">
        <f>IF('1. Live'!CE260='check-Jul25'!CE260,"",'1. Live'!CE260-'check-Jul25'!CE260)</f>
        <v/>
      </c>
      <c r="CF260" t="str">
        <f>IF('1. Live'!CF260='check-Jul25'!CF260,"",'1. Live'!CF260-'check-Jul25'!CF260)</f>
        <v/>
      </c>
      <c r="CG260" t="str">
        <f>IF('1. Live'!CG260='check-Jul25'!CG260,"",'1. Live'!CG260-'check-Jul25'!CG260)</f>
        <v/>
      </c>
      <c r="CH260" t="str">
        <f>IF('1. Live'!CH260='check-Jul25'!CH260,"",'1. Live'!CH260-'check-Jul25'!CH260)</f>
        <v/>
      </c>
      <c r="CI260" t="str">
        <f>IF('1. Live'!CI260='check-Jul25'!CI260,"",'1. Live'!CI260-'check-Jul25'!CI260)</f>
        <v/>
      </c>
      <c r="CJ260" t="str">
        <f>IF('1. Live'!CJ260='check-Jul25'!CJ260,"",'1. Live'!CJ260-'check-Jul25'!CJ260)</f>
        <v/>
      </c>
      <c r="CK260" t="str">
        <f>IF('1. Live'!CK260='check-Jul25'!CK260,"",'1. Live'!CK260-'check-Jul25'!CK260)</f>
        <v/>
      </c>
      <c r="CL260" t="str">
        <f>IF('1. Live'!CL260='check-Jul25'!CL260,"",'1. Live'!CL260-'check-Jul25'!CL260)</f>
        <v/>
      </c>
      <c r="CM260" t="str">
        <f>IF('1. Live'!CM260='check-Jul25'!CM260,"",'1. Live'!CM260-'check-Jul25'!CM260)</f>
        <v/>
      </c>
      <c r="CN260" t="str">
        <f>IF('1. Live'!CN260='check-Jul25'!CN260,"",'1. Live'!CN260-'check-Jul25'!CN260)</f>
        <v/>
      </c>
      <c r="CO260" t="str">
        <f>IF('1. Live'!CO260='check-Jul25'!CO260,"",'1. Live'!CO260-'check-Jul25'!CO260)</f>
        <v/>
      </c>
      <c r="CP260" t="str">
        <f>IF('1. Live'!CP260='check-Jul25'!CP260,"",'1. Live'!CP260-'check-Jul25'!CP260)</f>
        <v/>
      </c>
      <c r="CQ260" t="str">
        <f>IF('1. Live'!CQ260='check-Jul25'!CQ260,"",'1. Live'!CQ260-'check-Jul25'!CQ260)</f>
        <v/>
      </c>
      <c r="CR260" t="str">
        <f>IF('1. Live'!CR260='check-Jul25'!CR260,"",'1. Live'!CR260-'check-Jul25'!CR260)</f>
        <v/>
      </c>
      <c r="CS260" t="str">
        <f>IF('1. Live'!CS260='check-Jul25'!CS260,"",'1. Live'!CS260-'check-Jul25'!CS260)</f>
        <v/>
      </c>
      <c r="CT260" t="str">
        <f>IF('1. Live'!CT260='check-Jul25'!CT260,"",'1. Live'!CT260-'check-Jul25'!CT260)</f>
        <v/>
      </c>
      <c r="CU260" t="str">
        <f>IF('1. Live'!CU260='check-Jul25'!CU260,"",'1. Live'!CU260-'check-Jul25'!CU260)</f>
        <v/>
      </c>
      <c r="CV260" t="str">
        <f>IF('1. Live'!CV260='check-Jul25'!CV260,"",'1. Live'!CV260-'check-Jul25'!CV260)</f>
        <v/>
      </c>
      <c r="CW260" t="str">
        <f>IF('1. Live'!CW260='check-Jul25'!CW260,"",'1. Live'!CW260-'check-Jul25'!CW260)</f>
        <v/>
      </c>
    </row>
    <row r="261" spans="10:101">
      <c r="J261" t="str">
        <f>IF('1. Live'!J261='check-Jul25'!J261,"",'1. Live'!J261-'check-Jul25'!J261)</f>
        <v/>
      </c>
      <c r="K261" t="str">
        <f>IF('1. Live'!K261='check-Jul25'!K261,"",'1. Live'!K261-'check-Jul25'!K261)</f>
        <v/>
      </c>
      <c r="L261" t="str">
        <f>IF('1. Live'!L261='check-Jul25'!L261,"",'1. Live'!L261-'check-Jul25'!L261)</f>
        <v/>
      </c>
      <c r="M261" t="str">
        <f>IF('1. Live'!M261='check-Jul25'!M261,"",'1. Live'!M261-'check-Jul25'!M261)</f>
        <v/>
      </c>
      <c r="N261" t="str">
        <f>IF('1. Live'!N261='check-Jul25'!N261,"",'1. Live'!N261-'check-Jul25'!N261)</f>
        <v/>
      </c>
      <c r="O261" t="str">
        <f>IF('1. Live'!O261='check-Jul25'!O261,"",'1. Live'!O261-'check-Jul25'!O261)</f>
        <v/>
      </c>
      <c r="P261" t="str">
        <f>IF('1. Live'!P261='check-Jul25'!P261,"",'1. Live'!P261-'check-Jul25'!P261)</f>
        <v/>
      </c>
      <c r="Q261" t="str">
        <f>IF('1. Live'!Q261='check-Jul25'!Q261,"",'1. Live'!Q261-'check-Jul25'!Q261)</f>
        <v/>
      </c>
      <c r="R261" t="str">
        <f>IF('1. Live'!R261='check-Jul25'!R261,"",'1. Live'!R261-'check-Jul25'!R261)</f>
        <v/>
      </c>
      <c r="S261" t="str">
        <f>IF('1. Live'!S261='check-Jul25'!S261,"",'1. Live'!S261-'check-Jul25'!S261)</f>
        <v/>
      </c>
      <c r="T261" t="str">
        <f>IF('1. Live'!T261='check-Jul25'!T261,"",'1. Live'!T261-'check-Jul25'!T261)</f>
        <v/>
      </c>
      <c r="U261" t="str">
        <f>IF('1. Live'!U261='check-Jul25'!U261,"",'1. Live'!U261-'check-Jul25'!U261)</f>
        <v/>
      </c>
      <c r="V261" t="str">
        <f>IF('1. Live'!V261='check-Jul25'!V261,"",'1. Live'!V261-'check-Jul25'!V261)</f>
        <v/>
      </c>
      <c r="W261" t="str">
        <f>IF('1. Live'!W261='check-Jul25'!W261,"",'1. Live'!W261-'check-Jul25'!W261)</f>
        <v/>
      </c>
      <c r="X261" t="str">
        <f>IF('1. Live'!X261='check-Jul25'!X261,"",'1. Live'!X261-'check-Jul25'!X261)</f>
        <v/>
      </c>
      <c r="Y261" t="str">
        <f>IF('1. Live'!Y261='check-Jul25'!Y261,"",'1. Live'!Y261-'check-Jul25'!Y261)</f>
        <v/>
      </c>
      <c r="Z261" t="str">
        <f>IF('1. Live'!Z261='check-Jul25'!Z261,"",'1. Live'!Z261-'check-Jul25'!Z261)</f>
        <v/>
      </c>
      <c r="AA261" t="str">
        <f>IF('1. Live'!AA261='check-Jul25'!AA261,"",'1. Live'!AA261-'check-Jul25'!AA261)</f>
        <v/>
      </c>
      <c r="AB261" t="str">
        <f>IF('1. Live'!AB261='check-Jul25'!AB261,"",'1. Live'!AB261-'check-Jul25'!AB261)</f>
        <v/>
      </c>
      <c r="AC261" t="str">
        <f>IF('1. Live'!AC261='check-Jul25'!AC261,"",'1. Live'!AC261-'check-Jul25'!AC261)</f>
        <v/>
      </c>
      <c r="AD261" t="str">
        <f>IF('1. Live'!AD261='check-Jul25'!AD261,"",'1. Live'!AD261-'check-Jul25'!AD261)</f>
        <v/>
      </c>
      <c r="AE261" t="str">
        <f>IF('1. Live'!AE261='check-Jul25'!AE261,"",'1. Live'!AE261-'check-Jul25'!AE261)</f>
        <v/>
      </c>
      <c r="AF261" t="str">
        <f>IF('1. Live'!AF261='check-Jul25'!AF261,"",'1. Live'!AF261-'check-Jul25'!AF261)</f>
        <v/>
      </c>
      <c r="AG261" t="str">
        <f>IF('1. Live'!AG261='check-Jul25'!AG261,"",'1. Live'!AG261-'check-Jul25'!AG261)</f>
        <v/>
      </c>
      <c r="AH261" t="str">
        <f>IF('1. Live'!AH261='check-Jul25'!AH261,"",'1. Live'!AH261-'check-Jul25'!AH261)</f>
        <v/>
      </c>
      <c r="AI261" t="str">
        <f>IF('1. Live'!AI261='check-Jul25'!AI261,"",'1. Live'!AI261-'check-Jul25'!AI261)</f>
        <v/>
      </c>
      <c r="AJ261" t="str">
        <f>IF('1. Live'!AJ261='check-Jul25'!AJ261,"",'1. Live'!AJ261-'check-Jul25'!AJ261)</f>
        <v/>
      </c>
      <c r="AK261" t="str">
        <f>IF('1. Live'!AK261='check-Jul25'!AK261,"",'1. Live'!AK261-'check-Jul25'!AK261)</f>
        <v/>
      </c>
      <c r="AL261" t="str">
        <f>IF('1. Live'!AL261='check-Jul25'!AL261,"",'1. Live'!AL261-'check-Jul25'!AL261)</f>
        <v/>
      </c>
      <c r="AM261" t="str">
        <f>IF('1. Live'!AM261='check-Jul25'!AM261,"",'1. Live'!AM261-'check-Jul25'!AM261)</f>
        <v/>
      </c>
      <c r="AN261" t="str">
        <f>IF('1. Live'!AN261='check-Jul25'!AN261,"",'1. Live'!AN261-'check-Jul25'!AN261)</f>
        <v/>
      </c>
      <c r="AO261" t="str">
        <f>IF('1. Live'!AO261='check-Jul25'!AO261,"",'1. Live'!AO261-'check-Jul25'!AO261)</f>
        <v/>
      </c>
      <c r="AP261" t="str">
        <f>IF('1. Live'!AP261='check-Jul25'!AP261,"",'1. Live'!AP261-'check-Jul25'!AP261)</f>
        <v/>
      </c>
      <c r="AQ261" t="str">
        <f>IF('1. Live'!AQ261='check-Jul25'!AQ261,"",'1. Live'!AQ261-'check-Jul25'!AQ261)</f>
        <v/>
      </c>
      <c r="AR261" t="str">
        <f>IF('1. Live'!AR261='check-Jul25'!AR261,"",'1. Live'!AR261-'check-Jul25'!AR261)</f>
        <v/>
      </c>
      <c r="AS261" t="str">
        <f>IF('1. Live'!AS261='check-Jul25'!AS261,"",'1. Live'!AS261-'check-Jul25'!AS261)</f>
        <v/>
      </c>
      <c r="AT261" t="str">
        <f>IF('1. Live'!AT261='check-Jul25'!AT261,"",'1. Live'!AT261-'check-Jul25'!AT261)</f>
        <v/>
      </c>
      <c r="AU261" t="str">
        <f>IF('1. Live'!AU261='check-Jul25'!AU261,"",'1. Live'!AU261-'check-Jul25'!AU261)</f>
        <v/>
      </c>
      <c r="AV261" t="str">
        <f>IF('1. Live'!AV261='check-Jul25'!AV261,"",'1. Live'!AV261-'check-Jul25'!AV261)</f>
        <v/>
      </c>
      <c r="AW261" t="str">
        <f>IF('1. Live'!AW261='check-Jul25'!AW261,"",'1. Live'!AW261-'check-Jul25'!AW261)</f>
        <v/>
      </c>
      <c r="AX261" t="str">
        <f>IF('1. Live'!AX261='check-Jul25'!AX261,"",'1. Live'!AX261-'check-Jul25'!AX261)</f>
        <v/>
      </c>
      <c r="AY261" t="str">
        <f>IF('1. Live'!AY261='check-Jul25'!AY261,"",'1. Live'!AY261-'check-Jul25'!AY261)</f>
        <v/>
      </c>
      <c r="AZ261" t="str">
        <f>IF('1. Live'!AZ261='check-Jul25'!AZ261,"",'1. Live'!AZ261-'check-Jul25'!AZ261)</f>
        <v/>
      </c>
      <c r="BA261" t="str">
        <f>IF('1. Live'!BA261='check-Jul25'!BA261,"",'1. Live'!BA261-'check-Jul25'!BA261)</f>
        <v/>
      </c>
      <c r="BB261" t="str">
        <f>IF('1. Live'!BB261='check-Jul25'!BB261,"",'1. Live'!BB261-'check-Jul25'!BB261)</f>
        <v/>
      </c>
      <c r="BC261" t="str">
        <f>IF('1. Live'!BC261='check-Jul25'!BC261,"",'1. Live'!BC261-'check-Jul25'!BC261)</f>
        <v/>
      </c>
      <c r="BD261" t="str">
        <f>IF('1. Live'!BD261='check-Jul25'!BD261,"",'1. Live'!BD261-'check-Jul25'!BD261)</f>
        <v/>
      </c>
      <c r="BE261" t="str">
        <f>IF('1. Live'!BE261='check-Jul25'!BE261,"",'1. Live'!BE261-'check-Jul25'!BE261)</f>
        <v/>
      </c>
      <c r="BF261" t="str">
        <f>IF('1. Live'!BF261='check-Jul25'!BF261,"",'1. Live'!BF261-'check-Jul25'!BF261)</f>
        <v/>
      </c>
      <c r="BG261" t="str">
        <f>IF('1. Live'!BG261='check-Jul25'!BG261,"",'1. Live'!BG261-'check-Jul25'!BG261)</f>
        <v/>
      </c>
      <c r="BH261" t="str">
        <f>IF('1. Live'!BH261='check-Jul25'!BH261,"",'1. Live'!BH261-'check-Jul25'!BH261)</f>
        <v/>
      </c>
      <c r="BI261" t="str">
        <f>IF('1. Live'!BI261='check-Jul25'!BI261,"",'1. Live'!BI261-'check-Jul25'!BI261)</f>
        <v/>
      </c>
      <c r="BJ261" t="str">
        <f>IF('1. Live'!BJ261='check-Jul25'!BJ261,"",'1. Live'!BJ261-'check-Jul25'!BJ261)</f>
        <v/>
      </c>
      <c r="BK261" t="str">
        <f>IF('1. Live'!BK261='check-Jul25'!BK261,"",'1. Live'!BK261-'check-Jul25'!BK261)</f>
        <v/>
      </c>
      <c r="BL261" t="str">
        <f>IF('1. Live'!BL261='check-Jul25'!BL261,"",'1. Live'!BL261-'check-Jul25'!BL261)</f>
        <v/>
      </c>
      <c r="BM261" t="str">
        <f>IF('1. Live'!BM261='check-Jul25'!BM261,"",'1. Live'!BM261-'check-Jul25'!BM261)</f>
        <v/>
      </c>
      <c r="BN261" t="str">
        <f>IF('1. Live'!BN261='check-Jul25'!BN261,"",'1. Live'!BN261-'check-Jul25'!BN261)</f>
        <v/>
      </c>
      <c r="BO261" t="str">
        <f>IF('1. Live'!BO261='check-Jul25'!BO261,"",'1. Live'!BO261-'check-Jul25'!BO261)</f>
        <v/>
      </c>
      <c r="BP261" t="str">
        <f>IF('1. Live'!BP261='check-Jul25'!BP261,"",'1. Live'!BP261-'check-Jul25'!BP261)</f>
        <v/>
      </c>
      <c r="BQ261" t="str">
        <f>IF('1. Live'!BQ261='check-Jul25'!BQ261,"",'1. Live'!BQ261-'check-Jul25'!BQ261)</f>
        <v/>
      </c>
      <c r="BR261" t="str">
        <f>IF('1. Live'!BR261='check-Jul25'!BR261,"",'1. Live'!BR261-'check-Jul25'!BR261)</f>
        <v/>
      </c>
      <c r="BS261" t="str">
        <f>IF('1. Live'!BS261='check-Jul25'!BS261,"",'1. Live'!BS261-'check-Jul25'!BS261)</f>
        <v/>
      </c>
      <c r="BT261" t="str">
        <f>IF('1. Live'!BT261='check-Jul25'!BT261,"",'1. Live'!BT261-'check-Jul25'!BT261)</f>
        <v/>
      </c>
      <c r="BU261" t="str">
        <f>IF('1. Live'!BU261='check-Jul25'!BU261,"",'1. Live'!BU261-'check-Jul25'!BU261)</f>
        <v/>
      </c>
      <c r="BV261" t="str">
        <f>IF('1. Live'!BV261='check-Jul25'!BV261,"",'1. Live'!BV261-'check-Jul25'!BV261)</f>
        <v/>
      </c>
      <c r="BW261" t="str">
        <f>IF('1. Live'!BW261='check-Jul25'!BW261,"",'1. Live'!BW261-'check-Jul25'!BW261)</f>
        <v/>
      </c>
      <c r="BX261" t="str">
        <f>IF('1. Live'!BX261='check-Jul25'!BX261,"",'1. Live'!BX261-'check-Jul25'!BX261)</f>
        <v/>
      </c>
      <c r="BY261" t="str">
        <f>IF('1. Live'!BY261='check-Jul25'!BY261,"",'1. Live'!BY261-'check-Jul25'!BY261)</f>
        <v/>
      </c>
      <c r="BZ261" t="str">
        <f>IF('1. Live'!BZ261='check-Jul25'!BZ261,"",'1. Live'!BZ261-'check-Jul25'!BZ261)</f>
        <v/>
      </c>
      <c r="CA261" t="str">
        <f>IF('1. Live'!CA261='check-Jul25'!CA261,"",'1. Live'!CA261-'check-Jul25'!CA261)</f>
        <v/>
      </c>
      <c r="CB261" t="str">
        <f>IF('1. Live'!CB261='check-Jul25'!CB261,"",'1. Live'!CB261-'check-Jul25'!CB261)</f>
        <v/>
      </c>
      <c r="CC261" t="str">
        <f>IF('1. Live'!CC261='check-Jul25'!CC261,"",'1. Live'!CC261-'check-Jul25'!CC261)</f>
        <v/>
      </c>
      <c r="CD261" t="str">
        <f>IF('1. Live'!CD261='check-Jul25'!CD261,"",'1. Live'!CD261-'check-Jul25'!CD261)</f>
        <v/>
      </c>
      <c r="CE261" t="str">
        <f>IF('1. Live'!CE261='check-Jul25'!CE261,"",'1. Live'!CE261-'check-Jul25'!CE261)</f>
        <v/>
      </c>
      <c r="CF261" t="str">
        <f>IF('1. Live'!CF261='check-Jul25'!CF261,"",'1. Live'!CF261-'check-Jul25'!CF261)</f>
        <v/>
      </c>
      <c r="CG261" t="str">
        <f>IF('1. Live'!CG261='check-Jul25'!CG261,"",'1. Live'!CG261-'check-Jul25'!CG261)</f>
        <v/>
      </c>
      <c r="CH261" t="str">
        <f>IF('1. Live'!CH261='check-Jul25'!CH261,"",'1. Live'!CH261-'check-Jul25'!CH261)</f>
        <v/>
      </c>
      <c r="CI261" t="str">
        <f>IF('1. Live'!CI261='check-Jul25'!CI261,"",'1. Live'!CI261-'check-Jul25'!CI261)</f>
        <v/>
      </c>
      <c r="CJ261" t="str">
        <f>IF('1. Live'!CJ261='check-Jul25'!CJ261,"",'1. Live'!CJ261-'check-Jul25'!CJ261)</f>
        <v/>
      </c>
      <c r="CK261" t="str">
        <f>IF('1. Live'!CK261='check-Jul25'!CK261,"",'1. Live'!CK261-'check-Jul25'!CK261)</f>
        <v/>
      </c>
      <c r="CL261" t="str">
        <f>IF('1. Live'!CL261='check-Jul25'!CL261,"",'1. Live'!CL261-'check-Jul25'!CL261)</f>
        <v/>
      </c>
      <c r="CM261" t="str">
        <f>IF('1. Live'!CM261='check-Jul25'!CM261,"",'1. Live'!CM261-'check-Jul25'!CM261)</f>
        <v/>
      </c>
      <c r="CN261" t="str">
        <f>IF('1. Live'!CN261='check-Jul25'!CN261,"",'1. Live'!CN261-'check-Jul25'!CN261)</f>
        <v/>
      </c>
      <c r="CO261" t="str">
        <f>IF('1. Live'!CO261='check-Jul25'!CO261,"",'1. Live'!CO261-'check-Jul25'!CO261)</f>
        <v/>
      </c>
      <c r="CP261" t="str">
        <f>IF('1. Live'!CP261='check-Jul25'!CP261,"",'1. Live'!CP261-'check-Jul25'!CP261)</f>
        <v/>
      </c>
      <c r="CQ261" t="str">
        <f>IF('1. Live'!CQ261='check-Jul25'!CQ261,"",'1. Live'!CQ261-'check-Jul25'!CQ261)</f>
        <v/>
      </c>
      <c r="CR261" t="str">
        <f>IF('1. Live'!CR261='check-Jul25'!CR261,"",'1. Live'!CR261-'check-Jul25'!CR261)</f>
        <v/>
      </c>
      <c r="CS261" t="str">
        <f>IF('1. Live'!CS261='check-Jul25'!CS261,"",'1. Live'!CS261-'check-Jul25'!CS261)</f>
        <v/>
      </c>
      <c r="CT261" t="str">
        <f>IF('1. Live'!CT261='check-Jul25'!CT261,"",'1. Live'!CT261-'check-Jul25'!CT261)</f>
        <v/>
      </c>
      <c r="CU261" t="str">
        <f>IF('1. Live'!CU261='check-Jul25'!CU261,"",'1. Live'!CU261-'check-Jul25'!CU261)</f>
        <v/>
      </c>
      <c r="CV261" t="str">
        <f>IF('1. Live'!CV261='check-Jul25'!CV261,"",'1. Live'!CV261-'check-Jul25'!CV261)</f>
        <v/>
      </c>
      <c r="CW261" t="str">
        <f>IF('1. Live'!CW261='check-Jul25'!CW261,"",'1. Live'!CW261-'check-Jul25'!CW261)</f>
        <v/>
      </c>
    </row>
    <row r="262" spans="10:101">
      <c r="J262" t="str">
        <f>IF('1. Live'!J262='check-Jul25'!J262,"",'1. Live'!J262-'check-Jul25'!J262)</f>
        <v/>
      </c>
      <c r="K262" t="str">
        <f>IF('1. Live'!K262='check-Jul25'!K262,"",'1. Live'!K262-'check-Jul25'!K262)</f>
        <v/>
      </c>
      <c r="L262" t="str">
        <f>IF('1. Live'!L262='check-Jul25'!L262,"",'1. Live'!L262-'check-Jul25'!L262)</f>
        <v/>
      </c>
      <c r="M262" t="str">
        <f>IF('1. Live'!M262='check-Jul25'!M262,"",'1. Live'!M262-'check-Jul25'!M262)</f>
        <v/>
      </c>
      <c r="N262" t="str">
        <f>IF('1. Live'!N262='check-Jul25'!N262,"",'1. Live'!N262-'check-Jul25'!N262)</f>
        <v/>
      </c>
      <c r="O262" t="str">
        <f>IF('1. Live'!O262='check-Jul25'!O262,"",'1. Live'!O262-'check-Jul25'!O262)</f>
        <v/>
      </c>
      <c r="P262" t="str">
        <f>IF('1. Live'!P262='check-Jul25'!P262,"",'1. Live'!P262-'check-Jul25'!P262)</f>
        <v/>
      </c>
      <c r="Q262" t="str">
        <f>IF('1. Live'!Q262='check-Jul25'!Q262,"",'1. Live'!Q262-'check-Jul25'!Q262)</f>
        <v/>
      </c>
      <c r="R262" t="str">
        <f>IF('1. Live'!R262='check-Jul25'!R262,"",'1. Live'!R262-'check-Jul25'!R262)</f>
        <v/>
      </c>
      <c r="S262" t="str">
        <f>IF('1. Live'!S262='check-Jul25'!S262,"",'1. Live'!S262-'check-Jul25'!S262)</f>
        <v/>
      </c>
      <c r="T262" t="str">
        <f>IF('1. Live'!T262='check-Jul25'!T262,"",'1. Live'!T262-'check-Jul25'!T262)</f>
        <v/>
      </c>
      <c r="U262" t="str">
        <f>IF('1. Live'!U262='check-Jul25'!U262,"",'1. Live'!U262-'check-Jul25'!U262)</f>
        <v/>
      </c>
      <c r="V262" t="str">
        <f>IF('1. Live'!V262='check-Jul25'!V262,"",'1. Live'!V262-'check-Jul25'!V262)</f>
        <v/>
      </c>
      <c r="W262" t="str">
        <f>IF('1. Live'!W262='check-Jul25'!W262,"",'1. Live'!W262-'check-Jul25'!W262)</f>
        <v/>
      </c>
      <c r="X262" t="str">
        <f>IF('1. Live'!X262='check-Jul25'!X262,"",'1. Live'!X262-'check-Jul25'!X262)</f>
        <v/>
      </c>
      <c r="Y262" t="str">
        <f>IF('1. Live'!Y262='check-Jul25'!Y262,"",'1. Live'!Y262-'check-Jul25'!Y262)</f>
        <v/>
      </c>
      <c r="Z262" t="str">
        <f>IF('1. Live'!Z262='check-Jul25'!Z262,"",'1. Live'!Z262-'check-Jul25'!Z262)</f>
        <v/>
      </c>
      <c r="AA262" t="str">
        <f>IF('1. Live'!AA262='check-Jul25'!AA262,"",'1. Live'!AA262-'check-Jul25'!AA262)</f>
        <v/>
      </c>
      <c r="AB262" t="str">
        <f>IF('1. Live'!AB262='check-Jul25'!AB262,"",'1. Live'!AB262-'check-Jul25'!AB262)</f>
        <v/>
      </c>
      <c r="AC262" t="str">
        <f>IF('1. Live'!AC262='check-Jul25'!AC262,"",'1. Live'!AC262-'check-Jul25'!AC262)</f>
        <v/>
      </c>
      <c r="AD262" t="str">
        <f>IF('1. Live'!AD262='check-Jul25'!AD262,"",'1. Live'!AD262-'check-Jul25'!AD262)</f>
        <v/>
      </c>
      <c r="AE262" t="str">
        <f>IF('1. Live'!AE262='check-Jul25'!AE262,"",'1. Live'!AE262-'check-Jul25'!AE262)</f>
        <v/>
      </c>
      <c r="AF262" t="str">
        <f>IF('1. Live'!AF262='check-Jul25'!AF262,"",'1. Live'!AF262-'check-Jul25'!AF262)</f>
        <v/>
      </c>
      <c r="AG262" t="str">
        <f>IF('1. Live'!AG262='check-Jul25'!AG262,"",'1. Live'!AG262-'check-Jul25'!AG262)</f>
        <v/>
      </c>
      <c r="AH262" t="str">
        <f>IF('1. Live'!AH262='check-Jul25'!AH262,"",'1. Live'!AH262-'check-Jul25'!AH262)</f>
        <v/>
      </c>
      <c r="AI262" t="str">
        <f>IF('1. Live'!AI262='check-Jul25'!AI262,"",'1. Live'!AI262-'check-Jul25'!AI262)</f>
        <v/>
      </c>
      <c r="AJ262" t="str">
        <f>IF('1. Live'!AJ262='check-Jul25'!AJ262,"",'1. Live'!AJ262-'check-Jul25'!AJ262)</f>
        <v/>
      </c>
      <c r="AK262" t="str">
        <f>IF('1. Live'!AK262='check-Jul25'!AK262,"",'1. Live'!AK262-'check-Jul25'!AK262)</f>
        <v/>
      </c>
      <c r="AL262" t="str">
        <f>IF('1. Live'!AL262='check-Jul25'!AL262,"",'1. Live'!AL262-'check-Jul25'!AL262)</f>
        <v/>
      </c>
      <c r="AM262" t="str">
        <f>IF('1. Live'!AM262='check-Jul25'!AM262,"",'1. Live'!AM262-'check-Jul25'!AM262)</f>
        <v/>
      </c>
      <c r="AN262" t="str">
        <f>IF('1. Live'!AN262='check-Jul25'!AN262,"",'1. Live'!AN262-'check-Jul25'!AN262)</f>
        <v/>
      </c>
      <c r="AO262" t="str">
        <f>IF('1. Live'!AO262='check-Jul25'!AO262,"",'1. Live'!AO262-'check-Jul25'!AO262)</f>
        <v/>
      </c>
      <c r="AP262" t="str">
        <f>IF('1. Live'!AP262='check-Jul25'!AP262,"",'1. Live'!AP262-'check-Jul25'!AP262)</f>
        <v/>
      </c>
      <c r="AQ262" t="str">
        <f>IF('1. Live'!AQ262='check-Jul25'!AQ262,"",'1. Live'!AQ262-'check-Jul25'!AQ262)</f>
        <v/>
      </c>
      <c r="AR262" t="str">
        <f>IF('1. Live'!AR262='check-Jul25'!AR262,"",'1. Live'!AR262-'check-Jul25'!AR262)</f>
        <v/>
      </c>
      <c r="AS262" t="str">
        <f>IF('1. Live'!AS262='check-Jul25'!AS262,"",'1. Live'!AS262-'check-Jul25'!AS262)</f>
        <v/>
      </c>
      <c r="AT262" t="str">
        <f>IF('1. Live'!AT262='check-Jul25'!AT262,"",'1. Live'!AT262-'check-Jul25'!AT262)</f>
        <v/>
      </c>
      <c r="AU262" t="str">
        <f>IF('1. Live'!AU262='check-Jul25'!AU262,"",'1. Live'!AU262-'check-Jul25'!AU262)</f>
        <v/>
      </c>
      <c r="AV262" t="str">
        <f>IF('1. Live'!AV262='check-Jul25'!AV262,"",'1. Live'!AV262-'check-Jul25'!AV262)</f>
        <v/>
      </c>
      <c r="AW262" t="str">
        <f>IF('1. Live'!AW262='check-Jul25'!AW262,"",'1. Live'!AW262-'check-Jul25'!AW262)</f>
        <v/>
      </c>
      <c r="AX262" t="str">
        <f>IF('1. Live'!AX262='check-Jul25'!AX262,"",'1. Live'!AX262-'check-Jul25'!AX262)</f>
        <v/>
      </c>
      <c r="AY262" t="str">
        <f>IF('1. Live'!AY262='check-Jul25'!AY262,"",'1. Live'!AY262-'check-Jul25'!AY262)</f>
        <v/>
      </c>
      <c r="AZ262" t="str">
        <f>IF('1. Live'!AZ262='check-Jul25'!AZ262,"",'1. Live'!AZ262-'check-Jul25'!AZ262)</f>
        <v/>
      </c>
      <c r="BA262" t="str">
        <f>IF('1. Live'!BA262='check-Jul25'!BA262,"",'1. Live'!BA262-'check-Jul25'!BA262)</f>
        <v/>
      </c>
      <c r="BB262" t="str">
        <f>IF('1. Live'!BB262='check-Jul25'!BB262,"",'1. Live'!BB262-'check-Jul25'!BB262)</f>
        <v/>
      </c>
      <c r="BC262" t="str">
        <f>IF('1. Live'!BC262='check-Jul25'!BC262,"",'1. Live'!BC262-'check-Jul25'!BC262)</f>
        <v/>
      </c>
      <c r="BD262" t="str">
        <f>IF('1. Live'!BD262='check-Jul25'!BD262,"",'1. Live'!BD262-'check-Jul25'!BD262)</f>
        <v/>
      </c>
      <c r="BE262" t="str">
        <f>IF('1. Live'!BE262='check-Jul25'!BE262,"",'1. Live'!BE262-'check-Jul25'!BE262)</f>
        <v/>
      </c>
      <c r="BF262" t="str">
        <f>IF('1. Live'!BF262='check-Jul25'!BF262,"",'1. Live'!BF262-'check-Jul25'!BF262)</f>
        <v/>
      </c>
      <c r="BG262" t="str">
        <f>IF('1. Live'!BG262='check-Jul25'!BG262,"",'1. Live'!BG262-'check-Jul25'!BG262)</f>
        <v/>
      </c>
      <c r="BH262" t="str">
        <f>IF('1. Live'!BH262='check-Jul25'!BH262,"",'1. Live'!BH262-'check-Jul25'!BH262)</f>
        <v/>
      </c>
      <c r="BI262" t="str">
        <f>IF('1. Live'!BI262='check-Jul25'!BI262,"",'1. Live'!BI262-'check-Jul25'!BI262)</f>
        <v/>
      </c>
      <c r="BJ262" t="str">
        <f>IF('1. Live'!BJ262='check-Jul25'!BJ262,"",'1. Live'!BJ262-'check-Jul25'!BJ262)</f>
        <v/>
      </c>
      <c r="BK262" t="str">
        <f>IF('1. Live'!BK262='check-Jul25'!BK262,"",'1. Live'!BK262-'check-Jul25'!BK262)</f>
        <v/>
      </c>
      <c r="BL262" t="str">
        <f>IF('1. Live'!BL262='check-Jul25'!BL262,"",'1. Live'!BL262-'check-Jul25'!BL262)</f>
        <v/>
      </c>
      <c r="BM262" t="str">
        <f>IF('1. Live'!BM262='check-Jul25'!BM262,"",'1. Live'!BM262-'check-Jul25'!BM262)</f>
        <v/>
      </c>
      <c r="BN262" t="str">
        <f>IF('1. Live'!BN262='check-Jul25'!BN262,"",'1. Live'!BN262-'check-Jul25'!BN262)</f>
        <v/>
      </c>
      <c r="BO262" t="str">
        <f>IF('1. Live'!BO262='check-Jul25'!BO262,"",'1. Live'!BO262-'check-Jul25'!BO262)</f>
        <v/>
      </c>
      <c r="BP262" t="str">
        <f>IF('1. Live'!BP262='check-Jul25'!BP262,"",'1. Live'!BP262-'check-Jul25'!BP262)</f>
        <v/>
      </c>
      <c r="BQ262" t="str">
        <f>IF('1. Live'!BQ262='check-Jul25'!BQ262,"",'1. Live'!BQ262-'check-Jul25'!BQ262)</f>
        <v/>
      </c>
      <c r="BR262" t="str">
        <f>IF('1. Live'!BR262='check-Jul25'!BR262,"",'1. Live'!BR262-'check-Jul25'!BR262)</f>
        <v/>
      </c>
      <c r="BS262" t="str">
        <f>IF('1. Live'!BS262='check-Jul25'!BS262,"",'1. Live'!BS262-'check-Jul25'!BS262)</f>
        <v/>
      </c>
      <c r="BT262" t="str">
        <f>IF('1. Live'!BT262='check-Jul25'!BT262,"",'1. Live'!BT262-'check-Jul25'!BT262)</f>
        <v/>
      </c>
      <c r="BU262" t="str">
        <f>IF('1. Live'!BU262='check-Jul25'!BU262,"",'1. Live'!BU262-'check-Jul25'!BU262)</f>
        <v/>
      </c>
      <c r="BV262" t="str">
        <f>IF('1. Live'!BV262='check-Jul25'!BV262,"",'1. Live'!BV262-'check-Jul25'!BV262)</f>
        <v/>
      </c>
      <c r="BW262" t="str">
        <f>IF('1. Live'!BW262='check-Jul25'!BW262,"",'1. Live'!BW262-'check-Jul25'!BW262)</f>
        <v/>
      </c>
      <c r="BX262" t="str">
        <f>IF('1. Live'!BX262='check-Jul25'!BX262,"",'1. Live'!BX262-'check-Jul25'!BX262)</f>
        <v/>
      </c>
      <c r="BY262" t="str">
        <f>IF('1. Live'!BY262='check-Jul25'!BY262,"",'1. Live'!BY262-'check-Jul25'!BY262)</f>
        <v/>
      </c>
      <c r="BZ262" t="str">
        <f>IF('1. Live'!BZ262='check-Jul25'!BZ262,"",'1. Live'!BZ262-'check-Jul25'!BZ262)</f>
        <v/>
      </c>
      <c r="CA262" t="str">
        <f>IF('1. Live'!CA262='check-Jul25'!CA262,"",'1. Live'!CA262-'check-Jul25'!CA262)</f>
        <v/>
      </c>
      <c r="CB262" t="str">
        <f>IF('1. Live'!CB262='check-Jul25'!CB262,"",'1. Live'!CB262-'check-Jul25'!CB262)</f>
        <v/>
      </c>
      <c r="CC262" t="str">
        <f>IF('1. Live'!CC262='check-Jul25'!CC262,"",'1. Live'!CC262-'check-Jul25'!CC262)</f>
        <v/>
      </c>
      <c r="CD262" t="str">
        <f>IF('1. Live'!CD262='check-Jul25'!CD262,"",'1. Live'!CD262-'check-Jul25'!CD262)</f>
        <v/>
      </c>
      <c r="CE262" t="str">
        <f>IF('1. Live'!CE262='check-Jul25'!CE262,"",'1. Live'!CE262-'check-Jul25'!CE262)</f>
        <v/>
      </c>
      <c r="CF262" t="str">
        <f>IF('1. Live'!CF262='check-Jul25'!CF262,"",'1. Live'!CF262-'check-Jul25'!CF262)</f>
        <v/>
      </c>
      <c r="CG262" t="str">
        <f>IF('1. Live'!CG262='check-Jul25'!CG262,"",'1. Live'!CG262-'check-Jul25'!CG262)</f>
        <v/>
      </c>
      <c r="CH262" t="str">
        <f>IF('1. Live'!CH262='check-Jul25'!CH262,"",'1. Live'!CH262-'check-Jul25'!CH262)</f>
        <v/>
      </c>
      <c r="CI262" t="str">
        <f>IF('1. Live'!CI262='check-Jul25'!CI262,"",'1. Live'!CI262-'check-Jul25'!CI262)</f>
        <v/>
      </c>
      <c r="CJ262" t="str">
        <f>IF('1. Live'!CJ262='check-Jul25'!CJ262,"",'1. Live'!CJ262-'check-Jul25'!CJ262)</f>
        <v/>
      </c>
      <c r="CK262" t="str">
        <f>IF('1. Live'!CK262='check-Jul25'!CK262,"",'1. Live'!CK262-'check-Jul25'!CK262)</f>
        <v/>
      </c>
      <c r="CL262" t="str">
        <f>IF('1. Live'!CL262='check-Jul25'!CL262,"",'1. Live'!CL262-'check-Jul25'!CL262)</f>
        <v/>
      </c>
      <c r="CM262" t="str">
        <f>IF('1. Live'!CM262='check-Jul25'!CM262,"",'1. Live'!CM262-'check-Jul25'!CM262)</f>
        <v/>
      </c>
      <c r="CN262" t="str">
        <f>IF('1. Live'!CN262='check-Jul25'!CN262,"",'1. Live'!CN262-'check-Jul25'!CN262)</f>
        <v/>
      </c>
      <c r="CO262" t="str">
        <f>IF('1. Live'!CO262='check-Jul25'!CO262,"",'1. Live'!CO262-'check-Jul25'!CO262)</f>
        <v/>
      </c>
      <c r="CP262" t="str">
        <f>IF('1. Live'!CP262='check-Jul25'!CP262,"",'1. Live'!CP262-'check-Jul25'!CP262)</f>
        <v/>
      </c>
      <c r="CQ262" t="str">
        <f>IF('1. Live'!CQ262='check-Jul25'!CQ262,"",'1. Live'!CQ262-'check-Jul25'!CQ262)</f>
        <v/>
      </c>
      <c r="CR262" t="str">
        <f>IF('1. Live'!CR262='check-Jul25'!CR262,"",'1. Live'!CR262-'check-Jul25'!CR262)</f>
        <v/>
      </c>
      <c r="CS262" t="str">
        <f>IF('1. Live'!CS262='check-Jul25'!CS262,"",'1. Live'!CS262-'check-Jul25'!CS262)</f>
        <v/>
      </c>
      <c r="CT262" t="str">
        <f>IF('1. Live'!CT262='check-Jul25'!CT262,"",'1. Live'!CT262-'check-Jul25'!CT262)</f>
        <v/>
      </c>
      <c r="CU262" t="str">
        <f>IF('1. Live'!CU262='check-Jul25'!CU262,"",'1. Live'!CU262-'check-Jul25'!CU262)</f>
        <v/>
      </c>
      <c r="CV262" t="str">
        <f>IF('1. Live'!CV262='check-Jul25'!CV262,"",'1. Live'!CV262-'check-Jul25'!CV262)</f>
        <v/>
      </c>
      <c r="CW262" t="str">
        <f>IF('1. Live'!CW262='check-Jul25'!CW262,"",'1. Live'!CW262-'check-Jul25'!CW262)</f>
        <v/>
      </c>
    </row>
    <row r="263" spans="10:101">
      <c r="J263" t="str">
        <f>IF('1. Live'!J263='check-Jul25'!J263,"",'1. Live'!J263-'check-Jul25'!J263)</f>
        <v/>
      </c>
      <c r="K263" t="str">
        <f>IF('1. Live'!K263='check-Jul25'!K263,"",'1. Live'!K263-'check-Jul25'!K263)</f>
        <v/>
      </c>
      <c r="L263" t="str">
        <f>IF('1. Live'!L263='check-Jul25'!L263,"",'1. Live'!L263-'check-Jul25'!L263)</f>
        <v/>
      </c>
      <c r="M263" t="str">
        <f>IF('1. Live'!M263='check-Jul25'!M263,"",'1. Live'!M263-'check-Jul25'!M263)</f>
        <v/>
      </c>
      <c r="N263" t="str">
        <f>IF('1. Live'!N263='check-Jul25'!N263,"",'1. Live'!N263-'check-Jul25'!N263)</f>
        <v/>
      </c>
      <c r="O263" t="str">
        <f>IF('1. Live'!O263='check-Jul25'!O263,"",'1. Live'!O263-'check-Jul25'!O263)</f>
        <v/>
      </c>
      <c r="P263" t="str">
        <f>IF('1. Live'!P263='check-Jul25'!P263,"",'1. Live'!P263-'check-Jul25'!P263)</f>
        <v/>
      </c>
      <c r="Q263" t="str">
        <f>IF('1. Live'!Q263='check-Jul25'!Q263,"",'1. Live'!Q263-'check-Jul25'!Q263)</f>
        <v/>
      </c>
      <c r="R263" t="str">
        <f>IF('1. Live'!R263='check-Jul25'!R263,"",'1. Live'!R263-'check-Jul25'!R263)</f>
        <v/>
      </c>
      <c r="S263" t="str">
        <f>IF('1. Live'!S263='check-Jul25'!S263,"",'1. Live'!S263-'check-Jul25'!S263)</f>
        <v/>
      </c>
      <c r="T263" t="str">
        <f>IF('1. Live'!T263='check-Jul25'!T263,"",'1. Live'!T263-'check-Jul25'!T263)</f>
        <v/>
      </c>
      <c r="U263" t="str">
        <f>IF('1. Live'!U263='check-Jul25'!U263,"",'1. Live'!U263-'check-Jul25'!U263)</f>
        <v/>
      </c>
      <c r="V263" t="str">
        <f>IF('1. Live'!V263='check-Jul25'!V263,"",'1. Live'!V263-'check-Jul25'!V263)</f>
        <v/>
      </c>
      <c r="W263" t="str">
        <f>IF('1. Live'!W263='check-Jul25'!W263,"",'1. Live'!W263-'check-Jul25'!W263)</f>
        <v/>
      </c>
      <c r="X263" t="str">
        <f>IF('1. Live'!X263='check-Jul25'!X263,"",'1. Live'!X263-'check-Jul25'!X263)</f>
        <v/>
      </c>
      <c r="Y263" t="str">
        <f>IF('1. Live'!Y263='check-Jul25'!Y263,"",'1. Live'!Y263-'check-Jul25'!Y263)</f>
        <v/>
      </c>
      <c r="Z263" t="str">
        <f>IF('1. Live'!Z263='check-Jul25'!Z263,"",'1. Live'!Z263-'check-Jul25'!Z263)</f>
        <v/>
      </c>
      <c r="AA263" t="str">
        <f>IF('1. Live'!AA263='check-Jul25'!AA263,"",'1. Live'!AA263-'check-Jul25'!AA263)</f>
        <v/>
      </c>
      <c r="AB263" t="str">
        <f>IF('1. Live'!AB263='check-Jul25'!AB263,"",'1. Live'!AB263-'check-Jul25'!AB263)</f>
        <v/>
      </c>
      <c r="AC263" t="str">
        <f>IF('1. Live'!AC263='check-Jul25'!AC263,"",'1. Live'!AC263-'check-Jul25'!AC263)</f>
        <v/>
      </c>
      <c r="AD263" t="str">
        <f>IF('1. Live'!AD263='check-Jul25'!AD263,"",'1. Live'!AD263-'check-Jul25'!AD263)</f>
        <v/>
      </c>
      <c r="AE263" t="str">
        <f>IF('1. Live'!AE263='check-Jul25'!AE263,"",'1. Live'!AE263-'check-Jul25'!AE263)</f>
        <v/>
      </c>
      <c r="AF263" t="str">
        <f>IF('1. Live'!AF263='check-Jul25'!AF263,"",'1. Live'!AF263-'check-Jul25'!AF263)</f>
        <v/>
      </c>
      <c r="AG263" t="str">
        <f>IF('1. Live'!AG263='check-Jul25'!AG263,"",'1. Live'!AG263-'check-Jul25'!AG263)</f>
        <v/>
      </c>
      <c r="AH263" t="str">
        <f>IF('1. Live'!AH263='check-Jul25'!AH263,"",'1. Live'!AH263-'check-Jul25'!AH263)</f>
        <v/>
      </c>
      <c r="AI263" t="str">
        <f>IF('1. Live'!AI263='check-Jul25'!AI263,"",'1. Live'!AI263-'check-Jul25'!AI263)</f>
        <v/>
      </c>
      <c r="AJ263" t="str">
        <f>IF('1. Live'!AJ263='check-Jul25'!AJ263,"",'1. Live'!AJ263-'check-Jul25'!AJ263)</f>
        <v/>
      </c>
      <c r="AK263" t="str">
        <f>IF('1. Live'!AK263='check-Jul25'!AK263,"",'1. Live'!AK263-'check-Jul25'!AK263)</f>
        <v/>
      </c>
      <c r="AL263" t="str">
        <f>IF('1. Live'!AL263='check-Jul25'!AL263,"",'1. Live'!AL263-'check-Jul25'!AL263)</f>
        <v/>
      </c>
      <c r="AM263" t="str">
        <f>IF('1. Live'!AM263='check-Jul25'!AM263,"",'1. Live'!AM263-'check-Jul25'!AM263)</f>
        <v/>
      </c>
      <c r="AN263" t="str">
        <f>IF('1. Live'!AN263='check-Jul25'!AN263,"",'1. Live'!AN263-'check-Jul25'!AN263)</f>
        <v/>
      </c>
      <c r="AO263" t="str">
        <f>IF('1. Live'!AO263='check-Jul25'!AO263,"",'1. Live'!AO263-'check-Jul25'!AO263)</f>
        <v/>
      </c>
      <c r="AP263" t="str">
        <f>IF('1. Live'!AP263='check-Jul25'!AP263,"",'1. Live'!AP263-'check-Jul25'!AP263)</f>
        <v/>
      </c>
      <c r="AQ263" t="str">
        <f>IF('1. Live'!AQ263='check-Jul25'!AQ263,"",'1. Live'!AQ263-'check-Jul25'!AQ263)</f>
        <v/>
      </c>
      <c r="AR263" t="str">
        <f>IF('1. Live'!AR263='check-Jul25'!AR263,"",'1. Live'!AR263-'check-Jul25'!AR263)</f>
        <v/>
      </c>
      <c r="AS263" t="str">
        <f>IF('1. Live'!AS263='check-Jul25'!AS263,"",'1. Live'!AS263-'check-Jul25'!AS263)</f>
        <v/>
      </c>
      <c r="AT263" t="str">
        <f>IF('1. Live'!AT263='check-Jul25'!AT263,"",'1. Live'!AT263-'check-Jul25'!AT263)</f>
        <v/>
      </c>
      <c r="AU263" t="str">
        <f>IF('1. Live'!AU263='check-Jul25'!AU263,"",'1. Live'!AU263-'check-Jul25'!AU263)</f>
        <v/>
      </c>
      <c r="AV263" t="str">
        <f>IF('1. Live'!AV263='check-Jul25'!AV263,"",'1. Live'!AV263-'check-Jul25'!AV263)</f>
        <v/>
      </c>
      <c r="AW263" t="str">
        <f>IF('1. Live'!AW263='check-Jul25'!AW263,"",'1. Live'!AW263-'check-Jul25'!AW263)</f>
        <v/>
      </c>
      <c r="AX263" t="str">
        <f>IF('1. Live'!AX263='check-Jul25'!AX263,"",'1. Live'!AX263-'check-Jul25'!AX263)</f>
        <v/>
      </c>
      <c r="AY263" t="str">
        <f>IF('1. Live'!AY263='check-Jul25'!AY263,"",'1. Live'!AY263-'check-Jul25'!AY263)</f>
        <v/>
      </c>
      <c r="AZ263" t="str">
        <f>IF('1. Live'!AZ263='check-Jul25'!AZ263,"",'1. Live'!AZ263-'check-Jul25'!AZ263)</f>
        <v/>
      </c>
      <c r="BA263" t="str">
        <f>IF('1. Live'!BA263='check-Jul25'!BA263,"",'1. Live'!BA263-'check-Jul25'!BA263)</f>
        <v/>
      </c>
      <c r="BB263" t="str">
        <f>IF('1. Live'!BB263='check-Jul25'!BB263,"",'1. Live'!BB263-'check-Jul25'!BB263)</f>
        <v/>
      </c>
      <c r="BC263" t="str">
        <f>IF('1. Live'!BC263='check-Jul25'!BC263,"",'1. Live'!BC263-'check-Jul25'!BC263)</f>
        <v/>
      </c>
      <c r="BD263" t="str">
        <f>IF('1. Live'!BD263='check-Jul25'!BD263,"",'1. Live'!BD263-'check-Jul25'!BD263)</f>
        <v/>
      </c>
      <c r="BE263" t="str">
        <f>IF('1. Live'!BE263='check-Jul25'!BE263,"",'1. Live'!BE263-'check-Jul25'!BE263)</f>
        <v/>
      </c>
      <c r="BF263" t="str">
        <f>IF('1. Live'!BF263='check-Jul25'!BF263,"",'1. Live'!BF263-'check-Jul25'!BF263)</f>
        <v/>
      </c>
      <c r="BG263" t="str">
        <f>IF('1. Live'!BG263='check-Jul25'!BG263,"",'1. Live'!BG263-'check-Jul25'!BG263)</f>
        <v/>
      </c>
      <c r="BH263" t="str">
        <f>IF('1. Live'!BH263='check-Jul25'!BH263,"",'1. Live'!BH263-'check-Jul25'!BH263)</f>
        <v/>
      </c>
      <c r="BI263" t="str">
        <f>IF('1. Live'!BI263='check-Jul25'!BI263,"",'1. Live'!BI263-'check-Jul25'!BI263)</f>
        <v/>
      </c>
      <c r="BJ263" t="str">
        <f>IF('1. Live'!BJ263='check-Jul25'!BJ263,"",'1. Live'!BJ263-'check-Jul25'!BJ263)</f>
        <v/>
      </c>
      <c r="BK263" t="str">
        <f>IF('1. Live'!BK263='check-Jul25'!BK263,"",'1. Live'!BK263-'check-Jul25'!BK263)</f>
        <v/>
      </c>
      <c r="BL263" t="str">
        <f>IF('1. Live'!BL263='check-Jul25'!BL263,"",'1. Live'!BL263-'check-Jul25'!BL263)</f>
        <v/>
      </c>
      <c r="BM263" t="str">
        <f>IF('1. Live'!BM263='check-Jul25'!BM263,"",'1. Live'!BM263-'check-Jul25'!BM263)</f>
        <v/>
      </c>
      <c r="BN263" t="str">
        <f>IF('1. Live'!BN263='check-Jul25'!BN263,"",'1. Live'!BN263-'check-Jul25'!BN263)</f>
        <v/>
      </c>
      <c r="BO263" t="str">
        <f>IF('1. Live'!BO263='check-Jul25'!BO263,"",'1. Live'!BO263-'check-Jul25'!BO263)</f>
        <v/>
      </c>
      <c r="BP263" t="str">
        <f>IF('1. Live'!BP263='check-Jul25'!BP263,"",'1. Live'!BP263-'check-Jul25'!BP263)</f>
        <v/>
      </c>
      <c r="BQ263" t="str">
        <f>IF('1. Live'!BQ263='check-Jul25'!BQ263,"",'1. Live'!BQ263-'check-Jul25'!BQ263)</f>
        <v/>
      </c>
      <c r="BR263" t="str">
        <f>IF('1. Live'!BR263='check-Jul25'!BR263,"",'1. Live'!BR263-'check-Jul25'!BR263)</f>
        <v/>
      </c>
      <c r="BS263" t="str">
        <f>IF('1. Live'!BS263='check-Jul25'!BS263,"",'1. Live'!BS263-'check-Jul25'!BS263)</f>
        <v/>
      </c>
      <c r="BT263" t="str">
        <f>IF('1. Live'!BT263='check-Jul25'!BT263,"",'1. Live'!BT263-'check-Jul25'!BT263)</f>
        <v/>
      </c>
      <c r="BU263" t="str">
        <f>IF('1. Live'!BU263='check-Jul25'!BU263,"",'1. Live'!BU263-'check-Jul25'!BU263)</f>
        <v/>
      </c>
      <c r="BV263" t="str">
        <f>IF('1. Live'!BV263='check-Jul25'!BV263,"",'1. Live'!BV263-'check-Jul25'!BV263)</f>
        <v/>
      </c>
      <c r="BW263" t="str">
        <f>IF('1. Live'!BW263='check-Jul25'!BW263,"",'1. Live'!BW263-'check-Jul25'!BW263)</f>
        <v/>
      </c>
      <c r="BX263" t="str">
        <f>IF('1. Live'!BX263='check-Jul25'!BX263,"",'1. Live'!BX263-'check-Jul25'!BX263)</f>
        <v/>
      </c>
      <c r="BY263" t="str">
        <f>IF('1. Live'!BY263='check-Jul25'!BY263,"",'1. Live'!BY263-'check-Jul25'!BY263)</f>
        <v/>
      </c>
      <c r="BZ263" t="str">
        <f>IF('1. Live'!BZ263='check-Jul25'!BZ263,"",'1. Live'!BZ263-'check-Jul25'!BZ263)</f>
        <v/>
      </c>
      <c r="CA263" t="str">
        <f>IF('1. Live'!CA263='check-Jul25'!CA263,"",'1. Live'!CA263-'check-Jul25'!CA263)</f>
        <v/>
      </c>
      <c r="CB263" t="str">
        <f>IF('1. Live'!CB263='check-Jul25'!CB263,"",'1. Live'!CB263-'check-Jul25'!CB263)</f>
        <v/>
      </c>
      <c r="CC263" t="str">
        <f>IF('1. Live'!CC263='check-Jul25'!CC263,"",'1. Live'!CC263-'check-Jul25'!CC263)</f>
        <v/>
      </c>
      <c r="CD263" t="str">
        <f>IF('1. Live'!CD263='check-Jul25'!CD263,"",'1. Live'!CD263-'check-Jul25'!CD263)</f>
        <v/>
      </c>
      <c r="CE263" t="str">
        <f>IF('1. Live'!CE263='check-Jul25'!CE263,"",'1. Live'!CE263-'check-Jul25'!CE263)</f>
        <v/>
      </c>
      <c r="CF263" t="str">
        <f>IF('1. Live'!CF263='check-Jul25'!CF263,"",'1. Live'!CF263-'check-Jul25'!CF263)</f>
        <v/>
      </c>
      <c r="CG263" t="str">
        <f>IF('1. Live'!CG263='check-Jul25'!CG263,"",'1. Live'!CG263-'check-Jul25'!CG263)</f>
        <v/>
      </c>
      <c r="CH263" t="str">
        <f>IF('1. Live'!CH263='check-Jul25'!CH263,"",'1. Live'!CH263-'check-Jul25'!CH263)</f>
        <v/>
      </c>
      <c r="CI263" t="str">
        <f>IF('1. Live'!CI263='check-Jul25'!CI263,"",'1. Live'!CI263-'check-Jul25'!CI263)</f>
        <v/>
      </c>
      <c r="CJ263" t="str">
        <f>IF('1. Live'!CJ263='check-Jul25'!CJ263,"",'1. Live'!CJ263-'check-Jul25'!CJ263)</f>
        <v/>
      </c>
      <c r="CK263" t="str">
        <f>IF('1. Live'!CK263='check-Jul25'!CK263,"",'1. Live'!CK263-'check-Jul25'!CK263)</f>
        <v/>
      </c>
      <c r="CL263" t="str">
        <f>IF('1. Live'!CL263='check-Jul25'!CL263,"",'1. Live'!CL263-'check-Jul25'!CL263)</f>
        <v/>
      </c>
      <c r="CM263" t="str">
        <f>IF('1. Live'!CM263='check-Jul25'!CM263,"",'1. Live'!CM263-'check-Jul25'!CM263)</f>
        <v/>
      </c>
      <c r="CN263" t="str">
        <f>IF('1. Live'!CN263='check-Jul25'!CN263,"",'1. Live'!CN263-'check-Jul25'!CN263)</f>
        <v/>
      </c>
      <c r="CO263" t="str">
        <f>IF('1. Live'!CO263='check-Jul25'!CO263,"",'1. Live'!CO263-'check-Jul25'!CO263)</f>
        <v/>
      </c>
      <c r="CP263" t="str">
        <f>IF('1. Live'!CP263='check-Jul25'!CP263,"",'1. Live'!CP263-'check-Jul25'!CP263)</f>
        <v/>
      </c>
      <c r="CQ263" t="str">
        <f>IF('1. Live'!CQ263='check-Jul25'!CQ263,"",'1. Live'!CQ263-'check-Jul25'!CQ263)</f>
        <v/>
      </c>
      <c r="CR263" t="str">
        <f>IF('1. Live'!CR263='check-Jul25'!CR263,"",'1. Live'!CR263-'check-Jul25'!CR263)</f>
        <v/>
      </c>
      <c r="CS263" t="str">
        <f>IF('1. Live'!CS263='check-Jul25'!CS263,"",'1. Live'!CS263-'check-Jul25'!CS263)</f>
        <v/>
      </c>
      <c r="CT263" t="str">
        <f>IF('1. Live'!CT263='check-Jul25'!CT263,"",'1. Live'!CT263-'check-Jul25'!CT263)</f>
        <v/>
      </c>
      <c r="CU263" t="str">
        <f>IF('1. Live'!CU263='check-Jul25'!CU263,"",'1. Live'!CU263-'check-Jul25'!CU263)</f>
        <v/>
      </c>
      <c r="CV263" t="str">
        <f>IF('1. Live'!CV263='check-Jul25'!CV263,"",'1. Live'!CV263-'check-Jul25'!CV263)</f>
        <v/>
      </c>
      <c r="CW263" t="str">
        <f>IF('1. Live'!CW263='check-Jul25'!CW263,"",'1. Live'!CW263-'check-Jul25'!CW263)</f>
        <v/>
      </c>
    </row>
    <row r="264" spans="10:101">
      <c r="J264" t="str">
        <f>IF('1. Live'!J264='check-Jul25'!J264,"",'1. Live'!J264-'check-Jul25'!J264)</f>
        <v/>
      </c>
      <c r="K264" t="str">
        <f>IF('1. Live'!K264='check-Jul25'!K264,"",'1. Live'!K264-'check-Jul25'!K264)</f>
        <v/>
      </c>
      <c r="L264" t="str">
        <f>IF('1. Live'!L264='check-Jul25'!L264,"",'1. Live'!L264-'check-Jul25'!L264)</f>
        <v/>
      </c>
      <c r="M264" t="str">
        <f>IF('1. Live'!M264='check-Jul25'!M264,"",'1. Live'!M264-'check-Jul25'!M264)</f>
        <v/>
      </c>
      <c r="N264" t="str">
        <f>IF('1. Live'!N264='check-Jul25'!N264,"",'1. Live'!N264-'check-Jul25'!N264)</f>
        <v/>
      </c>
      <c r="O264" t="str">
        <f>IF('1. Live'!O264='check-Jul25'!O264,"",'1. Live'!O264-'check-Jul25'!O264)</f>
        <v/>
      </c>
      <c r="P264" t="str">
        <f>IF('1. Live'!P264='check-Jul25'!P264,"",'1. Live'!P264-'check-Jul25'!P264)</f>
        <v/>
      </c>
      <c r="Q264" t="str">
        <f>IF('1. Live'!Q264='check-Jul25'!Q264,"",'1. Live'!Q264-'check-Jul25'!Q264)</f>
        <v/>
      </c>
      <c r="R264" t="str">
        <f>IF('1. Live'!R264='check-Jul25'!R264,"",'1. Live'!R264-'check-Jul25'!R264)</f>
        <v/>
      </c>
      <c r="S264" t="str">
        <f>IF('1. Live'!S264='check-Jul25'!S264,"",'1. Live'!S264-'check-Jul25'!S264)</f>
        <v/>
      </c>
      <c r="T264" t="str">
        <f>IF('1. Live'!T264='check-Jul25'!T264,"",'1. Live'!T264-'check-Jul25'!T264)</f>
        <v/>
      </c>
      <c r="U264" t="str">
        <f>IF('1. Live'!U264='check-Jul25'!U264,"",'1. Live'!U264-'check-Jul25'!U264)</f>
        <v/>
      </c>
      <c r="V264" t="str">
        <f>IF('1. Live'!V264='check-Jul25'!V264,"",'1. Live'!V264-'check-Jul25'!V264)</f>
        <v/>
      </c>
      <c r="W264" t="str">
        <f>IF('1. Live'!W264='check-Jul25'!W264,"",'1. Live'!W264-'check-Jul25'!W264)</f>
        <v/>
      </c>
      <c r="X264" t="str">
        <f>IF('1. Live'!X264='check-Jul25'!X264,"",'1. Live'!X264-'check-Jul25'!X264)</f>
        <v/>
      </c>
      <c r="Y264" t="str">
        <f>IF('1. Live'!Y264='check-Jul25'!Y264,"",'1. Live'!Y264-'check-Jul25'!Y264)</f>
        <v/>
      </c>
      <c r="Z264" t="str">
        <f>IF('1. Live'!Z264='check-Jul25'!Z264,"",'1. Live'!Z264-'check-Jul25'!Z264)</f>
        <v/>
      </c>
      <c r="AA264" t="str">
        <f>IF('1. Live'!AA264='check-Jul25'!AA264,"",'1. Live'!AA264-'check-Jul25'!AA264)</f>
        <v/>
      </c>
      <c r="AB264" t="str">
        <f>IF('1. Live'!AB264='check-Jul25'!AB264,"",'1. Live'!AB264-'check-Jul25'!AB264)</f>
        <v/>
      </c>
      <c r="AC264" t="str">
        <f>IF('1. Live'!AC264='check-Jul25'!AC264,"",'1. Live'!AC264-'check-Jul25'!AC264)</f>
        <v/>
      </c>
      <c r="AD264" t="str">
        <f>IF('1. Live'!AD264='check-Jul25'!AD264,"",'1. Live'!AD264-'check-Jul25'!AD264)</f>
        <v/>
      </c>
      <c r="AE264" t="str">
        <f>IF('1. Live'!AE264='check-Jul25'!AE264,"",'1. Live'!AE264-'check-Jul25'!AE264)</f>
        <v/>
      </c>
      <c r="AF264" t="str">
        <f>IF('1. Live'!AF264='check-Jul25'!AF264,"",'1. Live'!AF264-'check-Jul25'!AF264)</f>
        <v/>
      </c>
      <c r="AG264" t="str">
        <f>IF('1. Live'!AG264='check-Jul25'!AG264,"",'1. Live'!AG264-'check-Jul25'!AG264)</f>
        <v/>
      </c>
      <c r="AH264" t="str">
        <f>IF('1. Live'!AH264='check-Jul25'!AH264,"",'1. Live'!AH264-'check-Jul25'!AH264)</f>
        <v/>
      </c>
      <c r="AI264" t="str">
        <f>IF('1. Live'!AI264='check-Jul25'!AI264,"",'1. Live'!AI264-'check-Jul25'!AI264)</f>
        <v/>
      </c>
      <c r="AJ264" t="str">
        <f>IF('1. Live'!AJ264='check-Jul25'!AJ264,"",'1. Live'!AJ264-'check-Jul25'!AJ264)</f>
        <v/>
      </c>
      <c r="AK264" t="str">
        <f>IF('1. Live'!AK264='check-Jul25'!AK264,"",'1. Live'!AK264-'check-Jul25'!AK264)</f>
        <v/>
      </c>
      <c r="AL264" t="str">
        <f>IF('1. Live'!AL264='check-Jul25'!AL264,"",'1. Live'!AL264-'check-Jul25'!AL264)</f>
        <v/>
      </c>
      <c r="AM264" t="str">
        <f>IF('1. Live'!AM264='check-Jul25'!AM264,"",'1. Live'!AM264-'check-Jul25'!AM264)</f>
        <v/>
      </c>
      <c r="AN264" t="str">
        <f>IF('1. Live'!AN264='check-Jul25'!AN264,"",'1. Live'!AN264-'check-Jul25'!AN264)</f>
        <v/>
      </c>
      <c r="AO264" t="str">
        <f>IF('1. Live'!AO264='check-Jul25'!AO264,"",'1. Live'!AO264-'check-Jul25'!AO264)</f>
        <v/>
      </c>
      <c r="AP264" t="str">
        <f>IF('1. Live'!AP264='check-Jul25'!AP264,"",'1. Live'!AP264-'check-Jul25'!AP264)</f>
        <v/>
      </c>
      <c r="AQ264" t="str">
        <f>IF('1. Live'!AQ264='check-Jul25'!AQ264,"",'1. Live'!AQ264-'check-Jul25'!AQ264)</f>
        <v/>
      </c>
      <c r="AR264" t="str">
        <f>IF('1. Live'!AR264='check-Jul25'!AR264,"",'1. Live'!AR264-'check-Jul25'!AR264)</f>
        <v/>
      </c>
      <c r="AS264" t="str">
        <f>IF('1. Live'!AS264='check-Jul25'!AS264,"",'1. Live'!AS264-'check-Jul25'!AS264)</f>
        <v/>
      </c>
      <c r="AT264" t="str">
        <f>IF('1. Live'!AT264='check-Jul25'!AT264,"",'1. Live'!AT264-'check-Jul25'!AT264)</f>
        <v/>
      </c>
      <c r="AU264" t="str">
        <f>IF('1. Live'!AU264='check-Jul25'!AU264,"",'1. Live'!AU264-'check-Jul25'!AU264)</f>
        <v/>
      </c>
      <c r="AV264" t="str">
        <f>IF('1. Live'!AV264='check-Jul25'!AV264,"",'1. Live'!AV264-'check-Jul25'!AV264)</f>
        <v/>
      </c>
      <c r="AW264" t="str">
        <f>IF('1. Live'!AW264='check-Jul25'!AW264,"",'1. Live'!AW264-'check-Jul25'!AW264)</f>
        <v/>
      </c>
      <c r="AX264" t="str">
        <f>IF('1. Live'!AX264='check-Jul25'!AX264,"",'1. Live'!AX264-'check-Jul25'!AX264)</f>
        <v/>
      </c>
      <c r="AY264" t="str">
        <f>IF('1. Live'!AY264='check-Jul25'!AY264,"",'1. Live'!AY264-'check-Jul25'!AY264)</f>
        <v/>
      </c>
      <c r="AZ264" t="str">
        <f>IF('1. Live'!AZ264='check-Jul25'!AZ264,"",'1. Live'!AZ264-'check-Jul25'!AZ264)</f>
        <v/>
      </c>
      <c r="BA264" t="str">
        <f>IF('1. Live'!BA264='check-Jul25'!BA264,"",'1. Live'!BA264-'check-Jul25'!BA264)</f>
        <v/>
      </c>
      <c r="BB264" t="str">
        <f>IF('1. Live'!BB264='check-Jul25'!BB264,"",'1. Live'!BB264-'check-Jul25'!BB264)</f>
        <v/>
      </c>
      <c r="BC264" t="str">
        <f>IF('1. Live'!BC264='check-Jul25'!BC264,"",'1. Live'!BC264-'check-Jul25'!BC264)</f>
        <v/>
      </c>
      <c r="BD264" t="str">
        <f>IF('1. Live'!BD264='check-Jul25'!BD264,"",'1. Live'!BD264-'check-Jul25'!BD264)</f>
        <v/>
      </c>
      <c r="BE264" t="str">
        <f>IF('1. Live'!BE264='check-Jul25'!BE264,"",'1. Live'!BE264-'check-Jul25'!BE264)</f>
        <v/>
      </c>
      <c r="BF264" t="str">
        <f>IF('1. Live'!BF264='check-Jul25'!BF264,"",'1. Live'!BF264-'check-Jul25'!BF264)</f>
        <v/>
      </c>
      <c r="BG264" t="str">
        <f>IF('1. Live'!BG264='check-Jul25'!BG264,"",'1. Live'!BG264-'check-Jul25'!BG264)</f>
        <v/>
      </c>
      <c r="BH264" t="str">
        <f>IF('1. Live'!BH264='check-Jul25'!BH264,"",'1. Live'!BH264-'check-Jul25'!BH264)</f>
        <v/>
      </c>
      <c r="BI264" t="str">
        <f>IF('1. Live'!BI264='check-Jul25'!BI264,"",'1. Live'!BI264-'check-Jul25'!BI264)</f>
        <v/>
      </c>
      <c r="BJ264" t="str">
        <f>IF('1. Live'!BJ264='check-Jul25'!BJ264,"",'1. Live'!BJ264-'check-Jul25'!BJ264)</f>
        <v/>
      </c>
      <c r="BK264" t="str">
        <f>IF('1. Live'!BK264='check-Jul25'!BK264,"",'1. Live'!BK264-'check-Jul25'!BK264)</f>
        <v/>
      </c>
      <c r="BL264" t="str">
        <f>IF('1. Live'!BL264='check-Jul25'!BL264,"",'1. Live'!BL264-'check-Jul25'!BL264)</f>
        <v/>
      </c>
      <c r="BM264" t="str">
        <f>IF('1. Live'!BM264='check-Jul25'!BM264,"",'1. Live'!BM264-'check-Jul25'!BM264)</f>
        <v/>
      </c>
      <c r="BN264" t="str">
        <f>IF('1. Live'!BN264='check-Jul25'!BN264,"",'1. Live'!BN264-'check-Jul25'!BN264)</f>
        <v/>
      </c>
      <c r="BO264" t="str">
        <f>IF('1. Live'!BO264='check-Jul25'!BO264,"",'1. Live'!BO264-'check-Jul25'!BO264)</f>
        <v/>
      </c>
      <c r="BP264" t="str">
        <f>IF('1. Live'!BP264='check-Jul25'!BP264,"",'1. Live'!BP264-'check-Jul25'!BP264)</f>
        <v/>
      </c>
      <c r="BQ264" t="str">
        <f>IF('1. Live'!BQ264='check-Jul25'!BQ264,"",'1. Live'!BQ264-'check-Jul25'!BQ264)</f>
        <v/>
      </c>
      <c r="BR264" t="str">
        <f>IF('1. Live'!BR264='check-Jul25'!BR264,"",'1. Live'!BR264-'check-Jul25'!BR264)</f>
        <v/>
      </c>
      <c r="BS264" t="str">
        <f>IF('1. Live'!BS264='check-Jul25'!BS264,"",'1. Live'!BS264-'check-Jul25'!BS264)</f>
        <v/>
      </c>
      <c r="BT264" t="str">
        <f>IF('1. Live'!BT264='check-Jul25'!BT264,"",'1. Live'!BT264-'check-Jul25'!BT264)</f>
        <v/>
      </c>
      <c r="BU264" t="str">
        <f>IF('1. Live'!BU264='check-Jul25'!BU264,"",'1. Live'!BU264-'check-Jul25'!BU264)</f>
        <v/>
      </c>
      <c r="BV264" t="str">
        <f>IF('1. Live'!BV264='check-Jul25'!BV264,"",'1. Live'!BV264-'check-Jul25'!BV264)</f>
        <v/>
      </c>
      <c r="BW264" t="str">
        <f>IF('1. Live'!BW264='check-Jul25'!BW264,"",'1. Live'!BW264-'check-Jul25'!BW264)</f>
        <v/>
      </c>
      <c r="BX264" t="str">
        <f>IF('1. Live'!BX264='check-Jul25'!BX264,"",'1. Live'!BX264-'check-Jul25'!BX264)</f>
        <v/>
      </c>
      <c r="BY264" t="str">
        <f>IF('1. Live'!BY264='check-Jul25'!BY264,"",'1. Live'!BY264-'check-Jul25'!BY264)</f>
        <v/>
      </c>
      <c r="BZ264" t="str">
        <f>IF('1. Live'!BZ264='check-Jul25'!BZ264,"",'1. Live'!BZ264-'check-Jul25'!BZ264)</f>
        <v/>
      </c>
      <c r="CA264" t="str">
        <f>IF('1. Live'!CA264='check-Jul25'!CA264,"",'1. Live'!CA264-'check-Jul25'!CA264)</f>
        <v/>
      </c>
      <c r="CB264" t="str">
        <f>IF('1. Live'!CB264='check-Jul25'!CB264,"",'1. Live'!CB264-'check-Jul25'!CB264)</f>
        <v/>
      </c>
      <c r="CC264" t="str">
        <f>IF('1. Live'!CC264='check-Jul25'!CC264,"",'1. Live'!CC264-'check-Jul25'!CC264)</f>
        <v/>
      </c>
      <c r="CD264" t="str">
        <f>IF('1. Live'!CD264='check-Jul25'!CD264,"",'1. Live'!CD264-'check-Jul25'!CD264)</f>
        <v/>
      </c>
      <c r="CE264" t="str">
        <f>IF('1. Live'!CE264='check-Jul25'!CE264,"",'1. Live'!CE264-'check-Jul25'!CE264)</f>
        <v/>
      </c>
      <c r="CF264" t="str">
        <f>IF('1. Live'!CF264='check-Jul25'!CF264,"",'1. Live'!CF264-'check-Jul25'!CF264)</f>
        <v/>
      </c>
      <c r="CG264" t="str">
        <f>IF('1. Live'!CG264='check-Jul25'!CG264,"",'1. Live'!CG264-'check-Jul25'!CG264)</f>
        <v/>
      </c>
      <c r="CH264" t="str">
        <f>IF('1. Live'!CH264='check-Jul25'!CH264,"",'1. Live'!CH264-'check-Jul25'!CH264)</f>
        <v/>
      </c>
      <c r="CI264" t="str">
        <f>IF('1. Live'!CI264='check-Jul25'!CI264,"",'1. Live'!CI264-'check-Jul25'!CI264)</f>
        <v/>
      </c>
      <c r="CJ264" t="str">
        <f>IF('1. Live'!CJ264='check-Jul25'!CJ264,"",'1. Live'!CJ264-'check-Jul25'!CJ264)</f>
        <v/>
      </c>
      <c r="CK264" t="str">
        <f>IF('1. Live'!CK264='check-Jul25'!CK264,"",'1. Live'!CK264-'check-Jul25'!CK264)</f>
        <v/>
      </c>
      <c r="CL264" t="str">
        <f>IF('1. Live'!CL264='check-Jul25'!CL264,"",'1. Live'!CL264-'check-Jul25'!CL264)</f>
        <v/>
      </c>
      <c r="CM264" t="str">
        <f>IF('1. Live'!CM264='check-Jul25'!CM264,"",'1. Live'!CM264-'check-Jul25'!CM264)</f>
        <v/>
      </c>
      <c r="CN264" t="str">
        <f>IF('1. Live'!CN264='check-Jul25'!CN264,"",'1. Live'!CN264-'check-Jul25'!CN264)</f>
        <v/>
      </c>
      <c r="CO264" t="str">
        <f>IF('1. Live'!CO264='check-Jul25'!CO264,"",'1. Live'!CO264-'check-Jul25'!CO264)</f>
        <v/>
      </c>
      <c r="CP264" t="str">
        <f>IF('1. Live'!CP264='check-Jul25'!CP264,"",'1. Live'!CP264-'check-Jul25'!CP264)</f>
        <v/>
      </c>
      <c r="CQ264" t="str">
        <f>IF('1. Live'!CQ264='check-Jul25'!CQ264,"",'1. Live'!CQ264-'check-Jul25'!CQ264)</f>
        <v/>
      </c>
      <c r="CR264" t="str">
        <f>IF('1. Live'!CR264='check-Jul25'!CR264,"",'1. Live'!CR264-'check-Jul25'!CR264)</f>
        <v/>
      </c>
      <c r="CS264" t="str">
        <f>IF('1. Live'!CS264='check-Jul25'!CS264,"",'1. Live'!CS264-'check-Jul25'!CS264)</f>
        <v/>
      </c>
      <c r="CT264" t="str">
        <f>IF('1. Live'!CT264='check-Jul25'!CT264,"",'1. Live'!CT264-'check-Jul25'!CT264)</f>
        <v/>
      </c>
      <c r="CU264" t="str">
        <f>IF('1. Live'!CU264='check-Jul25'!CU264,"",'1. Live'!CU264-'check-Jul25'!CU264)</f>
        <v/>
      </c>
      <c r="CV264" t="str">
        <f>IF('1. Live'!CV264='check-Jul25'!CV264,"",'1. Live'!CV264-'check-Jul25'!CV264)</f>
        <v/>
      </c>
      <c r="CW264" t="str">
        <f>IF('1. Live'!CW264='check-Jul25'!CW264,"",'1. Live'!CW264-'check-Jul25'!CW264)</f>
        <v/>
      </c>
    </row>
    <row r="265" spans="10:101">
      <c r="J265" t="str">
        <f>IF('1. Live'!J265='check-Jul25'!J265,"",'1. Live'!J265-'check-Jul25'!J265)</f>
        <v/>
      </c>
      <c r="K265" t="str">
        <f>IF('1. Live'!K265='check-Jul25'!K265,"",'1. Live'!K265-'check-Jul25'!K265)</f>
        <v/>
      </c>
      <c r="L265" t="str">
        <f>IF('1. Live'!L265='check-Jul25'!L265,"",'1. Live'!L265-'check-Jul25'!L265)</f>
        <v/>
      </c>
      <c r="M265" t="str">
        <f>IF('1. Live'!M265='check-Jul25'!M265,"",'1. Live'!M265-'check-Jul25'!M265)</f>
        <v/>
      </c>
      <c r="N265" t="str">
        <f>IF('1. Live'!N265='check-Jul25'!N265,"",'1. Live'!N265-'check-Jul25'!N265)</f>
        <v/>
      </c>
      <c r="O265" t="str">
        <f>IF('1. Live'!O265='check-Jul25'!O265,"",'1. Live'!O265-'check-Jul25'!O265)</f>
        <v/>
      </c>
      <c r="P265" t="str">
        <f>IF('1. Live'!P265='check-Jul25'!P265,"",'1. Live'!P265-'check-Jul25'!P265)</f>
        <v/>
      </c>
      <c r="Q265" t="str">
        <f>IF('1. Live'!Q265='check-Jul25'!Q265,"",'1. Live'!Q265-'check-Jul25'!Q265)</f>
        <v/>
      </c>
      <c r="R265" t="str">
        <f>IF('1. Live'!R265='check-Jul25'!R265,"",'1. Live'!R265-'check-Jul25'!R265)</f>
        <v/>
      </c>
      <c r="S265" t="str">
        <f>IF('1. Live'!S265='check-Jul25'!S265,"",'1. Live'!S265-'check-Jul25'!S265)</f>
        <v/>
      </c>
      <c r="T265" t="str">
        <f>IF('1. Live'!T265='check-Jul25'!T265,"",'1. Live'!T265-'check-Jul25'!T265)</f>
        <v/>
      </c>
      <c r="U265" t="str">
        <f>IF('1. Live'!U265='check-Jul25'!U265,"",'1. Live'!U265-'check-Jul25'!U265)</f>
        <v/>
      </c>
      <c r="V265" t="str">
        <f>IF('1. Live'!V265='check-Jul25'!V265,"",'1. Live'!V265-'check-Jul25'!V265)</f>
        <v/>
      </c>
      <c r="W265" t="str">
        <f>IF('1. Live'!W265='check-Jul25'!W265,"",'1. Live'!W265-'check-Jul25'!W265)</f>
        <v/>
      </c>
      <c r="X265" t="str">
        <f>IF('1. Live'!X265='check-Jul25'!X265,"",'1. Live'!X265-'check-Jul25'!X265)</f>
        <v/>
      </c>
      <c r="Y265" t="str">
        <f>IF('1. Live'!Y265='check-Jul25'!Y265,"",'1. Live'!Y265-'check-Jul25'!Y265)</f>
        <v/>
      </c>
      <c r="Z265" t="str">
        <f>IF('1. Live'!Z265='check-Jul25'!Z265,"",'1. Live'!Z265-'check-Jul25'!Z265)</f>
        <v/>
      </c>
      <c r="AA265" t="str">
        <f>IF('1. Live'!AA265='check-Jul25'!AA265,"",'1. Live'!AA265-'check-Jul25'!AA265)</f>
        <v/>
      </c>
      <c r="AB265" t="str">
        <f>IF('1. Live'!AB265='check-Jul25'!AB265,"",'1. Live'!AB265-'check-Jul25'!AB265)</f>
        <v/>
      </c>
      <c r="AC265" t="str">
        <f>IF('1. Live'!AC265='check-Jul25'!AC265,"",'1. Live'!AC265-'check-Jul25'!AC265)</f>
        <v/>
      </c>
      <c r="AD265" t="str">
        <f>IF('1. Live'!AD265='check-Jul25'!AD265,"",'1. Live'!AD265-'check-Jul25'!AD265)</f>
        <v/>
      </c>
      <c r="AE265" t="str">
        <f>IF('1. Live'!AE265='check-Jul25'!AE265,"",'1. Live'!AE265-'check-Jul25'!AE265)</f>
        <v/>
      </c>
      <c r="AF265" t="str">
        <f>IF('1. Live'!AF265='check-Jul25'!AF265,"",'1. Live'!AF265-'check-Jul25'!AF265)</f>
        <v/>
      </c>
      <c r="AG265" t="str">
        <f>IF('1. Live'!AG265='check-Jul25'!AG265,"",'1. Live'!AG265-'check-Jul25'!AG265)</f>
        <v/>
      </c>
      <c r="AH265" t="str">
        <f>IF('1. Live'!AH265='check-Jul25'!AH265,"",'1. Live'!AH265-'check-Jul25'!AH265)</f>
        <v/>
      </c>
      <c r="AI265" t="str">
        <f>IF('1. Live'!AI265='check-Jul25'!AI265,"",'1. Live'!AI265-'check-Jul25'!AI265)</f>
        <v/>
      </c>
      <c r="AJ265" t="str">
        <f>IF('1. Live'!AJ265='check-Jul25'!AJ265,"",'1. Live'!AJ265-'check-Jul25'!AJ265)</f>
        <v/>
      </c>
      <c r="AK265" t="str">
        <f>IF('1. Live'!AK265='check-Jul25'!AK265,"",'1. Live'!AK265-'check-Jul25'!AK265)</f>
        <v/>
      </c>
      <c r="AL265" t="str">
        <f>IF('1. Live'!AL265='check-Jul25'!AL265,"",'1. Live'!AL265-'check-Jul25'!AL265)</f>
        <v/>
      </c>
      <c r="AM265" t="str">
        <f>IF('1. Live'!AM265='check-Jul25'!AM265,"",'1. Live'!AM265-'check-Jul25'!AM265)</f>
        <v/>
      </c>
      <c r="AN265" t="str">
        <f>IF('1. Live'!AN265='check-Jul25'!AN265,"",'1. Live'!AN265-'check-Jul25'!AN265)</f>
        <v/>
      </c>
      <c r="AO265" t="str">
        <f>IF('1. Live'!AO265='check-Jul25'!AO265,"",'1. Live'!AO265-'check-Jul25'!AO265)</f>
        <v/>
      </c>
      <c r="AP265" t="str">
        <f>IF('1. Live'!AP265='check-Jul25'!AP265,"",'1. Live'!AP265-'check-Jul25'!AP265)</f>
        <v/>
      </c>
      <c r="AQ265" t="str">
        <f>IF('1. Live'!AQ265='check-Jul25'!AQ265,"",'1. Live'!AQ265-'check-Jul25'!AQ265)</f>
        <v/>
      </c>
      <c r="AR265" t="str">
        <f>IF('1. Live'!AR265='check-Jul25'!AR265,"",'1. Live'!AR265-'check-Jul25'!AR265)</f>
        <v/>
      </c>
      <c r="AS265" t="str">
        <f>IF('1. Live'!AS265='check-Jul25'!AS265,"",'1. Live'!AS265-'check-Jul25'!AS265)</f>
        <v/>
      </c>
      <c r="AT265" t="str">
        <f>IF('1. Live'!AT265='check-Jul25'!AT265,"",'1. Live'!AT265-'check-Jul25'!AT265)</f>
        <v/>
      </c>
      <c r="AU265" t="str">
        <f>IF('1. Live'!AU265='check-Jul25'!AU265,"",'1. Live'!AU265-'check-Jul25'!AU265)</f>
        <v/>
      </c>
      <c r="AV265" t="str">
        <f>IF('1. Live'!AV265='check-Jul25'!AV265,"",'1. Live'!AV265-'check-Jul25'!AV265)</f>
        <v/>
      </c>
      <c r="AW265" t="str">
        <f>IF('1. Live'!AW265='check-Jul25'!AW265,"",'1. Live'!AW265-'check-Jul25'!AW265)</f>
        <v/>
      </c>
      <c r="AX265" t="str">
        <f>IF('1. Live'!AX265='check-Jul25'!AX265,"",'1. Live'!AX265-'check-Jul25'!AX265)</f>
        <v/>
      </c>
      <c r="AY265" t="str">
        <f>IF('1. Live'!AY265='check-Jul25'!AY265,"",'1. Live'!AY265-'check-Jul25'!AY265)</f>
        <v/>
      </c>
      <c r="AZ265" t="str">
        <f>IF('1. Live'!AZ265='check-Jul25'!AZ265,"",'1. Live'!AZ265-'check-Jul25'!AZ265)</f>
        <v/>
      </c>
      <c r="BA265" t="str">
        <f>IF('1. Live'!BA265='check-Jul25'!BA265,"",'1. Live'!BA265-'check-Jul25'!BA265)</f>
        <v/>
      </c>
      <c r="BB265" t="str">
        <f>IF('1. Live'!BB265='check-Jul25'!BB265,"",'1. Live'!BB265-'check-Jul25'!BB265)</f>
        <v/>
      </c>
      <c r="BC265" t="str">
        <f>IF('1. Live'!BC265='check-Jul25'!BC265,"",'1. Live'!BC265-'check-Jul25'!BC265)</f>
        <v/>
      </c>
      <c r="BD265" t="str">
        <f>IF('1. Live'!BD265='check-Jul25'!BD265,"",'1. Live'!BD265-'check-Jul25'!BD265)</f>
        <v/>
      </c>
      <c r="BE265" t="str">
        <f>IF('1. Live'!BE265='check-Jul25'!BE265,"",'1. Live'!BE265-'check-Jul25'!BE265)</f>
        <v/>
      </c>
      <c r="BF265" t="str">
        <f>IF('1. Live'!BF265='check-Jul25'!BF265,"",'1. Live'!BF265-'check-Jul25'!BF265)</f>
        <v/>
      </c>
      <c r="BG265" t="str">
        <f>IF('1. Live'!BG265='check-Jul25'!BG265,"",'1. Live'!BG265-'check-Jul25'!BG265)</f>
        <v/>
      </c>
      <c r="BH265" t="str">
        <f>IF('1. Live'!BH265='check-Jul25'!BH265,"",'1. Live'!BH265-'check-Jul25'!BH265)</f>
        <v/>
      </c>
      <c r="BI265" t="str">
        <f>IF('1. Live'!BI265='check-Jul25'!BI265,"",'1. Live'!BI265-'check-Jul25'!BI265)</f>
        <v/>
      </c>
      <c r="BJ265" t="str">
        <f>IF('1. Live'!BJ265='check-Jul25'!BJ265,"",'1. Live'!BJ265-'check-Jul25'!BJ265)</f>
        <v/>
      </c>
      <c r="BK265" t="str">
        <f>IF('1. Live'!BK265='check-Jul25'!BK265,"",'1. Live'!BK265-'check-Jul25'!BK265)</f>
        <v/>
      </c>
      <c r="BL265" t="str">
        <f>IF('1. Live'!BL265='check-Jul25'!BL265,"",'1. Live'!BL265-'check-Jul25'!BL265)</f>
        <v/>
      </c>
      <c r="BM265" t="str">
        <f>IF('1. Live'!BM265='check-Jul25'!BM265,"",'1. Live'!BM265-'check-Jul25'!BM265)</f>
        <v/>
      </c>
      <c r="BN265" t="str">
        <f>IF('1. Live'!BN265='check-Jul25'!BN265,"",'1. Live'!BN265-'check-Jul25'!BN265)</f>
        <v/>
      </c>
      <c r="BO265" t="str">
        <f>IF('1. Live'!BO265='check-Jul25'!BO265,"",'1. Live'!BO265-'check-Jul25'!BO265)</f>
        <v/>
      </c>
      <c r="BP265" t="str">
        <f>IF('1. Live'!BP265='check-Jul25'!BP265,"",'1. Live'!BP265-'check-Jul25'!BP265)</f>
        <v/>
      </c>
      <c r="BQ265" t="str">
        <f>IF('1. Live'!BQ265='check-Jul25'!BQ265,"",'1. Live'!BQ265-'check-Jul25'!BQ265)</f>
        <v/>
      </c>
      <c r="BR265" t="str">
        <f>IF('1. Live'!BR265='check-Jul25'!BR265,"",'1. Live'!BR265-'check-Jul25'!BR265)</f>
        <v/>
      </c>
      <c r="BS265" t="str">
        <f>IF('1. Live'!BS265='check-Jul25'!BS265,"",'1. Live'!BS265-'check-Jul25'!BS265)</f>
        <v/>
      </c>
      <c r="BT265" t="str">
        <f>IF('1. Live'!BT265='check-Jul25'!BT265,"",'1. Live'!BT265-'check-Jul25'!BT265)</f>
        <v/>
      </c>
      <c r="BU265" t="str">
        <f>IF('1. Live'!BU265='check-Jul25'!BU265,"",'1. Live'!BU265-'check-Jul25'!BU265)</f>
        <v/>
      </c>
      <c r="BV265" t="str">
        <f>IF('1. Live'!BV265='check-Jul25'!BV265,"",'1. Live'!BV265-'check-Jul25'!BV265)</f>
        <v/>
      </c>
      <c r="BW265" t="str">
        <f>IF('1. Live'!BW265='check-Jul25'!BW265,"",'1. Live'!BW265-'check-Jul25'!BW265)</f>
        <v/>
      </c>
      <c r="BX265" t="str">
        <f>IF('1. Live'!BX265='check-Jul25'!BX265,"",'1. Live'!BX265-'check-Jul25'!BX265)</f>
        <v/>
      </c>
      <c r="BY265" t="str">
        <f>IF('1. Live'!BY265='check-Jul25'!BY265,"",'1. Live'!BY265-'check-Jul25'!BY265)</f>
        <v/>
      </c>
      <c r="BZ265" t="str">
        <f>IF('1. Live'!BZ265='check-Jul25'!BZ265,"",'1. Live'!BZ265-'check-Jul25'!BZ265)</f>
        <v/>
      </c>
      <c r="CA265" t="str">
        <f>IF('1. Live'!CA265='check-Jul25'!CA265,"",'1. Live'!CA265-'check-Jul25'!CA265)</f>
        <v/>
      </c>
      <c r="CB265" t="str">
        <f>IF('1. Live'!CB265='check-Jul25'!CB265,"",'1. Live'!CB265-'check-Jul25'!CB265)</f>
        <v/>
      </c>
      <c r="CC265" t="str">
        <f>IF('1. Live'!CC265='check-Jul25'!CC265,"",'1. Live'!CC265-'check-Jul25'!CC265)</f>
        <v/>
      </c>
      <c r="CD265" t="str">
        <f>IF('1. Live'!CD265='check-Jul25'!CD265,"",'1. Live'!CD265-'check-Jul25'!CD265)</f>
        <v/>
      </c>
      <c r="CE265" t="str">
        <f>IF('1. Live'!CE265='check-Jul25'!CE265,"",'1. Live'!CE265-'check-Jul25'!CE265)</f>
        <v/>
      </c>
      <c r="CF265" t="str">
        <f>IF('1. Live'!CF265='check-Jul25'!CF265,"",'1. Live'!CF265-'check-Jul25'!CF265)</f>
        <v/>
      </c>
      <c r="CG265" t="str">
        <f>IF('1. Live'!CG265='check-Jul25'!CG265,"",'1. Live'!CG265-'check-Jul25'!CG265)</f>
        <v/>
      </c>
      <c r="CH265" t="str">
        <f>IF('1. Live'!CH265='check-Jul25'!CH265,"",'1. Live'!CH265-'check-Jul25'!CH265)</f>
        <v/>
      </c>
      <c r="CI265" t="str">
        <f>IF('1. Live'!CI265='check-Jul25'!CI265,"",'1. Live'!CI265-'check-Jul25'!CI265)</f>
        <v/>
      </c>
      <c r="CJ265" t="str">
        <f>IF('1. Live'!CJ265='check-Jul25'!CJ265,"",'1. Live'!CJ265-'check-Jul25'!CJ265)</f>
        <v/>
      </c>
      <c r="CK265" t="str">
        <f>IF('1. Live'!CK265='check-Jul25'!CK265,"",'1. Live'!CK265-'check-Jul25'!CK265)</f>
        <v/>
      </c>
      <c r="CL265" t="str">
        <f>IF('1. Live'!CL265='check-Jul25'!CL265,"",'1. Live'!CL265-'check-Jul25'!CL265)</f>
        <v/>
      </c>
      <c r="CM265" t="str">
        <f>IF('1. Live'!CM265='check-Jul25'!CM265,"",'1. Live'!CM265-'check-Jul25'!CM265)</f>
        <v/>
      </c>
      <c r="CN265" t="str">
        <f>IF('1. Live'!CN265='check-Jul25'!CN265,"",'1. Live'!CN265-'check-Jul25'!CN265)</f>
        <v/>
      </c>
      <c r="CO265" t="str">
        <f>IF('1. Live'!CO265='check-Jul25'!CO265,"",'1. Live'!CO265-'check-Jul25'!CO265)</f>
        <v/>
      </c>
      <c r="CP265" t="str">
        <f>IF('1. Live'!CP265='check-Jul25'!CP265,"",'1. Live'!CP265-'check-Jul25'!CP265)</f>
        <v/>
      </c>
      <c r="CQ265" t="str">
        <f>IF('1. Live'!CQ265='check-Jul25'!CQ265,"",'1. Live'!CQ265-'check-Jul25'!CQ265)</f>
        <v/>
      </c>
      <c r="CR265" t="str">
        <f>IF('1. Live'!CR265='check-Jul25'!CR265,"",'1. Live'!CR265-'check-Jul25'!CR265)</f>
        <v/>
      </c>
      <c r="CS265" t="str">
        <f>IF('1. Live'!CS265='check-Jul25'!CS265,"",'1. Live'!CS265-'check-Jul25'!CS265)</f>
        <v/>
      </c>
      <c r="CT265" t="str">
        <f>IF('1. Live'!CT265='check-Jul25'!CT265,"",'1. Live'!CT265-'check-Jul25'!CT265)</f>
        <v/>
      </c>
      <c r="CU265" t="str">
        <f>IF('1. Live'!CU265='check-Jul25'!CU265,"",'1. Live'!CU265-'check-Jul25'!CU265)</f>
        <v/>
      </c>
      <c r="CV265" t="str">
        <f>IF('1. Live'!CV265='check-Jul25'!CV265,"",'1. Live'!CV265-'check-Jul25'!CV265)</f>
        <v/>
      </c>
      <c r="CW265" t="str">
        <f>IF('1. Live'!CW265='check-Jul25'!CW265,"",'1. Live'!CW265-'check-Jul25'!CW265)</f>
        <v/>
      </c>
    </row>
    <row r="266" spans="10:101">
      <c r="J266" t="str">
        <f>IF('1. Live'!J266='check-Jul25'!J266,"",'1. Live'!J266-'check-Jul25'!J266)</f>
        <v/>
      </c>
      <c r="K266" t="str">
        <f>IF('1. Live'!K266='check-Jul25'!K266,"",'1. Live'!K266-'check-Jul25'!K266)</f>
        <v/>
      </c>
      <c r="L266" t="str">
        <f>IF('1. Live'!L266='check-Jul25'!L266,"",'1. Live'!L266-'check-Jul25'!L266)</f>
        <v/>
      </c>
      <c r="M266" t="str">
        <f>IF('1. Live'!M266='check-Jul25'!M266,"",'1. Live'!M266-'check-Jul25'!M266)</f>
        <v/>
      </c>
      <c r="N266" t="str">
        <f>IF('1. Live'!N266='check-Jul25'!N266,"",'1. Live'!N266-'check-Jul25'!N266)</f>
        <v/>
      </c>
      <c r="O266" t="str">
        <f>IF('1. Live'!O266='check-Jul25'!O266,"",'1. Live'!O266-'check-Jul25'!O266)</f>
        <v/>
      </c>
      <c r="P266" t="str">
        <f>IF('1. Live'!P266='check-Jul25'!P266,"",'1. Live'!P266-'check-Jul25'!P266)</f>
        <v/>
      </c>
      <c r="Q266" t="str">
        <f>IF('1. Live'!Q266='check-Jul25'!Q266,"",'1. Live'!Q266-'check-Jul25'!Q266)</f>
        <v/>
      </c>
      <c r="R266" t="str">
        <f>IF('1. Live'!R266='check-Jul25'!R266,"",'1. Live'!R266-'check-Jul25'!R266)</f>
        <v/>
      </c>
      <c r="S266" t="str">
        <f>IF('1. Live'!S266='check-Jul25'!S266,"",'1. Live'!S266-'check-Jul25'!S266)</f>
        <v/>
      </c>
      <c r="T266" t="str">
        <f>IF('1. Live'!T266='check-Jul25'!T266,"",'1. Live'!T266-'check-Jul25'!T266)</f>
        <v/>
      </c>
      <c r="U266" t="str">
        <f>IF('1. Live'!U266='check-Jul25'!U266,"",'1. Live'!U266-'check-Jul25'!U266)</f>
        <v/>
      </c>
      <c r="V266" t="str">
        <f>IF('1. Live'!V266='check-Jul25'!V266,"",'1. Live'!V266-'check-Jul25'!V266)</f>
        <v/>
      </c>
      <c r="W266" t="str">
        <f>IF('1. Live'!W266='check-Jul25'!W266,"",'1. Live'!W266-'check-Jul25'!W266)</f>
        <v/>
      </c>
      <c r="X266" t="str">
        <f>IF('1. Live'!X266='check-Jul25'!X266,"",'1. Live'!X266-'check-Jul25'!X266)</f>
        <v/>
      </c>
      <c r="Y266" t="str">
        <f>IF('1. Live'!Y266='check-Jul25'!Y266,"",'1. Live'!Y266-'check-Jul25'!Y266)</f>
        <v/>
      </c>
      <c r="Z266" t="str">
        <f>IF('1. Live'!Z266='check-Jul25'!Z266,"",'1. Live'!Z266-'check-Jul25'!Z266)</f>
        <v/>
      </c>
      <c r="AA266" t="str">
        <f>IF('1. Live'!AA266='check-Jul25'!AA266,"",'1. Live'!AA266-'check-Jul25'!AA266)</f>
        <v/>
      </c>
      <c r="AB266" t="str">
        <f>IF('1. Live'!AB266='check-Jul25'!AB266,"",'1. Live'!AB266-'check-Jul25'!AB266)</f>
        <v/>
      </c>
      <c r="AC266" t="str">
        <f>IF('1. Live'!AC266='check-Jul25'!AC266,"",'1. Live'!AC266-'check-Jul25'!AC266)</f>
        <v/>
      </c>
      <c r="AD266" t="str">
        <f>IF('1. Live'!AD266='check-Jul25'!AD266,"",'1. Live'!AD266-'check-Jul25'!AD266)</f>
        <v/>
      </c>
      <c r="AE266" t="str">
        <f>IF('1. Live'!AE266='check-Jul25'!AE266,"",'1. Live'!AE266-'check-Jul25'!AE266)</f>
        <v/>
      </c>
      <c r="AF266" t="str">
        <f>IF('1. Live'!AF266='check-Jul25'!AF266,"",'1. Live'!AF266-'check-Jul25'!AF266)</f>
        <v/>
      </c>
      <c r="AG266" t="str">
        <f>IF('1. Live'!AG266='check-Jul25'!AG266,"",'1. Live'!AG266-'check-Jul25'!AG266)</f>
        <v/>
      </c>
      <c r="AH266" t="str">
        <f>IF('1. Live'!AH266='check-Jul25'!AH266,"",'1. Live'!AH266-'check-Jul25'!AH266)</f>
        <v/>
      </c>
      <c r="AI266" t="str">
        <f>IF('1. Live'!AI266='check-Jul25'!AI266,"",'1. Live'!AI266-'check-Jul25'!AI266)</f>
        <v/>
      </c>
      <c r="AJ266" t="str">
        <f>IF('1. Live'!AJ266='check-Jul25'!AJ266,"",'1. Live'!AJ266-'check-Jul25'!AJ266)</f>
        <v/>
      </c>
      <c r="AK266" t="str">
        <f>IF('1. Live'!AK266='check-Jul25'!AK266,"",'1. Live'!AK266-'check-Jul25'!AK266)</f>
        <v/>
      </c>
      <c r="AL266" t="str">
        <f>IF('1. Live'!AL266='check-Jul25'!AL266,"",'1. Live'!AL266-'check-Jul25'!AL266)</f>
        <v/>
      </c>
      <c r="AM266" t="str">
        <f>IF('1. Live'!AM266='check-Jul25'!AM266,"",'1. Live'!AM266-'check-Jul25'!AM266)</f>
        <v/>
      </c>
      <c r="AN266" t="str">
        <f>IF('1. Live'!AN266='check-Jul25'!AN266,"",'1. Live'!AN266-'check-Jul25'!AN266)</f>
        <v/>
      </c>
      <c r="AO266" t="str">
        <f>IF('1. Live'!AO266='check-Jul25'!AO266,"",'1. Live'!AO266-'check-Jul25'!AO266)</f>
        <v/>
      </c>
      <c r="AP266" t="str">
        <f>IF('1. Live'!AP266='check-Jul25'!AP266,"",'1. Live'!AP266-'check-Jul25'!AP266)</f>
        <v/>
      </c>
      <c r="AQ266" t="str">
        <f>IF('1. Live'!AQ266='check-Jul25'!AQ266,"",'1. Live'!AQ266-'check-Jul25'!AQ266)</f>
        <v/>
      </c>
      <c r="AR266" t="str">
        <f>IF('1. Live'!AR266='check-Jul25'!AR266,"",'1. Live'!AR266-'check-Jul25'!AR266)</f>
        <v/>
      </c>
      <c r="AS266" t="str">
        <f>IF('1. Live'!AS266='check-Jul25'!AS266,"",'1. Live'!AS266-'check-Jul25'!AS266)</f>
        <v/>
      </c>
      <c r="AT266" t="str">
        <f>IF('1. Live'!AT266='check-Jul25'!AT266,"",'1. Live'!AT266-'check-Jul25'!AT266)</f>
        <v/>
      </c>
      <c r="AU266" t="str">
        <f>IF('1. Live'!AU266='check-Jul25'!AU266,"",'1. Live'!AU266-'check-Jul25'!AU266)</f>
        <v/>
      </c>
      <c r="AV266" t="str">
        <f>IF('1. Live'!AV266='check-Jul25'!AV266,"",'1. Live'!AV266-'check-Jul25'!AV266)</f>
        <v/>
      </c>
      <c r="AW266" t="str">
        <f>IF('1. Live'!AW266='check-Jul25'!AW266,"",'1. Live'!AW266-'check-Jul25'!AW266)</f>
        <v/>
      </c>
      <c r="AX266" t="str">
        <f>IF('1. Live'!AX266='check-Jul25'!AX266,"",'1. Live'!AX266-'check-Jul25'!AX266)</f>
        <v/>
      </c>
      <c r="AY266" t="str">
        <f>IF('1. Live'!AY266='check-Jul25'!AY266,"",'1. Live'!AY266-'check-Jul25'!AY266)</f>
        <v/>
      </c>
      <c r="AZ266" t="str">
        <f>IF('1. Live'!AZ266='check-Jul25'!AZ266,"",'1. Live'!AZ266-'check-Jul25'!AZ266)</f>
        <v/>
      </c>
      <c r="BA266" t="str">
        <f>IF('1. Live'!BA266='check-Jul25'!BA266,"",'1. Live'!BA266-'check-Jul25'!BA266)</f>
        <v/>
      </c>
      <c r="BB266" t="str">
        <f>IF('1. Live'!BB266='check-Jul25'!BB266,"",'1. Live'!BB266-'check-Jul25'!BB266)</f>
        <v/>
      </c>
      <c r="BC266" t="str">
        <f>IF('1. Live'!BC266='check-Jul25'!BC266,"",'1. Live'!BC266-'check-Jul25'!BC266)</f>
        <v/>
      </c>
      <c r="BD266" t="str">
        <f>IF('1. Live'!BD266='check-Jul25'!BD266,"",'1. Live'!BD266-'check-Jul25'!BD266)</f>
        <v/>
      </c>
      <c r="BE266" t="str">
        <f>IF('1. Live'!BE266='check-Jul25'!BE266,"",'1. Live'!BE266-'check-Jul25'!BE266)</f>
        <v/>
      </c>
      <c r="BF266" t="str">
        <f>IF('1. Live'!BF266='check-Jul25'!BF266,"",'1. Live'!BF266-'check-Jul25'!BF266)</f>
        <v/>
      </c>
      <c r="BG266" t="str">
        <f>IF('1. Live'!BG266='check-Jul25'!BG266,"",'1. Live'!BG266-'check-Jul25'!BG266)</f>
        <v/>
      </c>
      <c r="BH266" t="str">
        <f>IF('1. Live'!BH266='check-Jul25'!BH266,"",'1. Live'!BH266-'check-Jul25'!BH266)</f>
        <v/>
      </c>
      <c r="BI266" t="str">
        <f>IF('1. Live'!BI266='check-Jul25'!BI266,"",'1. Live'!BI266-'check-Jul25'!BI266)</f>
        <v/>
      </c>
      <c r="BJ266" t="str">
        <f>IF('1. Live'!BJ266='check-Jul25'!BJ266,"",'1. Live'!BJ266-'check-Jul25'!BJ266)</f>
        <v/>
      </c>
      <c r="BK266" t="str">
        <f>IF('1. Live'!BK266='check-Jul25'!BK266,"",'1. Live'!BK266-'check-Jul25'!BK266)</f>
        <v/>
      </c>
      <c r="BL266" t="str">
        <f>IF('1. Live'!BL266='check-Jul25'!BL266,"",'1. Live'!BL266-'check-Jul25'!BL266)</f>
        <v/>
      </c>
      <c r="BM266" t="str">
        <f>IF('1. Live'!BM266='check-Jul25'!BM266,"",'1. Live'!BM266-'check-Jul25'!BM266)</f>
        <v/>
      </c>
      <c r="BN266" t="str">
        <f>IF('1. Live'!BN266='check-Jul25'!BN266,"",'1. Live'!BN266-'check-Jul25'!BN266)</f>
        <v/>
      </c>
      <c r="BO266" t="str">
        <f>IF('1. Live'!BO266='check-Jul25'!BO266,"",'1. Live'!BO266-'check-Jul25'!BO266)</f>
        <v/>
      </c>
      <c r="BP266" t="str">
        <f>IF('1. Live'!BP266='check-Jul25'!BP266,"",'1. Live'!BP266-'check-Jul25'!BP266)</f>
        <v/>
      </c>
      <c r="BQ266" t="str">
        <f>IF('1. Live'!BQ266='check-Jul25'!BQ266,"",'1. Live'!BQ266-'check-Jul25'!BQ266)</f>
        <v/>
      </c>
      <c r="BR266" t="str">
        <f>IF('1. Live'!BR266='check-Jul25'!BR266,"",'1. Live'!BR266-'check-Jul25'!BR266)</f>
        <v/>
      </c>
      <c r="BS266" t="str">
        <f>IF('1. Live'!BS266='check-Jul25'!BS266,"",'1. Live'!BS266-'check-Jul25'!BS266)</f>
        <v/>
      </c>
      <c r="BT266" t="str">
        <f>IF('1. Live'!BT266='check-Jul25'!BT266,"",'1. Live'!BT266-'check-Jul25'!BT266)</f>
        <v/>
      </c>
      <c r="BU266" t="str">
        <f>IF('1. Live'!BU266='check-Jul25'!BU266,"",'1. Live'!BU266-'check-Jul25'!BU266)</f>
        <v/>
      </c>
      <c r="BV266" t="str">
        <f>IF('1. Live'!BV266='check-Jul25'!BV266,"",'1. Live'!BV266-'check-Jul25'!BV266)</f>
        <v/>
      </c>
      <c r="BW266" t="str">
        <f>IF('1. Live'!BW266='check-Jul25'!BW266,"",'1. Live'!BW266-'check-Jul25'!BW266)</f>
        <v/>
      </c>
      <c r="BX266" t="str">
        <f>IF('1. Live'!BX266='check-Jul25'!BX266,"",'1. Live'!BX266-'check-Jul25'!BX266)</f>
        <v/>
      </c>
      <c r="BY266" t="str">
        <f>IF('1. Live'!BY266='check-Jul25'!BY266,"",'1. Live'!BY266-'check-Jul25'!BY266)</f>
        <v/>
      </c>
      <c r="BZ266" t="str">
        <f>IF('1. Live'!BZ266='check-Jul25'!BZ266,"",'1. Live'!BZ266-'check-Jul25'!BZ266)</f>
        <v/>
      </c>
      <c r="CA266" t="str">
        <f>IF('1. Live'!CA266='check-Jul25'!CA266,"",'1. Live'!CA266-'check-Jul25'!CA266)</f>
        <v/>
      </c>
      <c r="CB266" t="str">
        <f>IF('1. Live'!CB266='check-Jul25'!CB266,"",'1. Live'!CB266-'check-Jul25'!CB266)</f>
        <v/>
      </c>
      <c r="CC266" t="str">
        <f>IF('1. Live'!CC266='check-Jul25'!CC266,"",'1. Live'!CC266-'check-Jul25'!CC266)</f>
        <v/>
      </c>
      <c r="CD266" t="str">
        <f>IF('1. Live'!CD266='check-Jul25'!CD266,"",'1. Live'!CD266-'check-Jul25'!CD266)</f>
        <v/>
      </c>
      <c r="CE266" t="str">
        <f>IF('1. Live'!CE266='check-Jul25'!CE266,"",'1. Live'!CE266-'check-Jul25'!CE266)</f>
        <v/>
      </c>
      <c r="CF266" t="str">
        <f>IF('1. Live'!CF266='check-Jul25'!CF266,"",'1. Live'!CF266-'check-Jul25'!CF266)</f>
        <v/>
      </c>
      <c r="CG266" t="str">
        <f>IF('1. Live'!CG266='check-Jul25'!CG266,"",'1. Live'!CG266-'check-Jul25'!CG266)</f>
        <v/>
      </c>
      <c r="CH266" t="str">
        <f>IF('1. Live'!CH266='check-Jul25'!CH266,"",'1. Live'!CH266-'check-Jul25'!CH266)</f>
        <v/>
      </c>
      <c r="CI266" t="str">
        <f>IF('1. Live'!CI266='check-Jul25'!CI266,"",'1. Live'!CI266-'check-Jul25'!CI266)</f>
        <v/>
      </c>
      <c r="CJ266" t="str">
        <f>IF('1. Live'!CJ266='check-Jul25'!CJ266,"",'1. Live'!CJ266-'check-Jul25'!CJ266)</f>
        <v/>
      </c>
      <c r="CK266" t="str">
        <f>IF('1. Live'!CK266='check-Jul25'!CK266,"",'1. Live'!CK266-'check-Jul25'!CK266)</f>
        <v/>
      </c>
      <c r="CL266" t="str">
        <f>IF('1. Live'!CL266='check-Jul25'!CL266,"",'1. Live'!CL266-'check-Jul25'!CL266)</f>
        <v/>
      </c>
      <c r="CM266" t="str">
        <f>IF('1. Live'!CM266='check-Jul25'!CM266,"",'1. Live'!CM266-'check-Jul25'!CM266)</f>
        <v/>
      </c>
      <c r="CN266" t="str">
        <f>IF('1. Live'!CN266='check-Jul25'!CN266,"",'1. Live'!CN266-'check-Jul25'!CN266)</f>
        <v/>
      </c>
      <c r="CO266" t="str">
        <f>IF('1. Live'!CO266='check-Jul25'!CO266,"",'1. Live'!CO266-'check-Jul25'!CO266)</f>
        <v/>
      </c>
      <c r="CP266" t="str">
        <f>IF('1. Live'!CP266='check-Jul25'!CP266,"",'1. Live'!CP266-'check-Jul25'!CP266)</f>
        <v/>
      </c>
      <c r="CQ266" t="str">
        <f>IF('1. Live'!CQ266='check-Jul25'!CQ266,"",'1. Live'!CQ266-'check-Jul25'!CQ266)</f>
        <v/>
      </c>
      <c r="CR266" t="str">
        <f>IF('1. Live'!CR266='check-Jul25'!CR266,"",'1. Live'!CR266-'check-Jul25'!CR266)</f>
        <v/>
      </c>
      <c r="CS266" t="str">
        <f>IF('1. Live'!CS266='check-Jul25'!CS266,"",'1. Live'!CS266-'check-Jul25'!CS266)</f>
        <v/>
      </c>
      <c r="CT266" t="str">
        <f>IF('1. Live'!CT266='check-Jul25'!CT266,"",'1. Live'!CT266-'check-Jul25'!CT266)</f>
        <v/>
      </c>
      <c r="CU266" t="str">
        <f>IF('1. Live'!CU266='check-Jul25'!CU266,"",'1. Live'!CU266-'check-Jul25'!CU266)</f>
        <v/>
      </c>
      <c r="CV266" t="str">
        <f>IF('1. Live'!CV266='check-Jul25'!CV266,"",'1. Live'!CV266-'check-Jul25'!CV266)</f>
        <v/>
      </c>
      <c r="CW266" t="str">
        <f>IF('1. Live'!CW266='check-Jul25'!CW266,"",'1. Live'!CW266-'check-Jul25'!CW266)</f>
        <v/>
      </c>
    </row>
    <row r="267" spans="10:101">
      <c r="J267" t="str">
        <f>IF('1. Live'!J267='check-Jul25'!J267,"",'1. Live'!J267-'check-Jul25'!J267)</f>
        <v/>
      </c>
      <c r="K267" t="str">
        <f>IF('1. Live'!K267='check-Jul25'!K267,"",'1. Live'!K267-'check-Jul25'!K267)</f>
        <v/>
      </c>
      <c r="L267" t="str">
        <f>IF('1. Live'!L267='check-Jul25'!L267,"",'1. Live'!L267-'check-Jul25'!L267)</f>
        <v/>
      </c>
      <c r="M267" t="str">
        <f>IF('1. Live'!M267='check-Jul25'!M267,"",'1. Live'!M267-'check-Jul25'!M267)</f>
        <v/>
      </c>
      <c r="N267" t="str">
        <f>IF('1. Live'!N267='check-Jul25'!N267,"",'1. Live'!N267-'check-Jul25'!N267)</f>
        <v/>
      </c>
      <c r="O267" t="str">
        <f>IF('1. Live'!O267='check-Jul25'!O267,"",'1. Live'!O267-'check-Jul25'!O267)</f>
        <v/>
      </c>
      <c r="P267" t="str">
        <f>IF('1. Live'!P267='check-Jul25'!P267,"",'1. Live'!P267-'check-Jul25'!P267)</f>
        <v/>
      </c>
      <c r="Q267" t="str">
        <f>IF('1. Live'!Q267='check-Jul25'!Q267,"",'1. Live'!Q267-'check-Jul25'!Q267)</f>
        <v/>
      </c>
      <c r="R267" t="str">
        <f>IF('1. Live'!R267='check-Jul25'!R267,"",'1. Live'!R267-'check-Jul25'!R267)</f>
        <v/>
      </c>
      <c r="S267" t="str">
        <f>IF('1. Live'!S267='check-Jul25'!S267,"",'1. Live'!S267-'check-Jul25'!S267)</f>
        <v/>
      </c>
      <c r="T267" t="str">
        <f>IF('1. Live'!T267='check-Jul25'!T267,"",'1. Live'!T267-'check-Jul25'!T267)</f>
        <v/>
      </c>
      <c r="U267" t="str">
        <f>IF('1. Live'!U267='check-Jul25'!U267,"",'1. Live'!U267-'check-Jul25'!U267)</f>
        <v/>
      </c>
      <c r="V267" t="str">
        <f>IF('1. Live'!V267='check-Jul25'!V267,"",'1. Live'!V267-'check-Jul25'!V267)</f>
        <v/>
      </c>
      <c r="W267" t="str">
        <f>IF('1. Live'!W267='check-Jul25'!W267,"",'1. Live'!W267-'check-Jul25'!W267)</f>
        <v/>
      </c>
      <c r="X267" t="str">
        <f>IF('1. Live'!X267='check-Jul25'!X267,"",'1. Live'!X267-'check-Jul25'!X267)</f>
        <v/>
      </c>
      <c r="Y267" t="str">
        <f>IF('1. Live'!Y267='check-Jul25'!Y267,"",'1. Live'!Y267-'check-Jul25'!Y267)</f>
        <v/>
      </c>
      <c r="Z267" t="str">
        <f>IF('1. Live'!Z267='check-Jul25'!Z267,"",'1. Live'!Z267-'check-Jul25'!Z267)</f>
        <v/>
      </c>
      <c r="AA267" t="str">
        <f>IF('1. Live'!AA267='check-Jul25'!AA267,"",'1. Live'!AA267-'check-Jul25'!AA267)</f>
        <v/>
      </c>
      <c r="AB267" t="str">
        <f>IF('1. Live'!AB267='check-Jul25'!AB267,"",'1. Live'!AB267-'check-Jul25'!AB267)</f>
        <v/>
      </c>
      <c r="AC267" t="str">
        <f>IF('1. Live'!AC267='check-Jul25'!AC267,"",'1. Live'!AC267-'check-Jul25'!AC267)</f>
        <v/>
      </c>
      <c r="AD267" t="str">
        <f>IF('1. Live'!AD267='check-Jul25'!AD267,"",'1. Live'!AD267-'check-Jul25'!AD267)</f>
        <v/>
      </c>
      <c r="AE267" t="str">
        <f>IF('1. Live'!AE267='check-Jul25'!AE267,"",'1. Live'!AE267-'check-Jul25'!AE267)</f>
        <v/>
      </c>
      <c r="AF267" t="str">
        <f>IF('1. Live'!AF267='check-Jul25'!AF267,"",'1. Live'!AF267-'check-Jul25'!AF267)</f>
        <v/>
      </c>
      <c r="AG267" t="str">
        <f>IF('1. Live'!AG267='check-Jul25'!AG267,"",'1. Live'!AG267-'check-Jul25'!AG267)</f>
        <v/>
      </c>
      <c r="AH267" t="str">
        <f>IF('1. Live'!AH267='check-Jul25'!AH267,"",'1. Live'!AH267-'check-Jul25'!AH267)</f>
        <v/>
      </c>
      <c r="AI267" t="str">
        <f>IF('1. Live'!AI267='check-Jul25'!AI267,"",'1. Live'!AI267-'check-Jul25'!AI267)</f>
        <v/>
      </c>
      <c r="AJ267" t="str">
        <f>IF('1. Live'!AJ267='check-Jul25'!AJ267,"",'1. Live'!AJ267-'check-Jul25'!AJ267)</f>
        <v/>
      </c>
      <c r="AK267" t="str">
        <f>IF('1. Live'!AK267='check-Jul25'!AK267,"",'1. Live'!AK267-'check-Jul25'!AK267)</f>
        <v/>
      </c>
      <c r="AL267" t="str">
        <f>IF('1. Live'!AL267='check-Jul25'!AL267,"",'1. Live'!AL267-'check-Jul25'!AL267)</f>
        <v/>
      </c>
      <c r="AM267" t="str">
        <f>IF('1. Live'!AM267='check-Jul25'!AM267,"",'1. Live'!AM267-'check-Jul25'!AM267)</f>
        <v/>
      </c>
      <c r="AN267" t="str">
        <f>IF('1. Live'!AN267='check-Jul25'!AN267,"",'1. Live'!AN267-'check-Jul25'!AN267)</f>
        <v/>
      </c>
      <c r="AO267" t="str">
        <f>IF('1. Live'!AO267='check-Jul25'!AO267,"",'1. Live'!AO267-'check-Jul25'!AO267)</f>
        <v/>
      </c>
      <c r="AP267" t="str">
        <f>IF('1. Live'!AP267='check-Jul25'!AP267,"",'1. Live'!AP267-'check-Jul25'!AP267)</f>
        <v/>
      </c>
      <c r="AQ267" t="str">
        <f>IF('1. Live'!AQ267='check-Jul25'!AQ267,"",'1. Live'!AQ267-'check-Jul25'!AQ267)</f>
        <v/>
      </c>
      <c r="AR267" t="str">
        <f>IF('1. Live'!AR267='check-Jul25'!AR267,"",'1. Live'!AR267-'check-Jul25'!AR267)</f>
        <v/>
      </c>
      <c r="AS267" t="str">
        <f>IF('1. Live'!AS267='check-Jul25'!AS267,"",'1. Live'!AS267-'check-Jul25'!AS267)</f>
        <v/>
      </c>
      <c r="AT267" t="str">
        <f>IF('1. Live'!AT267='check-Jul25'!AT267,"",'1. Live'!AT267-'check-Jul25'!AT267)</f>
        <v/>
      </c>
      <c r="AU267" t="str">
        <f>IF('1. Live'!AU267='check-Jul25'!AU267,"",'1. Live'!AU267-'check-Jul25'!AU267)</f>
        <v/>
      </c>
      <c r="AV267" t="str">
        <f>IF('1. Live'!AV267='check-Jul25'!AV267,"",'1. Live'!AV267-'check-Jul25'!AV267)</f>
        <v/>
      </c>
      <c r="AW267" t="str">
        <f>IF('1. Live'!AW267='check-Jul25'!AW267,"",'1. Live'!AW267-'check-Jul25'!AW267)</f>
        <v/>
      </c>
      <c r="AX267" t="str">
        <f>IF('1. Live'!AX267='check-Jul25'!AX267,"",'1. Live'!AX267-'check-Jul25'!AX267)</f>
        <v/>
      </c>
      <c r="AY267" t="str">
        <f>IF('1. Live'!AY267='check-Jul25'!AY267,"",'1. Live'!AY267-'check-Jul25'!AY267)</f>
        <v/>
      </c>
      <c r="AZ267" t="str">
        <f>IF('1. Live'!AZ267='check-Jul25'!AZ267,"",'1. Live'!AZ267-'check-Jul25'!AZ267)</f>
        <v/>
      </c>
      <c r="BA267" t="str">
        <f>IF('1. Live'!BA267='check-Jul25'!BA267,"",'1. Live'!BA267-'check-Jul25'!BA267)</f>
        <v/>
      </c>
      <c r="BB267" t="str">
        <f>IF('1. Live'!BB267='check-Jul25'!BB267,"",'1. Live'!BB267-'check-Jul25'!BB267)</f>
        <v/>
      </c>
      <c r="BC267" t="str">
        <f>IF('1. Live'!BC267='check-Jul25'!BC267,"",'1. Live'!BC267-'check-Jul25'!BC267)</f>
        <v/>
      </c>
      <c r="BD267" t="str">
        <f>IF('1. Live'!BD267='check-Jul25'!BD267,"",'1. Live'!BD267-'check-Jul25'!BD267)</f>
        <v/>
      </c>
      <c r="BE267" t="str">
        <f>IF('1. Live'!BE267='check-Jul25'!BE267,"",'1. Live'!BE267-'check-Jul25'!BE267)</f>
        <v/>
      </c>
      <c r="BF267" t="str">
        <f>IF('1. Live'!BF267='check-Jul25'!BF267,"",'1. Live'!BF267-'check-Jul25'!BF267)</f>
        <v/>
      </c>
      <c r="BG267" t="str">
        <f>IF('1. Live'!BG267='check-Jul25'!BG267,"",'1. Live'!BG267-'check-Jul25'!BG267)</f>
        <v/>
      </c>
      <c r="BH267" t="str">
        <f>IF('1. Live'!BH267='check-Jul25'!BH267,"",'1. Live'!BH267-'check-Jul25'!BH267)</f>
        <v/>
      </c>
      <c r="BI267" t="str">
        <f>IF('1. Live'!BI267='check-Jul25'!BI267,"",'1. Live'!BI267-'check-Jul25'!BI267)</f>
        <v/>
      </c>
      <c r="BJ267" t="str">
        <f>IF('1. Live'!BJ267='check-Jul25'!BJ267,"",'1. Live'!BJ267-'check-Jul25'!BJ267)</f>
        <v/>
      </c>
      <c r="BK267" t="str">
        <f>IF('1. Live'!BK267='check-Jul25'!BK267,"",'1. Live'!BK267-'check-Jul25'!BK267)</f>
        <v/>
      </c>
      <c r="BL267" t="str">
        <f>IF('1. Live'!BL267='check-Jul25'!BL267,"",'1. Live'!BL267-'check-Jul25'!BL267)</f>
        <v/>
      </c>
      <c r="BM267" t="str">
        <f>IF('1. Live'!BM267='check-Jul25'!BM267,"",'1. Live'!BM267-'check-Jul25'!BM267)</f>
        <v/>
      </c>
      <c r="BN267" t="str">
        <f>IF('1. Live'!BN267='check-Jul25'!BN267,"",'1. Live'!BN267-'check-Jul25'!BN267)</f>
        <v/>
      </c>
      <c r="BO267" t="str">
        <f>IF('1. Live'!BO267='check-Jul25'!BO267,"",'1. Live'!BO267-'check-Jul25'!BO267)</f>
        <v/>
      </c>
      <c r="BP267" t="str">
        <f>IF('1. Live'!BP267='check-Jul25'!BP267,"",'1. Live'!BP267-'check-Jul25'!BP267)</f>
        <v/>
      </c>
      <c r="BQ267" t="str">
        <f>IF('1. Live'!BQ267='check-Jul25'!BQ267,"",'1. Live'!BQ267-'check-Jul25'!BQ267)</f>
        <v/>
      </c>
      <c r="BR267" t="str">
        <f>IF('1. Live'!BR267='check-Jul25'!BR267,"",'1. Live'!BR267-'check-Jul25'!BR267)</f>
        <v/>
      </c>
      <c r="BS267" t="str">
        <f>IF('1. Live'!BS267='check-Jul25'!BS267,"",'1. Live'!BS267-'check-Jul25'!BS267)</f>
        <v/>
      </c>
      <c r="BT267" t="str">
        <f>IF('1. Live'!BT267='check-Jul25'!BT267,"",'1. Live'!BT267-'check-Jul25'!BT267)</f>
        <v/>
      </c>
      <c r="BU267" t="str">
        <f>IF('1. Live'!BU267='check-Jul25'!BU267,"",'1. Live'!BU267-'check-Jul25'!BU267)</f>
        <v/>
      </c>
      <c r="BV267" t="str">
        <f>IF('1. Live'!BV267='check-Jul25'!BV267,"",'1. Live'!BV267-'check-Jul25'!BV267)</f>
        <v/>
      </c>
      <c r="BW267" t="str">
        <f>IF('1. Live'!BW267='check-Jul25'!BW267,"",'1. Live'!BW267-'check-Jul25'!BW267)</f>
        <v/>
      </c>
      <c r="BX267" t="str">
        <f>IF('1. Live'!BX267='check-Jul25'!BX267,"",'1. Live'!BX267-'check-Jul25'!BX267)</f>
        <v/>
      </c>
      <c r="BY267" t="str">
        <f>IF('1. Live'!BY267='check-Jul25'!BY267,"",'1. Live'!BY267-'check-Jul25'!BY267)</f>
        <v/>
      </c>
      <c r="BZ267" t="str">
        <f>IF('1. Live'!BZ267='check-Jul25'!BZ267,"",'1. Live'!BZ267-'check-Jul25'!BZ267)</f>
        <v/>
      </c>
      <c r="CA267" t="str">
        <f>IF('1. Live'!CA267='check-Jul25'!CA267,"",'1. Live'!CA267-'check-Jul25'!CA267)</f>
        <v/>
      </c>
      <c r="CB267" t="str">
        <f>IF('1. Live'!CB267='check-Jul25'!CB267,"",'1. Live'!CB267-'check-Jul25'!CB267)</f>
        <v/>
      </c>
      <c r="CC267" t="str">
        <f>IF('1. Live'!CC267='check-Jul25'!CC267,"",'1. Live'!CC267-'check-Jul25'!CC267)</f>
        <v/>
      </c>
      <c r="CD267" t="str">
        <f>IF('1. Live'!CD267='check-Jul25'!CD267,"",'1. Live'!CD267-'check-Jul25'!CD267)</f>
        <v/>
      </c>
      <c r="CE267" t="str">
        <f>IF('1. Live'!CE267='check-Jul25'!CE267,"",'1. Live'!CE267-'check-Jul25'!CE267)</f>
        <v/>
      </c>
      <c r="CF267" t="str">
        <f>IF('1. Live'!CF267='check-Jul25'!CF267,"",'1. Live'!CF267-'check-Jul25'!CF267)</f>
        <v/>
      </c>
      <c r="CG267" t="str">
        <f>IF('1. Live'!CG267='check-Jul25'!CG267,"",'1. Live'!CG267-'check-Jul25'!CG267)</f>
        <v/>
      </c>
      <c r="CH267" t="str">
        <f>IF('1. Live'!CH267='check-Jul25'!CH267,"",'1. Live'!CH267-'check-Jul25'!CH267)</f>
        <v/>
      </c>
      <c r="CI267" t="str">
        <f>IF('1. Live'!CI267='check-Jul25'!CI267,"",'1. Live'!CI267-'check-Jul25'!CI267)</f>
        <v/>
      </c>
      <c r="CJ267" t="str">
        <f>IF('1. Live'!CJ267='check-Jul25'!CJ267,"",'1. Live'!CJ267-'check-Jul25'!CJ267)</f>
        <v/>
      </c>
      <c r="CK267" t="str">
        <f>IF('1. Live'!CK267='check-Jul25'!CK267,"",'1. Live'!CK267-'check-Jul25'!CK267)</f>
        <v/>
      </c>
      <c r="CL267" t="str">
        <f>IF('1. Live'!CL267='check-Jul25'!CL267,"",'1. Live'!CL267-'check-Jul25'!CL267)</f>
        <v/>
      </c>
      <c r="CM267" t="str">
        <f>IF('1. Live'!CM267='check-Jul25'!CM267,"",'1. Live'!CM267-'check-Jul25'!CM267)</f>
        <v/>
      </c>
      <c r="CN267" t="str">
        <f>IF('1. Live'!CN267='check-Jul25'!CN267,"",'1. Live'!CN267-'check-Jul25'!CN267)</f>
        <v/>
      </c>
      <c r="CO267" t="str">
        <f>IF('1. Live'!CO267='check-Jul25'!CO267,"",'1. Live'!CO267-'check-Jul25'!CO267)</f>
        <v/>
      </c>
      <c r="CP267" t="str">
        <f>IF('1. Live'!CP267='check-Jul25'!CP267,"",'1. Live'!CP267-'check-Jul25'!CP267)</f>
        <v/>
      </c>
      <c r="CQ267" t="str">
        <f>IF('1. Live'!CQ267='check-Jul25'!CQ267,"",'1. Live'!CQ267-'check-Jul25'!CQ267)</f>
        <v/>
      </c>
      <c r="CR267" t="str">
        <f>IF('1. Live'!CR267='check-Jul25'!CR267,"",'1. Live'!CR267-'check-Jul25'!CR267)</f>
        <v/>
      </c>
      <c r="CS267" t="str">
        <f>IF('1. Live'!CS267='check-Jul25'!CS267,"",'1. Live'!CS267-'check-Jul25'!CS267)</f>
        <v/>
      </c>
      <c r="CT267" t="str">
        <f>IF('1. Live'!CT267='check-Jul25'!CT267,"",'1. Live'!CT267-'check-Jul25'!CT267)</f>
        <v/>
      </c>
      <c r="CU267" t="str">
        <f>IF('1. Live'!CU267='check-Jul25'!CU267,"",'1. Live'!CU267-'check-Jul25'!CU267)</f>
        <v/>
      </c>
      <c r="CV267" t="str">
        <f>IF('1. Live'!CV267='check-Jul25'!CV267,"",'1. Live'!CV267-'check-Jul25'!CV267)</f>
        <v/>
      </c>
      <c r="CW267" t="str">
        <f>IF('1. Live'!CW267='check-Jul25'!CW267,"",'1. Live'!CW267-'check-Jul25'!CW267)</f>
        <v/>
      </c>
    </row>
    <row r="268" spans="10:101">
      <c r="J268" t="str">
        <f>IF('1. Live'!J268='check-Jul25'!J268,"",'1. Live'!J268-'check-Jul25'!J268)</f>
        <v/>
      </c>
      <c r="K268" t="str">
        <f>IF('1. Live'!K268='check-Jul25'!K268,"",'1. Live'!K268-'check-Jul25'!K268)</f>
        <v/>
      </c>
      <c r="L268" t="str">
        <f>IF('1. Live'!L268='check-Jul25'!L268,"",'1. Live'!L268-'check-Jul25'!L268)</f>
        <v/>
      </c>
      <c r="M268" t="str">
        <f>IF('1. Live'!M268='check-Jul25'!M268,"",'1. Live'!M268-'check-Jul25'!M268)</f>
        <v/>
      </c>
      <c r="N268" t="str">
        <f>IF('1. Live'!N268='check-Jul25'!N268,"",'1. Live'!N268-'check-Jul25'!N268)</f>
        <v/>
      </c>
      <c r="O268" t="str">
        <f>IF('1. Live'!O268='check-Jul25'!O268,"",'1. Live'!O268-'check-Jul25'!O268)</f>
        <v/>
      </c>
      <c r="P268" t="str">
        <f>IF('1. Live'!P268='check-Jul25'!P268,"",'1. Live'!P268-'check-Jul25'!P268)</f>
        <v/>
      </c>
      <c r="Q268" t="str">
        <f>IF('1. Live'!Q268='check-Jul25'!Q268,"",'1. Live'!Q268-'check-Jul25'!Q268)</f>
        <v/>
      </c>
      <c r="R268" t="str">
        <f>IF('1. Live'!R268='check-Jul25'!R268,"",'1. Live'!R268-'check-Jul25'!R268)</f>
        <v/>
      </c>
      <c r="S268" t="str">
        <f>IF('1. Live'!S268='check-Jul25'!S268,"",'1. Live'!S268-'check-Jul25'!S268)</f>
        <v/>
      </c>
      <c r="T268" t="str">
        <f>IF('1. Live'!T268='check-Jul25'!T268,"",'1. Live'!T268-'check-Jul25'!T268)</f>
        <v/>
      </c>
      <c r="U268" t="str">
        <f>IF('1. Live'!U268='check-Jul25'!U268,"",'1. Live'!U268-'check-Jul25'!U268)</f>
        <v/>
      </c>
      <c r="V268" t="str">
        <f>IF('1. Live'!V268='check-Jul25'!V268,"",'1. Live'!V268-'check-Jul25'!V268)</f>
        <v/>
      </c>
      <c r="W268" t="str">
        <f>IF('1. Live'!W268='check-Jul25'!W268,"",'1. Live'!W268-'check-Jul25'!W268)</f>
        <v/>
      </c>
      <c r="X268" t="str">
        <f>IF('1. Live'!X268='check-Jul25'!X268,"",'1. Live'!X268-'check-Jul25'!X268)</f>
        <v/>
      </c>
      <c r="Y268" t="str">
        <f>IF('1. Live'!Y268='check-Jul25'!Y268,"",'1. Live'!Y268-'check-Jul25'!Y268)</f>
        <v/>
      </c>
      <c r="Z268" t="str">
        <f>IF('1. Live'!Z268='check-Jul25'!Z268,"",'1. Live'!Z268-'check-Jul25'!Z268)</f>
        <v/>
      </c>
      <c r="AA268" t="str">
        <f>IF('1. Live'!AA268='check-Jul25'!AA268,"",'1. Live'!AA268-'check-Jul25'!AA268)</f>
        <v/>
      </c>
      <c r="AB268" t="str">
        <f>IF('1. Live'!AB268='check-Jul25'!AB268,"",'1. Live'!AB268-'check-Jul25'!AB268)</f>
        <v/>
      </c>
      <c r="AC268" t="str">
        <f>IF('1. Live'!AC268='check-Jul25'!AC268,"",'1. Live'!AC268-'check-Jul25'!AC268)</f>
        <v/>
      </c>
      <c r="AD268" t="str">
        <f>IF('1. Live'!AD268='check-Jul25'!AD268,"",'1. Live'!AD268-'check-Jul25'!AD268)</f>
        <v/>
      </c>
      <c r="AE268" t="str">
        <f>IF('1. Live'!AE268='check-Jul25'!AE268,"",'1. Live'!AE268-'check-Jul25'!AE268)</f>
        <v/>
      </c>
      <c r="AF268" t="str">
        <f>IF('1. Live'!AF268='check-Jul25'!AF268,"",'1. Live'!AF268-'check-Jul25'!AF268)</f>
        <v/>
      </c>
      <c r="AG268" t="str">
        <f>IF('1. Live'!AG268='check-Jul25'!AG268,"",'1. Live'!AG268-'check-Jul25'!AG268)</f>
        <v/>
      </c>
      <c r="AH268" t="str">
        <f>IF('1. Live'!AH268='check-Jul25'!AH268,"",'1. Live'!AH268-'check-Jul25'!AH268)</f>
        <v/>
      </c>
      <c r="AI268" t="str">
        <f>IF('1. Live'!AI268='check-Jul25'!AI268,"",'1. Live'!AI268-'check-Jul25'!AI268)</f>
        <v/>
      </c>
      <c r="AJ268" t="str">
        <f>IF('1. Live'!AJ268='check-Jul25'!AJ268,"",'1. Live'!AJ268-'check-Jul25'!AJ268)</f>
        <v/>
      </c>
      <c r="AK268" t="str">
        <f>IF('1. Live'!AK268='check-Jul25'!AK268,"",'1. Live'!AK268-'check-Jul25'!AK268)</f>
        <v/>
      </c>
      <c r="AL268" t="str">
        <f>IF('1. Live'!AL268='check-Jul25'!AL268,"",'1. Live'!AL268-'check-Jul25'!AL268)</f>
        <v/>
      </c>
      <c r="AM268" t="str">
        <f>IF('1. Live'!AM268='check-Jul25'!AM268,"",'1. Live'!AM268-'check-Jul25'!AM268)</f>
        <v/>
      </c>
      <c r="AN268" t="str">
        <f>IF('1. Live'!AN268='check-Jul25'!AN268,"",'1. Live'!AN268-'check-Jul25'!AN268)</f>
        <v/>
      </c>
      <c r="AO268" t="str">
        <f>IF('1. Live'!AO268='check-Jul25'!AO268,"",'1. Live'!AO268-'check-Jul25'!AO268)</f>
        <v/>
      </c>
      <c r="AP268" t="str">
        <f>IF('1. Live'!AP268='check-Jul25'!AP268,"",'1. Live'!AP268-'check-Jul25'!AP268)</f>
        <v/>
      </c>
      <c r="AQ268" t="str">
        <f>IF('1. Live'!AQ268='check-Jul25'!AQ268,"",'1. Live'!AQ268-'check-Jul25'!AQ268)</f>
        <v/>
      </c>
      <c r="AR268" t="str">
        <f>IF('1. Live'!AR268='check-Jul25'!AR268,"",'1. Live'!AR268-'check-Jul25'!AR268)</f>
        <v/>
      </c>
      <c r="AS268" t="str">
        <f>IF('1. Live'!AS268='check-Jul25'!AS268,"",'1. Live'!AS268-'check-Jul25'!AS268)</f>
        <v/>
      </c>
      <c r="AT268" t="str">
        <f>IF('1. Live'!AT268='check-Jul25'!AT268,"",'1. Live'!AT268-'check-Jul25'!AT268)</f>
        <v/>
      </c>
      <c r="AU268" t="str">
        <f>IF('1. Live'!AU268='check-Jul25'!AU268,"",'1. Live'!AU268-'check-Jul25'!AU268)</f>
        <v/>
      </c>
      <c r="AV268" t="str">
        <f>IF('1. Live'!AV268='check-Jul25'!AV268,"",'1. Live'!AV268-'check-Jul25'!AV268)</f>
        <v/>
      </c>
      <c r="AW268" t="str">
        <f>IF('1. Live'!AW268='check-Jul25'!AW268,"",'1. Live'!AW268-'check-Jul25'!AW268)</f>
        <v/>
      </c>
      <c r="AX268" t="str">
        <f>IF('1. Live'!AX268='check-Jul25'!AX268,"",'1. Live'!AX268-'check-Jul25'!AX268)</f>
        <v/>
      </c>
      <c r="AY268" t="str">
        <f>IF('1. Live'!AY268='check-Jul25'!AY268,"",'1. Live'!AY268-'check-Jul25'!AY268)</f>
        <v/>
      </c>
      <c r="AZ268" t="str">
        <f>IF('1. Live'!AZ268='check-Jul25'!AZ268,"",'1. Live'!AZ268-'check-Jul25'!AZ268)</f>
        <v/>
      </c>
      <c r="BA268" t="str">
        <f>IF('1. Live'!BA268='check-Jul25'!BA268,"",'1. Live'!BA268-'check-Jul25'!BA268)</f>
        <v/>
      </c>
      <c r="BB268" t="str">
        <f>IF('1. Live'!BB268='check-Jul25'!BB268,"",'1. Live'!BB268-'check-Jul25'!BB268)</f>
        <v/>
      </c>
      <c r="BC268" t="str">
        <f>IF('1. Live'!BC268='check-Jul25'!BC268,"",'1. Live'!BC268-'check-Jul25'!BC268)</f>
        <v/>
      </c>
      <c r="BD268" t="str">
        <f>IF('1. Live'!BD268='check-Jul25'!BD268,"",'1. Live'!BD268-'check-Jul25'!BD268)</f>
        <v/>
      </c>
      <c r="BE268" t="str">
        <f>IF('1. Live'!BE268='check-Jul25'!BE268,"",'1. Live'!BE268-'check-Jul25'!BE268)</f>
        <v/>
      </c>
      <c r="BF268" t="str">
        <f>IF('1. Live'!BF268='check-Jul25'!BF268,"",'1. Live'!BF268-'check-Jul25'!BF268)</f>
        <v/>
      </c>
      <c r="BG268" t="str">
        <f>IF('1. Live'!BG268='check-Jul25'!BG268,"",'1. Live'!BG268-'check-Jul25'!BG268)</f>
        <v/>
      </c>
      <c r="BH268" t="str">
        <f>IF('1. Live'!BH268='check-Jul25'!BH268,"",'1. Live'!BH268-'check-Jul25'!BH268)</f>
        <v/>
      </c>
      <c r="BI268" t="str">
        <f>IF('1. Live'!BI268='check-Jul25'!BI268,"",'1. Live'!BI268-'check-Jul25'!BI268)</f>
        <v/>
      </c>
      <c r="BJ268" t="str">
        <f>IF('1. Live'!BJ268='check-Jul25'!BJ268,"",'1. Live'!BJ268-'check-Jul25'!BJ268)</f>
        <v/>
      </c>
      <c r="BK268" t="str">
        <f>IF('1. Live'!BK268='check-Jul25'!BK268,"",'1. Live'!BK268-'check-Jul25'!BK268)</f>
        <v/>
      </c>
      <c r="BL268" t="str">
        <f>IF('1. Live'!BL268='check-Jul25'!BL268,"",'1. Live'!BL268-'check-Jul25'!BL268)</f>
        <v/>
      </c>
      <c r="BM268" t="str">
        <f>IF('1. Live'!BM268='check-Jul25'!BM268,"",'1. Live'!BM268-'check-Jul25'!BM268)</f>
        <v/>
      </c>
      <c r="BN268" t="str">
        <f>IF('1. Live'!BN268='check-Jul25'!BN268,"",'1. Live'!BN268-'check-Jul25'!BN268)</f>
        <v/>
      </c>
      <c r="BO268" t="str">
        <f>IF('1. Live'!BO268='check-Jul25'!BO268,"",'1. Live'!BO268-'check-Jul25'!BO268)</f>
        <v/>
      </c>
      <c r="BP268" t="str">
        <f>IF('1. Live'!BP268='check-Jul25'!BP268,"",'1. Live'!BP268-'check-Jul25'!BP268)</f>
        <v/>
      </c>
      <c r="BQ268" t="str">
        <f>IF('1. Live'!BQ268='check-Jul25'!BQ268,"",'1. Live'!BQ268-'check-Jul25'!BQ268)</f>
        <v/>
      </c>
      <c r="BR268" t="str">
        <f>IF('1. Live'!BR268='check-Jul25'!BR268,"",'1. Live'!BR268-'check-Jul25'!BR268)</f>
        <v/>
      </c>
      <c r="BS268" t="str">
        <f>IF('1. Live'!BS268='check-Jul25'!BS268,"",'1. Live'!BS268-'check-Jul25'!BS268)</f>
        <v/>
      </c>
      <c r="BT268" t="str">
        <f>IF('1. Live'!BT268='check-Jul25'!BT268,"",'1. Live'!BT268-'check-Jul25'!BT268)</f>
        <v/>
      </c>
      <c r="BU268" t="str">
        <f>IF('1. Live'!BU268='check-Jul25'!BU268,"",'1. Live'!BU268-'check-Jul25'!BU268)</f>
        <v/>
      </c>
      <c r="BV268" t="str">
        <f>IF('1. Live'!BV268='check-Jul25'!BV268,"",'1. Live'!BV268-'check-Jul25'!BV268)</f>
        <v/>
      </c>
      <c r="BW268" t="str">
        <f>IF('1. Live'!BW268='check-Jul25'!BW268,"",'1. Live'!BW268-'check-Jul25'!BW268)</f>
        <v/>
      </c>
      <c r="BX268" t="str">
        <f>IF('1. Live'!BX268='check-Jul25'!BX268,"",'1. Live'!BX268-'check-Jul25'!BX268)</f>
        <v/>
      </c>
      <c r="BY268" t="str">
        <f>IF('1. Live'!BY268='check-Jul25'!BY268,"",'1. Live'!BY268-'check-Jul25'!BY268)</f>
        <v/>
      </c>
      <c r="BZ268" t="str">
        <f>IF('1. Live'!BZ268='check-Jul25'!BZ268,"",'1. Live'!BZ268-'check-Jul25'!BZ268)</f>
        <v/>
      </c>
      <c r="CA268" t="str">
        <f>IF('1. Live'!CA268='check-Jul25'!CA268,"",'1. Live'!CA268-'check-Jul25'!CA268)</f>
        <v/>
      </c>
      <c r="CB268" t="str">
        <f>IF('1. Live'!CB268='check-Jul25'!CB268,"",'1. Live'!CB268-'check-Jul25'!CB268)</f>
        <v/>
      </c>
      <c r="CC268" t="str">
        <f>IF('1. Live'!CC268='check-Jul25'!CC268,"",'1. Live'!CC268-'check-Jul25'!CC268)</f>
        <v/>
      </c>
      <c r="CD268" t="str">
        <f>IF('1. Live'!CD268='check-Jul25'!CD268,"",'1. Live'!CD268-'check-Jul25'!CD268)</f>
        <v/>
      </c>
      <c r="CE268" t="str">
        <f>IF('1. Live'!CE268='check-Jul25'!CE268,"",'1. Live'!CE268-'check-Jul25'!CE268)</f>
        <v/>
      </c>
      <c r="CF268" t="str">
        <f>IF('1. Live'!CF268='check-Jul25'!CF268,"",'1. Live'!CF268-'check-Jul25'!CF268)</f>
        <v/>
      </c>
      <c r="CG268" t="str">
        <f>IF('1. Live'!CG268='check-Jul25'!CG268,"",'1. Live'!CG268-'check-Jul25'!CG268)</f>
        <v/>
      </c>
      <c r="CH268" t="str">
        <f>IF('1. Live'!CH268='check-Jul25'!CH268,"",'1. Live'!CH268-'check-Jul25'!CH268)</f>
        <v/>
      </c>
      <c r="CI268" t="str">
        <f>IF('1. Live'!CI268='check-Jul25'!CI268,"",'1. Live'!CI268-'check-Jul25'!CI268)</f>
        <v/>
      </c>
      <c r="CJ268" t="str">
        <f>IF('1. Live'!CJ268='check-Jul25'!CJ268,"",'1. Live'!CJ268-'check-Jul25'!CJ268)</f>
        <v/>
      </c>
      <c r="CK268" t="str">
        <f>IF('1. Live'!CK268='check-Jul25'!CK268,"",'1. Live'!CK268-'check-Jul25'!CK268)</f>
        <v/>
      </c>
      <c r="CL268" t="str">
        <f>IF('1. Live'!CL268='check-Jul25'!CL268,"",'1. Live'!CL268-'check-Jul25'!CL268)</f>
        <v/>
      </c>
      <c r="CM268" t="str">
        <f>IF('1. Live'!CM268='check-Jul25'!CM268,"",'1. Live'!CM268-'check-Jul25'!CM268)</f>
        <v/>
      </c>
      <c r="CN268" t="str">
        <f>IF('1. Live'!CN268='check-Jul25'!CN268,"",'1. Live'!CN268-'check-Jul25'!CN268)</f>
        <v/>
      </c>
      <c r="CO268" t="str">
        <f>IF('1. Live'!CO268='check-Jul25'!CO268,"",'1. Live'!CO268-'check-Jul25'!CO268)</f>
        <v/>
      </c>
      <c r="CP268" t="str">
        <f>IF('1. Live'!CP268='check-Jul25'!CP268,"",'1. Live'!CP268-'check-Jul25'!CP268)</f>
        <v/>
      </c>
      <c r="CQ268" t="str">
        <f>IF('1. Live'!CQ268='check-Jul25'!CQ268,"",'1. Live'!CQ268-'check-Jul25'!CQ268)</f>
        <v/>
      </c>
      <c r="CR268" t="str">
        <f>IF('1. Live'!CR268='check-Jul25'!CR268,"",'1. Live'!CR268-'check-Jul25'!CR268)</f>
        <v/>
      </c>
      <c r="CS268" t="str">
        <f>IF('1. Live'!CS268='check-Jul25'!CS268,"",'1. Live'!CS268-'check-Jul25'!CS268)</f>
        <v/>
      </c>
      <c r="CT268" t="str">
        <f>IF('1. Live'!CT268='check-Jul25'!CT268,"",'1. Live'!CT268-'check-Jul25'!CT268)</f>
        <v/>
      </c>
      <c r="CU268" t="str">
        <f>IF('1. Live'!CU268='check-Jul25'!CU268,"",'1. Live'!CU268-'check-Jul25'!CU268)</f>
        <v/>
      </c>
      <c r="CV268" t="str">
        <f>IF('1. Live'!CV268='check-Jul25'!CV268,"",'1. Live'!CV268-'check-Jul25'!CV268)</f>
        <v/>
      </c>
      <c r="CW268" t="str">
        <f>IF('1. Live'!CW268='check-Jul25'!CW268,"",'1. Live'!CW268-'check-Jul25'!CW268)</f>
        <v/>
      </c>
    </row>
    <row r="269" spans="10:101">
      <c r="J269" t="str">
        <f>IF('1. Live'!J269='check-Jul25'!J269,"",'1. Live'!J269-'check-Jul25'!J269)</f>
        <v/>
      </c>
      <c r="K269" t="str">
        <f>IF('1. Live'!K269='check-Jul25'!K269,"",'1. Live'!K269-'check-Jul25'!K269)</f>
        <v/>
      </c>
      <c r="L269" t="str">
        <f>IF('1. Live'!L269='check-Jul25'!L269,"",'1. Live'!L269-'check-Jul25'!L269)</f>
        <v/>
      </c>
      <c r="M269" t="str">
        <f>IF('1. Live'!M269='check-Jul25'!M269,"",'1. Live'!M269-'check-Jul25'!M269)</f>
        <v/>
      </c>
      <c r="N269" t="str">
        <f>IF('1. Live'!N269='check-Jul25'!N269,"",'1. Live'!N269-'check-Jul25'!N269)</f>
        <v/>
      </c>
      <c r="O269" t="str">
        <f>IF('1. Live'!O269='check-Jul25'!O269,"",'1. Live'!O269-'check-Jul25'!O269)</f>
        <v/>
      </c>
      <c r="P269" t="str">
        <f>IF('1. Live'!P269='check-Jul25'!P269,"",'1. Live'!P269-'check-Jul25'!P269)</f>
        <v/>
      </c>
      <c r="Q269" t="str">
        <f>IF('1. Live'!Q269='check-Jul25'!Q269,"",'1. Live'!Q269-'check-Jul25'!Q269)</f>
        <v/>
      </c>
      <c r="R269" t="str">
        <f>IF('1. Live'!R269='check-Jul25'!R269,"",'1. Live'!R269-'check-Jul25'!R269)</f>
        <v/>
      </c>
      <c r="S269" t="str">
        <f>IF('1. Live'!S269='check-Jul25'!S269,"",'1. Live'!S269-'check-Jul25'!S269)</f>
        <v/>
      </c>
      <c r="T269" t="str">
        <f>IF('1. Live'!T269='check-Jul25'!T269,"",'1. Live'!T269-'check-Jul25'!T269)</f>
        <v/>
      </c>
      <c r="U269" t="str">
        <f>IF('1. Live'!U269='check-Jul25'!U269,"",'1. Live'!U269-'check-Jul25'!U269)</f>
        <v/>
      </c>
      <c r="V269" t="str">
        <f>IF('1. Live'!V269='check-Jul25'!V269,"",'1. Live'!V269-'check-Jul25'!V269)</f>
        <v/>
      </c>
      <c r="W269" t="str">
        <f>IF('1. Live'!W269='check-Jul25'!W269,"",'1. Live'!W269-'check-Jul25'!W269)</f>
        <v/>
      </c>
      <c r="X269" t="str">
        <f>IF('1. Live'!X269='check-Jul25'!X269,"",'1. Live'!X269-'check-Jul25'!X269)</f>
        <v/>
      </c>
      <c r="Y269" t="str">
        <f>IF('1. Live'!Y269='check-Jul25'!Y269,"",'1. Live'!Y269-'check-Jul25'!Y269)</f>
        <v/>
      </c>
      <c r="Z269" t="str">
        <f>IF('1. Live'!Z269='check-Jul25'!Z269,"",'1. Live'!Z269-'check-Jul25'!Z269)</f>
        <v/>
      </c>
      <c r="AA269" t="str">
        <f>IF('1. Live'!AA269='check-Jul25'!AA269,"",'1. Live'!AA269-'check-Jul25'!AA269)</f>
        <v/>
      </c>
      <c r="AB269" t="str">
        <f>IF('1. Live'!AB269='check-Jul25'!AB269,"",'1. Live'!AB269-'check-Jul25'!AB269)</f>
        <v/>
      </c>
      <c r="AC269" t="str">
        <f>IF('1. Live'!AC269='check-Jul25'!AC269,"",'1. Live'!AC269-'check-Jul25'!AC269)</f>
        <v/>
      </c>
      <c r="AD269" t="str">
        <f>IF('1. Live'!AD269='check-Jul25'!AD269,"",'1. Live'!AD269-'check-Jul25'!AD269)</f>
        <v/>
      </c>
      <c r="AE269" t="str">
        <f>IF('1. Live'!AE269='check-Jul25'!AE269,"",'1. Live'!AE269-'check-Jul25'!AE269)</f>
        <v/>
      </c>
      <c r="AF269" t="str">
        <f>IF('1. Live'!AF269='check-Jul25'!AF269,"",'1. Live'!AF269-'check-Jul25'!AF269)</f>
        <v/>
      </c>
      <c r="AG269" t="str">
        <f>IF('1. Live'!AG269='check-Jul25'!AG269,"",'1. Live'!AG269-'check-Jul25'!AG269)</f>
        <v/>
      </c>
      <c r="AH269" t="str">
        <f>IF('1. Live'!AH269='check-Jul25'!AH269,"",'1. Live'!AH269-'check-Jul25'!AH269)</f>
        <v/>
      </c>
      <c r="AI269" t="str">
        <f>IF('1. Live'!AI269='check-Jul25'!AI269,"",'1. Live'!AI269-'check-Jul25'!AI269)</f>
        <v/>
      </c>
      <c r="AJ269" t="str">
        <f>IF('1. Live'!AJ269='check-Jul25'!AJ269,"",'1. Live'!AJ269-'check-Jul25'!AJ269)</f>
        <v/>
      </c>
      <c r="AK269" t="str">
        <f>IF('1. Live'!AK269='check-Jul25'!AK269,"",'1. Live'!AK269-'check-Jul25'!AK269)</f>
        <v/>
      </c>
      <c r="AL269" t="str">
        <f>IF('1. Live'!AL269='check-Jul25'!AL269,"",'1. Live'!AL269-'check-Jul25'!AL269)</f>
        <v/>
      </c>
      <c r="AM269" t="str">
        <f>IF('1. Live'!AM269='check-Jul25'!AM269,"",'1. Live'!AM269-'check-Jul25'!AM269)</f>
        <v/>
      </c>
      <c r="AN269" t="str">
        <f>IF('1. Live'!AN269='check-Jul25'!AN269,"",'1. Live'!AN269-'check-Jul25'!AN269)</f>
        <v/>
      </c>
      <c r="AO269" t="str">
        <f>IF('1. Live'!AO269='check-Jul25'!AO269,"",'1. Live'!AO269-'check-Jul25'!AO269)</f>
        <v/>
      </c>
      <c r="AP269" t="str">
        <f>IF('1. Live'!AP269='check-Jul25'!AP269,"",'1. Live'!AP269-'check-Jul25'!AP269)</f>
        <v/>
      </c>
      <c r="AQ269" t="str">
        <f>IF('1. Live'!AQ269='check-Jul25'!AQ269,"",'1. Live'!AQ269-'check-Jul25'!AQ269)</f>
        <v/>
      </c>
      <c r="AR269" t="str">
        <f>IF('1. Live'!AR269='check-Jul25'!AR269,"",'1. Live'!AR269-'check-Jul25'!AR269)</f>
        <v/>
      </c>
      <c r="AS269" t="str">
        <f>IF('1. Live'!AS269='check-Jul25'!AS269,"",'1. Live'!AS269-'check-Jul25'!AS269)</f>
        <v/>
      </c>
      <c r="AT269" t="str">
        <f>IF('1. Live'!AT269='check-Jul25'!AT269,"",'1. Live'!AT269-'check-Jul25'!AT269)</f>
        <v/>
      </c>
      <c r="AU269" t="str">
        <f>IF('1. Live'!AU269='check-Jul25'!AU269,"",'1. Live'!AU269-'check-Jul25'!AU269)</f>
        <v/>
      </c>
      <c r="AV269" t="str">
        <f>IF('1. Live'!AV269='check-Jul25'!AV269,"",'1. Live'!AV269-'check-Jul25'!AV269)</f>
        <v/>
      </c>
      <c r="AW269" t="str">
        <f>IF('1. Live'!AW269='check-Jul25'!AW269,"",'1. Live'!AW269-'check-Jul25'!AW269)</f>
        <v/>
      </c>
      <c r="AX269" t="str">
        <f>IF('1. Live'!AX269='check-Jul25'!AX269,"",'1. Live'!AX269-'check-Jul25'!AX269)</f>
        <v/>
      </c>
      <c r="AY269" t="str">
        <f>IF('1. Live'!AY269='check-Jul25'!AY269,"",'1. Live'!AY269-'check-Jul25'!AY269)</f>
        <v/>
      </c>
      <c r="AZ269" t="str">
        <f>IF('1. Live'!AZ269='check-Jul25'!AZ269,"",'1. Live'!AZ269-'check-Jul25'!AZ269)</f>
        <v/>
      </c>
      <c r="BA269" t="str">
        <f>IF('1. Live'!BA269='check-Jul25'!BA269,"",'1. Live'!BA269-'check-Jul25'!BA269)</f>
        <v/>
      </c>
      <c r="BB269" t="str">
        <f>IF('1. Live'!BB269='check-Jul25'!BB269,"",'1. Live'!BB269-'check-Jul25'!BB269)</f>
        <v/>
      </c>
      <c r="BC269" t="str">
        <f>IF('1. Live'!BC269='check-Jul25'!BC269,"",'1. Live'!BC269-'check-Jul25'!BC269)</f>
        <v/>
      </c>
      <c r="BD269" t="str">
        <f>IF('1. Live'!BD269='check-Jul25'!BD269,"",'1. Live'!BD269-'check-Jul25'!BD269)</f>
        <v/>
      </c>
      <c r="BE269" t="str">
        <f>IF('1. Live'!BE269='check-Jul25'!BE269,"",'1. Live'!BE269-'check-Jul25'!BE269)</f>
        <v/>
      </c>
      <c r="BF269" t="str">
        <f>IF('1. Live'!BF269='check-Jul25'!BF269,"",'1. Live'!BF269-'check-Jul25'!BF269)</f>
        <v/>
      </c>
      <c r="BG269" t="str">
        <f>IF('1. Live'!BG269='check-Jul25'!BG269,"",'1. Live'!BG269-'check-Jul25'!BG269)</f>
        <v/>
      </c>
      <c r="BH269" t="str">
        <f>IF('1. Live'!BH269='check-Jul25'!BH269,"",'1. Live'!BH269-'check-Jul25'!BH269)</f>
        <v/>
      </c>
      <c r="BI269" t="str">
        <f>IF('1. Live'!BI269='check-Jul25'!BI269,"",'1. Live'!BI269-'check-Jul25'!BI269)</f>
        <v/>
      </c>
      <c r="BJ269" t="str">
        <f>IF('1. Live'!BJ269='check-Jul25'!BJ269,"",'1. Live'!BJ269-'check-Jul25'!BJ269)</f>
        <v/>
      </c>
      <c r="BK269" t="str">
        <f>IF('1. Live'!BK269='check-Jul25'!BK269,"",'1. Live'!BK269-'check-Jul25'!BK269)</f>
        <v/>
      </c>
      <c r="BL269" t="str">
        <f>IF('1. Live'!BL269='check-Jul25'!BL269,"",'1. Live'!BL269-'check-Jul25'!BL269)</f>
        <v/>
      </c>
      <c r="BM269" t="str">
        <f>IF('1. Live'!BM269='check-Jul25'!BM269,"",'1. Live'!BM269-'check-Jul25'!BM269)</f>
        <v/>
      </c>
      <c r="BN269" t="str">
        <f>IF('1. Live'!BN269='check-Jul25'!BN269,"",'1. Live'!BN269-'check-Jul25'!BN269)</f>
        <v/>
      </c>
      <c r="BO269" t="str">
        <f>IF('1. Live'!BO269='check-Jul25'!BO269,"",'1. Live'!BO269-'check-Jul25'!BO269)</f>
        <v/>
      </c>
      <c r="BP269" t="str">
        <f>IF('1. Live'!BP269='check-Jul25'!BP269,"",'1. Live'!BP269-'check-Jul25'!BP269)</f>
        <v/>
      </c>
      <c r="BQ269" t="str">
        <f>IF('1. Live'!BQ269='check-Jul25'!BQ269,"",'1. Live'!BQ269-'check-Jul25'!BQ269)</f>
        <v/>
      </c>
      <c r="BR269" t="str">
        <f>IF('1. Live'!BR269='check-Jul25'!BR269,"",'1. Live'!BR269-'check-Jul25'!BR269)</f>
        <v/>
      </c>
      <c r="BS269" t="str">
        <f>IF('1. Live'!BS269='check-Jul25'!BS269,"",'1. Live'!BS269-'check-Jul25'!BS269)</f>
        <v/>
      </c>
      <c r="BT269" t="str">
        <f>IF('1. Live'!BT269='check-Jul25'!BT269,"",'1. Live'!BT269-'check-Jul25'!BT269)</f>
        <v/>
      </c>
      <c r="BU269" t="str">
        <f>IF('1. Live'!BU269='check-Jul25'!BU269,"",'1. Live'!BU269-'check-Jul25'!BU269)</f>
        <v/>
      </c>
      <c r="BV269" t="str">
        <f>IF('1. Live'!BV269='check-Jul25'!BV269,"",'1. Live'!BV269-'check-Jul25'!BV269)</f>
        <v/>
      </c>
      <c r="BW269" t="str">
        <f>IF('1. Live'!BW269='check-Jul25'!BW269,"",'1. Live'!BW269-'check-Jul25'!BW269)</f>
        <v/>
      </c>
      <c r="BX269" t="str">
        <f>IF('1. Live'!BX269='check-Jul25'!BX269,"",'1. Live'!BX269-'check-Jul25'!BX269)</f>
        <v/>
      </c>
      <c r="BY269" t="str">
        <f>IF('1. Live'!BY269='check-Jul25'!BY269,"",'1. Live'!BY269-'check-Jul25'!BY269)</f>
        <v/>
      </c>
      <c r="BZ269" t="str">
        <f>IF('1. Live'!BZ269='check-Jul25'!BZ269,"",'1. Live'!BZ269-'check-Jul25'!BZ269)</f>
        <v/>
      </c>
      <c r="CA269" t="str">
        <f>IF('1. Live'!CA269='check-Jul25'!CA269,"",'1. Live'!CA269-'check-Jul25'!CA269)</f>
        <v/>
      </c>
      <c r="CB269" t="str">
        <f>IF('1. Live'!CB269='check-Jul25'!CB269,"",'1. Live'!CB269-'check-Jul25'!CB269)</f>
        <v/>
      </c>
      <c r="CC269" t="str">
        <f>IF('1. Live'!CC269='check-Jul25'!CC269,"",'1. Live'!CC269-'check-Jul25'!CC269)</f>
        <v/>
      </c>
      <c r="CD269" t="str">
        <f>IF('1. Live'!CD269='check-Jul25'!CD269,"",'1. Live'!CD269-'check-Jul25'!CD269)</f>
        <v/>
      </c>
      <c r="CE269" t="str">
        <f>IF('1. Live'!CE269='check-Jul25'!CE269,"",'1. Live'!CE269-'check-Jul25'!CE269)</f>
        <v/>
      </c>
      <c r="CF269" t="str">
        <f>IF('1. Live'!CF269='check-Jul25'!CF269,"",'1. Live'!CF269-'check-Jul25'!CF269)</f>
        <v/>
      </c>
      <c r="CG269" t="str">
        <f>IF('1. Live'!CG269='check-Jul25'!CG269,"",'1. Live'!CG269-'check-Jul25'!CG269)</f>
        <v/>
      </c>
      <c r="CH269" t="str">
        <f>IF('1. Live'!CH269='check-Jul25'!CH269,"",'1. Live'!CH269-'check-Jul25'!CH269)</f>
        <v/>
      </c>
      <c r="CI269" t="str">
        <f>IF('1. Live'!CI269='check-Jul25'!CI269,"",'1. Live'!CI269-'check-Jul25'!CI269)</f>
        <v/>
      </c>
      <c r="CJ269" t="str">
        <f>IF('1. Live'!CJ269='check-Jul25'!CJ269,"",'1. Live'!CJ269-'check-Jul25'!CJ269)</f>
        <v/>
      </c>
      <c r="CK269" t="str">
        <f>IF('1. Live'!CK269='check-Jul25'!CK269,"",'1. Live'!CK269-'check-Jul25'!CK269)</f>
        <v/>
      </c>
      <c r="CL269" t="str">
        <f>IF('1. Live'!CL269='check-Jul25'!CL269,"",'1. Live'!CL269-'check-Jul25'!CL269)</f>
        <v/>
      </c>
      <c r="CM269" t="str">
        <f>IF('1. Live'!CM269='check-Jul25'!CM269,"",'1. Live'!CM269-'check-Jul25'!CM269)</f>
        <v/>
      </c>
      <c r="CN269" t="str">
        <f>IF('1. Live'!CN269='check-Jul25'!CN269,"",'1. Live'!CN269-'check-Jul25'!CN269)</f>
        <v/>
      </c>
      <c r="CO269" t="str">
        <f>IF('1. Live'!CO269='check-Jul25'!CO269,"",'1. Live'!CO269-'check-Jul25'!CO269)</f>
        <v/>
      </c>
      <c r="CP269" t="str">
        <f>IF('1. Live'!CP269='check-Jul25'!CP269,"",'1. Live'!CP269-'check-Jul25'!CP269)</f>
        <v/>
      </c>
      <c r="CQ269" t="str">
        <f>IF('1. Live'!CQ269='check-Jul25'!CQ269,"",'1. Live'!CQ269-'check-Jul25'!CQ269)</f>
        <v/>
      </c>
      <c r="CR269" t="str">
        <f>IF('1. Live'!CR269='check-Jul25'!CR269,"",'1. Live'!CR269-'check-Jul25'!CR269)</f>
        <v/>
      </c>
      <c r="CS269" t="str">
        <f>IF('1. Live'!CS269='check-Jul25'!CS269,"",'1. Live'!CS269-'check-Jul25'!CS269)</f>
        <v/>
      </c>
      <c r="CT269" t="str">
        <f>IF('1. Live'!CT269='check-Jul25'!CT269,"",'1. Live'!CT269-'check-Jul25'!CT269)</f>
        <v/>
      </c>
      <c r="CU269" t="str">
        <f>IF('1. Live'!CU269='check-Jul25'!CU269,"",'1. Live'!CU269-'check-Jul25'!CU269)</f>
        <v/>
      </c>
      <c r="CV269" t="str">
        <f>IF('1. Live'!CV269='check-Jul25'!CV269,"",'1. Live'!CV269-'check-Jul25'!CV269)</f>
        <v/>
      </c>
      <c r="CW269" t="str">
        <f>IF('1. Live'!CW269='check-Jul25'!CW269,"",'1. Live'!CW269-'check-Jul25'!CW269)</f>
        <v/>
      </c>
    </row>
    <row r="270" spans="10:101">
      <c r="J270" t="str">
        <f>IF('1. Live'!J270='check-Jul25'!J270,"",'1. Live'!J270-'check-Jul25'!J270)</f>
        <v/>
      </c>
      <c r="K270" t="str">
        <f>IF('1. Live'!K270='check-Jul25'!K270,"",'1. Live'!K270-'check-Jul25'!K270)</f>
        <v/>
      </c>
      <c r="L270" t="str">
        <f>IF('1. Live'!L270='check-Jul25'!L270,"",'1. Live'!L270-'check-Jul25'!L270)</f>
        <v/>
      </c>
      <c r="M270" t="str">
        <f>IF('1. Live'!M270='check-Jul25'!M270,"",'1. Live'!M270-'check-Jul25'!M270)</f>
        <v/>
      </c>
      <c r="N270" t="str">
        <f>IF('1. Live'!N270='check-Jul25'!N270,"",'1. Live'!N270-'check-Jul25'!N270)</f>
        <v/>
      </c>
      <c r="O270" t="str">
        <f>IF('1. Live'!O270='check-Jul25'!O270,"",'1. Live'!O270-'check-Jul25'!O270)</f>
        <v/>
      </c>
      <c r="P270" t="str">
        <f>IF('1. Live'!P270='check-Jul25'!P270,"",'1. Live'!P270-'check-Jul25'!P270)</f>
        <v/>
      </c>
      <c r="Q270" t="str">
        <f>IF('1. Live'!Q270='check-Jul25'!Q270,"",'1. Live'!Q270-'check-Jul25'!Q270)</f>
        <v/>
      </c>
      <c r="R270" t="str">
        <f>IF('1. Live'!R270='check-Jul25'!R270,"",'1. Live'!R270-'check-Jul25'!R270)</f>
        <v/>
      </c>
      <c r="S270" t="str">
        <f>IF('1. Live'!S270='check-Jul25'!S270,"",'1. Live'!S270-'check-Jul25'!S270)</f>
        <v/>
      </c>
      <c r="T270" t="str">
        <f>IF('1. Live'!T270='check-Jul25'!T270,"",'1. Live'!T270-'check-Jul25'!T270)</f>
        <v/>
      </c>
      <c r="U270" t="str">
        <f>IF('1. Live'!U270='check-Jul25'!U270,"",'1. Live'!U270-'check-Jul25'!U270)</f>
        <v/>
      </c>
      <c r="V270" t="str">
        <f>IF('1. Live'!V270='check-Jul25'!V270,"",'1. Live'!V270-'check-Jul25'!V270)</f>
        <v/>
      </c>
      <c r="W270" t="str">
        <f>IF('1. Live'!W270='check-Jul25'!W270,"",'1. Live'!W270-'check-Jul25'!W270)</f>
        <v/>
      </c>
      <c r="X270" t="str">
        <f>IF('1. Live'!X270='check-Jul25'!X270,"",'1. Live'!X270-'check-Jul25'!X270)</f>
        <v/>
      </c>
      <c r="Y270" t="str">
        <f>IF('1. Live'!Y270='check-Jul25'!Y270,"",'1. Live'!Y270-'check-Jul25'!Y270)</f>
        <v/>
      </c>
      <c r="Z270" t="str">
        <f>IF('1. Live'!Z270='check-Jul25'!Z270,"",'1. Live'!Z270-'check-Jul25'!Z270)</f>
        <v/>
      </c>
      <c r="AA270" t="str">
        <f>IF('1. Live'!AA270='check-Jul25'!AA270,"",'1. Live'!AA270-'check-Jul25'!AA270)</f>
        <v/>
      </c>
      <c r="AB270" t="str">
        <f>IF('1. Live'!AB270='check-Jul25'!AB270,"",'1. Live'!AB270-'check-Jul25'!AB270)</f>
        <v/>
      </c>
      <c r="AC270" t="str">
        <f>IF('1. Live'!AC270='check-Jul25'!AC270,"",'1. Live'!AC270-'check-Jul25'!AC270)</f>
        <v/>
      </c>
      <c r="AD270" t="str">
        <f>IF('1. Live'!AD270='check-Jul25'!AD270,"",'1. Live'!AD270-'check-Jul25'!AD270)</f>
        <v/>
      </c>
      <c r="AE270" t="str">
        <f>IF('1. Live'!AE270='check-Jul25'!AE270,"",'1. Live'!AE270-'check-Jul25'!AE270)</f>
        <v/>
      </c>
      <c r="AF270" t="str">
        <f>IF('1. Live'!AF270='check-Jul25'!AF270,"",'1. Live'!AF270-'check-Jul25'!AF270)</f>
        <v/>
      </c>
      <c r="AG270" t="str">
        <f>IF('1. Live'!AG270='check-Jul25'!AG270,"",'1. Live'!AG270-'check-Jul25'!AG270)</f>
        <v/>
      </c>
      <c r="AH270" t="str">
        <f>IF('1. Live'!AH270='check-Jul25'!AH270,"",'1. Live'!AH270-'check-Jul25'!AH270)</f>
        <v/>
      </c>
      <c r="AI270" t="str">
        <f>IF('1. Live'!AI270='check-Jul25'!AI270,"",'1. Live'!AI270-'check-Jul25'!AI270)</f>
        <v/>
      </c>
      <c r="AJ270" t="str">
        <f>IF('1. Live'!AJ270='check-Jul25'!AJ270,"",'1. Live'!AJ270-'check-Jul25'!AJ270)</f>
        <v/>
      </c>
      <c r="AK270" t="str">
        <f>IF('1. Live'!AK270='check-Jul25'!AK270,"",'1. Live'!AK270-'check-Jul25'!AK270)</f>
        <v/>
      </c>
      <c r="AL270" t="str">
        <f>IF('1. Live'!AL270='check-Jul25'!AL270,"",'1. Live'!AL270-'check-Jul25'!AL270)</f>
        <v/>
      </c>
      <c r="AM270" t="str">
        <f>IF('1. Live'!AM270='check-Jul25'!AM270,"",'1. Live'!AM270-'check-Jul25'!AM270)</f>
        <v/>
      </c>
      <c r="AN270" t="str">
        <f>IF('1. Live'!AN270='check-Jul25'!AN270,"",'1. Live'!AN270-'check-Jul25'!AN270)</f>
        <v/>
      </c>
      <c r="AO270" t="str">
        <f>IF('1. Live'!AO270='check-Jul25'!AO270,"",'1. Live'!AO270-'check-Jul25'!AO270)</f>
        <v/>
      </c>
      <c r="AP270" t="str">
        <f>IF('1. Live'!AP270='check-Jul25'!AP270,"",'1. Live'!AP270-'check-Jul25'!AP270)</f>
        <v/>
      </c>
      <c r="AQ270" t="str">
        <f>IF('1. Live'!AQ270='check-Jul25'!AQ270,"",'1. Live'!AQ270-'check-Jul25'!AQ270)</f>
        <v/>
      </c>
      <c r="AR270" t="str">
        <f>IF('1. Live'!AR270='check-Jul25'!AR270,"",'1. Live'!AR270-'check-Jul25'!AR270)</f>
        <v/>
      </c>
      <c r="AS270" t="str">
        <f>IF('1. Live'!AS270='check-Jul25'!AS270,"",'1. Live'!AS270-'check-Jul25'!AS270)</f>
        <v/>
      </c>
      <c r="AT270" t="str">
        <f>IF('1. Live'!AT270='check-Jul25'!AT270,"",'1. Live'!AT270-'check-Jul25'!AT270)</f>
        <v/>
      </c>
      <c r="AU270" t="str">
        <f>IF('1. Live'!AU270='check-Jul25'!AU270,"",'1. Live'!AU270-'check-Jul25'!AU270)</f>
        <v/>
      </c>
      <c r="AV270" t="str">
        <f>IF('1. Live'!AV270='check-Jul25'!AV270,"",'1. Live'!AV270-'check-Jul25'!AV270)</f>
        <v/>
      </c>
      <c r="AW270" t="str">
        <f>IF('1. Live'!AW270='check-Jul25'!AW270,"",'1. Live'!AW270-'check-Jul25'!AW270)</f>
        <v/>
      </c>
      <c r="AX270" t="str">
        <f>IF('1. Live'!AX270='check-Jul25'!AX270,"",'1. Live'!AX270-'check-Jul25'!AX270)</f>
        <v/>
      </c>
      <c r="AY270" t="str">
        <f>IF('1. Live'!AY270='check-Jul25'!AY270,"",'1. Live'!AY270-'check-Jul25'!AY270)</f>
        <v/>
      </c>
      <c r="AZ270" t="str">
        <f>IF('1. Live'!AZ270='check-Jul25'!AZ270,"",'1. Live'!AZ270-'check-Jul25'!AZ270)</f>
        <v/>
      </c>
      <c r="BA270" t="str">
        <f>IF('1. Live'!BA270='check-Jul25'!BA270,"",'1. Live'!BA270-'check-Jul25'!BA270)</f>
        <v/>
      </c>
      <c r="BB270" t="str">
        <f>IF('1. Live'!BB270='check-Jul25'!BB270,"",'1. Live'!BB270-'check-Jul25'!BB270)</f>
        <v/>
      </c>
      <c r="BC270" t="str">
        <f>IF('1. Live'!BC270='check-Jul25'!BC270,"",'1. Live'!BC270-'check-Jul25'!BC270)</f>
        <v/>
      </c>
      <c r="BD270" t="str">
        <f>IF('1. Live'!BD270='check-Jul25'!BD270,"",'1. Live'!BD270-'check-Jul25'!BD270)</f>
        <v/>
      </c>
      <c r="BE270" t="str">
        <f>IF('1. Live'!BE270='check-Jul25'!BE270,"",'1. Live'!BE270-'check-Jul25'!BE270)</f>
        <v/>
      </c>
      <c r="BF270" t="str">
        <f>IF('1. Live'!BF270='check-Jul25'!BF270,"",'1. Live'!BF270-'check-Jul25'!BF270)</f>
        <v/>
      </c>
      <c r="BG270" t="str">
        <f>IF('1. Live'!BG270='check-Jul25'!BG270,"",'1. Live'!BG270-'check-Jul25'!BG270)</f>
        <v/>
      </c>
      <c r="BH270" t="str">
        <f>IF('1. Live'!BH270='check-Jul25'!BH270,"",'1. Live'!BH270-'check-Jul25'!BH270)</f>
        <v/>
      </c>
      <c r="BI270" t="str">
        <f>IF('1. Live'!BI270='check-Jul25'!BI270,"",'1. Live'!BI270-'check-Jul25'!BI270)</f>
        <v/>
      </c>
      <c r="BJ270" t="str">
        <f>IF('1. Live'!BJ270='check-Jul25'!BJ270,"",'1. Live'!BJ270-'check-Jul25'!BJ270)</f>
        <v/>
      </c>
      <c r="BK270" t="str">
        <f>IF('1. Live'!BK270='check-Jul25'!BK270,"",'1. Live'!BK270-'check-Jul25'!BK270)</f>
        <v/>
      </c>
      <c r="BL270" t="str">
        <f>IF('1. Live'!BL270='check-Jul25'!BL270,"",'1. Live'!BL270-'check-Jul25'!BL270)</f>
        <v/>
      </c>
      <c r="BM270" t="str">
        <f>IF('1. Live'!BM270='check-Jul25'!BM270,"",'1. Live'!BM270-'check-Jul25'!BM270)</f>
        <v/>
      </c>
      <c r="BN270" t="str">
        <f>IF('1. Live'!BN270='check-Jul25'!BN270,"",'1. Live'!BN270-'check-Jul25'!BN270)</f>
        <v/>
      </c>
      <c r="BO270" t="str">
        <f>IF('1. Live'!BO270='check-Jul25'!BO270,"",'1. Live'!BO270-'check-Jul25'!BO270)</f>
        <v/>
      </c>
      <c r="BP270" t="str">
        <f>IF('1. Live'!BP270='check-Jul25'!BP270,"",'1. Live'!BP270-'check-Jul25'!BP270)</f>
        <v/>
      </c>
      <c r="BQ270" t="str">
        <f>IF('1. Live'!BQ270='check-Jul25'!BQ270,"",'1. Live'!BQ270-'check-Jul25'!BQ270)</f>
        <v/>
      </c>
      <c r="BR270" t="str">
        <f>IF('1. Live'!BR270='check-Jul25'!BR270,"",'1. Live'!BR270-'check-Jul25'!BR270)</f>
        <v/>
      </c>
      <c r="BS270" t="str">
        <f>IF('1. Live'!BS270='check-Jul25'!BS270,"",'1. Live'!BS270-'check-Jul25'!BS270)</f>
        <v/>
      </c>
      <c r="BT270" t="str">
        <f>IF('1. Live'!BT270='check-Jul25'!BT270,"",'1. Live'!BT270-'check-Jul25'!BT270)</f>
        <v/>
      </c>
      <c r="BU270" t="str">
        <f>IF('1. Live'!BU270='check-Jul25'!BU270,"",'1. Live'!BU270-'check-Jul25'!BU270)</f>
        <v/>
      </c>
      <c r="BV270" t="str">
        <f>IF('1. Live'!BV270='check-Jul25'!BV270,"",'1. Live'!BV270-'check-Jul25'!BV270)</f>
        <v/>
      </c>
      <c r="BW270" t="str">
        <f>IF('1. Live'!BW270='check-Jul25'!BW270,"",'1. Live'!BW270-'check-Jul25'!BW270)</f>
        <v/>
      </c>
      <c r="BX270" t="str">
        <f>IF('1. Live'!BX270='check-Jul25'!BX270,"",'1. Live'!BX270-'check-Jul25'!BX270)</f>
        <v/>
      </c>
      <c r="BY270" t="str">
        <f>IF('1. Live'!BY270='check-Jul25'!BY270,"",'1. Live'!BY270-'check-Jul25'!BY270)</f>
        <v/>
      </c>
      <c r="BZ270" t="str">
        <f>IF('1. Live'!BZ270='check-Jul25'!BZ270,"",'1. Live'!BZ270-'check-Jul25'!BZ270)</f>
        <v/>
      </c>
      <c r="CA270" t="str">
        <f>IF('1. Live'!CA270='check-Jul25'!CA270,"",'1. Live'!CA270-'check-Jul25'!CA270)</f>
        <v/>
      </c>
      <c r="CB270" t="str">
        <f>IF('1. Live'!CB270='check-Jul25'!CB270,"",'1. Live'!CB270-'check-Jul25'!CB270)</f>
        <v/>
      </c>
      <c r="CC270" t="str">
        <f>IF('1. Live'!CC270='check-Jul25'!CC270,"",'1. Live'!CC270-'check-Jul25'!CC270)</f>
        <v/>
      </c>
      <c r="CD270" t="str">
        <f>IF('1. Live'!CD270='check-Jul25'!CD270,"",'1. Live'!CD270-'check-Jul25'!CD270)</f>
        <v/>
      </c>
      <c r="CE270" t="str">
        <f>IF('1. Live'!CE270='check-Jul25'!CE270,"",'1. Live'!CE270-'check-Jul25'!CE270)</f>
        <v/>
      </c>
      <c r="CF270" t="str">
        <f>IF('1. Live'!CF270='check-Jul25'!CF270,"",'1. Live'!CF270-'check-Jul25'!CF270)</f>
        <v/>
      </c>
      <c r="CG270" t="str">
        <f>IF('1. Live'!CG270='check-Jul25'!CG270,"",'1. Live'!CG270-'check-Jul25'!CG270)</f>
        <v/>
      </c>
      <c r="CH270" t="str">
        <f>IF('1. Live'!CH270='check-Jul25'!CH270,"",'1. Live'!CH270-'check-Jul25'!CH270)</f>
        <v/>
      </c>
      <c r="CI270" t="str">
        <f>IF('1. Live'!CI270='check-Jul25'!CI270,"",'1. Live'!CI270-'check-Jul25'!CI270)</f>
        <v/>
      </c>
      <c r="CJ270" t="str">
        <f>IF('1. Live'!CJ270='check-Jul25'!CJ270,"",'1. Live'!CJ270-'check-Jul25'!CJ270)</f>
        <v/>
      </c>
      <c r="CK270" t="str">
        <f>IF('1. Live'!CK270='check-Jul25'!CK270,"",'1. Live'!CK270-'check-Jul25'!CK270)</f>
        <v/>
      </c>
      <c r="CL270" t="str">
        <f>IF('1. Live'!CL270='check-Jul25'!CL270,"",'1. Live'!CL270-'check-Jul25'!CL270)</f>
        <v/>
      </c>
      <c r="CM270" t="str">
        <f>IF('1. Live'!CM270='check-Jul25'!CM270,"",'1. Live'!CM270-'check-Jul25'!CM270)</f>
        <v/>
      </c>
      <c r="CN270" t="str">
        <f>IF('1. Live'!CN270='check-Jul25'!CN270,"",'1. Live'!CN270-'check-Jul25'!CN270)</f>
        <v/>
      </c>
      <c r="CO270" t="str">
        <f>IF('1. Live'!CO270='check-Jul25'!CO270,"",'1. Live'!CO270-'check-Jul25'!CO270)</f>
        <v/>
      </c>
      <c r="CP270" t="str">
        <f>IF('1. Live'!CP270='check-Jul25'!CP270,"",'1. Live'!CP270-'check-Jul25'!CP270)</f>
        <v/>
      </c>
      <c r="CQ270" t="str">
        <f>IF('1. Live'!CQ270='check-Jul25'!CQ270,"",'1. Live'!CQ270-'check-Jul25'!CQ270)</f>
        <v/>
      </c>
      <c r="CR270" t="str">
        <f>IF('1. Live'!CR270='check-Jul25'!CR270,"",'1. Live'!CR270-'check-Jul25'!CR270)</f>
        <v/>
      </c>
      <c r="CS270" t="str">
        <f>IF('1. Live'!CS270='check-Jul25'!CS270,"",'1. Live'!CS270-'check-Jul25'!CS270)</f>
        <v/>
      </c>
      <c r="CT270" t="str">
        <f>IF('1. Live'!CT270='check-Jul25'!CT270,"",'1. Live'!CT270-'check-Jul25'!CT270)</f>
        <v/>
      </c>
      <c r="CU270" t="str">
        <f>IF('1. Live'!CU270='check-Jul25'!CU270,"",'1. Live'!CU270-'check-Jul25'!CU270)</f>
        <v/>
      </c>
      <c r="CV270" t="str">
        <f>IF('1. Live'!CV270='check-Jul25'!CV270,"",'1. Live'!CV270-'check-Jul25'!CV270)</f>
        <v/>
      </c>
      <c r="CW270" t="str">
        <f>IF('1. Live'!CW270='check-Jul25'!CW270,"",'1. Live'!CW270-'check-Jul25'!CW270)</f>
        <v/>
      </c>
    </row>
    <row r="271" spans="10:101">
      <c r="J271" t="str">
        <f>IF('1. Live'!J271='check-Jul25'!J271,"",'1. Live'!J271-'check-Jul25'!J271)</f>
        <v/>
      </c>
      <c r="K271" t="str">
        <f>IF('1. Live'!K271='check-Jul25'!K271,"",'1. Live'!K271-'check-Jul25'!K271)</f>
        <v/>
      </c>
      <c r="L271" t="str">
        <f>IF('1. Live'!L271='check-Jul25'!L271,"",'1. Live'!L271-'check-Jul25'!L271)</f>
        <v/>
      </c>
      <c r="M271" t="str">
        <f>IF('1. Live'!M271='check-Jul25'!M271,"",'1. Live'!M271-'check-Jul25'!M271)</f>
        <v/>
      </c>
      <c r="N271" t="str">
        <f>IF('1. Live'!N271='check-Jul25'!N271,"",'1. Live'!N271-'check-Jul25'!N271)</f>
        <v/>
      </c>
      <c r="O271" t="str">
        <f>IF('1. Live'!O271='check-Jul25'!O271,"",'1. Live'!O271-'check-Jul25'!O271)</f>
        <v/>
      </c>
      <c r="P271" t="str">
        <f>IF('1. Live'!P271='check-Jul25'!P271,"",'1. Live'!P271-'check-Jul25'!P271)</f>
        <v/>
      </c>
      <c r="Q271" t="str">
        <f>IF('1. Live'!Q271='check-Jul25'!Q271,"",'1. Live'!Q271-'check-Jul25'!Q271)</f>
        <v/>
      </c>
      <c r="R271" t="str">
        <f>IF('1. Live'!R271='check-Jul25'!R271,"",'1. Live'!R271-'check-Jul25'!R271)</f>
        <v/>
      </c>
      <c r="S271" t="str">
        <f>IF('1. Live'!S271='check-Jul25'!S271,"",'1. Live'!S271-'check-Jul25'!S271)</f>
        <v/>
      </c>
      <c r="T271" t="str">
        <f>IF('1. Live'!T271='check-Jul25'!T271,"",'1. Live'!T271-'check-Jul25'!T271)</f>
        <v/>
      </c>
      <c r="U271" t="str">
        <f>IF('1. Live'!U271='check-Jul25'!U271,"",'1. Live'!U271-'check-Jul25'!U271)</f>
        <v/>
      </c>
      <c r="V271" t="str">
        <f>IF('1. Live'!V271='check-Jul25'!V271,"",'1. Live'!V271-'check-Jul25'!V271)</f>
        <v/>
      </c>
      <c r="W271" t="str">
        <f>IF('1. Live'!W271='check-Jul25'!W271,"",'1. Live'!W271-'check-Jul25'!W271)</f>
        <v/>
      </c>
      <c r="X271" t="str">
        <f>IF('1. Live'!X271='check-Jul25'!X271,"",'1. Live'!X271-'check-Jul25'!X271)</f>
        <v/>
      </c>
      <c r="Y271" t="str">
        <f>IF('1. Live'!Y271='check-Jul25'!Y271,"",'1. Live'!Y271-'check-Jul25'!Y271)</f>
        <v/>
      </c>
      <c r="Z271" t="str">
        <f>IF('1. Live'!Z271='check-Jul25'!Z271,"",'1. Live'!Z271-'check-Jul25'!Z271)</f>
        <v/>
      </c>
      <c r="AA271" t="str">
        <f>IF('1. Live'!AA271='check-Jul25'!AA271,"",'1. Live'!AA271-'check-Jul25'!AA271)</f>
        <v/>
      </c>
      <c r="AB271" t="str">
        <f>IF('1. Live'!AB271='check-Jul25'!AB271,"",'1. Live'!AB271-'check-Jul25'!AB271)</f>
        <v/>
      </c>
      <c r="AC271" t="str">
        <f>IF('1. Live'!AC271='check-Jul25'!AC271,"",'1. Live'!AC271-'check-Jul25'!AC271)</f>
        <v/>
      </c>
      <c r="AD271" t="str">
        <f>IF('1. Live'!AD271='check-Jul25'!AD271,"",'1. Live'!AD271-'check-Jul25'!AD271)</f>
        <v/>
      </c>
      <c r="AE271" t="str">
        <f>IF('1. Live'!AE271='check-Jul25'!AE271,"",'1. Live'!AE271-'check-Jul25'!AE271)</f>
        <v/>
      </c>
      <c r="AF271" t="str">
        <f>IF('1. Live'!AF271='check-Jul25'!AF271,"",'1. Live'!AF271-'check-Jul25'!AF271)</f>
        <v/>
      </c>
      <c r="AG271" t="str">
        <f>IF('1. Live'!AG271='check-Jul25'!AG271,"",'1. Live'!AG271-'check-Jul25'!AG271)</f>
        <v/>
      </c>
      <c r="AH271" t="str">
        <f>IF('1. Live'!AH271='check-Jul25'!AH271,"",'1. Live'!AH271-'check-Jul25'!AH271)</f>
        <v/>
      </c>
      <c r="AI271" t="str">
        <f>IF('1. Live'!AI271='check-Jul25'!AI271,"",'1. Live'!AI271-'check-Jul25'!AI271)</f>
        <v/>
      </c>
      <c r="AJ271" t="str">
        <f>IF('1. Live'!AJ271='check-Jul25'!AJ271,"",'1. Live'!AJ271-'check-Jul25'!AJ271)</f>
        <v/>
      </c>
      <c r="AK271" t="str">
        <f>IF('1. Live'!AK271='check-Jul25'!AK271,"",'1. Live'!AK271-'check-Jul25'!AK271)</f>
        <v/>
      </c>
      <c r="AL271" t="str">
        <f>IF('1. Live'!AL271='check-Jul25'!AL271,"",'1. Live'!AL271-'check-Jul25'!AL271)</f>
        <v/>
      </c>
      <c r="AM271" t="str">
        <f>IF('1. Live'!AM271='check-Jul25'!AM271,"",'1. Live'!AM271-'check-Jul25'!AM271)</f>
        <v/>
      </c>
      <c r="AN271" t="str">
        <f>IF('1. Live'!AN271='check-Jul25'!AN271,"",'1. Live'!AN271-'check-Jul25'!AN271)</f>
        <v/>
      </c>
      <c r="AO271" t="str">
        <f>IF('1. Live'!AO271='check-Jul25'!AO271,"",'1. Live'!AO271-'check-Jul25'!AO271)</f>
        <v/>
      </c>
      <c r="AP271" t="str">
        <f>IF('1. Live'!AP271='check-Jul25'!AP271,"",'1. Live'!AP271-'check-Jul25'!AP271)</f>
        <v/>
      </c>
      <c r="AQ271" t="str">
        <f>IF('1. Live'!AQ271='check-Jul25'!AQ271,"",'1. Live'!AQ271-'check-Jul25'!AQ271)</f>
        <v/>
      </c>
      <c r="AR271" t="str">
        <f>IF('1. Live'!AR271='check-Jul25'!AR271,"",'1. Live'!AR271-'check-Jul25'!AR271)</f>
        <v/>
      </c>
      <c r="AS271" t="str">
        <f>IF('1. Live'!AS271='check-Jul25'!AS271,"",'1. Live'!AS271-'check-Jul25'!AS271)</f>
        <v/>
      </c>
      <c r="AT271" t="str">
        <f>IF('1. Live'!AT271='check-Jul25'!AT271,"",'1. Live'!AT271-'check-Jul25'!AT271)</f>
        <v/>
      </c>
      <c r="AU271" t="str">
        <f>IF('1. Live'!AU271='check-Jul25'!AU271,"",'1. Live'!AU271-'check-Jul25'!AU271)</f>
        <v/>
      </c>
      <c r="AV271" t="str">
        <f>IF('1. Live'!AV271='check-Jul25'!AV271,"",'1. Live'!AV271-'check-Jul25'!AV271)</f>
        <v/>
      </c>
      <c r="AW271" t="str">
        <f>IF('1. Live'!AW271='check-Jul25'!AW271,"",'1. Live'!AW271-'check-Jul25'!AW271)</f>
        <v/>
      </c>
      <c r="AX271" t="str">
        <f>IF('1. Live'!AX271='check-Jul25'!AX271,"",'1. Live'!AX271-'check-Jul25'!AX271)</f>
        <v/>
      </c>
      <c r="AY271" t="str">
        <f>IF('1. Live'!AY271='check-Jul25'!AY271,"",'1. Live'!AY271-'check-Jul25'!AY271)</f>
        <v/>
      </c>
      <c r="AZ271" t="str">
        <f>IF('1. Live'!AZ271='check-Jul25'!AZ271,"",'1. Live'!AZ271-'check-Jul25'!AZ271)</f>
        <v/>
      </c>
      <c r="BA271" t="str">
        <f>IF('1. Live'!BA271='check-Jul25'!BA271,"",'1. Live'!BA271-'check-Jul25'!BA271)</f>
        <v/>
      </c>
      <c r="BB271" t="str">
        <f>IF('1. Live'!BB271='check-Jul25'!BB271,"",'1. Live'!BB271-'check-Jul25'!BB271)</f>
        <v/>
      </c>
      <c r="BC271" t="str">
        <f>IF('1. Live'!BC271='check-Jul25'!BC271,"",'1. Live'!BC271-'check-Jul25'!BC271)</f>
        <v/>
      </c>
      <c r="BD271" t="str">
        <f>IF('1. Live'!BD271='check-Jul25'!BD271,"",'1. Live'!BD271-'check-Jul25'!BD271)</f>
        <v/>
      </c>
      <c r="BE271" t="str">
        <f>IF('1. Live'!BE271='check-Jul25'!BE271,"",'1. Live'!BE271-'check-Jul25'!BE271)</f>
        <v/>
      </c>
      <c r="BF271" t="str">
        <f>IF('1. Live'!BF271='check-Jul25'!BF271,"",'1. Live'!BF271-'check-Jul25'!BF271)</f>
        <v/>
      </c>
      <c r="BG271" t="str">
        <f>IF('1. Live'!BG271='check-Jul25'!BG271,"",'1. Live'!BG271-'check-Jul25'!BG271)</f>
        <v/>
      </c>
      <c r="BH271" t="str">
        <f>IF('1. Live'!BH271='check-Jul25'!BH271,"",'1. Live'!BH271-'check-Jul25'!BH271)</f>
        <v/>
      </c>
      <c r="BI271" t="str">
        <f>IF('1. Live'!BI271='check-Jul25'!BI271,"",'1. Live'!BI271-'check-Jul25'!BI271)</f>
        <v/>
      </c>
      <c r="BJ271" t="str">
        <f>IF('1. Live'!BJ271='check-Jul25'!BJ271,"",'1. Live'!BJ271-'check-Jul25'!BJ271)</f>
        <v/>
      </c>
      <c r="BK271" t="str">
        <f>IF('1. Live'!BK271='check-Jul25'!BK271,"",'1. Live'!BK271-'check-Jul25'!BK271)</f>
        <v/>
      </c>
      <c r="BL271" t="str">
        <f>IF('1. Live'!BL271='check-Jul25'!BL271,"",'1. Live'!BL271-'check-Jul25'!BL271)</f>
        <v/>
      </c>
      <c r="BM271" t="str">
        <f>IF('1. Live'!BM271='check-Jul25'!BM271,"",'1. Live'!BM271-'check-Jul25'!BM271)</f>
        <v/>
      </c>
      <c r="BN271" t="str">
        <f>IF('1. Live'!BN271='check-Jul25'!BN271,"",'1. Live'!BN271-'check-Jul25'!BN271)</f>
        <v/>
      </c>
      <c r="BO271" t="str">
        <f>IF('1. Live'!BO271='check-Jul25'!BO271,"",'1. Live'!BO271-'check-Jul25'!BO271)</f>
        <v/>
      </c>
      <c r="BP271" t="str">
        <f>IF('1. Live'!BP271='check-Jul25'!BP271,"",'1. Live'!BP271-'check-Jul25'!BP271)</f>
        <v/>
      </c>
      <c r="BQ271" t="str">
        <f>IF('1. Live'!BQ271='check-Jul25'!BQ271,"",'1. Live'!BQ271-'check-Jul25'!BQ271)</f>
        <v/>
      </c>
      <c r="BR271" t="str">
        <f>IF('1. Live'!BR271='check-Jul25'!BR271,"",'1. Live'!BR271-'check-Jul25'!BR271)</f>
        <v/>
      </c>
      <c r="BS271" t="str">
        <f>IF('1. Live'!BS271='check-Jul25'!BS271,"",'1. Live'!BS271-'check-Jul25'!BS271)</f>
        <v/>
      </c>
      <c r="BT271" t="str">
        <f>IF('1. Live'!BT271='check-Jul25'!BT271,"",'1. Live'!BT271-'check-Jul25'!BT271)</f>
        <v/>
      </c>
      <c r="BU271" t="str">
        <f>IF('1. Live'!BU271='check-Jul25'!BU271,"",'1. Live'!BU271-'check-Jul25'!BU271)</f>
        <v/>
      </c>
      <c r="BV271" t="str">
        <f>IF('1. Live'!BV271='check-Jul25'!BV271,"",'1. Live'!BV271-'check-Jul25'!BV271)</f>
        <v/>
      </c>
      <c r="BW271" t="str">
        <f>IF('1. Live'!BW271='check-Jul25'!BW271,"",'1. Live'!BW271-'check-Jul25'!BW271)</f>
        <v/>
      </c>
      <c r="BX271" t="str">
        <f>IF('1. Live'!BX271='check-Jul25'!BX271,"",'1. Live'!BX271-'check-Jul25'!BX271)</f>
        <v/>
      </c>
      <c r="BY271" t="str">
        <f>IF('1. Live'!BY271='check-Jul25'!BY271,"",'1. Live'!BY271-'check-Jul25'!BY271)</f>
        <v/>
      </c>
      <c r="BZ271" t="str">
        <f>IF('1. Live'!BZ271='check-Jul25'!BZ271,"",'1. Live'!BZ271-'check-Jul25'!BZ271)</f>
        <v/>
      </c>
      <c r="CA271" t="str">
        <f>IF('1. Live'!CA271='check-Jul25'!CA271,"",'1. Live'!CA271-'check-Jul25'!CA271)</f>
        <v/>
      </c>
      <c r="CB271" t="str">
        <f>IF('1. Live'!CB271='check-Jul25'!CB271,"",'1. Live'!CB271-'check-Jul25'!CB271)</f>
        <v/>
      </c>
      <c r="CC271" t="str">
        <f>IF('1. Live'!CC271='check-Jul25'!CC271,"",'1. Live'!CC271-'check-Jul25'!CC271)</f>
        <v/>
      </c>
      <c r="CD271" t="str">
        <f>IF('1. Live'!CD271='check-Jul25'!CD271,"",'1. Live'!CD271-'check-Jul25'!CD271)</f>
        <v/>
      </c>
      <c r="CE271" t="str">
        <f>IF('1. Live'!CE271='check-Jul25'!CE271,"",'1. Live'!CE271-'check-Jul25'!CE271)</f>
        <v/>
      </c>
      <c r="CF271" t="str">
        <f>IF('1. Live'!CF271='check-Jul25'!CF271,"",'1. Live'!CF271-'check-Jul25'!CF271)</f>
        <v/>
      </c>
      <c r="CG271" t="str">
        <f>IF('1. Live'!CG271='check-Jul25'!CG271,"",'1. Live'!CG271-'check-Jul25'!CG271)</f>
        <v/>
      </c>
      <c r="CH271" t="str">
        <f>IF('1. Live'!CH271='check-Jul25'!CH271,"",'1. Live'!CH271-'check-Jul25'!CH271)</f>
        <v/>
      </c>
      <c r="CI271" t="str">
        <f>IF('1. Live'!CI271='check-Jul25'!CI271,"",'1. Live'!CI271-'check-Jul25'!CI271)</f>
        <v/>
      </c>
      <c r="CJ271" t="str">
        <f>IF('1. Live'!CJ271='check-Jul25'!CJ271,"",'1. Live'!CJ271-'check-Jul25'!CJ271)</f>
        <v/>
      </c>
      <c r="CK271" t="str">
        <f>IF('1. Live'!CK271='check-Jul25'!CK271,"",'1. Live'!CK271-'check-Jul25'!CK271)</f>
        <v/>
      </c>
      <c r="CL271" t="str">
        <f>IF('1. Live'!CL271='check-Jul25'!CL271,"",'1. Live'!CL271-'check-Jul25'!CL271)</f>
        <v/>
      </c>
      <c r="CM271" t="str">
        <f>IF('1. Live'!CM271='check-Jul25'!CM271,"",'1. Live'!CM271-'check-Jul25'!CM271)</f>
        <v/>
      </c>
      <c r="CN271" t="str">
        <f>IF('1. Live'!CN271='check-Jul25'!CN271,"",'1. Live'!CN271-'check-Jul25'!CN271)</f>
        <v/>
      </c>
      <c r="CO271" t="str">
        <f>IF('1. Live'!CO271='check-Jul25'!CO271,"",'1. Live'!CO271-'check-Jul25'!CO271)</f>
        <v/>
      </c>
      <c r="CP271" t="str">
        <f>IF('1. Live'!CP271='check-Jul25'!CP271,"",'1. Live'!CP271-'check-Jul25'!CP271)</f>
        <v/>
      </c>
      <c r="CQ271" t="str">
        <f>IF('1. Live'!CQ271='check-Jul25'!CQ271,"",'1. Live'!CQ271-'check-Jul25'!CQ271)</f>
        <v/>
      </c>
      <c r="CR271" t="str">
        <f>IF('1. Live'!CR271='check-Jul25'!CR271,"",'1. Live'!CR271-'check-Jul25'!CR271)</f>
        <v/>
      </c>
      <c r="CS271" t="str">
        <f>IF('1. Live'!CS271='check-Jul25'!CS271,"",'1. Live'!CS271-'check-Jul25'!CS271)</f>
        <v/>
      </c>
      <c r="CT271" t="str">
        <f>IF('1. Live'!CT271='check-Jul25'!CT271,"",'1. Live'!CT271-'check-Jul25'!CT271)</f>
        <v/>
      </c>
      <c r="CU271" t="str">
        <f>IF('1. Live'!CU271='check-Jul25'!CU271,"",'1. Live'!CU271-'check-Jul25'!CU271)</f>
        <v/>
      </c>
      <c r="CV271" t="str">
        <f>IF('1. Live'!CV271='check-Jul25'!CV271,"",'1. Live'!CV271-'check-Jul25'!CV271)</f>
        <v/>
      </c>
      <c r="CW271" t="str">
        <f>IF('1. Live'!CW271='check-Jul25'!CW271,"",'1. Live'!CW271-'check-Jul25'!CW271)</f>
        <v/>
      </c>
    </row>
    <row r="272" spans="10:101">
      <c r="J272" t="str">
        <f>IF('1. Live'!J272='check-Jul25'!J272,"",'1. Live'!J272-'check-Jul25'!J272)</f>
        <v/>
      </c>
      <c r="K272" t="str">
        <f>IF('1. Live'!K272='check-Jul25'!K272,"",'1. Live'!K272-'check-Jul25'!K272)</f>
        <v/>
      </c>
      <c r="L272" t="str">
        <f>IF('1. Live'!L272='check-Jul25'!L272,"",'1. Live'!L272-'check-Jul25'!L272)</f>
        <v/>
      </c>
      <c r="M272" t="str">
        <f>IF('1. Live'!M272='check-Jul25'!M272,"",'1. Live'!M272-'check-Jul25'!M272)</f>
        <v/>
      </c>
      <c r="N272" t="str">
        <f>IF('1. Live'!N272='check-Jul25'!N272,"",'1. Live'!N272-'check-Jul25'!N272)</f>
        <v/>
      </c>
      <c r="O272" t="str">
        <f>IF('1. Live'!O272='check-Jul25'!O272,"",'1. Live'!O272-'check-Jul25'!O272)</f>
        <v/>
      </c>
      <c r="P272" t="str">
        <f>IF('1. Live'!P272='check-Jul25'!P272,"",'1. Live'!P272-'check-Jul25'!P272)</f>
        <v/>
      </c>
      <c r="Q272" t="str">
        <f>IF('1. Live'!Q272='check-Jul25'!Q272,"",'1. Live'!Q272-'check-Jul25'!Q272)</f>
        <v/>
      </c>
      <c r="R272" t="str">
        <f>IF('1. Live'!R272='check-Jul25'!R272,"",'1. Live'!R272-'check-Jul25'!R272)</f>
        <v/>
      </c>
      <c r="S272" t="str">
        <f>IF('1. Live'!S272='check-Jul25'!S272,"",'1. Live'!S272-'check-Jul25'!S272)</f>
        <v/>
      </c>
      <c r="T272" t="str">
        <f>IF('1. Live'!T272='check-Jul25'!T272,"",'1. Live'!T272-'check-Jul25'!T272)</f>
        <v/>
      </c>
      <c r="U272" t="str">
        <f>IF('1. Live'!U272='check-Jul25'!U272,"",'1. Live'!U272-'check-Jul25'!U272)</f>
        <v/>
      </c>
      <c r="V272" t="str">
        <f>IF('1. Live'!V272='check-Jul25'!V272,"",'1. Live'!V272-'check-Jul25'!V272)</f>
        <v/>
      </c>
      <c r="W272" t="str">
        <f>IF('1. Live'!W272='check-Jul25'!W272,"",'1. Live'!W272-'check-Jul25'!W272)</f>
        <v/>
      </c>
      <c r="X272" t="str">
        <f>IF('1. Live'!X272='check-Jul25'!X272,"",'1. Live'!X272-'check-Jul25'!X272)</f>
        <v/>
      </c>
      <c r="Y272" t="str">
        <f>IF('1. Live'!Y272='check-Jul25'!Y272,"",'1. Live'!Y272-'check-Jul25'!Y272)</f>
        <v/>
      </c>
      <c r="Z272" t="str">
        <f>IF('1. Live'!Z272='check-Jul25'!Z272,"",'1. Live'!Z272-'check-Jul25'!Z272)</f>
        <v/>
      </c>
      <c r="AA272" t="str">
        <f>IF('1. Live'!AA272='check-Jul25'!AA272,"",'1. Live'!AA272-'check-Jul25'!AA272)</f>
        <v/>
      </c>
      <c r="AB272" t="str">
        <f>IF('1. Live'!AB272='check-Jul25'!AB272,"",'1. Live'!AB272-'check-Jul25'!AB272)</f>
        <v/>
      </c>
      <c r="AC272" t="str">
        <f>IF('1. Live'!AC272='check-Jul25'!AC272,"",'1. Live'!AC272-'check-Jul25'!AC272)</f>
        <v/>
      </c>
      <c r="AD272" t="str">
        <f>IF('1. Live'!AD272='check-Jul25'!AD272,"",'1. Live'!AD272-'check-Jul25'!AD272)</f>
        <v/>
      </c>
      <c r="AE272" t="str">
        <f>IF('1. Live'!AE272='check-Jul25'!AE272,"",'1. Live'!AE272-'check-Jul25'!AE272)</f>
        <v/>
      </c>
      <c r="AF272" t="str">
        <f>IF('1. Live'!AF272='check-Jul25'!AF272,"",'1. Live'!AF272-'check-Jul25'!AF272)</f>
        <v/>
      </c>
      <c r="AG272" t="str">
        <f>IF('1. Live'!AG272='check-Jul25'!AG272,"",'1. Live'!AG272-'check-Jul25'!AG272)</f>
        <v/>
      </c>
      <c r="AH272" t="str">
        <f>IF('1. Live'!AH272='check-Jul25'!AH272,"",'1. Live'!AH272-'check-Jul25'!AH272)</f>
        <v/>
      </c>
      <c r="AI272" t="str">
        <f>IF('1. Live'!AI272='check-Jul25'!AI272,"",'1. Live'!AI272-'check-Jul25'!AI272)</f>
        <v/>
      </c>
      <c r="AJ272" t="str">
        <f>IF('1. Live'!AJ272='check-Jul25'!AJ272,"",'1. Live'!AJ272-'check-Jul25'!AJ272)</f>
        <v/>
      </c>
      <c r="AK272" t="str">
        <f>IF('1. Live'!AK272='check-Jul25'!AK272,"",'1. Live'!AK272-'check-Jul25'!AK272)</f>
        <v/>
      </c>
      <c r="AL272" t="str">
        <f>IF('1. Live'!AL272='check-Jul25'!AL272,"",'1. Live'!AL272-'check-Jul25'!AL272)</f>
        <v/>
      </c>
      <c r="AM272" t="str">
        <f>IF('1. Live'!AM272='check-Jul25'!AM272,"",'1. Live'!AM272-'check-Jul25'!AM272)</f>
        <v/>
      </c>
      <c r="AN272" t="str">
        <f>IF('1. Live'!AN272='check-Jul25'!AN272,"",'1. Live'!AN272-'check-Jul25'!AN272)</f>
        <v/>
      </c>
      <c r="AO272" t="str">
        <f>IF('1. Live'!AO272='check-Jul25'!AO272,"",'1. Live'!AO272-'check-Jul25'!AO272)</f>
        <v/>
      </c>
      <c r="AP272" t="str">
        <f>IF('1. Live'!AP272='check-Jul25'!AP272,"",'1. Live'!AP272-'check-Jul25'!AP272)</f>
        <v/>
      </c>
      <c r="AQ272" t="str">
        <f>IF('1. Live'!AQ272='check-Jul25'!AQ272,"",'1. Live'!AQ272-'check-Jul25'!AQ272)</f>
        <v/>
      </c>
      <c r="AR272" t="str">
        <f>IF('1. Live'!AR272='check-Jul25'!AR272,"",'1. Live'!AR272-'check-Jul25'!AR272)</f>
        <v/>
      </c>
      <c r="AS272" t="str">
        <f>IF('1. Live'!AS272='check-Jul25'!AS272,"",'1. Live'!AS272-'check-Jul25'!AS272)</f>
        <v/>
      </c>
      <c r="AT272" t="str">
        <f>IF('1. Live'!AT272='check-Jul25'!AT272,"",'1. Live'!AT272-'check-Jul25'!AT272)</f>
        <v/>
      </c>
      <c r="AU272" t="str">
        <f>IF('1. Live'!AU272='check-Jul25'!AU272,"",'1. Live'!AU272-'check-Jul25'!AU272)</f>
        <v/>
      </c>
      <c r="AV272" t="str">
        <f>IF('1. Live'!AV272='check-Jul25'!AV272,"",'1. Live'!AV272-'check-Jul25'!AV272)</f>
        <v/>
      </c>
      <c r="AW272" t="str">
        <f>IF('1. Live'!AW272='check-Jul25'!AW272,"",'1. Live'!AW272-'check-Jul25'!AW272)</f>
        <v/>
      </c>
      <c r="AX272" t="str">
        <f>IF('1. Live'!AX272='check-Jul25'!AX272,"",'1. Live'!AX272-'check-Jul25'!AX272)</f>
        <v/>
      </c>
      <c r="AY272" t="str">
        <f>IF('1. Live'!AY272='check-Jul25'!AY272,"",'1. Live'!AY272-'check-Jul25'!AY272)</f>
        <v/>
      </c>
      <c r="AZ272" t="str">
        <f>IF('1. Live'!AZ272='check-Jul25'!AZ272,"",'1. Live'!AZ272-'check-Jul25'!AZ272)</f>
        <v/>
      </c>
      <c r="BA272" t="str">
        <f>IF('1. Live'!BA272='check-Jul25'!BA272,"",'1. Live'!BA272-'check-Jul25'!BA272)</f>
        <v/>
      </c>
      <c r="BB272" t="str">
        <f>IF('1. Live'!BB272='check-Jul25'!BB272,"",'1. Live'!BB272-'check-Jul25'!BB272)</f>
        <v/>
      </c>
      <c r="BC272" t="str">
        <f>IF('1. Live'!BC272='check-Jul25'!BC272,"",'1. Live'!BC272-'check-Jul25'!BC272)</f>
        <v/>
      </c>
      <c r="BD272" t="str">
        <f>IF('1. Live'!BD272='check-Jul25'!BD272,"",'1. Live'!BD272-'check-Jul25'!BD272)</f>
        <v/>
      </c>
      <c r="BE272" t="str">
        <f>IF('1. Live'!BE272='check-Jul25'!BE272,"",'1. Live'!BE272-'check-Jul25'!BE272)</f>
        <v/>
      </c>
      <c r="BF272" t="str">
        <f>IF('1. Live'!BF272='check-Jul25'!BF272,"",'1. Live'!BF272-'check-Jul25'!BF272)</f>
        <v/>
      </c>
      <c r="BG272" t="str">
        <f>IF('1. Live'!BG272='check-Jul25'!BG272,"",'1. Live'!BG272-'check-Jul25'!BG272)</f>
        <v/>
      </c>
      <c r="BH272" t="str">
        <f>IF('1. Live'!BH272='check-Jul25'!BH272,"",'1. Live'!BH272-'check-Jul25'!BH272)</f>
        <v/>
      </c>
      <c r="BI272" t="str">
        <f>IF('1. Live'!BI272='check-Jul25'!BI272,"",'1. Live'!BI272-'check-Jul25'!BI272)</f>
        <v/>
      </c>
      <c r="BJ272" t="str">
        <f>IF('1. Live'!BJ272='check-Jul25'!BJ272,"",'1. Live'!BJ272-'check-Jul25'!BJ272)</f>
        <v/>
      </c>
      <c r="BK272" t="str">
        <f>IF('1. Live'!BK272='check-Jul25'!BK272,"",'1. Live'!BK272-'check-Jul25'!BK272)</f>
        <v/>
      </c>
      <c r="BL272" t="str">
        <f>IF('1. Live'!BL272='check-Jul25'!BL272,"",'1. Live'!BL272-'check-Jul25'!BL272)</f>
        <v/>
      </c>
      <c r="BM272" t="str">
        <f>IF('1. Live'!BM272='check-Jul25'!BM272,"",'1. Live'!BM272-'check-Jul25'!BM272)</f>
        <v/>
      </c>
      <c r="BN272" t="str">
        <f>IF('1. Live'!BN272='check-Jul25'!BN272,"",'1. Live'!BN272-'check-Jul25'!BN272)</f>
        <v/>
      </c>
      <c r="BO272" t="str">
        <f>IF('1. Live'!BO272='check-Jul25'!BO272,"",'1. Live'!BO272-'check-Jul25'!BO272)</f>
        <v/>
      </c>
      <c r="BP272" t="str">
        <f>IF('1. Live'!BP272='check-Jul25'!BP272,"",'1. Live'!BP272-'check-Jul25'!BP272)</f>
        <v/>
      </c>
      <c r="BQ272" t="str">
        <f>IF('1. Live'!BQ272='check-Jul25'!BQ272,"",'1. Live'!BQ272-'check-Jul25'!BQ272)</f>
        <v/>
      </c>
      <c r="BR272" t="str">
        <f>IF('1. Live'!BR272='check-Jul25'!BR272,"",'1. Live'!BR272-'check-Jul25'!BR272)</f>
        <v/>
      </c>
      <c r="BS272" t="str">
        <f>IF('1. Live'!BS272='check-Jul25'!BS272,"",'1. Live'!BS272-'check-Jul25'!BS272)</f>
        <v/>
      </c>
      <c r="BT272" t="str">
        <f>IF('1. Live'!BT272='check-Jul25'!BT272,"",'1. Live'!BT272-'check-Jul25'!BT272)</f>
        <v/>
      </c>
      <c r="BU272" t="str">
        <f>IF('1. Live'!BU272='check-Jul25'!BU272,"",'1. Live'!BU272-'check-Jul25'!BU272)</f>
        <v/>
      </c>
      <c r="BV272" t="str">
        <f>IF('1. Live'!BV272='check-Jul25'!BV272,"",'1. Live'!BV272-'check-Jul25'!BV272)</f>
        <v/>
      </c>
      <c r="BW272" t="str">
        <f>IF('1. Live'!BW272='check-Jul25'!BW272,"",'1. Live'!BW272-'check-Jul25'!BW272)</f>
        <v/>
      </c>
      <c r="BX272" t="str">
        <f>IF('1. Live'!BX272='check-Jul25'!BX272,"",'1. Live'!BX272-'check-Jul25'!BX272)</f>
        <v/>
      </c>
      <c r="BY272" t="str">
        <f>IF('1. Live'!BY272='check-Jul25'!BY272,"",'1. Live'!BY272-'check-Jul25'!BY272)</f>
        <v/>
      </c>
      <c r="BZ272" t="str">
        <f>IF('1. Live'!BZ272='check-Jul25'!BZ272,"",'1. Live'!BZ272-'check-Jul25'!BZ272)</f>
        <v/>
      </c>
      <c r="CA272" t="str">
        <f>IF('1. Live'!CA272='check-Jul25'!CA272,"",'1. Live'!CA272-'check-Jul25'!CA272)</f>
        <v/>
      </c>
      <c r="CB272" t="str">
        <f>IF('1. Live'!CB272='check-Jul25'!CB272,"",'1. Live'!CB272-'check-Jul25'!CB272)</f>
        <v/>
      </c>
      <c r="CC272" t="str">
        <f>IF('1. Live'!CC272='check-Jul25'!CC272,"",'1. Live'!CC272-'check-Jul25'!CC272)</f>
        <v/>
      </c>
      <c r="CD272" t="str">
        <f>IF('1. Live'!CD272='check-Jul25'!CD272,"",'1. Live'!CD272-'check-Jul25'!CD272)</f>
        <v/>
      </c>
      <c r="CE272" t="str">
        <f>IF('1. Live'!CE272='check-Jul25'!CE272,"",'1. Live'!CE272-'check-Jul25'!CE272)</f>
        <v/>
      </c>
      <c r="CF272" t="str">
        <f>IF('1. Live'!CF272='check-Jul25'!CF272,"",'1. Live'!CF272-'check-Jul25'!CF272)</f>
        <v/>
      </c>
      <c r="CG272" t="str">
        <f>IF('1. Live'!CG272='check-Jul25'!CG272,"",'1. Live'!CG272-'check-Jul25'!CG272)</f>
        <v/>
      </c>
      <c r="CH272" t="str">
        <f>IF('1. Live'!CH272='check-Jul25'!CH272,"",'1. Live'!CH272-'check-Jul25'!CH272)</f>
        <v/>
      </c>
      <c r="CI272" t="str">
        <f>IF('1. Live'!CI272='check-Jul25'!CI272,"",'1. Live'!CI272-'check-Jul25'!CI272)</f>
        <v/>
      </c>
      <c r="CJ272" t="str">
        <f>IF('1. Live'!CJ272='check-Jul25'!CJ272,"",'1. Live'!CJ272-'check-Jul25'!CJ272)</f>
        <v/>
      </c>
      <c r="CK272" t="str">
        <f>IF('1. Live'!CK272='check-Jul25'!CK272,"",'1. Live'!CK272-'check-Jul25'!CK272)</f>
        <v/>
      </c>
      <c r="CL272" t="str">
        <f>IF('1. Live'!CL272='check-Jul25'!CL272,"",'1. Live'!CL272-'check-Jul25'!CL272)</f>
        <v/>
      </c>
      <c r="CM272" t="str">
        <f>IF('1. Live'!CM272='check-Jul25'!CM272,"",'1. Live'!CM272-'check-Jul25'!CM272)</f>
        <v/>
      </c>
      <c r="CN272" t="str">
        <f>IF('1. Live'!CN272='check-Jul25'!CN272,"",'1. Live'!CN272-'check-Jul25'!CN272)</f>
        <v/>
      </c>
      <c r="CO272" t="str">
        <f>IF('1. Live'!CO272='check-Jul25'!CO272,"",'1. Live'!CO272-'check-Jul25'!CO272)</f>
        <v/>
      </c>
      <c r="CP272" t="str">
        <f>IF('1. Live'!CP272='check-Jul25'!CP272,"",'1. Live'!CP272-'check-Jul25'!CP272)</f>
        <v/>
      </c>
      <c r="CQ272" t="str">
        <f>IF('1. Live'!CQ272='check-Jul25'!CQ272,"",'1. Live'!CQ272-'check-Jul25'!CQ272)</f>
        <v/>
      </c>
      <c r="CR272" t="str">
        <f>IF('1. Live'!CR272='check-Jul25'!CR272,"",'1. Live'!CR272-'check-Jul25'!CR272)</f>
        <v/>
      </c>
      <c r="CS272" t="str">
        <f>IF('1. Live'!CS272='check-Jul25'!CS272,"",'1. Live'!CS272-'check-Jul25'!CS272)</f>
        <v/>
      </c>
      <c r="CT272" t="str">
        <f>IF('1. Live'!CT272='check-Jul25'!CT272,"",'1. Live'!CT272-'check-Jul25'!CT272)</f>
        <v/>
      </c>
      <c r="CU272" t="str">
        <f>IF('1. Live'!CU272='check-Jul25'!CU272,"",'1. Live'!CU272-'check-Jul25'!CU272)</f>
        <v/>
      </c>
      <c r="CV272" t="str">
        <f>IF('1. Live'!CV272='check-Jul25'!CV272,"",'1. Live'!CV272-'check-Jul25'!CV272)</f>
        <v/>
      </c>
      <c r="CW272" t="str">
        <f>IF('1. Live'!CW272='check-Jul25'!CW272,"",'1. Live'!CW272-'check-Jul25'!CW272)</f>
        <v/>
      </c>
    </row>
    <row r="273" spans="10:101">
      <c r="J273" t="str">
        <f>IF('1. Live'!J273='check-Jul25'!J273,"",'1. Live'!J273-'check-Jul25'!J273)</f>
        <v/>
      </c>
      <c r="K273" t="str">
        <f>IF('1. Live'!K273='check-Jul25'!K273,"",'1. Live'!K273-'check-Jul25'!K273)</f>
        <v/>
      </c>
      <c r="L273" t="str">
        <f>IF('1. Live'!L273='check-Jul25'!L273,"",'1. Live'!L273-'check-Jul25'!L273)</f>
        <v/>
      </c>
      <c r="M273" t="str">
        <f>IF('1. Live'!M273='check-Jul25'!M273,"",'1. Live'!M273-'check-Jul25'!M273)</f>
        <v/>
      </c>
      <c r="N273" t="str">
        <f>IF('1. Live'!N273='check-Jul25'!N273,"",'1. Live'!N273-'check-Jul25'!N273)</f>
        <v/>
      </c>
      <c r="O273" t="str">
        <f>IF('1. Live'!O273='check-Jul25'!O273,"",'1. Live'!O273-'check-Jul25'!O273)</f>
        <v/>
      </c>
      <c r="P273" t="str">
        <f>IF('1. Live'!P273='check-Jul25'!P273,"",'1. Live'!P273-'check-Jul25'!P273)</f>
        <v/>
      </c>
      <c r="Q273" t="str">
        <f>IF('1. Live'!Q273='check-Jul25'!Q273,"",'1. Live'!Q273-'check-Jul25'!Q273)</f>
        <v/>
      </c>
      <c r="R273" t="str">
        <f>IF('1. Live'!R273='check-Jul25'!R273,"",'1. Live'!R273-'check-Jul25'!R273)</f>
        <v/>
      </c>
      <c r="S273" t="str">
        <f>IF('1. Live'!S273='check-Jul25'!S273,"",'1. Live'!S273-'check-Jul25'!S273)</f>
        <v/>
      </c>
      <c r="T273" t="str">
        <f>IF('1. Live'!T273='check-Jul25'!T273,"",'1. Live'!T273-'check-Jul25'!T273)</f>
        <v/>
      </c>
      <c r="U273" t="str">
        <f>IF('1. Live'!U273='check-Jul25'!U273,"",'1. Live'!U273-'check-Jul25'!U273)</f>
        <v/>
      </c>
      <c r="V273" t="str">
        <f>IF('1. Live'!V273='check-Jul25'!V273,"",'1. Live'!V273-'check-Jul25'!V273)</f>
        <v/>
      </c>
      <c r="W273" t="str">
        <f>IF('1. Live'!W273='check-Jul25'!W273,"",'1. Live'!W273-'check-Jul25'!W273)</f>
        <v/>
      </c>
      <c r="X273" t="str">
        <f>IF('1. Live'!X273='check-Jul25'!X273,"",'1. Live'!X273-'check-Jul25'!X273)</f>
        <v/>
      </c>
      <c r="Y273" t="str">
        <f>IF('1. Live'!Y273='check-Jul25'!Y273,"",'1. Live'!Y273-'check-Jul25'!Y273)</f>
        <v/>
      </c>
      <c r="Z273" t="str">
        <f>IF('1. Live'!Z273='check-Jul25'!Z273,"",'1. Live'!Z273-'check-Jul25'!Z273)</f>
        <v/>
      </c>
      <c r="AA273" t="str">
        <f>IF('1. Live'!AA273='check-Jul25'!AA273,"",'1. Live'!AA273-'check-Jul25'!AA273)</f>
        <v/>
      </c>
      <c r="AB273" t="str">
        <f>IF('1. Live'!AB273='check-Jul25'!AB273,"",'1. Live'!AB273-'check-Jul25'!AB273)</f>
        <v/>
      </c>
      <c r="AC273" t="str">
        <f>IF('1. Live'!AC273='check-Jul25'!AC273,"",'1. Live'!AC273-'check-Jul25'!AC273)</f>
        <v/>
      </c>
      <c r="AD273" t="str">
        <f>IF('1. Live'!AD273='check-Jul25'!AD273,"",'1. Live'!AD273-'check-Jul25'!AD273)</f>
        <v/>
      </c>
      <c r="AE273" t="str">
        <f>IF('1. Live'!AE273='check-Jul25'!AE273,"",'1. Live'!AE273-'check-Jul25'!AE273)</f>
        <v/>
      </c>
      <c r="AF273" t="str">
        <f>IF('1. Live'!AF273='check-Jul25'!AF273,"",'1. Live'!AF273-'check-Jul25'!AF273)</f>
        <v/>
      </c>
      <c r="AG273" t="str">
        <f>IF('1. Live'!AG273='check-Jul25'!AG273,"",'1. Live'!AG273-'check-Jul25'!AG273)</f>
        <v/>
      </c>
      <c r="AH273" t="str">
        <f>IF('1. Live'!AH273='check-Jul25'!AH273,"",'1. Live'!AH273-'check-Jul25'!AH273)</f>
        <v/>
      </c>
      <c r="AI273" t="str">
        <f>IF('1. Live'!AI273='check-Jul25'!AI273,"",'1. Live'!AI273-'check-Jul25'!AI273)</f>
        <v/>
      </c>
      <c r="AJ273" t="str">
        <f>IF('1. Live'!AJ273='check-Jul25'!AJ273,"",'1. Live'!AJ273-'check-Jul25'!AJ273)</f>
        <v/>
      </c>
      <c r="AK273" t="str">
        <f>IF('1. Live'!AK273='check-Jul25'!AK273,"",'1. Live'!AK273-'check-Jul25'!AK273)</f>
        <v/>
      </c>
      <c r="AL273" t="str">
        <f>IF('1. Live'!AL273='check-Jul25'!AL273,"",'1. Live'!AL273-'check-Jul25'!AL273)</f>
        <v/>
      </c>
      <c r="AM273" t="str">
        <f>IF('1. Live'!AM273='check-Jul25'!AM273,"",'1. Live'!AM273-'check-Jul25'!AM273)</f>
        <v/>
      </c>
      <c r="AN273" t="str">
        <f>IF('1. Live'!AN273='check-Jul25'!AN273,"",'1. Live'!AN273-'check-Jul25'!AN273)</f>
        <v/>
      </c>
      <c r="AO273" t="str">
        <f>IF('1. Live'!AO273='check-Jul25'!AO273,"",'1. Live'!AO273-'check-Jul25'!AO273)</f>
        <v/>
      </c>
      <c r="AP273" t="str">
        <f>IF('1. Live'!AP273='check-Jul25'!AP273,"",'1. Live'!AP273-'check-Jul25'!AP273)</f>
        <v/>
      </c>
      <c r="AQ273" t="str">
        <f>IF('1. Live'!AQ273='check-Jul25'!AQ273,"",'1. Live'!AQ273-'check-Jul25'!AQ273)</f>
        <v/>
      </c>
      <c r="AR273" t="str">
        <f>IF('1. Live'!AR273='check-Jul25'!AR273,"",'1. Live'!AR273-'check-Jul25'!AR273)</f>
        <v/>
      </c>
      <c r="AS273" t="str">
        <f>IF('1. Live'!AS273='check-Jul25'!AS273,"",'1. Live'!AS273-'check-Jul25'!AS273)</f>
        <v/>
      </c>
      <c r="AT273" t="str">
        <f>IF('1. Live'!AT273='check-Jul25'!AT273,"",'1. Live'!AT273-'check-Jul25'!AT273)</f>
        <v/>
      </c>
      <c r="AU273" t="str">
        <f>IF('1. Live'!AU273='check-Jul25'!AU273,"",'1. Live'!AU273-'check-Jul25'!AU273)</f>
        <v/>
      </c>
      <c r="AV273" t="str">
        <f>IF('1. Live'!AV273='check-Jul25'!AV273,"",'1. Live'!AV273-'check-Jul25'!AV273)</f>
        <v/>
      </c>
      <c r="AW273" t="str">
        <f>IF('1. Live'!AW273='check-Jul25'!AW273,"",'1. Live'!AW273-'check-Jul25'!AW273)</f>
        <v/>
      </c>
      <c r="AX273" t="str">
        <f>IF('1. Live'!AX273='check-Jul25'!AX273,"",'1. Live'!AX273-'check-Jul25'!AX273)</f>
        <v/>
      </c>
      <c r="AY273" t="str">
        <f>IF('1. Live'!AY273='check-Jul25'!AY273,"",'1. Live'!AY273-'check-Jul25'!AY273)</f>
        <v/>
      </c>
      <c r="AZ273" t="str">
        <f>IF('1. Live'!AZ273='check-Jul25'!AZ273,"",'1. Live'!AZ273-'check-Jul25'!AZ273)</f>
        <v/>
      </c>
      <c r="BA273" t="str">
        <f>IF('1. Live'!BA273='check-Jul25'!BA273,"",'1. Live'!BA273-'check-Jul25'!BA273)</f>
        <v/>
      </c>
      <c r="BB273" t="str">
        <f>IF('1. Live'!BB273='check-Jul25'!BB273,"",'1. Live'!BB273-'check-Jul25'!BB273)</f>
        <v/>
      </c>
      <c r="BC273" t="str">
        <f>IF('1. Live'!BC273='check-Jul25'!BC273,"",'1. Live'!BC273-'check-Jul25'!BC273)</f>
        <v/>
      </c>
      <c r="BD273" t="str">
        <f>IF('1. Live'!BD273='check-Jul25'!BD273,"",'1. Live'!BD273-'check-Jul25'!BD273)</f>
        <v/>
      </c>
      <c r="BE273" t="str">
        <f>IF('1. Live'!BE273='check-Jul25'!BE273,"",'1. Live'!BE273-'check-Jul25'!BE273)</f>
        <v/>
      </c>
      <c r="BF273" t="str">
        <f>IF('1. Live'!BF273='check-Jul25'!BF273,"",'1. Live'!BF273-'check-Jul25'!BF273)</f>
        <v/>
      </c>
      <c r="BG273" t="str">
        <f>IF('1. Live'!BG273='check-Jul25'!BG273,"",'1. Live'!BG273-'check-Jul25'!BG273)</f>
        <v/>
      </c>
      <c r="BH273" t="str">
        <f>IF('1. Live'!BH273='check-Jul25'!BH273,"",'1. Live'!BH273-'check-Jul25'!BH273)</f>
        <v/>
      </c>
      <c r="BI273" t="str">
        <f>IF('1. Live'!BI273='check-Jul25'!BI273,"",'1. Live'!BI273-'check-Jul25'!BI273)</f>
        <v/>
      </c>
      <c r="BJ273" t="str">
        <f>IF('1. Live'!BJ273='check-Jul25'!BJ273,"",'1. Live'!BJ273-'check-Jul25'!BJ273)</f>
        <v/>
      </c>
      <c r="BK273" t="str">
        <f>IF('1. Live'!BK273='check-Jul25'!BK273,"",'1. Live'!BK273-'check-Jul25'!BK273)</f>
        <v/>
      </c>
      <c r="BL273" t="str">
        <f>IF('1. Live'!BL273='check-Jul25'!BL273,"",'1. Live'!BL273-'check-Jul25'!BL273)</f>
        <v/>
      </c>
      <c r="BM273" t="str">
        <f>IF('1. Live'!BM273='check-Jul25'!BM273,"",'1. Live'!BM273-'check-Jul25'!BM273)</f>
        <v/>
      </c>
      <c r="BN273" t="str">
        <f>IF('1. Live'!BN273='check-Jul25'!BN273,"",'1. Live'!BN273-'check-Jul25'!BN273)</f>
        <v/>
      </c>
      <c r="BO273" t="str">
        <f>IF('1. Live'!BO273='check-Jul25'!BO273,"",'1. Live'!BO273-'check-Jul25'!BO273)</f>
        <v/>
      </c>
      <c r="BP273" t="str">
        <f>IF('1. Live'!BP273='check-Jul25'!BP273,"",'1. Live'!BP273-'check-Jul25'!BP273)</f>
        <v/>
      </c>
      <c r="BQ273" t="str">
        <f>IF('1. Live'!BQ273='check-Jul25'!BQ273,"",'1. Live'!BQ273-'check-Jul25'!BQ273)</f>
        <v/>
      </c>
      <c r="BR273" t="str">
        <f>IF('1. Live'!BR273='check-Jul25'!BR273,"",'1. Live'!BR273-'check-Jul25'!BR273)</f>
        <v/>
      </c>
      <c r="BS273" t="str">
        <f>IF('1. Live'!BS273='check-Jul25'!BS273,"",'1. Live'!BS273-'check-Jul25'!BS273)</f>
        <v/>
      </c>
      <c r="BT273" t="str">
        <f>IF('1. Live'!BT273='check-Jul25'!BT273,"",'1. Live'!BT273-'check-Jul25'!BT273)</f>
        <v/>
      </c>
      <c r="BU273" t="str">
        <f>IF('1. Live'!BU273='check-Jul25'!BU273,"",'1. Live'!BU273-'check-Jul25'!BU273)</f>
        <v/>
      </c>
      <c r="BV273" t="str">
        <f>IF('1. Live'!BV273='check-Jul25'!BV273,"",'1. Live'!BV273-'check-Jul25'!BV273)</f>
        <v/>
      </c>
      <c r="BW273" t="str">
        <f>IF('1. Live'!BW273='check-Jul25'!BW273,"",'1. Live'!BW273-'check-Jul25'!BW273)</f>
        <v/>
      </c>
      <c r="BX273" t="str">
        <f>IF('1. Live'!BX273='check-Jul25'!BX273,"",'1. Live'!BX273-'check-Jul25'!BX273)</f>
        <v/>
      </c>
      <c r="BY273" t="str">
        <f>IF('1. Live'!BY273='check-Jul25'!BY273,"",'1. Live'!BY273-'check-Jul25'!BY273)</f>
        <v/>
      </c>
      <c r="BZ273" t="str">
        <f>IF('1. Live'!BZ273='check-Jul25'!BZ273,"",'1. Live'!BZ273-'check-Jul25'!BZ273)</f>
        <v/>
      </c>
      <c r="CA273" t="str">
        <f>IF('1. Live'!CA273='check-Jul25'!CA273,"",'1. Live'!CA273-'check-Jul25'!CA273)</f>
        <v/>
      </c>
      <c r="CB273" t="str">
        <f>IF('1. Live'!CB273='check-Jul25'!CB273,"",'1. Live'!CB273-'check-Jul25'!CB273)</f>
        <v/>
      </c>
      <c r="CC273" t="str">
        <f>IF('1. Live'!CC273='check-Jul25'!CC273,"",'1. Live'!CC273-'check-Jul25'!CC273)</f>
        <v/>
      </c>
      <c r="CD273" t="str">
        <f>IF('1. Live'!CD273='check-Jul25'!CD273,"",'1. Live'!CD273-'check-Jul25'!CD273)</f>
        <v/>
      </c>
      <c r="CE273" t="str">
        <f>IF('1. Live'!CE273='check-Jul25'!CE273,"",'1. Live'!CE273-'check-Jul25'!CE273)</f>
        <v/>
      </c>
      <c r="CF273" t="str">
        <f>IF('1. Live'!CF273='check-Jul25'!CF273,"",'1. Live'!CF273-'check-Jul25'!CF273)</f>
        <v/>
      </c>
      <c r="CG273" t="str">
        <f>IF('1. Live'!CG273='check-Jul25'!CG273,"",'1. Live'!CG273-'check-Jul25'!CG273)</f>
        <v/>
      </c>
      <c r="CH273" t="str">
        <f>IF('1. Live'!CH273='check-Jul25'!CH273,"",'1. Live'!CH273-'check-Jul25'!CH273)</f>
        <v/>
      </c>
      <c r="CI273" t="str">
        <f>IF('1. Live'!CI273='check-Jul25'!CI273,"",'1. Live'!CI273-'check-Jul25'!CI273)</f>
        <v/>
      </c>
      <c r="CJ273" t="str">
        <f>IF('1. Live'!CJ273='check-Jul25'!CJ273,"",'1. Live'!CJ273-'check-Jul25'!CJ273)</f>
        <v/>
      </c>
      <c r="CK273" t="str">
        <f>IF('1. Live'!CK273='check-Jul25'!CK273,"",'1. Live'!CK273-'check-Jul25'!CK273)</f>
        <v/>
      </c>
      <c r="CL273" t="str">
        <f>IF('1. Live'!CL273='check-Jul25'!CL273,"",'1. Live'!CL273-'check-Jul25'!CL273)</f>
        <v/>
      </c>
      <c r="CM273" t="str">
        <f>IF('1. Live'!CM273='check-Jul25'!CM273,"",'1. Live'!CM273-'check-Jul25'!CM273)</f>
        <v/>
      </c>
      <c r="CN273" t="str">
        <f>IF('1. Live'!CN273='check-Jul25'!CN273,"",'1. Live'!CN273-'check-Jul25'!CN273)</f>
        <v/>
      </c>
      <c r="CO273" t="str">
        <f>IF('1. Live'!CO273='check-Jul25'!CO273,"",'1. Live'!CO273-'check-Jul25'!CO273)</f>
        <v/>
      </c>
      <c r="CP273" t="str">
        <f>IF('1. Live'!CP273='check-Jul25'!CP273,"",'1. Live'!CP273-'check-Jul25'!CP273)</f>
        <v/>
      </c>
      <c r="CQ273" t="str">
        <f>IF('1. Live'!CQ273='check-Jul25'!CQ273,"",'1. Live'!CQ273-'check-Jul25'!CQ273)</f>
        <v/>
      </c>
      <c r="CR273" t="str">
        <f>IF('1. Live'!CR273='check-Jul25'!CR273,"",'1. Live'!CR273-'check-Jul25'!CR273)</f>
        <v/>
      </c>
      <c r="CS273" t="str">
        <f>IF('1. Live'!CS273='check-Jul25'!CS273,"",'1. Live'!CS273-'check-Jul25'!CS273)</f>
        <v/>
      </c>
      <c r="CT273" t="str">
        <f>IF('1. Live'!CT273='check-Jul25'!CT273,"",'1. Live'!CT273-'check-Jul25'!CT273)</f>
        <v/>
      </c>
      <c r="CU273" t="str">
        <f>IF('1. Live'!CU273='check-Jul25'!CU273,"",'1. Live'!CU273-'check-Jul25'!CU273)</f>
        <v/>
      </c>
      <c r="CV273" t="str">
        <f>IF('1. Live'!CV273='check-Jul25'!CV273,"",'1. Live'!CV273-'check-Jul25'!CV273)</f>
        <v/>
      </c>
      <c r="CW273" t="str">
        <f>IF('1. Live'!CW273='check-Jul25'!CW273,"",'1. Live'!CW273-'check-Jul25'!CW273)</f>
        <v/>
      </c>
    </row>
    <row r="274" spans="10:101">
      <c r="J274" t="str">
        <f>IF('1. Live'!J274='check-Jul25'!J274,"",'1. Live'!J274-'check-Jul25'!J274)</f>
        <v/>
      </c>
      <c r="K274" t="str">
        <f>IF('1. Live'!K274='check-Jul25'!K274,"",'1. Live'!K274-'check-Jul25'!K274)</f>
        <v/>
      </c>
      <c r="L274" t="str">
        <f>IF('1. Live'!L274='check-Jul25'!L274,"",'1. Live'!L274-'check-Jul25'!L274)</f>
        <v/>
      </c>
      <c r="M274" t="str">
        <f>IF('1. Live'!M274='check-Jul25'!M274,"",'1. Live'!M274-'check-Jul25'!M274)</f>
        <v/>
      </c>
      <c r="N274" t="str">
        <f>IF('1. Live'!N274='check-Jul25'!N274,"",'1. Live'!N274-'check-Jul25'!N274)</f>
        <v/>
      </c>
      <c r="O274" t="str">
        <f>IF('1. Live'!O274='check-Jul25'!O274,"",'1. Live'!O274-'check-Jul25'!O274)</f>
        <v/>
      </c>
      <c r="P274" t="str">
        <f>IF('1. Live'!P274='check-Jul25'!P274,"",'1. Live'!P274-'check-Jul25'!P274)</f>
        <v/>
      </c>
      <c r="Q274" t="str">
        <f>IF('1. Live'!Q274='check-Jul25'!Q274,"",'1. Live'!Q274-'check-Jul25'!Q274)</f>
        <v/>
      </c>
      <c r="R274" t="str">
        <f>IF('1. Live'!R274='check-Jul25'!R274,"",'1. Live'!R274-'check-Jul25'!R274)</f>
        <v/>
      </c>
      <c r="S274" t="str">
        <f>IF('1. Live'!S274='check-Jul25'!S274,"",'1. Live'!S274-'check-Jul25'!S274)</f>
        <v/>
      </c>
      <c r="T274" t="str">
        <f>IF('1. Live'!T274='check-Jul25'!T274,"",'1. Live'!T274-'check-Jul25'!T274)</f>
        <v/>
      </c>
      <c r="U274" t="str">
        <f>IF('1. Live'!U274='check-Jul25'!U274,"",'1. Live'!U274-'check-Jul25'!U274)</f>
        <v/>
      </c>
      <c r="V274" t="str">
        <f>IF('1. Live'!V274='check-Jul25'!V274,"",'1. Live'!V274-'check-Jul25'!V274)</f>
        <v/>
      </c>
      <c r="W274" t="str">
        <f>IF('1. Live'!W274='check-Jul25'!W274,"",'1. Live'!W274-'check-Jul25'!W274)</f>
        <v/>
      </c>
      <c r="X274" t="str">
        <f>IF('1. Live'!X274='check-Jul25'!X274,"",'1. Live'!X274-'check-Jul25'!X274)</f>
        <v/>
      </c>
      <c r="Y274" t="str">
        <f>IF('1. Live'!Y274='check-Jul25'!Y274,"",'1. Live'!Y274-'check-Jul25'!Y274)</f>
        <v/>
      </c>
      <c r="Z274" t="str">
        <f>IF('1. Live'!Z274='check-Jul25'!Z274,"",'1. Live'!Z274-'check-Jul25'!Z274)</f>
        <v/>
      </c>
      <c r="AA274" t="str">
        <f>IF('1. Live'!AA274='check-Jul25'!AA274,"",'1. Live'!AA274-'check-Jul25'!AA274)</f>
        <v/>
      </c>
      <c r="AB274" t="str">
        <f>IF('1. Live'!AB274='check-Jul25'!AB274,"",'1. Live'!AB274-'check-Jul25'!AB274)</f>
        <v/>
      </c>
      <c r="AC274" t="str">
        <f>IF('1. Live'!AC274='check-Jul25'!AC274,"",'1. Live'!AC274-'check-Jul25'!AC274)</f>
        <v/>
      </c>
      <c r="AD274" t="str">
        <f>IF('1. Live'!AD274='check-Jul25'!AD274,"",'1. Live'!AD274-'check-Jul25'!AD274)</f>
        <v/>
      </c>
      <c r="AE274" t="str">
        <f>IF('1. Live'!AE274='check-Jul25'!AE274,"",'1. Live'!AE274-'check-Jul25'!AE274)</f>
        <v/>
      </c>
      <c r="AF274" t="str">
        <f>IF('1. Live'!AF274='check-Jul25'!AF274,"",'1. Live'!AF274-'check-Jul25'!AF274)</f>
        <v/>
      </c>
      <c r="AG274" t="str">
        <f>IF('1. Live'!AG274='check-Jul25'!AG274,"",'1. Live'!AG274-'check-Jul25'!AG274)</f>
        <v/>
      </c>
      <c r="AH274" t="str">
        <f>IF('1. Live'!AH274='check-Jul25'!AH274,"",'1. Live'!AH274-'check-Jul25'!AH274)</f>
        <v/>
      </c>
      <c r="AI274" t="str">
        <f>IF('1. Live'!AI274='check-Jul25'!AI274,"",'1. Live'!AI274-'check-Jul25'!AI274)</f>
        <v/>
      </c>
      <c r="AJ274" t="str">
        <f>IF('1. Live'!AJ274='check-Jul25'!AJ274,"",'1. Live'!AJ274-'check-Jul25'!AJ274)</f>
        <v/>
      </c>
      <c r="AK274" t="str">
        <f>IF('1. Live'!AK274='check-Jul25'!AK274,"",'1. Live'!AK274-'check-Jul25'!AK274)</f>
        <v/>
      </c>
      <c r="AL274" t="str">
        <f>IF('1. Live'!AL274='check-Jul25'!AL274,"",'1. Live'!AL274-'check-Jul25'!AL274)</f>
        <v/>
      </c>
      <c r="AM274" t="str">
        <f>IF('1. Live'!AM274='check-Jul25'!AM274,"",'1. Live'!AM274-'check-Jul25'!AM274)</f>
        <v/>
      </c>
      <c r="AN274" t="str">
        <f>IF('1. Live'!AN274='check-Jul25'!AN274,"",'1. Live'!AN274-'check-Jul25'!AN274)</f>
        <v/>
      </c>
      <c r="AO274" t="str">
        <f>IF('1. Live'!AO274='check-Jul25'!AO274,"",'1. Live'!AO274-'check-Jul25'!AO274)</f>
        <v/>
      </c>
      <c r="AP274" t="str">
        <f>IF('1. Live'!AP274='check-Jul25'!AP274,"",'1. Live'!AP274-'check-Jul25'!AP274)</f>
        <v/>
      </c>
      <c r="AQ274" t="str">
        <f>IF('1. Live'!AQ274='check-Jul25'!AQ274,"",'1. Live'!AQ274-'check-Jul25'!AQ274)</f>
        <v/>
      </c>
      <c r="AR274" t="str">
        <f>IF('1. Live'!AR274='check-Jul25'!AR274,"",'1. Live'!AR274-'check-Jul25'!AR274)</f>
        <v/>
      </c>
      <c r="AS274" t="str">
        <f>IF('1. Live'!AS274='check-Jul25'!AS274,"",'1. Live'!AS274-'check-Jul25'!AS274)</f>
        <v/>
      </c>
      <c r="AT274" t="str">
        <f>IF('1. Live'!AT274='check-Jul25'!AT274,"",'1. Live'!AT274-'check-Jul25'!AT274)</f>
        <v/>
      </c>
      <c r="AU274" t="str">
        <f>IF('1. Live'!AU274='check-Jul25'!AU274,"",'1. Live'!AU274-'check-Jul25'!AU274)</f>
        <v/>
      </c>
      <c r="AV274" t="str">
        <f>IF('1. Live'!AV274='check-Jul25'!AV274,"",'1. Live'!AV274-'check-Jul25'!AV274)</f>
        <v/>
      </c>
      <c r="AW274" t="str">
        <f>IF('1. Live'!AW274='check-Jul25'!AW274,"",'1. Live'!AW274-'check-Jul25'!AW274)</f>
        <v/>
      </c>
      <c r="AX274" t="str">
        <f>IF('1. Live'!AX274='check-Jul25'!AX274,"",'1. Live'!AX274-'check-Jul25'!AX274)</f>
        <v/>
      </c>
      <c r="AY274" t="str">
        <f>IF('1. Live'!AY274='check-Jul25'!AY274,"",'1. Live'!AY274-'check-Jul25'!AY274)</f>
        <v/>
      </c>
      <c r="AZ274" t="str">
        <f>IF('1. Live'!AZ274='check-Jul25'!AZ274,"",'1. Live'!AZ274-'check-Jul25'!AZ274)</f>
        <v/>
      </c>
      <c r="BA274" t="str">
        <f>IF('1. Live'!BA274='check-Jul25'!BA274,"",'1. Live'!BA274-'check-Jul25'!BA274)</f>
        <v/>
      </c>
      <c r="BB274" t="str">
        <f>IF('1. Live'!BB274='check-Jul25'!BB274,"",'1. Live'!BB274-'check-Jul25'!BB274)</f>
        <v/>
      </c>
      <c r="BC274" t="str">
        <f>IF('1. Live'!BC274='check-Jul25'!BC274,"",'1. Live'!BC274-'check-Jul25'!BC274)</f>
        <v/>
      </c>
      <c r="BD274" t="str">
        <f>IF('1. Live'!BD274='check-Jul25'!BD274,"",'1. Live'!BD274-'check-Jul25'!BD274)</f>
        <v/>
      </c>
      <c r="BE274" t="str">
        <f>IF('1. Live'!BE274='check-Jul25'!BE274,"",'1. Live'!BE274-'check-Jul25'!BE274)</f>
        <v/>
      </c>
      <c r="BF274" t="str">
        <f>IF('1. Live'!BF274='check-Jul25'!BF274,"",'1. Live'!BF274-'check-Jul25'!BF274)</f>
        <v/>
      </c>
      <c r="BG274" t="str">
        <f>IF('1. Live'!BG274='check-Jul25'!BG274,"",'1. Live'!BG274-'check-Jul25'!BG274)</f>
        <v/>
      </c>
      <c r="BH274" t="str">
        <f>IF('1. Live'!BH274='check-Jul25'!BH274,"",'1. Live'!BH274-'check-Jul25'!BH274)</f>
        <v/>
      </c>
      <c r="BI274" t="str">
        <f>IF('1. Live'!BI274='check-Jul25'!BI274,"",'1. Live'!BI274-'check-Jul25'!BI274)</f>
        <v/>
      </c>
      <c r="BJ274" t="str">
        <f>IF('1. Live'!BJ274='check-Jul25'!BJ274,"",'1. Live'!BJ274-'check-Jul25'!BJ274)</f>
        <v/>
      </c>
      <c r="BK274" t="str">
        <f>IF('1. Live'!BK274='check-Jul25'!BK274,"",'1. Live'!BK274-'check-Jul25'!BK274)</f>
        <v/>
      </c>
      <c r="BL274" t="str">
        <f>IF('1. Live'!BL274='check-Jul25'!BL274,"",'1. Live'!BL274-'check-Jul25'!BL274)</f>
        <v/>
      </c>
      <c r="BM274" t="str">
        <f>IF('1. Live'!BM274='check-Jul25'!BM274,"",'1. Live'!BM274-'check-Jul25'!BM274)</f>
        <v/>
      </c>
      <c r="BN274" t="str">
        <f>IF('1. Live'!BN274='check-Jul25'!BN274,"",'1. Live'!BN274-'check-Jul25'!BN274)</f>
        <v/>
      </c>
      <c r="BO274" t="str">
        <f>IF('1. Live'!BO274='check-Jul25'!BO274,"",'1. Live'!BO274-'check-Jul25'!BO274)</f>
        <v/>
      </c>
      <c r="BP274" t="str">
        <f>IF('1. Live'!BP274='check-Jul25'!BP274,"",'1. Live'!BP274-'check-Jul25'!BP274)</f>
        <v/>
      </c>
      <c r="BQ274" t="str">
        <f>IF('1. Live'!BQ274='check-Jul25'!BQ274,"",'1. Live'!BQ274-'check-Jul25'!BQ274)</f>
        <v/>
      </c>
      <c r="BR274" t="str">
        <f>IF('1. Live'!BR274='check-Jul25'!BR274,"",'1. Live'!BR274-'check-Jul25'!BR274)</f>
        <v/>
      </c>
      <c r="BS274" t="str">
        <f>IF('1. Live'!BS274='check-Jul25'!BS274,"",'1. Live'!BS274-'check-Jul25'!BS274)</f>
        <v/>
      </c>
      <c r="BT274" t="str">
        <f>IF('1. Live'!BT274='check-Jul25'!BT274,"",'1. Live'!BT274-'check-Jul25'!BT274)</f>
        <v/>
      </c>
      <c r="BU274" t="str">
        <f>IF('1. Live'!BU274='check-Jul25'!BU274,"",'1. Live'!BU274-'check-Jul25'!BU274)</f>
        <v/>
      </c>
      <c r="BV274" t="str">
        <f>IF('1. Live'!BV274='check-Jul25'!BV274,"",'1. Live'!BV274-'check-Jul25'!BV274)</f>
        <v/>
      </c>
      <c r="BW274" t="str">
        <f>IF('1. Live'!BW274='check-Jul25'!BW274,"",'1. Live'!BW274-'check-Jul25'!BW274)</f>
        <v/>
      </c>
      <c r="BX274" t="str">
        <f>IF('1. Live'!BX274='check-Jul25'!BX274,"",'1. Live'!BX274-'check-Jul25'!BX274)</f>
        <v/>
      </c>
      <c r="BY274" t="str">
        <f>IF('1. Live'!BY274='check-Jul25'!BY274,"",'1. Live'!BY274-'check-Jul25'!BY274)</f>
        <v/>
      </c>
      <c r="BZ274" t="str">
        <f>IF('1. Live'!BZ274='check-Jul25'!BZ274,"",'1. Live'!BZ274-'check-Jul25'!BZ274)</f>
        <v/>
      </c>
      <c r="CA274" t="str">
        <f>IF('1. Live'!CA274='check-Jul25'!CA274,"",'1. Live'!CA274-'check-Jul25'!CA274)</f>
        <v/>
      </c>
      <c r="CB274" t="str">
        <f>IF('1. Live'!CB274='check-Jul25'!CB274,"",'1. Live'!CB274-'check-Jul25'!CB274)</f>
        <v/>
      </c>
      <c r="CC274" t="str">
        <f>IF('1. Live'!CC274='check-Jul25'!CC274,"",'1. Live'!CC274-'check-Jul25'!CC274)</f>
        <v/>
      </c>
      <c r="CD274" t="str">
        <f>IF('1. Live'!CD274='check-Jul25'!CD274,"",'1. Live'!CD274-'check-Jul25'!CD274)</f>
        <v/>
      </c>
      <c r="CE274" t="str">
        <f>IF('1. Live'!CE274='check-Jul25'!CE274,"",'1. Live'!CE274-'check-Jul25'!CE274)</f>
        <v/>
      </c>
      <c r="CF274" t="str">
        <f>IF('1. Live'!CF274='check-Jul25'!CF274,"",'1. Live'!CF274-'check-Jul25'!CF274)</f>
        <v/>
      </c>
      <c r="CG274" t="str">
        <f>IF('1. Live'!CG274='check-Jul25'!CG274,"",'1. Live'!CG274-'check-Jul25'!CG274)</f>
        <v/>
      </c>
      <c r="CH274" t="str">
        <f>IF('1. Live'!CH274='check-Jul25'!CH274,"",'1. Live'!CH274-'check-Jul25'!CH274)</f>
        <v/>
      </c>
      <c r="CI274" t="str">
        <f>IF('1. Live'!CI274='check-Jul25'!CI274,"",'1. Live'!CI274-'check-Jul25'!CI274)</f>
        <v/>
      </c>
      <c r="CJ274" t="str">
        <f>IF('1. Live'!CJ274='check-Jul25'!CJ274,"",'1. Live'!CJ274-'check-Jul25'!CJ274)</f>
        <v/>
      </c>
      <c r="CK274" t="str">
        <f>IF('1. Live'!CK274='check-Jul25'!CK274,"",'1. Live'!CK274-'check-Jul25'!CK274)</f>
        <v/>
      </c>
      <c r="CL274" t="str">
        <f>IF('1. Live'!CL274='check-Jul25'!CL274,"",'1. Live'!CL274-'check-Jul25'!CL274)</f>
        <v/>
      </c>
      <c r="CM274" t="str">
        <f>IF('1. Live'!CM274='check-Jul25'!CM274,"",'1. Live'!CM274-'check-Jul25'!CM274)</f>
        <v/>
      </c>
      <c r="CN274" t="str">
        <f>IF('1. Live'!CN274='check-Jul25'!CN274,"",'1. Live'!CN274-'check-Jul25'!CN274)</f>
        <v/>
      </c>
      <c r="CO274" t="str">
        <f>IF('1. Live'!CO274='check-Jul25'!CO274,"",'1. Live'!CO274-'check-Jul25'!CO274)</f>
        <v/>
      </c>
      <c r="CP274" t="str">
        <f>IF('1. Live'!CP274='check-Jul25'!CP274,"",'1. Live'!CP274-'check-Jul25'!CP274)</f>
        <v/>
      </c>
      <c r="CQ274" t="str">
        <f>IF('1. Live'!CQ274='check-Jul25'!CQ274,"",'1. Live'!CQ274-'check-Jul25'!CQ274)</f>
        <v/>
      </c>
      <c r="CR274" t="str">
        <f>IF('1. Live'!CR274='check-Jul25'!CR274,"",'1. Live'!CR274-'check-Jul25'!CR274)</f>
        <v/>
      </c>
      <c r="CS274" t="str">
        <f>IF('1. Live'!CS274='check-Jul25'!CS274,"",'1. Live'!CS274-'check-Jul25'!CS274)</f>
        <v/>
      </c>
      <c r="CT274" t="str">
        <f>IF('1. Live'!CT274='check-Jul25'!CT274,"",'1. Live'!CT274-'check-Jul25'!CT274)</f>
        <v/>
      </c>
      <c r="CU274" t="str">
        <f>IF('1. Live'!CU274='check-Jul25'!CU274,"",'1. Live'!CU274-'check-Jul25'!CU274)</f>
        <v/>
      </c>
      <c r="CV274" t="str">
        <f>IF('1. Live'!CV274='check-Jul25'!CV274,"",'1. Live'!CV274-'check-Jul25'!CV274)</f>
        <v/>
      </c>
      <c r="CW274" t="str">
        <f>IF('1. Live'!CW274='check-Jul25'!CW274,"",'1. Live'!CW274-'check-Jul25'!CW274)</f>
        <v/>
      </c>
    </row>
    <row r="275" spans="10:101">
      <c r="J275" t="str">
        <f>IF('1. Live'!J275='check-Jul25'!J275,"",'1. Live'!J275-'check-Jul25'!J275)</f>
        <v/>
      </c>
      <c r="K275" t="str">
        <f>IF('1. Live'!K275='check-Jul25'!K275,"",'1. Live'!K275-'check-Jul25'!K275)</f>
        <v/>
      </c>
      <c r="L275" t="str">
        <f>IF('1. Live'!L275='check-Jul25'!L275,"",'1. Live'!L275-'check-Jul25'!L275)</f>
        <v/>
      </c>
      <c r="M275" t="str">
        <f>IF('1. Live'!M275='check-Jul25'!M275,"",'1. Live'!M275-'check-Jul25'!M275)</f>
        <v/>
      </c>
      <c r="N275" t="str">
        <f>IF('1. Live'!N275='check-Jul25'!N275,"",'1. Live'!N275-'check-Jul25'!N275)</f>
        <v/>
      </c>
      <c r="O275" t="str">
        <f>IF('1. Live'!O275='check-Jul25'!O275,"",'1. Live'!O275-'check-Jul25'!O275)</f>
        <v/>
      </c>
      <c r="P275" t="str">
        <f>IF('1. Live'!P275='check-Jul25'!P275,"",'1. Live'!P275-'check-Jul25'!P275)</f>
        <v/>
      </c>
      <c r="Q275" t="str">
        <f>IF('1. Live'!Q275='check-Jul25'!Q275,"",'1. Live'!Q275-'check-Jul25'!Q275)</f>
        <v/>
      </c>
      <c r="R275" t="str">
        <f>IF('1. Live'!R275='check-Jul25'!R275,"",'1. Live'!R275-'check-Jul25'!R275)</f>
        <v/>
      </c>
      <c r="S275" t="str">
        <f>IF('1. Live'!S275='check-Jul25'!S275,"",'1. Live'!S275-'check-Jul25'!S275)</f>
        <v/>
      </c>
      <c r="T275" t="str">
        <f>IF('1. Live'!T275='check-Jul25'!T275,"",'1. Live'!T275-'check-Jul25'!T275)</f>
        <v/>
      </c>
      <c r="U275" t="str">
        <f>IF('1. Live'!U275='check-Jul25'!U275,"",'1. Live'!U275-'check-Jul25'!U275)</f>
        <v/>
      </c>
      <c r="V275" t="str">
        <f>IF('1. Live'!V275='check-Jul25'!V275,"",'1. Live'!V275-'check-Jul25'!V275)</f>
        <v/>
      </c>
      <c r="W275" t="str">
        <f>IF('1. Live'!W275='check-Jul25'!W275,"",'1. Live'!W275-'check-Jul25'!W275)</f>
        <v/>
      </c>
      <c r="X275" t="str">
        <f>IF('1. Live'!X275='check-Jul25'!X275,"",'1. Live'!X275-'check-Jul25'!X275)</f>
        <v/>
      </c>
      <c r="Y275" t="str">
        <f>IF('1. Live'!Y275='check-Jul25'!Y275,"",'1. Live'!Y275-'check-Jul25'!Y275)</f>
        <v/>
      </c>
      <c r="Z275" t="str">
        <f>IF('1. Live'!Z275='check-Jul25'!Z275,"",'1. Live'!Z275-'check-Jul25'!Z275)</f>
        <v/>
      </c>
      <c r="AA275" t="str">
        <f>IF('1. Live'!AA275='check-Jul25'!AA275,"",'1. Live'!AA275-'check-Jul25'!AA275)</f>
        <v/>
      </c>
      <c r="AB275" t="str">
        <f>IF('1. Live'!AB275='check-Jul25'!AB275,"",'1. Live'!AB275-'check-Jul25'!AB275)</f>
        <v/>
      </c>
      <c r="AC275" t="str">
        <f>IF('1. Live'!AC275='check-Jul25'!AC275,"",'1. Live'!AC275-'check-Jul25'!AC275)</f>
        <v/>
      </c>
      <c r="AD275" t="str">
        <f>IF('1. Live'!AD275='check-Jul25'!AD275,"",'1. Live'!AD275-'check-Jul25'!AD275)</f>
        <v/>
      </c>
      <c r="AE275" t="str">
        <f>IF('1. Live'!AE275='check-Jul25'!AE275,"",'1. Live'!AE275-'check-Jul25'!AE275)</f>
        <v/>
      </c>
      <c r="AF275" t="str">
        <f>IF('1. Live'!AF275='check-Jul25'!AF275,"",'1. Live'!AF275-'check-Jul25'!AF275)</f>
        <v/>
      </c>
      <c r="AG275" t="str">
        <f>IF('1. Live'!AG275='check-Jul25'!AG275,"",'1. Live'!AG275-'check-Jul25'!AG275)</f>
        <v/>
      </c>
      <c r="AH275" t="str">
        <f>IF('1. Live'!AH275='check-Jul25'!AH275,"",'1. Live'!AH275-'check-Jul25'!AH275)</f>
        <v/>
      </c>
      <c r="AI275" t="str">
        <f>IF('1. Live'!AI275='check-Jul25'!AI275,"",'1. Live'!AI275-'check-Jul25'!AI275)</f>
        <v/>
      </c>
      <c r="AJ275" t="str">
        <f>IF('1. Live'!AJ275='check-Jul25'!AJ275,"",'1. Live'!AJ275-'check-Jul25'!AJ275)</f>
        <v/>
      </c>
      <c r="AK275" t="str">
        <f>IF('1. Live'!AK275='check-Jul25'!AK275,"",'1. Live'!AK275-'check-Jul25'!AK275)</f>
        <v/>
      </c>
      <c r="AL275" t="str">
        <f>IF('1. Live'!AL275='check-Jul25'!AL275,"",'1. Live'!AL275-'check-Jul25'!AL275)</f>
        <v/>
      </c>
      <c r="AM275" t="str">
        <f>IF('1. Live'!AM275='check-Jul25'!AM275,"",'1. Live'!AM275-'check-Jul25'!AM275)</f>
        <v/>
      </c>
      <c r="AN275" t="str">
        <f>IF('1. Live'!AN275='check-Jul25'!AN275,"",'1. Live'!AN275-'check-Jul25'!AN275)</f>
        <v/>
      </c>
      <c r="AO275" t="str">
        <f>IF('1. Live'!AO275='check-Jul25'!AO275,"",'1. Live'!AO275-'check-Jul25'!AO275)</f>
        <v/>
      </c>
      <c r="AP275" t="str">
        <f>IF('1. Live'!AP275='check-Jul25'!AP275,"",'1. Live'!AP275-'check-Jul25'!AP275)</f>
        <v/>
      </c>
      <c r="AQ275" t="str">
        <f>IF('1. Live'!AQ275='check-Jul25'!AQ275,"",'1. Live'!AQ275-'check-Jul25'!AQ275)</f>
        <v/>
      </c>
      <c r="AR275" t="str">
        <f>IF('1. Live'!AR275='check-Jul25'!AR275,"",'1. Live'!AR275-'check-Jul25'!AR275)</f>
        <v/>
      </c>
      <c r="AS275" t="str">
        <f>IF('1. Live'!AS275='check-Jul25'!AS275,"",'1. Live'!AS275-'check-Jul25'!AS275)</f>
        <v/>
      </c>
      <c r="AT275" t="str">
        <f>IF('1. Live'!AT275='check-Jul25'!AT275,"",'1. Live'!AT275-'check-Jul25'!AT275)</f>
        <v/>
      </c>
      <c r="AU275" t="str">
        <f>IF('1. Live'!AU275='check-Jul25'!AU275,"",'1. Live'!AU275-'check-Jul25'!AU275)</f>
        <v/>
      </c>
      <c r="AV275" t="str">
        <f>IF('1. Live'!AV275='check-Jul25'!AV275,"",'1. Live'!AV275-'check-Jul25'!AV275)</f>
        <v/>
      </c>
      <c r="AW275" t="str">
        <f>IF('1. Live'!AW275='check-Jul25'!AW275,"",'1. Live'!AW275-'check-Jul25'!AW275)</f>
        <v/>
      </c>
      <c r="AX275" t="str">
        <f>IF('1. Live'!AX275='check-Jul25'!AX275,"",'1. Live'!AX275-'check-Jul25'!AX275)</f>
        <v/>
      </c>
      <c r="AY275" t="str">
        <f>IF('1. Live'!AY275='check-Jul25'!AY275,"",'1. Live'!AY275-'check-Jul25'!AY275)</f>
        <v/>
      </c>
      <c r="AZ275" t="str">
        <f>IF('1. Live'!AZ275='check-Jul25'!AZ275,"",'1. Live'!AZ275-'check-Jul25'!AZ275)</f>
        <v/>
      </c>
      <c r="BA275" t="str">
        <f>IF('1. Live'!BA275='check-Jul25'!BA275,"",'1. Live'!BA275-'check-Jul25'!BA275)</f>
        <v/>
      </c>
      <c r="BB275" t="str">
        <f>IF('1. Live'!BB275='check-Jul25'!BB275,"",'1. Live'!BB275-'check-Jul25'!BB275)</f>
        <v/>
      </c>
      <c r="BC275" t="str">
        <f>IF('1. Live'!BC275='check-Jul25'!BC275,"",'1. Live'!BC275-'check-Jul25'!BC275)</f>
        <v/>
      </c>
      <c r="BD275" t="str">
        <f>IF('1. Live'!BD275='check-Jul25'!BD275,"",'1. Live'!BD275-'check-Jul25'!BD275)</f>
        <v/>
      </c>
      <c r="BE275" t="str">
        <f>IF('1. Live'!BE275='check-Jul25'!BE275,"",'1. Live'!BE275-'check-Jul25'!BE275)</f>
        <v/>
      </c>
      <c r="BF275" t="str">
        <f>IF('1. Live'!BF275='check-Jul25'!BF275,"",'1. Live'!BF275-'check-Jul25'!BF275)</f>
        <v/>
      </c>
      <c r="BG275" t="str">
        <f>IF('1. Live'!BG275='check-Jul25'!BG275,"",'1. Live'!BG275-'check-Jul25'!BG275)</f>
        <v/>
      </c>
      <c r="BH275" t="str">
        <f>IF('1. Live'!BH275='check-Jul25'!BH275,"",'1. Live'!BH275-'check-Jul25'!BH275)</f>
        <v/>
      </c>
      <c r="BI275" t="str">
        <f>IF('1. Live'!BI275='check-Jul25'!BI275,"",'1. Live'!BI275-'check-Jul25'!BI275)</f>
        <v/>
      </c>
      <c r="BJ275" t="str">
        <f>IF('1. Live'!BJ275='check-Jul25'!BJ275,"",'1. Live'!BJ275-'check-Jul25'!BJ275)</f>
        <v/>
      </c>
      <c r="BK275" t="str">
        <f>IF('1. Live'!BK275='check-Jul25'!BK275,"",'1. Live'!BK275-'check-Jul25'!BK275)</f>
        <v/>
      </c>
      <c r="BL275" t="str">
        <f>IF('1. Live'!BL275='check-Jul25'!BL275,"",'1. Live'!BL275-'check-Jul25'!BL275)</f>
        <v/>
      </c>
      <c r="BM275" t="str">
        <f>IF('1. Live'!BM275='check-Jul25'!BM275,"",'1. Live'!BM275-'check-Jul25'!BM275)</f>
        <v/>
      </c>
      <c r="BN275" t="str">
        <f>IF('1. Live'!BN275='check-Jul25'!BN275,"",'1. Live'!BN275-'check-Jul25'!BN275)</f>
        <v/>
      </c>
      <c r="BO275" t="str">
        <f>IF('1. Live'!BO275='check-Jul25'!BO275,"",'1. Live'!BO275-'check-Jul25'!BO275)</f>
        <v/>
      </c>
      <c r="BP275" t="str">
        <f>IF('1. Live'!BP275='check-Jul25'!BP275,"",'1. Live'!BP275-'check-Jul25'!BP275)</f>
        <v/>
      </c>
      <c r="BQ275" t="str">
        <f>IF('1. Live'!BQ275='check-Jul25'!BQ275,"",'1. Live'!BQ275-'check-Jul25'!BQ275)</f>
        <v/>
      </c>
      <c r="BR275" t="str">
        <f>IF('1. Live'!BR275='check-Jul25'!BR275,"",'1. Live'!BR275-'check-Jul25'!BR275)</f>
        <v/>
      </c>
      <c r="BS275" t="str">
        <f>IF('1. Live'!BS275='check-Jul25'!BS275,"",'1. Live'!BS275-'check-Jul25'!BS275)</f>
        <v/>
      </c>
      <c r="BT275" t="str">
        <f>IF('1. Live'!BT275='check-Jul25'!BT275,"",'1. Live'!BT275-'check-Jul25'!BT275)</f>
        <v/>
      </c>
      <c r="BU275" t="str">
        <f>IF('1. Live'!BU275='check-Jul25'!BU275,"",'1. Live'!BU275-'check-Jul25'!BU275)</f>
        <v/>
      </c>
      <c r="BV275" t="str">
        <f>IF('1. Live'!BV275='check-Jul25'!BV275,"",'1. Live'!BV275-'check-Jul25'!BV275)</f>
        <v/>
      </c>
      <c r="BW275" t="str">
        <f>IF('1. Live'!BW275='check-Jul25'!BW275,"",'1. Live'!BW275-'check-Jul25'!BW275)</f>
        <v/>
      </c>
      <c r="BX275" t="str">
        <f>IF('1. Live'!BX275='check-Jul25'!BX275,"",'1. Live'!BX275-'check-Jul25'!BX275)</f>
        <v/>
      </c>
      <c r="BY275" t="str">
        <f>IF('1. Live'!BY275='check-Jul25'!BY275,"",'1. Live'!BY275-'check-Jul25'!BY275)</f>
        <v/>
      </c>
      <c r="BZ275" t="str">
        <f>IF('1. Live'!BZ275='check-Jul25'!BZ275,"",'1. Live'!BZ275-'check-Jul25'!BZ275)</f>
        <v/>
      </c>
      <c r="CA275" t="str">
        <f>IF('1. Live'!CA275='check-Jul25'!CA275,"",'1. Live'!CA275-'check-Jul25'!CA275)</f>
        <v/>
      </c>
      <c r="CB275" t="str">
        <f>IF('1. Live'!CB275='check-Jul25'!CB275,"",'1. Live'!CB275-'check-Jul25'!CB275)</f>
        <v/>
      </c>
      <c r="CC275" t="str">
        <f>IF('1. Live'!CC275='check-Jul25'!CC275,"",'1. Live'!CC275-'check-Jul25'!CC275)</f>
        <v/>
      </c>
      <c r="CD275" t="str">
        <f>IF('1. Live'!CD275='check-Jul25'!CD275,"",'1. Live'!CD275-'check-Jul25'!CD275)</f>
        <v/>
      </c>
      <c r="CE275" t="str">
        <f>IF('1. Live'!CE275='check-Jul25'!CE275,"",'1. Live'!CE275-'check-Jul25'!CE275)</f>
        <v/>
      </c>
      <c r="CF275" t="str">
        <f>IF('1. Live'!CF275='check-Jul25'!CF275,"",'1. Live'!CF275-'check-Jul25'!CF275)</f>
        <v/>
      </c>
      <c r="CG275" t="str">
        <f>IF('1. Live'!CG275='check-Jul25'!CG275,"",'1. Live'!CG275-'check-Jul25'!CG275)</f>
        <v/>
      </c>
      <c r="CH275" t="str">
        <f>IF('1. Live'!CH275='check-Jul25'!CH275,"",'1. Live'!CH275-'check-Jul25'!CH275)</f>
        <v/>
      </c>
      <c r="CI275" t="str">
        <f>IF('1. Live'!CI275='check-Jul25'!CI275,"",'1. Live'!CI275-'check-Jul25'!CI275)</f>
        <v/>
      </c>
      <c r="CJ275" t="str">
        <f>IF('1. Live'!CJ275='check-Jul25'!CJ275,"",'1. Live'!CJ275-'check-Jul25'!CJ275)</f>
        <v/>
      </c>
      <c r="CK275" t="str">
        <f>IF('1. Live'!CK275='check-Jul25'!CK275,"",'1. Live'!CK275-'check-Jul25'!CK275)</f>
        <v/>
      </c>
      <c r="CL275" t="str">
        <f>IF('1. Live'!CL275='check-Jul25'!CL275,"",'1. Live'!CL275-'check-Jul25'!CL275)</f>
        <v/>
      </c>
      <c r="CM275" t="str">
        <f>IF('1. Live'!CM275='check-Jul25'!CM275,"",'1. Live'!CM275-'check-Jul25'!CM275)</f>
        <v/>
      </c>
      <c r="CN275" t="str">
        <f>IF('1. Live'!CN275='check-Jul25'!CN275,"",'1. Live'!CN275-'check-Jul25'!CN275)</f>
        <v/>
      </c>
      <c r="CO275" t="str">
        <f>IF('1. Live'!CO275='check-Jul25'!CO275,"",'1. Live'!CO275-'check-Jul25'!CO275)</f>
        <v/>
      </c>
      <c r="CP275" t="str">
        <f>IF('1. Live'!CP275='check-Jul25'!CP275,"",'1. Live'!CP275-'check-Jul25'!CP275)</f>
        <v/>
      </c>
      <c r="CQ275" t="str">
        <f>IF('1. Live'!CQ275='check-Jul25'!CQ275,"",'1. Live'!CQ275-'check-Jul25'!CQ275)</f>
        <v/>
      </c>
      <c r="CR275" t="str">
        <f>IF('1. Live'!CR275='check-Jul25'!CR275,"",'1. Live'!CR275-'check-Jul25'!CR275)</f>
        <v/>
      </c>
      <c r="CS275" t="str">
        <f>IF('1. Live'!CS275='check-Jul25'!CS275,"",'1. Live'!CS275-'check-Jul25'!CS275)</f>
        <v/>
      </c>
      <c r="CT275" t="str">
        <f>IF('1. Live'!CT275='check-Jul25'!CT275,"",'1. Live'!CT275-'check-Jul25'!CT275)</f>
        <v/>
      </c>
      <c r="CU275" t="str">
        <f>IF('1. Live'!CU275='check-Jul25'!CU275,"",'1. Live'!CU275-'check-Jul25'!CU275)</f>
        <v/>
      </c>
      <c r="CV275" t="str">
        <f>IF('1. Live'!CV275='check-Jul25'!CV275,"",'1. Live'!CV275-'check-Jul25'!CV275)</f>
        <v/>
      </c>
      <c r="CW275" t="str">
        <f>IF('1. Live'!CW275='check-Jul25'!CW275,"",'1. Live'!CW275-'check-Jul25'!CW275)</f>
        <v/>
      </c>
    </row>
    <row r="276" spans="10:101">
      <c r="J276" t="str">
        <f>IF('1. Live'!J276='check-Jul25'!J276,"",'1. Live'!J276-'check-Jul25'!J276)</f>
        <v/>
      </c>
      <c r="K276" t="str">
        <f>IF('1. Live'!K276='check-Jul25'!K276,"",'1. Live'!K276-'check-Jul25'!K276)</f>
        <v/>
      </c>
      <c r="L276" t="str">
        <f>IF('1. Live'!L276='check-Jul25'!L276,"",'1. Live'!L276-'check-Jul25'!L276)</f>
        <v/>
      </c>
      <c r="M276" t="str">
        <f>IF('1. Live'!M276='check-Jul25'!M276,"",'1. Live'!M276-'check-Jul25'!M276)</f>
        <v/>
      </c>
      <c r="N276" t="str">
        <f>IF('1. Live'!N276='check-Jul25'!N276,"",'1. Live'!N276-'check-Jul25'!N276)</f>
        <v/>
      </c>
      <c r="O276" t="str">
        <f>IF('1. Live'!O276='check-Jul25'!O276,"",'1. Live'!O276-'check-Jul25'!O276)</f>
        <v/>
      </c>
      <c r="P276" t="str">
        <f>IF('1. Live'!P276='check-Jul25'!P276,"",'1. Live'!P276-'check-Jul25'!P276)</f>
        <v/>
      </c>
      <c r="Q276" t="str">
        <f>IF('1. Live'!Q276='check-Jul25'!Q276,"",'1. Live'!Q276-'check-Jul25'!Q276)</f>
        <v/>
      </c>
      <c r="R276" t="str">
        <f>IF('1. Live'!R276='check-Jul25'!R276,"",'1. Live'!R276-'check-Jul25'!R276)</f>
        <v/>
      </c>
      <c r="S276" t="str">
        <f>IF('1. Live'!S276='check-Jul25'!S276,"",'1. Live'!S276-'check-Jul25'!S276)</f>
        <v/>
      </c>
      <c r="T276" t="str">
        <f>IF('1. Live'!T276='check-Jul25'!T276,"",'1. Live'!T276-'check-Jul25'!T276)</f>
        <v/>
      </c>
      <c r="U276" t="str">
        <f>IF('1. Live'!U276='check-Jul25'!U276,"",'1. Live'!U276-'check-Jul25'!U276)</f>
        <v/>
      </c>
      <c r="V276" t="str">
        <f>IF('1. Live'!V276='check-Jul25'!V276,"",'1. Live'!V276-'check-Jul25'!V276)</f>
        <v/>
      </c>
      <c r="W276" t="str">
        <f>IF('1. Live'!W276='check-Jul25'!W276,"",'1. Live'!W276-'check-Jul25'!W276)</f>
        <v/>
      </c>
      <c r="X276" t="str">
        <f>IF('1. Live'!X276='check-Jul25'!X276,"",'1. Live'!X276-'check-Jul25'!X276)</f>
        <v/>
      </c>
      <c r="Y276" t="str">
        <f>IF('1. Live'!Y276='check-Jul25'!Y276,"",'1. Live'!Y276-'check-Jul25'!Y276)</f>
        <v/>
      </c>
      <c r="Z276" t="str">
        <f>IF('1. Live'!Z276='check-Jul25'!Z276,"",'1. Live'!Z276-'check-Jul25'!Z276)</f>
        <v/>
      </c>
      <c r="AA276" t="str">
        <f>IF('1. Live'!AA276='check-Jul25'!AA276,"",'1. Live'!AA276-'check-Jul25'!AA276)</f>
        <v/>
      </c>
      <c r="AB276" t="str">
        <f>IF('1. Live'!AB276='check-Jul25'!AB276,"",'1. Live'!AB276-'check-Jul25'!AB276)</f>
        <v/>
      </c>
      <c r="AC276" t="str">
        <f>IF('1. Live'!AC276='check-Jul25'!AC276,"",'1. Live'!AC276-'check-Jul25'!AC276)</f>
        <v/>
      </c>
      <c r="AD276" t="str">
        <f>IF('1. Live'!AD276='check-Jul25'!AD276,"",'1. Live'!AD276-'check-Jul25'!AD276)</f>
        <v/>
      </c>
      <c r="AE276" t="str">
        <f>IF('1. Live'!AE276='check-Jul25'!AE276,"",'1. Live'!AE276-'check-Jul25'!AE276)</f>
        <v/>
      </c>
      <c r="AF276" t="str">
        <f>IF('1. Live'!AF276='check-Jul25'!AF276,"",'1. Live'!AF276-'check-Jul25'!AF276)</f>
        <v/>
      </c>
      <c r="AG276" t="str">
        <f>IF('1. Live'!AG276='check-Jul25'!AG276,"",'1. Live'!AG276-'check-Jul25'!AG276)</f>
        <v/>
      </c>
      <c r="AH276" t="str">
        <f>IF('1. Live'!AH276='check-Jul25'!AH276,"",'1. Live'!AH276-'check-Jul25'!AH276)</f>
        <v/>
      </c>
      <c r="AI276" t="str">
        <f>IF('1. Live'!AI276='check-Jul25'!AI276,"",'1. Live'!AI276-'check-Jul25'!AI276)</f>
        <v/>
      </c>
      <c r="AJ276" t="str">
        <f>IF('1. Live'!AJ276='check-Jul25'!AJ276,"",'1. Live'!AJ276-'check-Jul25'!AJ276)</f>
        <v/>
      </c>
      <c r="AK276" t="str">
        <f>IF('1. Live'!AK276='check-Jul25'!AK276,"",'1. Live'!AK276-'check-Jul25'!AK276)</f>
        <v/>
      </c>
      <c r="AL276" t="str">
        <f>IF('1. Live'!AL276='check-Jul25'!AL276,"",'1. Live'!AL276-'check-Jul25'!AL276)</f>
        <v/>
      </c>
      <c r="AM276" t="str">
        <f>IF('1. Live'!AM276='check-Jul25'!AM276,"",'1. Live'!AM276-'check-Jul25'!AM276)</f>
        <v/>
      </c>
      <c r="AN276" t="str">
        <f>IF('1. Live'!AN276='check-Jul25'!AN276,"",'1. Live'!AN276-'check-Jul25'!AN276)</f>
        <v/>
      </c>
      <c r="AO276" t="str">
        <f>IF('1. Live'!AO276='check-Jul25'!AO276,"",'1. Live'!AO276-'check-Jul25'!AO276)</f>
        <v/>
      </c>
      <c r="AP276" t="str">
        <f>IF('1. Live'!AP276='check-Jul25'!AP276,"",'1. Live'!AP276-'check-Jul25'!AP276)</f>
        <v/>
      </c>
      <c r="AQ276" t="str">
        <f>IF('1. Live'!AQ276='check-Jul25'!AQ276,"",'1. Live'!AQ276-'check-Jul25'!AQ276)</f>
        <v/>
      </c>
      <c r="AR276" t="str">
        <f>IF('1. Live'!AR276='check-Jul25'!AR276,"",'1. Live'!AR276-'check-Jul25'!AR276)</f>
        <v/>
      </c>
      <c r="AS276" t="str">
        <f>IF('1. Live'!AS276='check-Jul25'!AS276,"",'1. Live'!AS276-'check-Jul25'!AS276)</f>
        <v/>
      </c>
      <c r="AT276" t="str">
        <f>IF('1. Live'!AT276='check-Jul25'!AT276,"",'1. Live'!AT276-'check-Jul25'!AT276)</f>
        <v/>
      </c>
      <c r="AU276" t="str">
        <f>IF('1. Live'!AU276='check-Jul25'!AU276,"",'1. Live'!AU276-'check-Jul25'!AU276)</f>
        <v/>
      </c>
      <c r="AV276" t="str">
        <f>IF('1. Live'!AV276='check-Jul25'!AV276,"",'1. Live'!AV276-'check-Jul25'!AV276)</f>
        <v/>
      </c>
      <c r="AW276" t="str">
        <f>IF('1. Live'!AW276='check-Jul25'!AW276,"",'1. Live'!AW276-'check-Jul25'!AW276)</f>
        <v/>
      </c>
      <c r="AX276" t="str">
        <f>IF('1. Live'!AX276='check-Jul25'!AX276,"",'1. Live'!AX276-'check-Jul25'!AX276)</f>
        <v/>
      </c>
      <c r="AY276" t="str">
        <f>IF('1. Live'!AY276='check-Jul25'!AY276,"",'1. Live'!AY276-'check-Jul25'!AY276)</f>
        <v/>
      </c>
      <c r="AZ276" t="str">
        <f>IF('1. Live'!AZ276='check-Jul25'!AZ276,"",'1. Live'!AZ276-'check-Jul25'!AZ276)</f>
        <v/>
      </c>
      <c r="BA276" t="str">
        <f>IF('1. Live'!BA276='check-Jul25'!BA276,"",'1. Live'!BA276-'check-Jul25'!BA276)</f>
        <v/>
      </c>
      <c r="BB276" t="str">
        <f>IF('1. Live'!BB276='check-Jul25'!BB276,"",'1. Live'!BB276-'check-Jul25'!BB276)</f>
        <v/>
      </c>
      <c r="BC276" t="str">
        <f>IF('1. Live'!BC276='check-Jul25'!BC276,"",'1. Live'!BC276-'check-Jul25'!BC276)</f>
        <v/>
      </c>
      <c r="BD276" t="str">
        <f>IF('1. Live'!BD276='check-Jul25'!BD276,"",'1. Live'!BD276-'check-Jul25'!BD276)</f>
        <v/>
      </c>
      <c r="BE276" t="str">
        <f>IF('1. Live'!BE276='check-Jul25'!BE276,"",'1. Live'!BE276-'check-Jul25'!BE276)</f>
        <v/>
      </c>
      <c r="BF276" t="str">
        <f>IF('1. Live'!BF276='check-Jul25'!BF276,"",'1. Live'!BF276-'check-Jul25'!BF276)</f>
        <v/>
      </c>
      <c r="BG276" t="str">
        <f>IF('1. Live'!BG276='check-Jul25'!BG276,"",'1. Live'!BG276-'check-Jul25'!BG276)</f>
        <v/>
      </c>
      <c r="BH276" t="str">
        <f>IF('1. Live'!BH276='check-Jul25'!BH276,"",'1. Live'!BH276-'check-Jul25'!BH276)</f>
        <v/>
      </c>
      <c r="BI276" t="str">
        <f>IF('1. Live'!BI276='check-Jul25'!BI276,"",'1. Live'!BI276-'check-Jul25'!BI276)</f>
        <v/>
      </c>
      <c r="BJ276" t="str">
        <f>IF('1. Live'!BJ276='check-Jul25'!BJ276,"",'1. Live'!BJ276-'check-Jul25'!BJ276)</f>
        <v/>
      </c>
      <c r="BK276" t="str">
        <f>IF('1. Live'!BK276='check-Jul25'!BK276,"",'1. Live'!BK276-'check-Jul25'!BK276)</f>
        <v/>
      </c>
      <c r="BL276" t="str">
        <f>IF('1. Live'!BL276='check-Jul25'!BL276,"",'1. Live'!BL276-'check-Jul25'!BL276)</f>
        <v/>
      </c>
      <c r="BM276" t="str">
        <f>IF('1. Live'!BM276='check-Jul25'!BM276,"",'1. Live'!BM276-'check-Jul25'!BM276)</f>
        <v/>
      </c>
      <c r="BN276" t="str">
        <f>IF('1. Live'!BN276='check-Jul25'!BN276,"",'1. Live'!BN276-'check-Jul25'!BN276)</f>
        <v/>
      </c>
      <c r="BO276" t="str">
        <f>IF('1. Live'!BO276='check-Jul25'!BO276,"",'1. Live'!BO276-'check-Jul25'!BO276)</f>
        <v/>
      </c>
      <c r="BP276" t="str">
        <f>IF('1. Live'!BP276='check-Jul25'!BP276,"",'1. Live'!BP276-'check-Jul25'!BP276)</f>
        <v/>
      </c>
      <c r="BQ276" t="str">
        <f>IF('1. Live'!BQ276='check-Jul25'!BQ276,"",'1. Live'!BQ276-'check-Jul25'!BQ276)</f>
        <v/>
      </c>
      <c r="BR276" t="str">
        <f>IF('1. Live'!BR276='check-Jul25'!BR276,"",'1. Live'!BR276-'check-Jul25'!BR276)</f>
        <v/>
      </c>
      <c r="BS276" t="str">
        <f>IF('1. Live'!BS276='check-Jul25'!BS276,"",'1. Live'!BS276-'check-Jul25'!BS276)</f>
        <v/>
      </c>
      <c r="BT276" t="str">
        <f>IF('1. Live'!BT276='check-Jul25'!BT276,"",'1. Live'!BT276-'check-Jul25'!BT276)</f>
        <v/>
      </c>
      <c r="BU276" t="str">
        <f>IF('1. Live'!BU276='check-Jul25'!BU276,"",'1. Live'!BU276-'check-Jul25'!BU276)</f>
        <v/>
      </c>
      <c r="BV276" t="str">
        <f>IF('1. Live'!BV276='check-Jul25'!BV276,"",'1. Live'!BV276-'check-Jul25'!BV276)</f>
        <v/>
      </c>
      <c r="BW276" t="str">
        <f>IF('1. Live'!BW276='check-Jul25'!BW276,"",'1. Live'!BW276-'check-Jul25'!BW276)</f>
        <v/>
      </c>
      <c r="BX276" t="str">
        <f>IF('1. Live'!BX276='check-Jul25'!BX276,"",'1. Live'!BX276-'check-Jul25'!BX276)</f>
        <v/>
      </c>
      <c r="BY276" t="str">
        <f>IF('1. Live'!BY276='check-Jul25'!BY276,"",'1. Live'!BY276-'check-Jul25'!BY276)</f>
        <v/>
      </c>
      <c r="BZ276" t="str">
        <f>IF('1. Live'!BZ276='check-Jul25'!BZ276,"",'1. Live'!BZ276-'check-Jul25'!BZ276)</f>
        <v/>
      </c>
      <c r="CA276" t="str">
        <f>IF('1. Live'!CA276='check-Jul25'!CA276,"",'1. Live'!CA276-'check-Jul25'!CA276)</f>
        <v/>
      </c>
      <c r="CB276" t="str">
        <f>IF('1. Live'!CB276='check-Jul25'!CB276,"",'1. Live'!CB276-'check-Jul25'!CB276)</f>
        <v/>
      </c>
      <c r="CC276" t="str">
        <f>IF('1. Live'!CC276='check-Jul25'!CC276,"",'1. Live'!CC276-'check-Jul25'!CC276)</f>
        <v/>
      </c>
      <c r="CD276" t="str">
        <f>IF('1. Live'!CD276='check-Jul25'!CD276,"",'1. Live'!CD276-'check-Jul25'!CD276)</f>
        <v/>
      </c>
      <c r="CE276" t="str">
        <f>IF('1. Live'!CE276='check-Jul25'!CE276,"",'1. Live'!CE276-'check-Jul25'!CE276)</f>
        <v/>
      </c>
      <c r="CF276" t="str">
        <f>IF('1. Live'!CF276='check-Jul25'!CF276,"",'1. Live'!CF276-'check-Jul25'!CF276)</f>
        <v/>
      </c>
      <c r="CG276" t="str">
        <f>IF('1. Live'!CG276='check-Jul25'!CG276,"",'1. Live'!CG276-'check-Jul25'!CG276)</f>
        <v/>
      </c>
      <c r="CH276" t="str">
        <f>IF('1. Live'!CH276='check-Jul25'!CH276,"",'1. Live'!CH276-'check-Jul25'!CH276)</f>
        <v/>
      </c>
      <c r="CI276" t="str">
        <f>IF('1. Live'!CI276='check-Jul25'!CI276,"",'1. Live'!CI276-'check-Jul25'!CI276)</f>
        <v/>
      </c>
      <c r="CJ276" t="str">
        <f>IF('1. Live'!CJ276='check-Jul25'!CJ276,"",'1. Live'!CJ276-'check-Jul25'!CJ276)</f>
        <v/>
      </c>
      <c r="CK276" t="str">
        <f>IF('1. Live'!CK276='check-Jul25'!CK276,"",'1. Live'!CK276-'check-Jul25'!CK276)</f>
        <v/>
      </c>
      <c r="CL276" t="str">
        <f>IF('1. Live'!CL276='check-Jul25'!CL276,"",'1. Live'!CL276-'check-Jul25'!CL276)</f>
        <v/>
      </c>
      <c r="CM276" t="str">
        <f>IF('1. Live'!CM276='check-Jul25'!CM276,"",'1. Live'!CM276-'check-Jul25'!CM276)</f>
        <v/>
      </c>
      <c r="CN276" t="str">
        <f>IF('1. Live'!CN276='check-Jul25'!CN276,"",'1. Live'!CN276-'check-Jul25'!CN276)</f>
        <v/>
      </c>
      <c r="CO276" t="str">
        <f>IF('1. Live'!CO276='check-Jul25'!CO276,"",'1. Live'!CO276-'check-Jul25'!CO276)</f>
        <v/>
      </c>
      <c r="CP276" t="str">
        <f>IF('1. Live'!CP276='check-Jul25'!CP276,"",'1. Live'!CP276-'check-Jul25'!CP276)</f>
        <v/>
      </c>
      <c r="CQ276" t="str">
        <f>IF('1. Live'!CQ276='check-Jul25'!CQ276,"",'1. Live'!CQ276-'check-Jul25'!CQ276)</f>
        <v/>
      </c>
      <c r="CR276" t="str">
        <f>IF('1. Live'!CR276='check-Jul25'!CR276,"",'1. Live'!CR276-'check-Jul25'!CR276)</f>
        <v/>
      </c>
      <c r="CS276" t="str">
        <f>IF('1. Live'!CS276='check-Jul25'!CS276,"",'1. Live'!CS276-'check-Jul25'!CS276)</f>
        <v/>
      </c>
      <c r="CT276" t="str">
        <f>IF('1. Live'!CT276='check-Jul25'!CT276,"",'1. Live'!CT276-'check-Jul25'!CT276)</f>
        <v/>
      </c>
      <c r="CU276" t="str">
        <f>IF('1. Live'!CU276='check-Jul25'!CU276,"",'1. Live'!CU276-'check-Jul25'!CU276)</f>
        <v/>
      </c>
      <c r="CV276" t="str">
        <f>IF('1. Live'!CV276='check-Jul25'!CV276,"",'1. Live'!CV276-'check-Jul25'!CV276)</f>
        <v/>
      </c>
      <c r="CW276" t="str">
        <f>IF('1. Live'!CW276='check-Jul25'!CW276,"",'1. Live'!CW276-'check-Jul25'!CW276)</f>
        <v/>
      </c>
    </row>
    <row r="277" spans="10:101">
      <c r="J277" t="str">
        <f>IF('1. Live'!J277='check-Jul25'!J277,"",'1. Live'!J277-'check-Jul25'!J277)</f>
        <v/>
      </c>
      <c r="K277" t="str">
        <f>IF('1. Live'!K277='check-Jul25'!K277,"",'1. Live'!K277-'check-Jul25'!K277)</f>
        <v/>
      </c>
      <c r="L277" t="str">
        <f>IF('1. Live'!L277='check-Jul25'!L277,"",'1. Live'!L277-'check-Jul25'!L277)</f>
        <v/>
      </c>
      <c r="M277" t="str">
        <f>IF('1. Live'!M277='check-Jul25'!M277,"",'1. Live'!M277-'check-Jul25'!M277)</f>
        <v/>
      </c>
      <c r="N277" t="str">
        <f>IF('1. Live'!N277='check-Jul25'!N277,"",'1. Live'!N277-'check-Jul25'!N277)</f>
        <v/>
      </c>
      <c r="O277" t="str">
        <f>IF('1. Live'!O277='check-Jul25'!O277,"",'1. Live'!O277-'check-Jul25'!O277)</f>
        <v/>
      </c>
      <c r="P277" t="str">
        <f>IF('1. Live'!P277='check-Jul25'!P277,"",'1. Live'!P277-'check-Jul25'!P277)</f>
        <v/>
      </c>
      <c r="Q277" t="str">
        <f>IF('1. Live'!Q277='check-Jul25'!Q277,"",'1. Live'!Q277-'check-Jul25'!Q277)</f>
        <v/>
      </c>
      <c r="R277" t="str">
        <f>IF('1. Live'!R277='check-Jul25'!R277,"",'1. Live'!R277-'check-Jul25'!R277)</f>
        <v/>
      </c>
      <c r="S277" t="str">
        <f>IF('1. Live'!S277='check-Jul25'!S277,"",'1. Live'!S277-'check-Jul25'!S277)</f>
        <v/>
      </c>
      <c r="T277" t="str">
        <f>IF('1. Live'!T277='check-Jul25'!T277,"",'1. Live'!T277-'check-Jul25'!T277)</f>
        <v/>
      </c>
      <c r="U277" t="str">
        <f>IF('1. Live'!U277='check-Jul25'!U277,"",'1. Live'!U277-'check-Jul25'!U277)</f>
        <v/>
      </c>
      <c r="V277" t="str">
        <f>IF('1. Live'!V277='check-Jul25'!V277,"",'1. Live'!V277-'check-Jul25'!V277)</f>
        <v/>
      </c>
      <c r="W277" t="str">
        <f>IF('1. Live'!W277='check-Jul25'!W277,"",'1. Live'!W277-'check-Jul25'!W277)</f>
        <v/>
      </c>
      <c r="X277" t="str">
        <f>IF('1. Live'!X277='check-Jul25'!X277,"",'1. Live'!X277-'check-Jul25'!X277)</f>
        <v/>
      </c>
      <c r="Y277" t="str">
        <f>IF('1. Live'!Y277='check-Jul25'!Y277,"",'1. Live'!Y277-'check-Jul25'!Y277)</f>
        <v/>
      </c>
      <c r="Z277" t="str">
        <f>IF('1. Live'!Z277='check-Jul25'!Z277,"",'1. Live'!Z277-'check-Jul25'!Z277)</f>
        <v/>
      </c>
      <c r="AA277" t="str">
        <f>IF('1. Live'!AA277='check-Jul25'!AA277,"",'1. Live'!AA277-'check-Jul25'!AA277)</f>
        <v/>
      </c>
      <c r="AB277" t="str">
        <f>IF('1. Live'!AB277='check-Jul25'!AB277,"",'1. Live'!AB277-'check-Jul25'!AB277)</f>
        <v/>
      </c>
      <c r="AC277" t="str">
        <f>IF('1. Live'!AC277='check-Jul25'!AC277,"",'1. Live'!AC277-'check-Jul25'!AC277)</f>
        <v/>
      </c>
      <c r="AD277" t="str">
        <f>IF('1. Live'!AD277='check-Jul25'!AD277,"",'1. Live'!AD277-'check-Jul25'!AD277)</f>
        <v/>
      </c>
      <c r="AE277" t="str">
        <f>IF('1. Live'!AE277='check-Jul25'!AE277,"",'1. Live'!AE277-'check-Jul25'!AE277)</f>
        <v/>
      </c>
      <c r="AF277" t="str">
        <f>IF('1. Live'!AF277='check-Jul25'!AF277,"",'1. Live'!AF277-'check-Jul25'!AF277)</f>
        <v/>
      </c>
      <c r="AG277" t="str">
        <f>IF('1. Live'!AG277='check-Jul25'!AG277,"",'1. Live'!AG277-'check-Jul25'!AG277)</f>
        <v/>
      </c>
      <c r="AH277" t="str">
        <f>IF('1. Live'!AH277='check-Jul25'!AH277,"",'1. Live'!AH277-'check-Jul25'!AH277)</f>
        <v/>
      </c>
      <c r="AI277" t="str">
        <f>IF('1. Live'!AI277='check-Jul25'!AI277,"",'1. Live'!AI277-'check-Jul25'!AI277)</f>
        <v/>
      </c>
      <c r="AJ277" t="str">
        <f>IF('1. Live'!AJ277='check-Jul25'!AJ277,"",'1. Live'!AJ277-'check-Jul25'!AJ277)</f>
        <v/>
      </c>
      <c r="AK277" t="str">
        <f>IF('1. Live'!AK277='check-Jul25'!AK277,"",'1. Live'!AK277-'check-Jul25'!AK277)</f>
        <v/>
      </c>
      <c r="AL277" t="str">
        <f>IF('1. Live'!AL277='check-Jul25'!AL277,"",'1. Live'!AL277-'check-Jul25'!AL277)</f>
        <v/>
      </c>
      <c r="AM277" t="str">
        <f>IF('1. Live'!AM277='check-Jul25'!AM277,"",'1. Live'!AM277-'check-Jul25'!AM277)</f>
        <v/>
      </c>
      <c r="AN277" t="str">
        <f>IF('1. Live'!AN277='check-Jul25'!AN277,"",'1. Live'!AN277-'check-Jul25'!AN277)</f>
        <v/>
      </c>
      <c r="AO277" t="str">
        <f>IF('1. Live'!AO277='check-Jul25'!AO277,"",'1. Live'!AO277-'check-Jul25'!AO277)</f>
        <v/>
      </c>
      <c r="AP277" t="str">
        <f>IF('1. Live'!AP277='check-Jul25'!AP277,"",'1. Live'!AP277-'check-Jul25'!AP277)</f>
        <v/>
      </c>
      <c r="AQ277" t="str">
        <f>IF('1. Live'!AQ277='check-Jul25'!AQ277,"",'1. Live'!AQ277-'check-Jul25'!AQ277)</f>
        <v/>
      </c>
      <c r="AR277" t="str">
        <f>IF('1. Live'!AR277='check-Jul25'!AR277,"",'1. Live'!AR277-'check-Jul25'!AR277)</f>
        <v/>
      </c>
      <c r="AS277" t="str">
        <f>IF('1. Live'!AS277='check-Jul25'!AS277,"",'1. Live'!AS277-'check-Jul25'!AS277)</f>
        <v/>
      </c>
      <c r="AT277" t="str">
        <f>IF('1. Live'!AT277='check-Jul25'!AT277,"",'1. Live'!AT277-'check-Jul25'!AT277)</f>
        <v/>
      </c>
      <c r="AU277" t="str">
        <f>IF('1. Live'!AU277='check-Jul25'!AU277,"",'1. Live'!AU277-'check-Jul25'!AU277)</f>
        <v/>
      </c>
      <c r="AV277" t="str">
        <f>IF('1. Live'!AV277='check-Jul25'!AV277,"",'1. Live'!AV277-'check-Jul25'!AV277)</f>
        <v/>
      </c>
      <c r="AW277" t="str">
        <f>IF('1. Live'!AW277='check-Jul25'!AW277,"",'1. Live'!AW277-'check-Jul25'!AW277)</f>
        <v/>
      </c>
      <c r="AX277" t="str">
        <f>IF('1. Live'!AX277='check-Jul25'!AX277,"",'1. Live'!AX277-'check-Jul25'!AX277)</f>
        <v/>
      </c>
      <c r="AY277" t="str">
        <f>IF('1. Live'!AY277='check-Jul25'!AY277,"",'1. Live'!AY277-'check-Jul25'!AY277)</f>
        <v/>
      </c>
      <c r="AZ277" t="str">
        <f>IF('1. Live'!AZ277='check-Jul25'!AZ277,"",'1. Live'!AZ277-'check-Jul25'!AZ277)</f>
        <v/>
      </c>
      <c r="BA277" t="str">
        <f>IF('1. Live'!BA277='check-Jul25'!BA277,"",'1. Live'!BA277-'check-Jul25'!BA277)</f>
        <v/>
      </c>
      <c r="BB277" t="str">
        <f>IF('1. Live'!BB277='check-Jul25'!BB277,"",'1. Live'!BB277-'check-Jul25'!BB277)</f>
        <v/>
      </c>
      <c r="BC277" t="str">
        <f>IF('1. Live'!BC277='check-Jul25'!BC277,"",'1. Live'!BC277-'check-Jul25'!BC277)</f>
        <v/>
      </c>
      <c r="BD277" t="str">
        <f>IF('1. Live'!BD277='check-Jul25'!BD277,"",'1. Live'!BD277-'check-Jul25'!BD277)</f>
        <v/>
      </c>
      <c r="BE277" t="str">
        <f>IF('1. Live'!BE277='check-Jul25'!BE277,"",'1. Live'!BE277-'check-Jul25'!BE277)</f>
        <v/>
      </c>
      <c r="BF277" t="str">
        <f>IF('1. Live'!BF277='check-Jul25'!BF277,"",'1. Live'!BF277-'check-Jul25'!BF277)</f>
        <v/>
      </c>
      <c r="BG277" t="str">
        <f>IF('1. Live'!BG277='check-Jul25'!BG277,"",'1. Live'!BG277-'check-Jul25'!BG277)</f>
        <v/>
      </c>
      <c r="BH277" t="str">
        <f>IF('1. Live'!BH277='check-Jul25'!BH277,"",'1. Live'!BH277-'check-Jul25'!BH277)</f>
        <v/>
      </c>
      <c r="BI277" t="str">
        <f>IF('1. Live'!BI277='check-Jul25'!BI277,"",'1. Live'!BI277-'check-Jul25'!BI277)</f>
        <v/>
      </c>
      <c r="BJ277" t="str">
        <f>IF('1. Live'!BJ277='check-Jul25'!BJ277,"",'1. Live'!BJ277-'check-Jul25'!BJ277)</f>
        <v/>
      </c>
      <c r="BK277" t="str">
        <f>IF('1. Live'!BK277='check-Jul25'!BK277,"",'1. Live'!BK277-'check-Jul25'!BK277)</f>
        <v/>
      </c>
      <c r="BL277" t="str">
        <f>IF('1. Live'!BL277='check-Jul25'!BL277,"",'1. Live'!BL277-'check-Jul25'!BL277)</f>
        <v/>
      </c>
      <c r="BM277" t="str">
        <f>IF('1. Live'!BM277='check-Jul25'!BM277,"",'1. Live'!BM277-'check-Jul25'!BM277)</f>
        <v/>
      </c>
      <c r="BN277" t="str">
        <f>IF('1. Live'!BN277='check-Jul25'!BN277,"",'1. Live'!BN277-'check-Jul25'!BN277)</f>
        <v/>
      </c>
      <c r="BO277" t="str">
        <f>IF('1. Live'!BO277='check-Jul25'!BO277,"",'1. Live'!BO277-'check-Jul25'!BO277)</f>
        <v/>
      </c>
      <c r="BP277" t="str">
        <f>IF('1. Live'!BP277='check-Jul25'!BP277,"",'1. Live'!BP277-'check-Jul25'!BP277)</f>
        <v/>
      </c>
      <c r="BQ277" t="str">
        <f>IF('1. Live'!BQ277='check-Jul25'!BQ277,"",'1. Live'!BQ277-'check-Jul25'!BQ277)</f>
        <v/>
      </c>
      <c r="BR277" t="str">
        <f>IF('1. Live'!BR277='check-Jul25'!BR277,"",'1. Live'!BR277-'check-Jul25'!BR277)</f>
        <v/>
      </c>
      <c r="BS277" t="str">
        <f>IF('1. Live'!BS277='check-Jul25'!BS277,"",'1. Live'!BS277-'check-Jul25'!BS277)</f>
        <v/>
      </c>
      <c r="BT277" t="str">
        <f>IF('1. Live'!BT277='check-Jul25'!BT277,"",'1. Live'!BT277-'check-Jul25'!BT277)</f>
        <v/>
      </c>
      <c r="BU277" t="str">
        <f>IF('1. Live'!BU277='check-Jul25'!BU277,"",'1. Live'!BU277-'check-Jul25'!BU277)</f>
        <v/>
      </c>
      <c r="BV277" t="str">
        <f>IF('1. Live'!BV277='check-Jul25'!BV277,"",'1. Live'!BV277-'check-Jul25'!BV277)</f>
        <v/>
      </c>
      <c r="BW277" t="str">
        <f>IF('1. Live'!BW277='check-Jul25'!BW277,"",'1. Live'!BW277-'check-Jul25'!BW277)</f>
        <v/>
      </c>
      <c r="BX277" t="str">
        <f>IF('1. Live'!BX277='check-Jul25'!BX277,"",'1. Live'!BX277-'check-Jul25'!BX277)</f>
        <v/>
      </c>
      <c r="BY277" t="str">
        <f>IF('1. Live'!BY277='check-Jul25'!BY277,"",'1. Live'!BY277-'check-Jul25'!BY277)</f>
        <v/>
      </c>
      <c r="BZ277" t="str">
        <f>IF('1. Live'!BZ277='check-Jul25'!BZ277,"",'1. Live'!BZ277-'check-Jul25'!BZ277)</f>
        <v/>
      </c>
      <c r="CA277" t="str">
        <f>IF('1. Live'!CA277='check-Jul25'!CA277,"",'1. Live'!CA277-'check-Jul25'!CA277)</f>
        <v/>
      </c>
      <c r="CB277" t="str">
        <f>IF('1. Live'!CB277='check-Jul25'!CB277,"",'1. Live'!CB277-'check-Jul25'!CB277)</f>
        <v/>
      </c>
      <c r="CC277" t="str">
        <f>IF('1. Live'!CC277='check-Jul25'!CC277,"",'1. Live'!CC277-'check-Jul25'!CC277)</f>
        <v/>
      </c>
      <c r="CD277" t="str">
        <f>IF('1. Live'!CD277='check-Jul25'!CD277,"",'1. Live'!CD277-'check-Jul25'!CD277)</f>
        <v/>
      </c>
      <c r="CE277" t="str">
        <f>IF('1. Live'!CE277='check-Jul25'!CE277,"",'1. Live'!CE277-'check-Jul25'!CE277)</f>
        <v/>
      </c>
      <c r="CF277" t="str">
        <f>IF('1. Live'!CF277='check-Jul25'!CF277,"",'1. Live'!CF277-'check-Jul25'!CF277)</f>
        <v/>
      </c>
      <c r="CG277" t="str">
        <f>IF('1. Live'!CG277='check-Jul25'!CG277,"",'1. Live'!CG277-'check-Jul25'!CG277)</f>
        <v/>
      </c>
      <c r="CH277" t="str">
        <f>IF('1. Live'!CH277='check-Jul25'!CH277,"",'1. Live'!CH277-'check-Jul25'!CH277)</f>
        <v/>
      </c>
      <c r="CI277" t="str">
        <f>IF('1. Live'!CI277='check-Jul25'!CI277,"",'1. Live'!CI277-'check-Jul25'!CI277)</f>
        <v/>
      </c>
      <c r="CJ277" t="str">
        <f>IF('1. Live'!CJ277='check-Jul25'!CJ277,"",'1. Live'!CJ277-'check-Jul25'!CJ277)</f>
        <v/>
      </c>
      <c r="CK277" t="str">
        <f>IF('1. Live'!CK277='check-Jul25'!CK277,"",'1. Live'!CK277-'check-Jul25'!CK277)</f>
        <v/>
      </c>
      <c r="CL277" t="str">
        <f>IF('1. Live'!CL277='check-Jul25'!CL277,"",'1. Live'!CL277-'check-Jul25'!CL277)</f>
        <v/>
      </c>
      <c r="CM277" t="str">
        <f>IF('1. Live'!CM277='check-Jul25'!CM277,"",'1. Live'!CM277-'check-Jul25'!CM277)</f>
        <v/>
      </c>
      <c r="CN277" t="str">
        <f>IF('1. Live'!CN277='check-Jul25'!CN277,"",'1. Live'!CN277-'check-Jul25'!CN277)</f>
        <v/>
      </c>
      <c r="CO277" t="str">
        <f>IF('1. Live'!CO277='check-Jul25'!CO277,"",'1. Live'!CO277-'check-Jul25'!CO277)</f>
        <v/>
      </c>
      <c r="CP277" t="str">
        <f>IF('1. Live'!CP277='check-Jul25'!CP277,"",'1. Live'!CP277-'check-Jul25'!CP277)</f>
        <v/>
      </c>
      <c r="CQ277" t="str">
        <f>IF('1. Live'!CQ277='check-Jul25'!CQ277,"",'1. Live'!CQ277-'check-Jul25'!CQ277)</f>
        <v/>
      </c>
      <c r="CR277" t="str">
        <f>IF('1. Live'!CR277='check-Jul25'!CR277,"",'1. Live'!CR277-'check-Jul25'!CR277)</f>
        <v/>
      </c>
      <c r="CS277" t="str">
        <f>IF('1. Live'!CS277='check-Jul25'!CS277,"",'1. Live'!CS277-'check-Jul25'!CS277)</f>
        <v/>
      </c>
      <c r="CT277" t="str">
        <f>IF('1. Live'!CT277='check-Jul25'!CT277,"",'1. Live'!CT277-'check-Jul25'!CT277)</f>
        <v/>
      </c>
      <c r="CU277" t="str">
        <f>IF('1. Live'!CU277='check-Jul25'!CU277,"",'1. Live'!CU277-'check-Jul25'!CU277)</f>
        <v/>
      </c>
      <c r="CV277" t="str">
        <f>IF('1. Live'!CV277='check-Jul25'!CV277,"",'1. Live'!CV277-'check-Jul25'!CV277)</f>
        <v/>
      </c>
      <c r="CW277" t="str">
        <f>IF('1. Live'!CW277='check-Jul25'!CW277,"",'1. Live'!CW277-'check-Jul25'!CW277)</f>
        <v/>
      </c>
    </row>
    <row r="278" spans="10:101">
      <c r="J278" t="str">
        <f>IF('1. Live'!J278='check-Jul25'!J278,"",'1. Live'!J278-'check-Jul25'!J278)</f>
        <v/>
      </c>
      <c r="K278" t="str">
        <f>IF('1. Live'!K278='check-Jul25'!K278,"",'1. Live'!K278-'check-Jul25'!K278)</f>
        <v/>
      </c>
      <c r="L278" t="str">
        <f>IF('1. Live'!L278='check-Jul25'!L278,"",'1. Live'!L278-'check-Jul25'!L278)</f>
        <v/>
      </c>
      <c r="M278" t="str">
        <f>IF('1. Live'!M278='check-Jul25'!M278,"",'1. Live'!M278-'check-Jul25'!M278)</f>
        <v/>
      </c>
      <c r="N278" t="str">
        <f>IF('1. Live'!N278='check-Jul25'!N278,"",'1. Live'!N278-'check-Jul25'!N278)</f>
        <v/>
      </c>
      <c r="O278" t="str">
        <f>IF('1. Live'!O278='check-Jul25'!O278,"",'1. Live'!O278-'check-Jul25'!O278)</f>
        <v/>
      </c>
      <c r="P278" t="str">
        <f>IF('1. Live'!P278='check-Jul25'!P278,"",'1. Live'!P278-'check-Jul25'!P278)</f>
        <v/>
      </c>
      <c r="Q278" t="str">
        <f>IF('1. Live'!Q278='check-Jul25'!Q278,"",'1. Live'!Q278-'check-Jul25'!Q278)</f>
        <v/>
      </c>
      <c r="R278" t="str">
        <f>IF('1. Live'!R278='check-Jul25'!R278,"",'1. Live'!R278-'check-Jul25'!R278)</f>
        <v/>
      </c>
      <c r="S278" t="str">
        <f>IF('1. Live'!S278='check-Jul25'!S278,"",'1. Live'!S278-'check-Jul25'!S278)</f>
        <v/>
      </c>
      <c r="T278" t="str">
        <f>IF('1. Live'!T278='check-Jul25'!T278,"",'1. Live'!T278-'check-Jul25'!T278)</f>
        <v/>
      </c>
      <c r="U278" t="str">
        <f>IF('1. Live'!U278='check-Jul25'!U278,"",'1. Live'!U278-'check-Jul25'!U278)</f>
        <v/>
      </c>
      <c r="V278" t="str">
        <f>IF('1. Live'!V278='check-Jul25'!V278,"",'1. Live'!V278-'check-Jul25'!V278)</f>
        <v/>
      </c>
      <c r="W278" t="str">
        <f>IF('1. Live'!W278='check-Jul25'!W278,"",'1. Live'!W278-'check-Jul25'!W278)</f>
        <v/>
      </c>
      <c r="X278" t="str">
        <f>IF('1. Live'!X278='check-Jul25'!X278,"",'1. Live'!X278-'check-Jul25'!X278)</f>
        <v/>
      </c>
      <c r="Y278" t="str">
        <f>IF('1. Live'!Y278='check-Jul25'!Y278,"",'1. Live'!Y278-'check-Jul25'!Y278)</f>
        <v/>
      </c>
      <c r="Z278" t="str">
        <f>IF('1. Live'!Z278='check-Jul25'!Z278,"",'1. Live'!Z278-'check-Jul25'!Z278)</f>
        <v/>
      </c>
      <c r="AA278" t="str">
        <f>IF('1. Live'!AA278='check-Jul25'!AA278,"",'1. Live'!AA278-'check-Jul25'!AA278)</f>
        <v/>
      </c>
      <c r="AB278" t="str">
        <f>IF('1. Live'!AB278='check-Jul25'!AB278,"",'1. Live'!AB278-'check-Jul25'!AB278)</f>
        <v/>
      </c>
      <c r="AC278" t="str">
        <f>IF('1. Live'!AC278='check-Jul25'!AC278,"",'1. Live'!AC278-'check-Jul25'!AC278)</f>
        <v/>
      </c>
      <c r="AD278" t="str">
        <f>IF('1. Live'!AD278='check-Jul25'!AD278,"",'1. Live'!AD278-'check-Jul25'!AD278)</f>
        <v/>
      </c>
      <c r="AE278" t="str">
        <f>IF('1. Live'!AE278='check-Jul25'!AE278,"",'1. Live'!AE278-'check-Jul25'!AE278)</f>
        <v/>
      </c>
      <c r="AF278" t="str">
        <f>IF('1. Live'!AF278='check-Jul25'!AF278,"",'1. Live'!AF278-'check-Jul25'!AF278)</f>
        <v/>
      </c>
      <c r="AG278" t="str">
        <f>IF('1. Live'!AG278='check-Jul25'!AG278,"",'1. Live'!AG278-'check-Jul25'!AG278)</f>
        <v/>
      </c>
      <c r="AH278" t="str">
        <f>IF('1. Live'!AH278='check-Jul25'!AH278,"",'1. Live'!AH278-'check-Jul25'!AH278)</f>
        <v/>
      </c>
      <c r="AI278" t="str">
        <f>IF('1. Live'!AI278='check-Jul25'!AI278,"",'1. Live'!AI278-'check-Jul25'!AI278)</f>
        <v/>
      </c>
      <c r="AJ278" t="str">
        <f>IF('1. Live'!AJ278='check-Jul25'!AJ278,"",'1. Live'!AJ278-'check-Jul25'!AJ278)</f>
        <v/>
      </c>
      <c r="AK278" t="str">
        <f>IF('1. Live'!AK278='check-Jul25'!AK278,"",'1. Live'!AK278-'check-Jul25'!AK278)</f>
        <v/>
      </c>
      <c r="AL278" t="str">
        <f>IF('1. Live'!AL278='check-Jul25'!AL278,"",'1. Live'!AL278-'check-Jul25'!AL278)</f>
        <v/>
      </c>
      <c r="AM278" t="str">
        <f>IF('1. Live'!AM278='check-Jul25'!AM278,"",'1. Live'!AM278-'check-Jul25'!AM278)</f>
        <v/>
      </c>
      <c r="AN278" t="str">
        <f>IF('1. Live'!AN278='check-Jul25'!AN278,"",'1. Live'!AN278-'check-Jul25'!AN278)</f>
        <v/>
      </c>
      <c r="AO278" t="str">
        <f>IF('1. Live'!AO278='check-Jul25'!AO278,"",'1. Live'!AO278-'check-Jul25'!AO278)</f>
        <v/>
      </c>
      <c r="AP278" t="str">
        <f>IF('1. Live'!AP278='check-Jul25'!AP278,"",'1. Live'!AP278-'check-Jul25'!AP278)</f>
        <v/>
      </c>
      <c r="AQ278" t="str">
        <f>IF('1. Live'!AQ278='check-Jul25'!AQ278,"",'1. Live'!AQ278-'check-Jul25'!AQ278)</f>
        <v/>
      </c>
      <c r="AR278" t="str">
        <f>IF('1. Live'!AR278='check-Jul25'!AR278,"",'1. Live'!AR278-'check-Jul25'!AR278)</f>
        <v/>
      </c>
      <c r="AS278" t="str">
        <f>IF('1. Live'!AS278='check-Jul25'!AS278,"",'1. Live'!AS278-'check-Jul25'!AS278)</f>
        <v/>
      </c>
      <c r="AT278" t="str">
        <f>IF('1. Live'!AT278='check-Jul25'!AT278,"",'1. Live'!AT278-'check-Jul25'!AT278)</f>
        <v/>
      </c>
      <c r="AU278" t="str">
        <f>IF('1. Live'!AU278='check-Jul25'!AU278,"",'1. Live'!AU278-'check-Jul25'!AU278)</f>
        <v/>
      </c>
      <c r="AV278" t="str">
        <f>IF('1. Live'!AV278='check-Jul25'!AV278,"",'1. Live'!AV278-'check-Jul25'!AV278)</f>
        <v/>
      </c>
      <c r="AW278" t="str">
        <f>IF('1. Live'!AW278='check-Jul25'!AW278,"",'1. Live'!AW278-'check-Jul25'!AW278)</f>
        <v/>
      </c>
      <c r="AX278" t="str">
        <f>IF('1. Live'!AX278='check-Jul25'!AX278,"",'1. Live'!AX278-'check-Jul25'!AX278)</f>
        <v/>
      </c>
      <c r="AY278" t="str">
        <f>IF('1. Live'!AY278='check-Jul25'!AY278,"",'1. Live'!AY278-'check-Jul25'!AY278)</f>
        <v/>
      </c>
      <c r="AZ278" t="str">
        <f>IF('1. Live'!AZ278='check-Jul25'!AZ278,"",'1. Live'!AZ278-'check-Jul25'!AZ278)</f>
        <v/>
      </c>
      <c r="BA278" t="str">
        <f>IF('1. Live'!BA278='check-Jul25'!BA278,"",'1. Live'!BA278-'check-Jul25'!BA278)</f>
        <v/>
      </c>
      <c r="BB278" t="str">
        <f>IF('1. Live'!BB278='check-Jul25'!BB278,"",'1. Live'!BB278-'check-Jul25'!BB278)</f>
        <v/>
      </c>
      <c r="BC278" t="str">
        <f>IF('1. Live'!BC278='check-Jul25'!BC278,"",'1. Live'!BC278-'check-Jul25'!BC278)</f>
        <v/>
      </c>
      <c r="BD278" t="str">
        <f>IF('1. Live'!BD278='check-Jul25'!BD278,"",'1. Live'!BD278-'check-Jul25'!BD278)</f>
        <v/>
      </c>
      <c r="BE278" t="str">
        <f>IF('1. Live'!BE278='check-Jul25'!BE278,"",'1. Live'!BE278-'check-Jul25'!BE278)</f>
        <v/>
      </c>
      <c r="BF278" t="str">
        <f>IF('1. Live'!BF278='check-Jul25'!BF278,"",'1. Live'!BF278-'check-Jul25'!BF278)</f>
        <v/>
      </c>
      <c r="BG278" t="str">
        <f>IF('1. Live'!BG278='check-Jul25'!BG278,"",'1. Live'!BG278-'check-Jul25'!BG278)</f>
        <v/>
      </c>
      <c r="BH278" t="str">
        <f>IF('1. Live'!BH278='check-Jul25'!BH278,"",'1. Live'!BH278-'check-Jul25'!BH278)</f>
        <v/>
      </c>
      <c r="BI278" t="str">
        <f>IF('1. Live'!BI278='check-Jul25'!BI278,"",'1. Live'!BI278-'check-Jul25'!BI278)</f>
        <v/>
      </c>
      <c r="BJ278" t="str">
        <f>IF('1. Live'!BJ278='check-Jul25'!BJ278,"",'1. Live'!BJ278-'check-Jul25'!BJ278)</f>
        <v/>
      </c>
      <c r="BK278" t="str">
        <f>IF('1. Live'!BK278='check-Jul25'!BK278,"",'1. Live'!BK278-'check-Jul25'!BK278)</f>
        <v/>
      </c>
      <c r="BL278" t="str">
        <f>IF('1. Live'!BL278='check-Jul25'!BL278,"",'1. Live'!BL278-'check-Jul25'!BL278)</f>
        <v/>
      </c>
      <c r="BM278" t="str">
        <f>IF('1. Live'!BM278='check-Jul25'!BM278,"",'1. Live'!BM278-'check-Jul25'!BM278)</f>
        <v/>
      </c>
      <c r="BN278" t="str">
        <f>IF('1. Live'!BN278='check-Jul25'!BN278,"",'1. Live'!BN278-'check-Jul25'!BN278)</f>
        <v/>
      </c>
      <c r="BO278" t="str">
        <f>IF('1. Live'!BO278='check-Jul25'!BO278,"",'1. Live'!BO278-'check-Jul25'!BO278)</f>
        <v/>
      </c>
      <c r="BP278" t="str">
        <f>IF('1. Live'!BP278='check-Jul25'!BP278,"",'1. Live'!BP278-'check-Jul25'!BP278)</f>
        <v/>
      </c>
      <c r="BQ278" t="str">
        <f>IF('1. Live'!BQ278='check-Jul25'!BQ278,"",'1. Live'!BQ278-'check-Jul25'!BQ278)</f>
        <v/>
      </c>
      <c r="BR278" t="str">
        <f>IF('1. Live'!BR278='check-Jul25'!BR278,"",'1. Live'!BR278-'check-Jul25'!BR278)</f>
        <v/>
      </c>
      <c r="BS278" t="str">
        <f>IF('1. Live'!BS278='check-Jul25'!BS278,"",'1. Live'!BS278-'check-Jul25'!BS278)</f>
        <v/>
      </c>
      <c r="BT278" t="str">
        <f>IF('1. Live'!BT278='check-Jul25'!BT278,"",'1. Live'!BT278-'check-Jul25'!BT278)</f>
        <v/>
      </c>
      <c r="BU278" t="str">
        <f>IF('1. Live'!BU278='check-Jul25'!BU278,"",'1. Live'!BU278-'check-Jul25'!BU278)</f>
        <v/>
      </c>
      <c r="BV278" t="str">
        <f>IF('1. Live'!BV278='check-Jul25'!BV278,"",'1. Live'!BV278-'check-Jul25'!BV278)</f>
        <v/>
      </c>
      <c r="BW278" t="str">
        <f>IF('1. Live'!BW278='check-Jul25'!BW278,"",'1. Live'!BW278-'check-Jul25'!BW278)</f>
        <v/>
      </c>
      <c r="BX278" t="str">
        <f>IF('1. Live'!BX278='check-Jul25'!BX278,"",'1. Live'!BX278-'check-Jul25'!BX278)</f>
        <v/>
      </c>
      <c r="BY278" t="str">
        <f>IF('1. Live'!BY278='check-Jul25'!BY278,"",'1. Live'!BY278-'check-Jul25'!BY278)</f>
        <v/>
      </c>
      <c r="BZ278" t="str">
        <f>IF('1. Live'!BZ278='check-Jul25'!BZ278,"",'1. Live'!BZ278-'check-Jul25'!BZ278)</f>
        <v/>
      </c>
      <c r="CA278" t="str">
        <f>IF('1. Live'!CA278='check-Jul25'!CA278,"",'1. Live'!CA278-'check-Jul25'!CA278)</f>
        <v/>
      </c>
      <c r="CB278" t="str">
        <f>IF('1. Live'!CB278='check-Jul25'!CB278,"",'1. Live'!CB278-'check-Jul25'!CB278)</f>
        <v/>
      </c>
      <c r="CC278" t="str">
        <f>IF('1. Live'!CC278='check-Jul25'!CC278,"",'1. Live'!CC278-'check-Jul25'!CC278)</f>
        <v/>
      </c>
      <c r="CD278" t="str">
        <f>IF('1. Live'!CD278='check-Jul25'!CD278,"",'1. Live'!CD278-'check-Jul25'!CD278)</f>
        <v/>
      </c>
      <c r="CE278" t="str">
        <f>IF('1. Live'!CE278='check-Jul25'!CE278,"",'1. Live'!CE278-'check-Jul25'!CE278)</f>
        <v/>
      </c>
      <c r="CF278" t="str">
        <f>IF('1. Live'!CF278='check-Jul25'!CF278,"",'1. Live'!CF278-'check-Jul25'!CF278)</f>
        <v/>
      </c>
      <c r="CG278" t="str">
        <f>IF('1. Live'!CG278='check-Jul25'!CG278,"",'1. Live'!CG278-'check-Jul25'!CG278)</f>
        <v/>
      </c>
      <c r="CH278" t="str">
        <f>IF('1. Live'!CH278='check-Jul25'!CH278,"",'1. Live'!CH278-'check-Jul25'!CH278)</f>
        <v/>
      </c>
      <c r="CI278" t="str">
        <f>IF('1. Live'!CI278='check-Jul25'!CI278,"",'1. Live'!CI278-'check-Jul25'!CI278)</f>
        <v/>
      </c>
      <c r="CJ278" t="str">
        <f>IF('1. Live'!CJ278='check-Jul25'!CJ278,"",'1. Live'!CJ278-'check-Jul25'!CJ278)</f>
        <v/>
      </c>
      <c r="CK278" t="str">
        <f>IF('1. Live'!CK278='check-Jul25'!CK278,"",'1. Live'!CK278-'check-Jul25'!CK278)</f>
        <v/>
      </c>
      <c r="CL278" t="str">
        <f>IF('1. Live'!CL278='check-Jul25'!CL278,"",'1. Live'!CL278-'check-Jul25'!CL278)</f>
        <v/>
      </c>
      <c r="CM278" t="str">
        <f>IF('1. Live'!CM278='check-Jul25'!CM278,"",'1. Live'!CM278-'check-Jul25'!CM278)</f>
        <v/>
      </c>
      <c r="CN278" t="str">
        <f>IF('1. Live'!CN278='check-Jul25'!CN278,"",'1. Live'!CN278-'check-Jul25'!CN278)</f>
        <v/>
      </c>
      <c r="CO278" t="str">
        <f>IF('1. Live'!CO278='check-Jul25'!CO278,"",'1. Live'!CO278-'check-Jul25'!CO278)</f>
        <v/>
      </c>
      <c r="CP278" t="str">
        <f>IF('1. Live'!CP278='check-Jul25'!CP278,"",'1. Live'!CP278-'check-Jul25'!CP278)</f>
        <v/>
      </c>
      <c r="CQ278" t="str">
        <f>IF('1. Live'!CQ278='check-Jul25'!CQ278,"",'1. Live'!CQ278-'check-Jul25'!CQ278)</f>
        <v/>
      </c>
      <c r="CR278" t="str">
        <f>IF('1. Live'!CR278='check-Jul25'!CR278,"",'1. Live'!CR278-'check-Jul25'!CR278)</f>
        <v/>
      </c>
      <c r="CS278" t="str">
        <f>IF('1. Live'!CS278='check-Jul25'!CS278,"",'1. Live'!CS278-'check-Jul25'!CS278)</f>
        <v/>
      </c>
      <c r="CT278" t="str">
        <f>IF('1. Live'!CT278='check-Jul25'!CT278,"",'1. Live'!CT278-'check-Jul25'!CT278)</f>
        <v/>
      </c>
      <c r="CU278" t="str">
        <f>IF('1. Live'!CU278='check-Jul25'!CU278,"",'1. Live'!CU278-'check-Jul25'!CU278)</f>
        <v/>
      </c>
      <c r="CV278" t="str">
        <f>IF('1. Live'!CV278='check-Jul25'!CV278,"",'1. Live'!CV278-'check-Jul25'!CV278)</f>
        <v/>
      </c>
      <c r="CW278" t="str">
        <f>IF('1. Live'!CW278='check-Jul25'!CW278,"",'1. Live'!CW278-'check-Jul25'!CW278)</f>
        <v/>
      </c>
    </row>
    <row r="279" spans="10:101">
      <c r="J279" t="str">
        <f>IF('1. Live'!J279='check-Jul25'!J279,"",'1. Live'!J279-'check-Jul25'!J279)</f>
        <v/>
      </c>
      <c r="K279" t="str">
        <f>IF('1. Live'!K279='check-Jul25'!K279,"",'1. Live'!K279-'check-Jul25'!K279)</f>
        <v/>
      </c>
      <c r="L279" t="str">
        <f>IF('1. Live'!L279='check-Jul25'!L279,"",'1. Live'!L279-'check-Jul25'!L279)</f>
        <v/>
      </c>
      <c r="M279" t="str">
        <f>IF('1. Live'!M279='check-Jul25'!M279,"",'1. Live'!M279-'check-Jul25'!M279)</f>
        <v/>
      </c>
      <c r="N279" t="str">
        <f>IF('1. Live'!N279='check-Jul25'!N279,"",'1. Live'!N279-'check-Jul25'!N279)</f>
        <v/>
      </c>
      <c r="O279" t="str">
        <f>IF('1. Live'!O279='check-Jul25'!O279,"",'1. Live'!O279-'check-Jul25'!O279)</f>
        <v/>
      </c>
      <c r="P279" t="str">
        <f>IF('1. Live'!P279='check-Jul25'!P279,"",'1. Live'!P279-'check-Jul25'!P279)</f>
        <v/>
      </c>
      <c r="Q279" t="str">
        <f>IF('1. Live'!Q279='check-Jul25'!Q279,"",'1. Live'!Q279-'check-Jul25'!Q279)</f>
        <v/>
      </c>
      <c r="R279" t="str">
        <f>IF('1. Live'!R279='check-Jul25'!R279,"",'1. Live'!R279-'check-Jul25'!R279)</f>
        <v/>
      </c>
      <c r="S279" t="str">
        <f>IF('1. Live'!S279='check-Jul25'!S279,"",'1. Live'!S279-'check-Jul25'!S279)</f>
        <v/>
      </c>
      <c r="T279" t="str">
        <f>IF('1. Live'!T279='check-Jul25'!T279,"",'1. Live'!T279-'check-Jul25'!T279)</f>
        <v/>
      </c>
      <c r="U279" t="str">
        <f>IF('1. Live'!U279='check-Jul25'!U279,"",'1. Live'!U279-'check-Jul25'!U279)</f>
        <v/>
      </c>
      <c r="V279" t="str">
        <f>IF('1. Live'!V279='check-Jul25'!V279,"",'1. Live'!V279-'check-Jul25'!V279)</f>
        <v/>
      </c>
      <c r="W279" t="str">
        <f>IF('1. Live'!W279='check-Jul25'!W279,"",'1. Live'!W279-'check-Jul25'!W279)</f>
        <v/>
      </c>
      <c r="X279" t="str">
        <f>IF('1. Live'!X279='check-Jul25'!X279,"",'1. Live'!X279-'check-Jul25'!X279)</f>
        <v/>
      </c>
      <c r="Y279" t="str">
        <f>IF('1. Live'!Y279='check-Jul25'!Y279,"",'1. Live'!Y279-'check-Jul25'!Y279)</f>
        <v/>
      </c>
      <c r="Z279" t="str">
        <f>IF('1. Live'!Z279='check-Jul25'!Z279,"",'1. Live'!Z279-'check-Jul25'!Z279)</f>
        <v/>
      </c>
      <c r="AA279" t="str">
        <f>IF('1. Live'!AA279='check-Jul25'!AA279,"",'1. Live'!AA279-'check-Jul25'!AA279)</f>
        <v/>
      </c>
      <c r="AB279" t="str">
        <f>IF('1. Live'!AB279='check-Jul25'!AB279,"",'1. Live'!AB279-'check-Jul25'!AB279)</f>
        <v/>
      </c>
      <c r="AC279" t="str">
        <f>IF('1. Live'!AC279='check-Jul25'!AC279,"",'1. Live'!AC279-'check-Jul25'!AC279)</f>
        <v/>
      </c>
      <c r="AD279" t="str">
        <f>IF('1. Live'!AD279='check-Jul25'!AD279,"",'1. Live'!AD279-'check-Jul25'!AD279)</f>
        <v/>
      </c>
      <c r="AE279" t="str">
        <f>IF('1. Live'!AE279='check-Jul25'!AE279,"",'1. Live'!AE279-'check-Jul25'!AE279)</f>
        <v/>
      </c>
      <c r="AF279" t="str">
        <f>IF('1. Live'!AF279='check-Jul25'!AF279,"",'1. Live'!AF279-'check-Jul25'!AF279)</f>
        <v/>
      </c>
      <c r="AG279" t="str">
        <f>IF('1. Live'!AG279='check-Jul25'!AG279,"",'1. Live'!AG279-'check-Jul25'!AG279)</f>
        <v/>
      </c>
      <c r="AH279" t="str">
        <f>IF('1. Live'!AH279='check-Jul25'!AH279,"",'1. Live'!AH279-'check-Jul25'!AH279)</f>
        <v/>
      </c>
      <c r="AI279" t="str">
        <f>IF('1. Live'!AI279='check-Jul25'!AI279,"",'1. Live'!AI279-'check-Jul25'!AI279)</f>
        <v/>
      </c>
      <c r="AJ279" t="str">
        <f>IF('1. Live'!AJ279='check-Jul25'!AJ279,"",'1. Live'!AJ279-'check-Jul25'!AJ279)</f>
        <v/>
      </c>
      <c r="AK279" t="str">
        <f>IF('1. Live'!AK279='check-Jul25'!AK279,"",'1. Live'!AK279-'check-Jul25'!AK279)</f>
        <v/>
      </c>
      <c r="AL279" t="str">
        <f>IF('1. Live'!AL279='check-Jul25'!AL279,"",'1. Live'!AL279-'check-Jul25'!AL279)</f>
        <v/>
      </c>
      <c r="AM279" t="str">
        <f>IF('1. Live'!AM279='check-Jul25'!AM279,"",'1. Live'!AM279-'check-Jul25'!AM279)</f>
        <v/>
      </c>
      <c r="AN279" t="str">
        <f>IF('1. Live'!AN279='check-Jul25'!AN279,"",'1. Live'!AN279-'check-Jul25'!AN279)</f>
        <v/>
      </c>
      <c r="AO279" t="str">
        <f>IF('1. Live'!AO279='check-Jul25'!AO279,"",'1. Live'!AO279-'check-Jul25'!AO279)</f>
        <v/>
      </c>
      <c r="AP279" t="str">
        <f>IF('1. Live'!AP279='check-Jul25'!AP279,"",'1. Live'!AP279-'check-Jul25'!AP279)</f>
        <v/>
      </c>
      <c r="AQ279" t="str">
        <f>IF('1. Live'!AQ279='check-Jul25'!AQ279,"",'1. Live'!AQ279-'check-Jul25'!AQ279)</f>
        <v/>
      </c>
      <c r="AR279" t="str">
        <f>IF('1. Live'!AR279='check-Jul25'!AR279,"",'1. Live'!AR279-'check-Jul25'!AR279)</f>
        <v/>
      </c>
      <c r="AS279" t="str">
        <f>IF('1. Live'!AS279='check-Jul25'!AS279,"",'1. Live'!AS279-'check-Jul25'!AS279)</f>
        <v/>
      </c>
      <c r="AT279" t="str">
        <f>IF('1. Live'!AT279='check-Jul25'!AT279,"",'1. Live'!AT279-'check-Jul25'!AT279)</f>
        <v/>
      </c>
      <c r="AU279" t="str">
        <f>IF('1. Live'!AU279='check-Jul25'!AU279,"",'1. Live'!AU279-'check-Jul25'!AU279)</f>
        <v/>
      </c>
      <c r="AV279" t="str">
        <f>IF('1. Live'!AV279='check-Jul25'!AV279,"",'1. Live'!AV279-'check-Jul25'!AV279)</f>
        <v/>
      </c>
      <c r="AW279" t="str">
        <f>IF('1. Live'!AW279='check-Jul25'!AW279,"",'1. Live'!AW279-'check-Jul25'!AW279)</f>
        <v/>
      </c>
      <c r="AX279" t="str">
        <f>IF('1. Live'!AX279='check-Jul25'!AX279,"",'1. Live'!AX279-'check-Jul25'!AX279)</f>
        <v/>
      </c>
      <c r="AY279" t="str">
        <f>IF('1. Live'!AY279='check-Jul25'!AY279,"",'1. Live'!AY279-'check-Jul25'!AY279)</f>
        <v/>
      </c>
      <c r="AZ279" t="str">
        <f>IF('1. Live'!AZ279='check-Jul25'!AZ279,"",'1. Live'!AZ279-'check-Jul25'!AZ279)</f>
        <v/>
      </c>
      <c r="BA279" t="str">
        <f>IF('1. Live'!BA279='check-Jul25'!BA279,"",'1. Live'!BA279-'check-Jul25'!BA279)</f>
        <v/>
      </c>
      <c r="BB279" t="str">
        <f>IF('1. Live'!BB279='check-Jul25'!BB279,"",'1. Live'!BB279-'check-Jul25'!BB279)</f>
        <v/>
      </c>
      <c r="BC279" t="str">
        <f>IF('1. Live'!BC279='check-Jul25'!BC279,"",'1. Live'!BC279-'check-Jul25'!BC279)</f>
        <v/>
      </c>
      <c r="BD279" t="str">
        <f>IF('1. Live'!BD279='check-Jul25'!BD279,"",'1. Live'!BD279-'check-Jul25'!BD279)</f>
        <v/>
      </c>
      <c r="BE279" t="str">
        <f>IF('1. Live'!BE279='check-Jul25'!BE279,"",'1. Live'!BE279-'check-Jul25'!BE279)</f>
        <v/>
      </c>
      <c r="BF279" t="str">
        <f>IF('1. Live'!BF279='check-Jul25'!BF279,"",'1. Live'!BF279-'check-Jul25'!BF279)</f>
        <v/>
      </c>
      <c r="BG279" t="str">
        <f>IF('1. Live'!BG279='check-Jul25'!BG279,"",'1. Live'!BG279-'check-Jul25'!BG279)</f>
        <v/>
      </c>
      <c r="BH279" t="str">
        <f>IF('1. Live'!BH279='check-Jul25'!BH279,"",'1. Live'!BH279-'check-Jul25'!BH279)</f>
        <v/>
      </c>
      <c r="BI279" t="str">
        <f>IF('1. Live'!BI279='check-Jul25'!BI279,"",'1. Live'!BI279-'check-Jul25'!BI279)</f>
        <v/>
      </c>
      <c r="BJ279" t="str">
        <f>IF('1. Live'!BJ279='check-Jul25'!BJ279,"",'1. Live'!BJ279-'check-Jul25'!BJ279)</f>
        <v/>
      </c>
      <c r="BK279" t="str">
        <f>IF('1. Live'!BK279='check-Jul25'!BK279,"",'1. Live'!BK279-'check-Jul25'!BK279)</f>
        <v/>
      </c>
      <c r="BL279" t="str">
        <f>IF('1. Live'!BL279='check-Jul25'!BL279,"",'1. Live'!BL279-'check-Jul25'!BL279)</f>
        <v/>
      </c>
      <c r="BM279" t="str">
        <f>IF('1. Live'!BM279='check-Jul25'!BM279,"",'1. Live'!BM279-'check-Jul25'!BM279)</f>
        <v/>
      </c>
      <c r="BN279" t="str">
        <f>IF('1. Live'!BN279='check-Jul25'!BN279,"",'1. Live'!BN279-'check-Jul25'!BN279)</f>
        <v/>
      </c>
      <c r="BO279" t="str">
        <f>IF('1. Live'!BO279='check-Jul25'!BO279,"",'1. Live'!BO279-'check-Jul25'!BO279)</f>
        <v/>
      </c>
      <c r="BP279" t="str">
        <f>IF('1. Live'!BP279='check-Jul25'!BP279,"",'1. Live'!BP279-'check-Jul25'!BP279)</f>
        <v/>
      </c>
      <c r="BQ279" t="str">
        <f>IF('1. Live'!BQ279='check-Jul25'!BQ279,"",'1. Live'!BQ279-'check-Jul25'!BQ279)</f>
        <v/>
      </c>
      <c r="BR279" t="str">
        <f>IF('1. Live'!BR279='check-Jul25'!BR279,"",'1. Live'!BR279-'check-Jul25'!BR279)</f>
        <v/>
      </c>
      <c r="BS279" t="str">
        <f>IF('1. Live'!BS279='check-Jul25'!BS279,"",'1. Live'!BS279-'check-Jul25'!BS279)</f>
        <v/>
      </c>
      <c r="BT279" t="str">
        <f>IF('1. Live'!BT279='check-Jul25'!BT279,"",'1. Live'!BT279-'check-Jul25'!BT279)</f>
        <v/>
      </c>
      <c r="BU279" t="str">
        <f>IF('1. Live'!BU279='check-Jul25'!BU279,"",'1. Live'!BU279-'check-Jul25'!BU279)</f>
        <v/>
      </c>
      <c r="BV279" t="str">
        <f>IF('1. Live'!BV279='check-Jul25'!BV279,"",'1. Live'!BV279-'check-Jul25'!BV279)</f>
        <v/>
      </c>
      <c r="BW279" t="str">
        <f>IF('1. Live'!BW279='check-Jul25'!BW279,"",'1. Live'!BW279-'check-Jul25'!BW279)</f>
        <v/>
      </c>
      <c r="BX279" t="str">
        <f>IF('1. Live'!BX279='check-Jul25'!BX279,"",'1. Live'!BX279-'check-Jul25'!BX279)</f>
        <v/>
      </c>
      <c r="BY279" t="str">
        <f>IF('1. Live'!BY279='check-Jul25'!BY279,"",'1. Live'!BY279-'check-Jul25'!BY279)</f>
        <v/>
      </c>
      <c r="BZ279" t="str">
        <f>IF('1. Live'!BZ279='check-Jul25'!BZ279,"",'1. Live'!BZ279-'check-Jul25'!BZ279)</f>
        <v/>
      </c>
      <c r="CA279" t="str">
        <f>IF('1. Live'!CA279='check-Jul25'!CA279,"",'1. Live'!CA279-'check-Jul25'!CA279)</f>
        <v/>
      </c>
      <c r="CB279" t="str">
        <f>IF('1. Live'!CB279='check-Jul25'!CB279,"",'1. Live'!CB279-'check-Jul25'!CB279)</f>
        <v/>
      </c>
      <c r="CC279" t="str">
        <f>IF('1. Live'!CC279='check-Jul25'!CC279,"",'1. Live'!CC279-'check-Jul25'!CC279)</f>
        <v/>
      </c>
      <c r="CD279" t="str">
        <f>IF('1. Live'!CD279='check-Jul25'!CD279,"",'1. Live'!CD279-'check-Jul25'!CD279)</f>
        <v/>
      </c>
      <c r="CE279" t="str">
        <f>IF('1. Live'!CE279='check-Jul25'!CE279,"",'1. Live'!CE279-'check-Jul25'!CE279)</f>
        <v/>
      </c>
      <c r="CF279" t="str">
        <f>IF('1. Live'!CF279='check-Jul25'!CF279,"",'1. Live'!CF279-'check-Jul25'!CF279)</f>
        <v/>
      </c>
      <c r="CG279" t="str">
        <f>IF('1. Live'!CG279='check-Jul25'!CG279,"",'1. Live'!CG279-'check-Jul25'!CG279)</f>
        <v/>
      </c>
      <c r="CH279" t="str">
        <f>IF('1. Live'!CH279='check-Jul25'!CH279,"",'1. Live'!CH279-'check-Jul25'!CH279)</f>
        <v/>
      </c>
      <c r="CI279" t="str">
        <f>IF('1. Live'!CI279='check-Jul25'!CI279,"",'1. Live'!CI279-'check-Jul25'!CI279)</f>
        <v/>
      </c>
      <c r="CJ279" t="str">
        <f>IF('1. Live'!CJ279='check-Jul25'!CJ279,"",'1. Live'!CJ279-'check-Jul25'!CJ279)</f>
        <v/>
      </c>
      <c r="CK279" t="str">
        <f>IF('1. Live'!CK279='check-Jul25'!CK279,"",'1. Live'!CK279-'check-Jul25'!CK279)</f>
        <v/>
      </c>
      <c r="CL279" t="str">
        <f>IF('1. Live'!CL279='check-Jul25'!CL279,"",'1. Live'!CL279-'check-Jul25'!CL279)</f>
        <v/>
      </c>
      <c r="CM279" t="str">
        <f>IF('1. Live'!CM279='check-Jul25'!CM279,"",'1. Live'!CM279-'check-Jul25'!CM279)</f>
        <v/>
      </c>
      <c r="CN279" t="str">
        <f>IF('1. Live'!CN279='check-Jul25'!CN279,"",'1. Live'!CN279-'check-Jul25'!CN279)</f>
        <v/>
      </c>
      <c r="CO279" t="str">
        <f>IF('1. Live'!CO279='check-Jul25'!CO279,"",'1. Live'!CO279-'check-Jul25'!CO279)</f>
        <v/>
      </c>
      <c r="CP279" t="str">
        <f>IF('1. Live'!CP279='check-Jul25'!CP279,"",'1. Live'!CP279-'check-Jul25'!CP279)</f>
        <v/>
      </c>
      <c r="CQ279" t="str">
        <f>IF('1. Live'!CQ279='check-Jul25'!CQ279,"",'1. Live'!CQ279-'check-Jul25'!CQ279)</f>
        <v/>
      </c>
      <c r="CR279" t="str">
        <f>IF('1. Live'!CR279='check-Jul25'!CR279,"",'1. Live'!CR279-'check-Jul25'!CR279)</f>
        <v/>
      </c>
      <c r="CS279" t="str">
        <f>IF('1. Live'!CS279='check-Jul25'!CS279,"",'1. Live'!CS279-'check-Jul25'!CS279)</f>
        <v/>
      </c>
      <c r="CT279" t="str">
        <f>IF('1. Live'!CT279='check-Jul25'!CT279,"",'1. Live'!CT279-'check-Jul25'!CT279)</f>
        <v/>
      </c>
      <c r="CU279" t="str">
        <f>IF('1. Live'!CU279='check-Jul25'!CU279,"",'1. Live'!CU279-'check-Jul25'!CU279)</f>
        <v/>
      </c>
      <c r="CV279" t="str">
        <f>IF('1. Live'!CV279='check-Jul25'!CV279,"",'1. Live'!CV279-'check-Jul25'!CV279)</f>
        <v/>
      </c>
      <c r="CW279" t="str">
        <f>IF('1. Live'!CW279='check-Jul25'!CW279,"",'1. Live'!CW279-'check-Jul25'!CW279)</f>
        <v/>
      </c>
    </row>
    <row r="280" spans="10:101">
      <c r="J280" t="str">
        <f>IF('1. Live'!J280='check-Jul25'!J280,"",'1. Live'!J280-'check-Jul25'!J280)</f>
        <v/>
      </c>
      <c r="K280" t="str">
        <f>IF('1. Live'!K280='check-Jul25'!K280,"",'1. Live'!K280-'check-Jul25'!K280)</f>
        <v/>
      </c>
      <c r="L280" t="str">
        <f>IF('1. Live'!L280='check-Jul25'!L280,"",'1. Live'!L280-'check-Jul25'!L280)</f>
        <v/>
      </c>
      <c r="M280" t="str">
        <f>IF('1. Live'!M280='check-Jul25'!M280,"",'1. Live'!M280-'check-Jul25'!M280)</f>
        <v/>
      </c>
      <c r="N280" t="str">
        <f>IF('1. Live'!N280='check-Jul25'!N280,"",'1. Live'!N280-'check-Jul25'!N280)</f>
        <v/>
      </c>
      <c r="O280" t="str">
        <f>IF('1. Live'!O280='check-Jul25'!O280,"",'1. Live'!O280-'check-Jul25'!O280)</f>
        <v/>
      </c>
      <c r="P280" t="str">
        <f>IF('1. Live'!P280='check-Jul25'!P280,"",'1. Live'!P280-'check-Jul25'!P280)</f>
        <v/>
      </c>
      <c r="Q280" t="str">
        <f>IF('1. Live'!Q280='check-Jul25'!Q280,"",'1. Live'!Q280-'check-Jul25'!Q280)</f>
        <v/>
      </c>
      <c r="R280" t="str">
        <f>IF('1. Live'!R280='check-Jul25'!R280,"",'1. Live'!R280-'check-Jul25'!R280)</f>
        <v/>
      </c>
      <c r="S280" t="str">
        <f>IF('1. Live'!S280='check-Jul25'!S280,"",'1. Live'!S280-'check-Jul25'!S280)</f>
        <v/>
      </c>
      <c r="T280" t="str">
        <f>IF('1. Live'!T280='check-Jul25'!T280,"",'1. Live'!T280-'check-Jul25'!T280)</f>
        <v/>
      </c>
      <c r="U280" t="str">
        <f>IF('1. Live'!U280='check-Jul25'!U280,"",'1. Live'!U280-'check-Jul25'!U280)</f>
        <v/>
      </c>
      <c r="V280" t="str">
        <f>IF('1. Live'!V280='check-Jul25'!V280,"",'1. Live'!V280-'check-Jul25'!V280)</f>
        <v/>
      </c>
      <c r="W280" t="str">
        <f>IF('1. Live'!W280='check-Jul25'!W280,"",'1. Live'!W280-'check-Jul25'!W280)</f>
        <v/>
      </c>
      <c r="X280" t="str">
        <f>IF('1. Live'!X280='check-Jul25'!X280,"",'1. Live'!X280-'check-Jul25'!X280)</f>
        <v/>
      </c>
      <c r="Y280" t="str">
        <f>IF('1. Live'!Y280='check-Jul25'!Y280,"",'1. Live'!Y280-'check-Jul25'!Y280)</f>
        <v/>
      </c>
      <c r="Z280" t="str">
        <f>IF('1. Live'!Z280='check-Jul25'!Z280,"",'1. Live'!Z280-'check-Jul25'!Z280)</f>
        <v/>
      </c>
      <c r="AA280" t="str">
        <f>IF('1. Live'!AA280='check-Jul25'!AA280,"",'1. Live'!AA280-'check-Jul25'!AA280)</f>
        <v/>
      </c>
      <c r="AB280" t="str">
        <f>IF('1. Live'!AB280='check-Jul25'!AB280,"",'1. Live'!AB280-'check-Jul25'!AB280)</f>
        <v/>
      </c>
      <c r="AC280" t="str">
        <f>IF('1. Live'!AC280='check-Jul25'!AC280,"",'1. Live'!AC280-'check-Jul25'!AC280)</f>
        <v/>
      </c>
      <c r="AD280" t="str">
        <f>IF('1. Live'!AD280='check-Jul25'!AD280,"",'1. Live'!AD280-'check-Jul25'!AD280)</f>
        <v/>
      </c>
      <c r="AE280" t="str">
        <f>IF('1. Live'!AE280='check-Jul25'!AE280,"",'1. Live'!AE280-'check-Jul25'!AE280)</f>
        <v/>
      </c>
      <c r="AF280" t="str">
        <f>IF('1. Live'!AF280='check-Jul25'!AF280,"",'1. Live'!AF280-'check-Jul25'!AF280)</f>
        <v/>
      </c>
      <c r="AG280" t="str">
        <f>IF('1. Live'!AG280='check-Jul25'!AG280,"",'1. Live'!AG280-'check-Jul25'!AG280)</f>
        <v/>
      </c>
      <c r="AH280" t="str">
        <f>IF('1. Live'!AH280='check-Jul25'!AH280,"",'1. Live'!AH280-'check-Jul25'!AH280)</f>
        <v/>
      </c>
      <c r="AI280" t="str">
        <f>IF('1. Live'!AI280='check-Jul25'!AI280,"",'1. Live'!AI280-'check-Jul25'!AI280)</f>
        <v/>
      </c>
      <c r="AJ280" t="str">
        <f>IF('1. Live'!AJ280='check-Jul25'!AJ280,"",'1. Live'!AJ280-'check-Jul25'!AJ280)</f>
        <v/>
      </c>
      <c r="AK280" t="str">
        <f>IF('1. Live'!AK280='check-Jul25'!AK280,"",'1. Live'!AK280-'check-Jul25'!AK280)</f>
        <v/>
      </c>
      <c r="AL280" t="str">
        <f>IF('1. Live'!AL280='check-Jul25'!AL280,"",'1. Live'!AL280-'check-Jul25'!AL280)</f>
        <v/>
      </c>
      <c r="AM280" t="str">
        <f>IF('1. Live'!AM280='check-Jul25'!AM280,"",'1. Live'!AM280-'check-Jul25'!AM280)</f>
        <v/>
      </c>
      <c r="AN280" t="str">
        <f>IF('1. Live'!AN280='check-Jul25'!AN280,"",'1. Live'!AN280-'check-Jul25'!AN280)</f>
        <v/>
      </c>
      <c r="AO280" t="str">
        <f>IF('1. Live'!AO280='check-Jul25'!AO280,"",'1. Live'!AO280-'check-Jul25'!AO280)</f>
        <v/>
      </c>
      <c r="AP280" t="str">
        <f>IF('1. Live'!AP280='check-Jul25'!AP280,"",'1. Live'!AP280-'check-Jul25'!AP280)</f>
        <v/>
      </c>
      <c r="AQ280" t="str">
        <f>IF('1. Live'!AQ280='check-Jul25'!AQ280,"",'1. Live'!AQ280-'check-Jul25'!AQ280)</f>
        <v/>
      </c>
      <c r="AR280" t="str">
        <f>IF('1. Live'!AR280='check-Jul25'!AR280,"",'1. Live'!AR280-'check-Jul25'!AR280)</f>
        <v/>
      </c>
      <c r="AS280" t="str">
        <f>IF('1. Live'!AS280='check-Jul25'!AS280,"",'1. Live'!AS280-'check-Jul25'!AS280)</f>
        <v/>
      </c>
      <c r="AT280" t="str">
        <f>IF('1. Live'!AT280='check-Jul25'!AT280,"",'1. Live'!AT280-'check-Jul25'!AT280)</f>
        <v/>
      </c>
      <c r="AU280" t="str">
        <f>IF('1. Live'!AU280='check-Jul25'!AU280,"",'1. Live'!AU280-'check-Jul25'!AU280)</f>
        <v/>
      </c>
      <c r="AV280" t="str">
        <f>IF('1. Live'!AV280='check-Jul25'!AV280,"",'1. Live'!AV280-'check-Jul25'!AV280)</f>
        <v/>
      </c>
      <c r="AW280" t="str">
        <f>IF('1. Live'!AW280='check-Jul25'!AW280,"",'1. Live'!AW280-'check-Jul25'!AW280)</f>
        <v/>
      </c>
      <c r="AX280" t="str">
        <f>IF('1. Live'!AX280='check-Jul25'!AX280,"",'1. Live'!AX280-'check-Jul25'!AX280)</f>
        <v/>
      </c>
      <c r="AY280" t="str">
        <f>IF('1. Live'!AY280='check-Jul25'!AY280,"",'1. Live'!AY280-'check-Jul25'!AY280)</f>
        <v/>
      </c>
      <c r="AZ280" t="str">
        <f>IF('1. Live'!AZ280='check-Jul25'!AZ280,"",'1. Live'!AZ280-'check-Jul25'!AZ280)</f>
        <v/>
      </c>
      <c r="BA280" t="str">
        <f>IF('1. Live'!BA280='check-Jul25'!BA280,"",'1. Live'!BA280-'check-Jul25'!BA280)</f>
        <v/>
      </c>
      <c r="BB280" t="str">
        <f>IF('1. Live'!BB280='check-Jul25'!BB280,"",'1. Live'!BB280-'check-Jul25'!BB280)</f>
        <v/>
      </c>
      <c r="BC280" t="str">
        <f>IF('1. Live'!BC280='check-Jul25'!BC280,"",'1. Live'!BC280-'check-Jul25'!BC280)</f>
        <v/>
      </c>
      <c r="BD280" t="str">
        <f>IF('1. Live'!BD280='check-Jul25'!BD280,"",'1. Live'!BD280-'check-Jul25'!BD280)</f>
        <v/>
      </c>
      <c r="BE280" t="str">
        <f>IF('1. Live'!BE280='check-Jul25'!BE280,"",'1. Live'!BE280-'check-Jul25'!BE280)</f>
        <v/>
      </c>
      <c r="BF280" t="str">
        <f>IF('1. Live'!BF280='check-Jul25'!BF280,"",'1. Live'!BF280-'check-Jul25'!BF280)</f>
        <v/>
      </c>
      <c r="BG280" t="str">
        <f>IF('1. Live'!BG280='check-Jul25'!BG280,"",'1. Live'!BG280-'check-Jul25'!BG280)</f>
        <v/>
      </c>
      <c r="BH280" t="str">
        <f>IF('1. Live'!BH280='check-Jul25'!BH280,"",'1. Live'!BH280-'check-Jul25'!BH280)</f>
        <v/>
      </c>
      <c r="BI280" t="str">
        <f>IF('1. Live'!BI280='check-Jul25'!BI280,"",'1. Live'!BI280-'check-Jul25'!BI280)</f>
        <v/>
      </c>
      <c r="BJ280" t="str">
        <f>IF('1. Live'!BJ280='check-Jul25'!BJ280,"",'1. Live'!BJ280-'check-Jul25'!BJ280)</f>
        <v/>
      </c>
      <c r="BK280" t="str">
        <f>IF('1. Live'!BK280='check-Jul25'!BK280,"",'1. Live'!BK280-'check-Jul25'!BK280)</f>
        <v/>
      </c>
      <c r="BL280" t="str">
        <f>IF('1. Live'!BL280='check-Jul25'!BL280,"",'1. Live'!BL280-'check-Jul25'!BL280)</f>
        <v/>
      </c>
      <c r="BM280" t="str">
        <f>IF('1. Live'!BM280='check-Jul25'!BM280,"",'1. Live'!BM280-'check-Jul25'!BM280)</f>
        <v/>
      </c>
      <c r="BN280" t="str">
        <f>IF('1. Live'!BN280='check-Jul25'!BN280,"",'1. Live'!BN280-'check-Jul25'!BN280)</f>
        <v/>
      </c>
      <c r="BO280" t="str">
        <f>IF('1. Live'!BO280='check-Jul25'!BO280,"",'1. Live'!BO280-'check-Jul25'!BO280)</f>
        <v/>
      </c>
      <c r="BP280" t="str">
        <f>IF('1. Live'!BP280='check-Jul25'!BP280,"",'1. Live'!BP280-'check-Jul25'!BP280)</f>
        <v/>
      </c>
      <c r="BQ280" t="str">
        <f>IF('1. Live'!BQ280='check-Jul25'!BQ280,"",'1. Live'!BQ280-'check-Jul25'!BQ280)</f>
        <v/>
      </c>
      <c r="BR280" t="str">
        <f>IF('1. Live'!BR280='check-Jul25'!BR280,"",'1. Live'!BR280-'check-Jul25'!BR280)</f>
        <v/>
      </c>
      <c r="BS280" t="str">
        <f>IF('1. Live'!BS280='check-Jul25'!BS280,"",'1. Live'!BS280-'check-Jul25'!BS280)</f>
        <v/>
      </c>
      <c r="BT280" t="str">
        <f>IF('1. Live'!BT280='check-Jul25'!BT280,"",'1. Live'!BT280-'check-Jul25'!BT280)</f>
        <v/>
      </c>
      <c r="BU280" t="str">
        <f>IF('1. Live'!BU280='check-Jul25'!BU280,"",'1. Live'!BU280-'check-Jul25'!BU280)</f>
        <v/>
      </c>
      <c r="BV280" t="str">
        <f>IF('1. Live'!BV280='check-Jul25'!BV280,"",'1. Live'!BV280-'check-Jul25'!BV280)</f>
        <v/>
      </c>
      <c r="BW280" t="str">
        <f>IF('1. Live'!BW280='check-Jul25'!BW280,"",'1. Live'!BW280-'check-Jul25'!BW280)</f>
        <v/>
      </c>
      <c r="BX280" t="str">
        <f>IF('1. Live'!BX280='check-Jul25'!BX280,"",'1. Live'!BX280-'check-Jul25'!BX280)</f>
        <v/>
      </c>
      <c r="BY280" t="str">
        <f>IF('1. Live'!BY280='check-Jul25'!BY280,"",'1. Live'!BY280-'check-Jul25'!BY280)</f>
        <v/>
      </c>
      <c r="BZ280" t="str">
        <f>IF('1. Live'!BZ280='check-Jul25'!BZ280,"",'1. Live'!BZ280-'check-Jul25'!BZ280)</f>
        <v/>
      </c>
      <c r="CA280" t="str">
        <f>IF('1. Live'!CA280='check-Jul25'!CA280,"",'1. Live'!CA280-'check-Jul25'!CA280)</f>
        <v/>
      </c>
      <c r="CB280" t="str">
        <f>IF('1. Live'!CB280='check-Jul25'!CB280,"",'1. Live'!CB280-'check-Jul25'!CB280)</f>
        <v/>
      </c>
      <c r="CC280" t="str">
        <f>IF('1. Live'!CC280='check-Jul25'!CC280,"",'1. Live'!CC280-'check-Jul25'!CC280)</f>
        <v/>
      </c>
      <c r="CD280" t="str">
        <f>IF('1. Live'!CD280='check-Jul25'!CD280,"",'1. Live'!CD280-'check-Jul25'!CD280)</f>
        <v/>
      </c>
      <c r="CE280" t="str">
        <f>IF('1. Live'!CE280='check-Jul25'!CE280,"",'1. Live'!CE280-'check-Jul25'!CE280)</f>
        <v/>
      </c>
      <c r="CF280" t="str">
        <f>IF('1. Live'!CF280='check-Jul25'!CF280,"",'1. Live'!CF280-'check-Jul25'!CF280)</f>
        <v/>
      </c>
      <c r="CG280" t="str">
        <f>IF('1. Live'!CG280='check-Jul25'!CG280,"",'1. Live'!CG280-'check-Jul25'!CG280)</f>
        <v/>
      </c>
      <c r="CH280" t="str">
        <f>IF('1. Live'!CH280='check-Jul25'!CH280,"",'1. Live'!CH280-'check-Jul25'!CH280)</f>
        <v/>
      </c>
      <c r="CI280" t="str">
        <f>IF('1. Live'!CI280='check-Jul25'!CI280,"",'1. Live'!CI280-'check-Jul25'!CI280)</f>
        <v/>
      </c>
      <c r="CJ280" t="str">
        <f>IF('1. Live'!CJ280='check-Jul25'!CJ280,"",'1. Live'!CJ280-'check-Jul25'!CJ280)</f>
        <v/>
      </c>
      <c r="CK280" t="str">
        <f>IF('1. Live'!CK280='check-Jul25'!CK280,"",'1. Live'!CK280-'check-Jul25'!CK280)</f>
        <v/>
      </c>
      <c r="CL280" t="str">
        <f>IF('1. Live'!CL280='check-Jul25'!CL280,"",'1. Live'!CL280-'check-Jul25'!CL280)</f>
        <v/>
      </c>
      <c r="CM280" t="str">
        <f>IF('1. Live'!CM280='check-Jul25'!CM280,"",'1. Live'!CM280-'check-Jul25'!CM280)</f>
        <v/>
      </c>
      <c r="CN280" t="str">
        <f>IF('1. Live'!CN280='check-Jul25'!CN280,"",'1. Live'!CN280-'check-Jul25'!CN280)</f>
        <v/>
      </c>
      <c r="CO280" t="str">
        <f>IF('1. Live'!CO280='check-Jul25'!CO280,"",'1. Live'!CO280-'check-Jul25'!CO280)</f>
        <v/>
      </c>
      <c r="CP280" t="str">
        <f>IF('1. Live'!CP280='check-Jul25'!CP280,"",'1. Live'!CP280-'check-Jul25'!CP280)</f>
        <v/>
      </c>
      <c r="CQ280" t="str">
        <f>IF('1. Live'!CQ280='check-Jul25'!CQ280,"",'1. Live'!CQ280-'check-Jul25'!CQ280)</f>
        <v/>
      </c>
      <c r="CR280" t="str">
        <f>IF('1. Live'!CR280='check-Jul25'!CR280,"",'1. Live'!CR280-'check-Jul25'!CR280)</f>
        <v/>
      </c>
      <c r="CS280" t="str">
        <f>IF('1. Live'!CS280='check-Jul25'!CS280,"",'1. Live'!CS280-'check-Jul25'!CS280)</f>
        <v/>
      </c>
      <c r="CT280" t="str">
        <f>IF('1. Live'!CT280='check-Jul25'!CT280,"",'1. Live'!CT280-'check-Jul25'!CT280)</f>
        <v/>
      </c>
      <c r="CU280" t="str">
        <f>IF('1. Live'!CU280='check-Jul25'!CU280,"",'1. Live'!CU280-'check-Jul25'!CU280)</f>
        <v/>
      </c>
      <c r="CV280" t="str">
        <f>IF('1. Live'!CV280='check-Jul25'!CV280,"",'1. Live'!CV280-'check-Jul25'!CV280)</f>
        <v/>
      </c>
      <c r="CW280" t="str">
        <f>IF('1. Live'!CW280='check-Jul25'!CW280,"",'1. Live'!CW280-'check-Jul25'!CW280)</f>
        <v/>
      </c>
    </row>
    <row r="281" spans="10:101">
      <c r="J281" t="str">
        <f>IF('1. Live'!J281='check-Jul25'!J281,"",'1. Live'!J281-'check-Jul25'!J281)</f>
        <v/>
      </c>
      <c r="K281" t="str">
        <f>IF('1. Live'!K281='check-Jul25'!K281,"",'1. Live'!K281-'check-Jul25'!K281)</f>
        <v/>
      </c>
      <c r="L281" t="str">
        <f>IF('1. Live'!L281='check-Jul25'!L281,"",'1. Live'!L281-'check-Jul25'!L281)</f>
        <v/>
      </c>
      <c r="M281" t="str">
        <f>IF('1. Live'!M281='check-Jul25'!M281,"",'1. Live'!M281-'check-Jul25'!M281)</f>
        <v/>
      </c>
      <c r="N281" t="str">
        <f>IF('1. Live'!N281='check-Jul25'!N281,"",'1. Live'!N281-'check-Jul25'!N281)</f>
        <v/>
      </c>
      <c r="O281" t="str">
        <f>IF('1. Live'!O281='check-Jul25'!O281,"",'1. Live'!O281-'check-Jul25'!O281)</f>
        <v/>
      </c>
      <c r="P281" t="str">
        <f>IF('1. Live'!P281='check-Jul25'!P281,"",'1. Live'!P281-'check-Jul25'!P281)</f>
        <v/>
      </c>
      <c r="Q281" t="str">
        <f>IF('1. Live'!Q281='check-Jul25'!Q281,"",'1. Live'!Q281-'check-Jul25'!Q281)</f>
        <v/>
      </c>
      <c r="R281" t="str">
        <f>IF('1. Live'!R281='check-Jul25'!R281,"",'1. Live'!R281-'check-Jul25'!R281)</f>
        <v/>
      </c>
      <c r="S281" t="str">
        <f>IF('1. Live'!S281='check-Jul25'!S281,"",'1. Live'!S281-'check-Jul25'!S281)</f>
        <v/>
      </c>
      <c r="T281" t="str">
        <f>IF('1. Live'!T281='check-Jul25'!T281,"",'1. Live'!T281-'check-Jul25'!T281)</f>
        <v/>
      </c>
      <c r="U281" t="str">
        <f>IF('1. Live'!U281='check-Jul25'!U281,"",'1. Live'!U281-'check-Jul25'!U281)</f>
        <v/>
      </c>
      <c r="V281" t="str">
        <f>IF('1. Live'!V281='check-Jul25'!V281,"",'1. Live'!V281-'check-Jul25'!V281)</f>
        <v/>
      </c>
      <c r="W281" t="str">
        <f>IF('1. Live'!W281='check-Jul25'!W281,"",'1. Live'!W281-'check-Jul25'!W281)</f>
        <v/>
      </c>
      <c r="X281" t="str">
        <f>IF('1. Live'!X281='check-Jul25'!X281,"",'1. Live'!X281-'check-Jul25'!X281)</f>
        <v/>
      </c>
      <c r="Y281" t="str">
        <f>IF('1. Live'!Y281='check-Jul25'!Y281,"",'1. Live'!Y281-'check-Jul25'!Y281)</f>
        <v/>
      </c>
      <c r="Z281" t="str">
        <f>IF('1. Live'!Z281='check-Jul25'!Z281,"",'1. Live'!Z281-'check-Jul25'!Z281)</f>
        <v/>
      </c>
      <c r="AA281" t="str">
        <f>IF('1. Live'!AA281='check-Jul25'!AA281,"",'1. Live'!AA281-'check-Jul25'!AA281)</f>
        <v/>
      </c>
      <c r="AB281" t="str">
        <f>IF('1. Live'!AB281='check-Jul25'!AB281,"",'1. Live'!AB281-'check-Jul25'!AB281)</f>
        <v/>
      </c>
      <c r="AC281" t="str">
        <f>IF('1. Live'!AC281='check-Jul25'!AC281,"",'1. Live'!AC281-'check-Jul25'!AC281)</f>
        <v/>
      </c>
      <c r="AD281" t="str">
        <f>IF('1. Live'!AD281='check-Jul25'!AD281,"",'1. Live'!AD281-'check-Jul25'!AD281)</f>
        <v/>
      </c>
      <c r="AE281" t="str">
        <f>IF('1. Live'!AE281='check-Jul25'!AE281,"",'1. Live'!AE281-'check-Jul25'!AE281)</f>
        <v/>
      </c>
      <c r="AF281" t="str">
        <f>IF('1. Live'!AF281='check-Jul25'!AF281,"",'1. Live'!AF281-'check-Jul25'!AF281)</f>
        <v/>
      </c>
      <c r="AG281" t="str">
        <f>IF('1. Live'!AG281='check-Jul25'!AG281,"",'1. Live'!AG281-'check-Jul25'!AG281)</f>
        <v/>
      </c>
      <c r="AH281" t="str">
        <f>IF('1. Live'!AH281='check-Jul25'!AH281,"",'1. Live'!AH281-'check-Jul25'!AH281)</f>
        <v/>
      </c>
      <c r="AI281" t="str">
        <f>IF('1. Live'!AI281='check-Jul25'!AI281,"",'1. Live'!AI281-'check-Jul25'!AI281)</f>
        <v/>
      </c>
      <c r="AJ281" t="str">
        <f>IF('1. Live'!AJ281='check-Jul25'!AJ281,"",'1. Live'!AJ281-'check-Jul25'!AJ281)</f>
        <v/>
      </c>
      <c r="AK281" t="str">
        <f>IF('1. Live'!AK281='check-Jul25'!AK281,"",'1. Live'!AK281-'check-Jul25'!AK281)</f>
        <v/>
      </c>
      <c r="AL281" t="str">
        <f>IF('1. Live'!AL281='check-Jul25'!AL281,"",'1. Live'!AL281-'check-Jul25'!AL281)</f>
        <v/>
      </c>
      <c r="AM281" t="str">
        <f>IF('1. Live'!AM281='check-Jul25'!AM281,"",'1. Live'!AM281-'check-Jul25'!AM281)</f>
        <v/>
      </c>
      <c r="AN281" t="str">
        <f>IF('1. Live'!AN281='check-Jul25'!AN281,"",'1. Live'!AN281-'check-Jul25'!AN281)</f>
        <v/>
      </c>
      <c r="AO281" t="str">
        <f>IF('1. Live'!AO281='check-Jul25'!AO281,"",'1. Live'!AO281-'check-Jul25'!AO281)</f>
        <v/>
      </c>
      <c r="AP281" t="str">
        <f>IF('1. Live'!AP281='check-Jul25'!AP281,"",'1. Live'!AP281-'check-Jul25'!AP281)</f>
        <v/>
      </c>
      <c r="AQ281" t="str">
        <f>IF('1. Live'!AQ281='check-Jul25'!AQ281,"",'1. Live'!AQ281-'check-Jul25'!AQ281)</f>
        <v/>
      </c>
      <c r="AR281" t="str">
        <f>IF('1. Live'!AR281='check-Jul25'!AR281,"",'1. Live'!AR281-'check-Jul25'!AR281)</f>
        <v/>
      </c>
      <c r="AS281" t="str">
        <f>IF('1. Live'!AS281='check-Jul25'!AS281,"",'1. Live'!AS281-'check-Jul25'!AS281)</f>
        <v/>
      </c>
      <c r="AT281" t="str">
        <f>IF('1. Live'!AT281='check-Jul25'!AT281,"",'1. Live'!AT281-'check-Jul25'!AT281)</f>
        <v/>
      </c>
      <c r="AU281" t="str">
        <f>IF('1. Live'!AU281='check-Jul25'!AU281,"",'1. Live'!AU281-'check-Jul25'!AU281)</f>
        <v/>
      </c>
      <c r="AV281" t="str">
        <f>IF('1. Live'!AV281='check-Jul25'!AV281,"",'1. Live'!AV281-'check-Jul25'!AV281)</f>
        <v/>
      </c>
      <c r="AW281" t="str">
        <f>IF('1. Live'!AW281='check-Jul25'!AW281,"",'1. Live'!AW281-'check-Jul25'!AW281)</f>
        <v/>
      </c>
      <c r="AX281" t="str">
        <f>IF('1. Live'!AX281='check-Jul25'!AX281,"",'1. Live'!AX281-'check-Jul25'!AX281)</f>
        <v/>
      </c>
      <c r="AY281" t="str">
        <f>IF('1. Live'!AY281='check-Jul25'!AY281,"",'1. Live'!AY281-'check-Jul25'!AY281)</f>
        <v/>
      </c>
      <c r="AZ281" t="str">
        <f>IF('1. Live'!AZ281='check-Jul25'!AZ281,"",'1. Live'!AZ281-'check-Jul25'!AZ281)</f>
        <v/>
      </c>
      <c r="BA281" t="str">
        <f>IF('1. Live'!BA281='check-Jul25'!BA281,"",'1. Live'!BA281-'check-Jul25'!BA281)</f>
        <v/>
      </c>
      <c r="BB281" t="str">
        <f>IF('1. Live'!BB281='check-Jul25'!BB281,"",'1. Live'!BB281-'check-Jul25'!BB281)</f>
        <v/>
      </c>
      <c r="BC281" t="str">
        <f>IF('1. Live'!BC281='check-Jul25'!BC281,"",'1. Live'!BC281-'check-Jul25'!BC281)</f>
        <v/>
      </c>
      <c r="BD281" t="str">
        <f>IF('1. Live'!BD281='check-Jul25'!BD281,"",'1. Live'!BD281-'check-Jul25'!BD281)</f>
        <v/>
      </c>
      <c r="BE281" t="str">
        <f>IF('1. Live'!BE281='check-Jul25'!BE281,"",'1. Live'!BE281-'check-Jul25'!BE281)</f>
        <v/>
      </c>
      <c r="BF281" t="str">
        <f>IF('1. Live'!BF281='check-Jul25'!BF281,"",'1. Live'!BF281-'check-Jul25'!BF281)</f>
        <v/>
      </c>
      <c r="BG281" t="str">
        <f>IF('1. Live'!BG281='check-Jul25'!BG281,"",'1. Live'!BG281-'check-Jul25'!BG281)</f>
        <v/>
      </c>
      <c r="BH281" t="str">
        <f>IF('1. Live'!BH281='check-Jul25'!BH281,"",'1. Live'!BH281-'check-Jul25'!BH281)</f>
        <v/>
      </c>
      <c r="BI281" t="str">
        <f>IF('1. Live'!BI281='check-Jul25'!BI281,"",'1. Live'!BI281-'check-Jul25'!BI281)</f>
        <v/>
      </c>
      <c r="BJ281" t="str">
        <f>IF('1. Live'!BJ281='check-Jul25'!BJ281,"",'1. Live'!BJ281-'check-Jul25'!BJ281)</f>
        <v/>
      </c>
      <c r="BK281" t="str">
        <f>IF('1. Live'!BK281='check-Jul25'!BK281,"",'1. Live'!BK281-'check-Jul25'!BK281)</f>
        <v/>
      </c>
      <c r="BL281" t="str">
        <f>IF('1. Live'!BL281='check-Jul25'!BL281,"",'1. Live'!BL281-'check-Jul25'!BL281)</f>
        <v/>
      </c>
      <c r="BM281" t="str">
        <f>IF('1. Live'!BM281='check-Jul25'!BM281,"",'1. Live'!BM281-'check-Jul25'!BM281)</f>
        <v/>
      </c>
      <c r="BN281" t="str">
        <f>IF('1. Live'!BN281='check-Jul25'!BN281,"",'1. Live'!BN281-'check-Jul25'!BN281)</f>
        <v/>
      </c>
      <c r="BO281" t="str">
        <f>IF('1. Live'!BO281='check-Jul25'!BO281,"",'1. Live'!BO281-'check-Jul25'!BO281)</f>
        <v/>
      </c>
      <c r="BP281" t="str">
        <f>IF('1. Live'!BP281='check-Jul25'!BP281,"",'1. Live'!BP281-'check-Jul25'!BP281)</f>
        <v/>
      </c>
      <c r="BQ281" t="str">
        <f>IF('1. Live'!BQ281='check-Jul25'!BQ281,"",'1. Live'!BQ281-'check-Jul25'!BQ281)</f>
        <v/>
      </c>
      <c r="BR281" t="str">
        <f>IF('1. Live'!BR281='check-Jul25'!BR281,"",'1. Live'!BR281-'check-Jul25'!BR281)</f>
        <v/>
      </c>
      <c r="BS281" t="str">
        <f>IF('1. Live'!BS281='check-Jul25'!BS281,"",'1. Live'!BS281-'check-Jul25'!BS281)</f>
        <v/>
      </c>
      <c r="BT281" t="str">
        <f>IF('1. Live'!BT281='check-Jul25'!BT281,"",'1. Live'!BT281-'check-Jul25'!BT281)</f>
        <v/>
      </c>
      <c r="BU281" t="str">
        <f>IF('1. Live'!BU281='check-Jul25'!BU281,"",'1. Live'!BU281-'check-Jul25'!BU281)</f>
        <v/>
      </c>
      <c r="BV281" t="str">
        <f>IF('1. Live'!BV281='check-Jul25'!BV281,"",'1. Live'!BV281-'check-Jul25'!BV281)</f>
        <v/>
      </c>
      <c r="BW281" t="str">
        <f>IF('1. Live'!BW281='check-Jul25'!BW281,"",'1. Live'!BW281-'check-Jul25'!BW281)</f>
        <v/>
      </c>
      <c r="BX281" t="str">
        <f>IF('1. Live'!BX281='check-Jul25'!BX281,"",'1. Live'!BX281-'check-Jul25'!BX281)</f>
        <v/>
      </c>
      <c r="BY281" t="str">
        <f>IF('1. Live'!BY281='check-Jul25'!BY281,"",'1. Live'!BY281-'check-Jul25'!BY281)</f>
        <v/>
      </c>
      <c r="BZ281" t="str">
        <f>IF('1. Live'!BZ281='check-Jul25'!BZ281,"",'1. Live'!BZ281-'check-Jul25'!BZ281)</f>
        <v/>
      </c>
      <c r="CA281" t="str">
        <f>IF('1. Live'!CA281='check-Jul25'!CA281,"",'1. Live'!CA281-'check-Jul25'!CA281)</f>
        <v/>
      </c>
      <c r="CB281" t="str">
        <f>IF('1. Live'!CB281='check-Jul25'!CB281,"",'1. Live'!CB281-'check-Jul25'!CB281)</f>
        <v/>
      </c>
      <c r="CC281" t="str">
        <f>IF('1. Live'!CC281='check-Jul25'!CC281,"",'1. Live'!CC281-'check-Jul25'!CC281)</f>
        <v/>
      </c>
      <c r="CD281" t="str">
        <f>IF('1. Live'!CD281='check-Jul25'!CD281,"",'1. Live'!CD281-'check-Jul25'!CD281)</f>
        <v/>
      </c>
      <c r="CE281" t="str">
        <f>IF('1. Live'!CE281='check-Jul25'!CE281,"",'1. Live'!CE281-'check-Jul25'!CE281)</f>
        <v/>
      </c>
      <c r="CF281" t="str">
        <f>IF('1. Live'!CF281='check-Jul25'!CF281,"",'1. Live'!CF281-'check-Jul25'!CF281)</f>
        <v/>
      </c>
      <c r="CG281" t="str">
        <f>IF('1. Live'!CG281='check-Jul25'!CG281,"",'1. Live'!CG281-'check-Jul25'!CG281)</f>
        <v/>
      </c>
      <c r="CH281" t="str">
        <f>IF('1. Live'!CH281='check-Jul25'!CH281,"",'1. Live'!CH281-'check-Jul25'!CH281)</f>
        <v/>
      </c>
      <c r="CI281" t="str">
        <f>IF('1. Live'!CI281='check-Jul25'!CI281,"",'1. Live'!CI281-'check-Jul25'!CI281)</f>
        <v/>
      </c>
      <c r="CJ281" t="str">
        <f>IF('1. Live'!CJ281='check-Jul25'!CJ281,"",'1. Live'!CJ281-'check-Jul25'!CJ281)</f>
        <v/>
      </c>
      <c r="CK281" t="str">
        <f>IF('1. Live'!CK281='check-Jul25'!CK281,"",'1. Live'!CK281-'check-Jul25'!CK281)</f>
        <v/>
      </c>
      <c r="CL281" t="str">
        <f>IF('1. Live'!CL281='check-Jul25'!CL281,"",'1. Live'!CL281-'check-Jul25'!CL281)</f>
        <v/>
      </c>
      <c r="CM281" t="str">
        <f>IF('1. Live'!CM281='check-Jul25'!CM281,"",'1. Live'!CM281-'check-Jul25'!CM281)</f>
        <v/>
      </c>
      <c r="CN281" t="str">
        <f>IF('1. Live'!CN281='check-Jul25'!CN281,"",'1. Live'!CN281-'check-Jul25'!CN281)</f>
        <v/>
      </c>
      <c r="CO281" t="str">
        <f>IF('1. Live'!CO281='check-Jul25'!CO281,"",'1. Live'!CO281-'check-Jul25'!CO281)</f>
        <v/>
      </c>
      <c r="CP281" t="str">
        <f>IF('1. Live'!CP281='check-Jul25'!CP281,"",'1. Live'!CP281-'check-Jul25'!CP281)</f>
        <v/>
      </c>
      <c r="CQ281" t="str">
        <f>IF('1. Live'!CQ281='check-Jul25'!CQ281,"",'1. Live'!CQ281-'check-Jul25'!CQ281)</f>
        <v/>
      </c>
      <c r="CR281" t="str">
        <f>IF('1. Live'!CR281='check-Jul25'!CR281,"",'1. Live'!CR281-'check-Jul25'!CR281)</f>
        <v/>
      </c>
      <c r="CS281" t="str">
        <f>IF('1. Live'!CS281='check-Jul25'!CS281,"",'1. Live'!CS281-'check-Jul25'!CS281)</f>
        <v/>
      </c>
      <c r="CT281" t="str">
        <f>IF('1. Live'!CT281='check-Jul25'!CT281,"",'1. Live'!CT281-'check-Jul25'!CT281)</f>
        <v/>
      </c>
      <c r="CU281" t="str">
        <f>IF('1. Live'!CU281='check-Jul25'!CU281,"",'1. Live'!CU281-'check-Jul25'!CU281)</f>
        <v/>
      </c>
      <c r="CV281" t="str">
        <f>IF('1. Live'!CV281='check-Jul25'!CV281,"",'1. Live'!CV281-'check-Jul25'!CV281)</f>
        <v/>
      </c>
      <c r="CW281" t="str">
        <f>IF('1. Live'!CW281='check-Jul25'!CW281,"",'1. Live'!CW281-'check-Jul25'!CW281)</f>
        <v/>
      </c>
    </row>
    <row r="282" spans="10:101">
      <c r="J282" t="str">
        <f>IF('1. Live'!J282='check-Jul25'!J282,"",'1. Live'!J282-'check-Jul25'!J282)</f>
        <v/>
      </c>
      <c r="K282" t="str">
        <f>IF('1. Live'!K282='check-Jul25'!K282,"",'1. Live'!K282-'check-Jul25'!K282)</f>
        <v/>
      </c>
      <c r="L282" t="str">
        <f>IF('1. Live'!L282='check-Jul25'!L282,"",'1. Live'!L282-'check-Jul25'!L282)</f>
        <v/>
      </c>
      <c r="M282" t="str">
        <f>IF('1. Live'!M282='check-Jul25'!M282,"",'1. Live'!M282-'check-Jul25'!M282)</f>
        <v/>
      </c>
      <c r="N282" t="str">
        <f>IF('1. Live'!N282='check-Jul25'!N282,"",'1. Live'!N282-'check-Jul25'!N282)</f>
        <v/>
      </c>
      <c r="O282" t="str">
        <f>IF('1. Live'!O282='check-Jul25'!O282,"",'1. Live'!O282-'check-Jul25'!O282)</f>
        <v/>
      </c>
      <c r="P282" t="str">
        <f>IF('1. Live'!P282='check-Jul25'!P282,"",'1. Live'!P282-'check-Jul25'!P282)</f>
        <v/>
      </c>
      <c r="Q282" t="str">
        <f>IF('1. Live'!Q282='check-Jul25'!Q282,"",'1. Live'!Q282-'check-Jul25'!Q282)</f>
        <v/>
      </c>
      <c r="R282" t="str">
        <f>IF('1. Live'!R282='check-Jul25'!R282,"",'1. Live'!R282-'check-Jul25'!R282)</f>
        <v/>
      </c>
      <c r="S282" t="str">
        <f>IF('1. Live'!S282='check-Jul25'!S282,"",'1. Live'!S282-'check-Jul25'!S282)</f>
        <v/>
      </c>
      <c r="T282" t="str">
        <f>IF('1. Live'!T282='check-Jul25'!T282,"",'1. Live'!T282-'check-Jul25'!T282)</f>
        <v/>
      </c>
      <c r="U282" t="str">
        <f>IF('1. Live'!U282='check-Jul25'!U282,"",'1. Live'!U282-'check-Jul25'!U282)</f>
        <v/>
      </c>
      <c r="V282" t="str">
        <f>IF('1. Live'!V282='check-Jul25'!V282,"",'1. Live'!V282-'check-Jul25'!V282)</f>
        <v/>
      </c>
      <c r="W282" t="str">
        <f>IF('1. Live'!W282='check-Jul25'!W282,"",'1. Live'!W282-'check-Jul25'!W282)</f>
        <v/>
      </c>
      <c r="X282" t="str">
        <f>IF('1. Live'!X282='check-Jul25'!X282,"",'1. Live'!X282-'check-Jul25'!X282)</f>
        <v/>
      </c>
      <c r="Y282" t="str">
        <f>IF('1. Live'!Y282='check-Jul25'!Y282,"",'1. Live'!Y282-'check-Jul25'!Y282)</f>
        <v/>
      </c>
      <c r="Z282" t="str">
        <f>IF('1. Live'!Z282='check-Jul25'!Z282,"",'1. Live'!Z282-'check-Jul25'!Z282)</f>
        <v/>
      </c>
      <c r="AA282" t="str">
        <f>IF('1. Live'!AA282='check-Jul25'!AA282,"",'1. Live'!AA282-'check-Jul25'!AA282)</f>
        <v/>
      </c>
      <c r="AB282" t="str">
        <f>IF('1. Live'!AB282='check-Jul25'!AB282,"",'1. Live'!AB282-'check-Jul25'!AB282)</f>
        <v/>
      </c>
      <c r="AC282" t="str">
        <f>IF('1. Live'!AC282='check-Jul25'!AC282,"",'1. Live'!AC282-'check-Jul25'!AC282)</f>
        <v/>
      </c>
      <c r="AD282" t="str">
        <f>IF('1. Live'!AD282='check-Jul25'!AD282,"",'1. Live'!AD282-'check-Jul25'!AD282)</f>
        <v/>
      </c>
      <c r="AE282" t="str">
        <f>IF('1. Live'!AE282='check-Jul25'!AE282,"",'1. Live'!AE282-'check-Jul25'!AE282)</f>
        <v/>
      </c>
      <c r="AF282" t="str">
        <f>IF('1. Live'!AF282='check-Jul25'!AF282,"",'1. Live'!AF282-'check-Jul25'!AF282)</f>
        <v/>
      </c>
      <c r="AG282" t="str">
        <f>IF('1. Live'!AG282='check-Jul25'!AG282,"",'1. Live'!AG282-'check-Jul25'!AG282)</f>
        <v/>
      </c>
      <c r="AH282" t="str">
        <f>IF('1. Live'!AH282='check-Jul25'!AH282,"",'1. Live'!AH282-'check-Jul25'!AH282)</f>
        <v/>
      </c>
      <c r="AI282" t="str">
        <f>IF('1. Live'!AI282='check-Jul25'!AI282,"",'1. Live'!AI282-'check-Jul25'!AI282)</f>
        <v/>
      </c>
      <c r="AJ282" t="str">
        <f>IF('1. Live'!AJ282='check-Jul25'!AJ282,"",'1. Live'!AJ282-'check-Jul25'!AJ282)</f>
        <v/>
      </c>
      <c r="AK282" t="str">
        <f>IF('1. Live'!AK282='check-Jul25'!AK282,"",'1. Live'!AK282-'check-Jul25'!AK282)</f>
        <v/>
      </c>
      <c r="AL282" t="str">
        <f>IF('1. Live'!AL282='check-Jul25'!AL282,"",'1. Live'!AL282-'check-Jul25'!AL282)</f>
        <v/>
      </c>
      <c r="AM282" t="str">
        <f>IF('1. Live'!AM282='check-Jul25'!AM282,"",'1. Live'!AM282-'check-Jul25'!AM282)</f>
        <v/>
      </c>
      <c r="AN282" t="str">
        <f>IF('1. Live'!AN282='check-Jul25'!AN282,"",'1. Live'!AN282-'check-Jul25'!AN282)</f>
        <v/>
      </c>
      <c r="AO282" t="str">
        <f>IF('1. Live'!AO282='check-Jul25'!AO282,"",'1. Live'!AO282-'check-Jul25'!AO282)</f>
        <v/>
      </c>
      <c r="AP282" t="str">
        <f>IF('1. Live'!AP282='check-Jul25'!AP282,"",'1. Live'!AP282-'check-Jul25'!AP282)</f>
        <v/>
      </c>
      <c r="AQ282" t="str">
        <f>IF('1. Live'!AQ282='check-Jul25'!AQ282,"",'1. Live'!AQ282-'check-Jul25'!AQ282)</f>
        <v/>
      </c>
      <c r="AR282" t="str">
        <f>IF('1. Live'!AR282='check-Jul25'!AR282,"",'1. Live'!AR282-'check-Jul25'!AR282)</f>
        <v/>
      </c>
      <c r="AS282" t="str">
        <f>IF('1. Live'!AS282='check-Jul25'!AS282,"",'1. Live'!AS282-'check-Jul25'!AS282)</f>
        <v/>
      </c>
      <c r="AT282" t="str">
        <f>IF('1. Live'!AT282='check-Jul25'!AT282,"",'1. Live'!AT282-'check-Jul25'!AT282)</f>
        <v/>
      </c>
      <c r="AU282" t="str">
        <f>IF('1. Live'!AU282='check-Jul25'!AU282,"",'1. Live'!AU282-'check-Jul25'!AU282)</f>
        <v/>
      </c>
      <c r="AV282" t="str">
        <f>IF('1. Live'!AV282='check-Jul25'!AV282,"",'1. Live'!AV282-'check-Jul25'!AV282)</f>
        <v/>
      </c>
      <c r="AW282" t="str">
        <f>IF('1. Live'!AW282='check-Jul25'!AW282,"",'1. Live'!AW282-'check-Jul25'!AW282)</f>
        <v/>
      </c>
      <c r="AX282" t="str">
        <f>IF('1. Live'!AX282='check-Jul25'!AX282,"",'1. Live'!AX282-'check-Jul25'!AX282)</f>
        <v/>
      </c>
      <c r="AY282" t="str">
        <f>IF('1. Live'!AY282='check-Jul25'!AY282,"",'1. Live'!AY282-'check-Jul25'!AY282)</f>
        <v/>
      </c>
      <c r="AZ282" t="str">
        <f>IF('1. Live'!AZ282='check-Jul25'!AZ282,"",'1. Live'!AZ282-'check-Jul25'!AZ282)</f>
        <v/>
      </c>
      <c r="BA282" t="str">
        <f>IF('1. Live'!BA282='check-Jul25'!BA282,"",'1. Live'!BA282-'check-Jul25'!BA282)</f>
        <v/>
      </c>
      <c r="BB282" t="str">
        <f>IF('1. Live'!BB282='check-Jul25'!BB282,"",'1. Live'!BB282-'check-Jul25'!BB282)</f>
        <v/>
      </c>
      <c r="BC282" t="str">
        <f>IF('1. Live'!BC282='check-Jul25'!BC282,"",'1. Live'!BC282-'check-Jul25'!BC282)</f>
        <v/>
      </c>
      <c r="BD282" t="str">
        <f>IF('1. Live'!BD282='check-Jul25'!BD282,"",'1. Live'!BD282-'check-Jul25'!BD282)</f>
        <v/>
      </c>
      <c r="BE282" t="str">
        <f>IF('1. Live'!BE282='check-Jul25'!BE282,"",'1. Live'!BE282-'check-Jul25'!BE282)</f>
        <v/>
      </c>
      <c r="BF282" t="str">
        <f>IF('1. Live'!BF282='check-Jul25'!BF282,"",'1. Live'!BF282-'check-Jul25'!BF282)</f>
        <v/>
      </c>
      <c r="BG282" t="str">
        <f>IF('1. Live'!BG282='check-Jul25'!BG282,"",'1. Live'!BG282-'check-Jul25'!BG282)</f>
        <v/>
      </c>
      <c r="BH282" t="str">
        <f>IF('1. Live'!BH282='check-Jul25'!BH282,"",'1. Live'!BH282-'check-Jul25'!BH282)</f>
        <v/>
      </c>
      <c r="BI282" t="str">
        <f>IF('1. Live'!BI282='check-Jul25'!BI282,"",'1. Live'!BI282-'check-Jul25'!BI282)</f>
        <v/>
      </c>
      <c r="BJ282" t="str">
        <f>IF('1. Live'!BJ282='check-Jul25'!BJ282,"",'1. Live'!BJ282-'check-Jul25'!BJ282)</f>
        <v/>
      </c>
      <c r="BK282" t="str">
        <f>IF('1. Live'!BK282='check-Jul25'!BK282,"",'1. Live'!BK282-'check-Jul25'!BK282)</f>
        <v/>
      </c>
      <c r="BL282" t="str">
        <f>IF('1. Live'!BL282='check-Jul25'!BL282,"",'1. Live'!BL282-'check-Jul25'!BL282)</f>
        <v/>
      </c>
      <c r="BM282" t="str">
        <f>IF('1. Live'!BM282='check-Jul25'!BM282,"",'1. Live'!BM282-'check-Jul25'!BM282)</f>
        <v/>
      </c>
      <c r="BN282" t="str">
        <f>IF('1. Live'!BN282='check-Jul25'!BN282,"",'1. Live'!BN282-'check-Jul25'!BN282)</f>
        <v/>
      </c>
      <c r="BO282" t="str">
        <f>IF('1. Live'!BO282='check-Jul25'!BO282,"",'1. Live'!BO282-'check-Jul25'!BO282)</f>
        <v/>
      </c>
      <c r="BP282" t="str">
        <f>IF('1. Live'!BP282='check-Jul25'!BP282,"",'1. Live'!BP282-'check-Jul25'!BP282)</f>
        <v/>
      </c>
      <c r="BQ282" t="str">
        <f>IF('1. Live'!BQ282='check-Jul25'!BQ282,"",'1. Live'!BQ282-'check-Jul25'!BQ282)</f>
        <v/>
      </c>
      <c r="BR282" t="str">
        <f>IF('1. Live'!BR282='check-Jul25'!BR282,"",'1. Live'!BR282-'check-Jul25'!BR282)</f>
        <v/>
      </c>
      <c r="BS282" t="str">
        <f>IF('1. Live'!BS282='check-Jul25'!BS282,"",'1. Live'!BS282-'check-Jul25'!BS282)</f>
        <v/>
      </c>
      <c r="BT282" t="str">
        <f>IF('1. Live'!BT282='check-Jul25'!BT282,"",'1. Live'!BT282-'check-Jul25'!BT282)</f>
        <v/>
      </c>
      <c r="BU282" t="str">
        <f>IF('1. Live'!BU282='check-Jul25'!BU282,"",'1. Live'!BU282-'check-Jul25'!BU282)</f>
        <v/>
      </c>
      <c r="BV282" t="str">
        <f>IF('1. Live'!BV282='check-Jul25'!BV282,"",'1. Live'!BV282-'check-Jul25'!BV282)</f>
        <v/>
      </c>
      <c r="BW282" t="str">
        <f>IF('1. Live'!BW282='check-Jul25'!BW282,"",'1. Live'!BW282-'check-Jul25'!BW282)</f>
        <v/>
      </c>
      <c r="BX282" t="str">
        <f>IF('1. Live'!BX282='check-Jul25'!BX282,"",'1. Live'!BX282-'check-Jul25'!BX282)</f>
        <v/>
      </c>
      <c r="BY282" t="str">
        <f>IF('1. Live'!BY282='check-Jul25'!BY282,"",'1. Live'!BY282-'check-Jul25'!BY282)</f>
        <v/>
      </c>
      <c r="BZ282" t="str">
        <f>IF('1. Live'!BZ282='check-Jul25'!BZ282,"",'1. Live'!BZ282-'check-Jul25'!BZ282)</f>
        <v/>
      </c>
      <c r="CA282" t="str">
        <f>IF('1. Live'!CA282='check-Jul25'!CA282,"",'1. Live'!CA282-'check-Jul25'!CA282)</f>
        <v/>
      </c>
      <c r="CB282" t="str">
        <f>IF('1. Live'!CB282='check-Jul25'!CB282,"",'1. Live'!CB282-'check-Jul25'!CB282)</f>
        <v/>
      </c>
      <c r="CC282" t="str">
        <f>IF('1. Live'!CC282='check-Jul25'!CC282,"",'1. Live'!CC282-'check-Jul25'!CC282)</f>
        <v/>
      </c>
      <c r="CD282" t="str">
        <f>IF('1. Live'!CD282='check-Jul25'!CD282,"",'1. Live'!CD282-'check-Jul25'!CD282)</f>
        <v/>
      </c>
      <c r="CE282" t="str">
        <f>IF('1. Live'!CE282='check-Jul25'!CE282,"",'1. Live'!CE282-'check-Jul25'!CE282)</f>
        <v/>
      </c>
      <c r="CF282" t="str">
        <f>IF('1. Live'!CF282='check-Jul25'!CF282,"",'1. Live'!CF282-'check-Jul25'!CF282)</f>
        <v/>
      </c>
      <c r="CG282" t="str">
        <f>IF('1. Live'!CG282='check-Jul25'!CG282,"",'1. Live'!CG282-'check-Jul25'!CG282)</f>
        <v/>
      </c>
      <c r="CH282" t="str">
        <f>IF('1. Live'!CH282='check-Jul25'!CH282,"",'1. Live'!CH282-'check-Jul25'!CH282)</f>
        <v/>
      </c>
      <c r="CI282" t="str">
        <f>IF('1. Live'!CI282='check-Jul25'!CI282,"",'1. Live'!CI282-'check-Jul25'!CI282)</f>
        <v/>
      </c>
      <c r="CJ282" t="str">
        <f>IF('1. Live'!CJ282='check-Jul25'!CJ282,"",'1. Live'!CJ282-'check-Jul25'!CJ282)</f>
        <v/>
      </c>
      <c r="CK282" t="str">
        <f>IF('1. Live'!CK282='check-Jul25'!CK282,"",'1. Live'!CK282-'check-Jul25'!CK282)</f>
        <v/>
      </c>
      <c r="CL282" t="str">
        <f>IF('1. Live'!CL282='check-Jul25'!CL282,"",'1. Live'!CL282-'check-Jul25'!CL282)</f>
        <v/>
      </c>
      <c r="CM282" t="str">
        <f>IF('1. Live'!CM282='check-Jul25'!CM282,"",'1. Live'!CM282-'check-Jul25'!CM282)</f>
        <v/>
      </c>
      <c r="CN282" t="str">
        <f>IF('1. Live'!CN282='check-Jul25'!CN282,"",'1. Live'!CN282-'check-Jul25'!CN282)</f>
        <v/>
      </c>
      <c r="CO282" t="str">
        <f>IF('1. Live'!CO282='check-Jul25'!CO282,"",'1. Live'!CO282-'check-Jul25'!CO282)</f>
        <v/>
      </c>
      <c r="CP282" t="str">
        <f>IF('1. Live'!CP282='check-Jul25'!CP282,"",'1. Live'!CP282-'check-Jul25'!CP282)</f>
        <v/>
      </c>
      <c r="CQ282" t="str">
        <f>IF('1. Live'!CQ282='check-Jul25'!CQ282,"",'1. Live'!CQ282-'check-Jul25'!CQ282)</f>
        <v/>
      </c>
      <c r="CR282" t="str">
        <f>IF('1. Live'!CR282='check-Jul25'!CR282,"",'1. Live'!CR282-'check-Jul25'!CR282)</f>
        <v/>
      </c>
      <c r="CS282" t="str">
        <f>IF('1. Live'!CS282='check-Jul25'!CS282,"",'1. Live'!CS282-'check-Jul25'!CS282)</f>
        <v/>
      </c>
      <c r="CT282" t="str">
        <f>IF('1. Live'!CT282='check-Jul25'!CT282,"",'1. Live'!CT282-'check-Jul25'!CT282)</f>
        <v/>
      </c>
      <c r="CU282" t="str">
        <f>IF('1. Live'!CU282='check-Jul25'!CU282,"",'1. Live'!CU282-'check-Jul25'!CU282)</f>
        <v/>
      </c>
      <c r="CV282" t="str">
        <f>IF('1. Live'!CV282='check-Jul25'!CV282,"",'1. Live'!CV282-'check-Jul25'!CV282)</f>
        <v/>
      </c>
      <c r="CW282" t="str">
        <f>IF('1. Live'!CW282='check-Jul25'!CW282,"",'1. Live'!CW282-'check-Jul25'!CW282)</f>
        <v/>
      </c>
    </row>
    <row r="283" spans="10:101">
      <c r="J283" t="str">
        <f>IF('1. Live'!J283='check-Jul25'!J283,"",'1. Live'!J283-'check-Jul25'!J283)</f>
        <v/>
      </c>
      <c r="K283" t="str">
        <f>IF('1. Live'!K283='check-Jul25'!K283,"",'1. Live'!K283-'check-Jul25'!K283)</f>
        <v/>
      </c>
      <c r="L283" t="str">
        <f>IF('1. Live'!L283='check-Jul25'!L283,"",'1. Live'!L283-'check-Jul25'!L283)</f>
        <v/>
      </c>
      <c r="M283" t="str">
        <f>IF('1. Live'!M283='check-Jul25'!M283,"",'1. Live'!M283-'check-Jul25'!M283)</f>
        <v/>
      </c>
      <c r="N283" t="str">
        <f>IF('1. Live'!N283='check-Jul25'!N283,"",'1. Live'!N283-'check-Jul25'!N283)</f>
        <v/>
      </c>
      <c r="O283" t="str">
        <f>IF('1. Live'!O283='check-Jul25'!O283,"",'1. Live'!O283-'check-Jul25'!O283)</f>
        <v/>
      </c>
      <c r="P283" t="str">
        <f>IF('1. Live'!P283='check-Jul25'!P283,"",'1. Live'!P283-'check-Jul25'!P283)</f>
        <v/>
      </c>
      <c r="Q283" t="str">
        <f>IF('1. Live'!Q283='check-Jul25'!Q283,"",'1. Live'!Q283-'check-Jul25'!Q283)</f>
        <v/>
      </c>
      <c r="R283" t="str">
        <f>IF('1. Live'!R283='check-Jul25'!R283,"",'1. Live'!R283-'check-Jul25'!R283)</f>
        <v/>
      </c>
      <c r="S283" t="str">
        <f>IF('1. Live'!S283='check-Jul25'!S283,"",'1. Live'!S283-'check-Jul25'!S283)</f>
        <v/>
      </c>
      <c r="T283" t="str">
        <f>IF('1. Live'!T283='check-Jul25'!T283,"",'1. Live'!T283-'check-Jul25'!T283)</f>
        <v/>
      </c>
      <c r="U283" t="str">
        <f>IF('1. Live'!U283='check-Jul25'!U283,"",'1. Live'!U283-'check-Jul25'!U283)</f>
        <v/>
      </c>
      <c r="V283" t="str">
        <f>IF('1. Live'!V283='check-Jul25'!V283,"",'1. Live'!V283-'check-Jul25'!V283)</f>
        <v/>
      </c>
      <c r="W283" t="str">
        <f>IF('1. Live'!W283='check-Jul25'!W283,"",'1. Live'!W283-'check-Jul25'!W283)</f>
        <v/>
      </c>
      <c r="X283" t="str">
        <f>IF('1. Live'!X283='check-Jul25'!X283,"",'1. Live'!X283-'check-Jul25'!X283)</f>
        <v/>
      </c>
      <c r="Y283" t="str">
        <f>IF('1. Live'!Y283='check-Jul25'!Y283,"",'1. Live'!Y283-'check-Jul25'!Y283)</f>
        <v/>
      </c>
      <c r="Z283" t="str">
        <f>IF('1. Live'!Z283='check-Jul25'!Z283,"",'1. Live'!Z283-'check-Jul25'!Z283)</f>
        <v/>
      </c>
      <c r="AA283" t="str">
        <f>IF('1. Live'!AA283='check-Jul25'!AA283,"",'1. Live'!AA283-'check-Jul25'!AA283)</f>
        <v/>
      </c>
      <c r="AB283" t="str">
        <f>IF('1. Live'!AB283='check-Jul25'!AB283,"",'1. Live'!AB283-'check-Jul25'!AB283)</f>
        <v/>
      </c>
      <c r="AC283" t="str">
        <f>IF('1. Live'!AC283='check-Jul25'!AC283,"",'1. Live'!AC283-'check-Jul25'!AC283)</f>
        <v/>
      </c>
      <c r="AD283" t="str">
        <f>IF('1. Live'!AD283='check-Jul25'!AD283,"",'1. Live'!AD283-'check-Jul25'!AD283)</f>
        <v/>
      </c>
      <c r="AE283" t="str">
        <f>IF('1. Live'!AE283='check-Jul25'!AE283,"",'1. Live'!AE283-'check-Jul25'!AE283)</f>
        <v/>
      </c>
      <c r="AF283" t="str">
        <f>IF('1. Live'!AF283='check-Jul25'!AF283,"",'1. Live'!AF283-'check-Jul25'!AF283)</f>
        <v/>
      </c>
      <c r="AG283" t="str">
        <f>IF('1. Live'!AG283='check-Jul25'!AG283,"",'1. Live'!AG283-'check-Jul25'!AG283)</f>
        <v/>
      </c>
      <c r="AH283" t="str">
        <f>IF('1. Live'!AH283='check-Jul25'!AH283,"",'1. Live'!AH283-'check-Jul25'!AH283)</f>
        <v/>
      </c>
      <c r="AI283" t="str">
        <f>IF('1. Live'!AI283='check-Jul25'!AI283,"",'1. Live'!AI283-'check-Jul25'!AI283)</f>
        <v/>
      </c>
      <c r="AJ283" t="str">
        <f>IF('1. Live'!AJ283='check-Jul25'!AJ283,"",'1. Live'!AJ283-'check-Jul25'!AJ283)</f>
        <v/>
      </c>
      <c r="AK283" t="str">
        <f>IF('1. Live'!AK283='check-Jul25'!AK283,"",'1. Live'!AK283-'check-Jul25'!AK283)</f>
        <v/>
      </c>
      <c r="AL283" t="str">
        <f>IF('1. Live'!AL283='check-Jul25'!AL283,"",'1. Live'!AL283-'check-Jul25'!AL283)</f>
        <v/>
      </c>
      <c r="AM283" t="str">
        <f>IF('1. Live'!AM283='check-Jul25'!AM283,"",'1. Live'!AM283-'check-Jul25'!AM283)</f>
        <v/>
      </c>
      <c r="AN283" t="str">
        <f>IF('1. Live'!AN283='check-Jul25'!AN283,"",'1. Live'!AN283-'check-Jul25'!AN283)</f>
        <v/>
      </c>
      <c r="AO283" t="str">
        <f>IF('1. Live'!AO283='check-Jul25'!AO283,"",'1. Live'!AO283-'check-Jul25'!AO283)</f>
        <v/>
      </c>
      <c r="AP283" t="str">
        <f>IF('1. Live'!AP283='check-Jul25'!AP283,"",'1. Live'!AP283-'check-Jul25'!AP283)</f>
        <v/>
      </c>
      <c r="AQ283" t="str">
        <f>IF('1. Live'!AQ283='check-Jul25'!AQ283,"",'1. Live'!AQ283-'check-Jul25'!AQ283)</f>
        <v/>
      </c>
      <c r="AR283" t="str">
        <f>IF('1. Live'!AR283='check-Jul25'!AR283,"",'1. Live'!AR283-'check-Jul25'!AR283)</f>
        <v/>
      </c>
      <c r="AS283" t="str">
        <f>IF('1. Live'!AS283='check-Jul25'!AS283,"",'1. Live'!AS283-'check-Jul25'!AS283)</f>
        <v/>
      </c>
      <c r="AT283" t="str">
        <f>IF('1. Live'!AT283='check-Jul25'!AT283,"",'1. Live'!AT283-'check-Jul25'!AT283)</f>
        <v/>
      </c>
      <c r="AU283" t="str">
        <f>IF('1. Live'!AU283='check-Jul25'!AU283,"",'1. Live'!AU283-'check-Jul25'!AU283)</f>
        <v/>
      </c>
      <c r="AV283" t="str">
        <f>IF('1. Live'!AV283='check-Jul25'!AV283,"",'1. Live'!AV283-'check-Jul25'!AV283)</f>
        <v/>
      </c>
      <c r="AW283" t="str">
        <f>IF('1. Live'!AW283='check-Jul25'!AW283,"",'1. Live'!AW283-'check-Jul25'!AW283)</f>
        <v/>
      </c>
      <c r="AX283" t="str">
        <f>IF('1. Live'!AX283='check-Jul25'!AX283,"",'1. Live'!AX283-'check-Jul25'!AX283)</f>
        <v/>
      </c>
      <c r="AY283" t="str">
        <f>IF('1. Live'!AY283='check-Jul25'!AY283,"",'1. Live'!AY283-'check-Jul25'!AY283)</f>
        <v/>
      </c>
      <c r="AZ283" t="str">
        <f>IF('1. Live'!AZ283='check-Jul25'!AZ283,"",'1. Live'!AZ283-'check-Jul25'!AZ283)</f>
        <v/>
      </c>
      <c r="BA283" t="str">
        <f>IF('1. Live'!BA283='check-Jul25'!BA283,"",'1. Live'!BA283-'check-Jul25'!BA283)</f>
        <v/>
      </c>
      <c r="BB283" t="str">
        <f>IF('1. Live'!BB283='check-Jul25'!BB283,"",'1. Live'!BB283-'check-Jul25'!BB283)</f>
        <v/>
      </c>
      <c r="BC283" t="str">
        <f>IF('1. Live'!BC283='check-Jul25'!BC283,"",'1. Live'!BC283-'check-Jul25'!BC283)</f>
        <v/>
      </c>
      <c r="BD283" t="str">
        <f>IF('1. Live'!BD283='check-Jul25'!BD283,"",'1. Live'!BD283-'check-Jul25'!BD283)</f>
        <v/>
      </c>
      <c r="BE283" t="str">
        <f>IF('1. Live'!BE283='check-Jul25'!BE283,"",'1. Live'!BE283-'check-Jul25'!BE283)</f>
        <v/>
      </c>
      <c r="BF283" t="str">
        <f>IF('1. Live'!BF283='check-Jul25'!BF283,"",'1. Live'!BF283-'check-Jul25'!BF283)</f>
        <v/>
      </c>
      <c r="BG283" t="str">
        <f>IF('1. Live'!BG283='check-Jul25'!BG283,"",'1. Live'!BG283-'check-Jul25'!BG283)</f>
        <v/>
      </c>
      <c r="BH283" t="str">
        <f>IF('1. Live'!BH283='check-Jul25'!BH283,"",'1. Live'!BH283-'check-Jul25'!BH283)</f>
        <v/>
      </c>
      <c r="BI283" t="str">
        <f>IF('1. Live'!BI283='check-Jul25'!BI283,"",'1. Live'!BI283-'check-Jul25'!BI283)</f>
        <v/>
      </c>
      <c r="BJ283" t="str">
        <f>IF('1. Live'!BJ283='check-Jul25'!BJ283,"",'1. Live'!BJ283-'check-Jul25'!BJ283)</f>
        <v/>
      </c>
      <c r="BK283" t="str">
        <f>IF('1. Live'!BK283='check-Jul25'!BK283,"",'1. Live'!BK283-'check-Jul25'!BK283)</f>
        <v/>
      </c>
      <c r="BL283" t="str">
        <f>IF('1. Live'!BL283='check-Jul25'!BL283,"",'1. Live'!BL283-'check-Jul25'!BL283)</f>
        <v/>
      </c>
      <c r="BM283" t="str">
        <f>IF('1. Live'!BM283='check-Jul25'!BM283,"",'1. Live'!BM283-'check-Jul25'!BM283)</f>
        <v/>
      </c>
      <c r="BN283" t="str">
        <f>IF('1. Live'!BN283='check-Jul25'!BN283,"",'1. Live'!BN283-'check-Jul25'!BN283)</f>
        <v/>
      </c>
      <c r="BO283" t="str">
        <f>IF('1. Live'!BO283='check-Jul25'!BO283,"",'1. Live'!BO283-'check-Jul25'!BO283)</f>
        <v/>
      </c>
      <c r="BP283" t="str">
        <f>IF('1. Live'!BP283='check-Jul25'!BP283,"",'1. Live'!BP283-'check-Jul25'!BP283)</f>
        <v/>
      </c>
      <c r="BQ283" t="str">
        <f>IF('1. Live'!BQ283='check-Jul25'!BQ283,"",'1. Live'!BQ283-'check-Jul25'!BQ283)</f>
        <v/>
      </c>
      <c r="BR283" t="str">
        <f>IF('1. Live'!BR283='check-Jul25'!BR283,"",'1. Live'!BR283-'check-Jul25'!BR283)</f>
        <v/>
      </c>
      <c r="BS283" t="str">
        <f>IF('1. Live'!BS283='check-Jul25'!BS283,"",'1. Live'!BS283-'check-Jul25'!BS283)</f>
        <v/>
      </c>
      <c r="BT283" t="str">
        <f>IF('1. Live'!BT283='check-Jul25'!BT283,"",'1. Live'!BT283-'check-Jul25'!BT283)</f>
        <v/>
      </c>
      <c r="BU283" t="str">
        <f>IF('1. Live'!BU283='check-Jul25'!BU283,"",'1. Live'!BU283-'check-Jul25'!BU283)</f>
        <v/>
      </c>
      <c r="BV283" t="str">
        <f>IF('1. Live'!BV283='check-Jul25'!BV283,"",'1. Live'!BV283-'check-Jul25'!BV283)</f>
        <v/>
      </c>
      <c r="BW283" t="str">
        <f>IF('1. Live'!BW283='check-Jul25'!BW283,"",'1. Live'!BW283-'check-Jul25'!BW283)</f>
        <v/>
      </c>
      <c r="BX283" t="str">
        <f>IF('1. Live'!BX283='check-Jul25'!BX283,"",'1. Live'!BX283-'check-Jul25'!BX283)</f>
        <v/>
      </c>
      <c r="BY283" t="str">
        <f>IF('1. Live'!BY283='check-Jul25'!BY283,"",'1. Live'!BY283-'check-Jul25'!BY283)</f>
        <v/>
      </c>
      <c r="BZ283" t="str">
        <f>IF('1. Live'!BZ283='check-Jul25'!BZ283,"",'1. Live'!BZ283-'check-Jul25'!BZ283)</f>
        <v/>
      </c>
      <c r="CA283" t="str">
        <f>IF('1. Live'!CA283='check-Jul25'!CA283,"",'1. Live'!CA283-'check-Jul25'!CA283)</f>
        <v/>
      </c>
      <c r="CB283" t="str">
        <f>IF('1. Live'!CB283='check-Jul25'!CB283,"",'1. Live'!CB283-'check-Jul25'!CB283)</f>
        <v/>
      </c>
      <c r="CC283" t="str">
        <f>IF('1. Live'!CC283='check-Jul25'!CC283,"",'1. Live'!CC283-'check-Jul25'!CC283)</f>
        <v/>
      </c>
      <c r="CD283" t="str">
        <f>IF('1. Live'!CD283='check-Jul25'!CD283,"",'1. Live'!CD283-'check-Jul25'!CD283)</f>
        <v/>
      </c>
      <c r="CE283" t="str">
        <f>IF('1. Live'!CE283='check-Jul25'!CE283,"",'1. Live'!CE283-'check-Jul25'!CE283)</f>
        <v/>
      </c>
      <c r="CF283" t="str">
        <f>IF('1. Live'!CF283='check-Jul25'!CF283,"",'1. Live'!CF283-'check-Jul25'!CF283)</f>
        <v/>
      </c>
      <c r="CG283" t="str">
        <f>IF('1. Live'!CG283='check-Jul25'!CG283,"",'1. Live'!CG283-'check-Jul25'!CG283)</f>
        <v/>
      </c>
      <c r="CH283" t="str">
        <f>IF('1. Live'!CH283='check-Jul25'!CH283,"",'1. Live'!CH283-'check-Jul25'!CH283)</f>
        <v/>
      </c>
      <c r="CI283" t="str">
        <f>IF('1. Live'!CI283='check-Jul25'!CI283,"",'1. Live'!CI283-'check-Jul25'!CI283)</f>
        <v/>
      </c>
      <c r="CJ283" t="str">
        <f>IF('1. Live'!CJ283='check-Jul25'!CJ283,"",'1. Live'!CJ283-'check-Jul25'!CJ283)</f>
        <v/>
      </c>
      <c r="CK283" t="str">
        <f>IF('1. Live'!CK283='check-Jul25'!CK283,"",'1. Live'!CK283-'check-Jul25'!CK283)</f>
        <v/>
      </c>
      <c r="CL283" t="str">
        <f>IF('1. Live'!CL283='check-Jul25'!CL283,"",'1. Live'!CL283-'check-Jul25'!CL283)</f>
        <v/>
      </c>
      <c r="CM283" t="str">
        <f>IF('1. Live'!CM283='check-Jul25'!CM283,"",'1. Live'!CM283-'check-Jul25'!CM283)</f>
        <v/>
      </c>
      <c r="CN283" t="str">
        <f>IF('1. Live'!CN283='check-Jul25'!CN283,"",'1. Live'!CN283-'check-Jul25'!CN283)</f>
        <v/>
      </c>
      <c r="CO283" t="str">
        <f>IF('1. Live'!CO283='check-Jul25'!CO283,"",'1. Live'!CO283-'check-Jul25'!CO283)</f>
        <v/>
      </c>
      <c r="CP283" t="str">
        <f>IF('1. Live'!CP283='check-Jul25'!CP283,"",'1. Live'!CP283-'check-Jul25'!CP283)</f>
        <v/>
      </c>
      <c r="CQ283" t="str">
        <f>IF('1. Live'!CQ283='check-Jul25'!CQ283,"",'1. Live'!CQ283-'check-Jul25'!CQ283)</f>
        <v/>
      </c>
      <c r="CR283" t="str">
        <f>IF('1. Live'!CR283='check-Jul25'!CR283,"",'1. Live'!CR283-'check-Jul25'!CR283)</f>
        <v/>
      </c>
      <c r="CS283" t="str">
        <f>IF('1. Live'!CS283='check-Jul25'!CS283,"",'1. Live'!CS283-'check-Jul25'!CS283)</f>
        <v/>
      </c>
      <c r="CT283" t="str">
        <f>IF('1. Live'!CT283='check-Jul25'!CT283,"",'1. Live'!CT283-'check-Jul25'!CT283)</f>
        <v/>
      </c>
      <c r="CU283" t="str">
        <f>IF('1. Live'!CU283='check-Jul25'!CU283,"",'1. Live'!CU283-'check-Jul25'!CU283)</f>
        <v/>
      </c>
      <c r="CV283" t="str">
        <f>IF('1. Live'!CV283='check-Jul25'!CV283,"",'1. Live'!CV283-'check-Jul25'!CV283)</f>
        <v/>
      </c>
      <c r="CW283" t="str">
        <f>IF('1. Live'!CW283='check-Jul25'!CW283,"",'1. Live'!CW283-'check-Jul25'!CW283)</f>
        <v/>
      </c>
    </row>
    <row r="284" spans="10:101">
      <c r="J284" t="str">
        <f>IF('1. Live'!J284='check-Jul25'!J284,"",'1. Live'!J284-'check-Jul25'!J284)</f>
        <v/>
      </c>
      <c r="K284" t="str">
        <f>IF('1. Live'!K284='check-Jul25'!K284,"",'1. Live'!K284-'check-Jul25'!K284)</f>
        <v/>
      </c>
      <c r="L284" t="str">
        <f>IF('1. Live'!L284='check-Jul25'!L284,"",'1. Live'!L284-'check-Jul25'!L284)</f>
        <v/>
      </c>
      <c r="M284" t="str">
        <f>IF('1. Live'!M284='check-Jul25'!M284,"",'1. Live'!M284-'check-Jul25'!M284)</f>
        <v/>
      </c>
      <c r="N284" t="str">
        <f>IF('1. Live'!N284='check-Jul25'!N284,"",'1. Live'!N284-'check-Jul25'!N284)</f>
        <v/>
      </c>
      <c r="O284" t="str">
        <f>IF('1. Live'!O284='check-Jul25'!O284,"",'1. Live'!O284-'check-Jul25'!O284)</f>
        <v/>
      </c>
      <c r="P284" t="str">
        <f>IF('1. Live'!P284='check-Jul25'!P284,"",'1. Live'!P284-'check-Jul25'!P284)</f>
        <v/>
      </c>
      <c r="Q284" t="str">
        <f>IF('1. Live'!Q284='check-Jul25'!Q284,"",'1. Live'!Q284-'check-Jul25'!Q284)</f>
        <v/>
      </c>
      <c r="R284" t="str">
        <f>IF('1. Live'!R284='check-Jul25'!R284,"",'1. Live'!R284-'check-Jul25'!R284)</f>
        <v/>
      </c>
      <c r="S284" t="str">
        <f>IF('1. Live'!S284='check-Jul25'!S284,"",'1. Live'!S284-'check-Jul25'!S284)</f>
        <v/>
      </c>
      <c r="T284" t="str">
        <f>IF('1. Live'!T284='check-Jul25'!T284,"",'1. Live'!T284-'check-Jul25'!T284)</f>
        <v/>
      </c>
      <c r="U284" t="str">
        <f>IF('1. Live'!U284='check-Jul25'!U284,"",'1. Live'!U284-'check-Jul25'!U284)</f>
        <v/>
      </c>
      <c r="V284" t="str">
        <f>IF('1. Live'!V284='check-Jul25'!V284,"",'1. Live'!V284-'check-Jul25'!V284)</f>
        <v/>
      </c>
      <c r="W284" t="str">
        <f>IF('1. Live'!W284='check-Jul25'!W284,"",'1. Live'!W284-'check-Jul25'!W284)</f>
        <v/>
      </c>
      <c r="X284" t="str">
        <f>IF('1. Live'!X284='check-Jul25'!X284,"",'1. Live'!X284-'check-Jul25'!X284)</f>
        <v/>
      </c>
      <c r="Y284" t="str">
        <f>IF('1. Live'!Y284='check-Jul25'!Y284,"",'1. Live'!Y284-'check-Jul25'!Y284)</f>
        <v/>
      </c>
      <c r="Z284" t="str">
        <f>IF('1. Live'!Z284='check-Jul25'!Z284,"",'1. Live'!Z284-'check-Jul25'!Z284)</f>
        <v/>
      </c>
      <c r="AA284" t="str">
        <f>IF('1. Live'!AA284='check-Jul25'!AA284,"",'1. Live'!AA284-'check-Jul25'!AA284)</f>
        <v/>
      </c>
      <c r="AB284" t="str">
        <f>IF('1. Live'!AB284='check-Jul25'!AB284,"",'1. Live'!AB284-'check-Jul25'!AB284)</f>
        <v/>
      </c>
      <c r="AC284" t="str">
        <f>IF('1. Live'!AC284='check-Jul25'!AC284,"",'1. Live'!AC284-'check-Jul25'!AC284)</f>
        <v/>
      </c>
      <c r="AD284" t="str">
        <f>IF('1. Live'!AD284='check-Jul25'!AD284,"",'1. Live'!AD284-'check-Jul25'!AD284)</f>
        <v/>
      </c>
      <c r="AE284" t="str">
        <f>IF('1. Live'!AE284='check-Jul25'!AE284,"",'1. Live'!AE284-'check-Jul25'!AE284)</f>
        <v/>
      </c>
      <c r="AF284" t="str">
        <f>IF('1. Live'!AF284='check-Jul25'!AF284,"",'1. Live'!AF284-'check-Jul25'!AF284)</f>
        <v/>
      </c>
      <c r="AG284" t="str">
        <f>IF('1. Live'!AG284='check-Jul25'!AG284,"",'1. Live'!AG284-'check-Jul25'!AG284)</f>
        <v/>
      </c>
      <c r="AH284" t="str">
        <f>IF('1. Live'!AH284='check-Jul25'!AH284,"",'1. Live'!AH284-'check-Jul25'!AH284)</f>
        <v/>
      </c>
      <c r="AI284" t="str">
        <f>IF('1. Live'!AI284='check-Jul25'!AI284,"",'1. Live'!AI284-'check-Jul25'!AI284)</f>
        <v/>
      </c>
      <c r="AJ284" t="str">
        <f>IF('1. Live'!AJ284='check-Jul25'!AJ284,"",'1. Live'!AJ284-'check-Jul25'!AJ284)</f>
        <v/>
      </c>
      <c r="AK284" t="str">
        <f>IF('1. Live'!AK284='check-Jul25'!AK284,"",'1. Live'!AK284-'check-Jul25'!AK284)</f>
        <v/>
      </c>
      <c r="AL284" t="str">
        <f>IF('1. Live'!AL284='check-Jul25'!AL284,"",'1. Live'!AL284-'check-Jul25'!AL284)</f>
        <v/>
      </c>
      <c r="AM284" t="str">
        <f>IF('1. Live'!AM284='check-Jul25'!AM284,"",'1. Live'!AM284-'check-Jul25'!AM284)</f>
        <v/>
      </c>
      <c r="AN284" t="str">
        <f>IF('1. Live'!AN284='check-Jul25'!AN284,"",'1. Live'!AN284-'check-Jul25'!AN284)</f>
        <v/>
      </c>
      <c r="AO284" t="str">
        <f>IF('1. Live'!AO284='check-Jul25'!AO284,"",'1. Live'!AO284-'check-Jul25'!AO284)</f>
        <v/>
      </c>
      <c r="AP284" t="str">
        <f>IF('1. Live'!AP284='check-Jul25'!AP284,"",'1. Live'!AP284-'check-Jul25'!AP284)</f>
        <v/>
      </c>
      <c r="AQ284" t="str">
        <f>IF('1. Live'!AQ284='check-Jul25'!AQ284,"",'1. Live'!AQ284-'check-Jul25'!AQ284)</f>
        <v/>
      </c>
      <c r="AR284" t="str">
        <f>IF('1. Live'!AR284='check-Jul25'!AR284,"",'1. Live'!AR284-'check-Jul25'!AR284)</f>
        <v/>
      </c>
      <c r="AS284" t="str">
        <f>IF('1. Live'!AS284='check-Jul25'!AS284,"",'1. Live'!AS284-'check-Jul25'!AS284)</f>
        <v/>
      </c>
      <c r="AT284" t="str">
        <f>IF('1. Live'!AT284='check-Jul25'!AT284,"",'1. Live'!AT284-'check-Jul25'!AT284)</f>
        <v/>
      </c>
      <c r="AU284" t="str">
        <f>IF('1. Live'!AU284='check-Jul25'!AU284,"",'1. Live'!AU284-'check-Jul25'!AU284)</f>
        <v/>
      </c>
      <c r="AV284" t="str">
        <f>IF('1. Live'!AV284='check-Jul25'!AV284,"",'1. Live'!AV284-'check-Jul25'!AV284)</f>
        <v/>
      </c>
      <c r="AW284" t="str">
        <f>IF('1. Live'!AW284='check-Jul25'!AW284,"",'1. Live'!AW284-'check-Jul25'!AW284)</f>
        <v/>
      </c>
      <c r="AX284" t="str">
        <f>IF('1. Live'!AX284='check-Jul25'!AX284,"",'1. Live'!AX284-'check-Jul25'!AX284)</f>
        <v/>
      </c>
      <c r="AY284" t="str">
        <f>IF('1. Live'!AY284='check-Jul25'!AY284,"",'1. Live'!AY284-'check-Jul25'!AY284)</f>
        <v/>
      </c>
      <c r="AZ284" t="str">
        <f>IF('1. Live'!AZ284='check-Jul25'!AZ284,"",'1. Live'!AZ284-'check-Jul25'!AZ284)</f>
        <v/>
      </c>
      <c r="BA284" t="str">
        <f>IF('1. Live'!BA284='check-Jul25'!BA284,"",'1. Live'!BA284-'check-Jul25'!BA284)</f>
        <v/>
      </c>
      <c r="BB284" t="str">
        <f>IF('1. Live'!BB284='check-Jul25'!BB284,"",'1. Live'!BB284-'check-Jul25'!BB284)</f>
        <v/>
      </c>
      <c r="BC284" t="str">
        <f>IF('1. Live'!BC284='check-Jul25'!BC284,"",'1. Live'!BC284-'check-Jul25'!BC284)</f>
        <v/>
      </c>
      <c r="BD284" t="str">
        <f>IF('1. Live'!BD284='check-Jul25'!BD284,"",'1. Live'!BD284-'check-Jul25'!BD284)</f>
        <v/>
      </c>
      <c r="BE284" t="str">
        <f>IF('1. Live'!BE284='check-Jul25'!BE284,"",'1. Live'!BE284-'check-Jul25'!BE284)</f>
        <v/>
      </c>
      <c r="BF284" t="str">
        <f>IF('1. Live'!BF284='check-Jul25'!BF284,"",'1. Live'!BF284-'check-Jul25'!BF284)</f>
        <v/>
      </c>
      <c r="BG284" t="str">
        <f>IF('1. Live'!BG284='check-Jul25'!BG284,"",'1. Live'!BG284-'check-Jul25'!BG284)</f>
        <v/>
      </c>
      <c r="BH284" t="str">
        <f>IF('1. Live'!BH284='check-Jul25'!BH284,"",'1. Live'!BH284-'check-Jul25'!BH284)</f>
        <v/>
      </c>
      <c r="BI284" t="str">
        <f>IF('1. Live'!BI284='check-Jul25'!BI284,"",'1. Live'!BI284-'check-Jul25'!BI284)</f>
        <v/>
      </c>
      <c r="BJ284" t="str">
        <f>IF('1. Live'!BJ284='check-Jul25'!BJ284,"",'1. Live'!BJ284-'check-Jul25'!BJ284)</f>
        <v/>
      </c>
      <c r="BK284" t="str">
        <f>IF('1. Live'!BK284='check-Jul25'!BK284,"",'1. Live'!BK284-'check-Jul25'!BK284)</f>
        <v/>
      </c>
      <c r="BL284" t="str">
        <f>IF('1. Live'!BL284='check-Jul25'!BL284,"",'1. Live'!BL284-'check-Jul25'!BL284)</f>
        <v/>
      </c>
      <c r="BM284" t="str">
        <f>IF('1. Live'!BM284='check-Jul25'!BM284,"",'1. Live'!BM284-'check-Jul25'!BM284)</f>
        <v/>
      </c>
      <c r="BN284" t="str">
        <f>IF('1. Live'!BN284='check-Jul25'!BN284,"",'1. Live'!BN284-'check-Jul25'!BN284)</f>
        <v/>
      </c>
      <c r="BO284" t="str">
        <f>IF('1. Live'!BO284='check-Jul25'!BO284,"",'1. Live'!BO284-'check-Jul25'!BO284)</f>
        <v/>
      </c>
      <c r="BP284" t="str">
        <f>IF('1. Live'!BP284='check-Jul25'!BP284,"",'1. Live'!BP284-'check-Jul25'!BP284)</f>
        <v/>
      </c>
      <c r="BQ284" t="str">
        <f>IF('1. Live'!BQ284='check-Jul25'!BQ284,"",'1. Live'!BQ284-'check-Jul25'!BQ284)</f>
        <v/>
      </c>
      <c r="BR284" t="str">
        <f>IF('1. Live'!BR284='check-Jul25'!BR284,"",'1. Live'!BR284-'check-Jul25'!BR284)</f>
        <v/>
      </c>
      <c r="BS284" t="str">
        <f>IF('1. Live'!BS284='check-Jul25'!BS284,"",'1. Live'!BS284-'check-Jul25'!BS284)</f>
        <v/>
      </c>
      <c r="BT284" t="str">
        <f>IF('1. Live'!BT284='check-Jul25'!BT284,"",'1. Live'!BT284-'check-Jul25'!BT284)</f>
        <v/>
      </c>
      <c r="BU284" t="str">
        <f>IF('1. Live'!BU284='check-Jul25'!BU284,"",'1. Live'!BU284-'check-Jul25'!BU284)</f>
        <v/>
      </c>
      <c r="BV284" t="str">
        <f>IF('1. Live'!BV284='check-Jul25'!BV284,"",'1. Live'!BV284-'check-Jul25'!BV284)</f>
        <v/>
      </c>
      <c r="BW284" t="str">
        <f>IF('1. Live'!BW284='check-Jul25'!BW284,"",'1. Live'!BW284-'check-Jul25'!BW284)</f>
        <v/>
      </c>
      <c r="BX284" t="str">
        <f>IF('1. Live'!BX284='check-Jul25'!BX284,"",'1. Live'!BX284-'check-Jul25'!BX284)</f>
        <v/>
      </c>
      <c r="BY284" t="str">
        <f>IF('1. Live'!BY284='check-Jul25'!BY284,"",'1. Live'!BY284-'check-Jul25'!BY284)</f>
        <v/>
      </c>
      <c r="BZ284" t="str">
        <f>IF('1. Live'!BZ284='check-Jul25'!BZ284,"",'1. Live'!BZ284-'check-Jul25'!BZ284)</f>
        <v/>
      </c>
      <c r="CA284" t="str">
        <f>IF('1. Live'!CA284='check-Jul25'!CA284,"",'1. Live'!CA284-'check-Jul25'!CA284)</f>
        <v/>
      </c>
      <c r="CB284" t="str">
        <f>IF('1. Live'!CB284='check-Jul25'!CB284,"",'1. Live'!CB284-'check-Jul25'!CB284)</f>
        <v/>
      </c>
      <c r="CC284" t="str">
        <f>IF('1. Live'!CC284='check-Jul25'!CC284,"",'1. Live'!CC284-'check-Jul25'!CC284)</f>
        <v/>
      </c>
      <c r="CD284" t="str">
        <f>IF('1. Live'!CD284='check-Jul25'!CD284,"",'1. Live'!CD284-'check-Jul25'!CD284)</f>
        <v/>
      </c>
      <c r="CE284" t="str">
        <f>IF('1. Live'!CE284='check-Jul25'!CE284,"",'1. Live'!CE284-'check-Jul25'!CE284)</f>
        <v/>
      </c>
      <c r="CF284" t="str">
        <f>IF('1. Live'!CF284='check-Jul25'!CF284,"",'1. Live'!CF284-'check-Jul25'!CF284)</f>
        <v/>
      </c>
      <c r="CG284" t="str">
        <f>IF('1. Live'!CG284='check-Jul25'!CG284,"",'1. Live'!CG284-'check-Jul25'!CG284)</f>
        <v/>
      </c>
      <c r="CH284" t="str">
        <f>IF('1. Live'!CH284='check-Jul25'!CH284,"",'1. Live'!CH284-'check-Jul25'!CH284)</f>
        <v/>
      </c>
      <c r="CI284" t="str">
        <f>IF('1. Live'!CI284='check-Jul25'!CI284,"",'1. Live'!CI284-'check-Jul25'!CI284)</f>
        <v/>
      </c>
      <c r="CJ284" t="str">
        <f>IF('1. Live'!CJ284='check-Jul25'!CJ284,"",'1. Live'!CJ284-'check-Jul25'!CJ284)</f>
        <v/>
      </c>
      <c r="CK284" t="str">
        <f>IF('1. Live'!CK284='check-Jul25'!CK284,"",'1. Live'!CK284-'check-Jul25'!CK284)</f>
        <v/>
      </c>
      <c r="CL284" t="str">
        <f>IF('1. Live'!CL284='check-Jul25'!CL284,"",'1. Live'!CL284-'check-Jul25'!CL284)</f>
        <v/>
      </c>
      <c r="CM284" t="str">
        <f>IF('1. Live'!CM284='check-Jul25'!CM284,"",'1. Live'!CM284-'check-Jul25'!CM284)</f>
        <v/>
      </c>
      <c r="CN284" t="str">
        <f>IF('1. Live'!CN284='check-Jul25'!CN284,"",'1. Live'!CN284-'check-Jul25'!CN284)</f>
        <v/>
      </c>
      <c r="CO284" t="str">
        <f>IF('1. Live'!CO284='check-Jul25'!CO284,"",'1. Live'!CO284-'check-Jul25'!CO284)</f>
        <v/>
      </c>
      <c r="CP284" t="str">
        <f>IF('1. Live'!CP284='check-Jul25'!CP284,"",'1. Live'!CP284-'check-Jul25'!CP284)</f>
        <v/>
      </c>
      <c r="CQ284" t="str">
        <f>IF('1. Live'!CQ284='check-Jul25'!CQ284,"",'1. Live'!CQ284-'check-Jul25'!CQ284)</f>
        <v/>
      </c>
      <c r="CR284" t="str">
        <f>IF('1. Live'!CR284='check-Jul25'!CR284,"",'1. Live'!CR284-'check-Jul25'!CR284)</f>
        <v/>
      </c>
      <c r="CS284" t="str">
        <f>IF('1. Live'!CS284='check-Jul25'!CS284,"",'1. Live'!CS284-'check-Jul25'!CS284)</f>
        <v/>
      </c>
      <c r="CT284" t="str">
        <f>IF('1. Live'!CT284='check-Jul25'!CT284,"",'1. Live'!CT284-'check-Jul25'!CT284)</f>
        <v/>
      </c>
      <c r="CU284" t="str">
        <f>IF('1. Live'!CU284='check-Jul25'!CU284,"",'1. Live'!CU284-'check-Jul25'!CU284)</f>
        <v/>
      </c>
      <c r="CV284" t="str">
        <f>IF('1. Live'!CV284='check-Jul25'!CV284,"",'1. Live'!CV284-'check-Jul25'!CV284)</f>
        <v/>
      </c>
      <c r="CW284" t="str">
        <f>IF('1. Live'!CW284='check-Jul25'!CW284,"",'1. Live'!CW284-'check-Jul25'!CW284)</f>
        <v/>
      </c>
    </row>
    <row r="285" spans="10:101">
      <c r="J285" t="str">
        <f>IF('1. Live'!J285='check-Jul25'!J285,"",'1. Live'!J285-'check-Jul25'!J285)</f>
        <v/>
      </c>
      <c r="K285" t="str">
        <f>IF('1. Live'!K285='check-Jul25'!K285,"",'1. Live'!K285-'check-Jul25'!K285)</f>
        <v/>
      </c>
      <c r="L285" t="str">
        <f>IF('1. Live'!L285='check-Jul25'!L285,"",'1. Live'!L285-'check-Jul25'!L285)</f>
        <v/>
      </c>
      <c r="M285" t="str">
        <f>IF('1. Live'!M285='check-Jul25'!M285,"",'1. Live'!M285-'check-Jul25'!M285)</f>
        <v/>
      </c>
      <c r="N285" t="str">
        <f>IF('1. Live'!N285='check-Jul25'!N285,"",'1. Live'!N285-'check-Jul25'!N285)</f>
        <v/>
      </c>
      <c r="O285" t="str">
        <f>IF('1. Live'!O285='check-Jul25'!O285,"",'1. Live'!O285-'check-Jul25'!O285)</f>
        <v/>
      </c>
      <c r="P285" t="str">
        <f>IF('1. Live'!P285='check-Jul25'!P285,"",'1. Live'!P285-'check-Jul25'!P285)</f>
        <v/>
      </c>
      <c r="Q285" t="str">
        <f>IF('1. Live'!Q285='check-Jul25'!Q285,"",'1. Live'!Q285-'check-Jul25'!Q285)</f>
        <v/>
      </c>
      <c r="R285" t="str">
        <f>IF('1. Live'!R285='check-Jul25'!R285,"",'1. Live'!R285-'check-Jul25'!R285)</f>
        <v/>
      </c>
      <c r="S285" t="str">
        <f>IF('1. Live'!S285='check-Jul25'!S285,"",'1. Live'!S285-'check-Jul25'!S285)</f>
        <v/>
      </c>
      <c r="T285" t="str">
        <f>IF('1. Live'!T285='check-Jul25'!T285,"",'1. Live'!T285-'check-Jul25'!T285)</f>
        <v/>
      </c>
      <c r="U285" t="str">
        <f>IF('1. Live'!U285='check-Jul25'!U285,"",'1. Live'!U285-'check-Jul25'!U285)</f>
        <v/>
      </c>
      <c r="V285" t="str">
        <f>IF('1. Live'!V285='check-Jul25'!V285,"",'1. Live'!V285-'check-Jul25'!V285)</f>
        <v/>
      </c>
      <c r="W285" t="str">
        <f>IF('1. Live'!W285='check-Jul25'!W285,"",'1. Live'!W285-'check-Jul25'!W285)</f>
        <v/>
      </c>
      <c r="X285" t="str">
        <f>IF('1. Live'!X285='check-Jul25'!X285,"",'1. Live'!X285-'check-Jul25'!X285)</f>
        <v/>
      </c>
      <c r="Y285" t="str">
        <f>IF('1. Live'!Y285='check-Jul25'!Y285,"",'1. Live'!Y285-'check-Jul25'!Y285)</f>
        <v/>
      </c>
      <c r="Z285" t="str">
        <f>IF('1. Live'!Z285='check-Jul25'!Z285,"",'1. Live'!Z285-'check-Jul25'!Z285)</f>
        <v/>
      </c>
      <c r="AA285" t="str">
        <f>IF('1. Live'!AA285='check-Jul25'!AA285,"",'1. Live'!AA285-'check-Jul25'!AA285)</f>
        <v/>
      </c>
      <c r="AB285" t="str">
        <f>IF('1. Live'!AB285='check-Jul25'!AB285,"",'1. Live'!AB285-'check-Jul25'!AB285)</f>
        <v/>
      </c>
      <c r="AC285" t="str">
        <f>IF('1. Live'!AC285='check-Jul25'!AC285,"",'1. Live'!AC285-'check-Jul25'!AC285)</f>
        <v/>
      </c>
      <c r="AD285" t="str">
        <f>IF('1. Live'!AD285='check-Jul25'!AD285,"",'1. Live'!AD285-'check-Jul25'!AD285)</f>
        <v/>
      </c>
      <c r="AE285" t="str">
        <f>IF('1. Live'!AE285='check-Jul25'!AE285,"",'1. Live'!AE285-'check-Jul25'!AE285)</f>
        <v/>
      </c>
      <c r="AF285" t="str">
        <f>IF('1. Live'!AF285='check-Jul25'!AF285,"",'1. Live'!AF285-'check-Jul25'!AF285)</f>
        <v/>
      </c>
      <c r="AG285" t="str">
        <f>IF('1. Live'!AG285='check-Jul25'!AG285,"",'1. Live'!AG285-'check-Jul25'!AG285)</f>
        <v/>
      </c>
      <c r="AH285" t="str">
        <f>IF('1. Live'!AH285='check-Jul25'!AH285,"",'1. Live'!AH285-'check-Jul25'!AH285)</f>
        <v/>
      </c>
      <c r="AI285" t="str">
        <f>IF('1. Live'!AI285='check-Jul25'!AI285,"",'1. Live'!AI285-'check-Jul25'!AI285)</f>
        <v/>
      </c>
      <c r="AJ285" t="str">
        <f>IF('1. Live'!AJ285='check-Jul25'!AJ285,"",'1. Live'!AJ285-'check-Jul25'!AJ285)</f>
        <v/>
      </c>
      <c r="AK285" t="str">
        <f>IF('1. Live'!AK285='check-Jul25'!AK285,"",'1. Live'!AK285-'check-Jul25'!AK285)</f>
        <v/>
      </c>
      <c r="AL285" t="str">
        <f>IF('1. Live'!AL285='check-Jul25'!AL285,"",'1. Live'!AL285-'check-Jul25'!AL285)</f>
        <v/>
      </c>
      <c r="AM285" t="str">
        <f>IF('1. Live'!AM285='check-Jul25'!AM285,"",'1. Live'!AM285-'check-Jul25'!AM285)</f>
        <v/>
      </c>
      <c r="AN285" t="str">
        <f>IF('1. Live'!AN285='check-Jul25'!AN285,"",'1. Live'!AN285-'check-Jul25'!AN285)</f>
        <v/>
      </c>
      <c r="AO285" t="str">
        <f>IF('1. Live'!AO285='check-Jul25'!AO285,"",'1. Live'!AO285-'check-Jul25'!AO285)</f>
        <v/>
      </c>
      <c r="AP285" t="str">
        <f>IF('1. Live'!AP285='check-Jul25'!AP285,"",'1. Live'!AP285-'check-Jul25'!AP285)</f>
        <v/>
      </c>
      <c r="AQ285" t="str">
        <f>IF('1. Live'!AQ285='check-Jul25'!AQ285,"",'1. Live'!AQ285-'check-Jul25'!AQ285)</f>
        <v/>
      </c>
      <c r="AR285" t="str">
        <f>IF('1. Live'!AR285='check-Jul25'!AR285,"",'1. Live'!AR285-'check-Jul25'!AR285)</f>
        <v/>
      </c>
      <c r="AS285" t="str">
        <f>IF('1. Live'!AS285='check-Jul25'!AS285,"",'1. Live'!AS285-'check-Jul25'!AS285)</f>
        <v/>
      </c>
      <c r="AT285" t="str">
        <f>IF('1. Live'!AT285='check-Jul25'!AT285,"",'1. Live'!AT285-'check-Jul25'!AT285)</f>
        <v/>
      </c>
      <c r="AU285" t="str">
        <f>IF('1. Live'!AU285='check-Jul25'!AU285,"",'1. Live'!AU285-'check-Jul25'!AU285)</f>
        <v/>
      </c>
      <c r="AV285" t="str">
        <f>IF('1. Live'!AV285='check-Jul25'!AV285,"",'1. Live'!AV285-'check-Jul25'!AV285)</f>
        <v/>
      </c>
      <c r="AW285" t="str">
        <f>IF('1. Live'!AW285='check-Jul25'!AW285,"",'1. Live'!AW285-'check-Jul25'!AW285)</f>
        <v/>
      </c>
      <c r="AX285" t="str">
        <f>IF('1. Live'!AX285='check-Jul25'!AX285,"",'1. Live'!AX285-'check-Jul25'!AX285)</f>
        <v/>
      </c>
      <c r="AY285" t="str">
        <f>IF('1. Live'!AY285='check-Jul25'!AY285,"",'1. Live'!AY285-'check-Jul25'!AY285)</f>
        <v/>
      </c>
      <c r="AZ285" t="str">
        <f>IF('1. Live'!AZ285='check-Jul25'!AZ285,"",'1. Live'!AZ285-'check-Jul25'!AZ285)</f>
        <v/>
      </c>
      <c r="BA285" t="str">
        <f>IF('1. Live'!BA285='check-Jul25'!BA285,"",'1. Live'!BA285-'check-Jul25'!BA285)</f>
        <v/>
      </c>
      <c r="BB285" t="str">
        <f>IF('1. Live'!BB285='check-Jul25'!BB285,"",'1. Live'!BB285-'check-Jul25'!BB285)</f>
        <v/>
      </c>
      <c r="BC285" t="str">
        <f>IF('1. Live'!BC285='check-Jul25'!BC285,"",'1. Live'!BC285-'check-Jul25'!BC285)</f>
        <v/>
      </c>
      <c r="BD285" t="str">
        <f>IF('1. Live'!BD285='check-Jul25'!BD285,"",'1. Live'!BD285-'check-Jul25'!BD285)</f>
        <v/>
      </c>
      <c r="BE285" t="str">
        <f>IF('1. Live'!BE285='check-Jul25'!BE285,"",'1. Live'!BE285-'check-Jul25'!BE285)</f>
        <v/>
      </c>
      <c r="BF285" t="str">
        <f>IF('1. Live'!BF285='check-Jul25'!BF285,"",'1. Live'!BF285-'check-Jul25'!BF285)</f>
        <v/>
      </c>
      <c r="BG285" t="str">
        <f>IF('1. Live'!BG285='check-Jul25'!BG285,"",'1. Live'!BG285-'check-Jul25'!BG285)</f>
        <v/>
      </c>
      <c r="BH285" t="str">
        <f>IF('1. Live'!BH285='check-Jul25'!BH285,"",'1. Live'!BH285-'check-Jul25'!BH285)</f>
        <v/>
      </c>
      <c r="BI285" t="str">
        <f>IF('1. Live'!BI285='check-Jul25'!BI285,"",'1. Live'!BI285-'check-Jul25'!BI285)</f>
        <v/>
      </c>
      <c r="BJ285" t="str">
        <f>IF('1. Live'!BJ285='check-Jul25'!BJ285,"",'1. Live'!BJ285-'check-Jul25'!BJ285)</f>
        <v/>
      </c>
      <c r="BK285" t="str">
        <f>IF('1. Live'!BK285='check-Jul25'!BK285,"",'1. Live'!BK285-'check-Jul25'!BK285)</f>
        <v/>
      </c>
      <c r="BL285" t="str">
        <f>IF('1. Live'!BL285='check-Jul25'!BL285,"",'1. Live'!BL285-'check-Jul25'!BL285)</f>
        <v/>
      </c>
      <c r="BM285" t="str">
        <f>IF('1. Live'!BM285='check-Jul25'!BM285,"",'1. Live'!BM285-'check-Jul25'!BM285)</f>
        <v/>
      </c>
      <c r="BN285" t="str">
        <f>IF('1. Live'!BN285='check-Jul25'!BN285,"",'1. Live'!BN285-'check-Jul25'!BN285)</f>
        <v/>
      </c>
      <c r="BO285" t="str">
        <f>IF('1. Live'!BO285='check-Jul25'!BO285,"",'1. Live'!BO285-'check-Jul25'!BO285)</f>
        <v/>
      </c>
      <c r="BP285" t="str">
        <f>IF('1. Live'!BP285='check-Jul25'!BP285,"",'1. Live'!BP285-'check-Jul25'!BP285)</f>
        <v/>
      </c>
      <c r="BQ285" t="str">
        <f>IF('1. Live'!BQ285='check-Jul25'!BQ285,"",'1. Live'!BQ285-'check-Jul25'!BQ285)</f>
        <v/>
      </c>
      <c r="BR285" t="str">
        <f>IF('1. Live'!BR285='check-Jul25'!BR285,"",'1. Live'!BR285-'check-Jul25'!BR285)</f>
        <v/>
      </c>
      <c r="BS285" t="str">
        <f>IF('1. Live'!BS285='check-Jul25'!BS285,"",'1. Live'!BS285-'check-Jul25'!BS285)</f>
        <v/>
      </c>
      <c r="BT285" t="str">
        <f>IF('1. Live'!BT285='check-Jul25'!BT285,"",'1. Live'!BT285-'check-Jul25'!BT285)</f>
        <v/>
      </c>
      <c r="BU285" t="str">
        <f>IF('1. Live'!BU285='check-Jul25'!BU285,"",'1. Live'!BU285-'check-Jul25'!BU285)</f>
        <v/>
      </c>
      <c r="BV285" t="str">
        <f>IF('1. Live'!BV285='check-Jul25'!BV285,"",'1. Live'!BV285-'check-Jul25'!BV285)</f>
        <v/>
      </c>
      <c r="BW285" t="str">
        <f>IF('1. Live'!BW285='check-Jul25'!BW285,"",'1. Live'!BW285-'check-Jul25'!BW285)</f>
        <v/>
      </c>
      <c r="BX285" t="str">
        <f>IF('1. Live'!BX285='check-Jul25'!BX285,"",'1. Live'!BX285-'check-Jul25'!BX285)</f>
        <v/>
      </c>
      <c r="BY285" t="str">
        <f>IF('1. Live'!BY285='check-Jul25'!BY285,"",'1. Live'!BY285-'check-Jul25'!BY285)</f>
        <v/>
      </c>
      <c r="BZ285" t="str">
        <f>IF('1. Live'!BZ285='check-Jul25'!BZ285,"",'1. Live'!BZ285-'check-Jul25'!BZ285)</f>
        <v/>
      </c>
      <c r="CA285" t="str">
        <f>IF('1. Live'!CA285='check-Jul25'!CA285,"",'1. Live'!CA285-'check-Jul25'!CA285)</f>
        <v/>
      </c>
      <c r="CB285" t="str">
        <f>IF('1. Live'!CB285='check-Jul25'!CB285,"",'1. Live'!CB285-'check-Jul25'!CB285)</f>
        <v/>
      </c>
      <c r="CC285" t="str">
        <f>IF('1. Live'!CC285='check-Jul25'!CC285,"",'1. Live'!CC285-'check-Jul25'!CC285)</f>
        <v/>
      </c>
      <c r="CD285" t="str">
        <f>IF('1. Live'!CD285='check-Jul25'!CD285,"",'1. Live'!CD285-'check-Jul25'!CD285)</f>
        <v/>
      </c>
      <c r="CE285" t="str">
        <f>IF('1. Live'!CE285='check-Jul25'!CE285,"",'1. Live'!CE285-'check-Jul25'!CE285)</f>
        <v/>
      </c>
      <c r="CF285" t="str">
        <f>IF('1. Live'!CF285='check-Jul25'!CF285,"",'1. Live'!CF285-'check-Jul25'!CF285)</f>
        <v/>
      </c>
      <c r="CG285" t="str">
        <f>IF('1. Live'!CG285='check-Jul25'!CG285,"",'1. Live'!CG285-'check-Jul25'!CG285)</f>
        <v/>
      </c>
      <c r="CH285" t="str">
        <f>IF('1. Live'!CH285='check-Jul25'!CH285,"",'1. Live'!CH285-'check-Jul25'!CH285)</f>
        <v/>
      </c>
      <c r="CI285" t="str">
        <f>IF('1. Live'!CI285='check-Jul25'!CI285,"",'1. Live'!CI285-'check-Jul25'!CI285)</f>
        <v/>
      </c>
      <c r="CJ285" t="str">
        <f>IF('1. Live'!CJ285='check-Jul25'!CJ285,"",'1. Live'!CJ285-'check-Jul25'!CJ285)</f>
        <v/>
      </c>
      <c r="CK285" t="str">
        <f>IF('1. Live'!CK285='check-Jul25'!CK285,"",'1. Live'!CK285-'check-Jul25'!CK285)</f>
        <v/>
      </c>
      <c r="CL285" t="str">
        <f>IF('1. Live'!CL285='check-Jul25'!CL285,"",'1. Live'!CL285-'check-Jul25'!CL285)</f>
        <v/>
      </c>
      <c r="CM285" t="str">
        <f>IF('1. Live'!CM285='check-Jul25'!CM285,"",'1. Live'!CM285-'check-Jul25'!CM285)</f>
        <v/>
      </c>
      <c r="CN285" t="str">
        <f>IF('1. Live'!CN285='check-Jul25'!CN285,"",'1. Live'!CN285-'check-Jul25'!CN285)</f>
        <v/>
      </c>
      <c r="CO285" t="str">
        <f>IF('1. Live'!CO285='check-Jul25'!CO285,"",'1. Live'!CO285-'check-Jul25'!CO285)</f>
        <v/>
      </c>
      <c r="CP285" t="str">
        <f>IF('1. Live'!CP285='check-Jul25'!CP285,"",'1. Live'!CP285-'check-Jul25'!CP285)</f>
        <v/>
      </c>
      <c r="CQ285" t="str">
        <f>IF('1. Live'!CQ285='check-Jul25'!CQ285,"",'1. Live'!CQ285-'check-Jul25'!CQ285)</f>
        <v/>
      </c>
      <c r="CR285" t="str">
        <f>IF('1. Live'!CR285='check-Jul25'!CR285,"",'1. Live'!CR285-'check-Jul25'!CR285)</f>
        <v/>
      </c>
      <c r="CS285" t="str">
        <f>IF('1. Live'!CS285='check-Jul25'!CS285,"",'1. Live'!CS285-'check-Jul25'!CS285)</f>
        <v/>
      </c>
      <c r="CT285" t="str">
        <f>IF('1. Live'!CT285='check-Jul25'!CT285,"",'1. Live'!CT285-'check-Jul25'!CT285)</f>
        <v/>
      </c>
      <c r="CU285" t="str">
        <f>IF('1. Live'!CU285='check-Jul25'!CU285,"",'1. Live'!CU285-'check-Jul25'!CU285)</f>
        <v/>
      </c>
      <c r="CV285" t="str">
        <f>IF('1. Live'!CV285='check-Jul25'!CV285,"",'1. Live'!CV285-'check-Jul25'!CV285)</f>
        <v/>
      </c>
      <c r="CW285" t="str">
        <f>IF('1. Live'!CW285='check-Jul25'!CW285,"",'1. Live'!CW285-'check-Jul25'!CW285)</f>
        <v/>
      </c>
    </row>
    <row r="286" spans="10:101">
      <c r="J286" t="str">
        <f>IF('1. Live'!J286='check-Jul25'!J286,"",'1. Live'!J286-'check-Jul25'!J286)</f>
        <v/>
      </c>
      <c r="K286" t="str">
        <f>IF('1. Live'!K286='check-Jul25'!K286,"",'1. Live'!K286-'check-Jul25'!K286)</f>
        <v/>
      </c>
      <c r="L286" t="str">
        <f>IF('1. Live'!L286='check-Jul25'!L286,"",'1. Live'!L286-'check-Jul25'!L286)</f>
        <v/>
      </c>
      <c r="M286" t="str">
        <f>IF('1. Live'!M286='check-Jul25'!M286,"",'1. Live'!M286-'check-Jul25'!M286)</f>
        <v/>
      </c>
      <c r="N286" t="str">
        <f>IF('1. Live'!N286='check-Jul25'!N286,"",'1. Live'!N286-'check-Jul25'!N286)</f>
        <v/>
      </c>
      <c r="O286" t="str">
        <f>IF('1. Live'!O286='check-Jul25'!O286,"",'1. Live'!O286-'check-Jul25'!O286)</f>
        <v/>
      </c>
      <c r="P286" t="str">
        <f>IF('1. Live'!P286='check-Jul25'!P286,"",'1. Live'!P286-'check-Jul25'!P286)</f>
        <v/>
      </c>
      <c r="Q286" t="str">
        <f>IF('1. Live'!Q286='check-Jul25'!Q286,"",'1. Live'!Q286-'check-Jul25'!Q286)</f>
        <v/>
      </c>
      <c r="R286" t="str">
        <f>IF('1. Live'!R286='check-Jul25'!R286,"",'1. Live'!R286-'check-Jul25'!R286)</f>
        <v/>
      </c>
      <c r="S286" t="str">
        <f>IF('1. Live'!S286='check-Jul25'!S286,"",'1. Live'!S286-'check-Jul25'!S286)</f>
        <v/>
      </c>
      <c r="T286" t="str">
        <f>IF('1. Live'!T286='check-Jul25'!T286,"",'1. Live'!T286-'check-Jul25'!T286)</f>
        <v/>
      </c>
      <c r="U286" t="str">
        <f>IF('1. Live'!U286='check-Jul25'!U286,"",'1. Live'!U286-'check-Jul25'!U286)</f>
        <v/>
      </c>
      <c r="V286" t="str">
        <f>IF('1. Live'!V286='check-Jul25'!V286,"",'1. Live'!V286-'check-Jul25'!V286)</f>
        <v/>
      </c>
      <c r="W286" t="str">
        <f>IF('1. Live'!W286='check-Jul25'!W286,"",'1. Live'!W286-'check-Jul25'!W286)</f>
        <v/>
      </c>
      <c r="X286" t="str">
        <f>IF('1. Live'!X286='check-Jul25'!X286,"",'1. Live'!X286-'check-Jul25'!X286)</f>
        <v/>
      </c>
      <c r="Y286" t="str">
        <f>IF('1. Live'!Y286='check-Jul25'!Y286,"",'1. Live'!Y286-'check-Jul25'!Y286)</f>
        <v/>
      </c>
      <c r="Z286" t="str">
        <f>IF('1. Live'!Z286='check-Jul25'!Z286,"",'1. Live'!Z286-'check-Jul25'!Z286)</f>
        <v/>
      </c>
      <c r="AA286" t="str">
        <f>IF('1. Live'!AA286='check-Jul25'!AA286,"",'1. Live'!AA286-'check-Jul25'!AA286)</f>
        <v/>
      </c>
      <c r="AB286" t="str">
        <f>IF('1. Live'!AB286='check-Jul25'!AB286,"",'1. Live'!AB286-'check-Jul25'!AB286)</f>
        <v/>
      </c>
      <c r="AC286" t="str">
        <f>IF('1. Live'!AC286='check-Jul25'!AC286,"",'1. Live'!AC286-'check-Jul25'!AC286)</f>
        <v/>
      </c>
      <c r="AD286" t="str">
        <f>IF('1. Live'!AD286='check-Jul25'!AD286,"",'1. Live'!AD286-'check-Jul25'!AD286)</f>
        <v/>
      </c>
      <c r="AE286" t="str">
        <f>IF('1. Live'!AE286='check-Jul25'!AE286,"",'1. Live'!AE286-'check-Jul25'!AE286)</f>
        <v/>
      </c>
      <c r="AF286" t="str">
        <f>IF('1. Live'!AF286='check-Jul25'!AF286,"",'1. Live'!AF286-'check-Jul25'!AF286)</f>
        <v/>
      </c>
      <c r="AG286" t="str">
        <f>IF('1. Live'!AG286='check-Jul25'!AG286,"",'1. Live'!AG286-'check-Jul25'!AG286)</f>
        <v/>
      </c>
      <c r="AH286" t="str">
        <f>IF('1. Live'!AH286='check-Jul25'!AH286,"",'1. Live'!AH286-'check-Jul25'!AH286)</f>
        <v/>
      </c>
      <c r="AI286" t="str">
        <f>IF('1. Live'!AI286='check-Jul25'!AI286,"",'1. Live'!AI286-'check-Jul25'!AI286)</f>
        <v/>
      </c>
      <c r="AJ286" t="str">
        <f>IF('1. Live'!AJ286='check-Jul25'!AJ286,"",'1. Live'!AJ286-'check-Jul25'!AJ286)</f>
        <v/>
      </c>
      <c r="AK286" t="str">
        <f>IF('1. Live'!AK286='check-Jul25'!AK286,"",'1. Live'!AK286-'check-Jul25'!AK286)</f>
        <v/>
      </c>
      <c r="AL286" t="str">
        <f>IF('1. Live'!AL286='check-Jul25'!AL286,"",'1. Live'!AL286-'check-Jul25'!AL286)</f>
        <v/>
      </c>
      <c r="AM286" t="str">
        <f>IF('1. Live'!AM286='check-Jul25'!AM286,"",'1. Live'!AM286-'check-Jul25'!AM286)</f>
        <v/>
      </c>
      <c r="AN286" t="str">
        <f>IF('1. Live'!AN286='check-Jul25'!AN286,"",'1. Live'!AN286-'check-Jul25'!AN286)</f>
        <v/>
      </c>
      <c r="AO286" t="str">
        <f>IF('1. Live'!AO286='check-Jul25'!AO286,"",'1. Live'!AO286-'check-Jul25'!AO286)</f>
        <v/>
      </c>
      <c r="AP286" t="str">
        <f>IF('1. Live'!AP286='check-Jul25'!AP286,"",'1. Live'!AP286-'check-Jul25'!AP286)</f>
        <v/>
      </c>
      <c r="AQ286" t="str">
        <f>IF('1. Live'!AQ286='check-Jul25'!AQ286,"",'1. Live'!AQ286-'check-Jul25'!AQ286)</f>
        <v/>
      </c>
      <c r="AR286" t="str">
        <f>IF('1. Live'!AR286='check-Jul25'!AR286,"",'1. Live'!AR286-'check-Jul25'!AR286)</f>
        <v/>
      </c>
      <c r="AS286" t="str">
        <f>IF('1. Live'!AS286='check-Jul25'!AS286,"",'1. Live'!AS286-'check-Jul25'!AS286)</f>
        <v/>
      </c>
      <c r="AT286" t="str">
        <f>IF('1. Live'!AT286='check-Jul25'!AT286,"",'1. Live'!AT286-'check-Jul25'!AT286)</f>
        <v/>
      </c>
      <c r="AU286" t="str">
        <f>IF('1. Live'!AU286='check-Jul25'!AU286,"",'1. Live'!AU286-'check-Jul25'!AU286)</f>
        <v/>
      </c>
      <c r="AV286" t="str">
        <f>IF('1. Live'!AV286='check-Jul25'!AV286,"",'1. Live'!AV286-'check-Jul25'!AV286)</f>
        <v/>
      </c>
      <c r="AW286" t="str">
        <f>IF('1. Live'!AW286='check-Jul25'!AW286,"",'1. Live'!AW286-'check-Jul25'!AW286)</f>
        <v/>
      </c>
      <c r="AX286" t="str">
        <f>IF('1. Live'!AX286='check-Jul25'!AX286,"",'1. Live'!AX286-'check-Jul25'!AX286)</f>
        <v/>
      </c>
      <c r="AY286" t="str">
        <f>IF('1. Live'!AY286='check-Jul25'!AY286,"",'1. Live'!AY286-'check-Jul25'!AY286)</f>
        <v/>
      </c>
      <c r="AZ286" t="str">
        <f>IF('1. Live'!AZ286='check-Jul25'!AZ286,"",'1. Live'!AZ286-'check-Jul25'!AZ286)</f>
        <v/>
      </c>
      <c r="BA286" t="str">
        <f>IF('1. Live'!BA286='check-Jul25'!BA286,"",'1. Live'!BA286-'check-Jul25'!BA286)</f>
        <v/>
      </c>
      <c r="BB286" t="str">
        <f>IF('1. Live'!BB286='check-Jul25'!BB286,"",'1. Live'!BB286-'check-Jul25'!BB286)</f>
        <v/>
      </c>
      <c r="BC286" t="str">
        <f>IF('1. Live'!BC286='check-Jul25'!BC286,"",'1. Live'!BC286-'check-Jul25'!BC286)</f>
        <v/>
      </c>
      <c r="BD286" t="str">
        <f>IF('1. Live'!BD286='check-Jul25'!BD286,"",'1. Live'!BD286-'check-Jul25'!BD286)</f>
        <v/>
      </c>
      <c r="BE286" t="str">
        <f>IF('1. Live'!BE286='check-Jul25'!BE286,"",'1. Live'!BE286-'check-Jul25'!BE286)</f>
        <v/>
      </c>
      <c r="BF286" t="str">
        <f>IF('1. Live'!BF286='check-Jul25'!BF286,"",'1. Live'!BF286-'check-Jul25'!BF286)</f>
        <v/>
      </c>
      <c r="BG286" t="str">
        <f>IF('1. Live'!BG286='check-Jul25'!BG286,"",'1. Live'!BG286-'check-Jul25'!BG286)</f>
        <v/>
      </c>
      <c r="BH286" t="str">
        <f>IF('1. Live'!BH286='check-Jul25'!BH286,"",'1. Live'!BH286-'check-Jul25'!BH286)</f>
        <v/>
      </c>
      <c r="BI286" t="str">
        <f>IF('1. Live'!BI286='check-Jul25'!BI286,"",'1. Live'!BI286-'check-Jul25'!BI286)</f>
        <v/>
      </c>
      <c r="BJ286" t="str">
        <f>IF('1. Live'!BJ286='check-Jul25'!BJ286,"",'1. Live'!BJ286-'check-Jul25'!BJ286)</f>
        <v/>
      </c>
      <c r="BK286" t="str">
        <f>IF('1. Live'!BK286='check-Jul25'!BK286,"",'1. Live'!BK286-'check-Jul25'!BK286)</f>
        <v/>
      </c>
      <c r="BL286" t="str">
        <f>IF('1. Live'!BL286='check-Jul25'!BL286,"",'1. Live'!BL286-'check-Jul25'!BL286)</f>
        <v/>
      </c>
      <c r="BM286" t="str">
        <f>IF('1. Live'!BM286='check-Jul25'!BM286,"",'1. Live'!BM286-'check-Jul25'!BM286)</f>
        <v/>
      </c>
      <c r="BN286" t="str">
        <f>IF('1. Live'!BN286='check-Jul25'!BN286,"",'1. Live'!BN286-'check-Jul25'!BN286)</f>
        <v/>
      </c>
      <c r="BO286" t="str">
        <f>IF('1. Live'!BO286='check-Jul25'!BO286,"",'1. Live'!BO286-'check-Jul25'!BO286)</f>
        <v/>
      </c>
      <c r="BP286" t="str">
        <f>IF('1. Live'!BP286='check-Jul25'!BP286,"",'1. Live'!BP286-'check-Jul25'!BP286)</f>
        <v/>
      </c>
      <c r="BQ286" t="str">
        <f>IF('1. Live'!BQ286='check-Jul25'!BQ286,"",'1. Live'!BQ286-'check-Jul25'!BQ286)</f>
        <v/>
      </c>
      <c r="BR286" t="str">
        <f>IF('1. Live'!BR286='check-Jul25'!BR286,"",'1. Live'!BR286-'check-Jul25'!BR286)</f>
        <v/>
      </c>
      <c r="BS286" t="str">
        <f>IF('1. Live'!BS286='check-Jul25'!BS286,"",'1. Live'!BS286-'check-Jul25'!BS286)</f>
        <v/>
      </c>
      <c r="BT286" t="str">
        <f>IF('1. Live'!BT286='check-Jul25'!BT286,"",'1. Live'!BT286-'check-Jul25'!BT286)</f>
        <v/>
      </c>
      <c r="BU286" t="str">
        <f>IF('1. Live'!BU286='check-Jul25'!BU286,"",'1. Live'!BU286-'check-Jul25'!BU286)</f>
        <v/>
      </c>
      <c r="BV286" t="str">
        <f>IF('1. Live'!BV286='check-Jul25'!BV286,"",'1. Live'!BV286-'check-Jul25'!BV286)</f>
        <v/>
      </c>
      <c r="BW286" t="str">
        <f>IF('1. Live'!BW286='check-Jul25'!BW286,"",'1. Live'!BW286-'check-Jul25'!BW286)</f>
        <v/>
      </c>
      <c r="BX286" t="str">
        <f>IF('1. Live'!BX286='check-Jul25'!BX286,"",'1. Live'!BX286-'check-Jul25'!BX286)</f>
        <v/>
      </c>
      <c r="BY286" t="str">
        <f>IF('1. Live'!BY286='check-Jul25'!BY286,"",'1. Live'!BY286-'check-Jul25'!BY286)</f>
        <v/>
      </c>
      <c r="BZ286" t="str">
        <f>IF('1. Live'!BZ286='check-Jul25'!BZ286,"",'1. Live'!BZ286-'check-Jul25'!BZ286)</f>
        <v/>
      </c>
      <c r="CA286" t="str">
        <f>IF('1. Live'!CA286='check-Jul25'!CA286,"",'1. Live'!CA286-'check-Jul25'!CA286)</f>
        <v/>
      </c>
      <c r="CB286" t="str">
        <f>IF('1. Live'!CB286='check-Jul25'!CB286,"",'1. Live'!CB286-'check-Jul25'!CB286)</f>
        <v/>
      </c>
      <c r="CC286" t="str">
        <f>IF('1. Live'!CC286='check-Jul25'!CC286,"",'1. Live'!CC286-'check-Jul25'!CC286)</f>
        <v/>
      </c>
      <c r="CD286" t="str">
        <f>IF('1. Live'!CD286='check-Jul25'!CD286,"",'1. Live'!CD286-'check-Jul25'!CD286)</f>
        <v/>
      </c>
      <c r="CE286" t="str">
        <f>IF('1. Live'!CE286='check-Jul25'!CE286,"",'1. Live'!CE286-'check-Jul25'!CE286)</f>
        <v/>
      </c>
      <c r="CF286" t="str">
        <f>IF('1. Live'!CF286='check-Jul25'!CF286,"",'1. Live'!CF286-'check-Jul25'!CF286)</f>
        <v/>
      </c>
      <c r="CG286" t="str">
        <f>IF('1. Live'!CG286='check-Jul25'!CG286,"",'1. Live'!CG286-'check-Jul25'!CG286)</f>
        <v/>
      </c>
      <c r="CH286" t="str">
        <f>IF('1. Live'!CH286='check-Jul25'!CH286,"",'1. Live'!CH286-'check-Jul25'!CH286)</f>
        <v/>
      </c>
      <c r="CI286" t="str">
        <f>IF('1. Live'!CI286='check-Jul25'!CI286,"",'1. Live'!CI286-'check-Jul25'!CI286)</f>
        <v/>
      </c>
      <c r="CJ286" t="str">
        <f>IF('1. Live'!CJ286='check-Jul25'!CJ286,"",'1. Live'!CJ286-'check-Jul25'!CJ286)</f>
        <v/>
      </c>
      <c r="CK286" t="str">
        <f>IF('1. Live'!CK286='check-Jul25'!CK286,"",'1. Live'!CK286-'check-Jul25'!CK286)</f>
        <v/>
      </c>
      <c r="CL286" t="str">
        <f>IF('1. Live'!CL286='check-Jul25'!CL286,"",'1. Live'!CL286-'check-Jul25'!CL286)</f>
        <v/>
      </c>
      <c r="CM286" t="str">
        <f>IF('1. Live'!CM286='check-Jul25'!CM286,"",'1. Live'!CM286-'check-Jul25'!CM286)</f>
        <v/>
      </c>
      <c r="CN286" t="str">
        <f>IF('1. Live'!CN286='check-Jul25'!CN286,"",'1. Live'!CN286-'check-Jul25'!CN286)</f>
        <v/>
      </c>
      <c r="CO286" t="str">
        <f>IF('1. Live'!CO286='check-Jul25'!CO286,"",'1. Live'!CO286-'check-Jul25'!CO286)</f>
        <v/>
      </c>
      <c r="CP286" t="str">
        <f>IF('1. Live'!CP286='check-Jul25'!CP286,"",'1. Live'!CP286-'check-Jul25'!CP286)</f>
        <v/>
      </c>
      <c r="CQ286" t="str">
        <f>IF('1. Live'!CQ286='check-Jul25'!CQ286,"",'1. Live'!CQ286-'check-Jul25'!CQ286)</f>
        <v/>
      </c>
      <c r="CR286" t="str">
        <f>IF('1. Live'!CR286='check-Jul25'!CR286,"",'1. Live'!CR286-'check-Jul25'!CR286)</f>
        <v/>
      </c>
      <c r="CS286" t="str">
        <f>IF('1. Live'!CS286='check-Jul25'!CS286,"",'1. Live'!CS286-'check-Jul25'!CS286)</f>
        <v/>
      </c>
      <c r="CT286" t="str">
        <f>IF('1. Live'!CT286='check-Jul25'!CT286,"",'1. Live'!CT286-'check-Jul25'!CT286)</f>
        <v/>
      </c>
      <c r="CU286" t="str">
        <f>IF('1. Live'!CU286='check-Jul25'!CU286,"",'1. Live'!CU286-'check-Jul25'!CU286)</f>
        <v/>
      </c>
      <c r="CV286" t="str">
        <f>IF('1. Live'!CV286='check-Jul25'!CV286,"",'1. Live'!CV286-'check-Jul25'!CV286)</f>
        <v/>
      </c>
      <c r="CW286" t="str">
        <f>IF('1. Live'!CW286='check-Jul25'!CW286,"",'1. Live'!CW286-'check-Jul25'!CW286)</f>
        <v/>
      </c>
    </row>
    <row r="287" spans="10:101">
      <c r="J287" t="str">
        <f>IF('1. Live'!J287='check-Jul25'!J287,"",'1. Live'!J287-'check-Jul25'!J287)</f>
        <v/>
      </c>
      <c r="K287" t="str">
        <f>IF('1. Live'!K287='check-Jul25'!K287,"",'1. Live'!K287-'check-Jul25'!K287)</f>
        <v/>
      </c>
      <c r="L287" t="str">
        <f>IF('1. Live'!L287='check-Jul25'!L287,"",'1. Live'!L287-'check-Jul25'!L287)</f>
        <v/>
      </c>
      <c r="M287" t="str">
        <f>IF('1. Live'!M287='check-Jul25'!M287,"",'1. Live'!M287-'check-Jul25'!M287)</f>
        <v/>
      </c>
      <c r="N287" t="str">
        <f>IF('1. Live'!N287='check-Jul25'!N287,"",'1. Live'!N287-'check-Jul25'!N287)</f>
        <v/>
      </c>
      <c r="O287" t="str">
        <f>IF('1. Live'!O287='check-Jul25'!O287,"",'1. Live'!O287-'check-Jul25'!O287)</f>
        <v/>
      </c>
      <c r="P287" t="str">
        <f>IF('1. Live'!P287='check-Jul25'!P287,"",'1. Live'!P287-'check-Jul25'!P287)</f>
        <v/>
      </c>
      <c r="Q287" t="str">
        <f>IF('1. Live'!Q287='check-Jul25'!Q287,"",'1. Live'!Q287-'check-Jul25'!Q287)</f>
        <v/>
      </c>
      <c r="R287" t="str">
        <f>IF('1. Live'!R287='check-Jul25'!R287,"",'1. Live'!R287-'check-Jul25'!R287)</f>
        <v/>
      </c>
      <c r="S287" t="str">
        <f>IF('1. Live'!S287='check-Jul25'!S287,"",'1. Live'!S287-'check-Jul25'!S287)</f>
        <v/>
      </c>
      <c r="T287" t="str">
        <f>IF('1. Live'!T287='check-Jul25'!T287,"",'1. Live'!T287-'check-Jul25'!T287)</f>
        <v/>
      </c>
      <c r="U287" t="str">
        <f>IF('1. Live'!U287='check-Jul25'!U287,"",'1. Live'!U287-'check-Jul25'!U287)</f>
        <v/>
      </c>
      <c r="V287" t="str">
        <f>IF('1. Live'!V287='check-Jul25'!V287,"",'1. Live'!V287-'check-Jul25'!V287)</f>
        <v/>
      </c>
      <c r="W287" t="str">
        <f>IF('1. Live'!W287='check-Jul25'!W287,"",'1. Live'!W287-'check-Jul25'!W287)</f>
        <v/>
      </c>
      <c r="X287" t="str">
        <f>IF('1. Live'!X287='check-Jul25'!X287,"",'1. Live'!X287-'check-Jul25'!X287)</f>
        <v/>
      </c>
      <c r="Y287" t="str">
        <f>IF('1. Live'!Y287='check-Jul25'!Y287,"",'1. Live'!Y287-'check-Jul25'!Y287)</f>
        <v/>
      </c>
      <c r="Z287" t="str">
        <f>IF('1. Live'!Z287='check-Jul25'!Z287,"",'1. Live'!Z287-'check-Jul25'!Z287)</f>
        <v/>
      </c>
      <c r="AA287" t="str">
        <f>IF('1. Live'!AA287='check-Jul25'!AA287,"",'1. Live'!AA287-'check-Jul25'!AA287)</f>
        <v/>
      </c>
      <c r="AB287" t="str">
        <f>IF('1. Live'!AB287='check-Jul25'!AB287,"",'1. Live'!AB287-'check-Jul25'!AB287)</f>
        <v/>
      </c>
      <c r="AC287" t="str">
        <f>IF('1. Live'!AC287='check-Jul25'!AC287,"",'1. Live'!AC287-'check-Jul25'!AC287)</f>
        <v/>
      </c>
      <c r="AD287" t="str">
        <f>IF('1. Live'!AD287='check-Jul25'!AD287,"",'1. Live'!AD287-'check-Jul25'!AD287)</f>
        <v/>
      </c>
      <c r="AE287" t="str">
        <f>IF('1. Live'!AE287='check-Jul25'!AE287,"",'1. Live'!AE287-'check-Jul25'!AE287)</f>
        <v/>
      </c>
      <c r="AF287" t="str">
        <f>IF('1. Live'!AF287='check-Jul25'!AF287,"",'1. Live'!AF287-'check-Jul25'!AF287)</f>
        <v/>
      </c>
      <c r="AG287" t="str">
        <f>IF('1. Live'!AG287='check-Jul25'!AG287,"",'1. Live'!AG287-'check-Jul25'!AG287)</f>
        <v/>
      </c>
      <c r="AH287" t="str">
        <f>IF('1. Live'!AH287='check-Jul25'!AH287,"",'1. Live'!AH287-'check-Jul25'!AH287)</f>
        <v/>
      </c>
      <c r="AI287" t="str">
        <f>IF('1. Live'!AI287='check-Jul25'!AI287,"",'1. Live'!AI287-'check-Jul25'!AI287)</f>
        <v/>
      </c>
      <c r="AJ287" t="str">
        <f>IF('1. Live'!AJ287='check-Jul25'!AJ287,"",'1. Live'!AJ287-'check-Jul25'!AJ287)</f>
        <v/>
      </c>
      <c r="AK287" t="str">
        <f>IF('1. Live'!AK287='check-Jul25'!AK287,"",'1. Live'!AK287-'check-Jul25'!AK287)</f>
        <v/>
      </c>
      <c r="AL287" t="str">
        <f>IF('1. Live'!AL287='check-Jul25'!AL287,"",'1. Live'!AL287-'check-Jul25'!AL287)</f>
        <v/>
      </c>
      <c r="AM287" t="str">
        <f>IF('1. Live'!AM287='check-Jul25'!AM287,"",'1. Live'!AM287-'check-Jul25'!AM287)</f>
        <v/>
      </c>
      <c r="AN287" t="str">
        <f>IF('1. Live'!AN287='check-Jul25'!AN287,"",'1. Live'!AN287-'check-Jul25'!AN287)</f>
        <v/>
      </c>
      <c r="AO287" t="str">
        <f>IF('1. Live'!AO287='check-Jul25'!AO287,"",'1. Live'!AO287-'check-Jul25'!AO287)</f>
        <v/>
      </c>
      <c r="AP287" t="str">
        <f>IF('1. Live'!AP287='check-Jul25'!AP287,"",'1. Live'!AP287-'check-Jul25'!AP287)</f>
        <v/>
      </c>
      <c r="AQ287" t="str">
        <f>IF('1. Live'!AQ287='check-Jul25'!AQ287,"",'1. Live'!AQ287-'check-Jul25'!AQ287)</f>
        <v/>
      </c>
      <c r="AR287" t="str">
        <f>IF('1. Live'!AR287='check-Jul25'!AR287,"",'1. Live'!AR287-'check-Jul25'!AR287)</f>
        <v/>
      </c>
      <c r="AS287" t="str">
        <f>IF('1. Live'!AS287='check-Jul25'!AS287,"",'1. Live'!AS287-'check-Jul25'!AS287)</f>
        <v/>
      </c>
      <c r="AT287" t="str">
        <f>IF('1. Live'!AT287='check-Jul25'!AT287,"",'1. Live'!AT287-'check-Jul25'!AT287)</f>
        <v/>
      </c>
      <c r="AU287" t="str">
        <f>IF('1. Live'!AU287='check-Jul25'!AU287,"",'1. Live'!AU287-'check-Jul25'!AU287)</f>
        <v/>
      </c>
      <c r="AV287" t="str">
        <f>IF('1. Live'!AV287='check-Jul25'!AV287,"",'1. Live'!AV287-'check-Jul25'!AV287)</f>
        <v/>
      </c>
      <c r="AW287" t="str">
        <f>IF('1. Live'!AW287='check-Jul25'!AW287,"",'1. Live'!AW287-'check-Jul25'!AW287)</f>
        <v/>
      </c>
      <c r="AX287" t="str">
        <f>IF('1. Live'!AX287='check-Jul25'!AX287,"",'1. Live'!AX287-'check-Jul25'!AX287)</f>
        <v/>
      </c>
      <c r="AY287" t="str">
        <f>IF('1. Live'!AY287='check-Jul25'!AY287,"",'1. Live'!AY287-'check-Jul25'!AY287)</f>
        <v/>
      </c>
      <c r="AZ287" t="str">
        <f>IF('1. Live'!AZ287='check-Jul25'!AZ287,"",'1. Live'!AZ287-'check-Jul25'!AZ287)</f>
        <v/>
      </c>
      <c r="BA287" t="str">
        <f>IF('1. Live'!BA287='check-Jul25'!BA287,"",'1. Live'!BA287-'check-Jul25'!BA287)</f>
        <v/>
      </c>
      <c r="BB287" t="str">
        <f>IF('1. Live'!BB287='check-Jul25'!BB287,"",'1. Live'!BB287-'check-Jul25'!BB287)</f>
        <v/>
      </c>
      <c r="BC287" t="str">
        <f>IF('1. Live'!BC287='check-Jul25'!BC287,"",'1. Live'!BC287-'check-Jul25'!BC287)</f>
        <v/>
      </c>
      <c r="BD287" t="str">
        <f>IF('1. Live'!BD287='check-Jul25'!BD287,"",'1. Live'!BD287-'check-Jul25'!BD287)</f>
        <v/>
      </c>
      <c r="BE287" t="str">
        <f>IF('1. Live'!BE287='check-Jul25'!BE287,"",'1. Live'!BE287-'check-Jul25'!BE287)</f>
        <v/>
      </c>
      <c r="BF287" t="str">
        <f>IF('1. Live'!BF287='check-Jul25'!BF287,"",'1. Live'!BF287-'check-Jul25'!BF287)</f>
        <v/>
      </c>
      <c r="BG287" t="str">
        <f>IF('1. Live'!BG287='check-Jul25'!BG287,"",'1. Live'!BG287-'check-Jul25'!BG287)</f>
        <v/>
      </c>
      <c r="BH287" t="str">
        <f>IF('1. Live'!BH287='check-Jul25'!BH287,"",'1. Live'!BH287-'check-Jul25'!BH287)</f>
        <v/>
      </c>
      <c r="BI287" t="str">
        <f>IF('1. Live'!BI287='check-Jul25'!BI287,"",'1. Live'!BI287-'check-Jul25'!BI287)</f>
        <v/>
      </c>
      <c r="BJ287" t="str">
        <f>IF('1. Live'!BJ287='check-Jul25'!BJ287,"",'1. Live'!BJ287-'check-Jul25'!BJ287)</f>
        <v/>
      </c>
      <c r="BK287" t="str">
        <f>IF('1. Live'!BK287='check-Jul25'!BK287,"",'1. Live'!BK287-'check-Jul25'!BK287)</f>
        <v/>
      </c>
      <c r="BL287" t="str">
        <f>IF('1. Live'!BL287='check-Jul25'!BL287,"",'1. Live'!BL287-'check-Jul25'!BL287)</f>
        <v/>
      </c>
      <c r="BM287" t="str">
        <f>IF('1. Live'!BM287='check-Jul25'!BM287,"",'1. Live'!BM287-'check-Jul25'!BM287)</f>
        <v/>
      </c>
      <c r="BN287" t="str">
        <f>IF('1. Live'!BN287='check-Jul25'!BN287,"",'1. Live'!BN287-'check-Jul25'!BN287)</f>
        <v/>
      </c>
      <c r="BO287" t="str">
        <f>IF('1. Live'!BO287='check-Jul25'!BO287,"",'1. Live'!BO287-'check-Jul25'!BO287)</f>
        <v/>
      </c>
      <c r="BP287" t="str">
        <f>IF('1. Live'!BP287='check-Jul25'!BP287,"",'1. Live'!BP287-'check-Jul25'!BP287)</f>
        <v/>
      </c>
      <c r="BQ287" t="str">
        <f>IF('1. Live'!BQ287='check-Jul25'!BQ287,"",'1. Live'!BQ287-'check-Jul25'!BQ287)</f>
        <v/>
      </c>
      <c r="BR287" t="str">
        <f>IF('1. Live'!BR287='check-Jul25'!BR287,"",'1. Live'!BR287-'check-Jul25'!BR287)</f>
        <v/>
      </c>
      <c r="BS287" t="str">
        <f>IF('1. Live'!BS287='check-Jul25'!BS287,"",'1. Live'!BS287-'check-Jul25'!BS287)</f>
        <v/>
      </c>
      <c r="BT287" t="str">
        <f>IF('1. Live'!BT287='check-Jul25'!BT287,"",'1. Live'!BT287-'check-Jul25'!BT287)</f>
        <v/>
      </c>
      <c r="BU287" t="str">
        <f>IF('1. Live'!BU287='check-Jul25'!BU287,"",'1. Live'!BU287-'check-Jul25'!BU287)</f>
        <v/>
      </c>
      <c r="BV287" t="str">
        <f>IF('1. Live'!BV287='check-Jul25'!BV287,"",'1. Live'!BV287-'check-Jul25'!BV287)</f>
        <v/>
      </c>
      <c r="BW287" t="str">
        <f>IF('1. Live'!BW287='check-Jul25'!BW287,"",'1. Live'!BW287-'check-Jul25'!BW287)</f>
        <v/>
      </c>
      <c r="BX287" t="str">
        <f>IF('1. Live'!BX287='check-Jul25'!BX287,"",'1. Live'!BX287-'check-Jul25'!BX287)</f>
        <v/>
      </c>
      <c r="BY287" t="str">
        <f>IF('1. Live'!BY287='check-Jul25'!BY287,"",'1. Live'!BY287-'check-Jul25'!BY287)</f>
        <v/>
      </c>
      <c r="BZ287" t="str">
        <f>IF('1. Live'!BZ287='check-Jul25'!BZ287,"",'1. Live'!BZ287-'check-Jul25'!BZ287)</f>
        <v/>
      </c>
      <c r="CA287" t="str">
        <f>IF('1. Live'!CA287='check-Jul25'!CA287,"",'1. Live'!CA287-'check-Jul25'!CA287)</f>
        <v/>
      </c>
      <c r="CB287" t="str">
        <f>IF('1. Live'!CB287='check-Jul25'!CB287,"",'1. Live'!CB287-'check-Jul25'!CB287)</f>
        <v/>
      </c>
      <c r="CC287" t="str">
        <f>IF('1. Live'!CC287='check-Jul25'!CC287,"",'1. Live'!CC287-'check-Jul25'!CC287)</f>
        <v/>
      </c>
      <c r="CD287" t="str">
        <f>IF('1. Live'!CD287='check-Jul25'!CD287,"",'1. Live'!CD287-'check-Jul25'!CD287)</f>
        <v/>
      </c>
      <c r="CE287" t="str">
        <f>IF('1. Live'!CE287='check-Jul25'!CE287,"",'1. Live'!CE287-'check-Jul25'!CE287)</f>
        <v/>
      </c>
      <c r="CF287" t="str">
        <f>IF('1. Live'!CF287='check-Jul25'!CF287,"",'1. Live'!CF287-'check-Jul25'!CF287)</f>
        <v/>
      </c>
      <c r="CG287" t="str">
        <f>IF('1. Live'!CG287='check-Jul25'!CG287,"",'1. Live'!CG287-'check-Jul25'!CG287)</f>
        <v/>
      </c>
      <c r="CH287" t="str">
        <f>IF('1. Live'!CH287='check-Jul25'!CH287,"",'1. Live'!CH287-'check-Jul25'!CH287)</f>
        <v/>
      </c>
      <c r="CI287" t="str">
        <f>IF('1. Live'!CI287='check-Jul25'!CI287,"",'1. Live'!CI287-'check-Jul25'!CI287)</f>
        <v/>
      </c>
      <c r="CJ287" t="str">
        <f>IF('1. Live'!CJ287='check-Jul25'!CJ287,"",'1. Live'!CJ287-'check-Jul25'!CJ287)</f>
        <v/>
      </c>
      <c r="CK287" t="str">
        <f>IF('1. Live'!CK287='check-Jul25'!CK287,"",'1. Live'!CK287-'check-Jul25'!CK287)</f>
        <v/>
      </c>
      <c r="CL287" t="str">
        <f>IF('1. Live'!CL287='check-Jul25'!CL287,"",'1. Live'!CL287-'check-Jul25'!CL287)</f>
        <v/>
      </c>
      <c r="CM287" t="str">
        <f>IF('1. Live'!CM287='check-Jul25'!CM287,"",'1. Live'!CM287-'check-Jul25'!CM287)</f>
        <v/>
      </c>
      <c r="CN287" t="str">
        <f>IF('1. Live'!CN287='check-Jul25'!CN287,"",'1. Live'!CN287-'check-Jul25'!CN287)</f>
        <v/>
      </c>
      <c r="CO287" t="str">
        <f>IF('1. Live'!CO287='check-Jul25'!CO287,"",'1. Live'!CO287-'check-Jul25'!CO287)</f>
        <v/>
      </c>
      <c r="CP287" t="str">
        <f>IF('1. Live'!CP287='check-Jul25'!CP287,"",'1. Live'!CP287-'check-Jul25'!CP287)</f>
        <v/>
      </c>
      <c r="CQ287" t="str">
        <f>IF('1. Live'!CQ287='check-Jul25'!CQ287,"",'1. Live'!CQ287-'check-Jul25'!CQ287)</f>
        <v/>
      </c>
      <c r="CR287" t="str">
        <f>IF('1. Live'!CR287='check-Jul25'!CR287,"",'1. Live'!CR287-'check-Jul25'!CR287)</f>
        <v/>
      </c>
      <c r="CS287" t="str">
        <f>IF('1. Live'!CS287='check-Jul25'!CS287,"",'1. Live'!CS287-'check-Jul25'!CS287)</f>
        <v/>
      </c>
      <c r="CT287" t="str">
        <f>IF('1. Live'!CT287='check-Jul25'!CT287,"",'1. Live'!CT287-'check-Jul25'!CT287)</f>
        <v/>
      </c>
      <c r="CU287" t="str">
        <f>IF('1. Live'!CU287='check-Jul25'!CU287,"",'1. Live'!CU287-'check-Jul25'!CU287)</f>
        <v/>
      </c>
      <c r="CV287" t="str">
        <f>IF('1. Live'!CV287='check-Jul25'!CV287,"",'1. Live'!CV287-'check-Jul25'!CV287)</f>
        <v/>
      </c>
      <c r="CW287" t="str">
        <f>IF('1. Live'!CW287='check-Jul25'!CW287,"",'1. Live'!CW287-'check-Jul25'!CW287)</f>
        <v/>
      </c>
    </row>
    <row r="288" spans="10:101">
      <c r="J288" t="str">
        <f>IF('1. Live'!J288='check-Jul25'!J288,"",'1. Live'!J288-'check-Jul25'!J288)</f>
        <v/>
      </c>
      <c r="K288" t="str">
        <f>IF('1. Live'!K288='check-Jul25'!K288,"",'1. Live'!K288-'check-Jul25'!K288)</f>
        <v/>
      </c>
      <c r="L288" t="str">
        <f>IF('1. Live'!L288='check-Jul25'!L288,"",'1. Live'!L288-'check-Jul25'!L288)</f>
        <v/>
      </c>
      <c r="M288" t="str">
        <f>IF('1. Live'!M288='check-Jul25'!M288,"",'1. Live'!M288-'check-Jul25'!M288)</f>
        <v/>
      </c>
      <c r="N288" t="str">
        <f>IF('1. Live'!N288='check-Jul25'!N288,"",'1. Live'!N288-'check-Jul25'!N288)</f>
        <v/>
      </c>
      <c r="O288" t="str">
        <f>IF('1. Live'!O288='check-Jul25'!O288,"",'1. Live'!O288-'check-Jul25'!O288)</f>
        <v/>
      </c>
      <c r="P288" t="str">
        <f>IF('1. Live'!P288='check-Jul25'!P288,"",'1. Live'!P288-'check-Jul25'!P288)</f>
        <v/>
      </c>
      <c r="Q288" t="str">
        <f>IF('1. Live'!Q288='check-Jul25'!Q288,"",'1. Live'!Q288-'check-Jul25'!Q288)</f>
        <v/>
      </c>
      <c r="R288" t="str">
        <f>IF('1. Live'!R288='check-Jul25'!R288,"",'1. Live'!R288-'check-Jul25'!R288)</f>
        <v/>
      </c>
      <c r="S288" t="str">
        <f>IF('1. Live'!S288='check-Jul25'!S288,"",'1. Live'!S288-'check-Jul25'!S288)</f>
        <v/>
      </c>
      <c r="T288" t="str">
        <f>IF('1. Live'!T288='check-Jul25'!T288,"",'1. Live'!T288-'check-Jul25'!T288)</f>
        <v/>
      </c>
      <c r="U288" t="str">
        <f>IF('1. Live'!U288='check-Jul25'!U288,"",'1. Live'!U288-'check-Jul25'!U288)</f>
        <v/>
      </c>
      <c r="V288" t="str">
        <f>IF('1. Live'!V288='check-Jul25'!V288,"",'1. Live'!V288-'check-Jul25'!V288)</f>
        <v/>
      </c>
      <c r="W288" t="str">
        <f>IF('1. Live'!W288='check-Jul25'!W288,"",'1. Live'!W288-'check-Jul25'!W288)</f>
        <v/>
      </c>
      <c r="X288" t="str">
        <f>IF('1. Live'!X288='check-Jul25'!X288,"",'1. Live'!X288-'check-Jul25'!X288)</f>
        <v/>
      </c>
      <c r="Y288" t="str">
        <f>IF('1. Live'!Y288='check-Jul25'!Y288,"",'1. Live'!Y288-'check-Jul25'!Y288)</f>
        <v/>
      </c>
      <c r="Z288" t="str">
        <f>IF('1. Live'!Z288='check-Jul25'!Z288,"",'1. Live'!Z288-'check-Jul25'!Z288)</f>
        <v/>
      </c>
      <c r="AA288" t="str">
        <f>IF('1. Live'!AA288='check-Jul25'!AA288,"",'1. Live'!AA288-'check-Jul25'!AA288)</f>
        <v/>
      </c>
      <c r="AB288" t="str">
        <f>IF('1. Live'!AB288='check-Jul25'!AB288,"",'1. Live'!AB288-'check-Jul25'!AB288)</f>
        <v/>
      </c>
      <c r="AC288" t="str">
        <f>IF('1. Live'!AC288='check-Jul25'!AC288,"",'1. Live'!AC288-'check-Jul25'!AC288)</f>
        <v/>
      </c>
      <c r="AD288" t="str">
        <f>IF('1. Live'!AD288='check-Jul25'!AD288,"",'1. Live'!AD288-'check-Jul25'!AD288)</f>
        <v/>
      </c>
      <c r="AE288" t="str">
        <f>IF('1. Live'!AE288='check-Jul25'!AE288,"",'1. Live'!AE288-'check-Jul25'!AE288)</f>
        <v/>
      </c>
      <c r="AF288" t="str">
        <f>IF('1. Live'!AF288='check-Jul25'!AF288,"",'1. Live'!AF288-'check-Jul25'!AF288)</f>
        <v/>
      </c>
      <c r="AG288" t="str">
        <f>IF('1. Live'!AG288='check-Jul25'!AG288,"",'1. Live'!AG288-'check-Jul25'!AG288)</f>
        <v/>
      </c>
      <c r="AH288" t="str">
        <f>IF('1. Live'!AH288='check-Jul25'!AH288,"",'1. Live'!AH288-'check-Jul25'!AH288)</f>
        <v/>
      </c>
      <c r="AI288" t="str">
        <f>IF('1. Live'!AI288='check-Jul25'!AI288,"",'1. Live'!AI288-'check-Jul25'!AI288)</f>
        <v/>
      </c>
      <c r="AJ288" t="str">
        <f>IF('1. Live'!AJ288='check-Jul25'!AJ288,"",'1. Live'!AJ288-'check-Jul25'!AJ288)</f>
        <v/>
      </c>
      <c r="AK288" t="str">
        <f>IF('1. Live'!AK288='check-Jul25'!AK288,"",'1. Live'!AK288-'check-Jul25'!AK288)</f>
        <v/>
      </c>
      <c r="AL288" t="str">
        <f>IF('1. Live'!AL288='check-Jul25'!AL288,"",'1. Live'!AL288-'check-Jul25'!AL288)</f>
        <v/>
      </c>
      <c r="AM288" t="str">
        <f>IF('1. Live'!AM288='check-Jul25'!AM288,"",'1. Live'!AM288-'check-Jul25'!AM288)</f>
        <v/>
      </c>
      <c r="AN288" t="str">
        <f>IF('1. Live'!AN288='check-Jul25'!AN288,"",'1. Live'!AN288-'check-Jul25'!AN288)</f>
        <v/>
      </c>
      <c r="AO288" t="str">
        <f>IF('1. Live'!AO288='check-Jul25'!AO288,"",'1. Live'!AO288-'check-Jul25'!AO288)</f>
        <v/>
      </c>
      <c r="AP288" t="str">
        <f>IF('1. Live'!AP288='check-Jul25'!AP288,"",'1. Live'!AP288-'check-Jul25'!AP288)</f>
        <v/>
      </c>
      <c r="AQ288" t="str">
        <f>IF('1. Live'!AQ288='check-Jul25'!AQ288,"",'1. Live'!AQ288-'check-Jul25'!AQ288)</f>
        <v/>
      </c>
      <c r="AR288" t="str">
        <f>IF('1. Live'!AR288='check-Jul25'!AR288,"",'1. Live'!AR288-'check-Jul25'!AR288)</f>
        <v/>
      </c>
      <c r="AS288" t="str">
        <f>IF('1. Live'!AS288='check-Jul25'!AS288,"",'1. Live'!AS288-'check-Jul25'!AS288)</f>
        <v/>
      </c>
      <c r="AT288" t="str">
        <f>IF('1. Live'!AT288='check-Jul25'!AT288,"",'1. Live'!AT288-'check-Jul25'!AT288)</f>
        <v/>
      </c>
      <c r="AU288" t="str">
        <f>IF('1. Live'!AU288='check-Jul25'!AU288,"",'1. Live'!AU288-'check-Jul25'!AU288)</f>
        <v/>
      </c>
      <c r="AV288" t="str">
        <f>IF('1. Live'!AV288='check-Jul25'!AV288,"",'1. Live'!AV288-'check-Jul25'!AV288)</f>
        <v/>
      </c>
      <c r="AW288" t="str">
        <f>IF('1. Live'!AW288='check-Jul25'!AW288,"",'1. Live'!AW288-'check-Jul25'!AW288)</f>
        <v/>
      </c>
      <c r="AX288" t="str">
        <f>IF('1. Live'!AX288='check-Jul25'!AX288,"",'1. Live'!AX288-'check-Jul25'!AX288)</f>
        <v/>
      </c>
      <c r="AY288" t="str">
        <f>IF('1. Live'!AY288='check-Jul25'!AY288,"",'1. Live'!AY288-'check-Jul25'!AY288)</f>
        <v/>
      </c>
      <c r="AZ288" t="str">
        <f>IF('1. Live'!AZ288='check-Jul25'!AZ288,"",'1. Live'!AZ288-'check-Jul25'!AZ288)</f>
        <v/>
      </c>
      <c r="BA288" t="str">
        <f>IF('1. Live'!BA288='check-Jul25'!BA288,"",'1. Live'!BA288-'check-Jul25'!BA288)</f>
        <v/>
      </c>
      <c r="BB288" t="str">
        <f>IF('1. Live'!BB288='check-Jul25'!BB288,"",'1. Live'!BB288-'check-Jul25'!BB288)</f>
        <v/>
      </c>
      <c r="BC288" t="str">
        <f>IF('1. Live'!BC288='check-Jul25'!BC288,"",'1. Live'!BC288-'check-Jul25'!BC288)</f>
        <v/>
      </c>
      <c r="BD288" t="str">
        <f>IF('1. Live'!BD288='check-Jul25'!BD288,"",'1. Live'!BD288-'check-Jul25'!BD288)</f>
        <v/>
      </c>
      <c r="BE288" t="str">
        <f>IF('1. Live'!BE288='check-Jul25'!BE288,"",'1. Live'!BE288-'check-Jul25'!BE288)</f>
        <v/>
      </c>
      <c r="BF288" t="str">
        <f>IF('1. Live'!BF288='check-Jul25'!BF288,"",'1. Live'!BF288-'check-Jul25'!BF288)</f>
        <v/>
      </c>
      <c r="BG288" t="str">
        <f>IF('1. Live'!BG288='check-Jul25'!BG288,"",'1. Live'!BG288-'check-Jul25'!BG288)</f>
        <v/>
      </c>
      <c r="BH288" t="str">
        <f>IF('1. Live'!BH288='check-Jul25'!BH288,"",'1. Live'!BH288-'check-Jul25'!BH288)</f>
        <v/>
      </c>
      <c r="BI288" t="str">
        <f>IF('1. Live'!BI288='check-Jul25'!BI288,"",'1. Live'!BI288-'check-Jul25'!BI288)</f>
        <v/>
      </c>
      <c r="BJ288" t="str">
        <f>IF('1. Live'!BJ288='check-Jul25'!BJ288,"",'1. Live'!BJ288-'check-Jul25'!BJ288)</f>
        <v/>
      </c>
      <c r="BK288" t="str">
        <f>IF('1. Live'!BK288='check-Jul25'!BK288,"",'1. Live'!BK288-'check-Jul25'!BK288)</f>
        <v/>
      </c>
      <c r="BL288" t="str">
        <f>IF('1. Live'!BL288='check-Jul25'!BL288,"",'1. Live'!BL288-'check-Jul25'!BL288)</f>
        <v/>
      </c>
      <c r="BM288" t="str">
        <f>IF('1. Live'!BM288='check-Jul25'!BM288,"",'1. Live'!BM288-'check-Jul25'!BM288)</f>
        <v/>
      </c>
      <c r="BN288" t="str">
        <f>IF('1. Live'!BN288='check-Jul25'!BN288,"",'1. Live'!BN288-'check-Jul25'!BN288)</f>
        <v/>
      </c>
      <c r="BO288" t="str">
        <f>IF('1. Live'!BO288='check-Jul25'!BO288,"",'1. Live'!BO288-'check-Jul25'!BO288)</f>
        <v/>
      </c>
      <c r="BP288" t="str">
        <f>IF('1. Live'!BP288='check-Jul25'!BP288,"",'1. Live'!BP288-'check-Jul25'!BP288)</f>
        <v/>
      </c>
      <c r="BQ288" t="str">
        <f>IF('1. Live'!BQ288='check-Jul25'!BQ288,"",'1. Live'!BQ288-'check-Jul25'!BQ288)</f>
        <v/>
      </c>
      <c r="BR288" t="str">
        <f>IF('1. Live'!BR288='check-Jul25'!BR288,"",'1. Live'!BR288-'check-Jul25'!BR288)</f>
        <v/>
      </c>
      <c r="BS288" t="str">
        <f>IF('1. Live'!BS288='check-Jul25'!BS288,"",'1. Live'!BS288-'check-Jul25'!BS288)</f>
        <v/>
      </c>
      <c r="BT288" t="str">
        <f>IF('1. Live'!BT288='check-Jul25'!BT288,"",'1. Live'!BT288-'check-Jul25'!BT288)</f>
        <v/>
      </c>
      <c r="BU288" t="str">
        <f>IF('1. Live'!BU288='check-Jul25'!BU288,"",'1. Live'!BU288-'check-Jul25'!BU288)</f>
        <v/>
      </c>
      <c r="BV288" t="str">
        <f>IF('1. Live'!BV288='check-Jul25'!BV288,"",'1. Live'!BV288-'check-Jul25'!BV288)</f>
        <v/>
      </c>
      <c r="BW288" t="str">
        <f>IF('1. Live'!BW288='check-Jul25'!BW288,"",'1. Live'!BW288-'check-Jul25'!BW288)</f>
        <v/>
      </c>
      <c r="BX288" t="str">
        <f>IF('1. Live'!BX288='check-Jul25'!BX288,"",'1. Live'!BX288-'check-Jul25'!BX288)</f>
        <v/>
      </c>
      <c r="BY288" t="str">
        <f>IF('1. Live'!BY288='check-Jul25'!BY288,"",'1. Live'!BY288-'check-Jul25'!BY288)</f>
        <v/>
      </c>
      <c r="BZ288" t="str">
        <f>IF('1. Live'!BZ288='check-Jul25'!BZ288,"",'1. Live'!BZ288-'check-Jul25'!BZ288)</f>
        <v/>
      </c>
      <c r="CA288" t="str">
        <f>IF('1. Live'!CA288='check-Jul25'!CA288,"",'1. Live'!CA288-'check-Jul25'!CA288)</f>
        <v/>
      </c>
      <c r="CB288" t="str">
        <f>IF('1. Live'!CB288='check-Jul25'!CB288,"",'1. Live'!CB288-'check-Jul25'!CB288)</f>
        <v/>
      </c>
      <c r="CC288" t="str">
        <f>IF('1. Live'!CC288='check-Jul25'!CC288,"",'1. Live'!CC288-'check-Jul25'!CC288)</f>
        <v/>
      </c>
      <c r="CD288" t="str">
        <f>IF('1. Live'!CD288='check-Jul25'!CD288,"",'1. Live'!CD288-'check-Jul25'!CD288)</f>
        <v/>
      </c>
      <c r="CE288" t="str">
        <f>IF('1. Live'!CE288='check-Jul25'!CE288,"",'1. Live'!CE288-'check-Jul25'!CE288)</f>
        <v/>
      </c>
      <c r="CF288" t="str">
        <f>IF('1. Live'!CF288='check-Jul25'!CF288,"",'1. Live'!CF288-'check-Jul25'!CF288)</f>
        <v/>
      </c>
      <c r="CG288" t="str">
        <f>IF('1. Live'!CG288='check-Jul25'!CG288,"",'1. Live'!CG288-'check-Jul25'!CG288)</f>
        <v/>
      </c>
      <c r="CH288" t="str">
        <f>IF('1. Live'!CH288='check-Jul25'!CH288,"",'1. Live'!CH288-'check-Jul25'!CH288)</f>
        <v/>
      </c>
      <c r="CI288" t="str">
        <f>IF('1. Live'!CI288='check-Jul25'!CI288,"",'1. Live'!CI288-'check-Jul25'!CI288)</f>
        <v/>
      </c>
      <c r="CJ288" t="str">
        <f>IF('1. Live'!CJ288='check-Jul25'!CJ288,"",'1. Live'!CJ288-'check-Jul25'!CJ288)</f>
        <v/>
      </c>
      <c r="CK288" t="str">
        <f>IF('1. Live'!CK288='check-Jul25'!CK288,"",'1. Live'!CK288-'check-Jul25'!CK288)</f>
        <v/>
      </c>
      <c r="CL288" t="str">
        <f>IF('1. Live'!CL288='check-Jul25'!CL288,"",'1. Live'!CL288-'check-Jul25'!CL288)</f>
        <v/>
      </c>
      <c r="CM288" t="str">
        <f>IF('1. Live'!CM288='check-Jul25'!CM288,"",'1. Live'!CM288-'check-Jul25'!CM288)</f>
        <v/>
      </c>
      <c r="CN288" t="str">
        <f>IF('1. Live'!CN288='check-Jul25'!CN288,"",'1. Live'!CN288-'check-Jul25'!CN288)</f>
        <v/>
      </c>
      <c r="CO288" t="str">
        <f>IF('1. Live'!CO288='check-Jul25'!CO288,"",'1. Live'!CO288-'check-Jul25'!CO288)</f>
        <v/>
      </c>
      <c r="CP288" t="str">
        <f>IF('1. Live'!CP288='check-Jul25'!CP288,"",'1. Live'!CP288-'check-Jul25'!CP288)</f>
        <v/>
      </c>
      <c r="CQ288" t="str">
        <f>IF('1. Live'!CQ288='check-Jul25'!CQ288,"",'1. Live'!CQ288-'check-Jul25'!CQ288)</f>
        <v/>
      </c>
      <c r="CR288" t="str">
        <f>IF('1. Live'!CR288='check-Jul25'!CR288,"",'1. Live'!CR288-'check-Jul25'!CR288)</f>
        <v/>
      </c>
      <c r="CS288" t="str">
        <f>IF('1. Live'!CS288='check-Jul25'!CS288,"",'1. Live'!CS288-'check-Jul25'!CS288)</f>
        <v/>
      </c>
      <c r="CT288" t="str">
        <f>IF('1. Live'!CT288='check-Jul25'!CT288,"",'1. Live'!CT288-'check-Jul25'!CT288)</f>
        <v/>
      </c>
      <c r="CU288" t="str">
        <f>IF('1. Live'!CU288='check-Jul25'!CU288,"",'1. Live'!CU288-'check-Jul25'!CU288)</f>
        <v/>
      </c>
      <c r="CV288" t="str">
        <f>IF('1. Live'!CV288='check-Jul25'!CV288,"",'1. Live'!CV288-'check-Jul25'!CV288)</f>
        <v/>
      </c>
      <c r="CW288" t="str">
        <f>IF('1. Live'!CW288='check-Jul25'!CW288,"",'1. Live'!CW288-'check-Jul25'!CW288)</f>
        <v/>
      </c>
    </row>
    <row r="289" spans="10:101">
      <c r="J289" t="str">
        <f>IF('1. Live'!J289='check-Jul25'!J289,"",'1. Live'!J289-'check-Jul25'!J289)</f>
        <v/>
      </c>
      <c r="K289" t="str">
        <f>IF('1. Live'!K289='check-Jul25'!K289,"",'1. Live'!K289-'check-Jul25'!K289)</f>
        <v/>
      </c>
      <c r="L289" t="str">
        <f>IF('1. Live'!L289='check-Jul25'!L289,"",'1. Live'!L289-'check-Jul25'!L289)</f>
        <v/>
      </c>
      <c r="M289" t="str">
        <f>IF('1. Live'!M289='check-Jul25'!M289,"",'1. Live'!M289-'check-Jul25'!M289)</f>
        <v/>
      </c>
      <c r="N289" t="str">
        <f>IF('1. Live'!N289='check-Jul25'!N289,"",'1. Live'!N289-'check-Jul25'!N289)</f>
        <v/>
      </c>
      <c r="O289" t="str">
        <f>IF('1. Live'!O289='check-Jul25'!O289,"",'1. Live'!O289-'check-Jul25'!O289)</f>
        <v/>
      </c>
      <c r="P289" t="str">
        <f>IF('1. Live'!P289='check-Jul25'!P289,"",'1. Live'!P289-'check-Jul25'!P289)</f>
        <v/>
      </c>
      <c r="Q289" t="str">
        <f>IF('1. Live'!Q289='check-Jul25'!Q289,"",'1. Live'!Q289-'check-Jul25'!Q289)</f>
        <v/>
      </c>
      <c r="R289" t="str">
        <f>IF('1. Live'!R289='check-Jul25'!R289,"",'1. Live'!R289-'check-Jul25'!R289)</f>
        <v/>
      </c>
      <c r="S289" t="str">
        <f>IF('1. Live'!S289='check-Jul25'!S289,"",'1. Live'!S289-'check-Jul25'!S289)</f>
        <v/>
      </c>
      <c r="T289" t="str">
        <f>IF('1. Live'!T289='check-Jul25'!T289,"",'1. Live'!T289-'check-Jul25'!T289)</f>
        <v/>
      </c>
      <c r="U289" t="str">
        <f>IF('1. Live'!U289='check-Jul25'!U289,"",'1. Live'!U289-'check-Jul25'!U289)</f>
        <v/>
      </c>
      <c r="V289" t="str">
        <f>IF('1. Live'!V289='check-Jul25'!V289,"",'1. Live'!V289-'check-Jul25'!V289)</f>
        <v/>
      </c>
      <c r="W289" t="str">
        <f>IF('1. Live'!W289='check-Jul25'!W289,"",'1. Live'!W289-'check-Jul25'!W289)</f>
        <v/>
      </c>
      <c r="X289" t="str">
        <f>IF('1. Live'!X289='check-Jul25'!X289,"",'1. Live'!X289-'check-Jul25'!X289)</f>
        <v/>
      </c>
      <c r="Y289" t="str">
        <f>IF('1. Live'!Y289='check-Jul25'!Y289,"",'1. Live'!Y289-'check-Jul25'!Y289)</f>
        <v/>
      </c>
      <c r="Z289" t="str">
        <f>IF('1. Live'!Z289='check-Jul25'!Z289,"",'1. Live'!Z289-'check-Jul25'!Z289)</f>
        <v/>
      </c>
      <c r="AA289" t="str">
        <f>IF('1. Live'!AA289='check-Jul25'!AA289,"",'1. Live'!AA289-'check-Jul25'!AA289)</f>
        <v/>
      </c>
      <c r="AB289" t="str">
        <f>IF('1. Live'!AB289='check-Jul25'!AB289,"",'1. Live'!AB289-'check-Jul25'!AB289)</f>
        <v/>
      </c>
      <c r="AC289" t="str">
        <f>IF('1. Live'!AC289='check-Jul25'!AC289,"",'1. Live'!AC289-'check-Jul25'!AC289)</f>
        <v/>
      </c>
      <c r="AD289" t="str">
        <f>IF('1. Live'!AD289='check-Jul25'!AD289,"",'1. Live'!AD289-'check-Jul25'!AD289)</f>
        <v/>
      </c>
      <c r="AE289" t="str">
        <f>IF('1. Live'!AE289='check-Jul25'!AE289,"",'1. Live'!AE289-'check-Jul25'!AE289)</f>
        <v/>
      </c>
      <c r="AF289" t="str">
        <f>IF('1. Live'!AF289='check-Jul25'!AF289,"",'1. Live'!AF289-'check-Jul25'!AF289)</f>
        <v/>
      </c>
      <c r="AG289" t="str">
        <f>IF('1. Live'!AG289='check-Jul25'!AG289,"",'1. Live'!AG289-'check-Jul25'!AG289)</f>
        <v/>
      </c>
      <c r="AH289" t="str">
        <f>IF('1. Live'!AH289='check-Jul25'!AH289,"",'1. Live'!AH289-'check-Jul25'!AH289)</f>
        <v/>
      </c>
      <c r="AI289" t="str">
        <f>IF('1. Live'!AI289='check-Jul25'!AI289,"",'1. Live'!AI289-'check-Jul25'!AI289)</f>
        <v/>
      </c>
      <c r="AJ289" t="str">
        <f>IF('1. Live'!AJ289='check-Jul25'!AJ289,"",'1. Live'!AJ289-'check-Jul25'!AJ289)</f>
        <v/>
      </c>
      <c r="AK289" t="str">
        <f>IF('1. Live'!AK289='check-Jul25'!AK289,"",'1. Live'!AK289-'check-Jul25'!AK289)</f>
        <v/>
      </c>
      <c r="AL289" t="str">
        <f>IF('1. Live'!AL289='check-Jul25'!AL289,"",'1. Live'!AL289-'check-Jul25'!AL289)</f>
        <v/>
      </c>
      <c r="AM289" t="str">
        <f>IF('1. Live'!AM289='check-Jul25'!AM289,"",'1. Live'!AM289-'check-Jul25'!AM289)</f>
        <v/>
      </c>
      <c r="AN289" t="str">
        <f>IF('1. Live'!AN289='check-Jul25'!AN289,"",'1. Live'!AN289-'check-Jul25'!AN289)</f>
        <v/>
      </c>
      <c r="AO289" t="str">
        <f>IF('1. Live'!AO289='check-Jul25'!AO289,"",'1. Live'!AO289-'check-Jul25'!AO289)</f>
        <v/>
      </c>
      <c r="AP289" t="str">
        <f>IF('1. Live'!AP289='check-Jul25'!AP289,"",'1. Live'!AP289-'check-Jul25'!AP289)</f>
        <v/>
      </c>
      <c r="AQ289" t="str">
        <f>IF('1. Live'!AQ289='check-Jul25'!AQ289,"",'1. Live'!AQ289-'check-Jul25'!AQ289)</f>
        <v/>
      </c>
      <c r="AR289" t="str">
        <f>IF('1. Live'!AR289='check-Jul25'!AR289,"",'1. Live'!AR289-'check-Jul25'!AR289)</f>
        <v/>
      </c>
      <c r="AS289" t="str">
        <f>IF('1. Live'!AS289='check-Jul25'!AS289,"",'1. Live'!AS289-'check-Jul25'!AS289)</f>
        <v/>
      </c>
      <c r="AT289" t="str">
        <f>IF('1. Live'!AT289='check-Jul25'!AT289,"",'1. Live'!AT289-'check-Jul25'!AT289)</f>
        <v/>
      </c>
      <c r="AU289" t="str">
        <f>IF('1. Live'!AU289='check-Jul25'!AU289,"",'1. Live'!AU289-'check-Jul25'!AU289)</f>
        <v/>
      </c>
      <c r="AV289" t="str">
        <f>IF('1. Live'!AV289='check-Jul25'!AV289,"",'1. Live'!AV289-'check-Jul25'!AV289)</f>
        <v/>
      </c>
      <c r="AW289" t="str">
        <f>IF('1. Live'!AW289='check-Jul25'!AW289,"",'1. Live'!AW289-'check-Jul25'!AW289)</f>
        <v/>
      </c>
      <c r="AX289" t="str">
        <f>IF('1. Live'!AX289='check-Jul25'!AX289,"",'1. Live'!AX289-'check-Jul25'!AX289)</f>
        <v/>
      </c>
      <c r="AY289" t="str">
        <f>IF('1. Live'!AY289='check-Jul25'!AY289,"",'1. Live'!AY289-'check-Jul25'!AY289)</f>
        <v/>
      </c>
      <c r="AZ289" t="str">
        <f>IF('1. Live'!AZ289='check-Jul25'!AZ289,"",'1. Live'!AZ289-'check-Jul25'!AZ289)</f>
        <v/>
      </c>
      <c r="BA289" t="str">
        <f>IF('1. Live'!BA289='check-Jul25'!BA289,"",'1. Live'!BA289-'check-Jul25'!BA289)</f>
        <v/>
      </c>
      <c r="BB289" t="str">
        <f>IF('1. Live'!BB289='check-Jul25'!BB289,"",'1. Live'!BB289-'check-Jul25'!BB289)</f>
        <v/>
      </c>
      <c r="BC289" t="str">
        <f>IF('1. Live'!BC289='check-Jul25'!BC289,"",'1. Live'!BC289-'check-Jul25'!BC289)</f>
        <v/>
      </c>
      <c r="BD289" t="str">
        <f>IF('1. Live'!BD289='check-Jul25'!BD289,"",'1. Live'!BD289-'check-Jul25'!BD289)</f>
        <v/>
      </c>
      <c r="BE289" t="str">
        <f>IF('1. Live'!BE289='check-Jul25'!BE289,"",'1. Live'!BE289-'check-Jul25'!BE289)</f>
        <v/>
      </c>
      <c r="BF289" t="str">
        <f>IF('1. Live'!BF289='check-Jul25'!BF289,"",'1. Live'!BF289-'check-Jul25'!BF289)</f>
        <v/>
      </c>
      <c r="BG289" t="str">
        <f>IF('1. Live'!BG289='check-Jul25'!BG289,"",'1. Live'!BG289-'check-Jul25'!BG289)</f>
        <v/>
      </c>
      <c r="BH289" t="str">
        <f>IF('1. Live'!BH289='check-Jul25'!BH289,"",'1. Live'!BH289-'check-Jul25'!BH289)</f>
        <v/>
      </c>
      <c r="BI289" t="str">
        <f>IF('1. Live'!BI289='check-Jul25'!BI289,"",'1. Live'!BI289-'check-Jul25'!BI289)</f>
        <v/>
      </c>
      <c r="BJ289" t="str">
        <f>IF('1. Live'!BJ289='check-Jul25'!BJ289,"",'1. Live'!BJ289-'check-Jul25'!BJ289)</f>
        <v/>
      </c>
      <c r="BK289" t="str">
        <f>IF('1. Live'!BK289='check-Jul25'!BK289,"",'1. Live'!BK289-'check-Jul25'!BK289)</f>
        <v/>
      </c>
      <c r="BL289" t="str">
        <f>IF('1. Live'!BL289='check-Jul25'!BL289,"",'1. Live'!BL289-'check-Jul25'!BL289)</f>
        <v/>
      </c>
      <c r="BM289" t="str">
        <f>IF('1. Live'!BM289='check-Jul25'!BM289,"",'1. Live'!BM289-'check-Jul25'!BM289)</f>
        <v/>
      </c>
      <c r="BN289" t="str">
        <f>IF('1. Live'!BN289='check-Jul25'!BN289,"",'1. Live'!BN289-'check-Jul25'!BN289)</f>
        <v/>
      </c>
      <c r="BO289" t="str">
        <f>IF('1. Live'!BO289='check-Jul25'!BO289,"",'1. Live'!BO289-'check-Jul25'!BO289)</f>
        <v/>
      </c>
      <c r="BP289" t="str">
        <f>IF('1. Live'!BP289='check-Jul25'!BP289,"",'1. Live'!BP289-'check-Jul25'!BP289)</f>
        <v/>
      </c>
      <c r="BQ289" t="str">
        <f>IF('1. Live'!BQ289='check-Jul25'!BQ289,"",'1. Live'!BQ289-'check-Jul25'!BQ289)</f>
        <v/>
      </c>
      <c r="BR289" t="str">
        <f>IF('1. Live'!BR289='check-Jul25'!BR289,"",'1. Live'!BR289-'check-Jul25'!BR289)</f>
        <v/>
      </c>
      <c r="BS289" t="str">
        <f>IF('1. Live'!BS289='check-Jul25'!BS289,"",'1. Live'!BS289-'check-Jul25'!BS289)</f>
        <v/>
      </c>
      <c r="BT289" t="str">
        <f>IF('1. Live'!BT289='check-Jul25'!BT289,"",'1. Live'!BT289-'check-Jul25'!BT289)</f>
        <v/>
      </c>
      <c r="BU289" t="str">
        <f>IF('1. Live'!BU289='check-Jul25'!BU289,"",'1. Live'!BU289-'check-Jul25'!BU289)</f>
        <v/>
      </c>
      <c r="BV289" t="str">
        <f>IF('1. Live'!BV289='check-Jul25'!BV289,"",'1. Live'!BV289-'check-Jul25'!BV289)</f>
        <v/>
      </c>
      <c r="BW289" t="str">
        <f>IF('1. Live'!BW289='check-Jul25'!BW289,"",'1. Live'!BW289-'check-Jul25'!BW289)</f>
        <v/>
      </c>
      <c r="BX289" t="str">
        <f>IF('1. Live'!BX289='check-Jul25'!BX289,"",'1. Live'!BX289-'check-Jul25'!BX289)</f>
        <v/>
      </c>
      <c r="BY289" t="str">
        <f>IF('1. Live'!BY289='check-Jul25'!BY289,"",'1. Live'!BY289-'check-Jul25'!BY289)</f>
        <v/>
      </c>
      <c r="BZ289" t="str">
        <f>IF('1. Live'!BZ289='check-Jul25'!BZ289,"",'1. Live'!BZ289-'check-Jul25'!BZ289)</f>
        <v/>
      </c>
      <c r="CA289" t="str">
        <f>IF('1. Live'!CA289='check-Jul25'!CA289,"",'1. Live'!CA289-'check-Jul25'!CA289)</f>
        <v/>
      </c>
      <c r="CB289" t="str">
        <f>IF('1. Live'!CB289='check-Jul25'!CB289,"",'1. Live'!CB289-'check-Jul25'!CB289)</f>
        <v/>
      </c>
      <c r="CC289" t="str">
        <f>IF('1. Live'!CC289='check-Jul25'!CC289,"",'1. Live'!CC289-'check-Jul25'!CC289)</f>
        <v/>
      </c>
      <c r="CD289" t="str">
        <f>IF('1. Live'!CD289='check-Jul25'!CD289,"",'1. Live'!CD289-'check-Jul25'!CD289)</f>
        <v/>
      </c>
      <c r="CE289" t="str">
        <f>IF('1. Live'!CE289='check-Jul25'!CE289,"",'1. Live'!CE289-'check-Jul25'!CE289)</f>
        <v/>
      </c>
      <c r="CF289" t="str">
        <f>IF('1. Live'!CF289='check-Jul25'!CF289,"",'1. Live'!CF289-'check-Jul25'!CF289)</f>
        <v/>
      </c>
      <c r="CG289" t="str">
        <f>IF('1. Live'!CG289='check-Jul25'!CG289,"",'1. Live'!CG289-'check-Jul25'!CG289)</f>
        <v/>
      </c>
      <c r="CH289" t="str">
        <f>IF('1. Live'!CH289='check-Jul25'!CH289,"",'1. Live'!CH289-'check-Jul25'!CH289)</f>
        <v/>
      </c>
      <c r="CI289" t="str">
        <f>IF('1. Live'!CI289='check-Jul25'!CI289,"",'1. Live'!CI289-'check-Jul25'!CI289)</f>
        <v/>
      </c>
      <c r="CJ289" t="str">
        <f>IF('1. Live'!CJ289='check-Jul25'!CJ289,"",'1. Live'!CJ289-'check-Jul25'!CJ289)</f>
        <v/>
      </c>
      <c r="CK289" t="str">
        <f>IF('1. Live'!CK289='check-Jul25'!CK289,"",'1. Live'!CK289-'check-Jul25'!CK289)</f>
        <v/>
      </c>
      <c r="CL289" t="str">
        <f>IF('1. Live'!CL289='check-Jul25'!CL289,"",'1. Live'!CL289-'check-Jul25'!CL289)</f>
        <v/>
      </c>
      <c r="CM289" t="str">
        <f>IF('1. Live'!CM289='check-Jul25'!CM289,"",'1. Live'!CM289-'check-Jul25'!CM289)</f>
        <v/>
      </c>
      <c r="CN289" t="str">
        <f>IF('1. Live'!CN289='check-Jul25'!CN289,"",'1. Live'!CN289-'check-Jul25'!CN289)</f>
        <v/>
      </c>
      <c r="CO289" t="str">
        <f>IF('1. Live'!CO289='check-Jul25'!CO289,"",'1. Live'!CO289-'check-Jul25'!CO289)</f>
        <v/>
      </c>
      <c r="CP289" t="str">
        <f>IF('1. Live'!CP289='check-Jul25'!CP289,"",'1. Live'!CP289-'check-Jul25'!CP289)</f>
        <v/>
      </c>
      <c r="CQ289" t="str">
        <f>IF('1. Live'!CQ289='check-Jul25'!CQ289,"",'1. Live'!CQ289-'check-Jul25'!CQ289)</f>
        <v/>
      </c>
      <c r="CR289" t="str">
        <f>IF('1. Live'!CR289='check-Jul25'!CR289,"",'1. Live'!CR289-'check-Jul25'!CR289)</f>
        <v/>
      </c>
      <c r="CS289" t="str">
        <f>IF('1. Live'!CS289='check-Jul25'!CS289,"",'1. Live'!CS289-'check-Jul25'!CS289)</f>
        <v/>
      </c>
      <c r="CT289" t="str">
        <f>IF('1. Live'!CT289='check-Jul25'!CT289,"",'1. Live'!CT289-'check-Jul25'!CT289)</f>
        <v/>
      </c>
      <c r="CU289" t="str">
        <f>IF('1. Live'!CU289='check-Jul25'!CU289,"",'1. Live'!CU289-'check-Jul25'!CU289)</f>
        <v/>
      </c>
      <c r="CV289" t="str">
        <f>IF('1. Live'!CV289='check-Jul25'!CV289,"",'1. Live'!CV289-'check-Jul25'!CV289)</f>
        <v/>
      </c>
      <c r="CW289" t="str">
        <f>IF('1. Live'!CW289='check-Jul25'!CW289,"",'1. Live'!CW289-'check-Jul25'!CW289)</f>
        <v/>
      </c>
    </row>
    <row r="290" spans="10:101">
      <c r="J290" t="str">
        <f>IF('1. Live'!J290='check-Jul25'!J290,"",'1. Live'!J290-'check-Jul25'!J290)</f>
        <v/>
      </c>
      <c r="K290" t="str">
        <f>IF('1. Live'!K290='check-Jul25'!K290,"",'1. Live'!K290-'check-Jul25'!K290)</f>
        <v/>
      </c>
      <c r="L290" t="str">
        <f>IF('1. Live'!L290='check-Jul25'!L290,"",'1. Live'!L290-'check-Jul25'!L290)</f>
        <v/>
      </c>
      <c r="M290" t="str">
        <f>IF('1. Live'!M290='check-Jul25'!M290,"",'1. Live'!M290-'check-Jul25'!M290)</f>
        <v/>
      </c>
      <c r="N290" t="str">
        <f>IF('1. Live'!N290='check-Jul25'!N290,"",'1. Live'!N290-'check-Jul25'!N290)</f>
        <v/>
      </c>
      <c r="O290" t="str">
        <f>IF('1. Live'!O290='check-Jul25'!O290,"",'1. Live'!O290-'check-Jul25'!O290)</f>
        <v/>
      </c>
      <c r="P290" t="str">
        <f>IF('1. Live'!P290='check-Jul25'!P290,"",'1. Live'!P290-'check-Jul25'!P290)</f>
        <v/>
      </c>
      <c r="Q290" t="str">
        <f>IF('1. Live'!Q290='check-Jul25'!Q290,"",'1. Live'!Q290-'check-Jul25'!Q290)</f>
        <v/>
      </c>
      <c r="R290" t="str">
        <f>IF('1. Live'!R290='check-Jul25'!R290,"",'1. Live'!R290-'check-Jul25'!R290)</f>
        <v/>
      </c>
      <c r="S290" t="str">
        <f>IF('1. Live'!S290='check-Jul25'!S290,"",'1. Live'!S290-'check-Jul25'!S290)</f>
        <v/>
      </c>
      <c r="T290" t="str">
        <f>IF('1. Live'!T290='check-Jul25'!T290,"",'1. Live'!T290-'check-Jul25'!T290)</f>
        <v/>
      </c>
      <c r="U290" t="str">
        <f>IF('1. Live'!U290='check-Jul25'!U290,"",'1. Live'!U290-'check-Jul25'!U290)</f>
        <v/>
      </c>
      <c r="V290" t="str">
        <f>IF('1. Live'!V290='check-Jul25'!V290,"",'1. Live'!V290-'check-Jul25'!V290)</f>
        <v/>
      </c>
      <c r="W290" t="str">
        <f>IF('1. Live'!W290='check-Jul25'!W290,"",'1. Live'!W290-'check-Jul25'!W290)</f>
        <v/>
      </c>
      <c r="X290" t="str">
        <f>IF('1. Live'!X290='check-Jul25'!X290,"",'1. Live'!X290-'check-Jul25'!X290)</f>
        <v/>
      </c>
      <c r="Y290" t="str">
        <f>IF('1. Live'!Y290='check-Jul25'!Y290,"",'1. Live'!Y290-'check-Jul25'!Y290)</f>
        <v/>
      </c>
      <c r="Z290" t="str">
        <f>IF('1. Live'!Z290='check-Jul25'!Z290,"",'1. Live'!Z290-'check-Jul25'!Z290)</f>
        <v/>
      </c>
      <c r="AA290" t="str">
        <f>IF('1. Live'!AA290='check-Jul25'!AA290,"",'1. Live'!AA290-'check-Jul25'!AA290)</f>
        <v/>
      </c>
      <c r="AB290" t="str">
        <f>IF('1. Live'!AB290='check-Jul25'!AB290,"",'1. Live'!AB290-'check-Jul25'!AB290)</f>
        <v/>
      </c>
      <c r="AC290" t="str">
        <f>IF('1. Live'!AC290='check-Jul25'!AC290,"",'1. Live'!AC290-'check-Jul25'!AC290)</f>
        <v/>
      </c>
      <c r="AD290" t="str">
        <f>IF('1. Live'!AD290='check-Jul25'!AD290,"",'1. Live'!AD290-'check-Jul25'!AD290)</f>
        <v/>
      </c>
      <c r="AE290" t="str">
        <f>IF('1. Live'!AE290='check-Jul25'!AE290,"",'1. Live'!AE290-'check-Jul25'!AE290)</f>
        <v/>
      </c>
      <c r="AF290" t="str">
        <f>IF('1. Live'!AF290='check-Jul25'!AF290,"",'1. Live'!AF290-'check-Jul25'!AF290)</f>
        <v/>
      </c>
      <c r="AG290" t="str">
        <f>IF('1. Live'!AG290='check-Jul25'!AG290,"",'1. Live'!AG290-'check-Jul25'!AG290)</f>
        <v/>
      </c>
      <c r="AH290" t="str">
        <f>IF('1. Live'!AH290='check-Jul25'!AH290,"",'1. Live'!AH290-'check-Jul25'!AH290)</f>
        <v/>
      </c>
      <c r="AI290" t="str">
        <f>IF('1. Live'!AI290='check-Jul25'!AI290,"",'1. Live'!AI290-'check-Jul25'!AI290)</f>
        <v/>
      </c>
      <c r="AJ290" t="str">
        <f>IF('1. Live'!AJ290='check-Jul25'!AJ290,"",'1. Live'!AJ290-'check-Jul25'!AJ290)</f>
        <v/>
      </c>
      <c r="AK290" t="str">
        <f>IF('1. Live'!AK290='check-Jul25'!AK290,"",'1. Live'!AK290-'check-Jul25'!AK290)</f>
        <v/>
      </c>
      <c r="AL290" t="str">
        <f>IF('1. Live'!AL290='check-Jul25'!AL290,"",'1. Live'!AL290-'check-Jul25'!AL290)</f>
        <v/>
      </c>
      <c r="AM290" t="str">
        <f>IF('1. Live'!AM290='check-Jul25'!AM290,"",'1. Live'!AM290-'check-Jul25'!AM290)</f>
        <v/>
      </c>
      <c r="AN290" t="str">
        <f>IF('1. Live'!AN290='check-Jul25'!AN290,"",'1. Live'!AN290-'check-Jul25'!AN290)</f>
        <v/>
      </c>
      <c r="AO290" t="str">
        <f>IF('1. Live'!AO290='check-Jul25'!AO290,"",'1. Live'!AO290-'check-Jul25'!AO290)</f>
        <v/>
      </c>
      <c r="AP290" t="str">
        <f>IF('1. Live'!AP290='check-Jul25'!AP290,"",'1. Live'!AP290-'check-Jul25'!AP290)</f>
        <v/>
      </c>
      <c r="AQ290" t="str">
        <f>IF('1. Live'!AQ290='check-Jul25'!AQ290,"",'1. Live'!AQ290-'check-Jul25'!AQ290)</f>
        <v/>
      </c>
      <c r="AR290" t="str">
        <f>IF('1. Live'!AR290='check-Jul25'!AR290,"",'1. Live'!AR290-'check-Jul25'!AR290)</f>
        <v/>
      </c>
      <c r="AS290" t="str">
        <f>IF('1. Live'!AS290='check-Jul25'!AS290,"",'1. Live'!AS290-'check-Jul25'!AS290)</f>
        <v/>
      </c>
      <c r="AT290" t="str">
        <f>IF('1. Live'!AT290='check-Jul25'!AT290,"",'1. Live'!AT290-'check-Jul25'!AT290)</f>
        <v/>
      </c>
      <c r="AU290" t="str">
        <f>IF('1. Live'!AU290='check-Jul25'!AU290,"",'1. Live'!AU290-'check-Jul25'!AU290)</f>
        <v/>
      </c>
      <c r="AV290" t="str">
        <f>IF('1. Live'!AV290='check-Jul25'!AV290,"",'1. Live'!AV290-'check-Jul25'!AV290)</f>
        <v/>
      </c>
      <c r="AW290" t="str">
        <f>IF('1. Live'!AW290='check-Jul25'!AW290,"",'1. Live'!AW290-'check-Jul25'!AW290)</f>
        <v/>
      </c>
      <c r="AX290" t="str">
        <f>IF('1. Live'!AX290='check-Jul25'!AX290,"",'1. Live'!AX290-'check-Jul25'!AX290)</f>
        <v/>
      </c>
      <c r="AY290" t="str">
        <f>IF('1. Live'!AY290='check-Jul25'!AY290,"",'1. Live'!AY290-'check-Jul25'!AY290)</f>
        <v/>
      </c>
      <c r="AZ290" t="str">
        <f>IF('1. Live'!AZ290='check-Jul25'!AZ290,"",'1. Live'!AZ290-'check-Jul25'!AZ290)</f>
        <v/>
      </c>
      <c r="BA290" t="str">
        <f>IF('1. Live'!BA290='check-Jul25'!BA290,"",'1. Live'!BA290-'check-Jul25'!BA290)</f>
        <v/>
      </c>
      <c r="BB290" t="str">
        <f>IF('1. Live'!BB290='check-Jul25'!BB290,"",'1. Live'!BB290-'check-Jul25'!BB290)</f>
        <v/>
      </c>
      <c r="BC290" t="str">
        <f>IF('1. Live'!BC290='check-Jul25'!BC290,"",'1. Live'!BC290-'check-Jul25'!BC290)</f>
        <v/>
      </c>
      <c r="BD290" t="str">
        <f>IF('1. Live'!BD290='check-Jul25'!BD290,"",'1. Live'!BD290-'check-Jul25'!BD290)</f>
        <v/>
      </c>
      <c r="BE290" t="str">
        <f>IF('1. Live'!BE290='check-Jul25'!BE290,"",'1. Live'!BE290-'check-Jul25'!BE290)</f>
        <v/>
      </c>
      <c r="BF290" t="str">
        <f>IF('1. Live'!BF290='check-Jul25'!BF290,"",'1. Live'!BF290-'check-Jul25'!BF290)</f>
        <v/>
      </c>
      <c r="BG290" t="str">
        <f>IF('1. Live'!BG290='check-Jul25'!BG290,"",'1. Live'!BG290-'check-Jul25'!BG290)</f>
        <v/>
      </c>
      <c r="BH290" t="str">
        <f>IF('1. Live'!BH290='check-Jul25'!BH290,"",'1. Live'!BH290-'check-Jul25'!BH290)</f>
        <v/>
      </c>
      <c r="BI290" t="str">
        <f>IF('1. Live'!BI290='check-Jul25'!BI290,"",'1. Live'!BI290-'check-Jul25'!BI290)</f>
        <v/>
      </c>
      <c r="BJ290" t="str">
        <f>IF('1. Live'!BJ290='check-Jul25'!BJ290,"",'1. Live'!BJ290-'check-Jul25'!BJ290)</f>
        <v/>
      </c>
      <c r="BK290" t="str">
        <f>IF('1. Live'!BK290='check-Jul25'!BK290,"",'1. Live'!BK290-'check-Jul25'!BK290)</f>
        <v/>
      </c>
      <c r="BL290" t="str">
        <f>IF('1. Live'!BL290='check-Jul25'!BL290,"",'1. Live'!BL290-'check-Jul25'!BL290)</f>
        <v/>
      </c>
      <c r="BM290" t="str">
        <f>IF('1. Live'!BM290='check-Jul25'!BM290,"",'1. Live'!BM290-'check-Jul25'!BM290)</f>
        <v/>
      </c>
      <c r="BN290" t="str">
        <f>IF('1. Live'!BN290='check-Jul25'!BN290,"",'1. Live'!BN290-'check-Jul25'!BN290)</f>
        <v/>
      </c>
      <c r="BO290" t="str">
        <f>IF('1. Live'!BO290='check-Jul25'!BO290,"",'1. Live'!BO290-'check-Jul25'!BO290)</f>
        <v/>
      </c>
      <c r="BP290" t="str">
        <f>IF('1. Live'!BP290='check-Jul25'!BP290,"",'1. Live'!BP290-'check-Jul25'!BP290)</f>
        <v/>
      </c>
      <c r="BQ290" t="str">
        <f>IF('1. Live'!BQ290='check-Jul25'!BQ290,"",'1. Live'!BQ290-'check-Jul25'!BQ290)</f>
        <v/>
      </c>
      <c r="BR290" t="str">
        <f>IF('1. Live'!BR290='check-Jul25'!BR290,"",'1. Live'!BR290-'check-Jul25'!BR290)</f>
        <v/>
      </c>
      <c r="BS290" t="str">
        <f>IF('1. Live'!BS290='check-Jul25'!BS290,"",'1. Live'!BS290-'check-Jul25'!BS290)</f>
        <v/>
      </c>
      <c r="BT290" t="str">
        <f>IF('1. Live'!BT290='check-Jul25'!BT290,"",'1. Live'!BT290-'check-Jul25'!BT290)</f>
        <v/>
      </c>
      <c r="BU290" t="str">
        <f>IF('1. Live'!BU290='check-Jul25'!BU290,"",'1. Live'!BU290-'check-Jul25'!BU290)</f>
        <v/>
      </c>
      <c r="BV290" t="str">
        <f>IF('1. Live'!BV290='check-Jul25'!BV290,"",'1. Live'!BV290-'check-Jul25'!BV290)</f>
        <v/>
      </c>
      <c r="BW290" t="str">
        <f>IF('1. Live'!BW290='check-Jul25'!BW290,"",'1. Live'!BW290-'check-Jul25'!BW290)</f>
        <v/>
      </c>
      <c r="BX290" t="str">
        <f>IF('1. Live'!BX290='check-Jul25'!BX290,"",'1. Live'!BX290-'check-Jul25'!BX290)</f>
        <v/>
      </c>
      <c r="BY290" t="str">
        <f>IF('1. Live'!BY290='check-Jul25'!BY290,"",'1. Live'!BY290-'check-Jul25'!BY290)</f>
        <v/>
      </c>
      <c r="BZ290" t="str">
        <f>IF('1. Live'!BZ290='check-Jul25'!BZ290,"",'1. Live'!BZ290-'check-Jul25'!BZ290)</f>
        <v/>
      </c>
      <c r="CA290" t="str">
        <f>IF('1. Live'!CA290='check-Jul25'!CA290,"",'1. Live'!CA290-'check-Jul25'!CA290)</f>
        <v/>
      </c>
      <c r="CB290" t="str">
        <f>IF('1. Live'!CB290='check-Jul25'!CB290,"",'1. Live'!CB290-'check-Jul25'!CB290)</f>
        <v/>
      </c>
      <c r="CC290" t="str">
        <f>IF('1. Live'!CC290='check-Jul25'!CC290,"",'1. Live'!CC290-'check-Jul25'!CC290)</f>
        <v/>
      </c>
      <c r="CD290" t="str">
        <f>IF('1. Live'!CD290='check-Jul25'!CD290,"",'1. Live'!CD290-'check-Jul25'!CD290)</f>
        <v/>
      </c>
      <c r="CE290" t="str">
        <f>IF('1. Live'!CE290='check-Jul25'!CE290,"",'1. Live'!CE290-'check-Jul25'!CE290)</f>
        <v/>
      </c>
      <c r="CF290" t="str">
        <f>IF('1. Live'!CF290='check-Jul25'!CF290,"",'1. Live'!CF290-'check-Jul25'!CF290)</f>
        <v/>
      </c>
      <c r="CG290" t="str">
        <f>IF('1. Live'!CG290='check-Jul25'!CG290,"",'1. Live'!CG290-'check-Jul25'!CG290)</f>
        <v/>
      </c>
      <c r="CH290" t="str">
        <f>IF('1. Live'!CH290='check-Jul25'!CH290,"",'1. Live'!CH290-'check-Jul25'!CH290)</f>
        <v/>
      </c>
      <c r="CI290" t="str">
        <f>IF('1. Live'!CI290='check-Jul25'!CI290,"",'1. Live'!CI290-'check-Jul25'!CI290)</f>
        <v/>
      </c>
      <c r="CJ290" t="str">
        <f>IF('1. Live'!CJ290='check-Jul25'!CJ290,"",'1. Live'!CJ290-'check-Jul25'!CJ290)</f>
        <v/>
      </c>
      <c r="CK290" t="str">
        <f>IF('1. Live'!CK290='check-Jul25'!CK290,"",'1. Live'!CK290-'check-Jul25'!CK290)</f>
        <v/>
      </c>
      <c r="CL290" t="str">
        <f>IF('1. Live'!CL290='check-Jul25'!CL290,"",'1. Live'!CL290-'check-Jul25'!CL290)</f>
        <v/>
      </c>
      <c r="CM290" t="str">
        <f>IF('1. Live'!CM290='check-Jul25'!CM290,"",'1. Live'!CM290-'check-Jul25'!CM290)</f>
        <v/>
      </c>
      <c r="CN290" t="str">
        <f>IF('1. Live'!CN290='check-Jul25'!CN290,"",'1. Live'!CN290-'check-Jul25'!CN290)</f>
        <v/>
      </c>
      <c r="CO290" t="str">
        <f>IF('1. Live'!CO290='check-Jul25'!CO290,"",'1. Live'!CO290-'check-Jul25'!CO290)</f>
        <v/>
      </c>
      <c r="CP290" t="str">
        <f>IF('1. Live'!CP290='check-Jul25'!CP290,"",'1. Live'!CP290-'check-Jul25'!CP290)</f>
        <v/>
      </c>
      <c r="CQ290" t="str">
        <f>IF('1. Live'!CQ290='check-Jul25'!CQ290,"",'1. Live'!CQ290-'check-Jul25'!CQ290)</f>
        <v/>
      </c>
      <c r="CR290" t="str">
        <f>IF('1. Live'!CR290='check-Jul25'!CR290,"",'1. Live'!CR290-'check-Jul25'!CR290)</f>
        <v/>
      </c>
      <c r="CS290" t="str">
        <f>IF('1. Live'!CS290='check-Jul25'!CS290,"",'1. Live'!CS290-'check-Jul25'!CS290)</f>
        <v/>
      </c>
      <c r="CT290" t="str">
        <f>IF('1. Live'!CT290='check-Jul25'!CT290,"",'1. Live'!CT290-'check-Jul25'!CT290)</f>
        <v/>
      </c>
      <c r="CU290" t="str">
        <f>IF('1. Live'!CU290='check-Jul25'!CU290,"",'1. Live'!CU290-'check-Jul25'!CU290)</f>
        <v/>
      </c>
      <c r="CV290" t="str">
        <f>IF('1. Live'!CV290='check-Jul25'!CV290,"",'1. Live'!CV290-'check-Jul25'!CV290)</f>
        <v/>
      </c>
      <c r="CW290" t="str">
        <f>IF('1. Live'!CW290='check-Jul25'!CW290,"",'1. Live'!CW290-'check-Jul25'!CW290)</f>
        <v/>
      </c>
    </row>
    <row r="291" spans="10:101">
      <c r="J291" t="str">
        <f>IF('1. Live'!J291='check-Jul25'!J291,"",'1. Live'!J291-'check-Jul25'!J291)</f>
        <v/>
      </c>
      <c r="K291" t="str">
        <f>IF('1. Live'!K291='check-Jul25'!K291,"",'1. Live'!K291-'check-Jul25'!K291)</f>
        <v/>
      </c>
      <c r="L291" t="str">
        <f>IF('1. Live'!L291='check-Jul25'!L291,"",'1. Live'!L291-'check-Jul25'!L291)</f>
        <v/>
      </c>
      <c r="M291" t="str">
        <f>IF('1. Live'!M291='check-Jul25'!M291,"",'1. Live'!M291-'check-Jul25'!M291)</f>
        <v/>
      </c>
      <c r="N291" t="str">
        <f>IF('1. Live'!N291='check-Jul25'!N291,"",'1. Live'!N291-'check-Jul25'!N291)</f>
        <v/>
      </c>
      <c r="O291" t="str">
        <f>IF('1. Live'!O291='check-Jul25'!O291,"",'1. Live'!O291-'check-Jul25'!O291)</f>
        <v/>
      </c>
      <c r="P291" t="str">
        <f>IF('1. Live'!P291='check-Jul25'!P291,"",'1. Live'!P291-'check-Jul25'!P291)</f>
        <v/>
      </c>
      <c r="Q291" t="str">
        <f>IF('1. Live'!Q291='check-Jul25'!Q291,"",'1. Live'!Q291-'check-Jul25'!Q291)</f>
        <v/>
      </c>
      <c r="R291" t="str">
        <f>IF('1. Live'!R291='check-Jul25'!R291,"",'1. Live'!R291-'check-Jul25'!R291)</f>
        <v/>
      </c>
      <c r="S291" t="str">
        <f>IF('1. Live'!S291='check-Jul25'!S291,"",'1. Live'!S291-'check-Jul25'!S291)</f>
        <v/>
      </c>
      <c r="T291" t="str">
        <f>IF('1. Live'!T291='check-Jul25'!T291,"",'1. Live'!T291-'check-Jul25'!T291)</f>
        <v/>
      </c>
      <c r="U291" t="str">
        <f>IF('1. Live'!U291='check-Jul25'!U291,"",'1. Live'!U291-'check-Jul25'!U291)</f>
        <v/>
      </c>
      <c r="V291" t="str">
        <f>IF('1. Live'!V291='check-Jul25'!V291,"",'1. Live'!V291-'check-Jul25'!V291)</f>
        <v/>
      </c>
      <c r="W291" t="str">
        <f>IF('1. Live'!W291='check-Jul25'!W291,"",'1. Live'!W291-'check-Jul25'!W291)</f>
        <v/>
      </c>
      <c r="X291" t="str">
        <f>IF('1. Live'!X291='check-Jul25'!X291,"",'1. Live'!X291-'check-Jul25'!X291)</f>
        <v/>
      </c>
      <c r="Y291" t="str">
        <f>IF('1. Live'!Y291='check-Jul25'!Y291,"",'1. Live'!Y291-'check-Jul25'!Y291)</f>
        <v/>
      </c>
      <c r="Z291" t="str">
        <f>IF('1. Live'!Z291='check-Jul25'!Z291,"",'1. Live'!Z291-'check-Jul25'!Z291)</f>
        <v/>
      </c>
      <c r="AA291" t="str">
        <f>IF('1. Live'!AA291='check-Jul25'!AA291,"",'1. Live'!AA291-'check-Jul25'!AA291)</f>
        <v/>
      </c>
      <c r="AB291" t="str">
        <f>IF('1. Live'!AB291='check-Jul25'!AB291,"",'1. Live'!AB291-'check-Jul25'!AB291)</f>
        <v/>
      </c>
      <c r="AC291" t="str">
        <f>IF('1. Live'!AC291='check-Jul25'!AC291,"",'1. Live'!AC291-'check-Jul25'!AC291)</f>
        <v/>
      </c>
      <c r="AD291" t="str">
        <f>IF('1. Live'!AD291='check-Jul25'!AD291,"",'1. Live'!AD291-'check-Jul25'!AD291)</f>
        <v/>
      </c>
      <c r="AE291" t="str">
        <f>IF('1. Live'!AE291='check-Jul25'!AE291,"",'1. Live'!AE291-'check-Jul25'!AE291)</f>
        <v/>
      </c>
      <c r="AF291" t="str">
        <f>IF('1. Live'!AF291='check-Jul25'!AF291,"",'1. Live'!AF291-'check-Jul25'!AF291)</f>
        <v/>
      </c>
      <c r="AG291" t="str">
        <f>IF('1. Live'!AG291='check-Jul25'!AG291,"",'1. Live'!AG291-'check-Jul25'!AG291)</f>
        <v/>
      </c>
      <c r="AH291" t="str">
        <f>IF('1. Live'!AH291='check-Jul25'!AH291,"",'1. Live'!AH291-'check-Jul25'!AH291)</f>
        <v/>
      </c>
      <c r="AI291" t="str">
        <f>IF('1. Live'!AI291='check-Jul25'!AI291,"",'1. Live'!AI291-'check-Jul25'!AI291)</f>
        <v/>
      </c>
      <c r="AJ291" t="str">
        <f>IF('1. Live'!AJ291='check-Jul25'!AJ291,"",'1. Live'!AJ291-'check-Jul25'!AJ291)</f>
        <v/>
      </c>
      <c r="AK291" t="str">
        <f>IF('1. Live'!AK291='check-Jul25'!AK291,"",'1. Live'!AK291-'check-Jul25'!AK291)</f>
        <v/>
      </c>
      <c r="AL291" t="str">
        <f>IF('1. Live'!AL291='check-Jul25'!AL291,"",'1. Live'!AL291-'check-Jul25'!AL291)</f>
        <v/>
      </c>
      <c r="AM291" t="str">
        <f>IF('1. Live'!AM291='check-Jul25'!AM291,"",'1. Live'!AM291-'check-Jul25'!AM291)</f>
        <v/>
      </c>
      <c r="AN291" t="str">
        <f>IF('1. Live'!AN291='check-Jul25'!AN291,"",'1. Live'!AN291-'check-Jul25'!AN291)</f>
        <v/>
      </c>
      <c r="AO291" t="str">
        <f>IF('1. Live'!AO291='check-Jul25'!AO291,"",'1. Live'!AO291-'check-Jul25'!AO291)</f>
        <v/>
      </c>
      <c r="AP291" t="str">
        <f>IF('1. Live'!AP291='check-Jul25'!AP291,"",'1. Live'!AP291-'check-Jul25'!AP291)</f>
        <v/>
      </c>
      <c r="AQ291" t="str">
        <f>IF('1. Live'!AQ291='check-Jul25'!AQ291,"",'1. Live'!AQ291-'check-Jul25'!AQ291)</f>
        <v/>
      </c>
      <c r="AR291" t="str">
        <f>IF('1. Live'!AR291='check-Jul25'!AR291,"",'1. Live'!AR291-'check-Jul25'!AR291)</f>
        <v/>
      </c>
      <c r="AS291" t="str">
        <f>IF('1. Live'!AS291='check-Jul25'!AS291,"",'1. Live'!AS291-'check-Jul25'!AS291)</f>
        <v/>
      </c>
      <c r="AT291" t="str">
        <f>IF('1. Live'!AT291='check-Jul25'!AT291,"",'1. Live'!AT291-'check-Jul25'!AT291)</f>
        <v/>
      </c>
      <c r="AU291" t="str">
        <f>IF('1. Live'!AU291='check-Jul25'!AU291,"",'1. Live'!AU291-'check-Jul25'!AU291)</f>
        <v/>
      </c>
      <c r="AV291" t="str">
        <f>IF('1. Live'!AV291='check-Jul25'!AV291,"",'1. Live'!AV291-'check-Jul25'!AV291)</f>
        <v/>
      </c>
      <c r="AW291" t="str">
        <f>IF('1. Live'!AW291='check-Jul25'!AW291,"",'1. Live'!AW291-'check-Jul25'!AW291)</f>
        <v/>
      </c>
      <c r="AX291" t="str">
        <f>IF('1. Live'!AX291='check-Jul25'!AX291,"",'1. Live'!AX291-'check-Jul25'!AX291)</f>
        <v/>
      </c>
      <c r="AY291" t="str">
        <f>IF('1. Live'!AY291='check-Jul25'!AY291,"",'1. Live'!AY291-'check-Jul25'!AY291)</f>
        <v/>
      </c>
      <c r="AZ291" t="str">
        <f>IF('1. Live'!AZ291='check-Jul25'!AZ291,"",'1. Live'!AZ291-'check-Jul25'!AZ291)</f>
        <v/>
      </c>
      <c r="BA291" t="str">
        <f>IF('1. Live'!BA291='check-Jul25'!BA291,"",'1. Live'!BA291-'check-Jul25'!BA291)</f>
        <v/>
      </c>
      <c r="BB291" t="str">
        <f>IF('1. Live'!BB291='check-Jul25'!BB291,"",'1. Live'!BB291-'check-Jul25'!BB291)</f>
        <v/>
      </c>
      <c r="BC291" t="str">
        <f>IF('1. Live'!BC291='check-Jul25'!BC291,"",'1. Live'!BC291-'check-Jul25'!BC291)</f>
        <v/>
      </c>
      <c r="BD291" t="str">
        <f>IF('1. Live'!BD291='check-Jul25'!BD291,"",'1. Live'!BD291-'check-Jul25'!BD291)</f>
        <v/>
      </c>
      <c r="BE291" t="str">
        <f>IF('1. Live'!BE291='check-Jul25'!BE291,"",'1. Live'!BE291-'check-Jul25'!BE291)</f>
        <v/>
      </c>
      <c r="BF291" t="str">
        <f>IF('1. Live'!BF291='check-Jul25'!BF291,"",'1. Live'!BF291-'check-Jul25'!BF291)</f>
        <v/>
      </c>
      <c r="BG291" t="str">
        <f>IF('1. Live'!BG291='check-Jul25'!BG291,"",'1. Live'!BG291-'check-Jul25'!BG291)</f>
        <v/>
      </c>
      <c r="BH291" t="str">
        <f>IF('1. Live'!BH291='check-Jul25'!BH291,"",'1. Live'!BH291-'check-Jul25'!BH291)</f>
        <v/>
      </c>
      <c r="BI291" t="str">
        <f>IF('1. Live'!BI291='check-Jul25'!BI291,"",'1. Live'!BI291-'check-Jul25'!BI291)</f>
        <v/>
      </c>
      <c r="BJ291" t="str">
        <f>IF('1. Live'!BJ291='check-Jul25'!BJ291,"",'1. Live'!BJ291-'check-Jul25'!BJ291)</f>
        <v/>
      </c>
      <c r="BK291" t="str">
        <f>IF('1. Live'!BK291='check-Jul25'!BK291,"",'1. Live'!BK291-'check-Jul25'!BK291)</f>
        <v/>
      </c>
      <c r="BL291" t="str">
        <f>IF('1. Live'!BL291='check-Jul25'!BL291,"",'1. Live'!BL291-'check-Jul25'!BL291)</f>
        <v/>
      </c>
      <c r="BM291" t="str">
        <f>IF('1. Live'!BM291='check-Jul25'!BM291,"",'1. Live'!BM291-'check-Jul25'!BM291)</f>
        <v/>
      </c>
      <c r="BN291" t="str">
        <f>IF('1. Live'!BN291='check-Jul25'!BN291,"",'1. Live'!BN291-'check-Jul25'!BN291)</f>
        <v/>
      </c>
      <c r="BO291" t="str">
        <f>IF('1. Live'!BO291='check-Jul25'!BO291,"",'1. Live'!BO291-'check-Jul25'!BO291)</f>
        <v/>
      </c>
      <c r="BP291" t="str">
        <f>IF('1. Live'!BP291='check-Jul25'!BP291,"",'1. Live'!BP291-'check-Jul25'!BP291)</f>
        <v/>
      </c>
      <c r="BQ291" t="str">
        <f>IF('1. Live'!BQ291='check-Jul25'!BQ291,"",'1. Live'!BQ291-'check-Jul25'!BQ291)</f>
        <v/>
      </c>
      <c r="BR291" t="str">
        <f>IF('1. Live'!BR291='check-Jul25'!BR291,"",'1. Live'!BR291-'check-Jul25'!BR291)</f>
        <v/>
      </c>
      <c r="BS291" t="str">
        <f>IF('1. Live'!BS291='check-Jul25'!BS291,"",'1. Live'!BS291-'check-Jul25'!BS291)</f>
        <v/>
      </c>
      <c r="BT291" t="str">
        <f>IF('1. Live'!BT291='check-Jul25'!BT291,"",'1. Live'!BT291-'check-Jul25'!BT291)</f>
        <v/>
      </c>
      <c r="BU291" t="str">
        <f>IF('1. Live'!BU291='check-Jul25'!BU291,"",'1. Live'!BU291-'check-Jul25'!BU291)</f>
        <v/>
      </c>
      <c r="BV291" t="str">
        <f>IF('1. Live'!BV291='check-Jul25'!BV291,"",'1. Live'!BV291-'check-Jul25'!BV291)</f>
        <v/>
      </c>
      <c r="BW291" t="str">
        <f>IF('1. Live'!BW291='check-Jul25'!BW291,"",'1. Live'!BW291-'check-Jul25'!BW291)</f>
        <v/>
      </c>
      <c r="BX291" t="str">
        <f>IF('1. Live'!BX291='check-Jul25'!BX291,"",'1. Live'!BX291-'check-Jul25'!BX291)</f>
        <v/>
      </c>
      <c r="BY291" t="str">
        <f>IF('1. Live'!BY291='check-Jul25'!BY291,"",'1. Live'!BY291-'check-Jul25'!BY291)</f>
        <v/>
      </c>
      <c r="BZ291" t="str">
        <f>IF('1. Live'!BZ291='check-Jul25'!BZ291,"",'1. Live'!BZ291-'check-Jul25'!BZ291)</f>
        <v/>
      </c>
      <c r="CA291" t="str">
        <f>IF('1. Live'!CA291='check-Jul25'!CA291,"",'1. Live'!CA291-'check-Jul25'!CA291)</f>
        <v/>
      </c>
      <c r="CB291" t="str">
        <f>IF('1. Live'!CB291='check-Jul25'!CB291,"",'1. Live'!CB291-'check-Jul25'!CB291)</f>
        <v/>
      </c>
      <c r="CC291" t="str">
        <f>IF('1. Live'!CC291='check-Jul25'!CC291,"",'1. Live'!CC291-'check-Jul25'!CC291)</f>
        <v/>
      </c>
      <c r="CD291" t="str">
        <f>IF('1. Live'!CD291='check-Jul25'!CD291,"",'1. Live'!CD291-'check-Jul25'!CD291)</f>
        <v/>
      </c>
      <c r="CE291" t="str">
        <f>IF('1. Live'!CE291='check-Jul25'!CE291,"",'1. Live'!CE291-'check-Jul25'!CE291)</f>
        <v/>
      </c>
      <c r="CF291" t="str">
        <f>IF('1. Live'!CF291='check-Jul25'!CF291,"",'1. Live'!CF291-'check-Jul25'!CF291)</f>
        <v/>
      </c>
      <c r="CG291" t="str">
        <f>IF('1. Live'!CG291='check-Jul25'!CG291,"",'1. Live'!CG291-'check-Jul25'!CG291)</f>
        <v/>
      </c>
      <c r="CH291" t="str">
        <f>IF('1. Live'!CH291='check-Jul25'!CH291,"",'1. Live'!CH291-'check-Jul25'!CH291)</f>
        <v/>
      </c>
      <c r="CI291" t="str">
        <f>IF('1. Live'!CI291='check-Jul25'!CI291,"",'1. Live'!CI291-'check-Jul25'!CI291)</f>
        <v/>
      </c>
      <c r="CJ291" t="str">
        <f>IF('1. Live'!CJ291='check-Jul25'!CJ291,"",'1. Live'!CJ291-'check-Jul25'!CJ291)</f>
        <v/>
      </c>
      <c r="CK291" t="str">
        <f>IF('1. Live'!CK291='check-Jul25'!CK291,"",'1. Live'!CK291-'check-Jul25'!CK291)</f>
        <v/>
      </c>
      <c r="CL291" t="str">
        <f>IF('1. Live'!CL291='check-Jul25'!CL291,"",'1. Live'!CL291-'check-Jul25'!CL291)</f>
        <v/>
      </c>
      <c r="CM291" t="str">
        <f>IF('1. Live'!CM291='check-Jul25'!CM291,"",'1. Live'!CM291-'check-Jul25'!CM291)</f>
        <v/>
      </c>
      <c r="CN291" t="str">
        <f>IF('1. Live'!CN291='check-Jul25'!CN291,"",'1. Live'!CN291-'check-Jul25'!CN291)</f>
        <v/>
      </c>
      <c r="CO291" t="str">
        <f>IF('1. Live'!CO291='check-Jul25'!CO291,"",'1. Live'!CO291-'check-Jul25'!CO291)</f>
        <v/>
      </c>
      <c r="CP291" t="str">
        <f>IF('1. Live'!CP291='check-Jul25'!CP291,"",'1. Live'!CP291-'check-Jul25'!CP291)</f>
        <v/>
      </c>
      <c r="CQ291" t="str">
        <f>IF('1. Live'!CQ291='check-Jul25'!CQ291,"",'1. Live'!CQ291-'check-Jul25'!CQ291)</f>
        <v/>
      </c>
      <c r="CR291" t="str">
        <f>IF('1. Live'!CR291='check-Jul25'!CR291,"",'1. Live'!CR291-'check-Jul25'!CR291)</f>
        <v/>
      </c>
      <c r="CS291" t="str">
        <f>IF('1. Live'!CS291='check-Jul25'!CS291,"",'1. Live'!CS291-'check-Jul25'!CS291)</f>
        <v/>
      </c>
      <c r="CT291" t="str">
        <f>IF('1. Live'!CT291='check-Jul25'!CT291,"",'1. Live'!CT291-'check-Jul25'!CT291)</f>
        <v/>
      </c>
      <c r="CU291" t="str">
        <f>IF('1. Live'!CU291='check-Jul25'!CU291,"",'1. Live'!CU291-'check-Jul25'!CU291)</f>
        <v/>
      </c>
      <c r="CV291" t="str">
        <f>IF('1. Live'!CV291='check-Jul25'!CV291,"",'1. Live'!CV291-'check-Jul25'!CV291)</f>
        <v/>
      </c>
      <c r="CW291" t="str">
        <f>IF('1. Live'!CW291='check-Jul25'!CW291,"",'1. Live'!CW291-'check-Jul25'!CW291)</f>
        <v/>
      </c>
    </row>
    <row r="292" spans="10:101">
      <c r="J292" t="str">
        <f>IF('1. Live'!J292='check-Jul25'!J292,"",'1. Live'!J292-'check-Jul25'!J292)</f>
        <v/>
      </c>
      <c r="K292" t="str">
        <f>IF('1. Live'!K292='check-Jul25'!K292,"",'1. Live'!K292-'check-Jul25'!K292)</f>
        <v/>
      </c>
      <c r="L292" t="str">
        <f>IF('1. Live'!L292='check-Jul25'!L292,"",'1. Live'!L292-'check-Jul25'!L292)</f>
        <v/>
      </c>
      <c r="M292" t="str">
        <f>IF('1. Live'!M292='check-Jul25'!M292,"",'1. Live'!M292-'check-Jul25'!M292)</f>
        <v/>
      </c>
      <c r="N292" t="str">
        <f>IF('1. Live'!N292='check-Jul25'!N292,"",'1. Live'!N292-'check-Jul25'!N292)</f>
        <v/>
      </c>
      <c r="O292" t="str">
        <f>IF('1. Live'!O292='check-Jul25'!O292,"",'1. Live'!O292-'check-Jul25'!O292)</f>
        <v/>
      </c>
      <c r="P292" t="str">
        <f>IF('1. Live'!P292='check-Jul25'!P292,"",'1. Live'!P292-'check-Jul25'!P292)</f>
        <v/>
      </c>
      <c r="Q292" t="str">
        <f>IF('1. Live'!Q292='check-Jul25'!Q292,"",'1. Live'!Q292-'check-Jul25'!Q292)</f>
        <v/>
      </c>
      <c r="R292" t="str">
        <f>IF('1. Live'!R292='check-Jul25'!R292,"",'1. Live'!R292-'check-Jul25'!R292)</f>
        <v/>
      </c>
      <c r="S292" t="str">
        <f>IF('1. Live'!S292='check-Jul25'!S292,"",'1. Live'!S292-'check-Jul25'!S292)</f>
        <v/>
      </c>
      <c r="T292" t="str">
        <f>IF('1. Live'!T292='check-Jul25'!T292,"",'1. Live'!T292-'check-Jul25'!T292)</f>
        <v/>
      </c>
      <c r="U292" t="str">
        <f>IF('1. Live'!U292='check-Jul25'!U292,"",'1. Live'!U292-'check-Jul25'!U292)</f>
        <v/>
      </c>
      <c r="V292" t="str">
        <f>IF('1. Live'!V292='check-Jul25'!V292,"",'1. Live'!V292-'check-Jul25'!V292)</f>
        <v/>
      </c>
      <c r="W292" t="str">
        <f>IF('1. Live'!W292='check-Jul25'!W292,"",'1. Live'!W292-'check-Jul25'!W292)</f>
        <v/>
      </c>
      <c r="X292" t="str">
        <f>IF('1. Live'!X292='check-Jul25'!X292,"",'1. Live'!X292-'check-Jul25'!X292)</f>
        <v/>
      </c>
      <c r="Y292" t="str">
        <f>IF('1. Live'!Y292='check-Jul25'!Y292,"",'1. Live'!Y292-'check-Jul25'!Y292)</f>
        <v/>
      </c>
      <c r="Z292" t="str">
        <f>IF('1. Live'!Z292='check-Jul25'!Z292,"",'1. Live'!Z292-'check-Jul25'!Z292)</f>
        <v/>
      </c>
      <c r="AA292" t="str">
        <f>IF('1. Live'!AA292='check-Jul25'!AA292,"",'1. Live'!AA292-'check-Jul25'!AA292)</f>
        <v/>
      </c>
      <c r="AB292" t="str">
        <f>IF('1. Live'!AB292='check-Jul25'!AB292,"",'1. Live'!AB292-'check-Jul25'!AB292)</f>
        <v/>
      </c>
      <c r="AC292" t="str">
        <f>IF('1. Live'!AC292='check-Jul25'!AC292,"",'1. Live'!AC292-'check-Jul25'!AC292)</f>
        <v/>
      </c>
      <c r="AD292" t="str">
        <f>IF('1. Live'!AD292='check-Jul25'!AD292,"",'1. Live'!AD292-'check-Jul25'!AD292)</f>
        <v/>
      </c>
      <c r="AE292" t="str">
        <f>IF('1. Live'!AE292='check-Jul25'!AE292,"",'1. Live'!AE292-'check-Jul25'!AE292)</f>
        <v/>
      </c>
      <c r="AF292" t="str">
        <f>IF('1. Live'!AF292='check-Jul25'!AF292,"",'1. Live'!AF292-'check-Jul25'!AF292)</f>
        <v/>
      </c>
      <c r="AG292" t="str">
        <f>IF('1. Live'!AG292='check-Jul25'!AG292,"",'1. Live'!AG292-'check-Jul25'!AG292)</f>
        <v/>
      </c>
      <c r="AH292" t="str">
        <f>IF('1. Live'!AH292='check-Jul25'!AH292,"",'1. Live'!AH292-'check-Jul25'!AH292)</f>
        <v/>
      </c>
      <c r="AI292" t="str">
        <f>IF('1. Live'!AI292='check-Jul25'!AI292,"",'1. Live'!AI292-'check-Jul25'!AI292)</f>
        <v/>
      </c>
      <c r="AJ292" t="str">
        <f>IF('1. Live'!AJ292='check-Jul25'!AJ292,"",'1. Live'!AJ292-'check-Jul25'!AJ292)</f>
        <v/>
      </c>
      <c r="AK292" t="str">
        <f>IF('1. Live'!AK292='check-Jul25'!AK292,"",'1. Live'!AK292-'check-Jul25'!AK292)</f>
        <v/>
      </c>
      <c r="AL292" t="str">
        <f>IF('1. Live'!AL292='check-Jul25'!AL292,"",'1. Live'!AL292-'check-Jul25'!AL292)</f>
        <v/>
      </c>
      <c r="AM292" t="str">
        <f>IF('1. Live'!AM292='check-Jul25'!AM292,"",'1. Live'!AM292-'check-Jul25'!AM292)</f>
        <v/>
      </c>
      <c r="AN292" t="str">
        <f>IF('1. Live'!AN292='check-Jul25'!AN292,"",'1. Live'!AN292-'check-Jul25'!AN292)</f>
        <v/>
      </c>
      <c r="AO292" t="str">
        <f>IF('1. Live'!AO292='check-Jul25'!AO292,"",'1. Live'!AO292-'check-Jul25'!AO292)</f>
        <v/>
      </c>
      <c r="AP292" t="str">
        <f>IF('1. Live'!AP292='check-Jul25'!AP292,"",'1. Live'!AP292-'check-Jul25'!AP292)</f>
        <v/>
      </c>
      <c r="AQ292" t="str">
        <f>IF('1. Live'!AQ292='check-Jul25'!AQ292,"",'1. Live'!AQ292-'check-Jul25'!AQ292)</f>
        <v/>
      </c>
      <c r="AR292" t="str">
        <f>IF('1. Live'!AR292='check-Jul25'!AR292,"",'1. Live'!AR292-'check-Jul25'!AR292)</f>
        <v/>
      </c>
      <c r="AS292" t="str">
        <f>IF('1. Live'!AS292='check-Jul25'!AS292,"",'1. Live'!AS292-'check-Jul25'!AS292)</f>
        <v/>
      </c>
      <c r="AT292" t="str">
        <f>IF('1. Live'!AT292='check-Jul25'!AT292,"",'1. Live'!AT292-'check-Jul25'!AT292)</f>
        <v/>
      </c>
      <c r="AU292" t="str">
        <f>IF('1. Live'!AU292='check-Jul25'!AU292,"",'1. Live'!AU292-'check-Jul25'!AU292)</f>
        <v/>
      </c>
      <c r="AV292" t="str">
        <f>IF('1. Live'!AV292='check-Jul25'!AV292,"",'1. Live'!AV292-'check-Jul25'!AV292)</f>
        <v/>
      </c>
      <c r="AW292" t="str">
        <f>IF('1. Live'!AW292='check-Jul25'!AW292,"",'1. Live'!AW292-'check-Jul25'!AW292)</f>
        <v/>
      </c>
      <c r="AX292" t="str">
        <f>IF('1. Live'!AX292='check-Jul25'!AX292,"",'1. Live'!AX292-'check-Jul25'!AX292)</f>
        <v/>
      </c>
      <c r="AY292" t="str">
        <f>IF('1. Live'!AY292='check-Jul25'!AY292,"",'1. Live'!AY292-'check-Jul25'!AY292)</f>
        <v/>
      </c>
      <c r="AZ292" t="str">
        <f>IF('1. Live'!AZ292='check-Jul25'!AZ292,"",'1. Live'!AZ292-'check-Jul25'!AZ292)</f>
        <v/>
      </c>
      <c r="BA292" t="str">
        <f>IF('1. Live'!BA292='check-Jul25'!BA292,"",'1. Live'!BA292-'check-Jul25'!BA292)</f>
        <v/>
      </c>
      <c r="BB292" t="str">
        <f>IF('1. Live'!BB292='check-Jul25'!BB292,"",'1. Live'!BB292-'check-Jul25'!BB292)</f>
        <v/>
      </c>
      <c r="BC292" t="str">
        <f>IF('1. Live'!BC292='check-Jul25'!BC292,"",'1. Live'!BC292-'check-Jul25'!BC292)</f>
        <v/>
      </c>
      <c r="BD292" t="str">
        <f>IF('1. Live'!BD292='check-Jul25'!BD292,"",'1. Live'!BD292-'check-Jul25'!BD292)</f>
        <v/>
      </c>
      <c r="BE292" t="str">
        <f>IF('1. Live'!BE292='check-Jul25'!BE292,"",'1. Live'!BE292-'check-Jul25'!BE292)</f>
        <v/>
      </c>
      <c r="BF292" t="str">
        <f>IF('1. Live'!BF292='check-Jul25'!BF292,"",'1. Live'!BF292-'check-Jul25'!BF292)</f>
        <v/>
      </c>
      <c r="BG292" t="str">
        <f>IF('1. Live'!BG292='check-Jul25'!BG292,"",'1. Live'!BG292-'check-Jul25'!BG292)</f>
        <v/>
      </c>
      <c r="BH292" t="str">
        <f>IF('1. Live'!BH292='check-Jul25'!BH292,"",'1. Live'!BH292-'check-Jul25'!BH292)</f>
        <v/>
      </c>
      <c r="BI292" t="str">
        <f>IF('1. Live'!BI292='check-Jul25'!BI292,"",'1. Live'!BI292-'check-Jul25'!BI292)</f>
        <v/>
      </c>
      <c r="BJ292" t="str">
        <f>IF('1. Live'!BJ292='check-Jul25'!BJ292,"",'1. Live'!BJ292-'check-Jul25'!BJ292)</f>
        <v/>
      </c>
      <c r="BK292" t="str">
        <f>IF('1. Live'!BK292='check-Jul25'!BK292,"",'1. Live'!BK292-'check-Jul25'!BK292)</f>
        <v/>
      </c>
      <c r="BL292" t="str">
        <f>IF('1. Live'!BL292='check-Jul25'!BL292,"",'1. Live'!BL292-'check-Jul25'!BL292)</f>
        <v/>
      </c>
      <c r="BM292" t="str">
        <f>IF('1. Live'!BM292='check-Jul25'!BM292,"",'1. Live'!BM292-'check-Jul25'!BM292)</f>
        <v/>
      </c>
      <c r="BN292" t="str">
        <f>IF('1. Live'!BN292='check-Jul25'!BN292,"",'1. Live'!BN292-'check-Jul25'!BN292)</f>
        <v/>
      </c>
      <c r="BO292" t="str">
        <f>IF('1. Live'!BO292='check-Jul25'!BO292,"",'1. Live'!BO292-'check-Jul25'!BO292)</f>
        <v/>
      </c>
      <c r="BP292" t="str">
        <f>IF('1. Live'!BP292='check-Jul25'!BP292,"",'1. Live'!BP292-'check-Jul25'!BP292)</f>
        <v/>
      </c>
      <c r="BQ292" t="str">
        <f>IF('1. Live'!BQ292='check-Jul25'!BQ292,"",'1. Live'!BQ292-'check-Jul25'!BQ292)</f>
        <v/>
      </c>
      <c r="BR292" t="str">
        <f>IF('1. Live'!BR292='check-Jul25'!BR292,"",'1. Live'!BR292-'check-Jul25'!BR292)</f>
        <v/>
      </c>
      <c r="BS292" t="str">
        <f>IF('1. Live'!BS292='check-Jul25'!BS292,"",'1. Live'!BS292-'check-Jul25'!BS292)</f>
        <v/>
      </c>
      <c r="BT292" t="str">
        <f>IF('1. Live'!BT292='check-Jul25'!BT292,"",'1. Live'!BT292-'check-Jul25'!BT292)</f>
        <v/>
      </c>
      <c r="BU292" t="str">
        <f>IF('1. Live'!BU292='check-Jul25'!BU292,"",'1. Live'!BU292-'check-Jul25'!BU292)</f>
        <v/>
      </c>
      <c r="BV292" t="str">
        <f>IF('1. Live'!BV292='check-Jul25'!BV292,"",'1. Live'!BV292-'check-Jul25'!BV292)</f>
        <v/>
      </c>
      <c r="BW292" t="str">
        <f>IF('1. Live'!BW292='check-Jul25'!BW292,"",'1. Live'!BW292-'check-Jul25'!BW292)</f>
        <v/>
      </c>
      <c r="BX292" t="str">
        <f>IF('1. Live'!BX292='check-Jul25'!BX292,"",'1. Live'!BX292-'check-Jul25'!BX292)</f>
        <v/>
      </c>
      <c r="BY292" t="str">
        <f>IF('1. Live'!BY292='check-Jul25'!BY292,"",'1. Live'!BY292-'check-Jul25'!BY292)</f>
        <v/>
      </c>
      <c r="BZ292" t="str">
        <f>IF('1. Live'!BZ292='check-Jul25'!BZ292,"",'1. Live'!BZ292-'check-Jul25'!BZ292)</f>
        <v/>
      </c>
      <c r="CA292" t="str">
        <f>IF('1. Live'!CA292='check-Jul25'!CA292,"",'1. Live'!CA292-'check-Jul25'!CA292)</f>
        <v/>
      </c>
      <c r="CB292" t="str">
        <f>IF('1. Live'!CB292='check-Jul25'!CB292,"",'1. Live'!CB292-'check-Jul25'!CB292)</f>
        <v/>
      </c>
      <c r="CC292" t="str">
        <f>IF('1. Live'!CC292='check-Jul25'!CC292,"",'1. Live'!CC292-'check-Jul25'!CC292)</f>
        <v/>
      </c>
      <c r="CD292" t="str">
        <f>IF('1. Live'!CD292='check-Jul25'!CD292,"",'1. Live'!CD292-'check-Jul25'!CD292)</f>
        <v/>
      </c>
      <c r="CE292" t="str">
        <f>IF('1. Live'!CE292='check-Jul25'!CE292,"",'1. Live'!CE292-'check-Jul25'!CE292)</f>
        <v/>
      </c>
      <c r="CF292" t="str">
        <f>IF('1. Live'!CF292='check-Jul25'!CF292,"",'1. Live'!CF292-'check-Jul25'!CF292)</f>
        <v/>
      </c>
      <c r="CG292" t="str">
        <f>IF('1. Live'!CG292='check-Jul25'!CG292,"",'1. Live'!CG292-'check-Jul25'!CG292)</f>
        <v/>
      </c>
      <c r="CH292" t="str">
        <f>IF('1. Live'!CH292='check-Jul25'!CH292,"",'1. Live'!CH292-'check-Jul25'!CH292)</f>
        <v/>
      </c>
      <c r="CI292" t="str">
        <f>IF('1. Live'!CI292='check-Jul25'!CI292,"",'1. Live'!CI292-'check-Jul25'!CI292)</f>
        <v/>
      </c>
      <c r="CJ292" t="str">
        <f>IF('1. Live'!CJ292='check-Jul25'!CJ292,"",'1. Live'!CJ292-'check-Jul25'!CJ292)</f>
        <v/>
      </c>
      <c r="CK292" t="str">
        <f>IF('1. Live'!CK292='check-Jul25'!CK292,"",'1. Live'!CK292-'check-Jul25'!CK292)</f>
        <v/>
      </c>
      <c r="CL292" t="str">
        <f>IF('1. Live'!CL292='check-Jul25'!CL292,"",'1. Live'!CL292-'check-Jul25'!CL292)</f>
        <v/>
      </c>
      <c r="CM292" t="str">
        <f>IF('1. Live'!CM292='check-Jul25'!CM292,"",'1. Live'!CM292-'check-Jul25'!CM292)</f>
        <v/>
      </c>
      <c r="CN292" t="str">
        <f>IF('1. Live'!CN292='check-Jul25'!CN292,"",'1. Live'!CN292-'check-Jul25'!CN292)</f>
        <v/>
      </c>
      <c r="CO292" t="str">
        <f>IF('1. Live'!CO292='check-Jul25'!CO292,"",'1. Live'!CO292-'check-Jul25'!CO292)</f>
        <v/>
      </c>
      <c r="CP292" t="str">
        <f>IF('1. Live'!CP292='check-Jul25'!CP292,"",'1. Live'!CP292-'check-Jul25'!CP292)</f>
        <v/>
      </c>
      <c r="CQ292" t="str">
        <f>IF('1. Live'!CQ292='check-Jul25'!CQ292,"",'1. Live'!CQ292-'check-Jul25'!CQ292)</f>
        <v/>
      </c>
      <c r="CR292" t="str">
        <f>IF('1. Live'!CR292='check-Jul25'!CR292,"",'1. Live'!CR292-'check-Jul25'!CR292)</f>
        <v/>
      </c>
      <c r="CS292" t="str">
        <f>IF('1. Live'!CS292='check-Jul25'!CS292,"",'1. Live'!CS292-'check-Jul25'!CS292)</f>
        <v/>
      </c>
      <c r="CT292" t="str">
        <f>IF('1. Live'!CT292='check-Jul25'!CT292,"",'1. Live'!CT292-'check-Jul25'!CT292)</f>
        <v/>
      </c>
      <c r="CU292" t="str">
        <f>IF('1. Live'!CU292='check-Jul25'!CU292,"",'1. Live'!CU292-'check-Jul25'!CU292)</f>
        <v/>
      </c>
      <c r="CV292" t="str">
        <f>IF('1. Live'!CV292='check-Jul25'!CV292,"",'1. Live'!CV292-'check-Jul25'!CV292)</f>
        <v/>
      </c>
      <c r="CW292" t="str">
        <f>IF('1. Live'!CW292='check-Jul25'!CW292,"",'1. Live'!CW292-'check-Jul25'!CW292)</f>
        <v/>
      </c>
    </row>
    <row r="293" spans="10:101">
      <c r="J293" t="str">
        <f>IF('1. Live'!J293='check-Jul25'!J293,"",'1. Live'!J293-'check-Jul25'!J293)</f>
        <v/>
      </c>
      <c r="K293" t="str">
        <f>IF('1. Live'!K293='check-Jul25'!K293,"",'1. Live'!K293-'check-Jul25'!K293)</f>
        <v/>
      </c>
      <c r="L293" t="str">
        <f>IF('1. Live'!L293='check-Jul25'!L293,"",'1. Live'!L293-'check-Jul25'!L293)</f>
        <v/>
      </c>
      <c r="M293" t="str">
        <f>IF('1. Live'!M293='check-Jul25'!M293,"",'1. Live'!M293-'check-Jul25'!M293)</f>
        <v/>
      </c>
      <c r="N293" t="str">
        <f>IF('1. Live'!N293='check-Jul25'!N293,"",'1. Live'!N293-'check-Jul25'!N293)</f>
        <v/>
      </c>
      <c r="O293" t="str">
        <f>IF('1. Live'!O293='check-Jul25'!O293,"",'1. Live'!O293-'check-Jul25'!O293)</f>
        <v/>
      </c>
      <c r="P293" t="str">
        <f>IF('1. Live'!P293='check-Jul25'!P293,"",'1. Live'!P293-'check-Jul25'!P293)</f>
        <v/>
      </c>
      <c r="Q293" t="str">
        <f>IF('1. Live'!Q293='check-Jul25'!Q293,"",'1. Live'!Q293-'check-Jul25'!Q293)</f>
        <v/>
      </c>
      <c r="R293" t="str">
        <f>IF('1. Live'!R293='check-Jul25'!R293,"",'1. Live'!R293-'check-Jul25'!R293)</f>
        <v/>
      </c>
      <c r="S293" t="str">
        <f>IF('1. Live'!S293='check-Jul25'!S293,"",'1. Live'!S293-'check-Jul25'!S293)</f>
        <v/>
      </c>
      <c r="T293" t="str">
        <f>IF('1. Live'!T293='check-Jul25'!T293,"",'1. Live'!T293-'check-Jul25'!T293)</f>
        <v/>
      </c>
      <c r="U293" t="str">
        <f>IF('1. Live'!U293='check-Jul25'!U293,"",'1. Live'!U293-'check-Jul25'!U293)</f>
        <v/>
      </c>
      <c r="V293" t="str">
        <f>IF('1. Live'!V293='check-Jul25'!V293,"",'1. Live'!V293-'check-Jul25'!V293)</f>
        <v/>
      </c>
      <c r="W293" t="str">
        <f>IF('1. Live'!W293='check-Jul25'!W293,"",'1. Live'!W293-'check-Jul25'!W293)</f>
        <v/>
      </c>
      <c r="X293" t="str">
        <f>IF('1. Live'!X293='check-Jul25'!X293,"",'1. Live'!X293-'check-Jul25'!X293)</f>
        <v/>
      </c>
      <c r="Y293" t="str">
        <f>IF('1. Live'!Y293='check-Jul25'!Y293,"",'1. Live'!Y293-'check-Jul25'!Y293)</f>
        <v/>
      </c>
      <c r="Z293" t="str">
        <f>IF('1. Live'!Z293='check-Jul25'!Z293,"",'1. Live'!Z293-'check-Jul25'!Z293)</f>
        <v/>
      </c>
      <c r="AA293" t="str">
        <f>IF('1. Live'!AA293='check-Jul25'!AA293,"",'1. Live'!AA293-'check-Jul25'!AA293)</f>
        <v/>
      </c>
      <c r="AB293" t="str">
        <f>IF('1. Live'!AB293='check-Jul25'!AB293,"",'1. Live'!AB293-'check-Jul25'!AB293)</f>
        <v/>
      </c>
      <c r="AC293" t="str">
        <f>IF('1. Live'!AC293='check-Jul25'!AC293,"",'1. Live'!AC293-'check-Jul25'!AC293)</f>
        <v/>
      </c>
      <c r="AD293" t="str">
        <f>IF('1. Live'!AD293='check-Jul25'!AD293,"",'1. Live'!AD293-'check-Jul25'!AD293)</f>
        <v/>
      </c>
      <c r="AE293" t="str">
        <f>IF('1. Live'!AE293='check-Jul25'!AE293,"",'1. Live'!AE293-'check-Jul25'!AE293)</f>
        <v/>
      </c>
      <c r="AF293" t="str">
        <f>IF('1. Live'!AF293='check-Jul25'!AF293,"",'1. Live'!AF293-'check-Jul25'!AF293)</f>
        <v/>
      </c>
      <c r="AG293" t="str">
        <f>IF('1. Live'!AG293='check-Jul25'!AG293,"",'1. Live'!AG293-'check-Jul25'!AG293)</f>
        <v/>
      </c>
      <c r="AH293" t="str">
        <f>IF('1. Live'!AH293='check-Jul25'!AH293,"",'1. Live'!AH293-'check-Jul25'!AH293)</f>
        <v/>
      </c>
      <c r="AI293" t="str">
        <f>IF('1. Live'!AI293='check-Jul25'!AI293,"",'1. Live'!AI293-'check-Jul25'!AI293)</f>
        <v/>
      </c>
      <c r="AJ293" t="str">
        <f>IF('1. Live'!AJ293='check-Jul25'!AJ293,"",'1. Live'!AJ293-'check-Jul25'!AJ293)</f>
        <v/>
      </c>
      <c r="AK293" t="str">
        <f>IF('1. Live'!AK293='check-Jul25'!AK293,"",'1. Live'!AK293-'check-Jul25'!AK293)</f>
        <v/>
      </c>
      <c r="AL293" t="str">
        <f>IF('1. Live'!AL293='check-Jul25'!AL293,"",'1. Live'!AL293-'check-Jul25'!AL293)</f>
        <v/>
      </c>
      <c r="AM293" t="str">
        <f>IF('1. Live'!AM293='check-Jul25'!AM293,"",'1. Live'!AM293-'check-Jul25'!AM293)</f>
        <v/>
      </c>
      <c r="AN293" t="str">
        <f>IF('1. Live'!AN293='check-Jul25'!AN293,"",'1. Live'!AN293-'check-Jul25'!AN293)</f>
        <v/>
      </c>
      <c r="AO293" t="str">
        <f>IF('1. Live'!AO293='check-Jul25'!AO293,"",'1. Live'!AO293-'check-Jul25'!AO293)</f>
        <v/>
      </c>
      <c r="AP293" t="str">
        <f>IF('1. Live'!AP293='check-Jul25'!AP293,"",'1. Live'!AP293-'check-Jul25'!AP293)</f>
        <v/>
      </c>
      <c r="AQ293" t="str">
        <f>IF('1. Live'!AQ293='check-Jul25'!AQ293,"",'1. Live'!AQ293-'check-Jul25'!AQ293)</f>
        <v/>
      </c>
      <c r="AR293" t="str">
        <f>IF('1. Live'!AR293='check-Jul25'!AR293,"",'1. Live'!AR293-'check-Jul25'!AR293)</f>
        <v/>
      </c>
      <c r="AS293" t="str">
        <f>IF('1. Live'!AS293='check-Jul25'!AS293,"",'1. Live'!AS293-'check-Jul25'!AS293)</f>
        <v/>
      </c>
      <c r="AT293" t="str">
        <f>IF('1. Live'!AT293='check-Jul25'!AT293,"",'1. Live'!AT293-'check-Jul25'!AT293)</f>
        <v/>
      </c>
      <c r="AU293" t="str">
        <f>IF('1. Live'!AU293='check-Jul25'!AU293,"",'1. Live'!AU293-'check-Jul25'!AU293)</f>
        <v/>
      </c>
      <c r="AV293" t="str">
        <f>IF('1. Live'!AV293='check-Jul25'!AV293,"",'1. Live'!AV293-'check-Jul25'!AV293)</f>
        <v/>
      </c>
      <c r="AW293" t="str">
        <f>IF('1. Live'!AW293='check-Jul25'!AW293,"",'1. Live'!AW293-'check-Jul25'!AW293)</f>
        <v/>
      </c>
      <c r="AX293" t="str">
        <f>IF('1. Live'!AX293='check-Jul25'!AX293,"",'1. Live'!AX293-'check-Jul25'!AX293)</f>
        <v/>
      </c>
      <c r="AY293" t="str">
        <f>IF('1. Live'!AY293='check-Jul25'!AY293,"",'1. Live'!AY293-'check-Jul25'!AY293)</f>
        <v/>
      </c>
      <c r="AZ293" t="str">
        <f>IF('1. Live'!AZ293='check-Jul25'!AZ293,"",'1. Live'!AZ293-'check-Jul25'!AZ293)</f>
        <v/>
      </c>
      <c r="BA293" t="str">
        <f>IF('1. Live'!BA293='check-Jul25'!BA293,"",'1. Live'!BA293-'check-Jul25'!BA293)</f>
        <v/>
      </c>
      <c r="BB293" t="str">
        <f>IF('1. Live'!BB293='check-Jul25'!BB293,"",'1. Live'!BB293-'check-Jul25'!BB293)</f>
        <v/>
      </c>
      <c r="BC293" t="str">
        <f>IF('1. Live'!BC293='check-Jul25'!BC293,"",'1. Live'!BC293-'check-Jul25'!BC293)</f>
        <v/>
      </c>
      <c r="BD293" t="str">
        <f>IF('1. Live'!BD293='check-Jul25'!BD293,"",'1. Live'!BD293-'check-Jul25'!BD293)</f>
        <v/>
      </c>
      <c r="BE293" t="str">
        <f>IF('1. Live'!BE293='check-Jul25'!BE293,"",'1. Live'!BE293-'check-Jul25'!BE293)</f>
        <v/>
      </c>
      <c r="BF293" t="str">
        <f>IF('1. Live'!BF293='check-Jul25'!BF293,"",'1. Live'!BF293-'check-Jul25'!BF293)</f>
        <v/>
      </c>
      <c r="BG293" t="str">
        <f>IF('1. Live'!BG293='check-Jul25'!BG293,"",'1. Live'!BG293-'check-Jul25'!BG293)</f>
        <v/>
      </c>
      <c r="BH293" t="str">
        <f>IF('1. Live'!BH293='check-Jul25'!BH293,"",'1. Live'!BH293-'check-Jul25'!BH293)</f>
        <v/>
      </c>
      <c r="BI293" t="str">
        <f>IF('1. Live'!BI293='check-Jul25'!BI293,"",'1. Live'!BI293-'check-Jul25'!BI293)</f>
        <v/>
      </c>
      <c r="BJ293" t="str">
        <f>IF('1. Live'!BJ293='check-Jul25'!BJ293,"",'1. Live'!BJ293-'check-Jul25'!BJ293)</f>
        <v/>
      </c>
      <c r="BK293" t="str">
        <f>IF('1. Live'!BK293='check-Jul25'!BK293,"",'1. Live'!BK293-'check-Jul25'!BK293)</f>
        <v/>
      </c>
      <c r="BL293" t="str">
        <f>IF('1. Live'!BL293='check-Jul25'!BL293,"",'1. Live'!BL293-'check-Jul25'!BL293)</f>
        <v/>
      </c>
      <c r="BM293" t="str">
        <f>IF('1. Live'!BM293='check-Jul25'!BM293,"",'1. Live'!BM293-'check-Jul25'!BM293)</f>
        <v/>
      </c>
      <c r="BN293" t="str">
        <f>IF('1. Live'!BN293='check-Jul25'!BN293,"",'1. Live'!BN293-'check-Jul25'!BN293)</f>
        <v/>
      </c>
      <c r="BO293" t="str">
        <f>IF('1. Live'!BO293='check-Jul25'!BO293,"",'1. Live'!BO293-'check-Jul25'!BO293)</f>
        <v/>
      </c>
      <c r="BP293" t="str">
        <f>IF('1. Live'!BP293='check-Jul25'!BP293,"",'1. Live'!BP293-'check-Jul25'!BP293)</f>
        <v/>
      </c>
      <c r="BQ293" t="str">
        <f>IF('1. Live'!BQ293='check-Jul25'!BQ293,"",'1. Live'!BQ293-'check-Jul25'!BQ293)</f>
        <v/>
      </c>
      <c r="BR293" t="str">
        <f>IF('1. Live'!BR293='check-Jul25'!BR293,"",'1. Live'!BR293-'check-Jul25'!BR293)</f>
        <v/>
      </c>
      <c r="BS293" t="str">
        <f>IF('1. Live'!BS293='check-Jul25'!BS293,"",'1. Live'!BS293-'check-Jul25'!BS293)</f>
        <v/>
      </c>
      <c r="BT293" t="str">
        <f>IF('1. Live'!BT293='check-Jul25'!BT293,"",'1. Live'!BT293-'check-Jul25'!BT293)</f>
        <v/>
      </c>
      <c r="BU293" t="str">
        <f>IF('1. Live'!BU293='check-Jul25'!BU293,"",'1. Live'!BU293-'check-Jul25'!BU293)</f>
        <v/>
      </c>
      <c r="BV293" t="str">
        <f>IF('1. Live'!BV293='check-Jul25'!BV293,"",'1. Live'!BV293-'check-Jul25'!BV293)</f>
        <v/>
      </c>
      <c r="BW293" t="str">
        <f>IF('1. Live'!BW293='check-Jul25'!BW293,"",'1. Live'!BW293-'check-Jul25'!BW293)</f>
        <v/>
      </c>
      <c r="BX293" t="str">
        <f>IF('1. Live'!BX293='check-Jul25'!BX293,"",'1. Live'!BX293-'check-Jul25'!BX293)</f>
        <v/>
      </c>
      <c r="BY293" t="str">
        <f>IF('1. Live'!BY293='check-Jul25'!BY293,"",'1. Live'!BY293-'check-Jul25'!BY293)</f>
        <v/>
      </c>
      <c r="BZ293" t="str">
        <f>IF('1. Live'!BZ293='check-Jul25'!BZ293,"",'1. Live'!BZ293-'check-Jul25'!BZ293)</f>
        <v/>
      </c>
      <c r="CA293" t="str">
        <f>IF('1. Live'!CA293='check-Jul25'!CA293,"",'1. Live'!CA293-'check-Jul25'!CA293)</f>
        <v/>
      </c>
      <c r="CB293" t="str">
        <f>IF('1. Live'!CB293='check-Jul25'!CB293,"",'1. Live'!CB293-'check-Jul25'!CB293)</f>
        <v/>
      </c>
      <c r="CC293" t="str">
        <f>IF('1. Live'!CC293='check-Jul25'!CC293,"",'1. Live'!CC293-'check-Jul25'!CC293)</f>
        <v/>
      </c>
      <c r="CD293" t="str">
        <f>IF('1. Live'!CD293='check-Jul25'!CD293,"",'1. Live'!CD293-'check-Jul25'!CD293)</f>
        <v/>
      </c>
      <c r="CE293" t="str">
        <f>IF('1. Live'!CE293='check-Jul25'!CE293,"",'1. Live'!CE293-'check-Jul25'!CE293)</f>
        <v/>
      </c>
      <c r="CF293" t="str">
        <f>IF('1. Live'!CF293='check-Jul25'!CF293,"",'1. Live'!CF293-'check-Jul25'!CF293)</f>
        <v/>
      </c>
      <c r="CG293" t="str">
        <f>IF('1. Live'!CG293='check-Jul25'!CG293,"",'1. Live'!CG293-'check-Jul25'!CG293)</f>
        <v/>
      </c>
      <c r="CH293" t="str">
        <f>IF('1. Live'!CH293='check-Jul25'!CH293,"",'1. Live'!CH293-'check-Jul25'!CH293)</f>
        <v/>
      </c>
      <c r="CI293" t="str">
        <f>IF('1. Live'!CI293='check-Jul25'!CI293,"",'1. Live'!CI293-'check-Jul25'!CI293)</f>
        <v/>
      </c>
      <c r="CJ293" t="str">
        <f>IF('1. Live'!CJ293='check-Jul25'!CJ293,"",'1. Live'!CJ293-'check-Jul25'!CJ293)</f>
        <v/>
      </c>
      <c r="CK293" t="str">
        <f>IF('1. Live'!CK293='check-Jul25'!CK293,"",'1. Live'!CK293-'check-Jul25'!CK293)</f>
        <v/>
      </c>
      <c r="CL293" t="str">
        <f>IF('1. Live'!CL293='check-Jul25'!CL293,"",'1. Live'!CL293-'check-Jul25'!CL293)</f>
        <v/>
      </c>
      <c r="CM293" t="str">
        <f>IF('1. Live'!CM293='check-Jul25'!CM293,"",'1. Live'!CM293-'check-Jul25'!CM293)</f>
        <v/>
      </c>
      <c r="CN293" t="str">
        <f>IF('1. Live'!CN293='check-Jul25'!CN293,"",'1. Live'!CN293-'check-Jul25'!CN293)</f>
        <v/>
      </c>
      <c r="CO293" t="str">
        <f>IF('1. Live'!CO293='check-Jul25'!CO293,"",'1. Live'!CO293-'check-Jul25'!CO293)</f>
        <v/>
      </c>
      <c r="CP293" t="str">
        <f>IF('1. Live'!CP293='check-Jul25'!CP293,"",'1. Live'!CP293-'check-Jul25'!CP293)</f>
        <v/>
      </c>
      <c r="CQ293" t="str">
        <f>IF('1. Live'!CQ293='check-Jul25'!CQ293,"",'1. Live'!CQ293-'check-Jul25'!CQ293)</f>
        <v/>
      </c>
      <c r="CR293" t="str">
        <f>IF('1. Live'!CR293='check-Jul25'!CR293,"",'1. Live'!CR293-'check-Jul25'!CR293)</f>
        <v/>
      </c>
      <c r="CS293" t="str">
        <f>IF('1. Live'!CS293='check-Jul25'!CS293,"",'1. Live'!CS293-'check-Jul25'!CS293)</f>
        <v/>
      </c>
      <c r="CT293" t="str">
        <f>IF('1. Live'!CT293='check-Jul25'!CT293,"",'1. Live'!CT293-'check-Jul25'!CT293)</f>
        <v/>
      </c>
      <c r="CU293" t="str">
        <f>IF('1. Live'!CU293='check-Jul25'!CU293,"",'1. Live'!CU293-'check-Jul25'!CU293)</f>
        <v/>
      </c>
      <c r="CV293" t="str">
        <f>IF('1. Live'!CV293='check-Jul25'!CV293,"",'1. Live'!CV293-'check-Jul25'!CV293)</f>
        <v/>
      </c>
      <c r="CW293" t="str">
        <f>IF('1. Live'!CW293='check-Jul25'!CW293,"",'1. Live'!CW293-'check-Jul25'!CW293)</f>
        <v/>
      </c>
    </row>
    <row r="294" spans="10:101">
      <c r="J294" t="str">
        <f>IF('1. Live'!J294='check-Jul25'!J294,"",'1. Live'!J294-'check-Jul25'!J294)</f>
        <v/>
      </c>
      <c r="K294" t="str">
        <f>IF('1. Live'!K294='check-Jul25'!K294,"",'1. Live'!K294-'check-Jul25'!K294)</f>
        <v/>
      </c>
      <c r="L294" t="str">
        <f>IF('1. Live'!L294='check-Jul25'!L294,"",'1. Live'!L294-'check-Jul25'!L294)</f>
        <v/>
      </c>
      <c r="M294" t="str">
        <f>IF('1. Live'!M294='check-Jul25'!M294,"",'1. Live'!M294-'check-Jul25'!M294)</f>
        <v/>
      </c>
      <c r="N294" t="str">
        <f>IF('1. Live'!N294='check-Jul25'!N294,"",'1. Live'!N294-'check-Jul25'!N294)</f>
        <v/>
      </c>
      <c r="O294" t="str">
        <f>IF('1. Live'!O294='check-Jul25'!O294,"",'1. Live'!O294-'check-Jul25'!O294)</f>
        <v/>
      </c>
      <c r="P294" t="str">
        <f>IF('1. Live'!P294='check-Jul25'!P294,"",'1. Live'!P294-'check-Jul25'!P294)</f>
        <v/>
      </c>
      <c r="Q294" t="str">
        <f>IF('1. Live'!Q294='check-Jul25'!Q294,"",'1. Live'!Q294-'check-Jul25'!Q294)</f>
        <v/>
      </c>
      <c r="R294" t="str">
        <f>IF('1. Live'!R294='check-Jul25'!R294,"",'1. Live'!R294-'check-Jul25'!R294)</f>
        <v/>
      </c>
      <c r="S294" t="str">
        <f>IF('1. Live'!S294='check-Jul25'!S294,"",'1. Live'!S294-'check-Jul25'!S294)</f>
        <v/>
      </c>
      <c r="T294" t="str">
        <f>IF('1. Live'!T294='check-Jul25'!T294,"",'1. Live'!T294-'check-Jul25'!T294)</f>
        <v/>
      </c>
      <c r="U294" t="str">
        <f>IF('1. Live'!U294='check-Jul25'!U294,"",'1. Live'!U294-'check-Jul25'!U294)</f>
        <v/>
      </c>
      <c r="V294" t="str">
        <f>IF('1. Live'!V294='check-Jul25'!V294,"",'1. Live'!V294-'check-Jul25'!V294)</f>
        <v/>
      </c>
      <c r="W294" t="str">
        <f>IF('1. Live'!W294='check-Jul25'!W294,"",'1. Live'!W294-'check-Jul25'!W294)</f>
        <v/>
      </c>
      <c r="X294" t="str">
        <f>IF('1. Live'!X294='check-Jul25'!X294,"",'1. Live'!X294-'check-Jul25'!X294)</f>
        <v/>
      </c>
      <c r="Y294" t="str">
        <f>IF('1. Live'!Y294='check-Jul25'!Y294,"",'1. Live'!Y294-'check-Jul25'!Y294)</f>
        <v/>
      </c>
      <c r="Z294" t="str">
        <f>IF('1. Live'!Z294='check-Jul25'!Z294,"",'1. Live'!Z294-'check-Jul25'!Z294)</f>
        <v/>
      </c>
      <c r="AA294" t="str">
        <f>IF('1. Live'!AA294='check-Jul25'!AA294,"",'1. Live'!AA294-'check-Jul25'!AA294)</f>
        <v/>
      </c>
      <c r="AB294" t="str">
        <f>IF('1. Live'!AB294='check-Jul25'!AB294,"",'1. Live'!AB294-'check-Jul25'!AB294)</f>
        <v/>
      </c>
      <c r="AC294" t="str">
        <f>IF('1. Live'!AC294='check-Jul25'!AC294,"",'1. Live'!AC294-'check-Jul25'!AC294)</f>
        <v/>
      </c>
      <c r="AD294" t="str">
        <f>IF('1. Live'!AD294='check-Jul25'!AD294,"",'1. Live'!AD294-'check-Jul25'!AD294)</f>
        <v/>
      </c>
      <c r="AE294" t="str">
        <f>IF('1. Live'!AE294='check-Jul25'!AE294,"",'1. Live'!AE294-'check-Jul25'!AE294)</f>
        <v/>
      </c>
      <c r="AF294" t="str">
        <f>IF('1. Live'!AF294='check-Jul25'!AF294,"",'1. Live'!AF294-'check-Jul25'!AF294)</f>
        <v/>
      </c>
      <c r="AG294" t="str">
        <f>IF('1. Live'!AG294='check-Jul25'!AG294,"",'1. Live'!AG294-'check-Jul25'!AG294)</f>
        <v/>
      </c>
      <c r="AH294" t="str">
        <f>IF('1. Live'!AH294='check-Jul25'!AH294,"",'1. Live'!AH294-'check-Jul25'!AH294)</f>
        <v/>
      </c>
      <c r="AI294" t="str">
        <f>IF('1. Live'!AI294='check-Jul25'!AI294,"",'1. Live'!AI294-'check-Jul25'!AI294)</f>
        <v/>
      </c>
      <c r="AJ294" t="str">
        <f>IF('1. Live'!AJ294='check-Jul25'!AJ294,"",'1. Live'!AJ294-'check-Jul25'!AJ294)</f>
        <v/>
      </c>
      <c r="AK294" t="str">
        <f>IF('1. Live'!AK294='check-Jul25'!AK294,"",'1. Live'!AK294-'check-Jul25'!AK294)</f>
        <v/>
      </c>
      <c r="AL294" t="str">
        <f>IF('1. Live'!AL294='check-Jul25'!AL294,"",'1. Live'!AL294-'check-Jul25'!AL294)</f>
        <v/>
      </c>
      <c r="AM294" t="str">
        <f>IF('1. Live'!AM294='check-Jul25'!AM294,"",'1. Live'!AM294-'check-Jul25'!AM294)</f>
        <v/>
      </c>
      <c r="AN294" t="str">
        <f>IF('1. Live'!AN294='check-Jul25'!AN294,"",'1. Live'!AN294-'check-Jul25'!AN294)</f>
        <v/>
      </c>
      <c r="AO294" t="str">
        <f>IF('1. Live'!AO294='check-Jul25'!AO294,"",'1. Live'!AO294-'check-Jul25'!AO294)</f>
        <v/>
      </c>
      <c r="AP294" t="str">
        <f>IF('1. Live'!AP294='check-Jul25'!AP294,"",'1. Live'!AP294-'check-Jul25'!AP294)</f>
        <v/>
      </c>
      <c r="AQ294" t="str">
        <f>IF('1. Live'!AQ294='check-Jul25'!AQ294,"",'1. Live'!AQ294-'check-Jul25'!AQ294)</f>
        <v/>
      </c>
      <c r="AR294" t="str">
        <f>IF('1. Live'!AR294='check-Jul25'!AR294,"",'1. Live'!AR294-'check-Jul25'!AR294)</f>
        <v/>
      </c>
      <c r="AS294" t="str">
        <f>IF('1. Live'!AS294='check-Jul25'!AS294,"",'1. Live'!AS294-'check-Jul25'!AS294)</f>
        <v/>
      </c>
      <c r="AT294" t="str">
        <f>IF('1. Live'!AT294='check-Jul25'!AT294,"",'1. Live'!AT294-'check-Jul25'!AT294)</f>
        <v/>
      </c>
      <c r="AU294" t="str">
        <f>IF('1. Live'!AU294='check-Jul25'!AU294,"",'1. Live'!AU294-'check-Jul25'!AU294)</f>
        <v/>
      </c>
      <c r="AV294" t="str">
        <f>IF('1. Live'!AV294='check-Jul25'!AV294,"",'1. Live'!AV294-'check-Jul25'!AV294)</f>
        <v/>
      </c>
      <c r="AW294" t="str">
        <f>IF('1. Live'!AW294='check-Jul25'!AW294,"",'1. Live'!AW294-'check-Jul25'!AW294)</f>
        <v/>
      </c>
      <c r="AX294" t="str">
        <f>IF('1. Live'!AX294='check-Jul25'!AX294,"",'1. Live'!AX294-'check-Jul25'!AX294)</f>
        <v/>
      </c>
      <c r="AY294" t="str">
        <f>IF('1. Live'!AY294='check-Jul25'!AY294,"",'1. Live'!AY294-'check-Jul25'!AY294)</f>
        <v/>
      </c>
      <c r="AZ294" t="str">
        <f>IF('1. Live'!AZ294='check-Jul25'!AZ294,"",'1. Live'!AZ294-'check-Jul25'!AZ294)</f>
        <v/>
      </c>
      <c r="BA294" t="str">
        <f>IF('1. Live'!BA294='check-Jul25'!BA294,"",'1. Live'!BA294-'check-Jul25'!BA294)</f>
        <v/>
      </c>
      <c r="BB294" t="str">
        <f>IF('1. Live'!BB294='check-Jul25'!BB294,"",'1. Live'!BB294-'check-Jul25'!BB294)</f>
        <v/>
      </c>
      <c r="BC294" t="str">
        <f>IF('1. Live'!BC294='check-Jul25'!BC294,"",'1. Live'!BC294-'check-Jul25'!BC294)</f>
        <v/>
      </c>
      <c r="BD294" t="str">
        <f>IF('1. Live'!BD294='check-Jul25'!BD294,"",'1. Live'!BD294-'check-Jul25'!BD294)</f>
        <v/>
      </c>
      <c r="BE294" t="str">
        <f>IF('1. Live'!BE294='check-Jul25'!BE294,"",'1. Live'!BE294-'check-Jul25'!BE294)</f>
        <v/>
      </c>
      <c r="BF294" t="str">
        <f>IF('1. Live'!BF294='check-Jul25'!BF294,"",'1. Live'!BF294-'check-Jul25'!BF294)</f>
        <v/>
      </c>
      <c r="BG294" t="str">
        <f>IF('1. Live'!BG294='check-Jul25'!BG294,"",'1. Live'!BG294-'check-Jul25'!BG294)</f>
        <v/>
      </c>
      <c r="BH294" t="str">
        <f>IF('1. Live'!BH294='check-Jul25'!BH294,"",'1. Live'!BH294-'check-Jul25'!BH294)</f>
        <v/>
      </c>
      <c r="BI294" t="str">
        <f>IF('1. Live'!BI294='check-Jul25'!BI294,"",'1. Live'!BI294-'check-Jul25'!BI294)</f>
        <v/>
      </c>
      <c r="BJ294" t="str">
        <f>IF('1. Live'!BJ294='check-Jul25'!BJ294,"",'1. Live'!BJ294-'check-Jul25'!BJ294)</f>
        <v/>
      </c>
      <c r="BK294" t="str">
        <f>IF('1. Live'!BK294='check-Jul25'!BK294,"",'1. Live'!BK294-'check-Jul25'!BK294)</f>
        <v/>
      </c>
      <c r="BL294" t="str">
        <f>IF('1. Live'!BL294='check-Jul25'!BL294,"",'1. Live'!BL294-'check-Jul25'!BL294)</f>
        <v/>
      </c>
      <c r="BM294" t="str">
        <f>IF('1. Live'!BM294='check-Jul25'!BM294,"",'1. Live'!BM294-'check-Jul25'!BM294)</f>
        <v/>
      </c>
      <c r="BN294" t="str">
        <f>IF('1. Live'!BN294='check-Jul25'!BN294,"",'1. Live'!BN294-'check-Jul25'!BN294)</f>
        <v/>
      </c>
      <c r="BO294" t="str">
        <f>IF('1. Live'!BO294='check-Jul25'!BO294,"",'1. Live'!BO294-'check-Jul25'!BO294)</f>
        <v/>
      </c>
      <c r="BP294" t="str">
        <f>IF('1. Live'!BP294='check-Jul25'!BP294,"",'1. Live'!BP294-'check-Jul25'!BP294)</f>
        <v/>
      </c>
      <c r="BQ294" t="str">
        <f>IF('1. Live'!BQ294='check-Jul25'!BQ294,"",'1. Live'!BQ294-'check-Jul25'!BQ294)</f>
        <v/>
      </c>
      <c r="BR294" t="str">
        <f>IF('1. Live'!BR294='check-Jul25'!BR294,"",'1. Live'!BR294-'check-Jul25'!BR294)</f>
        <v/>
      </c>
      <c r="BS294" t="str">
        <f>IF('1. Live'!BS294='check-Jul25'!BS294,"",'1. Live'!BS294-'check-Jul25'!BS294)</f>
        <v/>
      </c>
      <c r="BT294" t="str">
        <f>IF('1. Live'!BT294='check-Jul25'!BT294,"",'1. Live'!BT294-'check-Jul25'!BT294)</f>
        <v/>
      </c>
      <c r="BU294" t="str">
        <f>IF('1. Live'!BU294='check-Jul25'!BU294,"",'1. Live'!BU294-'check-Jul25'!BU294)</f>
        <v/>
      </c>
      <c r="BV294" t="str">
        <f>IF('1. Live'!BV294='check-Jul25'!BV294,"",'1. Live'!BV294-'check-Jul25'!BV294)</f>
        <v/>
      </c>
      <c r="BW294" t="str">
        <f>IF('1. Live'!BW294='check-Jul25'!BW294,"",'1. Live'!BW294-'check-Jul25'!BW294)</f>
        <v/>
      </c>
      <c r="BX294" t="str">
        <f>IF('1. Live'!BX294='check-Jul25'!BX294,"",'1. Live'!BX294-'check-Jul25'!BX294)</f>
        <v/>
      </c>
      <c r="BY294" t="str">
        <f>IF('1. Live'!BY294='check-Jul25'!BY294,"",'1. Live'!BY294-'check-Jul25'!BY294)</f>
        <v/>
      </c>
      <c r="BZ294" t="str">
        <f>IF('1. Live'!BZ294='check-Jul25'!BZ294,"",'1. Live'!BZ294-'check-Jul25'!BZ294)</f>
        <v/>
      </c>
      <c r="CA294" t="str">
        <f>IF('1. Live'!CA294='check-Jul25'!CA294,"",'1. Live'!CA294-'check-Jul25'!CA294)</f>
        <v/>
      </c>
      <c r="CB294" t="str">
        <f>IF('1. Live'!CB294='check-Jul25'!CB294,"",'1. Live'!CB294-'check-Jul25'!CB294)</f>
        <v/>
      </c>
      <c r="CC294" t="str">
        <f>IF('1. Live'!CC294='check-Jul25'!CC294,"",'1. Live'!CC294-'check-Jul25'!CC294)</f>
        <v/>
      </c>
      <c r="CD294" t="str">
        <f>IF('1. Live'!CD294='check-Jul25'!CD294,"",'1. Live'!CD294-'check-Jul25'!CD294)</f>
        <v/>
      </c>
      <c r="CE294" t="str">
        <f>IF('1. Live'!CE294='check-Jul25'!CE294,"",'1. Live'!CE294-'check-Jul25'!CE294)</f>
        <v/>
      </c>
      <c r="CF294" t="str">
        <f>IF('1. Live'!CF294='check-Jul25'!CF294,"",'1. Live'!CF294-'check-Jul25'!CF294)</f>
        <v/>
      </c>
      <c r="CG294" t="str">
        <f>IF('1. Live'!CG294='check-Jul25'!CG294,"",'1. Live'!CG294-'check-Jul25'!CG294)</f>
        <v/>
      </c>
      <c r="CH294" t="str">
        <f>IF('1. Live'!CH294='check-Jul25'!CH294,"",'1. Live'!CH294-'check-Jul25'!CH294)</f>
        <v/>
      </c>
      <c r="CI294" t="str">
        <f>IF('1. Live'!CI294='check-Jul25'!CI294,"",'1. Live'!CI294-'check-Jul25'!CI294)</f>
        <v/>
      </c>
      <c r="CJ294" t="str">
        <f>IF('1. Live'!CJ294='check-Jul25'!CJ294,"",'1. Live'!CJ294-'check-Jul25'!CJ294)</f>
        <v/>
      </c>
      <c r="CK294" t="str">
        <f>IF('1. Live'!CK294='check-Jul25'!CK294,"",'1. Live'!CK294-'check-Jul25'!CK294)</f>
        <v/>
      </c>
      <c r="CL294" t="str">
        <f>IF('1. Live'!CL294='check-Jul25'!CL294,"",'1. Live'!CL294-'check-Jul25'!CL294)</f>
        <v/>
      </c>
      <c r="CM294" t="str">
        <f>IF('1. Live'!CM294='check-Jul25'!CM294,"",'1. Live'!CM294-'check-Jul25'!CM294)</f>
        <v/>
      </c>
      <c r="CN294" t="str">
        <f>IF('1. Live'!CN294='check-Jul25'!CN294,"",'1. Live'!CN294-'check-Jul25'!CN294)</f>
        <v/>
      </c>
      <c r="CO294" t="str">
        <f>IF('1. Live'!CO294='check-Jul25'!CO294,"",'1. Live'!CO294-'check-Jul25'!CO294)</f>
        <v/>
      </c>
      <c r="CP294" t="str">
        <f>IF('1. Live'!CP294='check-Jul25'!CP294,"",'1. Live'!CP294-'check-Jul25'!CP294)</f>
        <v/>
      </c>
      <c r="CQ294" t="str">
        <f>IF('1. Live'!CQ294='check-Jul25'!CQ294,"",'1. Live'!CQ294-'check-Jul25'!CQ294)</f>
        <v/>
      </c>
      <c r="CR294" t="str">
        <f>IF('1. Live'!CR294='check-Jul25'!CR294,"",'1. Live'!CR294-'check-Jul25'!CR294)</f>
        <v/>
      </c>
      <c r="CS294" t="str">
        <f>IF('1. Live'!CS294='check-Jul25'!CS294,"",'1. Live'!CS294-'check-Jul25'!CS294)</f>
        <v/>
      </c>
      <c r="CT294" t="str">
        <f>IF('1. Live'!CT294='check-Jul25'!CT294,"",'1. Live'!CT294-'check-Jul25'!CT294)</f>
        <v/>
      </c>
      <c r="CU294" t="str">
        <f>IF('1. Live'!CU294='check-Jul25'!CU294,"",'1. Live'!CU294-'check-Jul25'!CU294)</f>
        <v/>
      </c>
      <c r="CV294" t="str">
        <f>IF('1. Live'!CV294='check-Jul25'!CV294,"",'1. Live'!CV294-'check-Jul25'!CV294)</f>
        <v/>
      </c>
      <c r="CW294" t="str">
        <f>IF('1. Live'!CW294='check-Jul25'!CW294,"",'1. Live'!CW294-'check-Jul25'!CW294)</f>
        <v/>
      </c>
    </row>
    <row r="295" spans="10:101">
      <c r="J295" t="str">
        <f>IF('1. Live'!J295='check-Jul25'!J295,"",'1. Live'!J295-'check-Jul25'!J295)</f>
        <v/>
      </c>
      <c r="K295" t="str">
        <f>IF('1. Live'!K295='check-Jul25'!K295,"",'1. Live'!K295-'check-Jul25'!K295)</f>
        <v/>
      </c>
      <c r="L295" t="str">
        <f>IF('1. Live'!L295='check-Jul25'!L295,"",'1. Live'!L295-'check-Jul25'!L295)</f>
        <v/>
      </c>
      <c r="M295" t="str">
        <f>IF('1. Live'!M295='check-Jul25'!M295,"",'1. Live'!M295-'check-Jul25'!M295)</f>
        <v/>
      </c>
      <c r="N295" t="str">
        <f>IF('1. Live'!N295='check-Jul25'!N295,"",'1. Live'!N295-'check-Jul25'!N295)</f>
        <v/>
      </c>
      <c r="O295" t="str">
        <f>IF('1. Live'!O295='check-Jul25'!O295,"",'1. Live'!O295-'check-Jul25'!O295)</f>
        <v/>
      </c>
      <c r="P295" t="str">
        <f>IF('1. Live'!P295='check-Jul25'!P295,"",'1. Live'!P295-'check-Jul25'!P295)</f>
        <v/>
      </c>
      <c r="Q295" t="str">
        <f>IF('1. Live'!Q295='check-Jul25'!Q295,"",'1. Live'!Q295-'check-Jul25'!Q295)</f>
        <v/>
      </c>
      <c r="R295" t="str">
        <f>IF('1. Live'!R295='check-Jul25'!R295,"",'1. Live'!R295-'check-Jul25'!R295)</f>
        <v/>
      </c>
      <c r="S295" t="str">
        <f>IF('1. Live'!S295='check-Jul25'!S295,"",'1. Live'!S295-'check-Jul25'!S295)</f>
        <v/>
      </c>
      <c r="T295" t="str">
        <f>IF('1. Live'!T295='check-Jul25'!T295,"",'1. Live'!T295-'check-Jul25'!T295)</f>
        <v/>
      </c>
      <c r="U295" t="str">
        <f>IF('1. Live'!U295='check-Jul25'!U295,"",'1. Live'!U295-'check-Jul25'!U295)</f>
        <v/>
      </c>
      <c r="V295" t="str">
        <f>IF('1. Live'!V295='check-Jul25'!V295,"",'1. Live'!V295-'check-Jul25'!V295)</f>
        <v/>
      </c>
      <c r="W295" t="str">
        <f>IF('1. Live'!W295='check-Jul25'!W295,"",'1. Live'!W295-'check-Jul25'!W295)</f>
        <v/>
      </c>
      <c r="X295" t="str">
        <f>IF('1. Live'!X295='check-Jul25'!X295,"",'1. Live'!X295-'check-Jul25'!X295)</f>
        <v/>
      </c>
      <c r="Y295" t="str">
        <f>IF('1. Live'!Y295='check-Jul25'!Y295,"",'1. Live'!Y295-'check-Jul25'!Y295)</f>
        <v/>
      </c>
      <c r="Z295" t="str">
        <f>IF('1. Live'!Z295='check-Jul25'!Z295,"",'1. Live'!Z295-'check-Jul25'!Z295)</f>
        <v/>
      </c>
      <c r="AA295" t="str">
        <f>IF('1. Live'!AA295='check-Jul25'!AA295,"",'1. Live'!AA295-'check-Jul25'!AA295)</f>
        <v/>
      </c>
      <c r="AB295" t="str">
        <f>IF('1. Live'!AB295='check-Jul25'!AB295,"",'1. Live'!AB295-'check-Jul25'!AB295)</f>
        <v/>
      </c>
      <c r="AC295" t="str">
        <f>IF('1. Live'!AC295='check-Jul25'!AC295,"",'1. Live'!AC295-'check-Jul25'!AC295)</f>
        <v/>
      </c>
      <c r="AD295" t="str">
        <f>IF('1. Live'!AD295='check-Jul25'!AD295,"",'1. Live'!AD295-'check-Jul25'!AD295)</f>
        <v/>
      </c>
      <c r="AE295" t="str">
        <f>IF('1. Live'!AE295='check-Jul25'!AE295,"",'1. Live'!AE295-'check-Jul25'!AE295)</f>
        <v/>
      </c>
      <c r="AF295" t="str">
        <f>IF('1. Live'!AF295='check-Jul25'!AF295,"",'1. Live'!AF295-'check-Jul25'!AF295)</f>
        <v/>
      </c>
      <c r="AG295" t="str">
        <f>IF('1. Live'!AG295='check-Jul25'!AG295,"",'1. Live'!AG295-'check-Jul25'!AG295)</f>
        <v/>
      </c>
      <c r="AH295" t="str">
        <f>IF('1. Live'!AH295='check-Jul25'!AH295,"",'1. Live'!AH295-'check-Jul25'!AH295)</f>
        <v/>
      </c>
      <c r="AI295" t="str">
        <f>IF('1. Live'!AI295='check-Jul25'!AI295,"",'1. Live'!AI295-'check-Jul25'!AI295)</f>
        <v/>
      </c>
      <c r="AJ295" t="str">
        <f>IF('1. Live'!AJ295='check-Jul25'!AJ295,"",'1. Live'!AJ295-'check-Jul25'!AJ295)</f>
        <v/>
      </c>
      <c r="AK295" t="str">
        <f>IF('1. Live'!AK295='check-Jul25'!AK295,"",'1. Live'!AK295-'check-Jul25'!AK295)</f>
        <v/>
      </c>
      <c r="AL295" t="str">
        <f>IF('1. Live'!AL295='check-Jul25'!AL295,"",'1. Live'!AL295-'check-Jul25'!AL295)</f>
        <v/>
      </c>
      <c r="AM295" t="str">
        <f>IF('1. Live'!AM295='check-Jul25'!AM295,"",'1. Live'!AM295-'check-Jul25'!AM295)</f>
        <v/>
      </c>
      <c r="AN295" t="str">
        <f>IF('1. Live'!AN295='check-Jul25'!AN295,"",'1. Live'!AN295-'check-Jul25'!AN295)</f>
        <v/>
      </c>
      <c r="AO295" t="str">
        <f>IF('1. Live'!AO295='check-Jul25'!AO295,"",'1. Live'!AO295-'check-Jul25'!AO295)</f>
        <v/>
      </c>
      <c r="AP295" t="str">
        <f>IF('1. Live'!AP295='check-Jul25'!AP295,"",'1. Live'!AP295-'check-Jul25'!AP295)</f>
        <v/>
      </c>
      <c r="AQ295" t="str">
        <f>IF('1. Live'!AQ295='check-Jul25'!AQ295,"",'1. Live'!AQ295-'check-Jul25'!AQ295)</f>
        <v/>
      </c>
      <c r="AR295" t="str">
        <f>IF('1. Live'!AR295='check-Jul25'!AR295,"",'1. Live'!AR295-'check-Jul25'!AR295)</f>
        <v/>
      </c>
      <c r="AS295" t="str">
        <f>IF('1. Live'!AS295='check-Jul25'!AS295,"",'1. Live'!AS295-'check-Jul25'!AS295)</f>
        <v/>
      </c>
      <c r="AT295" t="str">
        <f>IF('1. Live'!AT295='check-Jul25'!AT295,"",'1. Live'!AT295-'check-Jul25'!AT295)</f>
        <v/>
      </c>
      <c r="AU295" t="str">
        <f>IF('1. Live'!AU295='check-Jul25'!AU295,"",'1. Live'!AU295-'check-Jul25'!AU295)</f>
        <v/>
      </c>
      <c r="AV295" t="str">
        <f>IF('1. Live'!AV295='check-Jul25'!AV295,"",'1. Live'!AV295-'check-Jul25'!AV295)</f>
        <v/>
      </c>
      <c r="AW295" t="str">
        <f>IF('1. Live'!AW295='check-Jul25'!AW295,"",'1. Live'!AW295-'check-Jul25'!AW295)</f>
        <v/>
      </c>
      <c r="AX295" t="str">
        <f>IF('1. Live'!AX295='check-Jul25'!AX295,"",'1. Live'!AX295-'check-Jul25'!AX295)</f>
        <v/>
      </c>
      <c r="AY295" t="str">
        <f>IF('1. Live'!AY295='check-Jul25'!AY295,"",'1. Live'!AY295-'check-Jul25'!AY295)</f>
        <v/>
      </c>
      <c r="AZ295" t="str">
        <f>IF('1. Live'!AZ295='check-Jul25'!AZ295,"",'1. Live'!AZ295-'check-Jul25'!AZ295)</f>
        <v/>
      </c>
      <c r="BA295" t="str">
        <f>IF('1. Live'!BA295='check-Jul25'!BA295,"",'1. Live'!BA295-'check-Jul25'!BA295)</f>
        <v/>
      </c>
      <c r="BB295" t="str">
        <f>IF('1. Live'!BB295='check-Jul25'!BB295,"",'1. Live'!BB295-'check-Jul25'!BB295)</f>
        <v/>
      </c>
      <c r="BC295" t="str">
        <f>IF('1. Live'!BC295='check-Jul25'!BC295,"",'1. Live'!BC295-'check-Jul25'!BC295)</f>
        <v/>
      </c>
      <c r="BD295" t="str">
        <f>IF('1. Live'!BD295='check-Jul25'!BD295,"",'1. Live'!BD295-'check-Jul25'!BD295)</f>
        <v/>
      </c>
      <c r="BE295" t="str">
        <f>IF('1. Live'!BE295='check-Jul25'!BE295,"",'1. Live'!BE295-'check-Jul25'!BE295)</f>
        <v/>
      </c>
      <c r="BF295" t="str">
        <f>IF('1. Live'!BF295='check-Jul25'!BF295,"",'1. Live'!BF295-'check-Jul25'!BF295)</f>
        <v/>
      </c>
      <c r="BG295" t="str">
        <f>IF('1. Live'!BG295='check-Jul25'!BG295,"",'1. Live'!BG295-'check-Jul25'!BG295)</f>
        <v/>
      </c>
      <c r="BH295" t="str">
        <f>IF('1. Live'!BH295='check-Jul25'!BH295,"",'1. Live'!BH295-'check-Jul25'!BH295)</f>
        <v/>
      </c>
      <c r="BI295" t="str">
        <f>IF('1. Live'!BI295='check-Jul25'!BI295,"",'1. Live'!BI295-'check-Jul25'!BI295)</f>
        <v/>
      </c>
      <c r="BJ295" t="str">
        <f>IF('1. Live'!BJ295='check-Jul25'!BJ295,"",'1. Live'!BJ295-'check-Jul25'!BJ295)</f>
        <v/>
      </c>
      <c r="BK295" t="str">
        <f>IF('1. Live'!BK295='check-Jul25'!BK295,"",'1. Live'!BK295-'check-Jul25'!BK295)</f>
        <v/>
      </c>
      <c r="BL295" t="str">
        <f>IF('1. Live'!BL295='check-Jul25'!BL295,"",'1. Live'!BL295-'check-Jul25'!BL295)</f>
        <v/>
      </c>
      <c r="BM295" t="str">
        <f>IF('1. Live'!BM295='check-Jul25'!BM295,"",'1. Live'!BM295-'check-Jul25'!BM295)</f>
        <v/>
      </c>
      <c r="BN295" t="str">
        <f>IF('1. Live'!BN295='check-Jul25'!BN295,"",'1. Live'!BN295-'check-Jul25'!BN295)</f>
        <v/>
      </c>
      <c r="BO295" t="str">
        <f>IF('1. Live'!BO295='check-Jul25'!BO295,"",'1. Live'!BO295-'check-Jul25'!BO295)</f>
        <v/>
      </c>
      <c r="BP295" t="str">
        <f>IF('1. Live'!BP295='check-Jul25'!BP295,"",'1. Live'!BP295-'check-Jul25'!BP295)</f>
        <v/>
      </c>
      <c r="BQ295" t="str">
        <f>IF('1. Live'!BQ295='check-Jul25'!BQ295,"",'1. Live'!BQ295-'check-Jul25'!BQ295)</f>
        <v/>
      </c>
      <c r="BR295" t="str">
        <f>IF('1. Live'!BR295='check-Jul25'!BR295,"",'1. Live'!BR295-'check-Jul25'!BR295)</f>
        <v/>
      </c>
      <c r="BS295" t="str">
        <f>IF('1. Live'!BS295='check-Jul25'!BS295,"",'1. Live'!BS295-'check-Jul25'!BS295)</f>
        <v/>
      </c>
      <c r="BT295" t="str">
        <f>IF('1. Live'!BT295='check-Jul25'!BT295,"",'1. Live'!BT295-'check-Jul25'!BT295)</f>
        <v/>
      </c>
      <c r="BU295" t="str">
        <f>IF('1. Live'!BU295='check-Jul25'!BU295,"",'1. Live'!BU295-'check-Jul25'!BU295)</f>
        <v/>
      </c>
      <c r="BV295" t="str">
        <f>IF('1. Live'!BV295='check-Jul25'!BV295,"",'1. Live'!BV295-'check-Jul25'!BV295)</f>
        <v/>
      </c>
      <c r="BW295" t="str">
        <f>IF('1. Live'!BW295='check-Jul25'!BW295,"",'1. Live'!BW295-'check-Jul25'!BW295)</f>
        <v/>
      </c>
      <c r="BX295" t="str">
        <f>IF('1. Live'!BX295='check-Jul25'!BX295,"",'1. Live'!BX295-'check-Jul25'!BX295)</f>
        <v/>
      </c>
      <c r="BY295" t="str">
        <f>IF('1. Live'!BY295='check-Jul25'!BY295,"",'1. Live'!BY295-'check-Jul25'!BY295)</f>
        <v/>
      </c>
      <c r="BZ295" t="str">
        <f>IF('1. Live'!BZ295='check-Jul25'!BZ295,"",'1. Live'!BZ295-'check-Jul25'!BZ295)</f>
        <v/>
      </c>
      <c r="CA295" t="str">
        <f>IF('1. Live'!CA295='check-Jul25'!CA295,"",'1. Live'!CA295-'check-Jul25'!CA295)</f>
        <v/>
      </c>
      <c r="CB295" t="str">
        <f>IF('1. Live'!CB295='check-Jul25'!CB295,"",'1. Live'!CB295-'check-Jul25'!CB295)</f>
        <v/>
      </c>
      <c r="CC295" t="str">
        <f>IF('1. Live'!CC295='check-Jul25'!CC295,"",'1. Live'!CC295-'check-Jul25'!CC295)</f>
        <v/>
      </c>
      <c r="CD295" t="str">
        <f>IF('1. Live'!CD295='check-Jul25'!CD295,"",'1. Live'!CD295-'check-Jul25'!CD295)</f>
        <v/>
      </c>
      <c r="CE295" t="str">
        <f>IF('1. Live'!CE295='check-Jul25'!CE295,"",'1. Live'!CE295-'check-Jul25'!CE295)</f>
        <v/>
      </c>
      <c r="CF295" t="str">
        <f>IF('1. Live'!CF295='check-Jul25'!CF295,"",'1. Live'!CF295-'check-Jul25'!CF295)</f>
        <v/>
      </c>
      <c r="CG295" t="str">
        <f>IF('1. Live'!CG295='check-Jul25'!CG295,"",'1. Live'!CG295-'check-Jul25'!CG295)</f>
        <v/>
      </c>
      <c r="CH295" t="str">
        <f>IF('1. Live'!CH295='check-Jul25'!CH295,"",'1. Live'!CH295-'check-Jul25'!CH295)</f>
        <v/>
      </c>
      <c r="CI295" t="str">
        <f>IF('1. Live'!CI295='check-Jul25'!CI295,"",'1. Live'!CI295-'check-Jul25'!CI295)</f>
        <v/>
      </c>
      <c r="CJ295" t="str">
        <f>IF('1. Live'!CJ295='check-Jul25'!CJ295,"",'1. Live'!CJ295-'check-Jul25'!CJ295)</f>
        <v/>
      </c>
      <c r="CK295" t="str">
        <f>IF('1. Live'!CK295='check-Jul25'!CK295,"",'1. Live'!CK295-'check-Jul25'!CK295)</f>
        <v/>
      </c>
      <c r="CL295" t="str">
        <f>IF('1. Live'!CL295='check-Jul25'!CL295,"",'1. Live'!CL295-'check-Jul25'!CL295)</f>
        <v/>
      </c>
      <c r="CM295" t="str">
        <f>IF('1. Live'!CM295='check-Jul25'!CM295,"",'1. Live'!CM295-'check-Jul25'!CM295)</f>
        <v/>
      </c>
      <c r="CN295" t="str">
        <f>IF('1. Live'!CN295='check-Jul25'!CN295,"",'1. Live'!CN295-'check-Jul25'!CN295)</f>
        <v/>
      </c>
      <c r="CO295" t="str">
        <f>IF('1. Live'!CO295='check-Jul25'!CO295,"",'1. Live'!CO295-'check-Jul25'!CO295)</f>
        <v/>
      </c>
      <c r="CP295" t="str">
        <f>IF('1. Live'!CP295='check-Jul25'!CP295,"",'1. Live'!CP295-'check-Jul25'!CP295)</f>
        <v/>
      </c>
      <c r="CQ295" t="str">
        <f>IF('1. Live'!CQ295='check-Jul25'!CQ295,"",'1. Live'!CQ295-'check-Jul25'!CQ295)</f>
        <v/>
      </c>
      <c r="CR295" t="str">
        <f>IF('1. Live'!CR295='check-Jul25'!CR295,"",'1. Live'!CR295-'check-Jul25'!CR295)</f>
        <v/>
      </c>
      <c r="CS295" t="str">
        <f>IF('1. Live'!CS295='check-Jul25'!CS295,"",'1. Live'!CS295-'check-Jul25'!CS295)</f>
        <v/>
      </c>
      <c r="CT295" t="str">
        <f>IF('1. Live'!CT295='check-Jul25'!CT295,"",'1. Live'!CT295-'check-Jul25'!CT295)</f>
        <v/>
      </c>
      <c r="CU295" t="str">
        <f>IF('1. Live'!CU295='check-Jul25'!CU295,"",'1. Live'!CU295-'check-Jul25'!CU295)</f>
        <v/>
      </c>
      <c r="CV295" t="str">
        <f>IF('1. Live'!CV295='check-Jul25'!CV295,"",'1. Live'!CV295-'check-Jul25'!CV295)</f>
        <v/>
      </c>
      <c r="CW295" t="str">
        <f>IF('1. Live'!CW295='check-Jul25'!CW295,"",'1. Live'!CW295-'check-Jul25'!CW295)</f>
        <v/>
      </c>
    </row>
    <row r="296" spans="10:101">
      <c r="J296" t="str">
        <f>IF('1. Live'!J296='check-Jul25'!J296,"",'1. Live'!J296-'check-Jul25'!J296)</f>
        <v/>
      </c>
      <c r="K296" t="str">
        <f>IF('1. Live'!K296='check-Jul25'!K296,"",'1. Live'!K296-'check-Jul25'!K296)</f>
        <v/>
      </c>
      <c r="L296" t="str">
        <f>IF('1. Live'!L296='check-Jul25'!L296,"",'1. Live'!L296-'check-Jul25'!L296)</f>
        <v/>
      </c>
      <c r="M296" t="str">
        <f>IF('1. Live'!M296='check-Jul25'!M296,"",'1. Live'!M296-'check-Jul25'!M296)</f>
        <v/>
      </c>
      <c r="N296" t="str">
        <f>IF('1. Live'!N296='check-Jul25'!N296,"",'1. Live'!N296-'check-Jul25'!N296)</f>
        <v/>
      </c>
      <c r="O296" t="str">
        <f>IF('1. Live'!O296='check-Jul25'!O296,"",'1. Live'!O296-'check-Jul25'!O296)</f>
        <v/>
      </c>
      <c r="P296" t="str">
        <f>IF('1. Live'!P296='check-Jul25'!P296,"",'1. Live'!P296-'check-Jul25'!P296)</f>
        <v/>
      </c>
      <c r="Q296" t="str">
        <f>IF('1. Live'!Q296='check-Jul25'!Q296,"",'1. Live'!Q296-'check-Jul25'!Q296)</f>
        <v/>
      </c>
      <c r="R296" t="str">
        <f>IF('1. Live'!R296='check-Jul25'!R296,"",'1. Live'!R296-'check-Jul25'!R296)</f>
        <v/>
      </c>
      <c r="S296" t="str">
        <f>IF('1. Live'!S296='check-Jul25'!S296,"",'1. Live'!S296-'check-Jul25'!S296)</f>
        <v/>
      </c>
      <c r="T296" t="str">
        <f>IF('1. Live'!T296='check-Jul25'!T296,"",'1. Live'!T296-'check-Jul25'!T296)</f>
        <v/>
      </c>
      <c r="U296" t="str">
        <f>IF('1. Live'!U296='check-Jul25'!U296,"",'1. Live'!U296-'check-Jul25'!U296)</f>
        <v/>
      </c>
      <c r="V296" t="str">
        <f>IF('1. Live'!V296='check-Jul25'!V296,"",'1. Live'!V296-'check-Jul25'!V296)</f>
        <v/>
      </c>
      <c r="W296" t="str">
        <f>IF('1. Live'!W296='check-Jul25'!W296,"",'1. Live'!W296-'check-Jul25'!W296)</f>
        <v/>
      </c>
      <c r="X296" t="str">
        <f>IF('1. Live'!X296='check-Jul25'!X296,"",'1. Live'!X296-'check-Jul25'!X296)</f>
        <v/>
      </c>
      <c r="Y296" t="str">
        <f>IF('1. Live'!Y296='check-Jul25'!Y296,"",'1. Live'!Y296-'check-Jul25'!Y296)</f>
        <v/>
      </c>
      <c r="Z296" t="str">
        <f>IF('1. Live'!Z296='check-Jul25'!Z296,"",'1. Live'!Z296-'check-Jul25'!Z296)</f>
        <v/>
      </c>
      <c r="AA296" t="str">
        <f>IF('1. Live'!AA296='check-Jul25'!AA296,"",'1. Live'!AA296-'check-Jul25'!AA296)</f>
        <v/>
      </c>
      <c r="AB296" t="str">
        <f>IF('1. Live'!AB296='check-Jul25'!AB296,"",'1. Live'!AB296-'check-Jul25'!AB296)</f>
        <v/>
      </c>
      <c r="AC296" t="str">
        <f>IF('1. Live'!AC296='check-Jul25'!AC296,"",'1. Live'!AC296-'check-Jul25'!AC296)</f>
        <v/>
      </c>
      <c r="AD296" t="str">
        <f>IF('1. Live'!AD296='check-Jul25'!AD296,"",'1. Live'!AD296-'check-Jul25'!AD296)</f>
        <v/>
      </c>
      <c r="AE296" t="str">
        <f>IF('1. Live'!AE296='check-Jul25'!AE296,"",'1. Live'!AE296-'check-Jul25'!AE296)</f>
        <v/>
      </c>
      <c r="AF296" t="str">
        <f>IF('1. Live'!AF296='check-Jul25'!AF296,"",'1. Live'!AF296-'check-Jul25'!AF296)</f>
        <v/>
      </c>
      <c r="AG296" t="str">
        <f>IF('1. Live'!AG296='check-Jul25'!AG296,"",'1. Live'!AG296-'check-Jul25'!AG296)</f>
        <v/>
      </c>
      <c r="AH296" t="str">
        <f>IF('1. Live'!AH296='check-Jul25'!AH296,"",'1. Live'!AH296-'check-Jul25'!AH296)</f>
        <v/>
      </c>
      <c r="AI296" t="str">
        <f>IF('1. Live'!AI296='check-Jul25'!AI296,"",'1. Live'!AI296-'check-Jul25'!AI296)</f>
        <v/>
      </c>
      <c r="AJ296" t="str">
        <f>IF('1. Live'!AJ296='check-Jul25'!AJ296,"",'1. Live'!AJ296-'check-Jul25'!AJ296)</f>
        <v/>
      </c>
      <c r="AK296" t="str">
        <f>IF('1. Live'!AK296='check-Jul25'!AK296,"",'1. Live'!AK296-'check-Jul25'!AK296)</f>
        <v/>
      </c>
      <c r="AL296" t="str">
        <f>IF('1. Live'!AL296='check-Jul25'!AL296,"",'1. Live'!AL296-'check-Jul25'!AL296)</f>
        <v/>
      </c>
      <c r="AM296" t="str">
        <f>IF('1. Live'!AM296='check-Jul25'!AM296,"",'1. Live'!AM296-'check-Jul25'!AM296)</f>
        <v/>
      </c>
      <c r="AN296" t="str">
        <f>IF('1. Live'!AN296='check-Jul25'!AN296,"",'1. Live'!AN296-'check-Jul25'!AN296)</f>
        <v/>
      </c>
      <c r="AO296" t="str">
        <f>IF('1. Live'!AO296='check-Jul25'!AO296,"",'1. Live'!AO296-'check-Jul25'!AO296)</f>
        <v/>
      </c>
      <c r="AP296" t="str">
        <f>IF('1. Live'!AP296='check-Jul25'!AP296,"",'1. Live'!AP296-'check-Jul25'!AP296)</f>
        <v/>
      </c>
      <c r="AQ296" t="str">
        <f>IF('1. Live'!AQ296='check-Jul25'!AQ296,"",'1. Live'!AQ296-'check-Jul25'!AQ296)</f>
        <v/>
      </c>
      <c r="AR296" t="str">
        <f>IF('1. Live'!AR296='check-Jul25'!AR296,"",'1. Live'!AR296-'check-Jul25'!AR296)</f>
        <v/>
      </c>
      <c r="AS296" t="str">
        <f>IF('1. Live'!AS296='check-Jul25'!AS296,"",'1. Live'!AS296-'check-Jul25'!AS296)</f>
        <v/>
      </c>
      <c r="AT296" t="str">
        <f>IF('1. Live'!AT296='check-Jul25'!AT296,"",'1. Live'!AT296-'check-Jul25'!AT296)</f>
        <v/>
      </c>
      <c r="AU296" t="str">
        <f>IF('1. Live'!AU296='check-Jul25'!AU296,"",'1. Live'!AU296-'check-Jul25'!AU296)</f>
        <v/>
      </c>
      <c r="AV296" t="str">
        <f>IF('1. Live'!AV296='check-Jul25'!AV296,"",'1. Live'!AV296-'check-Jul25'!AV296)</f>
        <v/>
      </c>
      <c r="AW296" t="str">
        <f>IF('1. Live'!AW296='check-Jul25'!AW296,"",'1. Live'!AW296-'check-Jul25'!AW296)</f>
        <v/>
      </c>
      <c r="AX296" t="str">
        <f>IF('1. Live'!AX296='check-Jul25'!AX296,"",'1. Live'!AX296-'check-Jul25'!AX296)</f>
        <v/>
      </c>
      <c r="AY296" t="str">
        <f>IF('1. Live'!AY296='check-Jul25'!AY296,"",'1. Live'!AY296-'check-Jul25'!AY296)</f>
        <v/>
      </c>
      <c r="AZ296" t="str">
        <f>IF('1. Live'!AZ296='check-Jul25'!AZ296,"",'1. Live'!AZ296-'check-Jul25'!AZ296)</f>
        <v/>
      </c>
      <c r="BA296" t="str">
        <f>IF('1. Live'!BA296='check-Jul25'!BA296,"",'1. Live'!BA296-'check-Jul25'!BA296)</f>
        <v/>
      </c>
      <c r="BB296" t="str">
        <f>IF('1. Live'!BB296='check-Jul25'!BB296,"",'1. Live'!BB296-'check-Jul25'!BB296)</f>
        <v/>
      </c>
      <c r="BC296" t="str">
        <f>IF('1. Live'!BC296='check-Jul25'!BC296,"",'1. Live'!BC296-'check-Jul25'!BC296)</f>
        <v/>
      </c>
      <c r="BD296" t="str">
        <f>IF('1. Live'!BD296='check-Jul25'!BD296,"",'1. Live'!BD296-'check-Jul25'!BD296)</f>
        <v/>
      </c>
      <c r="BE296" t="str">
        <f>IF('1. Live'!BE296='check-Jul25'!BE296,"",'1. Live'!BE296-'check-Jul25'!BE296)</f>
        <v/>
      </c>
      <c r="BF296" t="str">
        <f>IF('1. Live'!BF296='check-Jul25'!BF296,"",'1. Live'!BF296-'check-Jul25'!BF296)</f>
        <v/>
      </c>
      <c r="BG296" t="str">
        <f>IF('1. Live'!BG296='check-Jul25'!BG296,"",'1. Live'!BG296-'check-Jul25'!BG296)</f>
        <v/>
      </c>
      <c r="BH296" t="str">
        <f>IF('1. Live'!BH296='check-Jul25'!BH296,"",'1. Live'!BH296-'check-Jul25'!BH296)</f>
        <v/>
      </c>
      <c r="BI296" t="str">
        <f>IF('1. Live'!BI296='check-Jul25'!BI296,"",'1. Live'!BI296-'check-Jul25'!BI296)</f>
        <v/>
      </c>
      <c r="BJ296" t="str">
        <f>IF('1. Live'!BJ296='check-Jul25'!BJ296,"",'1. Live'!BJ296-'check-Jul25'!BJ296)</f>
        <v/>
      </c>
      <c r="BK296" t="str">
        <f>IF('1. Live'!BK296='check-Jul25'!BK296,"",'1. Live'!BK296-'check-Jul25'!BK296)</f>
        <v/>
      </c>
      <c r="BL296" t="str">
        <f>IF('1. Live'!BL296='check-Jul25'!BL296,"",'1. Live'!BL296-'check-Jul25'!BL296)</f>
        <v/>
      </c>
      <c r="BM296" t="str">
        <f>IF('1. Live'!BM296='check-Jul25'!BM296,"",'1. Live'!BM296-'check-Jul25'!BM296)</f>
        <v/>
      </c>
      <c r="BN296" t="str">
        <f>IF('1. Live'!BN296='check-Jul25'!BN296,"",'1. Live'!BN296-'check-Jul25'!BN296)</f>
        <v/>
      </c>
      <c r="BO296" t="str">
        <f>IF('1. Live'!BO296='check-Jul25'!BO296,"",'1. Live'!BO296-'check-Jul25'!BO296)</f>
        <v/>
      </c>
      <c r="BP296" t="str">
        <f>IF('1. Live'!BP296='check-Jul25'!BP296,"",'1. Live'!BP296-'check-Jul25'!BP296)</f>
        <v/>
      </c>
      <c r="BQ296" t="str">
        <f>IF('1. Live'!BQ296='check-Jul25'!BQ296,"",'1. Live'!BQ296-'check-Jul25'!BQ296)</f>
        <v/>
      </c>
      <c r="BR296" t="str">
        <f>IF('1. Live'!BR296='check-Jul25'!BR296,"",'1. Live'!BR296-'check-Jul25'!BR296)</f>
        <v/>
      </c>
      <c r="BS296" t="str">
        <f>IF('1. Live'!BS296='check-Jul25'!BS296,"",'1. Live'!BS296-'check-Jul25'!BS296)</f>
        <v/>
      </c>
      <c r="BT296" t="str">
        <f>IF('1. Live'!BT296='check-Jul25'!BT296,"",'1. Live'!BT296-'check-Jul25'!BT296)</f>
        <v/>
      </c>
      <c r="BU296" t="str">
        <f>IF('1. Live'!BU296='check-Jul25'!BU296,"",'1. Live'!BU296-'check-Jul25'!BU296)</f>
        <v/>
      </c>
      <c r="BV296" t="str">
        <f>IF('1. Live'!BV296='check-Jul25'!BV296,"",'1. Live'!BV296-'check-Jul25'!BV296)</f>
        <v/>
      </c>
      <c r="BW296" t="str">
        <f>IF('1. Live'!BW296='check-Jul25'!BW296,"",'1. Live'!BW296-'check-Jul25'!BW296)</f>
        <v/>
      </c>
      <c r="BX296" t="str">
        <f>IF('1. Live'!BX296='check-Jul25'!BX296,"",'1. Live'!BX296-'check-Jul25'!BX296)</f>
        <v/>
      </c>
      <c r="BY296" t="str">
        <f>IF('1. Live'!BY296='check-Jul25'!BY296,"",'1. Live'!BY296-'check-Jul25'!BY296)</f>
        <v/>
      </c>
      <c r="BZ296" t="str">
        <f>IF('1. Live'!BZ296='check-Jul25'!BZ296,"",'1. Live'!BZ296-'check-Jul25'!BZ296)</f>
        <v/>
      </c>
      <c r="CA296" t="str">
        <f>IF('1. Live'!CA296='check-Jul25'!CA296,"",'1. Live'!CA296-'check-Jul25'!CA296)</f>
        <v/>
      </c>
      <c r="CB296" t="str">
        <f>IF('1. Live'!CB296='check-Jul25'!CB296,"",'1. Live'!CB296-'check-Jul25'!CB296)</f>
        <v/>
      </c>
      <c r="CC296" t="str">
        <f>IF('1. Live'!CC296='check-Jul25'!CC296,"",'1. Live'!CC296-'check-Jul25'!CC296)</f>
        <v/>
      </c>
      <c r="CD296" t="str">
        <f>IF('1. Live'!CD296='check-Jul25'!CD296,"",'1. Live'!CD296-'check-Jul25'!CD296)</f>
        <v/>
      </c>
      <c r="CE296" t="str">
        <f>IF('1. Live'!CE296='check-Jul25'!CE296,"",'1. Live'!CE296-'check-Jul25'!CE296)</f>
        <v/>
      </c>
      <c r="CF296" t="str">
        <f>IF('1. Live'!CF296='check-Jul25'!CF296,"",'1. Live'!CF296-'check-Jul25'!CF296)</f>
        <v/>
      </c>
      <c r="CG296" t="str">
        <f>IF('1. Live'!CG296='check-Jul25'!CG296,"",'1. Live'!CG296-'check-Jul25'!CG296)</f>
        <v/>
      </c>
      <c r="CH296" t="str">
        <f>IF('1. Live'!CH296='check-Jul25'!CH296,"",'1. Live'!CH296-'check-Jul25'!CH296)</f>
        <v/>
      </c>
      <c r="CI296" t="str">
        <f>IF('1. Live'!CI296='check-Jul25'!CI296,"",'1. Live'!CI296-'check-Jul25'!CI296)</f>
        <v/>
      </c>
      <c r="CJ296" t="str">
        <f>IF('1. Live'!CJ296='check-Jul25'!CJ296,"",'1. Live'!CJ296-'check-Jul25'!CJ296)</f>
        <v/>
      </c>
      <c r="CK296" t="str">
        <f>IF('1. Live'!CK296='check-Jul25'!CK296,"",'1. Live'!CK296-'check-Jul25'!CK296)</f>
        <v/>
      </c>
      <c r="CL296" t="str">
        <f>IF('1. Live'!CL296='check-Jul25'!CL296,"",'1. Live'!CL296-'check-Jul25'!CL296)</f>
        <v/>
      </c>
      <c r="CM296" t="str">
        <f>IF('1. Live'!CM296='check-Jul25'!CM296,"",'1. Live'!CM296-'check-Jul25'!CM296)</f>
        <v/>
      </c>
      <c r="CN296" t="str">
        <f>IF('1. Live'!CN296='check-Jul25'!CN296,"",'1. Live'!CN296-'check-Jul25'!CN296)</f>
        <v/>
      </c>
      <c r="CO296" t="str">
        <f>IF('1. Live'!CO296='check-Jul25'!CO296,"",'1. Live'!CO296-'check-Jul25'!CO296)</f>
        <v/>
      </c>
      <c r="CP296" t="str">
        <f>IF('1. Live'!CP296='check-Jul25'!CP296,"",'1. Live'!CP296-'check-Jul25'!CP296)</f>
        <v/>
      </c>
      <c r="CQ296" t="str">
        <f>IF('1. Live'!CQ296='check-Jul25'!CQ296,"",'1. Live'!CQ296-'check-Jul25'!CQ296)</f>
        <v/>
      </c>
      <c r="CR296" t="str">
        <f>IF('1. Live'!CR296='check-Jul25'!CR296,"",'1. Live'!CR296-'check-Jul25'!CR296)</f>
        <v/>
      </c>
      <c r="CS296" t="str">
        <f>IF('1. Live'!CS296='check-Jul25'!CS296,"",'1. Live'!CS296-'check-Jul25'!CS296)</f>
        <v/>
      </c>
      <c r="CT296" t="str">
        <f>IF('1. Live'!CT296='check-Jul25'!CT296,"",'1. Live'!CT296-'check-Jul25'!CT296)</f>
        <v/>
      </c>
      <c r="CU296" t="str">
        <f>IF('1. Live'!CU296='check-Jul25'!CU296,"",'1. Live'!CU296-'check-Jul25'!CU296)</f>
        <v/>
      </c>
      <c r="CV296" t="str">
        <f>IF('1. Live'!CV296='check-Jul25'!CV296,"",'1. Live'!CV296-'check-Jul25'!CV296)</f>
        <v/>
      </c>
      <c r="CW296" t="str">
        <f>IF('1. Live'!CW296='check-Jul25'!CW296,"",'1. Live'!CW296-'check-Jul25'!CW296)</f>
        <v/>
      </c>
    </row>
    <row r="297" spans="10:101">
      <c r="J297" t="str">
        <f>IF('1. Live'!J297='check-Jul25'!J297,"",'1. Live'!J297-'check-Jul25'!J297)</f>
        <v/>
      </c>
      <c r="K297" t="str">
        <f>IF('1. Live'!K297='check-Jul25'!K297,"",'1. Live'!K297-'check-Jul25'!K297)</f>
        <v/>
      </c>
      <c r="L297" t="str">
        <f>IF('1. Live'!L297='check-Jul25'!L297,"",'1. Live'!L297-'check-Jul25'!L297)</f>
        <v/>
      </c>
      <c r="M297" t="str">
        <f>IF('1. Live'!M297='check-Jul25'!M297,"",'1. Live'!M297-'check-Jul25'!M297)</f>
        <v/>
      </c>
      <c r="N297" t="str">
        <f>IF('1. Live'!N297='check-Jul25'!N297,"",'1. Live'!N297-'check-Jul25'!N297)</f>
        <v/>
      </c>
      <c r="O297" t="str">
        <f>IF('1. Live'!O297='check-Jul25'!O297,"",'1. Live'!O297-'check-Jul25'!O297)</f>
        <v/>
      </c>
      <c r="P297" t="str">
        <f>IF('1. Live'!P297='check-Jul25'!P297,"",'1. Live'!P297-'check-Jul25'!P297)</f>
        <v/>
      </c>
      <c r="Q297" t="str">
        <f>IF('1. Live'!Q297='check-Jul25'!Q297,"",'1. Live'!Q297-'check-Jul25'!Q297)</f>
        <v/>
      </c>
      <c r="R297" t="str">
        <f>IF('1. Live'!R297='check-Jul25'!R297,"",'1. Live'!R297-'check-Jul25'!R297)</f>
        <v/>
      </c>
      <c r="S297" t="str">
        <f>IF('1. Live'!S297='check-Jul25'!S297,"",'1. Live'!S297-'check-Jul25'!S297)</f>
        <v/>
      </c>
      <c r="T297" t="str">
        <f>IF('1. Live'!T297='check-Jul25'!T297,"",'1. Live'!T297-'check-Jul25'!T297)</f>
        <v/>
      </c>
      <c r="U297" t="str">
        <f>IF('1. Live'!U297='check-Jul25'!U297,"",'1. Live'!U297-'check-Jul25'!U297)</f>
        <v/>
      </c>
      <c r="V297" t="str">
        <f>IF('1. Live'!V297='check-Jul25'!V297,"",'1. Live'!V297-'check-Jul25'!V297)</f>
        <v/>
      </c>
      <c r="W297" t="str">
        <f>IF('1. Live'!W297='check-Jul25'!W297,"",'1. Live'!W297-'check-Jul25'!W297)</f>
        <v/>
      </c>
      <c r="X297" t="str">
        <f>IF('1. Live'!X297='check-Jul25'!X297,"",'1. Live'!X297-'check-Jul25'!X297)</f>
        <v/>
      </c>
      <c r="Y297" t="str">
        <f>IF('1. Live'!Y297='check-Jul25'!Y297,"",'1. Live'!Y297-'check-Jul25'!Y297)</f>
        <v/>
      </c>
      <c r="Z297" t="str">
        <f>IF('1. Live'!Z297='check-Jul25'!Z297,"",'1. Live'!Z297-'check-Jul25'!Z297)</f>
        <v/>
      </c>
      <c r="AA297" t="str">
        <f>IF('1. Live'!AA297='check-Jul25'!AA297,"",'1. Live'!AA297-'check-Jul25'!AA297)</f>
        <v/>
      </c>
      <c r="AB297" t="str">
        <f>IF('1. Live'!AB297='check-Jul25'!AB297,"",'1. Live'!AB297-'check-Jul25'!AB297)</f>
        <v/>
      </c>
      <c r="AC297" t="str">
        <f>IF('1. Live'!AC297='check-Jul25'!AC297,"",'1. Live'!AC297-'check-Jul25'!AC297)</f>
        <v/>
      </c>
      <c r="AD297" t="str">
        <f>IF('1. Live'!AD297='check-Jul25'!AD297,"",'1. Live'!AD297-'check-Jul25'!AD297)</f>
        <v/>
      </c>
      <c r="AE297" t="str">
        <f>IF('1. Live'!AE297='check-Jul25'!AE297,"",'1. Live'!AE297-'check-Jul25'!AE297)</f>
        <v/>
      </c>
      <c r="AF297" t="str">
        <f>IF('1. Live'!AF297='check-Jul25'!AF297,"",'1. Live'!AF297-'check-Jul25'!AF297)</f>
        <v/>
      </c>
      <c r="AG297" t="str">
        <f>IF('1. Live'!AG297='check-Jul25'!AG297,"",'1. Live'!AG297-'check-Jul25'!AG297)</f>
        <v/>
      </c>
      <c r="AH297" t="str">
        <f>IF('1. Live'!AH297='check-Jul25'!AH297,"",'1. Live'!AH297-'check-Jul25'!AH297)</f>
        <v/>
      </c>
      <c r="AI297" t="str">
        <f>IF('1. Live'!AI297='check-Jul25'!AI297,"",'1. Live'!AI297-'check-Jul25'!AI297)</f>
        <v/>
      </c>
      <c r="AJ297" t="str">
        <f>IF('1. Live'!AJ297='check-Jul25'!AJ297,"",'1. Live'!AJ297-'check-Jul25'!AJ297)</f>
        <v/>
      </c>
      <c r="AK297" t="str">
        <f>IF('1. Live'!AK297='check-Jul25'!AK297,"",'1. Live'!AK297-'check-Jul25'!AK297)</f>
        <v/>
      </c>
      <c r="AL297" t="str">
        <f>IF('1. Live'!AL297='check-Jul25'!AL297,"",'1. Live'!AL297-'check-Jul25'!AL297)</f>
        <v/>
      </c>
      <c r="AM297" t="str">
        <f>IF('1. Live'!AM297='check-Jul25'!AM297,"",'1. Live'!AM297-'check-Jul25'!AM297)</f>
        <v/>
      </c>
      <c r="AN297" t="str">
        <f>IF('1. Live'!AN297='check-Jul25'!AN297,"",'1. Live'!AN297-'check-Jul25'!AN297)</f>
        <v/>
      </c>
      <c r="AO297" t="str">
        <f>IF('1. Live'!AO297='check-Jul25'!AO297,"",'1. Live'!AO297-'check-Jul25'!AO297)</f>
        <v/>
      </c>
      <c r="AP297" t="str">
        <f>IF('1. Live'!AP297='check-Jul25'!AP297,"",'1. Live'!AP297-'check-Jul25'!AP297)</f>
        <v/>
      </c>
      <c r="AQ297" t="str">
        <f>IF('1. Live'!AQ297='check-Jul25'!AQ297,"",'1. Live'!AQ297-'check-Jul25'!AQ297)</f>
        <v/>
      </c>
      <c r="AR297" t="str">
        <f>IF('1. Live'!AR297='check-Jul25'!AR297,"",'1. Live'!AR297-'check-Jul25'!AR297)</f>
        <v/>
      </c>
      <c r="AS297" t="str">
        <f>IF('1. Live'!AS297='check-Jul25'!AS297,"",'1. Live'!AS297-'check-Jul25'!AS297)</f>
        <v/>
      </c>
      <c r="AT297" t="str">
        <f>IF('1. Live'!AT297='check-Jul25'!AT297,"",'1. Live'!AT297-'check-Jul25'!AT297)</f>
        <v/>
      </c>
      <c r="AU297" t="str">
        <f>IF('1. Live'!AU297='check-Jul25'!AU297,"",'1. Live'!AU297-'check-Jul25'!AU297)</f>
        <v/>
      </c>
      <c r="AV297" t="str">
        <f>IF('1. Live'!AV297='check-Jul25'!AV297,"",'1. Live'!AV297-'check-Jul25'!AV297)</f>
        <v/>
      </c>
      <c r="AW297" t="str">
        <f>IF('1. Live'!AW297='check-Jul25'!AW297,"",'1. Live'!AW297-'check-Jul25'!AW297)</f>
        <v/>
      </c>
      <c r="AX297" t="str">
        <f>IF('1. Live'!AX297='check-Jul25'!AX297,"",'1. Live'!AX297-'check-Jul25'!AX297)</f>
        <v/>
      </c>
      <c r="AY297" t="str">
        <f>IF('1. Live'!AY297='check-Jul25'!AY297,"",'1. Live'!AY297-'check-Jul25'!AY297)</f>
        <v/>
      </c>
      <c r="AZ297" t="str">
        <f>IF('1. Live'!AZ297='check-Jul25'!AZ297,"",'1. Live'!AZ297-'check-Jul25'!AZ297)</f>
        <v/>
      </c>
      <c r="BA297" t="str">
        <f>IF('1. Live'!BA297='check-Jul25'!BA297,"",'1. Live'!BA297-'check-Jul25'!BA297)</f>
        <v/>
      </c>
      <c r="BB297" t="str">
        <f>IF('1. Live'!BB297='check-Jul25'!BB297,"",'1. Live'!BB297-'check-Jul25'!BB297)</f>
        <v/>
      </c>
      <c r="BC297" t="str">
        <f>IF('1. Live'!BC297='check-Jul25'!BC297,"",'1. Live'!BC297-'check-Jul25'!BC297)</f>
        <v/>
      </c>
      <c r="BD297" t="str">
        <f>IF('1. Live'!BD297='check-Jul25'!BD297,"",'1. Live'!BD297-'check-Jul25'!BD297)</f>
        <v/>
      </c>
      <c r="BE297" t="str">
        <f>IF('1. Live'!BE297='check-Jul25'!BE297,"",'1. Live'!BE297-'check-Jul25'!BE297)</f>
        <v/>
      </c>
      <c r="BF297" t="str">
        <f>IF('1. Live'!BF297='check-Jul25'!BF297,"",'1. Live'!BF297-'check-Jul25'!BF297)</f>
        <v/>
      </c>
      <c r="BG297" t="str">
        <f>IF('1. Live'!BG297='check-Jul25'!BG297,"",'1. Live'!BG297-'check-Jul25'!BG297)</f>
        <v/>
      </c>
      <c r="BH297" t="str">
        <f>IF('1. Live'!BH297='check-Jul25'!BH297,"",'1. Live'!BH297-'check-Jul25'!BH297)</f>
        <v/>
      </c>
      <c r="BI297" t="str">
        <f>IF('1. Live'!BI297='check-Jul25'!BI297,"",'1. Live'!BI297-'check-Jul25'!BI297)</f>
        <v/>
      </c>
      <c r="BJ297" t="str">
        <f>IF('1. Live'!BJ297='check-Jul25'!BJ297,"",'1. Live'!BJ297-'check-Jul25'!BJ297)</f>
        <v/>
      </c>
      <c r="BK297" t="str">
        <f>IF('1. Live'!BK297='check-Jul25'!BK297,"",'1. Live'!BK297-'check-Jul25'!BK297)</f>
        <v/>
      </c>
      <c r="BL297" t="str">
        <f>IF('1. Live'!BL297='check-Jul25'!BL297,"",'1. Live'!BL297-'check-Jul25'!BL297)</f>
        <v/>
      </c>
      <c r="BM297" t="str">
        <f>IF('1. Live'!BM297='check-Jul25'!BM297,"",'1. Live'!BM297-'check-Jul25'!BM297)</f>
        <v/>
      </c>
      <c r="BN297" t="str">
        <f>IF('1. Live'!BN297='check-Jul25'!BN297,"",'1. Live'!BN297-'check-Jul25'!BN297)</f>
        <v/>
      </c>
      <c r="BO297" t="str">
        <f>IF('1. Live'!BO297='check-Jul25'!BO297,"",'1. Live'!BO297-'check-Jul25'!BO297)</f>
        <v/>
      </c>
      <c r="BP297" t="str">
        <f>IF('1. Live'!BP297='check-Jul25'!BP297,"",'1. Live'!BP297-'check-Jul25'!BP297)</f>
        <v/>
      </c>
      <c r="BQ297" t="str">
        <f>IF('1. Live'!BQ297='check-Jul25'!BQ297,"",'1. Live'!BQ297-'check-Jul25'!BQ297)</f>
        <v/>
      </c>
      <c r="BR297" t="str">
        <f>IF('1. Live'!BR297='check-Jul25'!BR297,"",'1. Live'!BR297-'check-Jul25'!BR297)</f>
        <v/>
      </c>
      <c r="BS297" t="str">
        <f>IF('1. Live'!BS297='check-Jul25'!BS297,"",'1. Live'!BS297-'check-Jul25'!BS297)</f>
        <v/>
      </c>
      <c r="BT297" t="str">
        <f>IF('1. Live'!BT297='check-Jul25'!BT297,"",'1. Live'!BT297-'check-Jul25'!BT297)</f>
        <v/>
      </c>
      <c r="BU297" t="str">
        <f>IF('1. Live'!BU297='check-Jul25'!BU297,"",'1. Live'!BU297-'check-Jul25'!BU297)</f>
        <v/>
      </c>
      <c r="BV297" t="str">
        <f>IF('1. Live'!BV297='check-Jul25'!BV297,"",'1. Live'!BV297-'check-Jul25'!BV297)</f>
        <v/>
      </c>
      <c r="BW297" t="str">
        <f>IF('1. Live'!BW297='check-Jul25'!BW297,"",'1. Live'!BW297-'check-Jul25'!BW297)</f>
        <v/>
      </c>
      <c r="BX297" t="str">
        <f>IF('1. Live'!BX297='check-Jul25'!BX297,"",'1. Live'!BX297-'check-Jul25'!BX297)</f>
        <v/>
      </c>
      <c r="BY297" t="str">
        <f>IF('1. Live'!BY297='check-Jul25'!BY297,"",'1. Live'!BY297-'check-Jul25'!BY297)</f>
        <v/>
      </c>
      <c r="BZ297" t="str">
        <f>IF('1. Live'!BZ297='check-Jul25'!BZ297,"",'1. Live'!BZ297-'check-Jul25'!BZ297)</f>
        <v/>
      </c>
      <c r="CA297" t="str">
        <f>IF('1. Live'!CA297='check-Jul25'!CA297,"",'1. Live'!CA297-'check-Jul25'!CA297)</f>
        <v/>
      </c>
      <c r="CB297" t="str">
        <f>IF('1. Live'!CB297='check-Jul25'!CB297,"",'1. Live'!CB297-'check-Jul25'!CB297)</f>
        <v/>
      </c>
      <c r="CC297" t="str">
        <f>IF('1. Live'!CC297='check-Jul25'!CC297,"",'1. Live'!CC297-'check-Jul25'!CC297)</f>
        <v/>
      </c>
      <c r="CD297" t="str">
        <f>IF('1. Live'!CD297='check-Jul25'!CD297,"",'1. Live'!CD297-'check-Jul25'!CD297)</f>
        <v/>
      </c>
      <c r="CE297" t="str">
        <f>IF('1. Live'!CE297='check-Jul25'!CE297,"",'1. Live'!CE297-'check-Jul25'!CE297)</f>
        <v/>
      </c>
      <c r="CF297" t="str">
        <f>IF('1. Live'!CF297='check-Jul25'!CF297,"",'1. Live'!CF297-'check-Jul25'!CF297)</f>
        <v/>
      </c>
      <c r="CG297" t="str">
        <f>IF('1. Live'!CG297='check-Jul25'!CG297,"",'1. Live'!CG297-'check-Jul25'!CG297)</f>
        <v/>
      </c>
      <c r="CH297" t="str">
        <f>IF('1. Live'!CH297='check-Jul25'!CH297,"",'1. Live'!CH297-'check-Jul25'!CH297)</f>
        <v/>
      </c>
      <c r="CI297" t="str">
        <f>IF('1. Live'!CI297='check-Jul25'!CI297,"",'1. Live'!CI297-'check-Jul25'!CI297)</f>
        <v/>
      </c>
      <c r="CJ297" t="str">
        <f>IF('1. Live'!CJ297='check-Jul25'!CJ297,"",'1. Live'!CJ297-'check-Jul25'!CJ297)</f>
        <v/>
      </c>
      <c r="CK297" t="str">
        <f>IF('1. Live'!CK297='check-Jul25'!CK297,"",'1. Live'!CK297-'check-Jul25'!CK297)</f>
        <v/>
      </c>
      <c r="CL297" t="str">
        <f>IF('1. Live'!CL297='check-Jul25'!CL297,"",'1. Live'!CL297-'check-Jul25'!CL297)</f>
        <v/>
      </c>
      <c r="CM297" t="str">
        <f>IF('1. Live'!CM297='check-Jul25'!CM297,"",'1. Live'!CM297-'check-Jul25'!CM297)</f>
        <v/>
      </c>
      <c r="CN297" t="str">
        <f>IF('1. Live'!CN297='check-Jul25'!CN297,"",'1. Live'!CN297-'check-Jul25'!CN297)</f>
        <v/>
      </c>
      <c r="CO297" t="str">
        <f>IF('1. Live'!CO297='check-Jul25'!CO297,"",'1. Live'!CO297-'check-Jul25'!CO297)</f>
        <v/>
      </c>
      <c r="CP297" t="str">
        <f>IF('1. Live'!CP297='check-Jul25'!CP297,"",'1. Live'!CP297-'check-Jul25'!CP297)</f>
        <v/>
      </c>
      <c r="CQ297" t="str">
        <f>IF('1. Live'!CQ297='check-Jul25'!CQ297,"",'1. Live'!CQ297-'check-Jul25'!CQ297)</f>
        <v/>
      </c>
      <c r="CR297" t="str">
        <f>IF('1. Live'!CR297='check-Jul25'!CR297,"",'1. Live'!CR297-'check-Jul25'!CR297)</f>
        <v/>
      </c>
      <c r="CS297" t="str">
        <f>IF('1. Live'!CS297='check-Jul25'!CS297,"",'1. Live'!CS297-'check-Jul25'!CS297)</f>
        <v/>
      </c>
      <c r="CT297" t="str">
        <f>IF('1. Live'!CT297='check-Jul25'!CT297,"",'1. Live'!CT297-'check-Jul25'!CT297)</f>
        <v/>
      </c>
      <c r="CU297" t="str">
        <f>IF('1. Live'!CU297='check-Jul25'!CU297,"",'1. Live'!CU297-'check-Jul25'!CU297)</f>
        <v/>
      </c>
      <c r="CV297" t="str">
        <f>IF('1. Live'!CV297='check-Jul25'!CV297,"",'1. Live'!CV297-'check-Jul25'!CV297)</f>
        <v/>
      </c>
      <c r="CW297" t="str">
        <f>IF('1. Live'!CW297='check-Jul25'!CW297,"",'1. Live'!CW297-'check-Jul25'!CW297)</f>
        <v/>
      </c>
    </row>
    <row r="298" spans="10:101">
      <c r="J298" t="str">
        <f>IF('1. Live'!J298='check-Jul25'!J298,"",'1. Live'!J298-'check-Jul25'!J298)</f>
        <v/>
      </c>
      <c r="K298" t="str">
        <f>IF('1. Live'!K298='check-Jul25'!K298,"",'1. Live'!K298-'check-Jul25'!K298)</f>
        <v/>
      </c>
      <c r="L298" t="str">
        <f>IF('1. Live'!L298='check-Jul25'!L298,"",'1. Live'!L298-'check-Jul25'!L298)</f>
        <v/>
      </c>
      <c r="M298" t="str">
        <f>IF('1. Live'!M298='check-Jul25'!M298,"",'1. Live'!M298-'check-Jul25'!M298)</f>
        <v/>
      </c>
      <c r="N298" t="str">
        <f>IF('1. Live'!N298='check-Jul25'!N298,"",'1. Live'!N298-'check-Jul25'!N298)</f>
        <v/>
      </c>
      <c r="O298" t="str">
        <f>IF('1. Live'!O298='check-Jul25'!O298,"",'1. Live'!O298-'check-Jul25'!O298)</f>
        <v/>
      </c>
      <c r="P298" t="str">
        <f>IF('1. Live'!P298='check-Jul25'!P298,"",'1. Live'!P298-'check-Jul25'!P298)</f>
        <v/>
      </c>
      <c r="Q298" t="str">
        <f>IF('1. Live'!Q298='check-Jul25'!Q298,"",'1. Live'!Q298-'check-Jul25'!Q298)</f>
        <v/>
      </c>
      <c r="R298" t="str">
        <f>IF('1. Live'!R298='check-Jul25'!R298,"",'1. Live'!R298-'check-Jul25'!R298)</f>
        <v/>
      </c>
      <c r="S298" t="str">
        <f>IF('1. Live'!S298='check-Jul25'!S298,"",'1. Live'!S298-'check-Jul25'!S298)</f>
        <v/>
      </c>
      <c r="T298" t="str">
        <f>IF('1. Live'!T298='check-Jul25'!T298,"",'1. Live'!T298-'check-Jul25'!T298)</f>
        <v/>
      </c>
      <c r="U298" t="str">
        <f>IF('1. Live'!U298='check-Jul25'!U298,"",'1. Live'!U298-'check-Jul25'!U298)</f>
        <v/>
      </c>
      <c r="V298" t="str">
        <f>IF('1. Live'!V298='check-Jul25'!V298,"",'1. Live'!V298-'check-Jul25'!V298)</f>
        <v/>
      </c>
      <c r="W298" t="str">
        <f>IF('1. Live'!W298='check-Jul25'!W298,"",'1. Live'!W298-'check-Jul25'!W298)</f>
        <v/>
      </c>
      <c r="X298" t="str">
        <f>IF('1. Live'!X298='check-Jul25'!X298,"",'1. Live'!X298-'check-Jul25'!X298)</f>
        <v/>
      </c>
      <c r="Y298" t="str">
        <f>IF('1. Live'!Y298='check-Jul25'!Y298,"",'1. Live'!Y298-'check-Jul25'!Y298)</f>
        <v/>
      </c>
      <c r="Z298" t="str">
        <f>IF('1. Live'!Z298='check-Jul25'!Z298,"",'1. Live'!Z298-'check-Jul25'!Z298)</f>
        <v/>
      </c>
      <c r="AA298" t="str">
        <f>IF('1. Live'!AA298='check-Jul25'!AA298,"",'1. Live'!AA298-'check-Jul25'!AA298)</f>
        <v/>
      </c>
      <c r="AB298" t="str">
        <f>IF('1. Live'!AB298='check-Jul25'!AB298,"",'1. Live'!AB298-'check-Jul25'!AB298)</f>
        <v/>
      </c>
      <c r="AC298" t="str">
        <f>IF('1. Live'!AC298='check-Jul25'!AC298,"",'1. Live'!AC298-'check-Jul25'!AC298)</f>
        <v/>
      </c>
      <c r="AD298" t="str">
        <f>IF('1. Live'!AD298='check-Jul25'!AD298,"",'1. Live'!AD298-'check-Jul25'!AD298)</f>
        <v/>
      </c>
      <c r="AE298" t="str">
        <f>IF('1. Live'!AE298='check-Jul25'!AE298,"",'1. Live'!AE298-'check-Jul25'!AE298)</f>
        <v/>
      </c>
      <c r="AF298" t="str">
        <f>IF('1. Live'!AF298='check-Jul25'!AF298,"",'1. Live'!AF298-'check-Jul25'!AF298)</f>
        <v/>
      </c>
      <c r="AG298" t="str">
        <f>IF('1. Live'!AG298='check-Jul25'!AG298,"",'1. Live'!AG298-'check-Jul25'!AG298)</f>
        <v/>
      </c>
      <c r="AH298" t="str">
        <f>IF('1. Live'!AH298='check-Jul25'!AH298,"",'1. Live'!AH298-'check-Jul25'!AH298)</f>
        <v/>
      </c>
      <c r="AI298" t="str">
        <f>IF('1. Live'!AI298='check-Jul25'!AI298,"",'1. Live'!AI298-'check-Jul25'!AI298)</f>
        <v/>
      </c>
      <c r="AJ298" t="str">
        <f>IF('1. Live'!AJ298='check-Jul25'!AJ298,"",'1. Live'!AJ298-'check-Jul25'!AJ298)</f>
        <v/>
      </c>
      <c r="AK298" t="str">
        <f>IF('1. Live'!AK298='check-Jul25'!AK298,"",'1. Live'!AK298-'check-Jul25'!AK298)</f>
        <v/>
      </c>
      <c r="AL298" t="str">
        <f>IF('1. Live'!AL298='check-Jul25'!AL298,"",'1. Live'!AL298-'check-Jul25'!AL298)</f>
        <v/>
      </c>
      <c r="AM298" t="str">
        <f>IF('1. Live'!AM298='check-Jul25'!AM298,"",'1. Live'!AM298-'check-Jul25'!AM298)</f>
        <v/>
      </c>
      <c r="AN298" t="str">
        <f>IF('1. Live'!AN298='check-Jul25'!AN298,"",'1. Live'!AN298-'check-Jul25'!AN298)</f>
        <v/>
      </c>
      <c r="AO298" t="str">
        <f>IF('1. Live'!AO298='check-Jul25'!AO298,"",'1. Live'!AO298-'check-Jul25'!AO298)</f>
        <v/>
      </c>
      <c r="AP298" t="str">
        <f>IF('1. Live'!AP298='check-Jul25'!AP298,"",'1. Live'!AP298-'check-Jul25'!AP298)</f>
        <v/>
      </c>
      <c r="AQ298" t="str">
        <f>IF('1. Live'!AQ298='check-Jul25'!AQ298,"",'1. Live'!AQ298-'check-Jul25'!AQ298)</f>
        <v/>
      </c>
      <c r="AR298" t="str">
        <f>IF('1. Live'!AR298='check-Jul25'!AR298,"",'1. Live'!AR298-'check-Jul25'!AR298)</f>
        <v/>
      </c>
      <c r="AS298" t="str">
        <f>IF('1. Live'!AS298='check-Jul25'!AS298,"",'1. Live'!AS298-'check-Jul25'!AS298)</f>
        <v/>
      </c>
      <c r="AT298" t="str">
        <f>IF('1. Live'!AT298='check-Jul25'!AT298,"",'1. Live'!AT298-'check-Jul25'!AT298)</f>
        <v/>
      </c>
      <c r="AU298" t="str">
        <f>IF('1. Live'!AU298='check-Jul25'!AU298,"",'1. Live'!AU298-'check-Jul25'!AU298)</f>
        <v/>
      </c>
      <c r="AV298" t="str">
        <f>IF('1. Live'!AV298='check-Jul25'!AV298,"",'1. Live'!AV298-'check-Jul25'!AV298)</f>
        <v/>
      </c>
      <c r="AW298" t="str">
        <f>IF('1. Live'!AW298='check-Jul25'!AW298,"",'1. Live'!AW298-'check-Jul25'!AW298)</f>
        <v/>
      </c>
      <c r="AX298" t="str">
        <f>IF('1. Live'!AX298='check-Jul25'!AX298,"",'1. Live'!AX298-'check-Jul25'!AX298)</f>
        <v/>
      </c>
      <c r="AY298" t="str">
        <f>IF('1. Live'!AY298='check-Jul25'!AY298,"",'1. Live'!AY298-'check-Jul25'!AY298)</f>
        <v/>
      </c>
      <c r="AZ298" t="str">
        <f>IF('1. Live'!AZ298='check-Jul25'!AZ298,"",'1. Live'!AZ298-'check-Jul25'!AZ298)</f>
        <v/>
      </c>
      <c r="BA298" t="str">
        <f>IF('1. Live'!BA298='check-Jul25'!BA298,"",'1. Live'!BA298-'check-Jul25'!BA298)</f>
        <v/>
      </c>
      <c r="BB298" t="str">
        <f>IF('1. Live'!BB298='check-Jul25'!BB298,"",'1. Live'!BB298-'check-Jul25'!BB298)</f>
        <v/>
      </c>
      <c r="BC298" t="str">
        <f>IF('1. Live'!BC298='check-Jul25'!BC298,"",'1. Live'!BC298-'check-Jul25'!BC298)</f>
        <v/>
      </c>
      <c r="BD298" t="str">
        <f>IF('1. Live'!BD298='check-Jul25'!BD298,"",'1. Live'!BD298-'check-Jul25'!BD298)</f>
        <v/>
      </c>
      <c r="BE298" t="str">
        <f>IF('1. Live'!BE298='check-Jul25'!BE298,"",'1. Live'!BE298-'check-Jul25'!BE298)</f>
        <v/>
      </c>
      <c r="BF298" t="str">
        <f>IF('1. Live'!BF298='check-Jul25'!BF298,"",'1. Live'!BF298-'check-Jul25'!BF298)</f>
        <v/>
      </c>
      <c r="BG298" t="str">
        <f>IF('1. Live'!BG298='check-Jul25'!BG298,"",'1. Live'!BG298-'check-Jul25'!BG298)</f>
        <v/>
      </c>
      <c r="BH298" t="str">
        <f>IF('1. Live'!BH298='check-Jul25'!BH298,"",'1. Live'!BH298-'check-Jul25'!BH298)</f>
        <v/>
      </c>
      <c r="BI298" t="str">
        <f>IF('1. Live'!BI298='check-Jul25'!BI298,"",'1. Live'!BI298-'check-Jul25'!BI298)</f>
        <v/>
      </c>
      <c r="BJ298" t="str">
        <f>IF('1. Live'!BJ298='check-Jul25'!BJ298,"",'1. Live'!BJ298-'check-Jul25'!BJ298)</f>
        <v/>
      </c>
      <c r="BK298" t="str">
        <f>IF('1. Live'!BK298='check-Jul25'!BK298,"",'1. Live'!BK298-'check-Jul25'!BK298)</f>
        <v/>
      </c>
      <c r="BL298" t="str">
        <f>IF('1. Live'!BL298='check-Jul25'!BL298,"",'1. Live'!BL298-'check-Jul25'!BL298)</f>
        <v/>
      </c>
      <c r="BM298" t="str">
        <f>IF('1. Live'!BM298='check-Jul25'!BM298,"",'1. Live'!BM298-'check-Jul25'!BM298)</f>
        <v/>
      </c>
      <c r="BN298" t="str">
        <f>IF('1. Live'!BN298='check-Jul25'!BN298,"",'1. Live'!BN298-'check-Jul25'!BN298)</f>
        <v/>
      </c>
      <c r="BO298" t="str">
        <f>IF('1. Live'!BO298='check-Jul25'!BO298,"",'1. Live'!BO298-'check-Jul25'!BO298)</f>
        <v/>
      </c>
      <c r="BP298" t="str">
        <f>IF('1. Live'!BP298='check-Jul25'!BP298,"",'1. Live'!BP298-'check-Jul25'!BP298)</f>
        <v/>
      </c>
      <c r="BQ298" t="str">
        <f>IF('1. Live'!BQ298='check-Jul25'!BQ298,"",'1. Live'!BQ298-'check-Jul25'!BQ298)</f>
        <v/>
      </c>
      <c r="BR298" t="str">
        <f>IF('1. Live'!BR298='check-Jul25'!BR298,"",'1. Live'!BR298-'check-Jul25'!BR298)</f>
        <v/>
      </c>
      <c r="BS298" t="str">
        <f>IF('1. Live'!BS298='check-Jul25'!BS298,"",'1. Live'!BS298-'check-Jul25'!BS298)</f>
        <v/>
      </c>
      <c r="BT298" t="str">
        <f>IF('1. Live'!BT298='check-Jul25'!BT298,"",'1. Live'!BT298-'check-Jul25'!BT298)</f>
        <v/>
      </c>
      <c r="BU298" t="str">
        <f>IF('1. Live'!BU298='check-Jul25'!BU298,"",'1. Live'!BU298-'check-Jul25'!BU298)</f>
        <v/>
      </c>
      <c r="BV298" t="str">
        <f>IF('1. Live'!BV298='check-Jul25'!BV298,"",'1. Live'!BV298-'check-Jul25'!BV298)</f>
        <v/>
      </c>
      <c r="BW298" t="str">
        <f>IF('1. Live'!BW298='check-Jul25'!BW298,"",'1. Live'!BW298-'check-Jul25'!BW298)</f>
        <v/>
      </c>
      <c r="BX298" t="str">
        <f>IF('1. Live'!BX298='check-Jul25'!BX298,"",'1. Live'!BX298-'check-Jul25'!BX298)</f>
        <v/>
      </c>
      <c r="BY298" t="str">
        <f>IF('1. Live'!BY298='check-Jul25'!BY298,"",'1. Live'!BY298-'check-Jul25'!BY298)</f>
        <v/>
      </c>
      <c r="BZ298" t="str">
        <f>IF('1. Live'!BZ298='check-Jul25'!BZ298,"",'1. Live'!BZ298-'check-Jul25'!BZ298)</f>
        <v/>
      </c>
      <c r="CA298" t="str">
        <f>IF('1. Live'!CA298='check-Jul25'!CA298,"",'1. Live'!CA298-'check-Jul25'!CA298)</f>
        <v/>
      </c>
      <c r="CB298" t="str">
        <f>IF('1. Live'!CB298='check-Jul25'!CB298,"",'1. Live'!CB298-'check-Jul25'!CB298)</f>
        <v/>
      </c>
      <c r="CC298" t="str">
        <f>IF('1. Live'!CC298='check-Jul25'!CC298,"",'1. Live'!CC298-'check-Jul25'!CC298)</f>
        <v/>
      </c>
      <c r="CD298" t="str">
        <f>IF('1. Live'!CD298='check-Jul25'!CD298,"",'1. Live'!CD298-'check-Jul25'!CD298)</f>
        <v/>
      </c>
      <c r="CE298" t="str">
        <f>IF('1. Live'!CE298='check-Jul25'!CE298,"",'1. Live'!CE298-'check-Jul25'!CE298)</f>
        <v/>
      </c>
      <c r="CF298" t="str">
        <f>IF('1. Live'!CF298='check-Jul25'!CF298,"",'1. Live'!CF298-'check-Jul25'!CF298)</f>
        <v/>
      </c>
      <c r="CG298" t="str">
        <f>IF('1. Live'!CG298='check-Jul25'!CG298,"",'1. Live'!CG298-'check-Jul25'!CG298)</f>
        <v/>
      </c>
      <c r="CH298" t="str">
        <f>IF('1. Live'!CH298='check-Jul25'!CH298,"",'1. Live'!CH298-'check-Jul25'!CH298)</f>
        <v/>
      </c>
      <c r="CI298" t="str">
        <f>IF('1. Live'!CI298='check-Jul25'!CI298,"",'1. Live'!CI298-'check-Jul25'!CI298)</f>
        <v/>
      </c>
      <c r="CJ298" t="str">
        <f>IF('1. Live'!CJ298='check-Jul25'!CJ298,"",'1. Live'!CJ298-'check-Jul25'!CJ298)</f>
        <v/>
      </c>
      <c r="CK298" t="str">
        <f>IF('1. Live'!CK298='check-Jul25'!CK298,"",'1. Live'!CK298-'check-Jul25'!CK298)</f>
        <v/>
      </c>
      <c r="CL298" t="str">
        <f>IF('1. Live'!CL298='check-Jul25'!CL298,"",'1. Live'!CL298-'check-Jul25'!CL298)</f>
        <v/>
      </c>
      <c r="CM298" t="str">
        <f>IF('1. Live'!CM298='check-Jul25'!CM298,"",'1. Live'!CM298-'check-Jul25'!CM298)</f>
        <v/>
      </c>
      <c r="CN298" t="str">
        <f>IF('1. Live'!CN298='check-Jul25'!CN298,"",'1. Live'!CN298-'check-Jul25'!CN298)</f>
        <v/>
      </c>
      <c r="CO298" t="str">
        <f>IF('1. Live'!CO298='check-Jul25'!CO298,"",'1. Live'!CO298-'check-Jul25'!CO298)</f>
        <v/>
      </c>
      <c r="CP298" t="str">
        <f>IF('1. Live'!CP298='check-Jul25'!CP298,"",'1. Live'!CP298-'check-Jul25'!CP298)</f>
        <v/>
      </c>
      <c r="CQ298" t="str">
        <f>IF('1. Live'!CQ298='check-Jul25'!CQ298,"",'1. Live'!CQ298-'check-Jul25'!CQ298)</f>
        <v/>
      </c>
      <c r="CR298" t="str">
        <f>IF('1. Live'!CR298='check-Jul25'!CR298,"",'1. Live'!CR298-'check-Jul25'!CR298)</f>
        <v/>
      </c>
      <c r="CS298" t="str">
        <f>IF('1. Live'!CS298='check-Jul25'!CS298,"",'1. Live'!CS298-'check-Jul25'!CS298)</f>
        <v/>
      </c>
      <c r="CT298" t="str">
        <f>IF('1. Live'!CT298='check-Jul25'!CT298,"",'1. Live'!CT298-'check-Jul25'!CT298)</f>
        <v/>
      </c>
      <c r="CU298" t="str">
        <f>IF('1. Live'!CU298='check-Jul25'!CU298,"",'1. Live'!CU298-'check-Jul25'!CU298)</f>
        <v/>
      </c>
      <c r="CV298" t="str">
        <f>IF('1. Live'!CV298='check-Jul25'!CV298,"",'1. Live'!CV298-'check-Jul25'!CV298)</f>
        <v/>
      </c>
      <c r="CW298" t="str">
        <f>IF('1. Live'!CW298='check-Jul25'!CW298,"",'1. Live'!CW298-'check-Jul25'!CW298)</f>
        <v/>
      </c>
    </row>
    <row r="299" spans="10:101">
      <c r="J299" t="str">
        <f>IF('1. Live'!J299='check-Jul25'!J299,"",'1. Live'!J299-'check-Jul25'!J299)</f>
        <v/>
      </c>
      <c r="K299" t="str">
        <f>IF('1. Live'!K299='check-Jul25'!K299,"",'1. Live'!K299-'check-Jul25'!K299)</f>
        <v/>
      </c>
      <c r="L299" t="str">
        <f>IF('1. Live'!L299='check-Jul25'!L299,"",'1. Live'!L299-'check-Jul25'!L299)</f>
        <v/>
      </c>
      <c r="M299" t="str">
        <f>IF('1. Live'!M299='check-Jul25'!M299,"",'1. Live'!M299-'check-Jul25'!M299)</f>
        <v/>
      </c>
      <c r="N299" t="str">
        <f>IF('1. Live'!N299='check-Jul25'!N299,"",'1. Live'!N299-'check-Jul25'!N299)</f>
        <v/>
      </c>
      <c r="O299" t="str">
        <f>IF('1. Live'!O299='check-Jul25'!O299,"",'1. Live'!O299-'check-Jul25'!O299)</f>
        <v/>
      </c>
      <c r="P299" t="str">
        <f>IF('1. Live'!P299='check-Jul25'!P299,"",'1. Live'!P299-'check-Jul25'!P299)</f>
        <v/>
      </c>
      <c r="Q299" t="str">
        <f>IF('1. Live'!Q299='check-Jul25'!Q299,"",'1. Live'!Q299-'check-Jul25'!Q299)</f>
        <v/>
      </c>
      <c r="R299" t="str">
        <f>IF('1. Live'!R299='check-Jul25'!R299,"",'1. Live'!R299-'check-Jul25'!R299)</f>
        <v/>
      </c>
      <c r="S299" t="str">
        <f>IF('1. Live'!S299='check-Jul25'!S299,"",'1. Live'!S299-'check-Jul25'!S299)</f>
        <v/>
      </c>
      <c r="T299" t="str">
        <f>IF('1. Live'!T299='check-Jul25'!T299,"",'1. Live'!T299-'check-Jul25'!T299)</f>
        <v/>
      </c>
      <c r="U299" t="str">
        <f>IF('1. Live'!U299='check-Jul25'!U299,"",'1. Live'!U299-'check-Jul25'!U299)</f>
        <v/>
      </c>
      <c r="V299" t="str">
        <f>IF('1. Live'!V299='check-Jul25'!V299,"",'1. Live'!V299-'check-Jul25'!V299)</f>
        <v/>
      </c>
      <c r="W299" t="str">
        <f>IF('1. Live'!W299='check-Jul25'!W299,"",'1. Live'!W299-'check-Jul25'!W299)</f>
        <v/>
      </c>
      <c r="X299" t="str">
        <f>IF('1. Live'!X299='check-Jul25'!X299,"",'1. Live'!X299-'check-Jul25'!X299)</f>
        <v/>
      </c>
      <c r="Y299" t="str">
        <f>IF('1. Live'!Y299='check-Jul25'!Y299,"",'1. Live'!Y299-'check-Jul25'!Y299)</f>
        <v/>
      </c>
      <c r="Z299" t="str">
        <f>IF('1. Live'!Z299='check-Jul25'!Z299,"",'1. Live'!Z299-'check-Jul25'!Z299)</f>
        <v/>
      </c>
      <c r="AA299" t="str">
        <f>IF('1. Live'!AA299='check-Jul25'!AA299,"",'1. Live'!AA299-'check-Jul25'!AA299)</f>
        <v/>
      </c>
      <c r="AB299" t="str">
        <f>IF('1. Live'!AB299='check-Jul25'!AB299,"",'1. Live'!AB299-'check-Jul25'!AB299)</f>
        <v/>
      </c>
      <c r="AC299" t="str">
        <f>IF('1. Live'!AC299='check-Jul25'!AC299,"",'1. Live'!AC299-'check-Jul25'!AC299)</f>
        <v/>
      </c>
      <c r="AD299" t="str">
        <f>IF('1. Live'!AD299='check-Jul25'!AD299,"",'1. Live'!AD299-'check-Jul25'!AD299)</f>
        <v/>
      </c>
      <c r="AE299" t="str">
        <f>IF('1. Live'!AE299='check-Jul25'!AE299,"",'1. Live'!AE299-'check-Jul25'!AE299)</f>
        <v/>
      </c>
      <c r="AF299" t="str">
        <f>IF('1. Live'!AF299='check-Jul25'!AF299,"",'1. Live'!AF299-'check-Jul25'!AF299)</f>
        <v/>
      </c>
      <c r="AG299" t="str">
        <f>IF('1. Live'!AG299='check-Jul25'!AG299,"",'1. Live'!AG299-'check-Jul25'!AG299)</f>
        <v/>
      </c>
      <c r="AH299" t="str">
        <f>IF('1. Live'!AH299='check-Jul25'!AH299,"",'1. Live'!AH299-'check-Jul25'!AH299)</f>
        <v/>
      </c>
      <c r="AI299" t="str">
        <f>IF('1. Live'!AI299='check-Jul25'!AI299,"",'1. Live'!AI299-'check-Jul25'!AI299)</f>
        <v/>
      </c>
      <c r="AJ299" t="str">
        <f>IF('1. Live'!AJ299='check-Jul25'!AJ299,"",'1. Live'!AJ299-'check-Jul25'!AJ299)</f>
        <v/>
      </c>
      <c r="AK299" t="str">
        <f>IF('1. Live'!AK299='check-Jul25'!AK299,"",'1. Live'!AK299-'check-Jul25'!AK299)</f>
        <v/>
      </c>
      <c r="AL299" t="str">
        <f>IF('1. Live'!AL299='check-Jul25'!AL299,"",'1. Live'!AL299-'check-Jul25'!AL299)</f>
        <v/>
      </c>
      <c r="AM299" t="str">
        <f>IF('1. Live'!AM299='check-Jul25'!AM299,"",'1. Live'!AM299-'check-Jul25'!AM299)</f>
        <v/>
      </c>
      <c r="AN299" t="str">
        <f>IF('1. Live'!AN299='check-Jul25'!AN299,"",'1. Live'!AN299-'check-Jul25'!AN299)</f>
        <v/>
      </c>
      <c r="AO299" t="str">
        <f>IF('1. Live'!AO299='check-Jul25'!AO299,"",'1. Live'!AO299-'check-Jul25'!AO299)</f>
        <v/>
      </c>
      <c r="AP299" t="str">
        <f>IF('1. Live'!AP299='check-Jul25'!AP299,"",'1. Live'!AP299-'check-Jul25'!AP299)</f>
        <v/>
      </c>
      <c r="AQ299" t="str">
        <f>IF('1. Live'!AQ299='check-Jul25'!AQ299,"",'1. Live'!AQ299-'check-Jul25'!AQ299)</f>
        <v/>
      </c>
      <c r="AR299" t="str">
        <f>IF('1. Live'!AR299='check-Jul25'!AR299,"",'1. Live'!AR299-'check-Jul25'!AR299)</f>
        <v/>
      </c>
      <c r="AS299" t="str">
        <f>IF('1. Live'!AS299='check-Jul25'!AS299,"",'1. Live'!AS299-'check-Jul25'!AS299)</f>
        <v/>
      </c>
      <c r="AT299" t="str">
        <f>IF('1. Live'!AT299='check-Jul25'!AT299,"",'1. Live'!AT299-'check-Jul25'!AT299)</f>
        <v/>
      </c>
      <c r="AU299" t="str">
        <f>IF('1. Live'!AU299='check-Jul25'!AU299,"",'1. Live'!AU299-'check-Jul25'!AU299)</f>
        <v/>
      </c>
      <c r="AV299" t="str">
        <f>IF('1. Live'!AV299='check-Jul25'!AV299,"",'1. Live'!AV299-'check-Jul25'!AV299)</f>
        <v/>
      </c>
      <c r="AW299" t="str">
        <f>IF('1. Live'!AW299='check-Jul25'!AW299,"",'1. Live'!AW299-'check-Jul25'!AW299)</f>
        <v/>
      </c>
      <c r="AX299" t="str">
        <f>IF('1. Live'!AX299='check-Jul25'!AX299,"",'1. Live'!AX299-'check-Jul25'!AX299)</f>
        <v/>
      </c>
      <c r="AY299" t="str">
        <f>IF('1. Live'!AY299='check-Jul25'!AY299,"",'1. Live'!AY299-'check-Jul25'!AY299)</f>
        <v/>
      </c>
      <c r="AZ299" t="str">
        <f>IF('1. Live'!AZ299='check-Jul25'!AZ299,"",'1. Live'!AZ299-'check-Jul25'!AZ299)</f>
        <v/>
      </c>
      <c r="BA299" t="str">
        <f>IF('1. Live'!BA299='check-Jul25'!BA299,"",'1. Live'!BA299-'check-Jul25'!BA299)</f>
        <v/>
      </c>
      <c r="BB299" t="str">
        <f>IF('1. Live'!BB299='check-Jul25'!BB299,"",'1. Live'!BB299-'check-Jul25'!BB299)</f>
        <v/>
      </c>
      <c r="BC299" t="str">
        <f>IF('1. Live'!BC299='check-Jul25'!BC299,"",'1. Live'!BC299-'check-Jul25'!BC299)</f>
        <v/>
      </c>
      <c r="BD299" t="str">
        <f>IF('1. Live'!BD299='check-Jul25'!BD299,"",'1. Live'!BD299-'check-Jul25'!BD299)</f>
        <v/>
      </c>
      <c r="BE299" t="str">
        <f>IF('1. Live'!BE299='check-Jul25'!BE299,"",'1. Live'!BE299-'check-Jul25'!BE299)</f>
        <v/>
      </c>
      <c r="BF299" t="str">
        <f>IF('1. Live'!BF299='check-Jul25'!BF299,"",'1. Live'!BF299-'check-Jul25'!BF299)</f>
        <v/>
      </c>
      <c r="BG299" t="str">
        <f>IF('1. Live'!BG299='check-Jul25'!BG299,"",'1. Live'!BG299-'check-Jul25'!BG299)</f>
        <v/>
      </c>
      <c r="BH299" t="str">
        <f>IF('1. Live'!BH299='check-Jul25'!BH299,"",'1. Live'!BH299-'check-Jul25'!BH299)</f>
        <v/>
      </c>
      <c r="BI299" t="str">
        <f>IF('1. Live'!BI299='check-Jul25'!BI299,"",'1. Live'!BI299-'check-Jul25'!BI299)</f>
        <v/>
      </c>
      <c r="BJ299" t="str">
        <f>IF('1. Live'!BJ299='check-Jul25'!BJ299,"",'1. Live'!BJ299-'check-Jul25'!BJ299)</f>
        <v/>
      </c>
      <c r="BK299" t="str">
        <f>IF('1. Live'!BK299='check-Jul25'!BK299,"",'1. Live'!BK299-'check-Jul25'!BK299)</f>
        <v/>
      </c>
      <c r="BL299" t="str">
        <f>IF('1. Live'!BL299='check-Jul25'!BL299,"",'1. Live'!BL299-'check-Jul25'!BL299)</f>
        <v/>
      </c>
      <c r="BM299" t="str">
        <f>IF('1. Live'!BM299='check-Jul25'!BM299,"",'1. Live'!BM299-'check-Jul25'!BM299)</f>
        <v/>
      </c>
      <c r="BN299" t="str">
        <f>IF('1. Live'!BN299='check-Jul25'!BN299,"",'1. Live'!BN299-'check-Jul25'!BN299)</f>
        <v/>
      </c>
      <c r="BO299" t="str">
        <f>IF('1. Live'!BO299='check-Jul25'!BO299,"",'1. Live'!BO299-'check-Jul25'!BO299)</f>
        <v/>
      </c>
      <c r="BP299" t="str">
        <f>IF('1. Live'!BP299='check-Jul25'!BP299,"",'1. Live'!BP299-'check-Jul25'!BP299)</f>
        <v/>
      </c>
      <c r="BQ299" t="str">
        <f>IF('1. Live'!BQ299='check-Jul25'!BQ299,"",'1. Live'!BQ299-'check-Jul25'!BQ299)</f>
        <v/>
      </c>
      <c r="BR299" t="str">
        <f>IF('1. Live'!BR299='check-Jul25'!BR299,"",'1. Live'!BR299-'check-Jul25'!BR299)</f>
        <v/>
      </c>
      <c r="BS299" t="str">
        <f>IF('1. Live'!BS299='check-Jul25'!BS299,"",'1. Live'!BS299-'check-Jul25'!BS299)</f>
        <v/>
      </c>
      <c r="BT299" t="str">
        <f>IF('1. Live'!BT299='check-Jul25'!BT299,"",'1. Live'!BT299-'check-Jul25'!BT299)</f>
        <v/>
      </c>
      <c r="BU299" t="str">
        <f>IF('1. Live'!BU299='check-Jul25'!BU299,"",'1. Live'!BU299-'check-Jul25'!BU299)</f>
        <v/>
      </c>
      <c r="BV299" t="str">
        <f>IF('1. Live'!BV299='check-Jul25'!BV299,"",'1. Live'!BV299-'check-Jul25'!BV299)</f>
        <v/>
      </c>
      <c r="BW299" t="str">
        <f>IF('1. Live'!BW299='check-Jul25'!BW299,"",'1. Live'!BW299-'check-Jul25'!BW299)</f>
        <v/>
      </c>
      <c r="BX299" t="str">
        <f>IF('1. Live'!BX299='check-Jul25'!BX299,"",'1. Live'!BX299-'check-Jul25'!BX299)</f>
        <v/>
      </c>
      <c r="BY299" t="str">
        <f>IF('1. Live'!BY299='check-Jul25'!BY299,"",'1. Live'!BY299-'check-Jul25'!BY299)</f>
        <v/>
      </c>
      <c r="BZ299" t="str">
        <f>IF('1. Live'!BZ299='check-Jul25'!BZ299,"",'1. Live'!BZ299-'check-Jul25'!BZ299)</f>
        <v/>
      </c>
      <c r="CA299" t="str">
        <f>IF('1. Live'!CA299='check-Jul25'!CA299,"",'1. Live'!CA299-'check-Jul25'!CA299)</f>
        <v/>
      </c>
      <c r="CB299" t="str">
        <f>IF('1. Live'!CB299='check-Jul25'!CB299,"",'1. Live'!CB299-'check-Jul25'!CB299)</f>
        <v/>
      </c>
      <c r="CC299" t="str">
        <f>IF('1. Live'!CC299='check-Jul25'!CC299,"",'1. Live'!CC299-'check-Jul25'!CC299)</f>
        <v/>
      </c>
      <c r="CD299" t="str">
        <f>IF('1. Live'!CD299='check-Jul25'!CD299,"",'1. Live'!CD299-'check-Jul25'!CD299)</f>
        <v/>
      </c>
      <c r="CE299" t="str">
        <f>IF('1. Live'!CE299='check-Jul25'!CE299,"",'1. Live'!CE299-'check-Jul25'!CE299)</f>
        <v/>
      </c>
      <c r="CF299" t="str">
        <f>IF('1. Live'!CF299='check-Jul25'!CF299,"",'1. Live'!CF299-'check-Jul25'!CF299)</f>
        <v/>
      </c>
      <c r="CG299" t="str">
        <f>IF('1. Live'!CG299='check-Jul25'!CG299,"",'1. Live'!CG299-'check-Jul25'!CG299)</f>
        <v/>
      </c>
      <c r="CH299" t="str">
        <f>IF('1. Live'!CH299='check-Jul25'!CH299,"",'1. Live'!CH299-'check-Jul25'!CH299)</f>
        <v/>
      </c>
      <c r="CI299" t="str">
        <f>IF('1. Live'!CI299='check-Jul25'!CI299,"",'1. Live'!CI299-'check-Jul25'!CI299)</f>
        <v/>
      </c>
      <c r="CJ299" t="str">
        <f>IF('1. Live'!CJ299='check-Jul25'!CJ299,"",'1. Live'!CJ299-'check-Jul25'!CJ299)</f>
        <v/>
      </c>
      <c r="CK299" t="str">
        <f>IF('1. Live'!CK299='check-Jul25'!CK299,"",'1. Live'!CK299-'check-Jul25'!CK299)</f>
        <v/>
      </c>
      <c r="CL299" t="str">
        <f>IF('1. Live'!CL299='check-Jul25'!CL299,"",'1. Live'!CL299-'check-Jul25'!CL299)</f>
        <v/>
      </c>
      <c r="CM299" t="str">
        <f>IF('1. Live'!CM299='check-Jul25'!CM299,"",'1. Live'!CM299-'check-Jul25'!CM299)</f>
        <v/>
      </c>
      <c r="CN299" t="str">
        <f>IF('1. Live'!CN299='check-Jul25'!CN299,"",'1. Live'!CN299-'check-Jul25'!CN299)</f>
        <v/>
      </c>
      <c r="CO299" t="str">
        <f>IF('1. Live'!CO299='check-Jul25'!CO299,"",'1. Live'!CO299-'check-Jul25'!CO299)</f>
        <v/>
      </c>
      <c r="CP299" t="str">
        <f>IF('1. Live'!CP299='check-Jul25'!CP299,"",'1. Live'!CP299-'check-Jul25'!CP299)</f>
        <v/>
      </c>
      <c r="CQ299" t="str">
        <f>IF('1. Live'!CQ299='check-Jul25'!CQ299,"",'1. Live'!CQ299-'check-Jul25'!CQ299)</f>
        <v/>
      </c>
      <c r="CR299" t="str">
        <f>IF('1. Live'!CR299='check-Jul25'!CR299,"",'1. Live'!CR299-'check-Jul25'!CR299)</f>
        <v/>
      </c>
      <c r="CS299" t="str">
        <f>IF('1. Live'!CS299='check-Jul25'!CS299,"",'1. Live'!CS299-'check-Jul25'!CS299)</f>
        <v/>
      </c>
      <c r="CT299" t="str">
        <f>IF('1. Live'!CT299='check-Jul25'!CT299,"",'1. Live'!CT299-'check-Jul25'!CT299)</f>
        <v/>
      </c>
      <c r="CU299" t="str">
        <f>IF('1. Live'!CU299='check-Jul25'!CU299,"",'1. Live'!CU299-'check-Jul25'!CU299)</f>
        <v/>
      </c>
      <c r="CV299" t="str">
        <f>IF('1. Live'!CV299='check-Jul25'!CV299,"",'1. Live'!CV299-'check-Jul25'!CV299)</f>
        <v/>
      </c>
      <c r="CW299" t="str">
        <f>IF('1. Live'!CW299='check-Jul25'!CW299,"",'1. Live'!CW299-'check-Jul25'!CW299)</f>
        <v/>
      </c>
    </row>
    <row r="300" spans="10:101">
      <c r="J300" t="str">
        <f>IF('1. Live'!J300='check-Jul25'!J300,"",'1. Live'!J300-'check-Jul25'!J300)</f>
        <v/>
      </c>
      <c r="K300" t="str">
        <f>IF('1. Live'!K300='check-Jul25'!K300,"",'1. Live'!K300-'check-Jul25'!K300)</f>
        <v/>
      </c>
      <c r="L300" t="str">
        <f>IF('1. Live'!L300='check-Jul25'!L300,"",'1. Live'!L300-'check-Jul25'!L300)</f>
        <v/>
      </c>
      <c r="M300" t="str">
        <f>IF('1. Live'!M300='check-Jul25'!M300,"",'1. Live'!M300-'check-Jul25'!M300)</f>
        <v/>
      </c>
      <c r="N300" t="str">
        <f>IF('1. Live'!N300='check-Jul25'!N300,"",'1. Live'!N300-'check-Jul25'!N300)</f>
        <v/>
      </c>
      <c r="O300" t="str">
        <f>IF('1. Live'!O300='check-Jul25'!O300,"",'1. Live'!O300-'check-Jul25'!O300)</f>
        <v/>
      </c>
      <c r="P300" t="str">
        <f>IF('1. Live'!P300='check-Jul25'!P300,"",'1. Live'!P300-'check-Jul25'!P300)</f>
        <v/>
      </c>
      <c r="Q300" t="str">
        <f>IF('1. Live'!Q300='check-Jul25'!Q300,"",'1. Live'!Q300-'check-Jul25'!Q300)</f>
        <v/>
      </c>
      <c r="R300" t="str">
        <f>IF('1. Live'!R300='check-Jul25'!R300,"",'1. Live'!R300-'check-Jul25'!R300)</f>
        <v/>
      </c>
      <c r="S300" t="str">
        <f>IF('1. Live'!S300='check-Jul25'!S300,"",'1. Live'!S300-'check-Jul25'!S300)</f>
        <v/>
      </c>
      <c r="T300" t="str">
        <f>IF('1. Live'!T300='check-Jul25'!T300,"",'1. Live'!T300-'check-Jul25'!T300)</f>
        <v/>
      </c>
      <c r="U300" t="str">
        <f>IF('1. Live'!U300='check-Jul25'!U300,"",'1. Live'!U300-'check-Jul25'!U300)</f>
        <v/>
      </c>
      <c r="V300" t="str">
        <f>IF('1. Live'!V300='check-Jul25'!V300,"",'1. Live'!V300-'check-Jul25'!V300)</f>
        <v/>
      </c>
      <c r="W300" t="str">
        <f>IF('1. Live'!W300='check-Jul25'!W300,"",'1. Live'!W300-'check-Jul25'!W300)</f>
        <v/>
      </c>
      <c r="X300" t="str">
        <f>IF('1. Live'!X300='check-Jul25'!X300,"",'1. Live'!X300-'check-Jul25'!X300)</f>
        <v/>
      </c>
      <c r="Y300" t="str">
        <f>IF('1. Live'!Y300='check-Jul25'!Y300,"",'1. Live'!Y300-'check-Jul25'!Y300)</f>
        <v/>
      </c>
      <c r="Z300" t="str">
        <f>IF('1. Live'!Z300='check-Jul25'!Z300,"",'1. Live'!Z300-'check-Jul25'!Z300)</f>
        <v/>
      </c>
      <c r="AA300" t="str">
        <f>IF('1. Live'!AA300='check-Jul25'!AA300,"",'1. Live'!AA300-'check-Jul25'!AA300)</f>
        <v/>
      </c>
      <c r="AB300" t="str">
        <f>IF('1. Live'!AB300='check-Jul25'!AB300,"",'1. Live'!AB300-'check-Jul25'!AB300)</f>
        <v/>
      </c>
      <c r="AC300" t="str">
        <f>IF('1. Live'!AC300='check-Jul25'!AC300,"",'1. Live'!AC300-'check-Jul25'!AC300)</f>
        <v/>
      </c>
      <c r="AD300" t="str">
        <f>IF('1. Live'!AD300='check-Jul25'!AD300,"",'1. Live'!AD300-'check-Jul25'!AD300)</f>
        <v/>
      </c>
      <c r="AE300" t="str">
        <f>IF('1. Live'!AE300='check-Jul25'!AE300,"",'1. Live'!AE300-'check-Jul25'!AE300)</f>
        <v/>
      </c>
      <c r="AF300" t="str">
        <f>IF('1. Live'!AF300='check-Jul25'!AF300,"",'1. Live'!AF300-'check-Jul25'!AF300)</f>
        <v/>
      </c>
      <c r="AG300" t="str">
        <f>IF('1. Live'!AG300='check-Jul25'!AG300,"",'1. Live'!AG300-'check-Jul25'!AG300)</f>
        <v/>
      </c>
      <c r="AH300" t="str">
        <f>IF('1. Live'!AH300='check-Jul25'!AH300,"",'1. Live'!AH300-'check-Jul25'!AH300)</f>
        <v/>
      </c>
      <c r="AI300" t="str">
        <f>IF('1. Live'!AI300='check-Jul25'!AI300,"",'1. Live'!AI300-'check-Jul25'!AI300)</f>
        <v/>
      </c>
      <c r="AJ300" t="str">
        <f>IF('1. Live'!AJ300='check-Jul25'!AJ300,"",'1. Live'!AJ300-'check-Jul25'!AJ300)</f>
        <v/>
      </c>
      <c r="AK300" t="str">
        <f>IF('1. Live'!AK300='check-Jul25'!AK300,"",'1. Live'!AK300-'check-Jul25'!AK300)</f>
        <v/>
      </c>
      <c r="AL300" t="str">
        <f>IF('1. Live'!AL300='check-Jul25'!AL300,"",'1. Live'!AL300-'check-Jul25'!AL300)</f>
        <v/>
      </c>
      <c r="AM300" t="str">
        <f>IF('1. Live'!AM300='check-Jul25'!AM300,"",'1. Live'!AM300-'check-Jul25'!AM300)</f>
        <v/>
      </c>
      <c r="AN300" t="str">
        <f>IF('1. Live'!AN300='check-Jul25'!AN300,"",'1. Live'!AN300-'check-Jul25'!AN300)</f>
        <v/>
      </c>
      <c r="AO300" t="str">
        <f>IF('1. Live'!AO300='check-Jul25'!AO300,"",'1. Live'!AO300-'check-Jul25'!AO300)</f>
        <v/>
      </c>
      <c r="AP300" t="str">
        <f>IF('1. Live'!AP300='check-Jul25'!AP300,"",'1. Live'!AP300-'check-Jul25'!AP300)</f>
        <v/>
      </c>
      <c r="AQ300" t="str">
        <f>IF('1. Live'!AQ300='check-Jul25'!AQ300,"",'1. Live'!AQ300-'check-Jul25'!AQ300)</f>
        <v/>
      </c>
      <c r="AR300" t="str">
        <f>IF('1. Live'!AR300='check-Jul25'!AR300,"",'1. Live'!AR300-'check-Jul25'!AR300)</f>
        <v/>
      </c>
      <c r="AS300" t="str">
        <f>IF('1. Live'!AS300='check-Jul25'!AS300,"",'1. Live'!AS300-'check-Jul25'!AS300)</f>
        <v/>
      </c>
      <c r="AT300" t="str">
        <f>IF('1. Live'!AT300='check-Jul25'!AT300,"",'1. Live'!AT300-'check-Jul25'!AT300)</f>
        <v/>
      </c>
      <c r="AU300" t="str">
        <f>IF('1. Live'!AU300='check-Jul25'!AU300,"",'1. Live'!AU300-'check-Jul25'!AU300)</f>
        <v/>
      </c>
      <c r="AV300" t="str">
        <f>IF('1. Live'!AV300='check-Jul25'!AV300,"",'1. Live'!AV300-'check-Jul25'!AV300)</f>
        <v/>
      </c>
      <c r="AW300" t="str">
        <f>IF('1. Live'!AW300='check-Jul25'!AW300,"",'1. Live'!AW300-'check-Jul25'!AW300)</f>
        <v/>
      </c>
      <c r="AX300" t="str">
        <f>IF('1. Live'!AX300='check-Jul25'!AX300,"",'1. Live'!AX300-'check-Jul25'!AX300)</f>
        <v/>
      </c>
      <c r="AY300" t="str">
        <f>IF('1. Live'!AY300='check-Jul25'!AY300,"",'1. Live'!AY300-'check-Jul25'!AY300)</f>
        <v/>
      </c>
      <c r="AZ300" t="str">
        <f>IF('1. Live'!AZ300='check-Jul25'!AZ300,"",'1. Live'!AZ300-'check-Jul25'!AZ300)</f>
        <v/>
      </c>
      <c r="BA300" t="str">
        <f>IF('1. Live'!BA300='check-Jul25'!BA300,"",'1. Live'!BA300-'check-Jul25'!BA300)</f>
        <v/>
      </c>
      <c r="BB300" t="str">
        <f>IF('1. Live'!BB300='check-Jul25'!BB300,"",'1. Live'!BB300-'check-Jul25'!BB300)</f>
        <v/>
      </c>
      <c r="BC300" t="str">
        <f>IF('1. Live'!BC300='check-Jul25'!BC300,"",'1. Live'!BC300-'check-Jul25'!BC300)</f>
        <v/>
      </c>
      <c r="BD300" t="str">
        <f>IF('1. Live'!BD300='check-Jul25'!BD300,"",'1. Live'!BD300-'check-Jul25'!BD300)</f>
        <v/>
      </c>
      <c r="BE300" t="str">
        <f>IF('1. Live'!BE300='check-Jul25'!BE300,"",'1. Live'!BE300-'check-Jul25'!BE300)</f>
        <v/>
      </c>
      <c r="BF300" t="str">
        <f>IF('1. Live'!BF300='check-Jul25'!BF300,"",'1. Live'!BF300-'check-Jul25'!BF300)</f>
        <v/>
      </c>
      <c r="BG300" t="str">
        <f>IF('1. Live'!BG300='check-Jul25'!BG300,"",'1. Live'!BG300-'check-Jul25'!BG300)</f>
        <v/>
      </c>
      <c r="BH300" t="str">
        <f>IF('1. Live'!BH300='check-Jul25'!BH300,"",'1. Live'!BH300-'check-Jul25'!BH300)</f>
        <v/>
      </c>
      <c r="BI300" t="str">
        <f>IF('1. Live'!BI300='check-Jul25'!BI300,"",'1. Live'!BI300-'check-Jul25'!BI300)</f>
        <v/>
      </c>
      <c r="BJ300" t="str">
        <f>IF('1. Live'!BJ300='check-Jul25'!BJ300,"",'1. Live'!BJ300-'check-Jul25'!BJ300)</f>
        <v/>
      </c>
      <c r="BK300" t="str">
        <f>IF('1. Live'!BK300='check-Jul25'!BK300,"",'1. Live'!BK300-'check-Jul25'!BK300)</f>
        <v/>
      </c>
      <c r="BL300" t="str">
        <f>IF('1. Live'!BL300='check-Jul25'!BL300,"",'1. Live'!BL300-'check-Jul25'!BL300)</f>
        <v/>
      </c>
      <c r="BM300" t="str">
        <f>IF('1. Live'!BM300='check-Jul25'!BM300,"",'1. Live'!BM300-'check-Jul25'!BM300)</f>
        <v/>
      </c>
      <c r="BN300" t="str">
        <f>IF('1. Live'!BN300='check-Jul25'!BN300,"",'1. Live'!BN300-'check-Jul25'!BN300)</f>
        <v/>
      </c>
      <c r="BO300" t="str">
        <f>IF('1. Live'!BO300='check-Jul25'!BO300,"",'1. Live'!BO300-'check-Jul25'!BO300)</f>
        <v/>
      </c>
      <c r="BP300" t="str">
        <f>IF('1. Live'!BP300='check-Jul25'!BP300,"",'1. Live'!BP300-'check-Jul25'!BP300)</f>
        <v/>
      </c>
      <c r="BQ300" t="str">
        <f>IF('1. Live'!BQ300='check-Jul25'!BQ300,"",'1. Live'!BQ300-'check-Jul25'!BQ300)</f>
        <v/>
      </c>
      <c r="BR300" t="str">
        <f>IF('1. Live'!BR300='check-Jul25'!BR300,"",'1. Live'!BR300-'check-Jul25'!BR300)</f>
        <v/>
      </c>
      <c r="BS300" t="str">
        <f>IF('1. Live'!BS300='check-Jul25'!BS300,"",'1. Live'!BS300-'check-Jul25'!BS300)</f>
        <v/>
      </c>
      <c r="BT300" t="str">
        <f>IF('1. Live'!BT300='check-Jul25'!BT300,"",'1. Live'!BT300-'check-Jul25'!BT300)</f>
        <v/>
      </c>
      <c r="BU300" t="str">
        <f>IF('1. Live'!BU300='check-Jul25'!BU300,"",'1. Live'!BU300-'check-Jul25'!BU300)</f>
        <v/>
      </c>
      <c r="BV300" t="str">
        <f>IF('1. Live'!BV300='check-Jul25'!BV300,"",'1. Live'!BV300-'check-Jul25'!BV300)</f>
        <v/>
      </c>
      <c r="BW300" t="str">
        <f>IF('1. Live'!BW300='check-Jul25'!BW300,"",'1. Live'!BW300-'check-Jul25'!BW300)</f>
        <v/>
      </c>
      <c r="BX300" t="str">
        <f>IF('1. Live'!BX300='check-Jul25'!BX300,"",'1. Live'!BX300-'check-Jul25'!BX300)</f>
        <v/>
      </c>
      <c r="BY300" t="str">
        <f>IF('1. Live'!BY300='check-Jul25'!BY300,"",'1. Live'!BY300-'check-Jul25'!BY300)</f>
        <v/>
      </c>
      <c r="BZ300" t="str">
        <f>IF('1. Live'!BZ300='check-Jul25'!BZ300,"",'1. Live'!BZ300-'check-Jul25'!BZ300)</f>
        <v/>
      </c>
      <c r="CA300" t="str">
        <f>IF('1. Live'!CA300='check-Jul25'!CA300,"",'1. Live'!CA300-'check-Jul25'!CA300)</f>
        <v/>
      </c>
      <c r="CB300" t="str">
        <f>IF('1. Live'!CB300='check-Jul25'!CB300,"",'1. Live'!CB300-'check-Jul25'!CB300)</f>
        <v/>
      </c>
      <c r="CC300" t="str">
        <f>IF('1. Live'!CC300='check-Jul25'!CC300,"",'1. Live'!CC300-'check-Jul25'!CC300)</f>
        <v/>
      </c>
      <c r="CD300" t="str">
        <f>IF('1. Live'!CD300='check-Jul25'!CD300,"",'1. Live'!CD300-'check-Jul25'!CD300)</f>
        <v/>
      </c>
      <c r="CE300" t="str">
        <f>IF('1. Live'!CE300='check-Jul25'!CE300,"",'1. Live'!CE300-'check-Jul25'!CE300)</f>
        <v/>
      </c>
      <c r="CF300" t="str">
        <f>IF('1. Live'!CF300='check-Jul25'!CF300,"",'1. Live'!CF300-'check-Jul25'!CF300)</f>
        <v/>
      </c>
      <c r="CG300" t="str">
        <f>IF('1. Live'!CG300='check-Jul25'!CG300,"",'1. Live'!CG300-'check-Jul25'!CG300)</f>
        <v/>
      </c>
      <c r="CH300" t="str">
        <f>IF('1. Live'!CH300='check-Jul25'!CH300,"",'1. Live'!CH300-'check-Jul25'!CH300)</f>
        <v/>
      </c>
      <c r="CI300" t="str">
        <f>IF('1. Live'!CI300='check-Jul25'!CI300,"",'1. Live'!CI300-'check-Jul25'!CI300)</f>
        <v/>
      </c>
      <c r="CJ300" t="str">
        <f>IF('1. Live'!CJ300='check-Jul25'!CJ300,"",'1. Live'!CJ300-'check-Jul25'!CJ300)</f>
        <v/>
      </c>
      <c r="CK300" t="str">
        <f>IF('1. Live'!CK300='check-Jul25'!CK300,"",'1. Live'!CK300-'check-Jul25'!CK300)</f>
        <v/>
      </c>
      <c r="CL300" t="str">
        <f>IF('1. Live'!CL300='check-Jul25'!CL300,"",'1. Live'!CL300-'check-Jul25'!CL300)</f>
        <v/>
      </c>
      <c r="CM300" t="str">
        <f>IF('1. Live'!CM300='check-Jul25'!CM300,"",'1. Live'!CM300-'check-Jul25'!CM300)</f>
        <v/>
      </c>
      <c r="CN300" t="str">
        <f>IF('1. Live'!CN300='check-Jul25'!CN300,"",'1. Live'!CN300-'check-Jul25'!CN300)</f>
        <v/>
      </c>
      <c r="CO300" t="str">
        <f>IF('1. Live'!CO300='check-Jul25'!CO300,"",'1. Live'!CO300-'check-Jul25'!CO300)</f>
        <v/>
      </c>
      <c r="CP300" t="str">
        <f>IF('1. Live'!CP300='check-Jul25'!CP300,"",'1. Live'!CP300-'check-Jul25'!CP300)</f>
        <v/>
      </c>
      <c r="CQ300" t="str">
        <f>IF('1. Live'!CQ300='check-Jul25'!CQ300,"",'1. Live'!CQ300-'check-Jul25'!CQ300)</f>
        <v/>
      </c>
      <c r="CR300" t="str">
        <f>IF('1. Live'!CR300='check-Jul25'!CR300,"",'1. Live'!CR300-'check-Jul25'!CR300)</f>
        <v/>
      </c>
      <c r="CS300" t="str">
        <f>IF('1. Live'!CS300='check-Jul25'!CS300,"",'1. Live'!CS300-'check-Jul25'!CS300)</f>
        <v/>
      </c>
      <c r="CT300" t="str">
        <f>IF('1. Live'!CT300='check-Jul25'!CT300,"",'1. Live'!CT300-'check-Jul25'!CT300)</f>
        <v/>
      </c>
      <c r="CU300" t="str">
        <f>IF('1. Live'!CU300='check-Jul25'!CU300,"",'1. Live'!CU300-'check-Jul25'!CU300)</f>
        <v/>
      </c>
      <c r="CV300" t="str">
        <f>IF('1. Live'!CV300='check-Jul25'!CV300,"",'1. Live'!CV300-'check-Jul25'!CV300)</f>
        <v/>
      </c>
      <c r="CW300" t="str">
        <f>IF('1. Live'!CW300='check-Jul25'!CW300,"",'1. Live'!CW300-'check-Jul25'!CW300)</f>
        <v/>
      </c>
    </row>
    <row r="301" spans="10:101">
      <c r="J301" t="str">
        <f>IF('1. Live'!J301='check-Jul25'!J301,"",'1. Live'!J301-'check-Jul25'!J301)</f>
        <v/>
      </c>
      <c r="K301" t="str">
        <f>IF('1. Live'!K301='check-Jul25'!K301,"",'1. Live'!K301-'check-Jul25'!K301)</f>
        <v/>
      </c>
      <c r="L301" t="str">
        <f>IF('1. Live'!L301='check-Jul25'!L301,"",'1. Live'!L301-'check-Jul25'!L301)</f>
        <v/>
      </c>
      <c r="M301" t="str">
        <f>IF('1. Live'!M301='check-Jul25'!M301,"",'1. Live'!M301-'check-Jul25'!M301)</f>
        <v/>
      </c>
      <c r="N301" t="str">
        <f>IF('1. Live'!N301='check-Jul25'!N301,"",'1. Live'!N301-'check-Jul25'!N301)</f>
        <v/>
      </c>
      <c r="O301" t="str">
        <f>IF('1. Live'!O301='check-Jul25'!O301,"",'1. Live'!O301-'check-Jul25'!O301)</f>
        <v/>
      </c>
      <c r="P301" t="str">
        <f>IF('1. Live'!P301='check-Jul25'!P301,"",'1. Live'!P301-'check-Jul25'!P301)</f>
        <v/>
      </c>
      <c r="Q301" t="str">
        <f>IF('1. Live'!Q301='check-Jul25'!Q301,"",'1. Live'!Q301-'check-Jul25'!Q301)</f>
        <v/>
      </c>
      <c r="R301" t="str">
        <f>IF('1. Live'!R301='check-Jul25'!R301,"",'1. Live'!R301-'check-Jul25'!R301)</f>
        <v/>
      </c>
      <c r="S301" t="str">
        <f>IF('1. Live'!S301='check-Jul25'!S301,"",'1. Live'!S301-'check-Jul25'!S301)</f>
        <v/>
      </c>
      <c r="T301" t="str">
        <f>IF('1. Live'!T301='check-Jul25'!T301,"",'1. Live'!T301-'check-Jul25'!T301)</f>
        <v/>
      </c>
      <c r="U301" t="str">
        <f>IF('1. Live'!U301='check-Jul25'!U301,"",'1. Live'!U301-'check-Jul25'!U301)</f>
        <v/>
      </c>
      <c r="V301" t="str">
        <f>IF('1. Live'!V301='check-Jul25'!V301,"",'1. Live'!V301-'check-Jul25'!V301)</f>
        <v/>
      </c>
      <c r="W301" t="str">
        <f>IF('1. Live'!W301='check-Jul25'!W301,"",'1. Live'!W301-'check-Jul25'!W301)</f>
        <v/>
      </c>
      <c r="X301" t="str">
        <f>IF('1. Live'!X301='check-Jul25'!X301,"",'1. Live'!X301-'check-Jul25'!X301)</f>
        <v/>
      </c>
      <c r="Y301" t="str">
        <f>IF('1. Live'!Y301='check-Jul25'!Y301,"",'1. Live'!Y301-'check-Jul25'!Y301)</f>
        <v/>
      </c>
      <c r="Z301" t="str">
        <f>IF('1. Live'!Z301='check-Jul25'!Z301,"",'1. Live'!Z301-'check-Jul25'!Z301)</f>
        <v/>
      </c>
      <c r="AA301" t="str">
        <f>IF('1. Live'!AA301='check-Jul25'!AA301,"",'1. Live'!AA301-'check-Jul25'!AA301)</f>
        <v/>
      </c>
      <c r="AB301" t="str">
        <f>IF('1. Live'!AB301='check-Jul25'!AB301,"",'1. Live'!AB301-'check-Jul25'!AB301)</f>
        <v/>
      </c>
      <c r="AC301" t="str">
        <f>IF('1. Live'!AC301='check-Jul25'!AC301,"",'1. Live'!AC301-'check-Jul25'!AC301)</f>
        <v/>
      </c>
      <c r="AD301" t="str">
        <f>IF('1. Live'!AD301='check-Jul25'!AD301,"",'1. Live'!AD301-'check-Jul25'!AD301)</f>
        <v/>
      </c>
      <c r="AE301" t="str">
        <f>IF('1. Live'!AE301='check-Jul25'!AE301,"",'1. Live'!AE301-'check-Jul25'!AE301)</f>
        <v/>
      </c>
      <c r="AF301" t="str">
        <f>IF('1. Live'!AF301='check-Jul25'!AF301,"",'1. Live'!AF301-'check-Jul25'!AF301)</f>
        <v/>
      </c>
      <c r="AG301" t="str">
        <f>IF('1. Live'!AG301='check-Jul25'!AG301,"",'1. Live'!AG301-'check-Jul25'!AG301)</f>
        <v/>
      </c>
      <c r="AH301" t="str">
        <f>IF('1. Live'!AH301='check-Jul25'!AH301,"",'1. Live'!AH301-'check-Jul25'!AH301)</f>
        <v/>
      </c>
      <c r="AI301" t="str">
        <f>IF('1. Live'!AI301='check-Jul25'!AI301,"",'1. Live'!AI301-'check-Jul25'!AI301)</f>
        <v/>
      </c>
      <c r="AJ301" t="str">
        <f>IF('1. Live'!AJ301='check-Jul25'!AJ301,"",'1. Live'!AJ301-'check-Jul25'!AJ301)</f>
        <v/>
      </c>
      <c r="AK301" t="str">
        <f>IF('1. Live'!AK301='check-Jul25'!AK301,"",'1. Live'!AK301-'check-Jul25'!AK301)</f>
        <v/>
      </c>
      <c r="AL301" t="str">
        <f>IF('1. Live'!AL301='check-Jul25'!AL301,"",'1. Live'!AL301-'check-Jul25'!AL301)</f>
        <v/>
      </c>
      <c r="AM301" t="str">
        <f>IF('1. Live'!AM301='check-Jul25'!AM301,"",'1. Live'!AM301-'check-Jul25'!AM301)</f>
        <v/>
      </c>
      <c r="AN301" t="str">
        <f>IF('1. Live'!AN301='check-Jul25'!AN301,"",'1. Live'!AN301-'check-Jul25'!AN301)</f>
        <v/>
      </c>
      <c r="AO301" t="str">
        <f>IF('1. Live'!AO301='check-Jul25'!AO301,"",'1. Live'!AO301-'check-Jul25'!AO301)</f>
        <v/>
      </c>
      <c r="AP301" t="str">
        <f>IF('1. Live'!AP301='check-Jul25'!AP301,"",'1. Live'!AP301-'check-Jul25'!AP301)</f>
        <v/>
      </c>
      <c r="AQ301" t="str">
        <f>IF('1. Live'!AQ301='check-Jul25'!AQ301,"",'1. Live'!AQ301-'check-Jul25'!AQ301)</f>
        <v/>
      </c>
      <c r="AR301" t="str">
        <f>IF('1. Live'!AR301='check-Jul25'!AR301,"",'1. Live'!AR301-'check-Jul25'!AR301)</f>
        <v/>
      </c>
      <c r="AS301" t="str">
        <f>IF('1. Live'!AS301='check-Jul25'!AS301,"",'1. Live'!AS301-'check-Jul25'!AS301)</f>
        <v/>
      </c>
      <c r="AT301" t="str">
        <f>IF('1. Live'!AT301='check-Jul25'!AT301,"",'1. Live'!AT301-'check-Jul25'!AT301)</f>
        <v/>
      </c>
      <c r="AU301" t="str">
        <f>IF('1. Live'!AU301='check-Jul25'!AU301,"",'1. Live'!AU301-'check-Jul25'!AU301)</f>
        <v/>
      </c>
      <c r="AV301" t="str">
        <f>IF('1. Live'!AV301='check-Jul25'!AV301,"",'1. Live'!AV301-'check-Jul25'!AV301)</f>
        <v/>
      </c>
      <c r="AW301" t="str">
        <f>IF('1. Live'!AW301='check-Jul25'!AW301,"",'1. Live'!AW301-'check-Jul25'!AW301)</f>
        <v/>
      </c>
      <c r="AX301" t="str">
        <f>IF('1. Live'!AX301='check-Jul25'!AX301,"",'1. Live'!AX301-'check-Jul25'!AX301)</f>
        <v/>
      </c>
      <c r="AY301" t="str">
        <f>IF('1. Live'!AY301='check-Jul25'!AY301,"",'1. Live'!AY301-'check-Jul25'!AY301)</f>
        <v/>
      </c>
      <c r="AZ301" t="str">
        <f>IF('1. Live'!AZ301='check-Jul25'!AZ301,"",'1. Live'!AZ301-'check-Jul25'!AZ301)</f>
        <v/>
      </c>
      <c r="BA301" t="str">
        <f>IF('1. Live'!BA301='check-Jul25'!BA301,"",'1. Live'!BA301-'check-Jul25'!BA301)</f>
        <v/>
      </c>
      <c r="BB301" t="str">
        <f>IF('1. Live'!BB301='check-Jul25'!BB301,"",'1. Live'!BB301-'check-Jul25'!BB301)</f>
        <v/>
      </c>
      <c r="BC301" t="str">
        <f>IF('1. Live'!BC301='check-Jul25'!BC301,"",'1. Live'!BC301-'check-Jul25'!BC301)</f>
        <v/>
      </c>
      <c r="BD301" t="str">
        <f>IF('1. Live'!BD301='check-Jul25'!BD301,"",'1. Live'!BD301-'check-Jul25'!BD301)</f>
        <v/>
      </c>
      <c r="BE301" t="str">
        <f>IF('1. Live'!BE301='check-Jul25'!BE301,"",'1. Live'!BE301-'check-Jul25'!BE301)</f>
        <v/>
      </c>
      <c r="BF301" t="str">
        <f>IF('1. Live'!BF301='check-Jul25'!BF301,"",'1. Live'!BF301-'check-Jul25'!BF301)</f>
        <v/>
      </c>
      <c r="BG301" t="str">
        <f>IF('1. Live'!BG301='check-Jul25'!BG301,"",'1. Live'!BG301-'check-Jul25'!BG301)</f>
        <v/>
      </c>
      <c r="BH301" t="str">
        <f>IF('1. Live'!BH301='check-Jul25'!BH301,"",'1. Live'!BH301-'check-Jul25'!BH301)</f>
        <v/>
      </c>
      <c r="BI301" t="str">
        <f>IF('1. Live'!BI301='check-Jul25'!BI301,"",'1. Live'!BI301-'check-Jul25'!BI301)</f>
        <v/>
      </c>
      <c r="BJ301" t="str">
        <f>IF('1. Live'!BJ301='check-Jul25'!BJ301,"",'1. Live'!BJ301-'check-Jul25'!BJ301)</f>
        <v/>
      </c>
      <c r="BK301" t="str">
        <f>IF('1. Live'!BK301='check-Jul25'!BK301,"",'1. Live'!BK301-'check-Jul25'!BK301)</f>
        <v/>
      </c>
      <c r="BL301" t="str">
        <f>IF('1. Live'!BL301='check-Jul25'!BL301,"",'1. Live'!BL301-'check-Jul25'!BL301)</f>
        <v/>
      </c>
      <c r="BM301" t="str">
        <f>IF('1. Live'!BM301='check-Jul25'!BM301,"",'1. Live'!BM301-'check-Jul25'!BM301)</f>
        <v/>
      </c>
      <c r="BN301" t="str">
        <f>IF('1. Live'!BN301='check-Jul25'!BN301,"",'1. Live'!BN301-'check-Jul25'!BN301)</f>
        <v/>
      </c>
      <c r="BO301" t="str">
        <f>IF('1. Live'!BO301='check-Jul25'!BO301,"",'1. Live'!BO301-'check-Jul25'!BO301)</f>
        <v/>
      </c>
      <c r="BP301" t="str">
        <f>IF('1. Live'!BP301='check-Jul25'!BP301,"",'1. Live'!BP301-'check-Jul25'!BP301)</f>
        <v/>
      </c>
      <c r="BQ301" t="str">
        <f>IF('1. Live'!BQ301='check-Jul25'!BQ301,"",'1. Live'!BQ301-'check-Jul25'!BQ301)</f>
        <v/>
      </c>
      <c r="BR301" t="str">
        <f>IF('1. Live'!BR301='check-Jul25'!BR301,"",'1. Live'!BR301-'check-Jul25'!BR301)</f>
        <v/>
      </c>
      <c r="BS301" t="str">
        <f>IF('1. Live'!BS301='check-Jul25'!BS301,"",'1. Live'!BS301-'check-Jul25'!BS301)</f>
        <v/>
      </c>
      <c r="BT301" t="str">
        <f>IF('1. Live'!BT301='check-Jul25'!BT301,"",'1. Live'!BT301-'check-Jul25'!BT301)</f>
        <v/>
      </c>
      <c r="BU301" t="str">
        <f>IF('1. Live'!BU301='check-Jul25'!BU301,"",'1. Live'!BU301-'check-Jul25'!BU301)</f>
        <v/>
      </c>
      <c r="BV301" t="str">
        <f>IF('1. Live'!BV301='check-Jul25'!BV301,"",'1. Live'!BV301-'check-Jul25'!BV301)</f>
        <v/>
      </c>
      <c r="BW301" t="str">
        <f>IF('1. Live'!BW301='check-Jul25'!BW301,"",'1. Live'!BW301-'check-Jul25'!BW301)</f>
        <v/>
      </c>
      <c r="BX301" t="str">
        <f>IF('1. Live'!BX301='check-Jul25'!BX301,"",'1. Live'!BX301-'check-Jul25'!BX301)</f>
        <v/>
      </c>
      <c r="BY301" t="str">
        <f>IF('1. Live'!BY301='check-Jul25'!BY301,"",'1. Live'!BY301-'check-Jul25'!BY301)</f>
        <v/>
      </c>
      <c r="BZ301" t="str">
        <f>IF('1. Live'!BZ301='check-Jul25'!BZ301,"",'1. Live'!BZ301-'check-Jul25'!BZ301)</f>
        <v/>
      </c>
      <c r="CA301" t="str">
        <f>IF('1. Live'!CA301='check-Jul25'!CA301,"",'1. Live'!CA301-'check-Jul25'!CA301)</f>
        <v/>
      </c>
      <c r="CB301" t="str">
        <f>IF('1. Live'!CB301='check-Jul25'!CB301,"",'1. Live'!CB301-'check-Jul25'!CB301)</f>
        <v/>
      </c>
      <c r="CC301" t="str">
        <f>IF('1. Live'!CC301='check-Jul25'!CC301,"",'1. Live'!CC301-'check-Jul25'!CC301)</f>
        <v/>
      </c>
      <c r="CD301" t="str">
        <f>IF('1. Live'!CD301='check-Jul25'!CD301,"",'1. Live'!CD301-'check-Jul25'!CD301)</f>
        <v/>
      </c>
      <c r="CE301" t="str">
        <f>IF('1. Live'!CE301='check-Jul25'!CE301,"",'1. Live'!CE301-'check-Jul25'!CE301)</f>
        <v/>
      </c>
      <c r="CF301" t="str">
        <f>IF('1. Live'!CF301='check-Jul25'!CF301,"",'1. Live'!CF301-'check-Jul25'!CF301)</f>
        <v/>
      </c>
      <c r="CG301" t="str">
        <f>IF('1. Live'!CG301='check-Jul25'!CG301,"",'1. Live'!CG301-'check-Jul25'!CG301)</f>
        <v/>
      </c>
      <c r="CH301" t="str">
        <f>IF('1. Live'!CH301='check-Jul25'!CH301,"",'1. Live'!CH301-'check-Jul25'!CH301)</f>
        <v/>
      </c>
      <c r="CI301" t="str">
        <f>IF('1. Live'!CI301='check-Jul25'!CI301,"",'1. Live'!CI301-'check-Jul25'!CI301)</f>
        <v/>
      </c>
      <c r="CJ301" t="str">
        <f>IF('1. Live'!CJ301='check-Jul25'!CJ301,"",'1. Live'!CJ301-'check-Jul25'!CJ301)</f>
        <v/>
      </c>
      <c r="CK301" t="str">
        <f>IF('1. Live'!CK301='check-Jul25'!CK301,"",'1. Live'!CK301-'check-Jul25'!CK301)</f>
        <v/>
      </c>
      <c r="CL301" t="str">
        <f>IF('1. Live'!CL301='check-Jul25'!CL301,"",'1. Live'!CL301-'check-Jul25'!CL301)</f>
        <v/>
      </c>
      <c r="CM301" t="str">
        <f>IF('1. Live'!CM301='check-Jul25'!CM301,"",'1. Live'!CM301-'check-Jul25'!CM301)</f>
        <v/>
      </c>
      <c r="CN301" t="str">
        <f>IF('1. Live'!CN301='check-Jul25'!CN301,"",'1. Live'!CN301-'check-Jul25'!CN301)</f>
        <v/>
      </c>
      <c r="CO301" t="str">
        <f>IF('1. Live'!CO301='check-Jul25'!CO301,"",'1. Live'!CO301-'check-Jul25'!CO301)</f>
        <v/>
      </c>
      <c r="CP301" t="str">
        <f>IF('1. Live'!CP301='check-Jul25'!CP301,"",'1. Live'!CP301-'check-Jul25'!CP301)</f>
        <v/>
      </c>
      <c r="CQ301" t="str">
        <f>IF('1. Live'!CQ301='check-Jul25'!CQ301,"",'1. Live'!CQ301-'check-Jul25'!CQ301)</f>
        <v/>
      </c>
      <c r="CR301" t="str">
        <f>IF('1. Live'!CR301='check-Jul25'!CR301,"",'1. Live'!CR301-'check-Jul25'!CR301)</f>
        <v/>
      </c>
      <c r="CS301" t="str">
        <f>IF('1. Live'!CS301='check-Jul25'!CS301,"",'1. Live'!CS301-'check-Jul25'!CS301)</f>
        <v/>
      </c>
      <c r="CT301" t="str">
        <f>IF('1. Live'!CT301='check-Jul25'!CT301,"",'1. Live'!CT301-'check-Jul25'!CT301)</f>
        <v/>
      </c>
      <c r="CU301" t="str">
        <f>IF('1. Live'!CU301='check-Jul25'!CU301,"",'1. Live'!CU301-'check-Jul25'!CU301)</f>
        <v/>
      </c>
      <c r="CV301" t="str">
        <f>IF('1. Live'!CV301='check-Jul25'!CV301,"",'1. Live'!CV301-'check-Jul25'!CV301)</f>
        <v/>
      </c>
      <c r="CW301" t="str">
        <f>IF('1. Live'!CW301='check-Jul25'!CW301,"",'1. Live'!CW301-'check-Jul25'!CW301)</f>
        <v/>
      </c>
    </row>
    <row r="302" spans="10:101">
      <c r="J302" t="str">
        <f>IF('1. Live'!J302='check-Jul25'!J302,"",'1. Live'!J302-'check-Jul25'!J302)</f>
        <v/>
      </c>
      <c r="K302" t="str">
        <f>IF('1. Live'!K302='check-Jul25'!K302,"",'1. Live'!K302-'check-Jul25'!K302)</f>
        <v/>
      </c>
      <c r="L302" t="str">
        <f>IF('1. Live'!L302='check-Jul25'!L302,"",'1. Live'!L302-'check-Jul25'!L302)</f>
        <v/>
      </c>
      <c r="M302" t="str">
        <f>IF('1. Live'!M302='check-Jul25'!M302,"",'1. Live'!M302-'check-Jul25'!M302)</f>
        <v/>
      </c>
      <c r="N302" t="str">
        <f>IF('1. Live'!N302='check-Jul25'!N302,"",'1. Live'!N302-'check-Jul25'!N302)</f>
        <v/>
      </c>
      <c r="O302" t="str">
        <f>IF('1. Live'!O302='check-Jul25'!O302,"",'1. Live'!O302-'check-Jul25'!O302)</f>
        <v/>
      </c>
      <c r="P302" t="str">
        <f>IF('1. Live'!P302='check-Jul25'!P302,"",'1. Live'!P302-'check-Jul25'!P302)</f>
        <v/>
      </c>
      <c r="Q302" t="str">
        <f>IF('1. Live'!Q302='check-Jul25'!Q302,"",'1. Live'!Q302-'check-Jul25'!Q302)</f>
        <v/>
      </c>
      <c r="R302" t="str">
        <f>IF('1. Live'!R302='check-Jul25'!R302,"",'1. Live'!R302-'check-Jul25'!R302)</f>
        <v/>
      </c>
      <c r="S302" t="str">
        <f>IF('1. Live'!S302='check-Jul25'!S302,"",'1. Live'!S302-'check-Jul25'!S302)</f>
        <v/>
      </c>
      <c r="T302" t="str">
        <f>IF('1. Live'!T302='check-Jul25'!T302,"",'1. Live'!T302-'check-Jul25'!T302)</f>
        <v/>
      </c>
      <c r="U302" t="str">
        <f>IF('1. Live'!U302='check-Jul25'!U302,"",'1. Live'!U302-'check-Jul25'!U302)</f>
        <v/>
      </c>
      <c r="V302" t="str">
        <f>IF('1. Live'!V302='check-Jul25'!V302,"",'1. Live'!V302-'check-Jul25'!V302)</f>
        <v/>
      </c>
      <c r="W302" t="str">
        <f>IF('1. Live'!W302='check-Jul25'!W302,"",'1. Live'!W302-'check-Jul25'!W302)</f>
        <v/>
      </c>
      <c r="X302" t="str">
        <f>IF('1. Live'!X302='check-Jul25'!X302,"",'1. Live'!X302-'check-Jul25'!X302)</f>
        <v/>
      </c>
      <c r="Y302" t="str">
        <f>IF('1. Live'!Y302='check-Jul25'!Y302,"",'1. Live'!Y302-'check-Jul25'!Y302)</f>
        <v/>
      </c>
      <c r="Z302" t="str">
        <f>IF('1. Live'!Z302='check-Jul25'!Z302,"",'1. Live'!Z302-'check-Jul25'!Z302)</f>
        <v/>
      </c>
      <c r="AA302" t="str">
        <f>IF('1. Live'!AA302='check-Jul25'!AA302,"",'1. Live'!AA302-'check-Jul25'!AA302)</f>
        <v/>
      </c>
      <c r="AB302" t="str">
        <f>IF('1. Live'!AB302='check-Jul25'!AB302,"",'1. Live'!AB302-'check-Jul25'!AB302)</f>
        <v/>
      </c>
      <c r="AC302" t="str">
        <f>IF('1. Live'!AC302='check-Jul25'!AC302,"",'1. Live'!AC302-'check-Jul25'!AC302)</f>
        <v/>
      </c>
      <c r="AD302" t="str">
        <f>IF('1. Live'!AD302='check-Jul25'!AD302,"",'1. Live'!AD302-'check-Jul25'!AD302)</f>
        <v/>
      </c>
      <c r="AE302" t="str">
        <f>IF('1. Live'!AE302='check-Jul25'!AE302,"",'1. Live'!AE302-'check-Jul25'!AE302)</f>
        <v/>
      </c>
      <c r="AF302" t="str">
        <f>IF('1. Live'!AF302='check-Jul25'!AF302,"",'1. Live'!AF302-'check-Jul25'!AF302)</f>
        <v/>
      </c>
      <c r="AG302" t="str">
        <f>IF('1. Live'!AG302='check-Jul25'!AG302,"",'1. Live'!AG302-'check-Jul25'!AG302)</f>
        <v/>
      </c>
      <c r="AH302" t="str">
        <f>IF('1. Live'!AH302='check-Jul25'!AH302,"",'1. Live'!AH302-'check-Jul25'!AH302)</f>
        <v/>
      </c>
      <c r="AI302" t="str">
        <f>IF('1. Live'!AI302='check-Jul25'!AI302,"",'1. Live'!AI302-'check-Jul25'!AI302)</f>
        <v/>
      </c>
      <c r="AJ302" t="str">
        <f>IF('1. Live'!AJ302='check-Jul25'!AJ302,"",'1. Live'!AJ302-'check-Jul25'!AJ302)</f>
        <v/>
      </c>
      <c r="AK302" t="str">
        <f>IF('1. Live'!AK302='check-Jul25'!AK302,"",'1. Live'!AK302-'check-Jul25'!AK302)</f>
        <v/>
      </c>
      <c r="AL302" t="str">
        <f>IF('1. Live'!AL302='check-Jul25'!AL302,"",'1. Live'!AL302-'check-Jul25'!AL302)</f>
        <v/>
      </c>
      <c r="AM302" t="str">
        <f>IF('1. Live'!AM302='check-Jul25'!AM302,"",'1. Live'!AM302-'check-Jul25'!AM302)</f>
        <v/>
      </c>
      <c r="AN302" t="str">
        <f>IF('1. Live'!AN302='check-Jul25'!AN302,"",'1. Live'!AN302-'check-Jul25'!AN302)</f>
        <v/>
      </c>
      <c r="AO302" t="str">
        <f>IF('1. Live'!AO302='check-Jul25'!AO302,"",'1. Live'!AO302-'check-Jul25'!AO302)</f>
        <v/>
      </c>
      <c r="AP302" t="str">
        <f>IF('1. Live'!AP302='check-Jul25'!AP302,"",'1. Live'!AP302-'check-Jul25'!AP302)</f>
        <v/>
      </c>
      <c r="AQ302" t="str">
        <f>IF('1. Live'!AQ302='check-Jul25'!AQ302,"",'1. Live'!AQ302-'check-Jul25'!AQ302)</f>
        <v/>
      </c>
      <c r="AR302" t="str">
        <f>IF('1. Live'!AR302='check-Jul25'!AR302,"",'1. Live'!AR302-'check-Jul25'!AR302)</f>
        <v/>
      </c>
      <c r="AS302" t="str">
        <f>IF('1. Live'!AS302='check-Jul25'!AS302,"",'1. Live'!AS302-'check-Jul25'!AS302)</f>
        <v/>
      </c>
      <c r="AT302" t="str">
        <f>IF('1. Live'!AT302='check-Jul25'!AT302,"",'1. Live'!AT302-'check-Jul25'!AT302)</f>
        <v/>
      </c>
      <c r="AU302" t="str">
        <f>IF('1. Live'!AU302='check-Jul25'!AU302,"",'1. Live'!AU302-'check-Jul25'!AU302)</f>
        <v/>
      </c>
      <c r="AV302" t="str">
        <f>IF('1. Live'!AV302='check-Jul25'!AV302,"",'1. Live'!AV302-'check-Jul25'!AV302)</f>
        <v/>
      </c>
      <c r="AW302" t="str">
        <f>IF('1. Live'!AW302='check-Jul25'!AW302,"",'1. Live'!AW302-'check-Jul25'!AW302)</f>
        <v/>
      </c>
      <c r="AX302" t="str">
        <f>IF('1. Live'!AX302='check-Jul25'!AX302,"",'1. Live'!AX302-'check-Jul25'!AX302)</f>
        <v/>
      </c>
      <c r="AY302" t="str">
        <f>IF('1. Live'!AY302='check-Jul25'!AY302,"",'1. Live'!AY302-'check-Jul25'!AY302)</f>
        <v/>
      </c>
      <c r="AZ302" t="str">
        <f>IF('1. Live'!AZ302='check-Jul25'!AZ302,"",'1. Live'!AZ302-'check-Jul25'!AZ302)</f>
        <v/>
      </c>
      <c r="BA302" t="str">
        <f>IF('1. Live'!BA302='check-Jul25'!BA302,"",'1. Live'!BA302-'check-Jul25'!BA302)</f>
        <v/>
      </c>
      <c r="BB302" t="str">
        <f>IF('1. Live'!BB302='check-Jul25'!BB302,"",'1. Live'!BB302-'check-Jul25'!BB302)</f>
        <v/>
      </c>
      <c r="BC302" t="str">
        <f>IF('1. Live'!BC302='check-Jul25'!BC302,"",'1. Live'!BC302-'check-Jul25'!BC302)</f>
        <v/>
      </c>
      <c r="BD302" t="str">
        <f>IF('1. Live'!BD302='check-Jul25'!BD302,"",'1. Live'!BD302-'check-Jul25'!BD302)</f>
        <v/>
      </c>
      <c r="BE302" t="str">
        <f>IF('1. Live'!BE302='check-Jul25'!BE302,"",'1. Live'!BE302-'check-Jul25'!BE302)</f>
        <v/>
      </c>
      <c r="BF302" t="str">
        <f>IF('1. Live'!BF302='check-Jul25'!BF302,"",'1. Live'!BF302-'check-Jul25'!BF302)</f>
        <v/>
      </c>
      <c r="BG302" t="str">
        <f>IF('1. Live'!BG302='check-Jul25'!BG302,"",'1. Live'!BG302-'check-Jul25'!BG302)</f>
        <v/>
      </c>
      <c r="BH302" t="str">
        <f>IF('1. Live'!BH302='check-Jul25'!BH302,"",'1. Live'!BH302-'check-Jul25'!BH302)</f>
        <v/>
      </c>
      <c r="BI302" t="str">
        <f>IF('1. Live'!BI302='check-Jul25'!BI302,"",'1. Live'!BI302-'check-Jul25'!BI302)</f>
        <v/>
      </c>
      <c r="BJ302" t="str">
        <f>IF('1. Live'!BJ302='check-Jul25'!BJ302,"",'1. Live'!BJ302-'check-Jul25'!BJ302)</f>
        <v/>
      </c>
      <c r="BK302" t="str">
        <f>IF('1. Live'!BK302='check-Jul25'!BK302,"",'1. Live'!BK302-'check-Jul25'!BK302)</f>
        <v/>
      </c>
      <c r="BL302" t="str">
        <f>IF('1. Live'!BL302='check-Jul25'!BL302,"",'1. Live'!BL302-'check-Jul25'!BL302)</f>
        <v/>
      </c>
      <c r="BM302" t="str">
        <f>IF('1. Live'!BM302='check-Jul25'!BM302,"",'1. Live'!BM302-'check-Jul25'!BM302)</f>
        <v/>
      </c>
      <c r="BN302" t="str">
        <f>IF('1. Live'!BN302='check-Jul25'!BN302,"",'1. Live'!BN302-'check-Jul25'!BN302)</f>
        <v/>
      </c>
      <c r="BO302" t="str">
        <f>IF('1. Live'!BO302='check-Jul25'!BO302,"",'1. Live'!BO302-'check-Jul25'!BO302)</f>
        <v/>
      </c>
      <c r="BP302" t="str">
        <f>IF('1. Live'!BP302='check-Jul25'!BP302,"",'1. Live'!BP302-'check-Jul25'!BP302)</f>
        <v/>
      </c>
      <c r="BQ302" t="str">
        <f>IF('1. Live'!BQ302='check-Jul25'!BQ302,"",'1. Live'!BQ302-'check-Jul25'!BQ302)</f>
        <v/>
      </c>
      <c r="BR302" t="str">
        <f>IF('1. Live'!BR302='check-Jul25'!BR302,"",'1. Live'!BR302-'check-Jul25'!BR302)</f>
        <v/>
      </c>
      <c r="BS302" t="str">
        <f>IF('1. Live'!BS302='check-Jul25'!BS302,"",'1. Live'!BS302-'check-Jul25'!BS302)</f>
        <v/>
      </c>
      <c r="BT302" t="str">
        <f>IF('1. Live'!BT302='check-Jul25'!BT302,"",'1. Live'!BT302-'check-Jul25'!BT302)</f>
        <v/>
      </c>
      <c r="BU302" t="str">
        <f>IF('1. Live'!BU302='check-Jul25'!BU302,"",'1. Live'!BU302-'check-Jul25'!BU302)</f>
        <v/>
      </c>
      <c r="BV302" t="str">
        <f>IF('1. Live'!BV302='check-Jul25'!BV302,"",'1. Live'!BV302-'check-Jul25'!BV302)</f>
        <v/>
      </c>
      <c r="BW302" t="str">
        <f>IF('1. Live'!BW302='check-Jul25'!BW302,"",'1. Live'!BW302-'check-Jul25'!BW302)</f>
        <v/>
      </c>
      <c r="BX302" t="str">
        <f>IF('1. Live'!BX302='check-Jul25'!BX302,"",'1. Live'!BX302-'check-Jul25'!BX302)</f>
        <v/>
      </c>
      <c r="BY302" t="str">
        <f>IF('1. Live'!BY302='check-Jul25'!BY302,"",'1. Live'!BY302-'check-Jul25'!BY302)</f>
        <v/>
      </c>
      <c r="BZ302" t="str">
        <f>IF('1. Live'!BZ302='check-Jul25'!BZ302,"",'1. Live'!BZ302-'check-Jul25'!BZ302)</f>
        <v/>
      </c>
      <c r="CA302" t="str">
        <f>IF('1. Live'!CA302='check-Jul25'!CA302,"",'1. Live'!CA302-'check-Jul25'!CA302)</f>
        <v/>
      </c>
      <c r="CB302" t="str">
        <f>IF('1. Live'!CB302='check-Jul25'!CB302,"",'1. Live'!CB302-'check-Jul25'!CB302)</f>
        <v/>
      </c>
      <c r="CC302" t="str">
        <f>IF('1. Live'!CC302='check-Jul25'!CC302,"",'1. Live'!CC302-'check-Jul25'!CC302)</f>
        <v/>
      </c>
      <c r="CD302" t="str">
        <f>IF('1. Live'!CD302='check-Jul25'!CD302,"",'1. Live'!CD302-'check-Jul25'!CD302)</f>
        <v/>
      </c>
      <c r="CE302" t="str">
        <f>IF('1. Live'!CE302='check-Jul25'!CE302,"",'1. Live'!CE302-'check-Jul25'!CE302)</f>
        <v/>
      </c>
      <c r="CF302" t="str">
        <f>IF('1. Live'!CF302='check-Jul25'!CF302,"",'1. Live'!CF302-'check-Jul25'!CF302)</f>
        <v/>
      </c>
      <c r="CG302" t="str">
        <f>IF('1. Live'!CG302='check-Jul25'!CG302,"",'1. Live'!CG302-'check-Jul25'!CG302)</f>
        <v/>
      </c>
      <c r="CH302" t="str">
        <f>IF('1. Live'!CH302='check-Jul25'!CH302,"",'1. Live'!CH302-'check-Jul25'!CH302)</f>
        <v/>
      </c>
      <c r="CI302" t="str">
        <f>IF('1. Live'!CI302='check-Jul25'!CI302,"",'1. Live'!CI302-'check-Jul25'!CI302)</f>
        <v/>
      </c>
      <c r="CJ302" t="str">
        <f>IF('1. Live'!CJ302='check-Jul25'!CJ302,"",'1. Live'!CJ302-'check-Jul25'!CJ302)</f>
        <v/>
      </c>
      <c r="CK302" t="str">
        <f>IF('1. Live'!CK302='check-Jul25'!CK302,"",'1. Live'!CK302-'check-Jul25'!CK302)</f>
        <v/>
      </c>
      <c r="CL302" t="str">
        <f>IF('1. Live'!CL302='check-Jul25'!CL302,"",'1. Live'!CL302-'check-Jul25'!CL302)</f>
        <v/>
      </c>
      <c r="CM302" t="str">
        <f>IF('1. Live'!CM302='check-Jul25'!CM302,"",'1. Live'!CM302-'check-Jul25'!CM302)</f>
        <v/>
      </c>
      <c r="CN302" t="str">
        <f>IF('1. Live'!CN302='check-Jul25'!CN302,"",'1. Live'!CN302-'check-Jul25'!CN302)</f>
        <v/>
      </c>
      <c r="CO302" t="str">
        <f>IF('1. Live'!CO302='check-Jul25'!CO302,"",'1. Live'!CO302-'check-Jul25'!CO302)</f>
        <v/>
      </c>
      <c r="CP302" t="str">
        <f>IF('1. Live'!CP302='check-Jul25'!CP302,"",'1. Live'!CP302-'check-Jul25'!CP302)</f>
        <v/>
      </c>
      <c r="CQ302" t="str">
        <f>IF('1. Live'!CQ302='check-Jul25'!CQ302,"",'1. Live'!CQ302-'check-Jul25'!CQ302)</f>
        <v/>
      </c>
      <c r="CR302" t="str">
        <f>IF('1. Live'!CR302='check-Jul25'!CR302,"",'1. Live'!CR302-'check-Jul25'!CR302)</f>
        <v/>
      </c>
      <c r="CS302" t="str">
        <f>IF('1. Live'!CS302='check-Jul25'!CS302,"",'1. Live'!CS302-'check-Jul25'!CS302)</f>
        <v/>
      </c>
      <c r="CT302" t="str">
        <f>IF('1. Live'!CT302='check-Jul25'!CT302,"",'1. Live'!CT302-'check-Jul25'!CT302)</f>
        <v/>
      </c>
      <c r="CU302" t="str">
        <f>IF('1. Live'!CU302='check-Jul25'!CU302,"",'1. Live'!CU302-'check-Jul25'!CU302)</f>
        <v/>
      </c>
      <c r="CV302" t="str">
        <f>IF('1. Live'!CV302='check-Jul25'!CV302,"",'1. Live'!CV302-'check-Jul25'!CV302)</f>
        <v/>
      </c>
      <c r="CW302" t="str">
        <f>IF('1. Live'!CW302='check-Jul25'!CW302,"",'1. Live'!CW302-'check-Jul25'!CW302)</f>
        <v/>
      </c>
    </row>
    <row r="303" spans="10:101">
      <c r="J303" t="str">
        <f>IF('1. Live'!J303='check-Jul25'!J303,"",'1. Live'!J303-'check-Jul25'!J303)</f>
        <v/>
      </c>
      <c r="K303" t="str">
        <f>IF('1. Live'!K303='check-Jul25'!K303,"",'1. Live'!K303-'check-Jul25'!K303)</f>
        <v/>
      </c>
      <c r="L303" t="str">
        <f>IF('1. Live'!L303='check-Jul25'!L303,"",'1. Live'!L303-'check-Jul25'!L303)</f>
        <v/>
      </c>
      <c r="M303" t="str">
        <f>IF('1. Live'!M303='check-Jul25'!M303,"",'1. Live'!M303-'check-Jul25'!M303)</f>
        <v/>
      </c>
      <c r="N303" t="str">
        <f>IF('1. Live'!N303='check-Jul25'!N303,"",'1. Live'!N303-'check-Jul25'!N303)</f>
        <v/>
      </c>
      <c r="O303" t="str">
        <f>IF('1. Live'!O303='check-Jul25'!O303,"",'1. Live'!O303-'check-Jul25'!O303)</f>
        <v/>
      </c>
      <c r="P303" t="str">
        <f>IF('1. Live'!P303='check-Jul25'!P303,"",'1. Live'!P303-'check-Jul25'!P303)</f>
        <v/>
      </c>
      <c r="Q303" t="str">
        <f>IF('1. Live'!Q303='check-Jul25'!Q303,"",'1. Live'!Q303-'check-Jul25'!Q303)</f>
        <v/>
      </c>
      <c r="R303" t="str">
        <f>IF('1. Live'!R303='check-Jul25'!R303,"",'1. Live'!R303-'check-Jul25'!R303)</f>
        <v/>
      </c>
      <c r="S303" t="str">
        <f>IF('1. Live'!S303='check-Jul25'!S303,"",'1. Live'!S303-'check-Jul25'!S303)</f>
        <v/>
      </c>
      <c r="T303" t="str">
        <f>IF('1. Live'!T303='check-Jul25'!T303,"",'1. Live'!T303-'check-Jul25'!T303)</f>
        <v/>
      </c>
      <c r="U303" t="str">
        <f>IF('1. Live'!U303='check-Jul25'!U303,"",'1. Live'!U303-'check-Jul25'!U303)</f>
        <v/>
      </c>
      <c r="V303" t="str">
        <f>IF('1. Live'!V303='check-Jul25'!V303,"",'1. Live'!V303-'check-Jul25'!V303)</f>
        <v/>
      </c>
      <c r="W303" t="str">
        <f>IF('1. Live'!W303='check-Jul25'!W303,"",'1. Live'!W303-'check-Jul25'!W303)</f>
        <v/>
      </c>
      <c r="X303" t="str">
        <f>IF('1. Live'!X303='check-Jul25'!X303,"",'1. Live'!X303-'check-Jul25'!X303)</f>
        <v/>
      </c>
      <c r="Y303" t="str">
        <f>IF('1. Live'!Y303='check-Jul25'!Y303,"",'1. Live'!Y303-'check-Jul25'!Y303)</f>
        <v/>
      </c>
      <c r="Z303" t="str">
        <f>IF('1. Live'!Z303='check-Jul25'!Z303,"",'1. Live'!Z303-'check-Jul25'!Z303)</f>
        <v/>
      </c>
      <c r="AA303" t="str">
        <f>IF('1. Live'!AA303='check-Jul25'!AA303,"",'1. Live'!AA303-'check-Jul25'!AA303)</f>
        <v/>
      </c>
      <c r="AB303" t="str">
        <f>IF('1. Live'!AB303='check-Jul25'!AB303,"",'1. Live'!AB303-'check-Jul25'!AB303)</f>
        <v/>
      </c>
      <c r="AC303" t="str">
        <f>IF('1. Live'!AC303='check-Jul25'!AC303,"",'1. Live'!AC303-'check-Jul25'!AC303)</f>
        <v/>
      </c>
      <c r="AD303" t="str">
        <f>IF('1. Live'!AD303='check-Jul25'!AD303,"",'1. Live'!AD303-'check-Jul25'!AD303)</f>
        <v/>
      </c>
      <c r="AE303" t="str">
        <f>IF('1. Live'!AE303='check-Jul25'!AE303,"",'1. Live'!AE303-'check-Jul25'!AE303)</f>
        <v/>
      </c>
      <c r="AF303" t="str">
        <f>IF('1. Live'!AF303='check-Jul25'!AF303,"",'1. Live'!AF303-'check-Jul25'!AF303)</f>
        <v/>
      </c>
      <c r="AG303" t="str">
        <f>IF('1. Live'!AG303='check-Jul25'!AG303,"",'1. Live'!AG303-'check-Jul25'!AG303)</f>
        <v/>
      </c>
      <c r="AH303" t="str">
        <f>IF('1. Live'!AH303='check-Jul25'!AH303,"",'1. Live'!AH303-'check-Jul25'!AH303)</f>
        <v/>
      </c>
      <c r="AI303" t="str">
        <f>IF('1. Live'!AI303='check-Jul25'!AI303,"",'1. Live'!AI303-'check-Jul25'!AI303)</f>
        <v/>
      </c>
      <c r="AJ303" t="str">
        <f>IF('1. Live'!AJ303='check-Jul25'!AJ303,"",'1. Live'!AJ303-'check-Jul25'!AJ303)</f>
        <v/>
      </c>
      <c r="AK303" t="str">
        <f>IF('1. Live'!AK303='check-Jul25'!AK303,"",'1. Live'!AK303-'check-Jul25'!AK303)</f>
        <v/>
      </c>
      <c r="AL303" t="str">
        <f>IF('1. Live'!AL303='check-Jul25'!AL303,"",'1. Live'!AL303-'check-Jul25'!AL303)</f>
        <v/>
      </c>
      <c r="AM303" t="str">
        <f>IF('1. Live'!AM303='check-Jul25'!AM303,"",'1. Live'!AM303-'check-Jul25'!AM303)</f>
        <v/>
      </c>
      <c r="AN303" t="str">
        <f>IF('1. Live'!AN303='check-Jul25'!AN303,"",'1. Live'!AN303-'check-Jul25'!AN303)</f>
        <v/>
      </c>
      <c r="AO303" t="str">
        <f>IF('1. Live'!AO303='check-Jul25'!AO303,"",'1. Live'!AO303-'check-Jul25'!AO303)</f>
        <v/>
      </c>
      <c r="AP303" t="str">
        <f>IF('1. Live'!AP303='check-Jul25'!AP303,"",'1. Live'!AP303-'check-Jul25'!AP303)</f>
        <v/>
      </c>
      <c r="AQ303" t="str">
        <f>IF('1. Live'!AQ303='check-Jul25'!AQ303,"",'1. Live'!AQ303-'check-Jul25'!AQ303)</f>
        <v/>
      </c>
      <c r="AR303" t="str">
        <f>IF('1. Live'!AR303='check-Jul25'!AR303,"",'1. Live'!AR303-'check-Jul25'!AR303)</f>
        <v/>
      </c>
      <c r="AS303" t="str">
        <f>IF('1. Live'!AS303='check-Jul25'!AS303,"",'1. Live'!AS303-'check-Jul25'!AS303)</f>
        <v/>
      </c>
      <c r="AT303" t="str">
        <f>IF('1. Live'!AT303='check-Jul25'!AT303,"",'1. Live'!AT303-'check-Jul25'!AT303)</f>
        <v/>
      </c>
      <c r="AU303" t="str">
        <f>IF('1. Live'!AU303='check-Jul25'!AU303,"",'1. Live'!AU303-'check-Jul25'!AU303)</f>
        <v/>
      </c>
      <c r="AV303" t="str">
        <f>IF('1. Live'!AV303='check-Jul25'!AV303,"",'1. Live'!AV303-'check-Jul25'!AV303)</f>
        <v/>
      </c>
      <c r="AW303" t="str">
        <f>IF('1. Live'!AW303='check-Jul25'!AW303,"",'1. Live'!AW303-'check-Jul25'!AW303)</f>
        <v/>
      </c>
      <c r="AX303" t="str">
        <f>IF('1. Live'!AX303='check-Jul25'!AX303,"",'1. Live'!AX303-'check-Jul25'!AX303)</f>
        <v/>
      </c>
      <c r="AY303" t="str">
        <f>IF('1. Live'!AY303='check-Jul25'!AY303,"",'1. Live'!AY303-'check-Jul25'!AY303)</f>
        <v/>
      </c>
      <c r="AZ303" t="str">
        <f>IF('1. Live'!AZ303='check-Jul25'!AZ303,"",'1. Live'!AZ303-'check-Jul25'!AZ303)</f>
        <v/>
      </c>
      <c r="BA303" t="str">
        <f>IF('1. Live'!BA303='check-Jul25'!BA303,"",'1. Live'!BA303-'check-Jul25'!BA303)</f>
        <v/>
      </c>
      <c r="BB303" t="str">
        <f>IF('1. Live'!BB303='check-Jul25'!BB303,"",'1. Live'!BB303-'check-Jul25'!BB303)</f>
        <v/>
      </c>
      <c r="BC303" t="str">
        <f>IF('1. Live'!BC303='check-Jul25'!BC303,"",'1. Live'!BC303-'check-Jul25'!BC303)</f>
        <v/>
      </c>
      <c r="BD303" t="str">
        <f>IF('1. Live'!BD303='check-Jul25'!BD303,"",'1. Live'!BD303-'check-Jul25'!BD303)</f>
        <v/>
      </c>
      <c r="BE303" t="str">
        <f>IF('1. Live'!BE303='check-Jul25'!BE303,"",'1. Live'!BE303-'check-Jul25'!BE303)</f>
        <v/>
      </c>
      <c r="BF303" t="str">
        <f>IF('1. Live'!BF303='check-Jul25'!BF303,"",'1. Live'!BF303-'check-Jul25'!BF303)</f>
        <v/>
      </c>
      <c r="BG303" t="str">
        <f>IF('1. Live'!BG303='check-Jul25'!BG303,"",'1. Live'!BG303-'check-Jul25'!BG303)</f>
        <v/>
      </c>
      <c r="BH303" t="str">
        <f>IF('1. Live'!BH303='check-Jul25'!BH303,"",'1. Live'!BH303-'check-Jul25'!BH303)</f>
        <v/>
      </c>
      <c r="BI303" t="str">
        <f>IF('1. Live'!BI303='check-Jul25'!BI303,"",'1. Live'!BI303-'check-Jul25'!BI303)</f>
        <v/>
      </c>
      <c r="BJ303" t="str">
        <f>IF('1. Live'!BJ303='check-Jul25'!BJ303,"",'1. Live'!BJ303-'check-Jul25'!BJ303)</f>
        <v/>
      </c>
      <c r="BK303" t="str">
        <f>IF('1. Live'!BK303='check-Jul25'!BK303,"",'1. Live'!BK303-'check-Jul25'!BK303)</f>
        <v/>
      </c>
      <c r="BL303" t="str">
        <f>IF('1. Live'!BL303='check-Jul25'!BL303,"",'1. Live'!BL303-'check-Jul25'!BL303)</f>
        <v/>
      </c>
      <c r="BM303" t="str">
        <f>IF('1. Live'!BM303='check-Jul25'!BM303,"",'1. Live'!BM303-'check-Jul25'!BM303)</f>
        <v/>
      </c>
      <c r="BN303" t="str">
        <f>IF('1. Live'!BN303='check-Jul25'!BN303,"",'1. Live'!BN303-'check-Jul25'!BN303)</f>
        <v/>
      </c>
      <c r="BO303" t="str">
        <f>IF('1. Live'!BO303='check-Jul25'!BO303,"",'1. Live'!BO303-'check-Jul25'!BO303)</f>
        <v/>
      </c>
      <c r="BP303" t="str">
        <f>IF('1. Live'!BP303='check-Jul25'!BP303,"",'1. Live'!BP303-'check-Jul25'!BP303)</f>
        <v/>
      </c>
      <c r="BQ303" t="str">
        <f>IF('1. Live'!BQ303='check-Jul25'!BQ303,"",'1. Live'!BQ303-'check-Jul25'!BQ303)</f>
        <v/>
      </c>
      <c r="BR303" t="str">
        <f>IF('1. Live'!BR303='check-Jul25'!BR303,"",'1. Live'!BR303-'check-Jul25'!BR303)</f>
        <v/>
      </c>
      <c r="BS303" t="str">
        <f>IF('1. Live'!BS303='check-Jul25'!BS303,"",'1. Live'!BS303-'check-Jul25'!BS303)</f>
        <v/>
      </c>
      <c r="BT303" t="str">
        <f>IF('1. Live'!BT303='check-Jul25'!BT303,"",'1. Live'!BT303-'check-Jul25'!BT303)</f>
        <v/>
      </c>
      <c r="BU303" t="str">
        <f>IF('1. Live'!BU303='check-Jul25'!BU303,"",'1. Live'!BU303-'check-Jul25'!BU303)</f>
        <v/>
      </c>
      <c r="BV303" t="str">
        <f>IF('1. Live'!BV303='check-Jul25'!BV303,"",'1. Live'!BV303-'check-Jul25'!BV303)</f>
        <v/>
      </c>
      <c r="BW303" t="str">
        <f>IF('1. Live'!BW303='check-Jul25'!BW303,"",'1. Live'!BW303-'check-Jul25'!BW303)</f>
        <v/>
      </c>
      <c r="BX303" t="str">
        <f>IF('1. Live'!BX303='check-Jul25'!BX303,"",'1. Live'!BX303-'check-Jul25'!BX303)</f>
        <v/>
      </c>
      <c r="BY303" t="str">
        <f>IF('1. Live'!BY303='check-Jul25'!BY303,"",'1. Live'!BY303-'check-Jul25'!BY303)</f>
        <v/>
      </c>
      <c r="BZ303" t="str">
        <f>IF('1. Live'!BZ303='check-Jul25'!BZ303,"",'1. Live'!BZ303-'check-Jul25'!BZ303)</f>
        <v/>
      </c>
      <c r="CA303" t="str">
        <f>IF('1. Live'!CA303='check-Jul25'!CA303,"",'1. Live'!CA303-'check-Jul25'!CA303)</f>
        <v/>
      </c>
      <c r="CB303" t="str">
        <f>IF('1. Live'!CB303='check-Jul25'!CB303,"",'1. Live'!CB303-'check-Jul25'!CB303)</f>
        <v/>
      </c>
      <c r="CC303" t="str">
        <f>IF('1. Live'!CC303='check-Jul25'!CC303,"",'1. Live'!CC303-'check-Jul25'!CC303)</f>
        <v/>
      </c>
      <c r="CD303" t="str">
        <f>IF('1. Live'!CD303='check-Jul25'!CD303,"",'1. Live'!CD303-'check-Jul25'!CD303)</f>
        <v/>
      </c>
      <c r="CE303" t="str">
        <f>IF('1. Live'!CE303='check-Jul25'!CE303,"",'1. Live'!CE303-'check-Jul25'!CE303)</f>
        <v/>
      </c>
      <c r="CF303" t="str">
        <f>IF('1. Live'!CF303='check-Jul25'!CF303,"",'1. Live'!CF303-'check-Jul25'!CF303)</f>
        <v/>
      </c>
      <c r="CG303" t="str">
        <f>IF('1. Live'!CG303='check-Jul25'!CG303,"",'1. Live'!CG303-'check-Jul25'!CG303)</f>
        <v/>
      </c>
      <c r="CH303" t="str">
        <f>IF('1. Live'!CH303='check-Jul25'!CH303,"",'1. Live'!CH303-'check-Jul25'!CH303)</f>
        <v/>
      </c>
      <c r="CI303" t="str">
        <f>IF('1. Live'!CI303='check-Jul25'!CI303,"",'1. Live'!CI303-'check-Jul25'!CI303)</f>
        <v/>
      </c>
      <c r="CJ303" t="str">
        <f>IF('1. Live'!CJ303='check-Jul25'!CJ303,"",'1. Live'!CJ303-'check-Jul25'!CJ303)</f>
        <v/>
      </c>
      <c r="CK303" t="str">
        <f>IF('1. Live'!CK303='check-Jul25'!CK303,"",'1. Live'!CK303-'check-Jul25'!CK303)</f>
        <v/>
      </c>
      <c r="CL303" t="str">
        <f>IF('1. Live'!CL303='check-Jul25'!CL303,"",'1. Live'!CL303-'check-Jul25'!CL303)</f>
        <v/>
      </c>
      <c r="CM303" t="str">
        <f>IF('1. Live'!CM303='check-Jul25'!CM303,"",'1. Live'!CM303-'check-Jul25'!CM303)</f>
        <v/>
      </c>
      <c r="CN303" t="str">
        <f>IF('1. Live'!CN303='check-Jul25'!CN303,"",'1. Live'!CN303-'check-Jul25'!CN303)</f>
        <v/>
      </c>
      <c r="CO303" t="str">
        <f>IF('1. Live'!CO303='check-Jul25'!CO303,"",'1. Live'!CO303-'check-Jul25'!CO303)</f>
        <v/>
      </c>
      <c r="CP303" t="str">
        <f>IF('1. Live'!CP303='check-Jul25'!CP303,"",'1. Live'!CP303-'check-Jul25'!CP303)</f>
        <v/>
      </c>
      <c r="CQ303" t="str">
        <f>IF('1. Live'!CQ303='check-Jul25'!CQ303,"",'1. Live'!CQ303-'check-Jul25'!CQ303)</f>
        <v/>
      </c>
      <c r="CR303" t="str">
        <f>IF('1. Live'!CR303='check-Jul25'!CR303,"",'1. Live'!CR303-'check-Jul25'!CR303)</f>
        <v/>
      </c>
      <c r="CS303" t="str">
        <f>IF('1. Live'!CS303='check-Jul25'!CS303,"",'1. Live'!CS303-'check-Jul25'!CS303)</f>
        <v/>
      </c>
      <c r="CT303" t="str">
        <f>IF('1. Live'!CT303='check-Jul25'!CT303,"",'1. Live'!CT303-'check-Jul25'!CT303)</f>
        <v/>
      </c>
      <c r="CU303" t="str">
        <f>IF('1. Live'!CU303='check-Jul25'!CU303,"",'1. Live'!CU303-'check-Jul25'!CU303)</f>
        <v/>
      </c>
      <c r="CV303" t="str">
        <f>IF('1. Live'!CV303='check-Jul25'!CV303,"",'1. Live'!CV303-'check-Jul25'!CV303)</f>
        <v/>
      </c>
      <c r="CW303" t="str">
        <f>IF('1. Live'!CW303='check-Jul25'!CW303,"",'1. Live'!CW303-'check-Jul25'!CW303)</f>
        <v/>
      </c>
    </row>
    <row r="304" spans="10:101">
      <c r="J304" t="str">
        <f>IF('1. Live'!J304='check-Jul25'!J304,"",'1. Live'!J304-'check-Jul25'!J304)</f>
        <v/>
      </c>
      <c r="K304" t="str">
        <f>IF('1. Live'!K304='check-Jul25'!K304,"",'1. Live'!K304-'check-Jul25'!K304)</f>
        <v/>
      </c>
      <c r="L304" t="str">
        <f>IF('1. Live'!L304='check-Jul25'!L304,"",'1. Live'!L304-'check-Jul25'!L304)</f>
        <v/>
      </c>
      <c r="M304" t="str">
        <f>IF('1. Live'!M304='check-Jul25'!M304,"",'1. Live'!M304-'check-Jul25'!M304)</f>
        <v/>
      </c>
      <c r="N304" t="str">
        <f>IF('1. Live'!N304='check-Jul25'!N304,"",'1. Live'!N304-'check-Jul25'!N304)</f>
        <v/>
      </c>
      <c r="O304" t="str">
        <f>IF('1. Live'!O304='check-Jul25'!O304,"",'1. Live'!O304-'check-Jul25'!O304)</f>
        <v/>
      </c>
      <c r="P304" t="str">
        <f>IF('1. Live'!P304='check-Jul25'!P304,"",'1. Live'!P304-'check-Jul25'!P304)</f>
        <v/>
      </c>
      <c r="Q304" t="str">
        <f>IF('1. Live'!Q304='check-Jul25'!Q304,"",'1. Live'!Q304-'check-Jul25'!Q304)</f>
        <v/>
      </c>
      <c r="R304" t="str">
        <f>IF('1. Live'!R304='check-Jul25'!R304,"",'1. Live'!R304-'check-Jul25'!R304)</f>
        <v/>
      </c>
      <c r="S304" t="str">
        <f>IF('1. Live'!S304='check-Jul25'!S304,"",'1. Live'!S304-'check-Jul25'!S304)</f>
        <v/>
      </c>
      <c r="T304" t="str">
        <f>IF('1. Live'!T304='check-Jul25'!T304,"",'1. Live'!T304-'check-Jul25'!T304)</f>
        <v/>
      </c>
      <c r="U304" t="str">
        <f>IF('1. Live'!U304='check-Jul25'!U304,"",'1. Live'!U304-'check-Jul25'!U304)</f>
        <v/>
      </c>
      <c r="V304" t="str">
        <f>IF('1. Live'!V304='check-Jul25'!V304,"",'1. Live'!V304-'check-Jul25'!V304)</f>
        <v/>
      </c>
      <c r="W304" t="str">
        <f>IF('1. Live'!W304='check-Jul25'!W304,"",'1. Live'!W304-'check-Jul25'!W304)</f>
        <v/>
      </c>
      <c r="X304" t="str">
        <f>IF('1. Live'!X304='check-Jul25'!X304,"",'1. Live'!X304-'check-Jul25'!X304)</f>
        <v/>
      </c>
      <c r="Y304" t="str">
        <f>IF('1. Live'!Y304='check-Jul25'!Y304,"",'1. Live'!Y304-'check-Jul25'!Y304)</f>
        <v/>
      </c>
      <c r="Z304" t="str">
        <f>IF('1. Live'!Z304='check-Jul25'!Z304,"",'1. Live'!Z304-'check-Jul25'!Z304)</f>
        <v/>
      </c>
      <c r="AA304" t="str">
        <f>IF('1. Live'!AA304='check-Jul25'!AA304,"",'1. Live'!AA304-'check-Jul25'!AA304)</f>
        <v/>
      </c>
      <c r="AB304" t="str">
        <f>IF('1. Live'!AB304='check-Jul25'!AB304,"",'1. Live'!AB304-'check-Jul25'!AB304)</f>
        <v/>
      </c>
      <c r="AC304" t="str">
        <f>IF('1. Live'!AC304='check-Jul25'!AC304,"",'1. Live'!AC304-'check-Jul25'!AC304)</f>
        <v/>
      </c>
      <c r="AD304" t="str">
        <f>IF('1. Live'!AD304='check-Jul25'!AD304,"",'1. Live'!AD304-'check-Jul25'!AD304)</f>
        <v/>
      </c>
      <c r="AE304" t="str">
        <f>IF('1. Live'!AE304='check-Jul25'!AE304,"",'1. Live'!AE304-'check-Jul25'!AE304)</f>
        <v/>
      </c>
      <c r="AF304" t="str">
        <f>IF('1. Live'!AF304='check-Jul25'!AF304,"",'1. Live'!AF304-'check-Jul25'!AF304)</f>
        <v/>
      </c>
      <c r="AG304" t="str">
        <f>IF('1. Live'!AG304='check-Jul25'!AG304,"",'1. Live'!AG304-'check-Jul25'!AG304)</f>
        <v/>
      </c>
      <c r="AH304" t="str">
        <f>IF('1. Live'!AH304='check-Jul25'!AH304,"",'1. Live'!AH304-'check-Jul25'!AH304)</f>
        <v/>
      </c>
      <c r="AI304" t="str">
        <f>IF('1. Live'!AI304='check-Jul25'!AI304,"",'1. Live'!AI304-'check-Jul25'!AI304)</f>
        <v/>
      </c>
      <c r="AJ304" t="str">
        <f>IF('1. Live'!AJ304='check-Jul25'!AJ304,"",'1. Live'!AJ304-'check-Jul25'!AJ304)</f>
        <v/>
      </c>
      <c r="AK304" t="str">
        <f>IF('1. Live'!AK304='check-Jul25'!AK304,"",'1. Live'!AK304-'check-Jul25'!AK304)</f>
        <v/>
      </c>
      <c r="AL304" t="str">
        <f>IF('1. Live'!AL304='check-Jul25'!AL304,"",'1. Live'!AL304-'check-Jul25'!AL304)</f>
        <v/>
      </c>
      <c r="AM304" t="str">
        <f>IF('1. Live'!AM304='check-Jul25'!AM304,"",'1. Live'!AM304-'check-Jul25'!AM304)</f>
        <v/>
      </c>
      <c r="AN304" t="str">
        <f>IF('1. Live'!AN304='check-Jul25'!AN304,"",'1. Live'!AN304-'check-Jul25'!AN304)</f>
        <v/>
      </c>
      <c r="AO304" t="str">
        <f>IF('1. Live'!AO304='check-Jul25'!AO304,"",'1. Live'!AO304-'check-Jul25'!AO304)</f>
        <v/>
      </c>
      <c r="AP304" t="str">
        <f>IF('1. Live'!AP304='check-Jul25'!AP304,"",'1. Live'!AP304-'check-Jul25'!AP304)</f>
        <v/>
      </c>
      <c r="AQ304" t="str">
        <f>IF('1. Live'!AQ304='check-Jul25'!AQ304,"",'1. Live'!AQ304-'check-Jul25'!AQ304)</f>
        <v/>
      </c>
      <c r="AR304" t="str">
        <f>IF('1. Live'!AR304='check-Jul25'!AR304,"",'1. Live'!AR304-'check-Jul25'!AR304)</f>
        <v/>
      </c>
      <c r="AS304" t="str">
        <f>IF('1. Live'!AS304='check-Jul25'!AS304,"",'1. Live'!AS304-'check-Jul25'!AS304)</f>
        <v/>
      </c>
      <c r="AT304" t="str">
        <f>IF('1. Live'!AT304='check-Jul25'!AT304,"",'1. Live'!AT304-'check-Jul25'!AT304)</f>
        <v/>
      </c>
      <c r="AU304" t="str">
        <f>IF('1. Live'!AU304='check-Jul25'!AU304,"",'1. Live'!AU304-'check-Jul25'!AU304)</f>
        <v/>
      </c>
      <c r="AV304" t="str">
        <f>IF('1. Live'!AV304='check-Jul25'!AV304,"",'1. Live'!AV304-'check-Jul25'!AV304)</f>
        <v/>
      </c>
      <c r="AW304" t="str">
        <f>IF('1. Live'!AW304='check-Jul25'!AW304,"",'1. Live'!AW304-'check-Jul25'!AW304)</f>
        <v/>
      </c>
      <c r="AX304" t="str">
        <f>IF('1. Live'!AX304='check-Jul25'!AX304,"",'1. Live'!AX304-'check-Jul25'!AX304)</f>
        <v/>
      </c>
      <c r="AY304" t="str">
        <f>IF('1. Live'!AY304='check-Jul25'!AY304,"",'1. Live'!AY304-'check-Jul25'!AY304)</f>
        <v/>
      </c>
      <c r="AZ304" t="str">
        <f>IF('1. Live'!AZ304='check-Jul25'!AZ304,"",'1. Live'!AZ304-'check-Jul25'!AZ304)</f>
        <v/>
      </c>
      <c r="BA304" t="str">
        <f>IF('1. Live'!BA304='check-Jul25'!BA304,"",'1. Live'!BA304-'check-Jul25'!BA304)</f>
        <v/>
      </c>
      <c r="BB304" t="str">
        <f>IF('1. Live'!BB304='check-Jul25'!BB304,"",'1. Live'!BB304-'check-Jul25'!BB304)</f>
        <v/>
      </c>
      <c r="BC304" t="str">
        <f>IF('1. Live'!BC304='check-Jul25'!BC304,"",'1. Live'!BC304-'check-Jul25'!BC304)</f>
        <v/>
      </c>
      <c r="BD304" t="str">
        <f>IF('1. Live'!BD304='check-Jul25'!BD304,"",'1. Live'!BD304-'check-Jul25'!BD304)</f>
        <v/>
      </c>
      <c r="BE304" t="str">
        <f>IF('1. Live'!BE304='check-Jul25'!BE304,"",'1. Live'!BE304-'check-Jul25'!BE304)</f>
        <v/>
      </c>
      <c r="BF304" t="str">
        <f>IF('1. Live'!BF304='check-Jul25'!BF304,"",'1. Live'!BF304-'check-Jul25'!BF304)</f>
        <v/>
      </c>
      <c r="BG304" t="str">
        <f>IF('1. Live'!BG304='check-Jul25'!BG304,"",'1. Live'!BG304-'check-Jul25'!BG304)</f>
        <v/>
      </c>
      <c r="BH304" t="str">
        <f>IF('1. Live'!BH304='check-Jul25'!BH304,"",'1. Live'!BH304-'check-Jul25'!BH304)</f>
        <v/>
      </c>
      <c r="BI304" t="str">
        <f>IF('1. Live'!BI304='check-Jul25'!BI304,"",'1. Live'!BI304-'check-Jul25'!BI304)</f>
        <v/>
      </c>
      <c r="BJ304" t="str">
        <f>IF('1. Live'!BJ304='check-Jul25'!BJ304,"",'1. Live'!BJ304-'check-Jul25'!BJ304)</f>
        <v/>
      </c>
      <c r="BK304" t="str">
        <f>IF('1. Live'!BK304='check-Jul25'!BK304,"",'1. Live'!BK304-'check-Jul25'!BK304)</f>
        <v/>
      </c>
      <c r="BL304" t="str">
        <f>IF('1. Live'!BL304='check-Jul25'!BL304,"",'1. Live'!BL304-'check-Jul25'!BL304)</f>
        <v/>
      </c>
      <c r="BM304" t="str">
        <f>IF('1. Live'!BM304='check-Jul25'!BM304,"",'1. Live'!BM304-'check-Jul25'!BM304)</f>
        <v/>
      </c>
      <c r="BN304" t="str">
        <f>IF('1. Live'!BN304='check-Jul25'!BN304,"",'1. Live'!BN304-'check-Jul25'!BN304)</f>
        <v/>
      </c>
      <c r="BO304" t="str">
        <f>IF('1. Live'!BO304='check-Jul25'!BO304,"",'1. Live'!BO304-'check-Jul25'!BO304)</f>
        <v/>
      </c>
      <c r="BP304" t="str">
        <f>IF('1. Live'!BP304='check-Jul25'!BP304,"",'1. Live'!BP304-'check-Jul25'!BP304)</f>
        <v/>
      </c>
      <c r="BQ304" t="str">
        <f>IF('1. Live'!BQ304='check-Jul25'!BQ304,"",'1. Live'!BQ304-'check-Jul25'!BQ304)</f>
        <v/>
      </c>
      <c r="BR304" t="str">
        <f>IF('1. Live'!BR304='check-Jul25'!BR304,"",'1. Live'!BR304-'check-Jul25'!BR304)</f>
        <v/>
      </c>
      <c r="BS304" t="str">
        <f>IF('1. Live'!BS304='check-Jul25'!BS304,"",'1. Live'!BS304-'check-Jul25'!BS304)</f>
        <v/>
      </c>
      <c r="BT304" t="str">
        <f>IF('1. Live'!BT304='check-Jul25'!BT304,"",'1. Live'!BT304-'check-Jul25'!BT304)</f>
        <v/>
      </c>
      <c r="BU304" t="str">
        <f>IF('1. Live'!BU304='check-Jul25'!BU304,"",'1. Live'!BU304-'check-Jul25'!BU304)</f>
        <v/>
      </c>
      <c r="BV304" t="str">
        <f>IF('1. Live'!BV304='check-Jul25'!BV304,"",'1. Live'!BV304-'check-Jul25'!BV304)</f>
        <v/>
      </c>
      <c r="BW304" t="str">
        <f>IF('1. Live'!BW304='check-Jul25'!BW304,"",'1. Live'!BW304-'check-Jul25'!BW304)</f>
        <v/>
      </c>
      <c r="BX304" t="str">
        <f>IF('1. Live'!BX304='check-Jul25'!BX304,"",'1. Live'!BX304-'check-Jul25'!BX304)</f>
        <v/>
      </c>
      <c r="BY304" t="str">
        <f>IF('1. Live'!BY304='check-Jul25'!BY304,"",'1. Live'!BY304-'check-Jul25'!BY304)</f>
        <v/>
      </c>
      <c r="BZ304" t="str">
        <f>IF('1. Live'!BZ304='check-Jul25'!BZ304,"",'1. Live'!BZ304-'check-Jul25'!BZ304)</f>
        <v/>
      </c>
      <c r="CA304" t="str">
        <f>IF('1. Live'!CA304='check-Jul25'!CA304,"",'1. Live'!CA304-'check-Jul25'!CA304)</f>
        <v/>
      </c>
      <c r="CB304" t="str">
        <f>IF('1. Live'!CB304='check-Jul25'!CB304,"",'1. Live'!CB304-'check-Jul25'!CB304)</f>
        <v/>
      </c>
      <c r="CC304" t="str">
        <f>IF('1. Live'!CC304='check-Jul25'!CC304,"",'1. Live'!CC304-'check-Jul25'!CC304)</f>
        <v/>
      </c>
      <c r="CD304" t="str">
        <f>IF('1. Live'!CD304='check-Jul25'!CD304,"",'1. Live'!CD304-'check-Jul25'!CD304)</f>
        <v/>
      </c>
      <c r="CE304" t="str">
        <f>IF('1. Live'!CE304='check-Jul25'!CE304,"",'1. Live'!CE304-'check-Jul25'!CE304)</f>
        <v/>
      </c>
      <c r="CF304" t="str">
        <f>IF('1. Live'!CF304='check-Jul25'!CF304,"",'1. Live'!CF304-'check-Jul25'!CF304)</f>
        <v/>
      </c>
      <c r="CG304" t="str">
        <f>IF('1. Live'!CG304='check-Jul25'!CG304,"",'1. Live'!CG304-'check-Jul25'!CG304)</f>
        <v/>
      </c>
      <c r="CH304" t="str">
        <f>IF('1. Live'!CH304='check-Jul25'!CH304,"",'1. Live'!CH304-'check-Jul25'!CH304)</f>
        <v/>
      </c>
      <c r="CI304" t="str">
        <f>IF('1. Live'!CI304='check-Jul25'!CI304,"",'1. Live'!CI304-'check-Jul25'!CI304)</f>
        <v/>
      </c>
      <c r="CJ304" t="str">
        <f>IF('1. Live'!CJ304='check-Jul25'!CJ304,"",'1. Live'!CJ304-'check-Jul25'!CJ304)</f>
        <v/>
      </c>
      <c r="CK304" t="str">
        <f>IF('1. Live'!CK304='check-Jul25'!CK304,"",'1. Live'!CK304-'check-Jul25'!CK304)</f>
        <v/>
      </c>
      <c r="CL304" t="str">
        <f>IF('1. Live'!CL304='check-Jul25'!CL304,"",'1. Live'!CL304-'check-Jul25'!CL304)</f>
        <v/>
      </c>
      <c r="CM304" t="str">
        <f>IF('1. Live'!CM304='check-Jul25'!CM304,"",'1. Live'!CM304-'check-Jul25'!CM304)</f>
        <v/>
      </c>
      <c r="CN304" t="str">
        <f>IF('1. Live'!CN304='check-Jul25'!CN304,"",'1. Live'!CN304-'check-Jul25'!CN304)</f>
        <v/>
      </c>
      <c r="CO304" t="str">
        <f>IF('1. Live'!CO304='check-Jul25'!CO304,"",'1. Live'!CO304-'check-Jul25'!CO304)</f>
        <v/>
      </c>
      <c r="CP304" t="str">
        <f>IF('1. Live'!CP304='check-Jul25'!CP304,"",'1. Live'!CP304-'check-Jul25'!CP304)</f>
        <v/>
      </c>
      <c r="CQ304" t="str">
        <f>IF('1. Live'!CQ304='check-Jul25'!CQ304,"",'1. Live'!CQ304-'check-Jul25'!CQ304)</f>
        <v/>
      </c>
      <c r="CR304" t="str">
        <f>IF('1. Live'!CR304='check-Jul25'!CR304,"",'1. Live'!CR304-'check-Jul25'!CR304)</f>
        <v/>
      </c>
      <c r="CS304" t="str">
        <f>IF('1. Live'!CS304='check-Jul25'!CS304,"",'1. Live'!CS304-'check-Jul25'!CS304)</f>
        <v/>
      </c>
      <c r="CT304" t="str">
        <f>IF('1. Live'!CT304='check-Jul25'!CT304,"",'1. Live'!CT304-'check-Jul25'!CT304)</f>
        <v/>
      </c>
      <c r="CU304" t="str">
        <f>IF('1. Live'!CU304='check-Jul25'!CU304,"",'1. Live'!CU304-'check-Jul25'!CU304)</f>
        <v/>
      </c>
      <c r="CV304" t="str">
        <f>IF('1. Live'!CV304='check-Jul25'!CV304,"",'1. Live'!CV304-'check-Jul25'!CV304)</f>
        <v/>
      </c>
      <c r="CW304" t="str">
        <f>IF('1. Live'!CW304='check-Jul25'!CW304,"",'1. Live'!CW304-'check-Jul25'!CW304)</f>
        <v/>
      </c>
    </row>
    <row r="305" spans="10:101">
      <c r="J305" t="str">
        <f>IF('1. Live'!J305='check-Jul25'!J305,"",'1. Live'!J305-'check-Jul25'!J305)</f>
        <v/>
      </c>
      <c r="K305" t="str">
        <f>IF('1. Live'!K305='check-Jul25'!K305,"",'1. Live'!K305-'check-Jul25'!K305)</f>
        <v/>
      </c>
      <c r="L305" t="str">
        <f>IF('1. Live'!L305='check-Jul25'!L305,"",'1. Live'!L305-'check-Jul25'!L305)</f>
        <v/>
      </c>
      <c r="M305" t="str">
        <f>IF('1. Live'!M305='check-Jul25'!M305,"",'1. Live'!M305-'check-Jul25'!M305)</f>
        <v/>
      </c>
      <c r="N305" t="str">
        <f>IF('1. Live'!N305='check-Jul25'!N305,"",'1. Live'!N305-'check-Jul25'!N305)</f>
        <v/>
      </c>
      <c r="O305" t="str">
        <f>IF('1. Live'!O305='check-Jul25'!O305,"",'1. Live'!O305-'check-Jul25'!O305)</f>
        <v/>
      </c>
      <c r="P305" t="str">
        <f>IF('1. Live'!P305='check-Jul25'!P305,"",'1. Live'!P305-'check-Jul25'!P305)</f>
        <v/>
      </c>
      <c r="Q305" t="str">
        <f>IF('1. Live'!Q305='check-Jul25'!Q305,"",'1. Live'!Q305-'check-Jul25'!Q305)</f>
        <v/>
      </c>
      <c r="R305" t="str">
        <f>IF('1. Live'!R305='check-Jul25'!R305,"",'1. Live'!R305-'check-Jul25'!R305)</f>
        <v/>
      </c>
      <c r="S305" t="str">
        <f>IF('1. Live'!S305='check-Jul25'!S305,"",'1. Live'!S305-'check-Jul25'!S305)</f>
        <v/>
      </c>
      <c r="T305" t="str">
        <f>IF('1. Live'!T305='check-Jul25'!T305,"",'1. Live'!T305-'check-Jul25'!T305)</f>
        <v/>
      </c>
      <c r="U305" t="str">
        <f>IF('1. Live'!U305='check-Jul25'!U305,"",'1. Live'!U305-'check-Jul25'!U305)</f>
        <v/>
      </c>
      <c r="V305" t="str">
        <f>IF('1. Live'!V305='check-Jul25'!V305,"",'1. Live'!V305-'check-Jul25'!V305)</f>
        <v/>
      </c>
      <c r="W305" t="str">
        <f>IF('1. Live'!W305='check-Jul25'!W305,"",'1. Live'!W305-'check-Jul25'!W305)</f>
        <v/>
      </c>
      <c r="X305" t="str">
        <f>IF('1. Live'!X305='check-Jul25'!X305,"",'1. Live'!X305-'check-Jul25'!X305)</f>
        <v/>
      </c>
      <c r="Y305" t="str">
        <f>IF('1. Live'!Y305='check-Jul25'!Y305,"",'1. Live'!Y305-'check-Jul25'!Y305)</f>
        <v/>
      </c>
      <c r="Z305" t="str">
        <f>IF('1. Live'!Z305='check-Jul25'!Z305,"",'1. Live'!Z305-'check-Jul25'!Z305)</f>
        <v/>
      </c>
      <c r="AA305" t="str">
        <f>IF('1. Live'!AA305='check-Jul25'!AA305,"",'1. Live'!AA305-'check-Jul25'!AA305)</f>
        <v/>
      </c>
      <c r="AB305" t="str">
        <f>IF('1. Live'!AB305='check-Jul25'!AB305,"",'1. Live'!AB305-'check-Jul25'!AB305)</f>
        <v/>
      </c>
      <c r="AC305" t="str">
        <f>IF('1. Live'!AC305='check-Jul25'!AC305,"",'1. Live'!AC305-'check-Jul25'!AC305)</f>
        <v/>
      </c>
      <c r="AD305" t="str">
        <f>IF('1. Live'!AD305='check-Jul25'!AD305,"",'1. Live'!AD305-'check-Jul25'!AD305)</f>
        <v/>
      </c>
      <c r="AE305" t="str">
        <f>IF('1. Live'!AE305='check-Jul25'!AE305,"",'1. Live'!AE305-'check-Jul25'!AE305)</f>
        <v/>
      </c>
      <c r="AF305" t="str">
        <f>IF('1. Live'!AF305='check-Jul25'!AF305,"",'1. Live'!AF305-'check-Jul25'!AF305)</f>
        <v/>
      </c>
      <c r="AG305" t="str">
        <f>IF('1. Live'!AG305='check-Jul25'!AG305,"",'1. Live'!AG305-'check-Jul25'!AG305)</f>
        <v/>
      </c>
      <c r="AH305" t="str">
        <f>IF('1. Live'!AH305='check-Jul25'!AH305,"",'1. Live'!AH305-'check-Jul25'!AH305)</f>
        <v/>
      </c>
      <c r="AI305" t="str">
        <f>IF('1. Live'!AI305='check-Jul25'!AI305,"",'1. Live'!AI305-'check-Jul25'!AI305)</f>
        <v/>
      </c>
      <c r="AJ305" t="str">
        <f>IF('1. Live'!AJ305='check-Jul25'!AJ305,"",'1. Live'!AJ305-'check-Jul25'!AJ305)</f>
        <v/>
      </c>
      <c r="AK305" t="str">
        <f>IF('1. Live'!AK305='check-Jul25'!AK305,"",'1. Live'!AK305-'check-Jul25'!AK305)</f>
        <v/>
      </c>
      <c r="AL305" t="str">
        <f>IF('1. Live'!AL305='check-Jul25'!AL305,"",'1. Live'!AL305-'check-Jul25'!AL305)</f>
        <v/>
      </c>
      <c r="AM305" t="str">
        <f>IF('1. Live'!AM305='check-Jul25'!AM305,"",'1. Live'!AM305-'check-Jul25'!AM305)</f>
        <v/>
      </c>
      <c r="AN305" t="str">
        <f>IF('1. Live'!AN305='check-Jul25'!AN305,"",'1. Live'!AN305-'check-Jul25'!AN305)</f>
        <v/>
      </c>
      <c r="AO305" t="str">
        <f>IF('1. Live'!AO305='check-Jul25'!AO305,"",'1. Live'!AO305-'check-Jul25'!AO305)</f>
        <v/>
      </c>
      <c r="AP305" t="str">
        <f>IF('1. Live'!AP305='check-Jul25'!AP305,"",'1. Live'!AP305-'check-Jul25'!AP305)</f>
        <v/>
      </c>
      <c r="AQ305" t="str">
        <f>IF('1. Live'!AQ305='check-Jul25'!AQ305,"",'1. Live'!AQ305-'check-Jul25'!AQ305)</f>
        <v/>
      </c>
      <c r="AR305" t="str">
        <f>IF('1. Live'!AR305='check-Jul25'!AR305,"",'1. Live'!AR305-'check-Jul25'!AR305)</f>
        <v/>
      </c>
      <c r="AS305" t="str">
        <f>IF('1. Live'!AS305='check-Jul25'!AS305,"",'1. Live'!AS305-'check-Jul25'!AS305)</f>
        <v/>
      </c>
      <c r="AT305" t="str">
        <f>IF('1. Live'!AT305='check-Jul25'!AT305,"",'1. Live'!AT305-'check-Jul25'!AT305)</f>
        <v/>
      </c>
      <c r="AU305" t="str">
        <f>IF('1. Live'!AU305='check-Jul25'!AU305,"",'1. Live'!AU305-'check-Jul25'!AU305)</f>
        <v/>
      </c>
      <c r="AV305" t="str">
        <f>IF('1. Live'!AV305='check-Jul25'!AV305,"",'1. Live'!AV305-'check-Jul25'!AV305)</f>
        <v/>
      </c>
      <c r="AW305" t="str">
        <f>IF('1. Live'!AW305='check-Jul25'!AW305,"",'1. Live'!AW305-'check-Jul25'!AW305)</f>
        <v/>
      </c>
      <c r="AX305" t="str">
        <f>IF('1. Live'!AX305='check-Jul25'!AX305,"",'1. Live'!AX305-'check-Jul25'!AX305)</f>
        <v/>
      </c>
      <c r="AY305" t="str">
        <f>IF('1. Live'!AY305='check-Jul25'!AY305,"",'1. Live'!AY305-'check-Jul25'!AY305)</f>
        <v/>
      </c>
      <c r="AZ305" t="str">
        <f>IF('1. Live'!AZ305='check-Jul25'!AZ305,"",'1. Live'!AZ305-'check-Jul25'!AZ305)</f>
        <v/>
      </c>
      <c r="BA305" t="str">
        <f>IF('1. Live'!BA305='check-Jul25'!BA305,"",'1. Live'!BA305-'check-Jul25'!BA305)</f>
        <v/>
      </c>
      <c r="BB305" t="str">
        <f>IF('1. Live'!BB305='check-Jul25'!BB305,"",'1. Live'!BB305-'check-Jul25'!BB305)</f>
        <v/>
      </c>
      <c r="BC305" t="str">
        <f>IF('1. Live'!BC305='check-Jul25'!BC305,"",'1. Live'!BC305-'check-Jul25'!BC305)</f>
        <v/>
      </c>
      <c r="BD305" t="str">
        <f>IF('1. Live'!BD305='check-Jul25'!BD305,"",'1. Live'!BD305-'check-Jul25'!BD305)</f>
        <v/>
      </c>
      <c r="BE305" t="str">
        <f>IF('1. Live'!BE305='check-Jul25'!BE305,"",'1. Live'!BE305-'check-Jul25'!BE305)</f>
        <v/>
      </c>
      <c r="BF305" t="str">
        <f>IF('1. Live'!BF305='check-Jul25'!BF305,"",'1. Live'!BF305-'check-Jul25'!BF305)</f>
        <v/>
      </c>
      <c r="BG305" t="str">
        <f>IF('1. Live'!BG305='check-Jul25'!BG305,"",'1. Live'!BG305-'check-Jul25'!BG305)</f>
        <v/>
      </c>
      <c r="BH305" t="str">
        <f>IF('1. Live'!BH305='check-Jul25'!BH305,"",'1. Live'!BH305-'check-Jul25'!BH305)</f>
        <v/>
      </c>
      <c r="BI305" t="str">
        <f>IF('1. Live'!BI305='check-Jul25'!BI305,"",'1. Live'!BI305-'check-Jul25'!BI305)</f>
        <v/>
      </c>
      <c r="BJ305" t="str">
        <f>IF('1. Live'!BJ305='check-Jul25'!BJ305,"",'1. Live'!BJ305-'check-Jul25'!BJ305)</f>
        <v/>
      </c>
      <c r="BK305" t="str">
        <f>IF('1. Live'!BK305='check-Jul25'!BK305,"",'1. Live'!BK305-'check-Jul25'!BK305)</f>
        <v/>
      </c>
      <c r="BL305" t="str">
        <f>IF('1. Live'!BL305='check-Jul25'!BL305,"",'1. Live'!BL305-'check-Jul25'!BL305)</f>
        <v/>
      </c>
      <c r="BM305" t="str">
        <f>IF('1. Live'!BM305='check-Jul25'!BM305,"",'1. Live'!BM305-'check-Jul25'!BM305)</f>
        <v/>
      </c>
      <c r="BN305" t="str">
        <f>IF('1. Live'!BN305='check-Jul25'!BN305,"",'1. Live'!BN305-'check-Jul25'!BN305)</f>
        <v/>
      </c>
      <c r="BO305" t="str">
        <f>IF('1. Live'!BO305='check-Jul25'!BO305,"",'1. Live'!BO305-'check-Jul25'!BO305)</f>
        <v/>
      </c>
      <c r="BP305" t="str">
        <f>IF('1. Live'!BP305='check-Jul25'!BP305,"",'1. Live'!BP305-'check-Jul25'!BP305)</f>
        <v/>
      </c>
      <c r="BQ305" t="str">
        <f>IF('1. Live'!BQ305='check-Jul25'!BQ305,"",'1. Live'!BQ305-'check-Jul25'!BQ305)</f>
        <v/>
      </c>
      <c r="BR305" t="str">
        <f>IF('1. Live'!BR305='check-Jul25'!BR305,"",'1. Live'!BR305-'check-Jul25'!BR305)</f>
        <v/>
      </c>
      <c r="BS305" t="str">
        <f>IF('1. Live'!BS305='check-Jul25'!BS305,"",'1. Live'!BS305-'check-Jul25'!BS305)</f>
        <v/>
      </c>
      <c r="BT305" t="str">
        <f>IF('1. Live'!BT305='check-Jul25'!BT305,"",'1. Live'!BT305-'check-Jul25'!BT305)</f>
        <v/>
      </c>
      <c r="BU305" t="str">
        <f>IF('1. Live'!BU305='check-Jul25'!BU305,"",'1. Live'!BU305-'check-Jul25'!BU305)</f>
        <v/>
      </c>
      <c r="BV305" t="str">
        <f>IF('1. Live'!BV305='check-Jul25'!BV305,"",'1. Live'!BV305-'check-Jul25'!BV305)</f>
        <v/>
      </c>
      <c r="BW305" t="str">
        <f>IF('1. Live'!BW305='check-Jul25'!BW305,"",'1. Live'!BW305-'check-Jul25'!BW305)</f>
        <v/>
      </c>
      <c r="BX305" t="str">
        <f>IF('1. Live'!BX305='check-Jul25'!BX305,"",'1. Live'!BX305-'check-Jul25'!BX305)</f>
        <v/>
      </c>
      <c r="BY305" t="str">
        <f>IF('1. Live'!BY305='check-Jul25'!BY305,"",'1. Live'!BY305-'check-Jul25'!BY305)</f>
        <v/>
      </c>
      <c r="BZ305" t="str">
        <f>IF('1. Live'!BZ305='check-Jul25'!BZ305,"",'1. Live'!BZ305-'check-Jul25'!BZ305)</f>
        <v/>
      </c>
      <c r="CA305" t="str">
        <f>IF('1. Live'!CA305='check-Jul25'!CA305,"",'1. Live'!CA305-'check-Jul25'!CA305)</f>
        <v/>
      </c>
      <c r="CB305" t="str">
        <f>IF('1. Live'!CB305='check-Jul25'!CB305,"",'1. Live'!CB305-'check-Jul25'!CB305)</f>
        <v/>
      </c>
      <c r="CC305" t="str">
        <f>IF('1. Live'!CC305='check-Jul25'!CC305,"",'1. Live'!CC305-'check-Jul25'!CC305)</f>
        <v/>
      </c>
      <c r="CD305" t="str">
        <f>IF('1. Live'!CD305='check-Jul25'!CD305,"",'1. Live'!CD305-'check-Jul25'!CD305)</f>
        <v/>
      </c>
      <c r="CE305" t="str">
        <f>IF('1. Live'!CE305='check-Jul25'!CE305,"",'1. Live'!CE305-'check-Jul25'!CE305)</f>
        <v/>
      </c>
      <c r="CF305" t="str">
        <f>IF('1. Live'!CF305='check-Jul25'!CF305,"",'1. Live'!CF305-'check-Jul25'!CF305)</f>
        <v/>
      </c>
      <c r="CG305" t="str">
        <f>IF('1. Live'!CG305='check-Jul25'!CG305,"",'1. Live'!CG305-'check-Jul25'!CG305)</f>
        <v/>
      </c>
      <c r="CH305" t="str">
        <f>IF('1. Live'!CH305='check-Jul25'!CH305,"",'1. Live'!CH305-'check-Jul25'!CH305)</f>
        <v/>
      </c>
      <c r="CI305" t="str">
        <f>IF('1. Live'!CI305='check-Jul25'!CI305,"",'1. Live'!CI305-'check-Jul25'!CI305)</f>
        <v/>
      </c>
      <c r="CJ305" t="str">
        <f>IF('1. Live'!CJ305='check-Jul25'!CJ305,"",'1. Live'!CJ305-'check-Jul25'!CJ305)</f>
        <v/>
      </c>
      <c r="CK305" t="str">
        <f>IF('1. Live'!CK305='check-Jul25'!CK305,"",'1. Live'!CK305-'check-Jul25'!CK305)</f>
        <v/>
      </c>
      <c r="CL305" t="str">
        <f>IF('1. Live'!CL305='check-Jul25'!CL305,"",'1. Live'!CL305-'check-Jul25'!CL305)</f>
        <v/>
      </c>
      <c r="CM305" t="str">
        <f>IF('1. Live'!CM305='check-Jul25'!CM305,"",'1. Live'!CM305-'check-Jul25'!CM305)</f>
        <v/>
      </c>
      <c r="CN305" t="str">
        <f>IF('1. Live'!CN305='check-Jul25'!CN305,"",'1. Live'!CN305-'check-Jul25'!CN305)</f>
        <v/>
      </c>
      <c r="CO305" t="str">
        <f>IF('1. Live'!CO305='check-Jul25'!CO305,"",'1. Live'!CO305-'check-Jul25'!CO305)</f>
        <v/>
      </c>
      <c r="CP305" t="str">
        <f>IF('1. Live'!CP305='check-Jul25'!CP305,"",'1. Live'!CP305-'check-Jul25'!CP305)</f>
        <v/>
      </c>
      <c r="CQ305" t="str">
        <f>IF('1. Live'!CQ305='check-Jul25'!CQ305,"",'1. Live'!CQ305-'check-Jul25'!CQ305)</f>
        <v/>
      </c>
      <c r="CR305" t="str">
        <f>IF('1. Live'!CR305='check-Jul25'!CR305,"",'1. Live'!CR305-'check-Jul25'!CR305)</f>
        <v/>
      </c>
      <c r="CS305" t="str">
        <f>IF('1. Live'!CS305='check-Jul25'!CS305,"",'1. Live'!CS305-'check-Jul25'!CS305)</f>
        <v/>
      </c>
      <c r="CT305" t="str">
        <f>IF('1. Live'!CT305='check-Jul25'!CT305,"",'1. Live'!CT305-'check-Jul25'!CT305)</f>
        <v/>
      </c>
      <c r="CU305" t="str">
        <f>IF('1. Live'!CU305='check-Jul25'!CU305,"",'1. Live'!CU305-'check-Jul25'!CU305)</f>
        <v/>
      </c>
      <c r="CV305" t="str">
        <f>IF('1. Live'!CV305='check-Jul25'!CV305,"",'1. Live'!CV305-'check-Jul25'!CV305)</f>
        <v/>
      </c>
      <c r="CW305" t="str">
        <f>IF('1. Live'!CW305='check-Jul25'!CW305,"",'1. Live'!CW305-'check-Jul25'!CW305)</f>
        <v/>
      </c>
    </row>
    <row r="306" spans="10:101">
      <c r="J306" t="str">
        <f>IF('1. Live'!J306='check-Jul25'!J306,"",'1. Live'!J306-'check-Jul25'!J306)</f>
        <v/>
      </c>
      <c r="K306" t="str">
        <f>IF('1. Live'!K306='check-Jul25'!K306,"",'1. Live'!K306-'check-Jul25'!K306)</f>
        <v/>
      </c>
      <c r="L306" t="str">
        <f>IF('1. Live'!L306='check-Jul25'!L306,"",'1. Live'!L306-'check-Jul25'!L306)</f>
        <v/>
      </c>
      <c r="M306" t="str">
        <f>IF('1. Live'!M306='check-Jul25'!M306,"",'1. Live'!M306-'check-Jul25'!M306)</f>
        <v/>
      </c>
      <c r="N306" t="str">
        <f>IF('1. Live'!N306='check-Jul25'!N306,"",'1. Live'!N306-'check-Jul25'!N306)</f>
        <v/>
      </c>
      <c r="O306" t="str">
        <f>IF('1. Live'!O306='check-Jul25'!O306,"",'1. Live'!O306-'check-Jul25'!O306)</f>
        <v/>
      </c>
      <c r="P306" t="str">
        <f>IF('1. Live'!P306='check-Jul25'!P306,"",'1. Live'!P306-'check-Jul25'!P306)</f>
        <v/>
      </c>
      <c r="Q306" t="str">
        <f>IF('1. Live'!Q306='check-Jul25'!Q306,"",'1. Live'!Q306-'check-Jul25'!Q306)</f>
        <v/>
      </c>
      <c r="R306" t="str">
        <f>IF('1. Live'!R306='check-Jul25'!R306,"",'1. Live'!R306-'check-Jul25'!R306)</f>
        <v/>
      </c>
      <c r="S306" t="str">
        <f>IF('1. Live'!S306='check-Jul25'!S306,"",'1. Live'!S306-'check-Jul25'!S306)</f>
        <v/>
      </c>
      <c r="T306" t="str">
        <f>IF('1. Live'!T306='check-Jul25'!T306,"",'1. Live'!T306-'check-Jul25'!T306)</f>
        <v/>
      </c>
      <c r="U306" t="str">
        <f>IF('1. Live'!U306='check-Jul25'!U306,"",'1. Live'!U306-'check-Jul25'!U306)</f>
        <v/>
      </c>
      <c r="V306" t="str">
        <f>IF('1. Live'!V306='check-Jul25'!V306,"",'1. Live'!V306-'check-Jul25'!V306)</f>
        <v/>
      </c>
      <c r="W306" t="str">
        <f>IF('1. Live'!W306='check-Jul25'!W306,"",'1. Live'!W306-'check-Jul25'!W306)</f>
        <v/>
      </c>
      <c r="X306" t="str">
        <f>IF('1. Live'!X306='check-Jul25'!X306,"",'1. Live'!X306-'check-Jul25'!X306)</f>
        <v/>
      </c>
      <c r="Y306" t="str">
        <f>IF('1. Live'!Y306='check-Jul25'!Y306,"",'1. Live'!Y306-'check-Jul25'!Y306)</f>
        <v/>
      </c>
      <c r="Z306" t="str">
        <f>IF('1. Live'!Z306='check-Jul25'!Z306,"",'1. Live'!Z306-'check-Jul25'!Z306)</f>
        <v/>
      </c>
      <c r="AA306" t="str">
        <f>IF('1. Live'!AA306='check-Jul25'!AA306,"",'1. Live'!AA306-'check-Jul25'!AA306)</f>
        <v/>
      </c>
      <c r="AB306" t="str">
        <f>IF('1. Live'!AB306='check-Jul25'!AB306,"",'1. Live'!AB306-'check-Jul25'!AB306)</f>
        <v/>
      </c>
      <c r="AC306" t="str">
        <f>IF('1. Live'!AC306='check-Jul25'!AC306,"",'1. Live'!AC306-'check-Jul25'!AC306)</f>
        <v/>
      </c>
      <c r="AD306" t="str">
        <f>IF('1. Live'!AD306='check-Jul25'!AD306,"",'1. Live'!AD306-'check-Jul25'!AD306)</f>
        <v/>
      </c>
      <c r="AE306" t="str">
        <f>IF('1. Live'!AE306='check-Jul25'!AE306,"",'1. Live'!AE306-'check-Jul25'!AE306)</f>
        <v/>
      </c>
      <c r="AF306" t="str">
        <f>IF('1. Live'!AF306='check-Jul25'!AF306,"",'1. Live'!AF306-'check-Jul25'!AF306)</f>
        <v/>
      </c>
      <c r="AG306" t="str">
        <f>IF('1. Live'!AG306='check-Jul25'!AG306,"",'1. Live'!AG306-'check-Jul25'!AG306)</f>
        <v/>
      </c>
      <c r="AH306" t="str">
        <f>IF('1. Live'!AH306='check-Jul25'!AH306,"",'1. Live'!AH306-'check-Jul25'!AH306)</f>
        <v/>
      </c>
      <c r="AI306" t="str">
        <f>IF('1. Live'!AI306='check-Jul25'!AI306,"",'1. Live'!AI306-'check-Jul25'!AI306)</f>
        <v/>
      </c>
      <c r="AJ306" t="str">
        <f>IF('1. Live'!AJ306='check-Jul25'!AJ306,"",'1. Live'!AJ306-'check-Jul25'!AJ306)</f>
        <v/>
      </c>
      <c r="AK306" t="str">
        <f>IF('1. Live'!AK306='check-Jul25'!AK306,"",'1. Live'!AK306-'check-Jul25'!AK306)</f>
        <v/>
      </c>
      <c r="AL306" t="str">
        <f>IF('1. Live'!AL306='check-Jul25'!AL306,"",'1. Live'!AL306-'check-Jul25'!AL306)</f>
        <v/>
      </c>
      <c r="AM306" t="str">
        <f>IF('1. Live'!AM306='check-Jul25'!AM306,"",'1. Live'!AM306-'check-Jul25'!AM306)</f>
        <v/>
      </c>
      <c r="AN306" t="str">
        <f>IF('1. Live'!AN306='check-Jul25'!AN306,"",'1. Live'!AN306-'check-Jul25'!AN306)</f>
        <v/>
      </c>
      <c r="AO306" t="str">
        <f>IF('1. Live'!AO306='check-Jul25'!AO306,"",'1. Live'!AO306-'check-Jul25'!AO306)</f>
        <v/>
      </c>
      <c r="AP306" t="str">
        <f>IF('1. Live'!AP306='check-Jul25'!AP306,"",'1. Live'!AP306-'check-Jul25'!AP306)</f>
        <v/>
      </c>
      <c r="AQ306" t="str">
        <f>IF('1. Live'!AQ306='check-Jul25'!AQ306,"",'1. Live'!AQ306-'check-Jul25'!AQ306)</f>
        <v/>
      </c>
      <c r="AR306" t="str">
        <f>IF('1. Live'!AR306='check-Jul25'!AR306,"",'1. Live'!AR306-'check-Jul25'!AR306)</f>
        <v/>
      </c>
      <c r="AS306" t="str">
        <f>IF('1. Live'!AS306='check-Jul25'!AS306,"",'1. Live'!AS306-'check-Jul25'!AS306)</f>
        <v/>
      </c>
      <c r="AT306" t="str">
        <f>IF('1. Live'!AT306='check-Jul25'!AT306,"",'1. Live'!AT306-'check-Jul25'!AT306)</f>
        <v/>
      </c>
      <c r="AU306" t="str">
        <f>IF('1. Live'!AU306='check-Jul25'!AU306,"",'1. Live'!AU306-'check-Jul25'!AU306)</f>
        <v/>
      </c>
      <c r="AV306" t="str">
        <f>IF('1. Live'!AV306='check-Jul25'!AV306,"",'1. Live'!AV306-'check-Jul25'!AV306)</f>
        <v/>
      </c>
      <c r="AW306" t="str">
        <f>IF('1. Live'!AW306='check-Jul25'!AW306,"",'1. Live'!AW306-'check-Jul25'!AW306)</f>
        <v/>
      </c>
      <c r="AX306" t="str">
        <f>IF('1. Live'!AX306='check-Jul25'!AX306,"",'1. Live'!AX306-'check-Jul25'!AX306)</f>
        <v/>
      </c>
      <c r="AY306" t="str">
        <f>IF('1. Live'!AY306='check-Jul25'!AY306,"",'1. Live'!AY306-'check-Jul25'!AY306)</f>
        <v/>
      </c>
      <c r="AZ306" t="str">
        <f>IF('1. Live'!AZ306='check-Jul25'!AZ306,"",'1. Live'!AZ306-'check-Jul25'!AZ306)</f>
        <v/>
      </c>
      <c r="BA306" t="str">
        <f>IF('1. Live'!BA306='check-Jul25'!BA306,"",'1. Live'!BA306-'check-Jul25'!BA306)</f>
        <v/>
      </c>
      <c r="BB306" t="str">
        <f>IF('1. Live'!BB306='check-Jul25'!BB306,"",'1. Live'!BB306-'check-Jul25'!BB306)</f>
        <v/>
      </c>
      <c r="BC306" t="str">
        <f>IF('1. Live'!BC306='check-Jul25'!BC306,"",'1. Live'!BC306-'check-Jul25'!BC306)</f>
        <v/>
      </c>
      <c r="BD306" t="str">
        <f>IF('1. Live'!BD306='check-Jul25'!BD306,"",'1. Live'!BD306-'check-Jul25'!BD306)</f>
        <v/>
      </c>
      <c r="BE306" t="str">
        <f>IF('1. Live'!BE306='check-Jul25'!BE306,"",'1. Live'!BE306-'check-Jul25'!BE306)</f>
        <v/>
      </c>
      <c r="BF306" t="str">
        <f>IF('1. Live'!BF306='check-Jul25'!BF306,"",'1. Live'!BF306-'check-Jul25'!BF306)</f>
        <v/>
      </c>
      <c r="BG306" t="str">
        <f>IF('1. Live'!BG306='check-Jul25'!BG306,"",'1. Live'!BG306-'check-Jul25'!BG306)</f>
        <v/>
      </c>
      <c r="BH306" t="str">
        <f>IF('1. Live'!BH306='check-Jul25'!BH306,"",'1. Live'!BH306-'check-Jul25'!BH306)</f>
        <v/>
      </c>
      <c r="BI306" t="str">
        <f>IF('1. Live'!BI306='check-Jul25'!BI306,"",'1. Live'!BI306-'check-Jul25'!BI306)</f>
        <v/>
      </c>
      <c r="BJ306" t="str">
        <f>IF('1. Live'!BJ306='check-Jul25'!BJ306,"",'1. Live'!BJ306-'check-Jul25'!BJ306)</f>
        <v/>
      </c>
      <c r="BK306" t="str">
        <f>IF('1. Live'!BK306='check-Jul25'!BK306,"",'1. Live'!BK306-'check-Jul25'!BK306)</f>
        <v/>
      </c>
      <c r="BL306" t="str">
        <f>IF('1. Live'!BL306='check-Jul25'!BL306,"",'1. Live'!BL306-'check-Jul25'!BL306)</f>
        <v/>
      </c>
      <c r="BM306" t="str">
        <f>IF('1. Live'!BM306='check-Jul25'!BM306,"",'1. Live'!BM306-'check-Jul25'!BM306)</f>
        <v/>
      </c>
      <c r="BN306" t="str">
        <f>IF('1. Live'!BN306='check-Jul25'!BN306,"",'1. Live'!BN306-'check-Jul25'!BN306)</f>
        <v/>
      </c>
      <c r="BO306" t="str">
        <f>IF('1. Live'!BO306='check-Jul25'!BO306,"",'1. Live'!BO306-'check-Jul25'!BO306)</f>
        <v/>
      </c>
      <c r="BP306" t="str">
        <f>IF('1. Live'!BP306='check-Jul25'!BP306,"",'1. Live'!BP306-'check-Jul25'!BP306)</f>
        <v/>
      </c>
      <c r="BQ306" t="str">
        <f>IF('1. Live'!BQ306='check-Jul25'!BQ306,"",'1. Live'!BQ306-'check-Jul25'!BQ306)</f>
        <v/>
      </c>
      <c r="BR306" t="str">
        <f>IF('1. Live'!BR306='check-Jul25'!BR306,"",'1. Live'!BR306-'check-Jul25'!BR306)</f>
        <v/>
      </c>
      <c r="BS306" t="str">
        <f>IF('1. Live'!BS306='check-Jul25'!BS306,"",'1. Live'!BS306-'check-Jul25'!BS306)</f>
        <v/>
      </c>
      <c r="BT306" t="str">
        <f>IF('1. Live'!BT306='check-Jul25'!BT306,"",'1. Live'!BT306-'check-Jul25'!BT306)</f>
        <v/>
      </c>
      <c r="BU306" t="str">
        <f>IF('1. Live'!BU306='check-Jul25'!BU306,"",'1. Live'!BU306-'check-Jul25'!BU306)</f>
        <v/>
      </c>
      <c r="BV306" t="str">
        <f>IF('1. Live'!BV306='check-Jul25'!BV306,"",'1. Live'!BV306-'check-Jul25'!BV306)</f>
        <v/>
      </c>
      <c r="BW306" t="str">
        <f>IF('1. Live'!BW306='check-Jul25'!BW306,"",'1. Live'!BW306-'check-Jul25'!BW306)</f>
        <v/>
      </c>
      <c r="BX306" t="str">
        <f>IF('1. Live'!BX306='check-Jul25'!BX306,"",'1. Live'!BX306-'check-Jul25'!BX306)</f>
        <v/>
      </c>
      <c r="BY306" t="str">
        <f>IF('1. Live'!BY306='check-Jul25'!BY306,"",'1. Live'!BY306-'check-Jul25'!BY306)</f>
        <v/>
      </c>
      <c r="BZ306" t="str">
        <f>IF('1. Live'!BZ306='check-Jul25'!BZ306,"",'1. Live'!BZ306-'check-Jul25'!BZ306)</f>
        <v/>
      </c>
      <c r="CA306" t="str">
        <f>IF('1. Live'!CA306='check-Jul25'!CA306,"",'1. Live'!CA306-'check-Jul25'!CA306)</f>
        <v/>
      </c>
      <c r="CB306" t="str">
        <f>IF('1. Live'!CB306='check-Jul25'!CB306,"",'1. Live'!CB306-'check-Jul25'!CB306)</f>
        <v/>
      </c>
      <c r="CC306" t="str">
        <f>IF('1. Live'!CC306='check-Jul25'!CC306,"",'1. Live'!CC306-'check-Jul25'!CC306)</f>
        <v/>
      </c>
      <c r="CD306" t="str">
        <f>IF('1. Live'!CD306='check-Jul25'!CD306,"",'1. Live'!CD306-'check-Jul25'!CD306)</f>
        <v/>
      </c>
      <c r="CE306" t="str">
        <f>IF('1. Live'!CE306='check-Jul25'!CE306,"",'1. Live'!CE306-'check-Jul25'!CE306)</f>
        <v/>
      </c>
      <c r="CF306" t="str">
        <f>IF('1. Live'!CF306='check-Jul25'!CF306,"",'1. Live'!CF306-'check-Jul25'!CF306)</f>
        <v/>
      </c>
      <c r="CG306" t="str">
        <f>IF('1. Live'!CG306='check-Jul25'!CG306,"",'1. Live'!CG306-'check-Jul25'!CG306)</f>
        <v/>
      </c>
      <c r="CH306" t="str">
        <f>IF('1. Live'!CH306='check-Jul25'!CH306,"",'1. Live'!CH306-'check-Jul25'!CH306)</f>
        <v/>
      </c>
      <c r="CI306" t="str">
        <f>IF('1. Live'!CI306='check-Jul25'!CI306,"",'1. Live'!CI306-'check-Jul25'!CI306)</f>
        <v/>
      </c>
      <c r="CJ306" t="str">
        <f>IF('1. Live'!CJ306='check-Jul25'!CJ306,"",'1. Live'!CJ306-'check-Jul25'!CJ306)</f>
        <v/>
      </c>
      <c r="CK306" t="str">
        <f>IF('1. Live'!CK306='check-Jul25'!CK306,"",'1. Live'!CK306-'check-Jul25'!CK306)</f>
        <v/>
      </c>
      <c r="CL306" t="str">
        <f>IF('1. Live'!CL306='check-Jul25'!CL306,"",'1. Live'!CL306-'check-Jul25'!CL306)</f>
        <v/>
      </c>
      <c r="CM306" t="str">
        <f>IF('1. Live'!CM306='check-Jul25'!CM306,"",'1. Live'!CM306-'check-Jul25'!CM306)</f>
        <v/>
      </c>
      <c r="CN306" t="str">
        <f>IF('1. Live'!CN306='check-Jul25'!CN306,"",'1. Live'!CN306-'check-Jul25'!CN306)</f>
        <v/>
      </c>
      <c r="CO306" t="str">
        <f>IF('1. Live'!CO306='check-Jul25'!CO306,"",'1. Live'!CO306-'check-Jul25'!CO306)</f>
        <v/>
      </c>
      <c r="CP306" t="str">
        <f>IF('1. Live'!CP306='check-Jul25'!CP306,"",'1. Live'!CP306-'check-Jul25'!CP306)</f>
        <v/>
      </c>
      <c r="CQ306" t="str">
        <f>IF('1. Live'!CQ306='check-Jul25'!CQ306,"",'1. Live'!CQ306-'check-Jul25'!CQ306)</f>
        <v/>
      </c>
      <c r="CR306" t="str">
        <f>IF('1. Live'!CR306='check-Jul25'!CR306,"",'1. Live'!CR306-'check-Jul25'!CR306)</f>
        <v/>
      </c>
      <c r="CS306" t="str">
        <f>IF('1. Live'!CS306='check-Jul25'!CS306,"",'1. Live'!CS306-'check-Jul25'!CS306)</f>
        <v/>
      </c>
      <c r="CT306" t="str">
        <f>IF('1. Live'!CT306='check-Jul25'!CT306,"",'1. Live'!CT306-'check-Jul25'!CT306)</f>
        <v/>
      </c>
      <c r="CU306" t="str">
        <f>IF('1. Live'!CU306='check-Jul25'!CU306,"",'1. Live'!CU306-'check-Jul25'!CU306)</f>
        <v/>
      </c>
      <c r="CV306" t="str">
        <f>IF('1. Live'!CV306='check-Jul25'!CV306,"",'1. Live'!CV306-'check-Jul25'!CV306)</f>
        <v/>
      </c>
      <c r="CW306" t="str">
        <f>IF('1. Live'!CW306='check-Jul25'!CW306,"",'1. Live'!CW306-'check-Jul25'!CW306)</f>
        <v/>
      </c>
    </row>
    <row r="307" spans="10:101">
      <c r="J307" t="str">
        <f>IF('1. Live'!J307='check-Jul25'!J307,"",'1. Live'!J307-'check-Jul25'!J307)</f>
        <v/>
      </c>
      <c r="K307" t="str">
        <f>IF('1. Live'!K307='check-Jul25'!K307,"",'1. Live'!K307-'check-Jul25'!K307)</f>
        <v/>
      </c>
      <c r="L307" t="str">
        <f>IF('1. Live'!L307='check-Jul25'!L307,"",'1. Live'!L307-'check-Jul25'!L307)</f>
        <v/>
      </c>
      <c r="M307" t="str">
        <f>IF('1. Live'!M307='check-Jul25'!M307,"",'1. Live'!M307-'check-Jul25'!M307)</f>
        <v/>
      </c>
      <c r="N307" t="str">
        <f>IF('1. Live'!N307='check-Jul25'!N307,"",'1. Live'!N307-'check-Jul25'!N307)</f>
        <v/>
      </c>
      <c r="O307" t="str">
        <f>IF('1. Live'!O307='check-Jul25'!O307,"",'1. Live'!O307-'check-Jul25'!O307)</f>
        <v/>
      </c>
      <c r="P307" t="str">
        <f>IF('1. Live'!P307='check-Jul25'!P307,"",'1. Live'!P307-'check-Jul25'!P307)</f>
        <v/>
      </c>
      <c r="Q307" t="str">
        <f>IF('1. Live'!Q307='check-Jul25'!Q307,"",'1. Live'!Q307-'check-Jul25'!Q307)</f>
        <v/>
      </c>
      <c r="R307" t="str">
        <f>IF('1. Live'!R307='check-Jul25'!R307,"",'1. Live'!R307-'check-Jul25'!R307)</f>
        <v/>
      </c>
      <c r="S307" t="str">
        <f>IF('1. Live'!S307='check-Jul25'!S307,"",'1. Live'!S307-'check-Jul25'!S307)</f>
        <v/>
      </c>
      <c r="T307" t="str">
        <f>IF('1. Live'!T307='check-Jul25'!T307,"",'1. Live'!T307-'check-Jul25'!T307)</f>
        <v/>
      </c>
      <c r="U307" t="str">
        <f>IF('1. Live'!U307='check-Jul25'!U307,"",'1. Live'!U307-'check-Jul25'!U307)</f>
        <v/>
      </c>
      <c r="V307" t="str">
        <f>IF('1. Live'!V307='check-Jul25'!V307,"",'1. Live'!V307-'check-Jul25'!V307)</f>
        <v/>
      </c>
      <c r="W307" t="str">
        <f>IF('1. Live'!W307='check-Jul25'!W307,"",'1. Live'!W307-'check-Jul25'!W307)</f>
        <v/>
      </c>
      <c r="X307" t="str">
        <f>IF('1. Live'!X307='check-Jul25'!X307,"",'1. Live'!X307-'check-Jul25'!X307)</f>
        <v/>
      </c>
      <c r="Y307" t="str">
        <f>IF('1. Live'!Y307='check-Jul25'!Y307,"",'1. Live'!Y307-'check-Jul25'!Y307)</f>
        <v/>
      </c>
      <c r="Z307" t="str">
        <f>IF('1. Live'!Z307='check-Jul25'!Z307,"",'1. Live'!Z307-'check-Jul25'!Z307)</f>
        <v/>
      </c>
      <c r="AA307" t="str">
        <f>IF('1. Live'!AA307='check-Jul25'!AA307,"",'1. Live'!AA307-'check-Jul25'!AA307)</f>
        <v/>
      </c>
      <c r="AB307" t="str">
        <f>IF('1. Live'!AB307='check-Jul25'!AB307,"",'1. Live'!AB307-'check-Jul25'!AB307)</f>
        <v/>
      </c>
      <c r="AC307" t="str">
        <f>IF('1. Live'!AC307='check-Jul25'!AC307,"",'1. Live'!AC307-'check-Jul25'!AC307)</f>
        <v/>
      </c>
      <c r="AD307" t="str">
        <f>IF('1. Live'!AD307='check-Jul25'!AD307,"",'1. Live'!AD307-'check-Jul25'!AD307)</f>
        <v/>
      </c>
      <c r="AE307" t="str">
        <f>IF('1. Live'!AE307='check-Jul25'!AE307,"",'1. Live'!AE307-'check-Jul25'!AE307)</f>
        <v/>
      </c>
      <c r="AF307" t="str">
        <f>IF('1. Live'!AF307='check-Jul25'!AF307,"",'1. Live'!AF307-'check-Jul25'!AF307)</f>
        <v/>
      </c>
      <c r="AG307" t="str">
        <f>IF('1. Live'!AG307='check-Jul25'!AG307,"",'1. Live'!AG307-'check-Jul25'!AG307)</f>
        <v/>
      </c>
      <c r="AH307" t="str">
        <f>IF('1. Live'!AH307='check-Jul25'!AH307,"",'1. Live'!AH307-'check-Jul25'!AH307)</f>
        <v/>
      </c>
      <c r="AI307" t="str">
        <f>IF('1. Live'!AI307='check-Jul25'!AI307,"",'1. Live'!AI307-'check-Jul25'!AI307)</f>
        <v/>
      </c>
      <c r="AJ307" t="str">
        <f>IF('1. Live'!AJ307='check-Jul25'!AJ307,"",'1. Live'!AJ307-'check-Jul25'!AJ307)</f>
        <v/>
      </c>
      <c r="AK307" t="str">
        <f>IF('1. Live'!AK307='check-Jul25'!AK307,"",'1. Live'!AK307-'check-Jul25'!AK307)</f>
        <v/>
      </c>
      <c r="AL307" t="str">
        <f>IF('1. Live'!AL307='check-Jul25'!AL307,"",'1. Live'!AL307-'check-Jul25'!AL307)</f>
        <v/>
      </c>
      <c r="AM307" t="str">
        <f>IF('1. Live'!AM307='check-Jul25'!AM307,"",'1. Live'!AM307-'check-Jul25'!AM307)</f>
        <v/>
      </c>
      <c r="AN307" t="str">
        <f>IF('1. Live'!AN307='check-Jul25'!AN307,"",'1. Live'!AN307-'check-Jul25'!AN307)</f>
        <v/>
      </c>
      <c r="AO307" t="str">
        <f>IF('1. Live'!AO307='check-Jul25'!AO307,"",'1. Live'!AO307-'check-Jul25'!AO307)</f>
        <v/>
      </c>
      <c r="AP307" t="str">
        <f>IF('1. Live'!AP307='check-Jul25'!AP307,"",'1. Live'!AP307-'check-Jul25'!AP307)</f>
        <v/>
      </c>
      <c r="AQ307" t="str">
        <f>IF('1. Live'!AQ307='check-Jul25'!AQ307,"",'1. Live'!AQ307-'check-Jul25'!AQ307)</f>
        <v/>
      </c>
      <c r="AR307" t="str">
        <f>IF('1. Live'!AR307='check-Jul25'!AR307,"",'1. Live'!AR307-'check-Jul25'!AR307)</f>
        <v/>
      </c>
      <c r="AS307" t="str">
        <f>IF('1. Live'!AS307='check-Jul25'!AS307,"",'1. Live'!AS307-'check-Jul25'!AS307)</f>
        <v/>
      </c>
      <c r="AT307" t="str">
        <f>IF('1. Live'!AT307='check-Jul25'!AT307,"",'1. Live'!AT307-'check-Jul25'!AT307)</f>
        <v/>
      </c>
      <c r="AU307" t="str">
        <f>IF('1. Live'!AU307='check-Jul25'!AU307,"",'1. Live'!AU307-'check-Jul25'!AU307)</f>
        <v/>
      </c>
      <c r="AV307" t="str">
        <f>IF('1. Live'!AV307='check-Jul25'!AV307,"",'1. Live'!AV307-'check-Jul25'!AV307)</f>
        <v/>
      </c>
      <c r="AW307" t="str">
        <f>IF('1. Live'!AW307='check-Jul25'!AW307,"",'1. Live'!AW307-'check-Jul25'!AW307)</f>
        <v/>
      </c>
      <c r="AX307" t="str">
        <f>IF('1. Live'!AX307='check-Jul25'!AX307,"",'1. Live'!AX307-'check-Jul25'!AX307)</f>
        <v/>
      </c>
      <c r="AY307" t="str">
        <f>IF('1. Live'!AY307='check-Jul25'!AY307,"",'1. Live'!AY307-'check-Jul25'!AY307)</f>
        <v/>
      </c>
      <c r="AZ307" t="str">
        <f>IF('1. Live'!AZ307='check-Jul25'!AZ307,"",'1. Live'!AZ307-'check-Jul25'!AZ307)</f>
        <v/>
      </c>
      <c r="BA307" t="str">
        <f>IF('1. Live'!BA307='check-Jul25'!BA307,"",'1. Live'!BA307-'check-Jul25'!BA307)</f>
        <v/>
      </c>
      <c r="BB307" t="str">
        <f>IF('1. Live'!BB307='check-Jul25'!BB307,"",'1. Live'!BB307-'check-Jul25'!BB307)</f>
        <v/>
      </c>
      <c r="BC307" t="str">
        <f>IF('1. Live'!BC307='check-Jul25'!BC307,"",'1. Live'!BC307-'check-Jul25'!BC307)</f>
        <v/>
      </c>
      <c r="BD307" t="str">
        <f>IF('1. Live'!BD307='check-Jul25'!BD307,"",'1. Live'!BD307-'check-Jul25'!BD307)</f>
        <v/>
      </c>
      <c r="BE307" t="str">
        <f>IF('1. Live'!BE307='check-Jul25'!BE307,"",'1. Live'!BE307-'check-Jul25'!BE307)</f>
        <v/>
      </c>
      <c r="BF307" t="str">
        <f>IF('1. Live'!BF307='check-Jul25'!BF307,"",'1. Live'!BF307-'check-Jul25'!BF307)</f>
        <v/>
      </c>
      <c r="BG307" t="str">
        <f>IF('1. Live'!BG307='check-Jul25'!BG307,"",'1. Live'!BG307-'check-Jul25'!BG307)</f>
        <v/>
      </c>
      <c r="BH307" t="str">
        <f>IF('1. Live'!BH307='check-Jul25'!BH307,"",'1. Live'!BH307-'check-Jul25'!BH307)</f>
        <v/>
      </c>
      <c r="BI307" t="str">
        <f>IF('1. Live'!BI307='check-Jul25'!BI307,"",'1. Live'!BI307-'check-Jul25'!BI307)</f>
        <v/>
      </c>
      <c r="BJ307" t="str">
        <f>IF('1. Live'!BJ307='check-Jul25'!BJ307,"",'1. Live'!BJ307-'check-Jul25'!BJ307)</f>
        <v/>
      </c>
      <c r="BK307" t="str">
        <f>IF('1. Live'!BK307='check-Jul25'!BK307,"",'1. Live'!BK307-'check-Jul25'!BK307)</f>
        <v/>
      </c>
      <c r="BL307" t="str">
        <f>IF('1. Live'!BL307='check-Jul25'!BL307,"",'1. Live'!BL307-'check-Jul25'!BL307)</f>
        <v/>
      </c>
      <c r="BM307" t="str">
        <f>IF('1. Live'!BM307='check-Jul25'!BM307,"",'1. Live'!BM307-'check-Jul25'!BM307)</f>
        <v/>
      </c>
      <c r="BN307" t="str">
        <f>IF('1. Live'!BN307='check-Jul25'!BN307,"",'1. Live'!BN307-'check-Jul25'!BN307)</f>
        <v/>
      </c>
      <c r="BO307" t="str">
        <f>IF('1. Live'!BO307='check-Jul25'!BO307,"",'1. Live'!BO307-'check-Jul25'!BO307)</f>
        <v/>
      </c>
      <c r="BP307" t="str">
        <f>IF('1. Live'!BP307='check-Jul25'!BP307,"",'1. Live'!BP307-'check-Jul25'!BP307)</f>
        <v/>
      </c>
      <c r="BQ307" t="str">
        <f>IF('1. Live'!BQ307='check-Jul25'!BQ307,"",'1. Live'!BQ307-'check-Jul25'!BQ307)</f>
        <v/>
      </c>
      <c r="BR307" t="str">
        <f>IF('1. Live'!BR307='check-Jul25'!BR307,"",'1. Live'!BR307-'check-Jul25'!BR307)</f>
        <v/>
      </c>
      <c r="BS307" t="str">
        <f>IF('1. Live'!BS307='check-Jul25'!BS307,"",'1. Live'!BS307-'check-Jul25'!BS307)</f>
        <v/>
      </c>
      <c r="BT307" t="str">
        <f>IF('1. Live'!BT307='check-Jul25'!BT307,"",'1. Live'!BT307-'check-Jul25'!BT307)</f>
        <v/>
      </c>
      <c r="BU307" t="str">
        <f>IF('1. Live'!BU307='check-Jul25'!BU307,"",'1. Live'!BU307-'check-Jul25'!BU307)</f>
        <v/>
      </c>
      <c r="BV307" t="str">
        <f>IF('1. Live'!BV307='check-Jul25'!BV307,"",'1. Live'!BV307-'check-Jul25'!BV307)</f>
        <v/>
      </c>
      <c r="BW307" t="str">
        <f>IF('1. Live'!BW307='check-Jul25'!BW307,"",'1. Live'!BW307-'check-Jul25'!BW307)</f>
        <v/>
      </c>
      <c r="BX307" t="str">
        <f>IF('1. Live'!BX307='check-Jul25'!BX307,"",'1. Live'!BX307-'check-Jul25'!BX307)</f>
        <v/>
      </c>
      <c r="BY307" t="str">
        <f>IF('1. Live'!BY307='check-Jul25'!BY307,"",'1. Live'!BY307-'check-Jul25'!BY307)</f>
        <v/>
      </c>
      <c r="BZ307" t="str">
        <f>IF('1. Live'!BZ307='check-Jul25'!BZ307,"",'1. Live'!BZ307-'check-Jul25'!BZ307)</f>
        <v/>
      </c>
      <c r="CA307" t="str">
        <f>IF('1. Live'!CA307='check-Jul25'!CA307,"",'1. Live'!CA307-'check-Jul25'!CA307)</f>
        <v/>
      </c>
      <c r="CB307" t="str">
        <f>IF('1. Live'!CB307='check-Jul25'!CB307,"",'1. Live'!CB307-'check-Jul25'!CB307)</f>
        <v/>
      </c>
      <c r="CC307" t="str">
        <f>IF('1. Live'!CC307='check-Jul25'!CC307,"",'1. Live'!CC307-'check-Jul25'!CC307)</f>
        <v/>
      </c>
      <c r="CD307" t="str">
        <f>IF('1. Live'!CD307='check-Jul25'!CD307,"",'1. Live'!CD307-'check-Jul25'!CD307)</f>
        <v/>
      </c>
      <c r="CE307" t="str">
        <f>IF('1. Live'!CE307='check-Jul25'!CE307,"",'1. Live'!CE307-'check-Jul25'!CE307)</f>
        <v/>
      </c>
      <c r="CF307" t="str">
        <f>IF('1. Live'!CF307='check-Jul25'!CF307,"",'1. Live'!CF307-'check-Jul25'!CF307)</f>
        <v/>
      </c>
      <c r="CG307" t="str">
        <f>IF('1. Live'!CG307='check-Jul25'!CG307,"",'1. Live'!CG307-'check-Jul25'!CG307)</f>
        <v/>
      </c>
      <c r="CH307" t="str">
        <f>IF('1. Live'!CH307='check-Jul25'!CH307,"",'1. Live'!CH307-'check-Jul25'!CH307)</f>
        <v/>
      </c>
      <c r="CI307" t="str">
        <f>IF('1. Live'!CI307='check-Jul25'!CI307,"",'1. Live'!CI307-'check-Jul25'!CI307)</f>
        <v/>
      </c>
      <c r="CJ307" t="str">
        <f>IF('1. Live'!CJ307='check-Jul25'!CJ307,"",'1. Live'!CJ307-'check-Jul25'!CJ307)</f>
        <v/>
      </c>
      <c r="CK307" t="str">
        <f>IF('1. Live'!CK307='check-Jul25'!CK307,"",'1. Live'!CK307-'check-Jul25'!CK307)</f>
        <v/>
      </c>
      <c r="CL307" t="str">
        <f>IF('1. Live'!CL307='check-Jul25'!CL307,"",'1. Live'!CL307-'check-Jul25'!CL307)</f>
        <v/>
      </c>
      <c r="CM307" t="str">
        <f>IF('1. Live'!CM307='check-Jul25'!CM307,"",'1. Live'!CM307-'check-Jul25'!CM307)</f>
        <v/>
      </c>
      <c r="CN307" t="str">
        <f>IF('1. Live'!CN307='check-Jul25'!CN307,"",'1. Live'!CN307-'check-Jul25'!CN307)</f>
        <v/>
      </c>
      <c r="CO307" t="str">
        <f>IF('1. Live'!CO307='check-Jul25'!CO307,"",'1. Live'!CO307-'check-Jul25'!CO307)</f>
        <v/>
      </c>
      <c r="CP307" t="str">
        <f>IF('1. Live'!CP307='check-Jul25'!CP307,"",'1. Live'!CP307-'check-Jul25'!CP307)</f>
        <v/>
      </c>
      <c r="CQ307" t="str">
        <f>IF('1. Live'!CQ307='check-Jul25'!CQ307,"",'1. Live'!CQ307-'check-Jul25'!CQ307)</f>
        <v/>
      </c>
      <c r="CR307" t="str">
        <f>IF('1. Live'!CR307='check-Jul25'!CR307,"",'1. Live'!CR307-'check-Jul25'!CR307)</f>
        <v/>
      </c>
      <c r="CS307" t="str">
        <f>IF('1. Live'!CS307='check-Jul25'!CS307,"",'1. Live'!CS307-'check-Jul25'!CS307)</f>
        <v/>
      </c>
      <c r="CT307" t="str">
        <f>IF('1. Live'!CT307='check-Jul25'!CT307,"",'1. Live'!CT307-'check-Jul25'!CT307)</f>
        <v/>
      </c>
      <c r="CU307" t="str">
        <f>IF('1. Live'!CU307='check-Jul25'!CU307,"",'1. Live'!CU307-'check-Jul25'!CU307)</f>
        <v/>
      </c>
      <c r="CV307" t="str">
        <f>IF('1. Live'!CV307='check-Jul25'!CV307,"",'1. Live'!CV307-'check-Jul25'!CV307)</f>
        <v/>
      </c>
      <c r="CW307" t="str">
        <f>IF('1. Live'!CW307='check-Jul25'!CW307,"",'1. Live'!CW307-'check-Jul25'!CW307)</f>
        <v/>
      </c>
    </row>
    <row r="308" spans="10:101">
      <c r="J308" t="str">
        <f>IF('1. Live'!J308='check-Jul25'!J308,"",'1. Live'!J308-'check-Jul25'!J308)</f>
        <v/>
      </c>
      <c r="K308" t="str">
        <f>IF('1. Live'!K308='check-Jul25'!K308,"",'1. Live'!K308-'check-Jul25'!K308)</f>
        <v/>
      </c>
      <c r="L308" t="str">
        <f>IF('1. Live'!L308='check-Jul25'!L308,"",'1. Live'!L308-'check-Jul25'!L308)</f>
        <v/>
      </c>
      <c r="M308" t="str">
        <f>IF('1. Live'!M308='check-Jul25'!M308,"",'1. Live'!M308-'check-Jul25'!M308)</f>
        <v/>
      </c>
      <c r="N308" t="str">
        <f>IF('1. Live'!N308='check-Jul25'!N308,"",'1. Live'!N308-'check-Jul25'!N308)</f>
        <v/>
      </c>
      <c r="O308" t="str">
        <f>IF('1. Live'!O308='check-Jul25'!O308,"",'1. Live'!O308-'check-Jul25'!O308)</f>
        <v/>
      </c>
      <c r="P308" t="str">
        <f>IF('1. Live'!P308='check-Jul25'!P308,"",'1. Live'!P308-'check-Jul25'!P308)</f>
        <v/>
      </c>
      <c r="Q308" t="str">
        <f>IF('1. Live'!Q308='check-Jul25'!Q308,"",'1. Live'!Q308-'check-Jul25'!Q308)</f>
        <v/>
      </c>
      <c r="R308" t="str">
        <f>IF('1. Live'!R308='check-Jul25'!R308,"",'1. Live'!R308-'check-Jul25'!R308)</f>
        <v/>
      </c>
      <c r="S308" t="str">
        <f>IF('1. Live'!S308='check-Jul25'!S308,"",'1. Live'!S308-'check-Jul25'!S308)</f>
        <v/>
      </c>
      <c r="T308" t="str">
        <f>IF('1. Live'!T308='check-Jul25'!T308,"",'1. Live'!T308-'check-Jul25'!T308)</f>
        <v/>
      </c>
      <c r="U308" t="str">
        <f>IF('1. Live'!U308='check-Jul25'!U308,"",'1. Live'!U308-'check-Jul25'!U308)</f>
        <v/>
      </c>
      <c r="V308" t="str">
        <f>IF('1. Live'!V308='check-Jul25'!V308,"",'1. Live'!V308-'check-Jul25'!V308)</f>
        <v/>
      </c>
      <c r="W308" t="str">
        <f>IF('1. Live'!W308='check-Jul25'!W308,"",'1. Live'!W308-'check-Jul25'!W308)</f>
        <v/>
      </c>
      <c r="X308" t="str">
        <f>IF('1. Live'!X308='check-Jul25'!X308,"",'1. Live'!X308-'check-Jul25'!X308)</f>
        <v/>
      </c>
      <c r="Y308" t="str">
        <f>IF('1. Live'!Y308='check-Jul25'!Y308,"",'1. Live'!Y308-'check-Jul25'!Y308)</f>
        <v/>
      </c>
      <c r="Z308" t="str">
        <f>IF('1. Live'!Z308='check-Jul25'!Z308,"",'1. Live'!Z308-'check-Jul25'!Z308)</f>
        <v/>
      </c>
      <c r="AA308" t="str">
        <f>IF('1. Live'!AA308='check-Jul25'!AA308,"",'1. Live'!AA308-'check-Jul25'!AA308)</f>
        <v/>
      </c>
      <c r="AB308" t="str">
        <f>IF('1. Live'!AB308='check-Jul25'!AB308,"",'1. Live'!AB308-'check-Jul25'!AB308)</f>
        <v/>
      </c>
      <c r="AC308" t="str">
        <f>IF('1. Live'!AC308='check-Jul25'!AC308,"",'1. Live'!AC308-'check-Jul25'!AC308)</f>
        <v/>
      </c>
      <c r="AD308" t="str">
        <f>IF('1. Live'!AD308='check-Jul25'!AD308,"",'1. Live'!AD308-'check-Jul25'!AD308)</f>
        <v/>
      </c>
      <c r="AE308" t="str">
        <f>IF('1. Live'!AE308='check-Jul25'!AE308,"",'1. Live'!AE308-'check-Jul25'!AE308)</f>
        <v/>
      </c>
      <c r="AF308" t="str">
        <f>IF('1. Live'!AF308='check-Jul25'!AF308,"",'1. Live'!AF308-'check-Jul25'!AF308)</f>
        <v/>
      </c>
      <c r="AG308" t="str">
        <f>IF('1. Live'!AG308='check-Jul25'!AG308,"",'1. Live'!AG308-'check-Jul25'!AG308)</f>
        <v/>
      </c>
      <c r="AH308" t="str">
        <f>IF('1. Live'!AH308='check-Jul25'!AH308,"",'1. Live'!AH308-'check-Jul25'!AH308)</f>
        <v/>
      </c>
      <c r="AI308" t="str">
        <f>IF('1. Live'!AI308='check-Jul25'!AI308,"",'1. Live'!AI308-'check-Jul25'!AI308)</f>
        <v/>
      </c>
      <c r="AJ308" t="str">
        <f>IF('1. Live'!AJ308='check-Jul25'!AJ308,"",'1. Live'!AJ308-'check-Jul25'!AJ308)</f>
        <v/>
      </c>
      <c r="AK308" t="str">
        <f>IF('1. Live'!AK308='check-Jul25'!AK308,"",'1. Live'!AK308-'check-Jul25'!AK308)</f>
        <v/>
      </c>
      <c r="AL308" t="str">
        <f>IF('1. Live'!AL308='check-Jul25'!AL308,"",'1. Live'!AL308-'check-Jul25'!AL308)</f>
        <v/>
      </c>
      <c r="AM308" t="str">
        <f>IF('1. Live'!AM308='check-Jul25'!AM308,"",'1. Live'!AM308-'check-Jul25'!AM308)</f>
        <v/>
      </c>
      <c r="AN308" t="str">
        <f>IF('1. Live'!AN308='check-Jul25'!AN308,"",'1. Live'!AN308-'check-Jul25'!AN308)</f>
        <v/>
      </c>
      <c r="AO308" t="str">
        <f>IF('1. Live'!AO308='check-Jul25'!AO308,"",'1. Live'!AO308-'check-Jul25'!AO308)</f>
        <v/>
      </c>
      <c r="AP308" t="str">
        <f>IF('1. Live'!AP308='check-Jul25'!AP308,"",'1. Live'!AP308-'check-Jul25'!AP308)</f>
        <v/>
      </c>
      <c r="AQ308" t="str">
        <f>IF('1. Live'!AQ308='check-Jul25'!AQ308,"",'1. Live'!AQ308-'check-Jul25'!AQ308)</f>
        <v/>
      </c>
      <c r="AR308" t="str">
        <f>IF('1. Live'!AR308='check-Jul25'!AR308,"",'1. Live'!AR308-'check-Jul25'!AR308)</f>
        <v/>
      </c>
      <c r="AS308" t="str">
        <f>IF('1. Live'!AS308='check-Jul25'!AS308,"",'1. Live'!AS308-'check-Jul25'!AS308)</f>
        <v/>
      </c>
      <c r="AT308" t="str">
        <f>IF('1. Live'!AT308='check-Jul25'!AT308,"",'1. Live'!AT308-'check-Jul25'!AT308)</f>
        <v/>
      </c>
      <c r="AU308" t="str">
        <f>IF('1. Live'!AU308='check-Jul25'!AU308,"",'1. Live'!AU308-'check-Jul25'!AU308)</f>
        <v/>
      </c>
      <c r="AV308" t="str">
        <f>IF('1. Live'!AV308='check-Jul25'!AV308,"",'1. Live'!AV308-'check-Jul25'!AV308)</f>
        <v/>
      </c>
      <c r="AW308" t="str">
        <f>IF('1. Live'!AW308='check-Jul25'!AW308,"",'1. Live'!AW308-'check-Jul25'!AW308)</f>
        <v/>
      </c>
      <c r="AX308" t="str">
        <f>IF('1. Live'!AX308='check-Jul25'!AX308,"",'1. Live'!AX308-'check-Jul25'!AX308)</f>
        <v/>
      </c>
      <c r="AY308" t="str">
        <f>IF('1. Live'!AY308='check-Jul25'!AY308,"",'1. Live'!AY308-'check-Jul25'!AY308)</f>
        <v/>
      </c>
      <c r="AZ308" t="str">
        <f>IF('1. Live'!AZ308='check-Jul25'!AZ308,"",'1. Live'!AZ308-'check-Jul25'!AZ308)</f>
        <v/>
      </c>
      <c r="BA308" t="str">
        <f>IF('1. Live'!BA308='check-Jul25'!BA308,"",'1. Live'!BA308-'check-Jul25'!BA308)</f>
        <v/>
      </c>
      <c r="BB308" t="str">
        <f>IF('1. Live'!BB308='check-Jul25'!BB308,"",'1. Live'!BB308-'check-Jul25'!BB308)</f>
        <v/>
      </c>
      <c r="BC308" t="str">
        <f>IF('1. Live'!BC308='check-Jul25'!BC308,"",'1. Live'!BC308-'check-Jul25'!BC308)</f>
        <v/>
      </c>
      <c r="BD308" t="str">
        <f>IF('1. Live'!BD308='check-Jul25'!BD308,"",'1. Live'!BD308-'check-Jul25'!BD308)</f>
        <v/>
      </c>
      <c r="BE308" t="str">
        <f>IF('1. Live'!BE308='check-Jul25'!BE308,"",'1. Live'!BE308-'check-Jul25'!BE308)</f>
        <v/>
      </c>
      <c r="BF308" t="str">
        <f>IF('1. Live'!BF308='check-Jul25'!BF308,"",'1. Live'!BF308-'check-Jul25'!BF308)</f>
        <v/>
      </c>
      <c r="BG308" t="str">
        <f>IF('1. Live'!BG308='check-Jul25'!BG308,"",'1. Live'!BG308-'check-Jul25'!BG308)</f>
        <v/>
      </c>
      <c r="BH308" t="str">
        <f>IF('1. Live'!BH308='check-Jul25'!BH308,"",'1. Live'!BH308-'check-Jul25'!BH308)</f>
        <v/>
      </c>
      <c r="BI308" t="str">
        <f>IF('1. Live'!BI308='check-Jul25'!BI308,"",'1. Live'!BI308-'check-Jul25'!BI308)</f>
        <v/>
      </c>
      <c r="BJ308" t="str">
        <f>IF('1. Live'!BJ308='check-Jul25'!BJ308,"",'1. Live'!BJ308-'check-Jul25'!BJ308)</f>
        <v/>
      </c>
      <c r="BK308" t="str">
        <f>IF('1. Live'!BK308='check-Jul25'!BK308,"",'1. Live'!BK308-'check-Jul25'!BK308)</f>
        <v/>
      </c>
      <c r="BL308" t="str">
        <f>IF('1. Live'!BL308='check-Jul25'!BL308,"",'1. Live'!BL308-'check-Jul25'!BL308)</f>
        <v/>
      </c>
      <c r="BM308" t="str">
        <f>IF('1. Live'!BM308='check-Jul25'!BM308,"",'1. Live'!BM308-'check-Jul25'!BM308)</f>
        <v/>
      </c>
      <c r="BN308" t="str">
        <f>IF('1. Live'!BN308='check-Jul25'!BN308,"",'1. Live'!BN308-'check-Jul25'!BN308)</f>
        <v/>
      </c>
      <c r="BO308" t="str">
        <f>IF('1. Live'!BO308='check-Jul25'!BO308,"",'1. Live'!BO308-'check-Jul25'!BO308)</f>
        <v/>
      </c>
      <c r="BP308" t="str">
        <f>IF('1. Live'!BP308='check-Jul25'!BP308,"",'1. Live'!BP308-'check-Jul25'!BP308)</f>
        <v/>
      </c>
      <c r="BQ308" t="str">
        <f>IF('1. Live'!BQ308='check-Jul25'!BQ308,"",'1. Live'!BQ308-'check-Jul25'!BQ308)</f>
        <v/>
      </c>
      <c r="BR308" t="str">
        <f>IF('1. Live'!BR308='check-Jul25'!BR308,"",'1. Live'!BR308-'check-Jul25'!BR308)</f>
        <v/>
      </c>
      <c r="BS308" t="str">
        <f>IF('1. Live'!BS308='check-Jul25'!BS308,"",'1. Live'!BS308-'check-Jul25'!BS308)</f>
        <v/>
      </c>
      <c r="BT308" t="str">
        <f>IF('1. Live'!BT308='check-Jul25'!BT308,"",'1. Live'!BT308-'check-Jul25'!BT308)</f>
        <v/>
      </c>
      <c r="BU308" t="str">
        <f>IF('1. Live'!BU308='check-Jul25'!BU308,"",'1. Live'!BU308-'check-Jul25'!BU308)</f>
        <v/>
      </c>
      <c r="BV308" t="str">
        <f>IF('1. Live'!BV308='check-Jul25'!BV308,"",'1. Live'!BV308-'check-Jul25'!BV308)</f>
        <v/>
      </c>
      <c r="BW308" t="str">
        <f>IF('1. Live'!BW308='check-Jul25'!BW308,"",'1. Live'!BW308-'check-Jul25'!BW308)</f>
        <v/>
      </c>
      <c r="BX308" t="str">
        <f>IF('1. Live'!BX308='check-Jul25'!BX308,"",'1. Live'!BX308-'check-Jul25'!BX308)</f>
        <v/>
      </c>
      <c r="BY308" t="str">
        <f>IF('1. Live'!BY308='check-Jul25'!BY308,"",'1. Live'!BY308-'check-Jul25'!BY308)</f>
        <v/>
      </c>
      <c r="BZ308" t="str">
        <f>IF('1. Live'!BZ308='check-Jul25'!BZ308,"",'1. Live'!BZ308-'check-Jul25'!BZ308)</f>
        <v/>
      </c>
      <c r="CA308" t="str">
        <f>IF('1. Live'!CA308='check-Jul25'!CA308,"",'1. Live'!CA308-'check-Jul25'!CA308)</f>
        <v/>
      </c>
      <c r="CB308" t="str">
        <f>IF('1. Live'!CB308='check-Jul25'!CB308,"",'1. Live'!CB308-'check-Jul25'!CB308)</f>
        <v/>
      </c>
      <c r="CC308" t="str">
        <f>IF('1. Live'!CC308='check-Jul25'!CC308,"",'1. Live'!CC308-'check-Jul25'!CC308)</f>
        <v/>
      </c>
      <c r="CD308" t="str">
        <f>IF('1. Live'!CD308='check-Jul25'!CD308,"",'1. Live'!CD308-'check-Jul25'!CD308)</f>
        <v/>
      </c>
      <c r="CE308" t="str">
        <f>IF('1. Live'!CE308='check-Jul25'!CE308,"",'1. Live'!CE308-'check-Jul25'!CE308)</f>
        <v/>
      </c>
      <c r="CF308" t="str">
        <f>IF('1. Live'!CF308='check-Jul25'!CF308,"",'1. Live'!CF308-'check-Jul25'!CF308)</f>
        <v/>
      </c>
      <c r="CG308" t="str">
        <f>IF('1. Live'!CG308='check-Jul25'!CG308,"",'1. Live'!CG308-'check-Jul25'!CG308)</f>
        <v/>
      </c>
      <c r="CH308" t="str">
        <f>IF('1. Live'!CH308='check-Jul25'!CH308,"",'1. Live'!CH308-'check-Jul25'!CH308)</f>
        <v/>
      </c>
      <c r="CI308" t="str">
        <f>IF('1. Live'!CI308='check-Jul25'!CI308,"",'1. Live'!CI308-'check-Jul25'!CI308)</f>
        <v/>
      </c>
      <c r="CJ308" t="str">
        <f>IF('1. Live'!CJ308='check-Jul25'!CJ308,"",'1. Live'!CJ308-'check-Jul25'!CJ308)</f>
        <v/>
      </c>
      <c r="CK308" t="str">
        <f>IF('1. Live'!CK308='check-Jul25'!CK308,"",'1. Live'!CK308-'check-Jul25'!CK308)</f>
        <v/>
      </c>
      <c r="CL308" t="str">
        <f>IF('1. Live'!CL308='check-Jul25'!CL308,"",'1. Live'!CL308-'check-Jul25'!CL308)</f>
        <v/>
      </c>
      <c r="CM308" t="str">
        <f>IF('1. Live'!CM308='check-Jul25'!CM308,"",'1. Live'!CM308-'check-Jul25'!CM308)</f>
        <v/>
      </c>
      <c r="CN308" t="str">
        <f>IF('1. Live'!CN308='check-Jul25'!CN308,"",'1. Live'!CN308-'check-Jul25'!CN308)</f>
        <v/>
      </c>
      <c r="CO308" t="str">
        <f>IF('1. Live'!CO308='check-Jul25'!CO308,"",'1. Live'!CO308-'check-Jul25'!CO308)</f>
        <v/>
      </c>
      <c r="CP308" t="str">
        <f>IF('1. Live'!CP308='check-Jul25'!CP308,"",'1. Live'!CP308-'check-Jul25'!CP308)</f>
        <v/>
      </c>
      <c r="CQ308" t="str">
        <f>IF('1. Live'!CQ308='check-Jul25'!CQ308,"",'1. Live'!CQ308-'check-Jul25'!CQ308)</f>
        <v/>
      </c>
      <c r="CR308" t="str">
        <f>IF('1. Live'!CR308='check-Jul25'!CR308,"",'1. Live'!CR308-'check-Jul25'!CR308)</f>
        <v/>
      </c>
      <c r="CS308" t="str">
        <f>IF('1. Live'!CS308='check-Jul25'!CS308,"",'1. Live'!CS308-'check-Jul25'!CS308)</f>
        <v/>
      </c>
      <c r="CT308" t="str">
        <f>IF('1. Live'!CT308='check-Jul25'!CT308,"",'1. Live'!CT308-'check-Jul25'!CT308)</f>
        <v/>
      </c>
      <c r="CU308" t="str">
        <f>IF('1. Live'!CU308='check-Jul25'!CU308,"",'1. Live'!CU308-'check-Jul25'!CU308)</f>
        <v/>
      </c>
      <c r="CV308" t="str">
        <f>IF('1. Live'!CV308='check-Jul25'!CV308,"",'1. Live'!CV308-'check-Jul25'!CV308)</f>
        <v/>
      </c>
      <c r="CW308" t="str">
        <f>IF('1. Live'!CW308='check-Jul25'!CW308,"",'1. Live'!CW308-'check-Jul25'!CW308)</f>
        <v/>
      </c>
    </row>
    <row r="309" spans="10:101">
      <c r="J309" t="str">
        <f>IF('1. Live'!J309='check-Jul25'!J309,"",'1. Live'!J309-'check-Jul25'!J309)</f>
        <v/>
      </c>
      <c r="K309" t="str">
        <f>IF('1. Live'!K309='check-Jul25'!K309,"",'1. Live'!K309-'check-Jul25'!K309)</f>
        <v/>
      </c>
      <c r="L309" t="str">
        <f>IF('1. Live'!L309='check-Jul25'!L309,"",'1. Live'!L309-'check-Jul25'!L309)</f>
        <v/>
      </c>
      <c r="M309" t="str">
        <f>IF('1. Live'!M309='check-Jul25'!M309,"",'1. Live'!M309-'check-Jul25'!M309)</f>
        <v/>
      </c>
      <c r="N309" t="str">
        <f>IF('1. Live'!N309='check-Jul25'!N309,"",'1. Live'!N309-'check-Jul25'!N309)</f>
        <v/>
      </c>
      <c r="O309" t="str">
        <f>IF('1. Live'!O309='check-Jul25'!O309,"",'1. Live'!O309-'check-Jul25'!O309)</f>
        <v/>
      </c>
      <c r="P309" t="str">
        <f>IF('1. Live'!P309='check-Jul25'!P309,"",'1. Live'!P309-'check-Jul25'!P309)</f>
        <v/>
      </c>
      <c r="Q309" t="str">
        <f>IF('1. Live'!Q309='check-Jul25'!Q309,"",'1. Live'!Q309-'check-Jul25'!Q309)</f>
        <v/>
      </c>
      <c r="R309" t="str">
        <f>IF('1. Live'!R309='check-Jul25'!R309,"",'1. Live'!R309-'check-Jul25'!R309)</f>
        <v/>
      </c>
      <c r="S309" t="str">
        <f>IF('1. Live'!S309='check-Jul25'!S309,"",'1. Live'!S309-'check-Jul25'!S309)</f>
        <v/>
      </c>
      <c r="T309" t="str">
        <f>IF('1. Live'!T309='check-Jul25'!T309,"",'1. Live'!T309-'check-Jul25'!T309)</f>
        <v/>
      </c>
      <c r="U309" t="str">
        <f>IF('1. Live'!U309='check-Jul25'!U309,"",'1. Live'!U309-'check-Jul25'!U309)</f>
        <v/>
      </c>
      <c r="V309" t="str">
        <f>IF('1. Live'!V309='check-Jul25'!V309,"",'1. Live'!V309-'check-Jul25'!V309)</f>
        <v/>
      </c>
      <c r="W309" t="str">
        <f>IF('1. Live'!W309='check-Jul25'!W309,"",'1. Live'!W309-'check-Jul25'!W309)</f>
        <v/>
      </c>
      <c r="X309" t="str">
        <f>IF('1. Live'!X309='check-Jul25'!X309,"",'1. Live'!X309-'check-Jul25'!X309)</f>
        <v/>
      </c>
      <c r="Y309" t="str">
        <f>IF('1. Live'!Y309='check-Jul25'!Y309,"",'1. Live'!Y309-'check-Jul25'!Y309)</f>
        <v/>
      </c>
      <c r="Z309" t="str">
        <f>IF('1. Live'!Z309='check-Jul25'!Z309,"",'1. Live'!Z309-'check-Jul25'!Z309)</f>
        <v/>
      </c>
      <c r="AA309" t="str">
        <f>IF('1. Live'!AA309='check-Jul25'!AA309,"",'1. Live'!AA309-'check-Jul25'!AA309)</f>
        <v/>
      </c>
      <c r="AB309" t="str">
        <f>IF('1. Live'!AB309='check-Jul25'!AB309,"",'1. Live'!AB309-'check-Jul25'!AB309)</f>
        <v/>
      </c>
      <c r="AC309" t="str">
        <f>IF('1. Live'!AC309='check-Jul25'!AC309,"",'1. Live'!AC309-'check-Jul25'!AC309)</f>
        <v/>
      </c>
      <c r="AD309" t="str">
        <f>IF('1. Live'!AD309='check-Jul25'!AD309,"",'1. Live'!AD309-'check-Jul25'!AD309)</f>
        <v/>
      </c>
      <c r="AE309" t="str">
        <f>IF('1. Live'!AE309='check-Jul25'!AE309,"",'1. Live'!AE309-'check-Jul25'!AE309)</f>
        <v/>
      </c>
      <c r="AF309" t="str">
        <f>IF('1. Live'!AF309='check-Jul25'!AF309,"",'1. Live'!AF309-'check-Jul25'!AF309)</f>
        <v/>
      </c>
      <c r="AG309" t="str">
        <f>IF('1. Live'!AG309='check-Jul25'!AG309,"",'1. Live'!AG309-'check-Jul25'!AG309)</f>
        <v/>
      </c>
      <c r="AH309" t="str">
        <f>IF('1. Live'!AH309='check-Jul25'!AH309,"",'1. Live'!AH309-'check-Jul25'!AH309)</f>
        <v/>
      </c>
      <c r="AI309" t="str">
        <f>IF('1. Live'!AI309='check-Jul25'!AI309,"",'1. Live'!AI309-'check-Jul25'!AI309)</f>
        <v/>
      </c>
      <c r="AJ309" t="str">
        <f>IF('1. Live'!AJ309='check-Jul25'!AJ309,"",'1. Live'!AJ309-'check-Jul25'!AJ309)</f>
        <v/>
      </c>
      <c r="AK309" t="str">
        <f>IF('1. Live'!AK309='check-Jul25'!AK309,"",'1. Live'!AK309-'check-Jul25'!AK309)</f>
        <v/>
      </c>
      <c r="AL309" t="str">
        <f>IF('1. Live'!AL309='check-Jul25'!AL309,"",'1. Live'!AL309-'check-Jul25'!AL309)</f>
        <v/>
      </c>
      <c r="AM309" t="str">
        <f>IF('1. Live'!AM309='check-Jul25'!AM309,"",'1. Live'!AM309-'check-Jul25'!AM309)</f>
        <v/>
      </c>
      <c r="AN309" t="str">
        <f>IF('1. Live'!AN309='check-Jul25'!AN309,"",'1. Live'!AN309-'check-Jul25'!AN309)</f>
        <v/>
      </c>
      <c r="AO309" t="str">
        <f>IF('1. Live'!AO309='check-Jul25'!AO309,"",'1. Live'!AO309-'check-Jul25'!AO309)</f>
        <v/>
      </c>
      <c r="AP309" t="str">
        <f>IF('1. Live'!AP309='check-Jul25'!AP309,"",'1. Live'!AP309-'check-Jul25'!AP309)</f>
        <v/>
      </c>
      <c r="AQ309" t="str">
        <f>IF('1. Live'!AQ309='check-Jul25'!AQ309,"",'1. Live'!AQ309-'check-Jul25'!AQ309)</f>
        <v/>
      </c>
      <c r="AR309" t="str">
        <f>IF('1. Live'!AR309='check-Jul25'!AR309,"",'1. Live'!AR309-'check-Jul25'!AR309)</f>
        <v/>
      </c>
      <c r="AS309" t="str">
        <f>IF('1. Live'!AS309='check-Jul25'!AS309,"",'1. Live'!AS309-'check-Jul25'!AS309)</f>
        <v/>
      </c>
      <c r="AT309" t="str">
        <f>IF('1. Live'!AT309='check-Jul25'!AT309,"",'1. Live'!AT309-'check-Jul25'!AT309)</f>
        <v/>
      </c>
      <c r="AU309" t="str">
        <f>IF('1. Live'!AU309='check-Jul25'!AU309,"",'1. Live'!AU309-'check-Jul25'!AU309)</f>
        <v/>
      </c>
      <c r="AV309" t="str">
        <f>IF('1. Live'!AV309='check-Jul25'!AV309,"",'1. Live'!AV309-'check-Jul25'!AV309)</f>
        <v/>
      </c>
      <c r="AW309" t="str">
        <f>IF('1. Live'!AW309='check-Jul25'!AW309,"",'1. Live'!AW309-'check-Jul25'!AW309)</f>
        <v/>
      </c>
      <c r="AX309" t="str">
        <f>IF('1. Live'!AX309='check-Jul25'!AX309,"",'1. Live'!AX309-'check-Jul25'!AX309)</f>
        <v/>
      </c>
      <c r="AY309" t="str">
        <f>IF('1. Live'!AY309='check-Jul25'!AY309,"",'1. Live'!AY309-'check-Jul25'!AY309)</f>
        <v/>
      </c>
      <c r="AZ309" t="str">
        <f>IF('1. Live'!AZ309='check-Jul25'!AZ309,"",'1. Live'!AZ309-'check-Jul25'!AZ309)</f>
        <v/>
      </c>
      <c r="BA309" t="str">
        <f>IF('1. Live'!BA309='check-Jul25'!BA309,"",'1. Live'!BA309-'check-Jul25'!BA309)</f>
        <v/>
      </c>
      <c r="BB309" t="str">
        <f>IF('1. Live'!BB309='check-Jul25'!BB309,"",'1. Live'!BB309-'check-Jul25'!BB309)</f>
        <v/>
      </c>
      <c r="BC309" t="str">
        <f>IF('1. Live'!BC309='check-Jul25'!BC309,"",'1. Live'!BC309-'check-Jul25'!BC309)</f>
        <v/>
      </c>
      <c r="BD309" t="str">
        <f>IF('1. Live'!BD309='check-Jul25'!BD309,"",'1. Live'!BD309-'check-Jul25'!BD309)</f>
        <v/>
      </c>
      <c r="BE309" t="str">
        <f>IF('1. Live'!BE309='check-Jul25'!BE309,"",'1. Live'!BE309-'check-Jul25'!BE309)</f>
        <v/>
      </c>
      <c r="BF309" t="str">
        <f>IF('1. Live'!BF309='check-Jul25'!BF309,"",'1. Live'!BF309-'check-Jul25'!BF309)</f>
        <v/>
      </c>
      <c r="BG309" t="str">
        <f>IF('1. Live'!BG309='check-Jul25'!BG309,"",'1. Live'!BG309-'check-Jul25'!BG309)</f>
        <v/>
      </c>
      <c r="BH309" t="str">
        <f>IF('1. Live'!BH309='check-Jul25'!BH309,"",'1. Live'!BH309-'check-Jul25'!BH309)</f>
        <v/>
      </c>
      <c r="BI309" t="str">
        <f>IF('1. Live'!BI309='check-Jul25'!BI309,"",'1. Live'!BI309-'check-Jul25'!BI309)</f>
        <v/>
      </c>
      <c r="BJ309" t="str">
        <f>IF('1. Live'!BJ309='check-Jul25'!BJ309,"",'1. Live'!BJ309-'check-Jul25'!BJ309)</f>
        <v/>
      </c>
      <c r="BK309" t="str">
        <f>IF('1. Live'!BK309='check-Jul25'!BK309,"",'1. Live'!BK309-'check-Jul25'!BK309)</f>
        <v/>
      </c>
      <c r="BL309" t="str">
        <f>IF('1. Live'!BL309='check-Jul25'!BL309,"",'1. Live'!BL309-'check-Jul25'!BL309)</f>
        <v/>
      </c>
      <c r="BM309" t="str">
        <f>IF('1. Live'!BM309='check-Jul25'!BM309,"",'1. Live'!BM309-'check-Jul25'!BM309)</f>
        <v/>
      </c>
      <c r="BN309" t="str">
        <f>IF('1. Live'!BN309='check-Jul25'!BN309,"",'1. Live'!BN309-'check-Jul25'!BN309)</f>
        <v/>
      </c>
      <c r="BO309" t="str">
        <f>IF('1. Live'!BO309='check-Jul25'!BO309,"",'1. Live'!BO309-'check-Jul25'!BO309)</f>
        <v/>
      </c>
      <c r="BP309" t="str">
        <f>IF('1. Live'!BP309='check-Jul25'!BP309,"",'1. Live'!BP309-'check-Jul25'!BP309)</f>
        <v/>
      </c>
      <c r="BQ309" t="str">
        <f>IF('1. Live'!BQ309='check-Jul25'!BQ309,"",'1. Live'!BQ309-'check-Jul25'!BQ309)</f>
        <v/>
      </c>
      <c r="BR309" t="str">
        <f>IF('1. Live'!BR309='check-Jul25'!BR309,"",'1. Live'!BR309-'check-Jul25'!BR309)</f>
        <v/>
      </c>
      <c r="BS309" t="str">
        <f>IF('1. Live'!BS309='check-Jul25'!BS309,"",'1. Live'!BS309-'check-Jul25'!BS309)</f>
        <v/>
      </c>
      <c r="BT309" t="str">
        <f>IF('1. Live'!BT309='check-Jul25'!BT309,"",'1. Live'!BT309-'check-Jul25'!BT309)</f>
        <v/>
      </c>
      <c r="BU309" t="str">
        <f>IF('1. Live'!BU309='check-Jul25'!BU309,"",'1. Live'!BU309-'check-Jul25'!BU309)</f>
        <v/>
      </c>
      <c r="BV309" t="str">
        <f>IF('1. Live'!BV309='check-Jul25'!BV309,"",'1. Live'!BV309-'check-Jul25'!BV309)</f>
        <v/>
      </c>
      <c r="BW309" t="str">
        <f>IF('1. Live'!BW309='check-Jul25'!BW309,"",'1. Live'!BW309-'check-Jul25'!BW309)</f>
        <v/>
      </c>
      <c r="BX309" t="str">
        <f>IF('1. Live'!BX309='check-Jul25'!BX309,"",'1. Live'!BX309-'check-Jul25'!BX309)</f>
        <v/>
      </c>
      <c r="BY309" t="str">
        <f>IF('1. Live'!BY309='check-Jul25'!BY309,"",'1. Live'!BY309-'check-Jul25'!BY309)</f>
        <v/>
      </c>
      <c r="BZ309" t="str">
        <f>IF('1. Live'!BZ309='check-Jul25'!BZ309,"",'1. Live'!BZ309-'check-Jul25'!BZ309)</f>
        <v/>
      </c>
      <c r="CA309" t="str">
        <f>IF('1. Live'!CA309='check-Jul25'!CA309,"",'1. Live'!CA309-'check-Jul25'!CA309)</f>
        <v/>
      </c>
      <c r="CB309" t="str">
        <f>IF('1. Live'!CB309='check-Jul25'!CB309,"",'1. Live'!CB309-'check-Jul25'!CB309)</f>
        <v/>
      </c>
      <c r="CC309" t="str">
        <f>IF('1. Live'!CC309='check-Jul25'!CC309,"",'1. Live'!CC309-'check-Jul25'!CC309)</f>
        <v/>
      </c>
      <c r="CD309" t="str">
        <f>IF('1. Live'!CD309='check-Jul25'!CD309,"",'1. Live'!CD309-'check-Jul25'!CD309)</f>
        <v/>
      </c>
      <c r="CE309" t="str">
        <f>IF('1. Live'!CE309='check-Jul25'!CE309,"",'1. Live'!CE309-'check-Jul25'!CE309)</f>
        <v/>
      </c>
      <c r="CF309" t="str">
        <f>IF('1. Live'!CF309='check-Jul25'!CF309,"",'1. Live'!CF309-'check-Jul25'!CF309)</f>
        <v/>
      </c>
      <c r="CG309" t="str">
        <f>IF('1. Live'!CG309='check-Jul25'!CG309,"",'1. Live'!CG309-'check-Jul25'!CG309)</f>
        <v/>
      </c>
      <c r="CH309" t="str">
        <f>IF('1. Live'!CH309='check-Jul25'!CH309,"",'1. Live'!CH309-'check-Jul25'!CH309)</f>
        <v/>
      </c>
      <c r="CI309" t="str">
        <f>IF('1. Live'!CI309='check-Jul25'!CI309,"",'1. Live'!CI309-'check-Jul25'!CI309)</f>
        <v/>
      </c>
      <c r="CJ309" t="str">
        <f>IF('1. Live'!CJ309='check-Jul25'!CJ309,"",'1. Live'!CJ309-'check-Jul25'!CJ309)</f>
        <v/>
      </c>
      <c r="CK309" t="str">
        <f>IF('1. Live'!CK309='check-Jul25'!CK309,"",'1. Live'!CK309-'check-Jul25'!CK309)</f>
        <v/>
      </c>
      <c r="CL309" t="str">
        <f>IF('1. Live'!CL309='check-Jul25'!CL309,"",'1. Live'!CL309-'check-Jul25'!CL309)</f>
        <v/>
      </c>
      <c r="CM309" t="str">
        <f>IF('1. Live'!CM309='check-Jul25'!CM309,"",'1. Live'!CM309-'check-Jul25'!CM309)</f>
        <v/>
      </c>
      <c r="CN309" t="str">
        <f>IF('1. Live'!CN309='check-Jul25'!CN309,"",'1. Live'!CN309-'check-Jul25'!CN309)</f>
        <v/>
      </c>
      <c r="CO309" t="str">
        <f>IF('1. Live'!CO309='check-Jul25'!CO309,"",'1. Live'!CO309-'check-Jul25'!CO309)</f>
        <v/>
      </c>
      <c r="CP309" t="str">
        <f>IF('1. Live'!CP309='check-Jul25'!CP309,"",'1. Live'!CP309-'check-Jul25'!CP309)</f>
        <v/>
      </c>
      <c r="CQ309" t="str">
        <f>IF('1. Live'!CQ309='check-Jul25'!CQ309,"",'1. Live'!CQ309-'check-Jul25'!CQ309)</f>
        <v/>
      </c>
      <c r="CR309" t="str">
        <f>IF('1. Live'!CR309='check-Jul25'!CR309,"",'1. Live'!CR309-'check-Jul25'!CR309)</f>
        <v/>
      </c>
      <c r="CS309" t="str">
        <f>IF('1. Live'!CS309='check-Jul25'!CS309,"",'1. Live'!CS309-'check-Jul25'!CS309)</f>
        <v/>
      </c>
      <c r="CT309" t="str">
        <f>IF('1. Live'!CT309='check-Jul25'!CT309,"",'1. Live'!CT309-'check-Jul25'!CT309)</f>
        <v/>
      </c>
      <c r="CU309" t="str">
        <f>IF('1. Live'!CU309='check-Jul25'!CU309,"",'1. Live'!CU309-'check-Jul25'!CU309)</f>
        <v/>
      </c>
      <c r="CV309" t="str">
        <f>IF('1. Live'!CV309='check-Jul25'!CV309,"",'1. Live'!CV309-'check-Jul25'!CV309)</f>
        <v/>
      </c>
      <c r="CW309" t="str">
        <f>IF('1. Live'!CW309='check-Jul25'!CW309,"",'1. Live'!CW309-'check-Jul25'!CW309)</f>
        <v/>
      </c>
    </row>
    <row r="310" spans="10:101">
      <c r="J310" t="str">
        <f>IF('1. Live'!J310='check-Jul25'!J310,"",'1. Live'!J310-'check-Jul25'!J310)</f>
        <v/>
      </c>
      <c r="K310" t="str">
        <f>IF('1. Live'!K310='check-Jul25'!K310,"",'1. Live'!K310-'check-Jul25'!K310)</f>
        <v/>
      </c>
      <c r="L310" t="str">
        <f>IF('1. Live'!L310='check-Jul25'!L310,"",'1. Live'!L310-'check-Jul25'!L310)</f>
        <v/>
      </c>
      <c r="M310" t="str">
        <f>IF('1. Live'!M310='check-Jul25'!M310,"",'1. Live'!M310-'check-Jul25'!M310)</f>
        <v/>
      </c>
      <c r="N310" t="str">
        <f>IF('1. Live'!N310='check-Jul25'!N310,"",'1. Live'!N310-'check-Jul25'!N310)</f>
        <v/>
      </c>
      <c r="O310" t="str">
        <f>IF('1. Live'!O310='check-Jul25'!O310,"",'1. Live'!O310-'check-Jul25'!O310)</f>
        <v/>
      </c>
      <c r="P310" t="str">
        <f>IF('1. Live'!P310='check-Jul25'!P310,"",'1. Live'!P310-'check-Jul25'!P310)</f>
        <v/>
      </c>
      <c r="Q310" t="str">
        <f>IF('1. Live'!Q310='check-Jul25'!Q310,"",'1. Live'!Q310-'check-Jul25'!Q310)</f>
        <v/>
      </c>
      <c r="R310" t="str">
        <f>IF('1. Live'!R310='check-Jul25'!R310,"",'1. Live'!R310-'check-Jul25'!R310)</f>
        <v/>
      </c>
      <c r="S310" t="str">
        <f>IF('1. Live'!S310='check-Jul25'!S310,"",'1. Live'!S310-'check-Jul25'!S310)</f>
        <v/>
      </c>
      <c r="T310" t="str">
        <f>IF('1. Live'!T310='check-Jul25'!T310,"",'1. Live'!T310-'check-Jul25'!T310)</f>
        <v/>
      </c>
      <c r="U310" t="str">
        <f>IF('1. Live'!U310='check-Jul25'!U310,"",'1. Live'!U310-'check-Jul25'!U310)</f>
        <v/>
      </c>
      <c r="V310" t="str">
        <f>IF('1. Live'!V310='check-Jul25'!V310,"",'1. Live'!V310-'check-Jul25'!V310)</f>
        <v/>
      </c>
      <c r="W310" t="str">
        <f>IF('1. Live'!W310='check-Jul25'!W310,"",'1. Live'!W310-'check-Jul25'!W310)</f>
        <v/>
      </c>
      <c r="X310" t="str">
        <f>IF('1. Live'!X310='check-Jul25'!X310,"",'1. Live'!X310-'check-Jul25'!X310)</f>
        <v/>
      </c>
      <c r="Y310" t="str">
        <f>IF('1. Live'!Y310='check-Jul25'!Y310,"",'1. Live'!Y310-'check-Jul25'!Y310)</f>
        <v/>
      </c>
      <c r="Z310" t="str">
        <f>IF('1. Live'!Z310='check-Jul25'!Z310,"",'1. Live'!Z310-'check-Jul25'!Z310)</f>
        <v/>
      </c>
      <c r="AA310" t="str">
        <f>IF('1. Live'!AA310='check-Jul25'!AA310,"",'1. Live'!AA310-'check-Jul25'!AA310)</f>
        <v/>
      </c>
      <c r="AB310" t="str">
        <f>IF('1. Live'!AB310='check-Jul25'!AB310,"",'1. Live'!AB310-'check-Jul25'!AB310)</f>
        <v/>
      </c>
      <c r="AC310" t="str">
        <f>IF('1. Live'!AC310='check-Jul25'!AC310,"",'1. Live'!AC310-'check-Jul25'!AC310)</f>
        <v/>
      </c>
      <c r="AD310" t="str">
        <f>IF('1. Live'!AD310='check-Jul25'!AD310,"",'1. Live'!AD310-'check-Jul25'!AD310)</f>
        <v/>
      </c>
      <c r="AE310" t="str">
        <f>IF('1. Live'!AE310='check-Jul25'!AE310,"",'1. Live'!AE310-'check-Jul25'!AE310)</f>
        <v/>
      </c>
      <c r="AF310" t="str">
        <f>IF('1. Live'!AF310='check-Jul25'!AF310,"",'1. Live'!AF310-'check-Jul25'!AF310)</f>
        <v/>
      </c>
      <c r="AG310" t="str">
        <f>IF('1. Live'!AG310='check-Jul25'!AG310,"",'1. Live'!AG310-'check-Jul25'!AG310)</f>
        <v/>
      </c>
      <c r="AH310" t="str">
        <f>IF('1. Live'!AH310='check-Jul25'!AH310,"",'1. Live'!AH310-'check-Jul25'!AH310)</f>
        <v/>
      </c>
      <c r="AI310" t="str">
        <f>IF('1. Live'!AI310='check-Jul25'!AI310,"",'1. Live'!AI310-'check-Jul25'!AI310)</f>
        <v/>
      </c>
      <c r="AJ310" t="str">
        <f>IF('1. Live'!AJ310='check-Jul25'!AJ310,"",'1. Live'!AJ310-'check-Jul25'!AJ310)</f>
        <v/>
      </c>
      <c r="AK310" t="str">
        <f>IF('1. Live'!AK310='check-Jul25'!AK310,"",'1. Live'!AK310-'check-Jul25'!AK310)</f>
        <v/>
      </c>
      <c r="AL310" t="str">
        <f>IF('1. Live'!AL310='check-Jul25'!AL310,"",'1. Live'!AL310-'check-Jul25'!AL310)</f>
        <v/>
      </c>
      <c r="AM310" t="str">
        <f>IF('1. Live'!AM310='check-Jul25'!AM310,"",'1. Live'!AM310-'check-Jul25'!AM310)</f>
        <v/>
      </c>
      <c r="AN310" t="str">
        <f>IF('1. Live'!AN310='check-Jul25'!AN310,"",'1. Live'!AN310-'check-Jul25'!AN310)</f>
        <v/>
      </c>
      <c r="AO310" t="str">
        <f>IF('1. Live'!AO310='check-Jul25'!AO310,"",'1. Live'!AO310-'check-Jul25'!AO310)</f>
        <v/>
      </c>
      <c r="AP310" t="str">
        <f>IF('1. Live'!AP310='check-Jul25'!AP310,"",'1. Live'!AP310-'check-Jul25'!AP310)</f>
        <v/>
      </c>
      <c r="AQ310" t="str">
        <f>IF('1. Live'!AQ310='check-Jul25'!AQ310,"",'1. Live'!AQ310-'check-Jul25'!AQ310)</f>
        <v/>
      </c>
      <c r="AR310" t="str">
        <f>IF('1. Live'!AR310='check-Jul25'!AR310,"",'1. Live'!AR310-'check-Jul25'!AR310)</f>
        <v/>
      </c>
      <c r="AS310" t="str">
        <f>IF('1. Live'!AS310='check-Jul25'!AS310,"",'1. Live'!AS310-'check-Jul25'!AS310)</f>
        <v/>
      </c>
      <c r="AT310" t="str">
        <f>IF('1. Live'!AT310='check-Jul25'!AT310,"",'1. Live'!AT310-'check-Jul25'!AT310)</f>
        <v/>
      </c>
      <c r="AU310" t="str">
        <f>IF('1. Live'!AU310='check-Jul25'!AU310,"",'1. Live'!AU310-'check-Jul25'!AU310)</f>
        <v/>
      </c>
      <c r="AV310" t="str">
        <f>IF('1. Live'!AV310='check-Jul25'!AV310,"",'1. Live'!AV310-'check-Jul25'!AV310)</f>
        <v/>
      </c>
      <c r="AW310" t="str">
        <f>IF('1. Live'!AW310='check-Jul25'!AW310,"",'1. Live'!AW310-'check-Jul25'!AW310)</f>
        <v/>
      </c>
      <c r="AX310" t="str">
        <f>IF('1. Live'!AX310='check-Jul25'!AX310,"",'1. Live'!AX310-'check-Jul25'!AX310)</f>
        <v/>
      </c>
      <c r="AY310" t="str">
        <f>IF('1. Live'!AY310='check-Jul25'!AY310,"",'1. Live'!AY310-'check-Jul25'!AY310)</f>
        <v/>
      </c>
      <c r="AZ310" t="str">
        <f>IF('1. Live'!AZ310='check-Jul25'!AZ310,"",'1. Live'!AZ310-'check-Jul25'!AZ310)</f>
        <v/>
      </c>
      <c r="BA310" t="str">
        <f>IF('1. Live'!BA310='check-Jul25'!BA310,"",'1. Live'!BA310-'check-Jul25'!BA310)</f>
        <v/>
      </c>
      <c r="BB310" t="str">
        <f>IF('1. Live'!BB310='check-Jul25'!BB310,"",'1. Live'!BB310-'check-Jul25'!BB310)</f>
        <v/>
      </c>
      <c r="BC310" t="str">
        <f>IF('1. Live'!BC310='check-Jul25'!BC310,"",'1. Live'!BC310-'check-Jul25'!BC310)</f>
        <v/>
      </c>
      <c r="BD310" t="str">
        <f>IF('1. Live'!BD310='check-Jul25'!BD310,"",'1. Live'!BD310-'check-Jul25'!BD310)</f>
        <v/>
      </c>
      <c r="BE310" t="str">
        <f>IF('1. Live'!BE310='check-Jul25'!BE310,"",'1. Live'!BE310-'check-Jul25'!BE310)</f>
        <v/>
      </c>
      <c r="BF310" t="str">
        <f>IF('1. Live'!BF310='check-Jul25'!BF310,"",'1. Live'!BF310-'check-Jul25'!BF310)</f>
        <v/>
      </c>
      <c r="BG310" t="str">
        <f>IF('1. Live'!BG310='check-Jul25'!BG310,"",'1. Live'!BG310-'check-Jul25'!BG310)</f>
        <v/>
      </c>
      <c r="BH310" t="str">
        <f>IF('1. Live'!BH310='check-Jul25'!BH310,"",'1. Live'!BH310-'check-Jul25'!BH310)</f>
        <v/>
      </c>
      <c r="BI310" t="str">
        <f>IF('1. Live'!BI310='check-Jul25'!BI310,"",'1. Live'!BI310-'check-Jul25'!BI310)</f>
        <v/>
      </c>
      <c r="BJ310" t="str">
        <f>IF('1. Live'!BJ310='check-Jul25'!BJ310,"",'1. Live'!BJ310-'check-Jul25'!BJ310)</f>
        <v/>
      </c>
      <c r="BK310" t="str">
        <f>IF('1. Live'!BK310='check-Jul25'!BK310,"",'1. Live'!BK310-'check-Jul25'!BK310)</f>
        <v/>
      </c>
      <c r="BL310" t="str">
        <f>IF('1. Live'!BL310='check-Jul25'!BL310,"",'1. Live'!BL310-'check-Jul25'!BL310)</f>
        <v/>
      </c>
      <c r="BM310" t="str">
        <f>IF('1. Live'!BM310='check-Jul25'!BM310,"",'1. Live'!BM310-'check-Jul25'!BM310)</f>
        <v/>
      </c>
      <c r="BN310" t="str">
        <f>IF('1. Live'!BN310='check-Jul25'!BN310,"",'1. Live'!BN310-'check-Jul25'!BN310)</f>
        <v/>
      </c>
      <c r="BO310" t="str">
        <f>IF('1. Live'!BO310='check-Jul25'!BO310,"",'1. Live'!BO310-'check-Jul25'!BO310)</f>
        <v/>
      </c>
      <c r="BP310" t="str">
        <f>IF('1. Live'!BP310='check-Jul25'!BP310,"",'1. Live'!BP310-'check-Jul25'!BP310)</f>
        <v/>
      </c>
      <c r="BQ310" t="str">
        <f>IF('1. Live'!BQ310='check-Jul25'!BQ310,"",'1. Live'!BQ310-'check-Jul25'!BQ310)</f>
        <v/>
      </c>
      <c r="BR310" t="str">
        <f>IF('1. Live'!BR310='check-Jul25'!BR310,"",'1. Live'!BR310-'check-Jul25'!BR310)</f>
        <v/>
      </c>
      <c r="BS310" t="str">
        <f>IF('1. Live'!BS310='check-Jul25'!BS310,"",'1. Live'!BS310-'check-Jul25'!BS310)</f>
        <v/>
      </c>
      <c r="BT310" t="str">
        <f>IF('1. Live'!BT310='check-Jul25'!BT310,"",'1. Live'!BT310-'check-Jul25'!BT310)</f>
        <v/>
      </c>
      <c r="BU310" t="str">
        <f>IF('1. Live'!BU310='check-Jul25'!BU310,"",'1. Live'!BU310-'check-Jul25'!BU310)</f>
        <v/>
      </c>
      <c r="BV310" t="str">
        <f>IF('1. Live'!BV310='check-Jul25'!BV310,"",'1. Live'!BV310-'check-Jul25'!BV310)</f>
        <v/>
      </c>
      <c r="BW310" t="str">
        <f>IF('1. Live'!BW310='check-Jul25'!BW310,"",'1. Live'!BW310-'check-Jul25'!BW310)</f>
        <v/>
      </c>
      <c r="BX310" t="str">
        <f>IF('1. Live'!BX310='check-Jul25'!BX310,"",'1. Live'!BX310-'check-Jul25'!BX310)</f>
        <v/>
      </c>
      <c r="BY310" t="str">
        <f>IF('1. Live'!BY310='check-Jul25'!BY310,"",'1. Live'!BY310-'check-Jul25'!BY310)</f>
        <v/>
      </c>
      <c r="BZ310" t="str">
        <f>IF('1. Live'!BZ310='check-Jul25'!BZ310,"",'1. Live'!BZ310-'check-Jul25'!BZ310)</f>
        <v/>
      </c>
      <c r="CA310" t="str">
        <f>IF('1. Live'!CA310='check-Jul25'!CA310,"",'1. Live'!CA310-'check-Jul25'!CA310)</f>
        <v/>
      </c>
      <c r="CB310" t="str">
        <f>IF('1. Live'!CB310='check-Jul25'!CB310,"",'1. Live'!CB310-'check-Jul25'!CB310)</f>
        <v/>
      </c>
      <c r="CC310" t="str">
        <f>IF('1. Live'!CC310='check-Jul25'!CC310,"",'1. Live'!CC310-'check-Jul25'!CC310)</f>
        <v/>
      </c>
      <c r="CD310" t="str">
        <f>IF('1. Live'!CD310='check-Jul25'!CD310,"",'1. Live'!CD310-'check-Jul25'!CD310)</f>
        <v/>
      </c>
      <c r="CE310" t="str">
        <f>IF('1. Live'!CE310='check-Jul25'!CE310,"",'1. Live'!CE310-'check-Jul25'!CE310)</f>
        <v/>
      </c>
      <c r="CF310" t="str">
        <f>IF('1. Live'!CF310='check-Jul25'!CF310,"",'1. Live'!CF310-'check-Jul25'!CF310)</f>
        <v/>
      </c>
      <c r="CG310" t="str">
        <f>IF('1. Live'!CG310='check-Jul25'!CG310,"",'1. Live'!CG310-'check-Jul25'!CG310)</f>
        <v/>
      </c>
      <c r="CH310" t="str">
        <f>IF('1. Live'!CH310='check-Jul25'!CH310,"",'1. Live'!CH310-'check-Jul25'!CH310)</f>
        <v/>
      </c>
      <c r="CI310" t="str">
        <f>IF('1. Live'!CI310='check-Jul25'!CI310,"",'1. Live'!CI310-'check-Jul25'!CI310)</f>
        <v/>
      </c>
      <c r="CJ310" t="str">
        <f>IF('1. Live'!CJ310='check-Jul25'!CJ310,"",'1. Live'!CJ310-'check-Jul25'!CJ310)</f>
        <v/>
      </c>
      <c r="CK310" t="str">
        <f>IF('1. Live'!CK310='check-Jul25'!CK310,"",'1. Live'!CK310-'check-Jul25'!CK310)</f>
        <v/>
      </c>
      <c r="CL310" t="str">
        <f>IF('1. Live'!CL310='check-Jul25'!CL310,"",'1. Live'!CL310-'check-Jul25'!CL310)</f>
        <v/>
      </c>
      <c r="CM310" t="str">
        <f>IF('1. Live'!CM310='check-Jul25'!CM310,"",'1. Live'!CM310-'check-Jul25'!CM310)</f>
        <v/>
      </c>
      <c r="CN310" t="str">
        <f>IF('1. Live'!CN310='check-Jul25'!CN310,"",'1. Live'!CN310-'check-Jul25'!CN310)</f>
        <v/>
      </c>
      <c r="CO310" t="str">
        <f>IF('1. Live'!CO310='check-Jul25'!CO310,"",'1. Live'!CO310-'check-Jul25'!CO310)</f>
        <v/>
      </c>
      <c r="CP310" t="str">
        <f>IF('1. Live'!CP310='check-Jul25'!CP310,"",'1. Live'!CP310-'check-Jul25'!CP310)</f>
        <v/>
      </c>
      <c r="CQ310" t="str">
        <f>IF('1. Live'!CQ310='check-Jul25'!CQ310,"",'1. Live'!CQ310-'check-Jul25'!CQ310)</f>
        <v/>
      </c>
      <c r="CR310" t="str">
        <f>IF('1. Live'!CR310='check-Jul25'!CR310,"",'1. Live'!CR310-'check-Jul25'!CR310)</f>
        <v/>
      </c>
      <c r="CS310" t="str">
        <f>IF('1. Live'!CS310='check-Jul25'!CS310,"",'1. Live'!CS310-'check-Jul25'!CS310)</f>
        <v/>
      </c>
      <c r="CT310" t="str">
        <f>IF('1. Live'!CT310='check-Jul25'!CT310,"",'1. Live'!CT310-'check-Jul25'!CT310)</f>
        <v/>
      </c>
      <c r="CU310" t="str">
        <f>IF('1. Live'!CU310='check-Jul25'!CU310,"",'1. Live'!CU310-'check-Jul25'!CU310)</f>
        <v/>
      </c>
      <c r="CV310" t="str">
        <f>IF('1. Live'!CV310='check-Jul25'!CV310,"",'1. Live'!CV310-'check-Jul25'!CV310)</f>
        <v/>
      </c>
      <c r="CW310" t="str">
        <f>IF('1. Live'!CW310='check-Jul25'!CW310,"",'1. Live'!CW310-'check-Jul25'!CW310)</f>
        <v/>
      </c>
    </row>
    <row r="311" spans="10:101">
      <c r="J311" t="str">
        <f>IF('1. Live'!J311='check-Jul25'!J311,"",'1. Live'!J311-'check-Jul25'!J311)</f>
        <v/>
      </c>
      <c r="K311" t="str">
        <f>IF('1. Live'!K311='check-Jul25'!K311,"",'1. Live'!K311-'check-Jul25'!K311)</f>
        <v/>
      </c>
      <c r="L311" t="str">
        <f>IF('1. Live'!L311='check-Jul25'!L311,"",'1. Live'!L311-'check-Jul25'!L311)</f>
        <v/>
      </c>
      <c r="M311" t="str">
        <f>IF('1. Live'!M311='check-Jul25'!M311,"",'1. Live'!M311-'check-Jul25'!M311)</f>
        <v/>
      </c>
      <c r="N311" t="str">
        <f>IF('1. Live'!N311='check-Jul25'!N311,"",'1. Live'!N311-'check-Jul25'!N311)</f>
        <v/>
      </c>
      <c r="O311" t="str">
        <f>IF('1. Live'!O311='check-Jul25'!O311,"",'1. Live'!O311-'check-Jul25'!O311)</f>
        <v/>
      </c>
      <c r="P311" t="str">
        <f>IF('1. Live'!P311='check-Jul25'!P311,"",'1. Live'!P311-'check-Jul25'!P311)</f>
        <v/>
      </c>
      <c r="Q311" t="str">
        <f>IF('1. Live'!Q311='check-Jul25'!Q311,"",'1. Live'!Q311-'check-Jul25'!Q311)</f>
        <v/>
      </c>
      <c r="R311" t="str">
        <f>IF('1. Live'!R311='check-Jul25'!R311,"",'1. Live'!R311-'check-Jul25'!R311)</f>
        <v/>
      </c>
      <c r="S311" t="str">
        <f>IF('1. Live'!S311='check-Jul25'!S311,"",'1. Live'!S311-'check-Jul25'!S311)</f>
        <v/>
      </c>
      <c r="T311" t="str">
        <f>IF('1. Live'!T311='check-Jul25'!T311,"",'1. Live'!T311-'check-Jul25'!T311)</f>
        <v/>
      </c>
      <c r="U311" t="str">
        <f>IF('1. Live'!U311='check-Jul25'!U311,"",'1. Live'!U311-'check-Jul25'!U311)</f>
        <v/>
      </c>
      <c r="V311" t="str">
        <f>IF('1. Live'!V311='check-Jul25'!V311,"",'1. Live'!V311-'check-Jul25'!V311)</f>
        <v/>
      </c>
      <c r="W311" t="str">
        <f>IF('1. Live'!W311='check-Jul25'!W311,"",'1. Live'!W311-'check-Jul25'!W311)</f>
        <v/>
      </c>
      <c r="X311" t="str">
        <f>IF('1. Live'!X311='check-Jul25'!X311,"",'1. Live'!X311-'check-Jul25'!X311)</f>
        <v/>
      </c>
      <c r="Y311" t="str">
        <f>IF('1. Live'!Y311='check-Jul25'!Y311,"",'1. Live'!Y311-'check-Jul25'!Y311)</f>
        <v/>
      </c>
      <c r="Z311" t="str">
        <f>IF('1. Live'!Z311='check-Jul25'!Z311,"",'1. Live'!Z311-'check-Jul25'!Z311)</f>
        <v/>
      </c>
      <c r="AA311" t="str">
        <f>IF('1. Live'!AA311='check-Jul25'!AA311,"",'1. Live'!AA311-'check-Jul25'!AA311)</f>
        <v/>
      </c>
      <c r="AB311" t="str">
        <f>IF('1. Live'!AB311='check-Jul25'!AB311,"",'1. Live'!AB311-'check-Jul25'!AB311)</f>
        <v/>
      </c>
      <c r="AC311" t="str">
        <f>IF('1. Live'!AC311='check-Jul25'!AC311,"",'1. Live'!AC311-'check-Jul25'!AC311)</f>
        <v/>
      </c>
      <c r="AD311" t="str">
        <f>IF('1. Live'!AD311='check-Jul25'!AD311,"",'1. Live'!AD311-'check-Jul25'!AD311)</f>
        <v/>
      </c>
      <c r="AE311" t="str">
        <f>IF('1. Live'!AE311='check-Jul25'!AE311,"",'1. Live'!AE311-'check-Jul25'!AE311)</f>
        <v/>
      </c>
      <c r="AF311" t="str">
        <f>IF('1. Live'!AF311='check-Jul25'!AF311,"",'1. Live'!AF311-'check-Jul25'!AF311)</f>
        <v/>
      </c>
      <c r="AG311" t="str">
        <f>IF('1. Live'!AG311='check-Jul25'!AG311,"",'1. Live'!AG311-'check-Jul25'!AG311)</f>
        <v/>
      </c>
      <c r="AH311" t="str">
        <f>IF('1. Live'!AH311='check-Jul25'!AH311,"",'1. Live'!AH311-'check-Jul25'!AH311)</f>
        <v/>
      </c>
      <c r="AI311" t="str">
        <f>IF('1. Live'!AI311='check-Jul25'!AI311,"",'1. Live'!AI311-'check-Jul25'!AI311)</f>
        <v/>
      </c>
      <c r="AJ311" t="str">
        <f>IF('1. Live'!AJ311='check-Jul25'!AJ311,"",'1. Live'!AJ311-'check-Jul25'!AJ311)</f>
        <v/>
      </c>
      <c r="AK311" t="str">
        <f>IF('1. Live'!AK311='check-Jul25'!AK311,"",'1. Live'!AK311-'check-Jul25'!AK311)</f>
        <v/>
      </c>
      <c r="AL311" t="str">
        <f>IF('1. Live'!AL311='check-Jul25'!AL311,"",'1. Live'!AL311-'check-Jul25'!AL311)</f>
        <v/>
      </c>
      <c r="AM311" t="str">
        <f>IF('1. Live'!AM311='check-Jul25'!AM311,"",'1. Live'!AM311-'check-Jul25'!AM311)</f>
        <v/>
      </c>
      <c r="AN311" t="str">
        <f>IF('1. Live'!AN311='check-Jul25'!AN311,"",'1. Live'!AN311-'check-Jul25'!AN311)</f>
        <v/>
      </c>
      <c r="AO311" t="str">
        <f>IF('1. Live'!AO311='check-Jul25'!AO311,"",'1. Live'!AO311-'check-Jul25'!AO311)</f>
        <v/>
      </c>
      <c r="AP311" t="str">
        <f>IF('1. Live'!AP311='check-Jul25'!AP311,"",'1. Live'!AP311-'check-Jul25'!AP311)</f>
        <v/>
      </c>
      <c r="AQ311" t="str">
        <f>IF('1. Live'!AQ311='check-Jul25'!AQ311,"",'1. Live'!AQ311-'check-Jul25'!AQ311)</f>
        <v/>
      </c>
      <c r="AR311" t="str">
        <f>IF('1. Live'!AR311='check-Jul25'!AR311,"",'1. Live'!AR311-'check-Jul25'!AR311)</f>
        <v/>
      </c>
      <c r="AS311" t="str">
        <f>IF('1. Live'!AS311='check-Jul25'!AS311,"",'1. Live'!AS311-'check-Jul25'!AS311)</f>
        <v/>
      </c>
      <c r="AT311" t="str">
        <f>IF('1. Live'!AT311='check-Jul25'!AT311,"",'1. Live'!AT311-'check-Jul25'!AT311)</f>
        <v/>
      </c>
      <c r="AU311" t="str">
        <f>IF('1. Live'!AU311='check-Jul25'!AU311,"",'1. Live'!AU311-'check-Jul25'!AU311)</f>
        <v/>
      </c>
      <c r="AV311" t="str">
        <f>IF('1. Live'!AV311='check-Jul25'!AV311,"",'1. Live'!AV311-'check-Jul25'!AV311)</f>
        <v/>
      </c>
      <c r="AW311" t="str">
        <f>IF('1. Live'!AW311='check-Jul25'!AW311,"",'1. Live'!AW311-'check-Jul25'!AW311)</f>
        <v/>
      </c>
      <c r="AX311" t="str">
        <f>IF('1. Live'!AX311='check-Jul25'!AX311,"",'1. Live'!AX311-'check-Jul25'!AX311)</f>
        <v/>
      </c>
      <c r="AY311" t="str">
        <f>IF('1. Live'!AY311='check-Jul25'!AY311,"",'1. Live'!AY311-'check-Jul25'!AY311)</f>
        <v/>
      </c>
      <c r="AZ311" t="str">
        <f>IF('1. Live'!AZ311='check-Jul25'!AZ311,"",'1. Live'!AZ311-'check-Jul25'!AZ311)</f>
        <v/>
      </c>
      <c r="BA311" t="str">
        <f>IF('1. Live'!BA311='check-Jul25'!BA311,"",'1. Live'!BA311-'check-Jul25'!BA311)</f>
        <v/>
      </c>
      <c r="BB311" t="str">
        <f>IF('1. Live'!BB311='check-Jul25'!BB311,"",'1. Live'!BB311-'check-Jul25'!BB311)</f>
        <v/>
      </c>
      <c r="BC311" t="str">
        <f>IF('1. Live'!BC311='check-Jul25'!BC311,"",'1. Live'!BC311-'check-Jul25'!BC311)</f>
        <v/>
      </c>
      <c r="BD311" t="str">
        <f>IF('1. Live'!BD311='check-Jul25'!BD311,"",'1. Live'!BD311-'check-Jul25'!BD311)</f>
        <v/>
      </c>
      <c r="BE311" t="str">
        <f>IF('1. Live'!BE311='check-Jul25'!BE311,"",'1. Live'!BE311-'check-Jul25'!BE311)</f>
        <v/>
      </c>
      <c r="BF311" t="str">
        <f>IF('1. Live'!BF311='check-Jul25'!BF311,"",'1. Live'!BF311-'check-Jul25'!BF311)</f>
        <v/>
      </c>
      <c r="BG311" t="str">
        <f>IF('1. Live'!BG311='check-Jul25'!BG311,"",'1. Live'!BG311-'check-Jul25'!BG311)</f>
        <v/>
      </c>
      <c r="BH311" t="str">
        <f>IF('1. Live'!BH311='check-Jul25'!BH311,"",'1. Live'!BH311-'check-Jul25'!BH311)</f>
        <v/>
      </c>
      <c r="BI311" t="str">
        <f>IF('1. Live'!BI311='check-Jul25'!BI311,"",'1. Live'!BI311-'check-Jul25'!BI311)</f>
        <v/>
      </c>
      <c r="BJ311" t="str">
        <f>IF('1. Live'!BJ311='check-Jul25'!BJ311,"",'1. Live'!BJ311-'check-Jul25'!BJ311)</f>
        <v/>
      </c>
      <c r="BK311" t="str">
        <f>IF('1. Live'!BK311='check-Jul25'!BK311,"",'1. Live'!BK311-'check-Jul25'!BK311)</f>
        <v/>
      </c>
      <c r="BL311" t="str">
        <f>IF('1. Live'!BL311='check-Jul25'!BL311,"",'1. Live'!BL311-'check-Jul25'!BL311)</f>
        <v/>
      </c>
      <c r="BM311" t="str">
        <f>IF('1. Live'!BM311='check-Jul25'!BM311,"",'1. Live'!BM311-'check-Jul25'!BM311)</f>
        <v/>
      </c>
      <c r="BN311" t="str">
        <f>IF('1. Live'!BN311='check-Jul25'!BN311,"",'1. Live'!BN311-'check-Jul25'!BN311)</f>
        <v/>
      </c>
      <c r="BO311" t="str">
        <f>IF('1. Live'!BO311='check-Jul25'!BO311,"",'1. Live'!BO311-'check-Jul25'!BO311)</f>
        <v/>
      </c>
      <c r="BP311" t="str">
        <f>IF('1. Live'!BP311='check-Jul25'!BP311,"",'1. Live'!BP311-'check-Jul25'!BP311)</f>
        <v/>
      </c>
      <c r="BQ311" t="str">
        <f>IF('1. Live'!BQ311='check-Jul25'!BQ311,"",'1. Live'!BQ311-'check-Jul25'!BQ311)</f>
        <v/>
      </c>
      <c r="BR311" t="str">
        <f>IF('1. Live'!BR311='check-Jul25'!BR311,"",'1. Live'!BR311-'check-Jul25'!BR311)</f>
        <v/>
      </c>
      <c r="BS311" t="str">
        <f>IF('1. Live'!BS311='check-Jul25'!BS311,"",'1. Live'!BS311-'check-Jul25'!BS311)</f>
        <v/>
      </c>
      <c r="BT311" t="str">
        <f>IF('1. Live'!BT311='check-Jul25'!BT311,"",'1. Live'!BT311-'check-Jul25'!BT311)</f>
        <v/>
      </c>
      <c r="BU311" t="str">
        <f>IF('1. Live'!BU311='check-Jul25'!BU311,"",'1. Live'!BU311-'check-Jul25'!BU311)</f>
        <v/>
      </c>
      <c r="BV311" t="str">
        <f>IF('1. Live'!BV311='check-Jul25'!BV311,"",'1. Live'!BV311-'check-Jul25'!BV311)</f>
        <v/>
      </c>
      <c r="BW311" t="str">
        <f>IF('1. Live'!BW311='check-Jul25'!BW311,"",'1. Live'!BW311-'check-Jul25'!BW311)</f>
        <v/>
      </c>
      <c r="BX311" t="str">
        <f>IF('1. Live'!BX311='check-Jul25'!BX311,"",'1. Live'!BX311-'check-Jul25'!BX311)</f>
        <v/>
      </c>
      <c r="BY311" t="str">
        <f>IF('1. Live'!BY311='check-Jul25'!BY311,"",'1. Live'!BY311-'check-Jul25'!BY311)</f>
        <v/>
      </c>
      <c r="BZ311" t="str">
        <f>IF('1. Live'!BZ311='check-Jul25'!BZ311,"",'1. Live'!BZ311-'check-Jul25'!BZ311)</f>
        <v/>
      </c>
      <c r="CA311" t="str">
        <f>IF('1. Live'!CA311='check-Jul25'!CA311,"",'1. Live'!CA311-'check-Jul25'!CA311)</f>
        <v/>
      </c>
      <c r="CB311" t="str">
        <f>IF('1. Live'!CB311='check-Jul25'!CB311,"",'1. Live'!CB311-'check-Jul25'!CB311)</f>
        <v/>
      </c>
      <c r="CC311" t="str">
        <f>IF('1. Live'!CC311='check-Jul25'!CC311,"",'1. Live'!CC311-'check-Jul25'!CC311)</f>
        <v/>
      </c>
      <c r="CD311" t="str">
        <f>IF('1. Live'!CD311='check-Jul25'!CD311,"",'1. Live'!CD311-'check-Jul25'!CD311)</f>
        <v/>
      </c>
      <c r="CE311" t="str">
        <f>IF('1. Live'!CE311='check-Jul25'!CE311,"",'1. Live'!CE311-'check-Jul25'!CE311)</f>
        <v/>
      </c>
      <c r="CF311" t="str">
        <f>IF('1. Live'!CF311='check-Jul25'!CF311,"",'1. Live'!CF311-'check-Jul25'!CF311)</f>
        <v/>
      </c>
      <c r="CG311" t="str">
        <f>IF('1. Live'!CG311='check-Jul25'!CG311,"",'1. Live'!CG311-'check-Jul25'!CG311)</f>
        <v/>
      </c>
      <c r="CH311" t="str">
        <f>IF('1. Live'!CH311='check-Jul25'!CH311,"",'1. Live'!CH311-'check-Jul25'!CH311)</f>
        <v/>
      </c>
      <c r="CI311" t="str">
        <f>IF('1. Live'!CI311='check-Jul25'!CI311,"",'1. Live'!CI311-'check-Jul25'!CI311)</f>
        <v/>
      </c>
      <c r="CJ311" t="str">
        <f>IF('1. Live'!CJ311='check-Jul25'!CJ311,"",'1. Live'!CJ311-'check-Jul25'!CJ311)</f>
        <v/>
      </c>
      <c r="CK311" t="str">
        <f>IF('1. Live'!CK311='check-Jul25'!CK311,"",'1. Live'!CK311-'check-Jul25'!CK311)</f>
        <v/>
      </c>
      <c r="CL311" t="str">
        <f>IF('1. Live'!CL311='check-Jul25'!CL311,"",'1. Live'!CL311-'check-Jul25'!CL311)</f>
        <v/>
      </c>
      <c r="CM311" t="str">
        <f>IF('1. Live'!CM311='check-Jul25'!CM311,"",'1. Live'!CM311-'check-Jul25'!CM311)</f>
        <v/>
      </c>
      <c r="CN311" t="str">
        <f>IF('1. Live'!CN311='check-Jul25'!CN311,"",'1. Live'!CN311-'check-Jul25'!CN311)</f>
        <v/>
      </c>
      <c r="CO311" t="str">
        <f>IF('1. Live'!CO311='check-Jul25'!CO311,"",'1. Live'!CO311-'check-Jul25'!CO311)</f>
        <v/>
      </c>
      <c r="CP311" t="str">
        <f>IF('1. Live'!CP311='check-Jul25'!CP311,"",'1. Live'!CP311-'check-Jul25'!CP311)</f>
        <v/>
      </c>
      <c r="CQ311" t="str">
        <f>IF('1. Live'!CQ311='check-Jul25'!CQ311,"",'1. Live'!CQ311-'check-Jul25'!CQ311)</f>
        <v/>
      </c>
      <c r="CR311" t="str">
        <f>IF('1. Live'!CR311='check-Jul25'!CR311,"",'1. Live'!CR311-'check-Jul25'!CR311)</f>
        <v/>
      </c>
      <c r="CS311" t="str">
        <f>IF('1. Live'!CS311='check-Jul25'!CS311,"",'1. Live'!CS311-'check-Jul25'!CS311)</f>
        <v/>
      </c>
      <c r="CT311" t="str">
        <f>IF('1. Live'!CT311='check-Jul25'!CT311,"",'1. Live'!CT311-'check-Jul25'!CT311)</f>
        <v/>
      </c>
      <c r="CU311" t="str">
        <f>IF('1. Live'!CU311='check-Jul25'!CU311,"",'1. Live'!CU311-'check-Jul25'!CU311)</f>
        <v/>
      </c>
      <c r="CV311" t="str">
        <f>IF('1. Live'!CV311='check-Jul25'!CV311,"",'1. Live'!CV311-'check-Jul25'!CV311)</f>
        <v/>
      </c>
      <c r="CW311" t="str">
        <f>IF('1. Live'!CW311='check-Jul25'!CW311,"",'1. Live'!CW311-'check-Jul25'!CW311)</f>
        <v/>
      </c>
    </row>
    <row r="312" spans="10:101">
      <c r="J312" t="str">
        <f>IF('1. Live'!J312='check-Jul25'!J312,"",'1. Live'!J312-'check-Jul25'!J312)</f>
        <v/>
      </c>
      <c r="K312" t="str">
        <f>IF('1. Live'!K312='check-Jul25'!K312,"",'1. Live'!K312-'check-Jul25'!K312)</f>
        <v/>
      </c>
      <c r="L312" t="str">
        <f>IF('1. Live'!L312='check-Jul25'!L312,"",'1. Live'!L312-'check-Jul25'!L312)</f>
        <v/>
      </c>
      <c r="M312" t="str">
        <f>IF('1. Live'!M312='check-Jul25'!M312,"",'1. Live'!M312-'check-Jul25'!M312)</f>
        <v/>
      </c>
      <c r="N312" t="str">
        <f>IF('1. Live'!N312='check-Jul25'!N312,"",'1. Live'!N312-'check-Jul25'!N312)</f>
        <v/>
      </c>
      <c r="O312" t="str">
        <f>IF('1. Live'!O312='check-Jul25'!O312,"",'1. Live'!O312-'check-Jul25'!O312)</f>
        <v/>
      </c>
      <c r="P312" t="str">
        <f>IF('1. Live'!P312='check-Jul25'!P312,"",'1. Live'!P312-'check-Jul25'!P312)</f>
        <v/>
      </c>
      <c r="Q312" t="str">
        <f>IF('1. Live'!Q312='check-Jul25'!Q312,"",'1. Live'!Q312-'check-Jul25'!Q312)</f>
        <v/>
      </c>
      <c r="R312" t="str">
        <f>IF('1. Live'!R312='check-Jul25'!R312,"",'1. Live'!R312-'check-Jul25'!R312)</f>
        <v/>
      </c>
      <c r="S312" t="str">
        <f>IF('1. Live'!S312='check-Jul25'!S312,"",'1. Live'!S312-'check-Jul25'!S312)</f>
        <v/>
      </c>
      <c r="T312" t="str">
        <f>IF('1. Live'!T312='check-Jul25'!T312,"",'1. Live'!T312-'check-Jul25'!T312)</f>
        <v/>
      </c>
      <c r="U312" t="str">
        <f>IF('1. Live'!U312='check-Jul25'!U312,"",'1. Live'!U312-'check-Jul25'!U312)</f>
        <v/>
      </c>
      <c r="V312" t="str">
        <f>IF('1. Live'!V312='check-Jul25'!V312,"",'1. Live'!V312-'check-Jul25'!V312)</f>
        <v/>
      </c>
      <c r="W312" t="str">
        <f>IF('1. Live'!W312='check-Jul25'!W312,"",'1. Live'!W312-'check-Jul25'!W312)</f>
        <v/>
      </c>
      <c r="X312" t="str">
        <f>IF('1. Live'!X312='check-Jul25'!X312,"",'1. Live'!X312-'check-Jul25'!X312)</f>
        <v/>
      </c>
      <c r="Y312" t="str">
        <f>IF('1. Live'!Y312='check-Jul25'!Y312,"",'1. Live'!Y312-'check-Jul25'!Y312)</f>
        <v/>
      </c>
      <c r="Z312" t="str">
        <f>IF('1. Live'!Z312='check-Jul25'!Z312,"",'1. Live'!Z312-'check-Jul25'!Z312)</f>
        <v/>
      </c>
      <c r="AA312" t="str">
        <f>IF('1. Live'!AA312='check-Jul25'!AA312,"",'1. Live'!AA312-'check-Jul25'!AA312)</f>
        <v/>
      </c>
      <c r="AB312" t="str">
        <f>IF('1. Live'!AB312='check-Jul25'!AB312,"",'1. Live'!AB312-'check-Jul25'!AB312)</f>
        <v/>
      </c>
      <c r="AC312" t="str">
        <f>IF('1. Live'!AC312='check-Jul25'!AC312,"",'1. Live'!AC312-'check-Jul25'!AC312)</f>
        <v/>
      </c>
      <c r="AD312" t="str">
        <f>IF('1. Live'!AD312='check-Jul25'!AD312,"",'1. Live'!AD312-'check-Jul25'!AD312)</f>
        <v/>
      </c>
      <c r="AE312" t="str">
        <f>IF('1. Live'!AE312='check-Jul25'!AE312,"",'1. Live'!AE312-'check-Jul25'!AE312)</f>
        <v/>
      </c>
      <c r="AF312" t="str">
        <f>IF('1. Live'!AF312='check-Jul25'!AF312,"",'1. Live'!AF312-'check-Jul25'!AF312)</f>
        <v/>
      </c>
      <c r="AG312" t="str">
        <f>IF('1. Live'!AG312='check-Jul25'!AG312,"",'1. Live'!AG312-'check-Jul25'!AG312)</f>
        <v/>
      </c>
      <c r="AH312" t="str">
        <f>IF('1. Live'!AH312='check-Jul25'!AH312,"",'1. Live'!AH312-'check-Jul25'!AH312)</f>
        <v/>
      </c>
      <c r="AI312" t="str">
        <f>IF('1. Live'!AI312='check-Jul25'!AI312,"",'1. Live'!AI312-'check-Jul25'!AI312)</f>
        <v/>
      </c>
      <c r="AJ312" t="str">
        <f>IF('1. Live'!AJ312='check-Jul25'!AJ312,"",'1. Live'!AJ312-'check-Jul25'!AJ312)</f>
        <v/>
      </c>
      <c r="AK312" t="str">
        <f>IF('1. Live'!AK312='check-Jul25'!AK312,"",'1. Live'!AK312-'check-Jul25'!AK312)</f>
        <v/>
      </c>
      <c r="AL312" t="str">
        <f>IF('1. Live'!AL312='check-Jul25'!AL312,"",'1. Live'!AL312-'check-Jul25'!AL312)</f>
        <v/>
      </c>
      <c r="AM312" t="str">
        <f>IF('1. Live'!AM312='check-Jul25'!AM312,"",'1. Live'!AM312-'check-Jul25'!AM312)</f>
        <v/>
      </c>
      <c r="AN312" t="str">
        <f>IF('1. Live'!AN312='check-Jul25'!AN312,"",'1. Live'!AN312-'check-Jul25'!AN312)</f>
        <v/>
      </c>
      <c r="AO312" t="str">
        <f>IF('1. Live'!AO312='check-Jul25'!AO312,"",'1. Live'!AO312-'check-Jul25'!AO312)</f>
        <v/>
      </c>
      <c r="AP312" t="str">
        <f>IF('1. Live'!AP312='check-Jul25'!AP312,"",'1. Live'!AP312-'check-Jul25'!AP312)</f>
        <v/>
      </c>
      <c r="AQ312" t="str">
        <f>IF('1. Live'!AQ312='check-Jul25'!AQ312,"",'1. Live'!AQ312-'check-Jul25'!AQ312)</f>
        <v/>
      </c>
      <c r="AR312" t="str">
        <f>IF('1. Live'!AR312='check-Jul25'!AR312,"",'1. Live'!AR312-'check-Jul25'!AR312)</f>
        <v/>
      </c>
      <c r="AS312" t="str">
        <f>IF('1. Live'!AS312='check-Jul25'!AS312,"",'1. Live'!AS312-'check-Jul25'!AS312)</f>
        <v/>
      </c>
      <c r="AT312" t="str">
        <f>IF('1. Live'!AT312='check-Jul25'!AT312,"",'1. Live'!AT312-'check-Jul25'!AT312)</f>
        <v/>
      </c>
      <c r="AU312" t="str">
        <f>IF('1. Live'!AU312='check-Jul25'!AU312,"",'1. Live'!AU312-'check-Jul25'!AU312)</f>
        <v/>
      </c>
      <c r="AV312" t="str">
        <f>IF('1. Live'!AV312='check-Jul25'!AV312,"",'1. Live'!AV312-'check-Jul25'!AV312)</f>
        <v/>
      </c>
      <c r="AW312" t="str">
        <f>IF('1. Live'!AW312='check-Jul25'!AW312,"",'1. Live'!AW312-'check-Jul25'!AW312)</f>
        <v/>
      </c>
      <c r="AX312" t="str">
        <f>IF('1. Live'!AX312='check-Jul25'!AX312,"",'1. Live'!AX312-'check-Jul25'!AX312)</f>
        <v/>
      </c>
      <c r="AY312" t="str">
        <f>IF('1. Live'!AY312='check-Jul25'!AY312,"",'1. Live'!AY312-'check-Jul25'!AY312)</f>
        <v/>
      </c>
      <c r="AZ312" t="str">
        <f>IF('1. Live'!AZ312='check-Jul25'!AZ312,"",'1. Live'!AZ312-'check-Jul25'!AZ312)</f>
        <v/>
      </c>
      <c r="BA312" t="str">
        <f>IF('1. Live'!BA312='check-Jul25'!BA312,"",'1. Live'!BA312-'check-Jul25'!BA312)</f>
        <v/>
      </c>
      <c r="BB312" t="str">
        <f>IF('1. Live'!BB312='check-Jul25'!BB312,"",'1. Live'!BB312-'check-Jul25'!BB312)</f>
        <v/>
      </c>
      <c r="BC312" t="str">
        <f>IF('1. Live'!BC312='check-Jul25'!BC312,"",'1. Live'!BC312-'check-Jul25'!BC312)</f>
        <v/>
      </c>
      <c r="BD312" t="str">
        <f>IF('1. Live'!BD312='check-Jul25'!BD312,"",'1. Live'!BD312-'check-Jul25'!BD312)</f>
        <v/>
      </c>
      <c r="BE312" t="str">
        <f>IF('1. Live'!BE312='check-Jul25'!BE312,"",'1. Live'!BE312-'check-Jul25'!BE312)</f>
        <v/>
      </c>
      <c r="BF312" t="str">
        <f>IF('1. Live'!BF312='check-Jul25'!BF312,"",'1. Live'!BF312-'check-Jul25'!BF312)</f>
        <v/>
      </c>
      <c r="BG312" t="str">
        <f>IF('1. Live'!BG312='check-Jul25'!BG312,"",'1. Live'!BG312-'check-Jul25'!BG312)</f>
        <v/>
      </c>
      <c r="BH312" t="str">
        <f>IF('1. Live'!BH312='check-Jul25'!BH312,"",'1. Live'!BH312-'check-Jul25'!BH312)</f>
        <v/>
      </c>
      <c r="BI312" t="str">
        <f>IF('1. Live'!BI312='check-Jul25'!BI312,"",'1. Live'!BI312-'check-Jul25'!BI312)</f>
        <v/>
      </c>
      <c r="BJ312" t="str">
        <f>IF('1. Live'!BJ312='check-Jul25'!BJ312,"",'1. Live'!BJ312-'check-Jul25'!BJ312)</f>
        <v/>
      </c>
      <c r="BK312" t="str">
        <f>IF('1. Live'!BK312='check-Jul25'!BK312,"",'1. Live'!BK312-'check-Jul25'!BK312)</f>
        <v/>
      </c>
      <c r="BL312" t="str">
        <f>IF('1. Live'!BL312='check-Jul25'!BL312,"",'1. Live'!BL312-'check-Jul25'!BL312)</f>
        <v/>
      </c>
      <c r="BM312" t="str">
        <f>IF('1. Live'!BM312='check-Jul25'!BM312,"",'1. Live'!BM312-'check-Jul25'!BM312)</f>
        <v/>
      </c>
      <c r="BN312" t="str">
        <f>IF('1. Live'!BN312='check-Jul25'!BN312,"",'1. Live'!BN312-'check-Jul25'!BN312)</f>
        <v/>
      </c>
      <c r="BO312" t="str">
        <f>IF('1. Live'!BO312='check-Jul25'!BO312,"",'1. Live'!BO312-'check-Jul25'!BO312)</f>
        <v/>
      </c>
      <c r="BP312" t="str">
        <f>IF('1. Live'!BP312='check-Jul25'!BP312,"",'1. Live'!BP312-'check-Jul25'!BP312)</f>
        <v/>
      </c>
      <c r="BQ312" t="str">
        <f>IF('1. Live'!BQ312='check-Jul25'!BQ312,"",'1. Live'!BQ312-'check-Jul25'!BQ312)</f>
        <v/>
      </c>
      <c r="BR312" t="str">
        <f>IF('1. Live'!BR312='check-Jul25'!BR312,"",'1. Live'!BR312-'check-Jul25'!BR312)</f>
        <v/>
      </c>
      <c r="BS312" t="str">
        <f>IF('1. Live'!BS312='check-Jul25'!BS312,"",'1. Live'!BS312-'check-Jul25'!BS312)</f>
        <v/>
      </c>
      <c r="BT312" t="str">
        <f>IF('1. Live'!BT312='check-Jul25'!BT312,"",'1. Live'!BT312-'check-Jul25'!BT312)</f>
        <v/>
      </c>
      <c r="BU312" t="str">
        <f>IF('1. Live'!BU312='check-Jul25'!BU312,"",'1. Live'!BU312-'check-Jul25'!BU312)</f>
        <v/>
      </c>
      <c r="BV312" t="str">
        <f>IF('1. Live'!BV312='check-Jul25'!BV312,"",'1. Live'!BV312-'check-Jul25'!BV312)</f>
        <v/>
      </c>
      <c r="BW312" t="str">
        <f>IF('1. Live'!BW312='check-Jul25'!BW312,"",'1. Live'!BW312-'check-Jul25'!BW312)</f>
        <v/>
      </c>
      <c r="BX312" t="str">
        <f>IF('1. Live'!BX312='check-Jul25'!BX312,"",'1. Live'!BX312-'check-Jul25'!BX312)</f>
        <v/>
      </c>
      <c r="BY312" t="str">
        <f>IF('1. Live'!BY312='check-Jul25'!BY312,"",'1. Live'!BY312-'check-Jul25'!BY312)</f>
        <v/>
      </c>
      <c r="BZ312" t="str">
        <f>IF('1. Live'!BZ312='check-Jul25'!BZ312,"",'1. Live'!BZ312-'check-Jul25'!BZ312)</f>
        <v/>
      </c>
      <c r="CA312" t="str">
        <f>IF('1. Live'!CA312='check-Jul25'!CA312,"",'1. Live'!CA312-'check-Jul25'!CA312)</f>
        <v/>
      </c>
      <c r="CB312" t="str">
        <f>IF('1. Live'!CB312='check-Jul25'!CB312,"",'1. Live'!CB312-'check-Jul25'!CB312)</f>
        <v/>
      </c>
      <c r="CC312" t="str">
        <f>IF('1. Live'!CC312='check-Jul25'!CC312,"",'1. Live'!CC312-'check-Jul25'!CC312)</f>
        <v/>
      </c>
      <c r="CD312" t="str">
        <f>IF('1. Live'!CD312='check-Jul25'!CD312,"",'1. Live'!CD312-'check-Jul25'!CD312)</f>
        <v/>
      </c>
      <c r="CE312" t="str">
        <f>IF('1. Live'!CE312='check-Jul25'!CE312,"",'1. Live'!CE312-'check-Jul25'!CE312)</f>
        <v/>
      </c>
      <c r="CF312" t="str">
        <f>IF('1. Live'!CF312='check-Jul25'!CF312,"",'1. Live'!CF312-'check-Jul25'!CF312)</f>
        <v/>
      </c>
      <c r="CG312" t="str">
        <f>IF('1. Live'!CG312='check-Jul25'!CG312,"",'1. Live'!CG312-'check-Jul25'!CG312)</f>
        <v/>
      </c>
      <c r="CH312" t="str">
        <f>IF('1. Live'!CH312='check-Jul25'!CH312,"",'1. Live'!CH312-'check-Jul25'!CH312)</f>
        <v/>
      </c>
      <c r="CI312" t="str">
        <f>IF('1. Live'!CI312='check-Jul25'!CI312,"",'1. Live'!CI312-'check-Jul25'!CI312)</f>
        <v/>
      </c>
      <c r="CJ312" t="str">
        <f>IF('1. Live'!CJ312='check-Jul25'!CJ312,"",'1. Live'!CJ312-'check-Jul25'!CJ312)</f>
        <v/>
      </c>
      <c r="CK312" t="str">
        <f>IF('1. Live'!CK312='check-Jul25'!CK312,"",'1. Live'!CK312-'check-Jul25'!CK312)</f>
        <v/>
      </c>
      <c r="CL312" t="str">
        <f>IF('1. Live'!CL312='check-Jul25'!CL312,"",'1. Live'!CL312-'check-Jul25'!CL312)</f>
        <v/>
      </c>
      <c r="CM312" t="str">
        <f>IF('1. Live'!CM312='check-Jul25'!CM312,"",'1. Live'!CM312-'check-Jul25'!CM312)</f>
        <v/>
      </c>
      <c r="CN312" t="str">
        <f>IF('1. Live'!CN312='check-Jul25'!CN312,"",'1. Live'!CN312-'check-Jul25'!CN312)</f>
        <v/>
      </c>
      <c r="CO312" t="str">
        <f>IF('1. Live'!CO312='check-Jul25'!CO312,"",'1. Live'!CO312-'check-Jul25'!CO312)</f>
        <v/>
      </c>
      <c r="CP312" t="str">
        <f>IF('1. Live'!CP312='check-Jul25'!CP312,"",'1. Live'!CP312-'check-Jul25'!CP312)</f>
        <v/>
      </c>
      <c r="CQ312" t="str">
        <f>IF('1. Live'!CQ312='check-Jul25'!CQ312,"",'1. Live'!CQ312-'check-Jul25'!CQ312)</f>
        <v/>
      </c>
      <c r="CR312" t="str">
        <f>IF('1. Live'!CR312='check-Jul25'!CR312,"",'1. Live'!CR312-'check-Jul25'!CR312)</f>
        <v/>
      </c>
      <c r="CS312" t="str">
        <f>IF('1. Live'!CS312='check-Jul25'!CS312,"",'1. Live'!CS312-'check-Jul25'!CS312)</f>
        <v/>
      </c>
      <c r="CT312" t="str">
        <f>IF('1. Live'!CT312='check-Jul25'!CT312,"",'1. Live'!CT312-'check-Jul25'!CT312)</f>
        <v/>
      </c>
      <c r="CU312" t="str">
        <f>IF('1. Live'!CU312='check-Jul25'!CU312,"",'1. Live'!CU312-'check-Jul25'!CU312)</f>
        <v/>
      </c>
      <c r="CV312" t="str">
        <f>IF('1. Live'!CV312='check-Jul25'!CV312,"",'1. Live'!CV312-'check-Jul25'!CV312)</f>
        <v/>
      </c>
      <c r="CW312" t="str">
        <f>IF('1. Live'!CW312='check-Jul25'!CW312,"",'1. Live'!CW312-'check-Jul25'!CW312)</f>
        <v/>
      </c>
    </row>
    <row r="313" spans="10:101">
      <c r="J313" t="str">
        <f>IF('1. Live'!J313='check-Jul25'!J313,"",'1. Live'!J313-'check-Jul25'!J313)</f>
        <v/>
      </c>
      <c r="K313" t="str">
        <f>IF('1. Live'!K313='check-Jul25'!K313,"",'1. Live'!K313-'check-Jul25'!K313)</f>
        <v/>
      </c>
      <c r="L313" t="str">
        <f>IF('1. Live'!L313='check-Jul25'!L313,"",'1. Live'!L313-'check-Jul25'!L313)</f>
        <v/>
      </c>
      <c r="M313" t="str">
        <f>IF('1. Live'!M313='check-Jul25'!M313,"",'1. Live'!M313-'check-Jul25'!M313)</f>
        <v/>
      </c>
      <c r="N313" t="str">
        <f>IF('1. Live'!N313='check-Jul25'!N313,"",'1. Live'!N313-'check-Jul25'!N313)</f>
        <v/>
      </c>
      <c r="O313" t="str">
        <f>IF('1. Live'!O313='check-Jul25'!O313,"",'1. Live'!O313-'check-Jul25'!O313)</f>
        <v/>
      </c>
      <c r="P313" t="str">
        <f>IF('1. Live'!P313='check-Jul25'!P313,"",'1. Live'!P313-'check-Jul25'!P313)</f>
        <v/>
      </c>
      <c r="Q313" t="str">
        <f>IF('1. Live'!Q313='check-Jul25'!Q313,"",'1. Live'!Q313-'check-Jul25'!Q313)</f>
        <v/>
      </c>
      <c r="R313" t="str">
        <f>IF('1. Live'!R313='check-Jul25'!R313,"",'1. Live'!R313-'check-Jul25'!R313)</f>
        <v/>
      </c>
      <c r="S313" t="str">
        <f>IF('1. Live'!S313='check-Jul25'!S313,"",'1. Live'!S313-'check-Jul25'!S313)</f>
        <v/>
      </c>
      <c r="T313" t="str">
        <f>IF('1. Live'!T313='check-Jul25'!T313,"",'1. Live'!T313-'check-Jul25'!T313)</f>
        <v/>
      </c>
      <c r="U313" t="str">
        <f>IF('1. Live'!U313='check-Jul25'!U313,"",'1. Live'!U313-'check-Jul25'!U313)</f>
        <v/>
      </c>
      <c r="V313" t="str">
        <f>IF('1. Live'!V313='check-Jul25'!V313,"",'1. Live'!V313-'check-Jul25'!V313)</f>
        <v/>
      </c>
      <c r="W313" t="str">
        <f>IF('1. Live'!W313='check-Jul25'!W313,"",'1. Live'!W313-'check-Jul25'!W313)</f>
        <v/>
      </c>
      <c r="X313" t="str">
        <f>IF('1. Live'!X313='check-Jul25'!X313,"",'1. Live'!X313-'check-Jul25'!X313)</f>
        <v/>
      </c>
      <c r="Y313" t="str">
        <f>IF('1. Live'!Y313='check-Jul25'!Y313,"",'1. Live'!Y313-'check-Jul25'!Y313)</f>
        <v/>
      </c>
      <c r="Z313" t="str">
        <f>IF('1. Live'!Z313='check-Jul25'!Z313,"",'1. Live'!Z313-'check-Jul25'!Z313)</f>
        <v/>
      </c>
      <c r="AA313" t="str">
        <f>IF('1. Live'!AA313='check-Jul25'!AA313,"",'1. Live'!AA313-'check-Jul25'!AA313)</f>
        <v/>
      </c>
      <c r="AB313" t="str">
        <f>IF('1. Live'!AB313='check-Jul25'!AB313,"",'1. Live'!AB313-'check-Jul25'!AB313)</f>
        <v/>
      </c>
      <c r="AC313" t="str">
        <f>IF('1. Live'!AC313='check-Jul25'!AC313,"",'1. Live'!AC313-'check-Jul25'!AC313)</f>
        <v/>
      </c>
      <c r="AD313" t="str">
        <f>IF('1. Live'!AD313='check-Jul25'!AD313,"",'1. Live'!AD313-'check-Jul25'!AD313)</f>
        <v/>
      </c>
      <c r="AE313" t="str">
        <f>IF('1. Live'!AE313='check-Jul25'!AE313,"",'1. Live'!AE313-'check-Jul25'!AE313)</f>
        <v/>
      </c>
      <c r="AF313" t="str">
        <f>IF('1. Live'!AF313='check-Jul25'!AF313,"",'1. Live'!AF313-'check-Jul25'!AF313)</f>
        <v/>
      </c>
      <c r="AG313" t="str">
        <f>IF('1. Live'!AG313='check-Jul25'!AG313,"",'1. Live'!AG313-'check-Jul25'!AG313)</f>
        <v/>
      </c>
      <c r="AH313" t="str">
        <f>IF('1. Live'!AH313='check-Jul25'!AH313,"",'1. Live'!AH313-'check-Jul25'!AH313)</f>
        <v/>
      </c>
      <c r="AI313" t="str">
        <f>IF('1. Live'!AI313='check-Jul25'!AI313,"",'1. Live'!AI313-'check-Jul25'!AI313)</f>
        <v/>
      </c>
      <c r="AJ313" t="str">
        <f>IF('1. Live'!AJ313='check-Jul25'!AJ313,"",'1. Live'!AJ313-'check-Jul25'!AJ313)</f>
        <v/>
      </c>
      <c r="AK313" t="str">
        <f>IF('1. Live'!AK313='check-Jul25'!AK313,"",'1. Live'!AK313-'check-Jul25'!AK313)</f>
        <v/>
      </c>
      <c r="AL313" t="str">
        <f>IF('1. Live'!AL313='check-Jul25'!AL313,"",'1. Live'!AL313-'check-Jul25'!AL313)</f>
        <v/>
      </c>
      <c r="AM313" t="str">
        <f>IF('1. Live'!AM313='check-Jul25'!AM313,"",'1. Live'!AM313-'check-Jul25'!AM313)</f>
        <v/>
      </c>
      <c r="AN313" t="str">
        <f>IF('1. Live'!AN313='check-Jul25'!AN313,"",'1. Live'!AN313-'check-Jul25'!AN313)</f>
        <v/>
      </c>
      <c r="AO313" t="str">
        <f>IF('1. Live'!AO313='check-Jul25'!AO313,"",'1. Live'!AO313-'check-Jul25'!AO313)</f>
        <v/>
      </c>
      <c r="AP313" t="str">
        <f>IF('1. Live'!AP313='check-Jul25'!AP313,"",'1. Live'!AP313-'check-Jul25'!AP313)</f>
        <v/>
      </c>
      <c r="AQ313" t="str">
        <f>IF('1. Live'!AQ313='check-Jul25'!AQ313,"",'1. Live'!AQ313-'check-Jul25'!AQ313)</f>
        <v/>
      </c>
      <c r="AR313" t="str">
        <f>IF('1. Live'!AR313='check-Jul25'!AR313,"",'1. Live'!AR313-'check-Jul25'!AR313)</f>
        <v/>
      </c>
      <c r="AS313" t="str">
        <f>IF('1. Live'!AS313='check-Jul25'!AS313,"",'1. Live'!AS313-'check-Jul25'!AS313)</f>
        <v/>
      </c>
      <c r="AT313" t="str">
        <f>IF('1. Live'!AT313='check-Jul25'!AT313,"",'1. Live'!AT313-'check-Jul25'!AT313)</f>
        <v/>
      </c>
      <c r="AU313" t="str">
        <f>IF('1. Live'!AU313='check-Jul25'!AU313,"",'1. Live'!AU313-'check-Jul25'!AU313)</f>
        <v/>
      </c>
      <c r="AV313" t="str">
        <f>IF('1. Live'!AV313='check-Jul25'!AV313,"",'1. Live'!AV313-'check-Jul25'!AV313)</f>
        <v/>
      </c>
      <c r="AW313" t="str">
        <f>IF('1. Live'!AW313='check-Jul25'!AW313,"",'1. Live'!AW313-'check-Jul25'!AW313)</f>
        <v/>
      </c>
      <c r="AX313" t="str">
        <f>IF('1. Live'!AX313='check-Jul25'!AX313,"",'1. Live'!AX313-'check-Jul25'!AX313)</f>
        <v/>
      </c>
      <c r="AY313" t="str">
        <f>IF('1. Live'!AY313='check-Jul25'!AY313,"",'1. Live'!AY313-'check-Jul25'!AY313)</f>
        <v/>
      </c>
      <c r="AZ313" t="str">
        <f>IF('1. Live'!AZ313='check-Jul25'!AZ313,"",'1. Live'!AZ313-'check-Jul25'!AZ313)</f>
        <v/>
      </c>
      <c r="BA313" t="str">
        <f>IF('1. Live'!BA313='check-Jul25'!BA313,"",'1. Live'!BA313-'check-Jul25'!BA313)</f>
        <v/>
      </c>
      <c r="BB313" t="str">
        <f>IF('1. Live'!BB313='check-Jul25'!BB313,"",'1. Live'!BB313-'check-Jul25'!BB313)</f>
        <v/>
      </c>
      <c r="BC313" t="str">
        <f>IF('1. Live'!BC313='check-Jul25'!BC313,"",'1. Live'!BC313-'check-Jul25'!BC313)</f>
        <v/>
      </c>
      <c r="BD313" t="str">
        <f>IF('1. Live'!BD313='check-Jul25'!BD313,"",'1. Live'!BD313-'check-Jul25'!BD313)</f>
        <v/>
      </c>
      <c r="BE313" t="str">
        <f>IF('1. Live'!BE313='check-Jul25'!BE313,"",'1. Live'!BE313-'check-Jul25'!BE313)</f>
        <v/>
      </c>
      <c r="BF313" t="str">
        <f>IF('1. Live'!BF313='check-Jul25'!BF313,"",'1. Live'!BF313-'check-Jul25'!BF313)</f>
        <v/>
      </c>
      <c r="BG313" t="str">
        <f>IF('1. Live'!BG313='check-Jul25'!BG313,"",'1. Live'!BG313-'check-Jul25'!BG313)</f>
        <v/>
      </c>
      <c r="BH313" t="str">
        <f>IF('1. Live'!BH313='check-Jul25'!BH313,"",'1. Live'!BH313-'check-Jul25'!BH313)</f>
        <v/>
      </c>
      <c r="BI313" t="str">
        <f>IF('1. Live'!BI313='check-Jul25'!BI313,"",'1. Live'!BI313-'check-Jul25'!BI313)</f>
        <v/>
      </c>
      <c r="BJ313" t="str">
        <f>IF('1. Live'!BJ313='check-Jul25'!BJ313,"",'1. Live'!BJ313-'check-Jul25'!BJ313)</f>
        <v/>
      </c>
      <c r="BK313" t="str">
        <f>IF('1. Live'!BK313='check-Jul25'!BK313,"",'1. Live'!BK313-'check-Jul25'!BK313)</f>
        <v/>
      </c>
      <c r="BL313" t="str">
        <f>IF('1. Live'!BL313='check-Jul25'!BL313,"",'1. Live'!BL313-'check-Jul25'!BL313)</f>
        <v/>
      </c>
      <c r="BM313" t="str">
        <f>IF('1. Live'!BM313='check-Jul25'!BM313,"",'1. Live'!BM313-'check-Jul25'!BM313)</f>
        <v/>
      </c>
      <c r="BN313" t="str">
        <f>IF('1. Live'!BN313='check-Jul25'!BN313,"",'1. Live'!BN313-'check-Jul25'!BN313)</f>
        <v/>
      </c>
      <c r="BO313" t="str">
        <f>IF('1. Live'!BO313='check-Jul25'!BO313,"",'1. Live'!BO313-'check-Jul25'!BO313)</f>
        <v/>
      </c>
      <c r="BP313" t="str">
        <f>IF('1. Live'!BP313='check-Jul25'!BP313,"",'1. Live'!BP313-'check-Jul25'!BP313)</f>
        <v/>
      </c>
      <c r="BQ313" t="str">
        <f>IF('1. Live'!BQ313='check-Jul25'!BQ313,"",'1. Live'!BQ313-'check-Jul25'!BQ313)</f>
        <v/>
      </c>
      <c r="BR313" t="str">
        <f>IF('1. Live'!BR313='check-Jul25'!BR313,"",'1. Live'!BR313-'check-Jul25'!BR313)</f>
        <v/>
      </c>
      <c r="BS313" t="str">
        <f>IF('1. Live'!BS313='check-Jul25'!BS313,"",'1. Live'!BS313-'check-Jul25'!BS313)</f>
        <v/>
      </c>
      <c r="BT313" t="str">
        <f>IF('1. Live'!BT313='check-Jul25'!BT313,"",'1. Live'!BT313-'check-Jul25'!BT313)</f>
        <v/>
      </c>
      <c r="BU313" t="str">
        <f>IF('1. Live'!BU313='check-Jul25'!BU313,"",'1. Live'!BU313-'check-Jul25'!BU313)</f>
        <v/>
      </c>
      <c r="BV313" t="str">
        <f>IF('1. Live'!BV313='check-Jul25'!BV313,"",'1. Live'!BV313-'check-Jul25'!BV313)</f>
        <v/>
      </c>
      <c r="BW313" t="str">
        <f>IF('1. Live'!BW313='check-Jul25'!BW313,"",'1. Live'!BW313-'check-Jul25'!BW313)</f>
        <v/>
      </c>
      <c r="BX313" t="str">
        <f>IF('1. Live'!BX313='check-Jul25'!BX313,"",'1. Live'!BX313-'check-Jul25'!BX313)</f>
        <v/>
      </c>
      <c r="BY313" t="str">
        <f>IF('1. Live'!BY313='check-Jul25'!BY313,"",'1. Live'!BY313-'check-Jul25'!BY313)</f>
        <v/>
      </c>
      <c r="BZ313" t="str">
        <f>IF('1. Live'!BZ313='check-Jul25'!BZ313,"",'1. Live'!BZ313-'check-Jul25'!BZ313)</f>
        <v/>
      </c>
      <c r="CA313" t="str">
        <f>IF('1. Live'!CA313='check-Jul25'!CA313,"",'1. Live'!CA313-'check-Jul25'!CA313)</f>
        <v/>
      </c>
      <c r="CB313" t="str">
        <f>IF('1. Live'!CB313='check-Jul25'!CB313,"",'1. Live'!CB313-'check-Jul25'!CB313)</f>
        <v/>
      </c>
      <c r="CC313" t="str">
        <f>IF('1. Live'!CC313='check-Jul25'!CC313,"",'1. Live'!CC313-'check-Jul25'!CC313)</f>
        <v/>
      </c>
      <c r="CD313" t="str">
        <f>IF('1. Live'!CD313='check-Jul25'!CD313,"",'1. Live'!CD313-'check-Jul25'!CD313)</f>
        <v/>
      </c>
      <c r="CE313" t="str">
        <f>IF('1. Live'!CE313='check-Jul25'!CE313,"",'1. Live'!CE313-'check-Jul25'!CE313)</f>
        <v/>
      </c>
      <c r="CF313" t="str">
        <f>IF('1. Live'!CF313='check-Jul25'!CF313,"",'1. Live'!CF313-'check-Jul25'!CF313)</f>
        <v/>
      </c>
      <c r="CG313" t="str">
        <f>IF('1. Live'!CG313='check-Jul25'!CG313,"",'1. Live'!CG313-'check-Jul25'!CG313)</f>
        <v/>
      </c>
      <c r="CH313" t="str">
        <f>IF('1. Live'!CH313='check-Jul25'!CH313,"",'1. Live'!CH313-'check-Jul25'!CH313)</f>
        <v/>
      </c>
      <c r="CI313" t="str">
        <f>IF('1. Live'!CI313='check-Jul25'!CI313,"",'1. Live'!CI313-'check-Jul25'!CI313)</f>
        <v/>
      </c>
      <c r="CJ313" t="str">
        <f>IF('1. Live'!CJ313='check-Jul25'!CJ313,"",'1. Live'!CJ313-'check-Jul25'!CJ313)</f>
        <v/>
      </c>
      <c r="CK313" t="str">
        <f>IF('1. Live'!CK313='check-Jul25'!CK313,"",'1. Live'!CK313-'check-Jul25'!CK313)</f>
        <v/>
      </c>
      <c r="CL313" t="str">
        <f>IF('1. Live'!CL313='check-Jul25'!CL313,"",'1. Live'!CL313-'check-Jul25'!CL313)</f>
        <v/>
      </c>
      <c r="CM313" t="str">
        <f>IF('1. Live'!CM313='check-Jul25'!CM313,"",'1. Live'!CM313-'check-Jul25'!CM313)</f>
        <v/>
      </c>
      <c r="CN313" t="str">
        <f>IF('1. Live'!CN313='check-Jul25'!CN313,"",'1. Live'!CN313-'check-Jul25'!CN313)</f>
        <v/>
      </c>
      <c r="CO313" t="str">
        <f>IF('1. Live'!CO313='check-Jul25'!CO313,"",'1. Live'!CO313-'check-Jul25'!CO313)</f>
        <v/>
      </c>
      <c r="CP313" t="str">
        <f>IF('1. Live'!CP313='check-Jul25'!CP313,"",'1. Live'!CP313-'check-Jul25'!CP313)</f>
        <v/>
      </c>
      <c r="CQ313" t="str">
        <f>IF('1. Live'!CQ313='check-Jul25'!CQ313,"",'1. Live'!CQ313-'check-Jul25'!CQ313)</f>
        <v/>
      </c>
      <c r="CR313" t="str">
        <f>IF('1. Live'!CR313='check-Jul25'!CR313,"",'1. Live'!CR313-'check-Jul25'!CR313)</f>
        <v/>
      </c>
      <c r="CS313" t="str">
        <f>IF('1. Live'!CS313='check-Jul25'!CS313,"",'1. Live'!CS313-'check-Jul25'!CS313)</f>
        <v/>
      </c>
      <c r="CT313" t="str">
        <f>IF('1. Live'!CT313='check-Jul25'!CT313,"",'1. Live'!CT313-'check-Jul25'!CT313)</f>
        <v/>
      </c>
      <c r="CU313" t="str">
        <f>IF('1. Live'!CU313='check-Jul25'!CU313,"",'1. Live'!CU313-'check-Jul25'!CU313)</f>
        <v/>
      </c>
      <c r="CV313" t="str">
        <f>IF('1. Live'!CV313='check-Jul25'!CV313,"",'1. Live'!CV313-'check-Jul25'!CV313)</f>
        <v/>
      </c>
      <c r="CW313" t="str">
        <f>IF('1. Live'!CW313='check-Jul25'!CW313,"",'1. Live'!CW313-'check-Jul25'!CW313)</f>
        <v/>
      </c>
    </row>
    <row r="314" spans="10:101">
      <c r="J314" t="str">
        <f>IF('1. Live'!J314='check-Jul25'!J314,"",'1. Live'!J314-'check-Jul25'!J314)</f>
        <v/>
      </c>
      <c r="K314" t="str">
        <f>IF('1. Live'!K314='check-Jul25'!K314,"",'1. Live'!K314-'check-Jul25'!K314)</f>
        <v/>
      </c>
      <c r="L314" t="str">
        <f>IF('1. Live'!L314='check-Jul25'!L314,"",'1. Live'!L314-'check-Jul25'!L314)</f>
        <v/>
      </c>
      <c r="M314" t="str">
        <f>IF('1. Live'!M314='check-Jul25'!M314,"",'1. Live'!M314-'check-Jul25'!M314)</f>
        <v/>
      </c>
      <c r="N314" t="str">
        <f>IF('1. Live'!N314='check-Jul25'!N314,"",'1. Live'!N314-'check-Jul25'!N314)</f>
        <v/>
      </c>
      <c r="O314" t="str">
        <f>IF('1. Live'!O314='check-Jul25'!O314,"",'1. Live'!O314-'check-Jul25'!O314)</f>
        <v/>
      </c>
      <c r="P314" t="str">
        <f>IF('1. Live'!P314='check-Jul25'!P314,"",'1. Live'!P314-'check-Jul25'!P314)</f>
        <v/>
      </c>
      <c r="Q314" t="str">
        <f>IF('1. Live'!Q314='check-Jul25'!Q314,"",'1. Live'!Q314-'check-Jul25'!Q314)</f>
        <v/>
      </c>
      <c r="R314" t="str">
        <f>IF('1. Live'!R314='check-Jul25'!R314,"",'1. Live'!R314-'check-Jul25'!R314)</f>
        <v/>
      </c>
      <c r="S314" t="str">
        <f>IF('1. Live'!S314='check-Jul25'!S314,"",'1. Live'!S314-'check-Jul25'!S314)</f>
        <v/>
      </c>
      <c r="T314" t="str">
        <f>IF('1. Live'!T314='check-Jul25'!T314,"",'1. Live'!T314-'check-Jul25'!T314)</f>
        <v/>
      </c>
      <c r="U314" t="str">
        <f>IF('1. Live'!U314='check-Jul25'!U314,"",'1. Live'!U314-'check-Jul25'!U314)</f>
        <v/>
      </c>
      <c r="V314" t="str">
        <f>IF('1. Live'!V314='check-Jul25'!V314,"",'1. Live'!V314-'check-Jul25'!V314)</f>
        <v/>
      </c>
      <c r="W314" t="str">
        <f>IF('1. Live'!W314='check-Jul25'!W314,"",'1. Live'!W314-'check-Jul25'!W314)</f>
        <v/>
      </c>
      <c r="X314" t="str">
        <f>IF('1. Live'!X314='check-Jul25'!X314,"",'1. Live'!X314-'check-Jul25'!X314)</f>
        <v/>
      </c>
      <c r="Y314" t="str">
        <f>IF('1. Live'!Y314='check-Jul25'!Y314,"",'1. Live'!Y314-'check-Jul25'!Y314)</f>
        <v/>
      </c>
      <c r="Z314" t="str">
        <f>IF('1. Live'!Z314='check-Jul25'!Z314,"",'1. Live'!Z314-'check-Jul25'!Z314)</f>
        <v/>
      </c>
      <c r="AA314" t="str">
        <f>IF('1. Live'!AA314='check-Jul25'!AA314,"",'1. Live'!AA314-'check-Jul25'!AA314)</f>
        <v/>
      </c>
      <c r="AB314" t="str">
        <f>IF('1. Live'!AB314='check-Jul25'!AB314,"",'1. Live'!AB314-'check-Jul25'!AB314)</f>
        <v/>
      </c>
      <c r="AC314" t="str">
        <f>IF('1. Live'!AC314='check-Jul25'!AC314,"",'1. Live'!AC314-'check-Jul25'!AC314)</f>
        <v/>
      </c>
      <c r="AD314" t="str">
        <f>IF('1. Live'!AD314='check-Jul25'!AD314,"",'1. Live'!AD314-'check-Jul25'!AD314)</f>
        <v/>
      </c>
      <c r="AE314" t="str">
        <f>IF('1. Live'!AE314='check-Jul25'!AE314,"",'1. Live'!AE314-'check-Jul25'!AE314)</f>
        <v/>
      </c>
      <c r="AF314" t="str">
        <f>IF('1. Live'!AF314='check-Jul25'!AF314,"",'1. Live'!AF314-'check-Jul25'!AF314)</f>
        <v/>
      </c>
      <c r="AG314" t="str">
        <f>IF('1. Live'!AG314='check-Jul25'!AG314,"",'1. Live'!AG314-'check-Jul25'!AG314)</f>
        <v/>
      </c>
      <c r="AH314" t="str">
        <f>IF('1. Live'!AH314='check-Jul25'!AH314,"",'1. Live'!AH314-'check-Jul25'!AH314)</f>
        <v/>
      </c>
      <c r="AI314" t="str">
        <f>IF('1. Live'!AI314='check-Jul25'!AI314,"",'1. Live'!AI314-'check-Jul25'!AI314)</f>
        <v/>
      </c>
      <c r="AJ314" t="str">
        <f>IF('1. Live'!AJ314='check-Jul25'!AJ314,"",'1. Live'!AJ314-'check-Jul25'!AJ314)</f>
        <v/>
      </c>
      <c r="AK314" t="str">
        <f>IF('1. Live'!AK314='check-Jul25'!AK314,"",'1. Live'!AK314-'check-Jul25'!AK314)</f>
        <v/>
      </c>
      <c r="AL314" t="str">
        <f>IF('1. Live'!AL314='check-Jul25'!AL314,"",'1. Live'!AL314-'check-Jul25'!AL314)</f>
        <v/>
      </c>
      <c r="AM314" t="str">
        <f>IF('1. Live'!AM314='check-Jul25'!AM314,"",'1. Live'!AM314-'check-Jul25'!AM314)</f>
        <v/>
      </c>
      <c r="AN314" t="str">
        <f>IF('1. Live'!AN314='check-Jul25'!AN314,"",'1. Live'!AN314-'check-Jul25'!AN314)</f>
        <v/>
      </c>
      <c r="AO314" t="str">
        <f>IF('1. Live'!AO314='check-Jul25'!AO314,"",'1. Live'!AO314-'check-Jul25'!AO314)</f>
        <v/>
      </c>
      <c r="AP314" t="str">
        <f>IF('1. Live'!AP314='check-Jul25'!AP314,"",'1. Live'!AP314-'check-Jul25'!AP314)</f>
        <v/>
      </c>
      <c r="AQ314" t="str">
        <f>IF('1. Live'!AQ314='check-Jul25'!AQ314,"",'1. Live'!AQ314-'check-Jul25'!AQ314)</f>
        <v/>
      </c>
      <c r="AR314" t="str">
        <f>IF('1. Live'!AR314='check-Jul25'!AR314,"",'1. Live'!AR314-'check-Jul25'!AR314)</f>
        <v/>
      </c>
      <c r="AS314" t="str">
        <f>IF('1. Live'!AS314='check-Jul25'!AS314,"",'1. Live'!AS314-'check-Jul25'!AS314)</f>
        <v/>
      </c>
      <c r="AT314" t="str">
        <f>IF('1. Live'!AT314='check-Jul25'!AT314,"",'1. Live'!AT314-'check-Jul25'!AT314)</f>
        <v/>
      </c>
      <c r="AU314" t="str">
        <f>IF('1. Live'!AU314='check-Jul25'!AU314,"",'1. Live'!AU314-'check-Jul25'!AU314)</f>
        <v/>
      </c>
      <c r="AV314" t="str">
        <f>IF('1. Live'!AV314='check-Jul25'!AV314,"",'1. Live'!AV314-'check-Jul25'!AV314)</f>
        <v/>
      </c>
      <c r="AW314" t="str">
        <f>IF('1. Live'!AW314='check-Jul25'!AW314,"",'1. Live'!AW314-'check-Jul25'!AW314)</f>
        <v/>
      </c>
      <c r="AX314" t="str">
        <f>IF('1. Live'!AX314='check-Jul25'!AX314,"",'1. Live'!AX314-'check-Jul25'!AX314)</f>
        <v/>
      </c>
      <c r="AY314" t="str">
        <f>IF('1. Live'!AY314='check-Jul25'!AY314,"",'1. Live'!AY314-'check-Jul25'!AY314)</f>
        <v/>
      </c>
      <c r="AZ314" t="str">
        <f>IF('1. Live'!AZ314='check-Jul25'!AZ314,"",'1. Live'!AZ314-'check-Jul25'!AZ314)</f>
        <v/>
      </c>
      <c r="BA314" t="str">
        <f>IF('1. Live'!BA314='check-Jul25'!BA314,"",'1. Live'!BA314-'check-Jul25'!BA314)</f>
        <v/>
      </c>
      <c r="BB314" t="str">
        <f>IF('1. Live'!BB314='check-Jul25'!BB314,"",'1. Live'!BB314-'check-Jul25'!BB314)</f>
        <v/>
      </c>
      <c r="BC314" t="str">
        <f>IF('1. Live'!BC314='check-Jul25'!BC314,"",'1. Live'!BC314-'check-Jul25'!BC314)</f>
        <v/>
      </c>
      <c r="BD314" t="str">
        <f>IF('1. Live'!BD314='check-Jul25'!BD314,"",'1. Live'!BD314-'check-Jul25'!BD314)</f>
        <v/>
      </c>
      <c r="BE314" t="str">
        <f>IF('1. Live'!BE314='check-Jul25'!BE314,"",'1. Live'!BE314-'check-Jul25'!BE314)</f>
        <v/>
      </c>
      <c r="BF314" t="str">
        <f>IF('1. Live'!BF314='check-Jul25'!BF314,"",'1. Live'!BF314-'check-Jul25'!BF314)</f>
        <v/>
      </c>
      <c r="BG314" t="str">
        <f>IF('1. Live'!BG314='check-Jul25'!BG314,"",'1. Live'!BG314-'check-Jul25'!BG314)</f>
        <v/>
      </c>
      <c r="BH314" t="str">
        <f>IF('1. Live'!BH314='check-Jul25'!BH314,"",'1. Live'!BH314-'check-Jul25'!BH314)</f>
        <v/>
      </c>
      <c r="BI314" t="str">
        <f>IF('1. Live'!BI314='check-Jul25'!BI314,"",'1. Live'!BI314-'check-Jul25'!BI314)</f>
        <v/>
      </c>
      <c r="BJ314" t="str">
        <f>IF('1. Live'!BJ314='check-Jul25'!BJ314,"",'1. Live'!BJ314-'check-Jul25'!BJ314)</f>
        <v/>
      </c>
      <c r="BK314" t="str">
        <f>IF('1. Live'!BK314='check-Jul25'!BK314,"",'1. Live'!BK314-'check-Jul25'!BK314)</f>
        <v/>
      </c>
      <c r="BL314" t="str">
        <f>IF('1. Live'!BL314='check-Jul25'!BL314,"",'1. Live'!BL314-'check-Jul25'!BL314)</f>
        <v/>
      </c>
      <c r="BM314" t="str">
        <f>IF('1. Live'!BM314='check-Jul25'!BM314,"",'1. Live'!BM314-'check-Jul25'!BM314)</f>
        <v/>
      </c>
      <c r="BN314" t="str">
        <f>IF('1. Live'!BN314='check-Jul25'!BN314,"",'1. Live'!BN314-'check-Jul25'!BN314)</f>
        <v/>
      </c>
      <c r="BO314" t="str">
        <f>IF('1. Live'!BO314='check-Jul25'!BO314,"",'1. Live'!BO314-'check-Jul25'!BO314)</f>
        <v/>
      </c>
      <c r="BP314" t="str">
        <f>IF('1. Live'!BP314='check-Jul25'!BP314,"",'1. Live'!BP314-'check-Jul25'!BP314)</f>
        <v/>
      </c>
      <c r="BQ314" t="str">
        <f>IF('1. Live'!BQ314='check-Jul25'!BQ314,"",'1. Live'!BQ314-'check-Jul25'!BQ314)</f>
        <v/>
      </c>
      <c r="BR314" t="str">
        <f>IF('1. Live'!BR314='check-Jul25'!BR314,"",'1. Live'!BR314-'check-Jul25'!BR314)</f>
        <v/>
      </c>
      <c r="BS314" t="str">
        <f>IF('1. Live'!BS314='check-Jul25'!BS314,"",'1. Live'!BS314-'check-Jul25'!BS314)</f>
        <v/>
      </c>
      <c r="BT314" t="str">
        <f>IF('1. Live'!BT314='check-Jul25'!BT314,"",'1. Live'!BT314-'check-Jul25'!BT314)</f>
        <v/>
      </c>
      <c r="BU314" t="str">
        <f>IF('1. Live'!BU314='check-Jul25'!BU314,"",'1. Live'!BU314-'check-Jul25'!BU314)</f>
        <v/>
      </c>
      <c r="BV314" t="str">
        <f>IF('1. Live'!BV314='check-Jul25'!BV314,"",'1. Live'!BV314-'check-Jul25'!BV314)</f>
        <v/>
      </c>
      <c r="BW314" t="str">
        <f>IF('1. Live'!BW314='check-Jul25'!BW314,"",'1. Live'!BW314-'check-Jul25'!BW314)</f>
        <v/>
      </c>
      <c r="BX314" t="str">
        <f>IF('1. Live'!BX314='check-Jul25'!BX314,"",'1. Live'!BX314-'check-Jul25'!BX314)</f>
        <v/>
      </c>
      <c r="BY314" t="str">
        <f>IF('1. Live'!BY314='check-Jul25'!BY314,"",'1. Live'!BY314-'check-Jul25'!BY314)</f>
        <v/>
      </c>
      <c r="BZ314" t="str">
        <f>IF('1. Live'!BZ314='check-Jul25'!BZ314,"",'1. Live'!BZ314-'check-Jul25'!BZ314)</f>
        <v/>
      </c>
      <c r="CA314" t="str">
        <f>IF('1. Live'!CA314='check-Jul25'!CA314,"",'1. Live'!CA314-'check-Jul25'!CA314)</f>
        <v/>
      </c>
      <c r="CB314" t="str">
        <f>IF('1. Live'!CB314='check-Jul25'!CB314,"",'1. Live'!CB314-'check-Jul25'!CB314)</f>
        <v/>
      </c>
      <c r="CC314" t="str">
        <f>IF('1. Live'!CC314='check-Jul25'!CC314,"",'1. Live'!CC314-'check-Jul25'!CC314)</f>
        <v/>
      </c>
      <c r="CD314" t="str">
        <f>IF('1. Live'!CD314='check-Jul25'!CD314,"",'1. Live'!CD314-'check-Jul25'!CD314)</f>
        <v/>
      </c>
      <c r="CE314" t="str">
        <f>IF('1. Live'!CE314='check-Jul25'!CE314,"",'1. Live'!CE314-'check-Jul25'!CE314)</f>
        <v/>
      </c>
      <c r="CF314" t="str">
        <f>IF('1. Live'!CF314='check-Jul25'!CF314,"",'1. Live'!CF314-'check-Jul25'!CF314)</f>
        <v/>
      </c>
      <c r="CG314" t="str">
        <f>IF('1. Live'!CG314='check-Jul25'!CG314,"",'1. Live'!CG314-'check-Jul25'!CG314)</f>
        <v/>
      </c>
      <c r="CH314" t="str">
        <f>IF('1. Live'!CH314='check-Jul25'!CH314,"",'1. Live'!CH314-'check-Jul25'!CH314)</f>
        <v/>
      </c>
      <c r="CI314" t="str">
        <f>IF('1. Live'!CI314='check-Jul25'!CI314,"",'1. Live'!CI314-'check-Jul25'!CI314)</f>
        <v/>
      </c>
      <c r="CJ314" t="str">
        <f>IF('1. Live'!CJ314='check-Jul25'!CJ314,"",'1. Live'!CJ314-'check-Jul25'!CJ314)</f>
        <v/>
      </c>
      <c r="CK314" t="str">
        <f>IF('1. Live'!CK314='check-Jul25'!CK314,"",'1. Live'!CK314-'check-Jul25'!CK314)</f>
        <v/>
      </c>
      <c r="CL314" t="str">
        <f>IF('1. Live'!CL314='check-Jul25'!CL314,"",'1. Live'!CL314-'check-Jul25'!CL314)</f>
        <v/>
      </c>
      <c r="CM314" t="str">
        <f>IF('1. Live'!CM314='check-Jul25'!CM314,"",'1. Live'!CM314-'check-Jul25'!CM314)</f>
        <v/>
      </c>
      <c r="CN314" t="str">
        <f>IF('1. Live'!CN314='check-Jul25'!CN314,"",'1. Live'!CN314-'check-Jul25'!CN314)</f>
        <v/>
      </c>
      <c r="CO314" t="str">
        <f>IF('1. Live'!CO314='check-Jul25'!CO314,"",'1. Live'!CO314-'check-Jul25'!CO314)</f>
        <v/>
      </c>
      <c r="CP314" t="str">
        <f>IF('1. Live'!CP314='check-Jul25'!CP314,"",'1. Live'!CP314-'check-Jul25'!CP314)</f>
        <v/>
      </c>
      <c r="CQ314" t="str">
        <f>IF('1. Live'!CQ314='check-Jul25'!CQ314,"",'1. Live'!CQ314-'check-Jul25'!CQ314)</f>
        <v/>
      </c>
      <c r="CR314" t="str">
        <f>IF('1. Live'!CR314='check-Jul25'!CR314,"",'1. Live'!CR314-'check-Jul25'!CR314)</f>
        <v/>
      </c>
      <c r="CS314" t="str">
        <f>IF('1. Live'!CS314='check-Jul25'!CS314,"",'1. Live'!CS314-'check-Jul25'!CS314)</f>
        <v/>
      </c>
      <c r="CT314" t="str">
        <f>IF('1. Live'!CT314='check-Jul25'!CT314,"",'1. Live'!CT314-'check-Jul25'!CT314)</f>
        <v/>
      </c>
      <c r="CU314" t="str">
        <f>IF('1. Live'!CU314='check-Jul25'!CU314,"",'1. Live'!CU314-'check-Jul25'!CU314)</f>
        <v/>
      </c>
      <c r="CV314" t="str">
        <f>IF('1. Live'!CV314='check-Jul25'!CV314,"",'1. Live'!CV314-'check-Jul25'!CV314)</f>
        <v/>
      </c>
      <c r="CW314" t="str">
        <f>IF('1. Live'!CW314='check-Jul25'!CW314,"",'1. Live'!CW314-'check-Jul25'!CW314)</f>
        <v/>
      </c>
    </row>
    <row r="315" spans="10:101">
      <c r="J315" t="str">
        <f>IF('1. Live'!J315='check-Jul25'!J315,"",'1. Live'!J315-'check-Jul25'!J315)</f>
        <v/>
      </c>
      <c r="K315" t="str">
        <f>IF('1. Live'!K315='check-Jul25'!K315,"",'1. Live'!K315-'check-Jul25'!K315)</f>
        <v/>
      </c>
      <c r="L315" t="str">
        <f>IF('1. Live'!L315='check-Jul25'!L315,"",'1. Live'!L315-'check-Jul25'!L315)</f>
        <v/>
      </c>
      <c r="M315" t="str">
        <f>IF('1. Live'!M315='check-Jul25'!M315,"",'1. Live'!M315-'check-Jul25'!M315)</f>
        <v/>
      </c>
      <c r="N315" t="str">
        <f>IF('1. Live'!N315='check-Jul25'!N315,"",'1. Live'!N315-'check-Jul25'!N315)</f>
        <v/>
      </c>
      <c r="O315" t="str">
        <f>IF('1. Live'!O315='check-Jul25'!O315,"",'1. Live'!O315-'check-Jul25'!O315)</f>
        <v/>
      </c>
      <c r="P315" t="str">
        <f>IF('1. Live'!P315='check-Jul25'!P315,"",'1. Live'!P315-'check-Jul25'!P315)</f>
        <v/>
      </c>
      <c r="Q315" t="str">
        <f>IF('1. Live'!Q315='check-Jul25'!Q315,"",'1. Live'!Q315-'check-Jul25'!Q315)</f>
        <v/>
      </c>
      <c r="R315" t="str">
        <f>IF('1. Live'!R315='check-Jul25'!R315,"",'1. Live'!R315-'check-Jul25'!R315)</f>
        <v/>
      </c>
      <c r="S315" t="str">
        <f>IF('1. Live'!S315='check-Jul25'!S315,"",'1. Live'!S315-'check-Jul25'!S315)</f>
        <v/>
      </c>
      <c r="T315" t="str">
        <f>IF('1. Live'!T315='check-Jul25'!T315,"",'1. Live'!T315-'check-Jul25'!T315)</f>
        <v/>
      </c>
      <c r="U315" t="str">
        <f>IF('1. Live'!U315='check-Jul25'!U315,"",'1. Live'!U315-'check-Jul25'!U315)</f>
        <v/>
      </c>
      <c r="V315" t="str">
        <f>IF('1. Live'!V315='check-Jul25'!V315,"",'1. Live'!V315-'check-Jul25'!V315)</f>
        <v/>
      </c>
      <c r="W315" t="str">
        <f>IF('1. Live'!W315='check-Jul25'!W315,"",'1. Live'!W315-'check-Jul25'!W315)</f>
        <v/>
      </c>
      <c r="X315" t="str">
        <f>IF('1. Live'!X315='check-Jul25'!X315,"",'1. Live'!X315-'check-Jul25'!X315)</f>
        <v/>
      </c>
      <c r="Y315" t="str">
        <f>IF('1. Live'!Y315='check-Jul25'!Y315,"",'1. Live'!Y315-'check-Jul25'!Y315)</f>
        <v/>
      </c>
      <c r="Z315" t="str">
        <f>IF('1. Live'!Z315='check-Jul25'!Z315,"",'1. Live'!Z315-'check-Jul25'!Z315)</f>
        <v/>
      </c>
      <c r="AA315" t="str">
        <f>IF('1. Live'!AA315='check-Jul25'!AA315,"",'1. Live'!AA315-'check-Jul25'!AA315)</f>
        <v/>
      </c>
      <c r="AB315" t="str">
        <f>IF('1. Live'!AB315='check-Jul25'!AB315,"",'1. Live'!AB315-'check-Jul25'!AB315)</f>
        <v/>
      </c>
      <c r="AC315" t="str">
        <f>IF('1. Live'!AC315='check-Jul25'!AC315,"",'1. Live'!AC315-'check-Jul25'!AC315)</f>
        <v/>
      </c>
      <c r="AD315" t="str">
        <f>IF('1. Live'!AD315='check-Jul25'!AD315,"",'1. Live'!AD315-'check-Jul25'!AD315)</f>
        <v/>
      </c>
      <c r="AE315" t="str">
        <f>IF('1. Live'!AE315='check-Jul25'!AE315,"",'1. Live'!AE315-'check-Jul25'!AE315)</f>
        <v/>
      </c>
      <c r="AF315" t="str">
        <f>IF('1. Live'!AF315='check-Jul25'!AF315,"",'1. Live'!AF315-'check-Jul25'!AF315)</f>
        <v/>
      </c>
      <c r="AG315" t="str">
        <f>IF('1. Live'!AG315='check-Jul25'!AG315,"",'1. Live'!AG315-'check-Jul25'!AG315)</f>
        <v/>
      </c>
      <c r="AH315" t="str">
        <f>IF('1. Live'!AH315='check-Jul25'!AH315,"",'1. Live'!AH315-'check-Jul25'!AH315)</f>
        <v/>
      </c>
      <c r="AI315" t="str">
        <f>IF('1. Live'!AI315='check-Jul25'!AI315,"",'1. Live'!AI315-'check-Jul25'!AI315)</f>
        <v/>
      </c>
      <c r="AJ315" t="str">
        <f>IF('1. Live'!AJ315='check-Jul25'!AJ315,"",'1. Live'!AJ315-'check-Jul25'!AJ315)</f>
        <v/>
      </c>
      <c r="AK315" t="str">
        <f>IF('1. Live'!AK315='check-Jul25'!AK315,"",'1. Live'!AK315-'check-Jul25'!AK315)</f>
        <v/>
      </c>
      <c r="AL315" t="str">
        <f>IF('1. Live'!AL315='check-Jul25'!AL315,"",'1. Live'!AL315-'check-Jul25'!AL315)</f>
        <v/>
      </c>
      <c r="AM315" t="str">
        <f>IF('1. Live'!AM315='check-Jul25'!AM315,"",'1. Live'!AM315-'check-Jul25'!AM315)</f>
        <v/>
      </c>
      <c r="AN315" t="str">
        <f>IF('1. Live'!AN315='check-Jul25'!AN315,"",'1. Live'!AN315-'check-Jul25'!AN315)</f>
        <v/>
      </c>
      <c r="AO315" t="str">
        <f>IF('1. Live'!AO315='check-Jul25'!AO315,"",'1. Live'!AO315-'check-Jul25'!AO315)</f>
        <v/>
      </c>
      <c r="AP315" t="str">
        <f>IF('1. Live'!AP315='check-Jul25'!AP315,"",'1. Live'!AP315-'check-Jul25'!AP315)</f>
        <v/>
      </c>
      <c r="AQ315" t="str">
        <f>IF('1. Live'!AQ315='check-Jul25'!AQ315,"",'1. Live'!AQ315-'check-Jul25'!AQ315)</f>
        <v/>
      </c>
      <c r="AR315" t="str">
        <f>IF('1. Live'!AR315='check-Jul25'!AR315,"",'1. Live'!AR315-'check-Jul25'!AR315)</f>
        <v/>
      </c>
      <c r="AS315" t="str">
        <f>IF('1. Live'!AS315='check-Jul25'!AS315,"",'1. Live'!AS315-'check-Jul25'!AS315)</f>
        <v/>
      </c>
      <c r="AT315" t="str">
        <f>IF('1. Live'!AT315='check-Jul25'!AT315,"",'1. Live'!AT315-'check-Jul25'!AT315)</f>
        <v/>
      </c>
      <c r="AU315" t="str">
        <f>IF('1. Live'!AU315='check-Jul25'!AU315,"",'1. Live'!AU315-'check-Jul25'!AU315)</f>
        <v/>
      </c>
      <c r="AV315" t="str">
        <f>IF('1. Live'!AV315='check-Jul25'!AV315,"",'1. Live'!AV315-'check-Jul25'!AV315)</f>
        <v/>
      </c>
      <c r="AW315" t="str">
        <f>IF('1. Live'!AW315='check-Jul25'!AW315,"",'1. Live'!AW315-'check-Jul25'!AW315)</f>
        <v/>
      </c>
      <c r="AX315" t="str">
        <f>IF('1. Live'!AX315='check-Jul25'!AX315,"",'1. Live'!AX315-'check-Jul25'!AX315)</f>
        <v/>
      </c>
      <c r="AY315" t="str">
        <f>IF('1. Live'!AY315='check-Jul25'!AY315,"",'1. Live'!AY315-'check-Jul25'!AY315)</f>
        <v/>
      </c>
      <c r="AZ315" t="str">
        <f>IF('1. Live'!AZ315='check-Jul25'!AZ315,"",'1. Live'!AZ315-'check-Jul25'!AZ315)</f>
        <v/>
      </c>
      <c r="BA315" t="str">
        <f>IF('1. Live'!BA315='check-Jul25'!BA315,"",'1. Live'!BA315-'check-Jul25'!BA315)</f>
        <v/>
      </c>
      <c r="BB315" t="str">
        <f>IF('1. Live'!BB315='check-Jul25'!BB315,"",'1. Live'!BB315-'check-Jul25'!BB315)</f>
        <v/>
      </c>
      <c r="BC315" t="str">
        <f>IF('1. Live'!BC315='check-Jul25'!BC315,"",'1. Live'!BC315-'check-Jul25'!BC315)</f>
        <v/>
      </c>
      <c r="BD315" t="str">
        <f>IF('1. Live'!BD315='check-Jul25'!BD315,"",'1. Live'!BD315-'check-Jul25'!BD315)</f>
        <v/>
      </c>
      <c r="BE315" t="str">
        <f>IF('1. Live'!BE315='check-Jul25'!BE315,"",'1. Live'!BE315-'check-Jul25'!BE315)</f>
        <v/>
      </c>
      <c r="BF315" t="str">
        <f>IF('1. Live'!BF315='check-Jul25'!BF315,"",'1. Live'!BF315-'check-Jul25'!BF315)</f>
        <v/>
      </c>
      <c r="BG315" t="str">
        <f>IF('1. Live'!BG315='check-Jul25'!BG315,"",'1. Live'!BG315-'check-Jul25'!BG315)</f>
        <v/>
      </c>
      <c r="BH315" t="str">
        <f>IF('1. Live'!BH315='check-Jul25'!BH315,"",'1. Live'!BH315-'check-Jul25'!BH315)</f>
        <v/>
      </c>
      <c r="BI315" t="str">
        <f>IF('1. Live'!BI315='check-Jul25'!BI315,"",'1. Live'!BI315-'check-Jul25'!BI315)</f>
        <v/>
      </c>
      <c r="BJ315" t="str">
        <f>IF('1. Live'!BJ315='check-Jul25'!BJ315,"",'1. Live'!BJ315-'check-Jul25'!BJ315)</f>
        <v/>
      </c>
      <c r="BK315" t="str">
        <f>IF('1. Live'!BK315='check-Jul25'!BK315,"",'1. Live'!BK315-'check-Jul25'!BK315)</f>
        <v/>
      </c>
      <c r="BL315" t="str">
        <f>IF('1. Live'!BL315='check-Jul25'!BL315,"",'1. Live'!BL315-'check-Jul25'!BL315)</f>
        <v/>
      </c>
      <c r="BM315" t="str">
        <f>IF('1. Live'!BM315='check-Jul25'!BM315,"",'1. Live'!BM315-'check-Jul25'!BM315)</f>
        <v/>
      </c>
      <c r="BN315" t="str">
        <f>IF('1. Live'!BN315='check-Jul25'!BN315,"",'1. Live'!BN315-'check-Jul25'!BN315)</f>
        <v/>
      </c>
      <c r="BO315" t="str">
        <f>IF('1. Live'!BO315='check-Jul25'!BO315,"",'1. Live'!BO315-'check-Jul25'!BO315)</f>
        <v/>
      </c>
      <c r="BP315" t="str">
        <f>IF('1. Live'!BP315='check-Jul25'!BP315,"",'1. Live'!BP315-'check-Jul25'!BP315)</f>
        <v/>
      </c>
      <c r="BQ315" t="str">
        <f>IF('1. Live'!BQ315='check-Jul25'!BQ315,"",'1. Live'!BQ315-'check-Jul25'!BQ315)</f>
        <v/>
      </c>
      <c r="BR315" t="str">
        <f>IF('1. Live'!BR315='check-Jul25'!BR315,"",'1. Live'!BR315-'check-Jul25'!BR315)</f>
        <v/>
      </c>
      <c r="BS315" t="str">
        <f>IF('1. Live'!BS315='check-Jul25'!BS315,"",'1. Live'!BS315-'check-Jul25'!BS315)</f>
        <v/>
      </c>
      <c r="BT315" t="str">
        <f>IF('1. Live'!BT315='check-Jul25'!BT315,"",'1. Live'!BT315-'check-Jul25'!BT315)</f>
        <v/>
      </c>
      <c r="BU315" t="str">
        <f>IF('1. Live'!BU315='check-Jul25'!BU315,"",'1. Live'!BU315-'check-Jul25'!BU315)</f>
        <v/>
      </c>
      <c r="BV315" t="str">
        <f>IF('1. Live'!BV315='check-Jul25'!BV315,"",'1. Live'!BV315-'check-Jul25'!BV315)</f>
        <v/>
      </c>
      <c r="BW315" t="str">
        <f>IF('1. Live'!BW315='check-Jul25'!BW315,"",'1. Live'!BW315-'check-Jul25'!BW315)</f>
        <v/>
      </c>
      <c r="BX315" t="str">
        <f>IF('1. Live'!BX315='check-Jul25'!BX315,"",'1. Live'!BX315-'check-Jul25'!BX315)</f>
        <v/>
      </c>
      <c r="BY315" t="str">
        <f>IF('1. Live'!BY315='check-Jul25'!BY315,"",'1. Live'!BY315-'check-Jul25'!BY315)</f>
        <v/>
      </c>
      <c r="BZ315" t="str">
        <f>IF('1. Live'!BZ315='check-Jul25'!BZ315,"",'1. Live'!BZ315-'check-Jul25'!BZ315)</f>
        <v/>
      </c>
      <c r="CA315" t="str">
        <f>IF('1. Live'!CA315='check-Jul25'!CA315,"",'1. Live'!CA315-'check-Jul25'!CA315)</f>
        <v/>
      </c>
      <c r="CB315" t="str">
        <f>IF('1. Live'!CB315='check-Jul25'!CB315,"",'1. Live'!CB315-'check-Jul25'!CB315)</f>
        <v/>
      </c>
      <c r="CC315" t="str">
        <f>IF('1. Live'!CC315='check-Jul25'!CC315,"",'1. Live'!CC315-'check-Jul25'!CC315)</f>
        <v/>
      </c>
      <c r="CD315" t="str">
        <f>IF('1. Live'!CD315='check-Jul25'!CD315,"",'1. Live'!CD315-'check-Jul25'!CD315)</f>
        <v/>
      </c>
      <c r="CE315" t="str">
        <f>IF('1. Live'!CE315='check-Jul25'!CE315,"",'1. Live'!CE315-'check-Jul25'!CE315)</f>
        <v/>
      </c>
      <c r="CF315" t="str">
        <f>IF('1. Live'!CF315='check-Jul25'!CF315,"",'1. Live'!CF315-'check-Jul25'!CF315)</f>
        <v/>
      </c>
      <c r="CG315" t="str">
        <f>IF('1. Live'!CG315='check-Jul25'!CG315,"",'1. Live'!CG315-'check-Jul25'!CG315)</f>
        <v/>
      </c>
      <c r="CH315" t="str">
        <f>IF('1. Live'!CH315='check-Jul25'!CH315,"",'1. Live'!CH315-'check-Jul25'!CH315)</f>
        <v/>
      </c>
      <c r="CI315" t="str">
        <f>IF('1. Live'!CI315='check-Jul25'!CI315,"",'1. Live'!CI315-'check-Jul25'!CI315)</f>
        <v/>
      </c>
      <c r="CJ315" t="str">
        <f>IF('1. Live'!CJ315='check-Jul25'!CJ315,"",'1. Live'!CJ315-'check-Jul25'!CJ315)</f>
        <v/>
      </c>
      <c r="CK315" t="str">
        <f>IF('1. Live'!CK315='check-Jul25'!CK315,"",'1. Live'!CK315-'check-Jul25'!CK315)</f>
        <v/>
      </c>
      <c r="CL315" t="str">
        <f>IF('1. Live'!CL315='check-Jul25'!CL315,"",'1. Live'!CL315-'check-Jul25'!CL315)</f>
        <v/>
      </c>
      <c r="CM315" t="str">
        <f>IF('1. Live'!CM315='check-Jul25'!CM315,"",'1. Live'!CM315-'check-Jul25'!CM315)</f>
        <v/>
      </c>
      <c r="CN315" t="str">
        <f>IF('1. Live'!CN315='check-Jul25'!CN315,"",'1. Live'!CN315-'check-Jul25'!CN315)</f>
        <v/>
      </c>
      <c r="CO315" t="str">
        <f>IF('1. Live'!CO315='check-Jul25'!CO315,"",'1. Live'!CO315-'check-Jul25'!CO315)</f>
        <v/>
      </c>
      <c r="CP315" t="str">
        <f>IF('1. Live'!CP315='check-Jul25'!CP315,"",'1. Live'!CP315-'check-Jul25'!CP315)</f>
        <v/>
      </c>
      <c r="CQ315" t="str">
        <f>IF('1. Live'!CQ315='check-Jul25'!CQ315,"",'1. Live'!CQ315-'check-Jul25'!CQ315)</f>
        <v/>
      </c>
      <c r="CR315" t="str">
        <f>IF('1. Live'!CR315='check-Jul25'!CR315,"",'1. Live'!CR315-'check-Jul25'!CR315)</f>
        <v/>
      </c>
      <c r="CS315" t="str">
        <f>IF('1. Live'!CS315='check-Jul25'!CS315,"",'1. Live'!CS315-'check-Jul25'!CS315)</f>
        <v/>
      </c>
      <c r="CT315" t="str">
        <f>IF('1. Live'!CT315='check-Jul25'!CT315,"",'1. Live'!CT315-'check-Jul25'!CT315)</f>
        <v/>
      </c>
      <c r="CU315" t="str">
        <f>IF('1. Live'!CU315='check-Jul25'!CU315,"",'1. Live'!CU315-'check-Jul25'!CU315)</f>
        <v/>
      </c>
      <c r="CV315" t="str">
        <f>IF('1. Live'!CV315='check-Jul25'!CV315,"",'1. Live'!CV315-'check-Jul25'!CV315)</f>
        <v/>
      </c>
      <c r="CW315" t="str">
        <f>IF('1. Live'!CW315='check-Jul25'!CW315,"",'1. Live'!CW315-'check-Jul25'!CW315)</f>
        <v/>
      </c>
    </row>
    <row r="316" spans="10:101">
      <c r="J316" t="str">
        <f>IF('1. Live'!J316='check-Jul25'!J316,"",'1. Live'!J316-'check-Jul25'!J316)</f>
        <v/>
      </c>
      <c r="K316" t="str">
        <f>IF('1. Live'!K316='check-Jul25'!K316,"",'1. Live'!K316-'check-Jul25'!K316)</f>
        <v/>
      </c>
      <c r="L316" t="str">
        <f>IF('1. Live'!L316='check-Jul25'!L316,"",'1. Live'!L316-'check-Jul25'!L316)</f>
        <v/>
      </c>
      <c r="M316" t="str">
        <f>IF('1. Live'!M316='check-Jul25'!M316,"",'1. Live'!M316-'check-Jul25'!M316)</f>
        <v/>
      </c>
      <c r="N316" t="str">
        <f>IF('1. Live'!N316='check-Jul25'!N316,"",'1. Live'!N316-'check-Jul25'!N316)</f>
        <v/>
      </c>
      <c r="O316" t="str">
        <f>IF('1. Live'!O316='check-Jul25'!O316,"",'1. Live'!O316-'check-Jul25'!O316)</f>
        <v/>
      </c>
      <c r="P316" t="str">
        <f>IF('1. Live'!P316='check-Jul25'!P316,"",'1. Live'!P316-'check-Jul25'!P316)</f>
        <v/>
      </c>
      <c r="Q316" t="str">
        <f>IF('1. Live'!Q316='check-Jul25'!Q316,"",'1. Live'!Q316-'check-Jul25'!Q316)</f>
        <v/>
      </c>
      <c r="R316" t="str">
        <f>IF('1. Live'!R316='check-Jul25'!R316,"",'1. Live'!R316-'check-Jul25'!R316)</f>
        <v/>
      </c>
      <c r="S316" t="str">
        <f>IF('1. Live'!S316='check-Jul25'!S316,"",'1. Live'!S316-'check-Jul25'!S316)</f>
        <v/>
      </c>
      <c r="T316" t="str">
        <f>IF('1. Live'!T316='check-Jul25'!T316,"",'1. Live'!T316-'check-Jul25'!T316)</f>
        <v/>
      </c>
      <c r="U316" t="str">
        <f>IF('1. Live'!U316='check-Jul25'!U316,"",'1. Live'!U316-'check-Jul25'!U316)</f>
        <v/>
      </c>
      <c r="V316" t="str">
        <f>IF('1. Live'!V316='check-Jul25'!V316,"",'1. Live'!V316-'check-Jul25'!V316)</f>
        <v/>
      </c>
      <c r="W316" t="str">
        <f>IF('1. Live'!W316='check-Jul25'!W316,"",'1. Live'!W316-'check-Jul25'!W316)</f>
        <v/>
      </c>
      <c r="X316" t="str">
        <f>IF('1. Live'!X316='check-Jul25'!X316,"",'1. Live'!X316-'check-Jul25'!X316)</f>
        <v/>
      </c>
      <c r="Y316" t="str">
        <f>IF('1. Live'!Y316='check-Jul25'!Y316,"",'1. Live'!Y316-'check-Jul25'!Y316)</f>
        <v/>
      </c>
      <c r="Z316" t="str">
        <f>IF('1. Live'!Z316='check-Jul25'!Z316,"",'1. Live'!Z316-'check-Jul25'!Z316)</f>
        <v/>
      </c>
      <c r="AA316" t="str">
        <f>IF('1. Live'!AA316='check-Jul25'!AA316,"",'1. Live'!AA316-'check-Jul25'!AA316)</f>
        <v/>
      </c>
      <c r="AB316" t="str">
        <f>IF('1. Live'!AB316='check-Jul25'!AB316,"",'1. Live'!AB316-'check-Jul25'!AB316)</f>
        <v/>
      </c>
      <c r="AC316" t="str">
        <f>IF('1. Live'!AC316='check-Jul25'!AC316,"",'1. Live'!AC316-'check-Jul25'!AC316)</f>
        <v/>
      </c>
      <c r="AD316" t="str">
        <f>IF('1. Live'!AD316='check-Jul25'!AD316,"",'1. Live'!AD316-'check-Jul25'!AD316)</f>
        <v/>
      </c>
      <c r="AE316" t="str">
        <f>IF('1. Live'!AE316='check-Jul25'!AE316,"",'1. Live'!AE316-'check-Jul25'!AE316)</f>
        <v/>
      </c>
      <c r="AF316" t="str">
        <f>IF('1. Live'!AF316='check-Jul25'!AF316,"",'1. Live'!AF316-'check-Jul25'!AF316)</f>
        <v/>
      </c>
      <c r="AG316" t="str">
        <f>IF('1. Live'!AG316='check-Jul25'!AG316,"",'1. Live'!AG316-'check-Jul25'!AG316)</f>
        <v/>
      </c>
      <c r="AH316" t="str">
        <f>IF('1. Live'!AH316='check-Jul25'!AH316,"",'1. Live'!AH316-'check-Jul25'!AH316)</f>
        <v/>
      </c>
      <c r="AI316" t="str">
        <f>IF('1. Live'!AI316='check-Jul25'!AI316,"",'1. Live'!AI316-'check-Jul25'!AI316)</f>
        <v/>
      </c>
      <c r="AJ316" t="str">
        <f>IF('1. Live'!AJ316='check-Jul25'!AJ316,"",'1. Live'!AJ316-'check-Jul25'!AJ316)</f>
        <v/>
      </c>
      <c r="AK316" t="str">
        <f>IF('1. Live'!AK316='check-Jul25'!AK316,"",'1. Live'!AK316-'check-Jul25'!AK316)</f>
        <v/>
      </c>
      <c r="AL316" t="str">
        <f>IF('1. Live'!AL316='check-Jul25'!AL316,"",'1. Live'!AL316-'check-Jul25'!AL316)</f>
        <v/>
      </c>
      <c r="AM316" t="str">
        <f>IF('1. Live'!AM316='check-Jul25'!AM316,"",'1. Live'!AM316-'check-Jul25'!AM316)</f>
        <v/>
      </c>
      <c r="AN316" t="str">
        <f>IF('1. Live'!AN316='check-Jul25'!AN316,"",'1. Live'!AN316-'check-Jul25'!AN316)</f>
        <v/>
      </c>
      <c r="AO316" t="str">
        <f>IF('1. Live'!AO316='check-Jul25'!AO316,"",'1. Live'!AO316-'check-Jul25'!AO316)</f>
        <v/>
      </c>
      <c r="AP316" t="str">
        <f>IF('1. Live'!AP316='check-Jul25'!AP316,"",'1. Live'!AP316-'check-Jul25'!AP316)</f>
        <v/>
      </c>
      <c r="AQ316" t="str">
        <f>IF('1. Live'!AQ316='check-Jul25'!AQ316,"",'1. Live'!AQ316-'check-Jul25'!AQ316)</f>
        <v/>
      </c>
      <c r="AR316" t="str">
        <f>IF('1. Live'!AR316='check-Jul25'!AR316,"",'1. Live'!AR316-'check-Jul25'!AR316)</f>
        <v/>
      </c>
      <c r="AS316" t="str">
        <f>IF('1. Live'!AS316='check-Jul25'!AS316,"",'1. Live'!AS316-'check-Jul25'!AS316)</f>
        <v/>
      </c>
      <c r="AT316" t="str">
        <f>IF('1. Live'!AT316='check-Jul25'!AT316,"",'1. Live'!AT316-'check-Jul25'!AT316)</f>
        <v/>
      </c>
      <c r="AU316" t="str">
        <f>IF('1. Live'!AU316='check-Jul25'!AU316,"",'1. Live'!AU316-'check-Jul25'!AU316)</f>
        <v/>
      </c>
      <c r="AV316" t="str">
        <f>IF('1. Live'!AV316='check-Jul25'!AV316,"",'1. Live'!AV316-'check-Jul25'!AV316)</f>
        <v/>
      </c>
      <c r="AW316" t="str">
        <f>IF('1. Live'!AW316='check-Jul25'!AW316,"",'1. Live'!AW316-'check-Jul25'!AW316)</f>
        <v/>
      </c>
      <c r="AX316" t="str">
        <f>IF('1. Live'!AX316='check-Jul25'!AX316,"",'1. Live'!AX316-'check-Jul25'!AX316)</f>
        <v/>
      </c>
      <c r="AY316" t="str">
        <f>IF('1. Live'!AY316='check-Jul25'!AY316,"",'1. Live'!AY316-'check-Jul25'!AY316)</f>
        <v/>
      </c>
      <c r="AZ316" t="str">
        <f>IF('1. Live'!AZ316='check-Jul25'!AZ316,"",'1. Live'!AZ316-'check-Jul25'!AZ316)</f>
        <v/>
      </c>
      <c r="BA316" t="str">
        <f>IF('1. Live'!BA316='check-Jul25'!BA316,"",'1. Live'!BA316-'check-Jul25'!BA316)</f>
        <v/>
      </c>
      <c r="BB316" t="str">
        <f>IF('1. Live'!BB316='check-Jul25'!BB316,"",'1. Live'!BB316-'check-Jul25'!BB316)</f>
        <v/>
      </c>
      <c r="BC316" t="str">
        <f>IF('1. Live'!BC316='check-Jul25'!BC316,"",'1. Live'!BC316-'check-Jul25'!BC316)</f>
        <v/>
      </c>
      <c r="BD316" t="str">
        <f>IF('1. Live'!BD316='check-Jul25'!BD316,"",'1. Live'!BD316-'check-Jul25'!BD316)</f>
        <v/>
      </c>
      <c r="BE316" t="str">
        <f>IF('1. Live'!BE316='check-Jul25'!BE316,"",'1. Live'!BE316-'check-Jul25'!BE316)</f>
        <v/>
      </c>
      <c r="BF316" t="str">
        <f>IF('1. Live'!BF316='check-Jul25'!BF316,"",'1. Live'!BF316-'check-Jul25'!BF316)</f>
        <v/>
      </c>
      <c r="BG316" t="str">
        <f>IF('1. Live'!BG316='check-Jul25'!BG316,"",'1. Live'!BG316-'check-Jul25'!BG316)</f>
        <v/>
      </c>
      <c r="BH316" t="str">
        <f>IF('1. Live'!BH316='check-Jul25'!BH316,"",'1. Live'!BH316-'check-Jul25'!BH316)</f>
        <v/>
      </c>
      <c r="BI316" t="str">
        <f>IF('1. Live'!BI316='check-Jul25'!BI316,"",'1. Live'!BI316-'check-Jul25'!BI316)</f>
        <v/>
      </c>
      <c r="BJ316" t="str">
        <f>IF('1. Live'!BJ316='check-Jul25'!BJ316,"",'1. Live'!BJ316-'check-Jul25'!BJ316)</f>
        <v/>
      </c>
      <c r="BK316" t="str">
        <f>IF('1. Live'!BK316='check-Jul25'!BK316,"",'1. Live'!BK316-'check-Jul25'!BK316)</f>
        <v/>
      </c>
      <c r="BL316" t="str">
        <f>IF('1. Live'!BL316='check-Jul25'!BL316,"",'1. Live'!BL316-'check-Jul25'!BL316)</f>
        <v/>
      </c>
      <c r="BM316" t="str">
        <f>IF('1. Live'!BM316='check-Jul25'!BM316,"",'1. Live'!BM316-'check-Jul25'!BM316)</f>
        <v/>
      </c>
      <c r="BN316" t="str">
        <f>IF('1. Live'!BN316='check-Jul25'!BN316,"",'1. Live'!BN316-'check-Jul25'!BN316)</f>
        <v/>
      </c>
      <c r="BO316" t="str">
        <f>IF('1. Live'!BO316='check-Jul25'!BO316,"",'1. Live'!BO316-'check-Jul25'!BO316)</f>
        <v/>
      </c>
      <c r="BP316" t="str">
        <f>IF('1. Live'!BP316='check-Jul25'!BP316,"",'1. Live'!BP316-'check-Jul25'!BP316)</f>
        <v/>
      </c>
      <c r="BQ316" t="str">
        <f>IF('1. Live'!BQ316='check-Jul25'!BQ316,"",'1. Live'!BQ316-'check-Jul25'!BQ316)</f>
        <v/>
      </c>
      <c r="BR316" t="str">
        <f>IF('1. Live'!BR316='check-Jul25'!BR316,"",'1. Live'!BR316-'check-Jul25'!BR316)</f>
        <v/>
      </c>
      <c r="BS316" t="str">
        <f>IF('1. Live'!BS316='check-Jul25'!BS316,"",'1. Live'!BS316-'check-Jul25'!BS316)</f>
        <v/>
      </c>
      <c r="BT316" t="str">
        <f>IF('1. Live'!BT316='check-Jul25'!BT316,"",'1. Live'!BT316-'check-Jul25'!BT316)</f>
        <v/>
      </c>
      <c r="BU316" t="str">
        <f>IF('1. Live'!BU316='check-Jul25'!BU316,"",'1. Live'!BU316-'check-Jul25'!BU316)</f>
        <v/>
      </c>
      <c r="BV316" t="str">
        <f>IF('1. Live'!BV316='check-Jul25'!BV316,"",'1. Live'!BV316-'check-Jul25'!BV316)</f>
        <v/>
      </c>
      <c r="BW316" t="str">
        <f>IF('1. Live'!BW316='check-Jul25'!BW316,"",'1. Live'!BW316-'check-Jul25'!BW316)</f>
        <v/>
      </c>
      <c r="BX316" t="str">
        <f>IF('1. Live'!BX316='check-Jul25'!BX316,"",'1. Live'!BX316-'check-Jul25'!BX316)</f>
        <v/>
      </c>
      <c r="BY316" t="str">
        <f>IF('1. Live'!BY316='check-Jul25'!BY316,"",'1. Live'!BY316-'check-Jul25'!BY316)</f>
        <v/>
      </c>
      <c r="BZ316" t="str">
        <f>IF('1. Live'!BZ316='check-Jul25'!BZ316,"",'1. Live'!BZ316-'check-Jul25'!BZ316)</f>
        <v/>
      </c>
      <c r="CA316" t="str">
        <f>IF('1. Live'!CA316='check-Jul25'!CA316,"",'1. Live'!CA316-'check-Jul25'!CA316)</f>
        <v/>
      </c>
      <c r="CB316" t="str">
        <f>IF('1. Live'!CB316='check-Jul25'!CB316,"",'1. Live'!CB316-'check-Jul25'!CB316)</f>
        <v/>
      </c>
      <c r="CC316" t="str">
        <f>IF('1. Live'!CC316='check-Jul25'!CC316,"",'1. Live'!CC316-'check-Jul25'!CC316)</f>
        <v/>
      </c>
      <c r="CD316" t="str">
        <f>IF('1. Live'!CD316='check-Jul25'!CD316,"",'1. Live'!CD316-'check-Jul25'!CD316)</f>
        <v/>
      </c>
      <c r="CE316" t="str">
        <f>IF('1. Live'!CE316='check-Jul25'!CE316,"",'1. Live'!CE316-'check-Jul25'!CE316)</f>
        <v/>
      </c>
      <c r="CF316" t="str">
        <f>IF('1. Live'!CF316='check-Jul25'!CF316,"",'1. Live'!CF316-'check-Jul25'!CF316)</f>
        <v/>
      </c>
      <c r="CG316" t="str">
        <f>IF('1. Live'!CG316='check-Jul25'!CG316,"",'1. Live'!CG316-'check-Jul25'!CG316)</f>
        <v/>
      </c>
      <c r="CH316" t="str">
        <f>IF('1. Live'!CH316='check-Jul25'!CH316,"",'1. Live'!CH316-'check-Jul25'!CH316)</f>
        <v/>
      </c>
      <c r="CI316" t="str">
        <f>IF('1. Live'!CI316='check-Jul25'!CI316,"",'1. Live'!CI316-'check-Jul25'!CI316)</f>
        <v/>
      </c>
      <c r="CJ316" t="str">
        <f>IF('1. Live'!CJ316='check-Jul25'!CJ316,"",'1. Live'!CJ316-'check-Jul25'!CJ316)</f>
        <v/>
      </c>
      <c r="CK316" t="str">
        <f>IF('1. Live'!CK316='check-Jul25'!CK316,"",'1. Live'!CK316-'check-Jul25'!CK316)</f>
        <v/>
      </c>
      <c r="CL316" t="str">
        <f>IF('1. Live'!CL316='check-Jul25'!CL316,"",'1. Live'!CL316-'check-Jul25'!CL316)</f>
        <v/>
      </c>
      <c r="CM316" t="str">
        <f>IF('1. Live'!CM316='check-Jul25'!CM316,"",'1. Live'!CM316-'check-Jul25'!CM316)</f>
        <v/>
      </c>
      <c r="CN316" t="str">
        <f>IF('1. Live'!CN316='check-Jul25'!CN316,"",'1. Live'!CN316-'check-Jul25'!CN316)</f>
        <v/>
      </c>
      <c r="CO316" t="str">
        <f>IF('1. Live'!CO316='check-Jul25'!CO316,"",'1. Live'!CO316-'check-Jul25'!CO316)</f>
        <v/>
      </c>
      <c r="CP316" t="str">
        <f>IF('1. Live'!CP316='check-Jul25'!CP316,"",'1. Live'!CP316-'check-Jul25'!CP316)</f>
        <v/>
      </c>
      <c r="CQ316" t="str">
        <f>IF('1. Live'!CQ316='check-Jul25'!CQ316,"",'1. Live'!CQ316-'check-Jul25'!CQ316)</f>
        <v/>
      </c>
      <c r="CR316" t="str">
        <f>IF('1. Live'!CR316='check-Jul25'!CR316,"",'1. Live'!CR316-'check-Jul25'!CR316)</f>
        <v/>
      </c>
      <c r="CS316" t="str">
        <f>IF('1. Live'!CS316='check-Jul25'!CS316,"",'1. Live'!CS316-'check-Jul25'!CS316)</f>
        <v/>
      </c>
      <c r="CT316" t="str">
        <f>IF('1. Live'!CT316='check-Jul25'!CT316,"",'1. Live'!CT316-'check-Jul25'!CT316)</f>
        <v/>
      </c>
      <c r="CU316" t="str">
        <f>IF('1. Live'!CU316='check-Jul25'!CU316,"",'1. Live'!CU316-'check-Jul25'!CU316)</f>
        <v/>
      </c>
      <c r="CV316" t="str">
        <f>IF('1. Live'!CV316='check-Jul25'!CV316,"",'1. Live'!CV316-'check-Jul25'!CV316)</f>
        <v/>
      </c>
      <c r="CW316" t="str">
        <f>IF('1. Live'!CW316='check-Jul25'!CW316,"",'1. Live'!CW316-'check-Jul25'!CW316)</f>
        <v/>
      </c>
    </row>
    <row r="317" spans="10:101">
      <c r="J317" t="str">
        <f>IF('1. Live'!J317='check-Jul25'!J317,"",'1. Live'!J317-'check-Jul25'!J317)</f>
        <v/>
      </c>
      <c r="K317" t="str">
        <f>IF('1. Live'!K317='check-Jul25'!K317,"",'1. Live'!K317-'check-Jul25'!K317)</f>
        <v/>
      </c>
      <c r="L317" t="str">
        <f>IF('1. Live'!L317='check-Jul25'!L317,"",'1. Live'!L317-'check-Jul25'!L317)</f>
        <v/>
      </c>
      <c r="M317" t="str">
        <f>IF('1. Live'!M317='check-Jul25'!M317,"",'1. Live'!M317-'check-Jul25'!M317)</f>
        <v/>
      </c>
      <c r="N317" t="str">
        <f>IF('1. Live'!N317='check-Jul25'!N317,"",'1. Live'!N317-'check-Jul25'!N317)</f>
        <v/>
      </c>
      <c r="O317" t="str">
        <f>IF('1. Live'!O317='check-Jul25'!O317,"",'1. Live'!O317-'check-Jul25'!O317)</f>
        <v/>
      </c>
      <c r="P317" t="str">
        <f>IF('1. Live'!P317='check-Jul25'!P317,"",'1. Live'!P317-'check-Jul25'!P317)</f>
        <v/>
      </c>
      <c r="Q317" t="str">
        <f>IF('1. Live'!Q317='check-Jul25'!Q317,"",'1. Live'!Q317-'check-Jul25'!Q317)</f>
        <v/>
      </c>
      <c r="R317" t="str">
        <f>IF('1. Live'!R317='check-Jul25'!R317,"",'1. Live'!R317-'check-Jul25'!R317)</f>
        <v/>
      </c>
      <c r="S317" t="str">
        <f>IF('1. Live'!S317='check-Jul25'!S317,"",'1. Live'!S317-'check-Jul25'!S317)</f>
        <v/>
      </c>
      <c r="T317" t="str">
        <f>IF('1. Live'!T317='check-Jul25'!T317,"",'1. Live'!T317-'check-Jul25'!T317)</f>
        <v/>
      </c>
      <c r="U317" t="str">
        <f>IF('1. Live'!U317='check-Jul25'!U317,"",'1. Live'!U317-'check-Jul25'!U317)</f>
        <v/>
      </c>
      <c r="V317" t="str">
        <f>IF('1. Live'!V317='check-Jul25'!V317,"",'1. Live'!V317-'check-Jul25'!V317)</f>
        <v/>
      </c>
      <c r="W317" t="str">
        <f>IF('1. Live'!W317='check-Jul25'!W317,"",'1. Live'!W317-'check-Jul25'!W317)</f>
        <v/>
      </c>
      <c r="X317" t="str">
        <f>IF('1. Live'!X317='check-Jul25'!X317,"",'1. Live'!X317-'check-Jul25'!X317)</f>
        <v/>
      </c>
      <c r="Y317" t="str">
        <f>IF('1. Live'!Y317='check-Jul25'!Y317,"",'1. Live'!Y317-'check-Jul25'!Y317)</f>
        <v/>
      </c>
      <c r="Z317" t="str">
        <f>IF('1. Live'!Z317='check-Jul25'!Z317,"",'1. Live'!Z317-'check-Jul25'!Z317)</f>
        <v/>
      </c>
      <c r="AA317" t="str">
        <f>IF('1. Live'!AA317='check-Jul25'!AA317,"",'1. Live'!AA317-'check-Jul25'!AA317)</f>
        <v/>
      </c>
      <c r="AB317" t="str">
        <f>IF('1. Live'!AB317='check-Jul25'!AB317,"",'1. Live'!AB317-'check-Jul25'!AB317)</f>
        <v/>
      </c>
      <c r="AC317" t="str">
        <f>IF('1. Live'!AC317='check-Jul25'!AC317,"",'1. Live'!AC317-'check-Jul25'!AC317)</f>
        <v/>
      </c>
      <c r="AD317" t="str">
        <f>IF('1. Live'!AD317='check-Jul25'!AD317,"",'1. Live'!AD317-'check-Jul25'!AD317)</f>
        <v/>
      </c>
      <c r="AE317" t="str">
        <f>IF('1. Live'!AE317='check-Jul25'!AE317,"",'1. Live'!AE317-'check-Jul25'!AE317)</f>
        <v/>
      </c>
      <c r="AF317" t="str">
        <f>IF('1. Live'!AF317='check-Jul25'!AF317,"",'1. Live'!AF317-'check-Jul25'!AF317)</f>
        <v/>
      </c>
      <c r="AG317" t="str">
        <f>IF('1. Live'!AG317='check-Jul25'!AG317,"",'1. Live'!AG317-'check-Jul25'!AG317)</f>
        <v/>
      </c>
      <c r="AH317" t="str">
        <f>IF('1. Live'!AH317='check-Jul25'!AH317,"",'1. Live'!AH317-'check-Jul25'!AH317)</f>
        <v/>
      </c>
      <c r="AI317" t="str">
        <f>IF('1. Live'!AI317='check-Jul25'!AI317,"",'1. Live'!AI317-'check-Jul25'!AI317)</f>
        <v/>
      </c>
      <c r="AJ317" t="str">
        <f>IF('1. Live'!AJ317='check-Jul25'!AJ317,"",'1. Live'!AJ317-'check-Jul25'!AJ317)</f>
        <v/>
      </c>
      <c r="AK317" t="str">
        <f>IF('1. Live'!AK317='check-Jul25'!AK317,"",'1. Live'!AK317-'check-Jul25'!AK317)</f>
        <v/>
      </c>
      <c r="AL317" t="str">
        <f>IF('1. Live'!AL317='check-Jul25'!AL317,"",'1. Live'!AL317-'check-Jul25'!AL317)</f>
        <v/>
      </c>
      <c r="AM317" t="str">
        <f>IF('1. Live'!AM317='check-Jul25'!AM317,"",'1. Live'!AM317-'check-Jul25'!AM317)</f>
        <v/>
      </c>
      <c r="AN317" t="str">
        <f>IF('1. Live'!AN317='check-Jul25'!AN317,"",'1. Live'!AN317-'check-Jul25'!AN317)</f>
        <v/>
      </c>
      <c r="AO317" t="str">
        <f>IF('1. Live'!AO317='check-Jul25'!AO317,"",'1. Live'!AO317-'check-Jul25'!AO317)</f>
        <v/>
      </c>
      <c r="AP317" t="str">
        <f>IF('1. Live'!AP317='check-Jul25'!AP317,"",'1. Live'!AP317-'check-Jul25'!AP317)</f>
        <v/>
      </c>
      <c r="AQ317" t="str">
        <f>IF('1. Live'!AQ317='check-Jul25'!AQ317,"",'1. Live'!AQ317-'check-Jul25'!AQ317)</f>
        <v/>
      </c>
      <c r="AR317" t="str">
        <f>IF('1. Live'!AR317='check-Jul25'!AR317,"",'1. Live'!AR317-'check-Jul25'!AR317)</f>
        <v/>
      </c>
      <c r="AS317" t="str">
        <f>IF('1. Live'!AS317='check-Jul25'!AS317,"",'1. Live'!AS317-'check-Jul25'!AS317)</f>
        <v/>
      </c>
      <c r="AT317" t="str">
        <f>IF('1. Live'!AT317='check-Jul25'!AT317,"",'1. Live'!AT317-'check-Jul25'!AT317)</f>
        <v/>
      </c>
      <c r="AU317" t="str">
        <f>IF('1. Live'!AU317='check-Jul25'!AU317,"",'1. Live'!AU317-'check-Jul25'!AU317)</f>
        <v/>
      </c>
      <c r="AV317" t="str">
        <f>IF('1. Live'!AV317='check-Jul25'!AV317,"",'1. Live'!AV317-'check-Jul25'!AV317)</f>
        <v/>
      </c>
      <c r="AW317" t="str">
        <f>IF('1. Live'!AW317='check-Jul25'!AW317,"",'1. Live'!AW317-'check-Jul25'!AW317)</f>
        <v/>
      </c>
      <c r="AX317" t="str">
        <f>IF('1. Live'!AX317='check-Jul25'!AX317,"",'1. Live'!AX317-'check-Jul25'!AX317)</f>
        <v/>
      </c>
      <c r="AY317" t="str">
        <f>IF('1. Live'!AY317='check-Jul25'!AY317,"",'1. Live'!AY317-'check-Jul25'!AY317)</f>
        <v/>
      </c>
      <c r="AZ317" t="str">
        <f>IF('1. Live'!AZ317='check-Jul25'!AZ317,"",'1. Live'!AZ317-'check-Jul25'!AZ317)</f>
        <v/>
      </c>
      <c r="BA317" t="str">
        <f>IF('1. Live'!BA317='check-Jul25'!BA317,"",'1. Live'!BA317-'check-Jul25'!BA317)</f>
        <v/>
      </c>
      <c r="BB317" t="str">
        <f>IF('1. Live'!BB317='check-Jul25'!BB317,"",'1. Live'!BB317-'check-Jul25'!BB317)</f>
        <v/>
      </c>
      <c r="BC317" t="str">
        <f>IF('1. Live'!BC317='check-Jul25'!BC317,"",'1. Live'!BC317-'check-Jul25'!BC317)</f>
        <v/>
      </c>
      <c r="BD317" t="str">
        <f>IF('1. Live'!BD317='check-Jul25'!BD317,"",'1. Live'!BD317-'check-Jul25'!BD317)</f>
        <v/>
      </c>
      <c r="BE317" t="str">
        <f>IF('1. Live'!BE317='check-Jul25'!BE317,"",'1. Live'!BE317-'check-Jul25'!BE317)</f>
        <v/>
      </c>
      <c r="BF317" t="str">
        <f>IF('1. Live'!BF317='check-Jul25'!BF317,"",'1. Live'!BF317-'check-Jul25'!BF317)</f>
        <v/>
      </c>
      <c r="BG317" t="str">
        <f>IF('1. Live'!BG317='check-Jul25'!BG317,"",'1. Live'!BG317-'check-Jul25'!BG317)</f>
        <v/>
      </c>
      <c r="BH317" t="str">
        <f>IF('1. Live'!BH317='check-Jul25'!BH317,"",'1. Live'!BH317-'check-Jul25'!BH317)</f>
        <v/>
      </c>
      <c r="BI317" t="str">
        <f>IF('1. Live'!BI317='check-Jul25'!BI317,"",'1. Live'!BI317-'check-Jul25'!BI317)</f>
        <v/>
      </c>
      <c r="BJ317" t="str">
        <f>IF('1. Live'!BJ317='check-Jul25'!BJ317,"",'1. Live'!BJ317-'check-Jul25'!BJ317)</f>
        <v/>
      </c>
      <c r="BK317" t="str">
        <f>IF('1. Live'!BK317='check-Jul25'!BK317,"",'1. Live'!BK317-'check-Jul25'!BK317)</f>
        <v/>
      </c>
      <c r="BL317" t="str">
        <f>IF('1. Live'!BL317='check-Jul25'!BL317,"",'1. Live'!BL317-'check-Jul25'!BL317)</f>
        <v/>
      </c>
      <c r="BM317" t="str">
        <f>IF('1. Live'!BM317='check-Jul25'!BM317,"",'1. Live'!BM317-'check-Jul25'!BM317)</f>
        <v/>
      </c>
      <c r="BN317" t="str">
        <f>IF('1. Live'!BN317='check-Jul25'!BN317,"",'1. Live'!BN317-'check-Jul25'!BN317)</f>
        <v/>
      </c>
      <c r="BO317" t="str">
        <f>IF('1. Live'!BO317='check-Jul25'!BO317,"",'1. Live'!BO317-'check-Jul25'!BO317)</f>
        <v/>
      </c>
      <c r="BP317" t="str">
        <f>IF('1. Live'!BP317='check-Jul25'!BP317,"",'1. Live'!BP317-'check-Jul25'!BP317)</f>
        <v/>
      </c>
      <c r="BQ317" t="str">
        <f>IF('1. Live'!BQ317='check-Jul25'!BQ317,"",'1. Live'!BQ317-'check-Jul25'!BQ317)</f>
        <v/>
      </c>
      <c r="BR317" t="str">
        <f>IF('1. Live'!BR317='check-Jul25'!BR317,"",'1. Live'!BR317-'check-Jul25'!BR317)</f>
        <v/>
      </c>
      <c r="BS317" t="str">
        <f>IF('1. Live'!BS317='check-Jul25'!BS317,"",'1. Live'!BS317-'check-Jul25'!BS317)</f>
        <v/>
      </c>
      <c r="BT317" t="str">
        <f>IF('1. Live'!BT317='check-Jul25'!BT317,"",'1. Live'!BT317-'check-Jul25'!BT317)</f>
        <v/>
      </c>
      <c r="BU317" t="str">
        <f>IF('1. Live'!BU317='check-Jul25'!BU317,"",'1. Live'!BU317-'check-Jul25'!BU317)</f>
        <v/>
      </c>
      <c r="BV317" t="str">
        <f>IF('1. Live'!BV317='check-Jul25'!BV317,"",'1. Live'!BV317-'check-Jul25'!BV317)</f>
        <v/>
      </c>
      <c r="BW317" t="str">
        <f>IF('1. Live'!BW317='check-Jul25'!BW317,"",'1. Live'!BW317-'check-Jul25'!BW317)</f>
        <v/>
      </c>
      <c r="BX317" t="str">
        <f>IF('1. Live'!BX317='check-Jul25'!BX317,"",'1. Live'!BX317-'check-Jul25'!BX317)</f>
        <v/>
      </c>
      <c r="BY317" t="str">
        <f>IF('1. Live'!BY317='check-Jul25'!BY317,"",'1. Live'!BY317-'check-Jul25'!BY317)</f>
        <v/>
      </c>
      <c r="BZ317" t="str">
        <f>IF('1. Live'!BZ317='check-Jul25'!BZ317,"",'1. Live'!BZ317-'check-Jul25'!BZ317)</f>
        <v/>
      </c>
      <c r="CA317" t="str">
        <f>IF('1. Live'!CA317='check-Jul25'!CA317,"",'1. Live'!CA317-'check-Jul25'!CA317)</f>
        <v/>
      </c>
      <c r="CB317" t="str">
        <f>IF('1. Live'!CB317='check-Jul25'!CB317,"",'1. Live'!CB317-'check-Jul25'!CB317)</f>
        <v/>
      </c>
      <c r="CC317" t="str">
        <f>IF('1. Live'!CC317='check-Jul25'!CC317,"",'1. Live'!CC317-'check-Jul25'!CC317)</f>
        <v/>
      </c>
      <c r="CD317" t="str">
        <f>IF('1. Live'!CD317='check-Jul25'!CD317,"",'1. Live'!CD317-'check-Jul25'!CD317)</f>
        <v/>
      </c>
      <c r="CE317" t="str">
        <f>IF('1. Live'!CE317='check-Jul25'!CE317,"",'1. Live'!CE317-'check-Jul25'!CE317)</f>
        <v/>
      </c>
      <c r="CF317" t="str">
        <f>IF('1. Live'!CF317='check-Jul25'!CF317,"",'1. Live'!CF317-'check-Jul25'!CF317)</f>
        <v/>
      </c>
      <c r="CG317" t="str">
        <f>IF('1. Live'!CG317='check-Jul25'!CG317,"",'1. Live'!CG317-'check-Jul25'!CG317)</f>
        <v/>
      </c>
      <c r="CH317" t="str">
        <f>IF('1. Live'!CH317='check-Jul25'!CH317,"",'1. Live'!CH317-'check-Jul25'!CH317)</f>
        <v/>
      </c>
      <c r="CI317" t="str">
        <f>IF('1. Live'!CI317='check-Jul25'!CI317,"",'1. Live'!CI317-'check-Jul25'!CI317)</f>
        <v/>
      </c>
      <c r="CJ317" t="str">
        <f>IF('1. Live'!CJ317='check-Jul25'!CJ317,"",'1. Live'!CJ317-'check-Jul25'!CJ317)</f>
        <v/>
      </c>
      <c r="CK317" t="str">
        <f>IF('1. Live'!CK317='check-Jul25'!CK317,"",'1. Live'!CK317-'check-Jul25'!CK317)</f>
        <v/>
      </c>
      <c r="CL317" t="str">
        <f>IF('1. Live'!CL317='check-Jul25'!CL317,"",'1. Live'!CL317-'check-Jul25'!CL317)</f>
        <v/>
      </c>
      <c r="CM317" t="str">
        <f>IF('1. Live'!CM317='check-Jul25'!CM317,"",'1. Live'!CM317-'check-Jul25'!CM317)</f>
        <v/>
      </c>
      <c r="CN317" t="str">
        <f>IF('1. Live'!CN317='check-Jul25'!CN317,"",'1. Live'!CN317-'check-Jul25'!CN317)</f>
        <v/>
      </c>
      <c r="CO317" t="str">
        <f>IF('1. Live'!CO317='check-Jul25'!CO317,"",'1. Live'!CO317-'check-Jul25'!CO317)</f>
        <v/>
      </c>
      <c r="CP317" t="str">
        <f>IF('1. Live'!CP317='check-Jul25'!CP317,"",'1. Live'!CP317-'check-Jul25'!CP317)</f>
        <v/>
      </c>
      <c r="CQ317" t="str">
        <f>IF('1. Live'!CQ317='check-Jul25'!CQ317,"",'1. Live'!CQ317-'check-Jul25'!CQ317)</f>
        <v/>
      </c>
      <c r="CR317" t="str">
        <f>IF('1. Live'!CR317='check-Jul25'!CR317,"",'1. Live'!CR317-'check-Jul25'!CR317)</f>
        <v/>
      </c>
      <c r="CS317" t="str">
        <f>IF('1. Live'!CS317='check-Jul25'!CS317,"",'1. Live'!CS317-'check-Jul25'!CS317)</f>
        <v/>
      </c>
      <c r="CT317" t="str">
        <f>IF('1. Live'!CT317='check-Jul25'!CT317,"",'1. Live'!CT317-'check-Jul25'!CT317)</f>
        <v/>
      </c>
      <c r="CU317" t="str">
        <f>IF('1. Live'!CU317='check-Jul25'!CU317,"",'1. Live'!CU317-'check-Jul25'!CU317)</f>
        <v/>
      </c>
      <c r="CV317" t="str">
        <f>IF('1. Live'!CV317='check-Jul25'!CV317,"",'1. Live'!CV317-'check-Jul25'!CV317)</f>
        <v/>
      </c>
      <c r="CW317" t="str">
        <f>IF('1. Live'!CW317='check-Jul25'!CW317,"",'1. Live'!CW317-'check-Jul25'!CW317)</f>
        <v/>
      </c>
    </row>
    <row r="318" spans="10:101">
      <c r="J318" t="str">
        <f>IF('1. Live'!J318='check-Jul25'!J318,"",'1. Live'!J318-'check-Jul25'!J318)</f>
        <v/>
      </c>
      <c r="K318" t="str">
        <f>IF('1. Live'!K318='check-Jul25'!K318,"",'1. Live'!K318-'check-Jul25'!K318)</f>
        <v/>
      </c>
      <c r="L318" t="str">
        <f>IF('1. Live'!L318='check-Jul25'!L318,"",'1. Live'!L318-'check-Jul25'!L318)</f>
        <v/>
      </c>
      <c r="M318" t="str">
        <f>IF('1. Live'!M318='check-Jul25'!M318,"",'1. Live'!M318-'check-Jul25'!M318)</f>
        <v/>
      </c>
      <c r="N318" t="str">
        <f>IF('1. Live'!N318='check-Jul25'!N318,"",'1. Live'!N318-'check-Jul25'!N318)</f>
        <v/>
      </c>
      <c r="O318" t="str">
        <f>IF('1. Live'!O318='check-Jul25'!O318,"",'1. Live'!O318-'check-Jul25'!O318)</f>
        <v/>
      </c>
      <c r="P318" t="str">
        <f>IF('1. Live'!P318='check-Jul25'!P318,"",'1. Live'!P318-'check-Jul25'!P318)</f>
        <v/>
      </c>
      <c r="Q318" t="str">
        <f>IF('1. Live'!Q318='check-Jul25'!Q318,"",'1. Live'!Q318-'check-Jul25'!Q318)</f>
        <v/>
      </c>
      <c r="R318" t="str">
        <f>IF('1. Live'!R318='check-Jul25'!R318,"",'1. Live'!R318-'check-Jul25'!R318)</f>
        <v/>
      </c>
      <c r="S318" t="str">
        <f>IF('1. Live'!S318='check-Jul25'!S318,"",'1. Live'!S318-'check-Jul25'!S318)</f>
        <v/>
      </c>
      <c r="T318" t="str">
        <f>IF('1. Live'!T318='check-Jul25'!T318,"",'1. Live'!T318-'check-Jul25'!T318)</f>
        <v/>
      </c>
      <c r="U318" t="str">
        <f>IF('1. Live'!U318='check-Jul25'!U318,"",'1. Live'!U318-'check-Jul25'!U318)</f>
        <v/>
      </c>
      <c r="V318" t="str">
        <f>IF('1. Live'!V318='check-Jul25'!V318,"",'1. Live'!V318-'check-Jul25'!V318)</f>
        <v/>
      </c>
      <c r="W318" t="str">
        <f>IF('1. Live'!W318='check-Jul25'!W318,"",'1. Live'!W318-'check-Jul25'!W318)</f>
        <v/>
      </c>
      <c r="X318" t="str">
        <f>IF('1. Live'!X318='check-Jul25'!X318,"",'1. Live'!X318-'check-Jul25'!X318)</f>
        <v/>
      </c>
      <c r="Y318" t="str">
        <f>IF('1. Live'!Y318='check-Jul25'!Y318,"",'1. Live'!Y318-'check-Jul25'!Y318)</f>
        <v/>
      </c>
      <c r="Z318" t="str">
        <f>IF('1. Live'!Z318='check-Jul25'!Z318,"",'1. Live'!Z318-'check-Jul25'!Z318)</f>
        <v/>
      </c>
      <c r="AA318" t="str">
        <f>IF('1. Live'!AA318='check-Jul25'!AA318,"",'1. Live'!AA318-'check-Jul25'!AA318)</f>
        <v/>
      </c>
      <c r="AB318" t="str">
        <f>IF('1. Live'!AB318='check-Jul25'!AB318,"",'1. Live'!AB318-'check-Jul25'!AB318)</f>
        <v/>
      </c>
      <c r="AC318" t="str">
        <f>IF('1. Live'!AC318='check-Jul25'!AC318,"",'1. Live'!AC318-'check-Jul25'!AC318)</f>
        <v/>
      </c>
      <c r="AD318" t="str">
        <f>IF('1. Live'!AD318='check-Jul25'!AD318,"",'1. Live'!AD318-'check-Jul25'!AD318)</f>
        <v/>
      </c>
      <c r="AE318" t="str">
        <f>IF('1. Live'!AE318='check-Jul25'!AE318,"",'1. Live'!AE318-'check-Jul25'!AE318)</f>
        <v/>
      </c>
      <c r="AF318" t="str">
        <f>IF('1. Live'!AF318='check-Jul25'!AF318,"",'1. Live'!AF318-'check-Jul25'!AF318)</f>
        <v/>
      </c>
      <c r="AG318" t="str">
        <f>IF('1. Live'!AG318='check-Jul25'!AG318,"",'1. Live'!AG318-'check-Jul25'!AG318)</f>
        <v/>
      </c>
      <c r="AH318" t="str">
        <f>IF('1. Live'!AH318='check-Jul25'!AH318,"",'1. Live'!AH318-'check-Jul25'!AH318)</f>
        <v/>
      </c>
      <c r="AI318" t="str">
        <f>IF('1. Live'!AI318='check-Jul25'!AI318,"",'1. Live'!AI318-'check-Jul25'!AI318)</f>
        <v/>
      </c>
      <c r="AJ318" t="str">
        <f>IF('1. Live'!AJ318='check-Jul25'!AJ318,"",'1. Live'!AJ318-'check-Jul25'!AJ318)</f>
        <v/>
      </c>
      <c r="AK318" t="str">
        <f>IF('1. Live'!AK318='check-Jul25'!AK318,"",'1. Live'!AK318-'check-Jul25'!AK318)</f>
        <v/>
      </c>
      <c r="AL318" t="str">
        <f>IF('1. Live'!AL318='check-Jul25'!AL318,"",'1. Live'!AL318-'check-Jul25'!AL318)</f>
        <v/>
      </c>
      <c r="AM318" t="str">
        <f>IF('1. Live'!AM318='check-Jul25'!AM318,"",'1. Live'!AM318-'check-Jul25'!AM318)</f>
        <v/>
      </c>
      <c r="AN318" t="str">
        <f>IF('1. Live'!AN318='check-Jul25'!AN318,"",'1. Live'!AN318-'check-Jul25'!AN318)</f>
        <v/>
      </c>
      <c r="AO318" t="str">
        <f>IF('1. Live'!AO318='check-Jul25'!AO318,"",'1. Live'!AO318-'check-Jul25'!AO318)</f>
        <v/>
      </c>
      <c r="AP318" t="str">
        <f>IF('1. Live'!AP318='check-Jul25'!AP318,"",'1. Live'!AP318-'check-Jul25'!AP318)</f>
        <v/>
      </c>
      <c r="AQ318" t="str">
        <f>IF('1. Live'!AQ318='check-Jul25'!AQ318,"",'1. Live'!AQ318-'check-Jul25'!AQ318)</f>
        <v/>
      </c>
      <c r="AR318" t="str">
        <f>IF('1. Live'!AR318='check-Jul25'!AR318,"",'1. Live'!AR318-'check-Jul25'!AR318)</f>
        <v/>
      </c>
      <c r="AS318" t="str">
        <f>IF('1. Live'!AS318='check-Jul25'!AS318,"",'1. Live'!AS318-'check-Jul25'!AS318)</f>
        <v/>
      </c>
      <c r="AT318" t="str">
        <f>IF('1. Live'!AT318='check-Jul25'!AT318,"",'1. Live'!AT318-'check-Jul25'!AT318)</f>
        <v/>
      </c>
      <c r="AU318" t="str">
        <f>IF('1. Live'!AU318='check-Jul25'!AU318,"",'1. Live'!AU318-'check-Jul25'!AU318)</f>
        <v/>
      </c>
      <c r="AV318" t="str">
        <f>IF('1. Live'!AV318='check-Jul25'!AV318,"",'1. Live'!AV318-'check-Jul25'!AV318)</f>
        <v/>
      </c>
      <c r="AW318" t="str">
        <f>IF('1. Live'!AW318='check-Jul25'!AW318,"",'1. Live'!AW318-'check-Jul25'!AW318)</f>
        <v/>
      </c>
      <c r="AX318" t="str">
        <f>IF('1. Live'!AX318='check-Jul25'!AX318,"",'1. Live'!AX318-'check-Jul25'!AX318)</f>
        <v/>
      </c>
      <c r="AY318" t="str">
        <f>IF('1. Live'!AY318='check-Jul25'!AY318,"",'1. Live'!AY318-'check-Jul25'!AY318)</f>
        <v/>
      </c>
      <c r="AZ318" t="str">
        <f>IF('1. Live'!AZ318='check-Jul25'!AZ318,"",'1. Live'!AZ318-'check-Jul25'!AZ318)</f>
        <v/>
      </c>
      <c r="BA318" t="str">
        <f>IF('1. Live'!BA318='check-Jul25'!BA318,"",'1. Live'!BA318-'check-Jul25'!BA318)</f>
        <v/>
      </c>
      <c r="BB318" t="str">
        <f>IF('1. Live'!BB318='check-Jul25'!BB318,"",'1. Live'!BB318-'check-Jul25'!BB318)</f>
        <v/>
      </c>
      <c r="BC318" t="str">
        <f>IF('1. Live'!BC318='check-Jul25'!BC318,"",'1. Live'!BC318-'check-Jul25'!BC318)</f>
        <v/>
      </c>
      <c r="BD318" t="str">
        <f>IF('1. Live'!BD318='check-Jul25'!BD318,"",'1. Live'!BD318-'check-Jul25'!BD318)</f>
        <v/>
      </c>
      <c r="BE318" t="str">
        <f>IF('1. Live'!BE318='check-Jul25'!BE318,"",'1. Live'!BE318-'check-Jul25'!BE318)</f>
        <v/>
      </c>
      <c r="BF318" t="str">
        <f>IF('1. Live'!BF318='check-Jul25'!BF318,"",'1. Live'!BF318-'check-Jul25'!BF318)</f>
        <v/>
      </c>
      <c r="BG318" t="str">
        <f>IF('1. Live'!BG318='check-Jul25'!BG318,"",'1. Live'!BG318-'check-Jul25'!BG318)</f>
        <v/>
      </c>
      <c r="BH318" t="str">
        <f>IF('1. Live'!BH318='check-Jul25'!BH318,"",'1. Live'!BH318-'check-Jul25'!BH318)</f>
        <v/>
      </c>
      <c r="BI318" t="str">
        <f>IF('1. Live'!BI318='check-Jul25'!BI318,"",'1. Live'!BI318-'check-Jul25'!BI318)</f>
        <v/>
      </c>
      <c r="BJ318" t="str">
        <f>IF('1. Live'!BJ318='check-Jul25'!BJ318,"",'1. Live'!BJ318-'check-Jul25'!BJ318)</f>
        <v/>
      </c>
      <c r="BK318" t="str">
        <f>IF('1. Live'!BK318='check-Jul25'!BK318,"",'1. Live'!BK318-'check-Jul25'!BK318)</f>
        <v/>
      </c>
      <c r="BL318" t="str">
        <f>IF('1. Live'!BL318='check-Jul25'!BL318,"",'1. Live'!BL318-'check-Jul25'!BL318)</f>
        <v/>
      </c>
      <c r="BM318" t="str">
        <f>IF('1. Live'!BM318='check-Jul25'!BM318,"",'1. Live'!BM318-'check-Jul25'!BM318)</f>
        <v/>
      </c>
      <c r="BN318" t="str">
        <f>IF('1. Live'!BN318='check-Jul25'!BN318,"",'1. Live'!BN318-'check-Jul25'!BN318)</f>
        <v/>
      </c>
      <c r="BO318" t="str">
        <f>IF('1. Live'!BO318='check-Jul25'!BO318,"",'1. Live'!BO318-'check-Jul25'!BO318)</f>
        <v/>
      </c>
      <c r="BP318" t="str">
        <f>IF('1. Live'!BP318='check-Jul25'!BP318,"",'1. Live'!BP318-'check-Jul25'!BP318)</f>
        <v/>
      </c>
      <c r="BQ318" t="str">
        <f>IF('1. Live'!BQ318='check-Jul25'!BQ318,"",'1. Live'!BQ318-'check-Jul25'!BQ318)</f>
        <v/>
      </c>
      <c r="BR318" t="str">
        <f>IF('1. Live'!BR318='check-Jul25'!BR318,"",'1. Live'!BR318-'check-Jul25'!BR318)</f>
        <v/>
      </c>
      <c r="BS318" t="str">
        <f>IF('1. Live'!BS318='check-Jul25'!BS318,"",'1. Live'!BS318-'check-Jul25'!BS318)</f>
        <v/>
      </c>
      <c r="BT318" t="str">
        <f>IF('1. Live'!BT318='check-Jul25'!BT318,"",'1. Live'!BT318-'check-Jul25'!BT318)</f>
        <v/>
      </c>
      <c r="BU318" t="str">
        <f>IF('1. Live'!BU318='check-Jul25'!BU318,"",'1. Live'!BU318-'check-Jul25'!BU318)</f>
        <v/>
      </c>
      <c r="BV318" t="str">
        <f>IF('1. Live'!BV318='check-Jul25'!BV318,"",'1. Live'!BV318-'check-Jul25'!BV318)</f>
        <v/>
      </c>
      <c r="BW318" t="str">
        <f>IF('1. Live'!BW318='check-Jul25'!BW318,"",'1. Live'!BW318-'check-Jul25'!BW318)</f>
        <v/>
      </c>
      <c r="BX318" t="str">
        <f>IF('1. Live'!BX318='check-Jul25'!BX318,"",'1. Live'!BX318-'check-Jul25'!BX318)</f>
        <v/>
      </c>
      <c r="BY318" t="str">
        <f>IF('1. Live'!BY318='check-Jul25'!BY318,"",'1. Live'!BY318-'check-Jul25'!BY318)</f>
        <v/>
      </c>
      <c r="BZ318" t="str">
        <f>IF('1. Live'!BZ318='check-Jul25'!BZ318,"",'1. Live'!BZ318-'check-Jul25'!BZ318)</f>
        <v/>
      </c>
      <c r="CA318" t="str">
        <f>IF('1. Live'!CA318='check-Jul25'!CA318,"",'1. Live'!CA318-'check-Jul25'!CA318)</f>
        <v/>
      </c>
      <c r="CB318" t="str">
        <f>IF('1. Live'!CB318='check-Jul25'!CB318,"",'1. Live'!CB318-'check-Jul25'!CB318)</f>
        <v/>
      </c>
      <c r="CC318" t="str">
        <f>IF('1. Live'!CC318='check-Jul25'!CC318,"",'1. Live'!CC318-'check-Jul25'!CC318)</f>
        <v/>
      </c>
      <c r="CD318" t="str">
        <f>IF('1. Live'!CD318='check-Jul25'!CD318,"",'1. Live'!CD318-'check-Jul25'!CD318)</f>
        <v/>
      </c>
      <c r="CE318" t="str">
        <f>IF('1. Live'!CE318='check-Jul25'!CE318,"",'1. Live'!CE318-'check-Jul25'!CE318)</f>
        <v/>
      </c>
      <c r="CF318" t="str">
        <f>IF('1. Live'!CF318='check-Jul25'!CF318,"",'1. Live'!CF318-'check-Jul25'!CF318)</f>
        <v/>
      </c>
      <c r="CG318" t="str">
        <f>IF('1. Live'!CG318='check-Jul25'!CG318,"",'1. Live'!CG318-'check-Jul25'!CG318)</f>
        <v/>
      </c>
      <c r="CH318" t="str">
        <f>IF('1. Live'!CH318='check-Jul25'!CH318,"",'1. Live'!CH318-'check-Jul25'!CH318)</f>
        <v/>
      </c>
      <c r="CI318" t="str">
        <f>IF('1. Live'!CI318='check-Jul25'!CI318,"",'1. Live'!CI318-'check-Jul25'!CI318)</f>
        <v/>
      </c>
      <c r="CJ318" t="str">
        <f>IF('1. Live'!CJ318='check-Jul25'!CJ318,"",'1. Live'!CJ318-'check-Jul25'!CJ318)</f>
        <v/>
      </c>
      <c r="CK318" t="str">
        <f>IF('1. Live'!CK318='check-Jul25'!CK318,"",'1. Live'!CK318-'check-Jul25'!CK318)</f>
        <v/>
      </c>
      <c r="CL318" t="str">
        <f>IF('1. Live'!CL318='check-Jul25'!CL318,"",'1. Live'!CL318-'check-Jul25'!CL318)</f>
        <v/>
      </c>
      <c r="CM318" t="str">
        <f>IF('1. Live'!CM318='check-Jul25'!CM318,"",'1. Live'!CM318-'check-Jul25'!CM318)</f>
        <v/>
      </c>
      <c r="CN318" t="str">
        <f>IF('1. Live'!CN318='check-Jul25'!CN318,"",'1. Live'!CN318-'check-Jul25'!CN318)</f>
        <v/>
      </c>
      <c r="CO318" t="str">
        <f>IF('1. Live'!CO318='check-Jul25'!CO318,"",'1. Live'!CO318-'check-Jul25'!CO318)</f>
        <v/>
      </c>
      <c r="CP318" t="str">
        <f>IF('1. Live'!CP318='check-Jul25'!CP318,"",'1. Live'!CP318-'check-Jul25'!CP318)</f>
        <v/>
      </c>
      <c r="CQ318" t="str">
        <f>IF('1. Live'!CQ318='check-Jul25'!CQ318,"",'1. Live'!CQ318-'check-Jul25'!CQ318)</f>
        <v/>
      </c>
      <c r="CR318" t="str">
        <f>IF('1. Live'!CR318='check-Jul25'!CR318,"",'1. Live'!CR318-'check-Jul25'!CR318)</f>
        <v/>
      </c>
      <c r="CS318" t="str">
        <f>IF('1. Live'!CS318='check-Jul25'!CS318,"",'1. Live'!CS318-'check-Jul25'!CS318)</f>
        <v/>
      </c>
      <c r="CT318" t="str">
        <f>IF('1. Live'!CT318='check-Jul25'!CT318,"",'1. Live'!CT318-'check-Jul25'!CT318)</f>
        <v/>
      </c>
      <c r="CU318" t="str">
        <f>IF('1. Live'!CU318='check-Jul25'!CU318,"",'1. Live'!CU318-'check-Jul25'!CU318)</f>
        <v/>
      </c>
      <c r="CV318" t="str">
        <f>IF('1. Live'!CV318='check-Jul25'!CV318,"",'1. Live'!CV318-'check-Jul25'!CV318)</f>
        <v/>
      </c>
      <c r="CW318" t="str">
        <f>IF('1. Live'!CW318='check-Jul25'!CW318,"",'1. Live'!CW318-'check-Jul25'!CW318)</f>
        <v/>
      </c>
    </row>
    <row r="319" spans="10:101">
      <c r="J319" t="str">
        <f>IF('1. Live'!J319='check-Jul25'!J319,"",'1. Live'!J319-'check-Jul25'!J319)</f>
        <v/>
      </c>
      <c r="K319" t="str">
        <f>IF('1. Live'!K319='check-Jul25'!K319,"",'1. Live'!K319-'check-Jul25'!K319)</f>
        <v/>
      </c>
      <c r="L319" t="str">
        <f>IF('1. Live'!L319='check-Jul25'!L319,"",'1. Live'!L319-'check-Jul25'!L319)</f>
        <v/>
      </c>
      <c r="M319" t="str">
        <f>IF('1. Live'!M319='check-Jul25'!M319,"",'1. Live'!M319-'check-Jul25'!M319)</f>
        <v/>
      </c>
      <c r="N319" t="str">
        <f>IF('1. Live'!N319='check-Jul25'!N319,"",'1. Live'!N319-'check-Jul25'!N319)</f>
        <v/>
      </c>
      <c r="O319" t="str">
        <f>IF('1. Live'!O319='check-Jul25'!O319,"",'1. Live'!O319-'check-Jul25'!O319)</f>
        <v/>
      </c>
      <c r="P319" t="str">
        <f>IF('1. Live'!P319='check-Jul25'!P319,"",'1. Live'!P319-'check-Jul25'!P319)</f>
        <v/>
      </c>
      <c r="Q319" t="str">
        <f>IF('1. Live'!Q319='check-Jul25'!Q319,"",'1. Live'!Q319-'check-Jul25'!Q319)</f>
        <v/>
      </c>
      <c r="R319" t="str">
        <f>IF('1. Live'!R319='check-Jul25'!R319,"",'1. Live'!R319-'check-Jul25'!R319)</f>
        <v/>
      </c>
      <c r="S319" t="str">
        <f>IF('1. Live'!S319='check-Jul25'!S319,"",'1. Live'!S319-'check-Jul25'!S319)</f>
        <v/>
      </c>
      <c r="T319" t="str">
        <f>IF('1. Live'!T319='check-Jul25'!T319,"",'1. Live'!T319-'check-Jul25'!T319)</f>
        <v/>
      </c>
      <c r="U319" t="str">
        <f>IF('1. Live'!U319='check-Jul25'!U319,"",'1. Live'!U319-'check-Jul25'!U319)</f>
        <v/>
      </c>
      <c r="V319" t="str">
        <f>IF('1. Live'!V319='check-Jul25'!V319,"",'1. Live'!V319-'check-Jul25'!V319)</f>
        <v/>
      </c>
      <c r="W319" t="str">
        <f>IF('1. Live'!W319='check-Jul25'!W319,"",'1. Live'!W319-'check-Jul25'!W319)</f>
        <v/>
      </c>
      <c r="X319" t="str">
        <f>IF('1. Live'!X319='check-Jul25'!X319,"",'1. Live'!X319-'check-Jul25'!X319)</f>
        <v/>
      </c>
      <c r="Y319" t="str">
        <f>IF('1. Live'!Y319='check-Jul25'!Y319,"",'1. Live'!Y319-'check-Jul25'!Y319)</f>
        <v/>
      </c>
      <c r="Z319" t="str">
        <f>IF('1. Live'!Z319='check-Jul25'!Z319,"",'1. Live'!Z319-'check-Jul25'!Z319)</f>
        <v/>
      </c>
      <c r="AA319" t="str">
        <f>IF('1. Live'!AA319='check-Jul25'!AA319,"",'1. Live'!AA319-'check-Jul25'!AA319)</f>
        <v/>
      </c>
      <c r="AB319" t="str">
        <f>IF('1. Live'!AB319='check-Jul25'!AB319,"",'1. Live'!AB319-'check-Jul25'!AB319)</f>
        <v/>
      </c>
      <c r="AC319" t="str">
        <f>IF('1. Live'!AC319='check-Jul25'!AC319,"",'1. Live'!AC319-'check-Jul25'!AC319)</f>
        <v/>
      </c>
      <c r="AD319" t="str">
        <f>IF('1. Live'!AD319='check-Jul25'!AD319,"",'1. Live'!AD319-'check-Jul25'!AD319)</f>
        <v/>
      </c>
      <c r="AE319" t="str">
        <f>IF('1. Live'!AE319='check-Jul25'!AE319,"",'1. Live'!AE319-'check-Jul25'!AE319)</f>
        <v/>
      </c>
      <c r="AF319" t="str">
        <f>IF('1. Live'!AF319='check-Jul25'!AF319,"",'1. Live'!AF319-'check-Jul25'!AF319)</f>
        <v/>
      </c>
      <c r="AG319" t="str">
        <f>IF('1. Live'!AG319='check-Jul25'!AG319,"",'1. Live'!AG319-'check-Jul25'!AG319)</f>
        <v/>
      </c>
      <c r="AH319" t="str">
        <f>IF('1. Live'!AH319='check-Jul25'!AH319,"",'1. Live'!AH319-'check-Jul25'!AH319)</f>
        <v/>
      </c>
      <c r="AI319" t="str">
        <f>IF('1. Live'!AI319='check-Jul25'!AI319,"",'1. Live'!AI319-'check-Jul25'!AI319)</f>
        <v/>
      </c>
      <c r="AJ319" t="str">
        <f>IF('1. Live'!AJ319='check-Jul25'!AJ319,"",'1. Live'!AJ319-'check-Jul25'!AJ319)</f>
        <v/>
      </c>
      <c r="AK319" t="str">
        <f>IF('1. Live'!AK319='check-Jul25'!AK319,"",'1. Live'!AK319-'check-Jul25'!AK319)</f>
        <v/>
      </c>
      <c r="AL319" t="str">
        <f>IF('1. Live'!AL319='check-Jul25'!AL319,"",'1. Live'!AL319-'check-Jul25'!AL319)</f>
        <v/>
      </c>
      <c r="AM319" t="str">
        <f>IF('1. Live'!AM319='check-Jul25'!AM319,"",'1. Live'!AM319-'check-Jul25'!AM319)</f>
        <v/>
      </c>
      <c r="AN319" t="str">
        <f>IF('1. Live'!AN319='check-Jul25'!AN319,"",'1. Live'!AN319-'check-Jul25'!AN319)</f>
        <v/>
      </c>
      <c r="AO319" t="str">
        <f>IF('1. Live'!AO319='check-Jul25'!AO319,"",'1. Live'!AO319-'check-Jul25'!AO319)</f>
        <v/>
      </c>
      <c r="AP319" t="str">
        <f>IF('1. Live'!AP319='check-Jul25'!AP319,"",'1. Live'!AP319-'check-Jul25'!AP319)</f>
        <v/>
      </c>
      <c r="AQ319" t="str">
        <f>IF('1. Live'!AQ319='check-Jul25'!AQ319,"",'1. Live'!AQ319-'check-Jul25'!AQ319)</f>
        <v/>
      </c>
      <c r="AR319" t="str">
        <f>IF('1. Live'!AR319='check-Jul25'!AR319,"",'1. Live'!AR319-'check-Jul25'!AR319)</f>
        <v/>
      </c>
      <c r="AS319" t="str">
        <f>IF('1. Live'!AS319='check-Jul25'!AS319,"",'1. Live'!AS319-'check-Jul25'!AS319)</f>
        <v/>
      </c>
      <c r="AT319" t="str">
        <f>IF('1. Live'!AT319='check-Jul25'!AT319,"",'1. Live'!AT319-'check-Jul25'!AT319)</f>
        <v/>
      </c>
      <c r="AU319" t="str">
        <f>IF('1. Live'!AU319='check-Jul25'!AU319,"",'1. Live'!AU319-'check-Jul25'!AU319)</f>
        <v/>
      </c>
      <c r="AV319" t="str">
        <f>IF('1. Live'!AV319='check-Jul25'!AV319,"",'1. Live'!AV319-'check-Jul25'!AV319)</f>
        <v/>
      </c>
      <c r="AW319" t="str">
        <f>IF('1. Live'!AW319='check-Jul25'!AW319,"",'1. Live'!AW319-'check-Jul25'!AW319)</f>
        <v/>
      </c>
      <c r="AX319" t="str">
        <f>IF('1. Live'!AX319='check-Jul25'!AX319,"",'1. Live'!AX319-'check-Jul25'!AX319)</f>
        <v/>
      </c>
      <c r="AY319" t="str">
        <f>IF('1. Live'!AY319='check-Jul25'!AY319,"",'1. Live'!AY319-'check-Jul25'!AY319)</f>
        <v/>
      </c>
      <c r="AZ319" t="str">
        <f>IF('1. Live'!AZ319='check-Jul25'!AZ319,"",'1. Live'!AZ319-'check-Jul25'!AZ319)</f>
        <v/>
      </c>
      <c r="BA319" t="str">
        <f>IF('1. Live'!BA319='check-Jul25'!BA319,"",'1. Live'!BA319-'check-Jul25'!BA319)</f>
        <v/>
      </c>
      <c r="BB319" t="str">
        <f>IF('1. Live'!BB319='check-Jul25'!BB319,"",'1. Live'!BB319-'check-Jul25'!BB319)</f>
        <v/>
      </c>
      <c r="BC319" t="str">
        <f>IF('1. Live'!BC319='check-Jul25'!BC319,"",'1. Live'!BC319-'check-Jul25'!BC319)</f>
        <v/>
      </c>
      <c r="BD319" t="str">
        <f>IF('1. Live'!BD319='check-Jul25'!BD319,"",'1. Live'!BD319-'check-Jul25'!BD319)</f>
        <v/>
      </c>
      <c r="BE319" t="str">
        <f>IF('1. Live'!BE319='check-Jul25'!BE319,"",'1. Live'!BE319-'check-Jul25'!BE319)</f>
        <v/>
      </c>
      <c r="BF319" t="str">
        <f>IF('1. Live'!BF319='check-Jul25'!BF319,"",'1. Live'!BF319-'check-Jul25'!BF319)</f>
        <v/>
      </c>
      <c r="BG319" t="str">
        <f>IF('1. Live'!BG319='check-Jul25'!BG319,"",'1. Live'!BG319-'check-Jul25'!BG319)</f>
        <v/>
      </c>
      <c r="BH319" t="str">
        <f>IF('1. Live'!BH319='check-Jul25'!BH319,"",'1. Live'!BH319-'check-Jul25'!BH319)</f>
        <v/>
      </c>
      <c r="BI319" t="str">
        <f>IF('1. Live'!BI319='check-Jul25'!BI319,"",'1. Live'!BI319-'check-Jul25'!BI319)</f>
        <v/>
      </c>
      <c r="BJ319" t="str">
        <f>IF('1. Live'!BJ319='check-Jul25'!BJ319,"",'1. Live'!BJ319-'check-Jul25'!BJ319)</f>
        <v/>
      </c>
      <c r="BK319" t="str">
        <f>IF('1. Live'!BK319='check-Jul25'!BK319,"",'1. Live'!BK319-'check-Jul25'!BK319)</f>
        <v/>
      </c>
      <c r="BL319" t="str">
        <f>IF('1. Live'!BL319='check-Jul25'!BL319,"",'1. Live'!BL319-'check-Jul25'!BL319)</f>
        <v/>
      </c>
      <c r="BM319" t="str">
        <f>IF('1. Live'!BM319='check-Jul25'!BM319,"",'1. Live'!BM319-'check-Jul25'!BM319)</f>
        <v/>
      </c>
      <c r="BN319" t="str">
        <f>IF('1. Live'!BN319='check-Jul25'!BN319,"",'1. Live'!BN319-'check-Jul25'!BN319)</f>
        <v/>
      </c>
      <c r="BO319" t="str">
        <f>IF('1. Live'!BO319='check-Jul25'!BO319,"",'1. Live'!BO319-'check-Jul25'!BO319)</f>
        <v/>
      </c>
      <c r="BP319" t="str">
        <f>IF('1. Live'!BP319='check-Jul25'!BP319,"",'1. Live'!BP319-'check-Jul25'!BP319)</f>
        <v/>
      </c>
      <c r="BQ319" t="str">
        <f>IF('1. Live'!BQ319='check-Jul25'!BQ319,"",'1. Live'!BQ319-'check-Jul25'!BQ319)</f>
        <v/>
      </c>
      <c r="BR319" t="str">
        <f>IF('1. Live'!BR319='check-Jul25'!BR319,"",'1. Live'!BR319-'check-Jul25'!BR319)</f>
        <v/>
      </c>
      <c r="BS319" t="str">
        <f>IF('1. Live'!BS319='check-Jul25'!BS319,"",'1. Live'!BS319-'check-Jul25'!BS319)</f>
        <v/>
      </c>
      <c r="BT319" t="str">
        <f>IF('1. Live'!BT319='check-Jul25'!BT319,"",'1. Live'!BT319-'check-Jul25'!BT319)</f>
        <v/>
      </c>
      <c r="BU319" t="str">
        <f>IF('1. Live'!BU319='check-Jul25'!BU319,"",'1. Live'!BU319-'check-Jul25'!BU319)</f>
        <v/>
      </c>
      <c r="BV319" t="str">
        <f>IF('1. Live'!BV319='check-Jul25'!BV319,"",'1. Live'!BV319-'check-Jul25'!BV319)</f>
        <v/>
      </c>
      <c r="BW319" t="str">
        <f>IF('1. Live'!BW319='check-Jul25'!BW319,"",'1. Live'!BW319-'check-Jul25'!BW319)</f>
        <v/>
      </c>
      <c r="BX319" t="str">
        <f>IF('1. Live'!BX319='check-Jul25'!BX319,"",'1. Live'!BX319-'check-Jul25'!BX319)</f>
        <v/>
      </c>
      <c r="BY319" t="str">
        <f>IF('1. Live'!BY319='check-Jul25'!BY319,"",'1. Live'!BY319-'check-Jul25'!BY319)</f>
        <v/>
      </c>
      <c r="BZ319" t="str">
        <f>IF('1. Live'!BZ319='check-Jul25'!BZ319,"",'1. Live'!BZ319-'check-Jul25'!BZ319)</f>
        <v/>
      </c>
      <c r="CA319" t="str">
        <f>IF('1. Live'!CA319='check-Jul25'!CA319,"",'1. Live'!CA319-'check-Jul25'!CA319)</f>
        <v/>
      </c>
      <c r="CB319" t="str">
        <f>IF('1. Live'!CB319='check-Jul25'!CB319,"",'1. Live'!CB319-'check-Jul25'!CB319)</f>
        <v/>
      </c>
      <c r="CC319" t="str">
        <f>IF('1. Live'!CC319='check-Jul25'!CC319,"",'1. Live'!CC319-'check-Jul25'!CC319)</f>
        <v/>
      </c>
      <c r="CD319" t="str">
        <f>IF('1. Live'!CD319='check-Jul25'!CD319,"",'1. Live'!CD319-'check-Jul25'!CD319)</f>
        <v/>
      </c>
      <c r="CE319" t="str">
        <f>IF('1. Live'!CE319='check-Jul25'!CE319,"",'1. Live'!CE319-'check-Jul25'!CE319)</f>
        <v/>
      </c>
      <c r="CF319" t="str">
        <f>IF('1. Live'!CF319='check-Jul25'!CF319,"",'1. Live'!CF319-'check-Jul25'!CF319)</f>
        <v/>
      </c>
      <c r="CG319" t="str">
        <f>IF('1. Live'!CG319='check-Jul25'!CG319,"",'1. Live'!CG319-'check-Jul25'!CG319)</f>
        <v/>
      </c>
      <c r="CH319" t="str">
        <f>IF('1. Live'!CH319='check-Jul25'!CH319,"",'1. Live'!CH319-'check-Jul25'!CH319)</f>
        <v/>
      </c>
      <c r="CI319" t="str">
        <f>IF('1. Live'!CI319='check-Jul25'!CI319,"",'1. Live'!CI319-'check-Jul25'!CI319)</f>
        <v/>
      </c>
      <c r="CJ319" t="str">
        <f>IF('1. Live'!CJ319='check-Jul25'!CJ319,"",'1. Live'!CJ319-'check-Jul25'!CJ319)</f>
        <v/>
      </c>
      <c r="CK319" t="str">
        <f>IF('1. Live'!CK319='check-Jul25'!CK319,"",'1. Live'!CK319-'check-Jul25'!CK319)</f>
        <v/>
      </c>
      <c r="CL319" t="str">
        <f>IF('1. Live'!CL319='check-Jul25'!CL319,"",'1. Live'!CL319-'check-Jul25'!CL319)</f>
        <v/>
      </c>
      <c r="CM319" t="str">
        <f>IF('1. Live'!CM319='check-Jul25'!CM319,"",'1. Live'!CM319-'check-Jul25'!CM319)</f>
        <v/>
      </c>
      <c r="CN319" t="str">
        <f>IF('1. Live'!CN319='check-Jul25'!CN319,"",'1. Live'!CN319-'check-Jul25'!CN319)</f>
        <v/>
      </c>
      <c r="CO319" t="str">
        <f>IF('1. Live'!CO319='check-Jul25'!CO319,"",'1. Live'!CO319-'check-Jul25'!CO319)</f>
        <v/>
      </c>
      <c r="CP319" t="str">
        <f>IF('1. Live'!CP319='check-Jul25'!CP319,"",'1. Live'!CP319-'check-Jul25'!CP319)</f>
        <v/>
      </c>
      <c r="CQ319" t="str">
        <f>IF('1. Live'!CQ319='check-Jul25'!CQ319,"",'1. Live'!CQ319-'check-Jul25'!CQ319)</f>
        <v/>
      </c>
      <c r="CR319" t="str">
        <f>IF('1. Live'!CR319='check-Jul25'!CR319,"",'1. Live'!CR319-'check-Jul25'!CR319)</f>
        <v/>
      </c>
      <c r="CS319" t="str">
        <f>IF('1. Live'!CS319='check-Jul25'!CS319,"",'1. Live'!CS319-'check-Jul25'!CS319)</f>
        <v/>
      </c>
      <c r="CT319" t="str">
        <f>IF('1. Live'!CT319='check-Jul25'!CT319,"",'1. Live'!CT319-'check-Jul25'!CT319)</f>
        <v/>
      </c>
      <c r="CU319" t="str">
        <f>IF('1. Live'!CU319='check-Jul25'!CU319,"",'1. Live'!CU319-'check-Jul25'!CU319)</f>
        <v/>
      </c>
      <c r="CV319" t="str">
        <f>IF('1. Live'!CV319='check-Jul25'!CV319,"",'1. Live'!CV319-'check-Jul25'!CV319)</f>
        <v/>
      </c>
      <c r="CW319" t="str">
        <f>IF('1. Live'!CW319='check-Jul25'!CW319,"",'1. Live'!CW319-'check-Jul25'!CW319)</f>
        <v/>
      </c>
    </row>
    <row r="320" spans="10:101">
      <c r="J320" t="str">
        <f>IF('1. Live'!J320='check-Jul25'!J320,"",'1. Live'!J320-'check-Jul25'!J320)</f>
        <v/>
      </c>
      <c r="K320" t="str">
        <f>IF('1. Live'!K320='check-Jul25'!K320,"",'1. Live'!K320-'check-Jul25'!K320)</f>
        <v/>
      </c>
      <c r="L320" t="str">
        <f>IF('1. Live'!L320='check-Jul25'!L320,"",'1. Live'!L320-'check-Jul25'!L320)</f>
        <v/>
      </c>
      <c r="M320" t="str">
        <f>IF('1. Live'!M320='check-Jul25'!M320,"",'1. Live'!M320-'check-Jul25'!M320)</f>
        <v/>
      </c>
      <c r="N320" t="str">
        <f>IF('1. Live'!N320='check-Jul25'!N320,"",'1. Live'!N320-'check-Jul25'!N320)</f>
        <v/>
      </c>
      <c r="O320" t="str">
        <f>IF('1. Live'!O320='check-Jul25'!O320,"",'1. Live'!O320-'check-Jul25'!O320)</f>
        <v/>
      </c>
      <c r="P320" t="str">
        <f>IF('1. Live'!P320='check-Jul25'!P320,"",'1. Live'!P320-'check-Jul25'!P320)</f>
        <v/>
      </c>
      <c r="Q320" t="str">
        <f>IF('1. Live'!Q320='check-Jul25'!Q320,"",'1. Live'!Q320-'check-Jul25'!Q320)</f>
        <v/>
      </c>
      <c r="R320" t="str">
        <f>IF('1. Live'!R320='check-Jul25'!R320,"",'1. Live'!R320-'check-Jul25'!R320)</f>
        <v/>
      </c>
      <c r="S320" t="str">
        <f>IF('1. Live'!S320='check-Jul25'!S320,"",'1. Live'!S320-'check-Jul25'!S320)</f>
        <v/>
      </c>
      <c r="T320" t="str">
        <f>IF('1. Live'!T320='check-Jul25'!T320,"",'1. Live'!T320-'check-Jul25'!T320)</f>
        <v/>
      </c>
      <c r="U320" t="str">
        <f>IF('1. Live'!U320='check-Jul25'!U320,"",'1. Live'!U320-'check-Jul25'!U320)</f>
        <v/>
      </c>
      <c r="V320" t="str">
        <f>IF('1. Live'!V320='check-Jul25'!V320,"",'1. Live'!V320-'check-Jul25'!V320)</f>
        <v/>
      </c>
      <c r="W320" t="str">
        <f>IF('1. Live'!W320='check-Jul25'!W320,"",'1. Live'!W320-'check-Jul25'!W320)</f>
        <v/>
      </c>
      <c r="X320" t="str">
        <f>IF('1. Live'!X320='check-Jul25'!X320,"",'1. Live'!X320-'check-Jul25'!X320)</f>
        <v/>
      </c>
      <c r="Y320" t="str">
        <f>IF('1. Live'!Y320='check-Jul25'!Y320,"",'1. Live'!Y320-'check-Jul25'!Y320)</f>
        <v/>
      </c>
      <c r="Z320" t="str">
        <f>IF('1. Live'!Z320='check-Jul25'!Z320,"",'1. Live'!Z320-'check-Jul25'!Z320)</f>
        <v/>
      </c>
      <c r="AA320" t="str">
        <f>IF('1. Live'!AA320='check-Jul25'!AA320,"",'1. Live'!AA320-'check-Jul25'!AA320)</f>
        <v/>
      </c>
      <c r="AB320" t="str">
        <f>IF('1. Live'!AB320='check-Jul25'!AB320,"",'1. Live'!AB320-'check-Jul25'!AB320)</f>
        <v/>
      </c>
      <c r="AC320" t="str">
        <f>IF('1. Live'!AC320='check-Jul25'!AC320,"",'1. Live'!AC320-'check-Jul25'!AC320)</f>
        <v/>
      </c>
      <c r="AD320" t="str">
        <f>IF('1. Live'!AD320='check-Jul25'!AD320,"",'1. Live'!AD320-'check-Jul25'!AD320)</f>
        <v/>
      </c>
      <c r="AE320" t="str">
        <f>IF('1. Live'!AE320='check-Jul25'!AE320,"",'1. Live'!AE320-'check-Jul25'!AE320)</f>
        <v/>
      </c>
      <c r="AF320" t="str">
        <f>IF('1. Live'!AF320='check-Jul25'!AF320,"",'1. Live'!AF320-'check-Jul25'!AF320)</f>
        <v/>
      </c>
      <c r="AG320" t="str">
        <f>IF('1. Live'!AG320='check-Jul25'!AG320,"",'1. Live'!AG320-'check-Jul25'!AG320)</f>
        <v/>
      </c>
      <c r="AH320" t="str">
        <f>IF('1. Live'!AH320='check-Jul25'!AH320,"",'1. Live'!AH320-'check-Jul25'!AH320)</f>
        <v/>
      </c>
      <c r="AI320" t="str">
        <f>IF('1. Live'!AI320='check-Jul25'!AI320,"",'1. Live'!AI320-'check-Jul25'!AI320)</f>
        <v/>
      </c>
      <c r="AJ320" t="str">
        <f>IF('1. Live'!AJ320='check-Jul25'!AJ320,"",'1. Live'!AJ320-'check-Jul25'!AJ320)</f>
        <v/>
      </c>
      <c r="AK320" t="str">
        <f>IF('1. Live'!AK320='check-Jul25'!AK320,"",'1. Live'!AK320-'check-Jul25'!AK320)</f>
        <v/>
      </c>
      <c r="AL320" t="str">
        <f>IF('1. Live'!AL320='check-Jul25'!AL320,"",'1. Live'!AL320-'check-Jul25'!AL320)</f>
        <v/>
      </c>
      <c r="AM320" t="str">
        <f>IF('1. Live'!AM320='check-Jul25'!AM320,"",'1. Live'!AM320-'check-Jul25'!AM320)</f>
        <v/>
      </c>
      <c r="AN320" t="str">
        <f>IF('1. Live'!AN320='check-Jul25'!AN320,"",'1. Live'!AN320-'check-Jul25'!AN320)</f>
        <v/>
      </c>
      <c r="AO320" t="str">
        <f>IF('1. Live'!AO320='check-Jul25'!AO320,"",'1. Live'!AO320-'check-Jul25'!AO320)</f>
        <v/>
      </c>
      <c r="AP320" t="str">
        <f>IF('1. Live'!AP320='check-Jul25'!AP320,"",'1. Live'!AP320-'check-Jul25'!AP320)</f>
        <v/>
      </c>
      <c r="AQ320" t="str">
        <f>IF('1. Live'!AQ320='check-Jul25'!AQ320,"",'1. Live'!AQ320-'check-Jul25'!AQ320)</f>
        <v/>
      </c>
      <c r="AR320" t="str">
        <f>IF('1. Live'!AR320='check-Jul25'!AR320,"",'1. Live'!AR320-'check-Jul25'!AR320)</f>
        <v/>
      </c>
      <c r="AS320" t="str">
        <f>IF('1. Live'!AS320='check-Jul25'!AS320,"",'1. Live'!AS320-'check-Jul25'!AS320)</f>
        <v/>
      </c>
      <c r="AT320" t="str">
        <f>IF('1. Live'!AT320='check-Jul25'!AT320,"",'1. Live'!AT320-'check-Jul25'!AT320)</f>
        <v/>
      </c>
      <c r="AU320" t="str">
        <f>IF('1. Live'!AU320='check-Jul25'!AU320,"",'1. Live'!AU320-'check-Jul25'!AU320)</f>
        <v/>
      </c>
      <c r="AV320" t="str">
        <f>IF('1. Live'!AV320='check-Jul25'!AV320,"",'1. Live'!AV320-'check-Jul25'!AV320)</f>
        <v/>
      </c>
      <c r="AW320" t="str">
        <f>IF('1. Live'!AW320='check-Jul25'!AW320,"",'1. Live'!AW320-'check-Jul25'!AW320)</f>
        <v/>
      </c>
      <c r="AX320" t="str">
        <f>IF('1. Live'!AX320='check-Jul25'!AX320,"",'1. Live'!AX320-'check-Jul25'!AX320)</f>
        <v/>
      </c>
      <c r="AY320" t="str">
        <f>IF('1. Live'!AY320='check-Jul25'!AY320,"",'1. Live'!AY320-'check-Jul25'!AY320)</f>
        <v/>
      </c>
      <c r="AZ320" t="str">
        <f>IF('1. Live'!AZ320='check-Jul25'!AZ320,"",'1. Live'!AZ320-'check-Jul25'!AZ320)</f>
        <v/>
      </c>
      <c r="BA320" t="str">
        <f>IF('1. Live'!BA320='check-Jul25'!BA320,"",'1. Live'!BA320-'check-Jul25'!BA320)</f>
        <v/>
      </c>
      <c r="BB320" t="str">
        <f>IF('1. Live'!BB320='check-Jul25'!BB320,"",'1. Live'!BB320-'check-Jul25'!BB320)</f>
        <v/>
      </c>
      <c r="BC320" t="str">
        <f>IF('1. Live'!BC320='check-Jul25'!BC320,"",'1. Live'!BC320-'check-Jul25'!BC320)</f>
        <v/>
      </c>
      <c r="BD320" t="str">
        <f>IF('1. Live'!BD320='check-Jul25'!BD320,"",'1. Live'!BD320-'check-Jul25'!BD320)</f>
        <v/>
      </c>
      <c r="BE320" t="str">
        <f>IF('1. Live'!BE320='check-Jul25'!BE320,"",'1. Live'!BE320-'check-Jul25'!BE320)</f>
        <v/>
      </c>
      <c r="BF320" t="str">
        <f>IF('1. Live'!BF320='check-Jul25'!BF320,"",'1. Live'!BF320-'check-Jul25'!BF320)</f>
        <v/>
      </c>
      <c r="BG320" t="str">
        <f>IF('1. Live'!BG320='check-Jul25'!BG320,"",'1. Live'!BG320-'check-Jul25'!BG320)</f>
        <v/>
      </c>
      <c r="BH320" t="str">
        <f>IF('1. Live'!BH320='check-Jul25'!BH320,"",'1. Live'!BH320-'check-Jul25'!BH320)</f>
        <v/>
      </c>
      <c r="BI320" t="str">
        <f>IF('1. Live'!BI320='check-Jul25'!BI320,"",'1. Live'!BI320-'check-Jul25'!BI320)</f>
        <v/>
      </c>
      <c r="BJ320" t="str">
        <f>IF('1. Live'!BJ320='check-Jul25'!BJ320,"",'1. Live'!BJ320-'check-Jul25'!BJ320)</f>
        <v/>
      </c>
      <c r="BK320" t="str">
        <f>IF('1. Live'!BK320='check-Jul25'!BK320,"",'1. Live'!BK320-'check-Jul25'!BK320)</f>
        <v/>
      </c>
      <c r="BL320" t="str">
        <f>IF('1. Live'!BL320='check-Jul25'!BL320,"",'1. Live'!BL320-'check-Jul25'!BL320)</f>
        <v/>
      </c>
      <c r="BM320" t="str">
        <f>IF('1. Live'!BM320='check-Jul25'!BM320,"",'1. Live'!BM320-'check-Jul25'!BM320)</f>
        <v/>
      </c>
      <c r="BN320" t="str">
        <f>IF('1. Live'!BN320='check-Jul25'!BN320,"",'1. Live'!BN320-'check-Jul25'!BN320)</f>
        <v/>
      </c>
      <c r="BO320" t="str">
        <f>IF('1. Live'!BO320='check-Jul25'!BO320,"",'1. Live'!BO320-'check-Jul25'!BO320)</f>
        <v/>
      </c>
      <c r="BP320" t="str">
        <f>IF('1. Live'!BP320='check-Jul25'!BP320,"",'1. Live'!BP320-'check-Jul25'!BP320)</f>
        <v/>
      </c>
      <c r="BQ320" t="str">
        <f>IF('1. Live'!BQ320='check-Jul25'!BQ320,"",'1. Live'!BQ320-'check-Jul25'!BQ320)</f>
        <v/>
      </c>
      <c r="BR320" t="str">
        <f>IF('1. Live'!BR320='check-Jul25'!BR320,"",'1. Live'!BR320-'check-Jul25'!BR320)</f>
        <v/>
      </c>
      <c r="BS320" t="str">
        <f>IF('1. Live'!BS320='check-Jul25'!BS320,"",'1. Live'!BS320-'check-Jul25'!BS320)</f>
        <v/>
      </c>
      <c r="BT320" t="str">
        <f>IF('1. Live'!BT320='check-Jul25'!BT320,"",'1. Live'!BT320-'check-Jul25'!BT320)</f>
        <v/>
      </c>
      <c r="BU320" t="str">
        <f>IF('1. Live'!BU320='check-Jul25'!BU320,"",'1. Live'!BU320-'check-Jul25'!BU320)</f>
        <v/>
      </c>
      <c r="BV320" t="str">
        <f>IF('1. Live'!BV320='check-Jul25'!BV320,"",'1. Live'!BV320-'check-Jul25'!BV320)</f>
        <v/>
      </c>
      <c r="BW320" t="str">
        <f>IF('1. Live'!BW320='check-Jul25'!BW320,"",'1. Live'!BW320-'check-Jul25'!BW320)</f>
        <v/>
      </c>
      <c r="BX320" t="str">
        <f>IF('1. Live'!BX320='check-Jul25'!BX320,"",'1. Live'!BX320-'check-Jul25'!BX320)</f>
        <v/>
      </c>
      <c r="BY320" t="str">
        <f>IF('1. Live'!BY320='check-Jul25'!BY320,"",'1. Live'!BY320-'check-Jul25'!BY320)</f>
        <v/>
      </c>
      <c r="BZ320" t="str">
        <f>IF('1. Live'!BZ320='check-Jul25'!BZ320,"",'1. Live'!BZ320-'check-Jul25'!BZ320)</f>
        <v/>
      </c>
      <c r="CA320" t="str">
        <f>IF('1. Live'!CA320='check-Jul25'!CA320,"",'1. Live'!CA320-'check-Jul25'!CA320)</f>
        <v/>
      </c>
      <c r="CB320" t="str">
        <f>IF('1. Live'!CB320='check-Jul25'!CB320,"",'1. Live'!CB320-'check-Jul25'!CB320)</f>
        <v/>
      </c>
      <c r="CC320" t="str">
        <f>IF('1. Live'!CC320='check-Jul25'!CC320,"",'1. Live'!CC320-'check-Jul25'!CC320)</f>
        <v/>
      </c>
      <c r="CD320" t="str">
        <f>IF('1. Live'!CD320='check-Jul25'!CD320,"",'1. Live'!CD320-'check-Jul25'!CD320)</f>
        <v/>
      </c>
      <c r="CE320" t="str">
        <f>IF('1. Live'!CE320='check-Jul25'!CE320,"",'1. Live'!CE320-'check-Jul25'!CE320)</f>
        <v/>
      </c>
      <c r="CF320" t="str">
        <f>IF('1. Live'!CF320='check-Jul25'!CF320,"",'1. Live'!CF320-'check-Jul25'!CF320)</f>
        <v/>
      </c>
      <c r="CG320" t="str">
        <f>IF('1. Live'!CG320='check-Jul25'!CG320,"",'1. Live'!CG320-'check-Jul25'!CG320)</f>
        <v/>
      </c>
      <c r="CH320" t="str">
        <f>IF('1. Live'!CH320='check-Jul25'!CH320,"",'1. Live'!CH320-'check-Jul25'!CH320)</f>
        <v/>
      </c>
      <c r="CI320" t="str">
        <f>IF('1. Live'!CI320='check-Jul25'!CI320,"",'1. Live'!CI320-'check-Jul25'!CI320)</f>
        <v/>
      </c>
      <c r="CJ320" t="str">
        <f>IF('1. Live'!CJ320='check-Jul25'!CJ320,"",'1. Live'!CJ320-'check-Jul25'!CJ320)</f>
        <v/>
      </c>
      <c r="CK320" t="str">
        <f>IF('1. Live'!CK320='check-Jul25'!CK320,"",'1. Live'!CK320-'check-Jul25'!CK320)</f>
        <v/>
      </c>
      <c r="CL320" t="str">
        <f>IF('1. Live'!CL320='check-Jul25'!CL320,"",'1. Live'!CL320-'check-Jul25'!CL320)</f>
        <v/>
      </c>
      <c r="CM320" t="str">
        <f>IF('1. Live'!CM320='check-Jul25'!CM320,"",'1. Live'!CM320-'check-Jul25'!CM320)</f>
        <v/>
      </c>
      <c r="CN320" t="str">
        <f>IF('1. Live'!CN320='check-Jul25'!CN320,"",'1. Live'!CN320-'check-Jul25'!CN320)</f>
        <v/>
      </c>
      <c r="CO320" t="str">
        <f>IF('1. Live'!CO320='check-Jul25'!CO320,"",'1. Live'!CO320-'check-Jul25'!CO320)</f>
        <v/>
      </c>
      <c r="CP320" t="str">
        <f>IF('1. Live'!CP320='check-Jul25'!CP320,"",'1. Live'!CP320-'check-Jul25'!CP320)</f>
        <v/>
      </c>
      <c r="CQ320" t="str">
        <f>IF('1. Live'!CQ320='check-Jul25'!CQ320,"",'1. Live'!CQ320-'check-Jul25'!CQ320)</f>
        <v/>
      </c>
      <c r="CR320" t="str">
        <f>IF('1. Live'!CR320='check-Jul25'!CR320,"",'1. Live'!CR320-'check-Jul25'!CR320)</f>
        <v/>
      </c>
      <c r="CS320" t="str">
        <f>IF('1. Live'!CS320='check-Jul25'!CS320,"",'1. Live'!CS320-'check-Jul25'!CS320)</f>
        <v/>
      </c>
      <c r="CT320" t="str">
        <f>IF('1. Live'!CT320='check-Jul25'!CT320,"",'1. Live'!CT320-'check-Jul25'!CT320)</f>
        <v/>
      </c>
      <c r="CU320" t="str">
        <f>IF('1. Live'!CU320='check-Jul25'!CU320,"",'1. Live'!CU320-'check-Jul25'!CU320)</f>
        <v/>
      </c>
      <c r="CV320" t="str">
        <f>IF('1. Live'!CV320='check-Jul25'!CV320,"",'1. Live'!CV320-'check-Jul25'!CV320)</f>
        <v/>
      </c>
      <c r="CW320" t="str">
        <f>IF('1. Live'!CW320='check-Jul25'!CW320,"",'1. Live'!CW320-'check-Jul25'!CW320)</f>
        <v/>
      </c>
    </row>
    <row r="321" spans="10:101">
      <c r="J321" t="str">
        <f>IF('1. Live'!J321='check-Jul25'!J321,"",'1. Live'!J321-'check-Jul25'!J321)</f>
        <v/>
      </c>
      <c r="K321" t="str">
        <f>IF('1. Live'!K321='check-Jul25'!K321,"",'1. Live'!K321-'check-Jul25'!K321)</f>
        <v/>
      </c>
      <c r="L321" t="str">
        <f>IF('1. Live'!L321='check-Jul25'!L321,"",'1. Live'!L321-'check-Jul25'!L321)</f>
        <v/>
      </c>
      <c r="M321" t="str">
        <f>IF('1. Live'!M321='check-Jul25'!M321,"",'1. Live'!M321-'check-Jul25'!M321)</f>
        <v/>
      </c>
      <c r="N321" t="str">
        <f>IF('1. Live'!N321='check-Jul25'!N321,"",'1. Live'!N321-'check-Jul25'!N321)</f>
        <v/>
      </c>
      <c r="O321" t="str">
        <f>IF('1. Live'!O321='check-Jul25'!O321,"",'1. Live'!O321-'check-Jul25'!O321)</f>
        <v/>
      </c>
      <c r="P321" t="str">
        <f>IF('1. Live'!P321='check-Jul25'!P321,"",'1. Live'!P321-'check-Jul25'!P321)</f>
        <v/>
      </c>
      <c r="Q321" t="str">
        <f>IF('1. Live'!Q321='check-Jul25'!Q321,"",'1. Live'!Q321-'check-Jul25'!Q321)</f>
        <v/>
      </c>
      <c r="R321" t="str">
        <f>IF('1. Live'!R321='check-Jul25'!R321,"",'1. Live'!R321-'check-Jul25'!R321)</f>
        <v/>
      </c>
      <c r="S321" t="str">
        <f>IF('1. Live'!S321='check-Jul25'!S321,"",'1. Live'!S321-'check-Jul25'!S321)</f>
        <v/>
      </c>
      <c r="T321" t="str">
        <f>IF('1. Live'!T321='check-Jul25'!T321,"",'1. Live'!T321-'check-Jul25'!T321)</f>
        <v/>
      </c>
      <c r="U321" t="str">
        <f>IF('1. Live'!U321='check-Jul25'!U321,"",'1. Live'!U321-'check-Jul25'!U321)</f>
        <v/>
      </c>
      <c r="V321" t="str">
        <f>IF('1. Live'!V321='check-Jul25'!V321,"",'1. Live'!V321-'check-Jul25'!V321)</f>
        <v/>
      </c>
      <c r="W321" t="str">
        <f>IF('1. Live'!W321='check-Jul25'!W321,"",'1. Live'!W321-'check-Jul25'!W321)</f>
        <v/>
      </c>
      <c r="X321" t="str">
        <f>IF('1. Live'!X321='check-Jul25'!X321,"",'1. Live'!X321-'check-Jul25'!X321)</f>
        <v/>
      </c>
      <c r="Y321" t="str">
        <f>IF('1. Live'!Y321='check-Jul25'!Y321,"",'1. Live'!Y321-'check-Jul25'!Y321)</f>
        <v/>
      </c>
      <c r="Z321" t="str">
        <f>IF('1. Live'!Z321='check-Jul25'!Z321,"",'1. Live'!Z321-'check-Jul25'!Z321)</f>
        <v/>
      </c>
      <c r="AA321" t="str">
        <f>IF('1. Live'!AA321='check-Jul25'!AA321,"",'1. Live'!AA321-'check-Jul25'!AA321)</f>
        <v/>
      </c>
      <c r="AB321" t="str">
        <f>IF('1. Live'!AB321='check-Jul25'!AB321,"",'1. Live'!AB321-'check-Jul25'!AB321)</f>
        <v/>
      </c>
      <c r="AC321" t="str">
        <f>IF('1. Live'!AC321='check-Jul25'!AC321,"",'1. Live'!AC321-'check-Jul25'!AC321)</f>
        <v/>
      </c>
      <c r="AD321" t="str">
        <f>IF('1. Live'!AD321='check-Jul25'!AD321,"",'1. Live'!AD321-'check-Jul25'!AD321)</f>
        <v/>
      </c>
      <c r="AE321" t="str">
        <f>IF('1. Live'!AE321='check-Jul25'!AE321,"",'1. Live'!AE321-'check-Jul25'!AE321)</f>
        <v/>
      </c>
      <c r="AF321" t="str">
        <f>IF('1. Live'!AF321='check-Jul25'!AF321,"",'1. Live'!AF321-'check-Jul25'!AF321)</f>
        <v/>
      </c>
      <c r="AG321" t="str">
        <f>IF('1. Live'!AG321='check-Jul25'!AG321,"",'1. Live'!AG321-'check-Jul25'!AG321)</f>
        <v/>
      </c>
      <c r="AH321" t="str">
        <f>IF('1. Live'!AH321='check-Jul25'!AH321,"",'1. Live'!AH321-'check-Jul25'!AH321)</f>
        <v/>
      </c>
      <c r="AI321" t="str">
        <f>IF('1. Live'!AI321='check-Jul25'!AI321,"",'1. Live'!AI321-'check-Jul25'!AI321)</f>
        <v/>
      </c>
      <c r="AJ321" t="str">
        <f>IF('1. Live'!AJ321='check-Jul25'!AJ321,"",'1. Live'!AJ321-'check-Jul25'!AJ321)</f>
        <v/>
      </c>
      <c r="AK321" t="str">
        <f>IF('1. Live'!AK321='check-Jul25'!AK321,"",'1. Live'!AK321-'check-Jul25'!AK321)</f>
        <v/>
      </c>
      <c r="AL321" t="str">
        <f>IF('1. Live'!AL321='check-Jul25'!AL321,"",'1. Live'!AL321-'check-Jul25'!AL321)</f>
        <v/>
      </c>
      <c r="AM321" t="str">
        <f>IF('1. Live'!AM321='check-Jul25'!AM321,"",'1. Live'!AM321-'check-Jul25'!AM321)</f>
        <v/>
      </c>
      <c r="AN321" t="str">
        <f>IF('1. Live'!AN321='check-Jul25'!AN321,"",'1. Live'!AN321-'check-Jul25'!AN321)</f>
        <v/>
      </c>
      <c r="AO321" t="str">
        <f>IF('1. Live'!AO321='check-Jul25'!AO321,"",'1. Live'!AO321-'check-Jul25'!AO321)</f>
        <v/>
      </c>
      <c r="AP321" t="str">
        <f>IF('1. Live'!AP321='check-Jul25'!AP321,"",'1. Live'!AP321-'check-Jul25'!AP321)</f>
        <v/>
      </c>
      <c r="AQ321" t="str">
        <f>IF('1. Live'!AQ321='check-Jul25'!AQ321,"",'1. Live'!AQ321-'check-Jul25'!AQ321)</f>
        <v/>
      </c>
      <c r="AR321" t="str">
        <f>IF('1. Live'!AR321='check-Jul25'!AR321,"",'1. Live'!AR321-'check-Jul25'!AR321)</f>
        <v/>
      </c>
      <c r="AS321" t="str">
        <f>IF('1. Live'!AS321='check-Jul25'!AS321,"",'1. Live'!AS321-'check-Jul25'!AS321)</f>
        <v/>
      </c>
      <c r="AT321" t="str">
        <f>IF('1. Live'!AT321='check-Jul25'!AT321,"",'1. Live'!AT321-'check-Jul25'!AT321)</f>
        <v/>
      </c>
      <c r="AU321" t="str">
        <f>IF('1. Live'!AU321='check-Jul25'!AU321,"",'1. Live'!AU321-'check-Jul25'!AU321)</f>
        <v/>
      </c>
      <c r="AV321" t="str">
        <f>IF('1. Live'!AV321='check-Jul25'!AV321,"",'1. Live'!AV321-'check-Jul25'!AV321)</f>
        <v/>
      </c>
      <c r="AW321" t="str">
        <f>IF('1. Live'!AW321='check-Jul25'!AW321,"",'1. Live'!AW321-'check-Jul25'!AW321)</f>
        <v/>
      </c>
      <c r="AX321" t="str">
        <f>IF('1. Live'!AX321='check-Jul25'!AX321,"",'1. Live'!AX321-'check-Jul25'!AX321)</f>
        <v/>
      </c>
      <c r="AY321" t="str">
        <f>IF('1. Live'!AY321='check-Jul25'!AY321,"",'1. Live'!AY321-'check-Jul25'!AY321)</f>
        <v/>
      </c>
      <c r="AZ321" t="str">
        <f>IF('1. Live'!AZ321='check-Jul25'!AZ321,"",'1. Live'!AZ321-'check-Jul25'!AZ321)</f>
        <v/>
      </c>
      <c r="BA321" t="str">
        <f>IF('1. Live'!BA321='check-Jul25'!BA321,"",'1. Live'!BA321-'check-Jul25'!BA321)</f>
        <v/>
      </c>
      <c r="BB321" t="str">
        <f>IF('1. Live'!BB321='check-Jul25'!BB321,"",'1. Live'!BB321-'check-Jul25'!BB321)</f>
        <v/>
      </c>
      <c r="BC321" t="str">
        <f>IF('1. Live'!BC321='check-Jul25'!BC321,"",'1. Live'!BC321-'check-Jul25'!BC321)</f>
        <v/>
      </c>
      <c r="BD321" t="str">
        <f>IF('1. Live'!BD321='check-Jul25'!BD321,"",'1. Live'!BD321-'check-Jul25'!BD321)</f>
        <v/>
      </c>
      <c r="BE321" t="str">
        <f>IF('1. Live'!BE321='check-Jul25'!BE321,"",'1. Live'!BE321-'check-Jul25'!BE321)</f>
        <v/>
      </c>
      <c r="BF321" t="str">
        <f>IF('1. Live'!BF321='check-Jul25'!BF321,"",'1. Live'!BF321-'check-Jul25'!BF321)</f>
        <v/>
      </c>
      <c r="BG321" t="str">
        <f>IF('1. Live'!BG321='check-Jul25'!BG321,"",'1. Live'!BG321-'check-Jul25'!BG321)</f>
        <v/>
      </c>
      <c r="BH321" t="str">
        <f>IF('1. Live'!BH321='check-Jul25'!BH321,"",'1. Live'!BH321-'check-Jul25'!BH321)</f>
        <v/>
      </c>
      <c r="BI321" t="str">
        <f>IF('1. Live'!BI321='check-Jul25'!BI321,"",'1. Live'!BI321-'check-Jul25'!BI321)</f>
        <v/>
      </c>
      <c r="BJ321" t="str">
        <f>IF('1. Live'!BJ321='check-Jul25'!BJ321,"",'1. Live'!BJ321-'check-Jul25'!BJ321)</f>
        <v/>
      </c>
      <c r="BK321" t="str">
        <f>IF('1. Live'!BK321='check-Jul25'!BK321,"",'1. Live'!BK321-'check-Jul25'!BK321)</f>
        <v/>
      </c>
      <c r="BL321" t="str">
        <f>IF('1. Live'!BL321='check-Jul25'!BL321,"",'1. Live'!BL321-'check-Jul25'!BL321)</f>
        <v/>
      </c>
      <c r="BM321" t="str">
        <f>IF('1. Live'!BM321='check-Jul25'!BM321,"",'1. Live'!BM321-'check-Jul25'!BM321)</f>
        <v/>
      </c>
      <c r="BN321" t="str">
        <f>IF('1. Live'!BN321='check-Jul25'!BN321,"",'1. Live'!BN321-'check-Jul25'!BN321)</f>
        <v/>
      </c>
      <c r="BO321" t="str">
        <f>IF('1. Live'!BO321='check-Jul25'!BO321,"",'1. Live'!BO321-'check-Jul25'!BO321)</f>
        <v/>
      </c>
      <c r="BP321" t="str">
        <f>IF('1. Live'!BP321='check-Jul25'!BP321,"",'1. Live'!BP321-'check-Jul25'!BP321)</f>
        <v/>
      </c>
      <c r="BQ321" t="str">
        <f>IF('1. Live'!BQ321='check-Jul25'!BQ321,"",'1. Live'!BQ321-'check-Jul25'!BQ321)</f>
        <v/>
      </c>
      <c r="BR321" t="str">
        <f>IF('1. Live'!BR321='check-Jul25'!BR321,"",'1. Live'!BR321-'check-Jul25'!BR321)</f>
        <v/>
      </c>
      <c r="BS321" t="str">
        <f>IF('1. Live'!BS321='check-Jul25'!BS321,"",'1. Live'!BS321-'check-Jul25'!BS321)</f>
        <v/>
      </c>
      <c r="BT321" t="str">
        <f>IF('1. Live'!BT321='check-Jul25'!BT321,"",'1. Live'!BT321-'check-Jul25'!BT321)</f>
        <v/>
      </c>
      <c r="BU321" t="str">
        <f>IF('1. Live'!BU321='check-Jul25'!BU321,"",'1. Live'!BU321-'check-Jul25'!BU321)</f>
        <v/>
      </c>
      <c r="BV321" t="str">
        <f>IF('1. Live'!BV321='check-Jul25'!BV321,"",'1. Live'!BV321-'check-Jul25'!BV321)</f>
        <v/>
      </c>
      <c r="BW321" t="str">
        <f>IF('1. Live'!BW321='check-Jul25'!BW321,"",'1. Live'!BW321-'check-Jul25'!BW321)</f>
        <v/>
      </c>
      <c r="BX321" t="str">
        <f>IF('1. Live'!BX321='check-Jul25'!BX321,"",'1. Live'!BX321-'check-Jul25'!BX321)</f>
        <v/>
      </c>
      <c r="BY321" t="str">
        <f>IF('1. Live'!BY321='check-Jul25'!BY321,"",'1. Live'!BY321-'check-Jul25'!BY321)</f>
        <v/>
      </c>
      <c r="BZ321" t="str">
        <f>IF('1. Live'!BZ321='check-Jul25'!BZ321,"",'1. Live'!BZ321-'check-Jul25'!BZ321)</f>
        <v/>
      </c>
      <c r="CA321" t="str">
        <f>IF('1. Live'!CA321='check-Jul25'!CA321,"",'1. Live'!CA321-'check-Jul25'!CA321)</f>
        <v/>
      </c>
      <c r="CB321" t="str">
        <f>IF('1. Live'!CB321='check-Jul25'!CB321,"",'1. Live'!CB321-'check-Jul25'!CB321)</f>
        <v/>
      </c>
      <c r="CC321" t="str">
        <f>IF('1. Live'!CC321='check-Jul25'!CC321,"",'1. Live'!CC321-'check-Jul25'!CC321)</f>
        <v/>
      </c>
      <c r="CD321" t="str">
        <f>IF('1. Live'!CD321='check-Jul25'!CD321,"",'1. Live'!CD321-'check-Jul25'!CD321)</f>
        <v/>
      </c>
      <c r="CE321" t="str">
        <f>IF('1. Live'!CE321='check-Jul25'!CE321,"",'1. Live'!CE321-'check-Jul25'!CE321)</f>
        <v/>
      </c>
      <c r="CF321" t="str">
        <f>IF('1. Live'!CF321='check-Jul25'!CF321,"",'1. Live'!CF321-'check-Jul25'!CF321)</f>
        <v/>
      </c>
      <c r="CG321" t="str">
        <f>IF('1. Live'!CG321='check-Jul25'!CG321,"",'1. Live'!CG321-'check-Jul25'!CG321)</f>
        <v/>
      </c>
      <c r="CH321" t="str">
        <f>IF('1. Live'!CH321='check-Jul25'!CH321,"",'1. Live'!CH321-'check-Jul25'!CH321)</f>
        <v/>
      </c>
      <c r="CI321" t="str">
        <f>IF('1. Live'!CI321='check-Jul25'!CI321,"",'1. Live'!CI321-'check-Jul25'!CI321)</f>
        <v/>
      </c>
      <c r="CJ321" t="str">
        <f>IF('1. Live'!CJ321='check-Jul25'!CJ321,"",'1. Live'!CJ321-'check-Jul25'!CJ321)</f>
        <v/>
      </c>
      <c r="CK321" t="str">
        <f>IF('1. Live'!CK321='check-Jul25'!CK321,"",'1. Live'!CK321-'check-Jul25'!CK321)</f>
        <v/>
      </c>
      <c r="CL321" t="str">
        <f>IF('1. Live'!CL321='check-Jul25'!CL321,"",'1. Live'!CL321-'check-Jul25'!CL321)</f>
        <v/>
      </c>
      <c r="CM321" t="str">
        <f>IF('1. Live'!CM321='check-Jul25'!CM321,"",'1. Live'!CM321-'check-Jul25'!CM321)</f>
        <v/>
      </c>
      <c r="CN321" t="str">
        <f>IF('1. Live'!CN321='check-Jul25'!CN321,"",'1. Live'!CN321-'check-Jul25'!CN321)</f>
        <v/>
      </c>
      <c r="CO321" t="str">
        <f>IF('1. Live'!CO321='check-Jul25'!CO321,"",'1. Live'!CO321-'check-Jul25'!CO321)</f>
        <v/>
      </c>
      <c r="CP321" t="str">
        <f>IF('1. Live'!CP321='check-Jul25'!CP321,"",'1. Live'!CP321-'check-Jul25'!CP321)</f>
        <v/>
      </c>
      <c r="CQ321" t="str">
        <f>IF('1. Live'!CQ321='check-Jul25'!CQ321,"",'1. Live'!CQ321-'check-Jul25'!CQ321)</f>
        <v/>
      </c>
      <c r="CR321" t="str">
        <f>IF('1. Live'!CR321='check-Jul25'!CR321,"",'1. Live'!CR321-'check-Jul25'!CR321)</f>
        <v/>
      </c>
      <c r="CS321" t="str">
        <f>IF('1. Live'!CS321='check-Jul25'!CS321,"",'1. Live'!CS321-'check-Jul25'!CS321)</f>
        <v/>
      </c>
      <c r="CT321" t="str">
        <f>IF('1. Live'!CT321='check-Jul25'!CT321,"",'1. Live'!CT321-'check-Jul25'!CT321)</f>
        <v/>
      </c>
      <c r="CU321" t="str">
        <f>IF('1. Live'!CU321='check-Jul25'!CU321,"",'1. Live'!CU321-'check-Jul25'!CU321)</f>
        <v/>
      </c>
      <c r="CV321" t="str">
        <f>IF('1. Live'!CV321='check-Jul25'!CV321,"",'1. Live'!CV321-'check-Jul25'!CV321)</f>
        <v/>
      </c>
      <c r="CW321" t="str">
        <f>IF('1. Live'!CW321='check-Jul25'!CW321,"",'1. Live'!CW321-'check-Jul25'!CW321)</f>
        <v/>
      </c>
    </row>
    <row r="322" spans="10:101">
      <c r="J322" t="str">
        <f>IF('1. Live'!J322='check-Jul25'!J322,"",'1. Live'!J322-'check-Jul25'!J322)</f>
        <v/>
      </c>
      <c r="K322" t="str">
        <f>IF('1. Live'!K322='check-Jul25'!K322,"",'1. Live'!K322-'check-Jul25'!K322)</f>
        <v/>
      </c>
      <c r="L322" t="str">
        <f>IF('1. Live'!L322='check-Jul25'!L322,"",'1. Live'!L322-'check-Jul25'!L322)</f>
        <v/>
      </c>
      <c r="M322" t="str">
        <f>IF('1. Live'!M322='check-Jul25'!M322,"",'1. Live'!M322-'check-Jul25'!M322)</f>
        <v/>
      </c>
      <c r="N322" t="str">
        <f>IF('1. Live'!N322='check-Jul25'!N322,"",'1. Live'!N322-'check-Jul25'!N322)</f>
        <v/>
      </c>
      <c r="O322" t="str">
        <f>IF('1. Live'!O322='check-Jul25'!O322,"",'1. Live'!O322-'check-Jul25'!O322)</f>
        <v/>
      </c>
      <c r="P322" t="str">
        <f>IF('1. Live'!P322='check-Jul25'!P322,"",'1. Live'!P322-'check-Jul25'!P322)</f>
        <v/>
      </c>
      <c r="Q322" t="str">
        <f>IF('1. Live'!Q322='check-Jul25'!Q322,"",'1. Live'!Q322-'check-Jul25'!Q322)</f>
        <v/>
      </c>
      <c r="R322" t="str">
        <f>IF('1. Live'!R322='check-Jul25'!R322,"",'1. Live'!R322-'check-Jul25'!R322)</f>
        <v/>
      </c>
      <c r="S322" t="str">
        <f>IF('1. Live'!S322='check-Jul25'!S322,"",'1. Live'!S322-'check-Jul25'!S322)</f>
        <v/>
      </c>
      <c r="T322" t="str">
        <f>IF('1. Live'!T322='check-Jul25'!T322,"",'1. Live'!T322-'check-Jul25'!T322)</f>
        <v/>
      </c>
      <c r="U322" t="str">
        <f>IF('1. Live'!U322='check-Jul25'!U322,"",'1. Live'!U322-'check-Jul25'!U322)</f>
        <v/>
      </c>
      <c r="V322" t="str">
        <f>IF('1. Live'!V322='check-Jul25'!V322,"",'1. Live'!V322-'check-Jul25'!V322)</f>
        <v/>
      </c>
      <c r="W322" t="str">
        <f>IF('1. Live'!W322='check-Jul25'!W322,"",'1. Live'!W322-'check-Jul25'!W322)</f>
        <v/>
      </c>
      <c r="X322" t="str">
        <f>IF('1. Live'!X322='check-Jul25'!X322,"",'1. Live'!X322-'check-Jul25'!X322)</f>
        <v/>
      </c>
      <c r="Y322" t="str">
        <f>IF('1. Live'!Y322='check-Jul25'!Y322,"",'1. Live'!Y322-'check-Jul25'!Y322)</f>
        <v/>
      </c>
      <c r="Z322" t="str">
        <f>IF('1. Live'!Z322='check-Jul25'!Z322,"",'1. Live'!Z322-'check-Jul25'!Z322)</f>
        <v/>
      </c>
      <c r="AA322" t="str">
        <f>IF('1. Live'!AA322='check-Jul25'!AA322,"",'1. Live'!AA322-'check-Jul25'!AA322)</f>
        <v/>
      </c>
      <c r="AB322" t="str">
        <f>IF('1. Live'!AB322='check-Jul25'!AB322,"",'1. Live'!AB322-'check-Jul25'!AB322)</f>
        <v/>
      </c>
      <c r="AC322" t="str">
        <f>IF('1. Live'!AC322='check-Jul25'!AC322,"",'1. Live'!AC322-'check-Jul25'!AC322)</f>
        <v/>
      </c>
      <c r="AD322" t="str">
        <f>IF('1. Live'!AD322='check-Jul25'!AD322,"",'1. Live'!AD322-'check-Jul25'!AD322)</f>
        <v/>
      </c>
      <c r="AE322" t="str">
        <f>IF('1. Live'!AE322='check-Jul25'!AE322,"",'1. Live'!AE322-'check-Jul25'!AE322)</f>
        <v/>
      </c>
      <c r="AF322" t="str">
        <f>IF('1. Live'!AF322='check-Jul25'!AF322,"",'1. Live'!AF322-'check-Jul25'!AF322)</f>
        <v/>
      </c>
      <c r="AG322" t="str">
        <f>IF('1. Live'!AG322='check-Jul25'!AG322,"",'1. Live'!AG322-'check-Jul25'!AG322)</f>
        <v/>
      </c>
      <c r="AH322" t="str">
        <f>IF('1. Live'!AH322='check-Jul25'!AH322,"",'1. Live'!AH322-'check-Jul25'!AH322)</f>
        <v/>
      </c>
      <c r="AI322" t="str">
        <f>IF('1. Live'!AI322='check-Jul25'!AI322,"",'1. Live'!AI322-'check-Jul25'!AI322)</f>
        <v/>
      </c>
      <c r="AJ322" t="str">
        <f>IF('1. Live'!AJ322='check-Jul25'!AJ322,"",'1. Live'!AJ322-'check-Jul25'!AJ322)</f>
        <v/>
      </c>
      <c r="AK322" t="str">
        <f>IF('1. Live'!AK322='check-Jul25'!AK322,"",'1. Live'!AK322-'check-Jul25'!AK322)</f>
        <v/>
      </c>
      <c r="AL322" t="str">
        <f>IF('1. Live'!AL322='check-Jul25'!AL322,"",'1. Live'!AL322-'check-Jul25'!AL322)</f>
        <v/>
      </c>
      <c r="AM322" t="str">
        <f>IF('1. Live'!AM322='check-Jul25'!AM322,"",'1. Live'!AM322-'check-Jul25'!AM322)</f>
        <v/>
      </c>
      <c r="AN322" t="str">
        <f>IF('1. Live'!AN322='check-Jul25'!AN322,"",'1. Live'!AN322-'check-Jul25'!AN322)</f>
        <v/>
      </c>
      <c r="AO322" t="str">
        <f>IF('1. Live'!AO322='check-Jul25'!AO322,"",'1. Live'!AO322-'check-Jul25'!AO322)</f>
        <v/>
      </c>
      <c r="AP322" t="str">
        <f>IF('1. Live'!AP322='check-Jul25'!AP322,"",'1. Live'!AP322-'check-Jul25'!AP322)</f>
        <v/>
      </c>
      <c r="AQ322" t="str">
        <f>IF('1. Live'!AQ322='check-Jul25'!AQ322,"",'1. Live'!AQ322-'check-Jul25'!AQ322)</f>
        <v/>
      </c>
      <c r="AR322" t="str">
        <f>IF('1. Live'!AR322='check-Jul25'!AR322,"",'1. Live'!AR322-'check-Jul25'!AR322)</f>
        <v/>
      </c>
      <c r="AS322" t="str">
        <f>IF('1. Live'!AS322='check-Jul25'!AS322,"",'1. Live'!AS322-'check-Jul25'!AS322)</f>
        <v/>
      </c>
      <c r="AT322" t="str">
        <f>IF('1. Live'!AT322='check-Jul25'!AT322,"",'1. Live'!AT322-'check-Jul25'!AT322)</f>
        <v/>
      </c>
      <c r="AU322" t="str">
        <f>IF('1. Live'!AU322='check-Jul25'!AU322,"",'1. Live'!AU322-'check-Jul25'!AU322)</f>
        <v/>
      </c>
      <c r="AV322" t="str">
        <f>IF('1. Live'!AV322='check-Jul25'!AV322,"",'1. Live'!AV322-'check-Jul25'!AV322)</f>
        <v/>
      </c>
      <c r="AW322" t="str">
        <f>IF('1. Live'!AW322='check-Jul25'!AW322,"",'1. Live'!AW322-'check-Jul25'!AW322)</f>
        <v/>
      </c>
      <c r="AX322" t="str">
        <f>IF('1. Live'!AX322='check-Jul25'!AX322,"",'1. Live'!AX322-'check-Jul25'!AX322)</f>
        <v/>
      </c>
      <c r="AY322" t="str">
        <f>IF('1. Live'!AY322='check-Jul25'!AY322,"",'1. Live'!AY322-'check-Jul25'!AY322)</f>
        <v/>
      </c>
      <c r="AZ322" t="str">
        <f>IF('1. Live'!AZ322='check-Jul25'!AZ322,"",'1. Live'!AZ322-'check-Jul25'!AZ322)</f>
        <v/>
      </c>
      <c r="BA322" t="str">
        <f>IF('1. Live'!BA322='check-Jul25'!BA322,"",'1. Live'!BA322-'check-Jul25'!BA322)</f>
        <v/>
      </c>
      <c r="BB322" t="str">
        <f>IF('1. Live'!BB322='check-Jul25'!BB322,"",'1. Live'!BB322-'check-Jul25'!BB322)</f>
        <v/>
      </c>
      <c r="BC322" t="str">
        <f>IF('1. Live'!BC322='check-Jul25'!BC322,"",'1. Live'!BC322-'check-Jul25'!BC322)</f>
        <v/>
      </c>
      <c r="BD322" t="str">
        <f>IF('1. Live'!BD322='check-Jul25'!BD322,"",'1. Live'!BD322-'check-Jul25'!BD322)</f>
        <v/>
      </c>
      <c r="BE322" t="str">
        <f>IF('1. Live'!BE322='check-Jul25'!BE322,"",'1. Live'!BE322-'check-Jul25'!BE322)</f>
        <v/>
      </c>
      <c r="BF322" t="str">
        <f>IF('1. Live'!BF322='check-Jul25'!BF322,"",'1. Live'!BF322-'check-Jul25'!BF322)</f>
        <v/>
      </c>
      <c r="BG322" t="str">
        <f>IF('1. Live'!BG322='check-Jul25'!BG322,"",'1. Live'!BG322-'check-Jul25'!BG322)</f>
        <v/>
      </c>
      <c r="BH322" t="str">
        <f>IF('1. Live'!BH322='check-Jul25'!BH322,"",'1. Live'!BH322-'check-Jul25'!BH322)</f>
        <v/>
      </c>
      <c r="BI322" t="str">
        <f>IF('1. Live'!BI322='check-Jul25'!BI322,"",'1. Live'!BI322-'check-Jul25'!BI322)</f>
        <v/>
      </c>
      <c r="BJ322" t="str">
        <f>IF('1. Live'!BJ322='check-Jul25'!BJ322,"",'1. Live'!BJ322-'check-Jul25'!BJ322)</f>
        <v/>
      </c>
      <c r="BK322" t="str">
        <f>IF('1. Live'!BK322='check-Jul25'!BK322,"",'1. Live'!BK322-'check-Jul25'!BK322)</f>
        <v/>
      </c>
      <c r="BL322" t="str">
        <f>IF('1. Live'!BL322='check-Jul25'!BL322,"",'1. Live'!BL322-'check-Jul25'!BL322)</f>
        <v/>
      </c>
      <c r="BM322" t="str">
        <f>IF('1. Live'!BM322='check-Jul25'!BM322,"",'1. Live'!BM322-'check-Jul25'!BM322)</f>
        <v/>
      </c>
      <c r="BN322" t="str">
        <f>IF('1. Live'!BN322='check-Jul25'!BN322,"",'1. Live'!BN322-'check-Jul25'!BN322)</f>
        <v/>
      </c>
      <c r="BO322" t="str">
        <f>IF('1. Live'!BO322='check-Jul25'!BO322,"",'1. Live'!BO322-'check-Jul25'!BO322)</f>
        <v/>
      </c>
      <c r="BP322" t="str">
        <f>IF('1. Live'!BP322='check-Jul25'!BP322,"",'1. Live'!BP322-'check-Jul25'!BP322)</f>
        <v/>
      </c>
      <c r="BQ322" t="str">
        <f>IF('1. Live'!BQ322='check-Jul25'!BQ322,"",'1. Live'!BQ322-'check-Jul25'!BQ322)</f>
        <v/>
      </c>
      <c r="BR322" t="str">
        <f>IF('1. Live'!BR322='check-Jul25'!BR322,"",'1. Live'!BR322-'check-Jul25'!BR322)</f>
        <v/>
      </c>
      <c r="BS322" t="str">
        <f>IF('1. Live'!BS322='check-Jul25'!BS322,"",'1. Live'!BS322-'check-Jul25'!BS322)</f>
        <v/>
      </c>
      <c r="BT322" t="str">
        <f>IF('1. Live'!BT322='check-Jul25'!BT322,"",'1. Live'!BT322-'check-Jul25'!BT322)</f>
        <v/>
      </c>
      <c r="BU322" t="str">
        <f>IF('1. Live'!BU322='check-Jul25'!BU322,"",'1. Live'!BU322-'check-Jul25'!BU322)</f>
        <v/>
      </c>
      <c r="BV322" t="str">
        <f>IF('1. Live'!BV322='check-Jul25'!BV322,"",'1. Live'!BV322-'check-Jul25'!BV322)</f>
        <v/>
      </c>
      <c r="BW322" t="str">
        <f>IF('1. Live'!BW322='check-Jul25'!BW322,"",'1. Live'!BW322-'check-Jul25'!BW322)</f>
        <v/>
      </c>
      <c r="BX322" t="str">
        <f>IF('1. Live'!BX322='check-Jul25'!BX322,"",'1. Live'!BX322-'check-Jul25'!BX322)</f>
        <v/>
      </c>
      <c r="BY322" t="str">
        <f>IF('1. Live'!BY322='check-Jul25'!BY322,"",'1. Live'!BY322-'check-Jul25'!BY322)</f>
        <v/>
      </c>
      <c r="BZ322" t="str">
        <f>IF('1. Live'!BZ322='check-Jul25'!BZ322,"",'1. Live'!BZ322-'check-Jul25'!BZ322)</f>
        <v/>
      </c>
      <c r="CA322" t="str">
        <f>IF('1. Live'!CA322='check-Jul25'!CA322,"",'1. Live'!CA322-'check-Jul25'!CA322)</f>
        <v/>
      </c>
      <c r="CB322" t="str">
        <f>IF('1. Live'!CB322='check-Jul25'!CB322,"",'1. Live'!CB322-'check-Jul25'!CB322)</f>
        <v/>
      </c>
      <c r="CC322" t="str">
        <f>IF('1. Live'!CC322='check-Jul25'!CC322,"",'1. Live'!CC322-'check-Jul25'!CC322)</f>
        <v/>
      </c>
      <c r="CD322" t="str">
        <f>IF('1. Live'!CD322='check-Jul25'!CD322,"",'1. Live'!CD322-'check-Jul25'!CD322)</f>
        <v/>
      </c>
      <c r="CE322" t="str">
        <f>IF('1. Live'!CE322='check-Jul25'!CE322,"",'1. Live'!CE322-'check-Jul25'!CE322)</f>
        <v/>
      </c>
      <c r="CF322" t="str">
        <f>IF('1. Live'!CF322='check-Jul25'!CF322,"",'1. Live'!CF322-'check-Jul25'!CF322)</f>
        <v/>
      </c>
      <c r="CG322" t="str">
        <f>IF('1. Live'!CG322='check-Jul25'!CG322,"",'1. Live'!CG322-'check-Jul25'!CG322)</f>
        <v/>
      </c>
      <c r="CH322" t="str">
        <f>IF('1. Live'!CH322='check-Jul25'!CH322,"",'1. Live'!CH322-'check-Jul25'!CH322)</f>
        <v/>
      </c>
      <c r="CI322" t="str">
        <f>IF('1. Live'!CI322='check-Jul25'!CI322,"",'1. Live'!CI322-'check-Jul25'!CI322)</f>
        <v/>
      </c>
      <c r="CJ322" t="str">
        <f>IF('1. Live'!CJ322='check-Jul25'!CJ322,"",'1. Live'!CJ322-'check-Jul25'!CJ322)</f>
        <v/>
      </c>
      <c r="CK322" t="str">
        <f>IF('1. Live'!CK322='check-Jul25'!CK322,"",'1. Live'!CK322-'check-Jul25'!CK322)</f>
        <v/>
      </c>
      <c r="CL322" t="str">
        <f>IF('1. Live'!CL322='check-Jul25'!CL322,"",'1. Live'!CL322-'check-Jul25'!CL322)</f>
        <v/>
      </c>
      <c r="CM322" t="str">
        <f>IF('1. Live'!CM322='check-Jul25'!CM322,"",'1. Live'!CM322-'check-Jul25'!CM322)</f>
        <v/>
      </c>
      <c r="CN322" t="str">
        <f>IF('1. Live'!CN322='check-Jul25'!CN322,"",'1. Live'!CN322-'check-Jul25'!CN322)</f>
        <v/>
      </c>
      <c r="CO322" t="str">
        <f>IF('1. Live'!CO322='check-Jul25'!CO322,"",'1. Live'!CO322-'check-Jul25'!CO322)</f>
        <v/>
      </c>
      <c r="CP322" t="str">
        <f>IF('1. Live'!CP322='check-Jul25'!CP322,"",'1. Live'!CP322-'check-Jul25'!CP322)</f>
        <v/>
      </c>
      <c r="CQ322" t="str">
        <f>IF('1. Live'!CQ322='check-Jul25'!CQ322,"",'1. Live'!CQ322-'check-Jul25'!CQ322)</f>
        <v/>
      </c>
      <c r="CR322" t="str">
        <f>IF('1. Live'!CR322='check-Jul25'!CR322,"",'1. Live'!CR322-'check-Jul25'!CR322)</f>
        <v/>
      </c>
      <c r="CS322" t="str">
        <f>IF('1. Live'!CS322='check-Jul25'!CS322,"",'1. Live'!CS322-'check-Jul25'!CS322)</f>
        <v/>
      </c>
      <c r="CT322" t="str">
        <f>IF('1. Live'!CT322='check-Jul25'!CT322,"",'1. Live'!CT322-'check-Jul25'!CT322)</f>
        <v/>
      </c>
      <c r="CU322" t="str">
        <f>IF('1. Live'!CU322='check-Jul25'!CU322,"",'1. Live'!CU322-'check-Jul25'!CU322)</f>
        <v/>
      </c>
      <c r="CV322" t="str">
        <f>IF('1. Live'!CV322='check-Jul25'!CV322,"",'1. Live'!CV322-'check-Jul25'!CV322)</f>
        <v/>
      </c>
      <c r="CW322" t="str">
        <f>IF('1. Live'!CW322='check-Jul25'!CW322,"",'1. Live'!CW322-'check-Jul25'!CW322)</f>
        <v/>
      </c>
    </row>
    <row r="323" spans="10:101">
      <c r="J323" t="str">
        <f>IF('1. Live'!J323='check-Jul25'!J323,"",'1. Live'!J323-'check-Jul25'!J323)</f>
        <v/>
      </c>
      <c r="K323" t="str">
        <f>IF('1. Live'!K323='check-Jul25'!K323,"",'1. Live'!K323-'check-Jul25'!K323)</f>
        <v/>
      </c>
      <c r="L323" t="str">
        <f>IF('1. Live'!L323='check-Jul25'!L323,"",'1. Live'!L323-'check-Jul25'!L323)</f>
        <v/>
      </c>
      <c r="M323" t="str">
        <f>IF('1. Live'!M323='check-Jul25'!M323,"",'1. Live'!M323-'check-Jul25'!M323)</f>
        <v/>
      </c>
      <c r="N323" t="str">
        <f>IF('1. Live'!N323='check-Jul25'!N323,"",'1. Live'!N323-'check-Jul25'!N323)</f>
        <v/>
      </c>
      <c r="O323" t="str">
        <f>IF('1. Live'!O323='check-Jul25'!O323,"",'1. Live'!O323-'check-Jul25'!O323)</f>
        <v/>
      </c>
      <c r="P323" t="str">
        <f>IF('1. Live'!P323='check-Jul25'!P323,"",'1. Live'!P323-'check-Jul25'!P323)</f>
        <v/>
      </c>
      <c r="Q323" t="str">
        <f>IF('1. Live'!Q323='check-Jul25'!Q323,"",'1. Live'!Q323-'check-Jul25'!Q323)</f>
        <v/>
      </c>
      <c r="R323" t="str">
        <f>IF('1. Live'!R323='check-Jul25'!R323,"",'1. Live'!R323-'check-Jul25'!R323)</f>
        <v/>
      </c>
      <c r="S323" t="str">
        <f>IF('1. Live'!S323='check-Jul25'!S323,"",'1. Live'!S323-'check-Jul25'!S323)</f>
        <v/>
      </c>
      <c r="T323" t="str">
        <f>IF('1. Live'!T323='check-Jul25'!T323,"",'1. Live'!T323-'check-Jul25'!T323)</f>
        <v/>
      </c>
      <c r="U323" t="str">
        <f>IF('1. Live'!U323='check-Jul25'!U323,"",'1. Live'!U323-'check-Jul25'!U323)</f>
        <v/>
      </c>
      <c r="V323" t="str">
        <f>IF('1. Live'!V323='check-Jul25'!V323,"",'1. Live'!V323-'check-Jul25'!V323)</f>
        <v/>
      </c>
      <c r="W323" t="str">
        <f>IF('1. Live'!W323='check-Jul25'!W323,"",'1. Live'!W323-'check-Jul25'!W323)</f>
        <v/>
      </c>
      <c r="X323" t="str">
        <f>IF('1. Live'!X323='check-Jul25'!X323,"",'1. Live'!X323-'check-Jul25'!X323)</f>
        <v/>
      </c>
      <c r="Y323" t="str">
        <f>IF('1. Live'!Y323='check-Jul25'!Y323,"",'1. Live'!Y323-'check-Jul25'!Y323)</f>
        <v/>
      </c>
      <c r="Z323" t="str">
        <f>IF('1. Live'!Z323='check-Jul25'!Z323,"",'1. Live'!Z323-'check-Jul25'!Z323)</f>
        <v/>
      </c>
      <c r="AA323" t="str">
        <f>IF('1. Live'!AA323='check-Jul25'!AA323,"",'1. Live'!AA323-'check-Jul25'!AA323)</f>
        <v/>
      </c>
      <c r="AB323" t="str">
        <f>IF('1. Live'!AB323='check-Jul25'!AB323,"",'1. Live'!AB323-'check-Jul25'!AB323)</f>
        <v/>
      </c>
      <c r="AC323" t="str">
        <f>IF('1. Live'!AC323='check-Jul25'!AC323,"",'1. Live'!AC323-'check-Jul25'!AC323)</f>
        <v/>
      </c>
      <c r="AD323" t="str">
        <f>IF('1. Live'!AD323='check-Jul25'!AD323,"",'1. Live'!AD323-'check-Jul25'!AD323)</f>
        <v/>
      </c>
      <c r="AE323" t="str">
        <f>IF('1. Live'!AE323='check-Jul25'!AE323,"",'1. Live'!AE323-'check-Jul25'!AE323)</f>
        <v/>
      </c>
      <c r="AF323" t="str">
        <f>IF('1. Live'!AF323='check-Jul25'!AF323,"",'1. Live'!AF323-'check-Jul25'!AF323)</f>
        <v/>
      </c>
      <c r="AG323" t="str">
        <f>IF('1. Live'!AG323='check-Jul25'!AG323,"",'1. Live'!AG323-'check-Jul25'!AG323)</f>
        <v/>
      </c>
      <c r="AH323" t="str">
        <f>IF('1. Live'!AH323='check-Jul25'!AH323,"",'1. Live'!AH323-'check-Jul25'!AH323)</f>
        <v/>
      </c>
      <c r="AI323" t="str">
        <f>IF('1. Live'!AI323='check-Jul25'!AI323,"",'1. Live'!AI323-'check-Jul25'!AI323)</f>
        <v/>
      </c>
      <c r="AJ323" t="str">
        <f>IF('1. Live'!AJ323='check-Jul25'!AJ323,"",'1. Live'!AJ323-'check-Jul25'!AJ323)</f>
        <v/>
      </c>
      <c r="AK323" t="str">
        <f>IF('1. Live'!AK323='check-Jul25'!AK323,"",'1. Live'!AK323-'check-Jul25'!AK323)</f>
        <v/>
      </c>
      <c r="AL323" t="str">
        <f>IF('1. Live'!AL323='check-Jul25'!AL323,"",'1. Live'!AL323-'check-Jul25'!AL323)</f>
        <v/>
      </c>
      <c r="AM323" t="str">
        <f>IF('1. Live'!AM323='check-Jul25'!AM323,"",'1. Live'!AM323-'check-Jul25'!AM323)</f>
        <v/>
      </c>
      <c r="AN323" t="str">
        <f>IF('1. Live'!AN323='check-Jul25'!AN323,"",'1. Live'!AN323-'check-Jul25'!AN323)</f>
        <v/>
      </c>
      <c r="AO323" t="str">
        <f>IF('1. Live'!AO323='check-Jul25'!AO323,"",'1. Live'!AO323-'check-Jul25'!AO323)</f>
        <v/>
      </c>
      <c r="AP323" t="str">
        <f>IF('1. Live'!AP323='check-Jul25'!AP323,"",'1. Live'!AP323-'check-Jul25'!AP323)</f>
        <v/>
      </c>
      <c r="AQ323" t="str">
        <f>IF('1. Live'!AQ323='check-Jul25'!AQ323,"",'1. Live'!AQ323-'check-Jul25'!AQ323)</f>
        <v/>
      </c>
      <c r="AR323" t="str">
        <f>IF('1. Live'!AR323='check-Jul25'!AR323,"",'1. Live'!AR323-'check-Jul25'!AR323)</f>
        <v/>
      </c>
      <c r="AS323" t="str">
        <f>IF('1. Live'!AS323='check-Jul25'!AS323,"",'1. Live'!AS323-'check-Jul25'!AS323)</f>
        <v/>
      </c>
      <c r="AT323" t="str">
        <f>IF('1. Live'!AT323='check-Jul25'!AT323,"",'1. Live'!AT323-'check-Jul25'!AT323)</f>
        <v/>
      </c>
      <c r="AU323" t="str">
        <f>IF('1. Live'!AU323='check-Jul25'!AU323,"",'1. Live'!AU323-'check-Jul25'!AU323)</f>
        <v/>
      </c>
      <c r="AV323" t="str">
        <f>IF('1. Live'!AV323='check-Jul25'!AV323,"",'1. Live'!AV323-'check-Jul25'!AV323)</f>
        <v/>
      </c>
      <c r="AW323" t="str">
        <f>IF('1. Live'!AW323='check-Jul25'!AW323,"",'1. Live'!AW323-'check-Jul25'!AW323)</f>
        <v/>
      </c>
      <c r="AX323" t="str">
        <f>IF('1. Live'!AX323='check-Jul25'!AX323,"",'1. Live'!AX323-'check-Jul25'!AX323)</f>
        <v/>
      </c>
      <c r="AY323" t="str">
        <f>IF('1. Live'!AY323='check-Jul25'!AY323,"",'1. Live'!AY323-'check-Jul25'!AY323)</f>
        <v/>
      </c>
      <c r="AZ323" t="str">
        <f>IF('1. Live'!AZ323='check-Jul25'!AZ323,"",'1. Live'!AZ323-'check-Jul25'!AZ323)</f>
        <v/>
      </c>
      <c r="BA323" t="str">
        <f>IF('1. Live'!BA323='check-Jul25'!BA323,"",'1. Live'!BA323-'check-Jul25'!BA323)</f>
        <v/>
      </c>
      <c r="BB323" t="str">
        <f>IF('1. Live'!BB323='check-Jul25'!BB323,"",'1. Live'!BB323-'check-Jul25'!BB323)</f>
        <v/>
      </c>
      <c r="BC323" t="str">
        <f>IF('1. Live'!BC323='check-Jul25'!BC323,"",'1. Live'!BC323-'check-Jul25'!BC323)</f>
        <v/>
      </c>
      <c r="BD323" t="str">
        <f>IF('1. Live'!BD323='check-Jul25'!BD323,"",'1. Live'!BD323-'check-Jul25'!BD323)</f>
        <v/>
      </c>
      <c r="BE323" t="str">
        <f>IF('1. Live'!BE323='check-Jul25'!BE323,"",'1. Live'!BE323-'check-Jul25'!BE323)</f>
        <v/>
      </c>
      <c r="BF323" t="str">
        <f>IF('1. Live'!BF323='check-Jul25'!BF323,"",'1. Live'!BF323-'check-Jul25'!BF323)</f>
        <v/>
      </c>
      <c r="BG323" t="str">
        <f>IF('1. Live'!BG323='check-Jul25'!BG323,"",'1. Live'!BG323-'check-Jul25'!BG323)</f>
        <v/>
      </c>
      <c r="BH323" t="str">
        <f>IF('1. Live'!BH323='check-Jul25'!BH323,"",'1. Live'!BH323-'check-Jul25'!BH323)</f>
        <v/>
      </c>
      <c r="BI323" t="str">
        <f>IF('1. Live'!BI323='check-Jul25'!BI323,"",'1. Live'!BI323-'check-Jul25'!BI323)</f>
        <v/>
      </c>
      <c r="BJ323" t="str">
        <f>IF('1. Live'!BJ323='check-Jul25'!BJ323,"",'1. Live'!BJ323-'check-Jul25'!BJ323)</f>
        <v/>
      </c>
      <c r="BK323" t="str">
        <f>IF('1. Live'!BK323='check-Jul25'!BK323,"",'1. Live'!BK323-'check-Jul25'!BK323)</f>
        <v/>
      </c>
      <c r="BL323" t="str">
        <f>IF('1. Live'!BL323='check-Jul25'!BL323,"",'1. Live'!BL323-'check-Jul25'!BL323)</f>
        <v/>
      </c>
      <c r="BM323" t="str">
        <f>IF('1. Live'!BM323='check-Jul25'!BM323,"",'1. Live'!BM323-'check-Jul25'!BM323)</f>
        <v/>
      </c>
      <c r="BN323" t="str">
        <f>IF('1. Live'!BN323='check-Jul25'!BN323,"",'1. Live'!BN323-'check-Jul25'!BN323)</f>
        <v/>
      </c>
      <c r="BO323" t="str">
        <f>IF('1. Live'!BO323='check-Jul25'!BO323,"",'1. Live'!BO323-'check-Jul25'!BO323)</f>
        <v/>
      </c>
      <c r="BP323" t="str">
        <f>IF('1. Live'!BP323='check-Jul25'!BP323,"",'1. Live'!BP323-'check-Jul25'!BP323)</f>
        <v/>
      </c>
      <c r="BQ323" t="str">
        <f>IF('1. Live'!BQ323='check-Jul25'!BQ323,"",'1. Live'!BQ323-'check-Jul25'!BQ323)</f>
        <v/>
      </c>
      <c r="BR323" t="str">
        <f>IF('1. Live'!BR323='check-Jul25'!BR323,"",'1. Live'!BR323-'check-Jul25'!BR323)</f>
        <v/>
      </c>
      <c r="BS323" t="str">
        <f>IF('1. Live'!BS323='check-Jul25'!BS323,"",'1. Live'!BS323-'check-Jul25'!BS323)</f>
        <v/>
      </c>
      <c r="BT323" t="str">
        <f>IF('1. Live'!BT323='check-Jul25'!BT323,"",'1. Live'!BT323-'check-Jul25'!BT323)</f>
        <v/>
      </c>
      <c r="BU323" t="str">
        <f>IF('1. Live'!BU323='check-Jul25'!BU323,"",'1. Live'!BU323-'check-Jul25'!BU323)</f>
        <v/>
      </c>
      <c r="BV323" t="str">
        <f>IF('1. Live'!BV323='check-Jul25'!BV323,"",'1. Live'!BV323-'check-Jul25'!BV323)</f>
        <v/>
      </c>
      <c r="BW323" t="str">
        <f>IF('1. Live'!BW323='check-Jul25'!BW323,"",'1. Live'!BW323-'check-Jul25'!BW323)</f>
        <v/>
      </c>
      <c r="BX323" t="str">
        <f>IF('1. Live'!BX323='check-Jul25'!BX323,"",'1. Live'!BX323-'check-Jul25'!BX323)</f>
        <v/>
      </c>
      <c r="BY323" t="str">
        <f>IF('1. Live'!BY323='check-Jul25'!BY323,"",'1. Live'!BY323-'check-Jul25'!BY323)</f>
        <v/>
      </c>
      <c r="BZ323" t="str">
        <f>IF('1. Live'!BZ323='check-Jul25'!BZ323,"",'1. Live'!BZ323-'check-Jul25'!BZ323)</f>
        <v/>
      </c>
      <c r="CA323" t="str">
        <f>IF('1. Live'!CA323='check-Jul25'!CA323,"",'1. Live'!CA323-'check-Jul25'!CA323)</f>
        <v/>
      </c>
      <c r="CB323" t="str">
        <f>IF('1. Live'!CB323='check-Jul25'!CB323,"",'1. Live'!CB323-'check-Jul25'!CB323)</f>
        <v/>
      </c>
      <c r="CC323" t="str">
        <f>IF('1. Live'!CC323='check-Jul25'!CC323,"",'1. Live'!CC323-'check-Jul25'!CC323)</f>
        <v/>
      </c>
      <c r="CD323" t="str">
        <f>IF('1. Live'!CD323='check-Jul25'!CD323,"",'1. Live'!CD323-'check-Jul25'!CD323)</f>
        <v/>
      </c>
      <c r="CE323" t="str">
        <f>IF('1. Live'!CE323='check-Jul25'!CE323,"",'1. Live'!CE323-'check-Jul25'!CE323)</f>
        <v/>
      </c>
      <c r="CF323" t="str">
        <f>IF('1. Live'!CF323='check-Jul25'!CF323,"",'1. Live'!CF323-'check-Jul25'!CF323)</f>
        <v/>
      </c>
      <c r="CG323" t="str">
        <f>IF('1. Live'!CG323='check-Jul25'!CG323,"",'1. Live'!CG323-'check-Jul25'!CG323)</f>
        <v/>
      </c>
      <c r="CH323" t="str">
        <f>IF('1. Live'!CH323='check-Jul25'!CH323,"",'1. Live'!CH323-'check-Jul25'!CH323)</f>
        <v/>
      </c>
      <c r="CI323" t="str">
        <f>IF('1. Live'!CI323='check-Jul25'!CI323,"",'1. Live'!CI323-'check-Jul25'!CI323)</f>
        <v/>
      </c>
      <c r="CJ323" t="str">
        <f>IF('1. Live'!CJ323='check-Jul25'!CJ323,"",'1. Live'!CJ323-'check-Jul25'!CJ323)</f>
        <v/>
      </c>
      <c r="CK323" t="str">
        <f>IF('1. Live'!CK323='check-Jul25'!CK323,"",'1. Live'!CK323-'check-Jul25'!CK323)</f>
        <v/>
      </c>
      <c r="CL323" t="str">
        <f>IF('1. Live'!CL323='check-Jul25'!CL323,"",'1. Live'!CL323-'check-Jul25'!CL323)</f>
        <v/>
      </c>
      <c r="CM323" t="str">
        <f>IF('1. Live'!CM323='check-Jul25'!CM323,"",'1. Live'!CM323-'check-Jul25'!CM323)</f>
        <v/>
      </c>
      <c r="CN323" t="str">
        <f>IF('1. Live'!CN323='check-Jul25'!CN323,"",'1. Live'!CN323-'check-Jul25'!CN323)</f>
        <v/>
      </c>
      <c r="CO323" t="str">
        <f>IF('1. Live'!CO323='check-Jul25'!CO323,"",'1. Live'!CO323-'check-Jul25'!CO323)</f>
        <v/>
      </c>
      <c r="CP323" t="str">
        <f>IF('1. Live'!CP323='check-Jul25'!CP323,"",'1. Live'!CP323-'check-Jul25'!CP323)</f>
        <v/>
      </c>
      <c r="CQ323" t="str">
        <f>IF('1. Live'!CQ323='check-Jul25'!CQ323,"",'1. Live'!CQ323-'check-Jul25'!CQ323)</f>
        <v/>
      </c>
      <c r="CR323" t="str">
        <f>IF('1. Live'!CR323='check-Jul25'!CR323,"",'1. Live'!CR323-'check-Jul25'!CR323)</f>
        <v/>
      </c>
      <c r="CS323" t="str">
        <f>IF('1. Live'!CS323='check-Jul25'!CS323,"",'1. Live'!CS323-'check-Jul25'!CS323)</f>
        <v/>
      </c>
      <c r="CT323" t="str">
        <f>IF('1. Live'!CT323='check-Jul25'!CT323,"",'1. Live'!CT323-'check-Jul25'!CT323)</f>
        <v/>
      </c>
      <c r="CU323" t="str">
        <f>IF('1. Live'!CU323='check-Jul25'!CU323,"",'1. Live'!CU323-'check-Jul25'!CU323)</f>
        <v/>
      </c>
      <c r="CV323" t="str">
        <f>IF('1. Live'!CV323='check-Jul25'!CV323,"",'1. Live'!CV323-'check-Jul25'!CV323)</f>
        <v/>
      </c>
      <c r="CW323" t="str">
        <f>IF('1. Live'!CW323='check-Jul25'!CW323,"",'1. Live'!CW323-'check-Jul25'!CW323)</f>
        <v/>
      </c>
    </row>
    <row r="324" spans="10:101">
      <c r="J324" t="str">
        <f>IF('1. Live'!J324='check-Jul25'!J324,"",'1. Live'!J324-'check-Jul25'!J324)</f>
        <v/>
      </c>
      <c r="K324" t="str">
        <f>IF('1. Live'!K324='check-Jul25'!K324,"",'1. Live'!K324-'check-Jul25'!K324)</f>
        <v/>
      </c>
      <c r="L324" t="str">
        <f>IF('1. Live'!L324='check-Jul25'!L324,"",'1. Live'!L324-'check-Jul25'!L324)</f>
        <v/>
      </c>
      <c r="M324" t="str">
        <f>IF('1. Live'!M324='check-Jul25'!M324,"",'1. Live'!M324-'check-Jul25'!M324)</f>
        <v/>
      </c>
      <c r="N324" t="str">
        <f>IF('1. Live'!N324='check-Jul25'!N324,"",'1. Live'!N324-'check-Jul25'!N324)</f>
        <v/>
      </c>
      <c r="O324" t="str">
        <f>IF('1. Live'!O324='check-Jul25'!O324,"",'1. Live'!O324-'check-Jul25'!O324)</f>
        <v/>
      </c>
      <c r="P324" t="str">
        <f>IF('1. Live'!P324='check-Jul25'!P324,"",'1. Live'!P324-'check-Jul25'!P324)</f>
        <v/>
      </c>
      <c r="Q324" t="str">
        <f>IF('1. Live'!Q324='check-Jul25'!Q324,"",'1. Live'!Q324-'check-Jul25'!Q324)</f>
        <v/>
      </c>
      <c r="R324" t="str">
        <f>IF('1. Live'!R324='check-Jul25'!R324,"",'1. Live'!R324-'check-Jul25'!R324)</f>
        <v/>
      </c>
      <c r="S324" t="str">
        <f>IF('1. Live'!S324='check-Jul25'!S324,"",'1. Live'!S324-'check-Jul25'!S324)</f>
        <v/>
      </c>
      <c r="T324" t="str">
        <f>IF('1. Live'!T324='check-Jul25'!T324,"",'1. Live'!T324-'check-Jul25'!T324)</f>
        <v/>
      </c>
      <c r="U324" t="str">
        <f>IF('1. Live'!U324='check-Jul25'!U324,"",'1. Live'!U324-'check-Jul25'!U324)</f>
        <v/>
      </c>
      <c r="V324" t="str">
        <f>IF('1. Live'!V324='check-Jul25'!V324,"",'1. Live'!V324-'check-Jul25'!V324)</f>
        <v/>
      </c>
      <c r="W324" t="str">
        <f>IF('1. Live'!W324='check-Jul25'!W324,"",'1. Live'!W324-'check-Jul25'!W324)</f>
        <v/>
      </c>
      <c r="X324" t="str">
        <f>IF('1. Live'!X324='check-Jul25'!X324,"",'1. Live'!X324-'check-Jul25'!X324)</f>
        <v/>
      </c>
      <c r="Y324" t="str">
        <f>IF('1. Live'!Y324='check-Jul25'!Y324,"",'1. Live'!Y324-'check-Jul25'!Y324)</f>
        <v/>
      </c>
      <c r="Z324" t="str">
        <f>IF('1. Live'!Z324='check-Jul25'!Z324,"",'1. Live'!Z324-'check-Jul25'!Z324)</f>
        <v/>
      </c>
      <c r="AA324" t="str">
        <f>IF('1. Live'!AA324='check-Jul25'!AA324,"",'1. Live'!AA324-'check-Jul25'!AA324)</f>
        <v/>
      </c>
      <c r="AB324" t="str">
        <f>IF('1. Live'!AB324='check-Jul25'!AB324,"",'1. Live'!AB324-'check-Jul25'!AB324)</f>
        <v/>
      </c>
      <c r="AC324" t="str">
        <f>IF('1. Live'!AC324='check-Jul25'!AC324,"",'1. Live'!AC324-'check-Jul25'!AC324)</f>
        <v/>
      </c>
      <c r="AD324" t="str">
        <f>IF('1. Live'!AD324='check-Jul25'!AD324,"",'1. Live'!AD324-'check-Jul25'!AD324)</f>
        <v/>
      </c>
      <c r="AE324" t="str">
        <f>IF('1. Live'!AE324='check-Jul25'!AE324,"",'1. Live'!AE324-'check-Jul25'!AE324)</f>
        <v/>
      </c>
      <c r="AF324" t="str">
        <f>IF('1. Live'!AF324='check-Jul25'!AF324,"",'1. Live'!AF324-'check-Jul25'!AF324)</f>
        <v/>
      </c>
      <c r="AG324" t="str">
        <f>IF('1. Live'!AG324='check-Jul25'!AG324,"",'1. Live'!AG324-'check-Jul25'!AG324)</f>
        <v/>
      </c>
      <c r="AH324" t="str">
        <f>IF('1. Live'!AH324='check-Jul25'!AH324,"",'1. Live'!AH324-'check-Jul25'!AH324)</f>
        <v/>
      </c>
      <c r="AI324" t="str">
        <f>IF('1. Live'!AI324='check-Jul25'!AI324,"",'1. Live'!AI324-'check-Jul25'!AI324)</f>
        <v/>
      </c>
      <c r="AJ324" t="str">
        <f>IF('1. Live'!AJ324='check-Jul25'!AJ324,"",'1. Live'!AJ324-'check-Jul25'!AJ324)</f>
        <v/>
      </c>
      <c r="AK324" t="str">
        <f>IF('1. Live'!AK324='check-Jul25'!AK324,"",'1. Live'!AK324-'check-Jul25'!AK324)</f>
        <v/>
      </c>
      <c r="AL324" t="str">
        <f>IF('1. Live'!AL324='check-Jul25'!AL324,"",'1. Live'!AL324-'check-Jul25'!AL324)</f>
        <v/>
      </c>
      <c r="AM324" t="str">
        <f>IF('1. Live'!AM324='check-Jul25'!AM324,"",'1. Live'!AM324-'check-Jul25'!AM324)</f>
        <v/>
      </c>
      <c r="AN324" t="str">
        <f>IF('1. Live'!AN324='check-Jul25'!AN324,"",'1. Live'!AN324-'check-Jul25'!AN324)</f>
        <v/>
      </c>
      <c r="AO324" t="str">
        <f>IF('1. Live'!AO324='check-Jul25'!AO324,"",'1. Live'!AO324-'check-Jul25'!AO324)</f>
        <v/>
      </c>
      <c r="AP324" t="str">
        <f>IF('1. Live'!AP324='check-Jul25'!AP324,"",'1. Live'!AP324-'check-Jul25'!AP324)</f>
        <v/>
      </c>
      <c r="AQ324" t="str">
        <f>IF('1. Live'!AQ324='check-Jul25'!AQ324,"",'1. Live'!AQ324-'check-Jul25'!AQ324)</f>
        <v/>
      </c>
      <c r="AR324" t="str">
        <f>IF('1. Live'!AR324='check-Jul25'!AR324,"",'1. Live'!AR324-'check-Jul25'!AR324)</f>
        <v/>
      </c>
      <c r="AS324" t="str">
        <f>IF('1. Live'!AS324='check-Jul25'!AS324,"",'1. Live'!AS324-'check-Jul25'!AS324)</f>
        <v/>
      </c>
      <c r="AT324" t="str">
        <f>IF('1. Live'!AT324='check-Jul25'!AT324,"",'1. Live'!AT324-'check-Jul25'!AT324)</f>
        <v/>
      </c>
      <c r="AU324" t="str">
        <f>IF('1. Live'!AU324='check-Jul25'!AU324,"",'1. Live'!AU324-'check-Jul25'!AU324)</f>
        <v/>
      </c>
      <c r="AV324" t="str">
        <f>IF('1. Live'!AV324='check-Jul25'!AV324,"",'1. Live'!AV324-'check-Jul25'!AV324)</f>
        <v/>
      </c>
      <c r="AW324" t="str">
        <f>IF('1. Live'!AW324='check-Jul25'!AW324,"",'1. Live'!AW324-'check-Jul25'!AW324)</f>
        <v/>
      </c>
      <c r="AX324" t="str">
        <f>IF('1. Live'!AX324='check-Jul25'!AX324,"",'1. Live'!AX324-'check-Jul25'!AX324)</f>
        <v/>
      </c>
      <c r="AY324" t="str">
        <f>IF('1. Live'!AY324='check-Jul25'!AY324,"",'1. Live'!AY324-'check-Jul25'!AY324)</f>
        <v/>
      </c>
      <c r="AZ324" t="str">
        <f>IF('1. Live'!AZ324='check-Jul25'!AZ324,"",'1. Live'!AZ324-'check-Jul25'!AZ324)</f>
        <v/>
      </c>
      <c r="BA324" t="str">
        <f>IF('1. Live'!BA324='check-Jul25'!BA324,"",'1. Live'!BA324-'check-Jul25'!BA324)</f>
        <v/>
      </c>
      <c r="BB324" t="str">
        <f>IF('1. Live'!BB324='check-Jul25'!BB324,"",'1. Live'!BB324-'check-Jul25'!BB324)</f>
        <v/>
      </c>
      <c r="BC324" t="str">
        <f>IF('1. Live'!BC324='check-Jul25'!BC324,"",'1. Live'!BC324-'check-Jul25'!BC324)</f>
        <v/>
      </c>
      <c r="BD324" t="str">
        <f>IF('1. Live'!BD324='check-Jul25'!BD324,"",'1. Live'!BD324-'check-Jul25'!BD324)</f>
        <v/>
      </c>
      <c r="BE324" t="str">
        <f>IF('1. Live'!BE324='check-Jul25'!BE324,"",'1. Live'!BE324-'check-Jul25'!BE324)</f>
        <v/>
      </c>
      <c r="BF324" t="str">
        <f>IF('1. Live'!BF324='check-Jul25'!BF324,"",'1. Live'!BF324-'check-Jul25'!BF324)</f>
        <v/>
      </c>
      <c r="BG324" t="str">
        <f>IF('1. Live'!BG324='check-Jul25'!BG324,"",'1. Live'!BG324-'check-Jul25'!BG324)</f>
        <v/>
      </c>
      <c r="BH324" t="str">
        <f>IF('1. Live'!BH324='check-Jul25'!BH324,"",'1. Live'!BH324-'check-Jul25'!BH324)</f>
        <v/>
      </c>
      <c r="BI324" t="str">
        <f>IF('1. Live'!BI324='check-Jul25'!BI324,"",'1. Live'!BI324-'check-Jul25'!BI324)</f>
        <v/>
      </c>
      <c r="BJ324" t="str">
        <f>IF('1. Live'!BJ324='check-Jul25'!BJ324,"",'1. Live'!BJ324-'check-Jul25'!BJ324)</f>
        <v/>
      </c>
      <c r="BK324" t="str">
        <f>IF('1. Live'!BK324='check-Jul25'!BK324,"",'1. Live'!BK324-'check-Jul25'!BK324)</f>
        <v/>
      </c>
      <c r="BL324" t="str">
        <f>IF('1. Live'!BL324='check-Jul25'!BL324,"",'1. Live'!BL324-'check-Jul25'!BL324)</f>
        <v/>
      </c>
      <c r="BM324" t="str">
        <f>IF('1. Live'!BM324='check-Jul25'!BM324,"",'1. Live'!BM324-'check-Jul25'!BM324)</f>
        <v/>
      </c>
      <c r="BN324" t="str">
        <f>IF('1. Live'!BN324='check-Jul25'!BN324,"",'1. Live'!BN324-'check-Jul25'!BN324)</f>
        <v/>
      </c>
      <c r="BO324" t="str">
        <f>IF('1. Live'!BO324='check-Jul25'!BO324,"",'1. Live'!BO324-'check-Jul25'!BO324)</f>
        <v/>
      </c>
      <c r="BP324" t="str">
        <f>IF('1. Live'!BP324='check-Jul25'!BP324,"",'1. Live'!BP324-'check-Jul25'!BP324)</f>
        <v/>
      </c>
      <c r="BQ324" t="str">
        <f>IF('1. Live'!BQ324='check-Jul25'!BQ324,"",'1. Live'!BQ324-'check-Jul25'!BQ324)</f>
        <v/>
      </c>
      <c r="BR324" t="str">
        <f>IF('1. Live'!BR324='check-Jul25'!BR324,"",'1. Live'!BR324-'check-Jul25'!BR324)</f>
        <v/>
      </c>
      <c r="BS324" t="str">
        <f>IF('1. Live'!BS324='check-Jul25'!BS324,"",'1. Live'!BS324-'check-Jul25'!BS324)</f>
        <v/>
      </c>
      <c r="BT324" t="str">
        <f>IF('1. Live'!BT324='check-Jul25'!BT324,"",'1. Live'!BT324-'check-Jul25'!BT324)</f>
        <v/>
      </c>
      <c r="BU324" t="str">
        <f>IF('1. Live'!BU324='check-Jul25'!BU324,"",'1. Live'!BU324-'check-Jul25'!BU324)</f>
        <v/>
      </c>
      <c r="BV324" t="str">
        <f>IF('1. Live'!BV324='check-Jul25'!BV324,"",'1. Live'!BV324-'check-Jul25'!BV324)</f>
        <v/>
      </c>
      <c r="BW324" t="str">
        <f>IF('1. Live'!BW324='check-Jul25'!BW324,"",'1. Live'!BW324-'check-Jul25'!BW324)</f>
        <v/>
      </c>
      <c r="BX324" t="str">
        <f>IF('1. Live'!BX324='check-Jul25'!BX324,"",'1. Live'!BX324-'check-Jul25'!BX324)</f>
        <v/>
      </c>
      <c r="BY324" t="str">
        <f>IF('1. Live'!BY324='check-Jul25'!BY324,"",'1. Live'!BY324-'check-Jul25'!BY324)</f>
        <v/>
      </c>
      <c r="BZ324" t="str">
        <f>IF('1. Live'!BZ324='check-Jul25'!BZ324,"",'1. Live'!BZ324-'check-Jul25'!BZ324)</f>
        <v/>
      </c>
      <c r="CA324" t="str">
        <f>IF('1. Live'!CA324='check-Jul25'!CA324,"",'1. Live'!CA324-'check-Jul25'!CA324)</f>
        <v/>
      </c>
      <c r="CB324" t="str">
        <f>IF('1. Live'!CB324='check-Jul25'!CB324,"",'1. Live'!CB324-'check-Jul25'!CB324)</f>
        <v/>
      </c>
      <c r="CC324" t="str">
        <f>IF('1. Live'!CC324='check-Jul25'!CC324,"",'1. Live'!CC324-'check-Jul25'!CC324)</f>
        <v/>
      </c>
      <c r="CD324" t="str">
        <f>IF('1. Live'!CD324='check-Jul25'!CD324,"",'1. Live'!CD324-'check-Jul25'!CD324)</f>
        <v/>
      </c>
      <c r="CE324" t="str">
        <f>IF('1. Live'!CE324='check-Jul25'!CE324,"",'1. Live'!CE324-'check-Jul25'!CE324)</f>
        <v/>
      </c>
      <c r="CF324" t="str">
        <f>IF('1. Live'!CF324='check-Jul25'!CF324,"",'1. Live'!CF324-'check-Jul25'!CF324)</f>
        <v/>
      </c>
      <c r="CG324" t="str">
        <f>IF('1. Live'!CG324='check-Jul25'!CG324,"",'1. Live'!CG324-'check-Jul25'!CG324)</f>
        <v/>
      </c>
      <c r="CH324" t="str">
        <f>IF('1. Live'!CH324='check-Jul25'!CH324,"",'1. Live'!CH324-'check-Jul25'!CH324)</f>
        <v/>
      </c>
      <c r="CI324" t="str">
        <f>IF('1. Live'!CI324='check-Jul25'!CI324,"",'1. Live'!CI324-'check-Jul25'!CI324)</f>
        <v/>
      </c>
      <c r="CJ324" t="str">
        <f>IF('1. Live'!CJ324='check-Jul25'!CJ324,"",'1. Live'!CJ324-'check-Jul25'!CJ324)</f>
        <v/>
      </c>
      <c r="CK324" t="str">
        <f>IF('1. Live'!CK324='check-Jul25'!CK324,"",'1. Live'!CK324-'check-Jul25'!CK324)</f>
        <v/>
      </c>
      <c r="CL324" t="str">
        <f>IF('1. Live'!CL324='check-Jul25'!CL324,"",'1. Live'!CL324-'check-Jul25'!CL324)</f>
        <v/>
      </c>
      <c r="CM324" t="str">
        <f>IF('1. Live'!CM324='check-Jul25'!CM324,"",'1. Live'!CM324-'check-Jul25'!CM324)</f>
        <v/>
      </c>
      <c r="CN324" t="str">
        <f>IF('1. Live'!CN324='check-Jul25'!CN324,"",'1. Live'!CN324-'check-Jul25'!CN324)</f>
        <v/>
      </c>
      <c r="CO324" t="str">
        <f>IF('1. Live'!CO324='check-Jul25'!CO324,"",'1. Live'!CO324-'check-Jul25'!CO324)</f>
        <v/>
      </c>
      <c r="CP324" t="str">
        <f>IF('1. Live'!CP324='check-Jul25'!CP324,"",'1. Live'!CP324-'check-Jul25'!CP324)</f>
        <v/>
      </c>
      <c r="CQ324" t="str">
        <f>IF('1. Live'!CQ324='check-Jul25'!CQ324,"",'1. Live'!CQ324-'check-Jul25'!CQ324)</f>
        <v/>
      </c>
      <c r="CR324" t="str">
        <f>IF('1. Live'!CR324='check-Jul25'!CR324,"",'1. Live'!CR324-'check-Jul25'!CR324)</f>
        <v/>
      </c>
      <c r="CS324" t="str">
        <f>IF('1. Live'!CS324='check-Jul25'!CS324,"",'1. Live'!CS324-'check-Jul25'!CS324)</f>
        <v/>
      </c>
      <c r="CT324" t="str">
        <f>IF('1. Live'!CT324='check-Jul25'!CT324,"",'1. Live'!CT324-'check-Jul25'!CT324)</f>
        <v/>
      </c>
      <c r="CU324" t="str">
        <f>IF('1. Live'!CU324='check-Jul25'!CU324,"",'1. Live'!CU324-'check-Jul25'!CU324)</f>
        <v/>
      </c>
      <c r="CV324" t="str">
        <f>IF('1. Live'!CV324='check-Jul25'!CV324,"",'1. Live'!CV324-'check-Jul25'!CV324)</f>
        <v/>
      </c>
      <c r="CW324" t="str">
        <f>IF('1. Live'!CW324='check-Jul25'!CW324,"",'1. Live'!CW324-'check-Jul25'!CW324)</f>
        <v/>
      </c>
    </row>
    <row r="325" spans="10:101">
      <c r="J325" t="str">
        <f>IF('1. Live'!J325='check-Jul25'!J325,"",'1. Live'!J325-'check-Jul25'!J325)</f>
        <v/>
      </c>
      <c r="K325" t="str">
        <f>IF('1. Live'!K325='check-Jul25'!K325,"",'1. Live'!K325-'check-Jul25'!K325)</f>
        <v/>
      </c>
      <c r="L325" t="str">
        <f>IF('1. Live'!L325='check-Jul25'!L325,"",'1. Live'!L325-'check-Jul25'!L325)</f>
        <v/>
      </c>
      <c r="M325" t="str">
        <f>IF('1. Live'!M325='check-Jul25'!M325,"",'1. Live'!M325-'check-Jul25'!M325)</f>
        <v/>
      </c>
      <c r="N325" t="str">
        <f>IF('1. Live'!N325='check-Jul25'!N325,"",'1. Live'!N325-'check-Jul25'!N325)</f>
        <v/>
      </c>
      <c r="O325" t="str">
        <f>IF('1. Live'!O325='check-Jul25'!O325,"",'1. Live'!O325-'check-Jul25'!O325)</f>
        <v/>
      </c>
      <c r="P325" t="str">
        <f>IF('1. Live'!P325='check-Jul25'!P325,"",'1. Live'!P325-'check-Jul25'!P325)</f>
        <v/>
      </c>
      <c r="Q325" t="str">
        <f>IF('1. Live'!Q325='check-Jul25'!Q325,"",'1. Live'!Q325-'check-Jul25'!Q325)</f>
        <v/>
      </c>
      <c r="R325" t="str">
        <f>IF('1. Live'!R325='check-Jul25'!R325,"",'1. Live'!R325-'check-Jul25'!R325)</f>
        <v/>
      </c>
      <c r="S325" t="str">
        <f>IF('1. Live'!S325='check-Jul25'!S325,"",'1. Live'!S325-'check-Jul25'!S325)</f>
        <v/>
      </c>
      <c r="T325" t="str">
        <f>IF('1. Live'!T325='check-Jul25'!T325,"",'1. Live'!T325-'check-Jul25'!T325)</f>
        <v/>
      </c>
      <c r="U325" t="str">
        <f>IF('1. Live'!U325='check-Jul25'!U325,"",'1. Live'!U325-'check-Jul25'!U325)</f>
        <v/>
      </c>
      <c r="V325" t="str">
        <f>IF('1. Live'!V325='check-Jul25'!V325,"",'1. Live'!V325-'check-Jul25'!V325)</f>
        <v/>
      </c>
      <c r="W325" t="str">
        <f>IF('1. Live'!W325='check-Jul25'!W325,"",'1. Live'!W325-'check-Jul25'!W325)</f>
        <v/>
      </c>
      <c r="X325" t="str">
        <f>IF('1. Live'!X325='check-Jul25'!X325,"",'1. Live'!X325-'check-Jul25'!X325)</f>
        <v/>
      </c>
      <c r="Y325" t="str">
        <f>IF('1. Live'!Y325='check-Jul25'!Y325,"",'1. Live'!Y325-'check-Jul25'!Y325)</f>
        <v/>
      </c>
      <c r="Z325" t="str">
        <f>IF('1. Live'!Z325='check-Jul25'!Z325,"",'1. Live'!Z325-'check-Jul25'!Z325)</f>
        <v/>
      </c>
      <c r="AA325" t="str">
        <f>IF('1. Live'!AA325='check-Jul25'!AA325,"",'1. Live'!AA325-'check-Jul25'!AA325)</f>
        <v/>
      </c>
      <c r="AB325" t="str">
        <f>IF('1. Live'!AB325='check-Jul25'!AB325,"",'1. Live'!AB325-'check-Jul25'!AB325)</f>
        <v/>
      </c>
      <c r="AC325" t="str">
        <f>IF('1. Live'!AC325='check-Jul25'!AC325,"",'1. Live'!AC325-'check-Jul25'!AC325)</f>
        <v/>
      </c>
      <c r="AD325" t="str">
        <f>IF('1. Live'!AD325='check-Jul25'!AD325,"",'1. Live'!AD325-'check-Jul25'!AD325)</f>
        <v/>
      </c>
      <c r="AE325" t="str">
        <f>IF('1. Live'!AE325='check-Jul25'!AE325,"",'1. Live'!AE325-'check-Jul25'!AE325)</f>
        <v/>
      </c>
      <c r="AF325" t="str">
        <f>IF('1. Live'!AF325='check-Jul25'!AF325,"",'1. Live'!AF325-'check-Jul25'!AF325)</f>
        <v/>
      </c>
      <c r="AG325" t="str">
        <f>IF('1. Live'!AG325='check-Jul25'!AG325,"",'1. Live'!AG325-'check-Jul25'!AG325)</f>
        <v/>
      </c>
      <c r="AH325" t="str">
        <f>IF('1. Live'!AH325='check-Jul25'!AH325,"",'1. Live'!AH325-'check-Jul25'!AH325)</f>
        <v/>
      </c>
      <c r="AI325" t="str">
        <f>IF('1. Live'!AI325='check-Jul25'!AI325,"",'1. Live'!AI325-'check-Jul25'!AI325)</f>
        <v/>
      </c>
      <c r="AJ325" t="str">
        <f>IF('1. Live'!AJ325='check-Jul25'!AJ325,"",'1. Live'!AJ325-'check-Jul25'!AJ325)</f>
        <v/>
      </c>
      <c r="AK325" t="str">
        <f>IF('1. Live'!AK325='check-Jul25'!AK325,"",'1. Live'!AK325-'check-Jul25'!AK325)</f>
        <v/>
      </c>
      <c r="AL325" t="str">
        <f>IF('1. Live'!AL325='check-Jul25'!AL325,"",'1. Live'!AL325-'check-Jul25'!AL325)</f>
        <v/>
      </c>
      <c r="AM325" t="str">
        <f>IF('1. Live'!AM325='check-Jul25'!AM325,"",'1. Live'!AM325-'check-Jul25'!AM325)</f>
        <v/>
      </c>
      <c r="AN325" t="str">
        <f>IF('1. Live'!AN325='check-Jul25'!AN325,"",'1. Live'!AN325-'check-Jul25'!AN325)</f>
        <v/>
      </c>
      <c r="AO325" t="str">
        <f>IF('1. Live'!AO325='check-Jul25'!AO325,"",'1. Live'!AO325-'check-Jul25'!AO325)</f>
        <v/>
      </c>
      <c r="AP325" t="str">
        <f>IF('1. Live'!AP325='check-Jul25'!AP325,"",'1. Live'!AP325-'check-Jul25'!AP325)</f>
        <v/>
      </c>
      <c r="AQ325" t="str">
        <f>IF('1. Live'!AQ325='check-Jul25'!AQ325,"",'1. Live'!AQ325-'check-Jul25'!AQ325)</f>
        <v/>
      </c>
      <c r="AR325" t="str">
        <f>IF('1. Live'!AR325='check-Jul25'!AR325,"",'1. Live'!AR325-'check-Jul25'!AR325)</f>
        <v/>
      </c>
      <c r="AS325" t="str">
        <f>IF('1. Live'!AS325='check-Jul25'!AS325,"",'1. Live'!AS325-'check-Jul25'!AS325)</f>
        <v/>
      </c>
      <c r="AT325" t="str">
        <f>IF('1. Live'!AT325='check-Jul25'!AT325,"",'1. Live'!AT325-'check-Jul25'!AT325)</f>
        <v/>
      </c>
      <c r="AU325" t="str">
        <f>IF('1. Live'!AU325='check-Jul25'!AU325,"",'1. Live'!AU325-'check-Jul25'!AU325)</f>
        <v/>
      </c>
      <c r="AV325" t="str">
        <f>IF('1. Live'!AV325='check-Jul25'!AV325,"",'1. Live'!AV325-'check-Jul25'!AV325)</f>
        <v/>
      </c>
      <c r="AW325" t="str">
        <f>IF('1. Live'!AW325='check-Jul25'!AW325,"",'1. Live'!AW325-'check-Jul25'!AW325)</f>
        <v/>
      </c>
      <c r="AX325" t="str">
        <f>IF('1. Live'!AX325='check-Jul25'!AX325,"",'1. Live'!AX325-'check-Jul25'!AX325)</f>
        <v/>
      </c>
      <c r="AY325" t="str">
        <f>IF('1. Live'!AY325='check-Jul25'!AY325,"",'1. Live'!AY325-'check-Jul25'!AY325)</f>
        <v/>
      </c>
      <c r="AZ325" t="str">
        <f>IF('1. Live'!AZ325='check-Jul25'!AZ325,"",'1. Live'!AZ325-'check-Jul25'!AZ325)</f>
        <v/>
      </c>
      <c r="BA325" t="str">
        <f>IF('1. Live'!BA325='check-Jul25'!BA325,"",'1. Live'!BA325-'check-Jul25'!BA325)</f>
        <v/>
      </c>
      <c r="BB325" t="str">
        <f>IF('1. Live'!BB325='check-Jul25'!BB325,"",'1. Live'!BB325-'check-Jul25'!BB325)</f>
        <v/>
      </c>
      <c r="BC325" t="str">
        <f>IF('1. Live'!BC325='check-Jul25'!BC325,"",'1. Live'!BC325-'check-Jul25'!BC325)</f>
        <v/>
      </c>
      <c r="BD325" t="str">
        <f>IF('1. Live'!BD325='check-Jul25'!BD325,"",'1. Live'!BD325-'check-Jul25'!BD325)</f>
        <v/>
      </c>
      <c r="BE325" t="str">
        <f>IF('1. Live'!BE325='check-Jul25'!BE325,"",'1. Live'!BE325-'check-Jul25'!BE325)</f>
        <v/>
      </c>
      <c r="BF325" t="str">
        <f>IF('1. Live'!BF325='check-Jul25'!BF325,"",'1. Live'!BF325-'check-Jul25'!BF325)</f>
        <v/>
      </c>
      <c r="BG325" t="str">
        <f>IF('1. Live'!BG325='check-Jul25'!BG325,"",'1. Live'!BG325-'check-Jul25'!BG325)</f>
        <v/>
      </c>
      <c r="BH325" t="str">
        <f>IF('1. Live'!BH325='check-Jul25'!BH325,"",'1. Live'!BH325-'check-Jul25'!BH325)</f>
        <v/>
      </c>
      <c r="BI325" t="str">
        <f>IF('1. Live'!BI325='check-Jul25'!BI325,"",'1. Live'!BI325-'check-Jul25'!BI325)</f>
        <v/>
      </c>
      <c r="BJ325" t="str">
        <f>IF('1. Live'!BJ325='check-Jul25'!BJ325,"",'1. Live'!BJ325-'check-Jul25'!BJ325)</f>
        <v/>
      </c>
      <c r="BK325" t="str">
        <f>IF('1. Live'!BK325='check-Jul25'!BK325,"",'1. Live'!BK325-'check-Jul25'!BK325)</f>
        <v/>
      </c>
      <c r="BL325" t="str">
        <f>IF('1. Live'!BL325='check-Jul25'!BL325,"",'1. Live'!BL325-'check-Jul25'!BL325)</f>
        <v/>
      </c>
      <c r="BM325" t="str">
        <f>IF('1. Live'!BM325='check-Jul25'!BM325,"",'1. Live'!BM325-'check-Jul25'!BM325)</f>
        <v/>
      </c>
      <c r="BN325" t="str">
        <f>IF('1. Live'!BN325='check-Jul25'!BN325,"",'1. Live'!BN325-'check-Jul25'!BN325)</f>
        <v/>
      </c>
      <c r="BO325" t="str">
        <f>IF('1. Live'!BO325='check-Jul25'!BO325,"",'1. Live'!BO325-'check-Jul25'!BO325)</f>
        <v/>
      </c>
      <c r="BP325" t="str">
        <f>IF('1. Live'!BP325='check-Jul25'!BP325,"",'1. Live'!BP325-'check-Jul25'!BP325)</f>
        <v/>
      </c>
      <c r="BQ325" t="str">
        <f>IF('1. Live'!BQ325='check-Jul25'!BQ325,"",'1. Live'!BQ325-'check-Jul25'!BQ325)</f>
        <v/>
      </c>
      <c r="BR325" t="str">
        <f>IF('1. Live'!BR325='check-Jul25'!BR325,"",'1. Live'!BR325-'check-Jul25'!BR325)</f>
        <v/>
      </c>
      <c r="BS325" t="str">
        <f>IF('1. Live'!BS325='check-Jul25'!BS325,"",'1. Live'!BS325-'check-Jul25'!BS325)</f>
        <v/>
      </c>
      <c r="BT325" t="str">
        <f>IF('1. Live'!BT325='check-Jul25'!BT325,"",'1. Live'!BT325-'check-Jul25'!BT325)</f>
        <v/>
      </c>
      <c r="BU325" t="str">
        <f>IF('1. Live'!BU325='check-Jul25'!BU325,"",'1. Live'!BU325-'check-Jul25'!BU325)</f>
        <v/>
      </c>
      <c r="BV325" t="str">
        <f>IF('1. Live'!BV325='check-Jul25'!BV325,"",'1. Live'!BV325-'check-Jul25'!BV325)</f>
        <v/>
      </c>
      <c r="BW325" t="str">
        <f>IF('1. Live'!BW325='check-Jul25'!BW325,"",'1. Live'!BW325-'check-Jul25'!BW325)</f>
        <v/>
      </c>
      <c r="BX325" t="str">
        <f>IF('1. Live'!BX325='check-Jul25'!BX325,"",'1. Live'!BX325-'check-Jul25'!BX325)</f>
        <v/>
      </c>
      <c r="BY325" t="str">
        <f>IF('1. Live'!BY325='check-Jul25'!BY325,"",'1. Live'!BY325-'check-Jul25'!BY325)</f>
        <v/>
      </c>
      <c r="BZ325" t="str">
        <f>IF('1. Live'!BZ325='check-Jul25'!BZ325,"",'1. Live'!BZ325-'check-Jul25'!BZ325)</f>
        <v/>
      </c>
      <c r="CA325" t="str">
        <f>IF('1. Live'!CA325='check-Jul25'!CA325,"",'1. Live'!CA325-'check-Jul25'!CA325)</f>
        <v/>
      </c>
      <c r="CB325" t="str">
        <f>IF('1. Live'!CB325='check-Jul25'!CB325,"",'1. Live'!CB325-'check-Jul25'!CB325)</f>
        <v/>
      </c>
      <c r="CC325" t="str">
        <f>IF('1. Live'!CC325='check-Jul25'!CC325,"",'1. Live'!CC325-'check-Jul25'!CC325)</f>
        <v/>
      </c>
      <c r="CD325" t="str">
        <f>IF('1. Live'!CD325='check-Jul25'!CD325,"",'1. Live'!CD325-'check-Jul25'!CD325)</f>
        <v/>
      </c>
      <c r="CE325" t="str">
        <f>IF('1. Live'!CE325='check-Jul25'!CE325,"",'1. Live'!CE325-'check-Jul25'!CE325)</f>
        <v/>
      </c>
      <c r="CF325" t="str">
        <f>IF('1. Live'!CF325='check-Jul25'!CF325,"",'1. Live'!CF325-'check-Jul25'!CF325)</f>
        <v/>
      </c>
      <c r="CG325" t="str">
        <f>IF('1. Live'!CG325='check-Jul25'!CG325,"",'1. Live'!CG325-'check-Jul25'!CG325)</f>
        <v/>
      </c>
      <c r="CH325" t="str">
        <f>IF('1. Live'!CH325='check-Jul25'!CH325,"",'1. Live'!CH325-'check-Jul25'!CH325)</f>
        <v/>
      </c>
      <c r="CI325" t="str">
        <f>IF('1. Live'!CI325='check-Jul25'!CI325,"",'1. Live'!CI325-'check-Jul25'!CI325)</f>
        <v/>
      </c>
      <c r="CJ325" t="str">
        <f>IF('1. Live'!CJ325='check-Jul25'!CJ325,"",'1. Live'!CJ325-'check-Jul25'!CJ325)</f>
        <v/>
      </c>
      <c r="CK325" t="str">
        <f>IF('1. Live'!CK325='check-Jul25'!CK325,"",'1. Live'!CK325-'check-Jul25'!CK325)</f>
        <v/>
      </c>
      <c r="CL325" t="str">
        <f>IF('1. Live'!CL325='check-Jul25'!CL325,"",'1. Live'!CL325-'check-Jul25'!CL325)</f>
        <v/>
      </c>
      <c r="CM325" t="str">
        <f>IF('1. Live'!CM325='check-Jul25'!CM325,"",'1. Live'!CM325-'check-Jul25'!CM325)</f>
        <v/>
      </c>
      <c r="CN325" t="str">
        <f>IF('1. Live'!CN325='check-Jul25'!CN325,"",'1. Live'!CN325-'check-Jul25'!CN325)</f>
        <v/>
      </c>
      <c r="CO325" t="str">
        <f>IF('1. Live'!CO325='check-Jul25'!CO325,"",'1. Live'!CO325-'check-Jul25'!CO325)</f>
        <v/>
      </c>
      <c r="CP325" t="str">
        <f>IF('1. Live'!CP325='check-Jul25'!CP325,"",'1. Live'!CP325-'check-Jul25'!CP325)</f>
        <v/>
      </c>
      <c r="CQ325" t="str">
        <f>IF('1. Live'!CQ325='check-Jul25'!CQ325,"",'1. Live'!CQ325-'check-Jul25'!CQ325)</f>
        <v/>
      </c>
      <c r="CR325" t="str">
        <f>IF('1. Live'!CR325='check-Jul25'!CR325,"",'1. Live'!CR325-'check-Jul25'!CR325)</f>
        <v/>
      </c>
      <c r="CS325" t="str">
        <f>IF('1. Live'!CS325='check-Jul25'!CS325,"",'1. Live'!CS325-'check-Jul25'!CS325)</f>
        <v/>
      </c>
      <c r="CT325" t="str">
        <f>IF('1. Live'!CT325='check-Jul25'!CT325,"",'1. Live'!CT325-'check-Jul25'!CT325)</f>
        <v/>
      </c>
      <c r="CU325" t="str">
        <f>IF('1. Live'!CU325='check-Jul25'!CU325,"",'1. Live'!CU325-'check-Jul25'!CU325)</f>
        <v/>
      </c>
      <c r="CV325" t="str">
        <f>IF('1. Live'!CV325='check-Jul25'!CV325,"",'1. Live'!CV325-'check-Jul25'!CV325)</f>
        <v/>
      </c>
      <c r="CW325" t="str">
        <f>IF('1. Live'!CW325='check-Jul25'!CW325,"",'1. Live'!CW325-'check-Jul25'!CW325)</f>
        <v/>
      </c>
    </row>
    <row r="326" spans="10:101">
      <c r="J326" t="str">
        <f>IF('1. Live'!J326='check-Jul25'!J326,"",'1. Live'!J326-'check-Jul25'!J326)</f>
        <v/>
      </c>
      <c r="K326" t="str">
        <f>IF('1. Live'!K326='check-Jul25'!K326,"",'1. Live'!K326-'check-Jul25'!K326)</f>
        <v/>
      </c>
      <c r="L326" t="str">
        <f>IF('1. Live'!L326='check-Jul25'!L326,"",'1. Live'!L326-'check-Jul25'!L326)</f>
        <v/>
      </c>
      <c r="M326" t="str">
        <f>IF('1. Live'!M326='check-Jul25'!M326,"",'1. Live'!M326-'check-Jul25'!M326)</f>
        <v/>
      </c>
      <c r="N326" t="str">
        <f>IF('1. Live'!N326='check-Jul25'!N326,"",'1. Live'!N326-'check-Jul25'!N326)</f>
        <v/>
      </c>
      <c r="O326" t="str">
        <f>IF('1. Live'!O326='check-Jul25'!O326,"",'1. Live'!O326-'check-Jul25'!O326)</f>
        <v/>
      </c>
      <c r="P326" t="str">
        <f>IF('1. Live'!P326='check-Jul25'!P326,"",'1. Live'!P326-'check-Jul25'!P326)</f>
        <v/>
      </c>
      <c r="Q326" t="str">
        <f>IF('1. Live'!Q326='check-Jul25'!Q326,"",'1. Live'!Q326-'check-Jul25'!Q326)</f>
        <v/>
      </c>
      <c r="R326" t="str">
        <f>IF('1. Live'!R326='check-Jul25'!R326,"",'1. Live'!R326-'check-Jul25'!R326)</f>
        <v/>
      </c>
      <c r="S326" t="str">
        <f>IF('1. Live'!S326='check-Jul25'!S326,"",'1. Live'!S326-'check-Jul25'!S326)</f>
        <v/>
      </c>
      <c r="T326" t="str">
        <f>IF('1. Live'!T326='check-Jul25'!T326,"",'1. Live'!T326-'check-Jul25'!T326)</f>
        <v/>
      </c>
      <c r="U326" t="str">
        <f>IF('1. Live'!U326='check-Jul25'!U326,"",'1. Live'!U326-'check-Jul25'!U326)</f>
        <v/>
      </c>
      <c r="V326" t="str">
        <f>IF('1. Live'!V326='check-Jul25'!V326,"",'1. Live'!V326-'check-Jul25'!V326)</f>
        <v/>
      </c>
      <c r="W326" t="str">
        <f>IF('1. Live'!W326='check-Jul25'!W326,"",'1. Live'!W326-'check-Jul25'!W326)</f>
        <v/>
      </c>
      <c r="X326" t="str">
        <f>IF('1. Live'!X326='check-Jul25'!X326,"",'1. Live'!X326-'check-Jul25'!X326)</f>
        <v/>
      </c>
      <c r="Y326" t="str">
        <f>IF('1. Live'!Y326='check-Jul25'!Y326,"",'1. Live'!Y326-'check-Jul25'!Y326)</f>
        <v/>
      </c>
      <c r="Z326" t="str">
        <f>IF('1. Live'!Z326='check-Jul25'!Z326,"",'1. Live'!Z326-'check-Jul25'!Z326)</f>
        <v/>
      </c>
      <c r="AA326" t="str">
        <f>IF('1. Live'!AA326='check-Jul25'!AA326,"",'1. Live'!AA326-'check-Jul25'!AA326)</f>
        <v/>
      </c>
      <c r="AB326" t="str">
        <f>IF('1. Live'!AB326='check-Jul25'!AB326,"",'1. Live'!AB326-'check-Jul25'!AB326)</f>
        <v/>
      </c>
      <c r="AC326" t="str">
        <f>IF('1. Live'!AC326='check-Jul25'!AC326,"",'1. Live'!AC326-'check-Jul25'!AC326)</f>
        <v/>
      </c>
      <c r="AD326" t="str">
        <f>IF('1. Live'!AD326='check-Jul25'!AD326,"",'1. Live'!AD326-'check-Jul25'!AD326)</f>
        <v/>
      </c>
      <c r="AE326" t="str">
        <f>IF('1. Live'!AE326='check-Jul25'!AE326,"",'1. Live'!AE326-'check-Jul25'!AE326)</f>
        <v/>
      </c>
      <c r="AF326" t="str">
        <f>IF('1. Live'!AF326='check-Jul25'!AF326,"",'1. Live'!AF326-'check-Jul25'!AF326)</f>
        <v/>
      </c>
      <c r="AG326" t="str">
        <f>IF('1. Live'!AG326='check-Jul25'!AG326,"",'1. Live'!AG326-'check-Jul25'!AG326)</f>
        <v/>
      </c>
      <c r="AH326" t="str">
        <f>IF('1. Live'!AH326='check-Jul25'!AH326,"",'1. Live'!AH326-'check-Jul25'!AH326)</f>
        <v/>
      </c>
      <c r="AI326" t="str">
        <f>IF('1. Live'!AI326='check-Jul25'!AI326,"",'1. Live'!AI326-'check-Jul25'!AI326)</f>
        <v/>
      </c>
      <c r="AJ326" t="str">
        <f>IF('1. Live'!AJ326='check-Jul25'!AJ326,"",'1. Live'!AJ326-'check-Jul25'!AJ326)</f>
        <v/>
      </c>
      <c r="AK326" t="str">
        <f>IF('1. Live'!AK326='check-Jul25'!AK326,"",'1. Live'!AK326-'check-Jul25'!AK326)</f>
        <v/>
      </c>
      <c r="AL326" t="str">
        <f>IF('1. Live'!AL326='check-Jul25'!AL326,"",'1. Live'!AL326-'check-Jul25'!AL326)</f>
        <v/>
      </c>
      <c r="AM326" t="str">
        <f>IF('1. Live'!AM326='check-Jul25'!AM326,"",'1. Live'!AM326-'check-Jul25'!AM326)</f>
        <v/>
      </c>
      <c r="AN326" t="str">
        <f>IF('1. Live'!AN326='check-Jul25'!AN326,"",'1. Live'!AN326-'check-Jul25'!AN326)</f>
        <v/>
      </c>
      <c r="AO326" t="str">
        <f>IF('1. Live'!AO326='check-Jul25'!AO326,"",'1. Live'!AO326-'check-Jul25'!AO326)</f>
        <v/>
      </c>
      <c r="AP326" t="str">
        <f>IF('1. Live'!AP326='check-Jul25'!AP326,"",'1. Live'!AP326-'check-Jul25'!AP326)</f>
        <v/>
      </c>
      <c r="AQ326" t="str">
        <f>IF('1. Live'!AQ326='check-Jul25'!AQ326,"",'1. Live'!AQ326-'check-Jul25'!AQ326)</f>
        <v/>
      </c>
      <c r="AR326" t="str">
        <f>IF('1. Live'!AR326='check-Jul25'!AR326,"",'1. Live'!AR326-'check-Jul25'!AR326)</f>
        <v/>
      </c>
      <c r="AS326" t="str">
        <f>IF('1. Live'!AS326='check-Jul25'!AS326,"",'1. Live'!AS326-'check-Jul25'!AS326)</f>
        <v/>
      </c>
      <c r="AT326" t="str">
        <f>IF('1. Live'!AT326='check-Jul25'!AT326,"",'1. Live'!AT326-'check-Jul25'!AT326)</f>
        <v/>
      </c>
      <c r="AU326" t="str">
        <f>IF('1. Live'!AU326='check-Jul25'!AU326,"",'1. Live'!AU326-'check-Jul25'!AU326)</f>
        <v/>
      </c>
      <c r="AV326" t="str">
        <f>IF('1. Live'!AV326='check-Jul25'!AV326,"",'1. Live'!AV326-'check-Jul25'!AV326)</f>
        <v/>
      </c>
      <c r="AW326" t="str">
        <f>IF('1. Live'!AW326='check-Jul25'!AW326,"",'1. Live'!AW326-'check-Jul25'!AW326)</f>
        <v/>
      </c>
      <c r="AX326" t="str">
        <f>IF('1. Live'!AX326='check-Jul25'!AX326,"",'1. Live'!AX326-'check-Jul25'!AX326)</f>
        <v/>
      </c>
      <c r="AY326" t="str">
        <f>IF('1. Live'!AY326='check-Jul25'!AY326,"",'1. Live'!AY326-'check-Jul25'!AY326)</f>
        <v/>
      </c>
      <c r="AZ326" t="str">
        <f>IF('1. Live'!AZ326='check-Jul25'!AZ326,"",'1. Live'!AZ326-'check-Jul25'!AZ326)</f>
        <v/>
      </c>
      <c r="BA326" t="str">
        <f>IF('1. Live'!BA326='check-Jul25'!BA326,"",'1. Live'!BA326-'check-Jul25'!BA326)</f>
        <v/>
      </c>
      <c r="BB326" t="str">
        <f>IF('1. Live'!BB326='check-Jul25'!BB326,"",'1. Live'!BB326-'check-Jul25'!BB326)</f>
        <v/>
      </c>
      <c r="BC326" t="str">
        <f>IF('1. Live'!BC326='check-Jul25'!BC326,"",'1. Live'!BC326-'check-Jul25'!BC326)</f>
        <v/>
      </c>
      <c r="BD326" t="str">
        <f>IF('1. Live'!BD326='check-Jul25'!BD326,"",'1. Live'!BD326-'check-Jul25'!BD326)</f>
        <v/>
      </c>
      <c r="BE326" t="str">
        <f>IF('1. Live'!BE326='check-Jul25'!BE326,"",'1. Live'!BE326-'check-Jul25'!BE326)</f>
        <v/>
      </c>
      <c r="BF326" t="str">
        <f>IF('1. Live'!BF326='check-Jul25'!BF326,"",'1. Live'!BF326-'check-Jul25'!BF326)</f>
        <v/>
      </c>
      <c r="BG326" t="str">
        <f>IF('1. Live'!BG326='check-Jul25'!BG326,"",'1. Live'!BG326-'check-Jul25'!BG326)</f>
        <v/>
      </c>
      <c r="BH326" t="str">
        <f>IF('1. Live'!BH326='check-Jul25'!BH326,"",'1. Live'!BH326-'check-Jul25'!BH326)</f>
        <v/>
      </c>
      <c r="BI326" t="str">
        <f>IF('1. Live'!BI326='check-Jul25'!BI326,"",'1. Live'!BI326-'check-Jul25'!BI326)</f>
        <v/>
      </c>
      <c r="BJ326" t="str">
        <f>IF('1. Live'!BJ326='check-Jul25'!BJ326,"",'1. Live'!BJ326-'check-Jul25'!BJ326)</f>
        <v/>
      </c>
      <c r="BK326" t="str">
        <f>IF('1. Live'!BK326='check-Jul25'!BK326,"",'1. Live'!BK326-'check-Jul25'!BK326)</f>
        <v/>
      </c>
      <c r="BL326" t="str">
        <f>IF('1. Live'!BL326='check-Jul25'!BL326,"",'1. Live'!BL326-'check-Jul25'!BL326)</f>
        <v/>
      </c>
      <c r="BM326" t="str">
        <f>IF('1. Live'!BM326='check-Jul25'!BM326,"",'1. Live'!BM326-'check-Jul25'!BM326)</f>
        <v/>
      </c>
      <c r="BN326" t="str">
        <f>IF('1. Live'!BN326='check-Jul25'!BN326,"",'1. Live'!BN326-'check-Jul25'!BN326)</f>
        <v/>
      </c>
      <c r="BO326" t="str">
        <f>IF('1. Live'!BO326='check-Jul25'!BO326,"",'1. Live'!BO326-'check-Jul25'!BO326)</f>
        <v/>
      </c>
      <c r="BP326" t="str">
        <f>IF('1. Live'!BP326='check-Jul25'!BP326,"",'1. Live'!BP326-'check-Jul25'!BP326)</f>
        <v/>
      </c>
      <c r="BQ326" t="str">
        <f>IF('1. Live'!BQ326='check-Jul25'!BQ326,"",'1. Live'!BQ326-'check-Jul25'!BQ326)</f>
        <v/>
      </c>
      <c r="BR326" t="str">
        <f>IF('1. Live'!BR326='check-Jul25'!BR326,"",'1. Live'!BR326-'check-Jul25'!BR326)</f>
        <v/>
      </c>
      <c r="BS326" t="str">
        <f>IF('1. Live'!BS326='check-Jul25'!BS326,"",'1. Live'!BS326-'check-Jul25'!BS326)</f>
        <v/>
      </c>
      <c r="BT326" t="str">
        <f>IF('1. Live'!BT326='check-Jul25'!BT326,"",'1. Live'!BT326-'check-Jul25'!BT326)</f>
        <v/>
      </c>
      <c r="BU326" t="str">
        <f>IF('1. Live'!BU326='check-Jul25'!BU326,"",'1. Live'!BU326-'check-Jul25'!BU326)</f>
        <v/>
      </c>
      <c r="BV326" t="str">
        <f>IF('1. Live'!BV326='check-Jul25'!BV326,"",'1. Live'!BV326-'check-Jul25'!BV326)</f>
        <v/>
      </c>
      <c r="BW326" t="str">
        <f>IF('1. Live'!BW326='check-Jul25'!BW326,"",'1. Live'!BW326-'check-Jul25'!BW326)</f>
        <v/>
      </c>
      <c r="BX326" t="str">
        <f>IF('1. Live'!BX326='check-Jul25'!BX326,"",'1. Live'!BX326-'check-Jul25'!BX326)</f>
        <v/>
      </c>
      <c r="BY326" t="str">
        <f>IF('1. Live'!BY326='check-Jul25'!BY326,"",'1. Live'!BY326-'check-Jul25'!BY326)</f>
        <v/>
      </c>
      <c r="BZ326" t="str">
        <f>IF('1. Live'!BZ326='check-Jul25'!BZ326,"",'1. Live'!BZ326-'check-Jul25'!BZ326)</f>
        <v/>
      </c>
      <c r="CA326" t="str">
        <f>IF('1. Live'!CA326='check-Jul25'!CA326,"",'1. Live'!CA326-'check-Jul25'!CA326)</f>
        <v/>
      </c>
      <c r="CB326" t="str">
        <f>IF('1. Live'!CB326='check-Jul25'!CB326,"",'1. Live'!CB326-'check-Jul25'!CB326)</f>
        <v/>
      </c>
      <c r="CC326" t="str">
        <f>IF('1. Live'!CC326='check-Jul25'!CC326,"",'1. Live'!CC326-'check-Jul25'!CC326)</f>
        <v/>
      </c>
      <c r="CD326" t="str">
        <f>IF('1. Live'!CD326='check-Jul25'!CD326,"",'1. Live'!CD326-'check-Jul25'!CD326)</f>
        <v/>
      </c>
      <c r="CE326" t="str">
        <f>IF('1. Live'!CE326='check-Jul25'!CE326,"",'1. Live'!CE326-'check-Jul25'!CE326)</f>
        <v/>
      </c>
      <c r="CF326" t="str">
        <f>IF('1. Live'!CF326='check-Jul25'!CF326,"",'1. Live'!CF326-'check-Jul25'!CF326)</f>
        <v/>
      </c>
      <c r="CG326" t="str">
        <f>IF('1. Live'!CG326='check-Jul25'!CG326,"",'1. Live'!CG326-'check-Jul25'!CG326)</f>
        <v/>
      </c>
      <c r="CH326" t="str">
        <f>IF('1. Live'!CH326='check-Jul25'!CH326,"",'1. Live'!CH326-'check-Jul25'!CH326)</f>
        <v/>
      </c>
      <c r="CI326" t="str">
        <f>IF('1. Live'!CI326='check-Jul25'!CI326,"",'1. Live'!CI326-'check-Jul25'!CI326)</f>
        <v/>
      </c>
      <c r="CJ326" t="str">
        <f>IF('1. Live'!CJ326='check-Jul25'!CJ326,"",'1. Live'!CJ326-'check-Jul25'!CJ326)</f>
        <v/>
      </c>
      <c r="CK326" t="str">
        <f>IF('1. Live'!CK326='check-Jul25'!CK326,"",'1. Live'!CK326-'check-Jul25'!CK326)</f>
        <v/>
      </c>
      <c r="CL326" t="str">
        <f>IF('1. Live'!CL326='check-Jul25'!CL326,"",'1. Live'!CL326-'check-Jul25'!CL326)</f>
        <v/>
      </c>
      <c r="CM326" t="str">
        <f>IF('1. Live'!CM326='check-Jul25'!CM326,"",'1. Live'!CM326-'check-Jul25'!CM326)</f>
        <v/>
      </c>
      <c r="CN326" t="str">
        <f>IF('1. Live'!CN326='check-Jul25'!CN326,"",'1. Live'!CN326-'check-Jul25'!CN326)</f>
        <v/>
      </c>
      <c r="CO326" t="str">
        <f>IF('1. Live'!CO326='check-Jul25'!CO326,"",'1. Live'!CO326-'check-Jul25'!CO326)</f>
        <v/>
      </c>
      <c r="CP326" t="str">
        <f>IF('1. Live'!CP326='check-Jul25'!CP326,"",'1. Live'!CP326-'check-Jul25'!CP326)</f>
        <v/>
      </c>
      <c r="CQ326" t="str">
        <f>IF('1. Live'!CQ326='check-Jul25'!CQ326,"",'1. Live'!CQ326-'check-Jul25'!CQ326)</f>
        <v/>
      </c>
      <c r="CR326" t="str">
        <f>IF('1. Live'!CR326='check-Jul25'!CR326,"",'1. Live'!CR326-'check-Jul25'!CR326)</f>
        <v/>
      </c>
      <c r="CS326" t="str">
        <f>IF('1. Live'!CS326='check-Jul25'!CS326,"",'1. Live'!CS326-'check-Jul25'!CS326)</f>
        <v/>
      </c>
      <c r="CT326" t="str">
        <f>IF('1. Live'!CT326='check-Jul25'!CT326,"",'1. Live'!CT326-'check-Jul25'!CT326)</f>
        <v/>
      </c>
      <c r="CU326" t="str">
        <f>IF('1. Live'!CU326='check-Jul25'!CU326,"",'1. Live'!CU326-'check-Jul25'!CU326)</f>
        <v/>
      </c>
      <c r="CV326" t="str">
        <f>IF('1. Live'!CV326='check-Jul25'!CV326,"",'1. Live'!CV326-'check-Jul25'!CV326)</f>
        <v/>
      </c>
      <c r="CW326" t="str">
        <f>IF('1. Live'!CW326='check-Jul25'!CW326,"",'1. Live'!CW326-'check-Jul25'!CW326)</f>
        <v/>
      </c>
    </row>
    <row r="327" spans="10:101">
      <c r="J327" t="str">
        <f>IF('1. Live'!J327='check-Jul25'!J327,"",'1. Live'!J327-'check-Jul25'!J327)</f>
        <v/>
      </c>
      <c r="K327" t="str">
        <f>IF('1. Live'!K327='check-Jul25'!K327,"",'1. Live'!K327-'check-Jul25'!K327)</f>
        <v/>
      </c>
      <c r="L327" t="str">
        <f>IF('1. Live'!L327='check-Jul25'!L327,"",'1. Live'!L327-'check-Jul25'!L327)</f>
        <v/>
      </c>
      <c r="M327" t="str">
        <f>IF('1. Live'!M327='check-Jul25'!M327,"",'1. Live'!M327-'check-Jul25'!M327)</f>
        <v/>
      </c>
      <c r="N327" t="str">
        <f>IF('1. Live'!N327='check-Jul25'!N327,"",'1. Live'!N327-'check-Jul25'!N327)</f>
        <v/>
      </c>
      <c r="O327" t="str">
        <f>IF('1. Live'!O327='check-Jul25'!O327,"",'1. Live'!O327-'check-Jul25'!O327)</f>
        <v/>
      </c>
      <c r="P327" t="str">
        <f>IF('1. Live'!P327='check-Jul25'!P327,"",'1. Live'!P327-'check-Jul25'!P327)</f>
        <v/>
      </c>
      <c r="Q327" t="str">
        <f>IF('1. Live'!Q327='check-Jul25'!Q327,"",'1. Live'!Q327-'check-Jul25'!Q327)</f>
        <v/>
      </c>
      <c r="R327" t="str">
        <f>IF('1. Live'!R327='check-Jul25'!R327,"",'1. Live'!R327-'check-Jul25'!R327)</f>
        <v/>
      </c>
      <c r="S327" t="str">
        <f>IF('1. Live'!S327='check-Jul25'!S327,"",'1. Live'!S327-'check-Jul25'!S327)</f>
        <v/>
      </c>
      <c r="T327" t="str">
        <f>IF('1. Live'!T327='check-Jul25'!T327,"",'1. Live'!T327-'check-Jul25'!T327)</f>
        <v/>
      </c>
      <c r="U327" t="str">
        <f>IF('1. Live'!U327='check-Jul25'!U327,"",'1. Live'!U327-'check-Jul25'!U327)</f>
        <v/>
      </c>
      <c r="V327" t="str">
        <f>IF('1. Live'!V327='check-Jul25'!V327,"",'1. Live'!V327-'check-Jul25'!V327)</f>
        <v/>
      </c>
      <c r="W327" t="str">
        <f>IF('1. Live'!W327='check-Jul25'!W327,"",'1. Live'!W327-'check-Jul25'!W327)</f>
        <v/>
      </c>
      <c r="X327" t="str">
        <f>IF('1. Live'!X327='check-Jul25'!X327,"",'1. Live'!X327-'check-Jul25'!X327)</f>
        <v/>
      </c>
      <c r="Y327" t="str">
        <f>IF('1. Live'!Y327='check-Jul25'!Y327,"",'1. Live'!Y327-'check-Jul25'!Y327)</f>
        <v/>
      </c>
      <c r="Z327" t="str">
        <f>IF('1. Live'!Z327='check-Jul25'!Z327,"",'1. Live'!Z327-'check-Jul25'!Z327)</f>
        <v/>
      </c>
      <c r="AA327" t="str">
        <f>IF('1. Live'!AA327='check-Jul25'!AA327,"",'1. Live'!AA327-'check-Jul25'!AA327)</f>
        <v/>
      </c>
      <c r="AB327" t="str">
        <f>IF('1. Live'!AB327='check-Jul25'!AB327,"",'1. Live'!AB327-'check-Jul25'!AB327)</f>
        <v/>
      </c>
      <c r="AC327" t="str">
        <f>IF('1. Live'!AC327='check-Jul25'!AC327,"",'1. Live'!AC327-'check-Jul25'!AC327)</f>
        <v/>
      </c>
      <c r="AD327" t="str">
        <f>IF('1. Live'!AD327='check-Jul25'!AD327,"",'1. Live'!AD327-'check-Jul25'!AD327)</f>
        <v/>
      </c>
      <c r="AE327" t="str">
        <f>IF('1. Live'!AE327='check-Jul25'!AE327,"",'1. Live'!AE327-'check-Jul25'!AE327)</f>
        <v/>
      </c>
      <c r="AF327" t="str">
        <f>IF('1. Live'!AF327='check-Jul25'!AF327,"",'1. Live'!AF327-'check-Jul25'!AF327)</f>
        <v/>
      </c>
      <c r="AG327" t="str">
        <f>IF('1. Live'!AG327='check-Jul25'!AG327,"",'1. Live'!AG327-'check-Jul25'!AG327)</f>
        <v/>
      </c>
      <c r="AH327" t="str">
        <f>IF('1. Live'!AH327='check-Jul25'!AH327,"",'1. Live'!AH327-'check-Jul25'!AH327)</f>
        <v/>
      </c>
      <c r="AI327" t="str">
        <f>IF('1. Live'!AI327='check-Jul25'!AI327,"",'1. Live'!AI327-'check-Jul25'!AI327)</f>
        <v/>
      </c>
      <c r="AJ327" t="str">
        <f>IF('1. Live'!AJ327='check-Jul25'!AJ327,"",'1. Live'!AJ327-'check-Jul25'!AJ327)</f>
        <v/>
      </c>
      <c r="AK327" t="str">
        <f>IF('1. Live'!AK327='check-Jul25'!AK327,"",'1. Live'!AK327-'check-Jul25'!AK327)</f>
        <v/>
      </c>
      <c r="AL327" t="str">
        <f>IF('1. Live'!AL327='check-Jul25'!AL327,"",'1. Live'!AL327-'check-Jul25'!AL327)</f>
        <v/>
      </c>
      <c r="AM327" t="str">
        <f>IF('1. Live'!AM327='check-Jul25'!AM327,"",'1. Live'!AM327-'check-Jul25'!AM327)</f>
        <v/>
      </c>
      <c r="AN327" t="str">
        <f>IF('1. Live'!AN327='check-Jul25'!AN327,"",'1. Live'!AN327-'check-Jul25'!AN327)</f>
        <v/>
      </c>
      <c r="AO327" t="str">
        <f>IF('1. Live'!AO327='check-Jul25'!AO327,"",'1. Live'!AO327-'check-Jul25'!AO327)</f>
        <v/>
      </c>
      <c r="AP327" t="str">
        <f>IF('1. Live'!AP327='check-Jul25'!AP327,"",'1. Live'!AP327-'check-Jul25'!AP327)</f>
        <v/>
      </c>
      <c r="AQ327" t="str">
        <f>IF('1. Live'!AQ327='check-Jul25'!AQ327,"",'1. Live'!AQ327-'check-Jul25'!AQ327)</f>
        <v/>
      </c>
      <c r="AR327" t="str">
        <f>IF('1. Live'!AR327='check-Jul25'!AR327,"",'1. Live'!AR327-'check-Jul25'!AR327)</f>
        <v/>
      </c>
      <c r="AS327" t="str">
        <f>IF('1. Live'!AS327='check-Jul25'!AS327,"",'1. Live'!AS327-'check-Jul25'!AS327)</f>
        <v/>
      </c>
      <c r="AT327" t="str">
        <f>IF('1. Live'!AT327='check-Jul25'!AT327,"",'1. Live'!AT327-'check-Jul25'!AT327)</f>
        <v/>
      </c>
      <c r="AU327" t="str">
        <f>IF('1. Live'!AU327='check-Jul25'!AU327,"",'1. Live'!AU327-'check-Jul25'!AU327)</f>
        <v/>
      </c>
      <c r="AV327" t="str">
        <f>IF('1. Live'!AV327='check-Jul25'!AV327,"",'1. Live'!AV327-'check-Jul25'!AV327)</f>
        <v/>
      </c>
      <c r="AW327" t="str">
        <f>IF('1. Live'!AW327='check-Jul25'!AW327,"",'1. Live'!AW327-'check-Jul25'!AW327)</f>
        <v/>
      </c>
      <c r="AX327" t="str">
        <f>IF('1. Live'!AX327='check-Jul25'!AX327,"",'1. Live'!AX327-'check-Jul25'!AX327)</f>
        <v/>
      </c>
      <c r="AY327" t="str">
        <f>IF('1. Live'!AY327='check-Jul25'!AY327,"",'1. Live'!AY327-'check-Jul25'!AY327)</f>
        <v/>
      </c>
      <c r="AZ327" t="str">
        <f>IF('1. Live'!AZ327='check-Jul25'!AZ327,"",'1. Live'!AZ327-'check-Jul25'!AZ327)</f>
        <v/>
      </c>
      <c r="BA327" t="str">
        <f>IF('1. Live'!BA327='check-Jul25'!BA327,"",'1. Live'!BA327-'check-Jul25'!BA327)</f>
        <v/>
      </c>
      <c r="BB327" t="str">
        <f>IF('1. Live'!BB327='check-Jul25'!BB327,"",'1. Live'!BB327-'check-Jul25'!BB327)</f>
        <v/>
      </c>
      <c r="BC327" t="str">
        <f>IF('1. Live'!BC327='check-Jul25'!BC327,"",'1. Live'!BC327-'check-Jul25'!BC327)</f>
        <v/>
      </c>
      <c r="BD327" t="str">
        <f>IF('1. Live'!BD327='check-Jul25'!BD327,"",'1. Live'!BD327-'check-Jul25'!BD327)</f>
        <v/>
      </c>
      <c r="BE327" t="str">
        <f>IF('1. Live'!BE327='check-Jul25'!BE327,"",'1. Live'!BE327-'check-Jul25'!BE327)</f>
        <v/>
      </c>
      <c r="BF327" t="str">
        <f>IF('1. Live'!BF327='check-Jul25'!BF327,"",'1. Live'!BF327-'check-Jul25'!BF327)</f>
        <v/>
      </c>
      <c r="BG327" t="str">
        <f>IF('1. Live'!BG327='check-Jul25'!BG327,"",'1. Live'!BG327-'check-Jul25'!BG327)</f>
        <v/>
      </c>
      <c r="BH327" t="str">
        <f>IF('1. Live'!BH327='check-Jul25'!BH327,"",'1. Live'!BH327-'check-Jul25'!BH327)</f>
        <v/>
      </c>
      <c r="BI327" t="str">
        <f>IF('1. Live'!BI327='check-Jul25'!BI327,"",'1. Live'!BI327-'check-Jul25'!BI327)</f>
        <v/>
      </c>
      <c r="BJ327" t="str">
        <f>IF('1. Live'!BJ327='check-Jul25'!BJ327,"",'1. Live'!BJ327-'check-Jul25'!BJ327)</f>
        <v/>
      </c>
      <c r="BK327" t="str">
        <f>IF('1. Live'!BK327='check-Jul25'!BK327,"",'1. Live'!BK327-'check-Jul25'!BK327)</f>
        <v/>
      </c>
      <c r="BL327" t="str">
        <f>IF('1. Live'!BL327='check-Jul25'!BL327,"",'1. Live'!BL327-'check-Jul25'!BL327)</f>
        <v/>
      </c>
      <c r="BM327" t="str">
        <f>IF('1. Live'!BM327='check-Jul25'!BM327,"",'1. Live'!BM327-'check-Jul25'!BM327)</f>
        <v/>
      </c>
      <c r="BN327" t="str">
        <f>IF('1. Live'!BN327='check-Jul25'!BN327,"",'1. Live'!BN327-'check-Jul25'!BN327)</f>
        <v/>
      </c>
      <c r="BO327" t="str">
        <f>IF('1. Live'!BO327='check-Jul25'!BO327,"",'1. Live'!BO327-'check-Jul25'!BO327)</f>
        <v/>
      </c>
      <c r="BP327" t="str">
        <f>IF('1. Live'!BP327='check-Jul25'!BP327,"",'1. Live'!BP327-'check-Jul25'!BP327)</f>
        <v/>
      </c>
      <c r="BQ327" t="str">
        <f>IF('1. Live'!BQ327='check-Jul25'!BQ327,"",'1. Live'!BQ327-'check-Jul25'!BQ327)</f>
        <v/>
      </c>
      <c r="BR327" t="str">
        <f>IF('1. Live'!BR327='check-Jul25'!BR327,"",'1. Live'!BR327-'check-Jul25'!BR327)</f>
        <v/>
      </c>
      <c r="BS327" t="str">
        <f>IF('1. Live'!BS327='check-Jul25'!BS327,"",'1. Live'!BS327-'check-Jul25'!BS327)</f>
        <v/>
      </c>
      <c r="BT327" t="str">
        <f>IF('1. Live'!BT327='check-Jul25'!BT327,"",'1. Live'!BT327-'check-Jul25'!BT327)</f>
        <v/>
      </c>
      <c r="BU327" t="str">
        <f>IF('1. Live'!BU327='check-Jul25'!BU327,"",'1. Live'!BU327-'check-Jul25'!BU327)</f>
        <v/>
      </c>
      <c r="BV327" t="str">
        <f>IF('1. Live'!BV327='check-Jul25'!BV327,"",'1. Live'!BV327-'check-Jul25'!BV327)</f>
        <v/>
      </c>
      <c r="BW327" t="str">
        <f>IF('1. Live'!BW327='check-Jul25'!BW327,"",'1. Live'!BW327-'check-Jul25'!BW327)</f>
        <v/>
      </c>
      <c r="BX327" t="str">
        <f>IF('1. Live'!BX327='check-Jul25'!BX327,"",'1. Live'!BX327-'check-Jul25'!BX327)</f>
        <v/>
      </c>
      <c r="BY327" t="str">
        <f>IF('1. Live'!BY327='check-Jul25'!BY327,"",'1. Live'!BY327-'check-Jul25'!BY327)</f>
        <v/>
      </c>
      <c r="BZ327" t="str">
        <f>IF('1. Live'!BZ327='check-Jul25'!BZ327,"",'1. Live'!BZ327-'check-Jul25'!BZ327)</f>
        <v/>
      </c>
      <c r="CA327" t="str">
        <f>IF('1. Live'!CA327='check-Jul25'!CA327,"",'1. Live'!CA327-'check-Jul25'!CA327)</f>
        <v/>
      </c>
      <c r="CB327" t="str">
        <f>IF('1. Live'!CB327='check-Jul25'!CB327,"",'1. Live'!CB327-'check-Jul25'!CB327)</f>
        <v/>
      </c>
      <c r="CC327" t="str">
        <f>IF('1. Live'!CC327='check-Jul25'!CC327,"",'1. Live'!CC327-'check-Jul25'!CC327)</f>
        <v/>
      </c>
      <c r="CD327" t="str">
        <f>IF('1. Live'!CD327='check-Jul25'!CD327,"",'1. Live'!CD327-'check-Jul25'!CD327)</f>
        <v/>
      </c>
      <c r="CE327" t="str">
        <f>IF('1. Live'!CE327='check-Jul25'!CE327,"",'1. Live'!CE327-'check-Jul25'!CE327)</f>
        <v/>
      </c>
      <c r="CF327" t="str">
        <f>IF('1. Live'!CF327='check-Jul25'!CF327,"",'1. Live'!CF327-'check-Jul25'!CF327)</f>
        <v/>
      </c>
      <c r="CG327" t="str">
        <f>IF('1. Live'!CG327='check-Jul25'!CG327,"",'1. Live'!CG327-'check-Jul25'!CG327)</f>
        <v/>
      </c>
      <c r="CH327" t="str">
        <f>IF('1. Live'!CH327='check-Jul25'!CH327,"",'1. Live'!CH327-'check-Jul25'!CH327)</f>
        <v/>
      </c>
      <c r="CI327" t="str">
        <f>IF('1. Live'!CI327='check-Jul25'!CI327,"",'1. Live'!CI327-'check-Jul25'!CI327)</f>
        <v/>
      </c>
      <c r="CJ327" t="str">
        <f>IF('1. Live'!CJ327='check-Jul25'!CJ327,"",'1. Live'!CJ327-'check-Jul25'!CJ327)</f>
        <v/>
      </c>
      <c r="CK327" t="str">
        <f>IF('1. Live'!CK327='check-Jul25'!CK327,"",'1. Live'!CK327-'check-Jul25'!CK327)</f>
        <v/>
      </c>
      <c r="CL327" t="str">
        <f>IF('1. Live'!CL327='check-Jul25'!CL327,"",'1. Live'!CL327-'check-Jul25'!CL327)</f>
        <v/>
      </c>
      <c r="CM327" t="str">
        <f>IF('1. Live'!CM327='check-Jul25'!CM327,"",'1. Live'!CM327-'check-Jul25'!CM327)</f>
        <v/>
      </c>
      <c r="CN327" t="str">
        <f>IF('1. Live'!CN327='check-Jul25'!CN327,"",'1. Live'!CN327-'check-Jul25'!CN327)</f>
        <v/>
      </c>
      <c r="CO327" t="str">
        <f>IF('1. Live'!CO327='check-Jul25'!CO327,"",'1. Live'!CO327-'check-Jul25'!CO327)</f>
        <v/>
      </c>
      <c r="CP327" t="str">
        <f>IF('1. Live'!CP327='check-Jul25'!CP327,"",'1. Live'!CP327-'check-Jul25'!CP327)</f>
        <v/>
      </c>
      <c r="CQ327" t="str">
        <f>IF('1. Live'!CQ327='check-Jul25'!CQ327,"",'1. Live'!CQ327-'check-Jul25'!CQ327)</f>
        <v/>
      </c>
      <c r="CR327" t="str">
        <f>IF('1. Live'!CR327='check-Jul25'!CR327,"",'1. Live'!CR327-'check-Jul25'!CR327)</f>
        <v/>
      </c>
      <c r="CS327" t="str">
        <f>IF('1. Live'!CS327='check-Jul25'!CS327,"",'1. Live'!CS327-'check-Jul25'!CS327)</f>
        <v/>
      </c>
      <c r="CT327" t="str">
        <f>IF('1. Live'!CT327='check-Jul25'!CT327,"",'1. Live'!CT327-'check-Jul25'!CT327)</f>
        <v/>
      </c>
      <c r="CU327" t="str">
        <f>IF('1. Live'!CU327='check-Jul25'!CU327,"",'1. Live'!CU327-'check-Jul25'!CU327)</f>
        <v/>
      </c>
      <c r="CV327" t="str">
        <f>IF('1. Live'!CV327='check-Jul25'!CV327,"",'1. Live'!CV327-'check-Jul25'!CV327)</f>
        <v/>
      </c>
      <c r="CW327" t="str">
        <f>IF('1. Live'!CW327='check-Jul25'!CW327,"",'1. Live'!CW327-'check-Jul25'!CW327)</f>
        <v/>
      </c>
    </row>
    <row r="328" spans="10:101">
      <c r="J328" t="str">
        <f>IF('1. Live'!J328='check-Jul25'!J328,"",'1. Live'!J328-'check-Jul25'!J328)</f>
        <v/>
      </c>
      <c r="K328" t="str">
        <f>IF('1. Live'!K328='check-Jul25'!K328,"",'1. Live'!K328-'check-Jul25'!K328)</f>
        <v/>
      </c>
      <c r="L328" t="str">
        <f>IF('1. Live'!L328='check-Jul25'!L328,"",'1. Live'!L328-'check-Jul25'!L328)</f>
        <v/>
      </c>
      <c r="M328" t="str">
        <f>IF('1. Live'!M328='check-Jul25'!M328,"",'1. Live'!M328-'check-Jul25'!M328)</f>
        <v/>
      </c>
      <c r="N328" t="str">
        <f>IF('1. Live'!N328='check-Jul25'!N328,"",'1. Live'!N328-'check-Jul25'!N328)</f>
        <v/>
      </c>
      <c r="O328" t="str">
        <f>IF('1. Live'!O328='check-Jul25'!O328,"",'1. Live'!O328-'check-Jul25'!O328)</f>
        <v/>
      </c>
      <c r="P328" t="str">
        <f>IF('1. Live'!P328='check-Jul25'!P328,"",'1. Live'!P328-'check-Jul25'!P328)</f>
        <v/>
      </c>
      <c r="Q328" t="str">
        <f>IF('1. Live'!Q328='check-Jul25'!Q328,"",'1. Live'!Q328-'check-Jul25'!Q328)</f>
        <v/>
      </c>
      <c r="R328" t="str">
        <f>IF('1. Live'!R328='check-Jul25'!R328,"",'1. Live'!R328-'check-Jul25'!R328)</f>
        <v/>
      </c>
      <c r="S328" t="str">
        <f>IF('1. Live'!S328='check-Jul25'!S328,"",'1. Live'!S328-'check-Jul25'!S328)</f>
        <v/>
      </c>
      <c r="T328" t="str">
        <f>IF('1. Live'!T328='check-Jul25'!T328,"",'1. Live'!T328-'check-Jul25'!T328)</f>
        <v/>
      </c>
      <c r="U328" t="str">
        <f>IF('1. Live'!U328='check-Jul25'!U328,"",'1. Live'!U328-'check-Jul25'!U328)</f>
        <v/>
      </c>
      <c r="V328" t="str">
        <f>IF('1. Live'!V328='check-Jul25'!V328,"",'1. Live'!V328-'check-Jul25'!V328)</f>
        <v/>
      </c>
      <c r="W328" t="str">
        <f>IF('1. Live'!W328='check-Jul25'!W328,"",'1. Live'!W328-'check-Jul25'!W328)</f>
        <v/>
      </c>
      <c r="X328" t="str">
        <f>IF('1. Live'!X328='check-Jul25'!X328,"",'1. Live'!X328-'check-Jul25'!X328)</f>
        <v/>
      </c>
      <c r="Y328" t="str">
        <f>IF('1. Live'!Y328='check-Jul25'!Y328,"",'1. Live'!Y328-'check-Jul25'!Y328)</f>
        <v/>
      </c>
      <c r="Z328" t="str">
        <f>IF('1. Live'!Z328='check-Jul25'!Z328,"",'1. Live'!Z328-'check-Jul25'!Z328)</f>
        <v/>
      </c>
      <c r="AA328" t="str">
        <f>IF('1. Live'!AA328='check-Jul25'!AA328,"",'1. Live'!AA328-'check-Jul25'!AA328)</f>
        <v/>
      </c>
      <c r="AB328" t="str">
        <f>IF('1. Live'!AB328='check-Jul25'!AB328,"",'1. Live'!AB328-'check-Jul25'!AB328)</f>
        <v/>
      </c>
      <c r="AC328" t="str">
        <f>IF('1. Live'!AC328='check-Jul25'!AC328,"",'1. Live'!AC328-'check-Jul25'!AC328)</f>
        <v/>
      </c>
      <c r="AD328" t="str">
        <f>IF('1. Live'!AD328='check-Jul25'!AD328,"",'1. Live'!AD328-'check-Jul25'!AD328)</f>
        <v/>
      </c>
      <c r="AE328" t="str">
        <f>IF('1. Live'!AE328='check-Jul25'!AE328,"",'1. Live'!AE328-'check-Jul25'!AE328)</f>
        <v/>
      </c>
      <c r="AF328" t="str">
        <f>IF('1. Live'!AF328='check-Jul25'!AF328,"",'1. Live'!AF328-'check-Jul25'!AF328)</f>
        <v/>
      </c>
      <c r="AG328" t="str">
        <f>IF('1. Live'!AG328='check-Jul25'!AG328,"",'1. Live'!AG328-'check-Jul25'!AG328)</f>
        <v/>
      </c>
      <c r="AH328" t="str">
        <f>IF('1. Live'!AH328='check-Jul25'!AH328,"",'1. Live'!AH328-'check-Jul25'!AH328)</f>
        <v/>
      </c>
      <c r="AI328" t="str">
        <f>IF('1. Live'!AI328='check-Jul25'!AI328,"",'1. Live'!AI328-'check-Jul25'!AI328)</f>
        <v/>
      </c>
      <c r="AJ328" t="str">
        <f>IF('1. Live'!AJ328='check-Jul25'!AJ328,"",'1. Live'!AJ328-'check-Jul25'!AJ328)</f>
        <v/>
      </c>
      <c r="AK328" t="str">
        <f>IF('1. Live'!AK328='check-Jul25'!AK328,"",'1. Live'!AK328-'check-Jul25'!AK328)</f>
        <v/>
      </c>
      <c r="AL328" t="str">
        <f>IF('1. Live'!AL328='check-Jul25'!AL328,"",'1. Live'!AL328-'check-Jul25'!AL328)</f>
        <v/>
      </c>
      <c r="AM328" t="str">
        <f>IF('1. Live'!AM328='check-Jul25'!AM328,"",'1. Live'!AM328-'check-Jul25'!AM328)</f>
        <v/>
      </c>
      <c r="AN328" t="str">
        <f>IF('1. Live'!AN328='check-Jul25'!AN328,"",'1. Live'!AN328-'check-Jul25'!AN328)</f>
        <v/>
      </c>
      <c r="AO328" t="str">
        <f>IF('1. Live'!AO328='check-Jul25'!AO328,"",'1. Live'!AO328-'check-Jul25'!AO328)</f>
        <v/>
      </c>
      <c r="AP328" t="str">
        <f>IF('1. Live'!AP328='check-Jul25'!AP328,"",'1. Live'!AP328-'check-Jul25'!AP328)</f>
        <v/>
      </c>
      <c r="AQ328" t="str">
        <f>IF('1. Live'!AQ328='check-Jul25'!AQ328,"",'1. Live'!AQ328-'check-Jul25'!AQ328)</f>
        <v/>
      </c>
      <c r="AR328" t="str">
        <f>IF('1. Live'!AR328='check-Jul25'!AR328,"",'1. Live'!AR328-'check-Jul25'!AR328)</f>
        <v/>
      </c>
      <c r="AS328" t="str">
        <f>IF('1. Live'!AS328='check-Jul25'!AS328,"",'1. Live'!AS328-'check-Jul25'!AS328)</f>
        <v/>
      </c>
      <c r="AT328" t="str">
        <f>IF('1. Live'!AT328='check-Jul25'!AT328,"",'1. Live'!AT328-'check-Jul25'!AT328)</f>
        <v/>
      </c>
      <c r="AU328" t="str">
        <f>IF('1. Live'!AU328='check-Jul25'!AU328,"",'1. Live'!AU328-'check-Jul25'!AU328)</f>
        <v/>
      </c>
      <c r="AV328" t="str">
        <f>IF('1. Live'!AV328='check-Jul25'!AV328,"",'1. Live'!AV328-'check-Jul25'!AV328)</f>
        <v/>
      </c>
      <c r="AW328" t="str">
        <f>IF('1. Live'!AW328='check-Jul25'!AW328,"",'1. Live'!AW328-'check-Jul25'!AW328)</f>
        <v/>
      </c>
      <c r="AX328" t="str">
        <f>IF('1. Live'!AX328='check-Jul25'!AX328,"",'1. Live'!AX328-'check-Jul25'!AX328)</f>
        <v/>
      </c>
      <c r="AY328" t="str">
        <f>IF('1. Live'!AY328='check-Jul25'!AY328,"",'1. Live'!AY328-'check-Jul25'!AY328)</f>
        <v/>
      </c>
      <c r="AZ328" t="str">
        <f>IF('1. Live'!AZ328='check-Jul25'!AZ328,"",'1. Live'!AZ328-'check-Jul25'!AZ328)</f>
        <v/>
      </c>
      <c r="BA328" t="str">
        <f>IF('1. Live'!BA328='check-Jul25'!BA328,"",'1. Live'!BA328-'check-Jul25'!BA328)</f>
        <v/>
      </c>
      <c r="BB328" t="str">
        <f>IF('1. Live'!BB328='check-Jul25'!BB328,"",'1. Live'!BB328-'check-Jul25'!BB328)</f>
        <v/>
      </c>
      <c r="BC328" t="str">
        <f>IF('1. Live'!BC328='check-Jul25'!BC328,"",'1. Live'!BC328-'check-Jul25'!BC328)</f>
        <v/>
      </c>
      <c r="BD328" t="str">
        <f>IF('1. Live'!BD328='check-Jul25'!BD328,"",'1. Live'!BD328-'check-Jul25'!BD328)</f>
        <v/>
      </c>
      <c r="BE328" t="str">
        <f>IF('1. Live'!BE328='check-Jul25'!BE328,"",'1. Live'!BE328-'check-Jul25'!BE328)</f>
        <v/>
      </c>
      <c r="BF328" t="str">
        <f>IF('1. Live'!BF328='check-Jul25'!BF328,"",'1. Live'!BF328-'check-Jul25'!BF328)</f>
        <v/>
      </c>
      <c r="BG328" t="str">
        <f>IF('1. Live'!BG328='check-Jul25'!BG328,"",'1. Live'!BG328-'check-Jul25'!BG328)</f>
        <v/>
      </c>
      <c r="BH328" t="str">
        <f>IF('1. Live'!BH328='check-Jul25'!BH328,"",'1. Live'!BH328-'check-Jul25'!BH328)</f>
        <v/>
      </c>
      <c r="BI328" t="str">
        <f>IF('1. Live'!BI328='check-Jul25'!BI328,"",'1. Live'!BI328-'check-Jul25'!BI328)</f>
        <v/>
      </c>
      <c r="BJ328" t="str">
        <f>IF('1. Live'!BJ328='check-Jul25'!BJ328,"",'1. Live'!BJ328-'check-Jul25'!BJ328)</f>
        <v/>
      </c>
      <c r="BK328" t="str">
        <f>IF('1. Live'!BK328='check-Jul25'!BK328,"",'1. Live'!BK328-'check-Jul25'!BK328)</f>
        <v/>
      </c>
      <c r="BL328" t="str">
        <f>IF('1. Live'!BL328='check-Jul25'!BL328,"",'1. Live'!BL328-'check-Jul25'!BL328)</f>
        <v/>
      </c>
      <c r="BM328" t="str">
        <f>IF('1. Live'!BM328='check-Jul25'!BM328,"",'1. Live'!BM328-'check-Jul25'!BM328)</f>
        <v/>
      </c>
      <c r="BN328" t="str">
        <f>IF('1. Live'!BN328='check-Jul25'!BN328,"",'1. Live'!BN328-'check-Jul25'!BN328)</f>
        <v/>
      </c>
      <c r="BO328" t="str">
        <f>IF('1. Live'!BO328='check-Jul25'!BO328,"",'1. Live'!BO328-'check-Jul25'!BO328)</f>
        <v/>
      </c>
      <c r="BP328" t="str">
        <f>IF('1. Live'!BP328='check-Jul25'!BP328,"",'1. Live'!BP328-'check-Jul25'!BP328)</f>
        <v/>
      </c>
      <c r="BQ328" t="str">
        <f>IF('1. Live'!BQ328='check-Jul25'!BQ328,"",'1. Live'!BQ328-'check-Jul25'!BQ328)</f>
        <v/>
      </c>
      <c r="BR328" t="str">
        <f>IF('1. Live'!BR328='check-Jul25'!BR328,"",'1. Live'!BR328-'check-Jul25'!BR328)</f>
        <v/>
      </c>
      <c r="BS328" t="str">
        <f>IF('1. Live'!BS328='check-Jul25'!BS328,"",'1. Live'!BS328-'check-Jul25'!BS328)</f>
        <v/>
      </c>
      <c r="BT328" t="str">
        <f>IF('1. Live'!BT328='check-Jul25'!BT328,"",'1. Live'!BT328-'check-Jul25'!BT328)</f>
        <v/>
      </c>
      <c r="BU328" t="str">
        <f>IF('1. Live'!BU328='check-Jul25'!BU328,"",'1. Live'!BU328-'check-Jul25'!BU328)</f>
        <v/>
      </c>
      <c r="BV328" t="str">
        <f>IF('1. Live'!BV328='check-Jul25'!BV328,"",'1. Live'!BV328-'check-Jul25'!BV328)</f>
        <v/>
      </c>
      <c r="BW328" t="str">
        <f>IF('1. Live'!BW328='check-Jul25'!BW328,"",'1. Live'!BW328-'check-Jul25'!BW328)</f>
        <v/>
      </c>
      <c r="BX328" t="str">
        <f>IF('1. Live'!BX328='check-Jul25'!BX328,"",'1. Live'!BX328-'check-Jul25'!BX328)</f>
        <v/>
      </c>
      <c r="BY328" t="str">
        <f>IF('1. Live'!BY328='check-Jul25'!BY328,"",'1. Live'!BY328-'check-Jul25'!BY328)</f>
        <v/>
      </c>
      <c r="BZ328" t="str">
        <f>IF('1. Live'!BZ328='check-Jul25'!BZ328,"",'1. Live'!BZ328-'check-Jul25'!BZ328)</f>
        <v/>
      </c>
      <c r="CA328" t="str">
        <f>IF('1. Live'!CA328='check-Jul25'!CA328,"",'1. Live'!CA328-'check-Jul25'!CA328)</f>
        <v/>
      </c>
      <c r="CB328" t="str">
        <f>IF('1. Live'!CB328='check-Jul25'!CB328,"",'1. Live'!CB328-'check-Jul25'!CB328)</f>
        <v/>
      </c>
      <c r="CC328" t="str">
        <f>IF('1. Live'!CC328='check-Jul25'!CC328,"",'1. Live'!CC328-'check-Jul25'!CC328)</f>
        <v/>
      </c>
      <c r="CD328" t="str">
        <f>IF('1. Live'!CD328='check-Jul25'!CD328,"",'1. Live'!CD328-'check-Jul25'!CD328)</f>
        <v/>
      </c>
      <c r="CE328" t="str">
        <f>IF('1. Live'!CE328='check-Jul25'!CE328,"",'1. Live'!CE328-'check-Jul25'!CE328)</f>
        <v/>
      </c>
      <c r="CF328" t="str">
        <f>IF('1. Live'!CF328='check-Jul25'!CF328,"",'1. Live'!CF328-'check-Jul25'!CF328)</f>
        <v/>
      </c>
      <c r="CG328" t="str">
        <f>IF('1. Live'!CG328='check-Jul25'!CG328,"",'1. Live'!CG328-'check-Jul25'!CG328)</f>
        <v/>
      </c>
      <c r="CH328" t="str">
        <f>IF('1. Live'!CH328='check-Jul25'!CH328,"",'1. Live'!CH328-'check-Jul25'!CH328)</f>
        <v/>
      </c>
      <c r="CI328" t="str">
        <f>IF('1. Live'!CI328='check-Jul25'!CI328,"",'1. Live'!CI328-'check-Jul25'!CI328)</f>
        <v/>
      </c>
      <c r="CJ328" t="str">
        <f>IF('1. Live'!CJ328='check-Jul25'!CJ328,"",'1. Live'!CJ328-'check-Jul25'!CJ328)</f>
        <v/>
      </c>
      <c r="CK328" t="str">
        <f>IF('1. Live'!CK328='check-Jul25'!CK328,"",'1. Live'!CK328-'check-Jul25'!CK328)</f>
        <v/>
      </c>
      <c r="CL328" t="str">
        <f>IF('1. Live'!CL328='check-Jul25'!CL328,"",'1. Live'!CL328-'check-Jul25'!CL328)</f>
        <v/>
      </c>
      <c r="CM328" t="str">
        <f>IF('1. Live'!CM328='check-Jul25'!CM328,"",'1. Live'!CM328-'check-Jul25'!CM328)</f>
        <v/>
      </c>
      <c r="CN328" t="str">
        <f>IF('1. Live'!CN328='check-Jul25'!CN328,"",'1. Live'!CN328-'check-Jul25'!CN328)</f>
        <v/>
      </c>
      <c r="CO328" t="str">
        <f>IF('1. Live'!CO328='check-Jul25'!CO328,"",'1. Live'!CO328-'check-Jul25'!CO328)</f>
        <v/>
      </c>
      <c r="CP328" t="str">
        <f>IF('1. Live'!CP328='check-Jul25'!CP328,"",'1. Live'!CP328-'check-Jul25'!CP328)</f>
        <v/>
      </c>
      <c r="CQ328" t="str">
        <f>IF('1. Live'!CQ328='check-Jul25'!CQ328,"",'1. Live'!CQ328-'check-Jul25'!CQ328)</f>
        <v/>
      </c>
      <c r="CR328" t="str">
        <f>IF('1. Live'!CR328='check-Jul25'!CR328,"",'1. Live'!CR328-'check-Jul25'!CR328)</f>
        <v/>
      </c>
      <c r="CS328" t="str">
        <f>IF('1. Live'!CS328='check-Jul25'!CS328,"",'1. Live'!CS328-'check-Jul25'!CS328)</f>
        <v/>
      </c>
      <c r="CT328" t="str">
        <f>IF('1. Live'!CT328='check-Jul25'!CT328,"",'1. Live'!CT328-'check-Jul25'!CT328)</f>
        <v/>
      </c>
      <c r="CU328" t="str">
        <f>IF('1. Live'!CU328='check-Jul25'!CU328,"",'1. Live'!CU328-'check-Jul25'!CU328)</f>
        <v/>
      </c>
      <c r="CV328" t="str">
        <f>IF('1. Live'!CV328='check-Jul25'!CV328,"",'1. Live'!CV328-'check-Jul25'!CV328)</f>
        <v/>
      </c>
      <c r="CW328" t="str">
        <f>IF('1. Live'!CW328='check-Jul25'!CW328,"",'1. Live'!CW328-'check-Jul25'!CW328)</f>
        <v/>
      </c>
    </row>
    <row r="329" spans="10:101">
      <c r="J329" t="str">
        <f>IF('1. Live'!J329='check-Jul25'!J329,"",'1. Live'!J329-'check-Jul25'!J329)</f>
        <v/>
      </c>
      <c r="K329" t="str">
        <f>IF('1. Live'!K329='check-Jul25'!K329,"",'1. Live'!K329-'check-Jul25'!K329)</f>
        <v/>
      </c>
      <c r="L329" t="str">
        <f>IF('1. Live'!L329='check-Jul25'!L329,"",'1. Live'!L329-'check-Jul25'!L329)</f>
        <v/>
      </c>
      <c r="M329" t="str">
        <f>IF('1. Live'!M329='check-Jul25'!M329,"",'1. Live'!M329-'check-Jul25'!M329)</f>
        <v/>
      </c>
      <c r="N329" t="str">
        <f>IF('1. Live'!N329='check-Jul25'!N329,"",'1. Live'!N329-'check-Jul25'!N329)</f>
        <v/>
      </c>
      <c r="O329" t="str">
        <f>IF('1. Live'!O329='check-Jul25'!O329,"",'1. Live'!O329-'check-Jul25'!O329)</f>
        <v/>
      </c>
      <c r="P329" t="str">
        <f>IF('1. Live'!P329='check-Jul25'!P329,"",'1. Live'!P329-'check-Jul25'!P329)</f>
        <v/>
      </c>
      <c r="Q329" t="str">
        <f>IF('1. Live'!Q329='check-Jul25'!Q329,"",'1. Live'!Q329-'check-Jul25'!Q329)</f>
        <v/>
      </c>
      <c r="R329" t="str">
        <f>IF('1. Live'!R329='check-Jul25'!R329,"",'1. Live'!R329-'check-Jul25'!R329)</f>
        <v/>
      </c>
      <c r="S329" t="str">
        <f>IF('1. Live'!S329='check-Jul25'!S329,"",'1. Live'!S329-'check-Jul25'!S329)</f>
        <v/>
      </c>
      <c r="T329" t="str">
        <f>IF('1. Live'!T329='check-Jul25'!T329,"",'1. Live'!T329-'check-Jul25'!T329)</f>
        <v/>
      </c>
      <c r="U329" t="str">
        <f>IF('1. Live'!U329='check-Jul25'!U329,"",'1. Live'!U329-'check-Jul25'!U329)</f>
        <v/>
      </c>
      <c r="V329" t="str">
        <f>IF('1. Live'!V329='check-Jul25'!V329,"",'1. Live'!V329-'check-Jul25'!V329)</f>
        <v/>
      </c>
      <c r="W329" t="str">
        <f>IF('1. Live'!W329='check-Jul25'!W329,"",'1. Live'!W329-'check-Jul25'!W329)</f>
        <v/>
      </c>
      <c r="X329" t="str">
        <f>IF('1. Live'!X329='check-Jul25'!X329,"",'1. Live'!X329-'check-Jul25'!X329)</f>
        <v/>
      </c>
      <c r="Y329" t="str">
        <f>IF('1. Live'!Y329='check-Jul25'!Y329,"",'1. Live'!Y329-'check-Jul25'!Y329)</f>
        <v/>
      </c>
      <c r="Z329" t="str">
        <f>IF('1. Live'!Z329='check-Jul25'!Z329,"",'1. Live'!Z329-'check-Jul25'!Z329)</f>
        <v/>
      </c>
      <c r="AA329" t="str">
        <f>IF('1. Live'!AA329='check-Jul25'!AA329,"",'1. Live'!AA329-'check-Jul25'!AA329)</f>
        <v/>
      </c>
      <c r="AB329" t="str">
        <f>IF('1. Live'!AB329='check-Jul25'!AB329,"",'1. Live'!AB329-'check-Jul25'!AB329)</f>
        <v/>
      </c>
      <c r="AC329" t="str">
        <f>IF('1. Live'!AC329='check-Jul25'!AC329,"",'1. Live'!AC329-'check-Jul25'!AC329)</f>
        <v/>
      </c>
      <c r="AD329" t="str">
        <f>IF('1. Live'!AD329='check-Jul25'!AD329,"",'1. Live'!AD329-'check-Jul25'!AD329)</f>
        <v/>
      </c>
      <c r="AE329" t="str">
        <f>IF('1. Live'!AE329='check-Jul25'!AE329,"",'1. Live'!AE329-'check-Jul25'!AE329)</f>
        <v/>
      </c>
      <c r="AF329" t="str">
        <f>IF('1. Live'!AF329='check-Jul25'!AF329,"",'1. Live'!AF329-'check-Jul25'!AF329)</f>
        <v/>
      </c>
      <c r="AG329" t="str">
        <f>IF('1. Live'!AG329='check-Jul25'!AG329,"",'1. Live'!AG329-'check-Jul25'!AG329)</f>
        <v/>
      </c>
      <c r="AH329" t="str">
        <f>IF('1. Live'!AH329='check-Jul25'!AH329,"",'1. Live'!AH329-'check-Jul25'!AH329)</f>
        <v/>
      </c>
      <c r="AI329" t="str">
        <f>IF('1. Live'!AI329='check-Jul25'!AI329,"",'1. Live'!AI329-'check-Jul25'!AI329)</f>
        <v/>
      </c>
      <c r="AJ329" t="str">
        <f>IF('1. Live'!AJ329='check-Jul25'!AJ329,"",'1. Live'!AJ329-'check-Jul25'!AJ329)</f>
        <v/>
      </c>
      <c r="AK329" t="str">
        <f>IF('1. Live'!AK329='check-Jul25'!AK329,"",'1. Live'!AK329-'check-Jul25'!AK329)</f>
        <v/>
      </c>
      <c r="AL329" t="str">
        <f>IF('1. Live'!AL329='check-Jul25'!AL329,"",'1. Live'!AL329-'check-Jul25'!AL329)</f>
        <v/>
      </c>
      <c r="AM329" t="str">
        <f>IF('1. Live'!AM329='check-Jul25'!AM329,"",'1. Live'!AM329-'check-Jul25'!AM329)</f>
        <v/>
      </c>
      <c r="AN329" t="str">
        <f>IF('1. Live'!AN329='check-Jul25'!AN329,"",'1. Live'!AN329-'check-Jul25'!AN329)</f>
        <v/>
      </c>
      <c r="AO329" t="str">
        <f>IF('1. Live'!AO329='check-Jul25'!AO329,"",'1. Live'!AO329-'check-Jul25'!AO329)</f>
        <v/>
      </c>
      <c r="AP329" t="str">
        <f>IF('1. Live'!AP329='check-Jul25'!AP329,"",'1. Live'!AP329-'check-Jul25'!AP329)</f>
        <v/>
      </c>
      <c r="AQ329" t="str">
        <f>IF('1. Live'!AQ329='check-Jul25'!AQ329,"",'1. Live'!AQ329-'check-Jul25'!AQ329)</f>
        <v/>
      </c>
      <c r="AR329" t="str">
        <f>IF('1. Live'!AR329='check-Jul25'!AR329,"",'1. Live'!AR329-'check-Jul25'!AR329)</f>
        <v/>
      </c>
      <c r="AS329" t="str">
        <f>IF('1. Live'!AS329='check-Jul25'!AS329,"",'1. Live'!AS329-'check-Jul25'!AS329)</f>
        <v/>
      </c>
      <c r="AT329" t="str">
        <f>IF('1. Live'!AT329='check-Jul25'!AT329,"",'1. Live'!AT329-'check-Jul25'!AT329)</f>
        <v/>
      </c>
      <c r="AU329" t="str">
        <f>IF('1. Live'!AU329='check-Jul25'!AU329,"",'1. Live'!AU329-'check-Jul25'!AU329)</f>
        <v/>
      </c>
      <c r="AV329" t="str">
        <f>IF('1. Live'!AV329='check-Jul25'!AV329,"",'1. Live'!AV329-'check-Jul25'!AV329)</f>
        <v/>
      </c>
      <c r="AW329" t="str">
        <f>IF('1. Live'!AW329='check-Jul25'!AW329,"",'1. Live'!AW329-'check-Jul25'!AW329)</f>
        <v/>
      </c>
      <c r="AX329" t="str">
        <f>IF('1. Live'!AX329='check-Jul25'!AX329,"",'1. Live'!AX329-'check-Jul25'!AX329)</f>
        <v/>
      </c>
      <c r="AY329" t="str">
        <f>IF('1. Live'!AY329='check-Jul25'!AY329,"",'1. Live'!AY329-'check-Jul25'!AY329)</f>
        <v/>
      </c>
      <c r="AZ329" t="str">
        <f>IF('1. Live'!AZ329='check-Jul25'!AZ329,"",'1. Live'!AZ329-'check-Jul25'!AZ329)</f>
        <v/>
      </c>
      <c r="BA329" t="str">
        <f>IF('1. Live'!BA329='check-Jul25'!BA329,"",'1. Live'!BA329-'check-Jul25'!BA329)</f>
        <v/>
      </c>
      <c r="BB329" t="str">
        <f>IF('1. Live'!BB329='check-Jul25'!BB329,"",'1. Live'!BB329-'check-Jul25'!BB329)</f>
        <v/>
      </c>
      <c r="BC329" t="str">
        <f>IF('1. Live'!BC329='check-Jul25'!BC329,"",'1. Live'!BC329-'check-Jul25'!BC329)</f>
        <v/>
      </c>
      <c r="BD329" t="str">
        <f>IF('1. Live'!BD329='check-Jul25'!BD329,"",'1. Live'!BD329-'check-Jul25'!BD329)</f>
        <v/>
      </c>
      <c r="BE329" t="str">
        <f>IF('1. Live'!BE329='check-Jul25'!BE329,"",'1. Live'!BE329-'check-Jul25'!BE329)</f>
        <v/>
      </c>
      <c r="BF329" t="str">
        <f>IF('1. Live'!BF329='check-Jul25'!BF329,"",'1. Live'!BF329-'check-Jul25'!BF329)</f>
        <v/>
      </c>
      <c r="BG329" t="str">
        <f>IF('1. Live'!BG329='check-Jul25'!BG329,"",'1. Live'!BG329-'check-Jul25'!BG329)</f>
        <v/>
      </c>
      <c r="BH329" t="str">
        <f>IF('1. Live'!BH329='check-Jul25'!BH329,"",'1. Live'!BH329-'check-Jul25'!BH329)</f>
        <v/>
      </c>
      <c r="BI329" t="str">
        <f>IF('1. Live'!BI329='check-Jul25'!BI329,"",'1. Live'!BI329-'check-Jul25'!BI329)</f>
        <v/>
      </c>
      <c r="BJ329" t="str">
        <f>IF('1. Live'!BJ329='check-Jul25'!BJ329,"",'1. Live'!BJ329-'check-Jul25'!BJ329)</f>
        <v/>
      </c>
      <c r="BK329" t="str">
        <f>IF('1. Live'!BK329='check-Jul25'!BK329,"",'1. Live'!BK329-'check-Jul25'!BK329)</f>
        <v/>
      </c>
      <c r="BL329" t="str">
        <f>IF('1. Live'!BL329='check-Jul25'!BL329,"",'1. Live'!BL329-'check-Jul25'!BL329)</f>
        <v/>
      </c>
      <c r="BM329" t="str">
        <f>IF('1. Live'!BM329='check-Jul25'!BM329,"",'1. Live'!BM329-'check-Jul25'!BM329)</f>
        <v/>
      </c>
      <c r="BN329" t="str">
        <f>IF('1. Live'!BN329='check-Jul25'!BN329,"",'1. Live'!BN329-'check-Jul25'!BN329)</f>
        <v/>
      </c>
      <c r="BO329" t="str">
        <f>IF('1. Live'!BO329='check-Jul25'!BO329,"",'1. Live'!BO329-'check-Jul25'!BO329)</f>
        <v/>
      </c>
      <c r="BP329" t="str">
        <f>IF('1. Live'!BP329='check-Jul25'!BP329,"",'1. Live'!BP329-'check-Jul25'!BP329)</f>
        <v/>
      </c>
      <c r="BQ329" t="str">
        <f>IF('1. Live'!BQ329='check-Jul25'!BQ329,"",'1. Live'!BQ329-'check-Jul25'!BQ329)</f>
        <v/>
      </c>
      <c r="BR329" t="str">
        <f>IF('1. Live'!BR329='check-Jul25'!BR329,"",'1. Live'!BR329-'check-Jul25'!BR329)</f>
        <v/>
      </c>
      <c r="BS329" t="str">
        <f>IF('1. Live'!BS329='check-Jul25'!BS329,"",'1. Live'!BS329-'check-Jul25'!BS329)</f>
        <v/>
      </c>
      <c r="BT329" t="str">
        <f>IF('1. Live'!BT329='check-Jul25'!BT329,"",'1. Live'!BT329-'check-Jul25'!BT329)</f>
        <v/>
      </c>
      <c r="BU329" t="str">
        <f>IF('1. Live'!BU329='check-Jul25'!BU329,"",'1. Live'!BU329-'check-Jul25'!BU329)</f>
        <v/>
      </c>
      <c r="BV329" t="str">
        <f>IF('1. Live'!BV329='check-Jul25'!BV329,"",'1. Live'!BV329-'check-Jul25'!BV329)</f>
        <v/>
      </c>
      <c r="BW329" t="str">
        <f>IF('1. Live'!BW329='check-Jul25'!BW329,"",'1. Live'!BW329-'check-Jul25'!BW329)</f>
        <v/>
      </c>
      <c r="BX329" t="str">
        <f>IF('1. Live'!BX329='check-Jul25'!BX329,"",'1. Live'!BX329-'check-Jul25'!BX329)</f>
        <v/>
      </c>
      <c r="BY329" t="str">
        <f>IF('1. Live'!BY329='check-Jul25'!BY329,"",'1. Live'!BY329-'check-Jul25'!BY329)</f>
        <v/>
      </c>
      <c r="BZ329" t="str">
        <f>IF('1. Live'!BZ329='check-Jul25'!BZ329,"",'1. Live'!BZ329-'check-Jul25'!BZ329)</f>
        <v/>
      </c>
      <c r="CA329" t="str">
        <f>IF('1. Live'!CA329='check-Jul25'!CA329,"",'1. Live'!CA329-'check-Jul25'!CA329)</f>
        <v/>
      </c>
      <c r="CB329" t="str">
        <f>IF('1. Live'!CB329='check-Jul25'!CB329,"",'1. Live'!CB329-'check-Jul25'!CB329)</f>
        <v/>
      </c>
      <c r="CC329" t="str">
        <f>IF('1. Live'!CC329='check-Jul25'!CC329,"",'1. Live'!CC329-'check-Jul25'!CC329)</f>
        <v/>
      </c>
      <c r="CD329" t="str">
        <f>IF('1. Live'!CD329='check-Jul25'!CD329,"",'1. Live'!CD329-'check-Jul25'!CD329)</f>
        <v/>
      </c>
      <c r="CE329" t="str">
        <f>IF('1. Live'!CE329='check-Jul25'!CE329,"",'1. Live'!CE329-'check-Jul25'!CE329)</f>
        <v/>
      </c>
      <c r="CF329" t="str">
        <f>IF('1. Live'!CF329='check-Jul25'!CF329,"",'1. Live'!CF329-'check-Jul25'!CF329)</f>
        <v/>
      </c>
      <c r="CG329" t="str">
        <f>IF('1. Live'!CG329='check-Jul25'!CG329,"",'1. Live'!CG329-'check-Jul25'!CG329)</f>
        <v/>
      </c>
      <c r="CH329" t="str">
        <f>IF('1. Live'!CH329='check-Jul25'!CH329,"",'1. Live'!CH329-'check-Jul25'!CH329)</f>
        <v/>
      </c>
      <c r="CI329" t="str">
        <f>IF('1. Live'!CI329='check-Jul25'!CI329,"",'1. Live'!CI329-'check-Jul25'!CI329)</f>
        <v/>
      </c>
      <c r="CJ329" t="str">
        <f>IF('1. Live'!CJ329='check-Jul25'!CJ329,"",'1. Live'!CJ329-'check-Jul25'!CJ329)</f>
        <v/>
      </c>
      <c r="CK329" t="str">
        <f>IF('1. Live'!CK329='check-Jul25'!CK329,"",'1. Live'!CK329-'check-Jul25'!CK329)</f>
        <v/>
      </c>
      <c r="CL329" t="str">
        <f>IF('1. Live'!CL329='check-Jul25'!CL329,"",'1. Live'!CL329-'check-Jul25'!CL329)</f>
        <v/>
      </c>
      <c r="CM329" t="str">
        <f>IF('1. Live'!CM329='check-Jul25'!CM329,"",'1. Live'!CM329-'check-Jul25'!CM329)</f>
        <v/>
      </c>
      <c r="CN329" t="str">
        <f>IF('1. Live'!CN329='check-Jul25'!CN329,"",'1. Live'!CN329-'check-Jul25'!CN329)</f>
        <v/>
      </c>
      <c r="CO329" t="str">
        <f>IF('1. Live'!CO329='check-Jul25'!CO329,"",'1. Live'!CO329-'check-Jul25'!CO329)</f>
        <v/>
      </c>
      <c r="CP329" t="str">
        <f>IF('1. Live'!CP329='check-Jul25'!CP329,"",'1. Live'!CP329-'check-Jul25'!CP329)</f>
        <v/>
      </c>
      <c r="CQ329" t="str">
        <f>IF('1. Live'!CQ329='check-Jul25'!CQ329,"",'1. Live'!CQ329-'check-Jul25'!CQ329)</f>
        <v/>
      </c>
      <c r="CR329" t="str">
        <f>IF('1. Live'!CR329='check-Jul25'!CR329,"",'1. Live'!CR329-'check-Jul25'!CR329)</f>
        <v/>
      </c>
      <c r="CS329" t="str">
        <f>IF('1. Live'!CS329='check-Jul25'!CS329,"",'1. Live'!CS329-'check-Jul25'!CS329)</f>
        <v/>
      </c>
      <c r="CT329" t="str">
        <f>IF('1. Live'!CT329='check-Jul25'!CT329,"",'1. Live'!CT329-'check-Jul25'!CT329)</f>
        <v/>
      </c>
      <c r="CU329" t="str">
        <f>IF('1. Live'!CU329='check-Jul25'!CU329,"",'1. Live'!CU329-'check-Jul25'!CU329)</f>
        <v/>
      </c>
      <c r="CV329" t="str">
        <f>IF('1. Live'!CV329='check-Jul25'!CV329,"",'1. Live'!CV329-'check-Jul25'!CV329)</f>
        <v/>
      </c>
      <c r="CW329" t="str">
        <f>IF('1. Live'!CW329='check-Jul25'!CW329,"",'1. Live'!CW329-'check-Jul25'!CW329)</f>
        <v/>
      </c>
    </row>
    <row r="330" spans="10:101">
      <c r="J330" t="str">
        <f>IF('1. Live'!J330='check-Jul25'!J330,"",'1. Live'!J330-'check-Jul25'!J330)</f>
        <v/>
      </c>
      <c r="K330" t="str">
        <f>IF('1. Live'!K330='check-Jul25'!K330,"",'1. Live'!K330-'check-Jul25'!K330)</f>
        <v/>
      </c>
      <c r="L330" t="str">
        <f>IF('1. Live'!L330='check-Jul25'!L330,"",'1. Live'!L330-'check-Jul25'!L330)</f>
        <v/>
      </c>
      <c r="M330" t="str">
        <f>IF('1. Live'!M330='check-Jul25'!M330,"",'1. Live'!M330-'check-Jul25'!M330)</f>
        <v/>
      </c>
      <c r="N330" t="str">
        <f>IF('1. Live'!N330='check-Jul25'!N330,"",'1. Live'!N330-'check-Jul25'!N330)</f>
        <v/>
      </c>
      <c r="O330" t="str">
        <f>IF('1. Live'!O330='check-Jul25'!O330,"",'1. Live'!O330-'check-Jul25'!O330)</f>
        <v/>
      </c>
      <c r="P330" t="str">
        <f>IF('1. Live'!P330='check-Jul25'!P330,"",'1. Live'!P330-'check-Jul25'!P330)</f>
        <v/>
      </c>
      <c r="Q330" t="str">
        <f>IF('1. Live'!Q330='check-Jul25'!Q330,"",'1. Live'!Q330-'check-Jul25'!Q330)</f>
        <v/>
      </c>
      <c r="R330" t="str">
        <f>IF('1. Live'!R330='check-Jul25'!R330,"",'1. Live'!R330-'check-Jul25'!R330)</f>
        <v/>
      </c>
      <c r="S330" t="str">
        <f>IF('1. Live'!S330='check-Jul25'!S330,"",'1. Live'!S330-'check-Jul25'!S330)</f>
        <v/>
      </c>
      <c r="T330" t="str">
        <f>IF('1. Live'!T330='check-Jul25'!T330,"",'1. Live'!T330-'check-Jul25'!T330)</f>
        <v/>
      </c>
      <c r="U330" t="str">
        <f>IF('1. Live'!U330='check-Jul25'!U330,"",'1. Live'!U330-'check-Jul25'!U330)</f>
        <v/>
      </c>
      <c r="V330" t="str">
        <f>IF('1. Live'!V330='check-Jul25'!V330,"",'1. Live'!V330-'check-Jul25'!V330)</f>
        <v/>
      </c>
      <c r="W330" t="str">
        <f>IF('1. Live'!W330='check-Jul25'!W330,"",'1. Live'!W330-'check-Jul25'!W330)</f>
        <v/>
      </c>
      <c r="X330" t="str">
        <f>IF('1. Live'!X330='check-Jul25'!X330,"",'1. Live'!X330-'check-Jul25'!X330)</f>
        <v/>
      </c>
      <c r="Y330" t="str">
        <f>IF('1. Live'!Y330='check-Jul25'!Y330,"",'1. Live'!Y330-'check-Jul25'!Y330)</f>
        <v/>
      </c>
      <c r="Z330" t="str">
        <f>IF('1. Live'!Z330='check-Jul25'!Z330,"",'1. Live'!Z330-'check-Jul25'!Z330)</f>
        <v/>
      </c>
      <c r="AA330" t="str">
        <f>IF('1. Live'!AA330='check-Jul25'!AA330,"",'1. Live'!AA330-'check-Jul25'!AA330)</f>
        <v/>
      </c>
      <c r="AB330" t="str">
        <f>IF('1. Live'!AB330='check-Jul25'!AB330,"",'1. Live'!AB330-'check-Jul25'!AB330)</f>
        <v/>
      </c>
      <c r="AC330" t="str">
        <f>IF('1. Live'!AC330='check-Jul25'!AC330,"",'1. Live'!AC330-'check-Jul25'!AC330)</f>
        <v/>
      </c>
      <c r="AD330" t="str">
        <f>IF('1. Live'!AD330='check-Jul25'!AD330,"",'1. Live'!AD330-'check-Jul25'!AD330)</f>
        <v/>
      </c>
      <c r="AE330" t="str">
        <f>IF('1. Live'!AE330='check-Jul25'!AE330,"",'1. Live'!AE330-'check-Jul25'!AE330)</f>
        <v/>
      </c>
      <c r="AF330" t="str">
        <f>IF('1. Live'!AF330='check-Jul25'!AF330,"",'1. Live'!AF330-'check-Jul25'!AF330)</f>
        <v/>
      </c>
      <c r="AG330" t="str">
        <f>IF('1. Live'!AG330='check-Jul25'!AG330,"",'1. Live'!AG330-'check-Jul25'!AG330)</f>
        <v/>
      </c>
      <c r="AH330" t="str">
        <f>IF('1. Live'!AH330='check-Jul25'!AH330,"",'1. Live'!AH330-'check-Jul25'!AH330)</f>
        <v/>
      </c>
      <c r="AI330" t="str">
        <f>IF('1. Live'!AI330='check-Jul25'!AI330,"",'1. Live'!AI330-'check-Jul25'!AI330)</f>
        <v/>
      </c>
      <c r="AJ330" t="str">
        <f>IF('1. Live'!AJ330='check-Jul25'!AJ330,"",'1. Live'!AJ330-'check-Jul25'!AJ330)</f>
        <v/>
      </c>
      <c r="AK330" t="str">
        <f>IF('1. Live'!AK330='check-Jul25'!AK330,"",'1. Live'!AK330-'check-Jul25'!AK330)</f>
        <v/>
      </c>
      <c r="AL330" t="str">
        <f>IF('1. Live'!AL330='check-Jul25'!AL330,"",'1. Live'!AL330-'check-Jul25'!AL330)</f>
        <v/>
      </c>
      <c r="AM330" t="str">
        <f>IF('1. Live'!AM330='check-Jul25'!AM330,"",'1. Live'!AM330-'check-Jul25'!AM330)</f>
        <v/>
      </c>
      <c r="AN330" t="str">
        <f>IF('1. Live'!AN330='check-Jul25'!AN330,"",'1. Live'!AN330-'check-Jul25'!AN330)</f>
        <v/>
      </c>
      <c r="AO330" t="str">
        <f>IF('1. Live'!AO330='check-Jul25'!AO330,"",'1. Live'!AO330-'check-Jul25'!AO330)</f>
        <v/>
      </c>
      <c r="AP330" t="str">
        <f>IF('1. Live'!AP330='check-Jul25'!AP330,"",'1. Live'!AP330-'check-Jul25'!AP330)</f>
        <v/>
      </c>
      <c r="AQ330" t="str">
        <f>IF('1. Live'!AQ330='check-Jul25'!AQ330,"",'1. Live'!AQ330-'check-Jul25'!AQ330)</f>
        <v/>
      </c>
      <c r="AR330" t="str">
        <f>IF('1. Live'!AR330='check-Jul25'!AR330,"",'1. Live'!AR330-'check-Jul25'!AR330)</f>
        <v/>
      </c>
      <c r="AS330" t="str">
        <f>IF('1. Live'!AS330='check-Jul25'!AS330,"",'1. Live'!AS330-'check-Jul25'!AS330)</f>
        <v/>
      </c>
      <c r="AT330" t="str">
        <f>IF('1. Live'!AT330='check-Jul25'!AT330,"",'1. Live'!AT330-'check-Jul25'!AT330)</f>
        <v/>
      </c>
      <c r="AU330" t="str">
        <f>IF('1. Live'!AU330='check-Jul25'!AU330,"",'1. Live'!AU330-'check-Jul25'!AU330)</f>
        <v/>
      </c>
      <c r="AV330" t="str">
        <f>IF('1. Live'!AV330='check-Jul25'!AV330,"",'1. Live'!AV330-'check-Jul25'!AV330)</f>
        <v/>
      </c>
      <c r="AW330" t="str">
        <f>IF('1. Live'!AW330='check-Jul25'!AW330,"",'1. Live'!AW330-'check-Jul25'!AW330)</f>
        <v/>
      </c>
      <c r="AX330" t="str">
        <f>IF('1. Live'!AX330='check-Jul25'!AX330,"",'1. Live'!AX330-'check-Jul25'!AX330)</f>
        <v/>
      </c>
      <c r="AY330" t="str">
        <f>IF('1. Live'!AY330='check-Jul25'!AY330,"",'1. Live'!AY330-'check-Jul25'!AY330)</f>
        <v/>
      </c>
      <c r="AZ330" t="str">
        <f>IF('1. Live'!AZ330='check-Jul25'!AZ330,"",'1. Live'!AZ330-'check-Jul25'!AZ330)</f>
        <v/>
      </c>
      <c r="BA330" t="str">
        <f>IF('1. Live'!BA330='check-Jul25'!BA330,"",'1. Live'!BA330-'check-Jul25'!BA330)</f>
        <v/>
      </c>
      <c r="BB330" t="str">
        <f>IF('1. Live'!BB330='check-Jul25'!BB330,"",'1. Live'!BB330-'check-Jul25'!BB330)</f>
        <v/>
      </c>
      <c r="BC330" t="str">
        <f>IF('1. Live'!BC330='check-Jul25'!BC330,"",'1. Live'!BC330-'check-Jul25'!BC330)</f>
        <v/>
      </c>
      <c r="BD330" t="str">
        <f>IF('1. Live'!BD330='check-Jul25'!BD330,"",'1. Live'!BD330-'check-Jul25'!BD330)</f>
        <v/>
      </c>
      <c r="BE330" t="str">
        <f>IF('1. Live'!BE330='check-Jul25'!BE330,"",'1. Live'!BE330-'check-Jul25'!BE330)</f>
        <v/>
      </c>
      <c r="BF330" t="str">
        <f>IF('1. Live'!BF330='check-Jul25'!BF330,"",'1. Live'!BF330-'check-Jul25'!BF330)</f>
        <v/>
      </c>
      <c r="BG330" t="str">
        <f>IF('1. Live'!BG330='check-Jul25'!BG330,"",'1. Live'!BG330-'check-Jul25'!BG330)</f>
        <v/>
      </c>
      <c r="BH330" t="str">
        <f>IF('1. Live'!BH330='check-Jul25'!BH330,"",'1. Live'!BH330-'check-Jul25'!BH330)</f>
        <v/>
      </c>
      <c r="BI330" t="str">
        <f>IF('1. Live'!BI330='check-Jul25'!BI330,"",'1. Live'!BI330-'check-Jul25'!BI330)</f>
        <v/>
      </c>
      <c r="BJ330" t="str">
        <f>IF('1. Live'!BJ330='check-Jul25'!BJ330,"",'1. Live'!BJ330-'check-Jul25'!BJ330)</f>
        <v/>
      </c>
      <c r="BK330" t="str">
        <f>IF('1. Live'!BK330='check-Jul25'!BK330,"",'1. Live'!BK330-'check-Jul25'!BK330)</f>
        <v/>
      </c>
      <c r="BL330" t="str">
        <f>IF('1. Live'!BL330='check-Jul25'!BL330,"",'1. Live'!BL330-'check-Jul25'!BL330)</f>
        <v/>
      </c>
      <c r="BM330" t="str">
        <f>IF('1. Live'!BM330='check-Jul25'!BM330,"",'1. Live'!BM330-'check-Jul25'!BM330)</f>
        <v/>
      </c>
      <c r="BN330" t="str">
        <f>IF('1. Live'!BN330='check-Jul25'!BN330,"",'1. Live'!BN330-'check-Jul25'!BN330)</f>
        <v/>
      </c>
      <c r="BO330" t="str">
        <f>IF('1. Live'!BO330='check-Jul25'!BO330,"",'1. Live'!BO330-'check-Jul25'!BO330)</f>
        <v/>
      </c>
      <c r="BP330" t="str">
        <f>IF('1. Live'!BP330='check-Jul25'!BP330,"",'1. Live'!BP330-'check-Jul25'!BP330)</f>
        <v/>
      </c>
      <c r="BQ330" t="str">
        <f>IF('1. Live'!BQ330='check-Jul25'!BQ330,"",'1. Live'!BQ330-'check-Jul25'!BQ330)</f>
        <v/>
      </c>
      <c r="BR330" t="str">
        <f>IF('1. Live'!BR330='check-Jul25'!BR330,"",'1. Live'!BR330-'check-Jul25'!BR330)</f>
        <v/>
      </c>
      <c r="BS330" t="str">
        <f>IF('1. Live'!BS330='check-Jul25'!BS330,"",'1. Live'!BS330-'check-Jul25'!BS330)</f>
        <v/>
      </c>
      <c r="BT330" t="str">
        <f>IF('1. Live'!BT330='check-Jul25'!BT330,"",'1. Live'!BT330-'check-Jul25'!BT330)</f>
        <v/>
      </c>
      <c r="BU330" t="str">
        <f>IF('1. Live'!BU330='check-Jul25'!BU330,"",'1. Live'!BU330-'check-Jul25'!BU330)</f>
        <v/>
      </c>
      <c r="BV330" t="str">
        <f>IF('1. Live'!BV330='check-Jul25'!BV330,"",'1. Live'!BV330-'check-Jul25'!BV330)</f>
        <v/>
      </c>
      <c r="BW330" t="str">
        <f>IF('1. Live'!BW330='check-Jul25'!BW330,"",'1. Live'!BW330-'check-Jul25'!BW330)</f>
        <v/>
      </c>
      <c r="BX330" t="str">
        <f>IF('1. Live'!BX330='check-Jul25'!BX330,"",'1. Live'!BX330-'check-Jul25'!BX330)</f>
        <v/>
      </c>
      <c r="BY330" t="str">
        <f>IF('1. Live'!BY330='check-Jul25'!BY330,"",'1. Live'!BY330-'check-Jul25'!BY330)</f>
        <v/>
      </c>
      <c r="BZ330" t="str">
        <f>IF('1. Live'!BZ330='check-Jul25'!BZ330,"",'1. Live'!BZ330-'check-Jul25'!BZ330)</f>
        <v/>
      </c>
      <c r="CA330" t="str">
        <f>IF('1. Live'!CA330='check-Jul25'!CA330,"",'1. Live'!CA330-'check-Jul25'!CA330)</f>
        <v/>
      </c>
      <c r="CB330" t="str">
        <f>IF('1. Live'!CB330='check-Jul25'!CB330,"",'1. Live'!CB330-'check-Jul25'!CB330)</f>
        <v/>
      </c>
      <c r="CC330" t="str">
        <f>IF('1. Live'!CC330='check-Jul25'!CC330,"",'1. Live'!CC330-'check-Jul25'!CC330)</f>
        <v/>
      </c>
      <c r="CD330" t="str">
        <f>IF('1. Live'!CD330='check-Jul25'!CD330,"",'1. Live'!CD330-'check-Jul25'!CD330)</f>
        <v/>
      </c>
      <c r="CE330" t="str">
        <f>IF('1. Live'!CE330='check-Jul25'!CE330,"",'1. Live'!CE330-'check-Jul25'!CE330)</f>
        <v/>
      </c>
      <c r="CF330" t="str">
        <f>IF('1. Live'!CF330='check-Jul25'!CF330,"",'1. Live'!CF330-'check-Jul25'!CF330)</f>
        <v/>
      </c>
      <c r="CG330" t="str">
        <f>IF('1. Live'!CG330='check-Jul25'!CG330,"",'1. Live'!CG330-'check-Jul25'!CG330)</f>
        <v/>
      </c>
      <c r="CH330" t="str">
        <f>IF('1. Live'!CH330='check-Jul25'!CH330,"",'1. Live'!CH330-'check-Jul25'!CH330)</f>
        <v/>
      </c>
      <c r="CI330" t="str">
        <f>IF('1. Live'!CI330='check-Jul25'!CI330,"",'1. Live'!CI330-'check-Jul25'!CI330)</f>
        <v/>
      </c>
      <c r="CJ330" t="str">
        <f>IF('1. Live'!CJ330='check-Jul25'!CJ330,"",'1. Live'!CJ330-'check-Jul25'!CJ330)</f>
        <v/>
      </c>
      <c r="CK330" t="str">
        <f>IF('1. Live'!CK330='check-Jul25'!CK330,"",'1. Live'!CK330-'check-Jul25'!CK330)</f>
        <v/>
      </c>
      <c r="CL330" t="str">
        <f>IF('1. Live'!CL330='check-Jul25'!CL330,"",'1. Live'!CL330-'check-Jul25'!CL330)</f>
        <v/>
      </c>
      <c r="CM330" t="str">
        <f>IF('1. Live'!CM330='check-Jul25'!CM330,"",'1. Live'!CM330-'check-Jul25'!CM330)</f>
        <v/>
      </c>
      <c r="CN330" t="str">
        <f>IF('1. Live'!CN330='check-Jul25'!CN330,"",'1. Live'!CN330-'check-Jul25'!CN330)</f>
        <v/>
      </c>
      <c r="CO330" t="str">
        <f>IF('1. Live'!CO330='check-Jul25'!CO330,"",'1. Live'!CO330-'check-Jul25'!CO330)</f>
        <v/>
      </c>
      <c r="CP330" t="str">
        <f>IF('1. Live'!CP330='check-Jul25'!CP330,"",'1. Live'!CP330-'check-Jul25'!CP330)</f>
        <v/>
      </c>
      <c r="CQ330" t="str">
        <f>IF('1. Live'!CQ330='check-Jul25'!CQ330,"",'1. Live'!CQ330-'check-Jul25'!CQ330)</f>
        <v/>
      </c>
      <c r="CR330" t="str">
        <f>IF('1. Live'!CR330='check-Jul25'!CR330,"",'1. Live'!CR330-'check-Jul25'!CR330)</f>
        <v/>
      </c>
      <c r="CS330" t="str">
        <f>IF('1. Live'!CS330='check-Jul25'!CS330,"",'1. Live'!CS330-'check-Jul25'!CS330)</f>
        <v/>
      </c>
      <c r="CT330" t="str">
        <f>IF('1. Live'!CT330='check-Jul25'!CT330,"",'1. Live'!CT330-'check-Jul25'!CT330)</f>
        <v/>
      </c>
      <c r="CU330" t="str">
        <f>IF('1. Live'!CU330='check-Jul25'!CU330,"",'1. Live'!CU330-'check-Jul25'!CU330)</f>
        <v/>
      </c>
      <c r="CV330" t="str">
        <f>IF('1. Live'!CV330='check-Jul25'!CV330,"",'1. Live'!CV330-'check-Jul25'!CV330)</f>
        <v/>
      </c>
      <c r="CW330" t="str">
        <f>IF('1. Live'!CW330='check-Jul25'!CW330,"",'1. Live'!CW330-'check-Jul25'!CW330)</f>
        <v/>
      </c>
    </row>
    <row r="331" spans="10:101">
      <c r="J331" t="str">
        <f>IF('1. Live'!J331='check-Jul25'!J331,"",'1. Live'!J331-'check-Jul25'!J331)</f>
        <v/>
      </c>
      <c r="K331" t="str">
        <f>IF('1. Live'!K331='check-Jul25'!K331,"",'1. Live'!K331-'check-Jul25'!K331)</f>
        <v/>
      </c>
      <c r="L331" t="str">
        <f>IF('1. Live'!L331='check-Jul25'!L331,"",'1. Live'!L331-'check-Jul25'!L331)</f>
        <v/>
      </c>
      <c r="M331" t="str">
        <f>IF('1. Live'!M331='check-Jul25'!M331,"",'1. Live'!M331-'check-Jul25'!M331)</f>
        <v/>
      </c>
      <c r="N331" t="str">
        <f>IF('1. Live'!N331='check-Jul25'!N331,"",'1. Live'!N331-'check-Jul25'!N331)</f>
        <v/>
      </c>
      <c r="O331" t="str">
        <f>IF('1. Live'!O331='check-Jul25'!O331,"",'1. Live'!O331-'check-Jul25'!O331)</f>
        <v/>
      </c>
      <c r="P331" t="str">
        <f>IF('1. Live'!P331='check-Jul25'!P331,"",'1. Live'!P331-'check-Jul25'!P331)</f>
        <v/>
      </c>
      <c r="Q331" t="str">
        <f>IF('1. Live'!Q331='check-Jul25'!Q331,"",'1. Live'!Q331-'check-Jul25'!Q331)</f>
        <v/>
      </c>
      <c r="R331" t="str">
        <f>IF('1. Live'!R331='check-Jul25'!R331,"",'1. Live'!R331-'check-Jul25'!R331)</f>
        <v/>
      </c>
      <c r="S331" t="str">
        <f>IF('1. Live'!S331='check-Jul25'!S331,"",'1. Live'!S331-'check-Jul25'!S331)</f>
        <v/>
      </c>
      <c r="T331" t="str">
        <f>IF('1. Live'!T331='check-Jul25'!T331,"",'1. Live'!T331-'check-Jul25'!T331)</f>
        <v/>
      </c>
      <c r="U331" t="str">
        <f>IF('1. Live'!U331='check-Jul25'!U331,"",'1. Live'!U331-'check-Jul25'!U331)</f>
        <v/>
      </c>
      <c r="V331" t="str">
        <f>IF('1. Live'!V331='check-Jul25'!V331,"",'1. Live'!V331-'check-Jul25'!V331)</f>
        <v/>
      </c>
      <c r="W331" t="str">
        <f>IF('1. Live'!W331='check-Jul25'!W331,"",'1. Live'!W331-'check-Jul25'!W331)</f>
        <v/>
      </c>
      <c r="X331" t="str">
        <f>IF('1. Live'!X331='check-Jul25'!X331,"",'1. Live'!X331-'check-Jul25'!X331)</f>
        <v/>
      </c>
      <c r="Y331" t="str">
        <f>IF('1. Live'!Y331='check-Jul25'!Y331,"",'1. Live'!Y331-'check-Jul25'!Y331)</f>
        <v/>
      </c>
      <c r="Z331" t="str">
        <f>IF('1. Live'!Z331='check-Jul25'!Z331,"",'1. Live'!Z331-'check-Jul25'!Z331)</f>
        <v/>
      </c>
      <c r="AA331" t="str">
        <f>IF('1. Live'!AA331='check-Jul25'!AA331,"",'1. Live'!AA331-'check-Jul25'!AA331)</f>
        <v/>
      </c>
      <c r="AB331" t="str">
        <f>IF('1. Live'!AB331='check-Jul25'!AB331,"",'1. Live'!AB331-'check-Jul25'!AB331)</f>
        <v/>
      </c>
      <c r="AC331" t="str">
        <f>IF('1. Live'!AC331='check-Jul25'!AC331,"",'1. Live'!AC331-'check-Jul25'!AC331)</f>
        <v/>
      </c>
      <c r="AD331" t="str">
        <f>IF('1. Live'!AD331='check-Jul25'!AD331,"",'1. Live'!AD331-'check-Jul25'!AD331)</f>
        <v/>
      </c>
      <c r="AE331" t="str">
        <f>IF('1. Live'!AE331='check-Jul25'!AE331,"",'1. Live'!AE331-'check-Jul25'!AE331)</f>
        <v/>
      </c>
      <c r="AF331" t="str">
        <f>IF('1. Live'!AF331='check-Jul25'!AF331,"",'1. Live'!AF331-'check-Jul25'!AF331)</f>
        <v/>
      </c>
      <c r="AG331" t="str">
        <f>IF('1. Live'!AG331='check-Jul25'!AG331,"",'1. Live'!AG331-'check-Jul25'!AG331)</f>
        <v/>
      </c>
      <c r="AH331" t="str">
        <f>IF('1. Live'!AH331='check-Jul25'!AH331,"",'1. Live'!AH331-'check-Jul25'!AH331)</f>
        <v/>
      </c>
      <c r="AI331" t="str">
        <f>IF('1. Live'!AI331='check-Jul25'!AI331,"",'1. Live'!AI331-'check-Jul25'!AI331)</f>
        <v/>
      </c>
      <c r="AJ331" t="str">
        <f>IF('1. Live'!AJ331='check-Jul25'!AJ331,"",'1. Live'!AJ331-'check-Jul25'!AJ331)</f>
        <v/>
      </c>
      <c r="AK331" t="str">
        <f>IF('1. Live'!AK331='check-Jul25'!AK331,"",'1. Live'!AK331-'check-Jul25'!AK331)</f>
        <v/>
      </c>
      <c r="AL331" t="str">
        <f>IF('1. Live'!AL331='check-Jul25'!AL331,"",'1. Live'!AL331-'check-Jul25'!AL331)</f>
        <v/>
      </c>
      <c r="AM331" t="str">
        <f>IF('1. Live'!AM331='check-Jul25'!AM331,"",'1. Live'!AM331-'check-Jul25'!AM331)</f>
        <v/>
      </c>
      <c r="AN331" t="str">
        <f>IF('1. Live'!AN331='check-Jul25'!AN331,"",'1. Live'!AN331-'check-Jul25'!AN331)</f>
        <v/>
      </c>
      <c r="AO331" t="str">
        <f>IF('1. Live'!AO331='check-Jul25'!AO331,"",'1. Live'!AO331-'check-Jul25'!AO331)</f>
        <v/>
      </c>
      <c r="AP331" t="str">
        <f>IF('1. Live'!AP331='check-Jul25'!AP331,"",'1. Live'!AP331-'check-Jul25'!AP331)</f>
        <v/>
      </c>
      <c r="AQ331" t="str">
        <f>IF('1. Live'!AQ331='check-Jul25'!AQ331,"",'1. Live'!AQ331-'check-Jul25'!AQ331)</f>
        <v/>
      </c>
      <c r="AR331" t="str">
        <f>IF('1. Live'!AR331='check-Jul25'!AR331,"",'1. Live'!AR331-'check-Jul25'!AR331)</f>
        <v/>
      </c>
      <c r="AS331" t="str">
        <f>IF('1. Live'!AS331='check-Jul25'!AS331,"",'1. Live'!AS331-'check-Jul25'!AS331)</f>
        <v/>
      </c>
      <c r="AT331" t="str">
        <f>IF('1. Live'!AT331='check-Jul25'!AT331,"",'1. Live'!AT331-'check-Jul25'!AT331)</f>
        <v/>
      </c>
      <c r="AU331" t="str">
        <f>IF('1. Live'!AU331='check-Jul25'!AU331,"",'1. Live'!AU331-'check-Jul25'!AU331)</f>
        <v/>
      </c>
      <c r="AV331" t="str">
        <f>IF('1. Live'!AV331='check-Jul25'!AV331,"",'1. Live'!AV331-'check-Jul25'!AV331)</f>
        <v/>
      </c>
      <c r="AW331" t="str">
        <f>IF('1. Live'!AW331='check-Jul25'!AW331,"",'1. Live'!AW331-'check-Jul25'!AW331)</f>
        <v/>
      </c>
      <c r="AX331" t="str">
        <f>IF('1. Live'!AX331='check-Jul25'!AX331,"",'1. Live'!AX331-'check-Jul25'!AX331)</f>
        <v/>
      </c>
      <c r="AY331" t="str">
        <f>IF('1. Live'!AY331='check-Jul25'!AY331,"",'1. Live'!AY331-'check-Jul25'!AY331)</f>
        <v/>
      </c>
      <c r="AZ331" t="str">
        <f>IF('1. Live'!AZ331='check-Jul25'!AZ331,"",'1. Live'!AZ331-'check-Jul25'!AZ331)</f>
        <v/>
      </c>
      <c r="BA331" t="str">
        <f>IF('1. Live'!BA331='check-Jul25'!BA331,"",'1. Live'!BA331-'check-Jul25'!BA331)</f>
        <v/>
      </c>
      <c r="BB331" t="str">
        <f>IF('1. Live'!BB331='check-Jul25'!BB331,"",'1. Live'!BB331-'check-Jul25'!BB331)</f>
        <v/>
      </c>
      <c r="BC331" t="str">
        <f>IF('1. Live'!BC331='check-Jul25'!BC331,"",'1. Live'!BC331-'check-Jul25'!BC331)</f>
        <v/>
      </c>
      <c r="BD331" t="str">
        <f>IF('1. Live'!BD331='check-Jul25'!BD331,"",'1. Live'!BD331-'check-Jul25'!BD331)</f>
        <v/>
      </c>
      <c r="BE331" t="str">
        <f>IF('1. Live'!BE331='check-Jul25'!BE331,"",'1. Live'!BE331-'check-Jul25'!BE331)</f>
        <v/>
      </c>
      <c r="BF331" t="str">
        <f>IF('1. Live'!BF331='check-Jul25'!BF331,"",'1. Live'!BF331-'check-Jul25'!BF331)</f>
        <v/>
      </c>
      <c r="BG331" t="str">
        <f>IF('1. Live'!BG331='check-Jul25'!BG331,"",'1. Live'!BG331-'check-Jul25'!BG331)</f>
        <v/>
      </c>
      <c r="BH331" t="str">
        <f>IF('1. Live'!BH331='check-Jul25'!BH331,"",'1. Live'!BH331-'check-Jul25'!BH331)</f>
        <v/>
      </c>
      <c r="BI331" t="str">
        <f>IF('1. Live'!BI331='check-Jul25'!BI331,"",'1. Live'!BI331-'check-Jul25'!BI331)</f>
        <v/>
      </c>
      <c r="BJ331" t="str">
        <f>IF('1. Live'!BJ331='check-Jul25'!BJ331,"",'1. Live'!BJ331-'check-Jul25'!BJ331)</f>
        <v/>
      </c>
      <c r="BK331" t="str">
        <f>IF('1. Live'!BK331='check-Jul25'!BK331,"",'1. Live'!BK331-'check-Jul25'!BK331)</f>
        <v/>
      </c>
      <c r="BL331" t="str">
        <f>IF('1. Live'!BL331='check-Jul25'!BL331,"",'1. Live'!BL331-'check-Jul25'!BL331)</f>
        <v/>
      </c>
      <c r="BM331" t="str">
        <f>IF('1. Live'!BM331='check-Jul25'!BM331,"",'1. Live'!BM331-'check-Jul25'!BM331)</f>
        <v/>
      </c>
      <c r="BN331" t="str">
        <f>IF('1. Live'!BN331='check-Jul25'!BN331,"",'1. Live'!BN331-'check-Jul25'!BN331)</f>
        <v/>
      </c>
      <c r="BO331" t="str">
        <f>IF('1. Live'!BO331='check-Jul25'!BO331,"",'1. Live'!BO331-'check-Jul25'!BO331)</f>
        <v/>
      </c>
      <c r="BP331" t="str">
        <f>IF('1. Live'!BP331='check-Jul25'!BP331,"",'1. Live'!BP331-'check-Jul25'!BP331)</f>
        <v/>
      </c>
      <c r="BQ331" t="str">
        <f>IF('1. Live'!BQ331='check-Jul25'!BQ331,"",'1. Live'!BQ331-'check-Jul25'!BQ331)</f>
        <v/>
      </c>
      <c r="BR331" t="str">
        <f>IF('1. Live'!BR331='check-Jul25'!BR331,"",'1. Live'!BR331-'check-Jul25'!BR331)</f>
        <v/>
      </c>
      <c r="BS331" t="str">
        <f>IF('1. Live'!BS331='check-Jul25'!BS331,"",'1. Live'!BS331-'check-Jul25'!BS331)</f>
        <v/>
      </c>
      <c r="BT331" t="str">
        <f>IF('1. Live'!BT331='check-Jul25'!BT331,"",'1. Live'!BT331-'check-Jul25'!BT331)</f>
        <v/>
      </c>
      <c r="BU331" t="str">
        <f>IF('1. Live'!BU331='check-Jul25'!BU331,"",'1. Live'!BU331-'check-Jul25'!BU331)</f>
        <v/>
      </c>
      <c r="BV331" t="str">
        <f>IF('1. Live'!BV331='check-Jul25'!BV331,"",'1. Live'!BV331-'check-Jul25'!BV331)</f>
        <v/>
      </c>
      <c r="BW331" t="str">
        <f>IF('1. Live'!BW331='check-Jul25'!BW331,"",'1. Live'!BW331-'check-Jul25'!BW331)</f>
        <v/>
      </c>
      <c r="BX331" t="str">
        <f>IF('1. Live'!BX331='check-Jul25'!BX331,"",'1. Live'!BX331-'check-Jul25'!BX331)</f>
        <v/>
      </c>
      <c r="BY331" t="str">
        <f>IF('1. Live'!BY331='check-Jul25'!BY331,"",'1. Live'!BY331-'check-Jul25'!BY331)</f>
        <v/>
      </c>
      <c r="BZ331" t="str">
        <f>IF('1. Live'!BZ331='check-Jul25'!BZ331,"",'1. Live'!BZ331-'check-Jul25'!BZ331)</f>
        <v/>
      </c>
      <c r="CA331" t="str">
        <f>IF('1. Live'!CA331='check-Jul25'!CA331,"",'1. Live'!CA331-'check-Jul25'!CA331)</f>
        <v/>
      </c>
      <c r="CB331" t="str">
        <f>IF('1. Live'!CB331='check-Jul25'!CB331,"",'1. Live'!CB331-'check-Jul25'!CB331)</f>
        <v/>
      </c>
      <c r="CC331" t="str">
        <f>IF('1. Live'!CC331='check-Jul25'!CC331,"",'1. Live'!CC331-'check-Jul25'!CC331)</f>
        <v/>
      </c>
      <c r="CD331" t="str">
        <f>IF('1. Live'!CD331='check-Jul25'!CD331,"",'1. Live'!CD331-'check-Jul25'!CD331)</f>
        <v/>
      </c>
      <c r="CE331" t="str">
        <f>IF('1. Live'!CE331='check-Jul25'!CE331,"",'1. Live'!CE331-'check-Jul25'!CE331)</f>
        <v/>
      </c>
      <c r="CF331" t="str">
        <f>IF('1. Live'!CF331='check-Jul25'!CF331,"",'1. Live'!CF331-'check-Jul25'!CF331)</f>
        <v/>
      </c>
      <c r="CG331" t="str">
        <f>IF('1. Live'!CG331='check-Jul25'!CG331,"",'1. Live'!CG331-'check-Jul25'!CG331)</f>
        <v/>
      </c>
      <c r="CH331" t="str">
        <f>IF('1. Live'!CH331='check-Jul25'!CH331,"",'1. Live'!CH331-'check-Jul25'!CH331)</f>
        <v/>
      </c>
      <c r="CI331" t="str">
        <f>IF('1. Live'!CI331='check-Jul25'!CI331,"",'1. Live'!CI331-'check-Jul25'!CI331)</f>
        <v/>
      </c>
      <c r="CJ331" t="str">
        <f>IF('1. Live'!CJ331='check-Jul25'!CJ331,"",'1. Live'!CJ331-'check-Jul25'!CJ331)</f>
        <v/>
      </c>
      <c r="CK331" t="str">
        <f>IF('1. Live'!CK331='check-Jul25'!CK331,"",'1. Live'!CK331-'check-Jul25'!CK331)</f>
        <v/>
      </c>
      <c r="CL331" t="str">
        <f>IF('1. Live'!CL331='check-Jul25'!CL331,"",'1. Live'!CL331-'check-Jul25'!CL331)</f>
        <v/>
      </c>
      <c r="CM331" t="str">
        <f>IF('1. Live'!CM331='check-Jul25'!CM331,"",'1. Live'!CM331-'check-Jul25'!CM331)</f>
        <v/>
      </c>
      <c r="CN331" t="str">
        <f>IF('1. Live'!CN331='check-Jul25'!CN331,"",'1. Live'!CN331-'check-Jul25'!CN331)</f>
        <v/>
      </c>
      <c r="CO331" t="str">
        <f>IF('1. Live'!CO331='check-Jul25'!CO331,"",'1. Live'!CO331-'check-Jul25'!CO331)</f>
        <v/>
      </c>
      <c r="CP331" t="str">
        <f>IF('1. Live'!CP331='check-Jul25'!CP331,"",'1. Live'!CP331-'check-Jul25'!CP331)</f>
        <v/>
      </c>
      <c r="CQ331" t="str">
        <f>IF('1. Live'!CQ331='check-Jul25'!CQ331,"",'1. Live'!CQ331-'check-Jul25'!CQ331)</f>
        <v/>
      </c>
      <c r="CR331" t="str">
        <f>IF('1. Live'!CR331='check-Jul25'!CR331,"",'1. Live'!CR331-'check-Jul25'!CR331)</f>
        <v/>
      </c>
      <c r="CS331" t="str">
        <f>IF('1. Live'!CS331='check-Jul25'!CS331,"",'1. Live'!CS331-'check-Jul25'!CS331)</f>
        <v/>
      </c>
      <c r="CT331" t="str">
        <f>IF('1. Live'!CT331='check-Jul25'!CT331,"",'1. Live'!CT331-'check-Jul25'!CT331)</f>
        <v/>
      </c>
      <c r="CU331" t="str">
        <f>IF('1. Live'!CU331='check-Jul25'!CU331,"",'1. Live'!CU331-'check-Jul25'!CU331)</f>
        <v/>
      </c>
      <c r="CV331" t="str">
        <f>IF('1. Live'!CV331='check-Jul25'!CV331,"",'1. Live'!CV331-'check-Jul25'!CV331)</f>
        <v/>
      </c>
      <c r="CW331" t="str">
        <f>IF('1. Live'!CW331='check-Jul25'!CW331,"",'1. Live'!CW331-'check-Jul25'!CW331)</f>
        <v/>
      </c>
    </row>
    <row r="332" spans="10:101">
      <c r="J332" t="str">
        <f>IF('1. Live'!J332='check-Jul25'!J332,"",'1. Live'!J332-'check-Jul25'!J332)</f>
        <v/>
      </c>
      <c r="K332" t="str">
        <f>IF('1. Live'!K332='check-Jul25'!K332,"",'1. Live'!K332-'check-Jul25'!K332)</f>
        <v/>
      </c>
      <c r="L332" t="str">
        <f>IF('1. Live'!L332='check-Jul25'!L332,"",'1. Live'!L332-'check-Jul25'!L332)</f>
        <v/>
      </c>
      <c r="M332" t="str">
        <f>IF('1. Live'!M332='check-Jul25'!M332,"",'1. Live'!M332-'check-Jul25'!M332)</f>
        <v/>
      </c>
      <c r="N332" t="str">
        <f>IF('1. Live'!N332='check-Jul25'!N332,"",'1. Live'!N332-'check-Jul25'!N332)</f>
        <v/>
      </c>
      <c r="O332" t="str">
        <f>IF('1. Live'!O332='check-Jul25'!O332,"",'1. Live'!O332-'check-Jul25'!O332)</f>
        <v/>
      </c>
      <c r="P332" t="str">
        <f>IF('1. Live'!P332='check-Jul25'!P332,"",'1. Live'!P332-'check-Jul25'!P332)</f>
        <v/>
      </c>
      <c r="Q332" t="str">
        <f>IF('1. Live'!Q332='check-Jul25'!Q332,"",'1. Live'!Q332-'check-Jul25'!Q332)</f>
        <v/>
      </c>
      <c r="R332" t="str">
        <f>IF('1. Live'!R332='check-Jul25'!R332,"",'1. Live'!R332-'check-Jul25'!R332)</f>
        <v/>
      </c>
      <c r="S332" t="str">
        <f>IF('1. Live'!S332='check-Jul25'!S332,"",'1. Live'!S332-'check-Jul25'!S332)</f>
        <v/>
      </c>
      <c r="T332" t="str">
        <f>IF('1. Live'!T332='check-Jul25'!T332,"",'1. Live'!T332-'check-Jul25'!T332)</f>
        <v/>
      </c>
      <c r="U332" t="str">
        <f>IF('1. Live'!U332='check-Jul25'!U332,"",'1. Live'!U332-'check-Jul25'!U332)</f>
        <v/>
      </c>
      <c r="V332" t="str">
        <f>IF('1. Live'!V332='check-Jul25'!V332,"",'1. Live'!V332-'check-Jul25'!V332)</f>
        <v/>
      </c>
      <c r="W332" t="str">
        <f>IF('1. Live'!W332='check-Jul25'!W332,"",'1. Live'!W332-'check-Jul25'!W332)</f>
        <v/>
      </c>
      <c r="X332" t="str">
        <f>IF('1. Live'!X332='check-Jul25'!X332,"",'1. Live'!X332-'check-Jul25'!X332)</f>
        <v/>
      </c>
      <c r="Y332" t="str">
        <f>IF('1. Live'!Y332='check-Jul25'!Y332,"",'1. Live'!Y332-'check-Jul25'!Y332)</f>
        <v/>
      </c>
      <c r="Z332" t="str">
        <f>IF('1. Live'!Z332='check-Jul25'!Z332,"",'1. Live'!Z332-'check-Jul25'!Z332)</f>
        <v/>
      </c>
      <c r="AA332" t="str">
        <f>IF('1. Live'!AA332='check-Jul25'!AA332,"",'1. Live'!AA332-'check-Jul25'!AA332)</f>
        <v/>
      </c>
      <c r="AB332" t="str">
        <f>IF('1. Live'!AB332='check-Jul25'!AB332,"",'1. Live'!AB332-'check-Jul25'!AB332)</f>
        <v/>
      </c>
      <c r="AC332" t="str">
        <f>IF('1. Live'!AC332='check-Jul25'!AC332,"",'1. Live'!AC332-'check-Jul25'!AC332)</f>
        <v/>
      </c>
      <c r="AD332" t="str">
        <f>IF('1. Live'!AD332='check-Jul25'!AD332,"",'1. Live'!AD332-'check-Jul25'!AD332)</f>
        <v/>
      </c>
      <c r="AE332" t="str">
        <f>IF('1. Live'!AE332='check-Jul25'!AE332,"",'1. Live'!AE332-'check-Jul25'!AE332)</f>
        <v/>
      </c>
      <c r="AF332" t="str">
        <f>IF('1. Live'!AF332='check-Jul25'!AF332,"",'1. Live'!AF332-'check-Jul25'!AF332)</f>
        <v/>
      </c>
      <c r="AG332" t="str">
        <f>IF('1. Live'!AG332='check-Jul25'!AG332,"",'1. Live'!AG332-'check-Jul25'!AG332)</f>
        <v/>
      </c>
      <c r="AH332" t="str">
        <f>IF('1. Live'!AH332='check-Jul25'!AH332,"",'1. Live'!AH332-'check-Jul25'!AH332)</f>
        <v/>
      </c>
      <c r="AI332" t="str">
        <f>IF('1. Live'!AI332='check-Jul25'!AI332,"",'1. Live'!AI332-'check-Jul25'!AI332)</f>
        <v/>
      </c>
      <c r="AJ332" t="str">
        <f>IF('1. Live'!AJ332='check-Jul25'!AJ332,"",'1. Live'!AJ332-'check-Jul25'!AJ332)</f>
        <v/>
      </c>
      <c r="AK332" t="str">
        <f>IF('1. Live'!AK332='check-Jul25'!AK332,"",'1. Live'!AK332-'check-Jul25'!AK332)</f>
        <v/>
      </c>
      <c r="AL332" t="str">
        <f>IF('1. Live'!AL332='check-Jul25'!AL332,"",'1. Live'!AL332-'check-Jul25'!AL332)</f>
        <v/>
      </c>
      <c r="AM332" t="str">
        <f>IF('1. Live'!AM332='check-Jul25'!AM332,"",'1. Live'!AM332-'check-Jul25'!AM332)</f>
        <v/>
      </c>
      <c r="AN332" t="str">
        <f>IF('1. Live'!AN332='check-Jul25'!AN332,"",'1. Live'!AN332-'check-Jul25'!AN332)</f>
        <v/>
      </c>
      <c r="AO332" t="str">
        <f>IF('1. Live'!AO332='check-Jul25'!AO332,"",'1. Live'!AO332-'check-Jul25'!AO332)</f>
        <v/>
      </c>
      <c r="AP332" t="str">
        <f>IF('1. Live'!AP332='check-Jul25'!AP332,"",'1. Live'!AP332-'check-Jul25'!AP332)</f>
        <v/>
      </c>
      <c r="AQ332" t="str">
        <f>IF('1. Live'!AQ332='check-Jul25'!AQ332,"",'1. Live'!AQ332-'check-Jul25'!AQ332)</f>
        <v/>
      </c>
      <c r="AR332" t="str">
        <f>IF('1. Live'!AR332='check-Jul25'!AR332,"",'1. Live'!AR332-'check-Jul25'!AR332)</f>
        <v/>
      </c>
      <c r="AS332" t="str">
        <f>IF('1. Live'!AS332='check-Jul25'!AS332,"",'1. Live'!AS332-'check-Jul25'!AS332)</f>
        <v/>
      </c>
      <c r="AT332" t="str">
        <f>IF('1. Live'!AT332='check-Jul25'!AT332,"",'1. Live'!AT332-'check-Jul25'!AT332)</f>
        <v/>
      </c>
      <c r="AU332" t="str">
        <f>IF('1. Live'!AU332='check-Jul25'!AU332,"",'1. Live'!AU332-'check-Jul25'!AU332)</f>
        <v/>
      </c>
      <c r="AV332" t="str">
        <f>IF('1. Live'!AV332='check-Jul25'!AV332,"",'1. Live'!AV332-'check-Jul25'!AV332)</f>
        <v/>
      </c>
      <c r="AW332" t="str">
        <f>IF('1. Live'!AW332='check-Jul25'!AW332,"",'1. Live'!AW332-'check-Jul25'!AW332)</f>
        <v/>
      </c>
      <c r="AX332" t="str">
        <f>IF('1. Live'!AX332='check-Jul25'!AX332,"",'1. Live'!AX332-'check-Jul25'!AX332)</f>
        <v/>
      </c>
      <c r="AY332" t="str">
        <f>IF('1. Live'!AY332='check-Jul25'!AY332,"",'1. Live'!AY332-'check-Jul25'!AY332)</f>
        <v/>
      </c>
      <c r="AZ332" t="str">
        <f>IF('1. Live'!AZ332='check-Jul25'!AZ332,"",'1. Live'!AZ332-'check-Jul25'!AZ332)</f>
        <v/>
      </c>
      <c r="BA332" t="str">
        <f>IF('1. Live'!BA332='check-Jul25'!BA332,"",'1. Live'!BA332-'check-Jul25'!BA332)</f>
        <v/>
      </c>
      <c r="BB332" t="str">
        <f>IF('1. Live'!BB332='check-Jul25'!BB332,"",'1. Live'!BB332-'check-Jul25'!BB332)</f>
        <v/>
      </c>
      <c r="BC332" t="str">
        <f>IF('1. Live'!BC332='check-Jul25'!BC332,"",'1. Live'!BC332-'check-Jul25'!BC332)</f>
        <v/>
      </c>
      <c r="BD332" t="str">
        <f>IF('1. Live'!BD332='check-Jul25'!BD332,"",'1. Live'!BD332-'check-Jul25'!BD332)</f>
        <v/>
      </c>
      <c r="BE332" t="str">
        <f>IF('1. Live'!BE332='check-Jul25'!BE332,"",'1. Live'!BE332-'check-Jul25'!BE332)</f>
        <v/>
      </c>
      <c r="BF332" t="str">
        <f>IF('1. Live'!BF332='check-Jul25'!BF332,"",'1. Live'!BF332-'check-Jul25'!BF332)</f>
        <v/>
      </c>
      <c r="BG332" t="str">
        <f>IF('1. Live'!BG332='check-Jul25'!BG332,"",'1. Live'!BG332-'check-Jul25'!BG332)</f>
        <v/>
      </c>
      <c r="BH332" t="str">
        <f>IF('1. Live'!BH332='check-Jul25'!BH332,"",'1. Live'!BH332-'check-Jul25'!BH332)</f>
        <v/>
      </c>
      <c r="BI332" t="str">
        <f>IF('1. Live'!BI332='check-Jul25'!BI332,"",'1. Live'!BI332-'check-Jul25'!BI332)</f>
        <v/>
      </c>
      <c r="BJ332" t="str">
        <f>IF('1. Live'!BJ332='check-Jul25'!BJ332,"",'1. Live'!BJ332-'check-Jul25'!BJ332)</f>
        <v/>
      </c>
      <c r="BK332" t="str">
        <f>IF('1. Live'!BK332='check-Jul25'!BK332,"",'1. Live'!BK332-'check-Jul25'!BK332)</f>
        <v/>
      </c>
      <c r="BL332" t="str">
        <f>IF('1. Live'!BL332='check-Jul25'!BL332,"",'1. Live'!BL332-'check-Jul25'!BL332)</f>
        <v/>
      </c>
      <c r="BM332" t="str">
        <f>IF('1. Live'!BM332='check-Jul25'!BM332,"",'1. Live'!BM332-'check-Jul25'!BM332)</f>
        <v/>
      </c>
      <c r="BN332" t="str">
        <f>IF('1. Live'!BN332='check-Jul25'!BN332,"",'1. Live'!BN332-'check-Jul25'!BN332)</f>
        <v/>
      </c>
      <c r="BO332" t="str">
        <f>IF('1. Live'!BO332='check-Jul25'!BO332,"",'1. Live'!BO332-'check-Jul25'!BO332)</f>
        <v/>
      </c>
      <c r="BP332" t="str">
        <f>IF('1. Live'!BP332='check-Jul25'!BP332,"",'1. Live'!BP332-'check-Jul25'!BP332)</f>
        <v/>
      </c>
      <c r="BQ332" t="str">
        <f>IF('1. Live'!BQ332='check-Jul25'!BQ332,"",'1. Live'!BQ332-'check-Jul25'!BQ332)</f>
        <v/>
      </c>
      <c r="BR332" t="str">
        <f>IF('1. Live'!BR332='check-Jul25'!BR332,"",'1. Live'!BR332-'check-Jul25'!BR332)</f>
        <v/>
      </c>
      <c r="BS332" t="str">
        <f>IF('1. Live'!BS332='check-Jul25'!BS332,"",'1. Live'!BS332-'check-Jul25'!BS332)</f>
        <v/>
      </c>
      <c r="BT332" t="str">
        <f>IF('1. Live'!BT332='check-Jul25'!BT332,"",'1. Live'!BT332-'check-Jul25'!BT332)</f>
        <v/>
      </c>
      <c r="BU332" t="str">
        <f>IF('1. Live'!BU332='check-Jul25'!BU332,"",'1. Live'!BU332-'check-Jul25'!BU332)</f>
        <v/>
      </c>
      <c r="BV332" t="str">
        <f>IF('1. Live'!BV332='check-Jul25'!BV332,"",'1. Live'!BV332-'check-Jul25'!BV332)</f>
        <v/>
      </c>
      <c r="BW332" t="str">
        <f>IF('1. Live'!BW332='check-Jul25'!BW332,"",'1. Live'!BW332-'check-Jul25'!BW332)</f>
        <v/>
      </c>
      <c r="BX332" t="str">
        <f>IF('1. Live'!BX332='check-Jul25'!BX332,"",'1. Live'!BX332-'check-Jul25'!BX332)</f>
        <v/>
      </c>
      <c r="BY332" t="str">
        <f>IF('1. Live'!BY332='check-Jul25'!BY332,"",'1. Live'!BY332-'check-Jul25'!BY332)</f>
        <v/>
      </c>
      <c r="BZ332" t="str">
        <f>IF('1. Live'!BZ332='check-Jul25'!BZ332,"",'1. Live'!BZ332-'check-Jul25'!BZ332)</f>
        <v/>
      </c>
      <c r="CA332" t="str">
        <f>IF('1. Live'!CA332='check-Jul25'!CA332,"",'1. Live'!CA332-'check-Jul25'!CA332)</f>
        <v/>
      </c>
      <c r="CB332" t="str">
        <f>IF('1. Live'!CB332='check-Jul25'!CB332,"",'1. Live'!CB332-'check-Jul25'!CB332)</f>
        <v/>
      </c>
      <c r="CC332" t="str">
        <f>IF('1. Live'!CC332='check-Jul25'!CC332,"",'1. Live'!CC332-'check-Jul25'!CC332)</f>
        <v/>
      </c>
      <c r="CD332" t="str">
        <f>IF('1. Live'!CD332='check-Jul25'!CD332,"",'1. Live'!CD332-'check-Jul25'!CD332)</f>
        <v/>
      </c>
      <c r="CE332" t="str">
        <f>IF('1. Live'!CE332='check-Jul25'!CE332,"",'1. Live'!CE332-'check-Jul25'!CE332)</f>
        <v/>
      </c>
      <c r="CF332" t="str">
        <f>IF('1. Live'!CF332='check-Jul25'!CF332,"",'1. Live'!CF332-'check-Jul25'!CF332)</f>
        <v/>
      </c>
      <c r="CG332" t="str">
        <f>IF('1. Live'!CG332='check-Jul25'!CG332,"",'1. Live'!CG332-'check-Jul25'!CG332)</f>
        <v/>
      </c>
      <c r="CH332" t="str">
        <f>IF('1. Live'!CH332='check-Jul25'!CH332,"",'1. Live'!CH332-'check-Jul25'!CH332)</f>
        <v/>
      </c>
      <c r="CI332" t="str">
        <f>IF('1. Live'!CI332='check-Jul25'!CI332,"",'1. Live'!CI332-'check-Jul25'!CI332)</f>
        <v/>
      </c>
      <c r="CJ332" t="str">
        <f>IF('1. Live'!CJ332='check-Jul25'!CJ332,"",'1. Live'!CJ332-'check-Jul25'!CJ332)</f>
        <v/>
      </c>
      <c r="CK332" t="str">
        <f>IF('1. Live'!CK332='check-Jul25'!CK332,"",'1. Live'!CK332-'check-Jul25'!CK332)</f>
        <v/>
      </c>
      <c r="CL332" t="str">
        <f>IF('1. Live'!CL332='check-Jul25'!CL332,"",'1. Live'!CL332-'check-Jul25'!CL332)</f>
        <v/>
      </c>
      <c r="CM332" t="str">
        <f>IF('1. Live'!CM332='check-Jul25'!CM332,"",'1. Live'!CM332-'check-Jul25'!CM332)</f>
        <v/>
      </c>
      <c r="CN332" t="str">
        <f>IF('1. Live'!CN332='check-Jul25'!CN332,"",'1. Live'!CN332-'check-Jul25'!CN332)</f>
        <v/>
      </c>
      <c r="CO332" t="str">
        <f>IF('1. Live'!CO332='check-Jul25'!CO332,"",'1. Live'!CO332-'check-Jul25'!CO332)</f>
        <v/>
      </c>
      <c r="CP332" t="str">
        <f>IF('1. Live'!CP332='check-Jul25'!CP332,"",'1. Live'!CP332-'check-Jul25'!CP332)</f>
        <v/>
      </c>
      <c r="CQ332" t="str">
        <f>IF('1. Live'!CQ332='check-Jul25'!CQ332,"",'1. Live'!CQ332-'check-Jul25'!CQ332)</f>
        <v/>
      </c>
      <c r="CR332" t="str">
        <f>IF('1. Live'!CR332='check-Jul25'!CR332,"",'1. Live'!CR332-'check-Jul25'!CR332)</f>
        <v/>
      </c>
      <c r="CS332" t="str">
        <f>IF('1. Live'!CS332='check-Jul25'!CS332,"",'1. Live'!CS332-'check-Jul25'!CS332)</f>
        <v/>
      </c>
      <c r="CT332" t="str">
        <f>IF('1. Live'!CT332='check-Jul25'!CT332,"",'1. Live'!CT332-'check-Jul25'!CT332)</f>
        <v/>
      </c>
      <c r="CU332" t="str">
        <f>IF('1. Live'!CU332='check-Jul25'!CU332,"",'1. Live'!CU332-'check-Jul25'!CU332)</f>
        <v/>
      </c>
      <c r="CV332" t="str">
        <f>IF('1. Live'!CV332='check-Jul25'!CV332,"",'1. Live'!CV332-'check-Jul25'!CV332)</f>
        <v/>
      </c>
      <c r="CW332" t="str">
        <f>IF('1. Live'!CW332='check-Jul25'!CW332,"",'1. Live'!CW332-'check-Jul25'!CW332)</f>
        <v/>
      </c>
    </row>
    <row r="333" spans="10:101">
      <c r="J333" t="str">
        <f>IF('1. Live'!J333='check-Jul25'!J333,"",'1. Live'!J333-'check-Jul25'!J333)</f>
        <v/>
      </c>
      <c r="K333" t="str">
        <f>IF('1. Live'!K333='check-Jul25'!K333,"",'1. Live'!K333-'check-Jul25'!K333)</f>
        <v/>
      </c>
      <c r="L333" t="str">
        <f>IF('1. Live'!L333='check-Jul25'!L333,"",'1. Live'!L333-'check-Jul25'!L333)</f>
        <v/>
      </c>
      <c r="M333" t="str">
        <f>IF('1. Live'!M333='check-Jul25'!M333,"",'1. Live'!M333-'check-Jul25'!M333)</f>
        <v/>
      </c>
      <c r="N333" t="str">
        <f>IF('1. Live'!N333='check-Jul25'!N333,"",'1. Live'!N333-'check-Jul25'!N333)</f>
        <v/>
      </c>
      <c r="O333" t="str">
        <f>IF('1. Live'!O333='check-Jul25'!O333,"",'1. Live'!O333-'check-Jul25'!O333)</f>
        <v/>
      </c>
      <c r="P333" t="str">
        <f>IF('1. Live'!P333='check-Jul25'!P333,"",'1. Live'!P333-'check-Jul25'!P333)</f>
        <v/>
      </c>
      <c r="Q333" t="str">
        <f>IF('1. Live'!Q333='check-Jul25'!Q333,"",'1. Live'!Q333-'check-Jul25'!Q333)</f>
        <v/>
      </c>
      <c r="R333" t="str">
        <f>IF('1. Live'!R333='check-Jul25'!R333,"",'1. Live'!R333-'check-Jul25'!R333)</f>
        <v/>
      </c>
      <c r="S333" t="str">
        <f>IF('1. Live'!S333='check-Jul25'!S333,"",'1. Live'!S333-'check-Jul25'!S333)</f>
        <v/>
      </c>
      <c r="T333" t="str">
        <f>IF('1. Live'!T333='check-Jul25'!T333,"",'1. Live'!T333-'check-Jul25'!T333)</f>
        <v/>
      </c>
      <c r="U333" t="str">
        <f>IF('1. Live'!U333='check-Jul25'!U333,"",'1. Live'!U333-'check-Jul25'!U333)</f>
        <v/>
      </c>
      <c r="V333" t="str">
        <f>IF('1. Live'!V333='check-Jul25'!V333,"",'1. Live'!V333-'check-Jul25'!V333)</f>
        <v/>
      </c>
      <c r="W333" t="str">
        <f>IF('1. Live'!W333='check-Jul25'!W333,"",'1. Live'!W333-'check-Jul25'!W333)</f>
        <v/>
      </c>
      <c r="X333" t="str">
        <f>IF('1. Live'!X333='check-Jul25'!X333,"",'1. Live'!X333-'check-Jul25'!X333)</f>
        <v/>
      </c>
      <c r="Y333" t="str">
        <f>IF('1. Live'!Y333='check-Jul25'!Y333,"",'1. Live'!Y333-'check-Jul25'!Y333)</f>
        <v/>
      </c>
      <c r="Z333" t="str">
        <f>IF('1. Live'!Z333='check-Jul25'!Z333,"",'1. Live'!Z333-'check-Jul25'!Z333)</f>
        <v/>
      </c>
      <c r="AA333" t="str">
        <f>IF('1. Live'!AA333='check-Jul25'!AA333,"",'1. Live'!AA333-'check-Jul25'!AA333)</f>
        <v/>
      </c>
      <c r="AB333" t="str">
        <f>IF('1. Live'!AB333='check-Jul25'!AB333,"",'1. Live'!AB333-'check-Jul25'!AB333)</f>
        <v/>
      </c>
      <c r="AC333" t="str">
        <f>IF('1. Live'!AC333='check-Jul25'!AC333,"",'1. Live'!AC333-'check-Jul25'!AC333)</f>
        <v/>
      </c>
      <c r="AD333" t="str">
        <f>IF('1. Live'!AD333='check-Jul25'!AD333,"",'1. Live'!AD333-'check-Jul25'!AD333)</f>
        <v/>
      </c>
      <c r="AE333" t="str">
        <f>IF('1. Live'!AE333='check-Jul25'!AE333,"",'1. Live'!AE333-'check-Jul25'!AE333)</f>
        <v/>
      </c>
      <c r="AF333" t="str">
        <f>IF('1. Live'!AF333='check-Jul25'!AF333,"",'1. Live'!AF333-'check-Jul25'!AF333)</f>
        <v/>
      </c>
      <c r="AG333" t="str">
        <f>IF('1. Live'!AG333='check-Jul25'!AG333,"",'1. Live'!AG333-'check-Jul25'!AG333)</f>
        <v/>
      </c>
      <c r="AH333" t="str">
        <f>IF('1. Live'!AH333='check-Jul25'!AH333,"",'1. Live'!AH333-'check-Jul25'!AH333)</f>
        <v/>
      </c>
      <c r="AI333" t="str">
        <f>IF('1. Live'!AI333='check-Jul25'!AI333,"",'1. Live'!AI333-'check-Jul25'!AI333)</f>
        <v/>
      </c>
      <c r="AJ333" t="str">
        <f>IF('1. Live'!AJ333='check-Jul25'!AJ333,"",'1. Live'!AJ333-'check-Jul25'!AJ333)</f>
        <v/>
      </c>
      <c r="AK333" t="str">
        <f>IF('1. Live'!AK333='check-Jul25'!AK333,"",'1. Live'!AK333-'check-Jul25'!AK333)</f>
        <v/>
      </c>
      <c r="AL333" t="str">
        <f>IF('1. Live'!AL333='check-Jul25'!AL333,"",'1. Live'!AL333-'check-Jul25'!AL333)</f>
        <v/>
      </c>
      <c r="AM333" t="str">
        <f>IF('1. Live'!AM333='check-Jul25'!AM333,"",'1. Live'!AM333-'check-Jul25'!AM333)</f>
        <v/>
      </c>
      <c r="AN333" t="str">
        <f>IF('1. Live'!AN333='check-Jul25'!AN333,"",'1. Live'!AN333-'check-Jul25'!AN333)</f>
        <v/>
      </c>
      <c r="AO333" t="str">
        <f>IF('1. Live'!AO333='check-Jul25'!AO333,"",'1. Live'!AO333-'check-Jul25'!AO333)</f>
        <v/>
      </c>
      <c r="AP333" t="str">
        <f>IF('1. Live'!AP333='check-Jul25'!AP333,"",'1. Live'!AP333-'check-Jul25'!AP333)</f>
        <v/>
      </c>
      <c r="AQ333" t="str">
        <f>IF('1. Live'!AQ333='check-Jul25'!AQ333,"",'1. Live'!AQ333-'check-Jul25'!AQ333)</f>
        <v/>
      </c>
      <c r="AR333" t="str">
        <f>IF('1. Live'!AR333='check-Jul25'!AR333,"",'1. Live'!AR333-'check-Jul25'!AR333)</f>
        <v/>
      </c>
      <c r="AS333" t="str">
        <f>IF('1. Live'!AS333='check-Jul25'!AS333,"",'1. Live'!AS333-'check-Jul25'!AS333)</f>
        <v/>
      </c>
      <c r="AT333" t="str">
        <f>IF('1. Live'!AT333='check-Jul25'!AT333,"",'1. Live'!AT333-'check-Jul25'!AT333)</f>
        <v/>
      </c>
      <c r="AU333" t="str">
        <f>IF('1. Live'!AU333='check-Jul25'!AU333,"",'1. Live'!AU333-'check-Jul25'!AU333)</f>
        <v/>
      </c>
      <c r="AV333" t="str">
        <f>IF('1. Live'!AV333='check-Jul25'!AV333,"",'1. Live'!AV333-'check-Jul25'!AV333)</f>
        <v/>
      </c>
      <c r="AW333" t="str">
        <f>IF('1. Live'!AW333='check-Jul25'!AW333,"",'1. Live'!AW333-'check-Jul25'!AW333)</f>
        <v/>
      </c>
      <c r="AX333" t="str">
        <f>IF('1. Live'!AX333='check-Jul25'!AX333,"",'1. Live'!AX333-'check-Jul25'!AX333)</f>
        <v/>
      </c>
      <c r="AY333" t="str">
        <f>IF('1. Live'!AY333='check-Jul25'!AY333,"",'1. Live'!AY333-'check-Jul25'!AY333)</f>
        <v/>
      </c>
      <c r="AZ333" t="str">
        <f>IF('1. Live'!AZ333='check-Jul25'!AZ333,"",'1. Live'!AZ333-'check-Jul25'!AZ333)</f>
        <v/>
      </c>
      <c r="BA333" t="str">
        <f>IF('1. Live'!BA333='check-Jul25'!BA333,"",'1. Live'!BA333-'check-Jul25'!BA333)</f>
        <v/>
      </c>
      <c r="BB333" t="str">
        <f>IF('1. Live'!BB333='check-Jul25'!BB333,"",'1. Live'!BB333-'check-Jul25'!BB333)</f>
        <v/>
      </c>
      <c r="BC333" t="str">
        <f>IF('1. Live'!BC333='check-Jul25'!BC333,"",'1. Live'!BC333-'check-Jul25'!BC333)</f>
        <v/>
      </c>
      <c r="BD333" t="str">
        <f>IF('1. Live'!BD333='check-Jul25'!BD333,"",'1. Live'!BD333-'check-Jul25'!BD333)</f>
        <v/>
      </c>
      <c r="BE333" t="str">
        <f>IF('1. Live'!BE333='check-Jul25'!BE333,"",'1. Live'!BE333-'check-Jul25'!BE333)</f>
        <v/>
      </c>
      <c r="BF333" t="str">
        <f>IF('1. Live'!BF333='check-Jul25'!BF333,"",'1. Live'!BF333-'check-Jul25'!BF333)</f>
        <v/>
      </c>
      <c r="BG333" t="str">
        <f>IF('1. Live'!BG333='check-Jul25'!BG333,"",'1. Live'!BG333-'check-Jul25'!BG333)</f>
        <v/>
      </c>
      <c r="BH333" t="str">
        <f>IF('1. Live'!BH333='check-Jul25'!BH333,"",'1. Live'!BH333-'check-Jul25'!BH333)</f>
        <v/>
      </c>
      <c r="BI333" t="str">
        <f>IF('1. Live'!BI333='check-Jul25'!BI333,"",'1. Live'!BI333-'check-Jul25'!BI333)</f>
        <v/>
      </c>
      <c r="BJ333" t="str">
        <f>IF('1. Live'!BJ333='check-Jul25'!BJ333,"",'1. Live'!BJ333-'check-Jul25'!BJ333)</f>
        <v/>
      </c>
      <c r="BK333" t="str">
        <f>IF('1. Live'!BK333='check-Jul25'!BK333,"",'1. Live'!BK333-'check-Jul25'!BK333)</f>
        <v/>
      </c>
      <c r="BL333" t="str">
        <f>IF('1. Live'!BL333='check-Jul25'!BL333,"",'1. Live'!BL333-'check-Jul25'!BL333)</f>
        <v/>
      </c>
      <c r="BM333" t="str">
        <f>IF('1. Live'!BM333='check-Jul25'!BM333,"",'1. Live'!BM333-'check-Jul25'!BM333)</f>
        <v/>
      </c>
      <c r="BN333" t="str">
        <f>IF('1. Live'!BN333='check-Jul25'!BN333,"",'1. Live'!BN333-'check-Jul25'!BN333)</f>
        <v/>
      </c>
      <c r="BO333" t="str">
        <f>IF('1. Live'!BO333='check-Jul25'!BO333,"",'1. Live'!BO333-'check-Jul25'!BO333)</f>
        <v/>
      </c>
      <c r="BP333" t="str">
        <f>IF('1. Live'!BP333='check-Jul25'!BP333,"",'1. Live'!BP333-'check-Jul25'!BP333)</f>
        <v/>
      </c>
      <c r="BQ333" t="str">
        <f>IF('1. Live'!BQ333='check-Jul25'!BQ333,"",'1. Live'!BQ333-'check-Jul25'!BQ333)</f>
        <v/>
      </c>
      <c r="BR333" t="str">
        <f>IF('1. Live'!BR333='check-Jul25'!BR333,"",'1. Live'!BR333-'check-Jul25'!BR333)</f>
        <v/>
      </c>
      <c r="BS333" t="str">
        <f>IF('1. Live'!BS333='check-Jul25'!BS333,"",'1. Live'!BS333-'check-Jul25'!BS333)</f>
        <v/>
      </c>
      <c r="BT333" t="str">
        <f>IF('1. Live'!BT333='check-Jul25'!BT333,"",'1. Live'!BT333-'check-Jul25'!BT333)</f>
        <v/>
      </c>
      <c r="BU333" t="str">
        <f>IF('1. Live'!BU333='check-Jul25'!BU333,"",'1. Live'!BU333-'check-Jul25'!BU333)</f>
        <v/>
      </c>
      <c r="BV333" t="str">
        <f>IF('1. Live'!BV333='check-Jul25'!BV333,"",'1. Live'!BV333-'check-Jul25'!BV333)</f>
        <v/>
      </c>
      <c r="BW333" t="str">
        <f>IF('1. Live'!BW333='check-Jul25'!BW333,"",'1. Live'!BW333-'check-Jul25'!BW333)</f>
        <v/>
      </c>
      <c r="BX333" t="str">
        <f>IF('1. Live'!BX333='check-Jul25'!BX333,"",'1. Live'!BX333-'check-Jul25'!BX333)</f>
        <v/>
      </c>
      <c r="BY333" t="str">
        <f>IF('1. Live'!BY333='check-Jul25'!BY333,"",'1. Live'!BY333-'check-Jul25'!BY333)</f>
        <v/>
      </c>
      <c r="BZ333" t="str">
        <f>IF('1. Live'!BZ333='check-Jul25'!BZ333,"",'1. Live'!BZ333-'check-Jul25'!BZ333)</f>
        <v/>
      </c>
      <c r="CA333" t="str">
        <f>IF('1. Live'!CA333='check-Jul25'!CA333,"",'1. Live'!CA333-'check-Jul25'!CA333)</f>
        <v/>
      </c>
      <c r="CB333" t="str">
        <f>IF('1. Live'!CB333='check-Jul25'!CB333,"",'1. Live'!CB333-'check-Jul25'!CB333)</f>
        <v/>
      </c>
      <c r="CC333" t="str">
        <f>IF('1. Live'!CC333='check-Jul25'!CC333,"",'1. Live'!CC333-'check-Jul25'!CC333)</f>
        <v/>
      </c>
      <c r="CD333" t="str">
        <f>IF('1. Live'!CD333='check-Jul25'!CD333,"",'1. Live'!CD333-'check-Jul25'!CD333)</f>
        <v/>
      </c>
      <c r="CE333" t="str">
        <f>IF('1. Live'!CE333='check-Jul25'!CE333,"",'1. Live'!CE333-'check-Jul25'!CE333)</f>
        <v/>
      </c>
      <c r="CF333" t="str">
        <f>IF('1. Live'!CF333='check-Jul25'!CF333,"",'1. Live'!CF333-'check-Jul25'!CF333)</f>
        <v/>
      </c>
      <c r="CG333" t="str">
        <f>IF('1. Live'!CG333='check-Jul25'!CG333,"",'1. Live'!CG333-'check-Jul25'!CG333)</f>
        <v/>
      </c>
      <c r="CH333" t="str">
        <f>IF('1. Live'!CH333='check-Jul25'!CH333,"",'1. Live'!CH333-'check-Jul25'!CH333)</f>
        <v/>
      </c>
      <c r="CI333" t="str">
        <f>IF('1. Live'!CI333='check-Jul25'!CI333,"",'1. Live'!CI333-'check-Jul25'!CI333)</f>
        <v/>
      </c>
      <c r="CJ333" t="str">
        <f>IF('1. Live'!CJ333='check-Jul25'!CJ333,"",'1. Live'!CJ333-'check-Jul25'!CJ333)</f>
        <v/>
      </c>
      <c r="CK333" t="str">
        <f>IF('1. Live'!CK333='check-Jul25'!CK333,"",'1. Live'!CK333-'check-Jul25'!CK333)</f>
        <v/>
      </c>
      <c r="CL333" t="str">
        <f>IF('1. Live'!CL333='check-Jul25'!CL333,"",'1. Live'!CL333-'check-Jul25'!CL333)</f>
        <v/>
      </c>
      <c r="CM333" t="str">
        <f>IF('1. Live'!CM333='check-Jul25'!CM333,"",'1. Live'!CM333-'check-Jul25'!CM333)</f>
        <v/>
      </c>
      <c r="CN333" t="str">
        <f>IF('1. Live'!CN333='check-Jul25'!CN333,"",'1. Live'!CN333-'check-Jul25'!CN333)</f>
        <v/>
      </c>
      <c r="CO333" t="str">
        <f>IF('1. Live'!CO333='check-Jul25'!CO333,"",'1. Live'!CO333-'check-Jul25'!CO333)</f>
        <v/>
      </c>
      <c r="CP333" t="str">
        <f>IF('1. Live'!CP333='check-Jul25'!CP333,"",'1. Live'!CP333-'check-Jul25'!CP333)</f>
        <v/>
      </c>
      <c r="CQ333" t="str">
        <f>IF('1. Live'!CQ333='check-Jul25'!CQ333,"",'1. Live'!CQ333-'check-Jul25'!CQ333)</f>
        <v/>
      </c>
      <c r="CR333" t="str">
        <f>IF('1. Live'!CR333='check-Jul25'!CR333,"",'1. Live'!CR333-'check-Jul25'!CR333)</f>
        <v/>
      </c>
      <c r="CS333" t="str">
        <f>IF('1. Live'!CS333='check-Jul25'!CS333,"",'1. Live'!CS333-'check-Jul25'!CS333)</f>
        <v/>
      </c>
      <c r="CT333" t="str">
        <f>IF('1. Live'!CT333='check-Jul25'!CT333,"",'1. Live'!CT333-'check-Jul25'!CT333)</f>
        <v/>
      </c>
      <c r="CU333" t="str">
        <f>IF('1. Live'!CU333='check-Jul25'!CU333,"",'1. Live'!CU333-'check-Jul25'!CU333)</f>
        <v/>
      </c>
      <c r="CV333" t="str">
        <f>IF('1. Live'!CV333='check-Jul25'!CV333,"",'1. Live'!CV333-'check-Jul25'!CV333)</f>
        <v/>
      </c>
      <c r="CW333" t="str">
        <f>IF('1. Live'!CW333='check-Jul25'!CW333,"",'1. Live'!CW333-'check-Jul25'!CW333)</f>
        <v/>
      </c>
    </row>
    <row r="334" spans="10:101">
      <c r="J334" t="str">
        <f>IF('1. Live'!J334='check-Jul25'!J334,"",'1. Live'!J334-'check-Jul25'!J334)</f>
        <v/>
      </c>
      <c r="K334" t="str">
        <f>IF('1. Live'!K334='check-Jul25'!K334,"",'1. Live'!K334-'check-Jul25'!K334)</f>
        <v/>
      </c>
      <c r="L334" t="str">
        <f>IF('1. Live'!L334='check-Jul25'!L334,"",'1. Live'!L334-'check-Jul25'!L334)</f>
        <v/>
      </c>
      <c r="M334" t="str">
        <f>IF('1. Live'!M334='check-Jul25'!M334,"",'1. Live'!M334-'check-Jul25'!M334)</f>
        <v/>
      </c>
      <c r="N334" t="str">
        <f>IF('1. Live'!N334='check-Jul25'!N334,"",'1. Live'!N334-'check-Jul25'!N334)</f>
        <v/>
      </c>
      <c r="O334" t="str">
        <f>IF('1. Live'!O334='check-Jul25'!O334,"",'1. Live'!O334-'check-Jul25'!O334)</f>
        <v/>
      </c>
      <c r="P334" t="str">
        <f>IF('1. Live'!P334='check-Jul25'!P334,"",'1. Live'!P334-'check-Jul25'!P334)</f>
        <v/>
      </c>
      <c r="Q334" t="str">
        <f>IF('1. Live'!Q334='check-Jul25'!Q334,"",'1. Live'!Q334-'check-Jul25'!Q334)</f>
        <v/>
      </c>
      <c r="R334" t="str">
        <f>IF('1. Live'!R334='check-Jul25'!R334,"",'1. Live'!R334-'check-Jul25'!R334)</f>
        <v/>
      </c>
      <c r="S334" t="str">
        <f>IF('1. Live'!S334='check-Jul25'!S334,"",'1. Live'!S334-'check-Jul25'!S334)</f>
        <v/>
      </c>
      <c r="T334" t="str">
        <f>IF('1. Live'!T334='check-Jul25'!T334,"",'1. Live'!T334-'check-Jul25'!T334)</f>
        <v/>
      </c>
      <c r="U334" t="str">
        <f>IF('1. Live'!U334='check-Jul25'!U334,"",'1. Live'!U334-'check-Jul25'!U334)</f>
        <v/>
      </c>
      <c r="V334" t="str">
        <f>IF('1. Live'!V334='check-Jul25'!V334,"",'1. Live'!V334-'check-Jul25'!V334)</f>
        <v/>
      </c>
      <c r="W334" t="str">
        <f>IF('1. Live'!W334='check-Jul25'!W334,"",'1. Live'!W334-'check-Jul25'!W334)</f>
        <v/>
      </c>
      <c r="X334" t="str">
        <f>IF('1. Live'!X334='check-Jul25'!X334,"",'1. Live'!X334-'check-Jul25'!X334)</f>
        <v/>
      </c>
      <c r="Y334" t="str">
        <f>IF('1. Live'!Y334='check-Jul25'!Y334,"",'1. Live'!Y334-'check-Jul25'!Y334)</f>
        <v/>
      </c>
      <c r="Z334" t="str">
        <f>IF('1. Live'!Z334='check-Jul25'!Z334,"",'1. Live'!Z334-'check-Jul25'!Z334)</f>
        <v/>
      </c>
      <c r="AA334" t="str">
        <f>IF('1. Live'!AA334='check-Jul25'!AA334,"",'1. Live'!AA334-'check-Jul25'!AA334)</f>
        <v/>
      </c>
      <c r="AB334" t="str">
        <f>IF('1. Live'!AB334='check-Jul25'!AB334,"",'1. Live'!AB334-'check-Jul25'!AB334)</f>
        <v/>
      </c>
      <c r="AC334" t="str">
        <f>IF('1. Live'!AC334='check-Jul25'!AC334,"",'1. Live'!AC334-'check-Jul25'!AC334)</f>
        <v/>
      </c>
      <c r="AD334" t="str">
        <f>IF('1. Live'!AD334='check-Jul25'!AD334,"",'1. Live'!AD334-'check-Jul25'!AD334)</f>
        <v/>
      </c>
      <c r="AE334" t="str">
        <f>IF('1. Live'!AE334='check-Jul25'!AE334,"",'1. Live'!AE334-'check-Jul25'!AE334)</f>
        <v/>
      </c>
      <c r="AF334" t="str">
        <f>IF('1. Live'!AF334='check-Jul25'!AF334,"",'1. Live'!AF334-'check-Jul25'!AF334)</f>
        <v/>
      </c>
      <c r="AG334" t="str">
        <f>IF('1. Live'!AG334='check-Jul25'!AG334,"",'1. Live'!AG334-'check-Jul25'!AG334)</f>
        <v/>
      </c>
      <c r="AH334" t="str">
        <f>IF('1. Live'!AH334='check-Jul25'!AH334,"",'1. Live'!AH334-'check-Jul25'!AH334)</f>
        <v/>
      </c>
      <c r="AI334" t="str">
        <f>IF('1. Live'!AI334='check-Jul25'!AI334,"",'1. Live'!AI334-'check-Jul25'!AI334)</f>
        <v/>
      </c>
      <c r="AJ334" t="str">
        <f>IF('1. Live'!AJ334='check-Jul25'!AJ334,"",'1. Live'!AJ334-'check-Jul25'!AJ334)</f>
        <v/>
      </c>
      <c r="AK334" t="str">
        <f>IF('1. Live'!AK334='check-Jul25'!AK334,"",'1. Live'!AK334-'check-Jul25'!AK334)</f>
        <v/>
      </c>
      <c r="AL334" t="str">
        <f>IF('1. Live'!AL334='check-Jul25'!AL334,"",'1. Live'!AL334-'check-Jul25'!AL334)</f>
        <v/>
      </c>
      <c r="AM334" t="str">
        <f>IF('1. Live'!AM334='check-Jul25'!AM334,"",'1. Live'!AM334-'check-Jul25'!AM334)</f>
        <v/>
      </c>
      <c r="AN334" t="str">
        <f>IF('1. Live'!AN334='check-Jul25'!AN334,"",'1. Live'!AN334-'check-Jul25'!AN334)</f>
        <v/>
      </c>
      <c r="AO334" t="str">
        <f>IF('1. Live'!AO334='check-Jul25'!AO334,"",'1. Live'!AO334-'check-Jul25'!AO334)</f>
        <v/>
      </c>
      <c r="AP334" t="str">
        <f>IF('1. Live'!AP334='check-Jul25'!AP334,"",'1. Live'!AP334-'check-Jul25'!AP334)</f>
        <v/>
      </c>
      <c r="AQ334" t="str">
        <f>IF('1. Live'!AQ334='check-Jul25'!AQ334,"",'1. Live'!AQ334-'check-Jul25'!AQ334)</f>
        <v/>
      </c>
      <c r="AR334" t="str">
        <f>IF('1. Live'!AR334='check-Jul25'!AR334,"",'1. Live'!AR334-'check-Jul25'!AR334)</f>
        <v/>
      </c>
      <c r="AS334" t="str">
        <f>IF('1. Live'!AS334='check-Jul25'!AS334,"",'1. Live'!AS334-'check-Jul25'!AS334)</f>
        <v/>
      </c>
      <c r="AT334" t="str">
        <f>IF('1. Live'!AT334='check-Jul25'!AT334,"",'1. Live'!AT334-'check-Jul25'!AT334)</f>
        <v/>
      </c>
      <c r="AU334" t="str">
        <f>IF('1. Live'!AU334='check-Jul25'!AU334,"",'1. Live'!AU334-'check-Jul25'!AU334)</f>
        <v/>
      </c>
      <c r="AV334" t="str">
        <f>IF('1. Live'!AV334='check-Jul25'!AV334,"",'1. Live'!AV334-'check-Jul25'!AV334)</f>
        <v/>
      </c>
      <c r="AW334" t="str">
        <f>IF('1. Live'!AW334='check-Jul25'!AW334,"",'1. Live'!AW334-'check-Jul25'!AW334)</f>
        <v/>
      </c>
      <c r="AX334" t="str">
        <f>IF('1. Live'!AX334='check-Jul25'!AX334,"",'1. Live'!AX334-'check-Jul25'!AX334)</f>
        <v/>
      </c>
      <c r="AY334" t="str">
        <f>IF('1. Live'!AY334='check-Jul25'!AY334,"",'1. Live'!AY334-'check-Jul25'!AY334)</f>
        <v/>
      </c>
      <c r="AZ334" t="str">
        <f>IF('1. Live'!AZ334='check-Jul25'!AZ334,"",'1. Live'!AZ334-'check-Jul25'!AZ334)</f>
        <v/>
      </c>
      <c r="BA334" t="str">
        <f>IF('1. Live'!BA334='check-Jul25'!BA334,"",'1. Live'!BA334-'check-Jul25'!BA334)</f>
        <v/>
      </c>
      <c r="BB334" t="str">
        <f>IF('1. Live'!BB334='check-Jul25'!BB334,"",'1. Live'!BB334-'check-Jul25'!BB334)</f>
        <v/>
      </c>
      <c r="BC334" t="str">
        <f>IF('1. Live'!BC334='check-Jul25'!BC334,"",'1. Live'!BC334-'check-Jul25'!BC334)</f>
        <v/>
      </c>
      <c r="BD334" t="str">
        <f>IF('1. Live'!BD334='check-Jul25'!BD334,"",'1. Live'!BD334-'check-Jul25'!BD334)</f>
        <v/>
      </c>
      <c r="BE334" t="str">
        <f>IF('1. Live'!BE334='check-Jul25'!BE334,"",'1. Live'!BE334-'check-Jul25'!BE334)</f>
        <v/>
      </c>
      <c r="BF334" t="str">
        <f>IF('1. Live'!BF334='check-Jul25'!BF334,"",'1. Live'!BF334-'check-Jul25'!BF334)</f>
        <v/>
      </c>
      <c r="BG334" t="str">
        <f>IF('1. Live'!BG334='check-Jul25'!BG334,"",'1. Live'!BG334-'check-Jul25'!BG334)</f>
        <v/>
      </c>
      <c r="BH334" t="str">
        <f>IF('1. Live'!BH334='check-Jul25'!BH334,"",'1. Live'!BH334-'check-Jul25'!BH334)</f>
        <v/>
      </c>
      <c r="BI334" t="str">
        <f>IF('1. Live'!BI334='check-Jul25'!BI334,"",'1. Live'!BI334-'check-Jul25'!BI334)</f>
        <v/>
      </c>
      <c r="BJ334" t="str">
        <f>IF('1. Live'!BJ334='check-Jul25'!BJ334,"",'1. Live'!BJ334-'check-Jul25'!BJ334)</f>
        <v/>
      </c>
      <c r="BK334" t="str">
        <f>IF('1. Live'!BK334='check-Jul25'!BK334,"",'1. Live'!BK334-'check-Jul25'!BK334)</f>
        <v/>
      </c>
      <c r="BL334" t="str">
        <f>IF('1. Live'!BL334='check-Jul25'!BL334,"",'1. Live'!BL334-'check-Jul25'!BL334)</f>
        <v/>
      </c>
      <c r="BM334" t="str">
        <f>IF('1. Live'!BM334='check-Jul25'!BM334,"",'1. Live'!BM334-'check-Jul25'!BM334)</f>
        <v/>
      </c>
      <c r="BN334" t="str">
        <f>IF('1. Live'!BN334='check-Jul25'!BN334,"",'1. Live'!BN334-'check-Jul25'!BN334)</f>
        <v/>
      </c>
      <c r="BO334" t="str">
        <f>IF('1. Live'!BO334='check-Jul25'!BO334,"",'1. Live'!BO334-'check-Jul25'!BO334)</f>
        <v/>
      </c>
      <c r="BP334" t="str">
        <f>IF('1. Live'!BP334='check-Jul25'!BP334,"",'1. Live'!BP334-'check-Jul25'!BP334)</f>
        <v/>
      </c>
      <c r="BQ334" t="str">
        <f>IF('1. Live'!BQ334='check-Jul25'!BQ334,"",'1. Live'!BQ334-'check-Jul25'!BQ334)</f>
        <v/>
      </c>
      <c r="BR334" t="str">
        <f>IF('1. Live'!BR334='check-Jul25'!BR334,"",'1. Live'!BR334-'check-Jul25'!BR334)</f>
        <v/>
      </c>
      <c r="BS334" t="str">
        <f>IF('1. Live'!BS334='check-Jul25'!BS334,"",'1. Live'!BS334-'check-Jul25'!BS334)</f>
        <v/>
      </c>
      <c r="BT334" t="str">
        <f>IF('1. Live'!BT334='check-Jul25'!BT334,"",'1. Live'!BT334-'check-Jul25'!BT334)</f>
        <v/>
      </c>
      <c r="BU334" t="str">
        <f>IF('1. Live'!BU334='check-Jul25'!BU334,"",'1. Live'!BU334-'check-Jul25'!BU334)</f>
        <v/>
      </c>
      <c r="BV334" t="str">
        <f>IF('1. Live'!BV334='check-Jul25'!BV334,"",'1. Live'!BV334-'check-Jul25'!BV334)</f>
        <v/>
      </c>
      <c r="BW334" t="str">
        <f>IF('1. Live'!BW334='check-Jul25'!BW334,"",'1. Live'!BW334-'check-Jul25'!BW334)</f>
        <v/>
      </c>
      <c r="BX334" t="str">
        <f>IF('1. Live'!BX334='check-Jul25'!BX334,"",'1. Live'!BX334-'check-Jul25'!BX334)</f>
        <v/>
      </c>
      <c r="BY334" t="str">
        <f>IF('1. Live'!BY334='check-Jul25'!BY334,"",'1. Live'!BY334-'check-Jul25'!BY334)</f>
        <v/>
      </c>
      <c r="BZ334" t="str">
        <f>IF('1. Live'!BZ334='check-Jul25'!BZ334,"",'1. Live'!BZ334-'check-Jul25'!BZ334)</f>
        <v/>
      </c>
      <c r="CA334" t="str">
        <f>IF('1. Live'!CA334='check-Jul25'!CA334,"",'1. Live'!CA334-'check-Jul25'!CA334)</f>
        <v/>
      </c>
      <c r="CB334" t="str">
        <f>IF('1. Live'!CB334='check-Jul25'!CB334,"",'1. Live'!CB334-'check-Jul25'!CB334)</f>
        <v/>
      </c>
      <c r="CC334" t="str">
        <f>IF('1. Live'!CC334='check-Jul25'!CC334,"",'1. Live'!CC334-'check-Jul25'!CC334)</f>
        <v/>
      </c>
      <c r="CD334" t="str">
        <f>IF('1. Live'!CD334='check-Jul25'!CD334,"",'1. Live'!CD334-'check-Jul25'!CD334)</f>
        <v/>
      </c>
      <c r="CE334" t="str">
        <f>IF('1. Live'!CE334='check-Jul25'!CE334,"",'1. Live'!CE334-'check-Jul25'!CE334)</f>
        <v/>
      </c>
      <c r="CF334" t="str">
        <f>IF('1. Live'!CF334='check-Jul25'!CF334,"",'1. Live'!CF334-'check-Jul25'!CF334)</f>
        <v/>
      </c>
      <c r="CG334" t="str">
        <f>IF('1. Live'!CG334='check-Jul25'!CG334,"",'1. Live'!CG334-'check-Jul25'!CG334)</f>
        <v/>
      </c>
      <c r="CH334" t="str">
        <f>IF('1. Live'!CH334='check-Jul25'!CH334,"",'1. Live'!CH334-'check-Jul25'!CH334)</f>
        <v/>
      </c>
      <c r="CI334" t="str">
        <f>IF('1. Live'!CI334='check-Jul25'!CI334,"",'1. Live'!CI334-'check-Jul25'!CI334)</f>
        <v/>
      </c>
      <c r="CJ334" t="str">
        <f>IF('1. Live'!CJ334='check-Jul25'!CJ334,"",'1. Live'!CJ334-'check-Jul25'!CJ334)</f>
        <v/>
      </c>
      <c r="CK334" t="str">
        <f>IF('1. Live'!CK334='check-Jul25'!CK334,"",'1. Live'!CK334-'check-Jul25'!CK334)</f>
        <v/>
      </c>
      <c r="CL334" t="str">
        <f>IF('1. Live'!CL334='check-Jul25'!CL334,"",'1. Live'!CL334-'check-Jul25'!CL334)</f>
        <v/>
      </c>
      <c r="CM334" t="str">
        <f>IF('1. Live'!CM334='check-Jul25'!CM334,"",'1. Live'!CM334-'check-Jul25'!CM334)</f>
        <v/>
      </c>
      <c r="CN334" t="str">
        <f>IF('1. Live'!CN334='check-Jul25'!CN334,"",'1. Live'!CN334-'check-Jul25'!CN334)</f>
        <v/>
      </c>
      <c r="CO334" t="str">
        <f>IF('1. Live'!CO334='check-Jul25'!CO334,"",'1. Live'!CO334-'check-Jul25'!CO334)</f>
        <v/>
      </c>
      <c r="CP334" t="str">
        <f>IF('1. Live'!CP334='check-Jul25'!CP334,"",'1. Live'!CP334-'check-Jul25'!CP334)</f>
        <v/>
      </c>
      <c r="CQ334" t="str">
        <f>IF('1. Live'!CQ334='check-Jul25'!CQ334,"",'1. Live'!CQ334-'check-Jul25'!CQ334)</f>
        <v/>
      </c>
      <c r="CR334" t="str">
        <f>IF('1. Live'!CR334='check-Jul25'!CR334,"",'1. Live'!CR334-'check-Jul25'!CR334)</f>
        <v/>
      </c>
      <c r="CS334" t="str">
        <f>IF('1. Live'!CS334='check-Jul25'!CS334,"",'1. Live'!CS334-'check-Jul25'!CS334)</f>
        <v/>
      </c>
      <c r="CT334" t="str">
        <f>IF('1. Live'!CT334='check-Jul25'!CT334,"",'1. Live'!CT334-'check-Jul25'!CT334)</f>
        <v/>
      </c>
      <c r="CU334" t="str">
        <f>IF('1. Live'!CU334='check-Jul25'!CU334,"",'1. Live'!CU334-'check-Jul25'!CU334)</f>
        <v/>
      </c>
      <c r="CV334" t="str">
        <f>IF('1. Live'!CV334='check-Jul25'!CV334,"",'1. Live'!CV334-'check-Jul25'!CV334)</f>
        <v/>
      </c>
      <c r="CW334" t="str">
        <f>IF('1. Live'!CW334='check-Jul25'!CW334,"",'1. Live'!CW334-'check-Jul25'!CW334)</f>
        <v/>
      </c>
    </row>
    <row r="335" spans="10:101">
      <c r="J335" t="str">
        <f>IF('1. Live'!J335='check-Jul25'!J335,"",'1. Live'!J335-'check-Jul25'!J335)</f>
        <v/>
      </c>
      <c r="K335" t="str">
        <f>IF('1. Live'!K335='check-Jul25'!K335,"",'1. Live'!K335-'check-Jul25'!K335)</f>
        <v/>
      </c>
      <c r="L335" t="str">
        <f>IF('1. Live'!L335='check-Jul25'!L335,"",'1. Live'!L335-'check-Jul25'!L335)</f>
        <v/>
      </c>
      <c r="M335" t="str">
        <f>IF('1. Live'!M335='check-Jul25'!M335,"",'1. Live'!M335-'check-Jul25'!M335)</f>
        <v/>
      </c>
      <c r="N335" t="str">
        <f>IF('1. Live'!N335='check-Jul25'!N335,"",'1. Live'!N335-'check-Jul25'!N335)</f>
        <v/>
      </c>
      <c r="O335" t="str">
        <f>IF('1. Live'!O335='check-Jul25'!O335,"",'1. Live'!O335-'check-Jul25'!O335)</f>
        <v/>
      </c>
      <c r="P335" t="str">
        <f>IF('1. Live'!P335='check-Jul25'!P335,"",'1. Live'!P335-'check-Jul25'!P335)</f>
        <v/>
      </c>
      <c r="Q335" t="str">
        <f>IF('1. Live'!Q335='check-Jul25'!Q335,"",'1. Live'!Q335-'check-Jul25'!Q335)</f>
        <v/>
      </c>
      <c r="R335" t="str">
        <f>IF('1. Live'!R335='check-Jul25'!R335,"",'1. Live'!R335-'check-Jul25'!R335)</f>
        <v/>
      </c>
      <c r="S335" t="str">
        <f>IF('1. Live'!S335='check-Jul25'!S335,"",'1. Live'!S335-'check-Jul25'!S335)</f>
        <v/>
      </c>
      <c r="T335" t="str">
        <f>IF('1. Live'!T335='check-Jul25'!T335,"",'1. Live'!T335-'check-Jul25'!T335)</f>
        <v/>
      </c>
      <c r="U335" t="str">
        <f>IF('1. Live'!U335='check-Jul25'!U335,"",'1. Live'!U335-'check-Jul25'!U335)</f>
        <v/>
      </c>
      <c r="V335" t="str">
        <f>IF('1. Live'!V335='check-Jul25'!V335,"",'1. Live'!V335-'check-Jul25'!V335)</f>
        <v/>
      </c>
      <c r="W335" t="str">
        <f>IF('1. Live'!W335='check-Jul25'!W335,"",'1. Live'!W335-'check-Jul25'!W335)</f>
        <v/>
      </c>
      <c r="X335" t="str">
        <f>IF('1. Live'!X335='check-Jul25'!X335,"",'1. Live'!X335-'check-Jul25'!X335)</f>
        <v/>
      </c>
      <c r="Y335" t="str">
        <f>IF('1. Live'!Y335='check-Jul25'!Y335,"",'1. Live'!Y335-'check-Jul25'!Y335)</f>
        <v/>
      </c>
      <c r="Z335" t="str">
        <f>IF('1. Live'!Z335='check-Jul25'!Z335,"",'1. Live'!Z335-'check-Jul25'!Z335)</f>
        <v/>
      </c>
      <c r="AA335" t="str">
        <f>IF('1. Live'!AA335='check-Jul25'!AA335,"",'1. Live'!AA335-'check-Jul25'!AA335)</f>
        <v/>
      </c>
      <c r="AB335" t="str">
        <f>IF('1. Live'!AB335='check-Jul25'!AB335,"",'1. Live'!AB335-'check-Jul25'!AB335)</f>
        <v/>
      </c>
      <c r="AC335" t="str">
        <f>IF('1. Live'!AC335='check-Jul25'!AC335,"",'1. Live'!AC335-'check-Jul25'!AC335)</f>
        <v/>
      </c>
      <c r="AD335" t="str">
        <f>IF('1. Live'!AD335='check-Jul25'!AD335,"",'1. Live'!AD335-'check-Jul25'!AD335)</f>
        <v/>
      </c>
      <c r="AE335" t="str">
        <f>IF('1. Live'!AE335='check-Jul25'!AE335,"",'1. Live'!AE335-'check-Jul25'!AE335)</f>
        <v/>
      </c>
      <c r="AF335" t="str">
        <f>IF('1. Live'!AF335='check-Jul25'!AF335,"",'1. Live'!AF335-'check-Jul25'!AF335)</f>
        <v/>
      </c>
      <c r="AG335" t="str">
        <f>IF('1. Live'!AG335='check-Jul25'!AG335,"",'1. Live'!AG335-'check-Jul25'!AG335)</f>
        <v/>
      </c>
      <c r="AH335" t="str">
        <f>IF('1. Live'!AH335='check-Jul25'!AH335,"",'1. Live'!AH335-'check-Jul25'!AH335)</f>
        <v/>
      </c>
      <c r="AI335" t="str">
        <f>IF('1. Live'!AI335='check-Jul25'!AI335,"",'1. Live'!AI335-'check-Jul25'!AI335)</f>
        <v/>
      </c>
      <c r="AJ335" t="str">
        <f>IF('1. Live'!AJ335='check-Jul25'!AJ335,"",'1. Live'!AJ335-'check-Jul25'!AJ335)</f>
        <v/>
      </c>
      <c r="AK335" t="str">
        <f>IF('1. Live'!AK335='check-Jul25'!AK335,"",'1. Live'!AK335-'check-Jul25'!AK335)</f>
        <v/>
      </c>
      <c r="AL335" t="str">
        <f>IF('1. Live'!AL335='check-Jul25'!AL335,"",'1. Live'!AL335-'check-Jul25'!AL335)</f>
        <v/>
      </c>
      <c r="AM335" t="str">
        <f>IF('1. Live'!AM335='check-Jul25'!AM335,"",'1. Live'!AM335-'check-Jul25'!AM335)</f>
        <v/>
      </c>
      <c r="AN335" t="str">
        <f>IF('1. Live'!AN335='check-Jul25'!AN335,"",'1. Live'!AN335-'check-Jul25'!AN335)</f>
        <v/>
      </c>
      <c r="AO335" t="str">
        <f>IF('1. Live'!AO335='check-Jul25'!AO335,"",'1. Live'!AO335-'check-Jul25'!AO335)</f>
        <v/>
      </c>
      <c r="AP335" t="str">
        <f>IF('1. Live'!AP335='check-Jul25'!AP335,"",'1. Live'!AP335-'check-Jul25'!AP335)</f>
        <v/>
      </c>
      <c r="AQ335" t="str">
        <f>IF('1. Live'!AQ335='check-Jul25'!AQ335,"",'1. Live'!AQ335-'check-Jul25'!AQ335)</f>
        <v/>
      </c>
      <c r="AR335" t="str">
        <f>IF('1. Live'!AR335='check-Jul25'!AR335,"",'1. Live'!AR335-'check-Jul25'!AR335)</f>
        <v/>
      </c>
      <c r="AS335" t="str">
        <f>IF('1. Live'!AS335='check-Jul25'!AS335,"",'1. Live'!AS335-'check-Jul25'!AS335)</f>
        <v/>
      </c>
      <c r="AT335" t="str">
        <f>IF('1. Live'!AT335='check-Jul25'!AT335,"",'1. Live'!AT335-'check-Jul25'!AT335)</f>
        <v/>
      </c>
      <c r="AU335" t="str">
        <f>IF('1. Live'!AU335='check-Jul25'!AU335,"",'1. Live'!AU335-'check-Jul25'!AU335)</f>
        <v/>
      </c>
      <c r="AV335" t="str">
        <f>IF('1. Live'!AV335='check-Jul25'!AV335,"",'1. Live'!AV335-'check-Jul25'!AV335)</f>
        <v/>
      </c>
      <c r="AW335" t="str">
        <f>IF('1. Live'!AW335='check-Jul25'!AW335,"",'1. Live'!AW335-'check-Jul25'!AW335)</f>
        <v/>
      </c>
      <c r="AX335" t="str">
        <f>IF('1. Live'!AX335='check-Jul25'!AX335,"",'1. Live'!AX335-'check-Jul25'!AX335)</f>
        <v/>
      </c>
      <c r="AY335" t="str">
        <f>IF('1. Live'!AY335='check-Jul25'!AY335,"",'1. Live'!AY335-'check-Jul25'!AY335)</f>
        <v/>
      </c>
      <c r="AZ335" t="str">
        <f>IF('1. Live'!AZ335='check-Jul25'!AZ335,"",'1. Live'!AZ335-'check-Jul25'!AZ335)</f>
        <v/>
      </c>
      <c r="BA335" t="str">
        <f>IF('1. Live'!BA335='check-Jul25'!BA335,"",'1. Live'!BA335-'check-Jul25'!BA335)</f>
        <v/>
      </c>
      <c r="BB335" t="str">
        <f>IF('1. Live'!BB335='check-Jul25'!BB335,"",'1. Live'!BB335-'check-Jul25'!BB335)</f>
        <v/>
      </c>
      <c r="BC335" t="str">
        <f>IF('1. Live'!BC335='check-Jul25'!BC335,"",'1. Live'!BC335-'check-Jul25'!BC335)</f>
        <v/>
      </c>
      <c r="BD335" t="str">
        <f>IF('1. Live'!BD335='check-Jul25'!BD335,"",'1. Live'!BD335-'check-Jul25'!BD335)</f>
        <v/>
      </c>
      <c r="BE335" t="str">
        <f>IF('1. Live'!BE335='check-Jul25'!BE335,"",'1. Live'!BE335-'check-Jul25'!BE335)</f>
        <v/>
      </c>
      <c r="BF335" t="str">
        <f>IF('1. Live'!BF335='check-Jul25'!BF335,"",'1. Live'!BF335-'check-Jul25'!BF335)</f>
        <v/>
      </c>
      <c r="BG335" t="str">
        <f>IF('1. Live'!BG335='check-Jul25'!BG335,"",'1. Live'!BG335-'check-Jul25'!BG335)</f>
        <v/>
      </c>
      <c r="BH335" t="str">
        <f>IF('1. Live'!BH335='check-Jul25'!BH335,"",'1. Live'!BH335-'check-Jul25'!BH335)</f>
        <v/>
      </c>
      <c r="BI335" t="str">
        <f>IF('1. Live'!BI335='check-Jul25'!BI335,"",'1. Live'!BI335-'check-Jul25'!BI335)</f>
        <v/>
      </c>
      <c r="BJ335" t="str">
        <f>IF('1. Live'!BJ335='check-Jul25'!BJ335,"",'1. Live'!BJ335-'check-Jul25'!BJ335)</f>
        <v/>
      </c>
      <c r="BK335" t="str">
        <f>IF('1. Live'!BK335='check-Jul25'!BK335,"",'1. Live'!BK335-'check-Jul25'!BK335)</f>
        <v/>
      </c>
      <c r="BL335" t="str">
        <f>IF('1. Live'!BL335='check-Jul25'!BL335,"",'1. Live'!BL335-'check-Jul25'!BL335)</f>
        <v/>
      </c>
      <c r="BM335" t="str">
        <f>IF('1. Live'!BM335='check-Jul25'!BM335,"",'1. Live'!BM335-'check-Jul25'!BM335)</f>
        <v/>
      </c>
      <c r="BN335" t="str">
        <f>IF('1. Live'!BN335='check-Jul25'!BN335,"",'1. Live'!BN335-'check-Jul25'!BN335)</f>
        <v/>
      </c>
      <c r="BO335" t="str">
        <f>IF('1. Live'!BO335='check-Jul25'!BO335,"",'1. Live'!BO335-'check-Jul25'!BO335)</f>
        <v/>
      </c>
      <c r="BP335" t="str">
        <f>IF('1. Live'!BP335='check-Jul25'!BP335,"",'1. Live'!BP335-'check-Jul25'!BP335)</f>
        <v/>
      </c>
      <c r="BQ335" t="str">
        <f>IF('1. Live'!BQ335='check-Jul25'!BQ335,"",'1. Live'!BQ335-'check-Jul25'!BQ335)</f>
        <v/>
      </c>
      <c r="BR335" t="str">
        <f>IF('1. Live'!BR335='check-Jul25'!BR335,"",'1. Live'!BR335-'check-Jul25'!BR335)</f>
        <v/>
      </c>
      <c r="BS335" t="str">
        <f>IF('1. Live'!BS335='check-Jul25'!BS335,"",'1. Live'!BS335-'check-Jul25'!BS335)</f>
        <v/>
      </c>
      <c r="BT335" t="str">
        <f>IF('1. Live'!BT335='check-Jul25'!BT335,"",'1. Live'!BT335-'check-Jul25'!BT335)</f>
        <v/>
      </c>
      <c r="BU335" t="str">
        <f>IF('1. Live'!BU335='check-Jul25'!BU335,"",'1. Live'!BU335-'check-Jul25'!BU335)</f>
        <v/>
      </c>
      <c r="BV335" t="str">
        <f>IF('1. Live'!BV335='check-Jul25'!BV335,"",'1. Live'!BV335-'check-Jul25'!BV335)</f>
        <v/>
      </c>
      <c r="BW335" t="str">
        <f>IF('1. Live'!BW335='check-Jul25'!BW335,"",'1. Live'!BW335-'check-Jul25'!BW335)</f>
        <v/>
      </c>
      <c r="BX335" t="str">
        <f>IF('1. Live'!BX335='check-Jul25'!BX335,"",'1. Live'!BX335-'check-Jul25'!BX335)</f>
        <v/>
      </c>
      <c r="BY335" t="str">
        <f>IF('1. Live'!BY335='check-Jul25'!BY335,"",'1. Live'!BY335-'check-Jul25'!BY335)</f>
        <v/>
      </c>
      <c r="BZ335" t="str">
        <f>IF('1. Live'!BZ335='check-Jul25'!BZ335,"",'1. Live'!BZ335-'check-Jul25'!BZ335)</f>
        <v/>
      </c>
      <c r="CA335" t="str">
        <f>IF('1. Live'!CA335='check-Jul25'!CA335,"",'1. Live'!CA335-'check-Jul25'!CA335)</f>
        <v/>
      </c>
      <c r="CB335" t="str">
        <f>IF('1. Live'!CB335='check-Jul25'!CB335,"",'1. Live'!CB335-'check-Jul25'!CB335)</f>
        <v/>
      </c>
      <c r="CC335" t="str">
        <f>IF('1. Live'!CC335='check-Jul25'!CC335,"",'1. Live'!CC335-'check-Jul25'!CC335)</f>
        <v/>
      </c>
      <c r="CD335" t="str">
        <f>IF('1. Live'!CD335='check-Jul25'!CD335,"",'1. Live'!CD335-'check-Jul25'!CD335)</f>
        <v/>
      </c>
      <c r="CE335" t="str">
        <f>IF('1. Live'!CE335='check-Jul25'!CE335,"",'1. Live'!CE335-'check-Jul25'!CE335)</f>
        <v/>
      </c>
      <c r="CF335" t="str">
        <f>IF('1. Live'!CF335='check-Jul25'!CF335,"",'1. Live'!CF335-'check-Jul25'!CF335)</f>
        <v/>
      </c>
      <c r="CG335" t="str">
        <f>IF('1. Live'!CG335='check-Jul25'!CG335,"",'1. Live'!CG335-'check-Jul25'!CG335)</f>
        <v/>
      </c>
      <c r="CH335" t="str">
        <f>IF('1. Live'!CH335='check-Jul25'!CH335,"",'1. Live'!CH335-'check-Jul25'!CH335)</f>
        <v/>
      </c>
      <c r="CI335" t="str">
        <f>IF('1. Live'!CI335='check-Jul25'!CI335,"",'1. Live'!CI335-'check-Jul25'!CI335)</f>
        <v/>
      </c>
      <c r="CJ335" t="str">
        <f>IF('1. Live'!CJ335='check-Jul25'!CJ335,"",'1. Live'!CJ335-'check-Jul25'!CJ335)</f>
        <v/>
      </c>
      <c r="CK335" t="str">
        <f>IF('1. Live'!CK335='check-Jul25'!CK335,"",'1. Live'!CK335-'check-Jul25'!CK335)</f>
        <v/>
      </c>
      <c r="CL335" t="str">
        <f>IF('1. Live'!CL335='check-Jul25'!CL335,"",'1. Live'!CL335-'check-Jul25'!CL335)</f>
        <v/>
      </c>
      <c r="CM335" t="str">
        <f>IF('1. Live'!CM335='check-Jul25'!CM335,"",'1. Live'!CM335-'check-Jul25'!CM335)</f>
        <v/>
      </c>
      <c r="CN335" t="str">
        <f>IF('1. Live'!CN335='check-Jul25'!CN335,"",'1. Live'!CN335-'check-Jul25'!CN335)</f>
        <v/>
      </c>
      <c r="CO335" t="str">
        <f>IF('1. Live'!CO335='check-Jul25'!CO335,"",'1. Live'!CO335-'check-Jul25'!CO335)</f>
        <v/>
      </c>
      <c r="CP335" t="str">
        <f>IF('1. Live'!CP335='check-Jul25'!CP335,"",'1. Live'!CP335-'check-Jul25'!CP335)</f>
        <v/>
      </c>
      <c r="CQ335" t="str">
        <f>IF('1. Live'!CQ335='check-Jul25'!CQ335,"",'1. Live'!CQ335-'check-Jul25'!CQ335)</f>
        <v/>
      </c>
      <c r="CR335" t="str">
        <f>IF('1. Live'!CR335='check-Jul25'!CR335,"",'1. Live'!CR335-'check-Jul25'!CR335)</f>
        <v/>
      </c>
      <c r="CS335" t="str">
        <f>IF('1. Live'!CS335='check-Jul25'!CS335,"",'1. Live'!CS335-'check-Jul25'!CS335)</f>
        <v/>
      </c>
      <c r="CT335" t="str">
        <f>IF('1. Live'!CT335='check-Jul25'!CT335,"",'1. Live'!CT335-'check-Jul25'!CT335)</f>
        <v/>
      </c>
      <c r="CU335" t="str">
        <f>IF('1. Live'!CU335='check-Jul25'!CU335,"",'1. Live'!CU335-'check-Jul25'!CU335)</f>
        <v/>
      </c>
      <c r="CV335" t="str">
        <f>IF('1. Live'!CV335='check-Jul25'!CV335,"",'1. Live'!CV335-'check-Jul25'!CV335)</f>
        <v/>
      </c>
      <c r="CW335" t="str">
        <f>IF('1. Live'!CW335='check-Jul25'!CW335,"",'1. Live'!CW335-'check-Jul25'!CW335)</f>
        <v/>
      </c>
    </row>
    <row r="336" spans="10:101">
      <c r="J336" t="str">
        <f>IF('1. Live'!J336='check-Jul25'!J336,"",'1. Live'!J336-'check-Jul25'!J336)</f>
        <v/>
      </c>
      <c r="K336" t="str">
        <f>IF('1. Live'!K336='check-Jul25'!K336,"",'1. Live'!K336-'check-Jul25'!K336)</f>
        <v/>
      </c>
      <c r="L336" t="str">
        <f>IF('1. Live'!L336='check-Jul25'!L336,"",'1. Live'!L336-'check-Jul25'!L336)</f>
        <v/>
      </c>
      <c r="M336" t="str">
        <f>IF('1. Live'!M336='check-Jul25'!M336,"",'1. Live'!M336-'check-Jul25'!M336)</f>
        <v/>
      </c>
      <c r="N336" t="str">
        <f>IF('1. Live'!N336='check-Jul25'!N336,"",'1. Live'!N336-'check-Jul25'!N336)</f>
        <v/>
      </c>
      <c r="O336" t="str">
        <f>IF('1. Live'!O336='check-Jul25'!O336,"",'1. Live'!O336-'check-Jul25'!O336)</f>
        <v/>
      </c>
      <c r="P336" t="str">
        <f>IF('1. Live'!P336='check-Jul25'!P336,"",'1. Live'!P336-'check-Jul25'!P336)</f>
        <v/>
      </c>
      <c r="Q336" t="str">
        <f>IF('1. Live'!Q336='check-Jul25'!Q336,"",'1. Live'!Q336-'check-Jul25'!Q336)</f>
        <v/>
      </c>
      <c r="R336" t="str">
        <f>IF('1. Live'!R336='check-Jul25'!R336,"",'1. Live'!R336-'check-Jul25'!R336)</f>
        <v/>
      </c>
      <c r="S336" t="str">
        <f>IF('1. Live'!S336='check-Jul25'!S336,"",'1. Live'!S336-'check-Jul25'!S336)</f>
        <v/>
      </c>
      <c r="T336" t="str">
        <f>IF('1. Live'!T336='check-Jul25'!T336,"",'1. Live'!T336-'check-Jul25'!T336)</f>
        <v/>
      </c>
      <c r="U336" t="str">
        <f>IF('1. Live'!U336='check-Jul25'!U336,"",'1. Live'!U336-'check-Jul25'!U336)</f>
        <v/>
      </c>
      <c r="V336" t="str">
        <f>IF('1. Live'!V336='check-Jul25'!V336,"",'1. Live'!V336-'check-Jul25'!V336)</f>
        <v/>
      </c>
      <c r="W336" t="str">
        <f>IF('1. Live'!W336='check-Jul25'!W336,"",'1. Live'!W336-'check-Jul25'!W336)</f>
        <v/>
      </c>
      <c r="X336" t="str">
        <f>IF('1. Live'!X336='check-Jul25'!X336,"",'1. Live'!X336-'check-Jul25'!X336)</f>
        <v/>
      </c>
      <c r="Y336" t="str">
        <f>IF('1. Live'!Y336='check-Jul25'!Y336,"",'1. Live'!Y336-'check-Jul25'!Y336)</f>
        <v/>
      </c>
      <c r="Z336" t="str">
        <f>IF('1. Live'!Z336='check-Jul25'!Z336,"",'1. Live'!Z336-'check-Jul25'!Z336)</f>
        <v/>
      </c>
      <c r="AA336" t="str">
        <f>IF('1. Live'!AA336='check-Jul25'!AA336,"",'1. Live'!AA336-'check-Jul25'!AA336)</f>
        <v/>
      </c>
      <c r="AB336" t="str">
        <f>IF('1. Live'!AB336='check-Jul25'!AB336,"",'1. Live'!AB336-'check-Jul25'!AB336)</f>
        <v/>
      </c>
      <c r="AC336" t="str">
        <f>IF('1. Live'!AC336='check-Jul25'!AC336,"",'1. Live'!AC336-'check-Jul25'!AC336)</f>
        <v/>
      </c>
      <c r="AD336" t="str">
        <f>IF('1. Live'!AD336='check-Jul25'!AD336,"",'1. Live'!AD336-'check-Jul25'!AD336)</f>
        <v/>
      </c>
      <c r="AE336" t="str">
        <f>IF('1. Live'!AE336='check-Jul25'!AE336,"",'1. Live'!AE336-'check-Jul25'!AE336)</f>
        <v/>
      </c>
      <c r="AF336" t="str">
        <f>IF('1. Live'!AF336='check-Jul25'!AF336,"",'1. Live'!AF336-'check-Jul25'!AF336)</f>
        <v/>
      </c>
      <c r="AG336" t="str">
        <f>IF('1. Live'!AG336='check-Jul25'!AG336,"",'1. Live'!AG336-'check-Jul25'!AG336)</f>
        <v/>
      </c>
      <c r="AH336" t="str">
        <f>IF('1. Live'!AH336='check-Jul25'!AH336,"",'1. Live'!AH336-'check-Jul25'!AH336)</f>
        <v/>
      </c>
      <c r="AI336" t="str">
        <f>IF('1. Live'!AI336='check-Jul25'!AI336,"",'1. Live'!AI336-'check-Jul25'!AI336)</f>
        <v/>
      </c>
      <c r="AJ336" t="str">
        <f>IF('1. Live'!AJ336='check-Jul25'!AJ336,"",'1. Live'!AJ336-'check-Jul25'!AJ336)</f>
        <v/>
      </c>
      <c r="AK336" t="str">
        <f>IF('1. Live'!AK336='check-Jul25'!AK336,"",'1. Live'!AK336-'check-Jul25'!AK336)</f>
        <v/>
      </c>
      <c r="AL336" t="str">
        <f>IF('1. Live'!AL336='check-Jul25'!AL336,"",'1. Live'!AL336-'check-Jul25'!AL336)</f>
        <v/>
      </c>
      <c r="AM336" t="str">
        <f>IF('1. Live'!AM336='check-Jul25'!AM336,"",'1. Live'!AM336-'check-Jul25'!AM336)</f>
        <v/>
      </c>
      <c r="AN336" t="str">
        <f>IF('1. Live'!AN336='check-Jul25'!AN336,"",'1. Live'!AN336-'check-Jul25'!AN336)</f>
        <v/>
      </c>
      <c r="AO336" t="str">
        <f>IF('1. Live'!AO336='check-Jul25'!AO336,"",'1. Live'!AO336-'check-Jul25'!AO336)</f>
        <v/>
      </c>
      <c r="AP336" t="str">
        <f>IF('1. Live'!AP336='check-Jul25'!AP336,"",'1. Live'!AP336-'check-Jul25'!AP336)</f>
        <v/>
      </c>
      <c r="AQ336" t="str">
        <f>IF('1. Live'!AQ336='check-Jul25'!AQ336,"",'1. Live'!AQ336-'check-Jul25'!AQ336)</f>
        <v/>
      </c>
      <c r="AR336" t="str">
        <f>IF('1. Live'!AR336='check-Jul25'!AR336,"",'1. Live'!AR336-'check-Jul25'!AR336)</f>
        <v/>
      </c>
      <c r="AS336" t="str">
        <f>IF('1. Live'!AS336='check-Jul25'!AS336,"",'1. Live'!AS336-'check-Jul25'!AS336)</f>
        <v/>
      </c>
      <c r="AT336" t="str">
        <f>IF('1. Live'!AT336='check-Jul25'!AT336,"",'1. Live'!AT336-'check-Jul25'!AT336)</f>
        <v/>
      </c>
      <c r="AU336" t="str">
        <f>IF('1. Live'!AU336='check-Jul25'!AU336,"",'1. Live'!AU336-'check-Jul25'!AU336)</f>
        <v/>
      </c>
      <c r="AV336" t="str">
        <f>IF('1. Live'!AV336='check-Jul25'!AV336,"",'1. Live'!AV336-'check-Jul25'!AV336)</f>
        <v/>
      </c>
      <c r="AW336" t="str">
        <f>IF('1. Live'!AW336='check-Jul25'!AW336,"",'1. Live'!AW336-'check-Jul25'!AW336)</f>
        <v/>
      </c>
      <c r="AX336" t="str">
        <f>IF('1. Live'!AX336='check-Jul25'!AX336,"",'1. Live'!AX336-'check-Jul25'!AX336)</f>
        <v/>
      </c>
      <c r="AY336" t="str">
        <f>IF('1. Live'!AY336='check-Jul25'!AY336,"",'1. Live'!AY336-'check-Jul25'!AY336)</f>
        <v/>
      </c>
      <c r="AZ336" t="str">
        <f>IF('1. Live'!AZ336='check-Jul25'!AZ336,"",'1. Live'!AZ336-'check-Jul25'!AZ336)</f>
        <v/>
      </c>
      <c r="BA336" t="str">
        <f>IF('1. Live'!BA336='check-Jul25'!BA336,"",'1. Live'!BA336-'check-Jul25'!BA336)</f>
        <v/>
      </c>
      <c r="BB336" t="str">
        <f>IF('1. Live'!BB336='check-Jul25'!BB336,"",'1. Live'!BB336-'check-Jul25'!BB336)</f>
        <v/>
      </c>
      <c r="BC336" t="str">
        <f>IF('1. Live'!BC336='check-Jul25'!BC336,"",'1. Live'!BC336-'check-Jul25'!BC336)</f>
        <v/>
      </c>
      <c r="BD336" t="str">
        <f>IF('1. Live'!BD336='check-Jul25'!BD336,"",'1. Live'!BD336-'check-Jul25'!BD336)</f>
        <v/>
      </c>
      <c r="BE336" t="str">
        <f>IF('1. Live'!BE336='check-Jul25'!BE336,"",'1. Live'!BE336-'check-Jul25'!BE336)</f>
        <v/>
      </c>
      <c r="BF336" t="str">
        <f>IF('1. Live'!BF336='check-Jul25'!BF336,"",'1. Live'!BF336-'check-Jul25'!BF336)</f>
        <v/>
      </c>
      <c r="BG336" t="str">
        <f>IF('1. Live'!BG336='check-Jul25'!BG336,"",'1. Live'!BG336-'check-Jul25'!BG336)</f>
        <v/>
      </c>
      <c r="BH336" t="str">
        <f>IF('1. Live'!BH336='check-Jul25'!BH336,"",'1. Live'!BH336-'check-Jul25'!BH336)</f>
        <v/>
      </c>
      <c r="BI336" t="str">
        <f>IF('1. Live'!BI336='check-Jul25'!BI336,"",'1. Live'!BI336-'check-Jul25'!BI336)</f>
        <v/>
      </c>
      <c r="BJ336" t="str">
        <f>IF('1. Live'!BJ336='check-Jul25'!BJ336,"",'1. Live'!BJ336-'check-Jul25'!BJ336)</f>
        <v/>
      </c>
      <c r="BK336" t="str">
        <f>IF('1. Live'!BK336='check-Jul25'!BK336,"",'1. Live'!BK336-'check-Jul25'!BK336)</f>
        <v/>
      </c>
      <c r="BL336" t="str">
        <f>IF('1. Live'!BL336='check-Jul25'!BL336,"",'1. Live'!BL336-'check-Jul25'!BL336)</f>
        <v/>
      </c>
      <c r="BM336" t="str">
        <f>IF('1. Live'!BM336='check-Jul25'!BM336,"",'1. Live'!BM336-'check-Jul25'!BM336)</f>
        <v/>
      </c>
      <c r="BN336" t="str">
        <f>IF('1. Live'!BN336='check-Jul25'!BN336,"",'1. Live'!BN336-'check-Jul25'!BN336)</f>
        <v/>
      </c>
      <c r="BO336" t="str">
        <f>IF('1. Live'!BO336='check-Jul25'!BO336,"",'1. Live'!BO336-'check-Jul25'!BO336)</f>
        <v/>
      </c>
      <c r="BP336" t="str">
        <f>IF('1. Live'!BP336='check-Jul25'!BP336,"",'1. Live'!BP336-'check-Jul25'!BP336)</f>
        <v/>
      </c>
      <c r="BQ336" t="str">
        <f>IF('1. Live'!BQ336='check-Jul25'!BQ336,"",'1. Live'!BQ336-'check-Jul25'!BQ336)</f>
        <v/>
      </c>
      <c r="BR336" t="str">
        <f>IF('1. Live'!BR336='check-Jul25'!BR336,"",'1. Live'!BR336-'check-Jul25'!BR336)</f>
        <v/>
      </c>
      <c r="BS336" t="str">
        <f>IF('1. Live'!BS336='check-Jul25'!BS336,"",'1. Live'!BS336-'check-Jul25'!BS336)</f>
        <v/>
      </c>
      <c r="BT336" t="str">
        <f>IF('1. Live'!BT336='check-Jul25'!BT336,"",'1. Live'!BT336-'check-Jul25'!BT336)</f>
        <v/>
      </c>
      <c r="BU336" t="str">
        <f>IF('1. Live'!BU336='check-Jul25'!BU336,"",'1. Live'!BU336-'check-Jul25'!BU336)</f>
        <v/>
      </c>
      <c r="BV336" t="str">
        <f>IF('1. Live'!BV336='check-Jul25'!BV336,"",'1. Live'!BV336-'check-Jul25'!BV336)</f>
        <v/>
      </c>
      <c r="BW336" t="str">
        <f>IF('1. Live'!BW336='check-Jul25'!BW336,"",'1. Live'!BW336-'check-Jul25'!BW336)</f>
        <v/>
      </c>
      <c r="BX336" t="str">
        <f>IF('1. Live'!BX336='check-Jul25'!BX336,"",'1. Live'!BX336-'check-Jul25'!BX336)</f>
        <v/>
      </c>
      <c r="BY336" t="str">
        <f>IF('1. Live'!BY336='check-Jul25'!BY336,"",'1. Live'!BY336-'check-Jul25'!BY336)</f>
        <v/>
      </c>
      <c r="BZ336" t="str">
        <f>IF('1. Live'!BZ336='check-Jul25'!BZ336,"",'1. Live'!BZ336-'check-Jul25'!BZ336)</f>
        <v/>
      </c>
      <c r="CA336" t="str">
        <f>IF('1. Live'!CA336='check-Jul25'!CA336,"",'1. Live'!CA336-'check-Jul25'!CA336)</f>
        <v/>
      </c>
      <c r="CB336" t="str">
        <f>IF('1. Live'!CB336='check-Jul25'!CB336,"",'1. Live'!CB336-'check-Jul25'!CB336)</f>
        <v/>
      </c>
      <c r="CC336" t="str">
        <f>IF('1. Live'!CC336='check-Jul25'!CC336,"",'1. Live'!CC336-'check-Jul25'!CC336)</f>
        <v/>
      </c>
      <c r="CD336" t="str">
        <f>IF('1. Live'!CD336='check-Jul25'!CD336,"",'1. Live'!CD336-'check-Jul25'!CD336)</f>
        <v/>
      </c>
      <c r="CE336" t="str">
        <f>IF('1. Live'!CE336='check-Jul25'!CE336,"",'1. Live'!CE336-'check-Jul25'!CE336)</f>
        <v/>
      </c>
      <c r="CF336" t="str">
        <f>IF('1. Live'!CF336='check-Jul25'!CF336,"",'1. Live'!CF336-'check-Jul25'!CF336)</f>
        <v/>
      </c>
      <c r="CG336" t="str">
        <f>IF('1. Live'!CG336='check-Jul25'!CG336,"",'1. Live'!CG336-'check-Jul25'!CG336)</f>
        <v/>
      </c>
      <c r="CH336" t="str">
        <f>IF('1. Live'!CH336='check-Jul25'!CH336,"",'1. Live'!CH336-'check-Jul25'!CH336)</f>
        <v/>
      </c>
      <c r="CI336" t="str">
        <f>IF('1. Live'!CI336='check-Jul25'!CI336,"",'1. Live'!CI336-'check-Jul25'!CI336)</f>
        <v/>
      </c>
      <c r="CJ336" t="str">
        <f>IF('1. Live'!CJ336='check-Jul25'!CJ336,"",'1. Live'!CJ336-'check-Jul25'!CJ336)</f>
        <v/>
      </c>
      <c r="CK336" t="str">
        <f>IF('1. Live'!CK336='check-Jul25'!CK336,"",'1. Live'!CK336-'check-Jul25'!CK336)</f>
        <v/>
      </c>
      <c r="CL336" t="str">
        <f>IF('1. Live'!CL336='check-Jul25'!CL336,"",'1. Live'!CL336-'check-Jul25'!CL336)</f>
        <v/>
      </c>
      <c r="CM336" t="str">
        <f>IF('1. Live'!CM336='check-Jul25'!CM336,"",'1. Live'!CM336-'check-Jul25'!CM336)</f>
        <v/>
      </c>
      <c r="CN336" t="str">
        <f>IF('1. Live'!CN336='check-Jul25'!CN336,"",'1. Live'!CN336-'check-Jul25'!CN336)</f>
        <v/>
      </c>
      <c r="CO336" t="str">
        <f>IF('1. Live'!CO336='check-Jul25'!CO336,"",'1. Live'!CO336-'check-Jul25'!CO336)</f>
        <v/>
      </c>
      <c r="CP336" t="str">
        <f>IF('1. Live'!CP336='check-Jul25'!CP336,"",'1. Live'!CP336-'check-Jul25'!CP336)</f>
        <v/>
      </c>
      <c r="CQ336" t="str">
        <f>IF('1. Live'!CQ336='check-Jul25'!CQ336,"",'1. Live'!CQ336-'check-Jul25'!CQ336)</f>
        <v/>
      </c>
      <c r="CR336" t="str">
        <f>IF('1. Live'!CR336='check-Jul25'!CR336,"",'1. Live'!CR336-'check-Jul25'!CR336)</f>
        <v/>
      </c>
      <c r="CS336" t="str">
        <f>IF('1. Live'!CS336='check-Jul25'!CS336,"",'1. Live'!CS336-'check-Jul25'!CS336)</f>
        <v/>
      </c>
      <c r="CT336" t="str">
        <f>IF('1. Live'!CT336='check-Jul25'!CT336,"",'1. Live'!CT336-'check-Jul25'!CT336)</f>
        <v/>
      </c>
      <c r="CU336" t="str">
        <f>IF('1. Live'!CU336='check-Jul25'!CU336,"",'1. Live'!CU336-'check-Jul25'!CU336)</f>
        <v/>
      </c>
      <c r="CV336" t="str">
        <f>IF('1. Live'!CV336='check-Jul25'!CV336,"",'1. Live'!CV336-'check-Jul25'!CV336)</f>
        <v/>
      </c>
      <c r="CW336" t="str">
        <f>IF('1. Live'!CW336='check-Jul25'!CW336,"",'1. Live'!CW336-'check-Jul25'!CW336)</f>
        <v/>
      </c>
    </row>
    <row r="337" spans="10:101">
      <c r="J337" t="str">
        <f>IF('1. Live'!J337='check-Jul25'!J337,"",'1. Live'!J337-'check-Jul25'!J337)</f>
        <v/>
      </c>
      <c r="K337" t="str">
        <f>IF('1. Live'!K337='check-Jul25'!K337,"",'1. Live'!K337-'check-Jul25'!K337)</f>
        <v/>
      </c>
      <c r="L337" t="str">
        <f>IF('1. Live'!L337='check-Jul25'!L337,"",'1. Live'!L337-'check-Jul25'!L337)</f>
        <v/>
      </c>
      <c r="M337" t="str">
        <f>IF('1. Live'!M337='check-Jul25'!M337,"",'1. Live'!M337-'check-Jul25'!M337)</f>
        <v/>
      </c>
      <c r="N337" t="str">
        <f>IF('1. Live'!N337='check-Jul25'!N337,"",'1. Live'!N337-'check-Jul25'!N337)</f>
        <v/>
      </c>
      <c r="O337" t="str">
        <f>IF('1. Live'!O337='check-Jul25'!O337,"",'1. Live'!O337-'check-Jul25'!O337)</f>
        <v/>
      </c>
      <c r="P337" t="str">
        <f>IF('1. Live'!P337='check-Jul25'!P337,"",'1. Live'!P337-'check-Jul25'!P337)</f>
        <v/>
      </c>
      <c r="Q337" t="str">
        <f>IF('1. Live'!Q337='check-Jul25'!Q337,"",'1. Live'!Q337-'check-Jul25'!Q337)</f>
        <v/>
      </c>
      <c r="R337" t="str">
        <f>IF('1. Live'!R337='check-Jul25'!R337,"",'1. Live'!R337-'check-Jul25'!R337)</f>
        <v/>
      </c>
      <c r="S337" t="str">
        <f>IF('1. Live'!S337='check-Jul25'!S337,"",'1. Live'!S337-'check-Jul25'!S337)</f>
        <v/>
      </c>
      <c r="T337" t="str">
        <f>IF('1. Live'!T337='check-Jul25'!T337,"",'1. Live'!T337-'check-Jul25'!T337)</f>
        <v/>
      </c>
      <c r="U337" t="str">
        <f>IF('1. Live'!U337='check-Jul25'!U337,"",'1. Live'!U337-'check-Jul25'!U337)</f>
        <v/>
      </c>
      <c r="V337" t="str">
        <f>IF('1. Live'!V337='check-Jul25'!V337,"",'1. Live'!V337-'check-Jul25'!V337)</f>
        <v/>
      </c>
      <c r="W337" t="str">
        <f>IF('1. Live'!W337='check-Jul25'!W337,"",'1. Live'!W337-'check-Jul25'!W337)</f>
        <v/>
      </c>
      <c r="X337" t="str">
        <f>IF('1. Live'!X337='check-Jul25'!X337,"",'1. Live'!X337-'check-Jul25'!X337)</f>
        <v/>
      </c>
      <c r="Y337" t="str">
        <f>IF('1. Live'!Y337='check-Jul25'!Y337,"",'1. Live'!Y337-'check-Jul25'!Y337)</f>
        <v/>
      </c>
      <c r="Z337" t="str">
        <f>IF('1. Live'!Z337='check-Jul25'!Z337,"",'1. Live'!Z337-'check-Jul25'!Z337)</f>
        <v/>
      </c>
      <c r="AA337" t="str">
        <f>IF('1. Live'!AA337='check-Jul25'!AA337,"",'1. Live'!AA337-'check-Jul25'!AA337)</f>
        <v/>
      </c>
      <c r="AB337" t="str">
        <f>IF('1. Live'!AB337='check-Jul25'!AB337,"",'1. Live'!AB337-'check-Jul25'!AB337)</f>
        <v/>
      </c>
      <c r="AC337" t="str">
        <f>IF('1. Live'!AC337='check-Jul25'!AC337,"",'1. Live'!AC337-'check-Jul25'!AC337)</f>
        <v/>
      </c>
      <c r="AD337" t="str">
        <f>IF('1. Live'!AD337='check-Jul25'!AD337,"",'1. Live'!AD337-'check-Jul25'!AD337)</f>
        <v/>
      </c>
      <c r="AE337" t="str">
        <f>IF('1. Live'!AE337='check-Jul25'!AE337,"",'1. Live'!AE337-'check-Jul25'!AE337)</f>
        <v/>
      </c>
      <c r="AF337" t="str">
        <f>IF('1. Live'!AF337='check-Jul25'!AF337,"",'1. Live'!AF337-'check-Jul25'!AF337)</f>
        <v/>
      </c>
      <c r="AG337" t="str">
        <f>IF('1. Live'!AG337='check-Jul25'!AG337,"",'1. Live'!AG337-'check-Jul25'!AG337)</f>
        <v/>
      </c>
      <c r="AH337" t="str">
        <f>IF('1. Live'!AH337='check-Jul25'!AH337,"",'1. Live'!AH337-'check-Jul25'!AH337)</f>
        <v/>
      </c>
      <c r="AI337" t="str">
        <f>IF('1. Live'!AI337='check-Jul25'!AI337,"",'1. Live'!AI337-'check-Jul25'!AI337)</f>
        <v/>
      </c>
      <c r="AJ337" t="str">
        <f>IF('1. Live'!AJ337='check-Jul25'!AJ337,"",'1. Live'!AJ337-'check-Jul25'!AJ337)</f>
        <v/>
      </c>
      <c r="AK337" t="str">
        <f>IF('1. Live'!AK337='check-Jul25'!AK337,"",'1. Live'!AK337-'check-Jul25'!AK337)</f>
        <v/>
      </c>
      <c r="AL337" t="str">
        <f>IF('1. Live'!AL337='check-Jul25'!AL337,"",'1. Live'!AL337-'check-Jul25'!AL337)</f>
        <v/>
      </c>
      <c r="AM337" t="str">
        <f>IF('1. Live'!AM337='check-Jul25'!AM337,"",'1. Live'!AM337-'check-Jul25'!AM337)</f>
        <v/>
      </c>
      <c r="AN337" t="str">
        <f>IF('1. Live'!AN337='check-Jul25'!AN337,"",'1. Live'!AN337-'check-Jul25'!AN337)</f>
        <v/>
      </c>
      <c r="AO337" t="str">
        <f>IF('1. Live'!AO337='check-Jul25'!AO337,"",'1. Live'!AO337-'check-Jul25'!AO337)</f>
        <v/>
      </c>
      <c r="AP337" t="str">
        <f>IF('1. Live'!AP337='check-Jul25'!AP337,"",'1. Live'!AP337-'check-Jul25'!AP337)</f>
        <v/>
      </c>
      <c r="AQ337" t="str">
        <f>IF('1. Live'!AQ337='check-Jul25'!AQ337,"",'1. Live'!AQ337-'check-Jul25'!AQ337)</f>
        <v/>
      </c>
      <c r="AR337" t="str">
        <f>IF('1. Live'!AR337='check-Jul25'!AR337,"",'1. Live'!AR337-'check-Jul25'!AR337)</f>
        <v/>
      </c>
      <c r="AS337" t="str">
        <f>IF('1. Live'!AS337='check-Jul25'!AS337,"",'1. Live'!AS337-'check-Jul25'!AS337)</f>
        <v/>
      </c>
      <c r="AT337" t="str">
        <f>IF('1. Live'!AT337='check-Jul25'!AT337,"",'1. Live'!AT337-'check-Jul25'!AT337)</f>
        <v/>
      </c>
      <c r="AU337" t="str">
        <f>IF('1. Live'!AU337='check-Jul25'!AU337,"",'1. Live'!AU337-'check-Jul25'!AU337)</f>
        <v/>
      </c>
      <c r="AV337" t="str">
        <f>IF('1. Live'!AV337='check-Jul25'!AV337,"",'1. Live'!AV337-'check-Jul25'!AV337)</f>
        <v/>
      </c>
      <c r="AW337" t="str">
        <f>IF('1. Live'!AW337='check-Jul25'!AW337,"",'1. Live'!AW337-'check-Jul25'!AW337)</f>
        <v/>
      </c>
      <c r="AX337" t="str">
        <f>IF('1. Live'!AX337='check-Jul25'!AX337,"",'1. Live'!AX337-'check-Jul25'!AX337)</f>
        <v/>
      </c>
      <c r="AY337" t="str">
        <f>IF('1. Live'!AY337='check-Jul25'!AY337,"",'1. Live'!AY337-'check-Jul25'!AY337)</f>
        <v/>
      </c>
      <c r="AZ337" t="str">
        <f>IF('1. Live'!AZ337='check-Jul25'!AZ337,"",'1. Live'!AZ337-'check-Jul25'!AZ337)</f>
        <v/>
      </c>
      <c r="BA337" t="str">
        <f>IF('1. Live'!BA337='check-Jul25'!BA337,"",'1. Live'!BA337-'check-Jul25'!BA337)</f>
        <v/>
      </c>
      <c r="BB337" t="str">
        <f>IF('1. Live'!BB337='check-Jul25'!BB337,"",'1. Live'!BB337-'check-Jul25'!BB337)</f>
        <v/>
      </c>
      <c r="BC337" t="str">
        <f>IF('1. Live'!BC337='check-Jul25'!BC337,"",'1. Live'!BC337-'check-Jul25'!BC337)</f>
        <v/>
      </c>
      <c r="BD337" t="str">
        <f>IF('1. Live'!BD337='check-Jul25'!BD337,"",'1. Live'!BD337-'check-Jul25'!BD337)</f>
        <v/>
      </c>
      <c r="BE337" t="str">
        <f>IF('1. Live'!BE337='check-Jul25'!BE337,"",'1. Live'!BE337-'check-Jul25'!BE337)</f>
        <v/>
      </c>
      <c r="BF337" t="str">
        <f>IF('1. Live'!BF337='check-Jul25'!BF337,"",'1. Live'!BF337-'check-Jul25'!BF337)</f>
        <v/>
      </c>
      <c r="BG337" t="str">
        <f>IF('1. Live'!BG337='check-Jul25'!BG337,"",'1. Live'!BG337-'check-Jul25'!BG337)</f>
        <v/>
      </c>
      <c r="BH337" t="str">
        <f>IF('1. Live'!BH337='check-Jul25'!BH337,"",'1. Live'!BH337-'check-Jul25'!BH337)</f>
        <v/>
      </c>
      <c r="BI337" t="str">
        <f>IF('1. Live'!BI337='check-Jul25'!BI337,"",'1. Live'!BI337-'check-Jul25'!BI337)</f>
        <v/>
      </c>
      <c r="BJ337" t="str">
        <f>IF('1. Live'!BJ337='check-Jul25'!BJ337,"",'1. Live'!BJ337-'check-Jul25'!BJ337)</f>
        <v/>
      </c>
      <c r="BK337" t="str">
        <f>IF('1. Live'!BK337='check-Jul25'!BK337,"",'1. Live'!BK337-'check-Jul25'!BK337)</f>
        <v/>
      </c>
      <c r="BL337" t="str">
        <f>IF('1. Live'!BL337='check-Jul25'!BL337,"",'1. Live'!BL337-'check-Jul25'!BL337)</f>
        <v/>
      </c>
      <c r="BM337" t="str">
        <f>IF('1. Live'!BM337='check-Jul25'!BM337,"",'1. Live'!BM337-'check-Jul25'!BM337)</f>
        <v/>
      </c>
      <c r="BN337" t="str">
        <f>IF('1. Live'!BN337='check-Jul25'!BN337,"",'1. Live'!BN337-'check-Jul25'!BN337)</f>
        <v/>
      </c>
      <c r="BO337" t="str">
        <f>IF('1. Live'!BO337='check-Jul25'!BO337,"",'1. Live'!BO337-'check-Jul25'!BO337)</f>
        <v/>
      </c>
      <c r="BP337" t="str">
        <f>IF('1. Live'!BP337='check-Jul25'!BP337,"",'1. Live'!BP337-'check-Jul25'!BP337)</f>
        <v/>
      </c>
      <c r="BQ337" t="str">
        <f>IF('1. Live'!BQ337='check-Jul25'!BQ337,"",'1. Live'!BQ337-'check-Jul25'!BQ337)</f>
        <v/>
      </c>
      <c r="BR337" t="str">
        <f>IF('1. Live'!BR337='check-Jul25'!BR337,"",'1. Live'!BR337-'check-Jul25'!BR337)</f>
        <v/>
      </c>
      <c r="BS337" t="str">
        <f>IF('1. Live'!BS337='check-Jul25'!BS337,"",'1. Live'!BS337-'check-Jul25'!BS337)</f>
        <v/>
      </c>
      <c r="BT337" t="str">
        <f>IF('1. Live'!BT337='check-Jul25'!BT337,"",'1. Live'!BT337-'check-Jul25'!BT337)</f>
        <v/>
      </c>
      <c r="BU337" t="str">
        <f>IF('1. Live'!BU337='check-Jul25'!BU337,"",'1. Live'!BU337-'check-Jul25'!BU337)</f>
        <v/>
      </c>
      <c r="BV337" t="str">
        <f>IF('1. Live'!BV337='check-Jul25'!BV337,"",'1. Live'!BV337-'check-Jul25'!BV337)</f>
        <v/>
      </c>
      <c r="BW337" t="str">
        <f>IF('1. Live'!BW337='check-Jul25'!BW337,"",'1. Live'!BW337-'check-Jul25'!BW337)</f>
        <v/>
      </c>
      <c r="BX337" t="str">
        <f>IF('1. Live'!BX337='check-Jul25'!BX337,"",'1. Live'!BX337-'check-Jul25'!BX337)</f>
        <v/>
      </c>
      <c r="BY337" t="str">
        <f>IF('1. Live'!BY337='check-Jul25'!BY337,"",'1. Live'!BY337-'check-Jul25'!BY337)</f>
        <v/>
      </c>
      <c r="BZ337" t="str">
        <f>IF('1. Live'!BZ337='check-Jul25'!BZ337,"",'1. Live'!BZ337-'check-Jul25'!BZ337)</f>
        <v/>
      </c>
      <c r="CA337" t="str">
        <f>IF('1. Live'!CA337='check-Jul25'!CA337,"",'1. Live'!CA337-'check-Jul25'!CA337)</f>
        <v/>
      </c>
      <c r="CB337" t="str">
        <f>IF('1. Live'!CB337='check-Jul25'!CB337,"",'1. Live'!CB337-'check-Jul25'!CB337)</f>
        <v/>
      </c>
      <c r="CC337" t="str">
        <f>IF('1. Live'!CC337='check-Jul25'!CC337,"",'1. Live'!CC337-'check-Jul25'!CC337)</f>
        <v/>
      </c>
      <c r="CD337" t="str">
        <f>IF('1. Live'!CD337='check-Jul25'!CD337,"",'1. Live'!CD337-'check-Jul25'!CD337)</f>
        <v/>
      </c>
      <c r="CE337" t="str">
        <f>IF('1. Live'!CE337='check-Jul25'!CE337,"",'1. Live'!CE337-'check-Jul25'!CE337)</f>
        <v/>
      </c>
      <c r="CF337" t="str">
        <f>IF('1. Live'!CF337='check-Jul25'!CF337,"",'1. Live'!CF337-'check-Jul25'!CF337)</f>
        <v/>
      </c>
      <c r="CG337" t="str">
        <f>IF('1. Live'!CG337='check-Jul25'!CG337,"",'1. Live'!CG337-'check-Jul25'!CG337)</f>
        <v/>
      </c>
      <c r="CH337" t="str">
        <f>IF('1. Live'!CH337='check-Jul25'!CH337,"",'1. Live'!CH337-'check-Jul25'!CH337)</f>
        <v/>
      </c>
      <c r="CI337" t="str">
        <f>IF('1. Live'!CI337='check-Jul25'!CI337,"",'1. Live'!CI337-'check-Jul25'!CI337)</f>
        <v/>
      </c>
      <c r="CJ337" t="str">
        <f>IF('1. Live'!CJ337='check-Jul25'!CJ337,"",'1. Live'!CJ337-'check-Jul25'!CJ337)</f>
        <v/>
      </c>
      <c r="CK337" t="str">
        <f>IF('1. Live'!CK337='check-Jul25'!CK337,"",'1. Live'!CK337-'check-Jul25'!CK337)</f>
        <v/>
      </c>
      <c r="CL337" t="str">
        <f>IF('1. Live'!CL337='check-Jul25'!CL337,"",'1. Live'!CL337-'check-Jul25'!CL337)</f>
        <v/>
      </c>
      <c r="CM337" t="str">
        <f>IF('1. Live'!CM337='check-Jul25'!CM337,"",'1. Live'!CM337-'check-Jul25'!CM337)</f>
        <v/>
      </c>
      <c r="CN337" t="str">
        <f>IF('1. Live'!CN337='check-Jul25'!CN337,"",'1. Live'!CN337-'check-Jul25'!CN337)</f>
        <v/>
      </c>
      <c r="CO337" t="str">
        <f>IF('1. Live'!CO337='check-Jul25'!CO337,"",'1. Live'!CO337-'check-Jul25'!CO337)</f>
        <v/>
      </c>
      <c r="CP337" t="str">
        <f>IF('1. Live'!CP337='check-Jul25'!CP337,"",'1. Live'!CP337-'check-Jul25'!CP337)</f>
        <v/>
      </c>
      <c r="CQ337" t="str">
        <f>IF('1. Live'!CQ337='check-Jul25'!CQ337,"",'1. Live'!CQ337-'check-Jul25'!CQ337)</f>
        <v/>
      </c>
      <c r="CR337" t="str">
        <f>IF('1. Live'!CR337='check-Jul25'!CR337,"",'1. Live'!CR337-'check-Jul25'!CR337)</f>
        <v/>
      </c>
      <c r="CS337" t="str">
        <f>IF('1. Live'!CS337='check-Jul25'!CS337,"",'1. Live'!CS337-'check-Jul25'!CS337)</f>
        <v/>
      </c>
      <c r="CT337" t="str">
        <f>IF('1. Live'!CT337='check-Jul25'!CT337,"",'1. Live'!CT337-'check-Jul25'!CT337)</f>
        <v/>
      </c>
      <c r="CU337" t="str">
        <f>IF('1. Live'!CU337='check-Jul25'!CU337,"",'1. Live'!CU337-'check-Jul25'!CU337)</f>
        <v/>
      </c>
      <c r="CV337" t="str">
        <f>IF('1. Live'!CV337='check-Jul25'!CV337,"",'1. Live'!CV337-'check-Jul25'!CV337)</f>
        <v/>
      </c>
      <c r="CW337" t="str">
        <f>IF('1. Live'!CW337='check-Jul25'!CW337,"",'1. Live'!CW337-'check-Jul25'!CW337)</f>
        <v/>
      </c>
    </row>
    <row r="338" spans="10:101">
      <c r="J338" t="str">
        <f>IF('1. Live'!J338='check-Jul25'!J338,"",'1. Live'!J338-'check-Jul25'!J338)</f>
        <v/>
      </c>
      <c r="K338" t="str">
        <f>IF('1. Live'!K338='check-Jul25'!K338,"",'1. Live'!K338-'check-Jul25'!K338)</f>
        <v/>
      </c>
      <c r="L338" t="str">
        <f>IF('1. Live'!L338='check-Jul25'!L338,"",'1. Live'!L338-'check-Jul25'!L338)</f>
        <v/>
      </c>
      <c r="M338" t="str">
        <f>IF('1. Live'!M338='check-Jul25'!M338,"",'1. Live'!M338-'check-Jul25'!M338)</f>
        <v/>
      </c>
      <c r="N338" t="str">
        <f>IF('1. Live'!N338='check-Jul25'!N338,"",'1. Live'!N338-'check-Jul25'!N338)</f>
        <v/>
      </c>
      <c r="O338" t="str">
        <f>IF('1. Live'!O338='check-Jul25'!O338,"",'1. Live'!O338-'check-Jul25'!O338)</f>
        <v/>
      </c>
      <c r="P338" t="str">
        <f>IF('1. Live'!P338='check-Jul25'!P338,"",'1. Live'!P338-'check-Jul25'!P338)</f>
        <v/>
      </c>
      <c r="Q338" t="str">
        <f>IF('1. Live'!Q338='check-Jul25'!Q338,"",'1. Live'!Q338-'check-Jul25'!Q338)</f>
        <v/>
      </c>
      <c r="R338" t="str">
        <f>IF('1. Live'!R338='check-Jul25'!R338,"",'1. Live'!R338-'check-Jul25'!R338)</f>
        <v/>
      </c>
      <c r="S338" t="str">
        <f>IF('1. Live'!S338='check-Jul25'!S338,"",'1. Live'!S338-'check-Jul25'!S338)</f>
        <v/>
      </c>
      <c r="T338" t="str">
        <f>IF('1. Live'!T338='check-Jul25'!T338,"",'1. Live'!T338-'check-Jul25'!T338)</f>
        <v/>
      </c>
      <c r="U338" t="str">
        <f>IF('1. Live'!U338='check-Jul25'!U338,"",'1. Live'!U338-'check-Jul25'!U338)</f>
        <v/>
      </c>
      <c r="V338" t="str">
        <f>IF('1. Live'!V338='check-Jul25'!V338,"",'1. Live'!V338-'check-Jul25'!V338)</f>
        <v/>
      </c>
      <c r="W338" t="str">
        <f>IF('1. Live'!W338='check-Jul25'!W338,"",'1. Live'!W338-'check-Jul25'!W338)</f>
        <v/>
      </c>
      <c r="X338" t="str">
        <f>IF('1. Live'!X338='check-Jul25'!X338,"",'1. Live'!X338-'check-Jul25'!X338)</f>
        <v/>
      </c>
      <c r="Y338" t="str">
        <f>IF('1. Live'!Y338='check-Jul25'!Y338,"",'1. Live'!Y338-'check-Jul25'!Y338)</f>
        <v/>
      </c>
      <c r="Z338" t="str">
        <f>IF('1. Live'!Z338='check-Jul25'!Z338,"",'1. Live'!Z338-'check-Jul25'!Z338)</f>
        <v/>
      </c>
      <c r="AA338" t="str">
        <f>IF('1. Live'!AA338='check-Jul25'!AA338,"",'1. Live'!AA338-'check-Jul25'!AA338)</f>
        <v/>
      </c>
      <c r="AB338" t="str">
        <f>IF('1. Live'!AB338='check-Jul25'!AB338,"",'1. Live'!AB338-'check-Jul25'!AB338)</f>
        <v/>
      </c>
      <c r="AC338" t="str">
        <f>IF('1. Live'!AC338='check-Jul25'!AC338,"",'1. Live'!AC338-'check-Jul25'!AC338)</f>
        <v/>
      </c>
      <c r="AD338" t="str">
        <f>IF('1. Live'!AD338='check-Jul25'!AD338,"",'1. Live'!AD338-'check-Jul25'!AD338)</f>
        <v/>
      </c>
      <c r="AE338" t="str">
        <f>IF('1. Live'!AE338='check-Jul25'!AE338,"",'1. Live'!AE338-'check-Jul25'!AE338)</f>
        <v/>
      </c>
      <c r="AF338" t="str">
        <f>IF('1. Live'!AF338='check-Jul25'!AF338,"",'1. Live'!AF338-'check-Jul25'!AF338)</f>
        <v/>
      </c>
      <c r="AG338" t="str">
        <f>IF('1. Live'!AG338='check-Jul25'!AG338,"",'1. Live'!AG338-'check-Jul25'!AG338)</f>
        <v/>
      </c>
      <c r="AH338" t="str">
        <f>IF('1. Live'!AH338='check-Jul25'!AH338,"",'1. Live'!AH338-'check-Jul25'!AH338)</f>
        <v/>
      </c>
      <c r="AI338" t="str">
        <f>IF('1. Live'!AI338='check-Jul25'!AI338,"",'1. Live'!AI338-'check-Jul25'!AI338)</f>
        <v/>
      </c>
      <c r="AJ338" t="str">
        <f>IF('1. Live'!AJ338='check-Jul25'!AJ338,"",'1. Live'!AJ338-'check-Jul25'!AJ338)</f>
        <v/>
      </c>
      <c r="AK338" t="str">
        <f>IF('1. Live'!AK338='check-Jul25'!AK338,"",'1. Live'!AK338-'check-Jul25'!AK338)</f>
        <v/>
      </c>
      <c r="AL338" t="str">
        <f>IF('1. Live'!AL338='check-Jul25'!AL338,"",'1. Live'!AL338-'check-Jul25'!AL338)</f>
        <v/>
      </c>
      <c r="AM338" t="str">
        <f>IF('1. Live'!AM338='check-Jul25'!AM338,"",'1. Live'!AM338-'check-Jul25'!AM338)</f>
        <v/>
      </c>
      <c r="AN338" t="str">
        <f>IF('1. Live'!AN338='check-Jul25'!AN338,"",'1. Live'!AN338-'check-Jul25'!AN338)</f>
        <v/>
      </c>
      <c r="AO338" t="str">
        <f>IF('1. Live'!AO338='check-Jul25'!AO338,"",'1. Live'!AO338-'check-Jul25'!AO338)</f>
        <v/>
      </c>
      <c r="AP338" t="str">
        <f>IF('1. Live'!AP338='check-Jul25'!AP338,"",'1. Live'!AP338-'check-Jul25'!AP338)</f>
        <v/>
      </c>
      <c r="AQ338" t="str">
        <f>IF('1. Live'!AQ338='check-Jul25'!AQ338,"",'1. Live'!AQ338-'check-Jul25'!AQ338)</f>
        <v/>
      </c>
      <c r="AR338" t="str">
        <f>IF('1. Live'!AR338='check-Jul25'!AR338,"",'1. Live'!AR338-'check-Jul25'!AR338)</f>
        <v/>
      </c>
      <c r="AS338" t="str">
        <f>IF('1. Live'!AS338='check-Jul25'!AS338,"",'1. Live'!AS338-'check-Jul25'!AS338)</f>
        <v/>
      </c>
      <c r="AT338" t="str">
        <f>IF('1. Live'!AT338='check-Jul25'!AT338,"",'1. Live'!AT338-'check-Jul25'!AT338)</f>
        <v/>
      </c>
      <c r="AU338" t="str">
        <f>IF('1. Live'!AU338='check-Jul25'!AU338,"",'1. Live'!AU338-'check-Jul25'!AU338)</f>
        <v/>
      </c>
      <c r="AV338" t="str">
        <f>IF('1. Live'!AV338='check-Jul25'!AV338,"",'1. Live'!AV338-'check-Jul25'!AV338)</f>
        <v/>
      </c>
      <c r="AW338" t="str">
        <f>IF('1. Live'!AW338='check-Jul25'!AW338,"",'1. Live'!AW338-'check-Jul25'!AW338)</f>
        <v/>
      </c>
      <c r="AX338" t="str">
        <f>IF('1. Live'!AX338='check-Jul25'!AX338,"",'1. Live'!AX338-'check-Jul25'!AX338)</f>
        <v/>
      </c>
      <c r="AY338" t="str">
        <f>IF('1. Live'!AY338='check-Jul25'!AY338,"",'1. Live'!AY338-'check-Jul25'!AY338)</f>
        <v/>
      </c>
      <c r="AZ338" t="str">
        <f>IF('1. Live'!AZ338='check-Jul25'!AZ338,"",'1. Live'!AZ338-'check-Jul25'!AZ338)</f>
        <v/>
      </c>
      <c r="BA338" t="str">
        <f>IF('1. Live'!BA338='check-Jul25'!BA338,"",'1. Live'!BA338-'check-Jul25'!BA338)</f>
        <v/>
      </c>
      <c r="BB338" t="str">
        <f>IF('1. Live'!BB338='check-Jul25'!BB338,"",'1. Live'!BB338-'check-Jul25'!BB338)</f>
        <v/>
      </c>
      <c r="BC338" t="str">
        <f>IF('1. Live'!BC338='check-Jul25'!BC338,"",'1. Live'!BC338-'check-Jul25'!BC338)</f>
        <v/>
      </c>
      <c r="BD338" t="str">
        <f>IF('1. Live'!BD338='check-Jul25'!BD338,"",'1. Live'!BD338-'check-Jul25'!BD338)</f>
        <v/>
      </c>
      <c r="BE338" t="str">
        <f>IF('1. Live'!BE338='check-Jul25'!BE338,"",'1. Live'!BE338-'check-Jul25'!BE338)</f>
        <v/>
      </c>
      <c r="BF338" t="str">
        <f>IF('1. Live'!BF338='check-Jul25'!BF338,"",'1. Live'!BF338-'check-Jul25'!BF338)</f>
        <v/>
      </c>
      <c r="BG338" t="str">
        <f>IF('1. Live'!BG338='check-Jul25'!BG338,"",'1. Live'!BG338-'check-Jul25'!BG338)</f>
        <v/>
      </c>
      <c r="BH338" t="str">
        <f>IF('1. Live'!BH338='check-Jul25'!BH338,"",'1. Live'!BH338-'check-Jul25'!BH338)</f>
        <v/>
      </c>
      <c r="BI338" t="str">
        <f>IF('1. Live'!BI338='check-Jul25'!BI338,"",'1. Live'!BI338-'check-Jul25'!BI338)</f>
        <v/>
      </c>
      <c r="BJ338" t="str">
        <f>IF('1. Live'!BJ338='check-Jul25'!BJ338,"",'1. Live'!BJ338-'check-Jul25'!BJ338)</f>
        <v/>
      </c>
      <c r="BK338" t="str">
        <f>IF('1. Live'!BK338='check-Jul25'!BK338,"",'1. Live'!BK338-'check-Jul25'!BK338)</f>
        <v/>
      </c>
      <c r="BL338" t="str">
        <f>IF('1. Live'!BL338='check-Jul25'!BL338,"",'1. Live'!BL338-'check-Jul25'!BL338)</f>
        <v/>
      </c>
      <c r="BM338" t="str">
        <f>IF('1. Live'!BM338='check-Jul25'!BM338,"",'1. Live'!BM338-'check-Jul25'!BM338)</f>
        <v/>
      </c>
      <c r="BN338" t="str">
        <f>IF('1. Live'!BN338='check-Jul25'!BN338,"",'1. Live'!BN338-'check-Jul25'!BN338)</f>
        <v/>
      </c>
      <c r="BO338" t="str">
        <f>IF('1. Live'!BO338='check-Jul25'!BO338,"",'1. Live'!BO338-'check-Jul25'!BO338)</f>
        <v/>
      </c>
      <c r="BP338" t="str">
        <f>IF('1. Live'!BP338='check-Jul25'!BP338,"",'1. Live'!BP338-'check-Jul25'!BP338)</f>
        <v/>
      </c>
      <c r="BQ338" t="str">
        <f>IF('1. Live'!BQ338='check-Jul25'!BQ338,"",'1. Live'!BQ338-'check-Jul25'!BQ338)</f>
        <v/>
      </c>
      <c r="BR338" t="str">
        <f>IF('1. Live'!BR338='check-Jul25'!BR338,"",'1. Live'!BR338-'check-Jul25'!BR338)</f>
        <v/>
      </c>
      <c r="BS338" t="str">
        <f>IF('1. Live'!BS338='check-Jul25'!BS338,"",'1. Live'!BS338-'check-Jul25'!BS338)</f>
        <v/>
      </c>
      <c r="BT338" t="str">
        <f>IF('1. Live'!BT338='check-Jul25'!BT338,"",'1. Live'!BT338-'check-Jul25'!BT338)</f>
        <v/>
      </c>
      <c r="BU338" t="str">
        <f>IF('1. Live'!BU338='check-Jul25'!BU338,"",'1. Live'!BU338-'check-Jul25'!BU338)</f>
        <v/>
      </c>
      <c r="BV338" t="str">
        <f>IF('1. Live'!BV338='check-Jul25'!BV338,"",'1. Live'!BV338-'check-Jul25'!BV338)</f>
        <v/>
      </c>
      <c r="BW338" t="str">
        <f>IF('1. Live'!BW338='check-Jul25'!BW338,"",'1. Live'!BW338-'check-Jul25'!BW338)</f>
        <v/>
      </c>
      <c r="BX338" t="str">
        <f>IF('1. Live'!BX338='check-Jul25'!BX338,"",'1. Live'!BX338-'check-Jul25'!BX338)</f>
        <v/>
      </c>
      <c r="BY338" t="str">
        <f>IF('1. Live'!BY338='check-Jul25'!BY338,"",'1. Live'!BY338-'check-Jul25'!BY338)</f>
        <v/>
      </c>
      <c r="BZ338" t="str">
        <f>IF('1. Live'!BZ338='check-Jul25'!BZ338,"",'1. Live'!BZ338-'check-Jul25'!BZ338)</f>
        <v/>
      </c>
      <c r="CA338" t="str">
        <f>IF('1. Live'!CA338='check-Jul25'!CA338,"",'1. Live'!CA338-'check-Jul25'!CA338)</f>
        <v/>
      </c>
      <c r="CB338" t="str">
        <f>IF('1. Live'!CB338='check-Jul25'!CB338,"",'1. Live'!CB338-'check-Jul25'!CB338)</f>
        <v/>
      </c>
      <c r="CC338" t="str">
        <f>IF('1. Live'!CC338='check-Jul25'!CC338,"",'1. Live'!CC338-'check-Jul25'!CC338)</f>
        <v/>
      </c>
      <c r="CD338" t="str">
        <f>IF('1. Live'!CD338='check-Jul25'!CD338,"",'1. Live'!CD338-'check-Jul25'!CD338)</f>
        <v/>
      </c>
      <c r="CE338" t="str">
        <f>IF('1. Live'!CE338='check-Jul25'!CE338,"",'1. Live'!CE338-'check-Jul25'!CE338)</f>
        <v/>
      </c>
      <c r="CF338" t="str">
        <f>IF('1. Live'!CF338='check-Jul25'!CF338,"",'1. Live'!CF338-'check-Jul25'!CF338)</f>
        <v/>
      </c>
      <c r="CG338" t="str">
        <f>IF('1. Live'!CG338='check-Jul25'!CG338,"",'1. Live'!CG338-'check-Jul25'!CG338)</f>
        <v/>
      </c>
      <c r="CH338" t="str">
        <f>IF('1. Live'!CH338='check-Jul25'!CH338,"",'1. Live'!CH338-'check-Jul25'!CH338)</f>
        <v/>
      </c>
      <c r="CI338" t="str">
        <f>IF('1. Live'!CI338='check-Jul25'!CI338,"",'1. Live'!CI338-'check-Jul25'!CI338)</f>
        <v/>
      </c>
      <c r="CJ338" t="str">
        <f>IF('1. Live'!CJ338='check-Jul25'!CJ338,"",'1. Live'!CJ338-'check-Jul25'!CJ338)</f>
        <v/>
      </c>
      <c r="CK338" t="str">
        <f>IF('1. Live'!CK338='check-Jul25'!CK338,"",'1. Live'!CK338-'check-Jul25'!CK338)</f>
        <v/>
      </c>
      <c r="CL338" t="str">
        <f>IF('1. Live'!CL338='check-Jul25'!CL338,"",'1. Live'!CL338-'check-Jul25'!CL338)</f>
        <v/>
      </c>
      <c r="CM338" t="str">
        <f>IF('1. Live'!CM338='check-Jul25'!CM338,"",'1. Live'!CM338-'check-Jul25'!CM338)</f>
        <v/>
      </c>
      <c r="CN338" t="str">
        <f>IF('1. Live'!CN338='check-Jul25'!CN338,"",'1. Live'!CN338-'check-Jul25'!CN338)</f>
        <v/>
      </c>
      <c r="CO338" t="str">
        <f>IF('1. Live'!CO338='check-Jul25'!CO338,"",'1. Live'!CO338-'check-Jul25'!CO338)</f>
        <v/>
      </c>
      <c r="CP338" t="str">
        <f>IF('1. Live'!CP338='check-Jul25'!CP338,"",'1. Live'!CP338-'check-Jul25'!CP338)</f>
        <v/>
      </c>
      <c r="CQ338" t="str">
        <f>IF('1. Live'!CQ338='check-Jul25'!CQ338,"",'1. Live'!CQ338-'check-Jul25'!CQ338)</f>
        <v/>
      </c>
      <c r="CR338" t="str">
        <f>IF('1. Live'!CR338='check-Jul25'!CR338,"",'1. Live'!CR338-'check-Jul25'!CR338)</f>
        <v/>
      </c>
      <c r="CS338" t="str">
        <f>IF('1. Live'!CS338='check-Jul25'!CS338,"",'1. Live'!CS338-'check-Jul25'!CS338)</f>
        <v/>
      </c>
      <c r="CT338" t="str">
        <f>IF('1. Live'!CT338='check-Jul25'!CT338,"",'1. Live'!CT338-'check-Jul25'!CT338)</f>
        <v/>
      </c>
      <c r="CU338" t="str">
        <f>IF('1. Live'!CU338='check-Jul25'!CU338,"",'1. Live'!CU338-'check-Jul25'!CU338)</f>
        <v/>
      </c>
      <c r="CV338" t="str">
        <f>IF('1. Live'!CV338='check-Jul25'!CV338,"",'1. Live'!CV338-'check-Jul25'!CV338)</f>
        <v/>
      </c>
      <c r="CW338" t="str">
        <f>IF('1. Live'!CW338='check-Jul25'!CW338,"",'1. Live'!CW338-'check-Jul25'!CW338)</f>
        <v/>
      </c>
    </row>
    <row r="339" spans="10:101">
      <c r="J339" t="str">
        <f>IF('1. Live'!J339='check-Jul25'!J339,"",'1. Live'!J339-'check-Jul25'!J339)</f>
        <v/>
      </c>
      <c r="K339" t="str">
        <f>IF('1. Live'!K339='check-Jul25'!K339,"",'1. Live'!K339-'check-Jul25'!K339)</f>
        <v/>
      </c>
      <c r="L339" t="str">
        <f>IF('1. Live'!L339='check-Jul25'!L339,"",'1. Live'!L339-'check-Jul25'!L339)</f>
        <v/>
      </c>
      <c r="M339" t="str">
        <f>IF('1. Live'!M339='check-Jul25'!M339,"",'1. Live'!M339-'check-Jul25'!M339)</f>
        <v/>
      </c>
      <c r="N339" t="str">
        <f>IF('1. Live'!N339='check-Jul25'!N339,"",'1. Live'!N339-'check-Jul25'!N339)</f>
        <v/>
      </c>
      <c r="O339" t="str">
        <f>IF('1. Live'!O339='check-Jul25'!O339,"",'1. Live'!O339-'check-Jul25'!O339)</f>
        <v/>
      </c>
      <c r="P339" t="str">
        <f>IF('1. Live'!P339='check-Jul25'!P339,"",'1. Live'!P339-'check-Jul25'!P339)</f>
        <v/>
      </c>
      <c r="Q339" t="str">
        <f>IF('1. Live'!Q339='check-Jul25'!Q339,"",'1. Live'!Q339-'check-Jul25'!Q339)</f>
        <v/>
      </c>
      <c r="R339" t="str">
        <f>IF('1. Live'!R339='check-Jul25'!R339,"",'1. Live'!R339-'check-Jul25'!R339)</f>
        <v/>
      </c>
      <c r="S339" t="str">
        <f>IF('1. Live'!S339='check-Jul25'!S339,"",'1. Live'!S339-'check-Jul25'!S339)</f>
        <v/>
      </c>
      <c r="T339" t="str">
        <f>IF('1. Live'!T339='check-Jul25'!T339,"",'1. Live'!T339-'check-Jul25'!T339)</f>
        <v/>
      </c>
      <c r="U339" t="str">
        <f>IF('1. Live'!U339='check-Jul25'!U339,"",'1. Live'!U339-'check-Jul25'!U339)</f>
        <v/>
      </c>
      <c r="V339" t="str">
        <f>IF('1. Live'!V339='check-Jul25'!V339,"",'1. Live'!V339-'check-Jul25'!V339)</f>
        <v/>
      </c>
      <c r="W339" t="str">
        <f>IF('1. Live'!W339='check-Jul25'!W339,"",'1. Live'!W339-'check-Jul25'!W339)</f>
        <v/>
      </c>
      <c r="X339" t="str">
        <f>IF('1. Live'!X339='check-Jul25'!X339,"",'1. Live'!X339-'check-Jul25'!X339)</f>
        <v/>
      </c>
      <c r="Y339" t="str">
        <f>IF('1. Live'!Y339='check-Jul25'!Y339,"",'1. Live'!Y339-'check-Jul25'!Y339)</f>
        <v/>
      </c>
      <c r="Z339" t="str">
        <f>IF('1. Live'!Z339='check-Jul25'!Z339,"",'1. Live'!Z339-'check-Jul25'!Z339)</f>
        <v/>
      </c>
      <c r="AA339" t="str">
        <f>IF('1. Live'!AA339='check-Jul25'!AA339,"",'1. Live'!AA339-'check-Jul25'!AA339)</f>
        <v/>
      </c>
      <c r="AB339" t="str">
        <f>IF('1. Live'!AB339='check-Jul25'!AB339,"",'1. Live'!AB339-'check-Jul25'!AB339)</f>
        <v/>
      </c>
      <c r="AC339" t="str">
        <f>IF('1. Live'!AC339='check-Jul25'!AC339,"",'1. Live'!AC339-'check-Jul25'!AC339)</f>
        <v/>
      </c>
      <c r="AD339" t="str">
        <f>IF('1. Live'!AD339='check-Jul25'!AD339,"",'1. Live'!AD339-'check-Jul25'!AD339)</f>
        <v/>
      </c>
      <c r="AE339" t="str">
        <f>IF('1. Live'!AE339='check-Jul25'!AE339,"",'1. Live'!AE339-'check-Jul25'!AE339)</f>
        <v/>
      </c>
      <c r="AF339" t="str">
        <f>IF('1. Live'!AF339='check-Jul25'!AF339,"",'1. Live'!AF339-'check-Jul25'!AF339)</f>
        <v/>
      </c>
      <c r="AG339" t="str">
        <f>IF('1. Live'!AG339='check-Jul25'!AG339,"",'1. Live'!AG339-'check-Jul25'!AG339)</f>
        <v/>
      </c>
      <c r="AH339" t="str">
        <f>IF('1. Live'!AH339='check-Jul25'!AH339,"",'1. Live'!AH339-'check-Jul25'!AH339)</f>
        <v/>
      </c>
      <c r="AI339" t="str">
        <f>IF('1. Live'!AI339='check-Jul25'!AI339,"",'1. Live'!AI339-'check-Jul25'!AI339)</f>
        <v/>
      </c>
      <c r="AJ339" t="str">
        <f>IF('1. Live'!AJ339='check-Jul25'!AJ339,"",'1. Live'!AJ339-'check-Jul25'!AJ339)</f>
        <v/>
      </c>
      <c r="AK339" t="str">
        <f>IF('1. Live'!AK339='check-Jul25'!AK339,"",'1. Live'!AK339-'check-Jul25'!AK339)</f>
        <v/>
      </c>
      <c r="AL339" t="str">
        <f>IF('1. Live'!AL339='check-Jul25'!AL339,"",'1. Live'!AL339-'check-Jul25'!AL339)</f>
        <v/>
      </c>
      <c r="AM339" t="str">
        <f>IF('1. Live'!AM339='check-Jul25'!AM339,"",'1. Live'!AM339-'check-Jul25'!AM339)</f>
        <v/>
      </c>
      <c r="AN339" t="str">
        <f>IF('1. Live'!AN339='check-Jul25'!AN339,"",'1. Live'!AN339-'check-Jul25'!AN339)</f>
        <v/>
      </c>
      <c r="AO339" t="str">
        <f>IF('1. Live'!AO339='check-Jul25'!AO339,"",'1. Live'!AO339-'check-Jul25'!AO339)</f>
        <v/>
      </c>
      <c r="AP339" t="str">
        <f>IF('1. Live'!AP339='check-Jul25'!AP339,"",'1. Live'!AP339-'check-Jul25'!AP339)</f>
        <v/>
      </c>
      <c r="AQ339" t="str">
        <f>IF('1. Live'!AQ339='check-Jul25'!AQ339,"",'1. Live'!AQ339-'check-Jul25'!AQ339)</f>
        <v/>
      </c>
      <c r="AR339" t="str">
        <f>IF('1. Live'!AR339='check-Jul25'!AR339,"",'1. Live'!AR339-'check-Jul25'!AR339)</f>
        <v/>
      </c>
      <c r="AS339" t="str">
        <f>IF('1. Live'!AS339='check-Jul25'!AS339,"",'1. Live'!AS339-'check-Jul25'!AS339)</f>
        <v/>
      </c>
      <c r="AT339" t="str">
        <f>IF('1. Live'!AT339='check-Jul25'!AT339,"",'1. Live'!AT339-'check-Jul25'!AT339)</f>
        <v/>
      </c>
      <c r="AU339" t="str">
        <f>IF('1. Live'!AU339='check-Jul25'!AU339,"",'1. Live'!AU339-'check-Jul25'!AU339)</f>
        <v/>
      </c>
      <c r="AV339" t="str">
        <f>IF('1. Live'!AV339='check-Jul25'!AV339,"",'1. Live'!AV339-'check-Jul25'!AV339)</f>
        <v/>
      </c>
      <c r="AW339" t="str">
        <f>IF('1. Live'!AW339='check-Jul25'!AW339,"",'1. Live'!AW339-'check-Jul25'!AW339)</f>
        <v/>
      </c>
      <c r="AX339" t="str">
        <f>IF('1. Live'!AX339='check-Jul25'!AX339,"",'1. Live'!AX339-'check-Jul25'!AX339)</f>
        <v/>
      </c>
      <c r="AY339" t="str">
        <f>IF('1. Live'!AY339='check-Jul25'!AY339,"",'1. Live'!AY339-'check-Jul25'!AY339)</f>
        <v/>
      </c>
      <c r="AZ339" t="str">
        <f>IF('1. Live'!AZ339='check-Jul25'!AZ339,"",'1. Live'!AZ339-'check-Jul25'!AZ339)</f>
        <v/>
      </c>
      <c r="BA339" t="str">
        <f>IF('1. Live'!BA339='check-Jul25'!BA339,"",'1. Live'!BA339-'check-Jul25'!BA339)</f>
        <v/>
      </c>
      <c r="BB339" t="str">
        <f>IF('1. Live'!BB339='check-Jul25'!BB339,"",'1. Live'!BB339-'check-Jul25'!BB339)</f>
        <v/>
      </c>
      <c r="BC339" t="str">
        <f>IF('1. Live'!BC339='check-Jul25'!BC339,"",'1. Live'!BC339-'check-Jul25'!BC339)</f>
        <v/>
      </c>
      <c r="BD339" t="str">
        <f>IF('1. Live'!BD339='check-Jul25'!BD339,"",'1. Live'!BD339-'check-Jul25'!BD339)</f>
        <v/>
      </c>
      <c r="BE339" t="str">
        <f>IF('1. Live'!BE339='check-Jul25'!BE339,"",'1. Live'!BE339-'check-Jul25'!BE339)</f>
        <v/>
      </c>
      <c r="BF339" t="str">
        <f>IF('1. Live'!BF339='check-Jul25'!BF339,"",'1. Live'!BF339-'check-Jul25'!BF339)</f>
        <v/>
      </c>
      <c r="BG339" t="str">
        <f>IF('1. Live'!BG339='check-Jul25'!BG339,"",'1. Live'!BG339-'check-Jul25'!BG339)</f>
        <v/>
      </c>
      <c r="BH339" t="str">
        <f>IF('1. Live'!BH339='check-Jul25'!BH339,"",'1. Live'!BH339-'check-Jul25'!BH339)</f>
        <v/>
      </c>
      <c r="BI339" t="str">
        <f>IF('1. Live'!BI339='check-Jul25'!BI339,"",'1. Live'!BI339-'check-Jul25'!BI339)</f>
        <v/>
      </c>
      <c r="BJ339" t="str">
        <f>IF('1. Live'!BJ339='check-Jul25'!BJ339,"",'1. Live'!BJ339-'check-Jul25'!BJ339)</f>
        <v/>
      </c>
      <c r="BK339" t="str">
        <f>IF('1. Live'!BK339='check-Jul25'!BK339,"",'1. Live'!BK339-'check-Jul25'!BK339)</f>
        <v/>
      </c>
      <c r="BL339" t="str">
        <f>IF('1. Live'!BL339='check-Jul25'!BL339,"",'1. Live'!BL339-'check-Jul25'!BL339)</f>
        <v/>
      </c>
      <c r="BM339" t="str">
        <f>IF('1. Live'!BM339='check-Jul25'!BM339,"",'1. Live'!BM339-'check-Jul25'!BM339)</f>
        <v/>
      </c>
      <c r="BN339" t="str">
        <f>IF('1. Live'!BN339='check-Jul25'!BN339,"",'1. Live'!BN339-'check-Jul25'!BN339)</f>
        <v/>
      </c>
      <c r="BO339" t="str">
        <f>IF('1. Live'!BO339='check-Jul25'!BO339,"",'1. Live'!BO339-'check-Jul25'!BO339)</f>
        <v/>
      </c>
      <c r="BP339" t="str">
        <f>IF('1. Live'!BP339='check-Jul25'!BP339,"",'1. Live'!BP339-'check-Jul25'!BP339)</f>
        <v/>
      </c>
      <c r="BQ339" t="str">
        <f>IF('1. Live'!BQ339='check-Jul25'!BQ339,"",'1. Live'!BQ339-'check-Jul25'!BQ339)</f>
        <v/>
      </c>
      <c r="BR339" t="str">
        <f>IF('1. Live'!BR339='check-Jul25'!BR339,"",'1. Live'!BR339-'check-Jul25'!BR339)</f>
        <v/>
      </c>
      <c r="BS339" t="str">
        <f>IF('1. Live'!BS339='check-Jul25'!BS339,"",'1. Live'!BS339-'check-Jul25'!BS339)</f>
        <v/>
      </c>
      <c r="BT339" t="str">
        <f>IF('1. Live'!BT339='check-Jul25'!BT339,"",'1. Live'!BT339-'check-Jul25'!BT339)</f>
        <v/>
      </c>
      <c r="BU339" t="str">
        <f>IF('1. Live'!BU339='check-Jul25'!BU339,"",'1. Live'!BU339-'check-Jul25'!BU339)</f>
        <v/>
      </c>
      <c r="BV339" t="str">
        <f>IF('1. Live'!BV339='check-Jul25'!BV339,"",'1. Live'!BV339-'check-Jul25'!BV339)</f>
        <v/>
      </c>
      <c r="BW339" t="str">
        <f>IF('1. Live'!BW339='check-Jul25'!BW339,"",'1. Live'!BW339-'check-Jul25'!BW339)</f>
        <v/>
      </c>
      <c r="BX339" t="str">
        <f>IF('1. Live'!BX339='check-Jul25'!BX339,"",'1. Live'!BX339-'check-Jul25'!BX339)</f>
        <v/>
      </c>
      <c r="BY339" t="str">
        <f>IF('1. Live'!BY339='check-Jul25'!BY339,"",'1. Live'!BY339-'check-Jul25'!BY339)</f>
        <v/>
      </c>
      <c r="BZ339" t="str">
        <f>IF('1. Live'!BZ339='check-Jul25'!BZ339,"",'1. Live'!BZ339-'check-Jul25'!BZ339)</f>
        <v/>
      </c>
      <c r="CA339" t="str">
        <f>IF('1. Live'!CA339='check-Jul25'!CA339,"",'1. Live'!CA339-'check-Jul25'!CA339)</f>
        <v/>
      </c>
      <c r="CB339" t="str">
        <f>IF('1. Live'!CB339='check-Jul25'!CB339,"",'1. Live'!CB339-'check-Jul25'!CB339)</f>
        <v/>
      </c>
      <c r="CC339" t="str">
        <f>IF('1. Live'!CC339='check-Jul25'!CC339,"",'1. Live'!CC339-'check-Jul25'!CC339)</f>
        <v/>
      </c>
      <c r="CD339" t="str">
        <f>IF('1. Live'!CD339='check-Jul25'!CD339,"",'1. Live'!CD339-'check-Jul25'!CD339)</f>
        <v/>
      </c>
      <c r="CE339" t="str">
        <f>IF('1. Live'!CE339='check-Jul25'!CE339,"",'1. Live'!CE339-'check-Jul25'!CE339)</f>
        <v/>
      </c>
      <c r="CF339" t="str">
        <f>IF('1. Live'!CF339='check-Jul25'!CF339,"",'1. Live'!CF339-'check-Jul25'!CF339)</f>
        <v/>
      </c>
      <c r="CG339" t="str">
        <f>IF('1. Live'!CG339='check-Jul25'!CG339,"",'1. Live'!CG339-'check-Jul25'!CG339)</f>
        <v/>
      </c>
      <c r="CH339" t="str">
        <f>IF('1. Live'!CH339='check-Jul25'!CH339,"",'1. Live'!CH339-'check-Jul25'!CH339)</f>
        <v/>
      </c>
      <c r="CI339" t="str">
        <f>IF('1. Live'!CI339='check-Jul25'!CI339,"",'1. Live'!CI339-'check-Jul25'!CI339)</f>
        <v/>
      </c>
      <c r="CJ339" t="str">
        <f>IF('1. Live'!CJ339='check-Jul25'!CJ339,"",'1. Live'!CJ339-'check-Jul25'!CJ339)</f>
        <v/>
      </c>
      <c r="CK339" t="str">
        <f>IF('1. Live'!CK339='check-Jul25'!CK339,"",'1. Live'!CK339-'check-Jul25'!CK339)</f>
        <v/>
      </c>
      <c r="CL339" t="str">
        <f>IF('1. Live'!CL339='check-Jul25'!CL339,"",'1. Live'!CL339-'check-Jul25'!CL339)</f>
        <v/>
      </c>
      <c r="CM339" t="str">
        <f>IF('1. Live'!CM339='check-Jul25'!CM339,"",'1. Live'!CM339-'check-Jul25'!CM339)</f>
        <v/>
      </c>
      <c r="CN339" t="str">
        <f>IF('1. Live'!CN339='check-Jul25'!CN339,"",'1. Live'!CN339-'check-Jul25'!CN339)</f>
        <v/>
      </c>
      <c r="CO339" t="str">
        <f>IF('1. Live'!CO339='check-Jul25'!CO339,"",'1. Live'!CO339-'check-Jul25'!CO339)</f>
        <v/>
      </c>
      <c r="CP339" t="str">
        <f>IF('1. Live'!CP339='check-Jul25'!CP339,"",'1. Live'!CP339-'check-Jul25'!CP339)</f>
        <v/>
      </c>
      <c r="CQ339" t="str">
        <f>IF('1. Live'!CQ339='check-Jul25'!CQ339,"",'1. Live'!CQ339-'check-Jul25'!CQ339)</f>
        <v/>
      </c>
      <c r="CR339" t="str">
        <f>IF('1. Live'!CR339='check-Jul25'!CR339,"",'1. Live'!CR339-'check-Jul25'!CR339)</f>
        <v/>
      </c>
      <c r="CS339" t="str">
        <f>IF('1. Live'!CS339='check-Jul25'!CS339,"",'1. Live'!CS339-'check-Jul25'!CS339)</f>
        <v/>
      </c>
      <c r="CT339" t="str">
        <f>IF('1. Live'!CT339='check-Jul25'!CT339,"",'1. Live'!CT339-'check-Jul25'!CT339)</f>
        <v/>
      </c>
      <c r="CU339" t="str">
        <f>IF('1. Live'!CU339='check-Jul25'!CU339,"",'1. Live'!CU339-'check-Jul25'!CU339)</f>
        <v/>
      </c>
      <c r="CV339" t="str">
        <f>IF('1. Live'!CV339='check-Jul25'!CV339,"",'1. Live'!CV339-'check-Jul25'!CV339)</f>
        <v/>
      </c>
      <c r="CW339" t="str">
        <f>IF('1. Live'!CW339='check-Jul25'!CW339,"",'1. Live'!CW339-'check-Jul25'!CW339)</f>
        <v/>
      </c>
    </row>
    <row r="340" spans="10:101">
      <c r="J340" t="str">
        <f>IF('1. Live'!J340='check-Jul25'!J340,"",'1. Live'!J340-'check-Jul25'!J340)</f>
        <v/>
      </c>
      <c r="K340" t="str">
        <f>IF('1. Live'!K340='check-Jul25'!K340,"",'1. Live'!K340-'check-Jul25'!K340)</f>
        <v/>
      </c>
      <c r="L340" t="str">
        <f>IF('1. Live'!L340='check-Jul25'!L340,"",'1. Live'!L340-'check-Jul25'!L340)</f>
        <v/>
      </c>
      <c r="M340" t="str">
        <f>IF('1. Live'!M340='check-Jul25'!M340,"",'1. Live'!M340-'check-Jul25'!M340)</f>
        <v/>
      </c>
      <c r="N340" t="str">
        <f>IF('1. Live'!N340='check-Jul25'!N340,"",'1. Live'!N340-'check-Jul25'!N340)</f>
        <v/>
      </c>
      <c r="O340" t="str">
        <f>IF('1. Live'!O340='check-Jul25'!O340,"",'1. Live'!O340-'check-Jul25'!O340)</f>
        <v/>
      </c>
      <c r="P340" t="str">
        <f>IF('1. Live'!P340='check-Jul25'!P340,"",'1. Live'!P340-'check-Jul25'!P340)</f>
        <v/>
      </c>
      <c r="Q340" t="str">
        <f>IF('1. Live'!Q340='check-Jul25'!Q340,"",'1. Live'!Q340-'check-Jul25'!Q340)</f>
        <v/>
      </c>
      <c r="R340" t="str">
        <f>IF('1. Live'!R340='check-Jul25'!R340,"",'1. Live'!R340-'check-Jul25'!R340)</f>
        <v/>
      </c>
      <c r="S340" t="str">
        <f>IF('1. Live'!S340='check-Jul25'!S340,"",'1. Live'!S340-'check-Jul25'!S340)</f>
        <v/>
      </c>
      <c r="T340" t="str">
        <f>IF('1. Live'!T340='check-Jul25'!T340,"",'1. Live'!T340-'check-Jul25'!T340)</f>
        <v/>
      </c>
      <c r="U340" t="str">
        <f>IF('1. Live'!U340='check-Jul25'!U340,"",'1. Live'!U340-'check-Jul25'!U340)</f>
        <v/>
      </c>
      <c r="V340" t="str">
        <f>IF('1. Live'!V340='check-Jul25'!V340,"",'1. Live'!V340-'check-Jul25'!V340)</f>
        <v/>
      </c>
      <c r="W340" t="str">
        <f>IF('1. Live'!W340='check-Jul25'!W340,"",'1. Live'!W340-'check-Jul25'!W340)</f>
        <v/>
      </c>
      <c r="X340" t="str">
        <f>IF('1. Live'!X340='check-Jul25'!X340,"",'1. Live'!X340-'check-Jul25'!X340)</f>
        <v/>
      </c>
      <c r="Y340" t="str">
        <f>IF('1. Live'!Y340='check-Jul25'!Y340,"",'1. Live'!Y340-'check-Jul25'!Y340)</f>
        <v/>
      </c>
      <c r="Z340" t="str">
        <f>IF('1. Live'!Z340='check-Jul25'!Z340,"",'1. Live'!Z340-'check-Jul25'!Z340)</f>
        <v/>
      </c>
      <c r="AA340" t="str">
        <f>IF('1. Live'!AA340='check-Jul25'!AA340,"",'1. Live'!AA340-'check-Jul25'!AA340)</f>
        <v/>
      </c>
      <c r="AB340" t="str">
        <f>IF('1. Live'!AB340='check-Jul25'!AB340,"",'1. Live'!AB340-'check-Jul25'!AB340)</f>
        <v/>
      </c>
      <c r="AC340" t="str">
        <f>IF('1. Live'!AC340='check-Jul25'!AC340,"",'1. Live'!AC340-'check-Jul25'!AC340)</f>
        <v/>
      </c>
      <c r="AD340" t="str">
        <f>IF('1. Live'!AD340='check-Jul25'!AD340,"",'1. Live'!AD340-'check-Jul25'!AD340)</f>
        <v/>
      </c>
      <c r="AE340" t="str">
        <f>IF('1. Live'!AE340='check-Jul25'!AE340,"",'1. Live'!AE340-'check-Jul25'!AE340)</f>
        <v/>
      </c>
      <c r="AF340" t="str">
        <f>IF('1. Live'!AF340='check-Jul25'!AF340,"",'1. Live'!AF340-'check-Jul25'!AF340)</f>
        <v/>
      </c>
      <c r="AG340" t="str">
        <f>IF('1. Live'!AG340='check-Jul25'!AG340,"",'1. Live'!AG340-'check-Jul25'!AG340)</f>
        <v/>
      </c>
      <c r="AH340" t="str">
        <f>IF('1. Live'!AH340='check-Jul25'!AH340,"",'1. Live'!AH340-'check-Jul25'!AH340)</f>
        <v/>
      </c>
      <c r="AI340" t="str">
        <f>IF('1. Live'!AI340='check-Jul25'!AI340,"",'1. Live'!AI340-'check-Jul25'!AI340)</f>
        <v/>
      </c>
      <c r="AJ340" t="str">
        <f>IF('1. Live'!AJ340='check-Jul25'!AJ340,"",'1. Live'!AJ340-'check-Jul25'!AJ340)</f>
        <v/>
      </c>
      <c r="AK340" t="str">
        <f>IF('1. Live'!AK340='check-Jul25'!AK340,"",'1. Live'!AK340-'check-Jul25'!AK340)</f>
        <v/>
      </c>
      <c r="AL340" t="str">
        <f>IF('1. Live'!AL340='check-Jul25'!AL340,"",'1. Live'!AL340-'check-Jul25'!AL340)</f>
        <v/>
      </c>
      <c r="AM340" t="str">
        <f>IF('1. Live'!AM340='check-Jul25'!AM340,"",'1. Live'!AM340-'check-Jul25'!AM340)</f>
        <v/>
      </c>
      <c r="AN340" t="str">
        <f>IF('1. Live'!AN340='check-Jul25'!AN340,"",'1. Live'!AN340-'check-Jul25'!AN340)</f>
        <v/>
      </c>
      <c r="AO340" t="str">
        <f>IF('1. Live'!AO340='check-Jul25'!AO340,"",'1. Live'!AO340-'check-Jul25'!AO340)</f>
        <v/>
      </c>
      <c r="AP340" t="str">
        <f>IF('1. Live'!AP340='check-Jul25'!AP340,"",'1. Live'!AP340-'check-Jul25'!AP340)</f>
        <v/>
      </c>
      <c r="AQ340" t="str">
        <f>IF('1. Live'!AQ340='check-Jul25'!AQ340,"",'1. Live'!AQ340-'check-Jul25'!AQ340)</f>
        <v/>
      </c>
      <c r="AR340" t="str">
        <f>IF('1. Live'!AR340='check-Jul25'!AR340,"",'1. Live'!AR340-'check-Jul25'!AR340)</f>
        <v/>
      </c>
      <c r="AS340" t="str">
        <f>IF('1. Live'!AS340='check-Jul25'!AS340,"",'1. Live'!AS340-'check-Jul25'!AS340)</f>
        <v/>
      </c>
      <c r="AT340" t="str">
        <f>IF('1. Live'!AT340='check-Jul25'!AT340,"",'1. Live'!AT340-'check-Jul25'!AT340)</f>
        <v/>
      </c>
      <c r="AU340" t="str">
        <f>IF('1. Live'!AU340='check-Jul25'!AU340,"",'1. Live'!AU340-'check-Jul25'!AU340)</f>
        <v/>
      </c>
      <c r="AV340" t="str">
        <f>IF('1. Live'!AV340='check-Jul25'!AV340,"",'1. Live'!AV340-'check-Jul25'!AV340)</f>
        <v/>
      </c>
      <c r="AW340" t="str">
        <f>IF('1. Live'!AW340='check-Jul25'!AW340,"",'1. Live'!AW340-'check-Jul25'!AW340)</f>
        <v/>
      </c>
      <c r="AX340" t="str">
        <f>IF('1. Live'!AX340='check-Jul25'!AX340,"",'1. Live'!AX340-'check-Jul25'!AX340)</f>
        <v/>
      </c>
      <c r="AY340" t="str">
        <f>IF('1. Live'!AY340='check-Jul25'!AY340,"",'1. Live'!AY340-'check-Jul25'!AY340)</f>
        <v/>
      </c>
      <c r="AZ340" t="str">
        <f>IF('1. Live'!AZ340='check-Jul25'!AZ340,"",'1. Live'!AZ340-'check-Jul25'!AZ340)</f>
        <v/>
      </c>
      <c r="BA340" t="str">
        <f>IF('1. Live'!BA340='check-Jul25'!BA340,"",'1. Live'!BA340-'check-Jul25'!BA340)</f>
        <v/>
      </c>
      <c r="BB340" t="str">
        <f>IF('1. Live'!BB340='check-Jul25'!BB340,"",'1. Live'!BB340-'check-Jul25'!BB340)</f>
        <v/>
      </c>
      <c r="BC340" t="str">
        <f>IF('1. Live'!BC340='check-Jul25'!BC340,"",'1. Live'!BC340-'check-Jul25'!BC340)</f>
        <v/>
      </c>
      <c r="BD340" t="str">
        <f>IF('1. Live'!BD340='check-Jul25'!BD340,"",'1. Live'!BD340-'check-Jul25'!BD340)</f>
        <v/>
      </c>
      <c r="BE340" t="str">
        <f>IF('1. Live'!BE340='check-Jul25'!BE340,"",'1. Live'!BE340-'check-Jul25'!BE340)</f>
        <v/>
      </c>
      <c r="BF340" t="str">
        <f>IF('1. Live'!BF340='check-Jul25'!BF340,"",'1. Live'!BF340-'check-Jul25'!BF340)</f>
        <v/>
      </c>
      <c r="BG340" t="str">
        <f>IF('1. Live'!BG340='check-Jul25'!BG340,"",'1. Live'!BG340-'check-Jul25'!BG340)</f>
        <v/>
      </c>
      <c r="BH340" t="str">
        <f>IF('1. Live'!BH340='check-Jul25'!BH340,"",'1. Live'!BH340-'check-Jul25'!BH340)</f>
        <v/>
      </c>
      <c r="BI340" t="str">
        <f>IF('1. Live'!BI340='check-Jul25'!BI340,"",'1. Live'!BI340-'check-Jul25'!BI340)</f>
        <v/>
      </c>
      <c r="BJ340" t="str">
        <f>IF('1. Live'!BJ340='check-Jul25'!BJ340,"",'1. Live'!BJ340-'check-Jul25'!BJ340)</f>
        <v/>
      </c>
      <c r="BK340" t="str">
        <f>IF('1. Live'!BK340='check-Jul25'!BK340,"",'1. Live'!BK340-'check-Jul25'!BK340)</f>
        <v/>
      </c>
      <c r="BL340" t="str">
        <f>IF('1. Live'!BL340='check-Jul25'!BL340,"",'1. Live'!BL340-'check-Jul25'!BL340)</f>
        <v/>
      </c>
      <c r="BM340" t="str">
        <f>IF('1. Live'!BM340='check-Jul25'!BM340,"",'1. Live'!BM340-'check-Jul25'!BM340)</f>
        <v/>
      </c>
      <c r="BN340" t="str">
        <f>IF('1. Live'!BN340='check-Jul25'!BN340,"",'1. Live'!BN340-'check-Jul25'!BN340)</f>
        <v/>
      </c>
      <c r="BO340" t="str">
        <f>IF('1. Live'!BO340='check-Jul25'!BO340,"",'1. Live'!BO340-'check-Jul25'!BO340)</f>
        <v/>
      </c>
      <c r="BP340" t="str">
        <f>IF('1. Live'!BP340='check-Jul25'!BP340,"",'1. Live'!BP340-'check-Jul25'!BP340)</f>
        <v/>
      </c>
      <c r="BQ340" t="str">
        <f>IF('1. Live'!BQ340='check-Jul25'!BQ340,"",'1. Live'!BQ340-'check-Jul25'!BQ340)</f>
        <v/>
      </c>
      <c r="BR340" t="str">
        <f>IF('1. Live'!BR340='check-Jul25'!BR340,"",'1. Live'!BR340-'check-Jul25'!BR340)</f>
        <v/>
      </c>
      <c r="BS340" t="str">
        <f>IF('1. Live'!BS340='check-Jul25'!BS340,"",'1. Live'!BS340-'check-Jul25'!BS340)</f>
        <v/>
      </c>
      <c r="BT340" t="str">
        <f>IF('1. Live'!BT340='check-Jul25'!BT340,"",'1. Live'!BT340-'check-Jul25'!BT340)</f>
        <v/>
      </c>
      <c r="BU340" t="str">
        <f>IF('1. Live'!BU340='check-Jul25'!BU340,"",'1. Live'!BU340-'check-Jul25'!BU340)</f>
        <v/>
      </c>
      <c r="BV340" t="str">
        <f>IF('1. Live'!BV340='check-Jul25'!BV340,"",'1. Live'!BV340-'check-Jul25'!BV340)</f>
        <v/>
      </c>
      <c r="BW340" t="str">
        <f>IF('1. Live'!BW340='check-Jul25'!BW340,"",'1. Live'!BW340-'check-Jul25'!BW340)</f>
        <v/>
      </c>
      <c r="BX340" t="str">
        <f>IF('1. Live'!BX340='check-Jul25'!BX340,"",'1. Live'!BX340-'check-Jul25'!BX340)</f>
        <v/>
      </c>
      <c r="BY340" t="str">
        <f>IF('1. Live'!BY340='check-Jul25'!BY340,"",'1. Live'!BY340-'check-Jul25'!BY340)</f>
        <v/>
      </c>
      <c r="BZ340" t="str">
        <f>IF('1. Live'!BZ340='check-Jul25'!BZ340,"",'1. Live'!BZ340-'check-Jul25'!BZ340)</f>
        <v/>
      </c>
      <c r="CA340" t="str">
        <f>IF('1. Live'!CA340='check-Jul25'!CA340,"",'1. Live'!CA340-'check-Jul25'!CA340)</f>
        <v/>
      </c>
      <c r="CB340" t="str">
        <f>IF('1. Live'!CB340='check-Jul25'!CB340,"",'1. Live'!CB340-'check-Jul25'!CB340)</f>
        <v/>
      </c>
      <c r="CC340" t="str">
        <f>IF('1. Live'!CC340='check-Jul25'!CC340,"",'1. Live'!CC340-'check-Jul25'!CC340)</f>
        <v/>
      </c>
      <c r="CD340" t="str">
        <f>IF('1. Live'!CD340='check-Jul25'!CD340,"",'1. Live'!CD340-'check-Jul25'!CD340)</f>
        <v/>
      </c>
      <c r="CE340" t="str">
        <f>IF('1. Live'!CE340='check-Jul25'!CE340,"",'1. Live'!CE340-'check-Jul25'!CE340)</f>
        <v/>
      </c>
      <c r="CF340" t="str">
        <f>IF('1. Live'!CF340='check-Jul25'!CF340,"",'1. Live'!CF340-'check-Jul25'!CF340)</f>
        <v/>
      </c>
      <c r="CG340" t="str">
        <f>IF('1. Live'!CG340='check-Jul25'!CG340,"",'1. Live'!CG340-'check-Jul25'!CG340)</f>
        <v/>
      </c>
      <c r="CH340" t="str">
        <f>IF('1. Live'!CH340='check-Jul25'!CH340,"",'1. Live'!CH340-'check-Jul25'!CH340)</f>
        <v/>
      </c>
      <c r="CI340" t="str">
        <f>IF('1. Live'!CI340='check-Jul25'!CI340,"",'1. Live'!CI340-'check-Jul25'!CI340)</f>
        <v/>
      </c>
      <c r="CJ340" t="str">
        <f>IF('1. Live'!CJ340='check-Jul25'!CJ340,"",'1. Live'!CJ340-'check-Jul25'!CJ340)</f>
        <v/>
      </c>
      <c r="CK340" t="str">
        <f>IF('1. Live'!CK340='check-Jul25'!CK340,"",'1. Live'!CK340-'check-Jul25'!CK340)</f>
        <v/>
      </c>
      <c r="CL340" t="str">
        <f>IF('1. Live'!CL340='check-Jul25'!CL340,"",'1. Live'!CL340-'check-Jul25'!CL340)</f>
        <v/>
      </c>
      <c r="CM340" t="str">
        <f>IF('1. Live'!CM340='check-Jul25'!CM340,"",'1. Live'!CM340-'check-Jul25'!CM340)</f>
        <v/>
      </c>
      <c r="CN340" t="str">
        <f>IF('1. Live'!CN340='check-Jul25'!CN340,"",'1. Live'!CN340-'check-Jul25'!CN340)</f>
        <v/>
      </c>
      <c r="CO340" t="str">
        <f>IF('1. Live'!CO340='check-Jul25'!CO340,"",'1. Live'!CO340-'check-Jul25'!CO340)</f>
        <v/>
      </c>
      <c r="CP340" t="str">
        <f>IF('1. Live'!CP340='check-Jul25'!CP340,"",'1. Live'!CP340-'check-Jul25'!CP340)</f>
        <v/>
      </c>
      <c r="CQ340" t="str">
        <f>IF('1. Live'!CQ340='check-Jul25'!CQ340,"",'1. Live'!CQ340-'check-Jul25'!CQ340)</f>
        <v/>
      </c>
      <c r="CR340" t="str">
        <f>IF('1. Live'!CR340='check-Jul25'!CR340,"",'1. Live'!CR340-'check-Jul25'!CR340)</f>
        <v/>
      </c>
      <c r="CS340" t="str">
        <f>IF('1. Live'!CS340='check-Jul25'!CS340,"",'1. Live'!CS340-'check-Jul25'!CS340)</f>
        <v/>
      </c>
      <c r="CT340" t="str">
        <f>IF('1. Live'!CT340='check-Jul25'!CT340,"",'1. Live'!CT340-'check-Jul25'!CT340)</f>
        <v/>
      </c>
      <c r="CU340" t="str">
        <f>IF('1. Live'!CU340='check-Jul25'!CU340,"",'1. Live'!CU340-'check-Jul25'!CU340)</f>
        <v/>
      </c>
      <c r="CV340" t="str">
        <f>IF('1. Live'!CV340='check-Jul25'!CV340,"",'1. Live'!CV340-'check-Jul25'!CV340)</f>
        <v/>
      </c>
      <c r="CW340" t="str">
        <f>IF('1. Live'!CW340='check-Jul25'!CW340,"",'1. Live'!CW340-'check-Jul25'!CW340)</f>
        <v/>
      </c>
    </row>
    <row r="341" spans="10:101">
      <c r="J341" t="str">
        <f>IF('1. Live'!J341='check-Jul25'!J341,"",'1. Live'!J341-'check-Jul25'!J341)</f>
        <v/>
      </c>
      <c r="K341" t="str">
        <f>IF('1. Live'!K341='check-Jul25'!K341,"",'1. Live'!K341-'check-Jul25'!K341)</f>
        <v/>
      </c>
      <c r="L341" t="str">
        <f>IF('1. Live'!L341='check-Jul25'!L341,"",'1. Live'!L341-'check-Jul25'!L341)</f>
        <v/>
      </c>
      <c r="M341" t="str">
        <f>IF('1. Live'!M341='check-Jul25'!M341,"",'1. Live'!M341-'check-Jul25'!M341)</f>
        <v/>
      </c>
      <c r="N341" t="str">
        <f>IF('1. Live'!N341='check-Jul25'!N341,"",'1. Live'!N341-'check-Jul25'!N341)</f>
        <v/>
      </c>
      <c r="O341" t="str">
        <f>IF('1. Live'!O341='check-Jul25'!O341,"",'1. Live'!O341-'check-Jul25'!O341)</f>
        <v/>
      </c>
      <c r="P341" t="str">
        <f>IF('1. Live'!P341='check-Jul25'!P341,"",'1. Live'!P341-'check-Jul25'!P341)</f>
        <v/>
      </c>
      <c r="Q341" t="str">
        <f>IF('1. Live'!Q341='check-Jul25'!Q341,"",'1. Live'!Q341-'check-Jul25'!Q341)</f>
        <v/>
      </c>
      <c r="R341" t="str">
        <f>IF('1. Live'!R341='check-Jul25'!R341,"",'1. Live'!R341-'check-Jul25'!R341)</f>
        <v/>
      </c>
      <c r="S341" t="str">
        <f>IF('1. Live'!S341='check-Jul25'!S341,"",'1. Live'!S341-'check-Jul25'!S341)</f>
        <v/>
      </c>
      <c r="T341" t="str">
        <f>IF('1. Live'!T341='check-Jul25'!T341,"",'1. Live'!T341-'check-Jul25'!T341)</f>
        <v/>
      </c>
      <c r="U341" t="str">
        <f>IF('1. Live'!U341='check-Jul25'!U341,"",'1. Live'!U341-'check-Jul25'!U341)</f>
        <v/>
      </c>
      <c r="V341" t="str">
        <f>IF('1. Live'!V341='check-Jul25'!V341,"",'1. Live'!V341-'check-Jul25'!V341)</f>
        <v/>
      </c>
      <c r="W341" t="str">
        <f>IF('1. Live'!W341='check-Jul25'!W341,"",'1. Live'!W341-'check-Jul25'!W341)</f>
        <v/>
      </c>
      <c r="X341" t="str">
        <f>IF('1. Live'!X341='check-Jul25'!X341,"",'1. Live'!X341-'check-Jul25'!X341)</f>
        <v/>
      </c>
      <c r="Y341" t="str">
        <f>IF('1. Live'!Y341='check-Jul25'!Y341,"",'1. Live'!Y341-'check-Jul25'!Y341)</f>
        <v/>
      </c>
      <c r="Z341" t="str">
        <f>IF('1. Live'!Z341='check-Jul25'!Z341,"",'1. Live'!Z341-'check-Jul25'!Z341)</f>
        <v/>
      </c>
      <c r="AA341" t="str">
        <f>IF('1. Live'!AA341='check-Jul25'!AA341,"",'1. Live'!AA341-'check-Jul25'!AA341)</f>
        <v/>
      </c>
      <c r="AB341" t="str">
        <f>IF('1. Live'!AB341='check-Jul25'!AB341,"",'1. Live'!AB341-'check-Jul25'!AB341)</f>
        <v/>
      </c>
      <c r="AC341" t="str">
        <f>IF('1. Live'!AC341='check-Jul25'!AC341,"",'1. Live'!AC341-'check-Jul25'!AC341)</f>
        <v/>
      </c>
      <c r="AD341" t="str">
        <f>IF('1. Live'!AD341='check-Jul25'!AD341,"",'1. Live'!AD341-'check-Jul25'!AD341)</f>
        <v/>
      </c>
      <c r="AE341" t="str">
        <f>IF('1. Live'!AE341='check-Jul25'!AE341,"",'1. Live'!AE341-'check-Jul25'!AE341)</f>
        <v/>
      </c>
      <c r="AF341" t="str">
        <f>IF('1. Live'!AF341='check-Jul25'!AF341,"",'1. Live'!AF341-'check-Jul25'!AF341)</f>
        <v/>
      </c>
      <c r="AG341" t="str">
        <f>IF('1. Live'!AG341='check-Jul25'!AG341,"",'1. Live'!AG341-'check-Jul25'!AG341)</f>
        <v/>
      </c>
      <c r="AH341" t="str">
        <f>IF('1. Live'!AH341='check-Jul25'!AH341,"",'1. Live'!AH341-'check-Jul25'!AH341)</f>
        <v/>
      </c>
      <c r="AI341" t="str">
        <f>IF('1. Live'!AI341='check-Jul25'!AI341,"",'1. Live'!AI341-'check-Jul25'!AI341)</f>
        <v/>
      </c>
      <c r="AJ341" t="str">
        <f>IF('1. Live'!AJ341='check-Jul25'!AJ341,"",'1. Live'!AJ341-'check-Jul25'!AJ341)</f>
        <v/>
      </c>
      <c r="AK341" t="str">
        <f>IF('1. Live'!AK341='check-Jul25'!AK341,"",'1. Live'!AK341-'check-Jul25'!AK341)</f>
        <v/>
      </c>
      <c r="AL341" t="str">
        <f>IF('1. Live'!AL341='check-Jul25'!AL341,"",'1. Live'!AL341-'check-Jul25'!AL341)</f>
        <v/>
      </c>
      <c r="AM341" t="str">
        <f>IF('1. Live'!AM341='check-Jul25'!AM341,"",'1. Live'!AM341-'check-Jul25'!AM341)</f>
        <v/>
      </c>
      <c r="AN341" t="str">
        <f>IF('1. Live'!AN341='check-Jul25'!AN341,"",'1. Live'!AN341-'check-Jul25'!AN341)</f>
        <v/>
      </c>
      <c r="AO341" t="str">
        <f>IF('1. Live'!AO341='check-Jul25'!AO341,"",'1. Live'!AO341-'check-Jul25'!AO341)</f>
        <v/>
      </c>
      <c r="AP341" t="str">
        <f>IF('1. Live'!AP341='check-Jul25'!AP341,"",'1. Live'!AP341-'check-Jul25'!AP341)</f>
        <v/>
      </c>
      <c r="AQ341" t="str">
        <f>IF('1. Live'!AQ341='check-Jul25'!AQ341,"",'1. Live'!AQ341-'check-Jul25'!AQ341)</f>
        <v/>
      </c>
      <c r="AR341" t="str">
        <f>IF('1. Live'!AR341='check-Jul25'!AR341,"",'1. Live'!AR341-'check-Jul25'!AR341)</f>
        <v/>
      </c>
      <c r="AS341" t="str">
        <f>IF('1. Live'!AS341='check-Jul25'!AS341,"",'1. Live'!AS341-'check-Jul25'!AS341)</f>
        <v/>
      </c>
      <c r="AT341" t="str">
        <f>IF('1. Live'!AT341='check-Jul25'!AT341,"",'1. Live'!AT341-'check-Jul25'!AT341)</f>
        <v/>
      </c>
      <c r="AU341" t="str">
        <f>IF('1. Live'!AU341='check-Jul25'!AU341,"",'1. Live'!AU341-'check-Jul25'!AU341)</f>
        <v/>
      </c>
      <c r="AV341" t="str">
        <f>IF('1. Live'!AV341='check-Jul25'!AV341,"",'1. Live'!AV341-'check-Jul25'!AV341)</f>
        <v/>
      </c>
      <c r="AW341" t="str">
        <f>IF('1. Live'!AW341='check-Jul25'!AW341,"",'1. Live'!AW341-'check-Jul25'!AW341)</f>
        <v/>
      </c>
      <c r="AX341" t="str">
        <f>IF('1. Live'!AX341='check-Jul25'!AX341,"",'1. Live'!AX341-'check-Jul25'!AX341)</f>
        <v/>
      </c>
      <c r="AY341" t="str">
        <f>IF('1. Live'!AY341='check-Jul25'!AY341,"",'1. Live'!AY341-'check-Jul25'!AY341)</f>
        <v/>
      </c>
      <c r="AZ341" t="str">
        <f>IF('1. Live'!AZ341='check-Jul25'!AZ341,"",'1. Live'!AZ341-'check-Jul25'!AZ341)</f>
        <v/>
      </c>
      <c r="BA341" t="str">
        <f>IF('1. Live'!BA341='check-Jul25'!BA341,"",'1. Live'!BA341-'check-Jul25'!BA341)</f>
        <v/>
      </c>
      <c r="BB341" t="str">
        <f>IF('1. Live'!BB341='check-Jul25'!BB341,"",'1. Live'!BB341-'check-Jul25'!BB341)</f>
        <v/>
      </c>
      <c r="BC341" t="str">
        <f>IF('1. Live'!BC341='check-Jul25'!BC341,"",'1. Live'!BC341-'check-Jul25'!BC341)</f>
        <v/>
      </c>
      <c r="BD341" t="str">
        <f>IF('1. Live'!BD341='check-Jul25'!BD341,"",'1. Live'!BD341-'check-Jul25'!BD341)</f>
        <v/>
      </c>
      <c r="BE341" t="str">
        <f>IF('1. Live'!BE341='check-Jul25'!BE341,"",'1. Live'!BE341-'check-Jul25'!BE341)</f>
        <v/>
      </c>
      <c r="BF341" t="str">
        <f>IF('1. Live'!BF341='check-Jul25'!BF341,"",'1. Live'!BF341-'check-Jul25'!BF341)</f>
        <v/>
      </c>
      <c r="BG341" t="str">
        <f>IF('1. Live'!BG341='check-Jul25'!BG341,"",'1. Live'!BG341-'check-Jul25'!BG341)</f>
        <v/>
      </c>
      <c r="BH341" t="str">
        <f>IF('1. Live'!BH341='check-Jul25'!BH341,"",'1. Live'!BH341-'check-Jul25'!BH341)</f>
        <v/>
      </c>
      <c r="BI341" t="str">
        <f>IF('1. Live'!BI341='check-Jul25'!BI341,"",'1. Live'!BI341-'check-Jul25'!BI341)</f>
        <v/>
      </c>
      <c r="BJ341" t="str">
        <f>IF('1. Live'!BJ341='check-Jul25'!BJ341,"",'1. Live'!BJ341-'check-Jul25'!BJ341)</f>
        <v/>
      </c>
      <c r="BK341" t="str">
        <f>IF('1. Live'!BK341='check-Jul25'!BK341,"",'1. Live'!BK341-'check-Jul25'!BK341)</f>
        <v/>
      </c>
      <c r="BL341" t="str">
        <f>IF('1. Live'!BL341='check-Jul25'!BL341,"",'1. Live'!BL341-'check-Jul25'!BL341)</f>
        <v/>
      </c>
      <c r="BM341" t="str">
        <f>IF('1. Live'!BM341='check-Jul25'!BM341,"",'1. Live'!BM341-'check-Jul25'!BM341)</f>
        <v/>
      </c>
      <c r="BN341" t="str">
        <f>IF('1. Live'!BN341='check-Jul25'!BN341,"",'1. Live'!BN341-'check-Jul25'!BN341)</f>
        <v/>
      </c>
      <c r="BO341" t="str">
        <f>IF('1. Live'!BO341='check-Jul25'!BO341,"",'1. Live'!BO341-'check-Jul25'!BO341)</f>
        <v/>
      </c>
      <c r="BP341" t="str">
        <f>IF('1. Live'!BP341='check-Jul25'!BP341,"",'1. Live'!BP341-'check-Jul25'!BP341)</f>
        <v/>
      </c>
      <c r="BQ341" t="str">
        <f>IF('1. Live'!BQ341='check-Jul25'!BQ341,"",'1. Live'!BQ341-'check-Jul25'!BQ341)</f>
        <v/>
      </c>
      <c r="BR341" t="str">
        <f>IF('1. Live'!BR341='check-Jul25'!BR341,"",'1. Live'!BR341-'check-Jul25'!BR341)</f>
        <v/>
      </c>
      <c r="BS341" t="str">
        <f>IF('1. Live'!BS341='check-Jul25'!BS341,"",'1. Live'!BS341-'check-Jul25'!BS341)</f>
        <v/>
      </c>
      <c r="BT341" t="str">
        <f>IF('1. Live'!BT341='check-Jul25'!BT341,"",'1. Live'!BT341-'check-Jul25'!BT341)</f>
        <v/>
      </c>
      <c r="BU341" t="str">
        <f>IF('1. Live'!BU341='check-Jul25'!BU341,"",'1. Live'!BU341-'check-Jul25'!BU341)</f>
        <v/>
      </c>
      <c r="BV341" t="str">
        <f>IF('1. Live'!BV341='check-Jul25'!BV341,"",'1. Live'!BV341-'check-Jul25'!BV341)</f>
        <v/>
      </c>
      <c r="BW341" t="str">
        <f>IF('1. Live'!BW341='check-Jul25'!BW341,"",'1. Live'!BW341-'check-Jul25'!BW341)</f>
        <v/>
      </c>
      <c r="BX341" t="str">
        <f>IF('1. Live'!BX341='check-Jul25'!BX341,"",'1. Live'!BX341-'check-Jul25'!BX341)</f>
        <v/>
      </c>
      <c r="BY341" t="str">
        <f>IF('1. Live'!BY341='check-Jul25'!BY341,"",'1. Live'!BY341-'check-Jul25'!BY341)</f>
        <v/>
      </c>
      <c r="BZ341" t="str">
        <f>IF('1. Live'!BZ341='check-Jul25'!BZ341,"",'1. Live'!BZ341-'check-Jul25'!BZ341)</f>
        <v/>
      </c>
      <c r="CA341" t="str">
        <f>IF('1. Live'!CA341='check-Jul25'!CA341,"",'1. Live'!CA341-'check-Jul25'!CA341)</f>
        <v/>
      </c>
      <c r="CB341" t="str">
        <f>IF('1. Live'!CB341='check-Jul25'!CB341,"",'1. Live'!CB341-'check-Jul25'!CB341)</f>
        <v/>
      </c>
      <c r="CC341" t="str">
        <f>IF('1. Live'!CC341='check-Jul25'!CC341,"",'1. Live'!CC341-'check-Jul25'!CC341)</f>
        <v/>
      </c>
      <c r="CD341" t="str">
        <f>IF('1. Live'!CD341='check-Jul25'!CD341,"",'1. Live'!CD341-'check-Jul25'!CD341)</f>
        <v/>
      </c>
      <c r="CE341" t="str">
        <f>IF('1. Live'!CE341='check-Jul25'!CE341,"",'1. Live'!CE341-'check-Jul25'!CE341)</f>
        <v/>
      </c>
      <c r="CF341" t="str">
        <f>IF('1. Live'!CF341='check-Jul25'!CF341,"",'1. Live'!CF341-'check-Jul25'!CF341)</f>
        <v/>
      </c>
      <c r="CG341" t="str">
        <f>IF('1. Live'!CG341='check-Jul25'!CG341,"",'1. Live'!CG341-'check-Jul25'!CG341)</f>
        <v/>
      </c>
      <c r="CH341" t="str">
        <f>IF('1. Live'!CH341='check-Jul25'!CH341,"",'1. Live'!CH341-'check-Jul25'!CH341)</f>
        <v/>
      </c>
      <c r="CI341" t="str">
        <f>IF('1. Live'!CI341='check-Jul25'!CI341,"",'1. Live'!CI341-'check-Jul25'!CI341)</f>
        <v/>
      </c>
      <c r="CJ341" t="str">
        <f>IF('1. Live'!CJ341='check-Jul25'!CJ341,"",'1. Live'!CJ341-'check-Jul25'!CJ341)</f>
        <v/>
      </c>
      <c r="CK341" t="str">
        <f>IF('1. Live'!CK341='check-Jul25'!CK341,"",'1. Live'!CK341-'check-Jul25'!CK341)</f>
        <v/>
      </c>
      <c r="CL341" t="str">
        <f>IF('1. Live'!CL341='check-Jul25'!CL341,"",'1. Live'!CL341-'check-Jul25'!CL341)</f>
        <v/>
      </c>
      <c r="CM341" t="str">
        <f>IF('1. Live'!CM341='check-Jul25'!CM341,"",'1. Live'!CM341-'check-Jul25'!CM341)</f>
        <v/>
      </c>
      <c r="CN341" t="str">
        <f>IF('1. Live'!CN341='check-Jul25'!CN341,"",'1. Live'!CN341-'check-Jul25'!CN341)</f>
        <v/>
      </c>
      <c r="CO341" t="str">
        <f>IF('1. Live'!CO341='check-Jul25'!CO341,"",'1. Live'!CO341-'check-Jul25'!CO341)</f>
        <v/>
      </c>
      <c r="CP341" t="str">
        <f>IF('1. Live'!CP341='check-Jul25'!CP341,"",'1. Live'!CP341-'check-Jul25'!CP341)</f>
        <v/>
      </c>
      <c r="CQ341" t="str">
        <f>IF('1. Live'!CQ341='check-Jul25'!CQ341,"",'1. Live'!CQ341-'check-Jul25'!CQ341)</f>
        <v/>
      </c>
      <c r="CR341" t="str">
        <f>IF('1. Live'!CR341='check-Jul25'!CR341,"",'1. Live'!CR341-'check-Jul25'!CR341)</f>
        <v/>
      </c>
      <c r="CS341" t="str">
        <f>IF('1. Live'!CS341='check-Jul25'!CS341,"",'1. Live'!CS341-'check-Jul25'!CS341)</f>
        <v/>
      </c>
      <c r="CT341" t="str">
        <f>IF('1. Live'!CT341='check-Jul25'!CT341,"",'1. Live'!CT341-'check-Jul25'!CT341)</f>
        <v/>
      </c>
      <c r="CU341" t="str">
        <f>IF('1. Live'!CU341='check-Jul25'!CU341,"",'1. Live'!CU341-'check-Jul25'!CU341)</f>
        <v/>
      </c>
      <c r="CV341" t="str">
        <f>IF('1. Live'!CV341='check-Jul25'!CV341,"",'1. Live'!CV341-'check-Jul25'!CV341)</f>
        <v/>
      </c>
      <c r="CW341" t="str">
        <f>IF('1. Live'!CW341='check-Jul25'!CW341,"",'1. Live'!CW341-'check-Jul25'!CW341)</f>
        <v/>
      </c>
    </row>
    <row r="342" spans="10:101">
      <c r="J342" t="str">
        <f>IF('1. Live'!J342='check-Jul25'!J342,"",'1. Live'!J342-'check-Jul25'!J342)</f>
        <v/>
      </c>
      <c r="K342" t="str">
        <f>IF('1. Live'!K342='check-Jul25'!K342,"",'1. Live'!K342-'check-Jul25'!K342)</f>
        <v/>
      </c>
      <c r="L342" t="str">
        <f>IF('1. Live'!L342='check-Jul25'!L342,"",'1. Live'!L342-'check-Jul25'!L342)</f>
        <v/>
      </c>
      <c r="M342" t="str">
        <f>IF('1. Live'!M342='check-Jul25'!M342,"",'1. Live'!M342-'check-Jul25'!M342)</f>
        <v/>
      </c>
      <c r="N342" t="str">
        <f>IF('1. Live'!N342='check-Jul25'!N342,"",'1. Live'!N342-'check-Jul25'!N342)</f>
        <v/>
      </c>
      <c r="O342" t="str">
        <f>IF('1. Live'!O342='check-Jul25'!O342,"",'1. Live'!O342-'check-Jul25'!O342)</f>
        <v/>
      </c>
      <c r="P342" t="str">
        <f>IF('1. Live'!P342='check-Jul25'!P342,"",'1. Live'!P342-'check-Jul25'!P342)</f>
        <v/>
      </c>
      <c r="Q342" t="str">
        <f>IF('1. Live'!Q342='check-Jul25'!Q342,"",'1. Live'!Q342-'check-Jul25'!Q342)</f>
        <v/>
      </c>
      <c r="R342" t="str">
        <f>IF('1. Live'!R342='check-Jul25'!R342,"",'1. Live'!R342-'check-Jul25'!R342)</f>
        <v/>
      </c>
      <c r="S342" t="str">
        <f>IF('1. Live'!S342='check-Jul25'!S342,"",'1. Live'!S342-'check-Jul25'!S342)</f>
        <v/>
      </c>
      <c r="T342" t="str">
        <f>IF('1. Live'!T342='check-Jul25'!T342,"",'1. Live'!T342-'check-Jul25'!T342)</f>
        <v/>
      </c>
      <c r="U342" t="str">
        <f>IF('1. Live'!U342='check-Jul25'!U342,"",'1. Live'!U342-'check-Jul25'!U342)</f>
        <v/>
      </c>
      <c r="V342" t="str">
        <f>IF('1. Live'!V342='check-Jul25'!V342,"",'1. Live'!V342-'check-Jul25'!V342)</f>
        <v/>
      </c>
      <c r="W342" t="str">
        <f>IF('1. Live'!W342='check-Jul25'!W342,"",'1. Live'!W342-'check-Jul25'!W342)</f>
        <v/>
      </c>
      <c r="X342" t="str">
        <f>IF('1. Live'!X342='check-Jul25'!X342,"",'1. Live'!X342-'check-Jul25'!X342)</f>
        <v/>
      </c>
      <c r="Y342" t="str">
        <f>IF('1. Live'!Y342='check-Jul25'!Y342,"",'1. Live'!Y342-'check-Jul25'!Y342)</f>
        <v/>
      </c>
      <c r="Z342" t="str">
        <f>IF('1. Live'!Z342='check-Jul25'!Z342,"",'1. Live'!Z342-'check-Jul25'!Z342)</f>
        <v/>
      </c>
      <c r="AA342" t="str">
        <f>IF('1. Live'!AA342='check-Jul25'!AA342,"",'1. Live'!AA342-'check-Jul25'!AA342)</f>
        <v/>
      </c>
      <c r="AB342" t="str">
        <f>IF('1. Live'!AB342='check-Jul25'!AB342,"",'1. Live'!AB342-'check-Jul25'!AB342)</f>
        <v/>
      </c>
      <c r="AC342" t="str">
        <f>IF('1. Live'!AC342='check-Jul25'!AC342,"",'1. Live'!AC342-'check-Jul25'!AC342)</f>
        <v/>
      </c>
      <c r="AD342" t="str">
        <f>IF('1. Live'!AD342='check-Jul25'!AD342,"",'1. Live'!AD342-'check-Jul25'!AD342)</f>
        <v/>
      </c>
      <c r="AE342" t="str">
        <f>IF('1. Live'!AE342='check-Jul25'!AE342,"",'1. Live'!AE342-'check-Jul25'!AE342)</f>
        <v/>
      </c>
      <c r="AF342" t="str">
        <f>IF('1. Live'!AF342='check-Jul25'!AF342,"",'1. Live'!AF342-'check-Jul25'!AF342)</f>
        <v/>
      </c>
      <c r="AG342" t="str">
        <f>IF('1. Live'!AG342='check-Jul25'!AG342,"",'1. Live'!AG342-'check-Jul25'!AG342)</f>
        <v/>
      </c>
      <c r="AH342" t="str">
        <f>IF('1. Live'!AH342='check-Jul25'!AH342,"",'1. Live'!AH342-'check-Jul25'!AH342)</f>
        <v/>
      </c>
      <c r="AI342" t="str">
        <f>IF('1. Live'!AI342='check-Jul25'!AI342,"",'1. Live'!AI342-'check-Jul25'!AI342)</f>
        <v/>
      </c>
      <c r="AJ342" t="str">
        <f>IF('1. Live'!AJ342='check-Jul25'!AJ342,"",'1. Live'!AJ342-'check-Jul25'!AJ342)</f>
        <v/>
      </c>
      <c r="AK342" t="str">
        <f>IF('1. Live'!AK342='check-Jul25'!AK342,"",'1. Live'!AK342-'check-Jul25'!AK342)</f>
        <v/>
      </c>
      <c r="AL342" t="str">
        <f>IF('1. Live'!AL342='check-Jul25'!AL342,"",'1. Live'!AL342-'check-Jul25'!AL342)</f>
        <v/>
      </c>
      <c r="AM342" t="str">
        <f>IF('1. Live'!AM342='check-Jul25'!AM342,"",'1. Live'!AM342-'check-Jul25'!AM342)</f>
        <v/>
      </c>
      <c r="AN342" t="str">
        <f>IF('1. Live'!AN342='check-Jul25'!AN342,"",'1. Live'!AN342-'check-Jul25'!AN342)</f>
        <v/>
      </c>
      <c r="AO342" t="str">
        <f>IF('1. Live'!AO342='check-Jul25'!AO342,"",'1. Live'!AO342-'check-Jul25'!AO342)</f>
        <v/>
      </c>
      <c r="AP342" t="str">
        <f>IF('1. Live'!AP342='check-Jul25'!AP342,"",'1. Live'!AP342-'check-Jul25'!AP342)</f>
        <v/>
      </c>
      <c r="AQ342" t="str">
        <f>IF('1. Live'!AQ342='check-Jul25'!AQ342,"",'1. Live'!AQ342-'check-Jul25'!AQ342)</f>
        <v/>
      </c>
      <c r="AR342" t="str">
        <f>IF('1. Live'!AR342='check-Jul25'!AR342,"",'1. Live'!AR342-'check-Jul25'!AR342)</f>
        <v/>
      </c>
      <c r="AS342" t="str">
        <f>IF('1. Live'!AS342='check-Jul25'!AS342,"",'1. Live'!AS342-'check-Jul25'!AS342)</f>
        <v/>
      </c>
      <c r="AT342" t="str">
        <f>IF('1. Live'!AT342='check-Jul25'!AT342,"",'1. Live'!AT342-'check-Jul25'!AT342)</f>
        <v/>
      </c>
      <c r="AU342" t="str">
        <f>IF('1. Live'!AU342='check-Jul25'!AU342,"",'1. Live'!AU342-'check-Jul25'!AU342)</f>
        <v/>
      </c>
      <c r="AV342" t="str">
        <f>IF('1. Live'!AV342='check-Jul25'!AV342,"",'1. Live'!AV342-'check-Jul25'!AV342)</f>
        <v/>
      </c>
      <c r="AW342" t="str">
        <f>IF('1. Live'!AW342='check-Jul25'!AW342,"",'1. Live'!AW342-'check-Jul25'!AW342)</f>
        <v/>
      </c>
      <c r="AX342" t="str">
        <f>IF('1. Live'!AX342='check-Jul25'!AX342,"",'1. Live'!AX342-'check-Jul25'!AX342)</f>
        <v/>
      </c>
      <c r="AY342" t="str">
        <f>IF('1. Live'!AY342='check-Jul25'!AY342,"",'1. Live'!AY342-'check-Jul25'!AY342)</f>
        <v/>
      </c>
      <c r="AZ342" t="str">
        <f>IF('1. Live'!AZ342='check-Jul25'!AZ342,"",'1. Live'!AZ342-'check-Jul25'!AZ342)</f>
        <v/>
      </c>
      <c r="BA342" t="str">
        <f>IF('1. Live'!BA342='check-Jul25'!BA342,"",'1. Live'!BA342-'check-Jul25'!BA342)</f>
        <v/>
      </c>
      <c r="BB342" t="str">
        <f>IF('1. Live'!BB342='check-Jul25'!BB342,"",'1. Live'!BB342-'check-Jul25'!BB342)</f>
        <v/>
      </c>
      <c r="BC342" t="str">
        <f>IF('1. Live'!BC342='check-Jul25'!BC342,"",'1. Live'!BC342-'check-Jul25'!BC342)</f>
        <v/>
      </c>
      <c r="BD342" t="str">
        <f>IF('1. Live'!BD342='check-Jul25'!BD342,"",'1. Live'!BD342-'check-Jul25'!BD342)</f>
        <v/>
      </c>
      <c r="BE342" t="str">
        <f>IF('1. Live'!BE342='check-Jul25'!BE342,"",'1. Live'!BE342-'check-Jul25'!BE342)</f>
        <v/>
      </c>
      <c r="BF342" t="str">
        <f>IF('1. Live'!BF342='check-Jul25'!BF342,"",'1. Live'!BF342-'check-Jul25'!BF342)</f>
        <v/>
      </c>
      <c r="BG342" t="str">
        <f>IF('1. Live'!BG342='check-Jul25'!BG342,"",'1. Live'!BG342-'check-Jul25'!BG342)</f>
        <v/>
      </c>
      <c r="BH342" t="str">
        <f>IF('1. Live'!BH342='check-Jul25'!BH342,"",'1. Live'!BH342-'check-Jul25'!BH342)</f>
        <v/>
      </c>
      <c r="BI342" t="str">
        <f>IF('1. Live'!BI342='check-Jul25'!BI342,"",'1. Live'!BI342-'check-Jul25'!BI342)</f>
        <v/>
      </c>
      <c r="BJ342" t="str">
        <f>IF('1. Live'!BJ342='check-Jul25'!BJ342,"",'1. Live'!BJ342-'check-Jul25'!BJ342)</f>
        <v/>
      </c>
      <c r="BK342" t="str">
        <f>IF('1. Live'!BK342='check-Jul25'!BK342,"",'1. Live'!BK342-'check-Jul25'!BK342)</f>
        <v/>
      </c>
      <c r="BL342" t="str">
        <f>IF('1. Live'!BL342='check-Jul25'!BL342,"",'1. Live'!BL342-'check-Jul25'!BL342)</f>
        <v/>
      </c>
      <c r="BM342" t="str">
        <f>IF('1. Live'!BM342='check-Jul25'!BM342,"",'1. Live'!BM342-'check-Jul25'!BM342)</f>
        <v/>
      </c>
      <c r="BN342" t="str">
        <f>IF('1. Live'!BN342='check-Jul25'!BN342,"",'1. Live'!BN342-'check-Jul25'!BN342)</f>
        <v/>
      </c>
      <c r="BO342" t="str">
        <f>IF('1. Live'!BO342='check-Jul25'!BO342,"",'1. Live'!BO342-'check-Jul25'!BO342)</f>
        <v/>
      </c>
      <c r="BP342" t="str">
        <f>IF('1. Live'!BP342='check-Jul25'!BP342,"",'1. Live'!BP342-'check-Jul25'!BP342)</f>
        <v/>
      </c>
      <c r="BQ342" t="str">
        <f>IF('1. Live'!BQ342='check-Jul25'!BQ342,"",'1. Live'!BQ342-'check-Jul25'!BQ342)</f>
        <v/>
      </c>
      <c r="BR342" t="str">
        <f>IF('1. Live'!BR342='check-Jul25'!BR342,"",'1. Live'!BR342-'check-Jul25'!BR342)</f>
        <v/>
      </c>
      <c r="BS342" t="str">
        <f>IF('1. Live'!BS342='check-Jul25'!BS342,"",'1. Live'!BS342-'check-Jul25'!BS342)</f>
        <v/>
      </c>
      <c r="BT342" t="str">
        <f>IF('1. Live'!BT342='check-Jul25'!BT342,"",'1. Live'!BT342-'check-Jul25'!BT342)</f>
        <v/>
      </c>
      <c r="BU342" t="str">
        <f>IF('1. Live'!BU342='check-Jul25'!BU342,"",'1. Live'!BU342-'check-Jul25'!BU342)</f>
        <v/>
      </c>
      <c r="BV342" t="str">
        <f>IF('1. Live'!BV342='check-Jul25'!BV342,"",'1. Live'!BV342-'check-Jul25'!BV342)</f>
        <v/>
      </c>
      <c r="BW342" t="str">
        <f>IF('1. Live'!BW342='check-Jul25'!BW342,"",'1. Live'!BW342-'check-Jul25'!BW342)</f>
        <v/>
      </c>
      <c r="BX342" t="str">
        <f>IF('1. Live'!BX342='check-Jul25'!BX342,"",'1. Live'!BX342-'check-Jul25'!BX342)</f>
        <v/>
      </c>
      <c r="BY342" t="str">
        <f>IF('1. Live'!BY342='check-Jul25'!BY342,"",'1. Live'!BY342-'check-Jul25'!BY342)</f>
        <v/>
      </c>
      <c r="BZ342" t="str">
        <f>IF('1. Live'!BZ342='check-Jul25'!BZ342,"",'1. Live'!BZ342-'check-Jul25'!BZ342)</f>
        <v/>
      </c>
      <c r="CA342" t="str">
        <f>IF('1. Live'!CA342='check-Jul25'!CA342,"",'1. Live'!CA342-'check-Jul25'!CA342)</f>
        <v/>
      </c>
      <c r="CB342" t="str">
        <f>IF('1. Live'!CB342='check-Jul25'!CB342,"",'1. Live'!CB342-'check-Jul25'!CB342)</f>
        <v/>
      </c>
      <c r="CC342" t="str">
        <f>IF('1. Live'!CC342='check-Jul25'!CC342,"",'1. Live'!CC342-'check-Jul25'!CC342)</f>
        <v/>
      </c>
      <c r="CD342" t="str">
        <f>IF('1. Live'!CD342='check-Jul25'!CD342,"",'1. Live'!CD342-'check-Jul25'!CD342)</f>
        <v/>
      </c>
      <c r="CE342" t="str">
        <f>IF('1. Live'!CE342='check-Jul25'!CE342,"",'1. Live'!CE342-'check-Jul25'!CE342)</f>
        <v/>
      </c>
      <c r="CF342" t="str">
        <f>IF('1. Live'!CF342='check-Jul25'!CF342,"",'1. Live'!CF342-'check-Jul25'!CF342)</f>
        <v/>
      </c>
      <c r="CG342" t="str">
        <f>IF('1. Live'!CG342='check-Jul25'!CG342,"",'1. Live'!CG342-'check-Jul25'!CG342)</f>
        <v/>
      </c>
      <c r="CH342" t="str">
        <f>IF('1. Live'!CH342='check-Jul25'!CH342,"",'1. Live'!CH342-'check-Jul25'!CH342)</f>
        <v/>
      </c>
      <c r="CI342" t="str">
        <f>IF('1. Live'!CI342='check-Jul25'!CI342,"",'1. Live'!CI342-'check-Jul25'!CI342)</f>
        <v/>
      </c>
      <c r="CJ342" t="str">
        <f>IF('1. Live'!CJ342='check-Jul25'!CJ342,"",'1. Live'!CJ342-'check-Jul25'!CJ342)</f>
        <v/>
      </c>
      <c r="CK342" t="str">
        <f>IF('1. Live'!CK342='check-Jul25'!CK342,"",'1. Live'!CK342-'check-Jul25'!CK342)</f>
        <v/>
      </c>
      <c r="CL342" t="str">
        <f>IF('1. Live'!CL342='check-Jul25'!CL342,"",'1. Live'!CL342-'check-Jul25'!CL342)</f>
        <v/>
      </c>
      <c r="CM342" t="str">
        <f>IF('1. Live'!CM342='check-Jul25'!CM342,"",'1. Live'!CM342-'check-Jul25'!CM342)</f>
        <v/>
      </c>
      <c r="CN342" t="str">
        <f>IF('1. Live'!CN342='check-Jul25'!CN342,"",'1. Live'!CN342-'check-Jul25'!CN342)</f>
        <v/>
      </c>
      <c r="CO342" t="str">
        <f>IF('1. Live'!CO342='check-Jul25'!CO342,"",'1. Live'!CO342-'check-Jul25'!CO342)</f>
        <v/>
      </c>
      <c r="CP342" t="str">
        <f>IF('1. Live'!CP342='check-Jul25'!CP342,"",'1. Live'!CP342-'check-Jul25'!CP342)</f>
        <v/>
      </c>
      <c r="CQ342" t="str">
        <f>IF('1. Live'!CQ342='check-Jul25'!CQ342,"",'1. Live'!CQ342-'check-Jul25'!CQ342)</f>
        <v/>
      </c>
      <c r="CR342" t="str">
        <f>IF('1. Live'!CR342='check-Jul25'!CR342,"",'1. Live'!CR342-'check-Jul25'!CR342)</f>
        <v/>
      </c>
      <c r="CS342" t="str">
        <f>IF('1. Live'!CS342='check-Jul25'!CS342,"",'1. Live'!CS342-'check-Jul25'!CS342)</f>
        <v/>
      </c>
      <c r="CT342" t="str">
        <f>IF('1. Live'!CT342='check-Jul25'!CT342,"",'1. Live'!CT342-'check-Jul25'!CT342)</f>
        <v/>
      </c>
      <c r="CU342" t="str">
        <f>IF('1. Live'!CU342='check-Jul25'!CU342,"",'1. Live'!CU342-'check-Jul25'!CU342)</f>
        <v/>
      </c>
      <c r="CV342" t="str">
        <f>IF('1. Live'!CV342='check-Jul25'!CV342,"",'1. Live'!CV342-'check-Jul25'!CV342)</f>
        <v/>
      </c>
      <c r="CW342" t="str">
        <f>IF('1. Live'!CW342='check-Jul25'!CW342,"",'1. Live'!CW342-'check-Jul25'!CW342)</f>
        <v/>
      </c>
    </row>
    <row r="343" spans="10:101">
      <c r="J343" t="str">
        <f>IF('1. Live'!J343='check-Jul25'!J343,"",'1. Live'!J343-'check-Jul25'!J343)</f>
        <v/>
      </c>
      <c r="K343" t="str">
        <f>IF('1. Live'!K343='check-Jul25'!K343,"",'1. Live'!K343-'check-Jul25'!K343)</f>
        <v/>
      </c>
      <c r="L343" t="str">
        <f>IF('1. Live'!L343='check-Jul25'!L343,"",'1. Live'!L343-'check-Jul25'!L343)</f>
        <v/>
      </c>
      <c r="M343" t="str">
        <f>IF('1. Live'!M343='check-Jul25'!M343,"",'1. Live'!M343-'check-Jul25'!M343)</f>
        <v/>
      </c>
      <c r="N343" t="str">
        <f>IF('1. Live'!N343='check-Jul25'!N343,"",'1. Live'!N343-'check-Jul25'!N343)</f>
        <v/>
      </c>
      <c r="O343" t="str">
        <f>IF('1. Live'!O343='check-Jul25'!O343,"",'1. Live'!O343-'check-Jul25'!O343)</f>
        <v/>
      </c>
      <c r="P343" t="str">
        <f>IF('1. Live'!P343='check-Jul25'!P343,"",'1. Live'!P343-'check-Jul25'!P343)</f>
        <v/>
      </c>
      <c r="Q343" t="str">
        <f>IF('1. Live'!Q343='check-Jul25'!Q343,"",'1. Live'!Q343-'check-Jul25'!Q343)</f>
        <v/>
      </c>
      <c r="R343" t="str">
        <f>IF('1. Live'!R343='check-Jul25'!R343,"",'1. Live'!R343-'check-Jul25'!R343)</f>
        <v/>
      </c>
      <c r="S343" t="str">
        <f>IF('1. Live'!S343='check-Jul25'!S343,"",'1. Live'!S343-'check-Jul25'!S343)</f>
        <v/>
      </c>
      <c r="T343" t="str">
        <f>IF('1. Live'!T343='check-Jul25'!T343,"",'1. Live'!T343-'check-Jul25'!T343)</f>
        <v/>
      </c>
      <c r="U343" t="str">
        <f>IF('1. Live'!U343='check-Jul25'!U343,"",'1. Live'!U343-'check-Jul25'!U343)</f>
        <v/>
      </c>
      <c r="V343" t="str">
        <f>IF('1. Live'!V343='check-Jul25'!V343,"",'1. Live'!V343-'check-Jul25'!V343)</f>
        <v/>
      </c>
      <c r="W343" t="str">
        <f>IF('1. Live'!W343='check-Jul25'!W343,"",'1. Live'!W343-'check-Jul25'!W343)</f>
        <v/>
      </c>
      <c r="X343" t="str">
        <f>IF('1. Live'!X343='check-Jul25'!X343,"",'1. Live'!X343-'check-Jul25'!X343)</f>
        <v/>
      </c>
      <c r="Y343" t="str">
        <f>IF('1. Live'!Y343='check-Jul25'!Y343,"",'1. Live'!Y343-'check-Jul25'!Y343)</f>
        <v/>
      </c>
      <c r="Z343" t="str">
        <f>IF('1. Live'!Z343='check-Jul25'!Z343,"",'1. Live'!Z343-'check-Jul25'!Z343)</f>
        <v/>
      </c>
      <c r="AA343" t="str">
        <f>IF('1. Live'!AA343='check-Jul25'!AA343,"",'1. Live'!AA343-'check-Jul25'!AA343)</f>
        <v/>
      </c>
      <c r="AB343" t="str">
        <f>IF('1. Live'!AB343='check-Jul25'!AB343,"",'1. Live'!AB343-'check-Jul25'!AB343)</f>
        <v/>
      </c>
      <c r="AC343" t="str">
        <f>IF('1. Live'!AC343='check-Jul25'!AC343,"",'1. Live'!AC343-'check-Jul25'!AC343)</f>
        <v/>
      </c>
      <c r="AD343" t="str">
        <f>IF('1. Live'!AD343='check-Jul25'!AD343,"",'1. Live'!AD343-'check-Jul25'!AD343)</f>
        <v/>
      </c>
      <c r="AE343" t="str">
        <f>IF('1. Live'!AE343='check-Jul25'!AE343,"",'1. Live'!AE343-'check-Jul25'!AE343)</f>
        <v/>
      </c>
      <c r="AF343" t="str">
        <f>IF('1. Live'!AF343='check-Jul25'!AF343,"",'1. Live'!AF343-'check-Jul25'!AF343)</f>
        <v/>
      </c>
      <c r="AG343" t="str">
        <f>IF('1. Live'!AG343='check-Jul25'!AG343,"",'1. Live'!AG343-'check-Jul25'!AG343)</f>
        <v/>
      </c>
      <c r="AH343" t="str">
        <f>IF('1. Live'!AH343='check-Jul25'!AH343,"",'1. Live'!AH343-'check-Jul25'!AH343)</f>
        <v/>
      </c>
      <c r="AI343" t="str">
        <f>IF('1. Live'!AI343='check-Jul25'!AI343,"",'1. Live'!AI343-'check-Jul25'!AI343)</f>
        <v/>
      </c>
      <c r="AJ343" t="str">
        <f>IF('1. Live'!AJ343='check-Jul25'!AJ343,"",'1. Live'!AJ343-'check-Jul25'!AJ343)</f>
        <v/>
      </c>
      <c r="AK343" t="str">
        <f>IF('1. Live'!AK343='check-Jul25'!AK343,"",'1. Live'!AK343-'check-Jul25'!AK343)</f>
        <v/>
      </c>
      <c r="AL343" t="str">
        <f>IF('1. Live'!AL343='check-Jul25'!AL343,"",'1. Live'!AL343-'check-Jul25'!AL343)</f>
        <v/>
      </c>
      <c r="AM343" t="str">
        <f>IF('1. Live'!AM343='check-Jul25'!AM343,"",'1. Live'!AM343-'check-Jul25'!AM343)</f>
        <v/>
      </c>
      <c r="AN343" t="str">
        <f>IF('1. Live'!AN343='check-Jul25'!AN343,"",'1. Live'!AN343-'check-Jul25'!AN343)</f>
        <v/>
      </c>
      <c r="AO343" t="str">
        <f>IF('1. Live'!AO343='check-Jul25'!AO343,"",'1. Live'!AO343-'check-Jul25'!AO343)</f>
        <v/>
      </c>
      <c r="AP343" t="str">
        <f>IF('1. Live'!AP343='check-Jul25'!AP343,"",'1. Live'!AP343-'check-Jul25'!AP343)</f>
        <v/>
      </c>
      <c r="AQ343" t="str">
        <f>IF('1. Live'!AQ343='check-Jul25'!AQ343,"",'1. Live'!AQ343-'check-Jul25'!AQ343)</f>
        <v/>
      </c>
      <c r="AR343" t="str">
        <f>IF('1. Live'!AR343='check-Jul25'!AR343,"",'1. Live'!AR343-'check-Jul25'!AR343)</f>
        <v/>
      </c>
      <c r="AS343" t="str">
        <f>IF('1. Live'!AS343='check-Jul25'!AS343,"",'1. Live'!AS343-'check-Jul25'!AS343)</f>
        <v/>
      </c>
      <c r="AT343" t="str">
        <f>IF('1. Live'!AT343='check-Jul25'!AT343,"",'1. Live'!AT343-'check-Jul25'!AT343)</f>
        <v/>
      </c>
      <c r="AU343" t="str">
        <f>IF('1. Live'!AU343='check-Jul25'!AU343,"",'1. Live'!AU343-'check-Jul25'!AU343)</f>
        <v/>
      </c>
      <c r="AV343" t="str">
        <f>IF('1. Live'!AV343='check-Jul25'!AV343,"",'1. Live'!AV343-'check-Jul25'!AV343)</f>
        <v/>
      </c>
      <c r="AW343" t="str">
        <f>IF('1. Live'!AW343='check-Jul25'!AW343,"",'1. Live'!AW343-'check-Jul25'!AW343)</f>
        <v/>
      </c>
      <c r="AX343" t="str">
        <f>IF('1. Live'!AX343='check-Jul25'!AX343,"",'1. Live'!AX343-'check-Jul25'!AX343)</f>
        <v/>
      </c>
      <c r="AY343" t="str">
        <f>IF('1. Live'!AY343='check-Jul25'!AY343,"",'1. Live'!AY343-'check-Jul25'!AY343)</f>
        <v/>
      </c>
      <c r="AZ343" t="str">
        <f>IF('1. Live'!AZ343='check-Jul25'!AZ343,"",'1. Live'!AZ343-'check-Jul25'!AZ343)</f>
        <v/>
      </c>
      <c r="BA343" t="str">
        <f>IF('1. Live'!BA343='check-Jul25'!BA343,"",'1. Live'!BA343-'check-Jul25'!BA343)</f>
        <v/>
      </c>
      <c r="BB343" t="str">
        <f>IF('1. Live'!BB343='check-Jul25'!BB343,"",'1. Live'!BB343-'check-Jul25'!BB343)</f>
        <v/>
      </c>
      <c r="BC343" t="str">
        <f>IF('1. Live'!BC343='check-Jul25'!BC343,"",'1. Live'!BC343-'check-Jul25'!BC343)</f>
        <v/>
      </c>
      <c r="BD343" t="str">
        <f>IF('1. Live'!BD343='check-Jul25'!BD343,"",'1. Live'!BD343-'check-Jul25'!BD343)</f>
        <v/>
      </c>
      <c r="BE343" t="str">
        <f>IF('1. Live'!BE343='check-Jul25'!BE343,"",'1. Live'!BE343-'check-Jul25'!BE343)</f>
        <v/>
      </c>
      <c r="BF343" t="str">
        <f>IF('1. Live'!BF343='check-Jul25'!BF343,"",'1. Live'!BF343-'check-Jul25'!BF343)</f>
        <v/>
      </c>
      <c r="BG343" t="str">
        <f>IF('1. Live'!BG343='check-Jul25'!BG343,"",'1. Live'!BG343-'check-Jul25'!BG343)</f>
        <v/>
      </c>
      <c r="BH343" t="str">
        <f>IF('1. Live'!BH343='check-Jul25'!BH343,"",'1. Live'!BH343-'check-Jul25'!BH343)</f>
        <v/>
      </c>
      <c r="BI343" t="str">
        <f>IF('1. Live'!BI343='check-Jul25'!BI343,"",'1. Live'!BI343-'check-Jul25'!BI343)</f>
        <v/>
      </c>
      <c r="BJ343" t="str">
        <f>IF('1. Live'!BJ343='check-Jul25'!BJ343,"",'1. Live'!BJ343-'check-Jul25'!BJ343)</f>
        <v/>
      </c>
      <c r="BK343" t="str">
        <f>IF('1. Live'!BK343='check-Jul25'!BK343,"",'1. Live'!BK343-'check-Jul25'!BK343)</f>
        <v/>
      </c>
      <c r="BL343" t="str">
        <f>IF('1. Live'!BL343='check-Jul25'!BL343,"",'1. Live'!BL343-'check-Jul25'!BL343)</f>
        <v/>
      </c>
      <c r="BM343" t="str">
        <f>IF('1. Live'!BM343='check-Jul25'!BM343,"",'1. Live'!BM343-'check-Jul25'!BM343)</f>
        <v/>
      </c>
      <c r="BN343" t="str">
        <f>IF('1. Live'!BN343='check-Jul25'!BN343,"",'1. Live'!BN343-'check-Jul25'!BN343)</f>
        <v/>
      </c>
      <c r="BO343" t="str">
        <f>IF('1. Live'!BO343='check-Jul25'!BO343,"",'1. Live'!BO343-'check-Jul25'!BO343)</f>
        <v/>
      </c>
      <c r="BP343" t="str">
        <f>IF('1. Live'!BP343='check-Jul25'!BP343,"",'1. Live'!BP343-'check-Jul25'!BP343)</f>
        <v/>
      </c>
      <c r="BQ343" t="str">
        <f>IF('1. Live'!BQ343='check-Jul25'!BQ343,"",'1. Live'!BQ343-'check-Jul25'!BQ343)</f>
        <v/>
      </c>
      <c r="BR343" t="str">
        <f>IF('1. Live'!BR343='check-Jul25'!BR343,"",'1. Live'!BR343-'check-Jul25'!BR343)</f>
        <v/>
      </c>
      <c r="BS343" t="str">
        <f>IF('1. Live'!BS343='check-Jul25'!BS343,"",'1. Live'!BS343-'check-Jul25'!BS343)</f>
        <v/>
      </c>
      <c r="BT343" t="str">
        <f>IF('1. Live'!BT343='check-Jul25'!BT343,"",'1. Live'!BT343-'check-Jul25'!BT343)</f>
        <v/>
      </c>
      <c r="BU343" t="str">
        <f>IF('1. Live'!BU343='check-Jul25'!BU343,"",'1. Live'!BU343-'check-Jul25'!BU343)</f>
        <v/>
      </c>
      <c r="BV343" t="str">
        <f>IF('1. Live'!BV343='check-Jul25'!BV343,"",'1. Live'!BV343-'check-Jul25'!BV343)</f>
        <v/>
      </c>
      <c r="BW343" t="str">
        <f>IF('1. Live'!BW343='check-Jul25'!BW343,"",'1. Live'!BW343-'check-Jul25'!BW343)</f>
        <v/>
      </c>
      <c r="BX343" t="str">
        <f>IF('1. Live'!BX343='check-Jul25'!BX343,"",'1. Live'!BX343-'check-Jul25'!BX343)</f>
        <v/>
      </c>
      <c r="BY343" t="str">
        <f>IF('1. Live'!BY343='check-Jul25'!BY343,"",'1. Live'!BY343-'check-Jul25'!BY343)</f>
        <v/>
      </c>
      <c r="BZ343" t="str">
        <f>IF('1. Live'!BZ343='check-Jul25'!BZ343,"",'1. Live'!BZ343-'check-Jul25'!BZ343)</f>
        <v/>
      </c>
      <c r="CA343" t="str">
        <f>IF('1. Live'!CA343='check-Jul25'!CA343,"",'1. Live'!CA343-'check-Jul25'!CA343)</f>
        <v/>
      </c>
      <c r="CB343" t="str">
        <f>IF('1. Live'!CB343='check-Jul25'!CB343,"",'1. Live'!CB343-'check-Jul25'!CB343)</f>
        <v/>
      </c>
      <c r="CC343" t="str">
        <f>IF('1. Live'!CC343='check-Jul25'!CC343,"",'1. Live'!CC343-'check-Jul25'!CC343)</f>
        <v/>
      </c>
      <c r="CD343" t="str">
        <f>IF('1. Live'!CD343='check-Jul25'!CD343,"",'1. Live'!CD343-'check-Jul25'!CD343)</f>
        <v/>
      </c>
      <c r="CE343" t="str">
        <f>IF('1. Live'!CE343='check-Jul25'!CE343,"",'1. Live'!CE343-'check-Jul25'!CE343)</f>
        <v/>
      </c>
      <c r="CF343" t="str">
        <f>IF('1. Live'!CF343='check-Jul25'!CF343,"",'1. Live'!CF343-'check-Jul25'!CF343)</f>
        <v/>
      </c>
      <c r="CG343" t="str">
        <f>IF('1. Live'!CG343='check-Jul25'!CG343,"",'1. Live'!CG343-'check-Jul25'!CG343)</f>
        <v/>
      </c>
      <c r="CH343" t="str">
        <f>IF('1. Live'!CH343='check-Jul25'!CH343,"",'1. Live'!CH343-'check-Jul25'!CH343)</f>
        <v/>
      </c>
      <c r="CI343" t="str">
        <f>IF('1. Live'!CI343='check-Jul25'!CI343,"",'1. Live'!CI343-'check-Jul25'!CI343)</f>
        <v/>
      </c>
      <c r="CJ343" t="str">
        <f>IF('1. Live'!CJ343='check-Jul25'!CJ343,"",'1. Live'!CJ343-'check-Jul25'!CJ343)</f>
        <v/>
      </c>
      <c r="CK343" t="str">
        <f>IF('1. Live'!CK343='check-Jul25'!CK343,"",'1. Live'!CK343-'check-Jul25'!CK343)</f>
        <v/>
      </c>
      <c r="CL343" t="str">
        <f>IF('1. Live'!CL343='check-Jul25'!CL343,"",'1. Live'!CL343-'check-Jul25'!CL343)</f>
        <v/>
      </c>
      <c r="CM343" t="str">
        <f>IF('1. Live'!CM343='check-Jul25'!CM343,"",'1. Live'!CM343-'check-Jul25'!CM343)</f>
        <v/>
      </c>
      <c r="CN343" t="str">
        <f>IF('1. Live'!CN343='check-Jul25'!CN343,"",'1. Live'!CN343-'check-Jul25'!CN343)</f>
        <v/>
      </c>
      <c r="CO343" t="str">
        <f>IF('1. Live'!CO343='check-Jul25'!CO343,"",'1. Live'!CO343-'check-Jul25'!CO343)</f>
        <v/>
      </c>
      <c r="CP343" t="str">
        <f>IF('1. Live'!CP343='check-Jul25'!CP343,"",'1. Live'!CP343-'check-Jul25'!CP343)</f>
        <v/>
      </c>
      <c r="CQ343" t="str">
        <f>IF('1. Live'!CQ343='check-Jul25'!CQ343,"",'1. Live'!CQ343-'check-Jul25'!CQ343)</f>
        <v/>
      </c>
      <c r="CR343" t="str">
        <f>IF('1. Live'!CR343='check-Jul25'!CR343,"",'1. Live'!CR343-'check-Jul25'!CR343)</f>
        <v/>
      </c>
      <c r="CS343" t="str">
        <f>IF('1. Live'!CS343='check-Jul25'!CS343,"",'1. Live'!CS343-'check-Jul25'!CS343)</f>
        <v/>
      </c>
      <c r="CT343" t="str">
        <f>IF('1. Live'!CT343='check-Jul25'!CT343,"",'1. Live'!CT343-'check-Jul25'!CT343)</f>
        <v/>
      </c>
      <c r="CU343" t="str">
        <f>IF('1. Live'!CU343='check-Jul25'!CU343,"",'1. Live'!CU343-'check-Jul25'!CU343)</f>
        <v/>
      </c>
      <c r="CV343" t="str">
        <f>IF('1. Live'!CV343='check-Jul25'!CV343,"",'1. Live'!CV343-'check-Jul25'!CV343)</f>
        <v/>
      </c>
      <c r="CW343" t="str">
        <f>IF('1. Live'!CW343='check-Jul25'!CW343,"",'1. Live'!CW343-'check-Jul25'!CW343)</f>
        <v/>
      </c>
    </row>
    <row r="344" spans="10:101">
      <c r="J344" t="str">
        <f>IF('1. Live'!J344='check-Jul25'!J344,"",'1. Live'!J344-'check-Jul25'!J344)</f>
        <v/>
      </c>
      <c r="K344" t="str">
        <f>IF('1. Live'!K344='check-Jul25'!K344,"",'1. Live'!K344-'check-Jul25'!K344)</f>
        <v/>
      </c>
      <c r="L344" t="str">
        <f>IF('1. Live'!L344='check-Jul25'!L344,"",'1. Live'!L344-'check-Jul25'!L344)</f>
        <v/>
      </c>
      <c r="M344" t="str">
        <f>IF('1. Live'!M344='check-Jul25'!M344,"",'1. Live'!M344-'check-Jul25'!M344)</f>
        <v/>
      </c>
      <c r="N344" t="str">
        <f>IF('1. Live'!N344='check-Jul25'!N344,"",'1. Live'!N344-'check-Jul25'!N344)</f>
        <v/>
      </c>
      <c r="O344" t="str">
        <f>IF('1. Live'!O344='check-Jul25'!O344,"",'1. Live'!O344-'check-Jul25'!O344)</f>
        <v/>
      </c>
      <c r="P344" t="str">
        <f>IF('1. Live'!P344='check-Jul25'!P344,"",'1. Live'!P344-'check-Jul25'!P344)</f>
        <v/>
      </c>
      <c r="Q344" t="str">
        <f>IF('1. Live'!Q344='check-Jul25'!Q344,"",'1. Live'!Q344-'check-Jul25'!Q344)</f>
        <v/>
      </c>
      <c r="R344" t="str">
        <f>IF('1. Live'!R344='check-Jul25'!R344,"",'1. Live'!R344-'check-Jul25'!R344)</f>
        <v/>
      </c>
      <c r="S344" t="str">
        <f>IF('1. Live'!S344='check-Jul25'!S344,"",'1. Live'!S344-'check-Jul25'!S344)</f>
        <v/>
      </c>
      <c r="T344" t="str">
        <f>IF('1. Live'!T344='check-Jul25'!T344,"",'1. Live'!T344-'check-Jul25'!T344)</f>
        <v/>
      </c>
      <c r="U344" t="str">
        <f>IF('1. Live'!U344='check-Jul25'!U344,"",'1. Live'!U344-'check-Jul25'!U344)</f>
        <v/>
      </c>
      <c r="V344" t="str">
        <f>IF('1. Live'!V344='check-Jul25'!V344,"",'1. Live'!V344-'check-Jul25'!V344)</f>
        <v/>
      </c>
      <c r="W344" t="str">
        <f>IF('1. Live'!W344='check-Jul25'!W344,"",'1. Live'!W344-'check-Jul25'!W344)</f>
        <v/>
      </c>
      <c r="X344" t="str">
        <f>IF('1. Live'!X344='check-Jul25'!X344,"",'1. Live'!X344-'check-Jul25'!X344)</f>
        <v/>
      </c>
      <c r="Y344" t="str">
        <f>IF('1. Live'!Y344='check-Jul25'!Y344,"",'1. Live'!Y344-'check-Jul25'!Y344)</f>
        <v/>
      </c>
      <c r="Z344" t="str">
        <f>IF('1. Live'!Z344='check-Jul25'!Z344,"",'1. Live'!Z344-'check-Jul25'!Z344)</f>
        <v/>
      </c>
      <c r="AA344" t="str">
        <f>IF('1. Live'!AA344='check-Jul25'!AA344,"",'1. Live'!AA344-'check-Jul25'!AA344)</f>
        <v/>
      </c>
      <c r="AB344" t="str">
        <f>IF('1. Live'!AB344='check-Jul25'!AB344,"",'1. Live'!AB344-'check-Jul25'!AB344)</f>
        <v/>
      </c>
      <c r="AC344" t="str">
        <f>IF('1. Live'!AC344='check-Jul25'!AC344,"",'1. Live'!AC344-'check-Jul25'!AC344)</f>
        <v/>
      </c>
      <c r="AD344" t="str">
        <f>IF('1. Live'!AD344='check-Jul25'!AD344,"",'1. Live'!AD344-'check-Jul25'!AD344)</f>
        <v/>
      </c>
      <c r="AE344" t="str">
        <f>IF('1. Live'!AE344='check-Jul25'!AE344,"",'1. Live'!AE344-'check-Jul25'!AE344)</f>
        <v/>
      </c>
      <c r="AF344" t="str">
        <f>IF('1. Live'!AF344='check-Jul25'!AF344,"",'1. Live'!AF344-'check-Jul25'!AF344)</f>
        <v/>
      </c>
      <c r="AG344" t="str">
        <f>IF('1. Live'!AG344='check-Jul25'!AG344,"",'1. Live'!AG344-'check-Jul25'!AG344)</f>
        <v/>
      </c>
      <c r="AH344" t="str">
        <f>IF('1. Live'!AH344='check-Jul25'!AH344,"",'1. Live'!AH344-'check-Jul25'!AH344)</f>
        <v/>
      </c>
      <c r="AI344" t="str">
        <f>IF('1. Live'!AI344='check-Jul25'!AI344,"",'1. Live'!AI344-'check-Jul25'!AI344)</f>
        <v/>
      </c>
      <c r="AJ344" t="str">
        <f>IF('1. Live'!AJ344='check-Jul25'!AJ344,"",'1. Live'!AJ344-'check-Jul25'!AJ344)</f>
        <v/>
      </c>
      <c r="AK344" t="str">
        <f>IF('1. Live'!AK344='check-Jul25'!AK344,"",'1. Live'!AK344-'check-Jul25'!AK344)</f>
        <v/>
      </c>
      <c r="AL344" t="str">
        <f>IF('1. Live'!AL344='check-Jul25'!AL344,"",'1. Live'!AL344-'check-Jul25'!AL344)</f>
        <v/>
      </c>
      <c r="AM344" t="str">
        <f>IF('1. Live'!AM344='check-Jul25'!AM344,"",'1. Live'!AM344-'check-Jul25'!AM344)</f>
        <v/>
      </c>
      <c r="AN344" t="str">
        <f>IF('1. Live'!AN344='check-Jul25'!AN344,"",'1. Live'!AN344-'check-Jul25'!AN344)</f>
        <v/>
      </c>
      <c r="AO344" t="str">
        <f>IF('1. Live'!AO344='check-Jul25'!AO344,"",'1. Live'!AO344-'check-Jul25'!AO344)</f>
        <v/>
      </c>
      <c r="AP344" t="str">
        <f>IF('1. Live'!AP344='check-Jul25'!AP344,"",'1. Live'!AP344-'check-Jul25'!AP344)</f>
        <v/>
      </c>
      <c r="AQ344" t="str">
        <f>IF('1. Live'!AQ344='check-Jul25'!AQ344,"",'1. Live'!AQ344-'check-Jul25'!AQ344)</f>
        <v/>
      </c>
      <c r="AR344" t="str">
        <f>IF('1. Live'!AR344='check-Jul25'!AR344,"",'1. Live'!AR344-'check-Jul25'!AR344)</f>
        <v/>
      </c>
      <c r="AS344" t="str">
        <f>IF('1. Live'!AS344='check-Jul25'!AS344,"",'1. Live'!AS344-'check-Jul25'!AS344)</f>
        <v/>
      </c>
      <c r="AT344" t="str">
        <f>IF('1. Live'!AT344='check-Jul25'!AT344,"",'1. Live'!AT344-'check-Jul25'!AT344)</f>
        <v/>
      </c>
      <c r="AU344" t="str">
        <f>IF('1. Live'!AU344='check-Jul25'!AU344,"",'1. Live'!AU344-'check-Jul25'!AU344)</f>
        <v/>
      </c>
      <c r="AV344" t="str">
        <f>IF('1. Live'!AV344='check-Jul25'!AV344,"",'1. Live'!AV344-'check-Jul25'!AV344)</f>
        <v/>
      </c>
      <c r="AW344" t="str">
        <f>IF('1. Live'!AW344='check-Jul25'!AW344,"",'1. Live'!AW344-'check-Jul25'!AW344)</f>
        <v/>
      </c>
      <c r="AX344" t="str">
        <f>IF('1. Live'!AX344='check-Jul25'!AX344,"",'1. Live'!AX344-'check-Jul25'!AX344)</f>
        <v/>
      </c>
      <c r="AY344" t="str">
        <f>IF('1. Live'!AY344='check-Jul25'!AY344,"",'1. Live'!AY344-'check-Jul25'!AY344)</f>
        <v/>
      </c>
      <c r="AZ344" t="str">
        <f>IF('1. Live'!AZ344='check-Jul25'!AZ344,"",'1. Live'!AZ344-'check-Jul25'!AZ344)</f>
        <v/>
      </c>
      <c r="BA344" t="str">
        <f>IF('1. Live'!BA344='check-Jul25'!BA344,"",'1. Live'!BA344-'check-Jul25'!BA344)</f>
        <v/>
      </c>
      <c r="BB344" t="str">
        <f>IF('1. Live'!BB344='check-Jul25'!BB344,"",'1. Live'!BB344-'check-Jul25'!BB344)</f>
        <v/>
      </c>
      <c r="BC344" t="str">
        <f>IF('1. Live'!BC344='check-Jul25'!BC344,"",'1. Live'!BC344-'check-Jul25'!BC344)</f>
        <v/>
      </c>
      <c r="BD344" t="str">
        <f>IF('1. Live'!BD344='check-Jul25'!BD344,"",'1. Live'!BD344-'check-Jul25'!BD344)</f>
        <v/>
      </c>
      <c r="BE344" t="str">
        <f>IF('1. Live'!BE344='check-Jul25'!BE344,"",'1. Live'!BE344-'check-Jul25'!BE344)</f>
        <v/>
      </c>
      <c r="BF344" t="str">
        <f>IF('1. Live'!BF344='check-Jul25'!BF344,"",'1. Live'!BF344-'check-Jul25'!BF344)</f>
        <v/>
      </c>
      <c r="BG344" t="str">
        <f>IF('1. Live'!BG344='check-Jul25'!BG344,"",'1. Live'!BG344-'check-Jul25'!BG344)</f>
        <v/>
      </c>
      <c r="BH344" t="str">
        <f>IF('1. Live'!BH344='check-Jul25'!BH344,"",'1. Live'!BH344-'check-Jul25'!BH344)</f>
        <v/>
      </c>
      <c r="BI344" t="str">
        <f>IF('1. Live'!BI344='check-Jul25'!BI344,"",'1. Live'!BI344-'check-Jul25'!BI344)</f>
        <v/>
      </c>
      <c r="BJ344" t="str">
        <f>IF('1. Live'!BJ344='check-Jul25'!BJ344,"",'1. Live'!BJ344-'check-Jul25'!BJ344)</f>
        <v/>
      </c>
      <c r="BK344" t="str">
        <f>IF('1. Live'!BK344='check-Jul25'!BK344,"",'1. Live'!BK344-'check-Jul25'!BK344)</f>
        <v/>
      </c>
      <c r="BL344" t="str">
        <f>IF('1. Live'!BL344='check-Jul25'!BL344,"",'1. Live'!BL344-'check-Jul25'!BL344)</f>
        <v/>
      </c>
      <c r="BM344" t="str">
        <f>IF('1. Live'!BM344='check-Jul25'!BM344,"",'1. Live'!BM344-'check-Jul25'!BM344)</f>
        <v/>
      </c>
      <c r="BN344" t="str">
        <f>IF('1. Live'!BN344='check-Jul25'!BN344,"",'1. Live'!BN344-'check-Jul25'!BN344)</f>
        <v/>
      </c>
      <c r="BO344" t="str">
        <f>IF('1. Live'!BO344='check-Jul25'!BO344,"",'1. Live'!BO344-'check-Jul25'!BO344)</f>
        <v/>
      </c>
      <c r="BP344" t="str">
        <f>IF('1. Live'!BP344='check-Jul25'!BP344,"",'1. Live'!BP344-'check-Jul25'!BP344)</f>
        <v/>
      </c>
      <c r="BQ344" t="str">
        <f>IF('1. Live'!BQ344='check-Jul25'!BQ344,"",'1. Live'!BQ344-'check-Jul25'!BQ344)</f>
        <v/>
      </c>
      <c r="BR344" t="str">
        <f>IF('1. Live'!BR344='check-Jul25'!BR344,"",'1. Live'!BR344-'check-Jul25'!BR344)</f>
        <v/>
      </c>
      <c r="BS344" t="str">
        <f>IF('1. Live'!BS344='check-Jul25'!BS344,"",'1. Live'!BS344-'check-Jul25'!BS344)</f>
        <v/>
      </c>
      <c r="BT344" t="str">
        <f>IF('1. Live'!BT344='check-Jul25'!BT344,"",'1. Live'!BT344-'check-Jul25'!BT344)</f>
        <v/>
      </c>
      <c r="BU344" t="str">
        <f>IF('1. Live'!BU344='check-Jul25'!BU344,"",'1. Live'!BU344-'check-Jul25'!BU344)</f>
        <v/>
      </c>
      <c r="BV344" t="str">
        <f>IF('1. Live'!BV344='check-Jul25'!BV344,"",'1. Live'!BV344-'check-Jul25'!BV344)</f>
        <v/>
      </c>
      <c r="BW344" t="str">
        <f>IF('1. Live'!BW344='check-Jul25'!BW344,"",'1. Live'!BW344-'check-Jul25'!BW344)</f>
        <v/>
      </c>
      <c r="BX344" t="str">
        <f>IF('1. Live'!BX344='check-Jul25'!BX344,"",'1. Live'!BX344-'check-Jul25'!BX344)</f>
        <v/>
      </c>
      <c r="BY344" t="str">
        <f>IF('1. Live'!BY344='check-Jul25'!BY344,"",'1. Live'!BY344-'check-Jul25'!BY344)</f>
        <v/>
      </c>
      <c r="BZ344" t="str">
        <f>IF('1. Live'!BZ344='check-Jul25'!BZ344,"",'1. Live'!BZ344-'check-Jul25'!BZ344)</f>
        <v/>
      </c>
      <c r="CA344" t="str">
        <f>IF('1. Live'!CA344='check-Jul25'!CA344,"",'1. Live'!CA344-'check-Jul25'!CA344)</f>
        <v/>
      </c>
      <c r="CB344" t="str">
        <f>IF('1. Live'!CB344='check-Jul25'!CB344,"",'1. Live'!CB344-'check-Jul25'!CB344)</f>
        <v/>
      </c>
      <c r="CC344" t="str">
        <f>IF('1. Live'!CC344='check-Jul25'!CC344,"",'1. Live'!CC344-'check-Jul25'!CC344)</f>
        <v/>
      </c>
      <c r="CD344" t="str">
        <f>IF('1. Live'!CD344='check-Jul25'!CD344,"",'1. Live'!CD344-'check-Jul25'!CD344)</f>
        <v/>
      </c>
      <c r="CE344" t="str">
        <f>IF('1. Live'!CE344='check-Jul25'!CE344,"",'1. Live'!CE344-'check-Jul25'!CE344)</f>
        <v/>
      </c>
      <c r="CF344" t="str">
        <f>IF('1. Live'!CF344='check-Jul25'!CF344,"",'1. Live'!CF344-'check-Jul25'!CF344)</f>
        <v/>
      </c>
      <c r="CG344" t="str">
        <f>IF('1. Live'!CG344='check-Jul25'!CG344,"",'1. Live'!CG344-'check-Jul25'!CG344)</f>
        <v/>
      </c>
      <c r="CH344" t="str">
        <f>IF('1. Live'!CH344='check-Jul25'!CH344,"",'1. Live'!CH344-'check-Jul25'!CH344)</f>
        <v/>
      </c>
      <c r="CI344" t="str">
        <f>IF('1. Live'!CI344='check-Jul25'!CI344,"",'1. Live'!CI344-'check-Jul25'!CI344)</f>
        <v/>
      </c>
      <c r="CJ344" t="str">
        <f>IF('1. Live'!CJ344='check-Jul25'!CJ344,"",'1. Live'!CJ344-'check-Jul25'!CJ344)</f>
        <v/>
      </c>
      <c r="CK344" t="str">
        <f>IF('1. Live'!CK344='check-Jul25'!CK344,"",'1. Live'!CK344-'check-Jul25'!CK344)</f>
        <v/>
      </c>
      <c r="CL344" t="str">
        <f>IF('1. Live'!CL344='check-Jul25'!CL344,"",'1. Live'!CL344-'check-Jul25'!CL344)</f>
        <v/>
      </c>
      <c r="CM344" t="str">
        <f>IF('1. Live'!CM344='check-Jul25'!CM344,"",'1. Live'!CM344-'check-Jul25'!CM344)</f>
        <v/>
      </c>
      <c r="CN344" t="str">
        <f>IF('1. Live'!CN344='check-Jul25'!CN344,"",'1. Live'!CN344-'check-Jul25'!CN344)</f>
        <v/>
      </c>
      <c r="CO344" t="str">
        <f>IF('1. Live'!CO344='check-Jul25'!CO344,"",'1. Live'!CO344-'check-Jul25'!CO344)</f>
        <v/>
      </c>
      <c r="CP344" t="str">
        <f>IF('1. Live'!CP344='check-Jul25'!CP344,"",'1. Live'!CP344-'check-Jul25'!CP344)</f>
        <v/>
      </c>
      <c r="CQ344" t="str">
        <f>IF('1. Live'!CQ344='check-Jul25'!CQ344,"",'1. Live'!CQ344-'check-Jul25'!CQ344)</f>
        <v/>
      </c>
      <c r="CR344" t="str">
        <f>IF('1. Live'!CR344='check-Jul25'!CR344,"",'1. Live'!CR344-'check-Jul25'!CR344)</f>
        <v/>
      </c>
      <c r="CS344" t="str">
        <f>IF('1. Live'!CS344='check-Jul25'!CS344,"",'1. Live'!CS344-'check-Jul25'!CS344)</f>
        <v/>
      </c>
      <c r="CT344" t="str">
        <f>IF('1. Live'!CT344='check-Jul25'!CT344,"",'1. Live'!CT344-'check-Jul25'!CT344)</f>
        <v/>
      </c>
      <c r="CU344" t="str">
        <f>IF('1. Live'!CU344='check-Jul25'!CU344,"",'1. Live'!CU344-'check-Jul25'!CU344)</f>
        <v/>
      </c>
      <c r="CV344" t="str">
        <f>IF('1. Live'!CV344='check-Jul25'!CV344,"",'1. Live'!CV344-'check-Jul25'!CV344)</f>
        <v/>
      </c>
      <c r="CW344" t="str">
        <f>IF('1. Live'!CW344='check-Jul25'!CW344,"",'1. Live'!CW344-'check-Jul25'!CW344)</f>
        <v/>
      </c>
    </row>
    <row r="345" spans="10:101">
      <c r="J345" t="str">
        <f>IF('1. Live'!J345='check-Jul25'!J345,"",'1. Live'!J345-'check-Jul25'!J345)</f>
        <v/>
      </c>
      <c r="K345" t="str">
        <f>IF('1. Live'!K345='check-Jul25'!K345,"",'1. Live'!K345-'check-Jul25'!K345)</f>
        <v/>
      </c>
      <c r="L345" t="str">
        <f>IF('1. Live'!L345='check-Jul25'!L345,"",'1. Live'!L345-'check-Jul25'!L345)</f>
        <v/>
      </c>
      <c r="M345" t="str">
        <f>IF('1. Live'!M345='check-Jul25'!M345,"",'1. Live'!M345-'check-Jul25'!M345)</f>
        <v/>
      </c>
      <c r="N345" t="str">
        <f>IF('1. Live'!N345='check-Jul25'!N345,"",'1. Live'!N345-'check-Jul25'!N345)</f>
        <v/>
      </c>
      <c r="O345" t="str">
        <f>IF('1. Live'!O345='check-Jul25'!O345,"",'1. Live'!O345-'check-Jul25'!O345)</f>
        <v/>
      </c>
      <c r="P345" t="str">
        <f>IF('1. Live'!P345='check-Jul25'!P345,"",'1. Live'!P345-'check-Jul25'!P345)</f>
        <v/>
      </c>
      <c r="Q345" t="str">
        <f>IF('1. Live'!Q345='check-Jul25'!Q345,"",'1. Live'!Q345-'check-Jul25'!Q345)</f>
        <v/>
      </c>
      <c r="R345" t="str">
        <f>IF('1. Live'!R345='check-Jul25'!R345,"",'1. Live'!R345-'check-Jul25'!R345)</f>
        <v/>
      </c>
      <c r="S345" t="str">
        <f>IF('1. Live'!S345='check-Jul25'!S345,"",'1. Live'!S345-'check-Jul25'!S345)</f>
        <v/>
      </c>
      <c r="T345" t="str">
        <f>IF('1. Live'!T345='check-Jul25'!T345,"",'1. Live'!T345-'check-Jul25'!T345)</f>
        <v/>
      </c>
      <c r="U345" t="str">
        <f>IF('1. Live'!U345='check-Jul25'!U345,"",'1. Live'!U345-'check-Jul25'!U345)</f>
        <v/>
      </c>
      <c r="V345" t="str">
        <f>IF('1. Live'!V345='check-Jul25'!V345,"",'1. Live'!V345-'check-Jul25'!V345)</f>
        <v/>
      </c>
      <c r="W345" t="str">
        <f>IF('1. Live'!W345='check-Jul25'!W345,"",'1. Live'!W345-'check-Jul25'!W345)</f>
        <v/>
      </c>
      <c r="X345" t="str">
        <f>IF('1. Live'!X345='check-Jul25'!X345,"",'1. Live'!X345-'check-Jul25'!X345)</f>
        <v/>
      </c>
      <c r="Y345" t="str">
        <f>IF('1. Live'!Y345='check-Jul25'!Y345,"",'1. Live'!Y345-'check-Jul25'!Y345)</f>
        <v/>
      </c>
      <c r="Z345" t="str">
        <f>IF('1. Live'!Z345='check-Jul25'!Z345,"",'1. Live'!Z345-'check-Jul25'!Z345)</f>
        <v/>
      </c>
      <c r="AA345" t="str">
        <f>IF('1. Live'!AA345='check-Jul25'!AA345,"",'1. Live'!AA345-'check-Jul25'!AA345)</f>
        <v/>
      </c>
      <c r="AB345" t="str">
        <f>IF('1. Live'!AB345='check-Jul25'!AB345,"",'1. Live'!AB345-'check-Jul25'!AB345)</f>
        <v/>
      </c>
      <c r="AC345" t="str">
        <f>IF('1. Live'!AC345='check-Jul25'!AC345,"",'1. Live'!AC345-'check-Jul25'!AC345)</f>
        <v/>
      </c>
      <c r="AD345" t="str">
        <f>IF('1. Live'!AD345='check-Jul25'!AD345,"",'1. Live'!AD345-'check-Jul25'!AD345)</f>
        <v/>
      </c>
      <c r="AE345" t="str">
        <f>IF('1. Live'!AE345='check-Jul25'!AE345,"",'1. Live'!AE345-'check-Jul25'!AE345)</f>
        <v/>
      </c>
      <c r="AF345" t="str">
        <f>IF('1. Live'!AF345='check-Jul25'!AF345,"",'1. Live'!AF345-'check-Jul25'!AF345)</f>
        <v/>
      </c>
      <c r="AG345" t="str">
        <f>IF('1. Live'!AG345='check-Jul25'!AG345,"",'1. Live'!AG345-'check-Jul25'!AG345)</f>
        <v/>
      </c>
      <c r="AH345" t="str">
        <f>IF('1. Live'!AH345='check-Jul25'!AH345,"",'1. Live'!AH345-'check-Jul25'!AH345)</f>
        <v/>
      </c>
      <c r="AI345" t="str">
        <f>IF('1. Live'!AI345='check-Jul25'!AI345,"",'1. Live'!AI345-'check-Jul25'!AI345)</f>
        <v/>
      </c>
      <c r="AJ345" t="str">
        <f>IF('1. Live'!AJ345='check-Jul25'!AJ345,"",'1. Live'!AJ345-'check-Jul25'!AJ345)</f>
        <v/>
      </c>
      <c r="AK345" t="str">
        <f>IF('1. Live'!AK345='check-Jul25'!AK345,"",'1. Live'!AK345-'check-Jul25'!AK345)</f>
        <v/>
      </c>
      <c r="AL345" t="str">
        <f>IF('1. Live'!AL345='check-Jul25'!AL345,"",'1. Live'!AL345-'check-Jul25'!AL345)</f>
        <v/>
      </c>
      <c r="AM345" t="str">
        <f>IF('1. Live'!AM345='check-Jul25'!AM345,"",'1. Live'!AM345-'check-Jul25'!AM345)</f>
        <v/>
      </c>
      <c r="AN345" t="str">
        <f>IF('1. Live'!AN345='check-Jul25'!AN345,"",'1. Live'!AN345-'check-Jul25'!AN345)</f>
        <v/>
      </c>
      <c r="AO345" t="str">
        <f>IF('1. Live'!AO345='check-Jul25'!AO345,"",'1. Live'!AO345-'check-Jul25'!AO345)</f>
        <v/>
      </c>
      <c r="AP345" t="str">
        <f>IF('1. Live'!AP345='check-Jul25'!AP345,"",'1. Live'!AP345-'check-Jul25'!AP345)</f>
        <v/>
      </c>
      <c r="AQ345" t="str">
        <f>IF('1. Live'!AQ345='check-Jul25'!AQ345,"",'1. Live'!AQ345-'check-Jul25'!AQ345)</f>
        <v/>
      </c>
      <c r="AR345" t="str">
        <f>IF('1. Live'!AR345='check-Jul25'!AR345,"",'1. Live'!AR345-'check-Jul25'!AR345)</f>
        <v/>
      </c>
      <c r="AS345" t="str">
        <f>IF('1. Live'!AS345='check-Jul25'!AS345,"",'1. Live'!AS345-'check-Jul25'!AS345)</f>
        <v/>
      </c>
      <c r="AT345" t="str">
        <f>IF('1. Live'!AT345='check-Jul25'!AT345,"",'1. Live'!AT345-'check-Jul25'!AT345)</f>
        <v/>
      </c>
      <c r="AU345" t="str">
        <f>IF('1. Live'!AU345='check-Jul25'!AU345,"",'1. Live'!AU345-'check-Jul25'!AU345)</f>
        <v/>
      </c>
      <c r="AV345" t="str">
        <f>IF('1. Live'!AV345='check-Jul25'!AV345,"",'1. Live'!AV345-'check-Jul25'!AV345)</f>
        <v/>
      </c>
      <c r="AW345" t="str">
        <f>IF('1. Live'!AW345='check-Jul25'!AW345,"",'1. Live'!AW345-'check-Jul25'!AW345)</f>
        <v/>
      </c>
      <c r="AX345" t="str">
        <f>IF('1. Live'!AX345='check-Jul25'!AX345,"",'1. Live'!AX345-'check-Jul25'!AX345)</f>
        <v/>
      </c>
      <c r="AY345" t="str">
        <f>IF('1. Live'!AY345='check-Jul25'!AY345,"",'1. Live'!AY345-'check-Jul25'!AY345)</f>
        <v/>
      </c>
      <c r="AZ345" t="str">
        <f>IF('1. Live'!AZ345='check-Jul25'!AZ345,"",'1. Live'!AZ345-'check-Jul25'!AZ345)</f>
        <v/>
      </c>
      <c r="BA345" t="str">
        <f>IF('1. Live'!BA345='check-Jul25'!BA345,"",'1. Live'!BA345-'check-Jul25'!BA345)</f>
        <v/>
      </c>
      <c r="BB345" t="str">
        <f>IF('1. Live'!BB345='check-Jul25'!BB345,"",'1. Live'!BB345-'check-Jul25'!BB345)</f>
        <v/>
      </c>
      <c r="BC345" t="str">
        <f>IF('1. Live'!BC345='check-Jul25'!BC345,"",'1. Live'!BC345-'check-Jul25'!BC345)</f>
        <v/>
      </c>
      <c r="BD345" t="str">
        <f>IF('1. Live'!BD345='check-Jul25'!BD345,"",'1. Live'!BD345-'check-Jul25'!BD345)</f>
        <v/>
      </c>
      <c r="BE345" t="str">
        <f>IF('1. Live'!BE345='check-Jul25'!BE345,"",'1. Live'!BE345-'check-Jul25'!BE345)</f>
        <v/>
      </c>
      <c r="BF345" t="str">
        <f>IF('1. Live'!BF345='check-Jul25'!BF345,"",'1. Live'!BF345-'check-Jul25'!BF345)</f>
        <v/>
      </c>
      <c r="BG345" t="str">
        <f>IF('1. Live'!BG345='check-Jul25'!BG345,"",'1. Live'!BG345-'check-Jul25'!BG345)</f>
        <v/>
      </c>
      <c r="BH345" t="str">
        <f>IF('1. Live'!BH345='check-Jul25'!BH345,"",'1. Live'!BH345-'check-Jul25'!BH345)</f>
        <v/>
      </c>
      <c r="BI345" t="str">
        <f>IF('1. Live'!BI345='check-Jul25'!BI345,"",'1. Live'!BI345-'check-Jul25'!BI345)</f>
        <v/>
      </c>
      <c r="BJ345" t="str">
        <f>IF('1. Live'!BJ345='check-Jul25'!BJ345,"",'1. Live'!BJ345-'check-Jul25'!BJ345)</f>
        <v/>
      </c>
      <c r="BK345" t="str">
        <f>IF('1. Live'!BK345='check-Jul25'!BK345,"",'1. Live'!BK345-'check-Jul25'!BK345)</f>
        <v/>
      </c>
      <c r="BL345" t="str">
        <f>IF('1. Live'!BL345='check-Jul25'!BL345,"",'1. Live'!BL345-'check-Jul25'!BL345)</f>
        <v/>
      </c>
      <c r="BM345" t="str">
        <f>IF('1. Live'!BM345='check-Jul25'!BM345,"",'1. Live'!BM345-'check-Jul25'!BM345)</f>
        <v/>
      </c>
      <c r="BN345" t="str">
        <f>IF('1. Live'!BN345='check-Jul25'!BN345,"",'1. Live'!BN345-'check-Jul25'!BN345)</f>
        <v/>
      </c>
      <c r="BO345" t="str">
        <f>IF('1. Live'!BO345='check-Jul25'!BO345,"",'1. Live'!BO345-'check-Jul25'!BO345)</f>
        <v/>
      </c>
      <c r="BP345" t="str">
        <f>IF('1. Live'!BP345='check-Jul25'!BP345,"",'1. Live'!BP345-'check-Jul25'!BP345)</f>
        <v/>
      </c>
      <c r="BQ345" t="str">
        <f>IF('1. Live'!BQ345='check-Jul25'!BQ345,"",'1. Live'!BQ345-'check-Jul25'!BQ345)</f>
        <v/>
      </c>
      <c r="BR345" t="str">
        <f>IF('1. Live'!BR345='check-Jul25'!BR345,"",'1. Live'!BR345-'check-Jul25'!BR345)</f>
        <v/>
      </c>
      <c r="BS345" t="str">
        <f>IF('1. Live'!BS345='check-Jul25'!BS345,"",'1. Live'!BS345-'check-Jul25'!BS345)</f>
        <v/>
      </c>
      <c r="BT345" t="str">
        <f>IF('1. Live'!BT345='check-Jul25'!BT345,"",'1. Live'!BT345-'check-Jul25'!BT345)</f>
        <v/>
      </c>
      <c r="BU345" t="str">
        <f>IF('1. Live'!BU345='check-Jul25'!BU345,"",'1. Live'!BU345-'check-Jul25'!BU345)</f>
        <v/>
      </c>
      <c r="BV345" t="str">
        <f>IF('1. Live'!BV345='check-Jul25'!BV345,"",'1. Live'!BV345-'check-Jul25'!BV345)</f>
        <v/>
      </c>
      <c r="BW345" t="str">
        <f>IF('1. Live'!BW345='check-Jul25'!BW345,"",'1. Live'!BW345-'check-Jul25'!BW345)</f>
        <v/>
      </c>
      <c r="BX345" t="str">
        <f>IF('1. Live'!BX345='check-Jul25'!BX345,"",'1. Live'!BX345-'check-Jul25'!BX345)</f>
        <v/>
      </c>
      <c r="BY345" t="str">
        <f>IF('1. Live'!BY345='check-Jul25'!BY345,"",'1. Live'!BY345-'check-Jul25'!BY345)</f>
        <v/>
      </c>
      <c r="BZ345" t="str">
        <f>IF('1. Live'!BZ345='check-Jul25'!BZ345,"",'1. Live'!BZ345-'check-Jul25'!BZ345)</f>
        <v/>
      </c>
      <c r="CA345" t="str">
        <f>IF('1. Live'!CA345='check-Jul25'!CA345,"",'1. Live'!CA345-'check-Jul25'!CA345)</f>
        <v/>
      </c>
      <c r="CB345" t="str">
        <f>IF('1. Live'!CB345='check-Jul25'!CB345,"",'1. Live'!CB345-'check-Jul25'!CB345)</f>
        <v/>
      </c>
      <c r="CC345" t="str">
        <f>IF('1. Live'!CC345='check-Jul25'!CC345,"",'1. Live'!CC345-'check-Jul25'!CC345)</f>
        <v/>
      </c>
      <c r="CD345" t="str">
        <f>IF('1. Live'!CD345='check-Jul25'!CD345,"",'1. Live'!CD345-'check-Jul25'!CD345)</f>
        <v/>
      </c>
      <c r="CE345" t="str">
        <f>IF('1. Live'!CE345='check-Jul25'!CE345,"",'1. Live'!CE345-'check-Jul25'!CE345)</f>
        <v/>
      </c>
      <c r="CF345" t="str">
        <f>IF('1. Live'!CF345='check-Jul25'!CF345,"",'1. Live'!CF345-'check-Jul25'!CF345)</f>
        <v/>
      </c>
      <c r="CG345" t="str">
        <f>IF('1. Live'!CG345='check-Jul25'!CG345,"",'1. Live'!CG345-'check-Jul25'!CG345)</f>
        <v/>
      </c>
      <c r="CH345" t="str">
        <f>IF('1. Live'!CH345='check-Jul25'!CH345,"",'1. Live'!CH345-'check-Jul25'!CH345)</f>
        <v/>
      </c>
      <c r="CI345" t="str">
        <f>IF('1. Live'!CI345='check-Jul25'!CI345,"",'1. Live'!CI345-'check-Jul25'!CI345)</f>
        <v/>
      </c>
      <c r="CJ345" t="str">
        <f>IF('1. Live'!CJ345='check-Jul25'!CJ345,"",'1. Live'!CJ345-'check-Jul25'!CJ345)</f>
        <v/>
      </c>
      <c r="CK345" t="str">
        <f>IF('1. Live'!CK345='check-Jul25'!CK345,"",'1. Live'!CK345-'check-Jul25'!CK345)</f>
        <v/>
      </c>
      <c r="CL345" t="str">
        <f>IF('1. Live'!CL345='check-Jul25'!CL345,"",'1. Live'!CL345-'check-Jul25'!CL345)</f>
        <v/>
      </c>
      <c r="CM345" t="str">
        <f>IF('1. Live'!CM345='check-Jul25'!CM345,"",'1. Live'!CM345-'check-Jul25'!CM345)</f>
        <v/>
      </c>
      <c r="CN345" t="str">
        <f>IF('1. Live'!CN345='check-Jul25'!CN345,"",'1. Live'!CN345-'check-Jul25'!CN345)</f>
        <v/>
      </c>
      <c r="CO345" t="str">
        <f>IF('1. Live'!CO345='check-Jul25'!CO345,"",'1. Live'!CO345-'check-Jul25'!CO345)</f>
        <v/>
      </c>
      <c r="CP345" t="str">
        <f>IF('1. Live'!CP345='check-Jul25'!CP345,"",'1. Live'!CP345-'check-Jul25'!CP345)</f>
        <v/>
      </c>
      <c r="CQ345" t="str">
        <f>IF('1. Live'!CQ345='check-Jul25'!CQ345,"",'1. Live'!CQ345-'check-Jul25'!CQ345)</f>
        <v/>
      </c>
      <c r="CR345" t="str">
        <f>IF('1. Live'!CR345='check-Jul25'!CR345,"",'1. Live'!CR345-'check-Jul25'!CR345)</f>
        <v/>
      </c>
      <c r="CS345" t="str">
        <f>IF('1. Live'!CS345='check-Jul25'!CS345,"",'1. Live'!CS345-'check-Jul25'!CS345)</f>
        <v/>
      </c>
      <c r="CT345" t="str">
        <f>IF('1. Live'!CT345='check-Jul25'!CT345,"",'1. Live'!CT345-'check-Jul25'!CT345)</f>
        <v/>
      </c>
      <c r="CU345" t="str">
        <f>IF('1. Live'!CU345='check-Jul25'!CU345,"",'1. Live'!CU345-'check-Jul25'!CU345)</f>
        <v/>
      </c>
      <c r="CV345" t="str">
        <f>IF('1. Live'!CV345='check-Jul25'!CV345,"",'1. Live'!CV345-'check-Jul25'!CV345)</f>
        <v/>
      </c>
      <c r="CW345" t="str">
        <f>IF('1. Live'!CW345='check-Jul25'!CW345,"",'1. Live'!CW345-'check-Jul25'!CW345)</f>
        <v/>
      </c>
    </row>
    <row r="346" spans="10:101">
      <c r="J346" t="str">
        <f>IF('1. Live'!J346='check-Jul25'!J346,"",'1. Live'!J346-'check-Jul25'!J346)</f>
        <v/>
      </c>
      <c r="K346" t="str">
        <f>IF('1. Live'!K346='check-Jul25'!K346,"",'1. Live'!K346-'check-Jul25'!K346)</f>
        <v/>
      </c>
      <c r="L346" t="str">
        <f>IF('1. Live'!L346='check-Jul25'!L346,"",'1. Live'!L346-'check-Jul25'!L346)</f>
        <v/>
      </c>
      <c r="M346" t="str">
        <f>IF('1. Live'!M346='check-Jul25'!M346,"",'1. Live'!M346-'check-Jul25'!M346)</f>
        <v/>
      </c>
      <c r="N346" t="str">
        <f>IF('1. Live'!N346='check-Jul25'!N346,"",'1. Live'!N346-'check-Jul25'!N346)</f>
        <v/>
      </c>
      <c r="O346" t="str">
        <f>IF('1. Live'!O346='check-Jul25'!O346,"",'1. Live'!O346-'check-Jul25'!O346)</f>
        <v/>
      </c>
      <c r="P346" t="str">
        <f>IF('1. Live'!P346='check-Jul25'!P346,"",'1. Live'!P346-'check-Jul25'!P346)</f>
        <v/>
      </c>
      <c r="Q346" t="str">
        <f>IF('1. Live'!Q346='check-Jul25'!Q346,"",'1. Live'!Q346-'check-Jul25'!Q346)</f>
        <v/>
      </c>
      <c r="R346" t="str">
        <f>IF('1. Live'!R346='check-Jul25'!R346,"",'1. Live'!R346-'check-Jul25'!R346)</f>
        <v/>
      </c>
      <c r="S346" t="str">
        <f>IF('1. Live'!S346='check-Jul25'!S346,"",'1. Live'!S346-'check-Jul25'!S346)</f>
        <v/>
      </c>
      <c r="T346" t="str">
        <f>IF('1. Live'!T346='check-Jul25'!T346,"",'1. Live'!T346-'check-Jul25'!T346)</f>
        <v/>
      </c>
      <c r="U346" t="str">
        <f>IF('1. Live'!U346='check-Jul25'!U346,"",'1. Live'!U346-'check-Jul25'!U346)</f>
        <v/>
      </c>
      <c r="V346" t="str">
        <f>IF('1. Live'!V346='check-Jul25'!V346,"",'1. Live'!V346-'check-Jul25'!V346)</f>
        <v/>
      </c>
      <c r="W346" t="str">
        <f>IF('1. Live'!W346='check-Jul25'!W346,"",'1. Live'!W346-'check-Jul25'!W346)</f>
        <v/>
      </c>
      <c r="X346" t="str">
        <f>IF('1. Live'!X346='check-Jul25'!X346,"",'1. Live'!X346-'check-Jul25'!X346)</f>
        <v/>
      </c>
      <c r="Y346" t="str">
        <f>IF('1. Live'!Y346='check-Jul25'!Y346,"",'1. Live'!Y346-'check-Jul25'!Y346)</f>
        <v/>
      </c>
      <c r="Z346" t="str">
        <f>IF('1. Live'!Z346='check-Jul25'!Z346,"",'1. Live'!Z346-'check-Jul25'!Z346)</f>
        <v/>
      </c>
      <c r="AA346" t="str">
        <f>IF('1. Live'!AA346='check-Jul25'!AA346,"",'1. Live'!AA346-'check-Jul25'!AA346)</f>
        <v/>
      </c>
      <c r="AB346" t="str">
        <f>IF('1. Live'!AB346='check-Jul25'!AB346,"",'1. Live'!AB346-'check-Jul25'!AB346)</f>
        <v/>
      </c>
      <c r="AC346" t="str">
        <f>IF('1. Live'!AC346='check-Jul25'!AC346,"",'1. Live'!AC346-'check-Jul25'!AC346)</f>
        <v/>
      </c>
      <c r="AD346" t="str">
        <f>IF('1. Live'!AD346='check-Jul25'!AD346,"",'1. Live'!AD346-'check-Jul25'!AD346)</f>
        <v/>
      </c>
      <c r="AE346" t="str">
        <f>IF('1. Live'!AE346='check-Jul25'!AE346,"",'1. Live'!AE346-'check-Jul25'!AE346)</f>
        <v/>
      </c>
      <c r="AF346" t="str">
        <f>IF('1. Live'!AF346='check-Jul25'!AF346,"",'1. Live'!AF346-'check-Jul25'!AF346)</f>
        <v/>
      </c>
      <c r="AG346" t="str">
        <f>IF('1. Live'!AG346='check-Jul25'!AG346,"",'1. Live'!AG346-'check-Jul25'!AG346)</f>
        <v/>
      </c>
      <c r="AH346" t="str">
        <f>IF('1. Live'!AH346='check-Jul25'!AH346,"",'1. Live'!AH346-'check-Jul25'!AH346)</f>
        <v/>
      </c>
      <c r="AI346" t="str">
        <f>IF('1. Live'!AI346='check-Jul25'!AI346,"",'1. Live'!AI346-'check-Jul25'!AI346)</f>
        <v/>
      </c>
      <c r="AJ346" t="str">
        <f>IF('1. Live'!AJ346='check-Jul25'!AJ346,"",'1. Live'!AJ346-'check-Jul25'!AJ346)</f>
        <v/>
      </c>
      <c r="AK346" t="str">
        <f>IF('1. Live'!AK346='check-Jul25'!AK346,"",'1. Live'!AK346-'check-Jul25'!AK346)</f>
        <v/>
      </c>
      <c r="AL346" t="str">
        <f>IF('1. Live'!AL346='check-Jul25'!AL346,"",'1. Live'!AL346-'check-Jul25'!AL346)</f>
        <v/>
      </c>
      <c r="AM346" t="str">
        <f>IF('1. Live'!AM346='check-Jul25'!AM346,"",'1. Live'!AM346-'check-Jul25'!AM346)</f>
        <v/>
      </c>
      <c r="AN346" t="str">
        <f>IF('1. Live'!AN346='check-Jul25'!AN346,"",'1. Live'!AN346-'check-Jul25'!AN346)</f>
        <v/>
      </c>
      <c r="AO346" t="str">
        <f>IF('1. Live'!AO346='check-Jul25'!AO346,"",'1. Live'!AO346-'check-Jul25'!AO346)</f>
        <v/>
      </c>
      <c r="AP346" t="str">
        <f>IF('1. Live'!AP346='check-Jul25'!AP346,"",'1. Live'!AP346-'check-Jul25'!AP346)</f>
        <v/>
      </c>
      <c r="AQ346" t="str">
        <f>IF('1. Live'!AQ346='check-Jul25'!AQ346,"",'1. Live'!AQ346-'check-Jul25'!AQ346)</f>
        <v/>
      </c>
      <c r="AR346" t="str">
        <f>IF('1. Live'!AR346='check-Jul25'!AR346,"",'1. Live'!AR346-'check-Jul25'!AR346)</f>
        <v/>
      </c>
      <c r="AS346" t="str">
        <f>IF('1. Live'!AS346='check-Jul25'!AS346,"",'1. Live'!AS346-'check-Jul25'!AS346)</f>
        <v/>
      </c>
      <c r="AT346" t="str">
        <f>IF('1. Live'!AT346='check-Jul25'!AT346,"",'1. Live'!AT346-'check-Jul25'!AT346)</f>
        <v/>
      </c>
      <c r="AU346" t="str">
        <f>IF('1. Live'!AU346='check-Jul25'!AU346,"",'1. Live'!AU346-'check-Jul25'!AU346)</f>
        <v/>
      </c>
      <c r="AV346" t="str">
        <f>IF('1. Live'!AV346='check-Jul25'!AV346,"",'1. Live'!AV346-'check-Jul25'!AV346)</f>
        <v/>
      </c>
      <c r="AW346" t="str">
        <f>IF('1. Live'!AW346='check-Jul25'!AW346,"",'1. Live'!AW346-'check-Jul25'!AW346)</f>
        <v/>
      </c>
      <c r="AX346" t="str">
        <f>IF('1. Live'!AX346='check-Jul25'!AX346,"",'1. Live'!AX346-'check-Jul25'!AX346)</f>
        <v/>
      </c>
      <c r="AY346" t="str">
        <f>IF('1. Live'!AY346='check-Jul25'!AY346,"",'1. Live'!AY346-'check-Jul25'!AY346)</f>
        <v/>
      </c>
      <c r="AZ346" t="str">
        <f>IF('1. Live'!AZ346='check-Jul25'!AZ346,"",'1. Live'!AZ346-'check-Jul25'!AZ346)</f>
        <v/>
      </c>
      <c r="BA346" t="str">
        <f>IF('1. Live'!BA346='check-Jul25'!BA346,"",'1. Live'!BA346-'check-Jul25'!BA346)</f>
        <v/>
      </c>
      <c r="BB346" t="str">
        <f>IF('1. Live'!BB346='check-Jul25'!BB346,"",'1. Live'!BB346-'check-Jul25'!BB346)</f>
        <v/>
      </c>
      <c r="BC346" t="str">
        <f>IF('1. Live'!BC346='check-Jul25'!BC346,"",'1. Live'!BC346-'check-Jul25'!BC346)</f>
        <v/>
      </c>
      <c r="BD346" t="str">
        <f>IF('1. Live'!BD346='check-Jul25'!BD346,"",'1. Live'!BD346-'check-Jul25'!BD346)</f>
        <v/>
      </c>
      <c r="BE346" t="str">
        <f>IF('1. Live'!BE346='check-Jul25'!BE346,"",'1. Live'!BE346-'check-Jul25'!BE346)</f>
        <v/>
      </c>
      <c r="BF346" t="str">
        <f>IF('1. Live'!BF346='check-Jul25'!BF346,"",'1. Live'!BF346-'check-Jul25'!BF346)</f>
        <v/>
      </c>
      <c r="BG346" t="str">
        <f>IF('1. Live'!BG346='check-Jul25'!BG346,"",'1. Live'!BG346-'check-Jul25'!BG346)</f>
        <v/>
      </c>
      <c r="BH346" t="str">
        <f>IF('1. Live'!BH346='check-Jul25'!BH346,"",'1. Live'!BH346-'check-Jul25'!BH346)</f>
        <v/>
      </c>
      <c r="BI346" t="str">
        <f>IF('1. Live'!BI346='check-Jul25'!BI346,"",'1. Live'!BI346-'check-Jul25'!BI346)</f>
        <v/>
      </c>
      <c r="BJ346" t="str">
        <f>IF('1. Live'!BJ346='check-Jul25'!BJ346,"",'1. Live'!BJ346-'check-Jul25'!BJ346)</f>
        <v/>
      </c>
      <c r="BK346" t="str">
        <f>IF('1. Live'!BK346='check-Jul25'!BK346,"",'1. Live'!BK346-'check-Jul25'!BK346)</f>
        <v/>
      </c>
      <c r="BL346" t="str">
        <f>IF('1. Live'!BL346='check-Jul25'!BL346,"",'1. Live'!BL346-'check-Jul25'!BL346)</f>
        <v/>
      </c>
      <c r="BM346" t="str">
        <f>IF('1. Live'!BM346='check-Jul25'!BM346,"",'1. Live'!BM346-'check-Jul25'!BM346)</f>
        <v/>
      </c>
      <c r="BN346" t="str">
        <f>IF('1. Live'!BN346='check-Jul25'!BN346,"",'1. Live'!BN346-'check-Jul25'!BN346)</f>
        <v/>
      </c>
      <c r="BO346" t="str">
        <f>IF('1. Live'!BO346='check-Jul25'!BO346,"",'1. Live'!BO346-'check-Jul25'!BO346)</f>
        <v/>
      </c>
      <c r="BP346" t="str">
        <f>IF('1. Live'!BP346='check-Jul25'!BP346,"",'1. Live'!BP346-'check-Jul25'!BP346)</f>
        <v/>
      </c>
      <c r="BQ346" t="str">
        <f>IF('1. Live'!BQ346='check-Jul25'!BQ346,"",'1. Live'!BQ346-'check-Jul25'!BQ346)</f>
        <v/>
      </c>
      <c r="BR346" t="str">
        <f>IF('1. Live'!BR346='check-Jul25'!BR346,"",'1. Live'!BR346-'check-Jul25'!BR346)</f>
        <v/>
      </c>
      <c r="BS346" t="str">
        <f>IF('1. Live'!BS346='check-Jul25'!BS346,"",'1. Live'!BS346-'check-Jul25'!BS346)</f>
        <v/>
      </c>
      <c r="BT346" t="str">
        <f>IF('1. Live'!BT346='check-Jul25'!BT346,"",'1. Live'!BT346-'check-Jul25'!BT346)</f>
        <v/>
      </c>
      <c r="BU346" t="str">
        <f>IF('1. Live'!BU346='check-Jul25'!BU346,"",'1. Live'!BU346-'check-Jul25'!BU346)</f>
        <v/>
      </c>
      <c r="BV346" t="str">
        <f>IF('1. Live'!BV346='check-Jul25'!BV346,"",'1. Live'!BV346-'check-Jul25'!BV346)</f>
        <v/>
      </c>
      <c r="BW346" t="str">
        <f>IF('1. Live'!BW346='check-Jul25'!BW346,"",'1. Live'!BW346-'check-Jul25'!BW346)</f>
        <v/>
      </c>
      <c r="BX346" t="str">
        <f>IF('1. Live'!BX346='check-Jul25'!BX346,"",'1. Live'!BX346-'check-Jul25'!BX346)</f>
        <v/>
      </c>
      <c r="BY346" t="str">
        <f>IF('1. Live'!BY346='check-Jul25'!BY346,"",'1. Live'!BY346-'check-Jul25'!BY346)</f>
        <v/>
      </c>
      <c r="BZ346" t="str">
        <f>IF('1. Live'!BZ346='check-Jul25'!BZ346,"",'1. Live'!BZ346-'check-Jul25'!BZ346)</f>
        <v/>
      </c>
      <c r="CA346" t="str">
        <f>IF('1. Live'!CA346='check-Jul25'!CA346,"",'1. Live'!CA346-'check-Jul25'!CA346)</f>
        <v/>
      </c>
      <c r="CB346" t="str">
        <f>IF('1. Live'!CB346='check-Jul25'!CB346,"",'1. Live'!CB346-'check-Jul25'!CB346)</f>
        <v/>
      </c>
      <c r="CC346" t="str">
        <f>IF('1. Live'!CC346='check-Jul25'!CC346,"",'1. Live'!CC346-'check-Jul25'!CC346)</f>
        <v/>
      </c>
      <c r="CD346" t="str">
        <f>IF('1. Live'!CD346='check-Jul25'!CD346,"",'1. Live'!CD346-'check-Jul25'!CD346)</f>
        <v/>
      </c>
      <c r="CE346" t="str">
        <f>IF('1. Live'!CE346='check-Jul25'!CE346,"",'1. Live'!CE346-'check-Jul25'!CE346)</f>
        <v/>
      </c>
      <c r="CF346" t="str">
        <f>IF('1. Live'!CF346='check-Jul25'!CF346,"",'1. Live'!CF346-'check-Jul25'!CF346)</f>
        <v/>
      </c>
      <c r="CG346" t="str">
        <f>IF('1. Live'!CG346='check-Jul25'!CG346,"",'1. Live'!CG346-'check-Jul25'!CG346)</f>
        <v/>
      </c>
      <c r="CH346" t="str">
        <f>IF('1. Live'!CH346='check-Jul25'!CH346,"",'1. Live'!CH346-'check-Jul25'!CH346)</f>
        <v/>
      </c>
      <c r="CI346" t="str">
        <f>IF('1. Live'!CI346='check-Jul25'!CI346,"",'1. Live'!CI346-'check-Jul25'!CI346)</f>
        <v/>
      </c>
      <c r="CJ346" t="str">
        <f>IF('1. Live'!CJ346='check-Jul25'!CJ346,"",'1. Live'!CJ346-'check-Jul25'!CJ346)</f>
        <v/>
      </c>
      <c r="CK346" t="str">
        <f>IF('1. Live'!CK346='check-Jul25'!CK346,"",'1. Live'!CK346-'check-Jul25'!CK346)</f>
        <v/>
      </c>
      <c r="CL346" t="str">
        <f>IF('1. Live'!CL346='check-Jul25'!CL346,"",'1. Live'!CL346-'check-Jul25'!CL346)</f>
        <v/>
      </c>
      <c r="CM346" t="str">
        <f>IF('1. Live'!CM346='check-Jul25'!CM346,"",'1. Live'!CM346-'check-Jul25'!CM346)</f>
        <v/>
      </c>
      <c r="CN346" t="str">
        <f>IF('1. Live'!CN346='check-Jul25'!CN346,"",'1. Live'!CN346-'check-Jul25'!CN346)</f>
        <v/>
      </c>
      <c r="CO346" t="str">
        <f>IF('1. Live'!CO346='check-Jul25'!CO346,"",'1. Live'!CO346-'check-Jul25'!CO346)</f>
        <v/>
      </c>
      <c r="CP346" t="str">
        <f>IF('1. Live'!CP346='check-Jul25'!CP346,"",'1. Live'!CP346-'check-Jul25'!CP346)</f>
        <v/>
      </c>
      <c r="CQ346" t="str">
        <f>IF('1. Live'!CQ346='check-Jul25'!CQ346,"",'1. Live'!CQ346-'check-Jul25'!CQ346)</f>
        <v/>
      </c>
      <c r="CR346" t="str">
        <f>IF('1. Live'!CR346='check-Jul25'!CR346,"",'1. Live'!CR346-'check-Jul25'!CR346)</f>
        <v/>
      </c>
      <c r="CS346" t="str">
        <f>IF('1. Live'!CS346='check-Jul25'!CS346,"",'1. Live'!CS346-'check-Jul25'!CS346)</f>
        <v/>
      </c>
      <c r="CT346" t="str">
        <f>IF('1. Live'!CT346='check-Jul25'!CT346,"",'1. Live'!CT346-'check-Jul25'!CT346)</f>
        <v/>
      </c>
      <c r="CU346" t="str">
        <f>IF('1. Live'!CU346='check-Jul25'!CU346,"",'1. Live'!CU346-'check-Jul25'!CU346)</f>
        <v/>
      </c>
      <c r="CV346" t="str">
        <f>IF('1. Live'!CV346='check-Jul25'!CV346,"",'1. Live'!CV346-'check-Jul25'!CV346)</f>
        <v/>
      </c>
      <c r="CW346" t="str">
        <f>IF('1. Live'!CW346='check-Jul25'!CW346,"",'1. Live'!CW346-'check-Jul25'!CW346)</f>
        <v/>
      </c>
    </row>
    <row r="347" spans="10:101">
      <c r="J347" t="str">
        <f>IF('1. Live'!J347='check-Jul25'!J347,"",'1. Live'!J347-'check-Jul25'!J347)</f>
        <v/>
      </c>
      <c r="K347" t="str">
        <f>IF('1. Live'!K347='check-Jul25'!K347,"",'1. Live'!K347-'check-Jul25'!K347)</f>
        <v/>
      </c>
      <c r="L347" t="str">
        <f>IF('1. Live'!L347='check-Jul25'!L347,"",'1. Live'!L347-'check-Jul25'!L347)</f>
        <v/>
      </c>
      <c r="M347" t="str">
        <f>IF('1. Live'!M347='check-Jul25'!M347,"",'1. Live'!M347-'check-Jul25'!M347)</f>
        <v/>
      </c>
      <c r="N347" t="str">
        <f>IF('1. Live'!N347='check-Jul25'!N347,"",'1. Live'!N347-'check-Jul25'!N347)</f>
        <v/>
      </c>
      <c r="O347" t="str">
        <f>IF('1. Live'!O347='check-Jul25'!O347,"",'1. Live'!O347-'check-Jul25'!O347)</f>
        <v/>
      </c>
      <c r="P347" t="str">
        <f>IF('1. Live'!P347='check-Jul25'!P347,"",'1. Live'!P347-'check-Jul25'!P347)</f>
        <v/>
      </c>
      <c r="Q347" t="str">
        <f>IF('1. Live'!Q347='check-Jul25'!Q347,"",'1. Live'!Q347-'check-Jul25'!Q347)</f>
        <v/>
      </c>
      <c r="R347" t="str">
        <f>IF('1. Live'!R347='check-Jul25'!R347,"",'1. Live'!R347-'check-Jul25'!R347)</f>
        <v/>
      </c>
      <c r="S347" t="str">
        <f>IF('1. Live'!S347='check-Jul25'!S347,"",'1. Live'!S347-'check-Jul25'!S347)</f>
        <v/>
      </c>
      <c r="T347" t="str">
        <f>IF('1. Live'!T347='check-Jul25'!T347,"",'1. Live'!T347-'check-Jul25'!T347)</f>
        <v/>
      </c>
      <c r="U347" t="str">
        <f>IF('1. Live'!U347='check-Jul25'!U347,"",'1. Live'!U347-'check-Jul25'!U347)</f>
        <v/>
      </c>
      <c r="V347" t="str">
        <f>IF('1. Live'!V347='check-Jul25'!V347,"",'1. Live'!V347-'check-Jul25'!V347)</f>
        <v/>
      </c>
      <c r="W347" t="str">
        <f>IF('1. Live'!W347='check-Jul25'!W347,"",'1. Live'!W347-'check-Jul25'!W347)</f>
        <v/>
      </c>
      <c r="X347" t="str">
        <f>IF('1. Live'!X347='check-Jul25'!X347,"",'1. Live'!X347-'check-Jul25'!X347)</f>
        <v/>
      </c>
      <c r="Y347" t="str">
        <f>IF('1. Live'!Y347='check-Jul25'!Y347,"",'1. Live'!Y347-'check-Jul25'!Y347)</f>
        <v/>
      </c>
      <c r="Z347" t="str">
        <f>IF('1. Live'!Z347='check-Jul25'!Z347,"",'1. Live'!Z347-'check-Jul25'!Z347)</f>
        <v/>
      </c>
      <c r="AA347" t="str">
        <f>IF('1. Live'!AA347='check-Jul25'!AA347,"",'1. Live'!AA347-'check-Jul25'!AA347)</f>
        <v/>
      </c>
      <c r="AB347" t="str">
        <f>IF('1. Live'!AB347='check-Jul25'!AB347,"",'1. Live'!AB347-'check-Jul25'!AB347)</f>
        <v/>
      </c>
      <c r="AC347" t="str">
        <f>IF('1. Live'!AC347='check-Jul25'!AC347,"",'1. Live'!AC347-'check-Jul25'!AC347)</f>
        <v/>
      </c>
      <c r="AD347" t="str">
        <f>IF('1. Live'!AD347='check-Jul25'!AD347,"",'1. Live'!AD347-'check-Jul25'!AD347)</f>
        <v/>
      </c>
      <c r="AE347" t="str">
        <f>IF('1. Live'!AE347='check-Jul25'!AE347,"",'1. Live'!AE347-'check-Jul25'!AE347)</f>
        <v/>
      </c>
      <c r="AF347" t="str">
        <f>IF('1. Live'!AF347='check-Jul25'!AF347,"",'1. Live'!AF347-'check-Jul25'!AF347)</f>
        <v/>
      </c>
      <c r="AG347" t="str">
        <f>IF('1. Live'!AG347='check-Jul25'!AG347,"",'1. Live'!AG347-'check-Jul25'!AG347)</f>
        <v/>
      </c>
      <c r="AH347" t="str">
        <f>IF('1. Live'!AH347='check-Jul25'!AH347,"",'1. Live'!AH347-'check-Jul25'!AH347)</f>
        <v/>
      </c>
      <c r="AI347" t="str">
        <f>IF('1. Live'!AI347='check-Jul25'!AI347,"",'1. Live'!AI347-'check-Jul25'!AI347)</f>
        <v/>
      </c>
      <c r="AJ347" t="str">
        <f>IF('1. Live'!AJ347='check-Jul25'!AJ347,"",'1. Live'!AJ347-'check-Jul25'!AJ347)</f>
        <v/>
      </c>
      <c r="AK347" t="str">
        <f>IF('1. Live'!AK347='check-Jul25'!AK347,"",'1. Live'!AK347-'check-Jul25'!AK347)</f>
        <v/>
      </c>
      <c r="AL347" t="str">
        <f>IF('1. Live'!AL347='check-Jul25'!AL347,"",'1. Live'!AL347-'check-Jul25'!AL347)</f>
        <v/>
      </c>
      <c r="AM347" t="str">
        <f>IF('1. Live'!AM347='check-Jul25'!AM347,"",'1. Live'!AM347-'check-Jul25'!AM347)</f>
        <v/>
      </c>
      <c r="AN347" t="str">
        <f>IF('1. Live'!AN347='check-Jul25'!AN347,"",'1. Live'!AN347-'check-Jul25'!AN347)</f>
        <v/>
      </c>
      <c r="AO347" t="str">
        <f>IF('1. Live'!AO347='check-Jul25'!AO347,"",'1. Live'!AO347-'check-Jul25'!AO347)</f>
        <v/>
      </c>
      <c r="AP347" t="str">
        <f>IF('1. Live'!AP347='check-Jul25'!AP347,"",'1. Live'!AP347-'check-Jul25'!AP347)</f>
        <v/>
      </c>
      <c r="AQ347" t="str">
        <f>IF('1. Live'!AQ347='check-Jul25'!AQ347,"",'1. Live'!AQ347-'check-Jul25'!AQ347)</f>
        <v/>
      </c>
      <c r="AR347" t="str">
        <f>IF('1. Live'!AR347='check-Jul25'!AR347,"",'1. Live'!AR347-'check-Jul25'!AR347)</f>
        <v/>
      </c>
      <c r="AS347" t="str">
        <f>IF('1. Live'!AS347='check-Jul25'!AS347,"",'1. Live'!AS347-'check-Jul25'!AS347)</f>
        <v/>
      </c>
      <c r="AT347" t="str">
        <f>IF('1. Live'!AT347='check-Jul25'!AT347,"",'1. Live'!AT347-'check-Jul25'!AT347)</f>
        <v/>
      </c>
      <c r="AU347" t="str">
        <f>IF('1. Live'!AU347='check-Jul25'!AU347,"",'1. Live'!AU347-'check-Jul25'!AU347)</f>
        <v/>
      </c>
      <c r="AV347" t="str">
        <f>IF('1. Live'!AV347='check-Jul25'!AV347,"",'1. Live'!AV347-'check-Jul25'!AV347)</f>
        <v/>
      </c>
      <c r="AW347" t="str">
        <f>IF('1. Live'!AW347='check-Jul25'!AW347,"",'1. Live'!AW347-'check-Jul25'!AW347)</f>
        <v/>
      </c>
      <c r="AX347" t="str">
        <f>IF('1. Live'!AX347='check-Jul25'!AX347,"",'1. Live'!AX347-'check-Jul25'!AX347)</f>
        <v/>
      </c>
      <c r="AY347" t="str">
        <f>IF('1. Live'!AY347='check-Jul25'!AY347,"",'1. Live'!AY347-'check-Jul25'!AY347)</f>
        <v/>
      </c>
      <c r="AZ347" t="str">
        <f>IF('1. Live'!AZ347='check-Jul25'!AZ347,"",'1. Live'!AZ347-'check-Jul25'!AZ347)</f>
        <v/>
      </c>
      <c r="BA347" t="str">
        <f>IF('1. Live'!BA347='check-Jul25'!BA347,"",'1. Live'!BA347-'check-Jul25'!BA347)</f>
        <v/>
      </c>
      <c r="BB347" t="str">
        <f>IF('1. Live'!BB347='check-Jul25'!BB347,"",'1. Live'!BB347-'check-Jul25'!BB347)</f>
        <v/>
      </c>
      <c r="BC347" t="str">
        <f>IF('1. Live'!BC347='check-Jul25'!BC347,"",'1. Live'!BC347-'check-Jul25'!BC347)</f>
        <v/>
      </c>
      <c r="BD347" t="str">
        <f>IF('1. Live'!BD347='check-Jul25'!BD347,"",'1. Live'!BD347-'check-Jul25'!BD347)</f>
        <v/>
      </c>
      <c r="BE347" t="str">
        <f>IF('1. Live'!BE347='check-Jul25'!BE347,"",'1. Live'!BE347-'check-Jul25'!BE347)</f>
        <v/>
      </c>
      <c r="BF347" t="str">
        <f>IF('1. Live'!BF347='check-Jul25'!BF347,"",'1. Live'!BF347-'check-Jul25'!BF347)</f>
        <v/>
      </c>
      <c r="BG347" t="str">
        <f>IF('1. Live'!BG347='check-Jul25'!BG347,"",'1. Live'!BG347-'check-Jul25'!BG347)</f>
        <v/>
      </c>
      <c r="BH347" t="str">
        <f>IF('1. Live'!BH347='check-Jul25'!BH347,"",'1. Live'!BH347-'check-Jul25'!BH347)</f>
        <v/>
      </c>
      <c r="BI347" t="str">
        <f>IF('1. Live'!BI347='check-Jul25'!BI347,"",'1. Live'!BI347-'check-Jul25'!BI347)</f>
        <v/>
      </c>
      <c r="BJ347" t="str">
        <f>IF('1. Live'!BJ347='check-Jul25'!BJ347,"",'1. Live'!BJ347-'check-Jul25'!BJ347)</f>
        <v/>
      </c>
      <c r="BK347" t="str">
        <f>IF('1. Live'!BK347='check-Jul25'!BK347,"",'1. Live'!BK347-'check-Jul25'!BK347)</f>
        <v/>
      </c>
      <c r="BL347" t="str">
        <f>IF('1. Live'!BL347='check-Jul25'!BL347,"",'1. Live'!BL347-'check-Jul25'!BL347)</f>
        <v/>
      </c>
      <c r="BM347" t="str">
        <f>IF('1. Live'!BM347='check-Jul25'!BM347,"",'1. Live'!BM347-'check-Jul25'!BM347)</f>
        <v/>
      </c>
      <c r="BN347" t="str">
        <f>IF('1. Live'!BN347='check-Jul25'!BN347,"",'1. Live'!BN347-'check-Jul25'!BN347)</f>
        <v/>
      </c>
      <c r="BO347" t="str">
        <f>IF('1. Live'!BO347='check-Jul25'!BO347,"",'1. Live'!BO347-'check-Jul25'!BO347)</f>
        <v/>
      </c>
      <c r="BP347" t="str">
        <f>IF('1. Live'!BP347='check-Jul25'!BP347,"",'1. Live'!BP347-'check-Jul25'!BP347)</f>
        <v/>
      </c>
      <c r="BQ347" t="str">
        <f>IF('1. Live'!BQ347='check-Jul25'!BQ347,"",'1. Live'!BQ347-'check-Jul25'!BQ347)</f>
        <v/>
      </c>
      <c r="BR347" t="str">
        <f>IF('1. Live'!BR347='check-Jul25'!BR347,"",'1. Live'!BR347-'check-Jul25'!BR347)</f>
        <v/>
      </c>
      <c r="BS347" t="str">
        <f>IF('1. Live'!BS347='check-Jul25'!BS347,"",'1. Live'!BS347-'check-Jul25'!BS347)</f>
        <v/>
      </c>
      <c r="BT347" t="str">
        <f>IF('1. Live'!BT347='check-Jul25'!BT347,"",'1. Live'!BT347-'check-Jul25'!BT347)</f>
        <v/>
      </c>
      <c r="BU347" t="str">
        <f>IF('1. Live'!BU347='check-Jul25'!BU347,"",'1. Live'!BU347-'check-Jul25'!BU347)</f>
        <v/>
      </c>
      <c r="BV347" t="str">
        <f>IF('1. Live'!BV347='check-Jul25'!BV347,"",'1. Live'!BV347-'check-Jul25'!BV347)</f>
        <v/>
      </c>
      <c r="BW347" t="str">
        <f>IF('1. Live'!BW347='check-Jul25'!BW347,"",'1. Live'!BW347-'check-Jul25'!BW347)</f>
        <v/>
      </c>
      <c r="BX347" t="str">
        <f>IF('1. Live'!BX347='check-Jul25'!BX347,"",'1. Live'!BX347-'check-Jul25'!BX347)</f>
        <v/>
      </c>
      <c r="BY347" t="str">
        <f>IF('1. Live'!BY347='check-Jul25'!BY347,"",'1. Live'!BY347-'check-Jul25'!BY347)</f>
        <v/>
      </c>
      <c r="BZ347" t="str">
        <f>IF('1. Live'!BZ347='check-Jul25'!BZ347,"",'1. Live'!BZ347-'check-Jul25'!BZ347)</f>
        <v/>
      </c>
      <c r="CA347" t="str">
        <f>IF('1. Live'!CA347='check-Jul25'!CA347,"",'1. Live'!CA347-'check-Jul25'!CA347)</f>
        <v/>
      </c>
      <c r="CB347" t="str">
        <f>IF('1. Live'!CB347='check-Jul25'!CB347,"",'1. Live'!CB347-'check-Jul25'!CB347)</f>
        <v/>
      </c>
      <c r="CC347" t="str">
        <f>IF('1. Live'!CC347='check-Jul25'!CC347,"",'1. Live'!CC347-'check-Jul25'!CC347)</f>
        <v/>
      </c>
      <c r="CD347" t="str">
        <f>IF('1. Live'!CD347='check-Jul25'!CD347,"",'1. Live'!CD347-'check-Jul25'!CD347)</f>
        <v/>
      </c>
      <c r="CE347" t="str">
        <f>IF('1. Live'!CE347='check-Jul25'!CE347,"",'1. Live'!CE347-'check-Jul25'!CE347)</f>
        <v/>
      </c>
      <c r="CF347" t="str">
        <f>IF('1. Live'!CF347='check-Jul25'!CF347,"",'1. Live'!CF347-'check-Jul25'!CF347)</f>
        <v/>
      </c>
      <c r="CG347" t="str">
        <f>IF('1. Live'!CG347='check-Jul25'!CG347,"",'1. Live'!CG347-'check-Jul25'!CG347)</f>
        <v/>
      </c>
      <c r="CH347" t="str">
        <f>IF('1. Live'!CH347='check-Jul25'!CH347,"",'1. Live'!CH347-'check-Jul25'!CH347)</f>
        <v/>
      </c>
      <c r="CI347" t="str">
        <f>IF('1. Live'!CI347='check-Jul25'!CI347,"",'1. Live'!CI347-'check-Jul25'!CI347)</f>
        <v/>
      </c>
      <c r="CJ347" t="str">
        <f>IF('1. Live'!CJ347='check-Jul25'!CJ347,"",'1. Live'!CJ347-'check-Jul25'!CJ347)</f>
        <v/>
      </c>
      <c r="CK347" t="str">
        <f>IF('1. Live'!CK347='check-Jul25'!CK347,"",'1. Live'!CK347-'check-Jul25'!CK347)</f>
        <v/>
      </c>
      <c r="CL347" t="str">
        <f>IF('1. Live'!CL347='check-Jul25'!CL347,"",'1. Live'!CL347-'check-Jul25'!CL347)</f>
        <v/>
      </c>
      <c r="CM347" t="str">
        <f>IF('1. Live'!CM347='check-Jul25'!CM347,"",'1. Live'!CM347-'check-Jul25'!CM347)</f>
        <v/>
      </c>
      <c r="CN347" t="str">
        <f>IF('1. Live'!CN347='check-Jul25'!CN347,"",'1. Live'!CN347-'check-Jul25'!CN347)</f>
        <v/>
      </c>
      <c r="CO347" t="str">
        <f>IF('1. Live'!CO347='check-Jul25'!CO347,"",'1. Live'!CO347-'check-Jul25'!CO347)</f>
        <v/>
      </c>
      <c r="CP347" t="str">
        <f>IF('1. Live'!CP347='check-Jul25'!CP347,"",'1. Live'!CP347-'check-Jul25'!CP347)</f>
        <v/>
      </c>
      <c r="CQ347" t="str">
        <f>IF('1. Live'!CQ347='check-Jul25'!CQ347,"",'1. Live'!CQ347-'check-Jul25'!CQ347)</f>
        <v/>
      </c>
      <c r="CR347" t="str">
        <f>IF('1. Live'!CR347='check-Jul25'!CR347,"",'1. Live'!CR347-'check-Jul25'!CR347)</f>
        <v/>
      </c>
      <c r="CS347" t="str">
        <f>IF('1. Live'!CS347='check-Jul25'!CS347,"",'1. Live'!CS347-'check-Jul25'!CS347)</f>
        <v/>
      </c>
      <c r="CT347" t="str">
        <f>IF('1. Live'!CT347='check-Jul25'!CT347,"",'1. Live'!CT347-'check-Jul25'!CT347)</f>
        <v/>
      </c>
      <c r="CU347" t="str">
        <f>IF('1. Live'!CU347='check-Jul25'!CU347,"",'1. Live'!CU347-'check-Jul25'!CU347)</f>
        <v/>
      </c>
      <c r="CV347" t="str">
        <f>IF('1. Live'!CV347='check-Jul25'!CV347,"",'1. Live'!CV347-'check-Jul25'!CV347)</f>
        <v/>
      </c>
      <c r="CW347" t="str">
        <f>IF('1. Live'!CW347='check-Jul25'!CW347,"",'1. Live'!CW347-'check-Jul25'!CW347)</f>
        <v/>
      </c>
    </row>
    <row r="348" spans="10:101">
      <c r="J348" t="str">
        <f>IF('1. Live'!J348='check-Jul25'!J348,"",'1. Live'!J348-'check-Jul25'!J348)</f>
        <v/>
      </c>
      <c r="K348" t="str">
        <f>IF('1. Live'!K348='check-Jul25'!K348,"",'1. Live'!K348-'check-Jul25'!K348)</f>
        <v/>
      </c>
      <c r="L348" t="str">
        <f>IF('1. Live'!L348='check-Jul25'!L348,"",'1. Live'!L348-'check-Jul25'!L348)</f>
        <v/>
      </c>
      <c r="M348" t="str">
        <f>IF('1. Live'!M348='check-Jul25'!M348,"",'1. Live'!M348-'check-Jul25'!M348)</f>
        <v/>
      </c>
      <c r="N348" t="str">
        <f>IF('1. Live'!N348='check-Jul25'!N348,"",'1. Live'!N348-'check-Jul25'!N348)</f>
        <v/>
      </c>
      <c r="O348" t="str">
        <f>IF('1. Live'!O348='check-Jul25'!O348,"",'1. Live'!O348-'check-Jul25'!O348)</f>
        <v/>
      </c>
      <c r="P348" t="str">
        <f>IF('1. Live'!P348='check-Jul25'!P348,"",'1. Live'!P348-'check-Jul25'!P348)</f>
        <v/>
      </c>
      <c r="Q348" t="str">
        <f>IF('1. Live'!Q348='check-Jul25'!Q348,"",'1. Live'!Q348-'check-Jul25'!Q348)</f>
        <v/>
      </c>
      <c r="R348" t="str">
        <f>IF('1. Live'!R348='check-Jul25'!R348,"",'1. Live'!R348-'check-Jul25'!R348)</f>
        <v/>
      </c>
      <c r="S348" t="str">
        <f>IF('1. Live'!S348='check-Jul25'!S348,"",'1. Live'!S348-'check-Jul25'!S348)</f>
        <v/>
      </c>
      <c r="T348" t="str">
        <f>IF('1. Live'!T348='check-Jul25'!T348,"",'1. Live'!T348-'check-Jul25'!T348)</f>
        <v/>
      </c>
      <c r="U348" t="str">
        <f>IF('1. Live'!U348='check-Jul25'!U348,"",'1. Live'!U348-'check-Jul25'!U348)</f>
        <v/>
      </c>
      <c r="V348" t="str">
        <f>IF('1. Live'!V348='check-Jul25'!V348,"",'1. Live'!V348-'check-Jul25'!V348)</f>
        <v/>
      </c>
      <c r="W348" t="str">
        <f>IF('1. Live'!W348='check-Jul25'!W348,"",'1. Live'!W348-'check-Jul25'!W348)</f>
        <v/>
      </c>
      <c r="X348" t="str">
        <f>IF('1. Live'!X348='check-Jul25'!X348,"",'1. Live'!X348-'check-Jul25'!X348)</f>
        <v/>
      </c>
      <c r="Y348" t="str">
        <f>IF('1. Live'!Y348='check-Jul25'!Y348,"",'1. Live'!Y348-'check-Jul25'!Y348)</f>
        <v/>
      </c>
      <c r="Z348" t="str">
        <f>IF('1. Live'!Z348='check-Jul25'!Z348,"",'1. Live'!Z348-'check-Jul25'!Z348)</f>
        <v/>
      </c>
      <c r="AA348" t="str">
        <f>IF('1. Live'!AA348='check-Jul25'!AA348,"",'1. Live'!AA348-'check-Jul25'!AA348)</f>
        <v/>
      </c>
      <c r="AB348" t="str">
        <f>IF('1. Live'!AB348='check-Jul25'!AB348,"",'1. Live'!AB348-'check-Jul25'!AB348)</f>
        <v/>
      </c>
      <c r="AC348" t="str">
        <f>IF('1. Live'!AC348='check-Jul25'!AC348,"",'1. Live'!AC348-'check-Jul25'!AC348)</f>
        <v/>
      </c>
      <c r="AD348" t="str">
        <f>IF('1. Live'!AD348='check-Jul25'!AD348,"",'1. Live'!AD348-'check-Jul25'!AD348)</f>
        <v/>
      </c>
      <c r="AE348" t="str">
        <f>IF('1. Live'!AE348='check-Jul25'!AE348,"",'1. Live'!AE348-'check-Jul25'!AE348)</f>
        <v/>
      </c>
      <c r="AF348" t="str">
        <f>IF('1. Live'!AF348='check-Jul25'!AF348,"",'1. Live'!AF348-'check-Jul25'!AF348)</f>
        <v/>
      </c>
      <c r="AG348" t="str">
        <f>IF('1. Live'!AG348='check-Jul25'!AG348,"",'1. Live'!AG348-'check-Jul25'!AG348)</f>
        <v/>
      </c>
      <c r="AH348" t="str">
        <f>IF('1. Live'!AH348='check-Jul25'!AH348,"",'1. Live'!AH348-'check-Jul25'!AH348)</f>
        <v/>
      </c>
      <c r="AI348" t="str">
        <f>IF('1. Live'!AI348='check-Jul25'!AI348,"",'1. Live'!AI348-'check-Jul25'!AI348)</f>
        <v/>
      </c>
      <c r="AJ348" t="str">
        <f>IF('1. Live'!AJ348='check-Jul25'!AJ348,"",'1. Live'!AJ348-'check-Jul25'!AJ348)</f>
        <v/>
      </c>
      <c r="AK348" t="str">
        <f>IF('1. Live'!AK348='check-Jul25'!AK348,"",'1. Live'!AK348-'check-Jul25'!AK348)</f>
        <v/>
      </c>
      <c r="AL348" t="str">
        <f>IF('1. Live'!AL348='check-Jul25'!AL348,"",'1. Live'!AL348-'check-Jul25'!AL348)</f>
        <v/>
      </c>
      <c r="AM348" t="str">
        <f>IF('1. Live'!AM348='check-Jul25'!AM348,"",'1. Live'!AM348-'check-Jul25'!AM348)</f>
        <v/>
      </c>
      <c r="AN348" t="str">
        <f>IF('1. Live'!AN348='check-Jul25'!AN348,"",'1. Live'!AN348-'check-Jul25'!AN348)</f>
        <v/>
      </c>
      <c r="AO348" t="str">
        <f>IF('1. Live'!AO348='check-Jul25'!AO348,"",'1. Live'!AO348-'check-Jul25'!AO348)</f>
        <v/>
      </c>
      <c r="AP348" t="str">
        <f>IF('1. Live'!AP348='check-Jul25'!AP348,"",'1. Live'!AP348-'check-Jul25'!AP348)</f>
        <v/>
      </c>
      <c r="AQ348" t="str">
        <f>IF('1. Live'!AQ348='check-Jul25'!AQ348,"",'1. Live'!AQ348-'check-Jul25'!AQ348)</f>
        <v/>
      </c>
      <c r="AR348" t="str">
        <f>IF('1. Live'!AR348='check-Jul25'!AR348,"",'1. Live'!AR348-'check-Jul25'!AR348)</f>
        <v/>
      </c>
      <c r="AS348" t="str">
        <f>IF('1. Live'!AS348='check-Jul25'!AS348,"",'1. Live'!AS348-'check-Jul25'!AS348)</f>
        <v/>
      </c>
      <c r="AT348" t="str">
        <f>IF('1. Live'!AT348='check-Jul25'!AT348,"",'1. Live'!AT348-'check-Jul25'!AT348)</f>
        <v/>
      </c>
      <c r="AU348" t="str">
        <f>IF('1. Live'!AU348='check-Jul25'!AU348,"",'1. Live'!AU348-'check-Jul25'!AU348)</f>
        <v/>
      </c>
      <c r="AV348" t="str">
        <f>IF('1. Live'!AV348='check-Jul25'!AV348,"",'1. Live'!AV348-'check-Jul25'!AV348)</f>
        <v/>
      </c>
      <c r="AW348" t="str">
        <f>IF('1. Live'!AW348='check-Jul25'!AW348,"",'1. Live'!AW348-'check-Jul25'!AW348)</f>
        <v/>
      </c>
      <c r="AX348" t="str">
        <f>IF('1. Live'!AX348='check-Jul25'!AX348,"",'1. Live'!AX348-'check-Jul25'!AX348)</f>
        <v/>
      </c>
      <c r="AY348" t="str">
        <f>IF('1. Live'!AY348='check-Jul25'!AY348,"",'1. Live'!AY348-'check-Jul25'!AY348)</f>
        <v/>
      </c>
      <c r="AZ348" t="str">
        <f>IF('1. Live'!AZ348='check-Jul25'!AZ348,"",'1. Live'!AZ348-'check-Jul25'!AZ348)</f>
        <v/>
      </c>
      <c r="BA348" t="str">
        <f>IF('1. Live'!BA348='check-Jul25'!BA348,"",'1. Live'!BA348-'check-Jul25'!BA348)</f>
        <v/>
      </c>
      <c r="BB348" t="str">
        <f>IF('1. Live'!BB348='check-Jul25'!BB348,"",'1. Live'!BB348-'check-Jul25'!BB348)</f>
        <v/>
      </c>
      <c r="BC348" t="str">
        <f>IF('1. Live'!BC348='check-Jul25'!BC348,"",'1. Live'!BC348-'check-Jul25'!BC348)</f>
        <v/>
      </c>
      <c r="BD348" t="str">
        <f>IF('1. Live'!BD348='check-Jul25'!BD348,"",'1. Live'!BD348-'check-Jul25'!BD348)</f>
        <v/>
      </c>
      <c r="BE348" t="str">
        <f>IF('1. Live'!BE348='check-Jul25'!BE348,"",'1. Live'!BE348-'check-Jul25'!BE348)</f>
        <v/>
      </c>
      <c r="BF348" t="str">
        <f>IF('1. Live'!BF348='check-Jul25'!BF348,"",'1. Live'!BF348-'check-Jul25'!BF348)</f>
        <v/>
      </c>
      <c r="BG348" t="str">
        <f>IF('1. Live'!BG348='check-Jul25'!BG348,"",'1. Live'!BG348-'check-Jul25'!BG348)</f>
        <v/>
      </c>
      <c r="BH348" t="str">
        <f>IF('1. Live'!BH348='check-Jul25'!BH348,"",'1. Live'!BH348-'check-Jul25'!BH348)</f>
        <v/>
      </c>
      <c r="BI348" t="str">
        <f>IF('1. Live'!BI348='check-Jul25'!BI348,"",'1. Live'!BI348-'check-Jul25'!BI348)</f>
        <v/>
      </c>
      <c r="BJ348" t="str">
        <f>IF('1. Live'!BJ348='check-Jul25'!BJ348,"",'1. Live'!BJ348-'check-Jul25'!BJ348)</f>
        <v/>
      </c>
      <c r="BK348" t="str">
        <f>IF('1. Live'!BK348='check-Jul25'!BK348,"",'1. Live'!BK348-'check-Jul25'!BK348)</f>
        <v/>
      </c>
      <c r="BL348" t="str">
        <f>IF('1. Live'!BL348='check-Jul25'!BL348,"",'1. Live'!BL348-'check-Jul25'!BL348)</f>
        <v/>
      </c>
      <c r="BM348" t="str">
        <f>IF('1. Live'!BM348='check-Jul25'!BM348,"",'1. Live'!BM348-'check-Jul25'!BM348)</f>
        <v/>
      </c>
      <c r="BN348" t="str">
        <f>IF('1. Live'!BN348='check-Jul25'!BN348,"",'1. Live'!BN348-'check-Jul25'!BN348)</f>
        <v/>
      </c>
      <c r="BO348" t="str">
        <f>IF('1. Live'!BO348='check-Jul25'!BO348,"",'1. Live'!BO348-'check-Jul25'!BO348)</f>
        <v/>
      </c>
      <c r="BP348" t="str">
        <f>IF('1. Live'!BP348='check-Jul25'!BP348,"",'1. Live'!BP348-'check-Jul25'!BP348)</f>
        <v/>
      </c>
      <c r="BQ348" t="str">
        <f>IF('1. Live'!BQ348='check-Jul25'!BQ348,"",'1. Live'!BQ348-'check-Jul25'!BQ348)</f>
        <v/>
      </c>
      <c r="BR348" t="str">
        <f>IF('1. Live'!BR348='check-Jul25'!BR348,"",'1. Live'!BR348-'check-Jul25'!BR348)</f>
        <v/>
      </c>
      <c r="BS348" t="str">
        <f>IF('1. Live'!BS348='check-Jul25'!BS348,"",'1. Live'!BS348-'check-Jul25'!BS348)</f>
        <v/>
      </c>
      <c r="BT348" t="str">
        <f>IF('1. Live'!BT348='check-Jul25'!BT348,"",'1. Live'!BT348-'check-Jul25'!BT348)</f>
        <v/>
      </c>
      <c r="BU348" t="str">
        <f>IF('1. Live'!BU348='check-Jul25'!BU348,"",'1. Live'!BU348-'check-Jul25'!BU348)</f>
        <v/>
      </c>
      <c r="BV348" t="str">
        <f>IF('1. Live'!BV348='check-Jul25'!BV348,"",'1. Live'!BV348-'check-Jul25'!BV348)</f>
        <v/>
      </c>
      <c r="BW348" t="str">
        <f>IF('1. Live'!BW348='check-Jul25'!BW348,"",'1. Live'!BW348-'check-Jul25'!BW348)</f>
        <v/>
      </c>
      <c r="BX348" t="str">
        <f>IF('1. Live'!BX348='check-Jul25'!BX348,"",'1. Live'!BX348-'check-Jul25'!BX348)</f>
        <v/>
      </c>
      <c r="BY348" t="str">
        <f>IF('1. Live'!BY348='check-Jul25'!BY348,"",'1. Live'!BY348-'check-Jul25'!BY348)</f>
        <v/>
      </c>
      <c r="BZ348" t="str">
        <f>IF('1. Live'!BZ348='check-Jul25'!BZ348,"",'1. Live'!BZ348-'check-Jul25'!BZ348)</f>
        <v/>
      </c>
      <c r="CA348" t="str">
        <f>IF('1. Live'!CA348='check-Jul25'!CA348,"",'1. Live'!CA348-'check-Jul25'!CA348)</f>
        <v/>
      </c>
      <c r="CB348" t="str">
        <f>IF('1. Live'!CB348='check-Jul25'!CB348,"",'1. Live'!CB348-'check-Jul25'!CB348)</f>
        <v/>
      </c>
      <c r="CC348" t="str">
        <f>IF('1. Live'!CC348='check-Jul25'!CC348,"",'1. Live'!CC348-'check-Jul25'!CC348)</f>
        <v/>
      </c>
      <c r="CD348" t="str">
        <f>IF('1. Live'!CD348='check-Jul25'!CD348,"",'1. Live'!CD348-'check-Jul25'!CD348)</f>
        <v/>
      </c>
      <c r="CE348" t="str">
        <f>IF('1. Live'!CE348='check-Jul25'!CE348,"",'1. Live'!CE348-'check-Jul25'!CE348)</f>
        <v/>
      </c>
      <c r="CF348" t="str">
        <f>IF('1. Live'!CF348='check-Jul25'!CF348,"",'1. Live'!CF348-'check-Jul25'!CF348)</f>
        <v/>
      </c>
      <c r="CG348" t="str">
        <f>IF('1. Live'!CG348='check-Jul25'!CG348,"",'1. Live'!CG348-'check-Jul25'!CG348)</f>
        <v/>
      </c>
      <c r="CH348" t="str">
        <f>IF('1. Live'!CH348='check-Jul25'!CH348,"",'1. Live'!CH348-'check-Jul25'!CH348)</f>
        <v/>
      </c>
      <c r="CI348" t="str">
        <f>IF('1. Live'!CI348='check-Jul25'!CI348,"",'1. Live'!CI348-'check-Jul25'!CI348)</f>
        <v/>
      </c>
      <c r="CJ348" t="str">
        <f>IF('1. Live'!CJ348='check-Jul25'!CJ348,"",'1. Live'!CJ348-'check-Jul25'!CJ348)</f>
        <v/>
      </c>
      <c r="CK348" t="str">
        <f>IF('1. Live'!CK348='check-Jul25'!CK348,"",'1. Live'!CK348-'check-Jul25'!CK348)</f>
        <v/>
      </c>
      <c r="CL348" t="str">
        <f>IF('1. Live'!CL348='check-Jul25'!CL348,"",'1. Live'!CL348-'check-Jul25'!CL348)</f>
        <v/>
      </c>
      <c r="CM348" t="str">
        <f>IF('1. Live'!CM348='check-Jul25'!CM348,"",'1. Live'!CM348-'check-Jul25'!CM348)</f>
        <v/>
      </c>
      <c r="CN348" t="str">
        <f>IF('1. Live'!CN348='check-Jul25'!CN348,"",'1. Live'!CN348-'check-Jul25'!CN348)</f>
        <v/>
      </c>
      <c r="CO348" t="str">
        <f>IF('1. Live'!CO348='check-Jul25'!CO348,"",'1. Live'!CO348-'check-Jul25'!CO348)</f>
        <v/>
      </c>
      <c r="CP348" t="str">
        <f>IF('1. Live'!CP348='check-Jul25'!CP348,"",'1. Live'!CP348-'check-Jul25'!CP348)</f>
        <v/>
      </c>
      <c r="CQ348" t="str">
        <f>IF('1. Live'!CQ348='check-Jul25'!CQ348,"",'1. Live'!CQ348-'check-Jul25'!CQ348)</f>
        <v/>
      </c>
      <c r="CR348" t="str">
        <f>IF('1. Live'!CR348='check-Jul25'!CR348,"",'1. Live'!CR348-'check-Jul25'!CR348)</f>
        <v/>
      </c>
      <c r="CS348" t="str">
        <f>IF('1. Live'!CS348='check-Jul25'!CS348,"",'1. Live'!CS348-'check-Jul25'!CS348)</f>
        <v/>
      </c>
      <c r="CT348" t="str">
        <f>IF('1. Live'!CT348='check-Jul25'!CT348,"",'1. Live'!CT348-'check-Jul25'!CT348)</f>
        <v/>
      </c>
      <c r="CU348" t="str">
        <f>IF('1. Live'!CU348='check-Jul25'!CU348,"",'1. Live'!CU348-'check-Jul25'!CU348)</f>
        <v/>
      </c>
      <c r="CV348" t="str">
        <f>IF('1. Live'!CV348='check-Jul25'!CV348,"",'1. Live'!CV348-'check-Jul25'!CV348)</f>
        <v/>
      </c>
      <c r="CW348" t="str">
        <f>IF('1. Live'!CW348='check-Jul25'!CW348,"",'1. Live'!CW348-'check-Jul25'!CW348)</f>
        <v/>
      </c>
    </row>
    <row r="349" spans="10:101">
      <c r="J349" t="str">
        <f>IF('1. Live'!J349='check-Jul25'!J349,"",'1. Live'!J349-'check-Jul25'!J349)</f>
        <v/>
      </c>
      <c r="K349" t="str">
        <f>IF('1. Live'!K349='check-Jul25'!K349,"",'1. Live'!K349-'check-Jul25'!K349)</f>
        <v/>
      </c>
      <c r="L349" t="str">
        <f>IF('1. Live'!L349='check-Jul25'!L349,"",'1. Live'!L349-'check-Jul25'!L349)</f>
        <v/>
      </c>
      <c r="M349" t="str">
        <f>IF('1. Live'!M349='check-Jul25'!M349,"",'1. Live'!M349-'check-Jul25'!M349)</f>
        <v/>
      </c>
      <c r="N349" t="str">
        <f>IF('1. Live'!N349='check-Jul25'!N349,"",'1. Live'!N349-'check-Jul25'!N349)</f>
        <v/>
      </c>
      <c r="O349" t="str">
        <f>IF('1. Live'!O349='check-Jul25'!O349,"",'1. Live'!O349-'check-Jul25'!O349)</f>
        <v/>
      </c>
      <c r="P349" t="str">
        <f>IF('1. Live'!P349='check-Jul25'!P349,"",'1. Live'!P349-'check-Jul25'!P349)</f>
        <v/>
      </c>
      <c r="Q349" t="str">
        <f>IF('1. Live'!Q349='check-Jul25'!Q349,"",'1. Live'!Q349-'check-Jul25'!Q349)</f>
        <v/>
      </c>
      <c r="R349" t="str">
        <f>IF('1. Live'!R349='check-Jul25'!R349,"",'1. Live'!R349-'check-Jul25'!R349)</f>
        <v/>
      </c>
      <c r="S349" t="str">
        <f>IF('1. Live'!S349='check-Jul25'!S349,"",'1. Live'!S349-'check-Jul25'!S349)</f>
        <v/>
      </c>
      <c r="T349" t="str">
        <f>IF('1. Live'!T349='check-Jul25'!T349,"",'1. Live'!T349-'check-Jul25'!T349)</f>
        <v/>
      </c>
      <c r="U349" t="str">
        <f>IF('1. Live'!U349='check-Jul25'!U349,"",'1. Live'!U349-'check-Jul25'!U349)</f>
        <v/>
      </c>
      <c r="V349" t="str">
        <f>IF('1. Live'!V349='check-Jul25'!V349,"",'1. Live'!V349-'check-Jul25'!V349)</f>
        <v/>
      </c>
      <c r="W349" t="str">
        <f>IF('1. Live'!W349='check-Jul25'!W349,"",'1. Live'!W349-'check-Jul25'!W349)</f>
        <v/>
      </c>
      <c r="X349" t="str">
        <f>IF('1. Live'!X349='check-Jul25'!X349,"",'1. Live'!X349-'check-Jul25'!X349)</f>
        <v/>
      </c>
      <c r="Y349" t="str">
        <f>IF('1. Live'!Y349='check-Jul25'!Y349,"",'1. Live'!Y349-'check-Jul25'!Y349)</f>
        <v/>
      </c>
      <c r="Z349" t="str">
        <f>IF('1. Live'!Z349='check-Jul25'!Z349,"",'1. Live'!Z349-'check-Jul25'!Z349)</f>
        <v/>
      </c>
      <c r="AA349" t="str">
        <f>IF('1. Live'!AA349='check-Jul25'!AA349,"",'1. Live'!AA349-'check-Jul25'!AA349)</f>
        <v/>
      </c>
      <c r="AB349" t="str">
        <f>IF('1. Live'!AB349='check-Jul25'!AB349,"",'1. Live'!AB349-'check-Jul25'!AB349)</f>
        <v/>
      </c>
      <c r="AC349" t="str">
        <f>IF('1. Live'!AC349='check-Jul25'!AC349,"",'1. Live'!AC349-'check-Jul25'!AC349)</f>
        <v/>
      </c>
      <c r="AD349" t="str">
        <f>IF('1. Live'!AD349='check-Jul25'!AD349,"",'1. Live'!AD349-'check-Jul25'!AD349)</f>
        <v/>
      </c>
      <c r="AE349" t="str">
        <f>IF('1. Live'!AE349='check-Jul25'!AE349,"",'1. Live'!AE349-'check-Jul25'!AE349)</f>
        <v/>
      </c>
      <c r="AF349" t="str">
        <f>IF('1. Live'!AF349='check-Jul25'!AF349,"",'1. Live'!AF349-'check-Jul25'!AF349)</f>
        <v/>
      </c>
      <c r="AG349" t="str">
        <f>IF('1. Live'!AG349='check-Jul25'!AG349,"",'1. Live'!AG349-'check-Jul25'!AG349)</f>
        <v/>
      </c>
      <c r="AH349" t="str">
        <f>IF('1. Live'!AH349='check-Jul25'!AH349,"",'1. Live'!AH349-'check-Jul25'!AH349)</f>
        <v/>
      </c>
      <c r="AI349" t="str">
        <f>IF('1. Live'!AI349='check-Jul25'!AI349,"",'1. Live'!AI349-'check-Jul25'!AI349)</f>
        <v/>
      </c>
      <c r="AJ349" t="str">
        <f>IF('1. Live'!AJ349='check-Jul25'!AJ349,"",'1. Live'!AJ349-'check-Jul25'!AJ349)</f>
        <v/>
      </c>
      <c r="AK349" t="str">
        <f>IF('1. Live'!AK349='check-Jul25'!AK349,"",'1. Live'!AK349-'check-Jul25'!AK349)</f>
        <v/>
      </c>
      <c r="AL349" t="str">
        <f>IF('1. Live'!AL349='check-Jul25'!AL349,"",'1. Live'!AL349-'check-Jul25'!AL349)</f>
        <v/>
      </c>
      <c r="AM349" t="str">
        <f>IF('1. Live'!AM349='check-Jul25'!AM349,"",'1. Live'!AM349-'check-Jul25'!AM349)</f>
        <v/>
      </c>
      <c r="AN349" t="str">
        <f>IF('1. Live'!AN349='check-Jul25'!AN349,"",'1. Live'!AN349-'check-Jul25'!AN349)</f>
        <v/>
      </c>
      <c r="AO349" t="str">
        <f>IF('1. Live'!AO349='check-Jul25'!AO349,"",'1. Live'!AO349-'check-Jul25'!AO349)</f>
        <v/>
      </c>
      <c r="AP349" t="str">
        <f>IF('1. Live'!AP349='check-Jul25'!AP349,"",'1. Live'!AP349-'check-Jul25'!AP349)</f>
        <v/>
      </c>
      <c r="AQ349" t="str">
        <f>IF('1. Live'!AQ349='check-Jul25'!AQ349,"",'1. Live'!AQ349-'check-Jul25'!AQ349)</f>
        <v/>
      </c>
      <c r="AR349" t="str">
        <f>IF('1. Live'!AR349='check-Jul25'!AR349,"",'1. Live'!AR349-'check-Jul25'!AR349)</f>
        <v/>
      </c>
      <c r="AS349" t="str">
        <f>IF('1. Live'!AS349='check-Jul25'!AS349,"",'1. Live'!AS349-'check-Jul25'!AS349)</f>
        <v/>
      </c>
      <c r="AT349" t="str">
        <f>IF('1. Live'!AT349='check-Jul25'!AT349,"",'1. Live'!AT349-'check-Jul25'!AT349)</f>
        <v/>
      </c>
      <c r="AU349" t="str">
        <f>IF('1. Live'!AU349='check-Jul25'!AU349,"",'1. Live'!AU349-'check-Jul25'!AU349)</f>
        <v/>
      </c>
      <c r="AV349" t="str">
        <f>IF('1. Live'!AV349='check-Jul25'!AV349,"",'1. Live'!AV349-'check-Jul25'!AV349)</f>
        <v/>
      </c>
      <c r="AW349" t="str">
        <f>IF('1. Live'!AW349='check-Jul25'!AW349,"",'1. Live'!AW349-'check-Jul25'!AW349)</f>
        <v/>
      </c>
      <c r="AX349" t="str">
        <f>IF('1. Live'!AX349='check-Jul25'!AX349,"",'1. Live'!AX349-'check-Jul25'!AX349)</f>
        <v/>
      </c>
      <c r="AY349" t="str">
        <f>IF('1. Live'!AY349='check-Jul25'!AY349,"",'1. Live'!AY349-'check-Jul25'!AY349)</f>
        <v/>
      </c>
      <c r="AZ349" t="str">
        <f>IF('1. Live'!AZ349='check-Jul25'!AZ349,"",'1. Live'!AZ349-'check-Jul25'!AZ349)</f>
        <v/>
      </c>
      <c r="BA349" t="str">
        <f>IF('1. Live'!BA349='check-Jul25'!BA349,"",'1. Live'!BA349-'check-Jul25'!BA349)</f>
        <v/>
      </c>
      <c r="BB349" t="str">
        <f>IF('1. Live'!BB349='check-Jul25'!BB349,"",'1. Live'!BB349-'check-Jul25'!BB349)</f>
        <v/>
      </c>
      <c r="BC349" t="str">
        <f>IF('1. Live'!BC349='check-Jul25'!BC349,"",'1. Live'!BC349-'check-Jul25'!BC349)</f>
        <v/>
      </c>
      <c r="BD349" t="str">
        <f>IF('1. Live'!BD349='check-Jul25'!BD349,"",'1. Live'!BD349-'check-Jul25'!BD349)</f>
        <v/>
      </c>
      <c r="BE349" t="str">
        <f>IF('1. Live'!BE349='check-Jul25'!BE349,"",'1. Live'!BE349-'check-Jul25'!BE349)</f>
        <v/>
      </c>
      <c r="BF349" t="str">
        <f>IF('1. Live'!BF349='check-Jul25'!BF349,"",'1. Live'!BF349-'check-Jul25'!BF349)</f>
        <v/>
      </c>
      <c r="BG349" t="str">
        <f>IF('1. Live'!BG349='check-Jul25'!BG349,"",'1. Live'!BG349-'check-Jul25'!BG349)</f>
        <v/>
      </c>
      <c r="BH349" t="str">
        <f>IF('1. Live'!BH349='check-Jul25'!BH349,"",'1. Live'!BH349-'check-Jul25'!BH349)</f>
        <v/>
      </c>
      <c r="BI349" t="str">
        <f>IF('1. Live'!BI349='check-Jul25'!BI349,"",'1. Live'!BI349-'check-Jul25'!BI349)</f>
        <v/>
      </c>
      <c r="BJ349" t="str">
        <f>IF('1. Live'!BJ349='check-Jul25'!BJ349,"",'1. Live'!BJ349-'check-Jul25'!BJ349)</f>
        <v/>
      </c>
      <c r="BK349" t="str">
        <f>IF('1. Live'!BK349='check-Jul25'!BK349,"",'1. Live'!BK349-'check-Jul25'!BK349)</f>
        <v/>
      </c>
      <c r="BL349" t="str">
        <f>IF('1. Live'!BL349='check-Jul25'!BL349,"",'1. Live'!BL349-'check-Jul25'!BL349)</f>
        <v/>
      </c>
      <c r="BM349" t="str">
        <f>IF('1. Live'!BM349='check-Jul25'!BM349,"",'1. Live'!BM349-'check-Jul25'!BM349)</f>
        <v/>
      </c>
      <c r="BN349" t="str">
        <f>IF('1. Live'!BN349='check-Jul25'!BN349,"",'1. Live'!BN349-'check-Jul25'!BN349)</f>
        <v/>
      </c>
      <c r="BO349" t="str">
        <f>IF('1. Live'!BO349='check-Jul25'!BO349,"",'1. Live'!BO349-'check-Jul25'!BO349)</f>
        <v/>
      </c>
      <c r="BP349" t="str">
        <f>IF('1. Live'!BP349='check-Jul25'!BP349,"",'1. Live'!BP349-'check-Jul25'!BP349)</f>
        <v/>
      </c>
      <c r="BQ349" t="str">
        <f>IF('1. Live'!BQ349='check-Jul25'!BQ349,"",'1. Live'!BQ349-'check-Jul25'!BQ349)</f>
        <v/>
      </c>
      <c r="BR349" t="str">
        <f>IF('1. Live'!BR349='check-Jul25'!BR349,"",'1. Live'!BR349-'check-Jul25'!BR349)</f>
        <v/>
      </c>
      <c r="BS349" t="str">
        <f>IF('1. Live'!BS349='check-Jul25'!BS349,"",'1. Live'!BS349-'check-Jul25'!BS349)</f>
        <v/>
      </c>
      <c r="BT349" t="str">
        <f>IF('1. Live'!BT349='check-Jul25'!BT349,"",'1. Live'!BT349-'check-Jul25'!BT349)</f>
        <v/>
      </c>
      <c r="BU349" t="str">
        <f>IF('1. Live'!BU349='check-Jul25'!BU349,"",'1. Live'!BU349-'check-Jul25'!BU349)</f>
        <v/>
      </c>
      <c r="BV349" t="str">
        <f>IF('1. Live'!BV349='check-Jul25'!BV349,"",'1. Live'!BV349-'check-Jul25'!BV349)</f>
        <v/>
      </c>
      <c r="BW349" t="str">
        <f>IF('1. Live'!BW349='check-Jul25'!BW349,"",'1. Live'!BW349-'check-Jul25'!BW349)</f>
        <v/>
      </c>
      <c r="BX349" t="str">
        <f>IF('1. Live'!BX349='check-Jul25'!BX349,"",'1. Live'!BX349-'check-Jul25'!BX349)</f>
        <v/>
      </c>
      <c r="BY349" t="str">
        <f>IF('1. Live'!BY349='check-Jul25'!BY349,"",'1. Live'!BY349-'check-Jul25'!BY349)</f>
        <v/>
      </c>
      <c r="BZ349" t="str">
        <f>IF('1. Live'!BZ349='check-Jul25'!BZ349,"",'1. Live'!BZ349-'check-Jul25'!BZ349)</f>
        <v/>
      </c>
      <c r="CA349" t="str">
        <f>IF('1. Live'!CA349='check-Jul25'!CA349,"",'1. Live'!CA349-'check-Jul25'!CA349)</f>
        <v/>
      </c>
      <c r="CB349" t="str">
        <f>IF('1. Live'!CB349='check-Jul25'!CB349,"",'1. Live'!CB349-'check-Jul25'!CB349)</f>
        <v/>
      </c>
      <c r="CC349" t="str">
        <f>IF('1. Live'!CC349='check-Jul25'!CC349,"",'1. Live'!CC349-'check-Jul25'!CC349)</f>
        <v/>
      </c>
      <c r="CD349" t="str">
        <f>IF('1. Live'!CD349='check-Jul25'!CD349,"",'1. Live'!CD349-'check-Jul25'!CD349)</f>
        <v/>
      </c>
      <c r="CE349" t="str">
        <f>IF('1. Live'!CE349='check-Jul25'!CE349,"",'1. Live'!CE349-'check-Jul25'!CE349)</f>
        <v/>
      </c>
      <c r="CF349" t="str">
        <f>IF('1. Live'!CF349='check-Jul25'!CF349,"",'1. Live'!CF349-'check-Jul25'!CF349)</f>
        <v/>
      </c>
      <c r="CG349" t="str">
        <f>IF('1. Live'!CG349='check-Jul25'!CG349,"",'1. Live'!CG349-'check-Jul25'!CG349)</f>
        <v/>
      </c>
      <c r="CH349" t="str">
        <f>IF('1. Live'!CH349='check-Jul25'!CH349,"",'1. Live'!CH349-'check-Jul25'!CH349)</f>
        <v/>
      </c>
      <c r="CI349" t="str">
        <f>IF('1. Live'!CI349='check-Jul25'!CI349,"",'1. Live'!CI349-'check-Jul25'!CI349)</f>
        <v/>
      </c>
      <c r="CJ349" t="str">
        <f>IF('1. Live'!CJ349='check-Jul25'!CJ349,"",'1. Live'!CJ349-'check-Jul25'!CJ349)</f>
        <v/>
      </c>
      <c r="CK349" t="str">
        <f>IF('1. Live'!CK349='check-Jul25'!CK349,"",'1. Live'!CK349-'check-Jul25'!CK349)</f>
        <v/>
      </c>
      <c r="CL349" t="str">
        <f>IF('1. Live'!CL349='check-Jul25'!CL349,"",'1. Live'!CL349-'check-Jul25'!CL349)</f>
        <v/>
      </c>
      <c r="CM349" t="str">
        <f>IF('1. Live'!CM349='check-Jul25'!CM349,"",'1. Live'!CM349-'check-Jul25'!CM349)</f>
        <v/>
      </c>
      <c r="CN349" t="str">
        <f>IF('1. Live'!CN349='check-Jul25'!CN349,"",'1. Live'!CN349-'check-Jul25'!CN349)</f>
        <v/>
      </c>
      <c r="CO349" t="str">
        <f>IF('1. Live'!CO349='check-Jul25'!CO349,"",'1. Live'!CO349-'check-Jul25'!CO349)</f>
        <v/>
      </c>
      <c r="CP349" t="str">
        <f>IF('1. Live'!CP349='check-Jul25'!CP349,"",'1. Live'!CP349-'check-Jul25'!CP349)</f>
        <v/>
      </c>
      <c r="CQ349" t="str">
        <f>IF('1. Live'!CQ349='check-Jul25'!CQ349,"",'1. Live'!CQ349-'check-Jul25'!CQ349)</f>
        <v/>
      </c>
      <c r="CR349" t="str">
        <f>IF('1. Live'!CR349='check-Jul25'!CR349,"",'1. Live'!CR349-'check-Jul25'!CR349)</f>
        <v/>
      </c>
      <c r="CS349" t="str">
        <f>IF('1. Live'!CS349='check-Jul25'!CS349,"",'1. Live'!CS349-'check-Jul25'!CS349)</f>
        <v/>
      </c>
      <c r="CT349" t="str">
        <f>IF('1. Live'!CT349='check-Jul25'!CT349,"",'1. Live'!CT349-'check-Jul25'!CT349)</f>
        <v/>
      </c>
      <c r="CU349" t="str">
        <f>IF('1. Live'!CU349='check-Jul25'!CU349,"",'1. Live'!CU349-'check-Jul25'!CU349)</f>
        <v/>
      </c>
      <c r="CV349" t="str">
        <f>IF('1. Live'!CV349='check-Jul25'!CV349,"",'1. Live'!CV349-'check-Jul25'!CV349)</f>
        <v/>
      </c>
      <c r="CW349" t="str">
        <f>IF('1. Live'!CW349='check-Jul25'!CW349,"",'1. Live'!CW349-'check-Jul25'!CW349)</f>
        <v/>
      </c>
    </row>
    <row r="350" spans="10:101">
      <c r="J350" t="str">
        <f>IF('1. Live'!J350='check-Jul25'!J350,"",'1. Live'!J350-'check-Jul25'!J350)</f>
        <v/>
      </c>
      <c r="K350" t="str">
        <f>IF('1. Live'!K350='check-Jul25'!K350,"",'1. Live'!K350-'check-Jul25'!K350)</f>
        <v/>
      </c>
      <c r="L350" t="str">
        <f>IF('1. Live'!L350='check-Jul25'!L350,"",'1. Live'!L350-'check-Jul25'!L350)</f>
        <v/>
      </c>
      <c r="M350" t="str">
        <f>IF('1. Live'!M350='check-Jul25'!M350,"",'1. Live'!M350-'check-Jul25'!M350)</f>
        <v/>
      </c>
      <c r="N350" t="str">
        <f>IF('1. Live'!N350='check-Jul25'!N350,"",'1. Live'!N350-'check-Jul25'!N350)</f>
        <v/>
      </c>
      <c r="O350" t="str">
        <f>IF('1. Live'!O350='check-Jul25'!O350,"",'1. Live'!O350-'check-Jul25'!O350)</f>
        <v/>
      </c>
      <c r="P350" t="str">
        <f>IF('1. Live'!P350='check-Jul25'!P350,"",'1. Live'!P350-'check-Jul25'!P350)</f>
        <v/>
      </c>
      <c r="Q350" t="str">
        <f>IF('1. Live'!Q350='check-Jul25'!Q350,"",'1. Live'!Q350-'check-Jul25'!Q350)</f>
        <v/>
      </c>
      <c r="R350" t="str">
        <f>IF('1. Live'!R350='check-Jul25'!R350,"",'1. Live'!R350-'check-Jul25'!R350)</f>
        <v/>
      </c>
      <c r="S350" t="str">
        <f>IF('1. Live'!S350='check-Jul25'!S350,"",'1. Live'!S350-'check-Jul25'!S350)</f>
        <v/>
      </c>
      <c r="T350" t="str">
        <f>IF('1. Live'!T350='check-Jul25'!T350,"",'1. Live'!T350-'check-Jul25'!T350)</f>
        <v/>
      </c>
      <c r="U350" t="str">
        <f>IF('1. Live'!U350='check-Jul25'!U350,"",'1. Live'!U350-'check-Jul25'!U350)</f>
        <v/>
      </c>
      <c r="V350" t="str">
        <f>IF('1. Live'!V350='check-Jul25'!V350,"",'1. Live'!V350-'check-Jul25'!V350)</f>
        <v/>
      </c>
      <c r="W350" t="str">
        <f>IF('1. Live'!W350='check-Jul25'!W350,"",'1. Live'!W350-'check-Jul25'!W350)</f>
        <v/>
      </c>
      <c r="X350" t="str">
        <f>IF('1. Live'!X350='check-Jul25'!X350,"",'1. Live'!X350-'check-Jul25'!X350)</f>
        <v/>
      </c>
      <c r="Y350" t="str">
        <f>IF('1. Live'!Y350='check-Jul25'!Y350,"",'1. Live'!Y350-'check-Jul25'!Y350)</f>
        <v/>
      </c>
      <c r="Z350" t="str">
        <f>IF('1. Live'!Z350='check-Jul25'!Z350,"",'1. Live'!Z350-'check-Jul25'!Z350)</f>
        <v/>
      </c>
      <c r="AA350" t="str">
        <f>IF('1. Live'!AA350='check-Jul25'!AA350,"",'1. Live'!AA350-'check-Jul25'!AA350)</f>
        <v/>
      </c>
      <c r="AB350" t="str">
        <f>IF('1. Live'!AB350='check-Jul25'!AB350,"",'1. Live'!AB350-'check-Jul25'!AB350)</f>
        <v/>
      </c>
      <c r="AC350" t="str">
        <f>IF('1. Live'!AC350='check-Jul25'!AC350,"",'1. Live'!AC350-'check-Jul25'!AC350)</f>
        <v/>
      </c>
      <c r="AD350" t="str">
        <f>IF('1. Live'!AD350='check-Jul25'!AD350,"",'1. Live'!AD350-'check-Jul25'!AD350)</f>
        <v/>
      </c>
      <c r="AE350" t="str">
        <f>IF('1. Live'!AE350='check-Jul25'!AE350,"",'1. Live'!AE350-'check-Jul25'!AE350)</f>
        <v/>
      </c>
      <c r="AF350" t="str">
        <f>IF('1. Live'!AF350='check-Jul25'!AF350,"",'1. Live'!AF350-'check-Jul25'!AF350)</f>
        <v/>
      </c>
      <c r="AG350" t="str">
        <f>IF('1. Live'!AG350='check-Jul25'!AG350,"",'1. Live'!AG350-'check-Jul25'!AG350)</f>
        <v/>
      </c>
      <c r="AH350" t="str">
        <f>IF('1. Live'!AH350='check-Jul25'!AH350,"",'1. Live'!AH350-'check-Jul25'!AH350)</f>
        <v/>
      </c>
      <c r="AI350" t="str">
        <f>IF('1. Live'!AI350='check-Jul25'!AI350,"",'1. Live'!AI350-'check-Jul25'!AI350)</f>
        <v/>
      </c>
      <c r="AJ350" t="str">
        <f>IF('1. Live'!AJ350='check-Jul25'!AJ350,"",'1. Live'!AJ350-'check-Jul25'!AJ350)</f>
        <v/>
      </c>
      <c r="AK350" t="str">
        <f>IF('1. Live'!AK350='check-Jul25'!AK350,"",'1. Live'!AK350-'check-Jul25'!AK350)</f>
        <v/>
      </c>
      <c r="AL350" t="str">
        <f>IF('1. Live'!AL350='check-Jul25'!AL350,"",'1. Live'!AL350-'check-Jul25'!AL350)</f>
        <v/>
      </c>
      <c r="AM350" t="str">
        <f>IF('1. Live'!AM350='check-Jul25'!AM350,"",'1. Live'!AM350-'check-Jul25'!AM350)</f>
        <v/>
      </c>
      <c r="AN350" t="str">
        <f>IF('1. Live'!AN350='check-Jul25'!AN350,"",'1. Live'!AN350-'check-Jul25'!AN350)</f>
        <v/>
      </c>
      <c r="AO350" t="str">
        <f>IF('1. Live'!AO350='check-Jul25'!AO350,"",'1. Live'!AO350-'check-Jul25'!AO350)</f>
        <v/>
      </c>
      <c r="AP350" t="str">
        <f>IF('1. Live'!AP350='check-Jul25'!AP350,"",'1. Live'!AP350-'check-Jul25'!AP350)</f>
        <v/>
      </c>
      <c r="AQ350" t="str">
        <f>IF('1. Live'!AQ350='check-Jul25'!AQ350,"",'1. Live'!AQ350-'check-Jul25'!AQ350)</f>
        <v/>
      </c>
      <c r="AR350" t="str">
        <f>IF('1. Live'!AR350='check-Jul25'!AR350,"",'1. Live'!AR350-'check-Jul25'!AR350)</f>
        <v/>
      </c>
      <c r="AS350" t="str">
        <f>IF('1. Live'!AS350='check-Jul25'!AS350,"",'1. Live'!AS350-'check-Jul25'!AS350)</f>
        <v/>
      </c>
      <c r="AT350" t="str">
        <f>IF('1. Live'!AT350='check-Jul25'!AT350,"",'1. Live'!AT350-'check-Jul25'!AT350)</f>
        <v/>
      </c>
      <c r="AU350" t="str">
        <f>IF('1. Live'!AU350='check-Jul25'!AU350,"",'1. Live'!AU350-'check-Jul25'!AU350)</f>
        <v/>
      </c>
      <c r="AV350" t="str">
        <f>IF('1. Live'!AV350='check-Jul25'!AV350,"",'1. Live'!AV350-'check-Jul25'!AV350)</f>
        <v/>
      </c>
      <c r="AW350" t="str">
        <f>IF('1. Live'!AW350='check-Jul25'!AW350,"",'1. Live'!AW350-'check-Jul25'!AW350)</f>
        <v/>
      </c>
      <c r="AX350" t="str">
        <f>IF('1. Live'!AX350='check-Jul25'!AX350,"",'1. Live'!AX350-'check-Jul25'!AX350)</f>
        <v/>
      </c>
      <c r="AY350" t="str">
        <f>IF('1. Live'!AY350='check-Jul25'!AY350,"",'1. Live'!AY350-'check-Jul25'!AY350)</f>
        <v/>
      </c>
      <c r="AZ350" t="str">
        <f>IF('1. Live'!AZ350='check-Jul25'!AZ350,"",'1. Live'!AZ350-'check-Jul25'!AZ350)</f>
        <v/>
      </c>
      <c r="BA350" t="str">
        <f>IF('1. Live'!BA350='check-Jul25'!BA350,"",'1. Live'!BA350-'check-Jul25'!BA350)</f>
        <v/>
      </c>
      <c r="BB350" t="str">
        <f>IF('1. Live'!BB350='check-Jul25'!BB350,"",'1. Live'!BB350-'check-Jul25'!BB350)</f>
        <v/>
      </c>
      <c r="BC350" t="str">
        <f>IF('1. Live'!BC350='check-Jul25'!BC350,"",'1. Live'!BC350-'check-Jul25'!BC350)</f>
        <v/>
      </c>
      <c r="BD350" t="str">
        <f>IF('1. Live'!BD350='check-Jul25'!BD350,"",'1. Live'!BD350-'check-Jul25'!BD350)</f>
        <v/>
      </c>
      <c r="BE350" t="str">
        <f>IF('1. Live'!BE350='check-Jul25'!BE350,"",'1. Live'!BE350-'check-Jul25'!BE350)</f>
        <v/>
      </c>
      <c r="BF350" t="str">
        <f>IF('1. Live'!BF350='check-Jul25'!BF350,"",'1. Live'!BF350-'check-Jul25'!BF350)</f>
        <v/>
      </c>
      <c r="BG350" t="str">
        <f>IF('1. Live'!BG350='check-Jul25'!BG350,"",'1. Live'!BG350-'check-Jul25'!BG350)</f>
        <v/>
      </c>
      <c r="BH350" t="str">
        <f>IF('1. Live'!BH350='check-Jul25'!BH350,"",'1. Live'!BH350-'check-Jul25'!BH350)</f>
        <v/>
      </c>
      <c r="BI350" t="str">
        <f>IF('1. Live'!BI350='check-Jul25'!BI350,"",'1. Live'!BI350-'check-Jul25'!BI350)</f>
        <v/>
      </c>
      <c r="BJ350" t="str">
        <f>IF('1. Live'!BJ350='check-Jul25'!BJ350,"",'1. Live'!BJ350-'check-Jul25'!BJ350)</f>
        <v/>
      </c>
      <c r="BK350" t="str">
        <f>IF('1. Live'!BK350='check-Jul25'!BK350,"",'1. Live'!BK350-'check-Jul25'!BK350)</f>
        <v/>
      </c>
      <c r="BL350" t="str">
        <f>IF('1. Live'!BL350='check-Jul25'!BL350,"",'1. Live'!BL350-'check-Jul25'!BL350)</f>
        <v/>
      </c>
      <c r="BM350" t="str">
        <f>IF('1. Live'!BM350='check-Jul25'!BM350,"",'1. Live'!BM350-'check-Jul25'!BM350)</f>
        <v/>
      </c>
      <c r="BN350" t="str">
        <f>IF('1. Live'!BN350='check-Jul25'!BN350,"",'1. Live'!BN350-'check-Jul25'!BN350)</f>
        <v/>
      </c>
      <c r="BO350" t="str">
        <f>IF('1. Live'!BO350='check-Jul25'!BO350,"",'1. Live'!BO350-'check-Jul25'!BO350)</f>
        <v/>
      </c>
      <c r="BP350" t="str">
        <f>IF('1. Live'!BP350='check-Jul25'!BP350,"",'1. Live'!BP350-'check-Jul25'!BP350)</f>
        <v/>
      </c>
      <c r="BQ350" t="str">
        <f>IF('1. Live'!BQ350='check-Jul25'!BQ350,"",'1. Live'!BQ350-'check-Jul25'!BQ350)</f>
        <v/>
      </c>
      <c r="BR350" t="str">
        <f>IF('1. Live'!BR350='check-Jul25'!BR350,"",'1. Live'!BR350-'check-Jul25'!BR350)</f>
        <v/>
      </c>
      <c r="BS350" t="str">
        <f>IF('1. Live'!BS350='check-Jul25'!BS350,"",'1. Live'!BS350-'check-Jul25'!BS350)</f>
        <v/>
      </c>
      <c r="BT350" t="str">
        <f>IF('1. Live'!BT350='check-Jul25'!BT350,"",'1. Live'!BT350-'check-Jul25'!BT350)</f>
        <v/>
      </c>
      <c r="BU350" t="str">
        <f>IF('1. Live'!BU350='check-Jul25'!BU350,"",'1. Live'!BU350-'check-Jul25'!BU350)</f>
        <v/>
      </c>
      <c r="BV350" t="str">
        <f>IF('1. Live'!BV350='check-Jul25'!BV350,"",'1. Live'!BV350-'check-Jul25'!BV350)</f>
        <v/>
      </c>
      <c r="BW350" t="str">
        <f>IF('1. Live'!BW350='check-Jul25'!BW350,"",'1. Live'!BW350-'check-Jul25'!BW350)</f>
        <v/>
      </c>
      <c r="BX350" t="str">
        <f>IF('1. Live'!BX350='check-Jul25'!BX350,"",'1. Live'!BX350-'check-Jul25'!BX350)</f>
        <v/>
      </c>
      <c r="BY350" t="str">
        <f>IF('1. Live'!BY350='check-Jul25'!BY350,"",'1. Live'!BY350-'check-Jul25'!BY350)</f>
        <v/>
      </c>
      <c r="BZ350" t="str">
        <f>IF('1. Live'!BZ350='check-Jul25'!BZ350,"",'1. Live'!BZ350-'check-Jul25'!BZ350)</f>
        <v/>
      </c>
      <c r="CA350" t="str">
        <f>IF('1. Live'!CA350='check-Jul25'!CA350,"",'1. Live'!CA350-'check-Jul25'!CA350)</f>
        <v/>
      </c>
      <c r="CB350" t="str">
        <f>IF('1. Live'!CB350='check-Jul25'!CB350,"",'1. Live'!CB350-'check-Jul25'!CB350)</f>
        <v/>
      </c>
      <c r="CC350" t="str">
        <f>IF('1. Live'!CC350='check-Jul25'!CC350,"",'1. Live'!CC350-'check-Jul25'!CC350)</f>
        <v/>
      </c>
      <c r="CD350" t="str">
        <f>IF('1. Live'!CD350='check-Jul25'!CD350,"",'1. Live'!CD350-'check-Jul25'!CD350)</f>
        <v/>
      </c>
      <c r="CE350" t="str">
        <f>IF('1. Live'!CE350='check-Jul25'!CE350,"",'1. Live'!CE350-'check-Jul25'!CE350)</f>
        <v/>
      </c>
      <c r="CF350" t="str">
        <f>IF('1. Live'!CF350='check-Jul25'!CF350,"",'1. Live'!CF350-'check-Jul25'!CF350)</f>
        <v/>
      </c>
      <c r="CG350" t="str">
        <f>IF('1. Live'!CG350='check-Jul25'!CG350,"",'1. Live'!CG350-'check-Jul25'!CG350)</f>
        <v/>
      </c>
      <c r="CH350" t="str">
        <f>IF('1. Live'!CH350='check-Jul25'!CH350,"",'1. Live'!CH350-'check-Jul25'!CH350)</f>
        <v/>
      </c>
      <c r="CI350" t="str">
        <f>IF('1. Live'!CI350='check-Jul25'!CI350,"",'1. Live'!CI350-'check-Jul25'!CI350)</f>
        <v/>
      </c>
      <c r="CJ350" t="str">
        <f>IF('1. Live'!CJ350='check-Jul25'!CJ350,"",'1. Live'!CJ350-'check-Jul25'!CJ350)</f>
        <v/>
      </c>
      <c r="CK350" t="str">
        <f>IF('1. Live'!CK350='check-Jul25'!CK350,"",'1. Live'!CK350-'check-Jul25'!CK350)</f>
        <v/>
      </c>
      <c r="CL350" t="str">
        <f>IF('1. Live'!CL350='check-Jul25'!CL350,"",'1. Live'!CL350-'check-Jul25'!CL350)</f>
        <v/>
      </c>
      <c r="CM350" t="str">
        <f>IF('1. Live'!CM350='check-Jul25'!CM350,"",'1. Live'!CM350-'check-Jul25'!CM350)</f>
        <v/>
      </c>
      <c r="CN350" t="str">
        <f>IF('1. Live'!CN350='check-Jul25'!CN350,"",'1. Live'!CN350-'check-Jul25'!CN350)</f>
        <v/>
      </c>
      <c r="CO350" t="str">
        <f>IF('1. Live'!CO350='check-Jul25'!CO350,"",'1. Live'!CO350-'check-Jul25'!CO350)</f>
        <v/>
      </c>
      <c r="CP350" t="str">
        <f>IF('1. Live'!CP350='check-Jul25'!CP350,"",'1. Live'!CP350-'check-Jul25'!CP350)</f>
        <v/>
      </c>
      <c r="CQ350" t="str">
        <f>IF('1. Live'!CQ350='check-Jul25'!CQ350,"",'1. Live'!CQ350-'check-Jul25'!CQ350)</f>
        <v/>
      </c>
      <c r="CR350" t="str">
        <f>IF('1. Live'!CR350='check-Jul25'!CR350,"",'1. Live'!CR350-'check-Jul25'!CR350)</f>
        <v/>
      </c>
      <c r="CS350" t="str">
        <f>IF('1. Live'!CS350='check-Jul25'!CS350,"",'1. Live'!CS350-'check-Jul25'!CS350)</f>
        <v/>
      </c>
      <c r="CT350" t="str">
        <f>IF('1. Live'!CT350='check-Jul25'!CT350,"",'1. Live'!CT350-'check-Jul25'!CT350)</f>
        <v/>
      </c>
      <c r="CU350" t="str">
        <f>IF('1. Live'!CU350='check-Jul25'!CU350,"",'1. Live'!CU350-'check-Jul25'!CU350)</f>
        <v/>
      </c>
      <c r="CV350" t="str">
        <f>IF('1. Live'!CV350='check-Jul25'!CV350,"",'1. Live'!CV350-'check-Jul25'!CV350)</f>
        <v/>
      </c>
      <c r="CW350" t="str">
        <f>IF('1. Live'!CW350='check-Jul25'!CW350,"",'1. Live'!CW350-'check-Jul25'!CW350)</f>
        <v/>
      </c>
    </row>
    <row r="351" spans="10:101">
      <c r="J351" t="str">
        <f>IF('1. Live'!J351='check-Jul25'!J351,"",'1. Live'!J351-'check-Jul25'!J351)</f>
        <v/>
      </c>
      <c r="K351" t="str">
        <f>IF('1. Live'!K351='check-Jul25'!K351,"",'1. Live'!K351-'check-Jul25'!K351)</f>
        <v/>
      </c>
      <c r="L351" t="str">
        <f>IF('1. Live'!L351='check-Jul25'!L351,"",'1. Live'!L351-'check-Jul25'!L351)</f>
        <v/>
      </c>
      <c r="M351" t="str">
        <f>IF('1. Live'!M351='check-Jul25'!M351,"",'1. Live'!M351-'check-Jul25'!M351)</f>
        <v/>
      </c>
      <c r="N351" t="str">
        <f>IF('1. Live'!N351='check-Jul25'!N351,"",'1. Live'!N351-'check-Jul25'!N351)</f>
        <v/>
      </c>
      <c r="O351" t="str">
        <f>IF('1. Live'!O351='check-Jul25'!O351,"",'1. Live'!O351-'check-Jul25'!O351)</f>
        <v/>
      </c>
      <c r="P351" t="str">
        <f>IF('1. Live'!P351='check-Jul25'!P351,"",'1. Live'!P351-'check-Jul25'!P351)</f>
        <v/>
      </c>
      <c r="Q351" t="str">
        <f>IF('1. Live'!Q351='check-Jul25'!Q351,"",'1. Live'!Q351-'check-Jul25'!Q351)</f>
        <v/>
      </c>
      <c r="R351" t="str">
        <f>IF('1. Live'!R351='check-Jul25'!R351,"",'1. Live'!R351-'check-Jul25'!R351)</f>
        <v/>
      </c>
      <c r="S351" t="str">
        <f>IF('1. Live'!S351='check-Jul25'!S351,"",'1. Live'!S351-'check-Jul25'!S351)</f>
        <v/>
      </c>
      <c r="T351" t="str">
        <f>IF('1. Live'!T351='check-Jul25'!T351,"",'1. Live'!T351-'check-Jul25'!T351)</f>
        <v/>
      </c>
      <c r="U351" t="str">
        <f>IF('1. Live'!U351='check-Jul25'!U351,"",'1. Live'!U351-'check-Jul25'!U351)</f>
        <v/>
      </c>
      <c r="V351" t="str">
        <f>IF('1. Live'!V351='check-Jul25'!V351,"",'1. Live'!V351-'check-Jul25'!V351)</f>
        <v/>
      </c>
      <c r="W351" t="str">
        <f>IF('1. Live'!W351='check-Jul25'!W351,"",'1. Live'!W351-'check-Jul25'!W351)</f>
        <v/>
      </c>
      <c r="X351" t="str">
        <f>IF('1. Live'!X351='check-Jul25'!X351,"",'1. Live'!X351-'check-Jul25'!X351)</f>
        <v/>
      </c>
      <c r="Y351" t="str">
        <f>IF('1. Live'!Y351='check-Jul25'!Y351,"",'1. Live'!Y351-'check-Jul25'!Y351)</f>
        <v/>
      </c>
      <c r="Z351" t="str">
        <f>IF('1. Live'!Z351='check-Jul25'!Z351,"",'1. Live'!Z351-'check-Jul25'!Z351)</f>
        <v/>
      </c>
      <c r="AA351" t="str">
        <f>IF('1. Live'!AA351='check-Jul25'!AA351,"",'1. Live'!AA351-'check-Jul25'!AA351)</f>
        <v/>
      </c>
      <c r="AB351" t="str">
        <f>IF('1. Live'!AB351='check-Jul25'!AB351,"",'1. Live'!AB351-'check-Jul25'!AB351)</f>
        <v/>
      </c>
      <c r="AC351" t="str">
        <f>IF('1. Live'!AC351='check-Jul25'!AC351,"",'1. Live'!AC351-'check-Jul25'!AC351)</f>
        <v/>
      </c>
      <c r="AD351" t="str">
        <f>IF('1. Live'!AD351='check-Jul25'!AD351,"",'1. Live'!AD351-'check-Jul25'!AD351)</f>
        <v/>
      </c>
      <c r="AE351" t="str">
        <f>IF('1. Live'!AE351='check-Jul25'!AE351,"",'1. Live'!AE351-'check-Jul25'!AE351)</f>
        <v/>
      </c>
      <c r="AF351" t="str">
        <f>IF('1. Live'!AF351='check-Jul25'!AF351,"",'1. Live'!AF351-'check-Jul25'!AF351)</f>
        <v/>
      </c>
      <c r="AG351" t="str">
        <f>IF('1. Live'!AG351='check-Jul25'!AG351,"",'1. Live'!AG351-'check-Jul25'!AG351)</f>
        <v/>
      </c>
      <c r="AH351" t="str">
        <f>IF('1. Live'!AH351='check-Jul25'!AH351,"",'1. Live'!AH351-'check-Jul25'!AH351)</f>
        <v/>
      </c>
      <c r="AI351" t="str">
        <f>IF('1. Live'!AI351='check-Jul25'!AI351,"",'1. Live'!AI351-'check-Jul25'!AI351)</f>
        <v/>
      </c>
      <c r="AJ351" t="str">
        <f>IF('1. Live'!AJ351='check-Jul25'!AJ351,"",'1. Live'!AJ351-'check-Jul25'!AJ351)</f>
        <v/>
      </c>
      <c r="AK351" t="str">
        <f>IF('1. Live'!AK351='check-Jul25'!AK351,"",'1. Live'!AK351-'check-Jul25'!AK351)</f>
        <v/>
      </c>
      <c r="AL351" t="str">
        <f>IF('1. Live'!AL351='check-Jul25'!AL351,"",'1. Live'!AL351-'check-Jul25'!AL351)</f>
        <v/>
      </c>
      <c r="AM351" t="str">
        <f>IF('1. Live'!AM351='check-Jul25'!AM351,"",'1. Live'!AM351-'check-Jul25'!AM351)</f>
        <v/>
      </c>
      <c r="AN351" t="str">
        <f>IF('1. Live'!AN351='check-Jul25'!AN351,"",'1. Live'!AN351-'check-Jul25'!AN351)</f>
        <v/>
      </c>
      <c r="AO351" t="str">
        <f>IF('1. Live'!AO351='check-Jul25'!AO351,"",'1. Live'!AO351-'check-Jul25'!AO351)</f>
        <v/>
      </c>
      <c r="AP351" t="str">
        <f>IF('1. Live'!AP351='check-Jul25'!AP351,"",'1. Live'!AP351-'check-Jul25'!AP351)</f>
        <v/>
      </c>
      <c r="AQ351" t="str">
        <f>IF('1. Live'!AQ351='check-Jul25'!AQ351,"",'1. Live'!AQ351-'check-Jul25'!AQ351)</f>
        <v/>
      </c>
      <c r="AR351" t="str">
        <f>IF('1. Live'!AR351='check-Jul25'!AR351,"",'1. Live'!AR351-'check-Jul25'!AR351)</f>
        <v/>
      </c>
      <c r="AS351" t="str">
        <f>IF('1. Live'!AS351='check-Jul25'!AS351,"",'1. Live'!AS351-'check-Jul25'!AS351)</f>
        <v/>
      </c>
      <c r="AT351" t="str">
        <f>IF('1. Live'!AT351='check-Jul25'!AT351,"",'1. Live'!AT351-'check-Jul25'!AT351)</f>
        <v/>
      </c>
      <c r="AU351" t="str">
        <f>IF('1. Live'!AU351='check-Jul25'!AU351,"",'1. Live'!AU351-'check-Jul25'!AU351)</f>
        <v/>
      </c>
      <c r="AV351" t="str">
        <f>IF('1. Live'!AV351='check-Jul25'!AV351,"",'1. Live'!AV351-'check-Jul25'!AV351)</f>
        <v/>
      </c>
      <c r="AW351" t="str">
        <f>IF('1. Live'!AW351='check-Jul25'!AW351,"",'1. Live'!AW351-'check-Jul25'!AW351)</f>
        <v/>
      </c>
      <c r="AX351" t="str">
        <f>IF('1. Live'!AX351='check-Jul25'!AX351,"",'1. Live'!AX351-'check-Jul25'!AX351)</f>
        <v/>
      </c>
      <c r="AY351" t="str">
        <f>IF('1. Live'!AY351='check-Jul25'!AY351,"",'1. Live'!AY351-'check-Jul25'!AY351)</f>
        <v/>
      </c>
      <c r="AZ351" t="str">
        <f>IF('1. Live'!AZ351='check-Jul25'!AZ351,"",'1. Live'!AZ351-'check-Jul25'!AZ351)</f>
        <v/>
      </c>
      <c r="BA351" t="str">
        <f>IF('1. Live'!BA351='check-Jul25'!BA351,"",'1. Live'!BA351-'check-Jul25'!BA351)</f>
        <v/>
      </c>
      <c r="BB351" t="str">
        <f>IF('1. Live'!BB351='check-Jul25'!BB351,"",'1. Live'!BB351-'check-Jul25'!BB351)</f>
        <v/>
      </c>
      <c r="BC351" t="str">
        <f>IF('1. Live'!BC351='check-Jul25'!BC351,"",'1. Live'!BC351-'check-Jul25'!BC351)</f>
        <v/>
      </c>
      <c r="BD351" t="str">
        <f>IF('1. Live'!BD351='check-Jul25'!BD351,"",'1. Live'!BD351-'check-Jul25'!BD351)</f>
        <v/>
      </c>
      <c r="BE351" t="str">
        <f>IF('1. Live'!BE351='check-Jul25'!BE351,"",'1. Live'!BE351-'check-Jul25'!BE351)</f>
        <v/>
      </c>
      <c r="BF351" t="str">
        <f>IF('1. Live'!BF351='check-Jul25'!BF351,"",'1. Live'!BF351-'check-Jul25'!BF351)</f>
        <v/>
      </c>
      <c r="BG351" t="str">
        <f>IF('1. Live'!BG351='check-Jul25'!BG351,"",'1. Live'!BG351-'check-Jul25'!BG351)</f>
        <v/>
      </c>
      <c r="BH351" t="str">
        <f>IF('1. Live'!BH351='check-Jul25'!BH351,"",'1. Live'!BH351-'check-Jul25'!BH351)</f>
        <v/>
      </c>
      <c r="BI351" t="str">
        <f>IF('1. Live'!BI351='check-Jul25'!BI351,"",'1. Live'!BI351-'check-Jul25'!BI351)</f>
        <v/>
      </c>
      <c r="BJ351" t="str">
        <f>IF('1. Live'!BJ351='check-Jul25'!BJ351,"",'1. Live'!BJ351-'check-Jul25'!BJ351)</f>
        <v/>
      </c>
      <c r="BK351" t="str">
        <f>IF('1. Live'!BK351='check-Jul25'!BK351,"",'1. Live'!BK351-'check-Jul25'!BK351)</f>
        <v/>
      </c>
      <c r="BL351" t="str">
        <f>IF('1. Live'!BL351='check-Jul25'!BL351,"",'1. Live'!BL351-'check-Jul25'!BL351)</f>
        <v/>
      </c>
      <c r="BM351" t="str">
        <f>IF('1. Live'!BM351='check-Jul25'!BM351,"",'1. Live'!BM351-'check-Jul25'!BM351)</f>
        <v/>
      </c>
      <c r="BN351" t="str">
        <f>IF('1. Live'!BN351='check-Jul25'!BN351,"",'1. Live'!BN351-'check-Jul25'!BN351)</f>
        <v/>
      </c>
      <c r="BO351" t="str">
        <f>IF('1. Live'!BO351='check-Jul25'!BO351,"",'1. Live'!BO351-'check-Jul25'!BO351)</f>
        <v/>
      </c>
      <c r="BP351" t="str">
        <f>IF('1. Live'!BP351='check-Jul25'!BP351,"",'1. Live'!BP351-'check-Jul25'!BP351)</f>
        <v/>
      </c>
      <c r="BQ351" t="str">
        <f>IF('1. Live'!BQ351='check-Jul25'!BQ351,"",'1. Live'!BQ351-'check-Jul25'!BQ351)</f>
        <v/>
      </c>
      <c r="BR351" t="str">
        <f>IF('1. Live'!BR351='check-Jul25'!BR351,"",'1. Live'!BR351-'check-Jul25'!BR351)</f>
        <v/>
      </c>
      <c r="BS351" t="str">
        <f>IF('1. Live'!BS351='check-Jul25'!BS351,"",'1. Live'!BS351-'check-Jul25'!BS351)</f>
        <v/>
      </c>
      <c r="BT351" t="str">
        <f>IF('1. Live'!BT351='check-Jul25'!BT351,"",'1. Live'!BT351-'check-Jul25'!BT351)</f>
        <v/>
      </c>
      <c r="BU351" t="str">
        <f>IF('1. Live'!BU351='check-Jul25'!BU351,"",'1. Live'!BU351-'check-Jul25'!BU351)</f>
        <v/>
      </c>
      <c r="BV351" t="str">
        <f>IF('1. Live'!BV351='check-Jul25'!BV351,"",'1. Live'!BV351-'check-Jul25'!BV351)</f>
        <v/>
      </c>
      <c r="BW351" t="str">
        <f>IF('1. Live'!BW351='check-Jul25'!BW351,"",'1. Live'!BW351-'check-Jul25'!BW351)</f>
        <v/>
      </c>
      <c r="BX351" t="str">
        <f>IF('1. Live'!BX351='check-Jul25'!BX351,"",'1. Live'!BX351-'check-Jul25'!BX351)</f>
        <v/>
      </c>
      <c r="BY351" t="str">
        <f>IF('1. Live'!BY351='check-Jul25'!BY351,"",'1. Live'!BY351-'check-Jul25'!BY351)</f>
        <v/>
      </c>
      <c r="BZ351" t="str">
        <f>IF('1. Live'!BZ351='check-Jul25'!BZ351,"",'1. Live'!BZ351-'check-Jul25'!BZ351)</f>
        <v/>
      </c>
      <c r="CA351" t="str">
        <f>IF('1. Live'!CA351='check-Jul25'!CA351,"",'1. Live'!CA351-'check-Jul25'!CA351)</f>
        <v/>
      </c>
      <c r="CB351" t="str">
        <f>IF('1. Live'!CB351='check-Jul25'!CB351,"",'1. Live'!CB351-'check-Jul25'!CB351)</f>
        <v/>
      </c>
      <c r="CC351" t="str">
        <f>IF('1. Live'!CC351='check-Jul25'!CC351,"",'1. Live'!CC351-'check-Jul25'!CC351)</f>
        <v/>
      </c>
      <c r="CD351" t="str">
        <f>IF('1. Live'!CD351='check-Jul25'!CD351,"",'1. Live'!CD351-'check-Jul25'!CD351)</f>
        <v/>
      </c>
      <c r="CE351" t="str">
        <f>IF('1. Live'!CE351='check-Jul25'!CE351,"",'1. Live'!CE351-'check-Jul25'!CE351)</f>
        <v/>
      </c>
      <c r="CF351" t="str">
        <f>IF('1. Live'!CF351='check-Jul25'!CF351,"",'1. Live'!CF351-'check-Jul25'!CF351)</f>
        <v/>
      </c>
      <c r="CG351" t="str">
        <f>IF('1. Live'!CG351='check-Jul25'!CG351,"",'1. Live'!CG351-'check-Jul25'!CG351)</f>
        <v/>
      </c>
      <c r="CH351" t="str">
        <f>IF('1. Live'!CH351='check-Jul25'!CH351,"",'1. Live'!CH351-'check-Jul25'!CH351)</f>
        <v/>
      </c>
      <c r="CI351" t="str">
        <f>IF('1. Live'!CI351='check-Jul25'!CI351,"",'1. Live'!CI351-'check-Jul25'!CI351)</f>
        <v/>
      </c>
      <c r="CJ351" t="str">
        <f>IF('1. Live'!CJ351='check-Jul25'!CJ351,"",'1. Live'!CJ351-'check-Jul25'!CJ351)</f>
        <v/>
      </c>
      <c r="CK351" t="str">
        <f>IF('1. Live'!CK351='check-Jul25'!CK351,"",'1. Live'!CK351-'check-Jul25'!CK351)</f>
        <v/>
      </c>
      <c r="CL351" t="str">
        <f>IF('1. Live'!CL351='check-Jul25'!CL351,"",'1. Live'!CL351-'check-Jul25'!CL351)</f>
        <v/>
      </c>
      <c r="CM351" t="str">
        <f>IF('1. Live'!CM351='check-Jul25'!CM351,"",'1. Live'!CM351-'check-Jul25'!CM351)</f>
        <v/>
      </c>
      <c r="CN351" t="str">
        <f>IF('1. Live'!CN351='check-Jul25'!CN351,"",'1. Live'!CN351-'check-Jul25'!CN351)</f>
        <v/>
      </c>
      <c r="CO351" t="str">
        <f>IF('1. Live'!CO351='check-Jul25'!CO351,"",'1. Live'!CO351-'check-Jul25'!CO351)</f>
        <v/>
      </c>
      <c r="CP351" t="str">
        <f>IF('1. Live'!CP351='check-Jul25'!CP351,"",'1. Live'!CP351-'check-Jul25'!CP351)</f>
        <v/>
      </c>
      <c r="CQ351" t="str">
        <f>IF('1. Live'!CQ351='check-Jul25'!CQ351,"",'1. Live'!CQ351-'check-Jul25'!CQ351)</f>
        <v/>
      </c>
      <c r="CR351" t="str">
        <f>IF('1. Live'!CR351='check-Jul25'!CR351,"",'1. Live'!CR351-'check-Jul25'!CR351)</f>
        <v/>
      </c>
      <c r="CS351" t="str">
        <f>IF('1. Live'!CS351='check-Jul25'!CS351,"",'1. Live'!CS351-'check-Jul25'!CS351)</f>
        <v/>
      </c>
      <c r="CT351" t="str">
        <f>IF('1. Live'!CT351='check-Jul25'!CT351,"",'1. Live'!CT351-'check-Jul25'!CT351)</f>
        <v/>
      </c>
      <c r="CU351" t="str">
        <f>IF('1. Live'!CU351='check-Jul25'!CU351,"",'1. Live'!CU351-'check-Jul25'!CU351)</f>
        <v/>
      </c>
      <c r="CV351" t="str">
        <f>IF('1. Live'!CV351='check-Jul25'!CV351,"",'1. Live'!CV351-'check-Jul25'!CV351)</f>
        <v/>
      </c>
      <c r="CW351" t="str">
        <f>IF('1. Live'!CW351='check-Jul25'!CW351,"",'1. Live'!CW351-'check-Jul25'!CW351)</f>
        <v/>
      </c>
    </row>
    <row r="352" spans="10:101">
      <c r="J352" t="str">
        <f>IF('1. Live'!J352='check-Jul25'!J352,"",'1. Live'!J352-'check-Jul25'!J352)</f>
        <v/>
      </c>
      <c r="K352" t="str">
        <f>IF('1. Live'!K352='check-Jul25'!K352,"",'1. Live'!K352-'check-Jul25'!K352)</f>
        <v/>
      </c>
      <c r="L352" t="str">
        <f>IF('1. Live'!L352='check-Jul25'!L352,"",'1. Live'!L352-'check-Jul25'!L352)</f>
        <v/>
      </c>
      <c r="M352" t="str">
        <f>IF('1. Live'!M352='check-Jul25'!M352,"",'1. Live'!M352-'check-Jul25'!M352)</f>
        <v/>
      </c>
      <c r="N352" t="str">
        <f>IF('1. Live'!N352='check-Jul25'!N352,"",'1. Live'!N352-'check-Jul25'!N352)</f>
        <v/>
      </c>
      <c r="O352" t="str">
        <f>IF('1. Live'!O352='check-Jul25'!O352,"",'1. Live'!O352-'check-Jul25'!O352)</f>
        <v/>
      </c>
      <c r="P352" t="str">
        <f>IF('1. Live'!P352='check-Jul25'!P352,"",'1. Live'!P352-'check-Jul25'!P352)</f>
        <v/>
      </c>
      <c r="Q352" t="str">
        <f>IF('1. Live'!Q352='check-Jul25'!Q352,"",'1. Live'!Q352-'check-Jul25'!Q352)</f>
        <v/>
      </c>
      <c r="R352" t="str">
        <f>IF('1. Live'!R352='check-Jul25'!R352,"",'1. Live'!R352-'check-Jul25'!R352)</f>
        <v/>
      </c>
      <c r="S352" t="str">
        <f>IF('1. Live'!S352='check-Jul25'!S352,"",'1. Live'!S352-'check-Jul25'!S352)</f>
        <v/>
      </c>
      <c r="T352" t="str">
        <f>IF('1. Live'!T352='check-Jul25'!T352,"",'1. Live'!T352-'check-Jul25'!T352)</f>
        <v/>
      </c>
      <c r="U352" t="str">
        <f>IF('1. Live'!U352='check-Jul25'!U352,"",'1. Live'!U352-'check-Jul25'!U352)</f>
        <v/>
      </c>
      <c r="V352" t="str">
        <f>IF('1. Live'!V352='check-Jul25'!V352,"",'1. Live'!V352-'check-Jul25'!V352)</f>
        <v/>
      </c>
      <c r="W352" t="str">
        <f>IF('1. Live'!W352='check-Jul25'!W352,"",'1. Live'!W352-'check-Jul25'!W352)</f>
        <v/>
      </c>
      <c r="X352" t="str">
        <f>IF('1. Live'!X352='check-Jul25'!X352,"",'1. Live'!X352-'check-Jul25'!X352)</f>
        <v/>
      </c>
      <c r="Y352" t="str">
        <f>IF('1. Live'!Y352='check-Jul25'!Y352,"",'1. Live'!Y352-'check-Jul25'!Y352)</f>
        <v/>
      </c>
      <c r="Z352" t="str">
        <f>IF('1. Live'!Z352='check-Jul25'!Z352,"",'1. Live'!Z352-'check-Jul25'!Z352)</f>
        <v/>
      </c>
      <c r="AA352" t="str">
        <f>IF('1. Live'!AA352='check-Jul25'!AA352,"",'1. Live'!AA352-'check-Jul25'!AA352)</f>
        <v/>
      </c>
      <c r="AB352" t="str">
        <f>IF('1. Live'!AB352='check-Jul25'!AB352,"",'1. Live'!AB352-'check-Jul25'!AB352)</f>
        <v/>
      </c>
      <c r="AC352" t="str">
        <f>IF('1. Live'!AC352='check-Jul25'!AC352,"",'1. Live'!AC352-'check-Jul25'!AC352)</f>
        <v/>
      </c>
      <c r="AD352" t="str">
        <f>IF('1. Live'!AD352='check-Jul25'!AD352,"",'1. Live'!AD352-'check-Jul25'!AD352)</f>
        <v/>
      </c>
      <c r="AE352" t="str">
        <f>IF('1. Live'!AE352='check-Jul25'!AE352,"",'1. Live'!AE352-'check-Jul25'!AE352)</f>
        <v/>
      </c>
      <c r="AF352" t="str">
        <f>IF('1. Live'!AF352='check-Jul25'!AF352,"",'1. Live'!AF352-'check-Jul25'!AF352)</f>
        <v/>
      </c>
      <c r="AG352" t="str">
        <f>IF('1. Live'!AG352='check-Jul25'!AG352,"",'1. Live'!AG352-'check-Jul25'!AG352)</f>
        <v/>
      </c>
      <c r="AH352" t="str">
        <f>IF('1. Live'!AH352='check-Jul25'!AH352,"",'1. Live'!AH352-'check-Jul25'!AH352)</f>
        <v/>
      </c>
      <c r="AI352" t="str">
        <f>IF('1. Live'!AI352='check-Jul25'!AI352,"",'1. Live'!AI352-'check-Jul25'!AI352)</f>
        <v/>
      </c>
      <c r="AJ352" t="str">
        <f>IF('1. Live'!AJ352='check-Jul25'!AJ352,"",'1. Live'!AJ352-'check-Jul25'!AJ352)</f>
        <v/>
      </c>
      <c r="AK352" t="str">
        <f>IF('1. Live'!AK352='check-Jul25'!AK352,"",'1. Live'!AK352-'check-Jul25'!AK352)</f>
        <v/>
      </c>
      <c r="AL352" t="str">
        <f>IF('1. Live'!AL352='check-Jul25'!AL352,"",'1. Live'!AL352-'check-Jul25'!AL352)</f>
        <v/>
      </c>
      <c r="AM352" t="str">
        <f>IF('1. Live'!AM352='check-Jul25'!AM352,"",'1. Live'!AM352-'check-Jul25'!AM352)</f>
        <v/>
      </c>
      <c r="AN352" t="str">
        <f>IF('1. Live'!AN352='check-Jul25'!AN352,"",'1. Live'!AN352-'check-Jul25'!AN352)</f>
        <v/>
      </c>
      <c r="AO352" t="str">
        <f>IF('1. Live'!AO352='check-Jul25'!AO352,"",'1. Live'!AO352-'check-Jul25'!AO352)</f>
        <v/>
      </c>
      <c r="AP352" t="str">
        <f>IF('1. Live'!AP352='check-Jul25'!AP352,"",'1. Live'!AP352-'check-Jul25'!AP352)</f>
        <v/>
      </c>
      <c r="AQ352" t="str">
        <f>IF('1. Live'!AQ352='check-Jul25'!AQ352,"",'1. Live'!AQ352-'check-Jul25'!AQ352)</f>
        <v/>
      </c>
      <c r="AR352" t="str">
        <f>IF('1. Live'!AR352='check-Jul25'!AR352,"",'1. Live'!AR352-'check-Jul25'!AR352)</f>
        <v/>
      </c>
      <c r="AS352" t="str">
        <f>IF('1. Live'!AS352='check-Jul25'!AS352,"",'1. Live'!AS352-'check-Jul25'!AS352)</f>
        <v/>
      </c>
      <c r="AT352" t="str">
        <f>IF('1. Live'!AT352='check-Jul25'!AT352,"",'1. Live'!AT352-'check-Jul25'!AT352)</f>
        <v/>
      </c>
      <c r="AU352" t="str">
        <f>IF('1. Live'!AU352='check-Jul25'!AU352,"",'1. Live'!AU352-'check-Jul25'!AU352)</f>
        <v/>
      </c>
      <c r="AV352" t="str">
        <f>IF('1. Live'!AV352='check-Jul25'!AV352,"",'1. Live'!AV352-'check-Jul25'!AV352)</f>
        <v/>
      </c>
      <c r="AW352" t="str">
        <f>IF('1. Live'!AW352='check-Jul25'!AW352,"",'1. Live'!AW352-'check-Jul25'!AW352)</f>
        <v/>
      </c>
      <c r="AX352" t="str">
        <f>IF('1. Live'!AX352='check-Jul25'!AX352,"",'1. Live'!AX352-'check-Jul25'!AX352)</f>
        <v/>
      </c>
      <c r="AY352" t="str">
        <f>IF('1. Live'!AY352='check-Jul25'!AY352,"",'1. Live'!AY352-'check-Jul25'!AY352)</f>
        <v/>
      </c>
      <c r="AZ352" t="str">
        <f>IF('1. Live'!AZ352='check-Jul25'!AZ352,"",'1. Live'!AZ352-'check-Jul25'!AZ352)</f>
        <v/>
      </c>
      <c r="BA352" t="str">
        <f>IF('1. Live'!BA352='check-Jul25'!BA352,"",'1. Live'!BA352-'check-Jul25'!BA352)</f>
        <v/>
      </c>
      <c r="BB352" t="str">
        <f>IF('1. Live'!BB352='check-Jul25'!BB352,"",'1. Live'!BB352-'check-Jul25'!BB352)</f>
        <v/>
      </c>
      <c r="BC352" t="str">
        <f>IF('1. Live'!BC352='check-Jul25'!BC352,"",'1. Live'!BC352-'check-Jul25'!BC352)</f>
        <v/>
      </c>
      <c r="BD352" t="str">
        <f>IF('1. Live'!BD352='check-Jul25'!BD352,"",'1. Live'!BD352-'check-Jul25'!BD352)</f>
        <v/>
      </c>
      <c r="BE352" t="str">
        <f>IF('1. Live'!BE352='check-Jul25'!BE352,"",'1. Live'!BE352-'check-Jul25'!BE352)</f>
        <v/>
      </c>
      <c r="BF352" t="str">
        <f>IF('1. Live'!BF352='check-Jul25'!BF352,"",'1. Live'!BF352-'check-Jul25'!BF352)</f>
        <v/>
      </c>
      <c r="BG352" t="str">
        <f>IF('1. Live'!BG352='check-Jul25'!BG352,"",'1. Live'!BG352-'check-Jul25'!BG352)</f>
        <v/>
      </c>
      <c r="BH352" t="str">
        <f>IF('1. Live'!BH352='check-Jul25'!BH352,"",'1. Live'!BH352-'check-Jul25'!BH352)</f>
        <v/>
      </c>
      <c r="BI352" t="str">
        <f>IF('1. Live'!BI352='check-Jul25'!BI352,"",'1. Live'!BI352-'check-Jul25'!BI352)</f>
        <v/>
      </c>
      <c r="BJ352" t="str">
        <f>IF('1. Live'!BJ352='check-Jul25'!BJ352,"",'1. Live'!BJ352-'check-Jul25'!BJ352)</f>
        <v/>
      </c>
      <c r="BK352" t="str">
        <f>IF('1. Live'!BK352='check-Jul25'!BK352,"",'1. Live'!BK352-'check-Jul25'!BK352)</f>
        <v/>
      </c>
      <c r="BL352" t="str">
        <f>IF('1. Live'!BL352='check-Jul25'!BL352,"",'1. Live'!BL352-'check-Jul25'!BL352)</f>
        <v/>
      </c>
      <c r="BM352" t="str">
        <f>IF('1. Live'!BM352='check-Jul25'!BM352,"",'1. Live'!BM352-'check-Jul25'!BM352)</f>
        <v/>
      </c>
      <c r="BN352" t="str">
        <f>IF('1. Live'!BN352='check-Jul25'!BN352,"",'1. Live'!BN352-'check-Jul25'!BN352)</f>
        <v/>
      </c>
      <c r="BO352" t="str">
        <f>IF('1. Live'!BO352='check-Jul25'!BO352,"",'1. Live'!BO352-'check-Jul25'!BO352)</f>
        <v/>
      </c>
      <c r="BP352" t="str">
        <f>IF('1. Live'!BP352='check-Jul25'!BP352,"",'1. Live'!BP352-'check-Jul25'!BP352)</f>
        <v/>
      </c>
      <c r="BQ352" t="str">
        <f>IF('1. Live'!BQ352='check-Jul25'!BQ352,"",'1. Live'!BQ352-'check-Jul25'!BQ352)</f>
        <v/>
      </c>
      <c r="BR352" t="str">
        <f>IF('1. Live'!BR352='check-Jul25'!BR352,"",'1. Live'!BR352-'check-Jul25'!BR352)</f>
        <v/>
      </c>
      <c r="BS352" t="str">
        <f>IF('1. Live'!BS352='check-Jul25'!BS352,"",'1. Live'!BS352-'check-Jul25'!BS352)</f>
        <v/>
      </c>
      <c r="BT352" t="str">
        <f>IF('1. Live'!BT352='check-Jul25'!BT352,"",'1. Live'!BT352-'check-Jul25'!BT352)</f>
        <v/>
      </c>
      <c r="BU352" t="str">
        <f>IF('1. Live'!BU352='check-Jul25'!BU352,"",'1. Live'!BU352-'check-Jul25'!BU352)</f>
        <v/>
      </c>
      <c r="BV352" t="str">
        <f>IF('1. Live'!BV352='check-Jul25'!BV352,"",'1. Live'!BV352-'check-Jul25'!BV352)</f>
        <v/>
      </c>
      <c r="BW352" t="str">
        <f>IF('1. Live'!BW352='check-Jul25'!BW352,"",'1. Live'!BW352-'check-Jul25'!BW352)</f>
        <v/>
      </c>
      <c r="BX352" t="str">
        <f>IF('1. Live'!BX352='check-Jul25'!BX352,"",'1. Live'!BX352-'check-Jul25'!BX352)</f>
        <v/>
      </c>
      <c r="BY352" t="str">
        <f>IF('1. Live'!BY352='check-Jul25'!BY352,"",'1. Live'!BY352-'check-Jul25'!BY352)</f>
        <v/>
      </c>
      <c r="BZ352" t="str">
        <f>IF('1. Live'!BZ352='check-Jul25'!BZ352,"",'1. Live'!BZ352-'check-Jul25'!BZ352)</f>
        <v/>
      </c>
      <c r="CA352" t="str">
        <f>IF('1. Live'!CA352='check-Jul25'!CA352,"",'1. Live'!CA352-'check-Jul25'!CA352)</f>
        <v/>
      </c>
      <c r="CB352" t="str">
        <f>IF('1. Live'!CB352='check-Jul25'!CB352,"",'1. Live'!CB352-'check-Jul25'!CB352)</f>
        <v/>
      </c>
      <c r="CC352" t="str">
        <f>IF('1. Live'!CC352='check-Jul25'!CC352,"",'1. Live'!CC352-'check-Jul25'!CC352)</f>
        <v/>
      </c>
      <c r="CD352" t="str">
        <f>IF('1. Live'!CD352='check-Jul25'!CD352,"",'1. Live'!CD352-'check-Jul25'!CD352)</f>
        <v/>
      </c>
      <c r="CE352" t="str">
        <f>IF('1. Live'!CE352='check-Jul25'!CE352,"",'1. Live'!CE352-'check-Jul25'!CE352)</f>
        <v/>
      </c>
      <c r="CF352" t="str">
        <f>IF('1. Live'!CF352='check-Jul25'!CF352,"",'1. Live'!CF352-'check-Jul25'!CF352)</f>
        <v/>
      </c>
      <c r="CG352" t="str">
        <f>IF('1. Live'!CG352='check-Jul25'!CG352,"",'1. Live'!CG352-'check-Jul25'!CG352)</f>
        <v/>
      </c>
      <c r="CH352" t="str">
        <f>IF('1. Live'!CH352='check-Jul25'!CH352,"",'1. Live'!CH352-'check-Jul25'!CH352)</f>
        <v/>
      </c>
      <c r="CI352" t="str">
        <f>IF('1. Live'!CI352='check-Jul25'!CI352,"",'1. Live'!CI352-'check-Jul25'!CI352)</f>
        <v/>
      </c>
      <c r="CJ352" t="str">
        <f>IF('1. Live'!CJ352='check-Jul25'!CJ352,"",'1. Live'!CJ352-'check-Jul25'!CJ352)</f>
        <v/>
      </c>
      <c r="CK352" t="str">
        <f>IF('1. Live'!CK352='check-Jul25'!CK352,"",'1. Live'!CK352-'check-Jul25'!CK352)</f>
        <v/>
      </c>
      <c r="CL352" t="str">
        <f>IF('1. Live'!CL352='check-Jul25'!CL352,"",'1. Live'!CL352-'check-Jul25'!CL352)</f>
        <v/>
      </c>
      <c r="CM352" t="str">
        <f>IF('1. Live'!CM352='check-Jul25'!CM352,"",'1. Live'!CM352-'check-Jul25'!CM352)</f>
        <v/>
      </c>
      <c r="CN352" t="str">
        <f>IF('1. Live'!CN352='check-Jul25'!CN352,"",'1. Live'!CN352-'check-Jul25'!CN352)</f>
        <v/>
      </c>
      <c r="CO352" t="str">
        <f>IF('1. Live'!CO352='check-Jul25'!CO352,"",'1. Live'!CO352-'check-Jul25'!CO352)</f>
        <v/>
      </c>
      <c r="CP352" t="str">
        <f>IF('1. Live'!CP352='check-Jul25'!CP352,"",'1. Live'!CP352-'check-Jul25'!CP352)</f>
        <v/>
      </c>
      <c r="CQ352" t="str">
        <f>IF('1. Live'!CQ352='check-Jul25'!CQ352,"",'1. Live'!CQ352-'check-Jul25'!CQ352)</f>
        <v/>
      </c>
      <c r="CR352" t="str">
        <f>IF('1. Live'!CR352='check-Jul25'!CR352,"",'1. Live'!CR352-'check-Jul25'!CR352)</f>
        <v/>
      </c>
      <c r="CS352" t="str">
        <f>IF('1. Live'!CS352='check-Jul25'!CS352,"",'1. Live'!CS352-'check-Jul25'!CS352)</f>
        <v/>
      </c>
      <c r="CT352" t="str">
        <f>IF('1. Live'!CT352='check-Jul25'!CT352,"",'1. Live'!CT352-'check-Jul25'!CT352)</f>
        <v/>
      </c>
      <c r="CU352" t="str">
        <f>IF('1. Live'!CU352='check-Jul25'!CU352,"",'1. Live'!CU352-'check-Jul25'!CU352)</f>
        <v/>
      </c>
      <c r="CV352" t="str">
        <f>IF('1. Live'!CV352='check-Jul25'!CV352,"",'1. Live'!CV352-'check-Jul25'!CV352)</f>
        <v/>
      </c>
      <c r="CW352" t="str">
        <f>IF('1. Live'!CW352='check-Jul25'!CW352,"",'1. Live'!CW352-'check-Jul25'!CW352)</f>
        <v/>
      </c>
    </row>
    <row r="353" spans="10:101">
      <c r="J353" t="str">
        <f>IF('1. Live'!J353='check-Jul25'!J353,"",'1. Live'!J353-'check-Jul25'!J353)</f>
        <v/>
      </c>
      <c r="K353" t="str">
        <f>IF('1. Live'!K353='check-Jul25'!K353,"",'1. Live'!K353-'check-Jul25'!K353)</f>
        <v/>
      </c>
      <c r="L353" t="str">
        <f>IF('1. Live'!L353='check-Jul25'!L353,"",'1. Live'!L353-'check-Jul25'!L353)</f>
        <v/>
      </c>
      <c r="M353" t="str">
        <f>IF('1. Live'!M353='check-Jul25'!M353,"",'1. Live'!M353-'check-Jul25'!M353)</f>
        <v/>
      </c>
      <c r="N353" t="str">
        <f>IF('1. Live'!N353='check-Jul25'!N353,"",'1. Live'!N353-'check-Jul25'!N353)</f>
        <v/>
      </c>
      <c r="O353" t="str">
        <f>IF('1. Live'!O353='check-Jul25'!O353,"",'1. Live'!O353-'check-Jul25'!O353)</f>
        <v/>
      </c>
      <c r="P353" t="str">
        <f>IF('1. Live'!P353='check-Jul25'!P353,"",'1. Live'!P353-'check-Jul25'!P353)</f>
        <v/>
      </c>
      <c r="Q353" t="str">
        <f>IF('1. Live'!Q353='check-Jul25'!Q353,"",'1. Live'!Q353-'check-Jul25'!Q353)</f>
        <v/>
      </c>
      <c r="R353" t="str">
        <f>IF('1. Live'!R353='check-Jul25'!R353,"",'1. Live'!R353-'check-Jul25'!R353)</f>
        <v/>
      </c>
      <c r="S353" t="str">
        <f>IF('1. Live'!S353='check-Jul25'!S353,"",'1. Live'!S353-'check-Jul25'!S353)</f>
        <v/>
      </c>
      <c r="T353" t="str">
        <f>IF('1. Live'!T353='check-Jul25'!T353,"",'1. Live'!T353-'check-Jul25'!T353)</f>
        <v/>
      </c>
      <c r="U353" t="str">
        <f>IF('1. Live'!U353='check-Jul25'!U353,"",'1. Live'!U353-'check-Jul25'!U353)</f>
        <v/>
      </c>
      <c r="V353" t="str">
        <f>IF('1. Live'!V353='check-Jul25'!V353,"",'1. Live'!V353-'check-Jul25'!V353)</f>
        <v/>
      </c>
      <c r="W353" t="str">
        <f>IF('1. Live'!W353='check-Jul25'!W353,"",'1. Live'!W353-'check-Jul25'!W353)</f>
        <v/>
      </c>
      <c r="X353" t="str">
        <f>IF('1. Live'!X353='check-Jul25'!X353,"",'1. Live'!X353-'check-Jul25'!X353)</f>
        <v/>
      </c>
      <c r="Y353" t="str">
        <f>IF('1. Live'!Y353='check-Jul25'!Y353,"",'1. Live'!Y353-'check-Jul25'!Y353)</f>
        <v/>
      </c>
      <c r="Z353" t="str">
        <f>IF('1. Live'!Z353='check-Jul25'!Z353,"",'1. Live'!Z353-'check-Jul25'!Z353)</f>
        <v/>
      </c>
      <c r="AA353" t="str">
        <f>IF('1. Live'!AA353='check-Jul25'!AA353,"",'1. Live'!AA353-'check-Jul25'!AA353)</f>
        <v/>
      </c>
      <c r="AB353" t="str">
        <f>IF('1. Live'!AB353='check-Jul25'!AB353,"",'1. Live'!AB353-'check-Jul25'!AB353)</f>
        <v/>
      </c>
      <c r="AC353" t="str">
        <f>IF('1. Live'!AC353='check-Jul25'!AC353,"",'1. Live'!AC353-'check-Jul25'!AC353)</f>
        <v/>
      </c>
      <c r="AD353" t="str">
        <f>IF('1. Live'!AD353='check-Jul25'!AD353,"",'1. Live'!AD353-'check-Jul25'!AD353)</f>
        <v/>
      </c>
      <c r="AE353" t="str">
        <f>IF('1. Live'!AE353='check-Jul25'!AE353,"",'1. Live'!AE353-'check-Jul25'!AE353)</f>
        <v/>
      </c>
      <c r="AF353" t="str">
        <f>IF('1. Live'!AF353='check-Jul25'!AF353,"",'1. Live'!AF353-'check-Jul25'!AF353)</f>
        <v/>
      </c>
      <c r="AG353" t="str">
        <f>IF('1. Live'!AG353='check-Jul25'!AG353,"",'1. Live'!AG353-'check-Jul25'!AG353)</f>
        <v/>
      </c>
      <c r="AH353" t="str">
        <f>IF('1. Live'!AH353='check-Jul25'!AH353,"",'1. Live'!AH353-'check-Jul25'!AH353)</f>
        <v/>
      </c>
      <c r="AI353" t="str">
        <f>IF('1. Live'!AI353='check-Jul25'!AI353,"",'1. Live'!AI353-'check-Jul25'!AI353)</f>
        <v/>
      </c>
      <c r="AJ353" t="str">
        <f>IF('1. Live'!AJ353='check-Jul25'!AJ353,"",'1. Live'!AJ353-'check-Jul25'!AJ353)</f>
        <v/>
      </c>
      <c r="AK353" t="str">
        <f>IF('1. Live'!AK353='check-Jul25'!AK353,"",'1. Live'!AK353-'check-Jul25'!AK353)</f>
        <v/>
      </c>
      <c r="AL353" t="str">
        <f>IF('1. Live'!AL353='check-Jul25'!AL353,"",'1. Live'!AL353-'check-Jul25'!AL353)</f>
        <v/>
      </c>
      <c r="AM353" t="str">
        <f>IF('1. Live'!AM353='check-Jul25'!AM353,"",'1. Live'!AM353-'check-Jul25'!AM353)</f>
        <v/>
      </c>
      <c r="AN353" t="str">
        <f>IF('1. Live'!AN353='check-Jul25'!AN353,"",'1. Live'!AN353-'check-Jul25'!AN353)</f>
        <v/>
      </c>
      <c r="AO353" t="str">
        <f>IF('1. Live'!AO353='check-Jul25'!AO353,"",'1. Live'!AO353-'check-Jul25'!AO353)</f>
        <v/>
      </c>
      <c r="AP353" t="str">
        <f>IF('1. Live'!AP353='check-Jul25'!AP353,"",'1. Live'!AP353-'check-Jul25'!AP353)</f>
        <v/>
      </c>
      <c r="AQ353" t="str">
        <f>IF('1. Live'!AQ353='check-Jul25'!AQ353,"",'1. Live'!AQ353-'check-Jul25'!AQ353)</f>
        <v/>
      </c>
      <c r="AR353" t="str">
        <f>IF('1. Live'!AR353='check-Jul25'!AR353,"",'1. Live'!AR353-'check-Jul25'!AR353)</f>
        <v/>
      </c>
      <c r="AS353" t="str">
        <f>IF('1. Live'!AS353='check-Jul25'!AS353,"",'1. Live'!AS353-'check-Jul25'!AS353)</f>
        <v/>
      </c>
      <c r="AT353" t="str">
        <f>IF('1. Live'!AT353='check-Jul25'!AT353,"",'1. Live'!AT353-'check-Jul25'!AT353)</f>
        <v/>
      </c>
      <c r="AU353" t="str">
        <f>IF('1. Live'!AU353='check-Jul25'!AU353,"",'1. Live'!AU353-'check-Jul25'!AU353)</f>
        <v/>
      </c>
      <c r="AV353" t="str">
        <f>IF('1. Live'!AV353='check-Jul25'!AV353,"",'1. Live'!AV353-'check-Jul25'!AV353)</f>
        <v/>
      </c>
      <c r="AW353" t="str">
        <f>IF('1. Live'!AW353='check-Jul25'!AW353,"",'1. Live'!AW353-'check-Jul25'!AW353)</f>
        <v/>
      </c>
      <c r="AX353" t="str">
        <f>IF('1. Live'!AX353='check-Jul25'!AX353,"",'1. Live'!AX353-'check-Jul25'!AX353)</f>
        <v/>
      </c>
      <c r="AY353" t="str">
        <f>IF('1. Live'!AY353='check-Jul25'!AY353,"",'1. Live'!AY353-'check-Jul25'!AY353)</f>
        <v/>
      </c>
      <c r="AZ353" t="str">
        <f>IF('1. Live'!AZ353='check-Jul25'!AZ353,"",'1. Live'!AZ353-'check-Jul25'!AZ353)</f>
        <v/>
      </c>
      <c r="BA353" t="str">
        <f>IF('1. Live'!BA353='check-Jul25'!BA353,"",'1. Live'!BA353-'check-Jul25'!BA353)</f>
        <v/>
      </c>
      <c r="BB353" t="str">
        <f>IF('1. Live'!BB353='check-Jul25'!BB353,"",'1. Live'!BB353-'check-Jul25'!BB353)</f>
        <v/>
      </c>
      <c r="BC353" t="str">
        <f>IF('1. Live'!BC353='check-Jul25'!BC353,"",'1. Live'!BC353-'check-Jul25'!BC353)</f>
        <v/>
      </c>
      <c r="BD353" t="str">
        <f>IF('1. Live'!BD353='check-Jul25'!BD353,"",'1. Live'!BD353-'check-Jul25'!BD353)</f>
        <v/>
      </c>
      <c r="BE353" t="str">
        <f>IF('1. Live'!BE353='check-Jul25'!BE353,"",'1. Live'!BE353-'check-Jul25'!BE353)</f>
        <v/>
      </c>
      <c r="BF353" t="str">
        <f>IF('1. Live'!BF353='check-Jul25'!BF353,"",'1. Live'!BF353-'check-Jul25'!BF353)</f>
        <v/>
      </c>
      <c r="BG353" t="str">
        <f>IF('1. Live'!BG353='check-Jul25'!BG353,"",'1. Live'!BG353-'check-Jul25'!BG353)</f>
        <v/>
      </c>
      <c r="BH353" t="str">
        <f>IF('1. Live'!BH353='check-Jul25'!BH353,"",'1. Live'!BH353-'check-Jul25'!BH353)</f>
        <v/>
      </c>
      <c r="BI353" t="str">
        <f>IF('1. Live'!BI353='check-Jul25'!BI353,"",'1. Live'!BI353-'check-Jul25'!BI353)</f>
        <v/>
      </c>
      <c r="BJ353" t="str">
        <f>IF('1. Live'!BJ353='check-Jul25'!BJ353,"",'1. Live'!BJ353-'check-Jul25'!BJ353)</f>
        <v/>
      </c>
      <c r="BK353" t="str">
        <f>IF('1. Live'!BK353='check-Jul25'!BK353,"",'1. Live'!BK353-'check-Jul25'!BK353)</f>
        <v/>
      </c>
      <c r="BL353" t="str">
        <f>IF('1. Live'!BL353='check-Jul25'!BL353,"",'1. Live'!BL353-'check-Jul25'!BL353)</f>
        <v/>
      </c>
      <c r="BM353" t="str">
        <f>IF('1. Live'!BM353='check-Jul25'!BM353,"",'1. Live'!BM353-'check-Jul25'!BM353)</f>
        <v/>
      </c>
      <c r="BN353" t="str">
        <f>IF('1. Live'!BN353='check-Jul25'!BN353,"",'1. Live'!BN353-'check-Jul25'!BN353)</f>
        <v/>
      </c>
      <c r="BO353" t="str">
        <f>IF('1. Live'!BO353='check-Jul25'!BO353,"",'1. Live'!BO353-'check-Jul25'!BO353)</f>
        <v/>
      </c>
      <c r="BP353" t="str">
        <f>IF('1. Live'!BP353='check-Jul25'!BP353,"",'1. Live'!BP353-'check-Jul25'!BP353)</f>
        <v/>
      </c>
      <c r="BQ353" t="str">
        <f>IF('1. Live'!BQ353='check-Jul25'!BQ353,"",'1. Live'!BQ353-'check-Jul25'!BQ353)</f>
        <v/>
      </c>
      <c r="BR353" t="str">
        <f>IF('1. Live'!BR353='check-Jul25'!BR353,"",'1. Live'!BR353-'check-Jul25'!BR353)</f>
        <v/>
      </c>
      <c r="BS353" t="str">
        <f>IF('1. Live'!BS353='check-Jul25'!BS353,"",'1. Live'!BS353-'check-Jul25'!BS353)</f>
        <v/>
      </c>
      <c r="BT353" t="str">
        <f>IF('1. Live'!BT353='check-Jul25'!BT353,"",'1. Live'!BT353-'check-Jul25'!BT353)</f>
        <v/>
      </c>
      <c r="BU353" t="str">
        <f>IF('1. Live'!BU353='check-Jul25'!BU353,"",'1. Live'!BU353-'check-Jul25'!BU353)</f>
        <v/>
      </c>
      <c r="BV353" t="str">
        <f>IF('1. Live'!BV353='check-Jul25'!BV353,"",'1. Live'!BV353-'check-Jul25'!BV353)</f>
        <v/>
      </c>
      <c r="BW353" t="str">
        <f>IF('1. Live'!BW353='check-Jul25'!BW353,"",'1. Live'!BW353-'check-Jul25'!BW353)</f>
        <v/>
      </c>
      <c r="BX353" t="str">
        <f>IF('1. Live'!BX353='check-Jul25'!BX353,"",'1. Live'!BX353-'check-Jul25'!BX353)</f>
        <v/>
      </c>
      <c r="BY353" t="str">
        <f>IF('1. Live'!BY353='check-Jul25'!BY353,"",'1. Live'!BY353-'check-Jul25'!BY353)</f>
        <v/>
      </c>
      <c r="BZ353" t="str">
        <f>IF('1. Live'!BZ353='check-Jul25'!BZ353,"",'1. Live'!BZ353-'check-Jul25'!BZ353)</f>
        <v/>
      </c>
      <c r="CA353" t="str">
        <f>IF('1. Live'!CA353='check-Jul25'!CA353,"",'1. Live'!CA353-'check-Jul25'!CA353)</f>
        <v/>
      </c>
      <c r="CB353" t="str">
        <f>IF('1. Live'!CB353='check-Jul25'!CB353,"",'1. Live'!CB353-'check-Jul25'!CB353)</f>
        <v/>
      </c>
      <c r="CC353" t="str">
        <f>IF('1. Live'!CC353='check-Jul25'!CC353,"",'1. Live'!CC353-'check-Jul25'!CC353)</f>
        <v/>
      </c>
      <c r="CD353" t="str">
        <f>IF('1. Live'!CD353='check-Jul25'!CD353,"",'1. Live'!CD353-'check-Jul25'!CD353)</f>
        <v/>
      </c>
      <c r="CE353" t="str">
        <f>IF('1. Live'!CE353='check-Jul25'!CE353,"",'1. Live'!CE353-'check-Jul25'!CE353)</f>
        <v/>
      </c>
      <c r="CF353" t="str">
        <f>IF('1. Live'!CF353='check-Jul25'!CF353,"",'1. Live'!CF353-'check-Jul25'!CF353)</f>
        <v/>
      </c>
      <c r="CG353" t="str">
        <f>IF('1. Live'!CG353='check-Jul25'!CG353,"",'1. Live'!CG353-'check-Jul25'!CG353)</f>
        <v/>
      </c>
      <c r="CH353" t="str">
        <f>IF('1. Live'!CH353='check-Jul25'!CH353,"",'1. Live'!CH353-'check-Jul25'!CH353)</f>
        <v/>
      </c>
      <c r="CI353" t="str">
        <f>IF('1. Live'!CI353='check-Jul25'!CI353,"",'1. Live'!CI353-'check-Jul25'!CI353)</f>
        <v/>
      </c>
      <c r="CJ353" t="str">
        <f>IF('1. Live'!CJ353='check-Jul25'!CJ353,"",'1. Live'!CJ353-'check-Jul25'!CJ353)</f>
        <v/>
      </c>
      <c r="CK353" t="str">
        <f>IF('1. Live'!CK353='check-Jul25'!CK353,"",'1. Live'!CK353-'check-Jul25'!CK353)</f>
        <v/>
      </c>
      <c r="CL353" t="str">
        <f>IF('1. Live'!CL353='check-Jul25'!CL353,"",'1. Live'!CL353-'check-Jul25'!CL353)</f>
        <v/>
      </c>
      <c r="CM353" t="str">
        <f>IF('1. Live'!CM353='check-Jul25'!CM353,"",'1. Live'!CM353-'check-Jul25'!CM353)</f>
        <v/>
      </c>
      <c r="CN353" t="str">
        <f>IF('1. Live'!CN353='check-Jul25'!CN353,"",'1. Live'!CN353-'check-Jul25'!CN353)</f>
        <v/>
      </c>
      <c r="CO353" t="str">
        <f>IF('1. Live'!CO353='check-Jul25'!CO353,"",'1. Live'!CO353-'check-Jul25'!CO353)</f>
        <v/>
      </c>
      <c r="CP353" t="str">
        <f>IF('1. Live'!CP353='check-Jul25'!CP353,"",'1. Live'!CP353-'check-Jul25'!CP353)</f>
        <v/>
      </c>
      <c r="CQ353" t="str">
        <f>IF('1. Live'!CQ353='check-Jul25'!CQ353,"",'1. Live'!CQ353-'check-Jul25'!CQ353)</f>
        <v/>
      </c>
      <c r="CR353" t="str">
        <f>IF('1. Live'!CR353='check-Jul25'!CR353,"",'1. Live'!CR353-'check-Jul25'!CR353)</f>
        <v/>
      </c>
      <c r="CS353" t="str">
        <f>IF('1. Live'!CS353='check-Jul25'!CS353,"",'1. Live'!CS353-'check-Jul25'!CS353)</f>
        <v/>
      </c>
      <c r="CT353" t="str">
        <f>IF('1. Live'!CT353='check-Jul25'!CT353,"",'1. Live'!CT353-'check-Jul25'!CT353)</f>
        <v/>
      </c>
      <c r="CU353" t="str">
        <f>IF('1. Live'!CU353='check-Jul25'!CU353,"",'1. Live'!CU353-'check-Jul25'!CU353)</f>
        <v/>
      </c>
      <c r="CV353" t="str">
        <f>IF('1. Live'!CV353='check-Jul25'!CV353,"",'1. Live'!CV353-'check-Jul25'!CV353)</f>
        <v/>
      </c>
      <c r="CW353" t="str">
        <f>IF('1. Live'!CW353='check-Jul25'!CW353,"",'1. Live'!CW353-'check-Jul25'!CW353)</f>
        <v/>
      </c>
    </row>
    <row r="354" spans="10:101">
      <c r="J354" t="str">
        <f>IF('1. Live'!J354='check-Jul25'!J354,"",'1. Live'!J354-'check-Jul25'!J354)</f>
        <v/>
      </c>
      <c r="K354" t="str">
        <f>IF('1. Live'!K354='check-Jul25'!K354,"",'1. Live'!K354-'check-Jul25'!K354)</f>
        <v/>
      </c>
      <c r="L354" t="str">
        <f>IF('1. Live'!L354='check-Jul25'!L354,"",'1. Live'!L354-'check-Jul25'!L354)</f>
        <v/>
      </c>
      <c r="M354" t="str">
        <f>IF('1. Live'!M354='check-Jul25'!M354,"",'1. Live'!M354-'check-Jul25'!M354)</f>
        <v/>
      </c>
      <c r="N354" t="str">
        <f>IF('1. Live'!N354='check-Jul25'!N354,"",'1. Live'!N354-'check-Jul25'!N354)</f>
        <v/>
      </c>
      <c r="O354" t="str">
        <f>IF('1. Live'!O354='check-Jul25'!O354,"",'1. Live'!O354-'check-Jul25'!O354)</f>
        <v/>
      </c>
      <c r="P354" t="str">
        <f>IF('1. Live'!P354='check-Jul25'!P354,"",'1. Live'!P354-'check-Jul25'!P354)</f>
        <v/>
      </c>
      <c r="Q354" t="str">
        <f>IF('1. Live'!Q354='check-Jul25'!Q354,"",'1. Live'!Q354-'check-Jul25'!Q354)</f>
        <v/>
      </c>
      <c r="R354" t="str">
        <f>IF('1. Live'!R354='check-Jul25'!R354,"",'1. Live'!R354-'check-Jul25'!R354)</f>
        <v/>
      </c>
      <c r="S354" t="str">
        <f>IF('1. Live'!S354='check-Jul25'!S354,"",'1. Live'!S354-'check-Jul25'!S354)</f>
        <v/>
      </c>
      <c r="T354" t="str">
        <f>IF('1. Live'!T354='check-Jul25'!T354,"",'1. Live'!T354-'check-Jul25'!T354)</f>
        <v/>
      </c>
      <c r="U354" t="str">
        <f>IF('1. Live'!U354='check-Jul25'!U354,"",'1. Live'!U354-'check-Jul25'!U354)</f>
        <v/>
      </c>
      <c r="V354" t="str">
        <f>IF('1. Live'!V354='check-Jul25'!V354,"",'1. Live'!V354-'check-Jul25'!V354)</f>
        <v/>
      </c>
      <c r="W354" t="str">
        <f>IF('1. Live'!W354='check-Jul25'!W354,"",'1. Live'!W354-'check-Jul25'!W354)</f>
        <v/>
      </c>
      <c r="X354" t="str">
        <f>IF('1. Live'!X354='check-Jul25'!X354,"",'1. Live'!X354-'check-Jul25'!X354)</f>
        <v/>
      </c>
      <c r="Y354" t="str">
        <f>IF('1. Live'!Y354='check-Jul25'!Y354,"",'1. Live'!Y354-'check-Jul25'!Y354)</f>
        <v/>
      </c>
      <c r="Z354" t="str">
        <f>IF('1. Live'!Z354='check-Jul25'!Z354,"",'1. Live'!Z354-'check-Jul25'!Z354)</f>
        <v/>
      </c>
      <c r="AA354" t="str">
        <f>IF('1. Live'!AA354='check-Jul25'!AA354,"",'1. Live'!AA354-'check-Jul25'!AA354)</f>
        <v/>
      </c>
      <c r="AB354" t="str">
        <f>IF('1. Live'!AB354='check-Jul25'!AB354,"",'1. Live'!AB354-'check-Jul25'!AB354)</f>
        <v/>
      </c>
      <c r="AC354" t="str">
        <f>IF('1. Live'!AC354='check-Jul25'!AC354,"",'1. Live'!AC354-'check-Jul25'!AC354)</f>
        <v/>
      </c>
      <c r="AD354" t="str">
        <f>IF('1. Live'!AD354='check-Jul25'!AD354,"",'1. Live'!AD354-'check-Jul25'!AD354)</f>
        <v/>
      </c>
      <c r="AE354" t="str">
        <f>IF('1. Live'!AE354='check-Jul25'!AE354,"",'1. Live'!AE354-'check-Jul25'!AE354)</f>
        <v/>
      </c>
      <c r="AF354" t="str">
        <f>IF('1. Live'!AF354='check-Jul25'!AF354,"",'1. Live'!AF354-'check-Jul25'!AF354)</f>
        <v/>
      </c>
      <c r="AG354" t="str">
        <f>IF('1. Live'!AG354='check-Jul25'!AG354,"",'1. Live'!AG354-'check-Jul25'!AG354)</f>
        <v/>
      </c>
      <c r="AH354" t="str">
        <f>IF('1. Live'!AH354='check-Jul25'!AH354,"",'1. Live'!AH354-'check-Jul25'!AH354)</f>
        <v/>
      </c>
      <c r="AI354" t="str">
        <f>IF('1. Live'!AI354='check-Jul25'!AI354,"",'1. Live'!AI354-'check-Jul25'!AI354)</f>
        <v/>
      </c>
      <c r="AJ354" t="str">
        <f>IF('1. Live'!AJ354='check-Jul25'!AJ354,"",'1. Live'!AJ354-'check-Jul25'!AJ354)</f>
        <v/>
      </c>
      <c r="AK354" t="str">
        <f>IF('1. Live'!AK354='check-Jul25'!AK354,"",'1. Live'!AK354-'check-Jul25'!AK354)</f>
        <v/>
      </c>
      <c r="AL354" t="str">
        <f>IF('1. Live'!AL354='check-Jul25'!AL354,"",'1. Live'!AL354-'check-Jul25'!AL354)</f>
        <v/>
      </c>
      <c r="AM354" t="str">
        <f>IF('1. Live'!AM354='check-Jul25'!AM354,"",'1. Live'!AM354-'check-Jul25'!AM354)</f>
        <v/>
      </c>
      <c r="AN354" t="str">
        <f>IF('1. Live'!AN354='check-Jul25'!AN354,"",'1. Live'!AN354-'check-Jul25'!AN354)</f>
        <v/>
      </c>
      <c r="AO354" t="str">
        <f>IF('1. Live'!AO354='check-Jul25'!AO354,"",'1. Live'!AO354-'check-Jul25'!AO354)</f>
        <v/>
      </c>
      <c r="AP354" t="str">
        <f>IF('1. Live'!AP354='check-Jul25'!AP354,"",'1. Live'!AP354-'check-Jul25'!AP354)</f>
        <v/>
      </c>
      <c r="AQ354" t="str">
        <f>IF('1. Live'!AQ354='check-Jul25'!AQ354,"",'1. Live'!AQ354-'check-Jul25'!AQ354)</f>
        <v/>
      </c>
      <c r="AR354" t="str">
        <f>IF('1. Live'!AR354='check-Jul25'!AR354,"",'1. Live'!AR354-'check-Jul25'!AR354)</f>
        <v/>
      </c>
      <c r="AS354" t="str">
        <f>IF('1. Live'!AS354='check-Jul25'!AS354,"",'1. Live'!AS354-'check-Jul25'!AS354)</f>
        <v/>
      </c>
      <c r="AT354" t="str">
        <f>IF('1. Live'!AT354='check-Jul25'!AT354,"",'1. Live'!AT354-'check-Jul25'!AT354)</f>
        <v/>
      </c>
      <c r="AU354" t="str">
        <f>IF('1. Live'!AU354='check-Jul25'!AU354,"",'1. Live'!AU354-'check-Jul25'!AU354)</f>
        <v/>
      </c>
      <c r="AV354" t="str">
        <f>IF('1. Live'!AV354='check-Jul25'!AV354,"",'1. Live'!AV354-'check-Jul25'!AV354)</f>
        <v/>
      </c>
      <c r="AW354" t="str">
        <f>IF('1. Live'!AW354='check-Jul25'!AW354,"",'1. Live'!AW354-'check-Jul25'!AW354)</f>
        <v/>
      </c>
      <c r="AX354" t="str">
        <f>IF('1. Live'!AX354='check-Jul25'!AX354,"",'1. Live'!AX354-'check-Jul25'!AX354)</f>
        <v/>
      </c>
      <c r="AY354" t="str">
        <f>IF('1. Live'!AY354='check-Jul25'!AY354,"",'1. Live'!AY354-'check-Jul25'!AY354)</f>
        <v/>
      </c>
      <c r="AZ354" t="str">
        <f>IF('1. Live'!AZ354='check-Jul25'!AZ354,"",'1. Live'!AZ354-'check-Jul25'!AZ354)</f>
        <v/>
      </c>
      <c r="BA354" t="str">
        <f>IF('1. Live'!BA354='check-Jul25'!BA354,"",'1. Live'!BA354-'check-Jul25'!BA354)</f>
        <v/>
      </c>
      <c r="BB354" t="str">
        <f>IF('1. Live'!BB354='check-Jul25'!BB354,"",'1. Live'!BB354-'check-Jul25'!BB354)</f>
        <v/>
      </c>
      <c r="BC354" t="str">
        <f>IF('1. Live'!BC354='check-Jul25'!BC354,"",'1. Live'!BC354-'check-Jul25'!BC354)</f>
        <v/>
      </c>
      <c r="BD354" t="str">
        <f>IF('1. Live'!BD354='check-Jul25'!BD354,"",'1. Live'!BD354-'check-Jul25'!BD354)</f>
        <v/>
      </c>
      <c r="BE354" t="str">
        <f>IF('1. Live'!BE354='check-Jul25'!BE354,"",'1. Live'!BE354-'check-Jul25'!BE354)</f>
        <v/>
      </c>
      <c r="BF354" t="str">
        <f>IF('1. Live'!BF354='check-Jul25'!BF354,"",'1. Live'!BF354-'check-Jul25'!BF354)</f>
        <v/>
      </c>
      <c r="BG354" t="str">
        <f>IF('1. Live'!BG354='check-Jul25'!BG354,"",'1. Live'!BG354-'check-Jul25'!BG354)</f>
        <v/>
      </c>
      <c r="BH354" t="str">
        <f>IF('1. Live'!BH354='check-Jul25'!BH354,"",'1. Live'!BH354-'check-Jul25'!BH354)</f>
        <v/>
      </c>
      <c r="BI354" t="str">
        <f>IF('1. Live'!BI354='check-Jul25'!BI354,"",'1. Live'!BI354-'check-Jul25'!BI354)</f>
        <v/>
      </c>
      <c r="BJ354" t="str">
        <f>IF('1. Live'!BJ354='check-Jul25'!BJ354,"",'1. Live'!BJ354-'check-Jul25'!BJ354)</f>
        <v/>
      </c>
      <c r="BK354" t="str">
        <f>IF('1. Live'!BK354='check-Jul25'!BK354,"",'1. Live'!BK354-'check-Jul25'!BK354)</f>
        <v/>
      </c>
      <c r="BL354" t="str">
        <f>IF('1. Live'!BL354='check-Jul25'!BL354,"",'1. Live'!BL354-'check-Jul25'!BL354)</f>
        <v/>
      </c>
      <c r="BM354" t="str">
        <f>IF('1. Live'!BM354='check-Jul25'!BM354,"",'1. Live'!BM354-'check-Jul25'!BM354)</f>
        <v/>
      </c>
      <c r="BN354" t="str">
        <f>IF('1. Live'!BN354='check-Jul25'!BN354,"",'1. Live'!BN354-'check-Jul25'!BN354)</f>
        <v/>
      </c>
      <c r="BO354" t="str">
        <f>IF('1. Live'!BO354='check-Jul25'!BO354,"",'1. Live'!BO354-'check-Jul25'!BO354)</f>
        <v/>
      </c>
      <c r="BP354" t="str">
        <f>IF('1. Live'!BP354='check-Jul25'!BP354,"",'1. Live'!BP354-'check-Jul25'!BP354)</f>
        <v/>
      </c>
      <c r="BQ354" t="str">
        <f>IF('1. Live'!BQ354='check-Jul25'!BQ354,"",'1. Live'!BQ354-'check-Jul25'!BQ354)</f>
        <v/>
      </c>
      <c r="BR354" t="str">
        <f>IF('1. Live'!BR354='check-Jul25'!BR354,"",'1. Live'!BR354-'check-Jul25'!BR354)</f>
        <v/>
      </c>
      <c r="BS354" t="str">
        <f>IF('1. Live'!BS354='check-Jul25'!BS354,"",'1. Live'!BS354-'check-Jul25'!BS354)</f>
        <v/>
      </c>
      <c r="BT354" t="str">
        <f>IF('1. Live'!BT354='check-Jul25'!BT354,"",'1. Live'!BT354-'check-Jul25'!BT354)</f>
        <v/>
      </c>
      <c r="BU354" t="str">
        <f>IF('1. Live'!BU354='check-Jul25'!BU354,"",'1. Live'!BU354-'check-Jul25'!BU354)</f>
        <v/>
      </c>
      <c r="BV354" t="str">
        <f>IF('1. Live'!BV354='check-Jul25'!BV354,"",'1. Live'!BV354-'check-Jul25'!BV354)</f>
        <v/>
      </c>
      <c r="BW354" t="str">
        <f>IF('1. Live'!BW354='check-Jul25'!BW354,"",'1. Live'!BW354-'check-Jul25'!BW354)</f>
        <v/>
      </c>
      <c r="BX354" t="str">
        <f>IF('1. Live'!BX354='check-Jul25'!BX354,"",'1. Live'!BX354-'check-Jul25'!BX354)</f>
        <v/>
      </c>
      <c r="BY354" t="str">
        <f>IF('1. Live'!BY354='check-Jul25'!BY354,"",'1. Live'!BY354-'check-Jul25'!BY354)</f>
        <v/>
      </c>
      <c r="BZ354" t="str">
        <f>IF('1. Live'!BZ354='check-Jul25'!BZ354,"",'1. Live'!BZ354-'check-Jul25'!BZ354)</f>
        <v/>
      </c>
      <c r="CA354" t="str">
        <f>IF('1. Live'!CA354='check-Jul25'!CA354,"",'1. Live'!CA354-'check-Jul25'!CA354)</f>
        <v/>
      </c>
      <c r="CB354" t="str">
        <f>IF('1. Live'!CB354='check-Jul25'!CB354,"",'1. Live'!CB354-'check-Jul25'!CB354)</f>
        <v/>
      </c>
      <c r="CC354" t="str">
        <f>IF('1. Live'!CC354='check-Jul25'!CC354,"",'1. Live'!CC354-'check-Jul25'!CC354)</f>
        <v/>
      </c>
      <c r="CD354" t="str">
        <f>IF('1. Live'!CD354='check-Jul25'!CD354,"",'1. Live'!CD354-'check-Jul25'!CD354)</f>
        <v/>
      </c>
      <c r="CE354" t="str">
        <f>IF('1. Live'!CE354='check-Jul25'!CE354,"",'1. Live'!CE354-'check-Jul25'!CE354)</f>
        <v/>
      </c>
      <c r="CF354" t="str">
        <f>IF('1. Live'!CF354='check-Jul25'!CF354,"",'1. Live'!CF354-'check-Jul25'!CF354)</f>
        <v/>
      </c>
      <c r="CG354" t="str">
        <f>IF('1. Live'!CG354='check-Jul25'!CG354,"",'1. Live'!CG354-'check-Jul25'!CG354)</f>
        <v/>
      </c>
      <c r="CH354" t="str">
        <f>IF('1. Live'!CH354='check-Jul25'!CH354,"",'1. Live'!CH354-'check-Jul25'!CH354)</f>
        <v/>
      </c>
      <c r="CI354" t="str">
        <f>IF('1. Live'!CI354='check-Jul25'!CI354,"",'1. Live'!CI354-'check-Jul25'!CI354)</f>
        <v/>
      </c>
      <c r="CJ354" t="str">
        <f>IF('1. Live'!CJ354='check-Jul25'!CJ354,"",'1. Live'!CJ354-'check-Jul25'!CJ354)</f>
        <v/>
      </c>
      <c r="CK354" t="str">
        <f>IF('1. Live'!CK354='check-Jul25'!CK354,"",'1. Live'!CK354-'check-Jul25'!CK354)</f>
        <v/>
      </c>
      <c r="CL354" t="str">
        <f>IF('1. Live'!CL354='check-Jul25'!CL354,"",'1. Live'!CL354-'check-Jul25'!CL354)</f>
        <v/>
      </c>
      <c r="CM354" t="str">
        <f>IF('1. Live'!CM354='check-Jul25'!CM354,"",'1. Live'!CM354-'check-Jul25'!CM354)</f>
        <v/>
      </c>
      <c r="CN354" t="str">
        <f>IF('1. Live'!CN354='check-Jul25'!CN354,"",'1. Live'!CN354-'check-Jul25'!CN354)</f>
        <v/>
      </c>
      <c r="CO354" t="str">
        <f>IF('1. Live'!CO354='check-Jul25'!CO354,"",'1. Live'!CO354-'check-Jul25'!CO354)</f>
        <v/>
      </c>
      <c r="CP354" t="str">
        <f>IF('1. Live'!CP354='check-Jul25'!CP354,"",'1. Live'!CP354-'check-Jul25'!CP354)</f>
        <v/>
      </c>
      <c r="CQ354" t="str">
        <f>IF('1. Live'!CQ354='check-Jul25'!CQ354,"",'1. Live'!CQ354-'check-Jul25'!CQ354)</f>
        <v/>
      </c>
      <c r="CR354" t="str">
        <f>IF('1. Live'!CR354='check-Jul25'!CR354,"",'1. Live'!CR354-'check-Jul25'!CR354)</f>
        <v/>
      </c>
      <c r="CS354" t="str">
        <f>IF('1. Live'!CS354='check-Jul25'!CS354,"",'1. Live'!CS354-'check-Jul25'!CS354)</f>
        <v/>
      </c>
      <c r="CT354" t="str">
        <f>IF('1. Live'!CT354='check-Jul25'!CT354,"",'1. Live'!CT354-'check-Jul25'!CT354)</f>
        <v/>
      </c>
      <c r="CU354" t="str">
        <f>IF('1. Live'!CU354='check-Jul25'!CU354,"",'1. Live'!CU354-'check-Jul25'!CU354)</f>
        <v/>
      </c>
      <c r="CV354" t="str">
        <f>IF('1. Live'!CV354='check-Jul25'!CV354,"",'1. Live'!CV354-'check-Jul25'!CV354)</f>
        <v/>
      </c>
      <c r="CW354" t="str">
        <f>IF('1. Live'!CW354='check-Jul25'!CW354,"",'1. Live'!CW354-'check-Jul25'!CW354)</f>
        <v/>
      </c>
    </row>
    <row r="355" spans="10:101">
      <c r="J355" t="str">
        <f>IF('1. Live'!J355='check-Jul25'!J355,"",'1. Live'!J355-'check-Jul25'!J355)</f>
        <v/>
      </c>
      <c r="K355" t="str">
        <f>IF('1. Live'!K355='check-Jul25'!K355,"",'1. Live'!K355-'check-Jul25'!K355)</f>
        <v/>
      </c>
      <c r="L355" t="str">
        <f>IF('1. Live'!L355='check-Jul25'!L355,"",'1. Live'!L355-'check-Jul25'!L355)</f>
        <v/>
      </c>
      <c r="M355" t="str">
        <f>IF('1. Live'!M355='check-Jul25'!M355,"",'1. Live'!M355-'check-Jul25'!M355)</f>
        <v/>
      </c>
      <c r="N355" t="str">
        <f>IF('1. Live'!N355='check-Jul25'!N355,"",'1. Live'!N355-'check-Jul25'!N355)</f>
        <v/>
      </c>
      <c r="O355" t="str">
        <f>IF('1. Live'!O355='check-Jul25'!O355,"",'1. Live'!O355-'check-Jul25'!O355)</f>
        <v/>
      </c>
      <c r="P355" t="str">
        <f>IF('1. Live'!P355='check-Jul25'!P355,"",'1. Live'!P355-'check-Jul25'!P355)</f>
        <v/>
      </c>
      <c r="Q355" t="str">
        <f>IF('1. Live'!Q355='check-Jul25'!Q355,"",'1. Live'!Q355-'check-Jul25'!Q355)</f>
        <v/>
      </c>
      <c r="R355" t="str">
        <f>IF('1. Live'!R355='check-Jul25'!R355,"",'1. Live'!R355-'check-Jul25'!R355)</f>
        <v/>
      </c>
      <c r="S355" t="str">
        <f>IF('1. Live'!S355='check-Jul25'!S355,"",'1. Live'!S355-'check-Jul25'!S355)</f>
        <v/>
      </c>
      <c r="T355" t="str">
        <f>IF('1. Live'!T355='check-Jul25'!T355,"",'1. Live'!T355-'check-Jul25'!T355)</f>
        <v/>
      </c>
      <c r="U355" t="str">
        <f>IF('1. Live'!U355='check-Jul25'!U355,"",'1. Live'!U355-'check-Jul25'!U355)</f>
        <v/>
      </c>
      <c r="V355" t="str">
        <f>IF('1. Live'!V355='check-Jul25'!V355,"",'1. Live'!V355-'check-Jul25'!V355)</f>
        <v/>
      </c>
      <c r="W355" t="str">
        <f>IF('1. Live'!W355='check-Jul25'!W355,"",'1. Live'!W355-'check-Jul25'!W355)</f>
        <v/>
      </c>
      <c r="X355" t="str">
        <f>IF('1. Live'!X355='check-Jul25'!X355,"",'1. Live'!X355-'check-Jul25'!X355)</f>
        <v/>
      </c>
      <c r="Y355" t="str">
        <f>IF('1. Live'!Y355='check-Jul25'!Y355,"",'1. Live'!Y355-'check-Jul25'!Y355)</f>
        <v/>
      </c>
      <c r="Z355" t="str">
        <f>IF('1. Live'!Z355='check-Jul25'!Z355,"",'1. Live'!Z355-'check-Jul25'!Z355)</f>
        <v/>
      </c>
      <c r="AA355" t="str">
        <f>IF('1. Live'!AA355='check-Jul25'!AA355,"",'1. Live'!AA355-'check-Jul25'!AA355)</f>
        <v/>
      </c>
      <c r="AB355" t="str">
        <f>IF('1. Live'!AB355='check-Jul25'!AB355,"",'1. Live'!AB355-'check-Jul25'!AB355)</f>
        <v/>
      </c>
      <c r="AC355" t="str">
        <f>IF('1. Live'!AC355='check-Jul25'!AC355,"",'1. Live'!AC355-'check-Jul25'!AC355)</f>
        <v/>
      </c>
      <c r="AD355" t="str">
        <f>IF('1. Live'!AD355='check-Jul25'!AD355,"",'1. Live'!AD355-'check-Jul25'!AD355)</f>
        <v/>
      </c>
      <c r="AE355" t="str">
        <f>IF('1. Live'!AE355='check-Jul25'!AE355,"",'1. Live'!AE355-'check-Jul25'!AE355)</f>
        <v/>
      </c>
      <c r="AF355" t="str">
        <f>IF('1. Live'!AF355='check-Jul25'!AF355,"",'1. Live'!AF355-'check-Jul25'!AF355)</f>
        <v/>
      </c>
      <c r="AG355" t="str">
        <f>IF('1. Live'!AG355='check-Jul25'!AG355,"",'1. Live'!AG355-'check-Jul25'!AG355)</f>
        <v/>
      </c>
      <c r="AH355" t="str">
        <f>IF('1. Live'!AH355='check-Jul25'!AH355,"",'1. Live'!AH355-'check-Jul25'!AH355)</f>
        <v/>
      </c>
      <c r="AI355" t="str">
        <f>IF('1. Live'!AI355='check-Jul25'!AI355,"",'1. Live'!AI355-'check-Jul25'!AI355)</f>
        <v/>
      </c>
      <c r="AJ355" t="str">
        <f>IF('1. Live'!AJ355='check-Jul25'!AJ355,"",'1. Live'!AJ355-'check-Jul25'!AJ355)</f>
        <v/>
      </c>
      <c r="AK355" t="str">
        <f>IF('1. Live'!AK355='check-Jul25'!AK355,"",'1. Live'!AK355-'check-Jul25'!AK355)</f>
        <v/>
      </c>
      <c r="AL355" t="str">
        <f>IF('1. Live'!AL355='check-Jul25'!AL355,"",'1. Live'!AL355-'check-Jul25'!AL355)</f>
        <v/>
      </c>
      <c r="AM355" t="str">
        <f>IF('1. Live'!AM355='check-Jul25'!AM355,"",'1. Live'!AM355-'check-Jul25'!AM355)</f>
        <v/>
      </c>
      <c r="AN355" t="str">
        <f>IF('1. Live'!AN355='check-Jul25'!AN355,"",'1. Live'!AN355-'check-Jul25'!AN355)</f>
        <v/>
      </c>
      <c r="AO355" t="str">
        <f>IF('1. Live'!AO355='check-Jul25'!AO355,"",'1. Live'!AO355-'check-Jul25'!AO355)</f>
        <v/>
      </c>
      <c r="AP355" t="str">
        <f>IF('1. Live'!AP355='check-Jul25'!AP355,"",'1. Live'!AP355-'check-Jul25'!AP355)</f>
        <v/>
      </c>
      <c r="AQ355" t="str">
        <f>IF('1. Live'!AQ355='check-Jul25'!AQ355,"",'1. Live'!AQ355-'check-Jul25'!AQ355)</f>
        <v/>
      </c>
      <c r="AR355" t="str">
        <f>IF('1. Live'!AR355='check-Jul25'!AR355,"",'1. Live'!AR355-'check-Jul25'!AR355)</f>
        <v/>
      </c>
      <c r="AS355" t="str">
        <f>IF('1. Live'!AS355='check-Jul25'!AS355,"",'1. Live'!AS355-'check-Jul25'!AS355)</f>
        <v/>
      </c>
      <c r="AT355" t="str">
        <f>IF('1. Live'!AT355='check-Jul25'!AT355,"",'1. Live'!AT355-'check-Jul25'!AT355)</f>
        <v/>
      </c>
      <c r="AU355" t="str">
        <f>IF('1. Live'!AU355='check-Jul25'!AU355,"",'1. Live'!AU355-'check-Jul25'!AU355)</f>
        <v/>
      </c>
      <c r="AV355" t="str">
        <f>IF('1. Live'!AV355='check-Jul25'!AV355,"",'1. Live'!AV355-'check-Jul25'!AV355)</f>
        <v/>
      </c>
      <c r="AW355" t="str">
        <f>IF('1. Live'!AW355='check-Jul25'!AW355,"",'1. Live'!AW355-'check-Jul25'!AW355)</f>
        <v/>
      </c>
      <c r="AX355" t="str">
        <f>IF('1. Live'!AX355='check-Jul25'!AX355,"",'1. Live'!AX355-'check-Jul25'!AX355)</f>
        <v/>
      </c>
      <c r="AY355" t="str">
        <f>IF('1. Live'!AY355='check-Jul25'!AY355,"",'1. Live'!AY355-'check-Jul25'!AY355)</f>
        <v/>
      </c>
      <c r="AZ355" t="str">
        <f>IF('1. Live'!AZ355='check-Jul25'!AZ355,"",'1. Live'!AZ355-'check-Jul25'!AZ355)</f>
        <v/>
      </c>
      <c r="BA355" t="str">
        <f>IF('1. Live'!BA355='check-Jul25'!BA355,"",'1. Live'!BA355-'check-Jul25'!BA355)</f>
        <v/>
      </c>
      <c r="BB355" t="str">
        <f>IF('1. Live'!BB355='check-Jul25'!BB355,"",'1. Live'!BB355-'check-Jul25'!BB355)</f>
        <v/>
      </c>
      <c r="BC355" t="str">
        <f>IF('1. Live'!BC355='check-Jul25'!BC355,"",'1. Live'!BC355-'check-Jul25'!BC355)</f>
        <v/>
      </c>
      <c r="BD355" t="str">
        <f>IF('1. Live'!BD355='check-Jul25'!BD355,"",'1. Live'!BD355-'check-Jul25'!BD355)</f>
        <v/>
      </c>
      <c r="BE355" t="str">
        <f>IF('1. Live'!BE355='check-Jul25'!BE355,"",'1. Live'!BE355-'check-Jul25'!BE355)</f>
        <v/>
      </c>
      <c r="BF355" t="str">
        <f>IF('1. Live'!BF355='check-Jul25'!BF355,"",'1. Live'!BF355-'check-Jul25'!BF355)</f>
        <v/>
      </c>
      <c r="BG355" t="str">
        <f>IF('1. Live'!BG355='check-Jul25'!BG355,"",'1. Live'!BG355-'check-Jul25'!BG355)</f>
        <v/>
      </c>
      <c r="BH355" t="str">
        <f>IF('1. Live'!BH355='check-Jul25'!BH355,"",'1. Live'!BH355-'check-Jul25'!BH355)</f>
        <v/>
      </c>
      <c r="BI355" t="str">
        <f>IF('1. Live'!BI355='check-Jul25'!BI355,"",'1. Live'!BI355-'check-Jul25'!BI355)</f>
        <v/>
      </c>
      <c r="BJ355" t="str">
        <f>IF('1. Live'!BJ355='check-Jul25'!BJ355,"",'1. Live'!BJ355-'check-Jul25'!BJ355)</f>
        <v/>
      </c>
      <c r="BK355" t="str">
        <f>IF('1. Live'!BK355='check-Jul25'!BK355,"",'1. Live'!BK355-'check-Jul25'!BK355)</f>
        <v/>
      </c>
      <c r="BL355" t="str">
        <f>IF('1. Live'!BL355='check-Jul25'!BL355,"",'1. Live'!BL355-'check-Jul25'!BL355)</f>
        <v/>
      </c>
      <c r="BM355" t="str">
        <f>IF('1. Live'!BM355='check-Jul25'!BM355,"",'1. Live'!BM355-'check-Jul25'!BM355)</f>
        <v/>
      </c>
      <c r="BN355" t="str">
        <f>IF('1. Live'!BN355='check-Jul25'!BN355,"",'1. Live'!BN355-'check-Jul25'!BN355)</f>
        <v/>
      </c>
      <c r="BO355" t="str">
        <f>IF('1. Live'!BO355='check-Jul25'!BO355,"",'1. Live'!BO355-'check-Jul25'!BO355)</f>
        <v/>
      </c>
      <c r="BP355" t="str">
        <f>IF('1. Live'!BP355='check-Jul25'!BP355,"",'1. Live'!BP355-'check-Jul25'!BP355)</f>
        <v/>
      </c>
      <c r="BQ355" t="str">
        <f>IF('1. Live'!BQ355='check-Jul25'!BQ355,"",'1. Live'!BQ355-'check-Jul25'!BQ355)</f>
        <v/>
      </c>
      <c r="BR355" t="str">
        <f>IF('1. Live'!BR355='check-Jul25'!BR355,"",'1. Live'!BR355-'check-Jul25'!BR355)</f>
        <v/>
      </c>
      <c r="BS355" t="str">
        <f>IF('1. Live'!BS355='check-Jul25'!BS355,"",'1. Live'!BS355-'check-Jul25'!BS355)</f>
        <v/>
      </c>
      <c r="BT355" t="str">
        <f>IF('1. Live'!BT355='check-Jul25'!BT355,"",'1. Live'!BT355-'check-Jul25'!BT355)</f>
        <v/>
      </c>
      <c r="BU355" t="str">
        <f>IF('1. Live'!BU355='check-Jul25'!BU355,"",'1. Live'!BU355-'check-Jul25'!BU355)</f>
        <v/>
      </c>
      <c r="BV355" t="str">
        <f>IF('1. Live'!BV355='check-Jul25'!BV355,"",'1. Live'!BV355-'check-Jul25'!BV355)</f>
        <v/>
      </c>
      <c r="BW355" t="str">
        <f>IF('1. Live'!BW355='check-Jul25'!BW355,"",'1. Live'!BW355-'check-Jul25'!BW355)</f>
        <v/>
      </c>
      <c r="BX355" t="str">
        <f>IF('1. Live'!BX355='check-Jul25'!BX355,"",'1. Live'!BX355-'check-Jul25'!BX355)</f>
        <v/>
      </c>
      <c r="BY355" t="str">
        <f>IF('1. Live'!BY355='check-Jul25'!BY355,"",'1. Live'!BY355-'check-Jul25'!BY355)</f>
        <v/>
      </c>
      <c r="BZ355" t="str">
        <f>IF('1. Live'!BZ355='check-Jul25'!BZ355,"",'1. Live'!BZ355-'check-Jul25'!BZ355)</f>
        <v/>
      </c>
      <c r="CA355" t="str">
        <f>IF('1. Live'!CA355='check-Jul25'!CA355,"",'1. Live'!CA355-'check-Jul25'!CA355)</f>
        <v/>
      </c>
      <c r="CB355" t="str">
        <f>IF('1. Live'!CB355='check-Jul25'!CB355,"",'1. Live'!CB355-'check-Jul25'!CB355)</f>
        <v/>
      </c>
      <c r="CC355" t="str">
        <f>IF('1. Live'!CC355='check-Jul25'!CC355,"",'1. Live'!CC355-'check-Jul25'!CC355)</f>
        <v/>
      </c>
      <c r="CD355" t="str">
        <f>IF('1. Live'!CD355='check-Jul25'!CD355,"",'1. Live'!CD355-'check-Jul25'!CD355)</f>
        <v/>
      </c>
      <c r="CE355" t="str">
        <f>IF('1. Live'!CE355='check-Jul25'!CE355,"",'1. Live'!CE355-'check-Jul25'!CE355)</f>
        <v/>
      </c>
      <c r="CF355" t="str">
        <f>IF('1. Live'!CF355='check-Jul25'!CF355,"",'1. Live'!CF355-'check-Jul25'!CF355)</f>
        <v/>
      </c>
      <c r="CG355" t="str">
        <f>IF('1. Live'!CG355='check-Jul25'!CG355,"",'1. Live'!CG355-'check-Jul25'!CG355)</f>
        <v/>
      </c>
      <c r="CH355" t="str">
        <f>IF('1. Live'!CH355='check-Jul25'!CH355,"",'1. Live'!CH355-'check-Jul25'!CH355)</f>
        <v/>
      </c>
      <c r="CI355" t="str">
        <f>IF('1. Live'!CI355='check-Jul25'!CI355,"",'1. Live'!CI355-'check-Jul25'!CI355)</f>
        <v/>
      </c>
      <c r="CJ355" t="str">
        <f>IF('1. Live'!CJ355='check-Jul25'!CJ355,"",'1. Live'!CJ355-'check-Jul25'!CJ355)</f>
        <v/>
      </c>
      <c r="CK355" t="str">
        <f>IF('1. Live'!CK355='check-Jul25'!CK355,"",'1. Live'!CK355-'check-Jul25'!CK355)</f>
        <v/>
      </c>
      <c r="CL355" t="str">
        <f>IF('1. Live'!CL355='check-Jul25'!CL355,"",'1. Live'!CL355-'check-Jul25'!CL355)</f>
        <v/>
      </c>
      <c r="CM355" t="str">
        <f>IF('1. Live'!CM355='check-Jul25'!CM355,"",'1. Live'!CM355-'check-Jul25'!CM355)</f>
        <v/>
      </c>
      <c r="CN355" t="str">
        <f>IF('1. Live'!CN355='check-Jul25'!CN355,"",'1. Live'!CN355-'check-Jul25'!CN355)</f>
        <v/>
      </c>
      <c r="CO355" t="str">
        <f>IF('1. Live'!CO355='check-Jul25'!CO355,"",'1. Live'!CO355-'check-Jul25'!CO355)</f>
        <v/>
      </c>
      <c r="CP355" t="str">
        <f>IF('1. Live'!CP355='check-Jul25'!CP355,"",'1. Live'!CP355-'check-Jul25'!CP355)</f>
        <v/>
      </c>
      <c r="CQ355" t="str">
        <f>IF('1. Live'!CQ355='check-Jul25'!CQ355,"",'1. Live'!CQ355-'check-Jul25'!CQ355)</f>
        <v/>
      </c>
      <c r="CR355" t="str">
        <f>IF('1. Live'!CR355='check-Jul25'!CR355,"",'1. Live'!CR355-'check-Jul25'!CR355)</f>
        <v/>
      </c>
      <c r="CS355" t="str">
        <f>IF('1. Live'!CS355='check-Jul25'!CS355,"",'1. Live'!CS355-'check-Jul25'!CS355)</f>
        <v/>
      </c>
      <c r="CT355" t="str">
        <f>IF('1. Live'!CT355='check-Jul25'!CT355,"",'1. Live'!CT355-'check-Jul25'!CT355)</f>
        <v/>
      </c>
      <c r="CU355" t="str">
        <f>IF('1. Live'!CU355='check-Jul25'!CU355,"",'1. Live'!CU355-'check-Jul25'!CU355)</f>
        <v/>
      </c>
      <c r="CV355" t="str">
        <f>IF('1. Live'!CV355='check-Jul25'!CV355,"",'1. Live'!CV355-'check-Jul25'!CV355)</f>
        <v/>
      </c>
      <c r="CW355" t="str">
        <f>IF('1. Live'!CW355='check-Jul25'!CW355,"",'1. Live'!CW355-'check-Jul25'!CW355)</f>
        <v/>
      </c>
    </row>
    <row r="356" spans="10:101">
      <c r="J356" t="str">
        <f>IF('1. Live'!J356='check-Jul25'!J356,"",'1. Live'!J356-'check-Jul25'!J356)</f>
        <v/>
      </c>
      <c r="K356" t="str">
        <f>IF('1. Live'!K356='check-Jul25'!K356,"",'1. Live'!K356-'check-Jul25'!K356)</f>
        <v/>
      </c>
      <c r="L356" t="str">
        <f>IF('1. Live'!L356='check-Jul25'!L356,"",'1. Live'!L356-'check-Jul25'!L356)</f>
        <v/>
      </c>
      <c r="M356" t="str">
        <f>IF('1. Live'!M356='check-Jul25'!M356,"",'1. Live'!M356-'check-Jul25'!M356)</f>
        <v/>
      </c>
      <c r="N356" t="str">
        <f>IF('1. Live'!N356='check-Jul25'!N356,"",'1. Live'!N356-'check-Jul25'!N356)</f>
        <v/>
      </c>
      <c r="O356" t="str">
        <f>IF('1. Live'!O356='check-Jul25'!O356,"",'1. Live'!O356-'check-Jul25'!O356)</f>
        <v/>
      </c>
      <c r="P356" t="str">
        <f>IF('1. Live'!P356='check-Jul25'!P356,"",'1. Live'!P356-'check-Jul25'!P356)</f>
        <v/>
      </c>
      <c r="Q356" t="str">
        <f>IF('1. Live'!Q356='check-Jul25'!Q356,"",'1. Live'!Q356-'check-Jul25'!Q356)</f>
        <v/>
      </c>
      <c r="R356" t="str">
        <f>IF('1. Live'!R356='check-Jul25'!R356,"",'1. Live'!R356-'check-Jul25'!R356)</f>
        <v/>
      </c>
      <c r="S356" t="str">
        <f>IF('1. Live'!S356='check-Jul25'!S356,"",'1. Live'!S356-'check-Jul25'!S356)</f>
        <v/>
      </c>
      <c r="T356" t="str">
        <f>IF('1. Live'!T356='check-Jul25'!T356,"",'1. Live'!T356-'check-Jul25'!T356)</f>
        <v/>
      </c>
      <c r="U356" t="str">
        <f>IF('1. Live'!U356='check-Jul25'!U356,"",'1. Live'!U356-'check-Jul25'!U356)</f>
        <v/>
      </c>
      <c r="V356" t="str">
        <f>IF('1. Live'!V356='check-Jul25'!V356,"",'1. Live'!V356-'check-Jul25'!V356)</f>
        <v/>
      </c>
      <c r="W356" t="str">
        <f>IF('1. Live'!W356='check-Jul25'!W356,"",'1. Live'!W356-'check-Jul25'!W356)</f>
        <v/>
      </c>
      <c r="X356" t="str">
        <f>IF('1. Live'!X356='check-Jul25'!X356,"",'1. Live'!X356-'check-Jul25'!X356)</f>
        <v/>
      </c>
      <c r="Y356" t="str">
        <f>IF('1. Live'!Y356='check-Jul25'!Y356,"",'1. Live'!Y356-'check-Jul25'!Y356)</f>
        <v/>
      </c>
      <c r="Z356" t="str">
        <f>IF('1. Live'!Z356='check-Jul25'!Z356,"",'1. Live'!Z356-'check-Jul25'!Z356)</f>
        <v/>
      </c>
      <c r="AA356" t="str">
        <f>IF('1. Live'!AA356='check-Jul25'!AA356,"",'1. Live'!AA356-'check-Jul25'!AA356)</f>
        <v/>
      </c>
      <c r="AB356" t="str">
        <f>IF('1. Live'!AB356='check-Jul25'!AB356,"",'1. Live'!AB356-'check-Jul25'!AB356)</f>
        <v/>
      </c>
      <c r="AC356" t="str">
        <f>IF('1. Live'!AC356='check-Jul25'!AC356,"",'1. Live'!AC356-'check-Jul25'!AC356)</f>
        <v/>
      </c>
      <c r="AD356" t="str">
        <f>IF('1. Live'!AD356='check-Jul25'!AD356,"",'1. Live'!AD356-'check-Jul25'!AD356)</f>
        <v/>
      </c>
      <c r="AE356" t="str">
        <f>IF('1. Live'!AE356='check-Jul25'!AE356,"",'1. Live'!AE356-'check-Jul25'!AE356)</f>
        <v/>
      </c>
      <c r="AF356" t="str">
        <f>IF('1. Live'!AF356='check-Jul25'!AF356,"",'1. Live'!AF356-'check-Jul25'!AF356)</f>
        <v/>
      </c>
      <c r="AG356" t="str">
        <f>IF('1. Live'!AG356='check-Jul25'!AG356,"",'1. Live'!AG356-'check-Jul25'!AG356)</f>
        <v/>
      </c>
      <c r="AH356" t="str">
        <f>IF('1. Live'!AH356='check-Jul25'!AH356,"",'1. Live'!AH356-'check-Jul25'!AH356)</f>
        <v/>
      </c>
      <c r="AI356" t="str">
        <f>IF('1. Live'!AI356='check-Jul25'!AI356,"",'1. Live'!AI356-'check-Jul25'!AI356)</f>
        <v/>
      </c>
      <c r="AJ356" t="str">
        <f>IF('1. Live'!AJ356='check-Jul25'!AJ356,"",'1. Live'!AJ356-'check-Jul25'!AJ356)</f>
        <v/>
      </c>
      <c r="AK356" t="str">
        <f>IF('1. Live'!AK356='check-Jul25'!AK356,"",'1. Live'!AK356-'check-Jul25'!AK356)</f>
        <v/>
      </c>
      <c r="AL356" t="str">
        <f>IF('1. Live'!AL356='check-Jul25'!AL356,"",'1. Live'!AL356-'check-Jul25'!AL356)</f>
        <v/>
      </c>
      <c r="AM356" t="str">
        <f>IF('1. Live'!AM356='check-Jul25'!AM356,"",'1. Live'!AM356-'check-Jul25'!AM356)</f>
        <v/>
      </c>
      <c r="AN356" t="str">
        <f>IF('1. Live'!AN356='check-Jul25'!AN356,"",'1. Live'!AN356-'check-Jul25'!AN356)</f>
        <v/>
      </c>
      <c r="AO356" t="str">
        <f>IF('1. Live'!AO356='check-Jul25'!AO356,"",'1. Live'!AO356-'check-Jul25'!AO356)</f>
        <v/>
      </c>
      <c r="AP356" t="str">
        <f>IF('1. Live'!AP356='check-Jul25'!AP356,"",'1. Live'!AP356-'check-Jul25'!AP356)</f>
        <v/>
      </c>
      <c r="AQ356" t="str">
        <f>IF('1. Live'!AQ356='check-Jul25'!AQ356,"",'1. Live'!AQ356-'check-Jul25'!AQ356)</f>
        <v/>
      </c>
      <c r="AR356" t="str">
        <f>IF('1. Live'!AR356='check-Jul25'!AR356,"",'1. Live'!AR356-'check-Jul25'!AR356)</f>
        <v/>
      </c>
      <c r="AS356" t="str">
        <f>IF('1. Live'!AS356='check-Jul25'!AS356,"",'1. Live'!AS356-'check-Jul25'!AS356)</f>
        <v/>
      </c>
      <c r="AT356" t="str">
        <f>IF('1. Live'!AT356='check-Jul25'!AT356,"",'1. Live'!AT356-'check-Jul25'!AT356)</f>
        <v/>
      </c>
      <c r="AU356" t="str">
        <f>IF('1. Live'!AU356='check-Jul25'!AU356,"",'1. Live'!AU356-'check-Jul25'!AU356)</f>
        <v/>
      </c>
      <c r="AV356" t="str">
        <f>IF('1. Live'!AV356='check-Jul25'!AV356,"",'1. Live'!AV356-'check-Jul25'!AV356)</f>
        <v/>
      </c>
      <c r="AW356" t="str">
        <f>IF('1. Live'!AW356='check-Jul25'!AW356,"",'1. Live'!AW356-'check-Jul25'!AW356)</f>
        <v/>
      </c>
      <c r="AX356" t="str">
        <f>IF('1. Live'!AX356='check-Jul25'!AX356,"",'1. Live'!AX356-'check-Jul25'!AX356)</f>
        <v/>
      </c>
      <c r="AY356" t="str">
        <f>IF('1. Live'!AY356='check-Jul25'!AY356,"",'1. Live'!AY356-'check-Jul25'!AY356)</f>
        <v/>
      </c>
      <c r="AZ356" t="str">
        <f>IF('1. Live'!AZ356='check-Jul25'!AZ356,"",'1. Live'!AZ356-'check-Jul25'!AZ356)</f>
        <v/>
      </c>
      <c r="BA356" t="str">
        <f>IF('1. Live'!BA356='check-Jul25'!BA356,"",'1. Live'!BA356-'check-Jul25'!BA356)</f>
        <v/>
      </c>
      <c r="BB356" t="str">
        <f>IF('1. Live'!BB356='check-Jul25'!BB356,"",'1. Live'!BB356-'check-Jul25'!BB356)</f>
        <v/>
      </c>
      <c r="BC356" t="str">
        <f>IF('1. Live'!BC356='check-Jul25'!BC356,"",'1. Live'!BC356-'check-Jul25'!BC356)</f>
        <v/>
      </c>
      <c r="BD356" t="str">
        <f>IF('1. Live'!BD356='check-Jul25'!BD356,"",'1. Live'!BD356-'check-Jul25'!BD356)</f>
        <v/>
      </c>
      <c r="BE356" t="str">
        <f>IF('1. Live'!BE356='check-Jul25'!BE356,"",'1. Live'!BE356-'check-Jul25'!BE356)</f>
        <v/>
      </c>
      <c r="BF356" t="str">
        <f>IF('1. Live'!BF356='check-Jul25'!BF356,"",'1. Live'!BF356-'check-Jul25'!BF356)</f>
        <v/>
      </c>
      <c r="BG356" t="str">
        <f>IF('1. Live'!BG356='check-Jul25'!BG356,"",'1. Live'!BG356-'check-Jul25'!BG356)</f>
        <v/>
      </c>
      <c r="BH356" t="str">
        <f>IF('1. Live'!BH356='check-Jul25'!BH356,"",'1. Live'!BH356-'check-Jul25'!BH356)</f>
        <v/>
      </c>
      <c r="BI356" t="str">
        <f>IF('1. Live'!BI356='check-Jul25'!BI356,"",'1. Live'!BI356-'check-Jul25'!BI356)</f>
        <v/>
      </c>
      <c r="BJ356" t="str">
        <f>IF('1. Live'!BJ356='check-Jul25'!BJ356,"",'1. Live'!BJ356-'check-Jul25'!BJ356)</f>
        <v/>
      </c>
      <c r="BK356" t="str">
        <f>IF('1. Live'!BK356='check-Jul25'!BK356,"",'1. Live'!BK356-'check-Jul25'!BK356)</f>
        <v/>
      </c>
      <c r="BL356" t="str">
        <f>IF('1. Live'!BL356='check-Jul25'!BL356,"",'1. Live'!BL356-'check-Jul25'!BL356)</f>
        <v/>
      </c>
      <c r="BM356" t="str">
        <f>IF('1. Live'!BM356='check-Jul25'!BM356,"",'1. Live'!BM356-'check-Jul25'!BM356)</f>
        <v/>
      </c>
      <c r="BN356" t="str">
        <f>IF('1. Live'!BN356='check-Jul25'!BN356,"",'1. Live'!BN356-'check-Jul25'!BN356)</f>
        <v/>
      </c>
      <c r="BO356" t="str">
        <f>IF('1. Live'!BO356='check-Jul25'!BO356,"",'1. Live'!BO356-'check-Jul25'!BO356)</f>
        <v/>
      </c>
      <c r="BP356" t="str">
        <f>IF('1. Live'!BP356='check-Jul25'!BP356,"",'1. Live'!BP356-'check-Jul25'!BP356)</f>
        <v/>
      </c>
      <c r="BQ356" t="str">
        <f>IF('1. Live'!BQ356='check-Jul25'!BQ356,"",'1. Live'!BQ356-'check-Jul25'!BQ356)</f>
        <v/>
      </c>
      <c r="BR356" t="str">
        <f>IF('1. Live'!BR356='check-Jul25'!BR356,"",'1. Live'!BR356-'check-Jul25'!BR356)</f>
        <v/>
      </c>
      <c r="BS356" t="str">
        <f>IF('1. Live'!BS356='check-Jul25'!BS356,"",'1. Live'!BS356-'check-Jul25'!BS356)</f>
        <v/>
      </c>
      <c r="BT356" t="str">
        <f>IF('1. Live'!BT356='check-Jul25'!BT356,"",'1. Live'!BT356-'check-Jul25'!BT356)</f>
        <v/>
      </c>
      <c r="BU356" t="str">
        <f>IF('1. Live'!BU356='check-Jul25'!BU356,"",'1. Live'!BU356-'check-Jul25'!BU356)</f>
        <v/>
      </c>
      <c r="BV356" t="str">
        <f>IF('1. Live'!BV356='check-Jul25'!BV356,"",'1. Live'!BV356-'check-Jul25'!BV356)</f>
        <v/>
      </c>
      <c r="BW356" t="str">
        <f>IF('1. Live'!BW356='check-Jul25'!BW356,"",'1. Live'!BW356-'check-Jul25'!BW356)</f>
        <v/>
      </c>
      <c r="BX356" t="str">
        <f>IF('1. Live'!BX356='check-Jul25'!BX356,"",'1. Live'!BX356-'check-Jul25'!BX356)</f>
        <v/>
      </c>
      <c r="BY356" t="str">
        <f>IF('1. Live'!BY356='check-Jul25'!BY356,"",'1. Live'!BY356-'check-Jul25'!BY356)</f>
        <v/>
      </c>
      <c r="BZ356" t="str">
        <f>IF('1. Live'!BZ356='check-Jul25'!BZ356,"",'1. Live'!BZ356-'check-Jul25'!BZ356)</f>
        <v/>
      </c>
      <c r="CA356" t="str">
        <f>IF('1. Live'!CA356='check-Jul25'!CA356,"",'1. Live'!CA356-'check-Jul25'!CA356)</f>
        <v/>
      </c>
      <c r="CB356" t="str">
        <f>IF('1. Live'!CB356='check-Jul25'!CB356,"",'1. Live'!CB356-'check-Jul25'!CB356)</f>
        <v/>
      </c>
      <c r="CC356" t="str">
        <f>IF('1. Live'!CC356='check-Jul25'!CC356,"",'1. Live'!CC356-'check-Jul25'!CC356)</f>
        <v/>
      </c>
      <c r="CD356" t="str">
        <f>IF('1. Live'!CD356='check-Jul25'!CD356,"",'1. Live'!CD356-'check-Jul25'!CD356)</f>
        <v/>
      </c>
      <c r="CE356" t="str">
        <f>IF('1. Live'!CE356='check-Jul25'!CE356,"",'1. Live'!CE356-'check-Jul25'!CE356)</f>
        <v/>
      </c>
      <c r="CF356" t="str">
        <f>IF('1. Live'!CF356='check-Jul25'!CF356,"",'1. Live'!CF356-'check-Jul25'!CF356)</f>
        <v/>
      </c>
      <c r="CG356" t="str">
        <f>IF('1. Live'!CG356='check-Jul25'!CG356,"",'1. Live'!CG356-'check-Jul25'!CG356)</f>
        <v/>
      </c>
      <c r="CH356" t="str">
        <f>IF('1. Live'!CH356='check-Jul25'!CH356,"",'1. Live'!CH356-'check-Jul25'!CH356)</f>
        <v/>
      </c>
      <c r="CI356" t="str">
        <f>IF('1. Live'!CI356='check-Jul25'!CI356,"",'1. Live'!CI356-'check-Jul25'!CI356)</f>
        <v/>
      </c>
      <c r="CJ356" t="str">
        <f>IF('1. Live'!CJ356='check-Jul25'!CJ356,"",'1. Live'!CJ356-'check-Jul25'!CJ356)</f>
        <v/>
      </c>
      <c r="CK356" t="str">
        <f>IF('1. Live'!CK356='check-Jul25'!CK356,"",'1. Live'!CK356-'check-Jul25'!CK356)</f>
        <v/>
      </c>
      <c r="CL356" t="str">
        <f>IF('1. Live'!CL356='check-Jul25'!CL356,"",'1. Live'!CL356-'check-Jul25'!CL356)</f>
        <v/>
      </c>
      <c r="CM356" t="str">
        <f>IF('1. Live'!CM356='check-Jul25'!CM356,"",'1. Live'!CM356-'check-Jul25'!CM356)</f>
        <v/>
      </c>
      <c r="CN356" t="str">
        <f>IF('1. Live'!CN356='check-Jul25'!CN356,"",'1. Live'!CN356-'check-Jul25'!CN356)</f>
        <v/>
      </c>
      <c r="CO356" t="str">
        <f>IF('1. Live'!CO356='check-Jul25'!CO356,"",'1. Live'!CO356-'check-Jul25'!CO356)</f>
        <v/>
      </c>
      <c r="CP356" t="str">
        <f>IF('1. Live'!CP356='check-Jul25'!CP356,"",'1. Live'!CP356-'check-Jul25'!CP356)</f>
        <v/>
      </c>
      <c r="CQ356" t="str">
        <f>IF('1. Live'!CQ356='check-Jul25'!CQ356,"",'1. Live'!CQ356-'check-Jul25'!CQ356)</f>
        <v/>
      </c>
      <c r="CR356" t="str">
        <f>IF('1. Live'!CR356='check-Jul25'!CR356,"",'1. Live'!CR356-'check-Jul25'!CR356)</f>
        <v/>
      </c>
      <c r="CS356" t="str">
        <f>IF('1. Live'!CS356='check-Jul25'!CS356,"",'1. Live'!CS356-'check-Jul25'!CS356)</f>
        <v/>
      </c>
      <c r="CT356" t="str">
        <f>IF('1. Live'!CT356='check-Jul25'!CT356,"",'1. Live'!CT356-'check-Jul25'!CT356)</f>
        <v/>
      </c>
      <c r="CU356" t="str">
        <f>IF('1. Live'!CU356='check-Jul25'!CU356,"",'1. Live'!CU356-'check-Jul25'!CU356)</f>
        <v/>
      </c>
      <c r="CV356" t="str">
        <f>IF('1. Live'!CV356='check-Jul25'!CV356,"",'1. Live'!CV356-'check-Jul25'!CV356)</f>
        <v/>
      </c>
      <c r="CW356" t="str">
        <f>IF('1. Live'!CW356='check-Jul25'!CW356,"",'1. Live'!CW356-'check-Jul25'!CW356)</f>
        <v/>
      </c>
    </row>
    <row r="357" spans="10:101">
      <c r="J357" t="str">
        <f>IF('1. Live'!J357='check-Jul25'!J357,"",'1. Live'!J357-'check-Jul25'!J357)</f>
        <v/>
      </c>
      <c r="K357" t="str">
        <f>IF('1. Live'!K357='check-Jul25'!K357,"",'1. Live'!K357-'check-Jul25'!K357)</f>
        <v/>
      </c>
      <c r="L357" t="str">
        <f>IF('1. Live'!L357='check-Jul25'!L357,"",'1. Live'!L357-'check-Jul25'!L357)</f>
        <v/>
      </c>
      <c r="M357" t="str">
        <f>IF('1. Live'!M357='check-Jul25'!M357,"",'1. Live'!M357-'check-Jul25'!M357)</f>
        <v/>
      </c>
      <c r="N357" t="str">
        <f>IF('1. Live'!N357='check-Jul25'!N357,"",'1. Live'!N357-'check-Jul25'!N357)</f>
        <v/>
      </c>
      <c r="O357" t="str">
        <f>IF('1. Live'!O357='check-Jul25'!O357,"",'1. Live'!O357-'check-Jul25'!O357)</f>
        <v/>
      </c>
      <c r="P357" t="str">
        <f>IF('1. Live'!P357='check-Jul25'!P357,"",'1. Live'!P357-'check-Jul25'!P357)</f>
        <v/>
      </c>
      <c r="Q357" t="str">
        <f>IF('1. Live'!Q357='check-Jul25'!Q357,"",'1. Live'!Q357-'check-Jul25'!Q357)</f>
        <v/>
      </c>
      <c r="R357" t="str">
        <f>IF('1. Live'!R357='check-Jul25'!R357,"",'1. Live'!R357-'check-Jul25'!R357)</f>
        <v/>
      </c>
      <c r="S357" t="str">
        <f>IF('1. Live'!S357='check-Jul25'!S357,"",'1. Live'!S357-'check-Jul25'!S357)</f>
        <v/>
      </c>
      <c r="T357" t="str">
        <f>IF('1. Live'!T357='check-Jul25'!T357,"",'1. Live'!T357-'check-Jul25'!T357)</f>
        <v/>
      </c>
      <c r="U357" t="str">
        <f>IF('1. Live'!U357='check-Jul25'!U357,"",'1. Live'!U357-'check-Jul25'!U357)</f>
        <v/>
      </c>
      <c r="V357" t="str">
        <f>IF('1. Live'!V357='check-Jul25'!V357,"",'1. Live'!V357-'check-Jul25'!V357)</f>
        <v/>
      </c>
      <c r="W357" t="str">
        <f>IF('1. Live'!W357='check-Jul25'!W357,"",'1. Live'!W357-'check-Jul25'!W357)</f>
        <v/>
      </c>
      <c r="X357" t="str">
        <f>IF('1. Live'!X357='check-Jul25'!X357,"",'1. Live'!X357-'check-Jul25'!X357)</f>
        <v/>
      </c>
      <c r="Y357" t="str">
        <f>IF('1. Live'!Y357='check-Jul25'!Y357,"",'1. Live'!Y357-'check-Jul25'!Y357)</f>
        <v/>
      </c>
      <c r="Z357" t="str">
        <f>IF('1. Live'!Z357='check-Jul25'!Z357,"",'1. Live'!Z357-'check-Jul25'!Z357)</f>
        <v/>
      </c>
      <c r="AA357" t="str">
        <f>IF('1. Live'!AA357='check-Jul25'!AA357,"",'1. Live'!AA357-'check-Jul25'!AA357)</f>
        <v/>
      </c>
      <c r="AB357" t="str">
        <f>IF('1. Live'!AB357='check-Jul25'!AB357,"",'1. Live'!AB357-'check-Jul25'!AB357)</f>
        <v/>
      </c>
      <c r="AC357" t="str">
        <f>IF('1. Live'!AC357='check-Jul25'!AC357,"",'1. Live'!AC357-'check-Jul25'!AC357)</f>
        <v/>
      </c>
      <c r="AD357" t="str">
        <f>IF('1. Live'!AD357='check-Jul25'!AD357,"",'1. Live'!AD357-'check-Jul25'!AD357)</f>
        <v/>
      </c>
      <c r="AE357" t="str">
        <f>IF('1. Live'!AE357='check-Jul25'!AE357,"",'1. Live'!AE357-'check-Jul25'!AE357)</f>
        <v/>
      </c>
      <c r="AF357" t="str">
        <f>IF('1. Live'!AF357='check-Jul25'!AF357,"",'1. Live'!AF357-'check-Jul25'!AF357)</f>
        <v/>
      </c>
      <c r="AG357" t="str">
        <f>IF('1. Live'!AG357='check-Jul25'!AG357,"",'1. Live'!AG357-'check-Jul25'!AG357)</f>
        <v/>
      </c>
      <c r="AH357" t="str">
        <f>IF('1. Live'!AH357='check-Jul25'!AH357,"",'1. Live'!AH357-'check-Jul25'!AH357)</f>
        <v/>
      </c>
      <c r="AI357" t="str">
        <f>IF('1. Live'!AI357='check-Jul25'!AI357,"",'1. Live'!AI357-'check-Jul25'!AI357)</f>
        <v/>
      </c>
      <c r="AJ357" t="str">
        <f>IF('1. Live'!AJ357='check-Jul25'!AJ357,"",'1. Live'!AJ357-'check-Jul25'!AJ357)</f>
        <v/>
      </c>
      <c r="AK357" t="str">
        <f>IF('1. Live'!AK357='check-Jul25'!AK357,"",'1. Live'!AK357-'check-Jul25'!AK357)</f>
        <v/>
      </c>
      <c r="AL357" t="str">
        <f>IF('1. Live'!AL357='check-Jul25'!AL357,"",'1. Live'!AL357-'check-Jul25'!AL357)</f>
        <v/>
      </c>
      <c r="AM357" t="str">
        <f>IF('1. Live'!AM357='check-Jul25'!AM357,"",'1. Live'!AM357-'check-Jul25'!AM357)</f>
        <v/>
      </c>
      <c r="AN357" t="str">
        <f>IF('1. Live'!AN357='check-Jul25'!AN357,"",'1. Live'!AN357-'check-Jul25'!AN357)</f>
        <v/>
      </c>
      <c r="AO357" t="str">
        <f>IF('1. Live'!AO357='check-Jul25'!AO357,"",'1. Live'!AO357-'check-Jul25'!AO357)</f>
        <v/>
      </c>
      <c r="AP357" t="str">
        <f>IF('1. Live'!AP357='check-Jul25'!AP357,"",'1. Live'!AP357-'check-Jul25'!AP357)</f>
        <v/>
      </c>
      <c r="AQ357" t="str">
        <f>IF('1. Live'!AQ357='check-Jul25'!AQ357,"",'1. Live'!AQ357-'check-Jul25'!AQ357)</f>
        <v/>
      </c>
      <c r="AR357" t="str">
        <f>IF('1. Live'!AR357='check-Jul25'!AR357,"",'1. Live'!AR357-'check-Jul25'!AR357)</f>
        <v/>
      </c>
      <c r="AS357" t="str">
        <f>IF('1. Live'!AS357='check-Jul25'!AS357,"",'1. Live'!AS357-'check-Jul25'!AS357)</f>
        <v/>
      </c>
      <c r="AT357" t="str">
        <f>IF('1. Live'!AT357='check-Jul25'!AT357,"",'1. Live'!AT357-'check-Jul25'!AT357)</f>
        <v/>
      </c>
      <c r="AU357" t="str">
        <f>IF('1. Live'!AU357='check-Jul25'!AU357,"",'1. Live'!AU357-'check-Jul25'!AU357)</f>
        <v/>
      </c>
      <c r="AV357" t="str">
        <f>IF('1. Live'!AV357='check-Jul25'!AV357,"",'1. Live'!AV357-'check-Jul25'!AV357)</f>
        <v/>
      </c>
      <c r="AW357" t="str">
        <f>IF('1. Live'!AW357='check-Jul25'!AW357,"",'1. Live'!AW357-'check-Jul25'!AW357)</f>
        <v/>
      </c>
      <c r="AX357" t="str">
        <f>IF('1. Live'!AX357='check-Jul25'!AX357,"",'1. Live'!AX357-'check-Jul25'!AX357)</f>
        <v/>
      </c>
      <c r="AY357" t="str">
        <f>IF('1. Live'!AY357='check-Jul25'!AY357,"",'1. Live'!AY357-'check-Jul25'!AY357)</f>
        <v/>
      </c>
      <c r="AZ357" t="str">
        <f>IF('1. Live'!AZ357='check-Jul25'!AZ357,"",'1. Live'!AZ357-'check-Jul25'!AZ357)</f>
        <v/>
      </c>
      <c r="BA357" t="str">
        <f>IF('1. Live'!BA357='check-Jul25'!BA357,"",'1. Live'!BA357-'check-Jul25'!BA357)</f>
        <v/>
      </c>
      <c r="BB357" t="str">
        <f>IF('1. Live'!BB357='check-Jul25'!BB357,"",'1. Live'!BB357-'check-Jul25'!BB357)</f>
        <v/>
      </c>
      <c r="BC357" t="str">
        <f>IF('1. Live'!BC357='check-Jul25'!BC357,"",'1. Live'!BC357-'check-Jul25'!BC357)</f>
        <v/>
      </c>
      <c r="BD357" t="str">
        <f>IF('1. Live'!BD357='check-Jul25'!BD357,"",'1. Live'!BD357-'check-Jul25'!BD357)</f>
        <v/>
      </c>
      <c r="BE357" t="str">
        <f>IF('1. Live'!BE357='check-Jul25'!BE357,"",'1. Live'!BE357-'check-Jul25'!BE357)</f>
        <v/>
      </c>
      <c r="BF357" t="str">
        <f>IF('1. Live'!BF357='check-Jul25'!BF357,"",'1. Live'!BF357-'check-Jul25'!BF357)</f>
        <v/>
      </c>
      <c r="BG357" t="str">
        <f>IF('1. Live'!BG357='check-Jul25'!BG357,"",'1. Live'!BG357-'check-Jul25'!BG357)</f>
        <v/>
      </c>
      <c r="BH357" t="str">
        <f>IF('1. Live'!BH357='check-Jul25'!BH357,"",'1. Live'!BH357-'check-Jul25'!BH357)</f>
        <v/>
      </c>
      <c r="BI357" t="str">
        <f>IF('1. Live'!BI357='check-Jul25'!BI357,"",'1. Live'!BI357-'check-Jul25'!BI357)</f>
        <v/>
      </c>
      <c r="BJ357" t="str">
        <f>IF('1. Live'!BJ357='check-Jul25'!BJ357,"",'1. Live'!BJ357-'check-Jul25'!BJ357)</f>
        <v/>
      </c>
      <c r="BK357" t="str">
        <f>IF('1. Live'!BK357='check-Jul25'!BK357,"",'1. Live'!BK357-'check-Jul25'!BK357)</f>
        <v/>
      </c>
      <c r="BL357" t="str">
        <f>IF('1. Live'!BL357='check-Jul25'!BL357,"",'1. Live'!BL357-'check-Jul25'!BL357)</f>
        <v/>
      </c>
      <c r="BM357" t="str">
        <f>IF('1. Live'!BM357='check-Jul25'!BM357,"",'1. Live'!BM357-'check-Jul25'!BM357)</f>
        <v/>
      </c>
      <c r="BN357" t="str">
        <f>IF('1. Live'!BN357='check-Jul25'!BN357,"",'1. Live'!BN357-'check-Jul25'!BN357)</f>
        <v/>
      </c>
      <c r="BO357" t="str">
        <f>IF('1. Live'!BO357='check-Jul25'!BO357,"",'1. Live'!BO357-'check-Jul25'!BO357)</f>
        <v/>
      </c>
      <c r="BP357" t="str">
        <f>IF('1. Live'!BP357='check-Jul25'!BP357,"",'1. Live'!BP357-'check-Jul25'!BP357)</f>
        <v/>
      </c>
      <c r="BQ357" t="str">
        <f>IF('1. Live'!BQ357='check-Jul25'!BQ357,"",'1. Live'!BQ357-'check-Jul25'!BQ357)</f>
        <v/>
      </c>
      <c r="BR357" t="str">
        <f>IF('1. Live'!BR357='check-Jul25'!BR357,"",'1. Live'!BR357-'check-Jul25'!BR357)</f>
        <v/>
      </c>
      <c r="BS357" t="str">
        <f>IF('1. Live'!BS357='check-Jul25'!BS357,"",'1. Live'!BS357-'check-Jul25'!BS357)</f>
        <v/>
      </c>
      <c r="BT357" t="str">
        <f>IF('1. Live'!BT357='check-Jul25'!BT357,"",'1. Live'!BT357-'check-Jul25'!BT357)</f>
        <v/>
      </c>
      <c r="BU357" t="str">
        <f>IF('1. Live'!BU357='check-Jul25'!BU357,"",'1. Live'!BU357-'check-Jul25'!BU357)</f>
        <v/>
      </c>
      <c r="BV357" t="str">
        <f>IF('1. Live'!BV357='check-Jul25'!BV357,"",'1. Live'!BV357-'check-Jul25'!BV357)</f>
        <v/>
      </c>
      <c r="BW357" t="str">
        <f>IF('1. Live'!BW357='check-Jul25'!BW357,"",'1. Live'!BW357-'check-Jul25'!BW357)</f>
        <v/>
      </c>
      <c r="BX357" t="str">
        <f>IF('1. Live'!BX357='check-Jul25'!BX357,"",'1. Live'!BX357-'check-Jul25'!BX357)</f>
        <v/>
      </c>
      <c r="BY357" t="str">
        <f>IF('1. Live'!BY357='check-Jul25'!BY357,"",'1. Live'!BY357-'check-Jul25'!BY357)</f>
        <v/>
      </c>
      <c r="BZ357" t="str">
        <f>IF('1. Live'!BZ357='check-Jul25'!BZ357,"",'1. Live'!BZ357-'check-Jul25'!BZ357)</f>
        <v/>
      </c>
      <c r="CA357" t="str">
        <f>IF('1. Live'!CA357='check-Jul25'!CA357,"",'1. Live'!CA357-'check-Jul25'!CA357)</f>
        <v/>
      </c>
      <c r="CB357" t="str">
        <f>IF('1. Live'!CB357='check-Jul25'!CB357,"",'1. Live'!CB357-'check-Jul25'!CB357)</f>
        <v/>
      </c>
      <c r="CC357" t="str">
        <f>IF('1. Live'!CC357='check-Jul25'!CC357,"",'1. Live'!CC357-'check-Jul25'!CC357)</f>
        <v/>
      </c>
      <c r="CD357" t="str">
        <f>IF('1. Live'!CD357='check-Jul25'!CD357,"",'1. Live'!CD357-'check-Jul25'!CD357)</f>
        <v/>
      </c>
      <c r="CE357" t="str">
        <f>IF('1. Live'!CE357='check-Jul25'!CE357,"",'1. Live'!CE357-'check-Jul25'!CE357)</f>
        <v/>
      </c>
      <c r="CF357" t="str">
        <f>IF('1. Live'!CF357='check-Jul25'!CF357,"",'1. Live'!CF357-'check-Jul25'!CF357)</f>
        <v/>
      </c>
      <c r="CG357" t="str">
        <f>IF('1. Live'!CG357='check-Jul25'!CG357,"",'1. Live'!CG357-'check-Jul25'!CG357)</f>
        <v/>
      </c>
      <c r="CH357" t="str">
        <f>IF('1. Live'!CH357='check-Jul25'!CH357,"",'1. Live'!CH357-'check-Jul25'!CH357)</f>
        <v/>
      </c>
      <c r="CI357" t="str">
        <f>IF('1. Live'!CI357='check-Jul25'!CI357,"",'1. Live'!CI357-'check-Jul25'!CI357)</f>
        <v/>
      </c>
      <c r="CJ357" t="str">
        <f>IF('1. Live'!CJ357='check-Jul25'!CJ357,"",'1. Live'!CJ357-'check-Jul25'!CJ357)</f>
        <v/>
      </c>
      <c r="CK357" t="str">
        <f>IF('1. Live'!CK357='check-Jul25'!CK357,"",'1. Live'!CK357-'check-Jul25'!CK357)</f>
        <v/>
      </c>
      <c r="CL357" t="str">
        <f>IF('1. Live'!CL357='check-Jul25'!CL357,"",'1. Live'!CL357-'check-Jul25'!CL357)</f>
        <v/>
      </c>
      <c r="CM357" t="str">
        <f>IF('1. Live'!CM357='check-Jul25'!CM357,"",'1. Live'!CM357-'check-Jul25'!CM357)</f>
        <v/>
      </c>
      <c r="CN357" t="str">
        <f>IF('1. Live'!CN357='check-Jul25'!CN357,"",'1. Live'!CN357-'check-Jul25'!CN357)</f>
        <v/>
      </c>
      <c r="CO357" t="str">
        <f>IF('1. Live'!CO357='check-Jul25'!CO357,"",'1. Live'!CO357-'check-Jul25'!CO357)</f>
        <v/>
      </c>
      <c r="CP357" t="str">
        <f>IF('1. Live'!CP357='check-Jul25'!CP357,"",'1. Live'!CP357-'check-Jul25'!CP357)</f>
        <v/>
      </c>
      <c r="CQ357" t="str">
        <f>IF('1. Live'!CQ357='check-Jul25'!CQ357,"",'1. Live'!CQ357-'check-Jul25'!CQ357)</f>
        <v/>
      </c>
      <c r="CR357" t="str">
        <f>IF('1. Live'!CR357='check-Jul25'!CR357,"",'1. Live'!CR357-'check-Jul25'!CR357)</f>
        <v/>
      </c>
      <c r="CS357" t="str">
        <f>IF('1. Live'!CS357='check-Jul25'!CS357,"",'1. Live'!CS357-'check-Jul25'!CS357)</f>
        <v/>
      </c>
      <c r="CT357" t="str">
        <f>IF('1. Live'!CT357='check-Jul25'!CT357,"",'1. Live'!CT357-'check-Jul25'!CT357)</f>
        <v/>
      </c>
      <c r="CU357" t="str">
        <f>IF('1. Live'!CU357='check-Jul25'!CU357,"",'1. Live'!CU357-'check-Jul25'!CU357)</f>
        <v/>
      </c>
      <c r="CV357" t="str">
        <f>IF('1. Live'!CV357='check-Jul25'!CV357,"",'1. Live'!CV357-'check-Jul25'!CV357)</f>
        <v/>
      </c>
      <c r="CW357" t="str">
        <f>IF('1. Live'!CW357='check-Jul25'!CW357,"",'1. Live'!CW357-'check-Jul25'!CW357)</f>
        <v/>
      </c>
    </row>
    <row r="358" spans="10:101">
      <c r="J358" t="str">
        <f>IF('1. Live'!J358='check-Jul25'!J358,"",'1. Live'!J358-'check-Jul25'!J358)</f>
        <v/>
      </c>
      <c r="K358" t="str">
        <f>IF('1. Live'!K358='check-Jul25'!K358,"",'1. Live'!K358-'check-Jul25'!K358)</f>
        <v/>
      </c>
      <c r="L358" t="str">
        <f>IF('1. Live'!L358='check-Jul25'!L358,"",'1. Live'!L358-'check-Jul25'!L358)</f>
        <v/>
      </c>
      <c r="M358" t="str">
        <f>IF('1. Live'!M358='check-Jul25'!M358,"",'1. Live'!M358-'check-Jul25'!M358)</f>
        <v/>
      </c>
      <c r="N358" t="str">
        <f>IF('1. Live'!N358='check-Jul25'!N358,"",'1. Live'!N358-'check-Jul25'!N358)</f>
        <v/>
      </c>
      <c r="O358" t="str">
        <f>IF('1. Live'!O358='check-Jul25'!O358,"",'1. Live'!O358-'check-Jul25'!O358)</f>
        <v/>
      </c>
      <c r="P358" t="str">
        <f>IF('1. Live'!P358='check-Jul25'!P358,"",'1. Live'!P358-'check-Jul25'!P358)</f>
        <v/>
      </c>
      <c r="Q358" t="str">
        <f>IF('1. Live'!Q358='check-Jul25'!Q358,"",'1. Live'!Q358-'check-Jul25'!Q358)</f>
        <v/>
      </c>
      <c r="R358" t="str">
        <f>IF('1. Live'!R358='check-Jul25'!R358,"",'1. Live'!R358-'check-Jul25'!R358)</f>
        <v/>
      </c>
      <c r="S358" t="str">
        <f>IF('1. Live'!S358='check-Jul25'!S358,"",'1. Live'!S358-'check-Jul25'!S358)</f>
        <v/>
      </c>
      <c r="T358" t="str">
        <f>IF('1. Live'!T358='check-Jul25'!T358,"",'1. Live'!T358-'check-Jul25'!T358)</f>
        <v/>
      </c>
      <c r="U358" t="str">
        <f>IF('1. Live'!U358='check-Jul25'!U358,"",'1. Live'!U358-'check-Jul25'!U358)</f>
        <v/>
      </c>
      <c r="V358" t="str">
        <f>IF('1. Live'!V358='check-Jul25'!V358,"",'1. Live'!V358-'check-Jul25'!V358)</f>
        <v/>
      </c>
      <c r="W358" t="str">
        <f>IF('1. Live'!W358='check-Jul25'!W358,"",'1. Live'!W358-'check-Jul25'!W358)</f>
        <v/>
      </c>
      <c r="X358" t="str">
        <f>IF('1. Live'!X358='check-Jul25'!X358,"",'1. Live'!X358-'check-Jul25'!X358)</f>
        <v/>
      </c>
      <c r="Y358" t="str">
        <f>IF('1. Live'!Y358='check-Jul25'!Y358,"",'1. Live'!Y358-'check-Jul25'!Y358)</f>
        <v/>
      </c>
      <c r="Z358" t="str">
        <f>IF('1. Live'!Z358='check-Jul25'!Z358,"",'1. Live'!Z358-'check-Jul25'!Z358)</f>
        <v/>
      </c>
      <c r="AA358" t="str">
        <f>IF('1. Live'!AA358='check-Jul25'!AA358,"",'1. Live'!AA358-'check-Jul25'!AA358)</f>
        <v/>
      </c>
      <c r="AB358" t="str">
        <f>IF('1. Live'!AB358='check-Jul25'!AB358,"",'1. Live'!AB358-'check-Jul25'!AB358)</f>
        <v/>
      </c>
      <c r="AC358" t="str">
        <f>IF('1. Live'!AC358='check-Jul25'!AC358,"",'1. Live'!AC358-'check-Jul25'!AC358)</f>
        <v/>
      </c>
      <c r="AD358" t="str">
        <f>IF('1. Live'!AD358='check-Jul25'!AD358,"",'1. Live'!AD358-'check-Jul25'!AD358)</f>
        <v/>
      </c>
      <c r="AE358" t="str">
        <f>IF('1. Live'!AE358='check-Jul25'!AE358,"",'1. Live'!AE358-'check-Jul25'!AE358)</f>
        <v/>
      </c>
      <c r="AF358" t="str">
        <f>IF('1. Live'!AF358='check-Jul25'!AF358,"",'1. Live'!AF358-'check-Jul25'!AF358)</f>
        <v/>
      </c>
      <c r="AG358" t="str">
        <f>IF('1. Live'!AG358='check-Jul25'!AG358,"",'1. Live'!AG358-'check-Jul25'!AG358)</f>
        <v/>
      </c>
      <c r="AH358" t="str">
        <f>IF('1. Live'!AH358='check-Jul25'!AH358,"",'1. Live'!AH358-'check-Jul25'!AH358)</f>
        <v/>
      </c>
      <c r="AI358" t="str">
        <f>IF('1. Live'!AI358='check-Jul25'!AI358,"",'1. Live'!AI358-'check-Jul25'!AI358)</f>
        <v/>
      </c>
      <c r="AJ358" t="str">
        <f>IF('1. Live'!AJ358='check-Jul25'!AJ358,"",'1. Live'!AJ358-'check-Jul25'!AJ358)</f>
        <v/>
      </c>
      <c r="AK358" t="str">
        <f>IF('1. Live'!AK358='check-Jul25'!AK358,"",'1. Live'!AK358-'check-Jul25'!AK358)</f>
        <v/>
      </c>
      <c r="AL358" t="str">
        <f>IF('1. Live'!AL358='check-Jul25'!AL358,"",'1. Live'!AL358-'check-Jul25'!AL358)</f>
        <v/>
      </c>
      <c r="AM358" t="str">
        <f>IF('1. Live'!AM358='check-Jul25'!AM358,"",'1. Live'!AM358-'check-Jul25'!AM358)</f>
        <v/>
      </c>
      <c r="AN358" t="str">
        <f>IF('1. Live'!AN358='check-Jul25'!AN358,"",'1. Live'!AN358-'check-Jul25'!AN358)</f>
        <v/>
      </c>
      <c r="AO358" t="str">
        <f>IF('1. Live'!AO358='check-Jul25'!AO358,"",'1. Live'!AO358-'check-Jul25'!AO358)</f>
        <v/>
      </c>
      <c r="AP358" t="str">
        <f>IF('1. Live'!AP358='check-Jul25'!AP358,"",'1. Live'!AP358-'check-Jul25'!AP358)</f>
        <v/>
      </c>
      <c r="AQ358" t="str">
        <f>IF('1. Live'!AQ358='check-Jul25'!AQ358,"",'1. Live'!AQ358-'check-Jul25'!AQ358)</f>
        <v/>
      </c>
      <c r="AR358" t="str">
        <f>IF('1. Live'!AR358='check-Jul25'!AR358,"",'1. Live'!AR358-'check-Jul25'!AR358)</f>
        <v/>
      </c>
      <c r="AS358" t="str">
        <f>IF('1. Live'!AS358='check-Jul25'!AS358,"",'1. Live'!AS358-'check-Jul25'!AS358)</f>
        <v/>
      </c>
      <c r="AT358" t="str">
        <f>IF('1. Live'!AT358='check-Jul25'!AT358,"",'1. Live'!AT358-'check-Jul25'!AT358)</f>
        <v/>
      </c>
      <c r="AU358" t="str">
        <f>IF('1. Live'!AU358='check-Jul25'!AU358,"",'1. Live'!AU358-'check-Jul25'!AU358)</f>
        <v/>
      </c>
      <c r="AV358" t="str">
        <f>IF('1. Live'!AV358='check-Jul25'!AV358,"",'1. Live'!AV358-'check-Jul25'!AV358)</f>
        <v/>
      </c>
      <c r="AW358" t="str">
        <f>IF('1. Live'!AW358='check-Jul25'!AW358,"",'1. Live'!AW358-'check-Jul25'!AW358)</f>
        <v/>
      </c>
      <c r="AX358" t="str">
        <f>IF('1. Live'!AX358='check-Jul25'!AX358,"",'1. Live'!AX358-'check-Jul25'!AX358)</f>
        <v/>
      </c>
      <c r="AY358" t="str">
        <f>IF('1. Live'!AY358='check-Jul25'!AY358,"",'1. Live'!AY358-'check-Jul25'!AY358)</f>
        <v/>
      </c>
      <c r="AZ358" t="str">
        <f>IF('1. Live'!AZ358='check-Jul25'!AZ358,"",'1. Live'!AZ358-'check-Jul25'!AZ358)</f>
        <v/>
      </c>
      <c r="BA358" t="str">
        <f>IF('1. Live'!BA358='check-Jul25'!BA358,"",'1. Live'!BA358-'check-Jul25'!BA358)</f>
        <v/>
      </c>
      <c r="BB358" t="str">
        <f>IF('1. Live'!BB358='check-Jul25'!BB358,"",'1. Live'!BB358-'check-Jul25'!BB358)</f>
        <v/>
      </c>
      <c r="BC358" t="str">
        <f>IF('1. Live'!BC358='check-Jul25'!BC358,"",'1. Live'!BC358-'check-Jul25'!BC358)</f>
        <v/>
      </c>
      <c r="BD358" t="str">
        <f>IF('1. Live'!BD358='check-Jul25'!BD358,"",'1. Live'!BD358-'check-Jul25'!BD358)</f>
        <v/>
      </c>
      <c r="BE358" t="str">
        <f>IF('1. Live'!BE358='check-Jul25'!BE358,"",'1. Live'!BE358-'check-Jul25'!BE358)</f>
        <v/>
      </c>
      <c r="BF358" t="str">
        <f>IF('1. Live'!BF358='check-Jul25'!BF358,"",'1. Live'!BF358-'check-Jul25'!BF358)</f>
        <v/>
      </c>
      <c r="BG358" t="str">
        <f>IF('1. Live'!BG358='check-Jul25'!BG358,"",'1. Live'!BG358-'check-Jul25'!BG358)</f>
        <v/>
      </c>
      <c r="BH358" t="str">
        <f>IF('1. Live'!BH358='check-Jul25'!BH358,"",'1. Live'!BH358-'check-Jul25'!BH358)</f>
        <v/>
      </c>
      <c r="BI358" t="str">
        <f>IF('1. Live'!BI358='check-Jul25'!BI358,"",'1. Live'!BI358-'check-Jul25'!BI358)</f>
        <v/>
      </c>
      <c r="BJ358" t="str">
        <f>IF('1. Live'!BJ358='check-Jul25'!BJ358,"",'1. Live'!BJ358-'check-Jul25'!BJ358)</f>
        <v/>
      </c>
      <c r="BK358" t="str">
        <f>IF('1. Live'!BK358='check-Jul25'!BK358,"",'1. Live'!BK358-'check-Jul25'!BK358)</f>
        <v/>
      </c>
      <c r="BL358" t="str">
        <f>IF('1. Live'!BL358='check-Jul25'!BL358,"",'1. Live'!BL358-'check-Jul25'!BL358)</f>
        <v/>
      </c>
      <c r="BM358" t="str">
        <f>IF('1. Live'!BM358='check-Jul25'!BM358,"",'1. Live'!BM358-'check-Jul25'!BM358)</f>
        <v/>
      </c>
      <c r="BN358" t="str">
        <f>IF('1. Live'!BN358='check-Jul25'!BN358,"",'1. Live'!BN358-'check-Jul25'!BN358)</f>
        <v/>
      </c>
      <c r="BO358" t="str">
        <f>IF('1. Live'!BO358='check-Jul25'!BO358,"",'1. Live'!BO358-'check-Jul25'!BO358)</f>
        <v/>
      </c>
      <c r="BP358" t="str">
        <f>IF('1. Live'!BP358='check-Jul25'!BP358,"",'1. Live'!BP358-'check-Jul25'!BP358)</f>
        <v/>
      </c>
      <c r="BQ358" t="str">
        <f>IF('1. Live'!BQ358='check-Jul25'!BQ358,"",'1. Live'!BQ358-'check-Jul25'!BQ358)</f>
        <v/>
      </c>
      <c r="BR358" t="str">
        <f>IF('1. Live'!BR358='check-Jul25'!BR358,"",'1. Live'!BR358-'check-Jul25'!BR358)</f>
        <v/>
      </c>
      <c r="BS358" t="str">
        <f>IF('1. Live'!BS358='check-Jul25'!BS358,"",'1. Live'!BS358-'check-Jul25'!BS358)</f>
        <v/>
      </c>
      <c r="BT358" t="str">
        <f>IF('1. Live'!BT358='check-Jul25'!BT358,"",'1. Live'!BT358-'check-Jul25'!BT358)</f>
        <v/>
      </c>
      <c r="BU358" t="str">
        <f>IF('1. Live'!BU358='check-Jul25'!BU358,"",'1. Live'!BU358-'check-Jul25'!BU358)</f>
        <v/>
      </c>
      <c r="BV358" t="str">
        <f>IF('1. Live'!BV358='check-Jul25'!BV358,"",'1. Live'!BV358-'check-Jul25'!BV358)</f>
        <v/>
      </c>
      <c r="BW358" t="str">
        <f>IF('1. Live'!BW358='check-Jul25'!BW358,"",'1. Live'!BW358-'check-Jul25'!BW358)</f>
        <v/>
      </c>
      <c r="BX358" t="str">
        <f>IF('1. Live'!BX358='check-Jul25'!BX358,"",'1. Live'!BX358-'check-Jul25'!BX358)</f>
        <v/>
      </c>
      <c r="BY358" t="str">
        <f>IF('1. Live'!BY358='check-Jul25'!BY358,"",'1. Live'!BY358-'check-Jul25'!BY358)</f>
        <v/>
      </c>
      <c r="BZ358" t="str">
        <f>IF('1. Live'!BZ358='check-Jul25'!BZ358,"",'1. Live'!BZ358-'check-Jul25'!BZ358)</f>
        <v/>
      </c>
      <c r="CA358" t="str">
        <f>IF('1. Live'!CA358='check-Jul25'!CA358,"",'1. Live'!CA358-'check-Jul25'!CA358)</f>
        <v/>
      </c>
      <c r="CB358" t="str">
        <f>IF('1. Live'!CB358='check-Jul25'!CB358,"",'1. Live'!CB358-'check-Jul25'!CB358)</f>
        <v/>
      </c>
      <c r="CC358" t="str">
        <f>IF('1. Live'!CC358='check-Jul25'!CC358,"",'1. Live'!CC358-'check-Jul25'!CC358)</f>
        <v/>
      </c>
      <c r="CD358" t="str">
        <f>IF('1. Live'!CD358='check-Jul25'!CD358,"",'1. Live'!CD358-'check-Jul25'!CD358)</f>
        <v/>
      </c>
      <c r="CE358" t="str">
        <f>IF('1. Live'!CE358='check-Jul25'!CE358,"",'1. Live'!CE358-'check-Jul25'!CE358)</f>
        <v/>
      </c>
      <c r="CF358" t="str">
        <f>IF('1. Live'!CF358='check-Jul25'!CF358,"",'1. Live'!CF358-'check-Jul25'!CF358)</f>
        <v/>
      </c>
      <c r="CG358" t="str">
        <f>IF('1. Live'!CG358='check-Jul25'!CG358,"",'1. Live'!CG358-'check-Jul25'!CG358)</f>
        <v/>
      </c>
      <c r="CH358" t="str">
        <f>IF('1. Live'!CH358='check-Jul25'!CH358,"",'1. Live'!CH358-'check-Jul25'!CH358)</f>
        <v/>
      </c>
      <c r="CI358" t="str">
        <f>IF('1. Live'!CI358='check-Jul25'!CI358,"",'1. Live'!CI358-'check-Jul25'!CI358)</f>
        <v/>
      </c>
      <c r="CJ358" t="str">
        <f>IF('1. Live'!CJ358='check-Jul25'!CJ358,"",'1. Live'!CJ358-'check-Jul25'!CJ358)</f>
        <v/>
      </c>
      <c r="CK358" t="str">
        <f>IF('1. Live'!CK358='check-Jul25'!CK358,"",'1. Live'!CK358-'check-Jul25'!CK358)</f>
        <v/>
      </c>
      <c r="CL358" t="str">
        <f>IF('1. Live'!CL358='check-Jul25'!CL358,"",'1. Live'!CL358-'check-Jul25'!CL358)</f>
        <v/>
      </c>
      <c r="CM358" t="str">
        <f>IF('1. Live'!CM358='check-Jul25'!CM358,"",'1. Live'!CM358-'check-Jul25'!CM358)</f>
        <v/>
      </c>
      <c r="CN358" t="str">
        <f>IF('1. Live'!CN358='check-Jul25'!CN358,"",'1. Live'!CN358-'check-Jul25'!CN358)</f>
        <v/>
      </c>
      <c r="CO358" t="str">
        <f>IF('1. Live'!CO358='check-Jul25'!CO358,"",'1. Live'!CO358-'check-Jul25'!CO358)</f>
        <v/>
      </c>
      <c r="CP358" t="str">
        <f>IF('1. Live'!CP358='check-Jul25'!CP358,"",'1. Live'!CP358-'check-Jul25'!CP358)</f>
        <v/>
      </c>
      <c r="CQ358" t="str">
        <f>IF('1. Live'!CQ358='check-Jul25'!CQ358,"",'1. Live'!CQ358-'check-Jul25'!CQ358)</f>
        <v/>
      </c>
      <c r="CR358" t="str">
        <f>IF('1. Live'!CR358='check-Jul25'!CR358,"",'1. Live'!CR358-'check-Jul25'!CR358)</f>
        <v/>
      </c>
      <c r="CS358" t="str">
        <f>IF('1. Live'!CS358='check-Jul25'!CS358,"",'1. Live'!CS358-'check-Jul25'!CS358)</f>
        <v/>
      </c>
      <c r="CT358" t="str">
        <f>IF('1. Live'!CT358='check-Jul25'!CT358,"",'1. Live'!CT358-'check-Jul25'!CT358)</f>
        <v/>
      </c>
      <c r="CU358" t="str">
        <f>IF('1. Live'!CU358='check-Jul25'!CU358,"",'1. Live'!CU358-'check-Jul25'!CU358)</f>
        <v/>
      </c>
      <c r="CV358" t="str">
        <f>IF('1. Live'!CV358='check-Jul25'!CV358,"",'1. Live'!CV358-'check-Jul25'!CV358)</f>
        <v/>
      </c>
      <c r="CW358" t="str">
        <f>IF('1. Live'!CW358='check-Jul25'!CW358,"",'1. Live'!CW358-'check-Jul25'!CW358)</f>
        <v/>
      </c>
    </row>
    <row r="359" spans="10:101">
      <c r="J359" t="str">
        <f>IF('1. Live'!J359='check-Jul25'!J359,"",'1. Live'!J359-'check-Jul25'!J359)</f>
        <v/>
      </c>
      <c r="K359" t="str">
        <f>IF('1. Live'!K359='check-Jul25'!K359,"",'1. Live'!K359-'check-Jul25'!K359)</f>
        <v/>
      </c>
      <c r="L359" t="str">
        <f>IF('1. Live'!L359='check-Jul25'!L359,"",'1. Live'!L359-'check-Jul25'!L359)</f>
        <v/>
      </c>
      <c r="M359" t="str">
        <f>IF('1. Live'!M359='check-Jul25'!M359,"",'1. Live'!M359-'check-Jul25'!M359)</f>
        <v/>
      </c>
      <c r="N359" t="str">
        <f>IF('1. Live'!N359='check-Jul25'!N359,"",'1. Live'!N359-'check-Jul25'!N359)</f>
        <v/>
      </c>
      <c r="O359" t="str">
        <f>IF('1. Live'!O359='check-Jul25'!O359,"",'1. Live'!O359-'check-Jul25'!O359)</f>
        <v/>
      </c>
      <c r="P359" t="str">
        <f>IF('1. Live'!P359='check-Jul25'!P359,"",'1. Live'!P359-'check-Jul25'!P359)</f>
        <v/>
      </c>
      <c r="Q359" t="str">
        <f>IF('1. Live'!Q359='check-Jul25'!Q359,"",'1. Live'!Q359-'check-Jul25'!Q359)</f>
        <v/>
      </c>
      <c r="R359" t="str">
        <f>IF('1. Live'!R359='check-Jul25'!R359,"",'1. Live'!R359-'check-Jul25'!R359)</f>
        <v/>
      </c>
      <c r="S359" t="str">
        <f>IF('1. Live'!S359='check-Jul25'!S359,"",'1. Live'!S359-'check-Jul25'!S359)</f>
        <v/>
      </c>
      <c r="T359" t="str">
        <f>IF('1. Live'!T359='check-Jul25'!T359,"",'1. Live'!T359-'check-Jul25'!T359)</f>
        <v/>
      </c>
      <c r="U359" t="str">
        <f>IF('1. Live'!U359='check-Jul25'!U359,"",'1. Live'!U359-'check-Jul25'!U359)</f>
        <v/>
      </c>
      <c r="V359" t="str">
        <f>IF('1. Live'!V359='check-Jul25'!V359,"",'1. Live'!V359-'check-Jul25'!V359)</f>
        <v/>
      </c>
      <c r="W359" t="str">
        <f>IF('1. Live'!W359='check-Jul25'!W359,"",'1. Live'!W359-'check-Jul25'!W359)</f>
        <v/>
      </c>
      <c r="X359" t="str">
        <f>IF('1. Live'!X359='check-Jul25'!X359,"",'1. Live'!X359-'check-Jul25'!X359)</f>
        <v/>
      </c>
      <c r="Y359" t="str">
        <f>IF('1. Live'!Y359='check-Jul25'!Y359,"",'1. Live'!Y359-'check-Jul25'!Y359)</f>
        <v/>
      </c>
      <c r="Z359" t="str">
        <f>IF('1. Live'!Z359='check-Jul25'!Z359,"",'1. Live'!Z359-'check-Jul25'!Z359)</f>
        <v/>
      </c>
      <c r="AA359" t="str">
        <f>IF('1. Live'!AA359='check-Jul25'!AA359,"",'1. Live'!AA359-'check-Jul25'!AA359)</f>
        <v/>
      </c>
      <c r="AB359" t="str">
        <f>IF('1. Live'!AB359='check-Jul25'!AB359,"",'1. Live'!AB359-'check-Jul25'!AB359)</f>
        <v/>
      </c>
      <c r="AC359" t="str">
        <f>IF('1. Live'!AC359='check-Jul25'!AC359,"",'1. Live'!AC359-'check-Jul25'!AC359)</f>
        <v/>
      </c>
      <c r="AD359" t="str">
        <f>IF('1. Live'!AD359='check-Jul25'!AD359,"",'1. Live'!AD359-'check-Jul25'!AD359)</f>
        <v/>
      </c>
      <c r="AE359" t="str">
        <f>IF('1. Live'!AE359='check-Jul25'!AE359,"",'1. Live'!AE359-'check-Jul25'!AE359)</f>
        <v/>
      </c>
      <c r="AF359" t="str">
        <f>IF('1. Live'!AF359='check-Jul25'!AF359,"",'1. Live'!AF359-'check-Jul25'!AF359)</f>
        <v/>
      </c>
      <c r="AG359" t="str">
        <f>IF('1. Live'!AG359='check-Jul25'!AG359,"",'1. Live'!AG359-'check-Jul25'!AG359)</f>
        <v/>
      </c>
      <c r="AH359" t="str">
        <f>IF('1. Live'!AH359='check-Jul25'!AH359,"",'1. Live'!AH359-'check-Jul25'!AH359)</f>
        <v/>
      </c>
      <c r="AI359" t="str">
        <f>IF('1. Live'!AI359='check-Jul25'!AI359,"",'1. Live'!AI359-'check-Jul25'!AI359)</f>
        <v/>
      </c>
      <c r="AJ359" t="str">
        <f>IF('1. Live'!AJ359='check-Jul25'!AJ359,"",'1. Live'!AJ359-'check-Jul25'!AJ359)</f>
        <v/>
      </c>
      <c r="AK359" t="str">
        <f>IF('1. Live'!AK359='check-Jul25'!AK359,"",'1. Live'!AK359-'check-Jul25'!AK359)</f>
        <v/>
      </c>
      <c r="AL359" t="str">
        <f>IF('1. Live'!AL359='check-Jul25'!AL359,"",'1. Live'!AL359-'check-Jul25'!AL359)</f>
        <v/>
      </c>
      <c r="AM359" t="str">
        <f>IF('1. Live'!AM359='check-Jul25'!AM359,"",'1. Live'!AM359-'check-Jul25'!AM359)</f>
        <v/>
      </c>
      <c r="AN359" t="str">
        <f>IF('1. Live'!AN359='check-Jul25'!AN359,"",'1. Live'!AN359-'check-Jul25'!AN359)</f>
        <v/>
      </c>
      <c r="AO359" t="str">
        <f>IF('1. Live'!AO359='check-Jul25'!AO359,"",'1. Live'!AO359-'check-Jul25'!AO359)</f>
        <v/>
      </c>
      <c r="AP359" t="str">
        <f>IF('1. Live'!AP359='check-Jul25'!AP359,"",'1. Live'!AP359-'check-Jul25'!AP359)</f>
        <v/>
      </c>
      <c r="AQ359" t="str">
        <f>IF('1. Live'!AQ359='check-Jul25'!AQ359,"",'1. Live'!AQ359-'check-Jul25'!AQ359)</f>
        <v/>
      </c>
      <c r="AR359" t="str">
        <f>IF('1. Live'!AR359='check-Jul25'!AR359,"",'1. Live'!AR359-'check-Jul25'!AR359)</f>
        <v/>
      </c>
      <c r="AS359" t="str">
        <f>IF('1. Live'!AS359='check-Jul25'!AS359,"",'1. Live'!AS359-'check-Jul25'!AS359)</f>
        <v/>
      </c>
      <c r="AT359" t="str">
        <f>IF('1. Live'!AT359='check-Jul25'!AT359,"",'1. Live'!AT359-'check-Jul25'!AT359)</f>
        <v/>
      </c>
      <c r="AU359" t="str">
        <f>IF('1. Live'!AU359='check-Jul25'!AU359,"",'1. Live'!AU359-'check-Jul25'!AU359)</f>
        <v/>
      </c>
      <c r="AV359" t="str">
        <f>IF('1. Live'!AV359='check-Jul25'!AV359,"",'1. Live'!AV359-'check-Jul25'!AV359)</f>
        <v/>
      </c>
      <c r="AW359" t="str">
        <f>IF('1. Live'!AW359='check-Jul25'!AW359,"",'1. Live'!AW359-'check-Jul25'!AW359)</f>
        <v/>
      </c>
      <c r="AX359" t="str">
        <f>IF('1. Live'!AX359='check-Jul25'!AX359,"",'1. Live'!AX359-'check-Jul25'!AX359)</f>
        <v/>
      </c>
      <c r="AY359" t="str">
        <f>IF('1. Live'!AY359='check-Jul25'!AY359,"",'1. Live'!AY359-'check-Jul25'!AY359)</f>
        <v/>
      </c>
      <c r="AZ359" t="str">
        <f>IF('1. Live'!AZ359='check-Jul25'!AZ359,"",'1. Live'!AZ359-'check-Jul25'!AZ359)</f>
        <v/>
      </c>
      <c r="BA359" t="str">
        <f>IF('1. Live'!BA359='check-Jul25'!BA359,"",'1. Live'!BA359-'check-Jul25'!BA359)</f>
        <v/>
      </c>
      <c r="BB359" t="str">
        <f>IF('1. Live'!BB359='check-Jul25'!BB359,"",'1. Live'!BB359-'check-Jul25'!BB359)</f>
        <v/>
      </c>
      <c r="BC359" t="str">
        <f>IF('1. Live'!BC359='check-Jul25'!BC359,"",'1. Live'!BC359-'check-Jul25'!BC359)</f>
        <v/>
      </c>
      <c r="BD359" t="str">
        <f>IF('1. Live'!BD359='check-Jul25'!BD359,"",'1. Live'!BD359-'check-Jul25'!BD359)</f>
        <v/>
      </c>
      <c r="BE359" t="str">
        <f>IF('1. Live'!BE359='check-Jul25'!BE359,"",'1. Live'!BE359-'check-Jul25'!BE359)</f>
        <v/>
      </c>
      <c r="BF359" t="str">
        <f>IF('1. Live'!BF359='check-Jul25'!BF359,"",'1. Live'!BF359-'check-Jul25'!BF359)</f>
        <v/>
      </c>
      <c r="BG359" t="str">
        <f>IF('1. Live'!BG359='check-Jul25'!BG359,"",'1. Live'!BG359-'check-Jul25'!BG359)</f>
        <v/>
      </c>
      <c r="BH359" t="str">
        <f>IF('1. Live'!BH359='check-Jul25'!BH359,"",'1. Live'!BH359-'check-Jul25'!BH359)</f>
        <v/>
      </c>
      <c r="BI359" t="str">
        <f>IF('1. Live'!BI359='check-Jul25'!BI359,"",'1. Live'!BI359-'check-Jul25'!BI359)</f>
        <v/>
      </c>
      <c r="BJ359" t="str">
        <f>IF('1. Live'!BJ359='check-Jul25'!BJ359,"",'1. Live'!BJ359-'check-Jul25'!BJ359)</f>
        <v/>
      </c>
      <c r="BK359" t="str">
        <f>IF('1. Live'!BK359='check-Jul25'!BK359,"",'1. Live'!BK359-'check-Jul25'!BK359)</f>
        <v/>
      </c>
      <c r="BL359" t="str">
        <f>IF('1. Live'!BL359='check-Jul25'!BL359,"",'1. Live'!BL359-'check-Jul25'!BL359)</f>
        <v/>
      </c>
      <c r="BM359" t="str">
        <f>IF('1. Live'!BM359='check-Jul25'!BM359,"",'1. Live'!BM359-'check-Jul25'!BM359)</f>
        <v/>
      </c>
      <c r="BN359" t="str">
        <f>IF('1. Live'!BN359='check-Jul25'!BN359,"",'1. Live'!BN359-'check-Jul25'!BN359)</f>
        <v/>
      </c>
      <c r="BO359" t="str">
        <f>IF('1. Live'!BO359='check-Jul25'!BO359,"",'1. Live'!BO359-'check-Jul25'!BO359)</f>
        <v/>
      </c>
      <c r="BP359" t="str">
        <f>IF('1. Live'!BP359='check-Jul25'!BP359,"",'1. Live'!BP359-'check-Jul25'!BP359)</f>
        <v/>
      </c>
      <c r="BQ359" t="str">
        <f>IF('1. Live'!BQ359='check-Jul25'!BQ359,"",'1. Live'!BQ359-'check-Jul25'!BQ359)</f>
        <v/>
      </c>
      <c r="BR359" t="str">
        <f>IF('1. Live'!BR359='check-Jul25'!BR359,"",'1. Live'!BR359-'check-Jul25'!BR359)</f>
        <v/>
      </c>
      <c r="BS359" t="str">
        <f>IF('1. Live'!BS359='check-Jul25'!BS359,"",'1. Live'!BS359-'check-Jul25'!BS359)</f>
        <v/>
      </c>
      <c r="BT359" t="str">
        <f>IF('1. Live'!BT359='check-Jul25'!BT359,"",'1. Live'!BT359-'check-Jul25'!BT359)</f>
        <v/>
      </c>
      <c r="BU359" t="str">
        <f>IF('1. Live'!BU359='check-Jul25'!BU359,"",'1. Live'!BU359-'check-Jul25'!BU359)</f>
        <v/>
      </c>
      <c r="BV359" t="str">
        <f>IF('1. Live'!BV359='check-Jul25'!BV359,"",'1. Live'!BV359-'check-Jul25'!BV359)</f>
        <v/>
      </c>
      <c r="BW359" t="str">
        <f>IF('1. Live'!BW359='check-Jul25'!BW359,"",'1. Live'!BW359-'check-Jul25'!BW359)</f>
        <v/>
      </c>
      <c r="BX359" t="str">
        <f>IF('1. Live'!BX359='check-Jul25'!BX359,"",'1. Live'!BX359-'check-Jul25'!BX359)</f>
        <v/>
      </c>
      <c r="BY359" t="str">
        <f>IF('1. Live'!BY359='check-Jul25'!BY359,"",'1. Live'!BY359-'check-Jul25'!BY359)</f>
        <v/>
      </c>
      <c r="BZ359" t="str">
        <f>IF('1. Live'!BZ359='check-Jul25'!BZ359,"",'1. Live'!BZ359-'check-Jul25'!BZ359)</f>
        <v/>
      </c>
      <c r="CA359" t="str">
        <f>IF('1. Live'!CA359='check-Jul25'!CA359,"",'1. Live'!CA359-'check-Jul25'!CA359)</f>
        <v/>
      </c>
      <c r="CB359" t="str">
        <f>IF('1. Live'!CB359='check-Jul25'!CB359,"",'1. Live'!CB359-'check-Jul25'!CB359)</f>
        <v/>
      </c>
      <c r="CC359" t="str">
        <f>IF('1. Live'!CC359='check-Jul25'!CC359,"",'1. Live'!CC359-'check-Jul25'!CC359)</f>
        <v/>
      </c>
      <c r="CD359" t="str">
        <f>IF('1. Live'!CD359='check-Jul25'!CD359,"",'1. Live'!CD359-'check-Jul25'!CD359)</f>
        <v/>
      </c>
      <c r="CE359" t="str">
        <f>IF('1. Live'!CE359='check-Jul25'!CE359,"",'1. Live'!CE359-'check-Jul25'!CE359)</f>
        <v/>
      </c>
      <c r="CF359" t="str">
        <f>IF('1. Live'!CF359='check-Jul25'!CF359,"",'1. Live'!CF359-'check-Jul25'!CF359)</f>
        <v/>
      </c>
      <c r="CG359" t="str">
        <f>IF('1. Live'!CG359='check-Jul25'!CG359,"",'1. Live'!CG359-'check-Jul25'!CG359)</f>
        <v/>
      </c>
      <c r="CH359" t="str">
        <f>IF('1. Live'!CH359='check-Jul25'!CH359,"",'1. Live'!CH359-'check-Jul25'!CH359)</f>
        <v/>
      </c>
      <c r="CI359" t="str">
        <f>IF('1. Live'!CI359='check-Jul25'!CI359,"",'1. Live'!CI359-'check-Jul25'!CI359)</f>
        <v/>
      </c>
      <c r="CJ359" t="str">
        <f>IF('1. Live'!CJ359='check-Jul25'!CJ359,"",'1. Live'!CJ359-'check-Jul25'!CJ359)</f>
        <v/>
      </c>
      <c r="CK359" t="str">
        <f>IF('1. Live'!CK359='check-Jul25'!CK359,"",'1. Live'!CK359-'check-Jul25'!CK359)</f>
        <v/>
      </c>
      <c r="CL359" t="str">
        <f>IF('1. Live'!CL359='check-Jul25'!CL359,"",'1. Live'!CL359-'check-Jul25'!CL359)</f>
        <v/>
      </c>
      <c r="CM359" t="str">
        <f>IF('1. Live'!CM359='check-Jul25'!CM359,"",'1. Live'!CM359-'check-Jul25'!CM359)</f>
        <v/>
      </c>
      <c r="CN359" t="str">
        <f>IF('1. Live'!CN359='check-Jul25'!CN359,"",'1. Live'!CN359-'check-Jul25'!CN359)</f>
        <v/>
      </c>
      <c r="CO359" t="str">
        <f>IF('1. Live'!CO359='check-Jul25'!CO359,"",'1. Live'!CO359-'check-Jul25'!CO359)</f>
        <v/>
      </c>
      <c r="CP359" t="str">
        <f>IF('1. Live'!CP359='check-Jul25'!CP359,"",'1. Live'!CP359-'check-Jul25'!CP359)</f>
        <v/>
      </c>
      <c r="CQ359" t="str">
        <f>IF('1. Live'!CQ359='check-Jul25'!CQ359,"",'1. Live'!CQ359-'check-Jul25'!CQ359)</f>
        <v/>
      </c>
      <c r="CR359" t="str">
        <f>IF('1. Live'!CR359='check-Jul25'!CR359,"",'1. Live'!CR359-'check-Jul25'!CR359)</f>
        <v/>
      </c>
      <c r="CS359" t="str">
        <f>IF('1. Live'!CS359='check-Jul25'!CS359,"",'1. Live'!CS359-'check-Jul25'!CS359)</f>
        <v/>
      </c>
      <c r="CT359" t="str">
        <f>IF('1. Live'!CT359='check-Jul25'!CT359,"",'1. Live'!CT359-'check-Jul25'!CT359)</f>
        <v/>
      </c>
      <c r="CU359" t="str">
        <f>IF('1. Live'!CU359='check-Jul25'!CU359,"",'1. Live'!CU359-'check-Jul25'!CU359)</f>
        <v/>
      </c>
      <c r="CV359" t="str">
        <f>IF('1. Live'!CV359='check-Jul25'!CV359,"",'1. Live'!CV359-'check-Jul25'!CV359)</f>
        <v/>
      </c>
      <c r="CW359" t="str">
        <f>IF('1. Live'!CW359='check-Jul25'!CW359,"",'1. Live'!CW359-'check-Jul25'!CW359)</f>
        <v/>
      </c>
    </row>
    <row r="360" spans="10:101">
      <c r="J360" t="str">
        <f>IF('1. Live'!J360='check-Jul25'!J360,"",'1. Live'!J360-'check-Jul25'!J360)</f>
        <v/>
      </c>
      <c r="K360" t="str">
        <f>IF('1. Live'!K360='check-Jul25'!K360,"",'1. Live'!K360-'check-Jul25'!K360)</f>
        <v/>
      </c>
      <c r="L360" t="str">
        <f>IF('1. Live'!L360='check-Jul25'!L360,"",'1. Live'!L360-'check-Jul25'!L360)</f>
        <v/>
      </c>
      <c r="M360" t="str">
        <f>IF('1. Live'!M360='check-Jul25'!M360,"",'1. Live'!M360-'check-Jul25'!M360)</f>
        <v/>
      </c>
      <c r="N360" t="str">
        <f>IF('1. Live'!N360='check-Jul25'!N360,"",'1. Live'!N360-'check-Jul25'!N360)</f>
        <v/>
      </c>
      <c r="O360" t="str">
        <f>IF('1. Live'!O360='check-Jul25'!O360,"",'1. Live'!O360-'check-Jul25'!O360)</f>
        <v/>
      </c>
      <c r="P360" t="str">
        <f>IF('1. Live'!P360='check-Jul25'!P360,"",'1. Live'!P360-'check-Jul25'!P360)</f>
        <v/>
      </c>
      <c r="Q360" t="str">
        <f>IF('1. Live'!Q360='check-Jul25'!Q360,"",'1. Live'!Q360-'check-Jul25'!Q360)</f>
        <v/>
      </c>
      <c r="R360" t="str">
        <f>IF('1. Live'!R360='check-Jul25'!R360,"",'1. Live'!R360-'check-Jul25'!R360)</f>
        <v/>
      </c>
      <c r="S360" t="str">
        <f>IF('1. Live'!S360='check-Jul25'!S360,"",'1. Live'!S360-'check-Jul25'!S360)</f>
        <v/>
      </c>
      <c r="T360" t="str">
        <f>IF('1. Live'!T360='check-Jul25'!T360,"",'1. Live'!T360-'check-Jul25'!T360)</f>
        <v/>
      </c>
      <c r="U360" t="str">
        <f>IF('1. Live'!U360='check-Jul25'!U360,"",'1. Live'!U360-'check-Jul25'!U360)</f>
        <v/>
      </c>
      <c r="V360" t="str">
        <f>IF('1. Live'!V360='check-Jul25'!V360,"",'1. Live'!V360-'check-Jul25'!V360)</f>
        <v/>
      </c>
      <c r="W360" t="str">
        <f>IF('1. Live'!W360='check-Jul25'!W360,"",'1. Live'!W360-'check-Jul25'!W360)</f>
        <v/>
      </c>
      <c r="X360" t="str">
        <f>IF('1. Live'!X360='check-Jul25'!X360,"",'1. Live'!X360-'check-Jul25'!X360)</f>
        <v/>
      </c>
      <c r="Y360" t="str">
        <f>IF('1. Live'!Y360='check-Jul25'!Y360,"",'1. Live'!Y360-'check-Jul25'!Y360)</f>
        <v/>
      </c>
      <c r="Z360" t="str">
        <f>IF('1. Live'!Z360='check-Jul25'!Z360,"",'1. Live'!Z360-'check-Jul25'!Z360)</f>
        <v/>
      </c>
      <c r="AA360" t="str">
        <f>IF('1. Live'!AA360='check-Jul25'!AA360,"",'1. Live'!AA360-'check-Jul25'!AA360)</f>
        <v/>
      </c>
      <c r="AB360" t="str">
        <f>IF('1. Live'!AB360='check-Jul25'!AB360,"",'1. Live'!AB360-'check-Jul25'!AB360)</f>
        <v/>
      </c>
      <c r="AC360" t="str">
        <f>IF('1. Live'!AC360='check-Jul25'!AC360,"",'1. Live'!AC360-'check-Jul25'!AC360)</f>
        <v/>
      </c>
      <c r="AD360" t="str">
        <f>IF('1. Live'!AD360='check-Jul25'!AD360,"",'1. Live'!AD360-'check-Jul25'!AD360)</f>
        <v/>
      </c>
      <c r="AE360" t="str">
        <f>IF('1. Live'!AE360='check-Jul25'!AE360,"",'1. Live'!AE360-'check-Jul25'!AE360)</f>
        <v/>
      </c>
      <c r="AF360" t="str">
        <f>IF('1. Live'!AF360='check-Jul25'!AF360,"",'1. Live'!AF360-'check-Jul25'!AF360)</f>
        <v/>
      </c>
      <c r="AG360" t="str">
        <f>IF('1. Live'!AG360='check-Jul25'!AG360,"",'1. Live'!AG360-'check-Jul25'!AG360)</f>
        <v/>
      </c>
      <c r="AH360" t="str">
        <f>IF('1. Live'!AH360='check-Jul25'!AH360,"",'1. Live'!AH360-'check-Jul25'!AH360)</f>
        <v/>
      </c>
      <c r="AI360" t="str">
        <f>IF('1. Live'!AI360='check-Jul25'!AI360,"",'1. Live'!AI360-'check-Jul25'!AI360)</f>
        <v/>
      </c>
      <c r="AJ360" t="str">
        <f>IF('1. Live'!AJ360='check-Jul25'!AJ360,"",'1. Live'!AJ360-'check-Jul25'!AJ360)</f>
        <v/>
      </c>
      <c r="AK360" t="str">
        <f>IF('1. Live'!AK360='check-Jul25'!AK360,"",'1. Live'!AK360-'check-Jul25'!AK360)</f>
        <v/>
      </c>
      <c r="AL360" t="str">
        <f>IF('1. Live'!AL360='check-Jul25'!AL360,"",'1. Live'!AL360-'check-Jul25'!AL360)</f>
        <v/>
      </c>
      <c r="AM360" t="str">
        <f>IF('1. Live'!AM360='check-Jul25'!AM360,"",'1. Live'!AM360-'check-Jul25'!AM360)</f>
        <v/>
      </c>
      <c r="AN360" t="str">
        <f>IF('1. Live'!AN360='check-Jul25'!AN360,"",'1. Live'!AN360-'check-Jul25'!AN360)</f>
        <v/>
      </c>
      <c r="AO360" t="str">
        <f>IF('1. Live'!AO360='check-Jul25'!AO360,"",'1. Live'!AO360-'check-Jul25'!AO360)</f>
        <v/>
      </c>
      <c r="AP360" t="str">
        <f>IF('1. Live'!AP360='check-Jul25'!AP360,"",'1. Live'!AP360-'check-Jul25'!AP360)</f>
        <v/>
      </c>
      <c r="AQ360" t="str">
        <f>IF('1. Live'!AQ360='check-Jul25'!AQ360,"",'1. Live'!AQ360-'check-Jul25'!AQ360)</f>
        <v/>
      </c>
      <c r="AR360" t="str">
        <f>IF('1. Live'!AR360='check-Jul25'!AR360,"",'1. Live'!AR360-'check-Jul25'!AR360)</f>
        <v/>
      </c>
      <c r="AS360" t="str">
        <f>IF('1. Live'!AS360='check-Jul25'!AS360,"",'1. Live'!AS360-'check-Jul25'!AS360)</f>
        <v/>
      </c>
      <c r="AT360" t="str">
        <f>IF('1. Live'!AT360='check-Jul25'!AT360,"",'1. Live'!AT360-'check-Jul25'!AT360)</f>
        <v/>
      </c>
      <c r="AU360" t="str">
        <f>IF('1. Live'!AU360='check-Jul25'!AU360,"",'1. Live'!AU360-'check-Jul25'!AU360)</f>
        <v/>
      </c>
      <c r="AV360" t="str">
        <f>IF('1. Live'!AV360='check-Jul25'!AV360,"",'1. Live'!AV360-'check-Jul25'!AV360)</f>
        <v/>
      </c>
      <c r="AW360" t="str">
        <f>IF('1. Live'!AW360='check-Jul25'!AW360,"",'1. Live'!AW360-'check-Jul25'!AW360)</f>
        <v/>
      </c>
      <c r="AX360" t="str">
        <f>IF('1. Live'!AX360='check-Jul25'!AX360,"",'1. Live'!AX360-'check-Jul25'!AX360)</f>
        <v/>
      </c>
      <c r="AY360" t="str">
        <f>IF('1. Live'!AY360='check-Jul25'!AY360,"",'1. Live'!AY360-'check-Jul25'!AY360)</f>
        <v/>
      </c>
      <c r="AZ360" t="str">
        <f>IF('1. Live'!AZ360='check-Jul25'!AZ360,"",'1. Live'!AZ360-'check-Jul25'!AZ360)</f>
        <v/>
      </c>
      <c r="BA360" t="str">
        <f>IF('1. Live'!BA360='check-Jul25'!BA360,"",'1. Live'!BA360-'check-Jul25'!BA360)</f>
        <v/>
      </c>
      <c r="BB360" t="str">
        <f>IF('1. Live'!BB360='check-Jul25'!BB360,"",'1. Live'!BB360-'check-Jul25'!BB360)</f>
        <v/>
      </c>
      <c r="BC360" t="str">
        <f>IF('1. Live'!BC360='check-Jul25'!BC360,"",'1. Live'!BC360-'check-Jul25'!BC360)</f>
        <v/>
      </c>
      <c r="BD360" t="str">
        <f>IF('1. Live'!BD360='check-Jul25'!BD360,"",'1. Live'!BD360-'check-Jul25'!BD360)</f>
        <v/>
      </c>
      <c r="BE360" t="str">
        <f>IF('1. Live'!BE360='check-Jul25'!BE360,"",'1. Live'!BE360-'check-Jul25'!BE360)</f>
        <v/>
      </c>
      <c r="BF360" t="str">
        <f>IF('1. Live'!BF360='check-Jul25'!BF360,"",'1. Live'!BF360-'check-Jul25'!BF360)</f>
        <v/>
      </c>
      <c r="BG360" t="str">
        <f>IF('1. Live'!BG360='check-Jul25'!BG360,"",'1. Live'!BG360-'check-Jul25'!BG360)</f>
        <v/>
      </c>
      <c r="BH360" t="str">
        <f>IF('1. Live'!BH360='check-Jul25'!BH360,"",'1. Live'!BH360-'check-Jul25'!BH360)</f>
        <v/>
      </c>
      <c r="BI360" t="str">
        <f>IF('1. Live'!BI360='check-Jul25'!BI360,"",'1. Live'!BI360-'check-Jul25'!BI360)</f>
        <v/>
      </c>
      <c r="BJ360" t="str">
        <f>IF('1. Live'!BJ360='check-Jul25'!BJ360,"",'1. Live'!BJ360-'check-Jul25'!BJ360)</f>
        <v/>
      </c>
      <c r="BK360" t="str">
        <f>IF('1. Live'!BK360='check-Jul25'!BK360,"",'1. Live'!BK360-'check-Jul25'!BK360)</f>
        <v/>
      </c>
      <c r="BL360" t="str">
        <f>IF('1. Live'!BL360='check-Jul25'!BL360,"",'1. Live'!BL360-'check-Jul25'!BL360)</f>
        <v/>
      </c>
      <c r="BM360" t="str">
        <f>IF('1. Live'!BM360='check-Jul25'!BM360,"",'1. Live'!BM360-'check-Jul25'!BM360)</f>
        <v/>
      </c>
      <c r="BN360" t="str">
        <f>IF('1. Live'!BN360='check-Jul25'!BN360,"",'1. Live'!BN360-'check-Jul25'!BN360)</f>
        <v/>
      </c>
      <c r="BO360" t="str">
        <f>IF('1. Live'!BO360='check-Jul25'!BO360,"",'1. Live'!BO360-'check-Jul25'!BO360)</f>
        <v/>
      </c>
      <c r="BP360" t="str">
        <f>IF('1. Live'!BP360='check-Jul25'!BP360,"",'1. Live'!BP360-'check-Jul25'!BP360)</f>
        <v/>
      </c>
      <c r="BQ360" t="str">
        <f>IF('1. Live'!BQ360='check-Jul25'!BQ360,"",'1. Live'!BQ360-'check-Jul25'!BQ360)</f>
        <v/>
      </c>
      <c r="BR360" t="str">
        <f>IF('1. Live'!BR360='check-Jul25'!BR360,"",'1. Live'!BR360-'check-Jul25'!BR360)</f>
        <v/>
      </c>
      <c r="BS360" t="str">
        <f>IF('1. Live'!BS360='check-Jul25'!BS360,"",'1. Live'!BS360-'check-Jul25'!BS360)</f>
        <v/>
      </c>
      <c r="BT360" t="str">
        <f>IF('1. Live'!BT360='check-Jul25'!BT360,"",'1. Live'!BT360-'check-Jul25'!BT360)</f>
        <v/>
      </c>
      <c r="BU360" t="str">
        <f>IF('1. Live'!BU360='check-Jul25'!BU360,"",'1. Live'!BU360-'check-Jul25'!BU360)</f>
        <v/>
      </c>
      <c r="BV360" t="str">
        <f>IF('1. Live'!BV360='check-Jul25'!BV360,"",'1. Live'!BV360-'check-Jul25'!BV360)</f>
        <v/>
      </c>
      <c r="BW360" t="str">
        <f>IF('1. Live'!BW360='check-Jul25'!BW360,"",'1. Live'!BW360-'check-Jul25'!BW360)</f>
        <v/>
      </c>
      <c r="BX360" t="str">
        <f>IF('1. Live'!BX360='check-Jul25'!BX360,"",'1. Live'!BX360-'check-Jul25'!BX360)</f>
        <v/>
      </c>
      <c r="BY360" t="str">
        <f>IF('1. Live'!BY360='check-Jul25'!BY360,"",'1. Live'!BY360-'check-Jul25'!BY360)</f>
        <v/>
      </c>
      <c r="BZ360" t="str">
        <f>IF('1. Live'!BZ360='check-Jul25'!BZ360,"",'1. Live'!BZ360-'check-Jul25'!BZ360)</f>
        <v/>
      </c>
      <c r="CA360" t="str">
        <f>IF('1. Live'!CA360='check-Jul25'!CA360,"",'1. Live'!CA360-'check-Jul25'!CA360)</f>
        <v/>
      </c>
      <c r="CB360" t="str">
        <f>IF('1. Live'!CB360='check-Jul25'!CB360,"",'1. Live'!CB360-'check-Jul25'!CB360)</f>
        <v/>
      </c>
      <c r="CC360" t="str">
        <f>IF('1. Live'!CC360='check-Jul25'!CC360,"",'1. Live'!CC360-'check-Jul25'!CC360)</f>
        <v/>
      </c>
      <c r="CD360" t="str">
        <f>IF('1. Live'!CD360='check-Jul25'!CD360,"",'1. Live'!CD360-'check-Jul25'!CD360)</f>
        <v/>
      </c>
      <c r="CE360" t="str">
        <f>IF('1. Live'!CE360='check-Jul25'!CE360,"",'1. Live'!CE360-'check-Jul25'!CE360)</f>
        <v/>
      </c>
      <c r="CF360" t="str">
        <f>IF('1. Live'!CF360='check-Jul25'!CF360,"",'1. Live'!CF360-'check-Jul25'!CF360)</f>
        <v/>
      </c>
      <c r="CG360" t="str">
        <f>IF('1. Live'!CG360='check-Jul25'!CG360,"",'1. Live'!CG360-'check-Jul25'!CG360)</f>
        <v/>
      </c>
      <c r="CH360" t="str">
        <f>IF('1. Live'!CH360='check-Jul25'!CH360,"",'1. Live'!CH360-'check-Jul25'!CH360)</f>
        <v/>
      </c>
      <c r="CI360" t="str">
        <f>IF('1. Live'!CI360='check-Jul25'!CI360,"",'1. Live'!CI360-'check-Jul25'!CI360)</f>
        <v/>
      </c>
      <c r="CJ360" t="str">
        <f>IF('1. Live'!CJ360='check-Jul25'!CJ360,"",'1. Live'!CJ360-'check-Jul25'!CJ360)</f>
        <v/>
      </c>
      <c r="CK360" t="str">
        <f>IF('1. Live'!CK360='check-Jul25'!CK360,"",'1. Live'!CK360-'check-Jul25'!CK360)</f>
        <v/>
      </c>
      <c r="CL360" t="str">
        <f>IF('1. Live'!CL360='check-Jul25'!CL360,"",'1. Live'!CL360-'check-Jul25'!CL360)</f>
        <v/>
      </c>
      <c r="CM360" t="str">
        <f>IF('1. Live'!CM360='check-Jul25'!CM360,"",'1. Live'!CM360-'check-Jul25'!CM360)</f>
        <v/>
      </c>
      <c r="CN360" t="str">
        <f>IF('1. Live'!CN360='check-Jul25'!CN360,"",'1. Live'!CN360-'check-Jul25'!CN360)</f>
        <v/>
      </c>
      <c r="CO360" t="str">
        <f>IF('1. Live'!CO360='check-Jul25'!CO360,"",'1. Live'!CO360-'check-Jul25'!CO360)</f>
        <v/>
      </c>
      <c r="CP360" t="str">
        <f>IF('1. Live'!CP360='check-Jul25'!CP360,"",'1. Live'!CP360-'check-Jul25'!CP360)</f>
        <v/>
      </c>
      <c r="CQ360" t="str">
        <f>IF('1. Live'!CQ360='check-Jul25'!CQ360,"",'1. Live'!CQ360-'check-Jul25'!CQ360)</f>
        <v/>
      </c>
      <c r="CR360" t="str">
        <f>IF('1. Live'!CR360='check-Jul25'!CR360,"",'1. Live'!CR360-'check-Jul25'!CR360)</f>
        <v/>
      </c>
      <c r="CS360" t="str">
        <f>IF('1. Live'!CS360='check-Jul25'!CS360,"",'1. Live'!CS360-'check-Jul25'!CS360)</f>
        <v/>
      </c>
      <c r="CT360" t="str">
        <f>IF('1. Live'!CT360='check-Jul25'!CT360,"",'1. Live'!CT360-'check-Jul25'!CT360)</f>
        <v/>
      </c>
      <c r="CU360" t="str">
        <f>IF('1. Live'!CU360='check-Jul25'!CU360,"",'1. Live'!CU360-'check-Jul25'!CU360)</f>
        <v/>
      </c>
      <c r="CV360" t="str">
        <f>IF('1. Live'!CV360='check-Jul25'!CV360,"",'1. Live'!CV360-'check-Jul25'!CV360)</f>
        <v/>
      </c>
      <c r="CW360" t="str">
        <f>IF('1. Live'!CW360='check-Jul25'!CW360,"",'1. Live'!CW360-'check-Jul25'!CW360)</f>
        <v/>
      </c>
    </row>
    <row r="361" spans="10:101">
      <c r="J361" t="str">
        <f>IF('1. Live'!J361='check-Jul25'!J361,"",'1. Live'!J361-'check-Jul25'!J361)</f>
        <v/>
      </c>
      <c r="K361" t="str">
        <f>IF('1. Live'!K361='check-Jul25'!K361,"",'1. Live'!K361-'check-Jul25'!K361)</f>
        <v/>
      </c>
      <c r="L361" t="str">
        <f>IF('1. Live'!L361='check-Jul25'!L361,"",'1. Live'!L361-'check-Jul25'!L361)</f>
        <v/>
      </c>
      <c r="M361" t="str">
        <f>IF('1. Live'!M361='check-Jul25'!M361,"",'1. Live'!M361-'check-Jul25'!M361)</f>
        <v/>
      </c>
      <c r="N361" t="str">
        <f>IF('1. Live'!N361='check-Jul25'!N361,"",'1. Live'!N361-'check-Jul25'!N361)</f>
        <v/>
      </c>
      <c r="O361" t="str">
        <f>IF('1. Live'!O361='check-Jul25'!O361,"",'1. Live'!O361-'check-Jul25'!O361)</f>
        <v/>
      </c>
      <c r="P361" t="str">
        <f>IF('1. Live'!P361='check-Jul25'!P361,"",'1. Live'!P361-'check-Jul25'!P361)</f>
        <v/>
      </c>
      <c r="Q361" t="str">
        <f>IF('1. Live'!Q361='check-Jul25'!Q361,"",'1. Live'!Q361-'check-Jul25'!Q361)</f>
        <v/>
      </c>
      <c r="R361" t="str">
        <f>IF('1. Live'!R361='check-Jul25'!R361,"",'1. Live'!R361-'check-Jul25'!R361)</f>
        <v/>
      </c>
      <c r="S361" t="str">
        <f>IF('1. Live'!S361='check-Jul25'!S361,"",'1. Live'!S361-'check-Jul25'!S361)</f>
        <v/>
      </c>
      <c r="T361" t="str">
        <f>IF('1. Live'!T361='check-Jul25'!T361,"",'1. Live'!T361-'check-Jul25'!T361)</f>
        <v/>
      </c>
      <c r="U361" t="str">
        <f>IF('1. Live'!U361='check-Jul25'!U361,"",'1. Live'!U361-'check-Jul25'!U361)</f>
        <v/>
      </c>
      <c r="V361" t="str">
        <f>IF('1. Live'!V361='check-Jul25'!V361,"",'1. Live'!V361-'check-Jul25'!V361)</f>
        <v/>
      </c>
      <c r="W361" t="str">
        <f>IF('1. Live'!W361='check-Jul25'!W361,"",'1. Live'!W361-'check-Jul25'!W361)</f>
        <v/>
      </c>
      <c r="X361" t="str">
        <f>IF('1. Live'!X361='check-Jul25'!X361,"",'1. Live'!X361-'check-Jul25'!X361)</f>
        <v/>
      </c>
      <c r="Y361" t="str">
        <f>IF('1. Live'!Y361='check-Jul25'!Y361,"",'1. Live'!Y361-'check-Jul25'!Y361)</f>
        <v/>
      </c>
      <c r="Z361" t="str">
        <f>IF('1. Live'!Z361='check-Jul25'!Z361,"",'1. Live'!Z361-'check-Jul25'!Z361)</f>
        <v/>
      </c>
      <c r="AA361" t="str">
        <f>IF('1. Live'!AA361='check-Jul25'!AA361,"",'1. Live'!AA361-'check-Jul25'!AA361)</f>
        <v/>
      </c>
      <c r="AB361" t="str">
        <f>IF('1. Live'!AB361='check-Jul25'!AB361,"",'1. Live'!AB361-'check-Jul25'!AB361)</f>
        <v/>
      </c>
      <c r="AC361" t="str">
        <f>IF('1. Live'!AC361='check-Jul25'!AC361,"",'1. Live'!AC361-'check-Jul25'!AC361)</f>
        <v/>
      </c>
      <c r="AD361" t="str">
        <f>IF('1. Live'!AD361='check-Jul25'!AD361,"",'1. Live'!AD361-'check-Jul25'!AD361)</f>
        <v/>
      </c>
      <c r="AE361" t="str">
        <f>IF('1. Live'!AE361='check-Jul25'!AE361,"",'1. Live'!AE361-'check-Jul25'!AE361)</f>
        <v/>
      </c>
      <c r="AF361" t="str">
        <f>IF('1. Live'!AF361='check-Jul25'!AF361,"",'1. Live'!AF361-'check-Jul25'!AF361)</f>
        <v/>
      </c>
      <c r="AG361" t="str">
        <f>IF('1. Live'!AG361='check-Jul25'!AG361,"",'1. Live'!AG361-'check-Jul25'!AG361)</f>
        <v/>
      </c>
      <c r="AH361" t="str">
        <f>IF('1. Live'!AH361='check-Jul25'!AH361,"",'1. Live'!AH361-'check-Jul25'!AH361)</f>
        <v/>
      </c>
      <c r="AI361" t="str">
        <f>IF('1. Live'!AI361='check-Jul25'!AI361,"",'1. Live'!AI361-'check-Jul25'!AI361)</f>
        <v/>
      </c>
      <c r="AJ361" t="str">
        <f>IF('1. Live'!AJ361='check-Jul25'!AJ361,"",'1. Live'!AJ361-'check-Jul25'!AJ361)</f>
        <v/>
      </c>
      <c r="AK361" t="str">
        <f>IF('1. Live'!AK361='check-Jul25'!AK361,"",'1. Live'!AK361-'check-Jul25'!AK361)</f>
        <v/>
      </c>
      <c r="AL361" t="str">
        <f>IF('1. Live'!AL361='check-Jul25'!AL361,"",'1. Live'!AL361-'check-Jul25'!AL361)</f>
        <v/>
      </c>
      <c r="AM361" t="str">
        <f>IF('1. Live'!AM361='check-Jul25'!AM361,"",'1. Live'!AM361-'check-Jul25'!AM361)</f>
        <v/>
      </c>
      <c r="AN361" t="str">
        <f>IF('1. Live'!AN361='check-Jul25'!AN361,"",'1. Live'!AN361-'check-Jul25'!AN361)</f>
        <v/>
      </c>
      <c r="AO361" t="str">
        <f>IF('1. Live'!AO361='check-Jul25'!AO361,"",'1. Live'!AO361-'check-Jul25'!AO361)</f>
        <v/>
      </c>
      <c r="AP361" t="str">
        <f>IF('1. Live'!AP361='check-Jul25'!AP361,"",'1. Live'!AP361-'check-Jul25'!AP361)</f>
        <v/>
      </c>
      <c r="AQ361" t="str">
        <f>IF('1. Live'!AQ361='check-Jul25'!AQ361,"",'1. Live'!AQ361-'check-Jul25'!AQ361)</f>
        <v/>
      </c>
      <c r="AR361" t="str">
        <f>IF('1. Live'!AR361='check-Jul25'!AR361,"",'1. Live'!AR361-'check-Jul25'!AR361)</f>
        <v/>
      </c>
      <c r="AS361" t="str">
        <f>IF('1. Live'!AS361='check-Jul25'!AS361,"",'1. Live'!AS361-'check-Jul25'!AS361)</f>
        <v/>
      </c>
      <c r="AT361" t="str">
        <f>IF('1. Live'!AT361='check-Jul25'!AT361,"",'1. Live'!AT361-'check-Jul25'!AT361)</f>
        <v/>
      </c>
      <c r="AU361" t="str">
        <f>IF('1. Live'!AU361='check-Jul25'!AU361,"",'1. Live'!AU361-'check-Jul25'!AU361)</f>
        <v/>
      </c>
      <c r="AV361" t="str">
        <f>IF('1. Live'!AV361='check-Jul25'!AV361,"",'1. Live'!AV361-'check-Jul25'!AV361)</f>
        <v/>
      </c>
      <c r="AW361" t="str">
        <f>IF('1. Live'!AW361='check-Jul25'!AW361,"",'1. Live'!AW361-'check-Jul25'!AW361)</f>
        <v/>
      </c>
      <c r="AX361" t="str">
        <f>IF('1. Live'!AX361='check-Jul25'!AX361,"",'1. Live'!AX361-'check-Jul25'!AX361)</f>
        <v/>
      </c>
      <c r="AY361" t="str">
        <f>IF('1. Live'!AY361='check-Jul25'!AY361,"",'1. Live'!AY361-'check-Jul25'!AY361)</f>
        <v/>
      </c>
      <c r="AZ361" t="str">
        <f>IF('1. Live'!AZ361='check-Jul25'!AZ361,"",'1. Live'!AZ361-'check-Jul25'!AZ361)</f>
        <v/>
      </c>
      <c r="BA361" t="str">
        <f>IF('1. Live'!BA361='check-Jul25'!BA361,"",'1. Live'!BA361-'check-Jul25'!BA361)</f>
        <v/>
      </c>
      <c r="BB361" t="str">
        <f>IF('1. Live'!BB361='check-Jul25'!BB361,"",'1. Live'!BB361-'check-Jul25'!BB361)</f>
        <v/>
      </c>
      <c r="BC361" t="str">
        <f>IF('1. Live'!BC361='check-Jul25'!BC361,"",'1. Live'!BC361-'check-Jul25'!BC361)</f>
        <v/>
      </c>
      <c r="BD361" t="str">
        <f>IF('1. Live'!BD361='check-Jul25'!BD361,"",'1. Live'!BD361-'check-Jul25'!BD361)</f>
        <v/>
      </c>
      <c r="BE361" t="str">
        <f>IF('1. Live'!BE361='check-Jul25'!BE361,"",'1. Live'!BE361-'check-Jul25'!BE361)</f>
        <v/>
      </c>
      <c r="BF361" t="str">
        <f>IF('1. Live'!BF361='check-Jul25'!BF361,"",'1. Live'!BF361-'check-Jul25'!BF361)</f>
        <v/>
      </c>
      <c r="BG361" t="str">
        <f>IF('1. Live'!BG361='check-Jul25'!BG361,"",'1. Live'!BG361-'check-Jul25'!BG361)</f>
        <v/>
      </c>
      <c r="BH361" t="str">
        <f>IF('1. Live'!BH361='check-Jul25'!BH361,"",'1. Live'!BH361-'check-Jul25'!BH361)</f>
        <v/>
      </c>
      <c r="BI361" t="str">
        <f>IF('1. Live'!BI361='check-Jul25'!BI361,"",'1. Live'!BI361-'check-Jul25'!BI361)</f>
        <v/>
      </c>
      <c r="BJ361" t="str">
        <f>IF('1. Live'!BJ361='check-Jul25'!BJ361,"",'1. Live'!BJ361-'check-Jul25'!BJ361)</f>
        <v/>
      </c>
      <c r="BK361" t="str">
        <f>IF('1. Live'!BK361='check-Jul25'!BK361,"",'1. Live'!BK361-'check-Jul25'!BK361)</f>
        <v/>
      </c>
      <c r="BL361" t="str">
        <f>IF('1. Live'!BL361='check-Jul25'!BL361,"",'1. Live'!BL361-'check-Jul25'!BL361)</f>
        <v/>
      </c>
      <c r="BM361" t="str">
        <f>IF('1. Live'!BM361='check-Jul25'!BM361,"",'1. Live'!BM361-'check-Jul25'!BM361)</f>
        <v/>
      </c>
      <c r="BN361" t="str">
        <f>IF('1. Live'!BN361='check-Jul25'!BN361,"",'1. Live'!BN361-'check-Jul25'!BN361)</f>
        <v/>
      </c>
      <c r="BO361" t="str">
        <f>IF('1. Live'!BO361='check-Jul25'!BO361,"",'1. Live'!BO361-'check-Jul25'!BO361)</f>
        <v/>
      </c>
      <c r="BP361" t="str">
        <f>IF('1. Live'!BP361='check-Jul25'!BP361,"",'1. Live'!BP361-'check-Jul25'!BP361)</f>
        <v/>
      </c>
      <c r="BQ361" t="str">
        <f>IF('1. Live'!BQ361='check-Jul25'!BQ361,"",'1. Live'!BQ361-'check-Jul25'!BQ361)</f>
        <v/>
      </c>
      <c r="BR361" t="str">
        <f>IF('1. Live'!BR361='check-Jul25'!BR361,"",'1. Live'!BR361-'check-Jul25'!BR361)</f>
        <v/>
      </c>
      <c r="BS361" t="str">
        <f>IF('1. Live'!BS361='check-Jul25'!BS361,"",'1. Live'!BS361-'check-Jul25'!BS361)</f>
        <v/>
      </c>
      <c r="BT361" t="str">
        <f>IF('1. Live'!BT361='check-Jul25'!BT361,"",'1. Live'!BT361-'check-Jul25'!BT361)</f>
        <v/>
      </c>
      <c r="BU361" t="str">
        <f>IF('1. Live'!BU361='check-Jul25'!BU361,"",'1. Live'!BU361-'check-Jul25'!BU361)</f>
        <v/>
      </c>
      <c r="BV361" t="str">
        <f>IF('1. Live'!BV361='check-Jul25'!BV361,"",'1. Live'!BV361-'check-Jul25'!BV361)</f>
        <v/>
      </c>
      <c r="BW361" t="str">
        <f>IF('1. Live'!BW361='check-Jul25'!BW361,"",'1. Live'!BW361-'check-Jul25'!BW361)</f>
        <v/>
      </c>
      <c r="BX361" t="str">
        <f>IF('1. Live'!BX361='check-Jul25'!BX361,"",'1. Live'!BX361-'check-Jul25'!BX361)</f>
        <v/>
      </c>
      <c r="BY361" t="str">
        <f>IF('1. Live'!BY361='check-Jul25'!BY361,"",'1. Live'!BY361-'check-Jul25'!BY361)</f>
        <v/>
      </c>
      <c r="BZ361" t="str">
        <f>IF('1. Live'!BZ361='check-Jul25'!BZ361,"",'1. Live'!BZ361-'check-Jul25'!BZ361)</f>
        <v/>
      </c>
      <c r="CA361" t="str">
        <f>IF('1. Live'!CA361='check-Jul25'!CA361,"",'1. Live'!CA361-'check-Jul25'!CA361)</f>
        <v/>
      </c>
      <c r="CB361" t="str">
        <f>IF('1. Live'!CB361='check-Jul25'!CB361,"",'1. Live'!CB361-'check-Jul25'!CB361)</f>
        <v/>
      </c>
      <c r="CC361" t="str">
        <f>IF('1. Live'!CC361='check-Jul25'!CC361,"",'1. Live'!CC361-'check-Jul25'!CC361)</f>
        <v/>
      </c>
      <c r="CD361" t="str">
        <f>IF('1. Live'!CD361='check-Jul25'!CD361,"",'1. Live'!CD361-'check-Jul25'!CD361)</f>
        <v/>
      </c>
      <c r="CE361" t="str">
        <f>IF('1. Live'!CE361='check-Jul25'!CE361,"",'1. Live'!CE361-'check-Jul25'!CE361)</f>
        <v/>
      </c>
      <c r="CF361" t="str">
        <f>IF('1. Live'!CF361='check-Jul25'!CF361,"",'1. Live'!CF361-'check-Jul25'!CF361)</f>
        <v/>
      </c>
      <c r="CG361" t="str">
        <f>IF('1. Live'!CG361='check-Jul25'!CG361,"",'1. Live'!CG361-'check-Jul25'!CG361)</f>
        <v/>
      </c>
      <c r="CH361" t="str">
        <f>IF('1. Live'!CH361='check-Jul25'!CH361,"",'1. Live'!CH361-'check-Jul25'!CH361)</f>
        <v/>
      </c>
      <c r="CI361" t="str">
        <f>IF('1. Live'!CI361='check-Jul25'!CI361,"",'1. Live'!CI361-'check-Jul25'!CI361)</f>
        <v/>
      </c>
      <c r="CJ361" t="str">
        <f>IF('1. Live'!CJ361='check-Jul25'!CJ361,"",'1. Live'!CJ361-'check-Jul25'!CJ361)</f>
        <v/>
      </c>
      <c r="CK361" t="str">
        <f>IF('1. Live'!CK361='check-Jul25'!CK361,"",'1. Live'!CK361-'check-Jul25'!CK361)</f>
        <v/>
      </c>
      <c r="CL361" t="str">
        <f>IF('1. Live'!CL361='check-Jul25'!CL361,"",'1. Live'!CL361-'check-Jul25'!CL361)</f>
        <v/>
      </c>
      <c r="CM361" t="str">
        <f>IF('1. Live'!CM361='check-Jul25'!CM361,"",'1. Live'!CM361-'check-Jul25'!CM361)</f>
        <v/>
      </c>
      <c r="CN361" t="str">
        <f>IF('1. Live'!CN361='check-Jul25'!CN361,"",'1. Live'!CN361-'check-Jul25'!CN361)</f>
        <v/>
      </c>
      <c r="CO361" t="str">
        <f>IF('1. Live'!CO361='check-Jul25'!CO361,"",'1. Live'!CO361-'check-Jul25'!CO361)</f>
        <v/>
      </c>
      <c r="CP361" t="str">
        <f>IF('1. Live'!CP361='check-Jul25'!CP361,"",'1. Live'!CP361-'check-Jul25'!CP361)</f>
        <v/>
      </c>
      <c r="CQ361" t="str">
        <f>IF('1. Live'!CQ361='check-Jul25'!CQ361,"",'1. Live'!CQ361-'check-Jul25'!CQ361)</f>
        <v/>
      </c>
      <c r="CR361" t="str">
        <f>IF('1. Live'!CR361='check-Jul25'!CR361,"",'1. Live'!CR361-'check-Jul25'!CR361)</f>
        <v/>
      </c>
      <c r="CS361" t="str">
        <f>IF('1. Live'!CS361='check-Jul25'!CS361,"",'1. Live'!CS361-'check-Jul25'!CS361)</f>
        <v/>
      </c>
      <c r="CT361" t="str">
        <f>IF('1. Live'!CT361='check-Jul25'!CT361,"",'1. Live'!CT361-'check-Jul25'!CT361)</f>
        <v/>
      </c>
      <c r="CU361" t="str">
        <f>IF('1. Live'!CU361='check-Jul25'!CU361,"",'1. Live'!CU361-'check-Jul25'!CU361)</f>
        <v/>
      </c>
      <c r="CV361" t="str">
        <f>IF('1. Live'!CV361='check-Jul25'!CV361,"",'1. Live'!CV361-'check-Jul25'!CV361)</f>
        <v/>
      </c>
      <c r="CW361" t="str">
        <f>IF('1. Live'!CW361='check-Jul25'!CW361,"",'1. Live'!CW361-'check-Jul25'!CW361)</f>
        <v/>
      </c>
    </row>
    <row r="362" spans="10:101">
      <c r="J362" t="str">
        <f>IF('1. Live'!J362='check-Jul25'!J362,"",'1. Live'!J362-'check-Jul25'!J362)</f>
        <v/>
      </c>
      <c r="K362" t="str">
        <f>IF('1. Live'!K362='check-Jul25'!K362,"",'1. Live'!K362-'check-Jul25'!K362)</f>
        <v/>
      </c>
      <c r="L362" t="str">
        <f>IF('1. Live'!L362='check-Jul25'!L362,"",'1. Live'!L362-'check-Jul25'!L362)</f>
        <v/>
      </c>
      <c r="M362" t="str">
        <f>IF('1. Live'!M362='check-Jul25'!M362,"",'1. Live'!M362-'check-Jul25'!M362)</f>
        <v/>
      </c>
      <c r="N362" t="str">
        <f>IF('1. Live'!N362='check-Jul25'!N362,"",'1. Live'!N362-'check-Jul25'!N362)</f>
        <v/>
      </c>
      <c r="O362" t="str">
        <f>IF('1. Live'!O362='check-Jul25'!O362,"",'1. Live'!O362-'check-Jul25'!O362)</f>
        <v/>
      </c>
      <c r="P362" t="str">
        <f>IF('1. Live'!P362='check-Jul25'!P362,"",'1. Live'!P362-'check-Jul25'!P362)</f>
        <v/>
      </c>
      <c r="Q362" t="str">
        <f>IF('1. Live'!Q362='check-Jul25'!Q362,"",'1. Live'!Q362-'check-Jul25'!Q362)</f>
        <v/>
      </c>
      <c r="R362" t="str">
        <f>IF('1. Live'!R362='check-Jul25'!R362,"",'1. Live'!R362-'check-Jul25'!R362)</f>
        <v/>
      </c>
      <c r="S362" t="str">
        <f>IF('1. Live'!S362='check-Jul25'!S362,"",'1. Live'!S362-'check-Jul25'!S362)</f>
        <v/>
      </c>
      <c r="T362" t="str">
        <f>IF('1. Live'!T362='check-Jul25'!T362,"",'1. Live'!T362-'check-Jul25'!T362)</f>
        <v/>
      </c>
      <c r="U362" t="str">
        <f>IF('1. Live'!U362='check-Jul25'!U362,"",'1. Live'!U362-'check-Jul25'!U362)</f>
        <v/>
      </c>
      <c r="V362" t="str">
        <f>IF('1. Live'!V362='check-Jul25'!V362,"",'1. Live'!V362-'check-Jul25'!V362)</f>
        <v/>
      </c>
      <c r="W362" t="str">
        <f>IF('1. Live'!W362='check-Jul25'!W362,"",'1. Live'!W362-'check-Jul25'!W362)</f>
        <v/>
      </c>
      <c r="X362" t="str">
        <f>IF('1. Live'!X362='check-Jul25'!X362,"",'1. Live'!X362-'check-Jul25'!X362)</f>
        <v/>
      </c>
      <c r="Y362" t="str">
        <f>IF('1. Live'!Y362='check-Jul25'!Y362,"",'1. Live'!Y362-'check-Jul25'!Y362)</f>
        <v/>
      </c>
      <c r="Z362" t="str">
        <f>IF('1. Live'!Z362='check-Jul25'!Z362,"",'1. Live'!Z362-'check-Jul25'!Z362)</f>
        <v/>
      </c>
      <c r="AA362" t="str">
        <f>IF('1. Live'!AA362='check-Jul25'!AA362,"",'1. Live'!AA362-'check-Jul25'!AA362)</f>
        <v/>
      </c>
      <c r="AB362" t="str">
        <f>IF('1. Live'!AB362='check-Jul25'!AB362,"",'1. Live'!AB362-'check-Jul25'!AB362)</f>
        <v/>
      </c>
      <c r="AC362" t="str">
        <f>IF('1. Live'!AC362='check-Jul25'!AC362,"",'1. Live'!AC362-'check-Jul25'!AC362)</f>
        <v/>
      </c>
      <c r="AD362" t="str">
        <f>IF('1. Live'!AD362='check-Jul25'!AD362,"",'1. Live'!AD362-'check-Jul25'!AD362)</f>
        <v/>
      </c>
      <c r="AE362" t="str">
        <f>IF('1. Live'!AE362='check-Jul25'!AE362,"",'1. Live'!AE362-'check-Jul25'!AE362)</f>
        <v/>
      </c>
      <c r="AF362" t="str">
        <f>IF('1. Live'!AF362='check-Jul25'!AF362,"",'1. Live'!AF362-'check-Jul25'!AF362)</f>
        <v/>
      </c>
      <c r="AG362" t="str">
        <f>IF('1. Live'!AG362='check-Jul25'!AG362,"",'1. Live'!AG362-'check-Jul25'!AG362)</f>
        <v/>
      </c>
      <c r="AH362" t="str">
        <f>IF('1. Live'!AH362='check-Jul25'!AH362,"",'1. Live'!AH362-'check-Jul25'!AH362)</f>
        <v/>
      </c>
      <c r="AI362" t="str">
        <f>IF('1. Live'!AI362='check-Jul25'!AI362,"",'1. Live'!AI362-'check-Jul25'!AI362)</f>
        <v/>
      </c>
      <c r="AJ362" t="str">
        <f>IF('1. Live'!AJ362='check-Jul25'!AJ362,"",'1. Live'!AJ362-'check-Jul25'!AJ362)</f>
        <v/>
      </c>
      <c r="AK362" t="str">
        <f>IF('1. Live'!AK362='check-Jul25'!AK362,"",'1. Live'!AK362-'check-Jul25'!AK362)</f>
        <v/>
      </c>
      <c r="AL362" t="str">
        <f>IF('1. Live'!AL362='check-Jul25'!AL362,"",'1. Live'!AL362-'check-Jul25'!AL362)</f>
        <v/>
      </c>
      <c r="AM362" t="str">
        <f>IF('1. Live'!AM362='check-Jul25'!AM362,"",'1. Live'!AM362-'check-Jul25'!AM362)</f>
        <v/>
      </c>
      <c r="AN362" t="str">
        <f>IF('1. Live'!AN362='check-Jul25'!AN362,"",'1. Live'!AN362-'check-Jul25'!AN362)</f>
        <v/>
      </c>
      <c r="AO362" t="str">
        <f>IF('1. Live'!AO362='check-Jul25'!AO362,"",'1. Live'!AO362-'check-Jul25'!AO362)</f>
        <v/>
      </c>
      <c r="AP362" t="str">
        <f>IF('1. Live'!AP362='check-Jul25'!AP362,"",'1. Live'!AP362-'check-Jul25'!AP362)</f>
        <v/>
      </c>
      <c r="AQ362" t="str">
        <f>IF('1. Live'!AQ362='check-Jul25'!AQ362,"",'1. Live'!AQ362-'check-Jul25'!AQ362)</f>
        <v/>
      </c>
      <c r="AR362" t="str">
        <f>IF('1. Live'!AR362='check-Jul25'!AR362,"",'1. Live'!AR362-'check-Jul25'!AR362)</f>
        <v/>
      </c>
      <c r="AS362" t="str">
        <f>IF('1. Live'!AS362='check-Jul25'!AS362,"",'1. Live'!AS362-'check-Jul25'!AS362)</f>
        <v/>
      </c>
      <c r="AT362" t="str">
        <f>IF('1. Live'!AT362='check-Jul25'!AT362,"",'1. Live'!AT362-'check-Jul25'!AT362)</f>
        <v/>
      </c>
      <c r="AU362" t="str">
        <f>IF('1. Live'!AU362='check-Jul25'!AU362,"",'1. Live'!AU362-'check-Jul25'!AU362)</f>
        <v/>
      </c>
      <c r="AV362" t="str">
        <f>IF('1. Live'!AV362='check-Jul25'!AV362,"",'1. Live'!AV362-'check-Jul25'!AV362)</f>
        <v/>
      </c>
      <c r="AW362" t="str">
        <f>IF('1. Live'!AW362='check-Jul25'!AW362,"",'1. Live'!AW362-'check-Jul25'!AW362)</f>
        <v/>
      </c>
      <c r="AX362" t="str">
        <f>IF('1. Live'!AX362='check-Jul25'!AX362,"",'1. Live'!AX362-'check-Jul25'!AX362)</f>
        <v/>
      </c>
      <c r="AY362" t="str">
        <f>IF('1. Live'!AY362='check-Jul25'!AY362,"",'1. Live'!AY362-'check-Jul25'!AY362)</f>
        <v/>
      </c>
      <c r="AZ362" t="str">
        <f>IF('1. Live'!AZ362='check-Jul25'!AZ362,"",'1. Live'!AZ362-'check-Jul25'!AZ362)</f>
        <v/>
      </c>
      <c r="BA362" t="str">
        <f>IF('1. Live'!BA362='check-Jul25'!BA362,"",'1. Live'!BA362-'check-Jul25'!BA362)</f>
        <v/>
      </c>
      <c r="BB362" t="str">
        <f>IF('1. Live'!BB362='check-Jul25'!BB362,"",'1. Live'!BB362-'check-Jul25'!BB362)</f>
        <v/>
      </c>
      <c r="BC362" t="str">
        <f>IF('1. Live'!BC362='check-Jul25'!BC362,"",'1. Live'!BC362-'check-Jul25'!BC362)</f>
        <v/>
      </c>
      <c r="BD362" t="str">
        <f>IF('1. Live'!BD362='check-Jul25'!BD362,"",'1. Live'!BD362-'check-Jul25'!BD362)</f>
        <v/>
      </c>
      <c r="BE362" t="str">
        <f>IF('1. Live'!BE362='check-Jul25'!BE362,"",'1. Live'!BE362-'check-Jul25'!BE362)</f>
        <v/>
      </c>
      <c r="BF362" t="str">
        <f>IF('1. Live'!BF362='check-Jul25'!BF362,"",'1. Live'!BF362-'check-Jul25'!BF362)</f>
        <v/>
      </c>
      <c r="BG362" t="str">
        <f>IF('1. Live'!BG362='check-Jul25'!BG362,"",'1. Live'!BG362-'check-Jul25'!BG362)</f>
        <v/>
      </c>
      <c r="BH362" t="str">
        <f>IF('1. Live'!BH362='check-Jul25'!BH362,"",'1. Live'!BH362-'check-Jul25'!BH362)</f>
        <v/>
      </c>
      <c r="BI362" t="str">
        <f>IF('1. Live'!BI362='check-Jul25'!BI362,"",'1. Live'!BI362-'check-Jul25'!BI362)</f>
        <v/>
      </c>
      <c r="BJ362" t="str">
        <f>IF('1. Live'!BJ362='check-Jul25'!BJ362,"",'1. Live'!BJ362-'check-Jul25'!BJ362)</f>
        <v/>
      </c>
      <c r="BK362" t="str">
        <f>IF('1. Live'!BK362='check-Jul25'!BK362,"",'1. Live'!BK362-'check-Jul25'!BK362)</f>
        <v/>
      </c>
      <c r="BL362" t="str">
        <f>IF('1. Live'!BL362='check-Jul25'!BL362,"",'1. Live'!BL362-'check-Jul25'!BL362)</f>
        <v/>
      </c>
      <c r="BM362" t="str">
        <f>IF('1. Live'!BM362='check-Jul25'!BM362,"",'1. Live'!BM362-'check-Jul25'!BM362)</f>
        <v/>
      </c>
      <c r="BN362" t="str">
        <f>IF('1. Live'!BN362='check-Jul25'!BN362,"",'1. Live'!BN362-'check-Jul25'!BN362)</f>
        <v/>
      </c>
      <c r="BO362" t="str">
        <f>IF('1. Live'!BO362='check-Jul25'!BO362,"",'1. Live'!BO362-'check-Jul25'!BO362)</f>
        <v/>
      </c>
      <c r="BP362" t="str">
        <f>IF('1. Live'!BP362='check-Jul25'!BP362,"",'1. Live'!BP362-'check-Jul25'!BP362)</f>
        <v/>
      </c>
      <c r="BQ362" t="str">
        <f>IF('1. Live'!BQ362='check-Jul25'!BQ362,"",'1. Live'!BQ362-'check-Jul25'!BQ362)</f>
        <v/>
      </c>
      <c r="BR362" t="str">
        <f>IF('1. Live'!BR362='check-Jul25'!BR362,"",'1. Live'!BR362-'check-Jul25'!BR362)</f>
        <v/>
      </c>
      <c r="BS362" t="str">
        <f>IF('1. Live'!BS362='check-Jul25'!BS362,"",'1. Live'!BS362-'check-Jul25'!BS362)</f>
        <v/>
      </c>
      <c r="BT362" t="str">
        <f>IF('1. Live'!BT362='check-Jul25'!BT362,"",'1. Live'!BT362-'check-Jul25'!BT362)</f>
        <v/>
      </c>
      <c r="BU362" t="str">
        <f>IF('1. Live'!BU362='check-Jul25'!BU362,"",'1. Live'!BU362-'check-Jul25'!BU362)</f>
        <v/>
      </c>
      <c r="BV362" t="str">
        <f>IF('1. Live'!BV362='check-Jul25'!BV362,"",'1. Live'!BV362-'check-Jul25'!BV362)</f>
        <v/>
      </c>
      <c r="BW362" t="str">
        <f>IF('1. Live'!BW362='check-Jul25'!BW362,"",'1. Live'!BW362-'check-Jul25'!BW362)</f>
        <v/>
      </c>
      <c r="BX362" t="str">
        <f>IF('1. Live'!BX362='check-Jul25'!BX362,"",'1. Live'!BX362-'check-Jul25'!BX362)</f>
        <v/>
      </c>
      <c r="BY362" t="str">
        <f>IF('1. Live'!BY362='check-Jul25'!BY362,"",'1. Live'!BY362-'check-Jul25'!BY362)</f>
        <v/>
      </c>
      <c r="BZ362" t="str">
        <f>IF('1. Live'!BZ362='check-Jul25'!BZ362,"",'1. Live'!BZ362-'check-Jul25'!BZ362)</f>
        <v/>
      </c>
      <c r="CA362" t="str">
        <f>IF('1. Live'!CA362='check-Jul25'!CA362,"",'1. Live'!CA362-'check-Jul25'!CA362)</f>
        <v/>
      </c>
      <c r="CB362" t="str">
        <f>IF('1. Live'!CB362='check-Jul25'!CB362,"",'1. Live'!CB362-'check-Jul25'!CB362)</f>
        <v/>
      </c>
      <c r="CC362" t="str">
        <f>IF('1. Live'!CC362='check-Jul25'!CC362,"",'1. Live'!CC362-'check-Jul25'!CC362)</f>
        <v/>
      </c>
      <c r="CD362" t="str">
        <f>IF('1. Live'!CD362='check-Jul25'!CD362,"",'1. Live'!CD362-'check-Jul25'!CD362)</f>
        <v/>
      </c>
      <c r="CE362" t="str">
        <f>IF('1. Live'!CE362='check-Jul25'!CE362,"",'1. Live'!CE362-'check-Jul25'!CE362)</f>
        <v/>
      </c>
      <c r="CF362" t="str">
        <f>IF('1. Live'!CF362='check-Jul25'!CF362,"",'1. Live'!CF362-'check-Jul25'!CF362)</f>
        <v/>
      </c>
      <c r="CG362" t="str">
        <f>IF('1. Live'!CG362='check-Jul25'!CG362,"",'1. Live'!CG362-'check-Jul25'!CG362)</f>
        <v/>
      </c>
      <c r="CH362" t="str">
        <f>IF('1. Live'!CH362='check-Jul25'!CH362,"",'1. Live'!CH362-'check-Jul25'!CH362)</f>
        <v/>
      </c>
      <c r="CI362" t="str">
        <f>IF('1. Live'!CI362='check-Jul25'!CI362,"",'1. Live'!CI362-'check-Jul25'!CI362)</f>
        <v/>
      </c>
      <c r="CJ362" t="str">
        <f>IF('1. Live'!CJ362='check-Jul25'!CJ362,"",'1. Live'!CJ362-'check-Jul25'!CJ362)</f>
        <v/>
      </c>
      <c r="CK362" t="str">
        <f>IF('1. Live'!CK362='check-Jul25'!CK362,"",'1. Live'!CK362-'check-Jul25'!CK362)</f>
        <v/>
      </c>
      <c r="CL362" t="str">
        <f>IF('1. Live'!CL362='check-Jul25'!CL362,"",'1. Live'!CL362-'check-Jul25'!CL362)</f>
        <v/>
      </c>
      <c r="CM362" t="str">
        <f>IF('1. Live'!CM362='check-Jul25'!CM362,"",'1. Live'!CM362-'check-Jul25'!CM362)</f>
        <v/>
      </c>
      <c r="CN362" t="str">
        <f>IF('1. Live'!CN362='check-Jul25'!CN362,"",'1. Live'!CN362-'check-Jul25'!CN362)</f>
        <v/>
      </c>
      <c r="CO362" t="str">
        <f>IF('1. Live'!CO362='check-Jul25'!CO362,"",'1. Live'!CO362-'check-Jul25'!CO362)</f>
        <v/>
      </c>
      <c r="CP362" t="str">
        <f>IF('1. Live'!CP362='check-Jul25'!CP362,"",'1. Live'!CP362-'check-Jul25'!CP362)</f>
        <v/>
      </c>
      <c r="CQ362" t="str">
        <f>IF('1. Live'!CQ362='check-Jul25'!CQ362,"",'1. Live'!CQ362-'check-Jul25'!CQ362)</f>
        <v/>
      </c>
      <c r="CR362" t="str">
        <f>IF('1. Live'!CR362='check-Jul25'!CR362,"",'1. Live'!CR362-'check-Jul25'!CR362)</f>
        <v/>
      </c>
      <c r="CS362" t="str">
        <f>IF('1. Live'!CS362='check-Jul25'!CS362,"",'1. Live'!CS362-'check-Jul25'!CS362)</f>
        <v/>
      </c>
      <c r="CT362" t="str">
        <f>IF('1. Live'!CT362='check-Jul25'!CT362,"",'1. Live'!CT362-'check-Jul25'!CT362)</f>
        <v/>
      </c>
      <c r="CU362" t="str">
        <f>IF('1. Live'!CU362='check-Jul25'!CU362,"",'1. Live'!CU362-'check-Jul25'!CU362)</f>
        <v/>
      </c>
      <c r="CV362" t="str">
        <f>IF('1. Live'!CV362='check-Jul25'!CV362,"",'1. Live'!CV362-'check-Jul25'!CV362)</f>
        <v/>
      </c>
      <c r="CW362" t="str">
        <f>IF('1. Live'!CW362='check-Jul25'!CW362,"",'1. Live'!CW362-'check-Jul25'!CW362)</f>
        <v/>
      </c>
    </row>
    <row r="363" spans="10:101">
      <c r="J363" t="str">
        <f>IF('1. Live'!J363='check-Jul25'!J363,"",'1. Live'!J363-'check-Jul25'!J363)</f>
        <v/>
      </c>
      <c r="K363" t="str">
        <f>IF('1. Live'!K363='check-Jul25'!K363,"",'1. Live'!K363-'check-Jul25'!K363)</f>
        <v/>
      </c>
      <c r="L363" t="str">
        <f>IF('1. Live'!L363='check-Jul25'!L363,"",'1. Live'!L363-'check-Jul25'!L363)</f>
        <v/>
      </c>
      <c r="M363" t="str">
        <f>IF('1. Live'!M363='check-Jul25'!M363,"",'1. Live'!M363-'check-Jul25'!M363)</f>
        <v/>
      </c>
      <c r="N363" t="str">
        <f>IF('1. Live'!N363='check-Jul25'!N363,"",'1. Live'!N363-'check-Jul25'!N363)</f>
        <v/>
      </c>
      <c r="O363" t="str">
        <f>IF('1. Live'!O363='check-Jul25'!O363,"",'1. Live'!O363-'check-Jul25'!O363)</f>
        <v/>
      </c>
      <c r="P363" t="str">
        <f>IF('1. Live'!P363='check-Jul25'!P363,"",'1. Live'!P363-'check-Jul25'!P363)</f>
        <v/>
      </c>
      <c r="Q363" t="str">
        <f>IF('1. Live'!Q363='check-Jul25'!Q363,"",'1. Live'!Q363-'check-Jul25'!Q363)</f>
        <v/>
      </c>
      <c r="R363" t="str">
        <f>IF('1. Live'!R363='check-Jul25'!R363,"",'1. Live'!R363-'check-Jul25'!R363)</f>
        <v/>
      </c>
      <c r="S363" t="str">
        <f>IF('1. Live'!S363='check-Jul25'!S363,"",'1. Live'!S363-'check-Jul25'!S363)</f>
        <v/>
      </c>
      <c r="T363" t="str">
        <f>IF('1. Live'!T363='check-Jul25'!T363,"",'1. Live'!T363-'check-Jul25'!T363)</f>
        <v/>
      </c>
      <c r="U363" t="str">
        <f>IF('1. Live'!U363='check-Jul25'!U363,"",'1. Live'!U363-'check-Jul25'!U363)</f>
        <v/>
      </c>
      <c r="V363" t="str">
        <f>IF('1. Live'!V363='check-Jul25'!V363,"",'1. Live'!V363-'check-Jul25'!V363)</f>
        <v/>
      </c>
      <c r="W363" t="str">
        <f>IF('1. Live'!W363='check-Jul25'!W363,"",'1. Live'!W363-'check-Jul25'!W363)</f>
        <v/>
      </c>
      <c r="X363" t="str">
        <f>IF('1. Live'!X363='check-Jul25'!X363,"",'1. Live'!X363-'check-Jul25'!X363)</f>
        <v/>
      </c>
      <c r="Y363" t="str">
        <f>IF('1. Live'!Y363='check-Jul25'!Y363,"",'1. Live'!Y363-'check-Jul25'!Y363)</f>
        <v/>
      </c>
      <c r="Z363" t="str">
        <f>IF('1. Live'!Z363='check-Jul25'!Z363,"",'1. Live'!Z363-'check-Jul25'!Z363)</f>
        <v/>
      </c>
      <c r="AA363" t="str">
        <f>IF('1. Live'!AA363='check-Jul25'!AA363,"",'1. Live'!AA363-'check-Jul25'!AA363)</f>
        <v/>
      </c>
      <c r="AB363" t="str">
        <f>IF('1. Live'!AB363='check-Jul25'!AB363,"",'1. Live'!AB363-'check-Jul25'!AB363)</f>
        <v/>
      </c>
      <c r="AC363" t="str">
        <f>IF('1. Live'!AC363='check-Jul25'!AC363,"",'1. Live'!AC363-'check-Jul25'!AC363)</f>
        <v/>
      </c>
      <c r="AD363" t="str">
        <f>IF('1. Live'!AD363='check-Jul25'!AD363,"",'1. Live'!AD363-'check-Jul25'!AD363)</f>
        <v/>
      </c>
      <c r="AE363" t="str">
        <f>IF('1. Live'!AE363='check-Jul25'!AE363,"",'1. Live'!AE363-'check-Jul25'!AE363)</f>
        <v/>
      </c>
      <c r="AF363" t="str">
        <f>IF('1. Live'!AF363='check-Jul25'!AF363,"",'1. Live'!AF363-'check-Jul25'!AF363)</f>
        <v/>
      </c>
      <c r="AG363" t="str">
        <f>IF('1. Live'!AG363='check-Jul25'!AG363,"",'1. Live'!AG363-'check-Jul25'!AG363)</f>
        <v/>
      </c>
      <c r="AH363" t="str">
        <f>IF('1. Live'!AH363='check-Jul25'!AH363,"",'1. Live'!AH363-'check-Jul25'!AH363)</f>
        <v/>
      </c>
      <c r="AI363" t="str">
        <f>IF('1. Live'!AI363='check-Jul25'!AI363,"",'1. Live'!AI363-'check-Jul25'!AI363)</f>
        <v/>
      </c>
      <c r="AJ363" t="str">
        <f>IF('1. Live'!AJ363='check-Jul25'!AJ363,"",'1. Live'!AJ363-'check-Jul25'!AJ363)</f>
        <v/>
      </c>
      <c r="AK363" t="str">
        <f>IF('1. Live'!AK363='check-Jul25'!AK363,"",'1. Live'!AK363-'check-Jul25'!AK363)</f>
        <v/>
      </c>
      <c r="AL363" t="str">
        <f>IF('1. Live'!AL363='check-Jul25'!AL363,"",'1. Live'!AL363-'check-Jul25'!AL363)</f>
        <v/>
      </c>
      <c r="AM363" t="str">
        <f>IF('1. Live'!AM363='check-Jul25'!AM363,"",'1. Live'!AM363-'check-Jul25'!AM363)</f>
        <v/>
      </c>
      <c r="AN363" t="str">
        <f>IF('1. Live'!AN363='check-Jul25'!AN363,"",'1. Live'!AN363-'check-Jul25'!AN363)</f>
        <v/>
      </c>
      <c r="AO363" t="str">
        <f>IF('1. Live'!AO363='check-Jul25'!AO363,"",'1. Live'!AO363-'check-Jul25'!AO363)</f>
        <v/>
      </c>
      <c r="AP363" t="str">
        <f>IF('1. Live'!AP363='check-Jul25'!AP363,"",'1. Live'!AP363-'check-Jul25'!AP363)</f>
        <v/>
      </c>
      <c r="AQ363" t="str">
        <f>IF('1. Live'!AQ363='check-Jul25'!AQ363,"",'1. Live'!AQ363-'check-Jul25'!AQ363)</f>
        <v/>
      </c>
      <c r="AR363" t="str">
        <f>IF('1. Live'!AR363='check-Jul25'!AR363,"",'1. Live'!AR363-'check-Jul25'!AR363)</f>
        <v/>
      </c>
      <c r="AS363" t="str">
        <f>IF('1. Live'!AS363='check-Jul25'!AS363,"",'1. Live'!AS363-'check-Jul25'!AS363)</f>
        <v/>
      </c>
      <c r="AT363" t="str">
        <f>IF('1. Live'!AT363='check-Jul25'!AT363,"",'1. Live'!AT363-'check-Jul25'!AT363)</f>
        <v/>
      </c>
      <c r="AU363" t="str">
        <f>IF('1. Live'!AU363='check-Jul25'!AU363,"",'1. Live'!AU363-'check-Jul25'!AU363)</f>
        <v/>
      </c>
      <c r="AV363" t="str">
        <f>IF('1. Live'!AV363='check-Jul25'!AV363,"",'1. Live'!AV363-'check-Jul25'!AV363)</f>
        <v/>
      </c>
      <c r="AW363" t="str">
        <f>IF('1. Live'!AW363='check-Jul25'!AW363,"",'1. Live'!AW363-'check-Jul25'!AW363)</f>
        <v/>
      </c>
      <c r="AX363" t="str">
        <f>IF('1. Live'!AX363='check-Jul25'!AX363,"",'1. Live'!AX363-'check-Jul25'!AX363)</f>
        <v/>
      </c>
      <c r="AY363" t="str">
        <f>IF('1. Live'!AY363='check-Jul25'!AY363,"",'1. Live'!AY363-'check-Jul25'!AY363)</f>
        <v/>
      </c>
      <c r="AZ363" t="str">
        <f>IF('1. Live'!AZ363='check-Jul25'!AZ363,"",'1. Live'!AZ363-'check-Jul25'!AZ363)</f>
        <v/>
      </c>
      <c r="BA363" t="str">
        <f>IF('1. Live'!BA363='check-Jul25'!BA363,"",'1. Live'!BA363-'check-Jul25'!BA363)</f>
        <v/>
      </c>
      <c r="BB363" t="str">
        <f>IF('1. Live'!BB363='check-Jul25'!BB363,"",'1. Live'!BB363-'check-Jul25'!BB363)</f>
        <v/>
      </c>
      <c r="BC363" t="str">
        <f>IF('1. Live'!BC363='check-Jul25'!BC363,"",'1. Live'!BC363-'check-Jul25'!BC363)</f>
        <v/>
      </c>
      <c r="BD363" t="str">
        <f>IF('1. Live'!BD363='check-Jul25'!BD363,"",'1. Live'!BD363-'check-Jul25'!BD363)</f>
        <v/>
      </c>
      <c r="BE363" t="str">
        <f>IF('1. Live'!BE363='check-Jul25'!BE363,"",'1. Live'!BE363-'check-Jul25'!BE363)</f>
        <v/>
      </c>
      <c r="BF363" t="str">
        <f>IF('1. Live'!BF363='check-Jul25'!BF363,"",'1. Live'!BF363-'check-Jul25'!BF363)</f>
        <v/>
      </c>
      <c r="BG363" t="str">
        <f>IF('1. Live'!BG363='check-Jul25'!BG363,"",'1. Live'!BG363-'check-Jul25'!BG363)</f>
        <v/>
      </c>
      <c r="BH363" t="str">
        <f>IF('1. Live'!BH363='check-Jul25'!BH363,"",'1. Live'!BH363-'check-Jul25'!BH363)</f>
        <v/>
      </c>
      <c r="BI363" t="str">
        <f>IF('1. Live'!BI363='check-Jul25'!BI363,"",'1. Live'!BI363-'check-Jul25'!BI363)</f>
        <v/>
      </c>
      <c r="BJ363" t="str">
        <f>IF('1. Live'!BJ363='check-Jul25'!BJ363,"",'1. Live'!BJ363-'check-Jul25'!BJ363)</f>
        <v/>
      </c>
      <c r="BK363" t="str">
        <f>IF('1. Live'!BK363='check-Jul25'!BK363,"",'1. Live'!BK363-'check-Jul25'!BK363)</f>
        <v/>
      </c>
      <c r="BL363" t="str">
        <f>IF('1. Live'!BL363='check-Jul25'!BL363,"",'1. Live'!BL363-'check-Jul25'!BL363)</f>
        <v/>
      </c>
      <c r="BM363" t="str">
        <f>IF('1. Live'!BM363='check-Jul25'!BM363,"",'1. Live'!BM363-'check-Jul25'!BM363)</f>
        <v/>
      </c>
      <c r="BN363" t="str">
        <f>IF('1. Live'!BN363='check-Jul25'!BN363,"",'1. Live'!BN363-'check-Jul25'!BN363)</f>
        <v/>
      </c>
      <c r="BO363" t="str">
        <f>IF('1. Live'!BO363='check-Jul25'!BO363,"",'1. Live'!BO363-'check-Jul25'!BO363)</f>
        <v/>
      </c>
      <c r="BP363" t="str">
        <f>IF('1. Live'!BP363='check-Jul25'!BP363,"",'1. Live'!BP363-'check-Jul25'!BP363)</f>
        <v/>
      </c>
      <c r="BQ363" t="str">
        <f>IF('1. Live'!BQ363='check-Jul25'!BQ363,"",'1. Live'!BQ363-'check-Jul25'!BQ363)</f>
        <v/>
      </c>
      <c r="BR363" t="str">
        <f>IF('1. Live'!BR363='check-Jul25'!BR363,"",'1. Live'!BR363-'check-Jul25'!BR363)</f>
        <v/>
      </c>
      <c r="BS363" t="str">
        <f>IF('1. Live'!BS363='check-Jul25'!BS363,"",'1. Live'!BS363-'check-Jul25'!BS363)</f>
        <v/>
      </c>
      <c r="BT363" t="str">
        <f>IF('1. Live'!BT363='check-Jul25'!BT363,"",'1. Live'!BT363-'check-Jul25'!BT363)</f>
        <v/>
      </c>
      <c r="BU363" t="str">
        <f>IF('1. Live'!BU363='check-Jul25'!BU363,"",'1. Live'!BU363-'check-Jul25'!BU363)</f>
        <v/>
      </c>
      <c r="BV363" t="str">
        <f>IF('1. Live'!BV363='check-Jul25'!BV363,"",'1. Live'!BV363-'check-Jul25'!BV363)</f>
        <v/>
      </c>
      <c r="BW363" t="str">
        <f>IF('1. Live'!BW363='check-Jul25'!BW363,"",'1. Live'!BW363-'check-Jul25'!BW363)</f>
        <v/>
      </c>
      <c r="BX363" t="str">
        <f>IF('1. Live'!BX363='check-Jul25'!BX363,"",'1. Live'!BX363-'check-Jul25'!BX363)</f>
        <v/>
      </c>
      <c r="BY363" t="str">
        <f>IF('1. Live'!BY363='check-Jul25'!BY363,"",'1. Live'!BY363-'check-Jul25'!BY363)</f>
        <v/>
      </c>
      <c r="BZ363" t="str">
        <f>IF('1. Live'!BZ363='check-Jul25'!BZ363,"",'1. Live'!BZ363-'check-Jul25'!BZ363)</f>
        <v/>
      </c>
      <c r="CA363" t="str">
        <f>IF('1. Live'!CA363='check-Jul25'!CA363,"",'1. Live'!CA363-'check-Jul25'!CA363)</f>
        <v/>
      </c>
      <c r="CB363" t="str">
        <f>IF('1. Live'!CB363='check-Jul25'!CB363,"",'1. Live'!CB363-'check-Jul25'!CB363)</f>
        <v/>
      </c>
      <c r="CC363" t="str">
        <f>IF('1. Live'!CC363='check-Jul25'!CC363,"",'1. Live'!CC363-'check-Jul25'!CC363)</f>
        <v/>
      </c>
      <c r="CD363" t="str">
        <f>IF('1. Live'!CD363='check-Jul25'!CD363,"",'1. Live'!CD363-'check-Jul25'!CD363)</f>
        <v/>
      </c>
      <c r="CE363" t="str">
        <f>IF('1. Live'!CE363='check-Jul25'!CE363,"",'1. Live'!CE363-'check-Jul25'!CE363)</f>
        <v/>
      </c>
      <c r="CF363" t="str">
        <f>IF('1. Live'!CF363='check-Jul25'!CF363,"",'1. Live'!CF363-'check-Jul25'!CF363)</f>
        <v/>
      </c>
      <c r="CG363" t="str">
        <f>IF('1. Live'!CG363='check-Jul25'!CG363,"",'1. Live'!CG363-'check-Jul25'!CG363)</f>
        <v/>
      </c>
      <c r="CH363" t="str">
        <f>IF('1. Live'!CH363='check-Jul25'!CH363,"",'1. Live'!CH363-'check-Jul25'!CH363)</f>
        <v/>
      </c>
      <c r="CI363" t="str">
        <f>IF('1. Live'!CI363='check-Jul25'!CI363,"",'1. Live'!CI363-'check-Jul25'!CI363)</f>
        <v/>
      </c>
      <c r="CJ363" t="str">
        <f>IF('1. Live'!CJ363='check-Jul25'!CJ363,"",'1. Live'!CJ363-'check-Jul25'!CJ363)</f>
        <v/>
      </c>
      <c r="CK363" t="str">
        <f>IF('1. Live'!CK363='check-Jul25'!CK363,"",'1. Live'!CK363-'check-Jul25'!CK363)</f>
        <v/>
      </c>
      <c r="CL363" t="str">
        <f>IF('1. Live'!CL363='check-Jul25'!CL363,"",'1. Live'!CL363-'check-Jul25'!CL363)</f>
        <v/>
      </c>
      <c r="CM363" t="str">
        <f>IF('1. Live'!CM363='check-Jul25'!CM363,"",'1. Live'!CM363-'check-Jul25'!CM363)</f>
        <v/>
      </c>
      <c r="CN363" t="str">
        <f>IF('1. Live'!CN363='check-Jul25'!CN363,"",'1. Live'!CN363-'check-Jul25'!CN363)</f>
        <v/>
      </c>
      <c r="CO363" t="str">
        <f>IF('1. Live'!CO363='check-Jul25'!CO363,"",'1. Live'!CO363-'check-Jul25'!CO363)</f>
        <v/>
      </c>
      <c r="CP363" t="str">
        <f>IF('1. Live'!CP363='check-Jul25'!CP363,"",'1. Live'!CP363-'check-Jul25'!CP363)</f>
        <v/>
      </c>
      <c r="CQ363" t="str">
        <f>IF('1. Live'!CQ363='check-Jul25'!CQ363,"",'1. Live'!CQ363-'check-Jul25'!CQ363)</f>
        <v/>
      </c>
      <c r="CR363" t="str">
        <f>IF('1. Live'!CR363='check-Jul25'!CR363,"",'1. Live'!CR363-'check-Jul25'!CR363)</f>
        <v/>
      </c>
      <c r="CS363" t="str">
        <f>IF('1. Live'!CS363='check-Jul25'!CS363,"",'1. Live'!CS363-'check-Jul25'!CS363)</f>
        <v/>
      </c>
      <c r="CT363" t="str">
        <f>IF('1. Live'!CT363='check-Jul25'!CT363,"",'1. Live'!CT363-'check-Jul25'!CT363)</f>
        <v/>
      </c>
      <c r="CU363" t="str">
        <f>IF('1. Live'!CU363='check-Jul25'!CU363,"",'1. Live'!CU363-'check-Jul25'!CU363)</f>
        <v/>
      </c>
      <c r="CV363" t="str">
        <f>IF('1. Live'!CV363='check-Jul25'!CV363,"",'1. Live'!CV363-'check-Jul25'!CV363)</f>
        <v/>
      </c>
      <c r="CW363" t="str">
        <f>IF('1. Live'!CW363='check-Jul25'!CW363,"",'1. Live'!CW363-'check-Jul25'!CW363)</f>
        <v/>
      </c>
    </row>
    <row r="364" spans="10:101">
      <c r="J364" t="str">
        <f>IF('1. Live'!J364='check-Jul25'!J364,"",'1. Live'!J364-'check-Jul25'!J364)</f>
        <v/>
      </c>
      <c r="K364" t="str">
        <f>IF('1. Live'!K364='check-Jul25'!K364,"",'1. Live'!K364-'check-Jul25'!K364)</f>
        <v/>
      </c>
      <c r="L364" t="str">
        <f>IF('1. Live'!L364='check-Jul25'!L364,"",'1. Live'!L364-'check-Jul25'!L364)</f>
        <v/>
      </c>
      <c r="M364" t="str">
        <f>IF('1. Live'!M364='check-Jul25'!M364,"",'1. Live'!M364-'check-Jul25'!M364)</f>
        <v/>
      </c>
      <c r="N364" t="str">
        <f>IF('1. Live'!N364='check-Jul25'!N364,"",'1. Live'!N364-'check-Jul25'!N364)</f>
        <v/>
      </c>
      <c r="O364" t="str">
        <f>IF('1. Live'!O364='check-Jul25'!O364,"",'1. Live'!O364-'check-Jul25'!O364)</f>
        <v/>
      </c>
      <c r="P364" t="str">
        <f>IF('1. Live'!P364='check-Jul25'!P364,"",'1. Live'!P364-'check-Jul25'!P364)</f>
        <v/>
      </c>
      <c r="Q364" t="str">
        <f>IF('1. Live'!Q364='check-Jul25'!Q364,"",'1. Live'!Q364-'check-Jul25'!Q364)</f>
        <v/>
      </c>
      <c r="R364" t="str">
        <f>IF('1. Live'!R364='check-Jul25'!R364,"",'1. Live'!R364-'check-Jul25'!R364)</f>
        <v/>
      </c>
      <c r="S364" t="str">
        <f>IF('1. Live'!S364='check-Jul25'!S364,"",'1. Live'!S364-'check-Jul25'!S364)</f>
        <v/>
      </c>
      <c r="T364" t="str">
        <f>IF('1. Live'!T364='check-Jul25'!T364,"",'1. Live'!T364-'check-Jul25'!T364)</f>
        <v/>
      </c>
      <c r="U364" t="str">
        <f>IF('1. Live'!U364='check-Jul25'!U364,"",'1. Live'!U364-'check-Jul25'!U364)</f>
        <v/>
      </c>
      <c r="V364" t="str">
        <f>IF('1. Live'!V364='check-Jul25'!V364,"",'1. Live'!V364-'check-Jul25'!V364)</f>
        <v/>
      </c>
      <c r="W364" t="str">
        <f>IF('1. Live'!W364='check-Jul25'!W364,"",'1. Live'!W364-'check-Jul25'!W364)</f>
        <v/>
      </c>
      <c r="X364" t="str">
        <f>IF('1. Live'!X364='check-Jul25'!X364,"",'1. Live'!X364-'check-Jul25'!X364)</f>
        <v/>
      </c>
      <c r="Y364" t="str">
        <f>IF('1. Live'!Y364='check-Jul25'!Y364,"",'1. Live'!Y364-'check-Jul25'!Y364)</f>
        <v/>
      </c>
      <c r="Z364" t="str">
        <f>IF('1. Live'!Z364='check-Jul25'!Z364,"",'1. Live'!Z364-'check-Jul25'!Z364)</f>
        <v/>
      </c>
      <c r="AA364" t="str">
        <f>IF('1. Live'!AA364='check-Jul25'!AA364,"",'1. Live'!AA364-'check-Jul25'!AA364)</f>
        <v/>
      </c>
      <c r="AB364" t="str">
        <f>IF('1. Live'!AB364='check-Jul25'!AB364,"",'1. Live'!AB364-'check-Jul25'!AB364)</f>
        <v/>
      </c>
      <c r="AC364" t="str">
        <f>IF('1. Live'!AC364='check-Jul25'!AC364,"",'1. Live'!AC364-'check-Jul25'!AC364)</f>
        <v/>
      </c>
      <c r="AD364" t="str">
        <f>IF('1. Live'!AD364='check-Jul25'!AD364,"",'1. Live'!AD364-'check-Jul25'!AD364)</f>
        <v/>
      </c>
      <c r="AE364" t="str">
        <f>IF('1. Live'!AE364='check-Jul25'!AE364,"",'1. Live'!AE364-'check-Jul25'!AE364)</f>
        <v/>
      </c>
      <c r="AF364" t="str">
        <f>IF('1. Live'!AF364='check-Jul25'!AF364,"",'1. Live'!AF364-'check-Jul25'!AF364)</f>
        <v/>
      </c>
      <c r="AG364" t="str">
        <f>IF('1. Live'!AG364='check-Jul25'!AG364,"",'1. Live'!AG364-'check-Jul25'!AG364)</f>
        <v/>
      </c>
      <c r="AH364" t="str">
        <f>IF('1. Live'!AH364='check-Jul25'!AH364,"",'1. Live'!AH364-'check-Jul25'!AH364)</f>
        <v/>
      </c>
      <c r="AI364" t="str">
        <f>IF('1. Live'!AI364='check-Jul25'!AI364,"",'1. Live'!AI364-'check-Jul25'!AI364)</f>
        <v/>
      </c>
      <c r="AJ364" t="str">
        <f>IF('1. Live'!AJ364='check-Jul25'!AJ364,"",'1. Live'!AJ364-'check-Jul25'!AJ364)</f>
        <v/>
      </c>
      <c r="AK364" t="str">
        <f>IF('1. Live'!AK364='check-Jul25'!AK364,"",'1. Live'!AK364-'check-Jul25'!AK364)</f>
        <v/>
      </c>
      <c r="AL364" t="str">
        <f>IF('1. Live'!AL364='check-Jul25'!AL364,"",'1. Live'!AL364-'check-Jul25'!AL364)</f>
        <v/>
      </c>
      <c r="AM364" t="str">
        <f>IF('1. Live'!AM364='check-Jul25'!AM364,"",'1. Live'!AM364-'check-Jul25'!AM364)</f>
        <v/>
      </c>
      <c r="AN364" t="str">
        <f>IF('1. Live'!AN364='check-Jul25'!AN364,"",'1. Live'!AN364-'check-Jul25'!AN364)</f>
        <v/>
      </c>
      <c r="AO364" t="str">
        <f>IF('1. Live'!AO364='check-Jul25'!AO364,"",'1. Live'!AO364-'check-Jul25'!AO364)</f>
        <v/>
      </c>
      <c r="AP364" t="str">
        <f>IF('1. Live'!AP364='check-Jul25'!AP364,"",'1. Live'!AP364-'check-Jul25'!AP364)</f>
        <v/>
      </c>
      <c r="AQ364" t="str">
        <f>IF('1. Live'!AQ364='check-Jul25'!AQ364,"",'1. Live'!AQ364-'check-Jul25'!AQ364)</f>
        <v/>
      </c>
      <c r="AR364" t="str">
        <f>IF('1. Live'!AR364='check-Jul25'!AR364,"",'1. Live'!AR364-'check-Jul25'!AR364)</f>
        <v/>
      </c>
      <c r="AS364" t="str">
        <f>IF('1. Live'!AS364='check-Jul25'!AS364,"",'1. Live'!AS364-'check-Jul25'!AS364)</f>
        <v/>
      </c>
      <c r="AT364" t="str">
        <f>IF('1. Live'!AT364='check-Jul25'!AT364,"",'1. Live'!AT364-'check-Jul25'!AT364)</f>
        <v/>
      </c>
      <c r="AU364" t="str">
        <f>IF('1. Live'!AU364='check-Jul25'!AU364,"",'1. Live'!AU364-'check-Jul25'!AU364)</f>
        <v/>
      </c>
      <c r="AV364" t="str">
        <f>IF('1. Live'!AV364='check-Jul25'!AV364,"",'1. Live'!AV364-'check-Jul25'!AV364)</f>
        <v/>
      </c>
      <c r="AW364" t="str">
        <f>IF('1. Live'!AW364='check-Jul25'!AW364,"",'1. Live'!AW364-'check-Jul25'!AW364)</f>
        <v/>
      </c>
      <c r="AX364" t="str">
        <f>IF('1. Live'!AX364='check-Jul25'!AX364,"",'1. Live'!AX364-'check-Jul25'!AX364)</f>
        <v/>
      </c>
      <c r="AY364" t="str">
        <f>IF('1. Live'!AY364='check-Jul25'!AY364,"",'1. Live'!AY364-'check-Jul25'!AY364)</f>
        <v/>
      </c>
      <c r="AZ364" t="str">
        <f>IF('1. Live'!AZ364='check-Jul25'!AZ364,"",'1. Live'!AZ364-'check-Jul25'!AZ364)</f>
        <v/>
      </c>
      <c r="BA364" t="str">
        <f>IF('1. Live'!BA364='check-Jul25'!BA364,"",'1. Live'!BA364-'check-Jul25'!BA364)</f>
        <v/>
      </c>
      <c r="BB364" t="str">
        <f>IF('1. Live'!BB364='check-Jul25'!BB364,"",'1. Live'!BB364-'check-Jul25'!BB364)</f>
        <v/>
      </c>
      <c r="BC364" t="str">
        <f>IF('1. Live'!BC364='check-Jul25'!BC364,"",'1. Live'!BC364-'check-Jul25'!BC364)</f>
        <v/>
      </c>
      <c r="BD364" t="str">
        <f>IF('1. Live'!BD364='check-Jul25'!BD364,"",'1. Live'!BD364-'check-Jul25'!BD364)</f>
        <v/>
      </c>
      <c r="BE364" t="str">
        <f>IF('1. Live'!BE364='check-Jul25'!BE364,"",'1. Live'!BE364-'check-Jul25'!BE364)</f>
        <v/>
      </c>
      <c r="BF364" t="str">
        <f>IF('1. Live'!BF364='check-Jul25'!BF364,"",'1. Live'!BF364-'check-Jul25'!BF364)</f>
        <v/>
      </c>
      <c r="BG364" t="str">
        <f>IF('1. Live'!BG364='check-Jul25'!BG364,"",'1. Live'!BG364-'check-Jul25'!BG364)</f>
        <v/>
      </c>
      <c r="BH364" t="str">
        <f>IF('1. Live'!BH364='check-Jul25'!BH364,"",'1. Live'!BH364-'check-Jul25'!BH364)</f>
        <v/>
      </c>
      <c r="BI364" t="str">
        <f>IF('1. Live'!BI364='check-Jul25'!BI364,"",'1. Live'!BI364-'check-Jul25'!BI364)</f>
        <v/>
      </c>
      <c r="BJ364" t="str">
        <f>IF('1. Live'!BJ364='check-Jul25'!BJ364,"",'1. Live'!BJ364-'check-Jul25'!BJ364)</f>
        <v/>
      </c>
      <c r="BK364" t="str">
        <f>IF('1. Live'!BK364='check-Jul25'!BK364,"",'1. Live'!BK364-'check-Jul25'!BK364)</f>
        <v/>
      </c>
      <c r="BL364" t="str">
        <f>IF('1. Live'!BL364='check-Jul25'!BL364,"",'1. Live'!BL364-'check-Jul25'!BL364)</f>
        <v/>
      </c>
      <c r="BM364" t="str">
        <f>IF('1. Live'!BM364='check-Jul25'!BM364,"",'1. Live'!BM364-'check-Jul25'!BM364)</f>
        <v/>
      </c>
      <c r="BN364" t="str">
        <f>IF('1. Live'!BN364='check-Jul25'!BN364,"",'1. Live'!BN364-'check-Jul25'!BN364)</f>
        <v/>
      </c>
      <c r="BO364" t="str">
        <f>IF('1. Live'!BO364='check-Jul25'!BO364,"",'1. Live'!BO364-'check-Jul25'!BO364)</f>
        <v/>
      </c>
      <c r="BP364" t="str">
        <f>IF('1. Live'!BP364='check-Jul25'!BP364,"",'1. Live'!BP364-'check-Jul25'!BP364)</f>
        <v/>
      </c>
      <c r="BQ364" t="str">
        <f>IF('1. Live'!BQ364='check-Jul25'!BQ364,"",'1. Live'!BQ364-'check-Jul25'!BQ364)</f>
        <v/>
      </c>
      <c r="BR364" t="str">
        <f>IF('1. Live'!BR364='check-Jul25'!BR364,"",'1. Live'!BR364-'check-Jul25'!BR364)</f>
        <v/>
      </c>
      <c r="BS364" t="str">
        <f>IF('1. Live'!BS364='check-Jul25'!BS364,"",'1. Live'!BS364-'check-Jul25'!BS364)</f>
        <v/>
      </c>
      <c r="BT364" t="str">
        <f>IF('1. Live'!BT364='check-Jul25'!BT364,"",'1. Live'!BT364-'check-Jul25'!BT364)</f>
        <v/>
      </c>
      <c r="BU364" t="str">
        <f>IF('1. Live'!BU364='check-Jul25'!BU364,"",'1. Live'!BU364-'check-Jul25'!BU364)</f>
        <v/>
      </c>
      <c r="BV364" t="str">
        <f>IF('1. Live'!BV364='check-Jul25'!BV364,"",'1. Live'!BV364-'check-Jul25'!BV364)</f>
        <v/>
      </c>
      <c r="BW364" t="str">
        <f>IF('1. Live'!BW364='check-Jul25'!BW364,"",'1. Live'!BW364-'check-Jul25'!BW364)</f>
        <v/>
      </c>
      <c r="BX364" t="str">
        <f>IF('1. Live'!BX364='check-Jul25'!BX364,"",'1. Live'!BX364-'check-Jul25'!BX364)</f>
        <v/>
      </c>
      <c r="BY364" t="str">
        <f>IF('1. Live'!BY364='check-Jul25'!BY364,"",'1. Live'!BY364-'check-Jul25'!BY364)</f>
        <v/>
      </c>
      <c r="BZ364" t="str">
        <f>IF('1. Live'!BZ364='check-Jul25'!BZ364,"",'1. Live'!BZ364-'check-Jul25'!BZ364)</f>
        <v/>
      </c>
      <c r="CA364" t="str">
        <f>IF('1. Live'!CA364='check-Jul25'!CA364,"",'1. Live'!CA364-'check-Jul25'!CA364)</f>
        <v/>
      </c>
      <c r="CB364" t="str">
        <f>IF('1. Live'!CB364='check-Jul25'!CB364,"",'1. Live'!CB364-'check-Jul25'!CB364)</f>
        <v/>
      </c>
      <c r="CC364" t="str">
        <f>IF('1. Live'!CC364='check-Jul25'!CC364,"",'1. Live'!CC364-'check-Jul25'!CC364)</f>
        <v/>
      </c>
      <c r="CD364" t="str">
        <f>IF('1. Live'!CD364='check-Jul25'!CD364,"",'1. Live'!CD364-'check-Jul25'!CD364)</f>
        <v/>
      </c>
      <c r="CE364" t="str">
        <f>IF('1. Live'!CE364='check-Jul25'!CE364,"",'1. Live'!CE364-'check-Jul25'!CE364)</f>
        <v/>
      </c>
      <c r="CF364" t="str">
        <f>IF('1. Live'!CF364='check-Jul25'!CF364,"",'1. Live'!CF364-'check-Jul25'!CF364)</f>
        <v/>
      </c>
      <c r="CG364" t="str">
        <f>IF('1. Live'!CG364='check-Jul25'!CG364,"",'1. Live'!CG364-'check-Jul25'!CG364)</f>
        <v/>
      </c>
      <c r="CH364" t="str">
        <f>IF('1. Live'!CH364='check-Jul25'!CH364,"",'1. Live'!CH364-'check-Jul25'!CH364)</f>
        <v/>
      </c>
      <c r="CI364" t="str">
        <f>IF('1. Live'!CI364='check-Jul25'!CI364,"",'1. Live'!CI364-'check-Jul25'!CI364)</f>
        <v/>
      </c>
      <c r="CJ364" t="str">
        <f>IF('1. Live'!CJ364='check-Jul25'!CJ364,"",'1. Live'!CJ364-'check-Jul25'!CJ364)</f>
        <v/>
      </c>
      <c r="CK364" t="str">
        <f>IF('1. Live'!CK364='check-Jul25'!CK364,"",'1. Live'!CK364-'check-Jul25'!CK364)</f>
        <v/>
      </c>
      <c r="CL364" t="str">
        <f>IF('1. Live'!CL364='check-Jul25'!CL364,"",'1. Live'!CL364-'check-Jul25'!CL364)</f>
        <v/>
      </c>
      <c r="CM364" t="str">
        <f>IF('1. Live'!CM364='check-Jul25'!CM364,"",'1. Live'!CM364-'check-Jul25'!CM364)</f>
        <v/>
      </c>
      <c r="CN364" t="str">
        <f>IF('1. Live'!CN364='check-Jul25'!CN364,"",'1. Live'!CN364-'check-Jul25'!CN364)</f>
        <v/>
      </c>
      <c r="CO364" t="str">
        <f>IF('1. Live'!CO364='check-Jul25'!CO364,"",'1. Live'!CO364-'check-Jul25'!CO364)</f>
        <v/>
      </c>
      <c r="CP364" t="str">
        <f>IF('1. Live'!CP364='check-Jul25'!CP364,"",'1. Live'!CP364-'check-Jul25'!CP364)</f>
        <v/>
      </c>
      <c r="CQ364" t="str">
        <f>IF('1. Live'!CQ364='check-Jul25'!CQ364,"",'1. Live'!CQ364-'check-Jul25'!CQ364)</f>
        <v/>
      </c>
      <c r="CR364" t="str">
        <f>IF('1. Live'!CR364='check-Jul25'!CR364,"",'1. Live'!CR364-'check-Jul25'!CR364)</f>
        <v/>
      </c>
      <c r="CS364" t="str">
        <f>IF('1. Live'!CS364='check-Jul25'!CS364,"",'1. Live'!CS364-'check-Jul25'!CS364)</f>
        <v/>
      </c>
      <c r="CT364" t="str">
        <f>IF('1. Live'!CT364='check-Jul25'!CT364,"",'1. Live'!CT364-'check-Jul25'!CT364)</f>
        <v/>
      </c>
      <c r="CU364" t="str">
        <f>IF('1. Live'!CU364='check-Jul25'!CU364,"",'1. Live'!CU364-'check-Jul25'!CU364)</f>
        <v/>
      </c>
      <c r="CV364" t="str">
        <f>IF('1. Live'!CV364='check-Jul25'!CV364,"",'1. Live'!CV364-'check-Jul25'!CV364)</f>
        <v/>
      </c>
      <c r="CW364" t="str">
        <f>IF('1. Live'!CW364='check-Jul25'!CW364,"",'1. Live'!CW364-'check-Jul25'!CW364)</f>
        <v/>
      </c>
    </row>
    <row r="365" spans="10:101">
      <c r="J365" t="str">
        <f>IF('1. Live'!J365='check-Jul25'!J365,"",'1. Live'!J365-'check-Jul25'!J365)</f>
        <v/>
      </c>
      <c r="K365" t="str">
        <f>IF('1. Live'!K365='check-Jul25'!K365,"",'1. Live'!K365-'check-Jul25'!K365)</f>
        <v/>
      </c>
      <c r="L365" t="str">
        <f>IF('1. Live'!L365='check-Jul25'!L365,"",'1. Live'!L365-'check-Jul25'!L365)</f>
        <v/>
      </c>
      <c r="M365" t="str">
        <f>IF('1. Live'!M365='check-Jul25'!M365,"",'1. Live'!M365-'check-Jul25'!M365)</f>
        <v/>
      </c>
      <c r="N365" t="str">
        <f>IF('1. Live'!N365='check-Jul25'!N365,"",'1. Live'!N365-'check-Jul25'!N365)</f>
        <v/>
      </c>
      <c r="O365" t="str">
        <f>IF('1. Live'!O365='check-Jul25'!O365,"",'1. Live'!O365-'check-Jul25'!O365)</f>
        <v/>
      </c>
      <c r="P365" t="str">
        <f>IF('1. Live'!P365='check-Jul25'!P365,"",'1. Live'!P365-'check-Jul25'!P365)</f>
        <v/>
      </c>
      <c r="Q365" t="str">
        <f>IF('1. Live'!Q365='check-Jul25'!Q365,"",'1. Live'!Q365-'check-Jul25'!Q365)</f>
        <v/>
      </c>
      <c r="R365" t="str">
        <f>IF('1. Live'!R365='check-Jul25'!R365,"",'1. Live'!R365-'check-Jul25'!R365)</f>
        <v/>
      </c>
      <c r="S365" t="str">
        <f>IF('1. Live'!S365='check-Jul25'!S365,"",'1. Live'!S365-'check-Jul25'!S365)</f>
        <v/>
      </c>
      <c r="T365" t="str">
        <f>IF('1. Live'!T365='check-Jul25'!T365,"",'1. Live'!T365-'check-Jul25'!T365)</f>
        <v/>
      </c>
      <c r="U365" t="str">
        <f>IF('1. Live'!U365='check-Jul25'!U365,"",'1. Live'!U365-'check-Jul25'!U365)</f>
        <v/>
      </c>
      <c r="V365" t="str">
        <f>IF('1. Live'!V365='check-Jul25'!V365,"",'1. Live'!V365-'check-Jul25'!V365)</f>
        <v/>
      </c>
      <c r="W365" t="str">
        <f>IF('1. Live'!W365='check-Jul25'!W365,"",'1. Live'!W365-'check-Jul25'!W365)</f>
        <v/>
      </c>
      <c r="X365" t="str">
        <f>IF('1. Live'!X365='check-Jul25'!X365,"",'1. Live'!X365-'check-Jul25'!X365)</f>
        <v/>
      </c>
      <c r="Y365" t="str">
        <f>IF('1. Live'!Y365='check-Jul25'!Y365,"",'1. Live'!Y365-'check-Jul25'!Y365)</f>
        <v/>
      </c>
      <c r="Z365" t="str">
        <f>IF('1. Live'!Z365='check-Jul25'!Z365,"",'1. Live'!Z365-'check-Jul25'!Z365)</f>
        <v/>
      </c>
      <c r="AA365" t="str">
        <f>IF('1. Live'!AA365='check-Jul25'!AA365,"",'1. Live'!AA365-'check-Jul25'!AA365)</f>
        <v/>
      </c>
      <c r="AB365" t="str">
        <f>IF('1. Live'!AB365='check-Jul25'!AB365,"",'1. Live'!AB365-'check-Jul25'!AB365)</f>
        <v/>
      </c>
      <c r="AC365" t="str">
        <f>IF('1. Live'!AC365='check-Jul25'!AC365,"",'1. Live'!AC365-'check-Jul25'!AC365)</f>
        <v/>
      </c>
      <c r="AD365" t="str">
        <f>IF('1. Live'!AD365='check-Jul25'!AD365,"",'1. Live'!AD365-'check-Jul25'!AD365)</f>
        <v/>
      </c>
      <c r="AE365" t="str">
        <f>IF('1. Live'!AE365='check-Jul25'!AE365,"",'1. Live'!AE365-'check-Jul25'!AE365)</f>
        <v/>
      </c>
      <c r="AF365" t="str">
        <f>IF('1. Live'!AF365='check-Jul25'!AF365,"",'1. Live'!AF365-'check-Jul25'!AF365)</f>
        <v/>
      </c>
      <c r="AG365" t="str">
        <f>IF('1. Live'!AG365='check-Jul25'!AG365,"",'1. Live'!AG365-'check-Jul25'!AG365)</f>
        <v/>
      </c>
      <c r="AH365" t="str">
        <f>IF('1. Live'!AH365='check-Jul25'!AH365,"",'1. Live'!AH365-'check-Jul25'!AH365)</f>
        <v/>
      </c>
      <c r="AI365" t="str">
        <f>IF('1. Live'!AI365='check-Jul25'!AI365,"",'1. Live'!AI365-'check-Jul25'!AI365)</f>
        <v/>
      </c>
      <c r="AJ365" t="str">
        <f>IF('1. Live'!AJ365='check-Jul25'!AJ365,"",'1. Live'!AJ365-'check-Jul25'!AJ365)</f>
        <v/>
      </c>
      <c r="AK365" t="str">
        <f>IF('1. Live'!AK365='check-Jul25'!AK365,"",'1. Live'!AK365-'check-Jul25'!AK365)</f>
        <v/>
      </c>
      <c r="AL365" t="str">
        <f>IF('1. Live'!AL365='check-Jul25'!AL365,"",'1. Live'!AL365-'check-Jul25'!AL365)</f>
        <v/>
      </c>
      <c r="AM365" t="str">
        <f>IF('1. Live'!AM365='check-Jul25'!AM365,"",'1. Live'!AM365-'check-Jul25'!AM365)</f>
        <v/>
      </c>
      <c r="AN365" t="str">
        <f>IF('1. Live'!AN365='check-Jul25'!AN365,"",'1. Live'!AN365-'check-Jul25'!AN365)</f>
        <v/>
      </c>
      <c r="AO365" t="str">
        <f>IF('1. Live'!AO365='check-Jul25'!AO365,"",'1. Live'!AO365-'check-Jul25'!AO365)</f>
        <v/>
      </c>
      <c r="AP365" t="str">
        <f>IF('1. Live'!AP365='check-Jul25'!AP365,"",'1. Live'!AP365-'check-Jul25'!AP365)</f>
        <v/>
      </c>
      <c r="AQ365" t="str">
        <f>IF('1. Live'!AQ365='check-Jul25'!AQ365,"",'1. Live'!AQ365-'check-Jul25'!AQ365)</f>
        <v/>
      </c>
      <c r="AR365" t="str">
        <f>IF('1. Live'!AR365='check-Jul25'!AR365,"",'1. Live'!AR365-'check-Jul25'!AR365)</f>
        <v/>
      </c>
      <c r="AS365" t="str">
        <f>IF('1. Live'!AS365='check-Jul25'!AS365,"",'1. Live'!AS365-'check-Jul25'!AS365)</f>
        <v/>
      </c>
      <c r="AT365" t="str">
        <f>IF('1. Live'!AT365='check-Jul25'!AT365,"",'1. Live'!AT365-'check-Jul25'!AT365)</f>
        <v/>
      </c>
      <c r="AU365" t="str">
        <f>IF('1. Live'!AU365='check-Jul25'!AU365,"",'1. Live'!AU365-'check-Jul25'!AU365)</f>
        <v/>
      </c>
      <c r="AV365" t="str">
        <f>IF('1. Live'!AV365='check-Jul25'!AV365,"",'1. Live'!AV365-'check-Jul25'!AV365)</f>
        <v/>
      </c>
      <c r="AW365" t="str">
        <f>IF('1. Live'!AW365='check-Jul25'!AW365,"",'1. Live'!AW365-'check-Jul25'!AW365)</f>
        <v/>
      </c>
      <c r="AX365" t="str">
        <f>IF('1. Live'!AX365='check-Jul25'!AX365,"",'1. Live'!AX365-'check-Jul25'!AX365)</f>
        <v/>
      </c>
      <c r="AY365" t="str">
        <f>IF('1. Live'!AY365='check-Jul25'!AY365,"",'1. Live'!AY365-'check-Jul25'!AY365)</f>
        <v/>
      </c>
      <c r="AZ365" t="str">
        <f>IF('1. Live'!AZ365='check-Jul25'!AZ365,"",'1. Live'!AZ365-'check-Jul25'!AZ365)</f>
        <v/>
      </c>
      <c r="BA365" t="str">
        <f>IF('1. Live'!BA365='check-Jul25'!BA365,"",'1. Live'!BA365-'check-Jul25'!BA365)</f>
        <v/>
      </c>
      <c r="BB365" t="str">
        <f>IF('1. Live'!BB365='check-Jul25'!BB365,"",'1. Live'!BB365-'check-Jul25'!BB365)</f>
        <v/>
      </c>
      <c r="BC365" t="str">
        <f>IF('1. Live'!BC365='check-Jul25'!BC365,"",'1. Live'!BC365-'check-Jul25'!BC365)</f>
        <v/>
      </c>
      <c r="BD365" t="str">
        <f>IF('1. Live'!BD365='check-Jul25'!BD365,"",'1. Live'!BD365-'check-Jul25'!BD365)</f>
        <v/>
      </c>
      <c r="BE365" t="str">
        <f>IF('1. Live'!BE365='check-Jul25'!BE365,"",'1. Live'!BE365-'check-Jul25'!BE365)</f>
        <v/>
      </c>
      <c r="BF365" t="str">
        <f>IF('1. Live'!BF365='check-Jul25'!BF365,"",'1. Live'!BF365-'check-Jul25'!BF365)</f>
        <v/>
      </c>
      <c r="BG365" t="str">
        <f>IF('1. Live'!BG365='check-Jul25'!BG365,"",'1. Live'!BG365-'check-Jul25'!BG365)</f>
        <v/>
      </c>
      <c r="BH365" t="str">
        <f>IF('1. Live'!BH365='check-Jul25'!BH365,"",'1. Live'!BH365-'check-Jul25'!BH365)</f>
        <v/>
      </c>
      <c r="BI365" t="str">
        <f>IF('1. Live'!BI365='check-Jul25'!BI365,"",'1. Live'!BI365-'check-Jul25'!BI365)</f>
        <v/>
      </c>
      <c r="BJ365" t="str">
        <f>IF('1. Live'!BJ365='check-Jul25'!BJ365,"",'1. Live'!BJ365-'check-Jul25'!BJ365)</f>
        <v/>
      </c>
      <c r="BK365" t="str">
        <f>IF('1. Live'!BK365='check-Jul25'!BK365,"",'1. Live'!BK365-'check-Jul25'!BK365)</f>
        <v/>
      </c>
      <c r="BL365" t="str">
        <f>IF('1. Live'!BL365='check-Jul25'!BL365,"",'1. Live'!BL365-'check-Jul25'!BL365)</f>
        <v/>
      </c>
      <c r="BM365" t="str">
        <f>IF('1. Live'!BM365='check-Jul25'!BM365,"",'1. Live'!BM365-'check-Jul25'!BM365)</f>
        <v/>
      </c>
      <c r="BN365" t="str">
        <f>IF('1. Live'!BN365='check-Jul25'!BN365,"",'1. Live'!BN365-'check-Jul25'!BN365)</f>
        <v/>
      </c>
      <c r="BO365" t="str">
        <f>IF('1. Live'!BO365='check-Jul25'!BO365,"",'1. Live'!BO365-'check-Jul25'!BO365)</f>
        <v/>
      </c>
      <c r="BP365" t="str">
        <f>IF('1. Live'!BP365='check-Jul25'!BP365,"",'1. Live'!BP365-'check-Jul25'!BP365)</f>
        <v/>
      </c>
      <c r="BQ365" t="str">
        <f>IF('1. Live'!BQ365='check-Jul25'!BQ365,"",'1. Live'!BQ365-'check-Jul25'!BQ365)</f>
        <v/>
      </c>
      <c r="BR365" t="str">
        <f>IF('1. Live'!BR365='check-Jul25'!BR365,"",'1. Live'!BR365-'check-Jul25'!BR365)</f>
        <v/>
      </c>
      <c r="BS365" t="str">
        <f>IF('1. Live'!BS365='check-Jul25'!BS365,"",'1. Live'!BS365-'check-Jul25'!BS365)</f>
        <v/>
      </c>
      <c r="BT365" t="str">
        <f>IF('1. Live'!BT365='check-Jul25'!BT365,"",'1. Live'!BT365-'check-Jul25'!BT365)</f>
        <v/>
      </c>
      <c r="BU365" t="str">
        <f>IF('1. Live'!BU365='check-Jul25'!BU365,"",'1. Live'!BU365-'check-Jul25'!BU365)</f>
        <v/>
      </c>
      <c r="BV365" t="str">
        <f>IF('1. Live'!BV365='check-Jul25'!BV365,"",'1. Live'!BV365-'check-Jul25'!BV365)</f>
        <v/>
      </c>
      <c r="BW365" t="str">
        <f>IF('1. Live'!BW365='check-Jul25'!BW365,"",'1. Live'!BW365-'check-Jul25'!BW365)</f>
        <v/>
      </c>
      <c r="BX365" t="str">
        <f>IF('1. Live'!BX365='check-Jul25'!BX365,"",'1. Live'!BX365-'check-Jul25'!BX365)</f>
        <v/>
      </c>
      <c r="BY365" t="str">
        <f>IF('1. Live'!BY365='check-Jul25'!BY365,"",'1. Live'!BY365-'check-Jul25'!BY365)</f>
        <v/>
      </c>
      <c r="BZ365" t="str">
        <f>IF('1. Live'!BZ365='check-Jul25'!BZ365,"",'1. Live'!BZ365-'check-Jul25'!BZ365)</f>
        <v/>
      </c>
      <c r="CA365" t="str">
        <f>IF('1. Live'!CA365='check-Jul25'!CA365,"",'1. Live'!CA365-'check-Jul25'!CA365)</f>
        <v/>
      </c>
      <c r="CB365" t="str">
        <f>IF('1. Live'!CB365='check-Jul25'!CB365,"",'1. Live'!CB365-'check-Jul25'!CB365)</f>
        <v/>
      </c>
      <c r="CC365" t="str">
        <f>IF('1. Live'!CC365='check-Jul25'!CC365,"",'1. Live'!CC365-'check-Jul25'!CC365)</f>
        <v/>
      </c>
      <c r="CD365" t="str">
        <f>IF('1. Live'!CD365='check-Jul25'!CD365,"",'1. Live'!CD365-'check-Jul25'!CD365)</f>
        <v/>
      </c>
      <c r="CE365" t="str">
        <f>IF('1. Live'!CE365='check-Jul25'!CE365,"",'1. Live'!CE365-'check-Jul25'!CE365)</f>
        <v/>
      </c>
      <c r="CF365" t="str">
        <f>IF('1. Live'!CF365='check-Jul25'!CF365,"",'1. Live'!CF365-'check-Jul25'!CF365)</f>
        <v/>
      </c>
      <c r="CG365" t="str">
        <f>IF('1. Live'!CG365='check-Jul25'!CG365,"",'1. Live'!CG365-'check-Jul25'!CG365)</f>
        <v/>
      </c>
      <c r="CH365" t="str">
        <f>IF('1. Live'!CH365='check-Jul25'!CH365,"",'1. Live'!CH365-'check-Jul25'!CH365)</f>
        <v/>
      </c>
      <c r="CI365" t="str">
        <f>IF('1. Live'!CI365='check-Jul25'!CI365,"",'1. Live'!CI365-'check-Jul25'!CI365)</f>
        <v/>
      </c>
      <c r="CJ365" t="str">
        <f>IF('1. Live'!CJ365='check-Jul25'!CJ365,"",'1. Live'!CJ365-'check-Jul25'!CJ365)</f>
        <v/>
      </c>
      <c r="CK365" t="str">
        <f>IF('1. Live'!CK365='check-Jul25'!CK365,"",'1. Live'!CK365-'check-Jul25'!CK365)</f>
        <v/>
      </c>
      <c r="CL365" t="str">
        <f>IF('1. Live'!CL365='check-Jul25'!CL365,"",'1. Live'!CL365-'check-Jul25'!CL365)</f>
        <v/>
      </c>
      <c r="CM365" t="str">
        <f>IF('1. Live'!CM365='check-Jul25'!CM365,"",'1. Live'!CM365-'check-Jul25'!CM365)</f>
        <v/>
      </c>
      <c r="CN365" t="str">
        <f>IF('1. Live'!CN365='check-Jul25'!CN365,"",'1. Live'!CN365-'check-Jul25'!CN365)</f>
        <v/>
      </c>
      <c r="CO365" t="str">
        <f>IF('1. Live'!CO365='check-Jul25'!CO365,"",'1. Live'!CO365-'check-Jul25'!CO365)</f>
        <v/>
      </c>
      <c r="CP365" t="str">
        <f>IF('1. Live'!CP365='check-Jul25'!CP365,"",'1. Live'!CP365-'check-Jul25'!CP365)</f>
        <v/>
      </c>
      <c r="CQ365" t="str">
        <f>IF('1. Live'!CQ365='check-Jul25'!CQ365,"",'1. Live'!CQ365-'check-Jul25'!CQ365)</f>
        <v/>
      </c>
      <c r="CR365" t="str">
        <f>IF('1. Live'!CR365='check-Jul25'!CR365,"",'1. Live'!CR365-'check-Jul25'!CR365)</f>
        <v/>
      </c>
      <c r="CS365" t="str">
        <f>IF('1. Live'!CS365='check-Jul25'!CS365,"",'1. Live'!CS365-'check-Jul25'!CS365)</f>
        <v/>
      </c>
      <c r="CT365" t="str">
        <f>IF('1. Live'!CT365='check-Jul25'!CT365,"",'1. Live'!CT365-'check-Jul25'!CT365)</f>
        <v/>
      </c>
      <c r="CU365" t="str">
        <f>IF('1. Live'!CU365='check-Jul25'!CU365,"",'1. Live'!CU365-'check-Jul25'!CU365)</f>
        <v/>
      </c>
      <c r="CV365" t="str">
        <f>IF('1. Live'!CV365='check-Jul25'!CV365,"",'1. Live'!CV365-'check-Jul25'!CV365)</f>
        <v/>
      </c>
      <c r="CW365" t="str">
        <f>IF('1. Live'!CW365='check-Jul25'!CW365,"",'1. Live'!CW365-'check-Jul25'!CW365)</f>
        <v/>
      </c>
    </row>
    <row r="366" spans="10:101">
      <c r="J366" t="str">
        <f>IF('1. Live'!J366='check-Jul25'!J366,"",'1. Live'!J366-'check-Jul25'!J366)</f>
        <v/>
      </c>
      <c r="K366" t="str">
        <f>IF('1. Live'!K366='check-Jul25'!K366,"",'1. Live'!K366-'check-Jul25'!K366)</f>
        <v/>
      </c>
      <c r="L366" t="str">
        <f>IF('1. Live'!L366='check-Jul25'!L366,"",'1. Live'!L366-'check-Jul25'!L366)</f>
        <v/>
      </c>
      <c r="M366" t="str">
        <f>IF('1. Live'!M366='check-Jul25'!M366,"",'1. Live'!M366-'check-Jul25'!M366)</f>
        <v/>
      </c>
      <c r="N366" t="str">
        <f>IF('1. Live'!N366='check-Jul25'!N366,"",'1. Live'!N366-'check-Jul25'!N366)</f>
        <v/>
      </c>
      <c r="O366" t="str">
        <f>IF('1. Live'!O366='check-Jul25'!O366,"",'1. Live'!O366-'check-Jul25'!O366)</f>
        <v/>
      </c>
      <c r="P366" t="str">
        <f>IF('1. Live'!P366='check-Jul25'!P366,"",'1. Live'!P366-'check-Jul25'!P366)</f>
        <v/>
      </c>
      <c r="Q366" t="str">
        <f>IF('1. Live'!Q366='check-Jul25'!Q366,"",'1. Live'!Q366-'check-Jul25'!Q366)</f>
        <v/>
      </c>
      <c r="R366" t="str">
        <f>IF('1. Live'!R366='check-Jul25'!R366,"",'1. Live'!R366-'check-Jul25'!R366)</f>
        <v/>
      </c>
      <c r="S366" t="str">
        <f>IF('1. Live'!S366='check-Jul25'!S366,"",'1. Live'!S366-'check-Jul25'!S366)</f>
        <v/>
      </c>
      <c r="T366" t="str">
        <f>IF('1. Live'!T366='check-Jul25'!T366,"",'1. Live'!T366-'check-Jul25'!T366)</f>
        <v/>
      </c>
      <c r="U366" t="str">
        <f>IF('1. Live'!U366='check-Jul25'!U366,"",'1. Live'!U366-'check-Jul25'!U366)</f>
        <v/>
      </c>
      <c r="V366" t="str">
        <f>IF('1. Live'!V366='check-Jul25'!V366,"",'1. Live'!V366-'check-Jul25'!V366)</f>
        <v/>
      </c>
      <c r="W366" t="str">
        <f>IF('1. Live'!W366='check-Jul25'!W366,"",'1. Live'!W366-'check-Jul25'!W366)</f>
        <v/>
      </c>
      <c r="X366" t="str">
        <f>IF('1. Live'!X366='check-Jul25'!X366,"",'1. Live'!X366-'check-Jul25'!X366)</f>
        <v/>
      </c>
      <c r="Y366" t="str">
        <f>IF('1. Live'!Y366='check-Jul25'!Y366,"",'1. Live'!Y366-'check-Jul25'!Y366)</f>
        <v/>
      </c>
      <c r="Z366" t="str">
        <f>IF('1. Live'!Z366='check-Jul25'!Z366,"",'1. Live'!Z366-'check-Jul25'!Z366)</f>
        <v/>
      </c>
      <c r="AA366" t="str">
        <f>IF('1. Live'!AA366='check-Jul25'!AA366,"",'1. Live'!AA366-'check-Jul25'!AA366)</f>
        <v/>
      </c>
      <c r="AB366" t="str">
        <f>IF('1. Live'!AB366='check-Jul25'!AB366,"",'1. Live'!AB366-'check-Jul25'!AB366)</f>
        <v/>
      </c>
      <c r="AC366" t="str">
        <f>IF('1. Live'!AC366='check-Jul25'!AC366,"",'1. Live'!AC366-'check-Jul25'!AC366)</f>
        <v/>
      </c>
      <c r="AD366" t="str">
        <f>IF('1. Live'!AD366='check-Jul25'!AD366,"",'1. Live'!AD366-'check-Jul25'!AD366)</f>
        <v/>
      </c>
      <c r="AE366" t="str">
        <f>IF('1. Live'!AE366='check-Jul25'!AE366,"",'1. Live'!AE366-'check-Jul25'!AE366)</f>
        <v/>
      </c>
      <c r="AF366" t="str">
        <f>IF('1. Live'!AF366='check-Jul25'!AF366,"",'1. Live'!AF366-'check-Jul25'!AF366)</f>
        <v/>
      </c>
      <c r="AG366" t="str">
        <f>IF('1. Live'!AG366='check-Jul25'!AG366,"",'1. Live'!AG366-'check-Jul25'!AG366)</f>
        <v/>
      </c>
      <c r="AH366" t="str">
        <f>IF('1. Live'!AH366='check-Jul25'!AH366,"",'1. Live'!AH366-'check-Jul25'!AH366)</f>
        <v/>
      </c>
      <c r="AI366" t="str">
        <f>IF('1. Live'!AI366='check-Jul25'!AI366,"",'1. Live'!AI366-'check-Jul25'!AI366)</f>
        <v/>
      </c>
      <c r="AJ366" t="str">
        <f>IF('1. Live'!AJ366='check-Jul25'!AJ366,"",'1. Live'!AJ366-'check-Jul25'!AJ366)</f>
        <v/>
      </c>
      <c r="AK366" t="str">
        <f>IF('1. Live'!AK366='check-Jul25'!AK366,"",'1. Live'!AK366-'check-Jul25'!AK366)</f>
        <v/>
      </c>
      <c r="AL366" t="str">
        <f>IF('1. Live'!AL366='check-Jul25'!AL366,"",'1. Live'!AL366-'check-Jul25'!AL366)</f>
        <v/>
      </c>
      <c r="AM366" t="str">
        <f>IF('1. Live'!AM366='check-Jul25'!AM366,"",'1. Live'!AM366-'check-Jul25'!AM366)</f>
        <v/>
      </c>
      <c r="AN366" t="str">
        <f>IF('1. Live'!AN366='check-Jul25'!AN366,"",'1. Live'!AN366-'check-Jul25'!AN366)</f>
        <v/>
      </c>
      <c r="AO366" t="str">
        <f>IF('1. Live'!AO366='check-Jul25'!AO366,"",'1. Live'!AO366-'check-Jul25'!AO366)</f>
        <v/>
      </c>
      <c r="AP366" t="str">
        <f>IF('1. Live'!AP366='check-Jul25'!AP366,"",'1. Live'!AP366-'check-Jul25'!AP366)</f>
        <v/>
      </c>
      <c r="AQ366" t="str">
        <f>IF('1. Live'!AQ366='check-Jul25'!AQ366,"",'1. Live'!AQ366-'check-Jul25'!AQ366)</f>
        <v/>
      </c>
      <c r="AR366" t="str">
        <f>IF('1. Live'!AR366='check-Jul25'!AR366,"",'1. Live'!AR366-'check-Jul25'!AR366)</f>
        <v/>
      </c>
      <c r="AS366" t="str">
        <f>IF('1. Live'!AS366='check-Jul25'!AS366,"",'1. Live'!AS366-'check-Jul25'!AS366)</f>
        <v/>
      </c>
      <c r="AT366" t="str">
        <f>IF('1. Live'!AT366='check-Jul25'!AT366,"",'1. Live'!AT366-'check-Jul25'!AT366)</f>
        <v/>
      </c>
      <c r="AU366" t="str">
        <f>IF('1. Live'!AU366='check-Jul25'!AU366,"",'1. Live'!AU366-'check-Jul25'!AU366)</f>
        <v/>
      </c>
      <c r="AV366" t="str">
        <f>IF('1. Live'!AV366='check-Jul25'!AV366,"",'1. Live'!AV366-'check-Jul25'!AV366)</f>
        <v/>
      </c>
      <c r="AW366" t="str">
        <f>IF('1. Live'!AW366='check-Jul25'!AW366,"",'1. Live'!AW366-'check-Jul25'!AW366)</f>
        <v/>
      </c>
      <c r="AX366" t="str">
        <f>IF('1. Live'!AX366='check-Jul25'!AX366,"",'1. Live'!AX366-'check-Jul25'!AX366)</f>
        <v/>
      </c>
      <c r="AY366" t="str">
        <f>IF('1. Live'!AY366='check-Jul25'!AY366,"",'1. Live'!AY366-'check-Jul25'!AY366)</f>
        <v/>
      </c>
      <c r="AZ366" t="str">
        <f>IF('1. Live'!AZ366='check-Jul25'!AZ366,"",'1. Live'!AZ366-'check-Jul25'!AZ366)</f>
        <v/>
      </c>
      <c r="BA366" t="str">
        <f>IF('1. Live'!BA366='check-Jul25'!BA366,"",'1. Live'!BA366-'check-Jul25'!BA366)</f>
        <v/>
      </c>
      <c r="BB366" t="str">
        <f>IF('1. Live'!BB366='check-Jul25'!BB366,"",'1. Live'!BB366-'check-Jul25'!BB366)</f>
        <v/>
      </c>
      <c r="BC366" t="str">
        <f>IF('1. Live'!BC366='check-Jul25'!BC366,"",'1. Live'!BC366-'check-Jul25'!BC366)</f>
        <v/>
      </c>
      <c r="BD366" t="str">
        <f>IF('1. Live'!BD366='check-Jul25'!BD366,"",'1. Live'!BD366-'check-Jul25'!BD366)</f>
        <v/>
      </c>
      <c r="BE366" t="str">
        <f>IF('1. Live'!BE366='check-Jul25'!BE366,"",'1. Live'!BE366-'check-Jul25'!BE366)</f>
        <v/>
      </c>
      <c r="BF366" t="str">
        <f>IF('1. Live'!BF366='check-Jul25'!BF366,"",'1. Live'!BF366-'check-Jul25'!BF366)</f>
        <v/>
      </c>
      <c r="BG366" t="str">
        <f>IF('1. Live'!BG366='check-Jul25'!BG366,"",'1. Live'!BG366-'check-Jul25'!BG366)</f>
        <v/>
      </c>
      <c r="BH366" t="str">
        <f>IF('1. Live'!BH366='check-Jul25'!BH366,"",'1. Live'!BH366-'check-Jul25'!BH366)</f>
        <v/>
      </c>
      <c r="BI366" t="str">
        <f>IF('1. Live'!BI366='check-Jul25'!BI366,"",'1. Live'!BI366-'check-Jul25'!BI366)</f>
        <v/>
      </c>
      <c r="BJ366" t="str">
        <f>IF('1. Live'!BJ366='check-Jul25'!BJ366,"",'1. Live'!BJ366-'check-Jul25'!BJ366)</f>
        <v/>
      </c>
      <c r="BK366" t="str">
        <f>IF('1. Live'!BK366='check-Jul25'!BK366,"",'1. Live'!BK366-'check-Jul25'!BK366)</f>
        <v/>
      </c>
      <c r="BL366" t="str">
        <f>IF('1. Live'!BL366='check-Jul25'!BL366,"",'1. Live'!BL366-'check-Jul25'!BL366)</f>
        <v/>
      </c>
      <c r="BM366" t="str">
        <f>IF('1. Live'!BM366='check-Jul25'!BM366,"",'1. Live'!BM366-'check-Jul25'!BM366)</f>
        <v/>
      </c>
      <c r="BN366" t="str">
        <f>IF('1. Live'!BN366='check-Jul25'!BN366,"",'1. Live'!BN366-'check-Jul25'!BN366)</f>
        <v/>
      </c>
      <c r="BO366" t="str">
        <f>IF('1. Live'!BO366='check-Jul25'!BO366,"",'1. Live'!BO366-'check-Jul25'!BO366)</f>
        <v/>
      </c>
      <c r="BP366" t="str">
        <f>IF('1. Live'!BP366='check-Jul25'!BP366,"",'1. Live'!BP366-'check-Jul25'!BP366)</f>
        <v/>
      </c>
      <c r="BQ366" t="str">
        <f>IF('1. Live'!BQ366='check-Jul25'!BQ366,"",'1. Live'!BQ366-'check-Jul25'!BQ366)</f>
        <v/>
      </c>
      <c r="BR366" t="str">
        <f>IF('1. Live'!BR366='check-Jul25'!BR366,"",'1. Live'!BR366-'check-Jul25'!BR366)</f>
        <v/>
      </c>
      <c r="BS366" t="str">
        <f>IF('1. Live'!BS366='check-Jul25'!BS366,"",'1. Live'!BS366-'check-Jul25'!BS366)</f>
        <v/>
      </c>
      <c r="BT366" t="str">
        <f>IF('1. Live'!BT366='check-Jul25'!BT366,"",'1. Live'!BT366-'check-Jul25'!BT366)</f>
        <v/>
      </c>
      <c r="BU366" t="str">
        <f>IF('1. Live'!BU366='check-Jul25'!BU366,"",'1. Live'!BU366-'check-Jul25'!BU366)</f>
        <v/>
      </c>
      <c r="BV366" t="str">
        <f>IF('1. Live'!BV366='check-Jul25'!BV366,"",'1. Live'!BV366-'check-Jul25'!BV366)</f>
        <v/>
      </c>
      <c r="BW366" t="str">
        <f>IF('1. Live'!BW366='check-Jul25'!BW366,"",'1. Live'!BW366-'check-Jul25'!BW366)</f>
        <v/>
      </c>
      <c r="BX366" t="str">
        <f>IF('1. Live'!BX366='check-Jul25'!BX366,"",'1. Live'!BX366-'check-Jul25'!BX366)</f>
        <v/>
      </c>
      <c r="BY366" t="str">
        <f>IF('1. Live'!BY366='check-Jul25'!BY366,"",'1. Live'!BY366-'check-Jul25'!BY366)</f>
        <v/>
      </c>
      <c r="BZ366" t="str">
        <f>IF('1. Live'!BZ366='check-Jul25'!BZ366,"",'1. Live'!BZ366-'check-Jul25'!BZ366)</f>
        <v/>
      </c>
      <c r="CA366" t="str">
        <f>IF('1. Live'!CA366='check-Jul25'!CA366,"",'1. Live'!CA366-'check-Jul25'!CA366)</f>
        <v/>
      </c>
      <c r="CB366" t="str">
        <f>IF('1. Live'!CB366='check-Jul25'!CB366,"",'1. Live'!CB366-'check-Jul25'!CB366)</f>
        <v/>
      </c>
      <c r="CC366" t="str">
        <f>IF('1. Live'!CC366='check-Jul25'!CC366,"",'1. Live'!CC366-'check-Jul25'!CC366)</f>
        <v/>
      </c>
      <c r="CD366" t="str">
        <f>IF('1. Live'!CD366='check-Jul25'!CD366,"",'1. Live'!CD366-'check-Jul25'!CD366)</f>
        <v/>
      </c>
      <c r="CE366" t="str">
        <f>IF('1. Live'!CE366='check-Jul25'!CE366,"",'1. Live'!CE366-'check-Jul25'!CE366)</f>
        <v/>
      </c>
      <c r="CF366" t="str">
        <f>IF('1. Live'!CF366='check-Jul25'!CF366,"",'1. Live'!CF366-'check-Jul25'!CF366)</f>
        <v/>
      </c>
      <c r="CG366" t="str">
        <f>IF('1. Live'!CG366='check-Jul25'!CG366,"",'1. Live'!CG366-'check-Jul25'!CG366)</f>
        <v/>
      </c>
      <c r="CH366" t="str">
        <f>IF('1. Live'!CH366='check-Jul25'!CH366,"",'1. Live'!CH366-'check-Jul25'!CH366)</f>
        <v/>
      </c>
      <c r="CI366" t="str">
        <f>IF('1. Live'!CI366='check-Jul25'!CI366,"",'1. Live'!CI366-'check-Jul25'!CI366)</f>
        <v/>
      </c>
      <c r="CJ366" t="str">
        <f>IF('1. Live'!CJ366='check-Jul25'!CJ366,"",'1. Live'!CJ366-'check-Jul25'!CJ366)</f>
        <v/>
      </c>
      <c r="CK366" t="str">
        <f>IF('1. Live'!CK366='check-Jul25'!CK366,"",'1. Live'!CK366-'check-Jul25'!CK366)</f>
        <v/>
      </c>
      <c r="CL366" t="str">
        <f>IF('1. Live'!CL366='check-Jul25'!CL366,"",'1. Live'!CL366-'check-Jul25'!CL366)</f>
        <v/>
      </c>
      <c r="CM366" t="str">
        <f>IF('1. Live'!CM366='check-Jul25'!CM366,"",'1. Live'!CM366-'check-Jul25'!CM366)</f>
        <v/>
      </c>
      <c r="CN366" t="str">
        <f>IF('1. Live'!CN366='check-Jul25'!CN366,"",'1. Live'!CN366-'check-Jul25'!CN366)</f>
        <v/>
      </c>
      <c r="CO366" t="str">
        <f>IF('1. Live'!CO366='check-Jul25'!CO366,"",'1. Live'!CO366-'check-Jul25'!CO366)</f>
        <v/>
      </c>
      <c r="CP366" t="str">
        <f>IF('1. Live'!CP366='check-Jul25'!CP366,"",'1. Live'!CP366-'check-Jul25'!CP366)</f>
        <v/>
      </c>
      <c r="CQ366" t="str">
        <f>IF('1. Live'!CQ366='check-Jul25'!CQ366,"",'1. Live'!CQ366-'check-Jul25'!CQ366)</f>
        <v/>
      </c>
      <c r="CR366" t="str">
        <f>IF('1. Live'!CR366='check-Jul25'!CR366,"",'1. Live'!CR366-'check-Jul25'!CR366)</f>
        <v/>
      </c>
      <c r="CS366" t="str">
        <f>IF('1. Live'!CS366='check-Jul25'!CS366,"",'1. Live'!CS366-'check-Jul25'!CS366)</f>
        <v/>
      </c>
      <c r="CT366" t="str">
        <f>IF('1. Live'!CT366='check-Jul25'!CT366,"",'1. Live'!CT366-'check-Jul25'!CT366)</f>
        <v/>
      </c>
      <c r="CU366" t="str">
        <f>IF('1. Live'!CU366='check-Jul25'!CU366,"",'1. Live'!CU366-'check-Jul25'!CU366)</f>
        <v/>
      </c>
      <c r="CV366" t="str">
        <f>IF('1. Live'!CV366='check-Jul25'!CV366,"",'1. Live'!CV366-'check-Jul25'!CV366)</f>
        <v/>
      </c>
      <c r="CW366" t="str">
        <f>IF('1. Live'!CW366='check-Jul25'!CW366,"",'1. Live'!CW366-'check-Jul25'!CW366)</f>
        <v/>
      </c>
    </row>
    <row r="367" spans="10:101">
      <c r="J367" t="str">
        <f>IF('1. Live'!J367='check-Jul25'!J367,"",'1. Live'!J367-'check-Jul25'!J367)</f>
        <v/>
      </c>
      <c r="K367" t="str">
        <f>IF('1. Live'!K367='check-Jul25'!K367,"",'1. Live'!K367-'check-Jul25'!K367)</f>
        <v/>
      </c>
      <c r="L367" t="str">
        <f>IF('1. Live'!L367='check-Jul25'!L367,"",'1. Live'!L367-'check-Jul25'!L367)</f>
        <v/>
      </c>
      <c r="M367" t="str">
        <f>IF('1. Live'!M367='check-Jul25'!M367,"",'1. Live'!M367-'check-Jul25'!M367)</f>
        <v/>
      </c>
      <c r="N367" t="str">
        <f>IF('1. Live'!N367='check-Jul25'!N367,"",'1. Live'!N367-'check-Jul25'!N367)</f>
        <v/>
      </c>
      <c r="O367" t="str">
        <f>IF('1. Live'!O367='check-Jul25'!O367,"",'1. Live'!O367-'check-Jul25'!O367)</f>
        <v/>
      </c>
      <c r="P367" t="str">
        <f>IF('1. Live'!P367='check-Jul25'!P367,"",'1. Live'!P367-'check-Jul25'!P367)</f>
        <v/>
      </c>
      <c r="Q367" t="str">
        <f>IF('1. Live'!Q367='check-Jul25'!Q367,"",'1. Live'!Q367-'check-Jul25'!Q367)</f>
        <v/>
      </c>
      <c r="R367" t="str">
        <f>IF('1. Live'!R367='check-Jul25'!R367,"",'1. Live'!R367-'check-Jul25'!R367)</f>
        <v/>
      </c>
      <c r="S367" t="str">
        <f>IF('1. Live'!S367='check-Jul25'!S367,"",'1. Live'!S367-'check-Jul25'!S367)</f>
        <v/>
      </c>
      <c r="T367" t="str">
        <f>IF('1. Live'!T367='check-Jul25'!T367,"",'1. Live'!T367-'check-Jul25'!T367)</f>
        <v/>
      </c>
      <c r="U367" t="str">
        <f>IF('1. Live'!U367='check-Jul25'!U367,"",'1. Live'!U367-'check-Jul25'!U367)</f>
        <v/>
      </c>
      <c r="V367" t="str">
        <f>IF('1. Live'!V367='check-Jul25'!V367,"",'1. Live'!V367-'check-Jul25'!V367)</f>
        <v/>
      </c>
      <c r="W367" t="str">
        <f>IF('1. Live'!W367='check-Jul25'!W367,"",'1. Live'!W367-'check-Jul25'!W367)</f>
        <v/>
      </c>
      <c r="X367" t="str">
        <f>IF('1. Live'!X367='check-Jul25'!X367,"",'1. Live'!X367-'check-Jul25'!X367)</f>
        <v/>
      </c>
      <c r="Y367" t="str">
        <f>IF('1. Live'!Y367='check-Jul25'!Y367,"",'1. Live'!Y367-'check-Jul25'!Y367)</f>
        <v/>
      </c>
      <c r="Z367" t="str">
        <f>IF('1. Live'!Z367='check-Jul25'!Z367,"",'1. Live'!Z367-'check-Jul25'!Z367)</f>
        <v/>
      </c>
      <c r="AA367" t="str">
        <f>IF('1. Live'!AA367='check-Jul25'!AA367,"",'1. Live'!AA367-'check-Jul25'!AA367)</f>
        <v/>
      </c>
      <c r="AB367" t="str">
        <f>IF('1. Live'!AB367='check-Jul25'!AB367,"",'1. Live'!AB367-'check-Jul25'!AB367)</f>
        <v/>
      </c>
      <c r="AC367" t="str">
        <f>IF('1. Live'!AC367='check-Jul25'!AC367,"",'1. Live'!AC367-'check-Jul25'!AC367)</f>
        <v/>
      </c>
      <c r="AD367" t="str">
        <f>IF('1. Live'!AD367='check-Jul25'!AD367,"",'1. Live'!AD367-'check-Jul25'!AD367)</f>
        <v/>
      </c>
      <c r="AE367" t="str">
        <f>IF('1. Live'!AE367='check-Jul25'!AE367,"",'1. Live'!AE367-'check-Jul25'!AE367)</f>
        <v/>
      </c>
      <c r="AF367" t="str">
        <f>IF('1. Live'!AF367='check-Jul25'!AF367,"",'1. Live'!AF367-'check-Jul25'!AF367)</f>
        <v/>
      </c>
      <c r="AG367" t="str">
        <f>IF('1. Live'!AG367='check-Jul25'!AG367,"",'1. Live'!AG367-'check-Jul25'!AG367)</f>
        <v/>
      </c>
      <c r="AH367" t="str">
        <f>IF('1. Live'!AH367='check-Jul25'!AH367,"",'1. Live'!AH367-'check-Jul25'!AH367)</f>
        <v/>
      </c>
      <c r="AI367" t="str">
        <f>IF('1. Live'!AI367='check-Jul25'!AI367,"",'1. Live'!AI367-'check-Jul25'!AI367)</f>
        <v/>
      </c>
      <c r="AJ367" t="str">
        <f>IF('1. Live'!AJ367='check-Jul25'!AJ367,"",'1. Live'!AJ367-'check-Jul25'!AJ367)</f>
        <v/>
      </c>
      <c r="AK367" t="str">
        <f>IF('1. Live'!AK367='check-Jul25'!AK367,"",'1. Live'!AK367-'check-Jul25'!AK367)</f>
        <v/>
      </c>
      <c r="AL367" t="str">
        <f>IF('1. Live'!AL367='check-Jul25'!AL367,"",'1. Live'!AL367-'check-Jul25'!AL367)</f>
        <v/>
      </c>
      <c r="AM367" t="str">
        <f>IF('1. Live'!AM367='check-Jul25'!AM367,"",'1. Live'!AM367-'check-Jul25'!AM367)</f>
        <v/>
      </c>
      <c r="AN367" t="str">
        <f>IF('1. Live'!AN367='check-Jul25'!AN367,"",'1. Live'!AN367-'check-Jul25'!AN367)</f>
        <v/>
      </c>
      <c r="AO367" t="str">
        <f>IF('1. Live'!AO367='check-Jul25'!AO367,"",'1. Live'!AO367-'check-Jul25'!AO367)</f>
        <v/>
      </c>
      <c r="AP367" t="str">
        <f>IF('1. Live'!AP367='check-Jul25'!AP367,"",'1. Live'!AP367-'check-Jul25'!AP367)</f>
        <v/>
      </c>
      <c r="AQ367" t="str">
        <f>IF('1. Live'!AQ367='check-Jul25'!AQ367,"",'1. Live'!AQ367-'check-Jul25'!AQ367)</f>
        <v/>
      </c>
      <c r="AR367" t="str">
        <f>IF('1. Live'!AR367='check-Jul25'!AR367,"",'1. Live'!AR367-'check-Jul25'!AR367)</f>
        <v/>
      </c>
      <c r="AS367" t="str">
        <f>IF('1. Live'!AS367='check-Jul25'!AS367,"",'1. Live'!AS367-'check-Jul25'!AS367)</f>
        <v/>
      </c>
      <c r="AT367" t="str">
        <f>IF('1. Live'!AT367='check-Jul25'!AT367,"",'1. Live'!AT367-'check-Jul25'!AT367)</f>
        <v/>
      </c>
      <c r="AU367" t="str">
        <f>IF('1. Live'!AU367='check-Jul25'!AU367,"",'1. Live'!AU367-'check-Jul25'!AU367)</f>
        <v/>
      </c>
      <c r="AV367" t="str">
        <f>IF('1. Live'!AV367='check-Jul25'!AV367,"",'1. Live'!AV367-'check-Jul25'!AV367)</f>
        <v/>
      </c>
      <c r="AW367" t="str">
        <f>IF('1. Live'!AW367='check-Jul25'!AW367,"",'1. Live'!AW367-'check-Jul25'!AW367)</f>
        <v/>
      </c>
      <c r="AX367" t="str">
        <f>IF('1. Live'!AX367='check-Jul25'!AX367,"",'1. Live'!AX367-'check-Jul25'!AX367)</f>
        <v/>
      </c>
      <c r="AY367" t="str">
        <f>IF('1. Live'!AY367='check-Jul25'!AY367,"",'1. Live'!AY367-'check-Jul25'!AY367)</f>
        <v/>
      </c>
      <c r="AZ367" t="str">
        <f>IF('1. Live'!AZ367='check-Jul25'!AZ367,"",'1. Live'!AZ367-'check-Jul25'!AZ367)</f>
        <v/>
      </c>
      <c r="BA367" t="str">
        <f>IF('1. Live'!BA367='check-Jul25'!BA367,"",'1. Live'!BA367-'check-Jul25'!BA367)</f>
        <v/>
      </c>
      <c r="BB367" t="str">
        <f>IF('1. Live'!BB367='check-Jul25'!BB367,"",'1. Live'!BB367-'check-Jul25'!BB367)</f>
        <v/>
      </c>
      <c r="BC367" t="str">
        <f>IF('1. Live'!BC367='check-Jul25'!BC367,"",'1. Live'!BC367-'check-Jul25'!BC367)</f>
        <v/>
      </c>
      <c r="BD367" t="str">
        <f>IF('1. Live'!BD367='check-Jul25'!BD367,"",'1. Live'!BD367-'check-Jul25'!BD367)</f>
        <v/>
      </c>
      <c r="BE367" t="str">
        <f>IF('1. Live'!BE367='check-Jul25'!BE367,"",'1. Live'!BE367-'check-Jul25'!BE367)</f>
        <v/>
      </c>
      <c r="BF367" t="str">
        <f>IF('1. Live'!BF367='check-Jul25'!BF367,"",'1. Live'!BF367-'check-Jul25'!BF367)</f>
        <v/>
      </c>
      <c r="BG367" t="str">
        <f>IF('1. Live'!BG367='check-Jul25'!BG367,"",'1. Live'!BG367-'check-Jul25'!BG367)</f>
        <v/>
      </c>
      <c r="BH367" t="str">
        <f>IF('1. Live'!BH367='check-Jul25'!BH367,"",'1. Live'!BH367-'check-Jul25'!BH367)</f>
        <v/>
      </c>
      <c r="BI367" t="str">
        <f>IF('1. Live'!BI367='check-Jul25'!BI367,"",'1. Live'!BI367-'check-Jul25'!BI367)</f>
        <v/>
      </c>
      <c r="BJ367" t="str">
        <f>IF('1. Live'!BJ367='check-Jul25'!BJ367,"",'1. Live'!BJ367-'check-Jul25'!BJ367)</f>
        <v/>
      </c>
      <c r="BK367" t="str">
        <f>IF('1. Live'!BK367='check-Jul25'!BK367,"",'1. Live'!BK367-'check-Jul25'!BK367)</f>
        <v/>
      </c>
      <c r="BL367" t="str">
        <f>IF('1. Live'!BL367='check-Jul25'!BL367,"",'1. Live'!BL367-'check-Jul25'!BL367)</f>
        <v/>
      </c>
      <c r="BM367" t="str">
        <f>IF('1. Live'!BM367='check-Jul25'!BM367,"",'1. Live'!BM367-'check-Jul25'!BM367)</f>
        <v/>
      </c>
      <c r="BN367" t="str">
        <f>IF('1. Live'!BN367='check-Jul25'!BN367,"",'1. Live'!BN367-'check-Jul25'!BN367)</f>
        <v/>
      </c>
      <c r="BO367" t="str">
        <f>IF('1. Live'!BO367='check-Jul25'!BO367,"",'1. Live'!BO367-'check-Jul25'!BO367)</f>
        <v/>
      </c>
      <c r="BP367" t="str">
        <f>IF('1. Live'!BP367='check-Jul25'!BP367,"",'1. Live'!BP367-'check-Jul25'!BP367)</f>
        <v/>
      </c>
      <c r="BQ367" t="str">
        <f>IF('1. Live'!BQ367='check-Jul25'!BQ367,"",'1. Live'!BQ367-'check-Jul25'!BQ367)</f>
        <v/>
      </c>
      <c r="BR367" t="str">
        <f>IF('1. Live'!BR367='check-Jul25'!BR367,"",'1. Live'!BR367-'check-Jul25'!BR367)</f>
        <v/>
      </c>
      <c r="BS367" t="str">
        <f>IF('1. Live'!BS367='check-Jul25'!BS367,"",'1. Live'!BS367-'check-Jul25'!BS367)</f>
        <v/>
      </c>
      <c r="BT367" t="str">
        <f>IF('1. Live'!BT367='check-Jul25'!BT367,"",'1. Live'!BT367-'check-Jul25'!BT367)</f>
        <v/>
      </c>
      <c r="BU367" t="str">
        <f>IF('1. Live'!BU367='check-Jul25'!BU367,"",'1. Live'!BU367-'check-Jul25'!BU367)</f>
        <v/>
      </c>
      <c r="BV367" t="str">
        <f>IF('1. Live'!BV367='check-Jul25'!BV367,"",'1. Live'!BV367-'check-Jul25'!BV367)</f>
        <v/>
      </c>
      <c r="BW367" t="str">
        <f>IF('1. Live'!BW367='check-Jul25'!BW367,"",'1. Live'!BW367-'check-Jul25'!BW367)</f>
        <v/>
      </c>
      <c r="BX367" t="str">
        <f>IF('1. Live'!BX367='check-Jul25'!BX367,"",'1. Live'!BX367-'check-Jul25'!BX367)</f>
        <v/>
      </c>
      <c r="BY367" t="str">
        <f>IF('1. Live'!BY367='check-Jul25'!BY367,"",'1. Live'!BY367-'check-Jul25'!BY367)</f>
        <v/>
      </c>
      <c r="BZ367" t="str">
        <f>IF('1. Live'!BZ367='check-Jul25'!BZ367,"",'1. Live'!BZ367-'check-Jul25'!BZ367)</f>
        <v/>
      </c>
      <c r="CA367" t="str">
        <f>IF('1. Live'!CA367='check-Jul25'!CA367,"",'1. Live'!CA367-'check-Jul25'!CA367)</f>
        <v/>
      </c>
      <c r="CB367" t="str">
        <f>IF('1. Live'!CB367='check-Jul25'!CB367,"",'1. Live'!CB367-'check-Jul25'!CB367)</f>
        <v/>
      </c>
      <c r="CC367" t="str">
        <f>IF('1. Live'!CC367='check-Jul25'!CC367,"",'1. Live'!CC367-'check-Jul25'!CC367)</f>
        <v/>
      </c>
      <c r="CD367" t="str">
        <f>IF('1. Live'!CD367='check-Jul25'!CD367,"",'1. Live'!CD367-'check-Jul25'!CD367)</f>
        <v/>
      </c>
      <c r="CE367" t="str">
        <f>IF('1. Live'!CE367='check-Jul25'!CE367,"",'1. Live'!CE367-'check-Jul25'!CE367)</f>
        <v/>
      </c>
      <c r="CF367" t="str">
        <f>IF('1. Live'!CF367='check-Jul25'!CF367,"",'1. Live'!CF367-'check-Jul25'!CF367)</f>
        <v/>
      </c>
      <c r="CG367" t="str">
        <f>IF('1. Live'!CG367='check-Jul25'!CG367,"",'1. Live'!CG367-'check-Jul25'!CG367)</f>
        <v/>
      </c>
      <c r="CH367" t="str">
        <f>IF('1. Live'!CH367='check-Jul25'!CH367,"",'1. Live'!CH367-'check-Jul25'!CH367)</f>
        <v/>
      </c>
      <c r="CI367" t="str">
        <f>IF('1. Live'!CI367='check-Jul25'!CI367,"",'1. Live'!CI367-'check-Jul25'!CI367)</f>
        <v/>
      </c>
      <c r="CJ367" t="str">
        <f>IF('1. Live'!CJ367='check-Jul25'!CJ367,"",'1. Live'!CJ367-'check-Jul25'!CJ367)</f>
        <v/>
      </c>
      <c r="CK367" t="str">
        <f>IF('1. Live'!CK367='check-Jul25'!CK367,"",'1. Live'!CK367-'check-Jul25'!CK367)</f>
        <v/>
      </c>
      <c r="CL367" t="str">
        <f>IF('1. Live'!CL367='check-Jul25'!CL367,"",'1. Live'!CL367-'check-Jul25'!CL367)</f>
        <v/>
      </c>
      <c r="CM367" t="str">
        <f>IF('1. Live'!CM367='check-Jul25'!CM367,"",'1. Live'!CM367-'check-Jul25'!CM367)</f>
        <v/>
      </c>
      <c r="CN367" t="str">
        <f>IF('1. Live'!CN367='check-Jul25'!CN367,"",'1. Live'!CN367-'check-Jul25'!CN367)</f>
        <v/>
      </c>
      <c r="CO367" t="str">
        <f>IF('1. Live'!CO367='check-Jul25'!CO367,"",'1. Live'!CO367-'check-Jul25'!CO367)</f>
        <v/>
      </c>
      <c r="CP367" t="str">
        <f>IF('1. Live'!CP367='check-Jul25'!CP367,"",'1. Live'!CP367-'check-Jul25'!CP367)</f>
        <v/>
      </c>
      <c r="CQ367" t="str">
        <f>IF('1. Live'!CQ367='check-Jul25'!CQ367,"",'1. Live'!CQ367-'check-Jul25'!CQ367)</f>
        <v/>
      </c>
      <c r="CR367" t="str">
        <f>IF('1. Live'!CR367='check-Jul25'!CR367,"",'1. Live'!CR367-'check-Jul25'!CR367)</f>
        <v/>
      </c>
      <c r="CS367" t="str">
        <f>IF('1. Live'!CS367='check-Jul25'!CS367,"",'1. Live'!CS367-'check-Jul25'!CS367)</f>
        <v/>
      </c>
      <c r="CT367" t="str">
        <f>IF('1. Live'!CT367='check-Jul25'!CT367,"",'1. Live'!CT367-'check-Jul25'!CT367)</f>
        <v/>
      </c>
      <c r="CU367" t="str">
        <f>IF('1. Live'!CU367='check-Jul25'!CU367,"",'1. Live'!CU367-'check-Jul25'!CU367)</f>
        <v/>
      </c>
      <c r="CV367" t="str">
        <f>IF('1. Live'!CV367='check-Jul25'!CV367,"",'1. Live'!CV367-'check-Jul25'!CV367)</f>
        <v/>
      </c>
      <c r="CW367" t="str">
        <f>IF('1. Live'!CW367='check-Jul25'!CW367,"",'1. Live'!CW367-'check-Jul25'!CW367)</f>
        <v/>
      </c>
    </row>
    <row r="368" spans="10:101">
      <c r="J368" t="str">
        <f>IF('1. Live'!J368='check-Jul25'!J368,"",'1. Live'!J368-'check-Jul25'!J368)</f>
        <v/>
      </c>
      <c r="K368" t="str">
        <f>IF('1. Live'!K368='check-Jul25'!K368,"",'1. Live'!K368-'check-Jul25'!K368)</f>
        <v/>
      </c>
      <c r="L368" t="str">
        <f>IF('1. Live'!L368='check-Jul25'!L368,"",'1. Live'!L368-'check-Jul25'!L368)</f>
        <v/>
      </c>
      <c r="M368" t="str">
        <f>IF('1. Live'!M368='check-Jul25'!M368,"",'1. Live'!M368-'check-Jul25'!M368)</f>
        <v/>
      </c>
      <c r="N368" t="str">
        <f>IF('1. Live'!N368='check-Jul25'!N368,"",'1. Live'!N368-'check-Jul25'!N368)</f>
        <v/>
      </c>
      <c r="O368" t="str">
        <f>IF('1. Live'!O368='check-Jul25'!O368,"",'1. Live'!O368-'check-Jul25'!O368)</f>
        <v/>
      </c>
      <c r="P368" t="str">
        <f>IF('1. Live'!P368='check-Jul25'!P368,"",'1. Live'!P368-'check-Jul25'!P368)</f>
        <v/>
      </c>
      <c r="Q368" t="str">
        <f>IF('1. Live'!Q368='check-Jul25'!Q368,"",'1. Live'!Q368-'check-Jul25'!Q368)</f>
        <v/>
      </c>
      <c r="R368" t="str">
        <f>IF('1. Live'!R368='check-Jul25'!R368,"",'1. Live'!R368-'check-Jul25'!R368)</f>
        <v/>
      </c>
      <c r="S368" t="str">
        <f>IF('1. Live'!S368='check-Jul25'!S368,"",'1. Live'!S368-'check-Jul25'!S368)</f>
        <v/>
      </c>
      <c r="T368" t="str">
        <f>IF('1. Live'!T368='check-Jul25'!T368,"",'1. Live'!T368-'check-Jul25'!T368)</f>
        <v/>
      </c>
      <c r="U368" t="str">
        <f>IF('1. Live'!U368='check-Jul25'!U368,"",'1. Live'!U368-'check-Jul25'!U368)</f>
        <v/>
      </c>
      <c r="V368" t="str">
        <f>IF('1. Live'!V368='check-Jul25'!V368,"",'1. Live'!V368-'check-Jul25'!V368)</f>
        <v/>
      </c>
      <c r="W368" t="str">
        <f>IF('1. Live'!W368='check-Jul25'!W368,"",'1. Live'!W368-'check-Jul25'!W368)</f>
        <v/>
      </c>
      <c r="X368" t="str">
        <f>IF('1. Live'!X368='check-Jul25'!X368,"",'1. Live'!X368-'check-Jul25'!X368)</f>
        <v/>
      </c>
      <c r="Y368" t="str">
        <f>IF('1. Live'!Y368='check-Jul25'!Y368,"",'1. Live'!Y368-'check-Jul25'!Y368)</f>
        <v/>
      </c>
      <c r="Z368" t="str">
        <f>IF('1. Live'!Z368='check-Jul25'!Z368,"",'1. Live'!Z368-'check-Jul25'!Z368)</f>
        <v/>
      </c>
      <c r="AA368" t="str">
        <f>IF('1. Live'!AA368='check-Jul25'!AA368,"",'1. Live'!AA368-'check-Jul25'!AA368)</f>
        <v/>
      </c>
      <c r="AB368" t="str">
        <f>IF('1. Live'!AB368='check-Jul25'!AB368,"",'1. Live'!AB368-'check-Jul25'!AB368)</f>
        <v/>
      </c>
      <c r="AC368" t="str">
        <f>IF('1. Live'!AC368='check-Jul25'!AC368,"",'1. Live'!AC368-'check-Jul25'!AC368)</f>
        <v/>
      </c>
      <c r="AD368" t="str">
        <f>IF('1. Live'!AD368='check-Jul25'!AD368,"",'1. Live'!AD368-'check-Jul25'!AD368)</f>
        <v/>
      </c>
      <c r="AE368" t="str">
        <f>IF('1. Live'!AE368='check-Jul25'!AE368,"",'1. Live'!AE368-'check-Jul25'!AE368)</f>
        <v/>
      </c>
      <c r="AF368" t="str">
        <f>IF('1. Live'!AF368='check-Jul25'!AF368,"",'1. Live'!AF368-'check-Jul25'!AF368)</f>
        <v/>
      </c>
      <c r="AG368" t="str">
        <f>IF('1. Live'!AG368='check-Jul25'!AG368,"",'1. Live'!AG368-'check-Jul25'!AG368)</f>
        <v/>
      </c>
      <c r="AH368" t="str">
        <f>IF('1. Live'!AH368='check-Jul25'!AH368,"",'1. Live'!AH368-'check-Jul25'!AH368)</f>
        <v/>
      </c>
      <c r="AI368" t="str">
        <f>IF('1. Live'!AI368='check-Jul25'!AI368,"",'1. Live'!AI368-'check-Jul25'!AI368)</f>
        <v/>
      </c>
      <c r="AJ368" t="str">
        <f>IF('1. Live'!AJ368='check-Jul25'!AJ368,"",'1. Live'!AJ368-'check-Jul25'!AJ368)</f>
        <v/>
      </c>
      <c r="AK368" t="str">
        <f>IF('1. Live'!AK368='check-Jul25'!AK368,"",'1. Live'!AK368-'check-Jul25'!AK368)</f>
        <v/>
      </c>
      <c r="AL368" t="str">
        <f>IF('1. Live'!AL368='check-Jul25'!AL368,"",'1. Live'!AL368-'check-Jul25'!AL368)</f>
        <v/>
      </c>
      <c r="AM368" t="str">
        <f>IF('1. Live'!AM368='check-Jul25'!AM368,"",'1. Live'!AM368-'check-Jul25'!AM368)</f>
        <v/>
      </c>
      <c r="AN368" t="str">
        <f>IF('1. Live'!AN368='check-Jul25'!AN368,"",'1. Live'!AN368-'check-Jul25'!AN368)</f>
        <v/>
      </c>
      <c r="AO368" t="str">
        <f>IF('1. Live'!AO368='check-Jul25'!AO368,"",'1. Live'!AO368-'check-Jul25'!AO368)</f>
        <v/>
      </c>
      <c r="AP368" t="str">
        <f>IF('1. Live'!AP368='check-Jul25'!AP368,"",'1. Live'!AP368-'check-Jul25'!AP368)</f>
        <v/>
      </c>
      <c r="AQ368" t="str">
        <f>IF('1. Live'!AQ368='check-Jul25'!AQ368,"",'1. Live'!AQ368-'check-Jul25'!AQ368)</f>
        <v/>
      </c>
      <c r="AR368" t="str">
        <f>IF('1. Live'!AR368='check-Jul25'!AR368,"",'1. Live'!AR368-'check-Jul25'!AR368)</f>
        <v/>
      </c>
      <c r="AS368" t="str">
        <f>IF('1. Live'!AS368='check-Jul25'!AS368,"",'1. Live'!AS368-'check-Jul25'!AS368)</f>
        <v/>
      </c>
      <c r="AT368" t="str">
        <f>IF('1. Live'!AT368='check-Jul25'!AT368,"",'1. Live'!AT368-'check-Jul25'!AT368)</f>
        <v/>
      </c>
      <c r="AU368" t="str">
        <f>IF('1. Live'!AU368='check-Jul25'!AU368,"",'1. Live'!AU368-'check-Jul25'!AU368)</f>
        <v/>
      </c>
      <c r="AV368" t="str">
        <f>IF('1. Live'!AV368='check-Jul25'!AV368,"",'1. Live'!AV368-'check-Jul25'!AV368)</f>
        <v/>
      </c>
      <c r="AW368" t="str">
        <f>IF('1. Live'!AW368='check-Jul25'!AW368,"",'1. Live'!AW368-'check-Jul25'!AW368)</f>
        <v/>
      </c>
      <c r="AX368" t="str">
        <f>IF('1. Live'!AX368='check-Jul25'!AX368,"",'1. Live'!AX368-'check-Jul25'!AX368)</f>
        <v/>
      </c>
      <c r="AY368" t="str">
        <f>IF('1. Live'!AY368='check-Jul25'!AY368,"",'1. Live'!AY368-'check-Jul25'!AY368)</f>
        <v/>
      </c>
      <c r="AZ368" t="str">
        <f>IF('1. Live'!AZ368='check-Jul25'!AZ368,"",'1. Live'!AZ368-'check-Jul25'!AZ368)</f>
        <v/>
      </c>
      <c r="BA368" t="str">
        <f>IF('1. Live'!BA368='check-Jul25'!BA368,"",'1. Live'!BA368-'check-Jul25'!BA368)</f>
        <v/>
      </c>
      <c r="BB368" t="str">
        <f>IF('1. Live'!BB368='check-Jul25'!BB368,"",'1. Live'!BB368-'check-Jul25'!BB368)</f>
        <v/>
      </c>
      <c r="BC368" t="str">
        <f>IF('1. Live'!BC368='check-Jul25'!BC368,"",'1. Live'!BC368-'check-Jul25'!BC368)</f>
        <v/>
      </c>
      <c r="BD368" t="str">
        <f>IF('1. Live'!BD368='check-Jul25'!BD368,"",'1. Live'!BD368-'check-Jul25'!BD368)</f>
        <v/>
      </c>
      <c r="BE368" t="str">
        <f>IF('1. Live'!BE368='check-Jul25'!BE368,"",'1. Live'!BE368-'check-Jul25'!BE368)</f>
        <v/>
      </c>
      <c r="BF368" t="str">
        <f>IF('1. Live'!BF368='check-Jul25'!BF368,"",'1. Live'!BF368-'check-Jul25'!BF368)</f>
        <v/>
      </c>
      <c r="BG368" t="str">
        <f>IF('1. Live'!BG368='check-Jul25'!BG368,"",'1. Live'!BG368-'check-Jul25'!BG368)</f>
        <v/>
      </c>
      <c r="BH368" t="str">
        <f>IF('1. Live'!BH368='check-Jul25'!BH368,"",'1. Live'!BH368-'check-Jul25'!BH368)</f>
        <v/>
      </c>
      <c r="BI368" t="str">
        <f>IF('1. Live'!BI368='check-Jul25'!BI368,"",'1. Live'!BI368-'check-Jul25'!BI368)</f>
        <v/>
      </c>
      <c r="BJ368" t="str">
        <f>IF('1. Live'!BJ368='check-Jul25'!BJ368,"",'1. Live'!BJ368-'check-Jul25'!BJ368)</f>
        <v/>
      </c>
      <c r="BK368" t="str">
        <f>IF('1. Live'!BK368='check-Jul25'!BK368,"",'1. Live'!BK368-'check-Jul25'!BK368)</f>
        <v/>
      </c>
      <c r="BL368" t="str">
        <f>IF('1. Live'!BL368='check-Jul25'!BL368,"",'1. Live'!BL368-'check-Jul25'!BL368)</f>
        <v/>
      </c>
      <c r="BM368" t="str">
        <f>IF('1. Live'!BM368='check-Jul25'!BM368,"",'1. Live'!BM368-'check-Jul25'!BM368)</f>
        <v/>
      </c>
      <c r="BN368" t="str">
        <f>IF('1. Live'!BN368='check-Jul25'!BN368,"",'1. Live'!BN368-'check-Jul25'!BN368)</f>
        <v/>
      </c>
      <c r="BO368" t="str">
        <f>IF('1. Live'!BO368='check-Jul25'!BO368,"",'1. Live'!BO368-'check-Jul25'!BO368)</f>
        <v/>
      </c>
      <c r="BP368" t="str">
        <f>IF('1. Live'!BP368='check-Jul25'!BP368,"",'1. Live'!BP368-'check-Jul25'!BP368)</f>
        <v/>
      </c>
      <c r="BQ368" t="str">
        <f>IF('1. Live'!BQ368='check-Jul25'!BQ368,"",'1. Live'!BQ368-'check-Jul25'!BQ368)</f>
        <v/>
      </c>
      <c r="BR368" t="str">
        <f>IF('1. Live'!BR368='check-Jul25'!BR368,"",'1. Live'!BR368-'check-Jul25'!BR368)</f>
        <v/>
      </c>
      <c r="BS368" t="str">
        <f>IF('1. Live'!BS368='check-Jul25'!BS368,"",'1. Live'!BS368-'check-Jul25'!BS368)</f>
        <v/>
      </c>
      <c r="BT368" t="str">
        <f>IF('1. Live'!BT368='check-Jul25'!BT368,"",'1. Live'!BT368-'check-Jul25'!BT368)</f>
        <v/>
      </c>
      <c r="BU368" t="str">
        <f>IF('1. Live'!BU368='check-Jul25'!BU368,"",'1. Live'!BU368-'check-Jul25'!BU368)</f>
        <v/>
      </c>
      <c r="BV368" t="str">
        <f>IF('1. Live'!BV368='check-Jul25'!BV368,"",'1. Live'!BV368-'check-Jul25'!BV368)</f>
        <v/>
      </c>
      <c r="BW368" t="str">
        <f>IF('1. Live'!BW368='check-Jul25'!BW368,"",'1. Live'!BW368-'check-Jul25'!BW368)</f>
        <v/>
      </c>
      <c r="BX368" t="str">
        <f>IF('1. Live'!BX368='check-Jul25'!BX368,"",'1. Live'!BX368-'check-Jul25'!BX368)</f>
        <v/>
      </c>
      <c r="BY368" t="str">
        <f>IF('1. Live'!BY368='check-Jul25'!BY368,"",'1. Live'!BY368-'check-Jul25'!BY368)</f>
        <v/>
      </c>
      <c r="BZ368" t="str">
        <f>IF('1. Live'!BZ368='check-Jul25'!BZ368,"",'1. Live'!BZ368-'check-Jul25'!BZ368)</f>
        <v/>
      </c>
      <c r="CA368" t="str">
        <f>IF('1. Live'!CA368='check-Jul25'!CA368,"",'1. Live'!CA368-'check-Jul25'!CA368)</f>
        <v/>
      </c>
      <c r="CB368" t="str">
        <f>IF('1. Live'!CB368='check-Jul25'!CB368,"",'1. Live'!CB368-'check-Jul25'!CB368)</f>
        <v/>
      </c>
      <c r="CC368" t="str">
        <f>IF('1. Live'!CC368='check-Jul25'!CC368,"",'1. Live'!CC368-'check-Jul25'!CC368)</f>
        <v/>
      </c>
      <c r="CD368" t="str">
        <f>IF('1. Live'!CD368='check-Jul25'!CD368,"",'1. Live'!CD368-'check-Jul25'!CD368)</f>
        <v/>
      </c>
      <c r="CE368" t="str">
        <f>IF('1. Live'!CE368='check-Jul25'!CE368,"",'1. Live'!CE368-'check-Jul25'!CE368)</f>
        <v/>
      </c>
      <c r="CF368" t="str">
        <f>IF('1. Live'!CF368='check-Jul25'!CF368,"",'1. Live'!CF368-'check-Jul25'!CF368)</f>
        <v/>
      </c>
      <c r="CG368" t="str">
        <f>IF('1. Live'!CG368='check-Jul25'!CG368,"",'1. Live'!CG368-'check-Jul25'!CG368)</f>
        <v/>
      </c>
      <c r="CH368" t="str">
        <f>IF('1. Live'!CH368='check-Jul25'!CH368,"",'1. Live'!CH368-'check-Jul25'!CH368)</f>
        <v/>
      </c>
      <c r="CI368" t="str">
        <f>IF('1. Live'!CI368='check-Jul25'!CI368,"",'1. Live'!CI368-'check-Jul25'!CI368)</f>
        <v/>
      </c>
      <c r="CJ368" t="str">
        <f>IF('1. Live'!CJ368='check-Jul25'!CJ368,"",'1. Live'!CJ368-'check-Jul25'!CJ368)</f>
        <v/>
      </c>
      <c r="CK368" t="str">
        <f>IF('1. Live'!CK368='check-Jul25'!CK368,"",'1. Live'!CK368-'check-Jul25'!CK368)</f>
        <v/>
      </c>
      <c r="CL368" t="str">
        <f>IF('1. Live'!CL368='check-Jul25'!CL368,"",'1. Live'!CL368-'check-Jul25'!CL368)</f>
        <v/>
      </c>
      <c r="CM368" t="str">
        <f>IF('1. Live'!CM368='check-Jul25'!CM368,"",'1. Live'!CM368-'check-Jul25'!CM368)</f>
        <v/>
      </c>
      <c r="CN368" t="str">
        <f>IF('1. Live'!CN368='check-Jul25'!CN368,"",'1. Live'!CN368-'check-Jul25'!CN368)</f>
        <v/>
      </c>
      <c r="CO368" t="str">
        <f>IF('1. Live'!CO368='check-Jul25'!CO368,"",'1. Live'!CO368-'check-Jul25'!CO368)</f>
        <v/>
      </c>
      <c r="CP368" t="str">
        <f>IF('1. Live'!CP368='check-Jul25'!CP368,"",'1. Live'!CP368-'check-Jul25'!CP368)</f>
        <v/>
      </c>
      <c r="CQ368" t="str">
        <f>IF('1. Live'!CQ368='check-Jul25'!CQ368,"",'1. Live'!CQ368-'check-Jul25'!CQ368)</f>
        <v/>
      </c>
      <c r="CR368" t="str">
        <f>IF('1. Live'!CR368='check-Jul25'!CR368,"",'1. Live'!CR368-'check-Jul25'!CR368)</f>
        <v/>
      </c>
      <c r="CS368" t="str">
        <f>IF('1. Live'!CS368='check-Jul25'!CS368,"",'1. Live'!CS368-'check-Jul25'!CS368)</f>
        <v/>
      </c>
      <c r="CT368" t="str">
        <f>IF('1. Live'!CT368='check-Jul25'!CT368,"",'1. Live'!CT368-'check-Jul25'!CT368)</f>
        <v/>
      </c>
      <c r="CU368" t="str">
        <f>IF('1. Live'!CU368='check-Jul25'!CU368,"",'1. Live'!CU368-'check-Jul25'!CU368)</f>
        <v/>
      </c>
      <c r="CV368" t="str">
        <f>IF('1. Live'!CV368='check-Jul25'!CV368,"",'1. Live'!CV368-'check-Jul25'!CV368)</f>
        <v/>
      </c>
      <c r="CW368" t="str">
        <f>IF('1. Live'!CW368='check-Jul25'!CW368,"",'1. Live'!CW368-'check-Jul25'!CW368)</f>
        <v/>
      </c>
    </row>
    <row r="369" spans="10:101">
      <c r="J369" t="str">
        <f>IF('1. Live'!J369='check-Jul25'!J369,"",'1. Live'!J369-'check-Jul25'!J369)</f>
        <v/>
      </c>
      <c r="K369" t="str">
        <f>IF('1. Live'!K369='check-Jul25'!K369,"",'1. Live'!K369-'check-Jul25'!K369)</f>
        <v/>
      </c>
      <c r="L369" t="str">
        <f>IF('1. Live'!L369='check-Jul25'!L369,"",'1. Live'!L369-'check-Jul25'!L369)</f>
        <v/>
      </c>
      <c r="M369" t="str">
        <f>IF('1. Live'!M369='check-Jul25'!M369,"",'1. Live'!M369-'check-Jul25'!M369)</f>
        <v/>
      </c>
      <c r="N369" t="str">
        <f>IF('1. Live'!N369='check-Jul25'!N369,"",'1. Live'!N369-'check-Jul25'!N369)</f>
        <v/>
      </c>
      <c r="O369" t="str">
        <f>IF('1. Live'!O369='check-Jul25'!O369,"",'1. Live'!O369-'check-Jul25'!O369)</f>
        <v/>
      </c>
      <c r="P369" t="str">
        <f>IF('1. Live'!P369='check-Jul25'!P369,"",'1. Live'!P369-'check-Jul25'!P369)</f>
        <v/>
      </c>
      <c r="Q369" t="str">
        <f>IF('1. Live'!Q369='check-Jul25'!Q369,"",'1. Live'!Q369-'check-Jul25'!Q369)</f>
        <v/>
      </c>
      <c r="R369" t="str">
        <f>IF('1. Live'!R369='check-Jul25'!R369,"",'1. Live'!R369-'check-Jul25'!R369)</f>
        <v/>
      </c>
      <c r="S369" t="str">
        <f>IF('1. Live'!S369='check-Jul25'!S369,"",'1. Live'!S369-'check-Jul25'!S369)</f>
        <v/>
      </c>
      <c r="T369" t="str">
        <f>IF('1. Live'!T369='check-Jul25'!T369,"",'1. Live'!T369-'check-Jul25'!T369)</f>
        <v/>
      </c>
      <c r="U369" t="str">
        <f>IF('1. Live'!U369='check-Jul25'!U369,"",'1. Live'!U369-'check-Jul25'!U369)</f>
        <v/>
      </c>
      <c r="V369" t="str">
        <f>IF('1. Live'!V369='check-Jul25'!V369,"",'1. Live'!V369-'check-Jul25'!V369)</f>
        <v/>
      </c>
      <c r="W369" t="str">
        <f>IF('1. Live'!W369='check-Jul25'!W369,"",'1. Live'!W369-'check-Jul25'!W369)</f>
        <v/>
      </c>
      <c r="X369" t="str">
        <f>IF('1. Live'!X369='check-Jul25'!X369,"",'1. Live'!X369-'check-Jul25'!X369)</f>
        <v/>
      </c>
      <c r="Y369" t="str">
        <f>IF('1. Live'!Y369='check-Jul25'!Y369,"",'1. Live'!Y369-'check-Jul25'!Y369)</f>
        <v/>
      </c>
      <c r="Z369" t="str">
        <f>IF('1. Live'!Z369='check-Jul25'!Z369,"",'1. Live'!Z369-'check-Jul25'!Z369)</f>
        <v/>
      </c>
      <c r="AA369" t="str">
        <f>IF('1. Live'!AA369='check-Jul25'!AA369,"",'1. Live'!AA369-'check-Jul25'!AA369)</f>
        <v/>
      </c>
      <c r="AB369" t="str">
        <f>IF('1. Live'!AB369='check-Jul25'!AB369,"",'1. Live'!AB369-'check-Jul25'!AB369)</f>
        <v/>
      </c>
      <c r="AC369" t="str">
        <f>IF('1. Live'!AC369='check-Jul25'!AC369,"",'1. Live'!AC369-'check-Jul25'!AC369)</f>
        <v/>
      </c>
      <c r="AD369" t="str">
        <f>IF('1. Live'!AD369='check-Jul25'!AD369,"",'1. Live'!AD369-'check-Jul25'!AD369)</f>
        <v/>
      </c>
      <c r="AE369" t="str">
        <f>IF('1. Live'!AE369='check-Jul25'!AE369,"",'1. Live'!AE369-'check-Jul25'!AE369)</f>
        <v/>
      </c>
      <c r="AF369" t="str">
        <f>IF('1. Live'!AF369='check-Jul25'!AF369,"",'1. Live'!AF369-'check-Jul25'!AF369)</f>
        <v/>
      </c>
      <c r="AG369" t="str">
        <f>IF('1. Live'!AG369='check-Jul25'!AG369,"",'1. Live'!AG369-'check-Jul25'!AG369)</f>
        <v/>
      </c>
      <c r="AH369" t="str">
        <f>IF('1. Live'!AH369='check-Jul25'!AH369,"",'1. Live'!AH369-'check-Jul25'!AH369)</f>
        <v/>
      </c>
      <c r="AI369" t="str">
        <f>IF('1. Live'!AI369='check-Jul25'!AI369,"",'1. Live'!AI369-'check-Jul25'!AI369)</f>
        <v/>
      </c>
      <c r="AJ369" t="str">
        <f>IF('1. Live'!AJ369='check-Jul25'!AJ369,"",'1. Live'!AJ369-'check-Jul25'!AJ369)</f>
        <v/>
      </c>
      <c r="AK369" t="str">
        <f>IF('1. Live'!AK369='check-Jul25'!AK369,"",'1. Live'!AK369-'check-Jul25'!AK369)</f>
        <v/>
      </c>
      <c r="AL369" t="str">
        <f>IF('1. Live'!AL369='check-Jul25'!AL369,"",'1. Live'!AL369-'check-Jul25'!AL369)</f>
        <v/>
      </c>
      <c r="AM369" t="str">
        <f>IF('1. Live'!AM369='check-Jul25'!AM369,"",'1. Live'!AM369-'check-Jul25'!AM369)</f>
        <v/>
      </c>
      <c r="AN369" t="str">
        <f>IF('1. Live'!AN369='check-Jul25'!AN369,"",'1. Live'!AN369-'check-Jul25'!AN369)</f>
        <v/>
      </c>
      <c r="AO369" t="str">
        <f>IF('1. Live'!AO369='check-Jul25'!AO369,"",'1. Live'!AO369-'check-Jul25'!AO369)</f>
        <v/>
      </c>
      <c r="AP369" t="str">
        <f>IF('1. Live'!AP369='check-Jul25'!AP369,"",'1. Live'!AP369-'check-Jul25'!AP369)</f>
        <v/>
      </c>
      <c r="AQ369" t="str">
        <f>IF('1. Live'!AQ369='check-Jul25'!AQ369,"",'1. Live'!AQ369-'check-Jul25'!AQ369)</f>
        <v/>
      </c>
      <c r="AR369" t="str">
        <f>IF('1. Live'!AR369='check-Jul25'!AR369,"",'1. Live'!AR369-'check-Jul25'!AR369)</f>
        <v/>
      </c>
      <c r="AS369" t="str">
        <f>IF('1. Live'!AS369='check-Jul25'!AS369,"",'1. Live'!AS369-'check-Jul25'!AS369)</f>
        <v/>
      </c>
      <c r="AT369" t="str">
        <f>IF('1. Live'!AT369='check-Jul25'!AT369,"",'1. Live'!AT369-'check-Jul25'!AT369)</f>
        <v/>
      </c>
      <c r="AU369" t="str">
        <f>IF('1. Live'!AU369='check-Jul25'!AU369,"",'1. Live'!AU369-'check-Jul25'!AU369)</f>
        <v/>
      </c>
      <c r="AV369" t="str">
        <f>IF('1. Live'!AV369='check-Jul25'!AV369,"",'1. Live'!AV369-'check-Jul25'!AV369)</f>
        <v/>
      </c>
      <c r="AW369" t="str">
        <f>IF('1. Live'!AW369='check-Jul25'!AW369,"",'1. Live'!AW369-'check-Jul25'!AW369)</f>
        <v/>
      </c>
      <c r="AX369" t="str">
        <f>IF('1. Live'!AX369='check-Jul25'!AX369,"",'1. Live'!AX369-'check-Jul25'!AX369)</f>
        <v/>
      </c>
      <c r="AY369" t="str">
        <f>IF('1. Live'!AY369='check-Jul25'!AY369,"",'1. Live'!AY369-'check-Jul25'!AY369)</f>
        <v/>
      </c>
      <c r="AZ369" t="str">
        <f>IF('1. Live'!AZ369='check-Jul25'!AZ369,"",'1. Live'!AZ369-'check-Jul25'!AZ369)</f>
        <v/>
      </c>
      <c r="BA369" t="str">
        <f>IF('1. Live'!BA369='check-Jul25'!BA369,"",'1. Live'!BA369-'check-Jul25'!BA369)</f>
        <v/>
      </c>
      <c r="BB369" t="str">
        <f>IF('1. Live'!BB369='check-Jul25'!BB369,"",'1. Live'!BB369-'check-Jul25'!BB369)</f>
        <v/>
      </c>
      <c r="BC369" t="str">
        <f>IF('1. Live'!BC369='check-Jul25'!BC369,"",'1. Live'!BC369-'check-Jul25'!BC369)</f>
        <v/>
      </c>
      <c r="BD369" t="str">
        <f>IF('1. Live'!BD369='check-Jul25'!BD369,"",'1. Live'!BD369-'check-Jul25'!BD369)</f>
        <v/>
      </c>
      <c r="BE369" t="str">
        <f>IF('1. Live'!BE369='check-Jul25'!BE369,"",'1. Live'!BE369-'check-Jul25'!BE369)</f>
        <v/>
      </c>
      <c r="BF369" t="str">
        <f>IF('1. Live'!BF369='check-Jul25'!BF369,"",'1. Live'!BF369-'check-Jul25'!BF369)</f>
        <v/>
      </c>
      <c r="BG369" t="str">
        <f>IF('1. Live'!BG369='check-Jul25'!BG369,"",'1. Live'!BG369-'check-Jul25'!BG369)</f>
        <v/>
      </c>
      <c r="BH369" t="str">
        <f>IF('1. Live'!BH369='check-Jul25'!BH369,"",'1. Live'!BH369-'check-Jul25'!BH369)</f>
        <v/>
      </c>
      <c r="BI369" t="str">
        <f>IF('1. Live'!BI369='check-Jul25'!BI369,"",'1. Live'!BI369-'check-Jul25'!BI369)</f>
        <v/>
      </c>
      <c r="BJ369" t="str">
        <f>IF('1. Live'!BJ369='check-Jul25'!BJ369,"",'1. Live'!BJ369-'check-Jul25'!BJ369)</f>
        <v/>
      </c>
      <c r="BK369" t="str">
        <f>IF('1. Live'!BK369='check-Jul25'!BK369,"",'1. Live'!BK369-'check-Jul25'!BK369)</f>
        <v/>
      </c>
      <c r="BL369" t="str">
        <f>IF('1. Live'!BL369='check-Jul25'!BL369,"",'1. Live'!BL369-'check-Jul25'!BL369)</f>
        <v/>
      </c>
      <c r="BM369" t="str">
        <f>IF('1. Live'!BM369='check-Jul25'!BM369,"",'1. Live'!BM369-'check-Jul25'!BM369)</f>
        <v/>
      </c>
      <c r="BN369" t="str">
        <f>IF('1. Live'!BN369='check-Jul25'!BN369,"",'1. Live'!BN369-'check-Jul25'!BN369)</f>
        <v/>
      </c>
      <c r="BO369" t="str">
        <f>IF('1. Live'!BO369='check-Jul25'!BO369,"",'1. Live'!BO369-'check-Jul25'!BO369)</f>
        <v/>
      </c>
      <c r="BP369" t="str">
        <f>IF('1. Live'!BP369='check-Jul25'!BP369,"",'1. Live'!BP369-'check-Jul25'!BP369)</f>
        <v/>
      </c>
      <c r="BQ369" t="str">
        <f>IF('1. Live'!BQ369='check-Jul25'!BQ369,"",'1. Live'!BQ369-'check-Jul25'!BQ369)</f>
        <v/>
      </c>
      <c r="BR369" t="str">
        <f>IF('1. Live'!BR369='check-Jul25'!BR369,"",'1. Live'!BR369-'check-Jul25'!BR369)</f>
        <v/>
      </c>
      <c r="BS369" t="str">
        <f>IF('1. Live'!BS369='check-Jul25'!BS369,"",'1. Live'!BS369-'check-Jul25'!BS369)</f>
        <v/>
      </c>
      <c r="BT369" t="str">
        <f>IF('1. Live'!BT369='check-Jul25'!BT369,"",'1. Live'!BT369-'check-Jul25'!BT369)</f>
        <v/>
      </c>
      <c r="BU369" t="str">
        <f>IF('1. Live'!BU369='check-Jul25'!BU369,"",'1. Live'!BU369-'check-Jul25'!BU369)</f>
        <v/>
      </c>
      <c r="BV369" t="str">
        <f>IF('1. Live'!BV369='check-Jul25'!BV369,"",'1. Live'!BV369-'check-Jul25'!BV369)</f>
        <v/>
      </c>
      <c r="BW369" t="str">
        <f>IF('1. Live'!BW369='check-Jul25'!BW369,"",'1. Live'!BW369-'check-Jul25'!BW369)</f>
        <v/>
      </c>
      <c r="BX369" t="str">
        <f>IF('1. Live'!BX369='check-Jul25'!BX369,"",'1. Live'!BX369-'check-Jul25'!BX369)</f>
        <v/>
      </c>
      <c r="BY369" t="str">
        <f>IF('1. Live'!BY369='check-Jul25'!BY369,"",'1. Live'!BY369-'check-Jul25'!BY369)</f>
        <v/>
      </c>
      <c r="BZ369" t="str">
        <f>IF('1. Live'!BZ369='check-Jul25'!BZ369,"",'1. Live'!BZ369-'check-Jul25'!BZ369)</f>
        <v/>
      </c>
      <c r="CA369" t="str">
        <f>IF('1. Live'!CA369='check-Jul25'!CA369,"",'1. Live'!CA369-'check-Jul25'!CA369)</f>
        <v/>
      </c>
      <c r="CB369" t="str">
        <f>IF('1. Live'!CB369='check-Jul25'!CB369,"",'1. Live'!CB369-'check-Jul25'!CB369)</f>
        <v/>
      </c>
      <c r="CC369" t="str">
        <f>IF('1. Live'!CC369='check-Jul25'!CC369,"",'1. Live'!CC369-'check-Jul25'!CC369)</f>
        <v/>
      </c>
      <c r="CD369" t="str">
        <f>IF('1. Live'!CD369='check-Jul25'!CD369,"",'1. Live'!CD369-'check-Jul25'!CD369)</f>
        <v/>
      </c>
      <c r="CE369" t="str">
        <f>IF('1. Live'!CE369='check-Jul25'!CE369,"",'1. Live'!CE369-'check-Jul25'!CE369)</f>
        <v/>
      </c>
      <c r="CF369" t="str">
        <f>IF('1. Live'!CF369='check-Jul25'!CF369,"",'1. Live'!CF369-'check-Jul25'!CF369)</f>
        <v/>
      </c>
      <c r="CG369" t="str">
        <f>IF('1. Live'!CG369='check-Jul25'!CG369,"",'1. Live'!CG369-'check-Jul25'!CG369)</f>
        <v/>
      </c>
      <c r="CH369" t="str">
        <f>IF('1. Live'!CH369='check-Jul25'!CH369,"",'1. Live'!CH369-'check-Jul25'!CH369)</f>
        <v/>
      </c>
      <c r="CI369" t="str">
        <f>IF('1. Live'!CI369='check-Jul25'!CI369,"",'1. Live'!CI369-'check-Jul25'!CI369)</f>
        <v/>
      </c>
      <c r="CJ369" t="str">
        <f>IF('1. Live'!CJ369='check-Jul25'!CJ369,"",'1. Live'!CJ369-'check-Jul25'!CJ369)</f>
        <v/>
      </c>
      <c r="CK369" t="str">
        <f>IF('1. Live'!CK369='check-Jul25'!CK369,"",'1. Live'!CK369-'check-Jul25'!CK369)</f>
        <v/>
      </c>
      <c r="CL369" t="str">
        <f>IF('1. Live'!CL369='check-Jul25'!CL369,"",'1. Live'!CL369-'check-Jul25'!CL369)</f>
        <v/>
      </c>
      <c r="CM369" t="str">
        <f>IF('1. Live'!CM369='check-Jul25'!CM369,"",'1. Live'!CM369-'check-Jul25'!CM369)</f>
        <v/>
      </c>
      <c r="CN369" t="str">
        <f>IF('1. Live'!CN369='check-Jul25'!CN369,"",'1. Live'!CN369-'check-Jul25'!CN369)</f>
        <v/>
      </c>
      <c r="CO369" t="str">
        <f>IF('1. Live'!CO369='check-Jul25'!CO369,"",'1. Live'!CO369-'check-Jul25'!CO369)</f>
        <v/>
      </c>
      <c r="CP369" t="str">
        <f>IF('1. Live'!CP369='check-Jul25'!CP369,"",'1. Live'!CP369-'check-Jul25'!CP369)</f>
        <v/>
      </c>
      <c r="CQ369" t="str">
        <f>IF('1. Live'!CQ369='check-Jul25'!CQ369,"",'1. Live'!CQ369-'check-Jul25'!CQ369)</f>
        <v/>
      </c>
      <c r="CR369" t="str">
        <f>IF('1. Live'!CR369='check-Jul25'!CR369,"",'1. Live'!CR369-'check-Jul25'!CR369)</f>
        <v/>
      </c>
      <c r="CS369" t="str">
        <f>IF('1. Live'!CS369='check-Jul25'!CS369,"",'1. Live'!CS369-'check-Jul25'!CS369)</f>
        <v/>
      </c>
      <c r="CT369" t="str">
        <f>IF('1. Live'!CT369='check-Jul25'!CT369,"",'1. Live'!CT369-'check-Jul25'!CT369)</f>
        <v/>
      </c>
      <c r="CU369" t="str">
        <f>IF('1. Live'!CU369='check-Jul25'!CU369,"",'1. Live'!CU369-'check-Jul25'!CU369)</f>
        <v/>
      </c>
      <c r="CV369" t="str">
        <f>IF('1. Live'!CV369='check-Jul25'!CV369,"",'1. Live'!CV369-'check-Jul25'!CV369)</f>
        <v/>
      </c>
      <c r="CW369" t="str">
        <f>IF('1. Live'!CW369='check-Jul25'!CW369,"",'1. Live'!CW369-'check-Jul25'!CW369)</f>
        <v/>
      </c>
    </row>
    <row r="370" spans="10:101">
      <c r="J370" t="str">
        <f>IF('1. Live'!J370='check-Jul25'!J370,"",'1. Live'!J370-'check-Jul25'!J370)</f>
        <v/>
      </c>
      <c r="K370" t="str">
        <f>IF('1. Live'!K370='check-Jul25'!K370,"",'1. Live'!K370-'check-Jul25'!K370)</f>
        <v/>
      </c>
      <c r="L370" t="str">
        <f>IF('1. Live'!L370='check-Jul25'!L370,"",'1. Live'!L370-'check-Jul25'!L370)</f>
        <v/>
      </c>
      <c r="M370" t="str">
        <f>IF('1. Live'!M370='check-Jul25'!M370,"",'1. Live'!M370-'check-Jul25'!M370)</f>
        <v/>
      </c>
      <c r="N370" t="str">
        <f>IF('1. Live'!N370='check-Jul25'!N370,"",'1. Live'!N370-'check-Jul25'!N370)</f>
        <v/>
      </c>
      <c r="O370" t="str">
        <f>IF('1. Live'!O370='check-Jul25'!O370,"",'1. Live'!O370-'check-Jul25'!O370)</f>
        <v/>
      </c>
      <c r="P370" t="str">
        <f>IF('1. Live'!P370='check-Jul25'!P370,"",'1. Live'!P370-'check-Jul25'!P370)</f>
        <v/>
      </c>
      <c r="Q370" t="str">
        <f>IF('1. Live'!Q370='check-Jul25'!Q370,"",'1. Live'!Q370-'check-Jul25'!Q370)</f>
        <v/>
      </c>
      <c r="R370" t="str">
        <f>IF('1. Live'!R370='check-Jul25'!R370,"",'1. Live'!R370-'check-Jul25'!R370)</f>
        <v/>
      </c>
      <c r="S370" t="str">
        <f>IF('1. Live'!S370='check-Jul25'!S370,"",'1. Live'!S370-'check-Jul25'!S370)</f>
        <v/>
      </c>
      <c r="T370" t="str">
        <f>IF('1. Live'!T370='check-Jul25'!T370,"",'1. Live'!T370-'check-Jul25'!T370)</f>
        <v/>
      </c>
      <c r="U370" t="str">
        <f>IF('1. Live'!U370='check-Jul25'!U370,"",'1. Live'!U370-'check-Jul25'!U370)</f>
        <v/>
      </c>
      <c r="V370" t="str">
        <f>IF('1. Live'!V370='check-Jul25'!V370,"",'1. Live'!V370-'check-Jul25'!V370)</f>
        <v/>
      </c>
      <c r="W370" t="str">
        <f>IF('1. Live'!W370='check-Jul25'!W370,"",'1. Live'!W370-'check-Jul25'!W370)</f>
        <v/>
      </c>
      <c r="X370" t="str">
        <f>IF('1. Live'!X370='check-Jul25'!X370,"",'1. Live'!X370-'check-Jul25'!X370)</f>
        <v/>
      </c>
      <c r="Y370" t="str">
        <f>IF('1. Live'!Y370='check-Jul25'!Y370,"",'1. Live'!Y370-'check-Jul25'!Y370)</f>
        <v/>
      </c>
      <c r="Z370" t="str">
        <f>IF('1. Live'!Z370='check-Jul25'!Z370,"",'1. Live'!Z370-'check-Jul25'!Z370)</f>
        <v/>
      </c>
      <c r="AA370" t="str">
        <f>IF('1. Live'!AA370='check-Jul25'!AA370,"",'1. Live'!AA370-'check-Jul25'!AA370)</f>
        <v/>
      </c>
      <c r="AB370" t="str">
        <f>IF('1. Live'!AB370='check-Jul25'!AB370,"",'1. Live'!AB370-'check-Jul25'!AB370)</f>
        <v/>
      </c>
      <c r="AC370" t="str">
        <f>IF('1. Live'!AC370='check-Jul25'!AC370,"",'1. Live'!AC370-'check-Jul25'!AC370)</f>
        <v/>
      </c>
      <c r="AD370" t="str">
        <f>IF('1. Live'!AD370='check-Jul25'!AD370,"",'1. Live'!AD370-'check-Jul25'!AD370)</f>
        <v/>
      </c>
      <c r="AE370" t="str">
        <f>IF('1. Live'!AE370='check-Jul25'!AE370,"",'1. Live'!AE370-'check-Jul25'!AE370)</f>
        <v/>
      </c>
      <c r="AF370" t="str">
        <f>IF('1. Live'!AF370='check-Jul25'!AF370,"",'1. Live'!AF370-'check-Jul25'!AF370)</f>
        <v/>
      </c>
      <c r="AG370" t="str">
        <f>IF('1. Live'!AG370='check-Jul25'!AG370,"",'1. Live'!AG370-'check-Jul25'!AG370)</f>
        <v/>
      </c>
      <c r="AH370" t="str">
        <f>IF('1. Live'!AH370='check-Jul25'!AH370,"",'1. Live'!AH370-'check-Jul25'!AH370)</f>
        <v/>
      </c>
      <c r="AI370" t="str">
        <f>IF('1. Live'!AI370='check-Jul25'!AI370,"",'1. Live'!AI370-'check-Jul25'!AI370)</f>
        <v/>
      </c>
      <c r="AJ370" t="str">
        <f>IF('1. Live'!AJ370='check-Jul25'!AJ370,"",'1. Live'!AJ370-'check-Jul25'!AJ370)</f>
        <v/>
      </c>
      <c r="AK370" t="str">
        <f>IF('1. Live'!AK370='check-Jul25'!AK370,"",'1. Live'!AK370-'check-Jul25'!AK370)</f>
        <v/>
      </c>
      <c r="AL370" t="str">
        <f>IF('1. Live'!AL370='check-Jul25'!AL370,"",'1. Live'!AL370-'check-Jul25'!AL370)</f>
        <v/>
      </c>
      <c r="AM370" t="str">
        <f>IF('1. Live'!AM370='check-Jul25'!AM370,"",'1. Live'!AM370-'check-Jul25'!AM370)</f>
        <v/>
      </c>
      <c r="AN370" t="str">
        <f>IF('1. Live'!AN370='check-Jul25'!AN370,"",'1. Live'!AN370-'check-Jul25'!AN370)</f>
        <v/>
      </c>
      <c r="AO370" t="str">
        <f>IF('1. Live'!AO370='check-Jul25'!AO370,"",'1. Live'!AO370-'check-Jul25'!AO370)</f>
        <v/>
      </c>
      <c r="AP370" t="str">
        <f>IF('1. Live'!AP370='check-Jul25'!AP370,"",'1. Live'!AP370-'check-Jul25'!AP370)</f>
        <v/>
      </c>
      <c r="AQ370" t="str">
        <f>IF('1. Live'!AQ370='check-Jul25'!AQ370,"",'1. Live'!AQ370-'check-Jul25'!AQ370)</f>
        <v/>
      </c>
      <c r="AR370" t="str">
        <f>IF('1. Live'!AR370='check-Jul25'!AR370,"",'1. Live'!AR370-'check-Jul25'!AR370)</f>
        <v/>
      </c>
      <c r="AS370" t="str">
        <f>IF('1. Live'!AS370='check-Jul25'!AS370,"",'1. Live'!AS370-'check-Jul25'!AS370)</f>
        <v/>
      </c>
      <c r="AT370" t="str">
        <f>IF('1. Live'!AT370='check-Jul25'!AT370,"",'1. Live'!AT370-'check-Jul25'!AT370)</f>
        <v/>
      </c>
      <c r="AU370" t="str">
        <f>IF('1. Live'!AU370='check-Jul25'!AU370,"",'1. Live'!AU370-'check-Jul25'!AU370)</f>
        <v/>
      </c>
      <c r="AV370" t="str">
        <f>IF('1. Live'!AV370='check-Jul25'!AV370,"",'1. Live'!AV370-'check-Jul25'!AV370)</f>
        <v/>
      </c>
      <c r="AW370" t="str">
        <f>IF('1. Live'!AW370='check-Jul25'!AW370,"",'1. Live'!AW370-'check-Jul25'!AW370)</f>
        <v/>
      </c>
      <c r="AX370" t="str">
        <f>IF('1. Live'!AX370='check-Jul25'!AX370,"",'1. Live'!AX370-'check-Jul25'!AX370)</f>
        <v/>
      </c>
      <c r="AY370" t="str">
        <f>IF('1. Live'!AY370='check-Jul25'!AY370,"",'1. Live'!AY370-'check-Jul25'!AY370)</f>
        <v/>
      </c>
      <c r="AZ370" t="str">
        <f>IF('1. Live'!AZ370='check-Jul25'!AZ370,"",'1. Live'!AZ370-'check-Jul25'!AZ370)</f>
        <v/>
      </c>
      <c r="BA370" t="str">
        <f>IF('1. Live'!BA370='check-Jul25'!BA370,"",'1. Live'!BA370-'check-Jul25'!BA370)</f>
        <v/>
      </c>
      <c r="BB370" t="str">
        <f>IF('1. Live'!BB370='check-Jul25'!BB370,"",'1. Live'!BB370-'check-Jul25'!BB370)</f>
        <v/>
      </c>
      <c r="BC370" t="str">
        <f>IF('1. Live'!BC370='check-Jul25'!BC370,"",'1. Live'!BC370-'check-Jul25'!BC370)</f>
        <v/>
      </c>
      <c r="BD370" t="str">
        <f>IF('1. Live'!BD370='check-Jul25'!BD370,"",'1. Live'!BD370-'check-Jul25'!BD370)</f>
        <v/>
      </c>
      <c r="BE370" t="str">
        <f>IF('1. Live'!BE370='check-Jul25'!BE370,"",'1. Live'!BE370-'check-Jul25'!BE370)</f>
        <v/>
      </c>
      <c r="BF370" t="str">
        <f>IF('1. Live'!BF370='check-Jul25'!BF370,"",'1. Live'!BF370-'check-Jul25'!BF370)</f>
        <v/>
      </c>
      <c r="BG370" t="str">
        <f>IF('1. Live'!BG370='check-Jul25'!BG370,"",'1. Live'!BG370-'check-Jul25'!BG370)</f>
        <v/>
      </c>
      <c r="BH370" t="str">
        <f>IF('1. Live'!BH370='check-Jul25'!BH370,"",'1. Live'!BH370-'check-Jul25'!BH370)</f>
        <v/>
      </c>
      <c r="BI370" t="str">
        <f>IF('1. Live'!BI370='check-Jul25'!BI370,"",'1. Live'!BI370-'check-Jul25'!BI370)</f>
        <v/>
      </c>
      <c r="BJ370" t="str">
        <f>IF('1. Live'!BJ370='check-Jul25'!BJ370,"",'1. Live'!BJ370-'check-Jul25'!BJ370)</f>
        <v/>
      </c>
      <c r="BK370" t="str">
        <f>IF('1. Live'!BK370='check-Jul25'!BK370,"",'1. Live'!BK370-'check-Jul25'!BK370)</f>
        <v/>
      </c>
      <c r="BL370" t="str">
        <f>IF('1. Live'!BL370='check-Jul25'!BL370,"",'1. Live'!BL370-'check-Jul25'!BL370)</f>
        <v/>
      </c>
      <c r="BM370" t="str">
        <f>IF('1. Live'!BM370='check-Jul25'!BM370,"",'1. Live'!BM370-'check-Jul25'!BM370)</f>
        <v/>
      </c>
      <c r="BN370" t="str">
        <f>IF('1. Live'!BN370='check-Jul25'!BN370,"",'1. Live'!BN370-'check-Jul25'!BN370)</f>
        <v/>
      </c>
      <c r="BO370" t="str">
        <f>IF('1. Live'!BO370='check-Jul25'!BO370,"",'1. Live'!BO370-'check-Jul25'!BO370)</f>
        <v/>
      </c>
      <c r="BP370" t="str">
        <f>IF('1. Live'!BP370='check-Jul25'!BP370,"",'1. Live'!BP370-'check-Jul25'!BP370)</f>
        <v/>
      </c>
      <c r="BQ370" t="str">
        <f>IF('1. Live'!BQ370='check-Jul25'!BQ370,"",'1. Live'!BQ370-'check-Jul25'!BQ370)</f>
        <v/>
      </c>
      <c r="BR370" t="str">
        <f>IF('1. Live'!BR370='check-Jul25'!BR370,"",'1. Live'!BR370-'check-Jul25'!BR370)</f>
        <v/>
      </c>
      <c r="BS370" t="str">
        <f>IF('1. Live'!BS370='check-Jul25'!BS370,"",'1. Live'!BS370-'check-Jul25'!BS370)</f>
        <v/>
      </c>
      <c r="BT370" t="str">
        <f>IF('1. Live'!BT370='check-Jul25'!BT370,"",'1. Live'!BT370-'check-Jul25'!BT370)</f>
        <v/>
      </c>
      <c r="BU370" t="str">
        <f>IF('1. Live'!BU370='check-Jul25'!BU370,"",'1. Live'!BU370-'check-Jul25'!BU370)</f>
        <v/>
      </c>
      <c r="BV370" t="str">
        <f>IF('1. Live'!BV370='check-Jul25'!BV370,"",'1. Live'!BV370-'check-Jul25'!BV370)</f>
        <v/>
      </c>
      <c r="BW370" t="str">
        <f>IF('1. Live'!BW370='check-Jul25'!BW370,"",'1. Live'!BW370-'check-Jul25'!BW370)</f>
        <v/>
      </c>
      <c r="BX370" t="str">
        <f>IF('1. Live'!BX370='check-Jul25'!BX370,"",'1. Live'!BX370-'check-Jul25'!BX370)</f>
        <v/>
      </c>
      <c r="BY370" t="str">
        <f>IF('1. Live'!BY370='check-Jul25'!BY370,"",'1. Live'!BY370-'check-Jul25'!BY370)</f>
        <v/>
      </c>
      <c r="BZ370" t="str">
        <f>IF('1. Live'!BZ370='check-Jul25'!BZ370,"",'1. Live'!BZ370-'check-Jul25'!BZ370)</f>
        <v/>
      </c>
      <c r="CA370" t="str">
        <f>IF('1. Live'!CA370='check-Jul25'!CA370,"",'1. Live'!CA370-'check-Jul25'!CA370)</f>
        <v/>
      </c>
      <c r="CB370" t="str">
        <f>IF('1. Live'!CB370='check-Jul25'!CB370,"",'1. Live'!CB370-'check-Jul25'!CB370)</f>
        <v/>
      </c>
      <c r="CC370" t="str">
        <f>IF('1. Live'!CC370='check-Jul25'!CC370,"",'1. Live'!CC370-'check-Jul25'!CC370)</f>
        <v/>
      </c>
      <c r="CD370" t="str">
        <f>IF('1. Live'!CD370='check-Jul25'!CD370,"",'1. Live'!CD370-'check-Jul25'!CD370)</f>
        <v/>
      </c>
      <c r="CE370" t="str">
        <f>IF('1. Live'!CE370='check-Jul25'!CE370,"",'1. Live'!CE370-'check-Jul25'!CE370)</f>
        <v/>
      </c>
      <c r="CF370" t="str">
        <f>IF('1. Live'!CF370='check-Jul25'!CF370,"",'1. Live'!CF370-'check-Jul25'!CF370)</f>
        <v/>
      </c>
      <c r="CG370" t="str">
        <f>IF('1. Live'!CG370='check-Jul25'!CG370,"",'1. Live'!CG370-'check-Jul25'!CG370)</f>
        <v/>
      </c>
      <c r="CH370" t="str">
        <f>IF('1. Live'!CH370='check-Jul25'!CH370,"",'1. Live'!CH370-'check-Jul25'!CH370)</f>
        <v/>
      </c>
      <c r="CI370" t="str">
        <f>IF('1. Live'!CI370='check-Jul25'!CI370,"",'1. Live'!CI370-'check-Jul25'!CI370)</f>
        <v/>
      </c>
      <c r="CJ370" t="str">
        <f>IF('1. Live'!CJ370='check-Jul25'!CJ370,"",'1. Live'!CJ370-'check-Jul25'!CJ370)</f>
        <v/>
      </c>
      <c r="CK370" t="str">
        <f>IF('1. Live'!CK370='check-Jul25'!CK370,"",'1. Live'!CK370-'check-Jul25'!CK370)</f>
        <v/>
      </c>
      <c r="CL370" t="str">
        <f>IF('1. Live'!CL370='check-Jul25'!CL370,"",'1. Live'!CL370-'check-Jul25'!CL370)</f>
        <v/>
      </c>
      <c r="CM370" t="str">
        <f>IF('1. Live'!CM370='check-Jul25'!CM370,"",'1. Live'!CM370-'check-Jul25'!CM370)</f>
        <v/>
      </c>
      <c r="CN370" t="str">
        <f>IF('1. Live'!CN370='check-Jul25'!CN370,"",'1. Live'!CN370-'check-Jul25'!CN370)</f>
        <v/>
      </c>
      <c r="CO370" t="str">
        <f>IF('1. Live'!CO370='check-Jul25'!CO370,"",'1. Live'!CO370-'check-Jul25'!CO370)</f>
        <v/>
      </c>
      <c r="CP370" t="str">
        <f>IF('1. Live'!CP370='check-Jul25'!CP370,"",'1. Live'!CP370-'check-Jul25'!CP370)</f>
        <v/>
      </c>
      <c r="CQ370" t="str">
        <f>IF('1. Live'!CQ370='check-Jul25'!CQ370,"",'1. Live'!CQ370-'check-Jul25'!CQ370)</f>
        <v/>
      </c>
      <c r="CR370" t="str">
        <f>IF('1. Live'!CR370='check-Jul25'!CR370,"",'1. Live'!CR370-'check-Jul25'!CR370)</f>
        <v/>
      </c>
      <c r="CS370" t="str">
        <f>IF('1. Live'!CS370='check-Jul25'!CS370,"",'1. Live'!CS370-'check-Jul25'!CS370)</f>
        <v/>
      </c>
      <c r="CT370" t="str">
        <f>IF('1. Live'!CT370='check-Jul25'!CT370,"",'1. Live'!CT370-'check-Jul25'!CT370)</f>
        <v/>
      </c>
      <c r="CU370" t="str">
        <f>IF('1. Live'!CU370='check-Jul25'!CU370,"",'1. Live'!CU370-'check-Jul25'!CU370)</f>
        <v/>
      </c>
      <c r="CV370" t="str">
        <f>IF('1. Live'!CV370='check-Jul25'!CV370,"",'1. Live'!CV370-'check-Jul25'!CV370)</f>
        <v/>
      </c>
      <c r="CW370" t="str">
        <f>IF('1. Live'!CW370='check-Jul25'!CW370,"",'1. Live'!CW370-'check-Jul25'!CW370)</f>
        <v/>
      </c>
    </row>
    <row r="371" spans="10:101">
      <c r="J371" t="str">
        <f>IF('1. Live'!J371='check-Jul25'!J371,"",'1. Live'!J371-'check-Jul25'!J371)</f>
        <v/>
      </c>
      <c r="K371" t="str">
        <f>IF('1. Live'!K371='check-Jul25'!K371,"",'1. Live'!K371-'check-Jul25'!K371)</f>
        <v/>
      </c>
      <c r="L371" t="str">
        <f>IF('1. Live'!L371='check-Jul25'!L371,"",'1. Live'!L371-'check-Jul25'!L371)</f>
        <v/>
      </c>
      <c r="M371" t="str">
        <f>IF('1. Live'!M371='check-Jul25'!M371,"",'1. Live'!M371-'check-Jul25'!M371)</f>
        <v/>
      </c>
      <c r="N371" t="str">
        <f>IF('1. Live'!N371='check-Jul25'!N371,"",'1. Live'!N371-'check-Jul25'!N371)</f>
        <v/>
      </c>
      <c r="O371" t="str">
        <f>IF('1. Live'!O371='check-Jul25'!O371,"",'1. Live'!O371-'check-Jul25'!O371)</f>
        <v/>
      </c>
      <c r="P371" t="str">
        <f>IF('1. Live'!P371='check-Jul25'!P371,"",'1. Live'!P371-'check-Jul25'!P371)</f>
        <v/>
      </c>
      <c r="Q371" t="str">
        <f>IF('1. Live'!Q371='check-Jul25'!Q371,"",'1. Live'!Q371-'check-Jul25'!Q371)</f>
        <v/>
      </c>
      <c r="R371" t="str">
        <f>IF('1. Live'!R371='check-Jul25'!R371,"",'1. Live'!R371-'check-Jul25'!R371)</f>
        <v/>
      </c>
      <c r="S371" t="str">
        <f>IF('1. Live'!S371='check-Jul25'!S371,"",'1. Live'!S371-'check-Jul25'!S371)</f>
        <v/>
      </c>
      <c r="T371" t="str">
        <f>IF('1. Live'!T371='check-Jul25'!T371,"",'1. Live'!T371-'check-Jul25'!T371)</f>
        <v/>
      </c>
      <c r="U371" t="str">
        <f>IF('1. Live'!U371='check-Jul25'!U371,"",'1. Live'!U371-'check-Jul25'!U371)</f>
        <v/>
      </c>
      <c r="V371" t="str">
        <f>IF('1. Live'!V371='check-Jul25'!V371,"",'1. Live'!V371-'check-Jul25'!V371)</f>
        <v/>
      </c>
      <c r="W371" t="str">
        <f>IF('1. Live'!W371='check-Jul25'!W371,"",'1. Live'!W371-'check-Jul25'!W371)</f>
        <v/>
      </c>
      <c r="X371" t="str">
        <f>IF('1. Live'!X371='check-Jul25'!X371,"",'1. Live'!X371-'check-Jul25'!X371)</f>
        <v/>
      </c>
      <c r="Y371" t="str">
        <f>IF('1. Live'!Y371='check-Jul25'!Y371,"",'1. Live'!Y371-'check-Jul25'!Y371)</f>
        <v/>
      </c>
      <c r="Z371" t="str">
        <f>IF('1. Live'!Z371='check-Jul25'!Z371,"",'1. Live'!Z371-'check-Jul25'!Z371)</f>
        <v/>
      </c>
      <c r="AA371" t="str">
        <f>IF('1. Live'!AA371='check-Jul25'!AA371,"",'1. Live'!AA371-'check-Jul25'!AA371)</f>
        <v/>
      </c>
      <c r="AB371" t="str">
        <f>IF('1. Live'!AB371='check-Jul25'!AB371,"",'1. Live'!AB371-'check-Jul25'!AB371)</f>
        <v/>
      </c>
      <c r="AC371" t="str">
        <f>IF('1. Live'!AC371='check-Jul25'!AC371,"",'1. Live'!AC371-'check-Jul25'!AC371)</f>
        <v/>
      </c>
      <c r="AD371" t="str">
        <f>IF('1. Live'!AD371='check-Jul25'!AD371,"",'1. Live'!AD371-'check-Jul25'!AD371)</f>
        <v/>
      </c>
      <c r="AE371" t="str">
        <f>IF('1. Live'!AE371='check-Jul25'!AE371,"",'1. Live'!AE371-'check-Jul25'!AE371)</f>
        <v/>
      </c>
      <c r="AF371" t="str">
        <f>IF('1. Live'!AF371='check-Jul25'!AF371,"",'1. Live'!AF371-'check-Jul25'!AF371)</f>
        <v/>
      </c>
      <c r="AG371" t="str">
        <f>IF('1. Live'!AG371='check-Jul25'!AG371,"",'1. Live'!AG371-'check-Jul25'!AG371)</f>
        <v/>
      </c>
      <c r="AH371" t="str">
        <f>IF('1. Live'!AH371='check-Jul25'!AH371,"",'1. Live'!AH371-'check-Jul25'!AH371)</f>
        <v/>
      </c>
      <c r="AI371" t="str">
        <f>IF('1. Live'!AI371='check-Jul25'!AI371,"",'1. Live'!AI371-'check-Jul25'!AI371)</f>
        <v/>
      </c>
      <c r="AJ371" t="str">
        <f>IF('1. Live'!AJ371='check-Jul25'!AJ371,"",'1. Live'!AJ371-'check-Jul25'!AJ371)</f>
        <v/>
      </c>
      <c r="AK371" t="str">
        <f>IF('1. Live'!AK371='check-Jul25'!AK371,"",'1. Live'!AK371-'check-Jul25'!AK371)</f>
        <v/>
      </c>
      <c r="AL371" t="str">
        <f>IF('1. Live'!AL371='check-Jul25'!AL371,"",'1. Live'!AL371-'check-Jul25'!AL371)</f>
        <v/>
      </c>
      <c r="AM371" t="str">
        <f>IF('1. Live'!AM371='check-Jul25'!AM371,"",'1. Live'!AM371-'check-Jul25'!AM371)</f>
        <v/>
      </c>
      <c r="AN371" t="str">
        <f>IF('1. Live'!AN371='check-Jul25'!AN371,"",'1. Live'!AN371-'check-Jul25'!AN371)</f>
        <v/>
      </c>
      <c r="AO371" t="str">
        <f>IF('1. Live'!AO371='check-Jul25'!AO371,"",'1. Live'!AO371-'check-Jul25'!AO371)</f>
        <v/>
      </c>
      <c r="AP371" t="str">
        <f>IF('1. Live'!AP371='check-Jul25'!AP371,"",'1. Live'!AP371-'check-Jul25'!AP371)</f>
        <v/>
      </c>
      <c r="AQ371" t="str">
        <f>IF('1. Live'!AQ371='check-Jul25'!AQ371,"",'1. Live'!AQ371-'check-Jul25'!AQ371)</f>
        <v/>
      </c>
      <c r="AR371" t="str">
        <f>IF('1. Live'!AR371='check-Jul25'!AR371,"",'1. Live'!AR371-'check-Jul25'!AR371)</f>
        <v/>
      </c>
      <c r="AS371" t="str">
        <f>IF('1. Live'!AS371='check-Jul25'!AS371,"",'1. Live'!AS371-'check-Jul25'!AS371)</f>
        <v/>
      </c>
      <c r="AT371" t="str">
        <f>IF('1. Live'!AT371='check-Jul25'!AT371,"",'1. Live'!AT371-'check-Jul25'!AT371)</f>
        <v/>
      </c>
      <c r="AU371" t="str">
        <f>IF('1. Live'!AU371='check-Jul25'!AU371,"",'1. Live'!AU371-'check-Jul25'!AU371)</f>
        <v/>
      </c>
      <c r="AV371" t="str">
        <f>IF('1. Live'!AV371='check-Jul25'!AV371,"",'1. Live'!AV371-'check-Jul25'!AV371)</f>
        <v/>
      </c>
      <c r="AW371" t="str">
        <f>IF('1. Live'!AW371='check-Jul25'!AW371,"",'1. Live'!AW371-'check-Jul25'!AW371)</f>
        <v/>
      </c>
      <c r="AX371" t="str">
        <f>IF('1. Live'!AX371='check-Jul25'!AX371,"",'1. Live'!AX371-'check-Jul25'!AX371)</f>
        <v/>
      </c>
      <c r="AY371" t="str">
        <f>IF('1. Live'!AY371='check-Jul25'!AY371,"",'1. Live'!AY371-'check-Jul25'!AY371)</f>
        <v/>
      </c>
      <c r="AZ371" t="str">
        <f>IF('1. Live'!AZ371='check-Jul25'!AZ371,"",'1. Live'!AZ371-'check-Jul25'!AZ371)</f>
        <v/>
      </c>
      <c r="BA371" t="str">
        <f>IF('1. Live'!BA371='check-Jul25'!BA371,"",'1. Live'!BA371-'check-Jul25'!BA371)</f>
        <v/>
      </c>
      <c r="BB371" t="str">
        <f>IF('1. Live'!BB371='check-Jul25'!BB371,"",'1. Live'!BB371-'check-Jul25'!BB371)</f>
        <v/>
      </c>
      <c r="BC371" t="str">
        <f>IF('1. Live'!BC371='check-Jul25'!BC371,"",'1. Live'!BC371-'check-Jul25'!BC371)</f>
        <v/>
      </c>
      <c r="BD371" t="str">
        <f>IF('1. Live'!BD371='check-Jul25'!BD371,"",'1. Live'!BD371-'check-Jul25'!BD371)</f>
        <v/>
      </c>
      <c r="BE371" t="str">
        <f>IF('1. Live'!BE371='check-Jul25'!BE371,"",'1. Live'!BE371-'check-Jul25'!BE371)</f>
        <v/>
      </c>
      <c r="BF371" t="str">
        <f>IF('1. Live'!BF371='check-Jul25'!BF371,"",'1. Live'!BF371-'check-Jul25'!BF371)</f>
        <v/>
      </c>
      <c r="BG371" t="str">
        <f>IF('1. Live'!BG371='check-Jul25'!BG371,"",'1. Live'!BG371-'check-Jul25'!BG371)</f>
        <v/>
      </c>
      <c r="BH371" t="str">
        <f>IF('1. Live'!BH371='check-Jul25'!BH371,"",'1. Live'!BH371-'check-Jul25'!BH371)</f>
        <v/>
      </c>
      <c r="BI371" t="str">
        <f>IF('1. Live'!BI371='check-Jul25'!BI371,"",'1. Live'!BI371-'check-Jul25'!BI371)</f>
        <v/>
      </c>
      <c r="BJ371" t="str">
        <f>IF('1. Live'!BJ371='check-Jul25'!BJ371,"",'1. Live'!BJ371-'check-Jul25'!BJ371)</f>
        <v/>
      </c>
      <c r="BK371" t="str">
        <f>IF('1. Live'!BK371='check-Jul25'!BK371,"",'1. Live'!BK371-'check-Jul25'!BK371)</f>
        <v/>
      </c>
      <c r="BL371" t="str">
        <f>IF('1. Live'!BL371='check-Jul25'!BL371,"",'1. Live'!BL371-'check-Jul25'!BL371)</f>
        <v/>
      </c>
      <c r="BM371" t="str">
        <f>IF('1. Live'!BM371='check-Jul25'!BM371,"",'1. Live'!BM371-'check-Jul25'!BM371)</f>
        <v/>
      </c>
      <c r="BN371" t="str">
        <f>IF('1. Live'!BN371='check-Jul25'!BN371,"",'1. Live'!BN371-'check-Jul25'!BN371)</f>
        <v/>
      </c>
      <c r="BO371" t="str">
        <f>IF('1. Live'!BO371='check-Jul25'!BO371,"",'1. Live'!BO371-'check-Jul25'!BO371)</f>
        <v/>
      </c>
      <c r="BP371" t="str">
        <f>IF('1. Live'!BP371='check-Jul25'!BP371,"",'1. Live'!BP371-'check-Jul25'!BP371)</f>
        <v/>
      </c>
      <c r="BQ371" t="str">
        <f>IF('1. Live'!BQ371='check-Jul25'!BQ371,"",'1. Live'!BQ371-'check-Jul25'!BQ371)</f>
        <v/>
      </c>
      <c r="BR371" t="str">
        <f>IF('1. Live'!BR371='check-Jul25'!BR371,"",'1. Live'!BR371-'check-Jul25'!BR371)</f>
        <v/>
      </c>
      <c r="BS371" t="str">
        <f>IF('1. Live'!BS371='check-Jul25'!BS371,"",'1. Live'!BS371-'check-Jul25'!BS371)</f>
        <v/>
      </c>
      <c r="BT371" t="str">
        <f>IF('1. Live'!BT371='check-Jul25'!BT371,"",'1. Live'!BT371-'check-Jul25'!BT371)</f>
        <v/>
      </c>
      <c r="BU371" t="str">
        <f>IF('1. Live'!BU371='check-Jul25'!BU371,"",'1. Live'!BU371-'check-Jul25'!BU371)</f>
        <v/>
      </c>
      <c r="BV371" t="str">
        <f>IF('1. Live'!BV371='check-Jul25'!BV371,"",'1. Live'!BV371-'check-Jul25'!BV371)</f>
        <v/>
      </c>
      <c r="BW371" t="str">
        <f>IF('1. Live'!BW371='check-Jul25'!BW371,"",'1. Live'!BW371-'check-Jul25'!BW371)</f>
        <v/>
      </c>
      <c r="BX371" t="str">
        <f>IF('1. Live'!BX371='check-Jul25'!BX371,"",'1. Live'!BX371-'check-Jul25'!BX371)</f>
        <v/>
      </c>
      <c r="BY371" t="str">
        <f>IF('1. Live'!BY371='check-Jul25'!BY371,"",'1. Live'!BY371-'check-Jul25'!BY371)</f>
        <v/>
      </c>
      <c r="BZ371" t="str">
        <f>IF('1. Live'!BZ371='check-Jul25'!BZ371,"",'1. Live'!BZ371-'check-Jul25'!BZ371)</f>
        <v/>
      </c>
      <c r="CA371" t="str">
        <f>IF('1. Live'!CA371='check-Jul25'!CA371,"",'1. Live'!CA371-'check-Jul25'!CA371)</f>
        <v/>
      </c>
      <c r="CB371" t="str">
        <f>IF('1. Live'!CB371='check-Jul25'!CB371,"",'1. Live'!CB371-'check-Jul25'!CB371)</f>
        <v/>
      </c>
      <c r="CC371" t="str">
        <f>IF('1. Live'!CC371='check-Jul25'!CC371,"",'1. Live'!CC371-'check-Jul25'!CC371)</f>
        <v/>
      </c>
      <c r="CD371" t="str">
        <f>IF('1. Live'!CD371='check-Jul25'!CD371,"",'1. Live'!CD371-'check-Jul25'!CD371)</f>
        <v/>
      </c>
      <c r="CE371" t="str">
        <f>IF('1. Live'!CE371='check-Jul25'!CE371,"",'1. Live'!CE371-'check-Jul25'!CE371)</f>
        <v/>
      </c>
      <c r="CF371" t="str">
        <f>IF('1. Live'!CF371='check-Jul25'!CF371,"",'1. Live'!CF371-'check-Jul25'!CF371)</f>
        <v/>
      </c>
      <c r="CG371" t="str">
        <f>IF('1. Live'!CG371='check-Jul25'!CG371,"",'1. Live'!CG371-'check-Jul25'!CG371)</f>
        <v/>
      </c>
      <c r="CH371" t="str">
        <f>IF('1. Live'!CH371='check-Jul25'!CH371,"",'1. Live'!CH371-'check-Jul25'!CH371)</f>
        <v/>
      </c>
      <c r="CI371" t="str">
        <f>IF('1. Live'!CI371='check-Jul25'!CI371,"",'1. Live'!CI371-'check-Jul25'!CI371)</f>
        <v/>
      </c>
      <c r="CJ371" t="str">
        <f>IF('1. Live'!CJ371='check-Jul25'!CJ371,"",'1. Live'!CJ371-'check-Jul25'!CJ371)</f>
        <v/>
      </c>
      <c r="CK371" t="str">
        <f>IF('1. Live'!CK371='check-Jul25'!CK371,"",'1. Live'!CK371-'check-Jul25'!CK371)</f>
        <v/>
      </c>
      <c r="CL371" t="str">
        <f>IF('1. Live'!CL371='check-Jul25'!CL371,"",'1. Live'!CL371-'check-Jul25'!CL371)</f>
        <v/>
      </c>
      <c r="CM371" t="str">
        <f>IF('1. Live'!CM371='check-Jul25'!CM371,"",'1. Live'!CM371-'check-Jul25'!CM371)</f>
        <v/>
      </c>
      <c r="CN371" t="str">
        <f>IF('1. Live'!CN371='check-Jul25'!CN371,"",'1. Live'!CN371-'check-Jul25'!CN371)</f>
        <v/>
      </c>
      <c r="CO371" t="str">
        <f>IF('1. Live'!CO371='check-Jul25'!CO371,"",'1. Live'!CO371-'check-Jul25'!CO371)</f>
        <v/>
      </c>
      <c r="CP371" t="str">
        <f>IF('1. Live'!CP371='check-Jul25'!CP371,"",'1. Live'!CP371-'check-Jul25'!CP371)</f>
        <v/>
      </c>
      <c r="CQ371" t="str">
        <f>IF('1. Live'!CQ371='check-Jul25'!CQ371,"",'1. Live'!CQ371-'check-Jul25'!CQ371)</f>
        <v/>
      </c>
      <c r="CR371" t="str">
        <f>IF('1. Live'!CR371='check-Jul25'!CR371,"",'1. Live'!CR371-'check-Jul25'!CR371)</f>
        <v/>
      </c>
      <c r="CS371" t="str">
        <f>IF('1. Live'!CS371='check-Jul25'!CS371,"",'1. Live'!CS371-'check-Jul25'!CS371)</f>
        <v/>
      </c>
      <c r="CT371" t="str">
        <f>IF('1. Live'!CT371='check-Jul25'!CT371,"",'1. Live'!CT371-'check-Jul25'!CT371)</f>
        <v/>
      </c>
      <c r="CU371" t="str">
        <f>IF('1. Live'!CU371='check-Jul25'!CU371,"",'1. Live'!CU371-'check-Jul25'!CU371)</f>
        <v/>
      </c>
      <c r="CV371" t="str">
        <f>IF('1. Live'!CV371='check-Jul25'!CV371,"",'1. Live'!CV371-'check-Jul25'!CV371)</f>
        <v/>
      </c>
      <c r="CW371" t="str">
        <f>IF('1. Live'!CW371='check-Jul25'!CW371,"",'1. Live'!CW371-'check-Jul25'!CW371)</f>
        <v/>
      </c>
    </row>
    <row r="372" spans="10:101">
      <c r="J372" t="str">
        <f>IF('1. Live'!J372='check-Jul25'!J372,"",'1. Live'!J372-'check-Jul25'!J372)</f>
        <v/>
      </c>
      <c r="K372" t="str">
        <f>IF('1. Live'!K372='check-Jul25'!K372,"",'1. Live'!K372-'check-Jul25'!K372)</f>
        <v/>
      </c>
      <c r="L372" t="str">
        <f>IF('1. Live'!L372='check-Jul25'!L372,"",'1. Live'!L372-'check-Jul25'!L372)</f>
        <v/>
      </c>
      <c r="M372" t="str">
        <f>IF('1. Live'!M372='check-Jul25'!M372,"",'1. Live'!M372-'check-Jul25'!M372)</f>
        <v/>
      </c>
      <c r="N372" t="str">
        <f>IF('1. Live'!N372='check-Jul25'!N372,"",'1. Live'!N372-'check-Jul25'!N372)</f>
        <v/>
      </c>
      <c r="O372" t="str">
        <f>IF('1. Live'!O372='check-Jul25'!O372,"",'1. Live'!O372-'check-Jul25'!O372)</f>
        <v/>
      </c>
      <c r="P372" t="str">
        <f>IF('1. Live'!P372='check-Jul25'!P372,"",'1. Live'!P372-'check-Jul25'!P372)</f>
        <v/>
      </c>
      <c r="Q372" t="str">
        <f>IF('1. Live'!Q372='check-Jul25'!Q372,"",'1. Live'!Q372-'check-Jul25'!Q372)</f>
        <v/>
      </c>
      <c r="R372" t="str">
        <f>IF('1. Live'!R372='check-Jul25'!R372,"",'1. Live'!R372-'check-Jul25'!R372)</f>
        <v/>
      </c>
      <c r="S372" t="str">
        <f>IF('1. Live'!S372='check-Jul25'!S372,"",'1. Live'!S372-'check-Jul25'!S372)</f>
        <v/>
      </c>
      <c r="T372" t="str">
        <f>IF('1. Live'!T372='check-Jul25'!T372,"",'1. Live'!T372-'check-Jul25'!T372)</f>
        <v/>
      </c>
      <c r="U372" t="str">
        <f>IF('1. Live'!U372='check-Jul25'!U372,"",'1. Live'!U372-'check-Jul25'!U372)</f>
        <v/>
      </c>
      <c r="V372" t="str">
        <f>IF('1. Live'!V372='check-Jul25'!V372,"",'1. Live'!V372-'check-Jul25'!V372)</f>
        <v/>
      </c>
      <c r="W372" t="str">
        <f>IF('1. Live'!W372='check-Jul25'!W372,"",'1. Live'!W372-'check-Jul25'!W372)</f>
        <v/>
      </c>
      <c r="X372" t="str">
        <f>IF('1. Live'!X372='check-Jul25'!X372,"",'1. Live'!X372-'check-Jul25'!X372)</f>
        <v/>
      </c>
      <c r="Y372" t="str">
        <f>IF('1. Live'!Y372='check-Jul25'!Y372,"",'1. Live'!Y372-'check-Jul25'!Y372)</f>
        <v/>
      </c>
      <c r="Z372" t="str">
        <f>IF('1. Live'!Z372='check-Jul25'!Z372,"",'1. Live'!Z372-'check-Jul25'!Z372)</f>
        <v/>
      </c>
      <c r="AA372" t="str">
        <f>IF('1. Live'!AA372='check-Jul25'!AA372,"",'1. Live'!AA372-'check-Jul25'!AA372)</f>
        <v/>
      </c>
      <c r="AB372" t="str">
        <f>IF('1. Live'!AB372='check-Jul25'!AB372,"",'1. Live'!AB372-'check-Jul25'!AB372)</f>
        <v/>
      </c>
      <c r="AC372" t="str">
        <f>IF('1. Live'!AC372='check-Jul25'!AC372,"",'1. Live'!AC372-'check-Jul25'!AC372)</f>
        <v/>
      </c>
      <c r="AD372" t="str">
        <f>IF('1. Live'!AD372='check-Jul25'!AD372,"",'1. Live'!AD372-'check-Jul25'!AD372)</f>
        <v/>
      </c>
      <c r="AE372" t="str">
        <f>IF('1. Live'!AE372='check-Jul25'!AE372,"",'1. Live'!AE372-'check-Jul25'!AE372)</f>
        <v/>
      </c>
      <c r="AF372" t="str">
        <f>IF('1. Live'!AF372='check-Jul25'!AF372,"",'1. Live'!AF372-'check-Jul25'!AF372)</f>
        <v/>
      </c>
      <c r="AG372" t="str">
        <f>IF('1. Live'!AG372='check-Jul25'!AG372,"",'1. Live'!AG372-'check-Jul25'!AG372)</f>
        <v/>
      </c>
      <c r="AH372" t="str">
        <f>IF('1. Live'!AH372='check-Jul25'!AH372,"",'1. Live'!AH372-'check-Jul25'!AH372)</f>
        <v/>
      </c>
      <c r="AI372" t="str">
        <f>IF('1. Live'!AI372='check-Jul25'!AI372,"",'1. Live'!AI372-'check-Jul25'!AI372)</f>
        <v/>
      </c>
      <c r="AJ372" t="str">
        <f>IF('1. Live'!AJ372='check-Jul25'!AJ372,"",'1. Live'!AJ372-'check-Jul25'!AJ372)</f>
        <v/>
      </c>
      <c r="AK372" t="str">
        <f>IF('1. Live'!AK372='check-Jul25'!AK372,"",'1. Live'!AK372-'check-Jul25'!AK372)</f>
        <v/>
      </c>
      <c r="AL372" t="str">
        <f>IF('1. Live'!AL372='check-Jul25'!AL372,"",'1. Live'!AL372-'check-Jul25'!AL372)</f>
        <v/>
      </c>
      <c r="AM372" t="str">
        <f>IF('1. Live'!AM372='check-Jul25'!AM372,"",'1. Live'!AM372-'check-Jul25'!AM372)</f>
        <v/>
      </c>
      <c r="AN372" t="str">
        <f>IF('1. Live'!AN372='check-Jul25'!AN372,"",'1. Live'!AN372-'check-Jul25'!AN372)</f>
        <v/>
      </c>
      <c r="AO372" t="str">
        <f>IF('1. Live'!AO372='check-Jul25'!AO372,"",'1. Live'!AO372-'check-Jul25'!AO372)</f>
        <v/>
      </c>
      <c r="AP372" t="str">
        <f>IF('1. Live'!AP372='check-Jul25'!AP372,"",'1. Live'!AP372-'check-Jul25'!AP372)</f>
        <v/>
      </c>
      <c r="AQ372" t="str">
        <f>IF('1. Live'!AQ372='check-Jul25'!AQ372,"",'1. Live'!AQ372-'check-Jul25'!AQ372)</f>
        <v/>
      </c>
      <c r="AR372" t="str">
        <f>IF('1. Live'!AR372='check-Jul25'!AR372,"",'1. Live'!AR372-'check-Jul25'!AR372)</f>
        <v/>
      </c>
      <c r="AS372" t="str">
        <f>IF('1. Live'!AS372='check-Jul25'!AS372,"",'1. Live'!AS372-'check-Jul25'!AS372)</f>
        <v/>
      </c>
      <c r="AT372" t="str">
        <f>IF('1. Live'!AT372='check-Jul25'!AT372,"",'1. Live'!AT372-'check-Jul25'!AT372)</f>
        <v/>
      </c>
      <c r="AU372" t="str">
        <f>IF('1. Live'!AU372='check-Jul25'!AU372,"",'1. Live'!AU372-'check-Jul25'!AU372)</f>
        <v/>
      </c>
      <c r="AV372" t="str">
        <f>IF('1. Live'!AV372='check-Jul25'!AV372,"",'1. Live'!AV372-'check-Jul25'!AV372)</f>
        <v/>
      </c>
      <c r="AW372" t="str">
        <f>IF('1. Live'!AW372='check-Jul25'!AW372,"",'1. Live'!AW372-'check-Jul25'!AW372)</f>
        <v/>
      </c>
      <c r="AX372" t="str">
        <f>IF('1. Live'!AX372='check-Jul25'!AX372,"",'1. Live'!AX372-'check-Jul25'!AX372)</f>
        <v/>
      </c>
      <c r="AY372" t="str">
        <f>IF('1. Live'!AY372='check-Jul25'!AY372,"",'1. Live'!AY372-'check-Jul25'!AY372)</f>
        <v/>
      </c>
      <c r="AZ372" t="str">
        <f>IF('1. Live'!AZ372='check-Jul25'!AZ372,"",'1. Live'!AZ372-'check-Jul25'!AZ372)</f>
        <v/>
      </c>
      <c r="BA372" t="str">
        <f>IF('1. Live'!BA372='check-Jul25'!BA372,"",'1. Live'!BA372-'check-Jul25'!BA372)</f>
        <v/>
      </c>
      <c r="BB372" t="str">
        <f>IF('1. Live'!BB372='check-Jul25'!BB372,"",'1. Live'!BB372-'check-Jul25'!BB372)</f>
        <v/>
      </c>
      <c r="BC372" t="str">
        <f>IF('1. Live'!BC372='check-Jul25'!BC372,"",'1. Live'!BC372-'check-Jul25'!BC372)</f>
        <v/>
      </c>
      <c r="BD372" t="str">
        <f>IF('1. Live'!BD372='check-Jul25'!BD372,"",'1. Live'!BD372-'check-Jul25'!BD372)</f>
        <v/>
      </c>
      <c r="BE372" t="str">
        <f>IF('1. Live'!BE372='check-Jul25'!BE372,"",'1. Live'!BE372-'check-Jul25'!BE372)</f>
        <v/>
      </c>
      <c r="BF372" t="str">
        <f>IF('1. Live'!BF372='check-Jul25'!BF372,"",'1. Live'!BF372-'check-Jul25'!BF372)</f>
        <v/>
      </c>
      <c r="BG372" t="str">
        <f>IF('1. Live'!BG372='check-Jul25'!BG372,"",'1. Live'!BG372-'check-Jul25'!BG372)</f>
        <v/>
      </c>
      <c r="BH372" t="str">
        <f>IF('1. Live'!BH372='check-Jul25'!BH372,"",'1. Live'!BH372-'check-Jul25'!BH372)</f>
        <v/>
      </c>
      <c r="BI372" t="str">
        <f>IF('1. Live'!BI372='check-Jul25'!BI372,"",'1. Live'!BI372-'check-Jul25'!BI372)</f>
        <v/>
      </c>
      <c r="BJ372" t="str">
        <f>IF('1. Live'!BJ372='check-Jul25'!BJ372,"",'1. Live'!BJ372-'check-Jul25'!BJ372)</f>
        <v/>
      </c>
      <c r="BK372" t="str">
        <f>IF('1. Live'!BK372='check-Jul25'!BK372,"",'1. Live'!BK372-'check-Jul25'!BK372)</f>
        <v/>
      </c>
      <c r="BL372" t="str">
        <f>IF('1. Live'!BL372='check-Jul25'!BL372,"",'1. Live'!BL372-'check-Jul25'!BL372)</f>
        <v/>
      </c>
      <c r="BM372" t="str">
        <f>IF('1. Live'!BM372='check-Jul25'!BM372,"",'1. Live'!BM372-'check-Jul25'!BM372)</f>
        <v/>
      </c>
      <c r="BN372" t="str">
        <f>IF('1. Live'!BN372='check-Jul25'!BN372,"",'1. Live'!BN372-'check-Jul25'!BN372)</f>
        <v/>
      </c>
      <c r="BO372" t="str">
        <f>IF('1. Live'!BO372='check-Jul25'!BO372,"",'1. Live'!BO372-'check-Jul25'!BO372)</f>
        <v/>
      </c>
      <c r="BP372" t="str">
        <f>IF('1. Live'!BP372='check-Jul25'!BP372,"",'1. Live'!BP372-'check-Jul25'!BP372)</f>
        <v/>
      </c>
      <c r="BQ372" t="str">
        <f>IF('1. Live'!BQ372='check-Jul25'!BQ372,"",'1. Live'!BQ372-'check-Jul25'!BQ372)</f>
        <v/>
      </c>
      <c r="BR372" t="str">
        <f>IF('1. Live'!BR372='check-Jul25'!BR372,"",'1. Live'!BR372-'check-Jul25'!BR372)</f>
        <v/>
      </c>
      <c r="BS372" t="str">
        <f>IF('1. Live'!BS372='check-Jul25'!BS372,"",'1. Live'!BS372-'check-Jul25'!BS372)</f>
        <v/>
      </c>
      <c r="BT372" t="str">
        <f>IF('1. Live'!BT372='check-Jul25'!BT372,"",'1. Live'!BT372-'check-Jul25'!BT372)</f>
        <v/>
      </c>
      <c r="BU372" t="str">
        <f>IF('1. Live'!BU372='check-Jul25'!BU372,"",'1. Live'!BU372-'check-Jul25'!BU372)</f>
        <v/>
      </c>
      <c r="BV372" t="str">
        <f>IF('1. Live'!BV372='check-Jul25'!BV372,"",'1. Live'!BV372-'check-Jul25'!BV372)</f>
        <v/>
      </c>
      <c r="BW372" t="str">
        <f>IF('1. Live'!BW372='check-Jul25'!BW372,"",'1. Live'!BW372-'check-Jul25'!BW372)</f>
        <v/>
      </c>
      <c r="BX372" t="str">
        <f>IF('1. Live'!BX372='check-Jul25'!BX372,"",'1. Live'!BX372-'check-Jul25'!BX372)</f>
        <v/>
      </c>
      <c r="BY372" t="str">
        <f>IF('1. Live'!BY372='check-Jul25'!BY372,"",'1. Live'!BY372-'check-Jul25'!BY372)</f>
        <v/>
      </c>
      <c r="BZ372" t="str">
        <f>IF('1. Live'!BZ372='check-Jul25'!BZ372,"",'1. Live'!BZ372-'check-Jul25'!BZ372)</f>
        <v/>
      </c>
      <c r="CA372" t="str">
        <f>IF('1. Live'!CA372='check-Jul25'!CA372,"",'1. Live'!CA372-'check-Jul25'!CA372)</f>
        <v/>
      </c>
      <c r="CB372" t="str">
        <f>IF('1. Live'!CB372='check-Jul25'!CB372,"",'1. Live'!CB372-'check-Jul25'!CB372)</f>
        <v/>
      </c>
      <c r="CC372" t="str">
        <f>IF('1. Live'!CC372='check-Jul25'!CC372,"",'1. Live'!CC372-'check-Jul25'!CC372)</f>
        <v/>
      </c>
      <c r="CD372" t="str">
        <f>IF('1. Live'!CD372='check-Jul25'!CD372,"",'1. Live'!CD372-'check-Jul25'!CD372)</f>
        <v/>
      </c>
      <c r="CE372" t="str">
        <f>IF('1. Live'!CE372='check-Jul25'!CE372,"",'1. Live'!CE372-'check-Jul25'!CE372)</f>
        <v/>
      </c>
      <c r="CF372" t="str">
        <f>IF('1. Live'!CF372='check-Jul25'!CF372,"",'1. Live'!CF372-'check-Jul25'!CF372)</f>
        <v/>
      </c>
      <c r="CG372" t="str">
        <f>IF('1. Live'!CG372='check-Jul25'!CG372,"",'1. Live'!CG372-'check-Jul25'!CG372)</f>
        <v/>
      </c>
      <c r="CH372" t="str">
        <f>IF('1. Live'!CH372='check-Jul25'!CH372,"",'1. Live'!CH372-'check-Jul25'!CH372)</f>
        <v/>
      </c>
      <c r="CI372" t="str">
        <f>IF('1. Live'!CI372='check-Jul25'!CI372,"",'1. Live'!CI372-'check-Jul25'!CI372)</f>
        <v/>
      </c>
      <c r="CJ372" t="str">
        <f>IF('1. Live'!CJ372='check-Jul25'!CJ372,"",'1. Live'!CJ372-'check-Jul25'!CJ372)</f>
        <v/>
      </c>
      <c r="CK372" t="str">
        <f>IF('1. Live'!CK372='check-Jul25'!CK372,"",'1. Live'!CK372-'check-Jul25'!CK372)</f>
        <v/>
      </c>
      <c r="CL372" t="str">
        <f>IF('1. Live'!CL372='check-Jul25'!CL372,"",'1. Live'!CL372-'check-Jul25'!CL372)</f>
        <v/>
      </c>
      <c r="CM372" t="str">
        <f>IF('1. Live'!CM372='check-Jul25'!CM372,"",'1. Live'!CM372-'check-Jul25'!CM372)</f>
        <v/>
      </c>
      <c r="CN372" t="str">
        <f>IF('1. Live'!CN372='check-Jul25'!CN372,"",'1. Live'!CN372-'check-Jul25'!CN372)</f>
        <v/>
      </c>
      <c r="CO372" t="str">
        <f>IF('1. Live'!CO372='check-Jul25'!CO372,"",'1. Live'!CO372-'check-Jul25'!CO372)</f>
        <v/>
      </c>
      <c r="CP372" t="str">
        <f>IF('1. Live'!CP372='check-Jul25'!CP372,"",'1. Live'!CP372-'check-Jul25'!CP372)</f>
        <v/>
      </c>
      <c r="CQ372" t="str">
        <f>IF('1. Live'!CQ372='check-Jul25'!CQ372,"",'1. Live'!CQ372-'check-Jul25'!CQ372)</f>
        <v/>
      </c>
      <c r="CR372" t="str">
        <f>IF('1. Live'!CR372='check-Jul25'!CR372,"",'1. Live'!CR372-'check-Jul25'!CR372)</f>
        <v/>
      </c>
      <c r="CS372" t="str">
        <f>IF('1. Live'!CS372='check-Jul25'!CS372,"",'1. Live'!CS372-'check-Jul25'!CS372)</f>
        <v/>
      </c>
      <c r="CT372" t="str">
        <f>IF('1. Live'!CT372='check-Jul25'!CT372,"",'1. Live'!CT372-'check-Jul25'!CT372)</f>
        <v/>
      </c>
      <c r="CU372" t="str">
        <f>IF('1. Live'!CU372='check-Jul25'!CU372,"",'1. Live'!CU372-'check-Jul25'!CU372)</f>
        <v/>
      </c>
      <c r="CV372" t="str">
        <f>IF('1. Live'!CV372='check-Jul25'!CV372,"",'1. Live'!CV372-'check-Jul25'!CV372)</f>
        <v/>
      </c>
      <c r="CW372" t="str">
        <f>IF('1. Live'!CW372='check-Jul25'!CW372,"",'1. Live'!CW372-'check-Jul25'!CW372)</f>
        <v/>
      </c>
    </row>
    <row r="373" spans="10:101">
      <c r="J373" t="str">
        <f>IF('1. Live'!J373='check-Jul25'!J373,"",'1. Live'!J373-'check-Jul25'!J373)</f>
        <v/>
      </c>
      <c r="K373" t="str">
        <f>IF('1. Live'!K373='check-Jul25'!K373,"",'1. Live'!K373-'check-Jul25'!K373)</f>
        <v/>
      </c>
      <c r="L373" t="str">
        <f>IF('1. Live'!L373='check-Jul25'!L373,"",'1. Live'!L373-'check-Jul25'!L373)</f>
        <v/>
      </c>
      <c r="M373" t="str">
        <f>IF('1. Live'!M373='check-Jul25'!M373,"",'1. Live'!M373-'check-Jul25'!M373)</f>
        <v/>
      </c>
      <c r="N373" t="str">
        <f>IF('1. Live'!N373='check-Jul25'!N373,"",'1. Live'!N373-'check-Jul25'!N373)</f>
        <v/>
      </c>
      <c r="O373" t="str">
        <f>IF('1. Live'!O373='check-Jul25'!O373,"",'1. Live'!O373-'check-Jul25'!O373)</f>
        <v/>
      </c>
      <c r="P373" t="str">
        <f>IF('1. Live'!P373='check-Jul25'!P373,"",'1. Live'!P373-'check-Jul25'!P373)</f>
        <v/>
      </c>
      <c r="Q373" t="str">
        <f>IF('1. Live'!Q373='check-Jul25'!Q373,"",'1. Live'!Q373-'check-Jul25'!Q373)</f>
        <v/>
      </c>
      <c r="R373" t="str">
        <f>IF('1. Live'!R373='check-Jul25'!R373,"",'1. Live'!R373-'check-Jul25'!R373)</f>
        <v/>
      </c>
      <c r="S373" t="str">
        <f>IF('1. Live'!S373='check-Jul25'!S373,"",'1. Live'!S373-'check-Jul25'!S373)</f>
        <v/>
      </c>
      <c r="T373" t="str">
        <f>IF('1. Live'!T373='check-Jul25'!T373,"",'1. Live'!T373-'check-Jul25'!T373)</f>
        <v/>
      </c>
      <c r="U373" t="str">
        <f>IF('1. Live'!U373='check-Jul25'!U373,"",'1. Live'!U373-'check-Jul25'!U373)</f>
        <v/>
      </c>
      <c r="V373" t="str">
        <f>IF('1. Live'!V373='check-Jul25'!V373,"",'1. Live'!V373-'check-Jul25'!V373)</f>
        <v/>
      </c>
      <c r="W373" t="str">
        <f>IF('1. Live'!W373='check-Jul25'!W373,"",'1. Live'!W373-'check-Jul25'!W373)</f>
        <v/>
      </c>
      <c r="X373" t="str">
        <f>IF('1. Live'!X373='check-Jul25'!X373,"",'1. Live'!X373-'check-Jul25'!X373)</f>
        <v/>
      </c>
      <c r="Y373" t="str">
        <f>IF('1. Live'!Y373='check-Jul25'!Y373,"",'1. Live'!Y373-'check-Jul25'!Y373)</f>
        <v/>
      </c>
      <c r="Z373" t="str">
        <f>IF('1. Live'!Z373='check-Jul25'!Z373,"",'1. Live'!Z373-'check-Jul25'!Z373)</f>
        <v/>
      </c>
      <c r="AA373" t="str">
        <f>IF('1. Live'!AA373='check-Jul25'!AA373,"",'1. Live'!AA373-'check-Jul25'!AA373)</f>
        <v/>
      </c>
      <c r="AB373" t="str">
        <f>IF('1. Live'!AB373='check-Jul25'!AB373,"",'1. Live'!AB373-'check-Jul25'!AB373)</f>
        <v/>
      </c>
      <c r="AC373" t="str">
        <f>IF('1. Live'!AC373='check-Jul25'!AC373,"",'1. Live'!AC373-'check-Jul25'!AC373)</f>
        <v/>
      </c>
      <c r="AD373" t="str">
        <f>IF('1. Live'!AD373='check-Jul25'!AD373,"",'1. Live'!AD373-'check-Jul25'!AD373)</f>
        <v/>
      </c>
      <c r="AE373" t="str">
        <f>IF('1. Live'!AE373='check-Jul25'!AE373,"",'1. Live'!AE373-'check-Jul25'!AE373)</f>
        <v/>
      </c>
      <c r="AF373" t="str">
        <f>IF('1. Live'!AF373='check-Jul25'!AF373,"",'1. Live'!AF373-'check-Jul25'!AF373)</f>
        <v/>
      </c>
      <c r="AG373" t="str">
        <f>IF('1. Live'!AG373='check-Jul25'!AG373,"",'1. Live'!AG373-'check-Jul25'!AG373)</f>
        <v/>
      </c>
      <c r="AH373" t="str">
        <f>IF('1. Live'!AH373='check-Jul25'!AH373,"",'1. Live'!AH373-'check-Jul25'!AH373)</f>
        <v/>
      </c>
      <c r="AI373" t="str">
        <f>IF('1. Live'!AI373='check-Jul25'!AI373,"",'1. Live'!AI373-'check-Jul25'!AI373)</f>
        <v/>
      </c>
      <c r="AJ373" t="str">
        <f>IF('1. Live'!AJ373='check-Jul25'!AJ373,"",'1. Live'!AJ373-'check-Jul25'!AJ373)</f>
        <v/>
      </c>
      <c r="AK373" t="str">
        <f>IF('1. Live'!AK373='check-Jul25'!AK373,"",'1. Live'!AK373-'check-Jul25'!AK373)</f>
        <v/>
      </c>
      <c r="AL373" t="str">
        <f>IF('1. Live'!AL373='check-Jul25'!AL373,"",'1. Live'!AL373-'check-Jul25'!AL373)</f>
        <v/>
      </c>
      <c r="AM373" t="str">
        <f>IF('1. Live'!AM373='check-Jul25'!AM373,"",'1. Live'!AM373-'check-Jul25'!AM373)</f>
        <v/>
      </c>
      <c r="AN373" t="str">
        <f>IF('1. Live'!AN373='check-Jul25'!AN373,"",'1. Live'!AN373-'check-Jul25'!AN373)</f>
        <v/>
      </c>
      <c r="AO373" t="str">
        <f>IF('1. Live'!AO373='check-Jul25'!AO373,"",'1. Live'!AO373-'check-Jul25'!AO373)</f>
        <v/>
      </c>
      <c r="AP373" t="str">
        <f>IF('1. Live'!AP373='check-Jul25'!AP373,"",'1. Live'!AP373-'check-Jul25'!AP373)</f>
        <v/>
      </c>
      <c r="AQ373" t="str">
        <f>IF('1. Live'!AQ373='check-Jul25'!AQ373,"",'1. Live'!AQ373-'check-Jul25'!AQ373)</f>
        <v/>
      </c>
      <c r="AR373" t="str">
        <f>IF('1. Live'!AR373='check-Jul25'!AR373,"",'1. Live'!AR373-'check-Jul25'!AR373)</f>
        <v/>
      </c>
      <c r="AS373" t="str">
        <f>IF('1. Live'!AS373='check-Jul25'!AS373,"",'1. Live'!AS373-'check-Jul25'!AS373)</f>
        <v/>
      </c>
      <c r="AT373" t="str">
        <f>IF('1. Live'!AT373='check-Jul25'!AT373,"",'1. Live'!AT373-'check-Jul25'!AT373)</f>
        <v/>
      </c>
      <c r="AU373" t="str">
        <f>IF('1. Live'!AU373='check-Jul25'!AU373,"",'1. Live'!AU373-'check-Jul25'!AU373)</f>
        <v/>
      </c>
      <c r="AV373" t="str">
        <f>IF('1. Live'!AV373='check-Jul25'!AV373,"",'1. Live'!AV373-'check-Jul25'!AV373)</f>
        <v/>
      </c>
      <c r="AW373" t="str">
        <f>IF('1. Live'!AW373='check-Jul25'!AW373,"",'1. Live'!AW373-'check-Jul25'!AW373)</f>
        <v/>
      </c>
      <c r="AX373" t="str">
        <f>IF('1. Live'!AX373='check-Jul25'!AX373,"",'1. Live'!AX373-'check-Jul25'!AX373)</f>
        <v/>
      </c>
      <c r="AY373" t="str">
        <f>IF('1. Live'!AY373='check-Jul25'!AY373,"",'1. Live'!AY373-'check-Jul25'!AY373)</f>
        <v/>
      </c>
      <c r="AZ373" t="str">
        <f>IF('1. Live'!AZ373='check-Jul25'!AZ373,"",'1. Live'!AZ373-'check-Jul25'!AZ373)</f>
        <v/>
      </c>
      <c r="BA373" t="str">
        <f>IF('1. Live'!BA373='check-Jul25'!BA373,"",'1. Live'!BA373-'check-Jul25'!BA373)</f>
        <v/>
      </c>
      <c r="BB373" t="str">
        <f>IF('1. Live'!BB373='check-Jul25'!BB373,"",'1. Live'!BB373-'check-Jul25'!BB373)</f>
        <v/>
      </c>
      <c r="BC373" t="str">
        <f>IF('1. Live'!BC373='check-Jul25'!BC373,"",'1. Live'!BC373-'check-Jul25'!BC373)</f>
        <v/>
      </c>
      <c r="BD373" t="str">
        <f>IF('1. Live'!BD373='check-Jul25'!BD373,"",'1. Live'!BD373-'check-Jul25'!BD373)</f>
        <v/>
      </c>
      <c r="BE373" t="str">
        <f>IF('1. Live'!BE373='check-Jul25'!BE373,"",'1. Live'!BE373-'check-Jul25'!BE373)</f>
        <v/>
      </c>
      <c r="BF373" t="str">
        <f>IF('1. Live'!BF373='check-Jul25'!BF373,"",'1. Live'!BF373-'check-Jul25'!BF373)</f>
        <v/>
      </c>
      <c r="BG373" t="str">
        <f>IF('1. Live'!BG373='check-Jul25'!BG373,"",'1. Live'!BG373-'check-Jul25'!BG373)</f>
        <v/>
      </c>
      <c r="BH373" t="str">
        <f>IF('1. Live'!BH373='check-Jul25'!BH373,"",'1. Live'!BH373-'check-Jul25'!BH373)</f>
        <v/>
      </c>
      <c r="BI373" t="str">
        <f>IF('1. Live'!BI373='check-Jul25'!BI373,"",'1. Live'!BI373-'check-Jul25'!BI373)</f>
        <v/>
      </c>
      <c r="BJ373" t="str">
        <f>IF('1. Live'!BJ373='check-Jul25'!BJ373,"",'1. Live'!BJ373-'check-Jul25'!BJ373)</f>
        <v/>
      </c>
      <c r="BK373" t="str">
        <f>IF('1. Live'!BK373='check-Jul25'!BK373,"",'1. Live'!BK373-'check-Jul25'!BK373)</f>
        <v/>
      </c>
      <c r="BL373" t="str">
        <f>IF('1. Live'!BL373='check-Jul25'!BL373,"",'1. Live'!BL373-'check-Jul25'!BL373)</f>
        <v/>
      </c>
      <c r="BM373" t="str">
        <f>IF('1. Live'!BM373='check-Jul25'!BM373,"",'1. Live'!BM373-'check-Jul25'!BM373)</f>
        <v/>
      </c>
      <c r="BN373" t="str">
        <f>IF('1. Live'!BN373='check-Jul25'!BN373,"",'1. Live'!BN373-'check-Jul25'!BN373)</f>
        <v/>
      </c>
      <c r="BO373" t="str">
        <f>IF('1. Live'!BO373='check-Jul25'!BO373,"",'1. Live'!BO373-'check-Jul25'!BO373)</f>
        <v/>
      </c>
      <c r="BP373" t="str">
        <f>IF('1. Live'!BP373='check-Jul25'!BP373,"",'1. Live'!BP373-'check-Jul25'!BP373)</f>
        <v/>
      </c>
      <c r="BQ373" t="str">
        <f>IF('1. Live'!BQ373='check-Jul25'!BQ373,"",'1. Live'!BQ373-'check-Jul25'!BQ373)</f>
        <v/>
      </c>
      <c r="BR373" t="str">
        <f>IF('1. Live'!BR373='check-Jul25'!BR373,"",'1. Live'!BR373-'check-Jul25'!BR373)</f>
        <v/>
      </c>
      <c r="BS373" t="str">
        <f>IF('1. Live'!BS373='check-Jul25'!BS373,"",'1. Live'!BS373-'check-Jul25'!BS373)</f>
        <v/>
      </c>
      <c r="BT373" t="str">
        <f>IF('1. Live'!BT373='check-Jul25'!BT373,"",'1. Live'!BT373-'check-Jul25'!BT373)</f>
        <v/>
      </c>
      <c r="BU373" t="str">
        <f>IF('1. Live'!BU373='check-Jul25'!BU373,"",'1. Live'!BU373-'check-Jul25'!BU373)</f>
        <v/>
      </c>
      <c r="BV373" t="str">
        <f>IF('1. Live'!BV373='check-Jul25'!BV373,"",'1. Live'!BV373-'check-Jul25'!BV373)</f>
        <v/>
      </c>
      <c r="BW373" t="str">
        <f>IF('1. Live'!BW373='check-Jul25'!BW373,"",'1. Live'!BW373-'check-Jul25'!BW373)</f>
        <v/>
      </c>
      <c r="BX373" t="str">
        <f>IF('1. Live'!BX373='check-Jul25'!BX373,"",'1. Live'!BX373-'check-Jul25'!BX373)</f>
        <v/>
      </c>
      <c r="BY373" t="str">
        <f>IF('1. Live'!BY373='check-Jul25'!BY373,"",'1. Live'!BY373-'check-Jul25'!BY373)</f>
        <v/>
      </c>
      <c r="BZ373" t="str">
        <f>IF('1. Live'!BZ373='check-Jul25'!BZ373,"",'1. Live'!BZ373-'check-Jul25'!BZ373)</f>
        <v/>
      </c>
      <c r="CA373" t="str">
        <f>IF('1. Live'!CA373='check-Jul25'!CA373,"",'1. Live'!CA373-'check-Jul25'!CA373)</f>
        <v/>
      </c>
      <c r="CB373" t="str">
        <f>IF('1. Live'!CB373='check-Jul25'!CB373,"",'1. Live'!CB373-'check-Jul25'!CB373)</f>
        <v/>
      </c>
      <c r="CC373" t="str">
        <f>IF('1. Live'!CC373='check-Jul25'!CC373,"",'1. Live'!CC373-'check-Jul25'!CC373)</f>
        <v/>
      </c>
      <c r="CD373" t="str">
        <f>IF('1. Live'!CD373='check-Jul25'!CD373,"",'1. Live'!CD373-'check-Jul25'!CD373)</f>
        <v/>
      </c>
      <c r="CE373" t="str">
        <f>IF('1. Live'!CE373='check-Jul25'!CE373,"",'1. Live'!CE373-'check-Jul25'!CE373)</f>
        <v/>
      </c>
      <c r="CF373" t="str">
        <f>IF('1. Live'!CF373='check-Jul25'!CF373,"",'1. Live'!CF373-'check-Jul25'!CF373)</f>
        <v/>
      </c>
      <c r="CG373" t="str">
        <f>IF('1. Live'!CG373='check-Jul25'!CG373,"",'1. Live'!CG373-'check-Jul25'!CG373)</f>
        <v/>
      </c>
      <c r="CH373" t="str">
        <f>IF('1. Live'!CH373='check-Jul25'!CH373,"",'1. Live'!CH373-'check-Jul25'!CH373)</f>
        <v/>
      </c>
      <c r="CI373" t="str">
        <f>IF('1. Live'!CI373='check-Jul25'!CI373,"",'1. Live'!CI373-'check-Jul25'!CI373)</f>
        <v/>
      </c>
      <c r="CJ373" t="str">
        <f>IF('1. Live'!CJ373='check-Jul25'!CJ373,"",'1. Live'!CJ373-'check-Jul25'!CJ373)</f>
        <v/>
      </c>
      <c r="CK373" t="str">
        <f>IF('1. Live'!CK373='check-Jul25'!CK373,"",'1. Live'!CK373-'check-Jul25'!CK373)</f>
        <v/>
      </c>
      <c r="CL373" t="str">
        <f>IF('1. Live'!CL373='check-Jul25'!CL373,"",'1. Live'!CL373-'check-Jul25'!CL373)</f>
        <v/>
      </c>
      <c r="CM373" t="str">
        <f>IF('1. Live'!CM373='check-Jul25'!CM373,"",'1. Live'!CM373-'check-Jul25'!CM373)</f>
        <v/>
      </c>
      <c r="CN373" t="str">
        <f>IF('1. Live'!CN373='check-Jul25'!CN373,"",'1. Live'!CN373-'check-Jul25'!CN373)</f>
        <v/>
      </c>
      <c r="CO373" t="str">
        <f>IF('1. Live'!CO373='check-Jul25'!CO373,"",'1. Live'!CO373-'check-Jul25'!CO373)</f>
        <v/>
      </c>
      <c r="CP373" t="str">
        <f>IF('1. Live'!CP373='check-Jul25'!CP373,"",'1. Live'!CP373-'check-Jul25'!CP373)</f>
        <v/>
      </c>
      <c r="CQ373" t="str">
        <f>IF('1. Live'!CQ373='check-Jul25'!CQ373,"",'1. Live'!CQ373-'check-Jul25'!CQ373)</f>
        <v/>
      </c>
      <c r="CR373" t="str">
        <f>IF('1. Live'!CR373='check-Jul25'!CR373,"",'1. Live'!CR373-'check-Jul25'!CR373)</f>
        <v/>
      </c>
      <c r="CS373" t="str">
        <f>IF('1. Live'!CS373='check-Jul25'!CS373,"",'1. Live'!CS373-'check-Jul25'!CS373)</f>
        <v/>
      </c>
      <c r="CT373" t="str">
        <f>IF('1. Live'!CT373='check-Jul25'!CT373,"",'1. Live'!CT373-'check-Jul25'!CT373)</f>
        <v/>
      </c>
      <c r="CU373" t="str">
        <f>IF('1. Live'!CU373='check-Jul25'!CU373,"",'1. Live'!CU373-'check-Jul25'!CU373)</f>
        <v/>
      </c>
      <c r="CV373" t="str">
        <f>IF('1. Live'!CV373='check-Jul25'!CV373,"",'1. Live'!CV373-'check-Jul25'!CV373)</f>
        <v/>
      </c>
      <c r="CW373" t="str">
        <f>IF('1. Live'!CW373='check-Jul25'!CW373,"",'1. Live'!CW373-'check-Jul25'!CW373)</f>
        <v/>
      </c>
    </row>
    <row r="374" spans="10:101">
      <c r="J374" t="str">
        <f>IF('1. Live'!J374='check-Jul25'!J374,"",'1. Live'!J374-'check-Jul25'!J374)</f>
        <v/>
      </c>
      <c r="K374" t="str">
        <f>IF('1. Live'!K374='check-Jul25'!K374,"",'1. Live'!K374-'check-Jul25'!K374)</f>
        <v/>
      </c>
      <c r="L374" t="str">
        <f>IF('1. Live'!L374='check-Jul25'!L374,"",'1. Live'!L374-'check-Jul25'!L374)</f>
        <v/>
      </c>
      <c r="M374" t="str">
        <f>IF('1. Live'!M374='check-Jul25'!M374,"",'1. Live'!M374-'check-Jul25'!M374)</f>
        <v/>
      </c>
      <c r="N374" t="str">
        <f>IF('1. Live'!N374='check-Jul25'!N374,"",'1. Live'!N374-'check-Jul25'!N374)</f>
        <v/>
      </c>
      <c r="O374" t="str">
        <f>IF('1. Live'!O374='check-Jul25'!O374,"",'1. Live'!O374-'check-Jul25'!O374)</f>
        <v/>
      </c>
      <c r="P374" t="str">
        <f>IF('1. Live'!P374='check-Jul25'!P374,"",'1. Live'!P374-'check-Jul25'!P374)</f>
        <v/>
      </c>
      <c r="Q374" t="str">
        <f>IF('1. Live'!Q374='check-Jul25'!Q374,"",'1. Live'!Q374-'check-Jul25'!Q374)</f>
        <v/>
      </c>
      <c r="R374" t="str">
        <f>IF('1. Live'!R374='check-Jul25'!R374,"",'1. Live'!R374-'check-Jul25'!R374)</f>
        <v/>
      </c>
      <c r="S374" t="str">
        <f>IF('1. Live'!S374='check-Jul25'!S374,"",'1. Live'!S374-'check-Jul25'!S374)</f>
        <v/>
      </c>
      <c r="T374" t="str">
        <f>IF('1. Live'!T374='check-Jul25'!T374,"",'1. Live'!T374-'check-Jul25'!T374)</f>
        <v/>
      </c>
      <c r="U374" t="str">
        <f>IF('1. Live'!U374='check-Jul25'!U374,"",'1. Live'!U374-'check-Jul25'!U374)</f>
        <v/>
      </c>
      <c r="V374" t="str">
        <f>IF('1. Live'!V374='check-Jul25'!V374,"",'1. Live'!V374-'check-Jul25'!V374)</f>
        <v/>
      </c>
      <c r="W374" t="str">
        <f>IF('1. Live'!W374='check-Jul25'!W374,"",'1. Live'!W374-'check-Jul25'!W374)</f>
        <v/>
      </c>
      <c r="X374" t="str">
        <f>IF('1. Live'!X374='check-Jul25'!X374,"",'1. Live'!X374-'check-Jul25'!X374)</f>
        <v/>
      </c>
      <c r="Y374" t="str">
        <f>IF('1. Live'!Y374='check-Jul25'!Y374,"",'1. Live'!Y374-'check-Jul25'!Y374)</f>
        <v/>
      </c>
      <c r="Z374" t="str">
        <f>IF('1. Live'!Z374='check-Jul25'!Z374,"",'1. Live'!Z374-'check-Jul25'!Z374)</f>
        <v/>
      </c>
      <c r="AA374" t="str">
        <f>IF('1. Live'!AA374='check-Jul25'!AA374,"",'1. Live'!AA374-'check-Jul25'!AA374)</f>
        <v/>
      </c>
      <c r="AB374" t="str">
        <f>IF('1. Live'!AB374='check-Jul25'!AB374,"",'1. Live'!AB374-'check-Jul25'!AB374)</f>
        <v/>
      </c>
      <c r="AC374" t="str">
        <f>IF('1. Live'!AC374='check-Jul25'!AC374,"",'1. Live'!AC374-'check-Jul25'!AC374)</f>
        <v/>
      </c>
      <c r="AD374" t="str">
        <f>IF('1. Live'!AD374='check-Jul25'!AD374,"",'1. Live'!AD374-'check-Jul25'!AD374)</f>
        <v/>
      </c>
      <c r="AE374" t="str">
        <f>IF('1. Live'!AE374='check-Jul25'!AE374,"",'1. Live'!AE374-'check-Jul25'!AE374)</f>
        <v/>
      </c>
      <c r="AF374" t="str">
        <f>IF('1. Live'!AF374='check-Jul25'!AF374,"",'1. Live'!AF374-'check-Jul25'!AF374)</f>
        <v/>
      </c>
      <c r="AG374" t="str">
        <f>IF('1. Live'!AG374='check-Jul25'!AG374,"",'1. Live'!AG374-'check-Jul25'!AG374)</f>
        <v/>
      </c>
      <c r="AH374" t="str">
        <f>IF('1. Live'!AH374='check-Jul25'!AH374,"",'1. Live'!AH374-'check-Jul25'!AH374)</f>
        <v/>
      </c>
      <c r="AI374" t="str">
        <f>IF('1. Live'!AI374='check-Jul25'!AI374,"",'1. Live'!AI374-'check-Jul25'!AI374)</f>
        <v/>
      </c>
      <c r="AJ374" t="str">
        <f>IF('1. Live'!AJ374='check-Jul25'!AJ374,"",'1. Live'!AJ374-'check-Jul25'!AJ374)</f>
        <v/>
      </c>
      <c r="AK374" t="str">
        <f>IF('1. Live'!AK374='check-Jul25'!AK374,"",'1. Live'!AK374-'check-Jul25'!AK374)</f>
        <v/>
      </c>
      <c r="AL374" t="str">
        <f>IF('1. Live'!AL374='check-Jul25'!AL374,"",'1. Live'!AL374-'check-Jul25'!AL374)</f>
        <v/>
      </c>
      <c r="AM374" t="str">
        <f>IF('1. Live'!AM374='check-Jul25'!AM374,"",'1. Live'!AM374-'check-Jul25'!AM374)</f>
        <v/>
      </c>
      <c r="AN374" t="str">
        <f>IF('1. Live'!AN374='check-Jul25'!AN374,"",'1. Live'!AN374-'check-Jul25'!AN374)</f>
        <v/>
      </c>
      <c r="AO374" t="str">
        <f>IF('1. Live'!AO374='check-Jul25'!AO374,"",'1. Live'!AO374-'check-Jul25'!AO374)</f>
        <v/>
      </c>
      <c r="AP374" t="str">
        <f>IF('1. Live'!AP374='check-Jul25'!AP374,"",'1. Live'!AP374-'check-Jul25'!AP374)</f>
        <v/>
      </c>
      <c r="AQ374" t="str">
        <f>IF('1. Live'!AQ374='check-Jul25'!AQ374,"",'1. Live'!AQ374-'check-Jul25'!AQ374)</f>
        <v/>
      </c>
      <c r="AR374" t="str">
        <f>IF('1. Live'!AR374='check-Jul25'!AR374,"",'1. Live'!AR374-'check-Jul25'!AR374)</f>
        <v/>
      </c>
      <c r="AS374" t="str">
        <f>IF('1. Live'!AS374='check-Jul25'!AS374,"",'1. Live'!AS374-'check-Jul25'!AS374)</f>
        <v/>
      </c>
      <c r="AT374" t="str">
        <f>IF('1. Live'!AT374='check-Jul25'!AT374,"",'1. Live'!AT374-'check-Jul25'!AT374)</f>
        <v/>
      </c>
      <c r="AU374" t="str">
        <f>IF('1. Live'!AU374='check-Jul25'!AU374,"",'1. Live'!AU374-'check-Jul25'!AU374)</f>
        <v/>
      </c>
      <c r="AV374" t="str">
        <f>IF('1. Live'!AV374='check-Jul25'!AV374,"",'1. Live'!AV374-'check-Jul25'!AV374)</f>
        <v/>
      </c>
      <c r="AW374" t="str">
        <f>IF('1. Live'!AW374='check-Jul25'!AW374,"",'1. Live'!AW374-'check-Jul25'!AW374)</f>
        <v/>
      </c>
      <c r="AX374" t="str">
        <f>IF('1. Live'!AX374='check-Jul25'!AX374,"",'1. Live'!AX374-'check-Jul25'!AX374)</f>
        <v/>
      </c>
      <c r="AY374" t="str">
        <f>IF('1. Live'!AY374='check-Jul25'!AY374,"",'1. Live'!AY374-'check-Jul25'!AY374)</f>
        <v/>
      </c>
      <c r="AZ374" t="str">
        <f>IF('1. Live'!AZ374='check-Jul25'!AZ374,"",'1. Live'!AZ374-'check-Jul25'!AZ374)</f>
        <v/>
      </c>
      <c r="BA374" t="str">
        <f>IF('1. Live'!BA374='check-Jul25'!BA374,"",'1. Live'!BA374-'check-Jul25'!BA374)</f>
        <v/>
      </c>
      <c r="BB374" t="str">
        <f>IF('1. Live'!BB374='check-Jul25'!BB374,"",'1. Live'!BB374-'check-Jul25'!BB374)</f>
        <v/>
      </c>
      <c r="BC374" t="str">
        <f>IF('1. Live'!BC374='check-Jul25'!BC374,"",'1. Live'!BC374-'check-Jul25'!BC374)</f>
        <v/>
      </c>
      <c r="BD374" t="str">
        <f>IF('1. Live'!BD374='check-Jul25'!BD374,"",'1. Live'!BD374-'check-Jul25'!BD374)</f>
        <v/>
      </c>
      <c r="BE374" t="str">
        <f>IF('1. Live'!BE374='check-Jul25'!BE374,"",'1. Live'!BE374-'check-Jul25'!BE374)</f>
        <v/>
      </c>
      <c r="BF374" t="str">
        <f>IF('1. Live'!BF374='check-Jul25'!BF374,"",'1. Live'!BF374-'check-Jul25'!BF374)</f>
        <v/>
      </c>
      <c r="BG374" t="str">
        <f>IF('1. Live'!BG374='check-Jul25'!BG374,"",'1. Live'!BG374-'check-Jul25'!BG374)</f>
        <v/>
      </c>
      <c r="BH374" t="str">
        <f>IF('1. Live'!BH374='check-Jul25'!BH374,"",'1. Live'!BH374-'check-Jul25'!BH374)</f>
        <v/>
      </c>
      <c r="BI374" t="str">
        <f>IF('1. Live'!BI374='check-Jul25'!BI374,"",'1. Live'!BI374-'check-Jul25'!BI374)</f>
        <v/>
      </c>
      <c r="BJ374" t="str">
        <f>IF('1. Live'!BJ374='check-Jul25'!BJ374,"",'1. Live'!BJ374-'check-Jul25'!BJ374)</f>
        <v/>
      </c>
      <c r="BK374" t="str">
        <f>IF('1. Live'!BK374='check-Jul25'!BK374,"",'1. Live'!BK374-'check-Jul25'!BK374)</f>
        <v/>
      </c>
      <c r="BL374" t="str">
        <f>IF('1. Live'!BL374='check-Jul25'!BL374,"",'1. Live'!BL374-'check-Jul25'!BL374)</f>
        <v/>
      </c>
      <c r="BM374" t="str">
        <f>IF('1. Live'!BM374='check-Jul25'!BM374,"",'1. Live'!BM374-'check-Jul25'!BM374)</f>
        <v/>
      </c>
      <c r="BN374" t="str">
        <f>IF('1. Live'!BN374='check-Jul25'!BN374,"",'1. Live'!BN374-'check-Jul25'!BN374)</f>
        <v/>
      </c>
      <c r="BO374" t="str">
        <f>IF('1. Live'!BO374='check-Jul25'!BO374,"",'1. Live'!BO374-'check-Jul25'!BO374)</f>
        <v/>
      </c>
      <c r="BP374" t="str">
        <f>IF('1. Live'!BP374='check-Jul25'!BP374,"",'1. Live'!BP374-'check-Jul25'!BP374)</f>
        <v/>
      </c>
      <c r="BQ374" t="str">
        <f>IF('1. Live'!BQ374='check-Jul25'!BQ374,"",'1. Live'!BQ374-'check-Jul25'!BQ374)</f>
        <v/>
      </c>
      <c r="BR374" t="str">
        <f>IF('1. Live'!BR374='check-Jul25'!BR374,"",'1. Live'!BR374-'check-Jul25'!BR374)</f>
        <v/>
      </c>
      <c r="BS374" t="str">
        <f>IF('1. Live'!BS374='check-Jul25'!BS374,"",'1. Live'!BS374-'check-Jul25'!BS374)</f>
        <v/>
      </c>
      <c r="BT374" t="str">
        <f>IF('1. Live'!BT374='check-Jul25'!BT374,"",'1. Live'!BT374-'check-Jul25'!BT374)</f>
        <v/>
      </c>
      <c r="BU374" t="str">
        <f>IF('1. Live'!BU374='check-Jul25'!BU374,"",'1. Live'!BU374-'check-Jul25'!BU374)</f>
        <v/>
      </c>
      <c r="BV374" t="str">
        <f>IF('1. Live'!BV374='check-Jul25'!BV374,"",'1. Live'!BV374-'check-Jul25'!BV374)</f>
        <v/>
      </c>
      <c r="BW374" t="str">
        <f>IF('1. Live'!BW374='check-Jul25'!BW374,"",'1. Live'!BW374-'check-Jul25'!BW374)</f>
        <v/>
      </c>
      <c r="BX374" t="str">
        <f>IF('1. Live'!BX374='check-Jul25'!BX374,"",'1. Live'!BX374-'check-Jul25'!BX374)</f>
        <v/>
      </c>
      <c r="BY374" t="str">
        <f>IF('1. Live'!BY374='check-Jul25'!BY374,"",'1. Live'!BY374-'check-Jul25'!BY374)</f>
        <v/>
      </c>
      <c r="BZ374" t="str">
        <f>IF('1. Live'!BZ374='check-Jul25'!BZ374,"",'1. Live'!BZ374-'check-Jul25'!BZ374)</f>
        <v/>
      </c>
      <c r="CA374" t="str">
        <f>IF('1. Live'!CA374='check-Jul25'!CA374,"",'1. Live'!CA374-'check-Jul25'!CA374)</f>
        <v/>
      </c>
      <c r="CB374" t="str">
        <f>IF('1. Live'!CB374='check-Jul25'!CB374,"",'1. Live'!CB374-'check-Jul25'!CB374)</f>
        <v/>
      </c>
      <c r="CC374" t="str">
        <f>IF('1. Live'!CC374='check-Jul25'!CC374,"",'1. Live'!CC374-'check-Jul25'!CC374)</f>
        <v/>
      </c>
      <c r="CD374" t="str">
        <f>IF('1. Live'!CD374='check-Jul25'!CD374,"",'1. Live'!CD374-'check-Jul25'!CD374)</f>
        <v/>
      </c>
      <c r="CE374" t="str">
        <f>IF('1. Live'!CE374='check-Jul25'!CE374,"",'1. Live'!CE374-'check-Jul25'!CE374)</f>
        <v/>
      </c>
      <c r="CF374" t="str">
        <f>IF('1. Live'!CF374='check-Jul25'!CF374,"",'1. Live'!CF374-'check-Jul25'!CF374)</f>
        <v/>
      </c>
      <c r="CG374" t="str">
        <f>IF('1. Live'!CG374='check-Jul25'!CG374,"",'1. Live'!CG374-'check-Jul25'!CG374)</f>
        <v/>
      </c>
      <c r="CH374" t="str">
        <f>IF('1. Live'!CH374='check-Jul25'!CH374,"",'1. Live'!CH374-'check-Jul25'!CH374)</f>
        <v/>
      </c>
      <c r="CI374" t="str">
        <f>IF('1. Live'!CI374='check-Jul25'!CI374,"",'1. Live'!CI374-'check-Jul25'!CI374)</f>
        <v/>
      </c>
      <c r="CJ374" t="str">
        <f>IF('1. Live'!CJ374='check-Jul25'!CJ374,"",'1. Live'!CJ374-'check-Jul25'!CJ374)</f>
        <v/>
      </c>
      <c r="CK374" t="str">
        <f>IF('1. Live'!CK374='check-Jul25'!CK374,"",'1. Live'!CK374-'check-Jul25'!CK374)</f>
        <v/>
      </c>
      <c r="CL374" t="str">
        <f>IF('1. Live'!CL374='check-Jul25'!CL374,"",'1. Live'!CL374-'check-Jul25'!CL374)</f>
        <v/>
      </c>
      <c r="CM374" t="str">
        <f>IF('1. Live'!CM374='check-Jul25'!CM374,"",'1. Live'!CM374-'check-Jul25'!CM374)</f>
        <v/>
      </c>
      <c r="CN374" t="str">
        <f>IF('1. Live'!CN374='check-Jul25'!CN374,"",'1. Live'!CN374-'check-Jul25'!CN374)</f>
        <v/>
      </c>
      <c r="CO374" t="str">
        <f>IF('1. Live'!CO374='check-Jul25'!CO374,"",'1. Live'!CO374-'check-Jul25'!CO374)</f>
        <v/>
      </c>
      <c r="CP374" t="str">
        <f>IF('1. Live'!CP374='check-Jul25'!CP374,"",'1. Live'!CP374-'check-Jul25'!CP374)</f>
        <v/>
      </c>
      <c r="CQ374" t="str">
        <f>IF('1. Live'!CQ374='check-Jul25'!CQ374,"",'1. Live'!CQ374-'check-Jul25'!CQ374)</f>
        <v/>
      </c>
      <c r="CR374" t="str">
        <f>IF('1. Live'!CR374='check-Jul25'!CR374,"",'1. Live'!CR374-'check-Jul25'!CR374)</f>
        <v/>
      </c>
      <c r="CS374" t="str">
        <f>IF('1. Live'!CS374='check-Jul25'!CS374,"",'1. Live'!CS374-'check-Jul25'!CS374)</f>
        <v/>
      </c>
      <c r="CT374" t="str">
        <f>IF('1. Live'!CT374='check-Jul25'!CT374,"",'1. Live'!CT374-'check-Jul25'!CT374)</f>
        <v/>
      </c>
      <c r="CU374" t="str">
        <f>IF('1. Live'!CU374='check-Jul25'!CU374,"",'1. Live'!CU374-'check-Jul25'!CU374)</f>
        <v/>
      </c>
      <c r="CV374" t="str">
        <f>IF('1. Live'!CV374='check-Jul25'!CV374,"",'1. Live'!CV374-'check-Jul25'!CV374)</f>
        <v/>
      </c>
      <c r="CW374" t="str">
        <f>IF('1. Live'!CW374='check-Jul25'!CW374,"",'1. Live'!CW374-'check-Jul25'!CW374)</f>
        <v/>
      </c>
    </row>
    <row r="375" spans="10:101">
      <c r="J375" t="str">
        <f>IF('1. Live'!J375='check-Jul25'!J375,"",'1. Live'!J375-'check-Jul25'!J375)</f>
        <v/>
      </c>
      <c r="K375" t="str">
        <f>IF('1. Live'!K375='check-Jul25'!K375,"",'1. Live'!K375-'check-Jul25'!K375)</f>
        <v/>
      </c>
      <c r="L375" t="str">
        <f>IF('1. Live'!L375='check-Jul25'!L375,"",'1. Live'!L375-'check-Jul25'!L375)</f>
        <v/>
      </c>
      <c r="M375" t="str">
        <f>IF('1. Live'!M375='check-Jul25'!M375,"",'1. Live'!M375-'check-Jul25'!M375)</f>
        <v/>
      </c>
      <c r="N375" t="str">
        <f>IF('1. Live'!N375='check-Jul25'!N375,"",'1. Live'!N375-'check-Jul25'!N375)</f>
        <v/>
      </c>
      <c r="O375" t="str">
        <f>IF('1. Live'!O375='check-Jul25'!O375,"",'1. Live'!O375-'check-Jul25'!O375)</f>
        <v/>
      </c>
      <c r="P375" t="str">
        <f>IF('1. Live'!P375='check-Jul25'!P375,"",'1. Live'!P375-'check-Jul25'!P375)</f>
        <v/>
      </c>
      <c r="Q375" t="str">
        <f>IF('1. Live'!Q375='check-Jul25'!Q375,"",'1. Live'!Q375-'check-Jul25'!Q375)</f>
        <v/>
      </c>
      <c r="R375" t="str">
        <f>IF('1. Live'!R375='check-Jul25'!R375,"",'1. Live'!R375-'check-Jul25'!R375)</f>
        <v/>
      </c>
      <c r="S375" t="str">
        <f>IF('1. Live'!S375='check-Jul25'!S375,"",'1. Live'!S375-'check-Jul25'!S375)</f>
        <v/>
      </c>
      <c r="T375" t="str">
        <f>IF('1. Live'!T375='check-Jul25'!T375,"",'1. Live'!T375-'check-Jul25'!T375)</f>
        <v/>
      </c>
      <c r="U375" t="str">
        <f>IF('1. Live'!U375='check-Jul25'!U375,"",'1. Live'!U375-'check-Jul25'!U375)</f>
        <v/>
      </c>
      <c r="V375" t="str">
        <f>IF('1. Live'!V375='check-Jul25'!V375,"",'1. Live'!V375-'check-Jul25'!V375)</f>
        <v/>
      </c>
      <c r="W375" t="str">
        <f>IF('1. Live'!W375='check-Jul25'!W375,"",'1. Live'!W375-'check-Jul25'!W375)</f>
        <v/>
      </c>
      <c r="X375" t="str">
        <f>IF('1. Live'!X375='check-Jul25'!X375,"",'1. Live'!X375-'check-Jul25'!X375)</f>
        <v/>
      </c>
      <c r="Y375" t="str">
        <f>IF('1. Live'!Y375='check-Jul25'!Y375,"",'1. Live'!Y375-'check-Jul25'!Y375)</f>
        <v/>
      </c>
      <c r="Z375" t="str">
        <f>IF('1. Live'!Z375='check-Jul25'!Z375,"",'1. Live'!Z375-'check-Jul25'!Z375)</f>
        <v/>
      </c>
      <c r="AA375" t="str">
        <f>IF('1. Live'!AA375='check-Jul25'!AA375,"",'1. Live'!AA375-'check-Jul25'!AA375)</f>
        <v/>
      </c>
      <c r="AB375" t="str">
        <f>IF('1. Live'!AB375='check-Jul25'!AB375,"",'1. Live'!AB375-'check-Jul25'!AB375)</f>
        <v/>
      </c>
      <c r="AC375" t="str">
        <f>IF('1. Live'!AC375='check-Jul25'!AC375,"",'1. Live'!AC375-'check-Jul25'!AC375)</f>
        <v/>
      </c>
      <c r="AD375" t="str">
        <f>IF('1. Live'!AD375='check-Jul25'!AD375,"",'1. Live'!AD375-'check-Jul25'!AD375)</f>
        <v/>
      </c>
      <c r="AE375" t="str">
        <f>IF('1. Live'!AE375='check-Jul25'!AE375,"",'1. Live'!AE375-'check-Jul25'!AE375)</f>
        <v/>
      </c>
      <c r="AF375" t="str">
        <f>IF('1. Live'!AF375='check-Jul25'!AF375,"",'1. Live'!AF375-'check-Jul25'!AF375)</f>
        <v/>
      </c>
      <c r="AG375" t="str">
        <f>IF('1. Live'!AG375='check-Jul25'!AG375,"",'1. Live'!AG375-'check-Jul25'!AG375)</f>
        <v/>
      </c>
      <c r="AH375" t="str">
        <f>IF('1. Live'!AH375='check-Jul25'!AH375,"",'1. Live'!AH375-'check-Jul25'!AH375)</f>
        <v/>
      </c>
      <c r="AI375" t="str">
        <f>IF('1. Live'!AI375='check-Jul25'!AI375,"",'1. Live'!AI375-'check-Jul25'!AI375)</f>
        <v/>
      </c>
      <c r="AJ375" t="str">
        <f>IF('1. Live'!AJ375='check-Jul25'!AJ375,"",'1. Live'!AJ375-'check-Jul25'!AJ375)</f>
        <v/>
      </c>
      <c r="AK375" t="str">
        <f>IF('1. Live'!AK375='check-Jul25'!AK375,"",'1. Live'!AK375-'check-Jul25'!AK375)</f>
        <v/>
      </c>
      <c r="AL375" t="str">
        <f>IF('1. Live'!AL375='check-Jul25'!AL375,"",'1. Live'!AL375-'check-Jul25'!AL375)</f>
        <v/>
      </c>
      <c r="AM375" t="str">
        <f>IF('1. Live'!AM375='check-Jul25'!AM375,"",'1. Live'!AM375-'check-Jul25'!AM375)</f>
        <v/>
      </c>
      <c r="AN375" t="str">
        <f>IF('1. Live'!AN375='check-Jul25'!AN375,"",'1. Live'!AN375-'check-Jul25'!AN375)</f>
        <v/>
      </c>
      <c r="AO375" t="str">
        <f>IF('1. Live'!AO375='check-Jul25'!AO375,"",'1. Live'!AO375-'check-Jul25'!AO375)</f>
        <v/>
      </c>
      <c r="AP375" t="str">
        <f>IF('1. Live'!AP375='check-Jul25'!AP375,"",'1. Live'!AP375-'check-Jul25'!AP375)</f>
        <v/>
      </c>
      <c r="AQ375" t="str">
        <f>IF('1. Live'!AQ375='check-Jul25'!AQ375,"",'1. Live'!AQ375-'check-Jul25'!AQ375)</f>
        <v/>
      </c>
      <c r="AR375" t="str">
        <f>IF('1. Live'!AR375='check-Jul25'!AR375,"",'1. Live'!AR375-'check-Jul25'!AR375)</f>
        <v/>
      </c>
      <c r="AS375" t="str">
        <f>IF('1. Live'!AS375='check-Jul25'!AS375,"",'1. Live'!AS375-'check-Jul25'!AS375)</f>
        <v/>
      </c>
      <c r="AT375" t="str">
        <f>IF('1. Live'!AT375='check-Jul25'!AT375,"",'1. Live'!AT375-'check-Jul25'!AT375)</f>
        <v/>
      </c>
      <c r="AU375" t="str">
        <f>IF('1. Live'!AU375='check-Jul25'!AU375,"",'1. Live'!AU375-'check-Jul25'!AU375)</f>
        <v/>
      </c>
      <c r="AV375" t="str">
        <f>IF('1. Live'!AV375='check-Jul25'!AV375,"",'1. Live'!AV375-'check-Jul25'!AV375)</f>
        <v/>
      </c>
      <c r="AW375" t="str">
        <f>IF('1. Live'!AW375='check-Jul25'!AW375,"",'1. Live'!AW375-'check-Jul25'!AW375)</f>
        <v/>
      </c>
      <c r="AX375" t="str">
        <f>IF('1. Live'!AX375='check-Jul25'!AX375,"",'1. Live'!AX375-'check-Jul25'!AX375)</f>
        <v/>
      </c>
      <c r="AY375" t="str">
        <f>IF('1. Live'!AY375='check-Jul25'!AY375,"",'1. Live'!AY375-'check-Jul25'!AY375)</f>
        <v/>
      </c>
      <c r="AZ375" t="str">
        <f>IF('1. Live'!AZ375='check-Jul25'!AZ375,"",'1. Live'!AZ375-'check-Jul25'!AZ375)</f>
        <v/>
      </c>
      <c r="BA375" t="str">
        <f>IF('1. Live'!BA375='check-Jul25'!BA375,"",'1. Live'!BA375-'check-Jul25'!BA375)</f>
        <v/>
      </c>
      <c r="BB375" t="str">
        <f>IF('1. Live'!BB375='check-Jul25'!BB375,"",'1. Live'!BB375-'check-Jul25'!BB375)</f>
        <v/>
      </c>
      <c r="BC375" t="str">
        <f>IF('1. Live'!BC375='check-Jul25'!BC375,"",'1. Live'!BC375-'check-Jul25'!BC375)</f>
        <v/>
      </c>
      <c r="BD375" t="str">
        <f>IF('1. Live'!BD375='check-Jul25'!BD375,"",'1. Live'!BD375-'check-Jul25'!BD375)</f>
        <v/>
      </c>
      <c r="BE375" t="str">
        <f>IF('1. Live'!BE375='check-Jul25'!BE375,"",'1. Live'!BE375-'check-Jul25'!BE375)</f>
        <v/>
      </c>
      <c r="BF375" t="str">
        <f>IF('1. Live'!BF375='check-Jul25'!BF375,"",'1. Live'!BF375-'check-Jul25'!BF375)</f>
        <v/>
      </c>
      <c r="BG375" t="str">
        <f>IF('1. Live'!BG375='check-Jul25'!BG375,"",'1. Live'!BG375-'check-Jul25'!BG375)</f>
        <v/>
      </c>
      <c r="BH375" t="str">
        <f>IF('1. Live'!BH375='check-Jul25'!BH375,"",'1. Live'!BH375-'check-Jul25'!BH375)</f>
        <v/>
      </c>
      <c r="BI375" t="str">
        <f>IF('1. Live'!BI375='check-Jul25'!BI375,"",'1. Live'!BI375-'check-Jul25'!BI375)</f>
        <v/>
      </c>
      <c r="BJ375" t="str">
        <f>IF('1. Live'!BJ375='check-Jul25'!BJ375,"",'1. Live'!BJ375-'check-Jul25'!BJ375)</f>
        <v/>
      </c>
      <c r="BK375" t="str">
        <f>IF('1. Live'!BK375='check-Jul25'!BK375,"",'1. Live'!BK375-'check-Jul25'!BK375)</f>
        <v/>
      </c>
      <c r="BL375" t="str">
        <f>IF('1. Live'!BL375='check-Jul25'!BL375,"",'1. Live'!BL375-'check-Jul25'!BL375)</f>
        <v/>
      </c>
      <c r="BM375" t="str">
        <f>IF('1. Live'!BM375='check-Jul25'!BM375,"",'1. Live'!BM375-'check-Jul25'!BM375)</f>
        <v/>
      </c>
      <c r="BN375" t="str">
        <f>IF('1. Live'!BN375='check-Jul25'!BN375,"",'1. Live'!BN375-'check-Jul25'!BN375)</f>
        <v/>
      </c>
      <c r="BO375" t="str">
        <f>IF('1. Live'!BO375='check-Jul25'!BO375,"",'1. Live'!BO375-'check-Jul25'!BO375)</f>
        <v/>
      </c>
      <c r="BP375" t="str">
        <f>IF('1. Live'!BP375='check-Jul25'!BP375,"",'1. Live'!BP375-'check-Jul25'!BP375)</f>
        <v/>
      </c>
      <c r="BQ375" t="str">
        <f>IF('1. Live'!BQ375='check-Jul25'!BQ375,"",'1. Live'!BQ375-'check-Jul25'!BQ375)</f>
        <v/>
      </c>
      <c r="BR375" t="str">
        <f>IF('1. Live'!BR375='check-Jul25'!BR375,"",'1. Live'!BR375-'check-Jul25'!BR375)</f>
        <v/>
      </c>
      <c r="BS375" t="str">
        <f>IF('1. Live'!BS375='check-Jul25'!BS375,"",'1. Live'!BS375-'check-Jul25'!BS375)</f>
        <v/>
      </c>
      <c r="BT375" t="str">
        <f>IF('1. Live'!BT375='check-Jul25'!BT375,"",'1. Live'!BT375-'check-Jul25'!BT375)</f>
        <v/>
      </c>
      <c r="BU375" t="str">
        <f>IF('1. Live'!BU375='check-Jul25'!BU375,"",'1. Live'!BU375-'check-Jul25'!BU375)</f>
        <v/>
      </c>
      <c r="BV375" t="str">
        <f>IF('1. Live'!BV375='check-Jul25'!BV375,"",'1. Live'!BV375-'check-Jul25'!BV375)</f>
        <v/>
      </c>
      <c r="BW375" t="str">
        <f>IF('1. Live'!BW375='check-Jul25'!BW375,"",'1. Live'!BW375-'check-Jul25'!BW375)</f>
        <v/>
      </c>
      <c r="BX375" t="str">
        <f>IF('1. Live'!BX375='check-Jul25'!BX375,"",'1. Live'!BX375-'check-Jul25'!BX375)</f>
        <v/>
      </c>
      <c r="BY375" t="str">
        <f>IF('1. Live'!BY375='check-Jul25'!BY375,"",'1. Live'!BY375-'check-Jul25'!BY375)</f>
        <v/>
      </c>
      <c r="BZ375" t="str">
        <f>IF('1. Live'!BZ375='check-Jul25'!BZ375,"",'1. Live'!BZ375-'check-Jul25'!BZ375)</f>
        <v/>
      </c>
      <c r="CA375" t="str">
        <f>IF('1. Live'!CA375='check-Jul25'!CA375,"",'1. Live'!CA375-'check-Jul25'!CA375)</f>
        <v/>
      </c>
      <c r="CB375" t="str">
        <f>IF('1. Live'!CB375='check-Jul25'!CB375,"",'1. Live'!CB375-'check-Jul25'!CB375)</f>
        <v/>
      </c>
      <c r="CC375" t="str">
        <f>IF('1. Live'!CC375='check-Jul25'!CC375,"",'1. Live'!CC375-'check-Jul25'!CC375)</f>
        <v/>
      </c>
      <c r="CD375" t="str">
        <f>IF('1. Live'!CD375='check-Jul25'!CD375,"",'1. Live'!CD375-'check-Jul25'!CD375)</f>
        <v/>
      </c>
      <c r="CE375" t="str">
        <f>IF('1. Live'!CE375='check-Jul25'!CE375,"",'1. Live'!CE375-'check-Jul25'!CE375)</f>
        <v/>
      </c>
      <c r="CF375" t="str">
        <f>IF('1. Live'!CF375='check-Jul25'!CF375,"",'1. Live'!CF375-'check-Jul25'!CF375)</f>
        <v/>
      </c>
      <c r="CG375" t="str">
        <f>IF('1. Live'!CG375='check-Jul25'!CG375,"",'1. Live'!CG375-'check-Jul25'!CG375)</f>
        <v/>
      </c>
      <c r="CH375" t="str">
        <f>IF('1. Live'!CH375='check-Jul25'!CH375,"",'1. Live'!CH375-'check-Jul25'!CH375)</f>
        <v/>
      </c>
      <c r="CI375" t="str">
        <f>IF('1. Live'!CI375='check-Jul25'!CI375,"",'1. Live'!CI375-'check-Jul25'!CI375)</f>
        <v/>
      </c>
      <c r="CJ375" t="str">
        <f>IF('1. Live'!CJ375='check-Jul25'!CJ375,"",'1. Live'!CJ375-'check-Jul25'!CJ375)</f>
        <v/>
      </c>
      <c r="CK375" t="str">
        <f>IF('1. Live'!CK375='check-Jul25'!CK375,"",'1. Live'!CK375-'check-Jul25'!CK375)</f>
        <v/>
      </c>
      <c r="CL375" t="str">
        <f>IF('1. Live'!CL375='check-Jul25'!CL375,"",'1. Live'!CL375-'check-Jul25'!CL375)</f>
        <v/>
      </c>
      <c r="CM375" t="str">
        <f>IF('1. Live'!CM375='check-Jul25'!CM375,"",'1. Live'!CM375-'check-Jul25'!CM375)</f>
        <v/>
      </c>
      <c r="CN375" t="str">
        <f>IF('1. Live'!CN375='check-Jul25'!CN375,"",'1. Live'!CN375-'check-Jul25'!CN375)</f>
        <v/>
      </c>
      <c r="CO375" t="str">
        <f>IF('1. Live'!CO375='check-Jul25'!CO375,"",'1. Live'!CO375-'check-Jul25'!CO375)</f>
        <v/>
      </c>
      <c r="CP375" t="str">
        <f>IF('1. Live'!CP375='check-Jul25'!CP375,"",'1. Live'!CP375-'check-Jul25'!CP375)</f>
        <v/>
      </c>
      <c r="CQ375" t="str">
        <f>IF('1. Live'!CQ375='check-Jul25'!CQ375,"",'1. Live'!CQ375-'check-Jul25'!CQ375)</f>
        <v/>
      </c>
      <c r="CR375" t="str">
        <f>IF('1. Live'!CR375='check-Jul25'!CR375,"",'1. Live'!CR375-'check-Jul25'!CR375)</f>
        <v/>
      </c>
      <c r="CS375" t="str">
        <f>IF('1. Live'!CS375='check-Jul25'!CS375,"",'1. Live'!CS375-'check-Jul25'!CS375)</f>
        <v/>
      </c>
      <c r="CT375" t="str">
        <f>IF('1. Live'!CT375='check-Jul25'!CT375,"",'1. Live'!CT375-'check-Jul25'!CT375)</f>
        <v/>
      </c>
      <c r="CU375" t="str">
        <f>IF('1. Live'!CU375='check-Jul25'!CU375,"",'1. Live'!CU375-'check-Jul25'!CU375)</f>
        <v/>
      </c>
      <c r="CV375" t="str">
        <f>IF('1. Live'!CV375='check-Jul25'!CV375,"",'1. Live'!CV375-'check-Jul25'!CV375)</f>
        <v/>
      </c>
      <c r="CW375" t="str">
        <f>IF('1. Live'!CW375='check-Jul25'!CW375,"",'1. Live'!CW375-'check-Jul25'!CW375)</f>
        <v/>
      </c>
    </row>
    <row r="376" spans="10:101">
      <c r="J376" t="str">
        <f>IF('1. Live'!J376='check-Jul25'!J376,"",'1. Live'!J376-'check-Jul25'!J376)</f>
        <v/>
      </c>
      <c r="K376" t="str">
        <f>IF('1. Live'!K376='check-Jul25'!K376,"",'1. Live'!K376-'check-Jul25'!K376)</f>
        <v/>
      </c>
      <c r="L376" t="str">
        <f>IF('1. Live'!L376='check-Jul25'!L376,"",'1. Live'!L376-'check-Jul25'!L376)</f>
        <v/>
      </c>
      <c r="M376" t="str">
        <f>IF('1. Live'!M376='check-Jul25'!M376,"",'1. Live'!M376-'check-Jul25'!M376)</f>
        <v/>
      </c>
      <c r="N376" t="str">
        <f>IF('1. Live'!N376='check-Jul25'!N376,"",'1. Live'!N376-'check-Jul25'!N376)</f>
        <v/>
      </c>
      <c r="O376" t="str">
        <f>IF('1. Live'!O376='check-Jul25'!O376,"",'1. Live'!O376-'check-Jul25'!O376)</f>
        <v/>
      </c>
      <c r="P376" t="str">
        <f>IF('1. Live'!P376='check-Jul25'!P376,"",'1. Live'!P376-'check-Jul25'!P376)</f>
        <v/>
      </c>
      <c r="Q376" t="str">
        <f>IF('1. Live'!Q376='check-Jul25'!Q376,"",'1. Live'!Q376-'check-Jul25'!Q376)</f>
        <v/>
      </c>
      <c r="R376" t="str">
        <f>IF('1. Live'!R376='check-Jul25'!R376,"",'1. Live'!R376-'check-Jul25'!R376)</f>
        <v/>
      </c>
      <c r="S376" t="str">
        <f>IF('1. Live'!S376='check-Jul25'!S376,"",'1. Live'!S376-'check-Jul25'!S376)</f>
        <v/>
      </c>
      <c r="T376" t="str">
        <f>IF('1. Live'!T376='check-Jul25'!T376,"",'1. Live'!T376-'check-Jul25'!T376)</f>
        <v/>
      </c>
      <c r="U376" t="str">
        <f>IF('1. Live'!U376='check-Jul25'!U376,"",'1. Live'!U376-'check-Jul25'!U376)</f>
        <v/>
      </c>
      <c r="V376" t="str">
        <f>IF('1. Live'!V376='check-Jul25'!V376,"",'1. Live'!V376-'check-Jul25'!V376)</f>
        <v/>
      </c>
      <c r="W376" t="str">
        <f>IF('1. Live'!W376='check-Jul25'!W376,"",'1. Live'!W376-'check-Jul25'!W376)</f>
        <v/>
      </c>
      <c r="X376" t="str">
        <f>IF('1. Live'!X376='check-Jul25'!X376,"",'1. Live'!X376-'check-Jul25'!X376)</f>
        <v/>
      </c>
      <c r="Y376" t="str">
        <f>IF('1. Live'!Y376='check-Jul25'!Y376,"",'1. Live'!Y376-'check-Jul25'!Y376)</f>
        <v/>
      </c>
      <c r="Z376" t="str">
        <f>IF('1. Live'!Z376='check-Jul25'!Z376,"",'1. Live'!Z376-'check-Jul25'!Z376)</f>
        <v/>
      </c>
      <c r="AA376" t="str">
        <f>IF('1. Live'!AA376='check-Jul25'!AA376,"",'1. Live'!AA376-'check-Jul25'!AA376)</f>
        <v/>
      </c>
      <c r="AB376" t="str">
        <f>IF('1. Live'!AB376='check-Jul25'!AB376,"",'1. Live'!AB376-'check-Jul25'!AB376)</f>
        <v/>
      </c>
      <c r="AC376" t="str">
        <f>IF('1. Live'!AC376='check-Jul25'!AC376,"",'1. Live'!AC376-'check-Jul25'!AC376)</f>
        <v/>
      </c>
      <c r="AD376" t="str">
        <f>IF('1. Live'!AD376='check-Jul25'!AD376,"",'1. Live'!AD376-'check-Jul25'!AD376)</f>
        <v/>
      </c>
      <c r="AE376" t="str">
        <f>IF('1. Live'!AE376='check-Jul25'!AE376,"",'1. Live'!AE376-'check-Jul25'!AE376)</f>
        <v/>
      </c>
      <c r="AF376" t="str">
        <f>IF('1. Live'!AF376='check-Jul25'!AF376,"",'1. Live'!AF376-'check-Jul25'!AF376)</f>
        <v/>
      </c>
      <c r="AG376" t="str">
        <f>IF('1. Live'!AG376='check-Jul25'!AG376,"",'1. Live'!AG376-'check-Jul25'!AG376)</f>
        <v/>
      </c>
      <c r="AH376" t="str">
        <f>IF('1. Live'!AH376='check-Jul25'!AH376,"",'1. Live'!AH376-'check-Jul25'!AH376)</f>
        <v/>
      </c>
      <c r="AI376" t="str">
        <f>IF('1. Live'!AI376='check-Jul25'!AI376,"",'1. Live'!AI376-'check-Jul25'!AI376)</f>
        <v/>
      </c>
      <c r="AJ376" t="str">
        <f>IF('1. Live'!AJ376='check-Jul25'!AJ376,"",'1. Live'!AJ376-'check-Jul25'!AJ376)</f>
        <v/>
      </c>
      <c r="AK376" t="str">
        <f>IF('1. Live'!AK376='check-Jul25'!AK376,"",'1. Live'!AK376-'check-Jul25'!AK376)</f>
        <v/>
      </c>
      <c r="AL376" t="str">
        <f>IF('1. Live'!AL376='check-Jul25'!AL376,"",'1. Live'!AL376-'check-Jul25'!AL376)</f>
        <v/>
      </c>
      <c r="AM376" t="str">
        <f>IF('1. Live'!AM376='check-Jul25'!AM376,"",'1. Live'!AM376-'check-Jul25'!AM376)</f>
        <v/>
      </c>
      <c r="AN376" t="str">
        <f>IF('1. Live'!AN376='check-Jul25'!AN376,"",'1. Live'!AN376-'check-Jul25'!AN376)</f>
        <v/>
      </c>
      <c r="AO376" t="str">
        <f>IF('1. Live'!AO376='check-Jul25'!AO376,"",'1. Live'!AO376-'check-Jul25'!AO376)</f>
        <v/>
      </c>
      <c r="AP376" t="str">
        <f>IF('1. Live'!AP376='check-Jul25'!AP376,"",'1. Live'!AP376-'check-Jul25'!AP376)</f>
        <v/>
      </c>
      <c r="AQ376" t="str">
        <f>IF('1. Live'!AQ376='check-Jul25'!AQ376,"",'1. Live'!AQ376-'check-Jul25'!AQ376)</f>
        <v/>
      </c>
      <c r="AR376" t="str">
        <f>IF('1. Live'!AR376='check-Jul25'!AR376,"",'1. Live'!AR376-'check-Jul25'!AR376)</f>
        <v/>
      </c>
      <c r="AS376" t="str">
        <f>IF('1. Live'!AS376='check-Jul25'!AS376,"",'1. Live'!AS376-'check-Jul25'!AS376)</f>
        <v/>
      </c>
      <c r="AT376" t="str">
        <f>IF('1. Live'!AT376='check-Jul25'!AT376,"",'1. Live'!AT376-'check-Jul25'!AT376)</f>
        <v/>
      </c>
      <c r="AU376" t="str">
        <f>IF('1. Live'!AU376='check-Jul25'!AU376,"",'1. Live'!AU376-'check-Jul25'!AU376)</f>
        <v/>
      </c>
      <c r="AV376" t="str">
        <f>IF('1. Live'!AV376='check-Jul25'!AV376,"",'1. Live'!AV376-'check-Jul25'!AV376)</f>
        <v/>
      </c>
      <c r="AW376" t="str">
        <f>IF('1. Live'!AW376='check-Jul25'!AW376,"",'1. Live'!AW376-'check-Jul25'!AW376)</f>
        <v/>
      </c>
      <c r="AX376" t="str">
        <f>IF('1. Live'!AX376='check-Jul25'!AX376,"",'1. Live'!AX376-'check-Jul25'!AX376)</f>
        <v/>
      </c>
      <c r="AY376" t="str">
        <f>IF('1. Live'!AY376='check-Jul25'!AY376,"",'1. Live'!AY376-'check-Jul25'!AY376)</f>
        <v/>
      </c>
      <c r="AZ376" t="str">
        <f>IF('1. Live'!AZ376='check-Jul25'!AZ376,"",'1. Live'!AZ376-'check-Jul25'!AZ376)</f>
        <v/>
      </c>
      <c r="BA376" t="str">
        <f>IF('1. Live'!BA376='check-Jul25'!BA376,"",'1. Live'!BA376-'check-Jul25'!BA376)</f>
        <v/>
      </c>
      <c r="BB376" t="str">
        <f>IF('1. Live'!BB376='check-Jul25'!BB376,"",'1. Live'!BB376-'check-Jul25'!BB376)</f>
        <v/>
      </c>
      <c r="BC376" t="str">
        <f>IF('1. Live'!BC376='check-Jul25'!BC376,"",'1. Live'!BC376-'check-Jul25'!BC376)</f>
        <v/>
      </c>
      <c r="BD376" t="str">
        <f>IF('1. Live'!BD376='check-Jul25'!BD376,"",'1. Live'!BD376-'check-Jul25'!BD376)</f>
        <v/>
      </c>
      <c r="BE376" t="str">
        <f>IF('1. Live'!BE376='check-Jul25'!BE376,"",'1. Live'!BE376-'check-Jul25'!BE376)</f>
        <v/>
      </c>
      <c r="BF376" t="str">
        <f>IF('1. Live'!BF376='check-Jul25'!BF376,"",'1. Live'!BF376-'check-Jul25'!BF376)</f>
        <v/>
      </c>
      <c r="BG376" t="str">
        <f>IF('1. Live'!BG376='check-Jul25'!BG376,"",'1. Live'!BG376-'check-Jul25'!BG376)</f>
        <v/>
      </c>
      <c r="BH376" t="str">
        <f>IF('1. Live'!BH376='check-Jul25'!BH376,"",'1. Live'!BH376-'check-Jul25'!BH376)</f>
        <v/>
      </c>
      <c r="BI376" t="str">
        <f>IF('1. Live'!BI376='check-Jul25'!BI376,"",'1. Live'!BI376-'check-Jul25'!BI376)</f>
        <v/>
      </c>
      <c r="BJ376" t="str">
        <f>IF('1. Live'!BJ376='check-Jul25'!BJ376,"",'1. Live'!BJ376-'check-Jul25'!BJ376)</f>
        <v/>
      </c>
      <c r="BK376" t="str">
        <f>IF('1. Live'!BK376='check-Jul25'!BK376,"",'1. Live'!BK376-'check-Jul25'!BK376)</f>
        <v/>
      </c>
      <c r="BL376" t="str">
        <f>IF('1. Live'!BL376='check-Jul25'!BL376,"",'1. Live'!BL376-'check-Jul25'!BL376)</f>
        <v/>
      </c>
      <c r="BM376" t="str">
        <f>IF('1. Live'!BM376='check-Jul25'!BM376,"",'1. Live'!BM376-'check-Jul25'!BM376)</f>
        <v/>
      </c>
      <c r="BN376" t="str">
        <f>IF('1. Live'!BN376='check-Jul25'!BN376,"",'1. Live'!BN376-'check-Jul25'!BN376)</f>
        <v/>
      </c>
      <c r="BO376" t="str">
        <f>IF('1. Live'!BO376='check-Jul25'!BO376,"",'1. Live'!BO376-'check-Jul25'!BO376)</f>
        <v/>
      </c>
      <c r="BP376" t="str">
        <f>IF('1. Live'!BP376='check-Jul25'!BP376,"",'1. Live'!BP376-'check-Jul25'!BP376)</f>
        <v/>
      </c>
      <c r="BQ376" t="str">
        <f>IF('1. Live'!BQ376='check-Jul25'!BQ376,"",'1. Live'!BQ376-'check-Jul25'!BQ376)</f>
        <v/>
      </c>
      <c r="BR376" t="str">
        <f>IF('1. Live'!BR376='check-Jul25'!BR376,"",'1. Live'!BR376-'check-Jul25'!BR376)</f>
        <v/>
      </c>
      <c r="BS376" t="str">
        <f>IF('1. Live'!BS376='check-Jul25'!BS376,"",'1. Live'!BS376-'check-Jul25'!BS376)</f>
        <v/>
      </c>
      <c r="BT376" t="str">
        <f>IF('1. Live'!BT376='check-Jul25'!BT376,"",'1. Live'!BT376-'check-Jul25'!BT376)</f>
        <v/>
      </c>
      <c r="BU376" t="str">
        <f>IF('1. Live'!BU376='check-Jul25'!BU376,"",'1. Live'!BU376-'check-Jul25'!BU376)</f>
        <v/>
      </c>
      <c r="BV376" t="str">
        <f>IF('1. Live'!BV376='check-Jul25'!BV376,"",'1. Live'!BV376-'check-Jul25'!BV376)</f>
        <v/>
      </c>
      <c r="BW376" t="str">
        <f>IF('1. Live'!BW376='check-Jul25'!BW376,"",'1. Live'!BW376-'check-Jul25'!BW376)</f>
        <v/>
      </c>
      <c r="BX376" t="str">
        <f>IF('1. Live'!BX376='check-Jul25'!BX376,"",'1. Live'!BX376-'check-Jul25'!BX376)</f>
        <v/>
      </c>
      <c r="BY376" t="str">
        <f>IF('1. Live'!BY376='check-Jul25'!BY376,"",'1. Live'!BY376-'check-Jul25'!BY376)</f>
        <v/>
      </c>
      <c r="BZ376" t="str">
        <f>IF('1. Live'!BZ376='check-Jul25'!BZ376,"",'1. Live'!BZ376-'check-Jul25'!BZ376)</f>
        <v/>
      </c>
      <c r="CA376" t="str">
        <f>IF('1. Live'!CA376='check-Jul25'!CA376,"",'1. Live'!CA376-'check-Jul25'!CA376)</f>
        <v/>
      </c>
      <c r="CB376" t="str">
        <f>IF('1. Live'!CB376='check-Jul25'!CB376,"",'1. Live'!CB376-'check-Jul25'!CB376)</f>
        <v/>
      </c>
      <c r="CC376" t="str">
        <f>IF('1. Live'!CC376='check-Jul25'!CC376,"",'1. Live'!CC376-'check-Jul25'!CC376)</f>
        <v/>
      </c>
      <c r="CD376" t="str">
        <f>IF('1. Live'!CD376='check-Jul25'!CD376,"",'1. Live'!CD376-'check-Jul25'!CD376)</f>
        <v/>
      </c>
      <c r="CE376" t="str">
        <f>IF('1. Live'!CE376='check-Jul25'!CE376,"",'1. Live'!CE376-'check-Jul25'!CE376)</f>
        <v/>
      </c>
      <c r="CF376" t="str">
        <f>IF('1. Live'!CF376='check-Jul25'!CF376,"",'1. Live'!CF376-'check-Jul25'!CF376)</f>
        <v/>
      </c>
      <c r="CG376" t="str">
        <f>IF('1. Live'!CG376='check-Jul25'!CG376,"",'1. Live'!CG376-'check-Jul25'!CG376)</f>
        <v/>
      </c>
      <c r="CH376" t="str">
        <f>IF('1. Live'!CH376='check-Jul25'!CH376,"",'1. Live'!CH376-'check-Jul25'!CH376)</f>
        <v/>
      </c>
      <c r="CI376" t="str">
        <f>IF('1. Live'!CI376='check-Jul25'!CI376,"",'1. Live'!CI376-'check-Jul25'!CI376)</f>
        <v/>
      </c>
      <c r="CJ376" t="str">
        <f>IF('1. Live'!CJ376='check-Jul25'!CJ376,"",'1. Live'!CJ376-'check-Jul25'!CJ376)</f>
        <v/>
      </c>
      <c r="CK376" t="str">
        <f>IF('1. Live'!CK376='check-Jul25'!CK376,"",'1. Live'!CK376-'check-Jul25'!CK376)</f>
        <v/>
      </c>
      <c r="CL376" t="str">
        <f>IF('1. Live'!CL376='check-Jul25'!CL376,"",'1. Live'!CL376-'check-Jul25'!CL376)</f>
        <v/>
      </c>
      <c r="CM376" t="str">
        <f>IF('1. Live'!CM376='check-Jul25'!CM376,"",'1. Live'!CM376-'check-Jul25'!CM376)</f>
        <v/>
      </c>
      <c r="CN376" t="str">
        <f>IF('1. Live'!CN376='check-Jul25'!CN376,"",'1. Live'!CN376-'check-Jul25'!CN376)</f>
        <v/>
      </c>
      <c r="CO376" t="str">
        <f>IF('1. Live'!CO376='check-Jul25'!CO376,"",'1. Live'!CO376-'check-Jul25'!CO376)</f>
        <v/>
      </c>
      <c r="CP376" t="str">
        <f>IF('1. Live'!CP376='check-Jul25'!CP376,"",'1. Live'!CP376-'check-Jul25'!CP376)</f>
        <v/>
      </c>
      <c r="CQ376" t="str">
        <f>IF('1. Live'!CQ376='check-Jul25'!CQ376,"",'1. Live'!CQ376-'check-Jul25'!CQ376)</f>
        <v/>
      </c>
      <c r="CR376" t="str">
        <f>IF('1. Live'!CR376='check-Jul25'!CR376,"",'1. Live'!CR376-'check-Jul25'!CR376)</f>
        <v/>
      </c>
      <c r="CS376" t="str">
        <f>IF('1. Live'!CS376='check-Jul25'!CS376,"",'1. Live'!CS376-'check-Jul25'!CS376)</f>
        <v/>
      </c>
      <c r="CT376" t="str">
        <f>IF('1. Live'!CT376='check-Jul25'!CT376,"",'1. Live'!CT376-'check-Jul25'!CT376)</f>
        <v/>
      </c>
      <c r="CU376" t="str">
        <f>IF('1. Live'!CU376='check-Jul25'!CU376,"",'1. Live'!CU376-'check-Jul25'!CU376)</f>
        <v/>
      </c>
      <c r="CV376" t="str">
        <f>IF('1. Live'!CV376='check-Jul25'!CV376,"",'1. Live'!CV376-'check-Jul25'!CV376)</f>
        <v/>
      </c>
      <c r="CW376" t="str">
        <f>IF('1. Live'!CW376='check-Jul25'!CW376,"",'1. Live'!CW376-'check-Jul25'!CW376)</f>
        <v/>
      </c>
    </row>
    <row r="377" spans="10:101">
      <c r="J377" t="str">
        <f>IF('1. Live'!J377='check-Jul25'!J377,"",'1. Live'!J377-'check-Jul25'!J377)</f>
        <v/>
      </c>
      <c r="K377" t="str">
        <f>IF('1. Live'!K377='check-Jul25'!K377,"",'1. Live'!K377-'check-Jul25'!K377)</f>
        <v/>
      </c>
      <c r="L377" t="str">
        <f>IF('1. Live'!L377='check-Jul25'!L377,"",'1. Live'!L377-'check-Jul25'!L377)</f>
        <v/>
      </c>
      <c r="M377" t="str">
        <f>IF('1. Live'!M377='check-Jul25'!M377,"",'1. Live'!M377-'check-Jul25'!M377)</f>
        <v/>
      </c>
      <c r="N377" t="str">
        <f>IF('1. Live'!N377='check-Jul25'!N377,"",'1. Live'!N377-'check-Jul25'!N377)</f>
        <v/>
      </c>
      <c r="O377" t="str">
        <f>IF('1. Live'!O377='check-Jul25'!O377,"",'1. Live'!O377-'check-Jul25'!O377)</f>
        <v/>
      </c>
      <c r="P377" t="str">
        <f>IF('1. Live'!P377='check-Jul25'!P377,"",'1. Live'!P377-'check-Jul25'!P377)</f>
        <v/>
      </c>
      <c r="Q377" t="str">
        <f>IF('1. Live'!Q377='check-Jul25'!Q377,"",'1. Live'!Q377-'check-Jul25'!Q377)</f>
        <v/>
      </c>
      <c r="R377" t="str">
        <f>IF('1. Live'!R377='check-Jul25'!R377,"",'1. Live'!R377-'check-Jul25'!R377)</f>
        <v/>
      </c>
      <c r="S377" t="str">
        <f>IF('1. Live'!S377='check-Jul25'!S377,"",'1. Live'!S377-'check-Jul25'!S377)</f>
        <v/>
      </c>
      <c r="T377" t="str">
        <f>IF('1. Live'!T377='check-Jul25'!T377,"",'1. Live'!T377-'check-Jul25'!T377)</f>
        <v/>
      </c>
      <c r="U377" t="str">
        <f>IF('1. Live'!U377='check-Jul25'!U377,"",'1. Live'!U377-'check-Jul25'!U377)</f>
        <v/>
      </c>
      <c r="V377" t="str">
        <f>IF('1. Live'!V377='check-Jul25'!V377,"",'1. Live'!V377-'check-Jul25'!V377)</f>
        <v/>
      </c>
      <c r="W377" t="str">
        <f>IF('1. Live'!W377='check-Jul25'!W377,"",'1. Live'!W377-'check-Jul25'!W377)</f>
        <v/>
      </c>
      <c r="X377" t="str">
        <f>IF('1. Live'!X377='check-Jul25'!X377,"",'1. Live'!X377-'check-Jul25'!X377)</f>
        <v/>
      </c>
      <c r="Y377" t="str">
        <f>IF('1. Live'!Y377='check-Jul25'!Y377,"",'1. Live'!Y377-'check-Jul25'!Y377)</f>
        <v/>
      </c>
      <c r="Z377" t="str">
        <f>IF('1. Live'!Z377='check-Jul25'!Z377,"",'1. Live'!Z377-'check-Jul25'!Z377)</f>
        <v/>
      </c>
      <c r="AA377" t="str">
        <f>IF('1. Live'!AA377='check-Jul25'!AA377,"",'1. Live'!AA377-'check-Jul25'!AA377)</f>
        <v/>
      </c>
      <c r="AB377" t="str">
        <f>IF('1. Live'!AB377='check-Jul25'!AB377,"",'1. Live'!AB377-'check-Jul25'!AB377)</f>
        <v/>
      </c>
      <c r="AC377" t="str">
        <f>IF('1. Live'!AC377='check-Jul25'!AC377,"",'1. Live'!AC377-'check-Jul25'!AC377)</f>
        <v/>
      </c>
      <c r="AD377" t="str">
        <f>IF('1. Live'!AD377='check-Jul25'!AD377,"",'1. Live'!AD377-'check-Jul25'!AD377)</f>
        <v/>
      </c>
      <c r="AE377" t="str">
        <f>IF('1. Live'!AE377='check-Jul25'!AE377,"",'1. Live'!AE377-'check-Jul25'!AE377)</f>
        <v/>
      </c>
      <c r="AF377" t="str">
        <f>IF('1. Live'!AF377='check-Jul25'!AF377,"",'1. Live'!AF377-'check-Jul25'!AF377)</f>
        <v/>
      </c>
      <c r="AG377" t="str">
        <f>IF('1. Live'!AG377='check-Jul25'!AG377,"",'1. Live'!AG377-'check-Jul25'!AG377)</f>
        <v/>
      </c>
      <c r="AH377" t="str">
        <f>IF('1. Live'!AH377='check-Jul25'!AH377,"",'1. Live'!AH377-'check-Jul25'!AH377)</f>
        <v/>
      </c>
      <c r="AI377" t="str">
        <f>IF('1. Live'!AI377='check-Jul25'!AI377,"",'1. Live'!AI377-'check-Jul25'!AI377)</f>
        <v/>
      </c>
      <c r="AJ377" t="str">
        <f>IF('1. Live'!AJ377='check-Jul25'!AJ377,"",'1. Live'!AJ377-'check-Jul25'!AJ377)</f>
        <v/>
      </c>
      <c r="AK377" t="str">
        <f>IF('1. Live'!AK377='check-Jul25'!AK377,"",'1. Live'!AK377-'check-Jul25'!AK377)</f>
        <v/>
      </c>
      <c r="AL377" t="str">
        <f>IF('1. Live'!AL377='check-Jul25'!AL377,"",'1. Live'!AL377-'check-Jul25'!AL377)</f>
        <v/>
      </c>
      <c r="AM377" t="str">
        <f>IF('1. Live'!AM377='check-Jul25'!AM377,"",'1. Live'!AM377-'check-Jul25'!AM377)</f>
        <v/>
      </c>
      <c r="AN377" t="str">
        <f>IF('1. Live'!AN377='check-Jul25'!AN377,"",'1. Live'!AN377-'check-Jul25'!AN377)</f>
        <v/>
      </c>
      <c r="AO377" t="str">
        <f>IF('1. Live'!AO377='check-Jul25'!AO377,"",'1. Live'!AO377-'check-Jul25'!AO377)</f>
        <v/>
      </c>
      <c r="AP377" t="str">
        <f>IF('1. Live'!AP377='check-Jul25'!AP377,"",'1. Live'!AP377-'check-Jul25'!AP377)</f>
        <v/>
      </c>
      <c r="AQ377" t="str">
        <f>IF('1. Live'!AQ377='check-Jul25'!AQ377,"",'1. Live'!AQ377-'check-Jul25'!AQ377)</f>
        <v/>
      </c>
      <c r="AR377" t="str">
        <f>IF('1. Live'!AR377='check-Jul25'!AR377,"",'1. Live'!AR377-'check-Jul25'!AR377)</f>
        <v/>
      </c>
      <c r="AS377" t="str">
        <f>IF('1. Live'!AS377='check-Jul25'!AS377,"",'1. Live'!AS377-'check-Jul25'!AS377)</f>
        <v/>
      </c>
      <c r="AT377" t="str">
        <f>IF('1. Live'!AT377='check-Jul25'!AT377,"",'1. Live'!AT377-'check-Jul25'!AT377)</f>
        <v/>
      </c>
      <c r="AU377" t="str">
        <f>IF('1. Live'!AU377='check-Jul25'!AU377,"",'1. Live'!AU377-'check-Jul25'!AU377)</f>
        <v/>
      </c>
      <c r="AV377" t="str">
        <f>IF('1. Live'!AV377='check-Jul25'!AV377,"",'1. Live'!AV377-'check-Jul25'!AV377)</f>
        <v/>
      </c>
      <c r="AW377" t="str">
        <f>IF('1. Live'!AW377='check-Jul25'!AW377,"",'1. Live'!AW377-'check-Jul25'!AW377)</f>
        <v/>
      </c>
      <c r="AX377" t="str">
        <f>IF('1. Live'!AX377='check-Jul25'!AX377,"",'1. Live'!AX377-'check-Jul25'!AX377)</f>
        <v/>
      </c>
      <c r="AY377" t="str">
        <f>IF('1. Live'!AY377='check-Jul25'!AY377,"",'1. Live'!AY377-'check-Jul25'!AY377)</f>
        <v/>
      </c>
      <c r="AZ377" t="str">
        <f>IF('1. Live'!AZ377='check-Jul25'!AZ377,"",'1. Live'!AZ377-'check-Jul25'!AZ377)</f>
        <v/>
      </c>
      <c r="BA377" t="str">
        <f>IF('1. Live'!BA377='check-Jul25'!BA377,"",'1. Live'!BA377-'check-Jul25'!BA377)</f>
        <v/>
      </c>
      <c r="BB377" t="str">
        <f>IF('1. Live'!BB377='check-Jul25'!BB377,"",'1. Live'!BB377-'check-Jul25'!BB377)</f>
        <v/>
      </c>
      <c r="BC377" t="str">
        <f>IF('1. Live'!BC377='check-Jul25'!BC377,"",'1. Live'!BC377-'check-Jul25'!BC377)</f>
        <v/>
      </c>
      <c r="BD377" t="str">
        <f>IF('1. Live'!BD377='check-Jul25'!BD377,"",'1. Live'!BD377-'check-Jul25'!BD377)</f>
        <v/>
      </c>
      <c r="BE377" t="str">
        <f>IF('1. Live'!BE377='check-Jul25'!BE377,"",'1. Live'!BE377-'check-Jul25'!BE377)</f>
        <v/>
      </c>
      <c r="BF377" t="str">
        <f>IF('1. Live'!BF377='check-Jul25'!BF377,"",'1. Live'!BF377-'check-Jul25'!BF377)</f>
        <v/>
      </c>
      <c r="BG377" t="str">
        <f>IF('1. Live'!BG377='check-Jul25'!BG377,"",'1. Live'!BG377-'check-Jul25'!BG377)</f>
        <v/>
      </c>
      <c r="BH377" t="str">
        <f>IF('1. Live'!BH377='check-Jul25'!BH377,"",'1. Live'!BH377-'check-Jul25'!BH377)</f>
        <v/>
      </c>
      <c r="BI377" t="str">
        <f>IF('1. Live'!BI377='check-Jul25'!BI377,"",'1. Live'!BI377-'check-Jul25'!BI377)</f>
        <v/>
      </c>
      <c r="BJ377" t="str">
        <f>IF('1. Live'!BJ377='check-Jul25'!BJ377,"",'1. Live'!BJ377-'check-Jul25'!BJ377)</f>
        <v/>
      </c>
      <c r="BK377" t="str">
        <f>IF('1. Live'!BK377='check-Jul25'!BK377,"",'1. Live'!BK377-'check-Jul25'!BK377)</f>
        <v/>
      </c>
      <c r="BL377" t="str">
        <f>IF('1. Live'!BL377='check-Jul25'!BL377,"",'1. Live'!BL377-'check-Jul25'!BL377)</f>
        <v/>
      </c>
      <c r="BM377" t="str">
        <f>IF('1. Live'!BM377='check-Jul25'!BM377,"",'1. Live'!BM377-'check-Jul25'!BM377)</f>
        <v/>
      </c>
      <c r="BN377" t="str">
        <f>IF('1. Live'!BN377='check-Jul25'!BN377,"",'1. Live'!BN377-'check-Jul25'!BN377)</f>
        <v/>
      </c>
      <c r="BO377" t="str">
        <f>IF('1. Live'!BO377='check-Jul25'!BO377,"",'1. Live'!BO377-'check-Jul25'!BO377)</f>
        <v/>
      </c>
      <c r="BP377" t="str">
        <f>IF('1. Live'!BP377='check-Jul25'!BP377,"",'1. Live'!BP377-'check-Jul25'!BP377)</f>
        <v/>
      </c>
      <c r="BQ377" t="str">
        <f>IF('1. Live'!BQ377='check-Jul25'!BQ377,"",'1. Live'!BQ377-'check-Jul25'!BQ377)</f>
        <v/>
      </c>
      <c r="BR377" t="str">
        <f>IF('1. Live'!BR377='check-Jul25'!BR377,"",'1. Live'!BR377-'check-Jul25'!BR377)</f>
        <v/>
      </c>
      <c r="BS377" t="str">
        <f>IF('1. Live'!BS377='check-Jul25'!BS377,"",'1. Live'!BS377-'check-Jul25'!BS377)</f>
        <v/>
      </c>
      <c r="BT377" t="str">
        <f>IF('1. Live'!BT377='check-Jul25'!BT377,"",'1. Live'!BT377-'check-Jul25'!BT377)</f>
        <v/>
      </c>
      <c r="BU377" t="str">
        <f>IF('1. Live'!BU377='check-Jul25'!BU377,"",'1. Live'!BU377-'check-Jul25'!BU377)</f>
        <v/>
      </c>
      <c r="BV377" t="str">
        <f>IF('1. Live'!BV377='check-Jul25'!BV377,"",'1. Live'!BV377-'check-Jul25'!BV377)</f>
        <v/>
      </c>
      <c r="BW377" t="str">
        <f>IF('1. Live'!BW377='check-Jul25'!BW377,"",'1. Live'!BW377-'check-Jul25'!BW377)</f>
        <v/>
      </c>
      <c r="BX377" t="str">
        <f>IF('1. Live'!BX377='check-Jul25'!BX377,"",'1. Live'!BX377-'check-Jul25'!BX377)</f>
        <v/>
      </c>
      <c r="BY377" t="str">
        <f>IF('1. Live'!BY377='check-Jul25'!BY377,"",'1. Live'!BY377-'check-Jul25'!BY377)</f>
        <v/>
      </c>
      <c r="BZ377" t="str">
        <f>IF('1. Live'!BZ377='check-Jul25'!BZ377,"",'1. Live'!BZ377-'check-Jul25'!BZ377)</f>
        <v/>
      </c>
      <c r="CA377" t="str">
        <f>IF('1. Live'!CA377='check-Jul25'!CA377,"",'1. Live'!CA377-'check-Jul25'!CA377)</f>
        <v/>
      </c>
      <c r="CB377" t="str">
        <f>IF('1. Live'!CB377='check-Jul25'!CB377,"",'1. Live'!CB377-'check-Jul25'!CB377)</f>
        <v/>
      </c>
      <c r="CC377" t="str">
        <f>IF('1. Live'!CC377='check-Jul25'!CC377,"",'1. Live'!CC377-'check-Jul25'!CC377)</f>
        <v/>
      </c>
      <c r="CD377" t="str">
        <f>IF('1. Live'!CD377='check-Jul25'!CD377,"",'1. Live'!CD377-'check-Jul25'!CD377)</f>
        <v/>
      </c>
      <c r="CE377" t="str">
        <f>IF('1. Live'!CE377='check-Jul25'!CE377,"",'1. Live'!CE377-'check-Jul25'!CE377)</f>
        <v/>
      </c>
      <c r="CF377" t="str">
        <f>IF('1. Live'!CF377='check-Jul25'!CF377,"",'1. Live'!CF377-'check-Jul25'!CF377)</f>
        <v/>
      </c>
      <c r="CG377" t="str">
        <f>IF('1. Live'!CG377='check-Jul25'!CG377,"",'1. Live'!CG377-'check-Jul25'!CG377)</f>
        <v/>
      </c>
      <c r="CH377" t="str">
        <f>IF('1. Live'!CH377='check-Jul25'!CH377,"",'1. Live'!CH377-'check-Jul25'!CH377)</f>
        <v/>
      </c>
      <c r="CI377" t="str">
        <f>IF('1. Live'!CI377='check-Jul25'!CI377,"",'1. Live'!CI377-'check-Jul25'!CI377)</f>
        <v/>
      </c>
      <c r="CJ377" t="str">
        <f>IF('1. Live'!CJ377='check-Jul25'!CJ377,"",'1. Live'!CJ377-'check-Jul25'!CJ377)</f>
        <v/>
      </c>
      <c r="CK377" t="str">
        <f>IF('1. Live'!CK377='check-Jul25'!CK377,"",'1. Live'!CK377-'check-Jul25'!CK377)</f>
        <v/>
      </c>
      <c r="CL377" t="str">
        <f>IF('1. Live'!CL377='check-Jul25'!CL377,"",'1. Live'!CL377-'check-Jul25'!CL377)</f>
        <v/>
      </c>
      <c r="CM377" t="str">
        <f>IF('1. Live'!CM377='check-Jul25'!CM377,"",'1. Live'!CM377-'check-Jul25'!CM377)</f>
        <v/>
      </c>
      <c r="CN377" t="str">
        <f>IF('1. Live'!CN377='check-Jul25'!CN377,"",'1. Live'!CN377-'check-Jul25'!CN377)</f>
        <v/>
      </c>
      <c r="CO377" t="str">
        <f>IF('1. Live'!CO377='check-Jul25'!CO377,"",'1. Live'!CO377-'check-Jul25'!CO377)</f>
        <v/>
      </c>
      <c r="CP377" t="str">
        <f>IF('1. Live'!CP377='check-Jul25'!CP377,"",'1. Live'!CP377-'check-Jul25'!CP377)</f>
        <v/>
      </c>
      <c r="CQ377" t="str">
        <f>IF('1. Live'!CQ377='check-Jul25'!CQ377,"",'1. Live'!CQ377-'check-Jul25'!CQ377)</f>
        <v/>
      </c>
      <c r="CR377" t="str">
        <f>IF('1. Live'!CR377='check-Jul25'!CR377,"",'1. Live'!CR377-'check-Jul25'!CR377)</f>
        <v/>
      </c>
      <c r="CS377" t="str">
        <f>IF('1. Live'!CS377='check-Jul25'!CS377,"",'1. Live'!CS377-'check-Jul25'!CS377)</f>
        <v/>
      </c>
      <c r="CT377" t="str">
        <f>IF('1. Live'!CT377='check-Jul25'!CT377,"",'1. Live'!CT377-'check-Jul25'!CT377)</f>
        <v/>
      </c>
      <c r="CU377" t="str">
        <f>IF('1. Live'!CU377='check-Jul25'!CU377,"",'1. Live'!CU377-'check-Jul25'!CU377)</f>
        <v/>
      </c>
      <c r="CV377" t="str">
        <f>IF('1. Live'!CV377='check-Jul25'!CV377,"",'1. Live'!CV377-'check-Jul25'!CV377)</f>
        <v/>
      </c>
      <c r="CW377" t="str">
        <f>IF('1. Live'!CW377='check-Jul25'!CW377,"",'1. Live'!CW377-'check-Jul25'!CW377)</f>
        <v/>
      </c>
    </row>
    <row r="378" spans="10:101">
      <c r="J378" t="str">
        <f>IF('1. Live'!J378='check-Jul25'!J378,"",'1. Live'!J378-'check-Jul25'!J378)</f>
        <v/>
      </c>
      <c r="K378" t="str">
        <f>IF('1. Live'!K378='check-Jul25'!K378,"",'1. Live'!K378-'check-Jul25'!K378)</f>
        <v/>
      </c>
      <c r="L378" t="str">
        <f>IF('1. Live'!L378='check-Jul25'!L378,"",'1. Live'!L378-'check-Jul25'!L378)</f>
        <v/>
      </c>
      <c r="M378" t="str">
        <f>IF('1. Live'!M378='check-Jul25'!M378,"",'1. Live'!M378-'check-Jul25'!M378)</f>
        <v/>
      </c>
      <c r="N378" t="str">
        <f>IF('1. Live'!N378='check-Jul25'!N378,"",'1. Live'!N378-'check-Jul25'!N378)</f>
        <v/>
      </c>
      <c r="O378" t="str">
        <f>IF('1. Live'!O378='check-Jul25'!O378,"",'1. Live'!O378-'check-Jul25'!O378)</f>
        <v/>
      </c>
      <c r="P378" t="str">
        <f>IF('1. Live'!P378='check-Jul25'!P378,"",'1. Live'!P378-'check-Jul25'!P378)</f>
        <v/>
      </c>
      <c r="Q378" t="str">
        <f>IF('1. Live'!Q378='check-Jul25'!Q378,"",'1. Live'!Q378-'check-Jul25'!Q378)</f>
        <v/>
      </c>
      <c r="R378" t="str">
        <f>IF('1. Live'!R378='check-Jul25'!R378,"",'1. Live'!R378-'check-Jul25'!R378)</f>
        <v/>
      </c>
      <c r="S378" t="str">
        <f>IF('1. Live'!S378='check-Jul25'!S378,"",'1. Live'!S378-'check-Jul25'!S378)</f>
        <v/>
      </c>
      <c r="T378" t="str">
        <f>IF('1. Live'!T378='check-Jul25'!T378,"",'1. Live'!T378-'check-Jul25'!T378)</f>
        <v/>
      </c>
      <c r="U378" t="str">
        <f>IF('1. Live'!U378='check-Jul25'!U378,"",'1. Live'!U378-'check-Jul25'!U378)</f>
        <v/>
      </c>
      <c r="V378" t="str">
        <f>IF('1. Live'!V378='check-Jul25'!V378,"",'1. Live'!V378-'check-Jul25'!V378)</f>
        <v/>
      </c>
      <c r="W378" t="str">
        <f>IF('1. Live'!W378='check-Jul25'!W378,"",'1. Live'!W378-'check-Jul25'!W378)</f>
        <v/>
      </c>
      <c r="X378" t="str">
        <f>IF('1. Live'!X378='check-Jul25'!X378,"",'1. Live'!X378-'check-Jul25'!X378)</f>
        <v/>
      </c>
      <c r="Y378" t="str">
        <f>IF('1. Live'!Y378='check-Jul25'!Y378,"",'1. Live'!Y378-'check-Jul25'!Y378)</f>
        <v/>
      </c>
      <c r="Z378" t="str">
        <f>IF('1. Live'!Z378='check-Jul25'!Z378,"",'1. Live'!Z378-'check-Jul25'!Z378)</f>
        <v/>
      </c>
      <c r="AA378" t="str">
        <f>IF('1. Live'!AA378='check-Jul25'!AA378,"",'1. Live'!AA378-'check-Jul25'!AA378)</f>
        <v/>
      </c>
      <c r="AB378" t="str">
        <f>IF('1. Live'!AB378='check-Jul25'!AB378,"",'1. Live'!AB378-'check-Jul25'!AB378)</f>
        <v/>
      </c>
      <c r="AC378" t="str">
        <f>IF('1. Live'!AC378='check-Jul25'!AC378,"",'1. Live'!AC378-'check-Jul25'!AC378)</f>
        <v/>
      </c>
      <c r="AD378" t="str">
        <f>IF('1. Live'!AD378='check-Jul25'!AD378,"",'1. Live'!AD378-'check-Jul25'!AD378)</f>
        <v/>
      </c>
      <c r="AE378" t="str">
        <f>IF('1. Live'!AE378='check-Jul25'!AE378,"",'1. Live'!AE378-'check-Jul25'!AE378)</f>
        <v/>
      </c>
      <c r="AF378" t="str">
        <f>IF('1. Live'!AF378='check-Jul25'!AF378,"",'1. Live'!AF378-'check-Jul25'!AF378)</f>
        <v/>
      </c>
      <c r="AG378" t="str">
        <f>IF('1. Live'!AG378='check-Jul25'!AG378,"",'1. Live'!AG378-'check-Jul25'!AG378)</f>
        <v/>
      </c>
      <c r="AH378" t="str">
        <f>IF('1. Live'!AH378='check-Jul25'!AH378,"",'1. Live'!AH378-'check-Jul25'!AH378)</f>
        <v/>
      </c>
      <c r="AI378" t="str">
        <f>IF('1. Live'!AI378='check-Jul25'!AI378,"",'1. Live'!AI378-'check-Jul25'!AI378)</f>
        <v/>
      </c>
      <c r="AJ378" t="str">
        <f>IF('1. Live'!AJ378='check-Jul25'!AJ378,"",'1. Live'!AJ378-'check-Jul25'!AJ378)</f>
        <v/>
      </c>
      <c r="AK378" t="str">
        <f>IF('1. Live'!AK378='check-Jul25'!AK378,"",'1. Live'!AK378-'check-Jul25'!AK378)</f>
        <v/>
      </c>
      <c r="AL378" t="str">
        <f>IF('1. Live'!AL378='check-Jul25'!AL378,"",'1. Live'!AL378-'check-Jul25'!AL378)</f>
        <v/>
      </c>
      <c r="AM378" t="str">
        <f>IF('1. Live'!AM378='check-Jul25'!AM378,"",'1. Live'!AM378-'check-Jul25'!AM378)</f>
        <v/>
      </c>
      <c r="AN378" t="str">
        <f>IF('1. Live'!AN378='check-Jul25'!AN378,"",'1. Live'!AN378-'check-Jul25'!AN378)</f>
        <v/>
      </c>
      <c r="AO378" t="str">
        <f>IF('1. Live'!AO378='check-Jul25'!AO378,"",'1. Live'!AO378-'check-Jul25'!AO378)</f>
        <v/>
      </c>
      <c r="AP378" t="str">
        <f>IF('1. Live'!AP378='check-Jul25'!AP378,"",'1. Live'!AP378-'check-Jul25'!AP378)</f>
        <v/>
      </c>
      <c r="AQ378" t="str">
        <f>IF('1. Live'!AQ378='check-Jul25'!AQ378,"",'1. Live'!AQ378-'check-Jul25'!AQ378)</f>
        <v/>
      </c>
      <c r="AR378" t="str">
        <f>IF('1. Live'!AR378='check-Jul25'!AR378,"",'1. Live'!AR378-'check-Jul25'!AR378)</f>
        <v/>
      </c>
      <c r="AS378" t="str">
        <f>IF('1. Live'!AS378='check-Jul25'!AS378,"",'1. Live'!AS378-'check-Jul25'!AS378)</f>
        <v/>
      </c>
      <c r="AT378" t="str">
        <f>IF('1. Live'!AT378='check-Jul25'!AT378,"",'1. Live'!AT378-'check-Jul25'!AT378)</f>
        <v/>
      </c>
      <c r="AU378" t="str">
        <f>IF('1. Live'!AU378='check-Jul25'!AU378,"",'1. Live'!AU378-'check-Jul25'!AU378)</f>
        <v/>
      </c>
      <c r="AV378" t="str">
        <f>IF('1. Live'!AV378='check-Jul25'!AV378,"",'1. Live'!AV378-'check-Jul25'!AV378)</f>
        <v/>
      </c>
      <c r="AW378" t="str">
        <f>IF('1. Live'!AW378='check-Jul25'!AW378,"",'1. Live'!AW378-'check-Jul25'!AW378)</f>
        <v/>
      </c>
      <c r="AX378" t="str">
        <f>IF('1. Live'!AX378='check-Jul25'!AX378,"",'1. Live'!AX378-'check-Jul25'!AX378)</f>
        <v/>
      </c>
      <c r="AY378" t="str">
        <f>IF('1. Live'!AY378='check-Jul25'!AY378,"",'1. Live'!AY378-'check-Jul25'!AY378)</f>
        <v/>
      </c>
      <c r="AZ378" t="str">
        <f>IF('1. Live'!AZ378='check-Jul25'!AZ378,"",'1. Live'!AZ378-'check-Jul25'!AZ378)</f>
        <v/>
      </c>
      <c r="BA378" t="str">
        <f>IF('1. Live'!BA378='check-Jul25'!BA378,"",'1. Live'!BA378-'check-Jul25'!BA378)</f>
        <v/>
      </c>
      <c r="BB378" t="str">
        <f>IF('1. Live'!BB378='check-Jul25'!BB378,"",'1. Live'!BB378-'check-Jul25'!BB378)</f>
        <v/>
      </c>
      <c r="BC378" t="str">
        <f>IF('1. Live'!BC378='check-Jul25'!BC378,"",'1. Live'!BC378-'check-Jul25'!BC378)</f>
        <v/>
      </c>
      <c r="BD378" t="str">
        <f>IF('1. Live'!BD378='check-Jul25'!BD378,"",'1. Live'!BD378-'check-Jul25'!BD378)</f>
        <v/>
      </c>
      <c r="BE378" t="str">
        <f>IF('1. Live'!BE378='check-Jul25'!BE378,"",'1. Live'!BE378-'check-Jul25'!BE378)</f>
        <v/>
      </c>
      <c r="BF378" t="str">
        <f>IF('1. Live'!BF378='check-Jul25'!BF378,"",'1. Live'!BF378-'check-Jul25'!BF378)</f>
        <v/>
      </c>
      <c r="BG378" t="str">
        <f>IF('1. Live'!BG378='check-Jul25'!BG378,"",'1. Live'!BG378-'check-Jul25'!BG378)</f>
        <v/>
      </c>
      <c r="BH378" t="str">
        <f>IF('1. Live'!BH378='check-Jul25'!BH378,"",'1. Live'!BH378-'check-Jul25'!BH378)</f>
        <v/>
      </c>
      <c r="BI378" t="str">
        <f>IF('1. Live'!BI378='check-Jul25'!BI378,"",'1. Live'!BI378-'check-Jul25'!BI378)</f>
        <v/>
      </c>
      <c r="BJ378" t="str">
        <f>IF('1. Live'!BJ378='check-Jul25'!BJ378,"",'1. Live'!BJ378-'check-Jul25'!BJ378)</f>
        <v/>
      </c>
      <c r="BK378" t="str">
        <f>IF('1. Live'!BK378='check-Jul25'!BK378,"",'1. Live'!BK378-'check-Jul25'!BK378)</f>
        <v/>
      </c>
      <c r="BL378" t="str">
        <f>IF('1. Live'!BL378='check-Jul25'!BL378,"",'1. Live'!BL378-'check-Jul25'!BL378)</f>
        <v/>
      </c>
      <c r="BM378" t="str">
        <f>IF('1. Live'!BM378='check-Jul25'!BM378,"",'1. Live'!BM378-'check-Jul25'!BM378)</f>
        <v/>
      </c>
      <c r="BN378" t="str">
        <f>IF('1. Live'!BN378='check-Jul25'!BN378,"",'1. Live'!BN378-'check-Jul25'!BN378)</f>
        <v/>
      </c>
      <c r="BO378" t="str">
        <f>IF('1. Live'!BO378='check-Jul25'!BO378,"",'1. Live'!BO378-'check-Jul25'!BO378)</f>
        <v/>
      </c>
      <c r="BP378" t="str">
        <f>IF('1. Live'!BP378='check-Jul25'!BP378,"",'1. Live'!BP378-'check-Jul25'!BP378)</f>
        <v/>
      </c>
      <c r="BQ378" t="str">
        <f>IF('1. Live'!BQ378='check-Jul25'!BQ378,"",'1. Live'!BQ378-'check-Jul25'!BQ378)</f>
        <v/>
      </c>
      <c r="BR378" t="str">
        <f>IF('1. Live'!BR378='check-Jul25'!BR378,"",'1. Live'!BR378-'check-Jul25'!BR378)</f>
        <v/>
      </c>
      <c r="BS378" t="str">
        <f>IF('1. Live'!BS378='check-Jul25'!BS378,"",'1. Live'!BS378-'check-Jul25'!BS378)</f>
        <v/>
      </c>
      <c r="BT378" t="str">
        <f>IF('1. Live'!BT378='check-Jul25'!BT378,"",'1. Live'!BT378-'check-Jul25'!BT378)</f>
        <v/>
      </c>
      <c r="BU378" t="str">
        <f>IF('1. Live'!BU378='check-Jul25'!BU378,"",'1. Live'!BU378-'check-Jul25'!BU378)</f>
        <v/>
      </c>
      <c r="BV378" t="str">
        <f>IF('1. Live'!BV378='check-Jul25'!BV378,"",'1. Live'!BV378-'check-Jul25'!BV378)</f>
        <v/>
      </c>
      <c r="BW378" t="str">
        <f>IF('1. Live'!BW378='check-Jul25'!BW378,"",'1. Live'!BW378-'check-Jul25'!BW378)</f>
        <v/>
      </c>
      <c r="BX378" t="str">
        <f>IF('1. Live'!BX378='check-Jul25'!BX378,"",'1. Live'!BX378-'check-Jul25'!BX378)</f>
        <v/>
      </c>
      <c r="BY378" t="str">
        <f>IF('1. Live'!BY378='check-Jul25'!BY378,"",'1. Live'!BY378-'check-Jul25'!BY378)</f>
        <v/>
      </c>
      <c r="BZ378" t="str">
        <f>IF('1. Live'!BZ378='check-Jul25'!BZ378,"",'1. Live'!BZ378-'check-Jul25'!BZ378)</f>
        <v/>
      </c>
      <c r="CA378" t="str">
        <f>IF('1. Live'!CA378='check-Jul25'!CA378,"",'1. Live'!CA378-'check-Jul25'!CA378)</f>
        <v/>
      </c>
      <c r="CB378" t="str">
        <f>IF('1. Live'!CB378='check-Jul25'!CB378,"",'1. Live'!CB378-'check-Jul25'!CB378)</f>
        <v/>
      </c>
      <c r="CC378" t="str">
        <f>IF('1. Live'!CC378='check-Jul25'!CC378,"",'1. Live'!CC378-'check-Jul25'!CC378)</f>
        <v/>
      </c>
      <c r="CD378" t="str">
        <f>IF('1. Live'!CD378='check-Jul25'!CD378,"",'1. Live'!CD378-'check-Jul25'!CD378)</f>
        <v/>
      </c>
      <c r="CE378" t="str">
        <f>IF('1. Live'!CE378='check-Jul25'!CE378,"",'1. Live'!CE378-'check-Jul25'!CE378)</f>
        <v/>
      </c>
      <c r="CF378" t="str">
        <f>IF('1. Live'!CF378='check-Jul25'!CF378,"",'1. Live'!CF378-'check-Jul25'!CF378)</f>
        <v/>
      </c>
      <c r="CG378" t="str">
        <f>IF('1. Live'!CG378='check-Jul25'!CG378,"",'1. Live'!CG378-'check-Jul25'!CG378)</f>
        <v/>
      </c>
      <c r="CH378" t="str">
        <f>IF('1. Live'!CH378='check-Jul25'!CH378,"",'1. Live'!CH378-'check-Jul25'!CH378)</f>
        <v/>
      </c>
      <c r="CI378" t="str">
        <f>IF('1. Live'!CI378='check-Jul25'!CI378,"",'1. Live'!CI378-'check-Jul25'!CI378)</f>
        <v/>
      </c>
      <c r="CJ378" t="str">
        <f>IF('1. Live'!CJ378='check-Jul25'!CJ378,"",'1. Live'!CJ378-'check-Jul25'!CJ378)</f>
        <v/>
      </c>
      <c r="CK378" t="str">
        <f>IF('1. Live'!CK378='check-Jul25'!CK378,"",'1. Live'!CK378-'check-Jul25'!CK378)</f>
        <v/>
      </c>
      <c r="CL378" t="str">
        <f>IF('1. Live'!CL378='check-Jul25'!CL378,"",'1. Live'!CL378-'check-Jul25'!CL378)</f>
        <v/>
      </c>
      <c r="CM378" t="str">
        <f>IF('1. Live'!CM378='check-Jul25'!CM378,"",'1. Live'!CM378-'check-Jul25'!CM378)</f>
        <v/>
      </c>
      <c r="CN378" t="str">
        <f>IF('1. Live'!CN378='check-Jul25'!CN378,"",'1. Live'!CN378-'check-Jul25'!CN378)</f>
        <v/>
      </c>
      <c r="CO378" t="str">
        <f>IF('1. Live'!CO378='check-Jul25'!CO378,"",'1. Live'!CO378-'check-Jul25'!CO378)</f>
        <v/>
      </c>
      <c r="CP378" t="str">
        <f>IF('1. Live'!CP378='check-Jul25'!CP378,"",'1. Live'!CP378-'check-Jul25'!CP378)</f>
        <v/>
      </c>
      <c r="CQ378" t="str">
        <f>IF('1. Live'!CQ378='check-Jul25'!CQ378,"",'1. Live'!CQ378-'check-Jul25'!CQ378)</f>
        <v/>
      </c>
      <c r="CR378" t="str">
        <f>IF('1. Live'!CR378='check-Jul25'!CR378,"",'1. Live'!CR378-'check-Jul25'!CR378)</f>
        <v/>
      </c>
      <c r="CS378" t="str">
        <f>IF('1. Live'!CS378='check-Jul25'!CS378,"",'1. Live'!CS378-'check-Jul25'!CS378)</f>
        <v/>
      </c>
      <c r="CT378" t="str">
        <f>IF('1. Live'!CT378='check-Jul25'!CT378,"",'1. Live'!CT378-'check-Jul25'!CT378)</f>
        <v/>
      </c>
      <c r="CU378" t="str">
        <f>IF('1. Live'!CU378='check-Jul25'!CU378,"",'1. Live'!CU378-'check-Jul25'!CU378)</f>
        <v/>
      </c>
      <c r="CV378" t="str">
        <f>IF('1. Live'!CV378='check-Jul25'!CV378,"",'1. Live'!CV378-'check-Jul25'!CV378)</f>
        <v/>
      </c>
      <c r="CW378" t="str">
        <f>IF('1. Live'!CW378='check-Jul25'!CW378,"",'1. Live'!CW378-'check-Jul25'!CW378)</f>
        <v/>
      </c>
    </row>
    <row r="379" spans="10:101">
      <c r="J379" t="str">
        <f>IF('1. Live'!J379='check-Jul25'!J379,"",'1. Live'!J379-'check-Jul25'!J379)</f>
        <v/>
      </c>
      <c r="K379" t="str">
        <f>IF('1. Live'!K379='check-Jul25'!K379,"",'1. Live'!K379-'check-Jul25'!K379)</f>
        <v/>
      </c>
      <c r="L379" t="str">
        <f>IF('1. Live'!L379='check-Jul25'!L379,"",'1. Live'!L379-'check-Jul25'!L379)</f>
        <v/>
      </c>
      <c r="M379" t="str">
        <f>IF('1. Live'!M379='check-Jul25'!M379,"",'1. Live'!M379-'check-Jul25'!M379)</f>
        <v/>
      </c>
      <c r="N379" t="str">
        <f>IF('1. Live'!N379='check-Jul25'!N379,"",'1. Live'!N379-'check-Jul25'!N379)</f>
        <v/>
      </c>
      <c r="O379" t="str">
        <f>IF('1. Live'!O379='check-Jul25'!O379,"",'1. Live'!O379-'check-Jul25'!O379)</f>
        <v/>
      </c>
      <c r="P379" t="str">
        <f>IF('1. Live'!P379='check-Jul25'!P379,"",'1. Live'!P379-'check-Jul25'!P379)</f>
        <v/>
      </c>
      <c r="Q379" t="str">
        <f>IF('1. Live'!Q379='check-Jul25'!Q379,"",'1. Live'!Q379-'check-Jul25'!Q379)</f>
        <v/>
      </c>
      <c r="R379" t="str">
        <f>IF('1. Live'!R379='check-Jul25'!R379,"",'1. Live'!R379-'check-Jul25'!R379)</f>
        <v/>
      </c>
      <c r="S379" t="str">
        <f>IF('1. Live'!S379='check-Jul25'!S379,"",'1. Live'!S379-'check-Jul25'!S379)</f>
        <v/>
      </c>
      <c r="T379" t="str">
        <f>IF('1. Live'!T379='check-Jul25'!T379,"",'1. Live'!T379-'check-Jul25'!T379)</f>
        <v/>
      </c>
      <c r="U379" t="str">
        <f>IF('1. Live'!U379='check-Jul25'!U379,"",'1. Live'!U379-'check-Jul25'!U379)</f>
        <v/>
      </c>
      <c r="V379" t="str">
        <f>IF('1. Live'!V379='check-Jul25'!V379,"",'1. Live'!V379-'check-Jul25'!V379)</f>
        <v/>
      </c>
      <c r="W379" t="str">
        <f>IF('1. Live'!W379='check-Jul25'!W379,"",'1. Live'!W379-'check-Jul25'!W379)</f>
        <v/>
      </c>
      <c r="X379" t="str">
        <f>IF('1. Live'!X379='check-Jul25'!X379,"",'1. Live'!X379-'check-Jul25'!X379)</f>
        <v/>
      </c>
      <c r="Y379" t="str">
        <f>IF('1. Live'!Y379='check-Jul25'!Y379,"",'1. Live'!Y379-'check-Jul25'!Y379)</f>
        <v/>
      </c>
      <c r="Z379" t="str">
        <f>IF('1. Live'!Z379='check-Jul25'!Z379,"",'1. Live'!Z379-'check-Jul25'!Z379)</f>
        <v/>
      </c>
      <c r="AA379" t="str">
        <f>IF('1. Live'!AA379='check-Jul25'!AA379,"",'1. Live'!AA379-'check-Jul25'!AA379)</f>
        <v/>
      </c>
      <c r="AB379" t="str">
        <f>IF('1. Live'!AB379='check-Jul25'!AB379,"",'1. Live'!AB379-'check-Jul25'!AB379)</f>
        <v/>
      </c>
      <c r="AC379" t="str">
        <f>IF('1. Live'!AC379='check-Jul25'!AC379,"",'1. Live'!AC379-'check-Jul25'!AC379)</f>
        <v/>
      </c>
      <c r="AD379" t="str">
        <f>IF('1. Live'!AD379='check-Jul25'!AD379,"",'1. Live'!AD379-'check-Jul25'!AD379)</f>
        <v/>
      </c>
      <c r="AE379" t="str">
        <f>IF('1. Live'!AE379='check-Jul25'!AE379,"",'1. Live'!AE379-'check-Jul25'!AE379)</f>
        <v/>
      </c>
      <c r="AF379" t="str">
        <f>IF('1. Live'!AF379='check-Jul25'!AF379,"",'1. Live'!AF379-'check-Jul25'!AF379)</f>
        <v/>
      </c>
      <c r="AG379" t="str">
        <f>IF('1. Live'!AG379='check-Jul25'!AG379,"",'1. Live'!AG379-'check-Jul25'!AG379)</f>
        <v/>
      </c>
      <c r="AH379" t="str">
        <f>IF('1. Live'!AH379='check-Jul25'!AH379,"",'1. Live'!AH379-'check-Jul25'!AH379)</f>
        <v/>
      </c>
      <c r="AI379" t="str">
        <f>IF('1. Live'!AI379='check-Jul25'!AI379,"",'1. Live'!AI379-'check-Jul25'!AI379)</f>
        <v/>
      </c>
      <c r="AJ379" t="str">
        <f>IF('1. Live'!AJ379='check-Jul25'!AJ379,"",'1. Live'!AJ379-'check-Jul25'!AJ379)</f>
        <v/>
      </c>
      <c r="AK379" t="str">
        <f>IF('1. Live'!AK379='check-Jul25'!AK379,"",'1. Live'!AK379-'check-Jul25'!AK379)</f>
        <v/>
      </c>
      <c r="AL379" t="str">
        <f>IF('1. Live'!AL379='check-Jul25'!AL379,"",'1. Live'!AL379-'check-Jul25'!AL379)</f>
        <v/>
      </c>
      <c r="AM379" t="str">
        <f>IF('1. Live'!AM379='check-Jul25'!AM379,"",'1. Live'!AM379-'check-Jul25'!AM379)</f>
        <v/>
      </c>
      <c r="AN379" t="str">
        <f>IF('1. Live'!AN379='check-Jul25'!AN379,"",'1. Live'!AN379-'check-Jul25'!AN379)</f>
        <v/>
      </c>
      <c r="AO379" t="str">
        <f>IF('1. Live'!AO379='check-Jul25'!AO379,"",'1. Live'!AO379-'check-Jul25'!AO379)</f>
        <v/>
      </c>
      <c r="AP379" t="str">
        <f>IF('1. Live'!AP379='check-Jul25'!AP379,"",'1. Live'!AP379-'check-Jul25'!AP379)</f>
        <v/>
      </c>
      <c r="AQ379" t="str">
        <f>IF('1. Live'!AQ379='check-Jul25'!AQ379,"",'1. Live'!AQ379-'check-Jul25'!AQ379)</f>
        <v/>
      </c>
      <c r="AR379" t="str">
        <f>IF('1. Live'!AR379='check-Jul25'!AR379,"",'1. Live'!AR379-'check-Jul25'!AR379)</f>
        <v/>
      </c>
      <c r="AS379" t="str">
        <f>IF('1. Live'!AS379='check-Jul25'!AS379,"",'1. Live'!AS379-'check-Jul25'!AS379)</f>
        <v/>
      </c>
      <c r="AT379" t="str">
        <f>IF('1. Live'!AT379='check-Jul25'!AT379,"",'1. Live'!AT379-'check-Jul25'!AT379)</f>
        <v/>
      </c>
      <c r="AU379" t="str">
        <f>IF('1. Live'!AU379='check-Jul25'!AU379,"",'1. Live'!AU379-'check-Jul25'!AU379)</f>
        <v/>
      </c>
      <c r="AV379" t="str">
        <f>IF('1. Live'!AV379='check-Jul25'!AV379,"",'1. Live'!AV379-'check-Jul25'!AV379)</f>
        <v/>
      </c>
      <c r="AW379" t="str">
        <f>IF('1. Live'!AW379='check-Jul25'!AW379,"",'1. Live'!AW379-'check-Jul25'!AW379)</f>
        <v/>
      </c>
      <c r="AX379" t="str">
        <f>IF('1. Live'!AX379='check-Jul25'!AX379,"",'1. Live'!AX379-'check-Jul25'!AX379)</f>
        <v/>
      </c>
      <c r="AY379" t="str">
        <f>IF('1. Live'!AY379='check-Jul25'!AY379,"",'1. Live'!AY379-'check-Jul25'!AY379)</f>
        <v/>
      </c>
      <c r="AZ379" t="str">
        <f>IF('1. Live'!AZ379='check-Jul25'!AZ379,"",'1. Live'!AZ379-'check-Jul25'!AZ379)</f>
        <v/>
      </c>
      <c r="BA379" t="str">
        <f>IF('1. Live'!BA379='check-Jul25'!BA379,"",'1. Live'!BA379-'check-Jul25'!BA379)</f>
        <v/>
      </c>
      <c r="BB379" t="str">
        <f>IF('1. Live'!BB379='check-Jul25'!BB379,"",'1. Live'!BB379-'check-Jul25'!BB379)</f>
        <v/>
      </c>
      <c r="BC379" t="str">
        <f>IF('1. Live'!BC379='check-Jul25'!BC379,"",'1. Live'!BC379-'check-Jul25'!BC379)</f>
        <v/>
      </c>
      <c r="BD379" t="str">
        <f>IF('1. Live'!BD379='check-Jul25'!BD379,"",'1. Live'!BD379-'check-Jul25'!BD379)</f>
        <v/>
      </c>
      <c r="BE379" t="str">
        <f>IF('1. Live'!BE379='check-Jul25'!BE379,"",'1. Live'!BE379-'check-Jul25'!BE379)</f>
        <v/>
      </c>
      <c r="BF379" t="str">
        <f>IF('1. Live'!BF379='check-Jul25'!BF379,"",'1. Live'!BF379-'check-Jul25'!BF379)</f>
        <v/>
      </c>
      <c r="BG379" t="str">
        <f>IF('1. Live'!BG379='check-Jul25'!BG379,"",'1. Live'!BG379-'check-Jul25'!BG379)</f>
        <v/>
      </c>
      <c r="BH379" t="str">
        <f>IF('1. Live'!BH379='check-Jul25'!BH379,"",'1. Live'!BH379-'check-Jul25'!BH379)</f>
        <v/>
      </c>
      <c r="BI379" t="str">
        <f>IF('1. Live'!BI379='check-Jul25'!BI379,"",'1. Live'!BI379-'check-Jul25'!BI379)</f>
        <v/>
      </c>
      <c r="BJ379" t="str">
        <f>IF('1. Live'!BJ379='check-Jul25'!BJ379,"",'1. Live'!BJ379-'check-Jul25'!BJ379)</f>
        <v/>
      </c>
      <c r="BK379" t="str">
        <f>IF('1. Live'!BK379='check-Jul25'!BK379,"",'1. Live'!BK379-'check-Jul25'!BK379)</f>
        <v/>
      </c>
      <c r="BL379" t="str">
        <f>IF('1. Live'!BL379='check-Jul25'!BL379,"",'1. Live'!BL379-'check-Jul25'!BL379)</f>
        <v/>
      </c>
      <c r="BM379" t="str">
        <f>IF('1. Live'!BM379='check-Jul25'!BM379,"",'1. Live'!BM379-'check-Jul25'!BM379)</f>
        <v/>
      </c>
      <c r="BN379" t="str">
        <f>IF('1. Live'!BN379='check-Jul25'!BN379,"",'1. Live'!BN379-'check-Jul25'!BN379)</f>
        <v/>
      </c>
      <c r="BO379" t="str">
        <f>IF('1. Live'!BO379='check-Jul25'!BO379,"",'1. Live'!BO379-'check-Jul25'!BO379)</f>
        <v/>
      </c>
      <c r="BP379" t="str">
        <f>IF('1. Live'!BP379='check-Jul25'!BP379,"",'1. Live'!BP379-'check-Jul25'!BP379)</f>
        <v/>
      </c>
      <c r="BQ379" t="str">
        <f>IF('1. Live'!BQ379='check-Jul25'!BQ379,"",'1. Live'!BQ379-'check-Jul25'!BQ379)</f>
        <v/>
      </c>
      <c r="BR379" t="str">
        <f>IF('1. Live'!BR379='check-Jul25'!BR379,"",'1. Live'!BR379-'check-Jul25'!BR379)</f>
        <v/>
      </c>
      <c r="BS379" t="str">
        <f>IF('1. Live'!BS379='check-Jul25'!BS379,"",'1. Live'!BS379-'check-Jul25'!BS379)</f>
        <v/>
      </c>
      <c r="BT379" t="str">
        <f>IF('1. Live'!BT379='check-Jul25'!BT379,"",'1. Live'!BT379-'check-Jul25'!BT379)</f>
        <v/>
      </c>
      <c r="BU379" t="str">
        <f>IF('1. Live'!BU379='check-Jul25'!BU379,"",'1. Live'!BU379-'check-Jul25'!BU379)</f>
        <v/>
      </c>
      <c r="BV379" t="str">
        <f>IF('1. Live'!BV379='check-Jul25'!BV379,"",'1. Live'!BV379-'check-Jul25'!BV379)</f>
        <v/>
      </c>
      <c r="BW379" t="str">
        <f>IF('1. Live'!BW379='check-Jul25'!BW379,"",'1. Live'!BW379-'check-Jul25'!BW379)</f>
        <v/>
      </c>
      <c r="BX379" t="str">
        <f>IF('1. Live'!BX379='check-Jul25'!BX379,"",'1. Live'!BX379-'check-Jul25'!BX379)</f>
        <v/>
      </c>
      <c r="BY379" t="str">
        <f>IF('1. Live'!BY379='check-Jul25'!BY379,"",'1. Live'!BY379-'check-Jul25'!BY379)</f>
        <v/>
      </c>
      <c r="BZ379" t="str">
        <f>IF('1. Live'!BZ379='check-Jul25'!BZ379,"",'1. Live'!BZ379-'check-Jul25'!BZ379)</f>
        <v/>
      </c>
      <c r="CA379" t="str">
        <f>IF('1. Live'!CA379='check-Jul25'!CA379,"",'1. Live'!CA379-'check-Jul25'!CA379)</f>
        <v/>
      </c>
      <c r="CB379" t="str">
        <f>IF('1. Live'!CB379='check-Jul25'!CB379,"",'1. Live'!CB379-'check-Jul25'!CB379)</f>
        <v/>
      </c>
      <c r="CC379" t="str">
        <f>IF('1. Live'!CC379='check-Jul25'!CC379,"",'1. Live'!CC379-'check-Jul25'!CC379)</f>
        <v/>
      </c>
      <c r="CD379" t="str">
        <f>IF('1. Live'!CD379='check-Jul25'!CD379,"",'1. Live'!CD379-'check-Jul25'!CD379)</f>
        <v/>
      </c>
      <c r="CE379" t="str">
        <f>IF('1. Live'!CE379='check-Jul25'!CE379,"",'1. Live'!CE379-'check-Jul25'!CE379)</f>
        <v/>
      </c>
      <c r="CF379" t="str">
        <f>IF('1. Live'!CF379='check-Jul25'!CF379,"",'1. Live'!CF379-'check-Jul25'!CF379)</f>
        <v/>
      </c>
      <c r="CG379" t="str">
        <f>IF('1. Live'!CG379='check-Jul25'!CG379,"",'1. Live'!CG379-'check-Jul25'!CG379)</f>
        <v/>
      </c>
      <c r="CH379" t="str">
        <f>IF('1. Live'!CH379='check-Jul25'!CH379,"",'1. Live'!CH379-'check-Jul25'!CH379)</f>
        <v/>
      </c>
      <c r="CI379" t="str">
        <f>IF('1. Live'!CI379='check-Jul25'!CI379,"",'1. Live'!CI379-'check-Jul25'!CI379)</f>
        <v/>
      </c>
      <c r="CJ379" t="str">
        <f>IF('1. Live'!CJ379='check-Jul25'!CJ379,"",'1. Live'!CJ379-'check-Jul25'!CJ379)</f>
        <v/>
      </c>
      <c r="CK379" t="str">
        <f>IF('1. Live'!CK379='check-Jul25'!CK379,"",'1. Live'!CK379-'check-Jul25'!CK379)</f>
        <v/>
      </c>
      <c r="CL379" t="str">
        <f>IF('1. Live'!CL379='check-Jul25'!CL379,"",'1. Live'!CL379-'check-Jul25'!CL379)</f>
        <v/>
      </c>
      <c r="CM379" t="str">
        <f>IF('1. Live'!CM379='check-Jul25'!CM379,"",'1. Live'!CM379-'check-Jul25'!CM379)</f>
        <v/>
      </c>
      <c r="CN379" t="str">
        <f>IF('1. Live'!CN379='check-Jul25'!CN379,"",'1. Live'!CN379-'check-Jul25'!CN379)</f>
        <v/>
      </c>
      <c r="CO379" t="str">
        <f>IF('1. Live'!CO379='check-Jul25'!CO379,"",'1. Live'!CO379-'check-Jul25'!CO379)</f>
        <v/>
      </c>
      <c r="CP379" t="str">
        <f>IF('1. Live'!CP379='check-Jul25'!CP379,"",'1. Live'!CP379-'check-Jul25'!CP379)</f>
        <v/>
      </c>
      <c r="CQ379" t="str">
        <f>IF('1. Live'!CQ379='check-Jul25'!CQ379,"",'1. Live'!CQ379-'check-Jul25'!CQ379)</f>
        <v/>
      </c>
      <c r="CR379" t="str">
        <f>IF('1. Live'!CR379='check-Jul25'!CR379,"",'1. Live'!CR379-'check-Jul25'!CR379)</f>
        <v/>
      </c>
      <c r="CS379" t="str">
        <f>IF('1. Live'!CS379='check-Jul25'!CS379,"",'1. Live'!CS379-'check-Jul25'!CS379)</f>
        <v/>
      </c>
      <c r="CT379" t="str">
        <f>IF('1. Live'!CT379='check-Jul25'!CT379,"",'1. Live'!CT379-'check-Jul25'!CT379)</f>
        <v/>
      </c>
      <c r="CU379" t="str">
        <f>IF('1. Live'!CU379='check-Jul25'!CU379,"",'1. Live'!CU379-'check-Jul25'!CU379)</f>
        <v/>
      </c>
      <c r="CV379" t="str">
        <f>IF('1. Live'!CV379='check-Jul25'!CV379,"",'1. Live'!CV379-'check-Jul25'!CV379)</f>
        <v/>
      </c>
      <c r="CW379" t="str">
        <f>IF('1. Live'!CW379='check-Jul25'!CW379,"",'1. Live'!CW379-'check-Jul25'!CW379)</f>
        <v/>
      </c>
    </row>
    <row r="380" spans="10:101">
      <c r="J380" t="str">
        <f>IF('1. Live'!J380='check-Jul25'!J380,"",'1. Live'!J380-'check-Jul25'!J380)</f>
        <v/>
      </c>
      <c r="K380" t="str">
        <f>IF('1. Live'!K380='check-Jul25'!K380,"",'1. Live'!K380-'check-Jul25'!K380)</f>
        <v/>
      </c>
      <c r="L380" t="str">
        <f>IF('1. Live'!L380='check-Jul25'!L380,"",'1. Live'!L380-'check-Jul25'!L380)</f>
        <v/>
      </c>
      <c r="M380" t="str">
        <f>IF('1. Live'!M380='check-Jul25'!M380,"",'1. Live'!M380-'check-Jul25'!M380)</f>
        <v/>
      </c>
      <c r="N380" t="str">
        <f>IF('1. Live'!N380='check-Jul25'!N380,"",'1. Live'!N380-'check-Jul25'!N380)</f>
        <v/>
      </c>
      <c r="O380" t="str">
        <f>IF('1. Live'!O380='check-Jul25'!O380,"",'1. Live'!O380-'check-Jul25'!O380)</f>
        <v/>
      </c>
      <c r="P380" t="str">
        <f>IF('1. Live'!P380='check-Jul25'!P380,"",'1. Live'!P380-'check-Jul25'!P380)</f>
        <v/>
      </c>
      <c r="Q380" t="str">
        <f>IF('1. Live'!Q380='check-Jul25'!Q380,"",'1. Live'!Q380-'check-Jul25'!Q380)</f>
        <v/>
      </c>
      <c r="R380" t="str">
        <f>IF('1. Live'!R380='check-Jul25'!R380,"",'1. Live'!R380-'check-Jul25'!R380)</f>
        <v/>
      </c>
      <c r="S380" t="str">
        <f>IF('1. Live'!S380='check-Jul25'!S380,"",'1. Live'!S380-'check-Jul25'!S380)</f>
        <v/>
      </c>
      <c r="T380" t="str">
        <f>IF('1. Live'!T380='check-Jul25'!T380,"",'1. Live'!T380-'check-Jul25'!T380)</f>
        <v/>
      </c>
      <c r="U380" t="str">
        <f>IF('1. Live'!U380='check-Jul25'!U380,"",'1. Live'!U380-'check-Jul25'!U380)</f>
        <v/>
      </c>
      <c r="V380" t="str">
        <f>IF('1. Live'!V380='check-Jul25'!V380,"",'1. Live'!V380-'check-Jul25'!V380)</f>
        <v/>
      </c>
      <c r="W380" t="str">
        <f>IF('1. Live'!W380='check-Jul25'!W380,"",'1. Live'!W380-'check-Jul25'!W380)</f>
        <v/>
      </c>
      <c r="X380" t="str">
        <f>IF('1. Live'!X380='check-Jul25'!X380,"",'1. Live'!X380-'check-Jul25'!X380)</f>
        <v/>
      </c>
      <c r="Y380" t="str">
        <f>IF('1. Live'!Y380='check-Jul25'!Y380,"",'1. Live'!Y380-'check-Jul25'!Y380)</f>
        <v/>
      </c>
      <c r="Z380" t="str">
        <f>IF('1. Live'!Z380='check-Jul25'!Z380,"",'1. Live'!Z380-'check-Jul25'!Z380)</f>
        <v/>
      </c>
      <c r="AA380" t="str">
        <f>IF('1. Live'!AA380='check-Jul25'!AA380,"",'1. Live'!AA380-'check-Jul25'!AA380)</f>
        <v/>
      </c>
      <c r="AB380" t="str">
        <f>IF('1. Live'!AB380='check-Jul25'!AB380,"",'1. Live'!AB380-'check-Jul25'!AB380)</f>
        <v/>
      </c>
      <c r="AC380" t="str">
        <f>IF('1. Live'!AC380='check-Jul25'!AC380,"",'1. Live'!AC380-'check-Jul25'!AC380)</f>
        <v/>
      </c>
      <c r="AD380" t="str">
        <f>IF('1. Live'!AD380='check-Jul25'!AD380,"",'1. Live'!AD380-'check-Jul25'!AD380)</f>
        <v/>
      </c>
      <c r="AE380" t="str">
        <f>IF('1. Live'!AE380='check-Jul25'!AE380,"",'1. Live'!AE380-'check-Jul25'!AE380)</f>
        <v/>
      </c>
      <c r="AF380" t="str">
        <f>IF('1. Live'!AF380='check-Jul25'!AF380,"",'1. Live'!AF380-'check-Jul25'!AF380)</f>
        <v/>
      </c>
      <c r="AG380" t="str">
        <f>IF('1. Live'!AG380='check-Jul25'!AG380,"",'1. Live'!AG380-'check-Jul25'!AG380)</f>
        <v/>
      </c>
      <c r="AH380" t="str">
        <f>IF('1. Live'!AH380='check-Jul25'!AH380,"",'1. Live'!AH380-'check-Jul25'!AH380)</f>
        <v/>
      </c>
      <c r="AI380" t="str">
        <f>IF('1. Live'!AI380='check-Jul25'!AI380,"",'1. Live'!AI380-'check-Jul25'!AI380)</f>
        <v/>
      </c>
      <c r="AJ380" t="str">
        <f>IF('1. Live'!AJ380='check-Jul25'!AJ380,"",'1. Live'!AJ380-'check-Jul25'!AJ380)</f>
        <v/>
      </c>
      <c r="AK380" t="str">
        <f>IF('1. Live'!AK380='check-Jul25'!AK380,"",'1. Live'!AK380-'check-Jul25'!AK380)</f>
        <v/>
      </c>
      <c r="AL380" t="str">
        <f>IF('1. Live'!AL380='check-Jul25'!AL380,"",'1. Live'!AL380-'check-Jul25'!AL380)</f>
        <v/>
      </c>
      <c r="AM380" t="str">
        <f>IF('1. Live'!AM380='check-Jul25'!AM380,"",'1. Live'!AM380-'check-Jul25'!AM380)</f>
        <v/>
      </c>
      <c r="AN380" t="str">
        <f>IF('1. Live'!AN380='check-Jul25'!AN380,"",'1. Live'!AN380-'check-Jul25'!AN380)</f>
        <v/>
      </c>
      <c r="AO380" t="str">
        <f>IF('1. Live'!AO380='check-Jul25'!AO380,"",'1. Live'!AO380-'check-Jul25'!AO380)</f>
        <v/>
      </c>
      <c r="AP380" t="str">
        <f>IF('1. Live'!AP380='check-Jul25'!AP380,"",'1. Live'!AP380-'check-Jul25'!AP380)</f>
        <v/>
      </c>
      <c r="AQ380" t="str">
        <f>IF('1. Live'!AQ380='check-Jul25'!AQ380,"",'1. Live'!AQ380-'check-Jul25'!AQ380)</f>
        <v/>
      </c>
      <c r="AR380" t="str">
        <f>IF('1. Live'!AR380='check-Jul25'!AR380,"",'1. Live'!AR380-'check-Jul25'!AR380)</f>
        <v/>
      </c>
      <c r="AS380" t="str">
        <f>IF('1. Live'!AS380='check-Jul25'!AS380,"",'1. Live'!AS380-'check-Jul25'!AS380)</f>
        <v/>
      </c>
      <c r="AT380" t="str">
        <f>IF('1. Live'!AT380='check-Jul25'!AT380,"",'1. Live'!AT380-'check-Jul25'!AT380)</f>
        <v/>
      </c>
      <c r="AU380" t="str">
        <f>IF('1. Live'!AU380='check-Jul25'!AU380,"",'1. Live'!AU380-'check-Jul25'!AU380)</f>
        <v/>
      </c>
      <c r="AV380" t="str">
        <f>IF('1. Live'!AV380='check-Jul25'!AV380,"",'1. Live'!AV380-'check-Jul25'!AV380)</f>
        <v/>
      </c>
      <c r="AW380" t="str">
        <f>IF('1. Live'!AW380='check-Jul25'!AW380,"",'1. Live'!AW380-'check-Jul25'!AW380)</f>
        <v/>
      </c>
      <c r="AX380" t="str">
        <f>IF('1. Live'!AX380='check-Jul25'!AX380,"",'1. Live'!AX380-'check-Jul25'!AX380)</f>
        <v/>
      </c>
      <c r="AY380" t="str">
        <f>IF('1. Live'!AY380='check-Jul25'!AY380,"",'1. Live'!AY380-'check-Jul25'!AY380)</f>
        <v/>
      </c>
      <c r="AZ380" t="str">
        <f>IF('1. Live'!AZ380='check-Jul25'!AZ380,"",'1. Live'!AZ380-'check-Jul25'!AZ380)</f>
        <v/>
      </c>
      <c r="BA380" t="str">
        <f>IF('1. Live'!BA380='check-Jul25'!BA380,"",'1. Live'!BA380-'check-Jul25'!BA380)</f>
        <v/>
      </c>
      <c r="BB380" t="str">
        <f>IF('1. Live'!BB380='check-Jul25'!BB380,"",'1. Live'!BB380-'check-Jul25'!BB380)</f>
        <v/>
      </c>
      <c r="BC380" t="str">
        <f>IF('1. Live'!BC380='check-Jul25'!BC380,"",'1. Live'!BC380-'check-Jul25'!BC380)</f>
        <v/>
      </c>
      <c r="BD380" t="str">
        <f>IF('1. Live'!BD380='check-Jul25'!BD380,"",'1. Live'!BD380-'check-Jul25'!BD380)</f>
        <v/>
      </c>
      <c r="BE380" t="str">
        <f>IF('1. Live'!BE380='check-Jul25'!BE380,"",'1. Live'!BE380-'check-Jul25'!BE380)</f>
        <v/>
      </c>
      <c r="BF380" t="str">
        <f>IF('1. Live'!BF380='check-Jul25'!BF380,"",'1. Live'!BF380-'check-Jul25'!BF380)</f>
        <v/>
      </c>
      <c r="BG380" t="str">
        <f>IF('1. Live'!BG380='check-Jul25'!BG380,"",'1. Live'!BG380-'check-Jul25'!BG380)</f>
        <v/>
      </c>
      <c r="BH380" t="str">
        <f>IF('1. Live'!BH380='check-Jul25'!BH380,"",'1. Live'!BH380-'check-Jul25'!BH380)</f>
        <v/>
      </c>
      <c r="BI380" t="str">
        <f>IF('1. Live'!BI380='check-Jul25'!BI380,"",'1. Live'!BI380-'check-Jul25'!BI380)</f>
        <v/>
      </c>
      <c r="BJ380" t="str">
        <f>IF('1. Live'!BJ380='check-Jul25'!BJ380,"",'1. Live'!BJ380-'check-Jul25'!BJ380)</f>
        <v/>
      </c>
      <c r="BK380" t="str">
        <f>IF('1. Live'!BK380='check-Jul25'!BK380,"",'1. Live'!BK380-'check-Jul25'!BK380)</f>
        <v/>
      </c>
      <c r="BL380" t="str">
        <f>IF('1. Live'!BL380='check-Jul25'!BL380,"",'1. Live'!BL380-'check-Jul25'!BL380)</f>
        <v/>
      </c>
      <c r="BM380" t="str">
        <f>IF('1. Live'!BM380='check-Jul25'!BM380,"",'1. Live'!BM380-'check-Jul25'!BM380)</f>
        <v/>
      </c>
      <c r="BN380" t="str">
        <f>IF('1. Live'!BN380='check-Jul25'!BN380,"",'1. Live'!BN380-'check-Jul25'!BN380)</f>
        <v/>
      </c>
      <c r="BO380" t="str">
        <f>IF('1. Live'!BO380='check-Jul25'!BO380,"",'1. Live'!BO380-'check-Jul25'!BO380)</f>
        <v/>
      </c>
      <c r="BP380" t="str">
        <f>IF('1. Live'!BP380='check-Jul25'!BP380,"",'1. Live'!BP380-'check-Jul25'!BP380)</f>
        <v/>
      </c>
      <c r="BQ380" t="str">
        <f>IF('1. Live'!BQ380='check-Jul25'!BQ380,"",'1. Live'!BQ380-'check-Jul25'!BQ380)</f>
        <v/>
      </c>
      <c r="BR380" t="str">
        <f>IF('1. Live'!BR380='check-Jul25'!BR380,"",'1. Live'!BR380-'check-Jul25'!BR380)</f>
        <v/>
      </c>
      <c r="BS380" t="str">
        <f>IF('1. Live'!BS380='check-Jul25'!BS380,"",'1. Live'!BS380-'check-Jul25'!BS380)</f>
        <v/>
      </c>
      <c r="BT380" t="str">
        <f>IF('1. Live'!BT380='check-Jul25'!BT380,"",'1. Live'!BT380-'check-Jul25'!BT380)</f>
        <v/>
      </c>
      <c r="BU380" t="str">
        <f>IF('1. Live'!BU380='check-Jul25'!BU380,"",'1. Live'!BU380-'check-Jul25'!BU380)</f>
        <v/>
      </c>
      <c r="BV380" t="str">
        <f>IF('1. Live'!BV380='check-Jul25'!BV380,"",'1. Live'!BV380-'check-Jul25'!BV380)</f>
        <v/>
      </c>
      <c r="BW380" t="str">
        <f>IF('1. Live'!BW380='check-Jul25'!BW380,"",'1. Live'!BW380-'check-Jul25'!BW380)</f>
        <v/>
      </c>
      <c r="BX380" t="str">
        <f>IF('1. Live'!BX380='check-Jul25'!BX380,"",'1. Live'!BX380-'check-Jul25'!BX380)</f>
        <v/>
      </c>
      <c r="BY380" t="str">
        <f>IF('1. Live'!BY380='check-Jul25'!BY380,"",'1. Live'!BY380-'check-Jul25'!BY380)</f>
        <v/>
      </c>
      <c r="BZ380" t="str">
        <f>IF('1. Live'!BZ380='check-Jul25'!BZ380,"",'1. Live'!BZ380-'check-Jul25'!BZ380)</f>
        <v/>
      </c>
      <c r="CA380" t="str">
        <f>IF('1. Live'!CA380='check-Jul25'!CA380,"",'1. Live'!CA380-'check-Jul25'!CA380)</f>
        <v/>
      </c>
      <c r="CB380" t="str">
        <f>IF('1. Live'!CB380='check-Jul25'!CB380,"",'1. Live'!CB380-'check-Jul25'!CB380)</f>
        <v/>
      </c>
      <c r="CC380" t="str">
        <f>IF('1. Live'!CC380='check-Jul25'!CC380,"",'1. Live'!CC380-'check-Jul25'!CC380)</f>
        <v/>
      </c>
      <c r="CD380" t="str">
        <f>IF('1. Live'!CD380='check-Jul25'!CD380,"",'1. Live'!CD380-'check-Jul25'!CD380)</f>
        <v/>
      </c>
      <c r="CE380" t="str">
        <f>IF('1. Live'!CE380='check-Jul25'!CE380,"",'1. Live'!CE380-'check-Jul25'!CE380)</f>
        <v/>
      </c>
      <c r="CF380" t="str">
        <f>IF('1. Live'!CF380='check-Jul25'!CF380,"",'1. Live'!CF380-'check-Jul25'!CF380)</f>
        <v/>
      </c>
      <c r="CG380" t="str">
        <f>IF('1. Live'!CG380='check-Jul25'!CG380,"",'1. Live'!CG380-'check-Jul25'!CG380)</f>
        <v/>
      </c>
      <c r="CH380" t="str">
        <f>IF('1. Live'!CH380='check-Jul25'!CH380,"",'1. Live'!CH380-'check-Jul25'!CH380)</f>
        <v/>
      </c>
      <c r="CI380" t="str">
        <f>IF('1. Live'!CI380='check-Jul25'!CI380,"",'1. Live'!CI380-'check-Jul25'!CI380)</f>
        <v/>
      </c>
      <c r="CJ380" t="str">
        <f>IF('1. Live'!CJ380='check-Jul25'!CJ380,"",'1. Live'!CJ380-'check-Jul25'!CJ380)</f>
        <v/>
      </c>
      <c r="CK380" t="str">
        <f>IF('1. Live'!CK380='check-Jul25'!CK380,"",'1. Live'!CK380-'check-Jul25'!CK380)</f>
        <v/>
      </c>
      <c r="CL380" t="str">
        <f>IF('1. Live'!CL380='check-Jul25'!CL380,"",'1. Live'!CL380-'check-Jul25'!CL380)</f>
        <v/>
      </c>
      <c r="CM380" t="str">
        <f>IF('1. Live'!CM380='check-Jul25'!CM380,"",'1. Live'!CM380-'check-Jul25'!CM380)</f>
        <v/>
      </c>
      <c r="CN380" t="str">
        <f>IF('1. Live'!CN380='check-Jul25'!CN380,"",'1. Live'!CN380-'check-Jul25'!CN380)</f>
        <v/>
      </c>
      <c r="CO380" t="str">
        <f>IF('1. Live'!CO380='check-Jul25'!CO380,"",'1. Live'!CO380-'check-Jul25'!CO380)</f>
        <v/>
      </c>
      <c r="CP380" t="str">
        <f>IF('1. Live'!CP380='check-Jul25'!CP380,"",'1. Live'!CP380-'check-Jul25'!CP380)</f>
        <v/>
      </c>
      <c r="CQ380" t="str">
        <f>IF('1. Live'!CQ380='check-Jul25'!CQ380,"",'1. Live'!CQ380-'check-Jul25'!CQ380)</f>
        <v/>
      </c>
      <c r="CR380" t="str">
        <f>IF('1. Live'!CR380='check-Jul25'!CR380,"",'1. Live'!CR380-'check-Jul25'!CR380)</f>
        <v/>
      </c>
      <c r="CS380" t="str">
        <f>IF('1. Live'!CS380='check-Jul25'!CS380,"",'1. Live'!CS380-'check-Jul25'!CS380)</f>
        <v/>
      </c>
      <c r="CT380" t="str">
        <f>IF('1. Live'!CT380='check-Jul25'!CT380,"",'1. Live'!CT380-'check-Jul25'!CT380)</f>
        <v/>
      </c>
      <c r="CU380" t="str">
        <f>IF('1. Live'!CU380='check-Jul25'!CU380,"",'1. Live'!CU380-'check-Jul25'!CU380)</f>
        <v/>
      </c>
      <c r="CV380" t="str">
        <f>IF('1. Live'!CV380='check-Jul25'!CV380,"",'1. Live'!CV380-'check-Jul25'!CV380)</f>
        <v/>
      </c>
      <c r="CW380" t="str">
        <f>IF('1. Live'!CW380='check-Jul25'!CW380,"",'1. Live'!CW380-'check-Jul25'!CW380)</f>
        <v/>
      </c>
    </row>
    <row r="381" spans="10:101">
      <c r="J381" t="str">
        <f>IF('1. Live'!J381='check-Jul25'!J381,"",'1. Live'!J381-'check-Jul25'!J381)</f>
        <v/>
      </c>
      <c r="K381" t="str">
        <f>IF('1. Live'!K381='check-Jul25'!K381,"",'1. Live'!K381-'check-Jul25'!K381)</f>
        <v/>
      </c>
      <c r="L381" t="str">
        <f>IF('1. Live'!L381='check-Jul25'!L381,"",'1. Live'!L381-'check-Jul25'!L381)</f>
        <v/>
      </c>
      <c r="M381" t="str">
        <f>IF('1. Live'!M381='check-Jul25'!M381,"",'1. Live'!M381-'check-Jul25'!M381)</f>
        <v/>
      </c>
      <c r="N381" t="str">
        <f>IF('1. Live'!N381='check-Jul25'!N381,"",'1. Live'!N381-'check-Jul25'!N381)</f>
        <v/>
      </c>
      <c r="O381" t="str">
        <f>IF('1. Live'!O381='check-Jul25'!O381,"",'1. Live'!O381-'check-Jul25'!O381)</f>
        <v/>
      </c>
      <c r="P381" t="str">
        <f>IF('1. Live'!P381='check-Jul25'!P381,"",'1. Live'!P381-'check-Jul25'!P381)</f>
        <v/>
      </c>
      <c r="Q381" t="str">
        <f>IF('1. Live'!Q381='check-Jul25'!Q381,"",'1. Live'!Q381-'check-Jul25'!Q381)</f>
        <v/>
      </c>
      <c r="R381" t="str">
        <f>IF('1. Live'!R381='check-Jul25'!R381,"",'1. Live'!R381-'check-Jul25'!R381)</f>
        <v/>
      </c>
      <c r="S381" t="str">
        <f>IF('1. Live'!S381='check-Jul25'!S381,"",'1. Live'!S381-'check-Jul25'!S381)</f>
        <v/>
      </c>
      <c r="T381" t="str">
        <f>IF('1. Live'!T381='check-Jul25'!T381,"",'1. Live'!T381-'check-Jul25'!T381)</f>
        <v/>
      </c>
      <c r="U381" t="str">
        <f>IF('1. Live'!U381='check-Jul25'!U381,"",'1. Live'!U381-'check-Jul25'!U381)</f>
        <v/>
      </c>
      <c r="V381" t="str">
        <f>IF('1. Live'!V381='check-Jul25'!V381,"",'1. Live'!V381-'check-Jul25'!V381)</f>
        <v/>
      </c>
      <c r="W381" t="str">
        <f>IF('1. Live'!W381='check-Jul25'!W381,"",'1. Live'!W381-'check-Jul25'!W381)</f>
        <v/>
      </c>
      <c r="X381" t="str">
        <f>IF('1. Live'!X381='check-Jul25'!X381,"",'1. Live'!X381-'check-Jul25'!X381)</f>
        <v/>
      </c>
      <c r="Y381" t="str">
        <f>IF('1. Live'!Y381='check-Jul25'!Y381,"",'1. Live'!Y381-'check-Jul25'!Y381)</f>
        <v/>
      </c>
      <c r="Z381" t="str">
        <f>IF('1. Live'!Z381='check-Jul25'!Z381,"",'1. Live'!Z381-'check-Jul25'!Z381)</f>
        <v/>
      </c>
      <c r="AA381" t="str">
        <f>IF('1. Live'!AA381='check-Jul25'!AA381,"",'1. Live'!AA381-'check-Jul25'!AA381)</f>
        <v/>
      </c>
      <c r="AB381" t="str">
        <f>IF('1. Live'!AB381='check-Jul25'!AB381,"",'1. Live'!AB381-'check-Jul25'!AB381)</f>
        <v/>
      </c>
      <c r="AC381" t="str">
        <f>IF('1. Live'!AC381='check-Jul25'!AC381,"",'1. Live'!AC381-'check-Jul25'!AC381)</f>
        <v/>
      </c>
      <c r="AD381" t="str">
        <f>IF('1. Live'!AD381='check-Jul25'!AD381,"",'1. Live'!AD381-'check-Jul25'!AD381)</f>
        <v/>
      </c>
      <c r="AE381" t="str">
        <f>IF('1. Live'!AE381='check-Jul25'!AE381,"",'1. Live'!AE381-'check-Jul25'!AE381)</f>
        <v/>
      </c>
      <c r="AF381" t="str">
        <f>IF('1. Live'!AF381='check-Jul25'!AF381,"",'1. Live'!AF381-'check-Jul25'!AF381)</f>
        <v/>
      </c>
      <c r="AG381" t="str">
        <f>IF('1. Live'!AG381='check-Jul25'!AG381,"",'1. Live'!AG381-'check-Jul25'!AG381)</f>
        <v/>
      </c>
      <c r="AH381" t="str">
        <f>IF('1. Live'!AH381='check-Jul25'!AH381,"",'1. Live'!AH381-'check-Jul25'!AH381)</f>
        <v/>
      </c>
      <c r="AI381" t="str">
        <f>IF('1. Live'!AI381='check-Jul25'!AI381,"",'1. Live'!AI381-'check-Jul25'!AI381)</f>
        <v/>
      </c>
      <c r="AJ381" t="str">
        <f>IF('1. Live'!AJ381='check-Jul25'!AJ381,"",'1. Live'!AJ381-'check-Jul25'!AJ381)</f>
        <v/>
      </c>
      <c r="AK381" t="str">
        <f>IF('1. Live'!AK381='check-Jul25'!AK381,"",'1. Live'!AK381-'check-Jul25'!AK381)</f>
        <v/>
      </c>
      <c r="AL381" t="str">
        <f>IF('1. Live'!AL381='check-Jul25'!AL381,"",'1. Live'!AL381-'check-Jul25'!AL381)</f>
        <v/>
      </c>
      <c r="AM381" t="str">
        <f>IF('1. Live'!AM381='check-Jul25'!AM381,"",'1. Live'!AM381-'check-Jul25'!AM381)</f>
        <v/>
      </c>
      <c r="AN381" t="str">
        <f>IF('1. Live'!AN381='check-Jul25'!AN381,"",'1. Live'!AN381-'check-Jul25'!AN381)</f>
        <v/>
      </c>
      <c r="AO381" t="str">
        <f>IF('1. Live'!AO381='check-Jul25'!AO381,"",'1. Live'!AO381-'check-Jul25'!AO381)</f>
        <v/>
      </c>
      <c r="AP381" t="str">
        <f>IF('1. Live'!AP381='check-Jul25'!AP381,"",'1. Live'!AP381-'check-Jul25'!AP381)</f>
        <v/>
      </c>
      <c r="AQ381" t="str">
        <f>IF('1. Live'!AQ381='check-Jul25'!AQ381,"",'1. Live'!AQ381-'check-Jul25'!AQ381)</f>
        <v/>
      </c>
      <c r="AR381" t="str">
        <f>IF('1. Live'!AR381='check-Jul25'!AR381,"",'1. Live'!AR381-'check-Jul25'!AR381)</f>
        <v/>
      </c>
      <c r="AS381" t="str">
        <f>IF('1. Live'!AS381='check-Jul25'!AS381,"",'1. Live'!AS381-'check-Jul25'!AS381)</f>
        <v/>
      </c>
      <c r="AT381" t="str">
        <f>IF('1. Live'!AT381='check-Jul25'!AT381,"",'1. Live'!AT381-'check-Jul25'!AT381)</f>
        <v/>
      </c>
      <c r="AU381" t="str">
        <f>IF('1. Live'!AU381='check-Jul25'!AU381,"",'1. Live'!AU381-'check-Jul25'!AU381)</f>
        <v/>
      </c>
      <c r="AV381" t="str">
        <f>IF('1. Live'!AV381='check-Jul25'!AV381,"",'1. Live'!AV381-'check-Jul25'!AV381)</f>
        <v/>
      </c>
      <c r="AW381" t="str">
        <f>IF('1. Live'!AW381='check-Jul25'!AW381,"",'1. Live'!AW381-'check-Jul25'!AW381)</f>
        <v/>
      </c>
      <c r="AX381" t="str">
        <f>IF('1. Live'!AX381='check-Jul25'!AX381,"",'1. Live'!AX381-'check-Jul25'!AX381)</f>
        <v/>
      </c>
      <c r="AY381" t="str">
        <f>IF('1. Live'!AY381='check-Jul25'!AY381,"",'1. Live'!AY381-'check-Jul25'!AY381)</f>
        <v/>
      </c>
      <c r="AZ381" t="str">
        <f>IF('1. Live'!AZ381='check-Jul25'!AZ381,"",'1. Live'!AZ381-'check-Jul25'!AZ381)</f>
        <v/>
      </c>
      <c r="BA381" t="str">
        <f>IF('1. Live'!BA381='check-Jul25'!BA381,"",'1. Live'!BA381-'check-Jul25'!BA381)</f>
        <v/>
      </c>
      <c r="BB381" t="str">
        <f>IF('1. Live'!BB381='check-Jul25'!BB381,"",'1. Live'!BB381-'check-Jul25'!BB381)</f>
        <v/>
      </c>
      <c r="BC381" t="str">
        <f>IF('1. Live'!BC381='check-Jul25'!BC381,"",'1. Live'!BC381-'check-Jul25'!BC381)</f>
        <v/>
      </c>
      <c r="BD381" t="str">
        <f>IF('1. Live'!BD381='check-Jul25'!BD381,"",'1. Live'!BD381-'check-Jul25'!BD381)</f>
        <v/>
      </c>
      <c r="BE381" t="str">
        <f>IF('1. Live'!BE381='check-Jul25'!BE381,"",'1. Live'!BE381-'check-Jul25'!BE381)</f>
        <v/>
      </c>
      <c r="BF381" t="str">
        <f>IF('1. Live'!BF381='check-Jul25'!BF381,"",'1. Live'!BF381-'check-Jul25'!BF381)</f>
        <v/>
      </c>
      <c r="BG381" t="str">
        <f>IF('1. Live'!BG381='check-Jul25'!BG381,"",'1. Live'!BG381-'check-Jul25'!BG381)</f>
        <v/>
      </c>
      <c r="BH381" t="str">
        <f>IF('1. Live'!BH381='check-Jul25'!BH381,"",'1. Live'!BH381-'check-Jul25'!BH381)</f>
        <v/>
      </c>
      <c r="BI381" t="str">
        <f>IF('1. Live'!BI381='check-Jul25'!BI381,"",'1. Live'!BI381-'check-Jul25'!BI381)</f>
        <v/>
      </c>
      <c r="BJ381" t="str">
        <f>IF('1. Live'!BJ381='check-Jul25'!BJ381,"",'1. Live'!BJ381-'check-Jul25'!BJ381)</f>
        <v/>
      </c>
      <c r="BK381" t="str">
        <f>IF('1. Live'!BK381='check-Jul25'!BK381,"",'1. Live'!BK381-'check-Jul25'!BK381)</f>
        <v/>
      </c>
      <c r="BL381" t="str">
        <f>IF('1. Live'!BL381='check-Jul25'!BL381,"",'1. Live'!BL381-'check-Jul25'!BL381)</f>
        <v/>
      </c>
      <c r="BM381" t="str">
        <f>IF('1. Live'!BM381='check-Jul25'!BM381,"",'1. Live'!BM381-'check-Jul25'!BM381)</f>
        <v/>
      </c>
      <c r="BN381" t="str">
        <f>IF('1. Live'!BN381='check-Jul25'!BN381,"",'1. Live'!BN381-'check-Jul25'!BN381)</f>
        <v/>
      </c>
      <c r="BO381" t="str">
        <f>IF('1. Live'!BO381='check-Jul25'!BO381,"",'1. Live'!BO381-'check-Jul25'!BO381)</f>
        <v/>
      </c>
      <c r="BP381" t="str">
        <f>IF('1. Live'!BP381='check-Jul25'!BP381,"",'1. Live'!BP381-'check-Jul25'!BP381)</f>
        <v/>
      </c>
      <c r="BQ381" t="str">
        <f>IF('1. Live'!BQ381='check-Jul25'!BQ381,"",'1. Live'!BQ381-'check-Jul25'!BQ381)</f>
        <v/>
      </c>
      <c r="BR381" t="str">
        <f>IF('1. Live'!BR381='check-Jul25'!BR381,"",'1. Live'!BR381-'check-Jul25'!BR381)</f>
        <v/>
      </c>
      <c r="BS381" t="str">
        <f>IF('1. Live'!BS381='check-Jul25'!BS381,"",'1. Live'!BS381-'check-Jul25'!BS381)</f>
        <v/>
      </c>
      <c r="BT381" t="str">
        <f>IF('1. Live'!BT381='check-Jul25'!BT381,"",'1. Live'!BT381-'check-Jul25'!BT381)</f>
        <v/>
      </c>
      <c r="BU381" t="str">
        <f>IF('1. Live'!BU381='check-Jul25'!BU381,"",'1. Live'!BU381-'check-Jul25'!BU381)</f>
        <v/>
      </c>
      <c r="BV381" t="str">
        <f>IF('1. Live'!BV381='check-Jul25'!BV381,"",'1. Live'!BV381-'check-Jul25'!BV381)</f>
        <v/>
      </c>
      <c r="BW381" t="str">
        <f>IF('1. Live'!BW381='check-Jul25'!BW381,"",'1. Live'!BW381-'check-Jul25'!BW381)</f>
        <v/>
      </c>
      <c r="BX381" t="str">
        <f>IF('1. Live'!BX381='check-Jul25'!BX381,"",'1. Live'!BX381-'check-Jul25'!BX381)</f>
        <v/>
      </c>
      <c r="BY381" t="str">
        <f>IF('1. Live'!BY381='check-Jul25'!BY381,"",'1. Live'!BY381-'check-Jul25'!BY381)</f>
        <v/>
      </c>
      <c r="BZ381" t="str">
        <f>IF('1. Live'!BZ381='check-Jul25'!BZ381,"",'1. Live'!BZ381-'check-Jul25'!BZ381)</f>
        <v/>
      </c>
      <c r="CA381" t="str">
        <f>IF('1. Live'!CA381='check-Jul25'!CA381,"",'1. Live'!CA381-'check-Jul25'!CA381)</f>
        <v/>
      </c>
      <c r="CB381" t="str">
        <f>IF('1. Live'!CB381='check-Jul25'!CB381,"",'1. Live'!CB381-'check-Jul25'!CB381)</f>
        <v/>
      </c>
      <c r="CC381" t="str">
        <f>IF('1. Live'!CC381='check-Jul25'!CC381,"",'1. Live'!CC381-'check-Jul25'!CC381)</f>
        <v/>
      </c>
      <c r="CD381" t="str">
        <f>IF('1. Live'!CD381='check-Jul25'!CD381,"",'1. Live'!CD381-'check-Jul25'!CD381)</f>
        <v/>
      </c>
      <c r="CE381" t="str">
        <f>IF('1. Live'!CE381='check-Jul25'!CE381,"",'1. Live'!CE381-'check-Jul25'!CE381)</f>
        <v/>
      </c>
      <c r="CF381" t="str">
        <f>IF('1. Live'!CF381='check-Jul25'!CF381,"",'1. Live'!CF381-'check-Jul25'!CF381)</f>
        <v/>
      </c>
      <c r="CG381" t="str">
        <f>IF('1. Live'!CG381='check-Jul25'!CG381,"",'1. Live'!CG381-'check-Jul25'!CG381)</f>
        <v/>
      </c>
      <c r="CH381" t="str">
        <f>IF('1. Live'!CH381='check-Jul25'!CH381,"",'1. Live'!CH381-'check-Jul25'!CH381)</f>
        <v/>
      </c>
      <c r="CI381" t="str">
        <f>IF('1. Live'!CI381='check-Jul25'!CI381,"",'1. Live'!CI381-'check-Jul25'!CI381)</f>
        <v/>
      </c>
      <c r="CJ381" t="str">
        <f>IF('1. Live'!CJ381='check-Jul25'!CJ381,"",'1. Live'!CJ381-'check-Jul25'!CJ381)</f>
        <v/>
      </c>
      <c r="CK381" t="str">
        <f>IF('1. Live'!CK381='check-Jul25'!CK381,"",'1. Live'!CK381-'check-Jul25'!CK381)</f>
        <v/>
      </c>
      <c r="CL381" t="str">
        <f>IF('1. Live'!CL381='check-Jul25'!CL381,"",'1. Live'!CL381-'check-Jul25'!CL381)</f>
        <v/>
      </c>
      <c r="CM381" t="str">
        <f>IF('1. Live'!CM381='check-Jul25'!CM381,"",'1. Live'!CM381-'check-Jul25'!CM381)</f>
        <v/>
      </c>
      <c r="CN381" t="str">
        <f>IF('1. Live'!CN381='check-Jul25'!CN381,"",'1. Live'!CN381-'check-Jul25'!CN381)</f>
        <v/>
      </c>
      <c r="CO381" t="str">
        <f>IF('1. Live'!CO381='check-Jul25'!CO381,"",'1. Live'!CO381-'check-Jul25'!CO381)</f>
        <v/>
      </c>
      <c r="CP381" t="str">
        <f>IF('1. Live'!CP381='check-Jul25'!CP381,"",'1. Live'!CP381-'check-Jul25'!CP381)</f>
        <v/>
      </c>
      <c r="CQ381" t="str">
        <f>IF('1. Live'!CQ381='check-Jul25'!CQ381,"",'1. Live'!CQ381-'check-Jul25'!CQ381)</f>
        <v/>
      </c>
      <c r="CR381" t="str">
        <f>IF('1. Live'!CR381='check-Jul25'!CR381,"",'1. Live'!CR381-'check-Jul25'!CR381)</f>
        <v/>
      </c>
      <c r="CS381" t="str">
        <f>IF('1. Live'!CS381='check-Jul25'!CS381,"",'1. Live'!CS381-'check-Jul25'!CS381)</f>
        <v/>
      </c>
      <c r="CT381" t="str">
        <f>IF('1. Live'!CT381='check-Jul25'!CT381,"",'1. Live'!CT381-'check-Jul25'!CT381)</f>
        <v/>
      </c>
      <c r="CU381" t="str">
        <f>IF('1. Live'!CU381='check-Jul25'!CU381,"",'1. Live'!CU381-'check-Jul25'!CU381)</f>
        <v/>
      </c>
      <c r="CV381" t="str">
        <f>IF('1. Live'!CV381='check-Jul25'!CV381,"",'1. Live'!CV381-'check-Jul25'!CV381)</f>
        <v/>
      </c>
      <c r="CW381" t="str">
        <f>IF('1. Live'!CW381='check-Jul25'!CW381,"",'1. Live'!CW381-'check-Jul25'!CW381)</f>
        <v/>
      </c>
    </row>
    <row r="382" spans="10:101">
      <c r="J382" t="str">
        <f>IF('1. Live'!J382='check-Jul25'!J382,"",'1. Live'!J382-'check-Jul25'!J382)</f>
        <v/>
      </c>
      <c r="K382" t="str">
        <f>IF('1. Live'!K382='check-Jul25'!K382,"",'1. Live'!K382-'check-Jul25'!K382)</f>
        <v/>
      </c>
      <c r="L382" t="str">
        <f>IF('1. Live'!L382='check-Jul25'!L382,"",'1. Live'!L382-'check-Jul25'!L382)</f>
        <v/>
      </c>
      <c r="M382" t="str">
        <f>IF('1. Live'!M382='check-Jul25'!M382,"",'1. Live'!M382-'check-Jul25'!M382)</f>
        <v/>
      </c>
      <c r="N382" t="str">
        <f>IF('1. Live'!N382='check-Jul25'!N382,"",'1. Live'!N382-'check-Jul25'!N382)</f>
        <v/>
      </c>
      <c r="O382" t="str">
        <f>IF('1. Live'!O382='check-Jul25'!O382,"",'1. Live'!O382-'check-Jul25'!O382)</f>
        <v/>
      </c>
      <c r="P382" t="str">
        <f>IF('1. Live'!P382='check-Jul25'!P382,"",'1. Live'!P382-'check-Jul25'!P382)</f>
        <v/>
      </c>
      <c r="Q382" t="str">
        <f>IF('1. Live'!Q382='check-Jul25'!Q382,"",'1. Live'!Q382-'check-Jul25'!Q382)</f>
        <v/>
      </c>
      <c r="R382" t="str">
        <f>IF('1. Live'!R382='check-Jul25'!R382,"",'1. Live'!R382-'check-Jul25'!R382)</f>
        <v/>
      </c>
      <c r="S382" t="str">
        <f>IF('1. Live'!S382='check-Jul25'!S382,"",'1. Live'!S382-'check-Jul25'!S382)</f>
        <v/>
      </c>
      <c r="T382" t="str">
        <f>IF('1. Live'!T382='check-Jul25'!T382,"",'1. Live'!T382-'check-Jul25'!T382)</f>
        <v/>
      </c>
      <c r="U382" t="str">
        <f>IF('1. Live'!U382='check-Jul25'!U382,"",'1. Live'!U382-'check-Jul25'!U382)</f>
        <v/>
      </c>
      <c r="V382" t="str">
        <f>IF('1. Live'!V382='check-Jul25'!V382,"",'1. Live'!V382-'check-Jul25'!V382)</f>
        <v/>
      </c>
      <c r="W382" t="str">
        <f>IF('1. Live'!W382='check-Jul25'!W382,"",'1. Live'!W382-'check-Jul25'!W382)</f>
        <v/>
      </c>
      <c r="X382" t="str">
        <f>IF('1. Live'!X382='check-Jul25'!X382,"",'1. Live'!X382-'check-Jul25'!X382)</f>
        <v/>
      </c>
      <c r="Y382" t="str">
        <f>IF('1. Live'!Y382='check-Jul25'!Y382,"",'1. Live'!Y382-'check-Jul25'!Y382)</f>
        <v/>
      </c>
      <c r="Z382" t="str">
        <f>IF('1. Live'!Z382='check-Jul25'!Z382,"",'1. Live'!Z382-'check-Jul25'!Z382)</f>
        <v/>
      </c>
      <c r="AA382" t="str">
        <f>IF('1. Live'!AA382='check-Jul25'!AA382,"",'1. Live'!AA382-'check-Jul25'!AA382)</f>
        <v/>
      </c>
      <c r="AB382" t="str">
        <f>IF('1. Live'!AB382='check-Jul25'!AB382,"",'1. Live'!AB382-'check-Jul25'!AB382)</f>
        <v/>
      </c>
      <c r="AC382" t="str">
        <f>IF('1. Live'!AC382='check-Jul25'!AC382,"",'1. Live'!AC382-'check-Jul25'!AC382)</f>
        <v/>
      </c>
      <c r="AD382" t="str">
        <f>IF('1. Live'!AD382='check-Jul25'!AD382,"",'1. Live'!AD382-'check-Jul25'!AD382)</f>
        <v/>
      </c>
      <c r="AE382" t="str">
        <f>IF('1. Live'!AE382='check-Jul25'!AE382,"",'1. Live'!AE382-'check-Jul25'!AE382)</f>
        <v/>
      </c>
      <c r="AF382" t="str">
        <f>IF('1. Live'!AF382='check-Jul25'!AF382,"",'1. Live'!AF382-'check-Jul25'!AF382)</f>
        <v/>
      </c>
      <c r="AG382" t="str">
        <f>IF('1. Live'!AG382='check-Jul25'!AG382,"",'1. Live'!AG382-'check-Jul25'!AG382)</f>
        <v/>
      </c>
      <c r="AH382" t="str">
        <f>IF('1. Live'!AH382='check-Jul25'!AH382,"",'1. Live'!AH382-'check-Jul25'!AH382)</f>
        <v/>
      </c>
      <c r="AI382" t="str">
        <f>IF('1. Live'!AI382='check-Jul25'!AI382,"",'1. Live'!AI382-'check-Jul25'!AI382)</f>
        <v/>
      </c>
      <c r="AJ382" t="str">
        <f>IF('1. Live'!AJ382='check-Jul25'!AJ382,"",'1. Live'!AJ382-'check-Jul25'!AJ382)</f>
        <v/>
      </c>
      <c r="AK382" t="str">
        <f>IF('1. Live'!AK382='check-Jul25'!AK382,"",'1. Live'!AK382-'check-Jul25'!AK382)</f>
        <v/>
      </c>
      <c r="AL382" t="str">
        <f>IF('1. Live'!AL382='check-Jul25'!AL382,"",'1. Live'!AL382-'check-Jul25'!AL382)</f>
        <v/>
      </c>
      <c r="AM382" t="str">
        <f>IF('1. Live'!AM382='check-Jul25'!AM382,"",'1. Live'!AM382-'check-Jul25'!AM382)</f>
        <v/>
      </c>
      <c r="AN382" t="str">
        <f>IF('1. Live'!AN382='check-Jul25'!AN382,"",'1. Live'!AN382-'check-Jul25'!AN382)</f>
        <v/>
      </c>
      <c r="AO382" t="str">
        <f>IF('1. Live'!AO382='check-Jul25'!AO382,"",'1. Live'!AO382-'check-Jul25'!AO382)</f>
        <v/>
      </c>
      <c r="AP382" t="str">
        <f>IF('1. Live'!AP382='check-Jul25'!AP382,"",'1. Live'!AP382-'check-Jul25'!AP382)</f>
        <v/>
      </c>
      <c r="AQ382" t="str">
        <f>IF('1. Live'!AQ382='check-Jul25'!AQ382,"",'1. Live'!AQ382-'check-Jul25'!AQ382)</f>
        <v/>
      </c>
      <c r="AR382" t="str">
        <f>IF('1. Live'!AR382='check-Jul25'!AR382,"",'1. Live'!AR382-'check-Jul25'!AR382)</f>
        <v/>
      </c>
      <c r="AS382" t="str">
        <f>IF('1. Live'!AS382='check-Jul25'!AS382,"",'1. Live'!AS382-'check-Jul25'!AS382)</f>
        <v/>
      </c>
      <c r="AT382" t="str">
        <f>IF('1. Live'!AT382='check-Jul25'!AT382,"",'1. Live'!AT382-'check-Jul25'!AT382)</f>
        <v/>
      </c>
      <c r="AU382" t="str">
        <f>IF('1. Live'!AU382='check-Jul25'!AU382,"",'1. Live'!AU382-'check-Jul25'!AU382)</f>
        <v/>
      </c>
      <c r="AV382" t="str">
        <f>IF('1. Live'!AV382='check-Jul25'!AV382,"",'1. Live'!AV382-'check-Jul25'!AV382)</f>
        <v/>
      </c>
      <c r="AW382" t="str">
        <f>IF('1. Live'!AW382='check-Jul25'!AW382,"",'1. Live'!AW382-'check-Jul25'!AW382)</f>
        <v/>
      </c>
      <c r="AX382" t="str">
        <f>IF('1. Live'!AX382='check-Jul25'!AX382,"",'1. Live'!AX382-'check-Jul25'!AX382)</f>
        <v/>
      </c>
      <c r="AY382" t="str">
        <f>IF('1. Live'!AY382='check-Jul25'!AY382,"",'1. Live'!AY382-'check-Jul25'!AY382)</f>
        <v/>
      </c>
      <c r="AZ382" t="str">
        <f>IF('1. Live'!AZ382='check-Jul25'!AZ382,"",'1. Live'!AZ382-'check-Jul25'!AZ382)</f>
        <v/>
      </c>
      <c r="BA382" t="str">
        <f>IF('1. Live'!BA382='check-Jul25'!BA382,"",'1. Live'!BA382-'check-Jul25'!BA382)</f>
        <v/>
      </c>
      <c r="BB382" t="str">
        <f>IF('1. Live'!BB382='check-Jul25'!BB382,"",'1. Live'!BB382-'check-Jul25'!BB382)</f>
        <v/>
      </c>
      <c r="BC382" t="str">
        <f>IF('1. Live'!BC382='check-Jul25'!BC382,"",'1. Live'!BC382-'check-Jul25'!BC382)</f>
        <v/>
      </c>
      <c r="BD382" t="str">
        <f>IF('1. Live'!BD382='check-Jul25'!BD382,"",'1. Live'!BD382-'check-Jul25'!BD382)</f>
        <v/>
      </c>
      <c r="BE382" t="str">
        <f>IF('1. Live'!BE382='check-Jul25'!BE382,"",'1. Live'!BE382-'check-Jul25'!BE382)</f>
        <v/>
      </c>
      <c r="BF382" t="str">
        <f>IF('1. Live'!BF382='check-Jul25'!BF382,"",'1. Live'!BF382-'check-Jul25'!BF382)</f>
        <v/>
      </c>
      <c r="BG382" t="str">
        <f>IF('1. Live'!BG382='check-Jul25'!BG382,"",'1. Live'!BG382-'check-Jul25'!BG382)</f>
        <v/>
      </c>
      <c r="BH382" t="str">
        <f>IF('1. Live'!BH382='check-Jul25'!BH382,"",'1. Live'!BH382-'check-Jul25'!BH382)</f>
        <v/>
      </c>
      <c r="BI382" t="str">
        <f>IF('1. Live'!BI382='check-Jul25'!BI382,"",'1. Live'!BI382-'check-Jul25'!BI382)</f>
        <v/>
      </c>
      <c r="BJ382" t="str">
        <f>IF('1. Live'!BJ382='check-Jul25'!BJ382,"",'1. Live'!BJ382-'check-Jul25'!BJ382)</f>
        <v/>
      </c>
      <c r="BK382" t="str">
        <f>IF('1. Live'!BK382='check-Jul25'!BK382,"",'1. Live'!BK382-'check-Jul25'!BK382)</f>
        <v/>
      </c>
      <c r="BL382" t="str">
        <f>IF('1. Live'!BL382='check-Jul25'!BL382,"",'1. Live'!BL382-'check-Jul25'!BL382)</f>
        <v/>
      </c>
      <c r="BM382" t="str">
        <f>IF('1. Live'!BM382='check-Jul25'!BM382,"",'1. Live'!BM382-'check-Jul25'!BM382)</f>
        <v/>
      </c>
      <c r="BN382" t="str">
        <f>IF('1. Live'!BN382='check-Jul25'!BN382,"",'1. Live'!BN382-'check-Jul25'!BN382)</f>
        <v/>
      </c>
      <c r="BO382" t="str">
        <f>IF('1. Live'!BO382='check-Jul25'!BO382,"",'1. Live'!BO382-'check-Jul25'!BO382)</f>
        <v/>
      </c>
      <c r="BP382" t="str">
        <f>IF('1. Live'!BP382='check-Jul25'!BP382,"",'1. Live'!BP382-'check-Jul25'!BP382)</f>
        <v/>
      </c>
      <c r="BQ382" t="str">
        <f>IF('1. Live'!BQ382='check-Jul25'!BQ382,"",'1. Live'!BQ382-'check-Jul25'!BQ382)</f>
        <v/>
      </c>
      <c r="BR382" t="str">
        <f>IF('1. Live'!BR382='check-Jul25'!BR382,"",'1. Live'!BR382-'check-Jul25'!BR382)</f>
        <v/>
      </c>
      <c r="BS382" t="str">
        <f>IF('1. Live'!BS382='check-Jul25'!BS382,"",'1. Live'!BS382-'check-Jul25'!BS382)</f>
        <v/>
      </c>
      <c r="BT382" t="str">
        <f>IF('1. Live'!BT382='check-Jul25'!BT382,"",'1. Live'!BT382-'check-Jul25'!BT382)</f>
        <v/>
      </c>
      <c r="BU382" t="str">
        <f>IF('1. Live'!BU382='check-Jul25'!BU382,"",'1. Live'!BU382-'check-Jul25'!BU382)</f>
        <v/>
      </c>
      <c r="BV382" t="str">
        <f>IF('1. Live'!BV382='check-Jul25'!BV382,"",'1. Live'!BV382-'check-Jul25'!BV382)</f>
        <v/>
      </c>
      <c r="BW382" t="str">
        <f>IF('1. Live'!BW382='check-Jul25'!BW382,"",'1. Live'!BW382-'check-Jul25'!BW382)</f>
        <v/>
      </c>
      <c r="BX382" t="str">
        <f>IF('1. Live'!BX382='check-Jul25'!BX382,"",'1. Live'!BX382-'check-Jul25'!BX382)</f>
        <v/>
      </c>
      <c r="BY382" t="str">
        <f>IF('1. Live'!BY382='check-Jul25'!BY382,"",'1. Live'!BY382-'check-Jul25'!BY382)</f>
        <v/>
      </c>
      <c r="BZ382" t="str">
        <f>IF('1. Live'!BZ382='check-Jul25'!BZ382,"",'1. Live'!BZ382-'check-Jul25'!BZ382)</f>
        <v/>
      </c>
      <c r="CA382" t="str">
        <f>IF('1. Live'!CA382='check-Jul25'!CA382,"",'1. Live'!CA382-'check-Jul25'!CA382)</f>
        <v/>
      </c>
      <c r="CB382" t="str">
        <f>IF('1. Live'!CB382='check-Jul25'!CB382,"",'1. Live'!CB382-'check-Jul25'!CB382)</f>
        <v/>
      </c>
      <c r="CC382" t="str">
        <f>IF('1. Live'!CC382='check-Jul25'!CC382,"",'1. Live'!CC382-'check-Jul25'!CC382)</f>
        <v/>
      </c>
      <c r="CD382" t="str">
        <f>IF('1. Live'!CD382='check-Jul25'!CD382,"",'1. Live'!CD382-'check-Jul25'!CD382)</f>
        <v/>
      </c>
      <c r="CE382" t="str">
        <f>IF('1. Live'!CE382='check-Jul25'!CE382,"",'1. Live'!CE382-'check-Jul25'!CE382)</f>
        <v/>
      </c>
      <c r="CF382" t="str">
        <f>IF('1. Live'!CF382='check-Jul25'!CF382,"",'1. Live'!CF382-'check-Jul25'!CF382)</f>
        <v/>
      </c>
      <c r="CG382" t="str">
        <f>IF('1. Live'!CG382='check-Jul25'!CG382,"",'1. Live'!CG382-'check-Jul25'!CG382)</f>
        <v/>
      </c>
      <c r="CH382" t="str">
        <f>IF('1. Live'!CH382='check-Jul25'!CH382,"",'1. Live'!CH382-'check-Jul25'!CH382)</f>
        <v/>
      </c>
      <c r="CI382" t="str">
        <f>IF('1. Live'!CI382='check-Jul25'!CI382,"",'1. Live'!CI382-'check-Jul25'!CI382)</f>
        <v/>
      </c>
      <c r="CJ382" t="str">
        <f>IF('1. Live'!CJ382='check-Jul25'!CJ382,"",'1. Live'!CJ382-'check-Jul25'!CJ382)</f>
        <v/>
      </c>
      <c r="CK382" t="str">
        <f>IF('1. Live'!CK382='check-Jul25'!CK382,"",'1. Live'!CK382-'check-Jul25'!CK382)</f>
        <v/>
      </c>
      <c r="CL382" t="str">
        <f>IF('1. Live'!CL382='check-Jul25'!CL382,"",'1. Live'!CL382-'check-Jul25'!CL382)</f>
        <v/>
      </c>
      <c r="CM382" t="str">
        <f>IF('1. Live'!CM382='check-Jul25'!CM382,"",'1. Live'!CM382-'check-Jul25'!CM382)</f>
        <v/>
      </c>
      <c r="CN382" t="str">
        <f>IF('1. Live'!CN382='check-Jul25'!CN382,"",'1. Live'!CN382-'check-Jul25'!CN382)</f>
        <v/>
      </c>
      <c r="CO382" t="str">
        <f>IF('1. Live'!CO382='check-Jul25'!CO382,"",'1. Live'!CO382-'check-Jul25'!CO382)</f>
        <v/>
      </c>
      <c r="CP382" t="str">
        <f>IF('1. Live'!CP382='check-Jul25'!CP382,"",'1. Live'!CP382-'check-Jul25'!CP382)</f>
        <v/>
      </c>
      <c r="CQ382" t="str">
        <f>IF('1. Live'!CQ382='check-Jul25'!CQ382,"",'1. Live'!CQ382-'check-Jul25'!CQ382)</f>
        <v/>
      </c>
      <c r="CR382" t="str">
        <f>IF('1. Live'!CR382='check-Jul25'!CR382,"",'1. Live'!CR382-'check-Jul25'!CR382)</f>
        <v/>
      </c>
      <c r="CS382" t="str">
        <f>IF('1. Live'!CS382='check-Jul25'!CS382,"",'1. Live'!CS382-'check-Jul25'!CS382)</f>
        <v/>
      </c>
      <c r="CT382" t="str">
        <f>IF('1. Live'!CT382='check-Jul25'!CT382,"",'1. Live'!CT382-'check-Jul25'!CT382)</f>
        <v/>
      </c>
      <c r="CU382" t="str">
        <f>IF('1. Live'!CU382='check-Jul25'!CU382,"",'1. Live'!CU382-'check-Jul25'!CU382)</f>
        <v/>
      </c>
      <c r="CV382" t="str">
        <f>IF('1. Live'!CV382='check-Jul25'!CV382,"",'1. Live'!CV382-'check-Jul25'!CV382)</f>
        <v/>
      </c>
      <c r="CW382" t="str">
        <f>IF('1. Live'!CW382='check-Jul25'!CW382,"",'1. Live'!CW382-'check-Jul25'!CW382)</f>
        <v/>
      </c>
    </row>
    <row r="383" spans="10:101">
      <c r="J383" t="str">
        <f>IF('1. Live'!J383='check-Jul25'!J383,"",'1. Live'!J383-'check-Jul25'!J383)</f>
        <v/>
      </c>
      <c r="K383" t="str">
        <f>IF('1. Live'!K383='check-Jul25'!K383,"",'1. Live'!K383-'check-Jul25'!K383)</f>
        <v/>
      </c>
      <c r="L383" t="str">
        <f>IF('1. Live'!L383='check-Jul25'!L383,"",'1. Live'!L383-'check-Jul25'!L383)</f>
        <v/>
      </c>
      <c r="M383" t="str">
        <f>IF('1. Live'!M383='check-Jul25'!M383,"",'1. Live'!M383-'check-Jul25'!M383)</f>
        <v/>
      </c>
      <c r="N383" t="str">
        <f>IF('1. Live'!N383='check-Jul25'!N383,"",'1. Live'!N383-'check-Jul25'!N383)</f>
        <v/>
      </c>
      <c r="O383" t="str">
        <f>IF('1. Live'!O383='check-Jul25'!O383,"",'1. Live'!O383-'check-Jul25'!O383)</f>
        <v/>
      </c>
      <c r="P383" t="str">
        <f>IF('1. Live'!P383='check-Jul25'!P383,"",'1. Live'!P383-'check-Jul25'!P383)</f>
        <v/>
      </c>
      <c r="Q383" t="str">
        <f>IF('1. Live'!Q383='check-Jul25'!Q383,"",'1. Live'!Q383-'check-Jul25'!Q383)</f>
        <v/>
      </c>
      <c r="R383" t="str">
        <f>IF('1. Live'!R383='check-Jul25'!R383,"",'1. Live'!R383-'check-Jul25'!R383)</f>
        <v/>
      </c>
      <c r="S383" t="str">
        <f>IF('1. Live'!S383='check-Jul25'!S383,"",'1. Live'!S383-'check-Jul25'!S383)</f>
        <v/>
      </c>
      <c r="T383" t="str">
        <f>IF('1. Live'!T383='check-Jul25'!T383,"",'1. Live'!T383-'check-Jul25'!T383)</f>
        <v/>
      </c>
      <c r="U383" t="str">
        <f>IF('1. Live'!U383='check-Jul25'!U383,"",'1. Live'!U383-'check-Jul25'!U383)</f>
        <v/>
      </c>
      <c r="V383" t="str">
        <f>IF('1. Live'!V383='check-Jul25'!V383,"",'1. Live'!V383-'check-Jul25'!V383)</f>
        <v/>
      </c>
      <c r="W383" t="str">
        <f>IF('1. Live'!W383='check-Jul25'!W383,"",'1. Live'!W383-'check-Jul25'!W383)</f>
        <v/>
      </c>
      <c r="X383" t="str">
        <f>IF('1. Live'!X383='check-Jul25'!X383,"",'1. Live'!X383-'check-Jul25'!X383)</f>
        <v/>
      </c>
      <c r="Y383" t="str">
        <f>IF('1. Live'!Y383='check-Jul25'!Y383,"",'1. Live'!Y383-'check-Jul25'!Y383)</f>
        <v/>
      </c>
      <c r="Z383" t="str">
        <f>IF('1. Live'!Z383='check-Jul25'!Z383,"",'1. Live'!Z383-'check-Jul25'!Z383)</f>
        <v/>
      </c>
      <c r="AA383" t="str">
        <f>IF('1. Live'!AA383='check-Jul25'!AA383,"",'1. Live'!AA383-'check-Jul25'!AA383)</f>
        <v/>
      </c>
      <c r="AB383" t="str">
        <f>IF('1. Live'!AB383='check-Jul25'!AB383,"",'1. Live'!AB383-'check-Jul25'!AB383)</f>
        <v/>
      </c>
      <c r="AC383" t="str">
        <f>IF('1. Live'!AC383='check-Jul25'!AC383,"",'1. Live'!AC383-'check-Jul25'!AC383)</f>
        <v/>
      </c>
      <c r="AD383" t="str">
        <f>IF('1. Live'!AD383='check-Jul25'!AD383,"",'1. Live'!AD383-'check-Jul25'!AD383)</f>
        <v/>
      </c>
      <c r="AE383" t="str">
        <f>IF('1. Live'!AE383='check-Jul25'!AE383,"",'1. Live'!AE383-'check-Jul25'!AE383)</f>
        <v/>
      </c>
      <c r="AF383" t="str">
        <f>IF('1. Live'!AF383='check-Jul25'!AF383,"",'1. Live'!AF383-'check-Jul25'!AF383)</f>
        <v/>
      </c>
      <c r="AG383" t="str">
        <f>IF('1. Live'!AG383='check-Jul25'!AG383,"",'1. Live'!AG383-'check-Jul25'!AG383)</f>
        <v/>
      </c>
      <c r="AH383" t="str">
        <f>IF('1. Live'!AH383='check-Jul25'!AH383,"",'1. Live'!AH383-'check-Jul25'!AH383)</f>
        <v/>
      </c>
      <c r="AI383" t="str">
        <f>IF('1. Live'!AI383='check-Jul25'!AI383,"",'1. Live'!AI383-'check-Jul25'!AI383)</f>
        <v/>
      </c>
      <c r="AJ383" t="str">
        <f>IF('1. Live'!AJ383='check-Jul25'!AJ383,"",'1. Live'!AJ383-'check-Jul25'!AJ383)</f>
        <v/>
      </c>
      <c r="AK383" t="str">
        <f>IF('1. Live'!AK383='check-Jul25'!AK383,"",'1. Live'!AK383-'check-Jul25'!AK383)</f>
        <v/>
      </c>
      <c r="AL383" t="str">
        <f>IF('1. Live'!AL383='check-Jul25'!AL383,"",'1. Live'!AL383-'check-Jul25'!AL383)</f>
        <v/>
      </c>
      <c r="AM383" t="str">
        <f>IF('1. Live'!AM383='check-Jul25'!AM383,"",'1. Live'!AM383-'check-Jul25'!AM383)</f>
        <v/>
      </c>
      <c r="AN383" t="str">
        <f>IF('1. Live'!AN383='check-Jul25'!AN383,"",'1. Live'!AN383-'check-Jul25'!AN383)</f>
        <v/>
      </c>
      <c r="AO383" t="str">
        <f>IF('1. Live'!AO383='check-Jul25'!AO383,"",'1. Live'!AO383-'check-Jul25'!AO383)</f>
        <v/>
      </c>
      <c r="AP383" t="str">
        <f>IF('1. Live'!AP383='check-Jul25'!AP383,"",'1. Live'!AP383-'check-Jul25'!AP383)</f>
        <v/>
      </c>
      <c r="AQ383" t="str">
        <f>IF('1. Live'!AQ383='check-Jul25'!AQ383,"",'1. Live'!AQ383-'check-Jul25'!AQ383)</f>
        <v/>
      </c>
      <c r="AR383" t="str">
        <f>IF('1. Live'!AR383='check-Jul25'!AR383,"",'1. Live'!AR383-'check-Jul25'!AR383)</f>
        <v/>
      </c>
      <c r="AS383" t="str">
        <f>IF('1. Live'!AS383='check-Jul25'!AS383,"",'1. Live'!AS383-'check-Jul25'!AS383)</f>
        <v/>
      </c>
      <c r="AT383" t="str">
        <f>IF('1. Live'!AT383='check-Jul25'!AT383,"",'1. Live'!AT383-'check-Jul25'!AT383)</f>
        <v/>
      </c>
      <c r="AU383" t="str">
        <f>IF('1. Live'!AU383='check-Jul25'!AU383,"",'1. Live'!AU383-'check-Jul25'!AU383)</f>
        <v/>
      </c>
      <c r="AV383" t="str">
        <f>IF('1. Live'!AV383='check-Jul25'!AV383,"",'1. Live'!AV383-'check-Jul25'!AV383)</f>
        <v/>
      </c>
      <c r="AW383" t="str">
        <f>IF('1. Live'!AW383='check-Jul25'!AW383,"",'1. Live'!AW383-'check-Jul25'!AW383)</f>
        <v/>
      </c>
      <c r="AX383" t="str">
        <f>IF('1. Live'!AX383='check-Jul25'!AX383,"",'1. Live'!AX383-'check-Jul25'!AX383)</f>
        <v/>
      </c>
      <c r="AY383" t="str">
        <f>IF('1. Live'!AY383='check-Jul25'!AY383,"",'1. Live'!AY383-'check-Jul25'!AY383)</f>
        <v/>
      </c>
      <c r="AZ383" t="str">
        <f>IF('1. Live'!AZ383='check-Jul25'!AZ383,"",'1. Live'!AZ383-'check-Jul25'!AZ383)</f>
        <v/>
      </c>
      <c r="BA383" t="str">
        <f>IF('1. Live'!BA383='check-Jul25'!BA383,"",'1. Live'!BA383-'check-Jul25'!BA383)</f>
        <v/>
      </c>
      <c r="BB383" t="str">
        <f>IF('1. Live'!BB383='check-Jul25'!BB383,"",'1. Live'!BB383-'check-Jul25'!BB383)</f>
        <v/>
      </c>
      <c r="BC383" t="str">
        <f>IF('1. Live'!BC383='check-Jul25'!BC383,"",'1. Live'!BC383-'check-Jul25'!BC383)</f>
        <v/>
      </c>
      <c r="BD383" t="str">
        <f>IF('1. Live'!BD383='check-Jul25'!BD383,"",'1. Live'!BD383-'check-Jul25'!BD383)</f>
        <v/>
      </c>
      <c r="BE383" t="str">
        <f>IF('1. Live'!BE383='check-Jul25'!BE383,"",'1. Live'!BE383-'check-Jul25'!BE383)</f>
        <v/>
      </c>
      <c r="BF383" t="str">
        <f>IF('1. Live'!BF383='check-Jul25'!BF383,"",'1. Live'!BF383-'check-Jul25'!BF383)</f>
        <v/>
      </c>
      <c r="BG383" t="str">
        <f>IF('1. Live'!BG383='check-Jul25'!BG383,"",'1. Live'!BG383-'check-Jul25'!BG383)</f>
        <v/>
      </c>
      <c r="BH383" t="str">
        <f>IF('1. Live'!BH383='check-Jul25'!BH383,"",'1. Live'!BH383-'check-Jul25'!BH383)</f>
        <v/>
      </c>
      <c r="BI383" t="str">
        <f>IF('1. Live'!BI383='check-Jul25'!BI383,"",'1. Live'!BI383-'check-Jul25'!BI383)</f>
        <v/>
      </c>
      <c r="BJ383" t="str">
        <f>IF('1. Live'!BJ383='check-Jul25'!BJ383,"",'1. Live'!BJ383-'check-Jul25'!BJ383)</f>
        <v/>
      </c>
      <c r="BK383" t="str">
        <f>IF('1. Live'!BK383='check-Jul25'!BK383,"",'1. Live'!BK383-'check-Jul25'!BK383)</f>
        <v/>
      </c>
      <c r="BL383" t="str">
        <f>IF('1. Live'!BL383='check-Jul25'!BL383,"",'1. Live'!BL383-'check-Jul25'!BL383)</f>
        <v/>
      </c>
      <c r="BM383" t="str">
        <f>IF('1. Live'!BM383='check-Jul25'!BM383,"",'1. Live'!BM383-'check-Jul25'!BM383)</f>
        <v/>
      </c>
      <c r="BN383" t="str">
        <f>IF('1. Live'!BN383='check-Jul25'!BN383,"",'1. Live'!BN383-'check-Jul25'!BN383)</f>
        <v/>
      </c>
      <c r="BO383" t="str">
        <f>IF('1. Live'!BO383='check-Jul25'!BO383,"",'1. Live'!BO383-'check-Jul25'!BO383)</f>
        <v/>
      </c>
      <c r="BP383" t="str">
        <f>IF('1. Live'!BP383='check-Jul25'!BP383,"",'1. Live'!BP383-'check-Jul25'!BP383)</f>
        <v/>
      </c>
      <c r="BQ383" t="str">
        <f>IF('1. Live'!BQ383='check-Jul25'!BQ383,"",'1. Live'!BQ383-'check-Jul25'!BQ383)</f>
        <v/>
      </c>
      <c r="BR383" t="str">
        <f>IF('1. Live'!BR383='check-Jul25'!BR383,"",'1. Live'!BR383-'check-Jul25'!BR383)</f>
        <v/>
      </c>
      <c r="BS383" t="str">
        <f>IF('1. Live'!BS383='check-Jul25'!BS383,"",'1. Live'!BS383-'check-Jul25'!BS383)</f>
        <v/>
      </c>
      <c r="BT383" t="str">
        <f>IF('1. Live'!BT383='check-Jul25'!BT383,"",'1. Live'!BT383-'check-Jul25'!BT383)</f>
        <v/>
      </c>
      <c r="BU383" t="str">
        <f>IF('1. Live'!BU383='check-Jul25'!BU383,"",'1. Live'!BU383-'check-Jul25'!BU383)</f>
        <v/>
      </c>
      <c r="BV383" t="str">
        <f>IF('1. Live'!BV383='check-Jul25'!BV383,"",'1. Live'!BV383-'check-Jul25'!BV383)</f>
        <v/>
      </c>
      <c r="BW383" t="str">
        <f>IF('1. Live'!BW383='check-Jul25'!BW383,"",'1. Live'!BW383-'check-Jul25'!BW383)</f>
        <v/>
      </c>
      <c r="BX383" t="str">
        <f>IF('1. Live'!BX383='check-Jul25'!BX383,"",'1. Live'!BX383-'check-Jul25'!BX383)</f>
        <v/>
      </c>
      <c r="BY383" t="str">
        <f>IF('1. Live'!BY383='check-Jul25'!BY383,"",'1. Live'!BY383-'check-Jul25'!BY383)</f>
        <v/>
      </c>
      <c r="BZ383" t="str">
        <f>IF('1. Live'!BZ383='check-Jul25'!BZ383,"",'1. Live'!BZ383-'check-Jul25'!BZ383)</f>
        <v/>
      </c>
      <c r="CA383" t="str">
        <f>IF('1. Live'!CA383='check-Jul25'!CA383,"",'1. Live'!CA383-'check-Jul25'!CA383)</f>
        <v/>
      </c>
      <c r="CB383" t="str">
        <f>IF('1. Live'!CB383='check-Jul25'!CB383,"",'1. Live'!CB383-'check-Jul25'!CB383)</f>
        <v/>
      </c>
      <c r="CC383" t="str">
        <f>IF('1. Live'!CC383='check-Jul25'!CC383,"",'1. Live'!CC383-'check-Jul25'!CC383)</f>
        <v/>
      </c>
      <c r="CD383" t="str">
        <f>IF('1. Live'!CD383='check-Jul25'!CD383,"",'1. Live'!CD383-'check-Jul25'!CD383)</f>
        <v/>
      </c>
      <c r="CE383" t="str">
        <f>IF('1. Live'!CE383='check-Jul25'!CE383,"",'1. Live'!CE383-'check-Jul25'!CE383)</f>
        <v/>
      </c>
      <c r="CF383" t="str">
        <f>IF('1. Live'!CF383='check-Jul25'!CF383,"",'1. Live'!CF383-'check-Jul25'!CF383)</f>
        <v/>
      </c>
      <c r="CG383" t="str">
        <f>IF('1. Live'!CG383='check-Jul25'!CG383,"",'1. Live'!CG383-'check-Jul25'!CG383)</f>
        <v/>
      </c>
      <c r="CH383" t="str">
        <f>IF('1. Live'!CH383='check-Jul25'!CH383,"",'1. Live'!CH383-'check-Jul25'!CH383)</f>
        <v/>
      </c>
      <c r="CI383" t="str">
        <f>IF('1. Live'!CI383='check-Jul25'!CI383,"",'1. Live'!CI383-'check-Jul25'!CI383)</f>
        <v/>
      </c>
      <c r="CJ383" t="str">
        <f>IF('1. Live'!CJ383='check-Jul25'!CJ383,"",'1. Live'!CJ383-'check-Jul25'!CJ383)</f>
        <v/>
      </c>
      <c r="CK383" t="str">
        <f>IF('1. Live'!CK383='check-Jul25'!CK383,"",'1. Live'!CK383-'check-Jul25'!CK383)</f>
        <v/>
      </c>
      <c r="CL383" t="str">
        <f>IF('1. Live'!CL383='check-Jul25'!CL383,"",'1. Live'!CL383-'check-Jul25'!CL383)</f>
        <v/>
      </c>
      <c r="CM383" t="str">
        <f>IF('1. Live'!CM383='check-Jul25'!CM383,"",'1. Live'!CM383-'check-Jul25'!CM383)</f>
        <v/>
      </c>
      <c r="CN383" t="str">
        <f>IF('1. Live'!CN383='check-Jul25'!CN383,"",'1. Live'!CN383-'check-Jul25'!CN383)</f>
        <v/>
      </c>
      <c r="CO383" t="str">
        <f>IF('1. Live'!CO383='check-Jul25'!CO383,"",'1. Live'!CO383-'check-Jul25'!CO383)</f>
        <v/>
      </c>
      <c r="CP383" t="str">
        <f>IF('1. Live'!CP383='check-Jul25'!CP383,"",'1. Live'!CP383-'check-Jul25'!CP383)</f>
        <v/>
      </c>
      <c r="CQ383" t="str">
        <f>IF('1. Live'!CQ383='check-Jul25'!CQ383,"",'1. Live'!CQ383-'check-Jul25'!CQ383)</f>
        <v/>
      </c>
      <c r="CR383" t="str">
        <f>IF('1. Live'!CR383='check-Jul25'!CR383,"",'1. Live'!CR383-'check-Jul25'!CR383)</f>
        <v/>
      </c>
      <c r="CS383" t="str">
        <f>IF('1. Live'!CS383='check-Jul25'!CS383,"",'1. Live'!CS383-'check-Jul25'!CS383)</f>
        <v/>
      </c>
      <c r="CT383" t="str">
        <f>IF('1. Live'!CT383='check-Jul25'!CT383,"",'1. Live'!CT383-'check-Jul25'!CT383)</f>
        <v/>
      </c>
      <c r="CU383" t="str">
        <f>IF('1. Live'!CU383='check-Jul25'!CU383,"",'1. Live'!CU383-'check-Jul25'!CU383)</f>
        <v/>
      </c>
      <c r="CV383" t="str">
        <f>IF('1. Live'!CV383='check-Jul25'!CV383,"",'1. Live'!CV383-'check-Jul25'!CV383)</f>
        <v/>
      </c>
      <c r="CW383" t="str">
        <f>IF('1. Live'!CW383='check-Jul25'!CW383,"",'1. Live'!CW383-'check-Jul25'!CW383)</f>
        <v/>
      </c>
    </row>
    <row r="384" spans="10:101">
      <c r="J384" t="str">
        <f>IF('1. Live'!J384='check-Jul25'!J384,"",'1. Live'!J384-'check-Jul25'!J384)</f>
        <v/>
      </c>
      <c r="K384" t="str">
        <f>IF('1. Live'!K384='check-Jul25'!K384,"",'1. Live'!K384-'check-Jul25'!K384)</f>
        <v/>
      </c>
      <c r="L384" t="str">
        <f>IF('1. Live'!L384='check-Jul25'!L384,"",'1. Live'!L384-'check-Jul25'!L384)</f>
        <v/>
      </c>
      <c r="M384" t="str">
        <f>IF('1. Live'!M384='check-Jul25'!M384,"",'1. Live'!M384-'check-Jul25'!M384)</f>
        <v/>
      </c>
      <c r="N384" t="str">
        <f>IF('1. Live'!N384='check-Jul25'!N384,"",'1. Live'!N384-'check-Jul25'!N384)</f>
        <v/>
      </c>
      <c r="O384" t="str">
        <f>IF('1. Live'!O384='check-Jul25'!O384,"",'1. Live'!O384-'check-Jul25'!O384)</f>
        <v/>
      </c>
      <c r="P384" t="str">
        <f>IF('1. Live'!P384='check-Jul25'!P384,"",'1. Live'!P384-'check-Jul25'!P384)</f>
        <v/>
      </c>
      <c r="Q384" t="str">
        <f>IF('1. Live'!Q384='check-Jul25'!Q384,"",'1. Live'!Q384-'check-Jul25'!Q384)</f>
        <v/>
      </c>
      <c r="R384" t="str">
        <f>IF('1. Live'!R384='check-Jul25'!R384,"",'1. Live'!R384-'check-Jul25'!R384)</f>
        <v/>
      </c>
      <c r="S384" t="str">
        <f>IF('1. Live'!S384='check-Jul25'!S384,"",'1. Live'!S384-'check-Jul25'!S384)</f>
        <v/>
      </c>
      <c r="T384" t="str">
        <f>IF('1. Live'!T384='check-Jul25'!T384,"",'1. Live'!T384-'check-Jul25'!T384)</f>
        <v/>
      </c>
      <c r="U384" t="str">
        <f>IF('1. Live'!U384='check-Jul25'!U384,"",'1. Live'!U384-'check-Jul25'!U384)</f>
        <v/>
      </c>
      <c r="V384" t="str">
        <f>IF('1. Live'!V384='check-Jul25'!V384,"",'1. Live'!V384-'check-Jul25'!V384)</f>
        <v/>
      </c>
      <c r="W384" t="str">
        <f>IF('1. Live'!W384='check-Jul25'!W384,"",'1. Live'!W384-'check-Jul25'!W384)</f>
        <v/>
      </c>
      <c r="X384" t="str">
        <f>IF('1. Live'!X384='check-Jul25'!X384,"",'1. Live'!X384-'check-Jul25'!X384)</f>
        <v/>
      </c>
      <c r="Y384" t="str">
        <f>IF('1. Live'!Y384='check-Jul25'!Y384,"",'1. Live'!Y384-'check-Jul25'!Y384)</f>
        <v/>
      </c>
      <c r="Z384" t="str">
        <f>IF('1. Live'!Z384='check-Jul25'!Z384,"",'1. Live'!Z384-'check-Jul25'!Z384)</f>
        <v/>
      </c>
      <c r="AA384" t="str">
        <f>IF('1. Live'!AA384='check-Jul25'!AA384,"",'1. Live'!AA384-'check-Jul25'!AA384)</f>
        <v/>
      </c>
      <c r="AB384" t="str">
        <f>IF('1. Live'!AB384='check-Jul25'!AB384,"",'1. Live'!AB384-'check-Jul25'!AB384)</f>
        <v/>
      </c>
      <c r="AC384" t="str">
        <f>IF('1. Live'!AC384='check-Jul25'!AC384,"",'1. Live'!AC384-'check-Jul25'!AC384)</f>
        <v/>
      </c>
      <c r="AD384" t="str">
        <f>IF('1. Live'!AD384='check-Jul25'!AD384,"",'1. Live'!AD384-'check-Jul25'!AD384)</f>
        <v/>
      </c>
      <c r="AE384" t="str">
        <f>IF('1. Live'!AE384='check-Jul25'!AE384,"",'1. Live'!AE384-'check-Jul25'!AE384)</f>
        <v/>
      </c>
      <c r="AF384" t="str">
        <f>IF('1. Live'!AF384='check-Jul25'!AF384,"",'1. Live'!AF384-'check-Jul25'!AF384)</f>
        <v/>
      </c>
      <c r="AG384" t="str">
        <f>IF('1. Live'!AG384='check-Jul25'!AG384,"",'1. Live'!AG384-'check-Jul25'!AG384)</f>
        <v/>
      </c>
      <c r="AH384" t="str">
        <f>IF('1. Live'!AH384='check-Jul25'!AH384,"",'1. Live'!AH384-'check-Jul25'!AH384)</f>
        <v/>
      </c>
      <c r="AI384" t="str">
        <f>IF('1. Live'!AI384='check-Jul25'!AI384,"",'1. Live'!AI384-'check-Jul25'!AI384)</f>
        <v/>
      </c>
      <c r="AJ384" t="str">
        <f>IF('1. Live'!AJ384='check-Jul25'!AJ384,"",'1. Live'!AJ384-'check-Jul25'!AJ384)</f>
        <v/>
      </c>
      <c r="AK384" t="str">
        <f>IF('1. Live'!AK384='check-Jul25'!AK384,"",'1. Live'!AK384-'check-Jul25'!AK384)</f>
        <v/>
      </c>
      <c r="AL384" t="str">
        <f>IF('1. Live'!AL384='check-Jul25'!AL384,"",'1. Live'!AL384-'check-Jul25'!AL384)</f>
        <v/>
      </c>
      <c r="AM384" t="str">
        <f>IF('1. Live'!AM384='check-Jul25'!AM384,"",'1. Live'!AM384-'check-Jul25'!AM384)</f>
        <v/>
      </c>
      <c r="AN384" t="str">
        <f>IF('1. Live'!AN384='check-Jul25'!AN384,"",'1. Live'!AN384-'check-Jul25'!AN384)</f>
        <v/>
      </c>
      <c r="AO384" t="str">
        <f>IF('1. Live'!AO384='check-Jul25'!AO384,"",'1. Live'!AO384-'check-Jul25'!AO384)</f>
        <v/>
      </c>
      <c r="AP384" t="str">
        <f>IF('1. Live'!AP384='check-Jul25'!AP384,"",'1. Live'!AP384-'check-Jul25'!AP384)</f>
        <v/>
      </c>
      <c r="AQ384" t="str">
        <f>IF('1. Live'!AQ384='check-Jul25'!AQ384,"",'1. Live'!AQ384-'check-Jul25'!AQ384)</f>
        <v/>
      </c>
      <c r="AR384" t="str">
        <f>IF('1. Live'!AR384='check-Jul25'!AR384,"",'1. Live'!AR384-'check-Jul25'!AR384)</f>
        <v/>
      </c>
      <c r="AS384" t="str">
        <f>IF('1. Live'!AS384='check-Jul25'!AS384,"",'1. Live'!AS384-'check-Jul25'!AS384)</f>
        <v/>
      </c>
      <c r="AT384" t="str">
        <f>IF('1. Live'!AT384='check-Jul25'!AT384,"",'1. Live'!AT384-'check-Jul25'!AT384)</f>
        <v/>
      </c>
      <c r="AU384" t="str">
        <f>IF('1. Live'!AU384='check-Jul25'!AU384,"",'1. Live'!AU384-'check-Jul25'!AU384)</f>
        <v/>
      </c>
      <c r="AV384" t="str">
        <f>IF('1. Live'!AV384='check-Jul25'!AV384,"",'1. Live'!AV384-'check-Jul25'!AV384)</f>
        <v/>
      </c>
      <c r="AW384" t="str">
        <f>IF('1. Live'!AW384='check-Jul25'!AW384,"",'1. Live'!AW384-'check-Jul25'!AW384)</f>
        <v/>
      </c>
      <c r="AX384" t="str">
        <f>IF('1. Live'!AX384='check-Jul25'!AX384,"",'1. Live'!AX384-'check-Jul25'!AX384)</f>
        <v/>
      </c>
      <c r="AY384" t="str">
        <f>IF('1. Live'!AY384='check-Jul25'!AY384,"",'1. Live'!AY384-'check-Jul25'!AY384)</f>
        <v/>
      </c>
      <c r="AZ384" t="str">
        <f>IF('1. Live'!AZ384='check-Jul25'!AZ384,"",'1. Live'!AZ384-'check-Jul25'!AZ384)</f>
        <v/>
      </c>
      <c r="BA384" t="str">
        <f>IF('1. Live'!BA384='check-Jul25'!BA384,"",'1. Live'!BA384-'check-Jul25'!BA384)</f>
        <v/>
      </c>
      <c r="BB384" t="str">
        <f>IF('1. Live'!BB384='check-Jul25'!BB384,"",'1. Live'!BB384-'check-Jul25'!BB384)</f>
        <v/>
      </c>
      <c r="BC384" t="str">
        <f>IF('1. Live'!BC384='check-Jul25'!BC384,"",'1. Live'!BC384-'check-Jul25'!BC384)</f>
        <v/>
      </c>
      <c r="BD384" t="str">
        <f>IF('1. Live'!BD384='check-Jul25'!BD384,"",'1. Live'!BD384-'check-Jul25'!BD384)</f>
        <v/>
      </c>
      <c r="BE384" t="str">
        <f>IF('1. Live'!BE384='check-Jul25'!BE384,"",'1. Live'!BE384-'check-Jul25'!BE384)</f>
        <v/>
      </c>
      <c r="BF384" t="str">
        <f>IF('1. Live'!BF384='check-Jul25'!BF384,"",'1. Live'!BF384-'check-Jul25'!BF384)</f>
        <v/>
      </c>
      <c r="BG384" t="str">
        <f>IF('1. Live'!BG384='check-Jul25'!BG384,"",'1. Live'!BG384-'check-Jul25'!BG384)</f>
        <v/>
      </c>
      <c r="BH384" t="str">
        <f>IF('1. Live'!BH384='check-Jul25'!BH384,"",'1. Live'!BH384-'check-Jul25'!BH384)</f>
        <v/>
      </c>
      <c r="BI384" t="str">
        <f>IF('1. Live'!BI384='check-Jul25'!BI384,"",'1. Live'!BI384-'check-Jul25'!BI384)</f>
        <v/>
      </c>
      <c r="BJ384" t="str">
        <f>IF('1. Live'!BJ384='check-Jul25'!BJ384,"",'1. Live'!BJ384-'check-Jul25'!BJ384)</f>
        <v/>
      </c>
      <c r="BK384" t="str">
        <f>IF('1. Live'!BK384='check-Jul25'!BK384,"",'1. Live'!BK384-'check-Jul25'!BK384)</f>
        <v/>
      </c>
      <c r="BL384" t="str">
        <f>IF('1. Live'!BL384='check-Jul25'!BL384,"",'1. Live'!BL384-'check-Jul25'!BL384)</f>
        <v/>
      </c>
      <c r="BM384" t="str">
        <f>IF('1. Live'!BM384='check-Jul25'!BM384,"",'1. Live'!BM384-'check-Jul25'!BM384)</f>
        <v/>
      </c>
      <c r="BN384" t="str">
        <f>IF('1. Live'!BN384='check-Jul25'!BN384,"",'1. Live'!BN384-'check-Jul25'!BN384)</f>
        <v/>
      </c>
      <c r="BO384" t="str">
        <f>IF('1. Live'!BO384='check-Jul25'!BO384,"",'1. Live'!BO384-'check-Jul25'!BO384)</f>
        <v/>
      </c>
      <c r="BP384" t="str">
        <f>IF('1. Live'!BP384='check-Jul25'!BP384,"",'1. Live'!BP384-'check-Jul25'!BP384)</f>
        <v/>
      </c>
      <c r="BQ384" t="str">
        <f>IF('1. Live'!BQ384='check-Jul25'!BQ384,"",'1. Live'!BQ384-'check-Jul25'!BQ384)</f>
        <v/>
      </c>
      <c r="BR384" t="str">
        <f>IF('1. Live'!BR384='check-Jul25'!BR384,"",'1. Live'!BR384-'check-Jul25'!BR384)</f>
        <v/>
      </c>
      <c r="BS384" t="str">
        <f>IF('1. Live'!BS384='check-Jul25'!BS384,"",'1. Live'!BS384-'check-Jul25'!BS384)</f>
        <v/>
      </c>
      <c r="BT384" t="str">
        <f>IF('1. Live'!BT384='check-Jul25'!BT384,"",'1. Live'!BT384-'check-Jul25'!BT384)</f>
        <v/>
      </c>
      <c r="BU384" t="str">
        <f>IF('1. Live'!BU384='check-Jul25'!BU384,"",'1. Live'!BU384-'check-Jul25'!BU384)</f>
        <v/>
      </c>
      <c r="BV384" t="str">
        <f>IF('1. Live'!BV384='check-Jul25'!BV384,"",'1. Live'!BV384-'check-Jul25'!BV384)</f>
        <v/>
      </c>
      <c r="BW384" t="str">
        <f>IF('1. Live'!BW384='check-Jul25'!BW384,"",'1. Live'!BW384-'check-Jul25'!BW384)</f>
        <v/>
      </c>
      <c r="BX384" t="str">
        <f>IF('1. Live'!BX384='check-Jul25'!BX384,"",'1. Live'!BX384-'check-Jul25'!BX384)</f>
        <v/>
      </c>
      <c r="BY384" t="str">
        <f>IF('1. Live'!BY384='check-Jul25'!BY384,"",'1. Live'!BY384-'check-Jul25'!BY384)</f>
        <v/>
      </c>
      <c r="BZ384" t="str">
        <f>IF('1. Live'!BZ384='check-Jul25'!BZ384,"",'1. Live'!BZ384-'check-Jul25'!BZ384)</f>
        <v/>
      </c>
      <c r="CA384" t="str">
        <f>IF('1. Live'!CA384='check-Jul25'!CA384,"",'1. Live'!CA384-'check-Jul25'!CA384)</f>
        <v/>
      </c>
      <c r="CB384" t="str">
        <f>IF('1. Live'!CB384='check-Jul25'!CB384,"",'1. Live'!CB384-'check-Jul25'!CB384)</f>
        <v/>
      </c>
      <c r="CC384" t="str">
        <f>IF('1. Live'!CC384='check-Jul25'!CC384,"",'1. Live'!CC384-'check-Jul25'!CC384)</f>
        <v/>
      </c>
      <c r="CD384" t="str">
        <f>IF('1. Live'!CD384='check-Jul25'!CD384,"",'1. Live'!CD384-'check-Jul25'!CD384)</f>
        <v/>
      </c>
      <c r="CE384" t="str">
        <f>IF('1. Live'!CE384='check-Jul25'!CE384,"",'1. Live'!CE384-'check-Jul25'!CE384)</f>
        <v/>
      </c>
      <c r="CF384" t="str">
        <f>IF('1. Live'!CF384='check-Jul25'!CF384,"",'1. Live'!CF384-'check-Jul25'!CF384)</f>
        <v/>
      </c>
      <c r="CG384" t="str">
        <f>IF('1. Live'!CG384='check-Jul25'!CG384,"",'1. Live'!CG384-'check-Jul25'!CG384)</f>
        <v/>
      </c>
      <c r="CH384" t="str">
        <f>IF('1. Live'!CH384='check-Jul25'!CH384,"",'1. Live'!CH384-'check-Jul25'!CH384)</f>
        <v/>
      </c>
      <c r="CI384" t="str">
        <f>IF('1. Live'!CI384='check-Jul25'!CI384,"",'1. Live'!CI384-'check-Jul25'!CI384)</f>
        <v/>
      </c>
      <c r="CJ384" t="str">
        <f>IF('1. Live'!CJ384='check-Jul25'!CJ384,"",'1. Live'!CJ384-'check-Jul25'!CJ384)</f>
        <v/>
      </c>
      <c r="CK384" t="str">
        <f>IF('1. Live'!CK384='check-Jul25'!CK384,"",'1. Live'!CK384-'check-Jul25'!CK384)</f>
        <v/>
      </c>
      <c r="CL384" t="str">
        <f>IF('1. Live'!CL384='check-Jul25'!CL384,"",'1. Live'!CL384-'check-Jul25'!CL384)</f>
        <v/>
      </c>
      <c r="CM384" t="str">
        <f>IF('1. Live'!CM384='check-Jul25'!CM384,"",'1. Live'!CM384-'check-Jul25'!CM384)</f>
        <v/>
      </c>
      <c r="CN384" t="str">
        <f>IF('1. Live'!CN384='check-Jul25'!CN384,"",'1. Live'!CN384-'check-Jul25'!CN384)</f>
        <v/>
      </c>
      <c r="CO384" t="str">
        <f>IF('1. Live'!CO384='check-Jul25'!CO384,"",'1. Live'!CO384-'check-Jul25'!CO384)</f>
        <v/>
      </c>
      <c r="CP384" t="str">
        <f>IF('1. Live'!CP384='check-Jul25'!CP384,"",'1. Live'!CP384-'check-Jul25'!CP384)</f>
        <v/>
      </c>
      <c r="CQ384" t="str">
        <f>IF('1. Live'!CQ384='check-Jul25'!CQ384,"",'1. Live'!CQ384-'check-Jul25'!CQ384)</f>
        <v/>
      </c>
      <c r="CR384" t="str">
        <f>IF('1. Live'!CR384='check-Jul25'!CR384,"",'1. Live'!CR384-'check-Jul25'!CR384)</f>
        <v/>
      </c>
      <c r="CS384" t="str">
        <f>IF('1. Live'!CS384='check-Jul25'!CS384,"",'1. Live'!CS384-'check-Jul25'!CS384)</f>
        <v/>
      </c>
      <c r="CT384" t="str">
        <f>IF('1. Live'!CT384='check-Jul25'!CT384,"",'1. Live'!CT384-'check-Jul25'!CT384)</f>
        <v/>
      </c>
      <c r="CU384" t="str">
        <f>IF('1. Live'!CU384='check-Jul25'!CU384,"",'1. Live'!CU384-'check-Jul25'!CU384)</f>
        <v/>
      </c>
      <c r="CV384" t="str">
        <f>IF('1. Live'!CV384='check-Jul25'!CV384,"",'1. Live'!CV384-'check-Jul25'!CV384)</f>
        <v/>
      </c>
      <c r="CW384" t="str">
        <f>IF('1. Live'!CW384='check-Jul25'!CW384,"",'1. Live'!CW384-'check-Jul25'!CW384)</f>
        <v/>
      </c>
    </row>
    <row r="385" spans="10:101">
      <c r="J385" t="str">
        <f>IF('1. Live'!J385='check-Jul25'!J385,"",'1. Live'!J385-'check-Jul25'!J385)</f>
        <v/>
      </c>
      <c r="K385" t="str">
        <f>IF('1. Live'!K385='check-Jul25'!K385,"",'1. Live'!K385-'check-Jul25'!K385)</f>
        <v/>
      </c>
      <c r="L385" t="str">
        <f>IF('1. Live'!L385='check-Jul25'!L385,"",'1. Live'!L385-'check-Jul25'!L385)</f>
        <v/>
      </c>
      <c r="M385" t="str">
        <f>IF('1. Live'!M385='check-Jul25'!M385,"",'1. Live'!M385-'check-Jul25'!M385)</f>
        <v/>
      </c>
      <c r="N385" t="str">
        <f>IF('1. Live'!N385='check-Jul25'!N385,"",'1. Live'!N385-'check-Jul25'!N385)</f>
        <v/>
      </c>
      <c r="O385" t="str">
        <f>IF('1. Live'!O385='check-Jul25'!O385,"",'1. Live'!O385-'check-Jul25'!O385)</f>
        <v/>
      </c>
      <c r="P385" t="str">
        <f>IF('1. Live'!P385='check-Jul25'!P385,"",'1. Live'!P385-'check-Jul25'!P385)</f>
        <v/>
      </c>
      <c r="Q385" t="str">
        <f>IF('1. Live'!Q385='check-Jul25'!Q385,"",'1. Live'!Q385-'check-Jul25'!Q385)</f>
        <v/>
      </c>
      <c r="R385" t="str">
        <f>IF('1. Live'!R385='check-Jul25'!R385,"",'1. Live'!R385-'check-Jul25'!R385)</f>
        <v/>
      </c>
      <c r="S385" t="str">
        <f>IF('1. Live'!S385='check-Jul25'!S385,"",'1. Live'!S385-'check-Jul25'!S385)</f>
        <v/>
      </c>
      <c r="T385" t="str">
        <f>IF('1. Live'!T385='check-Jul25'!T385,"",'1. Live'!T385-'check-Jul25'!T385)</f>
        <v/>
      </c>
      <c r="U385" t="str">
        <f>IF('1. Live'!U385='check-Jul25'!U385,"",'1. Live'!U385-'check-Jul25'!U385)</f>
        <v/>
      </c>
      <c r="V385" t="str">
        <f>IF('1. Live'!V385='check-Jul25'!V385,"",'1. Live'!V385-'check-Jul25'!V385)</f>
        <v/>
      </c>
      <c r="W385" t="str">
        <f>IF('1. Live'!W385='check-Jul25'!W385,"",'1. Live'!W385-'check-Jul25'!W385)</f>
        <v/>
      </c>
      <c r="X385" t="str">
        <f>IF('1. Live'!X385='check-Jul25'!X385,"",'1. Live'!X385-'check-Jul25'!X385)</f>
        <v/>
      </c>
      <c r="Y385" t="str">
        <f>IF('1. Live'!Y385='check-Jul25'!Y385,"",'1. Live'!Y385-'check-Jul25'!Y385)</f>
        <v/>
      </c>
      <c r="Z385" t="str">
        <f>IF('1. Live'!Z385='check-Jul25'!Z385,"",'1. Live'!Z385-'check-Jul25'!Z385)</f>
        <v/>
      </c>
      <c r="AA385" t="str">
        <f>IF('1. Live'!AA385='check-Jul25'!AA385,"",'1. Live'!AA385-'check-Jul25'!AA385)</f>
        <v/>
      </c>
      <c r="AB385" t="str">
        <f>IF('1. Live'!AB385='check-Jul25'!AB385,"",'1. Live'!AB385-'check-Jul25'!AB385)</f>
        <v/>
      </c>
      <c r="AC385" t="str">
        <f>IF('1. Live'!AC385='check-Jul25'!AC385,"",'1. Live'!AC385-'check-Jul25'!AC385)</f>
        <v/>
      </c>
      <c r="AD385" t="str">
        <f>IF('1. Live'!AD385='check-Jul25'!AD385,"",'1. Live'!AD385-'check-Jul25'!AD385)</f>
        <v/>
      </c>
      <c r="AE385" t="str">
        <f>IF('1. Live'!AE385='check-Jul25'!AE385,"",'1. Live'!AE385-'check-Jul25'!AE385)</f>
        <v/>
      </c>
      <c r="AF385" t="str">
        <f>IF('1. Live'!AF385='check-Jul25'!AF385,"",'1. Live'!AF385-'check-Jul25'!AF385)</f>
        <v/>
      </c>
      <c r="AG385" t="str">
        <f>IF('1. Live'!AG385='check-Jul25'!AG385,"",'1. Live'!AG385-'check-Jul25'!AG385)</f>
        <v/>
      </c>
      <c r="AH385" t="str">
        <f>IF('1. Live'!AH385='check-Jul25'!AH385,"",'1. Live'!AH385-'check-Jul25'!AH385)</f>
        <v/>
      </c>
      <c r="AI385" t="str">
        <f>IF('1. Live'!AI385='check-Jul25'!AI385,"",'1. Live'!AI385-'check-Jul25'!AI385)</f>
        <v/>
      </c>
      <c r="AJ385" t="str">
        <f>IF('1. Live'!AJ385='check-Jul25'!AJ385,"",'1. Live'!AJ385-'check-Jul25'!AJ385)</f>
        <v/>
      </c>
      <c r="AK385" t="str">
        <f>IF('1. Live'!AK385='check-Jul25'!AK385,"",'1. Live'!AK385-'check-Jul25'!AK385)</f>
        <v/>
      </c>
      <c r="AL385" t="str">
        <f>IF('1. Live'!AL385='check-Jul25'!AL385,"",'1. Live'!AL385-'check-Jul25'!AL385)</f>
        <v/>
      </c>
      <c r="AM385" t="str">
        <f>IF('1. Live'!AM385='check-Jul25'!AM385,"",'1. Live'!AM385-'check-Jul25'!AM385)</f>
        <v/>
      </c>
      <c r="AN385" t="str">
        <f>IF('1. Live'!AN385='check-Jul25'!AN385,"",'1. Live'!AN385-'check-Jul25'!AN385)</f>
        <v/>
      </c>
      <c r="AO385" t="str">
        <f>IF('1. Live'!AO385='check-Jul25'!AO385,"",'1. Live'!AO385-'check-Jul25'!AO385)</f>
        <v/>
      </c>
      <c r="AP385" t="str">
        <f>IF('1. Live'!AP385='check-Jul25'!AP385,"",'1. Live'!AP385-'check-Jul25'!AP385)</f>
        <v/>
      </c>
      <c r="AQ385" t="str">
        <f>IF('1. Live'!AQ385='check-Jul25'!AQ385,"",'1. Live'!AQ385-'check-Jul25'!AQ385)</f>
        <v/>
      </c>
      <c r="AR385" t="str">
        <f>IF('1. Live'!AR385='check-Jul25'!AR385,"",'1. Live'!AR385-'check-Jul25'!AR385)</f>
        <v/>
      </c>
      <c r="AS385" t="str">
        <f>IF('1. Live'!AS385='check-Jul25'!AS385,"",'1. Live'!AS385-'check-Jul25'!AS385)</f>
        <v/>
      </c>
      <c r="AT385" t="str">
        <f>IF('1. Live'!AT385='check-Jul25'!AT385,"",'1. Live'!AT385-'check-Jul25'!AT385)</f>
        <v/>
      </c>
      <c r="AU385" t="str">
        <f>IF('1. Live'!AU385='check-Jul25'!AU385,"",'1. Live'!AU385-'check-Jul25'!AU385)</f>
        <v/>
      </c>
      <c r="AV385" t="str">
        <f>IF('1. Live'!AV385='check-Jul25'!AV385,"",'1. Live'!AV385-'check-Jul25'!AV385)</f>
        <v/>
      </c>
      <c r="AW385" t="str">
        <f>IF('1. Live'!AW385='check-Jul25'!AW385,"",'1. Live'!AW385-'check-Jul25'!AW385)</f>
        <v/>
      </c>
      <c r="AX385" t="str">
        <f>IF('1. Live'!AX385='check-Jul25'!AX385,"",'1. Live'!AX385-'check-Jul25'!AX385)</f>
        <v/>
      </c>
      <c r="AY385" t="str">
        <f>IF('1. Live'!AY385='check-Jul25'!AY385,"",'1. Live'!AY385-'check-Jul25'!AY385)</f>
        <v/>
      </c>
      <c r="AZ385" t="str">
        <f>IF('1. Live'!AZ385='check-Jul25'!AZ385,"",'1. Live'!AZ385-'check-Jul25'!AZ385)</f>
        <v/>
      </c>
      <c r="BA385" t="str">
        <f>IF('1. Live'!BA385='check-Jul25'!BA385,"",'1. Live'!BA385-'check-Jul25'!BA385)</f>
        <v/>
      </c>
      <c r="BB385" t="str">
        <f>IF('1. Live'!BB385='check-Jul25'!BB385,"",'1. Live'!BB385-'check-Jul25'!BB385)</f>
        <v/>
      </c>
      <c r="BC385" t="str">
        <f>IF('1. Live'!BC385='check-Jul25'!BC385,"",'1. Live'!BC385-'check-Jul25'!BC385)</f>
        <v/>
      </c>
      <c r="BD385" t="str">
        <f>IF('1. Live'!BD385='check-Jul25'!BD385,"",'1. Live'!BD385-'check-Jul25'!BD385)</f>
        <v/>
      </c>
      <c r="BE385" t="str">
        <f>IF('1. Live'!BE385='check-Jul25'!BE385,"",'1. Live'!BE385-'check-Jul25'!BE385)</f>
        <v/>
      </c>
      <c r="BF385" t="str">
        <f>IF('1. Live'!BF385='check-Jul25'!BF385,"",'1. Live'!BF385-'check-Jul25'!BF385)</f>
        <v/>
      </c>
      <c r="BG385" t="str">
        <f>IF('1. Live'!BG385='check-Jul25'!BG385,"",'1. Live'!BG385-'check-Jul25'!BG385)</f>
        <v/>
      </c>
      <c r="BH385" t="str">
        <f>IF('1. Live'!BH385='check-Jul25'!BH385,"",'1. Live'!BH385-'check-Jul25'!BH385)</f>
        <v/>
      </c>
      <c r="BI385" t="str">
        <f>IF('1. Live'!BI385='check-Jul25'!BI385,"",'1. Live'!BI385-'check-Jul25'!BI385)</f>
        <v/>
      </c>
      <c r="BJ385" t="str">
        <f>IF('1. Live'!BJ385='check-Jul25'!BJ385,"",'1. Live'!BJ385-'check-Jul25'!BJ385)</f>
        <v/>
      </c>
      <c r="BK385" t="str">
        <f>IF('1. Live'!BK385='check-Jul25'!BK385,"",'1. Live'!BK385-'check-Jul25'!BK385)</f>
        <v/>
      </c>
      <c r="BL385" t="str">
        <f>IF('1. Live'!BL385='check-Jul25'!BL385,"",'1. Live'!BL385-'check-Jul25'!BL385)</f>
        <v/>
      </c>
      <c r="BM385" t="str">
        <f>IF('1. Live'!BM385='check-Jul25'!BM385,"",'1. Live'!BM385-'check-Jul25'!BM385)</f>
        <v/>
      </c>
      <c r="BN385" t="str">
        <f>IF('1. Live'!BN385='check-Jul25'!BN385,"",'1. Live'!BN385-'check-Jul25'!BN385)</f>
        <v/>
      </c>
      <c r="BO385" t="str">
        <f>IF('1. Live'!BO385='check-Jul25'!BO385,"",'1. Live'!BO385-'check-Jul25'!BO385)</f>
        <v/>
      </c>
      <c r="BP385" t="str">
        <f>IF('1. Live'!BP385='check-Jul25'!BP385,"",'1. Live'!BP385-'check-Jul25'!BP385)</f>
        <v/>
      </c>
      <c r="BQ385" t="str">
        <f>IF('1. Live'!BQ385='check-Jul25'!BQ385,"",'1. Live'!BQ385-'check-Jul25'!BQ385)</f>
        <v/>
      </c>
      <c r="BR385" t="str">
        <f>IF('1. Live'!BR385='check-Jul25'!BR385,"",'1. Live'!BR385-'check-Jul25'!BR385)</f>
        <v/>
      </c>
      <c r="BS385" t="str">
        <f>IF('1. Live'!BS385='check-Jul25'!BS385,"",'1. Live'!BS385-'check-Jul25'!BS385)</f>
        <v/>
      </c>
      <c r="BT385" t="str">
        <f>IF('1. Live'!BT385='check-Jul25'!BT385,"",'1. Live'!BT385-'check-Jul25'!BT385)</f>
        <v/>
      </c>
      <c r="BU385" t="str">
        <f>IF('1. Live'!BU385='check-Jul25'!BU385,"",'1. Live'!BU385-'check-Jul25'!BU385)</f>
        <v/>
      </c>
      <c r="BV385" t="str">
        <f>IF('1. Live'!BV385='check-Jul25'!BV385,"",'1. Live'!BV385-'check-Jul25'!BV385)</f>
        <v/>
      </c>
      <c r="BW385" t="str">
        <f>IF('1. Live'!BW385='check-Jul25'!BW385,"",'1. Live'!BW385-'check-Jul25'!BW385)</f>
        <v/>
      </c>
      <c r="BX385" t="str">
        <f>IF('1. Live'!BX385='check-Jul25'!BX385,"",'1. Live'!BX385-'check-Jul25'!BX385)</f>
        <v/>
      </c>
      <c r="BY385" t="str">
        <f>IF('1. Live'!BY385='check-Jul25'!BY385,"",'1. Live'!BY385-'check-Jul25'!BY385)</f>
        <v/>
      </c>
      <c r="BZ385" t="str">
        <f>IF('1. Live'!BZ385='check-Jul25'!BZ385,"",'1. Live'!BZ385-'check-Jul25'!BZ385)</f>
        <v/>
      </c>
      <c r="CA385" t="str">
        <f>IF('1. Live'!CA385='check-Jul25'!CA385,"",'1. Live'!CA385-'check-Jul25'!CA385)</f>
        <v/>
      </c>
      <c r="CB385" t="str">
        <f>IF('1. Live'!CB385='check-Jul25'!CB385,"",'1. Live'!CB385-'check-Jul25'!CB385)</f>
        <v/>
      </c>
      <c r="CC385" t="str">
        <f>IF('1. Live'!CC385='check-Jul25'!CC385,"",'1. Live'!CC385-'check-Jul25'!CC385)</f>
        <v/>
      </c>
      <c r="CD385" t="str">
        <f>IF('1. Live'!CD385='check-Jul25'!CD385,"",'1. Live'!CD385-'check-Jul25'!CD385)</f>
        <v/>
      </c>
      <c r="CE385" t="str">
        <f>IF('1. Live'!CE385='check-Jul25'!CE385,"",'1. Live'!CE385-'check-Jul25'!CE385)</f>
        <v/>
      </c>
      <c r="CF385" t="str">
        <f>IF('1. Live'!CF385='check-Jul25'!CF385,"",'1. Live'!CF385-'check-Jul25'!CF385)</f>
        <v/>
      </c>
      <c r="CG385" t="str">
        <f>IF('1. Live'!CG385='check-Jul25'!CG385,"",'1. Live'!CG385-'check-Jul25'!CG385)</f>
        <v/>
      </c>
      <c r="CH385" t="str">
        <f>IF('1. Live'!CH385='check-Jul25'!CH385,"",'1. Live'!CH385-'check-Jul25'!CH385)</f>
        <v/>
      </c>
      <c r="CI385" t="str">
        <f>IF('1. Live'!CI385='check-Jul25'!CI385,"",'1. Live'!CI385-'check-Jul25'!CI385)</f>
        <v/>
      </c>
      <c r="CJ385" t="str">
        <f>IF('1. Live'!CJ385='check-Jul25'!CJ385,"",'1. Live'!CJ385-'check-Jul25'!CJ385)</f>
        <v/>
      </c>
      <c r="CK385" t="str">
        <f>IF('1. Live'!CK385='check-Jul25'!CK385,"",'1. Live'!CK385-'check-Jul25'!CK385)</f>
        <v/>
      </c>
      <c r="CL385" t="str">
        <f>IF('1. Live'!CL385='check-Jul25'!CL385,"",'1. Live'!CL385-'check-Jul25'!CL385)</f>
        <v/>
      </c>
      <c r="CM385" t="str">
        <f>IF('1. Live'!CM385='check-Jul25'!CM385,"",'1. Live'!CM385-'check-Jul25'!CM385)</f>
        <v/>
      </c>
      <c r="CN385" t="str">
        <f>IF('1. Live'!CN385='check-Jul25'!CN385,"",'1. Live'!CN385-'check-Jul25'!CN385)</f>
        <v/>
      </c>
      <c r="CO385" t="str">
        <f>IF('1. Live'!CO385='check-Jul25'!CO385,"",'1. Live'!CO385-'check-Jul25'!CO385)</f>
        <v/>
      </c>
      <c r="CP385" t="str">
        <f>IF('1. Live'!CP385='check-Jul25'!CP385,"",'1. Live'!CP385-'check-Jul25'!CP385)</f>
        <v/>
      </c>
      <c r="CQ385" t="str">
        <f>IF('1. Live'!CQ385='check-Jul25'!CQ385,"",'1. Live'!CQ385-'check-Jul25'!CQ385)</f>
        <v/>
      </c>
      <c r="CR385" t="str">
        <f>IF('1. Live'!CR385='check-Jul25'!CR385,"",'1. Live'!CR385-'check-Jul25'!CR385)</f>
        <v/>
      </c>
      <c r="CS385" t="str">
        <f>IF('1. Live'!CS385='check-Jul25'!CS385,"",'1. Live'!CS385-'check-Jul25'!CS385)</f>
        <v/>
      </c>
      <c r="CT385" t="str">
        <f>IF('1. Live'!CT385='check-Jul25'!CT385,"",'1. Live'!CT385-'check-Jul25'!CT385)</f>
        <v/>
      </c>
      <c r="CU385" t="str">
        <f>IF('1. Live'!CU385='check-Jul25'!CU385,"",'1. Live'!CU385-'check-Jul25'!CU385)</f>
        <v/>
      </c>
      <c r="CV385" t="str">
        <f>IF('1. Live'!CV385='check-Jul25'!CV385,"",'1. Live'!CV385-'check-Jul25'!CV385)</f>
        <v/>
      </c>
      <c r="CW385" t="str">
        <f>IF('1. Live'!CW385='check-Jul25'!CW385,"",'1. Live'!CW385-'check-Jul25'!CW385)</f>
        <v/>
      </c>
    </row>
    <row r="386" spans="10:101">
      <c r="J386" t="str">
        <f>IF('1. Live'!J386='check-Jul25'!J386,"",'1. Live'!J386-'check-Jul25'!J386)</f>
        <v/>
      </c>
      <c r="K386" t="str">
        <f>IF('1. Live'!K386='check-Jul25'!K386,"",'1. Live'!K386-'check-Jul25'!K386)</f>
        <v/>
      </c>
      <c r="L386" t="str">
        <f>IF('1. Live'!L386='check-Jul25'!L386,"",'1. Live'!L386-'check-Jul25'!L386)</f>
        <v/>
      </c>
      <c r="M386" t="str">
        <f>IF('1. Live'!M386='check-Jul25'!M386,"",'1. Live'!M386-'check-Jul25'!M386)</f>
        <v/>
      </c>
      <c r="N386" t="str">
        <f>IF('1. Live'!N386='check-Jul25'!N386,"",'1. Live'!N386-'check-Jul25'!N386)</f>
        <v/>
      </c>
      <c r="O386" t="str">
        <f>IF('1. Live'!O386='check-Jul25'!O386,"",'1. Live'!O386-'check-Jul25'!O386)</f>
        <v/>
      </c>
      <c r="P386" t="str">
        <f>IF('1. Live'!P386='check-Jul25'!P386,"",'1. Live'!P386-'check-Jul25'!P386)</f>
        <v/>
      </c>
      <c r="Q386" t="str">
        <f>IF('1. Live'!Q386='check-Jul25'!Q386,"",'1. Live'!Q386-'check-Jul25'!Q386)</f>
        <v/>
      </c>
      <c r="R386" t="str">
        <f>IF('1. Live'!R386='check-Jul25'!R386,"",'1. Live'!R386-'check-Jul25'!R386)</f>
        <v/>
      </c>
      <c r="S386" t="str">
        <f>IF('1. Live'!S386='check-Jul25'!S386,"",'1. Live'!S386-'check-Jul25'!S386)</f>
        <v/>
      </c>
      <c r="T386" t="str">
        <f>IF('1. Live'!T386='check-Jul25'!T386,"",'1. Live'!T386-'check-Jul25'!T386)</f>
        <v/>
      </c>
      <c r="U386" t="str">
        <f>IF('1. Live'!U386='check-Jul25'!U386,"",'1. Live'!U386-'check-Jul25'!U386)</f>
        <v/>
      </c>
      <c r="V386" t="str">
        <f>IF('1. Live'!V386='check-Jul25'!V386,"",'1. Live'!V386-'check-Jul25'!V386)</f>
        <v/>
      </c>
      <c r="W386" t="str">
        <f>IF('1. Live'!W386='check-Jul25'!W386,"",'1. Live'!W386-'check-Jul25'!W386)</f>
        <v/>
      </c>
      <c r="X386" t="str">
        <f>IF('1. Live'!X386='check-Jul25'!X386,"",'1. Live'!X386-'check-Jul25'!X386)</f>
        <v/>
      </c>
      <c r="Y386" t="str">
        <f>IF('1. Live'!Y386='check-Jul25'!Y386,"",'1. Live'!Y386-'check-Jul25'!Y386)</f>
        <v/>
      </c>
      <c r="Z386" t="str">
        <f>IF('1. Live'!Z386='check-Jul25'!Z386,"",'1. Live'!Z386-'check-Jul25'!Z386)</f>
        <v/>
      </c>
      <c r="AA386" t="str">
        <f>IF('1. Live'!AA386='check-Jul25'!AA386,"",'1. Live'!AA386-'check-Jul25'!AA386)</f>
        <v/>
      </c>
      <c r="AB386" t="str">
        <f>IF('1. Live'!AB386='check-Jul25'!AB386,"",'1. Live'!AB386-'check-Jul25'!AB386)</f>
        <v/>
      </c>
      <c r="AC386" t="str">
        <f>IF('1. Live'!AC386='check-Jul25'!AC386,"",'1. Live'!AC386-'check-Jul25'!AC386)</f>
        <v/>
      </c>
      <c r="AD386" t="str">
        <f>IF('1. Live'!AD386='check-Jul25'!AD386,"",'1. Live'!AD386-'check-Jul25'!AD386)</f>
        <v/>
      </c>
      <c r="AE386" t="str">
        <f>IF('1. Live'!AE386='check-Jul25'!AE386,"",'1. Live'!AE386-'check-Jul25'!AE386)</f>
        <v/>
      </c>
      <c r="AF386" t="str">
        <f>IF('1. Live'!AF386='check-Jul25'!AF386,"",'1. Live'!AF386-'check-Jul25'!AF386)</f>
        <v/>
      </c>
      <c r="AG386" t="str">
        <f>IF('1. Live'!AG386='check-Jul25'!AG386,"",'1. Live'!AG386-'check-Jul25'!AG386)</f>
        <v/>
      </c>
      <c r="AH386" t="str">
        <f>IF('1. Live'!AH386='check-Jul25'!AH386,"",'1. Live'!AH386-'check-Jul25'!AH386)</f>
        <v/>
      </c>
      <c r="AI386" t="str">
        <f>IF('1. Live'!AI386='check-Jul25'!AI386,"",'1. Live'!AI386-'check-Jul25'!AI386)</f>
        <v/>
      </c>
      <c r="AJ386" t="str">
        <f>IF('1. Live'!AJ386='check-Jul25'!AJ386,"",'1. Live'!AJ386-'check-Jul25'!AJ386)</f>
        <v/>
      </c>
      <c r="AK386" t="str">
        <f>IF('1. Live'!AK386='check-Jul25'!AK386,"",'1. Live'!AK386-'check-Jul25'!AK386)</f>
        <v/>
      </c>
      <c r="AL386" t="str">
        <f>IF('1. Live'!AL386='check-Jul25'!AL386,"",'1. Live'!AL386-'check-Jul25'!AL386)</f>
        <v/>
      </c>
      <c r="AM386" t="str">
        <f>IF('1. Live'!AM386='check-Jul25'!AM386,"",'1. Live'!AM386-'check-Jul25'!AM386)</f>
        <v/>
      </c>
      <c r="AN386" t="str">
        <f>IF('1. Live'!AN386='check-Jul25'!AN386,"",'1. Live'!AN386-'check-Jul25'!AN386)</f>
        <v/>
      </c>
      <c r="AO386" t="str">
        <f>IF('1. Live'!AO386='check-Jul25'!AO386,"",'1. Live'!AO386-'check-Jul25'!AO386)</f>
        <v/>
      </c>
      <c r="AP386" t="str">
        <f>IF('1. Live'!AP386='check-Jul25'!AP386,"",'1. Live'!AP386-'check-Jul25'!AP386)</f>
        <v/>
      </c>
      <c r="AQ386" t="str">
        <f>IF('1. Live'!AQ386='check-Jul25'!AQ386,"",'1. Live'!AQ386-'check-Jul25'!AQ386)</f>
        <v/>
      </c>
      <c r="AR386" t="str">
        <f>IF('1. Live'!AR386='check-Jul25'!AR386,"",'1. Live'!AR386-'check-Jul25'!AR386)</f>
        <v/>
      </c>
      <c r="AS386" t="str">
        <f>IF('1. Live'!AS386='check-Jul25'!AS386,"",'1. Live'!AS386-'check-Jul25'!AS386)</f>
        <v/>
      </c>
      <c r="AT386" t="str">
        <f>IF('1. Live'!AT386='check-Jul25'!AT386,"",'1. Live'!AT386-'check-Jul25'!AT386)</f>
        <v/>
      </c>
      <c r="AU386" t="str">
        <f>IF('1. Live'!AU386='check-Jul25'!AU386,"",'1. Live'!AU386-'check-Jul25'!AU386)</f>
        <v/>
      </c>
      <c r="AV386" t="str">
        <f>IF('1. Live'!AV386='check-Jul25'!AV386,"",'1. Live'!AV386-'check-Jul25'!AV386)</f>
        <v/>
      </c>
      <c r="AW386" t="str">
        <f>IF('1. Live'!AW386='check-Jul25'!AW386,"",'1. Live'!AW386-'check-Jul25'!AW386)</f>
        <v/>
      </c>
      <c r="AX386" t="str">
        <f>IF('1. Live'!AX386='check-Jul25'!AX386,"",'1. Live'!AX386-'check-Jul25'!AX386)</f>
        <v/>
      </c>
      <c r="AY386" t="str">
        <f>IF('1. Live'!AY386='check-Jul25'!AY386,"",'1. Live'!AY386-'check-Jul25'!AY386)</f>
        <v/>
      </c>
      <c r="AZ386" t="str">
        <f>IF('1. Live'!AZ386='check-Jul25'!AZ386,"",'1. Live'!AZ386-'check-Jul25'!AZ386)</f>
        <v/>
      </c>
      <c r="BA386" t="str">
        <f>IF('1. Live'!BA386='check-Jul25'!BA386,"",'1. Live'!BA386-'check-Jul25'!BA386)</f>
        <v/>
      </c>
      <c r="BB386" t="str">
        <f>IF('1. Live'!BB386='check-Jul25'!BB386,"",'1. Live'!BB386-'check-Jul25'!BB386)</f>
        <v/>
      </c>
      <c r="BC386" t="str">
        <f>IF('1. Live'!BC386='check-Jul25'!BC386,"",'1. Live'!BC386-'check-Jul25'!BC386)</f>
        <v/>
      </c>
      <c r="BD386" t="str">
        <f>IF('1. Live'!BD386='check-Jul25'!BD386,"",'1. Live'!BD386-'check-Jul25'!BD386)</f>
        <v/>
      </c>
      <c r="BE386" t="str">
        <f>IF('1. Live'!BE386='check-Jul25'!BE386,"",'1. Live'!BE386-'check-Jul25'!BE386)</f>
        <v/>
      </c>
      <c r="BF386" t="str">
        <f>IF('1. Live'!BF386='check-Jul25'!BF386,"",'1. Live'!BF386-'check-Jul25'!BF386)</f>
        <v/>
      </c>
      <c r="BG386" t="str">
        <f>IF('1. Live'!BG386='check-Jul25'!BG386,"",'1. Live'!BG386-'check-Jul25'!BG386)</f>
        <v/>
      </c>
      <c r="BH386" t="str">
        <f>IF('1. Live'!BH386='check-Jul25'!BH386,"",'1. Live'!BH386-'check-Jul25'!BH386)</f>
        <v/>
      </c>
      <c r="BI386" t="str">
        <f>IF('1. Live'!BI386='check-Jul25'!BI386,"",'1. Live'!BI386-'check-Jul25'!BI386)</f>
        <v/>
      </c>
      <c r="BJ386" t="str">
        <f>IF('1. Live'!BJ386='check-Jul25'!BJ386,"",'1. Live'!BJ386-'check-Jul25'!BJ386)</f>
        <v/>
      </c>
      <c r="BK386" t="str">
        <f>IF('1. Live'!BK386='check-Jul25'!BK386,"",'1. Live'!BK386-'check-Jul25'!BK386)</f>
        <v/>
      </c>
      <c r="BL386" t="str">
        <f>IF('1. Live'!BL386='check-Jul25'!BL386,"",'1. Live'!BL386-'check-Jul25'!BL386)</f>
        <v/>
      </c>
      <c r="BM386" t="str">
        <f>IF('1. Live'!BM386='check-Jul25'!BM386,"",'1. Live'!BM386-'check-Jul25'!BM386)</f>
        <v/>
      </c>
      <c r="BN386" t="str">
        <f>IF('1. Live'!BN386='check-Jul25'!BN386,"",'1. Live'!BN386-'check-Jul25'!BN386)</f>
        <v/>
      </c>
      <c r="BO386" t="str">
        <f>IF('1. Live'!BO386='check-Jul25'!BO386,"",'1. Live'!BO386-'check-Jul25'!BO386)</f>
        <v/>
      </c>
      <c r="BP386" t="str">
        <f>IF('1. Live'!BP386='check-Jul25'!BP386,"",'1. Live'!BP386-'check-Jul25'!BP386)</f>
        <v/>
      </c>
      <c r="BQ386" t="str">
        <f>IF('1. Live'!BQ386='check-Jul25'!BQ386,"",'1. Live'!BQ386-'check-Jul25'!BQ386)</f>
        <v/>
      </c>
      <c r="BR386" t="str">
        <f>IF('1. Live'!BR386='check-Jul25'!BR386,"",'1. Live'!BR386-'check-Jul25'!BR386)</f>
        <v/>
      </c>
      <c r="BS386" t="str">
        <f>IF('1. Live'!BS386='check-Jul25'!BS386,"",'1. Live'!BS386-'check-Jul25'!BS386)</f>
        <v/>
      </c>
      <c r="BT386" t="str">
        <f>IF('1. Live'!BT386='check-Jul25'!BT386,"",'1. Live'!BT386-'check-Jul25'!BT386)</f>
        <v/>
      </c>
      <c r="BU386" t="str">
        <f>IF('1. Live'!BU386='check-Jul25'!BU386,"",'1. Live'!BU386-'check-Jul25'!BU386)</f>
        <v/>
      </c>
      <c r="BV386" t="str">
        <f>IF('1. Live'!BV386='check-Jul25'!BV386,"",'1. Live'!BV386-'check-Jul25'!BV386)</f>
        <v/>
      </c>
      <c r="BW386" t="str">
        <f>IF('1. Live'!BW386='check-Jul25'!BW386,"",'1. Live'!BW386-'check-Jul25'!BW386)</f>
        <v/>
      </c>
      <c r="BX386" t="str">
        <f>IF('1. Live'!BX386='check-Jul25'!BX386,"",'1. Live'!BX386-'check-Jul25'!BX386)</f>
        <v/>
      </c>
      <c r="BY386" t="str">
        <f>IF('1. Live'!BY386='check-Jul25'!BY386,"",'1. Live'!BY386-'check-Jul25'!BY386)</f>
        <v/>
      </c>
      <c r="BZ386" t="str">
        <f>IF('1. Live'!BZ386='check-Jul25'!BZ386,"",'1. Live'!BZ386-'check-Jul25'!BZ386)</f>
        <v/>
      </c>
      <c r="CA386" t="str">
        <f>IF('1. Live'!CA386='check-Jul25'!CA386,"",'1. Live'!CA386-'check-Jul25'!CA386)</f>
        <v/>
      </c>
      <c r="CB386" t="str">
        <f>IF('1. Live'!CB386='check-Jul25'!CB386,"",'1. Live'!CB386-'check-Jul25'!CB386)</f>
        <v/>
      </c>
      <c r="CC386" t="str">
        <f>IF('1. Live'!CC386='check-Jul25'!CC386,"",'1. Live'!CC386-'check-Jul25'!CC386)</f>
        <v/>
      </c>
      <c r="CD386" t="str">
        <f>IF('1. Live'!CD386='check-Jul25'!CD386,"",'1. Live'!CD386-'check-Jul25'!CD386)</f>
        <v/>
      </c>
      <c r="CE386" t="str">
        <f>IF('1. Live'!CE386='check-Jul25'!CE386,"",'1. Live'!CE386-'check-Jul25'!CE386)</f>
        <v/>
      </c>
      <c r="CF386" t="str">
        <f>IF('1. Live'!CF386='check-Jul25'!CF386,"",'1. Live'!CF386-'check-Jul25'!CF386)</f>
        <v/>
      </c>
      <c r="CG386" t="str">
        <f>IF('1. Live'!CG386='check-Jul25'!CG386,"",'1. Live'!CG386-'check-Jul25'!CG386)</f>
        <v/>
      </c>
      <c r="CH386" t="str">
        <f>IF('1. Live'!CH386='check-Jul25'!CH386,"",'1. Live'!CH386-'check-Jul25'!CH386)</f>
        <v/>
      </c>
      <c r="CI386" t="str">
        <f>IF('1. Live'!CI386='check-Jul25'!CI386,"",'1. Live'!CI386-'check-Jul25'!CI386)</f>
        <v/>
      </c>
      <c r="CJ386" t="str">
        <f>IF('1. Live'!CJ386='check-Jul25'!CJ386,"",'1. Live'!CJ386-'check-Jul25'!CJ386)</f>
        <v/>
      </c>
      <c r="CK386" t="str">
        <f>IF('1. Live'!CK386='check-Jul25'!CK386,"",'1. Live'!CK386-'check-Jul25'!CK386)</f>
        <v/>
      </c>
      <c r="CL386" t="str">
        <f>IF('1. Live'!CL386='check-Jul25'!CL386,"",'1. Live'!CL386-'check-Jul25'!CL386)</f>
        <v/>
      </c>
      <c r="CM386" t="str">
        <f>IF('1. Live'!CM386='check-Jul25'!CM386,"",'1. Live'!CM386-'check-Jul25'!CM386)</f>
        <v/>
      </c>
      <c r="CN386" t="str">
        <f>IF('1. Live'!CN386='check-Jul25'!CN386,"",'1. Live'!CN386-'check-Jul25'!CN386)</f>
        <v/>
      </c>
      <c r="CO386" t="str">
        <f>IF('1. Live'!CO386='check-Jul25'!CO386,"",'1. Live'!CO386-'check-Jul25'!CO386)</f>
        <v/>
      </c>
      <c r="CP386" t="str">
        <f>IF('1. Live'!CP386='check-Jul25'!CP386,"",'1. Live'!CP386-'check-Jul25'!CP386)</f>
        <v/>
      </c>
      <c r="CQ386" t="str">
        <f>IF('1. Live'!CQ386='check-Jul25'!CQ386,"",'1. Live'!CQ386-'check-Jul25'!CQ386)</f>
        <v/>
      </c>
      <c r="CR386" t="str">
        <f>IF('1. Live'!CR386='check-Jul25'!CR386,"",'1. Live'!CR386-'check-Jul25'!CR386)</f>
        <v/>
      </c>
      <c r="CS386" t="str">
        <f>IF('1. Live'!CS386='check-Jul25'!CS386,"",'1. Live'!CS386-'check-Jul25'!CS386)</f>
        <v/>
      </c>
      <c r="CT386" t="str">
        <f>IF('1. Live'!CT386='check-Jul25'!CT386,"",'1. Live'!CT386-'check-Jul25'!CT386)</f>
        <v/>
      </c>
      <c r="CU386" t="str">
        <f>IF('1. Live'!CU386='check-Jul25'!CU386,"",'1. Live'!CU386-'check-Jul25'!CU386)</f>
        <v/>
      </c>
      <c r="CV386" t="str">
        <f>IF('1. Live'!CV386='check-Jul25'!CV386,"",'1. Live'!CV386-'check-Jul25'!CV386)</f>
        <v/>
      </c>
      <c r="CW386" t="str">
        <f>IF('1. Live'!CW386='check-Jul25'!CW386,"",'1. Live'!CW386-'check-Jul25'!CW386)</f>
        <v/>
      </c>
    </row>
    <row r="387" spans="10:101">
      <c r="J387" t="str">
        <f>IF('1. Live'!J387='check-Jul25'!J387,"",'1. Live'!J387-'check-Jul25'!J387)</f>
        <v/>
      </c>
      <c r="K387" t="str">
        <f>IF('1. Live'!K387='check-Jul25'!K387,"",'1. Live'!K387-'check-Jul25'!K387)</f>
        <v/>
      </c>
      <c r="L387" t="str">
        <f>IF('1. Live'!L387='check-Jul25'!L387,"",'1. Live'!L387-'check-Jul25'!L387)</f>
        <v/>
      </c>
      <c r="M387" t="str">
        <f>IF('1. Live'!M387='check-Jul25'!M387,"",'1. Live'!M387-'check-Jul25'!M387)</f>
        <v/>
      </c>
      <c r="N387" t="str">
        <f>IF('1. Live'!N387='check-Jul25'!N387,"",'1. Live'!N387-'check-Jul25'!N387)</f>
        <v/>
      </c>
      <c r="O387" t="str">
        <f>IF('1. Live'!O387='check-Jul25'!O387,"",'1. Live'!O387-'check-Jul25'!O387)</f>
        <v/>
      </c>
      <c r="P387" t="str">
        <f>IF('1. Live'!P387='check-Jul25'!P387,"",'1. Live'!P387-'check-Jul25'!P387)</f>
        <v/>
      </c>
      <c r="Q387" t="str">
        <f>IF('1. Live'!Q387='check-Jul25'!Q387,"",'1. Live'!Q387-'check-Jul25'!Q387)</f>
        <v/>
      </c>
      <c r="R387" t="str">
        <f>IF('1. Live'!R387='check-Jul25'!R387,"",'1. Live'!R387-'check-Jul25'!R387)</f>
        <v/>
      </c>
      <c r="S387" t="str">
        <f>IF('1. Live'!S387='check-Jul25'!S387,"",'1. Live'!S387-'check-Jul25'!S387)</f>
        <v/>
      </c>
      <c r="T387" t="str">
        <f>IF('1. Live'!T387='check-Jul25'!T387,"",'1. Live'!T387-'check-Jul25'!T387)</f>
        <v/>
      </c>
      <c r="U387" t="str">
        <f>IF('1. Live'!U387='check-Jul25'!U387,"",'1. Live'!U387-'check-Jul25'!U387)</f>
        <v/>
      </c>
      <c r="V387" t="str">
        <f>IF('1. Live'!V387='check-Jul25'!V387,"",'1. Live'!V387-'check-Jul25'!V387)</f>
        <v/>
      </c>
      <c r="W387" t="str">
        <f>IF('1. Live'!W387='check-Jul25'!W387,"",'1. Live'!W387-'check-Jul25'!W387)</f>
        <v/>
      </c>
      <c r="X387" t="str">
        <f>IF('1. Live'!X387='check-Jul25'!X387,"",'1. Live'!X387-'check-Jul25'!X387)</f>
        <v/>
      </c>
      <c r="Y387" t="str">
        <f>IF('1. Live'!Y387='check-Jul25'!Y387,"",'1. Live'!Y387-'check-Jul25'!Y387)</f>
        <v/>
      </c>
      <c r="Z387" t="str">
        <f>IF('1. Live'!Z387='check-Jul25'!Z387,"",'1. Live'!Z387-'check-Jul25'!Z387)</f>
        <v/>
      </c>
      <c r="AA387" t="str">
        <f>IF('1. Live'!AA387='check-Jul25'!AA387,"",'1. Live'!AA387-'check-Jul25'!AA387)</f>
        <v/>
      </c>
      <c r="AB387" t="str">
        <f>IF('1. Live'!AB387='check-Jul25'!AB387,"",'1. Live'!AB387-'check-Jul25'!AB387)</f>
        <v/>
      </c>
      <c r="AC387" t="str">
        <f>IF('1. Live'!AC387='check-Jul25'!AC387,"",'1. Live'!AC387-'check-Jul25'!AC387)</f>
        <v/>
      </c>
      <c r="AD387" t="str">
        <f>IF('1. Live'!AD387='check-Jul25'!AD387,"",'1. Live'!AD387-'check-Jul25'!AD387)</f>
        <v/>
      </c>
      <c r="AE387" t="str">
        <f>IF('1. Live'!AE387='check-Jul25'!AE387,"",'1. Live'!AE387-'check-Jul25'!AE387)</f>
        <v/>
      </c>
      <c r="AF387" t="str">
        <f>IF('1. Live'!AF387='check-Jul25'!AF387,"",'1. Live'!AF387-'check-Jul25'!AF387)</f>
        <v/>
      </c>
      <c r="AG387" t="str">
        <f>IF('1. Live'!AG387='check-Jul25'!AG387,"",'1. Live'!AG387-'check-Jul25'!AG387)</f>
        <v/>
      </c>
      <c r="AH387" t="str">
        <f>IF('1. Live'!AH387='check-Jul25'!AH387,"",'1. Live'!AH387-'check-Jul25'!AH387)</f>
        <v/>
      </c>
      <c r="AI387" t="str">
        <f>IF('1. Live'!AI387='check-Jul25'!AI387,"",'1. Live'!AI387-'check-Jul25'!AI387)</f>
        <v/>
      </c>
      <c r="AJ387" t="str">
        <f>IF('1. Live'!AJ387='check-Jul25'!AJ387,"",'1. Live'!AJ387-'check-Jul25'!AJ387)</f>
        <v/>
      </c>
      <c r="AK387" t="str">
        <f>IF('1. Live'!AK387='check-Jul25'!AK387,"",'1. Live'!AK387-'check-Jul25'!AK387)</f>
        <v/>
      </c>
      <c r="AL387" t="str">
        <f>IF('1. Live'!AL387='check-Jul25'!AL387,"",'1. Live'!AL387-'check-Jul25'!AL387)</f>
        <v/>
      </c>
      <c r="AM387" t="str">
        <f>IF('1. Live'!AM387='check-Jul25'!AM387,"",'1. Live'!AM387-'check-Jul25'!AM387)</f>
        <v/>
      </c>
      <c r="AN387" t="str">
        <f>IF('1. Live'!AN387='check-Jul25'!AN387,"",'1. Live'!AN387-'check-Jul25'!AN387)</f>
        <v/>
      </c>
      <c r="AO387" t="str">
        <f>IF('1. Live'!AO387='check-Jul25'!AO387,"",'1. Live'!AO387-'check-Jul25'!AO387)</f>
        <v/>
      </c>
      <c r="AP387" t="str">
        <f>IF('1. Live'!AP387='check-Jul25'!AP387,"",'1. Live'!AP387-'check-Jul25'!AP387)</f>
        <v/>
      </c>
      <c r="AQ387" t="str">
        <f>IF('1. Live'!AQ387='check-Jul25'!AQ387,"",'1. Live'!AQ387-'check-Jul25'!AQ387)</f>
        <v/>
      </c>
      <c r="AR387" t="str">
        <f>IF('1. Live'!AR387='check-Jul25'!AR387,"",'1. Live'!AR387-'check-Jul25'!AR387)</f>
        <v/>
      </c>
      <c r="AS387" t="str">
        <f>IF('1. Live'!AS387='check-Jul25'!AS387,"",'1. Live'!AS387-'check-Jul25'!AS387)</f>
        <v/>
      </c>
      <c r="AT387" t="str">
        <f>IF('1. Live'!AT387='check-Jul25'!AT387,"",'1. Live'!AT387-'check-Jul25'!AT387)</f>
        <v/>
      </c>
      <c r="AU387" t="str">
        <f>IF('1. Live'!AU387='check-Jul25'!AU387,"",'1. Live'!AU387-'check-Jul25'!AU387)</f>
        <v/>
      </c>
      <c r="AV387" t="str">
        <f>IF('1. Live'!AV387='check-Jul25'!AV387,"",'1. Live'!AV387-'check-Jul25'!AV387)</f>
        <v/>
      </c>
      <c r="AW387" t="str">
        <f>IF('1. Live'!AW387='check-Jul25'!AW387,"",'1. Live'!AW387-'check-Jul25'!AW387)</f>
        <v/>
      </c>
      <c r="AX387" t="str">
        <f>IF('1. Live'!AX387='check-Jul25'!AX387,"",'1. Live'!AX387-'check-Jul25'!AX387)</f>
        <v/>
      </c>
      <c r="AY387" t="str">
        <f>IF('1. Live'!AY387='check-Jul25'!AY387,"",'1. Live'!AY387-'check-Jul25'!AY387)</f>
        <v/>
      </c>
      <c r="AZ387" t="str">
        <f>IF('1. Live'!AZ387='check-Jul25'!AZ387,"",'1. Live'!AZ387-'check-Jul25'!AZ387)</f>
        <v/>
      </c>
      <c r="BA387" t="str">
        <f>IF('1. Live'!BA387='check-Jul25'!BA387,"",'1. Live'!BA387-'check-Jul25'!BA387)</f>
        <v/>
      </c>
      <c r="BB387" t="str">
        <f>IF('1. Live'!BB387='check-Jul25'!BB387,"",'1. Live'!BB387-'check-Jul25'!BB387)</f>
        <v/>
      </c>
      <c r="BC387" t="str">
        <f>IF('1. Live'!BC387='check-Jul25'!BC387,"",'1. Live'!BC387-'check-Jul25'!BC387)</f>
        <v/>
      </c>
      <c r="BD387" t="str">
        <f>IF('1. Live'!BD387='check-Jul25'!BD387,"",'1. Live'!BD387-'check-Jul25'!BD387)</f>
        <v/>
      </c>
      <c r="BE387" t="str">
        <f>IF('1. Live'!BE387='check-Jul25'!BE387,"",'1. Live'!BE387-'check-Jul25'!BE387)</f>
        <v/>
      </c>
      <c r="BF387" t="str">
        <f>IF('1. Live'!BF387='check-Jul25'!BF387,"",'1. Live'!BF387-'check-Jul25'!BF387)</f>
        <v/>
      </c>
      <c r="BG387" t="str">
        <f>IF('1. Live'!BG387='check-Jul25'!BG387,"",'1. Live'!BG387-'check-Jul25'!BG387)</f>
        <v/>
      </c>
      <c r="BH387" t="str">
        <f>IF('1. Live'!BH387='check-Jul25'!BH387,"",'1. Live'!BH387-'check-Jul25'!BH387)</f>
        <v/>
      </c>
      <c r="BI387" t="str">
        <f>IF('1. Live'!BI387='check-Jul25'!BI387,"",'1. Live'!BI387-'check-Jul25'!BI387)</f>
        <v/>
      </c>
      <c r="BJ387" t="str">
        <f>IF('1. Live'!BJ387='check-Jul25'!BJ387,"",'1. Live'!BJ387-'check-Jul25'!BJ387)</f>
        <v/>
      </c>
      <c r="BK387" t="str">
        <f>IF('1. Live'!BK387='check-Jul25'!BK387,"",'1. Live'!BK387-'check-Jul25'!BK387)</f>
        <v/>
      </c>
      <c r="BL387" t="str">
        <f>IF('1. Live'!BL387='check-Jul25'!BL387,"",'1. Live'!BL387-'check-Jul25'!BL387)</f>
        <v/>
      </c>
      <c r="BM387" t="str">
        <f>IF('1. Live'!BM387='check-Jul25'!BM387,"",'1. Live'!BM387-'check-Jul25'!BM387)</f>
        <v/>
      </c>
      <c r="BN387" t="str">
        <f>IF('1. Live'!BN387='check-Jul25'!BN387,"",'1. Live'!BN387-'check-Jul25'!BN387)</f>
        <v/>
      </c>
      <c r="BO387" t="str">
        <f>IF('1. Live'!BO387='check-Jul25'!BO387,"",'1. Live'!BO387-'check-Jul25'!BO387)</f>
        <v/>
      </c>
      <c r="BP387" t="str">
        <f>IF('1. Live'!BP387='check-Jul25'!BP387,"",'1. Live'!BP387-'check-Jul25'!BP387)</f>
        <v/>
      </c>
      <c r="BQ387" t="str">
        <f>IF('1. Live'!BQ387='check-Jul25'!BQ387,"",'1. Live'!BQ387-'check-Jul25'!BQ387)</f>
        <v/>
      </c>
      <c r="BR387" t="str">
        <f>IF('1. Live'!BR387='check-Jul25'!BR387,"",'1. Live'!BR387-'check-Jul25'!BR387)</f>
        <v/>
      </c>
      <c r="BS387" t="str">
        <f>IF('1. Live'!BS387='check-Jul25'!BS387,"",'1. Live'!BS387-'check-Jul25'!BS387)</f>
        <v/>
      </c>
      <c r="BT387" t="str">
        <f>IF('1. Live'!BT387='check-Jul25'!BT387,"",'1. Live'!BT387-'check-Jul25'!BT387)</f>
        <v/>
      </c>
      <c r="BU387" t="str">
        <f>IF('1. Live'!BU387='check-Jul25'!BU387,"",'1. Live'!BU387-'check-Jul25'!BU387)</f>
        <v/>
      </c>
      <c r="BV387" t="str">
        <f>IF('1. Live'!BV387='check-Jul25'!BV387,"",'1. Live'!BV387-'check-Jul25'!BV387)</f>
        <v/>
      </c>
      <c r="BW387" t="str">
        <f>IF('1. Live'!BW387='check-Jul25'!BW387,"",'1. Live'!BW387-'check-Jul25'!BW387)</f>
        <v/>
      </c>
      <c r="BX387" t="str">
        <f>IF('1. Live'!BX387='check-Jul25'!BX387,"",'1. Live'!BX387-'check-Jul25'!BX387)</f>
        <v/>
      </c>
      <c r="BY387" t="str">
        <f>IF('1. Live'!BY387='check-Jul25'!BY387,"",'1. Live'!BY387-'check-Jul25'!BY387)</f>
        <v/>
      </c>
      <c r="BZ387" t="str">
        <f>IF('1. Live'!BZ387='check-Jul25'!BZ387,"",'1. Live'!BZ387-'check-Jul25'!BZ387)</f>
        <v/>
      </c>
      <c r="CA387" t="str">
        <f>IF('1. Live'!CA387='check-Jul25'!CA387,"",'1. Live'!CA387-'check-Jul25'!CA387)</f>
        <v/>
      </c>
      <c r="CB387" t="str">
        <f>IF('1. Live'!CB387='check-Jul25'!CB387,"",'1. Live'!CB387-'check-Jul25'!CB387)</f>
        <v/>
      </c>
      <c r="CC387" t="str">
        <f>IF('1. Live'!CC387='check-Jul25'!CC387,"",'1. Live'!CC387-'check-Jul25'!CC387)</f>
        <v/>
      </c>
      <c r="CD387" t="str">
        <f>IF('1. Live'!CD387='check-Jul25'!CD387,"",'1. Live'!CD387-'check-Jul25'!CD387)</f>
        <v/>
      </c>
      <c r="CE387" t="str">
        <f>IF('1. Live'!CE387='check-Jul25'!CE387,"",'1. Live'!CE387-'check-Jul25'!CE387)</f>
        <v/>
      </c>
      <c r="CF387" t="str">
        <f>IF('1. Live'!CF387='check-Jul25'!CF387,"",'1. Live'!CF387-'check-Jul25'!CF387)</f>
        <v/>
      </c>
      <c r="CG387" t="str">
        <f>IF('1. Live'!CG387='check-Jul25'!CG387,"",'1. Live'!CG387-'check-Jul25'!CG387)</f>
        <v/>
      </c>
      <c r="CH387" t="str">
        <f>IF('1. Live'!CH387='check-Jul25'!CH387,"",'1. Live'!CH387-'check-Jul25'!CH387)</f>
        <v/>
      </c>
      <c r="CI387" t="str">
        <f>IF('1. Live'!CI387='check-Jul25'!CI387,"",'1. Live'!CI387-'check-Jul25'!CI387)</f>
        <v/>
      </c>
      <c r="CJ387" t="str">
        <f>IF('1. Live'!CJ387='check-Jul25'!CJ387,"",'1. Live'!CJ387-'check-Jul25'!CJ387)</f>
        <v/>
      </c>
      <c r="CK387" t="str">
        <f>IF('1. Live'!CK387='check-Jul25'!CK387,"",'1. Live'!CK387-'check-Jul25'!CK387)</f>
        <v/>
      </c>
      <c r="CL387" t="str">
        <f>IF('1. Live'!CL387='check-Jul25'!CL387,"",'1. Live'!CL387-'check-Jul25'!CL387)</f>
        <v/>
      </c>
      <c r="CM387" t="str">
        <f>IF('1. Live'!CM387='check-Jul25'!CM387,"",'1. Live'!CM387-'check-Jul25'!CM387)</f>
        <v/>
      </c>
      <c r="CN387" t="str">
        <f>IF('1. Live'!CN387='check-Jul25'!CN387,"",'1. Live'!CN387-'check-Jul25'!CN387)</f>
        <v/>
      </c>
      <c r="CO387" t="str">
        <f>IF('1. Live'!CO387='check-Jul25'!CO387,"",'1. Live'!CO387-'check-Jul25'!CO387)</f>
        <v/>
      </c>
      <c r="CP387" t="str">
        <f>IF('1. Live'!CP387='check-Jul25'!CP387,"",'1. Live'!CP387-'check-Jul25'!CP387)</f>
        <v/>
      </c>
      <c r="CQ387" t="str">
        <f>IF('1. Live'!CQ387='check-Jul25'!CQ387,"",'1. Live'!CQ387-'check-Jul25'!CQ387)</f>
        <v/>
      </c>
      <c r="CR387" t="str">
        <f>IF('1. Live'!CR387='check-Jul25'!CR387,"",'1. Live'!CR387-'check-Jul25'!CR387)</f>
        <v/>
      </c>
      <c r="CS387" t="str">
        <f>IF('1. Live'!CS387='check-Jul25'!CS387,"",'1. Live'!CS387-'check-Jul25'!CS387)</f>
        <v/>
      </c>
      <c r="CT387" t="str">
        <f>IF('1. Live'!CT387='check-Jul25'!CT387,"",'1. Live'!CT387-'check-Jul25'!CT387)</f>
        <v/>
      </c>
      <c r="CU387" t="str">
        <f>IF('1. Live'!CU387='check-Jul25'!CU387,"",'1. Live'!CU387-'check-Jul25'!CU387)</f>
        <v/>
      </c>
      <c r="CV387" t="str">
        <f>IF('1. Live'!CV387='check-Jul25'!CV387,"",'1. Live'!CV387-'check-Jul25'!CV387)</f>
        <v/>
      </c>
      <c r="CW387" t="str">
        <f>IF('1. Live'!CW387='check-Jul25'!CW387,"",'1. Live'!CW387-'check-Jul25'!CW387)</f>
        <v/>
      </c>
    </row>
    <row r="388" spans="10:101">
      <c r="J388" t="str">
        <f>IF('1. Live'!J388='check-Jul25'!J388,"",'1. Live'!J388-'check-Jul25'!J388)</f>
        <v/>
      </c>
      <c r="K388" t="str">
        <f>IF('1. Live'!K388='check-Jul25'!K388,"",'1. Live'!K388-'check-Jul25'!K388)</f>
        <v/>
      </c>
      <c r="L388" t="str">
        <f>IF('1. Live'!L388='check-Jul25'!L388,"",'1. Live'!L388-'check-Jul25'!L388)</f>
        <v/>
      </c>
      <c r="M388" t="str">
        <f>IF('1. Live'!M388='check-Jul25'!M388,"",'1. Live'!M388-'check-Jul25'!M388)</f>
        <v/>
      </c>
      <c r="N388" t="str">
        <f>IF('1. Live'!N388='check-Jul25'!N388,"",'1. Live'!N388-'check-Jul25'!N388)</f>
        <v/>
      </c>
      <c r="O388" t="str">
        <f>IF('1. Live'!O388='check-Jul25'!O388,"",'1. Live'!O388-'check-Jul25'!O388)</f>
        <v/>
      </c>
      <c r="P388" t="str">
        <f>IF('1. Live'!P388='check-Jul25'!P388,"",'1. Live'!P388-'check-Jul25'!P388)</f>
        <v/>
      </c>
      <c r="Q388" t="str">
        <f>IF('1. Live'!Q388='check-Jul25'!Q388,"",'1. Live'!Q388-'check-Jul25'!Q388)</f>
        <v/>
      </c>
      <c r="R388" t="str">
        <f>IF('1. Live'!R388='check-Jul25'!R388,"",'1. Live'!R388-'check-Jul25'!R388)</f>
        <v/>
      </c>
      <c r="S388" t="str">
        <f>IF('1. Live'!S388='check-Jul25'!S388,"",'1. Live'!S388-'check-Jul25'!S388)</f>
        <v/>
      </c>
      <c r="T388" t="str">
        <f>IF('1. Live'!T388='check-Jul25'!T388,"",'1. Live'!T388-'check-Jul25'!T388)</f>
        <v/>
      </c>
      <c r="U388" t="str">
        <f>IF('1. Live'!U388='check-Jul25'!U388,"",'1. Live'!U388-'check-Jul25'!U388)</f>
        <v/>
      </c>
      <c r="V388" t="str">
        <f>IF('1. Live'!V388='check-Jul25'!V388,"",'1. Live'!V388-'check-Jul25'!V388)</f>
        <v/>
      </c>
      <c r="W388" t="str">
        <f>IF('1. Live'!W388='check-Jul25'!W388,"",'1. Live'!W388-'check-Jul25'!W388)</f>
        <v/>
      </c>
      <c r="X388" t="str">
        <f>IF('1. Live'!X388='check-Jul25'!X388,"",'1. Live'!X388-'check-Jul25'!X388)</f>
        <v/>
      </c>
      <c r="Y388" t="str">
        <f>IF('1. Live'!Y388='check-Jul25'!Y388,"",'1. Live'!Y388-'check-Jul25'!Y388)</f>
        <v/>
      </c>
      <c r="Z388" t="str">
        <f>IF('1. Live'!Z388='check-Jul25'!Z388,"",'1. Live'!Z388-'check-Jul25'!Z388)</f>
        <v/>
      </c>
      <c r="AA388" t="str">
        <f>IF('1. Live'!AA388='check-Jul25'!AA388,"",'1. Live'!AA388-'check-Jul25'!AA388)</f>
        <v/>
      </c>
      <c r="AB388" t="str">
        <f>IF('1. Live'!AB388='check-Jul25'!AB388,"",'1. Live'!AB388-'check-Jul25'!AB388)</f>
        <v/>
      </c>
      <c r="AC388" t="str">
        <f>IF('1. Live'!AC388='check-Jul25'!AC388,"",'1. Live'!AC388-'check-Jul25'!AC388)</f>
        <v/>
      </c>
      <c r="AD388" t="str">
        <f>IF('1. Live'!AD388='check-Jul25'!AD388,"",'1. Live'!AD388-'check-Jul25'!AD388)</f>
        <v/>
      </c>
      <c r="AE388" t="str">
        <f>IF('1. Live'!AE388='check-Jul25'!AE388,"",'1. Live'!AE388-'check-Jul25'!AE388)</f>
        <v/>
      </c>
      <c r="AF388" t="str">
        <f>IF('1. Live'!AF388='check-Jul25'!AF388,"",'1. Live'!AF388-'check-Jul25'!AF388)</f>
        <v/>
      </c>
      <c r="AG388" t="str">
        <f>IF('1. Live'!AG388='check-Jul25'!AG388,"",'1. Live'!AG388-'check-Jul25'!AG388)</f>
        <v/>
      </c>
      <c r="AH388" t="str">
        <f>IF('1. Live'!AH388='check-Jul25'!AH388,"",'1. Live'!AH388-'check-Jul25'!AH388)</f>
        <v/>
      </c>
      <c r="AI388" t="str">
        <f>IF('1. Live'!AI388='check-Jul25'!AI388,"",'1. Live'!AI388-'check-Jul25'!AI388)</f>
        <v/>
      </c>
      <c r="AJ388" t="str">
        <f>IF('1. Live'!AJ388='check-Jul25'!AJ388,"",'1. Live'!AJ388-'check-Jul25'!AJ388)</f>
        <v/>
      </c>
      <c r="AK388" t="str">
        <f>IF('1. Live'!AK388='check-Jul25'!AK388,"",'1. Live'!AK388-'check-Jul25'!AK388)</f>
        <v/>
      </c>
      <c r="AL388" t="str">
        <f>IF('1. Live'!AL388='check-Jul25'!AL388,"",'1. Live'!AL388-'check-Jul25'!AL388)</f>
        <v/>
      </c>
      <c r="AM388" t="str">
        <f>IF('1. Live'!AM388='check-Jul25'!AM388,"",'1. Live'!AM388-'check-Jul25'!AM388)</f>
        <v/>
      </c>
      <c r="AN388" t="str">
        <f>IF('1. Live'!AN388='check-Jul25'!AN388,"",'1. Live'!AN388-'check-Jul25'!AN388)</f>
        <v/>
      </c>
      <c r="AO388" t="str">
        <f>IF('1. Live'!AO388='check-Jul25'!AO388,"",'1. Live'!AO388-'check-Jul25'!AO388)</f>
        <v/>
      </c>
      <c r="AP388" t="str">
        <f>IF('1. Live'!AP388='check-Jul25'!AP388,"",'1. Live'!AP388-'check-Jul25'!AP388)</f>
        <v/>
      </c>
      <c r="AQ388" t="str">
        <f>IF('1. Live'!AQ388='check-Jul25'!AQ388,"",'1. Live'!AQ388-'check-Jul25'!AQ388)</f>
        <v/>
      </c>
      <c r="AR388" t="str">
        <f>IF('1. Live'!AR388='check-Jul25'!AR388,"",'1. Live'!AR388-'check-Jul25'!AR388)</f>
        <v/>
      </c>
      <c r="AS388" t="str">
        <f>IF('1. Live'!AS388='check-Jul25'!AS388,"",'1. Live'!AS388-'check-Jul25'!AS388)</f>
        <v/>
      </c>
      <c r="AT388" t="str">
        <f>IF('1. Live'!AT388='check-Jul25'!AT388,"",'1. Live'!AT388-'check-Jul25'!AT388)</f>
        <v/>
      </c>
      <c r="AU388" t="str">
        <f>IF('1. Live'!AU388='check-Jul25'!AU388,"",'1. Live'!AU388-'check-Jul25'!AU388)</f>
        <v/>
      </c>
      <c r="AV388" t="str">
        <f>IF('1. Live'!AV388='check-Jul25'!AV388,"",'1. Live'!AV388-'check-Jul25'!AV388)</f>
        <v/>
      </c>
      <c r="AW388" t="str">
        <f>IF('1. Live'!AW388='check-Jul25'!AW388,"",'1. Live'!AW388-'check-Jul25'!AW388)</f>
        <v/>
      </c>
      <c r="AX388" t="str">
        <f>IF('1. Live'!AX388='check-Jul25'!AX388,"",'1. Live'!AX388-'check-Jul25'!AX388)</f>
        <v/>
      </c>
      <c r="AY388" t="str">
        <f>IF('1. Live'!AY388='check-Jul25'!AY388,"",'1. Live'!AY388-'check-Jul25'!AY388)</f>
        <v/>
      </c>
      <c r="AZ388" t="str">
        <f>IF('1. Live'!AZ388='check-Jul25'!AZ388,"",'1. Live'!AZ388-'check-Jul25'!AZ388)</f>
        <v/>
      </c>
      <c r="BA388" t="str">
        <f>IF('1. Live'!BA388='check-Jul25'!BA388,"",'1. Live'!BA388-'check-Jul25'!BA388)</f>
        <v/>
      </c>
      <c r="BB388" t="str">
        <f>IF('1. Live'!BB388='check-Jul25'!BB388,"",'1. Live'!BB388-'check-Jul25'!BB388)</f>
        <v/>
      </c>
      <c r="BC388" t="str">
        <f>IF('1. Live'!BC388='check-Jul25'!BC388,"",'1. Live'!BC388-'check-Jul25'!BC388)</f>
        <v/>
      </c>
      <c r="BD388" t="str">
        <f>IF('1. Live'!BD388='check-Jul25'!BD388,"",'1. Live'!BD388-'check-Jul25'!BD388)</f>
        <v/>
      </c>
      <c r="BE388" t="str">
        <f>IF('1. Live'!BE388='check-Jul25'!BE388,"",'1. Live'!BE388-'check-Jul25'!BE388)</f>
        <v/>
      </c>
      <c r="BF388" t="str">
        <f>IF('1. Live'!BF388='check-Jul25'!BF388,"",'1. Live'!BF388-'check-Jul25'!BF388)</f>
        <v/>
      </c>
      <c r="BG388" t="str">
        <f>IF('1. Live'!BG388='check-Jul25'!BG388,"",'1. Live'!BG388-'check-Jul25'!BG388)</f>
        <v/>
      </c>
      <c r="BH388" t="str">
        <f>IF('1. Live'!BH388='check-Jul25'!BH388,"",'1. Live'!BH388-'check-Jul25'!BH388)</f>
        <v/>
      </c>
      <c r="BI388" t="str">
        <f>IF('1. Live'!BI388='check-Jul25'!BI388,"",'1. Live'!BI388-'check-Jul25'!BI388)</f>
        <v/>
      </c>
      <c r="BJ388" t="str">
        <f>IF('1. Live'!BJ388='check-Jul25'!BJ388,"",'1. Live'!BJ388-'check-Jul25'!BJ388)</f>
        <v/>
      </c>
      <c r="BK388" t="str">
        <f>IF('1. Live'!BK388='check-Jul25'!BK388,"",'1. Live'!BK388-'check-Jul25'!BK388)</f>
        <v/>
      </c>
      <c r="BL388" t="str">
        <f>IF('1. Live'!BL388='check-Jul25'!BL388,"",'1. Live'!BL388-'check-Jul25'!BL388)</f>
        <v/>
      </c>
      <c r="BM388" t="str">
        <f>IF('1. Live'!BM388='check-Jul25'!BM388,"",'1. Live'!BM388-'check-Jul25'!BM388)</f>
        <v/>
      </c>
      <c r="BN388" t="str">
        <f>IF('1. Live'!BN388='check-Jul25'!BN388,"",'1. Live'!BN388-'check-Jul25'!BN388)</f>
        <v/>
      </c>
      <c r="BO388" t="str">
        <f>IF('1. Live'!BO388='check-Jul25'!BO388,"",'1. Live'!BO388-'check-Jul25'!BO388)</f>
        <v/>
      </c>
      <c r="BP388" t="str">
        <f>IF('1. Live'!BP388='check-Jul25'!BP388,"",'1. Live'!BP388-'check-Jul25'!BP388)</f>
        <v/>
      </c>
      <c r="BQ388" t="str">
        <f>IF('1. Live'!BQ388='check-Jul25'!BQ388,"",'1. Live'!BQ388-'check-Jul25'!BQ388)</f>
        <v/>
      </c>
      <c r="BR388" t="str">
        <f>IF('1. Live'!BR388='check-Jul25'!BR388,"",'1. Live'!BR388-'check-Jul25'!BR388)</f>
        <v/>
      </c>
      <c r="BS388" t="str">
        <f>IF('1. Live'!BS388='check-Jul25'!BS388,"",'1. Live'!BS388-'check-Jul25'!BS388)</f>
        <v/>
      </c>
      <c r="BT388" t="str">
        <f>IF('1. Live'!BT388='check-Jul25'!BT388,"",'1. Live'!BT388-'check-Jul25'!BT388)</f>
        <v/>
      </c>
      <c r="BU388" t="str">
        <f>IF('1. Live'!BU388='check-Jul25'!BU388,"",'1. Live'!BU388-'check-Jul25'!BU388)</f>
        <v/>
      </c>
      <c r="BV388" t="str">
        <f>IF('1. Live'!BV388='check-Jul25'!BV388,"",'1. Live'!BV388-'check-Jul25'!BV388)</f>
        <v/>
      </c>
      <c r="BW388" t="str">
        <f>IF('1. Live'!BW388='check-Jul25'!BW388,"",'1. Live'!BW388-'check-Jul25'!BW388)</f>
        <v/>
      </c>
      <c r="BX388" t="str">
        <f>IF('1. Live'!BX388='check-Jul25'!BX388,"",'1. Live'!BX388-'check-Jul25'!BX388)</f>
        <v/>
      </c>
      <c r="BY388" t="str">
        <f>IF('1. Live'!BY388='check-Jul25'!BY388,"",'1. Live'!BY388-'check-Jul25'!BY388)</f>
        <v/>
      </c>
      <c r="BZ388" t="str">
        <f>IF('1. Live'!BZ388='check-Jul25'!BZ388,"",'1. Live'!BZ388-'check-Jul25'!BZ388)</f>
        <v/>
      </c>
      <c r="CA388" t="str">
        <f>IF('1. Live'!CA388='check-Jul25'!CA388,"",'1. Live'!CA388-'check-Jul25'!CA388)</f>
        <v/>
      </c>
      <c r="CB388" t="str">
        <f>IF('1. Live'!CB388='check-Jul25'!CB388,"",'1. Live'!CB388-'check-Jul25'!CB388)</f>
        <v/>
      </c>
      <c r="CC388" t="str">
        <f>IF('1. Live'!CC388='check-Jul25'!CC388,"",'1. Live'!CC388-'check-Jul25'!CC388)</f>
        <v/>
      </c>
      <c r="CD388" t="str">
        <f>IF('1. Live'!CD388='check-Jul25'!CD388,"",'1. Live'!CD388-'check-Jul25'!CD388)</f>
        <v/>
      </c>
      <c r="CE388" t="str">
        <f>IF('1. Live'!CE388='check-Jul25'!CE388,"",'1. Live'!CE388-'check-Jul25'!CE388)</f>
        <v/>
      </c>
      <c r="CF388" t="str">
        <f>IF('1. Live'!CF388='check-Jul25'!CF388,"",'1. Live'!CF388-'check-Jul25'!CF388)</f>
        <v/>
      </c>
      <c r="CG388" t="str">
        <f>IF('1. Live'!CG388='check-Jul25'!CG388,"",'1. Live'!CG388-'check-Jul25'!CG388)</f>
        <v/>
      </c>
      <c r="CH388" t="str">
        <f>IF('1. Live'!CH388='check-Jul25'!CH388,"",'1. Live'!CH388-'check-Jul25'!CH388)</f>
        <v/>
      </c>
      <c r="CI388" t="str">
        <f>IF('1. Live'!CI388='check-Jul25'!CI388,"",'1. Live'!CI388-'check-Jul25'!CI388)</f>
        <v/>
      </c>
      <c r="CJ388" t="str">
        <f>IF('1. Live'!CJ388='check-Jul25'!CJ388,"",'1. Live'!CJ388-'check-Jul25'!CJ388)</f>
        <v/>
      </c>
      <c r="CK388" t="str">
        <f>IF('1. Live'!CK388='check-Jul25'!CK388,"",'1. Live'!CK388-'check-Jul25'!CK388)</f>
        <v/>
      </c>
      <c r="CL388" t="str">
        <f>IF('1. Live'!CL388='check-Jul25'!CL388,"",'1. Live'!CL388-'check-Jul25'!CL388)</f>
        <v/>
      </c>
      <c r="CM388" t="str">
        <f>IF('1. Live'!CM388='check-Jul25'!CM388,"",'1. Live'!CM388-'check-Jul25'!CM388)</f>
        <v/>
      </c>
      <c r="CN388" t="str">
        <f>IF('1. Live'!CN388='check-Jul25'!CN388,"",'1. Live'!CN388-'check-Jul25'!CN388)</f>
        <v/>
      </c>
      <c r="CO388" t="str">
        <f>IF('1. Live'!CO388='check-Jul25'!CO388,"",'1. Live'!CO388-'check-Jul25'!CO388)</f>
        <v/>
      </c>
      <c r="CP388" t="str">
        <f>IF('1. Live'!CP388='check-Jul25'!CP388,"",'1. Live'!CP388-'check-Jul25'!CP388)</f>
        <v/>
      </c>
      <c r="CQ388" t="str">
        <f>IF('1. Live'!CQ388='check-Jul25'!CQ388,"",'1. Live'!CQ388-'check-Jul25'!CQ388)</f>
        <v/>
      </c>
      <c r="CR388" t="str">
        <f>IF('1. Live'!CR388='check-Jul25'!CR388,"",'1. Live'!CR388-'check-Jul25'!CR388)</f>
        <v/>
      </c>
      <c r="CS388" t="str">
        <f>IF('1. Live'!CS388='check-Jul25'!CS388,"",'1. Live'!CS388-'check-Jul25'!CS388)</f>
        <v/>
      </c>
      <c r="CT388" t="str">
        <f>IF('1. Live'!CT388='check-Jul25'!CT388,"",'1. Live'!CT388-'check-Jul25'!CT388)</f>
        <v/>
      </c>
      <c r="CU388" t="str">
        <f>IF('1. Live'!CU388='check-Jul25'!CU388,"",'1. Live'!CU388-'check-Jul25'!CU388)</f>
        <v/>
      </c>
      <c r="CV388" t="str">
        <f>IF('1. Live'!CV388='check-Jul25'!CV388,"",'1. Live'!CV388-'check-Jul25'!CV388)</f>
        <v/>
      </c>
      <c r="CW388" t="str">
        <f>IF('1. Live'!CW388='check-Jul25'!CW388,"",'1. Live'!CW388-'check-Jul25'!CW388)</f>
        <v/>
      </c>
    </row>
    <row r="389" spans="10:101">
      <c r="J389" t="str">
        <f>IF('1. Live'!J389='check-Jul25'!J389,"",'1. Live'!J389-'check-Jul25'!J389)</f>
        <v/>
      </c>
      <c r="K389" t="str">
        <f>IF('1. Live'!K389='check-Jul25'!K389,"",'1. Live'!K389-'check-Jul25'!K389)</f>
        <v/>
      </c>
      <c r="L389" t="str">
        <f>IF('1. Live'!L389='check-Jul25'!L389,"",'1. Live'!L389-'check-Jul25'!L389)</f>
        <v/>
      </c>
      <c r="M389" t="str">
        <f>IF('1. Live'!M389='check-Jul25'!M389,"",'1. Live'!M389-'check-Jul25'!M389)</f>
        <v/>
      </c>
      <c r="N389" t="str">
        <f>IF('1. Live'!N389='check-Jul25'!N389,"",'1. Live'!N389-'check-Jul25'!N389)</f>
        <v/>
      </c>
      <c r="O389" t="str">
        <f>IF('1. Live'!O389='check-Jul25'!O389,"",'1. Live'!O389-'check-Jul25'!O389)</f>
        <v/>
      </c>
      <c r="P389" t="str">
        <f>IF('1. Live'!P389='check-Jul25'!P389,"",'1. Live'!P389-'check-Jul25'!P389)</f>
        <v/>
      </c>
      <c r="Q389" t="str">
        <f>IF('1. Live'!Q389='check-Jul25'!Q389,"",'1. Live'!Q389-'check-Jul25'!Q389)</f>
        <v/>
      </c>
      <c r="R389" t="str">
        <f>IF('1. Live'!R389='check-Jul25'!R389,"",'1. Live'!R389-'check-Jul25'!R389)</f>
        <v/>
      </c>
      <c r="S389" t="str">
        <f>IF('1. Live'!S389='check-Jul25'!S389,"",'1. Live'!S389-'check-Jul25'!S389)</f>
        <v/>
      </c>
      <c r="T389" t="str">
        <f>IF('1. Live'!T389='check-Jul25'!T389,"",'1. Live'!T389-'check-Jul25'!T389)</f>
        <v/>
      </c>
      <c r="U389" t="str">
        <f>IF('1. Live'!U389='check-Jul25'!U389,"",'1. Live'!U389-'check-Jul25'!U389)</f>
        <v/>
      </c>
      <c r="V389" t="str">
        <f>IF('1. Live'!V389='check-Jul25'!V389,"",'1. Live'!V389-'check-Jul25'!V389)</f>
        <v/>
      </c>
      <c r="W389" t="str">
        <f>IF('1. Live'!W389='check-Jul25'!W389,"",'1. Live'!W389-'check-Jul25'!W389)</f>
        <v/>
      </c>
      <c r="X389" t="str">
        <f>IF('1. Live'!X389='check-Jul25'!X389,"",'1. Live'!X389-'check-Jul25'!X389)</f>
        <v/>
      </c>
      <c r="Y389" t="str">
        <f>IF('1. Live'!Y389='check-Jul25'!Y389,"",'1. Live'!Y389-'check-Jul25'!Y389)</f>
        <v/>
      </c>
      <c r="Z389" t="str">
        <f>IF('1. Live'!Z389='check-Jul25'!Z389,"",'1. Live'!Z389-'check-Jul25'!Z389)</f>
        <v/>
      </c>
      <c r="AA389" t="str">
        <f>IF('1. Live'!AA389='check-Jul25'!AA389,"",'1. Live'!AA389-'check-Jul25'!AA389)</f>
        <v/>
      </c>
      <c r="AB389" t="str">
        <f>IF('1. Live'!AB389='check-Jul25'!AB389,"",'1. Live'!AB389-'check-Jul25'!AB389)</f>
        <v/>
      </c>
      <c r="AC389" t="str">
        <f>IF('1. Live'!AC389='check-Jul25'!AC389,"",'1. Live'!AC389-'check-Jul25'!AC389)</f>
        <v/>
      </c>
      <c r="AD389" t="str">
        <f>IF('1. Live'!AD389='check-Jul25'!AD389,"",'1. Live'!AD389-'check-Jul25'!AD389)</f>
        <v/>
      </c>
      <c r="AE389" t="str">
        <f>IF('1. Live'!AE389='check-Jul25'!AE389,"",'1. Live'!AE389-'check-Jul25'!AE389)</f>
        <v/>
      </c>
      <c r="AF389" t="str">
        <f>IF('1. Live'!AF389='check-Jul25'!AF389,"",'1. Live'!AF389-'check-Jul25'!AF389)</f>
        <v/>
      </c>
      <c r="AG389" t="str">
        <f>IF('1. Live'!AG389='check-Jul25'!AG389,"",'1. Live'!AG389-'check-Jul25'!AG389)</f>
        <v/>
      </c>
      <c r="AH389" t="str">
        <f>IF('1. Live'!AH389='check-Jul25'!AH389,"",'1. Live'!AH389-'check-Jul25'!AH389)</f>
        <v/>
      </c>
      <c r="AI389" t="str">
        <f>IF('1. Live'!AI389='check-Jul25'!AI389,"",'1. Live'!AI389-'check-Jul25'!AI389)</f>
        <v/>
      </c>
      <c r="AJ389" t="str">
        <f>IF('1. Live'!AJ389='check-Jul25'!AJ389,"",'1. Live'!AJ389-'check-Jul25'!AJ389)</f>
        <v/>
      </c>
      <c r="AK389" t="str">
        <f>IF('1. Live'!AK389='check-Jul25'!AK389,"",'1. Live'!AK389-'check-Jul25'!AK389)</f>
        <v/>
      </c>
      <c r="AL389" t="str">
        <f>IF('1. Live'!AL389='check-Jul25'!AL389,"",'1. Live'!AL389-'check-Jul25'!AL389)</f>
        <v/>
      </c>
      <c r="AM389" t="str">
        <f>IF('1. Live'!AM389='check-Jul25'!AM389,"",'1. Live'!AM389-'check-Jul25'!AM389)</f>
        <v/>
      </c>
      <c r="AN389" t="str">
        <f>IF('1. Live'!AN389='check-Jul25'!AN389,"",'1. Live'!AN389-'check-Jul25'!AN389)</f>
        <v/>
      </c>
      <c r="AO389" t="str">
        <f>IF('1. Live'!AO389='check-Jul25'!AO389,"",'1. Live'!AO389-'check-Jul25'!AO389)</f>
        <v/>
      </c>
      <c r="AP389" t="str">
        <f>IF('1. Live'!AP389='check-Jul25'!AP389,"",'1. Live'!AP389-'check-Jul25'!AP389)</f>
        <v/>
      </c>
      <c r="AQ389" t="str">
        <f>IF('1. Live'!AQ389='check-Jul25'!AQ389,"",'1. Live'!AQ389-'check-Jul25'!AQ389)</f>
        <v/>
      </c>
      <c r="AR389" t="str">
        <f>IF('1. Live'!AR389='check-Jul25'!AR389,"",'1. Live'!AR389-'check-Jul25'!AR389)</f>
        <v/>
      </c>
      <c r="AS389" t="str">
        <f>IF('1. Live'!AS389='check-Jul25'!AS389,"",'1. Live'!AS389-'check-Jul25'!AS389)</f>
        <v/>
      </c>
      <c r="AT389" t="str">
        <f>IF('1. Live'!AT389='check-Jul25'!AT389,"",'1. Live'!AT389-'check-Jul25'!AT389)</f>
        <v/>
      </c>
      <c r="AU389" t="str">
        <f>IF('1. Live'!AU389='check-Jul25'!AU389,"",'1. Live'!AU389-'check-Jul25'!AU389)</f>
        <v/>
      </c>
      <c r="AV389" t="str">
        <f>IF('1. Live'!AV389='check-Jul25'!AV389,"",'1. Live'!AV389-'check-Jul25'!AV389)</f>
        <v/>
      </c>
      <c r="AW389" t="str">
        <f>IF('1. Live'!AW389='check-Jul25'!AW389,"",'1. Live'!AW389-'check-Jul25'!AW389)</f>
        <v/>
      </c>
      <c r="AX389" t="str">
        <f>IF('1. Live'!AX389='check-Jul25'!AX389,"",'1. Live'!AX389-'check-Jul25'!AX389)</f>
        <v/>
      </c>
      <c r="AY389" t="str">
        <f>IF('1. Live'!AY389='check-Jul25'!AY389,"",'1. Live'!AY389-'check-Jul25'!AY389)</f>
        <v/>
      </c>
      <c r="AZ389" t="str">
        <f>IF('1. Live'!AZ389='check-Jul25'!AZ389,"",'1. Live'!AZ389-'check-Jul25'!AZ389)</f>
        <v/>
      </c>
      <c r="BA389" t="str">
        <f>IF('1. Live'!BA389='check-Jul25'!BA389,"",'1. Live'!BA389-'check-Jul25'!BA389)</f>
        <v/>
      </c>
      <c r="BB389" t="str">
        <f>IF('1. Live'!BB389='check-Jul25'!BB389,"",'1. Live'!BB389-'check-Jul25'!BB389)</f>
        <v/>
      </c>
      <c r="BC389" t="str">
        <f>IF('1. Live'!BC389='check-Jul25'!BC389,"",'1. Live'!BC389-'check-Jul25'!BC389)</f>
        <v/>
      </c>
      <c r="BD389" t="str">
        <f>IF('1. Live'!BD389='check-Jul25'!BD389,"",'1. Live'!BD389-'check-Jul25'!BD389)</f>
        <v/>
      </c>
      <c r="BE389" t="str">
        <f>IF('1. Live'!BE389='check-Jul25'!BE389,"",'1. Live'!BE389-'check-Jul25'!BE389)</f>
        <v/>
      </c>
      <c r="BF389" t="str">
        <f>IF('1. Live'!BF389='check-Jul25'!BF389,"",'1. Live'!BF389-'check-Jul25'!BF389)</f>
        <v/>
      </c>
      <c r="BG389" t="str">
        <f>IF('1. Live'!BG389='check-Jul25'!BG389,"",'1. Live'!BG389-'check-Jul25'!BG389)</f>
        <v/>
      </c>
      <c r="BH389" t="str">
        <f>IF('1. Live'!BH389='check-Jul25'!BH389,"",'1. Live'!BH389-'check-Jul25'!BH389)</f>
        <v/>
      </c>
      <c r="BI389" t="str">
        <f>IF('1. Live'!BI389='check-Jul25'!BI389,"",'1. Live'!BI389-'check-Jul25'!BI389)</f>
        <v/>
      </c>
      <c r="BJ389" t="str">
        <f>IF('1. Live'!BJ389='check-Jul25'!BJ389,"",'1. Live'!BJ389-'check-Jul25'!BJ389)</f>
        <v/>
      </c>
      <c r="BK389" t="str">
        <f>IF('1. Live'!BK389='check-Jul25'!BK389,"",'1. Live'!BK389-'check-Jul25'!BK389)</f>
        <v/>
      </c>
      <c r="BL389" t="str">
        <f>IF('1. Live'!BL389='check-Jul25'!BL389,"",'1. Live'!BL389-'check-Jul25'!BL389)</f>
        <v/>
      </c>
      <c r="BM389" t="str">
        <f>IF('1. Live'!BM389='check-Jul25'!BM389,"",'1. Live'!BM389-'check-Jul25'!BM389)</f>
        <v/>
      </c>
      <c r="BN389" t="str">
        <f>IF('1. Live'!BN389='check-Jul25'!BN389,"",'1. Live'!BN389-'check-Jul25'!BN389)</f>
        <v/>
      </c>
      <c r="BO389" t="str">
        <f>IF('1. Live'!BO389='check-Jul25'!BO389,"",'1. Live'!BO389-'check-Jul25'!BO389)</f>
        <v/>
      </c>
      <c r="BP389" t="str">
        <f>IF('1. Live'!BP389='check-Jul25'!BP389,"",'1. Live'!BP389-'check-Jul25'!BP389)</f>
        <v/>
      </c>
      <c r="BQ389" t="str">
        <f>IF('1. Live'!BQ389='check-Jul25'!BQ389,"",'1. Live'!BQ389-'check-Jul25'!BQ389)</f>
        <v/>
      </c>
      <c r="BR389" t="str">
        <f>IF('1. Live'!BR389='check-Jul25'!BR389,"",'1. Live'!BR389-'check-Jul25'!BR389)</f>
        <v/>
      </c>
      <c r="BS389" t="str">
        <f>IF('1. Live'!BS389='check-Jul25'!BS389,"",'1. Live'!BS389-'check-Jul25'!BS389)</f>
        <v/>
      </c>
      <c r="BT389" t="str">
        <f>IF('1. Live'!BT389='check-Jul25'!BT389,"",'1. Live'!BT389-'check-Jul25'!BT389)</f>
        <v/>
      </c>
      <c r="BU389" t="str">
        <f>IF('1. Live'!BU389='check-Jul25'!BU389,"",'1. Live'!BU389-'check-Jul25'!BU389)</f>
        <v/>
      </c>
      <c r="BV389" t="str">
        <f>IF('1. Live'!BV389='check-Jul25'!BV389,"",'1. Live'!BV389-'check-Jul25'!BV389)</f>
        <v/>
      </c>
      <c r="BW389" t="str">
        <f>IF('1. Live'!BW389='check-Jul25'!BW389,"",'1. Live'!BW389-'check-Jul25'!BW389)</f>
        <v/>
      </c>
      <c r="BX389" t="str">
        <f>IF('1. Live'!BX389='check-Jul25'!BX389,"",'1. Live'!BX389-'check-Jul25'!BX389)</f>
        <v/>
      </c>
      <c r="BY389" t="str">
        <f>IF('1. Live'!BY389='check-Jul25'!BY389,"",'1. Live'!BY389-'check-Jul25'!BY389)</f>
        <v/>
      </c>
      <c r="BZ389" t="str">
        <f>IF('1. Live'!BZ389='check-Jul25'!BZ389,"",'1. Live'!BZ389-'check-Jul25'!BZ389)</f>
        <v/>
      </c>
      <c r="CA389" t="str">
        <f>IF('1. Live'!CA389='check-Jul25'!CA389,"",'1. Live'!CA389-'check-Jul25'!CA389)</f>
        <v/>
      </c>
      <c r="CB389" t="str">
        <f>IF('1. Live'!CB389='check-Jul25'!CB389,"",'1. Live'!CB389-'check-Jul25'!CB389)</f>
        <v/>
      </c>
      <c r="CC389" t="str">
        <f>IF('1. Live'!CC389='check-Jul25'!CC389,"",'1. Live'!CC389-'check-Jul25'!CC389)</f>
        <v/>
      </c>
      <c r="CD389" t="str">
        <f>IF('1. Live'!CD389='check-Jul25'!CD389,"",'1. Live'!CD389-'check-Jul25'!CD389)</f>
        <v/>
      </c>
      <c r="CE389" t="str">
        <f>IF('1. Live'!CE389='check-Jul25'!CE389,"",'1. Live'!CE389-'check-Jul25'!CE389)</f>
        <v/>
      </c>
      <c r="CF389" t="str">
        <f>IF('1. Live'!CF389='check-Jul25'!CF389,"",'1. Live'!CF389-'check-Jul25'!CF389)</f>
        <v/>
      </c>
      <c r="CG389" t="str">
        <f>IF('1. Live'!CG389='check-Jul25'!CG389,"",'1. Live'!CG389-'check-Jul25'!CG389)</f>
        <v/>
      </c>
      <c r="CH389" t="str">
        <f>IF('1. Live'!CH389='check-Jul25'!CH389,"",'1. Live'!CH389-'check-Jul25'!CH389)</f>
        <v/>
      </c>
      <c r="CI389" t="str">
        <f>IF('1. Live'!CI389='check-Jul25'!CI389,"",'1. Live'!CI389-'check-Jul25'!CI389)</f>
        <v/>
      </c>
      <c r="CJ389" t="str">
        <f>IF('1. Live'!CJ389='check-Jul25'!CJ389,"",'1. Live'!CJ389-'check-Jul25'!CJ389)</f>
        <v/>
      </c>
      <c r="CK389" t="str">
        <f>IF('1. Live'!CK389='check-Jul25'!CK389,"",'1. Live'!CK389-'check-Jul25'!CK389)</f>
        <v/>
      </c>
      <c r="CL389" t="str">
        <f>IF('1. Live'!CL389='check-Jul25'!CL389,"",'1. Live'!CL389-'check-Jul25'!CL389)</f>
        <v/>
      </c>
      <c r="CM389" t="str">
        <f>IF('1. Live'!CM389='check-Jul25'!CM389,"",'1. Live'!CM389-'check-Jul25'!CM389)</f>
        <v/>
      </c>
      <c r="CN389" t="str">
        <f>IF('1. Live'!CN389='check-Jul25'!CN389,"",'1. Live'!CN389-'check-Jul25'!CN389)</f>
        <v/>
      </c>
      <c r="CO389" t="str">
        <f>IF('1. Live'!CO389='check-Jul25'!CO389,"",'1. Live'!CO389-'check-Jul25'!CO389)</f>
        <v/>
      </c>
      <c r="CP389" t="str">
        <f>IF('1. Live'!CP389='check-Jul25'!CP389,"",'1. Live'!CP389-'check-Jul25'!CP389)</f>
        <v/>
      </c>
      <c r="CQ389" t="str">
        <f>IF('1. Live'!CQ389='check-Jul25'!CQ389,"",'1. Live'!CQ389-'check-Jul25'!CQ389)</f>
        <v/>
      </c>
      <c r="CR389" t="str">
        <f>IF('1. Live'!CR389='check-Jul25'!CR389,"",'1. Live'!CR389-'check-Jul25'!CR389)</f>
        <v/>
      </c>
      <c r="CS389" t="str">
        <f>IF('1. Live'!CS389='check-Jul25'!CS389,"",'1. Live'!CS389-'check-Jul25'!CS389)</f>
        <v/>
      </c>
      <c r="CT389" t="str">
        <f>IF('1. Live'!CT389='check-Jul25'!CT389,"",'1. Live'!CT389-'check-Jul25'!CT389)</f>
        <v/>
      </c>
      <c r="CU389" t="str">
        <f>IF('1. Live'!CU389='check-Jul25'!CU389,"",'1. Live'!CU389-'check-Jul25'!CU389)</f>
        <v/>
      </c>
      <c r="CV389" t="str">
        <f>IF('1. Live'!CV389='check-Jul25'!CV389,"",'1. Live'!CV389-'check-Jul25'!CV389)</f>
        <v/>
      </c>
      <c r="CW389" t="str">
        <f>IF('1. Live'!CW389='check-Jul25'!CW389,"",'1. Live'!CW389-'check-Jul25'!CW389)</f>
        <v/>
      </c>
    </row>
    <row r="390" spans="10:101">
      <c r="J390" t="str">
        <f>IF('1. Live'!J390='check-Jul25'!J390,"",'1. Live'!J390-'check-Jul25'!J390)</f>
        <v/>
      </c>
      <c r="K390" t="str">
        <f>IF('1. Live'!K390='check-Jul25'!K390,"",'1. Live'!K390-'check-Jul25'!K390)</f>
        <v/>
      </c>
      <c r="L390" t="str">
        <f>IF('1. Live'!L390='check-Jul25'!L390,"",'1. Live'!L390-'check-Jul25'!L390)</f>
        <v/>
      </c>
      <c r="M390" t="str">
        <f>IF('1. Live'!M390='check-Jul25'!M390,"",'1. Live'!M390-'check-Jul25'!M390)</f>
        <v/>
      </c>
      <c r="N390" t="str">
        <f>IF('1. Live'!N390='check-Jul25'!N390,"",'1. Live'!N390-'check-Jul25'!N390)</f>
        <v/>
      </c>
      <c r="O390" t="str">
        <f>IF('1. Live'!O390='check-Jul25'!O390,"",'1. Live'!O390-'check-Jul25'!O390)</f>
        <v/>
      </c>
      <c r="P390" t="str">
        <f>IF('1. Live'!P390='check-Jul25'!P390,"",'1. Live'!P390-'check-Jul25'!P390)</f>
        <v/>
      </c>
      <c r="Q390" t="str">
        <f>IF('1. Live'!Q390='check-Jul25'!Q390,"",'1. Live'!Q390-'check-Jul25'!Q390)</f>
        <v/>
      </c>
      <c r="R390" t="str">
        <f>IF('1. Live'!R390='check-Jul25'!R390,"",'1. Live'!R390-'check-Jul25'!R390)</f>
        <v/>
      </c>
      <c r="S390" t="str">
        <f>IF('1. Live'!S390='check-Jul25'!S390,"",'1. Live'!S390-'check-Jul25'!S390)</f>
        <v/>
      </c>
      <c r="T390" t="str">
        <f>IF('1. Live'!T390='check-Jul25'!T390,"",'1. Live'!T390-'check-Jul25'!T390)</f>
        <v/>
      </c>
      <c r="U390" t="str">
        <f>IF('1. Live'!U390='check-Jul25'!U390,"",'1. Live'!U390-'check-Jul25'!U390)</f>
        <v/>
      </c>
      <c r="V390" t="str">
        <f>IF('1. Live'!V390='check-Jul25'!V390,"",'1. Live'!V390-'check-Jul25'!V390)</f>
        <v/>
      </c>
      <c r="W390" t="str">
        <f>IF('1. Live'!W390='check-Jul25'!W390,"",'1. Live'!W390-'check-Jul25'!W390)</f>
        <v/>
      </c>
      <c r="X390" t="str">
        <f>IF('1. Live'!X390='check-Jul25'!X390,"",'1. Live'!X390-'check-Jul25'!X390)</f>
        <v/>
      </c>
      <c r="Y390" t="str">
        <f>IF('1. Live'!Y390='check-Jul25'!Y390,"",'1. Live'!Y390-'check-Jul25'!Y390)</f>
        <v/>
      </c>
      <c r="Z390" t="str">
        <f>IF('1. Live'!Z390='check-Jul25'!Z390,"",'1. Live'!Z390-'check-Jul25'!Z390)</f>
        <v/>
      </c>
      <c r="AA390" t="str">
        <f>IF('1. Live'!AA390='check-Jul25'!AA390,"",'1. Live'!AA390-'check-Jul25'!AA390)</f>
        <v/>
      </c>
      <c r="AB390" t="str">
        <f>IF('1. Live'!AB390='check-Jul25'!AB390,"",'1. Live'!AB390-'check-Jul25'!AB390)</f>
        <v/>
      </c>
      <c r="AC390" t="str">
        <f>IF('1. Live'!AC390='check-Jul25'!AC390,"",'1. Live'!AC390-'check-Jul25'!AC390)</f>
        <v/>
      </c>
      <c r="AD390" t="str">
        <f>IF('1. Live'!AD390='check-Jul25'!AD390,"",'1. Live'!AD390-'check-Jul25'!AD390)</f>
        <v/>
      </c>
      <c r="AE390" t="str">
        <f>IF('1. Live'!AE390='check-Jul25'!AE390,"",'1. Live'!AE390-'check-Jul25'!AE390)</f>
        <v/>
      </c>
      <c r="AF390" t="str">
        <f>IF('1. Live'!AF390='check-Jul25'!AF390,"",'1. Live'!AF390-'check-Jul25'!AF390)</f>
        <v/>
      </c>
      <c r="AG390" t="str">
        <f>IF('1. Live'!AG390='check-Jul25'!AG390,"",'1. Live'!AG390-'check-Jul25'!AG390)</f>
        <v/>
      </c>
      <c r="AH390" t="str">
        <f>IF('1. Live'!AH390='check-Jul25'!AH390,"",'1. Live'!AH390-'check-Jul25'!AH390)</f>
        <v/>
      </c>
      <c r="AI390" t="str">
        <f>IF('1. Live'!AI390='check-Jul25'!AI390,"",'1. Live'!AI390-'check-Jul25'!AI390)</f>
        <v/>
      </c>
      <c r="AJ390" t="str">
        <f>IF('1. Live'!AJ390='check-Jul25'!AJ390,"",'1. Live'!AJ390-'check-Jul25'!AJ390)</f>
        <v/>
      </c>
      <c r="AK390" t="str">
        <f>IF('1. Live'!AK390='check-Jul25'!AK390,"",'1. Live'!AK390-'check-Jul25'!AK390)</f>
        <v/>
      </c>
      <c r="AL390" t="str">
        <f>IF('1. Live'!AL390='check-Jul25'!AL390,"",'1. Live'!AL390-'check-Jul25'!AL390)</f>
        <v/>
      </c>
      <c r="AM390" t="str">
        <f>IF('1. Live'!AM390='check-Jul25'!AM390,"",'1. Live'!AM390-'check-Jul25'!AM390)</f>
        <v/>
      </c>
      <c r="AN390" t="str">
        <f>IF('1. Live'!AN390='check-Jul25'!AN390,"",'1. Live'!AN390-'check-Jul25'!AN390)</f>
        <v/>
      </c>
      <c r="AO390" t="str">
        <f>IF('1. Live'!AO390='check-Jul25'!AO390,"",'1. Live'!AO390-'check-Jul25'!AO390)</f>
        <v/>
      </c>
      <c r="AP390" t="str">
        <f>IF('1. Live'!AP390='check-Jul25'!AP390,"",'1. Live'!AP390-'check-Jul25'!AP390)</f>
        <v/>
      </c>
      <c r="AQ390" t="str">
        <f>IF('1. Live'!AQ390='check-Jul25'!AQ390,"",'1. Live'!AQ390-'check-Jul25'!AQ390)</f>
        <v/>
      </c>
      <c r="AR390" t="str">
        <f>IF('1. Live'!AR390='check-Jul25'!AR390,"",'1. Live'!AR390-'check-Jul25'!AR390)</f>
        <v/>
      </c>
      <c r="AS390" t="str">
        <f>IF('1. Live'!AS390='check-Jul25'!AS390,"",'1. Live'!AS390-'check-Jul25'!AS390)</f>
        <v/>
      </c>
      <c r="AT390" t="str">
        <f>IF('1. Live'!AT390='check-Jul25'!AT390,"",'1. Live'!AT390-'check-Jul25'!AT390)</f>
        <v/>
      </c>
      <c r="AU390" t="str">
        <f>IF('1. Live'!AU390='check-Jul25'!AU390,"",'1. Live'!AU390-'check-Jul25'!AU390)</f>
        <v/>
      </c>
      <c r="AV390" t="str">
        <f>IF('1. Live'!AV390='check-Jul25'!AV390,"",'1. Live'!AV390-'check-Jul25'!AV390)</f>
        <v/>
      </c>
      <c r="AW390" t="str">
        <f>IF('1. Live'!AW390='check-Jul25'!AW390,"",'1. Live'!AW390-'check-Jul25'!AW390)</f>
        <v/>
      </c>
      <c r="AX390" t="str">
        <f>IF('1. Live'!AX390='check-Jul25'!AX390,"",'1. Live'!AX390-'check-Jul25'!AX390)</f>
        <v/>
      </c>
      <c r="AY390" t="str">
        <f>IF('1. Live'!AY390='check-Jul25'!AY390,"",'1. Live'!AY390-'check-Jul25'!AY390)</f>
        <v/>
      </c>
      <c r="AZ390" t="str">
        <f>IF('1. Live'!AZ390='check-Jul25'!AZ390,"",'1. Live'!AZ390-'check-Jul25'!AZ390)</f>
        <v/>
      </c>
      <c r="BA390" t="str">
        <f>IF('1. Live'!BA390='check-Jul25'!BA390,"",'1. Live'!BA390-'check-Jul25'!BA390)</f>
        <v/>
      </c>
      <c r="BB390" t="str">
        <f>IF('1. Live'!BB390='check-Jul25'!BB390,"",'1. Live'!BB390-'check-Jul25'!BB390)</f>
        <v/>
      </c>
      <c r="BC390" t="str">
        <f>IF('1. Live'!BC390='check-Jul25'!BC390,"",'1. Live'!BC390-'check-Jul25'!BC390)</f>
        <v/>
      </c>
      <c r="BD390" t="str">
        <f>IF('1. Live'!BD390='check-Jul25'!BD390,"",'1. Live'!BD390-'check-Jul25'!BD390)</f>
        <v/>
      </c>
      <c r="BE390" t="str">
        <f>IF('1. Live'!BE390='check-Jul25'!BE390,"",'1. Live'!BE390-'check-Jul25'!BE390)</f>
        <v/>
      </c>
      <c r="BF390" t="str">
        <f>IF('1. Live'!BF390='check-Jul25'!BF390,"",'1. Live'!BF390-'check-Jul25'!BF390)</f>
        <v/>
      </c>
      <c r="BG390" t="str">
        <f>IF('1. Live'!BG390='check-Jul25'!BG390,"",'1. Live'!BG390-'check-Jul25'!BG390)</f>
        <v/>
      </c>
      <c r="BH390" t="str">
        <f>IF('1. Live'!BH390='check-Jul25'!BH390,"",'1. Live'!BH390-'check-Jul25'!BH390)</f>
        <v/>
      </c>
      <c r="BI390" t="str">
        <f>IF('1. Live'!BI390='check-Jul25'!BI390,"",'1. Live'!BI390-'check-Jul25'!BI390)</f>
        <v/>
      </c>
      <c r="BJ390" t="str">
        <f>IF('1. Live'!BJ390='check-Jul25'!BJ390,"",'1. Live'!BJ390-'check-Jul25'!BJ390)</f>
        <v/>
      </c>
      <c r="BK390" t="str">
        <f>IF('1. Live'!BK390='check-Jul25'!BK390,"",'1. Live'!BK390-'check-Jul25'!BK390)</f>
        <v/>
      </c>
      <c r="BL390" t="str">
        <f>IF('1. Live'!BL390='check-Jul25'!BL390,"",'1. Live'!BL390-'check-Jul25'!BL390)</f>
        <v/>
      </c>
      <c r="BM390" t="str">
        <f>IF('1. Live'!BM390='check-Jul25'!BM390,"",'1. Live'!BM390-'check-Jul25'!BM390)</f>
        <v/>
      </c>
      <c r="BN390" t="str">
        <f>IF('1. Live'!BN390='check-Jul25'!BN390,"",'1. Live'!BN390-'check-Jul25'!BN390)</f>
        <v/>
      </c>
      <c r="BO390" t="str">
        <f>IF('1. Live'!BO390='check-Jul25'!BO390,"",'1. Live'!BO390-'check-Jul25'!BO390)</f>
        <v/>
      </c>
      <c r="BP390" t="str">
        <f>IF('1. Live'!BP390='check-Jul25'!BP390,"",'1. Live'!BP390-'check-Jul25'!BP390)</f>
        <v/>
      </c>
      <c r="BQ390" t="str">
        <f>IF('1. Live'!BQ390='check-Jul25'!BQ390,"",'1. Live'!BQ390-'check-Jul25'!BQ390)</f>
        <v/>
      </c>
      <c r="BR390" t="str">
        <f>IF('1. Live'!BR390='check-Jul25'!BR390,"",'1. Live'!BR390-'check-Jul25'!BR390)</f>
        <v/>
      </c>
      <c r="BS390" t="str">
        <f>IF('1. Live'!BS390='check-Jul25'!BS390,"",'1. Live'!BS390-'check-Jul25'!BS390)</f>
        <v/>
      </c>
      <c r="BT390" t="str">
        <f>IF('1. Live'!BT390='check-Jul25'!BT390,"",'1. Live'!BT390-'check-Jul25'!BT390)</f>
        <v/>
      </c>
      <c r="BU390" t="str">
        <f>IF('1. Live'!BU390='check-Jul25'!BU390,"",'1. Live'!BU390-'check-Jul25'!BU390)</f>
        <v/>
      </c>
      <c r="BV390" t="str">
        <f>IF('1. Live'!BV390='check-Jul25'!BV390,"",'1. Live'!BV390-'check-Jul25'!BV390)</f>
        <v/>
      </c>
      <c r="BW390" t="str">
        <f>IF('1. Live'!BW390='check-Jul25'!BW390,"",'1. Live'!BW390-'check-Jul25'!BW390)</f>
        <v/>
      </c>
      <c r="BX390" t="str">
        <f>IF('1. Live'!BX390='check-Jul25'!BX390,"",'1. Live'!BX390-'check-Jul25'!BX390)</f>
        <v/>
      </c>
      <c r="BY390" t="str">
        <f>IF('1. Live'!BY390='check-Jul25'!BY390,"",'1. Live'!BY390-'check-Jul25'!BY390)</f>
        <v/>
      </c>
      <c r="BZ390" t="str">
        <f>IF('1. Live'!BZ390='check-Jul25'!BZ390,"",'1. Live'!BZ390-'check-Jul25'!BZ390)</f>
        <v/>
      </c>
      <c r="CA390" t="str">
        <f>IF('1. Live'!CA390='check-Jul25'!CA390,"",'1. Live'!CA390-'check-Jul25'!CA390)</f>
        <v/>
      </c>
      <c r="CB390" t="str">
        <f>IF('1. Live'!CB390='check-Jul25'!CB390,"",'1. Live'!CB390-'check-Jul25'!CB390)</f>
        <v/>
      </c>
      <c r="CC390" t="str">
        <f>IF('1. Live'!CC390='check-Jul25'!CC390,"",'1. Live'!CC390-'check-Jul25'!CC390)</f>
        <v/>
      </c>
      <c r="CD390" t="str">
        <f>IF('1. Live'!CD390='check-Jul25'!CD390,"",'1. Live'!CD390-'check-Jul25'!CD390)</f>
        <v/>
      </c>
      <c r="CE390" t="str">
        <f>IF('1. Live'!CE390='check-Jul25'!CE390,"",'1. Live'!CE390-'check-Jul25'!CE390)</f>
        <v/>
      </c>
      <c r="CF390" t="str">
        <f>IF('1. Live'!CF390='check-Jul25'!CF390,"",'1. Live'!CF390-'check-Jul25'!CF390)</f>
        <v/>
      </c>
      <c r="CG390" t="str">
        <f>IF('1. Live'!CG390='check-Jul25'!CG390,"",'1. Live'!CG390-'check-Jul25'!CG390)</f>
        <v/>
      </c>
      <c r="CH390" t="str">
        <f>IF('1. Live'!CH390='check-Jul25'!CH390,"",'1. Live'!CH390-'check-Jul25'!CH390)</f>
        <v/>
      </c>
      <c r="CI390" t="str">
        <f>IF('1. Live'!CI390='check-Jul25'!CI390,"",'1. Live'!CI390-'check-Jul25'!CI390)</f>
        <v/>
      </c>
      <c r="CJ390" t="str">
        <f>IF('1. Live'!CJ390='check-Jul25'!CJ390,"",'1. Live'!CJ390-'check-Jul25'!CJ390)</f>
        <v/>
      </c>
      <c r="CK390" t="str">
        <f>IF('1. Live'!CK390='check-Jul25'!CK390,"",'1. Live'!CK390-'check-Jul25'!CK390)</f>
        <v/>
      </c>
      <c r="CL390" t="str">
        <f>IF('1. Live'!CL390='check-Jul25'!CL390,"",'1. Live'!CL390-'check-Jul25'!CL390)</f>
        <v/>
      </c>
      <c r="CM390" t="str">
        <f>IF('1. Live'!CM390='check-Jul25'!CM390,"",'1. Live'!CM390-'check-Jul25'!CM390)</f>
        <v/>
      </c>
      <c r="CN390" t="str">
        <f>IF('1. Live'!CN390='check-Jul25'!CN390,"",'1. Live'!CN390-'check-Jul25'!CN390)</f>
        <v/>
      </c>
      <c r="CO390" t="str">
        <f>IF('1. Live'!CO390='check-Jul25'!CO390,"",'1. Live'!CO390-'check-Jul25'!CO390)</f>
        <v/>
      </c>
      <c r="CP390" t="str">
        <f>IF('1. Live'!CP390='check-Jul25'!CP390,"",'1. Live'!CP390-'check-Jul25'!CP390)</f>
        <v/>
      </c>
      <c r="CQ390" t="str">
        <f>IF('1. Live'!CQ390='check-Jul25'!CQ390,"",'1. Live'!CQ390-'check-Jul25'!CQ390)</f>
        <v/>
      </c>
      <c r="CR390" t="str">
        <f>IF('1. Live'!CR390='check-Jul25'!CR390,"",'1. Live'!CR390-'check-Jul25'!CR390)</f>
        <v/>
      </c>
      <c r="CS390" t="str">
        <f>IF('1. Live'!CS390='check-Jul25'!CS390,"",'1. Live'!CS390-'check-Jul25'!CS390)</f>
        <v/>
      </c>
      <c r="CT390" t="str">
        <f>IF('1. Live'!CT390='check-Jul25'!CT390,"",'1. Live'!CT390-'check-Jul25'!CT390)</f>
        <v/>
      </c>
      <c r="CU390" t="str">
        <f>IF('1. Live'!CU390='check-Jul25'!CU390,"",'1. Live'!CU390-'check-Jul25'!CU390)</f>
        <v/>
      </c>
      <c r="CV390" t="str">
        <f>IF('1. Live'!CV390='check-Jul25'!CV390,"",'1. Live'!CV390-'check-Jul25'!CV390)</f>
        <v/>
      </c>
      <c r="CW390" t="str">
        <f>IF('1. Live'!CW390='check-Jul25'!CW390,"",'1. Live'!CW390-'check-Jul25'!CW390)</f>
        <v/>
      </c>
    </row>
    <row r="391" spans="10:101">
      <c r="J391" t="str">
        <f>IF('1. Live'!J391='check-Jul25'!J391,"",'1. Live'!J391-'check-Jul25'!J391)</f>
        <v/>
      </c>
      <c r="K391" t="str">
        <f>IF('1. Live'!K391='check-Jul25'!K391,"",'1. Live'!K391-'check-Jul25'!K391)</f>
        <v/>
      </c>
      <c r="L391" t="str">
        <f>IF('1. Live'!L391='check-Jul25'!L391,"",'1. Live'!L391-'check-Jul25'!L391)</f>
        <v/>
      </c>
      <c r="M391" t="str">
        <f>IF('1. Live'!M391='check-Jul25'!M391,"",'1. Live'!M391-'check-Jul25'!M391)</f>
        <v/>
      </c>
      <c r="N391" t="str">
        <f>IF('1. Live'!N391='check-Jul25'!N391,"",'1. Live'!N391-'check-Jul25'!N391)</f>
        <v/>
      </c>
      <c r="O391" t="str">
        <f>IF('1. Live'!O391='check-Jul25'!O391,"",'1. Live'!O391-'check-Jul25'!O391)</f>
        <v/>
      </c>
      <c r="P391" t="str">
        <f>IF('1. Live'!P391='check-Jul25'!P391,"",'1. Live'!P391-'check-Jul25'!P391)</f>
        <v/>
      </c>
      <c r="Q391" t="str">
        <f>IF('1. Live'!Q391='check-Jul25'!Q391,"",'1. Live'!Q391-'check-Jul25'!Q391)</f>
        <v/>
      </c>
      <c r="R391" t="str">
        <f>IF('1. Live'!R391='check-Jul25'!R391,"",'1. Live'!R391-'check-Jul25'!R391)</f>
        <v/>
      </c>
      <c r="S391" t="str">
        <f>IF('1. Live'!S391='check-Jul25'!S391,"",'1. Live'!S391-'check-Jul25'!S391)</f>
        <v/>
      </c>
      <c r="T391" t="str">
        <f>IF('1. Live'!T391='check-Jul25'!T391,"",'1. Live'!T391-'check-Jul25'!T391)</f>
        <v/>
      </c>
      <c r="U391" t="str">
        <f>IF('1. Live'!U391='check-Jul25'!U391,"",'1. Live'!U391-'check-Jul25'!U391)</f>
        <v/>
      </c>
      <c r="V391" t="str">
        <f>IF('1. Live'!V391='check-Jul25'!V391,"",'1. Live'!V391-'check-Jul25'!V391)</f>
        <v/>
      </c>
      <c r="W391" t="str">
        <f>IF('1. Live'!W391='check-Jul25'!W391,"",'1. Live'!W391-'check-Jul25'!W391)</f>
        <v/>
      </c>
      <c r="X391" t="str">
        <f>IF('1. Live'!X391='check-Jul25'!X391,"",'1. Live'!X391-'check-Jul25'!X391)</f>
        <v/>
      </c>
      <c r="Y391" t="str">
        <f>IF('1. Live'!Y391='check-Jul25'!Y391,"",'1. Live'!Y391-'check-Jul25'!Y391)</f>
        <v/>
      </c>
      <c r="Z391" t="str">
        <f>IF('1. Live'!Z391='check-Jul25'!Z391,"",'1. Live'!Z391-'check-Jul25'!Z391)</f>
        <v/>
      </c>
      <c r="AA391" t="str">
        <f>IF('1. Live'!AA391='check-Jul25'!AA391,"",'1. Live'!AA391-'check-Jul25'!AA391)</f>
        <v/>
      </c>
      <c r="AB391" t="str">
        <f>IF('1. Live'!AB391='check-Jul25'!AB391,"",'1. Live'!AB391-'check-Jul25'!AB391)</f>
        <v/>
      </c>
      <c r="AC391" t="str">
        <f>IF('1. Live'!AC391='check-Jul25'!AC391,"",'1. Live'!AC391-'check-Jul25'!AC391)</f>
        <v/>
      </c>
      <c r="AD391" t="str">
        <f>IF('1. Live'!AD391='check-Jul25'!AD391,"",'1. Live'!AD391-'check-Jul25'!AD391)</f>
        <v/>
      </c>
      <c r="AE391" t="str">
        <f>IF('1. Live'!AE391='check-Jul25'!AE391,"",'1. Live'!AE391-'check-Jul25'!AE391)</f>
        <v/>
      </c>
      <c r="AF391" t="str">
        <f>IF('1. Live'!AF391='check-Jul25'!AF391,"",'1. Live'!AF391-'check-Jul25'!AF391)</f>
        <v/>
      </c>
      <c r="AG391" t="str">
        <f>IF('1. Live'!AG391='check-Jul25'!AG391,"",'1. Live'!AG391-'check-Jul25'!AG391)</f>
        <v/>
      </c>
      <c r="AH391" t="str">
        <f>IF('1. Live'!AH391='check-Jul25'!AH391,"",'1. Live'!AH391-'check-Jul25'!AH391)</f>
        <v/>
      </c>
      <c r="AI391" t="str">
        <f>IF('1. Live'!AI391='check-Jul25'!AI391,"",'1. Live'!AI391-'check-Jul25'!AI391)</f>
        <v/>
      </c>
      <c r="AJ391" t="str">
        <f>IF('1. Live'!AJ391='check-Jul25'!AJ391,"",'1. Live'!AJ391-'check-Jul25'!AJ391)</f>
        <v/>
      </c>
      <c r="AK391" t="str">
        <f>IF('1. Live'!AK391='check-Jul25'!AK391,"",'1. Live'!AK391-'check-Jul25'!AK391)</f>
        <v/>
      </c>
      <c r="AL391" t="str">
        <f>IF('1. Live'!AL391='check-Jul25'!AL391,"",'1. Live'!AL391-'check-Jul25'!AL391)</f>
        <v/>
      </c>
      <c r="AM391" t="str">
        <f>IF('1. Live'!AM391='check-Jul25'!AM391,"",'1. Live'!AM391-'check-Jul25'!AM391)</f>
        <v/>
      </c>
      <c r="AN391" t="str">
        <f>IF('1. Live'!AN391='check-Jul25'!AN391,"",'1. Live'!AN391-'check-Jul25'!AN391)</f>
        <v/>
      </c>
      <c r="AO391" t="str">
        <f>IF('1. Live'!AO391='check-Jul25'!AO391,"",'1. Live'!AO391-'check-Jul25'!AO391)</f>
        <v/>
      </c>
      <c r="AP391" t="str">
        <f>IF('1. Live'!AP391='check-Jul25'!AP391,"",'1. Live'!AP391-'check-Jul25'!AP391)</f>
        <v/>
      </c>
      <c r="AQ391" t="str">
        <f>IF('1. Live'!AQ391='check-Jul25'!AQ391,"",'1. Live'!AQ391-'check-Jul25'!AQ391)</f>
        <v/>
      </c>
      <c r="AR391" t="str">
        <f>IF('1. Live'!AR391='check-Jul25'!AR391,"",'1. Live'!AR391-'check-Jul25'!AR391)</f>
        <v/>
      </c>
      <c r="AS391" t="str">
        <f>IF('1. Live'!AS391='check-Jul25'!AS391,"",'1. Live'!AS391-'check-Jul25'!AS391)</f>
        <v/>
      </c>
      <c r="AT391" t="str">
        <f>IF('1. Live'!AT391='check-Jul25'!AT391,"",'1. Live'!AT391-'check-Jul25'!AT391)</f>
        <v/>
      </c>
      <c r="AU391" t="str">
        <f>IF('1. Live'!AU391='check-Jul25'!AU391,"",'1. Live'!AU391-'check-Jul25'!AU391)</f>
        <v/>
      </c>
      <c r="AV391" t="str">
        <f>IF('1. Live'!AV391='check-Jul25'!AV391,"",'1. Live'!AV391-'check-Jul25'!AV391)</f>
        <v/>
      </c>
      <c r="AW391" t="str">
        <f>IF('1. Live'!AW391='check-Jul25'!AW391,"",'1. Live'!AW391-'check-Jul25'!AW391)</f>
        <v/>
      </c>
      <c r="AX391" t="str">
        <f>IF('1. Live'!AX391='check-Jul25'!AX391,"",'1. Live'!AX391-'check-Jul25'!AX391)</f>
        <v/>
      </c>
      <c r="AY391" t="str">
        <f>IF('1. Live'!AY391='check-Jul25'!AY391,"",'1. Live'!AY391-'check-Jul25'!AY391)</f>
        <v/>
      </c>
      <c r="AZ391" t="str">
        <f>IF('1. Live'!AZ391='check-Jul25'!AZ391,"",'1. Live'!AZ391-'check-Jul25'!AZ391)</f>
        <v/>
      </c>
      <c r="BA391" t="str">
        <f>IF('1. Live'!BA391='check-Jul25'!BA391,"",'1. Live'!BA391-'check-Jul25'!BA391)</f>
        <v/>
      </c>
      <c r="BB391" t="str">
        <f>IF('1. Live'!BB391='check-Jul25'!BB391,"",'1. Live'!BB391-'check-Jul25'!BB391)</f>
        <v/>
      </c>
      <c r="BC391" t="str">
        <f>IF('1. Live'!BC391='check-Jul25'!BC391,"",'1. Live'!BC391-'check-Jul25'!BC391)</f>
        <v/>
      </c>
      <c r="BD391" t="str">
        <f>IF('1. Live'!BD391='check-Jul25'!BD391,"",'1. Live'!BD391-'check-Jul25'!BD391)</f>
        <v/>
      </c>
      <c r="BE391" t="str">
        <f>IF('1. Live'!BE391='check-Jul25'!BE391,"",'1. Live'!BE391-'check-Jul25'!BE391)</f>
        <v/>
      </c>
      <c r="BF391" t="str">
        <f>IF('1. Live'!BF391='check-Jul25'!BF391,"",'1. Live'!BF391-'check-Jul25'!BF391)</f>
        <v/>
      </c>
      <c r="BG391" t="str">
        <f>IF('1. Live'!BG391='check-Jul25'!BG391,"",'1. Live'!BG391-'check-Jul25'!BG391)</f>
        <v/>
      </c>
      <c r="BH391" t="str">
        <f>IF('1. Live'!BH391='check-Jul25'!BH391,"",'1. Live'!BH391-'check-Jul25'!BH391)</f>
        <v/>
      </c>
      <c r="BI391" t="str">
        <f>IF('1. Live'!BI391='check-Jul25'!BI391,"",'1. Live'!BI391-'check-Jul25'!BI391)</f>
        <v/>
      </c>
      <c r="BJ391" t="str">
        <f>IF('1. Live'!BJ391='check-Jul25'!BJ391,"",'1. Live'!BJ391-'check-Jul25'!BJ391)</f>
        <v/>
      </c>
      <c r="BK391" t="str">
        <f>IF('1. Live'!BK391='check-Jul25'!BK391,"",'1. Live'!BK391-'check-Jul25'!BK391)</f>
        <v/>
      </c>
      <c r="BL391" t="str">
        <f>IF('1. Live'!BL391='check-Jul25'!BL391,"",'1. Live'!BL391-'check-Jul25'!BL391)</f>
        <v/>
      </c>
      <c r="BM391" t="str">
        <f>IF('1. Live'!BM391='check-Jul25'!BM391,"",'1. Live'!BM391-'check-Jul25'!BM391)</f>
        <v/>
      </c>
      <c r="BN391" t="str">
        <f>IF('1. Live'!BN391='check-Jul25'!BN391,"",'1. Live'!BN391-'check-Jul25'!BN391)</f>
        <v/>
      </c>
      <c r="BO391" t="str">
        <f>IF('1. Live'!BO391='check-Jul25'!BO391,"",'1. Live'!BO391-'check-Jul25'!BO391)</f>
        <v/>
      </c>
      <c r="BP391" t="str">
        <f>IF('1. Live'!BP391='check-Jul25'!BP391,"",'1. Live'!BP391-'check-Jul25'!BP391)</f>
        <v/>
      </c>
      <c r="BQ391" t="str">
        <f>IF('1. Live'!BQ391='check-Jul25'!BQ391,"",'1. Live'!BQ391-'check-Jul25'!BQ391)</f>
        <v/>
      </c>
      <c r="BR391" t="str">
        <f>IF('1. Live'!BR391='check-Jul25'!BR391,"",'1. Live'!BR391-'check-Jul25'!BR391)</f>
        <v/>
      </c>
      <c r="BS391" t="str">
        <f>IF('1. Live'!BS391='check-Jul25'!BS391,"",'1. Live'!BS391-'check-Jul25'!BS391)</f>
        <v/>
      </c>
      <c r="BT391" t="str">
        <f>IF('1. Live'!BT391='check-Jul25'!BT391,"",'1. Live'!BT391-'check-Jul25'!BT391)</f>
        <v/>
      </c>
      <c r="BU391" t="str">
        <f>IF('1. Live'!BU391='check-Jul25'!BU391,"",'1. Live'!BU391-'check-Jul25'!BU391)</f>
        <v/>
      </c>
      <c r="BV391" t="str">
        <f>IF('1. Live'!BV391='check-Jul25'!BV391,"",'1. Live'!BV391-'check-Jul25'!BV391)</f>
        <v/>
      </c>
      <c r="BW391" t="str">
        <f>IF('1. Live'!BW391='check-Jul25'!BW391,"",'1. Live'!BW391-'check-Jul25'!BW391)</f>
        <v/>
      </c>
      <c r="BX391" t="str">
        <f>IF('1. Live'!BX391='check-Jul25'!BX391,"",'1. Live'!BX391-'check-Jul25'!BX391)</f>
        <v/>
      </c>
      <c r="BY391" t="str">
        <f>IF('1. Live'!BY391='check-Jul25'!BY391,"",'1. Live'!BY391-'check-Jul25'!BY391)</f>
        <v/>
      </c>
      <c r="BZ391" t="str">
        <f>IF('1. Live'!BZ391='check-Jul25'!BZ391,"",'1. Live'!BZ391-'check-Jul25'!BZ391)</f>
        <v/>
      </c>
      <c r="CA391" t="str">
        <f>IF('1. Live'!CA391='check-Jul25'!CA391,"",'1. Live'!CA391-'check-Jul25'!CA391)</f>
        <v/>
      </c>
      <c r="CB391" t="str">
        <f>IF('1. Live'!CB391='check-Jul25'!CB391,"",'1. Live'!CB391-'check-Jul25'!CB391)</f>
        <v/>
      </c>
      <c r="CC391" t="str">
        <f>IF('1. Live'!CC391='check-Jul25'!CC391,"",'1. Live'!CC391-'check-Jul25'!CC391)</f>
        <v/>
      </c>
      <c r="CD391" t="str">
        <f>IF('1. Live'!CD391='check-Jul25'!CD391,"",'1. Live'!CD391-'check-Jul25'!CD391)</f>
        <v/>
      </c>
      <c r="CE391" t="str">
        <f>IF('1. Live'!CE391='check-Jul25'!CE391,"",'1. Live'!CE391-'check-Jul25'!CE391)</f>
        <v/>
      </c>
      <c r="CF391" t="str">
        <f>IF('1. Live'!CF391='check-Jul25'!CF391,"",'1. Live'!CF391-'check-Jul25'!CF391)</f>
        <v/>
      </c>
      <c r="CG391" t="str">
        <f>IF('1. Live'!CG391='check-Jul25'!CG391,"",'1. Live'!CG391-'check-Jul25'!CG391)</f>
        <v/>
      </c>
      <c r="CH391" t="str">
        <f>IF('1. Live'!CH391='check-Jul25'!CH391,"",'1. Live'!CH391-'check-Jul25'!CH391)</f>
        <v/>
      </c>
      <c r="CI391" t="str">
        <f>IF('1. Live'!CI391='check-Jul25'!CI391,"",'1. Live'!CI391-'check-Jul25'!CI391)</f>
        <v/>
      </c>
      <c r="CJ391" t="str">
        <f>IF('1. Live'!CJ391='check-Jul25'!CJ391,"",'1. Live'!CJ391-'check-Jul25'!CJ391)</f>
        <v/>
      </c>
      <c r="CK391" t="str">
        <f>IF('1. Live'!CK391='check-Jul25'!CK391,"",'1. Live'!CK391-'check-Jul25'!CK391)</f>
        <v/>
      </c>
      <c r="CL391" t="str">
        <f>IF('1. Live'!CL391='check-Jul25'!CL391,"",'1. Live'!CL391-'check-Jul25'!CL391)</f>
        <v/>
      </c>
      <c r="CM391" t="str">
        <f>IF('1. Live'!CM391='check-Jul25'!CM391,"",'1. Live'!CM391-'check-Jul25'!CM391)</f>
        <v/>
      </c>
      <c r="CN391" t="str">
        <f>IF('1. Live'!CN391='check-Jul25'!CN391,"",'1. Live'!CN391-'check-Jul25'!CN391)</f>
        <v/>
      </c>
      <c r="CO391" t="str">
        <f>IF('1. Live'!CO391='check-Jul25'!CO391,"",'1. Live'!CO391-'check-Jul25'!CO391)</f>
        <v/>
      </c>
      <c r="CP391" t="str">
        <f>IF('1. Live'!CP391='check-Jul25'!CP391,"",'1. Live'!CP391-'check-Jul25'!CP391)</f>
        <v/>
      </c>
      <c r="CQ391" t="str">
        <f>IF('1. Live'!CQ391='check-Jul25'!CQ391,"",'1. Live'!CQ391-'check-Jul25'!CQ391)</f>
        <v/>
      </c>
      <c r="CR391" t="str">
        <f>IF('1. Live'!CR391='check-Jul25'!CR391,"",'1. Live'!CR391-'check-Jul25'!CR391)</f>
        <v/>
      </c>
      <c r="CS391" t="str">
        <f>IF('1. Live'!CS391='check-Jul25'!CS391,"",'1. Live'!CS391-'check-Jul25'!CS391)</f>
        <v/>
      </c>
      <c r="CT391" t="str">
        <f>IF('1. Live'!CT391='check-Jul25'!CT391,"",'1. Live'!CT391-'check-Jul25'!CT391)</f>
        <v/>
      </c>
      <c r="CU391" t="str">
        <f>IF('1. Live'!CU391='check-Jul25'!CU391,"",'1. Live'!CU391-'check-Jul25'!CU391)</f>
        <v/>
      </c>
      <c r="CV391" t="str">
        <f>IF('1. Live'!CV391='check-Jul25'!CV391,"",'1. Live'!CV391-'check-Jul25'!CV391)</f>
        <v/>
      </c>
      <c r="CW391" t="str">
        <f>IF('1. Live'!CW391='check-Jul25'!CW391,"",'1. Live'!CW391-'check-Jul25'!CW391)</f>
        <v/>
      </c>
    </row>
    <row r="392" spans="10:101">
      <c r="J392" t="str">
        <f>IF('1. Live'!J392='check-Jul25'!J392,"",'1. Live'!J392-'check-Jul25'!J392)</f>
        <v/>
      </c>
      <c r="K392" t="str">
        <f>IF('1. Live'!K392='check-Jul25'!K392,"",'1. Live'!K392-'check-Jul25'!K392)</f>
        <v/>
      </c>
      <c r="L392" t="str">
        <f>IF('1. Live'!L392='check-Jul25'!L392,"",'1. Live'!L392-'check-Jul25'!L392)</f>
        <v/>
      </c>
      <c r="M392" t="str">
        <f>IF('1. Live'!M392='check-Jul25'!M392,"",'1. Live'!M392-'check-Jul25'!M392)</f>
        <v/>
      </c>
      <c r="N392" t="str">
        <f>IF('1. Live'!N392='check-Jul25'!N392,"",'1. Live'!N392-'check-Jul25'!N392)</f>
        <v/>
      </c>
      <c r="O392" t="str">
        <f>IF('1. Live'!O392='check-Jul25'!O392,"",'1. Live'!O392-'check-Jul25'!O392)</f>
        <v/>
      </c>
      <c r="P392" t="str">
        <f>IF('1. Live'!P392='check-Jul25'!P392,"",'1. Live'!P392-'check-Jul25'!P392)</f>
        <v/>
      </c>
      <c r="Q392" t="str">
        <f>IF('1. Live'!Q392='check-Jul25'!Q392,"",'1. Live'!Q392-'check-Jul25'!Q392)</f>
        <v/>
      </c>
      <c r="R392" t="str">
        <f>IF('1. Live'!R392='check-Jul25'!R392,"",'1. Live'!R392-'check-Jul25'!R392)</f>
        <v/>
      </c>
      <c r="S392" t="str">
        <f>IF('1. Live'!S392='check-Jul25'!S392,"",'1. Live'!S392-'check-Jul25'!S392)</f>
        <v/>
      </c>
      <c r="T392" t="str">
        <f>IF('1. Live'!T392='check-Jul25'!T392,"",'1. Live'!T392-'check-Jul25'!T392)</f>
        <v/>
      </c>
      <c r="U392" t="str">
        <f>IF('1. Live'!U392='check-Jul25'!U392,"",'1. Live'!U392-'check-Jul25'!U392)</f>
        <v/>
      </c>
      <c r="V392" t="str">
        <f>IF('1. Live'!V392='check-Jul25'!V392,"",'1. Live'!V392-'check-Jul25'!V392)</f>
        <v/>
      </c>
      <c r="W392" t="str">
        <f>IF('1. Live'!W392='check-Jul25'!W392,"",'1. Live'!W392-'check-Jul25'!W392)</f>
        <v/>
      </c>
      <c r="X392" t="str">
        <f>IF('1. Live'!X392='check-Jul25'!X392,"",'1. Live'!X392-'check-Jul25'!X392)</f>
        <v/>
      </c>
      <c r="Y392" t="str">
        <f>IF('1. Live'!Y392='check-Jul25'!Y392,"",'1. Live'!Y392-'check-Jul25'!Y392)</f>
        <v/>
      </c>
      <c r="Z392" t="str">
        <f>IF('1. Live'!Z392='check-Jul25'!Z392,"",'1. Live'!Z392-'check-Jul25'!Z392)</f>
        <v/>
      </c>
      <c r="AA392" t="str">
        <f>IF('1. Live'!AA392='check-Jul25'!AA392,"",'1. Live'!AA392-'check-Jul25'!AA392)</f>
        <v/>
      </c>
      <c r="AB392" t="str">
        <f>IF('1. Live'!AB392='check-Jul25'!AB392,"",'1. Live'!AB392-'check-Jul25'!AB392)</f>
        <v/>
      </c>
      <c r="AC392" t="str">
        <f>IF('1. Live'!AC392='check-Jul25'!AC392,"",'1. Live'!AC392-'check-Jul25'!AC392)</f>
        <v/>
      </c>
      <c r="AD392" t="str">
        <f>IF('1. Live'!AD392='check-Jul25'!AD392,"",'1. Live'!AD392-'check-Jul25'!AD392)</f>
        <v/>
      </c>
      <c r="AE392" t="str">
        <f>IF('1. Live'!AE392='check-Jul25'!AE392,"",'1. Live'!AE392-'check-Jul25'!AE392)</f>
        <v/>
      </c>
      <c r="AF392" t="str">
        <f>IF('1. Live'!AF392='check-Jul25'!AF392,"",'1. Live'!AF392-'check-Jul25'!AF392)</f>
        <v/>
      </c>
      <c r="AG392" t="str">
        <f>IF('1. Live'!AG392='check-Jul25'!AG392,"",'1. Live'!AG392-'check-Jul25'!AG392)</f>
        <v/>
      </c>
      <c r="AH392" t="str">
        <f>IF('1. Live'!AH392='check-Jul25'!AH392,"",'1. Live'!AH392-'check-Jul25'!AH392)</f>
        <v/>
      </c>
      <c r="AI392" t="str">
        <f>IF('1. Live'!AI392='check-Jul25'!AI392,"",'1. Live'!AI392-'check-Jul25'!AI392)</f>
        <v/>
      </c>
      <c r="AJ392" t="str">
        <f>IF('1. Live'!AJ392='check-Jul25'!AJ392,"",'1. Live'!AJ392-'check-Jul25'!AJ392)</f>
        <v/>
      </c>
      <c r="AK392" t="str">
        <f>IF('1. Live'!AK392='check-Jul25'!AK392,"",'1. Live'!AK392-'check-Jul25'!AK392)</f>
        <v/>
      </c>
      <c r="AL392" t="str">
        <f>IF('1. Live'!AL392='check-Jul25'!AL392,"",'1. Live'!AL392-'check-Jul25'!AL392)</f>
        <v/>
      </c>
      <c r="AM392" t="str">
        <f>IF('1. Live'!AM392='check-Jul25'!AM392,"",'1. Live'!AM392-'check-Jul25'!AM392)</f>
        <v/>
      </c>
      <c r="AN392" t="str">
        <f>IF('1. Live'!AN392='check-Jul25'!AN392,"",'1. Live'!AN392-'check-Jul25'!AN392)</f>
        <v/>
      </c>
      <c r="AO392" t="str">
        <f>IF('1. Live'!AO392='check-Jul25'!AO392,"",'1. Live'!AO392-'check-Jul25'!AO392)</f>
        <v/>
      </c>
      <c r="AP392" t="str">
        <f>IF('1. Live'!AP392='check-Jul25'!AP392,"",'1. Live'!AP392-'check-Jul25'!AP392)</f>
        <v/>
      </c>
      <c r="AQ392" t="str">
        <f>IF('1. Live'!AQ392='check-Jul25'!AQ392,"",'1. Live'!AQ392-'check-Jul25'!AQ392)</f>
        <v/>
      </c>
      <c r="AR392" t="str">
        <f>IF('1. Live'!AR392='check-Jul25'!AR392,"",'1. Live'!AR392-'check-Jul25'!AR392)</f>
        <v/>
      </c>
      <c r="AS392" t="str">
        <f>IF('1. Live'!AS392='check-Jul25'!AS392,"",'1. Live'!AS392-'check-Jul25'!AS392)</f>
        <v/>
      </c>
      <c r="AT392" t="str">
        <f>IF('1. Live'!AT392='check-Jul25'!AT392,"",'1. Live'!AT392-'check-Jul25'!AT392)</f>
        <v/>
      </c>
      <c r="AU392" t="str">
        <f>IF('1. Live'!AU392='check-Jul25'!AU392,"",'1. Live'!AU392-'check-Jul25'!AU392)</f>
        <v/>
      </c>
      <c r="AV392" t="str">
        <f>IF('1. Live'!AV392='check-Jul25'!AV392,"",'1. Live'!AV392-'check-Jul25'!AV392)</f>
        <v/>
      </c>
      <c r="AW392" t="str">
        <f>IF('1. Live'!AW392='check-Jul25'!AW392,"",'1. Live'!AW392-'check-Jul25'!AW392)</f>
        <v/>
      </c>
      <c r="AX392" t="str">
        <f>IF('1. Live'!AX392='check-Jul25'!AX392,"",'1. Live'!AX392-'check-Jul25'!AX392)</f>
        <v/>
      </c>
      <c r="AY392" t="str">
        <f>IF('1. Live'!AY392='check-Jul25'!AY392,"",'1. Live'!AY392-'check-Jul25'!AY392)</f>
        <v/>
      </c>
      <c r="AZ392" t="str">
        <f>IF('1. Live'!AZ392='check-Jul25'!AZ392,"",'1. Live'!AZ392-'check-Jul25'!AZ392)</f>
        <v/>
      </c>
      <c r="BA392" t="str">
        <f>IF('1. Live'!BA392='check-Jul25'!BA392,"",'1. Live'!BA392-'check-Jul25'!BA392)</f>
        <v/>
      </c>
      <c r="BB392" t="str">
        <f>IF('1. Live'!BB392='check-Jul25'!BB392,"",'1. Live'!BB392-'check-Jul25'!BB392)</f>
        <v/>
      </c>
      <c r="BC392" t="str">
        <f>IF('1. Live'!BC392='check-Jul25'!BC392,"",'1. Live'!BC392-'check-Jul25'!BC392)</f>
        <v/>
      </c>
      <c r="BD392" t="str">
        <f>IF('1. Live'!BD392='check-Jul25'!BD392,"",'1. Live'!BD392-'check-Jul25'!BD392)</f>
        <v/>
      </c>
      <c r="BE392" t="str">
        <f>IF('1. Live'!BE392='check-Jul25'!BE392,"",'1. Live'!BE392-'check-Jul25'!BE392)</f>
        <v/>
      </c>
      <c r="BF392" t="str">
        <f>IF('1. Live'!BF392='check-Jul25'!BF392,"",'1. Live'!BF392-'check-Jul25'!BF392)</f>
        <v/>
      </c>
      <c r="BG392" t="str">
        <f>IF('1. Live'!BG392='check-Jul25'!BG392,"",'1. Live'!BG392-'check-Jul25'!BG392)</f>
        <v/>
      </c>
      <c r="BH392" t="str">
        <f>IF('1. Live'!BH392='check-Jul25'!BH392,"",'1. Live'!BH392-'check-Jul25'!BH392)</f>
        <v/>
      </c>
      <c r="BI392" t="str">
        <f>IF('1. Live'!BI392='check-Jul25'!BI392,"",'1. Live'!BI392-'check-Jul25'!BI392)</f>
        <v/>
      </c>
      <c r="BJ392" t="str">
        <f>IF('1. Live'!BJ392='check-Jul25'!BJ392,"",'1. Live'!BJ392-'check-Jul25'!BJ392)</f>
        <v/>
      </c>
      <c r="BK392" t="str">
        <f>IF('1. Live'!BK392='check-Jul25'!BK392,"",'1. Live'!BK392-'check-Jul25'!BK392)</f>
        <v/>
      </c>
      <c r="BL392" t="str">
        <f>IF('1. Live'!BL392='check-Jul25'!BL392,"",'1. Live'!BL392-'check-Jul25'!BL392)</f>
        <v/>
      </c>
      <c r="BM392" t="str">
        <f>IF('1. Live'!BM392='check-Jul25'!BM392,"",'1. Live'!BM392-'check-Jul25'!BM392)</f>
        <v/>
      </c>
      <c r="BN392" t="str">
        <f>IF('1. Live'!BN392='check-Jul25'!BN392,"",'1. Live'!BN392-'check-Jul25'!BN392)</f>
        <v/>
      </c>
      <c r="BO392" t="str">
        <f>IF('1. Live'!BO392='check-Jul25'!BO392,"",'1. Live'!BO392-'check-Jul25'!BO392)</f>
        <v/>
      </c>
      <c r="BP392" t="str">
        <f>IF('1. Live'!BP392='check-Jul25'!BP392,"",'1. Live'!BP392-'check-Jul25'!BP392)</f>
        <v/>
      </c>
      <c r="BQ392" t="str">
        <f>IF('1. Live'!BQ392='check-Jul25'!BQ392,"",'1. Live'!BQ392-'check-Jul25'!BQ392)</f>
        <v/>
      </c>
      <c r="BR392" t="str">
        <f>IF('1. Live'!BR392='check-Jul25'!BR392,"",'1. Live'!BR392-'check-Jul25'!BR392)</f>
        <v/>
      </c>
      <c r="BS392" t="str">
        <f>IF('1. Live'!BS392='check-Jul25'!BS392,"",'1. Live'!BS392-'check-Jul25'!BS392)</f>
        <v/>
      </c>
      <c r="BT392" t="str">
        <f>IF('1. Live'!BT392='check-Jul25'!BT392,"",'1. Live'!BT392-'check-Jul25'!BT392)</f>
        <v/>
      </c>
      <c r="BU392" t="str">
        <f>IF('1. Live'!BU392='check-Jul25'!BU392,"",'1. Live'!BU392-'check-Jul25'!BU392)</f>
        <v/>
      </c>
      <c r="BV392" t="str">
        <f>IF('1. Live'!BV392='check-Jul25'!BV392,"",'1. Live'!BV392-'check-Jul25'!BV392)</f>
        <v/>
      </c>
      <c r="BW392" t="str">
        <f>IF('1. Live'!BW392='check-Jul25'!BW392,"",'1. Live'!BW392-'check-Jul25'!BW392)</f>
        <v/>
      </c>
      <c r="BX392" t="str">
        <f>IF('1. Live'!BX392='check-Jul25'!BX392,"",'1. Live'!BX392-'check-Jul25'!BX392)</f>
        <v/>
      </c>
      <c r="BY392" t="str">
        <f>IF('1. Live'!BY392='check-Jul25'!BY392,"",'1. Live'!BY392-'check-Jul25'!BY392)</f>
        <v/>
      </c>
      <c r="BZ392" t="str">
        <f>IF('1. Live'!BZ392='check-Jul25'!BZ392,"",'1. Live'!BZ392-'check-Jul25'!BZ392)</f>
        <v/>
      </c>
      <c r="CA392" t="str">
        <f>IF('1. Live'!CA392='check-Jul25'!CA392,"",'1. Live'!CA392-'check-Jul25'!CA392)</f>
        <v/>
      </c>
      <c r="CB392" t="str">
        <f>IF('1. Live'!CB392='check-Jul25'!CB392,"",'1. Live'!CB392-'check-Jul25'!CB392)</f>
        <v/>
      </c>
      <c r="CC392" t="str">
        <f>IF('1. Live'!CC392='check-Jul25'!CC392,"",'1. Live'!CC392-'check-Jul25'!CC392)</f>
        <v/>
      </c>
      <c r="CD392" t="str">
        <f>IF('1. Live'!CD392='check-Jul25'!CD392,"",'1. Live'!CD392-'check-Jul25'!CD392)</f>
        <v/>
      </c>
      <c r="CE392" t="str">
        <f>IF('1. Live'!CE392='check-Jul25'!CE392,"",'1. Live'!CE392-'check-Jul25'!CE392)</f>
        <v/>
      </c>
      <c r="CF392" t="str">
        <f>IF('1. Live'!CF392='check-Jul25'!CF392,"",'1. Live'!CF392-'check-Jul25'!CF392)</f>
        <v/>
      </c>
      <c r="CG392" t="str">
        <f>IF('1. Live'!CG392='check-Jul25'!CG392,"",'1. Live'!CG392-'check-Jul25'!CG392)</f>
        <v/>
      </c>
      <c r="CH392" t="str">
        <f>IF('1. Live'!CH392='check-Jul25'!CH392,"",'1. Live'!CH392-'check-Jul25'!CH392)</f>
        <v/>
      </c>
      <c r="CI392" t="str">
        <f>IF('1. Live'!CI392='check-Jul25'!CI392,"",'1. Live'!CI392-'check-Jul25'!CI392)</f>
        <v/>
      </c>
      <c r="CJ392" t="str">
        <f>IF('1. Live'!CJ392='check-Jul25'!CJ392,"",'1. Live'!CJ392-'check-Jul25'!CJ392)</f>
        <v/>
      </c>
      <c r="CK392" t="str">
        <f>IF('1. Live'!CK392='check-Jul25'!CK392,"",'1. Live'!CK392-'check-Jul25'!CK392)</f>
        <v/>
      </c>
      <c r="CL392" t="str">
        <f>IF('1. Live'!CL392='check-Jul25'!CL392,"",'1. Live'!CL392-'check-Jul25'!CL392)</f>
        <v/>
      </c>
      <c r="CM392" t="str">
        <f>IF('1. Live'!CM392='check-Jul25'!CM392,"",'1. Live'!CM392-'check-Jul25'!CM392)</f>
        <v/>
      </c>
      <c r="CN392" t="str">
        <f>IF('1. Live'!CN392='check-Jul25'!CN392,"",'1. Live'!CN392-'check-Jul25'!CN392)</f>
        <v/>
      </c>
      <c r="CO392" t="str">
        <f>IF('1. Live'!CO392='check-Jul25'!CO392,"",'1. Live'!CO392-'check-Jul25'!CO392)</f>
        <v/>
      </c>
      <c r="CP392" t="str">
        <f>IF('1. Live'!CP392='check-Jul25'!CP392,"",'1. Live'!CP392-'check-Jul25'!CP392)</f>
        <v/>
      </c>
      <c r="CQ392" t="str">
        <f>IF('1. Live'!CQ392='check-Jul25'!CQ392,"",'1. Live'!CQ392-'check-Jul25'!CQ392)</f>
        <v/>
      </c>
      <c r="CR392" t="str">
        <f>IF('1. Live'!CR392='check-Jul25'!CR392,"",'1. Live'!CR392-'check-Jul25'!CR392)</f>
        <v/>
      </c>
      <c r="CS392" t="str">
        <f>IF('1. Live'!CS392='check-Jul25'!CS392,"",'1. Live'!CS392-'check-Jul25'!CS392)</f>
        <v/>
      </c>
      <c r="CT392" t="str">
        <f>IF('1. Live'!CT392='check-Jul25'!CT392,"",'1. Live'!CT392-'check-Jul25'!CT392)</f>
        <v/>
      </c>
      <c r="CU392" t="str">
        <f>IF('1. Live'!CU392='check-Jul25'!CU392,"",'1. Live'!CU392-'check-Jul25'!CU392)</f>
        <v/>
      </c>
      <c r="CV392" t="str">
        <f>IF('1. Live'!CV392='check-Jul25'!CV392,"",'1. Live'!CV392-'check-Jul25'!CV392)</f>
        <v/>
      </c>
      <c r="CW392" t="str">
        <f>IF('1. Live'!CW392='check-Jul25'!CW392,"",'1. Live'!CW392-'check-Jul25'!CW392)</f>
        <v/>
      </c>
    </row>
    <row r="393" spans="10:101">
      <c r="J393" t="str">
        <f>IF('1. Live'!J393='check-Jul25'!J393,"",'1. Live'!J393-'check-Jul25'!J393)</f>
        <v/>
      </c>
      <c r="K393" t="str">
        <f>IF('1. Live'!K393='check-Jul25'!K393,"",'1. Live'!K393-'check-Jul25'!K393)</f>
        <v/>
      </c>
      <c r="L393" t="str">
        <f>IF('1. Live'!L393='check-Jul25'!L393,"",'1. Live'!L393-'check-Jul25'!L393)</f>
        <v/>
      </c>
      <c r="M393" t="str">
        <f>IF('1. Live'!M393='check-Jul25'!M393,"",'1. Live'!M393-'check-Jul25'!M393)</f>
        <v/>
      </c>
      <c r="N393" t="str">
        <f>IF('1. Live'!N393='check-Jul25'!N393,"",'1. Live'!N393-'check-Jul25'!N393)</f>
        <v/>
      </c>
      <c r="O393" t="str">
        <f>IF('1. Live'!O393='check-Jul25'!O393,"",'1. Live'!O393-'check-Jul25'!O393)</f>
        <v/>
      </c>
      <c r="P393" t="str">
        <f>IF('1. Live'!P393='check-Jul25'!P393,"",'1. Live'!P393-'check-Jul25'!P393)</f>
        <v/>
      </c>
      <c r="Q393" t="str">
        <f>IF('1. Live'!Q393='check-Jul25'!Q393,"",'1. Live'!Q393-'check-Jul25'!Q393)</f>
        <v/>
      </c>
      <c r="R393" t="str">
        <f>IF('1. Live'!R393='check-Jul25'!R393,"",'1. Live'!R393-'check-Jul25'!R393)</f>
        <v/>
      </c>
      <c r="S393" t="str">
        <f>IF('1. Live'!S393='check-Jul25'!S393,"",'1. Live'!S393-'check-Jul25'!S393)</f>
        <v/>
      </c>
      <c r="T393" t="str">
        <f>IF('1. Live'!T393='check-Jul25'!T393,"",'1. Live'!T393-'check-Jul25'!T393)</f>
        <v/>
      </c>
      <c r="U393" t="str">
        <f>IF('1. Live'!U393='check-Jul25'!U393,"",'1. Live'!U393-'check-Jul25'!U393)</f>
        <v/>
      </c>
      <c r="V393" t="str">
        <f>IF('1. Live'!V393='check-Jul25'!V393,"",'1. Live'!V393-'check-Jul25'!V393)</f>
        <v/>
      </c>
      <c r="W393" t="str">
        <f>IF('1. Live'!W393='check-Jul25'!W393,"",'1. Live'!W393-'check-Jul25'!W393)</f>
        <v/>
      </c>
      <c r="X393" t="str">
        <f>IF('1. Live'!X393='check-Jul25'!X393,"",'1. Live'!X393-'check-Jul25'!X393)</f>
        <v/>
      </c>
      <c r="Y393" t="str">
        <f>IF('1. Live'!Y393='check-Jul25'!Y393,"",'1. Live'!Y393-'check-Jul25'!Y393)</f>
        <v/>
      </c>
      <c r="Z393" t="str">
        <f>IF('1. Live'!Z393='check-Jul25'!Z393,"",'1. Live'!Z393-'check-Jul25'!Z393)</f>
        <v/>
      </c>
      <c r="AA393" t="str">
        <f>IF('1. Live'!AA393='check-Jul25'!AA393,"",'1. Live'!AA393-'check-Jul25'!AA393)</f>
        <v/>
      </c>
      <c r="AB393" t="str">
        <f>IF('1. Live'!AB393='check-Jul25'!AB393,"",'1. Live'!AB393-'check-Jul25'!AB393)</f>
        <v/>
      </c>
      <c r="AC393" t="str">
        <f>IF('1. Live'!AC393='check-Jul25'!AC393,"",'1. Live'!AC393-'check-Jul25'!AC393)</f>
        <v/>
      </c>
      <c r="AD393" t="str">
        <f>IF('1. Live'!AD393='check-Jul25'!AD393,"",'1. Live'!AD393-'check-Jul25'!AD393)</f>
        <v/>
      </c>
      <c r="AE393" t="str">
        <f>IF('1. Live'!AE393='check-Jul25'!AE393,"",'1. Live'!AE393-'check-Jul25'!AE393)</f>
        <v/>
      </c>
      <c r="AF393" t="str">
        <f>IF('1. Live'!AF393='check-Jul25'!AF393,"",'1. Live'!AF393-'check-Jul25'!AF393)</f>
        <v/>
      </c>
      <c r="AG393" t="str">
        <f>IF('1. Live'!AG393='check-Jul25'!AG393,"",'1. Live'!AG393-'check-Jul25'!AG393)</f>
        <v/>
      </c>
      <c r="AH393" t="str">
        <f>IF('1. Live'!AH393='check-Jul25'!AH393,"",'1. Live'!AH393-'check-Jul25'!AH393)</f>
        <v/>
      </c>
      <c r="AI393" t="str">
        <f>IF('1. Live'!AI393='check-Jul25'!AI393,"",'1. Live'!AI393-'check-Jul25'!AI393)</f>
        <v/>
      </c>
      <c r="AJ393" t="str">
        <f>IF('1. Live'!AJ393='check-Jul25'!AJ393,"",'1. Live'!AJ393-'check-Jul25'!AJ393)</f>
        <v/>
      </c>
      <c r="AK393" t="str">
        <f>IF('1. Live'!AK393='check-Jul25'!AK393,"",'1. Live'!AK393-'check-Jul25'!AK393)</f>
        <v/>
      </c>
      <c r="AL393" t="str">
        <f>IF('1. Live'!AL393='check-Jul25'!AL393,"",'1. Live'!AL393-'check-Jul25'!AL393)</f>
        <v/>
      </c>
      <c r="AM393" t="str">
        <f>IF('1. Live'!AM393='check-Jul25'!AM393,"",'1. Live'!AM393-'check-Jul25'!AM393)</f>
        <v/>
      </c>
      <c r="AN393" t="str">
        <f>IF('1. Live'!AN393='check-Jul25'!AN393,"",'1. Live'!AN393-'check-Jul25'!AN393)</f>
        <v/>
      </c>
      <c r="AO393" t="str">
        <f>IF('1. Live'!AO393='check-Jul25'!AO393,"",'1. Live'!AO393-'check-Jul25'!AO393)</f>
        <v/>
      </c>
      <c r="AP393" t="str">
        <f>IF('1. Live'!AP393='check-Jul25'!AP393,"",'1. Live'!AP393-'check-Jul25'!AP393)</f>
        <v/>
      </c>
      <c r="AQ393" t="str">
        <f>IF('1. Live'!AQ393='check-Jul25'!AQ393,"",'1. Live'!AQ393-'check-Jul25'!AQ393)</f>
        <v/>
      </c>
      <c r="AR393" t="str">
        <f>IF('1. Live'!AR393='check-Jul25'!AR393,"",'1. Live'!AR393-'check-Jul25'!AR393)</f>
        <v/>
      </c>
      <c r="AS393" t="str">
        <f>IF('1. Live'!AS393='check-Jul25'!AS393,"",'1. Live'!AS393-'check-Jul25'!AS393)</f>
        <v/>
      </c>
      <c r="AT393" t="str">
        <f>IF('1. Live'!AT393='check-Jul25'!AT393,"",'1. Live'!AT393-'check-Jul25'!AT393)</f>
        <v/>
      </c>
      <c r="AU393" t="str">
        <f>IF('1. Live'!AU393='check-Jul25'!AU393,"",'1. Live'!AU393-'check-Jul25'!AU393)</f>
        <v/>
      </c>
      <c r="AV393" t="str">
        <f>IF('1. Live'!AV393='check-Jul25'!AV393,"",'1. Live'!AV393-'check-Jul25'!AV393)</f>
        <v/>
      </c>
      <c r="AW393" t="str">
        <f>IF('1. Live'!AW393='check-Jul25'!AW393,"",'1. Live'!AW393-'check-Jul25'!AW393)</f>
        <v/>
      </c>
      <c r="AX393" t="str">
        <f>IF('1. Live'!AX393='check-Jul25'!AX393,"",'1. Live'!AX393-'check-Jul25'!AX393)</f>
        <v/>
      </c>
      <c r="AY393" t="str">
        <f>IF('1. Live'!AY393='check-Jul25'!AY393,"",'1. Live'!AY393-'check-Jul25'!AY393)</f>
        <v/>
      </c>
      <c r="AZ393" t="str">
        <f>IF('1. Live'!AZ393='check-Jul25'!AZ393,"",'1. Live'!AZ393-'check-Jul25'!AZ393)</f>
        <v/>
      </c>
      <c r="BA393" t="str">
        <f>IF('1. Live'!BA393='check-Jul25'!BA393,"",'1. Live'!BA393-'check-Jul25'!BA393)</f>
        <v/>
      </c>
      <c r="BB393" t="str">
        <f>IF('1. Live'!BB393='check-Jul25'!BB393,"",'1. Live'!BB393-'check-Jul25'!BB393)</f>
        <v/>
      </c>
      <c r="BC393" t="str">
        <f>IF('1. Live'!BC393='check-Jul25'!BC393,"",'1. Live'!BC393-'check-Jul25'!BC393)</f>
        <v/>
      </c>
      <c r="BD393" t="str">
        <f>IF('1. Live'!BD393='check-Jul25'!BD393,"",'1. Live'!BD393-'check-Jul25'!BD393)</f>
        <v/>
      </c>
      <c r="BE393" t="str">
        <f>IF('1. Live'!BE393='check-Jul25'!BE393,"",'1. Live'!BE393-'check-Jul25'!BE393)</f>
        <v/>
      </c>
      <c r="BF393" t="str">
        <f>IF('1. Live'!BF393='check-Jul25'!BF393,"",'1. Live'!BF393-'check-Jul25'!BF393)</f>
        <v/>
      </c>
      <c r="BG393" t="str">
        <f>IF('1. Live'!BG393='check-Jul25'!BG393,"",'1. Live'!BG393-'check-Jul25'!BG393)</f>
        <v/>
      </c>
      <c r="BH393" t="str">
        <f>IF('1. Live'!BH393='check-Jul25'!BH393,"",'1. Live'!BH393-'check-Jul25'!BH393)</f>
        <v/>
      </c>
      <c r="BI393" t="str">
        <f>IF('1. Live'!BI393='check-Jul25'!BI393,"",'1. Live'!BI393-'check-Jul25'!BI393)</f>
        <v/>
      </c>
      <c r="BJ393" t="str">
        <f>IF('1. Live'!BJ393='check-Jul25'!BJ393,"",'1. Live'!BJ393-'check-Jul25'!BJ393)</f>
        <v/>
      </c>
      <c r="BK393" t="str">
        <f>IF('1. Live'!BK393='check-Jul25'!BK393,"",'1. Live'!BK393-'check-Jul25'!BK393)</f>
        <v/>
      </c>
      <c r="BL393" t="str">
        <f>IF('1. Live'!BL393='check-Jul25'!BL393,"",'1. Live'!BL393-'check-Jul25'!BL393)</f>
        <v/>
      </c>
      <c r="BM393" t="str">
        <f>IF('1. Live'!BM393='check-Jul25'!BM393,"",'1. Live'!BM393-'check-Jul25'!BM393)</f>
        <v/>
      </c>
      <c r="BN393" t="str">
        <f>IF('1. Live'!BN393='check-Jul25'!BN393,"",'1. Live'!BN393-'check-Jul25'!BN393)</f>
        <v/>
      </c>
      <c r="BO393" t="str">
        <f>IF('1. Live'!BO393='check-Jul25'!BO393,"",'1. Live'!BO393-'check-Jul25'!BO393)</f>
        <v/>
      </c>
      <c r="BP393" t="str">
        <f>IF('1. Live'!BP393='check-Jul25'!BP393,"",'1. Live'!BP393-'check-Jul25'!BP393)</f>
        <v/>
      </c>
      <c r="BQ393" t="str">
        <f>IF('1. Live'!BQ393='check-Jul25'!BQ393,"",'1. Live'!BQ393-'check-Jul25'!BQ393)</f>
        <v/>
      </c>
      <c r="BR393" t="str">
        <f>IF('1. Live'!BR393='check-Jul25'!BR393,"",'1. Live'!BR393-'check-Jul25'!BR393)</f>
        <v/>
      </c>
      <c r="BS393" t="str">
        <f>IF('1. Live'!BS393='check-Jul25'!BS393,"",'1. Live'!BS393-'check-Jul25'!BS393)</f>
        <v/>
      </c>
      <c r="BT393" t="str">
        <f>IF('1. Live'!BT393='check-Jul25'!BT393,"",'1. Live'!BT393-'check-Jul25'!BT393)</f>
        <v/>
      </c>
      <c r="BU393" t="str">
        <f>IF('1. Live'!BU393='check-Jul25'!BU393,"",'1. Live'!BU393-'check-Jul25'!BU393)</f>
        <v/>
      </c>
      <c r="BV393" t="str">
        <f>IF('1. Live'!BV393='check-Jul25'!BV393,"",'1. Live'!BV393-'check-Jul25'!BV393)</f>
        <v/>
      </c>
      <c r="BW393" t="str">
        <f>IF('1. Live'!BW393='check-Jul25'!BW393,"",'1. Live'!BW393-'check-Jul25'!BW393)</f>
        <v/>
      </c>
      <c r="BX393" t="str">
        <f>IF('1. Live'!BX393='check-Jul25'!BX393,"",'1. Live'!BX393-'check-Jul25'!BX393)</f>
        <v/>
      </c>
      <c r="BY393" t="str">
        <f>IF('1. Live'!BY393='check-Jul25'!BY393,"",'1. Live'!BY393-'check-Jul25'!BY393)</f>
        <v/>
      </c>
      <c r="BZ393" t="str">
        <f>IF('1. Live'!BZ393='check-Jul25'!BZ393,"",'1. Live'!BZ393-'check-Jul25'!BZ393)</f>
        <v/>
      </c>
      <c r="CA393" t="str">
        <f>IF('1. Live'!CA393='check-Jul25'!CA393,"",'1. Live'!CA393-'check-Jul25'!CA393)</f>
        <v/>
      </c>
      <c r="CB393" t="str">
        <f>IF('1. Live'!CB393='check-Jul25'!CB393,"",'1. Live'!CB393-'check-Jul25'!CB393)</f>
        <v/>
      </c>
      <c r="CC393" t="str">
        <f>IF('1. Live'!CC393='check-Jul25'!CC393,"",'1. Live'!CC393-'check-Jul25'!CC393)</f>
        <v/>
      </c>
      <c r="CD393" t="str">
        <f>IF('1. Live'!CD393='check-Jul25'!CD393,"",'1. Live'!CD393-'check-Jul25'!CD393)</f>
        <v/>
      </c>
      <c r="CE393" t="str">
        <f>IF('1. Live'!CE393='check-Jul25'!CE393,"",'1. Live'!CE393-'check-Jul25'!CE393)</f>
        <v/>
      </c>
      <c r="CF393" t="str">
        <f>IF('1. Live'!CF393='check-Jul25'!CF393,"",'1. Live'!CF393-'check-Jul25'!CF393)</f>
        <v/>
      </c>
      <c r="CG393" t="str">
        <f>IF('1. Live'!CG393='check-Jul25'!CG393,"",'1. Live'!CG393-'check-Jul25'!CG393)</f>
        <v/>
      </c>
      <c r="CH393" t="str">
        <f>IF('1. Live'!CH393='check-Jul25'!CH393,"",'1. Live'!CH393-'check-Jul25'!CH393)</f>
        <v/>
      </c>
      <c r="CI393" t="str">
        <f>IF('1. Live'!CI393='check-Jul25'!CI393,"",'1. Live'!CI393-'check-Jul25'!CI393)</f>
        <v/>
      </c>
      <c r="CJ393" t="str">
        <f>IF('1. Live'!CJ393='check-Jul25'!CJ393,"",'1. Live'!CJ393-'check-Jul25'!CJ393)</f>
        <v/>
      </c>
      <c r="CK393" t="str">
        <f>IF('1. Live'!CK393='check-Jul25'!CK393,"",'1. Live'!CK393-'check-Jul25'!CK393)</f>
        <v/>
      </c>
      <c r="CL393" t="str">
        <f>IF('1. Live'!CL393='check-Jul25'!CL393,"",'1. Live'!CL393-'check-Jul25'!CL393)</f>
        <v/>
      </c>
      <c r="CM393" t="str">
        <f>IF('1. Live'!CM393='check-Jul25'!CM393,"",'1. Live'!CM393-'check-Jul25'!CM393)</f>
        <v/>
      </c>
      <c r="CN393" t="str">
        <f>IF('1. Live'!CN393='check-Jul25'!CN393,"",'1. Live'!CN393-'check-Jul25'!CN393)</f>
        <v/>
      </c>
      <c r="CO393" t="str">
        <f>IF('1. Live'!CO393='check-Jul25'!CO393,"",'1. Live'!CO393-'check-Jul25'!CO393)</f>
        <v/>
      </c>
      <c r="CP393" t="str">
        <f>IF('1. Live'!CP393='check-Jul25'!CP393,"",'1. Live'!CP393-'check-Jul25'!CP393)</f>
        <v/>
      </c>
      <c r="CQ393" t="str">
        <f>IF('1. Live'!CQ393='check-Jul25'!CQ393,"",'1. Live'!CQ393-'check-Jul25'!CQ393)</f>
        <v/>
      </c>
      <c r="CR393" t="str">
        <f>IF('1. Live'!CR393='check-Jul25'!CR393,"",'1. Live'!CR393-'check-Jul25'!CR393)</f>
        <v/>
      </c>
      <c r="CS393" t="str">
        <f>IF('1. Live'!CS393='check-Jul25'!CS393,"",'1. Live'!CS393-'check-Jul25'!CS393)</f>
        <v/>
      </c>
      <c r="CT393" t="str">
        <f>IF('1. Live'!CT393='check-Jul25'!CT393,"",'1. Live'!CT393-'check-Jul25'!CT393)</f>
        <v/>
      </c>
      <c r="CU393" t="str">
        <f>IF('1. Live'!CU393='check-Jul25'!CU393,"",'1. Live'!CU393-'check-Jul25'!CU393)</f>
        <v/>
      </c>
      <c r="CV393" t="str">
        <f>IF('1. Live'!CV393='check-Jul25'!CV393,"",'1. Live'!CV393-'check-Jul25'!CV393)</f>
        <v/>
      </c>
      <c r="CW393" t="str">
        <f>IF('1. Live'!CW393='check-Jul25'!CW393,"",'1. Live'!CW393-'check-Jul25'!CW393)</f>
        <v/>
      </c>
    </row>
    <row r="394" spans="10:101">
      <c r="J394" t="str">
        <f>IF('1. Live'!J394='check-Jul25'!J394,"",'1. Live'!J394-'check-Jul25'!J394)</f>
        <v/>
      </c>
      <c r="K394" t="str">
        <f>IF('1. Live'!K394='check-Jul25'!K394,"",'1. Live'!K394-'check-Jul25'!K394)</f>
        <v/>
      </c>
      <c r="L394" t="str">
        <f>IF('1. Live'!L394='check-Jul25'!L394,"",'1. Live'!L394-'check-Jul25'!L394)</f>
        <v/>
      </c>
      <c r="M394" t="str">
        <f>IF('1. Live'!M394='check-Jul25'!M394,"",'1. Live'!M394-'check-Jul25'!M394)</f>
        <v/>
      </c>
      <c r="N394" t="str">
        <f>IF('1. Live'!N394='check-Jul25'!N394,"",'1. Live'!N394-'check-Jul25'!N394)</f>
        <v/>
      </c>
      <c r="O394" t="str">
        <f>IF('1. Live'!O394='check-Jul25'!O394,"",'1. Live'!O394-'check-Jul25'!O394)</f>
        <v/>
      </c>
      <c r="P394" t="str">
        <f>IF('1. Live'!P394='check-Jul25'!P394,"",'1. Live'!P394-'check-Jul25'!P394)</f>
        <v/>
      </c>
      <c r="Q394" t="str">
        <f>IF('1. Live'!Q394='check-Jul25'!Q394,"",'1. Live'!Q394-'check-Jul25'!Q394)</f>
        <v/>
      </c>
      <c r="R394" t="str">
        <f>IF('1. Live'!R394='check-Jul25'!R394,"",'1. Live'!R394-'check-Jul25'!R394)</f>
        <v/>
      </c>
      <c r="S394" t="str">
        <f>IF('1. Live'!S394='check-Jul25'!S394,"",'1. Live'!S394-'check-Jul25'!S394)</f>
        <v/>
      </c>
      <c r="T394" t="str">
        <f>IF('1. Live'!T394='check-Jul25'!T394,"",'1. Live'!T394-'check-Jul25'!T394)</f>
        <v/>
      </c>
      <c r="U394" t="str">
        <f>IF('1. Live'!U394='check-Jul25'!U394,"",'1. Live'!U394-'check-Jul25'!U394)</f>
        <v/>
      </c>
      <c r="V394" t="str">
        <f>IF('1. Live'!V394='check-Jul25'!V394,"",'1. Live'!V394-'check-Jul25'!V394)</f>
        <v/>
      </c>
      <c r="W394" t="str">
        <f>IF('1. Live'!W394='check-Jul25'!W394,"",'1. Live'!W394-'check-Jul25'!W394)</f>
        <v/>
      </c>
      <c r="X394" t="str">
        <f>IF('1. Live'!X394='check-Jul25'!X394,"",'1. Live'!X394-'check-Jul25'!X394)</f>
        <v/>
      </c>
      <c r="Y394" t="str">
        <f>IF('1. Live'!Y394='check-Jul25'!Y394,"",'1. Live'!Y394-'check-Jul25'!Y394)</f>
        <v/>
      </c>
      <c r="Z394" t="str">
        <f>IF('1. Live'!Z394='check-Jul25'!Z394,"",'1. Live'!Z394-'check-Jul25'!Z394)</f>
        <v/>
      </c>
      <c r="AA394" t="str">
        <f>IF('1. Live'!AA394='check-Jul25'!AA394,"",'1. Live'!AA394-'check-Jul25'!AA394)</f>
        <v/>
      </c>
      <c r="AB394" t="str">
        <f>IF('1. Live'!AB394='check-Jul25'!AB394,"",'1. Live'!AB394-'check-Jul25'!AB394)</f>
        <v/>
      </c>
      <c r="AC394" t="str">
        <f>IF('1. Live'!AC394='check-Jul25'!AC394,"",'1. Live'!AC394-'check-Jul25'!AC394)</f>
        <v/>
      </c>
      <c r="AD394" t="str">
        <f>IF('1. Live'!AD394='check-Jul25'!AD394,"",'1. Live'!AD394-'check-Jul25'!AD394)</f>
        <v/>
      </c>
      <c r="AE394" t="str">
        <f>IF('1. Live'!AE394='check-Jul25'!AE394,"",'1. Live'!AE394-'check-Jul25'!AE394)</f>
        <v/>
      </c>
      <c r="AF394" t="str">
        <f>IF('1. Live'!AF394='check-Jul25'!AF394,"",'1. Live'!AF394-'check-Jul25'!AF394)</f>
        <v/>
      </c>
      <c r="AG394" t="str">
        <f>IF('1. Live'!AG394='check-Jul25'!AG394,"",'1. Live'!AG394-'check-Jul25'!AG394)</f>
        <v/>
      </c>
      <c r="AH394" t="str">
        <f>IF('1. Live'!AH394='check-Jul25'!AH394,"",'1. Live'!AH394-'check-Jul25'!AH394)</f>
        <v/>
      </c>
      <c r="AI394" t="str">
        <f>IF('1. Live'!AI394='check-Jul25'!AI394,"",'1. Live'!AI394-'check-Jul25'!AI394)</f>
        <v/>
      </c>
      <c r="AJ394" t="str">
        <f>IF('1. Live'!AJ394='check-Jul25'!AJ394,"",'1. Live'!AJ394-'check-Jul25'!AJ394)</f>
        <v/>
      </c>
      <c r="AK394" t="str">
        <f>IF('1. Live'!AK394='check-Jul25'!AK394,"",'1. Live'!AK394-'check-Jul25'!AK394)</f>
        <v/>
      </c>
      <c r="AL394" t="str">
        <f>IF('1. Live'!AL394='check-Jul25'!AL394,"",'1. Live'!AL394-'check-Jul25'!AL394)</f>
        <v/>
      </c>
      <c r="AM394" t="str">
        <f>IF('1. Live'!AM394='check-Jul25'!AM394,"",'1. Live'!AM394-'check-Jul25'!AM394)</f>
        <v/>
      </c>
      <c r="AN394" t="str">
        <f>IF('1. Live'!AN394='check-Jul25'!AN394,"",'1. Live'!AN394-'check-Jul25'!AN394)</f>
        <v/>
      </c>
      <c r="AO394" t="str">
        <f>IF('1. Live'!AO394='check-Jul25'!AO394,"",'1. Live'!AO394-'check-Jul25'!AO394)</f>
        <v/>
      </c>
      <c r="AP394" t="str">
        <f>IF('1. Live'!AP394='check-Jul25'!AP394,"",'1. Live'!AP394-'check-Jul25'!AP394)</f>
        <v/>
      </c>
      <c r="AQ394" t="str">
        <f>IF('1. Live'!AQ394='check-Jul25'!AQ394,"",'1. Live'!AQ394-'check-Jul25'!AQ394)</f>
        <v/>
      </c>
      <c r="AR394" t="str">
        <f>IF('1. Live'!AR394='check-Jul25'!AR394,"",'1. Live'!AR394-'check-Jul25'!AR394)</f>
        <v/>
      </c>
      <c r="AS394" t="str">
        <f>IF('1. Live'!AS394='check-Jul25'!AS394,"",'1. Live'!AS394-'check-Jul25'!AS394)</f>
        <v/>
      </c>
      <c r="AT394" t="str">
        <f>IF('1. Live'!AT394='check-Jul25'!AT394,"",'1. Live'!AT394-'check-Jul25'!AT394)</f>
        <v/>
      </c>
      <c r="AU394" t="str">
        <f>IF('1. Live'!AU394='check-Jul25'!AU394,"",'1. Live'!AU394-'check-Jul25'!AU394)</f>
        <v/>
      </c>
      <c r="AV394" t="str">
        <f>IF('1. Live'!AV394='check-Jul25'!AV394,"",'1. Live'!AV394-'check-Jul25'!AV394)</f>
        <v/>
      </c>
      <c r="AW394" t="str">
        <f>IF('1. Live'!AW394='check-Jul25'!AW394,"",'1. Live'!AW394-'check-Jul25'!AW394)</f>
        <v/>
      </c>
      <c r="AX394" t="str">
        <f>IF('1. Live'!AX394='check-Jul25'!AX394,"",'1. Live'!AX394-'check-Jul25'!AX394)</f>
        <v/>
      </c>
      <c r="AY394" t="str">
        <f>IF('1. Live'!AY394='check-Jul25'!AY394,"",'1. Live'!AY394-'check-Jul25'!AY394)</f>
        <v/>
      </c>
      <c r="AZ394" t="str">
        <f>IF('1. Live'!AZ394='check-Jul25'!AZ394,"",'1. Live'!AZ394-'check-Jul25'!AZ394)</f>
        <v/>
      </c>
      <c r="BA394" t="str">
        <f>IF('1. Live'!BA394='check-Jul25'!BA394,"",'1. Live'!BA394-'check-Jul25'!BA394)</f>
        <v/>
      </c>
      <c r="BB394" t="str">
        <f>IF('1. Live'!BB394='check-Jul25'!BB394,"",'1. Live'!BB394-'check-Jul25'!BB394)</f>
        <v/>
      </c>
      <c r="BC394" t="str">
        <f>IF('1. Live'!BC394='check-Jul25'!BC394,"",'1. Live'!BC394-'check-Jul25'!BC394)</f>
        <v/>
      </c>
      <c r="BD394" t="str">
        <f>IF('1. Live'!BD394='check-Jul25'!BD394,"",'1. Live'!BD394-'check-Jul25'!BD394)</f>
        <v/>
      </c>
      <c r="BE394" t="str">
        <f>IF('1. Live'!BE394='check-Jul25'!BE394,"",'1. Live'!BE394-'check-Jul25'!BE394)</f>
        <v/>
      </c>
      <c r="BF394" t="str">
        <f>IF('1. Live'!BF394='check-Jul25'!BF394,"",'1. Live'!BF394-'check-Jul25'!BF394)</f>
        <v/>
      </c>
      <c r="BG394" t="str">
        <f>IF('1. Live'!BG394='check-Jul25'!BG394,"",'1. Live'!BG394-'check-Jul25'!BG394)</f>
        <v/>
      </c>
      <c r="BH394" t="str">
        <f>IF('1. Live'!BH394='check-Jul25'!BH394,"",'1. Live'!BH394-'check-Jul25'!BH394)</f>
        <v/>
      </c>
      <c r="BI394" t="str">
        <f>IF('1. Live'!BI394='check-Jul25'!BI394,"",'1. Live'!BI394-'check-Jul25'!BI394)</f>
        <v/>
      </c>
      <c r="BJ394" t="str">
        <f>IF('1. Live'!BJ394='check-Jul25'!BJ394,"",'1. Live'!BJ394-'check-Jul25'!BJ394)</f>
        <v/>
      </c>
      <c r="BK394" t="str">
        <f>IF('1. Live'!BK394='check-Jul25'!BK394,"",'1. Live'!BK394-'check-Jul25'!BK394)</f>
        <v/>
      </c>
      <c r="BL394" t="str">
        <f>IF('1. Live'!BL394='check-Jul25'!BL394,"",'1. Live'!BL394-'check-Jul25'!BL394)</f>
        <v/>
      </c>
      <c r="BM394" t="str">
        <f>IF('1. Live'!BM394='check-Jul25'!BM394,"",'1. Live'!BM394-'check-Jul25'!BM394)</f>
        <v/>
      </c>
      <c r="BN394" t="str">
        <f>IF('1. Live'!BN394='check-Jul25'!BN394,"",'1. Live'!BN394-'check-Jul25'!BN394)</f>
        <v/>
      </c>
      <c r="BO394" t="str">
        <f>IF('1. Live'!BO394='check-Jul25'!BO394,"",'1. Live'!BO394-'check-Jul25'!BO394)</f>
        <v/>
      </c>
      <c r="BP394" t="str">
        <f>IF('1. Live'!BP394='check-Jul25'!BP394,"",'1. Live'!BP394-'check-Jul25'!BP394)</f>
        <v/>
      </c>
      <c r="BQ394" t="str">
        <f>IF('1. Live'!BQ394='check-Jul25'!BQ394,"",'1. Live'!BQ394-'check-Jul25'!BQ394)</f>
        <v/>
      </c>
      <c r="BR394" t="str">
        <f>IF('1. Live'!BR394='check-Jul25'!BR394,"",'1. Live'!BR394-'check-Jul25'!BR394)</f>
        <v/>
      </c>
      <c r="BS394" t="str">
        <f>IF('1. Live'!BS394='check-Jul25'!BS394,"",'1. Live'!BS394-'check-Jul25'!BS394)</f>
        <v/>
      </c>
      <c r="BT394" t="str">
        <f>IF('1. Live'!BT394='check-Jul25'!BT394,"",'1. Live'!BT394-'check-Jul25'!BT394)</f>
        <v/>
      </c>
      <c r="BU394" t="str">
        <f>IF('1. Live'!BU394='check-Jul25'!BU394,"",'1. Live'!BU394-'check-Jul25'!BU394)</f>
        <v/>
      </c>
      <c r="BV394" t="str">
        <f>IF('1. Live'!BV394='check-Jul25'!BV394,"",'1. Live'!BV394-'check-Jul25'!BV394)</f>
        <v/>
      </c>
      <c r="BW394" t="str">
        <f>IF('1. Live'!BW394='check-Jul25'!BW394,"",'1. Live'!BW394-'check-Jul25'!BW394)</f>
        <v/>
      </c>
      <c r="BX394" t="str">
        <f>IF('1. Live'!BX394='check-Jul25'!BX394,"",'1. Live'!BX394-'check-Jul25'!BX394)</f>
        <v/>
      </c>
      <c r="BY394" t="str">
        <f>IF('1. Live'!BY394='check-Jul25'!BY394,"",'1. Live'!BY394-'check-Jul25'!BY394)</f>
        <v/>
      </c>
      <c r="BZ394" t="str">
        <f>IF('1. Live'!BZ394='check-Jul25'!BZ394,"",'1. Live'!BZ394-'check-Jul25'!BZ394)</f>
        <v/>
      </c>
      <c r="CA394" t="str">
        <f>IF('1. Live'!CA394='check-Jul25'!CA394,"",'1. Live'!CA394-'check-Jul25'!CA394)</f>
        <v/>
      </c>
      <c r="CB394" t="str">
        <f>IF('1. Live'!CB394='check-Jul25'!CB394,"",'1. Live'!CB394-'check-Jul25'!CB394)</f>
        <v/>
      </c>
      <c r="CC394" t="str">
        <f>IF('1. Live'!CC394='check-Jul25'!CC394,"",'1. Live'!CC394-'check-Jul25'!CC394)</f>
        <v/>
      </c>
      <c r="CD394" t="str">
        <f>IF('1. Live'!CD394='check-Jul25'!CD394,"",'1. Live'!CD394-'check-Jul25'!CD394)</f>
        <v/>
      </c>
      <c r="CE394" t="str">
        <f>IF('1. Live'!CE394='check-Jul25'!CE394,"",'1. Live'!CE394-'check-Jul25'!CE394)</f>
        <v/>
      </c>
      <c r="CF394" t="str">
        <f>IF('1. Live'!CF394='check-Jul25'!CF394,"",'1. Live'!CF394-'check-Jul25'!CF394)</f>
        <v/>
      </c>
      <c r="CG394" t="str">
        <f>IF('1. Live'!CG394='check-Jul25'!CG394,"",'1. Live'!CG394-'check-Jul25'!CG394)</f>
        <v/>
      </c>
      <c r="CH394" t="str">
        <f>IF('1. Live'!CH394='check-Jul25'!CH394,"",'1. Live'!CH394-'check-Jul25'!CH394)</f>
        <v/>
      </c>
      <c r="CI394" t="str">
        <f>IF('1. Live'!CI394='check-Jul25'!CI394,"",'1. Live'!CI394-'check-Jul25'!CI394)</f>
        <v/>
      </c>
      <c r="CJ394" t="str">
        <f>IF('1. Live'!CJ394='check-Jul25'!CJ394,"",'1. Live'!CJ394-'check-Jul25'!CJ394)</f>
        <v/>
      </c>
      <c r="CK394" t="str">
        <f>IF('1. Live'!CK394='check-Jul25'!CK394,"",'1. Live'!CK394-'check-Jul25'!CK394)</f>
        <v/>
      </c>
      <c r="CL394" t="str">
        <f>IF('1. Live'!CL394='check-Jul25'!CL394,"",'1. Live'!CL394-'check-Jul25'!CL394)</f>
        <v/>
      </c>
      <c r="CM394" t="str">
        <f>IF('1. Live'!CM394='check-Jul25'!CM394,"",'1. Live'!CM394-'check-Jul25'!CM394)</f>
        <v/>
      </c>
      <c r="CN394" t="str">
        <f>IF('1. Live'!CN394='check-Jul25'!CN394,"",'1. Live'!CN394-'check-Jul25'!CN394)</f>
        <v/>
      </c>
      <c r="CO394" t="str">
        <f>IF('1. Live'!CO394='check-Jul25'!CO394,"",'1. Live'!CO394-'check-Jul25'!CO394)</f>
        <v/>
      </c>
      <c r="CP394" t="str">
        <f>IF('1. Live'!CP394='check-Jul25'!CP394,"",'1. Live'!CP394-'check-Jul25'!CP394)</f>
        <v/>
      </c>
      <c r="CQ394" t="str">
        <f>IF('1. Live'!CQ394='check-Jul25'!CQ394,"",'1. Live'!CQ394-'check-Jul25'!CQ394)</f>
        <v/>
      </c>
      <c r="CR394" t="str">
        <f>IF('1. Live'!CR394='check-Jul25'!CR394,"",'1. Live'!CR394-'check-Jul25'!CR394)</f>
        <v/>
      </c>
      <c r="CS394" t="str">
        <f>IF('1. Live'!CS394='check-Jul25'!CS394,"",'1. Live'!CS394-'check-Jul25'!CS394)</f>
        <v/>
      </c>
      <c r="CT394" t="str">
        <f>IF('1. Live'!CT394='check-Jul25'!CT394,"",'1. Live'!CT394-'check-Jul25'!CT394)</f>
        <v/>
      </c>
      <c r="CU394" t="str">
        <f>IF('1. Live'!CU394='check-Jul25'!CU394,"",'1. Live'!CU394-'check-Jul25'!CU394)</f>
        <v/>
      </c>
      <c r="CV394" t="str">
        <f>IF('1. Live'!CV394='check-Jul25'!CV394,"",'1. Live'!CV394-'check-Jul25'!CV394)</f>
        <v/>
      </c>
      <c r="CW394" t="str">
        <f>IF('1. Live'!CW394='check-Jul25'!CW394,"",'1. Live'!CW394-'check-Jul25'!CW394)</f>
        <v/>
      </c>
    </row>
    <row r="395" spans="10:101">
      <c r="J395" t="str">
        <f>IF('1. Live'!J395='check-Jul25'!J395,"",'1. Live'!J395-'check-Jul25'!J395)</f>
        <v/>
      </c>
      <c r="K395" t="str">
        <f>IF('1. Live'!K395='check-Jul25'!K395,"",'1. Live'!K395-'check-Jul25'!K395)</f>
        <v/>
      </c>
      <c r="L395" t="str">
        <f>IF('1. Live'!L395='check-Jul25'!L395,"",'1. Live'!L395-'check-Jul25'!L395)</f>
        <v/>
      </c>
      <c r="M395" t="str">
        <f>IF('1. Live'!M395='check-Jul25'!M395,"",'1. Live'!M395-'check-Jul25'!M395)</f>
        <v/>
      </c>
      <c r="N395" t="str">
        <f>IF('1. Live'!N395='check-Jul25'!N395,"",'1. Live'!N395-'check-Jul25'!N395)</f>
        <v/>
      </c>
      <c r="O395" t="str">
        <f>IF('1. Live'!O395='check-Jul25'!O395,"",'1. Live'!O395-'check-Jul25'!O395)</f>
        <v/>
      </c>
      <c r="P395" t="str">
        <f>IF('1. Live'!P395='check-Jul25'!P395,"",'1. Live'!P395-'check-Jul25'!P395)</f>
        <v/>
      </c>
      <c r="Q395" t="str">
        <f>IF('1. Live'!Q395='check-Jul25'!Q395,"",'1. Live'!Q395-'check-Jul25'!Q395)</f>
        <v/>
      </c>
      <c r="R395" t="str">
        <f>IF('1. Live'!R395='check-Jul25'!R395,"",'1. Live'!R395-'check-Jul25'!R395)</f>
        <v/>
      </c>
      <c r="S395" t="str">
        <f>IF('1. Live'!S395='check-Jul25'!S395,"",'1. Live'!S395-'check-Jul25'!S395)</f>
        <v/>
      </c>
      <c r="T395" t="str">
        <f>IF('1. Live'!T395='check-Jul25'!T395,"",'1. Live'!T395-'check-Jul25'!T395)</f>
        <v/>
      </c>
      <c r="U395" t="str">
        <f>IF('1. Live'!U395='check-Jul25'!U395,"",'1. Live'!U395-'check-Jul25'!U395)</f>
        <v/>
      </c>
      <c r="V395" t="str">
        <f>IF('1. Live'!V395='check-Jul25'!V395,"",'1. Live'!V395-'check-Jul25'!V395)</f>
        <v/>
      </c>
      <c r="W395" t="str">
        <f>IF('1. Live'!W395='check-Jul25'!W395,"",'1. Live'!W395-'check-Jul25'!W395)</f>
        <v/>
      </c>
      <c r="X395" t="str">
        <f>IF('1. Live'!X395='check-Jul25'!X395,"",'1. Live'!X395-'check-Jul25'!X395)</f>
        <v/>
      </c>
      <c r="Y395" t="str">
        <f>IF('1. Live'!Y395='check-Jul25'!Y395,"",'1. Live'!Y395-'check-Jul25'!Y395)</f>
        <v/>
      </c>
      <c r="Z395" t="str">
        <f>IF('1. Live'!Z395='check-Jul25'!Z395,"",'1. Live'!Z395-'check-Jul25'!Z395)</f>
        <v/>
      </c>
      <c r="AA395" t="str">
        <f>IF('1. Live'!AA395='check-Jul25'!AA395,"",'1. Live'!AA395-'check-Jul25'!AA395)</f>
        <v/>
      </c>
      <c r="AB395" t="str">
        <f>IF('1. Live'!AB395='check-Jul25'!AB395,"",'1. Live'!AB395-'check-Jul25'!AB395)</f>
        <v/>
      </c>
      <c r="AC395" t="str">
        <f>IF('1. Live'!AC395='check-Jul25'!AC395,"",'1. Live'!AC395-'check-Jul25'!AC395)</f>
        <v/>
      </c>
      <c r="AD395" t="str">
        <f>IF('1. Live'!AD395='check-Jul25'!AD395,"",'1. Live'!AD395-'check-Jul25'!AD395)</f>
        <v/>
      </c>
      <c r="AE395" t="str">
        <f>IF('1. Live'!AE395='check-Jul25'!AE395,"",'1. Live'!AE395-'check-Jul25'!AE395)</f>
        <v/>
      </c>
      <c r="AF395" t="str">
        <f>IF('1. Live'!AF395='check-Jul25'!AF395,"",'1. Live'!AF395-'check-Jul25'!AF395)</f>
        <v/>
      </c>
      <c r="AG395" t="str">
        <f>IF('1. Live'!AG395='check-Jul25'!AG395,"",'1. Live'!AG395-'check-Jul25'!AG395)</f>
        <v/>
      </c>
      <c r="AH395" t="str">
        <f>IF('1. Live'!AH395='check-Jul25'!AH395,"",'1. Live'!AH395-'check-Jul25'!AH395)</f>
        <v/>
      </c>
      <c r="AI395" t="str">
        <f>IF('1. Live'!AI395='check-Jul25'!AI395,"",'1. Live'!AI395-'check-Jul25'!AI395)</f>
        <v/>
      </c>
      <c r="AJ395" t="str">
        <f>IF('1. Live'!AJ395='check-Jul25'!AJ395,"",'1. Live'!AJ395-'check-Jul25'!AJ395)</f>
        <v/>
      </c>
      <c r="AK395" t="str">
        <f>IF('1. Live'!AK395='check-Jul25'!AK395,"",'1. Live'!AK395-'check-Jul25'!AK395)</f>
        <v/>
      </c>
      <c r="AL395" t="str">
        <f>IF('1. Live'!AL395='check-Jul25'!AL395,"",'1. Live'!AL395-'check-Jul25'!AL395)</f>
        <v/>
      </c>
      <c r="AM395" t="str">
        <f>IF('1. Live'!AM395='check-Jul25'!AM395,"",'1. Live'!AM395-'check-Jul25'!AM395)</f>
        <v/>
      </c>
      <c r="AN395" t="str">
        <f>IF('1. Live'!AN395='check-Jul25'!AN395,"",'1. Live'!AN395-'check-Jul25'!AN395)</f>
        <v/>
      </c>
      <c r="AO395" t="str">
        <f>IF('1. Live'!AO395='check-Jul25'!AO395,"",'1. Live'!AO395-'check-Jul25'!AO395)</f>
        <v/>
      </c>
      <c r="AP395" t="str">
        <f>IF('1. Live'!AP395='check-Jul25'!AP395,"",'1. Live'!AP395-'check-Jul25'!AP395)</f>
        <v/>
      </c>
      <c r="AQ395" t="str">
        <f>IF('1. Live'!AQ395='check-Jul25'!AQ395,"",'1. Live'!AQ395-'check-Jul25'!AQ395)</f>
        <v/>
      </c>
      <c r="AR395" t="str">
        <f>IF('1. Live'!AR395='check-Jul25'!AR395,"",'1. Live'!AR395-'check-Jul25'!AR395)</f>
        <v/>
      </c>
      <c r="AS395" t="str">
        <f>IF('1. Live'!AS395='check-Jul25'!AS395,"",'1. Live'!AS395-'check-Jul25'!AS395)</f>
        <v/>
      </c>
      <c r="AT395" t="str">
        <f>IF('1. Live'!AT395='check-Jul25'!AT395,"",'1. Live'!AT395-'check-Jul25'!AT395)</f>
        <v/>
      </c>
      <c r="AU395" t="str">
        <f>IF('1. Live'!AU395='check-Jul25'!AU395,"",'1. Live'!AU395-'check-Jul25'!AU395)</f>
        <v/>
      </c>
      <c r="AV395" t="str">
        <f>IF('1. Live'!AV395='check-Jul25'!AV395,"",'1. Live'!AV395-'check-Jul25'!AV395)</f>
        <v/>
      </c>
      <c r="AW395" t="str">
        <f>IF('1. Live'!AW395='check-Jul25'!AW395,"",'1. Live'!AW395-'check-Jul25'!AW395)</f>
        <v/>
      </c>
      <c r="AX395" t="str">
        <f>IF('1. Live'!AX395='check-Jul25'!AX395,"",'1. Live'!AX395-'check-Jul25'!AX395)</f>
        <v/>
      </c>
      <c r="AY395" t="str">
        <f>IF('1. Live'!AY395='check-Jul25'!AY395,"",'1. Live'!AY395-'check-Jul25'!AY395)</f>
        <v/>
      </c>
      <c r="AZ395" t="str">
        <f>IF('1. Live'!AZ395='check-Jul25'!AZ395,"",'1. Live'!AZ395-'check-Jul25'!AZ395)</f>
        <v/>
      </c>
      <c r="BA395" t="str">
        <f>IF('1. Live'!BA395='check-Jul25'!BA395,"",'1. Live'!BA395-'check-Jul25'!BA395)</f>
        <v/>
      </c>
      <c r="BB395" t="str">
        <f>IF('1. Live'!BB395='check-Jul25'!BB395,"",'1. Live'!BB395-'check-Jul25'!BB395)</f>
        <v/>
      </c>
      <c r="BC395" t="str">
        <f>IF('1. Live'!BC395='check-Jul25'!BC395,"",'1. Live'!BC395-'check-Jul25'!BC395)</f>
        <v/>
      </c>
      <c r="BD395" t="str">
        <f>IF('1. Live'!BD395='check-Jul25'!BD395,"",'1. Live'!BD395-'check-Jul25'!BD395)</f>
        <v/>
      </c>
      <c r="BE395" t="str">
        <f>IF('1. Live'!BE395='check-Jul25'!BE395,"",'1. Live'!BE395-'check-Jul25'!BE395)</f>
        <v/>
      </c>
      <c r="BF395" t="str">
        <f>IF('1. Live'!BF395='check-Jul25'!BF395,"",'1. Live'!BF395-'check-Jul25'!BF395)</f>
        <v/>
      </c>
      <c r="BG395" t="str">
        <f>IF('1. Live'!BG395='check-Jul25'!BG395,"",'1. Live'!BG395-'check-Jul25'!BG395)</f>
        <v/>
      </c>
      <c r="BH395" t="str">
        <f>IF('1. Live'!BH395='check-Jul25'!BH395,"",'1. Live'!BH395-'check-Jul25'!BH395)</f>
        <v/>
      </c>
      <c r="BI395" t="str">
        <f>IF('1. Live'!BI395='check-Jul25'!BI395,"",'1. Live'!BI395-'check-Jul25'!BI395)</f>
        <v/>
      </c>
      <c r="BJ395" t="str">
        <f>IF('1. Live'!BJ395='check-Jul25'!BJ395,"",'1. Live'!BJ395-'check-Jul25'!BJ395)</f>
        <v/>
      </c>
      <c r="BK395" t="str">
        <f>IF('1. Live'!BK395='check-Jul25'!BK395,"",'1. Live'!BK395-'check-Jul25'!BK395)</f>
        <v/>
      </c>
      <c r="BL395" t="str">
        <f>IF('1. Live'!BL395='check-Jul25'!BL395,"",'1. Live'!BL395-'check-Jul25'!BL395)</f>
        <v/>
      </c>
      <c r="BM395" t="str">
        <f>IF('1. Live'!BM395='check-Jul25'!BM395,"",'1. Live'!BM395-'check-Jul25'!BM395)</f>
        <v/>
      </c>
      <c r="BN395" t="str">
        <f>IF('1. Live'!BN395='check-Jul25'!BN395,"",'1. Live'!BN395-'check-Jul25'!BN395)</f>
        <v/>
      </c>
      <c r="BO395" t="str">
        <f>IF('1. Live'!BO395='check-Jul25'!BO395,"",'1. Live'!BO395-'check-Jul25'!BO395)</f>
        <v/>
      </c>
      <c r="BP395" t="str">
        <f>IF('1. Live'!BP395='check-Jul25'!BP395,"",'1. Live'!BP395-'check-Jul25'!BP395)</f>
        <v/>
      </c>
      <c r="BQ395" t="str">
        <f>IF('1. Live'!BQ395='check-Jul25'!BQ395,"",'1. Live'!BQ395-'check-Jul25'!BQ395)</f>
        <v/>
      </c>
      <c r="BR395" t="str">
        <f>IF('1. Live'!BR395='check-Jul25'!BR395,"",'1. Live'!BR395-'check-Jul25'!BR395)</f>
        <v/>
      </c>
      <c r="BS395" t="str">
        <f>IF('1. Live'!BS395='check-Jul25'!BS395,"",'1. Live'!BS395-'check-Jul25'!BS395)</f>
        <v/>
      </c>
      <c r="BT395" t="str">
        <f>IF('1. Live'!BT395='check-Jul25'!BT395,"",'1. Live'!BT395-'check-Jul25'!BT395)</f>
        <v/>
      </c>
      <c r="BU395" t="str">
        <f>IF('1. Live'!BU395='check-Jul25'!BU395,"",'1. Live'!BU395-'check-Jul25'!BU395)</f>
        <v/>
      </c>
      <c r="BV395" t="str">
        <f>IF('1. Live'!BV395='check-Jul25'!BV395,"",'1. Live'!BV395-'check-Jul25'!BV395)</f>
        <v/>
      </c>
      <c r="BW395" t="str">
        <f>IF('1. Live'!BW395='check-Jul25'!BW395,"",'1. Live'!BW395-'check-Jul25'!BW395)</f>
        <v/>
      </c>
      <c r="BX395" t="str">
        <f>IF('1. Live'!BX395='check-Jul25'!BX395,"",'1. Live'!BX395-'check-Jul25'!BX395)</f>
        <v/>
      </c>
      <c r="BY395" t="str">
        <f>IF('1. Live'!BY395='check-Jul25'!BY395,"",'1. Live'!BY395-'check-Jul25'!BY395)</f>
        <v/>
      </c>
      <c r="BZ395" t="str">
        <f>IF('1. Live'!BZ395='check-Jul25'!BZ395,"",'1. Live'!BZ395-'check-Jul25'!BZ395)</f>
        <v/>
      </c>
      <c r="CA395" t="str">
        <f>IF('1. Live'!CA395='check-Jul25'!CA395,"",'1. Live'!CA395-'check-Jul25'!CA395)</f>
        <v/>
      </c>
      <c r="CB395" t="str">
        <f>IF('1. Live'!CB395='check-Jul25'!CB395,"",'1. Live'!CB395-'check-Jul25'!CB395)</f>
        <v/>
      </c>
      <c r="CC395" t="str">
        <f>IF('1. Live'!CC395='check-Jul25'!CC395,"",'1. Live'!CC395-'check-Jul25'!CC395)</f>
        <v/>
      </c>
      <c r="CD395" t="str">
        <f>IF('1. Live'!CD395='check-Jul25'!CD395,"",'1. Live'!CD395-'check-Jul25'!CD395)</f>
        <v/>
      </c>
      <c r="CE395" t="str">
        <f>IF('1. Live'!CE395='check-Jul25'!CE395,"",'1. Live'!CE395-'check-Jul25'!CE395)</f>
        <v/>
      </c>
      <c r="CF395" t="str">
        <f>IF('1. Live'!CF395='check-Jul25'!CF395,"",'1. Live'!CF395-'check-Jul25'!CF395)</f>
        <v/>
      </c>
      <c r="CG395" t="str">
        <f>IF('1. Live'!CG395='check-Jul25'!CG395,"",'1. Live'!CG395-'check-Jul25'!CG395)</f>
        <v/>
      </c>
      <c r="CH395" t="str">
        <f>IF('1. Live'!CH395='check-Jul25'!CH395,"",'1. Live'!CH395-'check-Jul25'!CH395)</f>
        <v/>
      </c>
      <c r="CI395" t="str">
        <f>IF('1. Live'!CI395='check-Jul25'!CI395,"",'1. Live'!CI395-'check-Jul25'!CI395)</f>
        <v/>
      </c>
      <c r="CJ395" t="str">
        <f>IF('1. Live'!CJ395='check-Jul25'!CJ395,"",'1. Live'!CJ395-'check-Jul25'!CJ395)</f>
        <v/>
      </c>
      <c r="CK395" t="str">
        <f>IF('1. Live'!CK395='check-Jul25'!CK395,"",'1. Live'!CK395-'check-Jul25'!CK395)</f>
        <v/>
      </c>
      <c r="CL395" t="str">
        <f>IF('1. Live'!CL395='check-Jul25'!CL395,"",'1. Live'!CL395-'check-Jul25'!CL395)</f>
        <v/>
      </c>
      <c r="CM395" t="str">
        <f>IF('1. Live'!CM395='check-Jul25'!CM395,"",'1. Live'!CM395-'check-Jul25'!CM395)</f>
        <v/>
      </c>
      <c r="CN395" t="str">
        <f>IF('1. Live'!CN395='check-Jul25'!CN395,"",'1. Live'!CN395-'check-Jul25'!CN395)</f>
        <v/>
      </c>
      <c r="CO395" t="str">
        <f>IF('1. Live'!CO395='check-Jul25'!CO395,"",'1. Live'!CO395-'check-Jul25'!CO395)</f>
        <v/>
      </c>
      <c r="CP395" t="str">
        <f>IF('1. Live'!CP395='check-Jul25'!CP395,"",'1. Live'!CP395-'check-Jul25'!CP395)</f>
        <v/>
      </c>
      <c r="CQ395" t="str">
        <f>IF('1. Live'!CQ395='check-Jul25'!CQ395,"",'1. Live'!CQ395-'check-Jul25'!CQ395)</f>
        <v/>
      </c>
      <c r="CR395" t="str">
        <f>IF('1. Live'!CR395='check-Jul25'!CR395,"",'1. Live'!CR395-'check-Jul25'!CR395)</f>
        <v/>
      </c>
      <c r="CS395" t="str">
        <f>IF('1. Live'!CS395='check-Jul25'!CS395,"",'1. Live'!CS395-'check-Jul25'!CS395)</f>
        <v/>
      </c>
      <c r="CT395" t="str">
        <f>IF('1. Live'!CT395='check-Jul25'!CT395,"",'1. Live'!CT395-'check-Jul25'!CT395)</f>
        <v/>
      </c>
      <c r="CU395" t="str">
        <f>IF('1. Live'!CU395='check-Jul25'!CU395,"",'1. Live'!CU395-'check-Jul25'!CU395)</f>
        <v/>
      </c>
      <c r="CV395" t="str">
        <f>IF('1. Live'!CV395='check-Jul25'!CV395,"",'1. Live'!CV395-'check-Jul25'!CV395)</f>
        <v/>
      </c>
      <c r="CW395" t="str">
        <f>IF('1. Live'!CW395='check-Jul25'!CW395,"",'1. Live'!CW395-'check-Jul25'!CW395)</f>
        <v/>
      </c>
    </row>
    <row r="396" spans="10:101">
      <c r="J396" t="str">
        <f>IF('1. Live'!J396='check-Jul25'!J396,"",'1. Live'!J396-'check-Jul25'!J396)</f>
        <v/>
      </c>
      <c r="K396" t="str">
        <f>IF('1. Live'!K396='check-Jul25'!K396,"",'1. Live'!K396-'check-Jul25'!K396)</f>
        <v/>
      </c>
      <c r="L396" t="str">
        <f>IF('1. Live'!L396='check-Jul25'!L396,"",'1. Live'!L396-'check-Jul25'!L396)</f>
        <v/>
      </c>
      <c r="M396" t="str">
        <f>IF('1. Live'!M396='check-Jul25'!M396,"",'1. Live'!M396-'check-Jul25'!M396)</f>
        <v/>
      </c>
      <c r="N396" t="str">
        <f>IF('1. Live'!N396='check-Jul25'!N396,"",'1. Live'!N396-'check-Jul25'!N396)</f>
        <v/>
      </c>
      <c r="O396" t="str">
        <f>IF('1. Live'!O396='check-Jul25'!O396,"",'1. Live'!O396-'check-Jul25'!O396)</f>
        <v/>
      </c>
      <c r="P396" t="str">
        <f>IF('1. Live'!P396='check-Jul25'!P396,"",'1. Live'!P396-'check-Jul25'!P396)</f>
        <v/>
      </c>
      <c r="Q396" t="str">
        <f>IF('1. Live'!Q396='check-Jul25'!Q396,"",'1. Live'!Q396-'check-Jul25'!Q396)</f>
        <v/>
      </c>
      <c r="R396" t="str">
        <f>IF('1. Live'!R396='check-Jul25'!R396,"",'1. Live'!R396-'check-Jul25'!R396)</f>
        <v/>
      </c>
      <c r="S396" t="str">
        <f>IF('1. Live'!S396='check-Jul25'!S396,"",'1. Live'!S396-'check-Jul25'!S396)</f>
        <v/>
      </c>
      <c r="T396" t="str">
        <f>IF('1. Live'!T396='check-Jul25'!T396,"",'1. Live'!T396-'check-Jul25'!T396)</f>
        <v/>
      </c>
      <c r="U396" t="str">
        <f>IF('1. Live'!U396='check-Jul25'!U396,"",'1. Live'!U396-'check-Jul25'!U396)</f>
        <v/>
      </c>
      <c r="V396" t="str">
        <f>IF('1. Live'!V396='check-Jul25'!V396,"",'1. Live'!V396-'check-Jul25'!V396)</f>
        <v/>
      </c>
      <c r="W396" t="str">
        <f>IF('1. Live'!W396='check-Jul25'!W396,"",'1. Live'!W396-'check-Jul25'!W396)</f>
        <v/>
      </c>
      <c r="X396" t="str">
        <f>IF('1. Live'!X396='check-Jul25'!X396,"",'1. Live'!X396-'check-Jul25'!X396)</f>
        <v/>
      </c>
      <c r="Y396" t="str">
        <f>IF('1. Live'!Y396='check-Jul25'!Y396,"",'1. Live'!Y396-'check-Jul25'!Y396)</f>
        <v/>
      </c>
      <c r="Z396" t="str">
        <f>IF('1. Live'!Z396='check-Jul25'!Z396,"",'1. Live'!Z396-'check-Jul25'!Z396)</f>
        <v/>
      </c>
      <c r="AA396" t="str">
        <f>IF('1. Live'!AA396='check-Jul25'!AA396,"",'1. Live'!AA396-'check-Jul25'!AA396)</f>
        <v/>
      </c>
      <c r="AB396" t="str">
        <f>IF('1. Live'!AB396='check-Jul25'!AB396,"",'1. Live'!AB396-'check-Jul25'!AB396)</f>
        <v/>
      </c>
      <c r="AC396" t="str">
        <f>IF('1. Live'!AC396='check-Jul25'!AC396,"",'1. Live'!AC396-'check-Jul25'!AC396)</f>
        <v/>
      </c>
      <c r="AD396" t="str">
        <f>IF('1. Live'!AD396='check-Jul25'!AD396,"",'1. Live'!AD396-'check-Jul25'!AD396)</f>
        <v/>
      </c>
      <c r="AE396" t="str">
        <f>IF('1. Live'!AE396='check-Jul25'!AE396,"",'1. Live'!AE396-'check-Jul25'!AE396)</f>
        <v/>
      </c>
      <c r="AF396" t="str">
        <f>IF('1. Live'!AF396='check-Jul25'!AF396,"",'1. Live'!AF396-'check-Jul25'!AF396)</f>
        <v/>
      </c>
      <c r="AG396" t="str">
        <f>IF('1. Live'!AG396='check-Jul25'!AG396,"",'1. Live'!AG396-'check-Jul25'!AG396)</f>
        <v/>
      </c>
      <c r="AH396" t="str">
        <f>IF('1. Live'!AH396='check-Jul25'!AH396,"",'1. Live'!AH396-'check-Jul25'!AH396)</f>
        <v/>
      </c>
      <c r="AI396" t="str">
        <f>IF('1. Live'!AI396='check-Jul25'!AI396,"",'1. Live'!AI396-'check-Jul25'!AI396)</f>
        <v/>
      </c>
      <c r="AJ396" t="str">
        <f>IF('1. Live'!AJ396='check-Jul25'!AJ396,"",'1. Live'!AJ396-'check-Jul25'!AJ396)</f>
        <v/>
      </c>
      <c r="AK396" t="str">
        <f>IF('1. Live'!AK396='check-Jul25'!AK396,"",'1. Live'!AK396-'check-Jul25'!AK396)</f>
        <v/>
      </c>
      <c r="AL396" t="str">
        <f>IF('1. Live'!AL396='check-Jul25'!AL396,"",'1. Live'!AL396-'check-Jul25'!AL396)</f>
        <v/>
      </c>
      <c r="AM396" t="str">
        <f>IF('1. Live'!AM396='check-Jul25'!AM396,"",'1. Live'!AM396-'check-Jul25'!AM396)</f>
        <v/>
      </c>
      <c r="AN396" t="str">
        <f>IF('1. Live'!AN396='check-Jul25'!AN396,"",'1. Live'!AN396-'check-Jul25'!AN396)</f>
        <v/>
      </c>
      <c r="AO396" t="str">
        <f>IF('1. Live'!AO396='check-Jul25'!AO396,"",'1. Live'!AO396-'check-Jul25'!AO396)</f>
        <v/>
      </c>
      <c r="AP396" t="str">
        <f>IF('1. Live'!AP396='check-Jul25'!AP396,"",'1. Live'!AP396-'check-Jul25'!AP396)</f>
        <v/>
      </c>
      <c r="AQ396" t="str">
        <f>IF('1. Live'!AQ396='check-Jul25'!AQ396,"",'1. Live'!AQ396-'check-Jul25'!AQ396)</f>
        <v/>
      </c>
      <c r="AR396" t="str">
        <f>IF('1. Live'!AR396='check-Jul25'!AR396,"",'1. Live'!AR396-'check-Jul25'!AR396)</f>
        <v/>
      </c>
      <c r="AS396" t="str">
        <f>IF('1. Live'!AS396='check-Jul25'!AS396,"",'1. Live'!AS396-'check-Jul25'!AS396)</f>
        <v/>
      </c>
      <c r="AT396" t="str">
        <f>IF('1. Live'!AT396='check-Jul25'!AT396,"",'1. Live'!AT396-'check-Jul25'!AT396)</f>
        <v/>
      </c>
      <c r="AU396" t="str">
        <f>IF('1. Live'!AU396='check-Jul25'!AU396,"",'1. Live'!AU396-'check-Jul25'!AU396)</f>
        <v/>
      </c>
      <c r="AV396" t="str">
        <f>IF('1. Live'!AV396='check-Jul25'!AV396,"",'1. Live'!AV396-'check-Jul25'!AV396)</f>
        <v/>
      </c>
      <c r="AW396" t="str">
        <f>IF('1. Live'!AW396='check-Jul25'!AW396,"",'1. Live'!AW396-'check-Jul25'!AW396)</f>
        <v/>
      </c>
      <c r="AX396" t="str">
        <f>IF('1. Live'!AX396='check-Jul25'!AX396,"",'1. Live'!AX396-'check-Jul25'!AX396)</f>
        <v/>
      </c>
      <c r="AY396" t="str">
        <f>IF('1. Live'!AY396='check-Jul25'!AY396,"",'1. Live'!AY396-'check-Jul25'!AY396)</f>
        <v/>
      </c>
      <c r="AZ396" t="str">
        <f>IF('1. Live'!AZ396='check-Jul25'!AZ396,"",'1. Live'!AZ396-'check-Jul25'!AZ396)</f>
        <v/>
      </c>
      <c r="BA396" t="str">
        <f>IF('1. Live'!BA396='check-Jul25'!BA396,"",'1. Live'!BA396-'check-Jul25'!BA396)</f>
        <v/>
      </c>
      <c r="BB396" t="str">
        <f>IF('1. Live'!BB396='check-Jul25'!BB396,"",'1. Live'!BB396-'check-Jul25'!BB396)</f>
        <v/>
      </c>
      <c r="BC396" t="str">
        <f>IF('1. Live'!BC396='check-Jul25'!BC396,"",'1. Live'!BC396-'check-Jul25'!BC396)</f>
        <v/>
      </c>
      <c r="BD396" t="str">
        <f>IF('1. Live'!BD396='check-Jul25'!BD396,"",'1. Live'!BD396-'check-Jul25'!BD396)</f>
        <v/>
      </c>
      <c r="BE396" t="str">
        <f>IF('1. Live'!BE396='check-Jul25'!BE396,"",'1. Live'!BE396-'check-Jul25'!BE396)</f>
        <v/>
      </c>
      <c r="BF396" t="str">
        <f>IF('1. Live'!BF396='check-Jul25'!BF396,"",'1. Live'!BF396-'check-Jul25'!BF396)</f>
        <v/>
      </c>
      <c r="BG396" t="str">
        <f>IF('1. Live'!BG396='check-Jul25'!BG396,"",'1. Live'!BG396-'check-Jul25'!BG396)</f>
        <v/>
      </c>
      <c r="BH396" t="str">
        <f>IF('1. Live'!BH396='check-Jul25'!BH396,"",'1. Live'!BH396-'check-Jul25'!BH396)</f>
        <v/>
      </c>
      <c r="BI396" t="str">
        <f>IF('1. Live'!BI396='check-Jul25'!BI396,"",'1. Live'!BI396-'check-Jul25'!BI396)</f>
        <v/>
      </c>
      <c r="BJ396" t="str">
        <f>IF('1. Live'!BJ396='check-Jul25'!BJ396,"",'1. Live'!BJ396-'check-Jul25'!BJ396)</f>
        <v/>
      </c>
      <c r="BK396" t="str">
        <f>IF('1. Live'!BK396='check-Jul25'!BK396,"",'1. Live'!BK396-'check-Jul25'!BK396)</f>
        <v/>
      </c>
      <c r="BL396" t="str">
        <f>IF('1. Live'!BL396='check-Jul25'!BL396,"",'1. Live'!BL396-'check-Jul25'!BL396)</f>
        <v/>
      </c>
      <c r="BM396" t="str">
        <f>IF('1. Live'!BM396='check-Jul25'!BM396,"",'1. Live'!BM396-'check-Jul25'!BM396)</f>
        <v/>
      </c>
      <c r="BN396" t="str">
        <f>IF('1. Live'!BN396='check-Jul25'!BN396,"",'1. Live'!BN396-'check-Jul25'!BN396)</f>
        <v/>
      </c>
      <c r="BO396" t="str">
        <f>IF('1. Live'!BO396='check-Jul25'!BO396,"",'1. Live'!BO396-'check-Jul25'!BO396)</f>
        <v/>
      </c>
      <c r="BP396" t="str">
        <f>IF('1. Live'!BP396='check-Jul25'!BP396,"",'1. Live'!BP396-'check-Jul25'!BP396)</f>
        <v/>
      </c>
      <c r="BQ396" t="str">
        <f>IF('1. Live'!BQ396='check-Jul25'!BQ396,"",'1. Live'!BQ396-'check-Jul25'!BQ396)</f>
        <v/>
      </c>
      <c r="BR396" t="str">
        <f>IF('1. Live'!BR396='check-Jul25'!BR396,"",'1. Live'!BR396-'check-Jul25'!BR396)</f>
        <v/>
      </c>
      <c r="BS396" t="str">
        <f>IF('1. Live'!BS396='check-Jul25'!BS396,"",'1. Live'!BS396-'check-Jul25'!BS396)</f>
        <v/>
      </c>
      <c r="BT396" t="str">
        <f>IF('1. Live'!BT396='check-Jul25'!BT396,"",'1. Live'!BT396-'check-Jul25'!BT396)</f>
        <v/>
      </c>
      <c r="BU396" t="str">
        <f>IF('1. Live'!BU396='check-Jul25'!BU396,"",'1. Live'!BU396-'check-Jul25'!BU396)</f>
        <v/>
      </c>
      <c r="BV396" t="str">
        <f>IF('1. Live'!BV396='check-Jul25'!BV396,"",'1. Live'!BV396-'check-Jul25'!BV396)</f>
        <v/>
      </c>
      <c r="BW396" t="str">
        <f>IF('1. Live'!BW396='check-Jul25'!BW396,"",'1. Live'!BW396-'check-Jul25'!BW396)</f>
        <v/>
      </c>
      <c r="BX396" t="str">
        <f>IF('1. Live'!BX396='check-Jul25'!BX396,"",'1. Live'!BX396-'check-Jul25'!BX396)</f>
        <v/>
      </c>
      <c r="BY396" t="str">
        <f>IF('1. Live'!BY396='check-Jul25'!BY396,"",'1. Live'!BY396-'check-Jul25'!BY396)</f>
        <v/>
      </c>
      <c r="BZ396" t="str">
        <f>IF('1. Live'!BZ396='check-Jul25'!BZ396,"",'1. Live'!BZ396-'check-Jul25'!BZ396)</f>
        <v/>
      </c>
      <c r="CA396" t="str">
        <f>IF('1. Live'!CA396='check-Jul25'!CA396,"",'1. Live'!CA396-'check-Jul25'!CA396)</f>
        <v/>
      </c>
      <c r="CB396" t="str">
        <f>IF('1. Live'!CB396='check-Jul25'!CB396,"",'1. Live'!CB396-'check-Jul25'!CB396)</f>
        <v/>
      </c>
      <c r="CC396" t="str">
        <f>IF('1. Live'!CC396='check-Jul25'!CC396,"",'1. Live'!CC396-'check-Jul25'!CC396)</f>
        <v/>
      </c>
      <c r="CD396" t="str">
        <f>IF('1. Live'!CD396='check-Jul25'!CD396,"",'1. Live'!CD396-'check-Jul25'!CD396)</f>
        <v/>
      </c>
      <c r="CE396" t="str">
        <f>IF('1. Live'!CE396='check-Jul25'!CE396,"",'1. Live'!CE396-'check-Jul25'!CE396)</f>
        <v/>
      </c>
      <c r="CF396" t="str">
        <f>IF('1. Live'!CF396='check-Jul25'!CF396,"",'1. Live'!CF396-'check-Jul25'!CF396)</f>
        <v/>
      </c>
      <c r="CG396" t="str">
        <f>IF('1. Live'!CG396='check-Jul25'!CG396,"",'1. Live'!CG396-'check-Jul25'!CG396)</f>
        <v/>
      </c>
      <c r="CH396" t="str">
        <f>IF('1. Live'!CH396='check-Jul25'!CH396,"",'1. Live'!CH396-'check-Jul25'!CH396)</f>
        <v/>
      </c>
      <c r="CI396" t="str">
        <f>IF('1. Live'!CI396='check-Jul25'!CI396,"",'1. Live'!CI396-'check-Jul25'!CI396)</f>
        <v/>
      </c>
      <c r="CJ396" t="str">
        <f>IF('1. Live'!CJ396='check-Jul25'!CJ396,"",'1. Live'!CJ396-'check-Jul25'!CJ396)</f>
        <v/>
      </c>
      <c r="CK396" t="str">
        <f>IF('1. Live'!CK396='check-Jul25'!CK396,"",'1. Live'!CK396-'check-Jul25'!CK396)</f>
        <v/>
      </c>
      <c r="CL396" t="str">
        <f>IF('1. Live'!CL396='check-Jul25'!CL396,"",'1. Live'!CL396-'check-Jul25'!CL396)</f>
        <v/>
      </c>
      <c r="CM396" t="str">
        <f>IF('1. Live'!CM396='check-Jul25'!CM396,"",'1. Live'!CM396-'check-Jul25'!CM396)</f>
        <v/>
      </c>
      <c r="CN396" t="str">
        <f>IF('1. Live'!CN396='check-Jul25'!CN396,"",'1. Live'!CN396-'check-Jul25'!CN396)</f>
        <v/>
      </c>
      <c r="CO396" t="str">
        <f>IF('1. Live'!CO396='check-Jul25'!CO396,"",'1. Live'!CO396-'check-Jul25'!CO396)</f>
        <v/>
      </c>
      <c r="CP396" t="str">
        <f>IF('1. Live'!CP396='check-Jul25'!CP396,"",'1. Live'!CP396-'check-Jul25'!CP396)</f>
        <v/>
      </c>
      <c r="CQ396" t="str">
        <f>IF('1. Live'!CQ396='check-Jul25'!CQ396,"",'1. Live'!CQ396-'check-Jul25'!CQ396)</f>
        <v/>
      </c>
      <c r="CR396" t="str">
        <f>IF('1. Live'!CR396='check-Jul25'!CR396,"",'1. Live'!CR396-'check-Jul25'!CR396)</f>
        <v/>
      </c>
      <c r="CS396" t="str">
        <f>IF('1. Live'!CS396='check-Jul25'!CS396,"",'1. Live'!CS396-'check-Jul25'!CS396)</f>
        <v/>
      </c>
      <c r="CT396" t="str">
        <f>IF('1. Live'!CT396='check-Jul25'!CT396,"",'1. Live'!CT396-'check-Jul25'!CT396)</f>
        <v/>
      </c>
      <c r="CU396" t="str">
        <f>IF('1. Live'!CU396='check-Jul25'!CU396,"",'1. Live'!CU396-'check-Jul25'!CU396)</f>
        <v/>
      </c>
      <c r="CV396" t="str">
        <f>IF('1. Live'!CV396='check-Jul25'!CV396,"",'1. Live'!CV396-'check-Jul25'!CV396)</f>
        <v/>
      </c>
      <c r="CW396" t="str">
        <f>IF('1. Live'!CW396='check-Jul25'!CW396,"",'1. Live'!CW396-'check-Jul25'!CW396)</f>
        <v/>
      </c>
    </row>
    <row r="397" spans="10:101">
      <c r="J397" t="str">
        <f>IF('1. Live'!J397='check-Jul25'!J397,"",'1. Live'!J397-'check-Jul25'!J397)</f>
        <v/>
      </c>
      <c r="K397" t="str">
        <f>IF('1. Live'!K397='check-Jul25'!K397,"",'1. Live'!K397-'check-Jul25'!K397)</f>
        <v/>
      </c>
      <c r="L397" t="str">
        <f>IF('1. Live'!L397='check-Jul25'!L397,"",'1. Live'!L397-'check-Jul25'!L397)</f>
        <v/>
      </c>
      <c r="M397" t="str">
        <f>IF('1. Live'!M397='check-Jul25'!M397,"",'1. Live'!M397-'check-Jul25'!M397)</f>
        <v/>
      </c>
      <c r="N397" t="str">
        <f>IF('1. Live'!N397='check-Jul25'!N397,"",'1. Live'!N397-'check-Jul25'!N397)</f>
        <v/>
      </c>
      <c r="O397" t="str">
        <f>IF('1. Live'!O397='check-Jul25'!O397,"",'1. Live'!O397-'check-Jul25'!O397)</f>
        <v/>
      </c>
      <c r="P397" t="str">
        <f>IF('1. Live'!P397='check-Jul25'!P397,"",'1. Live'!P397-'check-Jul25'!P397)</f>
        <v/>
      </c>
      <c r="Q397" t="str">
        <f>IF('1. Live'!Q397='check-Jul25'!Q397,"",'1. Live'!Q397-'check-Jul25'!Q397)</f>
        <v/>
      </c>
      <c r="R397" t="str">
        <f>IF('1. Live'!R397='check-Jul25'!R397,"",'1. Live'!R397-'check-Jul25'!R397)</f>
        <v/>
      </c>
      <c r="S397" t="str">
        <f>IF('1. Live'!S397='check-Jul25'!S397,"",'1. Live'!S397-'check-Jul25'!S397)</f>
        <v/>
      </c>
      <c r="T397" t="str">
        <f>IF('1. Live'!T397='check-Jul25'!T397,"",'1. Live'!T397-'check-Jul25'!T397)</f>
        <v/>
      </c>
      <c r="U397" t="str">
        <f>IF('1. Live'!U397='check-Jul25'!U397,"",'1. Live'!U397-'check-Jul25'!U397)</f>
        <v/>
      </c>
      <c r="V397" t="str">
        <f>IF('1. Live'!V397='check-Jul25'!V397,"",'1. Live'!V397-'check-Jul25'!V397)</f>
        <v/>
      </c>
      <c r="W397" t="str">
        <f>IF('1. Live'!W397='check-Jul25'!W397,"",'1. Live'!W397-'check-Jul25'!W397)</f>
        <v/>
      </c>
      <c r="X397" t="str">
        <f>IF('1. Live'!X397='check-Jul25'!X397,"",'1. Live'!X397-'check-Jul25'!X397)</f>
        <v/>
      </c>
      <c r="Y397" t="str">
        <f>IF('1. Live'!Y397='check-Jul25'!Y397,"",'1. Live'!Y397-'check-Jul25'!Y397)</f>
        <v/>
      </c>
      <c r="Z397" t="str">
        <f>IF('1. Live'!Z397='check-Jul25'!Z397,"",'1. Live'!Z397-'check-Jul25'!Z397)</f>
        <v/>
      </c>
      <c r="AA397" t="str">
        <f>IF('1. Live'!AA397='check-Jul25'!AA397,"",'1. Live'!AA397-'check-Jul25'!AA397)</f>
        <v/>
      </c>
      <c r="AB397" t="str">
        <f>IF('1. Live'!AB397='check-Jul25'!AB397,"",'1. Live'!AB397-'check-Jul25'!AB397)</f>
        <v/>
      </c>
      <c r="AC397" t="str">
        <f>IF('1. Live'!AC397='check-Jul25'!AC397,"",'1. Live'!AC397-'check-Jul25'!AC397)</f>
        <v/>
      </c>
      <c r="AD397" t="str">
        <f>IF('1. Live'!AD397='check-Jul25'!AD397,"",'1. Live'!AD397-'check-Jul25'!AD397)</f>
        <v/>
      </c>
      <c r="AE397" t="str">
        <f>IF('1. Live'!AE397='check-Jul25'!AE397,"",'1. Live'!AE397-'check-Jul25'!AE397)</f>
        <v/>
      </c>
      <c r="AF397" t="str">
        <f>IF('1. Live'!AF397='check-Jul25'!AF397,"",'1. Live'!AF397-'check-Jul25'!AF397)</f>
        <v/>
      </c>
      <c r="AG397" t="str">
        <f>IF('1. Live'!AG397='check-Jul25'!AG397,"",'1. Live'!AG397-'check-Jul25'!AG397)</f>
        <v/>
      </c>
      <c r="AH397" t="str">
        <f>IF('1. Live'!AH397='check-Jul25'!AH397,"",'1. Live'!AH397-'check-Jul25'!AH397)</f>
        <v/>
      </c>
      <c r="AI397" t="str">
        <f>IF('1. Live'!AI397='check-Jul25'!AI397,"",'1. Live'!AI397-'check-Jul25'!AI397)</f>
        <v/>
      </c>
      <c r="AJ397" t="str">
        <f>IF('1. Live'!AJ397='check-Jul25'!AJ397,"",'1. Live'!AJ397-'check-Jul25'!AJ397)</f>
        <v/>
      </c>
      <c r="AK397" t="str">
        <f>IF('1. Live'!AK397='check-Jul25'!AK397,"",'1. Live'!AK397-'check-Jul25'!AK397)</f>
        <v/>
      </c>
      <c r="AL397" t="str">
        <f>IF('1. Live'!AL397='check-Jul25'!AL397,"",'1. Live'!AL397-'check-Jul25'!AL397)</f>
        <v/>
      </c>
      <c r="AM397" t="str">
        <f>IF('1. Live'!AM397='check-Jul25'!AM397,"",'1. Live'!AM397-'check-Jul25'!AM397)</f>
        <v/>
      </c>
      <c r="AN397" t="str">
        <f>IF('1. Live'!AN397='check-Jul25'!AN397,"",'1. Live'!AN397-'check-Jul25'!AN397)</f>
        <v/>
      </c>
      <c r="AO397" t="str">
        <f>IF('1. Live'!AO397='check-Jul25'!AO397,"",'1. Live'!AO397-'check-Jul25'!AO397)</f>
        <v/>
      </c>
      <c r="AP397" t="str">
        <f>IF('1. Live'!AP397='check-Jul25'!AP397,"",'1. Live'!AP397-'check-Jul25'!AP397)</f>
        <v/>
      </c>
      <c r="AQ397" t="str">
        <f>IF('1. Live'!AQ397='check-Jul25'!AQ397,"",'1. Live'!AQ397-'check-Jul25'!AQ397)</f>
        <v/>
      </c>
      <c r="AR397" t="str">
        <f>IF('1. Live'!AR397='check-Jul25'!AR397,"",'1. Live'!AR397-'check-Jul25'!AR397)</f>
        <v/>
      </c>
      <c r="AS397" t="str">
        <f>IF('1. Live'!AS397='check-Jul25'!AS397,"",'1. Live'!AS397-'check-Jul25'!AS397)</f>
        <v/>
      </c>
      <c r="AT397" t="str">
        <f>IF('1. Live'!AT397='check-Jul25'!AT397,"",'1. Live'!AT397-'check-Jul25'!AT397)</f>
        <v/>
      </c>
      <c r="AU397" t="str">
        <f>IF('1. Live'!AU397='check-Jul25'!AU397,"",'1. Live'!AU397-'check-Jul25'!AU397)</f>
        <v/>
      </c>
      <c r="AV397" t="str">
        <f>IF('1. Live'!AV397='check-Jul25'!AV397,"",'1. Live'!AV397-'check-Jul25'!AV397)</f>
        <v/>
      </c>
      <c r="AW397" t="str">
        <f>IF('1. Live'!AW397='check-Jul25'!AW397,"",'1. Live'!AW397-'check-Jul25'!AW397)</f>
        <v/>
      </c>
      <c r="AX397" t="str">
        <f>IF('1. Live'!AX397='check-Jul25'!AX397,"",'1. Live'!AX397-'check-Jul25'!AX397)</f>
        <v/>
      </c>
      <c r="AY397" t="str">
        <f>IF('1. Live'!AY397='check-Jul25'!AY397,"",'1. Live'!AY397-'check-Jul25'!AY397)</f>
        <v/>
      </c>
      <c r="AZ397" t="str">
        <f>IF('1. Live'!AZ397='check-Jul25'!AZ397,"",'1. Live'!AZ397-'check-Jul25'!AZ397)</f>
        <v/>
      </c>
      <c r="BA397" t="str">
        <f>IF('1. Live'!BA397='check-Jul25'!BA397,"",'1. Live'!BA397-'check-Jul25'!BA397)</f>
        <v/>
      </c>
      <c r="BB397" t="str">
        <f>IF('1. Live'!BB397='check-Jul25'!BB397,"",'1. Live'!BB397-'check-Jul25'!BB397)</f>
        <v/>
      </c>
      <c r="BC397" t="str">
        <f>IF('1. Live'!BC397='check-Jul25'!BC397,"",'1. Live'!BC397-'check-Jul25'!BC397)</f>
        <v/>
      </c>
      <c r="BD397" t="str">
        <f>IF('1. Live'!BD397='check-Jul25'!BD397,"",'1. Live'!BD397-'check-Jul25'!BD397)</f>
        <v/>
      </c>
      <c r="BE397" t="str">
        <f>IF('1. Live'!BE397='check-Jul25'!BE397,"",'1. Live'!BE397-'check-Jul25'!BE397)</f>
        <v/>
      </c>
      <c r="BF397" t="str">
        <f>IF('1. Live'!BF397='check-Jul25'!BF397,"",'1. Live'!BF397-'check-Jul25'!BF397)</f>
        <v/>
      </c>
      <c r="BG397" t="str">
        <f>IF('1. Live'!BG397='check-Jul25'!BG397,"",'1. Live'!BG397-'check-Jul25'!BG397)</f>
        <v/>
      </c>
      <c r="BH397" t="str">
        <f>IF('1. Live'!BH397='check-Jul25'!BH397,"",'1. Live'!BH397-'check-Jul25'!BH397)</f>
        <v/>
      </c>
      <c r="BI397" t="str">
        <f>IF('1. Live'!BI397='check-Jul25'!BI397,"",'1. Live'!BI397-'check-Jul25'!BI397)</f>
        <v/>
      </c>
      <c r="BJ397" t="str">
        <f>IF('1. Live'!BJ397='check-Jul25'!BJ397,"",'1. Live'!BJ397-'check-Jul25'!BJ397)</f>
        <v/>
      </c>
      <c r="BK397" t="str">
        <f>IF('1. Live'!BK397='check-Jul25'!BK397,"",'1. Live'!BK397-'check-Jul25'!BK397)</f>
        <v/>
      </c>
      <c r="BL397" t="str">
        <f>IF('1. Live'!BL397='check-Jul25'!BL397,"",'1. Live'!BL397-'check-Jul25'!BL397)</f>
        <v/>
      </c>
      <c r="BM397" t="str">
        <f>IF('1. Live'!BM397='check-Jul25'!BM397,"",'1. Live'!BM397-'check-Jul25'!BM397)</f>
        <v/>
      </c>
      <c r="BN397" t="str">
        <f>IF('1. Live'!BN397='check-Jul25'!BN397,"",'1. Live'!BN397-'check-Jul25'!BN397)</f>
        <v/>
      </c>
      <c r="BO397" t="str">
        <f>IF('1. Live'!BO397='check-Jul25'!BO397,"",'1. Live'!BO397-'check-Jul25'!BO397)</f>
        <v/>
      </c>
      <c r="BP397" t="str">
        <f>IF('1. Live'!BP397='check-Jul25'!BP397,"",'1. Live'!BP397-'check-Jul25'!BP397)</f>
        <v/>
      </c>
      <c r="BQ397" t="str">
        <f>IF('1. Live'!BQ397='check-Jul25'!BQ397,"",'1. Live'!BQ397-'check-Jul25'!BQ397)</f>
        <v/>
      </c>
      <c r="BR397" t="str">
        <f>IF('1. Live'!BR397='check-Jul25'!BR397,"",'1. Live'!BR397-'check-Jul25'!BR397)</f>
        <v/>
      </c>
      <c r="BS397" t="str">
        <f>IF('1. Live'!BS397='check-Jul25'!BS397,"",'1. Live'!BS397-'check-Jul25'!BS397)</f>
        <v/>
      </c>
      <c r="BT397" t="str">
        <f>IF('1. Live'!BT397='check-Jul25'!BT397,"",'1. Live'!BT397-'check-Jul25'!BT397)</f>
        <v/>
      </c>
      <c r="BU397" t="str">
        <f>IF('1. Live'!BU397='check-Jul25'!BU397,"",'1. Live'!BU397-'check-Jul25'!BU397)</f>
        <v/>
      </c>
      <c r="BV397" t="str">
        <f>IF('1. Live'!BV397='check-Jul25'!BV397,"",'1. Live'!BV397-'check-Jul25'!BV397)</f>
        <v/>
      </c>
      <c r="BW397" t="str">
        <f>IF('1. Live'!BW397='check-Jul25'!BW397,"",'1. Live'!BW397-'check-Jul25'!BW397)</f>
        <v/>
      </c>
      <c r="BX397" t="str">
        <f>IF('1. Live'!BX397='check-Jul25'!BX397,"",'1. Live'!BX397-'check-Jul25'!BX397)</f>
        <v/>
      </c>
      <c r="BY397" t="str">
        <f>IF('1. Live'!BY397='check-Jul25'!BY397,"",'1. Live'!BY397-'check-Jul25'!BY397)</f>
        <v/>
      </c>
      <c r="BZ397" t="str">
        <f>IF('1. Live'!BZ397='check-Jul25'!BZ397,"",'1. Live'!BZ397-'check-Jul25'!BZ397)</f>
        <v/>
      </c>
      <c r="CA397" t="str">
        <f>IF('1. Live'!CA397='check-Jul25'!CA397,"",'1. Live'!CA397-'check-Jul25'!CA397)</f>
        <v/>
      </c>
      <c r="CB397" t="str">
        <f>IF('1. Live'!CB397='check-Jul25'!CB397,"",'1. Live'!CB397-'check-Jul25'!CB397)</f>
        <v/>
      </c>
      <c r="CC397" t="str">
        <f>IF('1. Live'!CC397='check-Jul25'!CC397,"",'1. Live'!CC397-'check-Jul25'!CC397)</f>
        <v/>
      </c>
      <c r="CD397" t="str">
        <f>IF('1. Live'!CD397='check-Jul25'!CD397,"",'1. Live'!CD397-'check-Jul25'!CD397)</f>
        <v/>
      </c>
      <c r="CE397" t="str">
        <f>IF('1. Live'!CE397='check-Jul25'!CE397,"",'1. Live'!CE397-'check-Jul25'!CE397)</f>
        <v/>
      </c>
      <c r="CF397" t="str">
        <f>IF('1. Live'!CF397='check-Jul25'!CF397,"",'1. Live'!CF397-'check-Jul25'!CF397)</f>
        <v/>
      </c>
      <c r="CG397" t="str">
        <f>IF('1. Live'!CG397='check-Jul25'!CG397,"",'1. Live'!CG397-'check-Jul25'!CG397)</f>
        <v/>
      </c>
      <c r="CH397" t="str">
        <f>IF('1. Live'!CH397='check-Jul25'!CH397,"",'1. Live'!CH397-'check-Jul25'!CH397)</f>
        <v/>
      </c>
      <c r="CI397" t="str">
        <f>IF('1. Live'!CI397='check-Jul25'!CI397,"",'1. Live'!CI397-'check-Jul25'!CI397)</f>
        <v/>
      </c>
      <c r="CJ397" t="str">
        <f>IF('1. Live'!CJ397='check-Jul25'!CJ397,"",'1. Live'!CJ397-'check-Jul25'!CJ397)</f>
        <v/>
      </c>
      <c r="CK397" t="str">
        <f>IF('1. Live'!CK397='check-Jul25'!CK397,"",'1. Live'!CK397-'check-Jul25'!CK397)</f>
        <v/>
      </c>
      <c r="CL397" t="str">
        <f>IF('1. Live'!CL397='check-Jul25'!CL397,"",'1. Live'!CL397-'check-Jul25'!CL397)</f>
        <v/>
      </c>
      <c r="CM397" t="str">
        <f>IF('1. Live'!CM397='check-Jul25'!CM397,"",'1. Live'!CM397-'check-Jul25'!CM397)</f>
        <v/>
      </c>
      <c r="CN397" t="str">
        <f>IF('1. Live'!CN397='check-Jul25'!CN397,"",'1. Live'!CN397-'check-Jul25'!CN397)</f>
        <v/>
      </c>
      <c r="CO397" t="str">
        <f>IF('1. Live'!CO397='check-Jul25'!CO397,"",'1. Live'!CO397-'check-Jul25'!CO397)</f>
        <v/>
      </c>
      <c r="CP397" t="str">
        <f>IF('1. Live'!CP397='check-Jul25'!CP397,"",'1. Live'!CP397-'check-Jul25'!CP397)</f>
        <v/>
      </c>
      <c r="CQ397" t="str">
        <f>IF('1. Live'!CQ397='check-Jul25'!CQ397,"",'1. Live'!CQ397-'check-Jul25'!CQ397)</f>
        <v/>
      </c>
      <c r="CR397" t="str">
        <f>IF('1. Live'!CR397='check-Jul25'!CR397,"",'1. Live'!CR397-'check-Jul25'!CR397)</f>
        <v/>
      </c>
      <c r="CS397" t="str">
        <f>IF('1. Live'!CS397='check-Jul25'!CS397,"",'1. Live'!CS397-'check-Jul25'!CS397)</f>
        <v/>
      </c>
      <c r="CT397" t="str">
        <f>IF('1. Live'!CT397='check-Jul25'!CT397,"",'1. Live'!CT397-'check-Jul25'!CT397)</f>
        <v/>
      </c>
      <c r="CU397" t="str">
        <f>IF('1. Live'!CU397='check-Jul25'!CU397,"",'1. Live'!CU397-'check-Jul25'!CU397)</f>
        <v/>
      </c>
      <c r="CV397" t="str">
        <f>IF('1. Live'!CV397='check-Jul25'!CV397,"",'1. Live'!CV397-'check-Jul25'!CV397)</f>
        <v/>
      </c>
      <c r="CW397" t="str">
        <f>IF('1. Live'!CW397='check-Jul25'!CW397,"",'1. Live'!CW397-'check-Jul25'!CW397)</f>
        <v/>
      </c>
    </row>
    <row r="398" spans="10:101">
      <c r="J398" t="str">
        <f>IF('1. Live'!J398='check-Jul25'!J398,"",'1. Live'!J398-'check-Jul25'!J398)</f>
        <v/>
      </c>
      <c r="K398" t="str">
        <f>IF('1. Live'!K398='check-Jul25'!K398,"",'1. Live'!K398-'check-Jul25'!K398)</f>
        <v/>
      </c>
      <c r="L398" t="str">
        <f>IF('1. Live'!L398='check-Jul25'!L398,"",'1. Live'!L398-'check-Jul25'!L398)</f>
        <v/>
      </c>
      <c r="M398" t="str">
        <f>IF('1. Live'!M398='check-Jul25'!M398,"",'1. Live'!M398-'check-Jul25'!M398)</f>
        <v/>
      </c>
      <c r="N398" t="str">
        <f>IF('1. Live'!N398='check-Jul25'!N398,"",'1. Live'!N398-'check-Jul25'!N398)</f>
        <v/>
      </c>
      <c r="O398" t="str">
        <f>IF('1. Live'!O398='check-Jul25'!O398,"",'1. Live'!O398-'check-Jul25'!O398)</f>
        <v/>
      </c>
      <c r="P398" t="str">
        <f>IF('1. Live'!P398='check-Jul25'!P398,"",'1. Live'!P398-'check-Jul25'!P398)</f>
        <v/>
      </c>
      <c r="Q398" t="str">
        <f>IF('1. Live'!Q398='check-Jul25'!Q398,"",'1. Live'!Q398-'check-Jul25'!Q398)</f>
        <v/>
      </c>
      <c r="R398" t="str">
        <f>IF('1. Live'!R398='check-Jul25'!R398,"",'1. Live'!R398-'check-Jul25'!R398)</f>
        <v/>
      </c>
      <c r="S398" t="str">
        <f>IF('1. Live'!S398='check-Jul25'!S398,"",'1. Live'!S398-'check-Jul25'!S398)</f>
        <v/>
      </c>
      <c r="T398" t="str">
        <f>IF('1. Live'!T398='check-Jul25'!T398,"",'1. Live'!T398-'check-Jul25'!T398)</f>
        <v/>
      </c>
      <c r="U398" t="str">
        <f>IF('1. Live'!U398='check-Jul25'!U398,"",'1. Live'!U398-'check-Jul25'!U398)</f>
        <v/>
      </c>
      <c r="V398" t="str">
        <f>IF('1. Live'!V398='check-Jul25'!V398,"",'1. Live'!V398-'check-Jul25'!V398)</f>
        <v/>
      </c>
      <c r="W398" t="str">
        <f>IF('1. Live'!W398='check-Jul25'!W398,"",'1. Live'!W398-'check-Jul25'!W398)</f>
        <v/>
      </c>
      <c r="X398" t="str">
        <f>IF('1. Live'!X398='check-Jul25'!X398,"",'1. Live'!X398-'check-Jul25'!X398)</f>
        <v/>
      </c>
      <c r="Y398" t="str">
        <f>IF('1. Live'!Y398='check-Jul25'!Y398,"",'1. Live'!Y398-'check-Jul25'!Y398)</f>
        <v/>
      </c>
      <c r="Z398" t="str">
        <f>IF('1. Live'!Z398='check-Jul25'!Z398,"",'1. Live'!Z398-'check-Jul25'!Z398)</f>
        <v/>
      </c>
      <c r="AA398" t="str">
        <f>IF('1. Live'!AA398='check-Jul25'!AA398,"",'1. Live'!AA398-'check-Jul25'!AA398)</f>
        <v/>
      </c>
      <c r="AB398" t="str">
        <f>IF('1. Live'!AB398='check-Jul25'!AB398,"",'1. Live'!AB398-'check-Jul25'!AB398)</f>
        <v/>
      </c>
      <c r="AC398" t="str">
        <f>IF('1. Live'!AC398='check-Jul25'!AC398,"",'1. Live'!AC398-'check-Jul25'!AC398)</f>
        <v/>
      </c>
      <c r="AD398" t="str">
        <f>IF('1. Live'!AD398='check-Jul25'!AD398,"",'1. Live'!AD398-'check-Jul25'!AD398)</f>
        <v/>
      </c>
      <c r="AE398" t="str">
        <f>IF('1. Live'!AE398='check-Jul25'!AE398,"",'1. Live'!AE398-'check-Jul25'!AE398)</f>
        <v/>
      </c>
      <c r="AF398" t="str">
        <f>IF('1. Live'!AF398='check-Jul25'!AF398,"",'1. Live'!AF398-'check-Jul25'!AF398)</f>
        <v/>
      </c>
      <c r="AG398" t="str">
        <f>IF('1. Live'!AG398='check-Jul25'!AG398,"",'1. Live'!AG398-'check-Jul25'!AG398)</f>
        <v/>
      </c>
      <c r="AH398" t="str">
        <f>IF('1. Live'!AH398='check-Jul25'!AH398,"",'1. Live'!AH398-'check-Jul25'!AH398)</f>
        <v/>
      </c>
      <c r="AI398" t="str">
        <f>IF('1. Live'!AI398='check-Jul25'!AI398,"",'1. Live'!AI398-'check-Jul25'!AI398)</f>
        <v/>
      </c>
      <c r="AJ398" t="str">
        <f>IF('1. Live'!AJ398='check-Jul25'!AJ398,"",'1. Live'!AJ398-'check-Jul25'!AJ398)</f>
        <v/>
      </c>
      <c r="AK398" t="str">
        <f>IF('1. Live'!AK398='check-Jul25'!AK398,"",'1. Live'!AK398-'check-Jul25'!AK398)</f>
        <v/>
      </c>
      <c r="AL398" t="str">
        <f>IF('1. Live'!AL398='check-Jul25'!AL398,"",'1. Live'!AL398-'check-Jul25'!AL398)</f>
        <v/>
      </c>
      <c r="AM398" t="str">
        <f>IF('1. Live'!AM398='check-Jul25'!AM398,"",'1. Live'!AM398-'check-Jul25'!AM398)</f>
        <v/>
      </c>
      <c r="AN398" t="str">
        <f>IF('1. Live'!AN398='check-Jul25'!AN398,"",'1. Live'!AN398-'check-Jul25'!AN398)</f>
        <v/>
      </c>
      <c r="AO398" t="str">
        <f>IF('1. Live'!AO398='check-Jul25'!AO398,"",'1. Live'!AO398-'check-Jul25'!AO398)</f>
        <v/>
      </c>
      <c r="AP398" t="str">
        <f>IF('1. Live'!AP398='check-Jul25'!AP398,"",'1. Live'!AP398-'check-Jul25'!AP398)</f>
        <v/>
      </c>
      <c r="AQ398" t="str">
        <f>IF('1. Live'!AQ398='check-Jul25'!AQ398,"",'1. Live'!AQ398-'check-Jul25'!AQ398)</f>
        <v/>
      </c>
      <c r="AR398" t="str">
        <f>IF('1. Live'!AR398='check-Jul25'!AR398,"",'1. Live'!AR398-'check-Jul25'!AR398)</f>
        <v/>
      </c>
      <c r="AS398" t="str">
        <f>IF('1. Live'!AS398='check-Jul25'!AS398,"",'1. Live'!AS398-'check-Jul25'!AS398)</f>
        <v/>
      </c>
      <c r="AT398" t="str">
        <f>IF('1. Live'!AT398='check-Jul25'!AT398,"",'1. Live'!AT398-'check-Jul25'!AT398)</f>
        <v/>
      </c>
      <c r="AU398" t="str">
        <f>IF('1. Live'!AU398='check-Jul25'!AU398,"",'1. Live'!AU398-'check-Jul25'!AU398)</f>
        <v/>
      </c>
      <c r="AV398" t="str">
        <f>IF('1. Live'!AV398='check-Jul25'!AV398,"",'1. Live'!AV398-'check-Jul25'!AV398)</f>
        <v/>
      </c>
      <c r="AW398" t="str">
        <f>IF('1. Live'!AW398='check-Jul25'!AW398,"",'1. Live'!AW398-'check-Jul25'!AW398)</f>
        <v/>
      </c>
      <c r="AX398" t="str">
        <f>IF('1. Live'!AX398='check-Jul25'!AX398,"",'1. Live'!AX398-'check-Jul25'!AX398)</f>
        <v/>
      </c>
      <c r="AY398" t="str">
        <f>IF('1. Live'!AY398='check-Jul25'!AY398,"",'1. Live'!AY398-'check-Jul25'!AY398)</f>
        <v/>
      </c>
      <c r="AZ398" t="str">
        <f>IF('1. Live'!AZ398='check-Jul25'!AZ398,"",'1. Live'!AZ398-'check-Jul25'!AZ398)</f>
        <v/>
      </c>
      <c r="BA398" t="str">
        <f>IF('1. Live'!BA398='check-Jul25'!BA398,"",'1. Live'!BA398-'check-Jul25'!BA398)</f>
        <v/>
      </c>
      <c r="BB398" t="str">
        <f>IF('1. Live'!BB398='check-Jul25'!BB398,"",'1. Live'!BB398-'check-Jul25'!BB398)</f>
        <v/>
      </c>
      <c r="BC398" t="str">
        <f>IF('1. Live'!BC398='check-Jul25'!BC398,"",'1. Live'!BC398-'check-Jul25'!BC398)</f>
        <v/>
      </c>
      <c r="BD398" t="str">
        <f>IF('1. Live'!BD398='check-Jul25'!BD398,"",'1. Live'!BD398-'check-Jul25'!BD398)</f>
        <v/>
      </c>
      <c r="BE398" t="str">
        <f>IF('1. Live'!BE398='check-Jul25'!BE398,"",'1. Live'!BE398-'check-Jul25'!BE398)</f>
        <v/>
      </c>
      <c r="BF398" t="str">
        <f>IF('1. Live'!BF398='check-Jul25'!BF398,"",'1. Live'!BF398-'check-Jul25'!BF398)</f>
        <v/>
      </c>
      <c r="BG398" t="str">
        <f>IF('1. Live'!BG398='check-Jul25'!BG398,"",'1. Live'!BG398-'check-Jul25'!BG398)</f>
        <v/>
      </c>
      <c r="BH398" t="str">
        <f>IF('1. Live'!BH398='check-Jul25'!BH398,"",'1. Live'!BH398-'check-Jul25'!BH398)</f>
        <v/>
      </c>
      <c r="BI398" t="str">
        <f>IF('1. Live'!BI398='check-Jul25'!BI398,"",'1. Live'!BI398-'check-Jul25'!BI398)</f>
        <v/>
      </c>
      <c r="BJ398" t="str">
        <f>IF('1. Live'!BJ398='check-Jul25'!BJ398,"",'1. Live'!BJ398-'check-Jul25'!BJ398)</f>
        <v/>
      </c>
      <c r="BK398" t="str">
        <f>IF('1. Live'!BK398='check-Jul25'!BK398,"",'1. Live'!BK398-'check-Jul25'!BK398)</f>
        <v/>
      </c>
      <c r="BL398" t="str">
        <f>IF('1. Live'!BL398='check-Jul25'!BL398,"",'1. Live'!BL398-'check-Jul25'!BL398)</f>
        <v/>
      </c>
      <c r="BM398" t="str">
        <f>IF('1. Live'!BM398='check-Jul25'!BM398,"",'1. Live'!BM398-'check-Jul25'!BM398)</f>
        <v/>
      </c>
      <c r="BN398" t="str">
        <f>IF('1. Live'!BN398='check-Jul25'!BN398,"",'1. Live'!BN398-'check-Jul25'!BN398)</f>
        <v/>
      </c>
      <c r="BO398" t="str">
        <f>IF('1. Live'!BO398='check-Jul25'!BO398,"",'1. Live'!BO398-'check-Jul25'!BO398)</f>
        <v/>
      </c>
      <c r="BP398" t="str">
        <f>IF('1. Live'!BP398='check-Jul25'!BP398,"",'1. Live'!BP398-'check-Jul25'!BP398)</f>
        <v/>
      </c>
      <c r="BQ398" t="str">
        <f>IF('1. Live'!BQ398='check-Jul25'!BQ398,"",'1. Live'!BQ398-'check-Jul25'!BQ398)</f>
        <v/>
      </c>
      <c r="BR398" t="str">
        <f>IF('1. Live'!BR398='check-Jul25'!BR398,"",'1. Live'!BR398-'check-Jul25'!BR398)</f>
        <v/>
      </c>
      <c r="BS398" t="str">
        <f>IF('1. Live'!BS398='check-Jul25'!BS398,"",'1. Live'!BS398-'check-Jul25'!BS398)</f>
        <v/>
      </c>
      <c r="BT398" t="str">
        <f>IF('1. Live'!BT398='check-Jul25'!BT398,"",'1. Live'!BT398-'check-Jul25'!BT398)</f>
        <v/>
      </c>
      <c r="BU398" t="str">
        <f>IF('1. Live'!BU398='check-Jul25'!BU398,"",'1. Live'!BU398-'check-Jul25'!BU398)</f>
        <v/>
      </c>
      <c r="BV398" t="str">
        <f>IF('1. Live'!BV398='check-Jul25'!BV398,"",'1. Live'!BV398-'check-Jul25'!BV398)</f>
        <v/>
      </c>
      <c r="BW398" t="str">
        <f>IF('1. Live'!BW398='check-Jul25'!BW398,"",'1. Live'!BW398-'check-Jul25'!BW398)</f>
        <v/>
      </c>
      <c r="BX398" t="str">
        <f>IF('1. Live'!BX398='check-Jul25'!BX398,"",'1. Live'!BX398-'check-Jul25'!BX398)</f>
        <v/>
      </c>
      <c r="BY398" t="str">
        <f>IF('1. Live'!BY398='check-Jul25'!BY398,"",'1. Live'!BY398-'check-Jul25'!BY398)</f>
        <v/>
      </c>
      <c r="BZ398" t="str">
        <f>IF('1. Live'!BZ398='check-Jul25'!BZ398,"",'1. Live'!BZ398-'check-Jul25'!BZ398)</f>
        <v/>
      </c>
      <c r="CA398" t="str">
        <f>IF('1. Live'!CA398='check-Jul25'!CA398,"",'1. Live'!CA398-'check-Jul25'!CA398)</f>
        <v/>
      </c>
      <c r="CB398" t="str">
        <f>IF('1. Live'!CB398='check-Jul25'!CB398,"",'1. Live'!CB398-'check-Jul25'!CB398)</f>
        <v/>
      </c>
      <c r="CC398" t="str">
        <f>IF('1. Live'!CC398='check-Jul25'!CC398,"",'1. Live'!CC398-'check-Jul25'!CC398)</f>
        <v/>
      </c>
      <c r="CD398" t="str">
        <f>IF('1. Live'!CD398='check-Jul25'!CD398,"",'1. Live'!CD398-'check-Jul25'!CD398)</f>
        <v/>
      </c>
      <c r="CE398" t="str">
        <f>IF('1. Live'!CE398='check-Jul25'!CE398,"",'1. Live'!CE398-'check-Jul25'!CE398)</f>
        <v/>
      </c>
      <c r="CF398" t="str">
        <f>IF('1. Live'!CF398='check-Jul25'!CF398,"",'1. Live'!CF398-'check-Jul25'!CF398)</f>
        <v/>
      </c>
      <c r="CG398" t="str">
        <f>IF('1. Live'!CG398='check-Jul25'!CG398,"",'1. Live'!CG398-'check-Jul25'!CG398)</f>
        <v/>
      </c>
      <c r="CH398" t="str">
        <f>IF('1. Live'!CH398='check-Jul25'!CH398,"",'1. Live'!CH398-'check-Jul25'!CH398)</f>
        <v/>
      </c>
      <c r="CI398" t="str">
        <f>IF('1. Live'!CI398='check-Jul25'!CI398,"",'1. Live'!CI398-'check-Jul25'!CI398)</f>
        <v/>
      </c>
      <c r="CJ398" t="str">
        <f>IF('1. Live'!CJ398='check-Jul25'!CJ398,"",'1. Live'!CJ398-'check-Jul25'!CJ398)</f>
        <v/>
      </c>
      <c r="CK398" t="str">
        <f>IF('1. Live'!CK398='check-Jul25'!CK398,"",'1. Live'!CK398-'check-Jul25'!CK398)</f>
        <v/>
      </c>
      <c r="CL398" t="str">
        <f>IF('1. Live'!CL398='check-Jul25'!CL398,"",'1. Live'!CL398-'check-Jul25'!CL398)</f>
        <v/>
      </c>
      <c r="CM398" t="str">
        <f>IF('1. Live'!CM398='check-Jul25'!CM398,"",'1. Live'!CM398-'check-Jul25'!CM398)</f>
        <v/>
      </c>
      <c r="CN398" t="str">
        <f>IF('1. Live'!CN398='check-Jul25'!CN398,"",'1. Live'!CN398-'check-Jul25'!CN398)</f>
        <v/>
      </c>
      <c r="CO398" t="str">
        <f>IF('1. Live'!CO398='check-Jul25'!CO398,"",'1. Live'!CO398-'check-Jul25'!CO398)</f>
        <v/>
      </c>
      <c r="CP398" t="str">
        <f>IF('1. Live'!CP398='check-Jul25'!CP398,"",'1. Live'!CP398-'check-Jul25'!CP398)</f>
        <v/>
      </c>
      <c r="CQ398" t="str">
        <f>IF('1. Live'!CQ398='check-Jul25'!CQ398,"",'1. Live'!CQ398-'check-Jul25'!CQ398)</f>
        <v/>
      </c>
      <c r="CR398" t="str">
        <f>IF('1. Live'!CR398='check-Jul25'!CR398,"",'1. Live'!CR398-'check-Jul25'!CR398)</f>
        <v/>
      </c>
      <c r="CS398" t="str">
        <f>IF('1. Live'!CS398='check-Jul25'!CS398,"",'1. Live'!CS398-'check-Jul25'!CS398)</f>
        <v/>
      </c>
      <c r="CT398" t="str">
        <f>IF('1. Live'!CT398='check-Jul25'!CT398,"",'1. Live'!CT398-'check-Jul25'!CT398)</f>
        <v/>
      </c>
      <c r="CU398" t="str">
        <f>IF('1. Live'!CU398='check-Jul25'!CU398,"",'1. Live'!CU398-'check-Jul25'!CU398)</f>
        <v/>
      </c>
      <c r="CV398" t="str">
        <f>IF('1. Live'!CV398='check-Jul25'!CV398,"",'1. Live'!CV398-'check-Jul25'!CV398)</f>
        <v/>
      </c>
      <c r="CW398" t="str">
        <f>IF('1. Live'!CW398='check-Jul25'!CW398,"",'1. Live'!CW398-'check-Jul25'!CW398)</f>
        <v/>
      </c>
    </row>
    <row r="399" spans="10:101">
      <c r="J399" t="str">
        <f>IF('1. Live'!J399='check-Jul25'!J399,"",'1. Live'!J399-'check-Jul25'!J399)</f>
        <v/>
      </c>
      <c r="K399" t="str">
        <f>IF('1. Live'!K399='check-Jul25'!K399,"",'1. Live'!K399-'check-Jul25'!K399)</f>
        <v/>
      </c>
      <c r="L399" t="str">
        <f>IF('1. Live'!L399='check-Jul25'!L399,"",'1. Live'!L399-'check-Jul25'!L399)</f>
        <v/>
      </c>
      <c r="M399" t="str">
        <f>IF('1. Live'!M399='check-Jul25'!M399,"",'1. Live'!M399-'check-Jul25'!M399)</f>
        <v/>
      </c>
      <c r="N399" t="str">
        <f>IF('1. Live'!N399='check-Jul25'!N399,"",'1. Live'!N399-'check-Jul25'!N399)</f>
        <v/>
      </c>
      <c r="O399" t="str">
        <f>IF('1. Live'!O399='check-Jul25'!O399,"",'1. Live'!O399-'check-Jul25'!O399)</f>
        <v/>
      </c>
      <c r="P399" t="str">
        <f>IF('1. Live'!P399='check-Jul25'!P399,"",'1. Live'!P399-'check-Jul25'!P399)</f>
        <v/>
      </c>
      <c r="Q399" t="str">
        <f>IF('1. Live'!Q399='check-Jul25'!Q399,"",'1. Live'!Q399-'check-Jul25'!Q399)</f>
        <v/>
      </c>
      <c r="R399" t="str">
        <f>IF('1. Live'!R399='check-Jul25'!R399,"",'1. Live'!R399-'check-Jul25'!R399)</f>
        <v/>
      </c>
      <c r="S399" t="str">
        <f>IF('1. Live'!S399='check-Jul25'!S399,"",'1. Live'!S399-'check-Jul25'!S399)</f>
        <v/>
      </c>
      <c r="T399" t="str">
        <f>IF('1. Live'!T399='check-Jul25'!T399,"",'1. Live'!T399-'check-Jul25'!T399)</f>
        <v/>
      </c>
      <c r="U399" t="str">
        <f>IF('1. Live'!U399='check-Jul25'!U399,"",'1. Live'!U399-'check-Jul25'!U399)</f>
        <v/>
      </c>
      <c r="V399" t="str">
        <f>IF('1. Live'!V399='check-Jul25'!V399,"",'1. Live'!V399-'check-Jul25'!V399)</f>
        <v/>
      </c>
      <c r="W399" t="str">
        <f>IF('1. Live'!W399='check-Jul25'!W399,"",'1. Live'!W399-'check-Jul25'!W399)</f>
        <v/>
      </c>
      <c r="X399" t="str">
        <f>IF('1. Live'!X399='check-Jul25'!X399,"",'1. Live'!X399-'check-Jul25'!X399)</f>
        <v/>
      </c>
      <c r="Y399" t="str">
        <f>IF('1. Live'!Y399='check-Jul25'!Y399,"",'1. Live'!Y399-'check-Jul25'!Y399)</f>
        <v/>
      </c>
      <c r="Z399" t="str">
        <f>IF('1. Live'!Z399='check-Jul25'!Z399,"",'1. Live'!Z399-'check-Jul25'!Z399)</f>
        <v/>
      </c>
      <c r="AA399" t="str">
        <f>IF('1. Live'!AA399='check-Jul25'!AA399,"",'1. Live'!AA399-'check-Jul25'!AA399)</f>
        <v/>
      </c>
      <c r="AB399" t="str">
        <f>IF('1. Live'!AB399='check-Jul25'!AB399,"",'1. Live'!AB399-'check-Jul25'!AB399)</f>
        <v/>
      </c>
      <c r="AC399" t="str">
        <f>IF('1. Live'!AC399='check-Jul25'!AC399,"",'1. Live'!AC399-'check-Jul25'!AC399)</f>
        <v/>
      </c>
      <c r="AD399" t="str">
        <f>IF('1. Live'!AD399='check-Jul25'!AD399,"",'1. Live'!AD399-'check-Jul25'!AD399)</f>
        <v/>
      </c>
      <c r="AE399" t="str">
        <f>IF('1. Live'!AE399='check-Jul25'!AE399,"",'1. Live'!AE399-'check-Jul25'!AE399)</f>
        <v/>
      </c>
      <c r="AF399" t="str">
        <f>IF('1. Live'!AF399='check-Jul25'!AF399,"",'1. Live'!AF399-'check-Jul25'!AF399)</f>
        <v/>
      </c>
      <c r="AG399" t="str">
        <f>IF('1. Live'!AG399='check-Jul25'!AG399,"",'1. Live'!AG399-'check-Jul25'!AG399)</f>
        <v/>
      </c>
      <c r="AH399" t="str">
        <f>IF('1. Live'!AH399='check-Jul25'!AH399,"",'1. Live'!AH399-'check-Jul25'!AH399)</f>
        <v/>
      </c>
      <c r="AI399" t="str">
        <f>IF('1. Live'!AI399='check-Jul25'!AI399,"",'1. Live'!AI399-'check-Jul25'!AI399)</f>
        <v/>
      </c>
      <c r="AJ399" t="str">
        <f>IF('1. Live'!AJ399='check-Jul25'!AJ399,"",'1. Live'!AJ399-'check-Jul25'!AJ399)</f>
        <v/>
      </c>
      <c r="AK399" t="str">
        <f>IF('1. Live'!AK399='check-Jul25'!AK399,"",'1. Live'!AK399-'check-Jul25'!AK399)</f>
        <v/>
      </c>
      <c r="AL399" t="str">
        <f>IF('1. Live'!AL399='check-Jul25'!AL399,"",'1. Live'!AL399-'check-Jul25'!AL399)</f>
        <v/>
      </c>
      <c r="AM399" t="str">
        <f>IF('1. Live'!AM399='check-Jul25'!AM399,"",'1. Live'!AM399-'check-Jul25'!AM399)</f>
        <v/>
      </c>
      <c r="AN399" t="str">
        <f>IF('1. Live'!AN399='check-Jul25'!AN399,"",'1. Live'!AN399-'check-Jul25'!AN399)</f>
        <v/>
      </c>
      <c r="AO399" t="str">
        <f>IF('1. Live'!AO399='check-Jul25'!AO399,"",'1. Live'!AO399-'check-Jul25'!AO399)</f>
        <v/>
      </c>
      <c r="AP399" t="str">
        <f>IF('1. Live'!AP399='check-Jul25'!AP399,"",'1. Live'!AP399-'check-Jul25'!AP399)</f>
        <v/>
      </c>
      <c r="AQ399" t="str">
        <f>IF('1. Live'!AQ399='check-Jul25'!AQ399,"",'1. Live'!AQ399-'check-Jul25'!AQ399)</f>
        <v/>
      </c>
      <c r="AR399" t="str">
        <f>IF('1. Live'!AR399='check-Jul25'!AR399,"",'1. Live'!AR399-'check-Jul25'!AR399)</f>
        <v/>
      </c>
      <c r="AS399" t="str">
        <f>IF('1. Live'!AS399='check-Jul25'!AS399,"",'1. Live'!AS399-'check-Jul25'!AS399)</f>
        <v/>
      </c>
      <c r="AT399" t="str">
        <f>IF('1. Live'!AT399='check-Jul25'!AT399,"",'1. Live'!AT399-'check-Jul25'!AT399)</f>
        <v/>
      </c>
      <c r="AU399" t="str">
        <f>IF('1. Live'!AU399='check-Jul25'!AU399,"",'1. Live'!AU399-'check-Jul25'!AU399)</f>
        <v/>
      </c>
      <c r="AV399" t="str">
        <f>IF('1. Live'!AV399='check-Jul25'!AV399,"",'1. Live'!AV399-'check-Jul25'!AV399)</f>
        <v/>
      </c>
      <c r="AW399" t="str">
        <f>IF('1. Live'!AW399='check-Jul25'!AW399,"",'1. Live'!AW399-'check-Jul25'!AW399)</f>
        <v/>
      </c>
      <c r="AX399" t="str">
        <f>IF('1. Live'!AX399='check-Jul25'!AX399,"",'1. Live'!AX399-'check-Jul25'!AX399)</f>
        <v/>
      </c>
      <c r="AY399" t="str">
        <f>IF('1. Live'!AY399='check-Jul25'!AY399,"",'1. Live'!AY399-'check-Jul25'!AY399)</f>
        <v/>
      </c>
      <c r="AZ399" t="str">
        <f>IF('1. Live'!AZ399='check-Jul25'!AZ399,"",'1. Live'!AZ399-'check-Jul25'!AZ399)</f>
        <v/>
      </c>
      <c r="BA399" t="str">
        <f>IF('1. Live'!BA399='check-Jul25'!BA399,"",'1. Live'!BA399-'check-Jul25'!BA399)</f>
        <v/>
      </c>
      <c r="BB399" t="str">
        <f>IF('1. Live'!BB399='check-Jul25'!BB399,"",'1. Live'!BB399-'check-Jul25'!BB399)</f>
        <v/>
      </c>
      <c r="BC399" t="str">
        <f>IF('1. Live'!BC399='check-Jul25'!BC399,"",'1. Live'!BC399-'check-Jul25'!BC399)</f>
        <v/>
      </c>
      <c r="BD399" t="str">
        <f>IF('1. Live'!BD399='check-Jul25'!BD399,"",'1. Live'!BD399-'check-Jul25'!BD399)</f>
        <v/>
      </c>
      <c r="BE399" t="str">
        <f>IF('1. Live'!BE399='check-Jul25'!BE399,"",'1. Live'!BE399-'check-Jul25'!BE399)</f>
        <v/>
      </c>
      <c r="BF399" t="str">
        <f>IF('1. Live'!BF399='check-Jul25'!BF399,"",'1. Live'!BF399-'check-Jul25'!BF399)</f>
        <v/>
      </c>
      <c r="BG399" t="str">
        <f>IF('1. Live'!BG399='check-Jul25'!BG399,"",'1. Live'!BG399-'check-Jul25'!BG399)</f>
        <v/>
      </c>
      <c r="BH399" t="str">
        <f>IF('1. Live'!BH399='check-Jul25'!BH399,"",'1. Live'!BH399-'check-Jul25'!BH399)</f>
        <v/>
      </c>
      <c r="BI399" t="str">
        <f>IF('1. Live'!BI399='check-Jul25'!BI399,"",'1. Live'!BI399-'check-Jul25'!BI399)</f>
        <v/>
      </c>
      <c r="BJ399" t="str">
        <f>IF('1. Live'!BJ399='check-Jul25'!BJ399,"",'1. Live'!BJ399-'check-Jul25'!BJ399)</f>
        <v/>
      </c>
      <c r="BK399" t="str">
        <f>IF('1. Live'!BK399='check-Jul25'!BK399,"",'1. Live'!BK399-'check-Jul25'!BK399)</f>
        <v/>
      </c>
      <c r="BL399" t="str">
        <f>IF('1. Live'!BL399='check-Jul25'!BL399,"",'1. Live'!BL399-'check-Jul25'!BL399)</f>
        <v/>
      </c>
      <c r="BM399" t="str">
        <f>IF('1. Live'!BM399='check-Jul25'!BM399,"",'1. Live'!BM399-'check-Jul25'!BM399)</f>
        <v/>
      </c>
      <c r="BN399" t="str">
        <f>IF('1. Live'!BN399='check-Jul25'!BN399,"",'1. Live'!BN399-'check-Jul25'!BN399)</f>
        <v/>
      </c>
      <c r="BO399" t="str">
        <f>IF('1. Live'!BO399='check-Jul25'!BO399,"",'1. Live'!BO399-'check-Jul25'!BO399)</f>
        <v/>
      </c>
      <c r="BP399" t="str">
        <f>IF('1. Live'!BP399='check-Jul25'!BP399,"",'1. Live'!BP399-'check-Jul25'!BP399)</f>
        <v/>
      </c>
      <c r="BQ399" t="str">
        <f>IF('1. Live'!BQ399='check-Jul25'!BQ399,"",'1. Live'!BQ399-'check-Jul25'!BQ399)</f>
        <v/>
      </c>
      <c r="BR399" t="str">
        <f>IF('1. Live'!BR399='check-Jul25'!BR399,"",'1. Live'!BR399-'check-Jul25'!BR399)</f>
        <v/>
      </c>
      <c r="BS399" t="str">
        <f>IF('1. Live'!BS399='check-Jul25'!BS399,"",'1. Live'!BS399-'check-Jul25'!BS399)</f>
        <v/>
      </c>
      <c r="BT399" t="str">
        <f>IF('1. Live'!BT399='check-Jul25'!BT399,"",'1. Live'!BT399-'check-Jul25'!BT399)</f>
        <v/>
      </c>
      <c r="BU399" t="str">
        <f>IF('1. Live'!BU399='check-Jul25'!BU399,"",'1. Live'!BU399-'check-Jul25'!BU399)</f>
        <v/>
      </c>
      <c r="BV399" t="str">
        <f>IF('1. Live'!BV399='check-Jul25'!BV399,"",'1. Live'!BV399-'check-Jul25'!BV399)</f>
        <v/>
      </c>
      <c r="BW399" t="str">
        <f>IF('1. Live'!BW399='check-Jul25'!BW399,"",'1. Live'!BW399-'check-Jul25'!BW399)</f>
        <v/>
      </c>
      <c r="BX399" t="str">
        <f>IF('1. Live'!BX399='check-Jul25'!BX399,"",'1. Live'!BX399-'check-Jul25'!BX399)</f>
        <v/>
      </c>
      <c r="BY399" t="str">
        <f>IF('1. Live'!BY399='check-Jul25'!BY399,"",'1. Live'!BY399-'check-Jul25'!BY399)</f>
        <v/>
      </c>
      <c r="BZ399" t="str">
        <f>IF('1. Live'!BZ399='check-Jul25'!BZ399,"",'1. Live'!BZ399-'check-Jul25'!BZ399)</f>
        <v/>
      </c>
      <c r="CA399" t="str">
        <f>IF('1. Live'!CA399='check-Jul25'!CA399,"",'1. Live'!CA399-'check-Jul25'!CA399)</f>
        <v/>
      </c>
      <c r="CB399" t="str">
        <f>IF('1. Live'!CB399='check-Jul25'!CB399,"",'1. Live'!CB399-'check-Jul25'!CB399)</f>
        <v/>
      </c>
      <c r="CC399" t="str">
        <f>IF('1. Live'!CC399='check-Jul25'!CC399,"",'1. Live'!CC399-'check-Jul25'!CC399)</f>
        <v/>
      </c>
      <c r="CD399" t="str">
        <f>IF('1. Live'!CD399='check-Jul25'!CD399,"",'1. Live'!CD399-'check-Jul25'!CD399)</f>
        <v/>
      </c>
      <c r="CE399" t="str">
        <f>IF('1. Live'!CE399='check-Jul25'!CE399,"",'1. Live'!CE399-'check-Jul25'!CE399)</f>
        <v/>
      </c>
      <c r="CF399" t="str">
        <f>IF('1. Live'!CF399='check-Jul25'!CF399,"",'1. Live'!CF399-'check-Jul25'!CF399)</f>
        <v/>
      </c>
      <c r="CG399" t="str">
        <f>IF('1. Live'!CG399='check-Jul25'!CG399,"",'1. Live'!CG399-'check-Jul25'!CG399)</f>
        <v/>
      </c>
      <c r="CH399" t="str">
        <f>IF('1. Live'!CH399='check-Jul25'!CH399,"",'1. Live'!CH399-'check-Jul25'!CH399)</f>
        <v/>
      </c>
      <c r="CI399" t="str">
        <f>IF('1. Live'!CI399='check-Jul25'!CI399,"",'1. Live'!CI399-'check-Jul25'!CI399)</f>
        <v/>
      </c>
      <c r="CJ399" t="str">
        <f>IF('1. Live'!CJ399='check-Jul25'!CJ399,"",'1. Live'!CJ399-'check-Jul25'!CJ399)</f>
        <v/>
      </c>
      <c r="CK399" t="str">
        <f>IF('1. Live'!CK399='check-Jul25'!CK399,"",'1. Live'!CK399-'check-Jul25'!CK399)</f>
        <v/>
      </c>
      <c r="CL399" t="str">
        <f>IF('1. Live'!CL399='check-Jul25'!CL399,"",'1. Live'!CL399-'check-Jul25'!CL399)</f>
        <v/>
      </c>
      <c r="CM399" t="str">
        <f>IF('1. Live'!CM399='check-Jul25'!CM399,"",'1. Live'!CM399-'check-Jul25'!CM399)</f>
        <v/>
      </c>
      <c r="CN399" t="str">
        <f>IF('1. Live'!CN399='check-Jul25'!CN399,"",'1. Live'!CN399-'check-Jul25'!CN399)</f>
        <v/>
      </c>
      <c r="CO399" t="str">
        <f>IF('1. Live'!CO399='check-Jul25'!CO399,"",'1. Live'!CO399-'check-Jul25'!CO399)</f>
        <v/>
      </c>
      <c r="CP399" t="str">
        <f>IF('1. Live'!CP399='check-Jul25'!CP399,"",'1. Live'!CP399-'check-Jul25'!CP399)</f>
        <v/>
      </c>
      <c r="CQ399" t="str">
        <f>IF('1. Live'!CQ399='check-Jul25'!CQ399,"",'1. Live'!CQ399-'check-Jul25'!CQ399)</f>
        <v/>
      </c>
      <c r="CR399" t="str">
        <f>IF('1. Live'!CR399='check-Jul25'!CR399,"",'1. Live'!CR399-'check-Jul25'!CR399)</f>
        <v/>
      </c>
      <c r="CS399" t="str">
        <f>IF('1. Live'!CS399='check-Jul25'!CS399,"",'1. Live'!CS399-'check-Jul25'!CS399)</f>
        <v/>
      </c>
      <c r="CT399" t="str">
        <f>IF('1. Live'!CT399='check-Jul25'!CT399,"",'1. Live'!CT399-'check-Jul25'!CT399)</f>
        <v/>
      </c>
      <c r="CU399" t="str">
        <f>IF('1. Live'!CU399='check-Jul25'!CU399,"",'1. Live'!CU399-'check-Jul25'!CU399)</f>
        <v/>
      </c>
      <c r="CV399" t="str">
        <f>IF('1. Live'!CV399='check-Jul25'!CV399,"",'1. Live'!CV399-'check-Jul25'!CV399)</f>
        <v/>
      </c>
      <c r="CW399" t="str">
        <f>IF('1. Live'!CW399='check-Jul25'!CW399,"",'1. Live'!CW399-'check-Jul25'!CW399)</f>
        <v/>
      </c>
    </row>
    <row r="400" spans="10:101">
      <c r="J400" t="str">
        <f>IF('1. Live'!J400='check-Jul25'!J400,"",'1. Live'!J400-'check-Jul25'!J400)</f>
        <v/>
      </c>
      <c r="K400" t="str">
        <f>IF('1. Live'!K400='check-Jul25'!K400,"",'1. Live'!K400-'check-Jul25'!K400)</f>
        <v/>
      </c>
      <c r="L400" t="str">
        <f>IF('1. Live'!L400='check-Jul25'!L400,"",'1. Live'!L400-'check-Jul25'!L400)</f>
        <v/>
      </c>
      <c r="M400" t="str">
        <f>IF('1. Live'!M400='check-Jul25'!M400,"",'1. Live'!M400-'check-Jul25'!M400)</f>
        <v/>
      </c>
      <c r="N400" t="str">
        <f>IF('1. Live'!N400='check-Jul25'!N400,"",'1. Live'!N400-'check-Jul25'!N400)</f>
        <v/>
      </c>
      <c r="O400" t="str">
        <f>IF('1. Live'!O400='check-Jul25'!O400,"",'1. Live'!O400-'check-Jul25'!O400)</f>
        <v/>
      </c>
      <c r="P400" t="str">
        <f>IF('1. Live'!P400='check-Jul25'!P400,"",'1. Live'!P400-'check-Jul25'!P400)</f>
        <v/>
      </c>
      <c r="Q400" t="str">
        <f>IF('1. Live'!Q400='check-Jul25'!Q400,"",'1. Live'!Q400-'check-Jul25'!Q400)</f>
        <v/>
      </c>
      <c r="R400" t="str">
        <f>IF('1. Live'!R400='check-Jul25'!R400,"",'1. Live'!R400-'check-Jul25'!R400)</f>
        <v/>
      </c>
      <c r="S400" t="str">
        <f>IF('1. Live'!S400='check-Jul25'!S400,"",'1. Live'!S400-'check-Jul25'!S400)</f>
        <v/>
      </c>
      <c r="T400" t="str">
        <f>IF('1. Live'!T400='check-Jul25'!T400,"",'1. Live'!T400-'check-Jul25'!T400)</f>
        <v/>
      </c>
      <c r="U400" t="str">
        <f>IF('1. Live'!U400='check-Jul25'!U400,"",'1. Live'!U400-'check-Jul25'!U400)</f>
        <v/>
      </c>
      <c r="V400" t="str">
        <f>IF('1. Live'!V400='check-Jul25'!V400,"",'1. Live'!V400-'check-Jul25'!V400)</f>
        <v/>
      </c>
      <c r="W400" t="str">
        <f>IF('1. Live'!W400='check-Jul25'!W400,"",'1. Live'!W400-'check-Jul25'!W400)</f>
        <v/>
      </c>
      <c r="X400" t="str">
        <f>IF('1. Live'!X400='check-Jul25'!X400,"",'1. Live'!X400-'check-Jul25'!X400)</f>
        <v/>
      </c>
      <c r="Y400" t="str">
        <f>IF('1. Live'!Y400='check-Jul25'!Y400,"",'1. Live'!Y400-'check-Jul25'!Y400)</f>
        <v/>
      </c>
      <c r="Z400" t="str">
        <f>IF('1. Live'!Z400='check-Jul25'!Z400,"",'1. Live'!Z400-'check-Jul25'!Z400)</f>
        <v/>
      </c>
      <c r="AA400" t="str">
        <f>IF('1. Live'!AA400='check-Jul25'!AA400,"",'1. Live'!AA400-'check-Jul25'!AA400)</f>
        <v/>
      </c>
      <c r="AB400" t="str">
        <f>IF('1. Live'!AB400='check-Jul25'!AB400,"",'1. Live'!AB400-'check-Jul25'!AB400)</f>
        <v/>
      </c>
      <c r="AC400" t="str">
        <f>IF('1. Live'!AC400='check-Jul25'!AC400,"",'1. Live'!AC400-'check-Jul25'!AC400)</f>
        <v/>
      </c>
      <c r="AD400" t="str">
        <f>IF('1. Live'!AD400='check-Jul25'!AD400,"",'1. Live'!AD400-'check-Jul25'!AD400)</f>
        <v/>
      </c>
      <c r="AE400" t="str">
        <f>IF('1. Live'!AE400='check-Jul25'!AE400,"",'1. Live'!AE400-'check-Jul25'!AE400)</f>
        <v/>
      </c>
      <c r="AF400" t="str">
        <f>IF('1. Live'!AF400='check-Jul25'!AF400,"",'1. Live'!AF400-'check-Jul25'!AF400)</f>
        <v/>
      </c>
      <c r="AG400" t="str">
        <f>IF('1. Live'!AG400='check-Jul25'!AG400,"",'1. Live'!AG400-'check-Jul25'!AG400)</f>
        <v/>
      </c>
      <c r="AH400" t="str">
        <f>IF('1. Live'!AH400='check-Jul25'!AH400,"",'1. Live'!AH400-'check-Jul25'!AH400)</f>
        <v/>
      </c>
      <c r="AI400" t="str">
        <f>IF('1. Live'!AI400='check-Jul25'!AI400,"",'1. Live'!AI400-'check-Jul25'!AI400)</f>
        <v/>
      </c>
      <c r="AJ400" t="str">
        <f>IF('1. Live'!AJ400='check-Jul25'!AJ400,"",'1. Live'!AJ400-'check-Jul25'!AJ400)</f>
        <v/>
      </c>
      <c r="AK400" t="str">
        <f>IF('1. Live'!AK400='check-Jul25'!AK400,"",'1. Live'!AK400-'check-Jul25'!AK400)</f>
        <v/>
      </c>
      <c r="AL400" t="str">
        <f>IF('1. Live'!AL400='check-Jul25'!AL400,"",'1. Live'!AL400-'check-Jul25'!AL400)</f>
        <v/>
      </c>
      <c r="AM400" t="str">
        <f>IF('1. Live'!AM400='check-Jul25'!AM400,"",'1. Live'!AM400-'check-Jul25'!AM400)</f>
        <v/>
      </c>
      <c r="AN400" t="str">
        <f>IF('1. Live'!AN400='check-Jul25'!AN400,"",'1. Live'!AN400-'check-Jul25'!AN400)</f>
        <v/>
      </c>
      <c r="AO400" t="str">
        <f>IF('1. Live'!AO400='check-Jul25'!AO400,"",'1. Live'!AO400-'check-Jul25'!AO400)</f>
        <v/>
      </c>
      <c r="AP400" t="str">
        <f>IF('1. Live'!AP400='check-Jul25'!AP400,"",'1. Live'!AP400-'check-Jul25'!AP400)</f>
        <v/>
      </c>
      <c r="AQ400" t="str">
        <f>IF('1. Live'!AQ400='check-Jul25'!AQ400,"",'1. Live'!AQ400-'check-Jul25'!AQ400)</f>
        <v/>
      </c>
      <c r="AR400" t="str">
        <f>IF('1. Live'!AR400='check-Jul25'!AR400,"",'1. Live'!AR400-'check-Jul25'!AR400)</f>
        <v/>
      </c>
      <c r="AS400" t="str">
        <f>IF('1. Live'!AS400='check-Jul25'!AS400,"",'1. Live'!AS400-'check-Jul25'!AS400)</f>
        <v/>
      </c>
      <c r="AT400" t="str">
        <f>IF('1. Live'!AT400='check-Jul25'!AT400,"",'1. Live'!AT400-'check-Jul25'!AT400)</f>
        <v/>
      </c>
      <c r="AU400" t="str">
        <f>IF('1. Live'!AU400='check-Jul25'!AU400,"",'1. Live'!AU400-'check-Jul25'!AU400)</f>
        <v/>
      </c>
      <c r="AV400" t="str">
        <f>IF('1. Live'!AV400='check-Jul25'!AV400,"",'1. Live'!AV400-'check-Jul25'!AV400)</f>
        <v/>
      </c>
      <c r="AW400" t="str">
        <f>IF('1. Live'!AW400='check-Jul25'!AW400,"",'1. Live'!AW400-'check-Jul25'!AW400)</f>
        <v/>
      </c>
      <c r="AX400" t="str">
        <f>IF('1. Live'!AX400='check-Jul25'!AX400,"",'1. Live'!AX400-'check-Jul25'!AX400)</f>
        <v/>
      </c>
      <c r="AY400" t="str">
        <f>IF('1. Live'!AY400='check-Jul25'!AY400,"",'1. Live'!AY400-'check-Jul25'!AY400)</f>
        <v/>
      </c>
      <c r="AZ400" t="str">
        <f>IF('1. Live'!AZ400='check-Jul25'!AZ400,"",'1. Live'!AZ400-'check-Jul25'!AZ400)</f>
        <v/>
      </c>
      <c r="BA400" t="str">
        <f>IF('1. Live'!BA400='check-Jul25'!BA400,"",'1. Live'!BA400-'check-Jul25'!BA400)</f>
        <v/>
      </c>
      <c r="BB400" t="str">
        <f>IF('1. Live'!BB400='check-Jul25'!BB400,"",'1. Live'!BB400-'check-Jul25'!BB400)</f>
        <v/>
      </c>
      <c r="BC400" t="str">
        <f>IF('1. Live'!BC400='check-Jul25'!BC400,"",'1. Live'!BC400-'check-Jul25'!BC400)</f>
        <v/>
      </c>
      <c r="BD400" t="str">
        <f>IF('1. Live'!BD400='check-Jul25'!BD400,"",'1. Live'!BD400-'check-Jul25'!BD400)</f>
        <v/>
      </c>
      <c r="BE400" t="str">
        <f>IF('1. Live'!BE400='check-Jul25'!BE400,"",'1. Live'!BE400-'check-Jul25'!BE400)</f>
        <v/>
      </c>
      <c r="BF400" t="str">
        <f>IF('1. Live'!BF400='check-Jul25'!BF400,"",'1. Live'!BF400-'check-Jul25'!BF400)</f>
        <v/>
      </c>
      <c r="BG400" t="str">
        <f>IF('1. Live'!BG400='check-Jul25'!BG400,"",'1. Live'!BG400-'check-Jul25'!BG400)</f>
        <v/>
      </c>
      <c r="BH400" t="str">
        <f>IF('1. Live'!BH400='check-Jul25'!BH400,"",'1. Live'!BH400-'check-Jul25'!BH400)</f>
        <v/>
      </c>
      <c r="BI400" t="str">
        <f>IF('1. Live'!BI400='check-Jul25'!BI400,"",'1. Live'!BI400-'check-Jul25'!BI400)</f>
        <v/>
      </c>
      <c r="BJ400" t="str">
        <f>IF('1. Live'!BJ400='check-Jul25'!BJ400,"",'1. Live'!BJ400-'check-Jul25'!BJ400)</f>
        <v/>
      </c>
      <c r="BK400" t="str">
        <f>IF('1. Live'!BK400='check-Jul25'!BK400,"",'1. Live'!BK400-'check-Jul25'!BK400)</f>
        <v/>
      </c>
      <c r="BL400" t="str">
        <f>IF('1. Live'!BL400='check-Jul25'!BL400,"",'1. Live'!BL400-'check-Jul25'!BL400)</f>
        <v/>
      </c>
      <c r="BM400" t="str">
        <f>IF('1. Live'!BM400='check-Jul25'!BM400,"",'1. Live'!BM400-'check-Jul25'!BM400)</f>
        <v/>
      </c>
      <c r="BN400" t="str">
        <f>IF('1. Live'!BN400='check-Jul25'!BN400,"",'1. Live'!BN400-'check-Jul25'!BN400)</f>
        <v/>
      </c>
      <c r="BO400" t="str">
        <f>IF('1. Live'!BO400='check-Jul25'!BO400,"",'1. Live'!BO400-'check-Jul25'!BO400)</f>
        <v/>
      </c>
      <c r="BP400" t="str">
        <f>IF('1. Live'!BP400='check-Jul25'!BP400,"",'1. Live'!BP400-'check-Jul25'!BP400)</f>
        <v/>
      </c>
      <c r="BQ400" t="str">
        <f>IF('1. Live'!BQ400='check-Jul25'!BQ400,"",'1. Live'!BQ400-'check-Jul25'!BQ400)</f>
        <v/>
      </c>
      <c r="BR400" t="str">
        <f>IF('1. Live'!BR400='check-Jul25'!BR400,"",'1. Live'!BR400-'check-Jul25'!BR400)</f>
        <v/>
      </c>
      <c r="BS400" t="str">
        <f>IF('1. Live'!BS400='check-Jul25'!BS400,"",'1. Live'!BS400-'check-Jul25'!BS400)</f>
        <v/>
      </c>
      <c r="BT400" t="str">
        <f>IF('1. Live'!BT400='check-Jul25'!BT400,"",'1. Live'!BT400-'check-Jul25'!BT400)</f>
        <v/>
      </c>
      <c r="BU400" t="str">
        <f>IF('1. Live'!BU400='check-Jul25'!BU400,"",'1. Live'!BU400-'check-Jul25'!BU400)</f>
        <v/>
      </c>
      <c r="BV400" t="str">
        <f>IF('1. Live'!BV400='check-Jul25'!BV400,"",'1. Live'!BV400-'check-Jul25'!BV400)</f>
        <v/>
      </c>
      <c r="BW400" t="str">
        <f>IF('1. Live'!BW400='check-Jul25'!BW400,"",'1. Live'!BW400-'check-Jul25'!BW400)</f>
        <v/>
      </c>
      <c r="BX400" t="str">
        <f>IF('1. Live'!BX400='check-Jul25'!BX400,"",'1. Live'!BX400-'check-Jul25'!BX400)</f>
        <v/>
      </c>
      <c r="BY400" t="str">
        <f>IF('1. Live'!BY400='check-Jul25'!BY400,"",'1. Live'!BY400-'check-Jul25'!BY400)</f>
        <v/>
      </c>
      <c r="BZ400" t="str">
        <f>IF('1. Live'!BZ400='check-Jul25'!BZ400,"",'1. Live'!BZ400-'check-Jul25'!BZ400)</f>
        <v/>
      </c>
      <c r="CA400" t="str">
        <f>IF('1. Live'!CA400='check-Jul25'!CA400,"",'1. Live'!CA400-'check-Jul25'!CA400)</f>
        <v/>
      </c>
      <c r="CB400" t="str">
        <f>IF('1. Live'!CB400='check-Jul25'!CB400,"",'1. Live'!CB400-'check-Jul25'!CB400)</f>
        <v/>
      </c>
      <c r="CC400" t="str">
        <f>IF('1. Live'!CC400='check-Jul25'!CC400,"",'1. Live'!CC400-'check-Jul25'!CC400)</f>
        <v/>
      </c>
      <c r="CD400" t="str">
        <f>IF('1. Live'!CD400='check-Jul25'!CD400,"",'1. Live'!CD400-'check-Jul25'!CD400)</f>
        <v/>
      </c>
      <c r="CE400" t="str">
        <f>IF('1. Live'!CE400='check-Jul25'!CE400,"",'1. Live'!CE400-'check-Jul25'!CE400)</f>
        <v/>
      </c>
      <c r="CF400" t="str">
        <f>IF('1. Live'!CF400='check-Jul25'!CF400,"",'1. Live'!CF400-'check-Jul25'!CF400)</f>
        <v/>
      </c>
      <c r="CG400" t="str">
        <f>IF('1. Live'!CG400='check-Jul25'!CG400,"",'1. Live'!CG400-'check-Jul25'!CG400)</f>
        <v/>
      </c>
      <c r="CH400" t="str">
        <f>IF('1. Live'!CH400='check-Jul25'!CH400,"",'1. Live'!CH400-'check-Jul25'!CH400)</f>
        <v/>
      </c>
      <c r="CI400" t="str">
        <f>IF('1. Live'!CI400='check-Jul25'!CI400,"",'1. Live'!CI400-'check-Jul25'!CI400)</f>
        <v/>
      </c>
      <c r="CJ400" t="str">
        <f>IF('1. Live'!CJ400='check-Jul25'!CJ400,"",'1. Live'!CJ400-'check-Jul25'!CJ400)</f>
        <v/>
      </c>
      <c r="CK400" t="str">
        <f>IF('1. Live'!CK400='check-Jul25'!CK400,"",'1. Live'!CK400-'check-Jul25'!CK400)</f>
        <v/>
      </c>
      <c r="CL400" t="str">
        <f>IF('1. Live'!CL400='check-Jul25'!CL400,"",'1. Live'!CL400-'check-Jul25'!CL400)</f>
        <v/>
      </c>
      <c r="CM400" t="str">
        <f>IF('1. Live'!CM400='check-Jul25'!CM400,"",'1. Live'!CM400-'check-Jul25'!CM400)</f>
        <v/>
      </c>
      <c r="CN400" t="str">
        <f>IF('1. Live'!CN400='check-Jul25'!CN400,"",'1. Live'!CN400-'check-Jul25'!CN400)</f>
        <v/>
      </c>
      <c r="CO400" t="str">
        <f>IF('1. Live'!CO400='check-Jul25'!CO400,"",'1. Live'!CO400-'check-Jul25'!CO400)</f>
        <v/>
      </c>
      <c r="CP400" t="str">
        <f>IF('1. Live'!CP400='check-Jul25'!CP400,"",'1. Live'!CP400-'check-Jul25'!CP400)</f>
        <v/>
      </c>
      <c r="CQ400" t="str">
        <f>IF('1. Live'!CQ400='check-Jul25'!CQ400,"",'1. Live'!CQ400-'check-Jul25'!CQ400)</f>
        <v/>
      </c>
      <c r="CR400" t="str">
        <f>IF('1. Live'!CR400='check-Jul25'!CR400,"",'1. Live'!CR400-'check-Jul25'!CR400)</f>
        <v/>
      </c>
      <c r="CS400" t="str">
        <f>IF('1. Live'!CS400='check-Jul25'!CS400,"",'1. Live'!CS400-'check-Jul25'!CS400)</f>
        <v/>
      </c>
      <c r="CT400" t="str">
        <f>IF('1. Live'!CT400='check-Jul25'!CT400,"",'1. Live'!CT400-'check-Jul25'!CT400)</f>
        <v/>
      </c>
      <c r="CU400" t="str">
        <f>IF('1. Live'!CU400='check-Jul25'!CU400,"",'1. Live'!CU400-'check-Jul25'!CU400)</f>
        <v/>
      </c>
      <c r="CV400" t="str">
        <f>IF('1. Live'!CV400='check-Jul25'!CV400,"",'1. Live'!CV400-'check-Jul25'!CV400)</f>
        <v/>
      </c>
      <c r="CW400" t="str">
        <f>IF('1. Live'!CW400='check-Jul25'!CW400,"",'1. Live'!CW400-'check-Jul25'!CW400)</f>
        <v/>
      </c>
    </row>
    <row r="401" spans="10:101">
      <c r="J401" t="str">
        <f>IF('1. Live'!J401='check-Jul25'!J401,"",'1. Live'!J401-'check-Jul25'!J401)</f>
        <v/>
      </c>
      <c r="K401" t="str">
        <f>IF('1. Live'!K401='check-Jul25'!K401,"",'1. Live'!K401-'check-Jul25'!K401)</f>
        <v/>
      </c>
      <c r="L401" t="str">
        <f>IF('1. Live'!L401='check-Jul25'!L401,"",'1. Live'!L401-'check-Jul25'!L401)</f>
        <v/>
      </c>
      <c r="M401" t="str">
        <f>IF('1. Live'!M401='check-Jul25'!M401,"",'1. Live'!M401-'check-Jul25'!M401)</f>
        <v/>
      </c>
      <c r="N401" t="str">
        <f>IF('1. Live'!N401='check-Jul25'!N401,"",'1. Live'!N401-'check-Jul25'!N401)</f>
        <v/>
      </c>
      <c r="O401" t="str">
        <f>IF('1. Live'!O401='check-Jul25'!O401,"",'1. Live'!O401-'check-Jul25'!O401)</f>
        <v/>
      </c>
      <c r="P401" t="str">
        <f>IF('1. Live'!P401='check-Jul25'!P401,"",'1. Live'!P401-'check-Jul25'!P401)</f>
        <v/>
      </c>
      <c r="Q401" t="str">
        <f>IF('1. Live'!Q401='check-Jul25'!Q401,"",'1. Live'!Q401-'check-Jul25'!Q401)</f>
        <v/>
      </c>
      <c r="R401" t="str">
        <f>IF('1. Live'!R401='check-Jul25'!R401,"",'1. Live'!R401-'check-Jul25'!R401)</f>
        <v/>
      </c>
      <c r="S401" t="str">
        <f>IF('1. Live'!S401='check-Jul25'!S401,"",'1. Live'!S401-'check-Jul25'!S401)</f>
        <v/>
      </c>
      <c r="T401" t="str">
        <f>IF('1. Live'!T401='check-Jul25'!T401,"",'1. Live'!T401-'check-Jul25'!T401)</f>
        <v/>
      </c>
      <c r="U401" t="str">
        <f>IF('1. Live'!U401='check-Jul25'!U401,"",'1. Live'!U401-'check-Jul25'!U401)</f>
        <v/>
      </c>
      <c r="V401" t="str">
        <f>IF('1. Live'!V401='check-Jul25'!V401,"",'1. Live'!V401-'check-Jul25'!V401)</f>
        <v/>
      </c>
      <c r="W401" t="str">
        <f>IF('1. Live'!W401='check-Jul25'!W401,"",'1. Live'!W401-'check-Jul25'!W401)</f>
        <v/>
      </c>
      <c r="X401" t="str">
        <f>IF('1. Live'!X401='check-Jul25'!X401,"",'1. Live'!X401-'check-Jul25'!X401)</f>
        <v/>
      </c>
      <c r="Y401" t="str">
        <f>IF('1. Live'!Y401='check-Jul25'!Y401,"",'1. Live'!Y401-'check-Jul25'!Y401)</f>
        <v/>
      </c>
      <c r="Z401" t="str">
        <f>IF('1. Live'!Z401='check-Jul25'!Z401,"",'1. Live'!Z401-'check-Jul25'!Z401)</f>
        <v/>
      </c>
      <c r="AA401" t="str">
        <f>IF('1. Live'!AA401='check-Jul25'!AA401,"",'1. Live'!AA401-'check-Jul25'!AA401)</f>
        <v/>
      </c>
      <c r="AB401" t="str">
        <f>IF('1. Live'!AB401='check-Jul25'!AB401,"",'1. Live'!AB401-'check-Jul25'!AB401)</f>
        <v/>
      </c>
      <c r="AC401" t="str">
        <f>IF('1. Live'!AC401='check-Jul25'!AC401,"",'1. Live'!AC401-'check-Jul25'!AC401)</f>
        <v/>
      </c>
      <c r="AD401" t="str">
        <f>IF('1. Live'!AD401='check-Jul25'!AD401,"",'1. Live'!AD401-'check-Jul25'!AD401)</f>
        <v/>
      </c>
      <c r="AE401" t="str">
        <f>IF('1. Live'!AE401='check-Jul25'!AE401,"",'1. Live'!AE401-'check-Jul25'!AE401)</f>
        <v/>
      </c>
      <c r="AF401" t="str">
        <f>IF('1. Live'!AF401='check-Jul25'!AF401,"",'1. Live'!AF401-'check-Jul25'!AF401)</f>
        <v/>
      </c>
      <c r="AG401" t="str">
        <f>IF('1. Live'!AG401='check-Jul25'!AG401,"",'1. Live'!AG401-'check-Jul25'!AG401)</f>
        <v/>
      </c>
      <c r="AH401" t="str">
        <f>IF('1. Live'!AH401='check-Jul25'!AH401,"",'1. Live'!AH401-'check-Jul25'!AH401)</f>
        <v/>
      </c>
      <c r="AI401" t="str">
        <f>IF('1. Live'!AI401='check-Jul25'!AI401,"",'1. Live'!AI401-'check-Jul25'!AI401)</f>
        <v/>
      </c>
      <c r="AJ401" t="str">
        <f>IF('1. Live'!AJ401='check-Jul25'!AJ401,"",'1. Live'!AJ401-'check-Jul25'!AJ401)</f>
        <v/>
      </c>
      <c r="AK401" t="str">
        <f>IF('1. Live'!AK401='check-Jul25'!AK401,"",'1. Live'!AK401-'check-Jul25'!AK401)</f>
        <v/>
      </c>
      <c r="AL401" t="str">
        <f>IF('1. Live'!AL401='check-Jul25'!AL401,"",'1. Live'!AL401-'check-Jul25'!AL401)</f>
        <v/>
      </c>
      <c r="AM401" t="str">
        <f>IF('1. Live'!AM401='check-Jul25'!AM401,"",'1. Live'!AM401-'check-Jul25'!AM401)</f>
        <v/>
      </c>
      <c r="AN401" t="str">
        <f>IF('1. Live'!AN401='check-Jul25'!AN401,"",'1. Live'!AN401-'check-Jul25'!AN401)</f>
        <v/>
      </c>
      <c r="AO401" t="str">
        <f>IF('1. Live'!AO401='check-Jul25'!AO401,"",'1. Live'!AO401-'check-Jul25'!AO401)</f>
        <v/>
      </c>
      <c r="AP401" t="str">
        <f>IF('1. Live'!AP401='check-Jul25'!AP401,"",'1. Live'!AP401-'check-Jul25'!AP401)</f>
        <v/>
      </c>
      <c r="AQ401" t="str">
        <f>IF('1. Live'!AQ401='check-Jul25'!AQ401,"",'1. Live'!AQ401-'check-Jul25'!AQ401)</f>
        <v/>
      </c>
      <c r="AR401" t="str">
        <f>IF('1. Live'!AR401='check-Jul25'!AR401,"",'1. Live'!AR401-'check-Jul25'!AR401)</f>
        <v/>
      </c>
      <c r="AS401" t="str">
        <f>IF('1. Live'!AS401='check-Jul25'!AS401,"",'1. Live'!AS401-'check-Jul25'!AS401)</f>
        <v/>
      </c>
      <c r="AT401" t="str">
        <f>IF('1. Live'!AT401='check-Jul25'!AT401,"",'1. Live'!AT401-'check-Jul25'!AT401)</f>
        <v/>
      </c>
      <c r="AU401" t="str">
        <f>IF('1. Live'!AU401='check-Jul25'!AU401,"",'1. Live'!AU401-'check-Jul25'!AU401)</f>
        <v/>
      </c>
      <c r="AV401" t="str">
        <f>IF('1. Live'!AV401='check-Jul25'!AV401,"",'1. Live'!AV401-'check-Jul25'!AV401)</f>
        <v/>
      </c>
      <c r="AW401" t="str">
        <f>IF('1. Live'!AW401='check-Jul25'!AW401,"",'1. Live'!AW401-'check-Jul25'!AW401)</f>
        <v/>
      </c>
      <c r="AX401" t="str">
        <f>IF('1. Live'!AX401='check-Jul25'!AX401,"",'1. Live'!AX401-'check-Jul25'!AX401)</f>
        <v/>
      </c>
      <c r="AY401" t="str">
        <f>IF('1. Live'!AY401='check-Jul25'!AY401,"",'1. Live'!AY401-'check-Jul25'!AY401)</f>
        <v/>
      </c>
      <c r="AZ401" t="str">
        <f>IF('1. Live'!AZ401='check-Jul25'!AZ401,"",'1. Live'!AZ401-'check-Jul25'!AZ401)</f>
        <v/>
      </c>
      <c r="BA401" t="str">
        <f>IF('1. Live'!BA401='check-Jul25'!BA401,"",'1. Live'!BA401-'check-Jul25'!BA401)</f>
        <v/>
      </c>
      <c r="BB401" t="str">
        <f>IF('1. Live'!BB401='check-Jul25'!BB401,"",'1. Live'!BB401-'check-Jul25'!BB401)</f>
        <v/>
      </c>
      <c r="BC401" t="str">
        <f>IF('1. Live'!BC401='check-Jul25'!BC401,"",'1. Live'!BC401-'check-Jul25'!BC401)</f>
        <v/>
      </c>
      <c r="BD401" t="str">
        <f>IF('1. Live'!BD401='check-Jul25'!BD401,"",'1. Live'!BD401-'check-Jul25'!BD401)</f>
        <v/>
      </c>
      <c r="BE401" t="str">
        <f>IF('1. Live'!BE401='check-Jul25'!BE401,"",'1. Live'!BE401-'check-Jul25'!BE401)</f>
        <v/>
      </c>
      <c r="BF401" t="str">
        <f>IF('1. Live'!BF401='check-Jul25'!BF401,"",'1. Live'!BF401-'check-Jul25'!BF401)</f>
        <v/>
      </c>
      <c r="BG401" t="str">
        <f>IF('1. Live'!BG401='check-Jul25'!BG401,"",'1. Live'!BG401-'check-Jul25'!BG401)</f>
        <v/>
      </c>
      <c r="BH401" t="str">
        <f>IF('1. Live'!BH401='check-Jul25'!BH401,"",'1. Live'!BH401-'check-Jul25'!BH401)</f>
        <v/>
      </c>
      <c r="BI401" t="str">
        <f>IF('1. Live'!BI401='check-Jul25'!BI401,"",'1. Live'!BI401-'check-Jul25'!BI401)</f>
        <v/>
      </c>
      <c r="BJ401" t="str">
        <f>IF('1. Live'!BJ401='check-Jul25'!BJ401,"",'1. Live'!BJ401-'check-Jul25'!BJ401)</f>
        <v/>
      </c>
      <c r="BK401" t="str">
        <f>IF('1. Live'!BK401='check-Jul25'!BK401,"",'1. Live'!BK401-'check-Jul25'!BK401)</f>
        <v/>
      </c>
      <c r="BL401" t="str">
        <f>IF('1. Live'!BL401='check-Jul25'!BL401,"",'1. Live'!BL401-'check-Jul25'!BL401)</f>
        <v/>
      </c>
      <c r="BM401" t="str">
        <f>IF('1. Live'!BM401='check-Jul25'!BM401,"",'1. Live'!BM401-'check-Jul25'!BM401)</f>
        <v/>
      </c>
      <c r="BN401" t="str">
        <f>IF('1. Live'!BN401='check-Jul25'!BN401,"",'1. Live'!BN401-'check-Jul25'!BN401)</f>
        <v/>
      </c>
      <c r="BO401" t="str">
        <f>IF('1. Live'!BO401='check-Jul25'!BO401,"",'1. Live'!BO401-'check-Jul25'!BO401)</f>
        <v/>
      </c>
      <c r="BP401" t="str">
        <f>IF('1. Live'!BP401='check-Jul25'!BP401,"",'1. Live'!BP401-'check-Jul25'!BP401)</f>
        <v/>
      </c>
      <c r="BQ401" t="str">
        <f>IF('1. Live'!BQ401='check-Jul25'!BQ401,"",'1. Live'!BQ401-'check-Jul25'!BQ401)</f>
        <v/>
      </c>
      <c r="BR401" t="str">
        <f>IF('1. Live'!BR401='check-Jul25'!BR401,"",'1. Live'!BR401-'check-Jul25'!BR401)</f>
        <v/>
      </c>
      <c r="BS401" t="str">
        <f>IF('1. Live'!BS401='check-Jul25'!BS401,"",'1. Live'!BS401-'check-Jul25'!BS401)</f>
        <v/>
      </c>
      <c r="BT401" t="str">
        <f>IF('1. Live'!BT401='check-Jul25'!BT401,"",'1. Live'!BT401-'check-Jul25'!BT401)</f>
        <v/>
      </c>
      <c r="BU401" t="str">
        <f>IF('1. Live'!BU401='check-Jul25'!BU401,"",'1. Live'!BU401-'check-Jul25'!BU401)</f>
        <v/>
      </c>
      <c r="BV401" t="str">
        <f>IF('1. Live'!BV401='check-Jul25'!BV401,"",'1. Live'!BV401-'check-Jul25'!BV401)</f>
        <v/>
      </c>
      <c r="BW401" t="str">
        <f>IF('1. Live'!BW401='check-Jul25'!BW401,"",'1. Live'!BW401-'check-Jul25'!BW401)</f>
        <v/>
      </c>
      <c r="BX401" t="str">
        <f>IF('1. Live'!BX401='check-Jul25'!BX401,"",'1. Live'!BX401-'check-Jul25'!BX401)</f>
        <v/>
      </c>
      <c r="BY401" t="str">
        <f>IF('1. Live'!BY401='check-Jul25'!BY401,"",'1. Live'!BY401-'check-Jul25'!BY401)</f>
        <v/>
      </c>
      <c r="BZ401" t="str">
        <f>IF('1. Live'!BZ401='check-Jul25'!BZ401,"",'1. Live'!BZ401-'check-Jul25'!BZ401)</f>
        <v/>
      </c>
      <c r="CA401" t="str">
        <f>IF('1. Live'!CA401='check-Jul25'!CA401,"",'1. Live'!CA401-'check-Jul25'!CA401)</f>
        <v/>
      </c>
      <c r="CB401" t="str">
        <f>IF('1. Live'!CB401='check-Jul25'!CB401,"",'1. Live'!CB401-'check-Jul25'!CB401)</f>
        <v/>
      </c>
      <c r="CC401" t="str">
        <f>IF('1. Live'!CC401='check-Jul25'!CC401,"",'1. Live'!CC401-'check-Jul25'!CC401)</f>
        <v/>
      </c>
      <c r="CD401" t="str">
        <f>IF('1. Live'!CD401='check-Jul25'!CD401,"",'1. Live'!CD401-'check-Jul25'!CD401)</f>
        <v/>
      </c>
      <c r="CE401" t="str">
        <f>IF('1. Live'!CE401='check-Jul25'!CE401,"",'1. Live'!CE401-'check-Jul25'!CE401)</f>
        <v/>
      </c>
      <c r="CF401" t="str">
        <f>IF('1. Live'!CF401='check-Jul25'!CF401,"",'1. Live'!CF401-'check-Jul25'!CF401)</f>
        <v/>
      </c>
      <c r="CG401" t="str">
        <f>IF('1. Live'!CG401='check-Jul25'!CG401,"",'1. Live'!CG401-'check-Jul25'!CG401)</f>
        <v/>
      </c>
      <c r="CH401" t="str">
        <f>IF('1. Live'!CH401='check-Jul25'!CH401,"",'1. Live'!CH401-'check-Jul25'!CH401)</f>
        <v/>
      </c>
      <c r="CI401" t="str">
        <f>IF('1. Live'!CI401='check-Jul25'!CI401,"",'1. Live'!CI401-'check-Jul25'!CI401)</f>
        <v/>
      </c>
      <c r="CJ401" t="str">
        <f>IF('1. Live'!CJ401='check-Jul25'!CJ401,"",'1. Live'!CJ401-'check-Jul25'!CJ401)</f>
        <v/>
      </c>
      <c r="CK401" t="str">
        <f>IF('1. Live'!CK401='check-Jul25'!CK401,"",'1. Live'!CK401-'check-Jul25'!CK401)</f>
        <v/>
      </c>
      <c r="CL401" t="str">
        <f>IF('1. Live'!CL401='check-Jul25'!CL401,"",'1. Live'!CL401-'check-Jul25'!CL401)</f>
        <v/>
      </c>
      <c r="CM401" t="str">
        <f>IF('1. Live'!CM401='check-Jul25'!CM401,"",'1. Live'!CM401-'check-Jul25'!CM401)</f>
        <v/>
      </c>
      <c r="CN401" t="str">
        <f>IF('1. Live'!CN401='check-Jul25'!CN401,"",'1. Live'!CN401-'check-Jul25'!CN401)</f>
        <v/>
      </c>
      <c r="CO401" t="str">
        <f>IF('1. Live'!CO401='check-Jul25'!CO401,"",'1. Live'!CO401-'check-Jul25'!CO401)</f>
        <v/>
      </c>
      <c r="CP401" t="str">
        <f>IF('1. Live'!CP401='check-Jul25'!CP401,"",'1. Live'!CP401-'check-Jul25'!CP401)</f>
        <v/>
      </c>
      <c r="CQ401" t="str">
        <f>IF('1. Live'!CQ401='check-Jul25'!CQ401,"",'1. Live'!CQ401-'check-Jul25'!CQ401)</f>
        <v/>
      </c>
      <c r="CR401" t="str">
        <f>IF('1. Live'!CR401='check-Jul25'!CR401,"",'1. Live'!CR401-'check-Jul25'!CR401)</f>
        <v/>
      </c>
      <c r="CS401" t="str">
        <f>IF('1. Live'!CS401='check-Jul25'!CS401,"",'1. Live'!CS401-'check-Jul25'!CS401)</f>
        <v/>
      </c>
      <c r="CT401" t="str">
        <f>IF('1. Live'!CT401='check-Jul25'!CT401,"",'1. Live'!CT401-'check-Jul25'!CT401)</f>
        <v/>
      </c>
      <c r="CU401" t="str">
        <f>IF('1. Live'!CU401='check-Jul25'!CU401,"",'1. Live'!CU401-'check-Jul25'!CU401)</f>
        <v/>
      </c>
      <c r="CV401" t="str">
        <f>IF('1. Live'!CV401='check-Jul25'!CV401,"",'1. Live'!CV401-'check-Jul25'!CV401)</f>
        <v/>
      </c>
      <c r="CW401" t="str">
        <f>IF('1. Live'!CW401='check-Jul25'!CW401,"",'1. Live'!CW401-'check-Jul25'!CW401)</f>
        <v/>
      </c>
    </row>
    <row r="402" spans="10:101">
      <c r="J402" t="str">
        <f>IF('1. Live'!J402='check-Jul25'!J402,"",'1. Live'!J402-'check-Jul25'!J402)</f>
        <v/>
      </c>
      <c r="K402" t="str">
        <f>IF('1. Live'!K402='check-Jul25'!K402,"",'1. Live'!K402-'check-Jul25'!K402)</f>
        <v/>
      </c>
      <c r="L402" t="str">
        <f>IF('1. Live'!L402='check-Jul25'!L402,"",'1. Live'!L402-'check-Jul25'!L402)</f>
        <v/>
      </c>
      <c r="M402" t="str">
        <f>IF('1. Live'!M402='check-Jul25'!M402,"",'1. Live'!M402-'check-Jul25'!M402)</f>
        <v/>
      </c>
      <c r="N402" t="str">
        <f>IF('1. Live'!N402='check-Jul25'!N402,"",'1. Live'!N402-'check-Jul25'!N402)</f>
        <v/>
      </c>
      <c r="O402" t="str">
        <f>IF('1. Live'!O402='check-Jul25'!O402,"",'1. Live'!O402-'check-Jul25'!O402)</f>
        <v/>
      </c>
      <c r="P402" t="str">
        <f>IF('1. Live'!P402='check-Jul25'!P402,"",'1. Live'!P402-'check-Jul25'!P402)</f>
        <v/>
      </c>
      <c r="Q402" t="str">
        <f>IF('1. Live'!Q402='check-Jul25'!Q402,"",'1. Live'!Q402-'check-Jul25'!Q402)</f>
        <v/>
      </c>
      <c r="R402" t="str">
        <f>IF('1. Live'!R402='check-Jul25'!R402,"",'1. Live'!R402-'check-Jul25'!R402)</f>
        <v/>
      </c>
      <c r="S402" t="str">
        <f>IF('1. Live'!S402='check-Jul25'!S402,"",'1. Live'!S402-'check-Jul25'!S402)</f>
        <v/>
      </c>
      <c r="T402" t="str">
        <f>IF('1. Live'!T402='check-Jul25'!T402,"",'1. Live'!T402-'check-Jul25'!T402)</f>
        <v/>
      </c>
      <c r="U402" t="str">
        <f>IF('1. Live'!U402='check-Jul25'!U402,"",'1. Live'!U402-'check-Jul25'!U402)</f>
        <v/>
      </c>
      <c r="V402" t="str">
        <f>IF('1. Live'!V402='check-Jul25'!V402,"",'1. Live'!V402-'check-Jul25'!V402)</f>
        <v/>
      </c>
      <c r="W402" t="str">
        <f>IF('1. Live'!W402='check-Jul25'!W402,"",'1. Live'!W402-'check-Jul25'!W402)</f>
        <v/>
      </c>
      <c r="X402" t="str">
        <f>IF('1. Live'!X402='check-Jul25'!X402,"",'1. Live'!X402-'check-Jul25'!X402)</f>
        <v/>
      </c>
      <c r="Y402" t="str">
        <f>IF('1. Live'!Y402='check-Jul25'!Y402,"",'1. Live'!Y402-'check-Jul25'!Y402)</f>
        <v/>
      </c>
      <c r="Z402" t="str">
        <f>IF('1. Live'!Z402='check-Jul25'!Z402,"",'1. Live'!Z402-'check-Jul25'!Z402)</f>
        <v/>
      </c>
      <c r="AA402" t="str">
        <f>IF('1. Live'!AA402='check-Jul25'!AA402,"",'1. Live'!AA402-'check-Jul25'!AA402)</f>
        <v/>
      </c>
      <c r="AB402" t="str">
        <f>IF('1. Live'!AB402='check-Jul25'!AB402,"",'1. Live'!AB402-'check-Jul25'!AB402)</f>
        <v/>
      </c>
      <c r="AC402" t="str">
        <f>IF('1. Live'!AC402='check-Jul25'!AC402,"",'1. Live'!AC402-'check-Jul25'!AC402)</f>
        <v/>
      </c>
      <c r="AD402" t="str">
        <f>IF('1. Live'!AD402='check-Jul25'!AD402,"",'1. Live'!AD402-'check-Jul25'!AD402)</f>
        <v/>
      </c>
      <c r="AE402" t="str">
        <f>IF('1. Live'!AE402='check-Jul25'!AE402,"",'1. Live'!AE402-'check-Jul25'!AE402)</f>
        <v/>
      </c>
      <c r="AF402" t="str">
        <f>IF('1. Live'!AF402='check-Jul25'!AF402,"",'1. Live'!AF402-'check-Jul25'!AF402)</f>
        <v/>
      </c>
      <c r="AG402" t="str">
        <f>IF('1. Live'!AG402='check-Jul25'!AG402,"",'1. Live'!AG402-'check-Jul25'!AG402)</f>
        <v/>
      </c>
      <c r="AH402" t="str">
        <f>IF('1. Live'!AH402='check-Jul25'!AH402,"",'1. Live'!AH402-'check-Jul25'!AH402)</f>
        <v/>
      </c>
      <c r="AI402" t="str">
        <f>IF('1. Live'!AI402='check-Jul25'!AI402,"",'1. Live'!AI402-'check-Jul25'!AI402)</f>
        <v/>
      </c>
      <c r="AJ402" t="str">
        <f>IF('1. Live'!AJ402='check-Jul25'!AJ402,"",'1. Live'!AJ402-'check-Jul25'!AJ402)</f>
        <v/>
      </c>
      <c r="AK402" t="str">
        <f>IF('1. Live'!AK402='check-Jul25'!AK402,"",'1. Live'!AK402-'check-Jul25'!AK402)</f>
        <v/>
      </c>
      <c r="AL402" t="str">
        <f>IF('1. Live'!AL402='check-Jul25'!AL402,"",'1. Live'!AL402-'check-Jul25'!AL402)</f>
        <v/>
      </c>
      <c r="AM402" t="str">
        <f>IF('1. Live'!AM402='check-Jul25'!AM402,"",'1. Live'!AM402-'check-Jul25'!AM402)</f>
        <v/>
      </c>
      <c r="AN402" t="str">
        <f>IF('1. Live'!AN402='check-Jul25'!AN402,"",'1. Live'!AN402-'check-Jul25'!AN402)</f>
        <v/>
      </c>
      <c r="AO402" t="str">
        <f>IF('1. Live'!AO402='check-Jul25'!AO402,"",'1. Live'!AO402-'check-Jul25'!AO402)</f>
        <v/>
      </c>
      <c r="AP402" t="str">
        <f>IF('1. Live'!AP402='check-Jul25'!AP402,"",'1. Live'!AP402-'check-Jul25'!AP402)</f>
        <v/>
      </c>
      <c r="AQ402" t="str">
        <f>IF('1. Live'!AQ402='check-Jul25'!AQ402,"",'1. Live'!AQ402-'check-Jul25'!AQ402)</f>
        <v/>
      </c>
      <c r="AR402" t="str">
        <f>IF('1. Live'!AR402='check-Jul25'!AR402,"",'1. Live'!AR402-'check-Jul25'!AR402)</f>
        <v/>
      </c>
      <c r="AS402" t="str">
        <f>IF('1. Live'!AS402='check-Jul25'!AS402,"",'1. Live'!AS402-'check-Jul25'!AS402)</f>
        <v/>
      </c>
      <c r="AT402" t="str">
        <f>IF('1. Live'!AT402='check-Jul25'!AT402,"",'1. Live'!AT402-'check-Jul25'!AT402)</f>
        <v/>
      </c>
      <c r="AU402" t="str">
        <f>IF('1. Live'!AU402='check-Jul25'!AU402,"",'1. Live'!AU402-'check-Jul25'!AU402)</f>
        <v/>
      </c>
      <c r="AV402" t="str">
        <f>IF('1. Live'!AV402='check-Jul25'!AV402,"",'1. Live'!AV402-'check-Jul25'!AV402)</f>
        <v/>
      </c>
      <c r="AW402" t="str">
        <f>IF('1. Live'!AW402='check-Jul25'!AW402,"",'1. Live'!AW402-'check-Jul25'!AW402)</f>
        <v/>
      </c>
      <c r="AX402" t="str">
        <f>IF('1. Live'!AX402='check-Jul25'!AX402,"",'1. Live'!AX402-'check-Jul25'!AX402)</f>
        <v/>
      </c>
      <c r="AY402" t="str">
        <f>IF('1. Live'!AY402='check-Jul25'!AY402,"",'1. Live'!AY402-'check-Jul25'!AY402)</f>
        <v/>
      </c>
      <c r="AZ402" t="str">
        <f>IF('1. Live'!AZ402='check-Jul25'!AZ402,"",'1. Live'!AZ402-'check-Jul25'!AZ402)</f>
        <v/>
      </c>
      <c r="BA402" t="str">
        <f>IF('1. Live'!BA402='check-Jul25'!BA402,"",'1. Live'!BA402-'check-Jul25'!BA402)</f>
        <v/>
      </c>
      <c r="BB402" t="str">
        <f>IF('1. Live'!BB402='check-Jul25'!BB402,"",'1. Live'!BB402-'check-Jul25'!BB402)</f>
        <v/>
      </c>
      <c r="BC402" t="str">
        <f>IF('1. Live'!BC402='check-Jul25'!BC402,"",'1. Live'!BC402-'check-Jul25'!BC402)</f>
        <v/>
      </c>
      <c r="BD402" t="str">
        <f>IF('1. Live'!BD402='check-Jul25'!BD402,"",'1. Live'!BD402-'check-Jul25'!BD402)</f>
        <v/>
      </c>
      <c r="BE402" t="str">
        <f>IF('1. Live'!BE402='check-Jul25'!BE402,"",'1. Live'!BE402-'check-Jul25'!BE402)</f>
        <v/>
      </c>
      <c r="BF402" t="str">
        <f>IF('1. Live'!BF402='check-Jul25'!BF402,"",'1. Live'!BF402-'check-Jul25'!BF402)</f>
        <v/>
      </c>
      <c r="BG402" t="str">
        <f>IF('1. Live'!BG402='check-Jul25'!BG402,"",'1. Live'!BG402-'check-Jul25'!BG402)</f>
        <v/>
      </c>
      <c r="BH402" t="str">
        <f>IF('1. Live'!BH402='check-Jul25'!BH402,"",'1. Live'!BH402-'check-Jul25'!BH402)</f>
        <v/>
      </c>
      <c r="BI402" t="str">
        <f>IF('1. Live'!BI402='check-Jul25'!BI402,"",'1. Live'!BI402-'check-Jul25'!BI402)</f>
        <v/>
      </c>
      <c r="BJ402" t="str">
        <f>IF('1. Live'!BJ402='check-Jul25'!BJ402,"",'1. Live'!BJ402-'check-Jul25'!BJ402)</f>
        <v/>
      </c>
      <c r="BK402" t="str">
        <f>IF('1. Live'!BK402='check-Jul25'!BK402,"",'1. Live'!BK402-'check-Jul25'!BK402)</f>
        <v/>
      </c>
      <c r="BL402" t="str">
        <f>IF('1. Live'!BL402='check-Jul25'!BL402,"",'1. Live'!BL402-'check-Jul25'!BL402)</f>
        <v/>
      </c>
      <c r="BM402" t="str">
        <f>IF('1. Live'!BM402='check-Jul25'!BM402,"",'1. Live'!BM402-'check-Jul25'!BM402)</f>
        <v/>
      </c>
      <c r="BN402" t="str">
        <f>IF('1. Live'!BN402='check-Jul25'!BN402,"",'1. Live'!BN402-'check-Jul25'!BN402)</f>
        <v/>
      </c>
      <c r="BO402" t="str">
        <f>IF('1. Live'!BO402='check-Jul25'!BO402,"",'1. Live'!BO402-'check-Jul25'!BO402)</f>
        <v/>
      </c>
      <c r="BP402" t="str">
        <f>IF('1. Live'!BP402='check-Jul25'!BP402,"",'1. Live'!BP402-'check-Jul25'!BP402)</f>
        <v/>
      </c>
      <c r="BQ402" t="str">
        <f>IF('1. Live'!BQ402='check-Jul25'!BQ402,"",'1. Live'!BQ402-'check-Jul25'!BQ402)</f>
        <v/>
      </c>
      <c r="BR402" t="str">
        <f>IF('1. Live'!BR402='check-Jul25'!BR402,"",'1. Live'!BR402-'check-Jul25'!BR402)</f>
        <v/>
      </c>
      <c r="BS402" t="str">
        <f>IF('1. Live'!BS402='check-Jul25'!BS402,"",'1. Live'!BS402-'check-Jul25'!BS402)</f>
        <v/>
      </c>
      <c r="BT402" t="str">
        <f>IF('1. Live'!BT402='check-Jul25'!BT402,"",'1. Live'!BT402-'check-Jul25'!BT402)</f>
        <v/>
      </c>
      <c r="BU402" t="str">
        <f>IF('1. Live'!BU402='check-Jul25'!BU402,"",'1. Live'!BU402-'check-Jul25'!BU402)</f>
        <v/>
      </c>
      <c r="BV402" t="str">
        <f>IF('1. Live'!BV402='check-Jul25'!BV402,"",'1. Live'!BV402-'check-Jul25'!BV402)</f>
        <v/>
      </c>
      <c r="BW402" t="str">
        <f>IF('1. Live'!BW402='check-Jul25'!BW402,"",'1. Live'!BW402-'check-Jul25'!BW402)</f>
        <v/>
      </c>
      <c r="BX402" t="str">
        <f>IF('1. Live'!BX402='check-Jul25'!BX402,"",'1. Live'!BX402-'check-Jul25'!BX402)</f>
        <v/>
      </c>
      <c r="BY402" t="str">
        <f>IF('1. Live'!BY402='check-Jul25'!BY402,"",'1. Live'!BY402-'check-Jul25'!BY402)</f>
        <v/>
      </c>
      <c r="BZ402" t="str">
        <f>IF('1. Live'!BZ402='check-Jul25'!BZ402,"",'1. Live'!BZ402-'check-Jul25'!BZ402)</f>
        <v/>
      </c>
      <c r="CA402" t="str">
        <f>IF('1. Live'!CA402='check-Jul25'!CA402,"",'1. Live'!CA402-'check-Jul25'!CA402)</f>
        <v/>
      </c>
      <c r="CB402" t="str">
        <f>IF('1. Live'!CB402='check-Jul25'!CB402,"",'1. Live'!CB402-'check-Jul25'!CB402)</f>
        <v/>
      </c>
      <c r="CC402" t="str">
        <f>IF('1. Live'!CC402='check-Jul25'!CC402,"",'1. Live'!CC402-'check-Jul25'!CC402)</f>
        <v/>
      </c>
      <c r="CD402" t="str">
        <f>IF('1. Live'!CD402='check-Jul25'!CD402,"",'1. Live'!CD402-'check-Jul25'!CD402)</f>
        <v/>
      </c>
      <c r="CE402" t="str">
        <f>IF('1. Live'!CE402='check-Jul25'!CE402,"",'1. Live'!CE402-'check-Jul25'!CE402)</f>
        <v/>
      </c>
      <c r="CF402" t="str">
        <f>IF('1. Live'!CF402='check-Jul25'!CF402,"",'1. Live'!CF402-'check-Jul25'!CF402)</f>
        <v/>
      </c>
      <c r="CG402" t="str">
        <f>IF('1. Live'!CG402='check-Jul25'!CG402,"",'1. Live'!CG402-'check-Jul25'!CG402)</f>
        <v/>
      </c>
      <c r="CH402" t="str">
        <f>IF('1. Live'!CH402='check-Jul25'!CH402,"",'1. Live'!CH402-'check-Jul25'!CH402)</f>
        <v/>
      </c>
      <c r="CI402" t="str">
        <f>IF('1. Live'!CI402='check-Jul25'!CI402,"",'1. Live'!CI402-'check-Jul25'!CI402)</f>
        <v/>
      </c>
      <c r="CJ402" t="str">
        <f>IF('1. Live'!CJ402='check-Jul25'!CJ402,"",'1. Live'!CJ402-'check-Jul25'!CJ402)</f>
        <v/>
      </c>
      <c r="CK402" t="str">
        <f>IF('1. Live'!CK402='check-Jul25'!CK402,"",'1. Live'!CK402-'check-Jul25'!CK402)</f>
        <v/>
      </c>
      <c r="CL402" t="str">
        <f>IF('1. Live'!CL402='check-Jul25'!CL402,"",'1. Live'!CL402-'check-Jul25'!CL402)</f>
        <v/>
      </c>
      <c r="CM402" t="str">
        <f>IF('1. Live'!CM402='check-Jul25'!CM402,"",'1. Live'!CM402-'check-Jul25'!CM402)</f>
        <v/>
      </c>
      <c r="CN402" t="str">
        <f>IF('1. Live'!CN402='check-Jul25'!CN402,"",'1. Live'!CN402-'check-Jul25'!CN402)</f>
        <v/>
      </c>
      <c r="CO402" t="str">
        <f>IF('1. Live'!CO402='check-Jul25'!CO402,"",'1. Live'!CO402-'check-Jul25'!CO402)</f>
        <v/>
      </c>
      <c r="CP402" t="str">
        <f>IF('1. Live'!CP402='check-Jul25'!CP402,"",'1. Live'!CP402-'check-Jul25'!CP402)</f>
        <v/>
      </c>
      <c r="CQ402" t="str">
        <f>IF('1. Live'!CQ402='check-Jul25'!CQ402,"",'1. Live'!CQ402-'check-Jul25'!CQ402)</f>
        <v/>
      </c>
      <c r="CR402" t="str">
        <f>IF('1. Live'!CR402='check-Jul25'!CR402,"",'1. Live'!CR402-'check-Jul25'!CR402)</f>
        <v/>
      </c>
      <c r="CS402" t="str">
        <f>IF('1. Live'!CS402='check-Jul25'!CS402,"",'1. Live'!CS402-'check-Jul25'!CS402)</f>
        <v/>
      </c>
      <c r="CT402" t="str">
        <f>IF('1. Live'!CT402='check-Jul25'!CT402,"",'1. Live'!CT402-'check-Jul25'!CT402)</f>
        <v/>
      </c>
      <c r="CU402" t="str">
        <f>IF('1. Live'!CU402='check-Jul25'!CU402,"",'1. Live'!CU402-'check-Jul25'!CU402)</f>
        <v/>
      </c>
      <c r="CV402" t="str">
        <f>IF('1. Live'!CV402='check-Jul25'!CV402,"",'1. Live'!CV402-'check-Jul25'!CV402)</f>
        <v/>
      </c>
      <c r="CW402" t="str">
        <f>IF('1. Live'!CW402='check-Jul25'!CW402,"",'1. Live'!CW402-'check-Jul25'!CW402)</f>
        <v/>
      </c>
    </row>
    <row r="403" spans="10:101">
      <c r="J403" t="str">
        <f>IF('1. Live'!J403='check-Jul25'!J403,"",'1. Live'!J403-'check-Jul25'!J403)</f>
        <v/>
      </c>
      <c r="K403" t="str">
        <f>IF('1. Live'!K403='check-Jul25'!K403,"",'1. Live'!K403-'check-Jul25'!K403)</f>
        <v/>
      </c>
      <c r="L403" t="str">
        <f>IF('1. Live'!L403='check-Jul25'!L403,"",'1. Live'!L403-'check-Jul25'!L403)</f>
        <v/>
      </c>
      <c r="M403" t="str">
        <f>IF('1. Live'!M403='check-Jul25'!M403,"",'1. Live'!M403-'check-Jul25'!M403)</f>
        <v/>
      </c>
      <c r="N403" t="str">
        <f>IF('1. Live'!N403='check-Jul25'!N403,"",'1. Live'!N403-'check-Jul25'!N403)</f>
        <v/>
      </c>
      <c r="O403" t="str">
        <f>IF('1. Live'!O403='check-Jul25'!O403,"",'1. Live'!O403-'check-Jul25'!O403)</f>
        <v/>
      </c>
      <c r="P403" t="str">
        <f>IF('1. Live'!P403='check-Jul25'!P403,"",'1. Live'!P403-'check-Jul25'!P403)</f>
        <v/>
      </c>
      <c r="Q403" t="str">
        <f>IF('1. Live'!Q403='check-Jul25'!Q403,"",'1. Live'!Q403-'check-Jul25'!Q403)</f>
        <v/>
      </c>
      <c r="R403" t="str">
        <f>IF('1. Live'!R403='check-Jul25'!R403,"",'1. Live'!R403-'check-Jul25'!R403)</f>
        <v/>
      </c>
      <c r="S403" t="str">
        <f>IF('1. Live'!S403='check-Jul25'!S403,"",'1. Live'!S403-'check-Jul25'!S403)</f>
        <v/>
      </c>
      <c r="T403" t="str">
        <f>IF('1. Live'!T403='check-Jul25'!T403,"",'1. Live'!T403-'check-Jul25'!T403)</f>
        <v/>
      </c>
      <c r="U403" t="str">
        <f>IF('1. Live'!U403='check-Jul25'!U403,"",'1. Live'!U403-'check-Jul25'!U403)</f>
        <v/>
      </c>
      <c r="V403" t="str">
        <f>IF('1. Live'!V403='check-Jul25'!V403,"",'1. Live'!V403-'check-Jul25'!V403)</f>
        <v/>
      </c>
      <c r="W403" t="str">
        <f>IF('1. Live'!W403='check-Jul25'!W403,"",'1. Live'!W403-'check-Jul25'!W403)</f>
        <v/>
      </c>
      <c r="X403" t="str">
        <f>IF('1. Live'!X403='check-Jul25'!X403,"",'1. Live'!X403-'check-Jul25'!X403)</f>
        <v/>
      </c>
      <c r="Y403" t="str">
        <f>IF('1. Live'!Y403='check-Jul25'!Y403,"",'1. Live'!Y403-'check-Jul25'!Y403)</f>
        <v/>
      </c>
      <c r="Z403" t="str">
        <f>IF('1. Live'!Z403='check-Jul25'!Z403,"",'1. Live'!Z403-'check-Jul25'!Z403)</f>
        <v/>
      </c>
      <c r="AA403" t="str">
        <f>IF('1. Live'!AA403='check-Jul25'!AA403,"",'1. Live'!AA403-'check-Jul25'!AA403)</f>
        <v/>
      </c>
      <c r="AB403" t="str">
        <f>IF('1. Live'!AB403='check-Jul25'!AB403,"",'1. Live'!AB403-'check-Jul25'!AB403)</f>
        <v/>
      </c>
      <c r="AC403" t="str">
        <f>IF('1. Live'!AC403='check-Jul25'!AC403,"",'1. Live'!AC403-'check-Jul25'!AC403)</f>
        <v/>
      </c>
      <c r="AD403" t="str">
        <f>IF('1. Live'!AD403='check-Jul25'!AD403,"",'1. Live'!AD403-'check-Jul25'!AD403)</f>
        <v/>
      </c>
      <c r="AE403" t="str">
        <f>IF('1. Live'!AE403='check-Jul25'!AE403,"",'1. Live'!AE403-'check-Jul25'!AE403)</f>
        <v/>
      </c>
      <c r="AF403" t="str">
        <f>IF('1. Live'!AF403='check-Jul25'!AF403,"",'1. Live'!AF403-'check-Jul25'!AF403)</f>
        <v/>
      </c>
      <c r="AG403" t="str">
        <f>IF('1. Live'!AG403='check-Jul25'!AG403,"",'1. Live'!AG403-'check-Jul25'!AG403)</f>
        <v/>
      </c>
      <c r="AH403" t="str">
        <f>IF('1. Live'!AH403='check-Jul25'!AH403,"",'1. Live'!AH403-'check-Jul25'!AH403)</f>
        <v/>
      </c>
      <c r="AI403" t="str">
        <f>IF('1. Live'!AI403='check-Jul25'!AI403,"",'1. Live'!AI403-'check-Jul25'!AI403)</f>
        <v/>
      </c>
      <c r="AJ403" t="str">
        <f>IF('1. Live'!AJ403='check-Jul25'!AJ403,"",'1. Live'!AJ403-'check-Jul25'!AJ403)</f>
        <v/>
      </c>
      <c r="AK403" t="str">
        <f>IF('1. Live'!AK403='check-Jul25'!AK403,"",'1. Live'!AK403-'check-Jul25'!AK403)</f>
        <v/>
      </c>
      <c r="AL403" t="str">
        <f>IF('1. Live'!AL403='check-Jul25'!AL403,"",'1. Live'!AL403-'check-Jul25'!AL403)</f>
        <v/>
      </c>
      <c r="AM403" t="str">
        <f>IF('1. Live'!AM403='check-Jul25'!AM403,"",'1. Live'!AM403-'check-Jul25'!AM403)</f>
        <v/>
      </c>
      <c r="AN403" t="str">
        <f>IF('1. Live'!AN403='check-Jul25'!AN403,"",'1. Live'!AN403-'check-Jul25'!AN403)</f>
        <v/>
      </c>
      <c r="AO403" t="str">
        <f>IF('1. Live'!AO403='check-Jul25'!AO403,"",'1. Live'!AO403-'check-Jul25'!AO403)</f>
        <v/>
      </c>
      <c r="AP403" t="str">
        <f>IF('1. Live'!AP403='check-Jul25'!AP403,"",'1. Live'!AP403-'check-Jul25'!AP403)</f>
        <v/>
      </c>
      <c r="AQ403" t="str">
        <f>IF('1. Live'!AQ403='check-Jul25'!AQ403,"",'1. Live'!AQ403-'check-Jul25'!AQ403)</f>
        <v/>
      </c>
      <c r="AR403" t="str">
        <f>IF('1. Live'!AR403='check-Jul25'!AR403,"",'1. Live'!AR403-'check-Jul25'!AR403)</f>
        <v/>
      </c>
      <c r="AS403" t="str">
        <f>IF('1. Live'!AS403='check-Jul25'!AS403,"",'1. Live'!AS403-'check-Jul25'!AS403)</f>
        <v/>
      </c>
      <c r="AT403" t="str">
        <f>IF('1. Live'!AT403='check-Jul25'!AT403,"",'1. Live'!AT403-'check-Jul25'!AT403)</f>
        <v/>
      </c>
      <c r="AU403" t="str">
        <f>IF('1. Live'!AU403='check-Jul25'!AU403,"",'1. Live'!AU403-'check-Jul25'!AU403)</f>
        <v/>
      </c>
      <c r="AV403" t="str">
        <f>IF('1. Live'!AV403='check-Jul25'!AV403,"",'1. Live'!AV403-'check-Jul25'!AV403)</f>
        <v/>
      </c>
      <c r="AW403" t="str">
        <f>IF('1. Live'!AW403='check-Jul25'!AW403,"",'1. Live'!AW403-'check-Jul25'!AW403)</f>
        <v/>
      </c>
      <c r="AX403" t="str">
        <f>IF('1. Live'!AX403='check-Jul25'!AX403,"",'1. Live'!AX403-'check-Jul25'!AX403)</f>
        <v/>
      </c>
      <c r="AY403" t="str">
        <f>IF('1. Live'!AY403='check-Jul25'!AY403,"",'1. Live'!AY403-'check-Jul25'!AY403)</f>
        <v/>
      </c>
      <c r="AZ403" t="str">
        <f>IF('1. Live'!AZ403='check-Jul25'!AZ403,"",'1. Live'!AZ403-'check-Jul25'!AZ403)</f>
        <v/>
      </c>
      <c r="BA403" t="str">
        <f>IF('1. Live'!BA403='check-Jul25'!BA403,"",'1. Live'!BA403-'check-Jul25'!BA403)</f>
        <v/>
      </c>
      <c r="BB403" t="str">
        <f>IF('1. Live'!BB403='check-Jul25'!BB403,"",'1. Live'!BB403-'check-Jul25'!BB403)</f>
        <v/>
      </c>
      <c r="BC403" t="str">
        <f>IF('1. Live'!BC403='check-Jul25'!BC403,"",'1. Live'!BC403-'check-Jul25'!BC403)</f>
        <v/>
      </c>
      <c r="BD403" t="str">
        <f>IF('1. Live'!BD403='check-Jul25'!BD403,"",'1. Live'!BD403-'check-Jul25'!BD403)</f>
        <v/>
      </c>
      <c r="BE403" t="str">
        <f>IF('1. Live'!BE403='check-Jul25'!BE403,"",'1. Live'!BE403-'check-Jul25'!BE403)</f>
        <v/>
      </c>
      <c r="BF403" t="str">
        <f>IF('1. Live'!BF403='check-Jul25'!BF403,"",'1. Live'!BF403-'check-Jul25'!BF403)</f>
        <v/>
      </c>
      <c r="BG403" t="str">
        <f>IF('1. Live'!BG403='check-Jul25'!BG403,"",'1. Live'!BG403-'check-Jul25'!BG403)</f>
        <v/>
      </c>
      <c r="BH403" t="str">
        <f>IF('1. Live'!BH403='check-Jul25'!BH403,"",'1. Live'!BH403-'check-Jul25'!BH403)</f>
        <v/>
      </c>
      <c r="BI403" t="str">
        <f>IF('1. Live'!BI403='check-Jul25'!BI403,"",'1. Live'!BI403-'check-Jul25'!BI403)</f>
        <v/>
      </c>
      <c r="BJ403" t="str">
        <f>IF('1. Live'!BJ403='check-Jul25'!BJ403,"",'1. Live'!BJ403-'check-Jul25'!BJ403)</f>
        <v/>
      </c>
      <c r="BK403" t="str">
        <f>IF('1. Live'!BK403='check-Jul25'!BK403,"",'1. Live'!BK403-'check-Jul25'!BK403)</f>
        <v/>
      </c>
      <c r="BL403" t="str">
        <f>IF('1. Live'!BL403='check-Jul25'!BL403,"",'1. Live'!BL403-'check-Jul25'!BL403)</f>
        <v/>
      </c>
      <c r="BM403" t="str">
        <f>IF('1. Live'!BM403='check-Jul25'!BM403,"",'1. Live'!BM403-'check-Jul25'!BM403)</f>
        <v/>
      </c>
      <c r="BN403" t="str">
        <f>IF('1. Live'!BN403='check-Jul25'!BN403,"",'1. Live'!BN403-'check-Jul25'!BN403)</f>
        <v/>
      </c>
      <c r="BO403" t="str">
        <f>IF('1. Live'!BO403='check-Jul25'!BO403,"",'1. Live'!BO403-'check-Jul25'!BO403)</f>
        <v/>
      </c>
      <c r="BP403" t="str">
        <f>IF('1. Live'!BP403='check-Jul25'!BP403,"",'1. Live'!BP403-'check-Jul25'!BP403)</f>
        <v/>
      </c>
      <c r="BQ403" t="str">
        <f>IF('1. Live'!BQ403='check-Jul25'!BQ403,"",'1. Live'!BQ403-'check-Jul25'!BQ403)</f>
        <v/>
      </c>
      <c r="BR403" t="str">
        <f>IF('1. Live'!BR403='check-Jul25'!BR403,"",'1. Live'!BR403-'check-Jul25'!BR403)</f>
        <v/>
      </c>
      <c r="BS403" t="str">
        <f>IF('1. Live'!BS403='check-Jul25'!BS403,"",'1. Live'!BS403-'check-Jul25'!BS403)</f>
        <v/>
      </c>
      <c r="BT403" t="str">
        <f>IF('1. Live'!BT403='check-Jul25'!BT403,"",'1. Live'!BT403-'check-Jul25'!BT403)</f>
        <v/>
      </c>
      <c r="BU403" t="str">
        <f>IF('1. Live'!BU403='check-Jul25'!BU403,"",'1. Live'!BU403-'check-Jul25'!BU403)</f>
        <v/>
      </c>
      <c r="BV403" t="str">
        <f>IF('1. Live'!BV403='check-Jul25'!BV403,"",'1. Live'!BV403-'check-Jul25'!BV403)</f>
        <v/>
      </c>
      <c r="BW403" t="str">
        <f>IF('1. Live'!BW403='check-Jul25'!BW403,"",'1. Live'!BW403-'check-Jul25'!BW403)</f>
        <v/>
      </c>
      <c r="BX403" t="str">
        <f>IF('1. Live'!BX403='check-Jul25'!BX403,"",'1. Live'!BX403-'check-Jul25'!BX403)</f>
        <v/>
      </c>
      <c r="BY403" t="str">
        <f>IF('1. Live'!BY403='check-Jul25'!BY403,"",'1. Live'!BY403-'check-Jul25'!BY403)</f>
        <v/>
      </c>
      <c r="BZ403" t="str">
        <f>IF('1. Live'!BZ403='check-Jul25'!BZ403,"",'1. Live'!BZ403-'check-Jul25'!BZ403)</f>
        <v/>
      </c>
      <c r="CA403" t="str">
        <f>IF('1. Live'!CA403='check-Jul25'!CA403,"",'1. Live'!CA403-'check-Jul25'!CA403)</f>
        <v/>
      </c>
      <c r="CB403" t="str">
        <f>IF('1. Live'!CB403='check-Jul25'!CB403,"",'1. Live'!CB403-'check-Jul25'!CB403)</f>
        <v/>
      </c>
      <c r="CC403" t="str">
        <f>IF('1. Live'!CC403='check-Jul25'!CC403,"",'1. Live'!CC403-'check-Jul25'!CC403)</f>
        <v/>
      </c>
      <c r="CD403" t="str">
        <f>IF('1. Live'!CD403='check-Jul25'!CD403,"",'1. Live'!CD403-'check-Jul25'!CD403)</f>
        <v/>
      </c>
      <c r="CE403" t="str">
        <f>IF('1. Live'!CE403='check-Jul25'!CE403,"",'1. Live'!CE403-'check-Jul25'!CE403)</f>
        <v/>
      </c>
      <c r="CF403" t="str">
        <f>IF('1. Live'!CF403='check-Jul25'!CF403,"",'1. Live'!CF403-'check-Jul25'!CF403)</f>
        <v/>
      </c>
      <c r="CG403" t="str">
        <f>IF('1. Live'!CG403='check-Jul25'!CG403,"",'1. Live'!CG403-'check-Jul25'!CG403)</f>
        <v/>
      </c>
      <c r="CH403" t="str">
        <f>IF('1. Live'!CH403='check-Jul25'!CH403,"",'1. Live'!CH403-'check-Jul25'!CH403)</f>
        <v/>
      </c>
      <c r="CI403" t="str">
        <f>IF('1. Live'!CI403='check-Jul25'!CI403,"",'1. Live'!CI403-'check-Jul25'!CI403)</f>
        <v/>
      </c>
      <c r="CJ403" t="str">
        <f>IF('1. Live'!CJ403='check-Jul25'!CJ403,"",'1. Live'!CJ403-'check-Jul25'!CJ403)</f>
        <v/>
      </c>
      <c r="CK403" t="str">
        <f>IF('1. Live'!CK403='check-Jul25'!CK403,"",'1. Live'!CK403-'check-Jul25'!CK403)</f>
        <v/>
      </c>
      <c r="CL403" t="str">
        <f>IF('1. Live'!CL403='check-Jul25'!CL403,"",'1. Live'!CL403-'check-Jul25'!CL403)</f>
        <v/>
      </c>
      <c r="CM403" t="str">
        <f>IF('1. Live'!CM403='check-Jul25'!CM403,"",'1. Live'!CM403-'check-Jul25'!CM403)</f>
        <v/>
      </c>
      <c r="CN403" t="str">
        <f>IF('1. Live'!CN403='check-Jul25'!CN403,"",'1. Live'!CN403-'check-Jul25'!CN403)</f>
        <v/>
      </c>
      <c r="CO403" t="str">
        <f>IF('1. Live'!CO403='check-Jul25'!CO403,"",'1. Live'!CO403-'check-Jul25'!CO403)</f>
        <v/>
      </c>
      <c r="CP403" t="str">
        <f>IF('1. Live'!CP403='check-Jul25'!CP403,"",'1. Live'!CP403-'check-Jul25'!CP403)</f>
        <v/>
      </c>
      <c r="CQ403" t="str">
        <f>IF('1. Live'!CQ403='check-Jul25'!CQ403,"",'1. Live'!CQ403-'check-Jul25'!CQ403)</f>
        <v/>
      </c>
      <c r="CR403" t="str">
        <f>IF('1. Live'!CR403='check-Jul25'!CR403,"",'1. Live'!CR403-'check-Jul25'!CR403)</f>
        <v/>
      </c>
      <c r="CS403" t="str">
        <f>IF('1. Live'!CS403='check-Jul25'!CS403,"",'1. Live'!CS403-'check-Jul25'!CS403)</f>
        <v/>
      </c>
      <c r="CT403" t="str">
        <f>IF('1. Live'!CT403='check-Jul25'!CT403,"",'1. Live'!CT403-'check-Jul25'!CT403)</f>
        <v/>
      </c>
      <c r="CU403" t="str">
        <f>IF('1. Live'!CU403='check-Jul25'!CU403,"",'1. Live'!CU403-'check-Jul25'!CU403)</f>
        <v/>
      </c>
      <c r="CV403" t="str">
        <f>IF('1. Live'!CV403='check-Jul25'!CV403,"",'1. Live'!CV403-'check-Jul25'!CV403)</f>
        <v/>
      </c>
      <c r="CW403" t="str">
        <f>IF('1. Live'!CW403='check-Jul25'!CW403,"",'1. Live'!CW403-'check-Jul25'!CW403)</f>
        <v/>
      </c>
    </row>
    <row r="404" spans="10:101">
      <c r="J404" t="str">
        <f>IF('1. Live'!J404='check-Jul25'!J404,"",'1. Live'!J404-'check-Jul25'!J404)</f>
        <v/>
      </c>
      <c r="K404" t="str">
        <f>IF('1. Live'!K404='check-Jul25'!K404,"",'1. Live'!K404-'check-Jul25'!K404)</f>
        <v/>
      </c>
      <c r="L404" t="str">
        <f>IF('1. Live'!L404='check-Jul25'!L404,"",'1. Live'!L404-'check-Jul25'!L404)</f>
        <v/>
      </c>
      <c r="M404" t="str">
        <f>IF('1. Live'!M404='check-Jul25'!M404,"",'1. Live'!M404-'check-Jul25'!M404)</f>
        <v/>
      </c>
      <c r="N404" t="str">
        <f>IF('1. Live'!N404='check-Jul25'!N404,"",'1. Live'!N404-'check-Jul25'!N404)</f>
        <v/>
      </c>
      <c r="O404" t="str">
        <f>IF('1. Live'!O404='check-Jul25'!O404,"",'1. Live'!O404-'check-Jul25'!O404)</f>
        <v/>
      </c>
      <c r="P404" t="str">
        <f>IF('1. Live'!P404='check-Jul25'!P404,"",'1. Live'!P404-'check-Jul25'!P404)</f>
        <v/>
      </c>
      <c r="Q404" t="str">
        <f>IF('1. Live'!Q404='check-Jul25'!Q404,"",'1. Live'!Q404-'check-Jul25'!Q404)</f>
        <v/>
      </c>
      <c r="R404" t="str">
        <f>IF('1. Live'!R404='check-Jul25'!R404,"",'1. Live'!R404-'check-Jul25'!R404)</f>
        <v/>
      </c>
      <c r="S404" t="str">
        <f>IF('1. Live'!S404='check-Jul25'!S404,"",'1. Live'!S404-'check-Jul25'!S404)</f>
        <v/>
      </c>
      <c r="T404" t="str">
        <f>IF('1. Live'!T404='check-Jul25'!T404,"",'1. Live'!T404-'check-Jul25'!T404)</f>
        <v/>
      </c>
      <c r="U404" t="str">
        <f>IF('1. Live'!U404='check-Jul25'!U404,"",'1. Live'!U404-'check-Jul25'!U404)</f>
        <v/>
      </c>
      <c r="V404" t="str">
        <f>IF('1. Live'!V404='check-Jul25'!V404,"",'1. Live'!V404-'check-Jul25'!V404)</f>
        <v/>
      </c>
      <c r="W404" t="str">
        <f>IF('1. Live'!W404='check-Jul25'!W404,"",'1. Live'!W404-'check-Jul25'!W404)</f>
        <v/>
      </c>
      <c r="X404" t="str">
        <f>IF('1. Live'!X404='check-Jul25'!X404,"",'1. Live'!X404-'check-Jul25'!X404)</f>
        <v/>
      </c>
      <c r="Y404" t="str">
        <f>IF('1. Live'!Y404='check-Jul25'!Y404,"",'1. Live'!Y404-'check-Jul25'!Y404)</f>
        <v/>
      </c>
      <c r="Z404" t="str">
        <f>IF('1. Live'!Z404='check-Jul25'!Z404,"",'1. Live'!Z404-'check-Jul25'!Z404)</f>
        <v/>
      </c>
      <c r="AA404" t="str">
        <f>IF('1. Live'!AA404='check-Jul25'!AA404,"",'1. Live'!AA404-'check-Jul25'!AA404)</f>
        <v/>
      </c>
      <c r="AB404" t="str">
        <f>IF('1. Live'!AB404='check-Jul25'!AB404,"",'1. Live'!AB404-'check-Jul25'!AB404)</f>
        <v/>
      </c>
      <c r="AC404" t="str">
        <f>IF('1. Live'!AC404='check-Jul25'!AC404,"",'1. Live'!AC404-'check-Jul25'!AC404)</f>
        <v/>
      </c>
      <c r="AD404" t="str">
        <f>IF('1. Live'!AD404='check-Jul25'!AD404,"",'1. Live'!AD404-'check-Jul25'!AD404)</f>
        <v/>
      </c>
      <c r="AE404" t="str">
        <f>IF('1. Live'!AE404='check-Jul25'!AE404,"",'1. Live'!AE404-'check-Jul25'!AE404)</f>
        <v/>
      </c>
      <c r="AF404" t="str">
        <f>IF('1. Live'!AF404='check-Jul25'!AF404,"",'1. Live'!AF404-'check-Jul25'!AF404)</f>
        <v/>
      </c>
      <c r="AG404" t="str">
        <f>IF('1. Live'!AG404='check-Jul25'!AG404,"",'1. Live'!AG404-'check-Jul25'!AG404)</f>
        <v/>
      </c>
      <c r="AH404" t="str">
        <f>IF('1. Live'!AH404='check-Jul25'!AH404,"",'1. Live'!AH404-'check-Jul25'!AH404)</f>
        <v/>
      </c>
      <c r="AI404" t="str">
        <f>IF('1. Live'!AI404='check-Jul25'!AI404,"",'1. Live'!AI404-'check-Jul25'!AI404)</f>
        <v/>
      </c>
      <c r="AJ404" t="str">
        <f>IF('1. Live'!AJ404='check-Jul25'!AJ404,"",'1. Live'!AJ404-'check-Jul25'!AJ404)</f>
        <v/>
      </c>
      <c r="AK404" t="str">
        <f>IF('1. Live'!AK404='check-Jul25'!AK404,"",'1. Live'!AK404-'check-Jul25'!AK404)</f>
        <v/>
      </c>
      <c r="AL404" t="str">
        <f>IF('1. Live'!AL404='check-Jul25'!AL404,"",'1. Live'!AL404-'check-Jul25'!AL404)</f>
        <v/>
      </c>
      <c r="AM404" t="str">
        <f>IF('1. Live'!AM404='check-Jul25'!AM404,"",'1. Live'!AM404-'check-Jul25'!AM404)</f>
        <v/>
      </c>
      <c r="AN404" t="str">
        <f>IF('1. Live'!AN404='check-Jul25'!AN404,"",'1. Live'!AN404-'check-Jul25'!AN404)</f>
        <v/>
      </c>
      <c r="AO404" t="str">
        <f>IF('1. Live'!AO404='check-Jul25'!AO404,"",'1. Live'!AO404-'check-Jul25'!AO404)</f>
        <v/>
      </c>
      <c r="AP404" t="str">
        <f>IF('1. Live'!AP404='check-Jul25'!AP404,"",'1. Live'!AP404-'check-Jul25'!AP404)</f>
        <v/>
      </c>
      <c r="AQ404" t="str">
        <f>IF('1. Live'!AQ404='check-Jul25'!AQ404,"",'1. Live'!AQ404-'check-Jul25'!AQ404)</f>
        <v/>
      </c>
      <c r="AR404" t="str">
        <f>IF('1. Live'!AR404='check-Jul25'!AR404,"",'1. Live'!AR404-'check-Jul25'!AR404)</f>
        <v/>
      </c>
      <c r="AS404" t="str">
        <f>IF('1. Live'!AS404='check-Jul25'!AS404,"",'1. Live'!AS404-'check-Jul25'!AS404)</f>
        <v/>
      </c>
      <c r="AT404" t="str">
        <f>IF('1. Live'!AT404='check-Jul25'!AT404,"",'1. Live'!AT404-'check-Jul25'!AT404)</f>
        <v/>
      </c>
      <c r="AU404" t="str">
        <f>IF('1. Live'!AU404='check-Jul25'!AU404,"",'1. Live'!AU404-'check-Jul25'!AU404)</f>
        <v/>
      </c>
      <c r="AV404" t="str">
        <f>IF('1. Live'!AV404='check-Jul25'!AV404,"",'1. Live'!AV404-'check-Jul25'!AV404)</f>
        <v/>
      </c>
      <c r="AW404" t="str">
        <f>IF('1. Live'!AW404='check-Jul25'!AW404,"",'1. Live'!AW404-'check-Jul25'!AW404)</f>
        <v/>
      </c>
      <c r="AX404" t="str">
        <f>IF('1. Live'!AX404='check-Jul25'!AX404,"",'1. Live'!AX404-'check-Jul25'!AX404)</f>
        <v/>
      </c>
      <c r="AY404" t="str">
        <f>IF('1. Live'!AY404='check-Jul25'!AY404,"",'1. Live'!AY404-'check-Jul25'!AY404)</f>
        <v/>
      </c>
      <c r="AZ404" t="str">
        <f>IF('1. Live'!AZ404='check-Jul25'!AZ404,"",'1. Live'!AZ404-'check-Jul25'!AZ404)</f>
        <v/>
      </c>
      <c r="BA404" t="str">
        <f>IF('1. Live'!BA404='check-Jul25'!BA404,"",'1. Live'!BA404-'check-Jul25'!BA404)</f>
        <v/>
      </c>
      <c r="BB404" t="str">
        <f>IF('1. Live'!BB404='check-Jul25'!BB404,"",'1. Live'!BB404-'check-Jul25'!BB404)</f>
        <v/>
      </c>
      <c r="BC404" t="str">
        <f>IF('1. Live'!BC404='check-Jul25'!BC404,"",'1. Live'!BC404-'check-Jul25'!BC404)</f>
        <v/>
      </c>
      <c r="BD404" t="str">
        <f>IF('1. Live'!BD404='check-Jul25'!BD404,"",'1. Live'!BD404-'check-Jul25'!BD404)</f>
        <v/>
      </c>
      <c r="BE404" t="str">
        <f>IF('1. Live'!BE404='check-Jul25'!BE404,"",'1. Live'!BE404-'check-Jul25'!BE404)</f>
        <v/>
      </c>
      <c r="BF404" t="str">
        <f>IF('1. Live'!BF404='check-Jul25'!BF404,"",'1. Live'!BF404-'check-Jul25'!BF404)</f>
        <v/>
      </c>
      <c r="BG404" t="str">
        <f>IF('1. Live'!BG404='check-Jul25'!BG404,"",'1. Live'!BG404-'check-Jul25'!BG404)</f>
        <v/>
      </c>
      <c r="BH404" t="str">
        <f>IF('1. Live'!BH404='check-Jul25'!BH404,"",'1. Live'!BH404-'check-Jul25'!BH404)</f>
        <v/>
      </c>
      <c r="BI404" t="str">
        <f>IF('1. Live'!BI404='check-Jul25'!BI404,"",'1. Live'!BI404-'check-Jul25'!BI404)</f>
        <v/>
      </c>
      <c r="BJ404" t="str">
        <f>IF('1. Live'!BJ404='check-Jul25'!BJ404,"",'1. Live'!BJ404-'check-Jul25'!BJ404)</f>
        <v/>
      </c>
      <c r="BK404" t="str">
        <f>IF('1. Live'!BK404='check-Jul25'!BK404,"",'1. Live'!BK404-'check-Jul25'!BK404)</f>
        <v/>
      </c>
      <c r="BL404" t="str">
        <f>IF('1. Live'!BL404='check-Jul25'!BL404,"",'1. Live'!BL404-'check-Jul25'!BL404)</f>
        <v/>
      </c>
      <c r="BM404" t="str">
        <f>IF('1. Live'!BM404='check-Jul25'!BM404,"",'1. Live'!BM404-'check-Jul25'!BM404)</f>
        <v/>
      </c>
      <c r="BN404" t="str">
        <f>IF('1. Live'!BN404='check-Jul25'!BN404,"",'1. Live'!BN404-'check-Jul25'!BN404)</f>
        <v/>
      </c>
      <c r="BO404" t="str">
        <f>IF('1. Live'!BO404='check-Jul25'!BO404,"",'1. Live'!BO404-'check-Jul25'!BO404)</f>
        <v/>
      </c>
      <c r="BP404" t="str">
        <f>IF('1. Live'!BP404='check-Jul25'!BP404,"",'1. Live'!BP404-'check-Jul25'!BP404)</f>
        <v/>
      </c>
      <c r="BQ404" t="str">
        <f>IF('1. Live'!BQ404='check-Jul25'!BQ404,"",'1. Live'!BQ404-'check-Jul25'!BQ404)</f>
        <v/>
      </c>
      <c r="BR404" t="str">
        <f>IF('1. Live'!BR404='check-Jul25'!BR404,"",'1. Live'!BR404-'check-Jul25'!BR404)</f>
        <v/>
      </c>
      <c r="BS404" t="str">
        <f>IF('1. Live'!BS404='check-Jul25'!BS404,"",'1. Live'!BS404-'check-Jul25'!BS404)</f>
        <v/>
      </c>
      <c r="BT404" t="str">
        <f>IF('1. Live'!BT404='check-Jul25'!BT404,"",'1. Live'!BT404-'check-Jul25'!BT404)</f>
        <v/>
      </c>
      <c r="BU404" t="str">
        <f>IF('1. Live'!BU404='check-Jul25'!BU404,"",'1. Live'!BU404-'check-Jul25'!BU404)</f>
        <v/>
      </c>
      <c r="BV404" t="str">
        <f>IF('1. Live'!BV404='check-Jul25'!BV404,"",'1. Live'!BV404-'check-Jul25'!BV404)</f>
        <v/>
      </c>
      <c r="BW404" t="str">
        <f>IF('1. Live'!BW404='check-Jul25'!BW404,"",'1. Live'!BW404-'check-Jul25'!BW404)</f>
        <v/>
      </c>
      <c r="BX404" t="str">
        <f>IF('1. Live'!BX404='check-Jul25'!BX404,"",'1. Live'!BX404-'check-Jul25'!BX404)</f>
        <v/>
      </c>
      <c r="BY404" t="str">
        <f>IF('1. Live'!BY404='check-Jul25'!BY404,"",'1. Live'!BY404-'check-Jul25'!BY404)</f>
        <v/>
      </c>
      <c r="BZ404" t="str">
        <f>IF('1. Live'!BZ404='check-Jul25'!BZ404,"",'1. Live'!BZ404-'check-Jul25'!BZ404)</f>
        <v/>
      </c>
      <c r="CA404" t="str">
        <f>IF('1. Live'!CA404='check-Jul25'!CA404,"",'1. Live'!CA404-'check-Jul25'!CA404)</f>
        <v/>
      </c>
      <c r="CB404" t="str">
        <f>IF('1. Live'!CB404='check-Jul25'!CB404,"",'1. Live'!CB404-'check-Jul25'!CB404)</f>
        <v/>
      </c>
      <c r="CC404" t="str">
        <f>IF('1. Live'!CC404='check-Jul25'!CC404,"",'1. Live'!CC404-'check-Jul25'!CC404)</f>
        <v/>
      </c>
      <c r="CD404" t="str">
        <f>IF('1. Live'!CD404='check-Jul25'!CD404,"",'1. Live'!CD404-'check-Jul25'!CD404)</f>
        <v/>
      </c>
      <c r="CE404" t="str">
        <f>IF('1. Live'!CE404='check-Jul25'!CE404,"",'1. Live'!CE404-'check-Jul25'!CE404)</f>
        <v/>
      </c>
      <c r="CF404" t="str">
        <f>IF('1. Live'!CF404='check-Jul25'!CF404,"",'1. Live'!CF404-'check-Jul25'!CF404)</f>
        <v/>
      </c>
      <c r="CG404" t="str">
        <f>IF('1. Live'!CG404='check-Jul25'!CG404,"",'1. Live'!CG404-'check-Jul25'!CG404)</f>
        <v/>
      </c>
      <c r="CH404" t="str">
        <f>IF('1. Live'!CH404='check-Jul25'!CH404,"",'1. Live'!CH404-'check-Jul25'!CH404)</f>
        <v/>
      </c>
      <c r="CI404" t="str">
        <f>IF('1. Live'!CI404='check-Jul25'!CI404,"",'1. Live'!CI404-'check-Jul25'!CI404)</f>
        <v/>
      </c>
      <c r="CJ404" t="str">
        <f>IF('1. Live'!CJ404='check-Jul25'!CJ404,"",'1. Live'!CJ404-'check-Jul25'!CJ404)</f>
        <v/>
      </c>
      <c r="CK404" t="str">
        <f>IF('1. Live'!CK404='check-Jul25'!CK404,"",'1. Live'!CK404-'check-Jul25'!CK404)</f>
        <v/>
      </c>
      <c r="CL404" t="str">
        <f>IF('1. Live'!CL404='check-Jul25'!CL404,"",'1. Live'!CL404-'check-Jul25'!CL404)</f>
        <v/>
      </c>
      <c r="CM404" t="str">
        <f>IF('1. Live'!CM404='check-Jul25'!CM404,"",'1. Live'!CM404-'check-Jul25'!CM404)</f>
        <v/>
      </c>
      <c r="CN404" t="str">
        <f>IF('1. Live'!CN404='check-Jul25'!CN404,"",'1. Live'!CN404-'check-Jul25'!CN404)</f>
        <v/>
      </c>
      <c r="CO404" t="str">
        <f>IF('1. Live'!CO404='check-Jul25'!CO404,"",'1. Live'!CO404-'check-Jul25'!CO404)</f>
        <v/>
      </c>
      <c r="CP404" t="str">
        <f>IF('1. Live'!CP404='check-Jul25'!CP404,"",'1. Live'!CP404-'check-Jul25'!CP404)</f>
        <v/>
      </c>
      <c r="CQ404" t="str">
        <f>IF('1. Live'!CQ404='check-Jul25'!CQ404,"",'1. Live'!CQ404-'check-Jul25'!CQ404)</f>
        <v/>
      </c>
      <c r="CR404" t="str">
        <f>IF('1. Live'!CR404='check-Jul25'!CR404,"",'1. Live'!CR404-'check-Jul25'!CR404)</f>
        <v/>
      </c>
      <c r="CS404" t="str">
        <f>IF('1. Live'!CS404='check-Jul25'!CS404,"",'1. Live'!CS404-'check-Jul25'!CS404)</f>
        <v/>
      </c>
      <c r="CT404" t="str">
        <f>IF('1. Live'!CT404='check-Jul25'!CT404,"",'1. Live'!CT404-'check-Jul25'!CT404)</f>
        <v/>
      </c>
      <c r="CU404" t="str">
        <f>IF('1. Live'!CU404='check-Jul25'!CU404,"",'1. Live'!CU404-'check-Jul25'!CU404)</f>
        <v/>
      </c>
      <c r="CV404" t="str">
        <f>IF('1. Live'!CV404='check-Jul25'!CV404,"",'1. Live'!CV404-'check-Jul25'!CV404)</f>
        <v/>
      </c>
      <c r="CW404" t="str">
        <f>IF('1. Live'!CW404='check-Jul25'!CW404,"",'1. Live'!CW404-'check-Jul25'!CW404)</f>
        <v/>
      </c>
    </row>
    <row r="405" spans="10:101">
      <c r="J405" t="str">
        <f>IF('1. Live'!J405='check-Jul25'!J405,"",'1. Live'!J405-'check-Jul25'!J405)</f>
        <v/>
      </c>
      <c r="K405" t="str">
        <f>IF('1. Live'!K405='check-Jul25'!K405,"",'1. Live'!K405-'check-Jul25'!K405)</f>
        <v/>
      </c>
      <c r="L405" t="str">
        <f>IF('1. Live'!L405='check-Jul25'!L405,"",'1. Live'!L405-'check-Jul25'!L405)</f>
        <v/>
      </c>
      <c r="M405" t="str">
        <f>IF('1. Live'!M405='check-Jul25'!M405,"",'1. Live'!M405-'check-Jul25'!M405)</f>
        <v/>
      </c>
      <c r="N405" t="str">
        <f>IF('1. Live'!N405='check-Jul25'!N405,"",'1. Live'!N405-'check-Jul25'!N405)</f>
        <v/>
      </c>
      <c r="O405" t="str">
        <f>IF('1. Live'!O405='check-Jul25'!O405,"",'1. Live'!O405-'check-Jul25'!O405)</f>
        <v/>
      </c>
      <c r="P405" t="str">
        <f>IF('1. Live'!P405='check-Jul25'!P405,"",'1. Live'!P405-'check-Jul25'!P405)</f>
        <v/>
      </c>
      <c r="Q405" t="str">
        <f>IF('1. Live'!Q405='check-Jul25'!Q405,"",'1. Live'!Q405-'check-Jul25'!Q405)</f>
        <v/>
      </c>
      <c r="R405" t="str">
        <f>IF('1. Live'!R405='check-Jul25'!R405,"",'1. Live'!R405-'check-Jul25'!R405)</f>
        <v/>
      </c>
      <c r="S405" t="str">
        <f>IF('1. Live'!S405='check-Jul25'!S405,"",'1. Live'!S405-'check-Jul25'!S405)</f>
        <v/>
      </c>
      <c r="T405" t="str">
        <f>IF('1. Live'!T405='check-Jul25'!T405,"",'1. Live'!T405-'check-Jul25'!T405)</f>
        <v/>
      </c>
      <c r="U405" t="str">
        <f>IF('1. Live'!U405='check-Jul25'!U405,"",'1. Live'!U405-'check-Jul25'!U405)</f>
        <v/>
      </c>
      <c r="V405" t="str">
        <f>IF('1. Live'!V405='check-Jul25'!V405,"",'1. Live'!V405-'check-Jul25'!V405)</f>
        <v/>
      </c>
      <c r="W405" t="str">
        <f>IF('1. Live'!W405='check-Jul25'!W405,"",'1. Live'!W405-'check-Jul25'!W405)</f>
        <v/>
      </c>
      <c r="X405" t="str">
        <f>IF('1. Live'!X405='check-Jul25'!X405,"",'1. Live'!X405-'check-Jul25'!X405)</f>
        <v/>
      </c>
      <c r="Y405" t="str">
        <f>IF('1. Live'!Y405='check-Jul25'!Y405,"",'1. Live'!Y405-'check-Jul25'!Y405)</f>
        <v/>
      </c>
      <c r="Z405" t="str">
        <f>IF('1. Live'!Z405='check-Jul25'!Z405,"",'1. Live'!Z405-'check-Jul25'!Z405)</f>
        <v/>
      </c>
      <c r="AA405" t="str">
        <f>IF('1. Live'!AA405='check-Jul25'!AA405,"",'1. Live'!AA405-'check-Jul25'!AA405)</f>
        <v/>
      </c>
      <c r="AB405" t="str">
        <f>IF('1. Live'!AB405='check-Jul25'!AB405,"",'1. Live'!AB405-'check-Jul25'!AB405)</f>
        <v/>
      </c>
      <c r="AC405" t="str">
        <f>IF('1. Live'!AC405='check-Jul25'!AC405,"",'1. Live'!AC405-'check-Jul25'!AC405)</f>
        <v/>
      </c>
      <c r="AD405" t="str">
        <f>IF('1. Live'!AD405='check-Jul25'!AD405,"",'1. Live'!AD405-'check-Jul25'!AD405)</f>
        <v/>
      </c>
      <c r="AE405" t="str">
        <f>IF('1. Live'!AE405='check-Jul25'!AE405,"",'1. Live'!AE405-'check-Jul25'!AE405)</f>
        <v/>
      </c>
      <c r="AF405" t="str">
        <f>IF('1. Live'!AF405='check-Jul25'!AF405,"",'1. Live'!AF405-'check-Jul25'!AF405)</f>
        <v/>
      </c>
      <c r="AG405" t="str">
        <f>IF('1. Live'!AG405='check-Jul25'!AG405,"",'1. Live'!AG405-'check-Jul25'!AG405)</f>
        <v/>
      </c>
      <c r="AH405" t="str">
        <f>IF('1. Live'!AH405='check-Jul25'!AH405,"",'1. Live'!AH405-'check-Jul25'!AH405)</f>
        <v/>
      </c>
      <c r="AI405" t="str">
        <f>IF('1. Live'!AI405='check-Jul25'!AI405,"",'1. Live'!AI405-'check-Jul25'!AI405)</f>
        <v/>
      </c>
      <c r="AJ405" t="str">
        <f>IF('1. Live'!AJ405='check-Jul25'!AJ405,"",'1. Live'!AJ405-'check-Jul25'!AJ405)</f>
        <v/>
      </c>
      <c r="AK405" t="str">
        <f>IF('1. Live'!AK405='check-Jul25'!AK405,"",'1. Live'!AK405-'check-Jul25'!AK405)</f>
        <v/>
      </c>
      <c r="AL405" t="str">
        <f>IF('1. Live'!AL405='check-Jul25'!AL405,"",'1. Live'!AL405-'check-Jul25'!AL405)</f>
        <v/>
      </c>
      <c r="AM405" t="str">
        <f>IF('1. Live'!AM405='check-Jul25'!AM405,"",'1. Live'!AM405-'check-Jul25'!AM405)</f>
        <v/>
      </c>
      <c r="AN405" t="str">
        <f>IF('1. Live'!AN405='check-Jul25'!AN405,"",'1. Live'!AN405-'check-Jul25'!AN405)</f>
        <v/>
      </c>
      <c r="AO405" t="str">
        <f>IF('1. Live'!AO405='check-Jul25'!AO405,"",'1. Live'!AO405-'check-Jul25'!AO405)</f>
        <v/>
      </c>
      <c r="AP405" t="str">
        <f>IF('1. Live'!AP405='check-Jul25'!AP405,"",'1. Live'!AP405-'check-Jul25'!AP405)</f>
        <v/>
      </c>
      <c r="AQ405" t="str">
        <f>IF('1. Live'!AQ405='check-Jul25'!AQ405,"",'1. Live'!AQ405-'check-Jul25'!AQ405)</f>
        <v/>
      </c>
      <c r="AR405" t="str">
        <f>IF('1. Live'!AR405='check-Jul25'!AR405,"",'1. Live'!AR405-'check-Jul25'!AR405)</f>
        <v/>
      </c>
      <c r="AS405" t="str">
        <f>IF('1. Live'!AS405='check-Jul25'!AS405,"",'1. Live'!AS405-'check-Jul25'!AS405)</f>
        <v/>
      </c>
      <c r="AT405" t="str">
        <f>IF('1. Live'!AT405='check-Jul25'!AT405,"",'1. Live'!AT405-'check-Jul25'!AT405)</f>
        <v/>
      </c>
      <c r="AU405" t="str">
        <f>IF('1. Live'!AU405='check-Jul25'!AU405,"",'1. Live'!AU405-'check-Jul25'!AU405)</f>
        <v/>
      </c>
      <c r="AV405" t="str">
        <f>IF('1. Live'!AV405='check-Jul25'!AV405,"",'1. Live'!AV405-'check-Jul25'!AV405)</f>
        <v/>
      </c>
      <c r="AW405" t="str">
        <f>IF('1. Live'!AW405='check-Jul25'!AW405,"",'1. Live'!AW405-'check-Jul25'!AW405)</f>
        <v/>
      </c>
      <c r="AX405" t="str">
        <f>IF('1. Live'!AX405='check-Jul25'!AX405,"",'1. Live'!AX405-'check-Jul25'!AX405)</f>
        <v/>
      </c>
      <c r="AY405" t="str">
        <f>IF('1. Live'!AY405='check-Jul25'!AY405,"",'1. Live'!AY405-'check-Jul25'!AY405)</f>
        <v/>
      </c>
      <c r="AZ405" t="str">
        <f>IF('1. Live'!AZ405='check-Jul25'!AZ405,"",'1. Live'!AZ405-'check-Jul25'!AZ405)</f>
        <v/>
      </c>
      <c r="BA405" t="str">
        <f>IF('1. Live'!BA405='check-Jul25'!BA405,"",'1. Live'!BA405-'check-Jul25'!BA405)</f>
        <v/>
      </c>
      <c r="BB405" t="str">
        <f>IF('1. Live'!BB405='check-Jul25'!BB405,"",'1. Live'!BB405-'check-Jul25'!BB405)</f>
        <v/>
      </c>
      <c r="BC405" t="str">
        <f>IF('1. Live'!BC405='check-Jul25'!BC405,"",'1. Live'!BC405-'check-Jul25'!BC405)</f>
        <v/>
      </c>
      <c r="BD405" t="str">
        <f>IF('1. Live'!BD405='check-Jul25'!BD405,"",'1. Live'!BD405-'check-Jul25'!BD405)</f>
        <v/>
      </c>
      <c r="BE405" t="str">
        <f>IF('1. Live'!BE405='check-Jul25'!BE405,"",'1. Live'!BE405-'check-Jul25'!BE405)</f>
        <v/>
      </c>
      <c r="BF405" t="str">
        <f>IF('1. Live'!BF405='check-Jul25'!BF405,"",'1. Live'!BF405-'check-Jul25'!BF405)</f>
        <v/>
      </c>
      <c r="BG405" t="str">
        <f>IF('1. Live'!BG405='check-Jul25'!BG405,"",'1. Live'!BG405-'check-Jul25'!BG405)</f>
        <v/>
      </c>
      <c r="BH405" t="str">
        <f>IF('1. Live'!BH405='check-Jul25'!BH405,"",'1. Live'!BH405-'check-Jul25'!BH405)</f>
        <v/>
      </c>
      <c r="BI405" t="str">
        <f>IF('1. Live'!BI405='check-Jul25'!BI405,"",'1. Live'!BI405-'check-Jul25'!BI405)</f>
        <v/>
      </c>
      <c r="BJ405" t="str">
        <f>IF('1. Live'!BJ405='check-Jul25'!BJ405,"",'1. Live'!BJ405-'check-Jul25'!BJ405)</f>
        <v/>
      </c>
      <c r="BK405" t="str">
        <f>IF('1. Live'!BK405='check-Jul25'!BK405,"",'1. Live'!BK405-'check-Jul25'!BK405)</f>
        <v/>
      </c>
      <c r="BL405" t="str">
        <f>IF('1. Live'!BL405='check-Jul25'!BL405,"",'1. Live'!BL405-'check-Jul25'!BL405)</f>
        <v/>
      </c>
      <c r="BM405" t="str">
        <f>IF('1. Live'!BM405='check-Jul25'!BM405,"",'1. Live'!BM405-'check-Jul25'!BM405)</f>
        <v/>
      </c>
      <c r="BN405" t="str">
        <f>IF('1. Live'!BN405='check-Jul25'!BN405,"",'1. Live'!BN405-'check-Jul25'!BN405)</f>
        <v/>
      </c>
      <c r="BO405" t="str">
        <f>IF('1. Live'!BO405='check-Jul25'!BO405,"",'1. Live'!BO405-'check-Jul25'!BO405)</f>
        <v/>
      </c>
      <c r="BP405" t="str">
        <f>IF('1. Live'!BP405='check-Jul25'!BP405,"",'1. Live'!BP405-'check-Jul25'!BP405)</f>
        <v/>
      </c>
      <c r="BQ405" t="str">
        <f>IF('1. Live'!BQ405='check-Jul25'!BQ405,"",'1. Live'!BQ405-'check-Jul25'!BQ405)</f>
        <v/>
      </c>
      <c r="BR405" t="str">
        <f>IF('1. Live'!BR405='check-Jul25'!BR405,"",'1. Live'!BR405-'check-Jul25'!BR405)</f>
        <v/>
      </c>
      <c r="BS405" t="str">
        <f>IF('1. Live'!BS405='check-Jul25'!BS405,"",'1. Live'!BS405-'check-Jul25'!BS405)</f>
        <v/>
      </c>
      <c r="BT405" t="str">
        <f>IF('1. Live'!BT405='check-Jul25'!BT405,"",'1. Live'!BT405-'check-Jul25'!BT405)</f>
        <v/>
      </c>
      <c r="BU405" t="str">
        <f>IF('1. Live'!BU405='check-Jul25'!BU405,"",'1. Live'!BU405-'check-Jul25'!BU405)</f>
        <v/>
      </c>
      <c r="BV405" t="str">
        <f>IF('1. Live'!BV405='check-Jul25'!BV405,"",'1. Live'!BV405-'check-Jul25'!BV405)</f>
        <v/>
      </c>
      <c r="BW405" t="str">
        <f>IF('1. Live'!BW405='check-Jul25'!BW405,"",'1. Live'!BW405-'check-Jul25'!BW405)</f>
        <v/>
      </c>
      <c r="BX405" t="str">
        <f>IF('1. Live'!BX405='check-Jul25'!BX405,"",'1. Live'!BX405-'check-Jul25'!BX405)</f>
        <v/>
      </c>
      <c r="BY405" t="str">
        <f>IF('1. Live'!BY405='check-Jul25'!BY405,"",'1. Live'!BY405-'check-Jul25'!BY405)</f>
        <v/>
      </c>
      <c r="BZ405" t="str">
        <f>IF('1. Live'!BZ405='check-Jul25'!BZ405,"",'1. Live'!BZ405-'check-Jul25'!BZ405)</f>
        <v/>
      </c>
      <c r="CA405" t="str">
        <f>IF('1. Live'!CA405='check-Jul25'!CA405,"",'1. Live'!CA405-'check-Jul25'!CA405)</f>
        <v/>
      </c>
      <c r="CB405" t="str">
        <f>IF('1. Live'!CB405='check-Jul25'!CB405,"",'1. Live'!CB405-'check-Jul25'!CB405)</f>
        <v/>
      </c>
      <c r="CC405" t="str">
        <f>IF('1. Live'!CC405='check-Jul25'!CC405,"",'1. Live'!CC405-'check-Jul25'!CC405)</f>
        <v/>
      </c>
      <c r="CD405" t="str">
        <f>IF('1. Live'!CD405='check-Jul25'!CD405,"",'1. Live'!CD405-'check-Jul25'!CD405)</f>
        <v/>
      </c>
      <c r="CE405" t="str">
        <f>IF('1. Live'!CE405='check-Jul25'!CE405,"",'1. Live'!CE405-'check-Jul25'!CE405)</f>
        <v/>
      </c>
      <c r="CF405" t="str">
        <f>IF('1. Live'!CF405='check-Jul25'!CF405,"",'1. Live'!CF405-'check-Jul25'!CF405)</f>
        <v/>
      </c>
      <c r="CG405" t="str">
        <f>IF('1. Live'!CG405='check-Jul25'!CG405,"",'1. Live'!CG405-'check-Jul25'!CG405)</f>
        <v/>
      </c>
      <c r="CH405" t="str">
        <f>IF('1. Live'!CH405='check-Jul25'!CH405,"",'1. Live'!CH405-'check-Jul25'!CH405)</f>
        <v/>
      </c>
      <c r="CI405" t="str">
        <f>IF('1. Live'!CI405='check-Jul25'!CI405,"",'1. Live'!CI405-'check-Jul25'!CI405)</f>
        <v/>
      </c>
      <c r="CJ405" t="str">
        <f>IF('1. Live'!CJ405='check-Jul25'!CJ405,"",'1. Live'!CJ405-'check-Jul25'!CJ405)</f>
        <v/>
      </c>
      <c r="CK405" t="str">
        <f>IF('1. Live'!CK405='check-Jul25'!CK405,"",'1. Live'!CK405-'check-Jul25'!CK405)</f>
        <v/>
      </c>
      <c r="CL405" t="str">
        <f>IF('1. Live'!CL405='check-Jul25'!CL405,"",'1. Live'!CL405-'check-Jul25'!CL405)</f>
        <v/>
      </c>
      <c r="CM405" t="str">
        <f>IF('1. Live'!CM405='check-Jul25'!CM405,"",'1. Live'!CM405-'check-Jul25'!CM405)</f>
        <v/>
      </c>
      <c r="CN405" t="str">
        <f>IF('1. Live'!CN405='check-Jul25'!CN405,"",'1. Live'!CN405-'check-Jul25'!CN405)</f>
        <v/>
      </c>
      <c r="CO405" t="str">
        <f>IF('1. Live'!CO405='check-Jul25'!CO405,"",'1. Live'!CO405-'check-Jul25'!CO405)</f>
        <v/>
      </c>
      <c r="CP405" t="str">
        <f>IF('1. Live'!CP405='check-Jul25'!CP405,"",'1. Live'!CP405-'check-Jul25'!CP405)</f>
        <v/>
      </c>
      <c r="CQ405" t="str">
        <f>IF('1. Live'!CQ405='check-Jul25'!CQ405,"",'1. Live'!CQ405-'check-Jul25'!CQ405)</f>
        <v/>
      </c>
      <c r="CR405" t="str">
        <f>IF('1. Live'!CR405='check-Jul25'!CR405,"",'1. Live'!CR405-'check-Jul25'!CR405)</f>
        <v/>
      </c>
      <c r="CS405" t="str">
        <f>IF('1. Live'!CS405='check-Jul25'!CS405,"",'1. Live'!CS405-'check-Jul25'!CS405)</f>
        <v/>
      </c>
      <c r="CT405" t="str">
        <f>IF('1. Live'!CT405='check-Jul25'!CT405,"",'1. Live'!CT405-'check-Jul25'!CT405)</f>
        <v/>
      </c>
      <c r="CU405" t="str">
        <f>IF('1. Live'!CU405='check-Jul25'!CU405,"",'1. Live'!CU405-'check-Jul25'!CU405)</f>
        <v/>
      </c>
      <c r="CV405" t="str">
        <f>IF('1. Live'!CV405='check-Jul25'!CV405,"",'1. Live'!CV405-'check-Jul25'!CV405)</f>
        <v/>
      </c>
      <c r="CW405" t="str">
        <f>IF('1. Live'!CW405='check-Jul25'!CW405,"",'1. Live'!CW405-'check-Jul25'!CW405)</f>
        <v/>
      </c>
    </row>
    <row r="406" spans="10:101">
      <c r="J406" t="str">
        <f>IF('1. Live'!J406='check-Jul25'!J406,"",'1. Live'!J406-'check-Jul25'!J406)</f>
        <v/>
      </c>
      <c r="K406" t="str">
        <f>IF('1. Live'!K406='check-Jul25'!K406,"",'1. Live'!K406-'check-Jul25'!K406)</f>
        <v/>
      </c>
      <c r="L406" t="str">
        <f>IF('1. Live'!L406='check-Jul25'!L406,"",'1. Live'!L406-'check-Jul25'!L406)</f>
        <v/>
      </c>
      <c r="M406" t="str">
        <f>IF('1. Live'!M406='check-Jul25'!M406,"",'1. Live'!M406-'check-Jul25'!M406)</f>
        <v/>
      </c>
      <c r="N406" t="str">
        <f>IF('1. Live'!N406='check-Jul25'!N406,"",'1. Live'!N406-'check-Jul25'!N406)</f>
        <v/>
      </c>
      <c r="O406" t="str">
        <f>IF('1. Live'!O406='check-Jul25'!O406,"",'1. Live'!O406-'check-Jul25'!O406)</f>
        <v/>
      </c>
      <c r="P406" t="str">
        <f>IF('1. Live'!P406='check-Jul25'!P406,"",'1. Live'!P406-'check-Jul25'!P406)</f>
        <v/>
      </c>
      <c r="Q406" t="str">
        <f>IF('1. Live'!Q406='check-Jul25'!Q406,"",'1. Live'!Q406-'check-Jul25'!Q406)</f>
        <v/>
      </c>
      <c r="R406" t="str">
        <f>IF('1. Live'!R406='check-Jul25'!R406,"",'1. Live'!R406-'check-Jul25'!R406)</f>
        <v/>
      </c>
      <c r="S406" t="str">
        <f>IF('1. Live'!S406='check-Jul25'!S406,"",'1. Live'!S406-'check-Jul25'!S406)</f>
        <v/>
      </c>
      <c r="T406" t="str">
        <f>IF('1. Live'!T406='check-Jul25'!T406,"",'1. Live'!T406-'check-Jul25'!T406)</f>
        <v/>
      </c>
      <c r="U406" t="str">
        <f>IF('1. Live'!U406='check-Jul25'!U406,"",'1. Live'!U406-'check-Jul25'!U406)</f>
        <v/>
      </c>
      <c r="V406" t="str">
        <f>IF('1. Live'!V406='check-Jul25'!V406,"",'1. Live'!V406-'check-Jul25'!V406)</f>
        <v/>
      </c>
      <c r="W406" t="str">
        <f>IF('1. Live'!W406='check-Jul25'!W406,"",'1. Live'!W406-'check-Jul25'!W406)</f>
        <v/>
      </c>
      <c r="X406" t="str">
        <f>IF('1. Live'!X406='check-Jul25'!X406,"",'1. Live'!X406-'check-Jul25'!X406)</f>
        <v/>
      </c>
      <c r="Y406" t="str">
        <f>IF('1. Live'!Y406='check-Jul25'!Y406,"",'1. Live'!Y406-'check-Jul25'!Y406)</f>
        <v/>
      </c>
      <c r="Z406" t="str">
        <f>IF('1. Live'!Z406='check-Jul25'!Z406,"",'1. Live'!Z406-'check-Jul25'!Z406)</f>
        <v/>
      </c>
      <c r="AA406" t="str">
        <f>IF('1. Live'!AA406='check-Jul25'!AA406,"",'1. Live'!AA406-'check-Jul25'!AA406)</f>
        <v/>
      </c>
      <c r="AB406" t="str">
        <f>IF('1. Live'!AB406='check-Jul25'!AB406,"",'1. Live'!AB406-'check-Jul25'!AB406)</f>
        <v/>
      </c>
      <c r="AC406" t="str">
        <f>IF('1. Live'!AC406='check-Jul25'!AC406,"",'1. Live'!AC406-'check-Jul25'!AC406)</f>
        <v/>
      </c>
      <c r="AD406" t="str">
        <f>IF('1. Live'!AD406='check-Jul25'!AD406,"",'1. Live'!AD406-'check-Jul25'!AD406)</f>
        <v/>
      </c>
      <c r="AE406" t="str">
        <f>IF('1. Live'!AE406='check-Jul25'!AE406,"",'1. Live'!AE406-'check-Jul25'!AE406)</f>
        <v/>
      </c>
      <c r="AF406" t="str">
        <f>IF('1. Live'!AF406='check-Jul25'!AF406,"",'1. Live'!AF406-'check-Jul25'!AF406)</f>
        <v/>
      </c>
      <c r="AG406" t="str">
        <f>IF('1. Live'!AG406='check-Jul25'!AG406,"",'1. Live'!AG406-'check-Jul25'!AG406)</f>
        <v/>
      </c>
      <c r="AH406" t="str">
        <f>IF('1. Live'!AH406='check-Jul25'!AH406,"",'1. Live'!AH406-'check-Jul25'!AH406)</f>
        <v/>
      </c>
      <c r="AI406" t="str">
        <f>IF('1. Live'!AI406='check-Jul25'!AI406,"",'1. Live'!AI406-'check-Jul25'!AI406)</f>
        <v/>
      </c>
      <c r="AJ406" t="str">
        <f>IF('1. Live'!AJ406='check-Jul25'!AJ406,"",'1. Live'!AJ406-'check-Jul25'!AJ406)</f>
        <v/>
      </c>
      <c r="AK406" t="str">
        <f>IF('1. Live'!AK406='check-Jul25'!AK406,"",'1. Live'!AK406-'check-Jul25'!AK406)</f>
        <v/>
      </c>
      <c r="AL406" t="str">
        <f>IF('1. Live'!AL406='check-Jul25'!AL406,"",'1. Live'!AL406-'check-Jul25'!AL406)</f>
        <v/>
      </c>
      <c r="AM406" t="str">
        <f>IF('1. Live'!AM406='check-Jul25'!AM406,"",'1. Live'!AM406-'check-Jul25'!AM406)</f>
        <v/>
      </c>
      <c r="AN406" t="str">
        <f>IF('1. Live'!AN406='check-Jul25'!AN406,"",'1. Live'!AN406-'check-Jul25'!AN406)</f>
        <v/>
      </c>
      <c r="AO406" t="str">
        <f>IF('1. Live'!AO406='check-Jul25'!AO406,"",'1. Live'!AO406-'check-Jul25'!AO406)</f>
        <v/>
      </c>
      <c r="AP406" t="str">
        <f>IF('1. Live'!AP406='check-Jul25'!AP406,"",'1. Live'!AP406-'check-Jul25'!AP406)</f>
        <v/>
      </c>
      <c r="AQ406" t="str">
        <f>IF('1. Live'!AQ406='check-Jul25'!AQ406,"",'1. Live'!AQ406-'check-Jul25'!AQ406)</f>
        <v/>
      </c>
      <c r="AR406" t="str">
        <f>IF('1. Live'!AR406='check-Jul25'!AR406,"",'1. Live'!AR406-'check-Jul25'!AR406)</f>
        <v/>
      </c>
      <c r="AS406" t="str">
        <f>IF('1. Live'!AS406='check-Jul25'!AS406,"",'1. Live'!AS406-'check-Jul25'!AS406)</f>
        <v/>
      </c>
      <c r="AT406" t="str">
        <f>IF('1. Live'!AT406='check-Jul25'!AT406,"",'1. Live'!AT406-'check-Jul25'!AT406)</f>
        <v/>
      </c>
      <c r="AU406" t="str">
        <f>IF('1. Live'!AU406='check-Jul25'!AU406,"",'1. Live'!AU406-'check-Jul25'!AU406)</f>
        <v/>
      </c>
      <c r="AV406" t="str">
        <f>IF('1. Live'!AV406='check-Jul25'!AV406,"",'1. Live'!AV406-'check-Jul25'!AV406)</f>
        <v/>
      </c>
      <c r="AW406" t="str">
        <f>IF('1. Live'!AW406='check-Jul25'!AW406,"",'1. Live'!AW406-'check-Jul25'!AW406)</f>
        <v/>
      </c>
      <c r="AX406" t="str">
        <f>IF('1. Live'!AX406='check-Jul25'!AX406,"",'1. Live'!AX406-'check-Jul25'!AX406)</f>
        <v/>
      </c>
      <c r="AY406" t="str">
        <f>IF('1. Live'!AY406='check-Jul25'!AY406,"",'1. Live'!AY406-'check-Jul25'!AY406)</f>
        <v/>
      </c>
      <c r="AZ406" t="str">
        <f>IF('1. Live'!AZ406='check-Jul25'!AZ406,"",'1. Live'!AZ406-'check-Jul25'!AZ406)</f>
        <v/>
      </c>
      <c r="BA406" t="str">
        <f>IF('1. Live'!BA406='check-Jul25'!BA406,"",'1. Live'!BA406-'check-Jul25'!BA406)</f>
        <v/>
      </c>
      <c r="BB406" t="str">
        <f>IF('1. Live'!BB406='check-Jul25'!BB406,"",'1. Live'!BB406-'check-Jul25'!BB406)</f>
        <v/>
      </c>
      <c r="BC406" t="str">
        <f>IF('1. Live'!BC406='check-Jul25'!BC406,"",'1. Live'!BC406-'check-Jul25'!BC406)</f>
        <v/>
      </c>
      <c r="BD406" t="str">
        <f>IF('1. Live'!BD406='check-Jul25'!BD406,"",'1. Live'!BD406-'check-Jul25'!BD406)</f>
        <v/>
      </c>
      <c r="BE406" t="str">
        <f>IF('1. Live'!BE406='check-Jul25'!BE406,"",'1. Live'!BE406-'check-Jul25'!BE406)</f>
        <v/>
      </c>
      <c r="BF406" t="str">
        <f>IF('1. Live'!BF406='check-Jul25'!BF406,"",'1. Live'!BF406-'check-Jul25'!BF406)</f>
        <v/>
      </c>
      <c r="BG406" t="str">
        <f>IF('1. Live'!BG406='check-Jul25'!BG406,"",'1. Live'!BG406-'check-Jul25'!BG406)</f>
        <v/>
      </c>
      <c r="BH406" t="str">
        <f>IF('1. Live'!BH406='check-Jul25'!BH406,"",'1. Live'!BH406-'check-Jul25'!BH406)</f>
        <v/>
      </c>
      <c r="BI406" t="str">
        <f>IF('1. Live'!BI406='check-Jul25'!BI406,"",'1. Live'!BI406-'check-Jul25'!BI406)</f>
        <v/>
      </c>
      <c r="BJ406" t="str">
        <f>IF('1. Live'!BJ406='check-Jul25'!BJ406,"",'1. Live'!BJ406-'check-Jul25'!BJ406)</f>
        <v/>
      </c>
      <c r="BK406" t="str">
        <f>IF('1. Live'!BK406='check-Jul25'!BK406,"",'1. Live'!BK406-'check-Jul25'!BK406)</f>
        <v/>
      </c>
      <c r="BL406" t="str">
        <f>IF('1. Live'!BL406='check-Jul25'!BL406,"",'1. Live'!BL406-'check-Jul25'!BL406)</f>
        <v/>
      </c>
      <c r="BM406" t="str">
        <f>IF('1. Live'!BM406='check-Jul25'!BM406,"",'1. Live'!BM406-'check-Jul25'!BM406)</f>
        <v/>
      </c>
      <c r="BN406" t="str">
        <f>IF('1. Live'!BN406='check-Jul25'!BN406,"",'1. Live'!BN406-'check-Jul25'!BN406)</f>
        <v/>
      </c>
      <c r="BO406" t="str">
        <f>IF('1. Live'!BO406='check-Jul25'!BO406,"",'1. Live'!BO406-'check-Jul25'!BO406)</f>
        <v/>
      </c>
      <c r="BP406" t="str">
        <f>IF('1. Live'!BP406='check-Jul25'!BP406,"",'1. Live'!BP406-'check-Jul25'!BP406)</f>
        <v/>
      </c>
      <c r="BQ406" t="str">
        <f>IF('1. Live'!BQ406='check-Jul25'!BQ406,"",'1. Live'!BQ406-'check-Jul25'!BQ406)</f>
        <v/>
      </c>
      <c r="BR406" t="str">
        <f>IF('1. Live'!BR406='check-Jul25'!BR406,"",'1. Live'!BR406-'check-Jul25'!BR406)</f>
        <v/>
      </c>
      <c r="BS406" t="str">
        <f>IF('1. Live'!BS406='check-Jul25'!BS406,"",'1. Live'!BS406-'check-Jul25'!BS406)</f>
        <v/>
      </c>
      <c r="BT406" t="str">
        <f>IF('1. Live'!BT406='check-Jul25'!BT406,"",'1. Live'!BT406-'check-Jul25'!BT406)</f>
        <v/>
      </c>
      <c r="BU406" t="str">
        <f>IF('1. Live'!BU406='check-Jul25'!BU406,"",'1. Live'!BU406-'check-Jul25'!BU406)</f>
        <v/>
      </c>
      <c r="BV406" t="str">
        <f>IF('1. Live'!BV406='check-Jul25'!BV406,"",'1. Live'!BV406-'check-Jul25'!BV406)</f>
        <v/>
      </c>
      <c r="BW406" t="str">
        <f>IF('1. Live'!BW406='check-Jul25'!BW406,"",'1. Live'!BW406-'check-Jul25'!BW406)</f>
        <v/>
      </c>
      <c r="BX406" t="str">
        <f>IF('1. Live'!BX406='check-Jul25'!BX406,"",'1. Live'!BX406-'check-Jul25'!BX406)</f>
        <v/>
      </c>
      <c r="BY406" t="str">
        <f>IF('1. Live'!BY406='check-Jul25'!BY406,"",'1. Live'!BY406-'check-Jul25'!BY406)</f>
        <v/>
      </c>
      <c r="BZ406" t="str">
        <f>IF('1. Live'!BZ406='check-Jul25'!BZ406,"",'1. Live'!BZ406-'check-Jul25'!BZ406)</f>
        <v/>
      </c>
      <c r="CA406" t="str">
        <f>IF('1. Live'!CA406='check-Jul25'!CA406,"",'1. Live'!CA406-'check-Jul25'!CA406)</f>
        <v/>
      </c>
      <c r="CB406" t="str">
        <f>IF('1. Live'!CB406='check-Jul25'!CB406,"",'1. Live'!CB406-'check-Jul25'!CB406)</f>
        <v/>
      </c>
      <c r="CC406" t="str">
        <f>IF('1. Live'!CC406='check-Jul25'!CC406,"",'1. Live'!CC406-'check-Jul25'!CC406)</f>
        <v/>
      </c>
      <c r="CD406" t="str">
        <f>IF('1. Live'!CD406='check-Jul25'!CD406,"",'1. Live'!CD406-'check-Jul25'!CD406)</f>
        <v/>
      </c>
      <c r="CE406" t="str">
        <f>IF('1. Live'!CE406='check-Jul25'!CE406,"",'1. Live'!CE406-'check-Jul25'!CE406)</f>
        <v/>
      </c>
      <c r="CF406" t="str">
        <f>IF('1. Live'!CF406='check-Jul25'!CF406,"",'1. Live'!CF406-'check-Jul25'!CF406)</f>
        <v/>
      </c>
      <c r="CG406" t="str">
        <f>IF('1. Live'!CG406='check-Jul25'!CG406,"",'1. Live'!CG406-'check-Jul25'!CG406)</f>
        <v/>
      </c>
      <c r="CH406" t="str">
        <f>IF('1. Live'!CH406='check-Jul25'!CH406,"",'1. Live'!CH406-'check-Jul25'!CH406)</f>
        <v/>
      </c>
      <c r="CI406" t="str">
        <f>IF('1. Live'!CI406='check-Jul25'!CI406,"",'1. Live'!CI406-'check-Jul25'!CI406)</f>
        <v/>
      </c>
      <c r="CJ406" t="str">
        <f>IF('1. Live'!CJ406='check-Jul25'!CJ406,"",'1. Live'!CJ406-'check-Jul25'!CJ406)</f>
        <v/>
      </c>
      <c r="CK406" t="str">
        <f>IF('1. Live'!CK406='check-Jul25'!CK406,"",'1. Live'!CK406-'check-Jul25'!CK406)</f>
        <v/>
      </c>
      <c r="CL406" t="str">
        <f>IF('1. Live'!CL406='check-Jul25'!CL406,"",'1. Live'!CL406-'check-Jul25'!CL406)</f>
        <v/>
      </c>
      <c r="CM406" t="str">
        <f>IF('1. Live'!CM406='check-Jul25'!CM406,"",'1. Live'!CM406-'check-Jul25'!CM406)</f>
        <v/>
      </c>
      <c r="CN406" t="str">
        <f>IF('1. Live'!CN406='check-Jul25'!CN406,"",'1. Live'!CN406-'check-Jul25'!CN406)</f>
        <v/>
      </c>
      <c r="CO406" t="str">
        <f>IF('1. Live'!CO406='check-Jul25'!CO406,"",'1. Live'!CO406-'check-Jul25'!CO406)</f>
        <v/>
      </c>
      <c r="CP406" t="str">
        <f>IF('1. Live'!CP406='check-Jul25'!CP406,"",'1. Live'!CP406-'check-Jul25'!CP406)</f>
        <v/>
      </c>
      <c r="CQ406" t="str">
        <f>IF('1. Live'!CQ406='check-Jul25'!CQ406,"",'1. Live'!CQ406-'check-Jul25'!CQ406)</f>
        <v/>
      </c>
      <c r="CR406" t="str">
        <f>IF('1. Live'!CR406='check-Jul25'!CR406,"",'1. Live'!CR406-'check-Jul25'!CR406)</f>
        <v/>
      </c>
      <c r="CS406" t="str">
        <f>IF('1. Live'!CS406='check-Jul25'!CS406,"",'1. Live'!CS406-'check-Jul25'!CS406)</f>
        <v/>
      </c>
      <c r="CT406" t="str">
        <f>IF('1. Live'!CT406='check-Jul25'!CT406,"",'1. Live'!CT406-'check-Jul25'!CT406)</f>
        <v/>
      </c>
      <c r="CU406" t="str">
        <f>IF('1. Live'!CU406='check-Jul25'!CU406,"",'1. Live'!CU406-'check-Jul25'!CU406)</f>
        <v/>
      </c>
      <c r="CV406" t="str">
        <f>IF('1. Live'!CV406='check-Jul25'!CV406,"",'1. Live'!CV406-'check-Jul25'!CV406)</f>
        <v/>
      </c>
      <c r="CW406" t="str">
        <f>IF('1. Live'!CW406='check-Jul25'!CW406,"",'1. Live'!CW406-'check-Jul25'!CW406)</f>
        <v/>
      </c>
    </row>
    <row r="407" spans="10:101">
      <c r="J407" t="str">
        <f>IF('1. Live'!J407='check-Jul25'!J407,"",'1. Live'!J407-'check-Jul25'!J407)</f>
        <v/>
      </c>
      <c r="K407" t="str">
        <f>IF('1. Live'!K407='check-Jul25'!K407,"",'1. Live'!K407-'check-Jul25'!K407)</f>
        <v/>
      </c>
      <c r="L407" t="str">
        <f>IF('1. Live'!L407='check-Jul25'!L407,"",'1. Live'!L407-'check-Jul25'!L407)</f>
        <v/>
      </c>
      <c r="M407" t="str">
        <f>IF('1. Live'!M407='check-Jul25'!M407,"",'1. Live'!M407-'check-Jul25'!M407)</f>
        <v/>
      </c>
      <c r="N407" t="str">
        <f>IF('1. Live'!N407='check-Jul25'!N407,"",'1. Live'!N407-'check-Jul25'!N407)</f>
        <v/>
      </c>
      <c r="O407" t="str">
        <f>IF('1. Live'!O407='check-Jul25'!O407,"",'1. Live'!O407-'check-Jul25'!O407)</f>
        <v/>
      </c>
      <c r="P407" t="str">
        <f>IF('1. Live'!P407='check-Jul25'!P407,"",'1. Live'!P407-'check-Jul25'!P407)</f>
        <v/>
      </c>
      <c r="Q407" t="str">
        <f>IF('1. Live'!Q407='check-Jul25'!Q407,"",'1. Live'!Q407-'check-Jul25'!Q407)</f>
        <v/>
      </c>
      <c r="R407" t="str">
        <f>IF('1. Live'!R407='check-Jul25'!R407,"",'1. Live'!R407-'check-Jul25'!R407)</f>
        <v/>
      </c>
      <c r="S407" t="str">
        <f>IF('1. Live'!S407='check-Jul25'!S407,"",'1. Live'!S407-'check-Jul25'!S407)</f>
        <v/>
      </c>
      <c r="T407" t="str">
        <f>IF('1. Live'!T407='check-Jul25'!T407,"",'1. Live'!T407-'check-Jul25'!T407)</f>
        <v/>
      </c>
      <c r="U407" t="str">
        <f>IF('1. Live'!U407='check-Jul25'!U407,"",'1. Live'!U407-'check-Jul25'!U407)</f>
        <v/>
      </c>
      <c r="V407" t="str">
        <f>IF('1. Live'!V407='check-Jul25'!V407,"",'1. Live'!V407-'check-Jul25'!V407)</f>
        <v/>
      </c>
      <c r="W407" t="str">
        <f>IF('1. Live'!W407='check-Jul25'!W407,"",'1. Live'!W407-'check-Jul25'!W407)</f>
        <v/>
      </c>
      <c r="X407" t="str">
        <f>IF('1. Live'!X407='check-Jul25'!X407,"",'1. Live'!X407-'check-Jul25'!X407)</f>
        <v/>
      </c>
      <c r="Y407" t="str">
        <f>IF('1. Live'!Y407='check-Jul25'!Y407,"",'1. Live'!Y407-'check-Jul25'!Y407)</f>
        <v/>
      </c>
      <c r="Z407" t="str">
        <f>IF('1. Live'!Z407='check-Jul25'!Z407,"",'1. Live'!Z407-'check-Jul25'!Z407)</f>
        <v/>
      </c>
      <c r="AA407" t="str">
        <f>IF('1. Live'!AA407='check-Jul25'!AA407,"",'1. Live'!AA407-'check-Jul25'!AA407)</f>
        <v/>
      </c>
      <c r="AB407" t="str">
        <f>IF('1. Live'!AB407='check-Jul25'!AB407,"",'1. Live'!AB407-'check-Jul25'!AB407)</f>
        <v/>
      </c>
      <c r="AC407" t="str">
        <f>IF('1. Live'!AC407='check-Jul25'!AC407,"",'1. Live'!AC407-'check-Jul25'!AC407)</f>
        <v/>
      </c>
      <c r="AD407" t="str">
        <f>IF('1. Live'!AD407='check-Jul25'!AD407,"",'1. Live'!AD407-'check-Jul25'!AD407)</f>
        <v/>
      </c>
      <c r="AE407" t="str">
        <f>IF('1. Live'!AE407='check-Jul25'!AE407,"",'1. Live'!AE407-'check-Jul25'!AE407)</f>
        <v/>
      </c>
      <c r="AF407" t="str">
        <f>IF('1. Live'!AF407='check-Jul25'!AF407,"",'1. Live'!AF407-'check-Jul25'!AF407)</f>
        <v/>
      </c>
      <c r="AG407" t="str">
        <f>IF('1. Live'!AG407='check-Jul25'!AG407,"",'1. Live'!AG407-'check-Jul25'!AG407)</f>
        <v/>
      </c>
      <c r="AH407" t="str">
        <f>IF('1. Live'!AH407='check-Jul25'!AH407,"",'1. Live'!AH407-'check-Jul25'!AH407)</f>
        <v/>
      </c>
      <c r="AI407" t="str">
        <f>IF('1. Live'!AI407='check-Jul25'!AI407,"",'1. Live'!AI407-'check-Jul25'!AI407)</f>
        <v/>
      </c>
      <c r="AJ407" t="str">
        <f>IF('1. Live'!AJ407='check-Jul25'!AJ407,"",'1. Live'!AJ407-'check-Jul25'!AJ407)</f>
        <v/>
      </c>
      <c r="AK407" t="str">
        <f>IF('1. Live'!AK407='check-Jul25'!AK407,"",'1. Live'!AK407-'check-Jul25'!AK407)</f>
        <v/>
      </c>
      <c r="AL407" t="str">
        <f>IF('1. Live'!AL407='check-Jul25'!AL407,"",'1. Live'!AL407-'check-Jul25'!AL407)</f>
        <v/>
      </c>
      <c r="AM407" t="str">
        <f>IF('1. Live'!AM407='check-Jul25'!AM407,"",'1. Live'!AM407-'check-Jul25'!AM407)</f>
        <v/>
      </c>
      <c r="AN407" t="str">
        <f>IF('1. Live'!AN407='check-Jul25'!AN407,"",'1. Live'!AN407-'check-Jul25'!AN407)</f>
        <v/>
      </c>
      <c r="AO407" t="str">
        <f>IF('1. Live'!AO407='check-Jul25'!AO407,"",'1. Live'!AO407-'check-Jul25'!AO407)</f>
        <v/>
      </c>
      <c r="AP407" t="str">
        <f>IF('1. Live'!AP407='check-Jul25'!AP407,"",'1. Live'!AP407-'check-Jul25'!AP407)</f>
        <v/>
      </c>
      <c r="AQ407" t="str">
        <f>IF('1. Live'!AQ407='check-Jul25'!AQ407,"",'1. Live'!AQ407-'check-Jul25'!AQ407)</f>
        <v/>
      </c>
      <c r="AR407" t="str">
        <f>IF('1. Live'!AR407='check-Jul25'!AR407,"",'1. Live'!AR407-'check-Jul25'!AR407)</f>
        <v/>
      </c>
      <c r="AS407" t="str">
        <f>IF('1. Live'!AS407='check-Jul25'!AS407,"",'1. Live'!AS407-'check-Jul25'!AS407)</f>
        <v/>
      </c>
      <c r="AT407" t="str">
        <f>IF('1. Live'!AT407='check-Jul25'!AT407,"",'1. Live'!AT407-'check-Jul25'!AT407)</f>
        <v/>
      </c>
      <c r="AU407" t="str">
        <f>IF('1. Live'!AU407='check-Jul25'!AU407,"",'1. Live'!AU407-'check-Jul25'!AU407)</f>
        <v/>
      </c>
      <c r="AV407" t="str">
        <f>IF('1. Live'!AV407='check-Jul25'!AV407,"",'1. Live'!AV407-'check-Jul25'!AV407)</f>
        <v/>
      </c>
      <c r="AW407" t="str">
        <f>IF('1. Live'!AW407='check-Jul25'!AW407,"",'1. Live'!AW407-'check-Jul25'!AW407)</f>
        <v/>
      </c>
      <c r="AX407" t="str">
        <f>IF('1. Live'!AX407='check-Jul25'!AX407,"",'1. Live'!AX407-'check-Jul25'!AX407)</f>
        <v/>
      </c>
      <c r="AY407" t="str">
        <f>IF('1. Live'!AY407='check-Jul25'!AY407,"",'1. Live'!AY407-'check-Jul25'!AY407)</f>
        <v/>
      </c>
      <c r="AZ407" t="str">
        <f>IF('1. Live'!AZ407='check-Jul25'!AZ407,"",'1. Live'!AZ407-'check-Jul25'!AZ407)</f>
        <v/>
      </c>
      <c r="BA407" t="str">
        <f>IF('1. Live'!BA407='check-Jul25'!BA407,"",'1. Live'!BA407-'check-Jul25'!BA407)</f>
        <v/>
      </c>
      <c r="BB407" t="str">
        <f>IF('1. Live'!BB407='check-Jul25'!BB407,"",'1. Live'!BB407-'check-Jul25'!BB407)</f>
        <v/>
      </c>
      <c r="BC407" t="str">
        <f>IF('1. Live'!BC407='check-Jul25'!BC407,"",'1. Live'!BC407-'check-Jul25'!BC407)</f>
        <v/>
      </c>
      <c r="BD407" t="str">
        <f>IF('1. Live'!BD407='check-Jul25'!BD407,"",'1. Live'!BD407-'check-Jul25'!BD407)</f>
        <v/>
      </c>
      <c r="BE407" t="str">
        <f>IF('1. Live'!BE407='check-Jul25'!BE407,"",'1. Live'!BE407-'check-Jul25'!BE407)</f>
        <v/>
      </c>
      <c r="BF407" t="str">
        <f>IF('1. Live'!BF407='check-Jul25'!BF407,"",'1. Live'!BF407-'check-Jul25'!BF407)</f>
        <v/>
      </c>
      <c r="BG407" t="str">
        <f>IF('1. Live'!BG407='check-Jul25'!BG407,"",'1. Live'!BG407-'check-Jul25'!BG407)</f>
        <v/>
      </c>
      <c r="BH407" t="str">
        <f>IF('1. Live'!BH407='check-Jul25'!BH407,"",'1. Live'!BH407-'check-Jul25'!BH407)</f>
        <v/>
      </c>
      <c r="BI407" t="str">
        <f>IF('1. Live'!BI407='check-Jul25'!BI407,"",'1. Live'!BI407-'check-Jul25'!BI407)</f>
        <v/>
      </c>
      <c r="BJ407" t="str">
        <f>IF('1. Live'!BJ407='check-Jul25'!BJ407,"",'1. Live'!BJ407-'check-Jul25'!BJ407)</f>
        <v/>
      </c>
      <c r="BK407" t="str">
        <f>IF('1. Live'!BK407='check-Jul25'!BK407,"",'1. Live'!BK407-'check-Jul25'!BK407)</f>
        <v/>
      </c>
      <c r="BL407" t="str">
        <f>IF('1. Live'!BL407='check-Jul25'!BL407,"",'1. Live'!BL407-'check-Jul25'!BL407)</f>
        <v/>
      </c>
      <c r="BM407" t="str">
        <f>IF('1. Live'!BM407='check-Jul25'!BM407,"",'1. Live'!BM407-'check-Jul25'!BM407)</f>
        <v/>
      </c>
      <c r="BN407" t="str">
        <f>IF('1. Live'!BN407='check-Jul25'!BN407,"",'1. Live'!BN407-'check-Jul25'!BN407)</f>
        <v/>
      </c>
      <c r="BO407" t="str">
        <f>IF('1. Live'!BO407='check-Jul25'!BO407,"",'1. Live'!BO407-'check-Jul25'!BO407)</f>
        <v/>
      </c>
      <c r="BP407" t="str">
        <f>IF('1. Live'!BP407='check-Jul25'!BP407,"",'1. Live'!BP407-'check-Jul25'!BP407)</f>
        <v/>
      </c>
      <c r="BQ407" t="str">
        <f>IF('1. Live'!BQ407='check-Jul25'!BQ407,"",'1. Live'!BQ407-'check-Jul25'!BQ407)</f>
        <v/>
      </c>
      <c r="BR407" t="str">
        <f>IF('1. Live'!BR407='check-Jul25'!BR407,"",'1. Live'!BR407-'check-Jul25'!BR407)</f>
        <v/>
      </c>
      <c r="BS407" t="str">
        <f>IF('1. Live'!BS407='check-Jul25'!BS407,"",'1. Live'!BS407-'check-Jul25'!BS407)</f>
        <v/>
      </c>
      <c r="BT407" t="str">
        <f>IF('1. Live'!BT407='check-Jul25'!BT407,"",'1. Live'!BT407-'check-Jul25'!BT407)</f>
        <v/>
      </c>
      <c r="BU407" t="str">
        <f>IF('1. Live'!BU407='check-Jul25'!BU407,"",'1. Live'!BU407-'check-Jul25'!BU407)</f>
        <v/>
      </c>
      <c r="BV407" t="str">
        <f>IF('1. Live'!BV407='check-Jul25'!BV407,"",'1. Live'!BV407-'check-Jul25'!BV407)</f>
        <v/>
      </c>
      <c r="BW407" t="str">
        <f>IF('1. Live'!BW407='check-Jul25'!BW407,"",'1. Live'!BW407-'check-Jul25'!BW407)</f>
        <v/>
      </c>
      <c r="BX407" t="str">
        <f>IF('1. Live'!BX407='check-Jul25'!BX407,"",'1. Live'!BX407-'check-Jul25'!BX407)</f>
        <v/>
      </c>
      <c r="BY407" t="str">
        <f>IF('1. Live'!BY407='check-Jul25'!BY407,"",'1. Live'!BY407-'check-Jul25'!BY407)</f>
        <v/>
      </c>
      <c r="BZ407" t="str">
        <f>IF('1. Live'!BZ407='check-Jul25'!BZ407,"",'1. Live'!BZ407-'check-Jul25'!BZ407)</f>
        <v/>
      </c>
      <c r="CA407" t="str">
        <f>IF('1. Live'!CA407='check-Jul25'!CA407,"",'1. Live'!CA407-'check-Jul25'!CA407)</f>
        <v/>
      </c>
      <c r="CB407" t="str">
        <f>IF('1. Live'!CB407='check-Jul25'!CB407,"",'1. Live'!CB407-'check-Jul25'!CB407)</f>
        <v/>
      </c>
      <c r="CC407" t="str">
        <f>IF('1. Live'!CC407='check-Jul25'!CC407,"",'1. Live'!CC407-'check-Jul25'!CC407)</f>
        <v/>
      </c>
      <c r="CD407" t="str">
        <f>IF('1. Live'!CD407='check-Jul25'!CD407,"",'1. Live'!CD407-'check-Jul25'!CD407)</f>
        <v/>
      </c>
      <c r="CE407" t="str">
        <f>IF('1. Live'!CE407='check-Jul25'!CE407,"",'1. Live'!CE407-'check-Jul25'!CE407)</f>
        <v/>
      </c>
      <c r="CF407" t="str">
        <f>IF('1. Live'!CF407='check-Jul25'!CF407,"",'1. Live'!CF407-'check-Jul25'!CF407)</f>
        <v/>
      </c>
      <c r="CG407" t="str">
        <f>IF('1. Live'!CG407='check-Jul25'!CG407,"",'1. Live'!CG407-'check-Jul25'!CG407)</f>
        <v/>
      </c>
      <c r="CH407" t="str">
        <f>IF('1. Live'!CH407='check-Jul25'!CH407,"",'1. Live'!CH407-'check-Jul25'!CH407)</f>
        <v/>
      </c>
      <c r="CI407" t="str">
        <f>IF('1. Live'!CI407='check-Jul25'!CI407,"",'1. Live'!CI407-'check-Jul25'!CI407)</f>
        <v/>
      </c>
      <c r="CJ407" t="str">
        <f>IF('1. Live'!CJ407='check-Jul25'!CJ407,"",'1. Live'!CJ407-'check-Jul25'!CJ407)</f>
        <v/>
      </c>
      <c r="CK407" t="str">
        <f>IF('1. Live'!CK407='check-Jul25'!CK407,"",'1. Live'!CK407-'check-Jul25'!CK407)</f>
        <v/>
      </c>
      <c r="CL407" t="str">
        <f>IF('1. Live'!CL407='check-Jul25'!CL407,"",'1. Live'!CL407-'check-Jul25'!CL407)</f>
        <v/>
      </c>
      <c r="CM407" t="str">
        <f>IF('1. Live'!CM407='check-Jul25'!CM407,"",'1. Live'!CM407-'check-Jul25'!CM407)</f>
        <v/>
      </c>
      <c r="CN407" t="str">
        <f>IF('1. Live'!CN407='check-Jul25'!CN407,"",'1. Live'!CN407-'check-Jul25'!CN407)</f>
        <v/>
      </c>
      <c r="CO407" t="str">
        <f>IF('1. Live'!CO407='check-Jul25'!CO407,"",'1. Live'!CO407-'check-Jul25'!CO407)</f>
        <v/>
      </c>
      <c r="CP407" t="str">
        <f>IF('1. Live'!CP407='check-Jul25'!CP407,"",'1. Live'!CP407-'check-Jul25'!CP407)</f>
        <v/>
      </c>
      <c r="CQ407" t="str">
        <f>IF('1. Live'!CQ407='check-Jul25'!CQ407,"",'1. Live'!CQ407-'check-Jul25'!CQ407)</f>
        <v/>
      </c>
      <c r="CR407" t="str">
        <f>IF('1. Live'!CR407='check-Jul25'!CR407,"",'1. Live'!CR407-'check-Jul25'!CR407)</f>
        <v/>
      </c>
      <c r="CS407" t="str">
        <f>IF('1. Live'!CS407='check-Jul25'!CS407,"",'1. Live'!CS407-'check-Jul25'!CS407)</f>
        <v/>
      </c>
      <c r="CT407" t="str">
        <f>IF('1. Live'!CT407='check-Jul25'!CT407,"",'1. Live'!CT407-'check-Jul25'!CT407)</f>
        <v/>
      </c>
      <c r="CU407" t="str">
        <f>IF('1. Live'!CU407='check-Jul25'!CU407,"",'1. Live'!CU407-'check-Jul25'!CU407)</f>
        <v/>
      </c>
      <c r="CV407" t="str">
        <f>IF('1. Live'!CV407='check-Jul25'!CV407,"",'1. Live'!CV407-'check-Jul25'!CV407)</f>
        <v/>
      </c>
      <c r="CW407" t="str">
        <f>IF('1. Live'!CW407='check-Jul25'!CW407,"",'1. Live'!CW407-'check-Jul25'!CW407)</f>
        <v/>
      </c>
    </row>
    <row r="408" spans="10:101">
      <c r="J408" t="str">
        <f>IF('1. Live'!J408='check-Jul25'!J408,"",'1. Live'!J408-'check-Jul25'!J408)</f>
        <v/>
      </c>
      <c r="K408" t="str">
        <f>IF('1. Live'!K408='check-Jul25'!K408,"",'1. Live'!K408-'check-Jul25'!K408)</f>
        <v/>
      </c>
      <c r="L408" t="str">
        <f>IF('1. Live'!L408='check-Jul25'!L408,"",'1. Live'!L408-'check-Jul25'!L408)</f>
        <v/>
      </c>
      <c r="M408" t="str">
        <f>IF('1. Live'!M408='check-Jul25'!M408,"",'1. Live'!M408-'check-Jul25'!M408)</f>
        <v/>
      </c>
      <c r="N408" t="str">
        <f>IF('1. Live'!N408='check-Jul25'!N408,"",'1. Live'!N408-'check-Jul25'!N408)</f>
        <v/>
      </c>
      <c r="O408" t="str">
        <f>IF('1. Live'!O408='check-Jul25'!O408,"",'1. Live'!O408-'check-Jul25'!O408)</f>
        <v/>
      </c>
      <c r="P408" t="str">
        <f>IF('1. Live'!P408='check-Jul25'!P408,"",'1. Live'!P408-'check-Jul25'!P408)</f>
        <v/>
      </c>
      <c r="Q408" t="str">
        <f>IF('1. Live'!Q408='check-Jul25'!Q408,"",'1. Live'!Q408-'check-Jul25'!Q408)</f>
        <v/>
      </c>
      <c r="R408" t="str">
        <f>IF('1. Live'!R408='check-Jul25'!R408,"",'1. Live'!R408-'check-Jul25'!R408)</f>
        <v/>
      </c>
      <c r="S408" t="str">
        <f>IF('1. Live'!S408='check-Jul25'!S408,"",'1. Live'!S408-'check-Jul25'!S408)</f>
        <v/>
      </c>
      <c r="T408" t="str">
        <f>IF('1. Live'!T408='check-Jul25'!T408,"",'1. Live'!T408-'check-Jul25'!T408)</f>
        <v/>
      </c>
      <c r="U408" t="str">
        <f>IF('1. Live'!U408='check-Jul25'!U408,"",'1. Live'!U408-'check-Jul25'!U408)</f>
        <v/>
      </c>
      <c r="V408" t="str">
        <f>IF('1. Live'!V408='check-Jul25'!V408,"",'1. Live'!V408-'check-Jul25'!V408)</f>
        <v/>
      </c>
      <c r="W408" t="str">
        <f>IF('1. Live'!W408='check-Jul25'!W408,"",'1. Live'!W408-'check-Jul25'!W408)</f>
        <v/>
      </c>
      <c r="X408" t="str">
        <f>IF('1. Live'!X408='check-Jul25'!X408,"",'1. Live'!X408-'check-Jul25'!X408)</f>
        <v/>
      </c>
      <c r="Y408" t="str">
        <f>IF('1. Live'!Y408='check-Jul25'!Y408,"",'1. Live'!Y408-'check-Jul25'!Y408)</f>
        <v/>
      </c>
      <c r="Z408" t="str">
        <f>IF('1. Live'!Z408='check-Jul25'!Z408,"",'1. Live'!Z408-'check-Jul25'!Z408)</f>
        <v/>
      </c>
      <c r="AA408" t="str">
        <f>IF('1. Live'!AA408='check-Jul25'!AA408,"",'1. Live'!AA408-'check-Jul25'!AA408)</f>
        <v/>
      </c>
      <c r="AB408" t="str">
        <f>IF('1. Live'!AB408='check-Jul25'!AB408,"",'1. Live'!AB408-'check-Jul25'!AB408)</f>
        <v/>
      </c>
      <c r="AC408" t="str">
        <f>IF('1. Live'!AC408='check-Jul25'!AC408,"",'1. Live'!AC408-'check-Jul25'!AC408)</f>
        <v/>
      </c>
      <c r="AD408" t="str">
        <f>IF('1. Live'!AD408='check-Jul25'!AD408,"",'1. Live'!AD408-'check-Jul25'!AD408)</f>
        <v/>
      </c>
      <c r="AE408" t="str">
        <f>IF('1. Live'!AE408='check-Jul25'!AE408,"",'1. Live'!AE408-'check-Jul25'!AE408)</f>
        <v/>
      </c>
      <c r="AF408" t="str">
        <f>IF('1. Live'!AF408='check-Jul25'!AF408,"",'1. Live'!AF408-'check-Jul25'!AF408)</f>
        <v/>
      </c>
      <c r="AG408" t="str">
        <f>IF('1. Live'!AG408='check-Jul25'!AG408,"",'1. Live'!AG408-'check-Jul25'!AG408)</f>
        <v/>
      </c>
      <c r="AH408" t="str">
        <f>IF('1. Live'!AH408='check-Jul25'!AH408,"",'1. Live'!AH408-'check-Jul25'!AH408)</f>
        <v/>
      </c>
      <c r="AI408" t="str">
        <f>IF('1. Live'!AI408='check-Jul25'!AI408,"",'1. Live'!AI408-'check-Jul25'!AI408)</f>
        <v/>
      </c>
      <c r="AJ408" t="str">
        <f>IF('1. Live'!AJ408='check-Jul25'!AJ408,"",'1. Live'!AJ408-'check-Jul25'!AJ408)</f>
        <v/>
      </c>
      <c r="AK408" t="str">
        <f>IF('1. Live'!AK408='check-Jul25'!AK408,"",'1. Live'!AK408-'check-Jul25'!AK408)</f>
        <v/>
      </c>
      <c r="AL408" t="str">
        <f>IF('1. Live'!AL408='check-Jul25'!AL408,"",'1. Live'!AL408-'check-Jul25'!AL408)</f>
        <v/>
      </c>
      <c r="AM408" t="str">
        <f>IF('1. Live'!AM408='check-Jul25'!AM408,"",'1. Live'!AM408-'check-Jul25'!AM408)</f>
        <v/>
      </c>
      <c r="AN408" t="str">
        <f>IF('1. Live'!AN408='check-Jul25'!AN408,"",'1. Live'!AN408-'check-Jul25'!AN408)</f>
        <v/>
      </c>
      <c r="AO408" t="str">
        <f>IF('1. Live'!AO408='check-Jul25'!AO408,"",'1. Live'!AO408-'check-Jul25'!AO408)</f>
        <v/>
      </c>
      <c r="AP408" t="str">
        <f>IF('1. Live'!AP408='check-Jul25'!AP408,"",'1. Live'!AP408-'check-Jul25'!AP408)</f>
        <v/>
      </c>
      <c r="AQ408" t="str">
        <f>IF('1. Live'!AQ408='check-Jul25'!AQ408,"",'1. Live'!AQ408-'check-Jul25'!AQ408)</f>
        <v/>
      </c>
      <c r="AR408" t="str">
        <f>IF('1. Live'!AR408='check-Jul25'!AR408,"",'1. Live'!AR408-'check-Jul25'!AR408)</f>
        <v/>
      </c>
      <c r="AS408" t="str">
        <f>IF('1. Live'!AS408='check-Jul25'!AS408,"",'1. Live'!AS408-'check-Jul25'!AS408)</f>
        <v/>
      </c>
      <c r="AT408" t="str">
        <f>IF('1. Live'!AT408='check-Jul25'!AT408,"",'1. Live'!AT408-'check-Jul25'!AT408)</f>
        <v/>
      </c>
      <c r="AU408" t="str">
        <f>IF('1. Live'!AU408='check-Jul25'!AU408,"",'1. Live'!AU408-'check-Jul25'!AU408)</f>
        <v/>
      </c>
      <c r="AV408" t="str">
        <f>IF('1. Live'!AV408='check-Jul25'!AV408,"",'1. Live'!AV408-'check-Jul25'!AV408)</f>
        <v/>
      </c>
      <c r="AW408" t="str">
        <f>IF('1. Live'!AW408='check-Jul25'!AW408,"",'1. Live'!AW408-'check-Jul25'!AW408)</f>
        <v/>
      </c>
      <c r="AX408" t="str">
        <f>IF('1. Live'!AX408='check-Jul25'!AX408,"",'1. Live'!AX408-'check-Jul25'!AX408)</f>
        <v/>
      </c>
      <c r="AY408" t="str">
        <f>IF('1. Live'!AY408='check-Jul25'!AY408,"",'1. Live'!AY408-'check-Jul25'!AY408)</f>
        <v/>
      </c>
      <c r="AZ408" t="str">
        <f>IF('1. Live'!AZ408='check-Jul25'!AZ408,"",'1. Live'!AZ408-'check-Jul25'!AZ408)</f>
        <v/>
      </c>
      <c r="BA408" t="str">
        <f>IF('1. Live'!BA408='check-Jul25'!BA408,"",'1. Live'!BA408-'check-Jul25'!BA408)</f>
        <v/>
      </c>
      <c r="BB408" t="str">
        <f>IF('1. Live'!BB408='check-Jul25'!BB408,"",'1. Live'!BB408-'check-Jul25'!BB408)</f>
        <v/>
      </c>
      <c r="BC408" t="str">
        <f>IF('1. Live'!BC408='check-Jul25'!BC408,"",'1. Live'!BC408-'check-Jul25'!BC408)</f>
        <v/>
      </c>
      <c r="BD408" t="str">
        <f>IF('1. Live'!BD408='check-Jul25'!BD408,"",'1. Live'!BD408-'check-Jul25'!BD408)</f>
        <v/>
      </c>
      <c r="BE408" t="str">
        <f>IF('1. Live'!BE408='check-Jul25'!BE408,"",'1. Live'!BE408-'check-Jul25'!BE408)</f>
        <v/>
      </c>
      <c r="BF408" t="str">
        <f>IF('1. Live'!BF408='check-Jul25'!BF408,"",'1. Live'!BF408-'check-Jul25'!BF408)</f>
        <v/>
      </c>
      <c r="BG408" t="str">
        <f>IF('1. Live'!BG408='check-Jul25'!BG408,"",'1. Live'!BG408-'check-Jul25'!BG408)</f>
        <v/>
      </c>
      <c r="BH408" t="str">
        <f>IF('1. Live'!BH408='check-Jul25'!BH408,"",'1. Live'!BH408-'check-Jul25'!BH408)</f>
        <v/>
      </c>
      <c r="BI408" t="str">
        <f>IF('1. Live'!BI408='check-Jul25'!BI408,"",'1. Live'!BI408-'check-Jul25'!BI408)</f>
        <v/>
      </c>
      <c r="BJ408" t="str">
        <f>IF('1. Live'!BJ408='check-Jul25'!BJ408,"",'1. Live'!BJ408-'check-Jul25'!BJ408)</f>
        <v/>
      </c>
      <c r="BK408" t="str">
        <f>IF('1. Live'!BK408='check-Jul25'!BK408,"",'1. Live'!BK408-'check-Jul25'!BK408)</f>
        <v/>
      </c>
      <c r="BL408" t="str">
        <f>IF('1. Live'!BL408='check-Jul25'!BL408,"",'1. Live'!BL408-'check-Jul25'!BL408)</f>
        <v/>
      </c>
      <c r="BM408" t="str">
        <f>IF('1. Live'!BM408='check-Jul25'!BM408,"",'1. Live'!BM408-'check-Jul25'!BM408)</f>
        <v/>
      </c>
      <c r="BN408" t="str">
        <f>IF('1. Live'!BN408='check-Jul25'!BN408,"",'1. Live'!BN408-'check-Jul25'!BN408)</f>
        <v/>
      </c>
      <c r="BO408" t="str">
        <f>IF('1. Live'!BO408='check-Jul25'!BO408,"",'1. Live'!BO408-'check-Jul25'!BO408)</f>
        <v/>
      </c>
      <c r="BP408" t="str">
        <f>IF('1. Live'!BP408='check-Jul25'!BP408,"",'1. Live'!BP408-'check-Jul25'!BP408)</f>
        <v/>
      </c>
      <c r="BQ408" t="str">
        <f>IF('1. Live'!BQ408='check-Jul25'!BQ408,"",'1. Live'!BQ408-'check-Jul25'!BQ408)</f>
        <v/>
      </c>
      <c r="BR408" t="str">
        <f>IF('1. Live'!BR408='check-Jul25'!BR408,"",'1. Live'!BR408-'check-Jul25'!BR408)</f>
        <v/>
      </c>
      <c r="BS408" t="str">
        <f>IF('1. Live'!BS408='check-Jul25'!BS408,"",'1. Live'!BS408-'check-Jul25'!BS408)</f>
        <v/>
      </c>
      <c r="BT408" t="str">
        <f>IF('1. Live'!BT408='check-Jul25'!BT408,"",'1. Live'!BT408-'check-Jul25'!BT408)</f>
        <v/>
      </c>
      <c r="BU408" t="str">
        <f>IF('1. Live'!BU408='check-Jul25'!BU408,"",'1. Live'!BU408-'check-Jul25'!BU408)</f>
        <v/>
      </c>
      <c r="BV408" t="str">
        <f>IF('1. Live'!BV408='check-Jul25'!BV408,"",'1. Live'!BV408-'check-Jul25'!BV408)</f>
        <v/>
      </c>
      <c r="BW408" t="str">
        <f>IF('1. Live'!BW408='check-Jul25'!BW408,"",'1. Live'!BW408-'check-Jul25'!BW408)</f>
        <v/>
      </c>
      <c r="BX408" t="str">
        <f>IF('1. Live'!BX408='check-Jul25'!BX408,"",'1. Live'!BX408-'check-Jul25'!BX408)</f>
        <v/>
      </c>
      <c r="BY408" t="str">
        <f>IF('1. Live'!BY408='check-Jul25'!BY408,"",'1. Live'!BY408-'check-Jul25'!BY408)</f>
        <v/>
      </c>
      <c r="BZ408" t="str">
        <f>IF('1. Live'!BZ408='check-Jul25'!BZ408,"",'1. Live'!BZ408-'check-Jul25'!BZ408)</f>
        <v/>
      </c>
      <c r="CA408" t="str">
        <f>IF('1. Live'!CA408='check-Jul25'!CA408,"",'1. Live'!CA408-'check-Jul25'!CA408)</f>
        <v/>
      </c>
      <c r="CB408" t="str">
        <f>IF('1. Live'!CB408='check-Jul25'!CB408,"",'1. Live'!CB408-'check-Jul25'!CB408)</f>
        <v/>
      </c>
      <c r="CC408" t="str">
        <f>IF('1. Live'!CC408='check-Jul25'!CC408,"",'1. Live'!CC408-'check-Jul25'!CC408)</f>
        <v/>
      </c>
      <c r="CD408" t="str">
        <f>IF('1. Live'!CD408='check-Jul25'!CD408,"",'1. Live'!CD408-'check-Jul25'!CD408)</f>
        <v/>
      </c>
      <c r="CE408" t="str">
        <f>IF('1. Live'!CE408='check-Jul25'!CE408,"",'1. Live'!CE408-'check-Jul25'!CE408)</f>
        <v/>
      </c>
      <c r="CF408" t="str">
        <f>IF('1. Live'!CF408='check-Jul25'!CF408,"",'1. Live'!CF408-'check-Jul25'!CF408)</f>
        <v/>
      </c>
      <c r="CG408" t="str">
        <f>IF('1. Live'!CG408='check-Jul25'!CG408,"",'1. Live'!CG408-'check-Jul25'!CG408)</f>
        <v/>
      </c>
      <c r="CH408" t="str">
        <f>IF('1. Live'!CH408='check-Jul25'!CH408,"",'1. Live'!CH408-'check-Jul25'!CH408)</f>
        <v/>
      </c>
      <c r="CI408" t="str">
        <f>IF('1. Live'!CI408='check-Jul25'!CI408,"",'1. Live'!CI408-'check-Jul25'!CI408)</f>
        <v/>
      </c>
      <c r="CJ408" t="str">
        <f>IF('1. Live'!CJ408='check-Jul25'!CJ408,"",'1. Live'!CJ408-'check-Jul25'!CJ408)</f>
        <v/>
      </c>
      <c r="CK408" t="str">
        <f>IF('1. Live'!CK408='check-Jul25'!CK408,"",'1. Live'!CK408-'check-Jul25'!CK408)</f>
        <v/>
      </c>
      <c r="CL408" t="str">
        <f>IF('1. Live'!CL408='check-Jul25'!CL408,"",'1. Live'!CL408-'check-Jul25'!CL408)</f>
        <v/>
      </c>
      <c r="CM408" t="str">
        <f>IF('1. Live'!CM408='check-Jul25'!CM408,"",'1. Live'!CM408-'check-Jul25'!CM408)</f>
        <v/>
      </c>
      <c r="CN408" t="str">
        <f>IF('1. Live'!CN408='check-Jul25'!CN408,"",'1. Live'!CN408-'check-Jul25'!CN408)</f>
        <v/>
      </c>
      <c r="CO408" t="str">
        <f>IF('1. Live'!CO408='check-Jul25'!CO408,"",'1. Live'!CO408-'check-Jul25'!CO408)</f>
        <v/>
      </c>
      <c r="CP408" t="str">
        <f>IF('1. Live'!CP408='check-Jul25'!CP408,"",'1. Live'!CP408-'check-Jul25'!CP408)</f>
        <v/>
      </c>
      <c r="CQ408" t="str">
        <f>IF('1. Live'!CQ408='check-Jul25'!CQ408,"",'1. Live'!CQ408-'check-Jul25'!CQ408)</f>
        <v/>
      </c>
      <c r="CR408" t="str">
        <f>IF('1. Live'!CR408='check-Jul25'!CR408,"",'1. Live'!CR408-'check-Jul25'!CR408)</f>
        <v/>
      </c>
      <c r="CS408" t="str">
        <f>IF('1. Live'!CS408='check-Jul25'!CS408,"",'1. Live'!CS408-'check-Jul25'!CS408)</f>
        <v/>
      </c>
      <c r="CT408" t="str">
        <f>IF('1. Live'!CT408='check-Jul25'!CT408,"",'1. Live'!CT408-'check-Jul25'!CT408)</f>
        <v/>
      </c>
      <c r="CU408" t="str">
        <f>IF('1. Live'!CU408='check-Jul25'!CU408,"",'1. Live'!CU408-'check-Jul25'!CU408)</f>
        <v/>
      </c>
      <c r="CV408" t="str">
        <f>IF('1. Live'!CV408='check-Jul25'!CV408,"",'1. Live'!CV408-'check-Jul25'!CV408)</f>
        <v/>
      </c>
      <c r="CW408" t="str">
        <f>IF('1. Live'!CW408='check-Jul25'!CW408,"",'1. Live'!CW408-'check-Jul25'!CW408)</f>
        <v/>
      </c>
    </row>
    <row r="409" spans="10:101">
      <c r="J409" t="str">
        <f>IF('1. Live'!J409='check-Jul25'!J409,"",'1. Live'!J409-'check-Jul25'!J409)</f>
        <v/>
      </c>
      <c r="K409" t="str">
        <f>IF('1. Live'!K409='check-Jul25'!K409,"",'1. Live'!K409-'check-Jul25'!K409)</f>
        <v/>
      </c>
      <c r="L409" t="str">
        <f>IF('1. Live'!L409='check-Jul25'!L409,"",'1. Live'!L409-'check-Jul25'!L409)</f>
        <v/>
      </c>
      <c r="M409" t="str">
        <f>IF('1. Live'!M409='check-Jul25'!M409,"",'1. Live'!M409-'check-Jul25'!M409)</f>
        <v/>
      </c>
      <c r="N409" t="str">
        <f>IF('1. Live'!N409='check-Jul25'!N409,"",'1. Live'!N409-'check-Jul25'!N409)</f>
        <v/>
      </c>
      <c r="O409" t="str">
        <f>IF('1. Live'!O409='check-Jul25'!O409,"",'1. Live'!O409-'check-Jul25'!O409)</f>
        <v/>
      </c>
      <c r="P409" t="str">
        <f>IF('1. Live'!P409='check-Jul25'!P409,"",'1. Live'!P409-'check-Jul25'!P409)</f>
        <v/>
      </c>
      <c r="Q409" t="str">
        <f>IF('1. Live'!Q409='check-Jul25'!Q409,"",'1. Live'!Q409-'check-Jul25'!Q409)</f>
        <v/>
      </c>
      <c r="R409" t="str">
        <f>IF('1. Live'!R409='check-Jul25'!R409,"",'1. Live'!R409-'check-Jul25'!R409)</f>
        <v/>
      </c>
      <c r="S409" t="str">
        <f>IF('1. Live'!S409='check-Jul25'!S409,"",'1. Live'!S409-'check-Jul25'!S409)</f>
        <v/>
      </c>
      <c r="T409" t="str">
        <f>IF('1. Live'!T409='check-Jul25'!T409,"",'1. Live'!T409-'check-Jul25'!T409)</f>
        <v/>
      </c>
      <c r="U409" t="str">
        <f>IF('1. Live'!U409='check-Jul25'!U409,"",'1. Live'!U409-'check-Jul25'!U409)</f>
        <v/>
      </c>
      <c r="V409" t="str">
        <f>IF('1. Live'!V409='check-Jul25'!V409,"",'1. Live'!V409-'check-Jul25'!V409)</f>
        <v/>
      </c>
      <c r="W409" t="str">
        <f>IF('1. Live'!W409='check-Jul25'!W409,"",'1. Live'!W409-'check-Jul25'!W409)</f>
        <v/>
      </c>
      <c r="X409" t="str">
        <f>IF('1. Live'!X409='check-Jul25'!X409,"",'1. Live'!X409-'check-Jul25'!X409)</f>
        <v/>
      </c>
      <c r="Y409" t="str">
        <f>IF('1. Live'!Y409='check-Jul25'!Y409,"",'1. Live'!Y409-'check-Jul25'!Y409)</f>
        <v/>
      </c>
      <c r="Z409" t="str">
        <f>IF('1. Live'!Z409='check-Jul25'!Z409,"",'1. Live'!Z409-'check-Jul25'!Z409)</f>
        <v/>
      </c>
      <c r="AA409" t="str">
        <f>IF('1. Live'!AA409='check-Jul25'!AA409,"",'1. Live'!AA409-'check-Jul25'!AA409)</f>
        <v/>
      </c>
      <c r="AB409" t="str">
        <f>IF('1. Live'!AB409='check-Jul25'!AB409,"",'1. Live'!AB409-'check-Jul25'!AB409)</f>
        <v/>
      </c>
      <c r="AC409" t="str">
        <f>IF('1. Live'!AC409='check-Jul25'!AC409,"",'1. Live'!AC409-'check-Jul25'!AC409)</f>
        <v/>
      </c>
      <c r="AD409" t="str">
        <f>IF('1. Live'!AD409='check-Jul25'!AD409,"",'1. Live'!AD409-'check-Jul25'!AD409)</f>
        <v/>
      </c>
      <c r="AE409" t="str">
        <f>IF('1. Live'!AE409='check-Jul25'!AE409,"",'1. Live'!AE409-'check-Jul25'!AE409)</f>
        <v/>
      </c>
      <c r="AF409" t="str">
        <f>IF('1. Live'!AF409='check-Jul25'!AF409,"",'1. Live'!AF409-'check-Jul25'!AF409)</f>
        <v/>
      </c>
      <c r="AG409" t="str">
        <f>IF('1. Live'!AG409='check-Jul25'!AG409,"",'1. Live'!AG409-'check-Jul25'!AG409)</f>
        <v/>
      </c>
      <c r="AH409" t="str">
        <f>IF('1. Live'!AH409='check-Jul25'!AH409,"",'1. Live'!AH409-'check-Jul25'!AH409)</f>
        <v/>
      </c>
      <c r="AI409" t="str">
        <f>IF('1. Live'!AI409='check-Jul25'!AI409,"",'1. Live'!AI409-'check-Jul25'!AI409)</f>
        <v/>
      </c>
      <c r="AJ409" t="str">
        <f>IF('1. Live'!AJ409='check-Jul25'!AJ409,"",'1. Live'!AJ409-'check-Jul25'!AJ409)</f>
        <v/>
      </c>
      <c r="AK409" t="str">
        <f>IF('1. Live'!AK409='check-Jul25'!AK409,"",'1. Live'!AK409-'check-Jul25'!AK409)</f>
        <v/>
      </c>
      <c r="AL409" t="str">
        <f>IF('1. Live'!AL409='check-Jul25'!AL409,"",'1. Live'!AL409-'check-Jul25'!AL409)</f>
        <v/>
      </c>
      <c r="AM409" t="str">
        <f>IF('1. Live'!AM409='check-Jul25'!AM409,"",'1. Live'!AM409-'check-Jul25'!AM409)</f>
        <v/>
      </c>
      <c r="AN409" t="str">
        <f>IF('1. Live'!AN409='check-Jul25'!AN409,"",'1. Live'!AN409-'check-Jul25'!AN409)</f>
        <v/>
      </c>
      <c r="AO409" t="str">
        <f>IF('1. Live'!AO409='check-Jul25'!AO409,"",'1. Live'!AO409-'check-Jul25'!AO409)</f>
        <v/>
      </c>
      <c r="AP409" t="str">
        <f>IF('1. Live'!AP409='check-Jul25'!AP409,"",'1. Live'!AP409-'check-Jul25'!AP409)</f>
        <v/>
      </c>
      <c r="AQ409" t="str">
        <f>IF('1. Live'!AQ409='check-Jul25'!AQ409,"",'1. Live'!AQ409-'check-Jul25'!AQ409)</f>
        <v/>
      </c>
      <c r="AR409" t="str">
        <f>IF('1. Live'!AR409='check-Jul25'!AR409,"",'1. Live'!AR409-'check-Jul25'!AR409)</f>
        <v/>
      </c>
      <c r="AS409" t="str">
        <f>IF('1. Live'!AS409='check-Jul25'!AS409,"",'1. Live'!AS409-'check-Jul25'!AS409)</f>
        <v/>
      </c>
      <c r="AT409" t="str">
        <f>IF('1. Live'!AT409='check-Jul25'!AT409,"",'1. Live'!AT409-'check-Jul25'!AT409)</f>
        <v/>
      </c>
      <c r="AU409" t="str">
        <f>IF('1. Live'!AU409='check-Jul25'!AU409,"",'1. Live'!AU409-'check-Jul25'!AU409)</f>
        <v/>
      </c>
      <c r="AV409" t="str">
        <f>IF('1. Live'!AV409='check-Jul25'!AV409,"",'1. Live'!AV409-'check-Jul25'!AV409)</f>
        <v/>
      </c>
      <c r="AW409" t="str">
        <f>IF('1. Live'!AW409='check-Jul25'!AW409,"",'1. Live'!AW409-'check-Jul25'!AW409)</f>
        <v/>
      </c>
      <c r="AX409" t="str">
        <f>IF('1. Live'!AX409='check-Jul25'!AX409,"",'1. Live'!AX409-'check-Jul25'!AX409)</f>
        <v/>
      </c>
      <c r="AY409" t="str">
        <f>IF('1. Live'!AY409='check-Jul25'!AY409,"",'1. Live'!AY409-'check-Jul25'!AY409)</f>
        <v/>
      </c>
      <c r="AZ409" t="str">
        <f>IF('1. Live'!AZ409='check-Jul25'!AZ409,"",'1. Live'!AZ409-'check-Jul25'!AZ409)</f>
        <v/>
      </c>
      <c r="BA409" t="str">
        <f>IF('1. Live'!BA409='check-Jul25'!BA409,"",'1. Live'!BA409-'check-Jul25'!BA409)</f>
        <v/>
      </c>
      <c r="BB409" t="str">
        <f>IF('1. Live'!BB409='check-Jul25'!BB409,"",'1. Live'!BB409-'check-Jul25'!BB409)</f>
        <v/>
      </c>
      <c r="BC409" t="str">
        <f>IF('1. Live'!BC409='check-Jul25'!BC409,"",'1. Live'!BC409-'check-Jul25'!BC409)</f>
        <v/>
      </c>
      <c r="BD409" t="str">
        <f>IF('1. Live'!BD409='check-Jul25'!BD409,"",'1. Live'!BD409-'check-Jul25'!BD409)</f>
        <v/>
      </c>
      <c r="BE409" t="str">
        <f>IF('1. Live'!BE409='check-Jul25'!BE409,"",'1. Live'!BE409-'check-Jul25'!BE409)</f>
        <v/>
      </c>
      <c r="BF409" t="str">
        <f>IF('1. Live'!BF409='check-Jul25'!BF409,"",'1. Live'!BF409-'check-Jul25'!BF409)</f>
        <v/>
      </c>
      <c r="BG409" t="str">
        <f>IF('1. Live'!BG409='check-Jul25'!BG409,"",'1. Live'!BG409-'check-Jul25'!BG409)</f>
        <v/>
      </c>
      <c r="BH409" t="str">
        <f>IF('1. Live'!BH409='check-Jul25'!BH409,"",'1. Live'!BH409-'check-Jul25'!BH409)</f>
        <v/>
      </c>
      <c r="BI409" t="str">
        <f>IF('1. Live'!BI409='check-Jul25'!BI409,"",'1. Live'!BI409-'check-Jul25'!BI409)</f>
        <v/>
      </c>
      <c r="BJ409" t="str">
        <f>IF('1. Live'!BJ409='check-Jul25'!BJ409,"",'1. Live'!BJ409-'check-Jul25'!BJ409)</f>
        <v/>
      </c>
      <c r="BK409" t="str">
        <f>IF('1. Live'!BK409='check-Jul25'!BK409,"",'1. Live'!BK409-'check-Jul25'!BK409)</f>
        <v/>
      </c>
      <c r="BL409" t="str">
        <f>IF('1. Live'!BL409='check-Jul25'!BL409,"",'1. Live'!BL409-'check-Jul25'!BL409)</f>
        <v/>
      </c>
      <c r="BM409" t="str">
        <f>IF('1. Live'!BM409='check-Jul25'!BM409,"",'1. Live'!BM409-'check-Jul25'!BM409)</f>
        <v/>
      </c>
      <c r="BN409" t="str">
        <f>IF('1. Live'!BN409='check-Jul25'!BN409,"",'1. Live'!BN409-'check-Jul25'!BN409)</f>
        <v/>
      </c>
      <c r="BO409" t="str">
        <f>IF('1. Live'!BO409='check-Jul25'!BO409,"",'1. Live'!BO409-'check-Jul25'!BO409)</f>
        <v/>
      </c>
      <c r="BP409" t="str">
        <f>IF('1. Live'!BP409='check-Jul25'!BP409,"",'1. Live'!BP409-'check-Jul25'!BP409)</f>
        <v/>
      </c>
      <c r="BQ409" t="str">
        <f>IF('1. Live'!BQ409='check-Jul25'!BQ409,"",'1. Live'!BQ409-'check-Jul25'!BQ409)</f>
        <v/>
      </c>
      <c r="BR409" t="str">
        <f>IF('1. Live'!BR409='check-Jul25'!BR409,"",'1. Live'!BR409-'check-Jul25'!BR409)</f>
        <v/>
      </c>
      <c r="BS409" t="str">
        <f>IF('1. Live'!BS409='check-Jul25'!BS409,"",'1. Live'!BS409-'check-Jul25'!BS409)</f>
        <v/>
      </c>
      <c r="BT409" t="str">
        <f>IF('1. Live'!BT409='check-Jul25'!BT409,"",'1. Live'!BT409-'check-Jul25'!BT409)</f>
        <v/>
      </c>
      <c r="BU409" t="str">
        <f>IF('1. Live'!BU409='check-Jul25'!BU409,"",'1. Live'!BU409-'check-Jul25'!BU409)</f>
        <v/>
      </c>
      <c r="BV409" t="str">
        <f>IF('1. Live'!BV409='check-Jul25'!BV409,"",'1. Live'!BV409-'check-Jul25'!BV409)</f>
        <v/>
      </c>
      <c r="BW409" t="str">
        <f>IF('1. Live'!BW409='check-Jul25'!BW409,"",'1. Live'!BW409-'check-Jul25'!BW409)</f>
        <v/>
      </c>
      <c r="BX409" t="str">
        <f>IF('1. Live'!BX409='check-Jul25'!BX409,"",'1. Live'!BX409-'check-Jul25'!BX409)</f>
        <v/>
      </c>
      <c r="BY409" t="str">
        <f>IF('1. Live'!BY409='check-Jul25'!BY409,"",'1. Live'!BY409-'check-Jul25'!BY409)</f>
        <v/>
      </c>
      <c r="BZ409" t="str">
        <f>IF('1. Live'!BZ409='check-Jul25'!BZ409,"",'1. Live'!BZ409-'check-Jul25'!BZ409)</f>
        <v/>
      </c>
      <c r="CA409" t="str">
        <f>IF('1. Live'!CA409='check-Jul25'!CA409,"",'1. Live'!CA409-'check-Jul25'!CA409)</f>
        <v/>
      </c>
      <c r="CB409" t="str">
        <f>IF('1. Live'!CB409='check-Jul25'!CB409,"",'1. Live'!CB409-'check-Jul25'!CB409)</f>
        <v/>
      </c>
      <c r="CC409" t="str">
        <f>IF('1. Live'!CC409='check-Jul25'!CC409,"",'1. Live'!CC409-'check-Jul25'!CC409)</f>
        <v/>
      </c>
      <c r="CD409" t="str">
        <f>IF('1. Live'!CD409='check-Jul25'!CD409,"",'1. Live'!CD409-'check-Jul25'!CD409)</f>
        <v/>
      </c>
      <c r="CE409" t="str">
        <f>IF('1. Live'!CE409='check-Jul25'!CE409,"",'1. Live'!CE409-'check-Jul25'!CE409)</f>
        <v/>
      </c>
      <c r="CF409" t="str">
        <f>IF('1. Live'!CF409='check-Jul25'!CF409,"",'1. Live'!CF409-'check-Jul25'!CF409)</f>
        <v/>
      </c>
      <c r="CG409" t="str">
        <f>IF('1. Live'!CG409='check-Jul25'!CG409,"",'1. Live'!CG409-'check-Jul25'!CG409)</f>
        <v/>
      </c>
      <c r="CH409" t="str">
        <f>IF('1. Live'!CH409='check-Jul25'!CH409,"",'1. Live'!CH409-'check-Jul25'!CH409)</f>
        <v/>
      </c>
      <c r="CI409" t="str">
        <f>IF('1. Live'!CI409='check-Jul25'!CI409,"",'1. Live'!CI409-'check-Jul25'!CI409)</f>
        <v/>
      </c>
      <c r="CJ409" t="str">
        <f>IF('1. Live'!CJ409='check-Jul25'!CJ409,"",'1. Live'!CJ409-'check-Jul25'!CJ409)</f>
        <v/>
      </c>
      <c r="CK409" t="str">
        <f>IF('1. Live'!CK409='check-Jul25'!CK409,"",'1. Live'!CK409-'check-Jul25'!CK409)</f>
        <v/>
      </c>
      <c r="CL409" t="str">
        <f>IF('1. Live'!CL409='check-Jul25'!CL409,"",'1. Live'!CL409-'check-Jul25'!CL409)</f>
        <v/>
      </c>
      <c r="CM409" t="str">
        <f>IF('1. Live'!CM409='check-Jul25'!CM409,"",'1. Live'!CM409-'check-Jul25'!CM409)</f>
        <v/>
      </c>
      <c r="CN409" t="str">
        <f>IF('1. Live'!CN409='check-Jul25'!CN409,"",'1. Live'!CN409-'check-Jul25'!CN409)</f>
        <v/>
      </c>
      <c r="CO409" t="str">
        <f>IF('1. Live'!CO409='check-Jul25'!CO409,"",'1. Live'!CO409-'check-Jul25'!CO409)</f>
        <v/>
      </c>
      <c r="CP409" t="str">
        <f>IF('1. Live'!CP409='check-Jul25'!CP409,"",'1. Live'!CP409-'check-Jul25'!CP409)</f>
        <v/>
      </c>
      <c r="CQ409" t="str">
        <f>IF('1. Live'!CQ409='check-Jul25'!CQ409,"",'1. Live'!CQ409-'check-Jul25'!CQ409)</f>
        <v/>
      </c>
      <c r="CR409" t="str">
        <f>IF('1. Live'!CR409='check-Jul25'!CR409,"",'1. Live'!CR409-'check-Jul25'!CR409)</f>
        <v/>
      </c>
      <c r="CS409" t="str">
        <f>IF('1. Live'!CS409='check-Jul25'!CS409,"",'1. Live'!CS409-'check-Jul25'!CS409)</f>
        <v/>
      </c>
      <c r="CT409" t="str">
        <f>IF('1. Live'!CT409='check-Jul25'!CT409,"",'1. Live'!CT409-'check-Jul25'!CT409)</f>
        <v/>
      </c>
      <c r="CU409" t="str">
        <f>IF('1. Live'!CU409='check-Jul25'!CU409,"",'1. Live'!CU409-'check-Jul25'!CU409)</f>
        <v/>
      </c>
      <c r="CV409" t="str">
        <f>IF('1. Live'!CV409='check-Jul25'!CV409,"",'1. Live'!CV409-'check-Jul25'!CV409)</f>
        <v/>
      </c>
      <c r="CW409" t="str">
        <f>IF('1. Live'!CW409='check-Jul25'!CW409,"",'1. Live'!CW409-'check-Jul25'!CW409)</f>
        <v/>
      </c>
    </row>
    <row r="410" spans="10:101">
      <c r="J410" t="str">
        <f>IF('1. Live'!J410='check-Jul25'!J410,"",'1. Live'!J410-'check-Jul25'!J410)</f>
        <v/>
      </c>
      <c r="K410" t="str">
        <f>IF('1. Live'!K410='check-Jul25'!K410,"",'1. Live'!K410-'check-Jul25'!K410)</f>
        <v/>
      </c>
      <c r="L410" t="str">
        <f>IF('1. Live'!L410='check-Jul25'!L410,"",'1. Live'!L410-'check-Jul25'!L410)</f>
        <v/>
      </c>
      <c r="M410" t="str">
        <f>IF('1. Live'!M410='check-Jul25'!M410,"",'1. Live'!M410-'check-Jul25'!M410)</f>
        <v/>
      </c>
      <c r="N410" t="str">
        <f>IF('1. Live'!N410='check-Jul25'!N410,"",'1. Live'!N410-'check-Jul25'!N410)</f>
        <v/>
      </c>
      <c r="O410" t="str">
        <f>IF('1. Live'!O410='check-Jul25'!O410,"",'1. Live'!O410-'check-Jul25'!O410)</f>
        <v/>
      </c>
      <c r="P410" t="str">
        <f>IF('1. Live'!P410='check-Jul25'!P410,"",'1. Live'!P410-'check-Jul25'!P410)</f>
        <v/>
      </c>
      <c r="Q410" t="str">
        <f>IF('1. Live'!Q410='check-Jul25'!Q410,"",'1. Live'!Q410-'check-Jul25'!Q410)</f>
        <v/>
      </c>
      <c r="R410" t="str">
        <f>IF('1. Live'!R410='check-Jul25'!R410,"",'1. Live'!R410-'check-Jul25'!R410)</f>
        <v/>
      </c>
      <c r="S410" t="str">
        <f>IF('1. Live'!S410='check-Jul25'!S410,"",'1. Live'!S410-'check-Jul25'!S410)</f>
        <v/>
      </c>
      <c r="T410" t="str">
        <f>IF('1. Live'!T410='check-Jul25'!T410,"",'1. Live'!T410-'check-Jul25'!T410)</f>
        <v/>
      </c>
      <c r="U410" t="str">
        <f>IF('1. Live'!U410='check-Jul25'!U410,"",'1. Live'!U410-'check-Jul25'!U410)</f>
        <v/>
      </c>
      <c r="V410" t="str">
        <f>IF('1. Live'!V410='check-Jul25'!V410,"",'1. Live'!V410-'check-Jul25'!V410)</f>
        <v/>
      </c>
      <c r="W410" t="str">
        <f>IF('1. Live'!W410='check-Jul25'!W410,"",'1. Live'!W410-'check-Jul25'!W410)</f>
        <v/>
      </c>
      <c r="X410" t="str">
        <f>IF('1. Live'!X410='check-Jul25'!X410,"",'1. Live'!X410-'check-Jul25'!X410)</f>
        <v/>
      </c>
      <c r="Y410" t="str">
        <f>IF('1. Live'!Y410='check-Jul25'!Y410,"",'1. Live'!Y410-'check-Jul25'!Y410)</f>
        <v/>
      </c>
      <c r="Z410" t="str">
        <f>IF('1. Live'!Z410='check-Jul25'!Z410,"",'1. Live'!Z410-'check-Jul25'!Z410)</f>
        <v/>
      </c>
      <c r="AA410" t="str">
        <f>IF('1. Live'!AA410='check-Jul25'!AA410,"",'1. Live'!AA410-'check-Jul25'!AA410)</f>
        <v/>
      </c>
      <c r="AB410" t="str">
        <f>IF('1. Live'!AB410='check-Jul25'!AB410,"",'1. Live'!AB410-'check-Jul25'!AB410)</f>
        <v/>
      </c>
      <c r="AC410" t="str">
        <f>IF('1. Live'!AC410='check-Jul25'!AC410,"",'1. Live'!AC410-'check-Jul25'!AC410)</f>
        <v/>
      </c>
      <c r="AD410" t="str">
        <f>IF('1. Live'!AD410='check-Jul25'!AD410,"",'1. Live'!AD410-'check-Jul25'!AD410)</f>
        <v/>
      </c>
      <c r="AE410" t="str">
        <f>IF('1. Live'!AE410='check-Jul25'!AE410,"",'1. Live'!AE410-'check-Jul25'!AE410)</f>
        <v/>
      </c>
      <c r="AF410" t="str">
        <f>IF('1. Live'!AF410='check-Jul25'!AF410,"",'1. Live'!AF410-'check-Jul25'!AF410)</f>
        <v/>
      </c>
      <c r="AG410" t="str">
        <f>IF('1. Live'!AG410='check-Jul25'!AG410,"",'1. Live'!AG410-'check-Jul25'!AG410)</f>
        <v/>
      </c>
      <c r="AH410" t="str">
        <f>IF('1. Live'!AH410='check-Jul25'!AH410,"",'1. Live'!AH410-'check-Jul25'!AH410)</f>
        <v/>
      </c>
      <c r="AI410" t="str">
        <f>IF('1. Live'!AI410='check-Jul25'!AI410,"",'1. Live'!AI410-'check-Jul25'!AI410)</f>
        <v/>
      </c>
      <c r="AJ410" t="str">
        <f>IF('1. Live'!AJ410='check-Jul25'!AJ410,"",'1. Live'!AJ410-'check-Jul25'!AJ410)</f>
        <v/>
      </c>
      <c r="AK410" t="str">
        <f>IF('1. Live'!AK410='check-Jul25'!AK410,"",'1. Live'!AK410-'check-Jul25'!AK410)</f>
        <v/>
      </c>
      <c r="AL410" t="str">
        <f>IF('1. Live'!AL410='check-Jul25'!AL410,"",'1. Live'!AL410-'check-Jul25'!AL410)</f>
        <v/>
      </c>
      <c r="AM410" t="str">
        <f>IF('1. Live'!AM410='check-Jul25'!AM410,"",'1. Live'!AM410-'check-Jul25'!AM410)</f>
        <v/>
      </c>
      <c r="AN410" t="str">
        <f>IF('1. Live'!AN410='check-Jul25'!AN410,"",'1. Live'!AN410-'check-Jul25'!AN410)</f>
        <v/>
      </c>
      <c r="AO410" t="str">
        <f>IF('1. Live'!AO410='check-Jul25'!AO410,"",'1. Live'!AO410-'check-Jul25'!AO410)</f>
        <v/>
      </c>
      <c r="AP410" t="str">
        <f>IF('1. Live'!AP410='check-Jul25'!AP410,"",'1. Live'!AP410-'check-Jul25'!AP410)</f>
        <v/>
      </c>
      <c r="AQ410" t="str">
        <f>IF('1. Live'!AQ410='check-Jul25'!AQ410,"",'1. Live'!AQ410-'check-Jul25'!AQ410)</f>
        <v/>
      </c>
      <c r="AR410" t="str">
        <f>IF('1. Live'!AR410='check-Jul25'!AR410,"",'1. Live'!AR410-'check-Jul25'!AR410)</f>
        <v/>
      </c>
      <c r="AS410" t="str">
        <f>IF('1. Live'!AS410='check-Jul25'!AS410,"",'1. Live'!AS410-'check-Jul25'!AS410)</f>
        <v/>
      </c>
      <c r="AT410" t="str">
        <f>IF('1. Live'!AT410='check-Jul25'!AT410,"",'1. Live'!AT410-'check-Jul25'!AT410)</f>
        <v/>
      </c>
      <c r="AU410" t="str">
        <f>IF('1. Live'!AU410='check-Jul25'!AU410,"",'1. Live'!AU410-'check-Jul25'!AU410)</f>
        <v/>
      </c>
      <c r="AV410" t="str">
        <f>IF('1. Live'!AV410='check-Jul25'!AV410,"",'1. Live'!AV410-'check-Jul25'!AV410)</f>
        <v/>
      </c>
      <c r="AW410" t="str">
        <f>IF('1. Live'!AW410='check-Jul25'!AW410,"",'1. Live'!AW410-'check-Jul25'!AW410)</f>
        <v/>
      </c>
      <c r="AX410" t="str">
        <f>IF('1. Live'!AX410='check-Jul25'!AX410,"",'1. Live'!AX410-'check-Jul25'!AX410)</f>
        <v/>
      </c>
      <c r="AY410" t="str">
        <f>IF('1. Live'!AY410='check-Jul25'!AY410,"",'1. Live'!AY410-'check-Jul25'!AY410)</f>
        <v/>
      </c>
      <c r="AZ410" t="str">
        <f>IF('1. Live'!AZ410='check-Jul25'!AZ410,"",'1. Live'!AZ410-'check-Jul25'!AZ410)</f>
        <v/>
      </c>
      <c r="BA410" t="str">
        <f>IF('1. Live'!BA410='check-Jul25'!BA410,"",'1. Live'!BA410-'check-Jul25'!BA410)</f>
        <v/>
      </c>
      <c r="BB410" t="str">
        <f>IF('1. Live'!BB410='check-Jul25'!BB410,"",'1. Live'!BB410-'check-Jul25'!BB410)</f>
        <v/>
      </c>
      <c r="BC410" t="str">
        <f>IF('1. Live'!BC410='check-Jul25'!BC410,"",'1. Live'!BC410-'check-Jul25'!BC410)</f>
        <v/>
      </c>
      <c r="BD410" t="str">
        <f>IF('1. Live'!BD410='check-Jul25'!BD410,"",'1. Live'!BD410-'check-Jul25'!BD410)</f>
        <v/>
      </c>
      <c r="BE410" t="str">
        <f>IF('1. Live'!BE410='check-Jul25'!BE410,"",'1. Live'!BE410-'check-Jul25'!BE410)</f>
        <v/>
      </c>
      <c r="BF410" t="str">
        <f>IF('1. Live'!BF410='check-Jul25'!BF410,"",'1. Live'!BF410-'check-Jul25'!BF410)</f>
        <v/>
      </c>
      <c r="BG410" t="str">
        <f>IF('1. Live'!BG410='check-Jul25'!BG410,"",'1. Live'!BG410-'check-Jul25'!BG410)</f>
        <v/>
      </c>
      <c r="BH410" t="str">
        <f>IF('1. Live'!BH410='check-Jul25'!BH410,"",'1. Live'!BH410-'check-Jul25'!BH410)</f>
        <v/>
      </c>
      <c r="BI410" t="str">
        <f>IF('1. Live'!BI410='check-Jul25'!BI410,"",'1. Live'!BI410-'check-Jul25'!BI410)</f>
        <v/>
      </c>
      <c r="BJ410" t="str">
        <f>IF('1. Live'!BJ410='check-Jul25'!BJ410,"",'1. Live'!BJ410-'check-Jul25'!BJ410)</f>
        <v/>
      </c>
      <c r="BK410" t="str">
        <f>IF('1. Live'!BK410='check-Jul25'!BK410,"",'1. Live'!BK410-'check-Jul25'!BK410)</f>
        <v/>
      </c>
      <c r="BL410" t="str">
        <f>IF('1. Live'!BL410='check-Jul25'!BL410,"",'1. Live'!BL410-'check-Jul25'!BL410)</f>
        <v/>
      </c>
      <c r="BM410" t="str">
        <f>IF('1. Live'!BM410='check-Jul25'!BM410,"",'1. Live'!BM410-'check-Jul25'!BM410)</f>
        <v/>
      </c>
      <c r="BN410" t="str">
        <f>IF('1. Live'!BN410='check-Jul25'!BN410,"",'1. Live'!BN410-'check-Jul25'!BN410)</f>
        <v/>
      </c>
      <c r="BO410" t="str">
        <f>IF('1. Live'!BO410='check-Jul25'!BO410,"",'1. Live'!BO410-'check-Jul25'!BO410)</f>
        <v/>
      </c>
      <c r="BP410" t="str">
        <f>IF('1. Live'!BP410='check-Jul25'!BP410,"",'1. Live'!BP410-'check-Jul25'!BP410)</f>
        <v/>
      </c>
      <c r="BQ410" t="str">
        <f>IF('1. Live'!BQ410='check-Jul25'!BQ410,"",'1. Live'!BQ410-'check-Jul25'!BQ410)</f>
        <v/>
      </c>
      <c r="BR410" t="str">
        <f>IF('1. Live'!BR410='check-Jul25'!BR410,"",'1. Live'!BR410-'check-Jul25'!BR410)</f>
        <v/>
      </c>
      <c r="BS410" t="str">
        <f>IF('1. Live'!BS410='check-Jul25'!BS410,"",'1. Live'!BS410-'check-Jul25'!BS410)</f>
        <v/>
      </c>
      <c r="BT410" t="str">
        <f>IF('1. Live'!BT410='check-Jul25'!BT410,"",'1. Live'!BT410-'check-Jul25'!BT410)</f>
        <v/>
      </c>
      <c r="BU410" t="str">
        <f>IF('1. Live'!BU410='check-Jul25'!BU410,"",'1. Live'!BU410-'check-Jul25'!BU410)</f>
        <v/>
      </c>
      <c r="BV410" t="str">
        <f>IF('1. Live'!BV410='check-Jul25'!BV410,"",'1. Live'!BV410-'check-Jul25'!BV410)</f>
        <v/>
      </c>
      <c r="BW410" t="str">
        <f>IF('1. Live'!BW410='check-Jul25'!BW410,"",'1. Live'!BW410-'check-Jul25'!BW410)</f>
        <v/>
      </c>
      <c r="BX410" t="str">
        <f>IF('1. Live'!BX410='check-Jul25'!BX410,"",'1. Live'!BX410-'check-Jul25'!BX410)</f>
        <v/>
      </c>
      <c r="BY410" t="str">
        <f>IF('1. Live'!BY410='check-Jul25'!BY410,"",'1. Live'!BY410-'check-Jul25'!BY410)</f>
        <v/>
      </c>
      <c r="BZ410" t="str">
        <f>IF('1. Live'!BZ410='check-Jul25'!BZ410,"",'1. Live'!BZ410-'check-Jul25'!BZ410)</f>
        <v/>
      </c>
      <c r="CA410" t="str">
        <f>IF('1. Live'!CA410='check-Jul25'!CA410,"",'1. Live'!CA410-'check-Jul25'!CA410)</f>
        <v/>
      </c>
      <c r="CB410" t="str">
        <f>IF('1. Live'!CB410='check-Jul25'!CB410,"",'1. Live'!CB410-'check-Jul25'!CB410)</f>
        <v/>
      </c>
      <c r="CC410" t="str">
        <f>IF('1. Live'!CC410='check-Jul25'!CC410,"",'1. Live'!CC410-'check-Jul25'!CC410)</f>
        <v/>
      </c>
      <c r="CD410" t="str">
        <f>IF('1. Live'!CD410='check-Jul25'!CD410,"",'1. Live'!CD410-'check-Jul25'!CD410)</f>
        <v/>
      </c>
      <c r="CE410" t="str">
        <f>IF('1. Live'!CE410='check-Jul25'!CE410,"",'1. Live'!CE410-'check-Jul25'!CE410)</f>
        <v/>
      </c>
      <c r="CF410" t="str">
        <f>IF('1. Live'!CF410='check-Jul25'!CF410,"",'1. Live'!CF410-'check-Jul25'!CF410)</f>
        <v/>
      </c>
      <c r="CG410" t="str">
        <f>IF('1. Live'!CG410='check-Jul25'!CG410,"",'1. Live'!CG410-'check-Jul25'!CG410)</f>
        <v/>
      </c>
      <c r="CH410" t="str">
        <f>IF('1. Live'!CH410='check-Jul25'!CH410,"",'1. Live'!CH410-'check-Jul25'!CH410)</f>
        <v/>
      </c>
      <c r="CI410" t="str">
        <f>IF('1. Live'!CI410='check-Jul25'!CI410,"",'1. Live'!CI410-'check-Jul25'!CI410)</f>
        <v/>
      </c>
      <c r="CJ410" t="str">
        <f>IF('1. Live'!CJ410='check-Jul25'!CJ410,"",'1. Live'!CJ410-'check-Jul25'!CJ410)</f>
        <v/>
      </c>
      <c r="CK410" t="str">
        <f>IF('1. Live'!CK410='check-Jul25'!CK410,"",'1. Live'!CK410-'check-Jul25'!CK410)</f>
        <v/>
      </c>
      <c r="CL410" t="str">
        <f>IF('1. Live'!CL410='check-Jul25'!CL410,"",'1. Live'!CL410-'check-Jul25'!CL410)</f>
        <v/>
      </c>
      <c r="CM410" t="str">
        <f>IF('1. Live'!CM410='check-Jul25'!CM410,"",'1. Live'!CM410-'check-Jul25'!CM410)</f>
        <v/>
      </c>
      <c r="CN410" t="str">
        <f>IF('1. Live'!CN410='check-Jul25'!CN410,"",'1. Live'!CN410-'check-Jul25'!CN410)</f>
        <v/>
      </c>
      <c r="CO410" t="str">
        <f>IF('1. Live'!CO410='check-Jul25'!CO410,"",'1. Live'!CO410-'check-Jul25'!CO410)</f>
        <v/>
      </c>
      <c r="CP410" t="str">
        <f>IF('1. Live'!CP410='check-Jul25'!CP410,"",'1. Live'!CP410-'check-Jul25'!CP410)</f>
        <v/>
      </c>
      <c r="CQ410" t="str">
        <f>IF('1. Live'!CQ410='check-Jul25'!CQ410,"",'1. Live'!CQ410-'check-Jul25'!CQ410)</f>
        <v/>
      </c>
      <c r="CR410" t="str">
        <f>IF('1. Live'!CR410='check-Jul25'!CR410,"",'1. Live'!CR410-'check-Jul25'!CR410)</f>
        <v/>
      </c>
      <c r="CS410" t="str">
        <f>IF('1. Live'!CS410='check-Jul25'!CS410,"",'1. Live'!CS410-'check-Jul25'!CS410)</f>
        <v/>
      </c>
      <c r="CT410" t="str">
        <f>IF('1. Live'!CT410='check-Jul25'!CT410,"",'1. Live'!CT410-'check-Jul25'!CT410)</f>
        <v/>
      </c>
      <c r="CU410" t="str">
        <f>IF('1. Live'!CU410='check-Jul25'!CU410,"",'1. Live'!CU410-'check-Jul25'!CU410)</f>
        <v/>
      </c>
      <c r="CV410" t="str">
        <f>IF('1. Live'!CV410='check-Jul25'!CV410,"",'1. Live'!CV410-'check-Jul25'!CV410)</f>
        <v/>
      </c>
      <c r="CW410" t="str">
        <f>IF('1. Live'!CW410='check-Jul25'!CW410,"",'1. Live'!CW410-'check-Jul25'!CW410)</f>
        <v/>
      </c>
    </row>
    <row r="411" spans="10:101">
      <c r="J411" t="str">
        <f>IF('1. Live'!J411='check-Jul25'!J411,"",'1. Live'!J411-'check-Jul25'!J411)</f>
        <v/>
      </c>
      <c r="K411" t="str">
        <f>IF('1. Live'!K411='check-Jul25'!K411,"",'1. Live'!K411-'check-Jul25'!K411)</f>
        <v/>
      </c>
      <c r="L411" t="str">
        <f>IF('1. Live'!L411='check-Jul25'!L411,"",'1. Live'!L411-'check-Jul25'!L411)</f>
        <v/>
      </c>
      <c r="M411" t="str">
        <f>IF('1. Live'!M411='check-Jul25'!M411,"",'1. Live'!M411-'check-Jul25'!M411)</f>
        <v/>
      </c>
      <c r="N411" t="str">
        <f>IF('1. Live'!N411='check-Jul25'!N411,"",'1. Live'!N411-'check-Jul25'!N411)</f>
        <v/>
      </c>
      <c r="O411" t="str">
        <f>IF('1. Live'!O411='check-Jul25'!O411,"",'1. Live'!O411-'check-Jul25'!O411)</f>
        <v/>
      </c>
      <c r="P411" t="str">
        <f>IF('1. Live'!P411='check-Jul25'!P411,"",'1. Live'!P411-'check-Jul25'!P411)</f>
        <v/>
      </c>
      <c r="Q411" t="str">
        <f>IF('1. Live'!Q411='check-Jul25'!Q411,"",'1. Live'!Q411-'check-Jul25'!Q411)</f>
        <v/>
      </c>
      <c r="R411" t="str">
        <f>IF('1. Live'!R411='check-Jul25'!R411,"",'1. Live'!R411-'check-Jul25'!R411)</f>
        <v/>
      </c>
      <c r="S411" t="str">
        <f>IF('1. Live'!S411='check-Jul25'!S411,"",'1. Live'!S411-'check-Jul25'!S411)</f>
        <v/>
      </c>
      <c r="T411" t="str">
        <f>IF('1. Live'!T411='check-Jul25'!T411,"",'1. Live'!T411-'check-Jul25'!T411)</f>
        <v/>
      </c>
      <c r="U411" t="str">
        <f>IF('1. Live'!U411='check-Jul25'!U411,"",'1. Live'!U411-'check-Jul25'!U411)</f>
        <v/>
      </c>
      <c r="V411" t="str">
        <f>IF('1. Live'!V411='check-Jul25'!V411,"",'1. Live'!V411-'check-Jul25'!V411)</f>
        <v/>
      </c>
      <c r="W411" t="str">
        <f>IF('1. Live'!W411='check-Jul25'!W411,"",'1. Live'!W411-'check-Jul25'!W411)</f>
        <v/>
      </c>
      <c r="X411" t="str">
        <f>IF('1. Live'!X411='check-Jul25'!X411,"",'1. Live'!X411-'check-Jul25'!X411)</f>
        <v/>
      </c>
      <c r="Y411" t="str">
        <f>IF('1. Live'!Y411='check-Jul25'!Y411,"",'1. Live'!Y411-'check-Jul25'!Y411)</f>
        <v/>
      </c>
      <c r="Z411" t="str">
        <f>IF('1. Live'!Z411='check-Jul25'!Z411,"",'1. Live'!Z411-'check-Jul25'!Z411)</f>
        <v/>
      </c>
      <c r="AA411" t="str">
        <f>IF('1. Live'!AA411='check-Jul25'!AA411,"",'1. Live'!AA411-'check-Jul25'!AA411)</f>
        <v/>
      </c>
      <c r="AB411" t="str">
        <f>IF('1. Live'!AB411='check-Jul25'!AB411,"",'1. Live'!AB411-'check-Jul25'!AB411)</f>
        <v/>
      </c>
      <c r="AC411" t="str">
        <f>IF('1. Live'!AC411='check-Jul25'!AC411,"",'1. Live'!AC411-'check-Jul25'!AC411)</f>
        <v/>
      </c>
      <c r="AD411" t="str">
        <f>IF('1. Live'!AD411='check-Jul25'!AD411,"",'1. Live'!AD411-'check-Jul25'!AD411)</f>
        <v/>
      </c>
      <c r="AE411" t="str">
        <f>IF('1. Live'!AE411='check-Jul25'!AE411,"",'1. Live'!AE411-'check-Jul25'!AE411)</f>
        <v/>
      </c>
      <c r="AF411" t="str">
        <f>IF('1. Live'!AF411='check-Jul25'!AF411,"",'1. Live'!AF411-'check-Jul25'!AF411)</f>
        <v/>
      </c>
      <c r="AG411" t="str">
        <f>IF('1. Live'!AG411='check-Jul25'!AG411,"",'1. Live'!AG411-'check-Jul25'!AG411)</f>
        <v/>
      </c>
      <c r="AH411" t="str">
        <f>IF('1. Live'!AH411='check-Jul25'!AH411,"",'1. Live'!AH411-'check-Jul25'!AH411)</f>
        <v/>
      </c>
      <c r="AI411" t="str">
        <f>IF('1. Live'!AI411='check-Jul25'!AI411,"",'1. Live'!AI411-'check-Jul25'!AI411)</f>
        <v/>
      </c>
      <c r="AJ411" t="str">
        <f>IF('1. Live'!AJ411='check-Jul25'!AJ411,"",'1. Live'!AJ411-'check-Jul25'!AJ411)</f>
        <v/>
      </c>
      <c r="AK411" t="str">
        <f>IF('1. Live'!AK411='check-Jul25'!AK411,"",'1. Live'!AK411-'check-Jul25'!AK411)</f>
        <v/>
      </c>
      <c r="AL411" t="str">
        <f>IF('1. Live'!AL411='check-Jul25'!AL411,"",'1. Live'!AL411-'check-Jul25'!AL411)</f>
        <v/>
      </c>
      <c r="AM411" t="str">
        <f>IF('1. Live'!AM411='check-Jul25'!AM411,"",'1. Live'!AM411-'check-Jul25'!AM411)</f>
        <v/>
      </c>
      <c r="AN411" t="str">
        <f>IF('1. Live'!AN411='check-Jul25'!AN411,"",'1. Live'!AN411-'check-Jul25'!AN411)</f>
        <v/>
      </c>
      <c r="AO411" t="str">
        <f>IF('1. Live'!AO411='check-Jul25'!AO411,"",'1. Live'!AO411-'check-Jul25'!AO411)</f>
        <v/>
      </c>
      <c r="AP411" t="str">
        <f>IF('1. Live'!AP411='check-Jul25'!AP411,"",'1. Live'!AP411-'check-Jul25'!AP411)</f>
        <v/>
      </c>
      <c r="AQ411" t="str">
        <f>IF('1. Live'!AQ411='check-Jul25'!AQ411,"",'1. Live'!AQ411-'check-Jul25'!AQ411)</f>
        <v/>
      </c>
      <c r="AR411" t="str">
        <f>IF('1. Live'!AR411='check-Jul25'!AR411,"",'1. Live'!AR411-'check-Jul25'!AR411)</f>
        <v/>
      </c>
      <c r="AS411" t="str">
        <f>IF('1. Live'!AS411='check-Jul25'!AS411,"",'1. Live'!AS411-'check-Jul25'!AS411)</f>
        <v/>
      </c>
      <c r="AT411" t="str">
        <f>IF('1. Live'!AT411='check-Jul25'!AT411,"",'1. Live'!AT411-'check-Jul25'!AT411)</f>
        <v/>
      </c>
      <c r="AU411" t="str">
        <f>IF('1. Live'!AU411='check-Jul25'!AU411,"",'1. Live'!AU411-'check-Jul25'!AU411)</f>
        <v/>
      </c>
      <c r="AV411" t="str">
        <f>IF('1. Live'!AV411='check-Jul25'!AV411,"",'1. Live'!AV411-'check-Jul25'!AV411)</f>
        <v/>
      </c>
      <c r="AW411" t="str">
        <f>IF('1. Live'!AW411='check-Jul25'!AW411,"",'1. Live'!AW411-'check-Jul25'!AW411)</f>
        <v/>
      </c>
      <c r="AX411" t="str">
        <f>IF('1. Live'!AX411='check-Jul25'!AX411,"",'1. Live'!AX411-'check-Jul25'!AX411)</f>
        <v/>
      </c>
      <c r="AY411" t="str">
        <f>IF('1. Live'!AY411='check-Jul25'!AY411,"",'1. Live'!AY411-'check-Jul25'!AY411)</f>
        <v/>
      </c>
      <c r="AZ411" t="str">
        <f>IF('1. Live'!AZ411='check-Jul25'!AZ411,"",'1. Live'!AZ411-'check-Jul25'!AZ411)</f>
        <v/>
      </c>
      <c r="BA411" t="str">
        <f>IF('1. Live'!BA411='check-Jul25'!BA411,"",'1. Live'!BA411-'check-Jul25'!BA411)</f>
        <v/>
      </c>
      <c r="BB411" t="str">
        <f>IF('1. Live'!BB411='check-Jul25'!BB411,"",'1. Live'!BB411-'check-Jul25'!BB411)</f>
        <v/>
      </c>
      <c r="BC411" t="str">
        <f>IF('1. Live'!BC411='check-Jul25'!BC411,"",'1. Live'!BC411-'check-Jul25'!BC411)</f>
        <v/>
      </c>
      <c r="BD411" t="str">
        <f>IF('1. Live'!BD411='check-Jul25'!BD411,"",'1. Live'!BD411-'check-Jul25'!BD411)</f>
        <v/>
      </c>
      <c r="BE411" t="str">
        <f>IF('1. Live'!BE411='check-Jul25'!BE411,"",'1. Live'!BE411-'check-Jul25'!BE411)</f>
        <v/>
      </c>
      <c r="BF411" t="str">
        <f>IF('1. Live'!BF411='check-Jul25'!BF411,"",'1. Live'!BF411-'check-Jul25'!BF411)</f>
        <v/>
      </c>
      <c r="BG411" t="str">
        <f>IF('1. Live'!BG411='check-Jul25'!BG411,"",'1. Live'!BG411-'check-Jul25'!BG411)</f>
        <v/>
      </c>
      <c r="BH411" t="str">
        <f>IF('1. Live'!BH411='check-Jul25'!BH411,"",'1. Live'!BH411-'check-Jul25'!BH411)</f>
        <v/>
      </c>
      <c r="BI411" t="str">
        <f>IF('1. Live'!BI411='check-Jul25'!BI411,"",'1. Live'!BI411-'check-Jul25'!BI411)</f>
        <v/>
      </c>
      <c r="BJ411" t="str">
        <f>IF('1. Live'!BJ411='check-Jul25'!BJ411,"",'1. Live'!BJ411-'check-Jul25'!BJ411)</f>
        <v/>
      </c>
      <c r="BK411" t="str">
        <f>IF('1. Live'!BK411='check-Jul25'!BK411,"",'1. Live'!BK411-'check-Jul25'!BK411)</f>
        <v/>
      </c>
      <c r="BL411" t="str">
        <f>IF('1. Live'!BL411='check-Jul25'!BL411,"",'1. Live'!BL411-'check-Jul25'!BL411)</f>
        <v/>
      </c>
      <c r="BM411" t="str">
        <f>IF('1. Live'!BM411='check-Jul25'!BM411,"",'1. Live'!BM411-'check-Jul25'!BM411)</f>
        <v/>
      </c>
      <c r="BN411" t="str">
        <f>IF('1. Live'!BN411='check-Jul25'!BN411,"",'1. Live'!BN411-'check-Jul25'!BN411)</f>
        <v/>
      </c>
      <c r="BO411" t="str">
        <f>IF('1. Live'!BO411='check-Jul25'!BO411,"",'1. Live'!BO411-'check-Jul25'!BO411)</f>
        <v/>
      </c>
      <c r="BP411" t="str">
        <f>IF('1. Live'!BP411='check-Jul25'!BP411,"",'1. Live'!BP411-'check-Jul25'!BP411)</f>
        <v/>
      </c>
      <c r="BQ411" t="str">
        <f>IF('1. Live'!BQ411='check-Jul25'!BQ411,"",'1. Live'!BQ411-'check-Jul25'!BQ411)</f>
        <v/>
      </c>
      <c r="BR411" t="str">
        <f>IF('1. Live'!BR411='check-Jul25'!BR411,"",'1. Live'!BR411-'check-Jul25'!BR411)</f>
        <v/>
      </c>
      <c r="BS411" t="str">
        <f>IF('1. Live'!BS411='check-Jul25'!BS411,"",'1. Live'!BS411-'check-Jul25'!BS411)</f>
        <v/>
      </c>
      <c r="BT411" t="str">
        <f>IF('1. Live'!BT411='check-Jul25'!BT411,"",'1. Live'!BT411-'check-Jul25'!BT411)</f>
        <v/>
      </c>
      <c r="BU411" t="str">
        <f>IF('1. Live'!BU411='check-Jul25'!BU411,"",'1. Live'!BU411-'check-Jul25'!BU411)</f>
        <v/>
      </c>
      <c r="BV411" t="str">
        <f>IF('1. Live'!BV411='check-Jul25'!BV411,"",'1. Live'!BV411-'check-Jul25'!BV411)</f>
        <v/>
      </c>
      <c r="BW411" t="str">
        <f>IF('1. Live'!BW411='check-Jul25'!BW411,"",'1. Live'!BW411-'check-Jul25'!BW411)</f>
        <v/>
      </c>
      <c r="BX411" t="str">
        <f>IF('1. Live'!BX411='check-Jul25'!BX411,"",'1. Live'!BX411-'check-Jul25'!BX411)</f>
        <v/>
      </c>
      <c r="BY411" t="str">
        <f>IF('1. Live'!BY411='check-Jul25'!BY411,"",'1. Live'!BY411-'check-Jul25'!BY411)</f>
        <v/>
      </c>
      <c r="BZ411" t="str">
        <f>IF('1. Live'!BZ411='check-Jul25'!BZ411,"",'1. Live'!BZ411-'check-Jul25'!BZ411)</f>
        <v/>
      </c>
      <c r="CA411" t="str">
        <f>IF('1. Live'!CA411='check-Jul25'!CA411,"",'1. Live'!CA411-'check-Jul25'!CA411)</f>
        <v/>
      </c>
      <c r="CB411" t="str">
        <f>IF('1. Live'!CB411='check-Jul25'!CB411,"",'1. Live'!CB411-'check-Jul25'!CB411)</f>
        <v/>
      </c>
      <c r="CC411" t="str">
        <f>IF('1. Live'!CC411='check-Jul25'!CC411,"",'1. Live'!CC411-'check-Jul25'!CC411)</f>
        <v/>
      </c>
      <c r="CD411" t="str">
        <f>IF('1. Live'!CD411='check-Jul25'!CD411,"",'1. Live'!CD411-'check-Jul25'!CD411)</f>
        <v/>
      </c>
      <c r="CE411" t="str">
        <f>IF('1. Live'!CE411='check-Jul25'!CE411,"",'1. Live'!CE411-'check-Jul25'!CE411)</f>
        <v/>
      </c>
      <c r="CF411" t="str">
        <f>IF('1. Live'!CF411='check-Jul25'!CF411,"",'1. Live'!CF411-'check-Jul25'!CF411)</f>
        <v/>
      </c>
      <c r="CG411" t="str">
        <f>IF('1. Live'!CG411='check-Jul25'!CG411,"",'1. Live'!CG411-'check-Jul25'!CG411)</f>
        <v/>
      </c>
      <c r="CH411" t="str">
        <f>IF('1. Live'!CH411='check-Jul25'!CH411,"",'1. Live'!CH411-'check-Jul25'!CH411)</f>
        <v/>
      </c>
      <c r="CI411" t="str">
        <f>IF('1. Live'!CI411='check-Jul25'!CI411,"",'1. Live'!CI411-'check-Jul25'!CI411)</f>
        <v/>
      </c>
      <c r="CJ411" t="str">
        <f>IF('1. Live'!CJ411='check-Jul25'!CJ411,"",'1. Live'!CJ411-'check-Jul25'!CJ411)</f>
        <v/>
      </c>
      <c r="CK411" t="str">
        <f>IF('1. Live'!CK411='check-Jul25'!CK411,"",'1. Live'!CK411-'check-Jul25'!CK411)</f>
        <v/>
      </c>
      <c r="CL411" t="str">
        <f>IF('1. Live'!CL411='check-Jul25'!CL411,"",'1. Live'!CL411-'check-Jul25'!CL411)</f>
        <v/>
      </c>
      <c r="CM411" t="str">
        <f>IF('1. Live'!CM411='check-Jul25'!CM411,"",'1. Live'!CM411-'check-Jul25'!CM411)</f>
        <v/>
      </c>
      <c r="CN411" t="str">
        <f>IF('1. Live'!CN411='check-Jul25'!CN411,"",'1. Live'!CN411-'check-Jul25'!CN411)</f>
        <v/>
      </c>
      <c r="CO411" t="str">
        <f>IF('1. Live'!CO411='check-Jul25'!CO411,"",'1. Live'!CO411-'check-Jul25'!CO411)</f>
        <v/>
      </c>
      <c r="CP411" t="str">
        <f>IF('1. Live'!CP411='check-Jul25'!CP411,"",'1. Live'!CP411-'check-Jul25'!CP411)</f>
        <v/>
      </c>
      <c r="CQ411" t="str">
        <f>IF('1. Live'!CQ411='check-Jul25'!CQ411,"",'1. Live'!CQ411-'check-Jul25'!CQ411)</f>
        <v/>
      </c>
      <c r="CR411" t="str">
        <f>IF('1. Live'!CR411='check-Jul25'!CR411,"",'1. Live'!CR411-'check-Jul25'!CR411)</f>
        <v/>
      </c>
      <c r="CS411" t="str">
        <f>IF('1. Live'!CS411='check-Jul25'!CS411,"",'1. Live'!CS411-'check-Jul25'!CS411)</f>
        <v/>
      </c>
      <c r="CT411" t="str">
        <f>IF('1. Live'!CT411='check-Jul25'!CT411,"",'1. Live'!CT411-'check-Jul25'!CT411)</f>
        <v/>
      </c>
      <c r="CU411" t="str">
        <f>IF('1. Live'!CU411='check-Jul25'!CU411,"",'1. Live'!CU411-'check-Jul25'!CU411)</f>
        <v/>
      </c>
      <c r="CV411" t="str">
        <f>IF('1. Live'!CV411='check-Jul25'!CV411,"",'1. Live'!CV411-'check-Jul25'!CV411)</f>
        <v/>
      </c>
      <c r="CW411" t="str">
        <f>IF('1. Live'!CW411='check-Jul25'!CW411,"",'1. Live'!CW411-'check-Jul25'!CW411)</f>
        <v/>
      </c>
    </row>
    <row r="412" spans="10:101">
      <c r="J412" t="str">
        <f>IF('1. Live'!J412='check-Jul25'!J412,"",'1. Live'!J412-'check-Jul25'!J412)</f>
        <v/>
      </c>
      <c r="K412" t="str">
        <f>IF('1. Live'!K412='check-Jul25'!K412,"",'1. Live'!K412-'check-Jul25'!K412)</f>
        <v/>
      </c>
      <c r="L412" t="str">
        <f>IF('1. Live'!L412='check-Jul25'!L412,"",'1. Live'!L412-'check-Jul25'!L412)</f>
        <v/>
      </c>
      <c r="M412" t="str">
        <f>IF('1. Live'!M412='check-Jul25'!M412,"",'1. Live'!M412-'check-Jul25'!M412)</f>
        <v/>
      </c>
      <c r="N412" t="str">
        <f>IF('1. Live'!N412='check-Jul25'!N412,"",'1. Live'!N412-'check-Jul25'!N412)</f>
        <v/>
      </c>
      <c r="O412" t="str">
        <f>IF('1. Live'!O412='check-Jul25'!O412,"",'1. Live'!O412-'check-Jul25'!O412)</f>
        <v/>
      </c>
      <c r="P412" t="str">
        <f>IF('1. Live'!P412='check-Jul25'!P412,"",'1. Live'!P412-'check-Jul25'!P412)</f>
        <v/>
      </c>
      <c r="Q412" t="str">
        <f>IF('1. Live'!Q412='check-Jul25'!Q412,"",'1. Live'!Q412-'check-Jul25'!Q412)</f>
        <v/>
      </c>
      <c r="R412" t="str">
        <f>IF('1. Live'!R412='check-Jul25'!R412,"",'1. Live'!R412-'check-Jul25'!R412)</f>
        <v/>
      </c>
      <c r="S412" t="str">
        <f>IF('1. Live'!S412='check-Jul25'!S412,"",'1. Live'!S412-'check-Jul25'!S412)</f>
        <v/>
      </c>
      <c r="T412" t="str">
        <f>IF('1. Live'!T412='check-Jul25'!T412,"",'1. Live'!T412-'check-Jul25'!T412)</f>
        <v/>
      </c>
      <c r="U412" t="str">
        <f>IF('1. Live'!U412='check-Jul25'!U412,"",'1. Live'!U412-'check-Jul25'!U412)</f>
        <v/>
      </c>
      <c r="V412" t="str">
        <f>IF('1. Live'!V412='check-Jul25'!V412,"",'1. Live'!V412-'check-Jul25'!V412)</f>
        <v/>
      </c>
      <c r="W412" t="str">
        <f>IF('1. Live'!W412='check-Jul25'!W412,"",'1. Live'!W412-'check-Jul25'!W412)</f>
        <v/>
      </c>
      <c r="X412" t="str">
        <f>IF('1. Live'!X412='check-Jul25'!X412,"",'1. Live'!X412-'check-Jul25'!X412)</f>
        <v/>
      </c>
      <c r="Y412" t="str">
        <f>IF('1. Live'!Y412='check-Jul25'!Y412,"",'1. Live'!Y412-'check-Jul25'!Y412)</f>
        <v/>
      </c>
      <c r="Z412" t="str">
        <f>IF('1. Live'!Z412='check-Jul25'!Z412,"",'1. Live'!Z412-'check-Jul25'!Z412)</f>
        <v/>
      </c>
      <c r="AA412" t="str">
        <f>IF('1. Live'!AA412='check-Jul25'!AA412,"",'1. Live'!AA412-'check-Jul25'!AA412)</f>
        <v/>
      </c>
      <c r="AB412" t="str">
        <f>IF('1. Live'!AB412='check-Jul25'!AB412,"",'1. Live'!AB412-'check-Jul25'!AB412)</f>
        <v/>
      </c>
      <c r="AC412" t="str">
        <f>IF('1. Live'!AC412='check-Jul25'!AC412,"",'1. Live'!AC412-'check-Jul25'!AC412)</f>
        <v/>
      </c>
      <c r="AD412" t="str">
        <f>IF('1. Live'!AD412='check-Jul25'!AD412,"",'1. Live'!AD412-'check-Jul25'!AD412)</f>
        <v/>
      </c>
      <c r="AE412" t="str">
        <f>IF('1. Live'!AE412='check-Jul25'!AE412,"",'1. Live'!AE412-'check-Jul25'!AE412)</f>
        <v/>
      </c>
      <c r="AF412" t="str">
        <f>IF('1. Live'!AF412='check-Jul25'!AF412,"",'1. Live'!AF412-'check-Jul25'!AF412)</f>
        <v/>
      </c>
      <c r="AG412" t="str">
        <f>IF('1. Live'!AG412='check-Jul25'!AG412,"",'1. Live'!AG412-'check-Jul25'!AG412)</f>
        <v/>
      </c>
      <c r="AH412" t="str">
        <f>IF('1. Live'!AH412='check-Jul25'!AH412,"",'1. Live'!AH412-'check-Jul25'!AH412)</f>
        <v/>
      </c>
      <c r="AI412" t="str">
        <f>IF('1. Live'!AI412='check-Jul25'!AI412,"",'1. Live'!AI412-'check-Jul25'!AI412)</f>
        <v/>
      </c>
      <c r="AJ412" t="str">
        <f>IF('1. Live'!AJ412='check-Jul25'!AJ412,"",'1. Live'!AJ412-'check-Jul25'!AJ412)</f>
        <v/>
      </c>
      <c r="AK412" t="str">
        <f>IF('1. Live'!AK412='check-Jul25'!AK412,"",'1. Live'!AK412-'check-Jul25'!AK412)</f>
        <v/>
      </c>
      <c r="AL412" t="str">
        <f>IF('1. Live'!AL412='check-Jul25'!AL412,"",'1. Live'!AL412-'check-Jul25'!AL412)</f>
        <v/>
      </c>
      <c r="AM412" t="str">
        <f>IF('1. Live'!AM412='check-Jul25'!AM412,"",'1. Live'!AM412-'check-Jul25'!AM412)</f>
        <v/>
      </c>
      <c r="AN412" t="str">
        <f>IF('1. Live'!AN412='check-Jul25'!AN412,"",'1. Live'!AN412-'check-Jul25'!AN412)</f>
        <v/>
      </c>
      <c r="AO412" t="str">
        <f>IF('1. Live'!AO412='check-Jul25'!AO412,"",'1. Live'!AO412-'check-Jul25'!AO412)</f>
        <v/>
      </c>
      <c r="AP412" t="str">
        <f>IF('1. Live'!AP412='check-Jul25'!AP412,"",'1. Live'!AP412-'check-Jul25'!AP412)</f>
        <v/>
      </c>
      <c r="AQ412" t="str">
        <f>IF('1. Live'!AQ412='check-Jul25'!AQ412,"",'1. Live'!AQ412-'check-Jul25'!AQ412)</f>
        <v/>
      </c>
      <c r="AR412" t="str">
        <f>IF('1. Live'!AR412='check-Jul25'!AR412,"",'1. Live'!AR412-'check-Jul25'!AR412)</f>
        <v/>
      </c>
      <c r="AS412" t="str">
        <f>IF('1. Live'!AS412='check-Jul25'!AS412,"",'1. Live'!AS412-'check-Jul25'!AS412)</f>
        <v/>
      </c>
      <c r="AT412" t="str">
        <f>IF('1. Live'!AT412='check-Jul25'!AT412,"",'1. Live'!AT412-'check-Jul25'!AT412)</f>
        <v/>
      </c>
      <c r="AU412" t="str">
        <f>IF('1. Live'!AU412='check-Jul25'!AU412,"",'1. Live'!AU412-'check-Jul25'!AU412)</f>
        <v/>
      </c>
      <c r="AV412" t="str">
        <f>IF('1. Live'!AV412='check-Jul25'!AV412,"",'1. Live'!AV412-'check-Jul25'!AV412)</f>
        <v/>
      </c>
      <c r="AW412" t="str">
        <f>IF('1. Live'!AW412='check-Jul25'!AW412,"",'1. Live'!AW412-'check-Jul25'!AW412)</f>
        <v/>
      </c>
      <c r="AX412" t="str">
        <f>IF('1. Live'!AX412='check-Jul25'!AX412,"",'1. Live'!AX412-'check-Jul25'!AX412)</f>
        <v/>
      </c>
      <c r="AY412" t="str">
        <f>IF('1. Live'!AY412='check-Jul25'!AY412,"",'1. Live'!AY412-'check-Jul25'!AY412)</f>
        <v/>
      </c>
      <c r="AZ412" t="str">
        <f>IF('1. Live'!AZ412='check-Jul25'!AZ412,"",'1. Live'!AZ412-'check-Jul25'!AZ412)</f>
        <v/>
      </c>
      <c r="BA412" t="str">
        <f>IF('1. Live'!BA412='check-Jul25'!BA412,"",'1. Live'!BA412-'check-Jul25'!BA412)</f>
        <v/>
      </c>
      <c r="BB412" t="str">
        <f>IF('1. Live'!BB412='check-Jul25'!BB412,"",'1. Live'!BB412-'check-Jul25'!BB412)</f>
        <v/>
      </c>
      <c r="BC412" t="str">
        <f>IF('1. Live'!BC412='check-Jul25'!BC412,"",'1. Live'!BC412-'check-Jul25'!BC412)</f>
        <v/>
      </c>
      <c r="BD412" t="str">
        <f>IF('1. Live'!BD412='check-Jul25'!BD412,"",'1. Live'!BD412-'check-Jul25'!BD412)</f>
        <v/>
      </c>
      <c r="BE412" t="str">
        <f>IF('1. Live'!BE412='check-Jul25'!BE412,"",'1. Live'!BE412-'check-Jul25'!BE412)</f>
        <v/>
      </c>
      <c r="BF412" t="str">
        <f>IF('1. Live'!BF412='check-Jul25'!BF412,"",'1. Live'!BF412-'check-Jul25'!BF412)</f>
        <v/>
      </c>
      <c r="BG412" t="str">
        <f>IF('1. Live'!BG412='check-Jul25'!BG412,"",'1. Live'!BG412-'check-Jul25'!BG412)</f>
        <v/>
      </c>
      <c r="BH412" t="str">
        <f>IF('1. Live'!BH412='check-Jul25'!BH412,"",'1. Live'!BH412-'check-Jul25'!BH412)</f>
        <v/>
      </c>
      <c r="BI412" t="str">
        <f>IF('1. Live'!BI412='check-Jul25'!BI412,"",'1. Live'!BI412-'check-Jul25'!BI412)</f>
        <v/>
      </c>
      <c r="BJ412" t="str">
        <f>IF('1. Live'!BJ412='check-Jul25'!BJ412,"",'1. Live'!BJ412-'check-Jul25'!BJ412)</f>
        <v/>
      </c>
      <c r="BK412" t="str">
        <f>IF('1. Live'!BK412='check-Jul25'!BK412,"",'1. Live'!BK412-'check-Jul25'!BK412)</f>
        <v/>
      </c>
      <c r="BL412" t="str">
        <f>IF('1. Live'!BL412='check-Jul25'!BL412,"",'1. Live'!BL412-'check-Jul25'!BL412)</f>
        <v/>
      </c>
      <c r="BM412" t="str">
        <f>IF('1. Live'!BM412='check-Jul25'!BM412,"",'1. Live'!BM412-'check-Jul25'!BM412)</f>
        <v/>
      </c>
      <c r="BN412" t="str">
        <f>IF('1. Live'!BN412='check-Jul25'!BN412,"",'1. Live'!BN412-'check-Jul25'!BN412)</f>
        <v/>
      </c>
      <c r="BO412" t="str">
        <f>IF('1. Live'!BO412='check-Jul25'!BO412,"",'1. Live'!BO412-'check-Jul25'!BO412)</f>
        <v/>
      </c>
      <c r="BP412" t="str">
        <f>IF('1. Live'!BP412='check-Jul25'!BP412,"",'1. Live'!BP412-'check-Jul25'!BP412)</f>
        <v/>
      </c>
      <c r="BQ412" t="str">
        <f>IF('1. Live'!BQ412='check-Jul25'!BQ412,"",'1. Live'!BQ412-'check-Jul25'!BQ412)</f>
        <v/>
      </c>
      <c r="BR412" t="str">
        <f>IF('1. Live'!BR412='check-Jul25'!BR412,"",'1. Live'!BR412-'check-Jul25'!BR412)</f>
        <v/>
      </c>
      <c r="BS412" t="str">
        <f>IF('1. Live'!BS412='check-Jul25'!BS412,"",'1. Live'!BS412-'check-Jul25'!BS412)</f>
        <v/>
      </c>
      <c r="BT412" t="str">
        <f>IF('1. Live'!BT412='check-Jul25'!BT412,"",'1. Live'!BT412-'check-Jul25'!BT412)</f>
        <v/>
      </c>
      <c r="BU412" t="str">
        <f>IF('1. Live'!BU412='check-Jul25'!BU412,"",'1. Live'!BU412-'check-Jul25'!BU412)</f>
        <v/>
      </c>
      <c r="BV412" t="str">
        <f>IF('1. Live'!BV412='check-Jul25'!BV412,"",'1. Live'!BV412-'check-Jul25'!BV412)</f>
        <v/>
      </c>
      <c r="BW412" t="str">
        <f>IF('1. Live'!BW412='check-Jul25'!BW412,"",'1. Live'!BW412-'check-Jul25'!BW412)</f>
        <v/>
      </c>
      <c r="BX412" t="str">
        <f>IF('1. Live'!BX412='check-Jul25'!BX412,"",'1. Live'!BX412-'check-Jul25'!BX412)</f>
        <v/>
      </c>
      <c r="BY412" t="str">
        <f>IF('1. Live'!BY412='check-Jul25'!BY412,"",'1. Live'!BY412-'check-Jul25'!BY412)</f>
        <v/>
      </c>
      <c r="BZ412" t="str">
        <f>IF('1. Live'!BZ412='check-Jul25'!BZ412,"",'1. Live'!BZ412-'check-Jul25'!BZ412)</f>
        <v/>
      </c>
      <c r="CA412" t="str">
        <f>IF('1. Live'!CA412='check-Jul25'!CA412,"",'1. Live'!CA412-'check-Jul25'!CA412)</f>
        <v/>
      </c>
      <c r="CB412" t="str">
        <f>IF('1. Live'!CB412='check-Jul25'!CB412,"",'1. Live'!CB412-'check-Jul25'!CB412)</f>
        <v/>
      </c>
      <c r="CC412" t="str">
        <f>IF('1. Live'!CC412='check-Jul25'!CC412,"",'1. Live'!CC412-'check-Jul25'!CC412)</f>
        <v/>
      </c>
      <c r="CD412" t="str">
        <f>IF('1. Live'!CD412='check-Jul25'!CD412,"",'1. Live'!CD412-'check-Jul25'!CD412)</f>
        <v/>
      </c>
      <c r="CE412" t="str">
        <f>IF('1. Live'!CE412='check-Jul25'!CE412,"",'1. Live'!CE412-'check-Jul25'!CE412)</f>
        <v/>
      </c>
      <c r="CF412" t="str">
        <f>IF('1. Live'!CF412='check-Jul25'!CF412,"",'1. Live'!CF412-'check-Jul25'!CF412)</f>
        <v/>
      </c>
      <c r="CG412" t="str">
        <f>IF('1. Live'!CG412='check-Jul25'!CG412,"",'1. Live'!CG412-'check-Jul25'!CG412)</f>
        <v/>
      </c>
      <c r="CH412" t="str">
        <f>IF('1. Live'!CH412='check-Jul25'!CH412,"",'1. Live'!CH412-'check-Jul25'!CH412)</f>
        <v/>
      </c>
      <c r="CI412" t="str">
        <f>IF('1. Live'!CI412='check-Jul25'!CI412,"",'1. Live'!CI412-'check-Jul25'!CI412)</f>
        <v/>
      </c>
      <c r="CJ412" t="str">
        <f>IF('1. Live'!CJ412='check-Jul25'!CJ412,"",'1. Live'!CJ412-'check-Jul25'!CJ412)</f>
        <v/>
      </c>
      <c r="CK412" t="str">
        <f>IF('1. Live'!CK412='check-Jul25'!CK412,"",'1. Live'!CK412-'check-Jul25'!CK412)</f>
        <v/>
      </c>
      <c r="CL412" t="str">
        <f>IF('1. Live'!CL412='check-Jul25'!CL412,"",'1. Live'!CL412-'check-Jul25'!CL412)</f>
        <v/>
      </c>
      <c r="CM412" t="str">
        <f>IF('1. Live'!CM412='check-Jul25'!CM412,"",'1. Live'!CM412-'check-Jul25'!CM412)</f>
        <v/>
      </c>
      <c r="CN412" t="str">
        <f>IF('1. Live'!CN412='check-Jul25'!CN412,"",'1. Live'!CN412-'check-Jul25'!CN412)</f>
        <v/>
      </c>
      <c r="CO412" t="str">
        <f>IF('1. Live'!CO412='check-Jul25'!CO412,"",'1. Live'!CO412-'check-Jul25'!CO412)</f>
        <v/>
      </c>
      <c r="CP412" t="str">
        <f>IF('1. Live'!CP412='check-Jul25'!CP412,"",'1. Live'!CP412-'check-Jul25'!CP412)</f>
        <v/>
      </c>
      <c r="CQ412" t="str">
        <f>IF('1. Live'!CQ412='check-Jul25'!CQ412,"",'1. Live'!CQ412-'check-Jul25'!CQ412)</f>
        <v/>
      </c>
      <c r="CR412" t="str">
        <f>IF('1. Live'!CR412='check-Jul25'!CR412,"",'1. Live'!CR412-'check-Jul25'!CR412)</f>
        <v/>
      </c>
      <c r="CS412" t="str">
        <f>IF('1. Live'!CS412='check-Jul25'!CS412,"",'1. Live'!CS412-'check-Jul25'!CS412)</f>
        <v/>
      </c>
      <c r="CT412" t="str">
        <f>IF('1. Live'!CT412='check-Jul25'!CT412,"",'1. Live'!CT412-'check-Jul25'!CT412)</f>
        <v/>
      </c>
      <c r="CU412" t="str">
        <f>IF('1. Live'!CU412='check-Jul25'!CU412,"",'1. Live'!CU412-'check-Jul25'!CU412)</f>
        <v/>
      </c>
      <c r="CV412" t="str">
        <f>IF('1. Live'!CV412='check-Jul25'!CV412,"",'1. Live'!CV412-'check-Jul25'!CV412)</f>
        <v/>
      </c>
      <c r="CW412" t="str">
        <f>IF('1. Live'!CW412='check-Jul25'!CW412,"",'1. Live'!CW412-'check-Jul25'!CW412)</f>
        <v/>
      </c>
    </row>
    <row r="413" spans="10:101">
      <c r="J413" t="str">
        <f>IF('1. Live'!J413='check-Jul25'!J413,"",'1. Live'!J413-'check-Jul25'!J413)</f>
        <v/>
      </c>
      <c r="K413" t="str">
        <f>IF('1. Live'!K413='check-Jul25'!K413,"",'1. Live'!K413-'check-Jul25'!K413)</f>
        <v/>
      </c>
      <c r="L413" t="str">
        <f>IF('1. Live'!L413='check-Jul25'!L413,"",'1. Live'!L413-'check-Jul25'!L413)</f>
        <v/>
      </c>
      <c r="M413" t="str">
        <f>IF('1. Live'!M413='check-Jul25'!M413,"",'1. Live'!M413-'check-Jul25'!M413)</f>
        <v/>
      </c>
      <c r="N413" t="str">
        <f>IF('1. Live'!N413='check-Jul25'!N413,"",'1. Live'!N413-'check-Jul25'!N413)</f>
        <v/>
      </c>
      <c r="O413" t="str">
        <f>IF('1. Live'!O413='check-Jul25'!O413,"",'1. Live'!O413-'check-Jul25'!O413)</f>
        <v/>
      </c>
      <c r="P413" t="str">
        <f>IF('1. Live'!P413='check-Jul25'!P413,"",'1. Live'!P413-'check-Jul25'!P413)</f>
        <v/>
      </c>
      <c r="Q413" t="str">
        <f>IF('1. Live'!Q413='check-Jul25'!Q413,"",'1. Live'!Q413-'check-Jul25'!Q413)</f>
        <v/>
      </c>
      <c r="R413" t="str">
        <f>IF('1. Live'!R413='check-Jul25'!R413,"",'1. Live'!R413-'check-Jul25'!R413)</f>
        <v/>
      </c>
      <c r="S413" t="str">
        <f>IF('1. Live'!S413='check-Jul25'!S413,"",'1. Live'!S413-'check-Jul25'!S413)</f>
        <v/>
      </c>
      <c r="T413" t="str">
        <f>IF('1. Live'!T413='check-Jul25'!T413,"",'1. Live'!T413-'check-Jul25'!T413)</f>
        <v/>
      </c>
      <c r="U413" t="str">
        <f>IF('1. Live'!U413='check-Jul25'!U413,"",'1. Live'!U413-'check-Jul25'!U413)</f>
        <v/>
      </c>
      <c r="V413" t="str">
        <f>IF('1. Live'!V413='check-Jul25'!V413,"",'1. Live'!V413-'check-Jul25'!V413)</f>
        <v/>
      </c>
      <c r="W413" t="str">
        <f>IF('1. Live'!W413='check-Jul25'!W413,"",'1. Live'!W413-'check-Jul25'!W413)</f>
        <v/>
      </c>
      <c r="X413" t="str">
        <f>IF('1. Live'!X413='check-Jul25'!X413,"",'1. Live'!X413-'check-Jul25'!X413)</f>
        <v/>
      </c>
      <c r="Y413" t="str">
        <f>IF('1. Live'!Y413='check-Jul25'!Y413,"",'1. Live'!Y413-'check-Jul25'!Y413)</f>
        <v/>
      </c>
      <c r="Z413" t="str">
        <f>IF('1. Live'!Z413='check-Jul25'!Z413,"",'1. Live'!Z413-'check-Jul25'!Z413)</f>
        <v/>
      </c>
      <c r="AA413" t="str">
        <f>IF('1. Live'!AA413='check-Jul25'!AA413,"",'1. Live'!AA413-'check-Jul25'!AA413)</f>
        <v/>
      </c>
      <c r="AB413" t="str">
        <f>IF('1. Live'!AB413='check-Jul25'!AB413,"",'1. Live'!AB413-'check-Jul25'!AB413)</f>
        <v/>
      </c>
      <c r="AC413" t="str">
        <f>IF('1. Live'!AC413='check-Jul25'!AC413,"",'1. Live'!AC413-'check-Jul25'!AC413)</f>
        <v/>
      </c>
      <c r="AD413" t="str">
        <f>IF('1. Live'!AD413='check-Jul25'!AD413,"",'1. Live'!AD413-'check-Jul25'!AD413)</f>
        <v/>
      </c>
      <c r="AE413" t="str">
        <f>IF('1. Live'!AE413='check-Jul25'!AE413,"",'1. Live'!AE413-'check-Jul25'!AE413)</f>
        <v/>
      </c>
      <c r="AF413" t="str">
        <f>IF('1. Live'!AF413='check-Jul25'!AF413,"",'1. Live'!AF413-'check-Jul25'!AF413)</f>
        <v/>
      </c>
      <c r="AG413" t="str">
        <f>IF('1. Live'!AG413='check-Jul25'!AG413,"",'1. Live'!AG413-'check-Jul25'!AG413)</f>
        <v/>
      </c>
      <c r="AH413" t="str">
        <f>IF('1. Live'!AH413='check-Jul25'!AH413,"",'1. Live'!AH413-'check-Jul25'!AH413)</f>
        <v/>
      </c>
      <c r="AI413" t="str">
        <f>IF('1. Live'!AI413='check-Jul25'!AI413,"",'1. Live'!AI413-'check-Jul25'!AI413)</f>
        <v/>
      </c>
      <c r="AJ413" t="str">
        <f>IF('1. Live'!AJ413='check-Jul25'!AJ413,"",'1. Live'!AJ413-'check-Jul25'!AJ413)</f>
        <v/>
      </c>
      <c r="AK413" t="str">
        <f>IF('1. Live'!AK413='check-Jul25'!AK413,"",'1. Live'!AK413-'check-Jul25'!AK413)</f>
        <v/>
      </c>
      <c r="AL413" t="str">
        <f>IF('1. Live'!AL413='check-Jul25'!AL413,"",'1. Live'!AL413-'check-Jul25'!AL413)</f>
        <v/>
      </c>
      <c r="AM413" t="str">
        <f>IF('1. Live'!AM413='check-Jul25'!AM413,"",'1. Live'!AM413-'check-Jul25'!AM413)</f>
        <v/>
      </c>
      <c r="AN413" t="str">
        <f>IF('1. Live'!AN413='check-Jul25'!AN413,"",'1. Live'!AN413-'check-Jul25'!AN413)</f>
        <v/>
      </c>
      <c r="AO413" t="str">
        <f>IF('1. Live'!AO413='check-Jul25'!AO413,"",'1. Live'!AO413-'check-Jul25'!AO413)</f>
        <v/>
      </c>
      <c r="AP413" t="str">
        <f>IF('1. Live'!AP413='check-Jul25'!AP413,"",'1. Live'!AP413-'check-Jul25'!AP413)</f>
        <v/>
      </c>
      <c r="AQ413" t="str">
        <f>IF('1. Live'!AQ413='check-Jul25'!AQ413,"",'1. Live'!AQ413-'check-Jul25'!AQ413)</f>
        <v/>
      </c>
      <c r="AR413" t="str">
        <f>IF('1. Live'!AR413='check-Jul25'!AR413,"",'1. Live'!AR413-'check-Jul25'!AR413)</f>
        <v/>
      </c>
      <c r="AS413" t="str">
        <f>IF('1. Live'!AS413='check-Jul25'!AS413,"",'1. Live'!AS413-'check-Jul25'!AS413)</f>
        <v/>
      </c>
      <c r="AT413" t="str">
        <f>IF('1. Live'!AT413='check-Jul25'!AT413,"",'1. Live'!AT413-'check-Jul25'!AT413)</f>
        <v/>
      </c>
      <c r="AU413" t="str">
        <f>IF('1. Live'!AU413='check-Jul25'!AU413,"",'1. Live'!AU413-'check-Jul25'!AU413)</f>
        <v/>
      </c>
      <c r="AV413" t="str">
        <f>IF('1. Live'!AV413='check-Jul25'!AV413,"",'1. Live'!AV413-'check-Jul25'!AV413)</f>
        <v/>
      </c>
      <c r="AW413" t="str">
        <f>IF('1. Live'!AW413='check-Jul25'!AW413,"",'1. Live'!AW413-'check-Jul25'!AW413)</f>
        <v/>
      </c>
      <c r="AX413" t="str">
        <f>IF('1. Live'!AX413='check-Jul25'!AX413,"",'1. Live'!AX413-'check-Jul25'!AX413)</f>
        <v/>
      </c>
      <c r="AY413" t="str">
        <f>IF('1. Live'!AY413='check-Jul25'!AY413,"",'1. Live'!AY413-'check-Jul25'!AY413)</f>
        <v/>
      </c>
      <c r="AZ413" t="str">
        <f>IF('1. Live'!AZ413='check-Jul25'!AZ413,"",'1. Live'!AZ413-'check-Jul25'!AZ413)</f>
        <v/>
      </c>
      <c r="BA413" t="str">
        <f>IF('1. Live'!BA413='check-Jul25'!BA413,"",'1. Live'!BA413-'check-Jul25'!BA413)</f>
        <v/>
      </c>
      <c r="BB413" t="str">
        <f>IF('1. Live'!BB413='check-Jul25'!BB413,"",'1. Live'!BB413-'check-Jul25'!BB413)</f>
        <v/>
      </c>
      <c r="BC413" t="str">
        <f>IF('1. Live'!BC413='check-Jul25'!BC413,"",'1. Live'!BC413-'check-Jul25'!BC413)</f>
        <v/>
      </c>
      <c r="BD413" t="str">
        <f>IF('1. Live'!BD413='check-Jul25'!BD413,"",'1. Live'!BD413-'check-Jul25'!BD413)</f>
        <v/>
      </c>
      <c r="BE413" t="str">
        <f>IF('1. Live'!BE413='check-Jul25'!BE413,"",'1. Live'!BE413-'check-Jul25'!BE413)</f>
        <v/>
      </c>
      <c r="BF413" t="str">
        <f>IF('1. Live'!BF413='check-Jul25'!BF413,"",'1. Live'!BF413-'check-Jul25'!BF413)</f>
        <v/>
      </c>
      <c r="BG413" t="str">
        <f>IF('1. Live'!BG413='check-Jul25'!BG413,"",'1. Live'!BG413-'check-Jul25'!BG413)</f>
        <v/>
      </c>
      <c r="BH413" t="str">
        <f>IF('1. Live'!BH413='check-Jul25'!BH413,"",'1. Live'!BH413-'check-Jul25'!BH413)</f>
        <v/>
      </c>
      <c r="BI413" t="str">
        <f>IF('1. Live'!BI413='check-Jul25'!BI413,"",'1. Live'!BI413-'check-Jul25'!BI413)</f>
        <v/>
      </c>
      <c r="BJ413" t="str">
        <f>IF('1. Live'!BJ413='check-Jul25'!BJ413,"",'1. Live'!BJ413-'check-Jul25'!BJ413)</f>
        <v/>
      </c>
      <c r="BK413" t="str">
        <f>IF('1. Live'!BK413='check-Jul25'!BK413,"",'1. Live'!BK413-'check-Jul25'!BK413)</f>
        <v/>
      </c>
      <c r="BL413" t="str">
        <f>IF('1. Live'!BL413='check-Jul25'!BL413,"",'1. Live'!BL413-'check-Jul25'!BL413)</f>
        <v/>
      </c>
      <c r="BM413" t="str">
        <f>IF('1. Live'!BM413='check-Jul25'!BM413,"",'1. Live'!BM413-'check-Jul25'!BM413)</f>
        <v/>
      </c>
      <c r="BN413" t="str">
        <f>IF('1. Live'!BN413='check-Jul25'!BN413,"",'1. Live'!BN413-'check-Jul25'!BN413)</f>
        <v/>
      </c>
      <c r="BO413" t="str">
        <f>IF('1. Live'!BO413='check-Jul25'!BO413,"",'1. Live'!BO413-'check-Jul25'!BO413)</f>
        <v/>
      </c>
      <c r="BP413" t="str">
        <f>IF('1. Live'!BP413='check-Jul25'!BP413,"",'1. Live'!BP413-'check-Jul25'!BP413)</f>
        <v/>
      </c>
      <c r="BQ413" t="str">
        <f>IF('1. Live'!BQ413='check-Jul25'!BQ413,"",'1. Live'!BQ413-'check-Jul25'!BQ413)</f>
        <v/>
      </c>
      <c r="BR413" t="str">
        <f>IF('1. Live'!BR413='check-Jul25'!BR413,"",'1. Live'!BR413-'check-Jul25'!BR413)</f>
        <v/>
      </c>
      <c r="BS413" t="str">
        <f>IF('1. Live'!BS413='check-Jul25'!BS413,"",'1. Live'!BS413-'check-Jul25'!BS413)</f>
        <v/>
      </c>
      <c r="BT413" t="str">
        <f>IF('1. Live'!BT413='check-Jul25'!BT413,"",'1. Live'!BT413-'check-Jul25'!BT413)</f>
        <v/>
      </c>
      <c r="BU413" t="str">
        <f>IF('1. Live'!BU413='check-Jul25'!BU413,"",'1. Live'!BU413-'check-Jul25'!BU413)</f>
        <v/>
      </c>
      <c r="BV413" t="str">
        <f>IF('1. Live'!BV413='check-Jul25'!BV413,"",'1. Live'!BV413-'check-Jul25'!BV413)</f>
        <v/>
      </c>
      <c r="BW413" t="str">
        <f>IF('1. Live'!BW413='check-Jul25'!BW413,"",'1. Live'!BW413-'check-Jul25'!BW413)</f>
        <v/>
      </c>
      <c r="BX413" t="str">
        <f>IF('1. Live'!BX413='check-Jul25'!BX413,"",'1. Live'!BX413-'check-Jul25'!BX413)</f>
        <v/>
      </c>
      <c r="BY413" t="str">
        <f>IF('1. Live'!BY413='check-Jul25'!BY413,"",'1. Live'!BY413-'check-Jul25'!BY413)</f>
        <v/>
      </c>
      <c r="BZ413" t="str">
        <f>IF('1. Live'!BZ413='check-Jul25'!BZ413,"",'1. Live'!BZ413-'check-Jul25'!BZ413)</f>
        <v/>
      </c>
      <c r="CA413" t="str">
        <f>IF('1. Live'!CA413='check-Jul25'!CA413,"",'1. Live'!CA413-'check-Jul25'!CA413)</f>
        <v/>
      </c>
      <c r="CB413" t="str">
        <f>IF('1. Live'!CB413='check-Jul25'!CB413,"",'1. Live'!CB413-'check-Jul25'!CB413)</f>
        <v/>
      </c>
      <c r="CC413" t="str">
        <f>IF('1. Live'!CC413='check-Jul25'!CC413,"",'1. Live'!CC413-'check-Jul25'!CC413)</f>
        <v/>
      </c>
      <c r="CD413" t="str">
        <f>IF('1. Live'!CD413='check-Jul25'!CD413,"",'1. Live'!CD413-'check-Jul25'!CD413)</f>
        <v/>
      </c>
      <c r="CE413" t="str">
        <f>IF('1. Live'!CE413='check-Jul25'!CE413,"",'1. Live'!CE413-'check-Jul25'!CE413)</f>
        <v/>
      </c>
      <c r="CF413" t="str">
        <f>IF('1. Live'!CF413='check-Jul25'!CF413,"",'1. Live'!CF413-'check-Jul25'!CF413)</f>
        <v/>
      </c>
      <c r="CG413" t="str">
        <f>IF('1. Live'!CG413='check-Jul25'!CG413,"",'1. Live'!CG413-'check-Jul25'!CG413)</f>
        <v/>
      </c>
      <c r="CH413" t="str">
        <f>IF('1. Live'!CH413='check-Jul25'!CH413,"",'1. Live'!CH413-'check-Jul25'!CH413)</f>
        <v/>
      </c>
      <c r="CI413" t="str">
        <f>IF('1. Live'!CI413='check-Jul25'!CI413,"",'1. Live'!CI413-'check-Jul25'!CI413)</f>
        <v/>
      </c>
      <c r="CJ413" t="str">
        <f>IF('1. Live'!CJ413='check-Jul25'!CJ413,"",'1. Live'!CJ413-'check-Jul25'!CJ413)</f>
        <v/>
      </c>
      <c r="CK413" t="str">
        <f>IF('1. Live'!CK413='check-Jul25'!CK413,"",'1. Live'!CK413-'check-Jul25'!CK413)</f>
        <v/>
      </c>
      <c r="CL413" t="str">
        <f>IF('1. Live'!CL413='check-Jul25'!CL413,"",'1. Live'!CL413-'check-Jul25'!CL413)</f>
        <v/>
      </c>
      <c r="CM413" t="str">
        <f>IF('1. Live'!CM413='check-Jul25'!CM413,"",'1. Live'!CM413-'check-Jul25'!CM413)</f>
        <v/>
      </c>
      <c r="CN413" t="str">
        <f>IF('1. Live'!CN413='check-Jul25'!CN413,"",'1. Live'!CN413-'check-Jul25'!CN413)</f>
        <v/>
      </c>
      <c r="CO413" t="str">
        <f>IF('1. Live'!CO413='check-Jul25'!CO413,"",'1. Live'!CO413-'check-Jul25'!CO413)</f>
        <v/>
      </c>
      <c r="CP413" t="str">
        <f>IF('1. Live'!CP413='check-Jul25'!CP413,"",'1. Live'!CP413-'check-Jul25'!CP413)</f>
        <v/>
      </c>
      <c r="CQ413" t="str">
        <f>IF('1. Live'!CQ413='check-Jul25'!CQ413,"",'1. Live'!CQ413-'check-Jul25'!CQ413)</f>
        <v/>
      </c>
      <c r="CR413" t="str">
        <f>IF('1. Live'!CR413='check-Jul25'!CR413,"",'1. Live'!CR413-'check-Jul25'!CR413)</f>
        <v/>
      </c>
      <c r="CS413" t="str">
        <f>IF('1. Live'!CS413='check-Jul25'!CS413,"",'1. Live'!CS413-'check-Jul25'!CS413)</f>
        <v/>
      </c>
      <c r="CT413" t="str">
        <f>IF('1. Live'!CT413='check-Jul25'!CT413,"",'1. Live'!CT413-'check-Jul25'!CT413)</f>
        <v/>
      </c>
      <c r="CU413" t="str">
        <f>IF('1. Live'!CU413='check-Jul25'!CU413,"",'1. Live'!CU413-'check-Jul25'!CU413)</f>
        <v/>
      </c>
      <c r="CV413" t="str">
        <f>IF('1. Live'!CV413='check-Jul25'!CV413,"",'1. Live'!CV413-'check-Jul25'!CV413)</f>
        <v/>
      </c>
      <c r="CW413" t="str">
        <f>IF('1. Live'!CW413='check-Jul25'!CW413,"",'1. Live'!CW413-'check-Jul25'!CW413)</f>
        <v/>
      </c>
    </row>
    <row r="414" spans="10:101">
      <c r="J414" t="str">
        <f>IF('1. Live'!J414='check-Jul25'!J414,"",'1. Live'!J414-'check-Jul25'!J414)</f>
        <v/>
      </c>
      <c r="K414" t="str">
        <f>IF('1. Live'!K414='check-Jul25'!K414,"",'1. Live'!K414-'check-Jul25'!K414)</f>
        <v/>
      </c>
      <c r="L414" t="str">
        <f>IF('1. Live'!L414='check-Jul25'!L414,"",'1. Live'!L414-'check-Jul25'!L414)</f>
        <v/>
      </c>
      <c r="M414" t="str">
        <f>IF('1. Live'!M414='check-Jul25'!M414,"",'1. Live'!M414-'check-Jul25'!M414)</f>
        <v/>
      </c>
      <c r="N414" t="str">
        <f>IF('1. Live'!N414='check-Jul25'!N414,"",'1. Live'!N414-'check-Jul25'!N414)</f>
        <v/>
      </c>
      <c r="O414" t="str">
        <f>IF('1. Live'!O414='check-Jul25'!O414,"",'1. Live'!O414-'check-Jul25'!O414)</f>
        <v/>
      </c>
      <c r="P414" t="str">
        <f>IF('1. Live'!P414='check-Jul25'!P414,"",'1. Live'!P414-'check-Jul25'!P414)</f>
        <v/>
      </c>
      <c r="Q414" t="str">
        <f>IF('1. Live'!Q414='check-Jul25'!Q414,"",'1. Live'!Q414-'check-Jul25'!Q414)</f>
        <v/>
      </c>
      <c r="R414" t="str">
        <f>IF('1. Live'!R414='check-Jul25'!R414,"",'1. Live'!R414-'check-Jul25'!R414)</f>
        <v/>
      </c>
      <c r="S414" t="str">
        <f>IF('1. Live'!S414='check-Jul25'!S414,"",'1. Live'!S414-'check-Jul25'!S414)</f>
        <v/>
      </c>
      <c r="T414" t="str">
        <f>IF('1. Live'!T414='check-Jul25'!T414,"",'1. Live'!T414-'check-Jul25'!T414)</f>
        <v/>
      </c>
      <c r="U414" t="str">
        <f>IF('1. Live'!U414='check-Jul25'!U414,"",'1. Live'!U414-'check-Jul25'!U414)</f>
        <v/>
      </c>
      <c r="V414" t="str">
        <f>IF('1. Live'!V414='check-Jul25'!V414,"",'1. Live'!V414-'check-Jul25'!V414)</f>
        <v/>
      </c>
      <c r="W414" t="str">
        <f>IF('1. Live'!W414='check-Jul25'!W414,"",'1. Live'!W414-'check-Jul25'!W414)</f>
        <v/>
      </c>
      <c r="X414" t="str">
        <f>IF('1. Live'!X414='check-Jul25'!X414,"",'1. Live'!X414-'check-Jul25'!X414)</f>
        <v/>
      </c>
      <c r="Y414" t="str">
        <f>IF('1. Live'!Y414='check-Jul25'!Y414,"",'1. Live'!Y414-'check-Jul25'!Y414)</f>
        <v/>
      </c>
      <c r="Z414" t="str">
        <f>IF('1. Live'!Z414='check-Jul25'!Z414,"",'1. Live'!Z414-'check-Jul25'!Z414)</f>
        <v/>
      </c>
      <c r="AA414" t="str">
        <f>IF('1. Live'!AA414='check-Jul25'!AA414,"",'1. Live'!AA414-'check-Jul25'!AA414)</f>
        <v/>
      </c>
      <c r="AB414" t="str">
        <f>IF('1. Live'!AB414='check-Jul25'!AB414,"",'1. Live'!AB414-'check-Jul25'!AB414)</f>
        <v/>
      </c>
      <c r="AC414" t="str">
        <f>IF('1. Live'!AC414='check-Jul25'!AC414,"",'1. Live'!AC414-'check-Jul25'!AC414)</f>
        <v/>
      </c>
      <c r="AD414" t="str">
        <f>IF('1. Live'!AD414='check-Jul25'!AD414,"",'1. Live'!AD414-'check-Jul25'!AD414)</f>
        <v/>
      </c>
      <c r="AE414" t="str">
        <f>IF('1. Live'!AE414='check-Jul25'!AE414,"",'1. Live'!AE414-'check-Jul25'!AE414)</f>
        <v/>
      </c>
      <c r="AF414" t="str">
        <f>IF('1. Live'!AF414='check-Jul25'!AF414,"",'1. Live'!AF414-'check-Jul25'!AF414)</f>
        <v/>
      </c>
      <c r="AG414" t="str">
        <f>IF('1. Live'!AG414='check-Jul25'!AG414,"",'1. Live'!AG414-'check-Jul25'!AG414)</f>
        <v/>
      </c>
      <c r="AH414" t="str">
        <f>IF('1. Live'!AH414='check-Jul25'!AH414,"",'1. Live'!AH414-'check-Jul25'!AH414)</f>
        <v/>
      </c>
      <c r="AI414" t="str">
        <f>IF('1. Live'!AI414='check-Jul25'!AI414,"",'1. Live'!AI414-'check-Jul25'!AI414)</f>
        <v/>
      </c>
      <c r="AJ414" t="str">
        <f>IF('1. Live'!AJ414='check-Jul25'!AJ414,"",'1. Live'!AJ414-'check-Jul25'!AJ414)</f>
        <v/>
      </c>
      <c r="AK414" t="str">
        <f>IF('1. Live'!AK414='check-Jul25'!AK414,"",'1. Live'!AK414-'check-Jul25'!AK414)</f>
        <v/>
      </c>
      <c r="AL414" t="str">
        <f>IF('1. Live'!AL414='check-Jul25'!AL414,"",'1. Live'!AL414-'check-Jul25'!AL414)</f>
        <v/>
      </c>
      <c r="AM414" t="str">
        <f>IF('1. Live'!AM414='check-Jul25'!AM414,"",'1. Live'!AM414-'check-Jul25'!AM414)</f>
        <v/>
      </c>
      <c r="AN414" t="str">
        <f>IF('1. Live'!AN414='check-Jul25'!AN414,"",'1. Live'!AN414-'check-Jul25'!AN414)</f>
        <v/>
      </c>
      <c r="AO414" t="str">
        <f>IF('1. Live'!AO414='check-Jul25'!AO414,"",'1. Live'!AO414-'check-Jul25'!AO414)</f>
        <v/>
      </c>
      <c r="AP414" t="str">
        <f>IF('1. Live'!AP414='check-Jul25'!AP414,"",'1. Live'!AP414-'check-Jul25'!AP414)</f>
        <v/>
      </c>
      <c r="AQ414" t="str">
        <f>IF('1. Live'!AQ414='check-Jul25'!AQ414,"",'1. Live'!AQ414-'check-Jul25'!AQ414)</f>
        <v/>
      </c>
      <c r="AR414" t="str">
        <f>IF('1. Live'!AR414='check-Jul25'!AR414,"",'1. Live'!AR414-'check-Jul25'!AR414)</f>
        <v/>
      </c>
      <c r="AS414" t="str">
        <f>IF('1. Live'!AS414='check-Jul25'!AS414,"",'1. Live'!AS414-'check-Jul25'!AS414)</f>
        <v/>
      </c>
      <c r="AT414" t="str">
        <f>IF('1. Live'!AT414='check-Jul25'!AT414,"",'1. Live'!AT414-'check-Jul25'!AT414)</f>
        <v/>
      </c>
      <c r="AU414" t="str">
        <f>IF('1. Live'!AU414='check-Jul25'!AU414,"",'1. Live'!AU414-'check-Jul25'!AU414)</f>
        <v/>
      </c>
      <c r="AV414" t="str">
        <f>IF('1. Live'!AV414='check-Jul25'!AV414,"",'1. Live'!AV414-'check-Jul25'!AV414)</f>
        <v/>
      </c>
      <c r="AW414" t="str">
        <f>IF('1. Live'!AW414='check-Jul25'!AW414,"",'1. Live'!AW414-'check-Jul25'!AW414)</f>
        <v/>
      </c>
      <c r="AX414" t="str">
        <f>IF('1. Live'!AX414='check-Jul25'!AX414,"",'1. Live'!AX414-'check-Jul25'!AX414)</f>
        <v/>
      </c>
      <c r="AY414" t="str">
        <f>IF('1. Live'!AY414='check-Jul25'!AY414,"",'1. Live'!AY414-'check-Jul25'!AY414)</f>
        <v/>
      </c>
      <c r="AZ414" t="str">
        <f>IF('1. Live'!AZ414='check-Jul25'!AZ414,"",'1. Live'!AZ414-'check-Jul25'!AZ414)</f>
        <v/>
      </c>
      <c r="BA414" t="str">
        <f>IF('1. Live'!BA414='check-Jul25'!BA414,"",'1. Live'!BA414-'check-Jul25'!BA414)</f>
        <v/>
      </c>
      <c r="BB414" t="str">
        <f>IF('1. Live'!BB414='check-Jul25'!BB414,"",'1. Live'!BB414-'check-Jul25'!BB414)</f>
        <v/>
      </c>
      <c r="BC414" t="str">
        <f>IF('1. Live'!BC414='check-Jul25'!BC414,"",'1. Live'!BC414-'check-Jul25'!BC414)</f>
        <v/>
      </c>
      <c r="BD414" t="str">
        <f>IF('1. Live'!BD414='check-Jul25'!BD414,"",'1. Live'!BD414-'check-Jul25'!BD414)</f>
        <v/>
      </c>
      <c r="BE414" t="str">
        <f>IF('1. Live'!BE414='check-Jul25'!BE414,"",'1. Live'!BE414-'check-Jul25'!BE414)</f>
        <v/>
      </c>
      <c r="BF414" t="str">
        <f>IF('1. Live'!BF414='check-Jul25'!BF414,"",'1. Live'!BF414-'check-Jul25'!BF414)</f>
        <v/>
      </c>
      <c r="BG414" t="str">
        <f>IF('1. Live'!BG414='check-Jul25'!BG414,"",'1. Live'!BG414-'check-Jul25'!BG414)</f>
        <v/>
      </c>
      <c r="BH414" t="str">
        <f>IF('1. Live'!BH414='check-Jul25'!BH414,"",'1. Live'!BH414-'check-Jul25'!BH414)</f>
        <v/>
      </c>
      <c r="BI414" t="str">
        <f>IF('1. Live'!BI414='check-Jul25'!BI414,"",'1. Live'!BI414-'check-Jul25'!BI414)</f>
        <v/>
      </c>
      <c r="BJ414" t="str">
        <f>IF('1. Live'!BJ414='check-Jul25'!BJ414,"",'1. Live'!BJ414-'check-Jul25'!BJ414)</f>
        <v/>
      </c>
      <c r="BK414" t="str">
        <f>IF('1. Live'!BK414='check-Jul25'!BK414,"",'1. Live'!BK414-'check-Jul25'!BK414)</f>
        <v/>
      </c>
      <c r="BL414" t="str">
        <f>IF('1. Live'!BL414='check-Jul25'!BL414,"",'1. Live'!BL414-'check-Jul25'!BL414)</f>
        <v/>
      </c>
      <c r="BM414" t="str">
        <f>IF('1. Live'!BM414='check-Jul25'!BM414,"",'1. Live'!BM414-'check-Jul25'!BM414)</f>
        <v/>
      </c>
      <c r="BN414" t="str">
        <f>IF('1. Live'!BN414='check-Jul25'!BN414,"",'1. Live'!BN414-'check-Jul25'!BN414)</f>
        <v/>
      </c>
      <c r="BO414" t="str">
        <f>IF('1. Live'!BO414='check-Jul25'!BO414,"",'1. Live'!BO414-'check-Jul25'!BO414)</f>
        <v/>
      </c>
      <c r="BP414" t="str">
        <f>IF('1. Live'!BP414='check-Jul25'!BP414,"",'1. Live'!BP414-'check-Jul25'!BP414)</f>
        <v/>
      </c>
      <c r="BQ414" t="str">
        <f>IF('1. Live'!BQ414='check-Jul25'!BQ414,"",'1. Live'!BQ414-'check-Jul25'!BQ414)</f>
        <v/>
      </c>
      <c r="BR414" t="str">
        <f>IF('1. Live'!BR414='check-Jul25'!BR414,"",'1. Live'!BR414-'check-Jul25'!BR414)</f>
        <v/>
      </c>
      <c r="BS414" t="str">
        <f>IF('1. Live'!BS414='check-Jul25'!BS414,"",'1. Live'!BS414-'check-Jul25'!BS414)</f>
        <v/>
      </c>
      <c r="BT414" t="str">
        <f>IF('1. Live'!BT414='check-Jul25'!BT414,"",'1. Live'!BT414-'check-Jul25'!BT414)</f>
        <v/>
      </c>
      <c r="BU414" t="str">
        <f>IF('1. Live'!BU414='check-Jul25'!BU414,"",'1. Live'!BU414-'check-Jul25'!BU414)</f>
        <v/>
      </c>
      <c r="BV414" t="str">
        <f>IF('1. Live'!BV414='check-Jul25'!BV414,"",'1. Live'!BV414-'check-Jul25'!BV414)</f>
        <v/>
      </c>
      <c r="BW414" t="str">
        <f>IF('1. Live'!BW414='check-Jul25'!BW414,"",'1. Live'!BW414-'check-Jul25'!BW414)</f>
        <v/>
      </c>
      <c r="BX414" t="str">
        <f>IF('1. Live'!BX414='check-Jul25'!BX414,"",'1. Live'!BX414-'check-Jul25'!BX414)</f>
        <v/>
      </c>
      <c r="BY414" t="str">
        <f>IF('1. Live'!BY414='check-Jul25'!BY414,"",'1. Live'!BY414-'check-Jul25'!BY414)</f>
        <v/>
      </c>
      <c r="BZ414" t="str">
        <f>IF('1. Live'!BZ414='check-Jul25'!BZ414,"",'1. Live'!BZ414-'check-Jul25'!BZ414)</f>
        <v/>
      </c>
      <c r="CA414" t="str">
        <f>IF('1. Live'!CA414='check-Jul25'!CA414,"",'1. Live'!CA414-'check-Jul25'!CA414)</f>
        <v/>
      </c>
      <c r="CB414" t="str">
        <f>IF('1. Live'!CB414='check-Jul25'!CB414,"",'1. Live'!CB414-'check-Jul25'!CB414)</f>
        <v/>
      </c>
      <c r="CC414" t="str">
        <f>IF('1. Live'!CC414='check-Jul25'!CC414,"",'1. Live'!CC414-'check-Jul25'!CC414)</f>
        <v/>
      </c>
      <c r="CD414" t="str">
        <f>IF('1. Live'!CD414='check-Jul25'!CD414,"",'1. Live'!CD414-'check-Jul25'!CD414)</f>
        <v/>
      </c>
      <c r="CE414" t="str">
        <f>IF('1. Live'!CE414='check-Jul25'!CE414,"",'1. Live'!CE414-'check-Jul25'!CE414)</f>
        <v/>
      </c>
      <c r="CF414" t="str">
        <f>IF('1. Live'!CF414='check-Jul25'!CF414,"",'1. Live'!CF414-'check-Jul25'!CF414)</f>
        <v/>
      </c>
      <c r="CG414" t="str">
        <f>IF('1. Live'!CG414='check-Jul25'!CG414,"",'1. Live'!CG414-'check-Jul25'!CG414)</f>
        <v/>
      </c>
      <c r="CH414" t="str">
        <f>IF('1. Live'!CH414='check-Jul25'!CH414,"",'1. Live'!CH414-'check-Jul25'!CH414)</f>
        <v/>
      </c>
      <c r="CI414" t="str">
        <f>IF('1. Live'!CI414='check-Jul25'!CI414,"",'1. Live'!CI414-'check-Jul25'!CI414)</f>
        <v/>
      </c>
      <c r="CJ414" t="str">
        <f>IF('1. Live'!CJ414='check-Jul25'!CJ414,"",'1. Live'!CJ414-'check-Jul25'!CJ414)</f>
        <v/>
      </c>
      <c r="CK414" t="str">
        <f>IF('1. Live'!CK414='check-Jul25'!CK414,"",'1. Live'!CK414-'check-Jul25'!CK414)</f>
        <v/>
      </c>
      <c r="CL414" t="str">
        <f>IF('1. Live'!CL414='check-Jul25'!CL414,"",'1. Live'!CL414-'check-Jul25'!CL414)</f>
        <v/>
      </c>
      <c r="CM414" t="str">
        <f>IF('1. Live'!CM414='check-Jul25'!CM414,"",'1. Live'!CM414-'check-Jul25'!CM414)</f>
        <v/>
      </c>
      <c r="CN414" t="str">
        <f>IF('1. Live'!CN414='check-Jul25'!CN414,"",'1. Live'!CN414-'check-Jul25'!CN414)</f>
        <v/>
      </c>
      <c r="CO414" t="str">
        <f>IF('1. Live'!CO414='check-Jul25'!CO414,"",'1. Live'!CO414-'check-Jul25'!CO414)</f>
        <v/>
      </c>
      <c r="CP414" t="str">
        <f>IF('1. Live'!CP414='check-Jul25'!CP414,"",'1. Live'!CP414-'check-Jul25'!CP414)</f>
        <v/>
      </c>
      <c r="CQ414" t="str">
        <f>IF('1. Live'!CQ414='check-Jul25'!CQ414,"",'1. Live'!CQ414-'check-Jul25'!CQ414)</f>
        <v/>
      </c>
      <c r="CR414" t="str">
        <f>IF('1. Live'!CR414='check-Jul25'!CR414,"",'1. Live'!CR414-'check-Jul25'!CR414)</f>
        <v/>
      </c>
      <c r="CS414" t="str">
        <f>IF('1. Live'!CS414='check-Jul25'!CS414,"",'1. Live'!CS414-'check-Jul25'!CS414)</f>
        <v/>
      </c>
      <c r="CT414" t="str">
        <f>IF('1. Live'!CT414='check-Jul25'!CT414,"",'1. Live'!CT414-'check-Jul25'!CT414)</f>
        <v/>
      </c>
      <c r="CU414" t="str">
        <f>IF('1. Live'!CU414='check-Jul25'!CU414,"",'1. Live'!CU414-'check-Jul25'!CU414)</f>
        <v/>
      </c>
      <c r="CV414" t="str">
        <f>IF('1. Live'!CV414='check-Jul25'!CV414,"",'1. Live'!CV414-'check-Jul25'!CV414)</f>
        <v/>
      </c>
      <c r="CW414" t="str">
        <f>IF('1. Live'!CW414='check-Jul25'!CW414,"",'1. Live'!CW414-'check-Jul25'!CW414)</f>
        <v/>
      </c>
    </row>
    <row r="415" spans="10:101">
      <c r="J415" t="str">
        <f>IF('1. Live'!J415='check-Jul25'!J415,"",'1. Live'!J415-'check-Jul25'!J415)</f>
        <v/>
      </c>
      <c r="K415" t="str">
        <f>IF('1. Live'!K415='check-Jul25'!K415,"",'1. Live'!K415-'check-Jul25'!K415)</f>
        <v/>
      </c>
      <c r="L415" t="str">
        <f>IF('1. Live'!L415='check-Jul25'!L415,"",'1. Live'!L415-'check-Jul25'!L415)</f>
        <v/>
      </c>
      <c r="M415" t="str">
        <f>IF('1. Live'!M415='check-Jul25'!M415,"",'1. Live'!M415-'check-Jul25'!M415)</f>
        <v/>
      </c>
      <c r="N415" t="str">
        <f>IF('1. Live'!N415='check-Jul25'!N415,"",'1. Live'!N415-'check-Jul25'!N415)</f>
        <v/>
      </c>
      <c r="O415" t="str">
        <f>IF('1. Live'!O415='check-Jul25'!O415,"",'1. Live'!O415-'check-Jul25'!O415)</f>
        <v/>
      </c>
      <c r="P415" t="str">
        <f>IF('1. Live'!P415='check-Jul25'!P415,"",'1. Live'!P415-'check-Jul25'!P415)</f>
        <v/>
      </c>
      <c r="Q415" t="str">
        <f>IF('1. Live'!Q415='check-Jul25'!Q415,"",'1. Live'!Q415-'check-Jul25'!Q415)</f>
        <v/>
      </c>
      <c r="R415" t="str">
        <f>IF('1. Live'!R415='check-Jul25'!R415,"",'1. Live'!R415-'check-Jul25'!R415)</f>
        <v/>
      </c>
      <c r="S415" t="str">
        <f>IF('1. Live'!S415='check-Jul25'!S415,"",'1. Live'!S415-'check-Jul25'!S415)</f>
        <v/>
      </c>
      <c r="T415" t="str">
        <f>IF('1. Live'!T415='check-Jul25'!T415,"",'1. Live'!T415-'check-Jul25'!T415)</f>
        <v/>
      </c>
      <c r="U415" t="str">
        <f>IF('1. Live'!U415='check-Jul25'!U415,"",'1. Live'!U415-'check-Jul25'!U415)</f>
        <v/>
      </c>
      <c r="V415" t="str">
        <f>IF('1. Live'!V415='check-Jul25'!V415,"",'1. Live'!V415-'check-Jul25'!V415)</f>
        <v/>
      </c>
      <c r="W415" t="str">
        <f>IF('1. Live'!W415='check-Jul25'!W415,"",'1. Live'!W415-'check-Jul25'!W415)</f>
        <v/>
      </c>
      <c r="X415" t="str">
        <f>IF('1. Live'!X415='check-Jul25'!X415,"",'1. Live'!X415-'check-Jul25'!X415)</f>
        <v/>
      </c>
      <c r="Y415" t="str">
        <f>IF('1. Live'!Y415='check-Jul25'!Y415,"",'1. Live'!Y415-'check-Jul25'!Y415)</f>
        <v/>
      </c>
      <c r="Z415" t="str">
        <f>IF('1. Live'!Z415='check-Jul25'!Z415,"",'1. Live'!Z415-'check-Jul25'!Z415)</f>
        <v/>
      </c>
      <c r="AA415" t="str">
        <f>IF('1. Live'!AA415='check-Jul25'!AA415,"",'1. Live'!AA415-'check-Jul25'!AA415)</f>
        <v/>
      </c>
      <c r="AB415" t="str">
        <f>IF('1. Live'!AB415='check-Jul25'!AB415,"",'1. Live'!AB415-'check-Jul25'!AB415)</f>
        <v/>
      </c>
      <c r="AC415" t="str">
        <f>IF('1. Live'!AC415='check-Jul25'!AC415,"",'1. Live'!AC415-'check-Jul25'!AC415)</f>
        <v/>
      </c>
      <c r="AD415" t="str">
        <f>IF('1. Live'!AD415='check-Jul25'!AD415,"",'1. Live'!AD415-'check-Jul25'!AD415)</f>
        <v/>
      </c>
      <c r="AE415" t="str">
        <f>IF('1. Live'!AE415='check-Jul25'!AE415,"",'1. Live'!AE415-'check-Jul25'!AE415)</f>
        <v/>
      </c>
      <c r="AF415" t="str">
        <f>IF('1. Live'!AF415='check-Jul25'!AF415,"",'1. Live'!AF415-'check-Jul25'!AF415)</f>
        <v/>
      </c>
      <c r="AG415" t="str">
        <f>IF('1. Live'!AG415='check-Jul25'!AG415,"",'1. Live'!AG415-'check-Jul25'!AG415)</f>
        <v/>
      </c>
      <c r="AH415" t="str">
        <f>IF('1. Live'!AH415='check-Jul25'!AH415,"",'1. Live'!AH415-'check-Jul25'!AH415)</f>
        <v/>
      </c>
      <c r="AI415" t="str">
        <f>IF('1. Live'!AI415='check-Jul25'!AI415,"",'1. Live'!AI415-'check-Jul25'!AI415)</f>
        <v/>
      </c>
      <c r="AJ415" t="str">
        <f>IF('1. Live'!AJ415='check-Jul25'!AJ415,"",'1. Live'!AJ415-'check-Jul25'!AJ415)</f>
        <v/>
      </c>
      <c r="AK415" t="str">
        <f>IF('1. Live'!AK415='check-Jul25'!AK415,"",'1. Live'!AK415-'check-Jul25'!AK415)</f>
        <v/>
      </c>
      <c r="AL415" t="str">
        <f>IF('1. Live'!AL415='check-Jul25'!AL415,"",'1. Live'!AL415-'check-Jul25'!AL415)</f>
        <v/>
      </c>
      <c r="AM415" t="str">
        <f>IF('1. Live'!AM415='check-Jul25'!AM415,"",'1. Live'!AM415-'check-Jul25'!AM415)</f>
        <v/>
      </c>
      <c r="AN415" t="str">
        <f>IF('1. Live'!AN415='check-Jul25'!AN415,"",'1. Live'!AN415-'check-Jul25'!AN415)</f>
        <v/>
      </c>
      <c r="AO415" t="str">
        <f>IF('1. Live'!AO415='check-Jul25'!AO415,"",'1. Live'!AO415-'check-Jul25'!AO415)</f>
        <v/>
      </c>
      <c r="AP415" t="str">
        <f>IF('1. Live'!AP415='check-Jul25'!AP415,"",'1. Live'!AP415-'check-Jul25'!AP415)</f>
        <v/>
      </c>
      <c r="AQ415" t="str">
        <f>IF('1. Live'!AQ415='check-Jul25'!AQ415,"",'1. Live'!AQ415-'check-Jul25'!AQ415)</f>
        <v/>
      </c>
      <c r="AR415" t="str">
        <f>IF('1. Live'!AR415='check-Jul25'!AR415,"",'1. Live'!AR415-'check-Jul25'!AR415)</f>
        <v/>
      </c>
      <c r="AS415" t="str">
        <f>IF('1. Live'!AS415='check-Jul25'!AS415,"",'1. Live'!AS415-'check-Jul25'!AS415)</f>
        <v/>
      </c>
      <c r="AT415" t="str">
        <f>IF('1. Live'!AT415='check-Jul25'!AT415,"",'1. Live'!AT415-'check-Jul25'!AT415)</f>
        <v/>
      </c>
      <c r="AU415" t="str">
        <f>IF('1. Live'!AU415='check-Jul25'!AU415,"",'1. Live'!AU415-'check-Jul25'!AU415)</f>
        <v/>
      </c>
      <c r="AV415" t="str">
        <f>IF('1. Live'!AV415='check-Jul25'!AV415,"",'1. Live'!AV415-'check-Jul25'!AV415)</f>
        <v/>
      </c>
      <c r="AW415" t="str">
        <f>IF('1. Live'!AW415='check-Jul25'!AW415,"",'1. Live'!AW415-'check-Jul25'!AW415)</f>
        <v/>
      </c>
      <c r="AX415" t="str">
        <f>IF('1. Live'!AX415='check-Jul25'!AX415,"",'1. Live'!AX415-'check-Jul25'!AX415)</f>
        <v/>
      </c>
      <c r="AY415" t="str">
        <f>IF('1. Live'!AY415='check-Jul25'!AY415,"",'1. Live'!AY415-'check-Jul25'!AY415)</f>
        <v/>
      </c>
      <c r="AZ415" t="str">
        <f>IF('1. Live'!AZ415='check-Jul25'!AZ415,"",'1. Live'!AZ415-'check-Jul25'!AZ415)</f>
        <v/>
      </c>
      <c r="BA415" t="str">
        <f>IF('1. Live'!BA415='check-Jul25'!BA415,"",'1. Live'!BA415-'check-Jul25'!BA415)</f>
        <v/>
      </c>
      <c r="BB415" t="str">
        <f>IF('1. Live'!BB415='check-Jul25'!BB415,"",'1. Live'!BB415-'check-Jul25'!BB415)</f>
        <v/>
      </c>
      <c r="BC415" t="str">
        <f>IF('1. Live'!BC415='check-Jul25'!BC415,"",'1. Live'!BC415-'check-Jul25'!BC415)</f>
        <v/>
      </c>
      <c r="BD415" t="str">
        <f>IF('1. Live'!BD415='check-Jul25'!BD415,"",'1. Live'!BD415-'check-Jul25'!BD415)</f>
        <v/>
      </c>
      <c r="BE415" t="str">
        <f>IF('1. Live'!BE415='check-Jul25'!BE415,"",'1. Live'!BE415-'check-Jul25'!BE415)</f>
        <v/>
      </c>
      <c r="BF415" t="str">
        <f>IF('1. Live'!BF415='check-Jul25'!BF415,"",'1. Live'!BF415-'check-Jul25'!BF415)</f>
        <v/>
      </c>
      <c r="BG415" t="str">
        <f>IF('1. Live'!BG415='check-Jul25'!BG415,"",'1. Live'!BG415-'check-Jul25'!BG415)</f>
        <v/>
      </c>
      <c r="BH415" t="str">
        <f>IF('1. Live'!BH415='check-Jul25'!BH415,"",'1. Live'!BH415-'check-Jul25'!BH415)</f>
        <v/>
      </c>
      <c r="BI415" t="str">
        <f>IF('1. Live'!BI415='check-Jul25'!BI415,"",'1. Live'!BI415-'check-Jul25'!BI415)</f>
        <v/>
      </c>
      <c r="BJ415" t="str">
        <f>IF('1. Live'!BJ415='check-Jul25'!BJ415,"",'1. Live'!BJ415-'check-Jul25'!BJ415)</f>
        <v/>
      </c>
      <c r="BK415" t="str">
        <f>IF('1. Live'!BK415='check-Jul25'!BK415,"",'1. Live'!BK415-'check-Jul25'!BK415)</f>
        <v/>
      </c>
      <c r="BL415" t="str">
        <f>IF('1. Live'!BL415='check-Jul25'!BL415,"",'1. Live'!BL415-'check-Jul25'!BL415)</f>
        <v/>
      </c>
      <c r="BM415" t="str">
        <f>IF('1. Live'!BM415='check-Jul25'!BM415,"",'1. Live'!BM415-'check-Jul25'!BM415)</f>
        <v/>
      </c>
      <c r="BN415" t="str">
        <f>IF('1. Live'!BN415='check-Jul25'!BN415,"",'1. Live'!BN415-'check-Jul25'!BN415)</f>
        <v/>
      </c>
      <c r="BO415" t="str">
        <f>IF('1. Live'!BO415='check-Jul25'!BO415,"",'1. Live'!BO415-'check-Jul25'!BO415)</f>
        <v/>
      </c>
      <c r="BP415" t="str">
        <f>IF('1. Live'!BP415='check-Jul25'!BP415,"",'1. Live'!BP415-'check-Jul25'!BP415)</f>
        <v/>
      </c>
      <c r="BQ415" t="str">
        <f>IF('1. Live'!BQ415='check-Jul25'!BQ415,"",'1. Live'!BQ415-'check-Jul25'!BQ415)</f>
        <v/>
      </c>
      <c r="BR415" t="str">
        <f>IF('1. Live'!BR415='check-Jul25'!BR415,"",'1. Live'!BR415-'check-Jul25'!BR415)</f>
        <v/>
      </c>
      <c r="BS415" t="str">
        <f>IF('1. Live'!BS415='check-Jul25'!BS415,"",'1. Live'!BS415-'check-Jul25'!BS415)</f>
        <v/>
      </c>
      <c r="BT415" t="str">
        <f>IF('1. Live'!BT415='check-Jul25'!BT415,"",'1. Live'!BT415-'check-Jul25'!BT415)</f>
        <v/>
      </c>
      <c r="BU415" t="str">
        <f>IF('1. Live'!BU415='check-Jul25'!BU415,"",'1. Live'!BU415-'check-Jul25'!BU415)</f>
        <v/>
      </c>
      <c r="BV415" t="str">
        <f>IF('1. Live'!BV415='check-Jul25'!BV415,"",'1. Live'!BV415-'check-Jul25'!BV415)</f>
        <v/>
      </c>
      <c r="BW415" t="str">
        <f>IF('1. Live'!BW415='check-Jul25'!BW415,"",'1. Live'!BW415-'check-Jul25'!BW415)</f>
        <v/>
      </c>
      <c r="BX415" t="str">
        <f>IF('1. Live'!BX415='check-Jul25'!BX415,"",'1. Live'!BX415-'check-Jul25'!BX415)</f>
        <v/>
      </c>
      <c r="BY415" t="str">
        <f>IF('1. Live'!BY415='check-Jul25'!BY415,"",'1. Live'!BY415-'check-Jul25'!BY415)</f>
        <v/>
      </c>
      <c r="BZ415" t="str">
        <f>IF('1. Live'!BZ415='check-Jul25'!BZ415,"",'1. Live'!BZ415-'check-Jul25'!BZ415)</f>
        <v/>
      </c>
      <c r="CA415" t="str">
        <f>IF('1. Live'!CA415='check-Jul25'!CA415,"",'1. Live'!CA415-'check-Jul25'!CA415)</f>
        <v/>
      </c>
      <c r="CB415" t="str">
        <f>IF('1. Live'!CB415='check-Jul25'!CB415,"",'1. Live'!CB415-'check-Jul25'!CB415)</f>
        <v/>
      </c>
      <c r="CC415" t="str">
        <f>IF('1. Live'!CC415='check-Jul25'!CC415,"",'1. Live'!CC415-'check-Jul25'!CC415)</f>
        <v/>
      </c>
      <c r="CD415" t="str">
        <f>IF('1. Live'!CD415='check-Jul25'!CD415,"",'1. Live'!CD415-'check-Jul25'!CD415)</f>
        <v/>
      </c>
      <c r="CE415" t="str">
        <f>IF('1. Live'!CE415='check-Jul25'!CE415,"",'1. Live'!CE415-'check-Jul25'!CE415)</f>
        <v/>
      </c>
      <c r="CF415" t="str">
        <f>IF('1. Live'!CF415='check-Jul25'!CF415,"",'1. Live'!CF415-'check-Jul25'!CF415)</f>
        <v/>
      </c>
      <c r="CG415" t="str">
        <f>IF('1. Live'!CG415='check-Jul25'!CG415,"",'1. Live'!CG415-'check-Jul25'!CG415)</f>
        <v/>
      </c>
      <c r="CH415" t="str">
        <f>IF('1. Live'!CH415='check-Jul25'!CH415,"",'1. Live'!CH415-'check-Jul25'!CH415)</f>
        <v/>
      </c>
      <c r="CI415" t="str">
        <f>IF('1. Live'!CI415='check-Jul25'!CI415,"",'1. Live'!CI415-'check-Jul25'!CI415)</f>
        <v/>
      </c>
      <c r="CJ415" t="str">
        <f>IF('1. Live'!CJ415='check-Jul25'!CJ415,"",'1. Live'!CJ415-'check-Jul25'!CJ415)</f>
        <v/>
      </c>
      <c r="CK415" t="str">
        <f>IF('1. Live'!CK415='check-Jul25'!CK415,"",'1. Live'!CK415-'check-Jul25'!CK415)</f>
        <v/>
      </c>
      <c r="CL415" t="str">
        <f>IF('1. Live'!CL415='check-Jul25'!CL415,"",'1. Live'!CL415-'check-Jul25'!CL415)</f>
        <v/>
      </c>
      <c r="CM415" t="str">
        <f>IF('1. Live'!CM415='check-Jul25'!CM415,"",'1. Live'!CM415-'check-Jul25'!CM415)</f>
        <v/>
      </c>
      <c r="CN415" t="str">
        <f>IF('1. Live'!CN415='check-Jul25'!CN415,"",'1. Live'!CN415-'check-Jul25'!CN415)</f>
        <v/>
      </c>
      <c r="CO415" t="str">
        <f>IF('1. Live'!CO415='check-Jul25'!CO415,"",'1. Live'!CO415-'check-Jul25'!CO415)</f>
        <v/>
      </c>
      <c r="CP415" t="str">
        <f>IF('1. Live'!CP415='check-Jul25'!CP415,"",'1. Live'!CP415-'check-Jul25'!CP415)</f>
        <v/>
      </c>
      <c r="CQ415" t="str">
        <f>IF('1. Live'!CQ415='check-Jul25'!CQ415,"",'1. Live'!CQ415-'check-Jul25'!CQ415)</f>
        <v/>
      </c>
      <c r="CR415" t="str">
        <f>IF('1. Live'!CR415='check-Jul25'!CR415,"",'1. Live'!CR415-'check-Jul25'!CR415)</f>
        <v/>
      </c>
      <c r="CS415" t="str">
        <f>IF('1. Live'!CS415='check-Jul25'!CS415,"",'1. Live'!CS415-'check-Jul25'!CS415)</f>
        <v/>
      </c>
      <c r="CT415" t="str">
        <f>IF('1. Live'!CT415='check-Jul25'!CT415,"",'1. Live'!CT415-'check-Jul25'!CT415)</f>
        <v/>
      </c>
      <c r="CU415" t="str">
        <f>IF('1. Live'!CU415='check-Jul25'!CU415,"",'1. Live'!CU415-'check-Jul25'!CU415)</f>
        <v/>
      </c>
      <c r="CV415" t="str">
        <f>IF('1. Live'!CV415='check-Jul25'!CV415,"",'1. Live'!CV415-'check-Jul25'!CV415)</f>
        <v/>
      </c>
      <c r="CW415" t="str">
        <f>IF('1. Live'!CW415='check-Jul25'!CW415,"",'1. Live'!CW415-'check-Jul25'!CW415)</f>
        <v/>
      </c>
    </row>
    <row r="416" spans="10:101">
      <c r="J416" t="str">
        <f>IF('1. Live'!J416='check-Jul25'!J416,"",'1. Live'!J416-'check-Jul25'!J416)</f>
        <v/>
      </c>
      <c r="K416" t="str">
        <f>IF('1. Live'!K416='check-Jul25'!K416,"",'1. Live'!K416-'check-Jul25'!K416)</f>
        <v/>
      </c>
      <c r="L416" t="str">
        <f>IF('1. Live'!L416='check-Jul25'!L416,"",'1. Live'!L416-'check-Jul25'!L416)</f>
        <v/>
      </c>
      <c r="M416" t="str">
        <f>IF('1. Live'!M416='check-Jul25'!M416,"",'1. Live'!M416-'check-Jul25'!M416)</f>
        <v/>
      </c>
      <c r="N416" t="str">
        <f>IF('1. Live'!N416='check-Jul25'!N416,"",'1. Live'!N416-'check-Jul25'!N416)</f>
        <v/>
      </c>
      <c r="O416" t="str">
        <f>IF('1. Live'!O416='check-Jul25'!O416,"",'1. Live'!O416-'check-Jul25'!O416)</f>
        <v/>
      </c>
      <c r="P416" t="str">
        <f>IF('1. Live'!P416='check-Jul25'!P416,"",'1. Live'!P416-'check-Jul25'!P416)</f>
        <v/>
      </c>
      <c r="Q416" t="str">
        <f>IF('1. Live'!Q416='check-Jul25'!Q416,"",'1. Live'!Q416-'check-Jul25'!Q416)</f>
        <v/>
      </c>
      <c r="R416" t="str">
        <f>IF('1. Live'!R416='check-Jul25'!R416,"",'1. Live'!R416-'check-Jul25'!R416)</f>
        <v/>
      </c>
      <c r="S416" t="str">
        <f>IF('1. Live'!S416='check-Jul25'!S416,"",'1. Live'!S416-'check-Jul25'!S416)</f>
        <v/>
      </c>
      <c r="T416" t="str">
        <f>IF('1. Live'!T416='check-Jul25'!T416,"",'1. Live'!T416-'check-Jul25'!T416)</f>
        <v/>
      </c>
      <c r="U416" t="str">
        <f>IF('1. Live'!U416='check-Jul25'!U416,"",'1. Live'!U416-'check-Jul25'!U416)</f>
        <v/>
      </c>
      <c r="V416" t="str">
        <f>IF('1. Live'!V416='check-Jul25'!V416,"",'1. Live'!V416-'check-Jul25'!V416)</f>
        <v/>
      </c>
      <c r="W416" t="str">
        <f>IF('1. Live'!W416='check-Jul25'!W416,"",'1. Live'!W416-'check-Jul25'!W416)</f>
        <v/>
      </c>
      <c r="X416" t="str">
        <f>IF('1. Live'!X416='check-Jul25'!X416,"",'1. Live'!X416-'check-Jul25'!X416)</f>
        <v/>
      </c>
      <c r="Y416" t="str">
        <f>IF('1. Live'!Y416='check-Jul25'!Y416,"",'1. Live'!Y416-'check-Jul25'!Y416)</f>
        <v/>
      </c>
      <c r="Z416" t="str">
        <f>IF('1. Live'!Z416='check-Jul25'!Z416,"",'1. Live'!Z416-'check-Jul25'!Z416)</f>
        <v/>
      </c>
      <c r="AA416" t="str">
        <f>IF('1. Live'!AA416='check-Jul25'!AA416,"",'1. Live'!AA416-'check-Jul25'!AA416)</f>
        <v/>
      </c>
      <c r="AB416" t="str">
        <f>IF('1. Live'!AB416='check-Jul25'!AB416,"",'1. Live'!AB416-'check-Jul25'!AB416)</f>
        <v/>
      </c>
      <c r="AC416" t="str">
        <f>IF('1. Live'!AC416='check-Jul25'!AC416,"",'1. Live'!AC416-'check-Jul25'!AC416)</f>
        <v/>
      </c>
      <c r="AD416" t="str">
        <f>IF('1. Live'!AD416='check-Jul25'!AD416,"",'1. Live'!AD416-'check-Jul25'!AD416)</f>
        <v/>
      </c>
      <c r="AE416" t="str">
        <f>IF('1. Live'!AE416='check-Jul25'!AE416,"",'1. Live'!AE416-'check-Jul25'!AE416)</f>
        <v/>
      </c>
      <c r="AF416" t="str">
        <f>IF('1. Live'!AF416='check-Jul25'!AF416,"",'1. Live'!AF416-'check-Jul25'!AF416)</f>
        <v/>
      </c>
      <c r="AG416" t="str">
        <f>IF('1. Live'!AG416='check-Jul25'!AG416,"",'1. Live'!AG416-'check-Jul25'!AG416)</f>
        <v/>
      </c>
      <c r="AH416" t="str">
        <f>IF('1. Live'!AH416='check-Jul25'!AH416,"",'1. Live'!AH416-'check-Jul25'!AH416)</f>
        <v/>
      </c>
      <c r="AI416" t="str">
        <f>IF('1. Live'!AI416='check-Jul25'!AI416,"",'1. Live'!AI416-'check-Jul25'!AI416)</f>
        <v/>
      </c>
      <c r="AJ416" t="str">
        <f>IF('1. Live'!AJ416='check-Jul25'!AJ416,"",'1. Live'!AJ416-'check-Jul25'!AJ416)</f>
        <v/>
      </c>
      <c r="AK416" t="str">
        <f>IF('1. Live'!AK416='check-Jul25'!AK416,"",'1. Live'!AK416-'check-Jul25'!AK416)</f>
        <v/>
      </c>
      <c r="AL416" t="str">
        <f>IF('1. Live'!AL416='check-Jul25'!AL416,"",'1. Live'!AL416-'check-Jul25'!AL416)</f>
        <v/>
      </c>
      <c r="AM416" t="str">
        <f>IF('1. Live'!AM416='check-Jul25'!AM416,"",'1. Live'!AM416-'check-Jul25'!AM416)</f>
        <v/>
      </c>
      <c r="AN416" t="str">
        <f>IF('1. Live'!AN416='check-Jul25'!AN416,"",'1. Live'!AN416-'check-Jul25'!AN416)</f>
        <v/>
      </c>
      <c r="AO416" t="str">
        <f>IF('1. Live'!AO416='check-Jul25'!AO416,"",'1. Live'!AO416-'check-Jul25'!AO416)</f>
        <v/>
      </c>
      <c r="AP416" t="str">
        <f>IF('1. Live'!AP416='check-Jul25'!AP416,"",'1. Live'!AP416-'check-Jul25'!AP416)</f>
        <v/>
      </c>
      <c r="AQ416" t="str">
        <f>IF('1. Live'!AQ416='check-Jul25'!AQ416,"",'1. Live'!AQ416-'check-Jul25'!AQ416)</f>
        <v/>
      </c>
      <c r="AR416" t="str">
        <f>IF('1. Live'!AR416='check-Jul25'!AR416,"",'1. Live'!AR416-'check-Jul25'!AR416)</f>
        <v/>
      </c>
      <c r="AS416" t="str">
        <f>IF('1. Live'!AS416='check-Jul25'!AS416,"",'1. Live'!AS416-'check-Jul25'!AS416)</f>
        <v/>
      </c>
      <c r="AT416" t="str">
        <f>IF('1. Live'!AT416='check-Jul25'!AT416,"",'1. Live'!AT416-'check-Jul25'!AT416)</f>
        <v/>
      </c>
      <c r="AU416" t="str">
        <f>IF('1. Live'!AU416='check-Jul25'!AU416,"",'1. Live'!AU416-'check-Jul25'!AU416)</f>
        <v/>
      </c>
      <c r="AV416" t="str">
        <f>IF('1. Live'!AV416='check-Jul25'!AV416,"",'1. Live'!AV416-'check-Jul25'!AV416)</f>
        <v/>
      </c>
      <c r="AW416" t="str">
        <f>IF('1. Live'!AW416='check-Jul25'!AW416,"",'1. Live'!AW416-'check-Jul25'!AW416)</f>
        <v/>
      </c>
      <c r="AX416" t="str">
        <f>IF('1. Live'!AX416='check-Jul25'!AX416,"",'1. Live'!AX416-'check-Jul25'!AX416)</f>
        <v/>
      </c>
      <c r="AY416" t="str">
        <f>IF('1. Live'!AY416='check-Jul25'!AY416,"",'1. Live'!AY416-'check-Jul25'!AY416)</f>
        <v/>
      </c>
      <c r="AZ416" t="str">
        <f>IF('1. Live'!AZ416='check-Jul25'!AZ416,"",'1. Live'!AZ416-'check-Jul25'!AZ416)</f>
        <v/>
      </c>
      <c r="BA416" t="str">
        <f>IF('1. Live'!BA416='check-Jul25'!BA416,"",'1. Live'!BA416-'check-Jul25'!BA416)</f>
        <v/>
      </c>
      <c r="BB416" t="str">
        <f>IF('1. Live'!BB416='check-Jul25'!BB416,"",'1. Live'!BB416-'check-Jul25'!BB416)</f>
        <v/>
      </c>
      <c r="BC416" t="str">
        <f>IF('1. Live'!BC416='check-Jul25'!BC416,"",'1. Live'!BC416-'check-Jul25'!BC416)</f>
        <v/>
      </c>
      <c r="BD416" t="str">
        <f>IF('1. Live'!BD416='check-Jul25'!BD416,"",'1. Live'!BD416-'check-Jul25'!BD416)</f>
        <v/>
      </c>
      <c r="BE416" t="str">
        <f>IF('1. Live'!BE416='check-Jul25'!BE416,"",'1. Live'!BE416-'check-Jul25'!BE416)</f>
        <v/>
      </c>
      <c r="BF416" t="str">
        <f>IF('1. Live'!BF416='check-Jul25'!BF416,"",'1. Live'!BF416-'check-Jul25'!BF416)</f>
        <v/>
      </c>
      <c r="BG416" t="str">
        <f>IF('1. Live'!BG416='check-Jul25'!BG416,"",'1. Live'!BG416-'check-Jul25'!BG416)</f>
        <v/>
      </c>
      <c r="BH416" t="str">
        <f>IF('1. Live'!BH416='check-Jul25'!BH416,"",'1. Live'!BH416-'check-Jul25'!BH416)</f>
        <v/>
      </c>
      <c r="BI416" t="str">
        <f>IF('1. Live'!BI416='check-Jul25'!BI416,"",'1. Live'!BI416-'check-Jul25'!BI416)</f>
        <v/>
      </c>
      <c r="BJ416" t="str">
        <f>IF('1. Live'!BJ416='check-Jul25'!BJ416,"",'1. Live'!BJ416-'check-Jul25'!BJ416)</f>
        <v/>
      </c>
      <c r="BK416" t="str">
        <f>IF('1. Live'!BK416='check-Jul25'!BK416,"",'1. Live'!BK416-'check-Jul25'!BK416)</f>
        <v/>
      </c>
      <c r="BL416" t="str">
        <f>IF('1. Live'!BL416='check-Jul25'!BL416,"",'1. Live'!BL416-'check-Jul25'!BL416)</f>
        <v/>
      </c>
      <c r="BM416" t="str">
        <f>IF('1. Live'!BM416='check-Jul25'!BM416,"",'1. Live'!BM416-'check-Jul25'!BM416)</f>
        <v/>
      </c>
      <c r="BN416" t="str">
        <f>IF('1. Live'!BN416='check-Jul25'!BN416,"",'1. Live'!BN416-'check-Jul25'!BN416)</f>
        <v/>
      </c>
      <c r="BO416" t="str">
        <f>IF('1. Live'!BO416='check-Jul25'!BO416,"",'1. Live'!BO416-'check-Jul25'!BO416)</f>
        <v/>
      </c>
      <c r="BP416" t="str">
        <f>IF('1. Live'!BP416='check-Jul25'!BP416,"",'1. Live'!BP416-'check-Jul25'!BP416)</f>
        <v/>
      </c>
      <c r="BQ416" t="str">
        <f>IF('1. Live'!BQ416='check-Jul25'!BQ416,"",'1. Live'!BQ416-'check-Jul25'!BQ416)</f>
        <v/>
      </c>
      <c r="BR416" t="str">
        <f>IF('1. Live'!BR416='check-Jul25'!BR416,"",'1. Live'!BR416-'check-Jul25'!BR416)</f>
        <v/>
      </c>
      <c r="BS416" t="str">
        <f>IF('1. Live'!BS416='check-Jul25'!BS416,"",'1. Live'!BS416-'check-Jul25'!BS416)</f>
        <v/>
      </c>
      <c r="BT416" t="str">
        <f>IF('1. Live'!BT416='check-Jul25'!BT416,"",'1. Live'!BT416-'check-Jul25'!BT416)</f>
        <v/>
      </c>
      <c r="BU416" t="str">
        <f>IF('1. Live'!BU416='check-Jul25'!BU416,"",'1. Live'!BU416-'check-Jul25'!BU416)</f>
        <v/>
      </c>
      <c r="BV416" t="str">
        <f>IF('1. Live'!BV416='check-Jul25'!BV416,"",'1. Live'!BV416-'check-Jul25'!BV416)</f>
        <v/>
      </c>
      <c r="BW416" t="str">
        <f>IF('1. Live'!BW416='check-Jul25'!BW416,"",'1. Live'!BW416-'check-Jul25'!BW416)</f>
        <v/>
      </c>
      <c r="BX416" t="str">
        <f>IF('1. Live'!BX416='check-Jul25'!BX416,"",'1. Live'!BX416-'check-Jul25'!BX416)</f>
        <v/>
      </c>
      <c r="BY416" t="str">
        <f>IF('1. Live'!BY416='check-Jul25'!BY416,"",'1. Live'!BY416-'check-Jul25'!BY416)</f>
        <v/>
      </c>
      <c r="BZ416" t="str">
        <f>IF('1. Live'!BZ416='check-Jul25'!BZ416,"",'1. Live'!BZ416-'check-Jul25'!BZ416)</f>
        <v/>
      </c>
      <c r="CA416" t="str">
        <f>IF('1. Live'!CA416='check-Jul25'!CA416,"",'1. Live'!CA416-'check-Jul25'!CA416)</f>
        <v/>
      </c>
      <c r="CB416" t="str">
        <f>IF('1. Live'!CB416='check-Jul25'!CB416,"",'1. Live'!CB416-'check-Jul25'!CB416)</f>
        <v/>
      </c>
      <c r="CC416" t="str">
        <f>IF('1. Live'!CC416='check-Jul25'!CC416,"",'1. Live'!CC416-'check-Jul25'!CC416)</f>
        <v/>
      </c>
      <c r="CD416" t="str">
        <f>IF('1. Live'!CD416='check-Jul25'!CD416,"",'1. Live'!CD416-'check-Jul25'!CD416)</f>
        <v/>
      </c>
      <c r="CE416" t="str">
        <f>IF('1. Live'!CE416='check-Jul25'!CE416,"",'1. Live'!CE416-'check-Jul25'!CE416)</f>
        <v/>
      </c>
      <c r="CF416" t="str">
        <f>IF('1. Live'!CF416='check-Jul25'!CF416,"",'1. Live'!CF416-'check-Jul25'!CF416)</f>
        <v/>
      </c>
      <c r="CG416" t="str">
        <f>IF('1. Live'!CG416='check-Jul25'!CG416,"",'1. Live'!CG416-'check-Jul25'!CG416)</f>
        <v/>
      </c>
      <c r="CH416" t="str">
        <f>IF('1. Live'!CH416='check-Jul25'!CH416,"",'1. Live'!CH416-'check-Jul25'!CH416)</f>
        <v/>
      </c>
      <c r="CI416" t="str">
        <f>IF('1. Live'!CI416='check-Jul25'!CI416,"",'1. Live'!CI416-'check-Jul25'!CI416)</f>
        <v/>
      </c>
      <c r="CJ416" t="str">
        <f>IF('1. Live'!CJ416='check-Jul25'!CJ416,"",'1. Live'!CJ416-'check-Jul25'!CJ416)</f>
        <v/>
      </c>
      <c r="CK416" t="str">
        <f>IF('1. Live'!CK416='check-Jul25'!CK416,"",'1. Live'!CK416-'check-Jul25'!CK416)</f>
        <v/>
      </c>
      <c r="CL416" t="str">
        <f>IF('1. Live'!CL416='check-Jul25'!CL416,"",'1. Live'!CL416-'check-Jul25'!CL416)</f>
        <v/>
      </c>
      <c r="CM416" t="str">
        <f>IF('1. Live'!CM416='check-Jul25'!CM416,"",'1. Live'!CM416-'check-Jul25'!CM416)</f>
        <v/>
      </c>
      <c r="CN416" t="str">
        <f>IF('1. Live'!CN416='check-Jul25'!CN416,"",'1. Live'!CN416-'check-Jul25'!CN416)</f>
        <v/>
      </c>
      <c r="CO416" t="str">
        <f>IF('1. Live'!CO416='check-Jul25'!CO416,"",'1. Live'!CO416-'check-Jul25'!CO416)</f>
        <v/>
      </c>
      <c r="CP416" t="str">
        <f>IF('1. Live'!CP416='check-Jul25'!CP416,"",'1. Live'!CP416-'check-Jul25'!CP416)</f>
        <v/>
      </c>
      <c r="CQ416" t="str">
        <f>IF('1. Live'!CQ416='check-Jul25'!CQ416,"",'1. Live'!CQ416-'check-Jul25'!CQ416)</f>
        <v/>
      </c>
      <c r="CR416" t="str">
        <f>IF('1. Live'!CR416='check-Jul25'!CR416,"",'1. Live'!CR416-'check-Jul25'!CR416)</f>
        <v/>
      </c>
      <c r="CS416" t="str">
        <f>IF('1. Live'!CS416='check-Jul25'!CS416,"",'1. Live'!CS416-'check-Jul25'!CS416)</f>
        <v/>
      </c>
      <c r="CT416" t="str">
        <f>IF('1. Live'!CT416='check-Jul25'!CT416,"",'1. Live'!CT416-'check-Jul25'!CT416)</f>
        <v/>
      </c>
      <c r="CU416" t="str">
        <f>IF('1. Live'!CU416='check-Jul25'!CU416,"",'1. Live'!CU416-'check-Jul25'!CU416)</f>
        <v/>
      </c>
      <c r="CV416" t="str">
        <f>IF('1. Live'!CV416='check-Jul25'!CV416,"",'1. Live'!CV416-'check-Jul25'!CV416)</f>
        <v/>
      </c>
      <c r="CW416" t="str">
        <f>IF('1. Live'!CW416='check-Jul25'!CW416,"",'1. Live'!CW416-'check-Jul25'!CW416)</f>
        <v/>
      </c>
    </row>
    <row r="417" spans="10:101">
      <c r="J417" t="str">
        <f>IF('1. Live'!J417='check-Jul25'!J417,"",'1. Live'!J417-'check-Jul25'!J417)</f>
        <v/>
      </c>
      <c r="K417" t="str">
        <f>IF('1. Live'!K417='check-Jul25'!K417,"",'1. Live'!K417-'check-Jul25'!K417)</f>
        <v/>
      </c>
      <c r="L417" t="str">
        <f>IF('1. Live'!L417='check-Jul25'!L417,"",'1. Live'!L417-'check-Jul25'!L417)</f>
        <v/>
      </c>
      <c r="M417" t="str">
        <f>IF('1. Live'!M417='check-Jul25'!M417,"",'1. Live'!M417-'check-Jul25'!M417)</f>
        <v/>
      </c>
      <c r="N417" t="str">
        <f>IF('1. Live'!N417='check-Jul25'!N417,"",'1. Live'!N417-'check-Jul25'!N417)</f>
        <v/>
      </c>
      <c r="O417" t="str">
        <f>IF('1. Live'!O417='check-Jul25'!O417,"",'1. Live'!O417-'check-Jul25'!O417)</f>
        <v/>
      </c>
      <c r="P417" t="str">
        <f>IF('1. Live'!P417='check-Jul25'!P417,"",'1. Live'!P417-'check-Jul25'!P417)</f>
        <v/>
      </c>
      <c r="Q417" t="str">
        <f>IF('1. Live'!Q417='check-Jul25'!Q417,"",'1. Live'!Q417-'check-Jul25'!Q417)</f>
        <v/>
      </c>
      <c r="R417" t="str">
        <f>IF('1. Live'!R417='check-Jul25'!R417,"",'1. Live'!R417-'check-Jul25'!R417)</f>
        <v/>
      </c>
      <c r="S417" t="str">
        <f>IF('1. Live'!S417='check-Jul25'!S417,"",'1. Live'!S417-'check-Jul25'!S417)</f>
        <v/>
      </c>
      <c r="T417" t="str">
        <f>IF('1. Live'!T417='check-Jul25'!T417,"",'1. Live'!T417-'check-Jul25'!T417)</f>
        <v/>
      </c>
      <c r="U417" t="str">
        <f>IF('1. Live'!U417='check-Jul25'!U417,"",'1. Live'!U417-'check-Jul25'!U417)</f>
        <v/>
      </c>
      <c r="V417" t="str">
        <f>IF('1. Live'!V417='check-Jul25'!V417,"",'1. Live'!V417-'check-Jul25'!V417)</f>
        <v/>
      </c>
      <c r="W417" t="str">
        <f>IF('1. Live'!W417='check-Jul25'!W417,"",'1. Live'!W417-'check-Jul25'!W417)</f>
        <v/>
      </c>
      <c r="X417" t="str">
        <f>IF('1. Live'!X417='check-Jul25'!X417,"",'1. Live'!X417-'check-Jul25'!X417)</f>
        <v/>
      </c>
      <c r="Y417" t="str">
        <f>IF('1. Live'!Y417='check-Jul25'!Y417,"",'1. Live'!Y417-'check-Jul25'!Y417)</f>
        <v/>
      </c>
      <c r="Z417" t="str">
        <f>IF('1. Live'!Z417='check-Jul25'!Z417,"",'1. Live'!Z417-'check-Jul25'!Z417)</f>
        <v/>
      </c>
      <c r="AA417" t="str">
        <f>IF('1. Live'!AA417='check-Jul25'!AA417,"",'1. Live'!AA417-'check-Jul25'!AA417)</f>
        <v/>
      </c>
      <c r="AB417" t="str">
        <f>IF('1. Live'!AB417='check-Jul25'!AB417,"",'1. Live'!AB417-'check-Jul25'!AB417)</f>
        <v/>
      </c>
      <c r="AC417" t="str">
        <f>IF('1. Live'!AC417='check-Jul25'!AC417,"",'1. Live'!AC417-'check-Jul25'!AC417)</f>
        <v/>
      </c>
      <c r="AD417" t="str">
        <f>IF('1. Live'!AD417='check-Jul25'!AD417,"",'1. Live'!AD417-'check-Jul25'!AD417)</f>
        <v/>
      </c>
      <c r="AE417" t="str">
        <f>IF('1. Live'!AE417='check-Jul25'!AE417,"",'1. Live'!AE417-'check-Jul25'!AE417)</f>
        <v/>
      </c>
      <c r="AF417" t="str">
        <f>IF('1. Live'!AF417='check-Jul25'!AF417,"",'1. Live'!AF417-'check-Jul25'!AF417)</f>
        <v/>
      </c>
      <c r="AG417" t="str">
        <f>IF('1. Live'!AG417='check-Jul25'!AG417,"",'1. Live'!AG417-'check-Jul25'!AG417)</f>
        <v/>
      </c>
      <c r="AH417" t="str">
        <f>IF('1. Live'!AH417='check-Jul25'!AH417,"",'1. Live'!AH417-'check-Jul25'!AH417)</f>
        <v/>
      </c>
      <c r="AI417" t="str">
        <f>IF('1. Live'!AI417='check-Jul25'!AI417,"",'1. Live'!AI417-'check-Jul25'!AI417)</f>
        <v/>
      </c>
      <c r="AJ417" t="str">
        <f>IF('1. Live'!AJ417='check-Jul25'!AJ417,"",'1. Live'!AJ417-'check-Jul25'!AJ417)</f>
        <v/>
      </c>
      <c r="AK417" t="str">
        <f>IF('1. Live'!AK417='check-Jul25'!AK417,"",'1. Live'!AK417-'check-Jul25'!AK417)</f>
        <v/>
      </c>
      <c r="AL417" t="str">
        <f>IF('1. Live'!AL417='check-Jul25'!AL417,"",'1. Live'!AL417-'check-Jul25'!AL417)</f>
        <v/>
      </c>
      <c r="AM417" t="str">
        <f>IF('1. Live'!AM417='check-Jul25'!AM417,"",'1. Live'!AM417-'check-Jul25'!AM417)</f>
        <v/>
      </c>
      <c r="AN417" t="str">
        <f>IF('1. Live'!AN417='check-Jul25'!AN417,"",'1. Live'!AN417-'check-Jul25'!AN417)</f>
        <v/>
      </c>
      <c r="AO417" t="str">
        <f>IF('1. Live'!AO417='check-Jul25'!AO417,"",'1. Live'!AO417-'check-Jul25'!AO417)</f>
        <v/>
      </c>
      <c r="AP417" t="str">
        <f>IF('1. Live'!AP417='check-Jul25'!AP417,"",'1. Live'!AP417-'check-Jul25'!AP417)</f>
        <v/>
      </c>
      <c r="AQ417" t="str">
        <f>IF('1. Live'!AQ417='check-Jul25'!AQ417,"",'1. Live'!AQ417-'check-Jul25'!AQ417)</f>
        <v/>
      </c>
      <c r="AR417" t="str">
        <f>IF('1. Live'!AR417='check-Jul25'!AR417,"",'1. Live'!AR417-'check-Jul25'!AR417)</f>
        <v/>
      </c>
      <c r="AS417" t="str">
        <f>IF('1. Live'!AS417='check-Jul25'!AS417,"",'1. Live'!AS417-'check-Jul25'!AS417)</f>
        <v/>
      </c>
      <c r="AT417" t="str">
        <f>IF('1. Live'!AT417='check-Jul25'!AT417,"",'1. Live'!AT417-'check-Jul25'!AT417)</f>
        <v/>
      </c>
      <c r="AU417" t="str">
        <f>IF('1. Live'!AU417='check-Jul25'!AU417,"",'1. Live'!AU417-'check-Jul25'!AU417)</f>
        <v/>
      </c>
      <c r="AV417" t="str">
        <f>IF('1. Live'!AV417='check-Jul25'!AV417,"",'1. Live'!AV417-'check-Jul25'!AV417)</f>
        <v/>
      </c>
      <c r="AW417" t="str">
        <f>IF('1. Live'!AW417='check-Jul25'!AW417,"",'1. Live'!AW417-'check-Jul25'!AW417)</f>
        <v/>
      </c>
      <c r="AX417" t="str">
        <f>IF('1. Live'!AX417='check-Jul25'!AX417,"",'1. Live'!AX417-'check-Jul25'!AX417)</f>
        <v/>
      </c>
      <c r="AY417" t="str">
        <f>IF('1. Live'!AY417='check-Jul25'!AY417,"",'1. Live'!AY417-'check-Jul25'!AY417)</f>
        <v/>
      </c>
      <c r="AZ417" t="str">
        <f>IF('1. Live'!AZ417='check-Jul25'!AZ417,"",'1. Live'!AZ417-'check-Jul25'!AZ417)</f>
        <v/>
      </c>
      <c r="BA417" t="str">
        <f>IF('1. Live'!BA417='check-Jul25'!BA417,"",'1. Live'!BA417-'check-Jul25'!BA417)</f>
        <v/>
      </c>
      <c r="BB417" t="str">
        <f>IF('1. Live'!BB417='check-Jul25'!BB417,"",'1. Live'!BB417-'check-Jul25'!BB417)</f>
        <v/>
      </c>
      <c r="BC417" t="str">
        <f>IF('1. Live'!BC417='check-Jul25'!BC417,"",'1. Live'!BC417-'check-Jul25'!BC417)</f>
        <v/>
      </c>
      <c r="BD417" t="str">
        <f>IF('1. Live'!BD417='check-Jul25'!BD417,"",'1. Live'!BD417-'check-Jul25'!BD417)</f>
        <v/>
      </c>
      <c r="BE417" t="str">
        <f>IF('1. Live'!BE417='check-Jul25'!BE417,"",'1. Live'!BE417-'check-Jul25'!BE417)</f>
        <v/>
      </c>
      <c r="BF417" t="str">
        <f>IF('1. Live'!BF417='check-Jul25'!BF417,"",'1. Live'!BF417-'check-Jul25'!BF417)</f>
        <v/>
      </c>
      <c r="BG417" t="str">
        <f>IF('1. Live'!BG417='check-Jul25'!BG417,"",'1. Live'!BG417-'check-Jul25'!BG417)</f>
        <v/>
      </c>
      <c r="BH417" t="str">
        <f>IF('1. Live'!BH417='check-Jul25'!BH417,"",'1. Live'!BH417-'check-Jul25'!BH417)</f>
        <v/>
      </c>
      <c r="BI417" t="str">
        <f>IF('1. Live'!BI417='check-Jul25'!BI417,"",'1. Live'!BI417-'check-Jul25'!BI417)</f>
        <v/>
      </c>
      <c r="BJ417" t="str">
        <f>IF('1. Live'!BJ417='check-Jul25'!BJ417,"",'1. Live'!BJ417-'check-Jul25'!BJ417)</f>
        <v/>
      </c>
      <c r="BK417" t="str">
        <f>IF('1. Live'!BK417='check-Jul25'!BK417,"",'1. Live'!BK417-'check-Jul25'!BK417)</f>
        <v/>
      </c>
      <c r="BL417" t="str">
        <f>IF('1. Live'!BL417='check-Jul25'!BL417,"",'1. Live'!BL417-'check-Jul25'!BL417)</f>
        <v/>
      </c>
      <c r="BM417" t="str">
        <f>IF('1. Live'!BM417='check-Jul25'!BM417,"",'1. Live'!BM417-'check-Jul25'!BM417)</f>
        <v/>
      </c>
      <c r="BN417" t="str">
        <f>IF('1. Live'!BN417='check-Jul25'!BN417,"",'1. Live'!BN417-'check-Jul25'!BN417)</f>
        <v/>
      </c>
      <c r="BO417" t="str">
        <f>IF('1. Live'!BO417='check-Jul25'!BO417,"",'1. Live'!BO417-'check-Jul25'!BO417)</f>
        <v/>
      </c>
      <c r="BP417" t="str">
        <f>IF('1. Live'!BP417='check-Jul25'!BP417,"",'1. Live'!BP417-'check-Jul25'!BP417)</f>
        <v/>
      </c>
      <c r="BQ417" t="str">
        <f>IF('1. Live'!BQ417='check-Jul25'!BQ417,"",'1. Live'!BQ417-'check-Jul25'!BQ417)</f>
        <v/>
      </c>
      <c r="BR417" t="str">
        <f>IF('1. Live'!BR417='check-Jul25'!BR417,"",'1. Live'!BR417-'check-Jul25'!BR417)</f>
        <v/>
      </c>
      <c r="BS417" t="str">
        <f>IF('1. Live'!BS417='check-Jul25'!BS417,"",'1. Live'!BS417-'check-Jul25'!BS417)</f>
        <v/>
      </c>
      <c r="BT417" t="str">
        <f>IF('1. Live'!BT417='check-Jul25'!BT417,"",'1. Live'!BT417-'check-Jul25'!BT417)</f>
        <v/>
      </c>
      <c r="BU417" t="str">
        <f>IF('1. Live'!BU417='check-Jul25'!BU417,"",'1. Live'!BU417-'check-Jul25'!BU417)</f>
        <v/>
      </c>
      <c r="BV417" t="str">
        <f>IF('1. Live'!BV417='check-Jul25'!BV417,"",'1. Live'!BV417-'check-Jul25'!BV417)</f>
        <v/>
      </c>
      <c r="BW417" t="str">
        <f>IF('1. Live'!BW417='check-Jul25'!BW417,"",'1. Live'!BW417-'check-Jul25'!BW417)</f>
        <v/>
      </c>
      <c r="BX417" t="str">
        <f>IF('1. Live'!BX417='check-Jul25'!BX417,"",'1. Live'!BX417-'check-Jul25'!BX417)</f>
        <v/>
      </c>
      <c r="BY417" t="str">
        <f>IF('1. Live'!BY417='check-Jul25'!BY417,"",'1. Live'!BY417-'check-Jul25'!BY417)</f>
        <v/>
      </c>
      <c r="BZ417" t="str">
        <f>IF('1. Live'!BZ417='check-Jul25'!BZ417,"",'1. Live'!BZ417-'check-Jul25'!BZ417)</f>
        <v/>
      </c>
      <c r="CA417" t="str">
        <f>IF('1. Live'!CA417='check-Jul25'!CA417,"",'1. Live'!CA417-'check-Jul25'!CA417)</f>
        <v/>
      </c>
      <c r="CB417" t="str">
        <f>IF('1. Live'!CB417='check-Jul25'!CB417,"",'1. Live'!CB417-'check-Jul25'!CB417)</f>
        <v/>
      </c>
      <c r="CC417" t="str">
        <f>IF('1. Live'!CC417='check-Jul25'!CC417,"",'1. Live'!CC417-'check-Jul25'!CC417)</f>
        <v/>
      </c>
      <c r="CD417" t="str">
        <f>IF('1. Live'!CD417='check-Jul25'!CD417,"",'1. Live'!CD417-'check-Jul25'!CD417)</f>
        <v/>
      </c>
      <c r="CE417" t="str">
        <f>IF('1. Live'!CE417='check-Jul25'!CE417,"",'1. Live'!CE417-'check-Jul25'!CE417)</f>
        <v/>
      </c>
      <c r="CF417" t="str">
        <f>IF('1. Live'!CF417='check-Jul25'!CF417,"",'1. Live'!CF417-'check-Jul25'!CF417)</f>
        <v/>
      </c>
      <c r="CG417" t="str">
        <f>IF('1. Live'!CG417='check-Jul25'!CG417,"",'1. Live'!CG417-'check-Jul25'!CG417)</f>
        <v/>
      </c>
      <c r="CH417" t="str">
        <f>IF('1. Live'!CH417='check-Jul25'!CH417,"",'1. Live'!CH417-'check-Jul25'!CH417)</f>
        <v/>
      </c>
      <c r="CI417" t="str">
        <f>IF('1. Live'!CI417='check-Jul25'!CI417,"",'1. Live'!CI417-'check-Jul25'!CI417)</f>
        <v/>
      </c>
      <c r="CJ417" t="str">
        <f>IF('1. Live'!CJ417='check-Jul25'!CJ417,"",'1. Live'!CJ417-'check-Jul25'!CJ417)</f>
        <v/>
      </c>
      <c r="CK417" t="str">
        <f>IF('1. Live'!CK417='check-Jul25'!CK417,"",'1. Live'!CK417-'check-Jul25'!CK417)</f>
        <v/>
      </c>
      <c r="CL417" t="str">
        <f>IF('1. Live'!CL417='check-Jul25'!CL417,"",'1. Live'!CL417-'check-Jul25'!CL417)</f>
        <v/>
      </c>
      <c r="CM417" t="str">
        <f>IF('1. Live'!CM417='check-Jul25'!CM417,"",'1. Live'!CM417-'check-Jul25'!CM417)</f>
        <v/>
      </c>
      <c r="CN417" t="str">
        <f>IF('1. Live'!CN417='check-Jul25'!CN417,"",'1. Live'!CN417-'check-Jul25'!CN417)</f>
        <v/>
      </c>
      <c r="CO417" t="str">
        <f>IF('1. Live'!CO417='check-Jul25'!CO417,"",'1. Live'!CO417-'check-Jul25'!CO417)</f>
        <v/>
      </c>
      <c r="CP417" t="str">
        <f>IF('1. Live'!CP417='check-Jul25'!CP417,"",'1. Live'!CP417-'check-Jul25'!CP417)</f>
        <v/>
      </c>
      <c r="CQ417" t="str">
        <f>IF('1. Live'!CQ417='check-Jul25'!CQ417,"",'1. Live'!CQ417-'check-Jul25'!CQ417)</f>
        <v/>
      </c>
      <c r="CR417" t="str">
        <f>IF('1. Live'!CR417='check-Jul25'!CR417,"",'1. Live'!CR417-'check-Jul25'!CR417)</f>
        <v/>
      </c>
      <c r="CS417" t="str">
        <f>IF('1. Live'!CS417='check-Jul25'!CS417,"",'1. Live'!CS417-'check-Jul25'!CS417)</f>
        <v/>
      </c>
      <c r="CT417" t="str">
        <f>IF('1. Live'!CT417='check-Jul25'!CT417,"",'1. Live'!CT417-'check-Jul25'!CT417)</f>
        <v/>
      </c>
      <c r="CU417" t="str">
        <f>IF('1. Live'!CU417='check-Jul25'!CU417,"",'1. Live'!CU417-'check-Jul25'!CU417)</f>
        <v/>
      </c>
      <c r="CV417" t="str">
        <f>IF('1. Live'!CV417='check-Jul25'!CV417,"",'1. Live'!CV417-'check-Jul25'!CV417)</f>
        <v/>
      </c>
      <c r="CW417" t="str">
        <f>IF('1. Live'!CW417='check-Jul25'!CW417,"",'1. Live'!CW417-'check-Jul25'!CW417)</f>
        <v/>
      </c>
    </row>
    <row r="418" spans="10:101">
      <c r="J418" t="str">
        <f>IF('1. Live'!J418='check-Jul25'!J418,"",'1. Live'!J418-'check-Jul25'!J418)</f>
        <v/>
      </c>
      <c r="K418" t="str">
        <f>IF('1. Live'!K418='check-Jul25'!K418,"",'1. Live'!K418-'check-Jul25'!K418)</f>
        <v/>
      </c>
      <c r="L418" t="str">
        <f>IF('1. Live'!L418='check-Jul25'!L418,"",'1. Live'!L418-'check-Jul25'!L418)</f>
        <v/>
      </c>
      <c r="M418" t="str">
        <f>IF('1. Live'!M418='check-Jul25'!M418,"",'1. Live'!M418-'check-Jul25'!M418)</f>
        <v/>
      </c>
      <c r="N418" t="str">
        <f>IF('1. Live'!N418='check-Jul25'!N418,"",'1. Live'!N418-'check-Jul25'!N418)</f>
        <v/>
      </c>
      <c r="O418" t="str">
        <f>IF('1. Live'!O418='check-Jul25'!O418,"",'1. Live'!O418-'check-Jul25'!O418)</f>
        <v/>
      </c>
      <c r="P418" t="str">
        <f>IF('1. Live'!P418='check-Jul25'!P418,"",'1. Live'!P418-'check-Jul25'!P418)</f>
        <v/>
      </c>
      <c r="Q418" t="str">
        <f>IF('1. Live'!Q418='check-Jul25'!Q418,"",'1. Live'!Q418-'check-Jul25'!Q418)</f>
        <v/>
      </c>
      <c r="R418" t="str">
        <f>IF('1. Live'!R418='check-Jul25'!R418,"",'1. Live'!R418-'check-Jul25'!R418)</f>
        <v/>
      </c>
      <c r="S418" t="str">
        <f>IF('1. Live'!S418='check-Jul25'!S418,"",'1. Live'!S418-'check-Jul25'!S418)</f>
        <v/>
      </c>
      <c r="T418" t="str">
        <f>IF('1. Live'!T418='check-Jul25'!T418,"",'1. Live'!T418-'check-Jul25'!T418)</f>
        <v/>
      </c>
      <c r="U418" t="str">
        <f>IF('1. Live'!U418='check-Jul25'!U418,"",'1. Live'!U418-'check-Jul25'!U418)</f>
        <v/>
      </c>
      <c r="V418" t="str">
        <f>IF('1. Live'!V418='check-Jul25'!V418,"",'1. Live'!V418-'check-Jul25'!V418)</f>
        <v/>
      </c>
      <c r="W418" t="str">
        <f>IF('1. Live'!W418='check-Jul25'!W418,"",'1. Live'!W418-'check-Jul25'!W418)</f>
        <v/>
      </c>
      <c r="X418" t="str">
        <f>IF('1. Live'!X418='check-Jul25'!X418,"",'1. Live'!X418-'check-Jul25'!X418)</f>
        <v/>
      </c>
      <c r="Y418" t="str">
        <f>IF('1. Live'!Y418='check-Jul25'!Y418,"",'1. Live'!Y418-'check-Jul25'!Y418)</f>
        <v/>
      </c>
      <c r="Z418" t="str">
        <f>IF('1. Live'!Z418='check-Jul25'!Z418,"",'1. Live'!Z418-'check-Jul25'!Z418)</f>
        <v/>
      </c>
      <c r="AA418" t="str">
        <f>IF('1. Live'!AA418='check-Jul25'!AA418,"",'1. Live'!AA418-'check-Jul25'!AA418)</f>
        <v/>
      </c>
      <c r="AB418" t="str">
        <f>IF('1. Live'!AB418='check-Jul25'!AB418,"",'1. Live'!AB418-'check-Jul25'!AB418)</f>
        <v/>
      </c>
      <c r="AC418" t="str">
        <f>IF('1. Live'!AC418='check-Jul25'!AC418,"",'1. Live'!AC418-'check-Jul25'!AC418)</f>
        <v/>
      </c>
      <c r="AD418" t="str">
        <f>IF('1. Live'!AD418='check-Jul25'!AD418,"",'1. Live'!AD418-'check-Jul25'!AD418)</f>
        <v/>
      </c>
      <c r="AE418" t="str">
        <f>IF('1. Live'!AE418='check-Jul25'!AE418,"",'1. Live'!AE418-'check-Jul25'!AE418)</f>
        <v/>
      </c>
      <c r="AF418" t="str">
        <f>IF('1. Live'!AF418='check-Jul25'!AF418,"",'1. Live'!AF418-'check-Jul25'!AF418)</f>
        <v/>
      </c>
      <c r="AG418" t="str">
        <f>IF('1. Live'!AG418='check-Jul25'!AG418,"",'1. Live'!AG418-'check-Jul25'!AG418)</f>
        <v/>
      </c>
      <c r="AH418" t="str">
        <f>IF('1. Live'!AH418='check-Jul25'!AH418,"",'1. Live'!AH418-'check-Jul25'!AH418)</f>
        <v/>
      </c>
      <c r="AI418" t="str">
        <f>IF('1. Live'!AI418='check-Jul25'!AI418,"",'1. Live'!AI418-'check-Jul25'!AI418)</f>
        <v/>
      </c>
      <c r="AJ418" t="str">
        <f>IF('1. Live'!AJ418='check-Jul25'!AJ418,"",'1. Live'!AJ418-'check-Jul25'!AJ418)</f>
        <v/>
      </c>
      <c r="AK418" t="str">
        <f>IF('1. Live'!AK418='check-Jul25'!AK418,"",'1. Live'!AK418-'check-Jul25'!AK418)</f>
        <v/>
      </c>
      <c r="AL418" t="str">
        <f>IF('1. Live'!AL418='check-Jul25'!AL418,"",'1. Live'!AL418-'check-Jul25'!AL418)</f>
        <v/>
      </c>
      <c r="AM418" t="str">
        <f>IF('1. Live'!AM418='check-Jul25'!AM418,"",'1. Live'!AM418-'check-Jul25'!AM418)</f>
        <v/>
      </c>
      <c r="AN418" t="str">
        <f>IF('1. Live'!AN418='check-Jul25'!AN418,"",'1. Live'!AN418-'check-Jul25'!AN418)</f>
        <v/>
      </c>
      <c r="AO418" t="str">
        <f>IF('1. Live'!AO418='check-Jul25'!AO418,"",'1. Live'!AO418-'check-Jul25'!AO418)</f>
        <v/>
      </c>
      <c r="AP418" t="str">
        <f>IF('1. Live'!AP418='check-Jul25'!AP418,"",'1. Live'!AP418-'check-Jul25'!AP418)</f>
        <v/>
      </c>
      <c r="AQ418" t="str">
        <f>IF('1. Live'!AQ418='check-Jul25'!AQ418,"",'1. Live'!AQ418-'check-Jul25'!AQ418)</f>
        <v/>
      </c>
      <c r="AR418" t="str">
        <f>IF('1. Live'!AR418='check-Jul25'!AR418,"",'1. Live'!AR418-'check-Jul25'!AR418)</f>
        <v/>
      </c>
      <c r="AS418" t="str">
        <f>IF('1. Live'!AS418='check-Jul25'!AS418,"",'1. Live'!AS418-'check-Jul25'!AS418)</f>
        <v/>
      </c>
      <c r="AT418" t="str">
        <f>IF('1. Live'!AT418='check-Jul25'!AT418,"",'1. Live'!AT418-'check-Jul25'!AT418)</f>
        <v/>
      </c>
      <c r="AU418" t="str">
        <f>IF('1. Live'!AU418='check-Jul25'!AU418,"",'1. Live'!AU418-'check-Jul25'!AU418)</f>
        <v/>
      </c>
      <c r="AV418" t="str">
        <f>IF('1. Live'!AV418='check-Jul25'!AV418,"",'1. Live'!AV418-'check-Jul25'!AV418)</f>
        <v/>
      </c>
      <c r="AW418" t="str">
        <f>IF('1. Live'!AW418='check-Jul25'!AW418,"",'1. Live'!AW418-'check-Jul25'!AW418)</f>
        <v/>
      </c>
      <c r="AX418" t="str">
        <f>IF('1. Live'!AX418='check-Jul25'!AX418,"",'1. Live'!AX418-'check-Jul25'!AX418)</f>
        <v/>
      </c>
      <c r="AY418" t="str">
        <f>IF('1. Live'!AY418='check-Jul25'!AY418,"",'1. Live'!AY418-'check-Jul25'!AY418)</f>
        <v/>
      </c>
      <c r="AZ418" t="str">
        <f>IF('1. Live'!AZ418='check-Jul25'!AZ418,"",'1. Live'!AZ418-'check-Jul25'!AZ418)</f>
        <v/>
      </c>
      <c r="BA418" t="str">
        <f>IF('1. Live'!BA418='check-Jul25'!BA418,"",'1. Live'!BA418-'check-Jul25'!BA418)</f>
        <v/>
      </c>
      <c r="BB418" t="str">
        <f>IF('1. Live'!BB418='check-Jul25'!BB418,"",'1. Live'!BB418-'check-Jul25'!BB418)</f>
        <v/>
      </c>
      <c r="BC418" t="str">
        <f>IF('1. Live'!BC418='check-Jul25'!BC418,"",'1. Live'!BC418-'check-Jul25'!BC418)</f>
        <v/>
      </c>
      <c r="BD418" t="str">
        <f>IF('1. Live'!BD418='check-Jul25'!BD418,"",'1. Live'!BD418-'check-Jul25'!BD418)</f>
        <v/>
      </c>
      <c r="BE418" t="str">
        <f>IF('1. Live'!BE418='check-Jul25'!BE418,"",'1. Live'!BE418-'check-Jul25'!BE418)</f>
        <v/>
      </c>
      <c r="BF418" t="str">
        <f>IF('1. Live'!BF418='check-Jul25'!BF418,"",'1. Live'!BF418-'check-Jul25'!BF418)</f>
        <v/>
      </c>
      <c r="BG418" t="str">
        <f>IF('1. Live'!BG418='check-Jul25'!BG418,"",'1. Live'!BG418-'check-Jul25'!BG418)</f>
        <v/>
      </c>
      <c r="BH418" t="str">
        <f>IF('1. Live'!BH418='check-Jul25'!BH418,"",'1. Live'!BH418-'check-Jul25'!BH418)</f>
        <v/>
      </c>
      <c r="BI418" t="str">
        <f>IF('1. Live'!BI418='check-Jul25'!BI418,"",'1. Live'!BI418-'check-Jul25'!BI418)</f>
        <v/>
      </c>
      <c r="BJ418" t="str">
        <f>IF('1. Live'!BJ418='check-Jul25'!BJ418,"",'1. Live'!BJ418-'check-Jul25'!BJ418)</f>
        <v/>
      </c>
      <c r="BK418" t="str">
        <f>IF('1. Live'!BK418='check-Jul25'!BK418,"",'1. Live'!BK418-'check-Jul25'!BK418)</f>
        <v/>
      </c>
      <c r="BL418" t="str">
        <f>IF('1. Live'!BL418='check-Jul25'!BL418,"",'1. Live'!BL418-'check-Jul25'!BL418)</f>
        <v/>
      </c>
      <c r="BM418" t="str">
        <f>IF('1. Live'!BM418='check-Jul25'!BM418,"",'1. Live'!BM418-'check-Jul25'!BM418)</f>
        <v/>
      </c>
      <c r="BN418" t="str">
        <f>IF('1. Live'!BN418='check-Jul25'!BN418,"",'1. Live'!BN418-'check-Jul25'!BN418)</f>
        <v/>
      </c>
      <c r="BO418" t="str">
        <f>IF('1. Live'!BO418='check-Jul25'!BO418,"",'1. Live'!BO418-'check-Jul25'!BO418)</f>
        <v/>
      </c>
      <c r="BP418" t="str">
        <f>IF('1. Live'!BP418='check-Jul25'!BP418,"",'1. Live'!BP418-'check-Jul25'!BP418)</f>
        <v/>
      </c>
      <c r="BQ418" t="str">
        <f>IF('1. Live'!BQ418='check-Jul25'!BQ418,"",'1. Live'!BQ418-'check-Jul25'!BQ418)</f>
        <v/>
      </c>
      <c r="BR418" t="str">
        <f>IF('1. Live'!BR418='check-Jul25'!BR418,"",'1. Live'!BR418-'check-Jul25'!BR418)</f>
        <v/>
      </c>
      <c r="BS418" t="str">
        <f>IF('1. Live'!BS418='check-Jul25'!BS418,"",'1. Live'!BS418-'check-Jul25'!BS418)</f>
        <v/>
      </c>
      <c r="BT418" t="str">
        <f>IF('1. Live'!BT418='check-Jul25'!BT418,"",'1. Live'!BT418-'check-Jul25'!BT418)</f>
        <v/>
      </c>
      <c r="BU418" t="str">
        <f>IF('1. Live'!BU418='check-Jul25'!BU418,"",'1. Live'!BU418-'check-Jul25'!BU418)</f>
        <v/>
      </c>
      <c r="BV418" t="str">
        <f>IF('1. Live'!BV418='check-Jul25'!BV418,"",'1. Live'!BV418-'check-Jul25'!BV418)</f>
        <v/>
      </c>
      <c r="BW418" t="str">
        <f>IF('1. Live'!BW418='check-Jul25'!BW418,"",'1. Live'!BW418-'check-Jul25'!BW418)</f>
        <v/>
      </c>
      <c r="BX418" t="str">
        <f>IF('1. Live'!BX418='check-Jul25'!BX418,"",'1. Live'!BX418-'check-Jul25'!BX418)</f>
        <v/>
      </c>
      <c r="BY418" t="str">
        <f>IF('1. Live'!BY418='check-Jul25'!BY418,"",'1. Live'!BY418-'check-Jul25'!BY418)</f>
        <v/>
      </c>
      <c r="BZ418" t="str">
        <f>IF('1. Live'!BZ418='check-Jul25'!BZ418,"",'1. Live'!BZ418-'check-Jul25'!BZ418)</f>
        <v/>
      </c>
      <c r="CA418" t="str">
        <f>IF('1. Live'!CA418='check-Jul25'!CA418,"",'1. Live'!CA418-'check-Jul25'!CA418)</f>
        <v/>
      </c>
      <c r="CB418" t="str">
        <f>IF('1. Live'!CB418='check-Jul25'!CB418,"",'1. Live'!CB418-'check-Jul25'!CB418)</f>
        <v/>
      </c>
      <c r="CC418" t="str">
        <f>IF('1. Live'!CC418='check-Jul25'!CC418,"",'1. Live'!CC418-'check-Jul25'!CC418)</f>
        <v/>
      </c>
      <c r="CD418" t="str">
        <f>IF('1. Live'!CD418='check-Jul25'!CD418,"",'1. Live'!CD418-'check-Jul25'!CD418)</f>
        <v/>
      </c>
      <c r="CE418" t="str">
        <f>IF('1. Live'!CE418='check-Jul25'!CE418,"",'1. Live'!CE418-'check-Jul25'!CE418)</f>
        <v/>
      </c>
      <c r="CF418" t="str">
        <f>IF('1. Live'!CF418='check-Jul25'!CF418,"",'1. Live'!CF418-'check-Jul25'!CF418)</f>
        <v/>
      </c>
      <c r="CG418" t="str">
        <f>IF('1. Live'!CG418='check-Jul25'!CG418,"",'1. Live'!CG418-'check-Jul25'!CG418)</f>
        <v/>
      </c>
      <c r="CH418" t="str">
        <f>IF('1. Live'!CH418='check-Jul25'!CH418,"",'1. Live'!CH418-'check-Jul25'!CH418)</f>
        <v/>
      </c>
      <c r="CI418" t="str">
        <f>IF('1. Live'!CI418='check-Jul25'!CI418,"",'1. Live'!CI418-'check-Jul25'!CI418)</f>
        <v/>
      </c>
      <c r="CJ418" t="str">
        <f>IF('1. Live'!CJ418='check-Jul25'!CJ418,"",'1. Live'!CJ418-'check-Jul25'!CJ418)</f>
        <v/>
      </c>
      <c r="CK418" t="str">
        <f>IF('1. Live'!CK418='check-Jul25'!CK418,"",'1. Live'!CK418-'check-Jul25'!CK418)</f>
        <v/>
      </c>
      <c r="CL418" t="str">
        <f>IF('1. Live'!CL418='check-Jul25'!CL418,"",'1. Live'!CL418-'check-Jul25'!CL418)</f>
        <v/>
      </c>
      <c r="CM418" t="str">
        <f>IF('1. Live'!CM418='check-Jul25'!CM418,"",'1. Live'!CM418-'check-Jul25'!CM418)</f>
        <v/>
      </c>
      <c r="CN418" t="str">
        <f>IF('1. Live'!CN418='check-Jul25'!CN418,"",'1. Live'!CN418-'check-Jul25'!CN418)</f>
        <v/>
      </c>
      <c r="CO418" t="str">
        <f>IF('1. Live'!CO418='check-Jul25'!CO418,"",'1. Live'!CO418-'check-Jul25'!CO418)</f>
        <v/>
      </c>
      <c r="CP418" t="str">
        <f>IF('1. Live'!CP418='check-Jul25'!CP418,"",'1. Live'!CP418-'check-Jul25'!CP418)</f>
        <v/>
      </c>
      <c r="CQ418" t="str">
        <f>IF('1. Live'!CQ418='check-Jul25'!CQ418,"",'1. Live'!CQ418-'check-Jul25'!CQ418)</f>
        <v/>
      </c>
      <c r="CR418" t="str">
        <f>IF('1. Live'!CR418='check-Jul25'!CR418,"",'1. Live'!CR418-'check-Jul25'!CR418)</f>
        <v/>
      </c>
      <c r="CS418" t="str">
        <f>IF('1. Live'!CS418='check-Jul25'!CS418,"",'1. Live'!CS418-'check-Jul25'!CS418)</f>
        <v/>
      </c>
      <c r="CT418" t="str">
        <f>IF('1. Live'!CT418='check-Jul25'!CT418,"",'1. Live'!CT418-'check-Jul25'!CT418)</f>
        <v/>
      </c>
      <c r="CU418" t="str">
        <f>IF('1. Live'!CU418='check-Jul25'!CU418,"",'1. Live'!CU418-'check-Jul25'!CU418)</f>
        <v/>
      </c>
      <c r="CV418" t="str">
        <f>IF('1. Live'!CV418='check-Jul25'!CV418,"",'1. Live'!CV418-'check-Jul25'!CV418)</f>
        <v/>
      </c>
      <c r="CW418" t="str">
        <f>IF('1. Live'!CW418='check-Jul25'!CW418,"",'1. Live'!CW418-'check-Jul25'!CW418)</f>
        <v/>
      </c>
    </row>
    <row r="419" spans="10:101">
      <c r="J419" t="str">
        <f>IF('1. Live'!J419='check-Jul25'!J419,"",'1. Live'!J419-'check-Jul25'!J419)</f>
        <v/>
      </c>
      <c r="K419" t="str">
        <f>IF('1. Live'!K419='check-Jul25'!K419,"",'1. Live'!K419-'check-Jul25'!K419)</f>
        <v/>
      </c>
      <c r="L419" t="str">
        <f>IF('1. Live'!L419='check-Jul25'!L419,"",'1. Live'!L419-'check-Jul25'!L419)</f>
        <v/>
      </c>
      <c r="M419" t="str">
        <f>IF('1. Live'!M419='check-Jul25'!M419,"",'1. Live'!M419-'check-Jul25'!M419)</f>
        <v/>
      </c>
      <c r="N419" t="str">
        <f>IF('1. Live'!N419='check-Jul25'!N419,"",'1. Live'!N419-'check-Jul25'!N419)</f>
        <v/>
      </c>
      <c r="O419" t="str">
        <f>IF('1. Live'!O419='check-Jul25'!O419,"",'1. Live'!O419-'check-Jul25'!O419)</f>
        <v/>
      </c>
      <c r="P419" t="str">
        <f>IF('1. Live'!P419='check-Jul25'!P419,"",'1. Live'!P419-'check-Jul25'!P419)</f>
        <v/>
      </c>
      <c r="Q419" t="str">
        <f>IF('1. Live'!Q419='check-Jul25'!Q419,"",'1. Live'!Q419-'check-Jul25'!Q419)</f>
        <v/>
      </c>
      <c r="R419" t="str">
        <f>IF('1. Live'!R419='check-Jul25'!R419,"",'1. Live'!R419-'check-Jul25'!R419)</f>
        <v/>
      </c>
      <c r="S419" t="str">
        <f>IF('1. Live'!S419='check-Jul25'!S419,"",'1. Live'!S419-'check-Jul25'!S419)</f>
        <v/>
      </c>
      <c r="T419" t="str">
        <f>IF('1. Live'!T419='check-Jul25'!T419,"",'1. Live'!T419-'check-Jul25'!T419)</f>
        <v/>
      </c>
      <c r="U419" t="str">
        <f>IF('1. Live'!U419='check-Jul25'!U419,"",'1. Live'!U419-'check-Jul25'!U419)</f>
        <v/>
      </c>
      <c r="V419" t="str">
        <f>IF('1. Live'!V419='check-Jul25'!V419,"",'1. Live'!V419-'check-Jul25'!V419)</f>
        <v/>
      </c>
      <c r="W419" t="str">
        <f>IF('1. Live'!W419='check-Jul25'!W419,"",'1. Live'!W419-'check-Jul25'!W419)</f>
        <v/>
      </c>
      <c r="X419" t="str">
        <f>IF('1. Live'!X419='check-Jul25'!X419,"",'1. Live'!X419-'check-Jul25'!X419)</f>
        <v/>
      </c>
      <c r="Y419" t="str">
        <f>IF('1. Live'!Y419='check-Jul25'!Y419,"",'1. Live'!Y419-'check-Jul25'!Y419)</f>
        <v/>
      </c>
      <c r="Z419" t="str">
        <f>IF('1. Live'!Z419='check-Jul25'!Z419,"",'1. Live'!Z419-'check-Jul25'!Z419)</f>
        <v/>
      </c>
      <c r="AA419" t="str">
        <f>IF('1. Live'!AA419='check-Jul25'!AA419,"",'1. Live'!AA419-'check-Jul25'!AA419)</f>
        <v/>
      </c>
      <c r="AB419" t="str">
        <f>IF('1. Live'!AB419='check-Jul25'!AB419,"",'1. Live'!AB419-'check-Jul25'!AB419)</f>
        <v/>
      </c>
      <c r="AC419" t="str">
        <f>IF('1. Live'!AC419='check-Jul25'!AC419,"",'1. Live'!AC419-'check-Jul25'!AC419)</f>
        <v/>
      </c>
      <c r="AD419" t="str">
        <f>IF('1. Live'!AD419='check-Jul25'!AD419,"",'1. Live'!AD419-'check-Jul25'!AD419)</f>
        <v/>
      </c>
      <c r="AE419" t="str">
        <f>IF('1. Live'!AE419='check-Jul25'!AE419,"",'1. Live'!AE419-'check-Jul25'!AE419)</f>
        <v/>
      </c>
      <c r="AF419" t="str">
        <f>IF('1. Live'!AF419='check-Jul25'!AF419,"",'1. Live'!AF419-'check-Jul25'!AF419)</f>
        <v/>
      </c>
      <c r="AG419" t="str">
        <f>IF('1. Live'!AG419='check-Jul25'!AG419,"",'1. Live'!AG419-'check-Jul25'!AG419)</f>
        <v/>
      </c>
      <c r="AH419" t="str">
        <f>IF('1. Live'!AH419='check-Jul25'!AH419,"",'1. Live'!AH419-'check-Jul25'!AH419)</f>
        <v/>
      </c>
      <c r="AI419" t="str">
        <f>IF('1. Live'!AI419='check-Jul25'!AI419,"",'1. Live'!AI419-'check-Jul25'!AI419)</f>
        <v/>
      </c>
      <c r="AJ419" t="str">
        <f>IF('1. Live'!AJ419='check-Jul25'!AJ419,"",'1. Live'!AJ419-'check-Jul25'!AJ419)</f>
        <v/>
      </c>
      <c r="AK419" t="str">
        <f>IF('1. Live'!AK419='check-Jul25'!AK419,"",'1. Live'!AK419-'check-Jul25'!AK419)</f>
        <v/>
      </c>
      <c r="AL419" t="str">
        <f>IF('1. Live'!AL419='check-Jul25'!AL419,"",'1. Live'!AL419-'check-Jul25'!AL419)</f>
        <v/>
      </c>
      <c r="AM419" t="str">
        <f>IF('1. Live'!AM419='check-Jul25'!AM419,"",'1. Live'!AM419-'check-Jul25'!AM419)</f>
        <v/>
      </c>
      <c r="AN419" t="str">
        <f>IF('1. Live'!AN419='check-Jul25'!AN419,"",'1. Live'!AN419-'check-Jul25'!AN419)</f>
        <v/>
      </c>
      <c r="AO419" t="str">
        <f>IF('1. Live'!AO419='check-Jul25'!AO419,"",'1. Live'!AO419-'check-Jul25'!AO419)</f>
        <v/>
      </c>
      <c r="AP419" t="str">
        <f>IF('1. Live'!AP419='check-Jul25'!AP419,"",'1. Live'!AP419-'check-Jul25'!AP419)</f>
        <v/>
      </c>
      <c r="AQ419" t="str">
        <f>IF('1. Live'!AQ419='check-Jul25'!AQ419,"",'1. Live'!AQ419-'check-Jul25'!AQ419)</f>
        <v/>
      </c>
      <c r="AR419" t="str">
        <f>IF('1. Live'!AR419='check-Jul25'!AR419,"",'1. Live'!AR419-'check-Jul25'!AR419)</f>
        <v/>
      </c>
      <c r="AS419" t="str">
        <f>IF('1. Live'!AS419='check-Jul25'!AS419,"",'1. Live'!AS419-'check-Jul25'!AS419)</f>
        <v/>
      </c>
      <c r="AT419" t="str">
        <f>IF('1. Live'!AT419='check-Jul25'!AT419,"",'1. Live'!AT419-'check-Jul25'!AT419)</f>
        <v/>
      </c>
      <c r="AU419" t="str">
        <f>IF('1. Live'!AU419='check-Jul25'!AU419,"",'1. Live'!AU419-'check-Jul25'!AU419)</f>
        <v/>
      </c>
      <c r="AV419" t="str">
        <f>IF('1. Live'!AV419='check-Jul25'!AV419,"",'1. Live'!AV419-'check-Jul25'!AV419)</f>
        <v/>
      </c>
      <c r="AW419" t="str">
        <f>IF('1. Live'!AW419='check-Jul25'!AW419,"",'1. Live'!AW419-'check-Jul25'!AW419)</f>
        <v/>
      </c>
      <c r="AX419" t="str">
        <f>IF('1. Live'!AX419='check-Jul25'!AX419,"",'1. Live'!AX419-'check-Jul25'!AX419)</f>
        <v/>
      </c>
      <c r="AY419" t="str">
        <f>IF('1. Live'!AY419='check-Jul25'!AY419,"",'1. Live'!AY419-'check-Jul25'!AY419)</f>
        <v/>
      </c>
      <c r="AZ419" t="str">
        <f>IF('1. Live'!AZ419='check-Jul25'!AZ419,"",'1. Live'!AZ419-'check-Jul25'!AZ419)</f>
        <v/>
      </c>
      <c r="BA419" t="str">
        <f>IF('1. Live'!BA419='check-Jul25'!BA419,"",'1. Live'!BA419-'check-Jul25'!BA419)</f>
        <v/>
      </c>
      <c r="BB419" t="str">
        <f>IF('1. Live'!BB419='check-Jul25'!BB419,"",'1. Live'!BB419-'check-Jul25'!BB419)</f>
        <v/>
      </c>
      <c r="BC419" t="str">
        <f>IF('1. Live'!BC419='check-Jul25'!BC419,"",'1. Live'!BC419-'check-Jul25'!BC419)</f>
        <v/>
      </c>
      <c r="BD419" t="str">
        <f>IF('1. Live'!BD419='check-Jul25'!BD419,"",'1. Live'!BD419-'check-Jul25'!BD419)</f>
        <v/>
      </c>
      <c r="BE419" t="str">
        <f>IF('1. Live'!BE419='check-Jul25'!BE419,"",'1. Live'!BE419-'check-Jul25'!BE419)</f>
        <v/>
      </c>
      <c r="BF419" t="str">
        <f>IF('1. Live'!BF419='check-Jul25'!BF419,"",'1. Live'!BF419-'check-Jul25'!BF419)</f>
        <v/>
      </c>
      <c r="BG419" t="str">
        <f>IF('1. Live'!BG419='check-Jul25'!BG419,"",'1. Live'!BG419-'check-Jul25'!BG419)</f>
        <v/>
      </c>
      <c r="BH419" t="str">
        <f>IF('1. Live'!BH419='check-Jul25'!BH419,"",'1. Live'!BH419-'check-Jul25'!BH419)</f>
        <v/>
      </c>
      <c r="BI419" t="str">
        <f>IF('1. Live'!BI419='check-Jul25'!BI419,"",'1. Live'!BI419-'check-Jul25'!BI419)</f>
        <v/>
      </c>
      <c r="BJ419" t="str">
        <f>IF('1. Live'!BJ419='check-Jul25'!BJ419,"",'1. Live'!BJ419-'check-Jul25'!BJ419)</f>
        <v/>
      </c>
      <c r="BK419" t="str">
        <f>IF('1. Live'!BK419='check-Jul25'!BK419,"",'1. Live'!BK419-'check-Jul25'!BK419)</f>
        <v/>
      </c>
      <c r="BL419" t="str">
        <f>IF('1. Live'!BL419='check-Jul25'!BL419,"",'1. Live'!BL419-'check-Jul25'!BL419)</f>
        <v/>
      </c>
      <c r="BM419" t="str">
        <f>IF('1. Live'!BM419='check-Jul25'!BM419,"",'1. Live'!BM419-'check-Jul25'!BM419)</f>
        <v/>
      </c>
      <c r="BN419" t="str">
        <f>IF('1. Live'!BN419='check-Jul25'!BN419,"",'1. Live'!BN419-'check-Jul25'!BN419)</f>
        <v/>
      </c>
      <c r="BO419" t="str">
        <f>IF('1. Live'!BO419='check-Jul25'!BO419,"",'1. Live'!BO419-'check-Jul25'!BO419)</f>
        <v/>
      </c>
      <c r="BP419" t="str">
        <f>IF('1. Live'!BP419='check-Jul25'!BP419,"",'1. Live'!BP419-'check-Jul25'!BP419)</f>
        <v/>
      </c>
      <c r="BQ419" t="str">
        <f>IF('1. Live'!BQ419='check-Jul25'!BQ419,"",'1. Live'!BQ419-'check-Jul25'!BQ419)</f>
        <v/>
      </c>
      <c r="BR419" t="str">
        <f>IF('1. Live'!BR419='check-Jul25'!BR419,"",'1. Live'!BR419-'check-Jul25'!BR419)</f>
        <v/>
      </c>
      <c r="BS419" t="str">
        <f>IF('1. Live'!BS419='check-Jul25'!BS419,"",'1. Live'!BS419-'check-Jul25'!BS419)</f>
        <v/>
      </c>
      <c r="BT419" t="str">
        <f>IF('1. Live'!BT419='check-Jul25'!BT419,"",'1. Live'!BT419-'check-Jul25'!BT419)</f>
        <v/>
      </c>
      <c r="BU419" t="str">
        <f>IF('1. Live'!BU419='check-Jul25'!BU419,"",'1. Live'!BU419-'check-Jul25'!BU419)</f>
        <v/>
      </c>
      <c r="BV419" t="str">
        <f>IF('1. Live'!BV419='check-Jul25'!BV419,"",'1. Live'!BV419-'check-Jul25'!BV419)</f>
        <v/>
      </c>
      <c r="BW419" t="str">
        <f>IF('1. Live'!BW419='check-Jul25'!BW419,"",'1. Live'!BW419-'check-Jul25'!BW419)</f>
        <v/>
      </c>
      <c r="BX419" t="str">
        <f>IF('1. Live'!BX419='check-Jul25'!BX419,"",'1. Live'!BX419-'check-Jul25'!BX419)</f>
        <v/>
      </c>
      <c r="BY419" t="str">
        <f>IF('1. Live'!BY419='check-Jul25'!BY419,"",'1. Live'!BY419-'check-Jul25'!BY419)</f>
        <v/>
      </c>
      <c r="BZ419" t="str">
        <f>IF('1. Live'!BZ419='check-Jul25'!BZ419,"",'1. Live'!BZ419-'check-Jul25'!BZ419)</f>
        <v/>
      </c>
      <c r="CA419" t="str">
        <f>IF('1. Live'!CA419='check-Jul25'!CA419,"",'1. Live'!CA419-'check-Jul25'!CA419)</f>
        <v/>
      </c>
      <c r="CB419" t="str">
        <f>IF('1. Live'!CB419='check-Jul25'!CB419,"",'1. Live'!CB419-'check-Jul25'!CB419)</f>
        <v/>
      </c>
      <c r="CC419" t="str">
        <f>IF('1. Live'!CC419='check-Jul25'!CC419,"",'1. Live'!CC419-'check-Jul25'!CC419)</f>
        <v/>
      </c>
      <c r="CD419" t="str">
        <f>IF('1. Live'!CD419='check-Jul25'!CD419,"",'1. Live'!CD419-'check-Jul25'!CD419)</f>
        <v/>
      </c>
      <c r="CE419" t="str">
        <f>IF('1. Live'!CE419='check-Jul25'!CE419,"",'1. Live'!CE419-'check-Jul25'!CE419)</f>
        <v/>
      </c>
      <c r="CF419" t="str">
        <f>IF('1. Live'!CF419='check-Jul25'!CF419,"",'1. Live'!CF419-'check-Jul25'!CF419)</f>
        <v/>
      </c>
      <c r="CG419" t="str">
        <f>IF('1. Live'!CG419='check-Jul25'!CG419,"",'1. Live'!CG419-'check-Jul25'!CG419)</f>
        <v/>
      </c>
      <c r="CH419" t="str">
        <f>IF('1. Live'!CH419='check-Jul25'!CH419,"",'1. Live'!CH419-'check-Jul25'!CH419)</f>
        <v/>
      </c>
      <c r="CI419" t="str">
        <f>IF('1. Live'!CI419='check-Jul25'!CI419,"",'1. Live'!CI419-'check-Jul25'!CI419)</f>
        <v/>
      </c>
      <c r="CJ419" t="str">
        <f>IF('1. Live'!CJ419='check-Jul25'!CJ419,"",'1. Live'!CJ419-'check-Jul25'!CJ419)</f>
        <v/>
      </c>
      <c r="CK419" t="str">
        <f>IF('1. Live'!CK419='check-Jul25'!CK419,"",'1. Live'!CK419-'check-Jul25'!CK419)</f>
        <v/>
      </c>
      <c r="CL419" t="str">
        <f>IF('1. Live'!CL419='check-Jul25'!CL419,"",'1. Live'!CL419-'check-Jul25'!CL419)</f>
        <v/>
      </c>
      <c r="CM419" t="str">
        <f>IF('1. Live'!CM419='check-Jul25'!CM419,"",'1. Live'!CM419-'check-Jul25'!CM419)</f>
        <v/>
      </c>
      <c r="CN419" t="str">
        <f>IF('1. Live'!CN419='check-Jul25'!CN419,"",'1. Live'!CN419-'check-Jul25'!CN419)</f>
        <v/>
      </c>
      <c r="CO419" t="str">
        <f>IF('1. Live'!CO419='check-Jul25'!CO419,"",'1. Live'!CO419-'check-Jul25'!CO419)</f>
        <v/>
      </c>
      <c r="CP419" t="str">
        <f>IF('1. Live'!CP419='check-Jul25'!CP419,"",'1. Live'!CP419-'check-Jul25'!CP419)</f>
        <v/>
      </c>
      <c r="CQ419" t="str">
        <f>IF('1. Live'!CQ419='check-Jul25'!CQ419,"",'1. Live'!CQ419-'check-Jul25'!CQ419)</f>
        <v/>
      </c>
      <c r="CR419" t="str">
        <f>IF('1. Live'!CR419='check-Jul25'!CR419,"",'1. Live'!CR419-'check-Jul25'!CR419)</f>
        <v/>
      </c>
      <c r="CS419" t="str">
        <f>IF('1. Live'!CS419='check-Jul25'!CS419,"",'1. Live'!CS419-'check-Jul25'!CS419)</f>
        <v/>
      </c>
      <c r="CT419" t="str">
        <f>IF('1. Live'!CT419='check-Jul25'!CT419,"",'1. Live'!CT419-'check-Jul25'!CT419)</f>
        <v/>
      </c>
      <c r="CU419" t="str">
        <f>IF('1. Live'!CU419='check-Jul25'!CU419,"",'1. Live'!CU419-'check-Jul25'!CU419)</f>
        <v/>
      </c>
      <c r="CV419" t="str">
        <f>IF('1. Live'!CV419='check-Jul25'!CV419,"",'1. Live'!CV419-'check-Jul25'!CV419)</f>
        <v/>
      </c>
      <c r="CW419" t="str">
        <f>IF('1. Live'!CW419='check-Jul25'!CW419,"",'1. Live'!CW419-'check-Jul25'!CW419)</f>
        <v/>
      </c>
    </row>
    <row r="420" spans="10:101">
      <c r="J420" t="str">
        <f>IF('1. Live'!J420='check-Jul25'!J420,"",'1. Live'!J420-'check-Jul25'!J420)</f>
        <v/>
      </c>
      <c r="K420" t="str">
        <f>IF('1. Live'!K420='check-Jul25'!K420,"",'1. Live'!K420-'check-Jul25'!K420)</f>
        <v/>
      </c>
      <c r="L420" t="str">
        <f>IF('1. Live'!L420='check-Jul25'!L420,"",'1. Live'!L420-'check-Jul25'!L420)</f>
        <v/>
      </c>
      <c r="M420" t="str">
        <f>IF('1. Live'!M420='check-Jul25'!M420,"",'1. Live'!M420-'check-Jul25'!M420)</f>
        <v/>
      </c>
      <c r="N420" t="str">
        <f>IF('1. Live'!N420='check-Jul25'!N420,"",'1. Live'!N420-'check-Jul25'!N420)</f>
        <v/>
      </c>
      <c r="O420" t="str">
        <f>IF('1. Live'!O420='check-Jul25'!O420,"",'1. Live'!O420-'check-Jul25'!O420)</f>
        <v/>
      </c>
      <c r="P420" t="str">
        <f>IF('1. Live'!P420='check-Jul25'!P420,"",'1. Live'!P420-'check-Jul25'!P420)</f>
        <v/>
      </c>
      <c r="Q420" t="str">
        <f>IF('1. Live'!Q420='check-Jul25'!Q420,"",'1. Live'!Q420-'check-Jul25'!Q420)</f>
        <v/>
      </c>
      <c r="R420" t="str">
        <f>IF('1. Live'!R420='check-Jul25'!R420,"",'1. Live'!R420-'check-Jul25'!R420)</f>
        <v/>
      </c>
      <c r="S420" t="str">
        <f>IF('1. Live'!S420='check-Jul25'!S420,"",'1. Live'!S420-'check-Jul25'!S420)</f>
        <v/>
      </c>
      <c r="T420" t="str">
        <f>IF('1. Live'!T420='check-Jul25'!T420,"",'1. Live'!T420-'check-Jul25'!T420)</f>
        <v/>
      </c>
      <c r="U420" t="str">
        <f>IF('1. Live'!U420='check-Jul25'!U420,"",'1. Live'!U420-'check-Jul25'!U420)</f>
        <v/>
      </c>
      <c r="V420" t="str">
        <f>IF('1. Live'!V420='check-Jul25'!V420,"",'1. Live'!V420-'check-Jul25'!V420)</f>
        <v/>
      </c>
      <c r="W420" t="str">
        <f>IF('1. Live'!W420='check-Jul25'!W420,"",'1. Live'!W420-'check-Jul25'!W420)</f>
        <v/>
      </c>
      <c r="X420" t="str">
        <f>IF('1. Live'!X420='check-Jul25'!X420,"",'1. Live'!X420-'check-Jul25'!X420)</f>
        <v/>
      </c>
      <c r="Y420" t="str">
        <f>IF('1. Live'!Y420='check-Jul25'!Y420,"",'1. Live'!Y420-'check-Jul25'!Y420)</f>
        <v/>
      </c>
      <c r="Z420" t="str">
        <f>IF('1. Live'!Z420='check-Jul25'!Z420,"",'1. Live'!Z420-'check-Jul25'!Z420)</f>
        <v/>
      </c>
      <c r="AA420" t="str">
        <f>IF('1. Live'!AA420='check-Jul25'!AA420,"",'1. Live'!AA420-'check-Jul25'!AA420)</f>
        <v/>
      </c>
      <c r="AB420" t="str">
        <f>IF('1. Live'!AB420='check-Jul25'!AB420,"",'1. Live'!AB420-'check-Jul25'!AB420)</f>
        <v/>
      </c>
      <c r="AC420" t="str">
        <f>IF('1. Live'!AC420='check-Jul25'!AC420,"",'1. Live'!AC420-'check-Jul25'!AC420)</f>
        <v/>
      </c>
      <c r="AD420" t="str">
        <f>IF('1. Live'!AD420='check-Jul25'!AD420,"",'1. Live'!AD420-'check-Jul25'!AD420)</f>
        <v/>
      </c>
      <c r="AE420" t="str">
        <f>IF('1. Live'!AE420='check-Jul25'!AE420,"",'1. Live'!AE420-'check-Jul25'!AE420)</f>
        <v/>
      </c>
      <c r="AF420" t="str">
        <f>IF('1. Live'!AF420='check-Jul25'!AF420,"",'1. Live'!AF420-'check-Jul25'!AF420)</f>
        <v/>
      </c>
      <c r="AG420" t="str">
        <f>IF('1. Live'!AG420='check-Jul25'!AG420,"",'1. Live'!AG420-'check-Jul25'!AG420)</f>
        <v/>
      </c>
      <c r="AH420" t="str">
        <f>IF('1. Live'!AH420='check-Jul25'!AH420,"",'1. Live'!AH420-'check-Jul25'!AH420)</f>
        <v/>
      </c>
      <c r="AI420" t="str">
        <f>IF('1. Live'!AI420='check-Jul25'!AI420,"",'1. Live'!AI420-'check-Jul25'!AI420)</f>
        <v/>
      </c>
      <c r="AJ420" t="str">
        <f>IF('1. Live'!AJ420='check-Jul25'!AJ420,"",'1. Live'!AJ420-'check-Jul25'!AJ420)</f>
        <v/>
      </c>
      <c r="AK420" t="str">
        <f>IF('1. Live'!AK420='check-Jul25'!AK420,"",'1. Live'!AK420-'check-Jul25'!AK420)</f>
        <v/>
      </c>
      <c r="AL420" t="str">
        <f>IF('1. Live'!AL420='check-Jul25'!AL420,"",'1. Live'!AL420-'check-Jul25'!AL420)</f>
        <v/>
      </c>
      <c r="AM420" t="str">
        <f>IF('1. Live'!AM420='check-Jul25'!AM420,"",'1. Live'!AM420-'check-Jul25'!AM420)</f>
        <v/>
      </c>
      <c r="AN420" t="str">
        <f>IF('1. Live'!AN420='check-Jul25'!AN420,"",'1. Live'!AN420-'check-Jul25'!AN420)</f>
        <v/>
      </c>
      <c r="AO420" t="str">
        <f>IF('1. Live'!AO420='check-Jul25'!AO420,"",'1. Live'!AO420-'check-Jul25'!AO420)</f>
        <v/>
      </c>
      <c r="AP420" t="str">
        <f>IF('1. Live'!AP420='check-Jul25'!AP420,"",'1. Live'!AP420-'check-Jul25'!AP420)</f>
        <v/>
      </c>
      <c r="AQ420" t="str">
        <f>IF('1. Live'!AQ420='check-Jul25'!AQ420,"",'1. Live'!AQ420-'check-Jul25'!AQ420)</f>
        <v/>
      </c>
      <c r="AR420" t="str">
        <f>IF('1. Live'!AR420='check-Jul25'!AR420,"",'1. Live'!AR420-'check-Jul25'!AR420)</f>
        <v/>
      </c>
      <c r="AS420" t="str">
        <f>IF('1. Live'!AS420='check-Jul25'!AS420,"",'1. Live'!AS420-'check-Jul25'!AS420)</f>
        <v/>
      </c>
      <c r="AT420" t="str">
        <f>IF('1. Live'!AT420='check-Jul25'!AT420,"",'1. Live'!AT420-'check-Jul25'!AT420)</f>
        <v/>
      </c>
      <c r="AU420" t="str">
        <f>IF('1. Live'!AU420='check-Jul25'!AU420,"",'1. Live'!AU420-'check-Jul25'!AU420)</f>
        <v/>
      </c>
      <c r="AV420" t="str">
        <f>IF('1. Live'!AV420='check-Jul25'!AV420,"",'1. Live'!AV420-'check-Jul25'!AV420)</f>
        <v/>
      </c>
      <c r="AW420" t="str">
        <f>IF('1. Live'!AW420='check-Jul25'!AW420,"",'1. Live'!AW420-'check-Jul25'!AW420)</f>
        <v/>
      </c>
      <c r="AX420" t="str">
        <f>IF('1. Live'!AX420='check-Jul25'!AX420,"",'1. Live'!AX420-'check-Jul25'!AX420)</f>
        <v/>
      </c>
      <c r="AY420" t="str">
        <f>IF('1. Live'!AY420='check-Jul25'!AY420,"",'1. Live'!AY420-'check-Jul25'!AY420)</f>
        <v/>
      </c>
      <c r="AZ420" t="str">
        <f>IF('1. Live'!AZ420='check-Jul25'!AZ420,"",'1. Live'!AZ420-'check-Jul25'!AZ420)</f>
        <v/>
      </c>
      <c r="BA420" t="str">
        <f>IF('1. Live'!BA420='check-Jul25'!BA420,"",'1. Live'!BA420-'check-Jul25'!BA420)</f>
        <v/>
      </c>
      <c r="BB420" t="str">
        <f>IF('1. Live'!BB420='check-Jul25'!BB420,"",'1. Live'!BB420-'check-Jul25'!BB420)</f>
        <v/>
      </c>
      <c r="BC420" t="str">
        <f>IF('1. Live'!BC420='check-Jul25'!BC420,"",'1. Live'!BC420-'check-Jul25'!BC420)</f>
        <v/>
      </c>
      <c r="BD420" t="str">
        <f>IF('1. Live'!BD420='check-Jul25'!BD420,"",'1. Live'!BD420-'check-Jul25'!BD420)</f>
        <v/>
      </c>
      <c r="BE420" t="str">
        <f>IF('1. Live'!BE420='check-Jul25'!BE420,"",'1. Live'!BE420-'check-Jul25'!BE420)</f>
        <v/>
      </c>
      <c r="BF420" t="str">
        <f>IF('1. Live'!BF420='check-Jul25'!BF420,"",'1. Live'!BF420-'check-Jul25'!BF420)</f>
        <v/>
      </c>
      <c r="BG420" t="str">
        <f>IF('1. Live'!BG420='check-Jul25'!BG420,"",'1. Live'!BG420-'check-Jul25'!BG420)</f>
        <v/>
      </c>
      <c r="BH420" t="str">
        <f>IF('1. Live'!BH420='check-Jul25'!BH420,"",'1. Live'!BH420-'check-Jul25'!BH420)</f>
        <v/>
      </c>
      <c r="BI420" t="str">
        <f>IF('1. Live'!BI420='check-Jul25'!BI420,"",'1. Live'!BI420-'check-Jul25'!BI420)</f>
        <v/>
      </c>
      <c r="BJ420" t="str">
        <f>IF('1. Live'!BJ420='check-Jul25'!BJ420,"",'1. Live'!BJ420-'check-Jul25'!BJ420)</f>
        <v/>
      </c>
      <c r="BK420" t="str">
        <f>IF('1. Live'!BK420='check-Jul25'!BK420,"",'1. Live'!BK420-'check-Jul25'!BK420)</f>
        <v/>
      </c>
      <c r="BL420" t="str">
        <f>IF('1. Live'!BL420='check-Jul25'!BL420,"",'1. Live'!BL420-'check-Jul25'!BL420)</f>
        <v/>
      </c>
      <c r="BM420" t="str">
        <f>IF('1. Live'!BM420='check-Jul25'!BM420,"",'1. Live'!BM420-'check-Jul25'!BM420)</f>
        <v/>
      </c>
      <c r="BN420" t="str">
        <f>IF('1. Live'!BN420='check-Jul25'!BN420,"",'1. Live'!BN420-'check-Jul25'!BN420)</f>
        <v/>
      </c>
      <c r="BO420" t="str">
        <f>IF('1. Live'!BO420='check-Jul25'!BO420,"",'1. Live'!BO420-'check-Jul25'!BO420)</f>
        <v/>
      </c>
      <c r="BP420" t="str">
        <f>IF('1. Live'!BP420='check-Jul25'!BP420,"",'1. Live'!BP420-'check-Jul25'!BP420)</f>
        <v/>
      </c>
      <c r="BQ420" t="str">
        <f>IF('1. Live'!BQ420='check-Jul25'!BQ420,"",'1. Live'!BQ420-'check-Jul25'!BQ420)</f>
        <v/>
      </c>
      <c r="BR420" t="str">
        <f>IF('1. Live'!BR420='check-Jul25'!BR420,"",'1. Live'!BR420-'check-Jul25'!BR420)</f>
        <v/>
      </c>
      <c r="BS420" t="str">
        <f>IF('1. Live'!BS420='check-Jul25'!BS420,"",'1. Live'!BS420-'check-Jul25'!BS420)</f>
        <v/>
      </c>
      <c r="BT420" t="str">
        <f>IF('1. Live'!BT420='check-Jul25'!BT420,"",'1. Live'!BT420-'check-Jul25'!BT420)</f>
        <v/>
      </c>
      <c r="BU420" t="str">
        <f>IF('1. Live'!BU420='check-Jul25'!BU420,"",'1. Live'!BU420-'check-Jul25'!BU420)</f>
        <v/>
      </c>
      <c r="BV420" t="str">
        <f>IF('1. Live'!BV420='check-Jul25'!BV420,"",'1. Live'!BV420-'check-Jul25'!BV420)</f>
        <v/>
      </c>
      <c r="BW420" t="str">
        <f>IF('1. Live'!BW420='check-Jul25'!BW420,"",'1. Live'!BW420-'check-Jul25'!BW420)</f>
        <v/>
      </c>
      <c r="BX420" t="str">
        <f>IF('1. Live'!BX420='check-Jul25'!BX420,"",'1. Live'!BX420-'check-Jul25'!BX420)</f>
        <v/>
      </c>
      <c r="BY420" t="str">
        <f>IF('1. Live'!BY420='check-Jul25'!BY420,"",'1. Live'!BY420-'check-Jul25'!BY420)</f>
        <v/>
      </c>
      <c r="BZ420" t="str">
        <f>IF('1. Live'!BZ420='check-Jul25'!BZ420,"",'1. Live'!BZ420-'check-Jul25'!BZ420)</f>
        <v/>
      </c>
      <c r="CA420" t="str">
        <f>IF('1. Live'!CA420='check-Jul25'!CA420,"",'1. Live'!CA420-'check-Jul25'!CA420)</f>
        <v/>
      </c>
      <c r="CB420" t="str">
        <f>IF('1. Live'!CB420='check-Jul25'!CB420,"",'1. Live'!CB420-'check-Jul25'!CB420)</f>
        <v/>
      </c>
      <c r="CC420" t="str">
        <f>IF('1. Live'!CC420='check-Jul25'!CC420,"",'1. Live'!CC420-'check-Jul25'!CC420)</f>
        <v/>
      </c>
      <c r="CD420" t="str">
        <f>IF('1. Live'!CD420='check-Jul25'!CD420,"",'1. Live'!CD420-'check-Jul25'!CD420)</f>
        <v/>
      </c>
      <c r="CE420" t="str">
        <f>IF('1. Live'!CE420='check-Jul25'!CE420,"",'1. Live'!CE420-'check-Jul25'!CE420)</f>
        <v/>
      </c>
      <c r="CF420" t="str">
        <f>IF('1. Live'!CF420='check-Jul25'!CF420,"",'1. Live'!CF420-'check-Jul25'!CF420)</f>
        <v/>
      </c>
      <c r="CG420" t="str">
        <f>IF('1. Live'!CG420='check-Jul25'!CG420,"",'1. Live'!CG420-'check-Jul25'!CG420)</f>
        <v/>
      </c>
      <c r="CH420" t="str">
        <f>IF('1. Live'!CH420='check-Jul25'!CH420,"",'1. Live'!CH420-'check-Jul25'!CH420)</f>
        <v/>
      </c>
      <c r="CI420" t="str">
        <f>IF('1. Live'!CI420='check-Jul25'!CI420,"",'1. Live'!CI420-'check-Jul25'!CI420)</f>
        <v/>
      </c>
      <c r="CJ420" t="str">
        <f>IF('1. Live'!CJ420='check-Jul25'!CJ420,"",'1. Live'!CJ420-'check-Jul25'!CJ420)</f>
        <v/>
      </c>
      <c r="CK420" t="str">
        <f>IF('1. Live'!CK420='check-Jul25'!CK420,"",'1. Live'!CK420-'check-Jul25'!CK420)</f>
        <v/>
      </c>
      <c r="CL420" t="str">
        <f>IF('1. Live'!CL420='check-Jul25'!CL420,"",'1. Live'!CL420-'check-Jul25'!CL420)</f>
        <v/>
      </c>
      <c r="CM420" t="str">
        <f>IF('1. Live'!CM420='check-Jul25'!CM420,"",'1. Live'!CM420-'check-Jul25'!CM420)</f>
        <v/>
      </c>
      <c r="CN420" t="str">
        <f>IF('1. Live'!CN420='check-Jul25'!CN420,"",'1. Live'!CN420-'check-Jul25'!CN420)</f>
        <v/>
      </c>
      <c r="CO420" t="str">
        <f>IF('1. Live'!CO420='check-Jul25'!CO420,"",'1. Live'!CO420-'check-Jul25'!CO420)</f>
        <v/>
      </c>
      <c r="CP420" t="str">
        <f>IF('1. Live'!CP420='check-Jul25'!CP420,"",'1. Live'!CP420-'check-Jul25'!CP420)</f>
        <v/>
      </c>
      <c r="CQ420" t="str">
        <f>IF('1. Live'!CQ420='check-Jul25'!CQ420,"",'1. Live'!CQ420-'check-Jul25'!CQ420)</f>
        <v/>
      </c>
      <c r="CR420" t="str">
        <f>IF('1. Live'!CR420='check-Jul25'!CR420,"",'1. Live'!CR420-'check-Jul25'!CR420)</f>
        <v/>
      </c>
      <c r="CS420" t="str">
        <f>IF('1. Live'!CS420='check-Jul25'!CS420,"",'1. Live'!CS420-'check-Jul25'!CS420)</f>
        <v/>
      </c>
      <c r="CT420" t="str">
        <f>IF('1. Live'!CT420='check-Jul25'!CT420,"",'1. Live'!CT420-'check-Jul25'!CT420)</f>
        <v/>
      </c>
      <c r="CU420" t="str">
        <f>IF('1. Live'!CU420='check-Jul25'!CU420,"",'1. Live'!CU420-'check-Jul25'!CU420)</f>
        <v/>
      </c>
      <c r="CV420" t="str">
        <f>IF('1. Live'!CV420='check-Jul25'!CV420,"",'1. Live'!CV420-'check-Jul25'!CV420)</f>
        <v/>
      </c>
      <c r="CW420" t="str">
        <f>IF('1. Live'!CW420='check-Jul25'!CW420,"",'1. Live'!CW420-'check-Jul25'!CW420)</f>
        <v/>
      </c>
    </row>
    <row r="421" spans="10:101">
      <c r="J421" t="str">
        <f>IF('1. Live'!J421='check-Jul25'!J421,"",'1. Live'!J421-'check-Jul25'!J421)</f>
        <v/>
      </c>
      <c r="K421" t="str">
        <f>IF('1. Live'!K421='check-Jul25'!K421,"",'1. Live'!K421-'check-Jul25'!K421)</f>
        <v/>
      </c>
      <c r="L421" t="str">
        <f>IF('1. Live'!L421='check-Jul25'!L421,"",'1. Live'!L421-'check-Jul25'!L421)</f>
        <v/>
      </c>
      <c r="M421" t="str">
        <f>IF('1. Live'!M421='check-Jul25'!M421,"",'1. Live'!M421-'check-Jul25'!M421)</f>
        <v/>
      </c>
      <c r="N421" t="str">
        <f>IF('1. Live'!N421='check-Jul25'!N421,"",'1. Live'!N421-'check-Jul25'!N421)</f>
        <v/>
      </c>
      <c r="O421" t="str">
        <f>IF('1. Live'!O421='check-Jul25'!O421,"",'1. Live'!O421-'check-Jul25'!O421)</f>
        <v/>
      </c>
      <c r="P421" t="str">
        <f>IF('1. Live'!P421='check-Jul25'!P421,"",'1. Live'!P421-'check-Jul25'!P421)</f>
        <v/>
      </c>
      <c r="Q421" t="str">
        <f>IF('1. Live'!Q421='check-Jul25'!Q421,"",'1. Live'!Q421-'check-Jul25'!Q421)</f>
        <v/>
      </c>
      <c r="R421" t="str">
        <f>IF('1. Live'!R421='check-Jul25'!R421,"",'1. Live'!R421-'check-Jul25'!R421)</f>
        <v/>
      </c>
      <c r="S421" t="str">
        <f>IF('1. Live'!S421='check-Jul25'!S421,"",'1. Live'!S421-'check-Jul25'!S421)</f>
        <v/>
      </c>
      <c r="T421" t="str">
        <f>IF('1. Live'!T421='check-Jul25'!T421,"",'1. Live'!T421-'check-Jul25'!T421)</f>
        <v/>
      </c>
      <c r="U421" t="str">
        <f>IF('1. Live'!U421='check-Jul25'!U421,"",'1. Live'!U421-'check-Jul25'!U421)</f>
        <v/>
      </c>
      <c r="V421" t="str">
        <f>IF('1. Live'!V421='check-Jul25'!V421,"",'1. Live'!V421-'check-Jul25'!V421)</f>
        <v/>
      </c>
      <c r="W421" t="str">
        <f>IF('1. Live'!W421='check-Jul25'!W421,"",'1. Live'!W421-'check-Jul25'!W421)</f>
        <v/>
      </c>
      <c r="X421" t="str">
        <f>IF('1. Live'!X421='check-Jul25'!X421,"",'1. Live'!X421-'check-Jul25'!X421)</f>
        <v/>
      </c>
      <c r="Y421" t="str">
        <f>IF('1. Live'!Y421='check-Jul25'!Y421,"",'1. Live'!Y421-'check-Jul25'!Y421)</f>
        <v/>
      </c>
      <c r="Z421" t="str">
        <f>IF('1. Live'!Z421='check-Jul25'!Z421,"",'1. Live'!Z421-'check-Jul25'!Z421)</f>
        <v/>
      </c>
      <c r="AA421" t="str">
        <f>IF('1. Live'!AA421='check-Jul25'!AA421,"",'1. Live'!AA421-'check-Jul25'!AA421)</f>
        <v/>
      </c>
      <c r="AB421" t="str">
        <f>IF('1. Live'!AB421='check-Jul25'!AB421,"",'1. Live'!AB421-'check-Jul25'!AB421)</f>
        <v/>
      </c>
      <c r="AC421" t="str">
        <f>IF('1. Live'!AC421='check-Jul25'!AC421,"",'1. Live'!AC421-'check-Jul25'!AC421)</f>
        <v/>
      </c>
      <c r="AD421" t="str">
        <f>IF('1. Live'!AD421='check-Jul25'!AD421,"",'1. Live'!AD421-'check-Jul25'!AD421)</f>
        <v/>
      </c>
      <c r="AE421" t="str">
        <f>IF('1. Live'!AE421='check-Jul25'!AE421,"",'1. Live'!AE421-'check-Jul25'!AE421)</f>
        <v/>
      </c>
      <c r="AF421" t="str">
        <f>IF('1. Live'!AF421='check-Jul25'!AF421,"",'1. Live'!AF421-'check-Jul25'!AF421)</f>
        <v/>
      </c>
      <c r="AG421" t="str">
        <f>IF('1. Live'!AG421='check-Jul25'!AG421,"",'1. Live'!AG421-'check-Jul25'!AG421)</f>
        <v/>
      </c>
      <c r="AH421" t="str">
        <f>IF('1. Live'!AH421='check-Jul25'!AH421,"",'1. Live'!AH421-'check-Jul25'!AH421)</f>
        <v/>
      </c>
      <c r="AI421" t="str">
        <f>IF('1. Live'!AI421='check-Jul25'!AI421,"",'1. Live'!AI421-'check-Jul25'!AI421)</f>
        <v/>
      </c>
      <c r="AJ421" t="str">
        <f>IF('1. Live'!AJ421='check-Jul25'!AJ421,"",'1. Live'!AJ421-'check-Jul25'!AJ421)</f>
        <v/>
      </c>
      <c r="AK421" t="str">
        <f>IF('1. Live'!AK421='check-Jul25'!AK421,"",'1. Live'!AK421-'check-Jul25'!AK421)</f>
        <v/>
      </c>
      <c r="AL421" t="str">
        <f>IF('1. Live'!AL421='check-Jul25'!AL421,"",'1. Live'!AL421-'check-Jul25'!AL421)</f>
        <v/>
      </c>
      <c r="AM421" t="str">
        <f>IF('1. Live'!AM421='check-Jul25'!AM421,"",'1. Live'!AM421-'check-Jul25'!AM421)</f>
        <v/>
      </c>
      <c r="AN421" t="str">
        <f>IF('1. Live'!AN421='check-Jul25'!AN421,"",'1. Live'!AN421-'check-Jul25'!AN421)</f>
        <v/>
      </c>
      <c r="AO421" t="str">
        <f>IF('1. Live'!AO421='check-Jul25'!AO421,"",'1. Live'!AO421-'check-Jul25'!AO421)</f>
        <v/>
      </c>
      <c r="AP421" t="str">
        <f>IF('1. Live'!AP421='check-Jul25'!AP421,"",'1. Live'!AP421-'check-Jul25'!AP421)</f>
        <v/>
      </c>
      <c r="AQ421" t="str">
        <f>IF('1. Live'!AQ421='check-Jul25'!AQ421,"",'1. Live'!AQ421-'check-Jul25'!AQ421)</f>
        <v/>
      </c>
      <c r="AR421" t="str">
        <f>IF('1. Live'!AR421='check-Jul25'!AR421,"",'1. Live'!AR421-'check-Jul25'!AR421)</f>
        <v/>
      </c>
      <c r="AS421" t="str">
        <f>IF('1. Live'!AS421='check-Jul25'!AS421,"",'1. Live'!AS421-'check-Jul25'!AS421)</f>
        <v/>
      </c>
      <c r="AT421" t="str">
        <f>IF('1. Live'!AT421='check-Jul25'!AT421,"",'1. Live'!AT421-'check-Jul25'!AT421)</f>
        <v/>
      </c>
      <c r="AU421" t="str">
        <f>IF('1. Live'!AU421='check-Jul25'!AU421,"",'1. Live'!AU421-'check-Jul25'!AU421)</f>
        <v/>
      </c>
      <c r="AV421" t="str">
        <f>IF('1. Live'!AV421='check-Jul25'!AV421,"",'1. Live'!AV421-'check-Jul25'!AV421)</f>
        <v/>
      </c>
      <c r="AW421" t="str">
        <f>IF('1. Live'!AW421='check-Jul25'!AW421,"",'1. Live'!AW421-'check-Jul25'!AW421)</f>
        <v/>
      </c>
      <c r="AX421" t="str">
        <f>IF('1. Live'!AX421='check-Jul25'!AX421,"",'1. Live'!AX421-'check-Jul25'!AX421)</f>
        <v/>
      </c>
      <c r="AY421" t="str">
        <f>IF('1. Live'!AY421='check-Jul25'!AY421,"",'1. Live'!AY421-'check-Jul25'!AY421)</f>
        <v/>
      </c>
      <c r="AZ421" t="str">
        <f>IF('1. Live'!AZ421='check-Jul25'!AZ421,"",'1. Live'!AZ421-'check-Jul25'!AZ421)</f>
        <v/>
      </c>
      <c r="BA421" t="str">
        <f>IF('1. Live'!BA421='check-Jul25'!BA421,"",'1. Live'!BA421-'check-Jul25'!BA421)</f>
        <v/>
      </c>
      <c r="BB421" t="str">
        <f>IF('1. Live'!BB421='check-Jul25'!BB421,"",'1. Live'!BB421-'check-Jul25'!BB421)</f>
        <v/>
      </c>
      <c r="BC421" t="str">
        <f>IF('1. Live'!BC421='check-Jul25'!BC421,"",'1. Live'!BC421-'check-Jul25'!BC421)</f>
        <v/>
      </c>
      <c r="BD421" t="str">
        <f>IF('1. Live'!BD421='check-Jul25'!BD421,"",'1. Live'!BD421-'check-Jul25'!BD421)</f>
        <v/>
      </c>
      <c r="BE421" t="str">
        <f>IF('1. Live'!BE421='check-Jul25'!BE421,"",'1. Live'!BE421-'check-Jul25'!BE421)</f>
        <v/>
      </c>
      <c r="BF421" t="str">
        <f>IF('1. Live'!BF421='check-Jul25'!BF421,"",'1. Live'!BF421-'check-Jul25'!BF421)</f>
        <v/>
      </c>
      <c r="BG421" t="str">
        <f>IF('1. Live'!BG421='check-Jul25'!BG421,"",'1. Live'!BG421-'check-Jul25'!BG421)</f>
        <v/>
      </c>
      <c r="BH421" t="str">
        <f>IF('1. Live'!BH421='check-Jul25'!BH421,"",'1. Live'!BH421-'check-Jul25'!BH421)</f>
        <v/>
      </c>
      <c r="BI421" t="str">
        <f>IF('1. Live'!BI421='check-Jul25'!BI421,"",'1. Live'!BI421-'check-Jul25'!BI421)</f>
        <v/>
      </c>
      <c r="BJ421" t="str">
        <f>IF('1. Live'!BJ421='check-Jul25'!BJ421,"",'1. Live'!BJ421-'check-Jul25'!BJ421)</f>
        <v/>
      </c>
      <c r="BK421" t="str">
        <f>IF('1. Live'!BK421='check-Jul25'!BK421,"",'1. Live'!BK421-'check-Jul25'!BK421)</f>
        <v/>
      </c>
      <c r="BL421" t="str">
        <f>IF('1. Live'!BL421='check-Jul25'!BL421,"",'1. Live'!BL421-'check-Jul25'!BL421)</f>
        <v/>
      </c>
      <c r="BM421" t="str">
        <f>IF('1. Live'!BM421='check-Jul25'!BM421,"",'1. Live'!BM421-'check-Jul25'!BM421)</f>
        <v/>
      </c>
      <c r="BN421" t="str">
        <f>IF('1. Live'!BN421='check-Jul25'!BN421,"",'1. Live'!BN421-'check-Jul25'!BN421)</f>
        <v/>
      </c>
      <c r="BO421" t="str">
        <f>IF('1. Live'!BO421='check-Jul25'!BO421,"",'1. Live'!BO421-'check-Jul25'!BO421)</f>
        <v/>
      </c>
      <c r="BP421" t="str">
        <f>IF('1. Live'!BP421='check-Jul25'!BP421,"",'1. Live'!BP421-'check-Jul25'!BP421)</f>
        <v/>
      </c>
      <c r="BQ421" t="str">
        <f>IF('1. Live'!BQ421='check-Jul25'!BQ421,"",'1. Live'!BQ421-'check-Jul25'!BQ421)</f>
        <v/>
      </c>
      <c r="BR421" t="str">
        <f>IF('1. Live'!BR421='check-Jul25'!BR421,"",'1. Live'!BR421-'check-Jul25'!BR421)</f>
        <v/>
      </c>
      <c r="BS421" t="str">
        <f>IF('1. Live'!BS421='check-Jul25'!BS421,"",'1. Live'!BS421-'check-Jul25'!BS421)</f>
        <v/>
      </c>
      <c r="BT421" t="str">
        <f>IF('1. Live'!BT421='check-Jul25'!BT421,"",'1. Live'!BT421-'check-Jul25'!BT421)</f>
        <v/>
      </c>
      <c r="BU421" t="str">
        <f>IF('1. Live'!BU421='check-Jul25'!BU421,"",'1. Live'!BU421-'check-Jul25'!BU421)</f>
        <v/>
      </c>
      <c r="BV421" t="str">
        <f>IF('1. Live'!BV421='check-Jul25'!BV421,"",'1. Live'!BV421-'check-Jul25'!BV421)</f>
        <v/>
      </c>
      <c r="BW421" t="str">
        <f>IF('1. Live'!BW421='check-Jul25'!BW421,"",'1. Live'!BW421-'check-Jul25'!BW421)</f>
        <v/>
      </c>
      <c r="BX421" t="str">
        <f>IF('1. Live'!BX421='check-Jul25'!BX421,"",'1. Live'!BX421-'check-Jul25'!BX421)</f>
        <v/>
      </c>
      <c r="BY421" t="str">
        <f>IF('1. Live'!BY421='check-Jul25'!BY421,"",'1. Live'!BY421-'check-Jul25'!BY421)</f>
        <v/>
      </c>
      <c r="BZ421" t="str">
        <f>IF('1. Live'!BZ421='check-Jul25'!BZ421,"",'1. Live'!BZ421-'check-Jul25'!BZ421)</f>
        <v/>
      </c>
      <c r="CA421" t="str">
        <f>IF('1. Live'!CA421='check-Jul25'!CA421,"",'1. Live'!CA421-'check-Jul25'!CA421)</f>
        <v/>
      </c>
      <c r="CB421" t="str">
        <f>IF('1. Live'!CB421='check-Jul25'!CB421,"",'1. Live'!CB421-'check-Jul25'!CB421)</f>
        <v/>
      </c>
      <c r="CC421" t="str">
        <f>IF('1. Live'!CC421='check-Jul25'!CC421,"",'1. Live'!CC421-'check-Jul25'!CC421)</f>
        <v/>
      </c>
      <c r="CD421" t="str">
        <f>IF('1. Live'!CD421='check-Jul25'!CD421,"",'1. Live'!CD421-'check-Jul25'!CD421)</f>
        <v/>
      </c>
      <c r="CE421" t="str">
        <f>IF('1. Live'!CE421='check-Jul25'!CE421,"",'1. Live'!CE421-'check-Jul25'!CE421)</f>
        <v/>
      </c>
      <c r="CF421" t="str">
        <f>IF('1. Live'!CF421='check-Jul25'!CF421,"",'1. Live'!CF421-'check-Jul25'!CF421)</f>
        <v/>
      </c>
      <c r="CG421" t="str">
        <f>IF('1. Live'!CG421='check-Jul25'!CG421,"",'1. Live'!CG421-'check-Jul25'!CG421)</f>
        <v/>
      </c>
      <c r="CH421" t="str">
        <f>IF('1. Live'!CH421='check-Jul25'!CH421,"",'1. Live'!CH421-'check-Jul25'!CH421)</f>
        <v/>
      </c>
      <c r="CI421" t="str">
        <f>IF('1. Live'!CI421='check-Jul25'!CI421,"",'1. Live'!CI421-'check-Jul25'!CI421)</f>
        <v/>
      </c>
      <c r="CJ421" t="str">
        <f>IF('1. Live'!CJ421='check-Jul25'!CJ421,"",'1. Live'!CJ421-'check-Jul25'!CJ421)</f>
        <v/>
      </c>
      <c r="CK421" t="str">
        <f>IF('1. Live'!CK421='check-Jul25'!CK421,"",'1. Live'!CK421-'check-Jul25'!CK421)</f>
        <v/>
      </c>
      <c r="CL421" t="str">
        <f>IF('1. Live'!CL421='check-Jul25'!CL421,"",'1. Live'!CL421-'check-Jul25'!CL421)</f>
        <v/>
      </c>
      <c r="CM421" t="str">
        <f>IF('1. Live'!CM421='check-Jul25'!CM421,"",'1. Live'!CM421-'check-Jul25'!CM421)</f>
        <v/>
      </c>
      <c r="CN421" t="str">
        <f>IF('1. Live'!CN421='check-Jul25'!CN421,"",'1. Live'!CN421-'check-Jul25'!CN421)</f>
        <v/>
      </c>
      <c r="CO421" t="str">
        <f>IF('1. Live'!CO421='check-Jul25'!CO421,"",'1. Live'!CO421-'check-Jul25'!CO421)</f>
        <v/>
      </c>
      <c r="CP421" t="str">
        <f>IF('1. Live'!CP421='check-Jul25'!CP421,"",'1. Live'!CP421-'check-Jul25'!CP421)</f>
        <v/>
      </c>
      <c r="CQ421" t="str">
        <f>IF('1. Live'!CQ421='check-Jul25'!CQ421,"",'1. Live'!CQ421-'check-Jul25'!CQ421)</f>
        <v/>
      </c>
      <c r="CR421" t="str">
        <f>IF('1. Live'!CR421='check-Jul25'!CR421,"",'1. Live'!CR421-'check-Jul25'!CR421)</f>
        <v/>
      </c>
      <c r="CS421" t="str">
        <f>IF('1. Live'!CS421='check-Jul25'!CS421,"",'1. Live'!CS421-'check-Jul25'!CS421)</f>
        <v/>
      </c>
      <c r="CT421" t="str">
        <f>IF('1. Live'!CT421='check-Jul25'!CT421,"",'1. Live'!CT421-'check-Jul25'!CT421)</f>
        <v/>
      </c>
      <c r="CU421" t="str">
        <f>IF('1. Live'!CU421='check-Jul25'!CU421,"",'1. Live'!CU421-'check-Jul25'!CU421)</f>
        <v/>
      </c>
      <c r="CV421" t="str">
        <f>IF('1. Live'!CV421='check-Jul25'!CV421,"",'1. Live'!CV421-'check-Jul25'!CV421)</f>
        <v/>
      </c>
      <c r="CW421" t="str">
        <f>IF('1. Live'!CW421='check-Jul25'!CW421,"",'1. Live'!CW421-'check-Jul25'!CW421)</f>
        <v/>
      </c>
    </row>
    <row r="422" spans="10:101">
      <c r="J422" t="str">
        <f>IF('1. Live'!J422='check-Jul25'!J422,"",'1. Live'!J422-'check-Jul25'!J422)</f>
        <v/>
      </c>
      <c r="K422" t="str">
        <f>IF('1. Live'!K422='check-Jul25'!K422,"",'1. Live'!K422-'check-Jul25'!K422)</f>
        <v/>
      </c>
      <c r="L422" t="str">
        <f>IF('1. Live'!L422='check-Jul25'!L422,"",'1. Live'!L422-'check-Jul25'!L422)</f>
        <v/>
      </c>
      <c r="M422" t="str">
        <f>IF('1. Live'!M422='check-Jul25'!M422,"",'1. Live'!M422-'check-Jul25'!M422)</f>
        <v/>
      </c>
      <c r="N422" t="str">
        <f>IF('1. Live'!N422='check-Jul25'!N422,"",'1. Live'!N422-'check-Jul25'!N422)</f>
        <v/>
      </c>
      <c r="O422" t="str">
        <f>IF('1. Live'!O422='check-Jul25'!O422,"",'1. Live'!O422-'check-Jul25'!O422)</f>
        <v/>
      </c>
      <c r="P422" t="str">
        <f>IF('1. Live'!P422='check-Jul25'!P422,"",'1. Live'!P422-'check-Jul25'!P422)</f>
        <v/>
      </c>
      <c r="Q422" t="str">
        <f>IF('1. Live'!Q422='check-Jul25'!Q422,"",'1. Live'!Q422-'check-Jul25'!Q422)</f>
        <v/>
      </c>
      <c r="R422" t="str">
        <f>IF('1. Live'!R422='check-Jul25'!R422,"",'1. Live'!R422-'check-Jul25'!R422)</f>
        <v/>
      </c>
      <c r="S422" t="str">
        <f>IF('1. Live'!S422='check-Jul25'!S422,"",'1. Live'!S422-'check-Jul25'!S422)</f>
        <v/>
      </c>
      <c r="T422" t="str">
        <f>IF('1. Live'!T422='check-Jul25'!T422,"",'1. Live'!T422-'check-Jul25'!T422)</f>
        <v/>
      </c>
      <c r="U422" t="str">
        <f>IF('1. Live'!U422='check-Jul25'!U422,"",'1. Live'!U422-'check-Jul25'!U422)</f>
        <v/>
      </c>
      <c r="V422" t="str">
        <f>IF('1. Live'!V422='check-Jul25'!V422,"",'1. Live'!V422-'check-Jul25'!V422)</f>
        <v/>
      </c>
      <c r="W422" t="str">
        <f>IF('1. Live'!W422='check-Jul25'!W422,"",'1. Live'!W422-'check-Jul25'!W422)</f>
        <v/>
      </c>
      <c r="X422" t="str">
        <f>IF('1. Live'!X422='check-Jul25'!X422,"",'1. Live'!X422-'check-Jul25'!X422)</f>
        <v/>
      </c>
      <c r="Y422" t="str">
        <f>IF('1. Live'!Y422='check-Jul25'!Y422,"",'1. Live'!Y422-'check-Jul25'!Y422)</f>
        <v/>
      </c>
      <c r="Z422" t="str">
        <f>IF('1. Live'!Z422='check-Jul25'!Z422,"",'1. Live'!Z422-'check-Jul25'!Z422)</f>
        <v/>
      </c>
      <c r="AA422" t="str">
        <f>IF('1. Live'!AA422='check-Jul25'!AA422,"",'1. Live'!AA422-'check-Jul25'!AA422)</f>
        <v/>
      </c>
      <c r="AB422" t="str">
        <f>IF('1. Live'!AB422='check-Jul25'!AB422,"",'1. Live'!AB422-'check-Jul25'!AB422)</f>
        <v/>
      </c>
      <c r="AC422" t="str">
        <f>IF('1. Live'!AC422='check-Jul25'!AC422,"",'1. Live'!AC422-'check-Jul25'!AC422)</f>
        <v/>
      </c>
      <c r="AD422" t="str">
        <f>IF('1. Live'!AD422='check-Jul25'!AD422,"",'1. Live'!AD422-'check-Jul25'!AD422)</f>
        <v/>
      </c>
      <c r="AE422" t="str">
        <f>IF('1. Live'!AE422='check-Jul25'!AE422,"",'1. Live'!AE422-'check-Jul25'!AE422)</f>
        <v/>
      </c>
      <c r="AF422" t="str">
        <f>IF('1. Live'!AF422='check-Jul25'!AF422,"",'1. Live'!AF422-'check-Jul25'!AF422)</f>
        <v/>
      </c>
      <c r="AG422" t="str">
        <f>IF('1. Live'!AG422='check-Jul25'!AG422,"",'1. Live'!AG422-'check-Jul25'!AG422)</f>
        <v/>
      </c>
      <c r="AH422" t="str">
        <f>IF('1. Live'!AH422='check-Jul25'!AH422,"",'1. Live'!AH422-'check-Jul25'!AH422)</f>
        <v/>
      </c>
      <c r="AI422" t="str">
        <f>IF('1. Live'!AI422='check-Jul25'!AI422,"",'1. Live'!AI422-'check-Jul25'!AI422)</f>
        <v/>
      </c>
      <c r="AJ422" t="str">
        <f>IF('1. Live'!AJ422='check-Jul25'!AJ422,"",'1. Live'!AJ422-'check-Jul25'!AJ422)</f>
        <v/>
      </c>
      <c r="AK422" t="str">
        <f>IF('1. Live'!AK422='check-Jul25'!AK422,"",'1. Live'!AK422-'check-Jul25'!AK422)</f>
        <v/>
      </c>
      <c r="AL422" t="str">
        <f>IF('1. Live'!AL422='check-Jul25'!AL422,"",'1. Live'!AL422-'check-Jul25'!AL422)</f>
        <v/>
      </c>
      <c r="AM422" t="str">
        <f>IF('1. Live'!AM422='check-Jul25'!AM422,"",'1. Live'!AM422-'check-Jul25'!AM422)</f>
        <v/>
      </c>
      <c r="AN422" t="str">
        <f>IF('1. Live'!AN422='check-Jul25'!AN422,"",'1. Live'!AN422-'check-Jul25'!AN422)</f>
        <v/>
      </c>
      <c r="AO422" t="str">
        <f>IF('1. Live'!AO422='check-Jul25'!AO422,"",'1. Live'!AO422-'check-Jul25'!AO422)</f>
        <v/>
      </c>
      <c r="AP422" t="str">
        <f>IF('1. Live'!AP422='check-Jul25'!AP422,"",'1. Live'!AP422-'check-Jul25'!AP422)</f>
        <v/>
      </c>
      <c r="AQ422" t="str">
        <f>IF('1. Live'!AQ422='check-Jul25'!AQ422,"",'1. Live'!AQ422-'check-Jul25'!AQ422)</f>
        <v/>
      </c>
      <c r="AR422" t="str">
        <f>IF('1. Live'!AR422='check-Jul25'!AR422,"",'1. Live'!AR422-'check-Jul25'!AR422)</f>
        <v/>
      </c>
      <c r="AS422" t="str">
        <f>IF('1. Live'!AS422='check-Jul25'!AS422,"",'1. Live'!AS422-'check-Jul25'!AS422)</f>
        <v/>
      </c>
      <c r="AT422" t="str">
        <f>IF('1. Live'!AT422='check-Jul25'!AT422,"",'1. Live'!AT422-'check-Jul25'!AT422)</f>
        <v/>
      </c>
      <c r="AU422" t="str">
        <f>IF('1. Live'!AU422='check-Jul25'!AU422,"",'1. Live'!AU422-'check-Jul25'!AU422)</f>
        <v/>
      </c>
      <c r="AV422" t="str">
        <f>IF('1. Live'!AV422='check-Jul25'!AV422,"",'1. Live'!AV422-'check-Jul25'!AV422)</f>
        <v/>
      </c>
      <c r="AW422" t="str">
        <f>IF('1. Live'!AW422='check-Jul25'!AW422,"",'1. Live'!AW422-'check-Jul25'!AW422)</f>
        <v/>
      </c>
      <c r="AX422" t="str">
        <f>IF('1. Live'!AX422='check-Jul25'!AX422,"",'1. Live'!AX422-'check-Jul25'!AX422)</f>
        <v/>
      </c>
      <c r="AY422" t="str">
        <f>IF('1. Live'!AY422='check-Jul25'!AY422,"",'1. Live'!AY422-'check-Jul25'!AY422)</f>
        <v/>
      </c>
      <c r="AZ422" t="str">
        <f>IF('1. Live'!AZ422='check-Jul25'!AZ422,"",'1. Live'!AZ422-'check-Jul25'!AZ422)</f>
        <v/>
      </c>
      <c r="BA422" t="str">
        <f>IF('1. Live'!BA422='check-Jul25'!BA422,"",'1. Live'!BA422-'check-Jul25'!BA422)</f>
        <v/>
      </c>
      <c r="BB422" t="str">
        <f>IF('1. Live'!BB422='check-Jul25'!BB422,"",'1. Live'!BB422-'check-Jul25'!BB422)</f>
        <v/>
      </c>
      <c r="BC422" t="str">
        <f>IF('1. Live'!BC422='check-Jul25'!BC422,"",'1. Live'!BC422-'check-Jul25'!BC422)</f>
        <v/>
      </c>
      <c r="BD422" t="str">
        <f>IF('1. Live'!BD422='check-Jul25'!BD422,"",'1. Live'!BD422-'check-Jul25'!BD422)</f>
        <v/>
      </c>
      <c r="BE422" t="str">
        <f>IF('1. Live'!BE422='check-Jul25'!BE422,"",'1. Live'!BE422-'check-Jul25'!BE422)</f>
        <v/>
      </c>
      <c r="BF422" t="str">
        <f>IF('1. Live'!BF422='check-Jul25'!BF422,"",'1. Live'!BF422-'check-Jul25'!BF422)</f>
        <v/>
      </c>
      <c r="BG422" t="str">
        <f>IF('1. Live'!BG422='check-Jul25'!BG422,"",'1. Live'!BG422-'check-Jul25'!BG422)</f>
        <v/>
      </c>
      <c r="BH422" t="str">
        <f>IF('1. Live'!BH422='check-Jul25'!BH422,"",'1. Live'!BH422-'check-Jul25'!BH422)</f>
        <v/>
      </c>
      <c r="BI422" t="str">
        <f>IF('1. Live'!BI422='check-Jul25'!BI422,"",'1. Live'!BI422-'check-Jul25'!BI422)</f>
        <v/>
      </c>
      <c r="BJ422" t="str">
        <f>IF('1. Live'!BJ422='check-Jul25'!BJ422,"",'1. Live'!BJ422-'check-Jul25'!BJ422)</f>
        <v/>
      </c>
      <c r="BK422" t="str">
        <f>IF('1. Live'!BK422='check-Jul25'!BK422,"",'1. Live'!BK422-'check-Jul25'!BK422)</f>
        <v/>
      </c>
      <c r="BL422" t="str">
        <f>IF('1. Live'!BL422='check-Jul25'!BL422,"",'1. Live'!BL422-'check-Jul25'!BL422)</f>
        <v/>
      </c>
      <c r="BM422" t="str">
        <f>IF('1. Live'!BM422='check-Jul25'!BM422,"",'1. Live'!BM422-'check-Jul25'!BM422)</f>
        <v/>
      </c>
      <c r="BN422" t="str">
        <f>IF('1. Live'!BN422='check-Jul25'!BN422,"",'1. Live'!BN422-'check-Jul25'!BN422)</f>
        <v/>
      </c>
      <c r="BO422" t="str">
        <f>IF('1. Live'!BO422='check-Jul25'!BO422,"",'1. Live'!BO422-'check-Jul25'!BO422)</f>
        <v/>
      </c>
      <c r="BP422" t="str">
        <f>IF('1. Live'!BP422='check-Jul25'!BP422,"",'1. Live'!BP422-'check-Jul25'!BP422)</f>
        <v/>
      </c>
      <c r="BQ422" t="str">
        <f>IF('1. Live'!BQ422='check-Jul25'!BQ422,"",'1. Live'!BQ422-'check-Jul25'!BQ422)</f>
        <v/>
      </c>
      <c r="BR422" t="str">
        <f>IF('1. Live'!BR422='check-Jul25'!BR422,"",'1. Live'!BR422-'check-Jul25'!BR422)</f>
        <v/>
      </c>
      <c r="BS422" t="str">
        <f>IF('1. Live'!BS422='check-Jul25'!BS422,"",'1. Live'!BS422-'check-Jul25'!BS422)</f>
        <v/>
      </c>
      <c r="BT422" t="str">
        <f>IF('1. Live'!BT422='check-Jul25'!BT422,"",'1. Live'!BT422-'check-Jul25'!BT422)</f>
        <v/>
      </c>
      <c r="BU422" t="str">
        <f>IF('1. Live'!BU422='check-Jul25'!BU422,"",'1. Live'!BU422-'check-Jul25'!BU422)</f>
        <v/>
      </c>
      <c r="BV422" t="str">
        <f>IF('1. Live'!BV422='check-Jul25'!BV422,"",'1. Live'!BV422-'check-Jul25'!BV422)</f>
        <v/>
      </c>
      <c r="BW422" t="str">
        <f>IF('1. Live'!BW422='check-Jul25'!BW422,"",'1. Live'!BW422-'check-Jul25'!BW422)</f>
        <v/>
      </c>
      <c r="BX422" t="str">
        <f>IF('1. Live'!BX422='check-Jul25'!BX422,"",'1. Live'!BX422-'check-Jul25'!BX422)</f>
        <v/>
      </c>
      <c r="BY422" t="str">
        <f>IF('1. Live'!BY422='check-Jul25'!BY422,"",'1. Live'!BY422-'check-Jul25'!BY422)</f>
        <v/>
      </c>
      <c r="BZ422" t="str">
        <f>IF('1. Live'!BZ422='check-Jul25'!BZ422,"",'1. Live'!BZ422-'check-Jul25'!BZ422)</f>
        <v/>
      </c>
      <c r="CA422" t="str">
        <f>IF('1. Live'!CA422='check-Jul25'!CA422,"",'1. Live'!CA422-'check-Jul25'!CA422)</f>
        <v/>
      </c>
      <c r="CB422" t="str">
        <f>IF('1. Live'!CB422='check-Jul25'!CB422,"",'1. Live'!CB422-'check-Jul25'!CB422)</f>
        <v/>
      </c>
      <c r="CC422" t="str">
        <f>IF('1. Live'!CC422='check-Jul25'!CC422,"",'1. Live'!CC422-'check-Jul25'!CC422)</f>
        <v/>
      </c>
      <c r="CD422" t="str">
        <f>IF('1. Live'!CD422='check-Jul25'!CD422,"",'1. Live'!CD422-'check-Jul25'!CD422)</f>
        <v/>
      </c>
      <c r="CE422" t="str">
        <f>IF('1. Live'!CE422='check-Jul25'!CE422,"",'1. Live'!CE422-'check-Jul25'!CE422)</f>
        <v/>
      </c>
      <c r="CF422" t="str">
        <f>IF('1. Live'!CF422='check-Jul25'!CF422,"",'1. Live'!CF422-'check-Jul25'!CF422)</f>
        <v/>
      </c>
      <c r="CG422" t="str">
        <f>IF('1. Live'!CG422='check-Jul25'!CG422,"",'1. Live'!CG422-'check-Jul25'!CG422)</f>
        <v/>
      </c>
      <c r="CH422" t="str">
        <f>IF('1. Live'!CH422='check-Jul25'!CH422,"",'1. Live'!CH422-'check-Jul25'!CH422)</f>
        <v/>
      </c>
      <c r="CI422" t="str">
        <f>IF('1. Live'!CI422='check-Jul25'!CI422,"",'1. Live'!CI422-'check-Jul25'!CI422)</f>
        <v/>
      </c>
      <c r="CJ422" t="str">
        <f>IF('1. Live'!CJ422='check-Jul25'!CJ422,"",'1. Live'!CJ422-'check-Jul25'!CJ422)</f>
        <v/>
      </c>
      <c r="CK422" t="str">
        <f>IF('1. Live'!CK422='check-Jul25'!CK422,"",'1. Live'!CK422-'check-Jul25'!CK422)</f>
        <v/>
      </c>
      <c r="CL422" t="str">
        <f>IF('1. Live'!CL422='check-Jul25'!CL422,"",'1. Live'!CL422-'check-Jul25'!CL422)</f>
        <v/>
      </c>
      <c r="CM422" t="str">
        <f>IF('1. Live'!CM422='check-Jul25'!CM422,"",'1. Live'!CM422-'check-Jul25'!CM422)</f>
        <v/>
      </c>
      <c r="CN422" t="str">
        <f>IF('1. Live'!CN422='check-Jul25'!CN422,"",'1. Live'!CN422-'check-Jul25'!CN422)</f>
        <v/>
      </c>
      <c r="CO422" t="str">
        <f>IF('1. Live'!CO422='check-Jul25'!CO422,"",'1. Live'!CO422-'check-Jul25'!CO422)</f>
        <v/>
      </c>
      <c r="CP422" t="str">
        <f>IF('1. Live'!CP422='check-Jul25'!CP422,"",'1. Live'!CP422-'check-Jul25'!CP422)</f>
        <v/>
      </c>
      <c r="CQ422" t="str">
        <f>IF('1. Live'!CQ422='check-Jul25'!CQ422,"",'1. Live'!CQ422-'check-Jul25'!CQ422)</f>
        <v/>
      </c>
      <c r="CR422" t="str">
        <f>IF('1. Live'!CR422='check-Jul25'!CR422,"",'1. Live'!CR422-'check-Jul25'!CR422)</f>
        <v/>
      </c>
      <c r="CS422" t="str">
        <f>IF('1. Live'!CS422='check-Jul25'!CS422,"",'1. Live'!CS422-'check-Jul25'!CS422)</f>
        <v/>
      </c>
      <c r="CT422" t="str">
        <f>IF('1. Live'!CT422='check-Jul25'!CT422,"",'1. Live'!CT422-'check-Jul25'!CT422)</f>
        <v/>
      </c>
      <c r="CU422" t="str">
        <f>IF('1. Live'!CU422='check-Jul25'!CU422,"",'1. Live'!CU422-'check-Jul25'!CU422)</f>
        <v/>
      </c>
      <c r="CV422" t="str">
        <f>IF('1. Live'!CV422='check-Jul25'!CV422,"",'1. Live'!CV422-'check-Jul25'!CV422)</f>
        <v/>
      </c>
      <c r="CW422" t="str">
        <f>IF('1. Live'!CW422='check-Jul25'!CW422,"",'1. Live'!CW422-'check-Jul25'!CW422)</f>
        <v/>
      </c>
    </row>
    <row r="423" spans="10:101">
      <c r="J423" t="str">
        <f>IF('1. Live'!J423='check-Jul25'!J423,"",'1. Live'!J423-'check-Jul25'!J423)</f>
        <v/>
      </c>
      <c r="K423" t="str">
        <f>IF('1. Live'!K423='check-Jul25'!K423,"",'1. Live'!K423-'check-Jul25'!K423)</f>
        <v/>
      </c>
      <c r="L423" t="str">
        <f>IF('1. Live'!L423='check-Jul25'!L423,"",'1. Live'!L423-'check-Jul25'!L423)</f>
        <v/>
      </c>
      <c r="M423" t="str">
        <f>IF('1. Live'!M423='check-Jul25'!M423,"",'1. Live'!M423-'check-Jul25'!M423)</f>
        <v/>
      </c>
      <c r="N423" t="str">
        <f>IF('1. Live'!N423='check-Jul25'!N423,"",'1. Live'!N423-'check-Jul25'!N423)</f>
        <v/>
      </c>
      <c r="O423" t="str">
        <f>IF('1. Live'!O423='check-Jul25'!O423,"",'1. Live'!O423-'check-Jul25'!O423)</f>
        <v/>
      </c>
      <c r="P423" t="str">
        <f>IF('1. Live'!P423='check-Jul25'!P423,"",'1. Live'!P423-'check-Jul25'!P423)</f>
        <v/>
      </c>
      <c r="Q423" t="str">
        <f>IF('1. Live'!Q423='check-Jul25'!Q423,"",'1. Live'!Q423-'check-Jul25'!Q423)</f>
        <v/>
      </c>
      <c r="R423" t="str">
        <f>IF('1. Live'!R423='check-Jul25'!R423,"",'1. Live'!R423-'check-Jul25'!R423)</f>
        <v/>
      </c>
      <c r="S423" t="str">
        <f>IF('1. Live'!S423='check-Jul25'!S423,"",'1. Live'!S423-'check-Jul25'!S423)</f>
        <v/>
      </c>
      <c r="T423" t="str">
        <f>IF('1. Live'!T423='check-Jul25'!T423,"",'1. Live'!T423-'check-Jul25'!T423)</f>
        <v/>
      </c>
      <c r="U423" t="str">
        <f>IF('1. Live'!U423='check-Jul25'!U423,"",'1. Live'!U423-'check-Jul25'!U423)</f>
        <v/>
      </c>
      <c r="V423" t="str">
        <f>IF('1. Live'!V423='check-Jul25'!V423,"",'1. Live'!V423-'check-Jul25'!V423)</f>
        <v/>
      </c>
      <c r="W423" t="str">
        <f>IF('1. Live'!W423='check-Jul25'!W423,"",'1. Live'!W423-'check-Jul25'!W423)</f>
        <v/>
      </c>
      <c r="X423" t="str">
        <f>IF('1. Live'!X423='check-Jul25'!X423,"",'1. Live'!X423-'check-Jul25'!X423)</f>
        <v/>
      </c>
      <c r="Y423" t="str">
        <f>IF('1. Live'!Y423='check-Jul25'!Y423,"",'1. Live'!Y423-'check-Jul25'!Y423)</f>
        <v/>
      </c>
      <c r="Z423" t="str">
        <f>IF('1. Live'!Z423='check-Jul25'!Z423,"",'1. Live'!Z423-'check-Jul25'!Z423)</f>
        <v/>
      </c>
      <c r="AA423" t="str">
        <f>IF('1. Live'!AA423='check-Jul25'!AA423,"",'1. Live'!AA423-'check-Jul25'!AA423)</f>
        <v/>
      </c>
      <c r="AB423" t="str">
        <f>IF('1. Live'!AB423='check-Jul25'!AB423,"",'1. Live'!AB423-'check-Jul25'!AB423)</f>
        <v/>
      </c>
      <c r="AC423" t="str">
        <f>IF('1. Live'!AC423='check-Jul25'!AC423,"",'1. Live'!AC423-'check-Jul25'!AC423)</f>
        <v/>
      </c>
      <c r="AD423" t="str">
        <f>IF('1. Live'!AD423='check-Jul25'!AD423,"",'1. Live'!AD423-'check-Jul25'!AD423)</f>
        <v/>
      </c>
      <c r="AE423" t="str">
        <f>IF('1. Live'!AE423='check-Jul25'!AE423,"",'1. Live'!AE423-'check-Jul25'!AE423)</f>
        <v/>
      </c>
      <c r="AF423" t="str">
        <f>IF('1. Live'!AF423='check-Jul25'!AF423,"",'1. Live'!AF423-'check-Jul25'!AF423)</f>
        <v/>
      </c>
      <c r="AG423" t="str">
        <f>IF('1. Live'!AG423='check-Jul25'!AG423,"",'1. Live'!AG423-'check-Jul25'!AG423)</f>
        <v/>
      </c>
      <c r="AH423" t="str">
        <f>IF('1. Live'!AH423='check-Jul25'!AH423,"",'1. Live'!AH423-'check-Jul25'!AH423)</f>
        <v/>
      </c>
      <c r="AI423" t="str">
        <f>IF('1. Live'!AI423='check-Jul25'!AI423,"",'1. Live'!AI423-'check-Jul25'!AI423)</f>
        <v/>
      </c>
      <c r="AJ423" t="str">
        <f>IF('1. Live'!AJ423='check-Jul25'!AJ423,"",'1. Live'!AJ423-'check-Jul25'!AJ423)</f>
        <v/>
      </c>
      <c r="AK423" t="str">
        <f>IF('1. Live'!AK423='check-Jul25'!AK423,"",'1. Live'!AK423-'check-Jul25'!AK423)</f>
        <v/>
      </c>
      <c r="AL423" t="str">
        <f>IF('1. Live'!AL423='check-Jul25'!AL423,"",'1. Live'!AL423-'check-Jul25'!AL423)</f>
        <v/>
      </c>
      <c r="AM423" t="str">
        <f>IF('1. Live'!AM423='check-Jul25'!AM423,"",'1. Live'!AM423-'check-Jul25'!AM423)</f>
        <v/>
      </c>
      <c r="AN423" t="str">
        <f>IF('1. Live'!AN423='check-Jul25'!AN423,"",'1. Live'!AN423-'check-Jul25'!AN423)</f>
        <v/>
      </c>
      <c r="AO423" t="str">
        <f>IF('1. Live'!AO423='check-Jul25'!AO423,"",'1. Live'!AO423-'check-Jul25'!AO423)</f>
        <v/>
      </c>
      <c r="AP423" t="str">
        <f>IF('1. Live'!AP423='check-Jul25'!AP423,"",'1. Live'!AP423-'check-Jul25'!AP423)</f>
        <v/>
      </c>
      <c r="AQ423" t="str">
        <f>IF('1. Live'!AQ423='check-Jul25'!AQ423,"",'1. Live'!AQ423-'check-Jul25'!AQ423)</f>
        <v/>
      </c>
      <c r="AR423" t="str">
        <f>IF('1. Live'!AR423='check-Jul25'!AR423,"",'1. Live'!AR423-'check-Jul25'!AR423)</f>
        <v/>
      </c>
      <c r="AS423" t="str">
        <f>IF('1. Live'!AS423='check-Jul25'!AS423,"",'1. Live'!AS423-'check-Jul25'!AS423)</f>
        <v/>
      </c>
      <c r="AT423" t="str">
        <f>IF('1. Live'!AT423='check-Jul25'!AT423,"",'1. Live'!AT423-'check-Jul25'!AT423)</f>
        <v/>
      </c>
      <c r="AU423" t="str">
        <f>IF('1. Live'!AU423='check-Jul25'!AU423,"",'1. Live'!AU423-'check-Jul25'!AU423)</f>
        <v/>
      </c>
      <c r="AV423" t="str">
        <f>IF('1. Live'!AV423='check-Jul25'!AV423,"",'1. Live'!AV423-'check-Jul25'!AV423)</f>
        <v/>
      </c>
      <c r="AW423" t="str">
        <f>IF('1. Live'!AW423='check-Jul25'!AW423,"",'1. Live'!AW423-'check-Jul25'!AW423)</f>
        <v/>
      </c>
      <c r="AX423" t="str">
        <f>IF('1. Live'!AX423='check-Jul25'!AX423,"",'1. Live'!AX423-'check-Jul25'!AX423)</f>
        <v/>
      </c>
      <c r="AY423" t="str">
        <f>IF('1. Live'!AY423='check-Jul25'!AY423,"",'1. Live'!AY423-'check-Jul25'!AY423)</f>
        <v/>
      </c>
      <c r="AZ423" t="str">
        <f>IF('1. Live'!AZ423='check-Jul25'!AZ423,"",'1. Live'!AZ423-'check-Jul25'!AZ423)</f>
        <v/>
      </c>
      <c r="BA423" t="str">
        <f>IF('1. Live'!BA423='check-Jul25'!BA423,"",'1. Live'!BA423-'check-Jul25'!BA423)</f>
        <v/>
      </c>
      <c r="BB423" t="str">
        <f>IF('1. Live'!BB423='check-Jul25'!BB423,"",'1. Live'!BB423-'check-Jul25'!BB423)</f>
        <v/>
      </c>
      <c r="BC423" t="str">
        <f>IF('1. Live'!BC423='check-Jul25'!BC423,"",'1. Live'!BC423-'check-Jul25'!BC423)</f>
        <v/>
      </c>
      <c r="BD423" t="str">
        <f>IF('1. Live'!BD423='check-Jul25'!BD423,"",'1. Live'!BD423-'check-Jul25'!BD423)</f>
        <v/>
      </c>
      <c r="BE423" t="str">
        <f>IF('1. Live'!BE423='check-Jul25'!BE423,"",'1. Live'!BE423-'check-Jul25'!BE423)</f>
        <v/>
      </c>
      <c r="BF423" t="str">
        <f>IF('1. Live'!BF423='check-Jul25'!BF423,"",'1. Live'!BF423-'check-Jul25'!BF423)</f>
        <v/>
      </c>
      <c r="BG423" t="str">
        <f>IF('1. Live'!BG423='check-Jul25'!BG423,"",'1. Live'!BG423-'check-Jul25'!BG423)</f>
        <v/>
      </c>
      <c r="BH423" t="str">
        <f>IF('1. Live'!BH423='check-Jul25'!BH423,"",'1. Live'!BH423-'check-Jul25'!BH423)</f>
        <v/>
      </c>
      <c r="BI423" t="str">
        <f>IF('1. Live'!BI423='check-Jul25'!BI423,"",'1. Live'!BI423-'check-Jul25'!BI423)</f>
        <v/>
      </c>
      <c r="BJ423" t="str">
        <f>IF('1. Live'!BJ423='check-Jul25'!BJ423,"",'1. Live'!BJ423-'check-Jul25'!BJ423)</f>
        <v/>
      </c>
      <c r="BK423" t="str">
        <f>IF('1. Live'!BK423='check-Jul25'!BK423,"",'1. Live'!BK423-'check-Jul25'!BK423)</f>
        <v/>
      </c>
      <c r="BL423" t="str">
        <f>IF('1. Live'!BL423='check-Jul25'!BL423,"",'1. Live'!BL423-'check-Jul25'!BL423)</f>
        <v/>
      </c>
      <c r="BM423" t="str">
        <f>IF('1. Live'!BM423='check-Jul25'!BM423,"",'1. Live'!BM423-'check-Jul25'!BM423)</f>
        <v/>
      </c>
      <c r="BN423" t="str">
        <f>IF('1. Live'!BN423='check-Jul25'!BN423,"",'1. Live'!BN423-'check-Jul25'!BN423)</f>
        <v/>
      </c>
      <c r="BO423" t="str">
        <f>IF('1. Live'!BO423='check-Jul25'!BO423,"",'1. Live'!BO423-'check-Jul25'!BO423)</f>
        <v/>
      </c>
      <c r="BP423" t="str">
        <f>IF('1. Live'!BP423='check-Jul25'!BP423,"",'1. Live'!BP423-'check-Jul25'!BP423)</f>
        <v/>
      </c>
      <c r="BQ423" t="str">
        <f>IF('1. Live'!BQ423='check-Jul25'!BQ423,"",'1. Live'!BQ423-'check-Jul25'!BQ423)</f>
        <v/>
      </c>
      <c r="BR423" t="str">
        <f>IF('1. Live'!BR423='check-Jul25'!BR423,"",'1. Live'!BR423-'check-Jul25'!BR423)</f>
        <v/>
      </c>
      <c r="BS423" t="str">
        <f>IF('1. Live'!BS423='check-Jul25'!BS423,"",'1. Live'!BS423-'check-Jul25'!BS423)</f>
        <v/>
      </c>
      <c r="BT423" t="str">
        <f>IF('1. Live'!BT423='check-Jul25'!BT423,"",'1. Live'!BT423-'check-Jul25'!BT423)</f>
        <v/>
      </c>
      <c r="BU423" t="str">
        <f>IF('1. Live'!BU423='check-Jul25'!BU423,"",'1. Live'!BU423-'check-Jul25'!BU423)</f>
        <v/>
      </c>
      <c r="BV423" t="str">
        <f>IF('1. Live'!BV423='check-Jul25'!BV423,"",'1. Live'!BV423-'check-Jul25'!BV423)</f>
        <v/>
      </c>
      <c r="BW423" t="str">
        <f>IF('1. Live'!BW423='check-Jul25'!BW423,"",'1. Live'!BW423-'check-Jul25'!BW423)</f>
        <v/>
      </c>
      <c r="BX423" t="str">
        <f>IF('1. Live'!BX423='check-Jul25'!BX423,"",'1. Live'!BX423-'check-Jul25'!BX423)</f>
        <v/>
      </c>
      <c r="BY423" t="str">
        <f>IF('1. Live'!BY423='check-Jul25'!BY423,"",'1. Live'!BY423-'check-Jul25'!BY423)</f>
        <v/>
      </c>
      <c r="BZ423" t="str">
        <f>IF('1. Live'!BZ423='check-Jul25'!BZ423,"",'1. Live'!BZ423-'check-Jul25'!BZ423)</f>
        <v/>
      </c>
      <c r="CA423" t="str">
        <f>IF('1. Live'!CA423='check-Jul25'!CA423,"",'1. Live'!CA423-'check-Jul25'!CA423)</f>
        <v/>
      </c>
      <c r="CB423" t="str">
        <f>IF('1. Live'!CB423='check-Jul25'!CB423,"",'1. Live'!CB423-'check-Jul25'!CB423)</f>
        <v/>
      </c>
      <c r="CC423" t="str">
        <f>IF('1. Live'!CC423='check-Jul25'!CC423,"",'1. Live'!CC423-'check-Jul25'!CC423)</f>
        <v/>
      </c>
      <c r="CD423" t="str">
        <f>IF('1. Live'!CD423='check-Jul25'!CD423,"",'1. Live'!CD423-'check-Jul25'!CD423)</f>
        <v/>
      </c>
      <c r="CE423" t="str">
        <f>IF('1. Live'!CE423='check-Jul25'!CE423,"",'1. Live'!CE423-'check-Jul25'!CE423)</f>
        <v/>
      </c>
      <c r="CF423" t="str">
        <f>IF('1. Live'!CF423='check-Jul25'!CF423,"",'1. Live'!CF423-'check-Jul25'!CF423)</f>
        <v/>
      </c>
      <c r="CG423" t="str">
        <f>IF('1. Live'!CG423='check-Jul25'!CG423,"",'1. Live'!CG423-'check-Jul25'!CG423)</f>
        <v/>
      </c>
      <c r="CH423" t="str">
        <f>IF('1. Live'!CH423='check-Jul25'!CH423,"",'1. Live'!CH423-'check-Jul25'!CH423)</f>
        <v/>
      </c>
      <c r="CI423" t="str">
        <f>IF('1. Live'!CI423='check-Jul25'!CI423,"",'1. Live'!CI423-'check-Jul25'!CI423)</f>
        <v/>
      </c>
      <c r="CJ423" t="str">
        <f>IF('1. Live'!CJ423='check-Jul25'!CJ423,"",'1. Live'!CJ423-'check-Jul25'!CJ423)</f>
        <v/>
      </c>
      <c r="CK423" t="str">
        <f>IF('1. Live'!CK423='check-Jul25'!CK423,"",'1. Live'!CK423-'check-Jul25'!CK423)</f>
        <v/>
      </c>
      <c r="CL423" t="str">
        <f>IF('1. Live'!CL423='check-Jul25'!CL423,"",'1. Live'!CL423-'check-Jul25'!CL423)</f>
        <v/>
      </c>
      <c r="CM423" t="str">
        <f>IF('1. Live'!CM423='check-Jul25'!CM423,"",'1. Live'!CM423-'check-Jul25'!CM423)</f>
        <v/>
      </c>
      <c r="CN423" t="str">
        <f>IF('1. Live'!CN423='check-Jul25'!CN423,"",'1. Live'!CN423-'check-Jul25'!CN423)</f>
        <v/>
      </c>
      <c r="CO423" t="str">
        <f>IF('1. Live'!CO423='check-Jul25'!CO423,"",'1. Live'!CO423-'check-Jul25'!CO423)</f>
        <v/>
      </c>
      <c r="CP423" t="str">
        <f>IF('1. Live'!CP423='check-Jul25'!CP423,"",'1. Live'!CP423-'check-Jul25'!CP423)</f>
        <v/>
      </c>
      <c r="CQ423" t="str">
        <f>IF('1. Live'!CQ423='check-Jul25'!CQ423,"",'1. Live'!CQ423-'check-Jul25'!CQ423)</f>
        <v/>
      </c>
      <c r="CR423" t="str">
        <f>IF('1. Live'!CR423='check-Jul25'!CR423,"",'1. Live'!CR423-'check-Jul25'!CR423)</f>
        <v/>
      </c>
      <c r="CS423" t="str">
        <f>IF('1. Live'!CS423='check-Jul25'!CS423,"",'1. Live'!CS423-'check-Jul25'!CS423)</f>
        <v/>
      </c>
      <c r="CT423" t="str">
        <f>IF('1. Live'!CT423='check-Jul25'!CT423,"",'1. Live'!CT423-'check-Jul25'!CT423)</f>
        <v/>
      </c>
      <c r="CU423" t="str">
        <f>IF('1. Live'!CU423='check-Jul25'!CU423,"",'1. Live'!CU423-'check-Jul25'!CU423)</f>
        <v/>
      </c>
      <c r="CV423" t="str">
        <f>IF('1. Live'!CV423='check-Jul25'!CV423,"",'1. Live'!CV423-'check-Jul25'!CV423)</f>
        <v/>
      </c>
      <c r="CW423" t="str">
        <f>IF('1. Live'!CW423='check-Jul25'!CW423,"",'1. Live'!CW423-'check-Jul25'!CW423)</f>
        <v/>
      </c>
    </row>
    <row r="424" spans="10:101">
      <c r="J424" t="str">
        <f>IF('1. Live'!J424='check-Jul25'!J424,"",'1. Live'!J424-'check-Jul25'!J424)</f>
        <v/>
      </c>
      <c r="K424" t="str">
        <f>IF('1. Live'!K424='check-Jul25'!K424,"",'1. Live'!K424-'check-Jul25'!K424)</f>
        <v/>
      </c>
      <c r="L424" t="str">
        <f>IF('1. Live'!L424='check-Jul25'!L424,"",'1. Live'!L424-'check-Jul25'!L424)</f>
        <v/>
      </c>
      <c r="M424" t="str">
        <f>IF('1. Live'!M424='check-Jul25'!M424,"",'1. Live'!M424-'check-Jul25'!M424)</f>
        <v/>
      </c>
      <c r="N424" t="str">
        <f>IF('1. Live'!N424='check-Jul25'!N424,"",'1. Live'!N424-'check-Jul25'!N424)</f>
        <v/>
      </c>
      <c r="O424" t="str">
        <f>IF('1. Live'!O424='check-Jul25'!O424,"",'1. Live'!O424-'check-Jul25'!O424)</f>
        <v/>
      </c>
      <c r="P424" t="str">
        <f>IF('1. Live'!P424='check-Jul25'!P424,"",'1. Live'!P424-'check-Jul25'!P424)</f>
        <v/>
      </c>
      <c r="Q424" t="str">
        <f>IF('1. Live'!Q424='check-Jul25'!Q424,"",'1. Live'!Q424-'check-Jul25'!Q424)</f>
        <v/>
      </c>
      <c r="R424" t="str">
        <f>IF('1. Live'!R424='check-Jul25'!R424,"",'1. Live'!R424-'check-Jul25'!R424)</f>
        <v/>
      </c>
      <c r="S424" t="str">
        <f>IF('1. Live'!S424='check-Jul25'!S424,"",'1. Live'!S424-'check-Jul25'!S424)</f>
        <v/>
      </c>
      <c r="T424" t="str">
        <f>IF('1. Live'!T424='check-Jul25'!T424,"",'1. Live'!T424-'check-Jul25'!T424)</f>
        <v/>
      </c>
      <c r="U424" t="str">
        <f>IF('1. Live'!U424='check-Jul25'!U424,"",'1. Live'!U424-'check-Jul25'!U424)</f>
        <v/>
      </c>
      <c r="V424" t="str">
        <f>IF('1. Live'!V424='check-Jul25'!V424,"",'1. Live'!V424-'check-Jul25'!V424)</f>
        <v/>
      </c>
      <c r="W424" t="str">
        <f>IF('1. Live'!W424='check-Jul25'!W424,"",'1. Live'!W424-'check-Jul25'!W424)</f>
        <v/>
      </c>
      <c r="X424" t="str">
        <f>IF('1. Live'!X424='check-Jul25'!X424,"",'1. Live'!X424-'check-Jul25'!X424)</f>
        <v/>
      </c>
      <c r="Y424" t="str">
        <f>IF('1. Live'!Y424='check-Jul25'!Y424,"",'1. Live'!Y424-'check-Jul25'!Y424)</f>
        <v/>
      </c>
      <c r="Z424" t="str">
        <f>IF('1. Live'!Z424='check-Jul25'!Z424,"",'1. Live'!Z424-'check-Jul25'!Z424)</f>
        <v/>
      </c>
      <c r="AA424" t="str">
        <f>IF('1. Live'!AA424='check-Jul25'!AA424,"",'1. Live'!AA424-'check-Jul25'!AA424)</f>
        <v/>
      </c>
      <c r="AB424" t="str">
        <f>IF('1. Live'!AB424='check-Jul25'!AB424,"",'1. Live'!AB424-'check-Jul25'!AB424)</f>
        <v/>
      </c>
      <c r="AC424" t="str">
        <f>IF('1. Live'!AC424='check-Jul25'!AC424,"",'1. Live'!AC424-'check-Jul25'!AC424)</f>
        <v/>
      </c>
      <c r="AD424" t="str">
        <f>IF('1. Live'!AD424='check-Jul25'!AD424,"",'1. Live'!AD424-'check-Jul25'!AD424)</f>
        <v/>
      </c>
      <c r="AE424" t="str">
        <f>IF('1. Live'!AE424='check-Jul25'!AE424,"",'1. Live'!AE424-'check-Jul25'!AE424)</f>
        <v/>
      </c>
      <c r="AF424" t="str">
        <f>IF('1. Live'!AF424='check-Jul25'!AF424,"",'1. Live'!AF424-'check-Jul25'!AF424)</f>
        <v/>
      </c>
      <c r="AG424" t="str">
        <f>IF('1. Live'!AG424='check-Jul25'!AG424,"",'1. Live'!AG424-'check-Jul25'!AG424)</f>
        <v/>
      </c>
      <c r="AH424" t="str">
        <f>IF('1. Live'!AH424='check-Jul25'!AH424,"",'1. Live'!AH424-'check-Jul25'!AH424)</f>
        <v/>
      </c>
      <c r="AI424" t="str">
        <f>IF('1. Live'!AI424='check-Jul25'!AI424,"",'1. Live'!AI424-'check-Jul25'!AI424)</f>
        <v/>
      </c>
      <c r="AJ424" t="str">
        <f>IF('1. Live'!AJ424='check-Jul25'!AJ424,"",'1. Live'!AJ424-'check-Jul25'!AJ424)</f>
        <v/>
      </c>
      <c r="AK424" t="str">
        <f>IF('1. Live'!AK424='check-Jul25'!AK424,"",'1. Live'!AK424-'check-Jul25'!AK424)</f>
        <v/>
      </c>
      <c r="AL424" t="str">
        <f>IF('1. Live'!AL424='check-Jul25'!AL424,"",'1. Live'!AL424-'check-Jul25'!AL424)</f>
        <v/>
      </c>
      <c r="AM424" t="str">
        <f>IF('1. Live'!AM424='check-Jul25'!AM424,"",'1. Live'!AM424-'check-Jul25'!AM424)</f>
        <v/>
      </c>
      <c r="AN424" t="str">
        <f>IF('1. Live'!AN424='check-Jul25'!AN424,"",'1. Live'!AN424-'check-Jul25'!AN424)</f>
        <v/>
      </c>
      <c r="AO424" t="str">
        <f>IF('1. Live'!AO424='check-Jul25'!AO424,"",'1. Live'!AO424-'check-Jul25'!AO424)</f>
        <v/>
      </c>
      <c r="AP424" t="str">
        <f>IF('1. Live'!AP424='check-Jul25'!AP424,"",'1. Live'!AP424-'check-Jul25'!AP424)</f>
        <v/>
      </c>
      <c r="AQ424" t="str">
        <f>IF('1. Live'!AQ424='check-Jul25'!AQ424,"",'1. Live'!AQ424-'check-Jul25'!AQ424)</f>
        <v/>
      </c>
      <c r="AR424" t="str">
        <f>IF('1. Live'!AR424='check-Jul25'!AR424,"",'1. Live'!AR424-'check-Jul25'!AR424)</f>
        <v/>
      </c>
      <c r="AS424" t="str">
        <f>IF('1. Live'!AS424='check-Jul25'!AS424,"",'1. Live'!AS424-'check-Jul25'!AS424)</f>
        <v/>
      </c>
      <c r="AT424" t="str">
        <f>IF('1. Live'!AT424='check-Jul25'!AT424,"",'1. Live'!AT424-'check-Jul25'!AT424)</f>
        <v/>
      </c>
      <c r="AU424" t="str">
        <f>IF('1. Live'!AU424='check-Jul25'!AU424,"",'1. Live'!AU424-'check-Jul25'!AU424)</f>
        <v/>
      </c>
      <c r="AV424" t="str">
        <f>IF('1. Live'!AV424='check-Jul25'!AV424,"",'1. Live'!AV424-'check-Jul25'!AV424)</f>
        <v/>
      </c>
      <c r="AW424" t="str">
        <f>IF('1. Live'!AW424='check-Jul25'!AW424,"",'1. Live'!AW424-'check-Jul25'!AW424)</f>
        <v/>
      </c>
      <c r="AX424" t="str">
        <f>IF('1. Live'!AX424='check-Jul25'!AX424,"",'1. Live'!AX424-'check-Jul25'!AX424)</f>
        <v/>
      </c>
      <c r="AY424" t="str">
        <f>IF('1. Live'!AY424='check-Jul25'!AY424,"",'1. Live'!AY424-'check-Jul25'!AY424)</f>
        <v/>
      </c>
      <c r="AZ424" t="str">
        <f>IF('1. Live'!AZ424='check-Jul25'!AZ424,"",'1. Live'!AZ424-'check-Jul25'!AZ424)</f>
        <v/>
      </c>
      <c r="BA424" t="str">
        <f>IF('1. Live'!BA424='check-Jul25'!BA424,"",'1. Live'!BA424-'check-Jul25'!BA424)</f>
        <v/>
      </c>
      <c r="BB424" t="str">
        <f>IF('1. Live'!BB424='check-Jul25'!BB424,"",'1. Live'!BB424-'check-Jul25'!BB424)</f>
        <v/>
      </c>
      <c r="BC424" t="str">
        <f>IF('1. Live'!BC424='check-Jul25'!BC424,"",'1. Live'!BC424-'check-Jul25'!BC424)</f>
        <v/>
      </c>
      <c r="BD424" t="str">
        <f>IF('1. Live'!BD424='check-Jul25'!BD424,"",'1. Live'!BD424-'check-Jul25'!BD424)</f>
        <v/>
      </c>
      <c r="BE424" t="str">
        <f>IF('1. Live'!BE424='check-Jul25'!BE424,"",'1. Live'!BE424-'check-Jul25'!BE424)</f>
        <v/>
      </c>
      <c r="BF424" t="str">
        <f>IF('1. Live'!BF424='check-Jul25'!BF424,"",'1. Live'!BF424-'check-Jul25'!BF424)</f>
        <v/>
      </c>
      <c r="BG424" t="str">
        <f>IF('1. Live'!BG424='check-Jul25'!BG424,"",'1. Live'!BG424-'check-Jul25'!BG424)</f>
        <v/>
      </c>
      <c r="BH424" t="str">
        <f>IF('1. Live'!BH424='check-Jul25'!BH424,"",'1. Live'!BH424-'check-Jul25'!BH424)</f>
        <v/>
      </c>
      <c r="BI424" t="str">
        <f>IF('1. Live'!BI424='check-Jul25'!BI424,"",'1. Live'!BI424-'check-Jul25'!BI424)</f>
        <v/>
      </c>
      <c r="BJ424" t="str">
        <f>IF('1. Live'!BJ424='check-Jul25'!BJ424,"",'1. Live'!BJ424-'check-Jul25'!BJ424)</f>
        <v/>
      </c>
      <c r="BK424" t="str">
        <f>IF('1. Live'!BK424='check-Jul25'!BK424,"",'1. Live'!BK424-'check-Jul25'!BK424)</f>
        <v/>
      </c>
      <c r="BL424" t="str">
        <f>IF('1. Live'!BL424='check-Jul25'!BL424,"",'1. Live'!BL424-'check-Jul25'!BL424)</f>
        <v/>
      </c>
      <c r="BM424" t="str">
        <f>IF('1. Live'!BM424='check-Jul25'!BM424,"",'1. Live'!BM424-'check-Jul25'!BM424)</f>
        <v/>
      </c>
      <c r="BN424" t="str">
        <f>IF('1. Live'!BN424='check-Jul25'!BN424,"",'1. Live'!BN424-'check-Jul25'!BN424)</f>
        <v/>
      </c>
      <c r="BO424" t="str">
        <f>IF('1. Live'!BO424='check-Jul25'!BO424,"",'1. Live'!BO424-'check-Jul25'!BO424)</f>
        <v/>
      </c>
      <c r="BP424" t="str">
        <f>IF('1. Live'!BP424='check-Jul25'!BP424,"",'1. Live'!BP424-'check-Jul25'!BP424)</f>
        <v/>
      </c>
      <c r="BQ424" t="str">
        <f>IF('1. Live'!BQ424='check-Jul25'!BQ424,"",'1. Live'!BQ424-'check-Jul25'!BQ424)</f>
        <v/>
      </c>
      <c r="BR424" t="str">
        <f>IF('1. Live'!BR424='check-Jul25'!BR424,"",'1. Live'!BR424-'check-Jul25'!BR424)</f>
        <v/>
      </c>
      <c r="BS424" t="str">
        <f>IF('1. Live'!BS424='check-Jul25'!BS424,"",'1. Live'!BS424-'check-Jul25'!BS424)</f>
        <v/>
      </c>
      <c r="BT424" t="str">
        <f>IF('1. Live'!BT424='check-Jul25'!BT424,"",'1. Live'!BT424-'check-Jul25'!BT424)</f>
        <v/>
      </c>
      <c r="BU424" t="str">
        <f>IF('1. Live'!BU424='check-Jul25'!BU424,"",'1. Live'!BU424-'check-Jul25'!BU424)</f>
        <v/>
      </c>
      <c r="BV424" t="str">
        <f>IF('1. Live'!BV424='check-Jul25'!BV424,"",'1. Live'!BV424-'check-Jul25'!BV424)</f>
        <v/>
      </c>
      <c r="BW424" t="str">
        <f>IF('1. Live'!BW424='check-Jul25'!BW424,"",'1. Live'!BW424-'check-Jul25'!BW424)</f>
        <v/>
      </c>
      <c r="BX424" t="str">
        <f>IF('1. Live'!BX424='check-Jul25'!BX424,"",'1. Live'!BX424-'check-Jul25'!BX424)</f>
        <v/>
      </c>
      <c r="BY424" t="str">
        <f>IF('1. Live'!BY424='check-Jul25'!BY424,"",'1. Live'!BY424-'check-Jul25'!BY424)</f>
        <v/>
      </c>
      <c r="BZ424" t="str">
        <f>IF('1. Live'!BZ424='check-Jul25'!BZ424,"",'1. Live'!BZ424-'check-Jul25'!BZ424)</f>
        <v/>
      </c>
      <c r="CA424" t="str">
        <f>IF('1. Live'!CA424='check-Jul25'!CA424,"",'1. Live'!CA424-'check-Jul25'!CA424)</f>
        <v/>
      </c>
      <c r="CB424" t="str">
        <f>IF('1. Live'!CB424='check-Jul25'!CB424,"",'1. Live'!CB424-'check-Jul25'!CB424)</f>
        <v/>
      </c>
      <c r="CC424" t="str">
        <f>IF('1. Live'!CC424='check-Jul25'!CC424,"",'1. Live'!CC424-'check-Jul25'!CC424)</f>
        <v/>
      </c>
      <c r="CD424" t="str">
        <f>IF('1. Live'!CD424='check-Jul25'!CD424,"",'1. Live'!CD424-'check-Jul25'!CD424)</f>
        <v/>
      </c>
      <c r="CE424" t="str">
        <f>IF('1. Live'!CE424='check-Jul25'!CE424,"",'1. Live'!CE424-'check-Jul25'!CE424)</f>
        <v/>
      </c>
      <c r="CF424" t="str">
        <f>IF('1. Live'!CF424='check-Jul25'!CF424,"",'1. Live'!CF424-'check-Jul25'!CF424)</f>
        <v/>
      </c>
      <c r="CG424" t="str">
        <f>IF('1. Live'!CG424='check-Jul25'!CG424,"",'1. Live'!CG424-'check-Jul25'!CG424)</f>
        <v/>
      </c>
      <c r="CH424" t="str">
        <f>IF('1. Live'!CH424='check-Jul25'!CH424,"",'1. Live'!CH424-'check-Jul25'!CH424)</f>
        <v/>
      </c>
      <c r="CI424" t="str">
        <f>IF('1. Live'!CI424='check-Jul25'!CI424,"",'1. Live'!CI424-'check-Jul25'!CI424)</f>
        <v/>
      </c>
      <c r="CJ424" t="str">
        <f>IF('1. Live'!CJ424='check-Jul25'!CJ424,"",'1. Live'!CJ424-'check-Jul25'!CJ424)</f>
        <v/>
      </c>
      <c r="CK424" t="str">
        <f>IF('1. Live'!CK424='check-Jul25'!CK424,"",'1. Live'!CK424-'check-Jul25'!CK424)</f>
        <v/>
      </c>
      <c r="CL424" t="str">
        <f>IF('1. Live'!CL424='check-Jul25'!CL424,"",'1. Live'!CL424-'check-Jul25'!CL424)</f>
        <v/>
      </c>
      <c r="CM424" t="str">
        <f>IF('1. Live'!CM424='check-Jul25'!CM424,"",'1. Live'!CM424-'check-Jul25'!CM424)</f>
        <v/>
      </c>
      <c r="CN424" t="str">
        <f>IF('1. Live'!CN424='check-Jul25'!CN424,"",'1. Live'!CN424-'check-Jul25'!CN424)</f>
        <v/>
      </c>
      <c r="CO424" t="str">
        <f>IF('1. Live'!CO424='check-Jul25'!CO424,"",'1. Live'!CO424-'check-Jul25'!CO424)</f>
        <v/>
      </c>
      <c r="CP424" t="str">
        <f>IF('1. Live'!CP424='check-Jul25'!CP424,"",'1. Live'!CP424-'check-Jul25'!CP424)</f>
        <v/>
      </c>
      <c r="CQ424" t="str">
        <f>IF('1. Live'!CQ424='check-Jul25'!CQ424,"",'1. Live'!CQ424-'check-Jul25'!CQ424)</f>
        <v/>
      </c>
      <c r="CR424" t="str">
        <f>IF('1. Live'!CR424='check-Jul25'!CR424,"",'1. Live'!CR424-'check-Jul25'!CR424)</f>
        <v/>
      </c>
      <c r="CS424" t="str">
        <f>IF('1. Live'!CS424='check-Jul25'!CS424,"",'1. Live'!CS424-'check-Jul25'!CS424)</f>
        <v/>
      </c>
      <c r="CT424" t="str">
        <f>IF('1. Live'!CT424='check-Jul25'!CT424,"",'1. Live'!CT424-'check-Jul25'!CT424)</f>
        <v/>
      </c>
      <c r="CU424" t="str">
        <f>IF('1. Live'!CU424='check-Jul25'!CU424,"",'1. Live'!CU424-'check-Jul25'!CU424)</f>
        <v/>
      </c>
      <c r="CV424" t="str">
        <f>IF('1. Live'!CV424='check-Jul25'!CV424,"",'1. Live'!CV424-'check-Jul25'!CV424)</f>
        <v/>
      </c>
      <c r="CW424" t="str">
        <f>IF('1. Live'!CW424='check-Jul25'!CW424,"",'1. Live'!CW424-'check-Jul25'!CW424)</f>
        <v/>
      </c>
    </row>
    <row r="425" spans="10:101">
      <c r="J425" t="str">
        <f>IF('1. Live'!J425='check-Jul25'!J425,"",'1. Live'!J425-'check-Jul25'!J425)</f>
        <v/>
      </c>
      <c r="K425" t="str">
        <f>IF('1. Live'!K425='check-Jul25'!K425,"",'1. Live'!K425-'check-Jul25'!K425)</f>
        <v/>
      </c>
      <c r="L425" t="str">
        <f>IF('1. Live'!L425='check-Jul25'!L425,"",'1. Live'!L425-'check-Jul25'!L425)</f>
        <v/>
      </c>
      <c r="M425" t="str">
        <f>IF('1. Live'!M425='check-Jul25'!M425,"",'1. Live'!M425-'check-Jul25'!M425)</f>
        <v/>
      </c>
      <c r="N425" t="str">
        <f>IF('1. Live'!N425='check-Jul25'!N425,"",'1. Live'!N425-'check-Jul25'!N425)</f>
        <v/>
      </c>
      <c r="O425" t="str">
        <f>IF('1. Live'!O425='check-Jul25'!O425,"",'1. Live'!O425-'check-Jul25'!O425)</f>
        <v/>
      </c>
      <c r="P425" t="str">
        <f>IF('1. Live'!P425='check-Jul25'!P425,"",'1. Live'!P425-'check-Jul25'!P425)</f>
        <v/>
      </c>
      <c r="Q425" t="str">
        <f>IF('1. Live'!Q425='check-Jul25'!Q425,"",'1. Live'!Q425-'check-Jul25'!Q425)</f>
        <v/>
      </c>
      <c r="R425" t="str">
        <f>IF('1. Live'!R425='check-Jul25'!R425,"",'1. Live'!R425-'check-Jul25'!R425)</f>
        <v/>
      </c>
      <c r="S425" t="str">
        <f>IF('1. Live'!S425='check-Jul25'!S425,"",'1. Live'!S425-'check-Jul25'!S425)</f>
        <v/>
      </c>
      <c r="T425" t="str">
        <f>IF('1. Live'!T425='check-Jul25'!T425,"",'1. Live'!T425-'check-Jul25'!T425)</f>
        <v/>
      </c>
      <c r="U425" t="str">
        <f>IF('1. Live'!U425='check-Jul25'!U425,"",'1. Live'!U425-'check-Jul25'!U425)</f>
        <v/>
      </c>
      <c r="V425" t="str">
        <f>IF('1. Live'!V425='check-Jul25'!V425,"",'1. Live'!V425-'check-Jul25'!V425)</f>
        <v/>
      </c>
      <c r="W425" t="str">
        <f>IF('1. Live'!W425='check-Jul25'!W425,"",'1. Live'!W425-'check-Jul25'!W425)</f>
        <v/>
      </c>
      <c r="X425" t="str">
        <f>IF('1. Live'!X425='check-Jul25'!X425,"",'1. Live'!X425-'check-Jul25'!X425)</f>
        <v/>
      </c>
      <c r="Y425" t="str">
        <f>IF('1. Live'!Y425='check-Jul25'!Y425,"",'1. Live'!Y425-'check-Jul25'!Y425)</f>
        <v/>
      </c>
      <c r="Z425" t="str">
        <f>IF('1. Live'!Z425='check-Jul25'!Z425,"",'1. Live'!Z425-'check-Jul25'!Z425)</f>
        <v/>
      </c>
      <c r="AA425" t="str">
        <f>IF('1. Live'!AA425='check-Jul25'!AA425,"",'1. Live'!AA425-'check-Jul25'!AA425)</f>
        <v/>
      </c>
      <c r="AB425" t="str">
        <f>IF('1. Live'!AB425='check-Jul25'!AB425,"",'1. Live'!AB425-'check-Jul25'!AB425)</f>
        <v/>
      </c>
      <c r="AC425" t="str">
        <f>IF('1. Live'!AC425='check-Jul25'!AC425,"",'1. Live'!AC425-'check-Jul25'!AC425)</f>
        <v/>
      </c>
      <c r="AD425" t="str">
        <f>IF('1. Live'!AD425='check-Jul25'!AD425,"",'1. Live'!AD425-'check-Jul25'!AD425)</f>
        <v/>
      </c>
      <c r="AE425" t="str">
        <f>IF('1. Live'!AE425='check-Jul25'!AE425,"",'1. Live'!AE425-'check-Jul25'!AE425)</f>
        <v/>
      </c>
      <c r="AF425" t="str">
        <f>IF('1. Live'!AF425='check-Jul25'!AF425,"",'1. Live'!AF425-'check-Jul25'!AF425)</f>
        <v/>
      </c>
      <c r="AG425" t="str">
        <f>IF('1. Live'!AG425='check-Jul25'!AG425,"",'1. Live'!AG425-'check-Jul25'!AG425)</f>
        <v/>
      </c>
      <c r="AH425" t="str">
        <f>IF('1. Live'!AH425='check-Jul25'!AH425,"",'1. Live'!AH425-'check-Jul25'!AH425)</f>
        <v/>
      </c>
      <c r="AI425" t="str">
        <f>IF('1. Live'!AI425='check-Jul25'!AI425,"",'1. Live'!AI425-'check-Jul25'!AI425)</f>
        <v/>
      </c>
      <c r="AJ425" t="str">
        <f>IF('1. Live'!AJ425='check-Jul25'!AJ425,"",'1. Live'!AJ425-'check-Jul25'!AJ425)</f>
        <v/>
      </c>
      <c r="AK425" t="str">
        <f>IF('1. Live'!AK425='check-Jul25'!AK425,"",'1. Live'!AK425-'check-Jul25'!AK425)</f>
        <v/>
      </c>
      <c r="AL425" t="str">
        <f>IF('1. Live'!AL425='check-Jul25'!AL425,"",'1. Live'!AL425-'check-Jul25'!AL425)</f>
        <v/>
      </c>
      <c r="AM425" t="str">
        <f>IF('1. Live'!AM425='check-Jul25'!AM425,"",'1. Live'!AM425-'check-Jul25'!AM425)</f>
        <v/>
      </c>
      <c r="AN425" t="str">
        <f>IF('1. Live'!AN425='check-Jul25'!AN425,"",'1. Live'!AN425-'check-Jul25'!AN425)</f>
        <v/>
      </c>
      <c r="AO425" t="str">
        <f>IF('1. Live'!AO425='check-Jul25'!AO425,"",'1. Live'!AO425-'check-Jul25'!AO425)</f>
        <v/>
      </c>
      <c r="AP425" t="str">
        <f>IF('1. Live'!AP425='check-Jul25'!AP425,"",'1. Live'!AP425-'check-Jul25'!AP425)</f>
        <v/>
      </c>
      <c r="AQ425" t="str">
        <f>IF('1. Live'!AQ425='check-Jul25'!AQ425,"",'1. Live'!AQ425-'check-Jul25'!AQ425)</f>
        <v/>
      </c>
      <c r="AR425" t="str">
        <f>IF('1. Live'!AR425='check-Jul25'!AR425,"",'1. Live'!AR425-'check-Jul25'!AR425)</f>
        <v/>
      </c>
      <c r="AS425" t="str">
        <f>IF('1. Live'!AS425='check-Jul25'!AS425,"",'1. Live'!AS425-'check-Jul25'!AS425)</f>
        <v/>
      </c>
      <c r="AT425" t="str">
        <f>IF('1. Live'!AT425='check-Jul25'!AT425,"",'1. Live'!AT425-'check-Jul25'!AT425)</f>
        <v/>
      </c>
      <c r="AU425" t="str">
        <f>IF('1. Live'!AU425='check-Jul25'!AU425,"",'1. Live'!AU425-'check-Jul25'!AU425)</f>
        <v/>
      </c>
      <c r="AV425" t="str">
        <f>IF('1. Live'!AV425='check-Jul25'!AV425,"",'1. Live'!AV425-'check-Jul25'!AV425)</f>
        <v/>
      </c>
      <c r="AW425" t="str">
        <f>IF('1. Live'!AW425='check-Jul25'!AW425,"",'1. Live'!AW425-'check-Jul25'!AW425)</f>
        <v/>
      </c>
      <c r="AX425" t="str">
        <f>IF('1. Live'!AX425='check-Jul25'!AX425,"",'1. Live'!AX425-'check-Jul25'!AX425)</f>
        <v/>
      </c>
      <c r="AY425" t="str">
        <f>IF('1. Live'!AY425='check-Jul25'!AY425,"",'1. Live'!AY425-'check-Jul25'!AY425)</f>
        <v/>
      </c>
      <c r="AZ425" t="str">
        <f>IF('1. Live'!AZ425='check-Jul25'!AZ425,"",'1. Live'!AZ425-'check-Jul25'!AZ425)</f>
        <v/>
      </c>
      <c r="BA425" t="str">
        <f>IF('1. Live'!BA425='check-Jul25'!BA425,"",'1. Live'!BA425-'check-Jul25'!BA425)</f>
        <v/>
      </c>
      <c r="BB425" t="str">
        <f>IF('1. Live'!BB425='check-Jul25'!BB425,"",'1. Live'!BB425-'check-Jul25'!BB425)</f>
        <v/>
      </c>
      <c r="BC425" t="str">
        <f>IF('1. Live'!BC425='check-Jul25'!BC425,"",'1. Live'!BC425-'check-Jul25'!BC425)</f>
        <v/>
      </c>
      <c r="BD425" t="str">
        <f>IF('1. Live'!BD425='check-Jul25'!BD425,"",'1. Live'!BD425-'check-Jul25'!BD425)</f>
        <v/>
      </c>
      <c r="BE425" t="str">
        <f>IF('1. Live'!BE425='check-Jul25'!BE425,"",'1. Live'!BE425-'check-Jul25'!BE425)</f>
        <v/>
      </c>
      <c r="BF425" t="str">
        <f>IF('1. Live'!BF425='check-Jul25'!BF425,"",'1. Live'!BF425-'check-Jul25'!BF425)</f>
        <v/>
      </c>
      <c r="BG425" t="str">
        <f>IF('1. Live'!BG425='check-Jul25'!BG425,"",'1. Live'!BG425-'check-Jul25'!BG425)</f>
        <v/>
      </c>
      <c r="BH425" t="str">
        <f>IF('1. Live'!BH425='check-Jul25'!BH425,"",'1. Live'!BH425-'check-Jul25'!BH425)</f>
        <v/>
      </c>
      <c r="BI425" t="str">
        <f>IF('1. Live'!BI425='check-Jul25'!BI425,"",'1. Live'!BI425-'check-Jul25'!BI425)</f>
        <v/>
      </c>
      <c r="BJ425" t="str">
        <f>IF('1. Live'!BJ425='check-Jul25'!BJ425,"",'1. Live'!BJ425-'check-Jul25'!BJ425)</f>
        <v/>
      </c>
      <c r="BK425" t="str">
        <f>IF('1. Live'!BK425='check-Jul25'!BK425,"",'1. Live'!BK425-'check-Jul25'!BK425)</f>
        <v/>
      </c>
      <c r="BL425" t="str">
        <f>IF('1. Live'!BL425='check-Jul25'!BL425,"",'1. Live'!BL425-'check-Jul25'!BL425)</f>
        <v/>
      </c>
      <c r="BM425" t="str">
        <f>IF('1. Live'!BM425='check-Jul25'!BM425,"",'1. Live'!BM425-'check-Jul25'!BM425)</f>
        <v/>
      </c>
      <c r="BN425" t="str">
        <f>IF('1. Live'!BN425='check-Jul25'!BN425,"",'1. Live'!BN425-'check-Jul25'!BN425)</f>
        <v/>
      </c>
      <c r="BO425" t="str">
        <f>IF('1. Live'!BO425='check-Jul25'!BO425,"",'1. Live'!BO425-'check-Jul25'!BO425)</f>
        <v/>
      </c>
      <c r="BP425" t="str">
        <f>IF('1. Live'!BP425='check-Jul25'!BP425,"",'1. Live'!BP425-'check-Jul25'!BP425)</f>
        <v/>
      </c>
      <c r="BQ425" t="str">
        <f>IF('1. Live'!BQ425='check-Jul25'!BQ425,"",'1. Live'!BQ425-'check-Jul25'!BQ425)</f>
        <v/>
      </c>
      <c r="BR425" t="str">
        <f>IF('1. Live'!BR425='check-Jul25'!BR425,"",'1. Live'!BR425-'check-Jul25'!BR425)</f>
        <v/>
      </c>
      <c r="BS425" t="str">
        <f>IF('1. Live'!BS425='check-Jul25'!BS425,"",'1. Live'!BS425-'check-Jul25'!BS425)</f>
        <v/>
      </c>
      <c r="BT425" t="str">
        <f>IF('1. Live'!BT425='check-Jul25'!BT425,"",'1. Live'!BT425-'check-Jul25'!BT425)</f>
        <v/>
      </c>
      <c r="BU425" t="str">
        <f>IF('1. Live'!BU425='check-Jul25'!BU425,"",'1. Live'!BU425-'check-Jul25'!BU425)</f>
        <v/>
      </c>
      <c r="BV425" t="str">
        <f>IF('1. Live'!BV425='check-Jul25'!BV425,"",'1. Live'!BV425-'check-Jul25'!BV425)</f>
        <v/>
      </c>
      <c r="BW425" t="str">
        <f>IF('1. Live'!BW425='check-Jul25'!BW425,"",'1. Live'!BW425-'check-Jul25'!BW425)</f>
        <v/>
      </c>
      <c r="BX425" t="str">
        <f>IF('1. Live'!BX425='check-Jul25'!BX425,"",'1. Live'!BX425-'check-Jul25'!BX425)</f>
        <v/>
      </c>
      <c r="BY425" t="str">
        <f>IF('1. Live'!BY425='check-Jul25'!BY425,"",'1. Live'!BY425-'check-Jul25'!BY425)</f>
        <v/>
      </c>
      <c r="BZ425" t="str">
        <f>IF('1. Live'!BZ425='check-Jul25'!BZ425,"",'1. Live'!BZ425-'check-Jul25'!BZ425)</f>
        <v/>
      </c>
      <c r="CA425" t="str">
        <f>IF('1. Live'!CA425='check-Jul25'!CA425,"",'1. Live'!CA425-'check-Jul25'!CA425)</f>
        <v/>
      </c>
      <c r="CB425" t="str">
        <f>IF('1. Live'!CB425='check-Jul25'!CB425,"",'1. Live'!CB425-'check-Jul25'!CB425)</f>
        <v/>
      </c>
      <c r="CC425" t="str">
        <f>IF('1. Live'!CC425='check-Jul25'!CC425,"",'1. Live'!CC425-'check-Jul25'!CC425)</f>
        <v/>
      </c>
      <c r="CD425" t="str">
        <f>IF('1. Live'!CD425='check-Jul25'!CD425,"",'1. Live'!CD425-'check-Jul25'!CD425)</f>
        <v/>
      </c>
      <c r="CE425" t="str">
        <f>IF('1. Live'!CE425='check-Jul25'!CE425,"",'1. Live'!CE425-'check-Jul25'!CE425)</f>
        <v/>
      </c>
      <c r="CF425" t="str">
        <f>IF('1. Live'!CF425='check-Jul25'!CF425,"",'1. Live'!CF425-'check-Jul25'!CF425)</f>
        <v/>
      </c>
      <c r="CG425" t="str">
        <f>IF('1. Live'!CG425='check-Jul25'!CG425,"",'1. Live'!CG425-'check-Jul25'!CG425)</f>
        <v/>
      </c>
      <c r="CH425" t="str">
        <f>IF('1. Live'!CH425='check-Jul25'!CH425,"",'1. Live'!CH425-'check-Jul25'!CH425)</f>
        <v/>
      </c>
      <c r="CI425" t="str">
        <f>IF('1. Live'!CI425='check-Jul25'!CI425,"",'1. Live'!CI425-'check-Jul25'!CI425)</f>
        <v/>
      </c>
      <c r="CJ425" t="str">
        <f>IF('1. Live'!CJ425='check-Jul25'!CJ425,"",'1. Live'!CJ425-'check-Jul25'!CJ425)</f>
        <v/>
      </c>
      <c r="CK425" t="str">
        <f>IF('1. Live'!CK425='check-Jul25'!CK425,"",'1. Live'!CK425-'check-Jul25'!CK425)</f>
        <v/>
      </c>
      <c r="CL425" t="str">
        <f>IF('1. Live'!CL425='check-Jul25'!CL425,"",'1. Live'!CL425-'check-Jul25'!CL425)</f>
        <v/>
      </c>
      <c r="CM425" t="str">
        <f>IF('1. Live'!CM425='check-Jul25'!CM425,"",'1. Live'!CM425-'check-Jul25'!CM425)</f>
        <v/>
      </c>
      <c r="CN425" t="str">
        <f>IF('1. Live'!CN425='check-Jul25'!CN425,"",'1. Live'!CN425-'check-Jul25'!CN425)</f>
        <v/>
      </c>
      <c r="CO425" t="str">
        <f>IF('1. Live'!CO425='check-Jul25'!CO425,"",'1. Live'!CO425-'check-Jul25'!CO425)</f>
        <v/>
      </c>
      <c r="CP425" t="str">
        <f>IF('1. Live'!CP425='check-Jul25'!CP425,"",'1. Live'!CP425-'check-Jul25'!CP425)</f>
        <v/>
      </c>
      <c r="CQ425" t="str">
        <f>IF('1. Live'!CQ425='check-Jul25'!CQ425,"",'1. Live'!CQ425-'check-Jul25'!CQ425)</f>
        <v/>
      </c>
      <c r="CR425" t="str">
        <f>IF('1. Live'!CR425='check-Jul25'!CR425,"",'1. Live'!CR425-'check-Jul25'!CR425)</f>
        <v/>
      </c>
      <c r="CS425" t="str">
        <f>IF('1. Live'!CS425='check-Jul25'!CS425,"",'1. Live'!CS425-'check-Jul25'!CS425)</f>
        <v/>
      </c>
      <c r="CT425" t="str">
        <f>IF('1. Live'!CT425='check-Jul25'!CT425,"",'1. Live'!CT425-'check-Jul25'!CT425)</f>
        <v/>
      </c>
      <c r="CU425" t="str">
        <f>IF('1. Live'!CU425='check-Jul25'!CU425,"",'1. Live'!CU425-'check-Jul25'!CU425)</f>
        <v/>
      </c>
      <c r="CV425" t="str">
        <f>IF('1. Live'!CV425='check-Jul25'!CV425,"",'1. Live'!CV425-'check-Jul25'!CV425)</f>
        <v/>
      </c>
      <c r="CW425" t="str">
        <f>IF('1. Live'!CW425='check-Jul25'!CW425,"",'1. Live'!CW425-'check-Jul25'!CW425)</f>
        <v/>
      </c>
    </row>
    <row r="426" spans="10:101">
      <c r="J426" t="str">
        <f>IF('1. Live'!J426='check-Jul25'!J426,"",'1. Live'!J426-'check-Jul25'!J426)</f>
        <v/>
      </c>
      <c r="K426" t="str">
        <f>IF('1. Live'!K426='check-Jul25'!K426,"",'1. Live'!K426-'check-Jul25'!K426)</f>
        <v/>
      </c>
      <c r="L426" t="str">
        <f>IF('1. Live'!L426='check-Jul25'!L426,"",'1. Live'!L426-'check-Jul25'!L426)</f>
        <v/>
      </c>
      <c r="M426" t="str">
        <f>IF('1. Live'!M426='check-Jul25'!M426,"",'1. Live'!M426-'check-Jul25'!M426)</f>
        <v/>
      </c>
      <c r="N426" t="str">
        <f>IF('1. Live'!N426='check-Jul25'!N426,"",'1. Live'!N426-'check-Jul25'!N426)</f>
        <v/>
      </c>
      <c r="O426" t="str">
        <f>IF('1. Live'!O426='check-Jul25'!O426,"",'1. Live'!O426-'check-Jul25'!O426)</f>
        <v/>
      </c>
      <c r="P426" t="str">
        <f>IF('1. Live'!P426='check-Jul25'!P426,"",'1. Live'!P426-'check-Jul25'!P426)</f>
        <v/>
      </c>
      <c r="Q426" t="str">
        <f>IF('1. Live'!Q426='check-Jul25'!Q426,"",'1. Live'!Q426-'check-Jul25'!Q426)</f>
        <v/>
      </c>
      <c r="R426" t="str">
        <f>IF('1. Live'!R426='check-Jul25'!R426,"",'1. Live'!R426-'check-Jul25'!R426)</f>
        <v/>
      </c>
      <c r="S426" t="str">
        <f>IF('1. Live'!S426='check-Jul25'!S426,"",'1. Live'!S426-'check-Jul25'!S426)</f>
        <v/>
      </c>
      <c r="T426" t="str">
        <f>IF('1. Live'!T426='check-Jul25'!T426,"",'1. Live'!T426-'check-Jul25'!T426)</f>
        <v/>
      </c>
      <c r="U426" t="str">
        <f>IF('1. Live'!U426='check-Jul25'!U426,"",'1. Live'!U426-'check-Jul25'!U426)</f>
        <v/>
      </c>
      <c r="V426" t="str">
        <f>IF('1. Live'!V426='check-Jul25'!V426,"",'1. Live'!V426-'check-Jul25'!V426)</f>
        <v/>
      </c>
      <c r="W426" t="str">
        <f>IF('1. Live'!W426='check-Jul25'!W426,"",'1. Live'!W426-'check-Jul25'!W426)</f>
        <v/>
      </c>
      <c r="X426" t="str">
        <f>IF('1. Live'!X426='check-Jul25'!X426,"",'1. Live'!X426-'check-Jul25'!X426)</f>
        <v/>
      </c>
      <c r="Y426" t="str">
        <f>IF('1. Live'!Y426='check-Jul25'!Y426,"",'1. Live'!Y426-'check-Jul25'!Y426)</f>
        <v/>
      </c>
      <c r="Z426" t="str">
        <f>IF('1. Live'!Z426='check-Jul25'!Z426,"",'1. Live'!Z426-'check-Jul25'!Z426)</f>
        <v/>
      </c>
      <c r="AA426" t="str">
        <f>IF('1. Live'!AA426='check-Jul25'!AA426,"",'1. Live'!AA426-'check-Jul25'!AA426)</f>
        <v/>
      </c>
      <c r="AB426" t="str">
        <f>IF('1. Live'!AB426='check-Jul25'!AB426,"",'1. Live'!AB426-'check-Jul25'!AB426)</f>
        <v/>
      </c>
      <c r="AC426" t="str">
        <f>IF('1. Live'!AC426='check-Jul25'!AC426,"",'1. Live'!AC426-'check-Jul25'!AC426)</f>
        <v/>
      </c>
      <c r="AD426" t="str">
        <f>IF('1. Live'!AD426='check-Jul25'!AD426,"",'1. Live'!AD426-'check-Jul25'!AD426)</f>
        <v/>
      </c>
      <c r="AE426" t="str">
        <f>IF('1. Live'!AE426='check-Jul25'!AE426,"",'1. Live'!AE426-'check-Jul25'!AE426)</f>
        <v/>
      </c>
      <c r="AF426" t="str">
        <f>IF('1. Live'!AF426='check-Jul25'!AF426,"",'1. Live'!AF426-'check-Jul25'!AF426)</f>
        <v/>
      </c>
      <c r="AG426" t="str">
        <f>IF('1. Live'!AG426='check-Jul25'!AG426,"",'1. Live'!AG426-'check-Jul25'!AG426)</f>
        <v/>
      </c>
      <c r="AH426" t="str">
        <f>IF('1. Live'!AH426='check-Jul25'!AH426,"",'1. Live'!AH426-'check-Jul25'!AH426)</f>
        <v/>
      </c>
      <c r="AI426" t="str">
        <f>IF('1. Live'!AI426='check-Jul25'!AI426,"",'1. Live'!AI426-'check-Jul25'!AI426)</f>
        <v/>
      </c>
      <c r="AJ426" t="str">
        <f>IF('1. Live'!AJ426='check-Jul25'!AJ426,"",'1. Live'!AJ426-'check-Jul25'!AJ426)</f>
        <v/>
      </c>
      <c r="AK426" t="str">
        <f>IF('1. Live'!AK426='check-Jul25'!AK426,"",'1. Live'!AK426-'check-Jul25'!AK426)</f>
        <v/>
      </c>
      <c r="AL426" t="str">
        <f>IF('1. Live'!AL426='check-Jul25'!AL426,"",'1. Live'!AL426-'check-Jul25'!AL426)</f>
        <v/>
      </c>
      <c r="AM426" t="str">
        <f>IF('1. Live'!AM426='check-Jul25'!AM426,"",'1. Live'!AM426-'check-Jul25'!AM426)</f>
        <v/>
      </c>
      <c r="AN426" t="str">
        <f>IF('1. Live'!AN426='check-Jul25'!AN426,"",'1. Live'!AN426-'check-Jul25'!AN426)</f>
        <v/>
      </c>
      <c r="AO426" t="str">
        <f>IF('1. Live'!AO426='check-Jul25'!AO426,"",'1. Live'!AO426-'check-Jul25'!AO426)</f>
        <v/>
      </c>
      <c r="AP426" t="str">
        <f>IF('1. Live'!AP426='check-Jul25'!AP426,"",'1. Live'!AP426-'check-Jul25'!AP426)</f>
        <v/>
      </c>
      <c r="AQ426" t="str">
        <f>IF('1. Live'!AQ426='check-Jul25'!AQ426,"",'1. Live'!AQ426-'check-Jul25'!AQ426)</f>
        <v/>
      </c>
      <c r="AR426" t="str">
        <f>IF('1. Live'!AR426='check-Jul25'!AR426,"",'1. Live'!AR426-'check-Jul25'!AR426)</f>
        <v/>
      </c>
      <c r="AS426" t="str">
        <f>IF('1. Live'!AS426='check-Jul25'!AS426,"",'1. Live'!AS426-'check-Jul25'!AS426)</f>
        <v/>
      </c>
      <c r="AT426" t="str">
        <f>IF('1. Live'!AT426='check-Jul25'!AT426,"",'1. Live'!AT426-'check-Jul25'!AT426)</f>
        <v/>
      </c>
      <c r="AU426" t="str">
        <f>IF('1. Live'!AU426='check-Jul25'!AU426,"",'1. Live'!AU426-'check-Jul25'!AU426)</f>
        <v/>
      </c>
      <c r="AV426" t="str">
        <f>IF('1. Live'!AV426='check-Jul25'!AV426,"",'1. Live'!AV426-'check-Jul25'!AV426)</f>
        <v/>
      </c>
      <c r="AW426" t="str">
        <f>IF('1. Live'!AW426='check-Jul25'!AW426,"",'1. Live'!AW426-'check-Jul25'!AW426)</f>
        <v/>
      </c>
      <c r="AX426" t="str">
        <f>IF('1. Live'!AX426='check-Jul25'!AX426,"",'1. Live'!AX426-'check-Jul25'!AX426)</f>
        <v/>
      </c>
      <c r="AY426" t="str">
        <f>IF('1. Live'!AY426='check-Jul25'!AY426,"",'1. Live'!AY426-'check-Jul25'!AY426)</f>
        <v/>
      </c>
      <c r="AZ426" t="str">
        <f>IF('1. Live'!AZ426='check-Jul25'!AZ426,"",'1. Live'!AZ426-'check-Jul25'!AZ426)</f>
        <v/>
      </c>
      <c r="BA426" t="str">
        <f>IF('1. Live'!BA426='check-Jul25'!BA426,"",'1. Live'!BA426-'check-Jul25'!BA426)</f>
        <v/>
      </c>
      <c r="BB426" t="str">
        <f>IF('1. Live'!BB426='check-Jul25'!BB426,"",'1. Live'!BB426-'check-Jul25'!BB426)</f>
        <v/>
      </c>
      <c r="BC426" t="str">
        <f>IF('1. Live'!BC426='check-Jul25'!BC426,"",'1. Live'!BC426-'check-Jul25'!BC426)</f>
        <v/>
      </c>
      <c r="BD426" t="str">
        <f>IF('1. Live'!BD426='check-Jul25'!BD426,"",'1. Live'!BD426-'check-Jul25'!BD426)</f>
        <v/>
      </c>
      <c r="BE426" t="str">
        <f>IF('1. Live'!BE426='check-Jul25'!BE426,"",'1. Live'!BE426-'check-Jul25'!BE426)</f>
        <v/>
      </c>
      <c r="BF426" t="str">
        <f>IF('1. Live'!BF426='check-Jul25'!BF426,"",'1. Live'!BF426-'check-Jul25'!BF426)</f>
        <v/>
      </c>
      <c r="BG426" t="str">
        <f>IF('1. Live'!BG426='check-Jul25'!BG426,"",'1. Live'!BG426-'check-Jul25'!BG426)</f>
        <v/>
      </c>
      <c r="BH426" t="str">
        <f>IF('1. Live'!BH426='check-Jul25'!BH426,"",'1. Live'!BH426-'check-Jul25'!BH426)</f>
        <v/>
      </c>
      <c r="BI426" t="str">
        <f>IF('1. Live'!BI426='check-Jul25'!BI426,"",'1. Live'!BI426-'check-Jul25'!BI426)</f>
        <v/>
      </c>
      <c r="BJ426" t="str">
        <f>IF('1. Live'!BJ426='check-Jul25'!BJ426,"",'1. Live'!BJ426-'check-Jul25'!BJ426)</f>
        <v/>
      </c>
      <c r="BK426" t="str">
        <f>IF('1. Live'!BK426='check-Jul25'!BK426,"",'1. Live'!BK426-'check-Jul25'!BK426)</f>
        <v/>
      </c>
      <c r="BL426" t="str">
        <f>IF('1. Live'!BL426='check-Jul25'!BL426,"",'1. Live'!BL426-'check-Jul25'!BL426)</f>
        <v/>
      </c>
      <c r="BM426" t="str">
        <f>IF('1. Live'!BM426='check-Jul25'!BM426,"",'1. Live'!BM426-'check-Jul25'!BM426)</f>
        <v/>
      </c>
      <c r="BN426" t="str">
        <f>IF('1. Live'!BN426='check-Jul25'!BN426,"",'1. Live'!BN426-'check-Jul25'!BN426)</f>
        <v/>
      </c>
      <c r="BO426" t="str">
        <f>IF('1. Live'!BO426='check-Jul25'!BO426,"",'1. Live'!BO426-'check-Jul25'!BO426)</f>
        <v/>
      </c>
      <c r="BP426" t="str">
        <f>IF('1. Live'!BP426='check-Jul25'!BP426,"",'1. Live'!BP426-'check-Jul25'!BP426)</f>
        <v/>
      </c>
      <c r="BQ426" t="str">
        <f>IF('1. Live'!BQ426='check-Jul25'!BQ426,"",'1. Live'!BQ426-'check-Jul25'!BQ426)</f>
        <v/>
      </c>
      <c r="BR426" t="str">
        <f>IF('1. Live'!BR426='check-Jul25'!BR426,"",'1. Live'!BR426-'check-Jul25'!BR426)</f>
        <v/>
      </c>
      <c r="BS426" t="str">
        <f>IF('1. Live'!BS426='check-Jul25'!BS426,"",'1. Live'!BS426-'check-Jul25'!BS426)</f>
        <v/>
      </c>
      <c r="BT426" t="str">
        <f>IF('1. Live'!BT426='check-Jul25'!BT426,"",'1. Live'!BT426-'check-Jul25'!BT426)</f>
        <v/>
      </c>
      <c r="BU426" t="str">
        <f>IF('1. Live'!BU426='check-Jul25'!BU426,"",'1. Live'!BU426-'check-Jul25'!BU426)</f>
        <v/>
      </c>
      <c r="BV426" t="str">
        <f>IF('1. Live'!BV426='check-Jul25'!BV426,"",'1. Live'!BV426-'check-Jul25'!BV426)</f>
        <v/>
      </c>
      <c r="BW426" t="str">
        <f>IF('1. Live'!BW426='check-Jul25'!BW426,"",'1. Live'!BW426-'check-Jul25'!BW426)</f>
        <v/>
      </c>
      <c r="BX426" t="str">
        <f>IF('1. Live'!BX426='check-Jul25'!BX426,"",'1. Live'!BX426-'check-Jul25'!BX426)</f>
        <v/>
      </c>
      <c r="BY426" t="str">
        <f>IF('1. Live'!BY426='check-Jul25'!BY426,"",'1. Live'!BY426-'check-Jul25'!BY426)</f>
        <v/>
      </c>
      <c r="BZ426" t="str">
        <f>IF('1. Live'!BZ426='check-Jul25'!BZ426,"",'1. Live'!BZ426-'check-Jul25'!BZ426)</f>
        <v/>
      </c>
      <c r="CA426" t="str">
        <f>IF('1. Live'!CA426='check-Jul25'!CA426,"",'1. Live'!CA426-'check-Jul25'!CA426)</f>
        <v/>
      </c>
      <c r="CB426" t="str">
        <f>IF('1. Live'!CB426='check-Jul25'!CB426,"",'1. Live'!CB426-'check-Jul25'!CB426)</f>
        <v/>
      </c>
      <c r="CC426" t="str">
        <f>IF('1. Live'!CC426='check-Jul25'!CC426,"",'1. Live'!CC426-'check-Jul25'!CC426)</f>
        <v/>
      </c>
      <c r="CD426" t="str">
        <f>IF('1. Live'!CD426='check-Jul25'!CD426,"",'1. Live'!CD426-'check-Jul25'!CD426)</f>
        <v/>
      </c>
      <c r="CE426" t="str">
        <f>IF('1. Live'!CE426='check-Jul25'!CE426,"",'1. Live'!CE426-'check-Jul25'!CE426)</f>
        <v/>
      </c>
      <c r="CF426" t="str">
        <f>IF('1. Live'!CF426='check-Jul25'!CF426,"",'1. Live'!CF426-'check-Jul25'!CF426)</f>
        <v/>
      </c>
      <c r="CG426" t="str">
        <f>IF('1. Live'!CG426='check-Jul25'!CG426,"",'1. Live'!CG426-'check-Jul25'!CG426)</f>
        <v/>
      </c>
      <c r="CH426" t="str">
        <f>IF('1. Live'!CH426='check-Jul25'!CH426,"",'1. Live'!CH426-'check-Jul25'!CH426)</f>
        <v/>
      </c>
      <c r="CI426" t="str">
        <f>IF('1. Live'!CI426='check-Jul25'!CI426,"",'1. Live'!CI426-'check-Jul25'!CI426)</f>
        <v/>
      </c>
      <c r="CJ426" t="str">
        <f>IF('1. Live'!CJ426='check-Jul25'!CJ426,"",'1. Live'!CJ426-'check-Jul25'!CJ426)</f>
        <v/>
      </c>
      <c r="CK426" t="str">
        <f>IF('1. Live'!CK426='check-Jul25'!CK426,"",'1. Live'!CK426-'check-Jul25'!CK426)</f>
        <v/>
      </c>
      <c r="CL426" t="str">
        <f>IF('1. Live'!CL426='check-Jul25'!CL426,"",'1. Live'!CL426-'check-Jul25'!CL426)</f>
        <v/>
      </c>
      <c r="CM426" t="str">
        <f>IF('1. Live'!CM426='check-Jul25'!CM426,"",'1. Live'!CM426-'check-Jul25'!CM426)</f>
        <v/>
      </c>
      <c r="CN426" t="str">
        <f>IF('1. Live'!CN426='check-Jul25'!CN426,"",'1. Live'!CN426-'check-Jul25'!CN426)</f>
        <v/>
      </c>
      <c r="CO426" t="str">
        <f>IF('1. Live'!CO426='check-Jul25'!CO426,"",'1. Live'!CO426-'check-Jul25'!CO426)</f>
        <v/>
      </c>
      <c r="CP426" t="str">
        <f>IF('1. Live'!CP426='check-Jul25'!CP426,"",'1. Live'!CP426-'check-Jul25'!CP426)</f>
        <v/>
      </c>
      <c r="CQ426" t="str">
        <f>IF('1. Live'!CQ426='check-Jul25'!CQ426,"",'1. Live'!CQ426-'check-Jul25'!CQ426)</f>
        <v/>
      </c>
      <c r="CR426" t="str">
        <f>IF('1. Live'!CR426='check-Jul25'!CR426,"",'1. Live'!CR426-'check-Jul25'!CR426)</f>
        <v/>
      </c>
      <c r="CS426" t="str">
        <f>IF('1. Live'!CS426='check-Jul25'!CS426,"",'1. Live'!CS426-'check-Jul25'!CS426)</f>
        <v/>
      </c>
      <c r="CT426" t="str">
        <f>IF('1. Live'!CT426='check-Jul25'!CT426,"",'1. Live'!CT426-'check-Jul25'!CT426)</f>
        <v/>
      </c>
      <c r="CU426" t="str">
        <f>IF('1. Live'!CU426='check-Jul25'!CU426,"",'1. Live'!CU426-'check-Jul25'!CU426)</f>
        <v/>
      </c>
      <c r="CV426" t="str">
        <f>IF('1. Live'!CV426='check-Jul25'!CV426,"",'1. Live'!CV426-'check-Jul25'!CV426)</f>
        <v/>
      </c>
      <c r="CW426" t="str">
        <f>IF('1. Live'!CW426='check-Jul25'!CW426,"",'1. Live'!CW426-'check-Jul25'!CW426)</f>
        <v/>
      </c>
    </row>
    <row r="427" spans="10:101">
      <c r="J427" t="str">
        <f>IF('1. Live'!J427='check-Jul25'!J427,"",'1. Live'!J427-'check-Jul25'!J427)</f>
        <v/>
      </c>
      <c r="K427" t="str">
        <f>IF('1. Live'!K427='check-Jul25'!K427,"",'1. Live'!K427-'check-Jul25'!K427)</f>
        <v/>
      </c>
      <c r="L427" t="str">
        <f>IF('1. Live'!L427='check-Jul25'!L427,"",'1. Live'!L427-'check-Jul25'!L427)</f>
        <v/>
      </c>
      <c r="M427" t="str">
        <f>IF('1. Live'!M427='check-Jul25'!M427,"",'1. Live'!M427-'check-Jul25'!M427)</f>
        <v/>
      </c>
      <c r="N427" t="str">
        <f>IF('1. Live'!N427='check-Jul25'!N427,"",'1. Live'!N427-'check-Jul25'!N427)</f>
        <v/>
      </c>
      <c r="O427" t="str">
        <f>IF('1. Live'!O427='check-Jul25'!O427,"",'1. Live'!O427-'check-Jul25'!O427)</f>
        <v/>
      </c>
      <c r="P427" t="str">
        <f>IF('1. Live'!P427='check-Jul25'!P427,"",'1. Live'!P427-'check-Jul25'!P427)</f>
        <v/>
      </c>
      <c r="Q427" t="str">
        <f>IF('1. Live'!Q427='check-Jul25'!Q427,"",'1. Live'!Q427-'check-Jul25'!Q427)</f>
        <v/>
      </c>
      <c r="R427" t="str">
        <f>IF('1. Live'!R427='check-Jul25'!R427,"",'1. Live'!R427-'check-Jul25'!R427)</f>
        <v/>
      </c>
      <c r="S427" t="str">
        <f>IF('1. Live'!S427='check-Jul25'!S427,"",'1. Live'!S427-'check-Jul25'!S427)</f>
        <v/>
      </c>
      <c r="T427" t="str">
        <f>IF('1. Live'!T427='check-Jul25'!T427,"",'1. Live'!T427-'check-Jul25'!T427)</f>
        <v/>
      </c>
      <c r="U427" t="str">
        <f>IF('1. Live'!U427='check-Jul25'!U427,"",'1. Live'!U427-'check-Jul25'!U427)</f>
        <v/>
      </c>
      <c r="V427" t="str">
        <f>IF('1. Live'!V427='check-Jul25'!V427,"",'1. Live'!V427-'check-Jul25'!V427)</f>
        <v/>
      </c>
      <c r="W427" t="str">
        <f>IF('1. Live'!W427='check-Jul25'!W427,"",'1. Live'!W427-'check-Jul25'!W427)</f>
        <v/>
      </c>
      <c r="X427" t="str">
        <f>IF('1. Live'!X427='check-Jul25'!X427,"",'1. Live'!X427-'check-Jul25'!X427)</f>
        <v/>
      </c>
      <c r="Y427" t="str">
        <f>IF('1. Live'!Y427='check-Jul25'!Y427,"",'1. Live'!Y427-'check-Jul25'!Y427)</f>
        <v/>
      </c>
      <c r="Z427" t="str">
        <f>IF('1. Live'!Z427='check-Jul25'!Z427,"",'1. Live'!Z427-'check-Jul25'!Z427)</f>
        <v/>
      </c>
      <c r="AA427" t="str">
        <f>IF('1. Live'!AA427='check-Jul25'!AA427,"",'1. Live'!AA427-'check-Jul25'!AA427)</f>
        <v/>
      </c>
      <c r="AB427" t="str">
        <f>IF('1. Live'!AB427='check-Jul25'!AB427,"",'1. Live'!AB427-'check-Jul25'!AB427)</f>
        <v/>
      </c>
      <c r="AC427" t="str">
        <f>IF('1. Live'!AC427='check-Jul25'!AC427,"",'1. Live'!AC427-'check-Jul25'!AC427)</f>
        <v/>
      </c>
      <c r="AD427" t="str">
        <f>IF('1. Live'!AD427='check-Jul25'!AD427,"",'1. Live'!AD427-'check-Jul25'!AD427)</f>
        <v/>
      </c>
      <c r="AE427" t="str">
        <f>IF('1. Live'!AE427='check-Jul25'!AE427,"",'1. Live'!AE427-'check-Jul25'!AE427)</f>
        <v/>
      </c>
      <c r="AF427" t="str">
        <f>IF('1. Live'!AF427='check-Jul25'!AF427,"",'1. Live'!AF427-'check-Jul25'!AF427)</f>
        <v/>
      </c>
      <c r="AG427" t="str">
        <f>IF('1. Live'!AG427='check-Jul25'!AG427,"",'1. Live'!AG427-'check-Jul25'!AG427)</f>
        <v/>
      </c>
      <c r="AH427" t="str">
        <f>IF('1. Live'!AH427='check-Jul25'!AH427,"",'1. Live'!AH427-'check-Jul25'!AH427)</f>
        <v/>
      </c>
      <c r="AI427" t="str">
        <f>IF('1. Live'!AI427='check-Jul25'!AI427,"",'1. Live'!AI427-'check-Jul25'!AI427)</f>
        <v/>
      </c>
      <c r="AJ427" t="str">
        <f>IF('1. Live'!AJ427='check-Jul25'!AJ427,"",'1. Live'!AJ427-'check-Jul25'!AJ427)</f>
        <v/>
      </c>
      <c r="AK427" t="str">
        <f>IF('1. Live'!AK427='check-Jul25'!AK427,"",'1. Live'!AK427-'check-Jul25'!AK427)</f>
        <v/>
      </c>
      <c r="AL427" t="str">
        <f>IF('1. Live'!AL427='check-Jul25'!AL427,"",'1. Live'!AL427-'check-Jul25'!AL427)</f>
        <v/>
      </c>
      <c r="AM427" t="str">
        <f>IF('1. Live'!AM427='check-Jul25'!AM427,"",'1. Live'!AM427-'check-Jul25'!AM427)</f>
        <v/>
      </c>
      <c r="AN427" t="str">
        <f>IF('1. Live'!AN427='check-Jul25'!AN427,"",'1. Live'!AN427-'check-Jul25'!AN427)</f>
        <v/>
      </c>
      <c r="AO427" t="str">
        <f>IF('1. Live'!AO427='check-Jul25'!AO427,"",'1. Live'!AO427-'check-Jul25'!AO427)</f>
        <v/>
      </c>
      <c r="AP427" t="str">
        <f>IF('1. Live'!AP427='check-Jul25'!AP427,"",'1. Live'!AP427-'check-Jul25'!AP427)</f>
        <v/>
      </c>
      <c r="AQ427" t="str">
        <f>IF('1. Live'!AQ427='check-Jul25'!AQ427,"",'1. Live'!AQ427-'check-Jul25'!AQ427)</f>
        <v/>
      </c>
      <c r="AR427" t="str">
        <f>IF('1. Live'!AR427='check-Jul25'!AR427,"",'1. Live'!AR427-'check-Jul25'!AR427)</f>
        <v/>
      </c>
      <c r="AS427" t="str">
        <f>IF('1. Live'!AS427='check-Jul25'!AS427,"",'1. Live'!AS427-'check-Jul25'!AS427)</f>
        <v/>
      </c>
      <c r="AT427" t="str">
        <f>IF('1. Live'!AT427='check-Jul25'!AT427,"",'1. Live'!AT427-'check-Jul25'!AT427)</f>
        <v/>
      </c>
      <c r="AU427" t="str">
        <f>IF('1. Live'!AU427='check-Jul25'!AU427,"",'1. Live'!AU427-'check-Jul25'!AU427)</f>
        <v/>
      </c>
      <c r="AV427" t="str">
        <f>IF('1. Live'!AV427='check-Jul25'!AV427,"",'1. Live'!AV427-'check-Jul25'!AV427)</f>
        <v/>
      </c>
      <c r="AW427" t="str">
        <f>IF('1. Live'!AW427='check-Jul25'!AW427,"",'1. Live'!AW427-'check-Jul25'!AW427)</f>
        <v/>
      </c>
      <c r="AX427" t="str">
        <f>IF('1. Live'!AX427='check-Jul25'!AX427,"",'1. Live'!AX427-'check-Jul25'!AX427)</f>
        <v/>
      </c>
      <c r="AY427" t="str">
        <f>IF('1. Live'!AY427='check-Jul25'!AY427,"",'1. Live'!AY427-'check-Jul25'!AY427)</f>
        <v/>
      </c>
      <c r="AZ427" t="str">
        <f>IF('1. Live'!AZ427='check-Jul25'!AZ427,"",'1. Live'!AZ427-'check-Jul25'!AZ427)</f>
        <v/>
      </c>
      <c r="BA427" t="str">
        <f>IF('1. Live'!BA427='check-Jul25'!BA427,"",'1. Live'!BA427-'check-Jul25'!BA427)</f>
        <v/>
      </c>
      <c r="BB427" t="str">
        <f>IF('1. Live'!BB427='check-Jul25'!BB427,"",'1. Live'!BB427-'check-Jul25'!BB427)</f>
        <v/>
      </c>
      <c r="BC427" t="str">
        <f>IF('1. Live'!BC427='check-Jul25'!BC427,"",'1. Live'!BC427-'check-Jul25'!BC427)</f>
        <v/>
      </c>
      <c r="BD427" t="str">
        <f>IF('1. Live'!BD427='check-Jul25'!BD427,"",'1. Live'!BD427-'check-Jul25'!BD427)</f>
        <v/>
      </c>
      <c r="BE427" t="str">
        <f>IF('1. Live'!BE427='check-Jul25'!BE427,"",'1. Live'!BE427-'check-Jul25'!BE427)</f>
        <v/>
      </c>
      <c r="BF427" t="str">
        <f>IF('1. Live'!BF427='check-Jul25'!BF427,"",'1. Live'!BF427-'check-Jul25'!BF427)</f>
        <v/>
      </c>
      <c r="BG427" t="str">
        <f>IF('1. Live'!BG427='check-Jul25'!BG427,"",'1. Live'!BG427-'check-Jul25'!BG427)</f>
        <v/>
      </c>
      <c r="BH427" t="str">
        <f>IF('1. Live'!BH427='check-Jul25'!BH427,"",'1. Live'!BH427-'check-Jul25'!BH427)</f>
        <v/>
      </c>
      <c r="BI427" t="str">
        <f>IF('1. Live'!BI427='check-Jul25'!BI427,"",'1. Live'!BI427-'check-Jul25'!BI427)</f>
        <v/>
      </c>
      <c r="BJ427" t="str">
        <f>IF('1. Live'!BJ427='check-Jul25'!BJ427,"",'1. Live'!BJ427-'check-Jul25'!BJ427)</f>
        <v/>
      </c>
      <c r="BK427" t="str">
        <f>IF('1. Live'!BK427='check-Jul25'!BK427,"",'1. Live'!BK427-'check-Jul25'!BK427)</f>
        <v/>
      </c>
      <c r="BL427" t="str">
        <f>IF('1. Live'!BL427='check-Jul25'!BL427,"",'1. Live'!BL427-'check-Jul25'!BL427)</f>
        <v/>
      </c>
      <c r="BM427" t="str">
        <f>IF('1. Live'!BM427='check-Jul25'!BM427,"",'1. Live'!BM427-'check-Jul25'!BM427)</f>
        <v/>
      </c>
      <c r="BN427" t="str">
        <f>IF('1. Live'!BN427='check-Jul25'!BN427,"",'1. Live'!BN427-'check-Jul25'!BN427)</f>
        <v/>
      </c>
      <c r="BO427" t="str">
        <f>IF('1. Live'!BO427='check-Jul25'!BO427,"",'1. Live'!BO427-'check-Jul25'!BO427)</f>
        <v/>
      </c>
      <c r="BP427" t="str">
        <f>IF('1. Live'!BP427='check-Jul25'!BP427,"",'1. Live'!BP427-'check-Jul25'!BP427)</f>
        <v/>
      </c>
      <c r="BQ427" t="str">
        <f>IF('1. Live'!BQ427='check-Jul25'!BQ427,"",'1. Live'!BQ427-'check-Jul25'!BQ427)</f>
        <v/>
      </c>
      <c r="BR427" t="str">
        <f>IF('1. Live'!BR427='check-Jul25'!BR427,"",'1. Live'!BR427-'check-Jul25'!BR427)</f>
        <v/>
      </c>
      <c r="BS427" t="str">
        <f>IF('1. Live'!BS427='check-Jul25'!BS427,"",'1. Live'!BS427-'check-Jul25'!BS427)</f>
        <v/>
      </c>
      <c r="BT427" t="str">
        <f>IF('1. Live'!BT427='check-Jul25'!BT427,"",'1. Live'!BT427-'check-Jul25'!BT427)</f>
        <v/>
      </c>
      <c r="BU427" t="str">
        <f>IF('1. Live'!BU427='check-Jul25'!BU427,"",'1. Live'!BU427-'check-Jul25'!BU427)</f>
        <v/>
      </c>
      <c r="BV427" t="str">
        <f>IF('1. Live'!BV427='check-Jul25'!BV427,"",'1. Live'!BV427-'check-Jul25'!BV427)</f>
        <v/>
      </c>
      <c r="BW427" t="str">
        <f>IF('1. Live'!BW427='check-Jul25'!BW427,"",'1. Live'!BW427-'check-Jul25'!BW427)</f>
        <v/>
      </c>
      <c r="BX427" t="str">
        <f>IF('1. Live'!BX427='check-Jul25'!BX427,"",'1. Live'!BX427-'check-Jul25'!BX427)</f>
        <v/>
      </c>
      <c r="BY427" t="str">
        <f>IF('1. Live'!BY427='check-Jul25'!BY427,"",'1. Live'!BY427-'check-Jul25'!BY427)</f>
        <v/>
      </c>
      <c r="BZ427" t="str">
        <f>IF('1. Live'!BZ427='check-Jul25'!BZ427,"",'1. Live'!BZ427-'check-Jul25'!BZ427)</f>
        <v/>
      </c>
      <c r="CA427" t="str">
        <f>IF('1. Live'!CA427='check-Jul25'!CA427,"",'1. Live'!CA427-'check-Jul25'!CA427)</f>
        <v/>
      </c>
      <c r="CB427" t="str">
        <f>IF('1. Live'!CB427='check-Jul25'!CB427,"",'1. Live'!CB427-'check-Jul25'!CB427)</f>
        <v/>
      </c>
      <c r="CC427" t="str">
        <f>IF('1. Live'!CC427='check-Jul25'!CC427,"",'1. Live'!CC427-'check-Jul25'!CC427)</f>
        <v/>
      </c>
      <c r="CD427" t="str">
        <f>IF('1. Live'!CD427='check-Jul25'!CD427,"",'1. Live'!CD427-'check-Jul25'!CD427)</f>
        <v/>
      </c>
      <c r="CE427" t="str">
        <f>IF('1. Live'!CE427='check-Jul25'!CE427,"",'1. Live'!CE427-'check-Jul25'!CE427)</f>
        <v/>
      </c>
      <c r="CF427" t="str">
        <f>IF('1. Live'!CF427='check-Jul25'!CF427,"",'1. Live'!CF427-'check-Jul25'!CF427)</f>
        <v/>
      </c>
      <c r="CG427" t="str">
        <f>IF('1. Live'!CG427='check-Jul25'!CG427,"",'1. Live'!CG427-'check-Jul25'!CG427)</f>
        <v/>
      </c>
      <c r="CH427" t="str">
        <f>IF('1. Live'!CH427='check-Jul25'!CH427,"",'1. Live'!CH427-'check-Jul25'!CH427)</f>
        <v/>
      </c>
      <c r="CI427" t="str">
        <f>IF('1. Live'!CI427='check-Jul25'!CI427,"",'1. Live'!CI427-'check-Jul25'!CI427)</f>
        <v/>
      </c>
      <c r="CJ427" t="str">
        <f>IF('1. Live'!CJ427='check-Jul25'!CJ427,"",'1. Live'!CJ427-'check-Jul25'!CJ427)</f>
        <v/>
      </c>
      <c r="CK427" t="str">
        <f>IF('1. Live'!CK427='check-Jul25'!CK427,"",'1. Live'!CK427-'check-Jul25'!CK427)</f>
        <v/>
      </c>
      <c r="CL427" t="str">
        <f>IF('1. Live'!CL427='check-Jul25'!CL427,"",'1. Live'!CL427-'check-Jul25'!CL427)</f>
        <v/>
      </c>
      <c r="CM427" t="str">
        <f>IF('1. Live'!CM427='check-Jul25'!CM427,"",'1. Live'!CM427-'check-Jul25'!CM427)</f>
        <v/>
      </c>
      <c r="CN427" t="str">
        <f>IF('1. Live'!CN427='check-Jul25'!CN427,"",'1. Live'!CN427-'check-Jul25'!CN427)</f>
        <v/>
      </c>
      <c r="CO427" t="str">
        <f>IF('1. Live'!CO427='check-Jul25'!CO427,"",'1. Live'!CO427-'check-Jul25'!CO427)</f>
        <v/>
      </c>
      <c r="CP427" t="str">
        <f>IF('1. Live'!CP427='check-Jul25'!CP427,"",'1. Live'!CP427-'check-Jul25'!CP427)</f>
        <v/>
      </c>
      <c r="CQ427" t="str">
        <f>IF('1. Live'!CQ427='check-Jul25'!CQ427,"",'1. Live'!CQ427-'check-Jul25'!CQ427)</f>
        <v/>
      </c>
      <c r="CR427" t="str">
        <f>IF('1. Live'!CR427='check-Jul25'!CR427,"",'1. Live'!CR427-'check-Jul25'!CR427)</f>
        <v/>
      </c>
      <c r="CS427" t="str">
        <f>IF('1. Live'!CS427='check-Jul25'!CS427,"",'1. Live'!CS427-'check-Jul25'!CS427)</f>
        <v/>
      </c>
      <c r="CT427" t="str">
        <f>IF('1. Live'!CT427='check-Jul25'!CT427,"",'1. Live'!CT427-'check-Jul25'!CT427)</f>
        <v/>
      </c>
      <c r="CU427" t="str">
        <f>IF('1. Live'!CU427='check-Jul25'!CU427,"",'1. Live'!CU427-'check-Jul25'!CU427)</f>
        <v/>
      </c>
      <c r="CV427" t="str">
        <f>IF('1. Live'!CV427='check-Jul25'!CV427,"",'1. Live'!CV427-'check-Jul25'!CV427)</f>
        <v/>
      </c>
      <c r="CW427" t="str">
        <f>IF('1. Live'!CW427='check-Jul25'!CW427,"",'1. Live'!CW427-'check-Jul25'!CW427)</f>
        <v/>
      </c>
    </row>
    <row r="428" spans="10:101">
      <c r="J428" t="str">
        <f>IF('1. Live'!J428='check-Jul25'!J428,"",'1. Live'!J428-'check-Jul25'!J428)</f>
        <v/>
      </c>
      <c r="K428" t="str">
        <f>IF('1. Live'!K428='check-Jul25'!K428,"",'1. Live'!K428-'check-Jul25'!K428)</f>
        <v/>
      </c>
      <c r="L428" t="str">
        <f>IF('1. Live'!L428='check-Jul25'!L428,"",'1. Live'!L428-'check-Jul25'!L428)</f>
        <v/>
      </c>
      <c r="M428" t="str">
        <f>IF('1. Live'!M428='check-Jul25'!M428,"",'1. Live'!M428-'check-Jul25'!M428)</f>
        <v/>
      </c>
      <c r="N428" t="str">
        <f>IF('1. Live'!N428='check-Jul25'!N428,"",'1. Live'!N428-'check-Jul25'!N428)</f>
        <v/>
      </c>
      <c r="O428" t="str">
        <f>IF('1. Live'!O428='check-Jul25'!O428,"",'1. Live'!O428-'check-Jul25'!O428)</f>
        <v/>
      </c>
      <c r="P428" t="str">
        <f>IF('1. Live'!P428='check-Jul25'!P428,"",'1. Live'!P428-'check-Jul25'!P428)</f>
        <v/>
      </c>
      <c r="Q428" t="str">
        <f>IF('1. Live'!Q428='check-Jul25'!Q428,"",'1. Live'!Q428-'check-Jul25'!Q428)</f>
        <v/>
      </c>
      <c r="R428" t="str">
        <f>IF('1. Live'!R428='check-Jul25'!R428,"",'1. Live'!R428-'check-Jul25'!R428)</f>
        <v/>
      </c>
      <c r="S428" t="str">
        <f>IF('1. Live'!S428='check-Jul25'!S428,"",'1. Live'!S428-'check-Jul25'!S428)</f>
        <v/>
      </c>
      <c r="T428" t="str">
        <f>IF('1. Live'!T428='check-Jul25'!T428,"",'1. Live'!T428-'check-Jul25'!T428)</f>
        <v/>
      </c>
      <c r="U428" t="str">
        <f>IF('1. Live'!U428='check-Jul25'!U428,"",'1. Live'!U428-'check-Jul25'!U428)</f>
        <v/>
      </c>
      <c r="V428" t="str">
        <f>IF('1. Live'!V428='check-Jul25'!V428,"",'1. Live'!V428-'check-Jul25'!V428)</f>
        <v/>
      </c>
      <c r="W428" t="str">
        <f>IF('1. Live'!W428='check-Jul25'!W428,"",'1. Live'!W428-'check-Jul25'!W428)</f>
        <v/>
      </c>
      <c r="X428" t="str">
        <f>IF('1. Live'!X428='check-Jul25'!X428,"",'1. Live'!X428-'check-Jul25'!X428)</f>
        <v/>
      </c>
      <c r="Y428" t="str">
        <f>IF('1. Live'!Y428='check-Jul25'!Y428,"",'1. Live'!Y428-'check-Jul25'!Y428)</f>
        <v/>
      </c>
      <c r="Z428" t="str">
        <f>IF('1. Live'!Z428='check-Jul25'!Z428,"",'1. Live'!Z428-'check-Jul25'!Z428)</f>
        <v/>
      </c>
      <c r="AA428" t="str">
        <f>IF('1. Live'!AA428='check-Jul25'!AA428,"",'1. Live'!AA428-'check-Jul25'!AA428)</f>
        <v/>
      </c>
      <c r="AB428" t="str">
        <f>IF('1. Live'!AB428='check-Jul25'!AB428,"",'1. Live'!AB428-'check-Jul25'!AB428)</f>
        <v/>
      </c>
      <c r="AC428" t="str">
        <f>IF('1. Live'!AC428='check-Jul25'!AC428,"",'1. Live'!AC428-'check-Jul25'!AC428)</f>
        <v/>
      </c>
      <c r="AD428" t="str">
        <f>IF('1. Live'!AD428='check-Jul25'!AD428,"",'1. Live'!AD428-'check-Jul25'!AD428)</f>
        <v/>
      </c>
      <c r="AE428" t="str">
        <f>IF('1. Live'!AE428='check-Jul25'!AE428,"",'1. Live'!AE428-'check-Jul25'!AE428)</f>
        <v/>
      </c>
      <c r="AF428" t="str">
        <f>IF('1. Live'!AF428='check-Jul25'!AF428,"",'1. Live'!AF428-'check-Jul25'!AF428)</f>
        <v/>
      </c>
      <c r="AG428" t="str">
        <f>IF('1. Live'!AG428='check-Jul25'!AG428,"",'1. Live'!AG428-'check-Jul25'!AG428)</f>
        <v/>
      </c>
      <c r="AH428" t="str">
        <f>IF('1. Live'!AH428='check-Jul25'!AH428,"",'1. Live'!AH428-'check-Jul25'!AH428)</f>
        <v/>
      </c>
      <c r="AI428" t="str">
        <f>IF('1. Live'!AI428='check-Jul25'!AI428,"",'1. Live'!AI428-'check-Jul25'!AI428)</f>
        <v/>
      </c>
      <c r="AJ428" t="str">
        <f>IF('1. Live'!AJ428='check-Jul25'!AJ428,"",'1. Live'!AJ428-'check-Jul25'!AJ428)</f>
        <v/>
      </c>
      <c r="AK428" t="str">
        <f>IF('1. Live'!AK428='check-Jul25'!AK428,"",'1. Live'!AK428-'check-Jul25'!AK428)</f>
        <v/>
      </c>
      <c r="AL428" t="str">
        <f>IF('1. Live'!AL428='check-Jul25'!AL428,"",'1. Live'!AL428-'check-Jul25'!AL428)</f>
        <v/>
      </c>
      <c r="AM428" t="str">
        <f>IF('1. Live'!AM428='check-Jul25'!AM428,"",'1. Live'!AM428-'check-Jul25'!AM428)</f>
        <v/>
      </c>
      <c r="AN428" t="str">
        <f>IF('1. Live'!AN428='check-Jul25'!AN428,"",'1. Live'!AN428-'check-Jul25'!AN428)</f>
        <v/>
      </c>
      <c r="AO428" t="str">
        <f>IF('1. Live'!AO428='check-Jul25'!AO428,"",'1. Live'!AO428-'check-Jul25'!AO428)</f>
        <v/>
      </c>
      <c r="AP428" t="str">
        <f>IF('1. Live'!AP428='check-Jul25'!AP428,"",'1. Live'!AP428-'check-Jul25'!AP428)</f>
        <v/>
      </c>
      <c r="AQ428" t="str">
        <f>IF('1. Live'!AQ428='check-Jul25'!AQ428,"",'1. Live'!AQ428-'check-Jul25'!AQ428)</f>
        <v/>
      </c>
      <c r="AR428" t="str">
        <f>IF('1. Live'!AR428='check-Jul25'!AR428,"",'1. Live'!AR428-'check-Jul25'!AR428)</f>
        <v/>
      </c>
      <c r="AS428" t="str">
        <f>IF('1. Live'!AS428='check-Jul25'!AS428,"",'1. Live'!AS428-'check-Jul25'!AS428)</f>
        <v/>
      </c>
      <c r="AT428" t="str">
        <f>IF('1. Live'!AT428='check-Jul25'!AT428,"",'1. Live'!AT428-'check-Jul25'!AT428)</f>
        <v/>
      </c>
      <c r="AU428" t="str">
        <f>IF('1. Live'!AU428='check-Jul25'!AU428,"",'1. Live'!AU428-'check-Jul25'!AU428)</f>
        <v/>
      </c>
      <c r="AV428" t="str">
        <f>IF('1. Live'!AV428='check-Jul25'!AV428,"",'1. Live'!AV428-'check-Jul25'!AV428)</f>
        <v/>
      </c>
      <c r="AW428" t="str">
        <f>IF('1. Live'!AW428='check-Jul25'!AW428,"",'1. Live'!AW428-'check-Jul25'!AW428)</f>
        <v/>
      </c>
      <c r="AX428" t="str">
        <f>IF('1. Live'!AX428='check-Jul25'!AX428,"",'1. Live'!AX428-'check-Jul25'!AX428)</f>
        <v/>
      </c>
      <c r="AY428" t="str">
        <f>IF('1. Live'!AY428='check-Jul25'!AY428,"",'1. Live'!AY428-'check-Jul25'!AY428)</f>
        <v/>
      </c>
      <c r="AZ428" t="str">
        <f>IF('1. Live'!AZ428='check-Jul25'!AZ428,"",'1. Live'!AZ428-'check-Jul25'!AZ428)</f>
        <v/>
      </c>
      <c r="BA428" t="str">
        <f>IF('1. Live'!BA428='check-Jul25'!BA428,"",'1. Live'!BA428-'check-Jul25'!BA428)</f>
        <v/>
      </c>
      <c r="BB428" t="str">
        <f>IF('1. Live'!BB428='check-Jul25'!BB428,"",'1. Live'!BB428-'check-Jul25'!BB428)</f>
        <v/>
      </c>
      <c r="BC428" t="str">
        <f>IF('1. Live'!BC428='check-Jul25'!BC428,"",'1. Live'!BC428-'check-Jul25'!BC428)</f>
        <v/>
      </c>
      <c r="BD428" t="str">
        <f>IF('1. Live'!BD428='check-Jul25'!BD428,"",'1. Live'!BD428-'check-Jul25'!BD428)</f>
        <v/>
      </c>
      <c r="BE428" t="str">
        <f>IF('1. Live'!BE428='check-Jul25'!BE428,"",'1. Live'!BE428-'check-Jul25'!BE428)</f>
        <v/>
      </c>
      <c r="BF428" t="str">
        <f>IF('1. Live'!BF428='check-Jul25'!BF428,"",'1. Live'!BF428-'check-Jul25'!BF428)</f>
        <v/>
      </c>
      <c r="BG428" t="str">
        <f>IF('1. Live'!BG428='check-Jul25'!BG428,"",'1. Live'!BG428-'check-Jul25'!BG428)</f>
        <v/>
      </c>
      <c r="BH428" t="str">
        <f>IF('1. Live'!BH428='check-Jul25'!BH428,"",'1. Live'!BH428-'check-Jul25'!BH428)</f>
        <v/>
      </c>
      <c r="BI428" t="str">
        <f>IF('1. Live'!BI428='check-Jul25'!BI428,"",'1. Live'!BI428-'check-Jul25'!BI428)</f>
        <v/>
      </c>
      <c r="BJ428" t="str">
        <f>IF('1. Live'!BJ428='check-Jul25'!BJ428,"",'1. Live'!BJ428-'check-Jul25'!BJ428)</f>
        <v/>
      </c>
      <c r="BK428" t="str">
        <f>IF('1. Live'!BK428='check-Jul25'!BK428,"",'1. Live'!BK428-'check-Jul25'!BK428)</f>
        <v/>
      </c>
      <c r="BL428" t="str">
        <f>IF('1. Live'!BL428='check-Jul25'!BL428,"",'1. Live'!BL428-'check-Jul25'!BL428)</f>
        <v/>
      </c>
      <c r="BM428" t="str">
        <f>IF('1. Live'!BM428='check-Jul25'!BM428,"",'1. Live'!BM428-'check-Jul25'!BM428)</f>
        <v/>
      </c>
      <c r="BN428" t="str">
        <f>IF('1. Live'!BN428='check-Jul25'!BN428,"",'1. Live'!BN428-'check-Jul25'!BN428)</f>
        <v/>
      </c>
      <c r="BO428" t="str">
        <f>IF('1. Live'!BO428='check-Jul25'!BO428,"",'1. Live'!BO428-'check-Jul25'!BO428)</f>
        <v/>
      </c>
      <c r="BP428" t="str">
        <f>IF('1. Live'!BP428='check-Jul25'!BP428,"",'1. Live'!BP428-'check-Jul25'!BP428)</f>
        <v/>
      </c>
      <c r="BQ428" t="str">
        <f>IF('1. Live'!BQ428='check-Jul25'!BQ428,"",'1. Live'!BQ428-'check-Jul25'!BQ428)</f>
        <v/>
      </c>
      <c r="BR428" t="str">
        <f>IF('1. Live'!BR428='check-Jul25'!BR428,"",'1. Live'!BR428-'check-Jul25'!BR428)</f>
        <v/>
      </c>
      <c r="BS428" t="str">
        <f>IF('1. Live'!BS428='check-Jul25'!BS428,"",'1. Live'!BS428-'check-Jul25'!BS428)</f>
        <v/>
      </c>
      <c r="BT428" t="str">
        <f>IF('1. Live'!BT428='check-Jul25'!BT428,"",'1. Live'!BT428-'check-Jul25'!BT428)</f>
        <v/>
      </c>
      <c r="BU428" t="str">
        <f>IF('1. Live'!BU428='check-Jul25'!BU428,"",'1. Live'!BU428-'check-Jul25'!BU428)</f>
        <v/>
      </c>
      <c r="BV428" t="str">
        <f>IF('1. Live'!BV428='check-Jul25'!BV428,"",'1. Live'!BV428-'check-Jul25'!BV428)</f>
        <v/>
      </c>
      <c r="BW428" t="str">
        <f>IF('1. Live'!BW428='check-Jul25'!BW428,"",'1. Live'!BW428-'check-Jul25'!BW428)</f>
        <v/>
      </c>
      <c r="BX428" t="str">
        <f>IF('1. Live'!BX428='check-Jul25'!BX428,"",'1. Live'!BX428-'check-Jul25'!BX428)</f>
        <v/>
      </c>
      <c r="BY428" t="str">
        <f>IF('1. Live'!BY428='check-Jul25'!BY428,"",'1. Live'!BY428-'check-Jul25'!BY428)</f>
        <v/>
      </c>
      <c r="BZ428" t="str">
        <f>IF('1. Live'!BZ428='check-Jul25'!BZ428,"",'1. Live'!BZ428-'check-Jul25'!BZ428)</f>
        <v/>
      </c>
      <c r="CA428" t="str">
        <f>IF('1. Live'!CA428='check-Jul25'!CA428,"",'1. Live'!CA428-'check-Jul25'!CA428)</f>
        <v/>
      </c>
      <c r="CB428" t="str">
        <f>IF('1. Live'!CB428='check-Jul25'!CB428,"",'1. Live'!CB428-'check-Jul25'!CB428)</f>
        <v/>
      </c>
      <c r="CC428" t="str">
        <f>IF('1. Live'!CC428='check-Jul25'!CC428,"",'1. Live'!CC428-'check-Jul25'!CC428)</f>
        <v/>
      </c>
      <c r="CD428" t="str">
        <f>IF('1. Live'!CD428='check-Jul25'!CD428,"",'1. Live'!CD428-'check-Jul25'!CD428)</f>
        <v/>
      </c>
      <c r="CE428" t="str">
        <f>IF('1. Live'!CE428='check-Jul25'!CE428,"",'1. Live'!CE428-'check-Jul25'!CE428)</f>
        <v/>
      </c>
      <c r="CF428" t="str">
        <f>IF('1. Live'!CF428='check-Jul25'!CF428,"",'1. Live'!CF428-'check-Jul25'!CF428)</f>
        <v/>
      </c>
      <c r="CG428" t="str">
        <f>IF('1. Live'!CG428='check-Jul25'!CG428,"",'1. Live'!CG428-'check-Jul25'!CG428)</f>
        <v/>
      </c>
      <c r="CH428" t="str">
        <f>IF('1. Live'!CH428='check-Jul25'!CH428,"",'1. Live'!CH428-'check-Jul25'!CH428)</f>
        <v/>
      </c>
      <c r="CI428" t="str">
        <f>IF('1. Live'!CI428='check-Jul25'!CI428,"",'1. Live'!CI428-'check-Jul25'!CI428)</f>
        <v/>
      </c>
      <c r="CJ428" t="str">
        <f>IF('1. Live'!CJ428='check-Jul25'!CJ428,"",'1. Live'!CJ428-'check-Jul25'!CJ428)</f>
        <v/>
      </c>
      <c r="CK428" t="str">
        <f>IF('1. Live'!CK428='check-Jul25'!CK428,"",'1. Live'!CK428-'check-Jul25'!CK428)</f>
        <v/>
      </c>
      <c r="CL428" t="str">
        <f>IF('1. Live'!CL428='check-Jul25'!CL428,"",'1. Live'!CL428-'check-Jul25'!CL428)</f>
        <v/>
      </c>
      <c r="CM428" t="str">
        <f>IF('1. Live'!CM428='check-Jul25'!CM428,"",'1. Live'!CM428-'check-Jul25'!CM428)</f>
        <v/>
      </c>
      <c r="CN428" t="str">
        <f>IF('1. Live'!CN428='check-Jul25'!CN428,"",'1. Live'!CN428-'check-Jul25'!CN428)</f>
        <v/>
      </c>
      <c r="CO428" t="str">
        <f>IF('1. Live'!CO428='check-Jul25'!CO428,"",'1. Live'!CO428-'check-Jul25'!CO428)</f>
        <v/>
      </c>
      <c r="CP428" t="str">
        <f>IF('1. Live'!CP428='check-Jul25'!CP428,"",'1. Live'!CP428-'check-Jul25'!CP428)</f>
        <v/>
      </c>
      <c r="CQ428" t="str">
        <f>IF('1. Live'!CQ428='check-Jul25'!CQ428,"",'1. Live'!CQ428-'check-Jul25'!CQ428)</f>
        <v/>
      </c>
      <c r="CR428" t="str">
        <f>IF('1. Live'!CR428='check-Jul25'!CR428,"",'1. Live'!CR428-'check-Jul25'!CR428)</f>
        <v/>
      </c>
      <c r="CS428" t="str">
        <f>IF('1. Live'!CS428='check-Jul25'!CS428,"",'1. Live'!CS428-'check-Jul25'!CS428)</f>
        <v/>
      </c>
      <c r="CT428" t="str">
        <f>IF('1. Live'!CT428='check-Jul25'!CT428,"",'1. Live'!CT428-'check-Jul25'!CT428)</f>
        <v/>
      </c>
      <c r="CU428" t="str">
        <f>IF('1. Live'!CU428='check-Jul25'!CU428,"",'1. Live'!CU428-'check-Jul25'!CU428)</f>
        <v/>
      </c>
      <c r="CV428" t="str">
        <f>IF('1. Live'!CV428='check-Jul25'!CV428,"",'1. Live'!CV428-'check-Jul25'!CV428)</f>
        <v/>
      </c>
      <c r="CW428" t="str">
        <f>IF('1. Live'!CW428='check-Jul25'!CW428,"",'1. Live'!CW428-'check-Jul25'!CW428)</f>
        <v/>
      </c>
    </row>
    <row r="429" spans="10:101">
      <c r="J429" t="str">
        <f>IF('1. Live'!J429='check-Jul25'!J429,"",'1. Live'!J429-'check-Jul25'!J429)</f>
        <v/>
      </c>
      <c r="K429" t="str">
        <f>IF('1. Live'!K429='check-Jul25'!K429,"",'1. Live'!K429-'check-Jul25'!K429)</f>
        <v/>
      </c>
      <c r="L429" t="str">
        <f>IF('1. Live'!L429='check-Jul25'!L429,"",'1. Live'!L429-'check-Jul25'!L429)</f>
        <v/>
      </c>
      <c r="M429" t="str">
        <f>IF('1. Live'!M429='check-Jul25'!M429,"",'1. Live'!M429-'check-Jul25'!M429)</f>
        <v/>
      </c>
      <c r="N429" t="str">
        <f>IF('1. Live'!N429='check-Jul25'!N429,"",'1. Live'!N429-'check-Jul25'!N429)</f>
        <v/>
      </c>
      <c r="O429" t="str">
        <f>IF('1. Live'!O429='check-Jul25'!O429,"",'1. Live'!O429-'check-Jul25'!O429)</f>
        <v/>
      </c>
      <c r="P429" t="str">
        <f>IF('1. Live'!P429='check-Jul25'!P429,"",'1. Live'!P429-'check-Jul25'!P429)</f>
        <v/>
      </c>
      <c r="Q429" t="str">
        <f>IF('1. Live'!Q429='check-Jul25'!Q429,"",'1. Live'!Q429-'check-Jul25'!Q429)</f>
        <v/>
      </c>
      <c r="R429" t="str">
        <f>IF('1. Live'!R429='check-Jul25'!R429,"",'1. Live'!R429-'check-Jul25'!R429)</f>
        <v/>
      </c>
      <c r="S429" t="str">
        <f>IF('1. Live'!S429='check-Jul25'!S429,"",'1. Live'!S429-'check-Jul25'!S429)</f>
        <v/>
      </c>
      <c r="T429" t="str">
        <f>IF('1. Live'!T429='check-Jul25'!T429,"",'1. Live'!T429-'check-Jul25'!T429)</f>
        <v/>
      </c>
      <c r="U429" t="str">
        <f>IF('1. Live'!U429='check-Jul25'!U429,"",'1. Live'!U429-'check-Jul25'!U429)</f>
        <v/>
      </c>
      <c r="V429" t="str">
        <f>IF('1. Live'!V429='check-Jul25'!V429,"",'1. Live'!V429-'check-Jul25'!V429)</f>
        <v/>
      </c>
      <c r="W429" t="str">
        <f>IF('1. Live'!W429='check-Jul25'!W429,"",'1. Live'!W429-'check-Jul25'!W429)</f>
        <v/>
      </c>
      <c r="X429" t="str">
        <f>IF('1. Live'!X429='check-Jul25'!X429,"",'1. Live'!X429-'check-Jul25'!X429)</f>
        <v/>
      </c>
      <c r="Y429" t="str">
        <f>IF('1. Live'!Y429='check-Jul25'!Y429,"",'1. Live'!Y429-'check-Jul25'!Y429)</f>
        <v/>
      </c>
      <c r="Z429" t="str">
        <f>IF('1. Live'!Z429='check-Jul25'!Z429,"",'1. Live'!Z429-'check-Jul25'!Z429)</f>
        <v/>
      </c>
      <c r="AA429" t="str">
        <f>IF('1. Live'!AA429='check-Jul25'!AA429,"",'1. Live'!AA429-'check-Jul25'!AA429)</f>
        <v/>
      </c>
      <c r="AB429" t="str">
        <f>IF('1. Live'!AB429='check-Jul25'!AB429,"",'1. Live'!AB429-'check-Jul25'!AB429)</f>
        <v/>
      </c>
      <c r="AC429" t="str">
        <f>IF('1. Live'!AC429='check-Jul25'!AC429,"",'1. Live'!AC429-'check-Jul25'!AC429)</f>
        <v/>
      </c>
      <c r="AD429" t="str">
        <f>IF('1. Live'!AD429='check-Jul25'!AD429,"",'1. Live'!AD429-'check-Jul25'!AD429)</f>
        <v/>
      </c>
      <c r="AE429" t="str">
        <f>IF('1. Live'!AE429='check-Jul25'!AE429,"",'1. Live'!AE429-'check-Jul25'!AE429)</f>
        <v/>
      </c>
      <c r="AF429" t="str">
        <f>IF('1. Live'!AF429='check-Jul25'!AF429,"",'1. Live'!AF429-'check-Jul25'!AF429)</f>
        <v/>
      </c>
      <c r="AG429" t="str">
        <f>IF('1. Live'!AG429='check-Jul25'!AG429,"",'1. Live'!AG429-'check-Jul25'!AG429)</f>
        <v/>
      </c>
      <c r="AH429" t="str">
        <f>IF('1. Live'!AH429='check-Jul25'!AH429,"",'1. Live'!AH429-'check-Jul25'!AH429)</f>
        <v/>
      </c>
      <c r="AI429" t="str">
        <f>IF('1. Live'!AI429='check-Jul25'!AI429,"",'1. Live'!AI429-'check-Jul25'!AI429)</f>
        <v/>
      </c>
      <c r="AJ429" t="str">
        <f>IF('1. Live'!AJ429='check-Jul25'!AJ429,"",'1. Live'!AJ429-'check-Jul25'!AJ429)</f>
        <v/>
      </c>
      <c r="AK429" t="str">
        <f>IF('1. Live'!AK429='check-Jul25'!AK429,"",'1. Live'!AK429-'check-Jul25'!AK429)</f>
        <v/>
      </c>
      <c r="AL429" t="str">
        <f>IF('1. Live'!AL429='check-Jul25'!AL429,"",'1. Live'!AL429-'check-Jul25'!AL429)</f>
        <v/>
      </c>
      <c r="AM429" t="str">
        <f>IF('1. Live'!AM429='check-Jul25'!AM429,"",'1. Live'!AM429-'check-Jul25'!AM429)</f>
        <v/>
      </c>
      <c r="AN429" t="str">
        <f>IF('1. Live'!AN429='check-Jul25'!AN429,"",'1. Live'!AN429-'check-Jul25'!AN429)</f>
        <v/>
      </c>
      <c r="AO429" t="str">
        <f>IF('1. Live'!AO429='check-Jul25'!AO429,"",'1. Live'!AO429-'check-Jul25'!AO429)</f>
        <v/>
      </c>
      <c r="AP429" t="str">
        <f>IF('1. Live'!AP429='check-Jul25'!AP429,"",'1. Live'!AP429-'check-Jul25'!AP429)</f>
        <v/>
      </c>
      <c r="AQ429" t="str">
        <f>IF('1. Live'!AQ429='check-Jul25'!AQ429,"",'1. Live'!AQ429-'check-Jul25'!AQ429)</f>
        <v/>
      </c>
      <c r="AR429" t="str">
        <f>IF('1. Live'!AR429='check-Jul25'!AR429,"",'1. Live'!AR429-'check-Jul25'!AR429)</f>
        <v/>
      </c>
      <c r="AS429" t="str">
        <f>IF('1. Live'!AS429='check-Jul25'!AS429,"",'1. Live'!AS429-'check-Jul25'!AS429)</f>
        <v/>
      </c>
      <c r="AT429" t="str">
        <f>IF('1. Live'!AT429='check-Jul25'!AT429,"",'1. Live'!AT429-'check-Jul25'!AT429)</f>
        <v/>
      </c>
      <c r="AU429" t="str">
        <f>IF('1. Live'!AU429='check-Jul25'!AU429,"",'1. Live'!AU429-'check-Jul25'!AU429)</f>
        <v/>
      </c>
      <c r="AV429" t="str">
        <f>IF('1. Live'!AV429='check-Jul25'!AV429,"",'1. Live'!AV429-'check-Jul25'!AV429)</f>
        <v/>
      </c>
      <c r="AW429" t="str">
        <f>IF('1. Live'!AW429='check-Jul25'!AW429,"",'1. Live'!AW429-'check-Jul25'!AW429)</f>
        <v/>
      </c>
      <c r="AX429" t="str">
        <f>IF('1. Live'!AX429='check-Jul25'!AX429,"",'1. Live'!AX429-'check-Jul25'!AX429)</f>
        <v/>
      </c>
      <c r="AY429" t="str">
        <f>IF('1. Live'!AY429='check-Jul25'!AY429,"",'1. Live'!AY429-'check-Jul25'!AY429)</f>
        <v/>
      </c>
      <c r="AZ429" t="str">
        <f>IF('1. Live'!AZ429='check-Jul25'!AZ429,"",'1. Live'!AZ429-'check-Jul25'!AZ429)</f>
        <v/>
      </c>
      <c r="BA429" t="str">
        <f>IF('1. Live'!BA429='check-Jul25'!BA429,"",'1. Live'!BA429-'check-Jul25'!BA429)</f>
        <v/>
      </c>
      <c r="BB429" t="str">
        <f>IF('1. Live'!BB429='check-Jul25'!BB429,"",'1. Live'!BB429-'check-Jul25'!BB429)</f>
        <v/>
      </c>
      <c r="BC429" t="str">
        <f>IF('1. Live'!BC429='check-Jul25'!BC429,"",'1. Live'!BC429-'check-Jul25'!BC429)</f>
        <v/>
      </c>
      <c r="BD429" t="str">
        <f>IF('1. Live'!BD429='check-Jul25'!BD429,"",'1. Live'!BD429-'check-Jul25'!BD429)</f>
        <v/>
      </c>
      <c r="BE429" t="str">
        <f>IF('1. Live'!BE429='check-Jul25'!BE429,"",'1. Live'!BE429-'check-Jul25'!BE429)</f>
        <v/>
      </c>
      <c r="BF429" t="str">
        <f>IF('1. Live'!BF429='check-Jul25'!BF429,"",'1. Live'!BF429-'check-Jul25'!BF429)</f>
        <v/>
      </c>
      <c r="BG429" t="str">
        <f>IF('1. Live'!BG429='check-Jul25'!BG429,"",'1. Live'!BG429-'check-Jul25'!BG429)</f>
        <v/>
      </c>
      <c r="BH429" t="str">
        <f>IF('1. Live'!BH429='check-Jul25'!BH429,"",'1. Live'!BH429-'check-Jul25'!BH429)</f>
        <v/>
      </c>
      <c r="BI429" t="str">
        <f>IF('1. Live'!BI429='check-Jul25'!BI429,"",'1. Live'!BI429-'check-Jul25'!BI429)</f>
        <v/>
      </c>
      <c r="BJ429" t="str">
        <f>IF('1. Live'!BJ429='check-Jul25'!BJ429,"",'1. Live'!BJ429-'check-Jul25'!BJ429)</f>
        <v/>
      </c>
      <c r="BK429" t="str">
        <f>IF('1. Live'!BK429='check-Jul25'!BK429,"",'1. Live'!BK429-'check-Jul25'!BK429)</f>
        <v/>
      </c>
      <c r="BL429" t="str">
        <f>IF('1. Live'!BL429='check-Jul25'!BL429,"",'1. Live'!BL429-'check-Jul25'!BL429)</f>
        <v/>
      </c>
      <c r="BM429" t="str">
        <f>IF('1. Live'!BM429='check-Jul25'!BM429,"",'1. Live'!BM429-'check-Jul25'!BM429)</f>
        <v/>
      </c>
      <c r="BN429" t="str">
        <f>IF('1. Live'!BN429='check-Jul25'!BN429,"",'1. Live'!BN429-'check-Jul25'!BN429)</f>
        <v/>
      </c>
      <c r="BO429" t="str">
        <f>IF('1. Live'!BO429='check-Jul25'!BO429,"",'1. Live'!BO429-'check-Jul25'!BO429)</f>
        <v/>
      </c>
      <c r="BP429" t="str">
        <f>IF('1. Live'!BP429='check-Jul25'!BP429,"",'1. Live'!BP429-'check-Jul25'!BP429)</f>
        <v/>
      </c>
      <c r="BQ429" t="str">
        <f>IF('1. Live'!BQ429='check-Jul25'!BQ429,"",'1. Live'!BQ429-'check-Jul25'!BQ429)</f>
        <v/>
      </c>
      <c r="BR429" t="str">
        <f>IF('1. Live'!BR429='check-Jul25'!BR429,"",'1. Live'!BR429-'check-Jul25'!BR429)</f>
        <v/>
      </c>
      <c r="BS429" t="str">
        <f>IF('1. Live'!BS429='check-Jul25'!BS429,"",'1. Live'!BS429-'check-Jul25'!BS429)</f>
        <v/>
      </c>
      <c r="BT429" t="str">
        <f>IF('1. Live'!BT429='check-Jul25'!BT429,"",'1. Live'!BT429-'check-Jul25'!BT429)</f>
        <v/>
      </c>
      <c r="BU429" t="str">
        <f>IF('1. Live'!BU429='check-Jul25'!BU429,"",'1. Live'!BU429-'check-Jul25'!BU429)</f>
        <v/>
      </c>
      <c r="BV429" t="str">
        <f>IF('1. Live'!BV429='check-Jul25'!BV429,"",'1. Live'!BV429-'check-Jul25'!BV429)</f>
        <v/>
      </c>
      <c r="BW429" t="str">
        <f>IF('1. Live'!BW429='check-Jul25'!BW429,"",'1. Live'!BW429-'check-Jul25'!BW429)</f>
        <v/>
      </c>
      <c r="BX429" t="str">
        <f>IF('1. Live'!BX429='check-Jul25'!BX429,"",'1. Live'!BX429-'check-Jul25'!BX429)</f>
        <v/>
      </c>
      <c r="BY429" t="str">
        <f>IF('1. Live'!BY429='check-Jul25'!BY429,"",'1. Live'!BY429-'check-Jul25'!BY429)</f>
        <v/>
      </c>
      <c r="BZ429" t="str">
        <f>IF('1. Live'!BZ429='check-Jul25'!BZ429,"",'1. Live'!BZ429-'check-Jul25'!BZ429)</f>
        <v/>
      </c>
      <c r="CA429" t="str">
        <f>IF('1. Live'!CA429='check-Jul25'!CA429,"",'1. Live'!CA429-'check-Jul25'!CA429)</f>
        <v/>
      </c>
      <c r="CB429" t="str">
        <f>IF('1. Live'!CB429='check-Jul25'!CB429,"",'1. Live'!CB429-'check-Jul25'!CB429)</f>
        <v/>
      </c>
      <c r="CC429" t="str">
        <f>IF('1. Live'!CC429='check-Jul25'!CC429,"",'1. Live'!CC429-'check-Jul25'!CC429)</f>
        <v/>
      </c>
      <c r="CD429" t="str">
        <f>IF('1. Live'!CD429='check-Jul25'!CD429,"",'1. Live'!CD429-'check-Jul25'!CD429)</f>
        <v/>
      </c>
      <c r="CE429" t="str">
        <f>IF('1. Live'!CE429='check-Jul25'!CE429,"",'1. Live'!CE429-'check-Jul25'!CE429)</f>
        <v/>
      </c>
      <c r="CF429" t="str">
        <f>IF('1. Live'!CF429='check-Jul25'!CF429,"",'1. Live'!CF429-'check-Jul25'!CF429)</f>
        <v/>
      </c>
      <c r="CG429" t="str">
        <f>IF('1. Live'!CG429='check-Jul25'!CG429,"",'1. Live'!CG429-'check-Jul25'!CG429)</f>
        <v/>
      </c>
      <c r="CH429" t="str">
        <f>IF('1. Live'!CH429='check-Jul25'!CH429,"",'1. Live'!CH429-'check-Jul25'!CH429)</f>
        <v/>
      </c>
      <c r="CI429" t="str">
        <f>IF('1. Live'!CI429='check-Jul25'!CI429,"",'1. Live'!CI429-'check-Jul25'!CI429)</f>
        <v/>
      </c>
      <c r="CJ429" t="str">
        <f>IF('1. Live'!CJ429='check-Jul25'!CJ429,"",'1. Live'!CJ429-'check-Jul25'!CJ429)</f>
        <v/>
      </c>
      <c r="CK429" t="str">
        <f>IF('1. Live'!CK429='check-Jul25'!CK429,"",'1. Live'!CK429-'check-Jul25'!CK429)</f>
        <v/>
      </c>
      <c r="CL429" t="str">
        <f>IF('1. Live'!CL429='check-Jul25'!CL429,"",'1. Live'!CL429-'check-Jul25'!CL429)</f>
        <v/>
      </c>
      <c r="CM429" t="str">
        <f>IF('1. Live'!CM429='check-Jul25'!CM429,"",'1. Live'!CM429-'check-Jul25'!CM429)</f>
        <v/>
      </c>
      <c r="CN429" t="str">
        <f>IF('1. Live'!CN429='check-Jul25'!CN429,"",'1. Live'!CN429-'check-Jul25'!CN429)</f>
        <v/>
      </c>
      <c r="CO429" t="str">
        <f>IF('1. Live'!CO429='check-Jul25'!CO429,"",'1. Live'!CO429-'check-Jul25'!CO429)</f>
        <v/>
      </c>
      <c r="CP429" t="str">
        <f>IF('1. Live'!CP429='check-Jul25'!CP429,"",'1. Live'!CP429-'check-Jul25'!CP429)</f>
        <v/>
      </c>
      <c r="CQ429" t="str">
        <f>IF('1. Live'!CQ429='check-Jul25'!CQ429,"",'1. Live'!CQ429-'check-Jul25'!CQ429)</f>
        <v/>
      </c>
      <c r="CR429" t="str">
        <f>IF('1. Live'!CR429='check-Jul25'!CR429,"",'1. Live'!CR429-'check-Jul25'!CR429)</f>
        <v/>
      </c>
      <c r="CS429" t="str">
        <f>IF('1. Live'!CS429='check-Jul25'!CS429,"",'1. Live'!CS429-'check-Jul25'!CS429)</f>
        <v/>
      </c>
      <c r="CT429" t="str">
        <f>IF('1. Live'!CT429='check-Jul25'!CT429,"",'1. Live'!CT429-'check-Jul25'!CT429)</f>
        <v/>
      </c>
      <c r="CU429" t="str">
        <f>IF('1. Live'!CU429='check-Jul25'!CU429,"",'1. Live'!CU429-'check-Jul25'!CU429)</f>
        <v/>
      </c>
      <c r="CV429" t="str">
        <f>IF('1. Live'!CV429='check-Jul25'!CV429,"",'1. Live'!CV429-'check-Jul25'!CV429)</f>
        <v/>
      </c>
      <c r="CW429" t="str">
        <f>IF('1. Live'!CW429='check-Jul25'!CW429,"",'1. Live'!CW429-'check-Jul25'!CW429)</f>
        <v/>
      </c>
    </row>
    <row r="430" spans="10:101">
      <c r="J430" t="str">
        <f>IF('1. Live'!J430='check-Jul25'!J430,"",'1. Live'!J430-'check-Jul25'!J430)</f>
        <v/>
      </c>
      <c r="K430" t="str">
        <f>IF('1. Live'!K430='check-Jul25'!K430,"",'1. Live'!K430-'check-Jul25'!K430)</f>
        <v/>
      </c>
      <c r="L430" t="str">
        <f>IF('1. Live'!L430='check-Jul25'!L430,"",'1. Live'!L430-'check-Jul25'!L430)</f>
        <v/>
      </c>
      <c r="M430" t="str">
        <f>IF('1. Live'!M430='check-Jul25'!M430,"",'1. Live'!M430-'check-Jul25'!M430)</f>
        <v/>
      </c>
      <c r="N430" t="str">
        <f>IF('1. Live'!N430='check-Jul25'!N430,"",'1. Live'!N430-'check-Jul25'!N430)</f>
        <v/>
      </c>
      <c r="O430" t="str">
        <f>IF('1. Live'!O430='check-Jul25'!O430,"",'1. Live'!O430-'check-Jul25'!O430)</f>
        <v/>
      </c>
      <c r="P430" t="str">
        <f>IF('1. Live'!P430='check-Jul25'!P430,"",'1. Live'!P430-'check-Jul25'!P430)</f>
        <v/>
      </c>
      <c r="Q430" t="str">
        <f>IF('1. Live'!Q430='check-Jul25'!Q430,"",'1. Live'!Q430-'check-Jul25'!Q430)</f>
        <v/>
      </c>
      <c r="R430" t="str">
        <f>IF('1. Live'!R430='check-Jul25'!R430,"",'1. Live'!R430-'check-Jul25'!R430)</f>
        <v/>
      </c>
      <c r="S430" t="str">
        <f>IF('1. Live'!S430='check-Jul25'!S430,"",'1. Live'!S430-'check-Jul25'!S430)</f>
        <v/>
      </c>
      <c r="T430" t="str">
        <f>IF('1. Live'!T430='check-Jul25'!T430,"",'1. Live'!T430-'check-Jul25'!T430)</f>
        <v/>
      </c>
      <c r="U430" t="str">
        <f>IF('1. Live'!U430='check-Jul25'!U430,"",'1. Live'!U430-'check-Jul25'!U430)</f>
        <v/>
      </c>
      <c r="V430" t="str">
        <f>IF('1. Live'!V430='check-Jul25'!V430,"",'1. Live'!V430-'check-Jul25'!V430)</f>
        <v/>
      </c>
      <c r="W430" t="str">
        <f>IF('1. Live'!W430='check-Jul25'!W430,"",'1. Live'!W430-'check-Jul25'!W430)</f>
        <v/>
      </c>
      <c r="X430" t="str">
        <f>IF('1. Live'!X430='check-Jul25'!X430,"",'1. Live'!X430-'check-Jul25'!X430)</f>
        <v/>
      </c>
      <c r="Y430" t="str">
        <f>IF('1. Live'!Y430='check-Jul25'!Y430,"",'1. Live'!Y430-'check-Jul25'!Y430)</f>
        <v/>
      </c>
      <c r="Z430" t="str">
        <f>IF('1. Live'!Z430='check-Jul25'!Z430,"",'1. Live'!Z430-'check-Jul25'!Z430)</f>
        <v/>
      </c>
      <c r="AA430" t="str">
        <f>IF('1. Live'!AA430='check-Jul25'!AA430,"",'1. Live'!AA430-'check-Jul25'!AA430)</f>
        <v/>
      </c>
      <c r="AB430" t="str">
        <f>IF('1. Live'!AB430='check-Jul25'!AB430,"",'1. Live'!AB430-'check-Jul25'!AB430)</f>
        <v/>
      </c>
      <c r="AC430" t="str">
        <f>IF('1. Live'!AC430='check-Jul25'!AC430,"",'1. Live'!AC430-'check-Jul25'!AC430)</f>
        <v/>
      </c>
      <c r="AD430" t="str">
        <f>IF('1. Live'!AD430='check-Jul25'!AD430,"",'1. Live'!AD430-'check-Jul25'!AD430)</f>
        <v/>
      </c>
      <c r="AE430" t="str">
        <f>IF('1. Live'!AE430='check-Jul25'!AE430,"",'1. Live'!AE430-'check-Jul25'!AE430)</f>
        <v/>
      </c>
      <c r="AF430" t="str">
        <f>IF('1. Live'!AF430='check-Jul25'!AF430,"",'1. Live'!AF430-'check-Jul25'!AF430)</f>
        <v/>
      </c>
      <c r="AG430" t="str">
        <f>IF('1. Live'!AG430='check-Jul25'!AG430,"",'1. Live'!AG430-'check-Jul25'!AG430)</f>
        <v/>
      </c>
      <c r="AH430" t="str">
        <f>IF('1. Live'!AH430='check-Jul25'!AH430,"",'1. Live'!AH430-'check-Jul25'!AH430)</f>
        <v/>
      </c>
      <c r="AI430" t="str">
        <f>IF('1. Live'!AI430='check-Jul25'!AI430,"",'1. Live'!AI430-'check-Jul25'!AI430)</f>
        <v/>
      </c>
      <c r="AJ430" t="str">
        <f>IF('1. Live'!AJ430='check-Jul25'!AJ430,"",'1. Live'!AJ430-'check-Jul25'!AJ430)</f>
        <v/>
      </c>
      <c r="AK430" t="str">
        <f>IF('1. Live'!AK430='check-Jul25'!AK430,"",'1. Live'!AK430-'check-Jul25'!AK430)</f>
        <v/>
      </c>
      <c r="AL430" t="str">
        <f>IF('1. Live'!AL430='check-Jul25'!AL430,"",'1. Live'!AL430-'check-Jul25'!AL430)</f>
        <v/>
      </c>
      <c r="AM430" t="str">
        <f>IF('1. Live'!AM430='check-Jul25'!AM430,"",'1. Live'!AM430-'check-Jul25'!AM430)</f>
        <v/>
      </c>
      <c r="AN430" t="str">
        <f>IF('1. Live'!AN430='check-Jul25'!AN430,"",'1. Live'!AN430-'check-Jul25'!AN430)</f>
        <v/>
      </c>
      <c r="AO430" t="str">
        <f>IF('1. Live'!AO430='check-Jul25'!AO430,"",'1. Live'!AO430-'check-Jul25'!AO430)</f>
        <v/>
      </c>
      <c r="AP430" t="str">
        <f>IF('1. Live'!AP430='check-Jul25'!AP430,"",'1. Live'!AP430-'check-Jul25'!AP430)</f>
        <v/>
      </c>
      <c r="AQ430" t="str">
        <f>IF('1. Live'!AQ430='check-Jul25'!AQ430,"",'1. Live'!AQ430-'check-Jul25'!AQ430)</f>
        <v/>
      </c>
      <c r="AR430" t="str">
        <f>IF('1. Live'!AR430='check-Jul25'!AR430,"",'1. Live'!AR430-'check-Jul25'!AR430)</f>
        <v/>
      </c>
      <c r="AS430" t="str">
        <f>IF('1. Live'!AS430='check-Jul25'!AS430,"",'1. Live'!AS430-'check-Jul25'!AS430)</f>
        <v/>
      </c>
      <c r="AT430" t="str">
        <f>IF('1. Live'!AT430='check-Jul25'!AT430,"",'1. Live'!AT430-'check-Jul25'!AT430)</f>
        <v/>
      </c>
      <c r="AU430" t="str">
        <f>IF('1. Live'!AU430='check-Jul25'!AU430,"",'1. Live'!AU430-'check-Jul25'!AU430)</f>
        <v/>
      </c>
      <c r="AV430" t="str">
        <f>IF('1. Live'!AV430='check-Jul25'!AV430,"",'1. Live'!AV430-'check-Jul25'!AV430)</f>
        <v/>
      </c>
      <c r="AW430" t="str">
        <f>IF('1. Live'!AW430='check-Jul25'!AW430,"",'1. Live'!AW430-'check-Jul25'!AW430)</f>
        <v/>
      </c>
      <c r="AX430" t="str">
        <f>IF('1. Live'!AX430='check-Jul25'!AX430,"",'1. Live'!AX430-'check-Jul25'!AX430)</f>
        <v/>
      </c>
      <c r="AY430" t="str">
        <f>IF('1. Live'!AY430='check-Jul25'!AY430,"",'1. Live'!AY430-'check-Jul25'!AY430)</f>
        <v/>
      </c>
      <c r="AZ430" t="str">
        <f>IF('1. Live'!AZ430='check-Jul25'!AZ430,"",'1. Live'!AZ430-'check-Jul25'!AZ430)</f>
        <v/>
      </c>
      <c r="BA430" t="str">
        <f>IF('1. Live'!BA430='check-Jul25'!BA430,"",'1. Live'!BA430-'check-Jul25'!BA430)</f>
        <v/>
      </c>
      <c r="BB430" t="str">
        <f>IF('1. Live'!BB430='check-Jul25'!BB430,"",'1. Live'!BB430-'check-Jul25'!BB430)</f>
        <v/>
      </c>
      <c r="BC430" t="str">
        <f>IF('1. Live'!BC430='check-Jul25'!BC430,"",'1. Live'!BC430-'check-Jul25'!BC430)</f>
        <v/>
      </c>
      <c r="BD430" t="str">
        <f>IF('1. Live'!BD430='check-Jul25'!BD430,"",'1. Live'!BD430-'check-Jul25'!BD430)</f>
        <v/>
      </c>
      <c r="BE430" t="str">
        <f>IF('1. Live'!BE430='check-Jul25'!BE430,"",'1. Live'!BE430-'check-Jul25'!BE430)</f>
        <v/>
      </c>
      <c r="BF430" t="str">
        <f>IF('1. Live'!BF430='check-Jul25'!BF430,"",'1. Live'!BF430-'check-Jul25'!BF430)</f>
        <v/>
      </c>
      <c r="BG430" t="str">
        <f>IF('1. Live'!BG430='check-Jul25'!BG430,"",'1. Live'!BG430-'check-Jul25'!BG430)</f>
        <v/>
      </c>
      <c r="BH430" t="str">
        <f>IF('1. Live'!BH430='check-Jul25'!BH430,"",'1. Live'!BH430-'check-Jul25'!BH430)</f>
        <v/>
      </c>
      <c r="BI430" t="str">
        <f>IF('1. Live'!BI430='check-Jul25'!BI430,"",'1. Live'!BI430-'check-Jul25'!BI430)</f>
        <v/>
      </c>
      <c r="BJ430" t="str">
        <f>IF('1. Live'!BJ430='check-Jul25'!BJ430,"",'1. Live'!BJ430-'check-Jul25'!BJ430)</f>
        <v/>
      </c>
      <c r="BK430" t="str">
        <f>IF('1. Live'!BK430='check-Jul25'!BK430,"",'1. Live'!BK430-'check-Jul25'!BK430)</f>
        <v/>
      </c>
      <c r="BL430" t="str">
        <f>IF('1. Live'!BL430='check-Jul25'!BL430,"",'1. Live'!BL430-'check-Jul25'!BL430)</f>
        <v/>
      </c>
      <c r="BM430" t="str">
        <f>IF('1. Live'!BM430='check-Jul25'!BM430,"",'1. Live'!BM430-'check-Jul25'!BM430)</f>
        <v/>
      </c>
      <c r="BN430" t="str">
        <f>IF('1. Live'!BN430='check-Jul25'!BN430,"",'1. Live'!BN430-'check-Jul25'!BN430)</f>
        <v/>
      </c>
      <c r="BO430" t="str">
        <f>IF('1. Live'!BO430='check-Jul25'!BO430,"",'1. Live'!BO430-'check-Jul25'!BO430)</f>
        <v/>
      </c>
      <c r="BP430" t="str">
        <f>IF('1. Live'!BP430='check-Jul25'!BP430,"",'1. Live'!BP430-'check-Jul25'!BP430)</f>
        <v/>
      </c>
      <c r="BQ430" t="str">
        <f>IF('1. Live'!BQ430='check-Jul25'!BQ430,"",'1. Live'!BQ430-'check-Jul25'!BQ430)</f>
        <v/>
      </c>
      <c r="BR430" t="str">
        <f>IF('1. Live'!BR430='check-Jul25'!BR430,"",'1. Live'!BR430-'check-Jul25'!BR430)</f>
        <v/>
      </c>
      <c r="BS430" t="str">
        <f>IF('1. Live'!BS430='check-Jul25'!BS430,"",'1. Live'!BS430-'check-Jul25'!BS430)</f>
        <v/>
      </c>
      <c r="BT430" t="str">
        <f>IF('1. Live'!BT430='check-Jul25'!BT430,"",'1. Live'!BT430-'check-Jul25'!BT430)</f>
        <v/>
      </c>
      <c r="BU430" t="str">
        <f>IF('1. Live'!BU430='check-Jul25'!BU430,"",'1. Live'!BU430-'check-Jul25'!BU430)</f>
        <v/>
      </c>
      <c r="BV430" t="str">
        <f>IF('1. Live'!BV430='check-Jul25'!BV430,"",'1. Live'!BV430-'check-Jul25'!BV430)</f>
        <v/>
      </c>
      <c r="BW430" t="str">
        <f>IF('1. Live'!BW430='check-Jul25'!BW430,"",'1. Live'!BW430-'check-Jul25'!BW430)</f>
        <v/>
      </c>
      <c r="BX430" t="str">
        <f>IF('1. Live'!BX430='check-Jul25'!BX430,"",'1. Live'!BX430-'check-Jul25'!BX430)</f>
        <v/>
      </c>
      <c r="BY430" t="str">
        <f>IF('1. Live'!BY430='check-Jul25'!BY430,"",'1. Live'!BY430-'check-Jul25'!BY430)</f>
        <v/>
      </c>
      <c r="BZ430" t="str">
        <f>IF('1. Live'!BZ430='check-Jul25'!BZ430,"",'1. Live'!BZ430-'check-Jul25'!BZ430)</f>
        <v/>
      </c>
      <c r="CA430" t="str">
        <f>IF('1. Live'!CA430='check-Jul25'!CA430,"",'1. Live'!CA430-'check-Jul25'!CA430)</f>
        <v/>
      </c>
      <c r="CB430" t="str">
        <f>IF('1. Live'!CB430='check-Jul25'!CB430,"",'1. Live'!CB430-'check-Jul25'!CB430)</f>
        <v/>
      </c>
      <c r="CC430" t="str">
        <f>IF('1. Live'!CC430='check-Jul25'!CC430,"",'1. Live'!CC430-'check-Jul25'!CC430)</f>
        <v/>
      </c>
      <c r="CD430" t="str">
        <f>IF('1. Live'!CD430='check-Jul25'!CD430,"",'1. Live'!CD430-'check-Jul25'!CD430)</f>
        <v/>
      </c>
      <c r="CE430" t="str">
        <f>IF('1. Live'!CE430='check-Jul25'!CE430,"",'1. Live'!CE430-'check-Jul25'!CE430)</f>
        <v/>
      </c>
      <c r="CF430" t="str">
        <f>IF('1. Live'!CF430='check-Jul25'!CF430,"",'1. Live'!CF430-'check-Jul25'!CF430)</f>
        <v/>
      </c>
      <c r="CG430" t="str">
        <f>IF('1. Live'!CG430='check-Jul25'!CG430,"",'1. Live'!CG430-'check-Jul25'!CG430)</f>
        <v/>
      </c>
      <c r="CH430" t="str">
        <f>IF('1. Live'!CH430='check-Jul25'!CH430,"",'1. Live'!CH430-'check-Jul25'!CH430)</f>
        <v/>
      </c>
      <c r="CI430" t="str">
        <f>IF('1. Live'!CI430='check-Jul25'!CI430,"",'1. Live'!CI430-'check-Jul25'!CI430)</f>
        <v/>
      </c>
      <c r="CJ430" t="str">
        <f>IF('1. Live'!CJ430='check-Jul25'!CJ430,"",'1. Live'!CJ430-'check-Jul25'!CJ430)</f>
        <v/>
      </c>
      <c r="CK430" t="str">
        <f>IF('1. Live'!CK430='check-Jul25'!CK430,"",'1. Live'!CK430-'check-Jul25'!CK430)</f>
        <v/>
      </c>
      <c r="CL430" t="str">
        <f>IF('1. Live'!CL430='check-Jul25'!CL430,"",'1. Live'!CL430-'check-Jul25'!CL430)</f>
        <v/>
      </c>
      <c r="CM430" t="str">
        <f>IF('1. Live'!CM430='check-Jul25'!CM430,"",'1. Live'!CM430-'check-Jul25'!CM430)</f>
        <v/>
      </c>
      <c r="CN430" t="str">
        <f>IF('1. Live'!CN430='check-Jul25'!CN430,"",'1. Live'!CN430-'check-Jul25'!CN430)</f>
        <v/>
      </c>
      <c r="CO430" t="str">
        <f>IF('1. Live'!CO430='check-Jul25'!CO430,"",'1. Live'!CO430-'check-Jul25'!CO430)</f>
        <v/>
      </c>
      <c r="CP430" t="str">
        <f>IF('1. Live'!CP430='check-Jul25'!CP430,"",'1. Live'!CP430-'check-Jul25'!CP430)</f>
        <v/>
      </c>
      <c r="CQ430" t="str">
        <f>IF('1. Live'!CQ430='check-Jul25'!CQ430,"",'1. Live'!CQ430-'check-Jul25'!CQ430)</f>
        <v/>
      </c>
      <c r="CR430" t="str">
        <f>IF('1. Live'!CR430='check-Jul25'!CR430,"",'1. Live'!CR430-'check-Jul25'!CR430)</f>
        <v/>
      </c>
      <c r="CS430" t="str">
        <f>IF('1. Live'!CS430='check-Jul25'!CS430,"",'1. Live'!CS430-'check-Jul25'!CS430)</f>
        <v/>
      </c>
      <c r="CT430" t="str">
        <f>IF('1. Live'!CT430='check-Jul25'!CT430,"",'1. Live'!CT430-'check-Jul25'!CT430)</f>
        <v/>
      </c>
      <c r="CU430" t="str">
        <f>IF('1. Live'!CU430='check-Jul25'!CU430,"",'1. Live'!CU430-'check-Jul25'!CU430)</f>
        <v/>
      </c>
      <c r="CV430" t="str">
        <f>IF('1. Live'!CV430='check-Jul25'!CV430,"",'1. Live'!CV430-'check-Jul25'!CV430)</f>
        <v/>
      </c>
      <c r="CW430" t="str">
        <f>IF('1. Live'!CW430='check-Jul25'!CW430,"",'1. Live'!CW430-'check-Jul25'!CW430)</f>
        <v/>
      </c>
    </row>
    <row r="431" spans="10:101">
      <c r="J431" t="str">
        <f>IF('1. Live'!J431='check-Jul25'!J431,"",'1. Live'!J431-'check-Jul25'!J431)</f>
        <v/>
      </c>
      <c r="K431" t="str">
        <f>IF('1. Live'!K431='check-Jul25'!K431,"",'1. Live'!K431-'check-Jul25'!K431)</f>
        <v/>
      </c>
      <c r="L431" t="str">
        <f>IF('1. Live'!L431='check-Jul25'!L431,"",'1. Live'!L431-'check-Jul25'!L431)</f>
        <v/>
      </c>
      <c r="M431" t="str">
        <f>IF('1. Live'!M431='check-Jul25'!M431,"",'1. Live'!M431-'check-Jul25'!M431)</f>
        <v/>
      </c>
      <c r="N431" t="str">
        <f>IF('1. Live'!N431='check-Jul25'!N431,"",'1. Live'!N431-'check-Jul25'!N431)</f>
        <v/>
      </c>
      <c r="O431" t="str">
        <f>IF('1. Live'!O431='check-Jul25'!O431,"",'1. Live'!O431-'check-Jul25'!O431)</f>
        <v/>
      </c>
      <c r="P431" t="str">
        <f>IF('1. Live'!P431='check-Jul25'!P431,"",'1. Live'!P431-'check-Jul25'!P431)</f>
        <v/>
      </c>
      <c r="Q431" t="str">
        <f>IF('1. Live'!Q431='check-Jul25'!Q431,"",'1. Live'!Q431-'check-Jul25'!Q431)</f>
        <v/>
      </c>
      <c r="R431" t="str">
        <f>IF('1. Live'!R431='check-Jul25'!R431,"",'1. Live'!R431-'check-Jul25'!R431)</f>
        <v/>
      </c>
      <c r="S431" t="str">
        <f>IF('1. Live'!S431='check-Jul25'!S431,"",'1. Live'!S431-'check-Jul25'!S431)</f>
        <v/>
      </c>
      <c r="T431" t="str">
        <f>IF('1. Live'!T431='check-Jul25'!T431,"",'1. Live'!T431-'check-Jul25'!T431)</f>
        <v/>
      </c>
      <c r="U431" t="str">
        <f>IF('1. Live'!U431='check-Jul25'!U431,"",'1. Live'!U431-'check-Jul25'!U431)</f>
        <v/>
      </c>
      <c r="V431" t="str">
        <f>IF('1. Live'!V431='check-Jul25'!V431,"",'1. Live'!V431-'check-Jul25'!V431)</f>
        <v/>
      </c>
      <c r="W431" t="str">
        <f>IF('1. Live'!W431='check-Jul25'!W431,"",'1. Live'!W431-'check-Jul25'!W431)</f>
        <v/>
      </c>
      <c r="X431" t="str">
        <f>IF('1. Live'!X431='check-Jul25'!X431,"",'1. Live'!X431-'check-Jul25'!X431)</f>
        <v/>
      </c>
      <c r="Y431" t="str">
        <f>IF('1. Live'!Y431='check-Jul25'!Y431,"",'1. Live'!Y431-'check-Jul25'!Y431)</f>
        <v/>
      </c>
      <c r="Z431" t="str">
        <f>IF('1. Live'!Z431='check-Jul25'!Z431,"",'1. Live'!Z431-'check-Jul25'!Z431)</f>
        <v/>
      </c>
      <c r="AA431" t="str">
        <f>IF('1. Live'!AA431='check-Jul25'!AA431,"",'1. Live'!AA431-'check-Jul25'!AA431)</f>
        <v/>
      </c>
      <c r="AB431" t="str">
        <f>IF('1. Live'!AB431='check-Jul25'!AB431,"",'1. Live'!AB431-'check-Jul25'!AB431)</f>
        <v/>
      </c>
      <c r="AC431" t="str">
        <f>IF('1. Live'!AC431='check-Jul25'!AC431,"",'1. Live'!AC431-'check-Jul25'!AC431)</f>
        <v/>
      </c>
      <c r="AD431" t="str">
        <f>IF('1. Live'!AD431='check-Jul25'!AD431,"",'1. Live'!AD431-'check-Jul25'!AD431)</f>
        <v/>
      </c>
      <c r="AE431" t="str">
        <f>IF('1. Live'!AE431='check-Jul25'!AE431,"",'1. Live'!AE431-'check-Jul25'!AE431)</f>
        <v/>
      </c>
      <c r="AF431" t="str">
        <f>IF('1. Live'!AF431='check-Jul25'!AF431,"",'1. Live'!AF431-'check-Jul25'!AF431)</f>
        <v/>
      </c>
      <c r="AG431" t="str">
        <f>IF('1. Live'!AG431='check-Jul25'!AG431,"",'1. Live'!AG431-'check-Jul25'!AG431)</f>
        <v/>
      </c>
      <c r="AH431" t="str">
        <f>IF('1. Live'!AH431='check-Jul25'!AH431,"",'1. Live'!AH431-'check-Jul25'!AH431)</f>
        <v/>
      </c>
      <c r="AI431" t="str">
        <f>IF('1. Live'!AI431='check-Jul25'!AI431,"",'1. Live'!AI431-'check-Jul25'!AI431)</f>
        <v/>
      </c>
      <c r="AJ431" t="str">
        <f>IF('1. Live'!AJ431='check-Jul25'!AJ431,"",'1. Live'!AJ431-'check-Jul25'!AJ431)</f>
        <v/>
      </c>
      <c r="AK431" t="str">
        <f>IF('1. Live'!AK431='check-Jul25'!AK431,"",'1. Live'!AK431-'check-Jul25'!AK431)</f>
        <v/>
      </c>
      <c r="AL431" t="str">
        <f>IF('1. Live'!AL431='check-Jul25'!AL431,"",'1. Live'!AL431-'check-Jul25'!AL431)</f>
        <v/>
      </c>
      <c r="AM431" t="str">
        <f>IF('1. Live'!AM431='check-Jul25'!AM431,"",'1. Live'!AM431-'check-Jul25'!AM431)</f>
        <v/>
      </c>
      <c r="AN431" t="str">
        <f>IF('1. Live'!AN431='check-Jul25'!AN431,"",'1. Live'!AN431-'check-Jul25'!AN431)</f>
        <v/>
      </c>
      <c r="AO431" t="str">
        <f>IF('1. Live'!AO431='check-Jul25'!AO431,"",'1. Live'!AO431-'check-Jul25'!AO431)</f>
        <v/>
      </c>
      <c r="AP431" t="str">
        <f>IF('1. Live'!AP431='check-Jul25'!AP431,"",'1. Live'!AP431-'check-Jul25'!AP431)</f>
        <v/>
      </c>
      <c r="AQ431" t="str">
        <f>IF('1. Live'!AQ431='check-Jul25'!AQ431,"",'1. Live'!AQ431-'check-Jul25'!AQ431)</f>
        <v/>
      </c>
      <c r="AR431" t="str">
        <f>IF('1. Live'!AR431='check-Jul25'!AR431,"",'1. Live'!AR431-'check-Jul25'!AR431)</f>
        <v/>
      </c>
      <c r="AS431" t="str">
        <f>IF('1. Live'!AS431='check-Jul25'!AS431,"",'1. Live'!AS431-'check-Jul25'!AS431)</f>
        <v/>
      </c>
      <c r="AT431" t="str">
        <f>IF('1. Live'!AT431='check-Jul25'!AT431,"",'1. Live'!AT431-'check-Jul25'!AT431)</f>
        <v/>
      </c>
      <c r="AU431" t="str">
        <f>IF('1. Live'!AU431='check-Jul25'!AU431,"",'1. Live'!AU431-'check-Jul25'!AU431)</f>
        <v/>
      </c>
      <c r="AV431" t="str">
        <f>IF('1. Live'!AV431='check-Jul25'!AV431,"",'1. Live'!AV431-'check-Jul25'!AV431)</f>
        <v/>
      </c>
      <c r="AW431" t="str">
        <f>IF('1. Live'!AW431='check-Jul25'!AW431,"",'1. Live'!AW431-'check-Jul25'!AW431)</f>
        <v/>
      </c>
      <c r="AX431" t="str">
        <f>IF('1. Live'!AX431='check-Jul25'!AX431,"",'1. Live'!AX431-'check-Jul25'!AX431)</f>
        <v/>
      </c>
      <c r="AY431" t="str">
        <f>IF('1. Live'!AY431='check-Jul25'!AY431,"",'1. Live'!AY431-'check-Jul25'!AY431)</f>
        <v/>
      </c>
      <c r="AZ431" t="str">
        <f>IF('1. Live'!AZ431='check-Jul25'!AZ431,"",'1. Live'!AZ431-'check-Jul25'!AZ431)</f>
        <v/>
      </c>
      <c r="BA431" t="str">
        <f>IF('1. Live'!BA431='check-Jul25'!BA431,"",'1. Live'!BA431-'check-Jul25'!BA431)</f>
        <v/>
      </c>
      <c r="BB431" t="str">
        <f>IF('1. Live'!BB431='check-Jul25'!BB431,"",'1. Live'!BB431-'check-Jul25'!BB431)</f>
        <v/>
      </c>
      <c r="BC431" t="str">
        <f>IF('1. Live'!BC431='check-Jul25'!BC431,"",'1. Live'!BC431-'check-Jul25'!BC431)</f>
        <v/>
      </c>
      <c r="BD431" t="str">
        <f>IF('1. Live'!BD431='check-Jul25'!BD431,"",'1. Live'!BD431-'check-Jul25'!BD431)</f>
        <v/>
      </c>
      <c r="BE431" t="str">
        <f>IF('1. Live'!BE431='check-Jul25'!BE431,"",'1. Live'!BE431-'check-Jul25'!BE431)</f>
        <v/>
      </c>
      <c r="BF431" t="str">
        <f>IF('1. Live'!BF431='check-Jul25'!BF431,"",'1. Live'!BF431-'check-Jul25'!BF431)</f>
        <v/>
      </c>
      <c r="BG431" t="str">
        <f>IF('1. Live'!BG431='check-Jul25'!BG431,"",'1. Live'!BG431-'check-Jul25'!BG431)</f>
        <v/>
      </c>
      <c r="BH431" t="str">
        <f>IF('1. Live'!BH431='check-Jul25'!BH431,"",'1. Live'!BH431-'check-Jul25'!BH431)</f>
        <v/>
      </c>
      <c r="BI431" t="str">
        <f>IF('1. Live'!BI431='check-Jul25'!BI431,"",'1. Live'!BI431-'check-Jul25'!BI431)</f>
        <v/>
      </c>
      <c r="BJ431" t="str">
        <f>IF('1. Live'!BJ431='check-Jul25'!BJ431,"",'1. Live'!BJ431-'check-Jul25'!BJ431)</f>
        <v/>
      </c>
      <c r="BK431" t="str">
        <f>IF('1. Live'!BK431='check-Jul25'!BK431,"",'1. Live'!BK431-'check-Jul25'!BK431)</f>
        <v/>
      </c>
      <c r="BL431" t="str">
        <f>IF('1. Live'!BL431='check-Jul25'!BL431,"",'1. Live'!BL431-'check-Jul25'!BL431)</f>
        <v/>
      </c>
      <c r="BM431" t="str">
        <f>IF('1. Live'!BM431='check-Jul25'!BM431,"",'1. Live'!BM431-'check-Jul25'!BM431)</f>
        <v/>
      </c>
      <c r="BN431" t="str">
        <f>IF('1. Live'!BN431='check-Jul25'!BN431,"",'1. Live'!BN431-'check-Jul25'!BN431)</f>
        <v/>
      </c>
      <c r="BO431" t="str">
        <f>IF('1. Live'!BO431='check-Jul25'!BO431,"",'1. Live'!BO431-'check-Jul25'!BO431)</f>
        <v/>
      </c>
      <c r="BP431" t="str">
        <f>IF('1. Live'!BP431='check-Jul25'!BP431,"",'1. Live'!BP431-'check-Jul25'!BP431)</f>
        <v/>
      </c>
      <c r="BQ431" t="str">
        <f>IF('1. Live'!BQ431='check-Jul25'!BQ431,"",'1. Live'!BQ431-'check-Jul25'!BQ431)</f>
        <v/>
      </c>
      <c r="BR431" t="str">
        <f>IF('1. Live'!BR431='check-Jul25'!BR431,"",'1. Live'!BR431-'check-Jul25'!BR431)</f>
        <v/>
      </c>
      <c r="BS431" t="str">
        <f>IF('1. Live'!BS431='check-Jul25'!BS431,"",'1. Live'!BS431-'check-Jul25'!BS431)</f>
        <v/>
      </c>
      <c r="BT431" t="str">
        <f>IF('1. Live'!BT431='check-Jul25'!BT431,"",'1. Live'!BT431-'check-Jul25'!BT431)</f>
        <v/>
      </c>
      <c r="BU431" t="str">
        <f>IF('1. Live'!BU431='check-Jul25'!BU431,"",'1. Live'!BU431-'check-Jul25'!BU431)</f>
        <v/>
      </c>
      <c r="BV431" t="str">
        <f>IF('1. Live'!BV431='check-Jul25'!BV431,"",'1. Live'!BV431-'check-Jul25'!BV431)</f>
        <v/>
      </c>
      <c r="BW431" t="str">
        <f>IF('1. Live'!BW431='check-Jul25'!BW431,"",'1. Live'!BW431-'check-Jul25'!BW431)</f>
        <v/>
      </c>
      <c r="BX431" t="str">
        <f>IF('1. Live'!BX431='check-Jul25'!BX431,"",'1. Live'!BX431-'check-Jul25'!BX431)</f>
        <v/>
      </c>
      <c r="BY431" t="str">
        <f>IF('1. Live'!BY431='check-Jul25'!BY431,"",'1. Live'!BY431-'check-Jul25'!BY431)</f>
        <v/>
      </c>
      <c r="BZ431" t="str">
        <f>IF('1. Live'!BZ431='check-Jul25'!BZ431,"",'1. Live'!BZ431-'check-Jul25'!BZ431)</f>
        <v/>
      </c>
      <c r="CA431" t="str">
        <f>IF('1. Live'!CA431='check-Jul25'!CA431,"",'1. Live'!CA431-'check-Jul25'!CA431)</f>
        <v/>
      </c>
      <c r="CB431" t="str">
        <f>IF('1. Live'!CB431='check-Jul25'!CB431,"",'1. Live'!CB431-'check-Jul25'!CB431)</f>
        <v/>
      </c>
      <c r="CC431" t="str">
        <f>IF('1. Live'!CC431='check-Jul25'!CC431,"",'1. Live'!CC431-'check-Jul25'!CC431)</f>
        <v/>
      </c>
      <c r="CD431" t="str">
        <f>IF('1. Live'!CD431='check-Jul25'!CD431,"",'1. Live'!CD431-'check-Jul25'!CD431)</f>
        <v/>
      </c>
      <c r="CE431" t="str">
        <f>IF('1. Live'!CE431='check-Jul25'!CE431,"",'1. Live'!CE431-'check-Jul25'!CE431)</f>
        <v/>
      </c>
      <c r="CF431" t="str">
        <f>IF('1. Live'!CF431='check-Jul25'!CF431,"",'1. Live'!CF431-'check-Jul25'!CF431)</f>
        <v/>
      </c>
      <c r="CG431" t="str">
        <f>IF('1. Live'!CG431='check-Jul25'!CG431,"",'1. Live'!CG431-'check-Jul25'!CG431)</f>
        <v/>
      </c>
      <c r="CH431" t="str">
        <f>IF('1. Live'!CH431='check-Jul25'!CH431,"",'1. Live'!CH431-'check-Jul25'!CH431)</f>
        <v/>
      </c>
      <c r="CI431" t="str">
        <f>IF('1. Live'!CI431='check-Jul25'!CI431,"",'1. Live'!CI431-'check-Jul25'!CI431)</f>
        <v/>
      </c>
      <c r="CJ431" t="str">
        <f>IF('1. Live'!CJ431='check-Jul25'!CJ431,"",'1. Live'!CJ431-'check-Jul25'!CJ431)</f>
        <v/>
      </c>
      <c r="CK431" t="str">
        <f>IF('1. Live'!CK431='check-Jul25'!CK431,"",'1. Live'!CK431-'check-Jul25'!CK431)</f>
        <v/>
      </c>
      <c r="CL431" t="str">
        <f>IF('1. Live'!CL431='check-Jul25'!CL431,"",'1. Live'!CL431-'check-Jul25'!CL431)</f>
        <v/>
      </c>
      <c r="CM431" t="str">
        <f>IF('1. Live'!CM431='check-Jul25'!CM431,"",'1. Live'!CM431-'check-Jul25'!CM431)</f>
        <v/>
      </c>
      <c r="CN431" t="str">
        <f>IF('1. Live'!CN431='check-Jul25'!CN431,"",'1. Live'!CN431-'check-Jul25'!CN431)</f>
        <v/>
      </c>
      <c r="CO431" t="str">
        <f>IF('1. Live'!CO431='check-Jul25'!CO431,"",'1. Live'!CO431-'check-Jul25'!CO431)</f>
        <v/>
      </c>
      <c r="CP431" t="str">
        <f>IF('1. Live'!CP431='check-Jul25'!CP431,"",'1. Live'!CP431-'check-Jul25'!CP431)</f>
        <v/>
      </c>
      <c r="CQ431" t="str">
        <f>IF('1. Live'!CQ431='check-Jul25'!CQ431,"",'1. Live'!CQ431-'check-Jul25'!CQ431)</f>
        <v/>
      </c>
      <c r="CR431" t="str">
        <f>IF('1. Live'!CR431='check-Jul25'!CR431,"",'1. Live'!CR431-'check-Jul25'!CR431)</f>
        <v/>
      </c>
      <c r="CS431" t="str">
        <f>IF('1. Live'!CS431='check-Jul25'!CS431,"",'1. Live'!CS431-'check-Jul25'!CS431)</f>
        <v/>
      </c>
      <c r="CT431" t="str">
        <f>IF('1. Live'!CT431='check-Jul25'!CT431,"",'1. Live'!CT431-'check-Jul25'!CT431)</f>
        <v/>
      </c>
      <c r="CU431" t="str">
        <f>IF('1. Live'!CU431='check-Jul25'!CU431,"",'1. Live'!CU431-'check-Jul25'!CU431)</f>
        <v/>
      </c>
      <c r="CV431" t="str">
        <f>IF('1. Live'!CV431='check-Jul25'!CV431,"",'1. Live'!CV431-'check-Jul25'!CV431)</f>
        <v/>
      </c>
      <c r="CW431" t="str">
        <f>IF('1. Live'!CW431='check-Jul25'!CW431,"",'1. Live'!CW431-'check-Jul25'!CW431)</f>
        <v/>
      </c>
    </row>
    <row r="432" spans="10:101">
      <c r="J432" t="str">
        <f>IF('1. Live'!J432='check-Jul25'!J432,"",'1. Live'!J432-'check-Jul25'!J432)</f>
        <v/>
      </c>
      <c r="K432" t="str">
        <f>IF('1. Live'!K432='check-Jul25'!K432,"",'1. Live'!K432-'check-Jul25'!K432)</f>
        <v/>
      </c>
      <c r="L432" t="str">
        <f>IF('1. Live'!L432='check-Jul25'!L432,"",'1. Live'!L432-'check-Jul25'!L432)</f>
        <v/>
      </c>
      <c r="M432" t="str">
        <f>IF('1. Live'!M432='check-Jul25'!M432,"",'1. Live'!M432-'check-Jul25'!M432)</f>
        <v/>
      </c>
      <c r="N432" t="str">
        <f>IF('1. Live'!N432='check-Jul25'!N432,"",'1. Live'!N432-'check-Jul25'!N432)</f>
        <v/>
      </c>
      <c r="O432" t="str">
        <f>IF('1. Live'!O432='check-Jul25'!O432,"",'1. Live'!O432-'check-Jul25'!O432)</f>
        <v/>
      </c>
      <c r="P432" t="str">
        <f>IF('1. Live'!P432='check-Jul25'!P432,"",'1. Live'!P432-'check-Jul25'!P432)</f>
        <v/>
      </c>
      <c r="Q432" t="str">
        <f>IF('1. Live'!Q432='check-Jul25'!Q432,"",'1. Live'!Q432-'check-Jul25'!Q432)</f>
        <v/>
      </c>
      <c r="R432" t="str">
        <f>IF('1. Live'!R432='check-Jul25'!R432,"",'1. Live'!R432-'check-Jul25'!R432)</f>
        <v/>
      </c>
      <c r="S432" t="str">
        <f>IF('1. Live'!S432='check-Jul25'!S432,"",'1. Live'!S432-'check-Jul25'!S432)</f>
        <v/>
      </c>
      <c r="T432" t="str">
        <f>IF('1. Live'!T432='check-Jul25'!T432,"",'1. Live'!T432-'check-Jul25'!T432)</f>
        <v/>
      </c>
      <c r="U432" t="str">
        <f>IF('1. Live'!U432='check-Jul25'!U432,"",'1. Live'!U432-'check-Jul25'!U432)</f>
        <v/>
      </c>
      <c r="V432" t="str">
        <f>IF('1. Live'!V432='check-Jul25'!V432,"",'1. Live'!V432-'check-Jul25'!V432)</f>
        <v/>
      </c>
      <c r="W432" t="str">
        <f>IF('1. Live'!W432='check-Jul25'!W432,"",'1. Live'!W432-'check-Jul25'!W432)</f>
        <v/>
      </c>
      <c r="X432" t="str">
        <f>IF('1. Live'!X432='check-Jul25'!X432,"",'1. Live'!X432-'check-Jul25'!X432)</f>
        <v/>
      </c>
      <c r="Y432" t="str">
        <f>IF('1. Live'!Y432='check-Jul25'!Y432,"",'1. Live'!Y432-'check-Jul25'!Y432)</f>
        <v/>
      </c>
      <c r="Z432" t="str">
        <f>IF('1. Live'!Z432='check-Jul25'!Z432,"",'1. Live'!Z432-'check-Jul25'!Z432)</f>
        <v/>
      </c>
      <c r="AA432" t="str">
        <f>IF('1. Live'!AA432='check-Jul25'!AA432,"",'1. Live'!AA432-'check-Jul25'!AA432)</f>
        <v/>
      </c>
      <c r="AB432" t="str">
        <f>IF('1. Live'!AB432='check-Jul25'!AB432,"",'1. Live'!AB432-'check-Jul25'!AB432)</f>
        <v/>
      </c>
      <c r="AC432" t="str">
        <f>IF('1. Live'!AC432='check-Jul25'!AC432,"",'1. Live'!AC432-'check-Jul25'!AC432)</f>
        <v/>
      </c>
      <c r="AD432" t="str">
        <f>IF('1. Live'!AD432='check-Jul25'!AD432,"",'1. Live'!AD432-'check-Jul25'!AD432)</f>
        <v/>
      </c>
      <c r="AE432" t="str">
        <f>IF('1. Live'!AE432='check-Jul25'!AE432,"",'1. Live'!AE432-'check-Jul25'!AE432)</f>
        <v/>
      </c>
      <c r="AF432" t="str">
        <f>IF('1. Live'!AF432='check-Jul25'!AF432,"",'1. Live'!AF432-'check-Jul25'!AF432)</f>
        <v/>
      </c>
      <c r="AG432" t="str">
        <f>IF('1. Live'!AG432='check-Jul25'!AG432,"",'1. Live'!AG432-'check-Jul25'!AG432)</f>
        <v/>
      </c>
      <c r="AH432" t="str">
        <f>IF('1. Live'!AH432='check-Jul25'!AH432,"",'1. Live'!AH432-'check-Jul25'!AH432)</f>
        <v/>
      </c>
      <c r="AI432" t="str">
        <f>IF('1. Live'!AI432='check-Jul25'!AI432,"",'1. Live'!AI432-'check-Jul25'!AI432)</f>
        <v/>
      </c>
      <c r="AJ432" t="str">
        <f>IF('1. Live'!AJ432='check-Jul25'!AJ432,"",'1. Live'!AJ432-'check-Jul25'!AJ432)</f>
        <v/>
      </c>
      <c r="AK432" t="str">
        <f>IF('1. Live'!AK432='check-Jul25'!AK432,"",'1. Live'!AK432-'check-Jul25'!AK432)</f>
        <v/>
      </c>
      <c r="AL432" t="str">
        <f>IF('1. Live'!AL432='check-Jul25'!AL432,"",'1. Live'!AL432-'check-Jul25'!AL432)</f>
        <v/>
      </c>
      <c r="AM432" t="str">
        <f>IF('1. Live'!AM432='check-Jul25'!AM432,"",'1. Live'!AM432-'check-Jul25'!AM432)</f>
        <v/>
      </c>
      <c r="AN432" t="str">
        <f>IF('1. Live'!AN432='check-Jul25'!AN432,"",'1. Live'!AN432-'check-Jul25'!AN432)</f>
        <v/>
      </c>
      <c r="AO432" t="str">
        <f>IF('1. Live'!AO432='check-Jul25'!AO432,"",'1. Live'!AO432-'check-Jul25'!AO432)</f>
        <v/>
      </c>
      <c r="AP432" t="str">
        <f>IF('1. Live'!AP432='check-Jul25'!AP432,"",'1. Live'!AP432-'check-Jul25'!AP432)</f>
        <v/>
      </c>
      <c r="AQ432" t="str">
        <f>IF('1. Live'!AQ432='check-Jul25'!AQ432,"",'1. Live'!AQ432-'check-Jul25'!AQ432)</f>
        <v/>
      </c>
      <c r="AR432" t="str">
        <f>IF('1. Live'!AR432='check-Jul25'!AR432,"",'1. Live'!AR432-'check-Jul25'!AR432)</f>
        <v/>
      </c>
      <c r="AS432" t="str">
        <f>IF('1. Live'!AS432='check-Jul25'!AS432,"",'1. Live'!AS432-'check-Jul25'!AS432)</f>
        <v/>
      </c>
      <c r="AT432" t="str">
        <f>IF('1. Live'!AT432='check-Jul25'!AT432,"",'1. Live'!AT432-'check-Jul25'!AT432)</f>
        <v/>
      </c>
      <c r="AU432" t="str">
        <f>IF('1. Live'!AU432='check-Jul25'!AU432,"",'1. Live'!AU432-'check-Jul25'!AU432)</f>
        <v/>
      </c>
      <c r="AV432" t="str">
        <f>IF('1. Live'!AV432='check-Jul25'!AV432,"",'1. Live'!AV432-'check-Jul25'!AV432)</f>
        <v/>
      </c>
      <c r="AW432" t="str">
        <f>IF('1. Live'!AW432='check-Jul25'!AW432,"",'1. Live'!AW432-'check-Jul25'!AW432)</f>
        <v/>
      </c>
      <c r="AX432" t="str">
        <f>IF('1. Live'!AX432='check-Jul25'!AX432,"",'1. Live'!AX432-'check-Jul25'!AX432)</f>
        <v/>
      </c>
      <c r="AY432" t="str">
        <f>IF('1. Live'!AY432='check-Jul25'!AY432,"",'1. Live'!AY432-'check-Jul25'!AY432)</f>
        <v/>
      </c>
      <c r="AZ432" t="str">
        <f>IF('1. Live'!AZ432='check-Jul25'!AZ432,"",'1. Live'!AZ432-'check-Jul25'!AZ432)</f>
        <v/>
      </c>
      <c r="BA432" t="str">
        <f>IF('1. Live'!BA432='check-Jul25'!BA432,"",'1. Live'!BA432-'check-Jul25'!BA432)</f>
        <v/>
      </c>
      <c r="BB432" t="str">
        <f>IF('1. Live'!BB432='check-Jul25'!BB432,"",'1. Live'!BB432-'check-Jul25'!BB432)</f>
        <v/>
      </c>
      <c r="BC432" t="str">
        <f>IF('1. Live'!BC432='check-Jul25'!BC432,"",'1. Live'!BC432-'check-Jul25'!BC432)</f>
        <v/>
      </c>
      <c r="BD432" t="str">
        <f>IF('1. Live'!BD432='check-Jul25'!BD432,"",'1. Live'!BD432-'check-Jul25'!BD432)</f>
        <v/>
      </c>
      <c r="BE432" t="str">
        <f>IF('1. Live'!BE432='check-Jul25'!BE432,"",'1. Live'!BE432-'check-Jul25'!BE432)</f>
        <v/>
      </c>
      <c r="BF432" t="str">
        <f>IF('1. Live'!BF432='check-Jul25'!BF432,"",'1. Live'!BF432-'check-Jul25'!BF432)</f>
        <v/>
      </c>
      <c r="BG432" t="str">
        <f>IF('1. Live'!BG432='check-Jul25'!BG432,"",'1. Live'!BG432-'check-Jul25'!BG432)</f>
        <v/>
      </c>
      <c r="BH432" t="str">
        <f>IF('1. Live'!BH432='check-Jul25'!BH432,"",'1. Live'!BH432-'check-Jul25'!BH432)</f>
        <v/>
      </c>
      <c r="BI432" t="str">
        <f>IF('1. Live'!BI432='check-Jul25'!BI432,"",'1. Live'!BI432-'check-Jul25'!BI432)</f>
        <v/>
      </c>
      <c r="BJ432" t="str">
        <f>IF('1. Live'!BJ432='check-Jul25'!BJ432,"",'1. Live'!BJ432-'check-Jul25'!BJ432)</f>
        <v/>
      </c>
      <c r="BK432" t="str">
        <f>IF('1. Live'!BK432='check-Jul25'!BK432,"",'1. Live'!BK432-'check-Jul25'!BK432)</f>
        <v/>
      </c>
      <c r="BL432" t="str">
        <f>IF('1. Live'!BL432='check-Jul25'!BL432,"",'1. Live'!BL432-'check-Jul25'!BL432)</f>
        <v/>
      </c>
      <c r="BM432" t="str">
        <f>IF('1. Live'!BM432='check-Jul25'!BM432,"",'1. Live'!BM432-'check-Jul25'!BM432)</f>
        <v/>
      </c>
      <c r="BN432" t="str">
        <f>IF('1. Live'!BN432='check-Jul25'!BN432,"",'1. Live'!BN432-'check-Jul25'!BN432)</f>
        <v/>
      </c>
      <c r="BO432" t="str">
        <f>IF('1. Live'!BO432='check-Jul25'!BO432,"",'1. Live'!BO432-'check-Jul25'!BO432)</f>
        <v/>
      </c>
      <c r="BP432" t="str">
        <f>IF('1. Live'!BP432='check-Jul25'!BP432,"",'1. Live'!BP432-'check-Jul25'!BP432)</f>
        <v/>
      </c>
      <c r="BQ432" t="str">
        <f>IF('1. Live'!BQ432='check-Jul25'!BQ432,"",'1. Live'!BQ432-'check-Jul25'!BQ432)</f>
        <v/>
      </c>
      <c r="BR432" t="str">
        <f>IF('1. Live'!BR432='check-Jul25'!BR432,"",'1. Live'!BR432-'check-Jul25'!BR432)</f>
        <v/>
      </c>
      <c r="BS432" t="str">
        <f>IF('1. Live'!BS432='check-Jul25'!BS432,"",'1. Live'!BS432-'check-Jul25'!BS432)</f>
        <v/>
      </c>
      <c r="BT432" t="str">
        <f>IF('1. Live'!BT432='check-Jul25'!BT432,"",'1. Live'!BT432-'check-Jul25'!BT432)</f>
        <v/>
      </c>
      <c r="BU432" t="str">
        <f>IF('1. Live'!BU432='check-Jul25'!BU432,"",'1. Live'!BU432-'check-Jul25'!BU432)</f>
        <v/>
      </c>
      <c r="BV432" t="str">
        <f>IF('1. Live'!BV432='check-Jul25'!BV432,"",'1. Live'!BV432-'check-Jul25'!BV432)</f>
        <v/>
      </c>
      <c r="BW432" t="str">
        <f>IF('1. Live'!BW432='check-Jul25'!BW432,"",'1. Live'!BW432-'check-Jul25'!BW432)</f>
        <v/>
      </c>
      <c r="BX432" t="str">
        <f>IF('1. Live'!BX432='check-Jul25'!BX432,"",'1. Live'!BX432-'check-Jul25'!BX432)</f>
        <v/>
      </c>
      <c r="BY432" t="str">
        <f>IF('1. Live'!BY432='check-Jul25'!BY432,"",'1. Live'!BY432-'check-Jul25'!BY432)</f>
        <v/>
      </c>
      <c r="BZ432" t="str">
        <f>IF('1. Live'!BZ432='check-Jul25'!BZ432,"",'1. Live'!BZ432-'check-Jul25'!BZ432)</f>
        <v/>
      </c>
      <c r="CA432" t="str">
        <f>IF('1. Live'!CA432='check-Jul25'!CA432,"",'1. Live'!CA432-'check-Jul25'!CA432)</f>
        <v/>
      </c>
      <c r="CB432" t="str">
        <f>IF('1. Live'!CB432='check-Jul25'!CB432,"",'1. Live'!CB432-'check-Jul25'!CB432)</f>
        <v/>
      </c>
      <c r="CC432" t="str">
        <f>IF('1. Live'!CC432='check-Jul25'!CC432,"",'1. Live'!CC432-'check-Jul25'!CC432)</f>
        <v/>
      </c>
      <c r="CD432" t="str">
        <f>IF('1. Live'!CD432='check-Jul25'!CD432,"",'1. Live'!CD432-'check-Jul25'!CD432)</f>
        <v/>
      </c>
      <c r="CE432" t="str">
        <f>IF('1. Live'!CE432='check-Jul25'!CE432,"",'1. Live'!CE432-'check-Jul25'!CE432)</f>
        <v/>
      </c>
      <c r="CF432" t="str">
        <f>IF('1. Live'!CF432='check-Jul25'!CF432,"",'1. Live'!CF432-'check-Jul25'!CF432)</f>
        <v/>
      </c>
      <c r="CG432" t="str">
        <f>IF('1. Live'!CG432='check-Jul25'!CG432,"",'1. Live'!CG432-'check-Jul25'!CG432)</f>
        <v/>
      </c>
      <c r="CH432" t="str">
        <f>IF('1. Live'!CH432='check-Jul25'!CH432,"",'1. Live'!CH432-'check-Jul25'!CH432)</f>
        <v/>
      </c>
      <c r="CI432" t="str">
        <f>IF('1. Live'!CI432='check-Jul25'!CI432,"",'1. Live'!CI432-'check-Jul25'!CI432)</f>
        <v/>
      </c>
      <c r="CJ432" t="str">
        <f>IF('1. Live'!CJ432='check-Jul25'!CJ432,"",'1. Live'!CJ432-'check-Jul25'!CJ432)</f>
        <v/>
      </c>
      <c r="CK432" t="str">
        <f>IF('1. Live'!CK432='check-Jul25'!CK432,"",'1. Live'!CK432-'check-Jul25'!CK432)</f>
        <v/>
      </c>
      <c r="CL432" t="str">
        <f>IF('1. Live'!CL432='check-Jul25'!CL432,"",'1. Live'!CL432-'check-Jul25'!CL432)</f>
        <v/>
      </c>
      <c r="CM432" t="str">
        <f>IF('1. Live'!CM432='check-Jul25'!CM432,"",'1. Live'!CM432-'check-Jul25'!CM432)</f>
        <v/>
      </c>
      <c r="CN432" t="str">
        <f>IF('1. Live'!CN432='check-Jul25'!CN432,"",'1. Live'!CN432-'check-Jul25'!CN432)</f>
        <v/>
      </c>
      <c r="CO432" t="str">
        <f>IF('1. Live'!CO432='check-Jul25'!CO432,"",'1. Live'!CO432-'check-Jul25'!CO432)</f>
        <v/>
      </c>
      <c r="CP432" t="str">
        <f>IF('1. Live'!CP432='check-Jul25'!CP432,"",'1. Live'!CP432-'check-Jul25'!CP432)</f>
        <v/>
      </c>
      <c r="CQ432" t="str">
        <f>IF('1. Live'!CQ432='check-Jul25'!CQ432,"",'1. Live'!CQ432-'check-Jul25'!CQ432)</f>
        <v/>
      </c>
      <c r="CR432" t="str">
        <f>IF('1. Live'!CR432='check-Jul25'!CR432,"",'1. Live'!CR432-'check-Jul25'!CR432)</f>
        <v/>
      </c>
      <c r="CS432" t="str">
        <f>IF('1. Live'!CS432='check-Jul25'!CS432,"",'1. Live'!CS432-'check-Jul25'!CS432)</f>
        <v/>
      </c>
      <c r="CT432" t="str">
        <f>IF('1. Live'!CT432='check-Jul25'!CT432,"",'1. Live'!CT432-'check-Jul25'!CT432)</f>
        <v/>
      </c>
      <c r="CU432" t="str">
        <f>IF('1. Live'!CU432='check-Jul25'!CU432,"",'1. Live'!CU432-'check-Jul25'!CU432)</f>
        <v/>
      </c>
      <c r="CV432" t="str">
        <f>IF('1. Live'!CV432='check-Jul25'!CV432,"",'1. Live'!CV432-'check-Jul25'!CV432)</f>
        <v/>
      </c>
      <c r="CW432" t="str">
        <f>IF('1. Live'!CW432='check-Jul25'!CW432,"",'1. Live'!CW432-'check-Jul25'!CW432)</f>
        <v/>
      </c>
    </row>
    <row r="433" spans="10:101">
      <c r="J433" t="str">
        <f>IF('1. Live'!J433='check-Jul25'!J433,"",'1. Live'!J433-'check-Jul25'!J433)</f>
        <v/>
      </c>
      <c r="K433" t="str">
        <f>IF('1. Live'!K433='check-Jul25'!K433,"",'1. Live'!K433-'check-Jul25'!K433)</f>
        <v/>
      </c>
      <c r="L433" t="str">
        <f>IF('1. Live'!L433='check-Jul25'!L433,"",'1. Live'!L433-'check-Jul25'!L433)</f>
        <v/>
      </c>
      <c r="M433" t="str">
        <f>IF('1. Live'!M433='check-Jul25'!M433,"",'1. Live'!M433-'check-Jul25'!M433)</f>
        <v/>
      </c>
      <c r="N433" t="str">
        <f>IF('1. Live'!N433='check-Jul25'!N433,"",'1. Live'!N433-'check-Jul25'!N433)</f>
        <v/>
      </c>
      <c r="O433" t="str">
        <f>IF('1. Live'!O433='check-Jul25'!O433,"",'1. Live'!O433-'check-Jul25'!O433)</f>
        <v/>
      </c>
      <c r="P433" t="str">
        <f>IF('1. Live'!P433='check-Jul25'!P433,"",'1. Live'!P433-'check-Jul25'!P433)</f>
        <v/>
      </c>
      <c r="Q433" t="str">
        <f>IF('1. Live'!Q433='check-Jul25'!Q433,"",'1. Live'!Q433-'check-Jul25'!Q433)</f>
        <v/>
      </c>
      <c r="R433" t="str">
        <f>IF('1. Live'!R433='check-Jul25'!R433,"",'1. Live'!R433-'check-Jul25'!R433)</f>
        <v/>
      </c>
      <c r="S433" t="str">
        <f>IF('1. Live'!S433='check-Jul25'!S433,"",'1. Live'!S433-'check-Jul25'!S433)</f>
        <v/>
      </c>
      <c r="T433" t="str">
        <f>IF('1. Live'!T433='check-Jul25'!T433,"",'1. Live'!T433-'check-Jul25'!T433)</f>
        <v/>
      </c>
      <c r="U433" t="str">
        <f>IF('1. Live'!U433='check-Jul25'!U433,"",'1. Live'!U433-'check-Jul25'!U433)</f>
        <v/>
      </c>
      <c r="V433" t="str">
        <f>IF('1. Live'!V433='check-Jul25'!V433,"",'1. Live'!V433-'check-Jul25'!V433)</f>
        <v/>
      </c>
      <c r="W433" t="str">
        <f>IF('1. Live'!W433='check-Jul25'!W433,"",'1. Live'!W433-'check-Jul25'!W433)</f>
        <v/>
      </c>
      <c r="X433" t="str">
        <f>IF('1. Live'!X433='check-Jul25'!X433,"",'1. Live'!X433-'check-Jul25'!X433)</f>
        <v/>
      </c>
      <c r="Y433" t="str">
        <f>IF('1. Live'!Y433='check-Jul25'!Y433,"",'1. Live'!Y433-'check-Jul25'!Y433)</f>
        <v/>
      </c>
      <c r="Z433" t="str">
        <f>IF('1. Live'!Z433='check-Jul25'!Z433,"",'1. Live'!Z433-'check-Jul25'!Z433)</f>
        <v/>
      </c>
      <c r="AA433" t="str">
        <f>IF('1. Live'!AA433='check-Jul25'!AA433,"",'1. Live'!AA433-'check-Jul25'!AA433)</f>
        <v/>
      </c>
      <c r="AB433" t="str">
        <f>IF('1. Live'!AB433='check-Jul25'!AB433,"",'1. Live'!AB433-'check-Jul25'!AB433)</f>
        <v/>
      </c>
      <c r="AC433" t="str">
        <f>IF('1. Live'!AC433='check-Jul25'!AC433,"",'1. Live'!AC433-'check-Jul25'!AC433)</f>
        <v/>
      </c>
      <c r="AD433" t="str">
        <f>IF('1. Live'!AD433='check-Jul25'!AD433,"",'1. Live'!AD433-'check-Jul25'!AD433)</f>
        <v/>
      </c>
      <c r="AE433" t="str">
        <f>IF('1. Live'!AE433='check-Jul25'!AE433,"",'1. Live'!AE433-'check-Jul25'!AE433)</f>
        <v/>
      </c>
      <c r="AF433" t="str">
        <f>IF('1. Live'!AF433='check-Jul25'!AF433,"",'1. Live'!AF433-'check-Jul25'!AF433)</f>
        <v/>
      </c>
      <c r="AG433" t="str">
        <f>IF('1. Live'!AG433='check-Jul25'!AG433,"",'1. Live'!AG433-'check-Jul25'!AG433)</f>
        <v/>
      </c>
      <c r="AH433" t="str">
        <f>IF('1. Live'!AH433='check-Jul25'!AH433,"",'1. Live'!AH433-'check-Jul25'!AH433)</f>
        <v/>
      </c>
      <c r="AI433" t="str">
        <f>IF('1. Live'!AI433='check-Jul25'!AI433,"",'1. Live'!AI433-'check-Jul25'!AI433)</f>
        <v/>
      </c>
      <c r="AJ433" t="str">
        <f>IF('1. Live'!AJ433='check-Jul25'!AJ433,"",'1. Live'!AJ433-'check-Jul25'!AJ433)</f>
        <v/>
      </c>
      <c r="AK433" t="str">
        <f>IF('1. Live'!AK433='check-Jul25'!AK433,"",'1. Live'!AK433-'check-Jul25'!AK433)</f>
        <v/>
      </c>
      <c r="AL433" t="str">
        <f>IF('1. Live'!AL433='check-Jul25'!AL433,"",'1. Live'!AL433-'check-Jul25'!AL433)</f>
        <v/>
      </c>
      <c r="AM433" t="str">
        <f>IF('1. Live'!AM433='check-Jul25'!AM433,"",'1. Live'!AM433-'check-Jul25'!AM433)</f>
        <v/>
      </c>
      <c r="AN433" t="str">
        <f>IF('1. Live'!AN433='check-Jul25'!AN433,"",'1. Live'!AN433-'check-Jul25'!AN433)</f>
        <v/>
      </c>
      <c r="AO433" t="str">
        <f>IF('1. Live'!AO433='check-Jul25'!AO433,"",'1. Live'!AO433-'check-Jul25'!AO433)</f>
        <v/>
      </c>
      <c r="AP433" t="str">
        <f>IF('1. Live'!AP433='check-Jul25'!AP433,"",'1. Live'!AP433-'check-Jul25'!AP433)</f>
        <v/>
      </c>
      <c r="AQ433" t="str">
        <f>IF('1. Live'!AQ433='check-Jul25'!AQ433,"",'1. Live'!AQ433-'check-Jul25'!AQ433)</f>
        <v/>
      </c>
      <c r="AR433" t="str">
        <f>IF('1. Live'!AR433='check-Jul25'!AR433,"",'1. Live'!AR433-'check-Jul25'!AR433)</f>
        <v/>
      </c>
      <c r="AS433" t="str">
        <f>IF('1. Live'!AS433='check-Jul25'!AS433,"",'1. Live'!AS433-'check-Jul25'!AS433)</f>
        <v/>
      </c>
      <c r="AT433" t="str">
        <f>IF('1. Live'!AT433='check-Jul25'!AT433,"",'1. Live'!AT433-'check-Jul25'!AT433)</f>
        <v/>
      </c>
      <c r="AU433" t="str">
        <f>IF('1. Live'!AU433='check-Jul25'!AU433,"",'1. Live'!AU433-'check-Jul25'!AU433)</f>
        <v/>
      </c>
      <c r="AV433" t="str">
        <f>IF('1. Live'!AV433='check-Jul25'!AV433,"",'1. Live'!AV433-'check-Jul25'!AV433)</f>
        <v/>
      </c>
      <c r="AW433" t="str">
        <f>IF('1. Live'!AW433='check-Jul25'!AW433,"",'1. Live'!AW433-'check-Jul25'!AW433)</f>
        <v/>
      </c>
      <c r="AX433" t="str">
        <f>IF('1. Live'!AX433='check-Jul25'!AX433,"",'1. Live'!AX433-'check-Jul25'!AX433)</f>
        <v/>
      </c>
      <c r="AY433" t="str">
        <f>IF('1. Live'!AY433='check-Jul25'!AY433,"",'1. Live'!AY433-'check-Jul25'!AY433)</f>
        <v/>
      </c>
      <c r="AZ433" t="str">
        <f>IF('1. Live'!AZ433='check-Jul25'!AZ433,"",'1. Live'!AZ433-'check-Jul25'!AZ433)</f>
        <v/>
      </c>
      <c r="BA433" t="str">
        <f>IF('1. Live'!BA433='check-Jul25'!BA433,"",'1. Live'!BA433-'check-Jul25'!BA433)</f>
        <v/>
      </c>
      <c r="BB433" t="str">
        <f>IF('1. Live'!BB433='check-Jul25'!BB433,"",'1. Live'!BB433-'check-Jul25'!BB433)</f>
        <v/>
      </c>
      <c r="BC433" t="str">
        <f>IF('1. Live'!BC433='check-Jul25'!BC433,"",'1. Live'!BC433-'check-Jul25'!BC433)</f>
        <v/>
      </c>
      <c r="BD433" t="str">
        <f>IF('1. Live'!BD433='check-Jul25'!BD433,"",'1. Live'!BD433-'check-Jul25'!BD433)</f>
        <v/>
      </c>
      <c r="BE433" t="str">
        <f>IF('1. Live'!BE433='check-Jul25'!BE433,"",'1. Live'!BE433-'check-Jul25'!BE433)</f>
        <v/>
      </c>
      <c r="BF433" t="str">
        <f>IF('1. Live'!BF433='check-Jul25'!BF433,"",'1. Live'!BF433-'check-Jul25'!BF433)</f>
        <v/>
      </c>
      <c r="BG433" t="str">
        <f>IF('1. Live'!BG433='check-Jul25'!BG433,"",'1. Live'!BG433-'check-Jul25'!BG433)</f>
        <v/>
      </c>
      <c r="BH433" t="str">
        <f>IF('1. Live'!BH433='check-Jul25'!BH433,"",'1. Live'!BH433-'check-Jul25'!BH433)</f>
        <v/>
      </c>
      <c r="BI433" t="str">
        <f>IF('1. Live'!BI433='check-Jul25'!BI433,"",'1. Live'!BI433-'check-Jul25'!BI433)</f>
        <v/>
      </c>
      <c r="BJ433" t="str">
        <f>IF('1. Live'!BJ433='check-Jul25'!BJ433,"",'1. Live'!BJ433-'check-Jul25'!BJ433)</f>
        <v/>
      </c>
      <c r="BK433" t="str">
        <f>IF('1. Live'!BK433='check-Jul25'!BK433,"",'1. Live'!BK433-'check-Jul25'!BK433)</f>
        <v/>
      </c>
      <c r="BL433" t="str">
        <f>IF('1. Live'!BL433='check-Jul25'!BL433,"",'1. Live'!BL433-'check-Jul25'!BL433)</f>
        <v/>
      </c>
      <c r="BM433" t="str">
        <f>IF('1. Live'!BM433='check-Jul25'!BM433,"",'1. Live'!BM433-'check-Jul25'!BM433)</f>
        <v/>
      </c>
      <c r="BN433" t="str">
        <f>IF('1. Live'!BN433='check-Jul25'!BN433,"",'1. Live'!BN433-'check-Jul25'!BN433)</f>
        <v/>
      </c>
      <c r="BO433" t="str">
        <f>IF('1. Live'!BO433='check-Jul25'!BO433,"",'1. Live'!BO433-'check-Jul25'!BO433)</f>
        <v/>
      </c>
      <c r="BP433" t="str">
        <f>IF('1. Live'!BP433='check-Jul25'!BP433,"",'1. Live'!BP433-'check-Jul25'!BP433)</f>
        <v/>
      </c>
      <c r="BQ433" t="str">
        <f>IF('1. Live'!BQ433='check-Jul25'!BQ433,"",'1. Live'!BQ433-'check-Jul25'!BQ433)</f>
        <v/>
      </c>
      <c r="BR433" t="str">
        <f>IF('1. Live'!BR433='check-Jul25'!BR433,"",'1. Live'!BR433-'check-Jul25'!BR433)</f>
        <v/>
      </c>
      <c r="BS433" t="str">
        <f>IF('1. Live'!BS433='check-Jul25'!BS433,"",'1. Live'!BS433-'check-Jul25'!BS433)</f>
        <v/>
      </c>
      <c r="BT433" t="str">
        <f>IF('1. Live'!BT433='check-Jul25'!BT433,"",'1. Live'!BT433-'check-Jul25'!BT433)</f>
        <v/>
      </c>
      <c r="BU433" t="str">
        <f>IF('1. Live'!BU433='check-Jul25'!BU433,"",'1. Live'!BU433-'check-Jul25'!BU433)</f>
        <v/>
      </c>
      <c r="BV433" t="str">
        <f>IF('1. Live'!BV433='check-Jul25'!BV433,"",'1. Live'!BV433-'check-Jul25'!BV433)</f>
        <v/>
      </c>
      <c r="BW433" t="str">
        <f>IF('1. Live'!BW433='check-Jul25'!BW433,"",'1. Live'!BW433-'check-Jul25'!BW433)</f>
        <v/>
      </c>
      <c r="BX433" t="str">
        <f>IF('1. Live'!BX433='check-Jul25'!BX433,"",'1. Live'!BX433-'check-Jul25'!BX433)</f>
        <v/>
      </c>
      <c r="BY433" t="str">
        <f>IF('1. Live'!BY433='check-Jul25'!BY433,"",'1. Live'!BY433-'check-Jul25'!BY433)</f>
        <v/>
      </c>
      <c r="BZ433" t="str">
        <f>IF('1. Live'!BZ433='check-Jul25'!BZ433,"",'1. Live'!BZ433-'check-Jul25'!BZ433)</f>
        <v/>
      </c>
      <c r="CA433" t="str">
        <f>IF('1. Live'!CA433='check-Jul25'!CA433,"",'1. Live'!CA433-'check-Jul25'!CA433)</f>
        <v/>
      </c>
      <c r="CB433" t="str">
        <f>IF('1. Live'!CB433='check-Jul25'!CB433,"",'1. Live'!CB433-'check-Jul25'!CB433)</f>
        <v/>
      </c>
      <c r="CC433" t="str">
        <f>IF('1. Live'!CC433='check-Jul25'!CC433,"",'1. Live'!CC433-'check-Jul25'!CC433)</f>
        <v/>
      </c>
      <c r="CD433" t="str">
        <f>IF('1. Live'!CD433='check-Jul25'!CD433,"",'1. Live'!CD433-'check-Jul25'!CD433)</f>
        <v/>
      </c>
      <c r="CE433" t="str">
        <f>IF('1. Live'!CE433='check-Jul25'!CE433,"",'1. Live'!CE433-'check-Jul25'!CE433)</f>
        <v/>
      </c>
      <c r="CF433" t="str">
        <f>IF('1. Live'!CF433='check-Jul25'!CF433,"",'1. Live'!CF433-'check-Jul25'!CF433)</f>
        <v/>
      </c>
      <c r="CG433" t="str">
        <f>IF('1. Live'!CG433='check-Jul25'!CG433,"",'1. Live'!CG433-'check-Jul25'!CG433)</f>
        <v/>
      </c>
      <c r="CH433" t="str">
        <f>IF('1. Live'!CH433='check-Jul25'!CH433,"",'1. Live'!CH433-'check-Jul25'!CH433)</f>
        <v/>
      </c>
      <c r="CI433" t="str">
        <f>IF('1. Live'!CI433='check-Jul25'!CI433,"",'1. Live'!CI433-'check-Jul25'!CI433)</f>
        <v/>
      </c>
      <c r="CJ433" t="str">
        <f>IF('1. Live'!CJ433='check-Jul25'!CJ433,"",'1. Live'!CJ433-'check-Jul25'!CJ433)</f>
        <v/>
      </c>
      <c r="CK433" t="str">
        <f>IF('1. Live'!CK433='check-Jul25'!CK433,"",'1. Live'!CK433-'check-Jul25'!CK433)</f>
        <v/>
      </c>
      <c r="CL433" t="str">
        <f>IF('1. Live'!CL433='check-Jul25'!CL433,"",'1. Live'!CL433-'check-Jul25'!CL433)</f>
        <v/>
      </c>
      <c r="CM433" t="str">
        <f>IF('1. Live'!CM433='check-Jul25'!CM433,"",'1. Live'!CM433-'check-Jul25'!CM433)</f>
        <v/>
      </c>
      <c r="CN433" t="str">
        <f>IF('1. Live'!CN433='check-Jul25'!CN433,"",'1. Live'!CN433-'check-Jul25'!CN433)</f>
        <v/>
      </c>
      <c r="CO433" t="str">
        <f>IF('1. Live'!CO433='check-Jul25'!CO433,"",'1. Live'!CO433-'check-Jul25'!CO433)</f>
        <v/>
      </c>
      <c r="CP433" t="str">
        <f>IF('1. Live'!CP433='check-Jul25'!CP433,"",'1. Live'!CP433-'check-Jul25'!CP433)</f>
        <v/>
      </c>
      <c r="CQ433" t="str">
        <f>IF('1. Live'!CQ433='check-Jul25'!CQ433,"",'1. Live'!CQ433-'check-Jul25'!CQ433)</f>
        <v/>
      </c>
      <c r="CR433" t="str">
        <f>IF('1. Live'!CR433='check-Jul25'!CR433,"",'1. Live'!CR433-'check-Jul25'!CR433)</f>
        <v/>
      </c>
      <c r="CS433" t="str">
        <f>IF('1. Live'!CS433='check-Jul25'!CS433,"",'1. Live'!CS433-'check-Jul25'!CS433)</f>
        <v/>
      </c>
      <c r="CT433" t="str">
        <f>IF('1. Live'!CT433='check-Jul25'!CT433,"",'1. Live'!CT433-'check-Jul25'!CT433)</f>
        <v/>
      </c>
      <c r="CU433" t="str">
        <f>IF('1. Live'!CU433='check-Jul25'!CU433,"",'1. Live'!CU433-'check-Jul25'!CU433)</f>
        <v/>
      </c>
      <c r="CV433" t="str">
        <f>IF('1. Live'!CV433='check-Jul25'!CV433,"",'1. Live'!CV433-'check-Jul25'!CV433)</f>
        <v/>
      </c>
      <c r="CW433" t="str">
        <f>IF('1. Live'!CW433='check-Jul25'!CW433,"",'1. Live'!CW433-'check-Jul25'!CW433)</f>
        <v/>
      </c>
    </row>
    <row r="434" spans="10:101">
      <c r="J434" t="str">
        <f>IF('1. Live'!J434='check-Jul25'!J434,"",'1. Live'!J434-'check-Jul25'!J434)</f>
        <v/>
      </c>
      <c r="K434" t="str">
        <f>IF('1. Live'!K434='check-Jul25'!K434,"",'1. Live'!K434-'check-Jul25'!K434)</f>
        <v/>
      </c>
      <c r="L434" t="str">
        <f>IF('1. Live'!L434='check-Jul25'!L434,"",'1. Live'!L434-'check-Jul25'!L434)</f>
        <v/>
      </c>
      <c r="M434" t="str">
        <f>IF('1. Live'!M434='check-Jul25'!M434,"",'1. Live'!M434-'check-Jul25'!M434)</f>
        <v/>
      </c>
      <c r="N434" t="str">
        <f>IF('1. Live'!N434='check-Jul25'!N434,"",'1. Live'!N434-'check-Jul25'!N434)</f>
        <v/>
      </c>
      <c r="O434" t="str">
        <f>IF('1. Live'!O434='check-Jul25'!O434,"",'1. Live'!O434-'check-Jul25'!O434)</f>
        <v/>
      </c>
      <c r="P434" t="str">
        <f>IF('1. Live'!P434='check-Jul25'!P434,"",'1. Live'!P434-'check-Jul25'!P434)</f>
        <v/>
      </c>
      <c r="Q434" t="str">
        <f>IF('1. Live'!Q434='check-Jul25'!Q434,"",'1. Live'!Q434-'check-Jul25'!Q434)</f>
        <v/>
      </c>
      <c r="R434" t="str">
        <f>IF('1. Live'!R434='check-Jul25'!R434,"",'1. Live'!R434-'check-Jul25'!R434)</f>
        <v/>
      </c>
      <c r="S434" t="str">
        <f>IF('1. Live'!S434='check-Jul25'!S434,"",'1. Live'!S434-'check-Jul25'!S434)</f>
        <v/>
      </c>
      <c r="T434" t="str">
        <f>IF('1. Live'!T434='check-Jul25'!T434,"",'1. Live'!T434-'check-Jul25'!T434)</f>
        <v/>
      </c>
      <c r="U434" t="str">
        <f>IF('1. Live'!U434='check-Jul25'!U434,"",'1. Live'!U434-'check-Jul25'!U434)</f>
        <v/>
      </c>
      <c r="V434" t="str">
        <f>IF('1. Live'!V434='check-Jul25'!V434,"",'1. Live'!V434-'check-Jul25'!V434)</f>
        <v/>
      </c>
      <c r="W434" t="str">
        <f>IF('1. Live'!W434='check-Jul25'!W434,"",'1. Live'!W434-'check-Jul25'!W434)</f>
        <v/>
      </c>
      <c r="X434" t="str">
        <f>IF('1. Live'!X434='check-Jul25'!X434,"",'1. Live'!X434-'check-Jul25'!X434)</f>
        <v/>
      </c>
      <c r="Y434" t="str">
        <f>IF('1. Live'!Y434='check-Jul25'!Y434,"",'1. Live'!Y434-'check-Jul25'!Y434)</f>
        <v/>
      </c>
      <c r="Z434" t="str">
        <f>IF('1. Live'!Z434='check-Jul25'!Z434,"",'1. Live'!Z434-'check-Jul25'!Z434)</f>
        <v/>
      </c>
      <c r="AA434" t="str">
        <f>IF('1. Live'!AA434='check-Jul25'!AA434,"",'1. Live'!AA434-'check-Jul25'!AA434)</f>
        <v/>
      </c>
      <c r="AB434" t="str">
        <f>IF('1. Live'!AB434='check-Jul25'!AB434,"",'1. Live'!AB434-'check-Jul25'!AB434)</f>
        <v/>
      </c>
      <c r="AC434" t="str">
        <f>IF('1. Live'!AC434='check-Jul25'!AC434,"",'1. Live'!AC434-'check-Jul25'!AC434)</f>
        <v/>
      </c>
      <c r="AD434" t="str">
        <f>IF('1. Live'!AD434='check-Jul25'!AD434,"",'1. Live'!AD434-'check-Jul25'!AD434)</f>
        <v/>
      </c>
      <c r="AE434" t="str">
        <f>IF('1. Live'!AE434='check-Jul25'!AE434,"",'1. Live'!AE434-'check-Jul25'!AE434)</f>
        <v/>
      </c>
      <c r="AF434" t="str">
        <f>IF('1. Live'!AF434='check-Jul25'!AF434,"",'1. Live'!AF434-'check-Jul25'!AF434)</f>
        <v/>
      </c>
      <c r="AG434" t="str">
        <f>IF('1. Live'!AG434='check-Jul25'!AG434,"",'1. Live'!AG434-'check-Jul25'!AG434)</f>
        <v/>
      </c>
      <c r="AH434" t="str">
        <f>IF('1. Live'!AH434='check-Jul25'!AH434,"",'1. Live'!AH434-'check-Jul25'!AH434)</f>
        <v/>
      </c>
      <c r="AI434" t="str">
        <f>IF('1. Live'!AI434='check-Jul25'!AI434,"",'1. Live'!AI434-'check-Jul25'!AI434)</f>
        <v/>
      </c>
      <c r="AJ434" t="str">
        <f>IF('1. Live'!AJ434='check-Jul25'!AJ434,"",'1. Live'!AJ434-'check-Jul25'!AJ434)</f>
        <v/>
      </c>
      <c r="AK434" t="str">
        <f>IF('1. Live'!AK434='check-Jul25'!AK434,"",'1. Live'!AK434-'check-Jul25'!AK434)</f>
        <v/>
      </c>
      <c r="AL434" t="str">
        <f>IF('1. Live'!AL434='check-Jul25'!AL434,"",'1. Live'!AL434-'check-Jul25'!AL434)</f>
        <v/>
      </c>
      <c r="AM434" t="str">
        <f>IF('1. Live'!AM434='check-Jul25'!AM434,"",'1. Live'!AM434-'check-Jul25'!AM434)</f>
        <v/>
      </c>
      <c r="AN434" t="str">
        <f>IF('1. Live'!AN434='check-Jul25'!AN434,"",'1. Live'!AN434-'check-Jul25'!AN434)</f>
        <v/>
      </c>
      <c r="AO434" t="str">
        <f>IF('1. Live'!AO434='check-Jul25'!AO434,"",'1. Live'!AO434-'check-Jul25'!AO434)</f>
        <v/>
      </c>
      <c r="AP434" t="str">
        <f>IF('1. Live'!AP434='check-Jul25'!AP434,"",'1. Live'!AP434-'check-Jul25'!AP434)</f>
        <v/>
      </c>
      <c r="AQ434" t="str">
        <f>IF('1. Live'!AQ434='check-Jul25'!AQ434,"",'1. Live'!AQ434-'check-Jul25'!AQ434)</f>
        <v/>
      </c>
      <c r="AR434" t="str">
        <f>IF('1. Live'!AR434='check-Jul25'!AR434,"",'1. Live'!AR434-'check-Jul25'!AR434)</f>
        <v/>
      </c>
      <c r="AS434" t="str">
        <f>IF('1. Live'!AS434='check-Jul25'!AS434,"",'1. Live'!AS434-'check-Jul25'!AS434)</f>
        <v/>
      </c>
      <c r="AT434" t="str">
        <f>IF('1. Live'!AT434='check-Jul25'!AT434,"",'1. Live'!AT434-'check-Jul25'!AT434)</f>
        <v/>
      </c>
      <c r="AU434" t="str">
        <f>IF('1. Live'!AU434='check-Jul25'!AU434,"",'1. Live'!AU434-'check-Jul25'!AU434)</f>
        <v/>
      </c>
      <c r="AV434" t="str">
        <f>IF('1. Live'!AV434='check-Jul25'!AV434,"",'1. Live'!AV434-'check-Jul25'!AV434)</f>
        <v/>
      </c>
      <c r="AW434" t="str">
        <f>IF('1. Live'!AW434='check-Jul25'!AW434,"",'1. Live'!AW434-'check-Jul25'!AW434)</f>
        <v/>
      </c>
      <c r="AX434" t="str">
        <f>IF('1. Live'!AX434='check-Jul25'!AX434,"",'1. Live'!AX434-'check-Jul25'!AX434)</f>
        <v/>
      </c>
      <c r="AY434" t="str">
        <f>IF('1. Live'!AY434='check-Jul25'!AY434,"",'1. Live'!AY434-'check-Jul25'!AY434)</f>
        <v/>
      </c>
      <c r="AZ434" t="str">
        <f>IF('1. Live'!AZ434='check-Jul25'!AZ434,"",'1. Live'!AZ434-'check-Jul25'!AZ434)</f>
        <v/>
      </c>
      <c r="BA434" t="str">
        <f>IF('1. Live'!BA434='check-Jul25'!BA434,"",'1. Live'!BA434-'check-Jul25'!BA434)</f>
        <v/>
      </c>
      <c r="BB434" t="str">
        <f>IF('1. Live'!BB434='check-Jul25'!BB434,"",'1. Live'!BB434-'check-Jul25'!BB434)</f>
        <v/>
      </c>
      <c r="BC434" t="str">
        <f>IF('1. Live'!BC434='check-Jul25'!BC434,"",'1. Live'!BC434-'check-Jul25'!BC434)</f>
        <v/>
      </c>
      <c r="BD434" t="str">
        <f>IF('1. Live'!BD434='check-Jul25'!BD434,"",'1. Live'!BD434-'check-Jul25'!BD434)</f>
        <v/>
      </c>
      <c r="BE434" t="str">
        <f>IF('1. Live'!BE434='check-Jul25'!BE434,"",'1. Live'!BE434-'check-Jul25'!BE434)</f>
        <v/>
      </c>
      <c r="BF434" t="str">
        <f>IF('1. Live'!BF434='check-Jul25'!BF434,"",'1. Live'!BF434-'check-Jul25'!BF434)</f>
        <v/>
      </c>
      <c r="BG434" t="str">
        <f>IF('1. Live'!BG434='check-Jul25'!BG434,"",'1. Live'!BG434-'check-Jul25'!BG434)</f>
        <v/>
      </c>
      <c r="BH434" t="str">
        <f>IF('1. Live'!BH434='check-Jul25'!BH434,"",'1. Live'!BH434-'check-Jul25'!BH434)</f>
        <v/>
      </c>
      <c r="BI434" t="str">
        <f>IF('1. Live'!BI434='check-Jul25'!BI434,"",'1. Live'!BI434-'check-Jul25'!BI434)</f>
        <v/>
      </c>
      <c r="BJ434" t="str">
        <f>IF('1. Live'!BJ434='check-Jul25'!BJ434,"",'1. Live'!BJ434-'check-Jul25'!BJ434)</f>
        <v/>
      </c>
      <c r="BK434" t="str">
        <f>IF('1. Live'!BK434='check-Jul25'!BK434,"",'1. Live'!BK434-'check-Jul25'!BK434)</f>
        <v/>
      </c>
      <c r="BL434" t="str">
        <f>IF('1. Live'!BL434='check-Jul25'!BL434,"",'1. Live'!BL434-'check-Jul25'!BL434)</f>
        <v/>
      </c>
      <c r="BM434" t="str">
        <f>IF('1. Live'!BM434='check-Jul25'!BM434,"",'1. Live'!BM434-'check-Jul25'!BM434)</f>
        <v/>
      </c>
      <c r="BN434" t="str">
        <f>IF('1. Live'!BN434='check-Jul25'!BN434,"",'1. Live'!BN434-'check-Jul25'!BN434)</f>
        <v/>
      </c>
      <c r="BO434" t="str">
        <f>IF('1. Live'!BO434='check-Jul25'!BO434,"",'1. Live'!BO434-'check-Jul25'!BO434)</f>
        <v/>
      </c>
      <c r="BP434" t="str">
        <f>IF('1. Live'!BP434='check-Jul25'!BP434,"",'1. Live'!BP434-'check-Jul25'!BP434)</f>
        <v/>
      </c>
      <c r="BQ434" t="str">
        <f>IF('1. Live'!BQ434='check-Jul25'!BQ434,"",'1. Live'!BQ434-'check-Jul25'!BQ434)</f>
        <v/>
      </c>
      <c r="BR434" t="str">
        <f>IF('1. Live'!BR434='check-Jul25'!BR434,"",'1. Live'!BR434-'check-Jul25'!BR434)</f>
        <v/>
      </c>
      <c r="BS434" t="str">
        <f>IF('1. Live'!BS434='check-Jul25'!BS434,"",'1. Live'!BS434-'check-Jul25'!BS434)</f>
        <v/>
      </c>
      <c r="BT434" t="str">
        <f>IF('1. Live'!BT434='check-Jul25'!BT434,"",'1. Live'!BT434-'check-Jul25'!BT434)</f>
        <v/>
      </c>
      <c r="BU434" t="str">
        <f>IF('1. Live'!BU434='check-Jul25'!BU434,"",'1. Live'!BU434-'check-Jul25'!BU434)</f>
        <v/>
      </c>
      <c r="BV434" t="str">
        <f>IF('1. Live'!BV434='check-Jul25'!BV434,"",'1. Live'!BV434-'check-Jul25'!BV434)</f>
        <v/>
      </c>
      <c r="BW434" t="str">
        <f>IF('1. Live'!BW434='check-Jul25'!BW434,"",'1. Live'!BW434-'check-Jul25'!BW434)</f>
        <v/>
      </c>
      <c r="BX434" t="str">
        <f>IF('1. Live'!BX434='check-Jul25'!BX434,"",'1. Live'!BX434-'check-Jul25'!BX434)</f>
        <v/>
      </c>
      <c r="BY434" t="str">
        <f>IF('1. Live'!BY434='check-Jul25'!BY434,"",'1. Live'!BY434-'check-Jul25'!BY434)</f>
        <v/>
      </c>
      <c r="BZ434" t="str">
        <f>IF('1. Live'!BZ434='check-Jul25'!BZ434,"",'1. Live'!BZ434-'check-Jul25'!BZ434)</f>
        <v/>
      </c>
      <c r="CA434" t="str">
        <f>IF('1. Live'!CA434='check-Jul25'!CA434,"",'1. Live'!CA434-'check-Jul25'!CA434)</f>
        <v/>
      </c>
      <c r="CB434" t="str">
        <f>IF('1. Live'!CB434='check-Jul25'!CB434,"",'1. Live'!CB434-'check-Jul25'!CB434)</f>
        <v/>
      </c>
      <c r="CC434" t="str">
        <f>IF('1. Live'!CC434='check-Jul25'!CC434,"",'1. Live'!CC434-'check-Jul25'!CC434)</f>
        <v/>
      </c>
      <c r="CD434" t="str">
        <f>IF('1. Live'!CD434='check-Jul25'!CD434,"",'1. Live'!CD434-'check-Jul25'!CD434)</f>
        <v/>
      </c>
      <c r="CE434" t="str">
        <f>IF('1. Live'!CE434='check-Jul25'!CE434,"",'1. Live'!CE434-'check-Jul25'!CE434)</f>
        <v/>
      </c>
      <c r="CF434" t="str">
        <f>IF('1. Live'!CF434='check-Jul25'!CF434,"",'1. Live'!CF434-'check-Jul25'!CF434)</f>
        <v/>
      </c>
      <c r="CG434" t="str">
        <f>IF('1. Live'!CG434='check-Jul25'!CG434,"",'1. Live'!CG434-'check-Jul25'!CG434)</f>
        <v/>
      </c>
      <c r="CH434" t="str">
        <f>IF('1. Live'!CH434='check-Jul25'!CH434,"",'1. Live'!CH434-'check-Jul25'!CH434)</f>
        <v/>
      </c>
      <c r="CI434" t="str">
        <f>IF('1. Live'!CI434='check-Jul25'!CI434,"",'1. Live'!CI434-'check-Jul25'!CI434)</f>
        <v/>
      </c>
      <c r="CJ434" t="str">
        <f>IF('1. Live'!CJ434='check-Jul25'!CJ434,"",'1. Live'!CJ434-'check-Jul25'!CJ434)</f>
        <v/>
      </c>
      <c r="CK434" t="str">
        <f>IF('1. Live'!CK434='check-Jul25'!CK434,"",'1. Live'!CK434-'check-Jul25'!CK434)</f>
        <v/>
      </c>
      <c r="CL434" t="str">
        <f>IF('1. Live'!CL434='check-Jul25'!CL434,"",'1. Live'!CL434-'check-Jul25'!CL434)</f>
        <v/>
      </c>
      <c r="CM434" t="str">
        <f>IF('1. Live'!CM434='check-Jul25'!CM434,"",'1. Live'!CM434-'check-Jul25'!CM434)</f>
        <v/>
      </c>
      <c r="CN434" t="str">
        <f>IF('1. Live'!CN434='check-Jul25'!CN434,"",'1. Live'!CN434-'check-Jul25'!CN434)</f>
        <v/>
      </c>
      <c r="CO434" t="str">
        <f>IF('1. Live'!CO434='check-Jul25'!CO434,"",'1. Live'!CO434-'check-Jul25'!CO434)</f>
        <v/>
      </c>
      <c r="CP434" t="str">
        <f>IF('1. Live'!CP434='check-Jul25'!CP434,"",'1. Live'!CP434-'check-Jul25'!CP434)</f>
        <v/>
      </c>
      <c r="CQ434" t="str">
        <f>IF('1. Live'!CQ434='check-Jul25'!CQ434,"",'1. Live'!CQ434-'check-Jul25'!CQ434)</f>
        <v/>
      </c>
      <c r="CR434" t="str">
        <f>IF('1. Live'!CR434='check-Jul25'!CR434,"",'1. Live'!CR434-'check-Jul25'!CR434)</f>
        <v/>
      </c>
      <c r="CS434" t="str">
        <f>IF('1. Live'!CS434='check-Jul25'!CS434,"",'1. Live'!CS434-'check-Jul25'!CS434)</f>
        <v/>
      </c>
      <c r="CT434" t="str">
        <f>IF('1. Live'!CT434='check-Jul25'!CT434,"",'1. Live'!CT434-'check-Jul25'!CT434)</f>
        <v/>
      </c>
      <c r="CU434" t="str">
        <f>IF('1. Live'!CU434='check-Jul25'!CU434,"",'1. Live'!CU434-'check-Jul25'!CU434)</f>
        <v/>
      </c>
      <c r="CV434" t="str">
        <f>IF('1. Live'!CV434='check-Jul25'!CV434,"",'1. Live'!CV434-'check-Jul25'!CV434)</f>
        <v/>
      </c>
      <c r="CW434" t="str">
        <f>IF('1. Live'!CW434='check-Jul25'!CW434,"",'1. Live'!CW434-'check-Jul25'!CW434)</f>
        <v/>
      </c>
    </row>
    <row r="435" spans="10:101">
      <c r="J435" t="str">
        <f>IF('1. Live'!J435='check-Jul25'!J435,"",'1. Live'!J435-'check-Jul25'!J435)</f>
        <v/>
      </c>
      <c r="K435" t="str">
        <f>IF('1. Live'!K435='check-Jul25'!K435,"",'1. Live'!K435-'check-Jul25'!K435)</f>
        <v/>
      </c>
      <c r="L435" t="str">
        <f>IF('1. Live'!L435='check-Jul25'!L435,"",'1. Live'!L435-'check-Jul25'!L435)</f>
        <v/>
      </c>
      <c r="M435" t="str">
        <f>IF('1. Live'!M435='check-Jul25'!M435,"",'1. Live'!M435-'check-Jul25'!M435)</f>
        <v/>
      </c>
      <c r="N435" t="str">
        <f>IF('1. Live'!N435='check-Jul25'!N435,"",'1. Live'!N435-'check-Jul25'!N435)</f>
        <v/>
      </c>
      <c r="O435" t="str">
        <f>IF('1. Live'!O435='check-Jul25'!O435,"",'1. Live'!O435-'check-Jul25'!O435)</f>
        <v/>
      </c>
      <c r="P435" t="str">
        <f>IF('1. Live'!P435='check-Jul25'!P435,"",'1. Live'!P435-'check-Jul25'!P435)</f>
        <v/>
      </c>
      <c r="Q435" t="str">
        <f>IF('1. Live'!Q435='check-Jul25'!Q435,"",'1. Live'!Q435-'check-Jul25'!Q435)</f>
        <v/>
      </c>
      <c r="R435" t="str">
        <f>IF('1. Live'!R435='check-Jul25'!R435,"",'1. Live'!R435-'check-Jul25'!R435)</f>
        <v/>
      </c>
      <c r="S435" t="str">
        <f>IF('1. Live'!S435='check-Jul25'!S435,"",'1. Live'!S435-'check-Jul25'!S435)</f>
        <v/>
      </c>
      <c r="T435" t="str">
        <f>IF('1. Live'!T435='check-Jul25'!T435,"",'1. Live'!T435-'check-Jul25'!T435)</f>
        <v/>
      </c>
      <c r="U435" t="str">
        <f>IF('1. Live'!U435='check-Jul25'!U435,"",'1. Live'!U435-'check-Jul25'!U435)</f>
        <v/>
      </c>
      <c r="V435" t="str">
        <f>IF('1. Live'!V435='check-Jul25'!V435,"",'1. Live'!V435-'check-Jul25'!V435)</f>
        <v/>
      </c>
      <c r="W435" t="str">
        <f>IF('1. Live'!W435='check-Jul25'!W435,"",'1. Live'!W435-'check-Jul25'!W435)</f>
        <v/>
      </c>
      <c r="X435" t="str">
        <f>IF('1. Live'!X435='check-Jul25'!X435,"",'1. Live'!X435-'check-Jul25'!X435)</f>
        <v/>
      </c>
      <c r="Y435" t="str">
        <f>IF('1. Live'!Y435='check-Jul25'!Y435,"",'1. Live'!Y435-'check-Jul25'!Y435)</f>
        <v/>
      </c>
      <c r="Z435" t="str">
        <f>IF('1. Live'!Z435='check-Jul25'!Z435,"",'1. Live'!Z435-'check-Jul25'!Z435)</f>
        <v/>
      </c>
      <c r="AA435" t="str">
        <f>IF('1. Live'!AA435='check-Jul25'!AA435,"",'1. Live'!AA435-'check-Jul25'!AA435)</f>
        <v/>
      </c>
      <c r="AB435" t="str">
        <f>IF('1. Live'!AB435='check-Jul25'!AB435,"",'1. Live'!AB435-'check-Jul25'!AB435)</f>
        <v/>
      </c>
      <c r="AC435" t="str">
        <f>IF('1. Live'!AC435='check-Jul25'!AC435,"",'1. Live'!AC435-'check-Jul25'!AC435)</f>
        <v/>
      </c>
      <c r="AD435" t="str">
        <f>IF('1. Live'!AD435='check-Jul25'!AD435,"",'1. Live'!AD435-'check-Jul25'!AD435)</f>
        <v/>
      </c>
      <c r="AE435" t="str">
        <f>IF('1. Live'!AE435='check-Jul25'!AE435,"",'1. Live'!AE435-'check-Jul25'!AE435)</f>
        <v/>
      </c>
      <c r="AF435" t="str">
        <f>IF('1. Live'!AF435='check-Jul25'!AF435,"",'1. Live'!AF435-'check-Jul25'!AF435)</f>
        <v/>
      </c>
      <c r="AG435" t="str">
        <f>IF('1. Live'!AG435='check-Jul25'!AG435,"",'1. Live'!AG435-'check-Jul25'!AG435)</f>
        <v/>
      </c>
      <c r="AH435" t="str">
        <f>IF('1. Live'!AH435='check-Jul25'!AH435,"",'1. Live'!AH435-'check-Jul25'!AH435)</f>
        <v/>
      </c>
      <c r="AI435" t="str">
        <f>IF('1. Live'!AI435='check-Jul25'!AI435,"",'1. Live'!AI435-'check-Jul25'!AI435)</f>
        <v/>
      </c>
      <c r="AJ435" t="str">
        <f>IF('1. Live'!AJ435='check-Jul25'!AJ435,"",'1. Live'!AJ435-'check-Jul25'!AJ435)</f>
        <v/>
      </c>
      <c r="AK435" t="str">
        <f>IF('1. Live'!AK435='check-Jul25'!AK435,"",'1. Live'!AK435-'check-Jul25'!AK435)</f>
        <v/>
      </c>
      <c r="AL435" t="str">
        <f>IF('1. Live'!AL435='check-Jul25'!AL435,"",'1. Live'!AL435-'check-Jul25'!AL435)</f>
        <v/>
      </c>
      <c r="AM435" t="str">
        <f>IF('1. Live'!AM435='check-Jul25'!AM435,"",'1. Live'!AM435-'check-Jul25'!AM435)</f>
        <v/>
      </c>
      <c r="AN435" t="str">
        <f>IF('1. Live'!AN435='check-Jul25'!AN435,"",'1. Live'!AN435-'check-Jul25'!AN435)</f>
        <v/>
      </c>
      <c r="AO435" t="str">
        <f>IF('1. Live'!AO435='check-Jul25'!AO435,"",'1. Live'!AO435-'check-Jul25'!AO435)</f>
        <v/>
      </c>
      <c r="AP435" t="str">
        <f>IF('1. Live'!AP435='check-Jul25'!AP435,"",'1. Live'!AP435-'check-Jul25'!AP435)</f>
        <v/>
      </c>
      <c r="AQ435" t="str">
        <f>IF('1. Live'!AQ435='check-Jul25'!AQ435,"",'1. Live'!AQ435-'check-Jul25'!AQ435)</f>
        <v/>
      </c>
      <c r="AR435" t="str">
        <f>IF('1. Live'!AR435='check-Jul25'!AR435,"",'1. Live'!AR435-'check-Jul25'!AR435)</f>
        <v/>
      </c>
      <c r="AS435" t="str">
        <f>IF('1. Live'!AS435='check-Jul25'!AS435,"",'1. Live'!AS435-'check-Jul25'!AS435)</f>
        <v/>
      </c>
      <c r="AT435" t="str">
        <f>IF('1. Live'!AT435='check-Jul25'!AT435,"",'1. Live'!AT435-'check-Jul25'!AT435)</f>
        <v/>
      </c>
      <c r="AU435" t="str">
        <f>IF('1. Live'!AU435='check-Jul25'!AU435,"",'1. Live'!AU435-'check-Jul25'!AU435)</f>
        <v/>
      </c>
      <c r="AV435" t="str">
        <f>IF('1. Live'!AV435='check-Jul25'!AV435,"",'1. Live'!AV435-'check-Jul25'!AV435)</f>
        <v/>
      </c>
      <c r="AW435" t="str">
        <f>IF('1. Live'!AW435='check-Jul25'!AW435,"",'1. Live'!AW435-'check-Jul25'!AW435)</f>
        <v/>
      </c>
      <c r="AX435" t="str">
        <f>IF('1. Live'!AX435='check-Jul25'!AX435,"",'1. Live'!AX435-'check-Jul25'!AX435)</f>
        <v/>
      </c>
      <c r="AY435" t="str">
        <f>IF('1. Live'!AY435='check-Jul25'!AY435,"",'1. Live'!AY435-'check-Jul25'!AY435)</f>
        <v/>
      </c>
      <c r="AZ435" t="str">
        <f>IF('1. Live'!AZ435='check-Jul25'!AZ435,"",'1. Live'!AZ435-'check-Jul25'!AZ435)</f>
        <v/>
      </c>
      <c r="BA435" t="str">
        <f>IF('1. Live'!BA435='check-Jul25'!BA435,"",'1. Live'!BA435-'check-Jul25'!BA435)</f>
        <v/>
      </c>
      <c r="BB435" t="str">
        <f>IF('1. Live'!BB435='check-Jul25'!BB435,"",'1. Live'!BB435-'check-Jul25'!BB435)</f>
        <v/>
      </c>
      <c r="BC435" t="str">
        <f>IF('1. Live'!BC435='check-Jul25'!BC435,"",'1. Live'!BC435-'check-Jul25'!BC435)</f>
        <v/>
      </c>
      <c r="BD435" t="str">
        <f>IF('1. Live'!BD435='check-Jul25'!BD435,"",'1. Live'!BD435-'check-Jul25'!BD435)</f>
        <v/>
      </c>
      <c r="BE435" t="str">
        <f>IF('1. Live'!BE435='check-Jul25'!BE435,"",'1. Live'!BE435-'check-Jul25'!BE435)</f>
        <v/>
      </c>
      <c r="BF435" t="str">
        <f>IF('1. Live'!BF435='check-Jul25'!BF435,"",'1. Live'!BF435-'check-Jul25'!BF435)</f>
        <v/>
      </c>
      <c r="BG435" t="str">
        <f>IF('1. Live'!BG435='check-Jul25'!BG435,"",'1. Live'!BG435-'check-Jul25'!BG435)</f>
        <v/>
      </c>
      <c r="BH435" t="str">
        <f>IF('1. Live'!BH435='check-Jul25'!BH435,"",'1. Live'!BH435-'check-Jul25'!BH435)</f>
        <v/>
      </c>
      <c r="BI435" t="str">
        <f>IF('1. Live'!BI435='check-Jul25'!BI435,"",'1. Live'!BI435-'check-Jul25'!BI435)</f>
        <v/>
      </c>
      <c r="BJ435" t="str">
        <f>IF('1. Live'!BJ435='check-Jul25'!BJ435,"",'1. Live'!BJ435-'check-Jul25'!BJ435)</f>
        <v/>
      </c>
      <c r="BK435" t="str">
        <f>IF('1. Live'!BK435='check-Jul25'!BK435,"",'1. Live'!BK435-'check-Jul25'!BK435)</f>
        <v/>
      </c>
      <c r="BL435" t="str">
        <f>IF('1. Live'!BL435='check-Jul25'!BL435,"",'1. Live'!BL435-'check-Jul25'!BL435)</f>
        <v/>
      </c>
      <c r="BM435" t="str">
        <f>IF('1. Live'!BM435='check-Jul25'!BM435,"",'1. Live'!BM435-'check-Jul25'!BM435)</f>
        <v/>
      </c>
      <c r="BN435" t="str">
        <f>IF('1. Live'!BN435='check-Jul25'!BN435,"",'1. Live'!BN435-'check-Jul25'!BN435)</f>
        <v/>
      </c>
      <c r="BO435" t="str">
        <f>IF('1. Live'!BO435='check-Jul25'!BO435,"",'1. Live'!BO435-'check-Jul25'!BO435)</f>
        <v/>
      </c>
      <c r="BP435" t="str">
        <f>IF('1. Live'!BP435='check-Jul25'!BP435,"",'1. Live'!BP435-'check-Jul25'!BP435)</f>
        <v/>
      </c>
      <c r="BQ435" t="str">
        <f>IF('1. Live'!BQ435='check-Jul25'!BQ435,"",'1. Live'!BQ435-'check-Jul25'!BQ435)</f>
        <v/>
      </c>
      <c r="BR435" t="str">
        <f>IF('1. Live'!BR435='check-Jul25'!BR435,"",'1. Live'!BR435-'check-Jul25'!BR435)</f>
        <v/>
      </c>
      <c r="BS435" t="str">
        <f>IF('1. Live'!BS435='check-Jul25'!BS435,"",'1. Live'!BS435-'check-Jul25'!BS435)</f>
        <v/>
      </c>
      <c r="BT435" t="str">
        <f>IF('1. Live'!BT435='check-Jul25'!BT435,"",'1. Live'!BT435-'check-Jul25'!BT435)</f>
        <v/>
      </c>
      <c r="BU435" t="str">
        <f>IF('1. Live'!BU435='check-Jul25'!BU435,"",'1. Live'!BU435-'check-Jul25'!BU435)</f>
        <v/>
      </c>
      <c r="BV435" t="str">
        <f>IF('1. Live'!BV435='check-Jul25'!BV435,"",'1. Live'!BV435-'check-Jul25'!BV435)</f>
        <v/>
      </c>
      <c r="BW435" t="str">
        <f>IF('1. Live'!BW435='check-Jul25'!BW435,"",'1. Live'!BW435-'check-Jul25'!BW435)</f>
        <v/>
      </c>
      <c r="BX435" t="str">
        <f>IF('1. Live'!BX435='check-Jul25'!BX435,"",'1. Live'!BX435-'check-Jul25'!BX435)</f>
        <v/>
      </c>
      <c r="BY435" t="str">
        <f>IF('1. Live'!BY435='check-Jul25'!BY435,"",'1. Live'!BY435-'check-Jul25'!BY435)</f>
        <v/>
      </c>
      <c r="BZ435" t="str">
        <f>IF('1. Live'!BZ435='check-Jul25'!BZ435,"",'1. Live'!BZ435-'check-Jul25'!BZ435)</f>
        <v/>
      </c>
      <c r="CA435" t="str">
        <f>IF('1. Live'!CA435='check-Jul25'!CA435,"",'1. Live'!CA435-'check-Jul25'!CA435)</f>
        <v/>
      </c>
      <c r="CB435" t="str">
        <f>IF('1. Live'!CB435='check-Jul25'!CB435,"",'1. Live'!CB435-'check-Jul25'!CB435)</f>
        <v/>
      </c>
      <c r="CC435" t="str">
        <f>IF('1. Live'!CC435='check-Jul25'!CC435,"",'1. Live'!CC435-'check-Jul25'!CC435)</f>
        <v/>
      </c>
      <c r="CD435" t="str">
        <f>IF('1. Live'!CD435='check-Jul25'!CD435,"",'1. Live'!CD435-'check-Jul25'!CD435)</f>
        <v/>
      </c>
      <c r="CE435" t="str">
        <f>IF('1. Live'!CE435='check-Jul25'!CE435,"",'1. Live'!CE435-'check-Jul25'!CE435)</f>
        <v/>
      </c>
      <c r="CF435" t="str">
        <f>IF('1. Live'!CF435='check-Jul25'!CF435,"",'1. Live'!CF435-'check-Jul25'!CF435)</f>
        <v/>
      </c>
      <c r="CG435" t="str">
        <f>IF('1. Live'!CG435='check-Jul25'!CG435,"",'1. Live'!CG435-'check-Jul25'!CG435)</f>
        <v/>
      </c>
      <c r="CH435" t="str">
        <f>IF('1. Live'!CH435='check-Jul25'!CH435,"",'1. Live'!CH435-'check-Jul25'!CH435)</f>
        <v/>
      </c>
      <c r="CI435" t="str">
        <f>IF('1. Live'!CI435='check-Jul25'!CI435,"",'1. Live'!CI435-'check-Jul25'!CI435)</f>
        <v/>
      </c>
      <c r="CJ435" t="str">
        <f>IF('1. Live'!CJ435='check-Jul25'!CJ435,"",'1. Live'!CJ435-'check-Jul25'!CJ435)</f>
        <v/>
      </c>
      <c r="CK435" t="str">
        <f>IF('1. Live'!CK435='check-Jul25'!CK435,"",'1. Live'!CK435-'check-Jul25'!CK435)</f>
        <v/>
      </c>
      <c r="CL435" t="str">
        <f>IF('1. Live'!CL435='check-Jul25'!CL435,"",'1. Live'!CL435-'check-Jul25'!CL435)</f>
        <v/>
      </c>
      <c r="CM435" t="str">
        <f>IF('1. Live'!CM435='check-Jul25'!CM435,"",'1. Live'!CM435-'check-Jul25'!CM435)</f>
        <v/>
      </c>
      <c r="CN435" t="str">
        <f>IF('1. Live'!CN435='check-Jul25'!CN435,"",'1. Live'!CN435-'check-Jul25'!CN435)</f>
        <v/>
      </c>
      <c r="CO435" t="str">
        <f>IF('1. Live'!CO435='check-Jul25'!CO435,"",'1. Live'!CO435-'check-Jul25'!CO435)</f>
        <v/>
      </c>
      <c r="CP435" t="str">
        <f>IF('1. Live'!CP435='check-Jul25'!CP435,"",'1. Live'!CP435-'check-Jul25'!CP435)</f>
        <v/>
      </c>
      <c r="CQ435" t="str">
        <f>IF('1. Live'!CQ435='check-Jul25'!CQ435,"",'1. Live'!CQ435-'check-Jul25'!CQ435)</f>
        <v/>
      </c>
      <c r="CR435" t="str">
        <f>IF('1. Live'!CR435='check-Jul25'!CR435,"",'1. Live'!CR435-'check-Jul25'!CR435)</f>
        <v/>
      </c>
      <c r="CS435" t="str">
        <f>IF('1. Live'!CS435='check-Jul25'!CS435,"",'1. Live'!CS435-'check-Jul25'!CS435)</f>
        <v/>
      </c>
      <c r="CT435" t="str">
        <f>IF('1. Live'!CT435='check-Jul25'!CT435,"",'1. Live'!CT435-'check-Jul25'!CT435)</f>
        <v/>
      </c>
      <c r="CU435" t="str">
        <f>IF('1. Live'!CU435='check-Jul25'!CU435,"",'1. Live'!CU435-'check-Jul25'!CU435)</f>
        <v/>
      </c>
      <c r="CV435" t="str">
        <f>IF('1. Live'!CV435='check-Jul25'!CV435,"",'1. Live'!CV435-'check-Jul25'!CV435)</f>
        <v/>
      </c>
      <c r="CW435" t="str">
        <f>IF('1. Live'!CW435='check-Jul25'!CW435,"",'1. Live'!CW435-'check-Jul25'!CW435)</f>
        <v/>
      </c>
    </row>
    <row r="436" spans="10:101">
      <c r="J436" t="str">
        <f>IF('1. Live'!J436='check-Jul25'!J436,"",'1. Live'!J436-'check-Jul25'!J436)</f>
        <v/>
      </c>
      <c r="K436" t="str">
        <f>IF('1. Live'!K436='check-Jul25'!K436,"",'1. Live'!K436-'check-Jul25'!K436)</f>
        <v/>
      </c>
      <c r="L436" t="str">
        <f>IF('1. Live'!L436='check-Jul25'!L436,"",'1. Live'!L436-'check-Jul25'!L436)</f>
        <v/>
      </c>
      <c r="M436" t="str">
        <f>IF('1. Live'!M436='check-Jul25'!M436,"",'1. Live'!M436-'check-Jul25'!M436)</f>
        <v/>
      </c>
      <c r="N436" t="str">
        <f>IF('1. Live'!N436='check-Jul25'!N436,"",'1. Live'!N436-'check-Jul25'!N436)</f>
        <v/>
      </c>
      <c r="O436" t="str">
        <f>IF('1. Live'!O436='check-Jul25'!O436,"",'1. Live'!O436-'check-Jul25'!O436)</f>
        <v/>
      </c>
      <c r="P436" t="str">
        <f>IF('1. Live'!P436='check-Jul25'!P436,"",'1. Live'!P436-'check-Jul25'!P436)</f>
        <v/>
      </c>
      <c r="Q436" t="str">
        <f>IF('1. Live'!Q436='check-Jul25'!Q436,"",'1. Live'!Q436-'check-Jul25'!Q436)</f>
        <v/>
      </c>
      <c r="R436" t="str">
        <f>IF('1. Live'!R436='check-Jul25'!R436,"",'1. Live'!R436-'check-Jul25'!R436)</f>
        <v/>
      </c>
      <c r="S436" t="str">
        <f>IF('1. Live'!S436='check-Jul25'!S436,"",'1. Live'!S436-'check-Jul25'!S436)</f>
        <v/>
      </c>
      <c r="T436" t="str">
        <f>IF('1. Live'!T436='check-Jul25'!T436,"",'1. Live'!T436-'check-Jul25'!T436)</f>
        <v/>
      </c>
      <c r="U436" t="str">
        <f>IF('1. Live'!U436='check-Jul25'!U436,"",'1. Live'!U436-'check-Jul25'!U436)</f>
        <v/>
      </c>
      <c r="V436" t="str">
        <f>IF('1. Live'!V436='check-Jul25'!V436,"",'1. Live'!V436-'check-Jul25'!V436)</f>
        <v/>
      </c>
      <c r="W436" t="str">
        <f>IF('1. Live'!W436='check-Jul25'!W436,"",'1. Live'!W436-'check-Jul25'!W436)</f>
        <v/>
      </c>
      <c r="X436" t="str">
        <f>IF('1. Live'!X436='check-Jul25'!X436,"",'1. Live'!X436-'check-Jul25'!X436)</f>
        <v/>
      </c>
      <c r="Y436" t="str">
        <f>IF('1. Live'!Y436='check-Jul25'!Y436,"",'1. Live'!Y436-'check-Jul25'!Y436)</f>
        <v/>
      </c>
      <c r="Z436" t="str">
        <f>IF('1. Live'!Z436='check-Jul25'!Z436,"",'1. Live'!Z436-'check-Jul25'!Z436)</f>
        <v/>
      </c>
      <c r="AA436" t="str">
        <f>IF('1. Live'!AA436='check-Jul25'!AA436,"",'1. Live'!AA436-'check-Jul25'!AA436)</f>
        <v/>
      </c>
      <c r="AB436" t="str">
        <f>IF('1. Live'!AB436='check-Jul25'!AB436,"",'1. Live'!AB436-'check-Jul25'!AB436)</f>
        <v/>
      </c>
      <c r="AC436" t="str">
        <f>IF('1. Live'!AC436='check-Jul25'!AC436,"",'1. Live'!AC436-'check-Jul25'!AC436)</f>
        <v/>
      </c>
      <c r="AD436" t="str">
        <f>IF('1. Live'!AD436='check-Jul25'!AD436,"",'1. Live'!AD436-'check-Jul25'!AD436)</f>
        <v/>
      </c>
      <c r="AE436" t="str">
        <f>IF('1. Live'!AE436='check-Jul25'!AE436,"",'1. Live'!AE436-'check-Jul25'!AE436)</f>
        <v/>
      </c>
      <c r="AF436" t="str">
        <f>IF('1. Live'!AF436='check-Jul25'!AF436,"",'1. Live'!AF436-'check-Jul25'!AF436)</f>
        <v/>
      </c>
      <c r="AG436" t="str">
        <f>IF('1. Live'!AG436='check-Jul25'!AG436,"",'1. Live'!AG436-'check-Jul25'!AG436)</f>
        <v/>
      </c>
      <c r="AH436" t="str">
        <f>IF('1. Live'!AH436='check-Jul25'!AH436,"",'1. Live'!AH436-'check-Jul25'!AH436)</f>
        <v/>
      </c>
      <c r="AI436" t="str">
        <f>IF('1. Live'!AI436='check-Jul25'!AI436,"",'1. Live'!AI436-'check-Jul25'!AI436)</f>
        <v/>
      </c>
      <c r="AJ436" t="str">
        <f>IF('1. Live'!AJ436='check-Jul25'!AJ436,"",'1. Live'!AJ436-'check-Jul25'!AJ436)</f>
        <v/>
      </c>
      <c r="AK436" t="str">
        <f>IF('1. Live'!AK436='check-Jul25'!AK436,"",'1. Live'!AK436-'check-Jul25'!AK436)</f>
        <v/>
      </c>
      <c r="AL436" t="str">
        <f>IF('1. Live'!AL436='check-Jul25'!AL436,"",'1. Live'!AL436-'check-Jul25'!AL436)</f>
        <v/>
      </c>
      <c r="AM436" t="str">
        <f>IF('1. Live'!AM436='check-Jul25'!AM436,"",'1. Live'!AM436-'check-Jul25'!AM436)</f>
        <v/>
      </c>
      <c r="AN436" t="str">
        <f>IF('1. Live'!AN436='check-Jul25'!AN436,"",'1. Live'!AN436-'check-Jul25'!AN436)</f>
        <v/>
      </c>
      <c r="AO436" t="str">
        <f>IF('1. Live'!AO436='check-Jul25'!AO436,"",'1. Live'!AO436-'check-Jul25'!AO436)</f>
        <v/>
      </c>
      <c r="AP436" t="str">
        <f>IF('1. Live'!AP436='check-Jul25'!AP436,"",'1. Live'!AP436-'check-Jul25'!AP436)</f>
        <v/>
      </c>
      <c r="AQ436" t="str">
        <f>IF('1. Live'!AQ436='check-Jul25'!AQ436,"",'1. Live'!AQ436-'check-Jul25'!AQ436)</f>
        <v/>
      </c>
      <c r="AR436" t="str">
        <f>IF('1. Live'!AR436='check-Jul25'!AR436,"",'1. Live'!AR436-'check-Jul25'!AR436)</f>
        <v/>
      </c>
      <c r="AS436" t="str">
        <f>IF('1. Live'!AS436='check-Jul25'!AS436,"",'1. Live'!AS436-'check-Jul25'!AS436)</f>
        <v/>
      </c>
      <c r="AT436" t="str">
        <f>IF('1. Live'!AT436='check-Jul25'!AT436,"",'1. Live'!AT436-'check-Jul25'!AT436)</f>
        <v/>
      </c>
      <c r="AU436" t="str">
        <f>IF('1. Live'!AU436='check-Jul25'!AU436,"",'1. Live'!AU436-'check-Jul25'!AU436)</f>
        <v/>
      </c>
      <c r="AV436" t="str">
        <f>IF('1. Live'!AV436='check-Jul25'!AV436,"",'1. Live'!AV436-'check-Jul25'!AV436)</f>
        <v/>
      </c>
      <c r="AW436" t="str">
        <f>IF('1. Live'!AW436='check-Jul25'!AW436,"",'1. Live'!AW436-'check-Jul25'!AW436)</f>
        <v/>
      </c>
      <c r="AX436" t="str">
        <f>IF('1. Live'!AX436='check-Jul25'!AX436,"",'1. Live'!AX436-'check-Jul25'!AX436)</f>
        <v/>
      </c>
      <c r="AY436" t="str">
        <f>IF('1. Live'!AY436='check-Jul25'!AY436,"",'1. Live'!AY436-'check-Jul25'!AY436)</f>
        <v/>
      </c>
      <c r="AZ436" t="str">
        <f>IF('1. Live'!AZ436='check-Jul25'!AZ436,"",'1. Live'!AZ436-'check-Jul25'!AZ436)</f>
        <v/>
      </c>
      <c r="BA436" t="str">
        <f>IF('1. Live'!BA436='check-Jul25'!BA436,"",'1. Live'!BA436-'check-Jul25'!BA436)</f>
        <v/>
      </c>
      <c r="BB436" t="str">
        <f>IF('1. Live'!BB436='check-Jul25'!BB436,"",'1. Live'!BB436-'check-Jul25'!BB436)</f>
        <v/>
      </c>
      <c r="BC436" t="str">
        <f>IF('1. Live'!BC436='check-Jul25'!BC436,"",'1. Live'!BC436-'check-Jul25'!BC436)</f>
        <v/>
      </c>
      <c r="BD436" t="str">
        <f>IF('1. Live'!BD436='check-Jul25'!BD436,"",'1. Live'!BD436-'check-Jul25'!BD436)</f>
        <v/>
      </c>
      <c r="BE436" t="str">
        <f>IF('1. Live'!BE436='check-Jul25'!BE436,"",'1. Live'!BE436-'check-Jul25'!BE436)</f>
        <v/>
      </c>
      <c r="BF436" t="str">
        <f>IF('1. Live'!BF436='check-Jul25'!BF436,"",'1. Live'!BF436-'check-Jul25'!BF436)</f>
        <v/>
      </c>
      <c r="BG436" t="str">
        <f>IF('1. Live'!BG436='check-Jul25'!BG436,"",'1. Live'!BG436-'check-Jul25'!BG436)</f>
        <v/>
      </c>
      <c r="BH436" t="str">
        <f>IF('1. Live'!BH436='check-Jul25'!BH436,"",'1. Live'!BH436-'check-Jul25'!BH436)</f>
        <v/>
      </c>
      <c r="BI436" t="str">
        <f>IF('1. Live'!BI436='check-Jul25'!BI436,"",'1. Live'!BI436-'check-Jul25'!BI436)</f>
        <v/>
      </c>
      <c r="BJ436" t="str">
        <f>IF('1. Live'!BJ436='check-Jul25'!BJ436,"",'1. Live'!BJ436-'check-Jul25'!BJ436)</f>
        <v/>
      </c>
      <c r="BK436" t="str">
        <f>IF('1. Live'!BK436='check-Jul25'!BK436,"",'1. Live'!BK436-'check-Jul25'!BK436)</f>
        <v/>
      </c>
      <c r="BL436" t="str">
        <f>IF('1. Live'!BL436='check-Jul25'!BL436,"",'1. Live'!BL436-'check-Jul25'!BL436)</f>
        <v/>
      </c>
      <c r="BM436" t="str">
        <f>IF('1. Live'!BM436='check-Jul25'!BM436,"",'1. Live'!BM436-'check-Jul25'!BM436)</f>
        <v/>
      </c>
      <c r="BN436" t="str">
        <f>IF('1. Live'!BN436='check-Jul25'!BN436,"",'1. Live'!BN436-'check-Jul25'!BN436)</f>
        <v/>
      </c>
      <c r="BO436" t="str">
        <f>IF('1. Live'!BO436='check-Jul25'!BO436,"",'1. Live'!BO436-'check-Jul25'!BO436)</f>
        <v/>
      </c>
      <c r="BP436" t="str">
        <f>IF('1. Live'!BP436='check-Jul25'!BP436,"",'1. Live'!BP436-'check-Jul25'!BP436)</f>
        <v/>
      </c>
      <c r="BQ436" t="str">
        <f>IF('1. Live'!BQ436='check-Jul25'!BQ436,"",'1. Live'!BQ436-'check-Jul25'!BQ436)</f>
        <v/>
      </c>
      <c r="BR436" t="str">
        <f>IF('1. Live'!BR436='check-Jul25'!BR436,"",'1. Live'!BR436-'check-Jul25'!BR436)</f>
        <v/>
      </c>
      <c r="BS436" t="str">
        <f>IF('1. Live'!BS436='check-Jul25'!BS436,"",'1. Live'!BS436-'check-Jul25'!BS436)</f>
        <v/>
      </c>
      <c r="BT436" t="str">
        <f>IF('1. Live'!BT436='check-Jul25'!BT436,"",'1. Live'!BT436-'check-Jul25'!BT436)</f>
        <v/>
      </c>
      <c r="BU436" t="str">
        <f>IF('1. Live'!BU436='check-Jul25'!BU436,"",'1. Live'!BU436-'check-Jul25'!BU436)</f>
        <v/>
      </c>
      <c r="BV436" t="str">
        <f>IF('1. Live'!BV436='check-Jul25'!BV436,"",'1. Live'!BV436-'check-Jul25'!BV436)</f>
        <v/>
      </c>
      <c r="BW436" t="str">
        <f>IF('1. Live'!BW436='check-Jul25'!BW436,"",'1. Live'!BW436-'check-Jul25'!BW436)</f>
        <v/>
      </c>
      <c r="BX436" t="str">
        <f>IF('1. Live'!BX436='check-Jul25'!BX436,"",'1. Live'!BX436-'check-Jul25'!BX436)</f>
        <v/>
      </c>
      <c r="BY436" t="str">
        <f>IF('1. Live'!BY436='check-Jul25'!BY436,"",'1. Live'!BY436-'check-Jul25'!BY436)</f>
        <v/>
      </c>
      <c r="BZ436" t="str">
        <f>IF('1. Live'!BZ436='check-Jul25'!BZ436,"",'1. Live'!BZ436-'check-Jul25'!BZ436)</f>
        <v/>
      </c>
      <c r="CA436" t="str">
        <f>IF('1. Live'!CA436='check-Jul25'!CA436,"",'1. Live'!CA436-'check-Jul25'!CA436)</f>
        <v/>
      </c>
      <c r="CB436" t="str">
        <f>IF('1. Live'!CB436='check-Jul25'!CB436,"",'1. Live'!CB436-'check-Jul25'!CB436)</f>
        <v/>
      </c>
      <c r="CC436" t="str">
        <f>IF('1. Live'!CC436='check-Jul25'!CC436,"",'1. Live'!CC436-'check-Jul25'!CC436)</f>
        <v/>
      </c>
      <c r="CD436" t="str">
        <f>IF('1. Live'!CD436='check-Jul25'!CD436,"",'1. Live'!CD436-'check-Jul25'!CD436)</f>
        <v/>
      </c>
      <c r="CE436" t="str">
        <f>IF('1. Live'!CE436='check-Jul25'!CE436,"",'1. Live'!CE436-'check-Jul25'!CE436)</f>
        <v/>
      </c>
      <c r="CF436" t="str">
        <f>IF('1. Live'!CF436='check-Jul25'!CF436,"",'1. Live'!CF436-'check-Jul25'!CF436)</f>
        <v/>
      </c>
      <c r="CG436" t="str">
        <f>IF('1. Live'!CG436='check-Jul25'!CG436,"",'1. Live'!CG436-'check-Jul25'!CG436)</f>
        <v/>
      </c>
      <c r="CH436" t="str">
        <f>IF('1. Live'!CH436='check-Jul25'!CH436,"",'1. Live'!CH436-'check-Jul25'!CH436)</f>
        <v/>
      </c>
      <c r="CI436" t="str">
        <f>IF('1. Live'!CI436='check-Jul25'!CI436,"",'1. Live'!CI436-'check-Jul25'!CI436)</f>
        <v/>
      </c>
      <c r="CJ436" t="str">
        <f>IF('1. Live'!CJ436='check-Jul25'!CJ436,"",'1. Live'!CJ436-'check-Jul25'!CJ436)</f>
        <v/>
      </c>
      <c r="CK436" t="str">
        <f>IF('1. Live'!CK436='check-Jul25'!CK436,"",'1. Live'!CK436-'check-Jul25'!CK436)</f>
        <v/>
      </c>
      <c r="CL436" t="str">
        <f>IF('1. Live'!CL436='check-Jul25'!CL436,"",'1. Live'!CL436-'check-Jul25'!CL436)</f>
        <v/>
      </c>
      <c r="CM436" t="str">
        <f>IF('1. Live'!CM436='check-Jul25'!CM436,"",'1. Live'!CM436-'check-Jul25'!CM436)</f>
        <v/>
      </c>
      <c r="CN436" t="str">
        <f>IF('1. Live'!CN436='check-Jul25'!CN436,"",'1. Live'!CN436-'check-Jul25'!CN436)</f>
        <v/>
      </c>
      <c r="CO436" t="str">
        <f>IF('1. Live'!CO436='check-Jul25'!CO436,"",'1. Live'!CO436-'check-Jul25'!CO436)</f>
        <v/>
      </c>
      <c r="CP436" t="str">
        <f>IF('1. Live'!CP436='check-Jul25'!CP436,"",'1. Live'!CP436-'check-Jul25'!CP436)</f>
        <v/>
      </c>
      <c r="CQ436" t="str">
        <f>IF('1. Live'!CQ436='check-Jul25'!CQ436,"",'1. Live'!CQ436-'check-Jul25'!CQ436)</f>
        <v/>
      </c>
      <c r="CR436" t="str">
        <f>IF('1. Live'!CR436='check-Jul25'!CR436,"",'1. Live'!CR436-'check-Jul25'!CR436)</f>
        <v/>
      </c>
      <c r="CS436" t="str">
        <f>IF('1. Live'!CS436='check-Jul25'!CS436,"",'1. Live'!CS436-'check-Jul25'!CS436)</f>
        <v/>
      </c>
      <c r="CT436" t="str">
        <f>IF('1. Live'!CT436='check-Jul25'!CT436,"",'1. Live'!CT436-'check-Jul25'!CT436)</f>
        <v/>
      </c>
      <c r="CU436" t="str">
        <f>IF('1. Live'!CU436='check-Jul25'!CU436,"",'1. Live'!CU436-'check-Jul25'!CU436)</f>
        <v/>
      </c>
      <c r="CV436" t="str">
        <f>IF('1. Live'!CV436='check-Jul25'!CV436,"",'1. Live'!CV436-'check-Jul25'!CV436)</f>
        <v/>
      </c>
      <c r="CW436" t="str">
        <f>IF('1. Live'!CW436='check-Jul25'!CW436,"",'1. Live'!CW436-'check-Jul25'!CW436)</f>
        <v/>
      </c>
    </row>
    <row r="437" spans="10:101">
      <c r="J437" t="str">
        <f>IF('1. Live'!J437='check-Jul25'!J437,"",'1. Live'!J437-'check-Jul25'!J437)</f>
        <v/>
      </c>
      <c r="K437" t="str">
        <f>IF('1. Live'!K437='check-Jul25'!K437,"",'1. Live'!K437-'check-Jul25'!K437)</f>
        <v/>
      </c>
      <c r="L437" t="str">
        <f>IF('1. Live'!L437='check-Jul25'!L437,"",'1. Live'!L437-'check-Jul25'!L437)</f>
        <v/>
      </c>
      <c r="M437" t="str">
        <f>IF('1. Live'!M437='check-Jul25'!M437,"",'1. Live'!M437-'check-Jul25'!M437)</f>
        <v/>
      </c>
      <c r="N437" t="str">
        <f>IF('1. Live'!N437='check-Jul25'!N437,"",'1. Live'!N437-'check-Jul25'!N437)</f>
        <v/>
      </c>
      <c r="O437" t="str">
        <f>IF('1. Live'!O437='check-Jul25'!O437,"",'1. Live'!O437-'check-Jul25'!O437)</f>
        <v/>
      </c>
      <c r="P437" t="str">
        <f>IF('1. Live'!P437='check-Jul25'!P437,"",'1. Live'!P437-'check-Jul25'!P437)</f>
        <v/>
      </c>
      <c r="Q437" t="str">
        <f>IF('1. Live'!Q437='check-Jul25'!Q437,"",'1. Live'!Q437-'check-Jul25'!Q437)</f>
        <v/>
      </c>
      <c r="R437" t="str">
        <f>IF('1. Live'!R437='check-Jul25'!R437,"",'1. Live'!R437-'check-Jul25'!R437)</f>
        <v/>
      </c>
      <c r="S437" t="str">
        <f>IF('1. Live'!S437='check-Jul25'!S437,"",'1. Live'!S437-'check-Jul25'!S437)</f>
        <v/>
      </c>
      <c r="T437" t="str">
        <f>IF('1. Live'!T437='check-Jul25'!T437,"",'1. Live'!T437-'check-Jul25'!T437)</f>
        <v/>
      </c>
      <c r="U437" t="str">
        <f>IF('1. Live'!U437='check-Jul25'!U437,"",'1. Live'!U437-'check-Jul25'!U437)</f>
        <v/>
      </c>
      <c r="V437" t="str">
        <f>IF('1. Live'!V437='check-Jul25'!V437,"",'1. Live'!V437-'check-Jul25'!V437)</f>
        <v/>
      </c>
      <c r="W437" t="str">
        <f>IF('1. Live'!W437='check-Jul25'!W437,"",'1. Live'!W437-'check-Jul25'!W437)</f>
        <v/>
      </c>
      <c r="X437" t="str">
        <f>IF('1. Live'!X437='check-Jul25'!X437,"",'1. Live'!X437-'check-Jul25'!X437)</f>
        <v/>
      </c>
      <c r="Y437" t="str">
        <f>IF('1. Live'!Y437='check-Jul25'!Y437,"",'1. Live'!Y437-'check-Jul25'!Y437)</f>
        <v/>
      </c>
      <c r="Z437" t="str">
        <f>IF('1. Live'!Z437='check-Jul25'!Z437,"",'1. Live'!Z437-'check-Jul25'!Z437)</f>
        <v/>
      </c>
      <c r="AA437" t="str">
        <f>IF('1. Live'!AA437='check-Jul25'!AA437,"",'1. Live'!AA437-'check-Jul25'!AA437)</f>
        <v/>
      </c>
      <c r="AB437" t="str">
        <f>IF('1. Live'!AB437='check-Jul25'!AB437,"",'1. Live'!AB437-'check-Jul25'!AB437)</f>
        <v/>
      </c>
      <c r="AC437" t="str">
        <f>IF('1. Live'!AC437='check-Jul25'!AC437,"",'1. Live'!AC437-'check-Jul25'!AC437)</f>
        <v/>
      </c>
      <c r="AD437" t="str">
        <f>IF('1. Live'!AD437='check-Jul25'!AD437,"",'1. Live'!AD437-'check-Jul25'!AD437)</f>
        <v/>
      </c>
      <c r="AE437" t="str">
        <f>IF('1. Live'!AE437='check-Jul25'!AE437,"",'1. Live'!AE437-'check-Jul25'!AE437)</f>
        <v/>
      </c>
      <c r="AF437" t="str">
        <f>IF('1. Live'!AF437='check-Jul25'!AF437,"",'1. Live'!AF437-'check-Jul25'!AF437)</f>
        <v/>
      </c>
      <c r="AG437" t="str">
        <f>IF('1. Live'!AG437='check-Jul25'!AG437,"",'1. Live'!AG437-'check-Jul25'!AG437)</f>
        <v/>
      </c>
      <c r="AH437" t="str">
        <f>IF('1. Live'!AH437='check-Jul25'!AH437,"",'1. Live'!AH437-'check-Jul25'!AH437)</f>
        <v/>
      </c>
      <c r="AI437" t="str">
        <f>IF('1. Live'!AI437='check-Jul25'!AI437,"",'1. Live'!AI437-'check-Jul25'!AI437)</f>
        <v/>
      </c>
      <c r="AJ437" t="str">
        <f>IF('1. Live'!AJ437='check-Jul25'!AJ437,"",'1. Live'!AJ437-'check-Jul25'!AJ437)</f>
        <v/>
      </c>
      <c r="AK437" t="str">
        <f>IF('1. Live'!AK437='check-Jul25'!AK437,"",'1. Live'!AK437-'check-Jul25'!AK437)</f>
        <v/>
      </c>
      <c r="AL437" t="str">
        <f>IF('1. Live'!AL437='check-Jul25'!AL437,"",'1. Live'!AL437-'check-Jul25'!AL437)</f>
        <v/>
      </c>
      <c r="AM437" t="str">
        <f>IF('1. Live'!AM437='check-Jul25'!AM437,"",'1. Live'!AM437-'check-Jul25'!AM437)</f>
        <v/>
      </c>
      <c r="AN437" t="str">
        <f>IF('1. Live'!AN437='check-Jul25'!AN437,"",'1. Live'!AN437-'check-Jul25'!AN437)</f>
        <v/>
      </c>
      <c r="AO437" t="str">
        <f>IF('1. Live'!AO437='check-Jul25'!AO437,"",'1. Live'!AO437-'check-Jul25'!AO437)</f>
        <v/>
      </c>
      <c r="AP437" t="str">
        <f>IF('1. Live'!AP437='check-Jul25'!AP437,"",'1. Live'!AP437-'check-Jul25'!AP437)</f>
        <v/>
      </c>
      <c r="AQ437" t="str">
        <f>IF('1. Live'!AQ437='check-Jul25'!AQ437,"",'1. Live'!AQ437-'check-Jul25'!AQ437)</f>
        <v/>
      </c>
      <c r="AR437" t="str">
        <f>IF('1. Live'!AR437='check-Jul25'!AR437,"",'1. Live'!AR437-'check-Jul25'!AR437)</f>
        <v/>
      </c>
      <c r="AS437" t="str">
        <f>IF('1. Live'!AS437='check-Jul25'!AS437,"",'1. Live'!AS437-'check-Jul25'!AS437)</f>
        <v/>
      </c>
      <c r="AT437" t="str">
        <f>IF('1. Live'!AT437='check-Jul25'!AT437,"",'1. Live'!AT437-'check-Jul25'!AT437)</f>
        <v/>
      </c>
      <c r="AU437" t="str">
        <f>IF('1. Live'!AU437='check-Jul25'!AU437,"",'1. Live'!AU437-'check-Jul25'!AU437)</f>
        <v/>
      </c>
      <c r="AV437" t="str">
        <f>IF('1. Live'!AV437='check-Jul25'!AV437,"",'1. Live'!AV437-'check-Jul25'!AV437)</f>
        <v/>
      </c>
      <c r="AW437" t="str">
        <f>IF('1. Live'!AW437='check-Jul25'!AW437,"",'1. Live'!AW437-'check-Jul25'!AW437)</f>
        <v/>
      </c>
      <c r="AX437" t="str">
        <f>IF('1. Live'!AX437='check-Jul25'!AX437,"",'1. Live'!AX437-'check-Jul25'!AX437)</f>
        <v/>
      </c>
      <c r="AY437" t="str">
        <f>IF('1. Live'!AY437='check-Jul25'!AY437,"",'1. Live'!AY437-'check-Jul25'!AY437)</f>
        <v/>
      </c>
      <c r="AZ437" t="str">
        <f>IF('1. Live'!AZ437='check-Jul25'!AZ437,"",'1. Live'!AZ437-'check-Jul25'!AZ437)</f>
        <v/>
      </c>
      <c r="BA437" t="str">
        <f>IF('1. Live'!BA437='check-Jul25'!BA437,"",'1. Live'!BA437-'check-Jul25'!BA437)</f>
        <v/>
      </c>
      <c r="BB437" t="str">
        <f>IF('1. Live'!BB437='check-Jul25'!BB437,"",'1. Live'!BB437-'check-Jul25'!BB437)</f>
        <v/>
      </c>
      <c r="BC437" t="str">
        <f>IF('1. Live'!BC437='check-Jul25'!BC437,"",'1. Live'!BC437-'check-Jul25'!BC437)</f>
        <v/>
      </c>
      <c r="BD437" t="str">
        <f>IF('1. Live'!BD437='check-Jul25'!BD437,"",'1. Live'!BD437-'check-Jul25'!BD437)</f>
        <v/>
      </c>
      <c r="BE437" t="str">
        <f>IF('1. Live'!BE437='check-Jul25'!BE437,"",'1. Live'!BE437-'check-Jul25'!BE437)</f>
        <v/>
      </c>
      <c r="BF437" t="str">
        <f>IF('1. Live'!BF437='check-Jul25'!BF437,"",'1. Live'!BF437-'check-Jul25'!BF437)</f>
        <v/>
      </c>
      <c r="BG437" t="str">
        <f>IF('1. Live'!BG437='check-Jul25'!BG437,"",'1. Live'!BG437-'check-Jul25'!BG437)</f>
        <v/>
      </c>
      <c r="BH437" t="str">
        <f>IF('1. Live'!BH437='check-Jul25'!BH437,"",'1. Live'!BH437-'check-Jul25'!BH437)</f>
        <v/>
      </c>
      <c r="BI437" t="str">
        <f>IF('1. Live'!BI437='check-Jul25'!BI437,"",'1. Live'!BI437-'check-Jul25'!BI437)</f>
        <v/>
      </c>
      <c r="BJ437" t="str">
        <f>IF('1. Live'!BJ437='check-Jul25'!BJ437,"",'1. Live'!BJ437-'check-Jul25'!BJ437)</f>
        <v/>
      </c>
      <c r="BK437" t="str">
        <f>IF('1. Live'!BK437='check-Jul25'!BK437,"",'1. Live'!BK437-'check-Jul25'!BK437)</f>
        <v/>
      </c>
      <c r="BL437" t="str">
        <f>IF('1. Live'!BL437='check-Jul25'!BL437,"",'1. Live'!BL437-'check-Jul25'!BL437)</f>
        <v/>
      </c>
      <c r="BM437" t="str">
        <f>IF('1. Live'!BM437='check-Jul25'!BM437,"",'1. Live'!BM437-'check-Jul25'!BM437)</f>
        <v/>
      </c>
      <c r="BN437" t="str">
        <f>IF('1. Live'!BN437='check-Jul25'!BN437,"",'1. Live'!BN437-'check-Jul25'!BN437)</f>
        <v/>
      </c>
      <c r="BO437" t="str">
        <f>IF('1. Live'!BO437='check-Jul25'!BO437,"",'1. Live'!BO437-'check-Jul25'!BO437)</f>
        <v/>
      </c>
      <c r="BP437" t="str">
        <f>IF('1. Live'!BP437='check-Jul25'!BP437,"",'1. Live'!BP437-'check-Jul25'!BP437)</f>
        <v/>
      </c>
      <c r="BQ437" t="str">
        <f>IF('1. Live'!BQ437='check-Jul25'!BQ437,"",'1. Live'!BQ437-'check-Jul25'!BQ437)</f>
        <v/>
      </c>
      <c r="BR437" t="str">
        <f>IF('1. Live'!BR437='check-Jul25'!BR437,"",'1. Live'!BR437-'check-Jul25'!BR437)</f>
        <v/>
      </c>
      <c r="BS437" t="str">
        <f>IF('1. Live'!BS437='check-Jul25'!BS437,"",'1. Live'!BS437-'check-Jul25'!BS437)</f>
        <v/>
      </c>
      <c r="BT437" t="str">
        <f>IF('1. Live'!BT437='check-Jul25'!BT437,"",'1. Live'!BT437-'check-Jul25'!BT437)</f>
        <v/>
      </c>
      <c r="BU437" t="str">
        <f>IF('1. Live'!BU437='check-Jul25'!BU437,"",'1. Live'!BU437-'check-Jul25'!BU437)</f>
        <v/>
      </c>
      <c r="BV437" t="str">
        <f>IF('1. Live'!BV437='check-Jul25'!BV437,"",'1. Live'!BV437-'check-Jul25'!BV437)</f>
        <v/>
      </c>
      <c r="BW437" t="str">
        <f>IF('1. Live'!BW437='check-Jul25'!BW437,"",'1. Live'!BW437-'check-Jul25'!BW437)</f>
        <v/>
      </c>
      <c r="BX437" t="str">
        <f>IF('1. Live'!BX437='check-Jul25'!BX437,"",'1. Live'!BX437-'check-Jul25'!BX437)</f>
        <v/>
      </c>
      <c r="BY437" t="str">
        <f>IF('1. Live'!BY437='check-Jul25'!BY437,"",'1. Live'!BY437-'check-Jul25'!BY437)</f>
        <v/>
      </c>
      <c r="BZ437" t="str">
        <f>IF('1. Live'!BZ437='check-Jul25'!BZ437,"",'1. Live'!BZ437-'check-Jul25'!BZ437)</f>
        <v/>
      </c>
      <c r="CA437" t="str">
        <f>IF('1. Live'!CA437='check-Jul25'!CA437,"",'1. Live'!CA437-'check-Jul25'!CA437)</f>
        <v/>
      </c>
      <c r="CB437" t="str">
        <f>IF('1. Live'!CB437='check-Jul25'!CB437,"",'1. Live'!CB437-'check-Jul25'!CB437)</f>
        <v/>
      </c>
      <c r="CC437" t="str">
        <f>IF('1. Live'!CC437='check-Jul25'!CC437,"",'1. Live'!CC437-'check-Jul25'!CC437)</f>
        <v/>
      </c>
      <c r="CD437" t="str">
        <f>IF('1. Live'!CD437='check-Jul25'!CD437,"",'1. Live'!CD437-'check-Jul25'!CD437)</f>
        <v/>
      </c>
      <c r="CE437" t="str">
        <f>IF('1. Live'!CE437='check-Jul25'!CE437,"",'1. Live'!CE437-'check-Jul25'!CE437)</f>
        <v/>
      </c>
      <c r="CF437" t="str">
        <f>IF('1. Live'!CF437='check-Jul25'!CF437,"",'1. Live'!CF437-'check-Jul25'!CF437)</f>
        <v/>
      </c>
      <c r="CG437" t="str">
        <f>IF('1. Live'!CG437='check-Jul25'!CG437,"",'1. Live'!CG437-'check-Jul25'!CG437)</f>
        <v/>
      </c>
      <c r="CH437" t="str">
        <f>IF('1. Live'!CH437='check-Jul25'!CH437,"",'1. Live'!CH437-'check-Jul25'!CH437)</f>
        <v/>
      </c>
      <c r="CI437" t="str">
        <f>IF('1. Live'!CI437='check-Jul25'!CI437,"",'1. Live'!CI437-'check-Jul25'!CI437)</f>
        <v/>
      </c>
      <c r="CJ437" t="str">
        <f>IF('1. Live'!CJ437='check-Jul25'!CJ437,"",'1. Live'!CJ437-'check-Jul25'!CJ437)</f>
        <v/>
      </c>
      <c r="CK437" t="str">
        <f>IF('1. Live'!CK437='check-Jul25'!CK437,"",'1. Live'!CK437-'check-Jul25'!CK437)</f>
        <v/>
      </c>
      <c r="CL437" t="str">
        <f>IF('1. Live'!CL437='check-Jul25'!CL437,"",'1. Live'!CL437-'check-Jul25'!CL437)</f>
        <v/>
      </c>
      <c r="CM437" t="str">
        <f>IF('1. Live'!CM437='check-Jul25'!CM437,"",'1. Live'!CM437-'check-Jul25'!CM437)</f>
        <v/>
      </c>
      <c r="CN437" t="str">
        <f>IF('1. Live'!CN437='check-Jul25'!CN437,"",'1. Live'!CN437-'check-Jul25'!CN437)</f>
        <v/>
      </c>
      <c r="CO437" t="str">
        <f>IF('1. Live'!CO437='check-Jul25'!CO437,"",'1. Live'!CO437-'check-Jul25'!CO437)</f>
        <v/>
      </c>
      <c r="CP437" t="str">
        <f>IF('1. Live'!CP437='check-Jul25'!CP437,"",'1. Live'!CP437-'check-Jul25'!CP437)</f>
        <v/>
      </c>
      <c r="CQ437" t="str">
        <f>IF('1. Live'!CQ437='check-Jul25'!CQ437,"",'1. Live'!CQ437-'check-Jul25'!CQ437)</f>
        <v/>
      </c>
      <c r="CR437" t="str">
        <f>IF('1. Live'!CR437='check-Jul25'!CR437,"",'1. Live'!CR437-'check-Jul25'!CR437)</f>
        <v/>
      </c>
      <c r="CS437" t="str">
        <f>IF('1. Live'!CS437='check-Jul25'!CS437,"",'1. Live'!CS437-'check-Jul25'!CS437)</f>
        <v/>
      </c>
      <c r="CT437" t="str">
        <f>IF('1. Live'!CT437='check-Jul25'!CT437,"",'1. Live'!CT437-'check-Jul25'!CT437)</f>
        <v/>
      </c>
      <c r="CU437" t="str">
        <f>IF('1. Live'!CU437='check-Jul25'!CU437,"",'1. Live'!CU437-'check-Jul25'!CU437)</f>
        <v/>
      </c>
      <c r="CV437" t="str">
        <f>IF('1. Live'!CV437='check-Jul25'!CV437,"",'1. Live'!CV437-'check-Jul25'!CV437)</f>
        <v/>
      </c>
      <c r="CW437" t="str">
        <f>IF('1. Live'!CW437='check-Jul25'!CW437,"",'1. Live'!CW437-'check-Jul25'!CW437)</f>
        <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cols>
    <col min="1" max="1" width="2.42578125" customWidth="1"/>
    <col min="2" max="2" width="32.42578125" customWidth="1"/>
    <col min="3" max="3" width="156.42578125" customWidth="1"/>
  </cols>
  <sheetData>
    <row r="1" spans="2:3" ht="15.75" thickBot="1"/>
    <row r="2" spans="2:3" ht="15.75" thickBot="1">
      <c r="B2" s="327" t="s">
        <v>493</v>
      </c>
      <c r="C2" s="327" t="s">
        <v>494</v>
      </c>
    </row>
    <row r="3" spans="2:3" ht="15.75" thickBot="1">
      <c r="B3" s="328" t="s">
        <v>495</v>
      </c>
      <c r="C3" s="329" t="s">
        <v>496</v>
      </c>
    </row>
    <row r="4" spans="2:3" ht="15.75" thickBot="1">
      <c r="B4" s="330" t="s">
        <v>76</v>
      </c>
      <c r="C4" s="331" t="s">
        <v>497</v>
      </c>
    </row>
    <row r="5" spans="2:3" ht="15.75" thickBot="1">
      <c r="B5" s="328" t="s">
        <v>167</v>
      </c>
      <c r="C5" s="329" t="s">
        <v>498</v>
      </c>
    </row>
    <row r="6" spans="2:3" ht="15.75" thickBot="1">
      <c r="B6" s="330" t="s">
        <v>11</v>
      </c>
      <c r="C6" s="331" t="s">
        <v>499</v>
      </c>
    </row>
    <row r="7" spans="2:3" ht="15.75" thickBot="1">
      <c r="B7" s="328" t="s">
        <v>500</v>
      </c>
      <c r="C7" s="329" t="s">
        <v>501</v>
      </c>
    </row>
    <row r="8" spans="2:3" ht="15.75" thickBot="1">
      <c r="B8" s="330" t="s">
        <v>24</v>
      </c>
      <c r="C8" s="331" t="s">
        <v>502</v>
      </c>
    </row>
    <row r="9" spans="2:3" ht="15.75" thickBot="1">
      <c r="B9" s="328" t="s">
        <v>503</v>
      </c>
      <c r="C9" s="329" t="s">
        <v>504</v>
      </c>
    </row>
    <row r="10" spans="2:3" ht="15.75" thickBot="1">
      <c r="B10" s="330" t="s">
        <v>505</v>
      </c>
      <c r="C10" s="331" t="s">
        <v>506</v>
      </c>
    </row>
    <row r="11" spans="2:3" ht="15.75" thickBot="1">
      <c r="B11" s="328" t="s">
        <v>8</v>
      </c>
      <c r="C11" s="329" t="s">
        <v>507</v>
      </c>
    </row>
    <row r="12" spans="2:3" ht="15.75" thickBot="1">
      <c r="B12" s="330" t="s">
        <v>508</v>
      </c>
      <c r="C12" s="331" t="s">
        <v>509</v>
      </c>
    </row>
    <row r="13" spans="2:3" ht="15.75" thickBot="1">
      <c r="B13" s="328" t="s">
        <v>121</v>
      </c>
      <c r="C13" s="329" t="s">
        <v>510</v>
      </c>
    </row>
    <row r="14" spans="2:3" ht="15.75" thickBot="1">
      <c r="B14" s="330" t="s">
        <v>288</v>
      </c>
      <c r="C14" s="331" t="s">
        <v>511</v>
      </c>
    </row>
    <row r="15" spans="2:3" ht="15.75" thickBot="1">
      <c r="B15" s="328" t="s">
        <v>512</v>
      </c>
      <c r="C15" s="329" t="s">
        <v>513</v>
      </c>
    </row>
    <row r="16" spans="2:3" ht="15.75" thickBot="1">
      <c r="B16" s="330" t="s">
        <v>514</v>
      </c>
      <c r="C16" s="331" t="s">
        <v>515</v>
      </c>
    </row>
    <row r="17" spans="2:3" ht="15.75" thickBot="1">
      <c r="B17" s="328" t="s">
        <v>516</v>
      </c>
      <c r="C17" s="329" t="s">
        <v>517</v>
      </c>
    </row>
    <row r="18" spans="2:3" ht="15.75" thickBot="1">
      <c r="B18" s="330" t="s">
        <v>45</v>
      </c>
      <c r="C18" s="331" t="s">
        <v>518</v>
      </c>
    </row>
    <row r="20" spans="2:3" ht="15.75" thickBot="1"/>
    <row r="21" spans="2:3" ht="15.75" thickBot="1">
      <c r="B21" s="327" t="s">
        <v>493</v>
      </c>
      <c r="C21" s="327" t="s">
        <v>494</v>
      </c>
    </row>
    <row r="22" spans="2:3" ht="15.75" thickBot="1">
      <c r="B22" s="328" t="s">
        <v>519</v>
      </c>
      <c r="C22" s="329" t="s">
        <v>532</v>
      </c>
    </row>
    <row r="23" spans="2:3" ht="15.75" thickBot="1">
      <c r="B23" s="330" t="s">
        <v>520</v>
      </c>
      <c r="C23" s="331" t="s">
        <v>531</v>
      </c>
    </row>
    <row r="24" spans="2:3" ht="15.75" thickBot="1">
      <c r="B24" s="328" t="s">
        <v>521</v>
      </c>
      <c r="C24" s="329" t="s">
        <v>527</v>
      </c>
    </row>
    <row r="25" spans="2:3" ht="15.75" thickBot="1">
      <c r="B25" s="330" t="s">
        <v>523</v>
      </c>
      <c r="C25" s="331" t="s">
        <v>522</v>
      </c>
    </row>
    <row r="26" spans="2:3" ht="15.75" thickBot="1">
      <c r="B26" s="328" t="s">
        <v>524</v>
      </c>
      <c r="C26" s="329" t="s">
        <v>528</v>
      </c>
    </row>
    <row r="27" spans="2:3" ht="15.75" thickBot="1">
      <c r="B27" s="330" t="s">
        <v>525</v>
      </c>
      <c r="C27" s="331" t="s">
        <v>529</v>
      </c>
    </row>
    <row r="28" spans="2:3" ht="15.75" thickBot="1">
      <c r="B28" s="328" t="s">
        <v>526</v>
      </c>
      <c r="C28" s="329" t="s">
        <v>530</v>
      </c>
    </row>
  </sheetData>
  <pageMargins left="0.7" right="0.7" top="0.75" bottom="0.75" header="0.3" footer="0.3"/>
  <pageSetup paperSize="9" scale="42" orientation="portrait" verticalDpi="0" r:id="rId1"/>
  <headerFooter>
    <oddHeader>&amp;L&amp;"Calibri"&amp;7&amp;KFF0000  &amp;1#_x000D_</oddHeader>
    <oddFooter xml:space="preserve">&amp;L_x000D_&amp;1#&amp;"Calibri"&amp;7&amp;KFF0000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2.xml><?xml version="1.0" encoding="utf-8"?>
<sisl xmlns:xsd="http://www.w3.org/2001/XMLSchema" xmlns:xsi="http://www.w3.org/2001/XMLSchema-instance" xmlns="http://www.boldonjames.com/2008/01/sie/internal/label" sislVersion="0" policy="3328d060-d216-4afe-9302-ccc930dd7d37" origin="userSelected"/>
</file>

<file path=customXml/item3.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4.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C65B98-28BF-485F-9D9E-AF05C5A6D45D}">
  <ds:schemaRefs>
    <ds:schemaRef ds:uri="http://schemas.microsoft.com/office/2006/metadata/properties"/>
    <ds:schemaRef ds:uri="http://www.w3.org/2000/xmlns/"/>
    <ds:schemaRef ds:uri="7803c916-e26e-49a8-bd24-afe82e94a325"/>
    <ds:schemaRef ds:uri="http://www.w3.org/2001/XMLSchema-instance"/>
    <ds:schemaRef ds:uri="http://schemas.microsoft.com/office/infopath/2007/PartnerControls"/>
  </ds:schemaRefs>
</ds:datastoreItem>
</file>

<file path=customXml/itemProps2.xml><?xml version="1.0" encoding="utf-8"?>
<ds:datastoreItem xmlns:ds="http://schemas.openxmlformats.org/officeDocument/2006/customXml" ds:itemID="{BF327BB3-7419-4C49-92F4-08E7D4586F24}">
  <ds:schemaRefs>
    <ds:schemaRef ds:uri="http://www.boldonjames.com/2008/01/sie/internal/label"/>
    <ds:schemaRef ds:uri="http://www.w3.org/2000/xmlns/"/>
    <ds:schemaRef ds:uri="http://www.w3.org/2001/XMLSchema"/>
  </ds:schemaRefs>
</ds:datastoreItem>
</file>

<file path=customXml/itemProps3.xml><?xml version="1.0" encoding="utf-8"?>
<ds:datastoreItem xmlns:ds="http://schemas.openxmlformats.org/officeDocument/2006/customXml" ds:itemID="{BC0C2BB1-9E2C-4ABE-972D-41E09998C012}">
  <ds:schemaRefs>
    <ds:schemaRef ds:uri="http://www.boldonjames.com/2016/02/Classifier/internal/wrappedLabelHistory"/>
    <ds:schemaRef ds:uri="http://www.w3.org/2000/xmlns/"/>
    <ds:schemaRef ds:uri="http://www.w3.org/2001/XMLSchema"/>
  </ds:schemaRefs>
</ds:datastoreItem>
</file>

<file path=customXml/itemProps4.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0/xmlns/"/>
    <ds:schemaRef ds:uri="http://www.w3.org/2001/XMLSchema"/>
    <ds:schemaRef ds:uri="7803c916-e26e-49a8-bd24-afe82e94a325"/>
    <ds:schemaRef ds:uri="81655cd2-6b43-44bd-a08f-07597e38ecf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C6BC7508-98A2-4ADF-860D-652618B63B0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D1</vt:lpstr>
      <vt:lpstr>1. Live</vt:lpstr>
      <vt:lpstr>2. Exited</vt:lpstr>
      <vt:lpstr>CF (Equity, Debt)</vt:lpstr>
      <vt:lpstr>CF (Funds)</vt:lpstr>
      <vt:lpstr>NAV</vt:lpstr>
      <vt:lpstr>B. %</vt:lpstr>
      <vt:lpstr>E. Board</vt:lpstr>
      <vt:lpstr>A. All deals (a)</vt:lpstr>
      <vt:lpstr>9. All deals (b)</vt:lpstr>
      <vt:lpstr>8. WLD Grant C-133</vt:lpstr>
      <vt:lpstr>8. NewSpace</vt:lpstr>
      <vt:lpstr>MGX</vt:lpstr>
      <vt:lpstr>C. Log</vt:lpstr>
      <vt:lpstr>check-Jul25</vt:lpstr>
      <vt:lpstr>check-diff</vt:lpstr>
      <vt:lpstr>8. Glossary</vt:lpstr>
      <vt:lpstr>'1. Live'!Print_Area</vt:lpstr>
      <vt:lpstr>'2. Exited'!Print_Area</vt:lpstr>
      <vt:lpstr>'8. Glossary'!Print_Area</vt:lpstr>
      <vt:lpstr>'9. All deals (b)'!Print_Area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2025-10-07T06:58:03Z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y fmtid="{D5CDD505-2E9C-101B-9397-08002B2CF9AE}" pid="8" name="MSIP_Label_09ea7407-5844-49ec-aa4f-9b4135bf0609_Enabled">
    <vt:lpwstr>true</vt:lpwstr>
  </property>
  <property fmtid="{D5CDD505-2E9C-101B-9397-08002B2CF9AE}" pid="9" name="MSIP_Label_09ea7407-5844-49ec-aa4f-9b4135bf0609_SetDate">
    <vt:lpwstr>2025-06-02T17:52:38Z</vt:lpwstr>
  </property>
  <property fmtid="{D5CDD505-2E9C-101B-9397-08002B2CF9AE}" pid="10" name="MSIP_Label_09ea7407-5844-49ec-aa4f-9b4135bf0609_Method">
    <vt:lpwstr>Standard</vt:lpwstr>
  </property>
  <property fmtid="{D5CDD505-2E9C-101B-9397-08002B2CF9AE}" pid="11" name="MSIP_Label_09ea7407-5844-49ec-aa4f-9b4135bf0609_Name">
    <vt:lpwstr>Restricted-Core42</vt:lpwstr>
  </property>
  <property fmtid="{D5CDD505-2E9C-101B-9397-08002B2CF9AE}" pid="12" name="MSIP_Label_09ea7407-5844-49ec-aa4f-9b4135bf0609_SiteId">
    <vt:lpwstr>62974d97-13b6-40c9-8576-f1ab2905b6cf</vt:lpwstr>
  </property>
  <property fmtid="{D5CDD505-2E9C-101B-9397-08002B2CF9AE}" pid="13" name="MSIP_Label_09ea7407-5844-49ec-aa4f-9b4135bf0609_ActionId">
    <vt:lpwstr>3a741795-2fe8-43c1-beca-ab588b4d57e3</vt:lpwstr>
  </property>
  <property fmtid="{D5CDD505-2E9C-101B-9397-08002B2CF9AE}" pid="14" name="MSIP_Label_09ea7407-5844-49ec-aa4f-9b4135bf0609_ContentBits">
    <vt:lpwstr>3</vt:lpwstr>
  </property>
  <property fmtid="{D5CDD505-2E9C-101B-9397-08002B2CF9AE}" pid="15" name="MSIP_Label_09ea7407-5844-49ec-aa4f-9b4135bf0609_Tag">
    <vt:lpwstr>10, 1, 2, 1</vt:lpwstr>
  </property>
</Properties>
</file>