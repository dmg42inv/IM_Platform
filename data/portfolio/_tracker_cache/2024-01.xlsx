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xr:revisionPtr revIDLastSave="43" documentId="13_ncr:1_{5F68F5E1-BB61-489D-A542-6356F5367BC2}" xr6:coauthVersionLast="47" xr6:coauthVersionMax="47" xr10:uidLastSave="{AD5E8197-5F97-4BAE-A5B3-0D7DC078B5F1}"/>
  <bookViews>
    <workbookView xWindow="-120" yWindow="-120" windowWidth="29040" windowHeight="15720" tabRatio="904" activeTab="10" xr2:uid="{00000000-000D-0000-FFFF-FFFF00000000}"/>
  </bookViews>
  <sheets>
    <sheet name="D" sheetId="51" r:id="rId1"/>
    <sheet name="S | 01 " sheetId="14" r:id="rId2"/>
    <sheet name="S | 02" sheetId="75" r:id="rId3"/>
    <sheet name="S | 03" sheetId="80" r:id="rId4"/>
    <sheet name="NAV" sheetId="37" r:id="rId5"/>
    <sheet name="CF (Equity, Debt)" sheetId="17" r:id="rId6"/>
    <sheet name="CF (Funds)" sheetId="40" r:id="rId7"/>
    <sheet name="1. IRR Equity" sheetId="32" r:id="rId8"/>
    <sheet name="2. IRR Debt" sheetId="52" r:id="rId9"/>
    <sheet name="3. IRR Funds" sheetId="49" r:id="rId10"/>
    <sheet name="4.All" sheetId="58" r:id="rId11"/>
    <sheet name="4. Mozn-IRR" sheetId="73" r:id="rId12"/>
    <sheet name="4. G42-IRR" sheetId="76" r:id="rId13"/>
    <sheet name="5. Glossary" sheetId="81" r:id="rId14"/>
    <sheet name="6. %" sheetId="44" r:id="rId15"/>
    <sheet name="7. Board" sheetId="28" r:id="rId16"/>
    <sheet name="8. Log" sheetId="68" r:id="rId17"/>
    <sheet name="5. CF Profile" sheetId="50" state="hidden" r:id="rId18"/>
    <sheet name="5. NewSpace" sheetId="77" state="hidden" r:id="rId19"/>
    <sheet name="1.1 Geo" sheetId="63" state="hidden" r:id="rId20"/>
    <sheet name="1.2 Attribution" sheetId="60" state="hidden" r:id="rId21"/>
  </sheets>
  <externalReferences>
    <externalReference r:id="rId22"/>
    <externalReference r:id="rId23"/>
  </externalReferences>
  <definedNames>
    <definedName name="_xlnm._FilterDatabase" localSheetId="12" hidden="1">'4. G42-IRR'!$B$11:$I$78</definedName>
    <definedName name="_xlnm._FilterDatabase" localSheetId="11" hidden="1">'4. Mozn-IRR'!$B$11:$I$73</definedName>
    <definedName name="_xlnm._FilterDatabase" localSheetId="10" hidden="1">'4.All'!$B$7:$E$106</definedName>
    <definedName name="_xlnm._FilterDatabase" localSheetId="17" hidden="1">'5. CF Profile'!$C$5:$H$99</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3">'5. Glossary'!$A$1:$D$30</definedName>
    <definedName name="_xlnm.Print_Area" localSheetId="0">D!$A$1:$Q$26</definedName>
    <definedName name="_xlnm.Print_Area" localSheetId="4">NAV!$A$1:$H$49</definedName>
    <definedName name="_xlnm.Print_Area" localSheetId="2">'S | 02'!$A$1:$U$50</definedName>
    <definedName name="_xlnm.Print_Area" localSheetId="3">'S | 03'!$A$1:$S$99</definedName>
  </definedNam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76" l="1"/>
  <c r="C64" i="76" s="1"/>
  <c r="E64" i="76"/>
  <c r="F64" i="76"/>
  <c r="G64" i="76"/>
  <c r="I64" i="76" s="1"/>
  <c r="B62" i="76"/>
  <c r="C62" i="76" s="1"/>
  <c r="E62" i="76"/>
  <c r="F62" i="76"/>
  <c r="G62" i="76"/>
  <c r="I62" i="76"/>
  <c r="B63" i="76"/>
  <c r="C63" i="76" s="1"/>
  <c r="E63" i="76"/>
  <c r="F63" i="76"/>
  <c r="G63" i="76"/>
  <c r="I63" i="76"/>
  <c r="B53" i="76"/>
  <c r="C53" i="76" s="1"/>
  <c r="E53" i="76"/>
  <c r="F53" i="76"/>
  <c r="B48" i="73"/>
  <c r="C48" i="73" s="1"/>
  <c r="E48" i="73"/>
  <c r="G48" i="73"/>
  <c r="B47" i="73"/>
  <c r="C47" i="73" s="1"/>
  <c r="E47" i="73"/>
  <c r="G47" i="73"/>
  <c r="D91" i="58"/>
  <c r="C91" i="58"/>
  <c r="B91" i="58"/>
  <c r="B101" i="58"/>
  <c r="C101" i="58"/>
  <c r="D101" i="58"/>
  <c r="E101" i="58"/>
  <c r="B99" i="58"/>
  <c r="C99" i="58"/>
  <c r="D99" i="58"/>
  <c r="E99" i="58"/>
  <c r="B100" i="58"/>
  <c r="C100" i="58"/>
  <c r="D100" i="58"/>
  <c r="E100" i="58"/>
  <c r="E52" i="58"/>
  <c r="C52" i="58"/>
  <c r="B52" i="58"/>
  <c r="E51" i="58"/>
  <c r="C51" i="58"/>
  <c r="B51" i="58"/>
  <c r="E44" i="37"/>
  <c r="M80" i="49"/>
  <c r="M18" i="49"/>
  <c r="M17" i="49"/>
  <c r="M16" i="49"/>
  <c r="B25" i="49"/>
  <c r="I80" i="49" s="1"/>
  <c r="C25" i="49"/>
  <c r="J80" i="49" s="1"/>
  <c r="D25" i="49"/>
  <c r="K80" i="49" s="1"/>
  <c r="E25" i="49"/>
  <c r="L80" i="49" s="1"/>
  <c r="B51" i="49"/>
  <c r="C51" i="49"/>
  <c r="E51" i="49"/>
  <c r="E50" i="49"/>
  <c r="L18" i="49" s="1"/>
  <c r="D50" i="49"/>
  <c r="K18" i="49" s="1"/>
  <c r="C50" i="49"/>
  <c r="J18" i="49" s="1"/>
  <c r="B50" i="49"/>
  <c r="I18" i="49" s="1"/>
  <c r="E49" i="49"/>
  <c r="L17" i="49" s="1"/>
  <c r="D49" i="49"/>
  <c r="K17" i="49" s="1"/>
  <c r="C49" i="49"/>
  <c r="J17" i="49" s="1"/>
  <c r="B49" i="49"/>
  <c r="I17" i="49" s="1"/>
  <c r="E48" i="49"/>
  <c r="L16" i="49" s="1"/>
  <c r="D48" i="49"/>
  <c r="K16" i="49" s="1"/>
  <c r="C48" i="49"/>
  <c r="J16" i="49" s="1"/>
  <c r="B48" i="49"/>
  <c r="I16" i="49" s="1"/>
  <c r="B52" i="49"/>
  <c r="C52" i="49"/>
  <c r="E52" i="49"/>
  <c r="B53" i="49"/>
  <c r="C53" i="49"/>
  <c r="E53" i="49"/>
  <c r="B54" i="49"/>
  <c r="C54" i="49"/>
  <c r="E54" i="49"/>
  <c r="B55" i="49"/>
  <c r="C55" i="49"/>
  <c r="E55" i="49"/>
  <c r="B56" i="49"/>
  <c r="C56" i="49"/>
  <c r="E56" i="49"/>
  <c r="AM10" i="32"/>
  <c r="AH32" i="32"/>
  <c r="AG32" i="32"/>
  <c r="AM32" i="32" s="1"/>
  <c r="M84" i="32"/>
  <c r="B77" i="32"/>
  <c r="E54" i="32"/>
  <c r="C54" i="32"/>
  <c r="B54" i="32"/>
  <c r="E53" i="32"/>
  <c r="C53" i="32"/>
  <c r="B53" i="32"/>
  <c r="L43" i="14"/>
  <c r="G101" i="58" l="1"/>
  <c r="G99" i="58"/>
  <c r="G100" i="58"/>
  <c r="N80" i="49"/>
  <c r="N18" i="49"/>
  <c r="N17" i="49"/>
  <c r="N16" i="49"/>
  <c r="G25" i="49"/>
  <c r="G49" i="49"/>
  <c r="G50" i="49"/>
  <c r="G48" i="49"/>
  <c r="R29" i="77"/>
  <c r="Q29" i="77"/>
  <c r="P29" i="77"/>
  <c r="O29" i="77"/>
  <c r="N29" i="77"/>
  <c r="I41" i="77" l="1"/>
  <c r="J41" i="77"/>
  <c r="K41" i="77"/>
  <c r="L41" i="77"/>
  <c r="M42" i="77"/>
  <c r="J44" i="77"/>
  <c r="J45" i="77"/>
  <c r="J48" i="77"/>
  <c r="I54" i="77" s="1"/>
  <c r="J53" i="77"/>
  <c r="I55" i="77"/>
  <c r="M55" i="77"/>
  <c r="M57" i="77" s="1"/>
  <c r="I57" i="77"/>
  <c r="J57" i="77"/>
  <c r="J58" i="77"/>
  <c r="E29" i="37"/>
  <c r="F77" i="32" s="1"/>
  <c r="G77" i="32" s="1"/>
  <c r="AD77" i="32" s="1"/>
  <c r="AD84" i="32" s="1"/>
  <c r="R9" i="75"/>
  <c r="Q9" i="75"/>
  <c r="K9" i="75"/>
  <c r="N20" i="77" l="1"/>
  <c r="N21" i="77" s="1"/>
  <c r="O20" i="77"/>
  <c r="O21" i="77" s="1"/>
  <c r="P20" i="77"/>
  <c r="P21" i="77" s="1"/>
  <c r="Q20" i="77"/>
  <c r="Q21" i="77" s="1"/>
  <c r="R20" i="77"/>
  <c r="R21" i="77" s="1"/>
  <c r="K26" i="77"/>
  <c r="L26" i="77"/>
  <c r="N26" i="77"/>
  <c r="O26" i="77"/>
  <c r="P26" i="77"/>
  <c r="Q26" i="77"/>
  <c r="R26" i="77"/>
  <c r="N34" i="80"/>
  <c r="N35" i="80"/>
  <c r="P31" i="75" l="1"/>
  <c r="E48" i="17" l="1"/>
  <c r="B48" i="17"/>
  <c r="I9" i="75"/>
  <c r="H9" i="75"/>
  <c r="G9" i="75"/>
  <c r="F9" i="75"/>
  <c r="E9" i="75"/>
  <c r="I47" i="17"/>
  <c r="E47" i="17" s="1"/>
  <c r="B47" i="17"/>
  <c r="I30" i="14"/>
  <c r="J9" i="75" s="1"/>
  <c r="C29" i="44"/>
  <c r="C28" i="44"/>
  <c r="C27" i="44"/>
  <c r="F29" i="44"/>
  <c r="D53" i="32" l="1"/>
  <c r="G53" i="32" s="1"/>
  <c r="Y53" i="32" s="1"/>
  <c r="D51" i="58"/>
  <c r="G51" i="58" s="1"/>
  <c r="F47" i="73"/>
  <c r="I47" i="73" s="1"/>
  <c r="D54" i="32"/>
  <c r="G54" i="32" s="1"/>
  <c r="AD54" i="32" s="1"/>
  <c r="F48" i="73"/>
  <c r="I48" i="73" s="1"/>
  <c r="D52" i="58"/>
  <c r="G52" i="58" s="1"/>
  <c r="D71" i="73"/>
  <c r="D48" i="73"/>
  <c r="E25" i="37"/>
  <c r="F25" i="44"/>
  <c r="AD82" i="32" l="1"/>
  <c r="AD87" i="32" s="1"/>
  <c r="AD83" i="32"/>
  <c r="M53" i="49"/>
  <c r="C40" i="49"/>
  <c r="J53" i="49" s="1"/>
  <c r="B40" i="49"/>
  <c r="I53" i="49" s="1"/>
  <c r="E22" i="44"/>
  <c r="D22" i="44"/>
  <c r="J29" i="17" s="1"/>
  <c r="E35" i="40"/>
  <c r="E91" i="58" l="1"/>
  <c r="G91" i="58" s="1"/>
  <c r="G53" i="76"/>
  <c r="I53" i="76" s="1"/>
  <c r="AD86" i="32"/>
  <c r="AD85" i="32"/>
  <c r="K53" i="49"/>
  <c r="E43" i="37"/>
  <c r="E40" i="49"/>
  <c r="L53" i="49" s="1"/>
  <c r="N53" i="49" s="1"/>
  <c r="G40" i="49" l="1"/>
  <c r="H73" i="50" l="1"/>
  <c r="G73" i="50"/>
  <c r="E73" i="50"/>
  <c r="F73" i="50" s="1"/>
  <c r="C73" i="50"/>
  <c r="G38" i="76"/>
  <c r="F38" i="76"/>
  <c r="E38" i="76"/>
  <c r="B38" i="76"/>
  <c r="E76" i="58"/>
  <c r="D76" i="58"/>
  <c r="C76" i="58"/>
  <c r="B76" i="58"/>
  <c r="H72" i="50"/>
  <c r="G72" i="50"/>
  <c r="E72" i="50"/>
  <c r="F72" i="50" s="1"/>
  <c r="C72" i="50"/>
  <c r="H48" i="50"/>
  <c r="G48" i="50"/>
  <c r="E48" i="50"/>
  <c r="F48" i="50" s="1"/>
  <c r="C48" i="50"/>
  <c r="H47" i="50"/>
  <c r="G47" i="50"/>
  <c r="E47" i="50"/>
  <c r="F47" i="50" s="1"/>
  <c r="C47" i="50"/>
  <c r="H46" i="50"/>
  <c r="G46" i="50"/>
  <c r="E46" i="50"/>
  <c r="F46" i="50" s="1"/>
  <c r="C46" i="50"/>
  <c r="H45" i="50"/>
  <c r="G45" i="50"/>
  <c r="F45" i="50"/>
  <c r="E45" i="50"/>
  <c r="C45" i="50"/>
  <c r="G20" i="76"/>
  <c r="G19" i="76"/>
  <c r="F20" i="76"/>
  <c r="F19" i="76"/>
  <c r="B20" i="76"/>
  <c r="B19" i="76"/>
  <c r="E20" i="76"/>
  <c r="E19" i="76"/>
  <c r="G37" i="76"/>
  <c r="F37" i="76"/>
  <c r="E37" i="76"/>
  <c r="B37" i="76"/>
  <c r="C37" i="76" s="1"/>
  <c r="G46" i="73"/>
  <c r="F46" i="73"/>
  <c r="E46" i="73"/>
  <c r="B46" i="73"/>
  <c r="G45" i="73"/>
  <c r="F45" i="73"/>
  <c r="E45" i="73"/>
  <c r="B45" i="73"/>
  <c r="C45" i="73" s="1"/>
  <c r="E75" i="58"/>
  <c r="D75" i="58"/>
  <c r="C75" i="58"/>
  <c r="B75" i="58"/>
  <c r="E50" i="58"/>
  <c r="D50" i="58"/>
  <c r="C50" i="58"/>
  <c r="B50" i="58"/>
  <c r="E49" i="58"/>
  <c r="D49" i="58"/>
  <c r="C49" i="58"/>
  <c r="B49" i="58"/>
  <c r="E48" i="58"/>
  <c r="D48" i="58"/>
  <c r="C48" i="58"/>
  <c r="B48" i="58"/>
  <c r="E47" i="58"/>
  <c r="D47" i="58"/>
  <c r="C47" i="58"/>
  <c r="B47" i="58"/>
  <c r="T11" i="75"/>
  <c r="T28" i="75"/>
  <c r="T29" i="75"/>
  <c r="M79" i="49"/>
  <c r="E24" i="49"/>
  <c r="L79" i="49" s="1"/>
  <c r="D24" i="49"/>
  <c r="C24" i="49"/>
  <c r="J79" i="49" s="1"/>
  <c r="B24" i="49"/>
  <c r="I79" i="49" s="1"/>
  <c r="E52" i="32"/>
  <c r="D52" i="32"/>
  <c r="C52" i="32"/>
  <c r="B52" i="32"/>
  <c r="E51" i="32"/>
  <c r="D51" i="32"/>
  <c r="C51" i="32"/>
  <c r="B51" i="32"/>
  <c r="E50" i="32"/>
  <c r="D50" i="32"/>
  <c r="C50" i="32"/>
  <c r="B50" i="32"/>
  <c r="E49" i="32"/>
  <c r="D49" i="32"/>
  <c r="C49" i="32"/>
  <c r="B49" i="32"/>
  <c r="O9" i="37"/>
  <c r="O8" i="37"/>
  <c r="B46" i="17"/>
  <c r="B45" i="17"/>
  <c r="B44" i="17"/>
  <c r="B43" i="17"/>
  <c r="G48" i="58" l="1"/>
  <c r="I45" i="73"/>
  <c r="G49" i="58"/>
  <c r="G24" i="49"/>
  <c r="G49" i="32"/>
  <c r="X49" i="32" s="1"/>
  <c r="G51" i="32"/>
  <c r="U51" i="32" s="1"/>
  <c r="G50" i="32"/>
  <c r="X50" i="32" s="1"/>
  <c r="G52" i="32"/>
  <c r="T52" i="32" s="1"/>
  <c r="I19" i="76"/>
  <c r="I20" i="76"/>
  <c r="I37" i="76"/>
  <c r="I38" i="76"/>
  <c r="G76" i="58"/>
  <c r="C38" i="76"/>
  <c r="K79" i="49"/>
  <c r="N79" i="49" s="1"/>
  <c r="G75" i="58"/>
  <c r="C19" i="76"/>
  <c r="C20" i="76"/>
  <c r="I46" i="73"/>
  <c r="C46" i="73"/>
  <c r="G50" i="58"/>
  <c r="G47" i="58"/>
  <c r="E14" i="44" l="1"/>
  <c r="E41" i="37" l="1"/>
  <c r="E2" i="51" l="1"/>
  <c r="G27" i="37" l="1"/>
  <c r="H71" i="50" l="1"/>
  <c r="G71" i="50"/>
  <c r="E71" i="50"/>
  <c r="F71" i="50" s="1"/>
  <c r="C71" i="50"/>
  <c r="H44" i="50"/>
  <c r="G44" i="50"/>
  <c r="E44" i="50"/>
  <c r="F44" i="50" s="1"/>
  <c r="C44" i="50"/>
  <c r="H43" i="50"/>
  <c r="E43" i="50"/>
  <c r="F43" i="50" s="1"/>
  <c r="C43" i="50"/>
  <c r="H42" i="50"/>
  <c r="G42" i="50"/>
  <c r="E42" i="50"/>
  <c r="F42" i="50" s="1"/>
  <c r="C42" i="50"/>
  <c r="G36" i="76"/>
  <c r="F36" i="76"/>
  <c r="E36" i="76"/>
  <c r="B36" i="76"/>
  <c r="C36" i="76" s="1"/>
  <c r="E10" i="75"/>
  <c r="R10" i="75"/>
  <c r="Q10" i="75"/>
  <c r="I10" i="75"/>
  <c r="H10" i="75"/>
  <c r="G10" i="75"/>
  <c r="D70" i="73" s="1"/>
  <c r="F10" i="75"/>
  <c r="G44" i="73"/>
  <c r="F44" i="73"/>
  <c r="E44" i="73"/>
  <c r="B44" i="73"/>
  <c r="G43" i="73"/>
  <c r="E43" i="73"/>
  <c r="B43" i="73"/>
  <c r="G42" i="73"/>
  <c r="F42" i="73"/>
  <c r="E42" i="73"/>
  <c r="B42" i="73"/>
  <c r="E74" i="58"/>
  <c r="D74" i="58"/>
  <c r="C74" i="58"/>
  <c r="B74" i="58"/>
  <c r="E46" i="58"/>
  <c r="D46" i="58"/>
  <c r="C46" i="58"/>
  <c r="B46" i="58"/>
  <c r="E45" i="58"/>
  <c r="C45" i="58"/>
  <c r="B45" i="58"/>
  <c r="E44" i="58"/>
  <c r="D44" i="58"/>
  <c r="C44" i="58"/>
  <c r="B44" i="58"/>
  <c r="M78" i="49"/>
  <c r="B23" i="49"/>
  <c r="I78" i="49" s="1"/>
  <c r="C23" i="49"/>
  <c r="J78" i="49" s="1"/>
  <c r="D23" i="49"/>
  <c r="K78" i="49" s="1"/>
  <c r="E23" i="49"/>
  <c r="L78" i="49" s="1"/>
  <c r="AG31" i="32"/>
  <c r="B76" i="32"/>
  <c r="J42" i="17"/>
  <c r="E48" i="32"/>
  <c r="D48" i="32"/>
  <c r="AC48" i="32" s="1"/>
  <c r="C48" i="32"/>
  <c r="B48" i="32"/>
  <c r="E47" i="32"/>
  <c r="C47" i="32"/>
  <c r="B47" i="32"/>
  <c r="E46" i="32"/>
  <c r="Q46" i="32" s="1"/>
  <c r="D46" i="32"/>
  <c r="C46" i="32"/>
  <c r="B46" i="32"/>
  <c r="F18" i="37"/>
  <c r="E18" i="44"/>
  <c r="E41" i="17"/>
  <c r="G43" i="50" s="1"/>
  <c r="B42" i="17"/>
  <c r="B41" i="17"/>
  <c r="B40" i="17"/>
  <c r="L31" i="44"/>
  <c r="L33" i="44" s="1"/>
  <c r="E28" i="44" s="1"/>
  <c r="F28" i="44" s="1"/>
  <c r="D45" i="58" l="1"/>
  <c r="I29" i="14"/>
  <c r="J10" i="75" s="1"/>
  <c r="O28" i="80"/>
  <c r="F43" i="73"/>
  <c r="AM31" i="32"/>
  <c r="AC82" i="32"/>
  <c r="AC83" i="32"/>
  <c r="AC86" i="32" s="1"/>
  <c r="G46" i="32"/>
  <c r="I36" i="76"/>
  <c r="G23" i="49"/>
  <c r="N78" i="49"/>
  <c r="D47" i="32"/>
  <c r="G47" i="32" s="1"/>
  <c r="G44" i="58"/>
  <c r="G46" i="58"/>
  <c r="G48" i="32"/>
  <c r="I43" i="73"/>
  <c r="I42" i="73"/>
  <c r="I44" i="73"/>
  <c r="D44" i="73"/>
  <c r="C44" i="73"/>
  <c r="C43" i="73"/>
  <c r="C42" i="73"/>
  <c r="G45" i="58"/>
  <c r="G74" i="58"/>
  <c r="S47" i="32" l="1"/>
  <c r="AG30" i="32"/>
  <c r="G41" i="50"/>
  <c r="E41" i="50"/>
  <c r="F41" i="50" s="1"/>
  <c r="C41" i="50"/>
  <c r="H40" i="50"/>
  <c r="E40" i="50"/>
  <c r="F40" i="50" s="1"/>
  <c r="C40" i="50"/>
  <c r="H39" i="50"/>
  <c r="E39" i="50"/>
  <c r="F39" i="50" s="1"/>
  <c r="C39" i="50"/>
  <c r="H38" i="50"/>
  <c r="E38" i="50"/>
  <c r="F38" i="50" s="1"/>
  <c r="C38" i="50"/>
  <c r="F41" i="73"/>
  <c r="E41" i="73"/>
  <c r="B41" i="73"/>
  <c r="E40" i="73"/>
  <c r="B40" i="73"/>
  <c r="C40" i="73" s="1"/>
  <c r="E39" i="73"/>
  <c r="B39" i="73"/>
  <c r="E38" i="73"/>
  <c r="B38" i="73"/>
  <c r="E37" i="73"/>
  <c r="B37" i="73"/>
  <c r="B43" i="58"/>
  <c r="C43" i="58"/>
  <c r="D43" i="58"/>
  <c r="C42" i="58"/>
  <c r="B42" i="58"/>
  <c r="C41" i="58"/>
  <c r="B41" i="58"/>
  <c r="C40" i="58"/>
  <c r="B40" i="58"/>
  <c r="F26" i="37"/>
  <c r="F27" i="37"/>
  <c r="F17" i="37"/>
  <c r="F21" i="37"/>
  <c r="D27" i="37"/>
  <c r="C27" i="37"/>
  <c r="B27" i="37"/>
  <c r="B75" i="32" s="1"/>
  <c r="D45" i="32"/>
  <c r="C45" i="32"/>
  <c r="B45" i="32"/>
  <c r="C44" i="32"/>
  <c r="B44" i="32"/>
  <c r="C43" i="32"/>
  <c r="B43" i="32"/>
  <c r="C42" i="32"/>
  <c r="B42" i="32"/>
  <c r="I11" i="75"/>
  <c r="H11" i="75"/>
  <c r="G11" i="75"/>
  <c r="D69" i="73" s="1"/>
  <c r="F11" i="75"/>
  <c r="E11" i="75"/>
  <c r="D39" i="73" l="1"/>
  <c r="D38" i="73"/>
  <c r="C38" i="73"/>
  <c r="C41" i="73"/>
  <c r="C37" i="73"/>
  <c r="C39" i="73"/>
  <c r="F27" i="44"/>
  <c r="I28" i="14" s="1"/>
  <c r="J11" i="75" s="1"/>
  <c r="F17" i="44"/>
  <c r="F18" i="44"/>
  <c r="F39" i="17"/>
  <c r="E37" i="17"/>
  <c r="E38" i="17"/>
  <c r="E36" i="17"/>
  <c r="B39" i="17"/>
  <c r="B38" i="17"/>
  <c r="B37" i="17"/>
  <c r="B36" i="17"/>
  <c r="B35" i="17"/>
  <c r="B34" i="17"/>
  <c r="B33" i="17"/>
  <c r="F39" i="73" l="1"/>
  <c r="I39" i="73" s="1"/>
  <c r="D41" i="58"/>
  <c r="G41" i="58" s="1"/>
  <c r="G39" i="50"/>
  <c r="D43" i="32"/>
  <c r="G43" i="32" s="1"/>
  <c r="AB43" i="32" s="1"/>
  <c r="G38" i="50"/>
  <c r="D42" i="32"/>
  <c r="G42" i="32" s="1"/>
  <c r="AB42" i="32" s="1"/>
  <c r="F38" i="73"/>
  <c r="I38" i="73" s="1"/>
  <c r="D40" i="58"/>
  <c r="G40" i="58" s="1"/>
  <c r="D44" i="32"/>
  <c r="G44" i="32" s="1"/>
  <c r="Y44" i="32" s="1"/>
  <c r="F40" i="73"/>
  <c r="I40" i="73" s="1"/>
  <c r="D42" i="58"/>
  <c r="G42" i="58" s="1"/>
  <c r="G40" i="50"/>
  <c r="H41" i="50"/>
  <c r="E45" i="32"/>
  <c r="G45" i="32" s="1"/>
  <c r="T45" i="32" s="1"/>
  <c r="G41" i="73"/>
  <c r="I41" i="73" s="1"/>
  <c r="E43" i="58"/>
  <c r="G43" i="58" s="1"/>
  <c r="D17" i="40"/>
  <c r="G70" i="50" s="1"/>
  <c r="H70" i="50"/>
  <c r="E70" i="50"/>
  <c r="F70" i="50" s="1"/>
  <c r="C70" i="50"/>
  <c r="E35" i="76"/>
  <c r="B35" i="76"/>
  <c r="C73" i="58"/>
  <c r="B73" i="58"/>
  <c r="M77" i="49"/>
  <c r="C22" i="49"/>
  <c r="J77" i="49" s="1"/>
  <c r="B22" i="49"/>
  <c r="I77" i="49" s="1"/>
  <c r="D73" i="58" l="1"/>
  <c r="AB83" i="32"/>
  <c r="AB82" i="32"/>
  <c r="D22" i="49"/>
  <c r="K77" i="49" s="1"/>
  <c r="F35" i="76"/>
  <c r="G35" i="76"/>
  <c r="E22" i="49"/>
  <c r="E73" i="58"/>
  <c r="C35" i="76"/>
  <c r="G73" i="58" l="1"/>
  <c r="AB86" i="32"/>
  <c r="I35" i="76"/>
  <c r="G22" i="49"/>
  <c r="L77" i="49"/>
  <c r="N77" i="49" s="1"/>
  <c r="D23" i="44"/>
  <c r="D36" i="44" l="1"/>
  <c r="F36" i="44"/>
  <c r="F35" i="44"/>
  <c r="E3" i="60"/>
  <c r="L24" i="60"/>
  <c r="F39" i="44" l="1"/>
  <c r="F38" i="44"/>
  <c r="F37" i="44"/>
  <c r="H93" i="50" l="1"/>
  <c r="E93" i="50"/>
  <c r="F93" i="50" s="1"/>
  <c r="C93" i="50"/>
  <c r="H37" i="50" l="1"/>
  <c r="E37" i="50"/>
  <c r="F37" i="50" s="1"/>
  <c r="C37" i="50"/>
  <c r="Q13" i="49"/>
  <c r="Q12" i="49"/>
  <c r="AG29" i="32"/>
  <c r="F20" i="44" l="1"/>
  <c r="F21" i="44" l="1"/>
  <c r="C39" i="58"/>
  <c r="B39" i="58"/>
  <c r="C41" i="32"/>
  <c r="B41" i="32"/>
  <c r="D26" i="37"/>
  <c r="C26" i="37"/>
  <c r="I12" i="75"/>
  <c r="H12" i="75"/>
  <c r="G12" i="75"/>
  <c r="D37" i="73" s="1"/>
  <c r="F12" i="75"/>
  <c r="E12" i="75"/>
  <c r="I25" i="14"/>
  <c r="I26" i="14"/>
  <c r="C25" i="44"/>
  <c r="C26" i="44"/>
  <c r="C10" i="44"/>
  <c r="C11" i="44"/>
  <c r="C12" i="44"/>
  <c r="C13" i="44"/>
  <c r="C14" i="44"/>
  <c r="C15" i="44"/>
  <c r="C16" i="44"/>
  <c r="C17" i="44"/>
  <c r="C18" i="44"/>
  <c r="C19" i="44"/>
  <c r="C20" i="44"/>
  <c r="C21" i="44"/>
  <c r="C22" i="44"/>
  <c r="C23" i="44"/>
  <c r="C24" i="44"/>
  <c r="C9" i="44"/>
  <c r="I13" i="14"/>
  <c r="I16" i="14"/>
  <c r="I17" i="14"/>
  <c r="I18" i="14"/>
  <c r="I22" i="14"/>
  <c r="B26" i="37"/>
  <c r="B74" i="32" s="1"/>
  <c r="B25" i="37"/>
  <c r="B73" i="32" s="1"/>
  <c r="I35" i="17"/>
  <c r="E35" i="17" s="1"/>
  <c r="M27" i="14"/>
  <c r="G37" i="50" l="1"/>
  <c r="F37" i="73"/>
  <c r="I37" i="73" s="1"/>
  <c r="M12" i="75"/>
  <c r="M28" i="14"/>
  <c r="M29" i="14" s="1"/>
  <c r="M30" i="14" s="1"/>
  <c r="M9" i="75" s="1"/>
  <c r="D39" i="58"/>
  <c r="G39" i="58" s="1"/>
  <c r="D41" i="32"/>
  <c r="G41" i="32" s="1"/>
  <c r="AA41" i="32" s="1"/>
  <c r="D68" i="73"/>
  <c r="AA83" i="32" l="1"/>
  <c r="AA82" i="32"/>
  <c r="M11" i="75"/>
  <c r="M10" i="75"/>
  <c r="AA86" i="32" l="1"/>
  <c r="C69" i="50"/>
  <c r="E69" i="50"/>
  <c r="F69" i="50" s="1"/>
  <c r="H69" i="50"/>
  <c r="C36" i="50"/>
  <c r="E36" i="50"/>
  <c r="F36" i="50" s="1"/>
  <c r="H36" i="50"/>
  <c r="G34" i="76"/>
  <c r="E34" i="76"/>
  <c r="B34" i="76"/>
  <c r="E16" i="76"/>
  <c r="B16" i="76"/>
  <c r="C16" i="76" s="1"/>
  <c r="B38" i="58"/>
  <c r="C38" i="58"/>
  <c r="E72" i="58"/>
  <c r="C72" i="58"/>
  <c r="B72" i="58"/>
  <c r="M76" i="49"/>
  <c r="E21" i="49"/>
  <c r="L76" i="49" s="1"/>
  <c r="C21" i="49"/>
  <c r="J76" i="49" s="1"/>
  <c r="B21" i="49"/>
  <c r="I76" i="49" s="1"/>
  <c r="C40" i="32"/>
  <c r="B40" i="32"/>
  <c r="D16" i="40"/>
  <c r="F34" i="76" s="1"/>
  <c r="I34" i="17"/>
  <c r="E34" i="17" s="1"/>
  <c r="D38" i="58" s="1"/>
  <c r="G38" i="58" s="1"/>
  <c r="I34" i="76" l="1"/>
  <c r="G36" i="50"/>
  <c r="F16" i="76"/>
  <c r="I16" i="76" s="1"/>
  <c r="D40" i="32"/>
  <c r="G40" i="32" s="1"/>
  <c r="W40" i="32" s="1"/>
  <c r="D72" i="58"/>
  <c r="G72" i="58" s="1"/>
  <c r="G69" i="50"/>
  <c r="D21" i="49"/>
  <c r="G21" i="49" s="1"/>
  <c r="C34" i="76"/>
  <c r="K76" i="49" l="1"/>
  <c r="N76" i="49" s="1"/>
  <c r="D98" i="58"/>
  <c r="C98" i="58"/>
  <c r="B98" i="58"/>
  <c r="E97" i="58"/>
  <c r="C97" i="58"/>
  <c r="B97" i="58"/>
  <c r="F61" i="76"/>
  <c r="E61" i="76"/>
  <c r="B61" i="76"/>
  <c r="C61" i="76" s="1"/>
  <c r="G60" i="76"/>
  <c r="E60" i="76"/>
  <c r="B60" i="76"/>
  <c r="C60" i="76" s="1"/>
  <c r="M14" i="49"/>
  <c r="E46" i="49"/>
  <c r="L14" i="49" s="1"/>
  <c r="C46" i="49"/>
  <c r="J14" i="49" s="1"/>
  <c r="B46" i="49"/>
  <c r="I14" i="49" s="1"/>
  <c r="G41" i="40"/>
  <c r="D41" i="40"/>
  <c r="G93" i="50" s="1"/>
  <c r="E42" i="40"/>
  <c r="E98" i="58" s="1"/>
  <c r="L41" i="14"/>
  <c r="D22" i="77"/>
  <c r="M41" i="14" l="1"/>
  <c r="F60" i="76"/>
  <c r="D97" i="58"/>
  <c r="G97" i="58" s="1"/>
  <c r="D46" i="49"/>
  <c r="G46" i="49" s="1"/>
  <c r="G61" i="76"/>
  <c r="I61" i="76" s="1"/>
  <c r="G98" i="58"/>
  <c r="D24" i="77"/>
  <c r="D23" i="77"/>
  <c r="E22" i="77"/>
  <c r="I60" i="76"/>
  <c r="K14" i="49" l="1"/>
  <c r="N14" i="49" s="1"/>
  <c r="E23" i="77"/>
  <c r="E24" i="77"/>
  <c r="C68" i="50"/>
  <c r="E68" i="50"/>
  <c r="F68" i="50" s="1"/>
  <c r="H68" i="50"/>
  <c r="B33" i="76"/>
  <c r="C33" i="76" s="1"/>
  <c r="E33" i="76"/>
  <c r="G33" i="76"/>
  <c r="B71" i="58"/>
  <c r="C71" i="58"/>
  <c r="E71" i="58"/>
  <c r="M75" i="49"/>
  <c r="B20" i="49"/>
  <c r="I75" i="49" s="1"/>
  <c r="C20" i="49"/>
  <c r="J75" i="49" s="1"/>
  <c r="E20" i="49"/>
  <c r="L75" i="49" s="1"/>
  <c r="D15" i="40"/>
  <c r="D20" i="49" s="1"/>
  <c r="G68" i="50" l="1"/>
  <c r="D71" i="58"/>
  <c r="G71" i="58" s="1"/>
  <c r="F33" i="76"/>
  <c r="I33" i="76" s="1"/>
  <c r="K75" i="49"/>
  <c r="N75" i="49" s="1"/>
  <c r="G20" i="49"/>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7" i="49"/>
  <c r="I15" i="49" s="1"/>
  <c r="C47" i="49"/>
  <c r="J15" i="49" s="1"/>
  <c r="D47" i="49"/>
  <c r="E47" i="49"/>
  <c r="L15" i="49" s="1"/>
  <c r="B45" i="49"/>
  <c r="I13" i="49" s="1"/>
  <c r="C45" i="49"/>
  <c r="J13" i="49" s="1"/>
  <c r="E45" i="49"/>
  <c r="L13" i="49" s="1"/>
  <c r="B44" i="49"/>
  <c r="I12" i="49" s="1"/>
  <c r="C44" i="49"/>
  <c r="J12" i="49" s="1"/>
  <c r="E44" i="49"/>
  <c r="L12" i="49" s="1"/>
  <c r="F23" i="44"/>
  <c r="I24" i="14" s="1"/>
  <c r="H5" i="73" l="1"/>
  <c r="H4" i="73"/>
  <c r="G47" i="49"/>
  <c r="K15" i="49"/>
  <c r="N15" i="49" s="1"/>
  <c r="H2" i="73" l="1"/>
  <c r="K21" i="37"/>
  <c r="D8" i="51" l="1"/>
  <c r="P42" i="75" l="1"/>
  <c r="P44" i="75" s="1"/>
  <c r="G54" i="50" l="1"/>
  <c r="E54" i="50"/>
  <c r="F54" i="50" s="1"/>
  <c r="C54" i="50"/>
  <c r="F52" i="73" l="1"/>
  <c r="E52" i="73"/>
  <c r="B52" i="73"/>
  <c r="J29" i="52"/>
  <c r="D57" i="58"/>
  <c r="C57" i="58"/>
  <c r="B57" i="58"/>
  <c r="B12" i="52"/>
  <c r="C12" i="52"/>
  <c r="D12" i="52"/>
  <c r="E34" i="32"/>
  <c r="I53" i="17"/>
  <c r="H54" i="17"/>
  <c r="I54" i="17" s="1"/>
  <c r="F56" i="17"/>
  <c r="H54" i="50" s="1"/>
  <c r="E12" i="52" l="1"/>
  <c r="T11" i="52" s="1"/>
  <c r="M37" i="14"/>
  <c r="M17" i="75" s="1"/>
  <c r="E57" i="58"/>
  <c r="G57" i="58" s="1"/>
  <c r="H56" i="17"/>
  <c r="G52" i="73"/>
  <c r="I52" i="73" s="1"/>
  <c r="C52" i="73"/>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38" i="75"/>
  <c r="S38" i="75"/>
  <c r="J38" i="75"/>
  <c r="I38" i="75"/>
  <c r="H38" i="75"/>
  <c r="G38" i="75"/>
  <c r="F38" i="75"/>
  <c r="E38" i="75"/>
  <c r="M40" i="75"/>
  <c r="K40" i="75"/>
  <c r="J40" i="75"/>
  <c r="I40" i="75"/>
  <c r="H40" i="75"/>
  <c r="G40" i="75"/>
  <c r="F40" i="75"/>
  <c r="E40" i="75"/>
  <c r="K39" i="75"/>
  <c r="J39" i="75"/>
  <c r="I39" i="75"/>
  <c r="H39" i="75"/>
  <c r="G39" i="75"/>
  <c r="F39" i="75"/>
  <c r="E39" i="75"/>
  <c r="M37" i="75"/>
  <c r="S37" i="75"/>
  <c r="J37" i="75"/>
  <c r="I37" i="75"/>
  <c r="H37" i="75"/>
  <c r="G37" i="75"/>
  <c r="F37" i="75"/>
  <c r="E37" i="75"/>
  <c r="S36" i="75"/>
  <c r="J36" i="75"/>
  <c r="I36" i="75"/>
  <c r="H36" i="75"/>
  <c r="G36" i="75"/>
  <c r="D53" i="76" s="1"/>
  <c r="F36" i="75"/>
  <c r="E36" i="75"/>
  <c r="I35" i="75"/>
  <c r="H35" i="75"/>
  <c r="G35" i="75"/>
  <c r="D16" i="76" s="1"/>
  <c r="F35" i="75"/>
  <c r="E35" i="75"/>
  <c r="K34" i="75"/>
  <c r="I34" i="75"/>
  <c r="H34" i="75"/>
  <c r="G34" i="75"/>
  <c r="F34" i="75"/>
  <c r="E34" i="75"/>
  <c r="I33" i="75"/>
  <c r="H33" i="75"/>
  <c r="G33" i="75"/>
  <c r="F33" i="75"/>
  <c r="E33" i="75"/>
  <c r="N28" i="75"/>
  <c r="M28" i="75"/>
  <c r="M16" i="75"/>
  <c r="M13" i="75"/>
  <c r="M14" i="75"/>
  <c r="S29" i="75"/>
  <c r="K29" i="75"/>
  <c r="I29" i="75"/>
  <c r="H29" i="75"/>
  <c r="G29" i="75"/>
  <c r="F29" i="75"/>
  <c r="S28" i="75"/>
  <c r="L28" i="75"/>
  <c r="K28" i="75"/>
  <c r="J28" i="75"/>
  <c r="I28" i="75"/>
  <c r="H28" i="75"/>
  <c r="G28" i="75"/>
  <c r="F28" i="75"/>
  <c r="S16" i="75"/>
  <c r="K16" i="75"/>
  <c r="J16" i="75"/>
  <c r="I16" i="75"/>
  <c r="H16" i="75"/>
  <c r="G16" i="75"/>
  <c r="F16" i="75"/>
  <c r="S17" i="75"/>
  <c r="L17" i="75"/>
  <c r="K17" i="75"/>
  <c r="J17" i="75"/>
  <c r="I17" i="75"/>
  <c r="H17" i="75"/>
  <c r="G17" i="75"/>
  <c r="D52" i="73" s="1"/>
  <c r="F17" i="75"/>
  <c r="S22" i="75"/>
  <c r="K22" i="75"/>
  <c r="I22" i="75"/>
  <c r="H22" i="75"/>
  <c r="G22" i="75"/>
  <c r="F22" i="75"/>
  <c r="S18" i="75"/>
  <c r="K18" i="75"/>
  <c r="I18" i="75"/>
  <c r="H18" i="75"/>
  <c r="G18" i="75"/>
  <c r="D42" i="73" s="1"/>
  <c r="F18" i="75"/>
  <c r="S19" i="75"/>
  <c r="K19" i="75"/>
  <c r="I19" i="75"/>
  <c r="H19" i="75"/>
  <c r="G19" i="75"/>
  <c r="F19" i="75"/>
  <c r="S20" i="75"/>
  <c r="K20" i="75"/>
  <c r="I20" i="75"/>
  <c r="H20" i="75"/>
  <c r="G20" i="75"/>
  <c r="F20" i="75"/>
  <c r="K13" i="75"/>
  <c r="J13" i="75"/>
  <c r="I13" i="75"/>
  <c r="H13" i="75"/>
  <c r="G13" i="75"/>
  <c r="D67" i="73" s="1"/>
  <c r="F13" i="75"/>
  <c r="K14" i="75"/>
  <c r="J14" i="75"/>
  <c r="I14" i="75"/>
  <c r="H14" i="75"/>
  <c r="G14" i="75"/>
  <c r="F14" i="75"/>
  <c r="S15" i="75"/>
  <c r="K15" i="75"/>
  <c r="I15" i="75"/>
  <c r="H15" i="75"/>
  <c r="G15" i="75"/>
  <c r="D45" i="73" s="1"/>
  <c r="F15" i="75"/>
  <c r="S21" i="75"/>
  <c r="I21" i="75"/>
  <c r="H21" i="75"/>
  <c r="G21" i="75"/>
  <c r="D43" i="73" s="1"/>
  <c r="F21" i="75"/>
  <c r="S27" i="75"/>
  <c r="K27" i="75"/>
  <c r="I27" i="75"/>
  <c r="H27" i="75"/>
  <c r="G27" i="75"/>
  <c r="F27" i="75"/>
  <c r="S26" i="75"/>
  <c r="K26" i="75"/>
  <c r="I26" i="75"/>
  <c r="H26" i="75"/>
  <c r="G26" i="75"/>
  <c r="F26" i="75"/>
  <c r="S23" i="75"/>
  <c r="K23" i="75"/>
  <c r="I23" i="75"/>
  <c r="H23" i="75"/>
  <c r="G23" i="75"/>
  <c r="F23" i="75"/>
  <c r="S24" i="75"/>
  <c r="K24" i="75"/>
  <c r="I24" i="75"/>
  <c r="H24" i="75"/>
  <c r="G24" i="75"/>
  <c r="F24" i="75"/>
  <c r="S25" i="75"/>
  <c r="K25" i="75"/>
  <c r="I25" i="75"/>
  <c r="H25" i="75"/>
  <c r="G25" i="75"/>
  <c r="F25" i="75"/>
  <c r="E29" i="75"/>
  <c r="E28" i="75"/>
  <c r="E16" i="75"/>
  <c r="E17" i="75"/>
  <c r="E22" i="75"/>
  <c r="E18" i="75"/>
  <c r="E19" i="75"/>
  <c r="E20" i="75"/>
  <c r="E13" i="75"/>
  <c r="E14" i="75"/>
  <c r="E15" i="75"/>
  <c r="E21" i="75"/>
  <c r="E27" i="75"/>
  <c r="E26" i="75"/>
  <c r="E23" i="75"/>
  <c r="E24" i="75"/>
  <c r="E25" i="75"/>
  <c r="E36" i="73"/>
  <c r="B36" i="73"/>
  <c r="C36" i="73" s="1"/>
  <c r="E29" i="73"/>
  <c r="B29" i="73"/>
  <c r="C29" i="73" s="1"/>
  <c r="B37" i="58"/>
  <c r="C37" i="58"/>
  <c r="M92" i="49"/>
  <c r="M91" i="49"/>
  <c r="M90" i="49"/>
  <c r="M89" i="49"/>
  <c r="M88" i="49"/>
  <c r="M74" i="49"/>
  <c r="M73" i="49"/>
  <c r="M72" i="49"/>
  <c r="M71" i="49"/>
  <c r="M70" i="49"/>
  <c r="M69" i="49"/>
  <c r="M68" i="49"/>
  <c r="M67" i="49"/>
  <c r="M66" i="49"/>
  <c r="M65" i="49"/>
  <c r="M64" i="49"/>
  <c r="M63" i="49"/>
  <c r="M10" i="49"/>
  <c r="M9" i="49"/>
  <c r="M52" i="49"/>
  <c r="M51" i="49"/>
  <c r="M50" i="49"/>
  <c r="M49" i="49"/>
  <c r="M48" i="49"/>
  <c r="M47" i="49"/>
  <c r="M46" i="49"/>
  <c r="M45" i="49"/>
  <c r="M44" i="49"/>
  <c r="M43" i="49"/>
  <c r="M42" i="49"/>
  <c r="M41" i="49"/>
  <c r="M40" i="49"/>
  <c r="M39" i="49"/>
  <c r="L92" i="49"/>
  <c r="J92" i="49"/>
  <c r="I92" i="49"/>
  <c r="L91" i="49"/>
  <c r="J91" i="49"/>
  <c r="I91" i="49"/>
  <c r="L90" i="49"/>
  <c r="J90" i="49"/>
  <c r="I90" i="49"/>
  <c r="L89" i="49"/>
  <c r="J89" i="49"/>
  <c r="I89" i="49"/>
  <c r="L88" i="49"/>
  <c r="J88" i="49"/>
  <c r="I88" i="49"/>
  <c r="J30" i="49"/>
  <c r="I30" i="49"/>
  <c r="E43" i="49"/>
  <c r="L11" i="49" s="1"/>
  <c r="C43" i="49"/>
  <c r="J11" i="49" s="1"/>
  <c r="B43" i="49"/>
  <c r="I11" i="49" s="1"/>
  <c r="E42" i="49"/>
  <c r="L10" i="49" s="1"/>
  <c r="D42" i="49"/>
  <c r="K10" i="49" s="1"/>
  <c r="C42" i="49"/>
  <c r="J10" i="49" s="1"/>
  <c r="B42" i="49"/>
  <c r="I10" i="49" s="1"/>
  <c r="E41" i="49"/>
  <c r="L9" i="49" s="1"/>
  <c r="C41" i="49"/>
  <c r="J9" i="49" s="1"/>
  <c r="B41" i="49"/>
  <c r="I9" i="49" s="1"/>
  <c r="E39" i="49"/>
  <c r="L52" i="49" s="1"/>
  <c r="C39" i="49"/>
  <c r="J52" i="49" s="1"/>
  <c r="B39" i="49"/>
  <c r="I52" i="49" s="1"/>
  <c r="E38" i="49"/>
  <c r="L51" i="49" s="1"/>
  <c r="C38" i="49"/>
  <c r="J51" i="49" s="1"/>
  <c r="B38" i="49"/>
  <c r="I51" i="49" s="1"/>
  <c r="D37" i="49"/>
  <c r="K50" i="49" s="1"/>
  <c r="C37" i="49"/>
  <c r="J50" i="49" s="1"/>
  <c r="B37" i="49"/>
  <c r="I50" i="49" s="1"/>
  <c r="E36" i="49"/>
  <c r="L49" i="49" s="1"/>
  <c r="C36" i="49"/>
  <c r="J49" i="49" s="1"/>
  <c r="B36" i="49"/>
  <c r="I49" i="49" s="1"/>
  <c r="E35" i="49"/>
  <c r="L48" i="49" s="1"/>
  <c r="C35" i="49"/>
  <c r="J48" i="49" s="1"/>
  <c r="B35" i="49"/>
  <c r="I48" i="49" s="1"/>
  <c r="D34" i="49"/>
  <c r="K47" i="49" s="1"/>
  <c r="C34" i="49"/>
  <c r="J47" i="49" s="1"/>
  <c r="B34" i="49"/>
  <c r="I47" i="49" s="1"/>
  <c r="E33" i="49"/>
  <c r="L46" i="49" s="1"/>
  <c r="C33" i="49"/>
  <c r="J46" i="49" s="1"/>
  <c r="B33" i="49"/>
  <c r="I46" i="49" s="1"/>
  <c r="E32" i="49"/>
  <c r="L45" i="49" s="1"/>
  <c r="C32" i="49"/>
  <c r="J45" i="49" s="1"/>
  <c r="B32" i="49"/>
  <c r="I45" i="49" s="1"/>
  <c r="E31" i="49"/>
  <c r="L44" i="49" s="1"/>
  <c r="C31" i="49"/>
  <c r="J44" i="49" s="1"/>
  <c r="B31" i="49"/>
  <c r="I44" i="49" s="1"/>
  <c r="E30" i="49"/>
  <c r="L43" i="49" s="1"/>
  <c r="C30" i="49"/>
  <c r="J43" i="49" s="1"/>
  <c r="B30" i="49"/>
  <c r="I43" i="49" s="1"/>
  <c r="E29" i="49"/>
  <c r="L42" i="49" s="1"/>
  <c r="C29" i="49"/>
  <c r="J42" i="49" s="1"/>
  <c r="B29" i="49"/>
  <c r="I42" i="49" s="1"/>
  <c r="E28" i="49"/>
  <c r="L41" i="49" s="1"/>
  <c r="C28" i="49"/>
  <c r="J41" i="49" s="1"/>
  <c r="B28" i="49"/>
  <c r="I41" i="49" s="1"/>
  <c r="E27" i="49"/>
  <c r="L40" i="49" s="1"/>
  <c r="C27" i="49"/>
  <c r="J40" i="49" s="1"/>
  <c r="B27" i="49"/>
  <c r="I40" i="49" s="1"/>
  <c r="E26" i="49"/>
  <c r="L39" i="49" s="1"/>
  <c r="C26" i="49"/>
  <c r="J39" i="49" s="1"/>
  <c r="B26" i="49"/>
  <c r="I39" i="49" s="1"/>
  <c r="D19" i="49"/>
  <c r="K74" i="49" s="1"/>
  <c r="C19" i="49"/>
  <c r="J74" i="49" s="1"/>
  <c r="B19" i="49"/>
  <c r="I74" i="49" s="1"/>
  <c r="E18" i="49"/>
  <c r="L73" i="49" s="1"/>
  <c r="C18" i="49"/>
  <c r="J73" i="49" s="1"/>
  <c r="B18" i="49"/>
  <c r="I73" i="49" s="1"/>
  <c r="D17" i="49"/>
  <c r="K72" i="49" s="1"/>
  <c r="C17" i="49"/>
  <c r="J72" i="49" s="1"/>
  <c r="B17" i="49"/>
  <c r="I72" i="49" s="1"/>
  <c r="E16" i="49"/>
  <c r="L71" i="49" s="1"/>
  <c r="C16" i="49"/>
  <c r="J71" i="49" s="1"/>
  <c r="B16" i="49"/>
  <c r="I71" i="49" s="1"/>
  <c r="E15" i="49"/>
  <c r="L70" i="49" s="1"/>
  <c r="C15" i="49"/>
  <c r="J70" i="49" s="1"/>
  <c r="B15" i="49"/>
  <c r="I70" i="49" s="1"/>
  <c r="E14" i="49"/>
  <c r="L69" i="49" s="1"/>
  <c r="C14" i="49"/>
  <c r="J69" i="49" s="1"/>
  <c r="B14" i="49"/>
  <c r="I69" i="49" s="1"/>
  <c r="D13" i="49"/>
  <c r="K68" i="49" s="1"/>
  <c r="C13" i="49"/>
  <c r="J68" i="49" s="1"/>
  <c r="B13" i="49"/>
  <c r="I68" i="49" s="1"/>
  <c r="E12" i="49"/>
  <c r="L67" i="49" s="1"/>
  <c r="C12" i="49"/>
  <c r="J67" i="49" s="1"/>
  <c r="B12" i="49"/>
  <c r="I67" i="49" s="1"/>
  <c r="E11" i="49"/>
  <c r="L66" i="49" s="1"/>
  <c r="C11" i="49"/>
  <c r="J66" i="49" s="1"/>
  <c r="B11" i="49"/>
  <c r="I66" i="49" s="1"/>
  <c r="D10" i="49"/>
  <c r="K65" i="49" s="1"/>
  <c r="C10" i="49"/>
  <c r="J65" i="49" s="1"/>
  <c r="B10" i="49"/>
  <c r="I65" i="49" s="1"/>
  <c r="E9" i="49"/>
  <c r="L64" i="49" s="1"/>
  <c r="C9" i="49"/>
  <c r="J64" i="49" s="1"/>
  <c r="B9" i="49"/>
  <c r="E8" i="49"/>
  <c r="L63" i="49" s="1"/>
  <c r="C8" i="49"/>
  <c r="J63" i="49" s="1"/>
  <c r="I63" i="49"/>
  <c r="D9" i="52"/>
  <c r="K9" i="52" s="1"/>
  <c r="D10" i="52"/>
  <c r="C11" i="52"/>
  <c r="J28" i="52" s="1"/>
  <c r="B11" i="52"/>
  <c r="I28" i="52" s="1"/>
  <c r="C10" i="52"/>
  <c r="J19" i="52" s="1"/>
  <c r="B10" i="52"/>
  <c r="I19" i="52" s="1"/>
  <c r="C9" i="52"/>
  <c r="J9" i="52" s="1"/>
  <c r="B9" i="52"/>
  <c r="I9" i="52" s="1"/>
  <c r="AH28" i="32"/>
  <c r="AG28" i="32"/>
  <c r="F73" i="32"/>
  <c r="G73" i="32" s="1"/>
  <c r="Z73" i="32" s="1"/>
  <c r="Z84" i="32" s="1"/>
  <c r="B39" i="32"/>
  <c r="C39" i="32"/>
  <c r="I33" i="17"/>
  <c r="E33" i="17" s="1"/>
  <c r="F36" i="73" s="1"/>
  <c r="I36" i="73" s="1"/>
  <c r="D40" i="73" l="1"/>
  <c r="D47" i="73"/>
  <c r="D64" i="76"/>
  <c r="D62" i="76"/>
  <c r="D63" i="76"/>
  <c r="D37" i="76"/>
  <c r="D38" i="76"/>
  <c r="D41" i="73"/>
  <c r="D46" i="73"/>
  <c r="D20" i="76"/>
  <c r="D19" i="76"/>
  <c r="D35" i="76"/>
  <c r="D36" i="76"/>
  <c r="D33" i="76"/>
  <c r="D34" i="76"/>
  <c r="D61" i="76"/>
  <c r="D60" i="76"/>
  <c r="I64" i="49"/>
  <c r="F2" i="49"/>
  <c r="G12" i="52"/>
  <c r="B14" i="52"/>
  <c r="I10" i="52" s="1"/>
  <c r="G35" i="50"/>
  <c r="D39" i="32"/>
  <c r="G39" i="32" s="1"/>
  <c r="Z39" i="32" s="1"/>
  <c r="D37" i="58"/>
  <c r="G37" i="58" s="1"/>
  <c r="B16" i="52"/>
  <c r="I29" i="52" s="1"/>
  <c r="B15" i="52"/>
  <c r="I20" i="52" s="1"/>
  <c r="L31" i="60"/>
  <c r="O31" i="60"/>
  <c r="D36" i="73"/>
  <c r="D29" i="73"/>
  <c r="G14" i="37"/>
  <c r="G22" i="37"/>
  <c r="K22" i="37"/>
  <c r="K23" i="37" s="1"/>
  <c r="D25" i="37"/>
  <c r="Z83" i="32" l="1"/>
  <c r="Z82" i="32"/>
  <c r="Z87" i="32" s="1"/>
  <c r="C25" i="37"/>
  <c r="B24" i="37"/>
  <c r="B72" i="32" s="1"/>
  <c r="B23" i="37"/>
  <c r="B71" i="32" s="1"/>
  <c r="B22" i="37"/>
  <c r="B70" i="32" s="1"/>
  <c r="B21" i="37"/>
  <c r="B69" i="32" s="1"/>
  <c r="B20" i="37"/>
  <c r="B68" i="32" s="1"/>
  <c r="B19" i="37"/>
  <c r="B67" i="32" s="1"/>
  <c r="B18" i="37"/>
  <c r="B66" i="32" s="1"/>
  <c r="B17" i="37"/>
  <c r="B65" i="32" s="1"/>
  <c r="B16" i="37"/>
  <c r="B64" i="32" s="1"/>
  <c r="B15" i="37"/>
  <c r="B63" i="32" s="1"/>
  <c r="B14" i="37"/>
  <c r="B62" i="32" s="1"/>
  <c r="B13" i="37"/>
  <c r="B61" i="32" s="1"/>
  <c r="B12" i="37"/>
  <c r="B60" i="32" s="1"/>
  <c r="B11" i="37"/>
  <c r="B59" i="32" s="1"/>
  <c r="B10" i="37"/>
  <c r="B58" i="32" s="1"/>
  <c r="B9" i="37"/>
  <c r="N36" i="14" l="1"/>
  <c r="F131" i="58"/>
  <c r="G131" i="58" s="1"/>
  <c r="F61" i="49"/>
  <c r="G61" i="49" s="1"/>
  <c r="F59" i="49"/>
  <c r="G59" i="49" s="1"/>
  <c r="H71" i="73"/>
  <c r="I71" i="73" s="1"/>
  <c r="F58" i="49"/>
  <c r="G58" i="49" s="1"/>
  <c r="F57" i="49"/>
  <c r="G57" i="49" s="1"/>
  <c r="N30" i="14"/>
  <c r="Z85" i="32"/>
  <c r="B57" i="32"/>
  <c r="Z86" i="32"/>
  <c r="H73" i="76"/>
  <c r="F109" i="58"/>
  <c r="F124" i="58"/>
  <c r="F136" i="58"/>
  <c r="F133" i="58"/>
  <c r="F135" i="58"/>
  <c r="H67" i="73"/>
  <c r="I67" i="73" s="1"/>
  <c r="M81" i="49"/>
  <c r="F111" i="58"/>
  <c r="N44" i="14"/>
  <c r="N43" i="14"/>
  <c r="N36" i="75" s="1"/>
  <c r="N41" i="14"/>
  <c r="N37" i="75" s="1"/>
  <c r="N26" i="14"/>
  <c r="H57" i="73"/>
  <c r="H55" i="73"/>
  <c r="M19" i="49" l="1"/>
  <c r="M54" i="49"/>
  <c r="N54" i="49" s="1"/>
  <c r="N9" i="75"/>
  <c r="N39" i="75"/>
  <c r="N13" i="75"/>
  <c r="N13" i="14"/>
  <c r="N22" i="75" s="1"/>
  <c r="N11" i="14"/>
  <c r="N27" i="75" s="1"/>
  <c r="C24" i="37"/>
  <c r="C23" i="37"/>
  <c r="C22" i="37"/>
  <c r="C21" i="37"/>
  <c r="C20" i="37"/>
  <c r="C19" i="37"/>
  <c r="C18" i="37"/>
  <c r="C17" i="37"/>
  <c r="C16" i="37"/>
  <c r="C15" i="37"/>
  <c r="C14" i="37"/>
  <c r="C13" i="37"/>
  <c r="C12" i="37"/>
  <c r="C11" i="37"/>
  <c r="C10" i="37"/>
  <c r="C9"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65" i="73"/>
  <c r="C65" i="73"/>
  <c r="E33" i="73"/>
  <c r="B33" i="73"/>
  <c r="D33" i="73" s="1"/>
  <c r="C33" i="73" l="1"/>
  <c r="L14" i="73"/>
  <c r="E18" i="76"/>
  <c r="B18" i="76"/>
  <c r="D18" i="76" s="1"/>
  <c r="C35" i="58"/>
  <c r="B35" i="58"/>
  <c r="C18" i="76" l="1"/>
  <c r="C37" i="32"/>
  <c r="B37" i="32"/>
  <c r="I31" i="17"/>
  <c r="E31" i="17" s="1"/>
  <c r="E15" i="37"/>
  <c r="F114" i="58" s="1"/>
  <c r="F122" i="58"/>
  <c r="G33" i="50" l="1"/>
  <c r="D35" i="58"/>
  <c r="G35" i="58" s="1"/>
  <c r="F18" i="76"/>
  <c r="I18" i="76" s="1"/>
  <c r="D37" i="32"/>
  <c r="G37" i="32" s="1"/>
  <c r="H60" i="73"/>
  <c r="N16" i="14"/>
  <c r="N23" i="75" s="1"/>
  <c r="N24" i="14"/>
  <c r="N33" i="75" s="1"/>
  <c r="O35" i="14"/>
  <c r="X37" i="32" l="1"/>
  <c r="O28" i="75"/>
  <c r="F11" i="60"/>
  <c r="D78" i="76"/>
  <c r="C78" i="76"/>
  <c r="D77" i="76"/>
  <c r="C77" i="76"/>
  <c r="D76" i="76"/>
  <c r="C76" i="76"/>
  <c r="D75" i="76"/>
  <c r="C75" i="76"/>
  <c r="D74" i="76"/>
  <c r="C74" i="76"/>
  <c r="D73" i="76"/>
  <c r="C73" i="76"/>
  <c r="D72" i="76"/>
  <c r="C72" i="76"/>
  <c r="D71" i="76"/>
  <c r="C71" i="76"/>
  <c r="G70" i="76"/>
  <c r="E70" i="76"/>
  <c r="B70" i="76"/>
  <c r="D70" i="76" s="1"/>
  <c r="G69" i="76"/>
  <c r="E69" i="76"/>
  <c r="B69" i="76"/>
  <c r="D69" i="76" s="1"/>
  <c r="G68" i="76"/>
  <c r="E68" i="76"/>
  <c r="B68" i="76"/>
  <c r="D68" i="76" s="1"/>
  <c r="G67" i="76"/>
  <c r="E67" i="76"/>
  <c r="B67" i="76"/>
  <c r="D67" i="76" s="1"/>
  <c r="G66" i="76"/>
  <c r="E66" i="76"/>
  <c r="B66" i="76"/>
  <c r="C66" i="76" s="1"/>
  <c r="G65" i="76"/>
  <c r="E65" i="76"/>
  <c r="B65" i="76"/>
  <c r="D65" i="76" s="1"/>
  <c r="G59" i="76"/>
  <c r="E59" i="76"/>
  <c r="B59" i="76"/>
  <c r="D59" i="76" s="1"/>
  <c r="G58" i="76"/>
  <c r="E58" i="76"/>
  <c r="B58" i="76"/>
  <c r="D58" i="76" s="1"/>
  <c r="G57" i="76"/>
  <c r="E57" i="76"/>
  <c r="B57" i="76"/>
  <c r="D57" i="76" s="1"/>
  <c r="G56" i="76"/>
  <c r="F56" i="76"/>
  <c r="E56" i="76"/>
  <c r="B56" i="76"/>
  <c r="D56" i="76" s="1"/>
  <c r="G55" i="76"/>
  <c r="E55" i="76"/>
  <c r="B55" i="76"/>
  <c r="D55" i="76" s="1"/>
  <c r="G52" i="76"/>
  <c r="E52" i="76"/>
  <c r="B52" i="76"/>
  <c r="D52" i="76" s="1"/>
  <c r="G51" i="76"/>
  <c r="E51" i="76"/>
  <c r="B51" i="76"/>
  <c r="C51" i="76" s="1"/>
  <c r="F50" i="76"/>
  <c r="E50" i="76"/>
  <c r="B50" i="76"/>
  <c r="D50" i="76" s="1"/>
  <c r="G49" i="76"/>
  <c r="E49" i="76"/>
  <c r="B49" i="76"/>
  <c r="D49" i="76" s="1"/>
  <c r="G48" i="76"/>
  <c r="E48" i="76"/>
  <c r="B48" i="76"/>
  <c r="D48" i="76" s="1"/>
  <c r="F47" i="76"/>
  <c r="E47" i="76"/>
  <c r="B47" i="76"/>
  <c r="D47" i="76" s="1"/>
  <c r="G46" i="76"/>
  <c r="E46" i="76"/>
  <c r="B46" i="76"/>
  <c r="D46" i="76" s="1"/>
  <c r="G45" i="76"/>
  <c r="E45" i="76"/>
  <c r="B45" i="76"/>
  <c r="D45" i="76" s="1"/>
  <c r="G44" i="76"/>
  <c r="E44" i="76"/>
  <c r="B44" i="76"/>
  <c r="D44" i="76" s="1"/>
  <c r="G43" i="76"/>
  <c r="E43" i="76"/>
  <c r="B43" i="76"/>
  <c r="C43" i="76" s="1"/>
  <c r="G42" i="76"/>
  <c r="E42" i="76"/>
  <c r="B42" i="76"/>
  <c r="D42" i="76" s="1"/>
  <c r="G41" i="76"/>
  <c r="E41" i="76"/>
  <c r="B41" i="76"/>
  <c r="D41" i="76" s="1"/>
  <c r="G40" i="76"/>
  <c r="E40" i="76"/>
  <c r="B40" i="76"/>
  <c r="D40" i="76" s="1"/>
  <c r="G39" i="76"/>
  <c r="E39" i="76"/>
  <c r="B39" i="76"/>
  <c r="D39" i="76" s="1"/>
  <c r="F32" i="76"/>
  <c r="E32" i="76"/>
  <c r="B32" i="76"/>
  <c r="D32" i="76" s="1"/>
  <c r="G31" i="76"/>
  <c r="E31" i="76"/>
  <c r="B31" i="76"/>
  <c r="D31" i="76" s="1"/>
  <c r="F30" i="76"/>
  <c r="E30" i="76"/>
  <c r="B30" i="76"/>
  <c r="D30" i="76" s="1"/>
  <c r="G29" i="76"/>
  <c r="E29" i="76"/>
  <c r="B29" i="76"/>
  <c r="C29" i="76" s="1"/>
  <c r="G28" i="76"/>
  <c r="E28" i="76"/>
  <c r="B28" i="76"/>
  <c r="D28" i="76" s="1"/>
  <c r="G27" i="76"/>
  <c r="E27" i="76"/>
  <c r="B27" i="76"/>
  <c r="D27" i="76" s="1"/>
  <c r="F26" i="76"/>
  <c r="E26" i="76"/>
  <c r="B26" i="76"/>
  <c r="D26" i="76" s="1"/>
  <c r="G25" i="76"/>
  <c r="E25" i="76"/>
  <c r="B25" i="76"/>
  <c r="D25" i="76" s="1"/>
  <c r="G24" i="76"/>
  <c r="E24" i="76"/>
  <c r="B24" i="76"/>
  <c r="D24" i="76" s="1"/>
  <c r="F23" i="76"/>
  <c r="E23" i="76"/>
  <c r="B23" i="76"/>
  <c r="D23" i="76" s="1"/>
  <c r="G22" i="76"/>
  <c r="E22" i="76"/>
  <c r="B22" i="76"/>
  <c r="D22" i="76" s="1"/>
  <c r="G21" i="76"/>
  <c r="E21" i="76"/>
  <c r="B21" i="76"/>
  <c r="C21" i="76" s="1"/>
  <c r="E17" i="76"/>
  <c r="B17" i="76"/>
  <c r="D17" i="76" s="1"/>
  <c r="E15" i="76"/>
  <c r="B15" i="76"/>
  <c r="D15" i="76" s="1"/>
  <c r="E14" i="76"/>
  <c r="B14" i="76"/>
  <c r="C14" i="76" s="1"/>
  <c r="E13" i="76"/>
  <c r="B13" i="76"/>
  <c r="E4" i="76"/>
  <c r="E73" i="76" s="1"/>
  <c r="D73" i="73"/>
  <c r="D72" i="73"/>
  <c r="D66" i="73"/>
  <c r="D64" i="73"/>
  <c r="D63" i="73"/>
  <c r="D62" i="73"/>
  <c r="D60" i="73"/>
  <c r="D59" i="73"/>
  <c r="D58" i="73"/>
  <c r="D57" i="73"/>
  <c r="D56" i="73"/>
  <c r="D55" i="73"/>
  <c r="D54" i="73"/>
  <c r="C73" i="73"/>
  <c r="C72" i="73"/>
  <c r="C66" i="73"/>
  <c r="C64" i="73"/>
  <c r="C63" i="73"/>
  <c r="C62" i="73"/>
  <c r="C60" i="73"/>
  <c r="C59" i="73"/>
  <c r="C58" i="73"/>
  <c r="C57" i="73"/>
  <c r="C56" i="73"/>
  <c r="C55" i="73"/>
  <c r="C54" i="73"/>
  <c r="E2" i="75"/>
  <c r="D13" i="76" l="1"/>
  <c r="H2" i="76"/>
  <c r="O37" i="14"/>
  <c r="O17" i="75" s="1"/>
  <c r="N17" i="75"/>
  <c r="I56" i="76"/>
  <c r="C42" i="76"/>
  <c r="D29" i="76"/>
  <c r="C57" i="76"/>
  <c r="C28" i="76"/>
  <c r="D21" i="76"/>
  <c r="D66" i="76"/>
  <c r="C70" i="76"/>
  <c r="C39" i="76"/>
  <c r="D51" i="76"/>
  <c r="C65" i="76"/>
  <c r="C25" i="76"/>
  <c r="D43" i="76"/>
  <c r="C50" i="76"/>
  <c r="C47" i="76"/>
  <c r="D14" i="76"/>
  <c r="C17" i="76"/>
  <c r="C15" i="76"/>
  <c r="C27" i="76"/>
  <c r="C41" i="76"/>
  <c r="C49" i="76"/>
  <c r="C59" i="76"/>
  <c r="E77" i="76"/>
  <c r="C13" i="76"/>
  <c r="C26" i="76"/>
  <c r="C40" i="76"/>
  <c r="C48" i="76"/>
  <c r="C58" i="76"/>
  <c r="E74" i="76"/>
  <c r="C24" i="76"/>
  <c r="C32" i="76"/>
  <c r="C46" i="76"/>
  <c r="C56" i="76"/>
  <c r="C69" i="76"/>
  <c r="E72" i="76"/>
  <c r="E76" i="76"/>
  <c r="C23" i="76"/>
  <c r="C31" i="76"/>
  <c r="C45" i="76"/>
  <c r="C55" i="76"/>
  <c r="C68" i="76"/>
  <c r="C22" i="76"/>
  <c r="C30" i="76"/>
  <c r="C44" i="76"/>
  <c r="C52" i="76"/>
  <c r="C67" i="76"/>
  <c r="E78" i="76"/>
  <c r="E71" i="76"/>
  <c r="E75" i="76"/>
  <c r="E51" i="73" l="1"/>
  <c r="B51" i="73"/>
  <c r="F50" i="73"/>
  <c r="I50" i="73" s="1"/>
  <c r="E50" i="73"/>
  <c r="B50" i="73"/>
  <c r="F49" i="73"/>
  <c r="I49" i="73" s="1"/>
  <c r="E49" i="73"/>
  <c r="B49"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70" i="73" l="1"/>
  <c r="E71" i="73"/>
  <c r="E68" i="73"/>
  <c r="E69" i="73"/>
  <c r="E65" i="73"/>
  <c r="E67" i="73"/>
  <c r="E61" i="73"/>
  <c r="C18" i="73"/>
  <c r="D18" i="73"/>
  <c r="C26" i="73"/>
  <c r="D26" i="73"/>
  <c r="C51" i="73"/>
  <c r="D51" i="73"/>
  <c r="C13" i="73"/>
  <c r="D13" i="73"/>
  <c r="C21" i="73"/>
  <c r="D21" i="73"/>
  <c r="C35" i="73"/>
  <c r="D35" i="73"/>
  <c r="C16" i="73"/>
  <c r="D16" i="73"/>
  <c r="C24" i="73"/>
  <c r="D24" i="73"/>
  <c r="C32" i="73"/>
  <c r="D32" i="73"/>
  <c r="C49" i="73"/>
  <c r="D49" i="73"/>
  <c r="C19" i="73"/>
  <c r="D19" i="73"/>
  <c r="C27" i="73"/>
  <c r="D27" i="73"/>
  <c r="C15" i="73"/>
  <c r="D15" i="73"/>
  <c r="C14" i="73"/>
  <c r="D14" i="73"/>
  <c r="C22" i="73"/>
  <c r="D22" i="73"/>
  <c r="C30" i="73"/>
  <c r="D30" i="73"/>
  <c r="C23" i="73"/>
  <c r="D23" i="73"/>
  <c r="C31" i="73"/>
  <c r="D31" i="73"/>
  <c r="C17" i="73"/>
  <c r="D17" i="73"/>
  <c r="C25" i="73"/>
  <c r="D25" i="73"/>
  <c r="C50" i="73"/>
  <c r="D50" i="73"/>
  <c r="C12" i="73"/>
  <c r="D12" i="73"/>
  <c r="C20" i="73"/>
  <c r="D20" i="73"/>
  <c r="C28" i="73"/>
  <c r="D28" i="73"/>
  <c r="C34" i="73"/>
  <c r="D34" i="73"/>
  <c r="M9" i="73"/>
  <c r="E63" i="73"/>
  <c r="E54" i="73"/>
  <c r="E62" i="73"/>
  <c r="E72" i="73"/>
  <c r="E57" i="73"/>
  <c r="E55" i="73"/>
  <c r="E73" i="73"/>
  <c r="E60" i="73"/>
  <c r="E58" i="73"/>
  <c r="E66" i="73"/>
  <c r="E56" i="73"/>
  <c r="E64" i="73"/>
  <c r="E59" i="73"/>
  <c r="F100" i="50" l="1"/>
  <c r="F34" i="50"/>
  <c r="E107" i="58"/>
  <c r="C107" i="58"/>
  <c r="B107" i="58"/>
  <c r="C36" i="58"/>
  <c r="B36" i="58"/>
  <c r="Q42" i="14"/>
  <c r="Q38" i="75" s="1"/>
  <c r="AH27" i="32" l="1"/>
  <c r="AG27" i="32"/>
  <c r="AG26" i="32"/>
  <c r="AG25" i="32"/>
  <c r="AG24" i="32"/>
  <c r="AG23" i="32"/>
  <c r="AG22" i="32"/>
  <c r="AG21" i="32"/>
  <c r="AG20" i="32"/>
  <c r="AG19" i="32"/>
  <c r="AG18" i="32"/>
  <c r="AG17" i="32"/>
  <c r="AG16" i="32"/>
  <c r="AG15" i="32"/>
  <c r="AG14" i="32"/>
  <c r="AG13" i="32"/>
  <c r="AG12" i="32"/>
  <c r="I32" i="17"/>
  <c r="E32" i="17" s="1"/>
  <c r="E24" i="37" s="1"/>
  <c r="B38" i="32"/>
  <c r="C38" i="32"/>
  <c r="D24" i="37"/>
  <c r="D51" i="40"/>
  <c r="D56" i="49" s="1"/>
  <c r="G56" i="49" s="1"/>
  <c r="H66" i="73" l="1"/>
  <c r="I66" i="73" s="1"/>
  <c r="F123" i="58"/>
  <c r="G123" i="58" s="1"/>
  <c r="N25" i="14"/>
  <c r="N14" i="75" s="1"/>
  <c r="F72" i="32"/>
  <c r="G72" i="32" s="1"/>
  <c r="G100" i="50"/>
  <c r="F70" i="76"/>
  <c r="I70" i="76" s="1"/>
  <c r="D107" i="58"/>
  <c r="G107" i="58" s="1"/>
  <c r="G34" i="50"/>
  <c r="F35" i="73"/>
  <c r="I35" i="73" s="1"/>
  <c r="D36" i="58"/>
  <c r="G36" i="58" s="1"/>
  <c r="D38" i="32"/>
  <c r="G38" i="32" s="1"/>
  <c r="Y72" i="32" l="1"/>
  <c r="Y84" i="32" s="1"/>
  <c r="K92" i="49"/>
  <c r="N92" i="49" s="1"/>
  <c r="M93" i="49"/>
  <c r="F137" i="58"/>
  <c r="N45" i="14"/>
  <c r="Y38" i="32"/>
  <c r="I21" i="14"/>
  <c r="Y82" i="32" l="1"/>
  <c r="Y83" i="32"/>
  <c r="N40" i="75"/>
  <c r="E14" i="37"/>
  <c r="Y85" i="32" l="1"/>
  <c r="Y87" i="32"/>
  <c r="Y86" i="32"/>
  <c r="F113" i="58"/>
  <c r="H59" i="73"/>
  <c r="N15" i="14"/>
  <c r="N25" i="75" s="1"/>
  <c r="D2" i="14"/>
  <c r="C2" i="37" l="1"/>
  <c r="K6" i="37" s="1"/>
  <c r="D2" i="80"/>
  <c r="D3" i="44"/>
  <c r="K18" i="63"/>
  <c r="AH13" i="32"/>
  <c r="AH14" i="32"/>
  <c r="AH15" i="32"/>
  <c r="AH16" i="32"/>
  <c r="AH17" i="32"/>
  <c r="AH18" i="32"/>
  <c r="AH19" i="32"/>
  <c r="AH20" i="32"/>
  <c r="AH22" i="32"/>
  <c r="AH23" i="32"/>
  <c r="AH24" i="32"/>
  <c r="AH12" i="32"/>
  <c r="E106" i="58"/>
  <c r="C106" i="58"/>
  <c r="B106" i="58"/>
  <c r="E105" i="58"/>
  <c r="C105" i="58"/>
  <c r="B105" i="58"/>
  <c r="E104" i="58"/>
  <c r="C104" i="58"/>
  <c r="B104" i="58"/>
  <c r="E103" i="58"/>
  <c r="C103" i="58"/>
  <c r="B103" i="58"/>
  <c r="E102" i="58"/>
  <c r="C102" i="58"/>
  <c r="B102" i="58"/>
  <c r="E96" i="58"/>
  <c r="C96" i="58"/>
  <c r="B96" i="58"/>
  <c r="E95" i="58"/>
  <c r="C95" i="58"/>
  <c r="B95" i="58"/>
  <c r="E94" i="58"/>
  <c r="C94" i="58"/>
  <c r="B94" i="58"/>
  <c r="E93" i="58"/>
  <c r="D93" i="58"/>
  <c r="C93" i="58"/>
  <c r="B93" i="58"/>
  <c r="E92" i="58"/>
  <c r="C92" i="58"/>
  <c r="B92" i="58"/>
  <c r="E90" i="58"/>
  <c r="C90" i="58"/>
  <c r="B90" i="58"/>
  <c r="E89" i="58"/>
  <c r="C89" i="58"/>
  <c r="B89" i="58"/>
  <c r="D88" i="58"/>
  <c r="C88" i="58"/>
  <c r="B88" i="58"/>
  <c r="E87" i="58"/>
  <c r="C87" i="58"/>
  <c r="B87" i="58"/>
  <c r="E86" i="58"/>
  <c r="C86" i="58"/>
  <c r="B86" i="58"/>
  <c r="D85" i="58"/>
  <c r="C85" i="58"/>
  <c r="B85" i="58"/>
  <c r="E84" i="58"/>
  <c r="C84" i="58"/>
  <c r="B84" i="58"/>
  <c r="E83" i="58"/>
  <c r="C83" i="58"/>
  <c r="B83" i="58"/>
  <c r="E82" i="58"/>
  <c r="C82" i="58"/>
  <c r="B82" i="58"/>
  <c r="E81" i="58"/>
  <c r="C81" i="58"/>
  <c r="B81" i="58"/>
  <c r="E80" i="58"/>
  <c r="C80" i="58"/>
  <c r="B80" i="58"/>
  <c r="E79" i="58"/>
  <c r="C79" i="58"/>
  <c r="B79" i="58"/>
  <c r="E78" i="58"/>
  <c r="C78" i="58"/>
  <c r="B78" i="58"/>
  <c r="E77" i="58"/>
  <c r="C77" i="58"/>
  <c r="B77" i="58"/>
  <c r="D70" i="58"/>
  <c r="C70" i="58"/>
  <c r="B70" i="58"/>
  <c r="E69" i="58"/>
  <c r="C69" i="58"/>
  <c r="B69" i="58"/>
  <c r="D68" i="58"/>
  <c r="C68" i="58"/>
  <c r="B68" i="58"/>
  <c r="E67" i="58"/>
  <c r="C67" i="58"/>
  <c r="B67" i="58"/>
  <c r="E66" i="58"/>
  <c r="C66" i="58"/>
  <c r="B66" i="58"/>
  <c r="E65" i="58"/>
  <c r="C65" i="58"/>
  <c r="B65" i="58"/>
  <c r="D64" i="58"/>
  <c r="C64" i="58"/>
  <c r="B64" i="58"/>
  <c r="E63" i="58"/>
  <c r="C63" i="58"/>
  <c r="B63" i="58"/>
  <c r="E62" i="58"/>
  <c r="C62" i="58"/>
  <c r="B62" i="58"/>
  <c r="D61" i="58"/>
  <c r="C61" i="58"/>
  <c r="B61" i="58"/>
  <c r="E60" i="58"/>
  <c r="C60" i="58"/>
  <c r="B60" i="58"/>
  <c r="E59" i="58"/>
  <c r="C59" i="58"/>
  <c r="B59" i="58"/>
  <c r="C56" i="58"/>
  <c r="B56" i="58"/>
  <c r="D55" i="58"/>
  <c r="C55" i="58"/>
  <c r="B55" i="58"/>
  <c r="D54" i="58"/>
  <c r="C54" i="58"/>
  <c r="B54"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E7" i="37" l="1"/>
  <c r="G7" i="37"/>
  <c r="I2" i="58"/>
  <c r="N5" i="63"/>
  <c r="J28" i="63" l="1"/>
  <c r="K28" i="63"/>
  <c r="I28" i="63"/>
  <c r="H28" i="63"/>
  <c r="G28" i="63"/>
  <c r="F10" i="44" l="1"/>
  <c r="I11" i="14" l="1"/>
  <c r="G93" i="58" l="1"/>
  <c r="G55" i="58"/>
  <c r="G54" i="58"/>
  <c r="G32" i="58"/>
  <c r="C4" i="58"/>
  <c r="C131" i="58" s="1"/>
  <c r="D14" i="51"/>
  <c r="D11" i="51"/>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71" i="32"/>
  <c r="G71" i="32" s="1"/>
  <c r="F63" i="32"/>
  <c r="G63" i="32" s="1"/>
  <c r="F60" i="32"/>
  <c r="G60" i="32" s="1"/>
  <c r="F58" i="32"/>
  <c r="G58" i="32" s="1"/>
  <c r="H34" i="32"/>
  <c r="G10" i="52"/>
  <c r="G9" i="52"/>
  <c r="S12" i="52"/>
  <c r="G11" i="51" s="1"/>
  <c r="T10" i="52"/>
  <c r="T9" i="52"/>
  <c r="R10" i="52"/>
  <c r="Q10" i="52" s="1"/>
  <c r="R9" i="52"/>
  <c r="Q9" i="52" s="1"/>
  <c r="J34" i="52"/>
  <c r="J33" i="52"/>
  <c r="J32" i="52"/>
  <c r="N29" i="52"/>
  <c r="N28" i="52"/>
  <c r="N20" i="52"/>
  <c r="N19" i="52"/>
  <c r="N9" i="52"/>
  <c r="J25" i="52"/>
  <c r="J24" i="52"/>
  <c r="J23" i="52"/>
  <c r="J15" i="52"/>
  <c r="E55" i="17"/>
  <c r="M34" i="49"/>
  <c r="M96" i="49"/>
  <c r="M22" i="49"/>
  <c r="N19" i="49"/>
  <c r="N10" i="49"/>
  <c r="G42" i="49"/>
  <c r="G40" i="40"/>
  <c r="D40" i="40" s="1"/>
  <c r="D45" i="49" s="1"/>
  <c r="G39" i="40"/>
  <c r="D39" i="40" s="1"/>
  <c r="D44" i="49" s="1"/>
  <c r="G38" i="40"/>
  <c r="D38" i="40" s="1"/>
  <c r="L26" i="50" l="1"/>
  <c r="R26" i="50"/>
  <c r="Q26" i="50"/>
  <c r="K26" i="50"/>
  <c r="S26" i="50"/>
  <c r="M26" i="50"/>
  <c r="C126" i="58"/>
  <c r="C127" i="58"/>
  <c r="S25" i="50"/>
  <c r="M25" i="50"/>
  <c r="R25" i="50"/>
  <c r="L25" i="50"/>
  <c r="Q25" i="50"/>
  <c r="K25" i="50"/>
  <c r="G45" i="49"/>
  <c r="K13" i="49"/>
  <c r="N13" i="49" s="1"/>
  <c r="K12" i="49"/>
  <c r="N12" i="49" s="1"/>
  <c r="G44" i="49"/>
  <c r="C128" i="58"/>
  <c r="C125" i="58"/>
  <c r="M24" i="50"/>
  <c r="S24" i="50"/>
  <c r="R24" i="50"/>
  <c r="L24" i="50"/>
  <c r="Q24" i="50"/>
  <c r="K24" i="50"/>
  <c r="K23" i="50"/>
  <c r="Q23" i="50"/>
  <c r="R23" i="50"/>
  <c r="L23" i="50"/>
  <c r="S23" i="50"/>
  <c r="M23" i="50"/>
  <c r="G92" i="50"/>
  <c r="M21" i="50" s="1"/>
  <c r="F59" i="76"/>
  <c r="I59" i="76" s="1"/>
  <c r="D43" i="49"/>
  <c r="K11" i="49" s="1"/>
  <c r="N11" i="49" s="1"/>
  <c r="G90" i="50"/>
  <c r="F57" i="76"/>
  <c r="I57" i="76" s="1"/>
  <c r="G91" i="50"/>
  <c r="F58" i="76"/>
  <c r="I58" i="76" s="1"/>
  <c r="D11" i="52"/>
  <c r="G53" i="50"/>
  <c r="L17" i="50" s="1"/>
  <c r="F51" i="73"/>
  <c r="D56" i="58"/>
  <c r="G56" i="58" s="1"/>
  <c r="L13" i="50"/>
  <c r="R22" i="50"/>
  <c r="L22" i="50"/>
  <c r="S22" i="50"/>
  <c r="M22" i="50"/>
  <c r="Q22" i="50"/>
  <c r="K22" i="50"/>
  <c r="M10" i="50"/>
  <c r="M8" i="50"/>
  <c r="M7" i="50"/>
  <c r="Q14" i="50"/>
  <c r="C124" i="58"/>
  <c r="C123" i="58"/>
  <c r="D96" i="58"/>
  <c r="G96" i="58" s="1"/>
  <c r="D94" i="58"/>
  <c r="G94" i="58" s="1"/>
  <c r="D95" i="58"/>
  <c r="G95" i="58" s="1"/>
  <c r="S13" i="50"/>
  <c r="Q15" i="50"/>
  <c r="R14" i="50"/>
  <c r="L21" i="50"/>
  <c r="R21" i="50"/>
  <c r="R13" i="50"/>
  <c r="C115" i="58"/>
  <c r="C136" i="58"/>
  <c r="C108" i="58"/>
  <c r="C122" i="58"/>
  <c r="C114" i="58"/>
  <c r="C135" i="58"/>
  <c r="C121" i="58"/>
  <c r="C113" i="58"/>
  <c r="C134" i="58"/>
  <c r="C120" i="58"/>
  <c r="C112" i="58"/>
  <c r="C133" i="58"/>
  <c r="C119" i="58"/>
  <c r="C111" i="58"/>
  <c r="C118" i="58"/>
  <c r="C110" i="58"/>
  <c r="C130" i="58"/>
  <c r="C117" i="58"/>
  <c r="C109" i="58"/>
  <c r="C129" i="58"/>
  <c r="C116" i="58"/>
  <c r="C137" i="58"/>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D17" i="51"/>
  <c r="Y9" i="52"/>
  <c r="Y10" i="52"/>
  <c r="T12" i="52"/>
  <c r="Q27" i="50" l="1"/>
  <c r="L27" i="50"/>
  <c r="R27" i="50"/>
  <c r="G43" i="49"/>
  <c r="I51" i="73"/>
  <c r="R11" i="52"/>
  <c r="G11" i="52"/>
  <c r="H11" i="51"/>
  <c r="Q11" i="52" l="1"/>
  <c r="Q12" i="52" s="1"/>
  <c r="Y11" i="52"/>
  <c r="R12" i="52"/>
  <c r="Q18" i="52"/>
  <c r="N81" i="49"/>
  <c r="Y12" i="52" l="1"/>
  <c r="F11" i="51"/>
  <c r="E11" i="51"/>
  <c r="J42" i="14"/>
  <c r="D36" i="40"/>
  <c r="I53" i="77" s="1"/>
  <c r="I52" i="77" s="1"/>
  <c r="J34" i="75"/>
  <c r="J15" i="75"/>
  <c r="J20" i="75"/>
  <c r="J18" i="75"/>
  <c r="J23" i="75"/>
  <c r="J22" i="75"/>
  <c r="J27" i="75"/>
  <c r="E15" i="44"/>
  <c r="K38" i="75" l="1"/>
  <c r="Q10" i="49"/>
  <c r="I19" i="14"/>
  <c r="J21" i="75" s="1"/>
  <c r="J33" i="75"/>
  <c r="D41" i="49"/>
  <c r="G88" i="50"/>
  <c r="F55" i="76"/>
  <c r="I55" i="76" s="1"/>
  <c r="M11" i="51"/>
  <c r="D92" i="58"/>
  <c r="G92" i="58" s="1"/>
  <c r="K9" i="49" l="1"/>
  <c r="G41" i="49"/>
  <c r="J24" i="49" l="1"/>
  <c r="J23" i="49"/>
  <c r="J22" i="49"/>
  <c r="N9" i="49"/>
  <c r="F19" i="44" l="1"/>
  <c r="I20" i="14" l="1"/>
  <c r="J19" i="75" s="1"/>
  <c r="F22" i="44"/>
  <c r="I23" i="14" l="1"/>
  <c r="J35" i="75" s="1"/>
  <c r="F13" i="44"/>
  <c r="I14" i="14" l="1"/>
  <c r="J24" i="75" s="1"/>
  <c r="F11" i="44"/>
  <c r="F14" i="44"/>
  <c r="F9" i="44"/>
  <c r="I10" i="14" l="1"/>
  <c r="J29" i="75" s="1"/>
  <c r="I15" i="14"/>
  <c r="J25" i="75" s="1"/>
  <c r="I12" i="14"/>
  <c r="J26" i="75" s="1"/>
  <c r="K36" i="14"/>
  <c r="O36" i="14" l="1"/>
  <c r="L16" i="75"/>
  <c r="E11" i="37"/>
  <c r="F110" i="58" s="1"/>
  <c r="O16" i="75" l="1"/>
  <c r="N16" i="75"/>
  <c r="H56" i="73"/>
  <c r="N12" i="14"/>
  <c r="N26" i="75" s="1"/>
  <c r="F59" i="32"/>
  <c r="G59" i="32" s="1"/>
  <c r="D31" i="40"/>
  <c r="D9" i="40"/>
  <c r="D50" i="40"/>
  <c r="D55" i="49" s="1"/>
  <c r="G55" i="49" s="1"/>
  <c r="D49" i="40"/>
  <c r="D54" i="49" s="1"/>
  <c r="G54" i="49" s="1"/>
  <c r="D48" i="40"/>
  <c r="D53" i="49" s="1"/>
  <c r="G53" i="49" s="1"/>
  <c r="D47" i="40"/>
  <c r="D52" i="49" s="1"/>
  <c r="G52" i="49" s="1"/>
  <c r="D34" i="40"/>
  <c r="D33" i="40"/>
  <c r="E32" i="40"/>
  <c r="D30" i="40"/>
  <c r="E29" i="40"/>
  <c r="D28" i="40"/>
  <c r="D27" i="40"/>
  <c r="D26" i="40"/>
  <c r="D25" i="40"/>
  <c r="D24" i="40"/>
  <c r="D23" i="40"/>
  <c r="D22" i="40"/>
  <c r="D21" i="40"/>
  <c r="E14" i="40"/>
  <c r="D13" i="40"/>
  <c r="E12" i="40"/>
  <c r="D11" i="40"/>
  <c r="D10" i="40"/>
  <c r="E8" i="40"/>
  <c r="D7" i="40"/>
  <c r="D6" i="40"/>
  <c r="E5" i="40"/>
  <c r="D4" i="40"/>
  <c r="D3" i="40"/>
  <c r="M44" i="14" l="1"/>
  <c r="M39" i="75" s="1"/>
  <c r="M43" i="14"/>
  <c r="M36" i="75" s="1"/>
  <c r="H58" i="50"/>
  <c r="E10" i="49"/>
  <c r="G23" i="76"/>
  <c r="D14" i="49"/>
  <c r="G62" i="50"/>
  <c r="F27" i="76"/>
  <c r="I27" i="76" s="1"/>
  <c r="D26" i="49"/>
  <c r="G74" i="50"/>
  <c r="M9" i="50" s="1"/>
  <c r="F39" i="76"/>
  <c r="I39" i="76" s="1"/>
  <c r="H82" i="50"/>
  <c r="S14" i="50" s="1"/>
  <c r="E34" i="49"/>
  <c r="G47" i="76"/>
  <c r="I47" i="76" s="1"/>
  <c r="D12" i="49"/>
  <c r="G60" i="50"/>
  <c r="F25" i="76"/>
  <c r="I25" i="76" s="1"/>
  <c r="D27" i="49"/>
  <c r="G75" i="50"/>
  <c r="F40" i="76"/>
  <c r="I40" i="76" s="1"/>
  <c r="H61" i="50"/>
  <c r="E13" i="49"/>
  <c r="G26" i="76"/>
  <c r="I26" i="76" s="1"/>
  <c r="D28" i="49"/>
  <c r="G76" i="50"/>
  <c r="M11" i="50" s="1"/>
  <c r="F41" i="76"/>
  <c r="I41" i="76" s="1"/>
  <c r="E37" i="49"/>
  <c r="H85" i="50"/>
  <c r="S17" i="50" s="1"/>
  <c r="G50" i="76"/>
  <c r="I50" i="76" s="1"/>
  <c r="D36" i="49"/>
  <c r="G84" i="50"/>
  <c r="M17" i="50" s="1"/>
  <c r="F49" i="76"/>
  <c r="I49" i="76" s="1"/>
  <c r="D11" i="49"/>
  <c r="G59" i="50"/>
  <c r="F24" i="76"/>
  <c r="I24" i="76" s="1"/>
  <c r="G99" i="50"/>
  <c r="F69" i="76"/>
  <c r="I69" i="76" s="1"/>
  <c r="D35" i="49"/>
  <c r="G83" i="50"/>
  <c r="M16" i="50" s="1"/>
  <c r="F48" i="76"/>
  <c r="I48" i="76" s="1"/>
  <c r="D15" i="49"/>
  <c r="G63" i="50"/>
  <c r="F28" i="76"/>
  <c r="I28" i="76" s="1"/>
  <c r="D29" i="49"/>
  <c r="G77" i="50"/>
  <c r="F42" i="76"/>
  <c r="I42" i="76" s="1"/>
  <c r="D38" i="49"/>
  <c r="G86" i="50"/>
  <c r="F51" i="76"/>
  <c r="I51" i="76" s="1"/>
  <c r="D16" i="49"/>
  <c r="G64" i="50"/>
  <c r="F29" i="76"/>
  <c r="I29" i="76" s="1"/>
  <c r="D39" i="49"/>
  <c r="G87" i="50"/>
  <c r="F52" i="76"/>
  <c r="I52" i="76" s="1"/>
  <c r="D8" i="49"/>
  <c r="G56" i="50"/>
  <c r="F21" i="76"/>
  <c r="I21" i="76" s="1"/>
  <c r="D31" i="49"/>
  <c r="G79" i="50"/>
  <c r="F44" i="76"/>
  <c r="I44" i="76" s="1"/>
  <c r="G96" i="50"/>
  <c r="F66" i="76"/>
  <c r="I66" i="76" s="1"/>
  <c r="D30" i="49"/>
  <c r="G78" i="50"/>
  <c r="F43" i="76"/>
  <c r="I43" i="76" s="1"/>
  <c r="E17" i="49"/>
  <c r="H65" i="50"/>
  <c r="S18" i="50" s="1"/>
  <c r="G30" i="76"/>
  <c r="I30" i="76" s="1"/>
  <c r="D9" i="49"/>
  <c r="G57" i="50"/>
  <c r="F22" i="76"/>
  <c r="I22" i="76" s="1"/>
  <c r="D18" i="49"/>
  <c r="G66" i="50"/>
  <c r="F31" i="76"/>
  <c r="I31" i="76" s="1"/>
  <c r="D32" i="49"/>
  <c r="G80" i="50"/>
  <c r="F45" i="76"/>
  <c r="I45" i="76" s="1"/>
  <c r="G97" i="50"/>
  <c r="M19" i="50" s="1"/>
  <c r="F67" i="76"/>
  <c r="I67" i="76" s="1"/>
  <c r="E19" i="49"/>
  <c r="H67" i="50"/>
  <c r="S20" i="50" s="1"/>
  <c r="G32" i="76"/>
  <c r="I32" i="76" s="1"/>
  <c r="D33" i="49"/>
  <c r="G81" i="50"/>
  <c r="F46" i="76"/>
  <c r="I46" i="76" s="1"/>
  <c r="G98" i="50"/>
  <c r="F68" i="76"/>
  <c r="I68" i="76" s="1"/>
  <c r="D63" i="58"/>
  <c r="G63" i="58" s="1"/>
  <c r="D80" i="58"/>
  <c r="G80" i="58" s="1"/>
  <c r="D90" i="58"/>
  <c r="G90" i="58" s="1"/>
  <c r="D86" i="58"/>
  <c r="G86" i="58" s="1"/>
  <c r="D87" i="58"/>
  <c r="G87" i="58" s="1"/>
  <c r="D81" i="58"/>
  <c r="G81" i="58" s="1"/>
  <c r="E68" i="58"/>
  <c r="G68" i="58" s="1"/>
  <c r="D82" i="58"/>
  <c r="G82" i="58" s="1"/>
  <c r="D103" i="58"/>
  <c r="G103" i="58" s="1"/>
  <c r="D79" i="58"/>
  <c r="G79" i="58" s="1"/>
  <c r="D66" i="58"/>
  <c r="G66" i="58" s="1"/>
  <c r="D60" i="58"/>
  <c r="G60" i="58" s="1"/>
  <c r="D104" i="58"/>
  <c r="G104" i="58" s="1"/>
  <c r="D78" i="58"/>
  <c r="G78" i="58" s="1"/>
  <c r="E64" i="58"/>
  <c r="G64" i="58" s="1"/>
  <c r="D89" i="58"/>
  <c r="G89" i="58" s="1"/>
  <c r="D59" i="58"/>
  <c r="D83" i="58"/>
  <c r="G83" i="58" s="1"/>
  <c r="E61" i="58"/>
  <c r="E70" i="58"/>
  <c r="G70" i="58" s="1"/>
  <c r="D84" i="58"/>
  <c r="G84" i="58" s="1"/>
  <c r="D105" i="58"/>
  <c r="G105" i="58" s="1"/>
  <c r="D65" i="58"/>
  <c r="G65" i="58" s="1"/>
  <c r="E88" i="58"/>
  <c r="G88" i="58" s="1"/>
  <c r="D67" i="58"/>
  <c r="G67" i="58" s="1"/>
  <c r="D69" i="58"/>
  <c r="G69" i="58" s="1"/>
  <c r="D62" i="58"/>
  <c r="G62" i="58" s="1"/>
  <c r="D77" i="58"/>
  <c r="G77" i="58" s="1"/>
  <c r="E85" i="58"/>
  <c r="G85" i="58" s="1"/>
  <c r="D106" i="58"/>
  <c r="G106" i="58" s="1"/>
  <c r="M34" i="32"/>
  <c r="X71" i="32"/>
  <c r="X84" i="32" s="1"/>
  <c r="P63" i="32"/>
  <c r="P84" i="32" s="1"/>
  <c r="L59" i="32"/>
  <c r="L84" i="32" s="1"/>
  <c r="K58" i="32"/>
  <c r="K84" i="32" s="1"/>
  <c r="M20" i="50" l="1"/>
  <c r="M12" i="50"/>
  <c r="S15" i="50"/>
  <c r="S27" i="50" s="1"/>
  <c r="M14" i="50"/>
  <c r="L74" i="49"/>
  <c r="N74" i="49" s="1"/>
  <c r="G19" i="49"/>
  <c r="M15" i="50"/>
  <c r="K63" i="49"/>
  <c r="G8" i="49"/>
  <c r="K66" i="49"/>
  <c r="N66" i="49" s="1"/>
  <c r="G11" i="49"/>
  <c r="K39" i="49"/>
  <c r="G26" i="49"/>
  <c r="K89" i="49"/>
  <c r="N89" i="49" s="1"/>
  <c r="K64" i="49"/>
  <c r="N64" i="49" s="1"/>
  <c r="G9" i="49"/>
  <c r="K51" i="49"/>
  <c r="N51" i="49" s="1"/>
  <c r="G38" i="49"/>
  <c r="K41" i="49"/>
  <c r="N41" i="49" s="1"/>
  <c r="G28" i="49"/>
  <c r="K70" i="49"/>
  <c r="N70" i="49" s="1"/>
  <c r="G15" i="49"/>
  <c r="K88" i="49"/>
  <c r="K48" i="49"/>
  <c r="N48" i="49" s="1"/>
  <c r="G35" i="49"/>
  <c r="K67" i="49"/>
  <c r="N67" i="49" s="1"/>
  <c r="G12" i="49"/>
  <c r="M18" i="50"/>
  <c r="K46" i="49"/>
  <c r="N46" i="49" s="1"/>
  <c r="G33" i="49"/>
  <c r="K45" i="49"/>
  <c r="N45" i="49" s="1"/>
  <c r="G32" i="49"/>
  <c r="K52" i="49"/>
  <c r="N52" i="49" s="1"/>
  <c r="G39" i="49"/>
  <c r="K49" i="49"/>
  <c r="N49" i="49" s="1"/>
  <c r="G36" i="49"/>
  <c r="L68" i="49"/>
  <c r="N68" i="49" s="1"/>
  <c r="G13" i="49"/>
  <c r="K69" i="49"/>
  <c r="N69" i="49" s="1"/>
  <c r="G14" i="49"/>
  <c r="K90" i="49"/>
  <c r="N90" i="49" s="1"/>
  <c r="K43" i="49"/>
  <c r="N43" i="49" s="1"/>
  <c r="G30" i="49"/>
  <c r="K40" i="49"/>
  <c r="N40" i="49" s="1"/>
  <c r="G27" i="49"/>
  <c r="L72" i="49"/>
  <c r="N72" i="49" s="1"/>
  <c r="G17" i="49"/>
  <c r="K42" i="49"/>
  <c r="N42" i="49" s="1"/>
  <c r="G29" i="49"/>
  <c r="L47" i="49"/>
  <c r="G34" i="49"/>
  <c r="I23" i="76"/>
  <c r="M9" i="76"/>
  <c r="L14" i="76"/>
  <c r="K44" i="49"/>
  <c r="N44" i="49" s="1"/>
  <c r="G31" i="49"/>
  <c r="K91" i="49"/>
  <c r="N91" i="49" s="1"/>
  <c r="L65" i="49"/>
  <c r="G10" i="49"/>
  <c r="K73" i="49"/>
  <c r="N73" i="49" s="1"/>
  <c r="G18" i="49"/>
  <c r="K71" i="49"/>
  <c r="N71" i="49" s="1"/>
  <c r="G16" i="49"/>
  <c r="L50" i="49"/>
  <c r="N50" i="49" s="1"/>
  <c r="G37" i="49"/>
  <c r="G61" i="58"/>
  <c r="L9" i="58"/>
  <c r="G59" i="58"/>
  <c r="M84" i="49" l="1"/>
  <c r="M58" i="49"/>
  <c r="J59" i="49"/>
  <c r="N39" i="49"/>
  <c r="J86" i="49"/>
  <c r="J84" i="49"/>
  <c r="N65" i="49"/>
  <c r="J98" i="49"/>
  <c r="N88" i="49"/>
  <c r="J85" i="49"/>
  <c r="N63" i="49"/>
  <c r="J60" i="49"/>
  <c r="J58" i="49"/>
  <c r="N47" i="49"/>
  <c r="E25" i="17"/>
  <c r="E24" i="17"/>
  <c r="E19" i="37" s="1"/>
  <c r="E17" i="17"/>
  <c r="E16" i="17"/>
  <c r="I30" i="17"/>
  <c r="E30" i="17" s="1"/>
  <c r="G32" i="50" s="1"/>
  <c r="K21" i="50" s="1"/>
  <c r="I29" i="17"/>
  <c r="E29" i="17" s="1"/>
  <c r="I27" i="17"/>
  <c r="E27" i="17" s="1"/>
  <c r="I26" i="17"/>
  <c r="E26" i="17" s="1"/>
  <c r="I23" i="17"/>
  <c r="E23" i="17" s="1"/>
  <c r="E18"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D14" i="32"/>
  <c r="G23" i="50"/>
  <c r="F29" i="73"/>
  <c r="I29" i="73" s="1"/>
  <c r="D25" i="58"/>
  <c r="G25" i="58" s="1"/>
  <c r="D27" i="32"/>
  <c r="G19" i="50"/>
  <c r="F25" i="73"/>
  <c r="I25" i="73" s="1"/>
  <c r="D21" i="58"/>
  <c r="G21" i="58" s="1"/>
  <c r="D23" i="32"/>
  <c r="E17" i="37"/>
  <c r="F116" i="58" s="1"/>
  <c r="G24" i="50"/>
  <c r="F30" i="73"/>
  <c r="I30" i="73" s="1"/>
  <c r="D26" i="58"/>
  <c r="G26" i="58" s="1"/>
  <c r="D28" i="32"/>
  <c r="G26" i="50"/>
  <c r="F32" i="73"/>
  <c r="I32" i="73" s="1"/>
  <c r="D28" i="58"/>
  <c r="G28" i="58" s="1"/>
  <c r="D30" i="32"/>
  <c r="F117" i="58"/>
  <c r="G25" i="50"/>
  <c r="F31" i="73"/>
  <c r="I31" i="73" s="1"/>
  <c r="D27" i="58"/>
  <c r="G27" i="58" s="1"/>
  <c r="D29" i="32"/>
  <c r="G27" i="50"/>
  <c r="F33" i="73"/>
  <c r="I33" i="73" s="1"/>
  <c r="D29" i="58"/>
  <c r="G29" i="58" s="1"/>
  <c r="D31" i="32"/>
  <c r="H31" i="32" s="1"/>
  <c r="G17" i="50"/>
  <c r="F23" i="73"/>
  <c r="I23" i="73" s="1"/>
  <c r="D19" i="58"/>
  <c r="G19" i="58" s="1"/>
  <c r="D21" i="32"/>
  <c r="G6" i="50"/>
  <c r="F12" i="73"/>
  <c r="D8" i="58"/>
  <c r="G8" i="58" s="1"/>
  <c r="D10" i="32"/>
  <c r="G14" i="50"/>
  <c r="F20" i="73"/>
  <c r="I20" i="73" s="1"/>
  <c r="D16" i="58"/>
  <c r="G16" i="58" s="1"/>
  <c r="D18" i="32"/>
  <c r="G29" i="50"/>
  <c r="F14" i="76"/>
  <c r="I14" i="76" s="1"/>
  <c r="D31" i="58"/>
  <c r="G31" i="58" s="1"/>
  <c r="D33" i="32"/>
  <c r="G28" i="50"/>
  <c r="F13" i="76"/>
  <c r="I13" i="76" s="1"/>
  <c r="D30" i="58"/>
  <c r="G30" i="58" s="1"/>
  <c r="D32" i="32"/>
  <c r="G7" i="50"/>
  <c r="F13" i="73"/>
  <c r="I13" i="73" s="1"/>
  <c r="D9" i="58"/>
  <c r="G9" i="58" s="1"/>
  <c r="D11" i="32"/>
  <c r="G15" i="50"/>
  <c r="F21" i="73"/>
  <c r="I21" i="73" s="1"/>
  <c r="D17" i="58"/>
  <c r="G17" i="58" s="1"/>
  <c r="D19" i="32"/>
  <c r="G31" i="50"/>
  <c r="F15" i="76"/>
  <c r="I15" i="76" s="1"/>
  <c r="D33" i="58"/>
  <c r="G33" i="58" s="1"/>
  <c r="D35" i="32"/>
  <c r="G12" i="50"/>
  <c r="F18" i="73"/>
  <c r="I18" i="73" s="1"/>
  <c r="D14" i="58"/>
  <c r="G14" i="58" s="1"/>
  <c r="D16" i="32"/>
  <c r="G13" i="50"/>
  <c r="F19" i="73"/>
  <c r="I19" i="73" s="1"/>
  <c r="D15" i="58"/>
  <c r="G15" i="58" s="1"/>
  <c r="D17" i="32"/>
  <c r="G8" i="50"/>
  <c r="F14" i="73"/>
  <c r="I14" i="73" s="1"/>
  <c r="D12" i="32"/>
  <c r="D10" i="58"/>
  <c r="G10" i="58" s="1"/>
  <c r="G16" i="50"/>
  <c r="K13" i="50" s="1"/>
  <c r="F22" i="73"/>
  <c r="I22" i="73" s="1"/>
  <c r="D20" i="32"/>
  <c r="D18" i="58"/>
  <c r="G18" i="58" s="1"/>
  <c r="G9" i="50"/>
  <c r="F15" i="73"/>
  <c r="I15" i="73" s="1"/>
  <c r="D11" i="58"/>
  <c r="G11" i="58" s="1"/>
  <c r="D13" i="32"/>
  <c r="G22" i="50"/>
  <c r="K14" i="50" s="1"/>
  <c r="F28" i="73"/>
  <c r="I28" i="73" s="1"/>
  <c r="D24" i="58"/>
  <c r="G24" i="58" s="1"/>
  <c r="D26" i="32"/>
  <c r="G18" i="50"/>
  <c r="F24" i="73"/>
  <c r="I24" i="73" s="1"/>
  <c r="D20" i="58"/>
  <c r="G20" i="58" s="1"/>
  <c r="D22" i="32"/>
  <c r="F17" i="76"/>
  <c r="D36" i="32"/>
  <c r="D34" i="58"/>
  <c r="E21" i="37"/>
  <c r="F120" i="58" s="1"/>
  <c r="F118" i="58"/>
  <c r="D23" i="37"/>
  <c r="F22" i="37"/>
  <c r="E22" i="37" s="1"/>
  <c r="D22" i="37"/>
  <c r="D21" i="37"/>
  <c r="D20" i="37"/>
  <c r="F19" i="37"/>
  <c r="D19" i="37"/>
  <c r="D18" i="37"/>
  <c r="D17" i="37"/>
  <c r="F16" i="37"/>
  <c r="G16" i="37" s="1"/>
  <c r="D16" i="37"/>
  <c r="F15" i="37"/>
  <c r="D15" i="37"/>
  <c r="D14" i="37"/>
  <c r="F13" i="37"/>
  <c r="E13" i="37" s="1"/>
  <c r="F112" i="58" s="1"/>
  <c r="D13" i="37"/>
  <c r="D12" i="37"/>
  <c r="D11" i="37"/>
  <c r="F10" i="37"/>
  <c r="D10" i="37"/>
  <c r="F9" i="37"/>
  <c r="E9" i="37" s="1"/>
  <c r="D9" i="37"/>
  <c r="F108" i="58" l="1"/>
  <c r="G108" i="58" s="1"/>
  <c r="F65" i="32"/>
  <c r="G65" i="32" s="1"/>
  <c r="H62" i="73"/>
  <c r="I62" i="73" s="1"/>
  <c r="K19" i="50"/>
  <c r="K8" i="50"/>
  <c r="K18" i="50"/>
  <c r="F66" i="32"/>
  <c r="G66" i="32" s="1"/>
  <c r="N19" i="14"/>
  <c r="N21" i="75" s="1"/>
  <c r="H63" i="73"/>
  <c r="I63" i="73" s="1"/>
  <c r="N18" i="14"/>
  <c r="N20" i="75" s="1"/>
  <c r="G19" i="32"/>
  <c r="H19" i="32"/>
  <c r="N19" i="32"/>
  <c r="H18" i="32"/>
  <c r="G18" i="32"/>
  <c r="N18" i="32"/>
  <c r="H22" i="32"/>
  <c r="G22" i="32"/>
  <c r="O22" i="32"/>
  <c r="H12" i="32"/>
  <c r="G12" i="32"/>
  <c r="J12" i="32"/>
  <c r="H35" i="32"/>
  <c r="G35" i="32"/>
  <c r="W35" i="32"/>
  <c r="I12" i="73"/>
  <c r="G29" i="32"/>
  <c r="H29" i="32"/>
  <c r="S29" i="32"/>
  <c r="H30" i="32"/>
  <c r="G30" i="32"/>
  <c r="T30" i="32"/>
  <c r="K9" i="50"/>
  <c r="H33" i="32"/>
  <c r="G33" i="32"/>
  <c r="V33" i="32"/>
  <c r="K7" i="50"/>
  <c r="G31" i="32"/>
  <c r="U31" i="32"/>
  <c r="G14" i="32"/>
  <c r="H14" i="32"/>
  <c r="L14" i="32"/>
  <c r="G20" i="32"/>
  <c r="H20" i="32"/>
  <c r="N20" i="32"/>
  <c r="G21" i="32"/>
  <c r="H21" i="32"/>
  <c r="O21" i="32"/>
  <c r="G27" i="32"/>
  <c r="H27" i="32"/>
  <c r="Q27" i="32"/>
  <c r="G13" i="32"/>
  <c r="H13" i="32"/>
  <c r="K13" i="32"/>
  <c r="H16" i="32"/>
  <c r="G16" i="32"/>
  <c r="M16" i="32"/>
  <c r="H32" i="32"/>
  <c r="G32" i="32"/>
  <c r="V32" i="32"/>
  <c r="H26" i="32"/>
  <c r="G26" i="32"/>
  <c r="P26" i="32"/>
  <c r="H11" i="32"/>
  <c r="G11" i="32"/>
  <c r="J11" i="32"/>
  <c r="H10" i="32"/>
  <c r="G10" i="32"/>
  <c r="J10" i="32"/>
  <c r="F119" i="58"/>
  <c r="H65" i="73"/>
  <c r="I65" i="73" s="1"/>
  <c r="N21" i="14"/>
  <c r="N15" i="75" s="1"/>
  <c r="G23" i="32"/>
  <c r="H23" i="32"/>
  <c r="O23" i="32"/>
  <c r="H17" i="32"/>
  <c r="G17" i="32"/>
  <c r="N17" i="32"/>
  <c r="K20" i="50"/>
  <c r="G28" i="32"/>
  <c r="H28" i="32"/>
  <c r="R28" i="32"/>
  <c r="F115" i="58"/>
  <c r="G115" i="58" s="1"/>
  <c r="H61" i="73"/>
  <c r="I61" i="73" s="1"/>
  <c r="H58" i="73"/>
  <c r="I58" i="73" s="1"/>
  <c r="N14" i="14"/>
  <c r="N24" i="75" s="1"/>
  <c r="H64" i="73"/>
  <c r="I64" i="73" s="1"/>
  <c r="N20" i="14"/>
  <c r="H54" i="73"/>
  <c r="N10" i="14"/>
  <c r="N17" i="14"/>
  <c r="H71" i="76"/>
  <c r="I71" i="76" s="1"/>
  <c r="N22" i="14"/>
  <c r="I57" i="73"/>
  <c r="G111" i="58"/>
  <c r="G117" i="58"/>
  <c r="I73" i="76"/>
  <c r="G122" i="58"/>
  <c r="I59" i="73"/>
  <c r="I60" i="73"/>
  <c r="G114" i="58"/>
  <c r="G116" i="58"/>
  <c r="G110" i="58"/>
  <c r="I56" i="73"/>
  <c r="I55" i="73"/>
  <c r="G109" i="58"/>
  <c r="I17" i="76"/>
  <c r="G34" i="58"/>
  <c r="G36" i="32"/>
  <c r="X36" i="32"/>
  <c r="H36" i="32"/>
  <c r="G118" i="58"/>
  <c r="F67" i="32"/>
  <c r="F64" i="32"/>
  <c r="Q64" i="32" s="1"/>
  <c r="Q84" i="32" s="1"/>
  <c r="G120" i="58"/>
  <c r="F69" i="32"/>
  <c r="R65" i="32"/>
  <c r="R84" i="32" s="1"/>
  <c r="G113" i="58"/>
  <c r="F62" i="32"/>
  <c r="G62" i="32" s="1"/>
  <c r="F57" i="32"/>
  <c r="G112" i="58"/>
  <c r="F61" i="32"/>
  <c r="F68" i="32"/>
  <c r="T83" i="32" l="1"/>
  <c r="T82" i="32"/>
  <c r="P82" i="32"/>
  <c r="P83" i="32"/>
  <c r="U82" i="32"/>
  <c r="U83" i="32"/>
  <c r="J83" i="32"/>
  <c r="J82" i="32"/>
  <c r="S83" i="32"/>
  <c r="S82" i="32"/>
  <c r="V82" i="32"/>
  <c r="V83" i="32"/>
  <c r="N82" i="32"/>
  <c r="N83" i="32"/>
  <c r="Q83" i="32"/>
  <c r="Q82" i="32"/>
  <c r="X82" i="32"/>
  <c r="X83" i="32"/>
  <c r="K83" i="32"/>
  <c r="K82" i="32"/>
  <c r="R83" i="32"/>
  <c r="R82" i="32"/>
  <c r="M82" i="32"/>
  <c r="M87" i="32" s="1"/>
  <c r="M83" i="32"/>
  <c r="W82" i="32"/>
  <c r="W83" i="32"/>
  <c r="P87" i="32"/>
  <c r="S66" i="32"/>
  <c r="S84" i="32" s="1"/>
  <c r="F121" i="58"/>
  <c r="G121" i="58" s="1"/>
  <c r="N19" i="75"/>
  <c r="N34" i="75"/>
  <c r="N18" i="75"/>
  <c r="N29" i="75"/>
  <c r="F24" i="60"/>
  <c r="F70" i="32"/>
  <c r="G70" i="32" s="1"/>
  <c r="H72" i="76"/>
  <c r="I72" i="76" s="1"/>
  <c r="N23" i="14"/>
  <c r="N35" i="75" s="1"/>
  <c r="I54" i="73"/>
  <c r="O62" i="32"/>
  <c r="O84" i="32" s="1"/>
  <c r="G61" i="32"/>
  <c r="N61" i="32"/>
  <c r="N84" i="32" s="1"/>
  <c r="G69" i="32"/>
  <c r="V69" i="32"/>
  <c r="V84" i="32" s="1"/>
  <c r="G67" i="32"/>
  <c r="T67" i="32"/>
  <c r="T84" i="32" s="1"/>
  <c r="G57" i="32"/>
  <c r="J57" i="32"/>
  <c r="J84" i="32" s="1"/>
  <c r="G64" i="32"/>
  <c r="G119" i="58"/>
  <c r="G68" i="32"/>
  <c r="U68" i="32"/>
  <c r="U84" i="32" s="1"/>
  <c r="S87" i="32" l="1"/>
  <c r="N87" i="32"/>
  <c r="U87" i="32"/>
  <c r="T87" i="32"/>
  <c r="V85" i="32"/>
  <c r="R87" i="32"/>
  <c r="X86" i="32"/>
  <c r="Q85" i="32"/>
  <c r="R86" i="32"/>
  <c r="V86" i="32"/>
  <c r="T86" i="32"/>
  <c r="N86" i="32"/>
  <c r="K86" i="32"/>
  <c r="W86" i="32"/>
  <c r="M86" i="32"/>
  <c r="M85" i="32"/>
  <c r="R85" i="32"/>
  <c r="J86" i="32"/>
  <c r="K85" i="32"/>
  <c r="K87" i="32"/>
  <c r="Q86" i="32"/>
  <c r="S86" i="32"/>
  <c r="X87" i="32"/>
  <c r="U86" i="32"/>
  <c r="P86" i="32"/>
  <c r="P85" i="32"/>
  <c r="X85" i="32"/>
  <c r="W70" i="32"/>
  <c r="W84" i="32" s="1"/>
  <c r="F16" i="60"/>
  <c r="E19" i="17"/>
  <c r="E18" i="17"/>
  <c r="H9" i="17"/>
  <c r="I9" i="17" s="1"/>
  <c r="E9" i="17" s="1"/>
  <c r="K30" i="14" l="1"/>
  <c r="K29" i="14"/>
  <c r="K28" i="14"/>
  <c r="K13" i="14"/>
  <c r="K21" i="14"/>
  <c r="K26" i="14"/>
  <c r="K17" i="14"/>
  <c r="K15" i="14"/>
  <c r="K24" i="14"/>
  <c r="K14" i="14"/>
  <c r="K25" i="14"/>
  <c r="K19" i="14"/>
  <c r="J19" i="14" s="1"/>
  <c r="K18" i="14"/>
  <c r="K11" i="14"/>
  <c r="K12" i="14"/>
  <c r="K27" i="14"/>
  <c r="K20" i="14"/>
  <c r="K23" i="14"/>
  <c r="K16" i="14"/>
  <c r="K22" i="14"/>
  <c r="Q87" i="32"/>
  <c r="T85" i="32"/>
  <c r="N85" i="32"/>
  <c r="S85" i="32"/>
  <c r="V87" i="32"/>
  <c r="U85" i="32"/>
  <c r="J85" i="32"/>
  <c r="J87" i="32"/>
  <c r="G20" i="50"/>
  <c r="K12" i="50" s="1"/>
  <c r="F26" i="73"/>
  <c r="I26" i="73" s="1"/>
  <c r="D22" i="58"/>
  <c r="G22" i="58" s="1"/>
  <c r="D24" i="32"/>
  <c r="G21" i="50"/>
  <c r="K16" i="50" s="1"/>
  <c r="F27" i="73"/>
  <c r="I27" i="73" s="1"/>
  <c r="D23" i="58"/>
  <c r="G23" i="58" s="1"/>
  <c r="D25" i="32"/>
  <c r="G11" i="50"/>
  <c r="F17" i="73"/>
  <c r="D13" i="58"/>
  <c r="D15" i="32"/>
  <c r="K10" i="14"/>
  <c r="M23" i="14"/>
  <c r="M21" i="14"/>
  <c r="M18" i="14"/>
  <c r="M15" i="14"/>
  <c r="M10" i="14"/>
  <c r="M13" i="14"/>
  <c r="M24" i="14"/>
  <c r="M12" i="14"/>
  <c r="M19" i="14"/>
  <c r="M20" i="14"/>
  <c r="M16" i="14"/>
  <c r="M22" i="14"/>
  <c r="M11" i="14"/>
  <c r="M14" i="14"/>
  <c r="M17" i="14"/>
  <c r="L22" i="14"/>
  <c r="S34" i="75" s="1"/>
  <c r="J38" i="14"/>
  <c r="K38" i="14"/>
  <c r="L28" i="50" s="1"/>
  <c r="L38" i="14"/>
  <c r="M38" i="14"/>
  <c r="E28" i="37" l="1"/>
  <c r="J29" i="14"/>
  <c r="L10" i="75"/>
  <c r="L9" i="75"/>
  <c r="L30" i="14"/>
  <c r="S9" i="75" s="1"/>
  <c r="O30" i="14"/>
  <c r="O9" i="75" s="1"/>
  <c r="K32" i="14"/>
  <c r="F82" i="32" s="1"/>
  <c r="M32" i="14"/>
  <c r="Q28" i="50" s="1"/>
  <c r="R28" i="50"/>
  <c r="K21" i="75"/>
  <c r="AH21" i="32"/>
  <c r="L13" i="75"/>
  <c r="L26" i="14"/>
  <c r="S13" i="75" s="1"/>
  <c r="P26" i="14"/>
  <c r="R13" i="75" s="1"/>
  <c r="O26" i="14"/>
  <c r="E26" i="37"/>
  <c r="L12" i="75"/>
  <c r="J27" i="14"/>
  <c r="L14" i="75"/>
  <c r="L25" i="14"/>
  <c r="S14" i="75" s="1"/>
  <c r="O25" i="14"/>
  <c r="P25" i="14"/>
  <c r="R14" i="75" s="1"/>
  <c r="J28" i="14"/>
  <c r="L11" i="75"/>
  <c r="E27" i="37"/>
  <c r="W87" i="32"/>
  <c r="W85" i="32"/>
  <c r="L27" i="75"/>
  <c r="L15" i="75"/>
  <c r="L25" i="75"/>
  <c r="L24" i="75"/>
  <c r="L34" i="75"/>
  <c r="L23" i="75"/>
  <c r="L22" i="75"/>
  <c r="L20" i="75"/>
  <c r="L19" i="75"/>
  <c r="L21" i="75"/>
  <c r="L26" i="75"/>
  <c r="L18" i="75"/>
  <c r="L35" i="75"/>
  <c r="J23" i="14"/>
  <c r="P16" i="14"/>
  <c r="M18" i="75"/>
  <c r="P17" i="14"/>
  <c r="O17" i="14"/>
  <c r="M24" i="75"/>
  <c r="O14" i="14"/>
  <c r="P14" i="14"/>
  <c r="M19" i="75"/>
  <c r="O20" i="14"/>
  <c r="P20" i="14"/>
  <c r="M29" i="75"/>
  <c r="O10" i="14"/>
  <c r="P10" i="14"/>
  <c r="L29" i="75"/>
  <c r="J24" i="14"/>
  <c r="L33" i="75"/>
  <c r="M21" i="75"/>
  <c r="O19" i="14"/>
  <c r="P19" i="14"/>
  <c r="M25" i="75"/>
  <c r="P15" i="14"/>
  <c r="O15" i="14"/>
  <c r="H25" i="32"/>
  <c r="G25" i="32"/>
  <c r="O25" i="32"/>
  <c r="M27" i="75"/>
  <c r="P11" i="14"/>
  <c r="O11" i="14"/>
  <c r="P12" i="14"/>
  <c r="M26" i="75"/>
  <c r="O12" i="14"/>
  <c r="P18" i="14"/>
  <c r="M20" i="75"/>
  <c r="O18" i="14"/>
  <c r="P24" i="14"/>
  <c r="O24" i="14"/>
  <c r="M33" i="75"/>
  <c r="M15" i="75"/>
  <c r="O21" i="14"/>
  <c r="P21" i="14"/>
  <c r="G15" i="32"/>
  <c r="H15" i="32"/>
  <c r="L15" i="32"/>
  <c r="G13" i="58"/>
  <c r="M34" i="75"/>
  <c r="P22" i="14"/>
  <c r="O22" i="14"/>
  <c r="M22" i="75"/>
  <c r="P13" i="14"/>
  <c r="O13" i="14"/>
  <c r="M35" i="75"/>
  <c r="O23" i="14"/>
  <c r="P23" i="14"/>
  <c r="I17" i="73"/>
  <c r="K9" i="73"/>
  <c r="L12" i="73"/>
  <c r="O16" i="14"/>
  <c r="M23" i="75"/>
  <c r="K11" i="50"/>
  <c r="K27" i="50" s="1"/>
  <c r="G24" i="32"/>
  <c r="H24" i="32"/>
  <c r="O24" i="32"/>
  <c r="M46" i="14"/>
  <c r="F127" i="58" l="1"/>
  <c r="G127" i="58" s="1"/>
  <c r="W44" i="75"/>
  <c r="K10" i="75"/>
  <c r="AH31" i="32"/>
  <c r="L29" i="14"/>
  <c r="S10" i="75" s="1"/>
  <c r="F76" i="32"/>
  <c r="G76" i="32" s="1"/>
  <c r="AC76" i="32" s="1"/>
  <c r="AC84" i="32" s="1"/>
  <c r="N29" i="14"/>
  <c r="H70" i="73"/>
  <c r="I70" i="73" s="1"/>
  <c r="L83" i="32"/>
  <c r="L82" i="32"/>
  <c r="O82" i="32"/>
  <c r="O87" i="32" s="1"/>
  <c r="O83" i="32"/>
  <c r="M31" i="75"/>
  <c r="J32" i="14"/>
  <c r="L31" i="75"/>
  <c r="X13" i="75" s="1"/>
  <c r="K28" i="50"/>
  <c r="S28" i="50"/>
  <c r="T16" i="49"/>
  <c r="F74" i="32"/>
  <c r="F125" i="58"/>
  <c r="G125" i="58" s="1"/>
  <c r="N27" i="14"/>
  <c r="H68" i="73"/>
  <c r="I68" i="73" s="1"/>
  <c r="L28" i="14"/>
  <c r="S11" i="75" s="1"/>
  <c r="K11" i="75"/>
  <c r="AH30" i="32"/>
  <c r="O13" i="75"/>
  <c r="F19" i="60"/>
  <c r="O14" i="75"/>
  <c r="F18" i="60"/>
  <c r="F75" i="32"/>
  <c r="G75" i="32" s="1"/>
  <c r="AB75" i="32" s="1"/>
  <c r="F126" i="58"/>
  <c r="G126" i="58" s="1"/>
  <c r="N28" i="14"/>
  <c r="H69" i="73"/>
  <c r="I69" i="73" s="1"/>
  <c r="L27" i="14"/>
  <c r="S12" i="75" s="1"/>
  <c r="K12" i="75"/>
  <c r="AH29" i="32"/>
  <c r="R34" i="75"/>
  <c r="R20" i="75"/>
  <c r="R29" i="75"/>
  <c r="L23" i="14"/>
  <c r="R24" i="75"/>
  <c r="R35" i="75"/>
  <c r="R15" i="75"/>
  <c r="R21" i="75"/>
  <c r="R26" i="75"/>
  <c r="R18" i="75"/>
  <c r="R27" i="75"/>
  <c r="R33" i="75"/>
  <c r="R19" i="75"/>
  <c r="R22" i="75"/>
  <c r="R25" i="75"/>
  <c r="R23" i="75"/>
  <c r="K35" i="75"/>
  <c r="AH25" i="32"/>
  <c r="M48" i="14"/>
  <c r="M42" i="75"/>
  <c r="O20" i="75"/>
  <c r="F20" i="60"/>
  <c r="O19" i="75"/>
  <c r="F27" i="60"/>
  <c r="R9" i="73"/>
  <c r="O34" i="75"/>
  <c r="F22" i="60"/>
  <c r="O27" i="75"/>
  <c r="F12" i="60"/>
  <c r="O15" i="75"/>
  <c r="F8" i="60"/>
  <c r="O26" i="75"/>
  <c r="F32" i="60"/>
  <c r="F21" i="60"/>
  <c r="O21" i="75"/>
  <c r="O24" i="75"/>
  <c r="F26" i="60"/>
  <c r="O29" i="75"/>
  <c r="F9" i="60"/>
  <c r="O35" i="75"/>
  <c r="F10" i="60"/>
  <c r="O23" i="75"/>
  <c r="F33" i="60"/>
  <c r="O33" i="75"/>
  <c r="F31" i="60"/>
  <c r="O18" i="75"/>
  <c r="F17" i="60"/>
  <c r="O22" i="75"/>
  <c r="F29" i="60"/>
  <c r="K33" i="75"/>
  <c r="F28" i="60"/>
  <c r="O25" i="75"/>
  <c r="O29" i="14" l="1"/>
  <c r="O10" i="75" s="1"/>
  <c r="N10" i="75"/>
  <c r="AC87" i="32"/>
  <c r="AC85" i="32"/>
  <c r="L11" i="58"/>
  <c r="AB84" i="32"/>
  <c r="AB85" i="32" s="1"/>
  <c r="K31" i="75"/>
  <c r="N32" i="14"/>
  <c r="P32" i="14" s="1"/>
  <c r="S31" i="75"/>
  <c r="G74" i="32"/>
  <c r="AA74" i="32" s="1"/>
  <c r="G83" i="32"/>
  <c r="N11" i="75"/>
  <c r="O28" i="14"/>
  <c r="N12" i="75"/>
  <c r="O27" i="14"/>
  <c r="P27" i="14"/>
  <c r="R12" i="75" s="1"/>
  <c r="H83" i="32"/>
  <c r="G82" i="32"/>
  <c r="H82" i="32"/>
  <c r="K5" i="73"/>
  <c r="S35" i="75"/>
  <c r="M12" i="73"/>
  <c r="M13" i="76"/>
  <c r="M49" i="14"/>
  <c r="M5" i="73"/>
  <c r="M44" i="75"/>
  <c r="M47" i="75" s="1"/>
  <c r="L85" i="32"/>
  <c r="L87" i="32"/>
  <c r="L86" i="32"/>
  <c r="O86" i="32"/>
  <c r="O85" i="32"/>
  <c r="C4" i="32"/>
  <c r="C76" i="32" l="1"/>
  <c r="C77" i="32"/>
  <c r="AA84" i="32"/>
  <c r="AA85" i="32" s="1"/>
  <c r="AA81" i="32"/>
  <c r="N31" i="75"/>
  <c r="X14" i="75" s="1"/>
  <c r="O32" i="14"/>
  <c r="AB87" i="32"/>
  <c r="O11" i="75"/>
  <c r="R11" i="75"/>
  <c r="O12" i="75"/>
  <c r="F23" i="60"/>
  <c r="C74" i="32"/>
  <c r="C75" i="32"/>
  <c r="C72" i="32"/>
  <c r="C73" i="32"/>
  <c r="C61" i="32"/>
  <c r="C68" i="32"/>
  <c r="C60" i="32"/>
  <c r="C67" i="32"/>
  <c r="C59" i="32"/>
  <c r="C66" i="32"/>
  <c r="C58" i="32"/>
  <c r="C69" i="32"/>
  <c r="C65" i="32"/>
  <c r="C57" i="32"/>
  <c r="C64" i="32"/>
  <c r="C70" i="32"/>
  <c r="C62" i="32"/>
  <c r="C71" i="32"/>
  <c r="C63" i="32"/>
  <c r="C4" i="49"/>
  <c r="C4" i="52"/>
  <c r="V81" i="32" l="1"/>
  <c r="N81" i="32"/>
  <c r="Y81" i="32"/>
  <c r="U81" i="32"/>
  <c r="AM23" i="32" s="1"/>
  <c r="M81" i="32"/>
  <c r="Q81" i="32"/>
  <c r="T81" i="32"/>
  <c r="L81" i="32"/>
  <c r="O81" i="32"/>
  <c r="S81" i="32"/>
  <c r="K81" i="32"/>
  <c r="J81" i="32"/>
  <c r="AM12" i="32" s="1"/>
  <c r="Z81" i="32"/>
  <c r="R81" i="32"/>
  <c r="X81" i="32"/>
  <c r="AM26" i="32" s="1"/>
  <c r="Q24" i="14" s="1"/>
  <c r="Q33" i="75" s="1"/>
  <c r="P81" i="32"/>
  <c r="W81" i="32"/>
  <c r="AM25" i="32" s="1"/>
  <c r="AI32" i="32"/>
  <c r="AJ32" i="32" s="1"/>
  <c r="AK32" i="32"/>
  <c r="AL32" i="32"/>
  <c r="AB81" i="32"/>
  <c r="AM30" i="32" s="1"/>
  <c r="Q28" i="14" s="1"/>
  <c r="Q11" i="75" s="1"/>
  <c r="O31" i="75"/>
  <c r="J31" i="49"/>
  <c r="C59" i="49"/>
  <c r="C58" i="49"/>
  <c r="C60" i="49"/>
  <c r="C61" i="49"/>
  <c r="C57" i="49"/>
  <c r="AM24" i="32"/>
  <c r="AL31" i="32"/>
  <c r="AK31" i="32"/>
  <c r="AI31" i="32"/>
  <c r="AJ31" i="32" s="1"/>
  <c r="G84" i="32"/>
  <c r="AH40" i="32" s="1"/>
  <c r="H84" i="32"/>
  <c r="AA87" i="32"/>
  <c r="AM29" i="32" s="1"/>
  <c r="Q27" i="14" s="1"/>
  <c r="Q12" i="75" s="1"/>
  <c r="AK30" i="32"/>
  <c r="AL30" i="32"/>
  <c r="AI30" i="32"/>
  <c r="AJ30" i="32" s="1"/>
  <c r="AI29" i="32"/>
  <c r="AJ29" i="32" s="1"/>
  <c r="AL29" i="32"/>
  <c r="AK29" i="32"/>
  <c r="AK28" i="32"/>
  <c r="AI28" i="32"/>
  <c r="AL28" i="32"/>
  <c r="AL27" i="32"/>
  <c r="AK27" i="32"/>
  <c r="AI27" i="32"/>
  <c r="AJ27" i="32" s="1"/>
  <c r="AI12" i="32"/>
  <c r="AK15" i="32"/>
  <c r="AK19" i="32"/>
  <c r="AK23" i="32"/>
  <c r="AK12" i="32"/>
  <c r="AI16" i="32"/>
  <c r="AJ16" i="32" s="1"/>
  <c r="AI20" i="32"/>
  <c r="AJ20" i="32" s="1"/>
  <c r="AI24" i="32"/>
  <c r="AJ24" i="32" s="1"/>
  <c r="AI13" i="32"/>
  <c r="AJ13" i="32" s="1"/>
  <c r="AK16" i="32"/>
  <c r="AK20" i="32"/>
  <c r="AK24" i="32"/>
  <c r="AK13" i="32"/>
  <c r="AI17" i="32"/>
  <c r="AJ17" i="32" s="1"/>
  <c r="AI21" i="32"/>
  <c r="AJ21" i="32" s="1"/>
  <c r="AI25" i="32"/>
  <c r="AJ25" i="32" s="1"/>
  <c r="AI15" i="32"/>
  <c r="AJ15" i="32" s="1"/>
  <c r="AK26" i="32"/>
  <c r="AI23" i="32"/>
  <c r="AJ23" i="32" s="1"/>
  <c r="AI14" i="32"/>
  <c r="AJ14" i="32" s="1"/>
  <c r="AK17" i="32"/>
  <c r="AK21" i="32"/>
  <c r="AK25" i="32"/>
  <c r="AK18" i="32"/>
  <c r="AK22" i="32"/>
  <c r="AI19" i="32"/>
  <c r="AJ19" i="32" s="1"/>
  <c r="AK14" i="32"/>
  <c r="AI18" i="32"/>
  <c r="AJ18" i="32" s="1"/>
  <c r="AI22" i="32"/>
  <c r="AJ22" i="32" s="1"/>
  <c r="AI26" i="32"/>
  <c r="J93" i="49"/>
  <c r="J81" i="49"/>
  <c r="J83" i="49" s="1"/>
  <c r="V12" i="49" s="1"/>
  <c r="J54" i="49"/>
  <c r="AL20" i="32"/>
  <c r="AL13" i="32"/>
  <c r="AL21" i="32"/>
  <c r="AL14" i="32"/>
  <c r="AL22" i="32"/>
  <c r="AL15" i="32"/>
  <c r="AL23" i="32"/>
  <c r="AL12" i="32"/>
  <c r="AL16" i="32"/>
  <c r="AL24" i="32"/>
  <c r="AL17" i="32"/>
  <c r="AL25" i="32"/>
  <c r="AL18" i="32"/>
  <c r="AL26" i="32"/>
  <c r="AL19" i="32"/>
  <c r="J19" i="49"/>
  <c r="J21" i="49" s="1"/>
  <c r="V9" i="49" s="1"/>
  <c r="C15" i="52"/>
  <c r="J20" i="52" s="1"/>
  <c r="J22" i="52" s="1"/>
  <c r="V10" i="52" s="1"/>
  <c r="Q36" i="14" s="1"/>
  <c r="Q16" i="75" s="1"/>
  <c r="C14" i="52"/>
  <c r="J10" i="52" s="1"/>
  <c r="C16" i="52"/>
  <c r="J31" i="52" s="1"/>
  <c r="V11" i="52" s="1"/>
  <c r="Q37" i="14" s="1"/>
  <c r="Q17" i="75" s="1"/>
  <c r="W41" i="75" l="1"/>
  <c r="X15" i="75"/>
  <c r="X16" i="75" s="1"/>
  <c r="AO32" i="32"/>
  <c r="AN32" i="32"/>
  <c r="AP32" i="32"/>
  <c r="AH43" i="32"/>
  <c r="AH42" i="32"/>
  <c r="AH41" i="32"/>
  <c r="AL35" i="32"/>
  <c r="AK35" i="32"/>
  <c r="AI35" i="32"/>
  <c r="AI36" i="32" s="1"/>
  <c r="AN31" i="32"/>
  <c r="AP31" i="32"/>
  <c r="AO31" i="32"/>
  <c r="AO30" i="32"/>
  <c r="AP30" i="32"/>
  <c r="AN30" i="32"/>
  <c r="Q21" i="14"/>
  <c r="Q15" i="75" s="1"/>
  <c r="Q23" i="14"/>
  <c r="Q35" i="75" s="1"/>
  <c r="Q22" i="14"/>
  <c r="Q34" i="75" s="1"/>
  <c r="AO29" i="32"/>
  <c r="AN29" i="32"/>
  <c r="AP29" i="32"/>
  <c r="J57" i="49"/>
  <c r="V11" i="49" s="1"/>
  <c r="Q43" i="14" s="1"/>
  <c r="Q36" i="75" s="1"/>
  <c r="AM22" i="32"/>
  <c r="AM16" i="32"/>
  <c r="AM14" i="32"/>
  <c r="AM13" i="32"/>
  <c r="AM19" i="32"/>
  <c r="AM21" i="32"/>
  <c r="AM15" i="32"/>
  <c r="AM18" i="32"/>
  <c r="AM20" i="32"/>
  <c r="AM27" i="32"/>
  <c r="AM17" i="32"/>
  <c r="AM28" i="32"/>
  <c r="AJ12" i="32"/>
  <c r="AN28" i="32"/>
  <c r="AP28" i="32"/>
  <c r="AJ28" i="32"/>
  <c r="AO28" i="32"/>
  <c r="Q41" i="14"/>
  <c r="Q37" i="75" s="1"/>
  <c r="Q44" i="14"/>
  <c r="Q39" i="75" s="1"/>
  <c r="AM35" i="32"/>
  <c r="J8" i="51" s="1"/>
  <c r="Q32" i="14"/>
  <c r="AP27" i="32"/>
  <c r="AN27" i="32"/>
  <c r="AO27" i="32"/>
  <c r="AO16" i="32"/>
  <c r="AO23" i="32"/>
  <c r="AO24" i="32"/>
  <c r="AO14" i="32"/>
  <c r="AO21" i="32"/>
  <c r="AO13" i="32"/>
  <c r="AO19" i="32"/>
  <c r="AO17" i="32"/>
  <c r="AO15" i="32"/>
  <c r="AO22" i="32"/>
  <c r="AP20" i="32"/>
  <c r="AN20" i="32"/>
  <c r="AN22" i="32"/>
  <c r="AP22" i="32"/>
  <c r="AO26" i="32"/>
  <c r="AP13" i="32"/>
  <c r="AN13" i="32"/>
  <c r="AP15" i="32"/>
  <c r="AN15" i="32"/>
  <c r="AN18" i="32"/>
  <c r="AP18" i="32"/>
  <c r="AP14" i="32"/>
  <c r="AN14" i="32"/>
  <c r="AN12" i="32"/>
  <c r="AP12" i="32"/>
  <c r="AN19" i="32"/>
  <c r="AP19" i="32"/>
  <c r="AO18" i="32"/>
  <c r="AN21" i="32"/>
  <c r="AP21" i="32"/>
  <c r="AN23" i="32"/>
  <c r="AP23" i="32"/>
  <c r="AN26" i="32"/>
  <c r="AP26" i="32"/>
  <c r="AO25" i="32"/>
  <c r="AN16" i="32"/>
  <c r="AP16" i="32"/>
  <c r="AO20" i="32"/>
  <c r="AP24" i="32"/>
  <c r="AN24" i="32"/>
  <c r="AN17" i="32"/>
  <c r="AP17" i="32"/>
  <c r="AO12" i="32"/>
  <c r="AN25" i="32"/>
  <c r="AP25" i="32"/>
  <c r="AL36" i="32" l="1"/>
  <c r="AK36" i="32"/>
  <c r="Q25" i="14"/>
  <c r="Q14" i="75" s="1"/>
  <c r="Q12" i="14"/>
  <c r="Q26" i="75" s="1"/>
  <c r="Q18" i="14"/>
  <c r="Q20" i="75" s="1"/>
  <c r="Q14" i="14"/>
  <c r="Q24" i="75" s="1"/>
  <c r="Q16" i="14"/>
  <c r="Q23" i="75" s="1"/>
  <c r="Q20" i="14"/>
  <c r="Q19" i="75" s="1"/>
  <c r="Q19" i="14"/>
  <c r="Q21" i="75" s="1"/>
  <c r="Q10" i="14"/>
  <c r="Q29" i="75" s="1"/>
  <c r="Q26" i="14"/>
  <c r="Q13" i="75" s="1"/>
  <c r="Q17" i="14"/>
  <c r="Q18" i="75" s="1"/>
  <c r="Q13" i="14"/>
  <c r="Q22" i="75" s="1"/>
  <c r="Q15" i="14"/>
  <c r="Q25" i="75" s="1"/>
  <c r="Q11" i="14"/>
  <c r="Q27" i="75" s="1"/>
  <c r="AM36" i="32"/>
  <c r="H8" i="51"/>
  <c r="F8" i="51"/>
  <c r="I8" i="51"/>
  <c r="AO35" i="32"/>
  <c r="AI42" i="32" s="1"/>
  <c r="AP35" i="32"/>
  <c r="AI43" i="32" s="1"/>
  <c r="AN35" i="32"/>
  <c r="AI41" i="32" s="1"/>
  <c r="AN36" i="32" l="1"/>
  <c r="M8" i="51"/>
  <c r="L8" i="51"/>
  <c r="K8" i="51"/>
  <c r="L24" i="14" l="1"/>
  <c r="L32" i="14" s="1"/>
  <c r="AH26" i="32"/>
  <c r="AH35" i="32" s="1"/>
  <c r="AH36" i="32" l="1"/>
  <c r="S47" i="75"/>
  <c r="S33" i="75"/>
  <c r="AJ26" i="32"/>
  <c r="AJ35" i="32" s="1"/>
  <c r="AJ36" i="32" l="1"/>
  <c r="E8" i="51"/>
  <c r="P36" i="14"/>
  <c r="R16" i="75" s="1"/>
  <c r="P35" i="14"/>
  <c r="R28" i="75" s="1"/>
  <c r="P37" i="14"/>
  <c r="R17" i="75" s="1"/>
  <c r="N38" i="14"/>
  <c r="E34" i="37"/>
  <c r="O38" i="14" l="1"/>
  <c r="P38" i="14"/>
  <c r="G8" i="51"/>
  <c r="F15" i="52"/>
  <c r="F129" i="58"/>
  <c r="G129" i="58" s="1"/>
  <c r="F14" i="52"/>
  <c r="F128" i="58"/>
  <c r="G128" i="58" s="1"/>
  <c r="F16" i="52"/>
  <c r="F130" i="58"/>
  <c r="G130" i="58" s="1"/>
  <c r="H73" i="73"/>
  <c r="I73" i="73" s="1"/>
  <c r="H72" i="73"/>
  <c r="G124" i="58"/>
  <c r="U11" i="52" l="1"/>
  <c r="G16" i="52"/>
  <c r="M10" i="52"/>
  <c r="U9" i="52"/>
  <c r="G14" i="52"/>
  <c r="U10" i="52"/>
  <c r="G15" i="52"/>
  <c r="I72" i="73"/>
  <c r="O9" i="73" s="1"/>
  <c r="L16" i="73" s="1"/>
  <c r="Q31" i="75" s="1"/>
  <c r="X17" i="75" s="1"/>
  <c r="L13" i="73"/>
  <c r="L15" i="73" s="1"/>
  <c r="L32" i="60"/>
  <c r="L33" i="60" s="1"/>
  <c r="N9" i="73"/>
  <c r="M23" i="49"/>
  <c r="M59" i="49"/>
  <c r="M85" i="49"/>
  <c r="G133" i="58"/>
  <c r="G49" i="37" l="1"/>
  <c r="N5" i="73"/>
  <c r="X10" i="52"/>
  <c r="W10" i="52"/>
  <c r="V12" i="52"/>
  <c r="Q15" i="52"/>
  <c r="Q38" i="14" s="1"/>
  <c r="Q16" i="52"/>
  <c r="X9" i="52"/>
  <c r="W9" i="52"/>
  <c r="U12" i="52"/>
  <c r="Q17" i="52"/>
  <c r="J14" i="52"/>
  <c r="J13" i="52"/>
  <c r="N10" i="52"/>
  <c r="J12" i="52" s="1"/>
  <c r="V9" i="52" s="1"/>
  <c r="Q35" i="14" s="1"/>
  <c r="Q28" i="75" s="1"/>
  <c r="X11" i="52"/>
  <c r="W11" i="52"/>
  <c r="H74" i="76"/>
  <c r="I74" i="76" s="1"/>
  <c r="H78" i="76"/>
  <c r="I78" i="76" s="1"/>
  <c r="H77" i="76"/>
  <c r="I77" i="76" s="1"/>
  <c r="H76" i="76"/>
  <c r="I76" i="76" s="1"/>
  <c r="P9" i="73"/>
  <c r="Q9" i="73"/>
  <c r="G137" i="58"/>
  <c r="G135" i="58"/>
  <c r="J96" i="49"/>
  <c r="R31" i="75"/>
  <c r="G136" i="58"/>
  <c r="W12" i="52" l="1"/>
  <c r="X12" i="52"/>
  <c r="I11" i="51"/>
  <c r="J11" i="51"/>
  <c r="J97" i="49"/>
  <c r="M97" i="49"/>
  <c r="N93" i="49"/>
  <c r="J95" i="49" s="1"/>
  <c r="V13" i="49" s="1"/>
  <c r="L11" i="51" l="1"/>
  <c r="K11" i="51"/>
  <c r="Q45" i="14"/>
  <c r="Q40" i="75" s="1"/>
  <c r="F26" i="44" l="1"/>
  <c r="I27" i="14" l="1"/>
  <c r="J12" i="75" s="1"/>
  <c r="L38" i="75"/>
  <c r="K41" i="14"/>
  <c r="P41" i="14" s="1"/>
  <c r="D46" i="40"/>
  <c r="D51" i="49" s="1"/>
  <c r="G51" i="49" s="1"/>
  <c r="F65" i="76" l="1"/>
  <c r="K9" i="76" s="1"/>
  <c r="R9" i="76" s="1"/>
  <c r="K3" i="40"/>
  <c r="O41" i="14"/>
  <c r="F30" i="60" s="1"/>
  <c r="R37" i="75"/>
  <c r="G95" i="50"/>
  <c r="N7" i="50" s="1"/>
  <c r="K45" i="14"/>
  <c r="K44" i="14"/>
  <c r="M83" i="49" s="1"/>
  <c r="K43" i="14"/>
  <c r="J43" i="14" s="1"/>
  <c r="J41" i="14"/>
  <c r="K37" i="75" s="1"/>
  <c r="T21" i="50"/>
  <c r="T22" i="50"/>
  <c r="N14" i="50"/>
  <c r="N25" i="50"/>
  <c r="T11" i="50"/>
  <c r="T23" i="50"/>
  <c r="N9" i="50"/>
  <c r="T20" i="50"/>
  <c r="N18" i="50"/>
  <c r="N23" i="50"/>
  <c r="T17" i="50"/>
  <c r="N11" i="50"/>
  <c r="L12" i="76"/>
  <c r="D102" i="58"/>
  <c r="M21" i="49"/>
  <c r="L37" i="75"/>
  <c r="O37" i="75" l="1"/>
  <c r="T18" i="50"/>
  <c r="T15" i="50"/>
  <c r="T16" i="50"/>
  <c r="N15" i="50"/>
  <c r="N21" i="50"/>
  <c r="N24" i="50"/>
  <c r="T14" i="50"/>
  <c r="N20" i="50"/>
  <c r="T19" i="50"/>
  <c r="N12" i="50"/>
  <c r="L44" i="14"/>
  <c r="Q11" i="49"/>
  <c r="K36" i="75"/>
  <c r="K42" i="75" s="1"/>
  <c r="T10" i="50"/>
  <c r="N19" i="50"/>
  <c r="N13" i="50"/>
  <c r="N8" i="50"/>
  <c r="N10" i="50"/>
  <c r="T24" i="50"/>
  <c r="T12" i="50"/>
  <c r="T7" i="50"/>
  <c r="N22" i="50"/>
  <c r="T8" i="50"/>
  <c r="T9" i="50"/>
  <c r="M13" i="50"/>
  <c r="M27" i="50" s="1"/>
  <c r="N16" i="50"/>
  <c r="N17" i="50"/>
  <c r="T25" i="50"/>
  <c r="T13" i="50"/>
  <c r="I65" i="76"/>
  <c r="P45" i="14"/>
  <c r="R40" i="75" s="1"/>
  <c r="P44" i="14"/>
  <c r="R39" i="75" s="1"/>
  <c r="P43" i="14"/>
  <c r="R36" i="75" s="1"/>
  <c r="N26" i="50"/>
  <c r="T26" i="50"/>
  <c r="E42" i="37"/>
  <c r="K30" i="49"/>
  <c r="L36" i="75"/>
  <c r="O43" i="14"/>
  <c r="M57" i="49"/>
  <c r="L40" i="75"/>
  <c r="L45" i="14"/>
  <c r="O45" i="14"/>
  <c r="M95" i="49"/>
  <c r="J46" i="14"/>
  <c r="Q16" i="49" s="1"/>
  <c r="Q9" i="49"/>
  <c r="O44" i="14"/>
  <c r="L39" i="75"/>
  <c r="K46" i="14"/>
  <c r="J9" i="58"/>
  <c r="G102" i="58"/>
  <c r="F60" i="49" l="1"/>
  <c r="G60" i="49" s="1"/>
  <c r="K44" i="75"/>
  <c r="Q15" i="49"/>
  <c r="E14" i="51" s="1"/>
  <c r="E17" i="51" s="1"/>
  <c r="M28" i="50"/>
  <c r="N27" i="50"/>
  <c r="T27" i="50"/>
  <c r="T28" i="50" s="1"/>
  <c r="S40" i="75"/>
  <c r="N42" i="14"/>
  <c r="P42" i="14" s="1"/>
  <c r="R38" i="75" s="1"/>
  <c r="K4" i="40"/>
  <c r="K5" i="40" s="1"/>
  <c r="R12" i="49"/>
  <c r="S12" i="49" s="1"/>
  <c r="F134" i="58"/>
  <c r="M9" i="58" s="1"/>
  <c r="H75" i="76"/>
  <c r="N9" i="76" s="1"/>
  <c r="L42" i="75"/>
  <c r="X35" i="75" s="1"/>
  <c r="O40" i="75"/>
  <c r="F14" i="60"/>
  <c r="O36" i="75"/>
  <c r="F15" i="60"/>
  <c r="J36" i="49"/>
  <c r="M33" i="49"/>
  <c r="N30" i="49"/>
  <c r="R16" i="49"/>
  <c r="K48" i="14"/>
  <c r="J48" i="14"/>
  <c r="U9" i="49"/>
  <c r="T11" i="49"/>
  <c r="Q9" i="58"/>
  <c r="O39" i="75"/>
  <c r="F13" i="60"/>
  <c r="S39" i="75"/>
  <c r="L46" i="14"/>
  <c r="S16" i="49" s="1"/>
  <c r="K49" i="14" l="1"/>
  <c r="K47" i="75"/>
  <c r="W42" i="75"/>
  <c r="W46" i="75"/>
  <c r="S42" i="75"/>
  <c r="S44" i="75" s="1"/>
  <c r="O42" i="14"/>
  <c r="F25" i="60" s="1"/>
  <c r="N46" i="14"/>
  <c r="U16" i="49" s="1"/>
  <c r="N38" i="75"/>
  <c r="W45" i="75" s="1"/>
  <c r="I75" i="76"/>
  <c r="O9" i="76" s="1"/>
  <c r="L16" i="76" s="1"/>
  <c r="Q42" i="75" s="1"/>
  <c r="X39" i="75" s="1"/>
  <c r="G134" i="58"/>
  <c r="N9" i="58" s="1"/>
  <c r="Q48" i="14" s="1"/>
  <c r="L13" i="76"/>
  <c r="L15" i="76" s="1"/>
  <c r="L21" i="76" s="1"/>
  <c r="M31" i="49"/>
  <c r="J35" i="49" s="1"/>
  <c r="U12" i="49"/>
  <c r="X12" i="49" s="1"/>
  <c r="T12" i="49"/>
  <c r="Y12" i="49" s="1"/>
  <c r="R11" i="49"/>
  <c r="Y11" i="49" s="1"/>
  <c r="R9" i="49"/>
  <c r="X9" i="49" s="1"/>
  <c r="U13" i="49"/>
  <c r="U11" i="49"/>
  <c r="T13" i="49"/>
  <c r="T10" i="49"/>
  <c r="T9" i="49"/>
  <c r="V15" i="49"/>
  <c r="R10" i="49"/>
  <c r="S10" i="49" s="1"/>
  <c r="U10" i="49"/>
  <c r="R13" i="49"/>
  <c r="S13" i="49" s="1"/>
  <c r="M12" i="76"/>
  <c r="L44" i="75"/>
  <c r="L47" i="75" s="1"/>
  <c r="E19" i="51"/>
  <c r="J11" i="58"/>
  <c r="N28" i="50"/>
  <c r="L48" i="14"/>
  <c r="P9" i="58"/>
  <c r="O9" i="58"/>
  <c r="Q9" i="76"/>
  <c r="P9" i="76"/>
  <c r="O46" i="14" l="1"/>
  <c r="N42" i="75"/>
  <c r="X36" i="75" s="1"/>
  <c r="N48" i="14"/>
  <c r="O48" i="14" s="1"/>
  <c r="O38" i="75"/>
  <c r="M35" i="49"/>
  <c r="P46" i="14"/>
  <c r="Q18" i="49"/>
  <c r="Q46" i="14" s="1"/>
  <c r="G50" i="37"/>
  <c r="J17" i="51"/>
  <c r="Q44" i="75"/>
  <c r="G51" i="37" s="1"/>
  <c r="W12" i="49"/>
  <c r="N31" i="49"/>
  <c r="J33" i="49" s="1"/>
  <c r="S9" i="49"/>
  <c r="W11" i="49"/>
  <c r="J34" i="49"/>
  <c r="X11" i="49"/>
  <c r="S11" i="49"/>
  <c r="U15" i="49"/>
  <c r="Q19" i="49"/>
  <c r="W10" i="49"/>
  <c r="W9" i="49"/>
  <c r="Y13" i="49"/>
  <c r="X10" i="49"/>
  <c r="Q21" i="49"/>
  <c r="W13" i="49"/>
  <c r="X13" i="49"/>
  <c r="T15" i="49"/>
  <c r="Y9" i="49"/>
  <c r="R15" i="49"/>
  <c r="Q20" i="49"/>
  <c r="Y10" i="49"/>
  <c r="J14" i="51"/>
  <c r="N44" i="75"/>
  <c r="R42" i="75"/>
  <c r="T42" i="75"/>
  <c r="O42" i="75"/>
  <c r="X37" i="75" l="1"/>
  <c r="W43" i="75"/>
  <c r="X38" i="75"/>
  <c r="N49" i="14"/>
  <c r="P48" i="14"/>
  <c r="M11" i="58"/>
  <c r="M14" i="76"/>
  <c r="S15" i="49"/>
  <c r="G14" i="51" s="1"/>
  <c r="G17" i="51" s="1"/>
  <c r="G19" i="51" s="1"/>
  <c r="I14" i="51"/>
  <c r="I17" i="51" s="1"/>
  <c r="I19" i="51" s="1"/>
  <c r="X15" i="49"/>
  <c r="L14" i="51" s="1"/>
  <c r="H14" i="51"/>
  <c r="H17" i="51" s="1"/>
  <c r="H19" i="51" s="1"/>
  <c r="Y15" i="49"/>
  <c r="M14" i="51" s="1"/>
  <c r="F14" i="51"/>
  <c r="F17" i="51" s="1"/>
  <c r="F19" i="51" s="1"/>
  <c r="W15" i="49"/>
  <c r="K14" i="51" s="1"/>
  <c r="N47" i="75"/>
  <c r="R44" i="75"/>
  <c r="O44" i="75"/>
  <c r="O47" i="75" s="1"/>
  <c r="L17" i="51" l="1"/>
  <c r="K17" i="51"/>
  <c r="M17"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3"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7" authorId="0" shapeId="0" xr:uid="{C9A12813-1F0A-4968-A41C-199DA5D566FA}">
      <text>
        <r>
          <rPr>
            <sz val="9"/>
            <color indexed="81"/>
            <rFont val="Tahoma"/>
            <family val="2"/>
          </rPr>
          <t xml:space="preserve">
Trading price is 
$1.24 per share, as of 31Aug23
$1.70 per share, as of 30Sep23
</t>
        </r>
        <r>
          <rPr>
            <i/>
            <sz val="9"/>
            <color indexed="81"/>
            <rFont val="Tahoma"/>
            <family val="2"/>
          </rPr>
          <t>source: Coinbase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43"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F13" authorId="0" shapeId="0" xr:uid="{50A8FF4E-188E-4011-AA38-6E46AD2A5113}">
      <text>
        <r>
          <rPr>
            <sz val="9"/>
            <color indexed="81"/>
            <rFont val="Tahoma"/>
            <family val="2"/>
          </rPr>
          <t xml:space="preserve">Estimated as of fully diluted basis
</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21" authorId="0" shapeId="0" xr:uid="{EE33863C-D5EA-42C3-8555-DC23E35317DB}">
      <text>
        <r>
          <rPr>
            <b/>
            <sz val="9"/>
            <color indexed="81"/>
            <rFont val="Tahoma"/>
            <family val="2"/>
          </rPr>
          <t>Author:</t>
        </r>
        <r>
          <rPr>
            <sz val="9"/>
            <color indexed="81"/>
            <rFont val="Tahoma"/>
            <family val="2"/>
          </rPr>
          <t xml:space="preserve">
Equalization</t>
        </r>
      </text>
    </comment>
    <comment ref="K22"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Q22" authorId="0" shapeId="0" xr:uid="{85FF19F8-B52B-4332-812F-BF716CD16EAF}">
      <text>
        <r>
          <rPr>
            <b/>
            <sz val="9"/>
            <color indexed="81"/>
            <rFont val="Tahoma"/>
            <family val="2"/>
          </rPr>
          <t>Investment in Kayrros</t>
        </r>
        <r>
          <rPr>
            <sz val="9"/>
            <color indexed="81"/>
            <rFont val="Tahoma"/>
            <family val="2"/>
          </rPr>
          <t xml:space="preserve">
</t>
        </r>
      </text>
    </comment>
    <comment ref="R22" authorId="0" shapeId="0" xr:uid="{192A2E97-DBE8-40F1-8815-E5E5D625851F}">
      <text>
        <r>
          <rPr>
            <b/>
            <sz val="9"/>
            <color indexed="81"/>
            <rFont val="Tahoma"/>
            <family val="2"/>
          </rPr>
          <t>Investment in Simera</t>
        </r>
      </text>
    </comment>
  </commentList>
</comments>
</file>

<file path=xl/sharedStrings.xml><?xml version="1.0" encoding="utf-8"?>
<sst xmlns="http://schemas.openxmlformats.org/spreadsheetml/2006/main" count="2402" uniqueCount="667">
  <si>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</si>
  <si>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</si>
  <si>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</si>
  <si>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</si>
  <si>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</si>
  <si>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</si>
  <si>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</si>
  <si>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</si>
  <si>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</si>
  <si>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</si>
  <si>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</si>
  <si>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</si>
  <si>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</si>
  <si>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</si>
  <si>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</si>
  <si>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</si>
  <si>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</si>
  <si>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</si>
  <si>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</si>
  <si>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</si>
  <si>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</si>
  <si>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</si>
  <si>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</si>
  <si>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</si>
  <si>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</si>
  <si>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</si>
  <si>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</si>
  <si>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</si>
  <si>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</si>
  <si>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</si>
  <si>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</si>
  <si>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</si>
  <si>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</si>
  <si>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</si>
  <si>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</si>
  <si>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</si>
  <si>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</si>
  <si>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</si>
  <si>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</si>
  <si>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</si>
  <si>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</si>
  <si>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</si>
  <si>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</si>
  <si>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</si>
  <si>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</si>
  <si>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</si>
  <si>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</si>
  <si>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</si>
  <si>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</si>
  <si>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</si>
  <si>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</si>
  <si>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</si>
  <si>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</si>
  <si>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</si>
  <si>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</si>
  <si>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</si>
  <si>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</si>
  <si>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</si>
  <si>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</si>
  <si>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</si>
  <si>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</si>
  <si>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</si>
  <si>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</si>
  <si>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</si>
  <si>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</si>
  <si>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</si>
  <si>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</si>
  <si>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</si>
  <si>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</si>
  <si>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</si>
  <si>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</si>
  <si>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</si>
  <si>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</si>
  <si>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</si>
  <si>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</si>
  <si>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</si>
  <si>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</si>
  <si>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</si>
  <si>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</si>
  <si>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</si>
  <si>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</si>
  <si>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</si>
  <si>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</si>
  <si>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</si>
  <si>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</si>
  <si>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Held at cost.</t>
  </si>
  <si>
    <t>#</t>
  </si>
  <si>
    <t xml:space="preserve">Investments </t>
  </si>
  <si>
    <t>Current Shares/Units</t>
  </si>
  <si>
    <t>ONT plc</t>
  </si>
  <si>
    <t>vTv Therapeutics Inc.</t>
  </si>
  <si>
    <t>Note:</t>
  </si>
  <si>
    <t>USD AED</t>
  </si>
  <si>
    <t>Contributions (in USD, Mn)</t>
  </si>
  <si>
    <t>Notes</t>
  </si>
  <si>
    <t>Remaining Value</t>
  </si>
  <si>
    <t xml:space="preserve"> (in USD, Mn)</t>
  </si>
  <si>
    <t>Contribution</t>
  </si>
  <si>
    <t>DPI</t>
  </si>
  <si>
    <t>RVPI</t>
  </si>
  <si>
    <t>Guy Harmelin (Independent Director)</t>
  </si>
  <si>
    <t xml:space="preserve">Peng Xiao </t>
  </si>
  <si>
    <t>Eric Xing</t>
  </si>
  <si>
    <t>None appointed</t>
  </si>
  <si>
    <t xml:space="preserve">Guy Harmelin </t>
  </si>
  <si>
    <t>1 Observer</t>
  </si>
  <si>
    <t>1 Board</t>
  </si>
  <si>
    <t>2 Board</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</si>
  <si>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</si>
  <si>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</si>
  <si>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</si>
  <si>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</si>
  <si>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</si>
  <si>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</si>
  <si>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</si>
  <si>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</si>
  <si>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</si>
  <si>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</si>
  <si>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</si>
  <si>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</si>
  <si>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</si>
  <si>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</si>
  <si>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</si>
  <si>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</si>
  <si>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</si>
  <si>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</si>
  <si>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</si>
  <si>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</si>
  <si>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</si>
  <si>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</si>
  <si>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</si>
  <si>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</si>
  <si>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</si>
  <si>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</si>
  <si>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</si>
  <si>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</si>
  <si>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</si>
  <si>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</si>
  <si>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</si>
  <si>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</si>
  <si>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</si>
  <si>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</si>
  <si>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</si>
  <si>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</si>
  <si>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</si>
  <si>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</si>
  <si>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</si>
  <si>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</si>
  <si>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</si>
  <si>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</si>
  <si>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</si>
  <si>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</si>
  <si>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</si>
  <si>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</si>
  <si>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</si>
  <si>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</si>
  <si>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</si>
  <si>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</si>
  <si>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</si>
  <si>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</si>
  <si>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</si>
  <si>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</si>
  <si>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</si>
  <si>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</si>
  <si>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</si>
  <si>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</si>
  <si>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</si>
  <si>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</si>
  <si>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</si>
  <si>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</si>
  <si>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</si>
  <si>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</si>
  <si>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</si>
  <si>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</si>
  <si>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</si>
  <si>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</si>
  <si>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</si>
  <si>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</si>
  <si>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</si>
  <si>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</si>
  <si>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</si>
  <si>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</si>
  <si>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</si>
  <si>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</si>
  <si>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</si>
  <si>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</si>
  <si>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</si>
  <si>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</si>
  <si>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</si>
  <si>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</si>
  <si>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</si>
  <si>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</si>
  <si>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</si>
  <si>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</si>
  <si>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</si>
  <si>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</si>
  <si>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</si>
  <si>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</si>
  <si>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</si>
  <si>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</si>
  <si>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</si>
  <si>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</si>
  <si>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</si>
  <si>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</si>
  <si>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</si>
  <si>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figures in USD Millions</t>
  </si>
  <si>
    <t>Gain</t>
  </si>
  <si>
    <t>ATTRIBUTION SUMMARY</t>
  </si>
  <si>
    <t>CASH DEPLOYED OVER TIME…</t>
  </si>
  <si>
    <t>IRR - Debt</t>
  </si>
  <si>
    <t>IRR - FUNDS</t>
  </si>
  <si>
    <t>IRR - Equity (Individual Investments)</t>
  </si>
  <si>
    <t xml:space="preserve">Remaining </t>
  </si>
  <si>
    <t>% OWNERSHIP</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</si>
  <si>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</si>
  <si>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</si>
  <si>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</si>
  <si>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</si>
  <si>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</si>
  <si>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</si>
  <si>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</si>
  <si>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</si>
  <si>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</si>
  <si>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</si>
  <si>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</si>
  <si>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</si>
  <si>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</si>
  <si>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</si>
  <si>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</si>
  <si>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</si>
  <si>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</si>
  <si>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</si>
  <si>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</si>
  <si>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</si>
  <si>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</si>
  <si>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</si>
  <si>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</si>
  <si>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</si>
  <si>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At Series C PPS $18.75/share with 20% discount</t>
  </si>
  <si>
    <t>Held at cost (as per revised management guidance)</t>
  </si>
  <si>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</si>
  <si>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</si>
  <si>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</si>
  <si>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</si>
  <si>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</si>
  <si>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</si>
  <si>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</si>
  <si>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</si>
  <si>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</si>
  <si>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</si>
  <si>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</si>
  <si>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</si>
  <si>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</si>
  <si>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</si>
  <si>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</si>
  <si>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</si>
  <si>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</si>
  <si>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</si>
  <si>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</si>
  <si>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</si>
  <si>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</si>
  <si>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</si>
  <si>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</si>
  <si>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</si>
  <si>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</si>
  <si>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</si>
  <si>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</si>
  <si>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</si>
  <si>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</si>
  <si>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</si>
  <si>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</si>
  <si>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</si>
  <si>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</si>
  <si>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</si>
  <si>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</si>
  <si>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</si>
  <si>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</si>
  <si>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</si>
  <si>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</si>
  <si>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</si>
  <si>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</si>
  <si>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</si>
  <si>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</si>
  <si>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</si>
  <si>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</si>
  <si>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</si>
  <si>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</si>
  <si>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</si>
  <si>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</si>
  <si>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</si>
  <si>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</si>
  <si>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</si>
  <si>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</si>
  <si>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</si>
  <si>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1 Board, 1 Observer</t>
  </si>
  <si>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</si>
  <si>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</si>
  <si>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</si>
  <si>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</si>
  <si>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</si>
  <si>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</si>
  <si>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</si>
  <si>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IRR - G42 Investments</t>
  </si>
  <si>
    <t xml:space="preserve">IRR - Mozn Investments </t>
  </si>
  <si>
    <t>$,m</t>
  </si>
  <si>
    <t>X</t>
  </si>
  <si>
    <t xml:space="preserve">eSpace </t>
  </si>
  <si>
    <t>Advisory Board</t>
  </si>
  <si>
    <t>Not yet appointed</t>
  </si>
  <si>
    <t>Definition:</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</si>
  <si>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</si>
  <si>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</si>
  <si>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</si>
  <si>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t>Investing Entities:</t>
  </si>
  <si>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</si>
  <si>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</si>
  <si>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</si>
  <si>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</si>
  <si>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</si>
  <si>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</si>
  <si>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</si>
  <si>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</si>
  <si>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</si>
  <si>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</si>
  <si>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</si>
  <si>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</si>
  <si>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</si>
  <si>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</si>
  <si>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</si>
  <si>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</si>
  <si>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</si>
  <si>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</si>
  <si>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</si>
  <si>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</si>
  <si>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</si>
  <si>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</si>
  <si>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</si>
  <si>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</si>
  <si>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</si>
  <si>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</si>
  <si>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</si>
  <si>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</si>
  <si>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</si>
  <si>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</si>
  <si>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</si>
  <si>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PIC</t>
  </si>
  <si>
    <t>RV</t>
  </si>
  <si>
    <t>Dist</t>
  </si>
  <si>
    <t>Investment Level Summary</t>
  </si>
  <si>
    <t>E Q U I T Y</t>
  </si>
  <si>
    <t>Checks</t>
  </si>
  <si>
    <t>MOZN</t>
  </si>
  <si>
    <t xml:space="preserve">Gain </t>
  </si>
  <si>
    <t>YTD Gains</t>
  </si>
  <si>
    <t>October 22</t>
  </si>
  <si>
    <t xml:space="preserve"> Exchange Rate (RMB/USD)</t>
  </si>
  <si>
    <t>Updated as on:</t>
  </si>
  <si>
    <t xml:space="preserve">Held at cost. </t>
  </si>
  <si>
    <t>Distribution | Actualization Interest</t>
  </si>
  <si>
    <t>Test</t>
  </si>
  <si>
    <t>TEST</t>
  </si>
  <si>
    <t>Q1 2023</t>
  </si>
  <si>
    <t>Divyesh Mahajan</t>
  </si>
  <si>
    <t>Marty</t>
  </si>
  <si>
    <t>Investment in Esyasoft is in the form of Convertible Note which will convert to 21% interest on conversion on a fully diluted basis. As per Dec 2020 FS of Esyasoft, the CN was reflected as Debt
- Exit of US$ 2.5 Mn Convertible Note @ 2.0x (MoC) i.e. US$ 5 Mn in May 22
- US$ 0.4 Mn represents Working Capital Loan - fully exited in Dec 22</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</si>
  <si>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</si>
  <si>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</si>
  <si>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</si>
  <si>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</si>
  <si>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</si>
  <si>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</si>
  <si>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</si>
  <si>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</si>
  <si>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</si>
  <si>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</si>
  <si>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</si>
  <si>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Capital Committed</t>
  </si>
  <si>
    <t>in USD, Mn</t>
  </si>
  <si>
    <t>Capital Called</t>
  </si>
  <si>
    <t>Remaining</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</si>
  <si>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</si>
  <si>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</si>
  <si>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</si>
  <si>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</si>
  <si>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</si>
  <si>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</si>
  <si>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</si>
  <si>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</si>
  <si>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</si>
  <si>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</si>
  <si>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</si>
  <si>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</si>
  <si>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</si>
  <si>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</si>
  <si>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</si>
  <si>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</si>
  <si>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</si>
  <si>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</si>
  <si>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</si>
  <si>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</si>
  <si>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</si>
  <si>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</si>
  <si>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</si>
  <si>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</si>
  <si>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</si>
  <si>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</si>
  <si>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</si>
  <si>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</si>
  <si>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</si>
  <si>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</si>
  <si>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</si>
  <si>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</si>
  <si>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</si>
  <si>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</si>
  <si>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</si>
  <si>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</si>
  <si>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</si>
  <si>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</si>
  <si>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</si>
  <si>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</si>
  <si>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</si>
  <si>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</si>
  <si>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</si>
  <si>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</si>
  <si>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</si>
  <si>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</si>
  <si>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</si>
  <si>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</si>
  <si>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</si>
  <si>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</si>
  <si>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</si>
  <si>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</si>
  <si>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</si>
  <si>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</si>
  <si>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</si>
  <si>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</si>
  <si>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</si>
  <si>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</si>
  <si>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</si>
  <si>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</si>
  <si>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</si>
  <si>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</si>
  <si>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</si>
  <si>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</si>
  <si>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</si>
  <si>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</si>
  <si>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</si>
  <si>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</si>
  <si>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</si>
  <si>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New Space Capital LP (conversion / restructuring summary)</t>
  </si>
  <si>
    <t>1Q23</t>
  </si>
  <si>
    <t>• For estimating the NAV their listed share price for ONT and vTv Therapeutics is taken</t>
  </si>
  <si>
    <t>G42 % for 1st in Eur</t>
  </si>
  <si>
    <t>Fund Size in Eur</t>
  </si>
  <si>
    <t>G42 % for 2nd in Eur</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</si>
  <si>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</si>
  <si>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</si>
  <si>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</si>
  <si>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</si>
  <si>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</si>
  <si>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</si>
  <si>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</si>
  <si>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</si>
  <si>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</si>
  <si>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</si>
  <si>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</si>
  <si>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</si>
  <si>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</si>
  <si>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</si>
  <si>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</si>
  <si>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</si>
  <si>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</si>
  <si>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All</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</si>
  <si>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</si>
  <si>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</si>
  <si>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</si>
  <si>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</si>
  <si>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</si>
  <si>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</si>
  <si>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</si>
  <si>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</si>
  <si>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</si>
  <si>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</si>
  <si>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</si>
  <si>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</si>
  <si>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</si>
  <si>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</si>
  <si>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</si>
  <si>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</si>
  <si>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</si>
  <si>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</si>
  <si>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</si>
  <si>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</si>
  <si>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Q2'23 pro-rated</t>
  </si>
  <si>
    <t xml:space="preserve">7th Capital Call </t>
  </si>
  <si>
    <t>10Q report Jun'23</t>
  </si>
  <si>
    <t xml:space="preserve">8th Capital Call </t>
  </si>
  <si>
    <t xml:space="preserve">Xfusion </t>
  </si>
  <si>
    <t>Honor</t>
  </si>
  <si>
    <t>Written Off</t>
  </si>
  <si>
    <t>Written-off</t>
  </si>
  <si>
    <t>In Default</t>
  </si>
  <si>
    <t>Q4 2023</t>
  </si>
  <si>
    <t>To be replaced by JN</t>
  </si>
  <si>
    <t>PX to be replaced by XP</t>
  </si>
  <si>
    <t xml:space="preserve">1 Board </t>
  </si>
  <si>
    <t>Position Exited or written off are highlighted in Yellow</t>
  </si>
  <si>
    <t>Additonal Upside/Downside</t>
  </si>
  <si>
    <t>3Q'23</t>
  </si>
  <si>
    <t>Q3'23  capital account statement</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</si>
  <si>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</si>
  <si>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</si>
  <si>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</si>
  <si>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</si>
  <si>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</si>
  <si>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</si>
  <si>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</si>
  <si>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</si>
  <si>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</si>
  <si>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</si>
  <si>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</si>
  <si>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</si>
  <si>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</si>
  <si>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</si>
  <si>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</si>
  <si>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</si>
  <si>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</si>
  <si>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</si>
  <si>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</si>
  <si>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</si>
  <si>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</si>
  <si>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</si>
  <si>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</si>
  <si>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</si>
  <si>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</si>
  <si>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</si>
  <si>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</si>
  <si>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</si>
  <si>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</si>
  <si>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</si>
  <si>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</si>
  <si>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</si>
  <si>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</si>
  <si>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</si>
  <si>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</si>
  <si>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</si>
  <si>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</si>
  <si>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</si>
  <si>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r>
      <t xml:space="preserve">If qualifies for QFZP and hold the investment &gt;= 12m, income/loss from the investee supposed to suject to 0% Corporate tax rate for Investing Entity.
</t>
    </r>
    <r>
      <rPr>
        <b/>
        <sz val="11"/>
        <color rgb="FFFF0000"/>
        <rFont val="Garamond"/>
        <family val="1"/>
      </rPr>
      <t>Currently we have one contribution made in Aug 2023 need to be monitored</t>
    </r>
  </si>
  <si>
    <t>Non-QFZP</t>
  </si>
  <si>
    <t>pending</t>
  </si>
  <si>
    <t>Should qualify for Participation interest</t>
  </si>
  <si>
    <r>
      <t xml:space="preserve">If qualifies for QFZP and hold the investment &gt;= 12m, income/loss from the investee supposed to suject to 0% Corporate tax rate for Investing Entity.
</t>
    </r>
    <r>
      <rPr>
        <b/>
        <sz val="11"/>
        <color rgb="FFFF0000"/>
        <rFont val="Garamond"/>
        <family val="1"/>
      </rPr>
      <t>Currently we have one contribution made in Feb 2023 need to be monitored</t>
    </r>
  </si>
  <si>
    <r>
      <t xml:space="preserve">If qualifies for QFZP and hold the investment &gt;= 12m, income/loss from the investee supposed to suject to 0% Corporate tax rate for Investing Entity.
</t>
    </r>
    <r>
      <rPr>
        <b/>
        <sz val="11"/>
        <color rgb="FFFF0000"/>
        <rFont val="Garamond"/>
        <family val="1"/>
      </rPr>
      <t>Currently we have one contribution made in July 2023 need to be monitored</t>
    </r>
  </si>
  <si>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</si>
  <si>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</si>
  <si>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May 2023 need to be monitored</t>
    </r>
  </si>
  <si>
    <r>
      <t xml:space="preserve">If qualifies for QFZP and hold the investment &gt;= 12m, income/loss from the investee supposed to suject to 0% Corporate tax rate for Investing Entity.
</t>
    </r>
    <r>
      <rPr>
        <b/>
        <sz val="11"/>
        <color rgb="FFFF0000"/>
        <rFont val="Garamond"/>
        <family val="1"/>
      </rPr>
      <t>Currently we have the Tokens. Future contributions need to be monitored</t>
    </r>
  </si>
  <si>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</si>
  <si>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</si>
  <si>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</si>
  <si>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</si>
  <si>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</si>
  <si>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</si>
  <si>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</si>
  <si>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</si>
  <si>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</si>
  <si>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</si>
  <si>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</si>
  <si>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</si>
  <si>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</si>
  <si>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</si>
  <si>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</si>
  <si>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</si>
  <si>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</si>
  <si>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</si>
  <si>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</si>
  <si>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</si>
  <si>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</si>
  <si>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</si>
  <si>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</si>
  <si>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</si>
  <si>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</si>
  <si>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</si>
  <si>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</si>
  <si>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</si>
  <si>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</si>
  <si>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</si>
  <si>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</si>
  <si>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</si>
  <si>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</si>
  <si>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</si>
  <si>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</si>
  <si>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</si>
  <si>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</si>
  <si>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</si>
  <si>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</si>
  <si>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</si>
  <si>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</si>
  <si>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</si>
  <si>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</si>
  <si>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</si>
  <si>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</si>
  <si>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</si>
  <si>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</si>
  <si>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</si>
  <si>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</si>
  <si>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</si>
  <si>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</si>
  <si>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</si>
  <si>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</si>
  <si>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Marked up.</t>
  </si>
  <si>
    <t>Tokens valued at $0.3 per token (volatility discount, lock-up discount etc)</t>
  </si>
  <si>
    <t>Exited. Received payment of $470,784.65 ($411K+$59K)</t>
  </si>
  <si>
    <t xml:space="preserve">  Q2'23  capital account statement</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</si>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</sst>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4C09]d\ mmm\ yyyy;@"/>
    <numFmt numFmtId="171" formatCode="#,##0.000000;[Red]#,##0.000000"/>
    <numFmt numFmtId="172" formatCode="[$£-809]#,##0;[Red][$£-809]#,##0"/>
    <numFmt numFmtId="173" formatCode="[$£-809]#,##0"/>
    <numFmt numFmtId="174" formatCode="&quot;€&quot;#,##0.000_);[Red]\(&quot;€&quot;#,##0.000\)"/>
    <numFmt numFmtId="175" formatCode="&quot;€&quot;#,##0.0_);[Red]\(&quot;€&quot;#,##0.0\)"/>
    <numFmt numFmtId="176" formatCode="#,##0.0;[Red]#,##0.0"/>
    <numFmt numFmtId="177" formatCode="#,##0.00\x"/>
    <numFmt numFmtId="178" formatCode="#,##0.00;[Red]#,##0.00"/>
    <numFmt numFmtId="179" formatCode="[$$-409]#,##0.00_ ;[Red]\-[$$-409]#,##0.00\ "/>
    <numFmt numFmtId="180" formatCode="&quot;AED&quot;#,##0.00"/>
    <numFmt numFmtId="181" formatCode="#,##0;[Red]#,##0"/>
    <numFmt numFmtId="182" formatCode="[$$-409]#,##0.00"/>
    <numFmt numFmtId="183" formatCode="[$$-409]#,##0.0"/>
    <numFmt numFmtId="184" formatCode="_ * #,##0.00_ ;_ * \-#,##0.00_ ;_ * &quot;-&quot;??_ ;_ @_ "/>
    <numFmt numFmtId="185" formatCode="0.0000%"/>
    <numFmt numFmtId="186" formatCode="\$0.0;\-0.0;;@"/>
    <numFmt numFmtId="187" formatCode="&quot;n/a&quot;"/>
    <numFmt numFmtId="188" formatCode="_ * #,##0_ ;_ * \-#,##0_ ;_ * &quot;-&quot;??_ ;_ @_ "/>
    <numFmt numFmtId="189" formatCode="&quot;€&quot;#,##0.00_);[Red]\(&quot;€&quot;#,##0.00\)"/>
    <numFmt numFmtId="190" formatCode="_-[$$-409]* #,##0.00_ ;_-[$$-409]* \-#,##0.00\ ;_-[$$-409]* &quot;-&quot;??_ ;_-@_ "/>
    <numFmt numFmtId="191" formatCode="&quot;$&quot;#,##0.0000_);[Red]\(&quot;$&quot;#,##0.0000\)"/>
    <numFmt numFmtId="192" formatCode="&quot;$&quot;#,##0.000000_);[Red]\(&quot;$&quot;#,##0.000000\)"/>
    <numFmt numFmtId="193" formatCode="[$$-409]#,##0.00_ ;\-[$$-409]#,##0.00\ "/>
    <numFmt numFmtId="194" formatCode="#,##0.0000\x"/>
    <numFmt numFmtId="195" formatCode="#,##0.00000\x"/>
    <numFmt numFmtId="196" formatCode="&quot;$&quot;#,##0.00000_);[Red]\(&quot;$&quot;#,##0.00000\)"/>
    <numFmt numFmtId="197" formatCode="[$$-409]#,##0_ ;\-[$$-409]#,##0\ "/>
    <numFmt numFmtId="198" formatCode="[$$-409]#,##0.0_);\([$$-409]#,##0.0\);[$$-409]#,##0.0_);@_)"/>
  </numFmts>
  <fonts count="84"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u/>
      <sz val="11"/>
      <color theme="1"/>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i/>
      <sz val="9"/>
      <color indexed="81"/>
      <name val="Tahoma"/>
      <family val="2"/>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s>
  <fills count="3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s>
  <borders count="34">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rgb="FFFFFFFF"/>
      </left>
      <right style="medium">
        <color rgb="FFFFFFFF"/>
      </right>
      <top style="medium">
        <color rgb="FFFFFFFF"/>
      </top>
      <bottom style="medium">
        <color rgb="FFFFFFFF"/>
      </bottom>
      <diagonal/>
    </border>
  </borders>
  <cellStyleXfs count="14">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50" fillId="0" borderId="0">
      <alignment vertical="center"/>
    </xf>
    <xf numFmtId="184" fontId="50" fillId="0" borderId="0" applyFont="0" applyFill="0" applyBorder="0" applyAlignment="0" applyProtection="0">
      <alignment vertical="center"/>
    </xf>
    <xf numFmtId="9" fontId="50" fillId="0" borderId="0" applyFont="0" applyFill="0" applyBorder="0" applyAlignment="0" applyProtection="0">
      <alignment vertical="center"/>
    </xf>
    <xf numFmtId="0" fontId="51" fillId="0" borderId="0" applyAlignment="0"/>
  </cellStyleXfs>
  <cellXfs count="601">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4" fontId="10" fillId="6" borderId="0" xfId="3" applyNumberFormat="1" applyFont="1" applyFill="1"/>
    <xf numFmtId="170" fontId="10" fillId="6" borderId="0" xfId="3" applyNumberFormat="1" applyFont="1" applyFill="1" applyAlignment="1">
      <alignment horizontal="center"/>
    </xf>
    <xf numFmtId="14" fontId="10" fillId="11" borderId="0" xfId="3" applyNumberFormat="1" applyFont="1" applyFill="1"/>
    <xf numFmtId="170" fontId="10" fillId="11"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1"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1"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0" fontId="10" fillId="0" borderId="0" xfId="0" applyFont="1" applyAlignment="1">
      <alignment wrapText="1"/>
    </xf>
    <xf numFmtId="8" fontId="10" fillId="0" borderId="0" xfId="0" applyNumberFormat="1" applyFont="1" applyAlignment="1">
      <alignment horizontal="center"/>
    </xf>
    <xf numFmtId="166" fontId="10" fillId="0" borderId="0" xfId="0" applyNumberFormat="1" applyFont="1" applyAlignment="1">
      <alignment horizontal="center"/>
    </xf>
    <xf numFmtId="9" fontId="10" fillId="0" borderId="0" xfId="0" applyNumberFormat="1" applyFont="1" applyAlignment="1">
      <alignment horizontal="center"/>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5" fillId="7" borderId="0" xfId="3" applyFont="1" applyFill="1" applyAlignment="1">
      <alignment horizontal="center" vertical="center" wrapText="1"/>
    </xf>
    <xf numFmtId="0" fontId="15" fillId="7" borderId="0" xfId="3" applyFont="1" applyFill="1" applyAlignment="1">
      <alignment vertical="center" wrapText="1"/>
    </xf>
    <xf numFmtId="0" fontId="16" fillId="4" borderId="0" xfId="3" applyFont="1" applyFill="1" applyAlignment="1">
      <alignment wrapText="1"/>
    </xf>
    <xf numFmtId="0" fontId="16" fillId="15" borderId="0" xfId="3" applyFont="1" applyFill="1" applyAlignment="1">
      <alignment horizontal="center"/>
    </xf>
    <xf numFmtId="0" fontId="16" fillId="15" borderId="0" xfId="3" applyFont="1" applyFill="1"/>
    <xf numFmtId="169" fontId="16" fillId="15" borderId="0" xfId="4" applyNumberFormat="1" applyFont="1" applyFill="1" applyAlignment="1">
      <alignment horizontal="center"/>
    </xf>
    <xf numFmtId="0" fontId="16" fillId="4" borderId="0" xfId="3" applyFont="1" applyFill="1"/>
    <xf numFmtId="14" fontId="16" fillId="15" borderId="0" xfId="3" applyNumberFormat="1" applyFont="1" applyFill="1" applyAlignment="1">
      <alignment horizontal="center"/>
    </xf>
    <xf numFmtId="0" fontId="16" fillId="5" borderId="0" xfId="3" applyFont="1" applyFill="1" applyAlignment="1">
      <alignment horizontal="center"/>
    </xf>
    <xf numFmtId="0" fontId="16" fillId="5" borderId="0" xfId="3" applyFont="1" applyFill="1"/>
    <xf numFmtId="14" fontId="16" fillId="5" borderId="0" xfId="3" applyNumberFormat="1" applyFont="1" applyFill="1" applyAlignment="1">
      <alignment horizontal="center"/>
    </xf>
    <xf numFmtId="169" fontId="16" fillId="5" borderId="0" xfId="3" applyNumberFormat="1" applyFont="1" applyFill="1" applyAlignment="1">
      <alignment horizontal="center"/>
    </xf>
    <xf numFmtId="169" fontId="16" fillId="5" borderId="0" xfId="4" applyNumberFormat="1" applyFont="1" applyFill="1" applyAlignment="1">
      <alignment horizontal="center"/>
    </xf>
    <xf numFmtId="0" fontId="17" fillId="7" borderId="0" xfId="3" applyFont="1" applyFill="1" applyAlignment="1">
      <alignment vertical="center" wrapText="1"/>
    </xf>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6" borderId="0" xfId="3" applyFont="1" applyFill="1"/>
    <xf numFmtId="14" fontId="16" fillId="6" borderId="0" xfId="3" applyNumberFormat="1" applyFont="1" applyFill="1"/>
    <xf numFmtId="170" fontId="16" fillId="6" borderId="0" xfId="3" applyNumberFormat="1" applyFont="1" applyFill="1" applyAlignment="1">
      <alignment horizontal="center"/>
    </xf>
    <xf numFmtId="0" fontId="16" fillId="6" borderId="0" xfId="3" applyFont="1" applyFill="1" applyAlignment="1">
      <alignment horizontal="center"/>
    </xf>
    <xf numFmtId="6" fontId="16" fillId="6" borderId="0" xfId="4" applyNumberFormat="1" applyFont="1" applyFill="1" applyAlignment="1">
      <alignment horizontal="center"/>
    </xf>
    <xf numFmtId="8" fontId="16" fillId="6" borderId="0" xfId="4" applyNumberFormat="1" applyFont="1" applyFill="1" applyAlignment="1">
      <alignment horizontal="center"/>
    </xf>
    <xf numFmtId="3" fontId="16" fillId="6" borderId="0" xfId="3" applyNumberFormat="1" applyFont="1" applyFill="1" applyAlignment="1">
      <alignment horizontal="center"/>
    </xf>
    <xf numFmtId="0" fontId="16" fillId="0" borderId="0" xfId="0" applyFont="1"/>
    <xf numFmtId="0" fontId="16" fillId="11" borderId="0" xfId="3" applyFont="1" applyFill="1"/>
    <xf numFmtId="14" fontId="16" fillId="11" borderId="0" xfId="3" applyNumberFormat="1" applyFont="1" applyFill="1"/>
    <xf numFmtId="170" fontId="16" fillId="11" borderId="0" xfId="3" applyNumberFormat="1" applyFont="1" applyFill="1" applyAlignment="1">
      <alignment horizontal="center"/>
    </xf>
    <xf numFmtId="0" fontId="16" fillId="11" borderId="0" xfId="3" applyFont="1" applyFill="1" applyAlignment="1">
      <alignment horizontal="center"/>
    </xf>
    <xf numFmtId="6" fontId="16" fillId="11" borderId="0" xfId="4" applyNumberFormat="1" applyFont="1" applyFill="1" applyAlignment="1">
      <alignment horizontal="center"/>
    </xf>
    <xf numFmtId="8" fontId="16" fillId="11" borderId="0" xfId="4" applyNumberFormat="1" applyFont="1" applyFill="1" applyAlignment="1">
      <alignment horizontal="center"/>
    </xf>
    <xf numFmtId="3" fontId="16" fillId="11" borderId="0" xfId="3" applyNumberFormat="1" applyFont="1" applyFill="1" applyAlignment="1">
      <alignment horizontal="center"/>
    </xf>
    <xf numFmtId="4" fontId="19" fillId="0" borderId="12" xfId="0" applyNumberFormat="1" applyFont="1" applyBorder="1" applyAlignment="1">
      <alignment horizontal="center" vertical="center" wrapText="1"/>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0" fontId="10" fillId="0" borderId="0" xfId="0" applyNumberFormat="1" applyFont="1" applyAlignment="1">
      <alignment horizontal="center"/>
    </xf>
    <xf numFmtId="172" fontId="16" fillId="11" borderId="0" xfId="4" applyNumberFormat="1" applyFont="1" applyFill="1" applyAlignment="1">
      <alignment horizontal="center"/>
    </xf>
    <xf numFmtId="173" fontId="16" fillId="6" borderId="0" xfId="4" applyNumberFormat="1" applyFont="1" applyFill="1" applyAlignment="1">
      <alignment horizontal="center"/>
    </xf>
    <xf numFmtId="174" fontId="16" fillId="6" borderId="0" xfId="3" applyNumberFormat="1" applyFont="1" applyFill="1" applyAlignment="1">
      <alignment horizontal="center"/>
    </xf>
    <xf numFmtId="175" fontId="16" fillId="6" borderId="0" xfId="3" applyNumberFormat="1" applyFont="1" applyFill="1" applyAlignment="1">
      <alignment horizontal="center"/>
    </xf>
    <xf numFmtId="8" fontId="13" fillId="0" borderId="2" xfId="0" applyNumberFormat="1" applyFont="1" applyBorder="1" applyAlignment="1">
      <alignment horizontal="center" vertical="center"/>
    </xf>
    <xf numFmtId="0" fontId="17" fillId="8" borderId="0" xfId="3" applyFont="1" applyFill="1" applyAlignment="1">
      <alignment vertical="center"/>
    </xf>
    <xf numFmtId="0" fontId="17" fillId="8" borderId="0" xfId="3" applyFont="1" applyFill="1" applyAlignment="1">
      <alignment vertical="center" wrapText="1"/>
    </xf>
    <xf numFmtId="170" fontId="17" fillId="8" borderId="0" xfId="3" applyNumberFormat="1" applyFont="1" applyFill="1" applyAlignment="1">
      <alignment horizontal="center" vertical="center" wrapText="1"/>
    </xf>
    <xf numFmtId="0" fontId="17" fillId="8" borderId="0" xfId="3" applyFont="1" applyFill="1" applyAlignment="1">
      <alignment horizontal="center" vertical="center" wrapText="1"/>
    </xf>
    <xf numFmtId="166" fontId="9" fillId="0" borderId="0" xfId="0" applyNumberFormat="1" applyFont="1" applyAlignment="1">
      <alignment horizontal="center"/>
    </xf>
    <xf numFmtId="8"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8" fontId="7" fillId="17" borderId="1" xfId="0" applyNumberFormat="1" applyFont="1" applyFill="1" applyBorder="1" applyAlignment="1">
      <alignment horizontal="center" vertical="center"/>
    </xf>
    <xf numFmtId="167" fontId="7" fillId="17" borderId="1" xfId="1" applyNumberFormat="1" applyFont="1" applyFill="1" applyBorder="1" applyAlignment="1">
      <alignment horizontal="center" vertical="center"/>
    </xf>
    <xf numFmtId="169" fontId="7" fillId="17" borderId="1" xfId="0" applyNumberFormat="1" applyFont="1" applyFill="1" applyBorder="1" applyAlignment="1">
      <alignment horizontal="center" vertical="center"/>
    </xf>
    <xf numFmtId="168" fontId="7" fillId="17"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7"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7"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10" borderId="0" xfId="2" applyNumberFormat="1" applyFont="1" applyFill="1" applyBorder="1" applyAlignment="1">
      <alignment horizontal="center" vertical="center"/>
    </xf>
    <xf numFmtId="167" fontId="6" fillId="10" borderId="0" xfId="1" applyNumberFormat="1" applyFont="1" applyFill="1" applyBorder="1" applyAlignment="1">
      <alignment horizontal="center" vertical="center"/>
    </xf>
    <xf numFmtId="169" fontId="6" fillId="10"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3"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169" fontId="16" fillId="0" borderId="0" xfId="4" applyNumberFormat="1" applyFont="1" applyFill="1" applyAlignment="1">
      <alignment horizontal="center"/>
    </xf>
    <xf numFmtId="169" fontId="16" fillId="0" borderId="0" xfId="0" applyNumberFormat="1" applyFont="1"/>
    <xf numFmtId="8" fontId="29" fillId="0" borderId="2" xfId="0" applyNumberFormat="1" applyFont="1" applyBorder="1" applyAlignment="1">
      <alignment horizontal="left" vertical="center"/>
    </xf>
    <xf numFmtId="169" fontId="31" fillId="0" borderId="2" xfId="0" applyNumberFormat="1" applyFont="1" applyBorder="1" applyAlignment="1">
      <alignment horizontal="center" vertical="center"/>
    </xf>
    <xf numFmtId="8" fontId="32" fillId="0" borderId="2" xfId="0" applyNumberFormat="1" applyFont="1" applyBorder="1" applyAlignment="1">
      <alignment horizontal="left" vertical="center"/>
    </xf>
    <xf numFmtId="176" fontId="16" fillId="0" borderId="0" xfId="0" applyNumberFormat="1" applyFont="1"/>
    <xf numFmtId="9" fontId="16" fillId="0" borderId="0" xfId="0" applyNumberFormat="1" applyFont="1"/>
    <xf numFmtId="0" fontId="18" fillId="13" borderId="14" xfId="3" applyFont="1" applyFill="1" applyBorder="1"/>
    <xf numFmtId="0" fontId="18" fillId="13" borderId="16" xfId="0" applyFont="1" applyFill="1" applyBorder="1"/>
    <xf numFmtId="0" fontId="18" fillId="13" borderId="18" xfId="0" applyFont="1" applyFill="1" applyBorder="1"/>
    <xf numFmtId="0" fontId="18" fillId="0" borderId="0" xfId="0" applyFont="1" applyAlignment="1">
      <alignment vertical="center"/>
    </xf>
    <xf numFmtId="0" fontId="18" fillId="18" borderId="0" xfId="0" applyFont="1" applyFill="1"/>
    <xf numFmtId="167" fontId="30" fillId="0" borderId="0" xfId="1" applyNumberFormat="1" applyFont="1" applyFill="1" applyBorder="1" applyAlignment="1">
      <alignment horizontal="center" vertical="center"/>
    </xf>
    <xf numFmtId="169" fontId="31" fillId="0" borderId="0" xfId="0" applyNumberFormat="1" applyFont="1" applyAlignment="1">
      <alignment horizontal="center" vertical="center"/>
    </xf>
    <xf numFmtId="0" fontId="16" fillId="0" borderId="11" xfId="0" applyFont="1" applyBorder="1"/>
    <xf numFmtId="8" fontId="32" fillId="0" borderId="0" xfId="0" applyNumberFormat="1" applyFont="1" applyAlignment="1">
      <alignment horizontal="center" vertical="center"/>
    </xf>
    <xf numFmtId="169" fontId="16" fillId="0" borderId="11" xfId="0" applyNumberFormat="1" applyFont="1" applyBorder="1" applyAlignment="1">
      <alignment horizontal="center"/>
    </xf>
    <xf numFmtId="177" fontId="31" fillId="0" borderId="2" xfId="0" applyNumberFormat="1" applyFont="1" applyBorder="1" applyAlignment="1">
      <alignment horizontal="center" vertical="center"/>
    </xf>
    <xf numFmtId="177" fontId="31" fillId="0" borderId="11" xfId="0" applyNumberFormat="1" applyFont="1" applyBorder="1" applyAlignment="1">
      <alignment horizontal="center" vertical="center"/>
    </xf>
    <xf numFmtId="9" fontId="16" fillId="13" borderId="15" xfId="0" applyNumberFormat="1" applyFont="1" applyFill="1" applyBorder="1" applyAlignment="1">
      <alignment horizontal="center"/>
    </xf>
    <xf numFmtId="177" fontId="16" fillId="13" borderId="17" xfId="0" applyNumberFormat="1" applyFont="1" applyFill="1" applyBorder="1" applyAlignment="1">
      <alignment horizontal="center"/>
    </xf>
    <xf numFmtId="177" fontId="16" fillId="13" borderId="19" xfId="0" applyNumberFormat="1" applyFont="1" applyFill="1" applyBorder="1" applyAlignment="1">
      <alignment horizontal="center"/>
    </xf>
    <xf numFmtId="9" fontId="18" fillId="13" borderId="15" xfId="0" applyNumberFormat="1" applyFont="1" applyFill="1" applyBorder="1" applyAlignment="1">
      <alignment horizontal="center"/>
    </xf>
    <xf numFmtId="177" fontId="18" fillId="13" borderId="17" xfId="0" applyNumberFormat="1" applyFont="1" applyFill="1" applyBorder="1" applyAlignment="1">
      <alignment horizontal="center"/>
    </xf>
    <xf numFmtId="177" fontId="18" fillId="13" borderId="19" xfId="0" applyNumberFormat="1" applyFont="1" applyFill="1" applyBorder="1" applyAlignment="1">
      <alignment horizontal="center"/>
    </xf>
    <xf numFmtId="15" fontId="18" fillId="18" borderId="20" xfId="0" applyNumberFormat="1" applyFont="1" applyFill="1" applyBorder="1"/>
    <xf numFmtId="9" fontId="31" fillId="0" borderId="2" xfId="0" applyNumberFormat="1" applyFont="1" applyBorder="1" applyAlignment="1">
      <alignment horizontal="center" vertical="center"/>
    </xf>
    <xf numFmtId="167" fontId="31" fillId="0" borderId="2" xfId="0" applyNumberFormat="1" applyFont="1" applyBorder="1" applyAlignment="1">
      <alignment horizontal="center" vertical="center"/>
    </xf>
    <xf numFmtId="0" fontId="18" fillId="10" borderId="0" xfId="0" applyFont="1" applyFill="1"/>
    <xf numFmtId="0" fontId="18" fillId="10" borderId="0" xfId="0" applyFont="1" applyFill="1" applyAlignment="1">
      <alignment horizontal="center"/>
    </xf>
    <xf numFmtId="0" fontId="16" fillId="10" borderId="0" xfId="0" applyFont="1" applyFill="1"/>
    <xf numFmtId="0" fontId="33" fillId="0" borderId="0" xfId="0" applyFont="1"/>
    <xf numFmtId="15" fontId="18" fillId="0" borderId="0" xfId="0" applyNumberFormat="1" applyFont="1"/>
    <xf numFmtId="9" fontId="34" fillId="13" borderId="15" xfId="0" applyNumberFormat="1" applyFont="1" applyFill="1" applyBorder="1" applyAlignment="1">
      <alignment horizontal="center"/>
    </xf>
    <xf numFmtId="0" fontId="12" fillId="0" borderId="0" xfId="3" applyFont="1" applyAlignment="1">
      <alignment horizontal="center" vertical="center" wrapText="1"/>
    </xf>
    <xf numFmtId="8" fontId="10" fillId="0" borderId="0" xfId="4" applyNumberFormat="1" applyFont="1" applyFill="1" applyAlignment="1">
      <alignment horizontal="center"/>
    </xf>
    <xf numFmtId="0" fontId="35" fillId="0" borderId="0" xfId="0" applyFont="1"/>
    <xf numFmtId="0" fontId="10" fillId="15" borderId="0" xfId="3" applyFont="1" applyFill="1"/>
    <xf numFmtId="0" fontId="10" fillId="15" borderId="0" xfId="3" applyFont="1" applyFill="1" applyAlignment="1">
      <alignment horizontal="center"/>
    </xf>
    <xf numFmtId="14" fontId="10" fillId="15" borderId="0" xfId="3" applyNumberFormat="1" applyFont="1" applyFill="1" applyAlignment="1">
      <alignment horizontal="center"/>
    </xf>
    <xf numFmtId="169" fontId="10" fillId="15"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66" fontId="9" fillId="0" borderId="0" xfId="0" applyNumberFormat="1" applyFont="1"/>
    <xf numFmtId="177" fontId="31" fillId="9" borderId="11" xfId="0" applyNumberFormat="1" applyFont="1" applyFill="1" applyBorder="1" applyAlignment="1">
      <alignment horizontal="center" vertical="center"/>
    </xf>
    <xf numFmtId="170" fontId="17" fillId="0" borderId="0" xfId="3" applyNumberFormat="1" applyFont="1" applyAlignment="1">
      <alignment horizontal="center" vertical="center" wrapText="1"/>
    </xf>
    <xf numFmtId="8" fontId="7" fillId="10" borderId="11" xfId="0" applyNumberFormat="1" applyFont="1" applyFill="1" applyBorder="1" applyAlignment="1">
      <alignment horizontal="left" vertical="center"/>
    </xf>
    <xf numFmtId="0" fontId="37" fillId="18" borderId="0" xfId="0" applyFont="1" applyFill="1" applyAlignment="1">
      <alignment horizontal="left"/>
    </xf>
    <xf numFmtId="0" fontId="9" fillId="18"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8" borderId="0" xfId="0" applyFont="1" applyFill="1" applyAlignment="1">
      <alignment horizontal="center"/>
    </xf>
    <xf numFmtId="0" fontId="27" fillId="0" borderId="0" xfId="0" applyFont="1" applyAlignment="1">
      <alignment horizontal="left"/>
    </xf>
    <xf numFmtId="49" fontId="14" fillId="13"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167" fontId="39"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8" fillId="3" borderId="1" xfId="1" applyNumberFormat="1" applyFont="1" applyFill="1" applyBorder="1" applyAlignment="1">
      <alignment horizontal="center" vertical="center"/>
    </xf>
    <xf numFmtId="167" fontId="38"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9" fontId="16" fillId="15"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9" fontId="16" fillId="0" borderId="0" xfId="0" applyNumberFormat="1" applyFont="1"/>
    <xf numFmtId="0" fontId="9" fillId="6" borderId="0" xfId="0" applyFont="1" applyFill="1"/>
    <xf numFmtId="0" fontId="11" fillId="6" borderId="0" xfId="0" applyFont="1" applyFill="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167" fontId="7" fillId="3" borderId="0" xfId="1" applyNumberFormat="1" applyFont="1" applyFill="1" applyBorder="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8" borderId="0" xfId="0" applyFont="1" applyFill="1"/>
    <xf numFmtId="15" fontId="11" fillId="18" borderId="20" xfId="0" applyNumberFormat="1" applyFont="1" applyFill="1" applyBorder="1"/>
    <xf numFmtId="0" fontId="11" fillId="10" borderId="0" xfId="0" applyFont="1" applyFill="1"/>
    <xf numFmtId="171" fontId="9" fillId="0" borderId="0" xfId="0" applyNumberFormat="1" applyFont="1" applyAlignment="1">
      <alignment horizontal="center"/>
    </xf>
    <xf numFmtId="14" fontId="10" fillId="15" borderId="0" xfId="3" applyNumberFormat="1" applyFont="1" applyFill="1"/>
    <xf numFmtId="167" fontId="32" fillId="9" borderId="11" xfId="0" applyNumberFormat="1" applyFont="1" applyFill="1" applyBorder="1" applyAlignment="1">
      <alignment horizontal="center" vertical="center"/>
    </xf>
    <xf numFmtId="167" fontId="11" fillId="0" borderId="0" xfId="0" applyNumberFormat="1" applyFont="1"/>
    <xf numFmtId="167" fontId="11" fillId="0" borderId="4" xfId="0" applyNumberFormat="1" applyFont="1" applyBorder="1"/>
    <xf numFmtId="167" fontId="31" fillId="0" borderId="11" xfId="0" applyNumberFormat="1" applyFont="1" applyBorder="1" applyAlignment="1">
      <alignment horizontal="center" vertical="center"/>
    </xf>
    <xf numFmtId="0" fontId="40" fillId="0" borderId="4" xfId="0" applyFont="1" applyBorder="1"/>
    <xf numFmtId="0" fontId="41" fillId="0" borderId="0" xfId="0" applyFont="1"/>
    <xf numFmtId="4" fontId="41" fillId="0" borderId="0" xfId="0" applyNumberFormat="1" applyFont="1"/>
    <xf numFmtId="8" fontId="7" fillId="0" borderId="2" xfId="0" applyNumberFormat="1" applyFont="1" applyBorder="1" applyAlignment="1">
      <alignment horizontal="center" vertical="center"/>
    </xf>
    <xf numFmtId="170" fontId="16" fillId="15" borderId="0" xfId="3" applyNumberFormat="1" applyFont="1" applyFill="1" applyAlignment="1">
      <alignment horizontal="center"/>
    </xf>
    <xf numFmtId="170" fontId="16" fillId="5" borderId="0" xfId="3" applyNumberFormat="1" applyFont="1" applyFill="1" applyAlignment="1">
      <alignment horizontal="center"/>
    </xf>
    <xf numFmtId="4" fontId="7" fillId="0" borderId="0" xfId="0" applyNumberFormat="1" applyFont="1" applyAlignment="1">
      <alignment horizontal="center" vertical="center"/>
    </xf>
    <xf numFmtId="0" fontId="11" fillId="16" borderId="0" xfId="0" applyFont="1" applyFill="1"/>
    <xf numFmtId="15" fontId="11" fillId="16" borderId="0" xfId="0" applyNumberFormat="1" applyFont="1" applyFill="1" applyAlignment="1">
      <alignment horizontal="center"/>
    </xf>
    <xf numFmtId="0" fontId="11" fillId="16" borderId="0" xfId="0" applyFont="1" applyFill="1" applyAlignment="1">
      <alignment horizontal="center"/>
    </xf>
    <xf numFmtId="0" fontId="11" fillId="16" borderId="0" xfId="0" applyFont="1" applyFill="1" applyAlignment="1">
      <alignment horizontal="left" indent="1"/>
    </xf>
    <xf numFmtId="0" fontId="2" fillId="2" borderId="0" xfId="0" applyFont="1" applyFill="1" applyAlignment="1">
      <alignment horizontal="left" vertical="center" wrapText="1" indent="1"/>
    </xf>
    <xf numFmtId="8" fontId="7" fillId="10" borderId="0" xfId="0" applyNumberFormat="1" applyFont="1" applyFill="1" applyAlignment="1">
      <alignment horizontal="center" vertical="center"/>
    </xf>
    <xf numFmtId="8" fontId="7" fillId="10" borderId="0" xfId="0" applyNumberFormat="1" applyFont="1" applyFill="1" applyAlignment="1">
      <alignment horizontal="left" vertical="center" indent="1"/>
    </xf>
    <xf numFmtId="8" fontId="8" fillId="0" borderId="0" xfId="0" applyNumberFormat="1" applyFont="1" applyAlignment="1">
      <alignment horizontal="left" vertical="center"/>
    </xf>
    <xf numFmtId="8" fontId="8" fillId="0" borderId="0" xfId="0" applyNumberFormat="1" applyFont="1" applyAlignment="1">
      <alignment horizontal="center" vertical="center"/>
    </xf>
    <xf numFmtId="4" fontId="8" fillId="0" borderId="0" xfId="0" applyNumberFormat="1" applyFont="1" applyAlignment="1">
      <alignment horizontal="center" vertical="center"/>
    </xf>
    <xf numFmtId="8" fontId="8" fillId="0" borderId="0" xfId="0" applyNumberFormat="1" applyFont="1" applyAlignment="1">
      <alignment horizontal="left" vertical="center" indent="1"/>
    </xf>
    <xf numFmtId="8" fontId="6" fillId="0" borderId="0" xfId="0" applyNumberFormat="1" applyFont="1" applyAlignment="1">
      <alignment horizontal="left" vertical="center" indent="1"/>
    </xf>
    <xf numFmtId="8" fontId="7" fillId="14" borderId="0" xfId="0" applyNumberFormat="1" applyFont="1" applyFill="1" applyAlignment="1">
      <alignment horizontal="center" vertical="center"/>
    </xf>
    <xf numFmtId="8" fontId="7" fillId="3" borderId="1" xfId="0" applyNumberFormat="1" applyFont="1" applyFill="1" applyBorder="1" applyAlignment="1">
      <alignment horizontal="left" vertical="center" indent="1"/>
    </xf>
    <xf numFmtId="8" fontId="7" fillId="0" borderId="0" xfId="0" applyNumberFormat="1" applyFont="1" applyAlignment="1">
      <alignment horizontal="left" vertical="center" indent="1"/>
    </xf>
    <xf numFmtId="0" fontId="9" fillId="0" borderId="0" xfId="0" applyFont="1" applyAlignment="1">
      <alignment horizontal="left" indent="1"/>
    </xf>
    <xf numFmtId="181" fontId="44" fillId="0" borderId="0" xfId="0" applyNumberFormat="1" applyFont="1" applyAlignment="1">
      <alignment horizontal="center" vertical="center"/>
    </xf>
    <xf numFmtId="181" fontId="44" fillId="0" borderId="2" xfId="0" applyNumberFormat="1" applyFont="1" applyBorder="1" applyAlignment="1">
      <alignment horizontal="center" vertical="center"/>
    </xf>
    <xf numFmtId="181" fontId="44" fillId="17" borderId="1" xfId="0" applyNumberFormat="1" applyFont="1" applyFill="1" applyBorder="1" applyAlignment="1">
      <alignment horizontal="center" vertical="center"/>
    </xf>
    <xf numFmtId="0" fontId="44" fillId="0" borderId="0" xfId="0" applyFont="1" applyAlignment="1">
      <alignment horizontal="center"/>
    </xf>
    <xf numFmtId="0" fontId="45" fillId="2" borderId="3" xfId="0" applyFont="1" applyFill="1" applyBorder="1" applyAlignment="1">
      <alignment horizontal="centerContinuous" vertical="center"/>
    </xf>
    <xf numFmtId="0" fontId="44" fillId="0" borderId="0" xfId="0" applyFont="1" applyAlignment="1">
      <alignment horizontal="center" vertical="center"/>
    </xf>
    <xf numFmtId="0" fontId="11" fillId="0" borderId="0" xfId="0" applyFont="1" applyAlignment="1">
      <alignment vertical="center"/>
    </xf>
    <xf numFmtId="0" fontId="11" fillId="20" borderId="0" xfId="0" applyFont="1" applyFill="1" applyAlignment="1">
      <alignment vertical="center"/>
    </xf>
    <xf numFmtId="0" fontId="11" fillId="20" borderId="0" xfId="0" applyFont="1" applyFill="1" applyAlignment="1">
      <alignment horizontal="left" vertical="center"/>
    </xf>
    <xf numFmtId="0" fontId="44" fillId="20" borderId="0" xfId="0" applyFont="1" applyFill="1" applyAlignment="1">
      <alignment horizontal="center" vertical="center"/>
    </xf>
    <xf numFmtId="8" fontId="44"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82" fontId="16" fillId="6" borderId="0" xfId="3" applyNumberFormat="1" applyFont="1" applyFill="1" applyAlignment="1">
      <alignment horizontal="center"/>
    </xf>
    <xf numFmtId="182" fontId="16" fillId="5" borderId="0" xfId="4" applyNumberFormat="1" applyFont="1" applyFill="1" applyAlignment="1">
      <alignment horizontal="center"/>
    </xf>
    <xf numFmtId="183" fontId="16" fillId="6" borderId="0" xfId="3" applyNumberFormat="1" applyFont="1" applyFill="1" applyAlignment="1">
      <alignment horizontal="center"/>
    </xf>
    <xf numFmtId="167" fontId="16" fillId="0" borderId="0" xfId="0" applyNumberFormat="1" applyFont="1"/>
    <xf numFmtId="170" fontId="10" fillId="5" borderId="0" xfId="3" applyNumberFormat="1" applyFont="1" applyFill="1" applyAlignment="1">
      <alignment horizontal="center"/>
    </xf>
    <xf numFmtId="170" fontId="10" fillId="15" borderId="0" xfId="3" applyNumberFormat="1" applyFont="1" applyFill="1" applyAlignment="1">
      <alignment horizontal="center"/>
    </xf>
    <xf numFmtId="170" fontId="10" fillId="0" borderId="0" xfId="0" applyNumberFormat="1" applyFont="1"/>
    <xf numFmtId="0" fontId="47" fillId="0" borderId="9" xfId="0" applyFont="1" applyBorder="1"/>
    <xf numFmtId="0" fontId="48" fillId="0" borderId="4" xfId="0" applyFont="1" applyBorder="1" applyAlignment="1">
      <alignment horizontal="left"/>
    </xf>
    <xf numFmtId="0" fontId="47" fillId="0" borderId="4" xfId="0" applyFont="1" applyBorder="1" applyAlignment="1">
      <alignment horizontal="center"/>
    </xf>
    <xf numFmtId="167" fontId="47" fillId="0" borderId="4" xfId="0" applyNumberFormat="1" applyFont="1" applyBorder="1" applyAlignment="1">
      <alignment horizontal="center"/>
    </xf>
    <xf numFmtId="4" fontId="47" fillId="0" borderId="4" xfId="0" applyNumberFormat="1" applyFont="1" applyBorder="1" applyAlignment="1">
      <alignment horizontal="center"/>
    </xf>
    <xf numFmtId="166" fontId="47" fillId="0" borderId="4" xfId="0" applyNumberFormat="1" applyFont="1" applyBorder="1" applyAlignment="1">
      <alignment horizontal="center"/>
    </xf>
    <xf numFmtId="0" fontId="47" fillId="0" borderId="10" xfId="0" applyFont="1" applyBorder="1"/>
    <xf numFmtId="0" fontId="47" fillId="0" borderId="0" xfId="0" applyFont="1"/>
    <xf numFmtId="0" fontId="43" fillId="0" borderId="0" xfId="0" applyFont="1" applyAlignment="1">
      <alignment horizontal="left"/>
    </xf>
    <xf numFmtId="0" fontId="12" fillId="12" borderId="0" xfId="3" applyFont="1" applyFill="1" applyAlignment="1">
      <alignment vertical="center" wrapText="1"/>
    </xf>
    <xf numFmtId="170" fontId="12" fillId="12" borderId="0" xfId="3" applyNumberFormat="1" applyFont="1" applyFill="1" applyAlignment="1">
      <alignment horizontal="center" vertical="center" wrapText="1"/>
    </xf>
    <xf numFmtId="0" fontId="12" fillId="12" borderId="0" xfId="3" applyFont="1" applyFill="1" applyAlignment="1">
      <alignment horizontal="center" vertical="center" wrapText="1"/>
    </xf>
    <xf numFmtId="0" fontId="12" fillId="7" borderId="0" xfId="3" applyFont="1" applyFill="1" applyAlignment="1">
      <alignment horizontal="left" vertical="center" wrapText="1"/>
    </xf>
    <xf numFmtId="0" fontId="37" fillId="18" borderId="0" xfId="0" applyFont="1" applyFill="1" applyAlignment="1">
      <alignment horizontal="center"/>
    </xf>
    <xf numFmtId="0" fontId="18" fillId="18" borderId="0" xfId="0" applyFont="1" applyFill="1" applyAlignment="1">
      <alignment horizontal="center"/>
    </xf>
    <xf numFmtId="6" fontId="10" fillId="0" borderId="0" xfId="0" applyNumberFormat="1" applyFont="1" applyAlignment="1">
      <alignment horizontal="center"/>
    </xf>
    <xf numFmtId="8" fontId="24" fillId="0" borderId="0" xfId="0" applyNumberFormat="1" applyFont="1" applyAlignment="1">
      <alignment horizontal="center" vertical="center"/>
    </xf>
    <xf numFmtId="167" fontId="10" fillId="0" borderId="0" xfId="0" applyNumberFormat="1" applyFont="1"/>
    <xf numFmtId="169" fontId="10" fillId="0" borderId="0" xfId="0" applyNumberFormat="1" applyFont="1"/>
    <xf numFmtId="6" fontId="10" fillId="0" borderId="0" xfId="0" applyNumberFormat="1" applyFont="1"/>
    <xf numFmtId="49" fontId="52" fillId="0" borderId="2" xfId="1" applyNumberFormat="1" applyFont="1" applyFill="1" applyBorder="1" applyAlignment="1">
      <alignment horizontal="center" vertical="center"/>
    </xf>
    <xf numFmtId="49" fontId="53" fillId="0" borderId="2" xfId="1" applyNumberFormat="1" applyFont="1" applyFill="1" applyBorder="1" applyAlignment="1">
      <alignment horizontal="center" vertical="center"/>
    </xf>
    <xf numFmtId="49" fontId="44" fillId="3" borderId="1" xfId="1" applyNumberFormat="1" applyFont="1" applyFill="1" applyBorder="1" applyAlignment="1">
      <alignment horizontal="center" vertical="center"/>
    </xf>
    <xf numFmtId="0" fontId="54" fillId="0" borderId="0" xfId="0" applyFont="1"/>
    <xf numFmtId="0" fontId="55" fillId="0" borderId="0" xfId="0" applyFont="1"/>
    <xf numFmtId="14" fontId="10" fillId="6" borderId="0" xfId="3" applyNumberFormat="1" applyFont="1" applyFill="1" applyAlignment="1">
      <alignment horizontal="left"/>
    </xf>
    <xf numFmtId="14" fontId="10" fillId="11" borderId="0" xfId="3" applyNumberFormat="1" applyFont="1" applyFill="1" applyAlignment="1">
      <alignment horizontal="left"/>
    </xf>
    <xf numFmtId="0" fontId="10" fillId="15" borderId="0" xfId="3" applyFont="1" applyFill="1" applyAlignment="1">
      <alignment horizontal="left"/>
    </xf>
    <xf numFmtId="8" fontId="56" fillId="3" borderId="0" xfId="0" applyNumberFormat="1" applyFont="1" applyFill="1" applyAlignment="1">
      <alignment horizontal="left" vertical="center"/>
    </xf>
    <xf numFmtId="8" fontId="56" fillId="3" borderId="0" xfId="0" applyNumberFormat="1" applyFont="1" applyFill="1" applyAlignment="1">
      <alignment horizontal="center" vertical="center"/>
    </xf>
    <xf numFmtId="167" fontId="56" fillId="3" borderId="0" xfId="1" applyNumberFormat="1" applyFont="1" applyFill="1" applyBorder="1" applyAlignment="1">
      <alignment horizontal="center" vertical="center"/>
    </xf>
    <xf numFmtId="169" fontId="56" fillId="3" borderId="0" xfId="0" applyNumberFormat="1" applyFont="1" applyFill="1" applyAlignment="1">
      <alignment horizontal="center" vertical="center"/>
    </xf>
    <xf numFmtId="168" fontId="56" fillId="3" borderId="0" xfId="0" applyNumberFormat="1" applyFont="1" applyFill="1" applyAlignment="1">
      <alignment horizontal="center" vertical="center"/>
    </xf>
    <xf numFmtId="8" fontId="7" fillId="13" borderId="2" xfId="0" applyNumberFormat="1" applyFont="1" applyFill="1" applyBorder="1" applyAlignment="1">
      <alignment horizontal="left" vertical="center"/>
    </xf>
    <xf numFmtId="0" fontId="27" fillId="0" borderId="8" xfId="0" applyFont="1" applyBorder="1" applyAlignment="1">
      <alignment horizontal="center"/>
    </xf>
    <xf numFmtId="0" fontId="9" fillId="0" borderId="8" xfId="0" applyFont="1" applyBorder="1" applyAlignment="1">
      <alignment horizontal="center"/>
    </xf>
    <xf numFmtId="178" fontId="9" fillId="0" borderId="7" xfId="0" applyNumberFormat="1" applyFont="1" applyBorder="1"/>
    <xf numFmtId="0" fontId="9" fillId="0" borderId="4" xfId="0" applyFont="1" applyBorder="1"/>
    <xf numFmtId="0" fontId="27" fillId="0" borderId="10" xfId="0" applyFont="1" applyBorder="1" applyAlignment="1">
      <alignment horizontal="center"/>
    </xf>
    <xf numFmtId="0" fontId="58" fillId="0" borderId="0" xfId="0" applyFont="1"/>
    <xf numFmtId="177" fontId="58" fillId="0" borderId="0" xfId="0" applyNumberFormat="1" applyFont="1"/>
    <xf numFmtId="14" fontId="16" fillId="15" borderId="0" xfId="3" applyNumberFormat="1" applyFont="1" applyFill="1"/>
    <xf numFmtId="14" fontId="16" fillId="5" borderId="0" xfId="3" applyNumberFormat="1" applyFont="1" applyFill="1"/>
    <xf numFmtId="186" fontId="17" fillId="7" borderId="0" xfId="3" applyNumberFormat="1" applyFont="1" applyFill="1" applyAlignment="1">
      <alignment horizontal="center" vertical="center" wrapText="1"/>
    </xf>
    <xf numFmtId="186" fontId="16" fillId="15" borderId="0" xfId="4" applyNumberFormat="1" applyFont="1" applyFill="1" applyAlignment="1">
      <alignment horizontal="center"/>
    </xf>
    <xf numFmtId="186" fontId="16" fillId="5" borderId="0" xfId="4" applyNumberFormat="1" applyFont="1" applyFill="1" applyAlignment="1">
      <alignment horizontal="center"/>
    </xf>
    <xf numFmtId="186" fontId="16" fillId="6" borderId="0" xfId="3" applyNumberFormat="1" applyFont="1" applyFill="1" applyAlignment="1">
      <alignment horizontal="center"/>
    </xf>
    <xf numFmtId="3" fontId="46" fillId="0" borderId="0" xfId="0" applyNumberFormat="1" applyFont="1" applyAlignment="1">
      <alignment horizontal="center"/>
    </xf>
    <xf numFmtId="3" fontId="56" fillId="0" borderId="0" xfId="0" applyNumberFormat="1" applyFont="1" applyAlignment="1">
      <alignment horizontal="left"/>
    </xf>
    <xf numFmtId="3" fontId="46" fillId="0" borderId="0" xfId="0" applyNumberFormat="1" applyFont="1" applyAlignment="1">
      <alignment horizontal="left"/>
    </xf>
    <xf numFmtId="3" fontId="59" fillId="0" borderId="0" xfId="0" applyNumberFormat="1" applyFont="1" applyAlignment="1">
      <alignment horizontal="center"/>
    </xf>
    <xf numFmtId="0" fontId="47" fillId="0" borderId="7" xfId="0" applyFont="1" applyBorder="1"/>
    <xf numFmtId="0" fontId="48" fillId="0" borderId="0" xfId="0" applyFont="1" applyAlignment="1">
      <alignment horizontal="left"/>
    </xf>
    <xf numFmtId="3" fontId="47" fillId="0" borderId="0" xfId="0" applyNumberFormat="1" applyFont="1" applyAlignment="1">
      <alignment horizontal="center"/>
    </xf>
    <xf numFmtId="0" fontId="47" fillId="0" borderId="8" xfId="0" applyFont="1" applyBorder="1"/>
    <xf numFmtId="3" fontId="60"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8" borderId="0" xfId="0" applyFont="1" applyFill="1"/>
    <xf numFmtId="15" fontId="18" fillId="18" borderId="20" xfId="0" applyNumberFormat="1" applyFont="1" applyFill="1" applyBorder="1" applyAlignment="1">
      <alignment horizontal="center"/>
    </xf>
    <xf numFmtId="187" fontId="6" fillId="0" borderId="2" xfId="0" applyNumberFormat="1" applyFont="1" applyBorder="1" applyAlignment="1">
      <alignment horizontal="center" vertical="center"/>
    </xf>
    <xf numFmtId="169" fontId="6" fillId="18" borderId="2" xfId="0" applyNumberFormat="1" applyFont="1" applyFill="1" applyBorder="1" applyAlignment="1">
      <alignment horizontal="center" vertical="center"/>
    </xf>
    <xf numFmtId="8" fontId="7" fillId="0" borderId="23" xfId="0" applyNumberFormat="1" applyFont="1" applyBorder="1" applyAlignment="1">
      <alignment horizontal="left" vertical="center"/>
    </xf>
    <xf numFmtId="169" fontId="6" fillId="0" borderId="24" xfId="0" applyNumberFormat="1" applyFont="1" applyBorder="1" applyAlignment="1">
      <alignment horizontal="center" vertical="center"/>
    </xf>
    <xf numFmtId="8" fontId="7" fillId="0" borderId="25" xfId="0" applyNumberFormat="1" applyFont="1" applyBorder="1" applyAlignment="1">
      <alignment horizontal="left" vertical="center"/>
    </xf>
    <xf numFmtId="169" fontId="6" fillId="0" borderId="26" xfId="0" applyNumberFormat="1" applyFont="1" applyBorder="1" applyAlignment="1">
      <alignment horizontal="center" vertical="center"/>
    </xf>
    <xf numFmtId="8" fontId="7" fillId="0" borderId="18" xfId="0" applyNumberFormat="1" applyFont="1" applyBorder="1" applyAlignment="1">
      <alignment horizontal="left" vertical="center"/>
    </xf>
    <xf numFmtId="169" fontId="6" fillId="0" borderId="19" xfId="0" applyNumberFormat="1" applyFont="1" applyBorder="1" applyAlignment="1">
      <alignment horizontal="center" vertical="center"/>
    </xf>
    <xf numFmtId="8" fontId="7" fillId="0" borderId="27" xfId="0" applyNumberFormat="1" applyFont="1" applyBorder="1" applyAlignment="1">
      <alignment horizontal="left" vertical="center"/>
    </xf>
    <xf numFmtId="169" fontId="6" fillId="0" borderId="28" xfId="0" applyNumberFormat="1" applyFont="1" applyBorder="1" applyAlignment="1">
      <alignment horizontal="center" vertical="center"/>
    </xf>
    <xf numFmtId="0" fontId="2" fillId="12"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0" fontId="61" fillId="0" borderId="0" xfId="0" applyFont="1"/>
    <xf numFmtId="8" fontId="61" fillId="0" borderId="0" xfId="0" applyNumberFormat="1" applyFont="1"/>
    <xf numFmtId="0" fontId="10" fillId="8" borderId="0" xfId="0" applyFont="1" applyFill="1"/>
    <xf numFmtId="0" fontId="10" fillId="8" borderId="0" xfId="0" applyFont="1" applyFill="1" applyAlignment="1">
      <alignment horizontal="center"/>
    </xf>
    <xf numFmtId="167" fontId="34" fillId="13" borderId="15" xfId="0" applyNumberFormat="1" applyFont="1" applyFill="1" applyBorder="1" applyAlignment="1">
      <alignment horizontal="center"/>
    </xf>
    <xf numFmtId="14" fontId="16" fillId="21" borderId="0" xfId="3" applyNumberFormat="1" applyFont="1" applyFill="1"/>
    <xf numFmtId="166" fontId="6" fillId="0" borderId="2" xfId="0" applyNumberFormat="1" applyFont="1" applyBorder="1" applyAlignment="1">
      <alignment horizontal="center" vertical="center"/>
    </xf>
    <xf numFmtId="14" fontId="10" fillId="22" borderId="0" xfId="3" applyNumberFormat="1" applyFont="1" applyFill="1" applyAlignment="1">
      <alignment horizontal="left"/>
    </xf>
    <xf numFmtId="14" fontId="10" fillId="22" borderId="0" xfId="3" applyNumberFormat="1" applyFont="1" applyFill="1" applyAlignment="1">
      <alignment horizontal="center"/>
    </xf>
    <xf numFmtId="170" fontId="10" fillId="22" borderId="0" xfId="3" applyNumberFormat="1" applyFont="1" applyFill="1" applyAlignment="1">
      <alignment horizontal="center"/>
    </xf>
    <xf numFmtId="8" fontId="10" fillId="22" borderId="0" xfId="4" applyNumberFormat="1" applyFont="1" applyFill="1" applyAlignment="1">
      <alignment horizontal="center"/>
    </xf>
    <xf numFmtId="0" fontId="36" fillId="0" borderId="0" xfId="0" applyFont="1"/>
    <xf numFmtId="14" fontId="36"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10" fontId="10" fillId="0" borderId="0" xfId="1" applyNumberFormat="1" applyFont="1"/>
    <xf numFmtId="0" fontId="9" fillId="3" borderId="4" xfId="0" applyFont="1" applyFill="1" applyBorder="1"/>
    <xf numFmtId="4" fontId="46" fillId="0" borderId="0" xfId="0" applyNumberFormat="1" applyFont="1" applyAlignment="1">
      <alignment horizontal="center"/>
    </xf>
    <xf numFmtId="164" fontId="9" fillId="0" borderId="0" xfId="0" applyNumberFormat="1" applyFont="1" applyAlignment="1">
      <alignment horizontal="center"/>
    </xf>
    <xf numFmtId="15" fontId="11" fillId="10" borderId="7" xfId="0" applyNumberFormat="1" applyFont="1" applyFill="1" applyBorder="1"/>
    <xf numFmtId="15" fontId="11" fillId="10" borderId="0" xfId="0" applyNumberFormat="1" applyFont="1" applyFill="1"/>
    <xf numFmtId="15" fontId="11" fillId="10" borderId="8" xfId="0" applyNumberFormat="1" applyFont="1" applyFill="1" applyBorder="1"/>
    <xf numFmtId="178" fontId="9" fillId="23" borderId="5" xfId="0" applyNumberFormat="1" applyFont="1" applyFill="1" applyBorder="1"/>
    <xf numFmtId="0" fontId="9" fillId="23" borderId="3" xfId="0" applyFont="1" applyFill="1" applyBorder="1" applyAlignment="1">
      <alignment horizontal="center"/>
    </xf>
    <xf numFmtId="0" fontId="27" fillId="23" borderId="6" xfId="0" applyFont="1" applyFill="1" applyBorder="1" applyAlignment="1">
      <alignment horizontal="center"/>
    </xf>
    <xf numFmtId="8" fontId="2" fillId="23" borderId="5" xfId="0" applyNumberFormat="1" applyFont="1" applyFill="1" applyBorder="1" applyAlignment="1">
      <alignment horizontal="left" vertical="center" indent="1"/>
    </xf>
    <xf numFmtId="8" fontId="2" fillId="23" borderId="3" xfId="0" applyNumberFormat="1" applyFont="1" applyFill="1" applyBorder="1" applyAlignment="1">
      <alignment horizontal="left" vertical="center" indent="1"/>
    </xf>
    <xf numFmtId="189" fontId="16" fillId="6" borderId="0" xfId="3" applyNumberFormat="1" applyFont="1" applyFill="1" applyAlignment="1">
      <alignment horizontal="center"/>
    </xf>
    <xf numFmtId="8" fontId="16" fillId="15" borderId="0" xfId="4" applyNumberFormat="1" applyFont="1" applyFill="1" applyAlignment="1">
      <alignment horizontal="center"/>
    </xf>
    <xf numFmtId="0" fontId="11" fillId="18" borderId="0" xfId="0" applyFont="1" applyFill="1" applyAlignment="1">
      <alignment horizontal="center"/>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7" fillId="0" borderId="10" xfId="0" applyFont="1" applyBorder="1" applyAlignment="1">
      <alignment horizontal="center"/>
    </xf>
    <xf numFmtId="4" fontId="9" fillId="0" borderId="0" xfId="0" applyNumberFormat="1" applyFont="1" applyAlignment="1">
      <alignment horizontal="center"/>
    </xf>
    <xf numFmtId="8" fontId="2" fillId="23" borderId="6" xfId="0" applyNumberFormat="1" applyFont="1" applyFill="1" applyBorder="1" applyAlignment="1">
      <alignment horizontal="left" vertical="center" indent="1"/>
    </xf>
    <xf numFmtId="0" fontId="9" fillId="23" borderId="6" xfId="0" applyFont="1" applyFill="1" applyBorder="1"/>
    <xf numFmtId="0" fontId="9" fillId="23" borderId="3" xfId="0" applyFont="1" applyFill="1" applyBorder="1"/>
    <xf numFmtId="0" fontId="9" fillId="0" borderId="7" xfId="10" applyFont="1" applyBorder="1" applyAlignment="1">
      <alignment horizontal="left" vertical="center" indent="1"/>
    </xf>
    <xf numFmtId="188" fontId="9" fillId="0" borderId="0" xfId="11" applyNumberFormat="1" applyFont="1" applyFill="1" applyBorder="1">
      <alignment vertical="center"/>
    </xf>
    <xf numFmtId="0" fontId="9" fillId="0" borderId="8" xfId="10" applyFont="1" applyBorder="1">
      <alignment vertical="center"/>
    </xf>
    <xf numFmtId="185" fontId="9" fillId="0" borderId="0" xfId="12" applyNumberFormat="1" applyFont="1" applyFill="1" applyBorder="1">
      <alignment vertical="center"/>
    </xf>
    <xf numFmtId="184" fontId="9" fillId="0" borderId="0" xfId="11" applyFont="1" applyFill="1" applyBorder="1">
      <alignment vertical="center"/>
    </xf>
    <xf numFmtId="9" fontId="9" fillId="0" borderId="0" xfId="12" applyFont="1" applyFill="1" applyBorder="1">
      <alignment vertical="center"/>
    </xf>
    <xf numFmtId="165" fontId="9" fillId="0" borderId="8" xfId="10" applyNumberFormat="1" applyFont="1" applyBorder="1">
      <alignment vertical="center"/>
    </xf>
    <xf numFmtId="0" fontId="9" fillId="0" borderId="0" xfId="10" applyFont="1">
      <alignment vertical="center"/>
    </xf>
    <xf numFmtId="184" fontId="9" fillId="0" borderId="0" xfId="10" applyNumberFormat="1" applyFont="1">
      <alignment vertical="center"/>
    </xf>
    <xf numFmtId="0" fontId="9" fillId="0" borderId="9" xfId="10" applyFont="1" applyBorder="1" applyAlignment="1">
      <alignment horizontal="left" vertical="center" indent="1"/>
    </xf>
    <xf numFmtId="166" fontId="9" fillId="0" borderId="4" xfId="10" applyNumberFormat="1" applyFont="1" applyBorder="1">
      <alignment vertical="center"/>
    </xf>
    <xf numFmtId="10" fontId="7" fillId="0" borderId="2" xfId="1" applyNumberFormat="1" applyFont="1" applyFill="1" applyBorder="1" applyAlignment="1">
      <alignment horizontal="center" vertical="center"/>
    </xf>
    <xf numFmtId="10" fontId="18" fillId="13" borderId="15" xfId="0" applyNumberFormat="1" applyFont="1" applyFill="1" applyBorder="1" applyAlignment="1">
      <alignment horizontal="center"/>
    </xf>
    <xf numFmtId="10" fontId="32" fillId="9" borderId="11" xfId="0" applyNumberFormat="1" applyFont="1" applyFill="1" applyBorder="1" applyAlignment="1">
      <alignment horizontal="center" vertical="center"/>
    </xf>
    <xf numFmtId="190" fontId="9" fillId="0" borderId="0" xfId="0" applyNumberFormat="1" applyFont="1" applyAlignment="1">
      <alignment horizontal="center"/>
    </xf>
    <xf numFmtId="192" fontId="14" fillId="0" borderId="0" xfId="0" applyNumberFormat="1" applyFont="1" applyAlignment="1">
      <alignment horizontal="center" vertical="center"/>
    </xf>
    <xf numFmtId="4" fontId="61" fillId="0" borderId="0" xfId="0" applyNumberFormat="1" applyFont="1"/>
    <xf numFmtId="8" fontId="8" fillId="0" borderId="21" xfId="0" applyNumberFormat="1" applyFont="1" applyBorder="1" applyAlignment="1">
      <alignment horizontal="center" vertical="center"/>
    </xf>
    <xf numFmtId="8" fontId="7" fillId="0" borderId="21" xfId="0" applyNumberFormat="1" applyFont="1" applyBorder="1" applyAlignment="1">
      <alignment horizontal="center" vertical="center"/>
    </xf>
    <xf numFmtId="8" fontId="7" fillId="13" borderId="21" xfId="0" applyNumberFormat="1" applyFont="1" applyFill="1" applyBorder="1" applyAlignment="1">
      <alignment horizontal="center" vertical="center"/>
    </xf>
    <xf numFmtId="8" fontId="7" fillId="0" borderId="22" xfId="0" applyNumberFormat="1" applyFont="1" applyBorder="1" applyAlignment="1">
      <alignment horizontal="center" vertical="center"/>
    </xf>
    <xf numFmtId="8" fontId="7" fillId="10" borderId="27" xfId="0" applyNumberFormat="1" applyFont="1" applyFill="1" applyBorder="1" applyAlignment="1">
      <alignment horizontal="left" vertical="center"/>
    </xf>
    <xf numFmtId="8" fontId="7" fillId="10" borderId="11" xfId="0" applyNumberFormat="1" applyFont="1" applyFill="1" applyBorder="1" applyAlignment="1">
      <alignment horizontal="center" vertical="center"/>
    </xf>
    <xf numFmtId="8" fontId="44" fillId="11" borderId="29" xfId="0" applyNumberFormat="1" applyFont="1" applyFill="1" applyBorder="1" applyAlignment="1">
      <alignment horizontal="center" vertical="center"/>
    </xf>
    <xf numFmtId="8" fontId="44" fillId="11" borderId="11" xfId="0" applyNumberFormat="1" applyFont="1" applyFill="1" applyBorder="1" applyAlignment="1">
      <alignment horizontal="center" vertical="center"/>
    </xf>
    <xf numFmtId="8" fontId="7" fillId="10" borderId="28" xfId="0" applyNumberFormat="1" applyFont="1" applyFill="1" applyBorder="1" applyAlignment="1">
      <alignment horizontal="left" vertical="center" indent="1"/>
    </xf>
    <xf numFmtId="8" fontId="38" fillId="10" borderId="11" xfId="0" applyNumberFormat="1" applyFont="1" applyFill="1" applyBorder="1" applyAlignment="1">
      <alignment horizontal="center" vertical="center"/>
    </xf>
    <xf numFmtId="8" fontId="7" fillId="10" borderId="27" xfId="0" applyNumberFormat="1" applyFont="1" applyFill="1" applyBorder="1" applyAlignment="1">
      <alignment horizontal="center" vertical="center"/>
    </xf>
    <xf numFmtId="8" fontId="14" fillId="0" borderId="13" xfId="0" applyNumberFormat="1" applyFont="1" applyBorder="1" applyAlignment="1">
      <alignment horizontal="center" vertical="center"/>
    </xf>
    <xf numFmtId="4" fontId="10" fillId="0" borderId="0" xfId="0" applyNumberFormat="1" applyFont="1"/>
    <xf numFmtId="191" fontId="31" fillId="0" borderId="2" xfId="0" applyNumberFormat="1" applyFont="1" applyBorder="1" applyAlignment="1">
      <alignment horizontal="center" vertical="center"/>
    </xf>
    <xf numFmtId="0" fontId="64" fillId="24" borderId="0" xfId="0" applyFont="1" applyFill="1"/>
    <xf numFmtId="8" fontId="8" fillId="10" borderId="2" xfId="0" applyNumberFormat="1" applyFont="1" applyFill="1" applyBorder="1" applyAlignment="1">
      <alignment horizontal="left" vertical="center"/>
    </xf>
    <xf numFmtId="8" fontId="8" fillId="10" borderId="2" xfId="0" applyNumberFormat="1" applyFont="1" applyFill="1" applyBorder="1" applyAlignment="1">
      <alignment horizontal="center" vertical="center"/>
    </xf>
    <xf numFmtId="8" fontId="28" fillId="10" borderId="2" xfId="0" applyNumberFormat="1" applyFont="1" applyFill="1" applyBorder="1" applyAlignment="1">
      <alignment horizontal="center" vertical="center"/>
    </xf>
    <xf numFmtId="8" fontId="14" fillId="10" borderId="2" xfId="0" applyNumberFormat="1" applyFont="1" applyFill="1" applyBorder="1" applyAlignment="1">
      <alignment horizontal="center" vertical="center"/>
    </xf>
    <xf numFmtId="3" fontId="8" fillId="10" borderId="2" xfId="0" applyNumberFormat="1" applyFont="1" applyFill="1" applyBorder="1" applyAlignment="1">
      <alignment horizontal="center" vertical="center"/>
    </xf>
    <xf numFmtId="167" fontId="8" fillId="10"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80" fontId="11" fillId="5" borderId="0" xfId="0" applyNumberFormat="1" applyFont="1" applyFill="1" applyAlignment="1">
      <alignment horizontal="center" vertical="center" wrapText="1"/>
    </xf>
    <xf numFmtId="8" fontId="65" fillId="0" borderId="2" xfId="0" applyNumberFormat="1" applyFont="1" applyBorder="1" applyAlignment="1">
      <alignment horizontal="center" vertical="center"/>
    </xf>
    <xf numFmtId="8" fontId="66" fillId="0" borderId="2" xfId="6" applyNumberFormat="1" applyFont="1" applyFill="1" applyBorder="1" applyAlignment="1">
      <alignment horizontal="center" vertical="center"/>
    </xf>
    <xf numFmtId="8" fontId="67" fillId="17"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7"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3" borderId="2" xfId="0" applyNumberFormat="1" applyFont="1" applyFill="1" applyBorder="1" applyAlignment="1">
      <alignment horizontal="center" vertical="center"/>
    </xf>
    <xf numFmtId="167" fontId="6" fillId="13"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11" fillId="4" borderId="0" xfId="0" applyFont="1" applyFill="1" applyAlignment="1">
      <alignment horizontal="center"/>
    </xf>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2" fontId="9" fillId="4" borderId="0" xfId="0" applyNumberFormat="1" applyFont="1" applyFill="1" applyAlignment="1">
      <alignment horizontal="center"/>
    </xf>
    <xf numFmtId="182"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0" xfId="0" applyNumberFormat="1" applyFont="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18" fillId="13" borderId="0" xfId="0" applyFont="1" applyFill="1"/>
    <xf numFmtId="177" fontId="18" fillId="13" borderId="0" xfId="0" applyNumberFormat="1" applyFont="1" applyFill="1" applyAlignment="1">
      <alignment horizontal="center"/>
    </xf>
    <xf numFmtId="0" fontId="62" fillId="0" borderId="0" xfId="0" applyFont="1" applyAlignment="1">
      <alignment horizontal="center"/>
    </xf>
    <xf numFmtId="0" fontId="27" fillId="0" borderId="8" xfId="0" applyFont="1" applyBorder="1" applyAlignment="1">
      <alignment horizontal="left" indent="1"/>
    </xf>
    <xf numFmtId="0" fontId="9" fillId="0" borderId="8" xfId="0" applyFont="1" applyBorder="1" applyAlignment="1">
      <alignment horizontal="left" indent="1"/>
    </xf>
    <xf numFmtId="9" fontId="9" fillId="0" borderId="0" xfId="0" applyNumberFormat="1" applyFont="1" applyAlignment="1">
      <alignment horizontal="center"/>
    </xf>
    <xf numFmtId="0" fontId="11" fillId="6" borderId="7" xfId="0" applyFont="1" applyFill="1" applyBorder="1" applyAlignment="1">
      <alignment horizontal="center"/>
    </xf>
    <xf numFmtId="0" fontId="9" fillId="0" borderId="30" xfId="0" applyFont="1" applyBorder="1"/>
    <xf numFmtId="0" fontId="11" fillId="0" borderId="30" xfId="0" applyFont="1" applyBorder="1"/>
    <xf numFmtId="0" fontId="63" fillId="0" borderId="7" xfId="0" applyFont="1" applyBorder="1"/>
    <xf numFmtId="0" fontId="9" fillId="23" borderId="6" xfId="0" applyFont="1" applyFill="1" applyBorder="1" applyAlignment="1">
      <alignment horizontal="center"/>
    </xf>
    <xf numFmtId="0" fontId="9" fillId="0" borderId="7" xfId="0" applyFont="1" applyBorder="1" applyAlignment="1">
      <alignment horizontal="left" indent="1"/>
    </xf>
    <xf numFmtId="8" fontId="9" fillId="0" borderId="8" xfId="0" applyNumberFormat="1" applyFont="1" applyBorder="1" applyAlignment="1">
      <alignment horizontal="right"/>
    </xf>
    <xf numFmtId="49" fontId="6" fillId="0" borderId="0" xfId="1" applyNumberFormat="1" applyFont="1" applyFill="1" applyBorder="1" applyAlignment="1">
      <alignment horizontal="center" vertical="center"/>
    </xf>
    <xf numFmtId="49" fontId="52"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5" fontId="9" fillId="0" borderId="0" xfId="0" applyNumberFormat="1" applyFont="1"/>
    <xf numFmtId="193" fontId="16" fillId="6" borderId="0" xfId="4" applyNumberFormat="1" applyFont="1" applyFill="1" applyAlignment="1">
      <alignment horizontal="center"/>
    </xf>
    <xf numFmtId="193" fontId="16" fillId="11" borderId="0" xfId="4" applyNumberFormat="1" applyFont="1" applyFill="1" applyAlignment="1">
      <alignment horizontal="center"/>
    </xf>
    <xf numFmtId="193" fontId="16" fillId="0" borderId="0" xfId="0" applyNumberFormat="1" applyFont="1"/>
    <xf numFmtId="193" fontId="17" fillId="8" borderId="0" xfId="3" applyNumberFormat="1" applyFont="1" applyFill="1" applyAlignment="1">
      <alignment horizontal="center" vertical="center" wrapText="1"/>
    </xf>
    <xf numFmtId="193"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8" fontId="14" fillId="0" borderId="0" xfId="0" applyNumberFormat="1" applyFont="1" applyAlignment="1">
      <alignment horizontal="center" vertical="center"/>
    </xf>
    <xf numFmtId="9" fontId="10" fillId="19" borderId="0" xfId="0" applyNumberFormat="1" applyFont="1" applyFill="1" applyAlignment="1">
      <alignment horizontal="center"/>
    </xf>
    <xf numFmtId="178" fontId="10" fillId="0" borderId="0" xfId="0" applyNumberFormat="1" applyFont="1"/>
    <xf numFmtId="0" fontId="10" fillId="0" borderId="11" xfId="0" applyFont="1" applyBorder="1" applyAlignment="1">
      <alignment horizontal="center"/>
    </xf>
    <xf numFmtId="167" fontId="56" fillId="3" borderId="0" xfId="0" applyNumberFormat="1" applyFont="1" applyFill="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6" fontId="9" fillId="0" borderId="0" xfId="10" applyNumberFormat="1" applyFont="1">
      <alignment vertical="center"/>
    </xf>
    <xf numFmtId="8" fontId="7" fillId="16" borderId="2" xfId="0" applyNumberFormat="1" applyFont="1" applyFill="1" applyBorder="1" applyAlignment="1">
      <alignment horizontal="left" vertical="center"/>
    </xf>
    <xf numFmtId="172" fontId="16" fillId="6" borderId="0" xfId="4" applyNumberFormat="1" applyFont="1" applyFill="1" applyAlignment="1">
      <alignment horizontal="center"/>
    </xf>
    <xf numFmtId="0" fontId="27" fillId="0" borderId="5" xfId="0" applyFont="1" applyBorder="1" applyAlignment="1">
      <alignment horizontal="left" indent="1"/>
    </xf>
    <xf numFmtId="0" fontId="35"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8" fillId="3" borderId="0" xfId="0" applyNumberFormat="1" applyFont="1" applyFill="1"/>
    <xf numFmtId="0" fontId="11" fillId="3" borderId="0" xfId="0" applyFont="1" applyFill="1"/>
    <xf numFmtId="194" fontId="18" fillId="13" borderId="17" xfId="0" applyNumberFormat="1" applyFont="1" applyFill="1" applyBorder="1" applyAlignment="1">
      <alignment horizontal="center"/>
    </xf>
    <xf numFmtId="194" fontId="31" fillId="0" borderId="11" xfId="0" applyNumberFormat="1" applyFont="1" applyBorder="1" applyAlignment="1">
      <alignment horizontal="center" vertical="center"/>
    </xf>
    <xf numFmtId="194" fontId="18" fillId="13" borderId="19" xfId="0" applyNumberFormat="1" applyFont="1" applyFill="1" applyBorder="1" applyAlignment="1">
      <alignment horizontal="center"/>
    </xf>
    <xf numFmtId="195" fontId="31" fillId="0" borderId="11" xfId="0" applyNumberFormat="1" applyFont="1" applyBorder="1" applyAlignment="1">
      <alignment horizontal="center" vertical="center"/>
    </xf>
    <xf numFmtId="169" fontId="58" fillId="0" borderId="11" xfId="0" applyNumberFormat="1" applyFont="1" applyBorder="1" applyAlignment="1">
      <alignment horizontal="center"/>
    </xf>
    <xf numFmtId="8" fontId="26" fillId="23" borderId="5" xfId="0" applyNumberFormat="1" applyFont="1" applyFill="1" applyBorder="1" applyAlignment="1">
      <alignment horizontal="left" vertical="center" indent="1"/>
    </xf>
    <xf numFmtId="0" fontId="33" fillId="0" borderId="0" xfId="0" applyFont="1" applyAlignment="1">
      <alignment horizontal="center"/>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169" fontId="16" fillId="6" borderId="0" xfId="4" applyNumberFormat="1" applyFont="1" applyFill="1" applyAlignment="1">
      <alignment horizontal="center"/>
    </xf>
    <xf numFmtId="169" fontId="16" fillId="11" borderId="0" xfId="4" applyNumberFormat="1" applyFont="1" applyFill="1" applyAlignment="1">
      <alignment horizontal="center"/>
    </xf>
    <xf numFmtId="8" fontId="6" fillId="13" borderId="2" xfId="0" applyNumberFormat="1" applyFont="1" applyFill="1" applyBorder="1" applyAlignment="1">
      <alignment horizontal="left" vertical="center"/>
    </xf>
    <xf numFmtId="8" fontId="6" fillId="13" borderId="2" xfId="0" applyNumberFormat="1" applyFont="1" applyFill="1" applyBorder="1" applyAlignment="1">
      <alignment horizontal="center" vertical="center"/>
    </xf>
    <xf numFmtId="169" fontId="36" fillId="15" borderId="0" xfId="4" applyNumberFormat="1" applyFont="1" applyFill="1" applyAlignment="1">
      <alignment horizontal="center"/>
    </xf>
    <xf numFmtId="0" fontId="0" fillId="0" borderId="0" xfId="0" applyAlignment="1">
      <alignment vertical="center"/>
    </xf>
    <xf numFmtId="14" fontId="10" fillId="5" borderId="0" xfId="3" applyNumberFormat="1" applyFont="1" applyFill="1"/>
    <xf numFmtId="196" fontId="46" fillId="4" borderId="0" xfId="0" applyNumberFormat="1" applyFont="1" applyFill="1" applyAlignment="1">
      <alignment horizontal="center"/>
    </xf>
    <xf numFmtId="0" fontId="46" fillId="4" borderId="0" xfId="0" applyFont="1" applyFill="1" applyAlignment="1">
      <alignment horizontal="center"/>
    </xf>
    <xf numFmtId="0" fontId="58" fillId="4" borderId="0" xfId="3" applyFont="1" applyFill="1" applyAlignment="1">
      <alignment horizontal="center"/>
    </xf>
    <xf numFmtId="0" fontId="70" fillId="4" borderId="0" xfId="3" applyFont="1" applyFill="1" applyAlignment="1">
      <alignment horizontal="center" wrapText="1"/>
    </xf>
    <xf numFmtId="8" fontId="6" fillId="13" borderId="0" xfId="0" applyNumberFormat="1" applyFont="1" applyFill="1" applyAlignment="1">
      <alignment horizontal="left" vertical="center"/>
    </xf>
    <xf numFmtId="3" fontId="46" fillId="13" borderId="0" xfId="0" applyNumberFormat="1" applyFont="1" applyFill="1" applyAlignment="1">
      <alignment horizontal="center"/>
    </xf>
    <xf numFmtId="0" fontId="27" fillId="13" borderId="0" xfId="0" applyFont="1" applyFill="1"/>
    <xf numFmtId="4" fontId="7" fillId="0" borderId="2" xfId="0" applyNumberFormat="1" applyFont="1" applyBorder="1" applyAlignment="1">
      <alignment horizontal="center" vertical="center"/>
    </xf>
    <xf numFmtId="0" fontId="9" fillId="0" borderId="31" xfId="0" applyFont="1" applyBorder="1" applyAlignment="1">
      <alignment horizontal="left" indent="1"/>
    </xf>
    <xf numFmtId="8" fontId="9" fillId="0" borderId="32" xfId="0" applyNumberFormat="1" applyFont="1" applyBorder="1" applyAlignment="1">
      <alignment horizontal="right"/>
    </xf>
    <xf numFmtId="8" fontId="6" fillId="20" borderId="2" xfId="0" applyNumberFormat="1" applyFont="1" applyFill="1" applyBorder="1" applyAlignment="1">
      <alignment horizontal="center" vertical="center"/>
    </xf>
    <xf numFmtId="0" fontId="24" fillId="20" borderId="0" xfId="0" applyFont="1" applyFill="1" applyAlignment="1">
      <alignment horizontal="left" vertical="center" wrapText="1"/>
    </xf>
    <xf numFmtId="8" fontId="6" fillId="20" borderId="2" xfId="0" applyNumberFormat="1" applyFont="1" applyFill="1" applyBorder="1" applyAlignment="1">
      <alignment horizontal="center" vertical="center" wrapText="1"/>
    </xf>
    <xf numFmtId="0" fontId="9" fillId="27" borderId="0" xfId="0" applyFont="1" applyFill="1"/>
    <xf numFmtId="0" fontId="9" fillId="27" borderId="0" xfId="0" applyFont="1" applyFill="1" applyAlignment="1">
      <alignment horizontal="center"/>
    </xf>
    <xf numFmtId="0" fontId="11" fillId="27" borderId="0" xfId="0" applyFont="1" applyFill="1" applyAlignment="1">
      <alignment horizontal="left"/>
    </xf>
    <xf numFmtId="8" fontId="9" fillId="0" borderId="2" xfId="0" applyNumberFormat="1" applyFont="1" applyBorder="1" applyAlignment="1">
      <alignment horizontal="center" vertical="center"/>
    </xf>
    <xf numFmtId="0" fontId="74" fillId="24" borderId="0" xfId="0" applyFont="1" applyFill="1"/>
    <xf numFmtId="17" fontId="74" fillId="7" borderId="0" xfId="0" quotePrefix="1" applyNumberFormat="1" applyFont="1" applyFill="1"/>
    <xf numFmtId="17" fontId="75" fillId="7" borderId="0" xfId="0" quotePrefix="1" applyNumberFormat="1" applyFont="1" applyFill="1"/>
    <xf numFmtId="0" fontId="75" fillId="7" borderId="0" xfId="0" applyFont="1" applyFill="1"/>
    <xf numFmtId="0" fontId="75" fillId="0" borderId="0" xfId="0" applyFont="1"/>
    <xf numFmtId="17" fontId="78" fillId="7" borderId="0" xfId="0" quotePrefix="1" applyNumberFormat="1" applyFont="1" applyFill="1"/>
    <xf numFmtId="0" fontId="79" fillId="0" borderId="0" xfId="0" applyFont="1"/>
    <xf numFmtId="0" fontId="11" fillId="26" borderId="0" xfId="0" applyFont="1" applyFill="1"/>
    <xf numFmtId="0" fontId="11" fillId="26" borderId="0" xfId="0" applyFont="1" applyFill="1" applyAlignment="1">
      <alignment horizontal="center"/>
    </xf>
    <xf numFmtId="15" fontId="9" fillId="19" borderId="0" xfId="0" applyNumberFormat="1" applyFont="1" applyFill="1" applyAlignment="1">
      <alignment horizontal="center"/>
    </xf>
    <xf numFmtId="0" fontId="9" fillId="25" borderId="0" xfId="0" applyFont="1" applyFill="1"/>
    <xf numFmtId="4" fontId="9" fillId="25" borderId="0" xfId="0" applyNumberFormat="1" applyFont="1" applyFill="1" applyAlignment="1">
      <alignment horizontal="center"/>
    </xf>
    <xf numFmtId="197" fontId="16" fillId="11" borderId="0" xfId="4" applyNumberFormat="1" applyFont="1" applyFill="1" applyAlignment="1">
      <alignment horizontal="center"/>
    </xf>
    <xf numFmtId="4" fontId="9" fillId="0" borderId="8" xfId="0" applyNumberFormat="1" applyFont="1" applyBorder="1"/>
    <xf numFmtId="198" fontId="55" fillId="0" borderId="0" xfId="0" applyNumberFormat="1" applyFont="1" applyAlignment="1">
      <alignment horizontal="center"/>
    </xf>
    <xf numFmtId="0" fontId="80" fillId="28" borderId="33" xfId="0" applyFont="1" applyFill="1" applyBorder="1" applyAlignment="1">
      <alignment horizontal="left" vertical="center" wrapText="1" indent="1" readingOrder="1"/>
    </xf>
    <xf numFmtId="0" fontId="81" fillId="29" borderId="33" xfId="0" applyFont="1" applyFill="1" applyBorder="1" applyAlignment="1">
      <alignment horizontal="left" vertical="center" wrapText="1" indent="1" readingOrder="1"/>
    </xf>
    <xf numFmtId="0" fontId="82" fillId="29" borderId="33" xfId="0" applyFont="1" applyFill="1" applyBorder="1" applyAlignment="1">
      <alignment horizontal="left" vertical="center" wrapText="1" indent="1" readingOrder="1"/>
    </xf>
    <xf numFmtId="0" fontId="81" fillId="30" borderId="33" xfId="0" applyFont="1" applyFill="1" applyBorder="1" applyAlignment="1">
      <alignment horizontal="left" vertical="center" wrapText="1" indent="1" readingOrder="1"/>
    </xf>
    <xf numFmtId="0" fontId="82" fillId="30" borderId="33" xfId="0" applyFont="1" applyFill="1" applyBorder="1" applyAlignment="1">
      <alignment horizontal="left" vertical="center" wrapText="1" indent="1" readingOrder="1"/>
    </xf>
    <xf numFmtId="0" fontId="24" fillId="0" borderId="0" xfId="0" applyFont="1" applyAlignment="1">
      <alignment horizontal="left" vertical="center" wrapText="1"/>
    </xf>
    <xf numFmtId="0" fontId="24" fillId="20" borderId="0" xfId="0" applyFont="1" applyFill="1" applyAlignment="1">
      <alignment horizontal="left" vertical="center" wrapText="1"/>
    </xf>
    <xf numFmtId="0" fontId="2" fillId="2" borderId="0" xfId="0" applyFont="1" applyFill="1" applyAlignment="1">
      <alignment horizontal="center" vertical="center" wrapText="1"/>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0000FF"/>
      <color rgb="FFF8483A"/>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vmlDrawing" Target="../drawings/vmlDrawing2.v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0" Type="http://schemas.openxmlformats.org/officeDocument/2006/relationships/hyperlink" Target="https://nanoporetech.com/"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printerSettings" Target="../printerSettings/printerSettings4.bin"/><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comments" Target="../comments2.xm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20"/>
  <sheetViews>
    <sheetView showGridLines="0" view="pageBreakPreview" zoomScale="90" zoomScaleNormal="115" zoomScaleSheetLayoutView="90" workbookViewId="0"/>
  </sheetViews>
  <sheetFormatPr defaultColWidth="9.140625" defaultRowHeight="15" x14ac:dyDescent="0.25"/>
  <cols>
    <col min="1" max="1" width="9.140625" style="26"/>
    <col min="2" max="2" width="5.28515625" style="26" customWidth="1"/>
    <col min="3" max="3" width="21.5703125" style="27" customWidth="1"/>
    <col min="4" max="4" width="15.85546875" style="26" bestFit="1" customWidth="1"/>
    <col min="5" max="8" width="14.5703125" style="26" customWidth="1"/>
    <col min="9" max="9" width="17.28515625" style="26" customWidth="1"/>
    <col min="10" max="13" width="13.7109375" style="26" customWidth="1"/>
    <col min="14" max="16384" width="9.140625" style="26"/>
  </cols>
  <sheetData>
    <row r="1" spans="2:15" ht="15.75" thickBot="1" x14ac:dyDescent="0.3"/>
    <row r="2" spans="2:15" s="81" customFormat="1" ht="15.75" thickBot="1" x14ac:dyDescent="0.3">
      <c r="C2" s="170" t="s">
        <v>174</v>
      </c>
      <c r="D2" s="184">
        <v>45322</v>
      </c>
      <c r="E2" s="549" t="str">
        <f>TEXT(D2,"dddddd")</f>
        <v>Wednesday</v>
      </c>
      <c r="G2" s="26"/>
      <c r="H2" s="26"/>
      <c r="I2" s="26"/>
      <c r="J2" s="26"/>
      <c r="K2" s="26"/>
      <c r="L2" s="26"/>
      <c r="M2" s="26"/>
      <c r="N2" s="26"/>
      <c r="O2" s="26"/>
    </row>
    <row r="3" spans="2:15" x14ac:dyDescent="0.25">
      <c r="F3" s="241"/>
      <c r="G3" s="241"/>
      <c r="H3" s="242" t="s">
        <v>187</v>
      </c>
      <c r="I3" s="241"/>
      <c r="J3" s="241"/>
      <c r="L3" s="215" t="s">
        <v>205</v>
      </c>
    </row>
    <row r="4" spans="2:15" ht="15.75" thickBot="1" x14ac:dyDescent="0.3">
      <c r="D4" s="195"/>
    </row>
    <row r="5" spans="2:15" x14ac:dyDescent="0.25">
      <c r="B5" s="208"/>
      <c r="C5" s="99"/>
      <c r="D5" s="209"/>
      <c r="E5" s="209"/>
      <c r="F5" s="209"/>
      <c r="G5" s="209"/>
      <c r="H5" s="209"/>
      <c r="I5" s="209"/>
      <c r="J5" s="209"/>
      <c r="K5" s="209"/>
      <c r="L5" s="209"/>
      <c r="M5" s="209"/>
      <c r="N5" s="101"/>
    </row>
    <row r="6" spans="2:15" ht="34.5" customHeight="1" x14ac:dyDescent="0.25">
      <c r="B6" s="105"/>
      <c r="D6" s="71" t="s">
        <v>186</v>
      </c>
      <c r="E6" s="71" t="s">
        <v>32</v>
      </c>
      <c r="F6" s="72" t="s">
        <v>2</v>
      </c>
      <c r="G6" s="72" t="s">
        <v>212</v>
      </c>
      <c r="H6" s="72" t="s">
        <v>33</v>
      </c>
      <c r="I6" s="72" t="s">
        <v>162</v>
      </c>
      <c r="J6" s="72" t="s">
        <v>24</v>
      </c>
      <c r="K6" s="72" t="s">
        <v>34</v>
      </c>
      <c r="L6" s="72" t="s">
        <v>175</v>
      </c>
      <c r="M6" s="72" t="s">
        <v>98</v>
      </c>
      <c r="N6" s="106"/>
    </row>
    <row r="7" spans="2:15" x14ac:dyDescent="0.25">
      <c r="B7" s="105"/>
      <c r="D7" s="27"/>
      <c r="N7" s="106"/>
    </row>
    <row r="8" spans="2:15" x14ac:dyDescent="0.25">
      <c r="B8" s="105"/>
      <c r="C8" s="26" t="s">
        <v>179</v>
      </c>
      <c r="D8" s="213">
        <f>COUNTIF('S | 01 '!C10:C32,"*")</f>
        <v>21</v>
      </c>
      <c r="E8" s="175">
        <f ca="1">'1. IRR Equity'!AH35</f>
        <v>2121.7862048089241</v>
      </c>
      <c r="F8" s="175">
        <f ca="1">'1. IRR Equity'!AI35</f>
        <v>2118.2830433728436</v>
      </c>
      <c r="G8" s="175">
        <f ca="1">'1. IRR Equity'!AJ35</f>
        <v>3.5031614360804335</v>
      </c>
      <c r="H8" s="175">
        <f ca="1">'1. IRR Equity'!AK35</f>
        <v>1243.24219253</v>
      </c>
      <c r="I8" s="175">
        <f ca="1">'1. IRR Equity'!AL35</f>
        <v>828.59460554007012</v>
      </c>
      <c r="J8" s="435">
        <f ca="1">'1. IRR Equity'!AM35</f>
        <v>-1.1569161340594292E-2</v>
      </c>
      <c r="K8" s="218">
        <f ca="1">'1. IRR Equity'!AN35</f>
        <v>0.97807363588728946</v>
      </c>
      <c r="L8" s="177">
        <f ca="1">'1. IRR Equity'!AO35</f>
        <v>0.39116330942286986</v>
      </c>
      <c r="M8" s="177">
        <f ca="1">'1. IRR Equity'!AP35</f>
        <v>0.58691032646441965</v>
      </c>
      <c r="N8" s="106"/>
    </row>
    <row r="9" spans="2:15" x14ac:dyDescent="0.25">
      <c r="B9" s="105"/>
      <c r="D9" s="27"/>
      <c r="J9" s="258"/>
      <c r="N9" s="106"/>
    </row>
    <row r="10" spans="2:15" x14ac:dyDescent="0.25">
      <c r="B10" s="105"/>
      <c r="D10" s="27"/>
      <c r="J10" s="258"/>
      <c r="N10" s="106"/>
    </row>
    <row r="11" spans="2:15" x14ac:dyDescent="0.25">
      <c r="B11" s="105"/>
      <c r="C11" s="26" t="s">
        <v>180</v>
      </c>
      <c r="D11" s="213">
        <f>COUNTIF('S | 01 '!C35:C37,"*")</f>
        <v>3</v>
      </c>
      <c r="E11" s="175">
        <f>'2. IRR Debt'!Q12</f>
        <v>10.765747000000001</v>
      </c>
      <c r="F11" s="175">
        <f>'2. IRR Debt'!R12</f>
        <v>10.765747000000001</v>
      </c>
      <c r="G11" s="175">
        <f>'2. IRR Debt'!S12</f>
        <v>0</v>
      </c>
      <c r="H11" s="175">
        <f>'2. IRR Debt'!T12</f>
        <v>0.47078465000000003</v>
      </c>
      <c r="I11" s="175">
        <f>'2. IRR Debt'!U12</f>
        <v>0</v>
      </c>
      <c r="J11" s="257">
        <f>'2. IRR Debt'!V12</f>
        <v>-0.71226245388388643</v>
      </c>
      <c r="K11" s="218">
        <f>'2. IRR Debt'!W12</f>
        <v>4.3729863798582673E-2</v>
      </c>
      <c r="L11" s="177">
        <f>'2. IRR Debt'!X12</f>
        <v>0</v>
      </c>
      <c r="M11" s="177">
        <f>'2. IRR Debt'!Y12</f>
        <v>4.3729863798582673E-2</v>
      </c>
      <c r="N11" s="106"/>
    </row>
    <row r="12" spans="2:15" x14ac:dyDescent="0.25">
      <c r="B12" s="105"/>
      <c r="D12" s="214"/>
      <c r="J12" s="258"/>
      <c r="N12" s="106"/>
    </row>
    <row r="13" spans="2:15" x14ac:dyDescent="0.25">
      <c r="B13" s="105"/>
      <c r="D13" s="214"/>
      <c r="J13" s="258"/>
      <c r="N13" s="106"/>
    </row>
    <row r="14" spans="2:15" x14ac:dyDescent="0.25">
      <c r="B14" s="105"/>
      <c r="C14" s="26" t="s">
        <v>181</v>
      </c>
      <c r="D14" s="213">
        <f>COUNTIF('S | 01 '!C41:C45,"*")</f>
        <v>5</v>
      </c>
      <c r="E14" s="175">
        <f ca="1">'3. IRR Funds'!Q15</f>
        <v>184.17552210161688</v>
      </c>
      <c r="F14" s="175">
        <f ca="1">'3. IRR Funds'!R15</f>
        <v>138.88391878132617</v>
      </c>
      <c r="G14" s="175">
        <f ca="1">'3. IRR Funds'!S15</f>
        <v>53.107474320290699</v>
      </c>
      <c r="H14" s="175">
        <f ca="1">'3. IRR Funds'!T15</f>
        <v>11.2154737014082</v>
      </c>
      <c r="I14" s="175">
        <f ca="1">'3. IRR Funds'!U15</f>
        <v>126.55295917009488</v>
      </c>
      <c r="J14" s="435">
        <f>'3. IRR Funds'!V15</f>
        <v>2.9802322387695314E-9</v>
      </c>
      <c r="K14" s="218">
        <f ca="1">'3. IRR Funds'!W15</f>
        <v>0.99196821403362445</v>
      </c>
      <c r="L14" s="177">
        <f ca="1">'3. IRR Funds'!X15</f>
        <v>0.91121391360905879</v>
      </c>
      <c r="M14" s="177">
        <f ca="1">'3. IRR Funds'!Y15</f>
        <v>8.0754300424565731E-2</v>
      </c>
      <c r="N14" s="106"/>
    </row>
    <row r="15" spans="2:15" x14ac:dyDescent="0.25">
      <c r="B15" s="105"/>
      <c r="D15" s="214"/>
      <c r="J15" s="258"/>
      <c r="N15" s="106"/>
    </row>
    <row r="16" spans="2:15" x14ac:dyDescent="0.25">
      <c r="B16" s="105"/>
      <c r="D16" s="27"/>
      <c r="J16" s="258"/>
      <c r="N16" s="106"/>
    </row>
    <row r="17" spans="2:14" x14ac:dyDescent="0.25">
      <c r="B17" s="105"/>
      <c r="C17" s="26" t="s">
        <v>182</v>
      </c>
      <c r="D17" s="213">
        <f t="shared" ref="D17:I17" si="0">D8+D11+D14</f>
        <v>29</v>
      </c>
      <c r="E17" s="175">
        <f t="shared" ca="1" si="0"/>
        <v>2316.727473910541</v>
      </c>
      <c r="F17" s="175">
        <f t="shared" ca="1" si="0"/>
        <v>2267.9327091541695</v>
      </c>
      <c r="G17" s="175">
        <f t="shared" ca="1" si="0"/>
        <v>56.610635756371131</v>
      </c>
      <c r="H17" s="175">
        <f t="shared" ca="1" si="0"/>
        <v>1254.9284508814083</v>
      </c>
      <c r="I17" s="175">
        <f t="shared" ca="1" si="0"/>
        <v>955.14756471016494</v>
      </c>
      <c r="J17" s="435">
        <f ca="1">'4.All'!N9</f>
        <v>-1.2957467883825301E-2</v>
      </c>
      <c r="K17" s="218">
        <f ca="1">(H17+I17)/F17</f>
        <v>0.97448923712371782</v>
      </c>
      <c r="L17" s="177">
        <f ca="1">I17/F17</f>
        <v>0.42115339703636506</v>
      </c>
      <c r="M17" s="177">
        <f ca="1">H17/F17</f>
        <v>0.5533358400873527</v>
      </c>
      <c r="N17" s="106"/>
    </row>
    <row r="18" spans="2:14" s="37" customFormat="1" ht="15.75" thickBot="1" x14ac:dyDescent="0.3">
      <c r="B18" s="210"/>
      <c r="C18" s="211"/>
      <c r="D18" s="211"/>
      <c r="E18" s="261"/>
      <c r="F18" s="211"/>
      <c r="G18" s="211"/>
      <c r="H18" s="211"/>
      <c r="I18" s="211"/>
      <c r="J18" s="259"/>
      <c r="K18" s="211"/>
      <c r="L18" s="211"/>
      <c r="M18" s="211"/>
      <c r="N18" s="212"/>
    </row>
    <row r="19" spans="2:14" x14ac:dyDescent="0.25">
      <c r="E19" s="262" t="b">
        <f ca="1">E17='S | 01 '!J48</f>
        <v>1</v>
      </c>
      <c r="F19" s="262" t="b">
        <f ca="1">F17='S | 01 '!K48</f>
        <v>1</v>
      </c>
      <c r="G19" s="263" t="b">
        <f ca="1">ROUND(G17,1)=ROUND('S | 01 '!L48,1)</f>
        <v>0</v>
      </c>
      <c r="H19" s="263" t="b">
        <f ca="1">ROUND(H17,1)=ROUND('S | 01 '!M48,1)</f>
        <v>1</v>
      </c>
      <c r="I19" s="263" t="b">
        <f ca="1">ROUND(I17,1)=ROUND('S | 01 '!N48,1)</f>
        <v>1</v>
      </c>
      <c r="J19" s="258"/>
    </row>
    <row r="20" spans="2:14" x14ac:dyDescent="0.25">
      <c r="J20" s="258"/>
    </row>
  </sheetData>
  <pageMargins left="0.7" right="0.7" top="0.75" bottom="0.75" header="0.3" footer="0.3"/>
  <pageSetup paperSize="9" scale="38"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82"/>
  <sheetViews>
    <sheetView showGridLines="0" view="pageBreakPreview" zoomScale="60" zoomScaleNormal="80" workbookViewId="0">
      <selection activeCell="J28" sqref="J28"/>
    </sheetView>
  </sheetViews>
  <sheetFormatPr defaultColWidth="9.140625" defaultRowHeight="15" x14ac:dyDescent="0.25"/>
  <cols>
    <col min="1" max="2" width="5.42578125" style="26" customWidth="1"/>
    <col min="3" max="3" width="45.28515625" style="95"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27"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ht="21.75" customHeight="1" thickBot="1" x14ac:dyDescent="0.3">
      <c r="C1" s="223"/>
    </row>
    <row r="2" spans="2:19" ht="15.75" thickBot="1" x14ac:dyDescent="0.3">
      <c r="C2" s="252" t="s">
        <v>188</v>
      </c>
      <c r="D2" s="253">
        <f>D!D2</f>
        <v>45322</v>
      </c>
      <c r="E2" s="26"/>
      <c r="F2" s="26"/>
      <c r="G2" s="26"/>
      <c r="H2" s="26"/>
      <c r="I2" s="26"/>
      <c r="J2" s="26"/>
      <c r="K2" s="26"/>
      <c r="L2" s="26"/>
      <c r="M2" s="26"/>
      <c r="N2" s="26"/>
      <c r="O2" s="26"/>
      <c r="P2" s="26"/>
      <c r="Q2" s="26"/>
      <c r="R2" s="26"/>
    </row>
    <row r="3" spans="2:19" ht="21.75" customHeight="1" thickBot="1" x14ac:dyDescent="0.3">
      <c r="C3" s="223"/>
    </row>
    <row r="4" spans="2:19" x14ac:dyDescent="0.25">
      <c r="B4" s="97"/>
      <c r="C4" s="98"/>
      <c r="D4" s="99"/>
      <c r="E4" s="99"/>
      <c r="F4" s="99"/>
      <c r="G4" s="99"/>
      <c r="H4" s="99"/>
      <c r="I4" s="99"/>
      <c r="J4" s="99"/>
      <c r="K4" s="99"/>
      <c r="L4" s="99"/>
      <c r="M4" s="99"/>
      <c r="N4" s="99"/>
      <c r="O4" s="99"/>
      <c r="P4" s="225"/>
      <c r="Q4" s="99"/>
      <c r="R4" s="99"/>
      <c r="S4" s="363"/>
    </row>
    <row r="5" spans="2:19" x14ac:dyDescent="0.25">
      <c r="B5" s="105"/>
      <c r="S5" s="338"/>
    </row>
    <row r="6" spans="2:19" s="104" customFormat="1" ht="60" customHeight="1" x14ac:dyDescent="0.25">
      <c r="B6" s="102"/>
      <c r="C6" s="3" t="s">
        <v>52</v>
      </c>
      <c r="D6" s="1" t="s">
        <v>25</v>
      </c>
      <c r="E6" s="1" t="s">
        <v>62</v>
      </c>
      <c r="F6" s="1" t="s">
        <v>31</v>
      </c>
      <c r="G6" s="1" t="s">
        <v>144</v>
      </c>
      <c r="H6" s="1" t="s">
        <v>36</v>
      </c>
      <c r="I6" s="1" t="s">
        <v>54</v>
      </c>
      <c r="J6" s="1" t="s">
        <v>32</v>
      </c>
      <c r="K6" s="1" t="s">
        <v>2</v>
      </c>
      <c r="L6" s="1" t="s">
        <v>51</v>
      </c>
      <c r="M6" s="1" t="s">
        <v>33</v>
      </c>
      <c r="N6" s="1" t="s">
        <v>27</v>
      </c>
      <c r="O6" s="1" t="s">
        <v>206</v>
      </c>
      <c r="P6" s="1" t="s">
        <v>34</v>
      </c>
      <c r="Q6" s="1" t="s">
        <v>276</v>
      </c>
      <c r="R6" s="1" t="s">
        <v>507</v>
      </c>
      <c r="S6" s="415"/>
    </row>
    <row r="7" spans="2:19" x14ac:dyDescent="0.25">
      <c r="B7" s="105"/>
      <c r="C7" s="5"/>
      <c r="D7" s="8"/>
      <c r="E7" s="8"/>
      <c r="F7" s="8"/>
      <c r="G7" s="8" t="s">
        <v>86</v>
      </c>
      <c r="H7" s="8"/>
      <c r="I7" s="8" t="s">
        <v>54</v>
      </c>
      <c r="J7" s="8" t="s">
        <v>304</v>
      </c>
      <c r="K7" s="8" t="s">
        <v>304</v>
      </c>
      <c r="L7" s="8" t="s">
        <v>304</v>
      </c>
      <c r="M7" s="8" t="s">
        <v>304</v>
      </c>
      <c r="N7" s="8" t="s">
        <v>304</v>
      </c>
      <c r="O7" s="8" t="s">
        <v>304</v>
      </c>
      <c r="P7" s="12" t="s">
        <v>305</v>
      </c>
      <c r="Q7" s="8" t="s">
        <v>54</v>
      </c>
      <c r="R7" s="8"/>
      <c r="S7" s="338"/>
    </row>
    <row r="8" spans="2:19" x14ac:dyDescent="0.25">
      <c r="B8" s="105"/>
      <c r="C8" s="5"/>
      <c r="D8" s="8"/>
      <c r="E8" s="8"/>
      <c r="F8" s="8"/>
      <c r="G8" s="8"/>
      <c r="H8" s="8"/>
      <c r="I8" s="8"/>
      <c r="J8" s="8"/>
      <c r="K8" s="8"/>
      <c r="L8" s="8"/>
      <c r="M8" s="8"/>
      <c r="N8" s="8"/>
      <c r="O8" s="8"/>
      <c r="P8" s="12"/>
      <c r="Q8" s="8"/>
      <c r="R8" s="8"/>
      <c r="S8" s="338"/>
    </row>
    <row r="9" spans="2:19" x14ac:dyDescent="0.25">
      <c r="B9" s="105"/>
      <c r="C9" s="16" t="s">
        <v>28</v>
      </c>
      <c r="D9" s="2"/>
      <c r="E9" s="2"/>
      <c r="F9" s="2"/>
      <c r="G9" s="2"/>
      <c r="H9" s="2"/>
      <c r="I9" s="2"/>
      <c r="J9" s="2"/>
      <c r="K9" s="2"/>
      <c r="L9" s="2"/>
      <c r="M9" s="2"/>
      <c r="N9" s="2"/>
      <c r="O9" s="2"/>
      <c r="P9" s="2"/>
      <c r="Q9" s="2"/>
      <c r="R9" s="134"/>
      <c r="S9" s="338"/>
    </row>
    <row r="10" spans="2:19" x14ac:dyDescent="0.25">
      <c r="B10" s="105"/>
      <c r="C10" s="4" t="s">
        <v>48</v>
      </c>
      <c r="D10" s="2" t="s">
        <v>500</v>
      </c>
      <c r="E10" s="2" t="s">
        <v>64</v>
      </c>
      <c r="F10" s="2" t="s">
        <v>8</v>
      </c>
      <c r="G10" s="6">
        <v>2019</v>
      </c>
      <c r="H10" s="2" t="s">
        <v>74</v>
      </c>
      <c r="I10" s="137">
        <f>'6. %'!F9</f>
        <v>5.6999998161926343E-2</v>
      </c>
      <c r="J10" s="17">
        <v>65</v>
      </c>
      <c r="K10" s="17">
        <f ca="1">-SUMIF('CF (Equity, Debt)'!$C$3:$K$51,'S | 01 '!C10,'CF (Equity, Debt)'!$E$3:$E$51)</f>
        <v>65</v>
      </c>
      <c r="L10" s="17">
        <v>0</v>
      </c>
      <c r="M10" s="17">
        <f ca="1">SUMIF('CF (Equity, Debt)'!$C$3:$K$51,'S | 01 '!C10,'CF (Equity, Debt)'!$F$3:$F$51)</f>
        <v>0</v>
      </c>
      <c r="N10" s="17">
        <f>VLOOKUP(C10,NAV!$B$4:$E$46,4,0)</f>
        <v>0</v>
      </c>
      <c r="O10" s="17">
        <f ca="1">N10+M10-K10</f>
        <v>-65</v>
      </c>
      <c r="P10" s="10">
        <f t="shared" ref="P10:P22" ca="1" si="0">(M10+N10)/K10</f>
        <v>0</v>
      </c>
      <c r="Q10" s="137" t="str">
        <f>VLOOKUP(C10,'1. IRR Equity'!$AG$12:$AP$30,7,0)</f>
        <v>NM</v>
      </c>
      <c r="R10" s="134" t="s">
        <v>83</v>
      </c>
      <c r="S10" s="338"/>
    </row>
    <row r="11" spans="2:19" x14ac:dyDescent="0.25">
      <c r="B11" s="105"/>
      <c r="C11" s="4" t="s">
        <v>0</v>
      </c>
      <c r="D11" s="2" t="s">
        <v>500</v>
      </c>
      <c r="E11" s="2" t="s">
        <v>64</v>
      </c>
      <c r="F11" s="2" t="s">
        <v>8</v>
      </c>
      <c r="G11" s="6">
        <v>2019</v>
      </c>
      <c r="H11" s="2" t="s">
        <v>69</v>
      </c>
      <c r="I11" s="137">
        <f>'6. %'!F10</f>
        <v>0.14000000235296001</v>
      </c>
      <c r="J11" s="17">
        <v>8</v>
      </c>
      <c r="K11" s="17">
        <f ca="1">-SUMIF('CF (Equity, Debt)'!$C$3:$K$51,'S | 01 '!C11,'CF (Equity, Debt)'!$E$3:$E$51)</f>
        <v>8</v>
      </c>
      <c r="L11" s="17">
        <v>0</v>
      </c>
      <c r="M11" s="17">
        <f ca="1">SUMIF('CF (Equity, Debt)'!$C$3:$K$51,'S | 01 '!C11,'CF (Equity, Debt)'!$F$3:$F$51)</f>
        <v>0</v>
      </c>
      <c r="N11" s="17">
        <f>VLOOKUP(C11,NAV!$B$4:$E$46,4,0)</f>
        <v>0</v>
      </c>
      <c r="O11" s="17">
        <f t="shared" ref="O11:O30" ca="1" si="1">N11+M11-K11</f>
        <v>-8</v>
      </c>
      <c r="P11" s="10">
        <f t="shared" ca="1" si="0"/>
        <v>0</v>
      </c>
      <c r="Q11" s="137" t="str">
        <f>VLOOKUP(C11,'1. IRR Equity'!$AG$12:$AP$30,7,0)</f>
        <v>NM</v>
      </c>
      <c r="R11" s="134" t="s">
        <v>83</v>
      </c>
      <c r="S11" s="338"/>
    </row>
    <row r="12" spans="2:19" ht="17.25" x14ac:dyDescent="0.25">
      <c r="B12" s="105"/>
      <c r="C12" s="4" t="s">
        <v>39</v>
      </c>
      <c r="D12" s="2" t="s">
        <v>79</v>
      </c>
      <c r="E12" s="2" t="s">
        <v>63</v>
      </c>
      <c r="F12" s="2" t="s">
        <v>8</v>
      </c>
      <c r="G12" s="6">
        <v>2019</v>
      </c>
      <c r="H12" s="2" t="s">
        <v>76</v>
      </c>
      <c r="I12" s="137">
        <f>'6. %'!F11</f>
        <v>8.5025484621212399E-2</v>
      </c>
      <c r="J12" s="17">
        <v>10</v>
      </c>
      <c r="K12" s="17">
        <f ca="1">-SUMIF('CF (Equity, Debt)'!$C$3:$K$51,'S | 01 '!C12,'CF (Equity, Debt)'!$E$3:$E$51)</f>
        <v>10</v>
      </c>
      <c r="L12" s="17">
        <v>0</v>
      </c>
      <c r="M12" s="17">
        <f ca="1">SUMIF('CF (Equity, Debt)'!$C$3:$K$51,'S | 01 '!C12,'CF (Equity, Debt)'!$F$3:$F$51)</f>
        <v>0</v>
      </c>
      <c r="N12" s="17">
        <f>VLOOKUP(C12,NAV!$B$4:$E$46,4,0)</f>
        <v>78.082229999999996</v>
      </c>
      <c r="O12" s="17">
        <f t="shared" ca="1" si="1"/>
        <v>68.082229999999996</v>
      </c>
      <c r="P12" s="10">
        <f t="shared" ca="1" si="0"/>
        <v>7.8082229999999999</v>
      </c>
      <c r="Q12" s="137">
        <f>VLOOKUP(C12,'1. IRR Equity'!$AG$12:$AP$30,7,0)</f>
        <v>0.59885043501853941</v>
      </c>
      <c r="R12" s="134" t="s">
        <v>619</v>
      </c>
      <c r="S12" s="338"/>
    </row>
    <row r="13" spans="2:19" x14ac:dyDescent="0.25">
      <c r="B13" s="105"/>
      <c r="C13" s="4" t="s">
        <v>40</v>
      </c>
      <c r="D13" s="2" t="s">
        <v>80</v>
      </c>
      <c r="E13" s="2" t="s">
        <v>63</v>
      </c>
      <c r="F13" s="2" t="s">
        <v>8</v>
      </c>
      <c r="G13" s="6">
        <v>2020</v>
      </c>
      <c r="H13" s="2" t="s">
        <v>45</v>
      </c>
      <c r="I13" s="137" t="str">
        <f>'6. %'!F12</f>
        <v>n/a</v>
      </c>
      <c r="J13" s="17">
        <v>2.5</v>
      </c>
      <c r="K13" s="17">
        <f ca="1">-SUMIF('CF (Equity, Debt)'!$C$3:$K$51,'S | 01 '!C13,'CF (Equity, Debt)'!$E$3:$E$51)</f>
        <v>2.5</v>
      </c>
      <c r="L13" s="17">
        <v>0</v>
      </c>
      <c r="M13" s="17">
        <f ca="1">SUMIF('CF (Equity, Debt)'!$C$3:$K$51,'S | 01 '!C13,'CF (Equity, Debt)'!$F$3:$F$51)</f>
        <v>5</v>
      </c>
      <c r="N13" s="17">
        <f>VLOOKUP(C13,NAV!$B$4:$E$46,4,0)</f>
        <v>0</v>
      </c>
      <c r="O13" s="17">
        <f t="shared" ca="1" si="1"/>
        <v>2.5</v>
      </c>
      <c r="P13" s="10">
        <f t="shared" ca="1" si="0"/>
        <v>2</v>
      </c>
      <c r="Q13" s="137">
        <f>VLOOKUP(C13,'1. IRR Equity'!$AG$12:$AP$30,7,0)</f>
        <v>0.36091765761375438</v>
      </c>
      <c r="R13" s="134"/>
      <c r="S13" s="338"/>
    </row>
    <row r="14" spans="2:19" x14ac:dyDescent="0.25">
      <c r="B14" s="105"/>
      <c r="C14" s="4" t="s">
        <v>38</v>
      </c>
      <c r="D14" s="2" t="s">
        <v>79</v>
      </c>
      <c r="E14" s="2" t="s">
        <v>65</v>
      </c>
      <c r="F14" s="2" t="s">
        <v>8</v>
      </c>
      <c r="G14" s="6">
        <v>2020</v>
      </c>
      <c r="H14" s="2" t="s">
        <v>68</v>
      </c>
      <c r="I14" s="137">
        <f>'6. %'!F13</f>
        <v>9.7965107245756355E-2</v>
      </c>
      <c r="J14" s="17">
        <v>90</v>
      </c>
      <c r="K14" s="17">
        <f ca="1">-SUMIF('CF (Equity, Debt)'!$C$3:$K$51,'S | 01 '!C14,'CF (Equity, Debt)'!$E$3:$E$51)</f>
        <v>90</v>
      </c>
      <c r="L14" s="17">
        <v>0</v>
      </c>
      <c r="M14" s="17">
        <f ca="1">SUMIF('CF (Equity, Debt)'!$C$3:$K$51,'S | 01 '!C14,'CF (Equity, Debt)'!$F$3:$F$51)</f>
        <v>0</v>
      </c>
      <c r="N14" s="17">
        <f>VLOOKUP(C14,NAV!$B$4:$E$46,4,0)</f>
        <v>91.001540300000002</v>
      </c>
      <c r="O14" s="17">
        <f t="shared" ca="1" si="1"/>
        <v>1.001540300000002</v>
      </c>
      <c r="P14" s="10">
        <f t="shared" ca="1" si="0"/>
        <v>1.0111282255555556</v>
      </c>
      <c r="Q14" s="137">
        <f>VLOOKUP(C14,'1. IRR Equity'!$AG$12:$AP$30,7,0)</f>
        <v>2.9582828283309937E-3</v>
      </c>
      <c r="R14" s="134"/>
      <c r="S14" s="338"/>
    </row>
    <row r="15" spans="2:19" x14ac:dyDescent="0.25">
      <c r="B15" s="105"/>
      <c r="C15" s="4" t="s">
        <v>89</v>
      </c>
      <c r="D15" s="2" t="s">
        <v>79</v>
      </c>
      <c r="E15" s="2" t="s">
        <v>65</v>
      </c>
      <c r="F15" s="2" t="s">
        <v>8</v>
      </c>
      <c r="G15" s="6">
        <v>2020</v>
      </c>
      <c r="H15" s="2" t="s">
        <v>46</v>
      </c>
      <c r="I15" s="137">
        <f>'6. %'!F14</f>
        <v>5.1651565402323088E-2</v>
      </c>
      <c r="J15" s="17">
        <v>141.4702596743665</v>
      </c>
      <c r="K15" s="17">
        <f ca="1">-SUMIF('CF (Equity, Debt)'!$C$3:$K$51,'S | 01 '!C15,'CF (Equity, Debt)'!$E$3:$E$51)</f>
        <v>141.4702596743665</v>
      </c>
      <c r="L15" s="17">
        <v>0</v>
      </c>
      <c r="M15" s="17">
        <f ca="1">SUMIF('CF (Equity, Debt)'!$C$3:$K$51,'S | 01 '!C15,'CF (Equity, Debt)'!$F$3:$F$51)</f>
        <v>0</v>
      </c>
      <c r="N15" s="17">
        <f>VLOOKUP(C15,NAV!$B$4:$E$46,4,0)</f>
        <v>90.139174751950776</v>
      </c>
      <c r="O15" s="17">
        <f t="shared" ca="1" si="1"/>
        <v>-51.331084922415727</v>
      </c>
      <c r="P15" s="10">
        <f t="shared" ca="1" si="0"/>
        <v>0.63715988759355768</v>
      </c>
      <c r="Q15" s="137">
        <f>VLOOKUP(C15,'1. IRR Equity'!$AG$12:$AP$30,7,0)</f>
        <v>-0.11648148708045483</v>
      </c>
      <c r="R15" s="134"/>
      <c r="S15" s="338"/>
    </row>
    <row r="16" spans="2:19" x14ac:dyDescent="0.25">
      <c r="B16" s="105"/>
      <c r="C16" s="4" t="s">
        <v>9</v>
      </c>
      <c r="D16" s="2" t="s">
        <v>79</v>
      </c>
      <c r="E16" s="2" t="s">
        <v>64</v>
      </c>
      <c r="F16" s="2" t="s">
        <v>8</v>
      </c>
      <c r="G16" s="6">
        <v>2020</v>
      </c>
      <c r="H16" s="2" t="s">
        <v>73</v>
      </c>
      <c r="I16" s="137">
        <f>'6. %'!F15</f>
        <v>0.14380000000000001</v>
      </c>
      <c r="J16" s="17">
        <v>60</v>
      </c>
      <c r="K16" s="17">
        <f ca="1">-SUMIF('CF (Equity, Debt)'!$C$3:$K$51,'S | 01 '!C16,'CF (Equity, Debt)'!$E$3:$E$51)</f>
        <v>60</v>
      </c>
      <c r="L16" s="17">
        <v>0</v>
      </c>
      <c r="M16" s="17">
        <f ca="1">SUMIF('CF (Equity, Debt)'!$C$3:$K$51,'S | 01 '!C16,'CF (Equity, Debt)'!$F$3:$F$51)</f>
        <v>0</v>
      </c>
      <c r="N16" s="17">
        <f>VLOOKUP(C16,NAV!$B$4:$E$46,4,0)</f>
        <v>148.0498412781194</v>
      </c>
      <c r="O16" s="17">
        <f t="shared" ca="1" si="1"/>
        <v>88.049841278119402</v>
      </c>
      <c r="P16" s="10">
        <f t="shared" ca="1" si="0"/>
        <v>2.4674973546353232</v>
      </c>
      <c r="Q16" s="137">
        <f>VLOOKUP(C16,'1. IRR Equity'!$AG$12:$AP$30,7,0)</f>
        <v>0.33000317215919495</v>
      </c>
      <c r="R16" s="134"/>
      <c r="S16" s="338"/>
    </row>
    <row r="17" spans="2:19" ht="17.25" x14ac:dyDescent="0.25">
      <c r="B17" s="105"/>
      <c r="C17" s="4" t="s">
        <v>18</v>
      </c>
      <c r="D17" s="2" t="s">
        <v>80</v>
      </c>
      <c r="E17" s="2" t="s">
        <v>63</v>
      </c>
      <c r="F17" s="2" t="s">
        <v>311</v>
      </c>
      <c r="G17" s="6">
        <v>2021</v>
      </c>
      <c r="H17" s="2" t="s">
        <v>50</v>
      </c>
      <c r="I17" s="137">
        <f>'6. %'!F16</f>
        <v>0.03</v>
      </c>
      <c r="J17" s="17">
        <v>20</v>
      </c>
      <c r="K17" s="17">
        <f ca="1">-SUMIF('CF (Equity, Debt)'!$C$3:$K$51,'S | 01 '!C17,'CF (Equity, Debt)'!$E$3:$E$51)</f>
        <v>20</v>
      </c>
      <c r="L17" s="17">
        <v>0</v>
      </c>
      <c r="M17" s="17">
        <f ca="1">SUMIF('CF (Equity, Debt)'!$C$3:$K$51,'S | 01 '!C17,'CF (Equity, Debt)'!$F$3:$F$51)</f>
        <v>24.5</v>
      </c>
      <c r="N17" s="17">
        <f>VLOOKUP(C17,NAV!$B$4:$E$46,4,0)</f>
        <v>0</v>
      </c>
      <c r="O17" s="17">
        <f t="shared" ca="1" si="1"/>
        <v>4.5</v>
      </c>
      <c r="P17" s="10">
        <f t="shared" ca="1" si="0"/>
        <v>1.2250000000000001</v>
      </c>
      <c r="Q17" s="137">
        <f>VLOOKUP(C17,'1. IRR Equity'!$AG$12:$AP$30,7,0)</f>
        <v>9.8824506998062139E-2</v>
      </c>
      <c r="R17" s="134"/>
      <c r="S17" s="338"/>
    </row>
    <row r="18" spans="2:19" x14ac:dyDescent="0.25">
      <c r="B18" s="105"/>
      <c r="C18" s="4" t="s">
        <v>41</v>
      </c>
      <c r="D18" s="2" t="s">
        <v>79</v>
      </c>
      <c r="E18" s="2" t="s">
        <v>67</v>
      </c>
      <c r="F18" s="2" t="s">
        <v>8</v>
      </c>
      <c r="G18" s="6">
        <v>2021</v>
      </c>
      <c r="H18" s="2" t="s">
        <v>70</v>
      </c>
      <c r="I18" s="137">
        <f>'6. %'!F17</f>
        <v>9.117206771726628E-3</v>
      </c>
      <c r="J18" s="17">
        <v>40</v>
      </c>
      <c r="K18" s="17">
        <f ca="1">-SUMIF('CF (Equity, Debt)'!$C$3:$K$51,'S | 01 '!C18,'CF (Equity, Debt)'!$E$3:$E$51)</f>
        <v>39.999983359999995</v>
      </c>
      <c r="L18" s="17">
        <v>0</v>
      </c>
      <c r="M18" s="17">
        <f ca="1">SUMIF('CF (Equity, Debt)'!$C$3:$K$51,'S | 01 '!C18,'CF (Equity, Debt)'!$F$3:$F$51)</f>
        <v>0</v>
      </c>
      <c r="N18" s="17">
        <f>VLOOKUP(C18,NAV!$B$4:$E$46,4,0)</f>
        <v>39.999983359999995</v>
      </c>
      <c r="O18" s="17">
        <f t="shared" ca="1" si="1"/>
        <v>0</v>
      </c>
      <c r="P18" s="10">
        <f t="shared" ca="1" si="0"/>
        <v>1</v>
      </c>
      <c r="Q18" s="137">
        <f>VLOOKUP(C18,'1. IRR Equity'!$AG$12:$AP$30,7,0)</f>
        <v>2.9802322387695314E-9</v>
      </c>
      <c r="R18" s="134"/>
      <c r="S18" s="338"/>
    </row>
    <row r="19" spans="2:19" x14ac:dyDescent="0.25">
      <c r="B19" s="105"/>
      <c r="C19" s="4" t="s">
        <v>42</v>
      </c>
      <c r="D19" s="2" t="s">
        <v>79</v>
      </c>
      <c r="E19" s="2" t="s">
        <v>63</v>
      </c>
      <c r="F19" s="2" t="s">
        <v>8</v>
      </c>
      <c r="G19" s="6">
        <v>2021</v>
      </c>
      <c r="H19" s="2" t="s">
        <v>75</v>
      </c>
      <c r="I19" s="137">
        <f>'6. %'!F18</f>
        <v>0.16080402010050251</v>
      </c>
      <c r="J19" s="17">
        <f ca="1">K19</f>
        <v>8</v>
      </c>
      <c r="K19" s="17">
        <f ca="1">-SUMIF('CF (Equity, Debt)'!$C$3:$K$51,'S | 01 '!C19,'CF (Equity, Debt)'!$E$3:$E$51)</f>
        <v>8</v>
      </c>
      <c r="L19" s="17">
        <v>0</v>
      </c>
      <c r="M19" s="17">
        <f ca="1">SUMIF('CF (Equity, Debt)'!$C$3:$K$51,'S | 01 '!C19,'CF (Equity, Debt)'!$F$3:$F$51)</f>
        <v>0</v>
      </c>
      <c r="N19" s="17">
        <f>VLOOKUP(C19,NAV!$B$4:$E$46,4,0)</f>
        <v>8</v>
      </c>
      <c r="O19" s="17">
        <f t="shared" ca="1" si="1"/>
        <v>0</v>
      </c>
      <c r="P19" s="10">
        <f t="shared" ca="1" si="0"/>
        <v>1</v>
      </c>
      <c r="Q19" s="137">
        <f>VLOOKUP(C19,'1. IRR Equity'!$AG$12:$AP$30,7,0)</f>
        <v>2.9802322387695314E-9</v>
      </c>
      <c r="R19" s="134"/>
      <c r="S19" s="338"/>
    </row>
    <row r="20" spans="2:19" x14ac:dyDescent="0.25">
      <c r="B20" s="105"/>
      <c r="C20" s="4" t="s">
        <v>43</v>
      </c>
      <c r="D20" s="2" t="s">
        <v>80</v>
      </c>
      <c r="E20" s="2" t="s">
        <v>67</v>
      </c>
      <c r="F20" s="2" t="s">
        <v>8</v>
      </c>
      <c r="G20" s="6">
        <v>2021</v>
      </c>
      <c r="H20" s="2" t="s">
        <v>77</v>
      </c>
      <c r="I20" s="137">
        <f>'6. %'!F19</f>
        <v>1.1489405791845828E-2</v>
      </c>
      <c r="J20" s="17">
        <v>5.0278211945578235</v>
      </c>
      <c r="K20" s="17">
        <f ca="1">-SUMIF('CF (Equity, Debt)'!$C$3:$K$51,'S | 01 '!C20,'CF (Equity, Debt)'!$E$3:$E$51)</f>
        <v>5.0237201984774336</v>
      </c>
      <c r="L20" s="17">
        <v>0</v>
      </c>
      <c r="M20" s="17">
        <f ca="1">SUMIF('CF (Equity, Debt)'!$C$3:$K$51,'S | 01 '!C20,'CF (Equity, Debt)'!$F$3:$F$51)</f>
        <v>7.9421925299999989</v>
      </c>
      <c r="N20" s="17">
        <f>VLOOKUP(C20,NAV!$B$4:$E$46,4,0)</f>
        <v>0</v>
      </c>
      <c r="O20" s="17">
        <f t="shared" ca="1" si="1"/>
        <v>2.9184723315225654</v>
      </c>
      <c r="P20" s="10">
        <f t="shared" ca="1" si="0"/>
        <v>1.5809384711368046</v>
      </c>
      <c r="Q20" s="137">
        <f>VLOOKUP(C20,'1. IRR Equity'!$AG$12:$AP$30,7,0)</f>
        <v>0.32803497910499579</v>
      </c>
      <c r="R20" s="134"/>
      <c r="S20" s="338"/>
    </row>
    <row r="21" spans="2:19" ht="17.25" x14ac:dyDescent="0.25">
      <c r="B21" s="105"/>
      <c r="C21" s="4" t="s">
        <v>71</v>
      </c>
      <c r="D21" s="2" t="s">
        <v>80</v>
      </c>
      <c r="E21" s="2" t="s">
        <v>64</v>
      </c>
      <c r="F21" s="2" t="s">
        <v>312</v>
      </c>
      <c r="G21" s="6">
        <v>2022</v>
      </c>
      <c r="H21" s="2" t="s">
        <v>78</v>
      </c>
      <c r="I21" s="137">
        <f>'6. %'!F20</f>
        <v>5.1000000000000004E-2</v>
      </c>
      <c r="J21" s="17">
        <v>493.5</v>
      </c>
      <c r="K21" s="17">
        <f ca="1">-SUMIF('CF (Equity, Debt)'!$C$3:$K$51,'S | 01 '!C21,'CF (Equity, Debt)'!$E$3:$E$51)</f>
        <v>493.50095619999996</v>
      </c>
      <c r="L21" s="17">
        <v>0</v>
      </c>
      <c r="M21" s="17">
        <f ca="1">SUMIF('CF (Equity, Debt)'!$C$3:$K$51,'S | 01 '!C21,'CF (Equity, Debt)'!$F$3:$F$51)</f>
        <v>403</v>
      </c>
      <c r="N21" s="17">
        <f>VLOOKUP(C21,NAV!$B$4:$E$46,4,0)</f>
        <v>0</v>
      </c>
      <c r="O21" s="17">
        <f t="shared" ca="1" si="1"/>
        <v>-90.500956199999962</v>
      </c>
      <c r="P21" s="10">
        <f t="shared" ca="1" si="0"/>
        <v>0.81661442584252486</v>
      </c>
      <c r="Q21" s="137">
        <f>VLOOKUP(C21,'1. IRR Equity'!$AG$12:$AP$30,7,0)</f>
        <v>-0.10752884335815904</v>
      </c>
      <c r="R21" s="134"/>
      <c r="S21" s="338"/>
    </row>
    <row r="22" spans="2:19" ht="17.25" x14ac:dyDescent="0.25">
      <c r="B22" s="105"/>
      <c r="C22" s="4" t="s">
        <v>19</v>
      </c>
      <c r="D22" s="2" t="s">
        <v>79</v>
      </c>
      <c r="E22" s="2" t="s">
        <v>66</v>
      </c>
      <c r="F22" s="2" t="s">
        <v>11</v>
      </c>
      <c r="G22" s="6">
        <v>2022</v>
      </c>
      <c r="H22" s="2" t="s">
        <v>78</v>
      </c>
      <c r="I22" s="137">
        <f>'6. %'!F21</f>
        <v>0.11141913554582343</v>
      </c>
      <c r="J22" s="17">
        <v>300</v>
      </c>
      <c r="K22" s="17">
        <f ca="1">-SUMIF('CF (Equity, Debt)'!$C$3:$K$51,'S | 01 '!C22,'CF (Equity, Debt)'!$E$3:$E$51)</f>
        <v>300</v>
      </c>
      <c r="L22" s="17">
        <f>0</f>
        <v>0</v>
      </c>
      <c r="M22" s="17">
        <f ca="1">SUMIF('CF (Equity, Debt)'!$C$3:$K$51,'S | 01 '!C22,'CF (Equity, Debt)'!$F$3:$F$51)</f>
        <v>0</v>
      </c>
      <c r="N22" s="17">
        <f>VLOOKUP(C22,NAV!$B$4:$E$46,4,0)</f>
        <v>300</v>
      </c>
      <c r="O22" s="17">
        <f t="shared" ca="1" si="1"/>
        <v>0</v>
      </c>
      <c r="P22" s="10">
        <f t="shared" ca="1" si="0"/>
        <v>1</v>
      </c>
      <c r="Q22" s="137">
        <f>VLOOKUP(C22,'1. IRR Equity'!$AG$12:$AP$30,7,0)</f>
        <v>2.9802322387695314E-9</v>
      </c>
      <c r="R22" s="134" t="s">
        <v>152</v>
      </c>
      <c r="S22" s="338"/>
    </row>
    <row r="23" spans="2:19" ht="17.25" x14ac:dyDescent="0.25">
      <c r="B23" s="105"/>
      <c r="C23" s="4" t="s">
        <v>90</v>
      </c>
      <c r="D23" s="2" t="s">
        <v>79</v>
      </c>
      <c r="E23" s="2" t="s">
        <v>65</v>
      </c>
      <c r="F23" s="2" t="s">
        <v>11</v>
      </c>
      <c r="G23" s="6">
        <v>2022</v>
      </c>
      <c r="H23" s="2" t="s">
        <v>46</v>
      </c>
      <c r="I23" s="137">
        <f>'6. %'!F22</f>
        <v>2.2129090603182095E-3</v>
      </c>
      <c r="J23" s="17">
        <f ca="1">K23</f>
        <v>24.53125</v>
      </c>
      <c r="K23" s="17">
        <f ca="1">-SUMIF('CF (Equity, Debt)'!$C$3:$K$51,'S | 01 '!C23,'CF (Equity, Debt)'!$E$3:$E$51)</f>
        <v>24.53125</v>
      </c>
      <c r="L23" s="17">
        <f t="shared" ref="L23:L30" ca="1" si="2">J23-K23</f>
        <v>0</v>
      </c>
      <c r="M23" s="17">
        <f ca="1">SUMIF('CF (Equity, Debt)'!$C$3:$K$51,'S | 01 '!C23,'CF (Equity, Debt)'!$F$3:$F$51)</f>
        <v>0</v>
      </c>
      <c r="N23" s="17">
        <f>VLOOKUP(C23,NAV!$B$4:$E$46,4,0)</f>
        <v>2.1837153699999998</v>
      </c>
      <c r="O23" s="17">
        <f t="shared" ca="1" si="1"/>
        <v>-22.347534629999998</v>
      </c>
      <c r="P23" s="10">
        <f ca="1">(M23+N23)/K23</f>
        <v>8.9017696611464955E-2</v>
      </c>
      <c r="Q23" s="137">
        <f>VLOOKUP(C23,'1. IRR Equity'!$AG$12:$AP$30,7,0)</f>
        <v>-0.87320089479908336</v>
      </c>
      <c r="R23" s="134" t="s">
        <v>172</v>
      </c>
      <c r="S23" s="338"/>
    </row>
    <row r="24" spans="2:19" ht="17.25" x14ac:dyDescent="0.25">
      <c r="B24" s="105"/>
      <c r="C24" s="4" t="s">
        <v>35</v>
      </c>
      <c r="D24" s="2" t="s">
        <v>80</v>
      </c>
      <c r="E24" s="2" t="s">
        <v>64</v>
      </c>
      <c r="F24" s="2" t="s">
        <v>314</v>
      </c>
      <c r="G24" s="6">
        <v>2022</v>
      </c>
      <c r="H24" s="2" t="s">
        <v>78</v>
      </c>
      <c r="I24" s="137">
        <f>'6. %'!F23</f>
        <v>1.8823528000000003E-2</v>
      </c>
      <c r="J24" s="17">
        <f ca="1">K24</f>
        <v>800</v>
      </c>
      <c r="K24" s="17">
        <f ca="1">-SUMIF('CF (Equity, Debt)'!$C$3:$K$51,'S | 01 '!C24,'CF (Equity, Debt)'!$E$3:$E$51)</f>
        <v>800</v>
      </c>
      <c r="L24" s="17">
        <f t="shared" ca="1" si="2"/>
        <v>0</v>
      </c>
      <c r="M24" s="17">
        <f ca="1">SUMIF('CF (Equity, Debt)'!$C$3:$K$51,'S | 01 '!C24,'CF (Equity, Debt)'!$F$3:$F$51)</f>
        <v>802.8</v>
      </c>
      <c r="N24" s="17">
        <f>VLOOKUP(C24,NAV!$B$4:$E$46,4,0)</f>
        <v>0</v>
      </c>
      <c r="O24" s="17">
        <f t="shared" ca="1" si="1"/>
        <v>2.7999999999999545</v>
      </c>
      <c r="P24" s="390">
        <f t="shared" ref="P24" ca="1" si="3">(M24+N24)/K24</f>
        <v>1.0034999999999998</v>
      </c>
      <c r="Q24" s="137">
        <f>VLOOKUP(C24,'1. IRR Equity'!$AG$12:$AP$30,7,0)</f>
        <v>2.9359251260757451E-3</v>
      </c>
      <c r="R24" s="134"/>
      <c r="S24" s="338"/>
    </row>
    <row r="25" spans="2:19" x14ac:dyDescent="0.25">
      <c r="B25" s="105"/>
      <c r="C25" s="4" t="s">
        <v>271</v>
      </c>
      <c r="D25" s="2" t="s">
        <v>79</v>
      </c>
      <c r="E25" s="2" t="s">
        <v>65</v>
      </c>
      <c r="F25" s="2" t="s">
        <v>8</v>
      </c>
      <c r="G25" s="6">
        <v>2022</v>
      </c>
      <c r="H25" s="2" t="s">
        <v>45</v>
      </c>
      <c r="I25" s="137" t="str">
        <f>'6. %'!F24</f>
        <v>n/a</v>
      </c>
      <c r="J25" s="17">
        <v>15</v>
      </c>
      <c r="K25" s="17">
        <f ca="1">-SUMIF('CF (Equity, Debt)'!$C$3:$K$51,'S | 01 '!C25,'CF (Equity, Debt)'!$E$3:$E$51)</f>
        <v>11.5</v>
      </c>
      <c r="L25" s="17">
        <f t="shared" ca="1" si="2"/>
        <v>3.5</v>
      </c>
      <c r="M25" s="17">
        <v>0</v>
      </c>
      <c r="N25" s="17">
        <f>VLOOKUP(C25,NAV!$B$4:$E$46,4,0)</f>
        <v>11.5</v>
      </c>
      <c r="O25" s="17">
        <f t="shared" ca="1" si="1"/>
        <v>0</v>
      </c>
      <c r="P25" s="10">
        <f t="shared" ref="P25:P32" ca="1" si="4">(M25+N25)/K25</f>
        <v>1</v>
      </c>
      <c r="Q25" s="137">
        <f>VLOOKUP(C25,'1. IRR Equity'!$AG$12:$AP$30,7,0)</f>
        <v>2.9802322387695314E-9</v>
      </c>
      <c r="R25" s="134"/>
      <c r="S25" s="338"/>
    </row>
    <row r="26" spans="2:19" ht="17.25" x14ac:dyDescent="0.25">
      <c r="B26" s="105"/>
      <c r="C26" s="4" t="s">
        <v>306</v>
      </c>
      <c r="D26" s="2" t="s">
        <v>79</v>
      </c>
      <c r="E26" s="2" t="s">
        <v>66</v>
      </c>
      <c r="F26" s="2" t="s">
        <v>324</v>
      </c>
      <c r="G26" s="6">
        <v>2022</v>
      </c>
      <c r="H26" s="2" t="s">
        <v>69</v>
      </c>
      <c r="I26" s="137">
        <f>'6. %'!F25</f>
        <v>2.7864956399278339E-2</v>
      </c>
      <c r="J26" s="17">
        <v>15</v>
      </c>
      <c r="K26" s="17">
        <f ca="1">-SUMIF('CF (Equity, Debt)'!$C$3:$K$51,'S | 01 '!C26,'CF (Equity, Debt)'!$E$3:$E$51)</f>
        <v>15</v>
      </c>
      <c r="L26" s="17">
        <f t="shared" ca="1" si="2"/>
        <v>0</v>
      </c>
      <c r="M26" s="17">
        <v>0</v>
      </c>
      <c r="N26" s="17">
        <f>VLOOKUP(C26,NAV!$B$4:$E$46,4,0)</f>
        <v>20.888121539999997</v>
      </c>
      <c r="O26" s="17">
        <f t="shared" ca="1" si="1"/>
        <v>5.8881215399999967</v>
      </c>
      <c r="P26" s="10">
        <f t="shared" ca="1" si="4"/>
        <v>1.3925414359999997</v>
      </c>
      <c r="Q26" s="137">
        <f>VLOOKUP(C26,'1. IRR Equity'!$AG$12:$AP$30,7,0)</f>
        <v>0.32455406785011298</v>
      </c>
      <c r="R26" s="134"/>
      <c r="S26" s="338"/>
    </row>
    <row r="27" spans="2:19" x14ac:dyDescent="0.25">
      <c r="B27" s="105"/>
      <c r="C27" s="4" t="s">
        <v>391</v>
      </c>
      <c r="D27" s="2" t="s">
        <v>79</v>
      </c>
      <c r="E27" s="2" t="s">
        <v>65</v>
      </c>
      <c r="F27" s="2" t="s">
        <v>8</v>
      </c>
      <c r="G27" s="6">
        <v>2023</v>
      </c>
      <c r="H27" s="2" t="s">
        <v>68</v>
      </c>
      <c r="I27" s="137">
        <f>'6. %'!F26</f>
        <v>6.2621982517370271E-3</v>
      </c>
      <c r="J27" s="17">
        <f ca="1">K27</f>
        <v>14.999998939999999</v>
      </c>
      <c r="K27" s="17">
        <f ca="1">-SUMIF('CF (Equity, Debt)'!$C$3:$K$51,'S | 01 '!C27,'CF (Equity, Debt)'!$E$3:$E$51)</f>
        <v>14.999998939999999</v>
      </c>
      <c r="L27" s="17">
        <f t="shared" ca="1" si="2"/>
        <v>0</v>
      </c>
      <c r="M27" s="17">
        <f>M26</f>
        <v>0</v>
      </c>
      <c r="N27" s="17">
        <f ca="1">VLOOKUP(C27,NAV!$B$4:$E$46,4,0)</f>
        <v>14.999998939999999</v>
      </c>
      <c r="O27" s="17">
        <f t="shared" ca="1" si="1"/>
        <v>0</v>
      </c>
      <c r="P27" s="10">
        <f t="shared" ca="1" si="4"/>
        <v>1</v>
      </c>
      <c r="Q27" s="137">
        <f ca="1">VLOOKUP(C27,'1. IRR Equity'!$AG$12:$AP$30,7,0)</f>
        <v>2.9802322387695314E-9</v>
      </c>
      <c r="R27" s="134"/>
      <c r="S27" s="338"/>
    </row>
    <row r="28" spans="2:19" ht="17.25" x14ac:dyDescent="0.25">
      <c r="B28" s="105"/>
      <c r="C28" s="4" t="s">
        <v>461</v>
      </c>
      <c r="D28" s="2" t="s">
        <v>79</v>
      </c>
      <c r="E28" s="2" t="s">
        <v>65</v>
      </c>
      <c r="F28" s="2" t="s">
        <v>8</v>
      </c>
      <c r="G28" s="6">
        <v>2023</v>
      </c>
      <c r="H28" s="2" t="s">
        <v>464</v>
      </c>
      <c r="I28" s="137">
        <f>'6. %'!F27</f>
        <v>6.2500000000000003E-3</v>
      </c>
      <c r="J28" s="17">
        <f ca="1">K28</f>
        <v>6.875E-3</v>
      </c>
      <c r="K28" s="17">
        <f ca="1">-SUMIF('CF (Equity, Debt)'!$C$3:$K$51,'S | 01 '!C28,'CF (Equity, Debt)'!$E$3:$E$51)</f>
        <v>6.875E-3</v>
      </c>
      <c r="L28" s="17">
        <f t="shared" ca="1" si="2"/>
        <v>0</v>
      </c>
      <c r="M28" s="17">
        <f>M27</f>
        <v>0</v>
      </c>
      <c r="N28" s="17">
        <f ca="1">VLOOKUP(C28,NAV!$B$4:$E$46,4,0)</f>
        <v>15</v>
      </c>
      <c r="O28" s="17">
        <f t="shared" ca="1" si="1"/>
        <v>14.993124999999999</v>
      </c>
      <c r="P28" s="10" t="s">
        <v>394</v>
      </c>
      <c r="Q28" s="137" t="str">
        <f ca="1">VLOOKUP(C28,'1. IRR Equity'!$AG$12:$AP$30,7,0)</f>
        <v>NM</v>
      </c>
      <c r="R28" s="134" t="s">
        <v>620</v>
      </c>
      <c r="S28" s="338"/>
    </row>
    <row r="29" spans="2:19" ht="17.25" x14ac:dyDescent="0.25">
      <c r="B29" s="105"/>
      <c r="C29" s="4" t="s">
        <v>473</v>
      </c>
      <c r="D29" s="2" t="s">
        <v>79</v>
      </c>
      <c r="E29" s="2" t="s">
        <v>63</v>
      </c>
      <c r="F29" s="2" t="s">
        <v>8</v>
      </c>
      <c r="G29" s="6">
        <v>2023</v>
      </c>
      <c r="H29" s="2" t="s">
        <v>69</v>
      </c>
      <c r="I29" s="137">
        <f>'6. %'!F28</f>
        <v>0.11483735948644427</v>
      </c>
      <c r="J29" s="17">
        <f ca="1">K29</f>
        <v>6</v>
      </c>
      <c r="K29" s="17">
        <f ca="1">-SUMIF('CF (Equity, Debt)'!$C$3:$K$51,'S | 01 '!C29,'CF (Equity, Debt)'!$E$3:$E$51)</f>
        <v>6</v>
      </c>
      <c r="L29" s="17">
        <f t="shared" ca="1" si="2"/>
        <v>0</v>
      </c>
      <c r="M29" s="17">
        <f>M28</f>
        <v>0</v>
      </c>
      <c r="N29" s="17">
        <f ca="1">VLOOKUP(C29,NAV!$B$4:$E$46,4,0)</f>
        <v>6</v>
      </c>
      <c r="O29" s="17">
        <f t="shared" ca="1" si="1"/>
        <v>0</v>
      </c>
      <c r="P29" s="10" t="s">
        <v>394</v>
      </c>
      <c r="Q29" s="137" t="s">
        <v>394</v>
      </c>
      <c r="R29" s="134" t="s">
        <v>487</v>
      </c>
      <c r="S29" s="338"/>
    </row>
    <row r="30" spans="2:19" ht="17.25" x14ac:dyDescent="0.25">
      <c r="B30" s="105"/>
      <c r="C30" s="4" t="s">
        <v>522</v>
      </c>
      <c r="D30" s="2" t="s">
        <v>79</v>
      </c>
      <c r="E30" s="2" t="s">
        <v>523</v>
      </c>
      <c r="F30" s="2" t="s">
        <v>524</v>
      </c>
      <c r="G30" s="6">
        <v>2024</v>
      </c>
      <c r="H30" s="2" t="s">
        <v>525</v>
      </c>
      <c r="I30" s="137">
        <f>'6. %'!F29</f>
        <v>0.25</v>
      </c>
      <c r="J30" s="17">
        <v>2.75</v>
      </c>
      <c r="K30" s="17">
        <f ca="1">-SUMIF('CF (Equity, Debt)'!$C$3:$K$51,'S | 01 '!C30,'CF (Equity, Debt)'!$E$3:$E$51)</f>
        <v>2.75</v>
      </c>
      <c r="L30" s="17">
        <f t="shared" ca="1" si="2"/>
        <v>0</v>
      </c>
      <c r="M30" s="17">
        <f>M29</f>
        <v>0</v>
      </c>
      <c r="N30" s="17">
        <f>VLOOKUP(C30,NAV!$B$4:$E$46,4,0)</f>
        <v>2.75</v>
      </c>
      <c r="O30" s="17">
        <f t="shared" ca="1" si="1"/>
        <v>0</v>
      </c>
      <c r="P30" s="10" t="s">
        <v>394</v>
      </c>
      <c r="Q30" s="137" t="s">
        <v>394</v>
      </c>
      <c r="R30" s="134" t="s">
        <v>601</v>
      </c>
      <c r="S30" s="338"/>
    </row>
    <row r="31" spans="2:19" x14ac:dyDescent="0.25">
      <c r="B31" s="105"/>
      <c r="C31" s="5"/>
      <c r="D31" s="7"/>
      <c r="E31" s="7"/>
      <c r="F31" s="7"/>
      <c r="G31" s="14"/>
      <c r="H31" s="7"/>
      <c r="I31" s="295"/>
      <c r="J31" s="24"/>
      <c r="K31" s="7"/>
      <c r="L31" s="24"/>
      <c r="M31" s="24"/>
      <c r="N31" s="24"/>
      <c r="O31" s="24"/>
      <c r="P31" s="15"/>
      <c r="Q31" s="295"/>
      <c r="R31" s="319"/>
      <c r="S31" s="338"/>
    </row>
    <row r="32" spans="2:19" s="109" customFormat="1" x14ac:dyDescent="0.25">
      <c r="B32" s="107"/>
      <c r="C32" s="130"/>
      <c r="D32" s="130"/>
      <c r="E32" s="130"/>
      <c r="F32" s="130"/>
      <c r="G32" s="130"/>
      <c r="H32" s="130"/>
      <c r="I32" s="131"/>
      <c r="J32" s="132">
        <f ca="1">SUM(J10:J30)</f>
        <v>2121.7862048089241</v>
      </c>
      <c r="K32" s="132">
        <f t="shared" ref="K32:O32" ca="1" si="5">SUM(K10:K30)</f>
        <v>2118.2830433728436</v>
      </c>
      <c r="L32" s="132">
        <f t="shared" ca="1" si="5"/>
        <v>3.5</v>
      </c>
      <c r="M32" s="132">
        <f t="shared" ca="1" si="5"/>
        <v>1243.24219253</v>
      </c>
      <c r="N32" s="132">
        <f t="shared" ca="1" si="5"/>
        <v>828.59460554007012</v>
      </c>
      <c r="O32" s="132">
        <f t="shared" ca="1" si="5"/>
        <v>-46.446245302773768</v>
      </c>
      <c r="P32" s="133">
        <f t="shared" ca="1" si="4"/>
        <v>0.97807363588728946</v>
      </c>
      <c r="Q32" s="131">
        <f ca="1">'1. IRR Equity'!AH40</f>
        <v>-1.1569161340594292E-2</v>
      </c>
      <c r="R32" s="135"/>
      <c r="S32" s="416"/>
    </row>
    <row r="33" spans="2:19" x14ac:dyDescent="0.25">
      <c r="B33" s="105"/>
      <c r="C33" s="5"/>
      <c r="D33" s="8"/>
      <c r="E33" s="8"/>
      <c r="F33" s="8"/>
      <c r="G33" s="8"/>
      <c r="H33" s="8"/>
      <c r="I33" s="22"/>
      <c r="J33" s="19"/>
      <c r="K33" s="19"/>
      <c r="L33" s="19"/>
      <c r="M33" s="19"/>
      <c r="N33" s="19"/>
      <c r="O33" s="19"/>
      <c r="P33" s="12"/>
      <c r="Q33" s="139"/>
      <c r="R33" s="136"/>
      <c r="S33" s="338"/>
    </row>
    <row r="34" spans="2:19" x14ac:dyDescent="0.25">
      <c r="B34" s="105"/>
      <c r="C34" s="16" t="s">
        <v>29</v>
      </c>
      <c r="D34" s="2"/>
      <c r="E34" s="2"/>
      <c r="F34" s="2"/>
      <c r="G34" s="6"/>
      <c r="H34" s="2"/>
      <c r="I34" s="137"/>
      <c r="J34" s="17"/>
      <c r="K34" s="17"/>
      <c r="L34" s="17"/>
      <c r="M34" s="17"/>
      <c r="N34" s="17"/>
      <c r="O34" s="17"/>
      <c r="P34" s="10"/>
      <c r="Q34" s="137"/>
      <c r="R34" s="134"/>
      <c r="S34" s="338"/>
    </row>
    <row r="35" spans="2:19" x14ac:dyDescent="0.25">
      <c r="B35" s="105"/>
      <c r="C35" s="4" t="s">
        <v>49</v>
      </c>
      <c r="D35" s="2" t="s">
        <v>500</v>
      </c>
      <c r="E35" s="2" t="s">
        <v>338</v>
      </c>
      <c r="F35" s="2" t="s">
        <v>8</v>
      </c>
      <c r="G35" s="6">
        <v>2019</v>
      </c>
      <c r="H35" s="2" t="s">
        <v>133</v>
      </c>
      <c r="I35" s="137" t="s">
        <v>131</v>
      </c>
      <c r="J35" s="17">
        <v>8</v>
      </c>
      <c r="K35" s="17">
        <v>8</v>
      </c>
      <c r="L35" s="17">
        <v>0</v>
      </c>
      <c r="M35" s="17">
        <v>0</v>
      </c>
      <c r="N35" s="17">
        <v>0</v>
      </c>
      <c r="O35" s="17">
        <f t="shared" ref="O35:O37" si="6">N35+M35-K35</f>
        <v>-8</v>
      </c>
      <c r="P35" s="10">
        <f>(M35+N35)/K35</f>
        <v>0</v>
      </c>
      <c r="Q35" s="137" t="str">
        <f>VLOOKUP(C35,'2. IRR Debt'!$P$9:$Y$11,7,0)</f>
        <v>NM</v>
      </c>
      <c r="R35" s="134" t="s">
        <v>501</v>
      </c>
      <c r="S35" s="338"/>
    </row>
    <row r="36" spans="2:19" x14ac:dyDescent="0.25">
      <c r="B36" s="105"/>
      <c r="C36" s="4" t="s">
        <v>273</v>
      </c>
      <c r="D36" s="2" t="s">
        <v>500</v>
      </c>
      <c r="E36" s="2" t="s">
        <v>64</v>
      </c>
      <c r="F36" s="2" t="s">
        <v>8</v>
      </c>
      <c r="G36" s="6">
        <v>2021</v>
      </c>
      <c r="H36" s="2" t="s">
        <v>135</v>
      </c>
      <c r="I36" s="137" t="s">
        <v>131</v>
      </c>
      <c r="J36" s="17">
        <v>2.3539819999999998</v>
      </c>
      <c r="K36" s="17">
        <f>J36</f>
        <v>2.3539819999999998</v>
      </c>
      <c r="L36" s="17">
        <v>0</v>
      </c>
      <c r="M36" s="17">
        <v>0</v>
      </c>
      <c r="N36" s="17">
        <f>VLOOKUP(C36,NAV!$B$4:$E$46,4,0)</f>
        <v>0</v>
      </c>
      <c r="O36" s="17">
        <f t="shared" si="6"/>
        <v>-2.3539819999999998</v>
      </c>
      <c r="P36" s="10">
        <f>(M36+N36)/K36</f>
        <v>0</v>
      </c>
      <c r="Q36" s="137" t="str">
        <f>VLOOKUP(C36,'2. IRR Debt'!$P$9:$Y$11,7,0)</f>
        <v>NM</v>
      </c>
      <c r="R36" s="134" t="s">
        <v>83</v>
      </c>
      <c r="S36" s="338"/>
    </row>
    <row r="37" spans="2:19" x14ac:dyDescent="0.25">
      <c r="B37" s="105"/>
      <c r="C37" s="4" t="s">
        <v>265</v>
      </c>
      <c r="D37" s="2" t="s">
        <v>80</v>
      </c>
      <c r="E37" s="2" t="s">
        <v>63</v>
      </c>
      <c r="F37" s="2" t="s">
        <v>8</v>
      </c>
      <c r="G37" s="6">
        <v>2021</v>
      </c>
      <c r="H37" s="2" t="s">
        <v>135</v>
      </c>
      <c r="I37" s="137" t="s">
        <v>131</v>
      </c>
      <c r="J37" s="17">
        <v>0.41176499999999999</v>
      </c>
      <c r="K37" s="17">
        <v>0.41176499999999999</v>
      </c>
      <c r="L37" s="17">
        <v>0</v>
      </c>
      <c r="M37" s="17">
        <f>'CF (Equity, Debt)'!F56</f>
        <v>0.47078465000000003</v>
      </c>
      <c r="N37" s="17">
        <v>0</v>
      </c>
      <c r="O37" s="17">
        <f t="shared" si="6"/>
        <v>5.9019650000000035E-2</v>
      </c>
      <c r="P37" s="10">
        <f>(M37+N37)/K37</f>
        <v>1.1433333333333333</v>
      </c>
      <c r="Q37" s="137">
        <f>VLOOKUP(C37,'2. IRR Debt'!$P$9:$Y$11,7,0)</f>
        <v>7.5277027487754833E-2</v>
      </c>
      <c r="R37" s="134"/>
      <c r="S37" s="338"/>
    </row>
    <row r="38" spans="2:19" s="109" customFormat="1" x14ac:dyDescent="0.25">
      <c r="B38" s="107"/>
      <c r="C38" s="130"/>
      <c r="D38" s="130"/>
      <c r="E38" s="130"/>
      <c r="F38" s="130"/>
      <c r="G38" s="130"/>
      <c r="H38" s="130"/>
      <c r="I38" s="138"/>
      <c r="J38" s="132">
        <f>SUM(J35:J37)</f>
        <v>10.765747000000001</v>
      </c>
      <c r="K38" s="132">
        <f>SUM(K35:K37)</f>
        <v>10.765747000000001</v>
      </c>
      <c r="L38" s="132">
        <f>SUM(L35:L37)</f>
        <v>0</v>
      </c>
      <c r="M38" s="132">
        <f>SUM(M35:M37)</f>
        <v>0.47078465000000003</v>
      </c>
      <c r="N38" s="132">
        <f>SUM(N35:N37)</f>
        <v>0</v>
      </c>
      <c r="O38" s="132">
        <f>N38+M38-K38</f>
        <v>-10.29496235</v>
      </c>
      <c r="P38" s="133">
        <f t="shared" ref="P38" si="7">(M38+N38)/K38</f>
        <v>4.3729863798582673E-2</v>
      </c>
      <c r="Q38" s="138">
        <f>'2. IRR Debt'!Q15</f>
        <v>-0.71226245388388643</v>
      </c>
      <c r="R38" s="135"/>
      <c r="S38" s="416"/>
    </row>
    <row r="39" spans="2:19" x14ac:dyDescent="0.25">
      <c r="B39" s="105"/>
      <c r="C39" s="5"/>
      <c r="D39" s="8"/>
      <c r="E39" s="8"/>
      <c r="F39" s="8"/>
      <c r="G39" s="8"/>
      <c r="H39" s="8"/>
      <c r="I39" s="139"/>
      <c r="J39" s="19"/>
      <c r="K39" s="19"/>
      <c r="L39" s="19"/>
      <c r="M39" s="19"/>
      <c r="N39" s="19"/>
      <c r="O39" s="19"/>
      <c r="P39" s="12"/>
      <c r="Q39" s="139"/>
      <c r="R39" s="8"/>
      <c r="S39" s="338"/>
    </row>
    <row r="40" spans="2:19" x14ac:dyDescent="0.25">
      <c r="B40" s="105"/>
      <c r="C40" s="16" t="s">
        <v>30</v>
      </c>
      <c r="D40" s="2"/>
      <c r="E40" s="2"/>
      <c r="F40" s="2"/>
      <c r="G40" s="6"/>
      <c r="H40" s="2"/>
      <c r="I40" s="137"/>
      <c r="J40" s="17"/>
      <c r="K40" s="17"/>
      <c r="L40" s="17"/>
      <c r="M40" s="17"/>
      <c r="N40" s="17"/>
      <c r="O40" s="17"/>
      <c r="P40" s="10"/>
      <c r="Q40" s="137"/>
      <c r="R40" s="2"/>
      <c r="S40" s="338"/>
    </row>
    <row r="41" spans="2:19" x14ac:dyDescent="0.25">
      <c r="B41" s="105"/>
      <c r="C41" s="4" t="s">
        <v>125</v>
      </c>
      <c r="D41" s="2" t="s">
        <v>79</v>
      </c>
      <c r="E41" s="2" t="s">
        <v>63</v>
      </c>
      <c r="F41" s="2" t="s">
        <v>11</v>
      </c>
      <c r="G41" s="6">
        <v>2020</v>
      </c>
      <c r="H41" s="2" t="s">
        <v>55</v>
      </c>
      <c r="I41" s="137" t="s">
        <v>131</v>
      </c>
      <c r="J41" s="17">
        <f ca="1">K41+L41</f>
        <v>31.022786748675706</v>
      </c>
      <c r="K41" s="17">
        <f ca="1">-SUMIF('CF (Funds)'!$B$3:$D$2006,C41,'CF (Funds)'!$D$3:$D$2006)</f>
        <v>13.988552928385005</v>
      </c>
      <c r="L41" s="17">
        <f>'5. NewSpace'!I54</f>
        <v>17.034233820290702</v>
      </c>
      <c r="M41" s="17">
        <f>SUM('CF (Funds)'!E36:E42)</f>
        <v>2.9557743514081998</v>
      </c>
      <c r="N41" s="17">
        <f>VLOOKUP(C41,NAV!$B$4:$E$46,4,0)</f>
        <v>13.277944663100001</v>
      </c>
      <c r="O41" s="17">
        <f t="shared" ref="O41:O45" ca="1" si="8">N41+M41-K41</f>
        <v>2.245166086123195</v>
      </c>
      <c r="P41" s="10">
        <f ca="1">(M41+N41)/K41</f>
        <v>1.1605002388465353</v>
      </c>
      <c r="Q41" s="137">
        <f>VLOOKUP(C41,'3. IRR Funds'!$P$7:$Y$15,7,0)</f>
        <v>3.6116042733192452E-2</v>
      </c>
      <c r="R41" s="2"/>
      <c r="S41" s="338"/>
    </row>
    <row r="42" spans="2:19" x14ac:dyDescent="0.25">
      <c r="B42" s="105"/>
      <c r="C42" s="4" t="s">
        <v>390</v>
      </c>
      <c r="D42" s="2" t="s">
        <v>79</v>
      </c>
      <c r="E42" s="2" t="s">
        <v>63</v>
      </c>
      <c r="F42" s="2" t="s">
        <v>11</v>
      </c>
      <c r="G42" s="6">
        <v>2023</v>
      </c>
      <c r="H42" s="2" t="s">
        <v>55</v>
      </c>
      <c r="I42" s="137" t="s">
        <v>131</v>
      </c>
      <c r="J42" s="17">
        <f>2.3/0.85</f>
        <v>2.7058823529411762</v>
      </c>
      <c r="K42" s="17">
        <v>2.7058823529411762</v>
      </c>
      <c r="L42" s="17">
        <v>0</v>
      </c>
      <c r="M42" s="17">
        <v>0</v>
      </c>
      <c r="N42" s="17">
        <f ca="1">VLOOKUP(C42,NAV!$B$4:$E$46,4,0)</f>
        <v>2.5684255069948656</v>
      </c>
      <c r="O42" s="17">
        <f t="shared" ca="1" si="8"/>
        <v>-0.13745684594631058</v>
      </c>
      <c r="P42" s="10">
        <f ca="1">(M42+N42)/K42</f>
        <v>0.94920073084592871</v>
      </c>
      <c r="Q42" s="137">
        <f>VLOOKUP(C42,'3. IRR Funds'!$P$7:$Y$15,7,0)</f>
        <v>0</v>
      </c>
      <c r="R42" s="122"/>
      <c r="S42" s="338"/>
    </row>
    <row r="43" spans="2:19" x14ac:dyDescent="0.25">
      <c r="B43" s="105"/>
      <c r="C43" s="4" t="s">
        <v>1</v>
      </c>
      <c r="D43" s="2" t="s">
        <v>79</v>
      </c>
      <c r="E43" s="2" t="s">
        <v>64</v>
      </c>
      <c r="F43" s="2" t="s">
        <v>11</v>
      </c>
      <c r="G43" s="6">
        <v>2020</v>
      </c>
      <c r="H43" s="2" t="s">
        <v>55</v>
      </c>
      <c r="I43" s="137" t="s">
        <v>131</v>
      </c>
      <c r="J43" s="17">
        <f ca="1">K43+L43</f>
        <v>83.334352999999979</v>
      </c>
      <c r="K43" s="17">
        <f ca="1">-SUMIF('CF (Funds)'!$B$3:$D$2006,C43,'CF (Funds)'!$D$3:$D$2006)</f>
        <v>83.214652999999984</v>
      </c>
      <c r="L43" s="17">
        <f>217.813308-217.693608</f>
        <v>0.11969999999999459</v>
      </c>
      <c r="M43" s="17">
        <f>SUM('CF (Funds)'!E25:'CF (Funds)'!E35)</f>
        <v>7.8158709999999996</v>
      </c>
      <c r="N43" s="17">
        <f>VLOOKUP(C43,NAV!$B$4:$E$46,4,0)</f>
        <v>74.725861000000009</v>
      </c>
      <c r="O43" s="17">
        <f t="shared" ca="1" si="8"/>
        <v>-0.6729209999999739</v>
      </c>
      <c r="P43" s="10">
        <f ca="1">(M43+N43)/K43</f>
        <v>0.99191343140011679</v>
      </c>
      <c r="Q43" s="137">
        <f>VLOOKUP(C43,'3. IRR Funds'!$P$7:$Y$15,7,0)</f>
        <v>-2.5177218019962321E-3</v>
      </c>
      <c r="R43" s="2"/>
      <c r="S43" s="338"/>
    </row>
    <row r="44" spans="2:19" x14ac:dyDescent="0.25">
      <c r="B44" s="105"/>
      <c r="C44" s="4" t="s">
        <v>12</v>
      </c>
      <c r="D44" s="2" t="s">
        <v>80</v>
      </c>
      <c r="E44" s="2" t="s">
        <v>64</v>
      </c>
      <c r="F44" s="2" t="s">
        <v>11</v>
      </c>
      <c r="G44" s="6">
        <v>2020</v>
      </c>
      <c r="H44" s="2" t="s">
        <v>55</v>
      </c>
      <c r="I44" s="137" t="s">
        <v>131</v>
      </c>
      <c r="J44" s="17">
        <v>50</v>
      </c>
      <c r="K44" s="17">
        <f ca="1">-SUMIF('CF (Funds)'!$B$3:$D$2006,C44,'CF (Funds)'!$D$3:$D$2006)</f>
        <v>24.959693000000001</v>
      </c>
      <c r="L44" s="17">
        <f ca="1">J44-K44</f>
        <v>25.040306999999999</v>
      </c>
      <c r="M44" s="17">
        <f>SUM('CF (Funds)'!E3:E20)</f>
        <v>0.44382834999999998</v>
      </c>
      <c r="N44" s="17">
        <f>VLOOKUP(C44,NAV!$B$4:$E$46,4,0)</f>
        <v>23.670303000000001</v>
      </c>
      <c r="O44" s="17">
        <f ca="1">N44+M44-K44</f>
        <v>-0.8455616500000005</v>
      </c>
      <c r="P44" s="10">
        <f ca="1">(M44+N44)/K44</f>
        <v>0.96612291465283651</v>
      </c>
      <c r="Q44" s="137">
        <f>VLOOKUP(C44,'3. IRR Funds'!$P$7:$Y$15,7,0)</f>
        <v>-1.4868453145027161E-2</v>
      </c>
      <c r="R44" s="122"/>
      <c r="S44" s="338"/>
    </row>
    <row r="45" spans="2:19" ht="17.25" x14ac:dyDescent="0.25">
      <c r="B45" s="105"/>
      <c r="C45" s="4" t="s">
        <v>176</v>
      </c>
      <c r="D45" s="2" t="s">
        <v>79</v>
      </c>
      <c r="E45" s="2" t="s">
        <v>65</v>
      </c>
      <c r="F45" s="2" t="s">
        <v>11</v>
      </c>
      <c r="G45" s="6">
        <v>2021</v>
      </c>
      <c r="H45" s="2" t="s">
        <v>55</v>
      </c>
      <c r="I45" s="137">
        <v>0.33</v>
      </c>
      <c r="J45" s="17">
        <v>17.112500000000001</v>
      </c>
      <c r="K45" s="17">
        <f ca="1">-SUMIF('CF (Funds)'!$B$3:$D$2006,C45,'CF (Funds)'!$D$3:$D$2006)</f>
        <v>14.0151375</v>
      </c>
      <c r="L45" s="17">
        <f ca="1">J45-K45</f>
        <v>3.0973625000000009</v>
      </c>
      <c r="M45" s="17">
        <v>0</v>
      </c>
      <c r="N45" s="17">
        <f>VLOOKUP(C45,NAV!$B$4:$E$46,4,0)</f>
        <v>12.310425</v>
      </c>
      <c r="O45" s="17">
        <f t="shared" ca="1" si="8"/>
        <v>-1.7047124999999994</v>
      </c>
      <c r="P45" s="10">
        <f ca="1">(M45+N45)/K45</f>
        <v>0.87836633782579732</v>
      </c>
      <c r="Q45" s="137">
        <f>VLOOKUP(C45,'3. IRR Funds'!$P$7:$Y$15,7,0)</f>
        <v>-7.1990828216075942E-2</v>
      </c>
      <c r="R45" s="2" t="s">
        <v>488</v>
      </c>
      <c r="S45" s="338"/>
    </row>
    <row r="46" spans="2:19" s="109" customFormat="1" x14ac:dyDescent="0.25">
      <c r="B46" s="107"/>
      <c r="C46" s="9"/>
      <c r="D46" s="9"/>
      <c r="E46" s="9"/>
      <c r="F46" s="9"/>
      <c r="G46" s="9"/>
      <c r="H46" s="9"/>
      <c r="I46" s="140"/>
      <c r="J46" s="18">
        <f ca="1">SUM(J41:J45)</f>
        <v>184.17552210161688</v>
      </c>
      <c r="K46" s="18">
        <f ca="1">SUM(K41:K45)</f>
        <v>138.88391878132617</v>
      </c>
      <c r="L46" s="18">
        <f ca="1">SUM(L41:L45)</f>
        <v>45.291603320290697</v>
      </c>
      <c r="M46" s="18">
        <f>SUM(M41:M45)</f>
        <v>11.2154737014082</v>
      </c>
      <c r="N46" s="18">
        <f ca="1">SUM(N41:N45)</f>
        <v>126.55295917009488</v>
      </c>
      <c r="O46" s="18">
        <f ca="1">N46+M46-K46</f>
        <v>-1.1154859098230929</v>
      </c>
      <c r="P46" s="11">
        <f t="shared" ref="P46:P48" ca="1" si="9">(M46+N46)/K46</f>
        <v>0.99196821403362445</v>
      </c>
      <c r="Q46" s="21">
        <f>'3. IRR Funds'!Q18</f>
        <v>2.9802322387695314E-9</v>
      </c>
      <c r="R46" s="9"/>
      <c r="S46" s="416"/>
    </row>
    <row r="47" spans="2:19" s="109" customFormat="1" x14ac:dyDescent="0.25">
      <c r="B47" s="107"/>
      <c r="C47" s="248"/>
      <c r="D47" s="248"/>
      <c r="E47" s="248"/>
      <c r="F47" s="248"/>
      <c r="G47" s="248"/>
      <c r="H47" s="248"/>
      <c r="I47" s="139"/>
      <c r="J47" s="249"/>
      <c r="K47" s="249"/>
      <c r="L47" s="249"/>
      <c r="M47" s="249"/>
      <c r="N47" s="249"/>
      <c r="O47" s="249"/>
      <c r="P47" s="250"/>
      <c r="Q47" s="149"/>
      <c r="R47" s="248"/>
      <c r="S47" s="416"/>
    </row>
    <row r="48" spans="2:19" s="109" customFormat="1" x14ac:dyDescent="0.25">
      <c r="B48" s="107"/>
      <c r="C48" s="251" t="s">
        <v>57</v>
      </c>
      <c r="D48" s="243"/>
      <c r="E48" s="243"/>
      <c r="F48" s="243"/>
      <c r="G48" s="243"/>
      <c r="H48" s="243"/>
      <c r="I48" s="244"/>
      <c r="J48" s="245">
        <f ca="1">J32+J38+J46</f>
        <v>2316.727473910541</v>
      </c>
      <c r="K48" s="245">
        <f ca="1">K32+K38+K46</f>
        <v>2267.9327091541695</v>
      </c>
      <c r="L48" s="245">
        <f ca="1">L32+L38+L46</f>
        <v>48.791603320290697</v>
      </c>
      <c r="M48" s="245">
        <f ca="1">M32+M38+M46</f>
        <v>1254.9284508814083</v>
      </c>
      <c r="N48" s="245">
        <f ca="1">N32+N38+N46</f>
        <v>955.14756471016494</v>
      </c>
      <c r="O48" s="245">
        <f ca="1">N48+M48-K48</f>
        <v>-57.85669356259632</v>
      </c>
      <c r="P48" s="246">
        <f t="shared" ca="1" si="9"/>
        <v>0.97448923712371782</v>
      </c>
      <c r="Q48" s="247">
        <f ca="1">'4.All'!N9</f>
        <v>-1.2957467883825301E-2</v>
      </c>
      <c r="R48" s="243"/>
      <c r="S48" s="416"/>
    </row>
    <row r="49" spans="2:20" s="310" customFormat="1" ht="15.75" thickBot="1" x14ac:dyDescent="0.3">
      <c r="B49" s="303"/>
      <c r="C49" s="304"/>
      <c r="D49" s="305"/>
      <c r="E49" s="305"/>
      <c r="F49" s="305"/>
      <c r="G49" s="305"/>
      <c r="H49" s="305"/>
      <c r="I49" s="306"/>
      <c r="J49" s="307"/>
      <c r="K49" s="307" t="b">
        <f ca="1">ROUND(K48,2)=ROUND('4.All'!J9,2)</f>
        <v>1</v>
      </c>
      <c r="L49" s="307"/>
      <c r="M49" s="307" t="b">
        <f ca="1">ROUND(M48,2)=ROUND('4.All'!L9,2)</f>
        <v>1</v>
      </c>
      <c r="N49" s="307" t="b">
        <f ca="1">ROUND(N48,2)=ROUND('4.All'!M9,2)</f>
        <v>1</v>
      </c>
      <c r="O49" s="307"/>
      <c r="P49" s="308"/>
      <c r="Q49" s="306"/>
      <c r="R49" s="305"/>
      <c r="S49" s="417"/>
    </row>
    <row r="50" spans="2:20" x14ac:dyDescent="0.25">
      <c r="I50" s="115"/>
      <c r="Q50" s="115"/>
    </row>
    <row r="51" spans="2:20" x14ac:dyDescent="0.25">
      <c r="C51" s="254" t="s">
        <v>153</v>
      </c>
      <c r="D51" s="141"/>
      <c r="E51" s="142"/>
      <c r="F51" s="143"/>
      <c r="G51" s="143"/>
      <c r="H51" s="143"/>
      <c r="I51" s="143"/>
      <c r="J51" s="143"/>
      <c r="K51" s="143"/>
      <c r="L51" s="143"/>
      <c r="M51" s="143"/>
      <c r="N51" s="143"/>
      <c r="O51" s="143"/>
      <c r="P51" s="143"/>
      <c r="Q51" s="143"/>
      <c r="R51" s="143"/>
    </row>
    <row r="52" spans="2:20" x14ac:dyDescent="0.25">
      <c r="C52" s="96" t="s">
        <v>234</v>
      </c>
      <c r="G52" s="154"/>
      <c r="K52" s="255"/>
      <c r="N52" s="127"/>
      <c r="O52" s="127"/>
      <c r="Q52" s="127"/>
      <c r="R52" s="127"/>
    </row>
    <row r="53" spans="2:20" x14ac:dyDescent="0.25">
      <c r="C53" s="95" t="s">
        <v>235</v>
      </c>
      <c r="N53" s="127"/>
      <c r="O53" s="127"/>
      <c r="Q53" s="127"/>
      <c r="R53" s="127"/>
    </row>
    <row r="54" spans="2:20" x14ac:dyDescent="0.25">
      <c r="C54" s="95" t="s">
        <v>237</v>
      </c>
      <c r="N54" s="127"/>
      <c r="O54" s="127"/>
      <c r="Q54" s="127"/>
      <c r="R54" s="127"/>
    </row>
    <row r="55" spans="2:20" x14ac:dyDescent="0.25">
      <c r="C55" s="95" t="s">
        <v>486</v>
      </c>
      <c r="N55" s="127"/>
      <c r="O55" s="127"/>
      <c r="Q55" s="127"/>
      <c r="R55" s="127"/>
    </row>
    <row r="56" spans="2:20" x14ac:dyDescent="0.25">
      <c r="C56" s="95" t="s">
        <v>490</v>
      </c>
      <c r="N56" s="127"/>
      <c r="O56" s="127"/>
      <c r="Q56" s="127"/>
      <c r="R56" s="127"/>
    </row>
    <row r="57" spans="2:20" x14ac:dyDescent="0.25">
      <c r="C57" s="96" t="s">
        <v>489</v>
      </c>
      <c r="N57" s="127"/>
      <c r="O57" s="127"/>
      <c r="Q57" s="127"/>
      <c r="R57" s="127"/>
    </row>
    <row r="58" spans="2:20" x14ac:dyDescent="0.25">
      <c r="C58" s="96" t="s">
        <v>602</v>
      </c>
      <c r="N58" s="127"/>
      <c r="O58" s="127"/>
      <c r="Q58" s="127"/>
      <c r="R58" s="127"/>
    </row>
    <row r="59" spans="2:20" x14ac:dyDescent="0.25">
      <c r="C59" s="27"/>
      <c r="N59" s="127"/>
      <c r="O59" s="127"/>
      <c r="Q59" s="127"/>
      <c r="R59" s="127"/>
      <c r="S59" s="418"/>
      <c r="T59" s="381"/>
    </row>
    <row r="60" spans="2:20" x14ac:dyDescent="0.25">
      <c r="C60" s="254" t="s">
        <v>309</v>
      </c>
      <c r="D60" s="141"/>
      <c r="E60" s="142"/>
      <c r="F60" s="143"/>
      <c r="G60" s="143"/>
      <c r="H60" s="143"/>
      <c r="I60" s="142"/>
      <c r="J60" s="143"/>
      <c r="K60" s="143"/>
      <c r="L60" s="143"/>
      <c r="M60" s="143"/>
      <c r="N60" s="143"/>
      <c r="O60" s="143"/>
      <c r="P60" s="143"/>
      <c r="Q60" s="143"/>
      <c r="R60" s="143"/>
      <c r="S60" s="418"/>
      <c r="T60" s="381"/>
    </row>
    <row r="61" spans="2:20" x14ac:dyDescent="0.25">
      <c r="C61" s="96" t="s">
        <v>321</v>
      </c>
      <c r="N61" s="127"/>
      <c r="O61" s="127"/>
      <c r="Q61" s="127"/>
      <c r="R61" s="127"/>
      <c r="S61" s="418"/>
      <c r="T61" s="381"/>
    </row>
    <row r="62" spans="2:20" x14ac:dyDescent="0.25">
      <c r="C62" s="311" t="s">
        <v>322</v>
      </c>
      <c r="N62" s="127"/>
      <c r="O62" s="127"/>
      <c r="Q62" s="127"/>
      <c r="R62" s="127"/>
    </row>
    <row r="63" spans="2:20" x14ac:dyDescent="0.25">
      <c r="C63" s="96" t="s">
        <v>323</v>
      </c>
      <c r="N63" s="127"/>
      <c r="O63" s="127"/>
      <c r="Q63" s="127"/>
      <c r="R63" s="127"/>
    </row>
    <row r="64" spans="2:20" x14ac:dyDescent="0.25">
      <c r="C64" s="27"/>
      <c r="N64" s="127"/>
      <c r="O64" s="127"/>
      <c r="Q64" s="127"/>
      <c r="R64" s="127"/>
    </row>
    <row r="65" spans="3:18" x14ac:dyDescent="0.25">
      <c r="C65" s="254" t="s">
        <v>313</v>
      </c>
      <c r="D65" s="141"/>
      <c r="E65" s="142"/>
      <c r="F65" s="143"/>
      <c r="G65" s="143"/>
      <c r="H65" s="143"/>
      <c r="I65" s="142"/>
      <c r="J65" s="143"/>
      <c r="K65" s="143"/>
      <c r="L65" s="143"/>
      <c r="M65" s="143"/>
      <c r="N65" s="143"/>
      <c r="O65" s="143"/>
      <c r="P65" s="143"/>
      <c r="Q65" s="143"/>
      <c r="R65" s="143"/>
    </row>
    <row r="66" spans="3:18" x14ac:dyDescent="0.25">
      <c r="C66" s="13" t="s">
        <v>315</v>
      </c>
      <c r="N66" s="127"/>
      <c r="O66" s="127"/>
      <c r="Q66" s="127"/>
      <c r="R66" s="127"/>
    </row>
    <row r="67" spans="3:18" x14ac:dyDescent="0.25">
      <c r="C67" s="13" t="s">
        <v>316</v>
      </c>
      <c r="N67" s="127"/>
      <c r="O67" s="127"/>
      <c r="Q67" s="127"/>
      <c r="R67" s="127"/>
    </row>
    <row r="68" spans="3:18" x14ac:dyDescent="0.25">
      <c r="C68" s="96" t="s">
        <v>317</v>
      </c>
      <c r="N68" s="127"/>
      <c r="O68" s="127"/>
      <c r="Q68" s="127"/>
      <c r="R68" s="127"/>
    </row>
    <row r="69" spans="3:18" x14ac:dyDescent="0.25">
      <c r="C69" s="13" t="s">
        <v>318</v>
      </c>
      <c r="N69" s="127"/>
      <c r="O69" s="127"/>
      <c r="Q69" s="127"/>
      <c r="R69" s="127"/>
    </row>
    <row r="70" spans="3:18" x14ac:dyDescent="0.25">
      <c r="C70" s="96" t="s">
        <v>319</v>
      </c>
      <c r="N70" s="127"/>
      <c r="O70" s="127"/>
      <c r="Q70" s="127"/>
      <c r="R70" s="127"/>
    </row>
    <row r="71" spans="3:18" x14ac:dyDescent="0.25">
      <c r="C71" s="96" t="s">
        <v>320</v>
      </c>
      <c r="P71" s="27"/>
    </row>
    <row r="72" spans="3:18" x14ac:dyDescent="0.25">
      <c r="C72" s="26"/>
      <c r="P72" s="27"/>
    </row>
    <row r="73" spans="3:18" x14ac:dyDescent="0.25">
      <c r="C73" s="254" t="s">
        <v>154</v>
      </c>
      <c r="D73" s="141"/>
      <c r="E73" s="142"/>
      <c r="F73" s="143"/>
      <c r="G73" s="143"/>
      <c r="H73" s="143"/>
      <c r="I73" s="142"/>
      <c r="J73" s="143"/>
      <c r="K73" s="143"/>
      <c r="L73" s="143"/>
      <c r="M73" s="143"/>
      <c r="N73" s="143"/>
      <c r="O73" s="143"/>
      <c r="P73" s="143"/>
      <c r="Q73" s="143"/>
      <c r="R73" s="143"/>
    </row>
    <row r="74" spans="3:18" x14ac:dyDescent="0.25">
      <c r="C74" s="13" t="s">
        <v>272</v>
      </c>
      <c r="P74" s="27"/>
    </row>
    <row r="75" spans="3:18" x14ac:dyDescent="0.25">
      <c r="C75" s="13" t="s">
        <v>147</v>
      </c>
      <c r="P75" s="27"/>
    </row>
    <row r="76" spans="3:18" x14ac:dyDescent="0.25">
      <c r="C76" s="96" t="s">
        <v>236</v>
      </c>
      <c r="I76" s="96"/>
    </row>
    <row r="77" spans="3:18" x14ac:dyDescent="0.25">
      <c r="H77" s="227"/>
      <c r="I77" s="96"/>
    </row>
    <row r="78" spans="3:18" x14ac:dyDescent="0.25">
      <c r="H78" s="96"/>
      <c r="I78" s="96"/>
    </row>
    <row r="79" spans="3:18" x14ac:dyDescent="0.25">
      <c r="C79" s="96"/>
      <c r="E79" s="96"/>
      <c r="H79" s="96"/>
      <c r="I79" s="96"/>
    </row>
    <row r="80" spans="3:18" x14ac:dyDescent="0.25">
      <c r="C80" s="27"/>
      <c r="H80" s="96"/>
      <c r="I80" s="96"/>
    </row>
    <row r="81" spans="3:6" x14ac:dyDescent="0.25">
      <c r="C81" s="27"/>
    </row>
    <row r="82" spans="3:6" x14ac:dyDescent="0.25">
      <c r="F82" s="96"/>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2"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74"/>
  <sheetViews>
    <sheetView showGridLines="0" view="pageBreakPreview" zoomScale="60" zoomScaleNormal="90" workbookViewId="0">
      <selection activeCell="X14" sqref="X14"/>
    </sheetView>
  </sheetViews>
  <sheetFormatPr defaultColWidth="9.140625" defaultRowHeight="15" outlineLevelCol="1" x14ac:dyDescent="0.25"/>
  <cols>
    <col min="1" max="2" width="5.42578125" style="26" customWidth="1"/>
    <col min="3" max="3" width="40.5703125" style="95" bestFit="1" customWidth="1"/>
    <col min="4" max="4" width="18.7109375" style="95"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5.42578125" style="27" customWidth="1"/>
    <col min="18" max="18" width="17.5703125" style="127" customWidth="1"/>
    <col min="19" max="19" width="17.5703125" style="27" customWidth="1"/>
    <col min="20" max="20" width="25.5703125" style="27" bestFit="1" customWidth="1"/>
    <col min="21" max="21" width="3" style="26" customWidth="1"/>
    <col min="22" max="22" width="6.28515625" style="26" customWidth="1"/>
    <col min="23" max="23" width="12.140625" style="26" bestFit="1" customWidth="1"/>
    <col min="24" max="24" width="18.5703125" style="26" customWidth="1"/>
    <col min="25" max="16384" width="9.140625" style="26"/>
  </cols>
  <sheetData>
    <row r="1" spans="2:24" ht="21.75" customHeight="1" thickBot="1" x14ac:dyDescent="0.3">
      <c r="C1" s="223"/>
      <c r="D1" s="223"/>
    </row>
    <row r="2" spans="2:24" ht="15.75" thickBot="1" x14ac:dyDescent="0.3">
      <c r="C2" s="252" t="s">
        <v>188</v>
      </c>
      <c r="D2" s="252"/>
      <c r="E2" s="253">
        <f>D!D2</f>
        <v>45322</v>
      </c>
      <c r="F2" s="26"/>
      <c r="G2" s="26"/>
      <c r="H2" s="26"/>
      <c r="I2" s="26"/>
      <c r="J2" s="26"/>
      <c r="K2" s="26"/>
      <c r="L2" s="26"/>
      <c r="M2" s="26"/>
      <c r="N2" s="26"/>
      <c r="O2" s="26"/>
      <c r="P2" s="26"/>
      <c r="Q2" s="26"/>
      <c r="R2" s="26"/>
      <c r="S2" s="26"/>
      <c r="T2" s="26"/>
    </row>
    <row r="3" spans="2:24" ht="21.75" customHeight="1" thickBot="1" x14ac:dyDescent="0.3">
      <c r="C3" s="223"/>
      <c r="D3" s="223"/>
    </row>
    <row r="4" spans="2:24" x14ac:dyDescent="0.25">
      <c r="B4" s="97"/>
      <c r="C4" s="98"/>
      <c r="D4" s="98"/>
      <c r="E4" s="99"/>
      <c r="F4" s="99"/>
      <c r="G4" s="99"/>
      <c r="H4" s="99"/>
      <c r="I4" s="99"/>
      <c r="J4" s="99"/>
      <c r="K4" s="99"/>
      <c r="L4" s="99"/>
      <c r="M4" s="99"/>
      <c r="N4" s="99"/>
      <c r="O4" s="99"/>
      <c r="P4" s="99"/>
      <c r="Q4" s="99"/>
      <c r="R4" s="225"/>
      <c r="S4" s="99"/>
      <c r="T4" s="99"/>
      <c r="U4" s="101"/>
    </row>
    <row r="5" spans="2:24" s="310" customFormat="1" x14ac:dyDescent="0.25">
      <c r="B5" s="354"/>
      <c r="C5" s="355"/>
      <c r="D5" s="355"/>
      <c r="E5" s="356">
        <v>2</v>
      </c>
      <c r="F5" s="356">
        <v>3</v>
      </c>
      <c r="G5" s="356">
        <v>4</v>
      </c>
      <c r="H5" s="356">
        <v>5</v>
      </c>
      <c r="I5" s="356">
        <v>6</v>
      </c>
      <c r="J5" s="356">
        <v>7</v>
      </c>
      <c r="K5" s="356">
        <v>8</v>
      </c>
      <c r="L5" s="356">
        <v>9</v>
      </c>
      <c r="M5" s="356">
        <v>11</v>
      </c>
      <c r="N5" s="356">
        <v>12</v>
      </c>
      <c r="O5" s="356">
        <v>13</v>
      </c>
      <c r="P5" s="356"/>
      <c r="Q5" s="356">
        <v>15</v>
      </c>
      <c r="R5" s="356">
        <v>14</v>
      </c>
      <c r="S5" s="356">
        <v>10</v>
      </c>
      <c r="T5" s="356">
        <v>16</v>
      </c>
      <c r="U5" s="357"/>
    </row>
    <row r="6" spans="2:24" s="104" customFormat="1" ht="60" customHeight="1" x14ac:dyDescent="0.25">
      <c r="B6" s="102"/>
      <c r="C6" s="3" t="s">
        <v>52</v>
      </c>
      <c r="D6" s="3" t="s">
        <v>160</v>
      </c>
      <c r="E6" s="1" t="s">
        <v>25</v>
      </c>
      <c r="F6" s="1" t="s">
        <v>62</v>
      </c>
      <c r="G6" s="1" t="s">
        <v>31</v>
      </c>
      <c r="H6" s="1" t="s">
        <v>144</v>
      </c>
      <c r="I6" s="1" t="s">
        <v>36</v>
      </c>
      <c r="J6" s="1" t="s">
        <v>54</v>
      </c>
      <c r="K6" s="1" t="s">
        <v>32</v>
      </c>
      <c r="L6" s="1" t="s">
        <v>2</v>
      </c>
      <c r="M6" s="1" t="s">
        <v>33</v>
      </c>
      <c r="N6" s="1" t="s">
        <v>27</v>
      </c>
      <c r="O6" s="1" t="s">
        <v>206</v>
      </c>
      <c r="P6" s="1" t="s">
        <v>460</v>
      </c>
      <c r="Q6" s="1" t="s">
        <v>276</v>
      </c>
      <c r="R6" s="1" t="s">
        <v>34</v>
      </c>
      <c r="S6" s="1" t="s">
        <v>51</v>
      </c>
      <c r="T6" s="1" t="s">
        <v>507</v>
      </c>
      <c r="U6" s="103"/>
    </row>
    <row r="7" spans="2:24" ht="15.75" thickBot="1" x14ac:dyDescent="0.3">
      <c r="B7" s="105"/>
      <c r="C7" s="5"/>
      <c r="D7" s="5"/>
      <c r="E7" s="8"/>
      <c r="F7" s="8"/>
      <c r="G7" s="8"/>
      <c r="H7" s="8"/>
      <c r="I7" s="8" t="s">
        <v>86</v>
      </c>
      <c r="J7" s="8" t="s">
        <v>54</v>
      </c>
      <c r="K7" s="8" t="s">
        <v>304</v>
      </c>
      <c r="L7" s="8" t="s">
        <v>304</v>
      </c>
      <c r="M7" s="8" t="s">
        <v>304</v>
      </c>
      <c r="N7" s="8" t="s">
        <v>304</v>
      </c>
      <c r="O7" s="8" t="s">
        <v>304</v>
      </c>
      <c r="P7" s="8"/>
      <c r="Q7" s="8" t="s">
        <v>54</v>
      </c>
      <c r="R7" s="12" t="s">
        <v>305</v>
      </c>
      <c r="S7" s="8" t="s">
        <v>304</v>
      </c>
      <c r="T7" s="8"/>
      <c r="U7" s="106"/>
      <c r="W7" s="401" t="s">
        <v>351</v>
      </c>
      <c r="X7" s="401"/>
    </row>
    <row r="8" spans="2:24" x14ac:dyDescent="0.25">
      <c r="B8" s="105"/>
      <c r="C8" s="4"/>
      <c r="D8" s="50"/>
      <c r="E8" s="2"/>
      <c r="F8" s="2"/>
      <c r="G8" s="2"/>
      <c r="H8" s="2"/>
      <c r="I8" s="6"/>
      <c r="J8" s="137"/>
      <c r="K8" s="17"/>
      <c r="L8" s="17"/>
      <c r="M8" s="17"/>
      <c r="N8" s="17"/>
      <c r="O8" s="17"/>
      <c r="P8" s="17"/>
      <c r="Q8" s="137"/>
      <c r="R8" s="10"/>
      <c r="S8" s="17"/>
      <c r="T8" s="134"/>
      <c r="U8" s="106"/>
    </row>
    <row r="9" spans="2:24" ht="17.25" x14ac:dyDescent="0.25">
      <c r="B9" s="105"/>
      <c r="C9" s="4" t="s">
        <v>522</v>
      </c>
      <c r="D9" s="50" t="s">
        <v>325</v>
      </c>
      <c r="E9" s="2" t="str">
        <f>VLOOKUP($C9,'S | 01 '!$C$6:$R$48,E$5,0)</f>
        <v>Unrealized</v>
      </c>
      <c r="F9" s="2" t="str">
        <f>VLOOKUP($C9,'S | 01 '!$C$6:$R$48,F$5,0)</f>
        <v>Camillo</v>
      </c>
      <c r="G9" s="2" t="str">
        <f>VLOOKUP($C9,'S | 01 '!$C$6:$R$48,G$5,0)</f>
        <v>Core42</v>
      </c>
      <c r="H9" s="6">
        <f>VLOOKUP($C9,'S | 01 '!$C$6:$R$48,H$5,0)</f>
        <v>2024</v>
      </c>
      <c r="I9" s="6" t="str">
        <f>VLOOKUP($C9,'S | 01 '!$C$6:$R$48,I$5,0)</f>
        <v>Preferred Shares</v>
      </c>
      <c r="J9" s="137">
        <f>VLOOKUP($C9,'S | 01 '!$C$6:$R$48,J$5,0)</f>
        <v>0.25</v>
      </c>
      <c r="K9" s="17">
        <f>VLOOKUP($C9,'S | 01 '!$C$6:$R$48,K$5,0)</f>
        <v>2.75</v>
      </c>
      <c r="L9" s="17">
        <f ca="1">VLOOKUP($C9,'S | 01 '!$C$6:$R$48,L$5,0)</f>
        <v>2.75</v>
      </c>
      <c r="M9" s="17">
        <f>VLOOKUP($C9,'S | 01 '!$C$6:$R$48,M$5,0)</f>
        <v>0</v>
      </c>
      <c r="N9" s="17">
        <f>VLOOKUP($C9,'S | 01 '!$C$6:$R$48,N$5,0)</f>
        <v>2.75</v>
      </c>
      <c r="O9" s="17">
        <f ca="1">VLOOKUP($C9,'S | 01 '!$C$6:$R$48,O$5,0)</f>
        <v>0</v>
      </c>
      <c r="P9" s="17" t="s">
        <v>131</v>
      </c>
      <c r="Q9" s="137" t="str">
        <f>VLOOKUP($C9,'S | 01 '!$C$6:$R$48,Q$5,0)</f>
        <v>NM</v>
      </c>
      <c r="R9" s="10" t="str">
        <f>VLOOKUP($C9,'S | 01 '!$C$6:$R$48,R$5,0)</f>
        <v>NM</v>
      </c>
      <c r="S9" s="17">
        <f ca="1">VLOOKUP($C9,'S | 01 '!$C$6:$R$48,S$5,0)</f>
        <v>0</v>
      </c>
      <c r="T9" s="134" t="s">
        <v>601</v>
      </c>
      <c r="U9" s="106"/>
    </row>
    <row r="10" spans="2:24" ht="17.25" x14ac:dyDescent="0.25">
      <c r="B10" s="105"/>
      <c r="C10" s="4" t="s">
        <v>473</v>
      </c>
      <c r="D10" s="50" t="s">
        <v>325</v>
      </c>
      <c r="E10" s="2" t="str">
        <f>VLOOKUP($C10,'S | 01 '!$C$6:$R$48,E$5,0)</f>
        <v>Unrealized</v>
      </c>
      <c r="F10" s="2" t="str">
        <f>VLOOKUP($C10,'S | 01 '!$C$6:$R$48,F$5,0)</f>
        <v>Sushil</v>
      </c>
      <c r="G10" s="2" t="str">
        <f>VLOOKUP($C10,'S | 01 '!$C$6:$R$48,G$5,0)</f>
        <v>Mozn</v>
      </c>
      <c r="H10" s="6">
        <f>VLOOKUP($C10,'S | 01 '!$C$6:$R$48,H$5,0)</f>
        <v>2023</v>
      </c>
      <c r="I10" s="6" t="str">
        <f>VLOOKUP($C10,'S | 01 '!$C$6:$R$48,I$5,0)</f>
        <v>B Prefs</v>
      </c>
      <c r="J10" s="137">
        <f>VLOOKUP($C10,'S | 01 '!$C$6:$R$48,J$5,0)</f>
        <v>0.11483735948644427</v>
      </c>
      <c r="K10" s="17">
        <f ca="1">VLOOKUP($C10,'S | 01 '!$C$6:$R$48,K$5,0)</f>
        <v>6</v>
      </c>
      <c r="L10" s="17">
        <f ca="1">VLOOKUP($C10,'S | 01 '!$C$6:$R$48,L$5,0)</f>
        <v>6</v>
      </c>
      <c r="M10" s="17">
        <f>VLOOKUP($C10,'S | 01 '!$C$6:$R$48,M$5,0)</f>
        <v>0</v>
      </c>
      <c r="N10" s="17">
        <f ca="1">VLOOKUP($C10,'S | 01 '!$C$6:$R$48,N$5,0)</f>
        <v>6</v>
      </c>
      <c r="O10" s="17">
        <f ca="1">VLOOKUP($C10,'S | 01 '!$C$6:$R$48,O$5,0)</f>
        <v>0</v>
      </c>
      <c r="P10" s="17" t="s">
        <v>131</v>
      </c>
      <c r="Q10" s="137" t="str">
        <f>VLOOKUP($C10,'S | 01 '!$C$6:$R$48,Q$5,0)</f>
        <v>NM</v>
      </c>
      <c r="R10" s="10" t="str">
        <f>VLOOKUP($C10,'S | 01 '!$C$6:$R$48,R$5,0)</f>
        <v>NM</v>
      </c>
      <c r="S10" s="17">
        <f ca="1">VLOOKUP($C10,'S | 01 '!$C$6:$R$48,S$5,0)</f>
        <v>0</v>
      </c>
      <c r="T10" s="134" t="s">
        <v>487</v>
      </c>
      <c r="U10" s="106"/>
    </row>
    <row r="11" spans="2:24" x14ac:dyDescent="0.25">
      <c r="B11" s="105"/>
      <c r="C11" s="4" t="s">
        <v>461</v>
      </c>
      <c r="D11" s="50" t="s">
        <v>325</v>
      </c>
      <c r="E11" s="2" t="str">
        <f>VLOOKUP($C11,'S | 01 '!$C$6:$R$48,E$5,0)</f>
        <v>Unrealized</v>
      </c>
      <c r="F11" s="2" t="str">
        <f>VLOOKUP($C11,'S | 01 '!$C$6:$R$48,F$5,0)</f>
        <v>Divyesh</v>
      </c>
      <c r="G11" s="2" t="str">
        <f>VLOOKUP($C11,'S | 01 '!$C$6:$R$48,G$5,0)</f>
        <v>Mozn</v>
      </c>
      <c r="H11" s="6">
        <f>VLOOKUP($C11,'S | 01 '!$C$6:$R$48,H$5,0)</f>
        <v>2023</v>
      </c>
      <c r="I11" s="6" t="str">
        <f>VLOOKUP($C11,'S | 01 '!$C$6:$R$48,I$5,0)</f>
        <v>Tokens</v>
      </c>
      <c r="J11" s="137">
        <f>VLOOKUP($C11,'S | 01 '!$C$6:$R$48,J$5,0)</f>
        <v>6.2500000000000003E-3</v>
      </c>
      <c r="K11" s="17">
        <f ca="1">VLOOKUP($C11,'S | 01 '!$C$6:$R$48,K$5,0)</f>
        <v>6.875E-3</v>
      </c>
      <c r="L11" s="17">
        <f ca="1">VLOOKUP($C11,'S | 01 '!$C$6:$R$48,L$5,0)</f>
        <v>6.875E-3</v>
      </c>
      <c r="M11" s="17">
        <f>VLOOKUP($C11,'S | 01 '!$C$6:$R$48,M$5,0)</f>
        <v>0</v>
      </c>
      <c r="N11" s="17">
        <f ca="1">VLOOKUP($C11,'S | 01 '!$C$6:$R$48,N$5,0)</f>
        <v>15</v>
      </c>
      <c r="O11" s="17">
        <f ca="1">VLOOKUP($C11,'S | 01 '!$C$6:$R$48,O$5,0)</f>
        <v>14.993124999999999</v>
      </c>
      <c r="P11" s="17" t="s">
        <v>131</v>
      </c>
      <c r="Q11" s="137" t="str">
        <f ca="1">VLOOKUP($C11,'S | 01 '!$C$6:$R$48,Q$5,0)</f>
        <v>NM</v>
      </c>
      <c r="R11" s="10" t="str">
        <f>VLOOKUP($C11,'S | 01 '!$C$6:$R$48,R$5,0)</f>
        <v>NM</v>
      </c>
      <c r="S11" s="17">
        <f ca="1">VLOOKUP($C11,'S | 01 '!$C$6:$R$48,S$5,0)</f>
        <v>0</v>
      </c>
      <c r="T11" s="17" t="str">
        <f>VLOOKUP($C11,'S | 01 '!$C$6:$R$48,T$5,0)</f>
        <v>Crypto Tokensd</v>
      </c>
      <c r="U11" s="106"/>
    </row>
    <row r="12" spans="2:24" x14ac:dyDescent="0.25">
      <c r="B12" s="105"/>
      <c r="C12" s="4" t="s">
        <v>391</v>
      </c>
      <c r="D12" s="50" t="s">
        <v>325</v>
      </c>
      <c r="E12" s="2" t="str">
        <f>VLOOKUP($C12,'S | 01 '!$C$6:$R$48,E$5,0)</f>
        <v>Unrealized</v>
      </c>
      <c r="F12" s="2" t="str">
        <f>VLOOKUP($C12,'S | 01 '!$C$6:$R$48,F$5,0)</f>
        <v>Divyesh</v>
      </c>
      <c r="G12" s="2" t="str">
        <f>VLOOKUP($C12,'S | 01 '!$C$6:$R$48,G$5,0)</f>
        <v>Mozn</v>
      </c>
      <c r="H12" s="6">
        <f>VLOOKUP($C12,'S | 01 '!$C$6:$R$48,H$5,0)</f>
        <v>2023</v>
      </c>
      <c r="I12" s="6" t="str">
        <f>VLOOKUP($C12,'S | 01 '!$C$6:$R$48,I$5,0)</f>
        <v>C Prefs</v>
      </c>
      <c r="J12" s="137">
        <f>VLOOKUP($C12,'S | 01 '!$C$6:$R$48,J$5,0)</f>
        <v>6.2621982517370271E-3</v>
      </c>
      <c r="K12" s="17">
        <f ca="1">VLOOKUP($C12,'S | 01 '!$C$6:$R$48,K$5,0)</f>
        <v>14.999998939999999</v>
      </c>
      <c r="L12" s="17">
        <f ca="1">VLOOKUP($C12,'S | 01 '!$C$6:$R$48,L$5,0)</f>
        <v>14.999998939999999</v>
      </c>
      <c r="M12" s="17">
        <f>VLOOKUP($C12,'S | 01 '!$C$6:$R$48,M$5,0)</f>
        <v>0</v>
      </c>
      <c r="N12" s="17">
        <f ca="1">VLOOKUP($C12,'S | 01 '!$C$6:$R$48,N$5,0)</f>
        <v>14.999998939999999</v>
      </c>
      <c r="O12" s="17">
        <f ca="1">VLOOKUP($C12,'S | 01 '!$C$6:$R$48,O$5,0)</f>
        <v>0</v>
      </c>
      <c r="P12" s="17" t="s">
        <v>131</v>
      </c>
      <c r="Q12" s="137">
        <f ca="1">VLOOKUP($C12,'S | 01 '!$C$6:$R$48,Q$5,0)</f>
        <v>2.9802322387695314E-9</v>
      </c>
      <c r="R12" s="10">
        <f ca="1">VLOOKUP($C12,'S | 01 '!$C$6:$R$48,R$5,0)</f>
        <v>1</v>
      </c>
      <c r="S12" s="17">
        <f ca="1">VLOOKUP($C12,'S | 01 '!$C$6:$R$48,S$5,0)</f>
        <v>0</v>
      </c>
      <c r="T12" s="134"/>
      <c r="U12" s="106"/>
    </row>
    <row r="13" spans="2:24" x14ac:dyDescent="0.25">
      <c r="B13" s="105"/>
      <c r="C13" s="4" t="s">
        <v>306</v>
      </c>
      <c r="D13" s="50" t="s">
        <v>325</v>
      </c>
      <c r="E13" s="2" t="str">
        <f>VLOOKUP($C13,'S | 01 '!$C$6:$R$48,E$5,0)</f>
        <v>Unrealized</v>
      </c>
      <c r="F13" s="2" t="str">
        <f>VLOOKUP($C13,'S | 01 '!$C$6:$R$48,F$5,0)</f>
        <v>Anton</v>
      </c>
      <c r="G13" s="2" t="str">
        <f>VLOOKUP($C13,'S | 01 '!$C$6:$R$48,G$5,0)</f>
        <v>Mozn 4</v>
      </c>
      <c r="H13" s="6">
        <f>VLOOKUP($C13,'S | 01 '!$C$6:$R$48,H$5,0)</f>
        <v>2022</v>
      </c>
      <c r="I13" s="6" t="str">
        <f>VLOOKUP($C13,'S | 01 '!$C$6:$R$48,I$5,0)</f>
        <v>B Prefs</v>
      </c>
      <c r="J13" s="137">
        <f>VLOOKUP($C13,'S | 01 '!$C$6:$R$48,J$5,0)</f>
        <v>2.7864956399278339E-2</v>
      </c>
      <c r="K13" s="17">
        <f>VLOOKUP($C13,'S | 01 '!$C$6:$R$48,K$5,0)</f>
        <v>15</v>
      </c>
      <c r="L13" s="17">
        <f ca="1">VLOOKUP($C13,'S | 01 '!$C$6:$R$48,L$5,0)</f>
        <v>15</v>
      </c>
      <c r="M13" s="17">
        <f>VLOOKUP($C13,'S | 01 '!$C$6:$R$48,M$5,0)</f>
        <v>0</v>
      </c>
      <c r="N13" s="17">
        <f>VLOOKUP($C13,'S | 01 '!$C$6:$R$48,N$5,0)</f>
        <v>20.888121539999997</v>
      </c>
      <c r="O13" s="17">
        <f ca="1">VLOOKUP($C13,'S | 01 '!$C$6:$R$48,O$5,0)</f>
        <v>5.8881215399999967</v>
      </c>
      <c r="P13" s="17">
        <v>0</v>
      </c>
      <c r="Q13" s="137">
        <f>VLOOKUP($C13,'S | 01 '!$C$6:$R$48,Q$5,0)</f>
        <v>0.32455406785011298</v>
      </c>
      <c r="R13" s="10">
        <f ca="1">VLOOKUP($C13,'S | 01 '!$C$6:$R$48,R$5,0)</f>
        <v>1.3925414359999997</v>
      </c>
      <c r="S13" s="17">
        <f ca="1">VLOOKUP($C13,'S | 01 '!$C$6:$R$48,S$5,0)</f>
        <v>0</v>
      </c>
      <c r="T13" s="134"/>
      <c r="U13" s="106"/>
      <c r="W13" s="26" t="s">
        <v>2</v>
      </c>
      <c r="X13" s="514">
        <f ca="1">L31</f>
        <v>1004.5175403728439</v>
      </c>
    </row>
    <row r="14" spans="2:24" x14ac:dyDescent="0.25">
      <c r="B14" s="105"/>
      <c r="C14" s="4" t="s">
        <v>271</v>
      </c>
      <c r="D14" s="50" t="s">
        <v>325</v>
      </c>
      <c r="E14" s="2" t="str">
        <f>VLOOKUP($C14,'S | 01 '!$C$6:$R$48,E$5,0)</f>
        <v>Unrealized</v>
      </c>
      <c r="F14" s="2" t="str">
        <f>VLOOKUP($C14,'S | 01 '!$C$6:$R$48,F$5,0)</f>
        <v>Divyesh</v>
      </c>
      <c r="G14" s="2" t="str">
        <f>VLOOKUP($C14,'S | 01 '!$C$6:$R$48,G$5,0)</f>
        <v>Mozn</v>
      </c>
      <c r="H14" s="6">
        <f>VLOOKUP($C14,'S | 01 '!$C$6:$R$48,H$5,0)</f>
        <v>2022</v>
      </c>
      <c r="I14" s="6" t="str">
        <f>VLOOKUP($C14,'S | 01 '!$C$6:$R$48,I$5,0)</f>
        <v>Convertible Note</v>
      </c>
      <c r="J14" s="137" t="str">
        <f>VLOOKUP($C14,'S | 01 '!$C$6:$R$48,J$5,0)</f>
        <v>n/a</v>
      </c>
      <c r="K14" s="17">
        <f>VLOOKUP($C14,'S | 01 '!$C$6:$R$48,K$5,0)</f>
        <v>15</v>
      </c>
      <c r="L14" s="17">
        <f ca="1">VLOOKUP($C14,'S | 01 '!$C$6:$R$48,L$5,0)</f>
        <v>11.5</v>
      </c>
      <c r="M14" s="17">
        <f>VLOOKUP($C14,'S | 01 '!$C$6:$R$48,M$5,0)</f>
        <v>0</v>
      </c>
      <c r="N14" s="17">
        <f>VLOOKUP($C14,'S | 01 '!$C$6:$R$48,N$5,0)</f>
        <v>11.5</v>
      </c>
      <c r="O14" s="17">
        <f ca="1">VLOOKUP($C14,'S | 01 '!$C$6:$R$48,O$5,0)</f>
        <v>0</v>
      </c>
      <c r="P14" s="17">
        <v>0</v>
      </c>
      <c r="Q14" s="137">
        <f>VLOOKUP($C14,'S | 01 '!$C$6:$R$48,Q$5,0)</f>
        <v>2.9802322387695314E-9</v>
      </c>
      <c r="R14" s="10">
        <f ca="1">VLOOKUP($C14,'S | 01 '!$C$6:$R$48,R$5,0)</f>
        <v>1</v>
      </c>
      <c r="S14" s="17">
        <f ca="1">VLOOKUP($C14,'S | 01 '!$C$6:$R$48,S$5,0)</f>
        <v>3.5</v>
      </c>
      <c r="T14" s="134"/>
      <c r="U14" s="106"/>
      <c r="W14" s="26" t="s">
        <v>277</v>
      </c>
      <c r="X14" s="514">
        <f ca="1">N31</f>
        <v>526.41089017007016</v>
      </c>
    </row>
    <row r="15" spans="2:24" x14ac:dyDescent="0.25">
      <c r="B15" s="105"/>
      <c r="C15" s="336" t="s">
        <v>71</v>
      </c>
      <c r="D15" s="556" t="s">
        <v>325</v>
      </c>
      <c r="E15" s="557" t="str">
        <f>VLOOKUP($C15,'S | 01 '!$C$6:$R$48,E$5,0)</f>
        <v>Realized</v>
      </c>
      <c r="F15" s="2" t="str">
        <f>VLOOKUP($C15,'S | 01 '!$C$6:$R$48,F$5,0)</f>
        <v>Elaine</v>
      </c>
      <c r="G15" s="2" t="str">
        <f>VLOOKUP($C15,'S | 01 '!$C$6:$R$48,G$5,0)</f>
        <v>Mozn 2</v>
      </c>
      <c r="H15" s="6">
        <f>VLOOKUP($C15,'S | 01 '!$C$6:$R$48,H$5,0)</f>
        <v>2022</v>
      </c>
      <c r="I15" s="6" t="str">
        <f>VLOOKUP($C15,'S | 01 '!$C$6:$R$48,I$5,0)</f>
        <v>Equity-TBC</v>
      </c>
      <c r="J15" s="137">
        <f>VLOOKUP($C15,'S | 01 '!$C$6:$R$48,J$5,0)</f>
        <v>5.1000000000000004E-2</v>
      </c>
      <c r="K15" s="17">
        <f>VLOOKUP($C15,'S | 01 '!$C$6:$R$48,K$5,0)</f>
        <v>493.5</v>
      </c>
      <c r="L15" s="17">
        <f ca="1">VLOOKUP($C15,'S | 01 '!$C$6:$R$48,L$5,0)</f>
        <v>493.50095619999996</v>
      </c>
      <c r="M15" s="17">
        <f ca="1">VLOOKUP($C15,'S | 01 '!$C$6:$R$48,M$5,0)</f>
        <v>403</v>
      </c>
      <c r="N15" s="17">
        <f>VLOOKUP($C15,'S | 01 '!$C$6:$R$48,N$5,0)</f>
        <v>0</v>
      </c>
      <c r="O15" s="17">
        <f ca="1">VLOOKUP($C15,'S | 01 '!$C$6:$R$48,O$5,0)</f>
        <v>-90.500956199999962</v>
      </c>
      <c r="P15" s="17">
        <v>-64.391000000000005</v>
      </c>
      <c r="Q15" s="137">
        <f>VLOOKUP($C15,'S | 01 '!$C$6:$R$48,Q$5,0)</f>
        <v>-0.10752884335815904</v>
      </c>
      <c r="R15" s="10">
        <f ca="1">VLOOKUP($C15,'S | 01 '!$C$6:$R$48,R$5,0)</f>
        <v>0.81661442584252486</v>
      </c>
      <c r="S15" s="17">
        <f>VLOOKUP($C15,'S | 01 '!$C$6:$R$48,S$5,0)</f>
        <v>0</v>
      </c>
      <c r="T15" s="134"/>
      <c r="U15" s="106"/>
      <c r="W15" s="26" t="s">
        <v>352</v>
      </c>
      <c r="X15" s="514">
        <f ca="1">O31</f>
        <v>-37.193673022773737</v>
      </c>
    </row>
    <row r="16" spans="2:24" x14ac:dyDescent="0.25">
      <c r="B16" s="105"/>
      <c r="C16" s="336" t="s">
        <v>273</v>
      </c>
      <c r="D16" s="556" t="s">
        <v>326</v>
      </c>
      <c r="E16" s="557" t="str">
        <f>VLOOKUP($C16,'S | 01 '!$C$6:$R$48,E$5,0)</f>
        <v>Written-off</v>
      </c>
      <c r="F16" s="2" t="str">
        <f>VLOOKUP($C16,'S | 01 '!$C$6:$R$48,F$5,0)</f>
        <v>Elaine</v>
      </c>
      <c r="G16" s="2" t="str">
        <f>VLOOKUP($C16,'S | 01 '!$C$6:$R$48,G$5,0)</f>
        <v>Mozn</v>
      </c>
      <c r="H16" s="6">
        <f>VLOOKUP($C16,'S | 01 '!$C$6:$R$48,H$5,0)</f>
        <v>2021</v>
      </c>
      <c r="I16" s="6" t="str">
        <f>VLOOKUP($C16,'S | 01 '!$C$6:$R$48,I$5,0)</f>
        <v xml:space="preserve">Loan </v>
      </c>
      <c r="J16" s="137" t="str">
        <f>VLOOKUP($C16,'S | 01 '!$C$6:$R$48,J$5,0)</f>
        <v>n/a</v>
      </c>
      <c r="K16" s="17">
        <f>VLOOKUP($C16,'S | 01 '!$C$6:$R$48,K$5,0)</f>
        <v>2.3539819999999998</v>
      </c>
      <c r="L16" s="17">
        <f>VLOOKUP($C16,'S | 01 '!$C$6:$R$48,L$5,0)</f>
        <v>2.3539819999999998</v>
      </c>
      <c r="M16" s="17">
        <f>VLOOKUP($C16,'S | 01 '!$C$6:$R$48,M$5,0)</f>
        <v>0</v>
      </c>
      <c r="N16" s="17">
        <f>VLOOKUP($C16,'S | 01 '!$C$6:$R$48,N$5,0)</f>
        <v>0</v>
      </c>
      <c r="O16" s="17">
        <f>VLOOKUP($C16,'S | 01 '!$C$6:$R$48,O$5,0)</f>
        <v>-2.3539819999999998</v>
      </c>
      <c r="P16" s="17">
        <v>0</v>
      </c>
      <c r="Q16" s="137" t="str">
        <f>VLOOKUP($C16,'S | 01 '!$C$6:$R$48,Q$5,0)</f>
        <v>NM</v>
      </c>
      <c r="R16" s="10">
        <f>VLOOKUP($C16,'S | 01 '!$C$6:$R$48,R$5,0)</f>
        <v>0</v>
      </c>
      <c r="S16" s="17">
        <f>VLOOKUP($C16,'S | 01 '!$C$6:$R$48,S$5,0)</f>
        <v>0</v>
      </c>
      <c r="T16" s="134"/>
      <c r="U16" s="106"/>
      <c r="W16" s="26" t="s">
        <v>353</v>
      </c>
      <c r="X16" s="514">
        <f ca="1">X15-P31</f>
        <v>-51.730871478215903</v>
      </c>
    </row>
    <row r="17" spans="2:24" x14ac:dyDescent="0.25">
      <c r="B17" s="105"/>
      <c r="C17" s="336" t="s">
        <v>265</v>
      </c>
      <c r="D17" s="556" t="s">
        <v>326</v>
      </c>
      <c r="E17" s="557" t="str">
        <f>VLOOKUP($C17,'S | 01 '!$C$6:$R$48,E$5,0)</f>
        <v>Realized</v>
      </c>
      <c r="F17" s="2" t="str">
        <f>VLOOKUP($C17,'S | 01 '!$C$6:$R$48,F$5,0)</f>
        <v>Sushil</v>
      </c>
      <c r="G17" s="2" t="str">
        <f>VLOOKUP($C17,'S | 01 '!$C$6:$R$48,G$5,0)</f>
        <v>Mozn</v>
      </c>
      <c r="H17" s="6">
        <f>VLOOKUP($C17,'S | 01 '!$C$6:$R$48,H$5,0)</f>
        <v>2021</v>
      </c>
      <c r="I17" s="6" t="str">
        <f>VLOOKUP($C17,'S | 01 '!$C$6:$R$48,I$5,0)</f>
        <v xml:space="preserve">Loan </v>
      </c>
      <c r="J17" s="137" t="str">
        <f>VLOOKUP($C17,'S | 01 '!$C$6:$R$48,J$5,0)</f>
        <v>n/a</v>
      </c>
      <c r="K17" s="17">
        <f>VLOOKUP($C17,'S | 01 '!$C$6:$R$48,K$5,0)</f>
        <v>0.41176499999999999</v>
      </c>
      <c r="L17" s="17">
        <f>VLOOKUP($C17,'S | 01 '!$C$6:$R$48,L$5,0)</f>
        <v>0.41176499999999999</v>
      </c>
      <c r="M17" s="17">
        <f>VLOOKUP($C17,'S | 01 '!$C$6:$R$48,M$5,0)</f>
        <v>0.47078465000000003</v>
      </c>
      <c r="N17" s="17">
        <f>VLOOKUP($C17,'S | 01 '!$C$6:$R$48,N$5,0)</f>
        <v>0</v>
      </c>
      <c r="O17" s="17">
        <f>VLOOKUP($C17,'S | 01 '!$C$6:$R$48,O$5,0)</f>
        <v>5.9019650000000035E-2</v>
      </c>
      <c r="P17" s="17">
        <v>5.9019650000000035E-2</v>
      </c>
      <c r="Q17" s="137">
        <f>VLOOKUP($C17,'S | 01 '!$C$6:$R$48,Q$5,0)</f>
        <v>7.5277027487754833E-2</v>
      </c>
      <c r="R17" s="10">
        <f>VLOOKUP($C17,'S | 01 '!$C$6:$R$48,R$5,0)</f>
        <v>1.1433333333333333</v>
      </c>
      <c r="S17" s="17">
        <f>VLOOKUP($C17,'S | 01 '!$C$6:$R$48,S$5,0)</f>
        <v>0</v>
      </c>
      <c r="T17" s="134"/>
      <c r="U17" s="106"/>
      <c r="W17" s="26" t="s">
        <v>24</v>
      </c>
      <c r="X17" s="216">
        <f ca="1">Q31</f>
        <v>-1.4740654081106183E-2</v>
      </c>
    </row>
    <row r="18" spans="2:24" x14ac:dyDescent="0.25">
      <c r="B18" s="105"/>
      <c r="C18" s="336" t="s">
        <v>18</v>
      </c>
      <c r="D18" s="556" t="s">
        <v>325</v>
      </c>
      <c r="E18" s="557" t="str">
        <f>VLOOKUP($C18,'S | 01 '!$C$6:$R$48,E$5,0)</f>
        <v>Realized</v>
      </c>
      <c r="F18" s="2" t="str">
        <f>VLOOKUP($C18,'S | 01 '!$C$6:$R$48,F$5,0)</f>
        <v>Sushil</v>
      </c>
      <c r="G18" s="2" t="str">
        <f>VLOOKUP($C18,'S | 01 '!$C$6:$R$48,G$5,0)</f>
        <v>Mozn 1</v>
      </c>
      <c r="H18" s="6">
        <f>VLOOKUP($C18,'S | 01 '!$C$6:$R$48,H$5,0)</f>
        <v>2021</v>
      </c>
      <c r="I18" s="6" t="str">
        <f>VLOOKUP($C18,'S | 01 '!$C$6:$R$48,I$5,0)</f>
        <v>A (Ordinary Shares)</v>
      </c>
      <c r="J18" s="137">
        <f>VLOOKUP($C18,'S | 01 '!$C$6:$R$48,J$5,0)</f>
        <v>0.03</v>
      </c>
      <c r="K18" s="17">
        <f>VLOOKUP($C18,'S | 01 '!$C$6:$R$48,K$5,0)</f>
        <v>20</v>
      </c>
      <c r="L18" s="17">
        <f ca="1">VLOOKUP($C18,'S | 01 '!$C$6:$R$48,L$5,0)</f>
        <v>20</v>
      </c>
      <c r="M18" s="17">
        <f ca="1">VLOOKUP($C18,'S | 01 '!$C$6:$R$48,M$5,0)</f>
        <v>24.5</v>
      </c>
      <c r="N18" s="17">
        <f>VLOOKUP($C18,'S | 01 '!$C$6:$R$48,N$5,0)</f>
        <v>0</v>
      </c>
      <c r="O18" s="17">
        <f ca="1">VLOOKUP($C18,'S | 01 '!$C$6:$R$48,O$5,0)</f>
        <v>4.5</v>
      </c>
      <c r="P18" s="17">
        <v>0</v>
      </c>
      <c r="Q18" s="137">
        <f>VLOOKUP($C18,'S | 01 '!$C$6:$R$48,Q$5,0)</f>
        <v>9.8824506998062139E-2</v>
      </c>
      <c r="R18" s="10">
        <f ca="1">VLOOKUP($C18,'S | 01 '!$C$6:$R$48,R$5,0)</f>
        <v>1.2250000000000001</v>
      </c>
      <c r="S18" s="17">
        <f>VLOOKUP($C18,'S | 01 '!$C$6:$R$48,S$5,0)</f>
        <v>0</v>
      </c>
      <c r="T18" s="134"/>
      <c r="U18" s="106"/>
    </row>
    <row r="19" spans="2:24" x14ac:dyDescent="0.25">
      <c r="B19" s="105"/>
      <c r="C19" s="336" t="s">
        <v>43</v>
      </c>
      <c r="D19" s="556" t="s">
        <v>325</v>
      </c>
      <c r="E19" s="557" t="str">
        <f>VLOOKUP($C19,'S | 01 '!$C$6:$R$48,E$5,0)</f>
        <v>Realized</v>
      </c>
      <c r="F19" s="2" t="str">
        <f>VLOOKUP($C19,'S | 01 '!$C$6:$R$48,F$5,0)</f>
        <v>Ignasi</v>
      </c>
      <c r="G19" s="2" t="str">
        <f>VLOOKUP($C19,'S | 01 '!$C$6:$R$48,G$5,0)</f>
        <v>Mozn</v>
      </c>
      <c r="H19" s="6">
        <f>VLOOKUP($C19,'S | 01 '!$C$6:$R$48,H$5,0)</f>
        <v>2021</v>
      </c>
      <c r="I19" s="6" t="str">
        <f>VLOOKUP($C19,'S | 01 '!$C$6:$R$48,I$5,0)</f>
        <v xml:space="preserve">B Prefs </v>
      </c>
      <c r="J19" s="137">
        <f>VLOOKUP($C19,'S | 01 '!$C$6:$R$48,J$5,0)</f>
        <v>1.1489405791845828E-2</v>
      </c>
      <c r="K19" s="17">
        <f>VLOOKUP($C19,'S | 01 '!$C$6:$R$48,K$5,0)</f>
        <v>5.0278211945578235</v>
      </c>
      <c r="L19" s="17">
        <f ca="1">VLOOKUP($C19,'S | 01 '!$C$6:$R$48,L$5,0)</f>
        <v>5.0237201984774336</v>
      </c>
      <c r="M19" s="17">
        <f ca="1">VLOOKUP($C19,'S | 01 '!$C$6:$R$48,M$5,0)</f>
        <v>7.9421925299999989</v>
      </c>
      <c r="N19" s="17">
        <f>VLOOKUP($C19,'S | 01 '!$C$6:$R$48,N$5,0)</f>
        <v>0</v>
      </c>
      <c r="O19" s="17">
        <f ca="1">VLOOKUP($C19,'S | 01 '!$C$6:$R$48,O$5,0)</f>
        <v>2.9184723315225654</v>
      </c>
      <c r="P19" s="17">
        <v>1.6721788054421767</v>
      </c>
      <c r="Q19" s="137">
        <f>VLOOKUP($C19,'S | 01 '!$C$6:$R$48,Q$5,0)</f>
        <v>0.32803497910499579</v>
      </c>
      <c r="R19" s="10">
        <f ca="1">VLOOKUP($C19,'S | 01 '!$C$6:$R$48,R$5,0)</f>
        <v>1.5809384711368046</v>
      </c>
      <c r="S19" s="17">
        <f>VLOOKUP($C19,'S | 01 '!$C$6:$R$48,S$5,0)</f>
        <v>0</v>
      </c>
      <c r="T19" s="134"/>
      <c r="U19" s="106"/>
    </row>
    <row r="20" spans="2:24" x14ac:dyDescent="0.25">
      <c r="B20" s="105"/>
      <c r="C20" s="4" t="s">
        <v>41</v>
      </c>
      <c r="D20" s="50" t="s">
        <v>325</v>
      </c>
      <c r="E20" s="2" t="str">
        <f>VLOOKUP($C20,'S | 01 '!$C$6:$R$48,E$5,0)</f>
        <v>Unrealized</v>
      </c>
      <c r="F20" s="2" t="str">
        <f>VLOOKUP($C20,'S | 01 '!$C$6:$R$48,F$5,0)</f>
        <v>Ignasi</v>
      </c>
      <c r="G20" s="2" t="str">
        <f>VLOOKUP($C20,'S | 01 '!$C$6:$R$48,G$5,0)</f>
        <v>Mozn</v>
      </c>
      <c r="H20" s="6">
        <f>VLOOKUP($C20,'S | 01 '!$C$6:$R$48,H$5,0)</f>
        <v>2021</v>
      </c>
      <c r="I20" s="6" t="str">
        <f>VLOOKUP($C20,'S | 01 '!$C$6:$R$48,I$5,0)</f>
        <v>F Prefs</v>
      </c>
      <c r="J20" s="137">
        <f>VLOOKUP($C20,'S | 01 '!$C$6:$R$48,J$5,0)</f>
        <v>9.117206771726628E-3</v>
      </c>
      <c r="K20" s="17">
        <f>VLOOKUP($C20,'S | 01 '!$C$6:$R$48,K$5,0)</f>
        <v>40</v>
      </c>
      <c r="L20" s="17">
        <f ca="1">VLOOKUP($C20,'S | 01 '!$C$6:$R$48,L$5,0)</f>
        <v>39.999983359999995</v>
      </c>
      <c r="M20" s="17">
        <f ca="1">VLOOKUP($C20,'S | 01 '!$C$6:$R$48,M$5,0)</f>
        <v>0</v>
      </c>
      <c r="N20" s="17">
        <f>VLOOKUP($C20,'S | 01 '!$C$6:$R$48,N$5,0)</f>
        <v>39.999983359999995</v>
      </c>
      <c r="O20" s="17">
        <f ca="1">VLOOKUP($C20,'S | 01 '!$C$6:$R$48,O$5,0)</f>
        <v>0</v>
      </c>
      <c r="P20" s="17">
        <v>0</v>
      </c>
      <c r="Q20" s="137">
        <f>VLOOKUP($C20,'S | 01 '!$C$6:$R$48,Q$5,0)</f>
        <v>2.9802322387695314E-9</v>
      </c>
      <c r="R20" s="10">
        <f ca="1">VLOOKUP($C20,'S | 01 '!$C$6:$R$48,R$5,0)</f>
        <v>1</v>
      </c>
      <c r="S20" s="17">
        <f>VLOOKUP($C20,'S | 01 '!$C$6:$R$48,S$5,0)</f>
        <v>0</v>
      </c>
      <c r="T20" s="134"/>
      <c r="U20" s="106"/>
    </row>
    <row r="21" spans="2:24" x14ac:dyDescent="0.25">
      <c r="B21" s="105"/>
      <c r="C21" s="4" t="s">
        <v>42</v>
      </c>
      <c r="D21" s="50" t="s">
        <v>325</v>
      </c>
      <c r="E21" s="2" t="str">
        <f>VLOOKUP($C21,'S | 01 '!$C$6:$R$48,E$5,0)</f>
        <v>Unrealized</v>
      </c>
      <c r="F21" s="2" t="str">
        <f>VLOOKUP($C21,'S | 01 '!$C$6:$R$48,F$5,0)</f>
        <v>Sushil</v>
      </c>
      <c r="G21" s="2" t="str">
        <f>VLOOKUP($C21,'S | 01 '!$C$6:$R$48,G$5,0)</f>
        <v>Mozn</v>
      </c>
      <c r="H21" s="6">
        <f>VLOOKUP($C21,'S | 01 '!$C$6:$R$48,H$5,0)</f>
        <v>2021</v>
      </c>
      <c r="I21" s="6" t="str">
        <f>VLOOKUP($C21,'S | 01 '!$C$6:$R$48,I$5,0)</f>
        <v>A Pref Units</v>
      </c>
      <c r="J21" s="137">
        <f>VLOOKUP($C21,'S | 01 '!$C$6:$R$48,J$5,0)</f>
        <v>0.16080402010050251</v>
      </c>
      <c r="K21" s="17">
        <f ca="1">VLOOKUP($C21,'S | 01 '!$C$6:$R$48,K$5,0)</f>
        <v>8</v>
      </c>
      <c r="L21" s="17">
        <f ca="1">VLOOKUP($C21,'S | 01 '!$C$6:$R$48,L$5,0)</f>
        <v>8</v>
      </c>
      <c r="M21" s="17">
        <f ca="1">VLOOKUP($C21,'S | 01 '!$C$6:$R$48,M$5,0)</f>
        <v>0</v>
      </c>
      <c r="N21" s="17">
        <f>VLOOKUP($C21,'S | 01 '!$C$6:$R$48,N$5,0)</f>
        <v>8</v>
      </c>
      <c r="O21" s="17">
        <f ca="1">VLOOKUP($C21,'S | 01 '!$C$6:$R$48,O$5,0)</f>
        <v>0</v>
      </c>
      <c r="P21" s="17">
        <v>0</v>
      </c>
      <c r="Q21" s="137">
        <f>VLOOKUP($C21,'S | 01 '!$C$6:$R$48,Q$5,0)</f>
        <v>2.9802322387695314E-9</v>
      </c>
      <c r="R21" s="10">
        <f ca="1">VLOOKUP($C21,'S | 01 '!$C$6:$R$48,R$5,0)</f>
        <v>1</v>
      </c>
      <c r="S21" s="17">
        <f>VLOOKUP($C21,'S | 01 '!$C$6:$R$48,S$5,0)</f>
        <v>0</v>
      </c>
      <c r="T21" s="134"/>
      <c r="U21" s="106"/>
    </row>
    <row r="22" spans="2:24" x14ac:dyDescent="0.25">
      <c r="B22" s="105"/>
      <c r="C22" s="336" t="s">
        <v>40</v>
      </c>
      <c r="D22" s="556" t="s">
        <v>325</v>
      </c>
      <c r="E22" s="557" t="str">
        <f>VLOOKUP($C22,'S | 01 '!$C$6:$R$48,E$5,0)</f>
        <v>Realized</v>
      </c>
      <c r="F22" s="2" t="str">
        <f>VLOOKUP($C22,'S | 01 '!$C$6:$R$48,F$5,0)</f>
        <v>Sushil</v>
      </c>
      <c r="G22" s="2" t="str">
        <f>VLOOKUP($C22,'S | 01 '!$C$6:$R$48,G$5,0)</f>
        <v>Mozn</v>
      </c>
      <c r="H22" s="6">
        <f>VLOOKUP($C22,'S | 01 '!$C$6:$R$48,H$5,0)</f>
        <v>2020</v>
      </c>
      <c r="I22" s="6" t="str">
        <f>VLOOKUP($C22,'S | 01 '!$C$6:$R$48,I$5,0)</f>
        <v>Convertible Note</v>
      </c>
      <c r="J22" s="137" t="str">
        <f>VLOOKUP($C22,'S | 01 '!$C$6:$R$48,J$5,0)</f>
        <v>n/a</v>
      </c>
      <c r="K22" s="17">
        <f>VLOOKUP($C22,'S | 01 '!$C$6:$R$48,K$5,0)</f>
        <v>2.5</v>
      </c>
      <c r="L22" s="17">
        <f ca="1">VLOOKUP($C22,'S | 01 '!$C$6:$R$48,L$5,0)</f>
        <v>2.5</v>
      </c>
      <c r="M22" s="17">
        <f ca="1">VLOOKUP($C22,'S | 01 '!$C$6:$R$48,M$5,0)</f>
        <v>5</v>
      </c>
      <c r="N22" s="17">
        <f>VLOOKUP($C22,'S | 01 '!$C$6:$R$48,N$5,0)</f>
        <v>0</v>
      </c>
      <c r="O22" s="17">
        <f ca="1">VLOOKUP($C22,'S | 01 '!$C$6:$R$48,O$5,0)</f>
        <v>2.5</v>
      </c>
      <c r="P22" s="17">
        <v>2.5</v>
      </c>
      <c r="Q22" s="137">
        <f>VLOOKUP($C22,'S | 01 '!$C$6:$R$48,Q$5,0)</f>
        <v>0.36091765761375438</v>
      </c>
      <c r="R22" s="10">
        <f ca="1">VLOOKUP($C22,'S | 01 '!$C$6:$R$48,R$5,0)</f>
        <v>2</v>
      </c>
      <c r="S22" s="17">
        <f>VLOOKUP($C22,'S | 01 '!$C$6:$R$48,S$5,0)</f>
        <v>0</v>
      </c>
      <c r="T22" s="134"/>
      <c r="U22" s="106"/>
    </row>
    <row r="23" spans="2:24" x14ac:dyDescent="0.25">
      <c r="B23" s="105"/>
      <c r="C23" s="4" t="s">
        <v>9</v>
      </c>
      <c r="D23" s="50" t="s">
        <v>325</v>
      </c>
      <c r="E23" s="2" t="str">
        <f>VLOOKUP($C23,'S | 01 '!$C$6:$R$48,E$5,0)</f>
        <v>Unrealized</v>
      </c>
      <c r="F23" s="2" t="str">
        <f>VLOOKUP($C23,'S | 01 '!$C$6:$R$48,F$5,0)</f>
        <v>Elaine</v>
      </c>
      <c r="G23" s="2" t="str">
        <f>VLOOKUP($C23,'S | 01 '!$C$6:$R$48,G$5,0)</f>
        <v>Mozn</v>
      </c>
      <c r="H23" s="6">
        <f>VLOOKUP($C23,'S | 01 '!$C$6:$R$48,H$5,0)</f>
        <v>2020</v>
      </c>
      <c r="I23" s="6" t="str">
        <f>VLOOKUP($C23,'S | 01 '!$C$6:$R$48,I$5,0)</f>
        <v>Registered Capital</v>
      </c>
      <c r="J23" s="137">
        <f>VLOOKUP($C23,'S | 01 '!$C$6:$R$48,J$5,0)</f>
        <v>0.14380000000000001</v>
      </c>
      <c r="K23" s="17">
        <f>VLOOKUP($C23,'S | 01 '!$C$6:$R$48,K$5,0)</f>
        <v>60</v>
      </c>
      <c r="L23" s="17">
        <f ca="1">VLOOKUP($C23,'S | 01 '!$C$6:$R$48,L$5,0)</f>
        <v>60</v>
      </c>
      <c r="M23" s="17">
        <f ca="1">VLOOKUP($C23,'S | 01 '!$C$6:$R$48,M$5,0)</f>
        <v>0</v>
      </c>
      <c r="N23" s="17">
        <f>VLOOKUP($C23,'S | 01 '!$C$6:$R$48,N$5,0)</f>
        <v>148.0498412781194</v>
      </c>
      <c r="O23" s="17">
        <f ca="1">VLOOKUP($C23,'S | 01 '!$C$6:$R$48,O$5,0)</f>
        <v>88.049841278119402</v>
      </c>
      <c r="P23" s="17">
        <v>96.4</v>
      </c>
      <c r="Q23" s="137">
        <f>VLOOKUP($C23,'S | 01 '!$C$6:$R$48,Q$5,0)</f>
        <v>0.33000317215919495</v>
      </c>
      <c r="R23" s="10">
        <f ca="1">VLOOKUP($C23,'S | 01 '!$C$6:$R$48,R$5,0)</f>
        <v>2.4674973546353232</v>
      </c>
      <c r="S23" s="17">
        <f>VLOOKUP($C23,'S | 01 '!$C$6:$R$48,S$5,0)</f>
        <v>0</v>
      </c>
      <c r="T23" s="134"/>
      <c r="U23" s="106"/>
    </row>
    <row r="24" spans="2:24" x14ac:dyDescent="0.25">
      <c r="B24" s="105"/>
      <c r="C24" s="4" t="s">
        <v>38</v>
      </c>
      <c r="D24" s="50" t="s">
        <v>325</v>
      </c>
      <c r="E24" s="2" t="str">
        <f>VLOOKUP($C24,'S | 01 '!$C$6:$R$48,E$5,0)</f>
        <v>Unrealized</v>
      </c>
      <c r="F24" s="2" t="str">
        <f>VLOOKUP($C24,'S | 01 '!$C$6:$R$48,F$5,0)</f>
        <v>Divyesh</v>
      </c>
      <c r="G24" s="2" t="str">
        <f>VLOOKUP($C24,'S | 01 '!$C$6:$R$48,G$5,0)</f>
        <v>Mozn</v>
      </c>
      <c r="H24" s="6">
        <f>VLOOKUP($C24,'S | 01 '!$C$6:$R$48,H$5,0)</f>
        <v>2020</v>
      </c>
      <c r="I24" s="6" t="str">
        <f>VLOOKUP($C24,'S | 01 '!$C$6:$R$48,I$5,0)</f>
        <v>C Prefs</v>
      </c>
      <c r="J24" s="137">
        <f>VLOOKUP($C24,'S | 01 '!$C$6:$R$48,J$5,0)</f>
        <v>9.7965107245756355E-2</v>
      </c>
      <c r="K24" s="17">
        <f>VLOOKUP($C24,'S | 01 '!$C$6:$R$48,K$5,0)</f>
        <v>90</v>
      </c>
      <c r="L24" s="17">
        <f ca="1">VLOOKUP($C24,'S | 01 '!$C$6:$R$48,L$5,0)</f>
        <v>90</v>
      </c>
      <c r="M24" s="17">
        <f ca="1">VLOOKUP($C24,'S | 01 '!$C$6:$R$48,M$5,0)</f>
        <v>0</v>
      </c>
      <c r="N24" s="17">
        <f>VLOOKUP($C24,'S | 01 '!$C$6:$R$48,N$5,0)</f>
        <v>91.001540300000002</v>
      </c>
      <c r="O24" s="17">
        <f ca="1">VLOOKUP($C24,'S | 01 '!$C$6:$R$48,O$5,0)</f>
        <v>1.001540300000002</v>
      </c>
      <c r="P24" s="17">
        <v>1.042</v>
      </c>
      <c r="Q24" s="137">
        <f>VLOOKUP($C24,'S | 01 '!$C$6:$R$48,Q$5,0)</f>
        <v>2.9582828283309937E-3</v>
      </c>
      <c r="R24" s="10">
        <f ca="1">VLOOKUP($C24,'S | 01 '!$C$6:$R$48,R$5,0)</f>
        <v>1.0111282255555556</v>
      </c>
      <c r="S24" s="17">
        <f>VLOOKUP($C24,'S | 01 '!$C$6:$R$48,S$5,0)</f>
        <v>0</v>
      </c>
      <c r="T24" s="134"/>
      <c r="U24" s="106"/>
    </row>
    <row r="25" spans="2:24" x14ac:dyDescent="0.25">
      <c r="B25" s="105"/>
      <c r="C25" s="4" t="s">
        <v>89</v>
      </c>
      <c r="D25" s="50" t="s">
        <v>325</v>
      </c>
      <c r="E25" s="2" t="str">
        <f>VLOOKUP($C25,'S | 01 '!$C$6:$R$48,E$5,0)</f>
        <v>Unrealized</v>
      </c>
      <c r="F25" s="2" t="str">
        <f>VLOOKUP($C25,'S | 01 '!$C$6:$R$48,F$5,0)</f>
        <v>Divyesh</v>
      </c>
      <c r="G25" s="2" t="str">
        <f>VLOOKUP($C25,'S | 01 '!$C$6:$R$48,G$5,0)</f>
        <v>Mozn</v>
      </c>
      <c r="H25" s="6">
        <f>VLOOKUP($C25,'S | 01 '!$C$6:$R$48,H$5,0)</f>
        <v>2020</v>
      </c>
      <c r="I25" s="6" t="str">
        <f>VLOOKUP($C25,'S | 01 '!$C$6:$R$48,I$5,0)</f>
        <v>Ordinary Shares</v>
      </c>
      <c r="J25" s="137">
        <f>VLOOKUP($C25,'S | 01 '!$C$6:$R$48,J$5,0)</f>
        <v>5.1651565402323088E-2</v>
      </c>
      <c r="K25" s="17">
        <f>VLOOKUP($C25,'S | 01 '!$C$6:$R$48,K$5,0)</f>
        <v>141.4702596743665</v>
      </c>
      <c r="L25" s="17">
        <f ca="1">VLOOKUP($C25,'S | 01 '!$C$6:$R$48,L$5,0)</f>
        <v>141.4702596743665</v>
      </c>
      <c r="M25" s="17">
        <f ca="1">VLOOKUP($C25,'S | 01 '!$C$6:$R$48,M$5,0)</f>
        <v>0</v>
      </c>
      <c r="N25" s="17">
        <f>VLOOKUP($C25,'S | 01 '!$C$6:$R$48,N$5,0)</f>
        <v>90.139174751950776</v>
      </c>
      <c r="O25" s="17">
        <f ca="1">VLOOKUP($C25,'S | 01 '!$C$6:$R$48,O$5,0)</f>
        <v>-51.331084922415727</v>
      </c>
      <c r="P25" s="17">
        <v>-9.8450000000000006</v>
      </c>
      <c r="Q25" s="137">
        <f>VLOOKUP($C25,'S | 01 '!$C$6:$R$48,Q$5,0)</f>
        <v>-0.11648148708045483</v>
      </c>
      <c r="R25" s="10">
        <f ca="1">VLOOKUP($C25,'S | 01 '!$C$6:$R$48,R$5,0)</f>
        <v>0.63715988759355768</v>
      </c>
      <c r="S25" s="17">
        <f>VLOOKUP($C25,'S | 01 '!$C$6:$R$48,S$5,0)</f>
        <v>0</v>
      </c>
      <c r="T25" s="134"/>
      <c r="U25" s="106"/>
    </row>
    <row r="26" spans="2:24" ht="17.25" x14ac:dyDescent="0.25">
      <c r="B26" s="105"/>
      <c r="C26" s="4" t="s">
        <v>39</v>
      </c>
      <c r="D26" s="50" t="s">
        <v>325</v>
      </c>
      <c r="E26" s="2" t="str">
        <f>VLOOKUP($C26,'S | 01 '!$C$6:$R$48,E$5,0)</f>
        <v>Unrealized</v>
      </c>
      <c r="F26" s="2" t="str">
        <f>VLOOKUP($C26,'S | 01 '!$C$6:$R$48,F$5,0)</f>
        <v>Sushil</v>
      </c>
      <c r="G26" s="2" t="str">
        <f>VLOOKUP($C26,'S | 01 '!$C$6:$R$48,G$5,0)</f>
        <v>Mozn</v>
      </c>
      <c r="H26" s="6">
        <f>VLOOKUP($C26,'S | 01 '!$C$6:$R$48,H$5,0)</f>
        <v>2019</v>
      </c>
      <c r="I26" s="6" t="str">
        <f>VLOOKUP($C26,'S | 01 '!$C$6:$R$48,I$5,0)</f>
        <v>B-1,2 Prefs</v>
      </c>
      <c r="J26" s="137">
        <f>VLOOKUP($C26,'S | 01 '!$C$6:$R$48,J$5,0)</f>
        <v>8.5025484621212399E-2</v>
      </c>
      <c r="K26" s="17">
        <f>VLOOKUP($C26,'S | 01 '!$C$6:$R$48,K$5,0)</f>
        <v>10</v>
      </c>
      <c r="L26" s="17">
        <f ca="1">VLOOKUP($C26,'S | 01 '!$C$6:$R$48,L$5,0)</f>
        <v>10</v>
      </c>
      <c r="M26" s="17">
        <f ca="1">VLOOKUP($C26,'S | 01 '!$C$6:$R$48,M$5,0)</f>
        <v>0</v>
      </c>
      <c r="N26" s="17">
        <f>VLOOKUP($C26,'S | 01 '!$C$6:$R$48,N$5,0)</f>
        <v>78.082229999999996</v>
      </c>
      <c r="O26" s="17">
        <f ca="1">VLOOKUP($C26,'S | 01 '!$C$6:$R$48,O$5,0)</f>
        <v>68.082229999999996</v>
      </c>
      <c r="P26" s="17">
        <v>68.099999999999994</v>
      </c>
      <c r="Q26" s="137">
        <f>VLOOKUP($C26,'S | 01 '!$C$6:$R$48,Q$5,0)</f>
        <v>0.59885043501853941</v>
      </c>
      <c r="R26" s="10">
        <f ca="1">VLOOKUP($C26,'S | 01 '!$C$6:$R$48,R$5,0)</f>
        <v>7.8082229999999999</v>
      </c>
      <c r="S26" s="17">
        <f>VLOOKUP($C26,'S | 01 '!$C$6:$R$48,S$5,0)</f>
        <v>0</v>
      </c>
      <c r="T26" s="134" t="s">
        <v>151</v>
      </c>
      <c r="U26" s="106"/>
    </row>
    <row r="27" spans="2:24" x14ac:dyDescent="0.25">
      <c r="B27" s="105"/>
      <c r="C27" s="336" t="s">
        <v>0</v>
      </c>
      <c r="D27" s="556" t="s">
        <v>325</v>
      </c>
      <c r="E27" s="557" t="str">
        <f>VLOOKUP($C27,'S | 01 '!$C$6:$R$48,E$5,0)</f>
        <v>Written-off</v>
      </c>
      <c r="F27" s="2" t="str">
        <f>VLOOKUP($C27,'S | 01 '!$C$6:$R$48,F$5,0)</f>
        <v>Elaine</v>
      </c>
      <c r="G27" s="2" t="str">
        <f>VLOOKUP($C27,'S | 01 '!$C$6:$R$48,G$5,0)</f>
        <v>Mozn</v>
      </c>
      <c r="H27" s="6">
        <f>VLOOKUP($C27,'S | 01 '!$C$6:$R$48,H$5,0)</f>
        <v>2019</v>
      </c>
      <c r="I27" s="6" t="str">
        <f>VLOOKUP($C27,'S | 01 '!$C$6:$R$48,I$5,0)</f>
        <v>B Prefs</v>
      </c>
      <c r="J27" s="137">
        <f>VLOOKUP($C27,'S | 01 '!$C$6:$R$48,J$5,0)</f>
        <v>0.14000000235296001</v>
      </c>
      <c r="K27" s="17">
        <f>VLOOKUP($C27,'S | 01 '!$C$6:$R$48,K$5,0)</f>
        <v>8</v>
      </c>
      <c r="L27" s="17">
        <f ca="1">VLOOKUP($C27,'S | 01 '!$C$6:$R$48,L$5,0)</f>
        <v>8</v>
      </c>
      <c r="M27" s="17">
        <f ca="1">VLOOKUP($C27,'S | 01 '!$C$6:$R$48,M$5,0)</f>
        <v>0</v>
      </c>
      <c r="N27" s="17">
        <f>VLOOKUP($C27,'S | 01 '!$C$6:$R$48,N$5,0)</f>
        <v>0</v>
      </c>
      <c r="O27" s="17">
        <f ca="1">VLOOKUP($C27,'S | 01 '!$C$6:$R$48,O$5,0)</f>
        <v>-8</v>
      </c>
      <c r="P27" s="17">
        <v>-8</v>
      </c>
      <c r="Q27" s="137" t="str">
        <f>VLOOKUP($C27,'S | 01 '!$C$6:$R$48,Q$5,0)</f>
        <v>NM</v>
      </c>
      <c r="R27" s="10">
        <f ca="1">VLOOKUP($C27,'S | 01 '!$C$6:$R$48,R$5,0)</f>
        <v>0</v>
      </c>
      <c r="S27" s="17">
        <f>VLOOKUP($C27,'S | 01 '!$C$6:$R$48,S$5,0)</f>
        <v>0</v>
      </c>
      <c r="T27" s="17"/>
      <c r="U27" s="106"/>
    </row>
    <row r="28" spans="2:24" x14ac:dyDescent="0.25">
      <c r="B28" s="105"/>
      <c r="C28" s="336" t="s">
        <v>49</v>
      </c>
      <c r="D28" s="556" t="s">
        <v>326</v>
      </c>
      <c r="E28" s="557" t="str">
        <f>VLOOKUP($C28,'S | 01 '!$C$6:$R$48,E$5,0)</f>
        <v>Written-off</v>
      </c>
      <c r="F28" s="2" t="str">
        <f>VLOOKUP($C28,'S | 01 '!$C$6:$R$48,F$5,0)</f>
        <v xml:space="preserve">Marty </v>
      </c>
      <c r="G28" s="2" t="str">
        <f>VLOOKUP($C28,'S | 01 '!$C$6:$R$48,G$5,0)</f>
        <v>Mozn</v>
      </c>
      <c r="H28" s="6">
        <f>VLOOKUP($C28,'S | 01 '!$C$6:$R$48,H$5,0)</f>
        <v>2019</v>
      </c>
      <c r="I28" s="6" t="str">
        <f>VLOOKUP($C28,'S | 01 '!$C$6:$R$48,I$5,0)</f>
        <v>Promissory Note</v>
      </c>
      <c r="J28" s="137" t="str">
        <f>VLOOKUP($C28,'S | 01 '!$C$6:$R$48,J$5,0)</f>
        <v>n/a</v>
      </c>
      <c r="K28" s="17">
        <f>VLOOKUP($C28,'S | 01 '!$C$6:$R$48,K$5,0)</f>
        <v>8</v>
      </c>
      <c r="L28" s="17">
        <f>VLOOKUP($C28,'S | 01 '!$C$6:$R$48,L$5,0)</f>
        <v>8</v>
      </c>
      <c r="M28" s="17">
        <f>VLOOKUP($C28,'S | 01 '!$C$6:$R$48,M$5,0)</f>
        <v>0</v>
      </c>
      <c r="N28" s="17">
        <f>VLOOKUP($C28,'S | 01 '!$C$6:$R$48,N$5,0)</f>
        <v>0</v>
      </c>
      <c r="O28" s="17">
        <f>VLOOKUP($C28,'S | 01 '!$C$6:$R$48,O$5,0)</f>
        <v>-8</v>
      </c>
      <c r="P28" s="17">
        <v>-8</v>
      </c>
      <c r="Q28" s="137" t="str">
        <f>VLOOKUP($C28,'S | 01 '!$C$6:$R$48,Q$5,0)</f>
        <v>NM</v>
      </c>
      <c r="R28" s="10">
        <f>VLOOKUP($C28,'S | 01 '!$C$6:$R$48,R$5,0)</f>
        <v>0</v>
      </c>
      <c r="S28" s="17">
        <f>VLOOKUP($C28,'S | 01 '!$C$6:$R$48,S$5,0)</f>
        <v>0</v>
      </c>
      <c r="T28" s="17" t="str">
        <f>VLOOKUP($C28,'S | 01 '!$C$6:$R$48,T$5,0)</f>
        <v>In Default</v>
      </c>
      <c r="U28" s="106"/>
    </row>
    <row r="29" spans="2:24" x14ac:dyDescent="0.25">
      <c r="B29" s="105"/>
      <c r="C29" s="336" t="s">
        <v>48</v>
      </c>
      <c r="D29" s="556" t="s">
        <v>325</v>
      </c>
      <c r="E29" s="557" t="str">
        <f>VLOOKUP($C29,'S | 01 '!$C$6:$R$48,E$5,0)</f>
        <v>Written-off</v>
      </c>
      <c r="F29" s="2" t="str">
        <f>VLOOKUP($C29,'S | 01 '!$C$6:$R$48,F$5,0)</f>
        <v>Elaine</v>
      </c>
      <c r="G29" s="2" t="str">
        <f>VLOOKUP($C29,'S | 01 '!$C$6:$R$48,G$5,0)</f>
        <v>Mozn</v>
      </c>
      <c r="H29" s="6">
        <f>VLOOKUP($C29,'S | 01 '!$C$6:$R$48,H$5,0)</f>
        <v>2019</v>
      </c>
      <c r="I29" s="6" t="str">
        <f>VLOOKUP($C29,'S | 01 '!$C$6:$R$48,I$5,0)</f>
        <v>C+ Prefs</v>
      </c>
      <c r="J29" s="137">
        <f>VLOOKUP($C29,'S | 01 '!$C$6:$R$48,J$5,0)</f>
        <v>5.6999998161926343E-2</v>
      </c>
      <c r="K29" s="17">
        <f>VLOOKUP($C29,'S | 01 '!$C$6:$R$48,K$5,0)</f>
        <v>65</v>
      </c>
      <c r="L29" s="17">
        <f ca="1">VLOOKUP($C29,'S | 01 '!$C$6:$R$48,L$5,0)</f>
        <v>65</v>
      </c>
      <c r="M29" s="17">
        <f ca="1">VLOOKUP($C29,'S | 01 '!$C$6:$R$48,M$5,0)</f>
        <v>0</v>
      </c>
      <c r="N29" s="17">
        <f>VLOOKUP($C29,'S | 01 '!$C$6:$R$48,N$5,0)</f>
        <v>0</v>
      </c>
      <c r="O29" s="17">
        <f ca="1">VLOOKUP($C29,'S | 01 '!$C$6:$R$48,O$5,0)</f>
        <v>-65</v>
      </c>
      <c r="P29" s="17">
        <v>-65</v>
      </c>
      <c r="Q29" s="137" t="str">
        <f>VLOOKUP($C29,'S | 01 '!$C$6:$R$48,Q$5,0)</f>
        <v>NM</v>
      </c>
      <c r="R29" s="10">
        <f ca="1">VLOOKUP($C29,'S | 01 '!$C$6:$R$48,R$5,0)</f>
        <v>0</v>
      </c>
      <c r="S29" s="17">
        <f>VLOOKUP($C29,'S | 01 '!$C$6:$R$48,S$5,0)</f>
        <v>0</v>
      </c>
      <c r="T29" s="17" t="str">
        <f>VLOOKUP($C29,'S | 01 '!$C$6:$R$48,T$5,0)</f>
        <v>In Liquidation</v>
      </c>
      <c r="U29" s="106"/>
    </row>
    <row r="30" spans="2:24" x14ac:dyDescent="0.25">
      <c r="B30" s="105"/>
      <c r="C30" s="5"/>
      <c r="D30" s="13"/>
      <c r="E30" s="7"/>
      <c r="F30" s="7"/>
      <c r="G30" s="7"/>
      <c r="H30" s="7"/>
      <c r="I30" s="14"/>
      <c r="J30" s="295"/>
      <c r="K30" s="24"/>
      <c r="L30" s="24"/>
      <c r="M30" s="24"/>
      <c r="N30" s="24"/>
      <c r="O30" s="24"/>
      <c r="P30" s="24"/>
      <c r="Q30" s="295"/>
      <c r="R30" s="15"/>
      <c r="S30" s="24"/>
      <c r="T30" s="319"/>
      <c r="U30" s="106"/>
    </row>
    <row r="31" spans="2:24" x14ac:dyDescent="0.25">
      <c r="B31" s="105"/>
      <c r="C31" s="9"/>
      <c r="D31" s="9"/>
      <c r="E31" s="9"/>
      <c r="F31" s="9"/>
      <c r="G31" s="9"/>
      <c r="H31" s="9"/>
      <c r="I31" s="9"/>
      <c r="J31" s="140"/>
      <c r="K31" s="18">
        <f ca="1">SUM(K9:K29)</f>
        <v>1008.0207018089243</v>
      </c>
      <c r="L31" s="18">
        <f ca="1">SUM(L9:L29)</f>
        <v>1004.5175403728439</v>
      </c>
      <c r="M31" s="18">
        <f ca="1">SUM(M9:M29)</f>
        <v>440.91297717999998</v>
      </c>
      <c r="N31" s="18">
        <f ca="1">SUM(N9:N29)</f>
        <v>526.41089017007016</v>
      </c>
      <c r="O31" s="18">
        <f ca="1">N31+M31-L31</f>
        <v>-37.193673022773737</v>
      </c>
      <c r="P31" s="18">
        <f t="shared" ref="P31" si="0">SUM(P9:P29)</f>
        <v>14.537198455442166</v>
      </c>
      <c r="Q31" s="21">
        <f ca="1">'4. Mozn-IRR'!L16</f>
        <v>-1.4740654081106183E-2</v>
      </c>
      <c r="R31" s="11">
        <f ca="1">(M31+N31)/L31</f>
        <v>0.96297359525552073</v>
      </c>
      <c r="S31" s="18">
        <f ca="1">SUM(S10:S29)</f>
        <v>3.5</v>
      </c>
      <c r="T31" s="9"/>
      <c r="U31" s="106"/>
    </row>
    <row r="32" spans="2:24" x14ac:dyDescent="0.25">
      <c r="B32" s="105"/>
      <c r="C32" s="4"/>
      <c r="D32" s="50"/>
      <c r="E32" s="2"/>
      <c r="F32" s="2"/>
      <c r="G32" s="2"/>
      <c r="H32" s="2"/>
      <c r="I32" s="6"/>
      <c r="J32" s="137"/>
      <c r="K32" s="17"/>
      <c r="L32" s="17"/>
      <c r="M32" s="17"/>
      <c r="N32" s="17"/>
      <c r="O32" s="17"/>
      <c r="P32" s="17"/>
      <c r="Q32" s="137"/>
      <c r="R32" s="10"/>
      <c r="S32" s="17"/>
      <c r="T32" s="134"/>
      <c r="U32" s="106"/>
    </row>
    <row r="33" spans="2:24" ht="15.75" thickBot="1" x14ac:dyDescent="0.3">
      <c r="B33" s="105"/>
      <c r="C33" s="336" t="s">
        <v>35</v>
      </c>
      <c r="D33" s="556" t="s">
        <v>325</v>
      </c>
      <c r="E33" s="557" t="str">
        <f>VLOOKUP($C33,'S | 01 '!$C$6:$R$48,E$5,0)</f>
        <v>Realized</v>
      </c>
      <c r="F33" s="2" t="str">
        <f>VLOOKUP($C33,'S | 01 '!$C$6:$R$48,F$5,0)</f>
        <v>Elaine</v>
      </c>
      <c r="G33" s="2" t="str">
        <f>VLOOKUP($C33,'S | 01 '!$C$6:$R$48,G$5,0)</f>
        <v>G42 3</v>
      </c>
      <c r="H33" s="6">
        <f>VLOOKUP($C33,'S | 01 '!$C$6:$R$48,H$5,0)</f>
        <v>2022</v>
      </c>
      <c r="I33" s="6" t="str">
        <f>VLOOKUP($C33,'S | 01 '!$C$6:$R$48,I$5,0)</f>
        <v>Equity-TBC</v>
      </c>
      <c r="J33" s="137">
        <f>VLOOKUP($C33,'S | 01 '!$C$6:$R$48,J$5,0)</f>
        <v>1.8823528000000003E-2</v>
      </c>
      <c r="K33" s="17">
        <f ca="1">VLOOKUP($C33,'S | 01 '!$C$6:$R$48,K$5,0)</f>
        <v>800</v>
      </c>
      <c r="L33" s="17">
        <f ca="1">VLOOKUP($C33,'S | 01 '!$C$6:$R$48,L$5,0)</f>
        <v>800</v>
      </c>
      <c r="M33" s="17">
        <f ca="1">VLOOKUP($C33,'S | 01 '!$C$6:$R$48,M$5,0)</f>
        <v>802.8</v>
      </c>
      <c r="N33" s="17">
        <f>VLOOKUP($C33,'S | 01 '!$C$6:$R$48,N$5,0)</f>
        <v>0</v>
      </c>
      <c r="O33" s="17">
        <f ca="1">VLOOKUP($C33,'S | 01 '!$C$6:$R$48,O$5,0)</f>
        <v>2.7999999999999545</v>
      </c>
      <c r="P33" s="17">
        <v>54.67</v>
      </c>
      <c r="Q33" s="137">
        <f>VLOOKUP($C33,'S | 01 '!$C$6:$R$48,Q$5,0)</f>
        <v>2.9359251260757451E-3</v>
      </c>
      <c r="R33" s="10">
        <f ca="1">VLOOKUP($C33,'S | 01 '!$C$6:$R$48,R$5,0)</f>
        <v>1.0034999999999998</v>
      </c>
      <c r="S33" s="17">
        <f ca="1">VLOOKUP($C33,'S | 01 '!$C$6:$R$48,S$5,0)</f>
        <v>0</v>
      </c>
      <c r="T33" s="134"/>
      <c r="U33" s="106"/>
      <c r="W33" s="401" t="s">
        <v>11</v>
      </c>
      <c r="X33" s="401"/>
    </row>
    <row r="34" spans="2:24" ht="17.25" x14ac:dyDescent="0.25">
      <c r="B34" s="105"/>
      <c r="C34" s="4" t="s">
        <v>19</v>
      </c>
      <c r="D34" s="50" t="s">
        <v>325</v>
      </c>
      <c r="E34" s="2" t="str">
        <f>VLOOKUP($C34,'S | 01 '!$C$6:$R$48,E$5,0)</f>
        <v>Unrealized</v>
      </c>
      <c r="F34" s="2" t="str">
        <f>VLOOKUP($C34,'S | 01 '!$C$6:$R$48,F$5,0)</f>
        <v>Anton</v>
      </c>
      <c r="G34" s="2" t="str">
        <f>VLOOKUP($C34,'S | 01 '!$C$6:$R$48,G$5,0)</f>
        <v>G42</v>
      </c>
      <c r="H34" s="6">
        <f>VLOOKUP($C34,'S | 01 '!$C$6:$R$48,H$5,0)</f>
        <v>2022</v>
      </c>
      <c r="I34" s="6" t="str">
        <f>VLOOKUP($C34,'S | 01 '!$C$6:$R$48,I$5,0)</f>
        <v>Equity-TBC</v>
      </c>
      <c r="J34" s="137">
        <f>VLOOKUP($C34,'S | 01 '!$C$6:$R$48,J$5,0)</f>
        <v>0.11141913554582343</v>
      </c>
      <c r="K34" s="17">
        <f>VLOOKUP($C34,'S | 01 '!$C$6:$R$48,K$5,0)</f>
        <v>300</v>
      </c>
      <c r="L34" s="17">
        <f ca="1">VLOOKUP($C34,'S | 01 '!$C$6:$R$48,L$5,0)</f>
        <v>300</v>
      </c>
      <c r="M34" s="17">
        <f ca="1">VLOOKUP($C34,'S | 01 '!$C$6:$R$48,M$5,0)</f>
        <v>0</v>
      </c>
      <c r="N34" s="17">
        <f>VLOOKUP($C34,'S | 01 '!$C$6:$R$48,N$5,0)</f>
        <v>300</v>
      </c>
      <c r="O34" s="17">
        <f ca="1">VLOOKUP($C34,'S | 01 '!$C$6:$R$48,O$5,0)</f>
        <v>0</v>
      </c>
      <c r="P34" s="17">
        <v>0</v>
      </c>
      <c r="Q34" s="137">
        <f>VLOOKUP($C34,'S | 01 '!$C$6:$R$48,Q$5,0)</f>
        <v>2.9802322387695314E-9</v>
      </c>
      <c r="R34" s="10">
        <f ca="1">VLOOKUP($C34,'S | 01 '!$C$6:$R$48,R$5,0)</f>
        <v>1</v>
      </c>
      <c r="S34" s="17">
        <f>VLOOKUP($C34,'S | 01 '!$C$6:$R$48,S$5,0)</f>
        <v>0</v>
      </c>
      <c r="T34" s="134" t="s">
        <v>152</v>
      </c>
      <c r="U34" s="106"/>
    </row>
    <row r="35" spans="2:24" ht="17.25" x14ac:dyDescent="0.25">
      <c r="B35" s="105"/>
      <c r="C35" s="4" t="s">
        <v>90</v>
      </c>
      <c r="D35" s="50" t="s">
        <v>325</v>
      </c>
      <c r="E35" s="2" t="str">
        <f>VLOOKUP($C35,'S | 01 '!$C$6:$R$48,E$5,0)</f>
        <v>Unrealized</v>
      </c>
      <c r="F35" s="2" t="str">
        <f>VLOOKUP($C35,'S | 01 '!$C$6:$R$48,F$5,0)</f>
        <v>Divyesh</v>
      </c>
      <c r="G35" s="2" t="str">
        <f>VLOOKUP($C35,'S | 01 '!$C$6:$R$48,G$5,0)</f>
        <v>G42</v>
      </c>
      <c r="H35" s="6">
        <f>VLOOKUP($C35,'S | 01 '!$C$6:$R$48,H$5,0)</f>
        <v>2022</v>
      </c>
      <c r="I35" s="6" t="str">
        <f>VLOOKUP($C35,'S | 01 '!$C$6:$R$48,I$5,0)</f>
        <v>Ordinary Shares</v>
      </c>
      <c r="J35" s="137">
        <f>VLOOKUP($C35,'S | 01 '!$C$6:$R$48,J$5,0)</f>
        <v>2.2129090603182095E-3</v>
      </c>
      <c r="K35" s="17">
        <f ca="1">VLOOKUP($C35,'S | 01 '!$C$6:$R$48,K$5,0)</f>
        <v>24.53125</v>
      </c>
      <c r="L35" s="17">
        <f ca="1">VLOOKUP($C35,'S | 01 '!$C$6:$R$48,L$5,0)</f>
        <v>24.53125</v>
      </c>
      <c r="M35" s="17">
        <f ca="1">VLOOKUP($C35,'S | 01 '!$C$6:$R$48,M$5,0)</f>
        <v>0</v>
      </c>
      <c r="N35" s="17">
        <f>VLOOKUP($C35,'S | 01 '!$C$6:$R$48,N$5,0)</f>
        <v>2.1837153699999998</v>
      </c>
      <c r="O35" s="17">
        <f ca="1">VLOOKUP($C35,'S | 01 '!$C$6:$R$48,O$5,0)</f>
        <v>-22.347534629999998</v>
      </c>
      <c r="P35" s="17">
        <v>-1.3480000000000001</v>
      </c>
      <c r="Q35" s="137">
        <f>VLOOKUP($C35,'S | 01 '!$C$6:$R$48,Q$5,0)</f>
        <v>-0.87320089479908336</v>
      </c>
      <c r="R35" s="10">
        <f ca="1">VLOOKUP($C35,'S | 01 '!$C$6:$R$48,R$5,0)</f>
        <v>8.9017696611464955E-2</v>
      </c>
      <c r="S35" s="17">
        <f ca="1">VLOOKUP($C35,'S | 01 '!$C$6:$R$48,S$5,0)</f>
        <v>0</v>
      </c>
      <c r="T35" s="134" t="s">
        <v>172</v>
      </c>
      <c r="U35" s="106"/>
      <c r="W35" s="26" t="s">
        <v>2</v>
      </c>
      <c r="X35" s="514">
        <f ca="1">L42</f>
        <v>1263.4151687813262</v>
      </c>
    </row>
    <row r="36" spans="2:24" x14ac:dyDescent="0.25">
      <c r="B36" s="105"/>
      <c r="C36" s="4" t="s">
        <v>1</v>
      </c>
      <c r="D36" s="50" t="s">
        <v>327</v>
      </c>
      <c r="E36" s="2" t="str">
        <f>VLOOKUP($C36,'S | 01 '!$C$6:$R$48,E$5,0)</f>
        <v>Unrealized</v>
      </c>
      <c r="F36" s="2" t="str">
        <f>VLOOKUP($C36,'S | 01 '!$C$6:$R$48,F$5,0)</f>
        <v>Elaine</v>
      </c>
      <c r="G36" s="2" t="str">
        <f>VLOOKUP($C36,'S | 01 '!$C$6:$R$48,G$5,0)</f>
        <v>G42</v>
      </c>
      <c r="H36" s="6">
        <f>VLOOKUP($C36,'S | 01 '!$C$6:$R$48,H$5,0)</f>
        <v>2020</v>
      </c>
      <c r="I36" s="6" t="str">
        <f>VLOOKUP($C36,'S | 01 '!$C$6:$R$48,I$5,0)</f>
        <v xml:space="preserve">LP </v>
      </c>
      <c r="J36" s="137" t="str">
        <f>VLOOKUP($C36,'S | 01 '!$C$6:$R$48,J$5,0)</f>
        <v>n/a</v>
      </c>
      <c r="K36" s="17">
        <f ca="1">VLOOKUP($C36,'S | 01 '!$C$6:$R$48,K$5,0)</f>
        <v>83.334352999999979</v>
      </c>
      <c r="L36" s="17">
        <f ca="1">VLOOKUP($C36,'S | 01 '!$C$6:$R$48,L$5,0)</f>
        <v>83.214652999999984</v>
      </c>
      <c r="M36" s="17">
        <f>VLOOKUP($C36,'S | 01 '!$C$6:$R$48,M$5,0)</f>
        <v>7.8158709999999996</v>
      </c>
      <c r="N36" s="17">
        <f>VLOOKUP($C36,'S | 01 '!$C$6:$R$48,N$5,0)</f>
        <v>74.725861000000009</v>
      </c>
      <c r="O36" s="17">
        <f ca="1">VLOOKUP($C36,'S | 01 '!$C$6:$R$48,O$5,0)</f>
        <v>-0.6729209999999739</v>
      </c>
      <c r="P36" s="17">
        <v>-0.30599999999999999</v>
      </c>
      <c r="Q36" s="137">
        <f>VLOOKUP($C36,'S | 01 '!$C$6:$R$48,Q$5,0)</f>
        <v>-2.5177218019962321E-3</v>
      </c>
      <c r="R36" s="10">
        <f ca="1">VLOOKUP($C36,'S | 01 '!$C$6:$R$48,R$5,0)</f>
        <v>0.99191343140011679</v>
      </c>
      <c r="S36" s="17">
        <f>VLOOKUP($C36,'S | 01 '!$C$6:$R$48,S$5,0)</f>
        <v>0.11969999999999459</v>
      </c>
      <c r="T36" s="2"/>
      <c r="U36" s="106"/>
      <c r="W36" s="26" t="s">
        <v>277</v>
      </c>
      <c r="X36" s="514">
        <f ca="1">N42</f>
        <v>428.7366745400949</v>
      </c>
    </row>
    <row r="37" spans="2:24" x14ac:dyDescent="0.25">
      <c r="B37" s="105"/>
      <c r="C37" s="4" t="s">
        <v>125</v>
      </c>
      <c r="D37" s="50" t="s">
        <v>327</v>
      </c>
      <c r="E37" s="2" t="str">
        <f>VLOOKUP($C37,'S | 01 '!$C$6:$R$48,E$5,0)</f>
        <v>Unrealized</v>
      </c>
      <c r="F37" s="2" t="str">
        <f>VLOOKUP($C37,'S | 01 '!$C$6:$R$48,F$5,0)</f>
        <v>Sushil</v>
      </c>
      <c r="G37" s="2" t="str">
        <f>VLOOKUP($C37,'S | 01 '!$C$6:$R$48,G$5,0)</f>
        <v>G42</v>
      </c>
      <c r="H37" s="6">
        <f>VLOOKUP($C37,'S | 01 '!$C$6:$R$48,H$5,0)</f>
        <v>2020</v>
      </c>
      <c r="I37" s="6" t="str">
        <f>VLOOKUP($C37,'S | 01 '!$C$6:$R$48,I$5,0)</f>
        <v xml:space="preserve">LP </v>
      </c>
      <c r="J37" s="137" t="str">
        <f>VLOOKUP($C37,'S | 01 '!$C$6:$R$48,J$5,0)</f>
        <v>n/a</v>
      </c>
      <c r="K37" s="17">
        <f ca="1">VLOOKUP($C37,'S | 01 '!$C$6:$R$48,K$5,0)</f>
        <v>31.022786748675706</v>
      </c>
      <c r="L37" s="17">
        <f ca="1">VLOOKUP($C37,'S | 01 '!$C$6:$R$48,L$5,0)</f>
        <v>13.988552928385005</v>
      </c>
      <c r="M37" s="17">
        <f>VLOOKUP($C37,'S | 01 '!$C$6:$R$48,M$5,0)</f>
        <v>2.9557743514081998</v>
      </c>
      <c r="N37" s="17">
        <f>VLOOKUP($C37,'S | 01 '!$C$6:$R$48,N$5,0)</f>
        <v>13.277944663100001</v>
      </c>
      <c r="O37" s="17">
        <f ca="1">VLOOKUP($C37,'S | 01 '!$C$6:$R$48,O$5,0)</f>
        <v>2.245166086123195</v>
      </c>
      <c r="P37" s="17">
        <v>5.4450000000000003</v>
      </c>
      <c r="Q37" s="137">
        <f>VLOOKUP($C37,'S | 01 '!$C$6:$R$48,Q$5,0)</f>
        <v>3.6116042733192452E-2</v>
      </c>
      <c r="R37" s="10">
        <f ca="1">VLOOKUP($C37,'S | 01 '!$C$6:$R$48,R$5,0)</f>
        <v>1.1605002388465353</v>
      </c>
      <c r="S37" s="17">
        <f>VLOOKUP($C37,'S | 01 '!$C$6:$R$48,S$5,0)</f>
        <v>17.034233820290702</v>
      </c>
      <c r="T37" s="2"/>
      <c r="U37" s="106"/>
      <c r="W37" s="26" t="s">
        <v>352</v>
      </c>
      <c r="X37" s="514">
        <f ca="1">O42</f>
        <v>-20.663020539823037</v>
      </c>
    </row>
    <row r="38" spans="2:24" x14ac:dyDescent="0.25">
      <c r="B38" s="105"/>
      <c r="C38" s="4" t="s">
        <v>390</v>
      </c>
      <c r="D38" s="50" t="s">
        <v>327</v>
      </c>
      <c r="E38" s="2" t="str">
        <f>VLOOKUP($C38,'S | 01 '!$C$6:$R$48,E$5,0)</f>
        <v>Unrealized</v>
      </c>
      <c r="F38" s="2" t="str">
        <f>VLOOKUP($C38,'S | 01 '!$C$6:$R$48,F$5,0)</f>
        <v>Sushil</v>
      </c>
      <c r="G38" s="2" t="str">
        <f>VLOOKUP($C38,'S | 01 '!$C$6:$R$48,G$5,0)</f>
        <v>G42</v>
      </c>
      <c r="H38" s="6">
        <f>VLOOKUP($C38,'S | 01 '!$C$6:$R$48,H$5,0)</f>
        <v>2023</v>
      </c>
      <c r="I38" s="6" t="str">
        <f>VLOOKUP($C38,'S | 01 '!$C$6:$R$48,I$5,0)</f>
        <v xml:space="preserve">LP </v>
      </c>
      <c r="J38" s="137" t="str">
        <f>VLOOKUP($C38,'S | 01 '!$C$6:$R$48,J$5,0)</f>
        <v>n/a</v>
      </c>
      <c r="K38" s="17">
        <f>VLOOKUP($C38,'S | 01 '!$C$6:$R$48,K$5,0)</f>
        <v>2.7058823529411762</v>
      </c>
      <c r="L38" s="17">
        <f>VLOOKUP($C38,'S | 01 '!$C$6:$R$48,L$5,0)</f>
        <v>2.7058823529411762</v>
      </c>
      <c r="M38" s="17">
        <f>VLOOKUP($C38,'S | 01 '!$C$6:$R$48,M$5,0)</f>
        <v>0</v>
      </c>
      <c r="N38" s="17">
        <f ca="1">VLOOKUP($C38,'S | 01 '!$C$6:$R$48,N$5,0)</f>
        <v>2.5684255069948656</v>
      </c>
      <c r="O38" s="17">
        <f ca="1">VLOOKUP($C38,'S | 01 '!$C$6:$R$48,O$5,0)</f>
        <v>-0.13745684594631058</v>
      </c>
      <c r="P38" s="17">
        <v>0</v>
      </c>
      <c r="Q38" s="137">
        <f>VLOOKUP($C38,'S | 01 '!$C$6:$R$48,Q$5,0)</f>
        <v>0</v>
      </c>
      <c r="R38" s="10">
        <f ca="1">VLOOKUP($C38,'S | 01 '!$C$6:$R$48,R$5,0)</f>
        <v>0.94920073084592871</v>
      </c>
      <c r="S38" s="17">
        <f>VLOOKUP($C38,'S | 01 '!$C$6:$R$48,S$5,0)</f>
        <v>0</v>
      </c>
      <c r="T38" s="122"/>
      <c r="U38" s="106"/>
      <c r="W38" s="26" t="s">
        <v>353</v>
      </c>
      <c r="X38" s="515">
        <f ca="1">O42-P42</f>
        <v>-77.553020539823052</v>
      </c>
    </row>
    <row r="39" spans="2:24" x14ac:dyDescent="0.25">
      <c r="B39" s="105"/>
      <c r="C39" s="336" t="s">
        <v>12</v>
      </c>
      <c r="D39" s="556" t="s">
        <v>327</v>
      </c>
      <c r="E39" s="557" t="str">
        <f>VLOOKUP($C39,'S | 01 '!$C$6:$R$48,E$5,0)</f>
        <v>Realized</v>
      </c>
      <c r="F39" s="2" t="str">
        <f>VLOOKUP($C39,'S | 01 '!$C$6:$R$48,F$5,0)</f>
        <v>Elaine</v>
      </c>
      <c r="G39" s="2" t="str">
        <f>VLOOKUP($C39,'S | 01 '!$C$6:$R$48,G$5,0)</f>
        <v>G42</v>
      </c>
      <c r="H39" s="6">
        <f>VLOOKUP($C39,'S | 01 '!$C$6:$R$48,H$5,0)</f>
        <v>2020</v>
      </c>
      <c r="I39" s="6" t="str">
        <f>VLOOKUP($C39,'S | 01 '!$C$6:$R$48,I$5,0)</f>
        <v xml:space="preserve">LP </v>
      </c>
      <c r="J39" s="137" t="str">
        <f>VLOOKUP($C39,'S | 01 '!$C$6:$R$48,J$5,0)</f>
        <v>n/a</v>
      </c>
      <c r="K39" s="17">
        <f>VLOOKUP($C39,'S | 01 '!$C$6:$R$48,K$5,0)</f>
        <v>50</v>
      </c>
      <c r="L39" s="17">
        <f ca="1">VLOOKUP($C39,'S | 01 '!$C$6:$R$48,L$5,0)</f>
        <v>24.959693000000001</v>
      </c>
      <c r="M39" s="17">
        <f>VLOOKUP($C39,'S | 01 '!$C$6:$R$48,M$5,0)</f>
        <v>0.44382834999999998</v>
      </c>
      <c r="N39" s="17">
        <f>VLOOKUP($C39,'S | 01 '!$C$6:$R$48,N$5,0)</f>
        <v>23.670303000000001</v>
      </c>
      <c r="O39" s="17">
        <f ca="1">VLOOKUP($C39,'S | 01 '!$C$6:$R$48,O$5,0)</f>
        <v>-0.8455616500000005</v>
      </c>
      <c r="P39" s="17">
        <v>-1.2649999999999999</v>
      </c>
      <c r="Q39" s="137">
        <f>VLOOKUP($C39,'S | 01 '!$C$6:$R$48,Q$5,0)</f>
        <v>-1.4868453145027161E-2</v>
      </c>
      <c r="R39" s="10">
        <f ca="1">VLOOKUP($C39,'S | 01 '!$C$6:$R$48,R$5,0)</f>
        <v>0.96612291465283651</v>
      </c>
      <c r="S39" s="17">
        <f ca="1">VLOOKUP($C39,'S | 01 '!$C$6:$R$48,S$5,0)</f>
        <v>25.040306999999999</v>
      </c>
      <c r="T39" s="122"/>
      <c r="U39" s="106"/>
      <c r="W39" s="26" t="s">
        <v>24</v>
      </c>
      <c r="X39" s="216">
        <f ca="1">Q42</f>
        <v>-1.7151203751564027E-2</v>
      </c>
    </row>
    <row r="40" spans="2:24" ht="17.25" x14ac:dyDescent="0.25">
      <c r="B40" s="105"/>
      <c r="C40" s="4" t="s">
        <v>176</v>
      </c>
      <c r="D40" s="50" t="s">
        <v>327</v>
      </c>
      <c r="E40" s="2" t="str">
        <f>VLOOKUP($C40,'S | 01 '!$C$6:$R$48,E$5,0)</f>
        <v>Unrealized</v>
      </c>
      <c r="F40" s="2" t="str">
        <f>VLOOKUP($C40,'S | 01 '!$C$6:$R$48,F$5,0)</f>
        <v>Divyesh</v>
      </c>
      <c r="G40" s="2" t="str">
        <f>VLOOKUP($C40,'S | 01 '!$C$6:$R$48,G$5,0)</f>
        <v>G42</v>
      </c>
      <c r="H40" s="6">
        <f>VLOOKUP($C40,'S | 01 '!$C$6:$R$48,H$5,0)</f>
        <v>2021</v>
      </c>
      <c r="I40" s="6" t="str">
        <f>VLOOKUP($C40,'S | 01 '!$C$6:$R$48,I$5,0)</f>
        <v xml:space="preserve">LP </v>
      </c>
      <c r="J40" s="137">
        <f>VLOOKUP($C40,'S | 01 '!$C$6:$R$48,J$5,0)</f>
        <v>0.33</v>
      </c>
      <c r="K40" s="17">
        <f>VLOOKUP($C40,'S | 01 '!$C$6:$R$48,K$5,0)</f>
        <v>17.112500000000001</v>
      </c>
      <c r="L40" s="17">
        <f ca="1">VLOOKUP($C40,'S | 01 '!$C$6:$R$48,L$5,0)</f>
        <v>14.0151375</v>
      </c>
      <c r="M40" s="17">
        <f>VLOOKUP($C40,'S | 01 '!$C$6:$R$48,M$5,0)</f>
        <v>0</v>
      </c>
      <c r="N40" s="17">
        <f>VLOOKUP($C40,'S | 01 '!$C$6:$R$48,N$5,0)</f>
        <v>12.310425</v>
      </c>
      <c r="O40" s="17">
        <f ca="1">VLOOKUP($C40,'S | 01 '!$C$6:$R$48,O$5,0)</f>
        <v>-1.7047124999999994</v>
      </c>
      <c r="P40" s="17">
        <v>-0.30599999999999999</v>
      </c>
      <c r="Q40" s="137">
        <f>VLOOKUP($C40,'S | 01 '!$C$6:$R$48,Q$5,0)</f>
        <v>-7.1990828216075942E-2</v>
      </c>
      <c r="R40" s="10">
        <f ca="1">VLOOKUP($C40,'S | 01 '!$C$6:$R$48,R$5,0)</f>
        <v>0.87836633782579732</v>
      </c>
      <c r="S40" s="17">
        <f ca="1">VLOOKUP($C40,'S | 01 '!$C$6:$R$48,S$5,0)</f>
        <v>3.0973625000000009</v>
      </c>
      <c r="T40" s="2" t="s">
        <v>488</v>
      </c>
      <c r="U40" s="106"/>
    </row>
    <row r="41" spans="2:24" x14ac:dyDescent="0.25">
      <c r="B41" s="105"/>
      <c r="C41" s="4"/>
      <c r="D41" s="50"/>
      <c r="E41" s="2"/>
      <c r="F41" s="2"/>
      <c r="G41" s="2"/>
      <c r="H41" s="2"/>
      <c r="I41" s="6"/>
      <c r="J41" s="137"/>
      <c r="K41" s="17"/>
      <c r="L41" s="17"/>
      <c r="M41" s="17"/>
      <c r="N41" s="17"/>
      <c r="O41" s="17"/>
      <c r="P41" s="17"/>
      <c r="Q41" s="137"/>
      <c r="R41" s="10"/>
      <c r="S41" s="17"/>
      <c r="T41" s="134"/>
      <c r="U41" s="106"/>
      <c r="W41" s="350">
        <f ca="1">O31-P31</f>
        <v>-51.730871478215903</v>
      </c>
    </row>
    <row r="42" spans="2:24" s="109" customFormat="1" x14ac:dyDescent="0.25">
      <c r="B42" s="107"/>
      <c r="C42" s="9"/>
      <c r="D42" s="9"/>
      <c r="E42" s="9"/>
      <c r="F42" s="9"/>
      <c r="G42" s="9"/>
      <c r="H42" s="9"/>
      <c r="I42" s="9"/>
      <c r="J42" s="140"/>
      <c r="K42" s="18">
        <f ca="1">SUM(K33:K40)</f>
        <v>1308.7067721016169</v>
      </c>
      <c r="L42" s="18">
        <f ca="1">SUM(L33:L40)</f>
        <v>1263.4151687813262</v>
      </c>
      <c r="M42" s="18">
        <f ca="1">SUM(M33:M40)</f>
        <v>814.01547370140815</v>
      </c>
      <c r="N42" s="18">
        <f ca="1">SUM(N33:N40)</f>
        <v>428.7366745400949</v>
      </c>
      <c r="O42" s="18">
        <f ca="1">N42+M42-L42</f>
        <v>-20.663020539823037</v>
      </c>
      <c r="P42" s="18">
        <f>SUM(P33:P40)</f>
        <v>56.890000000000008</v>
      </c>
      <c r="Q42" s="21">
        <f ca="1">'4. G42-IRR'!L16</f>
        <v>-1.7151203751564027E-2</v>
      </c>
      <c r="R42" s="11">
        <f ca="1">(M42+N42)/L42</f>
        <v>0.98364510649357306</v>
      </c>
      <c r="S42" s="18">
        <f ca="1">SUM(S33:S40)</f>
        <v>45.291603320290697</v>
      </c>
      <c r="T42" s="9">
        <f ca="1">N42+M42-L42</f>
        <v>-20.663020539823037</v>
      </c>
      <c r="U42" s="108"/>
      <c r="W42" s="350">
        <f ca="1">K42-L42</f>
        <v>45.291603320290733</v>
      </c>
    </row>
    <row r="43" spans="2:24" s="109" customFormat="1" x14ac:dyDescent="0.25">
      <c r="B43" s="107"/>
      <c r="C43" s="248"/>
      <c r="D43" s="248"/>
      <c r="E43" s="248"/>
      <c r="F43" s="248"/>
      <c r="G43" s="248"/>
      <c r="H43" s="248"/>
      <c r="I43" s="248"/>
      <c r="J43" s="139"/>
      <c r="K43" s="249"/>
      <c r="L43" s="249"/>
      <c r="M43" s="249"/>
      <c r="N43" s="249"/>
      <c r="O43" s="249"/>
      <c r="P43" s="249"/>
      <c r="Q43" s="149"/>
      <c r="R43" s="250"/>
      <c r="S43" s="249"/>
      <c r="T43" s="248"/>
      <c r="U43" s="108"/>
      <c r="W43" s="350">
        <f ca="1">O42-P42</f>
        <v>-77.553020539823052</v>
      </c>
    </row>
    <row r="44" spans="2:24" s="109" customFormat="1" x14ac:dyDescent="0.25">
      <c r="B44" s="107"/>
      <c r="C44" s="331"/>
      <c r="D44" s="331"/>
      <c r="E44" s="332"/>
      <c r="F44" s="332"/>
      <c r="G44" s="332"/>
      <c r="H44" s="332"/>
      <c r="I44" s="332"/>
      <c r="J44" s="333"/>
      <c r="K44" s="334">
        <f ca="1">K31+K42</f>
        <v>2316.7274739105414</v>
      </c>
      <c r="L44" s="334">
        <f ca="1">L31+L42</f>
        <v>2267.93270915417</v>
      </c>
      <c r="M44" s="334">
        <f ca="1">M31+M42</f>
        <v>1254.928450881408</v>
      </c>
      <c r="N44" s="334">
        <f ca="1">N31+N42</f>
        <v>955.14756471016506</v>
      </c>
      <c r="O44" s="334">
        <f ca="1">O31+O42</f>
        <v>-57.856693562596774</v>
      </c>
      <c r="P44" s="334">
        <f t="shared" ref="P44" si="1">P31+P42</f>
        <v>71.427198455442181</v>
      </c>
      <c r="Q44" s="527">
        <f ca="1">'4.All'!N9</f>
        <v>-1.2957467883825301E-2</v>
      </c>
      <c r="R44" s="335">
        <f ca="1">(M44+N44)/L44</f>
        <v>0.9744892371237176</v>
      </c>
      <c r="S44" s="334">
        <f ca="1">S31+S42</f>
        <v>48.791603320290697</v>
      </c>
      <c r="T44" s="332"/>
      <c r="U44" s="108"/>
      <c r="W44" s="402">
        <f ca="1">SUM(M33:N35)-SUM(L33:L35)</f>
        <v>-19.547534629999973</v>
      </c>
    </row>
    <row r="45" spans="2:24" s="310" customFormat="1" ht="15.75" thickBot="1" x14ac:dyDescent="0.3">
      <c r="B45" s="303"/>
      <c r="C45" s="304"/>
      <c r="D45" s="304"/>
      <c r="E45" s="305"/>
      <c r="F45" s="305"/>
      <c r="G45" s="305"/>
      <c r="H45" s="305"/>
      <c r="I45" s="305"/>
      <c r="J45" s="306"/>
      <c r="K45" s="307"/>
      <c r="L45" s="307"/>
      <c r="M45" s="307"/>
      <c r="N45" s="307"/>
      <c r="O45" s="307"/>
      <c r="P45" s="307"/>
      <c r="Q45" s="306"/>
      <c r="R45" s="308"/>
      <c r="S45" s="307"/>
      <c r="T45" s="305"/>
      <c r="U45" s="309"/>
      <c r="W45" s="402">
        <f ca="1">SUM(M36:N40)-SUM(L36:L40)</f>
        <v>-1.1154859098230929</v>
      </c>
    </row>
    <row r="46" spans="2:24" x14ac:dyDescent="0.25">
      <c r="J46" s="115"/>
      <c r="Q46" s="115"/>
      <c r="W46" s="403">
        <f ca="1">K42-L42</f>
        <v>45.291603320290733</v>
      </c>
    </row>
    <row r="47" spans="2:24" x14ac:dyDescent="0.25">
      <c r="I47" s="358" t="s">
        <v>336</v>
      </c>
      <c r="J47" s="353"/>
      <c r="K47" s="353" t="b">
        <f ca="1">K44='S | 01 '!J48</f>
        <v>1</v>
      </c>
      <c r="L47" s="353" t="b">
        <f ca="1">ROUND(L44,3)=ROUND('S | 01 '!K48,3)</f>
        <v>1</v>
      </c>
      <c r="M47" s="353" t="b">
        <f ca="1">M44='S | 01 '!M48</f>
        <v>1</v>
      </c>
      <c r="N47" s="353" t="b">
        <f ca="1">N44='S | 01 '!N48</f>
        <v>1</v>
      </c>
      <c r="O47" s="353" t="b">
        <f ca="1">ROUND(O44,3)=ROUND('S | 01 '!O48,3)</f>
        <v>1</v>
      </c>
      <c r="P47" s="353"/>
      <c r="S47" s="437" t="b">
        <f ca="1">S31='S | 01 '!L32</f>
        <v>1</v>
      </c>
    </row>
    <row r="48" spans="2:24" x14ac:dyDescent="0.25">
      <c r="B48" s="215"/>
      <c r="C48" s="215" t="s">
        <v>337</v>
      </c>
      <c r="D48" s="5"/>
      <c r="E48" s="7"/>
      <c r="F48" s="7"/>
      <c r="G48" s="7"/>
      <c r="H48" s="7"/>
      <c r="I48" s="359"/>
      <c r="J48" s="157"/>
      <c r="K48" s="360"/>
      <c r="L48" s="26"/>
      <c r="M48" s="360"/>
      <c r="N48" s="360"/>
      <c r="O48" s="360"/>
      <c r="P48" s="360"/>
      <c r="Q48" s="23"/>
      <c r="R48" s="15"/>
      <c r="S48" s="26"/>
      <c r="T48" s="7"/>
    </row>
    <row r="49" spans="2:21" x14ac:dyDescent="0.25">
      <c r="B49" s="215"/>
      <c r="C49" s="567" t="s">
        <v>506</v>
      </c>
      <c r="D49" s="565"/>
      <c r="E49" s="566"/>
      <c r="F49" s="350"/>
      <c r="G49" s="350"/>
      <c r="H49" s="350"/>
      <c r="I49" s="350"/>
      <c r="J49" s="350"/>
      <c r="K49" s="350"/>
      <c r="L49" s="418"/>
      <c r="M49" s="350"/>
      <c r="N49" s="350"/>
      <c r="O49" s="418"/>
      <c r="P49" s="350"/>
      <c r="Q49" s="350"/>
      <c r="R49" s="350"/>
      <c r="S49" s="350"/>
    </row>
    <row r="50" spans="2:21" s="27" customFormat="1" x14ac:dyDescent="0.25">
      <c r="B50" s="26"/>
      <c r="C50" s="13"/>
      <c r="D50" s="13"/>
      <c r="L50" s="418"/>
      <c r="Q50" s="418"/>
      <c r="U50" s="26"/>
    </row>
    <row r="51" spans="2:21" s="27" customFormat="1" x14ac:dyDescent="0.25">
      <c r="B51" s="26"/>
      <c r="C51" s="96"/>
      <c r="D51" s="96"/>
      <c r="E51" s="350"/>
      <c r="F51" s="350"/>
      <c r="G51" s="350"/>
      <c r="H51" s="351"/>
      <c r="I51" s="350"/>
      <c r="J51" s="350"/>
      <c r="K51" s="350"/>
      <c r="L51" s="350"/>
      <c r="M51" s="350"/>
      <c r="N51" s="350"/>
      <c r="P51" s="350"/>
      <c r="Q51" s="350"/>
      <c r="R51" s="350"/>
      <c r="S51" s="350"/>
      <c r="U51" s="26"/>
    </row>
    <row r="52" spans="2:21" s="27" customFormat="1" x14ac:dyDescent="0.25">
      <c r="B52" s="26"/>
      <c r="C52" s="13"/>
      <c r="D52" s="13"/>
      <c r="E52" s="350"/>
      <c r="F52" s="350"/>
      <c r="G52" s="350"/>
      <c r="H52" s="352"/>
      <c r="L52" s="418"/>
      <c r="Q52" s="350"/>
      <c r="R52" s="350"/>
      <c r="U52" s="26"/>
    </row>
    <row r="53" spans="2:21" s="27" customFormat="1" x14ac:dyDescent="0.25">
      <c r="B53" s="26"/>
      <c r="C53" s="13"/>
      <c r="D53" s="13"/>
      <c r="E53" s="350"/>
      <c r="F53" s="350"/>
      <c r="G53" s="350"/>
      <c r="H53" s="350"/>
      <c r="I53" s="350"/>
      <c r="J53" s="350"/>
      <c r="K53" s="350"/>
      <c r="L53" s="350"/>
      <c r="M53" s="350"/>
      <c r="N53" s="350"/>
      <c r="P53" s="350"/>
      <c r="Q53" s="350"/>
      <c r="R53" s="350"/>
      <c r="S53" s="350"/>
      <c r="U53" s="26"/>
    </row>
    <row r="54" spans="2:21" s="27" customFormat="1" x14ac:dyDescent="0.25">
      <c r="B54" s="26"/>
      <c r="C54" s="13"/>
      <c r="D54" s="13"/>
      <c r="E54" s="350"/>
      <c r="F54" s="350"/>
      <c r="G54" s="350"/>
      <c r="H54" s="350"/>
      <c r="I54" s="350"/>
      <c r="J54" s="350"/>
      <c r="K54" s="350"/>
      <c r="L54" s="350"/>
      <c r="M54" s="350"/>
      <c r="N54" s="350"/>
      <c r="P54" s="350"/>
      <c r="Q54" s="350"/>
      <c r="R54" s="350"/>
      <c r="S54" s="350"/>
      <c r="U54" s="26"/>
    </row>
    <row r="55" spans="2:21" s="27" customFormat="1" x14ac:dyDescent="0.25">
      <c r="B55" s="26"/>
      <c r="C55" s="13"/>
      <c r="D55" s="13"/>
      <c r="E55" s="350"/>
      <c r="F55" s="350"/>
      <c r="G55" s="350"/>
      <c r="H55" s="350"/>
      <c r="I55" s="350"/>
      <c r="J55" s="350"/>
      <c r="K55" s="350"/>
      <c r="L55" s="350"/>
      <c r="M55" s="350"/>
      <c r="N55" s="350"/>
      <c r="O55" s="350"/>
      <c r="P55" s="350"/>
      <c r="Q55" s="350"/>
      <c r="R55" s="350"/>
      <c r="S55" s="350"/>
      <c r="U55" s="26"/>
    </row>
    <row r="56" spans="2:21" s="27" customFormat="1" x14ac:dyDescent="0.25">
      <c r="B56" s="26"/>
      <c r="C56" s="13"/>
      <c r="D56" s="13"/>
      <c r="E56" s="350"/>
      <c r="F56" s="350"/>
      <c r="G56" s="350"/>
      <c r="H56" s="350"/>
      <c r="I56" s="350"/>
      <c r="J56" s="350"/>
      <c r="K56" s="350"/>
      <c r="L56" s="350"/>
      <c r="M56" s="350"/>
      <c r="N56" s="350"/>
      <c r="O56" s="350"/>
      <c r="P56" s="350"/>
      <c r="Q56" s="350"/>
      <c r="R56" s="350"/>
      <c r="S56" s="350"/>
      <c r="U56" s="26"/>
    </row>
    <row r="57" spans="2:21" s="27" customFormat="1" x14ac:dyDescent="0.25">
      <c r="B57" s="26"/>
      <c r="C57" s="95"/>
      <c r="D57" s="95"/>
      <c r="N57" s="127"/>
      <c r="O57" s="127"/>
      <c r="P57" s="127"/>
      <c r="U57" s="26"/>
    </row>
    <row r="58" spans="2:21" s="27" customFormat="1" x14ac:dyDescent="0.25">
      <c r="B58" s="26"/>
      <c r="C58" s="96"/>
      <c r="D58" s="96"/>
      <c r="N58" s="127"/>
      <c r="O58" s="127"/>
      <c r="P58" s="127"/>
      <c r="U58" s="26"/>
    </row>
    <row r="59" spans="2:21" s="27" customFormat="1" x14ac:dyDescent="0.25">
      <c r="B59" s="26"/>
      <c r="C59" s="311"/>
      <c r="D59" s="311"/>
      <c r="N59" s="127"/>
      <c r="O59" s="127"/>
      <c r="P59" s="127"/>
      <c r="U59" s="26"/>
    </row>
    <row r="60" spans="2:21" s="27" customFormat="1" x14ac:dyDescent="0.25">
      <c r="B60" s="26"/>
      <c r="C60" s="96"/>
      <c r="D60" s="96"/>
      <c r="N60" s="127"/>
      <c r="O60" s="127"/>
      <c r="P60" s="127"/>
      <c r="U60" s="26"/>
    </row>
    <row r="61" spans="2:21" s="27" customFormat="1" x14ac:dyDescent="0.25">
      <c r="B61" s="26"/>
      <c r="C61" s="95"/>
      <c r="D61" s="95"/>
      <c r="N61" s="127"/>
      <c r="O61" s="127"/>
      <c r="P61" s="127"/>
      <c r="U61" s="26"/>
    </row>
    <row r="62" spans="2:21" s="27" customFormat="1" x14ac:dyDescent="0.25">
      <c r="B62" s="26"/>
      <c r="C62" s="95"/>
      <c r="D62" s="95"/>
      <c r="N62" s="127"/>
      <c r="O62" s="127"/>
      <c r="P62" s="127"/>
      <c r="U62" s="26"/>
    </row>
    <row r="63" spans="2:21" s="27" customFormat="1" x14ac:dyDescent="0.25">
      <c r="B63" s="26"/>
      <c r="C63" s="95"/>
      <c r="D63" s="95"/>
      <c r="U63" s="26"/>
    </row>
    <row r="64" spans="2:21" s="27" customFormat="1" x14ac:dyDescent="0.25">
      <c r="B64" s="26"/>
      <c r="C64" s="96"/>
      <c r="D64" s="96"/>
      <c r="U64" s="26"/>
    </row>
    <row r="65" spans="2:21" s="27" customFormat="1" x14ac:dyDescent="0.25">
      <c r="B65" s="26"/>
      <c r="C65" s="96"/>
      <c r="D65" s="96"/>
      <c r="U65" s="26"/>
    </row>
    <row r="66" spans="2:21" s="27" customFormat="1" x14ac:dyDescent="0.25">
      <c r="B66" s="26"/>
      <c r="C66" s="96"/>
      <c r="D66" s="96"/>
      <c r="U66" s="26"/>
    </row>
    <row r="67" spans="2:21" s="27" customFormat="1" x14ac:dyDescent="0.25">
      <c r="B67" s="26"/>
      <c r="C67" s="95"/>
      <c r="D67" s="95"/>
      <c r="U67" s="26"/>
    </row>
    <row r="68" spans="2:21" s="27" customFormat="1" x14ac:dyDescent="0.25">
      <c r="B68" s="26"/>
      <c r="C68" s="95"/>
      <c r="D68" s="95"/>
      <c r="H68" s="227"/>
      <c r="J68" s="96"/>
      <c r="R68" s="127"/>
      <c r="U68" s="26"/>
    </row>
    <row r="69" spans="2:21" s="27" customFormat="1" x14ac:dyDescent="0.25">
      <c r="B69" s="26"/>
      <c r="C69" s="95"/>
      <c r="D69" s="95"/>
      <c r="H69" s="227"/>
      <c r="J69" s="96"/>
      <c r="R69" s="127"/>
      <c r="U69" s="26"/>
    </row>
    <row r="70" spans="2:21" s="27" customFormat="1" x14ac:dyDescent="0.25">
      <c r="B70" s="26"/>
      <c r="C70" s="95"/>
      <c r="D70" s="95"/>
      <c r="H70" s="96"/>
      <c r="J70" s="96"/>
      <c r="R70" s="127"/>
      <c r="U70" s="26"/>
    </row>
    <row r="71" spans="2:21" s="27" customFormat="1" x14ac:dyDescent="0.25">
      <c r="B71" s="26"/>
      <c r="C71" s="96"/>
      <c r="D71" s="96"/>
      <c r="F71" s="96"/>
      <c r="H71" s="96"/>
      <c r="J71" s="96"/>
      <c r="R71" s="127"/>
      <c r="U71" s="26"/>
    </row>
    <row r="72" spans="2:21" s="27" customFormat="1" x14ac:dyDescent="0.25">
      <c r="B72" s="26"/>
      <c r="H72" s="96"/>
      <c r="J72" s="96"/>
      <c r="R72" s="127"/>
      <c r="U72" s="26"/>
    </row>
    <row r="73" spans="2:21" s="27" customFormat="1" x14ac:dyDescent="0.25">
      <c r="B73" s="26"/>
      <c r="R73" s="127"/>
      <c r="U73" s="26"/>
    </row>
    <row r="74" spans="2:21" s="27" customFormat="1" x14ac:dyDescent="0.25">
      <c r="B74" s="26"/>
      <c r="C74" s="95"/>
      <c r="D74" s="95"/>
      <c r="G74" s="96"/>
      <c r="R74" s="127"/>
      <c r="U74" s="26"/>
    </row>
  </sheetData>
  <dataConsolidate/>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colBreaks count="1" manualBreakCount="1">
    <brk id="21" max="1048575" man="1"/>
  </colBreaks>
  <ignoredErrors>
    <ignoredError sqref="O42"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99"/>
  <sheetViews>
    <sheetView showGridLines="0" view="pageBreakPreview" zoomScale="60" zoomScaleNormal="70" workbookViewId="0">
      <selection activeCell="B76" sqref="B76"/>
    </sheetView>
  </sheetViews>
  <sheetFormatPr defaultColWidth="9.140625" defaultRowHeight="15" x14ac:dyDescent="0.25"/>
  <cols>
    <col min="1" max="2" width="5.42578125" style="26" customWidth="1"/>
    <col min="3" max="3" width="42.28515625" style="95" customWidth="1"/>
    <col min="4" max="4" width="17.140625" style="27" customWidth="1"/>
    <col min="5" max="5" width="9.42578125" style="27" bestFit="1" customWidth="1"/>
    <col min="6" max="6" width="19.7109375" style="27" bestFit="1" customWidth="1"/>
    <col min="7" max="7" width="81.28515625" style="27" bestFit="1"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18" ht="21.75" customHeight="1" thickBot="1" x14ac:dyDescent="0.3">
      <c r="C1" s="223"/>
    </row>
    <row r="2" spans="2:18" ht="15.75" thickBot="1" x14ac:dyDescent="0.3">
      <c r="C2" s="252" t="s">
        <v>188</v>
      </c>
      <c r="D2" s="253">
        <f>'S | 01 '!D2</f>
        <v>45322</v>
      </c>
      <c r="E2" s="26"/>
      <c r="F2" s="26"/>
      <c r="G2" s="26"/>
      <c r="H2" s="26"/>
      <c r="I2" s="26"/>
      <c r="J2" s="26"/>
      <c r="K2" s="26"/>
      <c r="L2" s="26"/>
      <c r="M2" s="26"/>
      <c r="N2" s="26"/>
      <c r="O2" s="26"/>
      <c r="P2" s="26"/>
      <c r="Q2" s="26"/>
    </row>
    <row r="3" spans="2:18" ht="21.75" customHeight="1" thickBot="1" x14ac:dyDescent="0.3">
      <c r="C3" s="223"/>
      <c r="P3" s="215" t="s">
        <v>412</v>
      </c>
    </row>
    <row r="4" spans="2:18" x14ac:dyDescent="0.25">
      <c r="B4" s="97"/>
      <c r="C4" s="98"/>
      <c r="D4" s="99"/>
      <c r="E4" s="99"/>
      <c r="F4" s="99"/>
      <c r="G4" s="99"/>
      <c r="H4" s="99"/>
      <c r="I4" s="99"/>
      <c r="J4" s="99"/>
      <c r="K4" s="288"/>
      <c r="L4" s="288"/>
      <c r="M4" s="288"/>
      <c r="N4" s="288"/>
      <c r="O4" s="288"/>
      <c r="P4" s="288"/>
      <c r="Q4" s="288"/>
      <c r="R4" s="101"/>
    </row>
    <row r="5" spans="2:18" x14ac:dyDescent="0.25">
      <c r="B5" s="105"/>
      <c r="R5" s="106"/>
    </row>
    <row r="6" spans="2:18" s="104" customFormat="1" ht="60" customHeight="1" x14ac:dyDescent="0.25">
      <c r="B6" s="102"/>
      <c r="C6" s="3" t="s">
        <v>52</v>
      </c>
      <c r="D6" s="1" t="s">
        <v>25</v>
      </c>
      <c r="E6" s="1" t="s">
        <v>62</v>
      </c>
      <c r="F6" s="1" t="s">
        <v>31</v>
      </c>
      <c r="G6" s="1" t="s">
        <v>513</v>
      </c>
      <c r="H6" s="1" t="s">
        <v>521</v>
      </c>
      <c r="I6" s="1" t="s">
        <v>597</v>
      </c>
      <c r="J6" s="1" t="s">
        <v>36</v>
      </c>
      <c r="K6" s="1" t="s">
        <v>242</v>
      </c>
      <c r="L6" s="1" t="s">
        <v>405</v>
      </c>
      <c r="M6" s="1" t="s">
        <v>406</v>
      </c>
      <c r="N6" s="1" t="s">
        <v>396</v>
      </c>
      <c r="O6" s="1" t="s">
        <v>54</v>
      </c>
      <c r="P6" s="1" t="s">
        <v>413</v>
      </c>
      <c r="Q6" s="464" t="s">
        <v>254</v>
      </c>
      <c r="R6" s="103"/>
    </row>
    <row r="7" spans="2:18" x14ac:dyDescent="0.25">
      <c r="B7" s="105"/>
      <c r="C7" s="5"/>
      <c r="D7" s="8"/>
      <c r="E7" s="8"/>
      <c r="F7" s="8"/>
      <c r="G7" s="8"/>
      <c r="H7" s="8"/>
      <c r="I7" s="8"/>
      <c r="J7" s="8"/>
      <c r="K7" s="8"/>
      <c r="L7" s="8"/>
      <c r="M7" s="8"/>
      <c r="N7" s="8"/>
      <c r="O7" s="8"/>
      <c r="P7" s="8"/>
      <c r="Q7" s="284"/>
      <c r="R7" s="106"/>
    </row>
    <row r="8" spans="2:18" x14ac:dyDescent="0.25">
      <c r="B8" s="105"/>
      <c r="C8" s="16" t="s">
        <v>28</v>
      </c>
      <c r="D8" s="2"/>
      <c r="E8" s="2"/>
      <c r="F8" s="2"/>
      <c r="G8" s="2"/>
      <c r="H8" s="2"/>
      <c r="I8" s="2"/>
      <c r="J8" s="2"/>
      <c r="K8" s="2"/>
      <c r="L8" s="465"/>
      <c r="M8" s="465"/>
      <c r="N8" s="465"/>
      <c r="O8" s="468"/>
      <c r="P8" s="2"/>
      <c r="Q8" s="285"/>
      <c r="R8" s="106"/>
    </row>
    <row r="9" spans="2:18" ht="17.25" x14ac:dyDescent="0.25">
      <c r="B9" s="105"/>
      <c r="C9" s="4" t="s">
        <v>48</v>
      </c>
      <c r="D9" s="2" t="s">
        <v>500</v>
      </c>
      <c r="E9" s="2" t="s">
        <v>64</v>
      </c>
      <c r="F9" s="2" t="s">
        <v>8</v>
      </c>
      <c r="G9" s="571" t="s">
        <v>514</v>
      </c>
      <c r="H9" s="2" t="s">
        <v>546</v>
      </c>
      <c r="I9" s="571" t="s">
        <v>547</v>
      </c>
      <c r="J9" s="2" t="s">
        <v>74</v>
      </c>
      <c r="K9" s="2"/>
      <c r="L9" s="466" t="s">
        <v>335</v>
      </c>
      <c r="M9" s="466" t="s">
        <v>335</v>
      </c>
      <c r="N9" s="465" t="s">
        <v>425</v>
      </c>
      <c r="O9" s="468">
        <v>5.6999998161926343E-2</v>
      </c>
      <c r="P9" s="2"/>
      <c r="Q9" s="285">
        <v>1</v>
      </c>
      <c r="R9" s="106"/>
    </row>
    <row r="10" spans="2:18" ht="17.25" x14ac:dyDescent="0.25">
      <c r="B10" s="105"/>
      <c r="C10" s="4" t="s">
        <v>0</v>
      </c>
      <c r="D10" s="2" t="s">
        <v>79</v>
      </c>
      <c r="E10" s="2" t="s">
        <v>64</v>
      </c>
      <c r="F10" s="2" t="s">
        <v>8</v>
      </c>
      <c r="G10" s="571" t="s">
        <v>514</v>
      </c>
      <c r="H10" s="2" t="s">
        <v>546</v>
      </c>
      <c r="I10" s="571" t="s">
        <v>547</v>
      </c>
      <c r="J10" s="2" t="s">
        <v>69</v>
      </c>
      <c r="K10" s="2"/>
      <c r="L10" s="466" t="s">
        <v>335</v>
      </c>
      <c r="M10" s="466" t="s">
        <v>335</v>
      </c>
      <c r="N10" s="465" t="s">
        <v>425</v>
      </c>
      <c r="O10" s="468">
        <v>0.14000000235296001</v>
      </c>
      <c r="P10" s="2"/>
      <c r="Q10" s="285">
        <v>2</v>
      </c>
      <c r="R10" s="106"/>
    </row>
    <row r="11" spans="2:18" ht="17.25" x14ac:dyDescent="0.25">
      <c r="B11" s="105"/>
      <c r="C11" s="4" t="s">
        <v>39</v>
      </c>
      <c r="D11" s="2" t="s">
        <v>79</v>
      </c>
      <c r="E11" s="2" t="s">
        <v>63</v>
      </c>
      <c r="F11" s="2" t="s">
        <v>8</v>
      </c>
      <c r="G11" s="571" t="s">
        <v>514</v>
      </c>
      <c r="H11" s="2" t="s">
        <v>546</v>
      </c>
      <c r="I11" s="571" t="s">
        <v>547</v>
      </c>
      <c r="J11" s="2" t="s">
        <v>76</v>
      </c>
      <c r="K11" s="2"/>
      <c r="L11" s="466" t="s">
        <v>335</v>
      </c>
      <c r="M11" s="466" t="s">
        <v>335</v>
      </c>
      <c r="N11" s="465" t="s">
        <v>426</v>
      </c>
      <c r="O11" s="468">
        <v>8.5025484621212399E-2</v>
      </c>
      <c r="P11" s="2" t="s">
        <v>414</v>
      </c>
      <c r="Q11" s="285">
        <v>3</v>
      </c>
      <c r="R11" s="106"/>
    </row>
    <row r="12" spans="2:18" ht="17.25" x14ac:dyDescent="0.25">
      <c r="B12" s="105"/>
      <c r="C12" s="4" t="s">
        <v>40</v>
      </c>
      <c r="D12" s="2" t="s">
        <v>80</v>
      </c>
      <c r="E12" s="2" t="s">
        <v>63</v>
      </c>
      <c r="F12" s="2" t="s">
        <v>8</v>
      </c>
      <c r="G12" s="571" t="s">
        <v>514</v>
      </c>
      <c r="H12" s="2" t="s">
        <v>546</v>
      </c>
      <c r="I12" s="571" t="s">
        <v>547</v>
      </c>
      <c r="J12" s="2" t="s">
        <v>45</v>
      </c>
      <c r="K12" s="2"/>
      <c r="L12" s="466" t="s">
        <v>335</v>
      </c>
      <c r="M12" s="2" t="s">
        <v>131</v>
      </c>
      <c r="N12" s="465" t="s">
        <v>428</v>
      </c>
      <c r="O12" s="468" t="s">
        <v>131</v>
      </c>
      <c r="P12" s="2"/>
      <c r="Q12" s="285">
        <v>4</v>
      </c>
      <c r="R12" s="106"/>
    </row>
    <row r="13" spans="2:18" ht="17.25" x14ac:dyDescent="0.25">
      <c r="B13" s="105"/>
      <c r="C13" s="4" t="s">
        <v>38</v>
      </c>
      <c r="D13" s="2" t="s">
        <v>79</v>
      </c>
      <c r="E13" s="2" t="s">
        <v>65</v>
      </c>
      <c r="F13" s="2" t="s">
        <v>8</v>
      </c>
      <c r="G13" s="571" t="s">
        <v>514</v>
      </c>
      <c r="H13" s="2" t="s">
        <v>546</v>
      </c>
      <c r="I13" s="571" t="s">
        <v>547</v>
      </c>
      <c r="J13" s="2" t="s">
        <v>68</v>
      </c>
      <c r="K13" s="2"/>
      <c r="L13" s="466" t="s">
        <v>335</v>
      </c>
      <c r="M13" s="466" t="s">
        <v>335</v>
      </c>
      <c r="N13" s="465" t="s">
        <v>426</v>
      </c>
      <c r="O13" s="468">
        <v>9.7965107245756355E-2</v>
      </c>
      <c r="P13" s="2"/>
      <c r="Q13" s="285">
        <v>5</v>
      </c>
      <c r="R13" s="106"/>
    </row>
    <row r="14" spans="2:18" ht="17.25" x14ac:dyDescent="0.25">
      <c r="B14" s="105"/>
      <c r="C14" s="4" t="s">
        <v>89</v>
      </c>
      <c r="D14" s="2" t="s">
        <v>79</v>
      </c>
      <c r="E14" s="2" t="s">
        <v>65</v>
      </c>
      <c r="F14" s="2" t="s">
        <v>8</v>
      </c>
      <c r="G14" s="122" t="s">
        <v>514</v>
      </c>
      <c r="H14" s="577" t="s">
        <v>596</v>
      </c>
      <c r="I14" s="577" t="s">
        <v>547</v>
      </c>
      <c r="J14" s="2" t="s">
        <v>46</v>
      </c>
      <c r="K14" s="2" t="s">
        <v>241</v>
      </c>
      <c r="L14" s="466" t="s">
        <v>335</v>
      </c>
      <c r="M14" s="466" t="s">
        <v>335</v>
      </c>
      <c r="N14" s="465" t="s">
        <v>398</v>
      </c>
      <c r="O14" s="468">
        <v>5.1651565402323088E-2</v>
      </c>
      <c r="P14" s="2"/>
      <c r="Q14" s="285">
        <v>6</v>
      </c>
      <c r="R14" s="106"/>
    </row>
    <row r="15" spans="2:18" ht="17.25" x14ac:dyDescent="0.25">
      <c r="B15" s="105"/>
      <c r="C15" s="4" t="s">
        <v>9</v>
      </c>
      <c r="D15" s="2" t="s">
        <v>79</v>
      </c>
      <c r="E15" s="2" t="s">
        <v>64</v>
      </c>
      <c r="F15" s="2" t="s">
        <v>8</v>
      </c>
      <c r="G15" s="571" t="s">
        <v>514</v>
      </c>
      <c r="H15" s="2" t="s">
        <v>546</v>
      </c>
      <c r="I15" s="571" t="s">
        <v>547</v>
      </c>
      <c r="J15" s="2" t="s">
        <v>73</v>
      </c>
      <c r="K15" s="2"/>
      <c r="L15" s="466" t="s">
        <v>335</v>
      </c>
      <c r="M15" s="466" t="s">
        <v>335</v>
      </c>
      <c r="N15" s="465" t="s">
        <v>397</v>
      </c>
      <c r="O15" s="468">
        <v>0.14380000000000001</v>
      </c>
      <c r="P15" s="2"/>
      <c r="Q15" s="285">
        <v>7</v>
      </c>
      <c r="R15" s="106"/>
    </row>
    <row r="16" spans="2:18" ht="17.25" x14ac:dyDescent="0.25">
      <c r="B16" s="105"/>
      <c r="C16" s="4" t="s">
        <v>18</v>
      </c>
      <c r="D16" s="2" t="s">
        <v>80</v>
      </c>
      <c r="E16" s="2" t="s">
        <v>63</v>
      </c>
      <c r="F16" s="2" t="s">
        <v>421</v>
      </c>
      <c r="G16" s="571" t="s">
        <v>515</v>
      </c>
      <c r="H16" s="2" t="s">
        <v>80</v>
      </c>
      <c r="I16" s="2" t="s">
        <v>80</v>
      </c>
      <c r="J16" s="2" t="s">
        <v>50</v>
      </c>
      <c r="K16" s="2"/>
      <c r="L16" s="466" t="s">
        <v>335</v>
      </c>
      <c r="M16" s="2" t="s">
        <v>131</v>
      </c>
      <c r="N16" s="465" t="s">
        <v>398</v>
      </c>
      <c r="O16" s="468">
        <v>0.03</v>
      </c>
      <c r="P16" s="2"/>
      <c r="Q16" s="285">
        <v>8</v>
      </c>
      <c r="R16" s="106"/>
    </row>
    <row r="17" spans="2:20" ht="17.25" x14ac:dyDescent="0.25">
      <c r="B17" s="105"/>
      <c r="C17" s="4" t="s">
        <v>41</v>
      </c>
      <c r="D17" s="2" t="s">
        <v>79</v>
      </c>
      <c r="E17" s="2" t="s">
        <v>67</v>
      </c>
      <c r="F17" s="2" t="s">
        <v>8</v>
      </c>
      <c r="G17" s="571" t="s">
        <v>514</v>
      </c>
      <c r="H17" s="2" t="s">
        <v>546</v>
      </c>
      <c r="I17" s="571" t="s">
        <v>547</v>
      </c>
      <c r="J17" s="2" t="s">
        <v>70</v>
      </c>
      <c r="K17" s="2"/>
      <c r="L17" s="466" t="s">
        <v>335</v>
      </c>
      <c r="M17" s="466" t="s">
        <v>335</v>
      </c>
      <c r="N17" s="465" t="s">
        <v>426</v>
      </c>
      <c r="O17" s="468">
        <v>9.117206771726628E-3</v>
      </c>
      <c r="P17" s="2"/>
      <c r="Q17" s="285">
        <v>9</v>
      </c>
      <c r="R17" s="106"/>
    </row>
    <row r="18" spans="2:20" ht="90" x14ac:dyDescent="0.25">
      <c r="B18" s="105"/>
      <c r="C18" s="4" t="s">
        <v>42</v>
      </c>
      <c r="D18" s="2" t="s">
        <v>79</v>
      </c>
      <c r="E18" s="2" t="s">
        <v>63</v>
      </c>
      <c r="F18" s="2" t="s">
        <v>8</v>
      </c>
      <c r="G18" s="571" t="s">
        <v>514</v>
      </c>
      <c r="H18" s="2" t="s">
        <v>546</v>
      </c>
      <c r="I18" s="573" t="s">
        <v>548</v>
      </c>
      <c r="J18" s="2" t="s">
        <v>75</v>
      </c>
      <c r="K18" s="2"/>
      <c r="L18" s="466" t="s">
        <v>335</v>
      </c>
      <c r="M18" s="466" t="s">
        <v>335</v>
      </c>
      <c r="N18" s="465" t="s">
        <v>426</v>
      </c>
      <c r="O18" s="468">
        <v>0.16080402010050251</v>
      </c>
      <c r="P18" s="2"/>
      <c r="Q18" s="285">
        <v>10</v>
      </c>
      <c r="R18" s="106"/>
    </row>
    <row r="19" spans="2:20" ht="17.25" x14ac:dyDescent="0.25">
      <c r="B19" s="105"/>
      <c r="C19" s="4" t="s">
        <v>43</v>
      </c>
      <c r="D19" s="2" t="s">
        <v>80</v>
      </c>
      <c r="E19" s="2" t="s">
        <v>67</v>
      </c>
      <c r="F19" s="2" t="s">
        <v>8</v>
      </c>
      <c r="G19" s="571" t="s">
        <v>514</v>
      </c>
      <c r="H19" s="2" t="s">
        <v>546</v>
      </c>
      <c r="I19" s="571" t="s">
        <v>547</v>
      </c>
      <c r="J19" s="2" t="s">
        <v>77</v>
      </c>
      <c r="K19" s="2"/>
      <c r="L19" s="466" t="s">
        <v>335</v>
      </c>
      <c r="M19" s="466" t="s">
        <v>335</v>
      </c>
      <c r="N19" s="465" t="s">
        <v>398</v>
      </c>
      <c r="O19" s="468">
        <v>1.1489405791845828E-2</v>
      </c>
      <c r="P19" s="2"/>
      <c r="Q19" s="285">
        <v>11</v>
      </c>
      <c r="R19" s="106"/>
    </row>
    <row r="20" spans="2:20" ht="17.25" x14ac:dyDescent="0.25">
      <c r="B20" s="105"/>
      <c r="C20" s="4" t="s">
        <v>71</v>
      </c>
      <c r="D20" s="2" t="s">
        <v>80</v>
      </c>
      <c r="E20" s="2" t="s">
        <v>64</v>
      </c>
      <c r="F20" s="2" t="s">
        <v>422</v>
      </c>
      <c r="G20" s="2" t="s">
        <v>516</v>
      </c>
      <c r="H20" s="2" t="s">
        <v>549</v>
      </c>
      <c r="I20" s="2" t="s">
        <v>550</v>
      </c>
      <c r="J20" s="2" t="s">
        <v>78</v>
      </c>
      <c r="K20" s="2"/>
      <c r="L20" s="466" t="s">
        <v>335</v>
      </c>
      <c r="M20" s="466" t="s">
        <v>335</v>
      </c>
      <c r="N20" s="465" t="s">
        <v>397</v>
      </c>
      <c r="O20" s="468">
        <v>5.1000000000000004E-2</v>
      </c>
      <c r="P20" s="2"/>
      <c r="Q20" s="285">
        <v>12</v>
      </c>
      <c r="R20" s="106"/>
    </row>
    <row r="21" spans="2:20" ht="17.25" x14ac:dyDescent="0.25">
      <c r="B21" s="105"/>
      <c r="C21" s="4" t="s">
        <v>19</v>
      </c>
      <c r="D21" s="2" t="s">
        <v>79</v>
      </c>
      <c r="E21" s="2" t="s">
        <v>66</v>
      </c>
      <c r="F21" s="2" t="s">
        <v>11</v>
      </c>
      <c r="G21" s="571" t="s">
        <v>520</v>
      </c>
      <c r="H21" s="2" t="s">
        <v>549</v>
      </c>
      <c r="I21" s="571" t="s">
        <v>551</v>
      </c>
      <c r="J21" s="2" t="s">
        <v>78</v>
      </c>
      <c r="K21" s="2"/>
      <c r="L21" s="466" t="s">
        <v>335</v>
      </c>
      <c r="M21" s="466" t="s">
        <v>335</v>
      </c>
      <c r="N21" s="465" t="s">
        <v>432</v>
      </c>
      <c r="O21" s="468">
        <v>0.11141913554582343</v>
      </c>
      <c r="P21" s="2" t="s">
        <v>415</v>
      </c>
      <c r="Q21" s="285">
        <v>13</v>
      </c>
      <c r="R21" s="106"/>
    </row>
    <row r="22" spans="2:20" ht="90" x14ac:dyDescent="0.25">
      <c r="B22" s="105"/>
      <c r="C22" s="4" t="s">
        <v>90</v>
      </c>
      <c r="D22" s="2" t="s">
        <v>79</v>
      </c>
      <c r="E22" s="2" t="s">
        <v>65</v>
      </c>
      <c r="F22" s="2" t="s">
        <v>11</v>
      </c>
      <c r="G22" s="571" t="s">
        <v>518</v>
      </c>
      <c r="H22" s="2" t="s">
        <v>546</v>
      </c>
      <c r="I22" s="573" t="s">
        <v>552</v>
      </c>
      <c r="J22" s="2" t="s">
        <v>46</v>
      </c>
      <c r="K22" s="2" t="s">
        <v>241</v>
      </c>
      <c r="L22" s="466" t="s">
        <v>335</v>
      </c>
      <c r="M22" s="466" t="s">
        <v>335</v>
      </c>
      <c r="N22" s="465" t="s">
        <v>426</v>
      </c>
      <c r="O22" s="468">
        <v>2.2129090603182095E-3</v>
      </c>
      <c r="P22" s="2" t="s">
        <v>416</v>
      </c>
      <c r="Q22" s="285">
        <v>14</v>
      </c>
      <c r="R22" s="106"/>
    </row>
    <row r="23" spans="2:20" ht="17.25" x14ac:dyDescent="0.25">
      <c r="B23" s="105"/>
      <c r="C23" s="4" t="s">
        <v>35</v>
      </c>
      <c r="D23" s="2" t="s">
        <v>80</v>
      </c>
      <c r="E23" s="2" t="s">
        <v>64</v>
      </c>
      <c r="F23" s="2" t="s">
        <v>423</v>
      </c>
      <c r="G23" s="2" t="s">
        <v>517</v>
      </c>
      <c r="H23" s="2" t="s">
        <v>550</v>
      </c>
      <c r="I23" s="2" t="s">
        <v>550</v>
      </c>
      <c r="J23" s="2" t="s">
        <v>78</v>
      </c>
      <c r="K23" s="2"/>
      <c r="L23" s="466" t="s">
        <v>335</v>
      </c>
      <c r="M23" s="466" t="s">
        <v>335</v>
      </c>
      <c r="N23" s="465" t="s">
        <v>397</v>
      </c>
      <c r="O23" s="468">
        <v>1.8823528000000003E-2</v>
      </c>
      <c r="P23" s="2"/>
      <c r="Q23" s="285">
        <v>15</v>
      </c>
      <c r="R23" s="106"/>
    </row>
    <row r="24" spans="2:20" ht="90" x14ac:dyDescent="0.25">
      <c r="B24" s="105"/>
      <c r="C24" s="4" t="s">
        <v>271</v>
      </c>
      <c r="D24" s="2" t="s">
        <v>79</v>
      </c>
      <c r="E24" s="2" t="s">
        <v>65</v>
      </c>
      <c r="F24" s="2" t="s">
        <v>8</v>
      </c>
      <c r="G24" s="571" t="s">
        <v>514</v>
      </c>
      <c r="H24" s="2" t="s">
        <v>546</v>
      </c>
      <c r="I24" s="573" t="s">
        <v>553</v>
      </c>
      <c r="J24" s="2" t="s">
        <v>45</v>
      </c>
      <c r="K24" s="2"/>
      <c r="L24" s="466" t="s">
        <v>335</v>
      </c>
      <c r="M24" s="466" t="s">
        <v>335</v>
      </c>
      <c r="N24" s="465" t="s">
        <v>433</v>
      </c>
      <c r="O24" s="468" t="s">
        <v>131</v>
      </c>
      <c r="P24" s="2"/>
      <c r="Q24" s="285">
        <v>16</v>
      </c>
      <c r="R24" s="106"/>
    </row>
    <row r="25" spans="2:20" ht="17.25" x14ac:dyDescent="0.25">
      <c r="B25" s="105"/>
      <c r="C25" s="4" t="s">
        <v>306</v>
      </c>
      <c r="D25" s="2" t="s">
        <v>79</v>
      </c>
      <c r="E25" s="2" t="s">
        <v>66</v>
      </c>
      <c r="F25" s="2" t="s">
        <v>424</v>
      </c>
      <c r="G25" s="2" t="s">
        <v>554</v>
      </c>
      <c r="H25" s="2" t="s">
        <v>549</v>
      </c>
      <c r="I25" s="571" t="s">
        <v>555</v>
      </c>
      <c r="J25" s="2" t="s">
        <v>69</v>
      </c>
      <c r="K25" s="2"/>
      <c r="L25" s="466" t="s">
        <v>335</v>
      </c>
      <c r="M25" s="466" t="s">
        <v>335</v>
      </c>
      <c r="N25" s="465" t="s">
        <v>426</v>
      </c>
      <c r="O25" s="468">
        <v>2.7864956399278339E-2</v>
      </c>
      <c r="P25" s="2"/>
      <c r="Q25" s="285">
        <v>17</v>
      </c>
      <c r="R25" s="106"/>
    </row>
    <row r="26" spans="2:20" ht="90" x14ac:dyDescent="0.25">
      <c r="B26" s="105"/>
      <c r="C26" s="4" t="s">
        <v>391</v>
      </c>
      <c r="D26" s="2" t="s">
        <v>79</v>
      </c>
      <c r="E26" s="2" t="s">
        <v>65</v>
      </c>
      <c r="F26" s="2" t="s">
        <v>8</v>
      </c>
      <c r="G26" s="571" t="s">
        <v>514</v>
      </c>
      <c r="H26" s="2" t="s">
        <v>546</v>
      </c>
      <c r="I26" s="573" t="s">
        <v>556</v>
      </c>
      <c r="J26" s="2" t="s">
        <v>68</v>
      </c>
      <c r="K26" s="2"/>
      <c r="L26" s="466" t="s">
        <v>335</v>
      </c>
      <c r="M26" s="466" t="s">
        <v>335</v>
      </c>
      <c r="N26" s="465" t="s">
        <v>426</v>
      </c>
      <c r="O26" s="468">
        <v>6.2621982517370271E-3</v>
      </c>
      <c r="P26" s="2"/>
      <c r="Q26" s="285">
        <v>24</v>
      </c>
      <c r="R26" s="106"/>
    </row>
    <row r="27" spans="2:20" ht="90" x14ac:dyDescent="0.25">
      <c r="B27" s="105"/>
      <c r="C27" s="4" t="s">
        <v>461</v>
      </c>
      <c r="D27" s="2" t="s">
        <v>79</v>
      </c>
      <c r="E27" s="2" t="s">
        <v>65</v>
      </c>
      <c r="F27" s="2" t="s">
        <v>8</v>
      </c>
      <c r="G27" s="571" t="s">
        <v>514</v>
      </c>
      <c r="H27" s="2" t="s">
        <v>546</v>
      </c>
      <c r="I27" s="573" t="s">
        <v>557</v>
      </c>
      <c r="J27" s="2" t="s">
        <v>464</v>
      </c>
      <c r="K27" s="2"/>
      <c r="L27" s="466" t="s">
        <v>335</v>
      </c>
      <c r="M27" s="466" t="s">
        <v>467</v>
      </c>
      <c r="N27" s="465" t="s">
        <v>466</v>
      </c>
      <c r="O27" s="468">
        <v>6.2500000000000003E-3</v>
      </c>
      <c r="P27" s="2"/>
      <c r="Q27" s="285">
        <v>25</v>
      </c>
      <c r="R27" s="106"/>
      <c r="T27" s="26" t="s">
        <v>525</v>
      </c>
    </row>
    <row r="28" spans="2:20" ht="90" x14ac:dyDescent="0.25">
      <c r="B28" s="105"/>
      <c r="C28" s="4" t="s">
        <v>473</v>
      </c>
      <c r="D28" s="2" t="s">
        <v>79</v>
      </c>
      <c r="E28" s="2" t="s">
        <v>63</v>
      </c>
      <c r="F28" s="2" t="s">
        <v>8</v>
      </c>
      <c r="G28" s="571" t="s">
        <v>514</v>
      </c>
      <c r="H28" s="2" t="s">
        <v>546</v>
      </c>
      <c r="I28" s="573" t="s">
        <v>558</v>
      </c>
      <c r="J28" s="2" t="s">
        <v>69</v>
      </c>
      <c r="K28" s="2"/>
      <c r="L28" s="466" t="s">
        <v>335</v>
      </c>
      <c r="M28" s="466" t="s">
        <v>335</v>
      </c>
      <c r="N28" s="465" t="s">
        <v>606</v>
      </c>
      <c r="O28" s="468">
        <f>'6. %'!F28</f>
        <v>0.11483735948644427</v>
      </c>
      <c r="P28" s="2"/>
      <c r="Q28" s="285">
        <v>26</v>
      </c>
      <c r="R28" s="106"/>
      <c r="T28" s="26" t="s">
        <v>69</v>
      </c>
    </row>
    <row r="29" spans="2:20" x14ac:dyDescent="0.25">
      <c r="B29" s="105"/>
      <c r="C29" s="4" t="s">
        <v>522</v>
      </c>
      <c r="D29" s="2" t="s">
        <v>79</v>
      </c>
      <c r="E29" s="2" t="s">
        <v>523</v>
      </c>
      <c r="F29" s="2" t="s">
        <v>524</v>
      </c>
      <c r="G29" s="571" t="s">
        <v>604</v>
      </c>
      <c r="H29" s="2"/>
      <c r="I29" s="573"/>
      <c r="J29" s="2" t="s">
        <v>525</v>
      </c>
      <c r="K29" s="2"/>
      <c r="L29" s="466" t="s">
        <v>335</v>
      </c>
      <c r="M29" s="466" t="s">
        <v>605</v>
      </c>
      <c r="N29" s="465" t="s">
        <v>433</v>
      </c>
      <c r="O29" s="468">
        <v>0.25</v>
      </c>
      <c r="P29" s="2"/>
      <c r="Q29" s="285">
        <v>27</v>
      </c>
      <c r="R29" s="106"/>
    </row>
    <row r="30" spans="2:20" s="109" customFormat="1" x14ac:dyDescent="0.25">
      <c r="B30" s="107"/>
      <c r="C30" s="130"/>
      <c r="D30" s="130"/>
      <c r="E30" s="130"/>
      <c r="F30" s="130"/>
      <c r="G30" s="130"/>
      <c r="H30" s="130"/>
      <c r="I30" s="130"/>
      <c r="J30" s="130"/>
      <c r="K30" s="130"/>
      <c r="L30" s="467"/>
      <c r="M30" s="467"/>
      <c r="N30" s="467"/>
      <c r="O30" s="469"/>
      <c r="P30" s="130"/>
      <c r="Q30" s="286"/>
      <c r="R30" s="108"/>
    </row>
    <row r="31" spans="2:20" x14ac:dyDescent="0.25">
      <c r="B31" s="105"/>
      <c r="C31" s="5"/>
      <c r="D31" s="8"/>
      <c r="E31" s="8"/>
      <c r="F31" s="8"/>
      <c r="G31" s="8"/>
      <c r="H31" s="8"/>
      <c r="I31" s="8"/>
      <c r="J31" s="8"/>
      <c r="K31" s="8"/>
      <c r="L31" s="8"/>
      <c r="M31" s="8"/>
      <c r="N31" s="8"/>
      <c r="O31" s="470"/>
      <c r="P31" s="8"/>
      <c r="Q31" s="284"/>
      <c r="R31" s="106"/>
    </row>
    <row r="32" spans="2:20" x14ac:dyDescent="0.25">
      <c r="B32" s="105"/>
      <c r="C32" s="16" t="s">
        <v>29</v>
      </c>
      <c r="D32" s="2"/>
      <c r="E32" s="2"/>
      <c r="F32" s="2"/>
      <c r="G32" s="2"/>
      <c r="H32" s="2"/>
      <c r="I32" s="2"/>
      <c r="J32" s="2"/>
      <c r="K32" s="2"/>
      <c r="L32" s="2"/>
      <c r="M32" s="2"/>
      <c r="N32" s="2"/>
      <c r="O32" s="468"/>
      <c r="P32" s="2"/>
      <c r="Q32" s="285"/>
      <c r="R32" s="106"/>
    </row>
    <row r="33" spans="2:18" ht="17.25" x14ac:dyDescent="0.25">
      <c r="B33" s="105"/>
      <c r="C33" s="4" t="s">
        <v>49</v>
      </c>
      <c r="D33" s="2" t="s">
        <v>137</v>
      </c>
      <c r="E33" s="2"/>
      <c r="F33" s="2" t="s">
        <v>8</v>
      </c>
      <c r="G33" s="571" t="s">
        <v>518</v>
      </c>
      <c r="H33" s="2" t="s">
        <v>546</v>
      </c>
      <c r="I33" s="571" t="s">
        <v>595</v>
      </c>
      <c r="J33" s="2" t="s">
        <v>133</v>
      </c>
      <c r="K33" s="2"/>
      <c r="L33" s="2" t="s">
        <v>131</v>
      </c>
      <c r="M33" s="2" t="s">
        <v>131</v>
      </c>
      <c r="N33" s="2" t="s">
        <v>131</v>
      </c>
      <c r="O33" s="468"/>
      <c r="P33" s="2"/>
      <c r="Q33" s="285">
        <v>16</v>
      </c>
      <c r="R33" s="106"/>
    </row>
    <row r="34" spans="2:18" ht="17.25" x14ac:dyDescent="0.25">
      <c r="B34" s="105"/>
      <c r="C34" s="4" t="s">
        <v>273</v>
      </c>
      <c r="D34" s="2" t="s">
        <v>137</v>
      </c>
      <c r="E34" s="2" t="s">
        <v>64</v>
      </c>
      <c r="F34" s="2" t="s">
        <v>8</v>
      </c>
      <c r="G34" s="571" t="s">
        <v>514</v>
      </c>
      <c r="H34" s="2" t="s">
        <v>546</v>
      </c>
      <c r="I34" s="571" t="s">
        <v>595</v>
      </c>
      <c r="J34" s="2" t="s">
        <v>135</v>
      </c>
      <c r="K34" s="2"/>
      <c r="L34" s="466" t="s">
        <v>335</v>
      </c>
      <c r="M34" s="466" t="s">
        <v>335</v>
      </c>
      <c r="N34" s="2" t="str">
        <f>N10</f>
        <v>Cayman Islands</v>
      </c>
      <c r="O34" s="468"/>
      <c r="P34" s="2"/>
      <c r="Q34" s="285">
        <v>17</v>
      </c>
      <c r="R34" s="106"/>
    </row>
    <row r="35" spans="2:18" ht="17.25" x14ac:dyDescent="0.25">
      <c r="B35" s="105"/>
      <c r="C35" s="4" t="s">
        <v>265</v>
      </c>
      <c r="D35" s="2" t="s">
        <v>79</v>
      </c>
      <c r="E35" s="2" t="s">
        <v>63</v>
      </c>
      <c r="F35" s="2" t="s">
        <v>8</v>
      </c>
      <c r="G35" s="571" t="s">
        <v>514</v>
      </c>
      <c r="H35" s="2" t="s">
        <v>546</v>
      </c>
      <c r="I35" s="571" t="s">
        <v>595</v>
      </c>
      <c r="J35" s="2" t="s">
        <v>135</v>
      </c>
      <c r="K35" s="2"/>
      <c r="L35" s="466" t="s">
        <v>335</v>
      </c>
      <c r="M35" s="2" t="s">
        <v>131</v>
      </c>
      <c r="N35" s="2" t="str">
        <f>N12</f>
        <v xml:space="preserve">DIFC </v>
      </c>
      <c r="O35" s="468"/>
      <c r="P35" s="2"/>
      <c r="Q35" s="285">
        <v>18</v>
      </c>
      <c r="R35" s="106"/>
    </row>
    <row r="36" spans="2:18" s="109" customFormat="1" x14ac:dyDescent="0.25">
      <c r="B36" s="107"/>
      <c r="C36" s="130"/>
      <c r="D36" s="130"/>
      <c r="E36" s="130"/>
      <c r="F36" s="130"/>
      <c r="G36" s="130"/>
      <c r="H36" s="130"/>
      <c r="I36" s="130"/>
      <c r="J36" s="130"/>
      <c r="K36" s="130"/>
      <c r="L36" s="130"/>
      <c r="M36" s="130"/>
      <c r="N36" s="130"/>
      <c r="O36" s="469"/>
      <c r="P36" s="130"/>
      <c r="Q36" s="286"/>
      <c r="R36" s="108"/>
    </row>
    <row r="37" spans="2:18" x14ac:dyDescent="0.25">
      <c r="B37" s="105"/>
      <c r="C37" s="5"/>
      <c r="D37" s="8"/>
      <c r="E37" s="8"/>
      <c r="F37" s="8"/>
      <c r="G37" s="8"/>
      <c r="H37" s="8"/>
      <c r="I37" s="8"/>
      <c r="J37" s="8"/>
      <c r="K37" s="8"/>
      <c r="L37" s="8"/>
      <c r="M37" s="8"/>
      <c r="N37" s="8"/>
      <c r="O37" s="470"/>
      <c r="P37" s="8"/>
      <c r="Q37" s="284"/>
      <c r="R37" s="106"/>
    </row>
    <row r="38" spans="2:18" x14ac:dyDescent="0.25">
      <c r="B38" s="105"/>
      <c r="C38" s="16" t="s">
        <v>30</v>
      </c>
      <c r="D38" s="2"/>
      <c r="E38" s="2"/>
      <c r="F38" s="2"/>
      <c r="G38" s="2"/>
      <c r="H38" s="2"/>
      <c r="I38" s="2"/>
      <c r="J38" s="2"/>
      <c r="K38" s="2"/>
      <c r="L38" s="2"/>
      <c r="M38" s="2"/>
      <c r="N38" s="2"/>
      <c r="O38" s="468"/>
      <c r="P38" s="2"/>
      <c r="Q38" s="285"/>
      <c r="R38" s="106"/>
    </row>
    <row r="39" spans="2:18" ht="17.25" x14ac:dyDescent="0.25">
      <c r="B39" s="105"/>
      <c r="C39" s="4" t="s">
        <v>125</v>
      </c>
      <c r="D39" s="2" t="s">
        <v>79</v>
      </c>
      <c r="E39" s="2" t="s">
        <v>63</v>
      </c>
      <c r="F39" s="2" t="s">
        <v>11</v>
      </c>
      <c r="G39" s="571" t="s">
        <v>518</v>
      </c>
      <c r="H39" s="2" t="s">
        <v>546</v>
      </c>
      <c r="I39" s="571" t="s">
        <v>547</v>
      </c>
      <c r="J39" s="2" t="s">
        <v>55</v>
      </c>
      <c r="K39" s="2"/>
      <c r="L39" s="466" t="s">
        <v>335</v>
      </c>
      <c r="M39" s="466" t="s">
        <v>335</v>
      </c>
      <c r="N39" s="468" t="s">
        <v>442</v>
      </c>
      <c r="O39" s="472">
        <v>0.22044081593927894</v>
      </c>
      <c r="P39" s="2"/>
      <c r="Q39" s="285">
        <v>19</v>
      </c>
      <c r="R39" s="106"/>
    </row>
    <row r="40" spans="2:18" ht="17.25" x14ac:dyDescent="0.25">
      <c r="B40" s="105"/>
      <c r="C40" s="4" t="s">
        <v>390</v>
      </c>
      <c r="D40" s="2" t="s">
        <v>79</v>
      </c>
      <c r="E40" s="2" t="s">
        <v>63</v>
      </c>
      <c r="F40" s="2" t="s">
        <v>11</v>
      </c>
      <c r="G40" s="571" t="s">
        <v>518</v>
      </c>
      <c r="H40" s="2" t="s">
        <v>546</v>
      </c>
      <c r="I40" s="571" t="s">
        <v>547</v>
      </c>
      <c r="J40" s="2" t="s">
        <v>61</v>
      </c>
      <c r="K40" s="2"/>
      <c r="L40" s="466" t="s">
        <v>335</v>
      </c>
      <c r="M40" s="466" t="s">
        <v>335</v>
      </c>
      <c r="N40" s="468" t="s">
        <v>442</v>
      </c>
      <c r="O40" s="472">
        <v>2.0161290322580645E-2</v>
      </c>
      <c r="P40" s="2"/>
      <c r="Q40" s="285">
        <v>20</v>
      </c>
      <c r="R40" s="106"/>
    </row>
    <row r="41" spans="2:18" x14ac:dyDescent="0.25">
      <c r="B41" s="105"/>
      <c r="C41" s="4" t="s">
        <v>1</v>
      </c>
      <c r="D41" s="2" t="s">
        <v>79</v>
      </c>
      <c r="E41" s="2" t="s">
        <v>64</v>
      </c>
      <c r="F41" s="2" t="s">
        <v>11</v>
      </c>
      <c r="G41" s="571" t="s">
        <v>519</v>
      </c>
      <c r="H41" s="2" t="s">
        <v>549</v>
      </c>
      <c r="I41" s="571" t="s">
        <v>550</v>
      </c>
      <c r="J41" s="2" t="s">
        <v>55</v>
      </c>
      <c r="K41" s="2"/>
      <c r="L41" s="2" t="s">
        <v>131</v>
      </c>
      <c r="M41" s="466" t="s">
        <v>335</v>
      </c>
      <c r="N41" s="468" t="s">
        <v>425</v>
      </c>
      <c r="O41" s="468">
        <v>0.99499999897183333</v>
      </c>
      <c r="P41" s="2"/>
      <c r="Q41" s="285">
        <v>21</v>
      </c>
      <c r="R41" s="106"/>
    </row>
    <row r="42" spans="2:18" ht="17.25" x14ac:dyDescent="0.25">
      <c r="B42" s="105"/>
      <c r="C42" s="4" t="s">
        <v>12</v>
      </c>
      <c r="D42" s="2" t="s">
        <v>79</v>
      </c>
      <c r="E42" s="2" t="s">
        <v>64</v>
      </c>
      <c r="F42" s="2" t="s">
        <v>11</v>
      </c>
      <c r="G42" s="571" t="s">
        <v>518</v>
      </c>
      <c r="H42" s="2" t="s">
        <v>546</v>
      </c>
      <c r="I42" s="571" t="s">
        <v>547</v>
      </c>
      <c r="J42" s="2" t="s">
        <v>55</v>
      </c>
      <c r="K42" s="2"/>
      <c r="L42" s="466" t="s">
        <v>335</v>
      </c>
      <c r="M42" s="466" t="s">
        <v>335</v>
      </c>
      <c r="N42" s="468" t="s">
        <v>425</v>
      </c>
      <c r="O42" s="468">
        <v>0.10066090487405174</v>
      </c>
      <c r="P42" s="2"/>
      <c r="Q42" s="285">
        <v>22</v>
      </c>
      <c r="R42" s="106"/>
    </row>
    <row r="43" spans="2:18" ht="17.25" x14ac:dyDescent="0.25">
      <c r="B43" s="105"/>
      <c r="C43" s="4" t="s">
        <v>176</v>
      </c>
      <c r="D43" s="2" t="s">
        <v>79</v>
      </c>
      <c r="E43" s="2" t="s">
        <v>65</v>
      </c>
      <c r="F43" s="2" t="s">
        <v>11</v>
      </c>
      <c r="G43" s="571" t="s">
        <v>518</v>
      </c>
      <c r="H43" s="2" t="s">
        <v>546</v>
      </c>
      <c r="I43" s="571" t="s">
        <v>547</v>
      </c>
      <c r="J43" s="2" t="s">
        <v>55</v>
      </c>
      <c r="K43" s="2"/>
      <c r="L43" s="466" t="s">
        <v>335</v>
      </c>
      <c r="M43" s="466" t="s">
        <v>335</v>
      </c>
      <c r="N43" s="468" t="s">
        <v>440</v>
      </c>
      <c r="O43" s="468">
        <v>0.33333333333333331</v>
      </c>
      <c r="P43" s="2" t="s">
        <v>392</v>
      </c>
      <c r="Q43" s="285">
        <v>23</v>
      </c>
      <c r="R43" s="106"/>
    </row>
    <row r="44" spans="2:18" s="109" customFormat="1" x14ac:dyDescent="0.25">
      <c r="B44" s="107"/>
      <c r="C44" s="130"/>
      <c r="D44" s="130"/>
      <c r="E44" s="130"/>
      <c r="F44" s="130"/>
      <c r="G44" s="130"/>
      <c r="H44" s="130"/>
      <c r="I44" s="130"/>
      <c r="J44" s="130"/>
      <c r="K44" s="130"/>
      <c r="L44" s="130"/>
      <c r="M44" s="130"/>
      <c r="N44" s="130"/>
      <c r="O44" s="469"/>
      <c r="P44" s="130"/>
      <c r="Q44" s="286"/>
      <c r="R44" s="108"/>
    </row>
    <row r="45" spans="2:18" ht="15.75" thickBot="1" x14ac:dyDescent="0.3">
      <c r="B45" s="110"/>
      <c r="C45" s="111"/>
      <c r="D45" s="153"/>
      <c r="E45" s="153"/>
      <c r="F45" s="153"/>
      <c r="G45" s="153"/>
      <c r="H45" s="153"/>
      <c r="I45" s="153"/>
      <c r="J45" s="153"/>
      <c r="K45" s="153"/>
      <c r="L45" s="153"/>
      <c r="M45" s="153"/>
      <c r="N45" s="153"/>
      <c r="O45" s="153"/>
      <c r="P45" s="153"/>
      <c r="Q45" s="153"/>
      <c r="R45" s="114"/>
    </row>
    <row r="47" spans="2:18" x14ac:dyDescent="0.25">
      <c r="B47" s="294" t="s">
        <v>154</v>
      </c>
      <c r="C47" s="26"/>
      <c r="D47" s="7"/>
      <c r="E47" s="7"/>
      <c r="F47" s="7"/>
      <c r="G47" s="7"/>
      <c r="H47" s="7"/>
      <c r="I47" s="7"/>
      <c r="J47" s="7"/>
      <c r="K47" s="7"/>
      <c r="L47" s="7"/>
      <c r="M47" s="7"/>
      <c r="N47" s="7"/>
      <c r="O47" s="7"/>
      <c r="P47" s="7"/>
      <c r="Q47" s="7"/>
    </row>
    <row r="48" spans="2:18" x14ac:dyDescent="0.25">
      <c r="B48" s="289">
        <v>1</v>
      </c>
      <c r="C48" s="290" t="s">
        <v>251</v>
      </c>
      <c r="D48" s="598" t="s">
        <v>259</v>
      </c>
      <c r="E48" s="598"/>
      <c r="F48" s="598"/>
      <c r="G48" s="598"/>
      <c r="H48" s="598"/>
      <c r="I48" s="598"/>
      <c r="J48" s="598"/>
      <c r="K48" s="598"/>
      <c r="L48" s="598"/>
      <c r="M48" s="598"/>
      <c r="N48" s="598"/>
      <c r="O48" s="598"/>
      <c r="P48" s="598"/>
      <c r="Q48" s="598"/>
      <c r="R48" s="598"/>
    </row>
    <row r="49" spans="2:18" x14ac:dyDescent="0.25">
      <c r="B49" s="293">
        <v>2</v>
      </c>
      <c r="C49" s="292" t="s">
        <v>60</v>
      </c>
      <c r="D49" s="599" t="s">
        <v>444</v>
      </c>
      <c r="E49" s="599"/>
      <c r="F49" s="599"/>
      <c r="G49" s="599"/>
      <c r="H49" s="599"/>
      <c r="I49" s="599"/>
      <c r="J49" s="599"/>
      <c r="K49" s="599"/>
      <c r="L49" s="599"/>
      <c r="M49" s="599"/>
      <c r="N49" s="599"/>
      <c r="O49" s="599"/>
      <c r="P49" s="599"/>
      <c r="Q49" s="599"/>
      <c r="R49" s="599"/>
    </row>
    <row r="50" spans="2:18" s="27" customFormat="1" x14ac:dyDescent="0.25">
      <c r="B50" s="289">
        <v>3</v>
      </c>
      <c r="C50" s="223" t="s">
        <v>253</v>
      </c>
      <c r="D50" s="598" t="s">
        <v>258</v>
      </c>
      <c r="E50" s="598"/>
      <c r="F50" s="598"/>
      <c r="G50" s="598"/>
      <c r="H50" s="598"/>
      <c r="I50" s="598"/>
      <c r="J50" s="598"/>
      <c r="K50" s="598"/>
      <c r="L50" s="598"/>
      <c r="M50" s="598"/>
      <c r="N50" s="598"/>
      <c r="O50" s="598"/>
      <c r="P50" s="598"/>
      <c r="Q50" s="598"/>
      <c r="R50" s="598"/>
    </row>
    <row r="51" spans="2:18" ht="52.5" customHeight="1" x14ac:dyDescent="0.25">
      <c r="B51" s="293">
        <v>4</v>
      </c>
      <c r="C51" s="292" t="s">
        <v>252</v>
      </c>
      <c r="D51" s="599" t="s">
        <v>364</v>
      </c>
      <c r="E51" s="599"/>
      <c r="F51" s="599"/>
      <c r="G51" s="599"/>
      <c r="H51" s="599"/>
      <c r="I51" s="599"/>
      <c r="J51" s="599"/>
      <c r="K51" s="599"/>
      <c r="L51" s="599"/>
      <c r="M51" s="599"/>
      <c r="N51" s="599"/>
      <c r="O51" s="599"/>
      <c r="P51" s="599"/>
      <c r="Q51" s="599"/>
      <c r="R51" s="599"/>
    </row>
    <row r="52" spans="2:18" x14ac:dyDescent="0.25">
      <c r="B52" s="289">
        <v>5</v>
      </c>
      <c r="C52" s="223" t="s">
        <v>38</v>
      </c>
      <c r="D52" s="598" t="s">
        <v>262</v>
      </c>
      <c r="E52" s="598"/>
      <c r="F52" s="598"/>
      <c r="G52" s="598"/>
      <c r="H52" s="598"/>
      <c r="I52" s="598"/>
      <c r="J52" s="598"/>
      <c r="K52" s="598"/>
      <c r="L52" s="598"/>
      <c r="M52" s="598"/>
      <c r="N52" s="598"/>
      <c r="O52" s="598"/>
      <c r="P52" s="598"/>
      <c r="Q52" s="598"/>
      <c r="R52" s="598"/>
    </row>
    <row r="53" spans="2:18" x14ac:dyDescent="0.25">
      <c r="B53" s="293">
        <v>6</v>
      </c>
      <c r="C53" s="292" t="s">
        <v>89</v>
      </c>
      <c r="D53" s="599" t="s">
        <v>407</v>
      </c>
      <c r="E53" s="599"/>
      <c r="F53" s="599"/>
      <c r="G53" s="599"/>
      <c r="H53" s="599"/>
      <c r="I53" s="599"/>
      <c r="J53" s="599"/>
      <c r="K53" s="599"/>
      <c r="L53" s="599"/>
      <c r="M53" s="599"/>
      <c r="N53" s="599"/>
      <c r="O53" s="599"/>
      <c r="P53" s="599"/>
      <c r="Q53" s="599"/>
      <c r="R53" s="599"/>
    </row>
    <row r="54" spans="2:18" ht="15" customHeight="1" x14ac:dyDescent="0.25">
      <c r="B54" s="289">
        <v>7</v>
      </c>
      <c r="C54" s="223" t="s">
        <v>9</v>
      </c>
      <c r="D54" s="598" t="s">
        <v>260</v>
      </c>
      <c r="E54" s="598"/>
      <c r="F54" s="598"/>
      <c r="G54" s="598"/>
      <c r="H54" s="598"/>
      <c r="I54" s="598"/>
      <c r="J54" s="598"/>
      <c r="K54" s="598"/>
      <c r="L54" s="598"/>
      <c r="M54" s="598"/>
      <c r="N54" s="598"/>
      <c r="O54" s="598"/>
      <c r="P54" s="598"/>
      <c r="Q54" s="598"/>
      <c r="R54" s="598"/>
    </row>
    <row r="55" spans="2:18" x14ac:dyDescent="0.25">
      <c r="B55" s="293">
        <v>8</v>
      </c>
      <c r="C55" s="292" t="s">
        <v>18</v>
      </c>
      <c r="D55" s="599" t="s">
        <v>257</v>
      </c>
      <c r="E55" s="599"/>
      <c r="F55" s="599"/>
      <c r="G55" s="599"/>
      <c r="H55" s="599"/>
      <c r="I55" s="599"/>
      <c r="J55" s="599"/>
      <c r="K55" s="599"/>
      <c r="L55" s="599"/>
      <c r="M55" s="599"/>
      <c r="N55" s="599"/>
      <c r="O55" s="599"/>
      <c r="P55" s="599"/>
      <c r="Q55" s="599"/>
      <c r="R55" s="599"/>
    </row>
    <row r="56" spans="2:18" ht="15" customHeight="1" x14ac:dyDescent="0.25">
      <c r="B56" s="289">
        <v>9</v>
      </c>
      <c r="C56" s="223" t="s">
        <v>41</v>
      </c>
      <c r="D56" s="598" t="s">
        <v>263</v>
      </c>
      <c r="E56" s="598"/>
      <c r="F56" s="598"/>
      <c r="G56" s="598"/>
      <c r="H56" s="598"/>
      <c r="I56" s="598"/>
      <c r="J56" s="598"/>
      <c r="K56" s="598"/>
      <c r="L56" s="598"/>
      <c r="M56" s="598"/>
      <c r="N56" s="598"/>
      <c r="O56" s="598"/>
      <c r="P56" s="598"/>
      <c r="Q56" s="598"/>
      <c r="R56" s="598"/>
    </row>
    <row r="57" spans="2:18" x14ac:dyDescent="0.25">
      <c r="B57" s="293">
        <v>10</v>
      </c>
      <c r="C57" s="292" t="s">
        <v>42</v>
      </c>
      <c r="D57" s="599"/>
      <c r="E57" s="599"/>
      <c r="F57" s="599"/>
      <c r="G57" s="599"/>
      <c r="H57" s="599"/>
      <c r="I57" s="599"/>
      <c r="J57" s="599"/>
      <c r="K57" s="599"/>
      <c r="L57" s="599"/>
      <c r="M57" s="599"/>
      <c r="N57" s="599"/>
      <c r="O57" s="599"/>
      <c r="P57" s="599"/>
      <c r="Q57" s="599"/>
      <c r="R57" s="599"/>
    </row>
    <row r="58" spans="2:18" ht="15" customHeight="1" x14ac:dyDescent="0.25">
      <c r="B58" s="289">
        <v>11</v>
      </c>
      <c r="C58" s="223" t="s">
        <v>43</v>
      </c>
      <c r="D58" s="598" t="s">
        <v>468</v>
      </c>
      <c r="E58" s="598"/>
      <c r="F58" s="598"/>
      <c r="G58" s="598"/>
      <c r="H58" s="598"/>
      <c r="I58" s="598"/>
      <c r="J58" s="598"/>
      <c r="K58" s="598"/>
      <c r="L58" s="598"/>
      <c r="M58" s="598"/>
      <c r="N58" s="598"/>
      <c r="O58" s="598"/>
      <c r="P58" s="598"/>
      <c r="Q58" s="598"/>
      <c r="R58" s="598"/>
    </row>
    <row r="59" spans="2:18" x14ac:dyDescent="0.25">
      <c r="B59" s="293">
        <v>12</v>
      </c>
      <c r="C59" s="292" t="s">
        <v>71</v>
      </c>
      <c r="D59" s="599" t="s">
        <v>256</v>
      </c>
      <c r="E59" s="599"/>
      <c r="F59" s="599"/>
      <c r="G59" s="599"/>
      <c r="H59" s="599"/>
      <c r="I59" s="599"/>
      <c r="J59" s="599"/>
      <c r="K59" s="599"/>
      <c r="L59" s="599"/>
      <c r="M59" s="599"/>
      <c r="N59" s="599"/>
      <c r="O59" s="599"/>
      <c r="P59" s="599"/>
      <c r="Q59" s="599"/>
      <c r="R59" s="599"/>
    </row>
    <row r="60" spans="2:18" ht="15" customHeight="1" x14ac:dyDescent="0.25">
      <c r="B60" s="289">
        <v>13</v>
      </c>
      <c r="C60" s="223" t="s">
        <v>249</v>
      </c>
      <c r="D60" s="598" t="s">
        <v>261</v>
      </c>
      <c r="E60" s="598"/>
      <c r="F60" s="598"/>
      <c r="G60" s="598"/>
      <c r="H60" s="598"/>
      <c r="I60" s="598"/>
      <c r="J60" s="598"/>
      <c r="K60" s="598"/>
      <c r="L60" s="598"/>
      <c r="M60" s="598"/>
      <c r="N60" s="598"/>
      <c r="O60" s="598"/>
      <c r="P60" s="598"/>
      <c r="Q60" s="598"/>
      <c r="R60" s="598"/>
    </row>
    <row r="61" spans="2:18" x14ac:dyDescent="0.25">
      <c r="B61" s="293">
        <v>14</v>
      </c>
      <c r="C61" s="291" t="s">
        <v>243</v>
      </c>
      <c r="D61" s="599" t="s">
        <v>445</v>
      </c>
      <c r="E61" s="599"/>
      <c r="F61" s="599"/>
      <c r="G61" s="599"/>
      <c r="H61" s="599"/>
      <c r="I61" s="599"/>
      <c r="J61" s="599"/>
      <c r="K61" s="599"/>
      <c r="L61" s="599"/>
      <c r="M61" s="599"/>
      <c r="N61" s="599"/>
      <c r="O61" s="599"/>
      <c r="P61" s="599"/>
      <c r="Q61" s="599"/>
      <c r="R61" s="599"/>
    </row>
    <row r="62" spans="2:18" x14ac:dyDescent="0.25">
      <c r="B62" s="289">
        <v>15</v>
      </c>
      <c r="C62" s="223" t="s">
        <v>250</v>
      </c>
      <c r="D62" s="598" t="s">
        <v>344</v>
      </c>
      <c r="E62" s="598"/>
      <c r="F62" s="598"/>
      <c r="G62" s="598"/>
      <c r="H62" s="598"/>
      <c r="I62" s="598"/>
      <c r="J62" s="598"/>
      <c r="K62" s="598"/>
      <c r="L62" s="598"/>
      <c r="M62" s="598"/>
      <c r="N62" s="598"/>
      <c r="O62" s="598"/>
      <c r="P62" s="598"/>
      <c r="Q62" s="598"/>
      <c r="R62" s="598"/>
    </row>
    <row r="63" spans="2:18" x14ac:dyDescent="0.25">
      <c r="B63" s="293">
        <v>16</v>
      </c>
      <c r="C63" s="292" t="s">
        <v>255</v>
      </c>
      <c r="D63" s="599" t="s">
        <v>267</v>
      </c>
      <c r="E63" s="599"/>
      <c r="F63" s="599"/>
      <c r="G63" s="599"/>
      <c r="H63" s="599"/>
      <c r="I63" s="599"/>
      <c r="J63" s="599"/>
      <c r="K63" s="599"/>
      <c r="L63" s="599"/>
      <c r="M63" s="599"/>
      <c r="N63" s="599"/>
      <c r="O63" s="599"/>
      <c r="P63" s="599"/>
      <c r="Q63" s="599"/>
      <c r="R63" s="599"/>
    </row>
    <row r="64" spans="2:18" x14ac:dyDescent="0.25">
      <c r="B64" s="289">
        <v>17</v>
      </c>
      <c r="C64" s="223" t="s">
        <v>264</v>
      </c>
      <c r="D64" s="598" t="s">
        <v>607</v>
      </c>
      <c r="E64" s="598"/>
      <c r="F64" s="598"/>
      <c r="G64" s="598"/>
      <c r="H64" s="598"/>
      <c r="I64" s="598"/>
      <c r="J64" s="598"/>
      <c r="K64" s="598"/>
      <c r="L64" s="598"/>
      <c r="M64" s="598"/>
      <c r="N64" s="598"/>
      <c r="O64" s="598"/>
      <c r="P64" s="598"/>
      <c r="Q64" s="598"/>
      <c r="R64" s="598"/>
    </row>
    <row r="65" spans="2:22" x14ac:dyDescent="0.25">
      <c r="B65" s="293">
        <v>18</v>
      </c>
      <c r="C65" s="292" t="s">
        <v>265</v>
      </c>
      <c r="D65" s="599" t="s">
        <v>268</v>
      </c>
      <c r="E65" s="599"/>
      <c r="F65" s="599"/>
      <c r="G65" s="599"/>
      <c r="H65" s="599"/>
      <c r="I65" s="599"/>
      <c r="J65" s="599"/>
      <c r="K65" s="599"/>
      <c r="L65" s="599"/>
      <c r="M65" s="599"/>
      <c r="N65" s="599"/>
      <c r="O65" s="599"/>
      <c r="P65" s="599"/>
      <c r="Q65" s="599"/>
      <c r="R65" s="599"/>
    </row>
    <row r="66" spans="2:22" x14ac:dyDescent="0.25">
      <c r="B66" s="289">
        <v>19</v>
      </c>
      <c r="C66" s="223" t="s">
        <v>125</v>
      </c>
      <c r="D66" s="598" t="s">
        <v>448</v>
      </c>
      <c r="E66" s="598"/>
      <c r="F66" s="598"/>
      <c r="G66" s="598"/>
      <c r="H66" s="598"/>
      <c r="I66" s="598"/>
      <c r="J66" s="598"/>
      <c r="K66" s="598"/>
      <c r="L66" s="598"/>
      <c r="M66" s="598"/>
      <c r="N66" s="598"/>
      <c r="O66" s="598"/>
      <c r="P66" s="598"/>
      <c r="Q66" s="598"/>
      <c r="R66" s="598"/>
    </row>
    <row r="67" spans="2:22" x14ac:dyDescent="0.25">
      <c r="B67" s="293">
        <v>20</v>
      </c>
      <c r="C67" s="292" t="s">
        <v>108</v>
      </c>
      <c r="D67" s="599" t="s">
        <v>266</v>
      </c>
      <c r="E67" s="599"/>
      <c r="F67" s="599"/>
      <c r="G67" s="599"/>
      <c r="H67" s="599"/>
      <c r="I67" s="599"/>
      <c r="J67" s="599"/>
      <c r="K67" s="599"/>
      <c r="L67" s="599"/>
      <c r="M67" s="599"/>
      <c r="N67" s="599"/>
      <c r="O67" s="599"/>
      <c r="P67" s="599"/>
      <c r="Q67" s="599"/>
      <c r="R67" s="599"/>
    </row>
    <row r="68" spans="2:22" x14ac:dyDescent="0.25">
      <c r="B68" s="289">
        <v>21</v>
      </c>
      <c r="C68" s="223" t="s">
        <v>244</v>
      </c>
      <c r="D68" s="598" t="s">
        <v>245</v>
      </c>
      <c r="E68" s="598"/>
      <c r="F68" s="598"/>
      <c r="G68" s="598"/>
      <c r="H68" s="598"/>
      <c r="I68" s="598"/>
      <c r="J68" s="598"/>
      <c r="K68" s="598"/>
      <c r="L68" s="598"/>
      <c r="M68" s="598"/>
      <c r="N68" s="598"/>
      <c r="O68" s="598"/>
      <c r="P68" s="598"/>
      <c r="Q68" s="598"/>
      <c r="R68" s="598"/>
    </row>
    <row r="69" spans="2:22" x14ac:dyDescent="0.25">
      <c r="B69" s="293">
        <v>22</v>
      </c>
      <c r="C69" s="292" t="s">
        <v>246</v>
      </c>
      <c r="D69" s="599" t="s">
        <v>247</v>
      </c>
      <c r="E69" s="599"/>
      <c r="F69" s="599"/>
      <c r="G69" s="599"/>
      <c r="H69" s="599"/>
      <c r="I69" s="599"/>
      <c r="J69" s="599"/>
      <c r="K69" s="599"/>
      <c r="L69" s="599"/>
      <c r="M69" s="599"/>
      <c r="N69" s="599"/>
      <c r="O69" s="599"/>
      <c r="P69" s="599"/>
      <c r="Q69" s="599"/>
      <c r="R69" s="599"/>
    </row>
    <row r="70" spans="2:22" ht="15" customHeight="1" x14ac:dyDescent="0.25">
      <c r="B70" s="289">
        <v>23</v>
      </c>
      <c r="C70" s="223" t="s">
        <v>248</v>
      </c>
      <c r="D70" s="598"/>
      <c r="E70" s="598"/>
      <c r="F70" s="598"/>
      <c r="G70" s="598"/>
      <c r="H70" s="598"/>
      <c r="I70" s="598"/>
      <c r="J70" s="598"/>
      <c r="K70" s="598"/>
      <c r="L70" s="598"/>
      <c r="M70" s="598"/>
      <c r="N70" s="598"/>
      <c r="O70" s="598"/>
      <c r="P70" s="598"/>
      <c r="Q70" s="598"/>
      <c r="R70" s="598"/>
    </row>
    <row r="71" spans="2:22" x14ac:dyDescent="0.25">
      <c r="B71" s="293">
        <v>24</v>
      </c>
      <c r="C71" s="292" t="s">
        <v>391</v>
      </c>
      <c r="D71" s="599" t="s">
        <v>443</v>
      </c>
      <c r="E71" s="599"/>
      <c r="F71" s="599"/>
      <c r="G71" s="599"/>
      <c r="H71" s="599"/>
      <c r="I71" s="599"/>
      <c r="J71" s="599"/>
      <c r="K71" s="599"/>
      <c r="L71" s="599"/>
      <c r="M71" s="599"/>
      <c r="N71" s="599"/>
      <c r="O71" s="599"/>
      <c r="P71" s="599"/>
      <c r="Q71" s="599"/>
      <c r="R71" s="599"/>
    </row>
    <row r="72" spans="2:22" x14ac:dyDescent="0.25">
      <c r="B72" s="289">
        <v>25</v>
      </c>
      <c r="C72" s="223" t="s">
        <v>461</v>
      </c>
      <c r="D72" s="598" t="s">
        <v>469</v>
      </c>
      <c r="E72" s="598"/>
      <c r="F72" s="598"/>
      <c r="G72" s="598"/>
      <c r="H72" s="598"/>
      <c r="I72" s="598"/>
      <c r="J72" s="598"/>
      <c r="K72" s="598"/>
      <c r="L72" s="598"/>
      <c r="M72" s="598"/>
      <c r="N72" s="598"/>
      <c r="O72" s="598"/>
      <c r="P72" s="598"/>
      <c r="Q72" s="598"/>
      <c r="R72" s="598"/>
    </row>
    <row r="73" spans="2:22" x14ac:dyDescent="0.25">
      <c r="B73" s="293">
        <v>26</v>
      </c>
      <c r="C73" s="292" t="s">
        <v>473</v>
      </c>
      <c r="D73" s="572"/>
      <c r="E73" s="572"/>
      <c r="F73" s="572"/>
      <c r="G73" s="572"/>
      <c r="H73" s="572"/>
      <c r="I73" s="572"/>
      <c r="J73" s="572"/>
      <c r="K73" s="572"/>
      <c r="L73" s="572"/>
      <c r="M73" s="572"/>
      <c r="N73" s="572"/>
      <c r="O73" s="572"/>
      <c r="P73" s="572"/>
      <c r="Q73" s="572"/>
      <c r="R73" s="572"/>
    </row>
    <row r="74" spans="2:22" x14ac:dyDescent="0.25">
      <c r="B74" s="289">
        <v>27</v>
      </c>
      <c r="C74" s="223" t="s">
        <v>522</v>
      </c>
      <c r="D74" s="598"/>
      <c r="E74" s="598"/>
      <c r="F74" s="598"/>
      <c r="G74" s="598"/>
      <c r="H74" s="598"/>
      <c r="I74" s="598"/>
      <c r="J74" s="598"/>
      <c r="K74" s="598"/>
      <c r="L74" s="598"/>
      <c r="M74" s="598"/>
      <c r="N74" s="598"/>
      <c r="O74" s="598"/>
      <c r="P74" s="598"/>
      <c r="Q74" s="598"/>
      <c r="R74" s="598"/>
    </row>
    <row r="75" spans="2:22" x14ac:dyDescent="0.25">
      <c r="B75" s="293">
        <v>28</v>
      </c>
      <c r="C75" s="292"/>
      <c r="D75" s="572"/>
      <c r="E75" s="572"/>
      <c r="F75" s="572"/>
      <c r="G75" s="572"/>
      <c r="H75" s="572"/>
      <c r="I75" s="572"/>
      <c r="J75" s="572"/>
      <c r="K75" s="572"/>
      <c r="L75" s="572"/>
      <c r="M75" s="572"/>
      <c r="N75" s="572"/>
      <c r="O75" s="572"/>
      <c r="P75" s="572"/>
      <c r="Q75" s="572"/>
      <c r="R75" s="572"/>
    </row>
    <row r="76" spans="2:22" x14ac:dyDescent="0.25">
      <c r="B76" s="227"/>
    </row>
    <row r="77" spans="2:22" x14ac:dyDescent="0.25">
      <c r="B77" s="287"/>
    </row>
    <row r="78" spans="2:22" x14ac:dyDescent="0.25">
      <c r="B78" s="287"/>
    </row>
    <row r="79" spans="2:22" x14ac:dyDescent="0.25">
      <c r="C79" s="254" t="s">
        <v>153</v>
      </c>
      <c r="D79" s="141"/>
      <c r="E79" s="142"/>
      <c r="F79" s="143"/>
      <c r="G79" s="143"/>
      <c r="H79" s="143"/>
      <c r="I79" s="143"/>
      <c r="J79" s="143"/>
      <c r="K79" s="143"/>
      <c r="L79" s="143"/>
      <c r="M79" s="143"/>
      <c r="N79" s="143"/>
      <c r="O79" s="143"/>
      <c r="P79" s="143"/>
      <c r="Q79" s="143"/>
      <c r="R79" s="143"/>
      <c r="S79" s="15"/>
      <c r="T79" s="23"/>
      <c r="U79" s="7"/>
      <c r="V79" s="27"/>
    </row>
    <row r="80" spans="2:22" x14ac:dyDescent="0.25">
      <c r="C80" s="96" t="s">
        <v>234</v>
      </c>
      <c r="N80" s="255"/>
      <c r="Q80" s="127"/>
      <c r="R80" s="127"/>
      <c r="S80" s="27"/>
      <c r="T80" s="27"/>
      <c r="U80" s="27"/>
      <c r="V80" s="27"/>
    </row>
    <row r="81" spans="3:22" x14ac:dyDescent="0.25">
      <c r="C81" s="95" t="s">
        <v>235</v>
      </c>
      <c r="Q81" s="127"/>
      <c r="R81" s="127"/>
      <c r="S81" s="27"/>
      <c r="T81" s="27"/>
      <c r="U81" s="27"/>
      <c r="V81" s="27"/>
    </row>
    <row r="82" spans="3:22" x14ac:dyDescent="0.25">
      <c r="C82" s="95" t="s">
        <v>237</v>
      </c>
      <c r="Q82" s="127"/>
      <c r="R82" s="127"/>
      <c r="S82" s="27"/>
      <c r="T82" s="436"/>
      <c r="U82" s="436"/>
      <c r="V82" s="27"/>
    </row>
    <row r="83" spans="3:22" x14ac:dyDescent="0.25">
      <c r="C83" s="95" t="s">
        <v>395</v>
      </c>
      <c r="Q83" s="127"/>
      <c r="R83" s="127"/>
      <c r="S83" s="27"/>
      <c r="T83" s="436"/>
      <c r="U83" s="27"/>
      <c r="V83" s="27"/>
    </row>
    <row r="84" spans="3:22" x14ac:dyDescent="0.25">
      <c r="C84" s="96" t="s">
        <v>393</v>
      </c>
      <c r="Q84" s="127"/>
      <c r="R84" s="127"/>
      <c r="S84" s="27"/>
      <c r="T84" s="27"/>
      <c r="U84" s="27"/>
      <c r="V84" s="27"/>
    </row>
    <row r="87" spans="3:22" x14ac:dyDescent="0.25">
      <c r="C87" s="254" t="s">
        <v>446</v>
      </c>
      <c r="D87" s="141"/>
      <c r="E87" s="142"/>
      <c r="F87" s="143"/>
      <c r="G87" s="143"/>
      <c r="H87" s="143"/>
      <c r="I87" s="143"/>
      <c r="J87" s="143"/>
      <c r="K87" s="143"/>
      <c r="L87" s="142"/>
      <c r="M87" s="143"/>
      <c r="N87" s="143"/>
      <c r="O87" s="143"/>
      <c r="P87" s="143"/>
      <c r="Q87" s="143"/>
      <c r="R87" s="143"/>
      <c r="S87" s="27"/>
      <c r="T87" s="27"/>
      <c r="U87" s="27"/>
      <c r="V87" s="27"/>
    </row>
    <row r="88" spans="3:22" x14ac:dyDescent="0.25">
      <c r="C88" s="13" t="s">
        <v>315</v>
      </c>
      <c r="Q88" s="127"/>
      <c r="R88" s="127"/>
      <c r="S88" s="27"/>
      <c r="T88" s="27"/>
      <c r="U88" s="27"/>
      <c r="V88" s="27"/>
    </row>
    <row r="89" spans="3:22" x14ac:dyDescent="0.25">
      <c r="C89" s="13" t="s">
        <v>316</v>
      </c>
      <c r="Q89" s="127"/>
      <c r="R89" s="127"/>
      <c r="S89" s="27"/>
      <c r="T89" s="27"/>
      <c r="U89" s="27"/>
      <c r="V89" s="27"/>
    </row>
    <row r="90" spans="3:22" x14ac:dyDescent="0.25">
      <c r="C90" s="95" t="s">
        <v>447</v>
      </c>
      <c r="Q90" s="127"/>
      <c r="R90" s="127"/>
      <c r="S90" s="27"/>
      <c r="T90" s="27"/>
      <c r="U90" s="27"/>
      <c r="V90" s="27"/>
    </row>
    <row r="91" spans="3:22" x14ac:dyDescent="0.25">
      <c r="C91" s="96" t="s">
        <v>420</v>
      </c>
      <c r="Q91" s="127"/>
      <c r="R91" s="127"/>
      <c r="S91" s="27"/>
      <c r="T91" s="27"/>
      <c r="U91" s="27"/>
      <c r="V91" s="27"/>
    </row>
    <row r="92" spans="3:22" x14ac:dyDescent="0.25">
      <c r="C92" s="96" t="s">
        <v>417</v>
      </c>
      <c r="Q92" s="127"/>
      <c r="R92" s="127"/>
      <c r="S92" s="27"/>
      <c r="T92" s="27"/>
      <c r="U92" s="27"/>
      <c r="V92" s="27"/>
    </row>
    <row r="93" spans="3:22" x14ac:dyDescent="0.25">
      <c r="C93" s="96" t="s">
        <v>419</v>
      </c>
      <c r="R93" s="27"/>
      <c r="S93" s="27"/>
      <c r="T93" s="27"/>
      <c r="U93" s="27"/>
      <c r="V93" s="27"/>
    </row>
    <row r="94" spans="3:22" x14ac:dyDescent="0.25">
      <c r="C94" s="96" t="s">
        <v>418</v>
      </c>
    </row>
    <row r="97" spans="3:18" x14ac:dyDescent="0.25">
      <c r="C97" s="576" t="s">
        <v>594</v>
      </c>
      <c r="D97" s="575"/>
      <c r="E97" s="575"/>
      <c r="F97" s="575"/>
      <c r="G97" s="575"/>
      <c r="H97" s="575"/>
      <c r="I97" s="575"/>
      <c r="J97" s="575"/>
      <c r="K97" s="575"/>
      <c r="L97" s="575"/>
      <c r="M97" s="575"/>
      <c r="N97" s="575"/>
      <c r="O97" s="575"/>
      <c r="P97" s="575"/>
      <c r="Q97" s="575"/>
      <c r="R97" s="574"/>
    </row>
    <row r="98" spans="3:18" x14ac:dyDescent="0.25">
      <c r="C98" s="96" t="s">
        <v>593</v>
      </c>
    </row>
    <row r="99" spans="3:18" x14ac:dyDescent="0.25">
      <c r="C99" s="96" t="s">
        <v>592</v>
      </c>
    </row>
  </sheetData>
  <mergeCells count="26">
    <mergeCell ref="D63:R63"/>
    <mergeCell ref="D64:R64"/>
    <mergeCell ref="D72:R72"/>
    <mergeCell ref="D66:R66"/>
    <mergeCell ref="D67:R67"/>
    <mergeCell ref="D68:R68"/>
    <mergeCell ref="D69:R69"/>
    <mergeCell ref="D70:R70"/>
    <mergeCell ref="D71:R71"/>
    <mergeCell ref="D65:R65"/>
    <mergeCell ref="D74:R74"/>
    <mergeCell ref="D48:R48"/>
    <mergeCell ref="D49:R49"/>
    <mergeCell ref="D50:R50"/>
    <mergeCell ref="D51:R51"/>
    <mergeCell ref="D52:R52"/>
    <mergeCell ref="D59:R59"/>
    <mergeCell ref="D60:R60"/>
    <mergeCell ref="D61:R61"/>
    <mergeCell ref="D62:R62"/>
    <mergeCell ref="D53:R53"/>
    <mergeCell ref="D54:R54"/>
    <mergeCell ref="D55:R55"/>
    <mergeCell ref="D56:R56"/>
    <mergeCell ref="D57:R57"/>
    <mergeCell ref="D58:R58"/>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4" r:id="rId35" xr:uid="{D916C905-4A3B-4E63-B977-A7CE4FECEC63}"/>
    <hyperlink ref="L34" r:id="rId36" xr:uid="{D15E8B40-85D3-49BA-9FEA-55358BDDF677}"/>
    <hyperlink ref="L35" r:id="rId37" xr:uid="{C34DA1A1-90C9-425C-94BD-ACB79531B40F}"/>
    <hyperlink ref="M39" r:id="rId38" xr:uid="{CD84206B-0D8F-4453-A9C1-F6001C1FA761}"/>
    <hyperlink ref="M40" r:id="rId39" xr:uid="{10A36219-DF43-4759-AF83-4612B9CE0203}"/>
    <hyperlink ref="M41" r:id="rId40" xr:uid="{82EF5920-62E7-4A58-A1FE-33427275FC05}"/>
    <hyperlink ref="M42" r:id="rId41" xr:uid="{EFDCE1D2-9CEF-457E-B9B6-7D16B558703B}"/>
    <hyperlink ref="L42" r:id="rId42" xr:uid="{CEB30621-C55F-4407-9568-D6C0437E988B}"/>
    <hyperlink ref="L43" r:id="rId43" xr:uid="{E02FFCE7-2239-4384-9C2B-98F3A359D2C7}"/>
    <hyperlink ref="M43" r:id="rId44" xr:uid="{A9352F58-BE3B-484A-9CD2-94D18006874D}"/>
    <hyperlink ref="L39" r:id="rId45" xr:uid="{3FAFD8D2-02CF-4FEE-B995-E2C64491C9CD}"/>
    <hyperlink ref="L40"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s>
  <pageMargins left="0.7" right="0.7" top="0.75" bottom="0.75" header="0.3" footer="0.3"/>
  <pageSetup paperSize="9" scale="19" orientation="portrait" verticalDpi="0" r:id="rId52"/>
  <headerFooter>
    <oddHeader>&amp;L&amp;"Calibri"&amp;7&amp;KFF0000  &amp;1#_x000D_</oddHeader>
    <oddFooter xml:space="preserve">&amp;L_x000D_&amp;1#&amp;"Calibri"&amp;7&amp;KFF0000 RESTRICTED </oddFooter>
  </headerFooter>
  <colBreaks count="1" manualBreakCount="1">
    <brk id="19" max="1048575" man="1"/>
  </colBreaks>
  <legacyDrawing r:id="rId5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O57"/>
  <sheetViews>
    <sheetView zoomScale="85" zoomScaleNormal="85" workbookViewId="0">
      <selection activeCell="E44" sqref="E44"/>
    </sheetView>
  </sheetViews>
  <sheetFormatPr defaultColWidth="9.140625" defaultRowHeight="15" x14ac:dyDescent="0.25"/>
  <cols>
    <col min="1" max="1" width="3.42578125" style="26" customWidth="1"/>
    <col min="2" max="2" width="52.140625" style="26" customWidth="1"/>
    <col min="3" max="3" width="19.140625" style="26" bestFit="1" customWidth="1"/>
    <col min="4" max="4" width="20.140625" style="26" bestFit="1" customWidth="1"/>
    <col min="5" max="5" width="23" style="27" bestFit="1" customWidth="1"/>
    <col min="6" max="6" width="24.28515625" style="27" customWidth="1"/>
    <col min="7" max="7" width="27" style="27" customWidth="1"/>
    <col min="8" max="8" width="71.140625" style="283" customWidth="1"/>
    <col min="9" max="9" width="4.28515625" style="26" customWidth="1"/>
    <col min="10" max="10" width="42.42578125" style="26" bestFit="1" customWidth="1"/>
    <col min="11" max="11" width="19.42578125" style="26" customWidth="1"/>
    <col min="12" max="13" width="14.5703125" style="26" customWidth="1"/>
    <col min="14" max="14" width="17" style="26" customWidth="1"/>
    <col min="15" max="16" width="17.28515625" style="26" customWidth="1"/>
    <col min="17" max="17" width="33.5703125" style="26" bestFit="1" customWidth="1"/>
    <col min="18" max="18" width="4.85546875" style="26" customWidth="1"/>
    <col min="19" max="16384" width="9.140625" style="26"/>
  </cols>
  <sheetData>
    <row r="2" spans="2:15" x14ac:dyDescent="0.25">
      <c r="B2" s="268" t="s">
        <v>59</v>
      </c>
      <c r="C2" s="269">
        <f>'S | 01 '!D2</f>
        <v>45322</v>
      </c>
      <c r="D2" s="269"/>
      <c r="E2" s="270"/>
      <c r="F2" s="270"/>
      <c r="G2" s="270"/>
      <c r="H2" s="271"/>
    </row>
    <row r="3" spans="2:15" x14ac:dyDescent="0.25">
      <c r="B3" s="380"/>
      <c r="C3" s="380"/>
      <c r="D3" s="380"/>
      <c r="E3" s="380"/>
      <c r="F3" s="380"/>
      <c r="G3" s="380"/>
      <c r="H3" s="380"/>
      <c r="J3" s="29"/>
      <c r="K3" s="29"/>
      <c r="L3" s="29"/>
    </row>
    <row r="4" spans="2:15" ht="15.75" thickBot="1" x14ac:dyDescent="0.3">
      <c r="B4" s="3"/>
      <c r="C4" s="3"/>
      <c r="D4" s="3"/>
      <c r="E4" s="1"/>
      <c r="F4" s="1"/>
      <c r="G4" s="1"/>
      <c r="H4" s="272"/>
      <c r="J4" s="29"/>
      <c r="K4" s="29"/>
      <c r="L4" s="29"/>
    </row>
    <row r="5" spans="2:15" x14ac:dyDescent="0.25">
      <c r="B5" s="449" t="s">
        <v>87</v>
      </c>
      <c r="C5" s="444" t="s">
        <v>31</v>
      </c>
      <c r="D5" s="444" t="s">
        <v>36</v>
      </c>
      <c r="E5" s="444" t="s">
        <v>27</v>
      </c>
      <c r="F5" s="444" t="s">
        <v>88</v>
      </c>
      <c r="G5" s="444"/>
      <c r="H5" s="447" t="s">
        <v>21</v>
      </c>
      <c r="J5" s="407"/>
      <c r="K5" s="408"/>
      <c r="L5" s="409"/>
      <c r="N5" s="407"/>
      <c r="O5" s="508"/>
    </row>
    <row r="6" spans="2:15" x14ac:dyDescent="0.25">
      <c r="B6" s="443"/>
      <c r="C6" s="220"/>
      <c r="D6" s="444"/>
      <c r="E6" s="448" t="s">
        <v>84</v>
      </c>
      <c r="F6" s="448" t="s">
        <v>86</v>
      </c>
      <c r="G6" s="448" t="s">
        <v>10</v>
      </c>
      <c r="H6" s="447"/>
      <c r="J6" s="404" t="s">
        <v>356</v>
      </c>
      <c r="K6" s="405">
        <f>C2</f>
        <v>45322</v>
      </c>
      <c r="L6" s="406"/>
      <c r="N6" s="404"/>
      <c r="O6" s="406"/>
    </row>
    <row r="7" spans="2:15" x14ac:dyDescent="0.25">
      <c r="B7" s="443"/>
      <c r="C7" s="220"/>
      <c r="D7" s="444"/>
      <c r="E7" s="445" t="str">
        <f>"NAV | "&amp; TEXT(C2,"dd")&amp;" "&amp;TEXT(C2,"mmm")&amp;" "&amp;TEXT(C2,"yyyy")</f>
        <v>NAV | 31 Jan 2024</v>
      </c>
      <c r="F7" s="446"/>
      <c r="G7" s="446" t="str">
        <f>"PPS |" &amp; TEXT(C2,"dd")&amp;" "&amp;TEXT(C2,"mmm")&amp;" "&amp;TEXT(C2,"yyyy")</f>
        <v>PPS |31 Jan 2024</v>
      </c>
      <c r="H7" s="447"/>
      <c r="J7" s="105"/>
      <c r="K7" s="27"/>
      <c r="L7" s="338" t="s">
        <v>334</v>
      </c>
      <c r="N7" s="509"/>
      <c r="O7" s="510"/>
    </row>
    <row r="8" spans="2:15" x14ac:dyDescent="0.25">
      <c r="B8" s="16" t="s">
        <v>28</v>
      </c>
      <c r="C8" s="275"/>
      <c r="D8" s="275"/>
      <c r="E8" s="439"/>
      <c r="F8" s="277"/>
      <c r="G8" s="248"/>
      <c r="H8" s="278"/>
      <c r="J8" s="339" t="s">
        <v>329</v>
      </c>
      <c r="K8" s="26">
        <v>1.603</v>
      </c>
      <c r="L8" s="337" t="s">
        <v>335</v>
      </c>
      <c r="N8" s="105" t="s">
        <v>497</v>
      </c>
      <c r="O8" s="591">
        <f>5810000000/K15/1000000*(1-49.82%)</f>
        <v>400.12708729909292</v>
      </c>
    </row>
    <row r="9" spans="2:15" x14ac:dyDescent="0.25">
      <c r="B9" s="533" t="str">
        <f>'S | 01 '!C10</f>
        <v>Jollychic Holding Limited</v>
      </c>
      <c r="C9" s="27" t="str">
        <f>'S | 01 '!F10</f>
        <v>Mozn</v>
      </c>
      <c r="D9" s="27" t="str">
        <f>'S | 01 '!H10</f>
        <v>C+ Prefs</v>
      </c>
      <c r="E9" s="440">
        <f>F9*G9*10^-6</f>
        <v>0</v>
      </c>
      <c r="F9" s="267">
        <f>SUM('CF (Equity, Debt)'!J4:J6)</f>
        <v>13458655</v>
      </c>
      <c r="G9" s="248"/>
      <c r="H9" s="533" t="s">
        <v>607</v>
      </c>
      <c r="J9" s="105" t="s">
        <v>331</v>
      </c>
      <c r="K9" s="26">
        <v>8.41</v>
      </c>
      <c r="L9" s="337" t="s">
        <v>335</v>
      </c>
      <c r="N9" s="105" t="s">
        <v>498</v>
      </c>
      <c r="O9" s="591">
        <f>MAX(800,310000000000/K15/1000000*4.705882%*0.8/2)</f>
        <v>800.85498186329733</v>
      </c>
    </row>
    <row r="10" spans="2:15" ht="15.75" thickBot="1" x14ac:dyDescent="0.3">
      <c r="B10" s="533" t="str">
        <f>'S | 01 '!C11</f>
        <v>Mena Mobile Inc</v>
      </c>
      <c r="C10" s="7" t="str">
        <f>'S | 01 '!F11</f>
        <v>Mozn</v>
      </c>
      <c r="D10" s="27" t="str">
        <f>'S | 01 '!H11</f>
        <v>B Prefs</v>
      </c>
      <c r="E10" s="440">
        <v>0</v>
      </c>
      <c r="F10" s="267">
        <f>'CF (Equity, Debt)'!J7</f>
        <v>21419829</v>
      </c>
      <c r="G10" s="248"/>
      <c r="H10" s="533" t="s">
        <v>386</v>
      </c>
      <c r="J10" s="339" t="s">
        <v>330</v>
      </c>
      <c r="K10" s="26">
        <v>1.2685299999999999</v>
      </c>
      <c r="L10" s="337" t="s">
        <v>333</v>
      </c>
      <c r="N10" s="569"/>
      <c r="O10" s="570"/>
    </row>
    <row r="11" spans="2:15" ht="15.75" thickBot="1" x14ac:dyDescent="0.3">
      <c r="B11" s="4" t="str">
        <f>'S | 01 '!C12</f>
        <v>Flyr Inc</v>
      </c>
      <c r="C11" s="7" t="str">
        <f>'S | 01 '!F12</f>
        <v>Mozn</v>
      </c>
      <c r="D11" s="27" t="str">
        <f>'S | 01 '!H12</f>
        <v>B-1,2 Prefs</v>
      </c>
      <c r="E11" s="440">
        <f>F11*G11*10^-6*(1-20%)</f>
        <v>78.082229999999996</v>
      </c>
      <c r="F11" s="28">
        <v>5205482</v>
      </c>
      <c r="G11" s="248">
        <v>18.75</v>
      </c>
      <c r="H11" s="4" t="s">
        <v>238</v>
      </c>
      <c r="J11" s="110" t="s">
        <v>491</v>
      </c>
      <c r="K11" s="340">
        <v>1.08667</v>
      </c>
      <c r="L11" s="341" t="s">
        <v>333</v>
      </c>
    </row>
    <row r="12" spans="2:15" x14ac:dyDescent="0.25">
      <c r="B12" s="533" t="str">
        <f>'S | 01 '!C13</f>
        <v xml:space="preserve">Esyasoft Holding </v>
      </c>
      <c r="C12" s="7" t="str">
        <f>'S | 01 '!F13</f>
        <v>Mozn</v>
      </c>
      <c r="D12" s="27" t="str">
        <f>'S | 01 '!H13</f>
        <v>Convertible Note</v>
      </c>
      <c r="E12" s="440">
        <v>0</v>
      </c>
      <c r="F12" s="267" t="s">
        <v>131</v>
      </c>
      <c r="G12" s="248"/>
      <c r="H12" s="533" t="s">
        <v>328</v>
      </c>
    </row>
    <row r="13" spans="2:15" ht="15.75" thickBot="1" x14ac:dyDescent="0.3">
      <c r="B13" s="4" t="str">
        <f>'S | 01 '!C14</f>
        <v>Beyond Limits</v>
      </c>
      <c r="C13" s="7" t="str">
        <f>'S | 01 '!F14</f>
        <v>Mozn</v>
      </c>
      <c r="D13" s="27" t="str">
        <f>'S | 01 '!H14</f>
        <v>C Prefs</v>
      </c>
      <c r="E13" s="440">
        <f>F13*G13*10^-6</f>
        <v>91.001540300000002</v>
      </c>
      <c r="F13" s="267">
        <f>SUM('CF (Equity, Debt)'!J11:J14)</f>
        <v>17670202</v>
      </c>
      <c r="G13" s="248">
        <v>5.15</v>
      </c>
      <c r="H13" s="4" t="s">
        <v>239</v>
      </c>
    </row>
    <row r="14" spans="2:15" x14ac:dyDescent="0.25">
      <c r="B14" s="336" t="str">
        <f>'S | 01 '!C15</f>
        <v>ONT plc</v>
      </c>
      <c r="C14" s="7" t="str">
        <f>'S | 01 '!F15</f>
        <v>Mozn</v>
      </c>
      <c r="D14" s="27" t="str">
        <f>'S | 01 '!H15</f>
        <v>Ordinary Shares</v>
      </c>
      <c r="E14" s="441">
        <f>F14*G14*10^-6</f>
        <v>90.139174751950776</v>
      </c>
      <c r="F14" s="267">
        <v>44328120</v>
      </c>
      <c r="G14" s="280">
        <f>K8*K10</f>
        <v>2.0334535899999997</v>
      </c>
      <c r="H14" s="336" t="s">
        <v>240</v>
      </c>
      <c r="J14" s="548" t="s">
        <v>289</v>
      </c>
      <c r="K14" s="411"/>
      <c r="L14" s="420"/>
    </row>
    <row r="15" spans="2:15" x14ac:dyDescent="0.25">
      <c r="B15" s="4" t="str">
        <f>'S | 01 '!C16</f>
        <v>Heygears</v>
      </c>
      <c r="C15" s="7" t="str">
        <f>'S | 01 '!F16</f>
        <v>Mozn</v>
      </c>
      <c r="D15" s="27" t="str">
        <f>'S | 01 '!H16</f>
        <v>Registered Capital</v>
      </c>
      <c r="E15" s="441">
        <f>K23/1000000</f>
        <v>148.0498412781194</v>
      </c>
      <c r="F15" s="267">
        <f>'CF (Equity, Debt)'!J20</f>
        <v>4753356.29</v>
      </c>
      <c r="G15" s="248"/>
      <c r="H15" s="4" t="s">
        <v>389</v>
      </c>
      <c r="J15" s="105" t="s">
        <v>332</v>
      </c>
      <c r="K15" s="26">
        <v>7.2863300000000004</v>
      </c>
      <c r="L15" s="337" t="s">
        <v>333</v>
      </c>
    </row>
    <row r="16" spans="2:15" x14ac:dyDescent="0.25">
      <c r="B16" s="533" t="str">
        <f>'S | 01 '!C17</f>
        <v>Jysan Technologies</v>
      </c>
      <c r="C16" s="7" t="str">
        <f>'S | 01 '!F17</f>
        <v>Mozn 1</v>
      </c>
      <c r="D16" s="27" t="str">
        <f>'S | 01 '!H17</f>
        <v>A (Ordinary Shares)</v>
      </c>
      <c r="E16" s="440">
        <v>0</v>
      </c>
      <c r="F16" s="267">
        <f>'CF (Equity, Debt)'!J21</f>
        <v>7959497</v>
      </c>
      <c r="G16" s="248">
        <f>E16*10^6/F16</f>
        <v>0</v>
      </c>
      <c r="H16" s="533" t="s">
        <v>483</v>
      </c>
      <c r="J16" s="422" t="s">
        <v>279</v>
      </c>
      <c r="K16" s="423">
        <v>7500000000</v>
      </c>
      <c r="L16" s="424"/>
    </row>
    <row r="17" spans="2:12" x14ac:dyDescent="0.25">
      <c r="B17" s="4" t="str">
        <f>'S | 01 '!C18</f>
        <v>Cerebras Systems Inc</v>
      </c>
      <c r="C17" s="7" t="str">
        <f>'S | 01 '!F18</f>
        <v>Mozn</v>
      </c>
      <c r="D17" s="27" t="str">
        <f>'S | 01 '!H18</f>
        <v>F Prefs</v>
      </c>
      <c r="E17" s="440">
        <f>-'CF (Equity, Debt)'!E22</f>
        <v>39.999983359999995</v>
      </c>
      <c r="F17" s="267">
        <f>'6. %'!D17</f>
        <v>1441711</v>
      </c>
      <c r="G17" s="248"/>
      <c r="H17" s="4" t="s">
        <v>357</v>
      </c>
      <c r="J17" s="422" t="s">
        <v>280</v>
      </c>
      <c r="K17" s="425">
        <v>0.14383199999999999</v>
      </c>
      <c r="L17" s="424"/>
    </row>
    <row r="18" spans="2:12" x14ac:dyDescent="0.25">
      <c r="B18" s="4" t="str">
        <f>'S | 01 '!C19</f>
        <v>Endless Studios LLC</v>
      </c>
      <c r="C18" s="7" t="str">
        <f>'S | 01 '!F19</f>
        <v>Mozn</v>
      </c>
      <c r="D18" s="27" t="str">
        <f>'S | 01 '!H19</f>
        <v>A Pref Units</v>
      </c>
      <c r="E18" s="440">
        <f>-'CF (Equity, Debt)'!E23-'CF (Equity, Debt)'!E41</f>
        <v>8</v>
      </c>
      <c r="F18" s="267">
        <f>'CF (Equity, Debt)'!J23+'CF (Equity, Debt)'!J41</f>
        <v>8000000</v>
      </c>
      <c r="G18" s="248"/>
      <c r="H18" s="4" t="s">
        <v>85</v>
      </c>
      <c r="J18" s="422" t="s">
        <v>281</v>
      </c>
      <c r="K18" s="423">
        <v>1078740000</v>
      </c>
      <c r="L18" s="424"/>
    </row>
    <row r="19" spans="2:12" x14ac:dyDescent="0.25">
      <c r="B19" s="533" t="str">
        <f>'S | 01 '!C20</f>
        <v>Instadeep Limited</v>
      </c>
      <c r="C19" s="7" t="str">
        <f>'S | 01 '!F20</f>
        <v>Mozn</v>
      </c>
      <c r="D19" s="27" t="str">
        <f>'S | 01 '!H20</f>
        <v xml:space="preserve">B Prefs </v>
      </c>
      <c r="E19" s="440">
        <f>-'CF (Equity, Debt)'!E24*G19</f>
        <v>0</v>
      </c>
      <c r="F19" s="267">
        <f>'CF (Equity, Debt)'!J24</f>
        <v>33267</v>
      </c>
      <c r="G19" s="248">
        <v>0</v>
      </c>
      <c r="H19" s="533" t="s">
        <v>470</v>
      </c>
      <c r="J19" s="422" t="s">
        <v>282</v>
      </c>
      <c r="K19" s="427">
        <v>0</v>
      </c>
      <c r="L19" s="424"/>
    </row>
    <row r="20" spans="2:12" x14ac:dyDescent="0.25">
      <c r="B20" s="533" t="str">
        <f>'S | 01 '!C21</f>
        <v>X-fusion</v>
      </c>
      <c r="C20" s="7" t="str">
        <f>'S | 01 '!F21</f>
        <v>Mozn 2</v>
      </c>
      <c r="D20" s="27" t="str">
        <f>'S | 01 '!H21</f>
        <v>Equity-TBC</v>
      </c>
      <c r="E20" s="441">
        <v>0</v>
      </c>
      <c r="F20" s="267" t="s">
        <v>131</v>
      </c>
      <c r="G20" s="248"/>
      <c r="H20" s="533" t="s">
        <v>608</v>
      </c>
      <c r="J20" s="422" t="s">
        <v>283</v>
      </c>
      <c r="K20" s="427">
        <v>0</v>
      </c>
      <c r="L20" s="424"/>
    </row>
    <row r="21" spans="2:12" x14ac:dyDescent="0.25">
      <c r="B21" s="4" t="str">
        <f>'S | 01 '!C22</f>
        <v>DriveNets</v>
      </c>
      <c r="C21" s="7" t="str">
        <f>'S | 01 '!F22</f>
        <v>G42</v>
      </c>
      <c r="D21" s="27" t="str">
        <f>'S | 01 '!H22</f>
        <v>Equity-TBC</v>
      </c>
      <c r="E21" s="440">
        <f>-SUM('CF (Equity, Debt)'!E26:E27)</f>
        <v>300</v>
      </c>
      <c r="F21" s="267">
        <f>'6. %'!D21</f>
        <v>86882669</v>
      </c>
      <c r="G21" s="248"/>
      <c r="H21" s="4" t="s">
        <v>85</v>
      </c>
      <c r="J21" s="422" t="s">
        <v>284</v>
      </c>
      <c r="K21" s="423">
        <f>K18*(1-K19)*(1-K20)</f>
        <v>1078740000</v>
      </c>
      <c r="L21" s="428"/>
    </row>
    <row r="22" spans="2:12" x14ac:dyDescent="0.25">
      <c r="B22" s="336" t="str">
        <f>'S | 01 '!C23</f>
        <v>vTv Therapeutics Inc.</v>
      </c>
      <c r="C22" s="7" t="str">
        <f>'S | 01 '!F23</f>
        <v>G42</v>
      </c>
      <c r="D22" s="27" t="str">
        <f>'S | 01 '!H23</f>
        <v>Ordinary Shares</v>
      </c>
      <c r="E22" s="441">
        <f>(F22*G22)*10^-6</f>
        <v>2.1837153699999998</v>
      </c>
      <c r="F22" s="267">
        <f>'CF (Equity, Debt)'!J29</f>
        <v>259657</v>
      </c>
      <c r="G22" s="280">
        <f>K9</f>
        <v>8.41</v>
      </c>
      <c r="H22" s="336" t="s">
        <v>240</v>
      </c>
      <c r="J22" s="422" t="s">
        <v>355</v>
      </c>
      <c r="K22" s="429">
        <f>K15</f>
        <v>7.2863300000000004</v>
      </c>
      <c r="L22" s="428"/>
    </row>
    <row r="23" spans="2:12" x14ac:dyDescent="0.25">
      <c r="B23" s="533" t="str">
        <f>'S | 01 '!C24</f>
        <v>Honor Device Co Ltd</v>
      </c>
      <c r="C23" s="7" t="str">
        <f>'S | 01 '!F24</f>
        <v>G42 3</v>
      </c>
      <c r="D23" s="27" t="str">
        <f>'S | 01 '!H24</f>
        <v>Equity-TBC</v>
      </c>
      <c r="E23" s="441">
        <v>0</v>
      </c>
      <c r="F23" s="267" t="s">
        <v>131</v>
      </c>
      <c r="G23" s="267"/>
      <c r="H23" s="533" t="s">
        <v>610</v>
      </c>
      <c r="J23" s="422" t="s">
        <v>285</v>
      </c>
      <c r="K23" s="430">
        <f>K21/K22</f>
        <v>148049841.27811942</v>
      </c>
      <c r="L23" s="424"/>
    </row>
    <row r="24" spans="2:12" x14ac:dyDescent="0.25">
      <c r="B24" s="5" t="str">
        <f>'S | 01 '!C25</f>
        <v>Applied AI Corporation Limited</v>
      </c>
      <c r="C24" s="7" t="str">
        <f>'S | 01 '!F25</f>
        <v>Mozn</v>
      </c>
      <c r="D24" s="27" t="str">
        <f>'S | 01 '!H25</f>
        <v>Convertible Note</v>
      </c>
      <c r="E24" s="440">
        <f>-'CF (Equity, Debt)'!E32-'CF (Equity, Debt)'!E38-'CF (Equity, Debt)'!E47</f>
        <v>11.5</v>
      </c>
      <c r="F24" s="267" t="s">
        <v>131</v>
      </c>
      <c r="G24" s="267"/>
      <c r="H24" s="5" t="s">
        <v>85</v>
      </c>
      <c r="J24" s="422" t="s">
        <v>286</v>
      </c>
      <c r="K24" s="426">
        <v>60000000</v>
      </c>
      <c r="L24" s="424"/>
    </row>
    <row r="25" spans="2:12" ht="15.75" thickBot="1" x14ac:dyDescent="0.3">
      <c r="B25" s="5" t="str">
        <f>'S | 01 '!C26</f>
        <v xml:space="preserve">eSpace </v>
      </c>
      <c r="C25" s="7" t="str">
        <f>'S | 01 '!F26</f>
        <v>Mozn 4</v>
      </c>
      <c r="D25" s="27" t="str">
        <f>'S | 01 '!H26</f>
        <v>B Prefs</v>
      </c>
      <c r="E25" s="440">
        <f>F25*G25*10^-6</f>
        <v>20.888121539999997</v>
      </c>
      <c r="F25" s="267">
        <v>417846</v>
      </c>
      <c r="G25" s="267">
        <v>49.99</v>
      </c>
      <c r="H25" s="5" t="s">
        <v>611</v>
      </c>
      <c r="J25" s="431" t="s">
        <v>287</v>
      </c>
      <c r="K25" s="432">
        <v>1.90391818080482</v>
      </c>
      <c r="L25" s="114"/>
    </row>
    <row r="26" spans="2:12" x14ac:dyDescent="0.25">
      <c r="B26" s="5" t="str">
        <f>'S | 01 '!C27</f>
        <v>Tools for Humanity Corporation</v>
      </c>
      <c r="C26" s="27" t="str">
        <f>'S | 01 '!F27</f>
        <v>Mozn</v>
      </c>
      <c r="D26" s="27" t="str">
        <f>'S | 01 '!H27</f>
        <v>C Prefs</v>
      </c>
      <c r="E26" s="440">
        <f ca="1">'S | 01 '!K27</f>
        <v>14.999998939999999</v>
      </c>
      <c r="F26" s="267">
        <f>'6. %'!D26</f>
        <v>65413</v>
      </c>
      <c r="G26" s="267"/>
      <c r="H26" s="5" t="s">
        <v>85</v>
      </c>
      <c r="J26" s="531"/>
      <c r="K26" s="532"/>
    </row>
    <row r="27" spans="2:12" x14ac:dyDescent="0.25">
      <c r="B27" s="5" t="str">
        <f>'S | 01 '!C28</f>
        <v>WLD Tokens</v>
      </c>
      <c r="C27" s="27" t="str">
        <f>'S | 01 '!F28</f>
        <v>Mozn</v>
      </c>
      <c r="D27" s="27" t="str">
        <f>'S | 01 '!H28</f>
        <v>Tokens</v>
      </c>
      <c r="E27" s="440">
        <f ca="1">MAX('S | 01 '!K28,F27*G27*10^-6)</f>
        <v>15</v>
      </c>
      <c r="F27" s="267">
        <f>'6. %'!D27</f>
        <v>62500000</v>
      </c>
      <c r="G27" s="280">
        <f>0.24</f>
        <v>0.24</v>
      </c>
      <c r="H27" s="5" t="s">
        <v>612</v>
      </c>
      <c r="J27" s="531"/>
      <c r="K27" s="532"/>
    </row>
    <row r="28" spans="2:12" x14ac:dyDescent="0.25">
      <c r="B28" s="5" t="s">
        <v>473</v>
      </c>
      <c r="C28" s="27" t="s">
        <v>8</v>
      </c>
      <c r="D28" s="27" t="s">
        <v>69</v>
      </c>
      <c r="E28" s="440">
        <f ca="1">MAX('S | 01 '!K29,F28*G28*10^-6)</f>
        <v>6</v>
      </c>
      <c r="F28" s="267"/>
      <c r="G28" s="267"/>
      <c r="H28" s="5" t="s">
        <v>85</v>
      </c>
    </row>
    <row r="29" spans="2:12" ht="15.75" thickBot="1" x14ac:dyDescent="0.3">
      <c r="B29" s="5" t="s">
        <v>522</v>
      </c>
      <c r="C29" s="27" t="s">
        <v>524</v>
      </c>
      <c r="D29" s="27" t="s">
        <v>525</v>
      </c>
      <c r="E29" s="442">
        <f>2.5+0.25</f>
        <v>2.75</v>
      </c>
      <c r="F29" s="267">
        <v>25000</v>
      </c>
      <c r="G29" s="267"/>
      <c r="H29" s="5" t="s">
        <v>603</v>
      </c>
    </row>
    <row r="30" spans="2:12" x14ac:dyDescent="0.25">
      <c r="B30" s="9"/>
      <c r="C30" s="9"/>
      <c r="D30" s="9"/>
      <c r="E30" s="243"/>
      <c r="F30" s="9"/>
      <c r="G30" s="9"/>
      <c r="H30" s="281"/>
    </row>
    <row r="31" spans="2:12" x14ac:dyDescent="0.25">
      <c r="B31" s="248"/>
      <c r="C31" s="248"/>
      <c r="D31" s="248"/>
      <c r="E31" s="248"/>
      <c r="F31" s="248"/>
      <c r="G31" s="248"/>
      <c r="H31" s="282"/>
    </row>
    <row r="32" spans="2:12" x14ac:dyDescent="0.25">
      <c r="B32" s="273"/>
      <c r="C32" s="273"/>
      <c r="D32" s="273"/>
      <c r="E32" s="273"/>
      <c r="F32" s="273"/>
      <c r="G32" s="273"/>
      <c r="H32" s="274"/>
    </row>
    <row r="33" spans="2:8" x14ac:dyDescent="0.25">
      <c r="B33" s="16" t="s">
        <v>29</v>
      </c>
      <c r="C33" s="275"/>
      <c r="D33" s="276"/>
      <c r="E33" s="276"/>
      <c r="F33" s="276"/>
      <c r="G33" s="276"/>
      <c r="H33" s="278"/>
    </row>
    <row r="34" spans="2:8" x14ac:dyDescent="0.25">
      <c r="B34" s="533" t="s">
        <v>49</v>
      </c>
      <c r="C34" s="7" t="s">
        <v>8</v>
      </c>
      <c r="D34" s="248" t="s">
        <v>133</v>
      </c>
      <c r="E34" s="248">
        <f>'S | 01 '!N35</f>
        <v>0</v>
      </c>
      <c r="F34" s="248"/>
      <c r="G34" s="248"/>
      <c r="H34" s="533" t="s">
        <v>137</v>
      </c>
    </row>
    <row r="35" spans="2:8" x14ac:dyDescent="0.25">
      <c r="B35" s="533" t="s">
        <v>273</v>
      </c>
      <c r="C35" s="7" t="s">
        <v>8</v>
      </c>
      <c r="D35" s="248" t="s">
        <v>134</v>
      </c>
      <c r="E35" s="248">
        <v>0</v>
      </c>
      <c r="F35" s="248"/>
      <c r="G35" s="248"/>
      <c r="H35" s="533" t="s">
        <v>607</v>
      </c>
    </row>
    <row r="36" spans="2:8" x14ac:dyDescent="0.25">
      <c r="B36" s="533" t="s">
        <v>265</v>
      </c>
      <c r="C36" s="7" t="s">
        <v>8</v>
      </c>
      <c r="D36" s="248" t="s">
        <v>134</v>
      </c>
      <c r="E36" s="248">
        <v>0</v>
      </c>
      <c r="F36" s="248"/>
      <c r="G36" s="248"/>
      <c r="H36" s="533" t="s">
        <v>613</v>
      </c>
    </row>
    <row r="37" spans="2:8" x14ac:dyDescent="0.25">
      <c r="B37" s="9"/>
      <c r="C37" s="9"/>
      <c r="D37" s="9"/>
      <c r="E37" s="9"/>
      <c r="F37" s="9"/>
      <c r="G37" s="9"/>
      <c r="H37" s="281"/>
    </row>
    <row r="38" spans="2:8" x14ac:dyDescent="0.25">
      <c r="B38" s="248"/>
      <c r="C38" s="248"/>
      <c r="D38" s="248"/>
      <c r="E38" s="248"/>
      <c r="F38" s="248"/>
      <c r="G38" s="248"/>
      <c r="H38" s="282"/>
    </row>
    <row r="39" spans="2:8" x14ac:dyDescent="0.25">
      <c r="B39" s="273"/>
      <c r="C39" s="273"/>
      <c r="D39" s="273"/>
      <c r="E39" s="273"/>
      <c r="F39" s="273"/>
      <c r="G39" s="273"/>
      <c r="H39" s="274"/>
    </row>
    <row r="40" spans="2:8" x14ac:dyDescent="0.25">
      <c r="B40" s="16" t="s">
        <v>30</v>
      </c>
      <c r="C40" s="275"/>
      <c r="D40" s="276"/>
      <c r="E40" s="276"/>
      <c r="F40" s="276"/>
      <c r="G40" s="276"/>
      <c r="H40" s="278"/>
    </row>
    <row r="41" spans="2:8" x14ac:dyDescent="0.25">
      <c r="B41" s="4" t="s">
        <v>125</v>
      </c>
      <c r="C41" s="7" t="s">
        <v>11</v>
      </c>
      <c r="D41" s="27" t="s">
        <v>55</v>
      </c>
      <c r="E41" s="248">
        <f>'5. NewSpace'!L43*10^-6*K11</f>
        <v>13.277944663100001</v>
      </c>
      <c r="F41" s="267"/>
      <c r="G41" s="248"/>
      <c r="H41" s="279" t="s">
        <v>509</v>
      </c>
    </row>
    <row r="42" spans="2:8" x14ac:dyDescent="0.25">
      <c r="B42" s="4" t="s">
        <v>390</v>
      </c>
      <c r="C42" s="7" t="s">
        <v>11</v>
      </c>
      <c r="D42" s="27" t="s">
        <v>61</v>
      </c>
      <c r="E42" s="248">
        <f ca="1">E41*'S | 02'!L38/'S | 02'!L37</f>
        <v>2.5684255069948656</v>
      </c>
      <c r="F42" s="267"/>
      <c r="G42" s="248"/>
      <c r="H42" s="279" t="s">
        <v>493</v>
      </c>
    </row>
    <row r="43" spans="2:8" x14ac:dyDescent="0.25">
      <c r="B43" s="4" t="s">
        <v>1</v>
      </c>
      <c r="C43" s="7" t="s">
        <v>11</v>
      </c>
      <c r="D43" s="27" t="s">
        <v>55</v>
      </c>
      <c r="E43" s="248">
        <f>81.513771 -'CF (Funds)'!E35</f>
        <v>74.725861000000009</v>
      </c>
      <c r="F43" s="28"/>
      <c r="G43" s="248"/>
      <c r="H43" s="279" t="s">
        <v>509</v>
      </c>
    </row>
    <row r="44" spans="2:8" x14ac:dyDescent="0.25">
      <c r="B44" s="533" t="s">
        <v>12</v>
      </c>
      <c r="C44" s="7" t="s">
        <v>11</v>
      </c>
      <c r="D44" s="27" t="s">
        <v>55</v>
      </c>
      <c r="E44" s="248">
        <f>21.254442-'CF (Funds)'!D19</f>
        <v>23.670303000000001</v>
      </c>
      <c r="F44" s="267"/>
      <c r="G44" s="248"/>
      <c r="H44" s="533" t="s">
        <v>614</v>
      </c>
    </row>
    <row r="45" spans="2:8" x14ac:dyDescent="0.25">
      <c r="B45" s="4" t="s">
        <v>176</v>
      </c>
      <c r="C45" s="7" t="s">
        <v>11</v>
      </c>
      <c r="D45" s="27" t="s">
        <v>55</v>
      </c>
      <c r="E45" s="248">
        <v>12.310425</v>
      </c>
      <c r="F45" s="267"/>
      <c r="G45" s="248"/>
      <c r="H45" s="279" t="s">
        <v>509</v>
      </c>
    </row>
    <row r="46" spans="2:8" x14ac:dyDescent="0.25">
      <c r="B46" s="9"/>
      <c r="C46" s="9"/>
      <c r="D46" s="9"/>
      <c r="E46" s="9"/>
      <c r="F46" s="9"/>
      <c r="G46" s="9"/>
      <c r="H46" s="281"/>
    </row>
    <row r="48" spans="2:8" x14ac:dyDescent="0.25">
      <c r="B48" s="37" t="s">
        <v>91</v>
      </c>
      <c r="C48" s="37"/>
      <c r="F48" s="27" t="s">
        <v>24</v>
      </c>
    </row>
    <row r="49" spans="2:14" x14ac:dyDescent="0.25">
      <c r="B49" s="26" t="s">
        <v>451</v>
      </c>
      <c r="F49" s="27" t="s">
        <v>8</v>
      </c>
      <c r="G49" s="528">
        <f ca="1">'S | 02'!Q31</f>
        <v>-1.4740654081106183E-2</v>
      </c>
    </row>
    <row r="50" spans="2:14" x14ac:dyDescent="0.25">
      <c r="F50" s="27" t="s">
        <v>11</v>
      </c>
      <c r="G50" s="528">
        <f ca="1">'S | 02'!Q42</f>
        <v>-1.7151203751564027E-2</v>
      </c>
    </row>
    <row r="51" spans="2:14" x14ac:dyDescent="0.25">
      <c r="F51" s="27" t="s">
        <v>472</v>
      </c>
      <c r="G51" s="528">
        <f ca="1">'S | 02'!Q44</f>
        <v>-1.2957467883825301E-2</v>
      </c>
    </row>
    <row r="54" spans="2:14" ht="15.75" x14ac:dyDescent="0.3">
      <c r="E54" s="592">
        <v>12310425</v>
      </c>
    </row>
    <row r="57" spans="2:14" x14ac:dyDescent="0.25">
      <c r="K57" s="27"/>
      <c r="L57" s="27"/>
      <c r="M57" s="27"/>
      <c r="N57" s="27"/>
    </row>
  </sheetData>
  <hyperlinks>
    <hyperlink ref="L8" r:id="rId1" xr:uid="{CC6E9707-04B1-41FD-8B83-19BDFBE26526}"/>
    <hyperlink ref="L9" r:id="rId2" xr:uid="{8A0F78DA-9703-4A11-A62D-7660BBB7B435}"/>
  </hyperlinks>
  <pageMargins left="0.25" right="0.25" top="0.75" bottom="0.75" header="0.3" footer="0.3"/>
  <pageSetup paperSize="9" scale="64" orientation="landscape" verticalDpi="1200" r:id="rId3"/>
  <headerFooter>
    <oddHeader>&amp;L&amp;"Calibri"&amp;7&amp;KFF0000  &amp;1#_x000D_</oddHeader>
    <oddFooter xml:space="preserve">&amp;L_x000D_&amp;1#&amp;"Calibri"&amp;7&amp;KFF0000 RESTRICTED </oddFooter>
  </headerFooter>
  <colBreaks count="1" manualBreakCount="1">
    <brk id="8" max="1048575" man="1"/>
  </colBreaks>
  <ignoredErrors>
    <ignoredError sqref="F9:F11 F13" formulaRange="1"/>
  </ignoredErrors>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1"/>
  <sheetViews>
    <sheetView topLeftCell="A4" zoomScale="90" zoomScaleNormal="90" workbookViewId="0">
      <selection activeCell="D39" sqref="D39"/>
    </sheetView>
  </sheetViews>
  <sheetFormatPr defaultColWidth="9.140625" defaultRowHeight="12.75" outlineLevelCol="1" x14ac:dyDescent="0.2"/>
  <cols>
    <col min="1" max="1" width="5.5703125" style="81" customWidth="1"/>
    <col min="2" max="2" width="22.5703125" style="81" customWidth="1"/>
    <col min="3" max="3" width="39.28515625" style="81" customWidth="1"/>
    <col min="4" max="4" width="14.140625" style="90" customWidth="1"/>
    <col min="5" max="6" width="14.140625" style="81" customWidth="1"/>
    <col min="7" max="7" width="17" style="81" customWidth="1" outlineLevel="1"/>
    <col min="8" max="8" width="19.28515625" style="92" customWidth="1" outlineLevel="1"/>
    <col min="9" max="9" width="19.7109375" style="81" customWidth="1" outlineLevel="1"/>
    <col min="10" max="10" width="17.85546875" style="81" customWidth="1"/>
    <col min="11" max="11" width="9.5703125" style="81" bestFit="1" customWidth="1"/>
    <col min="12" max="16384" width="9.140625" style="81"/>
  </cols>
  <sheetData>
    <row r="2" spans="2:15" s="73" customFormat="1" x14ac:dyDescent="0.2">
      <c r="B2" s="123" t="s">
        <v>349</v>
      </c>
      <c r="C2" s="124"/>
      <c r="D2" s="125"/>
      <c r="E2" s="126"/>
      <c r="F2" s="126"/>
      <c r="G2" s="126"/>
      <c r="H2" s="126"/>
      <c r="I2" s="126"/>
      <c r="J2" s="126"/>
      <c r="K2" s="126"/>
    </row>
    <row r="3" spans="2:15" s="73" customFormat="1" ht="36" customHeight="1" x14ac:dyDescent="0.2">
      <c r="B3" s="70" t="s">
        <v>4</v>
      </c>
      <c r="C3" s="70" t="s">
        <v>5</v>
      </c>
      <c r="D3" s="71" t="s">
        <v>6</v>
      </c>
      <c r="E3" s="72" t="s">
        <v>93</v>
      </c>
      <c r="F3" s="72" t="s">
        <v>138</v>
      </c>
      <c r="G3" s="72" t="s">
        <v>58</v>
      </c>
      <c r="H3" s="72" t="s">
        <v>463</v>
      </c>
      <c r="I3" s="72" t="s">
        <v>462</v>
      </c>
      <c r="J3" s="72" t="s">
        <v>141</v>
      </c>
      <c r="K3" s="72" t="s">
        <v>21</v>
      </c>
    </row>
    <row r="4" spans="2:15" ht="12.75" customHeight="1" x14ac:dyDescent="0.2">
      <c r="B4" s="74" t="str">
        <f>VLOOKUP(C4,'S | 01 '!$C$10:$F$45,4,0)</f>
        <v>Mozn</v>
      </c>
      <c r="C4" s="75" t="s">
        <v>48</v>
      </c>
      <c r="D4" s="76">
        <v>43470</v>
      </c>
      <c r="E4" s="79">
        <f t="shared" ref="E4:E27" si="0">-I4*10^-6</f>
        <v>-30</v>
      </c>
      <c r="F4" s="78"/>
      <c r="G4" s="77" t="s">
        <v>10</v>
      </c>
      <c r="H4" s="78">
        <v>30000000</v>
      </c>
      <c r="I4" s="517">
        <f t="shared" ref="I4:I14" si="1">H4</f>
        <v>30000000</v>
      </c>
      <c r="J4" s="80">
        <v>6100312</v>
      </c>
      <c r="K4" s="77"/>
      <c r="L4" s="92"/>
      <c r="N4" s="73" t="s">
        <v>126</v>
      </c>
    </row>
    <row r="5" spans="2:15" ht="12.75" customHeight="1" x14ac:dyDescent="0.2">
      <c r="B5" s="74" t="str">
        <f>VLOOKUP(C5,'S | 01 '!$C$10:$F$45,4,0)</f>
        <v>Mozn</v>
      </c>
      <c r="C5" s="75" t="s">
        <v>48</v>
      </c>
      <c r="D5" s="76">
        <v>43724</v>
      </c>
      <c r="E5" s="79">
        <f t="shared" si="0"/>
        <v>-20</v>
      </c>
      <c r="F5" s="78"/>
      <c r="G5" s="77" t="s">
        <v>10</v>
      </c>
      <c r="H5" s="78">
        <v>20000000</v>
      </c>
      <c r="I5" s="517">
        <f t="shared" si="1"/>
        <v>20000000</v>
      </c>
      <c r="J5" s="80">
        <v>4204767.4285714282</v>
      </c>
      <c r="K5" s="77"/>
      <c r="L5" s="92"/>
      <c r="N5" s="81" t="s">
        <v>92</v>
      </c>
      <c r="O5" s="92">
        <v>3.6779999999999999</v>
      </c>
    </row>
    <row r="6" spans="2:15" ht="12.75" customHeight="1" x14ac:dyDescent="0.2">
      <c r="B6" s="74" t="str">
        <f>VLOOKUP(C6,'S | 01 '!$C$10:$F$45,4,0)</f>
        <v>Mozn</v>
      </c>
      <c r="C6" s="75" t="s">
        <v>48</v>
      </c>
      <c r="D6" s="76">
        <v>43724</v>
      </c>
      <c r="E6" s="79">
        <f t="shared" si="0"/>
        <v>-15</v>
      </c>
      <c r="F6" s="78"/>
      <c r="G6" s="77" t="s">
        <v>10</v>
      </c>
      <c r="H6" s="78">
        <v>15000000</v>
      </c>
      <c r="I6" s="517">
        <f t="shared" si="1"/>
        <v>15000000</v>
      </c>
      <c r="J6" s="80">
        <v>3153575.5714285714</v>
      </c>
      <c r="K6" s="77"/>
      <c r="L6" s="92"/>
    </row>
    <row r="7" spans="2:15" ht="12.75" customHeight="1" x14ac:dyDescent="0.2">
      <c r="B7" s="82" t="str">
        <f>VLOOKUP(C7,'S | 01 '!$C$10:$F$45,4,0)</f>
        <v>Mozn</v>
      </c>
      <c r="C7" s="83" t="s">
        <v>0</v>
      </c>
      <c r="D7" s="84">
        <v>43563</v>
      </c>
      <c r="E7" s="87">
        <f t="shared" si="0"/>
        <v>-8</v>
      </c>
      <c r="F7" s="86"/>
      <c r="G7" s="85" t="s">
        <v>10</v>
      </c>
      <c r="H7" s="86">
        <v>8000000</v>
      </c>
      <c r="I7" s="518">
        <f t="shared" si="1"/>
        <v>8000000</v>
      </c>
      <c r="J7" s="88">
        <v>21419829</v>
      </c>
      <c r="K7" s="85"/>
      <c r="L7" s="92"/>
    </row>
    <row r="8" spans="2:15" ht="12.75" customHeight="1" x14ac:dyDescent="0.2">
      <c r="B8" s="74" t="str">
        <f>VLOOKUP(C8,'S | 01 '!$C$10:$F$45,4,0)</f>
        <v>Mozn</v>
      </c>
      <c r="C8" s="75" t="s">
        <v>39</v>
      </c>
      <c r="D8" s="76">
        <v>43570</v>
      </c>
      <c r="E8" s="79">
        <f t="shared" si="0"/>
        <v>-4.9999980900000001</v>
      </c>
      <c r="F8" s="78"/>
      <c r="G8" s="77" t="s">
        <v>10</v>
      </c>
      <c r="H8" s="78">
        <v>4999998.09</v>
      </c>
      <c r="I8" s="517">
        <f t="shared" si="1"/>
        <v>4999998.09</v>
      </c>
      <c r="J8" s="80">
        <v>2625467</v>
      </c>
      <c r="K8" s="77"/>
      <c r="L8" s="92"/>
    </row>
    <row r="9" spans="2:15" ht="12.75" customHeight="1" x14ac:dyDescent="0.2">
      <c r="B9" s="74" t="str">
        <f>VLOOKUP(C9,'S | 01 '!$C$10:$F$45,4,0)</f>
        <v>Mozn</v>
      </c>
      <c r="C9" s="75" t="s">
        <v>39</v>
      </c>
      <c r="D9" s="76">
        <v>43915</v>
      </c>
      <c r="E9" s="79">
        <f t="shared" si="0"/>
        <v>-5.0000019099999999</v>
      </c>
      <c r="F9" s="78"/>
      <c r="G9" s="77" t="s">
        <v>10</v>
      </c>
      <c r="H9" s="78">
        <f>10000000-H8</f>
        <v>5000001.91</v>
      </c>
      <c r="I9" s="517">
        <f t="shared" si="1"/>
        <v>5000001.91</v>
      </c>
      <c r="J9" s="80">
        <v>2580015</v>
      </c>
      <c r="K9" s="77"/>
      <c r="L9" s="92"/>
    </row>
    <row r="10" spans="2:15" ht="12.75" customHeight="1" x14ac:dyDescent="0.2">
      <c r="B10" s="82" t="str">
        <f>VLOOKUP(C10,'S | 01 '!$C$10:$F$45,4,0)</f>
        <v>Mozn</v>
      </c>
      <c r="C10" s="83" t="s">
        <v>40</v>
      </c>
      <c r="D10" s="84">
        <v>43870</v>
      </c>
      <c r="E10" s="87">
        <f t="shared" si="0"/>
        <v>-2.5</v>
      </c>
      <c r="F10" s="86"/>
      <c r="G10" s="85" t="s">
        <v>10</v>
      </c>
      <c r="H10" s="86">
        <v>2500000</v>
      </c>
      <c r="I10" s="518">
        <f t="shared" si="1"/>
        <v>2500000</v>
      </c>
      <c r="J10" s="88" t="s">
        <v>72</v>
      </c>
      <c r="K10" s="85"/>
      <c r="L10" s="92"/>
    </row>
    <row r="11" spans="2:15" ht="12.75" customHeight="1" x14ac:dyDescent="0.2">
      <c r="B11" s="74" t="str">
        <f>VLOOKUP(C11,'S | 01 '!$C$10:$F$45,4,0)</f>
        <v>Mozn</v>
      </c>
      <c r="C11" s="75" t="s">
        <v>38</v>
      </c>
      <c r="D11" s="76">
        <v>43879</v>
      </c>
      <c r="E11" s="79">
        <f t="shared" si="0"/>
        <v>-20</v>
      </c>
      <c r="F11" s="78"/>
      <c r="G11" s="77" t="s">
        <v>10</v>
      </c>
      <c r="H11" s="78">
        <v>20000000</v>
      </c>
      <c r="I11" s="517">
        <f t="shared" si="1"/>
        <v>20000000</v>
      </c>
      <c r="J11" s="80">
        <v>4084038</v>
      </c>
      <c r="K11" s="77"/>
      <c r="L11" s="92"/>
    </row>
    <row r="12" spans="2:15" ht="12.75" customHeight="1" x14ac:dyDescent="0.2">
      <c r="B12" s="74" t="str">
        <f>VLOOKUP(C12,'S | 01 '!$C$10:$F$45,4,0)</f>
        <v>Mozn</v>
      </c>
      <c r="C12" s="75" t="s">
        <v>38</v>
      </c>
      <c r="D12" s="76">
        <v>43921</v>
      </c>
      <c r="E12" s="79">
        <f t="shared" si="0"/>
        <v>-30</v>
      </c>
      <c r="F12" s="78"/>
      <c r="G12" s="77" t="s">
        <v>10</v>
      </c>
      <c r="H12" s="78">
        <v>30000000</v>
      </c>
      <c r="I12" s="517">
        <f t="shared" si="1"/>
        <v>30000000</v>
      </c>
      <c r="J12" s="80">
        <v>5822642</v>
      </c>
      <c r="K12" s="77"/>
      <c r="L12" s="92"/>
    </row>
    <row r="13" spans="2:15" ht="12.75" customHeight="1" x14ac:dyDescent="0.2">
      <c r="B13" s="74" t="str">
        <f>VLOOKUP(C13,'S | 01 '!$C$10:$F$45,4,0)</f>
        <v>Mozn</v>
      </c>
      <c r="C13" s="75" t="s">
        <v>38</v>
      </c>
      <c r="D13" s="76">
        <v>43989</v>
      </c>
      <c r="E13" s="79">
        <f t="shared" si="0"/>
        <v>-30</v>
      </c>
      <c r="F13" s="78"/>
      <c r="G13" s="77" t="s">
        <v>10</v>
      </c>
      <c r="H13" s="78">
        <v>30000000</v>
      </c>
      <c r="I13" s="517">
        <f t="shared" si="1"/>
        <v>30000000</v>
      </c>
      <c r="J13" s="80">
        <v>5822642</v>
      </c>
      <c r="K13" s="77"/>
      <c r="L13" s="92"/>
    </row>
    <row r="14" spans="2:15" ht="12.75" customHeight="1" x14ac:dyDescent="0.2">
      <c r="B14" s="74" t="str">
        <f>VLOOKUP(C14,'S | 01 '!$C$10:$F$45,4,0)</f>
        <v>Mozn</v>
      </c>
      <c r="C14" s="75" t="s">
        <v>38</v>
      </c>
      <c r="D14" s="76">
        <v>44103</v>
      </c>
      <c r="E14" s="79">
        <f t="shared" si="0"/>
        <v>-10</v>
      </c>
      <c r="F14" s="78"/>
      <c r="G14" s="77" t="s">
        <v>10</v>
      </c>
      <c r="H14" s="78">
        <v>10000000</v>
      </c>
      <c r="I14" s="517">
        <f t="shared" si="1"/>
        <v>10000000</v>
      </c>
      <c r="J14" s="80">
        <v>1940880</v>
      </c>
      <c r="K14" s="77"/>
      <c r="L14" s="92"/>
    </row>
    <row r="15" spans="2:15" ht="12.75" customHeight="1" x14ac:dyDescent="0.2">
      <c r="B15" s="82" t="str">
        <f>VLOOKUP(C15,'S | 01 '!$C$10:$F$45,4,0)</f>
        <v>Mozn</v>
      </c>
      <c r="C15" s="83" t="s">
        <v>89</v>
      </c>
      <c r="D15" s="84">
        <v>43968</v>
      </c>
      <c r="E15" s="87">
        <f t="shared" si="0"/>
        <v>-50</v>
      </c>
      <c r="F15" s="86"/>
      <c r="G15" s="85" t="s">
        <v>10</v>
      </c>
      <c r="H15" s="86">
        <v>50000000</v>
      </c>
      <c r="I15" s="518">
        <v>50000000</v>
      </c>
      <c r="J15" s="88">
        <v>15277680</v>
      </c>
      <c r="K15" s="85"/>
      <c r="L15" s="92"/>
    </row>
    <row r="16" spans="2:15" ht="12.75" customHeight="1" x14ac:dyDescent="0.2">
      <c r="B16" s="82" t="str">
        <f>VLOOKUP(C16,'S | 01 '!$C$10:$F$45,4,0)</f>
        <v>Mozn</v>
      </c>
      <c r="C16" s="83" t="s">
        <v>89</v>
      </c>
      <c r="D16" s="84">
        <v>44006</v>
      </c>
      <c r="E16" s="87">
        <f t="shared" si="0"/>
        <v>-27.268350856443721</v>
      </c>
      <c r="F16" s="86"/>
      <c r="G16" s="85" t="s">
        <v>20</v>
      </c>
      <c r="H16" s="118">
        <v>21029625</v>
      </c>
      <c r="I16" s="518">
        <v>27268350.856443722</v>
      </c>
      <c r="J16" s="88">
        <v>9000000</v>
      </c>
      <c r="K16" s="85"/>
      <c r="L16" s="92"/>
    </row>
    <row r="17" spans="2:13" ht="12.75" customHeight="1" x14ac:dyDescent="0.2">
      <c r="B17" s="82" t="str">
        <f>VLOOKUP(C17,'S | 01 '!$C$10:$F$45,4,0)</f>
        <v>Mozn</v>
      </c>
      <c r="C17" s="83" t="s">
        <v>89</v>
      </c>
      <c r="D17" s="84">
        <v>43837</v>
      </c>
      <c r="E17" s="87">
        <f t="shared" si="0"/>
        <v>-18.109441299619355</v>
      </c>
      <c r="F17" s="86"/>
      <c r="G17" s="85" t="s">
        <v>20</v>
      </c>
      <c r="H17" s="118">
        <v>14386480</v>
      </c>
      <c r="I17" s="518">
        <v>18109441.299619358</v>
      </c>
      <c r="J17" s="88">
        <v>6362180</v>
      </c>
      <c r="K17" s="85"/>
      <c r="L17" s="92"/>
    </row>
    <row r="18" spans="2:13" ht="12.75" customHeight="1" x14ac:dyDescent="0.2">
      <c r="B18" s="82" t="str">
        <f>VLOOKUP(C18,'S | 01 '!$C$10:$F$45,4,0)</f>
        <v>Mozn</v>
      </c>
      <c r="C18" s="83" t="s">
        <v>89</v>
      </c>
      <c r="D18" s="84">
        <v>43990</v>
      </c>
      <c r="E18" s="87">
        <f t="shared" si="0"/>
        <v>-34.851687094159864</v>
      </c>
      <c r="F18" s="86"/>
      <c r="G18" s="85" t="s">
        <v>20</v>
      </c>
      <c r="H18" s="118">
        <v>26085572.879999999</v>
      </c>
      <c r="I18" s="518">
        <v>34851687.094159864</v>
      </c>
      <c r="J18" s="88">
        <v>11381140</v>
      </c>
      <c r="K18" s="85"/>
      <c r="L18" s="92"/>
    </row>
    <row r="19" spans="2:13" ht="12.75" customHeight="1" x14ac:dyDescent="0.2">
      <c r="B19" s="82" t="str">
        <f>VLOOKUP(C19,'S | 01 '!$C$10:$F$45,4,0)</f>
        <v>Mozn</v>
      </c>
      <c r="C19" s="83" t="s">
        <v>89</v>
      </c>
      <c r="D19" s="84">
        <v>44315</v>
      </c>
      <c r="E19" s="87">
        <f t="shared" si="0"/>
        <v>-11.240780424143557</v>
      </c>
      <c r="F19" s="86"/>
      <c r="G19" s="85" t="s">
        <v>20</v>
      </c>
      <c r="H19" s="118">
        <v>8074920</v>
      </c>
      <c r="I19" s="518">
        <v>11240780.424143557</v>
      </c>
      <c r="J19" s="88">
        <v>2307120</v>
      </c>
      <c r="K19" s="85"/>
      <c r="L19" s="92"/>
    </row>
    <row r="20" spans="2:13" ht="12.75" customHeight="1" x14ac:dyDescent="0.2">
      <c r="B20" s="74" t="str">
        <f>VLOOKUP(C20,'S | 01 '!$C$10:$F$45,4,0)</f>
        <v>Mozn</v>
      </c>
      <c r="C20" s="75" t="s">
        <v>9</v>
      </c>
      <c r="D20" s="76">
        <v>44166</v>
      </c>
      <c r="E20" s="79">
        <f t="shared" si="0"/>
        <v>-60</v>
      </c>
      <c r="F20" s="78"/>
      <c r="G20" s="77" t="s">
        <v>10</v>
      </c>
      <c r="H20" s="78">
        <v>60000000</v>
      </c>
      <c r="I20" s="517">
        <f>H20</f>
        <v>60000000</v>
      </c>
      <c r="J20" s="80">
        <v>4753356.29</v>
      </c>
      <c r="K20" s="77"/>
      <c r="L20" s="92"/>
    </row>
    <row r="21" spans="2:13" ht="12.75" customHeight="1" x14ac:dyDescent="0.2">
      <c r="B21" s="82" t="str">
        <f>VLOOKUP(C21,'S | 01 '!$C$10:$F$45,4,0)</f>
        <v>Mozn 1</v>
      </c>
      <c r="C21" s="83" t="s">
        <v>18</v>
      </c>
      <c r="D21" s="84">
        <v>44363</v>
      </c>
      <c r="E21" s="87">
        <f t="shared" si="0"/>
        <v>-20</v>
      </c>
      <c r="F21" s="86"/>
      <c r="G21" s="85" t="s">
        <v>10</v>
      </c>
      <c r="H21" s="86">
        <v>20000000</v>
      </c>
      <c r="I21" s="518">
        <f>H21</f>
        <v>20000000</v>
      </c>
      <c r="J21" s="88">
        <v>7959497</v>
      </c>
      <c r="K21" s="85"/>
      <c r="L21" s="92"/>
    </row>
    <row r="22" spans="2:13" ht="12.75" customHeight="1" x14ac:dyDescent="0.2">
      <c r="B22" s="74" t="str">
        <f>VLOOKUP(C22,'S | 01 '!$C$10:$F$45,4,0)</f>
        <v>Mozn</v>
      </c>
      <c r="C22" s="75" t="s">
        <v>41</v>
      </c>
      <c r="D22" s="76">
        <v>44488</v>
      </c>
      <c r="E22" s="79">
        <f t="shared" si="0"/>
        <v>-39.999983359999995</v>
      </c>
      <c r="F22" s="78"/>
      <c r="G22" s="77" t="s">
        <v>10</v>
      </c>
      <c r="H22" s="78">
        <v>39999983.359999999</v>
      </c>
      <c r="I22" s="517">
        <f>H22</f>
        <v>39999983.359999999</v>
      </c>
      <c r="J22" s="80">
        <v>1441711</v>
      </c>
      <c r="K22" s="77"/>
      <c r="L22" s="92"/>
    </row>
    <row r="23" spans="2:13" ht="12.75" customHeight="1" x14ac:dyDescent="0.2">
      <c r="B23" s="82" t="str">
        <f>VLOOKUP(C23,'S | 01 '!$C$10:$F$45,4,0)</f>
        <v>Mozn</v>
      </c>
      <c r="C23" s="83" t="s">
        <v>42</v>
      </c>
      <c r="D23" s="84">
        <v>44494</v>
      </c>
      <c r="E23" s="87">
        <f t="shared" si="0"/>
        <v>-3</v>
      </c>
      <c r="F23" s="86"/>
      <c r="G23" s="85" t="s">
        <v>10</v>
      </c>
      <c r="H23" s="86">
        <v>3000000</v>
      </c>
      <c r="I23" s="518">
        <f>H23</f>
        <v>3000000</v>
      </c>
      <c r="J23" s="88">
        <v>3000000</v>
      </c>
      <c r="K23" s="85"/>
      <c r="L23" s="92"/>
    </row>
    <row r="24" spans="2:13" ht="12.75" customHeight="1" x14ac:dyDescent="0.2">
      <c r="B24" s="74" t="str">
        <f>VLOOKUP(C24,'S | 01 '!$C$10:$F$45,4,0)</f>
        <v>Mozn</v>
      </c>
      <c r="C24" s="75" t="s">
        <v>43</v>
      </c>
      <c r="D24" s="76">
        <v>44550</v>
      </c>
      <c r="E24" s="79">
        <f t="shared" si="0"/>
        <v>-5.0237201984774336</v>
      </c>
      <c r="F24" s="78"/>
      <c r="G24" s="77" t="s">
        <v>20</v>
      </c>
      <c r="H24" s="119">
        <v>3679995.54</v>
      </c>
      <c r="I24" s="517">
        <v>5023720.198477434</v>
      </c>
      <c r="J24" s="80">
        <v>33267</v>
      </c>
      <c r="K24" s="77"/>
      <c r="L24" s="92"/>
    </row>
    <row r="25" spans="2:13" ht="12.75" customHeight="1" x14ac:dyDescent="0.2">
      <c r="B25" s="82" t="str">
        <f>VLOOKUP(C25,'S | 01 '!$C$10:$F$45,4,0)</f>
        <v>Mozn 2</v>
      </c>
      <c r="C25" s="83" t="s">
        <v>71</v>
      </c>
      <c r="D25" s="84">
        <v>44574</v>
      </c>
      <c r="E25" s="87">
        <f t="shared" si="0"/>
        <v>-493.50095619999996</v>
      </c>
      <c r="F25" s="86"/>
      <c r="G25" s="85" t="s">
        <v>10</v>
      </c>
      <c r="H25" s="86">
        <v>893500956.20000005</v>
      </c>
      <c r="I25" s="518">
        <v>493500956.19999999</v>
      </c>
      <c r="J25" s="88"/>
      <c r="K25" s="85"/>
      <c r="L25" s="92"/>
    </row>
    <row r="26" spans="2:13" ht="12.75" customHeight="1" x14ac:dyDescent="0.2">
      <c r="B26" s="74" t="str">
        <f>VLOOKUP(C26,'S | 01 '!$C$10:$F$45,4,0)</f>
        <v>G42</v>
      </c>
      <c r="C26" s="75" t="s">
        <v>19</v>
      </c>
      <c r="D26" s="76">
        <v>44643</v>
      </c>
      <c r="E26" s="79">
        <f t="shared" si="0"/>
        <v>-200</v>
      </c>
      <c r="F26" s="78"/>
      <c r="G26" s="77" t="s">
        <v>10</v>
      </c>
      <c r="H26" s="78">
        <v>200000000</v>
      </c>
      <c r="I26" s="517">
        <f>H26</f>
        <v>200000000</v>
      </c>
      <c r="J26" s="80"/>
      <c r="K26" s="77"/>
      <c r="L26" s="92"/>
    </row>
    <row r="27" spans="2:13" ht="12.75" customHeight="1" x14ac:dyDescent="0.2">
      <c r="B27" s="74" t="str">
        <f>VLOOKUP(C27,'S | 01 '!$C$10:$F$45,4,0)</f>
        <v>G42</v>
      </c>
      <c r="C27" s="75" t="s">
        <v>19</v>
      </c>
      <c r="D27" s="76">
        <v>44680</v>
      </c>
      <c r="E27" s="79">
        <f t="shared" si="0"/>
        <v>-100</v>
      </c>
      <c r="F27" s="78"/>
      <c r="G27" s="77" t="s">
        <v>10</v>
      </c>
      <c r="H27" s="78">
        <v>100000000</v>
      </c>
      <c r="I27" s="517">
        <f>H27</f>
        <v>100000000</v>
      </c>
      <c r="J27" s="80"/>
      <c r="K27" s="77"/>
      <c r="L27" s="92"/>
    </row>
    <row r="28" spans="2:13" ht="12.75" customHeight="1" x14ac:dyDescent="0.2">
      <c r="B28" s="82" t="str">
        <f>VLOOKUP(C28,'S | 01 '!$C$10:$F$45,4,0)</f>
        <v>Mozn</v>
      </c>
      <c r="C28" s="83" t="s">
        <v>40</v>
      </c>
      <c r="D28" s="84">
        <v>44691</v>
      </c>
      <c r="E28" s="87"/>
      <c r="F28" s="87">
        <v>5</v>
      </c>
      <c r="G28" s="85" t="s">
        <v>10</v>
      </c>
      <c r="H28" s="86"/>
      <c r="I28" s="518"/>
      <c r="J28" s="88"/>
      <c r="K28" s="85"/>
      <c r="L28" s="92"/>
    </row>
    <row r="29" spans="2:13" ht="12.75" customHeight="1" x14ac:dyDescent="0.2">
      <c r="B29" s="74" t="str">
        <f>VLOOKUP(C29,'S | 01 '!$C$10:$F$45,4,0)</f>
        <v>G42</v>
      </c>
      <c r="C29" s="75" t="s">
        <v>90</v>
      </c>
      <c r="D29" s="76">
        <v>44712</v>
      </c>
      <c r="E29" s="79">
        <f>-I29*10^-6</f>
        <v>-12.5</v>
      </c>
      <c r="F29" s="78"/>
      <c r="G29" s="77" t="s">
        <v>10</v>
      </c>
      <c r="H29" s="78">
        <v>12500000</v>
      </c>
      <c r="I29" s="517">
        <f t="shared" ref="I29:I35" si="2">H29</f>
        <v>12500000</v>
      </c>
      <c r="J29" s="80">
        <f>'6. %'!D22</f>
        <v>259657</v>
      </c>
      <c r="K29" s="77"/>
      <c r="L29" s="92"/>
    </row>
    <row r="30" spans="2:13" ht="12.75" customHeight="1" x14ac:dyDescent="0.2">
      <c r="B30" s="82" t="str">
        <f>VLOOKUP(C30,'S | 01 '!$C$10:$F$45,4,0)</f>
        <v>G42 3</v>
      </c>
      <c r="C30" s="83" t="s">
        <v>35</v>
      </c>
      <c r="D30" s="84">
        <v>44769</v>
      </c>
      <c r="E30" s="87">
        <f t="shared" ref="E30:E38" si="3">-I30*10^-6</f>
        <v>-600</v>
      </c>
      <c r="F30" s="86"/>
      <c r="G30" s="85" t="s">
        <v>10</v>
      </c>
      <c r="H30" s="86">
        <v>600000000</v>
      </c>
      <c r="I30" s="518">
        <f t="shared" si="2"/>
        <v>600000000</v>
      </c>
      <c r="J30" s="88"/>
      <c r="K30" s="85"/>
      <c r="L30" s="92"/>
      <c r="M30" s="73"/>
    </row>
    <row r="31" spans="2:13" ht="12.75" customHeight="1" x14ac:dyDescent="0.2">
      <c r="B31" s="82" t="str">
        <f>VLOOKUP(C31,'S | 01 '!$C$10:$F$45,4,0)</f>
        <v>G42 3</v>
      </c>
      <c r="C31" s="83" t="s">
        <v>35</v>
      </c>
      <c r="D31" s="84">
        <v>44849</v>
      </c>
      <c r="E31" s="87">
        <f t="shared" si="3"/>
        <v>-200</v>
      </c>
      <c r="F31" s="86"/>
      <c r="G31" s="85" t="s">
        <v>10</v>
      </c>
      <c r="H31" s="86">
        <v>200000000</v>
      </c>
      <c r="I31" s="518">
        <f t="shared" si="2"/>
        <v>200000000</v>
      </c>
      <c r="J31" s="88"/>
      <c r="K31" s="85"/>
      <c r="L31" s="92"/>
    </row>
    <row r="32" spans="2:13" ht="12.75" customHeight="1" x14ac:dyDescent="0.2">
      <c r="B32" s="74" t="str">
        <f>VLOOKUP(C32,'S | 01 '!$C$10:$F$45,4,0)</f>
        <v>Mozn</v>
      </c>
      <c r="C32" s="75" t="s">
        <v>271</v>
      </c>
      <c r="D32" s="76">
        <v>44861</v>
      </c>
      <c r="E32" s="79">
        <f t="shared" si="3"/>
        <v>-4.75</v>
      </c>
      <c r="F32" s="78"/>
      <c r="G32" s="77" t="s">
        <v>10</v>
      </c>
      <c r="H32" s="78">
        <v>4750000</v>
      </c>
      <c r="I32" s="517">
        <f t="shared" si="2"/>
        <v>4750000</v>
      </c>
      <c r="J32" s="80"/>
      <c r="K32" s="77"/>
      <c r="L32" s="92"/>
    </row>
    <row r="33" spans="2:13" ht="12.75" customHeight="1" x14ac:dyDescent="0.2">
      <c r="B33" s="82" t="str">
        <f>VLOOKUP(C33,'S | 01 '!$C$10:$F$45,4,0)</f>
        <v>Mozn 4</v>
      </c>
      <c r="C33" s="83" t="s">
        <v>306</v>
      </c>
      <c r="D33" s="84">
        <v>44892</v>
      </c>
      <c r="E33" s="87">
        <f t="shared" si="3"/>
        <v>-15</v>
      </c>
      <c r="F33" s="86"/>
      <c r="G33" s="85" t="s">
        <v>10</v>
      </c>
      <c r="H33" s="86">
        <v>15000000</v>
      </c>
      <c r="I33" s="518">
        <f t="shared" si="2"/>
        <v>15000000</v>
      </c>
      <c r="J33" s="88"/>
      <c r="K33" s="85"/>
      <c r="L33" s="92"/>
      <c r="M33" s="73"/>
    </row>
    <row r="34" spans="2:13" ht="12.75" customHeight="1" x14ac:dyDescent="0.2">
      <c r="B34" s="74" t="str">
        <f>VLOOKUP(C34,'S | 01 '!$C$10:$F$45,4,0)</f>
        <v>G42</v>
      </c>
      <c r="C34" s="75" t="s">
        <v>90</v>
      </c>
      <c r="D34" s="76">
        <v>44985</v>
      </c>
      <c r="E34" s="79">
        <f t="shared" si="3"/>
        <v>-12.03125</v>
      </c>
      <c r="F34" s="78"/>
      <c r="G34" s="77" t="s">
        <v>10</v>
      </c>
      <c r="H34" s="78">
        <v>12031250</v>
      </c>
      <c r="I34" s="517">
        <f t="shared" si="2"/>
        <v>12031250</v>
      </c>
      <c r="J34" s="80">
        <v>10386274</v>
      </c>
      <c r="K34" s="77"/>
      <c r="L34" s="92"/>
    </row>
    <row r="35" spans="2:13" ht="12.75" customHeight="1" x14ac:dyDescent="0.2">
      <c r="B35" s="82" t="str">
        <f>VLOOKUP(C35,'S | 01 '!$C$10:$F$45,4,0)</f>
        <v>Mozn</v>
      </c>
      <c r="C35" s="83" t="s">
        <v>391</v>
      </c>
      <c r="D35" s="84">
        <v>45075</v>
      </c>
      <c r="E35" s="87">
        <f t="shared" si="3"/>
        <v>-14.999998939999999</v>
      </c>
      <c r="F35" s="87"/>
      <c r="G35" s="85" t="s">
        <v>10</v>
      </c>
      <c r="H35" s="86">
        <v>14999998.939999999</v>
      </c>
      <c r="I35" s="518">
        <f t="shared" si="2"/>
        <v>14999998.939999999</v>
      </c>
      <c r="J35" s="88"/>
      <c r="K35" s="85"/>
      <c r="L35" s="92"/>
    </row>
    <row r="36" spans="2:13" ht="12.75" customHeight="1" x14ac:dyDescent="0.2">
      <c r="B36" s="74" t="str">
        <f>VLOOKUP(C36,'S | 01 '!$C$10:$F$45,4,0)</f>
        <v>Mozn</v>
      </c>
      <c r="C36" s="75" t="s">
        <v>461</v>
      </c>
      <c r="D36" s="76">
        <v>45075</v>
      </c>
      <c r="E36" s="79">
        <f t="shared" si="3"/>
        <v>-5.875E-3</v>
      </c>
      <c r="F36" s="78"/>
      <c r="G36" s="77" t="s">
        <v>10</v>
      </c>
      <c r="H36" s="78"/>
      <c r="I36" s="517">
        <v>5875</v>
      </c>
      <c r="J36" s="80"/>
      <c r="K36" s="77"/>
      <c r="L36" s="92"/>
    </row>
    <row r="37" spans="2:13" ht="12.75" customHeight="1" x14ac:dyDescent="0.2">
      <c r="B37" s="74" t="str">
        <f>VLOOKUP(C37,'S | 01 '!$C$10:$F$45,4,0)</f>
        <v>Mozn</v>
      </c>
      <c r="C37" s="75" t="s">
        <v>461</v>
      </c>
      <c r="D37" s="76">
        <v>45114</v>
      </c>
      <c r="E37" s="79">
        <f t="shared" si="3"/>
        <v>-1E-3</v>
      </c>
      <c r="F37" s="78"/>
      <c r="G37" s="77" t="s">
        <v>10</v>
      </c>
      <c r="H37" s="78"/>
      <c r="I37" s="517">
        <v>1000</v>
      </c>
      <c r="J37" s="80"/>
      <c r="K37" s="77"/>
      <c r="L37" s="92"/>
    </row>
    <row r="38" spans="2:13" ht="12.75" customHeight="1" x14ac:dyDescent="0.2">
      <c r="B38" s="82" t="str">
        <f>VLOOKUP(C38,'S | 01 '!$C$10:$F$45,4,0)</f>
        <v>Mozn</v>
      </c>
      <c r="C38" s="83" t="s">
        <v>271</v>
      </c>
      <c r="D38" s="84">
        <v>45121</v>
      </c>
      <c r="E38" s="87">
        <f t="shared" si="3"/>
        <v>-2.75</v>
      </c>
      <c r="F38" s="87"/>
      <c r="G38" s="85" t="s">
        <v>10</v>
      </c>
      <c r="H38" s="86"/>
      <c r="I38" s="518">
        <v>2750000</v>
      </c>
      <c r="J38" s="88"/>
      <c r="K38" s="85"/>
      <c r="L38" s="92"/>
    </row>
    <row r="39" spans="2:13" ht="12.75" customHeight="1" x14ac:dyDescent="0.2">
      <c r="B39" s="74" t="str">
        <f>VLOOKUP(C39,'S | 01 '!$C$10:$F$45,4,0)</f>
        <v>Mozn</v>
      </c>
      <c r="C39" s="75" t="s">
        <v>43</v>
      </c>
      <c r="D39" s="76">
        <v>45138</v>
      </c>
      <c r="E39" s="79"/>
      <c r="F39" s="78">
        <f>I39*10^-6</f>
        <v>7.8207760999999989</v>
      </c>
      <c r="G39" s="77" t="s">
        <v>10</v>
      </c>
      <c r="H39" s="534">
        <v>6090345.2199999997</v>
      </c>
      <c r="I39" s="517">
        <v>7820776.0999999996</v>
      </c>
      <c r="J39" s="80"/>
      <c r="K39" s="77"/>
      <c r="L39" s="521"/>
    </row>
    <row r="40" spans="2:13" ht="12.75" customHeight="1" x14ac:dyDescent="0.2">
      <c r="B40" s="82" t="str">
        <f>VLOOKUP(C40,'S | 01 '!$C$10:$F$45,4,0)</f>
        <v>Mozn 1</v>
      </c>
      <c r="C40" s="83" t="s">
        <v>18</v>
      </c>
      <c r="D40" s="84">
        <v>45149</v>
      </c>
      <c r="E40" s="87"/>
      <c r="F40" s="87">
        <v>24.5</v>
      </c>
      <c r="G40" s="85" t="s">
        <v>10</v>
      </c>
      <c r="H40" s="118"/>
      <c r="I40" s="518">
        <v>24500000</v>
      </c>
      <c r="J40" s="88">
        <v>7959497</v>
      </c>
      <c r="K40" s="88"/>
      <c r="L40" s="521"/>
    </row>
    <row r="41" spans="2:13" ht="12.75" customHeight="1" x14ac:dyDescent="0.2">
      <c r="B41" s="74" t="str">
        <f>VLOOKUP(C41,'S | 01 '!$C$10:$F$45,4,0)</f>
        <v>Mozn</v>
      </c>
      <c r="C41" s="75" t="s">
        <v>42</v>
      </c>
      <c r="D41" s="76">
        <v>45167</v>
      </c>
      <c r="E41" s="79">
        <f t="shared" ref="E41" si="4">-I41*10^-6</f>
        <v>-5</v>
      </c>
      <c r="F41" s="78"/>
      <c r="G41" s="77" t="s">
        <v>10</v>
      </c>
      <c r="H41" s="78"/>
      <c r="I41" s="517">
        <v>5000000</v>
      </c>
      <c r="J41" s="80">
        <v>5000000</v>
      </c>
      <c r="K41" s="77"/>
      <c r="L41" s="521"/>
    </row>
    <row r="42" spans="2:13" ht="12.75" customHeight="1" x14ac:dyDescent="0.2">
      <c r="B42" s="82" t="str">
        <f>VLOOKUP(C42,'S | 01 '!$C$10:$F$45,4,0)</f>
        <v>Mozn</v>
      </c>
      <c r="C42" s="83" t="s">
        <v>473</v>
      </c>
      <c r="D42" s="84">
        <v>45167</v>
      </c>
      <c r="E42" s="87">
        <v>-6</v>
      </c>
      <c r="F42" s="87"/>
      <c r="G42" s="85" t="s">
        <v>10</v>
      </c>
      <c r="H42" s="118"/>
      <c r="I42" s="518">
        <v>6000000</v>
      </c>
      <c r="J42" s="88">
        <f>I42/1.34</f>
        <v>4477611.940298507</v>
      </c>
      <c r="K42" s="88"/>
      <c r="L42" s="521"/>
    </row>
    <row r="43" spans="2:13" ht="12.75" customHeight="1" x14ac:dyDescent="0.2">
      <c r="B43" s="74" t="str">
        <f>VLOOKUP(C43,'S | 01 '!$C$10:$F$45,4,0)</f>
        <v>G42 3</v>
      </c>
      <c r="C43" s="75" t="s">
        <v>35</v>
      </c>
      <c r="D43" s="76">
        <v>45224</v>
      </c>
      <c r="E43" s="79"/>
      <c r="F43" s="554">
        <v>2.8</v>
      </c>
      <c r="G43" s="77" t="s">
        <v>10</v>
      </c>
      <c r="H43" s="78"/>
      <c r="I43" s="517"/>
      <c r="J43" s="80"/>
      <c r="K43" s="77"/>
      <c r="L43" s="521"/>
    </row>
    <row r="44" spans="2:13" ht="12.75" customHeight="1" x14ac:dyDescent="0.2">
      <c r="B44" s="82" t="str">
        <f>VLOOKUP(C44,'S | 01 '!$C$10:$F$45,4,0)</f>
        <v>G42 3</v>
      </c>
      <c r="C44" s="83" t="s">
        <v>35</v>
      </c>
      <c r="D44" s="84">
        <v>45224</v>
      </c>
      <c r="E44" s="87"/>
      <c r="F44" s="555">
        <v>800</v>
      </c>
      <c r="G44" s="85" t="s">
        <v>10</v>
      </c>
      <c r="H44" s="118"/>
      <c r="I44" s="518"/>
      <c r="J44" s="88"/>
      <c r="K44" s="88"/>
      <c r="L44" s="521"/>
    </row>
    <row r="45" spans="2:13" ht="12.75" customHeight="1" x14ac:dyDescent="0.2">
      <c r="B45" s="74" t="str">
        <f>VLOOKUP(C45,'S | 01 '!$C$10:$F$45,4,0)</f>
        <v>Mozn 2</v>
      </c>
      <c r="C45" s="75" t="s">
        <v>71</v>
      </c>
      <c r="D45" s="76">
        <v>45224</v>
      </c>
      <c r="E45" s="79"/>
      <c r="F45" s="554">
        <v>403</v>
      </c>
      <c r="G45" s="77" t="s">
        <v>10</v>
      </c>
      <c r="H45" s="78"/>
      <c r="I45" s="517"/>
      <c r="J45" s="80"/>
      <c r="K45" s="77"/>
      <c r="L45" s="521"/>
    </row>
    <row r="46" spans="2:13" ht="12.75" customHeight="1" x14ac:dyDescent="0.2">
      <c r="B46" s="82" t="str">
        <f>VLOOKUP(C46,'S | 01 '!$C$10:$F$45,4,0)</f>
        <v>Mozn</v>
      </c>
      <c r="C46" s="83" t="s">
        <v>43</v>
      </c>
      <c r="D46" s="84">
        <v>45224</v>
      </c>
      <c r="E46" s="87"/>
      <c r="F46" s="87">
        <v>0.12141643000000001</v>
      </c>
      <c r="G46" s="85" t="s">
        <v>10</v>
      </c>
      <c r="H46" s="118"/>
      <c r="I46" s="518"/>
      <c r="J46" s="88"/>
      <c r="K46" s="88"/>
      <c r="L46" s="521"/>
    </row>
    <row r="47" spans="2:13" ht="12.75" customHeight="1" x14ac:dyDescent="0.2">
      <c r="B47" s="74" t="str">
        <f>VLOOKUP(C47,'S | 01 '!$C$10:$F$45,4,0)</f>
        <v>Mozn</v>
      </c>
      <c r="C47" s="75" t="s">
        <v>271</v>
      </c>
      <c r="D47" s="76">
        <v>45295</v>
      </c>
      <c r="E47" s="79">
        <f t="shared" ref="E47:E48" si="5">-I47*10^-6</f>
        <v>-4</v>
      </c>
      <c r="F47" s="78"/>
      <c r="G47" s="77" t="s">
        <v>10</v>
      </c>
      <c r="H47" s="78">
        <v>4000000</v>
      </c>
      <c r="I47" s="517">
        <f t="shared" ref="I47" si="6">H47</f>
        <v>4000000</v>
      </c>
      <c r="J47" s="80"/>
      <c r="K47" s="77"/>
      <c r="L47" s="521"/>
    </row>
    <row r="48" spans="2:13" ht="12.75" customHeight="1" x14ac:dyDescent="0.2">
      <c r="B48" s="82" t="str">
        <f>VLOOKUP(C48,'S | 01 '!$C$10:$F$45,4,0)</f>
        <v>Core42</v>
      </c>
      <c r="C48" s="83" t="s">
        <v>522</v>
      </c>
      <c r="D48" s="84">
        <v>45322</v>
      </c>
      <c r="E48" s="87">
        <f t="shared" si="5"/>
        <v>-2.75</v>
      </c>
      <c r="F48" s="87"/>
      <c r="G48" s="85" t="s">
        <v>10</v>
      </c>
      <c r="H48" s="590">
        <v>2750000</v>
      </c>
      <c r="I48" s="590">
        <v>2750000</v>
      </c>
      <c r="J48" s="88"/>
      <c r="K48" s="88"/>
      <c r="L48" s="521"/>
    </row>
    <row r="49" spans="2:12" ht="12.75" customHeight="1" x14ac:dyDescent="0.2">
      <c r="B49" s="74"/>
      <c r="C49" s="75"/>
      <c r="D49" s="76"/>
      <c r="E49" s="79"/>
      <c r="F49" s="78"/>
      <c r="G49" s="77"/>
      <c r="H49" s="78"/>
      <c r="I49" s="517"/>
      <c r="J49" s="80"/>
      <c r="K49" s="77"/>
      <c r="L49" s="521"/>
    </row>
    <row r="50" spans="2:12" ht="12.75" customHeight="1" x14ac:dyDescent="0.2">
      <c r="B50" s="82"/>
      <c r="C50" s="83"/>
      <c r="D50" s="84"/>
      <c r="E50" s="87"/>
      <c r="F50" s="87"/>
      <c r="G50" s="85"/>
      <c r="H50" s="118"/>
      <c r="I50" s="518"/>
      <c r="J50" s="88"/>
      <c r="K50" s="88"/>
      <c r="L50" s="521"/>
    </row>
    <row r="51" spans="2:12" x14ac:dyDescent="0.2">
      <c r="D51" s="382"/>
      <c r="H51" s="89"/>
      <c r="I51" s="519"/>
    </row>
    <row r="52" spans="2:12" s="73" customFormat="1" x14ac:dyDescent="0.2">
      <c r="B52" s="123" t="s">
        <v>139</v>
      </c>
      <c r="C52" s="124"/>
      <c r="D52" s="125"/>
      <c r="E52" s="126"/>
      <c r="F52" s="126"/>
      <c r="G52" s="126"/>
      <c r="H52" s="126"/>
      <c r="I52" s="520"/>
      <c r="J52" s="126"/>
      <c r="K52" s="126"/>
    </row>
    <row r="53" spans="2:12" ht="12.75" customHeight="1" x14ac:dyDescent="0.2">
      <c r="B53" s="74" t="s">
        <v>8</v>
      </c>
      <c r="C53" s="75" t="s">
        <v>49</v>
      </c>
      <c r="D53" s="76">
        <v>43635</v>
      </c>
      <c r="E53" s="79">
        <v>-8</v>
      </c>
      <c r="F53" s="78"/>
      <c r="G53" s="77" t="s">
        <v>10</v>
      </c>
      <c r="H53" s="78">
        <v>8000000</v>
      </c>
      <c r="I53" s="517">
        <f>H53</f>
        <v>8000000</v>
      </c>
      <c r="J53" s="80"/>
      <c r="K53" s="77"/>
    </row>
    <row r="54" spans="2:12" ht="12.75" customHeight="1" x14ac:dyDescent="0.2">
      <c r="B54" s="82" t="s">
        <v>8</v>
      </c>
      <c r="C54" s="83" t="s">
        <v>273</v>
      </c>
      <c r="D54" s="84">
        <v>44293</v>
      </c>
      <c r="E54" s="87">
        <v>-2.3539819999999998</v>
      </c>
      <c r="F54" s="86"/>
      <c r="G54" s="85" t="s">
        <v>10</v>
      </c>
      <c r="H54" s="86">
        <f>-E54*10^6</f>
        <v>2353982</v>
      </c>
      <c r="I54" s="518">
        <f>H54</f>
        <v>2353982</v>
      </c>
      <c r="J54" s="88"/>
      <c r="K54" s="85"/>
    </row>
    <row r="55" spans="2:12" ht="12.75" customHeight="1" x14ac:dyDescent="0.2">
      <c r="B55" s="74" t="s">
        <v>8</v>
      </c>
      <c r="C55" s="75" t="s">
        <v>265</v>
      </c>
      <c r="D55" s="76">
        <v>44384</v>
      </c>
      <c r="E55" s="79">
        <f>-I55*10^-6</f>
        <v>-0.41176499999999999</v>
      </c>
      <c r="F55" s="78"/>
      <c r="G55" s="77" t="s">
        <v>10</v>
      </c>
      <c r="H55" s="78">
        <v>2500000</v>
      </c>
      <c r="I55" s="517">
        <v>411765</v>
      </c>
      <c r="J55" s="80"/>
      <c r="K55" s="77"/>
    </row>
    <row r="56" spans="2:12" x14ac:dyDescent="0.2">
      <c r="B56" s="82" t="s">
        <v>8</v>
      </c>
      <c r="C56" s="83" t="s">
        <v>265</v>
      </c>
      <c r="D56" s="84">
        <v>44902</v>
      </c>
      <c r="E56" s="87"/>
      <c r="F56" s="87">
        <f>(411765+59019.65)*10^-6</f>
        <v>0.47078465000000003</v>
      </c>
      <c r="G56" s="85" t="s">
        <v>10</v>
      </c>
      <c r="H56" s="86">
        <f>F56*10^6</f>
        <v>470784.65</v>
      </c>
      <c r="I56" s="518">
        <v>470784.65</v>
      </c>
      <c r="J56" s="88"/>
      <c r="K56" s="85"/>
    </row>
    <row r="57" spans="2:12" x14ac:dyDescent="0.2">
      <c r="D57" s="383"/>
      <c r="I57" s="519"/>
      <c r="J57" s="91"/>
    </row>
    <row r="58" spans="2:12" x14ac:dyDescent="0.2">
      <c r="I58" s="519"/>
      <c r="J58" s="91"/>
    </row>
    <row r="59" spans="2:12" x14ac:dyDescent="0.2">
      <c r="I59" s="519"/>
    </row>
    <row r="60" spans="2:12" x14ac:dyDescent="0.2">
      <c r="I60" s="519"/>
    </row>
    <row r="61" spans="2:12" x14ac:dyDescent="0.2">
      <c r="I61" s="519"/>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A2:K51"/>
  <sheetViews>
    <sheetView topLeftCell="A9" zoomScale="90" zoomScaleNormal="90" workbookViewId="0">
      <selection activeCell="C45" sqref="C45"/>
    </sheetView>
  </sheetViews>
  <sheetFormatPr defaultColWidth="9.140625" defaultRowHeight="15" outlineLevelCol="1" x14ac:dyDescent="0.25"/>
  <cols>
    <col min="1" max="1" width="16.28515625" style="27" customWidth="1"/>
    <col min="2" max="2" width="30.140625" style="26" bestFit="1" customWidth="1"/>
    <col min="3" max="3" width="15.85546875" style="26" customWidth="1"/>
    <col min="4" max="4" width="14.140625" style="26" customWidth="1"/>
    <col min="5" max="5" width="13" style="26" customWidth="1"/>
    <col min="6" max="6" width="10.28515625" style="26" customWidth="1"/>
    <col min="7" max="7" width="16" style="26" customWidth="1" outlineLevel="1"/>
    <col min="8" max="8" width="47.85546875" style="26" customWidth="1"/>
    <col min="9" max="10" width="9.140625" style="26"/>
    <col min="11" max="12" width="14.5703125" style="26" customWidth="1"/>
    <col min="13" max="13" width="15.85546875" style="26" customWidth="1"/>
    <col min="14" max="14" width="23.140625" style="26" customWidth="1"/>
    <col min="15" max="16384" width="9.140625" style="26"/>
  </cols>
  <sheetData>
    <row r="2" spans="1:11" s="59" customFormat="1" ht="33.75" customHeight="1" x14ac:dyDescent="0.2">
      <c r="A2" s="57" t="s">
        <v>122</v>
      </c>
      <c r="B2" s="58" t="s">
        <v>5</v>
      </c>
      <c r="C2" s="57" t="s">
        <v>6</v>
      </c>
      <c r="D2" s="57" t="s">
        <v>170</v>
      </c>
      <c r="E2" s="57" t="s">
        <v>171</v>
      </c>
      <c r="F2" s="57" t="s">
        <v>22</v>
      </c>
      <c r="G2" s="57" t="s">
        <v>161</v>
      </c>
      <c r="H2" s="57" t="s">
        <v>7</v>
      </c>
      <c r="K2" s="564" t="s">
        <v>360</v>
      </c>
    </row>
    <row r="3" spans="1:11" s="63" customFormat="1" ht="15.75" customHeight="1" x14ac:dyDescent="0.25">
      <c r="A3" s="60" t="s">
        <v>11</v>
      </c>
      <c r="B3" s="61" t="s">
        <v>12</v>
      </c>
      <c r="C3" s="265">
        <v>44153</v>
      </c>
      <c r="D3" s="62">
        <f>G3</f>
        <v>-10.5</v>
      </c>
      <c r="E3" s="62"/>
      <c r="F3" s="60" t="s">
        <v>10</v>
      </c>
      <c r="G3" s="62">
        <v>-10.5</v>
      </c>
      <c r="H3" s="60" t="s">
        <v>13</v>
      </c>
      <c r="K3" s="561">
        <f>SUM(D3:D53)</f>
        <v>-138.88391878132614</v>
      </c>
    </row>
    <row r="4" spans="1:11" s="63" customFormat="1" ht="15.75" customHeight="1" x14ac:dyDescent="0.25">
      <c r="A4" s="60" t="s">
        <v>11</v>
      </c>
      <c r="B4" s="61" t="s">
        <v>12</v>
      </c>
      <c r="C4" s="265">
        <v>44238</v>
      </c>
      <c r="D4" s="62">
        <f>G4</f>
        <v>4.2140269999999997</v>
      </c>
      <c r="E4" s="62"/>
      <c r="F4" s="64" t="s">
        <v>10</v>
      </c>
      <c r="G4" s="62">
        <v>4.2140269999999997</v>
      </c>
      <c r="H4" s="60" t="s">
        <v>14</v>
      </c>
      <c r="K4" s="562">
        <f ca="1">'S | 01 '!K46</f>
        <v>138.88391878132617</v>
      </c>
    </row>
    <row r="5" spans="1:11" s="63" customFormat="1" ht="15.75" customHeight="1" x14ac:dyDescent="0.25">
      <c r="A5" s="60" t="s">
        <v>11</v>
      </c>
      <c r="B5" s="61" t="s">
        <v>12</v>
      </c>
      <c r="C5" s="265">
        <v>44238</v>
      </c>
      <c r="D5" s="62"/>
      <c r="E5" s="62">
        <f>G5</f>
        <v>5.0448349999999996E-2</v>
      </c>
      <c r="F5" s="64" t="s">
        <v>10</v>
      </c>
      <c r="G5" s="62">
        <v>5.0448349999999996E-2</v>
      </c>
      <c r="H5" s="60" t="s">
        <v>17</v>
      </c>
      <c r="K5" s="562" t="b">
        <f ca="1">ROUND(K4,5)=-ROUND(K3,5)</f>
        <v>1</v>
      </c>
    </row>
    <row r="6" spans="1:11" s="63" customFormat="1" ht="15.75" customHeight="1" x14ac:dyDescent="0.2">
      <c r="A6" s="60" t="s">
        <v>11</v>
      </c>
      <c r="B6" s="61" t="s">
        <v>12</v>
      </c>
      <c r="C6" s="265">
        <v>44285</v>
      </c>
      <c r="D6" s="62">
        <f>G6</f>
        <v>-6.4337459999999993</v>
      </c>
      <c r="E6" s="62"/>
      <c r="F6" s="64" t="s">
        <v>10</v>
      </c>
      <c r="G6" s="62">
        <v>-6.4337459999999993</v>
      </c>
      <c r="H6" s="60" t="s">
        <v>15</v>
      </c>
      <c r="K6" s="563"/>
    </row>
    <row r="7" spans="1:11" s="63" customFormat="1" ht="15.75" customHeight="1" x14ac:dyDescent="0.2">
      <c r="A7" s="60" t="s">
        <v>11</v>
      </c>
      <c r="B7" s="61" t="s">
        <v>12</v>
      </c>
      <c r="C7" s="265">
        <v>44269</v>
      </c>
      <c r="D7" s="62">
        <f>G7</f>
        <v>1.1352073899999999</v>
      </c>
      <c r="E7" s="62"/>
      <c r="F7" s="64" t="s">
        <v>10</v>
      </c>
      <c r="G7" s="62">
        <v>1.1352073899999999</v>
      </c>
      <c r="H7" s="60" t="s">
        <v>16</v>
      </c>
      <c r="K7" s="563"/>
    </row>
    <row r="8" spans="1:11" s="63" customFormat="1" ht="15.75" customHeight="1" x14ac:dyDescent="0.2">
      <c r="A8" s="60" t="s">
        <v>11</v>
      </c>
      <c r="B8" s="61" t="s">
        <v>12</v>
      </c>
      <c r="C8" s="265">
        <v>44269</v>
      </c>
      <c r="D8" s="62"/>
      <c r="E8" s="62">
        <f>G8</f>
        <v>2.5899999999999999E-2</v>
      </c>
      <c r="F8" s="60" t="s">
        <v>10</v>
      </c>
      <c r="G8" s="62">
        <v>2.5899999999999999E-2</v>
      </c>
      <c r="H8" s="60" t="s">
        <v>17</v>
      </c>
      <c r="K8" s="563"/>
    </row>
    <row r="9" spans="1:11" s="63" customFormat="1" ht="15.75" customHeight="1" x14ac:dyDescent="0.2">
      <c r="A9" s="60" t="s">
        <v>11</v>
      </c>
      <c r="B9" s="61" t="s">
        <v>12</v>
      </c>
      <c r="C9" s="265">
        <v>44483</v>
      </c>
      <c r="D9" s="62">
        <f>G9</f>
        <v>-7.5671379999999999</v>
      </c>
      <c r="E9" s="62"/>
      <c r="F9" s="60" t="s">
        <v>10</v>
      </c>
      <c r="G9" s="62">
        <v>-7.5671379999999999</v>
      </c>
      <c r="H9" s="60" t="s">
        <v>110</v>
      </c>
      <c r="K9" s="563"/>
    </row>
    <row r="10" spans="1:11" s="63" customFormat="1" ht="15.75" customHeight="1" x14ac:dyDescent="0.2">
      <c r="A10" s="60" t="s">
        <v>11</v>
      </c>
      <c r="B10" s="61" t="s">
        <v>12</v>
      </c>
      <c r="C10" s="265">
        <v>44554</v>
      </c>
      <c r="D10" s="62">
        <f>G10</f>
        <v>-7.3850159999999994</v>
      </c>
      <c r="E10" s="62"/>
      <c r="F10" s="60" t="s">
        <v>10</v>
      </c>
      <c r="G10" s="62">
        <v>-7.3850159999999994</v>
      </c>
      <c r="H10" s="60" t="s">
        <v>111</v>
      </c>
    </row>
    <row r="11" spans="1:11" s="63" customFormat="1" ht="15.75" customHeight="1" x14ac:dyDescent="0.2">
      <c r="A11" s="60" t="s">
        <v>11</v>
      </c>
      <c r="B11" s="61" t="s">
        <v>12</v>
      </c>
      <c r="C11" s="265">
        <v>44554</v>
      </c>
      <c r="D11" s="62">
        <f>G11</f>
        <v>4.0733456099999996</v>
      </c>
      <c r="E11" s="62"/>
      <c r="F11" s="60" t="s">
        <v>10</v>
      </c>
      <c r="G11" s="62">
        <v>4.0733456099999996</v>
      </c>
      <c r="H11" s="60" t="s">
        <v>16</v>
      </c>
    </row>
    <row r="12" spans="1:11" s="63" customFormat="1" ht="15.75" customHeight="1" x14ac:dyDescent="0.2">
      <c r="A12" s="60" t="s">
        <v>11</v>
      </c>
      <c r="B12" s="61" t="s">
        <v>12</v>
      </c>
      <c r="C12" s="265">
        <v>44554</v>
      </c>
      <c r="D12" s="62"/>
      <c r="E12" s="62">
        <f>G12</f>
        <v>0.13969399999999998</v>
      </c>
      <c r="F12" s="60" t="s">
        <v>10</v>
      </c>
      <c r="G12" s="62">
        <v>0.13969399999999998</v>
      </c>
      <c r="H12" s="60" t="s">
        <v>17</v>
      </c>
    </row>
    <row r="13" spans="1:11" s="63" customFormat="1" ht="15.75" customHeight="1" x14ac:dyDescent="0.2">
      <c r="A13" s="60" t="s">
        <v>11</v>
      </c>
      <c r="B13" s="61" t="s">
        <v>12</v>
      </c>
      <c r="C13" s="265">
        <v>44703</v>
      </c>
      <c r="D13" s="62">
        <f>G13</f>
        <v>5.6730739999999997</v>
      </c>
      <c r="E13" s="62"/>
      <c r="F13" s="60" t="s">
        <v>10</v>
      </c>
      <c r="G13" s="62">
        <v>5.6730739999999997</v>
      </c>
      <c r="H13" s="60" t="s">
        <v>16</v>
      </c>
    </row>
    <row r="14" spans="1:11" s="63" customFormat="1" ht="15.75" customHeight="1" x14ac:dyDescent="0.2">
      <c r="A14" s="60" t="s">
        <v>11</v>
      </c>
      <c r="B14" s="61" t="s">
        <v>12</v>
      </c>
      <c r="C14" s="265">
        <v>44703</v>
      </c>
      <c r="D14" s="62"/>
      <c r="E14" s="62">
        <f>G14</f>
        <v>0.22778599999999999</v>
      </c>
      <c r="F14" s="60" t="s">
        <v>10</v>
      </c>
      <c r="G14" s="62">
        <v>0.22778599999999999</v>
      </c>
      <c r="H14" s="60" t="s">
        <v>17</v>
      </c>
    </row>
    <row r="15" spans="1:11" s="63" customFormat="1" ht="15.75" customHeight="1" x14ac:dyDescent="0.2">
      <c r="A15" s="60" t="s">
        <v>11</v>
      </c>
      <c r="B15" s="61" t="s">
        <v>12</v>
      </c>
      <c r="C15" s="265">
        <v>44776</v>
      </c>
      <c r="D15" s="62">
        <f>G15</f>
        <v>-3.235493</v>
      </c>
      <c r="E15" s="62"/>
      <c r="F15" s="60" t="s">
        <v>10</v>
      </c>
      <c r="G15" s="62">
        <v>-3.235493</v>
      </c>
      <c r="H15" s="60" t="s">
        <v>113</v>
      </c>
    </row>
    <row r="16" spans="1:11" s="63" customFormat="1" ht="15.75" customHeight="1" x14ac:dyDescent="0.2">
      <c r="A16" s="60" t="s">
        <v>11</v>
      </c>
      <c r="B16" s="61" t="s">
        <v>12</v>
      </c>
      <c r="C16" s="265">
        <v>44960</v>
      </c>
      <c r="D16" s="62">
        <f>G16</f>
        <v>-2.6315279999999999</v>
      </c>
      <c r="E16" s="62"/>
      <c r="F16" s="60" t="s">
        <v>10</v>
      </c>
      <c r="G16" s="62">
        <v>-2.6315279999999999</v>
      </c>
      <c r="H16" s="60" t="s">
        <v>115</v>
      </c>
    </row>
    <row r="17" spans="1:8" s="63" customFormat="1" ht="15.75" customHeight="1" x14ac:dyDescent="0.2">
      <c r="A17" s="60" t="s">
        <v>11</v>
      </c>
      <c r="B17" s="61" t="s">
        <v>12</v>
      </c>
      <c r="C17" s="265">
        <v>45085</v>
      </c>
      <c r="D17" s="62">
        <f>G17</f>
        <v>1.9125570000000001</v>
      </c>
      <c r="E17" s="62"/>
      <c r="F17" s="60" t="s">
        <v>10</v>
      </c>
      <c r="G17" s="62">
        <v>1.9125570000000001</v>
      </c>
      <c r="H17" s="60" t="s">
        <v>16</v>
      </c>
    </row>
    <row r="18" spans="1:8" s="63" customFormat="1" ht="15.75" customHeight="1" x14ac:dyDescent="0.2">
      <c r="A18" s="60" t="s">
        <v>11</v>
      </c>
      <c r="B18" s="61" t="s">
        <v>12</v>
      </c>
      <c r="C18" s="265">
        <v>45166</v>
      </c>
      <c r="D18" s="62">
        <v>-1.7991220000000001</v>
      </c>
      <c r="E18" s="62"/>
      <c r="F18" s="60" t="s">
        <v>10</v>
      </c>
      <c r="G18" s="62">
        <v>-1.7991220000000001</v>
      </c>
      <c r="H18" s="60" t="s">
        <v>494</v>
      </c>
    </row>
    <row r="19" spans="1:8" s="63" customFormat="1" ht="15.75" customHeight="1" x14ac:dyDescent="0.2">
      <c r="A19" s="60" t="s">
        <v>11</v>
      </c>
      <c r="B19" s="61" t="s">
        <v>12</v>
      </c>
      <c r="C19" s="265">
        <v>45218</v>
      </c>
      <c r="D19" s="62">
        <v>-2.415861</v>
      </c>
      <c r="E19" s="62"/>
      <c r="F19" s="60" t="s">
        <v>10</v>
      </c>
      <c r="G19" s="62">
        <v>-2.415861</v>
      </c>
      <c r="H19" s="60" t="s">
        <v>496</v>
      </c>
    </row>
    <row r="20" spans="1:8" s="63" customFormat="1" ht="15.75" customHeight="1" x14ac:dyDescent="0.2">
      <c r="A20" s="60" t="s">
        <v>11</v>
      </c>
      <c r="B20" s="61" t="s">
        <v>12</v>
      </c>
      <c r="C20" s="265"/>
      <c r="D20" s="62"/>
      <c r="E20" s="62"/>
      <c r="F20" s="60"/>
      <c r="G20" s="62"/>
      <c r="H20" s="60"/>
    </row>
    <row r="21" spans="1:8" s="63" customFormat="1" ht="15.75" customHeight="1" x14ac:dyDescent="0.2">
      <c r="A21" s="65" t="s">
        <v>11</v>
      </c>
      <c r="B21" s="66" t="s">
        <v>1</v>
      </c>
      <c r="C21" s="266">
        <v>43665</v>
      </c>
      <c r="D21" s="69">
        <f t="shared" ref="D21:D28" si="0">G21</f>
        <v>-3</v>
      </c>
      <c r="E21" s="69"/>
      <c r="F21" s="65" t="s">
        <v>10</v>
      </c>
      <c r="G21" s="69">
        <v>-3</v>
      </c>
      <c r="H21" s="65" t="s">
        <v>13</v>
      </c>
    </row>
    <row r="22" spans="1:8" s="63" customFormat="1" ht="15.75" customHeight="1" x14ac:dyDescent="0.2">
      <c r="A22" s="65" t="s">
        <v>11</v>
      </c>
      <c r="B22" s="66" t="s">
        <v>1</v>
      </c>
      <c r="C22" s="266">
        <v>43983</v>
      </c>
      <c r="D22" s="69">
        <f t="shared" si="0"/>
        <v>-4.4849999999999994</v>
      </c>
      <c r="E22" s="69"/>
      <c r="F22" s="65" t="s">
        <v>10</v>
      </c>
      <c r="G22" s="69">
        <v>-4.4849999999999994</v>
      </c>
      <c r="H22" s="65" t="s">
        <v>15</v>
      </c>
    </row>
    <row r="23" spans="1:8" s="63" customFormat="1" ht="15.75" customHeight="1" x14ac:dyDescent="0.2">
      <c r="A23" s="65" t="s">
        <v>11</v>
      </c>
      <c r="B23" s="66" t="s">
        <v>1</v>
      </c>
      <c r="C23" s="266">
        <v>43879</v>
      </c>
      <c r="D23" s="69">
        <f t="shared" si="0"/>
        <v>-9.5097500000000004</v>
      </c>
      <c r="E23" s="69"/>
      <c r="F23" s="65" t="s">
        <v>10</v>
      </c>
      <c r="G23" s="69">
        <v>-9.5097500000000004</v>
      </c>
      <c r="H23" s="65" t="s">
        <v>110</v>
      </c>
    </row>
    <row r="24" spans="1:8" s="63" customFormat="1" ht="15.75" customHeight="1" x14ac:dyDescent="0.2">
      <c r="A24" s="65" t="s">
        <v>11</v>
      </c>
      <c r="B24" s="66" t="s">
        <v>1</v>
      </c>
      <c r="C24" s="266">
        <v>43934</v>
      </c>
      <c r="D24" s="69">
        <f t="shared" si="0"/>
        <v>-41.3</v>
      </c>
      <c r="E24" s="69"/>
      <c r="F24" s="65" t="s">
        <v>10</v>
      </c>
      <c r="G24" s="69">
        <v>-41.3</v>
      </c>
      <c r="H24" s="65" t="s">
        <v>111</v>
      </c>
    </row>
    <row r="25" spans="1:8" s="63" customFormat="1" ht="15.75" customHeight="1" x14ac:dyDescent="0.2">
      <c r="A25" s="65" t="s">
        <v>11</v>
      </c>
      <c r="B25" s="66" t="s">
        <v>1</v>
      </c>
      <c r="C25" s="266">
        <v>44151</v>
      </c>
      <c r="D25" s="69">
        <f t="shared" si="0"/>
        <v>9.9499999999999993</v>
      </c>
      <c r="E25" s="69"/>
      <c r="F25" s="65" t="s">
        <v>10</v>
      </c>
      <c r="G25" s="69">
        <v>9.9499999999999993</v>
      </c>
      <c r="H25" s="65" t="s">
        <v>112</v>
      </c>
    </row>
    <row r="26" spans="1:8" s="63" customFormat="1" ht="15.75" customHeight="1" x14ac:dyDescent="0.2">
      <c r="A26" s="65" t="s">
        <v>11</v>
      </c>
      <c r="B26" s="66" t="s">
        <v>1</v>
      </c>
      <c r="C26" s="266">
        <v>44151</v>
      </c>
      <c r="D26" s="69">
        <f t="shared" si="0"/>
        <v>-10.455</v>
      </c>
      <c r="E26" s="69"/>
      <c r="F26" s="65" t="s">
        <v>10</v>
      </c>
      <c r="G26" s="69">
        <v>-10.455</v>
      </c>
      <c r="H26" s="65" t="s">
        <v>113</v>
      </c>
    </row>
    <row r="27" spans="1:8" s="63" customFormat="1" ht="15.75" customHeight="1" x14ac:dyDescent="0.2">
      <c r="A27" s="65" t="s">
        <v>11</v>
      </c>
      <c r="B27" s="66" t="s">
        <v>1</v>
      </c>
      <c r="C27" s="266">
        <v>44196</v>
      </c>
      <c r="D27" s="69">
        <f t="shared" si="0"/>
        <v>4.9749999999999996</v>
      </c>
      <c r="E27" s="69"/>
      <c r="F27" s="65" t="s">
        <v>10</v>
      </c>
      <c r="G27" s="69">
        <v>4.9749999999999996</v>
      </c>
      <c r="H27" s="65" t="s">
        <v>114</v>
      </c>
    </row>
    <row r="28" spans="1:8" s="63" customFormat="1" ht="15.75" customHeight="1" x14ac:dyDescent="0.2">
      <c r="A28" s="65" t="s">
        <v>11</v>
      </c>
      <c r="B28" s="66" t="s">
        <v>1</v>
      </c>
      <c r="C28" s="266">
        <v>44196</v>
      </c>
      <c r="D28" s="69">
        <f t="shared" si="0"/>
        <v>-3.4522930000000001</v>
      </c>
      <c r="E28" s="69"/>
      <c r="F28" s="65" t="s">
        <v>10</v>
      </c>
      <c r="G28" s="69">
        <v>-3.4522930000000001</v>
      </c>
      <c r="H28" s="65" t="s">
        <v>115</v>
      </c>
    </row>
    <row r="29" spans="1:8" s="63" customFormat="1" ht="15.75" customHeight="1" x14ac:dyDescent="0.2">
      <c r="A29" s="65" t="s">
        <v>11</v>
      </c>
      <c r="B29" s="66" t="s">
        <v>1</v>
      </c>
      <c r="C29" s="266">
        <v>44196</v>
      </c>
      <c r="D29" s="69"/>
      <c r="E29" s="69">
        <f>G29</f>
        <v>0.58290199999999992</v>
      </c>
      <c r="F29" s="65" t="s">
        <v>10</v>
      </c>
      <c r="G29" s="69">
        <v>0.58290199999999992</v>
      </c>
      <c r="H29" s="65" t="s">
        <v>116</v>
      </c>
    </row>
    <row r="30" spans="1:8" s="63" customFormat="1" ht="15.75" customHeight="1" x14ac:dyDescent="0.2">
      <c r="A30" s="65" t="s">
        <v>11</v>
      </c>
      <c r="B30" s="66" t="s">
        <v>1</v>
      </c>
      <c r="C30" s="266">
        <v>44370</v>
      </c>
      <c r="D30" s="69">
        <f>G30</f>
        <v>-5.97</v>
      </c>
      <c r="E30" s="69"/>
      <c r="F30" s="65" t="s">
        <v>10</v>
      </c>
      <c r="G30" s="69">
        <v>-5.97</v>
      </c>
      <c r="H30" s="65" t="s">
        <v>117</v>
      </c>
    </row>
    <row r="31" spans="1:8" s="63" customFormat="1" ht="15.75" customHeight="1" x14ac:dyDescent="0.2">
      <c r="A31" s="65" t="s">
        <v>11</v>
      </c>
      <c r="B31" s="66" t="s">
        <v>1</v>
      </c>
      <c r="C31" s="266">
        <v>44400</v>
      </c>
      <c r="D31" s="69">
        <f>G31</f>
        <v>-0.75</v>
      </c>
      <c r="E31" s="69"/>
      <c r="F31" s="65" t="s">
        <v>10</v>
      </c>
      <c r="G31" s="69">
        <v>-0.75</v>
      </c>
      <c r="H31" s="65" t="s">
        <v>118</v>
      </c>
    </row>
    <row r="32" spans="1:8" s="63" customFormat="1" ht="15.75" customHeight="1" x14ac:dyDescent="0.2">
      <c r="A32" s="65" t="s">
        <v>11</v>
      </c>
      <c r="B32" s="66" t="s">
        <v>1</v>
      </c>
      <c r="C32" s="266">
        <v>44400</v>
      </c>
      <c r="D32" s="69"/>
      <c r="E32" s="69">
        <f>G32</f>
        <v>0.44505899999999998</v>
      </c>
      <c r="F32" s="65" t="s">
        <v>10</v>
      </c>
      <c r="G32" s="69">
        <v>0.44505899999999998</v>
      </c>
      <c r="H32" s="65" t="s">
        <v>119</v>
      </c>
    </row>
    <row r="33" spans="1:8" s="63" customFormat="1" ht="15.75" customHeight="1" x14ac:dyDescent="0.2">
      <c r="A33" s="65" t="s">
        <v>11</v>
      </c>
      <c r="B33" s="66" t="s">
        <v>1</v>
      </c>
      <c r="C33" s="266">
        <v>44554</v>
      </c>
      <c r="D33" s="69">
        <f>G33</f>
        <v>1.7823899999999999</v>
      </c>
      <c r="E33" s="69"/>
      <c r="F33" s="65" t="s">
        <v>10</v>
      </c>
      <c r="G33" s="69">
        <v>1.7823899999999999</v>
      </c>
      <c r="H33" s="65" t="s">
        <v>120</v>
      </c>
    </row>
    <row r="34" spans="1:8" s="63" customFormat="1" ht="15.75" customHeight="1" x14ac:dyDescent="0.2">
      <c r="A34" s="65" t="s">
        <v>11</v>
      </c>
      <c r="B34" s="66" t="s">
        <v>1</v>
      </c>
      <c r="C34" s="266">
        <v>44676</v>
      </c>
      <c r="D34" s="69">
        <f>G34</f>
        <v>-21</v>
      </c>
      <c r="E34" s="69"/>
      <c r="F34" s="65" t="s">
        <v>10</v>
      </c>
      <c r="G34" s="69">
        <v>-21</v>
      </c>
      <c r="H34" s="65" t="s">
        <v>121</v>
      </c>
    </row>
    <row r="35" spans="1:8" s="63" customFormat="1" ht="15.75" customHeight="1" x14ac:dyDescent="0.2">
      <c r="A35" s="65" t="s">
        <v>11</v>
      </c>
      <c r="B35" s="66" t="s">
        <v>1</v>
      </c>
      <c r="C35" s="266">
        <v>45243</v>
      </c>
      <c r="D35" s="69"/>
      <c r="E35" s="69">
        <f>G35</f>
        <v>6.7879100000000001</v>
      </c>
      <c r="F35" s="65" t="s">
        <v>10</v>
      </c>
      <c r="G35" s="69">
        <v>6.7879100000000001</v>
      </c>
      <c r="H35" s="65" t="s">
        <v>510</v>
      </c>
    </row>
    <row r="36" spans="1:8" s="63" customFormat="1" ht="15.75" customHeight="1" x14ac:dyDescent="0.2">
      <c r="A36" s="60" t="s">
        <v>11</v>
      </c>
      <c r="B36" s="61" t="s">
        <v>125</v>
      </c>
      <c r="C36" s="265">
        <v>44087</v>
      </c>
      <c r="D36" s="62">
        <f>G36*1.1</f>
        <v>-20.917552997000001</v>
      </c>
      <c r="E36" s="120"/>
      <c r="F36" s="60" t="s">
        <v>140</v>
      </c>
      <c r="G36" s="121">
        <v>-19.015957270000001</v>
      </c>
      <c r="H36" s="60" t="s">
        <v>142</v>
      </c>
    </row>
    <row r="37" spans="1:8" s="63" customFormat="1" ht="15.75" customHeight="1" x14ac:dyDescent="0.2">
      <c r="A37" s="60" t="s">
        <v>11</v>
      </c>
      <c r="B37" s="61" t="s">
        <v>125</v>
      </c>
      <c r="C37" s="265">
        <v>44287</v>
      </c>
      <c r="D37" s="62">
        <v>-0.21103182000000001</v>
      </c>
      <c r="E37" s="120"/>
      <c r="F37" s="62" t="s">
        <v>140</v>
      </c>
      <c r="G37" s="121">
        <v>-0.21103182000000001</v>
      </c>
      <c r="H37" s="60" t="s">
        <v>143</v>
      </c>
    </row>
    <row r="38" spans="1:8" s="63" customFormat="1" ht="15.75" customHeight="1" x14ac:dyDescent="0.2">
      <c r="A38" s="60" t="s">
        <v>11</v>
      </c>
      <c r="B38" s="61" t="s">
        <v>125</v>
      </c>
      <c r="C38" s="265">
        <v>44442</v>
      </c>
      <c r="D38" s="62">
        <f>1.18*G38</f>
        <v>-0.23965473139999999</v>
      </c>
      <c r="E38" s="120"/>
      <c r="F38" s="62" t="s">
        <v>140</v>
      </c>
      <c r="G38" s="121">
        <f>-203097.23*10^-6</f>
        <v>-0.20309722999999999</v>
      </c>
      <c r="H38" s="60" t="s">
        <v>167</v>
      </c>
    </row>
    <row r="39" spans="1:8" s="63" customFormat="1" ht="15.75" customHeight="1" x14ac:dyDescent="0.2">
      <c r="A39" s="60" t="s">
        <v>11</v>
      </c>
      <c r="B39" s="61" t="s">
        <v>125</v>
      </c>
      <c r="C39" s="265">
        <v>44623</v>
      </c>
      <c r="D39" s="62">
        <f>1.11*G39</f>
        <v>-0.25893584940000003</v>
      </c>
      <c r="E39" s="120"/>
      <c r="F39" s="62" t="s">
        <v>140</v>
      </c>
      <c r="G39" s="121">
        <f>-233275.54*10^-6</f>
        <v>-0.23327554</v>
      </c>
      <c r="H39" s="60" t="s">
        <v>168</v>
      </c>
    </row>
    <row r="40" spans="1:8" s="63" customFormat="1" ht="15.75" customHeight="1" x14ac:dyDescent="0.2">
      <c r="A40" s="60" t="s">
        <v>11</v>
      </c>
      <c r="B40" s="61" t="s">
        <v>125</v>
      </c>
      <c r="C40" s="265">
        <v>44784</v>
      </c>
      <c r="D40" s="413">
        <f>1.03*G40</f>
        <v>1.5224656599999999E-2</v>
      </c>
      <c r="E40" s="120"/>
      <c r="F40" s="62" t="s">
        <v>140</v>
      </c>
      <c r="G40" s="412">
        <f>14781.22*10^-6</f>
        <v>1.4781219999999999E-2</v>
      </c>
      <c r="H40" s="60" t="s">
        <v>169</v>
      </c>
    </row>
    <row r="41" spans="1:8" s="63" customFormat="1" ht="15.75" customHeight="1" x14ac:dyDescent="0.2">
      <c r="A41" s="60" t="s">
        <v>11</v>
      </c>
      <c r="B41" s="61" t="s">
        <v>125</v>
      </c>
      <c r="C41" s="265">
        <v>44956</v>
      </c>
      <c r="D41" s="62">
        <f>9741387*10^-6*1.08341</f>
        <v>10.553916089669999</v>
      </c>
      <c r="E41" s="62"/>
      <c r="F41" s="62" t="s">
        <v>140</v>
      </c>
      <c r="G41" s="121">
        <f>9741387*10^-6</f>
        <v>9.7413869999999996</v>
      </c>
      <c r="H41" s="60" t="s">
        <v>169</v>
      </c>
    </row>
    <row r="42" spans="1:8" s="63" customFormat="1" ht="15.75" customHeight="1" x14ac:dyDescent="0.2">
      <c r="A42" s="60" t="s">
        <v>11</v>
      </c>
      <c r="B42" s="61" t="s">
        <v>125</v>
      </c>
      <c r="C42" s="265">
        <v>44956</v>
      </c>
      <c r="D42" s="62"/>
      <c r="E42" s="62">
        <f>2728214.02*10^-6*1.08341</f>
        <v>2.9557743514081998</v>
      </c>
      <c r="F42" s="62" t="s">
        <v>140</v>
      </c>
      <c r="G42" s="121">
        <v>2.7282140199999994</v>
      </c>
      <c r="H42" s="60" t="s">
        <v>358</v>
      </c>
    </row>
    <row r="43" spans="1:8" s="63" customFormat="1" ht="15.75" customHeight="1" x14ac:dyDescent="0.2">
      <c r="A43" s="60" t="s">
        <v>11</v>
      </c>
      <c r="B43" s="61" t="s">
        <v>125</v>
      </c>
      <c r="C43" s="265">
        <v>45170</v>
      </c>
      <c r="D43" s="62">
        <v>-0.22532724156300002</v>
      </c>
      <c r="E43" s="62"/>
      <c r="F43" s="62" t="s">
        <v>140</v>
      </c>
      <c r="G43" s="121">
        <v>0.20779170000000002</v>
      </c>
      <c r="H43" s="60" t="s">
        <v>618</v>
      </c>
    </row>
    <row r="44" spans="1:8" s="63" customFormat="1" ht="15.75" customHeight="1" x14ac:dyDescent="0.2">
      <c r="A44" s="60" t="s">
        <v>11</v>
      </c>
      <c r="B44" s="61" t="s">
        <v>125</v>
      </c>
      <c r="C44" s="265">
        <v>45260</v>
      </c>
      <c r="D44" s="62">
        <v>-0.28531251529200002</v>
      </c>
      <c r="E44" s="62"/>
      <c r="F44" s="62" t="s">
        <v>140</v>
      </c>
      <c r="G44" s="121">
        <v>0.25928073000000001</v>
      </c>
      <c r="H44" s="60" t="s">
        <v>617</v>
      </c>
    </row>
    <row r="45" spans="1:8" s="63" customFormat="1" ht="15.75" customHeight="1" x14ac:dyDescent="0.2">
      <c r="A45" s="60" t="s">
        <v>11</v>
      </c>
      <c r="B45" s="61" t="s">
        <v>125</v>
      </c>
      <c r="C45" s="265">
        <v>45321</v>
      </c>
      <c r="D45" s="62">
        <v>-2.4198785200000001</v>
      </c>
      <c r="E45" s="62"/>
      <c r="F45" s="62" t="s">
        <v>140</v>
      </c>
      <c r="G45" s="121">
        <v>2.2038966499999999</v>
      </c>
      <c r="H45" s="60" t="s">
        <v>528</v>
      </c>
    </row>
    <row r="46" spans="1:8" s="63" customFormat="1" ht="15.75" customHeight="1" x14ac:dyDescent="0.2">
      <c r="A46" s="60" t="s">
        <v>11</v>
      </c>
      <c r="B46" s="61" t="s">
        <v>390</v>
      </c>
      <c r="C46" s="265">
        <v>44087</v>
      </c>
      <c r="D46" s="62">
        <f>-'S | 01 '!K42</f>
        <v>-2.7058823529411762</v>
      </c>
      <c r="E46" s="120"/>
      <c r="F46" s="60" t="s">
        <v>140</v>
      </c>
      <c r="G46" s="121">
        <v>-2.125</v>
      </c>
      <c r="H46" s="60" t="s">
        <v>142</v>
      </c>
    </row>
    <row r="47" spans="1:8" s="63" customFormat="1" ht="15.75" customHeight="1" x14ac:dyDescent="0.2">
      <c r="A47" s="65" t="s">
        <v>11</v>
      </c>
      <c r="B47" s="66" t="s">
        <v>176</v>
      </c>
      <c r="C47" s="266">
        <v>44540</v>
      </c>
      <c r="D47" s="69">
        <f>G47</f>
        <v>-2.8053124999999999</v>
      </c>
      <c r="E47" s="69"/>
      <c r="F47" s="65" t="s">
        <v>10</v>
      </c>
      <c r="G47" s="68">
        <v>-2.8053124999999999</v>
      </c>
      <c r="H47" s="65" t="s">
        <v>13</v>
      </c>
    </row>
    <row r="48" spans="1:8" s="63" customFormat="1" ht="15.75" customHeight="1" x14ac:dyDescent="0.2">
      <c r="A48" s="65" t="s">
        <v>11</v>
      </c>
      <c r="B48" s="66" t="s">
        <v>176</v>
      </c>
      <c r="C48" s="266">
        <v>44602</v>
      </c>
      <c r="D48" s="69">
        <f>G48</f>
        <v>-3.4074999999999998</v>
      </c>
      <c r="E48" s="69"/>
      <c r="F48" s="65" t="s">
        <v>10</v>
      </c>
      <c r="G48" s="68">
        <v>-3.4074999999999998</v>
      </c>
      <c r="H48" s="65" t="s">
        <v>124</v>
      </c>
    </row>
    <row r="49" spans="1:8" s="63" customFormat="1" ht="15.75" customHeight="1" x14ac:dyDescent="0.2">
      <c r="A49" s="65" t="s">
        <v>11</v>
      </c>
      <c r="B49" s="66" t="s">
        <v>176</v>
      </c>
      <c r="C49" s="266">
        <v>44683</v>
      </c>
      <c r="D49" s="69">
        <f>G49</f>
        <v>-1.0257749999999999</v>
      </c>
      <c r="E49" s="69"/>
      <c r="F49" s="65" t="s">
        <v>10</v>
      </c>
      <c r="G49" s="68">
        <v>-1.0257749999999999</v>
      </c>
      <c r="H49" s="65" t="s">
        <v>270</v>
      </c>
    </row>
    <row r="50" spans="1:8" s="63" customFormat="1" ht="15.75" customHeight="1" x14ac:dyDescent="0.2">
      <c r="A50" s="65" t="s">
        <v>11</v>
      </c>
      <c r="B50" s="66" t="s">
        <v>176</v>
      </c>
      <c r="C50" s="266">
        <v>44707</v>
      </c>
      <c r="D50" s="69">
        <f>G50</f>
        <v>-3.3882749999999997</v>
      </c>
      <c r="E50" s="69"/>
      <c r="F50" s="65" t="s">
        <v>10</v>
      </c>
      <c r="G50" s="68">
        <v>-3.3882749999999997</v>
      </c>
      <c r="H50" s="65" t="s">
        <v>123</v>
      </c>
    </row>
    <row r="51" spans="1:8" x14ac:dyDescent="0.25">
      <c r="A51" s="65" t="s">
        <v>11</v>
      </c>
      <c r="B51" s="66" t="s">
        <v>176</v>
      </c>
      <c r="C51" s="266">
        <v>44875</v>
      </c>
      <c r="D51" s="69">
        <f>G51</f>
        <v>-3.3882749999999997</v>
      </c>
      <c r="E51" s="69"/>
      <c r="F51" s="65" t="s">
        <v>10</v>
      </c>
      <c r="G51" s="68">
        <v>-3.3882749999999997</v>
      </c>
      <c r="H51" s="65" t="s">
        <v>111</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P95"/>
  <sheetViews>
    <sheetView topLeftCell="A3" zoomScale="80" zoomScaleNormal="80" workbookViewId="0">
      <pane xSplit="8" ySplit="5" topLeftCell="AA8" activePane="bottomRight" state="frozen"/>
      <selection activeCell="A3" sqref="A3"/>
      <selection pane="topRight" activeCell="I3" sqref="I3"/>
      <selection pane="bottomLeft" activeCell="A8" sqref="A8"/>
      <selection pane="bottomRight"/>
    </sheetView>
  </sheetViews>
  <sheetFormatPr defaultColWidth="9.140625" defaultRowHeight="12" x14ac:dyDescent="0.2"/>
  <cols>
    <col min="1" max="1" width="2.5703125" style="29" customWidth="1"/>
    <col min="2" max="2" width="31.28515625" style="29" customWidth="1"/>
    <col min="3" max="3" width="16.5703125" style="29" customWidth="1"/>
    <col min="4" max="7" width="13.7109375" style="29" customWidth="1"/>
    <col min="8" max="8" width="10.7109375" style="29" customWidth="1"/>
    <col min="9" max="9" width="8" style="34" customWidth="1"/>
    <col min="10" max="24" width="14.85546875" style="34" customWidth="1"/>
    <col min="25" max="32" width="9.140625" style="29"/>
    <col min="33" max="33" width="30.7109375" style="29" customWidth="1"/>
    <col min="34" max="35" width="13.28515625" style="29" customWidth="1"/>
    <col min="36" max="36" width="17.140625" style="29" customWidth="1"/>
    <col min="37" max="37" width="19.140625" style="29" customWidth="1"/>
    <col min="38" max="42" width="13.28515625" style="29" customWidth="1"/>
    <col min="43" max="16384" width="9.140625" style="29"/>
  </cols>
  <sheetData>
    <row r="2" spans="2:42" s="26" customFormat="1" ht="43.5" customHeight="1" x14ac:dyDescent="0.45">
      <c r="B2" s="221" t="s">
        <v>211</v>
      </c>
      <c r="C2" s="222"/>
      <c r="D2" s="222"/>
      <c r="E2" s="222"/>
      <c r="F2" s="226"/>
      <c r="G2" s="226"/>
      <c r="H2" s="226"/>
      <c r="I2" s="226"/>
      <c r="J2" s="27"/>
      <c r="K2" s="127"/>
      <c r="L2" s="27"/>
    </row>
    <row r="3" spans="2:42" ht="12.75" thickBot="1" x14ac:dyDescent="0.25"/>
    <row r="4" spans="2:42" s="81" customFormat="1" ht="13.5" thickBot="1" x14ac:dyDescent="0.25">
      <c r="B4" s="170" t="s">
        <v>174</v>
      </c>
      <c r="C4" s="184">
        <f>D!D2</f>
        <v>45322</v>
      </c>
      <c r="J4" s="187" t="s">
        <v>183</v>
      </c>
      <c r="K4" s="188"/>
      <c r="L4" s="188"/>
      <c r="M4" s="188"/>
      <c r="N4" s="188"/>
      <c r="O4" s="188"/>
      <c r="P4" s="73"/>
      <c r="AF4" s="187" t="s">
        <v>178</v>
      </c>
      <c r="AG4" s="188"/>
      <c r="AH4" s="188"/>
      <c r="AI4" s="188"/>
      <c r="AJ4" s="188"/>
      <c r="AK4" s="188"/>
    </row>
    <row r="6" spans="2:42" x14ac:dyDescent="0.2">
      <c r="B6" s="42" t="s">
        <v>96</v>
      </c>
    </row>
    <row r="7" spans="2:42" s="43" customFormat="1" ht="36" customHeight="1" x14ac:dyDescent="0.2">
      <c r="B7" s="40" t="s">
        <v>5</v>
      </c>
      <c r="C7" s="41" t="s">
        <v>6</v>
      </c>
      <c r="D7" s="41" t="s">
        <v>97</v>
      </c>
      <c r="E7" s="41" t="s">
        <v>33</v>
      </c>
      <c r="F7" s="42" t="s">
        <v>95</v>
      </c>
      <c r="G7" s="42" t="s">
        <v>164</v>
      </c>
      <c r="H7" s="193"/>
      <c r="I7" s="42"/>
      <c r="J7" s="41" t="s">
        <v>48</v>
      </c>
      <c r="K7" s="41" t="s">
        <v>0</v>
      </c>
      <c r="L7" s="41" t="s">
        <v>39</v>
      </c>
      <c r="M7" s="41" t="s">
        <v>40</v>
      </c>
      <c r="N7" s="41" t="s">
        <v>38</v>
      </c>
      <c r="O7" s="41" t="s">
        <v>89</v>
      </c>
      <c r="P7" s="41" t="s">
        <v>9</v>
      </c>
      <c r="Q7" s="41" t="s">
        <v>18</v>
      </c>
      <c r="R7" s="41" t="s">
        <v>41</v>
      </c>
      <c r="S7" s="41" t="s">
        <v>42</v>
      </c>
      <c r="T7" s="41" t="s">
        <v>43</v>
      </c>
      <c r="U7" s="41" t="s">
        <v>71</v>
      </c>
      <c r="V7" s="41" t="s">
        <v>19</v>
      </c>
      <c r="W7" s="41" t="s">
        <v>90</v>
      </c>
      <c r="X7" s="41" t="s">
        <v>35</v>
      </c>
      <c r="Y7" s="41" t="s">
        <v>271</v>
      </c>
      <c r="Z7" s="41" t="s">
        <v>306</v>
      </c>
      <c r="AA7" s="41" t="s">
        <v>391</v>
      </c>
      <c r="AB7" s="41" t="s">
        <v>461</v>
      </c>
      <c r="AC7" s="41" t="s">
        <v>473</v>
      </c>
      <c r="AD7" s="41" t="s">
        <v>522</v>
      </c>
      <c r="AE7" s="41"/>
      <c r="AG7" s="71"/>
      <c r="AH7" s="71" t="s">
        <v>32</v>
      </c>
      <c r="AI7" s="72" t="s">
        <v>2</v>
      </c>
      <c r="AJ7" s="72" t="s">
        <v>51</v>
      </c>
      <c r="AK7" s="72" t="s">
        <v>33</v>
      </c>
      <c r="AL7" s="72" t="s">
        <v>162</v>
      </c>
      <c r="AM7" s="72" t="s">
        <v>24</v>
      </c>
      <c r="AN7" s="72" t="s">
        <v>34</v>
      </c>
      <c r="AO7" s="72" t="s">
        <v>175</v>
      </c>
      <c r="AP7" s="72" t="s">
        <v>98</v>
      </c>
    </row>
    <row r="8" spans="2:42" ht="12.75" x14ac:dyDescent="0.2">
      <c r="AG8" s="161"/>
      <c r="AH8" s="81"/>
      <c r="AI8" s="81"/>
      <c r="AJ8" s="81"/>
      <c r="AK8" s="81"/>
      <c r="AL8" s="81"/>
      <c r="AM8" s="165"/>
      <c r="AN8" s="81"/>
      <c r="AO8" s="81"/>
      <c r="AP8" s="81"/>
    </row>
    <row r="10" spans="2:42" ht="12.75" x14ac:dyDescent="0.2">
      <c r="B10" s="30" t="str">
        <f>'CF (Equity, Debt)'!C4</f>
        <v>Jollychic Holding Limited</v>
      </c>
      <c r="C10" s="31">
        <f>'CF (Equity, Debt)'!D4</f>
        <v>43470</v>
      </c>
      <c r="D10" s="38">
        <f>'CF (Equity, Debt)'!E4</f>
        <v>-30</v>
      </c>
      <c r="E10" s="38"/>
      <c r="F10" s="38"/>
      <c r="G10" s="62">
        <f t="shared" ref="G10:G36" si="0">SUM(D10:F10)</f>
        <v>-30</v>
      </c>
      <c r="H10" s="34" t="str">
        <f>IF(D10='CF (Equity, Debt)'!E4," ", "xxx")</f>
        <v xml:space="preserve"> </v>
      </c>
      <c r="J10" s="38">
        <f>D10</f>
        <v>-30</v>
      </c>
      <c r="AM10" s="34">
        <f>81-6</f>
        <v>75</v>
      </c>
    </row>
    <row r="11" spans="2:42" x14ac:dyDescent="0.2">
      <c r="B11" s="30" t="str">
        <f>'CF (Equity, Debt)'!C5</f>
        <v>Jollychic Holding Limited</v>
      </c>
      <c r="C11" s="31">
        <f>'CF (Equity, Debt)'!D5</f>
        <v>43724</v>
      </c>
      <c r="D11" s="38">
        <f>'CF (Equity, Debt)'!E5</f>
        <v>-20</v>
      </c>
      <c r="E11" s="38"/>
      <c r="F11" s="38"/>
      <c r="G11" s="38">
        <f t="shared" si="0"/>
        <v>-20</v>
      </c>
      <c r="H11" s="34" t="str">
        <f>IF(D11='CF (Equity, Debt)'!E5," ", "xxx")</f>
        <v xml:space="preserve"> </v>
      </c>
      <c r="J11" s="38">
        <f>D11</f>
        <v>-20</v>
      </c>
    </row>
    <row r="12" spans="2:42" ht="12.75" x14ac:dyDescent="0.2">
      <c r="B12" s="30" t="str">
        <f>'CF (Equity, Debt)'!C6</f>
        <v>Jollychic Holding Limited</v>
      </c>
      <c r="C12" s="31">
        <f>'CF (Equity, Debt)'!D6</f>
        <v>43724</v>
      </c>
      <c r="D12" s="38">
        <f>'CF (Equity, Debt)'!E6</f>
        <v>-15</v>
      </c>
      <c r="E12" s="38"/>
      <c r="F12" s="38"/>
      <c r="G12" s="38">
        <f t="shared" si="0"/>
        <v>-15</v>
      </c>
      <c r="H12" s="34" t="str">
        <f>IF(D12='CF (Equity, Debt)'!E6," ", "xxx")</f>
        <v xml:space="preserve"> </v>
      </c>
      <c r="J12" s="38">
        <f>D12</f>
        <v>-15</v>
      </c>
      <c r="AG12" s="32" t="str">
        <f>'S | 01 '!C10</f>
        <v>Jollychic Holding Limited</v>
      </c>
      <c r="AH12" s="162">
        <f>'S | 01 '!J10</f>
        <v>65</v>
      </c>
      <c r="AI12" s="162">
        <f t="shared" ref="AI12:AI32" ca="1" si="1">-SUMIF($B$7:$F$134,$AG12,$D$7:$D$134)</f>
        <v>65</v>
      </c>
      <c r="AJ12" s="162">
        <f ca="1">AH12-AI12</f>
        <v>0</v>
      </c>
      <c r="AK12" s="162">
        <f t="shared" ref="AK12:AK32" ca="1" si="2">SUMIF($B$7:$F$134,$AG12,$E$7:$E$134)</f>
        <v>0</v>
      </c>
      <c r="AL12" s="162">
        <f t="shared" ref="AL12:AL32" ca="1" si="3">SUMIF($B$7:$F$134,$AG12,$F$7:$F$134)</f>
        <v>0</v>
      </c>
      <c r="AM12" s="186" t="str">
        <f>HLOOKUP(AG12,$J$7:$AE$90,$AM$10,0)</f>
        <v>NM</v>
      </c>
      <c r="AN12" s="176">
        <f ca="1">(AK12+AL12)/AI12</f>
        <v>0</v>
      </c>
      <c r="AO12" s="176">
        <f ca="1">AL12/AI12</f>
        <v>0</v>
      </c>
      <c r="AP12" s="176">
        <f ca="1">AK12/AI12</f>
        <v>0</v>
      </c>
    </row>
    <row r="13" spans="2:42" ht="12.75" x14ac:dyDescent="0.2">
      <c r="B13" s="32" t="str">
        <f>'CF (Equity, Debt)'!C7</f>
        <v>Mena Mobile Inc</v>
      </c>
      <c r="C13" s="33">
        <f>'CF (Equity, Debt)'!D7</f>
        <v>43563</v>
      </c>
      <c r="D13" s="39">
        <f>'CF (Equity, Debt)'!E7</f>
        <v>-8</v>
      </c>
      <c r="E13" s="39"/>
      <c r="F13" s="39"/>
      <c r="G13" s="39">
        <f t="shared" si="0"/>
        <v>-8</v>
      </c>
      <c r="H13" s="34" t="str">
        <f>IF(D13='CF (Equity, Debt)'!E7," ", "xxx")</f>
        <v xml:space="preserve"> </v>
      </c>
      <c r="K13" s="39">
        <f>D13</f>
        <v>-8</v>
      </c>
      <c r="AG13" s="30" t="str">
        <f>'S | 01 '!C11</f>
        <v>Mena Mobile Inc</v>
      </c>
      <c r="AH13" s="162">
        <f>'S | 01 '!J11</f>
        <v>8</v>
      </c>
      <c r="AI13" s="162">
        <f t="shared" ca="1" si="1"/>
        <v>8</v>
      </c>
      <c r="AJ13" s="162">
        <f t="shared" ref="AJ13:AJ26" ca="1" si="4">AH13-AI13</f>
        <v>0</v>
      </c>
      <c r="AK13" s="162">
        <f t="shared" ca="1" si="2"/>
        <v>0</v>
      </c>
      <c r="AL13" s="162">
        <f t="shared" ca="1" si="3"/>
        <v>0</v>
      </c>
      <c r="AM13" s="186" t="str">
        <f t="shared" ref="AM13:AM28" si="5">HLOOKUP(AG13,$J$7:$Z$90,$AM$10,0)</f>
        <v>NM</v>
      </c>
      <c r="AN13" s="176">
        <f t="shared" ref="AN13:AN26" ca="1" si="6">(AK13+AL13)/AI13</f>
        <v>0</v>
      </c>
      <c r="AO13" s="176">
        <f t="shared" ref="AO13:AO26" ca="1" si="7">AL13/AI13</f>
        <v>0</v>
      </c>
      <c r="AP13" s="176">
        <f t="shared" ref="AP13:AP26" ca="1" si="8">AK13/AI13</f>
        <v>0</v>
      </c>
    </row>
    <row r="14" spans="2:42" ht="12.75" x14ac:dyDescent="0.2">
      <c r="B14" s="30" t="str">
        <f>'CF (Equity, Debt)'!C8</f>
        <v>Flyr Inc</v>
      </c>
      <c r="C14" s="31">
        <f>'CF (Equity, Debt)'!D8</f>
        <v>43570</v>
      </c>
      <c r="D14" s="38">
        <f>'CF (Equity, Debt)'!E8</f>
        <v>-4.9999980900000001</v>
      </c>
      <c r="E14" s="38"/>
      <c r="F14" s="38"/>
      <c r="G14" s="38">
        <f t="shared" si="0"/>
        <v>-4.9999980900000001</v>
      </c>
      <c r="H14" s="34" t="str">
        <f>IF(D14='CF (Equity, Debt)'!E8," ", "xxx")</f>
        <v xml:space="preserve"> </v>
      </c>
      <c r="L14" s="38">
        <f>D14</f>
        <v>-4.9999980900000001</v>
      </c>
      <c r="AG14" s="32" t="str">
        <f>'S | 01 '!C12</f>
        <v>Flyr Inc</v>
      </c>
      <c r="AH14" s="162">
        <f>'S | 01 '!J12</f>
        <v>10</v>
      </c>
      <c r="AI14" s="162">
        <f t="shared" ca="1" si="1"/>
        <v>10</v>
      </c>
      <c r="AJ14" s="162">
        <f t="shared" ca="1" si="4"/>
        <v>0</v>
      </c>
      <c r="AK14" s="162">
        <f t="shared" ca="1" si="2"/>
        <v>0</v>
      </c>
      <c r="AL14" s="162">
        <f t="shared" ca="1" si="3"/>
        <v>78.082229999999996</v>
      </c>
      <c r="AM14" s="186">
        <f t="shared" si="5"/>
        <v>0.59885043501853941</v>
      </c>
      <c r="AN14" s="176">
        <f t="shared" ca="1" si="6"/>
        <v>7.8082229999999999</v>
      </c>
      <c r="AO14" s="176">
        <f t="shared" ca="1" si="7"/>
        <v>7.8082229999999999</v>
      </c>
      <c r="AP14" s="176">
        <f t="shared" ca="1" si="8"/>
        <v>0</v>
      </c>
    </row>
    <row r="15" spans="2:42" ht="12.75" x14ac:dyDescent="0.2">
      <c r="B15" s="30" t="str">
        <f>'CF (Equity, Debt)'!C9</f>
        <v>Flyr Inc</v>
      </c>
      <c r="C15" s="31">
        <f>'CF (Equity, Debt)'!D9</f>
        <v>43915</v>
      </c>
      <c r="D15" s="38">
        <f>'CF (Equity, Debt)'!E9</f>
        <v>-5.0000019099999999</v>
      </c>
      <c r="E15" s="38"/>
      <c r="F15" s="38"/>
      <c r="G15" s="38">
        <f t="shared" si="0"/>
        <v>-5.0000019099999999</v>
      </c>
      <c r="H15" s="34" t="str">
        <f>IF(D15='CF (Equity, Debt)'!E9," ", "xxx")</f>
        <v xml:space="preserve"> </v>
      </c>
      <c r="L15" s="38">
        <f>D15</f>
        <v>-5.0000019099999999</v>
      </c>
      <c r="AG15" s="30" t="str">
        <f>'S | 01 '!C13</f>
        <v xml:space="preserve">Esyasoft Holding </v>
      </c>
      <c r="AH15" s="162">
        <f>'S | 01 '!J13</f>
        <v>2.5</v>
      </c>
      <c r="AI15" s="162">
        <f t="shared" ca="1" si="1"/>
        <v>2.5</v>
      </c>
      <c r="AJ15" s="162">
        <f t="shared" ca="1" si="4"/>
        <v>0</v>
      </c>
      <c r="AK15" s="162">
        <f t="shared" ca="1" si="2"/>
        <v>5</v>
      </c>
      <c r="AL15" s="162">
        <f t="shared" ca="1" si="3"/>
        <v>0</v>
      </c>
      <c r="AM15" s="186">
        <f t="shared" si="5"/>
        <v>0.36091765761375438</v>
      </c>
      <c r="AN15" s="176">
        <f t="shared" ca="1" si="6"/>
        <v>2</v>
      </c>
      <c r="AO15" s="176">
        <f t="shared" ca="1" si="7"/>
        <v>0</v>
      </c>
      <c r="AP15" s="176">
        <f t="shared" ca="1" si="8"/>
        <v>2</v>
      </c>
    </row>
    <row r="16" spans="2:42" ht="12.75" x14ac:dyDescent="0.2">
      <c r="B16" s="32" t="str">
        <f>'CF (Equity, Debt)'!C10</f>
        <v xml:space="preserve">Esyasoft Holding </v>
      </c>
      <c r="C16" s="33">
        <f>'CF (Equity, Debt)'!D10</f>
        <v>43870</v>
      </c>
      <c r="D16" s="39">
        <f>'CF (Equity, Debt)'!E10</f>
        <v>-2.5</v>
      </c>
      <c r="E16" s="39"/>
      <c r="F16" s="39"/>
      <c r="G16" s="39">
        <f t="shared" si="0"/>
        <v>-2.5</v>
      </c>
      <c r="H16" s="34" t="str">
        <f>IF(D16='CF (Equity, Debt)'!E10," ", "xxx")</f>
        <v xml:space="preserve"> </v>
      </c>
      <c r="M16" s="39">
        <f>D16</f>
        <v>-2.5</v>
      </c>
      <c r="AG16" s="32" t="str">
        <f>'S | 01 '!C14</f>
        <v>Beyond Limits</v>
      </c>
      <c r="AH16" s="162">
        <f>'S | 01 '!J14</f>
        <v>90</v>
      </c>
      <c r="AI16" s="162">
        <f t="shared" ca="1" si="1"/>
        <v>90</v>
      </c>
      <c r="AJ16" s="162">
        <f t="shared" ca="1" si="4"/>
        <v>0</v>
      </c>
      <c r="AK16" s="162">
        <f t="shared" ca="1" si="2"/>
        <v>0</v>
      </c>
      <c r="AL16" s="162">
        <f t="shared" ca="1" si="3"/>
        <v>91.001540300000002</v>
      </c>
      <c r="AM16" s="186">
        <f t="shared" si="5"/>
        <v>2.9582828283309937E-3</v>
      </c>
      <c r="AN16" s="176">
        <f t="shared" ca="1" si="6"/>
        <v>1.0111282255555556</v>
      </c>
      <c r="AO16" s="176">
        <f t="shared" ca="1" si="7"/>
        <v>1.0111282255555556</v>
      </c>
      <c r="AP16" s="176">
        <f t="shared" ca="1" si="8"/>
        <v>0</v>
      </c>
    </row>
    <row r="17" spans="2:42" ht="12.75" x14ac:dyDescent="0.2">
      <c r="B17" s="30" t="str">
        <f>'CF (Equity, Debt)'!C11</f>
        <v>Beyond Limits</v>
      </c>
      <c r="C17" s="31">
        <f>'CF (Equity, Debt)'!D11</f>
        <v>43879</v>
      </c>
      <c r="D17" s="38">
        <f>'CF (Equity, Debt)'!E11</f>
        <v>-20</v>
      </c>
      <c r="E17" s="38"/>
      <c r="F17" s="38"/>
      <c r="G17" s="38">
        <f t="shared" si="0"/>
        <v>-20</v>
      </c>
      <c r="H17" s="34" t="str">
        <f>IF(D17='CF (Equity, Debt)'!E11," ", "xxx")</f>
        <v xml:space="preserve"> </v>
      </c>
      <c r="N17" s="38">
        <f>D17</f>
        <v>-20</v>
      </c>
      <c r="AG17" s="30" t="str">
        <f>'S | 01 '!C15</f>
        <v>ONT plc</v>
      </c>
      <c r="AH17" s="162">
        <f>'S | 01 '!J15</f>
        <v>141.4702596743665</v>
      </c>
      <c r="AI17" s="162">
        <f t="shared" ca="1" si="1"/>
        <v>141.4702596743665</v>
      </c>
      <c r="AJ17" s="162">
        <f t="shared" ca="1" si="4"/>
        <v>0</v>
      </c>
      <c r="AK17" s="162">
        <f t="shared" ca="1" si="2"/>
        <v>0</v>
      </c>
      <c r="AL17" s="162">
        <f t="shared" ca="1" si="3"/>
        <v>90.139174751950776</v>
      </c>
      <c r="AM17" s="186">
        <f t="shared" si="5"/>
        <v>-0.11648148708045483</v>
      </c>
      <c r="AN17" s="176">
        <f t="shared" ca="1" si="6"/>
        <v>0.63715988759355768</v>
      </c>
      <c r="AO17" s="176">
        <f t="shared" ca="1" si="7"/>
        <v>0.63715988759355768</v>
      </c>
      <c r="AP17" s="176">
        <f t="shared" ca="1" si="8"/>
        <v>0</v>
      </c>
    </row>
    <row r="18" spans="2:42" ht="12.75" x14ac:dyDescent="0.2">
      <c r="B18" s="30" t="str">
        <f>'CF (Equity, Debt)'!C12</f>
        <v>Beyond Limits</v>
      </c>
      <c r="C18" s="31">
        <f>'CF (Equity, Debt)'!D12</f>
        <v>43921</v>
      </c>
      <c r="D18" s="38">
        <f>'CF (Equity, Debt)'!E12</f>
        <v>-30</v>
      </c>
      <c r="E18" s="38"/>
      <c r="F18" s="38"/>
      <c r="G18" s="38">
        <f t="shared" si="0"/>
        <v>-30</v>
      </c>
      <c r="H18" s="34" t="str">
        <f>IF(D18='CF (Equity, Debt)'!E12," ", "xxx")</f>
        <v xml:space="preserve"> </v>
      </c>
      <c r="N18" s="38">
        <f>D18</f>
        <v>-30</v>
      </c>
      <c r="AG18" s="32" t="str">
        <f>'S | 01 '!C16</f>
        <v>Heygears</v>
      </c>
      <c r="AH18" s="162">
        <f>'S | 01 '!J16</f>
        <v>60</v>
      </c>
      <c r="AI18" s="162">
        <f t="shared" ca="1" si="1"/>
        <v>60</v>
      </c>
      <c r="AJ18" s="162">
        <f t="shared" ca="1" si="4"/>
        <v>0</v>
      </c>
      <c r="AK18" s="162">
        <f t="shared" ca="1" si="2"/>
        <v>0</v>
      </c>
      <c r="AL18" s="162">
        <f t="shared" ca="1" si="3"/>
        <v>148.0498412781194</v>
      </c>
      <c r="AM18" s="186">
        <f t="shared" si="5"/>
        <v>0.33000317215919495</v>
      </c>
      <c r="AN18" s="176">
        <f t="shared" ca="1" si="6"/>
        <v>2.4674973546353232</v>
      </c>
      <c r="AO18" s="176">
        <f t="shared" ca="1" si="7"/>
        <v>2.4674973546353232</v>
      </c>
      <c r="AP18" s="176">
        <f t="shared" ca="1" si="8"/>
        <v>0</v>
      </c>
    </row>
    <row r="19" spans="2:42" ht="12.75" x14ac:dyDescent="0.2">
      <c r="B19" s="30" t="str">
        <f>'CF (Equity, Debt)'!C13</f>
        <v>Beyond Limits</v>
      </c>
      <c r="C19" s="31">
        <f>'CF (Equity, Debt)'!D13</f>
        <v>43989</v>
      </c>
      <c r="D19" s="38">
        <f>'CF (Equity, Debt)'!E13</f>
        <v>-30</v>
      </c>
      <c r="E19" s="38"/>
      <c r="F19" s="38"/>
      <c r="G19" s="38">
        <f t="shared" si="0"/>
        <v>-30</v>
      </c>
      <c r="H19" s="34" t="str">
        <f>IF(D19='CF (Equity, Debt)'!E13," ", "xxx")</f>
        <v xml:space="preserve"> </v>
      </c>
      <c r="N19" s="38">
        <f>D19</f>
        <v>-30</v>
      </c>
      <c r="AG19" s="30" t="str">
        <f>'S | 01 '!C17</f>
        <v>Jysan Technologies</v>
      </c>
      <c r="AH19" s="162">
        <f>'S | 01 '!J17</f>
        <v>20</v>
      </c>
      <c r="AI19" s="162">
        <f t="shared" ca="1" si="1"/>
        <v>20</v>
      </c>
      <c r="AJ19" s="162">
        <f t="shared" ca="1" si="4"/>
        <v>0</v>
      </c>
      <c r="AK19" s="162">
        <f t="shared" ca="1" si="2"/>
        <v>24.5</v>
      </c>
      <c r="AL19" s="162">
        <f t="shared" ca="1" si="3"/>
        <v>0</v>
      </c>
      <c r="AM19" s="186">
        <f t="shared" si="5"/>
        <v>9.8824506998062139E-2</v>
      </c>
      <c r="AN19" s="176">
        <f t="shared" ca="1" si="6"/>
        <v>1.2250000000000001</v>
      </c>
      <c r="AO19" s="176">
        <f t="shared" ca="1" si="7"/>
        <v>0</v>
      </c>
      <c r="AP19" s="176">
        <f t="shared" ca="1" si="8"/>
        <v>1.2250000000000001</v>
      </c>
    </row>
    <row r="20" spans="2:42" ht="12.75" x14ac:dyDescent="0.2">
      <c r="B20" s="30" t="str">
        <f>'CF (Equity, Debt)'!C14</f>
        <v>Beyond Limits</v>
      </c>
      <c r="C20" s="31">
        <f>'CF (Equity, Debt)'!D14</f>
        <v>44103</v>
      </c>
      <c r="D20" s="38">
        <f>'CF (Equity, Debt)'!E14</f>
        <v>-10</v>
      </c>
      <c r="E20" s="38"/>
      <c r="F20" s="38"/>
      <c r="G20" s="38">
        <f t="shared" si="0"/>
        <v>-10</v>
      </c>
      <c r="H20" s="34" t="str">
        <f>IF(D20='CF (Equity, Debt)'!E14," ", "xxx")</f>
        <v xml:space="preserve"> </v>
      </c>
      <c r="N20" s="38">
        <f>D20</f>
        <v>-10</v>
      </c>
      <c r="AG20" s="32" t="str">
        <f>'S | 01 '!C18</f>
        <v>Cerebras Systems Inc</v>
      </c>
      <c r="AH20" s="162">
        <f>'S | 01 '!J18</f>
        <v>40</v>
      </c>
      <c r="AI20" s="162">
        <f t="shared" ca="1" si="1"/>
        <v>39.999983359999995</v>
      </c>
      <c r="AJ20" s="162">
        <f t="shared" ca="1" si="4"/>
        <v>1.6640000005452293E-5</v>
      </c>
      <c r="AK20" s="162">
        <f t="shared" ca="1" si="2"/>
        <v>0</v>
      </c>
      <c r="AL20" s="162">
        <f t="shared" ca="1" si="3"/>
        <v>39.999983359999995</v>
      </c>
      <c r="AM20" s="186">
        <f t="shared" si="5"/>
        <v>2.9802322387695314E-9</v>
      </c>
      <c r="AN20" s="176">
        <f t="shared" ca="1" si="6"/>
        <v>1</v>
      </c>
      <c r="AO20" s="176">
        <f t="shared" ca="1" si="7"/>
        <v>1</v>
      </c>
      <c r="AP20" s="176">
        <f t="shared" ca="1" si="8"/>
        <v>0</v>
      </c>
    </row>
    <row r="21" spans="2:42" ht="12.75" x14ac:dyDescent="0.2">
      <c r="B21" s="32" t="str">
        <f>'CF (Equity, Debt)'!C15</f>
        <v>ONT plc</v>
      </c>
      <c r="C21" s="33">
        <f>'CF (Equity, Debt)'!D15</f>
        <v>43968</v>
      </c>
      <c r="D21" s="39">
        <f>'CF (Equity, Debt)'!E15</f>
        <v>-50</v>
      </c>
      <c r="E21" s="39"/>
      <c r="F21" s="39"/>
      <c r="G21" s="39">
        <f t="shared" si="0"/>
        <v>-50</v>
      </c>
      <c r="H21" s="34" t="str">
        <f>IF(D21='CF (Equity, Debt)'!E15," ", "xxx")</f>
        <v xml:space="preserve"> </v>
      </c>
      <c r="O21" s="39">
        <f>D21</f>
        <v>-50</v>
      </c>
      <c r="AG21" s="30" t="str">
        <f>'S | 01 '!C19</f>
        <v>Endless Studios LLC</v>
      </c>
      <c r="AH21" s="162">
        <f ca="1">'S | 01 '!J19</f>
        <v>8</v>
      </c>
      <c r="AI21" s="162">
        <f t="shared" ca="1" si="1"/>
        <v>8</v>
      </c>
      <c r="AJ21" s="162">
        <f t="shared" ca="1" si="4"/>
        <v>0</v>
      </c>
      <c r="AK21" s="162">
        <f t="shared" ca="1" si="2"/>
        <v>0</v>
      </c>
      <c r="AL21" s="162">
        <f t="shared" ca="1" si="3"/>
        <v>8</v>
      </c>
      <c r="AM21" s="186">
        <f t="shared" si="5"/>
        <v>2.9802322387695314E-9</v>
      </c>
      <c r="AN21" s="176">
        <f t="shared" ca="1" si="6"/>
        <v>1</v>
      </c>
      <c r="AO21" s="176">
        <f t="shared" ca="1" si="7"/>
        <v>1</v>
      </c>
      <c r="AP21" s="176">
        <f t="shared" ca="1" si="8"/>
        <v>0</v>
      </c>
    </row>
    <row r="22" spans="2:42" ht="12.75" x14ac:dyDescent="0.2">
      <c r="B22" s="32" t="str">
        <f>'CF (Equity, Debt)'!C16</f>
        <v>ONT plc</v>
      </c>
      <c r="C22" s="33">
        <f>'CF (Equity, Debt)'!D16</f>
        <v>44006</v>
      </c>
      <c r="D22" s="39">
        <f>'CF (Equity, Debt)'!E16</f>
        <v>-27.268350856443721</v>
      </c>
      <c r="E22" s="39"/>
      <c r="F22" s="39"/>
      <c r="G22" s="39">
        <f t="shared" si="0"/>
        <v>-27.268350856443721</v>
      </c>
      <c r="H22" s="34" t="str">
        <f>IF(D22='CF (Equity, Debt)'!E16," ", "xxx")</f>
        <v xml:space="preserve"> </v>
      </c>
      <c r="O22" s="39">
        <f>D22</f>
        <v>-27.268350856443721</v>
      </c>
      <c r="AG22" s="32" t="str">
        <f>'S | 01 '!C20</f>
        <v>Instadeep Limited</v>
      </c>
      <c r="AH22" s="162">
        <f>'S | 01 '!J20</f>
        <v>5.0278211945578235</v>
      </c>
      <c r="AI22" s="162">
        <f t="shared" ca="1" si="1"/>
        <v>5.0237201984774336</v>
      </c>
      <c r="AJ22" s="162">
        <f t="shared" ca="1" si="4"/>
        <v>4.1009960803899403E-3</v>
      </c>
      <c r="AK22" s="162">
        <f t="shared" ca="1" si="2"/>
        <v>7.9421925299999989</v>
      </c>
      <c r="AL22" s="162">
        <f t="shared" ca="1" si="3"/>
        <v>0</v>
      </c>
      <c r="AM22" s="186">
        <f t="shared" si="5"/>
        <v>0.32803497910499579</v>
      </c>
      <c r="AN22" s="176">
        <f t="shared" ca="1" si="6"/>
        <v>1.5809384711368046</v>
      </c>
      <c r="AO22" s="176">
        <f t="shared" ca="1" si="7"/>
        <v>0</v>
      </c>
      <c r="AP22" s="176">
        <f t="shared" ca="1" si="8"/>
        <v>1.5809384711368046</v>
      </c>
    </row>
    <row r="23" spans="2:42" ht="12.75" x14ac:dyDescent="0.2">
      <c r="B23" s="32" t="str">
        <f>'CF (Equity, Debt)'!C17</f>
        <v>ONT plc</v>
      </c>
      <c r="C23" s="33">
        <f>'CF (Equity, Debt)'!D17</f>
        <v>43837</v>
      </c>
      <c r="D23" s="39">
        <f>'CF (Equity, Debt)'!E17</f>
        <v>-18.109441299619355</v>
      </c>
      <c r="E23" s="39"/>
      <c r="F23" s="39"/>
      <c r="G23" s="39">
        <f t="shared" si="0"/>
        <v>-18.109441299619355</v>
      </c>
      <c r="H23" s="34" t="str">
        <f>IF(D23='CF (Equity, Debt)'!E17," ", "xxx")</f>
        <v xml:space="preserve"> </v>
      </c>
      <c r="O23" s="39">
        <f>D23</f>
        <v>-18.109441299619355</v>
      </c>
      <c r="AG23" s="30" t="str">
        <f>'S | 01 '!C21</f>
        <v>X-fusion</v>
      </c>
      <c r="AH23" s="162">
        <f>'S | 01 '!J21</f>
        <v>493.5</v>
      </c>
      <c r="AI23" s="162">
        <f t="shared" ca="1" si="1"/>
        <v>493.50095619999996</v>
      </c>
      <c r="AJ23" s="162">
        <f t="shared" ca="1" si="4"/>
        <v>-9.5619999996188199E-4</v>
      </c>
      <c r="AK23" s="162">
        <f t="shared" ca="1" si="2"/>
        <v>403</v>
      </c>
      <c r="AL23" s="162">
        <f t="shared" ca="1" si="3"/>
        <v>0</v>
      </c>
      <c r="AM23" s="186">
        <f t="shared" si="5"/>
        <v>-0.10752884335815904</v>
      </c>
      <c r="AN23" s="176">
        <f t="shared" ca="1" si="6"/>
        <v>0.81661442584252486</v>
      </c>
      <c r="AO23" s="176">
        <f t="shared" ca="1" si="7"/>
        <v>0</v>
      </c>
      <c r="AP23" s="176">
        <f t="shared" ca="1" si="8"/>
        <v>0.81661442584252486</v>
      </c>
    </row>
    <row r="24" spans="2:42" ht="12.75" x14ac:dyDescent="0.2">
      <c r="B24" s="32" t="str">
        <f>'CF (Equity, Debt)'!C18</f>
        <v>ONT plc</v>
      </c>
      <c r="C24" s="33">
        <f>'CF (Equity, Debt)'!D18</f>
        <v>43990</v>
      </c>
      <c r="D24" s="39">
        <f>'CF (Equity, Debt)'!E18</f>
        <v>-34.851687094159864</v>
      </c>
      <c r="E24" s="39"/>
      <c r="F24" s="39"/>
      <c r="G24" s="39">
        <f t="shared" si="0"/>
        <v>-34.851687094159864</v>
      </c>
      <c r="H24" s="34" t="str">
        <f>IF(D24='CF (Equity, Debt)'!E18," ", "xxx")</f>
        <v xml:space="preserve"> </v>
      </c>
      <c r="O24" s="39">
        <f>D24</f>
        <v>-34.851687094159864</v>
      </c>
      <c r="AG24" s="32" t="str">
        <f>'S | 01 '!C22</f>
        <v>DriveNets</v>
      </c>
      <c r="AH24" s="162">
        <f>'S | 01 '!J22</f>
        <v>300</v>
      </c>
      <c r="AI24" s="162">
        <f t="shared" ca="1" si="1"/>
        <v>300</v>
      </c>
      <c r="AJ24" s="162">
        <f t="shared" ca="1" si="4"/>
        <v>0</v>
      </c>
      <c r="AK24" s="162">
        <f t="shared" ca="1" si="2"/>
        <v>0</v>
      </c>
      <c r="AL24" s="162">
        <f t="shared" ca="1" si="3"/>
        <v>300</v>
      </c>
      <c r="AM24" s="186">
        <f t="shared" si="5"/>
        <v>2.9802322387695314E-9</v>
      </c>
      <c r="AN24" s="176">
        <f t="shared" ca="1" si="6"/>
        <v>1</v>
      </c>
      <c r="AO24" s="176">
        <f t="shared" ca="1" si="7"/>
        <v>1</v>
      </c>
      <c r="AP24" s="176">
        <f t="shared" ca="1" si="8"/>
        <v>0</v>
      </c>
    </row>
    <row r="25" spans="2:42" ht="12.75" x14ac:dyDescent="0.2">
      <c r="B25" s="32" t="str">
        <f>'CF (Equity, Debt)'!C19</f>
        <v>ONT plc</v>
      </c>
      <c r="C25" s="33">
        <f>'CF (Equity, Debt)'!D19</f>
        <v>44315</v>
      </c>
      <c r="D25" s="39">
        <f>'CF (Equity, Debt)'!E19</f>
        <v>-11.240780424143557</v>
      </c>
      <c r="E25" s="39"/>
      <c r="F25" s="39"/>
      <c r="G25" s="39">
        <f t="shared" si="0"/>
        <v>-11.240780424143557</v>
      </c>
      <c r="H25" s="34" t="str">
        <f>IF(D25='CF (Equity, Debt)'!E19," ", "xxx")</f>
        <v xml:space="preserve"> </v>
      </c>
      <c r="O25" s="39">
        <f>D25</f>
        <v>-11.240780424143557</v>
      </c>
      <c r="AG25" s="30" t="str">
        <f>'S | 01 '!C23</f>
        <v>vTv Therapeutics Inc.</v>
      </c>
      <c r="AH25" s="162">
        <f ca="1">'S | 01 '!J23</f>
        <v>24.53125</v>
      </c>
      <c r="AI25" s="162">
        <f t="shared" ca="1" si="1"/>
        <v>24.53125</v>
      </c>
      <c r="AJ25" s="162">
        <f t="shared" ca="1" si="4"/>
        <v>0</v>
      </c>
      <c r="AK25" s="162">
        <f t="shared" ca="1" si="2"/>
        <v>0</v>
      </c>
      <c r="AL25" s="162">
        <f t="shared" ca="1" si="3"/>
        <v>2.1837153699999998</v>
      </c>
      <c r="AM25" s="186">
        <f t="shared" si="5"/>
        <v>-0.87320089479908336</v>
      </c>
      <c r="AN25" s="176">
        <f t="shared" ca="1" si="6"/>
        <v>8.9017696611464955E-2</v>
      </c>
      <c r="AO25" s="176">
        <f t="shared" ca="1" si="7"/>
        <v>8.9017696611464955E-2</v>
      </c>
      <c r="AP25" s="176">
        <f t="shared" ca="1" si="8"/>
        <v>0</v>
      </c>
    </row>
    <row r="26" spans="2:42" ht="12.75" x14ac:dyDescent="0.2">
      <c r="B26" s="30" t="str">
        <f>'CF (Equity, Debt)'!C20</f>
        <v>Heygears</v>
      </c>
      <c r="C26" s="31">
        <f>'CF (Equity, Debt)'!D20</f>
        <v>44166</v>
      </c>
      <c r="D26" s="38">
        <f>'CF (Equity, Debt)'!E20</f>
        <v>-60</v>
      </c>
      <c r="E26" s="38"/>
      <c r="F26" s="38"/>
      <c r="G26" s="38">
        <f t="shared" si="0"/>
        <v>-60</v>
      </c>
      <c r="H26" s="34" t="str">
        <f>IF(D26='CF (Equity, Debt)'!E20," ", "xxx")</f>
        <v xml:space="preserve"> </v>
      </c>
      <c r="P26" s="38">
        <f>D26</f>
        <v>-60</v>
      </c>
      <c r="AG26" s="32" t="str">
        <f>'S | 01 '!C24</f>
        <v>Honor Device Co Ltd</v>
      </c>
      <c r="AH26" s="162">
        <f ca="1">'S | 01 '!J24</f>
        <v>800</v>
      </c>
      <c r="AI26" s="162">
        <f t="shared" ca="1" si="1"/>
        <v>800</v>
      </c>
      <c r="AJ26" s="162">
        <f t="shared" ca="1" si="4"/>
        <v>0</v>
      </c>
      <c r="AK26" s="162">
        <f t="shared" ca="1" si="2"/>
        <v>802.8</v>
      </c>
      <c r="AL26" s="162">
        <f t="shared" ca="1" si="3"/>
        <v>0</v>
      </c>
      <c r="AM26" s="186">
        <f t="shared" si="5"/>
        <v>2.9359251260757451E-3</v>
      </c>
      <c r="AN26" s="176">
        <f t="shared" ca="1" si="6"/>
        <v>1.0034999999999998</v>
      </c>
      <c r="AO26" s="176">
        <f t="shared" ca="1" si="7"/>
        <v>0</v>
      </c>
      <c r="AP26" s="176">
        <f t="shared" ca="1" si="8"/>
        <v>1.0034999999999998</v>
      </c>
    </row>
    <row r="27" spans="2:42" ht="12.75" x14ac:dyDescent="0.2">
      <c r="B27" s="32" t="str">
        <f>'CF (Equity, Debt)'!C21</f>
        <v>Jysan Technologies</v>
      </c>
      <c r="C27" s="33">
        <f>'CF (Equity, Debt)'!D21</f>
        <v>44363</v>
      </c>
      <c r="D27" s="39">
        <f>'CF (Equity, Debt)'!E21</f>
        <v>-20</v>
      </c>
      <c r="E27" s="39"/>
      <c r="F27" s="39"/>
      <c r="G27" s="39">
        <f t="shared" si="0"/>
        <v>-20</v>
      </c>
      <c r="H27" s="34" t="str">
        <f>IF(D27='CF (Equity, Debt)'!E21," ", "xxx")</f>
        <v xml:space="preserve"> </v>
      </c>
      <c r="Q27" s="39">
        <f>D27</f>
        <v>-20</v>
      </c>
      <c r="AG27" s="30" t="str">
        <f>'S | 01 '!C25</f>
        <v>Applied AI Corporation Limited</v>
      </c>
      <c r="AH27" s="162">
        <f>'S | 01 '!J25</f>
        <v>15</v>
      </c>
      <c r="AI27" s="162">
        <f t="shared" ca="1" si="1"/>
        <v>11.5</v>
      </c>
      <c r="AJ27" s="162">
        <f t="shared" ref="AJ27" ca="1" si="9">AH27-AI27</f>
        <v>3.5</v>
      </c>
      <c r="AK27" s="162">
        <f t="shared" ca="1" si="2"/>
        <v>0</v>
      </c>
      <c r="AL27" s="162">
        <f t="shared" ca="1" si="3"/>
        <v>11.5</v>
      </c>
      <c r="AM27" s="186">
        <f t="shared" si="5"/>
        <v>2.9802322387695314E-9</v>
      </c>
      <c r="AN27" s="176">
        <f t="shared" ref="AN27" ca="1" si="10">(AK27+AL27)/AI27</f>
        <v>1</v>
      </c>
      <c r="AO27" s="176">
        <f t="shared" ref="AO27" ca="1" si="11">AL27/AI27</f>
        <v>1</v>
      </c>
      <c r="AP27" s="176">
        <f t="shared" ref="AP27" ca="1" si="12">AK27/AI27</f>
        <v>0</v>
      </c>
    </row>
    <row r="28" spans="2:42" ht="12.75" x14ac:dyDescent="0.2">
      <c r="B28" s="30" t="str">
        <f>'CF (Equity, Debt)'!C22</f>
        <v>Cerebras Systems Inc</v>
      </c>
      <c r="C28" s="31">
        <f>'CF (Equity, Debt)'!D22</f>
        <v>44488</v>
      </c>
      <c r="D28" s="38">
        <f>'CF (Equity, Debt)'!E22</f>
        <v>-39.999983359999995</v>
      </c>
      <c r="E28" s="38"/>
      <c r="F28" s="38"/>
      <c r="G28" s="38">
        <f t="shared" si="0"/>
        <v>-39.999983359999995</v>
      </c>
      <c r="H28" s="34" t="str">
        <f>IF(D28='CF (Equity, Debt)'!E22," ", "xxx")</f>
        <v xml:space="preserve"> </v>
      </c>
      <c r="R28" s="38">
        <f>D28</f>
        <v>-39.999983359999995</v>
      </c>
      <c r="AG28" s="32" t="str">
        <f>'S | 01 '!C26</f>
        <v xml:space="preserve">eSpace </v>
      </c>
      <c r="AH28" s="162">
        <f>'S | 01 '!J26</f>
        <v>15</v>
      </c>
      <c r="AI28" s="162">
        <f t="shared" ca="1" si="1"/>
        <v>15</v>
      </c>
      <c r="AJ28" s="162">
        <f t="shared" ref="AJ28:AJ29" ca="1" si="13">AH28-AI28</f>
        <v>0</v>
      </c>
      <c r="AK28" s="162">
        <f t="shared" ca="1" si="2"/>
        <v>0</v>
      </c>
      <c r="AL28" s="162">
        <f t="shared" ca="1" si="3"/>
        <v>20.888121539999997</v>
      </c>
      <c r="AM28" s="186">
        <f t="shared" si="5"/>
        <v>0.32455406785011298</v>
      </c>
      <c r="AN28" s="176">
        <f t="shared" ref="AN28:AN29" ca="1" si="14">(AK28+AL28)/AI28</f>
        <v>1.3925414359999997</v>
      </c>
      <c r="AO28" s="176">
        <f t="shared" ref="AO28:AO29" ca="1" si="15">AL28/AI28</f>
        <v>1.3925414359999997</v>
      </c>
      <c r="AP28" s="176">
        <f t="shared" ref="AP28:AP29" ca="1" si="16">AK28/AI28</f>
        <v>0</v>
      </c>
    </row>
    <row r="29" spans="2:42" ht="12.75" x14ac:dyDescent="0.2">
      <c r="B29" s="32" t="str">
        <f>'CF (Equity, Debt)'!C23</f>
        <v>Endless Studios LLC</v>
      </c>
      <c r="C29" s="33">
        <f>'CF (Equity, Debt)'!D23</f>
        <v>44494</v>
      </c>
      <c r="D29" s="39">
        <f>'CF (Equity, Debt)'!E23</f>
        <v>-3</v>
      </c>
      <c r="E29" s="39"/>
      <c r="F29" s="39"/>
      <c r="G29" s="39">
        <f t="shared" si="0"/>
        <v>-3</v>
      </c>
      <c r="H29" s="34" t="str">
        <f>IF(D29='CF (Equity, Debt)'!E23," ", "xxx")</f>
        <v xml:space="preserve"> </v>
      </c>
      <c r="S29" s="39">
        <f>D29</f>
        <v>-3</v>
      </c>
      <c r="AG29" s="30" t="str">
        <f>'S | 01 '!C27</f>
        <v>Tools for Humanity Corporation</v>
      </c>
      <c r="AH29" s="162">
        <f ca="1">'S | 01 '!J27</f>
        <v>14.999998939999999</v>
      </c>
      <c r="AI29" s="162">
        <f t="shared" ca="1" si="1"/>
        <v>14.999998939999999</v>
      </c>
      <c r="AJ29" s="452">
        <f t="shared" ca="1" si="13"/>
        <v>0</v>
      </c>
      <c r="AK29" s="162">
        <f t="shared" ca="1" si="2"/>
        <v>0</v>
      </c>
      <c r="AL29" s="162">
        <f t="shared" ca="1" si="3"/>
        <v>14.999998939999999</v>
      </c>
      <c r="AM29" s="186">
        <f ca="1">HLOOKUP(AG29,$J$7:$AF$90,$AM$10,0)</f>
        <v>2.9802322387695314E-9</v>
      </c>
      <c r="AN29" s="176">
        <f t="shared" ca="1" si="14"/>
        <v>1</v>
      </c>
      <c r="AO29" s="176">
        <f t="shared" ca="1" si="15"/>
        <v>1</v>
      </c>
      <c r="AP29" s="176">
        <f t="shared" ca="1" si="16"/>
        <v>0</v>
      </c>
    </row>
    <row r="30" spans="2:42" ht="12.75" x14ac:dyDescent="0.2">
      <c r="B30" s="30" t="str">
        <f>'CF (Equity, Debt)'!C24</f>
        <v>Instadeep Limited</v>
      </c>
      <c r="C30" s="31">
        <f>'CF (Equity, Debt)'!D24</f>
        <v>44550</v>
      </c>
      <c r="D30" s="38">
        <f>'CF (Equity, Debt)'!E24</f>
        <v>-5.0237201984774336</v>
      </c>
      <c r="E30" s="38"/>
      <c r="F30" s="38"/>
      <c r="G30" s="38">
        <f t="shared" si="0"/>
        <v>-5.0237201984774336</v>
      </c>
      <c r="H30" s="34" t="str">
        <f>IF(D30='CF (Equity, Debt)'!E24," ", "xxx")</f>
        <v xml:space="preserve"> </v>
      </c>
      <c r="T30" s="38">
        <f>D30</f>
        <v>-5.0237201984774336</v>
      </c>
      <c r="AG30" s="32" t="str">
        <f>'S | 01 '!C28</f>
        <v>WLD Tokens</v>
      </c>
      <c r="AH30" s="162">
        <f ca="1">'S | 01 '!J28</f>
        <v>6.875E-3</v>
      </c>
      <c r="AI30" s="162">
        <f t="shared" ca="1" si="1"/>
        <v>6.875E-3</v>
      </c>
      <c r="AJ30" s="452">
        <f t="shared" ref="AJ30" ca="1" si="17">AH30-AI30</f>
        <v>0</v>
      </c>
      <c r="AK30" s="162">
        <f t="shared" ca="1" si="2"/>
        <v>0</v>
      </c>
      <c r="AL30" s="162">
        <f t="shared" ca="1" si="3"/>
        <v>15</v>
      </c>
      <c r="AM30" s="186" t="str">
        <f t="shared" ref="AM30" ca="1" si="18">HLOOKUP(AG30,$J$7:$AF$90,$AM$10,0)</f>
        <v>NM</v>
      </c>
      <c r="AN30" s="176">
        <f t="shared" ref="AN30" ca="1" si="19">(AK30+AL30)/AI30</f>
        <v>2181.818181818182</v>
      </c>
      <c r="AO30" s="176">
        <f t="shared" ref="AO30" ca="1" si="20">AL30/AI30</f>
        <v>2181.818181818182</v>
      </c>
      <c r="AP30" s="176">
        <f t="shared" ref="AP30" ca="1" si="21">AK30/AI30</f>
        <v>0</v>
      </c>
    </row>
    <row r="31" spans="2:42" ht="12.75" x14ac:dyDescent="0.2">
      <c r="B31" s="32" t="str">
        <f>'CF (Equity, Debt)'!C25</f>
        <v>X-fusion</v>
      </c>
      <c r="C31" s="33">
        <f>'CF (Equity, Debt)'!D25</f>
        <v>44574</v>
      </c>
      <c r="D31" s="39">
        <f>'CF (Equity, Debt)'!E25</f>
        <v>-493.50095619999996</v>
      </c>
      <c r="E31" s="39"/>
      <c r="F31" s="39"/>
      <c r="G31" s="39">
        <f t="shared" si="0"/>
        <v>-493.50095619999996</v>
      </c>
      <c r="H31" s="34" t="str">
        <f>IF(D31='CF (Equity, Debt)'!E25," ", "xxx")</f>
        <v xml:space="preserve"> </v>
      </c>
      <c r="U31" s="39">
        <f>D31</f>
        <v>-493.50095619999996</v>
      </c>
      <c r="AG31" s="30" t="str">
        <f>'S | 01 '!C29</f>
        <v>E-line Ventures LLC</v>
      </c>
      <c r="AH31" s="162">
        <f ca="1">'S | 01 '!J29</f>
        <v>6</v>
      </c>
      <c r="AI31" s="162">
        <f t="shared" ca="1" si="1"/>
        <v>6</v>
      </c>
      <c r="AJ31" s="452">
        <f t="shared" ref="AJ31" ca="1" si="22">AH31-AI31</f>
        <v>0</v>
      </c>
      <c r="AK31" s="162">
        <f t="shared" ca="1" si="2"/>
        <v>0</v>
      </c>
      <c r="AL31" s="162">
        <f t="shared" ca="1" si="3"/>
        <v>6</v>
      </c>
      <c r="AM31" s="186" t="str">
        <f t="shared" ref="AM31:AM32" si="23">HLOOKUP(AG31,$J$7:$AF$90,$AM$10,0)</f>
        <v>NM</v>
      </c>
      <c r="AN31" s="176">
        <f t="shared" ref="AN31:AN32" ca="1" si="24">(AK31+AL31)/AI31</f>
        <v>1</v>
      </c>
      <c r="AO31" s="176">
        <f t="shared" ref="AO31:AO32" ca="1" si="25">AL31/AI31</f>
        <v>1</v>
      </c>
      <c r="AP31" s="176">
        <f t="shared" ref="AP31:AP32" ca="1" si="26">AK31/AI31</f>
        <v>0</v>
      </c>
    </row>
    <row r="32" spans="2:42" ht="12.75" x14ac:dyDescent="0.2">
      <c r="B32" s="30" t="str">
        <f>'CF (Equity, Debt)'!C26</f>
        <v>DriveNets</v>
      </c>
      <c r="C32" s="31">
        <f>'CF (Equity, Debt)'!D26</f>
        <v>44643</v>
      </c>
      <c r="D32" s="38">
        <f>'CF (Equity, Debt)'!E26</f>
        <v>-200</v>
      </c>
      <c r="E32" s="38"/>
      <c r="F32" s="38"/>
      <c r="G32" s="38">
        <f t="shared" si="0"/>
        <v>-200</v>
      </c>
      <c r="H32" s="34" t="str">
        <f>IF(D32='CF (Equity, Debt)'!E26," ", "xxx")</f>
        <v xml:space="preserve"> </v>
      </c>
      <c r="V32" s="38">
        <f>D32</f>
        <v>-200</v>
      </c>
      <c r="AG32" s="32" t="str">
        <f>'S | 01 '!C30</f>
        <v>School Hack (AIREV Holding Limited)</v>
      </c>
      <c r="AH32" s="162">
        <f>'S | 01 '!J30</f>
        <v>2.75</v>
      </c>
      <c r="AI32" s="162">
        <f t="shared" ca="1" si="1"/>
        <v>2.75</v>
      </c>
      <c r="AJ32" s="452">
        <f t="shared" ref="AJ32" ca="1" si="27">AH32-AI32</f>
        <v>0</v>
      </c>
      <c r="AK32" s="162">
        <f t="shared" ca="1" si="2"/>
        <v>0</v>
      </c>
      <c r="AL32" s="162">
        <f t="shared" ca="1" si="3"/>
        <v>2.75</v>
      </c>
      <c r="AM32" s="186" t="str">
        <f t="shared" si="23"/>
        <v>NM</v>
      </c>
      <c r="AN32" s="176">
        <f t="shared" ca="1" si="24"/>
        <v>1</v>
      </c>
      <c r="AO32" s="176">
        <f t="shared" ca="1" si="25"/>
        <v>1</v>
      </c>
      <c r="AP32" s="176">
        <f t="shared" ca="1" si="26"/>
        <v>0</v>
      </c>
    </row>
    <row r="33" spans="2:42" x14ac:dyDescent="0.2">
      <c r="B33" s="30" t="str">
        <f>'CF (Equity, Debt)'!C27</f>
        <v>DriveNets</v>
      </c>
      <c r="C33" s="31">
        <f>'CF (Equity, Debt)'!D27</f>
        <v>44680</v>
      </c>
      <c r="D33" s="38">
        <f>'CF (Equity, Debt)'!E27</f>
        <v>-100</v>
      </c>
      <c r="E33" s="38"/>
      <c r="F33" s="38"/>
      <c r="G33" s="38">
        <f t="shared" si="0"/>
        <v>-100</v>
      </c>
      <c r="H33" s="34" t="str">
        <f>IF(D33='CF (Equity, Debt)'!E27," ", "xxx")</f>
        <v xml:space="preserve"> </v>
      </c>
      <c r="V33" s="38">
        <f>D33</f>
        <v>-100</v>
      </c>
    </row>
    <row r="34" spans="2:42" x14ac:dyDescent="0.2">
      <c r="B34" s="32" t="str">
        <f>'CF (Equity, Debt)'!C28</f>
        <v xml:space="preserve">Esyasoft Holding </v>
      </c>
      <c r="C34" s="33">
        <f>'CF (Equity, Debt)'!D28</f>
        <v>44691</v>
      </c>
      <c r="D34" s="39">
        <f>'CF (Equity, Debt)'!E28</f>
        <v>0</v>
      </c>
      <c r="E34" s="39">
        <f>'CF (Equity, Debt)'!F28</f>
        <v>5</v>
      </c>
      <c r="F34" s="39"/>
      <c r="G34" s="39">
        <f t="shared" si="0"/>
        <v>5</v>
      </c>
      <c r="H34" s="34" t="str">
        <f>IF(D34='CF (Equity, Debt)'!E28," ", "xxx")</f>
        <v xml:space="preserve"> </v>
      </c>
      <c r="M34" s="44">
        <f>E34</f>
        <v>5</v>
      </c>
    </row>
    <row r="35" spans="2:42" ht="12.75" x14ac:dyDescent="0.2">
      <c r="B35" s="32" t="str">
        <f>'CF (Equity, Debt)'!C29</f>
        <v>vTv Therapeutics Inc.</v>
      </c>
      <c r="C35" s="33">
        <f>'CF (Equity, Debt)'!D29</f>
        <v>44712</v>
      </c>
      <c r="D35" s="39">
        <f>'CF (Equity, Debt)'!E29</f>
        <v>-12.5</v>
      </c>
      <c r="E35" s="39"/>
      <c r="F35" s="39"/>
      <c r="G35" s="39">
        <f t="shared" si="0"/>
        <v>-12.5</v>
      </c>
      <c r="H35" s="34" t="str">
        <f>IF(D35='CF (Equity, Debt)'!E29," ", "xxx")</f>
        <v xml:space="preserve"> </v>
      </c>
      <c r="W35" s="39">
        <f>D35</f>
        <v>-12.5</v>
      </c>
      <c r="AG35" s="173"/>
      <c r="AH35" s="175">
        <f ca="1">SUM(AH12:AH32)</f>
        <v>2121.7862048089241</v>
      </c>
      <c r="AI35" s="175">
        <f t="shared" ref="AI35:AK35" ca="1" si="28">SUM(AI12:AI32)</f>
        <v>2118.2830433728436</v>
      </c>
      <c r="AJ35" s="175">
        <f t="shared" ca="1" si="28"/>
        <v>3.5031614360804335</v>
      </c>
      <c r="AK35" s="175">
        <f t="shared" ca="1" si="28"/>
        <v>1243.24219253</v>
      </c>
      <c r="AL35" s="175">
        <f ca="1">SUM(AL12:AL32)</f>
        <v>828.59460554007012</v>
      </c>
      <c r="AM35" s="260">
        <f ca="1">AH40</f>
        <v>-1.1569161340594292E-2</v>
      </c>
      <c r="AN35" s="544">
        <f ca="1">(AK35+AL35)/AI35</f>
        <v>0.97807363588728946</v>
      </c>
      <c r="AO35" s="544">
        <f ca="1">AL35/AI35</f>
        <v>0.39116330942286986</v>
      </c>
      <c r="AP35" s="546">
        <f ca="1">AK35/AI35</f>
        <v>0.58691032646441965</v>
      </c>
    </row>
    <row r="36" spans="2:42" x14ac:dyDescent="0.2">
      <c r="B36" s="30" t="str">
        <f>'CF (Equity, Debt)'!C30</f>
        <v>Honor Device Co Ltd</v>
      </c>
      <c r="C36" s="31">
        <f>'CF (Equity, Debt)'!D30</f>
        <v>44769</v>
      </c>
      <c r="D36" s="38">
        <f>'CF (Equity, Debt)'!E30</f>
        <v>-600</v>
      </c>
      <c r="E36" s="38"/>
      <c r="F36" s="38"/>
      <c r="G36" s="38">
        <f t="shared" si="0"/>
        <v>-600</v>
      </c>
      <c r="H36" s="34" t="str">
        <f>IF(D36='CF (Equity, Debt)'!E30," ", "xxx")</f>
        <v xml:space="preserve"> </v>
      </c>
      <c r="X36" s="38">
        <f>D36</f>
        <v>-600</v>
      </c>
      <c r="AH36" s="29" t="b">
        <f ca="1">ROUND('S | 01 '!J32,2)=ROUND(AH35,2)</f>
        <v>1</v>
      </c>
      <c r="AI36" s="29" t="b">
        <f ca="1">ROUND('S | 01 '!K32,2)=ROUND(AI35,2)</f>
        <v>1</v>
      </c>
      <c r="AJ36" s="29" t="b">
        <f ca="1">ROUND('S | 01 '!L32,2)=ROUND(AJ35,2)</f>
        <v>1</v>
      </c>
      <c r="AK36" s="29" t="b">
        <f ca="1">ROUND('S | 01 '!M32,2)=ROUND(AK35,2)</f>
        <v>1</v>
      </c>
      <c r="AL36" s="29" t="b">
        <f ca="1">ROUND('S | 01 '!N32,2)=ROUND(AL35,2)</f>
        <v>1</v>
      </c>
      <c r="AM36" s="29" t="b">
        <f ca="1">ROUND('S | 01 '!Q32,2)=ROUND(AM35,2)</f>
        <v>1</v>
      </c>
      <c r="AN36" s="29" t="b">
        <f ca="1">ROUND('S | 01 '!P32,2)=ROUND(AN35,2)</f>
        <v>1</v>
      </c>
    </row>
    <row r="37" spans="2:42" x14ac:dyDescent="0.2">
      <c r="B37" s="30" t="str">
        <f>'CF (Equity, Debt)'!C31</f>
        <v>Honor Device Co Ltd</v>
      </c>
      <c r="C37" s="31">
        <f>'CF (Equity, Debt)'!D31</f>
        <v>44849</v>
      </c>
      <c r="D37" s="38">
        <f>'CF (Equity, Debt)'!E31</f>
        <v>-200</v>
      </c>
      <c r="E37" s="38"/>
      <c r="F37" s="38"/>
      <c r="G37" s="38">
        <f t="shared" ref="G37" si="29">SUM(D37:F37)</f>
        <v>-200</v>
      </c>
      <c r="X37" s="38">
        <f>D37</f>
        <v>-200</v>
      </c>
    </row>
    <row r="38" spans="2:42" x14ac:dyDescent="0.2">
      <c r="B38" s="30" t="str">
        <f>'CF (Equity, Debt)'!C32</f>
        <v>Applied AI Corporation Limited</v>
      </c>
      <c r="C38" s="31">
        <f>'CF (Equity, Debt)'!D32</f>
        <v>44861</v>
      </c>
      <c r="D38" s="38">
        <f>'CF (Equity, Debt)'!E32</f>
        <v>-4.75</v>
      </c>
      <c r="E38" s="38"/>
      <c r="F38" s="38"/>
      <c r="G38" s="38">
        <f t="shared" ref="G38" si="30">SUM(D38:F38)</f>
        <v>-4.75</v>
      </c>
      <c r="Y38" s="38">
        <f>D38</f>
        <v>-4.75</v>
      </c>
    </row>
    <row r="39" spans="2:42" ht="12.75" x14ac:dyDescent="0.2">
      <c r="B39" s="30" t="str">
        <f>'CF (Equity, Debt)'!C33</f>
        <v xml:space="preserve">eSpace </v>
      </c>
      <c r="C39" s="31">
        <f>'CF (Equity, Debt)'!D33</f>
        <v>44892</v>
      </c>
      <c r="D39" s="38">
        <f>'CF (Equity, Debt)'!E33</f>
        <v>-15</v>
      </c>
      <c r="E39" s="38"/>
      <c r="F39" s="38"/>
      <c r="G39" s="38">
        <f t="shared" ref="G39" si="31">SUM(D39:F39)</f>
        <v>-15</v>
      </c>
      <c r="Y39" s="38"/>
      <c r="Z39" s="38">
        <f>G39</f>
        <v>-15</v>
      </c>
      <c r="AG39" s="81"/>
      <c r="AH39" s="81"/>
      <c r="AI39" s="81"/>
    </row>
    <row r="40" spans="2:42" ht="12.75" x14ac:dyDescent="0.2">
      <c r="B40" s="30" t="str">
        <f>'CF (Equity, Debt)'!C34</f>
        <v>vTv Therapeutics Inc.</v>
      </c>
      <c r="C40" s="31">
        <f>'CF (Equity, Debt)'!D34</f>
        <v>44985</v>
      </c>
      <c r="D40" s="38">
        <f>'CF (Equity, Debt)'!E34</f>
        <v>-12.03125</v>
      </c>
      <c r="E40" s="38"/>
      <c r="F40" s="38"/>
      <c r="G40" s="38">
        <f t="shared" ref="G40" si="32">SUM(D40:F40)</f>
        <v>-12.03125</v>
      </c>
      <c r="W40" s="38">
        <f>G40</f>
        <v>-12.03125</v>
      </c>
      <c r="Y40" s="38"/>
      <c r="AG40" s="166" t="s">
        <v>163</v>
      </c>
      <c r="AH40" s="434">
        <f ca="1">XIRR(G10:G98,C10:C98)</f>
        <v>-1.1569161340594292E-2</v>
      </c>
      <c r="AI40" s="81"/>
      <c r="AJ40" s="321"/>
    </row>
    <row r="41" spans="2:42" ht="12.75" x14ac:dyDescent="0.2">
      <c r="B41" s="30" t="str">
        <f>'CF (Equity, Debt)'!C35</f>
        <v>Tools for Humanity Corporation</v>
      </c>
      <c r="C41" s="31">
        <f>'CF (Equity, Debt)'!D35</f>
        <v>45075</v>
      </c>
      <c r="D41" s="38">
        <f>'CF (Equity, Debt)'!E35</f>
        <v>-14.999998939999999</v>
      </c>
      <c r="E41" s="38"/>
      <c r="F41" s="38"/>
      <c r="G41" s="38">
        <f t="shared" ref="G41" si="33">SUM(D41:F41)</f>
        <v>-14.999998939999999</v>
      </c>
      <c r="Y41" s="38"/>
      <c r="AA41" s="38">
        <f>G41</f>
        <v>-14.999998939999999</v>
      </c>
      <c r="AG41" s="167" t="s">
        <v>34</v>
      </c>
      <c r="AH41" s="543">
        <f ca="1">SUM(AK12:AL32)/SUM(AI12:AI32)</f>
        <v>0.97807363588728946</v>
      </c>
      <c r="AI41" s="342" t="b">
        <f ca="1">ROUND(AH41,5)=ROUND(AN35,5)</f>
        <v>1</v>
      </c>
      <c r="AJ41" s="321"/>
    </row>
    <row r="42" spans="2:42" ht="12.75" x14ac:dyDescent="0.2">
      <c r="B42" s="30" t="str">
        <f>'CF (Equity, Debt)'!C36</f>
        <v>WLD Tokens</v>
      </c>
      <c r="C42" s="31">
        <f>'CF (Equity, Debt)'!D36</f>
        <v>45075</v>
      </c>
      <c r="D42" s="38">
        <f>'CF (Equity, Debt)'!E36</f>
        <v>-5.875E-3</v>
      </c>
      <c r="E42" s="38"/>
      <c r="F42" s="38"/>
      <c r="G42" s="38">
        <f t="shared" ref="G42" si="34">SUM(D42:F42)</f>
        <v>-5.875E-3</v>
      </c>
      <c r="Y42" s="38"/>
      <c r="AB42" s="38">
        <f>G42</f>
        <v>-5.875E-3</v>
      </c>
      <c r="AG42" s="167" t="s">
        <v>165</v>
      </c>
      <c r="AH42" s="543">
        <f ca="1">SUM(AL12:AL32)/SUM(AI12:AI32)</f>
        <v>0.39116330942286986</v>
      </c>
      <c r="AI42" s="343" t="b">
        <f ca="1">ROUND(AH42,5)=ROUND(AO35,5)</f>
        <v>1</v>
      </c>
    </row>
    <row r="43" spans="2:42" ht="12.75" x14ac:dyDescent="0.2">
      <c r="B43" s="30" t="str">
        <f>'CF (Equity, Debt)'!C37</f>
        <v>WLD Tokens</v>
      </c>
      <c r="C43" s="31">
        <f>'CF (Equity, Debt)'!D37</f>
        <v>45114</v>
      </c>
      <c r="D43" s="38">
        <f>'CF (Equity, Debt)'!E37</f>
        <v>-1E-3</v>
      </c>
      <c r="E43" s="38"/>
      <c r="F43" s="38"/>
      <c r="G43" s="38">
        <f t="shared" ref="G43:G45" si="35">SUM(D43:F43)</f>
        <v>-1E-3</v>
      </c>
      <c r="Y43" s="38"/>
      <c r="AB43" s="38">
        <f>G43</f>
        <v>-1E-3</v>
      </c>
      <c r="AG43" s="168" t="s">
        <v>98</v>
      </c>
      <c r="AH43" s="545">
        <f ca="1">SUM(AK12:AK32)/SUM(AI12:AI32)</f>
        <v>0.58691032646441965</v>
      </c>
      <c r="AI43" s="342" t="b">
        <f ca="1">ROUND(AH43,5)=ROUND(AP35,5)</f>
        <v>1</v>
      </c>
    </row>
    <row r="44" spans="2:42" ht="12.75" x14ac:dyDescent="0.2">
      <c r="B44" s="30" t="str">
        <f>'CF (Equity, Debt)'!C38</f>
        <v>Applied AI Corporation Limited</v>
      </c>
      <c r="C44" s="31">
        <f>'CF (Equity, Debt)'!D38</f>
        <v>45121</v>
      </c>
      <c r="D44" s="38">
        <f>'CF (Equity, Debt)'!E38</f>
        <v>-2.75</v>
      </c>
      <c r="E44" s="38"/>
      <c r="F44" s="38"/>
      <c r="G44" s="38">
        <f t="shared" si="35"/>
        <v>-2.75</v>
      </c>
      <c r="Y44" s="38">
        <f>G44</f>
        <v>-2.75</v>
      </c>
      <c r="AI44" s="81"/>
    </row>
    <row r="45" spans="2:42" ht="12.75" x14ac:dyDescent="0.2">
      <c r="B45" s="30" t="str">
        <f>'CF (Equity, Debt)'!C39</f>
        <v>Instadeep Limited</v>
      </c>
      <c r="C45" s="31">
        <f>'CF (Equity, Debt)'!D39</f>
        <v>45138</v>
      </c>
      <c r="D45" s="38">
        <f>'CF (Equity, Debt)'!E39</f>
        <v>0</v>
      </c>
      <c r="E45" s="38">
        <f>'CF (Equity, Debt)'!F39</f>
        <v>7.8207760999999989</v>
      </c>
      <c r="F45" s="38"/>
      <c r="G45" s="38">
        <f t="shared" si="35"/>
        <v>7.8207760999999989</v>
      </c>
      <c r="T45" s="38">
        <f>G45</f>
        <v>7.8207760999999989</v>
      </c>
      <c r="Y45" s="34"/>
      <c r="AI45" s="81"/>
    </row>
    <row r="46" spans="2:42" ht="12.75" x14ac:dyDescent="0.2">
      <c r="B46" s="30" t="str">
        <f>'CF (Equity, Debt)'!C40</f>
        <v>Jysan Technologies</v>
      </c>
      <c r="C46" s="31">
        <f>'CF (Equity, Debt)'!D40</f>
        <v>45149</v>
      </c>
      <c r="D46" s="38">
        <f>'CF (Equity, Debt)'!E40</f>
        <v>0</v>
      </c>
      <c r="E46" s="38">
        <f>'CF (Equity, Debt)'!F40</f>
        <v>24.5</v>
      </c>
      <c r="F46" s="38"/>
      <c r="G46" s="38">
        <f t="shared" ref="G46:G48" si="36">SUM(D46:F46)</f>
        <v>24.5</v>
      </c>
      <c r="Q46" s="38">
        <f>E46</f>
        <v>24.5</v>
      </c>
      <c r="Y46" s="34"/>
      <c r="AI46" s="81"/>
    </row>
    <row r="47" spans="2:42" ht="12.75" x14ac:dyDescent="0.2">
      <c r="B47" s="30" t="str">
        <f>'CF (Equity, Debt)'!C41</f>
        <v>Endless Studios LLC</v>
      </c>
      <c r="C47" s="31">
        <f>'CF (Equity, Debt)'!D41</f>
        <v>45167</v>
      </c>
      <c r="D47" s="38">
        <f>'CF (Equity, Debt)'!E41</f>
        <v>-5</v>
      </c>
      <c r="E47" s="38">
        <f>'CF (Equity, Debt)'!F41</f>
        <v>0</v>
      </c>
      <c r="F47" s="38"/>
      <c r="G47" s="38">
        <f t="shared" si="36"/>
        <v>-5</v>
      </c>
      <c r="S47" s="38">
        <f>D47</f>
        <v>-5</v>
      </c>
      <c r="Y47" s="34"/>
      <c r="AI47" s="81"/>
    </row>
    <row r="48" spans="2:42" ht="12.75" x14ac:dyDescent="0.2">
      <c r="B48" s="30" t="str">
        <f>'CF (Equity, Debt)'!C42</f>
        <v>E-line Ventures LLC</v>
      </c>
      <c r="C48" s="31">
        <f>'CF (Equity, Debt)'!D42</f>
        <v>45167</v>
      </c>
      <c r="D48" s="38">
        <f>'CF (Equity, Debt)'!E42</f>
        <v>-6</v>
      </c>
      <c r="E48" s="38">
        <f>'CF (Equity, Debt)'!F42</f>
        <v>0</v>
      </c>
      <c r="F48" s="38"/>
      <c r="G48" s="38">
        <f t="shared" si="36"/>
        <v>-6</v>
      </c>
      <c r="Y48" s="34"/>
      <c r="AC48" s="38">
        <f>D48</f>
        <v>-6</v>
      </c>
      <c r="AD48" s="38"/>
      <c r="AE48" s="38"/>
      <c r="AI48" s="81"/>
    </row>
    <row r="49" spans="2:35" ht="12.75" x14ac:dyDescent="0.2">
      <c r="B49" s="30" t="str">
        <f>'CF (Equity, Debt)'!C43</f>
        <v>Honor Device Co Ltd</v>
      </c>
      <c r="C49" s="31">
        <f>'CF (Equity, Debt)'!D43</f>
        <v>45224</v>
      </c>
      <c r="D49" s="38">
        <f>'CF (Equity, Debt)'!E43</f>
        <v>0</v>
      </c>
      <c r="E49" s="38">
        <f>'CF (Equity, Debt)'!F43</f>
        <v>2.8</v>
      </c>
      <c r="F49" s="38"/>
      <c r="G49" s="38">
        <f t="shared" ref="G49:G51" si="37">SUM(D49:F49)</f>
        <v>2.8</v>
      </c>
      <c r="X49" s="44">
        <f>G49</f>
        <v>2.8</v>
      </c>
      <c r="Y49" s="34"/>
      <c r="AC49" s="38"/>
      <c r="AD49" s="38"/>
      <c r="AE49" s="38"/>
      <c r="AI49" s="81"/>
    </row>
    <row r="50" spans="2:35" ht="12.75" x14ac:dyDescent="0.2">
      <c r="B50" s="30" t="str">
        <f>'CF (Equity, Debt)'!C44</f>
        <v>Honor Device Co Ltd</v>
      </c>
      <c r="C50" s="31">
        <f>'CF (Equity, Debt)'!D44</f>
        <v>45224</v>
      </c>
      <c r="D50" s="38">
        <f>'CF (Equity, Debt)'!E44</f>
        <v>0</v>
      </c>
      <c r="E50" s="38">
        <f>'CF (Equity, Debt)'!F44</f>
        <v>800</v>
      </c>
      <c r="F50" s="38"/>
      <c r="G50" s="38">
        <f t="shared" si="37"/>
        <v>800</v>
      </c>
      <c r="X50" s="44">
        <f>G50</f>
        <v>800</v>
      </c>
      <c r="Y50" s="34"/>
      <c r="AC50" s="38"/>
      <c r="AD50" s="38"/>
      <c r="AE50" s="38"/>
      <c r="AI50" s="81"/>
    </row>
    <row r="51" spans="2:35" ht="12.75" x14ac:dyDescent="0.2">
      <c r="B51" s="30" t="str">
        <f>'CF (Equity, Debt)'!C45</f>
        <v>X-fusion</v>
      </c>
      <c r="C51" s="31">
        <f>'CF (Equity, Debt)'!D45</f>
        <v>45224</v>
      </c>
      <c r="D51" s="38">
        <f>'CF (Equity, Debt)'!E45</f>
        <v>0</v>
      </c>
      <c r="E51" s="38">
        <f>'CF (Equity, Debt)'!F45</f>
        <v>403</v>
      </c>
      <c r="F51" s="38"/>
      <c r="G51" s="38">
        <f t="shared" si="37"/>
        <v>403</v>
      </c>
      <c r="U51" s="44">
        <f>G51</f>
        <v>403</v>
      </c>
      <c r="V51" s="44"/>
      <c r="Y51" s="34"/>
      <c r="AC51" s="38"/>
      <c r="AD51" s="38"/>
      <c r="AE51" s="38"/>
      <c r="AI51" s="81"/>
    </row>
    <row r="52" spans="2:35" ht="12.75" x14ac:dyDescent="0.2">
      <c r="B52" s="30" t="str">
        <f>'CF (Equity, Debt)'!C46</f>
        <v>Instadeep Limited</v>
      </c>
      <c r="C52" s="31">
        <f>'CF (Equity, Debt)'!D46</f>
        <v>45224</v>
      </c>
      <c r="D52" s="38">
        <f>'CF (Equity, Debt)'!E46</f>
        <v>0</v>
      </c>
      <c r="E52" s="38">
        <f>'CF (Equity, Debt)'!F46</f>
        <v>0.12141643000000001</v>
      </c>
      <c r="F52" s="38"/>
      <c r="G52" s="38">
        <f t="shared" ref="G52" si="38">SUM(D52:F52)</f>
        <v>0.12141643000000001</v>
      </c>
      <c r="T52" s="44">
        <f>G52</f>
        <v>0.12141643000000001</v>
      </c>
      <c r="Y52" s="34"/>
      <c r="AC52" s="38"/>
      <c r="AD52" s="38"/>
      <c r="AE52" s="38"/>
      <c r="AI52" s="81"/>
    </row>
    <row r="53" spans="2:35" ht="12.75" x14ac:dyDescent="0.2">
      <c r="B53" s="30" t="str">
        <f>'CF (Equity, Debt)'!C47</f>
        <v>Applied AI Corporation Limited</v>
      </c>
      <c r="C53" s="31">
        <f>'CF (Equity, Debt)'!D47</f>
        <v>45295</v>
      </c>
      <c r="D53" s="38">
        <f>'CF (Equity, Debt)'!E47</f>
        <v>-4</v>
      </c>
      <c r="E53" s="38">
        <f>'CF (Equity, Debt)'!F47</f>
        <v>0</v>
      </c>
      <c r="F53" s="38"/>
      <c r="G53" s="38">
        <f t="shared" ref="G53:G54" si="39">SUM(D53:F53)</f>
        <v>-4</v>
      </c>
      <c r="T53" s="44"/>
      <c r="Y53" s="38">
        <f>G53</f>
        <v>-4</v>
      </c>
      <c r="AC53" s="38"/>
      <c r="AD53" s="38"/>
      <c r="AE53" s="38"/>
      <c r="AI53" s="81"/>
    </row>
    <row r="54" spans="2:35" ht="12.75" x14ac:dyDescent="0.2">
      <c r="B54" s="30" t="str">
        <f>'CF (Equity, Debt)'!C48</f>
        <v>School Hack (AIREV Holding Limited)</v>
      </c>
      <c r="C54" s="31">
        <f>'CF (Equity, Debt)'!D48</f>
        <v>45322</v>
      </c>
      <c r="D54" s="38">
        <f>'CF (Equity, Debt)'!E48</f>
        <v>-2.75</v>
      </c>
      <c r="E54" s="38">
        <f>'CF (Equity, Debt)'!F48</f>
        <v>0</v>
      </c>
      <c r="F54" s="38"/>
      <c r="G54" s="38">
        <f t="shared" si="39"/>
        <v>-2.75</v>
      </c>
      <c r="T54" s="44"/>
      <c r="Y54" s="34"/>
      <c r="AC54" s="38"/>
      <c r="AD54" s="38">
        <f>G54</f>
        <v>-2.75</v>
      </c>
      <c r="AE54" s="38"/>
      <c r="AI54" s="81"/>
    </row>
    <row r="55" spans="2:35" ht="12.75" x14ac:dyDescent="0.2">
      <c r="B55" s="30"/>
      <c r="C55" s="31"/>
      <c r="D55" s="38"/>
      <c r="E55" s="38"/>
      <c r="F55" s="38"/>
      <c r="G55" s="38"/>
      <c r="T55" s="44"/>
      <c r="Y55" s="34"/>
      <c r="AC55" s="38"/>
      <c r="AD55" s="38"/>
      <c r="AE55" s="38"/>
      <c r="AI55" s="81"/>
    </row>
    <row r="56" spans="2:35" ht="12.75" x14ac:dyDescent="0.2">
      <c r="H56" s="206"/>
      <c r="I56" s="526"/>
      <c r="J56" s="526"/>
      <c r="K56" s="526"/>
      <c r="L56" s="526"/>
      <c r="M56" s="526"/>
      <c r="N56" s="526"/>
      <c r="O56" s="526"/>
      <c r="P56" s="526"/>
      <c r="Q56" s="526"/>
      <c r="R56" s="526"/>
      <c r="S56" s="526"/>
      <c r="T56" s="526"/>
      <c r="U56" s="526"/>
      <c r="V56" s="526"/>
      <c r="W56" s="526"/>
      <c r="X56" s="526"/>
      <c r="Y56" s="206"/>
      <c r="Z56" s="206"/>
      <c r="AA56" s="206"/>
      <c r="AB56" s="206"/>
      <c r="AC56" s="206"/>
      <c r="AD56" s="206"/>
      <c r="AE56" s="206"/>
      <c r="AI56" s="81"/>
    </row>
    <row r="57" spans="2:35" ht="12.75" x14ac:dyDescent="0.2">
      <c r="B57" s="32" t="str">
        <f>NAV!B9</f>
        <v>Jollychic Holding Limited</v>
      </c>
      <c r="C57" s="33">
        <f>$C$4</f>
        <v>45322</v>
      </c>
      <c r="D57" s="39"/>
      <c r="E57" s="39"/>
      <c r="F57" s="39">
        <f>NAV!E9</f>
        <v>0</v>
      </c>
      <c r="G57" s="39">
        <f t="shared" ref="G57:G71" si="40">SUM(D57:F57)</f>
        <v>0</v>
      </c>
      <c r="H57" s="194"/>
      <c r="J57" s="44">
        <f>F57</f>
        <v>0</v>
      </c>
      <c r="AG57" s="81"/>
      <c r="AH57" s="81"/>
      <c r="AI57" s="81"/>
    </row>
    <row r="58" spans="2:35" x14ac:dyDescent="0.2">
      <c r="B58" s="30" t="str">
        <f>NAV!B10</f>
        <v>Mena Mobile Inc</v>
      </c>
      <c r="C58" s="31">
        <f t="shared" ref="C58:C77" si="41">$C$4</f>
        <v>45322</v>
      </c>
      <c r="D58" s="38"/>
      <c r="E58" s="38"/>
      <c r="F58" s="38">
        <f>NAV!E10</f>
        <v>0</v>
      </c>
      <c r="G58" s="38">
        <f t="shared" si="40"/>
        <v>0</v>
      </c>
      <c r="H58" s="194"/>
      <c r="K58" s="44">
        <f>F58</f>
        <v>0</v>
      </c>
    </row>
    <row r="59" spans="2:35" x14ac:dyDescent="0.2">
      <c r="B59" s="32" t="str">
        <f>NAV!B11</f>
        <v>Flyr Inc</v>
      </c>
      <c r="C59" s="33">
        <f t="shared" si="41"/>
        <v>45322</v>
      </c>
      <c r="D59" s="39"/>
      <c r="E59" s="39"/>
      <c r="F59" s="39">
        <f>NAV!E11</f>
        <v>78.082229999999996</v>
      </c>
      <c r="G59" s="39">
        <f t="shared" si="40"/>
        <v>78.082229999999996</v>
      </c>
      <c r="H59" s="194"/>
      <c r="L59" s="44">
        <f>F59</f>
        <v>78.082229999999996</v>
      </c>
    </row>
    <row r="60" spans="2:35" x14ac:dyDescent="0.2">
      <c r="B60" s="30" t="str">
        <f>NAV!B12</f>
        <v xml:space="preserve">Esyasoft Holding </v>
      </c>
      <c r="C60" s="31">
        <f t="shared" si="41"/>
        <v>45322</v>
      </c>
      <c r="D60" s="38"/>
      <c r="E60" s="38"/>
      <c r="F60" s="38">
        <f>NAV!E12</f>
        <v>0</v>
      </c>
      <c r="G60" s="38">
        <f t="shared" si="40"/>
        <v>0</v>
      </c>
      <c r="H60" s="194"/>
      <c r="M60" s="44"/>
    </row>
    <row r="61" spans="2:35" x14ac:dyDescent="0.2">
      <c r="B61" s="32" t="str">
        <f>NAV!B13</f>
        <v>Beyond Limits</v>
      </c>
      <c r="C61" s="33">
        <f t="shared" si="41"/>
        <v>45322</v>
      </c>
      <c r="D61" s="39"/>
      <c r="E61" s="39"/>
      <c r="F61" s="39">
        <f>NAV!E13</f>
        <v>91.001540300000002</v>
      </c>
      <c r="G61" s="39">
        <f t="shared" si="40"/>
        <v>91.001540300000002</v>
      </c>
      <c r="H61" s="194"/>
      <c r="N61" s="44">
        <f>F61</f>
        <v>91.001540300000002</v>
      </c>
    </row>
    <row r="62" spans="2:35" x14ac:dyDescent="0.2">
      <c r="B62" s="30" t="str">
        <f>NAV!B14</f>
        <v>ONT plc</v>
      </c>
      <c r="C62" s="31">
        <f t="shared" si="41"/>
        <v>45322</v>
      </c>
      <c r="D62" s="38"/>
      <c r="E62" s="38"/>
      <c r="F62" s="38">
        <f>NAV!E14</f>
        <v>90.139174751950776</v>
      </c>
      <c r="G62" s="38">
        <f t="shared" si="40"/>
        <v>90.139174751950776</v>
      </c>
      <c r="H62" s="194"/>
      <c r="O62" s="44">
        <f>F62</f>
        <v>90.139174751950776</v>
      </c>
    </row>
    <row r="63" spans="2:35" x14ac:dyDescent="0.2">
      <c r="B63" s="32" t="str">
        <f>NAV!B15</f>
        <v>Heygears</v>
      </c>
      <c r="C63" s="33">
        <f t="shared" si="41"/>
        <v>45322</v>
      </c>
      <c r="D63" s="39"/>
      <c r="E63" s="39"/>
      <c r="F63" s="39">
        <f>NAV!E15</f>
        <v>148.0498412781194</v>
      </c>
      <c r="G63" s="39">
        <f t="shared" si="40"/>
        <v>148.0498412781194</v>
      </c>
      <c r="H63" s="194"/>
      <c r="P63" s="44">
        <f>F63</f>
        <v>148.0498412781194</v>
      </c>
    </row>
    <row r="64" spans="2:35" x14ac:dyDescent="0.2">
      <c r="B64" s="30" t="str">
        <f>NAV!B16</f>
        <v>Jysan Technologies</v>
      </c>
      <c r="C64" s="31">
        <f t="shared" si="41"/>
        <v>45322</v>
      </c>
      <c r="D64" s="38"/>
      <c r="E64" s="38"/>
      <c r="F64" s="38">
        <f>NAV!E16</f>
        <v>0</v>
      </c>
      <c r="G64" s="38">
        <f t="shared" si="40"/>
        <v>0</v>
      </c>
      <c r="H64" s="194"/>
      <c r="Q64" s="44">
        <f>F64</f>
        <v>0</v>
      </c>
    </row>
    <row r="65" spans="2:31" x14ac:dyDescent="0.2">
      <c r="B65" s="32" t="str">
        <f>NAV!B17</f>
        <v>Cerebras Systems Inc</v>
      </c>
      <c r="C65" s="33">
        <f t="shared" si="41"/>
        <v>45322</v>
      </c>
      <c r="D65" s="39"/>
      <c r="E65" s="39"/>
      <c r="F65" s="39">
        <f>NAV!E17</f>
        <v>39.999983359999995</v>
      </c>
      <c r="G65" s="39">
        <f t="shared" si="40"/>
        <v>39.999983359999995</v>
      </c>
      <c r="H65" s="194"/>
      <c r="R65" s="44">
        <f>F65</f>
        <v>39.999983359999995</v>
      </c>
    </row>
    <row r="66" spans="2:31" x14ac:dyDescent="0.2">
      <c r="B66" s="30" t="str">
        <f>NAV!B18</f>
        <v>Endless Studios LLC</v>
      </c>
      <c r="C66" s="31">
        <f t="shared" si="41"/>
        <v>45322</v>
      </c>
      <c r="D66" s="38"/>
      <c r="E66" s="38"/>
      <c r="F66" s="38">
        <f>NAV!E18</f>
        <v>8</v>
      </c>
      <c r="G66" s="38">
        <f t="shared" si="40"/>
        <v>8</v>
      </c>
      <c r="H66" s="194"/>
      <c r="S66" s="44">
        <f>F66</f>
        <v>8</v>
      </c>
    </row>
    <row r="67" spans="2:31" x14ac:dyDescent="0.2">
      <c r="B67" s="32" t="str">
        <f>NAV!B19</f>
        <v>Instadeep Limited</v>
      </c>
      <c r="C67" s="33">
        <f t="shared" si="41"/>
        <v>45322</v>
      </c>
      <c r="D67" s="39"/>
      <c r="E67" s="39"/>
      <c r="F67" s="39">
        <f>NAV!E19</f>
        <v>0</v>
      </c>
      <c r="G67" s="39">
        <f t="shared" si="40"/>
        <v>0</v>
      </c>
      <c r="H67" s="194"/>
      <c r="T67" s="44">
        <f>F67</f>
        <v>0</v>
      </c>
    </row>
    <row r="68" spans="2:31" x14ac:dyDescent="0.2">
      <c r="B68" s="30" t="str">
        <f>NAV!B20</f>
        <v>X-fusion</v>
      </c>
      <c r="C68" s="31">
        <f t="shared" si="41"/>
        <v>45322</v>
      </c>
      <c r="D68" s="38"/>
      <c r="E68" s="38"/>
      <c r="F68" s="38">
        <f>NAV!E20</f>
        <v>0</v>
      </c>
      <c r="G68" s="38">
        <f t="shared" si="40"/>
        <v>0</v>
      </c>
      <c r="H68" s="194"/>
      <c r="U68" s="44">
        <f>F68</f>
        <v>0</v>
      </c>
    </row>
    <row r="69" spans="2:31" x14ac:dyDescent="0.2">
      <c r="B69" s="32" t="str">
        <f>NAV!B21</f>
        <v>DriveNets</v>
      </c>
      <c r="C69" s="33">
        <f t="shared" si="41"/>
        <v>45322</v>
      </c>
      <c r="D69" s="39"/>
      <c r="E69" s="39"/>
      <c r="F69" s="39">
        <f>NAV!E21</f>
        <v>300</v>
      </c>
      <c r="G69" s="39">
        <f t="shared" si="40"/>
        <v>300</v>
      </c>
      <c r="H69" s="194"/>
      <c r="V69" s="44">
        <f>F69</f>
        <v>300</v>
      </c>
    </row>
    <row r="70" spans="2:31" x14ac:dyDescent="0.2">
      <c r="B70" s="30" t="str">
        <f>NAV!B22</f>
        <v>vTv Therapeutics Inc.</v>
      </c>
      <c r="C70" s="31">
        <f t="shared" si="41"/>
        <v>45322</v>
      </c>
      <c r="D70" s="38"/>
      <c r="E70" s="38"/>
      <c r="F70" s="38">
        <f>NAV!E22</f>
        <v>2.1837153699999998</v>
      </c>
      <c r="G70" s="38">
        <f t="shared" si="40"/>
        <v>2.1837153699999998</v>
      </c>
      <c r="H70" s="194"/>
      <c r="W70" s="44">
        <f>F70</f>
        <v>2.1837153699999998</v>
      </c>
    </row>
    <row r="71" spans="2:31" x14ac:dyDescent="0.2">
      <c r="B71" s="32" t="str">
        <f>NAV!B23</f>
        <v>Honor Device Co Ltd</v>
      </c>
      <c r="C71" s="33">
        <f t="shared" si="41"/>
        <v>45322</v>
      </c>
      <c r="D71" s="39"/>
      <c r="E71" s="39"/>
      <c r="F71" s="39">
        <f>NAV!E23</f>
        <v>0</v>
      </c>
      <c r="G71" s="39">
        <f t="shared" si="40"/>
        <v>0</v>
      </c>
      <c r="H71" s="194"/>
      <c r="X71" s="44">
        <f>F71</f>
        <v>0</v>
      </c>
    </row>
    <row r="72" spans="2:31" x14ac:dyDescent="0.2">
      <c r="B72" s="30" t="str">
        <f>NAV!B24</f>
        <v>Applied AI Corporation Limited</v>
      </c>
      <c r="C72" s="31">
        <f t="shared" si="41"/>
        <v>45322</v>
      </c>
      <c r="D72" s="38"/>
      <c r="E72" s="38"/>
      <c r="F72" s="38">
        <f>NAV!E24</f>
        <v>11.5</v>
      </c>
      <c r="G72" s="38">
        <f t="shared" ref="G72" si="42">SUM(D72:F72)</f>
        <v>11.5</v>
      </c>
      <c r="Y72" s="44">
        <f>F72</f>
        <v>11.5</v>
      </c>
      <c r="Z72" s="44"/>
      <c r="AA72" s="44"/>
    </row>
    <row r="73" spans="2:31" x14ac:dyDescent="0.2">
      <c r="B73" s="32" t="str">
        <f>NAV!B25</f>
        <v xml:space="preserve">eSpace </v>
      </c>
      <c r="C73" s="33">
        <f t="shared" si="41"/>
        <v>45322</v>
      </c>
      <c r="D73" s="39"/>
      <c r="E73" s="39"/>
      <c r="F73" s="39">
        <f>NAV!E25</f>
        <v>20.888121539999997</v>
      </c>
      <c r="G73" s="39">
        <f t="shared" ref="G73" si="43">SUM(D73:F73)</f>
        <v>20.888121539999997</v>
      </c>
      <c r="Y73" s="44"/>
      <c r="Z73" s="44">
        <f>G73</f>
        <v>20.888121539999997</v>
      </c>
      <c r="AA73" s="44"/>
    </row>
    <row r="74" spans="2:31" x14ac:dyDescent="0.2">
      <c r="B74" s="30" t="str">
        <f>NAV!B26</f>
        <v>Tools for Humanity Corporation</v>
      </c>
      <c r="C74" s="31">
        <f t="shared" si="41"/>
        <v>45322</v>
      </c>
      <c r="D74" s="38"/>
      <c r="E74" s="38"/>
      <c r="F74" s="38">
        <f ca="1">NAV!E26</f>
        <v>14.999998939999999</v>
      </c>
      <c r="G74" s="38">
        <f t="shared" ref="G74" ca="1" si="44">SUM(D74:F74)</f>
        <v>14.999998939999999</v>
      </c>
      <c r="Y74" s="44"/>
      <c r="Z74" s="44"/>
      <c r="AA74" s="44">
        <f ca="1">G74</f>
        <v>14.999998939999999</v>
      </c>
    </row>
    <row r="75" spans="2:31" x14ac:dyDescent="0.2">
      <c r="B75" s="32" t="str">
        <f>NAV!B27</f>
        <v>WLD Tokens</v>
      </c>
      <c r="C75" s="33">
        <f t="shared" si="41"/>
        <v>45322</v>
      </c>
      <c r="D75" s="39"/>
      <c r="E75" s="39"/>
      <c r="F75" s="39">
        <f ca="1">NAV!E27</f>
        <v>15</v>
      </c>
      <c r="G75" s="39">
        <f t="shared" ref="G75" ca="1" si="45">SUM(D75:F75)</f>
        <v>15</v>
      </c>
      <c r="Y75" s="44"/>
      <c r="Z75" s="44"/>
      <c r="AB75" s="44">
        <f ca="1">G75</f>
        <v>15</v>
      </c>
      <c r="AC75" s="44"/>
      <c r="AD75" s="44"/>
      <c r="AE75" s="44"/>
    </row>
    <row r="76" spans="2:31" x14ac:dyDescent="0.2">
      <c r="B76" s="30" t="str">
        <f>NAV!B28</f>
        <v>E-line Ventures LLC</v>
      </c>
      <c r="C76" s="31">
        <f t="shared" si="41"/>
        <v>45322</v>
      </c>
      <c r="D76" s="38"/>
      <c r="E76" s="38"/>
      <c r="F76" s="38">
        <f ca="1">NAV!E28</f>
        <v>6</v>
      </c>
      <c r="G76" s="38">
        <f t="shared" ref="G76" ca="1" si="46">SUM(D76:F76)</f>
        <v>6</v>
      </c>
      <c r="Y76" s="44"/>
      <c r="Z76" s="44"/>
      <c r="AC76" s="44">
        <f ca="1">G76</f>
        <v>6</v>
      </c>
      <c r="AD76" s="44"/>
      <c r="AE76" s="44"/>
    </row>
    <row r="77" spans="2:31" x14ac:dyDescent="0.2">
      <c r="B77" s="32" t="str">
        <f>NAV!B29</f>
        <v>School Hack (AIREV Holding Limited)</v>
      </c>
      <c r="C77" s="33">
        <f t="shared" si="41"/>
        <v>45322</v>
      </c>
      <c r="D77" s="39"/>
      <c r="E77" s="39"/>
      <c r="F77" s="39">
        <f>NAV!E29</f>
        <v>2.75</v>
      </c>
      <c r="G77" s="39">
        <f t="shared" ref="G77" si="47">SUM(D77:F77)</f>
        <v>2.75</v>
      </c>
      <c r="Y77" s="44"/>
      <c r="Z77" s="44"/>
      <c r="AC77" s="44"/>
      <c r="AD77" s="44">
        <f>G77</f>
        <v>2.75</v>
      </c>
      <c r="AE77" s="44"/>
    </row>
    <row r="78" spans="2:31" x14ac:dyDescent="0.2">
      <c r="B78" s="30"/>
      <c r="C78" s="31"/>
      <c r="D78" s="38"/>
      <c r="E78" s="38"/>
      <c r="F78" s="38"/>
      <c r="G78" s="38"/>
      <c r="Y78" s="44"/>
      <c r="Z78" s="44"/>
      <c r="AC78" s="44"/>
      <c r="AD78" s="44"/>
      <c r="AE78" s="44"/>
    </row>
    <row r="80" spans="2:31" x14ac:dyDescent="0.2">
      <c r="H80" s="386"/>
      <c r="I80" s="387"/>
      <c r="J80" s="387"/>
      <c r="K80" s="387"/>
      <c r="L80" s="387"/>
      <c r="M80" s="387"/>
      <c r="N80" s="387"/>
      <c r="O80" s="387"/>
      <c r="P80" s="387"/>
      <c r="Q80" s="387"/>
      <c r="R80" s="387"/>
      <c r="S80" s="387"/>
      <c r="T80" s="387"/>
      <c r="U80" s="387"/>
      <c r="V80" s="387"/>
      <c r="W80" s="387"/>
      <c r="X80" s="387"/>
      <c r="Y80" s="386"/>
      <c r="Z80" s="386"/>
      <c r="AA80" s="386"/>
      <c r="AB80" s="386"/>
      <c r="AC80" s="386"/>
      <c r="AD80" s="386"/>
      <c r="AE80" s="386"/>
    </row>
    <row r="81" spans="6:31" x14ac:dyDescent="0.2">
      <c r="I81" s="34" t="s">
        <v>24</v>
      </c>
      <c r="J81" s="117" t="str">
        <f>IF(ISERROR(XIRR(J10:J77,$C$10:$C$77)),"NM", XIRR(J10:J77,$C$10:$C$77))</f>
        <v>NM</v>
      </c>
      <c r="K81" s="117" t="str">
        <f>IF(ISERROR(XIRR(K13:K77,$C$13:$C$77)),"NM", XIRR(K13:K77,$C$13:$C$77))</f>
        <v>NM</v>
      </c>
      <c r="L81" s="117">
        <f>IF(ISERROR(XIRR(L14:L77,$C$14:$C$77)),"NM", XIRR(L14:L77,$C$14:$C$77))</f>
        <v>0.59885043501853941</v>
      </c>
      <c r="M81" s="117">
        <f>IF(ISERROR(XIRR(M16:M77,$C$16:$C$77)),"NM", XIRR(M16:M77,$C$16:$C$77))</f>
        <v>0.36091765761375438</v>
      </c>
      <c r="N81" s="117">
        <f>IF(ISERROR(XIRR(N17:N77,$C$17:$C$77)),"NM", XIRR(N17:N77,$C$17:$C$77))</f>
        <v>2.9582828283309937E-3</v>
      </c>
      <c r="O81" s="117">
        <f>IF(ISERROR(XIRR(O21:O77,$C$21:$C$77)),"NM", XIRR(O21:O77,$C$21:$C$77))</f>
        <v>-0.11648148708045483</v>
      </c>
      <c r="P81" s="117">
        <f>IF(ISERROR(XIRR(P26:P77,$C$26:$C$77)),"NM", XIRR(P26:P77,$C$26:$C$77))</f>
        <v>0.33000317215919495</v>
      </c>
      <c r="Q81" s="117">
        <f>IF(ISERROR(XIRR(Q27:Q77,$C$27:$C$77)),"NM", XIRR(Q27:Q77,$C$27:$C$77))</f>
        <v>9.8824506998062139E-2</v>
      </c>
      <c r="R81" s="117">
        <f>IF(ISERROR(XIRR(R28:R77,$C$28:$C$77)),"NM", XIRR(R28:R77,$C$28:$C$77))</f>
        <v>2.9802322387695314E-9</v>
      </c>
      <c r="S81" s="117">
        <f>IF(ISERROR(XIRR(S29:S77,$C$29:$C$77)),"NM", XIRR(S29:S77,$C$29:$C$77))</f>
        <v>2.9802322387695314E-9</v>
      </c>
      <c r="T81" s="117">
        <f>IF(ISERROR(XIRR(T30:T77,$C$30:$C$77)),"NM", XIRR(T30:T77,$C$30:$C$77))</f>
        <v>0.32803497910499579</v>
      </c>
      <c r="U81" s="117">
        <f>IF(ISERROR(XIRR(U31:U77,$C$31:$C$77)),"NM", XIRR(U31:U77,$C$31:$C$77))</f>
        <v>-0.10752884335815904</v>
      </c>
      <c r="V81" s="46">
        <f>IF(ISERROR(XIRR(V32:V77,$C$32:$C$77)),"NM", XIRR(V32:V77,$C$32:$C$77))</f>
        <v>2.9802322387695314E-9</v>
      </c>
      <c r="W81" s="524">
        <f>IF(ISERROR(XIRR(W35:W77,$C$35:$C$77)),"NM", XIRR(W35:W77,$C$35:$C$77))</f>
        <v>-0.87320089479908336</v>
      </c>
      <c r="X81" s="117">
        <f>IF(ISERROR(XIRR(X36:X77,$C$36:$C$77)),"NM", XIRR(X36:X77,$C$36:$C$77))</f>
        <v>2.9359251260757451E-3</v>
      </c>
      <c r="Y81" s="46">
        <f>IF(ISERROR(XIRR(Y38:Y77,$C$38:$C$77)),"NM", XIRR(Y38:Y77,$C$38:$C$77))</f>
        <v>2.9802322387695314E-9</v>
      </c>
      <c r="Z81" s="46">
        <f>IF(ISERROR(XIRR(Z39:Z77,$C$39:$C$77)),"NM", XIRR(Z39:Z77,$C$39:$C$77))</f>
        <v>0.32455406785011298</v>
      </c>
      <c r="AA81" s="46">
        <f ca="1">IF(ISERROR(XIRR(AA41:AA77,$C$41:$C$77)),"NM", XIRR(AA41:AA77,$C$41:$C$77))</f>
        <v>2.9802322387695314E-9</v>
      </c>
      <c r="AB81" s="46" t="str">
        <f ca="1">IF(ISERROR(XIRR(AB42:AB77,$C$42:$C$77)),"NM", XIRR(AB42:AB77,$C$42:$C$77))</f>
        <v>NM</v>
      </c>
      <c r="AC81" s="46" t="s">
        <v>394</v>
      </c>
      <c r="AD81" s="46" t="s">
        <v>394</v>
      </c>
      <c r="AE81" s="46"/>
    </row>
    <row r="82" spans="6:31" x14ac:dyDescent="0.2">
      <c r="F82" s="29">
        <f ca="1">'S | 01 '!K32</f>
        <v>2118.2830433728436</v>
      </c>
      <c r="G82" s="438">
        <f ca="1">SUM(J82:AF82)-'S | 01 '!K32</f>
        <v>0</v>
      </c>
      <c r="H82" s="384" t="b">
        <f ca="1">SUM(J82:AF82)='S | 01 '!K32</f>
        <v>1</v>
      </c>
      <c r="I82" s="34" t="s">
        <v>345</v>
      </c>
      <c r="J82" s="44">
        <f>-SUMIF(J$10:J$55,"&lt;0",J$10:J$55)</f>
        <v>65</v>
      </c>
      <c r="K82" s="44">
        <f t="shared" ref="K82:AD82" si="48">-SUMIF(K$10:K$55,"&lt;0",K$10:K$55)</f>
        <v>8</v>
      </c>
      <c r="L82" s="44">
        <f t="shared" si="48"/>
        <v>10</v>
      </c>
      <c r="M82" s="44">
        <f t="shared" si="48"/>
        <v>2.5</v>
      </c>
      <c r="N82" s="44">
        <f t="shared" si="48"/>
        <v>90</v>
      </c>
      <c r="O82" s="44">
        <f t="shared" si="48"/>
        <v>141.4702596743665</v>
      </c>
      <c r="P82" s="44">
        <f t="shared" si="48"/>
        <v>60</v>
      </c>
      <c r="Q82" s="44">
        <f t="shared" si="48"/>
        <v>20</v>
      </c>
      <c r="R82" s="44">
        <f t="shared" si="48"/>
        <v>39.999983359999995</v>
      </c>
      <c r="S82" s="44">
        <f t="shared" si="48"/>
        <v>8</v>
      </c>
      <c r="T82" s="44">
        <f t="shared" si="48"/>
        <v>5.0237201984774336</v>
      </c>
      <c r="U82" s="44">
        <f t="shared" si="48"/>
        <v>493.50095619999996</v>
      </c>
      <c r="V82" s="44">
        <f t="shared" si="48"/>
        <v>300</v>
      </c>
      <c r="W82" s="44">
        <f t="shared" si="48"/>
        <v>24.53125</v>
      </c>
      <c r="X82" s="44">
        <f t="shared" si="48"/>
        <v>800</v>
      </c>
      <c r="Y82" s="44">
        <f t="shared" si="48"/>
        <v>11.5</v>
      </c>
      <c r="Z82" s="44">
        <f t="shared" si="48"/>
        <v>15</v>
      </c>
      <c r="AA82" s="44">
        <f t="shared" si="48"/>
        <v>14.999998939999999</v>
      </c>
      <c r="AB82" s="44">
        <f t="shared" si="48"/>
        <v>6.875E-3</v>
      </c>
      <c r="AC82" s="44">
        <f t="shared" si="48"/>
        <v>6</v>
      </c>
      <c r="AD82" s="44">
        <f t="shared" si="48"/>
        <v>2.75</v>
      </c>
      <c r="AE82" s="44"/>
    </row>
    <row r="83" spans="6:31" x14ac:dyDescent="0.2">
      <c r="G83" s="525">
        <f ca="1">ROUND(SUM(J83:Z83),2)-ROUND('S | 01 '!M32,2)</f>
        <v>0</v>
      </c>
      <c r="H83" s="384" t="b">
        <f ca="1">ROUND(SUM(J83:Z83),2)=ROUND('S | 01 '!M32,2)</f>
        <v>1</v>
      </c>
      <c r="I83" s="34" t="s">
        <v>347</v>
      </c>
      <c r="J83" s="44">
        <f>SUMIF(J$10:J$55,"&gt;0",J$10:J$55)</f>
        <v>0</v>
      </c>
      <c r="K83" s="44">
        <f t="shared" ref="K83:AD83" si="49">SUMIF(K$10:K$55,"&gt;0",K$10:K$55)</f>
        <v>0</v>
      </c>
      <c r="L83" s="44">
        <f t="shared" si="49"/>
        <v>0</v>
      </c>
      <c r="M83" s="44">
        <f t="shared" si="49"/>
        <v>5</v>
      </c>
      <c r="N83" s="44">
        <f t="shared" si="49"/>
        <v>0</v>
      </c>
      <c r="O83" s="44">
        <f t="shared" si="49"/>
        <v>0</v>
      </c>
      <c r="P83" s="44">
        <f t="shared" si="49"/>
        <v>0</v>
      </c>
      <c r="Q83" s="44">
        <f t="shared" si="49"/>
        <v>24.5</v>
      </c>
      <c r="R83" s="44">
        <f t="shared" si="49"/>
        <v>0</v>
      </c>
      <c r="S83" s="44">
        <f t="shared" si="49"/>
        <v>0</v>
      </c>
      <c r="T83" s="44">
        <f t="shared" si="49"/>
        <v>7.9421925299999989</v>
      </c>
      <c r="U83" s="44">
        <f t="shared" si="49"/>
        <v>403</v>
      </c>
      <c r="V83" s="44">
        <f t="shared" si="49"/>
        <v>0</v>
      </c>
      <c r="W83" s="44">
        <f t="shared" si="49"/>
        <v>0</v>
      </c>
      <c r="X83" s="44">
        <f t="shared" si="49"/>
        <v>802.8</v>
      </c>
      <c r="Y83" s="44">
        <f t="shared" si="49"/>
        <v>0</v>
      </c>
      <c r="Z83" s="44">
        <f t="shared" si="49"/>
        <v>0</v>
      </c>
      <c r="AA83" s="44">
        <f t="shared" si="49"/>
        <v>0</v>
      </c>
      <c r="AB83" s="44">
        <f t="shared" si="49"/>
        <v>0</v>
      </c>
      <c r="AC83" s="44">
        <f t="shared" si="49"/>
        <v>0</v>
      </c>
      <c r="AD83" s="44">
        <f t="shared" si="49"/>
        <v>0</v>
      </c>
      <c r="AE83" s="44"/>
    </row>
    <row r="84" spans="6:31" x14ac:dyDescent="0.2">
      <c r="G84" s="525">
        <f ca="1">ROUND(SUM(J84:AF84),2)-ROUND('S | 01 '!N32,2)</f>
        <v>0</v>
      </c>
      <c r="H84" s="385" t="b">
        <f ca="1">ROUND(SUM(J84:AF84),2)=ROUND('S | 01 '!N32,2)</f>
        <v>1</v>
      </c>
      <c r="I84" s="34" t="s">
        <v>346</v>
      </c>
      <c r="J84" s="44">
        <f>SUM(J$57:J$77)</f>
        <v>0</v>
      </c>
      <c r="K84" s="44">
        <f t="shared" ref="K84:AD84" si="50">SUM(K$57:K$77)</f>
        <v>0</v>
      </c>
      <c r="L84" s="44">
        <f t="shared" si="50"/>
        <v>78.082229999999996</v>
      </c>
      <c r="M84" s="44">
        <f t="shared" si="50"/>
        <v>0</v>
      </c>
      <c r="N84" s="44">
        <f t="shared" si="50"/>
        <v>91.001540300000002</v>
      </c>
      <c r="O84" s="44">
        <f t="shared" si="50"/>
        <v>90.139174751950776</v>
      </c>
      <c r="P84" s="44">
        <f t="shared" si="50"/>
        <v>148.0498412781194</v>
      </c>
      <c r="Q84" s="44">
        <f t="shared" si="50"/>
        <v>0</v>
      </c>
      <c r="R84" s="44">
        <f t="shared" si="50"/>
        <v>39.999983359999995</v>
      </c>
      <c r="S84" s="44">
        <f t="shared" si="50"/>
        <v>8</v>
      </c>
      <c r="T84" s="44">
        <f t="shared" si="50"/>
        <v>0</v>
      </c>
      <c r="U84" s="44">
        <f t="shared" si="50"/>
        <v>0</v>
      </c>
      <c r="V84" s="44">
        <f t="shared" si="50"/>
        <v>300</v>
      </c>
      <c r="W84" s="44">
        <f t="shared" si="50"/>
        <v>2.1837153699999998</v>
      </c>
      <c r="X84" s="44">
        <f t="shared" si="50"/>
        <v>0</v>
      </c>
      <c r="Y84" s="44">
        <f t="shared" si="50"/>
        <v>11.5</v>
      </c>
      <c r="Z84" s="44">
        <f t="shared" si="50"/>
        <v>20.888121539999997</v>
      </c>
      <c r="AA84" s="44">
        <f t="shared" ca="1" si="50"/>
        <v>14.999998939999999</v>
      </c>
      <c r="AB84" s="44">
        <f t="shared" ca="1" si="50"/>
        <v>15</v>
      </c>
      <c r="AC84" s="44">
        <f t="shared" ca="1" si="50"/>
        <v>6</v>
      </c>
      <c r="AD84" s="44">
        <f t="shared" si="50"/>
        <v>2.75</v>
      </c>
      <c r="AE84" s="44"/>
    </row>
    <row r="85" spans="6:31" x14ac:dyDescent="0.2">
      <c r="I85" s="34" t="s">
        <v>34</v>
      </c>
      <c r="J85" s="45">
        <f>(J83+J84)/J82</f>
        <v>0</v>
      </c>
      <c r="K85" s="45">
        <f t="shared" ref="K85:Z85" si="51">(K83+K84)/K82</f>
        <v>0</v>
      </c>
      <c r="L85" s="45">
        <f t="shared" si="51"/>
        <v>7.8082229999999999</v>
      </c>
      <c r="M85" s="45">
        <f t="shared" si="51"/>
        <v>2</v>
      </c>
      <c r="N85" s="45">
        <f t="shared" si="51"/>
        <v>1.0111282255555556</v>
      </c>
      <c r="O85" s="45">
        <f t="shared" si="51"/>
        <v>0.63715988759355768</v>
      </c>
      <c r="P85" s="45">
        <f t="shared" si="51"/>
        <v>2.4674973546353232</v>
      </c>
      <c r="Q85" s="45">
        <f t="shared" si="51"/>
        <v>1.2250000000000001</v>
      </c>
      <c r="R85" s="45">
        <f t="shared" si="51"/>
        <v>1</v>
      </c>
      <c r="S85" s="45">
        <f t="shared" si="51"/>
        <v>1</v>
      </c>
      <c r="T85" s="45">
        <f t="shared" si="51"/>
        <v>1.5809384711368046</v>
      </c>
      <c r="U85" s="45">
        <f t="shared" si="51"/>
        <v>0.81661442584252486</v>
      </c>
      <c r="V85" s="45">
        <f t="shared" si="51"/>
        <v>1</v>
      </c>
      <c r="W85" s="45">
        <f t="shared" si="51"/>
        <v>8.9017696611464955E-2</v>
      </c>
      <c r="X85" s="45">
        <f t="shared" si="51"/>
        <v>1.0034999999999998</v>
      </c>
      <c r="Y85" s="45">
        <f t="shared" si="51"/>
        <v>1</v>
      </c>
      <c r="Z85" s="45">
        <f t="shared" si="51"/>
        <v>1.3925414359999997</v>
      </c>
      <c r="AA85" s="45">
        <f t="shared" ref="AA85:AB85" ca="1" si="52">(AA83+AA84)/AA82</f>
        <v>1</v>
      </c>
      <c r="AB85" s="45">
        <f t="shared" ca="1" si="52"/>
        <v>2181.818181818182</v>
      </c>
      <c r="AC85" s="45">
        <f t="shared" ref="AC85:AD85" ca="1" si="53">(AC83+AC84)/AC82</f>
        <v>1</v>
      </c>
      <c r="AD85" s="45">
        <f t="shared" si="53"/>
        <v>1</v>
      </c>
      <c r="AE85" s="45"/>
    </row>
    <row r="86" spans="6:31" x14ac:dyDescent="0.2">
      <c r="I86" s="34" t="s">
        <v>98</v>
      </c>
      <c r="J86" s="45">
        <f>J83/J82</f>
        <v>0</v>
      </c>
      <c r="K86" s="45">
        <f t="shared" ref="K86:Z86" si="54">K83/K82</f>
        <v>0</v>
      </c>
      <c r="L86" s="45">
        <f t="shared" si="54"/>
        <v>0</v>
      </c>
      <c r="M86" s="45">
        <f t="shared" si="54"/>
        <v>2</v>
      </c>
      <c r="N86" s="45">
        <f t="shared" si="54"/>
        <v>0</v>
      </c>
      <c r="O86" s="45">
        <f t="shared" si="54"/>
        <v>0</v>
      </c>
      <c r="P86" s="45">
        <f t="shared" si="54"/>
        <v>0</v>
      </c>
      <c r="Q86" s="45">
        <f t="shared" si="54"/>
        <v>1.2250000000000001</v>
      </c>
      <c r="R86" s="45">
        <f t="shared" si="54"/>
        <v>0</v>
      </c>
      <c r="S86" s="45">
        <f t="shared" si="54"/>
        <v>0</v>
      </c>
      <c r="T86" s="45">
        <f t="shared" si="54"/>
        <v>1.5809384711368046</v>
      </c>
      <c r="U86" s="45">
        <f t="shared" si="54"/>
        <v>0.81661442584252486</v>
      </c>
      <c r="V86" s="45">
        <f t="shared" si="54"/>
        <v>0</v>
      </c>
      <c r="W86" s="45">
        <f t="shared" si="54"/>
        <v>0</v>
      </c>
      <c r="X86" s="45">
        <f t="shared" si="54"/>
        <v>1.0034999999999998</v>
      </c>
      <c r="Y86" s="45">
        <f t="shared" si="54"/>
        <v>0</v>
      </c>
      <c r="Z86" s="45">
        <f t="shared" si="54"/>
        <v>0</v>
      </c>
      <c r="AA86" s="45">
        <f t="shared" ref="AA86:AB86" si="55">AA83/AA82</f>
        <v>0</v>
      </c>
      <c r="AB86" s="45">
        <f t="shared" si="55"/>
        <v>0</v>
      </c>
      <c r="AC86" s="45">
        <f t="shared" ref="AC86:AD86" si="56">AC83/AC82</f>
        <v>0</v>
      </c>
      <c r="AD86" s="45">
        <f t="shared" si="56"/>
        <v>0</v>
      </c>
      <c r="AE86" s="45"/>
    </row>
    <row r="87" spans="6:31" x14ac:dyDescent="0.2">
      <c r="I87" s="34" t="s">
        <v>99</v>
      </c>
      <c r="J87" s="45">
        <f>J84/J82</f>
        <v>0</v>
      </c>
      <c r="K87" s="45">
        <f t="shared" ref="K87:Z87" si="57">K84/K82</f>
        <v>0</v>
      </c>
      <c r="L87" s="45">
        <f t="shared" si="57"/>
        <v>7.8082229999999999</v>
      </c>
      <c r="M87" s="45">
        <f t="shared" si="57"/>
        <v>0</v>
      </c>
      <c r="N87" s="45">
        <f t="shared" si="57"/>
        <v>1.0111282255555556</v>
      </c>
      <c r="O87" s="45">
        <f t="shared" si="57"/>
        <v>0.63715988759355768</v>
      </c>
      <c r="P87" s="45">
        <f t="shared" si="57"/>
        <v>2.4674973546353232</v>
      </c>
      <c r="Q87" s="45">
        <f t="shared" si="57"/>
        <v>0</v>
      </c>
      <c r="R87" s="45">
        <f t="shared" si="57"/>
        <v>1</v>
      </c>
      <c r="S87" s="45">
        <f t="shared" si="57"/>
        <v>1</v>
      </c>
      <c r="T87" s="45">
        <f t="shared" si="57"/>
        <v>0</v>
      </c>
      <c r="U87" s="45">
        <f t="shared" si="57"/>
        <v>0</v>
      </c>
      <c r="V87" s="45">
        <f t="shared" si="57"/>
        <v>1</v>
      </c>
      <c r="W87" s="45">
        <f t="shared" si="57"/>
        <v>8.9017696611464955E-2</v>
      </c>
      <c r="X87" s="45">
        <f t="shared" si="57"/>
        <v>0</v>
      </c>
      <c r="Y87" s="45">
        <f t="shared" si="57"/>
        <v>1</v>
      </c>
      <c r="Z87" s="45">
        <f t="shared" si="57"/>
        <v>1.3925414359999997</v>
      </c>
      <c r="AA87" s="45">
        <f t="shared" ref="AA87:AB87" ca="1" si="58">AA84/AA82</f>
        <v>1</v>
      </c>
      <c r="AB87" s="45">
        <f t="shared" ca="1" si="58"/>
        <v>2181.818181818182</v>
      </c>
      <c r="AC87" s="45">
        <f t="shared" ref="AC87:AD87" ca="1" si="59">AC84/AC82</f>
        <v>1</v>
      </c>
      <c r="AD87" s="45">
        <f t="shared" si="59"/>
        <v>1</v>
      </c>
      <c r="AE87" s="45"/>
    </row>
    <row r="88" spans="6:31" x14ac:dyDescent="0.2">
      <c r="J88" s="45"/>
      <c r="K88" s="45"/>
      <c r="L88" s="45"/>
      <c r="M88" s="45"/>
      <c r="N88" s="45"/>
      <c r="O88" s="45"/>
      <c r="P88" s="45"/>
      <c r="Q88" s="45"/>
      <c r="R88" s="45"/>
      <c r="S88" s="45"/>
      <c r="T88" s="45"/>
      <c r="U88" s="45"/>
      <c r="V88" s="45"/>
      <c r="W88" s="45"/>
      <c r="X88" s="45"/>
      <c r="Y88" s="45"/>
      <c r="Z88" s="45"/>
      <c r="AA88" s="45"/>
    </row>
    <row r="89" spans="6:31" x14ac:dyDescent="0.2">
      <c r="J89" s="45"/>
      <c r="K89" s="45"/>
      <c r="L89" s="45"/>
      <c r="M89" s="45"/>
      <c r="N89" s="45"/>
      <c r="O89" s="45"/>
      <c r="P89" s="45"/>
      <c r="Q89" s="45"/>
      <c r="R89" s="45"/>
      <c r="S89" s="45"/>
      <c r="T89" s="45"/>
      <c r="U89" s="45"/>
      <c r="V89" s="45"/>
      <c r="W89" s="45"/>
      <c r="X89" s="45"/>
      <c r="Y89" s="45"/>
      <c r="Z89" s="45"/>
      <c r="AA89" s="45"/>
    </row>
    <row r="90" spans="6:31" x14ac:dyDescent="0.2">
      <c r="J90" s="45"/>
      <c r="K90" s="45"/>
      <c r="L90" s="45"/>
      <c r="M90" s="45"/>
      <c r="N90" s="45"/>
      <c r="O90" s="45"/>
      <c r="P90" s="45"/>
      <c r="Q90" s="45"/>
      <c r="R90" s="45"/>
      <c r="S90" s="45"/>
      <c r="T90" s="45"/>
      <c r="U90" s="45"/>
      <c r="V90" s="45"/>
      <c r="W90" s="45"/>
      <c r="X90" s="45"/>
      <c r="Y90" s="45"/>
      <c r="Z90" s="45"/>
      <c r="AA90" s="45"/>
    </row>
    <row r="91" spans="6:31" x14ac:dyDescent="0.2">
      <c r="J91" s="45"/>
      <c r="K91" s="45"/>
      <c r="L91" s="45"/>
      <c r="M91" s="45"/>
      <c r="N91" s="45"/>
      <c r="O91" s="45"/>
      <c r="P91" s="45"/>
      <c r="Q91" s="45"/>
      <c r="R91" s="45"/>
      <c r="S91" s="45"/>
      <c r="T91" s="45"/>
      <c r="U91" s="45"/>
      <c r="V91" s="45"/>
      <c r="W91" s="45"/>
      <c r="X91" s="45"/>
      <c r="Y91" s="45"/>
      <c r="Z91" s="45"/>
      <c r="AA91" s="45"/>
    </row>
    <row r="92" spans="6:31" x14ac:dyDescent="0.2">
      <c r="J92" s="45"/>
      <c r="K92" s="45"/>
      <c r="L92" s="45"/>
      <c r="M92" s="45"/>
      <c r="N92" s="45"/>
      <c r="O92" s="45"/>
      <c r="P92" s="45"/>
      <c r="Q92" s="45"/>
      <c r="R92" s="45"/>
      <c r="S92" s="45"/>
      <c r="T92" s="45"/>
      <c r="U92" s="45"/>
      <c r="V92" s="45"/>
      <c r="W92" s="45"/>
      <c r="X92" s="45"/>
      <c r="Y92" s="45"/>
      <c r="Z92" s="45"/>
      <c r="AA92" s="45"/>
    </row>
    <row r="93" spans="6:31" x14ac:dyDescent="0.2">
      <c r="J93" s="45"/>
      <c r="K93" s="45"/>
      <c r="L93" s="45"/>
      <c r="M93" s="45"/>
      <c r="N93" s="45"/>
      <c r="O93" s="45"/>
      <c r="P93" s="45"/>
      <c r="Q93" s="45"/>
      <c r="R93" s="45"/>
      <c r="S93" s="45"/>
      <c r="T93" s="45"/>
      <c r="U93" s="45"/>
      <c r="V93" s="45"/>
      <c r="W93" s="45"/>
      <c r="X93" s="45"/>
      <c r="Y93" s="45"/>
      <c r="Z93" s="45"/>
      <c r="AA93" s="45"/>
    </row>
    <row r="94" spans="6:31" x14ac:dyDescent="0.2">
      <c r="J94" s="45"/>
      <c r="K94" s="45"/>
      <c r="L94" s="45"/>
      <c r="M94" s="45"/>
      <c r="N94" s="45"/>
      <c r="O94" s="45"/>
      <c r="P94" s="45"/>
      <c r="Q94" s="45"/>
      <c r="R94" s="45"/>
      <c r="S94" s="45"/>
      <c r="T94" s="45"/>
      <c r="U94" s="45"/>
      <c r="V94" s="45"/>
      <c r="W94" s="45"/>
      <c r="X94" s="45"/>
      <c r="Y94" s="45"/>
      <c r="Z94" s="45"/>
      <c r="AA94" s="45"/>
    </row>
    <row r="95" spans="6:31" x14ac:dyDescent="0.2">
      <c r="J95" s="45"/>
      <c r="K95" s="45"/>
      <c r="L95" s="45"/>
      <c r="M95" s="45"/>
      <c r="N95" s="45"/>
      <c r="O95" s="45"/>
      <c r="P95" s="45"/>
      <c r="Q95" s="45"/>
      <c r="R95" s="45"/>
      <c r="S95" s="45"/>
      <c r="T95" s="45"/>
      <c r="U95" s="45"/>
      <c r="V95" s="45"/>
      <c r="W95" s="45"/>
      <c r="X95" s="45"/>
      <c r="Y95" s="45"/>
      <c r="Z95" s="45"/>
      <c r="AA95" s="4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G10:G36" formulaRange="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80" zoomScaleNormal="80" workbookViewId="0">
      <selection activeCell="J26" sqref="J26"/>
    </sheetView>
  </sheetViews>
  <sheetFormatPr defaultColWidth="9.140625" defaultRowHeight="12.75" x14ac:dyDescent="0.2"/>
  <cols>
    <col min="1" max="1" width="3.42578125" style="81" customWidth="1"/>
    <col min="2" max="2" width="29.140625" style="81" customWidth="1"/>
    <col min="3" max="3" width="16" style="92" customWidth="1"/>
    <col min="4" max="4" width="12.85546875" style="81" bestFit="1" customWidth="1"/>
    <col min="5" max="5" width="12.42578125" style="81" bestFit="1" customWidth="1"/>
    <col min="6" max="6" width="14" style="81" bestFit="1" customWidth="1"/>
    <col min="7" max="7" width="9.85546875" style="81" bestFit="1" customWidth="1"/>
    <col min="8" max="8" width="6.42578125" style="81" customWidth="1"/>
    <col min="9" max="9" width="25.42578125" style="81" bestFit="1" customWidth="1"/>
    <col min="10" max="10" width="12" style="81" customWidth="1"/>
    <col min="11" max="11" width="12" style="81" bestFit="1" customWidth="1"/>
    <col min="12" max="13" width="14" style="81" bestFit="1" customWidth="1"/>
    <col min="14" max="14" width="9.85546875" style="81" bestFit="1" customWidth="1"/>
    <col min="15" max="15" width="4.7109375" style="81" customWidth="1"/>
    <col min="16" max="16" width="24.7109375" style="81" bestFit="1" customWidth="1"/>
    <col min="17" max="17" width="10.42578125" style="81" bestFit="1" customWidth="1"/>
    <col min="18" max="18" width="8.42578125" style="81" bestFit="1" customWidth="1"/>
    <col min="19" max="19" width="12" style="81" bestFit="1" customWidth="1"/>
    <col min="20" max="20" width="12.42578125" style="81" bestFit="1" customWidth="1"/>
    <col min="21" max="21" width="14" style="81" bestFit="1" customWidth="1"/>
    <col min="22" max="25" width="7.28515625" style="81" customWidth="1"/>
    <col min="26" max="16384" width="9.140625" style="81"/>
  </cols>
  <sheetData>
    <row r="1" spans="2:25" x14ac:dyDescent="0.2">
      <c r="J1" s="92"/>
      <c r="K1" s="92"/>
      <c r="L1" s="92"/>
      <c r="M1" s="92"/>
      <c r="N1" s="92"/>
    </row>
    <row r="2" spans="2:25" s="26" customFormat="1" ht="43.5" customHeight="1" x14ac:dyDescent="0.45">
      <c r="B2" s="221" t="s">
        <v>209</v>
      </c>
      <c r="C2" s="226"/>
      <c r="D2" s="222"/>
      <c r="E2" s="222"/>
      <c r="F2" s="226"/>
      <c r="G2" s="226"/>
      <c r="H2" s="226"/>
      <c r="I2" s="226"/>
      <c r="J2" s="27"/>
      <c r="K2" s="127"/>
      <c r="L2" s="27"/>
    </row>
    <row r="3" spans="2:25" ht="13.5" thickBot="1" x14ac:dyDescent="0.25">
      <c r="J3" s="92"/>
      <c r="K3" s="92"/>
      <c r="L3" s="92"/>
      <c r="M3" s="92"/>
      <c r="N3" s="92"/>
    </row>
    <row r="4" spans="2:25" ht="13.5" thickBot="1" x14ac:dyDescent="0.25">
      <c r="B4" s="170" t="s">
        <v>174</v>
      </c>
      <c r="C4" s="369">
        <f>D!D2</f>
        <v>45322</v>
      </c>
      <c r="I4" s="187" t="s">
        <v>348</v>
      </c>
      <c r="J4" s="188"/>
      <c r="K4" s="188"/>
      <c r="L4" s="188"/>
      <c r="M4" s="188"/>
      <c r="N4" s="188"/>
      <c r="O4" s="73"/>
      <c r="P4" s="187" t="s">
        <v>178</v>
      </c>
      <c r="Q4" s="188"/>
      <c r="R4" s="188"/>
      <c r="S4" s="188"/>
      <c r="T4" s="188"/>
      <c r="U4" s="188"/>
    </row>
    <row r="5" spans="2:25" x14ac:dyDescent="0.2">
      <c r="I5" s="187"/>
      <c r="J5" s="188"/>
      <c r="K5" s="188"/>
      <c r="L5" s="188"/>
      <c r="M5" s="188"/>
      <c r="N5" s="188"/>
      <c r="P5" s="187"/>
      <c r="Q5" s="188"/>
      <c r="R5" s="188"/>
      <c r="S5" s="188"/>
      <c r="T5" s="188"/>
      <c r="U5" s="188"/>
    </row>
    <row r="6" spans="2:25" x14ac:dyDescent="0.2">
      <c r="B6" s="190" t="s">
        <v>37</v>
      </c>
    </row>
    <row r="7" spans="2:25" ht="25.5" x14ac:dyDescent="0.2">
      <c r="B7" s="58" t="s">
        <v>5</v>
      </c>
      <c r="C7" s="71" t="s">
        <v>6</v>
      </c>
      <c r="D7" s="72" t="s">
        <v>184</v>
      </c>
      <c r="E7" s="72" t="s">
        <v>185</v>
      </c>
      <c r="F7" s="72" t="s">
        <v>162</v>
      </c>
      <c r="G7" s="72" t="s">
        <v>164</v>
      </c>
      <c r="I7" s="71"/>
      <c r="J7" s="71"/>
      <c r="K7" s="72" t="s">
        <v>97</v>
      </c>
      <c r="L7" s="72" t="s">
        <v>173</v>
      </c>
      <c r="M7" s="72" t="s">
        <v>162</v>
      </c>
      <c r="N7" s="72" t="s">
        <v>164</v>
      </c>
      <c r="P7" s="71"/>
      <c r="Q7" s="71" t="s">
        <v>32</v>
      </c>
      <c r="R7" s="72" t="s">
        <v>2</v>
      </c>
      <c r="S7" s="72" t="s">
        <v>51</v>
      </c>
      <c r="T7" s="72" t="s">
        <v>33</v>
      </c>
      <c r="U7" s="72" t="s">
        <v>162</v>
      </c>
      <c r="V7" s="72" t="s">
        <v>24</v>
      </c>
      <c r="W7" s="72" t="s">
        <v>34</v>
      </c>
      <c r="X7" s="72" t="s">
        <v>175</v>
      </c>
      <c r="Y7" s="72" t="s">
        <v>98</v>
      </c>
    </row>
    <row r="8" spans="2:25" x14ac:dyDescent="0.2">
      <c r="B8" s="81" t="s">
        <v>29</v>
      </c>
      <c r="J8" s="92"/>
      <c r="K8" s="92"/>
      <c r="L8" s="92"/>
      <c r="M8" s="92"/>
      <c r="N8" s="92"/>
      <c r="P8" s="161"/>
      <c r="V8" s="165"/>
    </row>
    <row r="9" spans="2:25" x14ac:dyDescent="0.2">
      <c r="B9" s="344" t="str">
        <f>'CF (Equity, Debt)'!C53</f>
        <v xml:space="preserve">Glass Earth Holdings LLC </v>
      </c>
      <c r="C9" s="64">
        <f>'CF (Equity, Debt)'!D53</f>
        <v>43635</v>
      </c>
      <c r="D9" s="62">
        <f>'CF (Equity, Debt)'!E53</f>
        <v>-8</v>
      </c>
      <c r="E9" s="62"/>
      <c r="F9" s="62"/>
      <c r="G9" s="62">
        <f t="shared" ref="G9:G11" si="0">SUM(D9:F9)</f>
        <v>-8</v>
      </c>
      <c r="I9" s="344" t="str">
        <f>B9</f>
        <v xml:space="preserve">Glass Earth Holdings LLC </v>
      </c>
      <c r="J9" s="64">
        <f>C9</f>
        <v>43635</v>
      </c>
      <c r="K9" s="62">
        <f>D9</f>
        <v>-8</v>
      </c>
      <c r="L9" s="62"/>
      <c r="M9" s="62"/>
      <c r="N9" s="62">
        <f>SUM(K9:M9)</f>
        <v>-8</v>
      </c>
      <c r="P9" s="163" t="s">
        <v>49</v>
      </c>
      <c r="Q9" s="162">
        <f>R9</f>
        <v>8</v>
      </c>
      <c r="R9" s="162">
        <f>-D9</f>
        <v>8</v>
      </c>
      <c r="S9" s="162">
        <v>0</v>
      </c>
      <c r="T9" s="162">
        <f>E9</f>
        <v>0</v>
      </c>
      <c r="U9" s="162">
        <f>F14</f>
        <v>0</v>
      </c>
      <c r="V9" s="186" t="str">
        <f>J12</f>
        <v>NM</v>
      </c>
      <c r="W9" s="176">
        <f>(T9+U9)/R9</f>
        <v>0</v>
      </c>
      <c r="X9" s="176">
        <f>U9/R9</f>
        <v>0</v>
      </c>
      <c r="Y9" s="176">
        <f>T9/R9</f>
        <v>0</v>
      </c>
    </row>
    <row r="10" spans="2:25" x14ac:dyDescent="0.2">
      <c r="B10" s="344" t="str">
        <f>'CF (Equity, Debt)'!C54</f>
        <v>Mena Mobile Inc (Debt)</v>
      </c>
      <c r="C10" s="64">
        <f>'CF (Equity, Debt)'!D54</f>
        <v>44293</v>
      </c>
      <c r="D10" s="62">
        <f>'CF (Equity, Debt)'!E54</f>
        <v>-2.3539819999999998</v>
      </c>
      <c r="E10" s="62"/>
      <c r="F10" s="62"/>
      <c r="G10" s="62">
        <f t="shared" si="0"/>
        <v>-2.3539819999999998</v>
      </c>
      <c r="I10" s="345" t="str">
        <f>B14</f>
        <v xml:space="preserve">Glass Earth Holdings LLC </v>
      </c>
      <c r="J10" s="67">
        <f>C14</f>
        <v>45322</v>
      </c>
      <c r="K10" s="69"/>
      <c r="L10" s="69"/>
      <c r="M10" s="69">
        <f>F14</f>
        <v>0</v>
      </c>
      <c r="N10" s="69">
        <f>SUM(K10:M10)</f>
        <v>0</v>
      </c>
      <c r="P10" s="163" t="s">
        <v>273</v>
      </c>
      <c r="Q10" s="162">
        <f>R10</f>
        <v>2.3539819999999998</v>
      </c>
      <c r="R10" s="162">
        <f>-D10</f>
        <v>2.3539819999999998</v>
      </c>
      <c r="S10" s="162">
        <v>0</v>
      </c>
      <c r="T10" s="162">
        <f>E10</f>
        <v>0</v>
      </c>
      <c r="U10" s="162">
        <f>F15</f>
        <v>0</v>
      </c>
      <c r="V10" s="186" t="str">
        <f>J22:J22</f>
        <v>NM</v>
      </c>
      <c r="W10" s="176">
        <f t="shared" ref="W10:W12" si="1">(T10+U10)/R10</f>
        <v>0</v>
      </c>
      <c r="X10" s="176">
        <f>U10/R10</f>
        <v>0</v>
      </c>
      <c r="Y10" s="176">
        <f>T10/R10</f>
        <v>0</v>
      </c>
    </row>
    <row r="11" spans="2:25" x14ac:dyDescent="0.2">
      <c r="B11" s="344" t="str">
        <f>'CF (Equity, Debt)'!C55</f>
        <v>Esyasoft Holding (Debt)</v>
      </c>
      <c r="C11" s="64">
        <f>'CF (Equity, Debt)'!D55</f>
        <v>44384</v>
      </c>
      <c r="D11" s="62">
        <f>'CF (Equity, Debt)'!E55</f>
        <v>-0.41176499999999999</v>
      </c>
      <c r="E11" s="62"/>
      <c r="F11" s="62"/>
      <c r="G11" s="62">
        <f t="shared" si="0"/>
        <v>-0.41176499999999999</v>
      </c>
      <c r="J11" s="92"/>
      <c r="K11" s="92"/>
      <c r="L11" s="92"/>
      <c r="M11" s="92"/>
      <c r="N11" s="92"/>
      <c r="P11" s="163" t="s">
        <v>265</v>
      </c>
      <c r="Q11" s="162">
        <f>R11</f>
        <v>0.41176499999999999</v>
      </c>
      <c r="R11" s="162">
        <f>-D11</f>
        <v>0.41176499999999999</v>
      </c>
      <c r="S11" s="162">
        <v>0</v>
      </c>
      <c r="T11" s="162">
        <f>E12</f>
        <v>0.47078465000000003</v>
      </c>
      <c r="U11" s="162">
        <f>F16</f>
        <v>0</v>
      </c>
      <c r="V11" s="186">
        <f>J31</f>
        <v>7.5277027487754833E-2</v>
      </c>
      <c r="W11" s="176">
        <f t="shared" si="1"/>
        <v>1.1433333333333333</v>
      </c>
      <c r="X11" s="176">
        <f>U11/R11</f>
        <v>0</v>
      </c>
      <c r="Y11" s="176">
        <f>T11/R11</f>
        <v>1.1433333333333333</v>
      </c>
    </row>
    <row r="12" spans="2:25" x14ac:dyDescent="0.2">
      <c r="B12" s="344" t="str">
        <f>'CF (Equity, Debt)'!C56</f>
        <v>Esyasoft Holding (Debt)</v>
      </c>
      <c r="C12" s="64">
        <f>'CF (Equity, Debt)'!D56</f>
        <v>44902</v>
      </c>
      <c r="D12" s="62">
        <f>'CF (Equity, Debt)'!E56</f>
        <v>0</v>
      </c>
      <c r="E12" s="62">
        <f>'CF (Equity, Debt)'!F56</f>
        <v>0.47078465000000003</v>
      </c>
      <c r="F12" s="62"/>
      <c r="G12" s="62">
        <f t="shared" ref="G12" si="2">SUM(D12:F12)</f>
        <v>0.47078465000000003</v>
      </c>
      <c r="I12" s="166" t="s">
        <v>163</v>
      </c>
      <c r="J12" s="192" t="str">
        <f>IF(ISERROR(XIRR(N9:N10,J9:J10)),"NM",XIRR(N9:N10,J9:J10))</f>
        <v>NM</v>
      </c>
      <c r="K12" s="92"/>
      <c r="L12" s="73" t="s">
        <v>166</v>
      </c>
      <c r="N12" s="92"/>
      <c r="P12" s="173"/>
      <c r="Q12" s="175">
        <f>SUM(Q9:Q11)</f>
        <v>10.765747000000001</v>
      </c>
      <c r="R12" s="175">
        <f>SUM(R9:R11)</f>
        <v>10.765747000000001</v>
      </c>
      <c r="S12" s="175">
        <f>SUM(S9:S11)</f>
        <v>0</v>
      </c>
      <c r="T12" s="175">
        <f>SUM(T9:T11)</f>
        <v>0.47078465000000003</v>
      </c>
      <c r="U12" s="175">
        <f>SUM(U9:U11)</f>
        <v>0</v>
      </c>
      <c r="V12" s="260">
        <f>XIRR(G9:G16,C9:C16)</f>
        <v>-0.71226245388388643</v>
      </c>
      <c r="W12" s="177">
        <f t="shared" si="1"/>
        <v>4.3729863798582673E-2</v>
      </c>
      <c r="X12" s="177">
        <f>U12/R12</f>
        <v>0</v>
      </c>
      <c r="Y12" s="177">
        <f t="shared" ref="Y12" si="3">T12/R12</f>
        <v>4.3729863798582673E-2</v>
      </c>
    </row>
    <row r="13" spans="2:25" x14ac:dyDescent="0.2">
      <c r="I13" s="167" t="s">
        <v>34</v>
      </c>
      <c r="J13" s="182">
        <f>SUM(L9:M10)/-SUM(K9:K10)</f>
        <v>0</v>
      </c>
      <c r="K13" s="92"/>
      <c r="L13" s="73" t="s">
        <v>33</v>
      </c>
      <c r="M13" s="160"/>
      <c r="N13" s="92"/>
      <c r="P13" s="73"/>
    </row>
    <row r="14" spans="2:25" x14ac:dyDescent="0.2">
      <c r="B14" s="345" t="str">
        <f>B9</f>
        <v xml:space="preserve">Glass Earth Holdings LLC </v>
      </c>
      <c r="C14" s="67">
        <f>$C$4</f>
        <v>45322</v>
      </c>
      <c r="D14" s="69"/>
      <c r="E14" s="69"/>
      <c r="F14" s="69">
        <f>VLOOKUP(B14,NAV!$B$34:$E$36,4,0)</f>
        <v>0</v>
      </c>
      <c r="G14" s="69">
        <f t="shared" ref="G14:G16" si="4">SUM(D14:F14)</f>
        <v>0</v>
      </c>
      <c r="I14" s="167" t="s">
        <v>165</v>
      </c>
      <c r="J14" s="182">
        <f>SUM(M9:M10)/-SUM(K9:K10)</f>
        <v>0</v>
      </c>
      <c r="K14" s="92"/>
      <c r="L14" s="73" t="s">
        <v>162</v>
      </c>
      <c r="N14" s="92"/>
      <c r="S14" s="160"/>
      <c r="T14" s="160"/>
    </row>
    <row r="15" spans="2:25" x14ac:dyDescent="0.2">
      <c r="B15" s="345" t="str">
        <f>B10</f>
        <v>Mena Mobile Inc (Debt)</v>
      </c>
      <c r="C15" s="67">
        <f t="shared" ref="C15:C16" si="5">$C$4</f>
        <v>45322</v>
      </c>
      <c r="D15" s="69"/>
      <c r="E15" s="69"/>
      <c r="F15" s="69">
        <f>VLOOKUP(B15,NAV!$B$34:$E$36,4,0)</f>
        <v>0</v>
      </c>
      <c r="G15" s="69">
        <f t="shared" si="4"/>
        <v>0</v>
      </c>
      <c r="I15" s="168" t="s">
        <v>98</v>
      </c>
      <c r="J15" s="183">
        <f>SUM(L9:L10)/-SUM(K9:K10)</f>
        <v>0</v>
      </c>
      <c r="K15" s="92"/>
      <c r="L15" s="92"/>
      <c r="M15" s="92"/>
      <c r="N15" s="92"/>
      <c r="P15" s="166" t="s">
        <v>163</v>
      </c>
      <c r="Q15" s="181">
        <f>XIRR(G9:G18,C9:C18)</f>
        <v>-0.71226245388388643</v>
      </c>
      <c r="S15" s="160"/>
      <c r="T15" s="160"/>
    </row>
    <row r="16" spans="2:25" x14ac:dyDescent="0.2">
      <c r="B16" s="345" t="str">
        <f>B11</f>
        <v>Esyasoft Holding (Debt)</v>
      </c>
      <c r="C16" s="67">
        <f t="shared" si="5"/>
        <v>45322</v>
      </c>
      <c r="D16" s="69"/>
      <c r="E16" s="69"/>
      <c r="F16" s="69">
        <f>VLOOKUP(B16,NAV!$B$34:$E$36,4,0)</f>
        <v>0</v>
      </c>
      <c r="G16" s="69">
        <f t="shared" si="4"/>
        <v>0</v>
      </c>
      <c r="J16" s="92"/>
      <c r="K16" s="92"/>
      <c r="L16" s="92"/>
      <c r="M16" s="92"/>
      <c r="N16" s="92"/>
      <c r="P16" s="167" t="s">
        <v>34</v>
      </c>
      <c r="Q16" s="182">
        <f>SUM(T9:U11)/SUM(R9:R11)</f>
        <v>4.3729863798582673E-2</v>
      </c>
      <c r="S16" s="164"/>
      <c r="T16" s="164"/>
    </row>
    <row r="17" spans="9:17" x14ac:dyDescent="0.2">
      <c r="J17" s="92"/>
      <c r="K17" s="92"/>
      <c r="L17" s="92"/>
      <c r="M17" s="92"/>
      <c r="N17" s="92"/>
      <c r="P17" s="167" t="s">
        <v>165</v>
      </c>
      <c r="Q17" s="182">
        <f>SUM(U9:U11)/SUM(R9:R11)</f>
        <v>0</v>
      </c>
    </row>
    <row r="18" spans="9:17" x14ac:dyDescent="0.2">
      <c r="J18" s="92"/>
      <c r="K18" s="92"/>
      <c r="L18" s="92"/>
      <c r="M18" s="92"/>
      <c r="N18" s="92"/>
      <c r="P18" s="168" t="s">
        <v>98</v>
      </c>
      <c r="Q18" s="183">
        <f>SUM(T9:T11)/SUM(R9:R11)</f>
        <v>4.3729863798582673E-2</v>
      </c>
    </row>
    <row r="19" spans="9:17" x14ac:dyDescent="0.2">
      <c r="I19" s="344" t="str">
        <f>B10</f>
        <v>Mena Mobile Inc (Debt)</v>
      </c>
      <c r="J19" s="64">
        <f>C10</f>
        <v>44293</v>
      </c>
      <c r="K19" s="62">
        <v>-2.3539819999999998</v>
      </c>
      <c r="L19" s="62"/>
      <c r="M19" s="62"/>
      <c r="N19" s="62">
        <f>SUM(K19:M19)</f>
        <v>-2.3539819999999998</v>
      </c>
    </row>
    <row r="20" spans="9:17" x14ac:dyDescent="0.2">
      <c r="I20" s="345" t="str">
        <f>B15</f>
        <v>Mena Mobile Inc (Debt)</v>
      </c>
      <c r="J20" s="67">
        <f>C15</f>
        <v>45322</v>
      </c>
      <c r="K20" s="69"/>
      <c r="L20" s="69"/>
      <c r="M20" s="69">
        <v>0</v>
      </c>
      <c r="N20" s="69">
        <f>SUM(K20:M20)</f>
        <v>0</v>
      </c>
    </row>
    <row r="21" spans="9:17" x14ac:dyDescent="0.2">
      <c r="J21" s="92"/>
      <c r="K21" s="92"/>
      <c r="L21" s="92"/>
      <c r="M21" s="92"/>
      <c r="N21" s="92"/>
    </row>
    <row r="22" spans="9:17" x14ac:dyDescent="0.2">
      <c r="I22" s="166" t="s">
        <v>163</v>
      </c>
      <c r="J22" s="192" t="str">
        <f>IF(ISERROR(XIRR(N19:N20,J19:J20)),"NM",XIRR(N19:N20,J19:J20))</f>
        <v>NM</v>
      </c>
      <c r="K22" s="92"/>
      <c r="L22" s="73" t="s">
        <v>166</v>
      </c>
      <c r="N22" s="92"/>
    </row>
    <row r="23" spans="9:17" x14ac:dyDescent="0.2">
      <c r="I23" s="167" t="s">
        <v>34</v>
      </c>
      <c r="J23" s="182">
        <f>SUM(L19:M20)/-SUM(K19:K20)</f>
        <v>0</v>
      </c>
      <c r="K23" s="92"/>
      <c r="L23" s="73" t="s">
        <v>33</v>
      </c>
      <c r="M23" s="160"/>
      <c r="N23" s="92"/>
    </row>
    <row r="24" spans="9:17" x14ac:dyDescent="0.2">
      <c r="I24" s="167" t="s">
        <v>165</v>
      </c>
      <c r="J24" s="182">
        <f>SUM(M19:M20)/-SUM(K19:K20)</f>
        <v>0</v>
      </c>
      <c r="K24" s="92"/>
      <c r="L24" s="73" t="s">
        <v>162</v>
      </c>
      <c r="N24" s="92"/>
    </row>
    <row r="25" spans="9:17" x14ac:dyDescent="0.2">
      <c r="I25" s="168" t="s">
        <v>98</v>
      </c>
      <c r="J25" s="183">
        <f>SUM(L19:L20)/-SUM(K19:K20)</f>
        <v>0</v>
      </c>
      <c r="K25" s="92"/>
      <c r="L25" s="92"/>
      <c r="M25" s="92"/>
      <c r="N25" s="92"/>
    </row>
    <row r="28" spans="9:17" x14ac:dyDescent="0.2">
      <c r="I28" s="344" t="str">
        <f>B11</f>
        <v>Esyasoft Holding (Debt)</v>
      </c>
      <c r="J28" s="344">
        <f>C11</f>
        <v>44384</v>
      </c>
      <c r="K28" s="62">
        <v>-0.41176499999999999</v>
      </c>
      <c r="L28" s="62"/>
      <c r="M28" s="62"/>
      <c r="N28" s="62">
        <f>SUM(K28:M28)</f>
        <v>-0.41176499999999999</v>
      </c>
    </row>
    <row r="29" spans="9:17" x14ac:dyDescent="0.2">
      <c r="I29" s="345" t="str">
        <f>B16</f>
        <v>Esyasoft Holding (Debt)</v>
      </c>
      <c r="J29" s="389">
        <f>'CF (Equity, Debt)'!D56</f>
        <v>44902</v>
      </c>
      <c r="K29" s="69"/>
      <c r="L29" s="69"/>
      <c r="M29" s="69">
        <v>0.45643868219178102</v>
      </c>
      <c r="N29" s="69">
        <f>SUM(K29:M29)</f>
        <v>0.45643868219178102</v>
      </c>
    </row>
    <row r="30" spans="9:17" x14ac:dyDescent="0.2">
      <c r="J30" s="92"/>
      <c r="K30" s="92"/>
      <c r="L30" s="92"/>
      <c r="M30" s="92"/>
      <c r="N30" s="92"/>
    </row>
    <row r="31" spans="9:17" x14ac:dyDescent="0.2">
      <c r="I31" s="166" t="s">
        <v>163</v>
      </c>
      <c r="J31" s="388">
        <f>IF(ISERROR(XIRR(N28:N29,J28:J29)),"NM",XIRR(N28:N29,J28:J29))</f>
        <v>7.5277027487754833E-2</v>
      </c>
      <c r="K31" s="92"/>
      <c r="L31" s="73" t="s">
        <v>166</v>
      </c>
      <c r="N31" s="92"/>
    </row>
    <row r="32" spans="9:17" x14ac:dyDescent="0.2">
      <c r="I32" s="167" t="s">
        <v>34</v>
      </c>
      <c r="J32" s="182">
        <f>SUM(L28:M29)/-SUM(K28:K29)</f>
        <v>1.108493150684932</v>
      </c>
      <c r="K32" s="92"/>
      <c r="L32" s="73" t="s">
        <v>33</v>
      </c>
      <c r="M32" s="160"/>
      <c r="N32" s="92"/>
    </row>
    <row r="33" spans="9:14" x14ac:dyDescent="0.2">
      <c r="I33" s="167" t="s">
        <v>165</v>
      </c>
      <c r="J33" s="182">
        <f>SUM(M28:M29)/-SUM(K28:K29)</f>
        <v>1.108493150684932</v>
      </c>
      <c r="K33" s="92"/>
      <c r="L33" s="73" t="s">
        <v>162</v>
      </c>
      <c r="N33" s="92"/>
    </row>
    <row r="34" spans="9:14" x14ac:dyDescent="0.2">
      <c r="I34" s="168" t="s">
        <v>98</v>
      </c>
      <c r="J34" s="183">
        <f>SUM(L28:L29)/-SUM(K28:K29)</f>
        <v>0</v>
      </c>
      <c r="K34" s="92"/>
      <c r="L34" s="92"/>
      <c r="M34" s="92"/>
      <c r="N34" s="92"/>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N9:N19 N28:N29 G9:G11" formulaRange="1"/>
  </ignoredError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8"/>
  <sheetViews>
    <sheetView zoomScale="90" zoomScaleNormal="90" workbookViewId="0">
      <selection activeCell="C40" sqref="C40"/>
    </sheetView>
  </sheetViews>
  <sheetFormatPr defaultColWidth="9.140625" defaultRowHeight="12.75" x14ac:dyDescent="0.2"/>
  <cols>
    <col min="1" max="1" width="2.85546875" style="81" customWidth="1"/>
    <col min="2" max="2" width="24" style="81" bestFit="1" customWidth="1"/>
    <col min="3" max="3" width="18.85546875" style="81" customWidth="1"/>
    <col min="4" max="4" width="13.140625" style="81" customWidth="1"/>
    <col min="5" max="5" width="13.42578125" style="81" customWidth="1"/>
    <col min="6" max="6" width="12.85546875" style="81" bestFit="1" customWidth="1"/>
    <col min="7" max="7" width="11.140625" style="81" customWidth="1"/>
    <col min="8" max="8" width="3.7109375" style="81" customWidth="1"/>
    <col min="9" max="9" width="24" style="81" bestFit="1" customWidth="1"/>
    <col min="10" max="10" width="13.42578125" style="92" customWidth="1"/>
    <col min="11" max="11" width="12.7109375" style="92" customWidth="1"/>
    <col min="12" max="13" width="12.85546875" style="92" bestFit="1" customWidth="1"/>
    <col min="14" max="14" width="10.85546875" style="92" customWidth="1"/>
    <col min="15" max="15" width="4.140625" style="81" customWidth="1"/>
    <col min="16" max="16" width="34" style="81" bestFit="1" customWidth="1"/>
    <col min="17" max="21" width="15.42578125" style="81" customWidth="1"/>
    <col min="22" max="25" width="11.42578125" style="81" customWidth="1"/>
    <col min="26" max="16384" width="9.140625" style="81"/>
  </cols>
  <sheetData>
    <row r="2" spans="2:25" s="26" customFormat="1" ht="43.5" customHeight="1" x14ac:dyDescent="0.45">
      <c r="B2" s="221" t="s">
        <v>210</v>
      </c>
      <c r="C2" s="222"/>
      <c r="D2" s="222"/>
      <c r="E2" s="252" t="s">
        <v>359</v>
      </c>
      <c r="F2" s="414" t="b">
        <f>COUNTA(B8:B56)=COUNTA('CF (Funds)'!B3:B51)</f>
        <v>1</v>
      </c>
      <c r="G2" s="226"/>
      <c r="H2" s="226"/>
      <c r="I2" s="226"/>
      <c r="J2" s="27"/>
      <c r="K2" s="127"/>
      <c r="L2" s="27"/>
    </row>
    <row r="3" spans="2:25" ht="13.5" thickBot="1" x14ac:dyDescent="0.25"/>
    <row r="4" spans="2:25" ht="13.5" thickBot="1" x14ac:dyDescent="0.25">
      <c r="B4" s="170" t="s">
        <v>174</v>
      </c>
      <c r="C4" s="184">
        <f>D!D2</f>
        <v>45322</v>
      </c>
      <c r="I4" s="187" t="s">
        <v>177</v>
      </c>
      <c r="J4" s="188"/>
      <c r="K4" s="188"/>
      <c r="L4" s="188"/>
      <c r="M4" s="188"/>
      <c r="N4" s="188"/>
      <c r="O4" s="73"/>
      <c r="P4" s="187" t="s">
        <v>178</v>
      </c>
      <c r="Q4" s="189"/>
      <c r="R4" s="189"/>
      <c r="S4" s="189"/>
      <c r="T4" s="189"/>
      <c r="U4" s="189"/>
      <c r="V4" s="189"/>
      <c r="W4" s="189"/>
      <c r="X4" s="189"/>
      <c r="Y4" s="189"/>
    </row>
    <row r="5" spans="2:25" x14ac:dyDescent="0.2">
      <c r="B5" s="73"/>
      <c r="C5" s="191"/>
      <c r="I5" s="187"/>
      <c r="J5" s="188"/>
      <c r="K5" s="188"/>
      <c r="L5" s="188"/>
      <c r="M5" s="188"/>
      <c r="N5" s="188"/>
      <c r="O5" s="73"/>
      <c r="P5" s="187"/>
      <c r="Q5" s="189"/>
      <c r="R5" s="189"/>
      <c r="S5" s="189"/>
      <c r="T5" s="189"/>
      <c r="U5" s="189"/>
      <c r="V5" s="189"/>
      <c r="W5" s="189"/>
      <c r="X5" s="189"/>
      <c r="Y5" s="189"/>
    </row>
    <row r="6" spans="2:25" x14ac:dyDescent="0.2">
      <c r="B6" s="190" t="s">
        <v>37</v>
      </c>
      <c r="I6" s="169"/>
    </row>
    <row r="7" spans="2:25" ht="33.75" customHeight="1" x14ac:dyDescent="0.2">
      <c r="B7" s="58" t="s">
        <v>5</v>
      </c>
      <c r="C7" s="71" t="s">
        <v>6</v>
      </c>
      <c r="D7" s="72" t="s">
        <v>184</v>
      </c>
      <c r="E7" s="346" t="s">
        <v>185</v>
      </c>
      <c r="F7" s="72" t="s">
        <v>162</v>
      </c>
      <c r="G7" s="72" t="s">
        <v>164</v>
      </c>
      <c r="I7" s="71"/>
      <c r="J7" s="71"/>
      <c r="K7" s="72" t="s">
        <v>97</v>
      </c>
      <c r="L7" s="72" t="s">
        <v>173</v>
      </c>
      <c r="M7" s="72" t="s">
        <v>162</v>
      </c>
      <c r="N7" s="72" t="s">
        <v>164</v>
      </c>
      <c r="P7" s="71"/>
      <c r="Q7" s="71" t="s">
        <v>32</v>
      </c>
      <c r="R7" s="72" t="s">
        <v>2</v>
      </c>
      <c r="S7" s="72" t="s">
        <v>51</v>
      </c>
      <c r="T7" s="72" t="s">
        <v>33</v>
      </c>
      <c r="U7" s="72" t="s">
        <v>162</v>
      </c>
      <c r="V7" s="72" t="s">
        <v>24</v>
      </c>
      <c r="W7" s="72" t="s">
        <v>34</v>
      </c>
      <c r="X7" s="72" t="s">
        <v>175</v>
      </c>
      <c r="Y7" s="72" t="s">
        <v>98</v>
      </c>
    </row>
    <row r="8" spans="2:25" x14ac:dyDescent="0.2">
      <c r="B8" s="61" t="str">
        <f>'CF (Funds)'!B3</f>
        <v>Sinovation Disrupt Fund, L.P.</v>
      </c>
      <c r="C8" s="265">
        <f>'CF (Funds)'!C3</f>
        <v>44153</v>
      </c>
      <c r="D8" s="62">
        <f>'CF (Funds)'!D3</f>
        <v>-10.5</v>
      </c>
      <c r="E8" s="347">
        <f>'CF (Funds)'!E3</f>
        <v>0</v>
      </c>
      <c r="F8" s="62"/>
      <c r="G8" s="62">
        <f>SUM(D8:F8)</f>
        <v>-10.5</v>
      </c>
      <c r="P8" s="161" t="s">
        <v>30</v>
      </c>
      <c r="V8" s="165"/>
    </row>
    <row r="9" spans="2:25" x14ac:dyDescent="0.2">
      <c r="B9" s="61" t="str">
        <f>'CF (Funds)'!B4</f>
        <v>Sinovation Disrupt Fund, L.P.</v>
      </c>
      <c r="C9" s="265">
        <f>'CF (Funds)'!C4</f>
        <v>44238</v>
      </c>
      <c r="D9" s="62">
        <f>'CF (Funds)'!D4</f>
        <v>4.2140269999999997</v>
      </c>
      <c r="E9" s="347">
        <f>'CF (Funds)'!E4</f>
        <v>0</v>
      </c>
      <c r="F9" s="62"/>
      <c r="G9" s="62">
        <f t="shared" ref="G9:G19" si="0">SUM(D9:F9)</f>
        <v>4.2140269999999997</v>
      </c>
      <c r="I9" s="61" t="str">
        <f t="shared" ref="I9:M15" si="1">B41</f>
        <v>New Space Capital Fund I</v>
      </c>
      <c r="J9" s="64">
        <f t="shared" si="1"/>
        <v>44087</v>
      </c>
      <c r="K9" s="62">
        <f t="shared" si="1"/>
        <v>-20.917552997000001</v>
      </c>
      <c r="L9" s="347">
        <f t="shared" si="1"/>
        <v>0</v>
      </c>
      <c r="M9" s="347">
        <f t="shared" si="1"/>
        <v>0</v>
      </c>
      <c r="N9" s="62">
        <f t="shared" ref="N9:N10" si="2">SUM(K9:M9)</f>
        <v>-20.917552997000001</v>
      </c>
      <c r="P9" s="163" t="s">
        <v>125</v>
      </c>
      <c r="Q9" s="162">
        <f ca="1">'S | 01 '!J41</f>
        <v>31.022786748675706</v>
      </c>
      <c r="R9" s="162">
        <f ca="1">-SUMIF($B$7:$F$109,$P9,$D$7:$D$109)</f>
        <v>13.988552928385005</v>
      </c>
      <c r="S9" s="162">
        <f ca="1">Q9-R9</f>
        <v>17.034233820290702</v>
      </c>
      <c r="T9" s="162">
        <f ca="1">SUMIF($B$7:$F$109,$P9,$E$7:$E$109)</f>
        <v>2.9557743514081998</v>
      </c>
      <c r="U9" s="162">
        <f ca="1">SUMIF($B$7:$F$109,$P9,$F$7:$F$109)</f>
        <v>13.277944663100001</v>
      </c>
      <c r="V9" s="186">
        <f>J21</f>
        <v>3.6116042733192452E-2</v>
      </c>
      <c r="W9" s="176">
        <f ca="1">(T9+U9)/R9</f>
        <v>1.1605002388465353</v>
      </c>
      <c r="X9" s="176">
        <f ca="1">U9/R9</f>
        <v>0.9492007308459286</v>
      </c>
      <c r="Y9" s="176">
        <f ca="1">T9/R9</f>
        <v>0.21129950800060684</v>
      </c>
    </row>
    <row r="10" spans="2:25" x14ac:dyDescent="0.2">
      <c r="B10" s="61" t="str">
        <f>'CF (Funds)'!B5</f>
        <v>Sinovation Disrupt Fund, L.P.</v>
      </c>
      <c r="C10" s="265">
        <f>'CF (Funds)'!C5</f>
        <v>44238</v>
      </c>
      <c r="D10" s="62">
        <f>'CF (Funds)'!D5</f>
        <v>0</v>
      </c>
      <c r="E10" s="347">
        <f>'CF (Funds)'!E5</f>
        <v>5.0448349999999996E-2</v>
      </c>
      <c r="F10" s="62"/>
      <c r="G10" s="62">
        <f t="shared" si="0"/>
        <v>5.0448349999999996E-2</v>
      </c>
      <c r="I10" s="61" t="str">
        <f t="shared" si="1"/>
        <v>New Space Capital Fund I</v>
      </c>
      <c r="J10" s="64">
        <f t="shared" si="1"/>
        <v>44287</v>
      </c>
      <c r="K10" s="62">
        <f t="shared" si="1"/>
        <v>-0.21103182000000001</v>
      </c>
      <c r="L10" s="347">
        <f t="shared" si="1"/>
        <v>0</v>
      </c>
      <c r="M10" s="347">
        <f t="shared" si="1"/>
        <v>0</v>
      </c>
      <c r="N10" s="62">
        <f t="shared" si="2"/>
        <v>-0.21103182000000001</v>
      </c>
      <c r="P10" s="163" t="s">
        <v>390</v>
      </c>
      <c r="Q10" s="162">
        <f>'S | 01 '!J42</f>
        <v>2.7058823529411762</v>
      </c>
      <c r="R10" s="162">
        <f ca="1">-SUMIF($B$7:$F$109,$P10,$D$7:$D$109)</f>
        <v>2.7058823529411762</v>
      </c>
      <c r="S10" s="162">
        <f t="shared" ref="S10:S13" ca="1" si="3">Q10-R10</f>
        <v>0</v>
      </c>
      <c r="T10" s="162">
        <f ca="1">SUMIF($B$7:$F$109,$P10,$E$7:$E$109)</f>
        <v>0</v>
      </c>
      <c r="U10" s="162">
        <f ca="1">SUMIF($B$7:$F$109,$P10,$F$7:$F$109)</f>
        <v>2.5684255069948656</v>
      </c>
      <c r="V10" s="186">
        <v>0</v>
      </c>
      <c r="W10" s="176">
        <f t="shared" ref="W10:W13" ca="1" si="4">(T10+U10)/R10</f>
        <v>0.94920073084592871</v>
      </c>
      <c r="X10" s="176">
        <f t="shared" ref="X10:X13" ca="1" si="5">U10/R10</f>
        <v>0.94920073084592871</v>
      </c>
      <c r="Y10" s="176">
        <f t="shared" ref="Y10:Y13" ca="1" si="6">T10/R10</f>
        <v>0</v>
      </c>
    </row>
    <row r="11" spans="2:25" x14ac:dyDescent="0.2">
      <c r="B11" s="61" t="str">
        <f>'CF (Funds)'!B6</f>
        <v>Sinovation Disrupt Fund, L.P.</v>
      </c>
      <c r="C11" s="265">
        <f>'CF (Funds)'!C6</f>
        <v>44285</v>
      </c>
      <c r="D11" s="62">
        <f>'CF (Funds)'!D6</f>
        <v>-6.4337459999999993</v>
      </c>
      <c r="E11" s="347">
        <f>'CF (Funds)'!E6</f>
        <v>0</v>
      </c>
      <c r="F11" s="62"/>
      <c r="G11" s="62">
        <f t="shared" si="0"/>
        <v>-6.4337459999999993</v>
      </c>
      <c r="I11" s="61" t="str">
        <f t="shared" si="1"/>
        <v>New Space Capital Fund I</v>
      </c>
      <c r="J11" s="64">
        <f t="shared" si="1"/>
        <v>44442</v>
      </c>
      <c r="K11" s="62">
        <f t="shared" si="1"/>
        <v>-0.23965473139999999</v>
      </c>
      <c r="L11" s="347">
        <f t="shared" si="1"/>
        <v>0</v>
      </c>
      <c r="M11" s="347">
        <f t="shared" si="1"/>
        <v>0</v>
      </c>
      <c r="N11" s="62">
        <f t="shared" ref="N11:N14" si="7">SUM(K11:M11)</f>
        <v>-0.23965473139999999</v>
      </c>
      <c r="P11" s="163" t="s">
        <v>1</v>
      </c>
      <c r="Q11" s="162">
        <f ca="1">'S | 01 '!J43</f>
        <v>83.334352999999979</v>
      </c>
      <c r="R11" s="162">
        <f ca="1">-SUMIF($B$7:$F$109,$P11,$D$7:$D$109)</f>
        <v>83.214652999999984</v>
      </c>
      <c r="S11" s="162">
        <f ca="1">Q11-R11+T11</f>
        <v>7.9355709999999942</v>
      </c>
      <c r="T11" s="162">
        <f ca="1">SUMIF($B$7:$F$109,$P11,$E$7:$E$109)</f>
        <v>7.8158709999999996</v>
      </c>
      <c r="U11" s="162">
        <f ca="1">SUMIF($B$7:$F$109,$P11,$F$7:$F$109)</f>
        <v>74.725861000000009</v>
      </c>
      <c r="V11" s="186">
        <f>J57</f>
        <v>-2.5177218019962321E-3</v>
      </c>
      <c r="W11" s="176">
        <f t="shared" ca="1" si="4"/>
        <v>0.99191343140011679</v>
      </c>
      <c r="X11" s="176">
        <f t="shared" ca="1" si="5"/>
        <v>0.89798921591369274</v>
      </c>
      <c r="Y11" s="176">
        <f t="shared" ca="1" si="6"/>
        <v>9.3924215486424018E-2</v>
      </c>
    </row>
    <row r="12" spans="2:25" x14ac:dyDescent="0.2">
      <c r="B12" s="61" t="str">
        <f>'CF (Funds)'!B7</f>
        <v>Sinovation Disrupt Fund, L.P.</v>
      </c>
      <c r="C12" s="265">
        <f>'CF (Funds)'!C7</f>
        <v>44269</v>
      </c>
      <c r="D12" s="62">
        <f>'CF (Funds)'!D7</f>
        <v>1.1352073899999999</v>
      </c>
      <c r="E12" s="347">
        <f>'CF (Funds)'!E7</f>
        <v>0</v>
      </c>
      <c r="F12" s="62"/>
      <c r="G12" s="62">
        <f t="shared" si="0"/>
        <v>1.1352073899999999</v>
      </c>
      <c r="I12" s="61" t="str">
        <f t="shared" si="1"/>
        <v>New Space Capital Fund I</v>
      </c>
      <c r="J12" s="64">
        <f t="shared" si="1"/>
        <v>44623</v>
      </c>
      <c r="K12" s="62">
        <f t="shared" si="1"/>
        <v>-0.25893584940000003</v>
      </c>
      <c r="L12" s="347">
        <f t="shared" si="1"/>
        <v>0</v>
      </c>
      <c r="M12" s="347">
        <f t="shared" si="1"/>
        <v>0</v>
      </c>
      <c r="N12" s="62">
        <f t="shared" si="7"/>
        <v>-0.25893584940000003</v>
      </c>
      <c r="P12" s="163" t="s">
        <v>12</v>
      </c>
      <c r="Q12" s="162">
        <f>'S | 01 '!J44</f>
        <v>50</v>
      </c>
      <c r="R12" s="162">
        <f ca="1">-SUMIF($B$7:$F$109,$P12,$D$7:$D$109)</f>
        <v>24.959693000000001</v>
      </c>
      <c r="S12" s="162">
        <f t="shared" ca="1" si="3"/>
        <v>25.040306999999999</v>
      </c>
      <c r="T12" s="162">
        <f ca="1">SUMIF($B$7:$F$109,$P12,$E$7:$E$109)</f>
        <v>0.44382834999999998</v>
      </c>
      <c r="U12" s="162">
        <f ca="1">SUMIF($B$7:$F$109,$P12,$F$7:$F$109)</f>
        <v>23.670303000000001</v>
      </c>
      <c r="V12" s="186">
        <f>J83</f>
        <v>-1.4868453145027161E-2</v>
      </c>
      <c r="W12" s="176">
        <f t="shared" ca="1" si="4"/>
        <v>0.96612291465283651</v>
      </c>
      <c r="X12" s="176">
        <f t="shared" ca="1" si="5"/>
        <v>0.94834111140709942</v>
      </c>
      <c r="Y12" s="176">
        <f t="shared" ca="1" si="6"/>
        <v>1.7781803245737034E-2</v>
      </c>
    </row>
    <row r="13" spans="2:25" x14ac:dyDescent="0.2">
      <c r="B13" s="61" t="str">
        <f>'CF (Funds)'!B8</f>
        <v>Sinovation Disrupt Fund, L.P.</v>
      </c>
      <c r="C13" s="265">
        <f>'CF (Funds)'!C8</f>
        <v>44269</v>
      </c>
      <c r="D13" s="62">
        <f>'CF (Funds)'!D8</f>
        <v>0</v>
      </c>
      <c r="E13" s="347">
        <f>'CF (Funds)'!E8</f>
        <v>2.5899999999999999E-2</v>
      </c>
      <c r="F13" s="62"/>
      <c r="G13" s="62">
        <f t="shared" si="0"/>
        <v>2.5899999999999999E-2</v>
      </c>
      <c r="I13" s="61" t="str">
        <f t="shared" si="1"/>
        <v>New Space Capital Fund I</v>
      </c>
      <c r="J13" s="64">
        <f t="shared" si="1"/>
        <v>44784</v>
      </c>
      <c r="K13" s="62">
        <f t="shared" si="1"/>
        <v>1.5224656599999999E-2</v>
      </c>
      <c r="L13" s="347">
        <f t="shared" si="1"/>
        <v>0</v>
      </c>
      <c r="M13" s="347">
        <f t="shared" si="1"/>
        <v>0</v>
      </c>
      <c r="N13" s="62">
        <f t="shared" si="7"/>
        <v>1.5224656599999999E-2</v>
      </c>
      <c r="P13" s="163" t="s">
        <v>176</v>
      </c>
      <c r="Q13" s="162">
        <f>'S | 01 '!J45</f>
        <v>17.112500000000001</v>
      </c>
      <c r="R13" s="162">
        <f ca="1">-SUMIF($B$7:$F$109,$P13,$D$7:$D$109)</f>
        <v>14.0151375</v>
      </c>
      <c r="S13" s="162">
        <f t="shared" ca="1" si="3"/>
        <v>3.0973625000000009</v>
      </c>
      <c r="T13" s="162">
        <f ca="1">SUMIF($B$7:$F$109,$P13,$E$7:$E$109)</f>
        <v>0</v>
      </c>
      <c r="U13" s="162">
        <f ca="1">SUMIF($B$7:$F$109,$P13,$F$7:$F$109)</f>
        <v>12.310425</v>
      </c>
      <c r="V13" s="186">
        <f>J95</f>
        <v>-7.1990828216075942E-2</v>
      </c>
      <c r="W13" s="176">
        <f t="shared" ca="1" si="4"/>
        <v>0.87836633782579732</v>
      </c>
      <c r="X13" s="176">
        <f t="shared" ca="1" si="5"/>
        <v>0.87836633782579732</v>
      </c>
      <c r="Y13" s="176">
        <f t="shared" ca="1" si="6"/>
        <v>0</v>
      </c>
    </row>
    <row r="14" spans="2:25" x14ac:dyDescent="0.2">
      <c r="B14" s="61" t="str">
        <f>'CF (Funds)'!B9</f>
        <v>Sinovation Disrupt Fund, L.P.</v>
      </c>
      <c r="C14" s="265">
        <f>'CF (Funds)'!C9</f>
        <v>44483</v>
      </c>
      <c r="D14" s="62">
        <f>'CF (Funds)'!D9</f>
        <v>-7.5671379999999999</v>
      </c>
      <c r="E14" s="347">
        <f>'CF (Funds)'!E9</f>
        <v>0</v>
      </c>
      <c r="F14" s="62"/>
      <c r="G14" s="62">
        <f t="shared" si="0"/>
        <v>-7.5671379999999999</v>
      </c>
      <c r="I14" s="61" t="str">
        <f t="shared" si="1"/>
        <v>New Space Capital Fund I</v>
      </c>
      <c r="J14" s="64">
        <f t="shared" si="1"/>
        <v>44956</v>
      </c>
      <c r="K14" s="62">
        <f t="shared" si="1"/>
        <v>10.553916089669999</v>
      </c>
      <c r="L14" s="347">
        <f t="shared" si="1"/>
        <v>0</v>
      </c>
      <c r="M14" s="347">
        <f t="shared" si="1"/>
        <v>0</v>
      </c>
      <c r="N14" s="62">
        <f t="shared" si="7"/>
        <v>10.553916089669999</v>
      </c>
      <c r="Q14" s="174"/>
      <c r="R14" s="171"/>
      <c r="S14" s="172"/>
      <c r="T14" s="172"/>
      <c r="U14" s="172"/>
      <c r="V14" s="299"/>
      <c r="W14" s="172"/>
      <c r="X14" s="172"/>
    </row>
    <row r="15" spans="2:25" x14ac:dyDescent="0.2">
      <c r="B15" s="61" t="str">
        <f>'CF (Funds)'!B10</f>
        <v>Sinovation Disrupt Fund, L.P.</v>
      </c>
      <c r="C15" s="265">
        <f>'CF (Funds)'!C10</f>
        <v>44554</v>
      </c>
      <c r="D15" s="62">
        <f>'CF (Funds)'!D10</f>
        <v>-7.3850159999999994</v>
      </c>
      <c r="E15" s="347">
        <f>'CF (Funds)'!E10</f>
        <v>0</v>
      </c>
      <c r="F15" s="62"/>
      <c r="G15" s="62">
        <f t="shared" si="0"/>
        <v>-7.3850159999999994</v>
      </c>
      <c r="I15" s="61" t="str">
        <f t="shared" si="1"/>
        <v>New Space Capital Fund I</v>
      </c>
      <c r="J15" s="64">
        <f t="shared" si="1"/>
        <v>44956</v>
      </c>
      <c r="K15" s="62">
        <f t="shared" si="1"/>
        <v>0</v>
      </c>
      <c r="L15" s="347">
        <f t="shared" si="1"/>
        <v>2.9557743514081998</v>
      </c>
      <c r="M15" s="347">
        <f t="shared" si="1"/>
        <v>0</v>
      </c>
      <c r="N15" s="62">
        <f>SUM(K15:M15)</f>
        <v>2.9557743514081998</v>
      </c>
      <c r="P15" s="173" t="s">
        <v>57</v>
      </c>
      <c r="Q15" s="175">
        <f ca="1">SUM(Q9:Q14)</f>
        <v>184.17552210161688</v>
      </c>
      <c r="R15" s="175">
        <f ca="1">SUM(R9:R14)</f>
        <v>138.88391878132617</v>
      </c>
      <c r="S15" s="175">
        <f ca="1">SUM(S9:S14)</f>
        <v>53.107474320290699</v>
      </c>
      <c r="T15" s="175">
        <f ca="1">SUM(T9:T14)</f>
        <v>11.2154737014082</v>
      </c>
      <c r="U15" s="175">
        <f ca="1">SUM(U9:U14)</f>
        <v>126.55295917009488</v>
      </c>
      <c r="V15" s="260">
        <f>XIRR(G8:G50,C8:C50)</f>
        <v>2.9802322387695314E-9</v>
      </c>
      <c r="W15" s="177">
        <f t="shared" ref="W15" ca="1" si="8">(T15+U15)/R15</f>
        <v>0.99196821403362445</v>
      </c>
      <c r="X15" s="177">
        <f t="shared" ref="X15" ca="1" si="9">U15/R15</f>
        <v>0.91121391360905879</v>
      </c>
      <c r="Y15" s="177">
        <f t="shared" ref="Y15" ca="1" si="10">T15/R15</f>
        <v>8.0754300424565731E-2</v>
      </c>
    </row>
    <row r="16" spans="2:25" x14ac:dyDescent="0.2">
      <c r="B16" s="61" t="str">
        <f>'CF (Funds)'!B11</f>
        <v>Sinovation Disrupt Fund, L.P.</v>
      </c>
      <c r="C16" s="265">
        <f>'CF (Funds)'!C11</f>
        <v>44554</v>
      </c>
      <c r="D16" s="62">
        <f>'CF (Funds)'!D11</f>
        <v>4.0733456099999996</v>
      </c>
      <c r="E16" s="347">
        <f>'CF (Funds)'!E11</f>
        <v>0</v>
      </c>
      <c r="F16" s="62"/>
      <c r="G16" s="62">
        <f t="shared" si="0"/>
        <v>4.0733456099999996</v>
      </c>
      <c r="I16" s="61" t="str">
        <f t="shared" ref="I16:I18" si="11">B48</f>
        <v>New Space Capital Fund I</v>
      </c>
      <c r="J16" s="64">
        <f t="shared" ref="J16:J18" si="12">C48</f>
        <v>45170</v>
      </c>
      <c r="K16" s="62">
        <f t="shared" ref="K16:K18" si="13">D48</f>
        <v>-0.22532724156300002</v>
      </c>
      <c r="L16" s="347">
        <f t="shared" ref="L16:L18" si="14">E48</f>
        <v>0</v>
      </c>
      <c r="M16" s="347">
        <f t="shared" ref="M16:M18" si="15">F48</f>
        <v>0</v>
      </c>
      <c r="N16" s="62">
        <f t="shared" ref="N16:N17" si="16">SUM(K16:M16)</f>
        <v>-0.22532724156300002</v>
      </c>
      <c r="P16" s="73"/>
      <c r="Q16" s="547">
        <f ca="1">'S | 01 '!J46</f>
        <v>184.17552210161688</v>
      </c>
      <c r="R16" s="547">
        <f ca="1">'S | 01 '!K46</f>
        <v>138.88391878132617</v>
      </c>
      <c r="S16" s="547">
        <f ca="1">'S | 01 '!L46</f>
        <v>45.291603320290697</v>
      </c>
      <c r="T16" s="547">
        <f>'S | 01 '!M46</f>
        <v>11.2154737014082</v>
      </c>
      <c r="U16" s="547">
        <f ca="1">'S | 01 '!N46</f>
        <v>126.55295917009488</v>
      </c>
    </row>
    <row r="17" spans="2:20" x14ac:dyDescent="0.2">
      <c r="B17" s="61" t="str">
        <f>'CF (Funds)'!B12</f>
        <v>Sinovation Disrupt Fund, L.P.</v>
      </c>
      <c r="C17" s="265">
        <f>'CF (Funds)'!C12</f>
        <v>44554</v>
      </c>
      <c r="D17" s="62">
        <f>'CF (Funds)'!D12</f>
        <v>0</v>
      </c>
      <c r="E17" s="347">
        <f>'CF (Funds)'!E12</f>
        <v>0.13969399999999998</v>
      </c>
      <c r="F17" s="62"/>
      <c r="G17" s="62">
        <f t="shared" si="0"/>
        <v>0.13969399999999998</v>
      </c>
      <c r="I17" s="61" t="str">
        <f t="shared" si="11"/>
        <v>New Space Capital Fund I</v>
      </c>
      <c r="J17" s="64">
        <f t="shared" si="12"/>
        <v>45260</v>
      </c>
      <c r="K17" s="62">
        <f t="shared" si="13"/>
        <v>-0.28531251529200002</v>
      </c>
      <c r="L17" s="347">
        <f t="shared" si="14"/>
        <v>0</v>
      </c>
      <c r="M17" s="347">
        <f t="shared" si="15"/>
        <v>0</v>
      </c>
      <c r="N17" s="62">
        <f t="shared" si="16"/>
        <v>-0.28531251529200002</v>
      </c>
      <c r="S17" s="160"/>
      <c r="T17" s="160"/>
    </row>
    <row r="18" spans="2:20" x14ac:dyDescent="0.2">
      <c r="B18" s="61" t="str">
        <f>'CF (Funds)'!B13</f>
        <v>Sinovation Disrupt Fund, L.P.</v>
      </c>
      <c r="C18" s="265">
        <f>'CF (Funds)'!C13</f>
        <v>44703</v>
      </c>
      <c r="D18" s="62">
        <f>'CF (Funds)'!D13</f>
        <v>5.6730739999999997</v>
      </c>
      <c r="E18" s="347">
        <f>'CF (Funds)'!E13</f>
        <v>0</v>
      </c>
      <c r="F18" s="62"/>
      <c r="G18" s="62">
        <f t="shared" si="0"/>
        <v>5.6730739999999997</v>
      </c>
      <c r="I18" s="61" t="str">
        <f t="shared" si="11"/>
        <v>New Space Capital Fund I</v>
      </c>
      <c r="J18" s="64">
        <f t="shared" si="12"/>
        <v>45321</v>
      </c>
      <c r="K18" s="62">
        <f t="shared" si="13"/>
        <v>-2.4198785200000001</v>
      </c>
      <c r="L18" s="347">
        <f t="shared" si="14"/>
        <v>0</v>
      </c>
      <c r="M18" s="347">
        <f t="shared" si="15"/>
        <v>0</v>
      </c>
      <c r="N18" s="62">
        <f>SUM(K18:M18)</f>
        <v>-2.4198785200000001</v>
      </c>
      <c r="P18" s="166" t="s">
        <v>163</v>
      </c>
      <c r="Q18" s="434">
        <f>XIRR(G8:G50,C8:C50)</f>
        <v>2.9802322387695314E-9</v>
      </c>
      <c r="S18" s="160"/>
      <c r="T18" s="160"/>
    </row>
    <row r="19" spans="2:20" x14ac:dyDescent="0.2">
      <c r="B19" s="61" t="str">
        <f>'CF (Funds)'!B14</f>
        <v>Sinovation Disrupt Fund, L.P.</v>
      </c>
      <c r="C19" s="265">
        <f>'CF (Funds)'!C14</f>
        <v>44703</v>
      </c>
      <c r="D19" s="62">
        <f>'CF (Funds)'!D14</f>
        <v>0</v>
      </c>
      <c r="E19" s="347">
        <f>'CF (Funds)'!E14</f>
        <v>0.22778599999999999</v>
      </c>
      <c r="F19" s="62"/>
      <c r="G19" s="62">
        <f t="shared" si="0"/>
        <v>0.22778599999999999</v>
      </c>
      <c r="I19" s="66" t="s">
        <v>125</v>
      </c>
      <c r="J19" s="67">
        <f>$C$4</f>
        <v>45322</v>
      </c>
      <c r="K19" s="69"/>
      <c r="L19" s="69"/>
      <c r="M19" s="69">
        <f>F59</f>
        <v>13.277944663100001</v>
      </c>
      <c r="N19" s="69">
        <f>SUM(K19:M19)</f>
        <v>13.277944663100001</v>
      </c>
      <c r="P19" s="167" t="s">
        <v>34</v>
      </c>
      <c r="Q19" s="182">
        <f ca="1">SUM(T9:U13)/SUM(R9:R13)</f>
        <v>0.99196821403362445</v>
      </c>
      <c r="S19" s="164"/>
      <c r="T19" s="164"/>
    </row>
    <row r="20" spans="2:20" x14ac:dyDescent="0.2">
      <c r="B20" s="61" t="str">
        <f>'CF (Funds)'!B15</f>
        <v>Sinovation Disrupt Fund, L.P.</v>
      </c>
      <c r="C20" s="265">
        <f>'CF (Funds)'!C15</f>
        <v>44776</v>
      </c>
      <c r="D20" s="62">
        <f>'CF (Funds)'!D15</f>
        <v>-3.235493</v>
      </c>
      <c r="E20" s="347">
        <f>'CF (Funds)'!E15</f>
        <v>0</v>
      </c>
      <c r="F20" s="62"/>
      <c r="G20" s="62">
        <f t="shared" ref="G20" si="17">SUM(D20:F20)</f>
        <v>-3.235493</v>
      </c>
      <c r="P20" s="167" t="s">
        <v>165</v>
      </c>
      <c r="Q20" s="182">
        <f ca="1">SUM(U9:U13)/SUM(R9:R13)</f>
        <v>0.91121391360905879</v>
      </c>
    </row>
    <row r="21" spans="2:20" x14ac:dyDescent="0.2">
      <c r="B21" s="61" t="str">
        <f>'CF (Funds)'!B16</f>
        <v>Sinovation Disrupt Fund, L.P.</v>
      </c>
      <c r="C21" s="265">
        <f>'CF (Funds)'!C16</f>
        <v>44960</v>
      </c>
      <c r="D21" s="62">
        <f>'CF (Funds)'!D16</f>
        <v>-2.6315279999999999</v>
      </c>
      <c r="E21" s="347">
        <f>'CF (Funds)'!E16</f>
        <v>0</v>
      </c>
      <c r="F21" s="62"/>
      <c r="G21" s="62">
        <f t="shared" ref="G21" si="18">SUM(D21:F21)</f>
        <v>-2.6315279999999999</v>
      </c>
      <c r="I21" s="166" t="s">
        <v>163</v>
      </c>
      <c r="J21" s="181">
        <f>XIRR(N9:N19,J9:J19)</f>
        <v>3.6116042733192452E-2</v>
      </c>
      <c r="L21" s="73" t="s">
        <v>166</v>
      </c>
      <c r="M21" s="81" t="b">
        <f ca="1">-SUM(K9:K19)='S | 01 '!K41</f>
        <v>1</v>
      </c>
      <c r="P21" s="168" t="s">
        <v>98</v>
      </c>
      <c r="Q21" s="183">
        <f ca="1">SUM(T9:T13)/SUM(R9:R13)</f>
        <v>8.0754300424565731E-2</v>
      </c>
    </row>
    <row r="22" spans="2:20" x14ac:dyDescent="0.2">
      <c r="B22" s="61" t="str">
        <f>'CF (Funds)'!B17</f>
        <v>Sinovation Disrupt Fund, L.P.</v>
      </c>
      <c r="C22" s="265">
        <f>'CF (Funds)'!C17</f>
        <v>45085</v>
      </c>
      <c r="D22" s="62">
        <f>'CF (Funds)'!D17</f>
        <v>1.9125570000000001</v>
      </c>
      <c r="E22" s="347">
        <f>'CF (Funds)'!E17</f>
        <v>0</v>
      </c>
      <c r="F22" s="62"/>
      <c r="G22" s="62">
        <f t="shared" ref="G22" si="19">SUM(D22:F22)</f>
        <v>1.9125570000000001</v>
      </c>
      <c r="I22" s="167" t="s">
        <v>34</v>
      </c>
      <c r="J22" s="182">
        <f>SUM(L9:M19)/-SUM(K9:K19)</f>
        <v>1.1605002388465353</v>
      </c>
      <c r="L22" s="73" t="s">
        <v>33</v>
      </c>
      <c r="M22" s="160" t="b">
        <f>-SUM(L9:L20)=-'S | 01 '!M41</f>
        <v>1</v>
      </c>
      <c r="P22" s="498"/>
      <c r="Q22" s="499"/>
    </row>
    <row r="23" spans="2:20" x14ac:dyDescent="0.2">
      <c r="B23" s="61" t="str">
        <f>'CF (Funds)'!B18</f>
        <v>Sinovation Disrupt Fund, L.P.</v>
      </c>
      <c r="C23" s="265">
        <f>'CF (Funds)'!C18</f>
        <v>45166</v>
      </c>
      <c r="D23" s="62">
        <f>'CF (Funds)'!D18</f>
        <v>-1.7991220000000001</v>
      </c>
      <c r="E23" s="347">
        <f>'CF (Funds)'!E18</f>
        <v>0</v>
      </c>
      <c r="F23" s="62"/>
      <c r="G23" s="62">
        <f t="shared" ref="G23" si="20">SUM(D23:F23)</f>
        <v>-1.7991220000000001</v>
      </c>
      <c r="I23" s="167" t="s">
        <v>165</v>
      </c>
      <c r="J23" s="182">
        <f>SUM(M9:M19)/-SUM(K9:K19)</f>
        <v>0.9492007308459286</v>
      </c>
      <c r="L23" s="73" t="s">
        <v>162</v>
      </c>
      <c r="M23" s="81" t="b">
        <f>M19='S | 01 '!N41</f>
        <v>1</v>
      </c>
    </row>
    <row r="24" spans="2:20" x14ac:dyDescent="0.2">
      <c r="B24" s="61" t="str">
        <f>'CF (Funds)'!B19</f>
        <v>Sinovation Disrupt Fund, L.P.</v>
      </c>
      <c r="C24" s="265">
        <f>'CF (Funds)'!C19</f>
        <v>45218</v>
      </c>
      <c r="D24" s="62">
        <f>'CF (Funds)'!D19</f>
        <v>-2.415861</v>
      </c>
      <c r="E24" s="347">
        <f>'CF (Funds)'!E19</f>
        <v>0</v>
      </c>
      <c r="F24" s="62"/>
      <c r="G24" s="62">
        <f t="shared" ref="G24" si="21">SUM(D24:F24)</f>
        <v>-2.415861</v>
      </c>
      <c r="I24" s="168" t="s">
        <v>98</v>
      </c>
      <c r="J24" s="183">
        <f>SUM(L9:L19)/-SUM(K9:K19)</f>
        <v>0.21129950800060684</v>
      </c>
    </row>
    <row r="25" spans="2:20" x14ac:dyDescent="0.2">
      <c r="B25" s="61" t="str">
        <f>'CF (Funds)'!B20</f>
        <v>Sinovation Disrupt Fund, L.P.</v>
      </c>
      <c r="C25" s="265">
        <f>'CF (Funds)'!C20</f>
        <v>0</v>
      </c>
      <c r="D25" s="62">
        <f>'CF (Funds)'!D20</f>
        <v>0</v>
      </c>
      <c r="E25" s="347">
        <f>'CF (Funds)'!E20</f>
        <v>0</v>
      </c>
      <c r="F25" s="62"/>
      <c r="G25" s="62">
        <f t="shared" ref="G25" si="22">SUM(D25:F25)</f>
        <v>0</v>
      </c>
      <c r="I25" s="498"/>
      <c r="J25" s="499"/>
    </row>
    <row r="26" spans="2:20" x14ac:dyDescent="0.2">
      <c r="B26" s="66" t="str">
        <f>'CF (Funds)'!B21</f>
        <v>North Summit Capital Fund</v>
      </c>
      <c r="C26" s="266">
        <f>'CF (Funds)'!C21</f>
        <v>43665</v>
      </c>
      <c r="D26" s="69">
        <f>'CF (Funds)'!D21</f>
        <v>-3</v>
      </c>
      <c r="E26" s="348">
        <f>'CF (Funds)'!E21</f>
        <v>0</v>
      </c>
      <c r="F26" s="69"/>
      <c r="G26" s="69">
        <f t="shared" ref="G26:G39" si="23">SUM(D26:F26)</f>
        <v>-3</v>
      </c>
    </row>
    <row r="27" spans="2:20" x14ac:dyDescent="0.2">
      <c r="B27" s="66" t="str">
        <f>'CF (Funds)'!B22</f>
        <v>North Summit Capital Fund</v>
      </c>
      <c r="C27" s="266">
        <f>'CF (Funds)'!C22</f>
        <v>43983</v>
      </c>
      <c r="D27" s="69">
        <f>'CF (Funds)'!D22</f>
        <v>-4.4849999999999994</v>
      </c>
      <c r="E27" s="348">
        <f>'CF (Funds)'!E22</f>
        <v>0</v>
      </c>
      <c r="F27" s="69"/>
      <c r="G27" s="69">
        <f t="shared" si="23"/>
        <v>-4.4849999999999994</v>
      </c>
    </row>
    <row r="28" spans="2:20" x14ac:dyDescent="0.2">
      <c r="B28" s="66" t="str">
        <f>'CF (Funds)'!B23</f>
        <v>North Summit Capital Fund</v>
      </c>
      <c r="C28" s="266">
        <f>'CF (Funds)'!C23</f>
        <v>43879</v>
      </c>
      <c r="D28" s="69">
        <f>'CF (Funds)'!D23</f>
        <v>-9.5097500000000004</v>
      </c>
      <c r="E28" s="348">
        <f>'CF (Funds)'!E23</f>
        <v>0</v>
      </c>
      <c r="F28" s="69"/>
      <c r="G28" s="69">
        <f t="shared" si="23"/>
        <v>-9.5097500000000004</v>
      </c>
    </row>
    <row r="29" spans="2:20" x14ac:dyDescent="0.2">
      <c r="B29" s="66" t="str">
        <f>'CF (Funds)'!B24</f>
        <v>North Summit Capital Fund</v>
      </c>
      <c r="C29" s="266">
        <f>'CF (Funds)'!C24</f>
        <v>43934</v>
      </c>
      <c r="D29" s="69">
        <f>'CF (Funds)'!D24</f>
        <v>-41.3</v>
      </c>
      <c r="E29" s="348">
        <f>'CF (Funds)'!E24</f>
        <v>0</v>
      </c>
      <c r="F29" s="69"/>
      <c r="G29" s="69">
        <f t="shared" si="23"/>
        <v>-41.3</v>
      </c>
    </row>
    <row r="30" spans="2:20" x14ac:dyDescent="0.2">
      <c r="B30" s="66" t="str">
        <f>'CF (Funds)'!B25</f>
        <v>North Summit Capital Fund</v>
      </c>
      <c r="C30" s="266">
        <f>'CF (Funds)'!C25</f>
        <v>44151</v>
      </c>
      <c r="D30" s="69">
        <f>'CF (Funds)'!D25</f>
        <v>9.9499999999999993</v>
      </c>
      <c r="E30" s="348">
        <f>'CF (Funds)'!E25</f>
        <v>0</v>
      </c>
      <c r="F30" s="69"/>
      <c r="G30" s="69">
        <f t="shared" si="23"/>
        <v>9.9499999999999993</v>
      </c>
      <c r="I30" s="61" t="str">
        <f>B51</f>
        <v>New Space Capital GP Com SCSp</v>
      </c>
      <c r="J30" s="64">
        <f>C51</f>
        <v>44087</v>
      </c>
      <c r="K30" s="62">
        <f>D51</f>
        <v>-2.7058823529411762</v>
      </c>
      <c r="L30" s="120"/>
      <c r="M30" s="120"/>
      <c r="N30" s="62">
        <f>SUM(K30:M30)</f>
        <v>-2.7058823529411762</v>
      </c>
    </row>
    <row r="31" spans="2:20" x14ac:dyDescent="0.2">
      <c r="B31" s="66" t="str">
        <f>'CF (Funds)'!B26</f>
        <v>North Summit Capital Fund</v>
      </c>
      <c r="C31" s="266">
        <f>'CF (Funds)'!C26</f>
        <v>44151</v>
      </c>
      <c r="D31" s="69">
        <f>'CF (Funds)'!D26</f>
        <v>-10.455</v>
      </c>
      <c r="E31" s="348">
        <f>'CF (Funds)'!E26</f>
        <v>0</v>
      </c>
      <c r="F31" s="69"/>
      <c r="G31" s="69">
        <f t="shared" si="23"/>
        <v>-10.455</v>
      </c>
      <c r="I31" s="66" t="s">
        <v>108</v>
      </c>
      <c r="J31" s="67">
        <f>$C$4</f>
        <v>45322</v>
      </c>
      <c r="K31" s="69"/>
      <c r="L31" s="69"/>
      <c r="M31" s="69">
        <f ca="1">F60</f>
        <v>2.5684255069948656</v>
      </c>
      <c r="N31" s="69">
        <f ca="1">SUM(K31:M31)</f>
        <v>2.5684255069948656</v>
      </c>
    </row>
    <row r="32" spans="2:20" x14ac:dyDescent="0.2">
      <c r="B32" s="66" t="str">
        <f>'CF (Funds)'!B27</f>
        <v>North Summit Capital Fund</v>
      </c>
      <c r="C32" s="266">
        <f>'CF (Funds)'!C27</f>
        <v>44196</v>
      </c>
      <c r="D32" s="69">
        <f>'CF (Funds)'!D27</f>
        <v>4.9749999999999996</v>
      </c>
      <c r="E32" s="348">
        <f>'CF (Funds)'!E27</f>
        <v>0</v>
      </c>
      <c r="F32" s="69"/>
      <c r="G32" s="69">
        <f t="shared" si="23"/>
        <v>4.9749999999999996</v>
      </c>
    </row>
    <row r="33" spans="2:14" x14ac:dyDescent="0.2">
      <c r="B33" s="66" t="str">
        <f>'CF (Funds)'!B28</f>
        <v>North Summit Capital Fund</v>
      </c>
      <c r="C33" s="266">
        <f>'CF (Funds)'!C28</f>
        <v>44196</v>
      </c>
      <c r="D33" s="69">
        <f>'CF (Funds)'!D28</f>
        <v>-3.4522930000000001</v>
      </c>
      <c r="E33" s="348">
        <f>'CF (Funds)'!E28</f>
        <v>0</v>
      </c>
      <c r="F33" s="69"/>
      <c r="G33" s="69">
        <f t="shared" si="23"/>
        <v>-3.4522930000000001</v>
      </c>
      <c r="I33" s="166" t="s">
        <v>163</v>
      </c>
      <c r="J33" s="181">
        <f ca="1">XIRR(N30:N31,J30:J31)</f>
        <v>-1.5290215611457825E-2</v>
      </c>
      <c r="L33" s="73" t="s">
        <v>166</v>
      </c>
      <c r="M33" s="81" t="b">
        <f>-SUM(K30:K31)='S | 01 '!K42</f>
        <v>1</v>
      </c>
    </row>
    <row r="34" spans="2:14" x14ac:dyDescent="0.2">
      <c r="B34" s="66" t="str">
        <f>'CF (Funds)'!B29</f>
        <v>North Summit Capital Fund</v>
      </c>
      <c r="C34" s="266">
        <f>'CF (Funds)'!C29</f>
        <v>44196</v>
      </c>
      <c r="D34" s="69">
        <f>'CF (Funds)'!D29</f>
        <v>0</v>
      </c>
      <c r="E34" s="348">
        <f>'CF (Funds)'!E29</f>
        <v>0.58290199999999992</v>
      </c>
      <c r="F34" s="69"/>
      <c r="G34" s="69">
        <f t="shared" si="23"/>
        <v>0.58290199999999992</v>
      </c>
      <c r="I34" s="167" t="s">
        <v>34</v>
      </c>
      <c r="J34" s="182">
        <f ca="1">SUM(L30:M31)/-SUM(K30:K31)</f>
        <v>0.94920073084592871</v>
      </c>
      <c r="L34" s="73" t="s">
        <v>33</v>
      </c>
      <c r="M34" s="160" t="b">
        <f>-SUM(L24:L32)=-'S | 01 '!L42</f>
        <v>1</v>
      </c>
    </row>
    <row r="35" spans="2:14" x14ac:dyDescent="0.2">
      <c r="B35" s="66" t="str">
        <f>'CF (Funds)'!B30</f>
        <v>North Summit Capital Fund</v>
      </c>
      <c r="C35" s="266">
        <f>'CF (Funds)'!C30</f>
        <v>44370</v>
      </c>
      <c r="D35" s="69">
        <f>'CF (Funds)'!D30</f>
        <v>-5.97</v>
      </c>
      <c r="E35" s="348">
        <f>'CF (Funds)'!E30</f>
        <v>0</v>
      </c>
      <c r="F35" s="69"/>
      <c r="G35" s="69">
        <f t="shared" si="23"/>
        <v>-5.97</v>
      </c>
      <c r="I35" s="167" t="s">
        <v>165</v>
      </c>
      <c r="J35" s="182">
        <f ca="1">SUM(M30:M31)/-SUM(K30:K31)</f>
        <v>0.94920073084592871</v>
      </c>
      <c r="L35" s="73" t="s">
        <v>162</v>
      </c>
      <c r="M35" s="81" t="b">
        <f ca="1">M31='S | 01 '!N42</f>
        <v>1</v>
      </c>
    </row>
    <row r="36" spans="2:14" x14ac:dyDescent="0.2">
      <c r="B36" s="66" t="str">
        <f>'CF (Funds)'!B31</f>
        <v>North Summit Capital Fund</v>
      </c>
      <c r="C36" s="266">
        <f>'CF (Funds)'!C31</f>
        <v>44400</v>
      </c>
      <c r="D36" s="69">
        <f>'CF (Funds)'!D31</f>
        <v>-0.75</v>
      </c>
      <c r="E36" s="348">
        <f>'CF (Funds)'!E31</f>
        <v>0</v>
      </c>
      <c r="F36" s="69"/>
      <c r="G36" s="69">
        <f t="shared" si="23"/>
        <v>-0.75</v>
      </c>
      <c r="I36" s="168" t="s">
        <v>98</v>
      </c>
      <c r="J36" s="183">
        <f>SUM(L30:L31)/-SUM(K30:K31)</f>
        <v>0</v>
      </c>
    </row>
    <row r="37" spans="2:14" x14ac:dyDescent="0.2">
      <c r="B37" s="66" t="str">
        <f>'CF (Funds)'!B32</f>
        <v>North Summit Capital Fund</v>
      </c>
      <c r="C37" s="266">
        <f>'CF (Funds)'!C32</f>
        <v>44400</v>
      </c>
      <c r="D37" s="69">
        <f>'CF (Funds)'!D32</f>
        <v>0</v>
      </c>
      <c r="E37" s="348">
        <f>'CF (Funds)'!E32</f>
        <v>0.44505899999999998</v>
      </c>
      <c r="F37" s="69"/>
      <c r="G37" s="69">
        <f t="shared" si="23"/>
        <v>0.44505899999999998</v>
      </c>
    </row>
    <row r="38" spans="2:14" x14ac:dyDescent="0.2">
      <c r="B38" s="66" t="str">
        <f>'CF (Funds)'!B33</f>
        <v>North Summit Capital Fund</v>
      </c>
      <c r="C38" s="266">
        <f>'CF (Funds)'!C33</f>
        <v>44554</v>
      </c>
      <c r="D38" s="69">
        <f>'CF (Funds)'!D33</f>
        <v>1.7823899999999999</v>
      </c>
      <c r="E38" s="348">
        <f>'CF (Funds)'!E33</f>
        <v>0</v>
      </c>
      <c r="F38" s="69"/>
      <c r="G38" s="69">
        <f t="shared" si="23"/>
        <v>1.7823899999999999</v>
      </c>
    </row>
    <row r="39" spans="2:14" x14ac:dyDescent="0.2">
      <c r="B39" s="66" t="str">
        <f>'CF (Funds)'!B34</f>
        <v>North Summit Capital Fund</v>
      </c>
      <c r="C39" s="266">
        <f>'CF (Funds)'!C34</f>
        <v>44676</v>
      </c>
      <c r="D39" s="69">
        <f>'CF (Funds)'!D34</f>
        <v>-21</v>
      </c>
      <c r="E39" s="348">
        <f>'CF (Funds)'!E34</f>
        <v>0</v>
      </c>
      <c r="F39" s="69"/>
      <c r="G39" s="69">
        <f t="shared" si="23"/>
        <v>-21</v>
      </c>
      <c r="I39" s="61" t="str">
        <f t="shared" ref="I39:I53" si="24">B26</f>
        <v>North Summit Capital Fund</v>
      </c>
      <c r="J39" s="64">
        <f t="shared" ref="J39:J53" si="25">C26</f>
        <v>43665</v>
      </c>
      <c r="K39" s="62">
        <f t="shared" ref="K39:K53" si="26">D26</f>
        <v>-3</v>
      </c>
      <c r="L39" s="347">
        <f t="shared" ref="L39:L53" si="27">E26</f>
        <v>0</v>
      </c>
      <c r="M39" s="347">
        <f t="shared" ref="M39:M53" si="28">F26</f>
        <v>0</v>
      </c>
      <c r="N39" s="62">
        <f t="shared" ref="N39:N52" si="29">SUM(K39:M39)</f>
        <v>-3</v>
      </c>
    </row>
    <row r="40" spans="2:14" x14ac:dyDescent="0.2">
      <c r="B40" s="66" t="str">
        <f>'CF (Funds)'!B35</f>
        <v>North Summit Capital Fund</v>
      </c>
      <c r="C40" s="266">
        <f>'CF (Funds)'!C35</f>
        <v>45243</v>
      </c>
      <c r="D40" s="69"/>
      <c r="E40" s="348">
        <f>'CF (Funds)'!E35</f>
        <v>6.7879100000000001</v>
      </c>
      <c r="F40" s="69"/>
      <c r="G40" s="69">
        <f t="shared" ref="G40" si="30">SUM(D40:F40)</f>
        <v>6.7879100000000001</v>
      </c>
      <c r="I40" s="61" t="str">
        <f t="shared" si="24"/>
        <v>North Summit Capital Fund</v>
      </c>
      <c r="J40" s="64">
        <f t="shared" si="25"/>
        <v>43983</v>
      </c>
      <c r="K40" s="62">
        <f t="shared" si="26"/>
        <v>-4.4849999999999994</v>
      </c>
      <c r="L40" s="347">
        <f t="shared" si="27"/>
        <v>0</v>
      </c>
      <c r="M40" s="347">
        <f t="shared" si="28"/>
        <v>0</v>
      </c>
      <c r="N40" s="62">
        <f t="shared" si="29"/>
        <v>-4.4849999999999994</v>
      </c>
    </row>
    <row r="41" spans="2:14" x14ac:dyDescent="0.2">
      <c r="B41" s="61" t="str">
        <f>'CF (Funds)'!B36</f>
        <v>New Space Capital Fund I</v>
      </c>
      <c r="C41" s="265">
        <f>'CF (Funds)'!C36</f>
        <v>44087</v>
      </c>
      <c r="D41" s="62">
        <f>'CF (Funds)'!D36</f>
        <v>-20.917552997000001</v>
      </c>
      <c r="E41" s="349">
        <f>'CF (Funds)'!E36</f>
        <v>0</v>
      </c>
      <c r="F41" s="120"/>
      <c r="G41" s="298">
        <f>SUM(D41:F41)</f>
        <v>-20.917552997000001</v>
      </c>
      <c r="I41" s="61" t="str">
        <f t="shared" si="24"/>
        <v>North Summit Capital Fund</v>
      </c>
      <c r="J41" s="64">
        <f t="shared" si="25"/>
        <v>43879</v>
      </c>
      <c r="K41" s="62">
        <f t="shared" si="26"/>
        <v>-9.5097500000000004</v>
      </c>
      <c r="L41" s="347">
        <f t="shared" si="27"/>
        <v>0</v>
      </c>
      <c r="M41" s="347">
        <f t="shared" si="28"/>
        <v>0</v>
      </c>
      <c r="N41" s="62">
        <f t="shared" si="29"/>
        <v>-9.5097500000000004</v>
      </c>
    </row>
    <row r="42" spans="2:14" x14ac:dyDescent="0.2">
      <c r="B42" s="61" t="str">
        <f>'CF (Funds)'!B37</f>
        <v>New Space Capital Fund I</v>
      </c>
      <c r="C42" s="265">
        <f>'CF (Funds)'!C37</f>
        <v>44287</v>
      </c>
      <c r="D42" s="62">
        <f>'CF (Funds)'!D37</f>
        <v>-0.21103182000000001</v>
      </c>
      <c r="E42" s="349">
        <f>'CF (Funds)'!E37</f>
        <v>0</v>
      </c>
      <c r="F42" s="120"/>
      <c r="G42" s="298">
        <f>SUM(D42:F42)</f>
        <v>-0.21103182000000001</v>
      </c>
      <c r="I42" s="61" t="str">
        <f t="shared" si="24"/>
        <v>North Summit Capital Fund</v>
      </c>
      <c r="J42" s="64">
        <f t="shared" si="25"/>
        <v>43934</v>
      </c>
      <c r="K42" s="62">
        <f t="shared" si="26"/>
        <v>-41.3</v>
      </c>
      <c r="L42" s="347">
        <f t="shared" si="27"/>
        <v>0</v>
      </c>
      <c r="M42" s="347">
        <f t="shared" si="28"/>
        <v>0</v>
      </c>
      <c r="N42" s="62">
        <f t="shared" si="29"/>
        <v>-41.3</v>
      </c>
    </row>
    <row r="43" spans="2:14" x14ac:dyDescent="0.2">
      <c r="B43" s="61" t="str">
        <f>'CF (Funds)'!B38</f>
        <v>New Space Capital Fund I</v>
      </c>
      <c r="C43" s="265">
        <f>'CF (Funds)'!C38</f>
        <v>44442</v>
      </c>
      <c r="D43" s="62">
        <f>'CF (Funds)'!D38</f>
        <v>-0.23965473139999999</v>
      </c>
      <c r="E43" s="349">
        <f>'CF (Funds)'!E38</f>
        <v>0</v>
      </c>
      <c r="F43" s="120"/>
      <c r="G43" s="298">
        <f>SUM(D43:F43)</f>
        <v>-0.23965473139999999</v>
      </c>
      <c r="I43" s="61" t="str">
        <f t="shared" si="24"/>
        <v>North Summit Capital Fund</v>
      </c>
      <c r="J43" s="64">
        <f t="shared" si="25"/>
        <v>44151</v>
      </c>
      <c r="K43" s="62">
        <f t="shared" si="26"/>
        <v>9.9499999999999993</v>
      </c>
      <c r="L43" s="347">
        <f t="shared" si="27"/>
        <v>0</v>
      </c>
      <c r="M43" s="347">
        <f t="shared" si="28"/>
        <v>0</v>
      </c>
      <c r="N43" s="62">
        <f t="shared" si="29"/>
        <v>9.9499999999999993</v>
      </c>
    </row>
    <row r="44" spans="2:14" x14ac:dyDescent="0.2">
      <c r="B44" s="61" t="str">
        <f>'CF (Funds)'!B39</f>
        <v>New Space Capital Fund I</v>
      </c>
      <c r="C44" s="265">
        <f>'CF (Funds)'!C39</f>
        <v>44623</v>
      </c>
      <c r="D44" s="62">
        <f>'CF (Funds)'!D39</f>
        <v>-0.25893584940000003</v>
      </c>
      <c r="E44" s="349">
        <f>'CF (Funds)'!E39</f>
        <v>0</v>
      </c>
      <c r="F44" s="120"/>
      <c r="G44" s="298">
        <f t="shared" ref="G44:G45" si="31">SUM(D44:F44)</f>
        <v>-0.25893584940000003</v>
      </c>
      <c r="I44" s="61" t="str">
        <f t="shared" si="24"/>
        <v>North Summit Capital Fund</v>
      </c>
      <c r="J44" s="64">
        <f t="shared" si="25"/>
        <v>44151</v>
      </c>
      <c r="K44" s="62">
        <f t="shared" si="26"/>
        <v>-10.455</v>
      </c>
      <c r="L44" s="347">
        <f t="shared" si="27"/>
        <v>0</v>
      </c>
      <c r="M44" s="347">
        <f t="shared" si="28"/>
        <v>0</v>
      </c>
      <c r="N44" s="62">
        <f t="shared" si="29"/>
        <v>-10.455</v>
      </c>
    </row>
    <row r="45" spans="2:14" x14ac:dyDescent="0.2">
      <c r="B45" s="61" t="str">
        <f>'CF (Funds)'!B40</f>
        <v>New Space Capital Fund I</v>
      </c>
      <c r="C45" s="265">
        <f>'CF (Funds)'!C40</f>
        <v>44784</v>
      </c>
      <c r="D45" s="62">
        <f>'CF (Funds)'!D40</f>
        <v>1.5224656599999999E-2</v>
      </c>
      <c r="E45" s="349">
        <f>'CF (Funds)'!E40</f>
        <v>0</v>
      </c>
      <c r="F45" s="120"/>
      <c r="G45" s="298">
        <f t="shared" si="31"/>
        <v>1.5224656599999999E-2</v>
      </c>
      <c r="I45" s="61" t="str">
        <f t="shared" si="24"/>
        <v>North Summit Capital Fund</v>
      </c>
      <c r="J45" s="64">
        <f t="shared" si="25"/>
        <v>44196</v>
      </c>
      <c r="K45" s="62">
        <f t="shared" si="26"/>
        <v>4.9749999999999996</v>
      </c>
      <c r="L45" s="347">
        <f t="shared" si="27"/>
        <v>0</v>
      </c>
      <c r="M45" s="347">
        <f t="shared" si="28"/>
        <v>0</v>
      </c>
      <c r="N45" s="62">
        <f t="shared" si="29"/>
        <v>4.9749999999999996</v>
      </c>
    </row>
    <row r="46" spans="2:14" x14ac:dyDescent="0.2">
      <c r="B46" s="61" t="str">
        <f>'CF (Funds)'!B41</f>
        <v>New Space Capital Fund I</v>
      </c>
      <c r="C46" s="265">
        <f>'CF (Funds)'!C41</f>
        <v>44956</v>
      </c>
      <c r="D46" s="62">
        <f>'CF (Funds)'!D41</f>
        <v>10.553916089669999</v>
      </c>
      <c r="E46" s="349">
        <f>'CF (Funds)'!E41</f>
        <v>0</v>
      </c>
      <c r="F46" s="120"/>
      <c r="G46" s="298">
        <f t="shared" ref="G46:G47" si="32">SUM(D46:F46)</f>
        <v>10.553916089669999</v>
      </c>
      <c r="I46" s="61" t="str">
        <f t="shared" si="24"/>
        <v>North Summit Capital Fund</v>
      </c>
      <c r="J46" s="64">
        <f t="shared" si="25"/>
        <v>44196</v>
      </c>
      <c r="K46" s="62">
        <f t="shared" si="26"/>
        <v>-3.4522930000000001</v>
      </c>
      <c r="L46" s="347">
        <f t="shared" si="27"/>
        <v>0</v>
      </c>
      <c r="M46" s="347">
        <f t="shared" si="28"/>
        <v>0</v>
      </c>
      <c r="N46" s="62">
        <f t="shared" si="29"/>
        <v>-3.4522930000000001</v>
      </c>
    </row>
    <row r="47" spans="2:14" x14ac:dyDescent="0.2">
      <c r="B47" s="61" t="str">
        <f>'CF (Funds)'!B42</f>
        <v>New Space Capital Fund I</v>
      </c>
      <c r="C47" s="265">
        <f>'CF (Funds)'!C42</f>
        <v>44956</v>
      </c>
      <c r="D47" s="62">
        <f>'CF (Funds)'!D42</f>
        <v>0</v>
      </c>
      <c r="E47" s="349">
        <f>'CF (Funds)'!E42</f>
        <v>2.9557743514081998</v>
      </c>
      <c r="F47" s="120"/>
      <c r="G47" s="298">
        <f t="shared" si="32"/>
        <v>2.9557743514081998</v>
      </c>
      <c r="I47" s="61" t="str">
        <f t="shared" si="24"/>
        <v>North Summit Capital Fund</v>
      </c>
      <c r="J47" s="64">
        <f t="shared" si="25"/>
        <v>44196</v>
      </c>
      <c r="K47" s="62">
        <f t="shared" si="26"/>
        <v>0</v>
      </c>
      <c r="L47" s="347">
        <f t="shared" si="27"/>
        <v>0.58290199999999992</v>
      </c>
      <c r="M47" s="347">
        <f t="shared" si="28"/>
        <v>0</v>
      </c>
      <c r="N47" s="62">
        <f t="shared" si="29"/>
        <v>0.58290199999999992</v>
      </c>
    </row>
    <row r="48" spans="2:14" x14ac:dyDescent="0.2">
      <c r="B48" s="61" t="str">
        <f>'CF (Funds)'!B43</f>
        <v>New Space Capital Fund I</v>
      </c>
      <c r="C48" s="265">
        <f>'CF (Funds)'!C43</f>
        <v>45170</v>
      </c>
      <c r="D48" s="62">
        <f>'CF (Funds)'!D43</f>
        <v>-0.22532724156300002</v>
      </c>
      <c r="E48" s="349">
        <f>'CF (Funds)'!E43</f>
        <v>0</v>
      </c>
      <c r="F48" s="120"/>
      <c r="G48" s="298">
        <f t="shared" ref="G48:G50" si="33">SUM(D48:F48)</f>
        <v>-0.22532724156300002</v>
      </c>
      <c r="I48" s="61" t="str">
        <f t="shared" si="24"/>
        <v>North Summit Capital Fund</v>
      </c>
      <c r="J48" s="64">
        <f t="shared" si="25"/>
        <v>44370</v>
      </c>
      <c r="K48" s="62">
        <f t="shared" si="26"/>
        <v>-5.97</v>
      </c>
      <c r="L48" s="347">
        <f t="shared" si="27"/>
        <v>0</v>
      </c>
      <c r="M48" s="347">
        <f t="shared" si="28"/>
        <v>0</v>
      </c>
      <c r="N48" s="62">
        <f t="shared" si="29"/>
        <v>-5.97</v>
      </c>
    </row>
    <row r="49" spans="2:14" x14ac:dyDescent="0.2">
      <c r="B49" s="61" t="str">
        <f>'CF (Funds)'!B44</f>
        <v>New Space Capital Fund I</v>
      </c>
      <c r="C49" s="265">
        <f>'CF (Funds)'!C44</f>
        <v>45260</v>
      </c>
      <c r="D49" s="62">
        <f>'CF (Funds)'!D44</f>
        <v>-0.28531251529200002</v>
      </c>
      <c r="E49" s="349">
        <f>'CF (Funds)'!E44</f>
        <v>0</v>
      </c>
      <c r="F49" s="120"/>
      <c r="G49" s="298">
        <f t="shared" si="33"/>
        <v>-0.28531251529200002</v>
      </c>
      <c r="I49" s="61" t="str">
        <f t="shared" si="24"/>
        <v>North Summit Capital Fund</v>
      </c>
      <c r="J49" s="64">
        <f t="shared" si="25"/>
        <v>44400</v>
      </c>
      <c r="K49" s="62">
        <f t="shared" si="26"/>
        <v>-0.75</v>
      </c>
      <c r="L49" s="347">
        <f t="shared" si="27"/>
        <v>0</v>
      </c>
      <c r="M49" s="347">
        <f t="shared" si="28"/>
        <v>0</v>
      </c>
      <c r="N49" s="62">
        <f t="shared" si="29"/>
        <v>-0.75</v>
      </c>
    </row>
    <row r="50" spans="2:14" x14ac:dyDescent="0.2">
      <c r="B50" s="61" t="str">
        <f>'CF (Funds)'!B45</f>
        <v>New Space Capital Fund I</v>
      </c>
      <c r="C50" s="265">
        <f>'CF (Funds)'!C45</f>
        <v>45321</v>
      </c>
      <c r="D50" s="62">
        <f>'CF (Funds)'!D45</f>
        <v>-2.4198785200000001</v>
      </c>
      <c r="E50" s="349">
        <f>'CF (Funds)'!E45</f>
        <v>0</v>
      </c>
      <c r="F50" s="120"/>
      <c r="G50" s="298">
        <f t="shared" si="33"/>
        <v>-2.4198785200000001</v>
      </c>
      <c r="I50" s="61" t="str">
        <f t="shared" si="24"/>
        <v>North Summit Capital Fund</v>
      </c>
      <c r="J50" s="64">
        <f t="shared" si="25"/>
        <v>44400</v>
      </c>
      <c r="K50" s="62">
        <f t="shared" si="26"/>
        <v>0</v>
      </c>
      <c r="L50" s="347">
        <f t="shared" si="27"/>
        <v>0.44505899999999998</v>
      </c>
      <c r="M50" s="347">
        <f t="shared" si="28"/>
        <v>0</v>
      </c>
      <c r="N50" s="62">
        <f t="shared" si="29"/>
        <v>0.44505899999999998</v>
      </c>
    </row>
    <row r="51" spans="2:14" x14ac:dyDescent="0.2">
      <c r="B51" s="61" t="str">
        <f>'CF (Funds)'!B46</f>
        <v>New Space Capital GP Com SCSp</v>
      </c>
      <c r="C51" s="265">
        <f>'CF (Funds)'!C46</f>
        <v>44087</v>
      </c>
      <c r="D51" s="62">
        <f>'CF (Funds)'!D46</f>
        <v>-2.7058823529411762</v>
      </c>
      <c r="E51" s="349">
        <f>'CF (Funds)'!E46</f>
        <v>0</v>
      </c>
      <c r="F51" s="120"/>
      <c r="G51" s="298">
        <f t="shared" ref="G51:G61" si="34">SUM(D51:F51)</f>
        <v>-2.7058823529411762</v>
      </c>
      <c r="I51" s="61" t="str">
        <f t="shared" si="24"/>
        <v>North Summit Capital Fund</v>
      </c>
      <c r="J51" s="64">
        <f t="shared" si="25"/>
        <v>44554</v>
      </c>
      <c r="K51" s="62">
        <f t="shared" si="26"/>
        <v>1.7823899999999999</v>
      </c>
      <c r="L51" s="347">
        <f t="shared" si="27"/>
        <v>0</v>
      </c>
      <c r="M51" s="347">
        <f t="shared" si="28"/>
        <v>0</v>
      </c>
      <c r="N51" s="62">
        <f t="shared" si="29"/>
        <v>1.7823899999999999</v>
      </c>
    </row>
    <row r="52" spans="2:14" x14ac:dyDescent="0.2">
      <c r="B52" s="66" t="str">
        <f>'CF (Funds)'!B47</f>
        <v>Acies Investments Fund I, L.P.</v>
      </c>
      <c r="C52" s="266">
        <f>'CF (Funds)'!C47</f>
        <v>44540</v>
      </c>
      <c r="D52" s="69">
        <f>'CF (Funds)'!D47</f>
        <v>-2.8053124999999999</v>
      </c>
      <c r="E52" s="348">
        <f>'CF (Funds)'!E47</f>
        <v>0</v>
      </c>
      <c r="F52" s="69"/>
      <c r="G52" s="69">
        <f t="shared" si="34"/>
        <v>-2.8053124999999999</v>
      </c>
      <c r="I52" s="61" t="str">
        <f t="shared" si="24"/>
        <v>North Summit Capital Fund</v>
      </c>
      <c r="J52" s="64">
        <f t="shared" si="25"/>
        <v>44676</v>
      </c>
      <c r="K52" s="62">
        <f t="shared" si="26"/>
        <v>-21</v>
      </c>
      <c r="L52" s="347">
        <f t="shared" si="27"/>
        <v>0</v>
      </c>
      <c r="M52" s="347">
        <f t="shared" si="28"/>
        <v>0</v>
      </c>
      <c r="N52" s="62">
        <f t="shared" si="29"/>
        <v>-21</v>
      </c>
    </row>
    <row r="53" spans="2:14" x14ac:dyDescent="0.2">
      <c r="B53" s="66" t="str">
        <f>'CF (Funds)'!B48</f>
        <v>Acies Investments Fund I, L.P.</v>
      </c>
      <c r="C53" s="266">
        <f>'CF (Funds)'!C48</f>
        <v>44602</v>
      </c>
      <c r="D53" s="69">
        <f>'CF (Funds)'!D48</f>
        <v>-3.4074999999999998</v>
      </c>
      <c r="E53" s="348">
        <f>'CF (Funds)'!E48</f>
        <v>0</v>
      </c>
      <c r="F53" s="69"/>
      <c r="G53" s="69">
        <f t="shared" si="34"/>
        <v>-3.4074999999999998</v>
      </c>
      <c r="I53" s="61" t="str">
        <f t="shared" si="24"/>
        <v>North Summit Capital Fund</v>
      </c>
      <c r="J53" s="64">
        <f t="shared" si="25"/>
        <v>45243</v>
      </c>
      <c r="K53" s="62">
        <f t="shared" si="26"/>
        <v>0</v>
      </c>
      <c r="L53" s="347">
        <f t="shared" si="27"/>
        <v>6.7879100000000001</v>
      </c>
      <c r="M53" s="347">
        <f t="shared" si="28"/>
        <v>0</v>
      </c>
      <c r="N53" s="62">
        <f t="shared" ref="N53" si="35">SUM(K53:M53)</f>
        <v>6.7879100000000001</v>
      </c>
    </row>
    <row r="54" spans="2:14" x14ac:dyDescent="0.2">
      <c r="B54" s="66" t="str">
        <f>'CF (Funds)'!B49</f>
        <v>Acies Investments Fund I, L.P.</v>
      </c>
      <c r="C54" s="266">
        <f>'CF (Funds)'!C49</f>
        <v>44683</v>
      </c>
      <c r="D54" s="69">
        <f>'CF (Funds)'!D49</f>
        <v>-1.0257749999999999</v>
      </c>
      <c r="E54" s="348">
        <f>'CF (Funds)'!E49</f>
        <v>0</v>
      </c>
      <c r="F54" s="69"/>
      <c r="G54" s="69">
        <f t="shared" si="34"/>
        <v>-1.0257749999999999</v>
      </c>
      <c r="I54" s="66" t="s">
        <v>1</v>
      </c>
      <c r="J54" s="67">
        <f>$C$4</f>
        <v>45322</v>
      </c>
      <c r="K54" s="69"/>
      <c r="L54" s="69"/>
      <c r="M54" s="69">
        <f>F58</f>
        <v>74.725861000000009</v>
      </c>
      <c r="N54" s="69">
        <f>SUM(K54:M54)</f>
        <v>74.725861000000009</v>
      </c>
    </row>
    <row r="55" spans="2:14" x14ac:dyDescent="0.2">
      <c r="B55" s="66" t="str">
        <f>'CF (Funds)'!B50</f>
        <v>Acies Investments Fund I, L.P.</v>
      </c>
      <c r="C55" s="266">
        <f>'CF (Funds)'!C50</f>
        <v>44707</v>
      </c>
      <c r="D55" s="69">
        <f>'CF (Funds)'!D50</f>
        <v>-3.3882749999999997</v>
      </c>
      <c r="E55" s="348">
        <f>'CF (Funds)'!E50</f>
        <v>0</v>
      </c>
      <c r="F55" s="69"/>
      <c r="G55" s="69">
        <f t="shared" si="34"/>
        <v>-3.3882749999999997</v>
      </c>
    </row>
    <row r="56" spans="2:14" x14ac:dyDescent="0.2">
      <c r="B56" s="66" t="str">
        <f>'CF (Funds)'!B51</f>
        <v>Acies Investments Fund I, L.P.</v>
      </c>
      <c r="C56" s="266">
        <f>'CF (Funds)'!C51</f>
        <v>44875</v>
      </c>
      <c r="D56" s="69">
        <f>'CF (Funds)'!D51</f>
        <v>-3.3882749999999997</v>
      </c>
      <c r="E56" s="348">
        <f>'CF (Funds)'!E51</f>
        <v>0</v>
      </c>
      <c r="F56" s="69"/>
      <c r="G56" s="69">
        <f t="shared" si="34"/>
        <v>-3.3882749999999997</v>
      </c>
    </row>
    <row r="57" spans="2:14" x14ac:dyDescent="0.2">
      <c r="B57" s="61" t="s">
        <v>12</v>
      </c>
      <c r="C57" s="265">
        <f t="shared" ref="C57:C61" si="36">$C$4</f>
        <v>45322</v>
      </c>
      <c r="D57" s="62"/>
      <c r="E57" s="349"/>
      <c r="F57" s="296">
        <f>VLOOKUP(B57,NAV!$B$2:$H$46,4,0)</f>
        <v>23.670303000000001</v>
      </c>
      <c r="G57" s="296">
        <f t="shared" si="34"/>
        <v>23.670303000000001</v>
      </c>
      <c r="I57" s="166" t="s">
        <v>163</v>
      </c>
      <c r="J57" s="181">
        <f>XIRR(N39:N54,J39:J54,-0.1)</f>
        <v>-2.5177218019962321E-3</v>
      </c>
      <c r="L57" s="73" t="s">
        <v>166</v>
      </c>
      <c r="M57" s="81" t="b">
        <f ca="1">-SUM(K39:K52)='S | 01 '!K43</f>
        <v>1</v>
      </c>
    </row>
    <row r="58" spans="2:14" x14ac:dyDescent="0.2">
      <c r="B58" s="66" t="s">
        <v>1</v>
      </c>
      <c r="C58" s="266">
        <f t="shared" si="36"/>
        <v>45322</v>
      </c>
      <c r="D58" s="69"/>
      <c r="E58" s="69"/>
      <c r="F58" s="297">
        <f>VLOOKUP(B58,NAV!$B$2:$H$46,4,0)</f>
        <v>74.725861000000009</v>
      </c>
      <c r="G58" s="297">
        <f t="shared" si="34"/>
        <v>74.725861000000009</v>
      </c>
      <c r="I58" s="167" t="s">
        <v>34</v>
      </c>
      <c r="J58" s="182">
        <f>SUM(L39:M54)/-SUM(K39:K54)</f>
        <v>0.99191343140011679</v>
      </c>
      <c r="L58" s="73" t="s">
        <v>33</v>
      </c>
      <c r="M58" s="160" t="b">
        <f>-SUM(L39:L53)=-'S | 01 '!M43</f>
        <v>1</v>
      </c>
    </row>
    <row r="59" spans="2:14" x14ac:dyDescent="0.2">
      <c r="B59" s="61" t="s">
        <v>125</v>
      </c>
      <c r="C59" s="265">
        <f>$C$4</f>
        <v>45322</v>
      </c>
      <c r="D59" s="62"/>
      <c r="E59" s="120"/>
      <c r="F59" s="296">
        <f>VLOOKUP(B59,NAV!$B$2:$H$46,4,0)</f>
        <v>13.277944663100001</v>
      </c>
      <c r="G59" s="296">
        <f t="shared" si="34"/>
        <v>13.277944663100001</v>
      </c>
      <c r="I59" s="167" t="s">
        <v>165</v>
      </c>
      <c r="J59" s="182">
        <f>SUM(M39:M54)/-SUM(K39:K54)</f>
        <v>0.89798921591369274</v>
      </c>
      <c r="L59" s="73" t="s">
        <v>162</v>
      </c>
      <c r="M59" s="81" t="b">
        <f>M54='S | 01 '!N43</f>
        <v>1</v>
      </c>
    </row>
    <row r="60" spans="2:14" x14ac:dyDescent="0.2">
      <c r="B60" s="66" t="s">
        <v>390</v>
      </c>
      <c r="C60" s="266">
        <f t="shared" si="36"/>
        <v>45322</v>
      </c>
      <c r="D60" s="69"/>
      <c r="E60" s="69"/>
      <c r="F60" s="297">
        <f ca="1">VLOOKUP(B60,NAV!$B$2:$H$46,4,0)</f>
        <v>2.5684255069948656</v>
      </c>
      <c r="G60" s="297">
        <f t="shared" ca="1" si="34"/>
        <v>2.5684255069948656</v>
      </c>
      <c r="I60" s="168" t="s">
        <v>98</v>
      </c>
      <c r="J60" s="183">
        <f>SUM(L39:L54)/-SUM(K39:K54)</f>
        <v>9.3924215486424018E-2</v>
      </c>
    </row>
    <row r="61" spans="2:14" x14ac:dyDescent="0.2">
      <c r="B61" s="61" t="s">
        <v>176</v>
      </c>
      <c r="C61" s="265">
        <f t="shared" si="36"/>
        <v>45322</v>
      </c>
      <c r="D61" s="62"/>
      <c r="E61" s="120"/>
      <c r="F61" s="296">
        <f>VLOOKUP(B61,NAV!$B$2:$H$46,4,0)</f>
        <v>12.310425</v>
      </c>
      <c r="G61" s="296">
        <f t="shared" si="34"/>
        <v>12.310425</v>
      </c>
    </row>
    <row r="63" spans="2:14" x14ac:dyDescent="0.2">
      <c r="B63" s="66"/>
      <c r="C63" s="266"/>
      <c r="D63" s="69"/>
      <c r="E63" s="69"/>
      <c r="F63" s="69"/>
      <c r="G63" s="69"/>
      <c r="I63" s="61" t="str">
        <f t="shared" ref="I63:I80" si="37">B8</f>
        <v>Sinovation Disrupt Fund, L.P.</v>
      </c>
      <c r="J63" s="64">
        <f t="shared" ref="J63:J80" si="38">C8</f>
        <v>44153</v>
      </c>
      <c r="K63" s="62">
        <f t="shared" ref="K63:K80" si="39">D8</f>
        <v>-10.5</v>
      </c>
      <c r="L63" s="347">
        <f t="shared" ref="L63:L80" si="40">E8</f>
        <v>0</v>
      </c>
      <c r="M63" s="347">
        <f t="shared" ref="M63:M80" si="41">F8</f>
        <v>0</v>
      </c>
      <c r="N63" s="62">
        <f t="shared" ref="N63:N74" si="42">SUM(K63:M63)</f>
        <v>-10.5</v>
      </c>
    </row>
    <row r="64" spans="2:14" x14ac:dyDescent="0.2">
      <c r="C64" s="90"/>
      <c r="I64" s="61" t="str">
        <f t="shared" si="37"/>
        <v>Sinovation Disrupt Fund, L.P.</v>
      </c>
      <c r="J64" s="64">
        <f t="shared" si="38"/>
        <v>44238</v>
      </c>
      <c r="K64" s="62">
        <f t="shared" si="39"/>
        <v>4.2140269999999997</v>
      </c>
      <c r="L64" s="347">
        <f t="shared" si="40"/>
        <v>0</v>
      </c>
      <c r="M64" s="347">
        <f t="shared" si="41"/>
        <v>0</v>
      </c>
      <c r="N64" s="62">
        <f t="shared" si="42"/>
        <v>4.2140269999999997</v>
      </c>
    </row>
    <row r="65" spans="3:14" x14ac:dyDescent="0.2">
      <c r="C65" s="90"/>
      <c r="I65" s="61" t="str">
        <f t="shared" si="37"/>
        <v>Sinovation Disrupt Fund, L.P.</v>
      </c>
      <c r="J65" s="64">
        <f t="shared" si="38"/>
        <v>44238</v>
      </c>
      <c r="K65" s="62">
        <f t="shared" si="39"/>
        <v>0</v>
      </c>
      <c r="L65" s="347">
        <f t="shared" si="40"/>
        <v>5.0448349999999996E-2</v>
      </c>
      <c r="M65" s="347">
        <f t="shared" si="41"/>
        <v>0</v>
      </c>
      <c r="N65" s="62">
        <f t="shared" si="42"/>
        <v>5.0448349999999996E-2</v>
      </c>
    </row>
    <row r="66" spans="3:14" x14ac:dyDescent="0.2">
      <c r="C66" s="90"/>
      <c r="I66" s="61" t="str">
        <f t="shared" si="37"/>
        <v>Sinovation Disrupt Fund, L.P.</v>
      </c>
      <c r="J66" s="64">
        <f t="shared" si="38"/>
        <v>44285</v>
      </c>
      <c r="K66" s="62">
        <f t="shared" si="39"/>
        <v>-6.4337459999999993</v>
      </c>
      <c r="L66" s="347">
        <f t="shared" si="40"/>
        <v>0</v>
      </c>
      <c r="M66" s="347">
        <f t="shared" si="41"/>
        <v>0</v>
      </c>
      <c r="N66" s="62">
        <f t="shared" si="42"/>
        <v>-6.4337459999999993</v>
      </c>
    </row>
    <row r="67" spans="3:14" x14ac:dyDescent="0.2">
      <c r="C67" s="90"/>
      <c r="I67" s="61" t="str">
        <f t="shared" si="37"/>
        <v>Sinovation Disrupt Fund, L.P.</v>
      </c>
      <c r="J67" s="64">
        <f t="shared" si="38"/>
        <v>44269</v>
      </c>
      <c r="K67" s="62">
        <f t="shared" si="39"/>
        <v>1.1352073899999999</v>
      </c>
      <c r="L67" s="347">
        <f t="shared" si="40"/>
        <v>0</v>
      </c>
      <c r="M67" s="347">
        <f t="shared" si="41"/>
        <v>0</v>
      </c>
      <c r="N67" s="62">
        <f t="shared" si="42"/>
        <v>1.1352073899999999</v>
      </c>
    </row>
    <row r="68" spans="3:14" x14ac:dyDescent="0.2">
      <c r="C68" s="90"/>
      <c r="I68" s="61" t="str">
        <f t="shared" si="37"/>
        <v>Sinovation Disrupt Fund, L.P.</v>
      </c>
      <c r="J68" s="64">
        <f t="shared" si="38"/>
        <v>44269</v>
      </c>
      <c r="K68" s="62">
        <f t="shared" si="39"/>
        <v>0</v>
      </c>
      <c r="L68" s="347">
        <f t="shared" si="40"/>
        <v>2.5899999999999999E-2</v>
      </c>
      <c r="M68" s="347">
        <f t="shared" si="41"/>
        <v>0</v>
      </c>
      <c r="N68" s="62">
        <f t="shared" si="42"/>
        <v>2.5899999999999999E-2</v>
      </c>
    </row>
    <row r="69" spans="3:14" x14ac:dyDescent="0.2">
      <c r="C69" s="90"/>
      <c r="I69" s="61" t="str">
        <f t="shared" si="37"/>
        <v>Sinovation Disrupt Fund, L.P.</v>
      </c>
      <c r="J69" s="64">
        <f t="shared" si="38"/>
        <v>44483</v>
      </c>
      <c r="K69" s="62">
        <f t="shared" si="39"/>
        <v>-7.5671379999999999</v>
      </c>
      <c r="L69" s="347">
        <f t="shared" si="40"/>
        <v>0</v>
      </c>
      <c r="M69" s="347">
        <f t="shared" si="41"/>
        <v>0</v>
      </c>
      <c r="N69" s="62">
        <f t="shared" si="42"/>
        <v>-7.5671379999999999</v>
      </c>
    </row>
    <row r="70" spans="3:14" x14ac:dyDescent="0.2">
      <c r="C70" s="90"/>
      <c r="I70" s="61" t="str">
        <f t="shared" si="37"/>
        <v>Sinovation Disrupt Fund, L.P.</v>
      </c>
      <c r="J70" s="64">
        <f t="shared" si="38"/>
        <v>44554</v>
      </c>
      <c r="K70" s="62">
        <f t="shared" si="39"/>
        <v>-7.3850159999999994</v>
      </c>
      <c r="L70" s="347">
        <f t="shared" si="40"/>
        <v>0</v>
      </c>
      <c r="M70" s="347">
        <f t="shared" si="41"/>
        <v>0</v>
      </c>
      <c r="N70" s="62">
        <f t="shared" si="42"/>
        <v>-7.3850159999999994</v>
      </c>
    </row>
    <row r="71" spans="3:14" x14ac:dyDescent="0.2">
      <c r="C71" s="90"/>
      <c r="I71" s="61" t="str">
        <f t="shared" si="37"/>
        <v>Sinovation Disrupt Fund, L.P.</v>
      </c>
      <c r="J71" s="64">
        <f t="shared" si="38"/>
        <v>44554</v>
      </c>
      <c r="K71" s="62">
        <f t="shared" si="39"/>
        <v>4.0733456099999996</v>
      </c>
      <c r="L71" s="347">
        <f t="shared" si="40"/>
        <v>0</v>
      </c>
      <c r="M71" s="347">
        <f t="shared" si="41"/>
        <v>0</v>
      </c>
      <c r="N71" s="62">
        <f t="shared" si="42"/>
        <v>4.0733456099999996</v>
      </c>
    </row>
    <row r="72" spans="3:14" x14ac:dyDescent="0.2">
      <c r="C72" s="90"/>
      <c r="I72" s="61" t="str">
        <f t="shared" si="37"/>
        <v>Sinovation Disrupt Fund, L.P.</v>
      </c>
      <c r="J72" s="64">
        <f t="shared" si="38"/>
        <v>44554</v>
      </c>
      <c r="K72" s="62">
        <f t="shared" si="39"/>
        <v>0</v>
      </c>
      <c r="L72" s="347">
        <f t="shared" si="40"/>
        <v>0.13969399999999998</v>
      </c>
      <c r="M72" s="347">
        <f t="shared" si="41"/>
        <v>0</v>
      </c>
      <c r="N72" s="62">
        <f t="shared" si="42"/>
        <v>0.13969399999999998</v>
      </c>
    </row>
    <row r="73" spans="3:14" x14ac:dyDescent="0.2">
      <c r="C73" s="90"/>
      <c r="I73" s="61" t="str">
        <f t="shared" si="37"/>
        <v>Sinovation Disrupt Fund, L.P.</v>
      </c>
      <c r="J73" s="64">
        <f t="shared" si="38"/>
        <v>44703</v>
      </c>
      <c r="K73" s="62">
        <f t="shared" si="39"/>
        <v>5.6730739999999997</v>
      </c>
      <c r="L73" s="347">
        <f t="shared" si="40"/>
        <v>0</v>
      </c>
      <c r="M73" s="347">
        <f t="shared" si="41"/>
        <v>0</v>
      </c>
      <c r="N73" s="62">
        <f t="shared" si="42"/>
        <v>5.6730739999999997</v>
      </c>
    </row>
    <row r="74" spans="3:14" x14ac:dyDescent="0.2">
      <c r="C74" s="90"/>
      <c r="I74" s="61" t="str">
        <f t="shared" si="37"/>
        <v>Sinovation Disrupt Fund, L.P.</v>
      </c>
      <c r="J74" s="64">
        <f t="shared" si="38"/>
        <v>44703</v>
      </c>
      <c r="K74" s="62">
        <f t="shared" si="39"/>
        <v>0</v>
      </c>
      <c r="L74" s="347">
        <f t="shared" si="40"/>
        <v>0.22778599999999999</v>
      </c>
      <c r="M74" s="347">
        <f t="shared" si="41"/>
        <v>0</v>
      </c>
      <c r="N74" s="62">
        <f t="shared" si="42"/>
        <v>0.22778599999999999</v>
      </c>
    </row>
    <row r="75" spans="3:14" x14ac:dyDescent="0.2">
      <c r="C75" s="90"/>
      <c r="I75" s="61" t="str">
        <f t="shared" si="37"/>
        <v>Sinovation Disrupt Fund, L.P.</v>
      </c>
      <c r="J75" s="64">
        <f t="shared" si="38"/>
        <v>44776</v>
      </c>
      <c r="K75" s="62">
        <f t="shared" si="39"/>
        <v>-3.235493</v>
      </c>
      <c r="L75" s="347">
        <f t="shared" si="40"/>
        <v>0</v>
      </c>
      <c r="M75" s="347">
        <f t="shared" si="41"/>
        <v>0</v>
      </c>
      <c r="N75" s="62">
        <f t="shared" ref="N75" si="43">SUM(K75:M75)</f>
        <v>-3.235493</v>
      </c>
    </row>
    <row r="76" spans="3:14" x14ac:dyDescent="0.2">
      <c r="C76" s="90"/>
      <c r="I76" s="61" t="str">
        <f t="shared" si="37"/>
        <v>Sinovation Disrupt Fund, L.P.</v>
      </c>
      <c r="J76" s="64">
        <f t="shared" si="38"/>
        <v>44960</v>
      </c>
      <c r="K76" s="62">
        <f t="shared" si="39"/>
        <v>-2.6315279999999999</v>
      </c>
      <c r="L76" s="347">
        <f t="shared" si="40"/>
        <v>0</v>
      </c>
      <c r="M76" s="347">
        <f t="shared" si="41"/>
        <v>0</v>
      </c>
      <c r="N76" s="62">
        <f t="shared" ref="N76" si="44">SUM(K76:M76)</f>
        <v>-2.6315279999999999</v>
      </c>
    </row>
    <row r="77" spans="3:14" x14ac:dyDescent="0.2">
      <c r="C77" s="90"/>
      <c r="I77" s="61" t="str">
        <f t="shared" si="37"/>
        <v>Sinovation Disrupt Fund, L.P.</v>
      </c>
      <c r="J77" s="64">
        <f t="shared" si="38"/>
        <v>45085</v>
      </c>
      <c r="K77" s="62">
        <f t="shared" si="39"/>
        <v>1.9125570000000001</v>
      </c>
      <c r="L77" s="347">
        <f t="shared" si="40"/>
        <v>0</v>
      </c>
      <c r="M77" s="347">
        <f t="shared" si="41"/>
        <v>0</v>
      </c>
      <c r="N77" s="62">
        <f t="shared" ref="N77" si="45">SUM(K77:M77)</f>
        <v>1.9125570000000001</v>
      </c>
    </row>
    <row r="78" spans="3:14" x14ac:dyDescent="0.2">
      <c r="C78" s="90"/>
      <c r="I78" s="61" t="str">
        <f t="shared" si="37"/>
        <v>Sinovation Disrupt Fund, L.P.</v>
      </c>
      <c r="J78" s="64">
        <f t="shared" si="38"/>
        <v>45166</v>
      </c>
      <c r="K78" s="62">
        <f t="shared" si="39"/>
        <v>-1.7991220000000001</v>
      </c>
      <c r="L78" s="347">
        <f t="shared" si="40"/>
        <v>0</v>
      </c>
      <c r="M78" s="347">
        <f t="shared" si="41"/>
        <v>0</v>
      </c>
      <c r="N78" s="62">
        <f t="shared" ref="N78" si="46">SUM(K78:M78)</f>
        <v>-1.7991220000000001</v>
      </c>
    </row>
    <row r="79" spans="3:14" x14ac:dyDescent="0.2">
      <c r="C79" s="90"/>
      <c r="I79" s="61" t="str">
        <f t="shared" si="37"/>
        <v>Sinovation Disrupt Fund, L.P.</v>
      </c>
      <c r="J79" s="64">
        <f t="shared" si="38"/>
        <v>45218</v>
      </c>
      <c r="K79" s="62">
        <f t="shared" si="39"/>
        <v>-2.415861</v>
      </c>
      <c r="L79" s="347">
        <f t="shared" si="40"/>
        <v>0</v>
      </c>
      <c r="M79" s="347">
        <f t="shared" si="41"/>
        <v>0</v>
      </c>
      <c r="N79" s="62">
        <f t="shared" ref="N79" si="47">SUM(K79:M79)</f>
        <v>-2.415861</v>
      </c>
    </row>
    <row r="80" spans="3:14" x14ac:dyDescent="0.2">
      <c r="C80" s="90"/>
      <c r="I80" s="61" t="str">
        <f t="shared" si="37"/>
        <v>Sinovation Disrupt Fund, L.P.</v>
      </c>
      <c r="J80" s="64">
        <f t="shared" si="38"/>
        <v>0</v>
      </c>
      <c r="K80" s="62">
        <f t="shared" si="39"/>
        <v>0</v>
      </c>
      <c r="L80" s="347">
        <f t="shared" si="40"/>
        <v>0</v>
      </c>
      <c r="M80" s="347">
        <f t="shared" si="41"/>
        <v>0</v>
      </c>
      <c r="N80" s="62">
        <f t="shared" ref="N80" si="48">SUM(K80:M80)</f>
        <v>0</v>
      </c>
    </row>
    <row r="81" spans="3:14" x14ac:dyDescent="0.2">
      <c r="C81" s="90"/>
      <c r="I81" s="66" t="s">
        <v>12</v>
      </c>
      <c r="J81" s="67">
        <f>$C$4</f>
        <v>45322</v>
      </c>
      <c r="K81" s="69"/>
      <c r="L81" s="69"/>
      <c r="M81" s="69">
        <f>F57</f>
        <v>23.670303000000001</v>
      </c>
      <c r="N81" s="69">
        <f>SUM(K81:M81)</f>
        <v>23.670303000000001</v>
      </c>
    </row>
    <row r="82" spans="3:14" x14ac:dyDescent="0.2">
      <c r="C82" s="90"/>
    </row>
    <row r="83" spans="3:14" x14ac:dyDescent="0.2">
      <c r="C83" s="90"/>
      <c r="I83" s="166" t="s">
        <v>163</v>
      </c>
      <c r="J83" s="181">
        <f>XIRR(N63:N81,J63:J81)</f>
        <v>-1.4868453145027161E-2</v>
      </c>
      <c r="L83" s="73" t="s">
        <v>166</v>
      </c>
      <c r="M83" s="81" t="b">
        <f ca="1">-SUM(K63:K80)='S | 01 '!K44</f>
        <v>1</v>
      </c>
    </row>
    <row r="84" spans="3:14" x14ac:dyDescent="0.2">
      <c r="C84" s="90"/>
      <c r="I84" s="167" t="s">
        <v>34</v>
      </c>
      <c r="J84" s="182">
        <f>SUM(L63:M81)/-SUM(K63:K81)</f>
        <v>0.96612291465283651</v>
      </c>
      <c r="L84" s="73" t="s">
        <v>33</v>
      </c>
      <c r="M84" s="160" t="b">
        <f>-SUM(L63:L80)=-'S | 01 '!M44</f>
        <v>1</v>
      </c>
    </row>
    <row r="85" spans="3:14" x14ac:dyDescent="0.2">
      <c r="C85" s="90"/>
      <c r="I85" s="167" t="s">
        <v>165</v>
      </c>
      <c r="J85" s="182">
        <f>SUM(M63:M81)/-SUM(K63:K81)</f>
        <v>0.94834111140709942</v>
      </c>
      <c r="L85" s="73" t="s">
        <v>162</v>
      </c>
      <c r="M85" s="81" t="b">
        <f>M81='S | 01 '!N44</f>
        <v>1</v>
      </c>
    </row>
    <row r="86" spans="3:14" x14ac:dyDescent="0.2">
      <c r="C86" s="90"/>
      <c r="I86" s="168" t="s">
        <v>98</v>
      </c>
      <c r="J86" s="183">
        <f>SUM(L63:L81)/-SUM(K63:K81)</f>
        <v>1.7781803245737034E-2</v>
      </c>
    </row>
    <row r="87" spans="3:14" x14ac:dyDescent="0.2">
      <c r="C87" s="90"/>
    </row>
    <row r="88" spans="3:14" x14ac:dyDescent="0.2">
      <c r="C88" s="90"/>
      <c r="I88" s="61" t="str">
        <f t="shared" ref="I88:M92" si="49">B52</f>
        <v>Acies Investments Fund I, L.P.</v>
      </c>
      <c r="J88" s="60">
        <f t="shared" si="49"/>
        <v>44540</v>
      </c>
      <c r="K88" s="62">
        <f t="shared" si="49"/>
        <v>-2.8053124999999999</v>
      </c>
      <c r="L88" s="347">
        <f t="shared" si="49"/>
        <v>0</v>
      </c>
      <c r="M88" s="347">
        <f t="shared" si="49"/>
        <v>0</v>
      </c>
      <c r="N88" s="62">
        <f t="shared" ref="N88:N93" si="50">SUM(K88:M88)</f>
        <v>-2.8053124999999999</v>
      </c>
    </row>
    <row r="89" spans="3:14" x14ac:dyDescent="0.2">
      <c r="C89" s="90"/>
      <c r="I89" s="61" t="str">
        <f t="shared" si="49"/>
        <v>Acies Investments Fund I, L.P.</v>
      </c>
      <c r="J89" s="64">
        <f t="shared" si="49"/>
        <v>44602</v>
      </c>
      <c r="K89" s="62">
        <f t="shared" si="49"/>
        <v>-3.4074999999999998</v>
      </c>
      <c r="L89" s="347">
        <f t="shared" si="49"/>
        <v>0</v>
      </c>
      <c r="M89" s="347">
        <f t="shared" si="49"/>
        <v>0</v>
      </c>
      <c r="N89" s="62">
        <f t="shared" si="50"/>
        <v>-3.4074999999999998</v>
      </c>
    </row>
    <row r="90" spans="3:14" x14ac:dyDescent="0.2">
      <c r="C90" s="90"/>
      <c r="I90" s="61" t="str">
        <f t="shared" si="49"/>
        <v>Acies Investments Fund I, L.P.</v>
      </c>
      <c r="J90" s="64">
        <f t="shared" si="49"/>
        <v>44683</v>
      </c>
      <c r="K90" s="62">
        <f t="shared" si="49"/>
        <v>-1.0257749999999999</v>
      </c>
      <c r="L90" s="347">
        <f t="shared" si="49"/>
        <v>0</v>
      </c>
      <c r="M90" s="347">
        <f t="shared" si="49"/>
        <v>0</v>
      </c>
      <c r="N90" s="62">
        <f t="shared" si="50"/>
        <v>-1.0257749999999999</v>
      </c>
    </row>
    <row r="91" spans="3:14" x14ac:dyDescent="0.2">
      <c r="C91" s="90"/>
      <c r="I91" s="61" t="str">
        <f t="shared" si="49"/>
        <v>Acies Investments Fund I, L.P.</v>
      </c>
      <c r="J91" s="64">
        <f t="shared" si="49"/>
        <v>44707</v>
      </c>
      <c r="K91" s="62">
        <f t="shared" si="49"/>
        <v>-3.3882749999999997</v>
      </c>
      <c r="L91" s="347">
        <f t="shared" si="49"/>
        <v>0</v>
      </c>
      <c r="M91" s="347">
        <f t="shared" si="49"/>
        <v>0</v>
      </c>
      <c r="N91" s="62">
        <f t="shared" si="50"/>
        <v>-3.3882749999999997</v>
      </c>
    </row>
    <row r="92" spans="3:14" x14ac:dyDescent="0.2">
      <c r="C92" s="90"/>
      <c r="I92" s="61" t="str">
        <f t="shared" si="49"/>
        <v>Acies Investments Fund I, L.P.</v>
      </c>
      <c r="J92" s="64">
        <f t="shared" si="49"/>
        <v>44875</v>
      </c>
      <c r="K92" s="62">
        <f t="shared" si="49"/>
        <v>-3.3882749999999997</v>
      </c>
      <c r="L92" s="347">
        <f t="shared" si="49"/>
        <v>0</v>
      </c>
      <c r="M92" s="347">
        <f t="shared" si="49"/>
        <v>0</v>
      </c>
      <c r="N92" s="62">
        <f t="shared" si="50"/>
        <v>-3.3882749999999997</v>
      </c>
    </row>
    <row r="93" spans="3:14" x14ac:dyDescent="0.2">
      <c r="C93" s="90"/>
      <c r="I93" s="66" t="s">
        <v>176</v>
      </c>
      <c r="J93" s="67">
        <f>$C$4</f>
        <v>45322</v>
      </c>
      <c r="K93" s="69"/>
      <c r="L93" s="69"/>
      <c r="M93" s="69">
        <f>F61</f>
        <v>12.310425</v>
      </c>
      <c r="N93" s="69">
        <f t="shared" si="50"/>
        <v>12.310425</v>
      </c>
    </row>
    <row r="94" spans="3:14" x14ac:dyDescent="0.2">
      <c r="C94" s="90"/>
    </row>
    <row r="95" spans="3:14" x14ac:dyDescent="0.2">
      <c r="C95" s="90"/>
      <c r="I95" s="166" t="s">
        <v>163</v>
      </c>
      <c r="J95" s="178">
        <f>XIRR(N88:N93,J88:J93)</f>
        <v>-7.1990828216075942E-2</v>
      </c>
      <c r="L95" s="73" t="s">
        <v>166</v>
      </c>
      <c r="M95" s="81" t="b">
        <f ca="1">-SUM(K88:K93)='S | 01 '!K45</f>
        <v>1</v>
      </c>
    </row>
    <row r="96" spans="3:14" x14ac:dyDescent="0.2">
      <c r="C96" s="90"/>
      <c r="I96" s="167" t="s">
        <v>34</v>
      </c>
      <c r="J96" s="179">
        <f>SUM(L88:M93)/-SUM(K88:K93)</f>
        <v>0.87836633782579732</v>
      </c>
      <c r="L96" s="73" t="s">
        <v>33</v>
      </c>
      <c r="M96" s="160" t="b">
        <f>-SUM(L88:L98)=-'S | 01 '!M45</f>
        <v>1</v>
      </c>
    </row>
    <row r="97" spans="3:14" x14ac:dyDescent="0.2">
      <c r="C97" s="90"/>
      <c r="I97" s="167" t="s">
        <v>165</v>
      </c>
      <c r="J97" s="179">
        <f>SUM(M88:M93)/-SUM(K88:K93)</f>
        <v>0.87836633782579732</v>
      </c>
      <c r="L97" s="73" t="s">
        <v>162</v>
      </c>
      <c r="M97" s="81" t="b">
        <f>M93='S | 01 '!N45</f>
        <v>1</v>
      </c>
    </row>
    <row r="98" spans="3:14" x14ac:dyDescent="0.2">
      <c r="C98" s="90"/>
      <c r="I98" s="168" t="s">
        <v>98</v>
      </c>
      <c r="J98" s="180">
        <f>SUM(L88:L93)/-SUM(K88:K93)</f>
        <v>0</v>
      </c>
      <c r="K98" s="159"/>
      <c r="L98" s="159"/>
      <c r="M98" s="159"/>
      <c r="N98" s="159"/>
    </row>
    <row r="99" spans="3:14" x14ac:dyDescent="0.2">
      <c r="C99" s="90"/>
    </row>
    <row r="100" spans="3:14" x14ac:dyDescent="0.2">
      <c r="C100" s="90"/>
    </row>
    <row r="101" spans="3:14" x14ac:dyDescent="0.2">
      <c r="C101" s="90"/>
    </row>
    <row r="102" spans="3:14" x14ac:dyDescent="0.2">
      <c r="C102" s="90"/>
    </row>
    <row r="103" spans="3:14" x14ac:dyDescent="0.2">
      <c r="C103" s="90"/>
    </row>
    <row r="104" spans="3:14" x14ac:dyDescent="0.2">
      <c r="C104" s="90"/>
    </row>
    <row r="105" spans="3:14" x14ac:dyDescent="0.2">
      <c r="C105" s="90"/>
    </row>
    <row r="106" spans="3:14" x14ac:dyDescent="0.2">
      <c r="C106" s="90"/>
    </row>
    <row r="107" spans="3:14" x14ac:dyDescent="0.2">
      <c r="C107" s="90"/>
    </row>
    <row r="108" spans="3:14" x14ac:dyDescent="0.2">
      <c r="C108" s="90"/>
    </row>
    <row r="109" spans="3:14" x14ac:dyDescent="0.2">
      <c r="C109" s="90"/>
    </row>
    <row r="110" spans="3:14" x14ac:dyDescent="0.2">
      <c r="C110" s="90"/>
    </row>
    <row r="111" spans="3:14" x14ac:dyDescent="0.2">
      <c r="C111" s="90"/>
    </row>
    <row r="112" spans="3:14" x14ac:dyDescent="0.2">
      <c r="C112" s="90"/>
    </row>
    <row r="113" spans="3:3" x14ac:dyDescent="0.2">
      <c r="C113" s="90"/>
    </row>
    <row r="114" spans="3:3" x14ac:dyDescent="0.2">
      <c r="C114" s="90"/>
    </row>
    <row r="115" spans="3:3" x14ac:dyDescent="0.2">
      <c r="C115" s="90"/>
    </row>
    <row r="116" spans="3:3" x14ac:dyDescent="0.2">
      <c r="C116" s="90"/>
    </row>
    <row r="117" spans="3:3" x14ac:dyDescent="0.2">
      <c r="C117" s="90"/>
    </row>
    <row r="118" spans="3:3" x14ac:dyDescent="0.2">
      <c r="C118" s="90"/>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G9:G19 N9" formulaRange="1"/>
    <ignoredError sqref="S11"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95"/>
  <sheetViews>
    <sheetView tabSelected="1" zoomScale="85" zoomScaleNormal="85" workbookViewId="0">
      <selection activeCell="D26" sqref="D26"/>
    </sheetView>
  </sheetViews>
  <sheetFormatPr defaultColWidth="9.140625" defaultRowHeight="12" x14ac:dyDescent="0.2"/>
  <cols>
    <col min="1" max="1" width="9.140625" style="29"/>
    <col min="2" max="2" width="30.7109375" style="29" customWidth="1"/>
    <col min="3" max="7" width="16.5703125" style="29" customWidth="1"/>
    <col min="8" max="8" width="16.5703125" style="34" customWidth="1"/>
    <col min="9" max="9" width="20" style="29" bestFit="1" customWidth="1"/>
    <col min="10" max="13" width="24.85546875" style="29" customWidth="1"/>
    <col min="14" max="17" width="8.7109375" style="29" customWidth="1"/>
    <col min="18" max="16384" width="9.140625" style="29"/>
  </cols>
  <sheetData>
    <row r="2" spans="2:17" s="26" customFormat="1" ht="43.5" customHeight="1" x14ac:dyDescent="0.45">
      <c r="B2" s="221" t="s">
        <v>215</v>
      </c>
      <c r="C2" s="222"/>
      <c r="D2" s="222"/>
      <c r="E2" s="226"/>
      <c r="F2" s="226"/>
      <c r="G2" s="226"/>
      <c r="H2" s="222" t="s">
        <v>360</v>
      </c>
      <c r="I2" s="226" t="b">
        <f>COUNTA(B8:B107)=COUNTA('CF (Equity, Debt)'!C4:C42)+COUNTA('CF (Equity, Debt)'!C53:C56)+COUNTA('CF (Funds)'!B3:B51)</f>
        <v>0</v>
      </c>
      <c r="J2" s="27"/>
      <c r="K2" s="127"/>
      <c r="L2" s="27"/>
    </row>
    <row r="3" spans="2:17" ht="12.75" thickBot="1" x14ac:dyDescent="0.25"/>
    <row r="4" spans="2:17" s="81" customFormat="1" ht="13.5" thickBot="1" x14ac:dyDescent="0.25">
      <c r="B4" s="170" t="s">
        <v>174</v>
      </c>
      <c r="C4" s="184">
        <f>D!D2</f>
        <v>45322</v>
      </c>
    </row>
    <row r="6" spans="2:17" x14ac:dyDescent="0.2">
      <c r="B6" s="42" t="s">
        <v>96</v>
      </c>
      <c r="H6" s="29"/>
    </row>
    <row r="7" spans="2:17" ht="30.75" customHeight="1" x14ac:dyDescent="0.2">
      <c r="B7" s="40" t="s">
        <v>5</v>
      </c>
      <c r="C7" s="41" t="s">
        <v>6</v>
      </c>
      <c r="D7" s="41" t="s">
        <v>97</v>
      </c>
      <c r="E7" s="41" t="s">
        <v>33</v>
      </c>
      <c r="F7" s="42" t="s">
        <v>95</v>
      </c>
      <c r="G7" s="42" t="s">
        <v>164</v>
      </c>
      <c r="H7" s="41" t="s">
        <v>160</v>
      </c>
      <c r="I7" s="219"/>
      <c r="J7" s="72" t="s">
        <v>2</v>
      </c>
      <c r="K7" s="72" t="s">
        <v>51</v>
      </c>
      <c r="L7" s="72" t="s">
        <v>33</v>
      </c>
      <c r="M7" s="72" t="s">
        <v>162</v>
      </c>
      <c r="N7" s="72" t="s">
        <v>24</v>
      </c>
      <c r="O7" s="72" t="s">
        <v>34</v>
      </c>
      <c r="P7" s="72" t="s">
        <v>175</v>
      </c>
      <c r="Q7" s="72" t="s">
        <v>98</v>
      </c>
    </row>
    <row r="8" spans="2:17" ht="12.75" x14ac:dyDescent="0.2">
      <c r="B8" s="30" t="str">
        <f>'CF (Equity, Debt)'!C4</f>
        <v>Jollychic Holding Limited</v>
      </c>
      <c r="C8" s="31">
        <f>'CF (Equity, Debt)'!D4</f>
        <v>43470</v>
      </c>
      <c r="D8" s="38">
        <f>'CF (Equity, Debt)'!E4</f>
        <v>-30</v>
      </c>
      <c r="E8" s="38"/>
      <c r="F8" s="38"/>
      <c r="G8" s="38">
        <f>SUM(D8:F8)</f>
        <v>-30</v>
      </c>
      <c r="H8" s="35" t="s">
        <v>159</v>
      </c>
      <c r="I8" s="161"/>
      <c r="J8" s="81"/>
      <c r="K8" s="81"/>
      <c r="L8" s="81"/>
      <c r="M8" s="81"/>
      <c r="N8" s="165"/>
      <c r="O8" s="81"/>
      <c r="P8" s="81"/>
      <c r="Q8" s="81"/>
    </row>
    <row r="9" spans="2:17" ht="15" x14ac:dyDescent="0.25">
      <c r="B9" s="30" t="str">
        <f>'CF (Equity, Debt)'!C5</f>
        <v>Jollychic Holding Limited</v>
      </c>
      <c r="C9" s="31">
        <f>'CF (Equity, Debt)'!D5</f>
        <v>43724</v>
      </c>
      <c r="D9" s="38">
        <f>'CF (Equity, Debt)'!E5</f>
        <v>-20</v>
      </c>
      <c r="E9" s="38"/>
      <c r="F9" s="38"/>
      <c r="G9" s="38">
        <f t="shared" ref="G9:G34" si="0">SUM(D9:F9)</f>
        <v>-20</v>
      </c>
      <c r="H9" s="35" t="s">
        <v>159</v>
      </c>
      <c r="J9" s="44">
        <f>-SUM(D8:D138)</f>
        <v>2267.9327091541695</v>
      </c>
      <c r="K9" s="34"/>
      <c r="L9" s="44">
        <f>SUM(E8:E138)</f>
        <v>1254.9284508814083</v>
      </c>
      <c r="M9" s="44">
        <f ca="1">SUM(F8:F138)</f>
        <v>955.14756471016506</v>
      </c>
      <c r="N9" s="216">
        <f ca="1">XIRR(G8:G137,C8:C137)</f>
        <v>-1.2957467883825301E-2</v>
      </c>
      <c r="O9" s="217">
        <f ca="1">(L9+M9)/J9</f>
        <v>0.97448923712371782</v>
      </c>
      <c r="P9" s="217">
        <f ca="1">M9/J9</f>
        <v>0.42115339703636506</v>
      </c>
      <c r="Q9" s="217">
        <f>L9/J9</f>
        <v>0.5533358400873527</v>
      </c>
    </row>
    <row r="10" spans="2:17" x14ac:dyDescent="0.2">
      <c r="B10" s="30" t="str">
        <f>'CF (Equity, Debt)'!C6</f>
        <v>Jollychic Holding Limited</v>
      </c>
      <c r="C10" s="31">
        <f>'CF (Equity, Debt)'!D6</f>
        <v>43724</v>
      </c>
      <c r="D10" s="38">
        <f>'CF (Equity, Debt)'!E6</f>
        <v>-15</v>
      </c>
      <c r="E10" s="38"/>
      <c r="F10" s="38"/>
      <c r="G10" s="38">
        <f t="shared" si="0"/>
        <v>-15</v>
      </c>
      <c r="H10" s="35" t="s">
        <v>159</v>
      </c>
    </row>
    <row r="11" spans="2:17" x14ac:dyDescent="0.2">
      <c r="B11" s="32" t="str">
        <f>'CF (Equity, Debt)'!C7</f>
        <v>Mena Mobile Inc</v>
      </c>
      <c r="C11" s="33">
        <f>'CF (Equity, Debt)'!D7</f>
        <v>43563</v>
      </c>
      <c r="D11" s="39">
        <f>'CF (Equity, Debt)'!E7</f>
        <v>-8</v>
      </c>
      <c r="E11" s="39"/>
      <c r="F11" s="39"/>
      <c r="G11" s="39">
        <f t="shared" si="0"/>
        <v>-8</v>
      </c>
      <c r="H11" s="36" t="s">
        <v>159</v>
      </c>
      <c r="J11" s="384" t="b">
        <f ca="1">ROUND(J9,2)=ROUND('S | 01 '!K48,2)</f>
        <v>1</v>
      </c>
      <c r="L11" s="29" t="b">
        <f ca="1">ROUND(L9,3)=ROUND('S | 01 '!M48,3)</f>
        <v>1</v>
      </c>
      <c r="M11" s="29" t="b">
        <f ca="1">ROUND(M9,3)=ROUND('S | 01 '!N48,3)</f>
        <v>1</v>
      </c>
    </row>
    <row r="12" spans="2:17" x14ac:dyDescent="0.2">
      <c r="B12" s="30" t="str">
        <f>'CF (Equity, Debt)'!C8</f>
        <v>Flyr Inc</v>
      </c>
      <c r="C12" s="31">
        <f>'CF (Equity, Debt)'!D8</f>
        <v>43570</v>
      </c>
      <c r="D12" s="38">
        <f>'CF (Equity, Debt)'!E8</f>
        <v>-4.9999980900000001</v>
      </c>
      <c r="E12" s="38"/>
      <c r="F12" s="38"/>
      <c r="G12" s="38">
        <f t="shared" si="0"/>
        <v>-4.9999980900000001</v>
      </c>
      <c r="H12" s="35" t="s">
        <v>159</v>
      </c>
      <c r="M12" s="451"/>
    </row>
    <row r="13" spans="2:17" x14ac:dyDescent="0.2">
      <c r="B13" s="30" t="str">
        <f>'CF (Equity, Debt)'!C9</f>
        <v>Flyr Inc</v>
      </c>
      <c r="C13" s="31">
        <f>'CF (Equity, Debt)'!D9</f>
        <v>43915</v>
      </c>
      <c r="D13" s="38">
        <f>'CF (Equity, Debt)'!E9</f>
        <v>-5.0000019099999999</v>
      </c>
      <c r="E13" s="38"/>
      <c r="F13" s="38"/>
      <c r="G13" s="38">
        <f t="shared" si="0"/>
        <v>-5.0000019099999999</v>
      </c>
      <c r="H13" s="35" t="s">
        <v>159</v>
      </c>
      <c r="M13" s="451"/>
    </row>
    <row r="14" spans="2:17" x14ac:dyDescent="0.2">
      <c r="B14" s="32" t="str">
        <f>'CF (Equity, Debt)'!C10</f>
        <v xml:space="preserve">Esyasoft Holding </v>
      </c>
      <c r="C14" s="33">
        <f>'CF (Equity, Debt)'!D10</f>
        <v>43870</v>
      </c>
      <c r="D14" s="39">
        <f>'CF (Equity, Debt)'!E10</f>
        <v>-2.5</v>
      </c>
      <c r="E14" s="39"/>
      <c r="F14" s="39"/>
      <c r="G14" s="39">
        <f t="shared" si="0"/>
        <v>-2.5</v>
      </c>
      <c r="H14" s="36" t="s">
        <v>159</v>
      </c>
    </row>
    <row r="15" spans="2:17" x14ac:dyDescent="0.2">
      <c r="B15" s="30" t="str">
        <f>'CF (Equity, Debt)'!C11</f>
        <v>Beyond Limits</v>
      </c>
      <c r="C15" s="31">
        <f>'CF (Equity, Debt)'!D11</f>
        <v>43879</v>
      </c>
      <c r="D15" s="38">
        <f>'CF (Equity, Debt)'!E11</f>
        <v>-20</v>
      </c>
      <c r="E15" s="38"/>
      <c r="F15" s="38"/>
      <c r="G15" s="38">
        <f t="shared" si="0"/>
        <v>-20</v>
      </c>
      <c r="H15" s="35" t="s">
        <v>159</v>
      </c>
    </row>
    <row r="16" spans="2:17" x14ac:dyDescent="0.2">
      <c r="B16" s="30" t="str">
        <f>'CF (Equity, Debt)'!C12</f>
        <v>Beyond Limits</v>
      </c>
      <c r="C16" s="31">
        <f>'CF (Equity, Debt)'!D12</f>
        <v>43921</v>
      </c>
      <c r="D16" s="38">
        <f>'CF (Equity, Debt)'!E12</f>
        <v>-30</v>
      </c>
      <c r="E16" s="38"/>
      <c r="F16" s="38"/>
      <c r="G16" s="38">
        <f t="shared" si="0"/>
        <v>-30</v>
      </c>
      <c r="H16" s="35" t="s">
        <v>159</v>
      </c>
    </row>
    <row r="17" spans="2:8" x14ac:dyDescent="0.2">
      <c r="B17" s="30" t="str">
        <f>'CF (Equity, Debt)'!C13</f>
        <v>Beyond Limits</v>
      </c>
      <c r="C17" s="31">
        <f>'CF (Equity, Debt)'!D13</f>
        <v>43989</v>
      </c>
      <c r="D17" s="38">
        <f>'CF (Equity, Debt)'!E13</f>
        <v>-30</v>
      </c>
      <c r="E17" s="38"/>
      <c r="F17" s="38"/>
      <c r="G17" s="38">
        <f t="shared" si="0"/>
        <v>-30</v>
      </c>
      <c r="H17" s="35" t="s">
        <v>159</v>
      </c>
    </row>
    <row r="18" spans="2:8" x14ac:dyDescent="0.2">
      <c r="B18" s="30" t="str">
        <f>'CF (Equity, Debt)'!C14</f>
        <v>Beyond Limits</v>
      </c>
      <c r="C18" s="31">
        <f>'CF (Equity, Debt)'!D14</f>
        <v>44103</v>
      </c>
      <c r="D18" s="38">
        <f>'CF (Equity, Debt)'!E14</f>
        <v>-10</v>
      </c>
      <c r="E18" s="38"/>
      <c r="F18" s="38"/>
      <c r="G18" s="38">
        <f t="shared" si="0"/>
        <v>-10</v>
      </c>
      <c r="H18" s="35" t="s">
        <v>159</v>
      </c>
    </row>
    <row r="19" spans="2:8" x14ac:dyDescent="0.2">
      <c r="B19" s="32" t="str">
        <f>'CF (Equity, Debt)'!C15</f>
        <v>ONT plc</v>
      </c>
      <c r="C19" s="33">
        <f>'CF (Equity, Debt)'!D15</f>
        <v>43968</v>
      </c>
      <c r="D19" s="39">
        <f>'CF (Equity, Debt)'!E15</f>
        <v>-50</v>
      </c>
      <c r="E19" s="39"/>
      <c r="F19" s="39"/>
      <c r="G19" s="39">
        <f t="shared" si="0"/>
        <v>-50</v>
      </c>
      <c r="H19" s="36" t="s">
        <v>159</v>
      </c>
    </row>
    <row r="20" spans="2:8" x14ac:dyDescent="0.2">
      <c r="B20" s="32" t="str">
        <f>'CF (Equity, Debt)'!C16</f>
        <v>ONT plc</v>
      </c>
      <c r="C20" s="33">
        <f>'CF (Equity, Debt)'!D16</f>
        <v>44006</v>
      </c>
      <c r="D20" s="39">
        <f>'CF (Equity, Debt)'!E16</f>
        <v>-27.268350856443721</v>
      </c>
      <c r="E20" s="39"/>
      <c r="F20" s="39"/>
      <c r="G20" s="39">
        <f t="shared" si="0"/>
        <v>-27.268350856443721</v>
      </c>
      <c r="H20" s="36" t="s">
        <v>159</v>
      </c>
    </row>
    <row r="21" spans="2:8" x14ac:dyDescent="0.2">
      <c r="B21" s="32" t="str">
        <f>'CF (Equity, Debt)'!C17</f>
        <v>ONT plc</v>
      </c>
      <c r="C21" s="33">
        <f>'CF (Equity, Debt)'!D17</f>
        <v>43837</v>
      </c>
      <c r="D21" s="39">
        <f>'CF (Equity, Debt)'!E17</f>
        <v>-18.109441299619355</v>
      </c>
      <c r="E21" s="39"/>
      <c r="F21" s="39"/>
      <c r="G21" s="39">
        <f t="shared" si="0"/>
        <v>-18.109441299619355</v>
      </c>
      <c r="H21" s="36" t="s">
        <v>159</v>
      </c>
    </row>
    <row r="22" spans="2:8" x14ac:dyDescent="0.2">
      <c r="B22" s="32" t="str">
        <f>'CF (Equity, Debt)'!C18</f>
        <v>ONT plc</v>
      </c>
      <c r="C22" s="33">
        <f>'CF (Equity, Debt)'!D18</f>
        <v>43990</v>
      </c>
      <c r="D22" s="39">
        <f>'CF (Equity, Debt)'!E18</f>
        <v>-34.851687094159864</v>
      </c>
      <c r="E22" s="39"/>
      <c r="F22" s="39"/>
      <c r="G22" s="39">
        <f t="shared" si="0"/>
        <v>-34.851687094159864</v>
      </c>
      <c r="H22" s="36" t="s">
        <v>159</v>
      </c>
    </row>
    <row r="23" spans="2:8" x14ac:dyDescent="0.2">
      <c r="B23" s="32" t="str">
        <f>'CF (Equity, Debt)'!C19</f>
        <v>ONT plc</v>
      </c>
      <c r="C23" s="33">
        <f>'CF (Equity, Debt)'!D19</f>
        <v>44315</v>
      </c>
      <c r="D23" s="39">
        <f>'CF (Equity, Debt)'!E19</f>
        <v>-11.240780424143557</v>
      </c>
      <c r="E23" s="39"/>
      <c r="F23" s="39"/>
      <c r="G23" s="39">
        <f t="shared" si="0"/>
        <v>-11.240780424143557</v>
      </c>
      <c r="H23" s="36" t="s">
        <v>159</v>
      </c>
    </row>
    <row r="24" spans="2:8" x14ac:dyDescent="0.2">
      <c r="B24" s="30" t="str">
        <f>'CF (Equity, Debt)'!C20</f>
        <v>Heygears</v>
      </c>
      <c r="C24" s="31">
        <f>'CF (Equity, Debt)'!D20</f>
        <v>44166</v>
      </c>
      <c r="D24" s="38">
        <f>'CF (Equity, Debt)'!E20</f>
        <v>-60</v>
      </c>
      <c r="E24" s="38"/>
      <c r="F24" s="38"/>
      <c r="G24" s="38">
        <f t="shared" si="0"/>
        <v>-60</v>
      </c>
      <c r="H24" s="35" t="s">
        <v>159</v>
      </c>
    </row>
    <row r="25" spans="2:8" x14ac:dyDescent="0.2">
      <c r="B25" s="32" t="str">
        <f>'CF (Equity, Debt)'!C21</f>
        <v>Jysan Technologies</v>
      </c>
      <c r="C25" s="33">
        <f>'CF (Equity, Debt)'!D21</f>
        <v>44363</v>
      </c>
      <c r="D25" s="39">
        <f>'CF (Equity, Debt)'!E21</f>
        <v>-20</v>
      </c>
      <c r="E25" s="39"/>
      <c r="F25" s="39"/>
      <c r="G25" s="39">
        <f t="shared" si="0"/>
        <v>-20</v>
      </c>
      <c r="H25" s="36" t="s">
        <v>159</v>
      </c>
    </row>
    <row r="26" spans="2:8" x14ac:dyDescent="0.2">
      <c r="B26" s="30" t="str">
        <f>'CF (Equity, Debt)'!C22</f>
        <v>Cerebras Systems Inc</v>
      </c>
      <c r="C26" s="31">
        <f>'CF (Equity, Debt)'!D22</f>
        <v>44488</v>
      </c>
      <c r="D26" s="38">
        <f>'CF (Equity, Debt)'!E22</f>
        <v>-39.999983359999995</v>
      </c>
      <c r="E26" s="38"/>
      <c r="F26" s="38"/>
      <c r="G26" s="38">
        <f t="shared" si="0"/>
        <v>-39.999983359999995</v>
      </c>
      <c r="H26" s="35" t="s">
        <v>159</v>
      </c>
    </row>
    <row r="27" spans="2:8" x14ac:dyDescent="0.2">
      <c r="B27" s="32" t="str">
        <f>'CF (Equity, Debt)'!C23</f>
        <v>Endless Studios LLC</v>
      </c>
      <c r="C27" s="33">
        <f>'CF (Equity, Debt)'!D23</f>
        <v>44494</v>
      </c>
      <c r="D27" s="39">
        <f>'CF (Equity, Debt)'!E23</f>
        <v>-3</v>
      </c>
      <c r="E27" s="39"/>
      <c r="F27" s="39"/>
      <c r="G27" s="39">
        <f t="shared" si="0"/>
        <v>-3</v>
      </c>
      <c r="H27" s="36" t="s">
        <v>159</v>
      </c>
    </row>
    <row r="28" spans="2:8" x14ac:dyDescent="0.2">
      <c r="B28" s="30" t="str">
        <f>'CF (Equity, Debt)'!C24</f>
        <v>Instadeep Limited</v>
      </c>
      <c r="C28" s="31">
        <f>'CF (Equity, Debt)'!D24</f>
        <v>44550</v>
      </c>
      <c r="D28" s="38">
        <f>'CF (Equity, Debt)'!E24</f>
        <v>-5.0237201984774336</v>
      </c>
      <c r="E28" s="38"/>
      <c r="F28" s="38"/>
      <c r="G28" s="38">
        <f t="shared" si="0"/>
        <v>-5.0237201984774336</v>
      </c>
      <c r="H28" s="35" t="s">
        <v>159</v>
      </c>
    </row>
    <row r="29" spans="2:8" x14ac:dyDescent="0.2">
      <c r="B29" s="32" t="str">
        <f>'CF (Equity, Debt)'!C25</f>
        <v>X-fusion</v>
      </c>
      <c r="C29" s="33">
        <f>'CF (Equity, Debt)'!D25</f>
        <v>44574</v>
      </c>
      <c r="D29" s="39">
        <f>'CF (Equity, Debt)'!E25</f>
        <v>-493.50095619999996</v>
      </c>
      <c r="E29" s="39"/>
      <c r="F29" s="39"/>
      <c r="G29" s="39">
        <f t="shared" si="0"/>
        <v>-493.50095619999996</v>
      </c>
      <c r="H29" s="36" t="s">
        <v>159</v>
      </c>
    </row>
    <row r="30" spans="2:8" x14ac:dyDescent="0.2">
      <c r="B30" s="30" t="str">
        <f>'CF (Equity, Debt)'!C26</f>
        <v>DriveNets</v>
      </c>
      <c r="C30" s="31">
        <f>'CF (Equity, Debt)'!D26</f>
        <v>44643</v>
      </c>
      <c r="D30" s="38">
        <f>'CF (Equity, Debt)'!E26</f>
        <v>-200</v>
      </c>
      <c r="E30" s="38"/>
      <c r="F30" s="38"/>
      <c r="G30" s="38">
        <f t="shared" si="0"/>
        <v>-200</v>
      </c>
      <c r="H30" s="35" t="s">
        <v>159</v>
      </c>
    </row>
    <row r="31" spans="2:8" x14ac:dyDescent="0.2">
      <c r="B31" s="30" t="str">
        <f>'CF (Equity, Debt)'!C27</f>
        <v>DriveNets</v>
      </c>
      <c r="C31" s="31">
        <f>'CF (Equity, Debt)'!D27</f>
        <v>44680</v>
      </c>
      <c r="D31" s="38">
        <f>'CF (Equity, Debt)'!E27</f>
        <v>-100</v>
      </c>
      <c r="E31" s="38"/>
      <c r="F31" s="38"/>
      <c r="G31" s="38">
        <f t="shared" si="0"/>
        <v>-100</v>
      </c>
      <c r="H31" s="35" t="s">
        <v>159</v>
      </c>
    </row>
    <row r="32" spans="2:8" x14ac:dyDescent="0.2">
      <c r="B32" s="32" t="str">
        <f>'CF (Equity, Debt)'!C28</f>
        <v xml:space="preserve">Esyasoft Holding </v>
      </c>
      <c r="C32" s="33">
        <f>'CF (Equity, Debt)'!D28</f>
        <v>44691</v>
      </c>
      <c r="D32" s="39">
        <f>'CF (Equity, Debt)'!E28</f>
        <v>0</v>
      </c>
      <c r="E32" s="39">
        <v>5</v>
      </c>
      <c r="F32" s="39"/>
      <c r="G32" s="39">
        <f t="shared" si="0"/>
        <v>5</v>
      </c>
      <c r="H32" s="36" t="s">
        <v>159</v>
      </c>
    </row>
    <row r="33" spans="2:8" x14ac:dyDescent="0.2">
      <c r="B33" s="30" t="str">
        <f>'CF (Equity, Debt)'!C29</f>
        <v>vTv Therapeutics Inc.</v>
      </c>
      <c r="C33" s="31">
        <f>'CF (Equity, Debt)'!D29</f>
        <v>44712</v>
      </c>
      <c r="D33" s="38">
        <f>'CF (Equity, Debt)'!E29</f>
        <v>-12.5</v>
      </c>
      <c r="E33" s="38"/>
      <c r="F33" s="38"/>
      <c r="G33" s="38">
        <f t="shared" si="0"/>
        <v>-12.5</v>
      </c>
      <c r="H33" s="35" t="s">
        <v>159</v>
      </c>
    </row>
    <row r="34" spans="2:8" x14ac:dyDescent="0.2">
      <c r="B34" s="32" t="str">
        <f>'CF (Equity, Debt)'!C30</f>
        <v>Honor Device Co Ltd</v>
      </c>
      <c r="C34" s="33">
        <f>'CF (Equity, Debt)'!D30</f>
        <v>44769</v>
      </c>
      <c r="D34" s="39">
        <f>'CF (Equity, Debt)'!E30</f>
        <v>-600</v>
      </c>
      <c r="E34" s="39"/>
      <c r="F34" s="39"/>
      <c r="G34" s="39">
        <f t="shared" si="0"/>
        <v>-600</v>
      </c>
      <c r="H34" s="36" t="s">
        <v>159</v>
      </c>
    </row>
    <row r="35" spans="2:8" x14ac:dyDescent="0.2">
      <c r="B35" s="32" t="str">
        <f>'CF (Equity, Debt)'!C31</f>
        <v>Honor Device Co Ltd</v>
      </c>
      <c r="C35" s="33">
        <f>'CF (Equity, Debt)'!D31</f>
        <v>44849</v>
      </c>
      <c r="D35" s="39">
        <f>'CF (Equity, Debt)'!E31</f>
        <v>-200</v>
      </c>
      <c r="E35" s="39"/>
      <c r="F35" s="39"/>
      <c r="G35" s="39">
        <f t="shared" ref="G35" si="1">SUM(D35:F35)</f>
        <v>-200</v>
      </c>
      <c r="H35" s="36" t="s">
        <v>159</v>
      </c>
    </row>
    <row r="36" spans="2:8" x14ac:dyDescent="0.2">
      <c r="B36" s="30" t="str">
        <f>'CF (Equity, Debt)'!C32</f>
        <v>Applied AI Corporation Limited</v>
      </c>
      <c r="C36" s="31">
        <f>'CF (Equity, Debt)'!D32</f>
        <v>44861</v>
      </c>
      <c r="D36" s="38">
        <f>'CF (Equity, Debt)'!E32</f>
        <v>-4.75</v>
      </c>
      <c r="E36" s="38"/>
      <c r="F36" s="38"/>
      <c r="G36" s="38">
        <f t="shared" ref="G36" si="2">SUM(D36:F36)</f>
        <v>-4.75</v>
      </c>
      <c r="H36" s="35" t="s">
        <v>159</v>
      </c>
    </row>
    <row r="37" spans="2:8" x14ac:dyDescent="0.2">
      <c r="B37" s="32" t="str">
        <f>'CF (Equity, Debt)'!C33</f>
        <v xml:space="preserve">eSpace </v>
      </c>
      <c r="C37" s="33">
        <f>'CF (Equity, Debt)'!D33</f>
        <v>44892</v>
      </c>
      <c r="D37" s="39">
        <f>'CF (Equity, Debt)'!E33</f>
        <v>-15</v>
      </c>
      <c r="E37" s="39"/>
      <c r="F37" s="39"/>
      <c r="G37" s="39">
        <f t="shared" ref="G37" si="3">SUM(D37:F37)</f>
        <v>-15</v>
      </c>
      <c r="H37" s="36" t="s">
        <v>159</v>
      </c>
    </row>
    <row r="38" spans="2:8" x14ac:dyDescent="0.2">
      <c r="B38" s="30" t="str">
        <f>'CF (Equity, Debt)'!C34</f>
        <v>vTv Therapeutics Inc.</v>
      </c>
      <c r="C38" s="31">
        <f>'CF (Equity, Debt)'!D34</f>
        <v>44985</v>
      </c>
      <c r="D38" s="38">
        <f>'CF (Equity, Debt)'!E34</f>
        <v>-12.03125</v>
      </c>
      <c r="E38" s="38"/>
      <c r="F38" s="38"/>
      <c r="G38" s="38">
        <f t="shared" ref="G38" si="4">SUM(D38:F38)</f>
        <v>-12.03125</v>
      </c>
      <c r="H38" s="35" t="s">
        <v>159</v>
      </c>
    </row>
    <row r="39" spans="2:8" x14ac:dyDescent="0.2">
      <c r="B39" s="32" t="str">
        <f>'CF (Equity, Debt)'!C35</f>
        <v>Tools for Humanity Corporation</v>
      </c>
      <c r="C39" s="33">
        <f>'CF (Equity, Debt)'!D35</f>
        <v>45075</v>
      </c>
      <c r="D39" s="39">
        <f>'CF (Equity, Debt)'!E35</f>
        <v>-14.999998939999999</v>
      </c>
      <c r="E39" s="39"/>
      <c r="F39" s="39"/>
      <c r="G39" s="39">
        <f t="shared" ref="G39" si="5">SUM(D39:F39)</f>
        <v>-14.999998939999999</v>
      </c>
      <c r="H39" s="36" t="s">
        <v>159</v>
      </c>
    </row>
    <row r="40" spans="2:8" x14ac:dyDescent="0.2">
      <c r="B40" s="30" t="str">
        <f>'CF (Equity, Debt)'!C36</f>
        <v>WLD Tokens</v>
      </c>
      <c r="C40" s="31">
        <f>'CF (Equity, Debt)'!D36</f>
        <v>45075</v>
      </c>
      <c r="D40" s="38">
        <f>'CF (Equity, Debt)'!E36</f>
        <v>-5.875E-3</v>
      </c>
      <c r="E40" s="38"/>
      <c r="F40" s="38"/>
      <c r="G40" s="38">
        <f t="shared" ref="G40:G42" si="6">SUM(D40:F40)</f>
        <v>-5.875E-3</v>
      </c>
      <c r="H40" s="35" t="s">
        <v>159</v>
      </c>
    </row>
    <row r="41" spans="2:8" x14ac:dyDescent="0.2">
      <c r="B41" s="30" t="str">
        <f>'CF (Equity, Debt)'!C37</f>
        <v>WLD Tokens</v>
      </c>
      <c r="C41" s="31">
        <f>'CF (Equity, Debt)'!D37</f>
        <v>45114</v>
      </c>
      <c r="D41" s="38">
        <f>'CF (Equity, Debt)'!E37</f>
        <v>-1E-3</v>
      </c>
      <c r="E41" s="38"/>
      <c r="F41" s="38"/>
      <c r="G41" s="38">
        <f t="shared" si="6"/>
        <v>-1E-3</v>
      </c>
      <c r="H41" s="35" t="s">
        <v>159</v>
      </c>
    </row>
    <row r="42" spans="2:8" x14ac:dyDescent="0.2">
      <c r="B42" s="32" t="str">
        <f>'CF (Equity, Debt)'!C38</f>
        <v>Applied AI Corporation Limited</v>
      </c>
      <c r="C42" s="33">
        <f>'CF (Equity, Debt)'!D38</f>
        <v>45121</v>
      </c>
      <c r="D42" s="39">
        <f>'CF (Equity, Debt)'!E38</f>
        <v>-2.75</v>
      </c>
      <c r="E42" s="39"/>
      <c r="F42" s="39"/>
      <c r="G42" s="39">
        <f t="shared" si="6"/>
        <v>-2.75</v>
      </c>
      <c r="H42" s="36" t="s">
        <v>159</v>
      </c>
    </row>
    <row r="43" spans="2:8" x14ac:dyDescent="0.2">
      <c r="B43" s="30" t="str">
        <f>'CF (Equity, Debt)'!C39</f>
        <v>Instadeep Limited</v>
      </c>
      <c r="C43" s="31">
        <f>'CF (Equity, Debt)'!D39</f>
        <v>45138</v>
      </c>
      <c r="D43" s="38">
        <f>'CF (Equity, Debt)'!E39</f>
        <v>0</v>
      </c>
      <c r="E43" s="38">
        <f>'CF (Equity, Debt)'!F39</f>
        <v>7.8207760999999989</v>
      </c>
      <c r="F43" s="38"/>
      <c r="G43" s="38">
        <f t="shared" ref="G43" si="7">SUM(D43:F43)</f>
        <v>7.8207760999999989</v>
      </c>
      <c r="H43" s="35" t="s">
        <v>159</v>
      </c>
    </row>
    <row r="44" spans="2:8" x14ac:dyDescent="0.2">
      <c r="B44" s="32" t="str">
        <f>'CF (Equity, Debt)'!C40</f>
        <v>Jysan Technologies</v>
      </c>
      <c r="C44" s="33">
        <f>'CF (Equity, Debt)'!D40</f>
        <v>45149</v>
      </c>
      <c r="D44" s="39">
        <f>'CF (Equity, Debt)'!E40</f>
        <v>0</v>
      </c>
      <c r="E44" s="39">
        <f>'CF (Equity, Debt)'!F40</f>
        <v>24.5</v>
      </c>
      <c r="F44" s="39"/>
      <c r="G44" s="39">
        <f t="shared" ref="G44:G46" si="8">SUM(D44:F44)</f>
        <v>24.5</v>
      </c>
      <c r="H44" s="36" t="s">
        <v>159</v>
      </c>
    </row>
    <row r="45" spans="2:8" x14ac:dyDescent="0.2">
      <c r="B45" s="30" t="str">
        <f>'CF (Equity, Debt)'!C41</f>
        <v>Endless Studios LLC</v>
      </c>
      <c r="C45" s="31">
        <f>'CF (Equity, Debt)'!D41</f>
        <v>45167</v>
      </c>
      <c r="D45" s="38">
        <f>'CF (Equity, Debt)'!E41</f>
        <v>-5</v>
      </c>
      <c r="E45" s="38">
        <f>'CF (Equity, Debt)'!F41</f>
        <v>0</v>
      </c>
      <c r="F45" s="38"/>
      <c r="G45" s="38">
        <f t="shared" si="8"/>
        <v>-5</v>
      </c>
      <c r="H45" s="35" t="s">
        <v>159</v>
      </c>
    </row>
    <row r="46" spans="2:8" x14ac:dyDescent="0.2">
      <c r="B46" s="32" t="str">
        <f>'CF (Equity, Debt)'!C42</f>
        <v>E-line Ventures LLC</v>
      </c>
      <c r="C46" s="33">
        <f>'CF (Equity, Debt)'!D42</f>
        <v>45167</v>
      </c>
      <c r="D46" s="39">
        <f>'CF (Equity, Debt)'!E42</f>
        <v>-6</v>
      </c>
      <c r="E46" s="39">
        <f>'CF (Equity, Debt)'!F42</f>
        <v>0</v>
      </c>
      <c r="F46" s="39"/>
      <c r="G46" s="39">
        <f t="shared" si="8"/>
        <v>-6</v>
      </c>
      <c r="H46" s="36" t="s">
        <v>159</v>
      </c>
    </row>
    <row r="47" spans="2:8" x14ac:dyDescent="0.2">
      <c r="B47" s="30" t="str">
        <f>'CF (Equity, Debt)'!C43</f>
        <v>Honor Device Co Ltd</v>
      </c>
      <c r="C47" s="31">
        <f>'CF (Equity, Debt)'!D43</f>
        <v>45224</v>
      </c>
      <c r="D47" s="38">
        <f>'CF (Equity, Debt)'!E43</f>
        <v>0</v>
      </c>
      <c r="E47" s="38">
        <f>'CF (Equity, Debt)'!F43</f>
        <v>2.8</v>
      </c>
      <c r="F47" s="38"/>
      <c r="G47" s="38">
        <f t="shared" ref="G47:G50" si="9">SUM(D47:F47)</f>
        <v>2.8</v>
      </c>
      <c r="H47" s="35" t="s">
        <v>159</v>
      </c>
    </row>
    <row r="48" spans="2:8" x14ac:dyDescent="0.2">
      <c r="B48" s="32" t="str">
        <f>'CF (Equity, Debt)'!C44</f>
        <v>Honor Device Co Ltd</v>
      </c>
      <c r="C48" s="33">
        <f>'CF (Equity, Debt)'!D44</f>
        <v>45224</v>
      </c>
      <c r="D48" s="39">
        <f>'CF (Equity, Debt)'!E44</f>
        <v>0</v>
      </c>
      <c r="E48" s="39">
        <f>'CF (Equity, Debt)'!F44</f>
        <v>800</v>
      </c>
      <c r="F48" s="39"/>
      <c r="G48" s="39">
        <f t="shared" si="9"/>
        <v>800</v>
      </c>
      <c r="H48" s="36" t="s">
        <v>159</v>
      </c>
    </row>
    <row r="49" spans="2:8" x14ac:dyDescent="0.2">
      <c r="B49" s="30" t="str">
        <f>'CF (Equity, Debt)'!C45</f>
        <v>X-fusion</v>
      </c>
      <c r="C49" s="31">
        <f>'CF (Equity, Debt)'!D45</f>
        <v>45224</v>
      </c>
      <c r="D49" s="38">
        <f>'CF (Equity, Debt)'!E45</f>
        <v>0</v>
      </c>
      <c r="E49" s="38">
        <f>'CF (Equity, Debt)'!F45</f>
        <v>403</v>
      </c>
      <c r="F49" s="38"/>
      <c r="G49" s="38">
        <f t="shared" si="9"/>
        <v>403</v>
      </c>
      <c r="H49" s="35" t="s">
        <v>159</v>
      </c>
    </row>
    <row r="50" spans="2:8" x14ac:dyDescent="0.2">
      <c r="B50" s="32" t="str">
        <f>'CF (Equity, Debt)'!C46</f>
        <v>Instadeep Limited</v>
      </c>
      <c r="C50" s="33">
        <f>'CF (Equity, Debt)'!D46</f>
        <v>45224</v>
      </c>
      <c r="D50" s="39">
        <f>'CF (Equity, Debt)'!E46</f>
        <v>0</v>
      </c>
      <c r="E50" s="39">
        <f>'CF (Equity, Debt)'!F46</f>
        <v>0.12141643000000001</v>
      </c>
      <c r="F50" s="39"/>
      <c r="G50" s="39">
        <f t="shared" si="9"/>
        <v>0.12141643000000001</v>
      </c>
      <c r="H50" s="36" t="s">
        <v>159</v>
      </c>
    </row>
    <row r="51" spans="2:8" x14ac:dyDescent="0.2">
      <c r="B51" s="32" t="str">
        <f>'CF (Equity, Debt)'!C47</f>
        <v>Applied AI Corporation Limited</v>
      </c>
      <c r="C51" s="33">
        <f>'CF (Equity, Debt)'!D47</f>
        <v>45295</v>
      </c>
      <c r="D51" s="39">
        <f>'CF (Equity, Debt)'!E47</f>
        <v>-4</v>
      </c>
      <c r="E51" s="39">
        <f>'CF (Equity, Debt)'!F47</f>
        <v>0</v>
      </c>
      <c r="F51" s="39"/>
      <c r="G51" s="39">
        <f t="shared" ref="G51:G52" si="10">SUM(D51:F51)</f>
        <v>-4</v>
      </c>
      <c r="H51" s="36" t="s">
        <v>159</v>
      </c>
    </row>
    <row r="52" spans="2:8" x14ac:dyDescent="0.2">
      <c r="B52" s="30" t="str">
        <f>'CF (Equity, Debt)'!C48</f>
        <v>School Hack (AIREV Holding Limited)</v>
      </c>
      <c r="C52" s="31">
        <f>'CF (Equity, Debt)'!D48</f>
        <v>45322</v>
      </c>
      <c r="D52" s="38">
        <f>'CF (Equity, Debt)'!E48</f>
        <v>-2.75</v>
      </c>
      <c r="E52" s="38">
        <f>'CF (Equity, Debt)'!F48</f>
        <v>0</v>
      </c>
      <c r="F52" s="38"/>
      <c r="G52" s="38">
        <f t="shared" si="10"/>
        <v>-2.75</v>
      </c>
      <c r="H52" s="35" t="s">
        <v>159</v>
      </c>
    </row>
    <row r="53" spans="2:8" x14ac:dyDescent="0.2">
      <c r="B53" s="30"/>
      <c r="C53" s="31"/>
      <c r="D53" s="38"/>
      <c r="E53" s="38"/>
      <c r="F53" s="38"/>
      <c r="G53" s="38"/>
      <c r="H53" s="35"/>
    </row>
    <row r="54" spans="2:8" x14ac:dyDescent="0.2">
      <c r="B54" s="256" t="str">
        <f>'CF (Equity, Debt)'!C53</f>
        <v xml:space="preserve">Glass Earth Holdings LLC </v>
      </c>
      <c r="C54" s="31">
        <f>'CF (Equity, Debt)'!D53</f>
        <v>43635</v>
      </c>
      <c r="D54" s="199">
        <f>'CF (Equity, Debt)'!E53</f>
        <v>-8</v>
      </c>
      <c r="E54" s="199"/>
      <c r="F54" s="199"/>
      <c r="G54" s="199">
        <f t="shared" ref="G54:G96" si="11">SUM(D54:F54)</f>
        <v>-8</v>
      </c>
      <c r="H54" s="197" t="s">
        <v>44</v>
      </c>
    </row>
    <row r="55" spans="2:8" x14ac:dyDescent="0.2">
      <c r="B55" s="196" t="str">
        <f>'CF (Equity, Debt)'!C54</f>
        <v>Mena Mobile Inc (Debt)</v>
      </c>
      <c r="C55" s="31">
        <f>'CF (Equity, Debt)'!D54</f>
        <v>44293</v>
      </c>
      <c r="D55" s="199">
        <f>'CF (Equity, Debt)'!E54</f>
        <v>-2.3539819999999998</v>
      </c>
      <c r="E55" s="199"/>
      <c r="F55" s="199"/>
      <c r="G55" s="199">
        <f t="shared" si="11"/>
        <v>-2.3539819999999998</v>
      </c>
      <c r="H55" s="197" t="s">
        <v>44</v>
      </c>
    </row>
    <row r="56" spans="2:8" x14ac:dyDescent="0.2">
      <c r="B56" s="196" t="str">
        <f>'CF (Equity, Debt)'!C55</f>
        <v>Esyasoft Holding (Debt)</v>
      </c>
      <c r="C56" s="31">
        <f>'CF (Equity, Debt)'!D55</f>
        <v>44384</v>
      </c>
      <c r="D56" s="199">
        <f>'CF (Equity, Debt)'!E55</f>
        <v>-0.41176499999999999</v>
      </c>
      <c r="E56" s="199"/>
      <c r="F56" s="199"/>
      <c r="G56" s="199">
        <f t="shared" si="11"/>
        <v>-0.41176499999999999</v>
      </c>
      <c r="H56" s="197" t="s">
        <v>44</v>
      </c>
    </row>
    <row r="57" spans="2:8" x14ac:dyDescent="0.2">
      <c r="B57" s="196" t="str">
        <f>'CF (Equity, Debt)'!C56</f>
        <v>Esyasoft Holding (Debt)</v>
      </c>
      <c r="C57" s="31">
        <f>'CF (Equity, Debt)'!D56</f>
        <v>44902</v>
      </c>
      <c r="D57" s="199">
        <f>'CF (Equity, Debt)'!E56</f>
        <v>0</v>
      </c>
      <c r="E57" s="199">
        <f>'CF (Equity, Debt)'!F56</f>
        <v>0.47078465000000003</v>
      </c>
      <c r="F57" s="199"/>
      <c r="G57" s="199">
        <f t="shared" ref="G57" si="12">SUM(D57:F57)</f>
        <v>0.47078465000000003</v>
      </c>
      <c r="H57" s="197" t="s">
        <v>44</v>
      </c>
    </row>
    <row r="58" spans="2:8" x14ac:dyDescent="0.2">
      <c r="B58" s="196"/>
      <c r="C58" s="31"/>
      <c r="D58" s="199"/>
      <c r="E58" s="199"/>
      <c r="F58" s="199"/>
      <c r="G58" s="199"/>
      <c r="H58" s="197"/>
    </row>
    <row r="59" spans="2:8" x14ac:dyDescent="0.2">
      <c r="B59" s="196" t="str">
        <f>'CF (Funds)'!B3</f>
        <v>Sinovation Disrupt Fund, L.P.</v>
      </c>
      <c r="C59" s="31">
        <f>'CF (Funds)'!C3</f>
        <v>44153</v>
      </c>
      <c r="D59" s="199">
        <f>'CF (Funds)'!D3</f>
        <v>-10.5</v>
      </c>
      <c r="E59" s="199">
        <f>'CF (Funds)'!E3</f>
        <v>0</v>
      </c>
      <c r="F59" s="199"/>
      <c r="G59" s="199">
        <f t="shared" si="11"/>
        <v>-10.5</v>
      </c>
      <c r="H59" s="197" t="s">
        <v>53</v>
      </c>
    </row>
    <row r="60" spans="2:8" x14ac:dyDescent="0.2">
      <c r="B60" s="196" t="str">
        <f>'CF (Funds)'!B4</f>
        <v>Sinovation Disrupt Fund, L.P.</v>
      </c>
      <c r="C60" s="31">
        <f>'CF (Funds)'!C4</f>
        <v>44238</v>
      </c>
      <c r="D60" s="199">
        <f>'CF (Funds)'!D4</f>
        <v>4.2140269999999997</v>
      </c>
      <c r="E60" s="199">
        <f>'CF (Funds)'!E4</f>
        <v>0</v>
      </c>
      <c r="F60" s="199"/>
      <c r="G60" s="199">
        <f t="shared" si="11"/>
        <v>4.2140269999999997</v>
      </c>
      <c r="H60" s="197" t="s">
        <v>53</v>
      </c>
    </row>
    <row r="61" spans="2:8" x14ac:dyDescent="0.2">
      <c r="B61" s="196" t="str">
        <f>'CF (Funds)'!B5</f>
        <v>Sinovation Disrupt Fund, L.P.</v>
      </c>
      <c r="C61" s="31">
        <f>'CF (Funds)'!C5</f>
        <v>44238</v>
      </c>
      <c r="D61" s="199">
        <f>'CF (Funds)'!D5</f>
        <v>0</v>
      </c>
      <c r="E61" s="199">
        <f>'CF (Funds)'!E5</f>
        <v>5.0448349999999996E-2</v>
      </c>
      <c r="F61" s="199"/>
      <c r="G61" s="199">
        <f t="shared" si="11"/>
        <v>5.0448349999999996E-2</v>
      </c>
      <c r="H61" s="197" t="s">
        <v>53</v>
      </c>
    </row>
    <row r="62" spans="2:8" x14ac:dyDescent="0.2">
      <c r="B62" s="196" t="str">
        <f>'CF (Funds)'!B6</f>
        <v>Sinovation Disrupt Fund, L.P.</v>
      </c>
      <c r="C62" s="31">
        <f>'CF (Funds)'!C6</f>
        <v>44285</v>
      </c>
      <c r="D62" s="199">
        <f>'CF (Funds)'!D6</f>
        <v>-6.4337459999999993</v>
      </c>
      <c r="E62" s="199">
        <f>'CF (Funds)'!E6</f>
        <v>0</v>
      </c>
      <c r="F62" s="199"/>
      <c r="G62" s="199">
        <f t="shared" si="11"/>
        <v>-6.4337459999999993</v>
      </c>
      <c r="H62" s="197" t="s">
        <v>53</v>
      </c>
    </row>
    <row r="63" spans="2:8" x14ac:dyDescent="0.2">
      <c r="B63" s="196" t="str">
        <f>'CF (Funds)'!B7</f>
        <v>Sinovation Disrupt Fund, L.P.</v>
      </c>
      <c r="C63" s="31">
        <f>'CF (Funds)'!C7</f>
        <v>44269</v>
      </c>
      <c r="D63" s="199">
        <f>'CF (Funds)'!D7</f>
        <v>1.1352073899999999</v>
      </c>
      <c r="E63" s="199">
        <f>'CF (Funds)'!E7</f>
        <v>0</v>
      </c>
      <c r="F63" s="199"/>
      <c r="G63" s="199">
        <f t="shared" si="11"/>
        <v>1.1352073899999999</v>
      </c>
      <c r="H63" s="197" t="s">
        <v>53</v>
      </c>
    </row>
    <row r="64" spans="2:8" x14ac:dyDescent="0.2">
      <c r="B64" s="196" t="str">
        <f>'CF (Funds)'!B8</f>
        <v>Sinovation Disrupt Fund, L.P.</v>
      </c>
      <c r="C64" s="31">
        <f>'CF (Funds)'!C8</f>
        <v>44269</v>
      </c>
      <c r="D64" s="199">
        <f>'CF (Funds)'!D8</f>
        <v>0</v>
      </c>
      <c r="E64" s="199">
        <f>'CF (Funds)'!E8</f>
        <v>2.5899999999999999E-2</v>
      </c>
      <c r="F64" s="199"/>
      <c r="G64" s="199">
        <f t="shared" si="11"/>
        <v>2.5899999999999999E-2</v>
      </c>
      <c r="H64" s="197" t="s">
        <v>53</v>
      </c>
    </row>
    <row r="65" spans="2:8" x14ac:dyDescent="0.2">
      <c r="B65" s="196" t="str">
        <f>'CF (Funds)'!B9</f>
        <v>Sinovation Disrupt Fund, L.P.</v>
      </c>
      <c r="C65" s="31">
        <f>'CF (Funds)'!C9</f>
        <v>44483</v>
      </c>
      <c r="D65" s="199">
        <f>'CF (Funds)'!D9</f>
        <v>-7.5671379999999999</v>
      </c>
      <c r="E65" s="199">
        <f>'CF (Funds)'!E9</f>
        <v>0</v>
      </c>
      <c r="F65" s="199"/>
      <c r="G65" s="199">
        <f t="shared" si="11"/>
        <v>-7.5671379999999999</v>
      </c>
      <c r="H65" s="197" t="s">
        <v>53</v>
      </c>
    </row>
    <row r="66" spans="2:8" x14ac:dyDescent="0.2">
      <c r="B66" s="196" t="str">
        <f>'CF (Funds)'!B10</f>
        <v>Sinovation Disrupt Fund, L.P.</v>
      </c>
      <c r="C66" s="31">
        <f>'CF (Funds)'!C10</f>
        <v>44554</v>
      </c>
      <c r="D66" s="199">
        <f>'CF (Funds)'!D10</f>
        <v>-7.3850159999999994</v>
      </c>
      <c r="E66" s="199">
        <f>'CF (Funds)'!E10</f>
        <v>0</v>
      </c>
      <c r="F66" s="199"/>
      <c r="G66" s="199">
        <f t="shared" si="11"/>
        <v>-7.3850159999999994</v>
      </c>
      <c r="H66" s="197" t="s">
        <v>53</v>
      </c>
    </row>
    <row r="67" spans="2:8" x14ac:dyDescent="0.2">
      <c r="B67" s="196" t="str">
        <f>'CF (Funds)'!B11</f>
        <v>Sinovation Disrupt Fund, L.P.</v>
      </c>
      <c r="C67" s="31">
        <f>'CF (Funds)'!C11</f>
        <v>44554</v>
      </c>
      <c r="D67" s="199">
        <f>'CF (Funds)'!D11</f>
        <v>4.0733456099999996</v>
      </c>
      <c r="E67" s="199">
        <f>'CF (Funds)'!E11</f>
        <v>0</v>
      </c>
      <c r="F67" s="199"/>
      <c r="G67" s="199">
        <f t="shared" si="11"/>
        <v>4.0733456099999996</v>
      </c>
      <c r="H67" s="197" t="s">
        <v>53</v>
      </c>
    </row>
    <row r="68" spans="2:8" x14ac:dyDescent="0.2">
      <c r="B68" s="196" t="str">
        <f>'CF (Funds)'!B12</f>
        <v>Sinovation Disrupt Fund, L.P.</v>
      </c>
      <c r="C68" s="31">
        <f>'CF (Funds)'!C12</f>
        <v>44554</v>
      </c>
      <c r="D68" s="199">
        <f>'CF (Funds)'!D12</f>
        <v>0</v>
      </c>
      <c r="E68" s="199">
        <f>'CF (Funds)'!E12</f>
        <v>0.13969399999999998</v>
      </c>
      <c r="F68" s="199"/>
      <c r="G68" s="199">
        <f t="shared" si="11"/>
        <v>0.13969399999999998</v>
      </c>
      <c r="H68" s="197" t="s">
        <v>53</v>
      </c>
    </row>
    <row r="69" spans="2:8" x14ac:dyDescent="0.2">
      <c r="B69" s="196" t="str">
        <f>'CF (Funds)'!B13</f>
        <v>Sinovation Disrupt Fund, L.P.</v>
      </c>
      <c r="C69" s="31">
        <f>'CF (Funds)'!C13</f>
        <v>44703</v>
      </c>
      <c r="D69" s="199">
        <f>'CF (Funds)'!D13</f>
        <v>5.6730739999999997</v>
      </c>
      <c r="E69" s="199">
        <f>'CF (Funds)'!E13</f>
        <v>0</v>
      </c>
      <c r="F69" s="199"/>
      <c r="G69" s="199">
        <f t="shared" si="11"/>
        <v>5.6730739999999997</v>
      </c>
      <c r="H69" s="197" t="s">
        <v>53</v>
      </c>
    </row>
    <row r="70" spans="2:8" x14ac:dyDescent="0.2">
      <c r="B70" s="196" t="str">
        <f>'CF (Funds)'!B14</f>
        <v>Sinovation Disrupt Fund, L.P.</v>
      </c>
      <c r="C70" s="31">
        <f>'CF (Funds)'!C14</f>
        <v>44703</v>
      </c>
      <c r="D70" s="199">
        <f>'CF (Funds)'!D14</f>
        <v>0</v>
      </c>
      <c r="E70" s="199">
        <f>'CF (Funds)'!E14</f>
        <v>0.22778599999999999</v>
      </c>
      <c r="F70" s="199"/>
      <c r="G70" s="199">
        <f t="shared" si="11"/>
        <v>0.22778599999999999</v>
      </c>
      <c r="H70" s="197" t="s">
        <v>53</v>
      </c>
    </row>
    <row r="71" spans="2:8" x14ac:dyDescent="0.2">
      <c r="B71" s="196" t="str">
        <f>'CF (Funds)'!B15</f>
        <v>Sinovation Disrupt Fund, L.P.</v>
      </c>
      <c r="C71" s="31">
        <f>'CF (Funds)'!C15</f>
        <v>44776</v>
      </c>
      <c r="D71" s="199">
        <f>'CF (Funds)'!D15</f>
        <v>-3.235493</v>
      </c>
      <c r="E71" s="199">
        <f>'CF (Funds)'!E15</f>
        <v>0</v>
      </c>
      <c r="F71" s="199"/>
      <c r="G71" s="199">
        <f t="shared" ref="G71" si="13">SUM(D71:F71)</f>
        <v>-3.235493</v>
      </c>
      <c r="H71" s="197" t="s">
        <v>53</v>
      </c>
    </row>
    <row r="72" spans="2:8" x14ac:dyDescent="0.2">
      <c r="B72" s="196" t="str">
        <f>'CF (Funds)'!B16</f>
        <v>Sinovation Disrupt Fund, L.P.</v>
      </c>
      <c r="C72" s="31">
        <f>'CF (Funds)'!C16</f>
        <v>44960</v>
      </c>
      <c r="D72" s="199">
        <f>'CF (Funds)'!D16</f>
        <v>-2.6315279999999999</v>
      </c>
      <c r="E72" s="199">
        <f>'CF (Funds)'!E16</f>
        <v>0</v>
      </c>
      <c r="F72" s="199"/>
      <c r="G72" s="199">
        <f t="shared" ref="G72" si="14">SUM(D72:F72)</f>
        <v>-2.6315279999999999</v>
      </c>
      <c r="H72" s="197" t="s">
        <v>53</v>
      </c>
    </row>
    <row r="73" spans="2:8" x14ac:dyDescent="0.2">
      <c r="B73" s="196" t="str">
        <f>'CF (Funds)'!B17</f>
        <v>Sinovation Disrupt Fund, L.P.</v>
      </c>
      <c r="C73" s="31">
        <f>'CF (Funds)'!C17</f>
        <v>45085</v>
      </c>
      <c r="D73" s="199">
        <f>'CF (Funds)'!D17</f>
        <v>1.9125570000000001</v>
      </c>
      <c r="E73" s="199">
        <f>'CF (Funds)'!E17</f>
        <v>0</v>
      </c>
      <c r="F73" s="199"/>
      <c r="G73" s="199">
        <f t="shared" ref="G73" si="15">SUM(D73:F73)</f>
        <v>1.9125570000000001</v>
      </c>
      <c r="H73" s="197" t="s">
        <v>53</v>
      </c>
    </row>
    <row r="74" spans="2:8" x14ac:dyDescent="0.2">
      <c r="B74" s="196" t="str">
        <f>'CF (Funds)'!B18</f>
        <v>Sinovation Disrupt Fund, L.P.</v>
      </c>
      <c r="C74" s="31">
        <f>'CF (Funds)'!C18</f>
        <v>45166</v>
      </c>
      <c r="D74" s="199">
        <f>'CF (Funds)'!D18</f>
        <v>-1.7991220000000001</v>
      </c>
      <c r="E74" s="199">
        <f>'CF (Funds)'!E18</f>
        <v>0</v>
      </c>
      <c r="F74" s="199"/>
      <c r="G74" s="199">
        <f t="shared" ref="G74" si="16">SUM(D74:F74)</f>
        <v>-1.7991220000000001</v>
      </c>
      <c r="H74" s="197" t="s">
        <v>53</v>
      </c>
    </row>
    <row r="75" spans="2:8" x14ac:dyDescent="0.2">
      <c r="B75" s="196" t="str">
        <f>'CF (Funds)'!B19</f>
        <v>Sinovation Disrupt Fund, L.P.</v>
      </c>
      <c r="C75" s="31">
        <f>'CF (Funds)'!C19</f>
        <v>45218</v>
      </c>
      <c r="D75" s="199">
        <f>'CF (Funds)'!D19</f>
        <v>-2.415861</v>
      </c>
      <c r="E75" s="199">
        <f>'CF (Funds)'!E19</f>
        <v>0</v>
      </c>
      <c r="F75" s="199"/>
      <c r="G75" s="199">
        <f t="shared" ref="G75" si="17">SUM(D75:F75)</f>
        <v>-2.415861</v>
      </c>
      <c r="H75" s="197" t="s">
        <v>53</v>
      </c>
    </row>
    <row r="76" spans="2:8" x14ac:dyDescent="0.2">
      <c r="B76" s="196" t="str">
        <f>'CF (Funds)'!B20</f>
        <v>Sinovation Disrupt Fund, L.P.</v>
      </c>
      <c r="C76" s="31">
        <f>'CF (Funds)'!C20</f>
        <v>0</v>
      </c>
      <c r="D76" s="199">
        <f>'CF (Funds)'!D20</f>
        <v>0</v>
      </c>
      <c r="E76" s="199">
        <f>'CF (Funds)'!E20</f>
        <v>0</v>
      </c>
      <c r="F76" s="199"/>
      <c r="G76" s="199">
        <f t="shared" ref="G76" si="18">SUM(D76:F76)</f>
        <v>0</v>
      </c>
      <c r="H76" s="197" t="s">
        <v>53</v>
      </c>
    </row>
    <row r="77" spans="2:8" x14ac:dyDescent="0.2">
      <c r="B77" s="200" t="str">
        <f>'CF (Funds)'!B21</f>
        <v>North Summit Capital Fund</v>
      </c>
      <c r="C77" s="300">
        <f>'CF (Funds)'!C21</f>
        <v>43665</v>
      </c>
      <c r="D77" s="203">
        <f>'CF (Funds)'!D21</f>
        <v>-3</v>
      </c>
      <c r="E77" s="203">
        <f>'CF (Funds)'!E21</f>
        <v>0</v>
      </c>
      <c r="F77" s="203"/>
      <c r="G77" s="203">
        <f t="shared" si="11"/>
        <v>-3</v>
      </c>
      <c r="H77" s="201" t="s">
        <v>53</v>
      </c>
    </row>
    <row r="78" spans="2:8" x14ac:dyDescent="0.2">
      <c r="B78" s="200" t="str">
        <f>'CF (Funds)'!B22</f>
        <v>North Summit Capital Fund</v>
      </c>
      <c r="C78" s="300">
        <f>'CF (Funds)'!C22</f>
        <v>43983</v>
      </c>
      <c r="D78" s="203">
        <f>'CF (Funds)'!D22</f>
        <v>-4.4849999999999994</v>
      </c>
      <c r="E78" s="203">
        <f>'CF (Funds)'!E22</f>
        <v>0</v>
      </c>
      <c r="F78" s="203"/>
      <c r="G78" s="203">
        <f t="shared" si="11"/>
        <v>-4.4849999999999994</v>
      </c>
      <c r="H78" s="201" t="s">
        <v>53</v>
      </c>
    </row>
    <row r="79" spans="2:8" x14ac:dyDescent="0.2">
      <c r="B79" s="200" t="str">
        <f>'CF (Funds)'!B23</f>
        <v>North Summit Capital Fund</v>
      </c>
      <c r="C79" s="300">
        <f>'CF (Funds)'!C23</f>
        <v>43879</v>
      </c>
      <c r="D79" s="203">
        <f>'CF (Funds)'!D23</f>
        <v>-9.5097500000000004</v>
      </c>
      <c r="E79" s="203">
        <f>'CF (Funds)'!E23</f>
        <v>0</v>
      </c>
      <c r="F79" s="203"/>
      <c r="G79" s="203">
        <f t="shared" si="11"/>
        <v>-9.5097500000000004</v>
      </c>
      <c r="H79" s="201" t="s">
        <v>53</v>
      </c>
    </row>
    <row r="80" spans="2:8" x14ac:dyDescent="0.2">
      <c r="B80" s="200" t="str">
        <f>'CF (Funds)'!B24</f>
        <v>North Summit Capital Fund</v>
      </c>
      <c r="C80" s="300">
        <f>'CF (Funds)'!C24</f>
        <v>43934</v>
      </c>
      <c r="D80" s="203">
        <f>'CF (Funds)'!D24</f>
        <v>-41.3</v>
      </c>
      <c r="E80" s="203">
        <f>'CF (Funds)'!E24</f>
        <v>0</v>
      </c>
      <c r="F80" s="203"/>
      <c r="G80" s="203">
        <f t="shared" si="11"/>
        <v>-41.3</v>
      </c>
      <c r="H80" s="201" t="s">
        <v>53</v>
      </c>
    </row>
    <row r="81" spans="2:8" x14ac:dyDescent="0.2">
      <c r="B81" s="200" t="str">
        <f>'CF (Funds)'!B25</f>
        <v>North Summit Capital Fund</v>
      </c>
      <c r="C81" s="300">
        <f>'CF (Funds)'!C25</f>
        <v>44151</v>
      </c>
      <c r="D81" s="203">
        <f>'CF (Funds)'!D25</f>
        <v>9.9499999999999993</v>
      </c>
      <c r="E81" s="203">
        <f>'CF (Funds)'!E25</f>
        <v>0</v>
      </c>
      <c r="F81" s="203"/>
      <c r="G81" s="203">
        <f t="shared" si="11"/>
        <v>9.9499999999999993</v>
      </c>
      <c r="H81" s="201" t="s">
        <v>53</v>
      </c>
    </row>
    <row r="82" spans="2:8" x14ac:dyDescent="0.2">
      <c r="B82" s="200" t="str">
        <f>'CF (Funds)'!B26</f>
        <v>North Summit Capital Fund</v>
      </c>
      <c r="C82" s="300">
        <f>'CF (Funds)'!C26</f>
        <v>44151</v>
      </c>
      <c r="D82" s="203">
        <f>'CF (Funds)'!D26</f>
        <v>-10.455</v>
      </c>
      <c r="E82" s="203">
        <f>'CF (Funds)'!E26</f>
        <v>0</v>
      </c>
      <c r="F82" s="203"/>
      <c r="G82" s="203">
        <f t="shared" si="11"/>
        <v>-10.455</v>
      </c>
      <c r="H82" s="201" t="s">
        <v>53</v>
      </c>
    </row>
    <row r="83" spans="2:8" x14ac:dyDescent="0.2">
      <c r="B83" s="200" t="str">
        <f>'CF (Funds)'!B27</f>
        <v>North Summit Capital Fund</v>
      </c>
      <c r="C83" s="300">
        <f>'CF (Funds)'!C27</f>
        <v>44196</v>
      </c>
      <c r="D83" s="203">
        <f>'CF (Funds)'!D27</f>
        <v>4.9749999999999996</v>
      </c>
      <c r="E83" s="203">
        <f>'CF (Funds)'!E27</f>
        <v>0</v>
      </c>
      <c r="F83" s="203"/>
      <c r="G83" s="203">
        <f t="shared" si="11"/>
        <v>4.9749999999999996</v>
      </c>
      <c r="H83" s="201" t="s">
        <v>53</v>
      </c>
    </row>
    <row r="84" spans="2:8" x14ac:dyDescent="0.2">
      <c r="B84" s="200" t="str">
        <f>'CF (Funds)'!B28</f>
        <v>North Summit Capital Fund</v>
      </c>
      <c r="C84" s="300">
        <f>'CF (Funds)'!C28</f>
        <v>44196</v>
      </c>
      <c r="D84" s="203">
        <f>'CF (Funds)'!D28</f>
        <v>-3.4522930000000001</v>
      </c>
      <c r="E84" s="203">
        <f>'CF (Funds)'!E28</f>
        <v>0</v>
      </c>
      <c r="F84" s="203"/>
      <c r="G84" s="203">
        <f t="shared" si="11"/>
        <v>-3.4522930000000001</v>
      </c>
      <c r="H84" s="201" t="s">
        <v>53</v>
      </c>
    </row>
    <row r="85" spans="2:8" x14ac:dyDescent="0.2">
      <c r="B85" s="200" t="str">
        <f>'CF (Funds)'!B29</f>
        <v>North Summit Capital Fund</v>
      </c>
      <c r="C85" s="300">
        <f>'CF (Funds)'!C29</f>
        <v>44196</v>
      </c>
      <c r="D85" s="203">
        <f>'CF (Funds)'!D29</f>
        <v>0</v>
      </c>
      <c r="E85" s="203">
        <f>'CF (Funds)'!E29</f>
        <v>0.58290199999999992</v>
      </c>
      <c r="F85" s="203"/>
      <c r="G85" s="203">
        <f t="shared" si="11"/>
        <v>0.58290199999999992</v>
      </c>
      <c r="H85" s="201" t="s">
        <v>53</v>
      </c>
    </row>
    <row r="86" spans="2:8" x14ac:dyDescent="0.2">
      <c r="B86" s="200" t="str">
        <f>'CF (Funds)'!B30</f>
        <v>North Summit Capital Fund</v>
      </c>
      <c r="C86" s="300">
        <f>'CF (Funds)'!C30</f>
        <v>44370</v>
      </c>
      <c r="D86" s="203">
        <f>'CF (Funds)'!D30</f>
        <v>-5.97</v>
      </c>
      <c r="E86" s="203">
        <f>'CF (Funds)'!E30</f>
        <v>0</v>
      </c>
      <c r="F86" s="203"/>
      <c r="G86" s="203">
        <f t="shared" si="11"/>
        <v>-5.97</v>
      </c>
      <c r="H86" s="201" t="s">
        <v>53</v>
      </c>
    </row>
    <row r="87" spans="2:8" x14ac:dyDescent="0.2">
      <c r="B87" s="200" t="str">
        <f>'CF (Funds)'!B31</f>
        <v>North Summit Capital Fund</v>
      </c>
      <c r="C87" s="300">
        <f>'CF (Funds)'!C31</f>
        <v>44400</v>
      </c>
      <c r="D87" s="203">
        <f>'CF (Funds)'!D31</f>
        <v>-0.75</v>
      </c>
      <c r="E87" s="203">
        <f>'CF (Funds)'!E31</f>
        <v>0</v>
      </c>
      <c r="F87" s="203"/>
      <c r="G87" s="203">
        <f t="shared" si="11"/>
        <v>-0.75</v>
      </c>
      <c r="H87" s="201" t="s">
        <v>53</v>
      </c>
    </row>
    <row r="88" spans="2:8" x14ac:dyDescent="0.2">
      <c r="B88" s="200" t="str">
        <f>'CF (Funds)'!B32</f>
        <v>North Summit Capital Fund</v>
      </c>
      <c r="C88" s="300">
        <f>'CF (Funds)'!C32</f>
        <v>44400</v>
      </c>
      <c r="D88" s="203">
        <f>'CF (Funds)'!D32</f>
        <v>0</v>
      </c>
      <c r="E88" s="203">
        <f>'CF (Funds)'!E32</f>
        <v>0.44505899999999998</v>
      </c>
      <c r="F88" s="203"/>
      <c r="G88" s="203">
        <f t="shared" si="11"/>
        <v>0.44505899999999998</v>
      </c>
      <c r="H88" s="201" t="s">
        <v>53</v>
      </c>
    </row>
    <row r="89" spans="2:8" x14ac:dyDescent="0.2">
      <c r="B89" s="200" t="str">
        <f>'CF (Funds)'!B33</f>
        <v>North Summit Capital Fund</v>
      </c>
      <c r="C89" s="300">
        <f>'CF (Funds)'!C33</f>
        <v>44554</v>
      </c>
      <c r="D89" s="203">
        <f>'CF (Funds)'!D33</f>
        <v>1.7823899999999999</v>
      </c>
      <c r="E89" s="203">
        <f>'CF (Funds)'!E33</f>
        <v>0</v>
      </c>
      <c r="F89" s="203"/>
      <c r="G89" s="203">
        <f t="shared" si="11"/>
        <v>1.7823899999999999</v>
      </c>
      <c r="H89" s="201" t="s">
        <v>53</v>
      </c>
    </row>
    <row r="90" spans="2:8" x14ac:dyDescent="0.2">
      <c r="B90" s="200" t="str">
        <f>'CF (Funds)'!B34</f>
        <v>North Summit Capital Fund</v>
      </c>
      <c r="C90" s="300">
        <f>'CF (Funds)'!C34</f>
        <v>44676</v>
      </c>
      <c r="D90" s="203">
        <f>'CF (Funds)'!D34</f>
        <v>-21</v>
      </c>
      <c r="E90" s="203">
        <f>'CF (Funds)'!E34</f>
        <v>0</v>
      </c>
      <c r="F90" s="203"/>
      <c r="G90" s="203">
        <f t="shared" si="11"/>
        <v>-21</v>
      </c>
      <c r="H90" s="201" t="s">
        <v>53</v>
      </c>
    </row>
    <row r="91" spans="2:8" x14ac:dyDescent="0.2">
      <c r="B91" s="200" t="str">
        <f>'CF (Funds)'!B35</f>
        <v>North Summit Capital Fund</v>
      </c>
      <c r="C91" s="300">
        <f>'CF (Funds)'!C35</f>
        <v>45243</v>
      </c>
      <c r="D91" s="203">
        <f>'CF (Funds)'!D35</f>
        <v>0</v>
      </c>
      <c r="E91" s="203">
        <f>'CF (Funds)'!E35</f>
        <v>6.7879100000000001</v>
      </c>
      <c r="F91" s="203"/>
      <c r="G91" s="203">
        <f t="shared" ref="G91" si="19">SUM(D91:F91)</f>
        <v>6.7879100000000001</v>
      </c>
      <c r="H91" s="201" t="s">
        <v>53</v>
      </c>
    </row>
    <row r="92" spans="2:8" x14ac:dyDescent="0.2">
      <c r="B92" s="196" t="str">
        <f>'CF (Funds)'!B36</f>
        <v>New Space Capital Fund I</v>
      </c>
      <c r="C92" s="301">
        <f>'CF (Funds)'!C36</f>
        <v>44087</v>
      </c>
      <c r="D92" s="199">
        <f>'CF (Funds)'!D36</f>
        <v>-20.917552997000001</v>
      </c>
      <c r="E92" s="199">
        <f>'CF (Funds)'!E36</f>
        <v>0</v>
      </c>
      <c r="F92" s="199"/>
      <c r="G92" s="199">
        <f t="shared" si="11"/>
        <v>-20.917552997000001</v>
      </c>
      <c r="H92" s="197" t="s">
        <v>53</v>
      </c>
    </row>
    <row r="93" spans="2:8" x14ac:dyDescent="0.2">
      <c r="B93" s="196" t="str">
        <f>'CF (Funds)'!B37</f>
        <v>New Space Capital Fund I</v>
      </c>
      <c r="C93" s="301">
        <f>'CF (Funds)'!C37</f>
        <v>44287</v>
      </c>
      <c r="D93" s="199">
        <f>'CF (Funds)'!D37</f>
        <v>-0.21103182000000001</v>
      </c>
      <c r="E93" s="199">
        <f>'CF (Funds)'!E37</f>
        <v>0</v>
      </c>
      <c r="F93" s="199"/>
      <c r="G93" s="199">
        <f t="shared" si="11"/>
        <v>-0.21103182000000001</v>
      </c>
      <c r="H93" s="197" t="s">
        <v>53</v>
      </c>
    </row>
    <row r="94" spans="2:8" x14ac:dyDescent="0.2">
      <c r="B94" s="196" t="str">
        <f>'CF (Funds)'!B38</f>
        <v>New Space Capital Fund I</v>
      </c>
      <c r="C94" s="301">
        <f>'CF (Funds)'!C38</f>
        <v>44442</v>
      </c>
      <c r="D94" s="199">
        <f>'CF (Funds)'!D38</f>
        <v>-0.23965473139999999</v>
      </c>
      <c r="E94" s="199">
        <f>'CF (Funds)'!E38</f>
        <v>0</v>
      </c>
      <c r="F94" s="199"/>
      <c r="G94" s="199">
        <f t="shared" si="11"/>
        <v>-0.23965473139999999</v>
      </c>
      <c r="H94" s="197" t="s">
        <v>53</v>
      </c>
    </row>
    <row r="95" spans="2:8" x14ac:dyDescent="0.2">
      <c r="B95" s="196" t="str">
        <f>'CF (Funds)'!B39</f>
        <v>New Space Capital Fund I</v>
      </c>
      <c r="C95" s="301">
        <f>'CF (Funds)'!C39</f>
        <v>44623</v>
      </c>
      <c r="D95" s="199">
        <f>'CF (Funds)'!D39</f>
        <v>-0.25893584940000003</v>
      </c>
      <c r="E95" s="199">
        <f>'CF (Funds)'!E39</f>
        <v>0</v>
      </c>
      <c r="F95" s="199"/>
      <c r="G95" s="199">
        <f t="shared" si="11"/>
        <v>-0.25893584940000003</v>
      </c>
      <c r="H95" s="197" t="s">
        <v>53</v>
      </c>
    </row>
    <row r="96" spans="2:8" x14ac:dyDescent="0.2">
      <c r="B96" s="196" t="str">
        <f>'CF (Funds)'!B40</f>
        <v>New Space Capital Fund I</v>
      </c>
      <c r="C96" s="301">
        <f>'CF (Funds)'!C40</f>
        <v>44784</v>
      </c>
      <c r="D96" s="199">
        <f>'CF (Funds)'!D40</f>
        <v>1.5224656599999999E-2</v>
      </c>
      <c r="E96" s="199">
        <f>'CF (Funds)'!E40</f>
        <v>0</v>
      </c>
      <c r="F96" s="199"/>
      <c r="G96" s="199">
        <f t="shared" si="11"/>
        <v>1.5224656599999999E-2</v>
      </c>
      <c r="H96" s="197" t="s">
        <v>53</v>
      </c>
    </row>
    <row r="97" spans="2:8" x14ac:dyDescent="0.2">
      <c r="B97" s="196" t="str">
        <f>'CF (Funds)'!B41</f>
        <v>New Space Capital Fund I</v>
      </c>
      <c r="C97" s="301">
        <f>'CF (Funds)'!C41</f>
        <v>44956</v>
      </c>
      <c r="D97" s="199">
        <f>'CF (Funds)'!D41</f>
        <v>10.553916089669999</v>
      </c>
      <c r="E97" s="199">
        <f>'CF (Funds)'!E41</f>
        <v>0</v>
      </c>
      <c r="F97" s="199"/>
      <c r="G97" s="199">
        <f t="shared" ref="G97:G98" si="20">SUM(D97:F97)</f>
        <v>10.553916089669999</v>
      </c>
      <c r="H97" s="197" t="s">
        <v>53</v>
      </c>
    </row>
    <row r="98" spans="2:8" x14ac:dyDescent="0.2">
      <c r="B98" s="196" t="str">
        <f>'CF (Funds)'!B42</f>
        <v>New Space Capital Fund I</v>
      </c>
      <c r="C98" s="301">
        <f>'CF (Funds)'!C42</f>
        <v>44956</v>
      </c>
      <c r="D98" s="199">
        <f>'CF (Funds)'!D42</f>
        <v>0</v>
      </c>
      <c r="E98" s="199">
        <f>'CF (Funds)'!E42</f>
        <v>2.9557743514081998</v>
      </c>
      <c r="F98" s="199"/>
      <c r="G98" s="199">
        <f t="shared" si="20"/>
        <v>2.9557743514081998</v>
      </c>
      <c r="H98" s="197" t="s">
        <v>53</v>
      </c>
    </row>
    <row r="99" spans="2:8" x14ac:dyDescent="0.2">
      <c r="B99" s="196" t="str">
        <f>'CF (Funds)'!B43</f>
        <v>New Space Capital Fund I</v>
      </c>
      <c r="C99" s="301">
        <f>'CF (Funds)'!C43</f>
        <v>45170</v>
      </c>
      <c r="D99" s="199">
        <f>'CF (Funds)'!D43</f>
        <v>-0.22532724156300002</v>
      </c>
      <c r="E99" s="199">
        <f>'CF (Funds)'!E43</f>
        <v>0</v>
      </c>
      <c r="F99" s="199"/>
      <c r="G99" s="199">
        <f t="shared" ref="G99:G100" si="21">SUM(D99:F99)</f>
        <v>-0.22532724156300002</v>
      </c>
      <c r="H99" s="197" t="s">
        <v>53</v>
      </c>
    </row>
    <row r="100" spans="2:8" x14ac:dyDescent="0.2">
      <c r="B100" s="196" t="str">
        <f>'CF (Funds)'!B44</f>
        <v>New Space Capital Fund I</v>
      </c>
      <c r="C100" s="301">
        <f>'CF (Funds)'!C44</f>
        <v>45260</v>
      </c>
      <c r="D100" s="199">
        <f>'CF (Funds)'!D44</f>
        <v>-0.28531251529200002</v>
      </c>
      <c r="E100" s="199">
        <f>'CF (Funds)'!E44</f>
        <v>0</v>
      </c>
      <c r="F100" s="199"/>
      <c r="G100" s="199">
        <f t="shared" si="21"/>
        <v>-0.28531251529200002</v>
      </c>
      <c r="H100" s="197" t="s">
        <v>53</v>
      </c>
    </row>
    <row r="101" spans="2:8" x14ac:dyDescent="0.2">
      <c r="B101" s="196" t="str">
        <f>'CF (Funds)'!B45</f>
        <v>New Space Capital Fund I</v>
      </c>
      <c r="C101" s="301">
        <f>'CF (Funds)'!C45</f>
        <v>45321</v>
      </c>
      <c r="D101" s="199">
        <f>'CF (Funds)'!D45</f>
        <v>-2.4198785200000001</v>
      </c>
      <c r="E101" s="199">
        <f>'CF (Funds)'!E45</f>
        <v>0</v>
      </c>
      <c r="F101" s="199"/>
      <c r="G101" s="199">
        <f t="shared" ref="G101" si="22">SUM(D101:F101)</f>
        <v>-2.4198785200000001</v>
      </c>
      <c r="H101" s="197" t="s">
        <v>53</v>
      </c>
    </row>
    <row r="102" spans="2:8" x14ac:dyDescent="0.2">
      <c r="B102" s="196" t="str">
        <f>'CF (Funds)'!B46</f>
        <v>New Space Capital GP Com SCSp</v>
      </c>
      <c r="C102" s="301">
        <f>'CF (Funds)'!C46</f>
        <v>44087</v>
      </c>
      <c r="D102" s="199">
        <f>'CF (Funds)'!D46</f>
        <v>-2.7058823529411762</v>
      </c>
      <c r="E102" s="199">
        <f>'CF (Funds)'!E46</f>
        <v>0</v>
      </c>
      <c r="F102" s="199"/>
      <c r="G102" s="199">
        <f>SUM(D102:F102)</f>
        <v>-2.7058823529411762</v>
      </c>
      <c r="H102" s="197" t="s">
        <v>53</v>
      </c>
    </row>
    <row r="103" spans="2:8" x14ac:dyDescent="0.2">
      <c r="B103" s="200" t="str">
        <f>'CF (Funds)'!B47</f>
        <v>Acies Investments Fund I, L.P.</v>
      </c>
      <c r="C103" s="300">
        <f>'CF (Funds)'!C47</f>
        <v>44540</v>
      </c>
      <c r="D103" s="203">
        <f>'CF (Funds)'!D47</f>
        <v>-2.8053124999999999</v>
      </c>
      <c r="E103" s="203">
        <f>'CF (Funds)'!E47</f>
        <v>0</v>
      </c>
      <c r="F103" s="203"/>
      <c r="G103" s="203">
        <f>SUM(D103:F103)</f>
        <v>-2.8053124999999999</v>
      </c>
      <c r="H103" s="201" t="s">
        <v>53</v>
      </c>
    </row>
    <row r="104" spans="2:8" x14ac:dyDescent="0.2">
      <c r="B104" s="200" t="str">
        <f>'CF (Funds)'!B48</f>
        <v>Acies Investments Fund I, L.P.</v>
      </c>
      <c r="C104" s="300">
        <f>'CF (Funds)'!C48</f>
        <v>44602</v>
      </c>
      <c r="D104" s="203">
        <f>'CF (Funds)'!D48</f>
        <v>-3.4074999999999998</v>
      </c>
      <c r="E104" s="203">
        <f>'CF (Funds)'!E48</f>
        <v>0</v>
      </c>
      <c r="F104" s="203"/>
      <c r="G104" s="203">
        <f>SUM(D104:F104)</f>
        <v>-3.4074999999999998</v>
      </c>
      <c r="H104" s="201" t="s">
        <v>53</v>
      </c>
    </row>
    <row r="105" spans="2:8" x14ac:dyDescent="0.2">
      <c r="B105" s="200" t="str">
        <f>'CF (Funds)'!B49</f>
        <v>Acies Investments Fund I, L.P.</v>
      </c>
      <c r="C105" s="300">
        <f>'CF (Funds)'!C49</f>
        <v>44683</v>
      </c>
      <c r="D105" s="203">
        <f>'CF (Funds)'!D49</f>
        <v>-1.0257749999999999</v>
      </c>
      <c r="E105" s="203">
        <f>'CF (Funds)'!E49</f>
        <v>0</v>
      </c>
      <c r="F105" s="203"/>
      <c r="G105" s="203">
        <f>SUM(D105:F105)</f>
        <v>-1.0257749999999999</v>
      </c>
      <c r="H105" s="201" t="s">
        <v>53</v>
      </c>
    </row>
    <row r="106" spans="2:8" x14ac:dyDescent="0.2">
      <c r="B106" s="200" t="str">
        <f>'CF (Funds)'!B50</f>
        <v>Acies Investments Fund I, L.P.</v>
      </c>
      <c r="C106" s="300">
        <f>'CF (Funds)'!C50</f>
        <v>44707</v>
      </c>
      <c r="D106" s="203">
        <f>'CF (Funds)'!D50</f>
        <v>-3.3882749999999997</v>
      </c>
      <c r="E106" s="203">
        <f>'CF (Funds)'!E50</f>
        <v>0</v>
      </c>
      <c r="F106" s="203"/>
      <c r="G106" s="203">
        <f>SUM(D106:F106)</f>
        <v>-3.3882749999999997</v>
      </c>
      <c r="H106" s="201" t="s">
        <v>53</v>
      </c>
    </row>
    <row r="107" spans="2:8" x14ac:dyDescent="0.2">
      <c r="B107" s="200" t="str">
        <f>'CF (Funds)'!B51</f>
        <v>Acies Investments Fund I, L.P.</v>
      </c>
      <c r="C107" s="300">
        <f>'CF (Funds)'!C51</f>
        <v>44875</v>
      </c>
      <c r="D107" s="203">
        <f>'CF (Funds)'!D51</f>
        <v>-3.3882749999999997</v>
      </c>
      <c r="E107" s="203">
        <f>'CF (Funds)'!E51</f>
        <v>0</v>
      </c>
      <c r="F107" s="203"/>
      <c r="G107" s="203">
        <f t="shared" ref="G107" si="23">SUM(D107:F107)</f>
        <v>-3.3882749999999997</v>
      </c>
      <c r="H107" s="201" t="s">
        <v>53</v>
      </c>
    </row>
    <row r="108" spans="2:8" x14ac:dyDescent="0.2">
      <c r="B108" s="196" t="s">
        <v>48</v>
      </c>
      <c r="C108" s="301">
        <f t="shared" ref="C108:C137" si="24">$C$4</f>
        <v>45322</v>
      </c>
      <c r="D108" s="199"/>
      <c r="E108" s="199"/>
      <c r="F108" s="199">
        <f>VLOOKUP(B108,NAV!$B$9:$E$45,4,0)</f>
        <v>0</v>
      </c>
      <c r="G108" s="558">
        <f t="shared" ref="G108:G125" si="25">SUM(D108:F108)</f>
        <v>0</v>
      </c>
      <c r="H108" s="197" t="s">
        <v>277</v>
      </c>
    </row>
    <row r="109" spans="2:8" x14ac:dyDescent="0.2">
      <c r="B109" s="196" t="s">
        <v>0</v>
      </c>
      <c r="C109" s="301">
        <f t="shared" si="24"/>
        <v>45322</v>
      </c>
      <c r="D109" s="199"/>
      <c r="E109" s="199"/>
      <c r="F109" s="199">
        <f>VLOOKUP(B109,NAV!$B$9:$E$45,4,0)</f>
        <v>0</v>
      </c>
      <c r="G109" s="199">
        <f t="shared" si="25"/>
        <v>0</v>
      </c>
      <c r="H109" s="197" t="s">
        <v>277</v>
      </c>
    </row>
    <row r="110" spans="2:8" x14ac:dyDescent="0.2">
      <c r="B110" s="196" t="s">
        <v>39</v>
      </c>
      <c r="C110" s="301">
        <f t="shared" si="24"/>
        <v>45322</v>
      </c>
      <c r="D110" s="199"/>
      <c r="E110" s="199"/>
      <c r="F110" s="199">
        <f>VLOOKUP(B110,NAV!$B$9:$E$45,4,0)</f>
        <v>78.082229999999996</v>
      </c>
      <c r="G110" s="199">
        <f t="shared" si="25"/>
        <v>78.082229999999996</v>
      </c>
      <c r="H110" s="197" t="s">
        <v>277</v>
      </c>
    </row>
    <row r="111" spans="2:8" x14ac:dyDescent="0.2">
      <c r="B111" s="196" t="s">
        <v>40</v>
      </c>
      <c r="C111" s="301">
        <f t="shared" si="24"/>
        <v>45322</v>
      </c>
      <c r="D111" s="199"/>
      <c r="E111" s="199"/>
      <c r="F111" s="199">
        <f>VLOOKUP(B111,NAV!$B$9:$E$45,4,0)</f>
        <v>0</v>
      </c>
      <c r="G111" s="558">
        <f t="shared" si="25"/>
        <v>0</v>
      </c>
      <c r="H111" s="197" t="s">
        <v>277</v>
      </c>
    </row>
    <row r="112" spans="2:8" x14ac:dyDescent="0.2">
      <c r="B112" s="196" t="s">
        <v>38</v>
      </c>
      <c r="C112" s="301">
        <f t="shared" si="24"/>
        <v>45322</v>
      </c>
      <c r="D112" s="199"/>
      <c r="E112" s="199"/>
      <c r="F112" s="199">
        <f>VLOOKUP(B112,NAV!$B$9:$E$45,4,0)</f>
        <v>91.001540300000002</v>
      </c>
      <c r="G112" s="199">
        <f t="shared" si="25"/>
        <v>91.001540300000002</v>
      </c>
      <c r="H112" s="197" t="s">
        <v>277</v>
      </c>
    </row>
    <row r="113" spans="2:8" x14ac:dyDescent="0.2">
      <c r="B113" s="196" t="s">
        <v>89</v>
      </c>
      <c r="C113" s="301">
        <f t="shared" si="24"/>
        <v>45322</v>
      </c>
      <c r="D113" s="199"/>
      <c r="E113" s="199"/>
      <c r="F113" s="199">
        <f>VLOOKUP(B113,NAV!$B$9:$E$45,4,0)</f>
        <v>90.139174751950776</v>
      </c>
      <c r="G113" s="199">
        <f t="shared" si="25"/>
        <v>90.139174751950776</v>
      </c>
      <c r="H113" s="197" t="s">
        <v>277</v>
      </c>
    </row>
    <row r="114" spans="2:8" x14ac:dyDescent="0.2">
      <c r="B114" s="196" t="s">
        <v>9</v>
      </c>
      <c r="C114" s="301">
        <f t="shared" si="24"/>
        <v>45322</v>
      </c>
      <c r="D114" s="199"/>
      <c r="E114" s="199"/>
      <c r="F114" s="199">
        <f>VLOOKUP(B114,NAV!$B$9:$E$45,4,0)</f>
        <v>148.0498412781194</v>
      </c>
      <c r="G114" s="199">
        <f t="shared" si="25"/>
        <v>148.0498412781194</v>
      </c>
      <c r="H114" s="197" t="s">
        <v>277</v>
      </c>
    </row>
    <row r="115" spans="2:8" x14ac:dyDescent="0.2">
      <c r="B115" s="196" t="s">
        <v>18</v>
      </c>
      <c r="C115" s="301">
        <f t="shared" si="24"/>
        <v>45322</v>
      </c>
      <c r="D115" s="199"/>
      <c r="E115" s="199"/>
      <c r="F115" s="199">
        <f>VLOOKUP(B115,NAV!$B$9:$E$45,4,0)</f>
        <v>0</v>
      </c>
      <c r="G115" s="558">
        <f t="shared" si="25"/>
        <v>0</v>
      </c>
      <c r="H115" s="197" t="s">
        <v>277</v>
      </c>
    </row>
    <row r="116" spans="2:8" x14ac:dyDescent="0.2">
      <c r="B116" s="196" t="s">
        <v>41</v>
      </c>
      <c r="C116" s="301">
        <f t="shared" si="24"/>
        <v>45322</v>
      </c>
      <c r="D116" s="199"/>
      <c r="E116" s="199"/>
      <c r="F116" s="199">
        <f>VLOOKUP(B116,NAV!$B$9:$E$45,4,0)</f>
        <v>39.999983359999995</v>
      </c>
      <c r="G116" s="199">
        <f t="shared" si="25"/>
        <v>39.999983359999995</v>
      </c>
      <c r="H116" s="197" t="s">
        <v>277</v>
      </c>
    </row>
    <row r="117" spans="2:8" x14ac:dyDescent="0.2">
      <c r="B117" s="196" t="s">
        <v>42</v>
      </c>
      <c r="C117" s="301">
        <f t="shared" si="24"/>
        <v>45322</v>
      </c>
      <c r="D117" s="199"/>
      <c r="E117" s="199"/>
      <c r="F117" s="199">
        <f>VLOOKUP(B117,NAV!$B$9:$E$45,4,0)</f>
        <v>8</v>
      </c>
      <c r="G117" s="199">
        <f t="shared" si="25"/>
        <v>8</v>
      </c>
      <c r="H117" s="197" t="s">
        <v>277</v>
      </c>
    </row>
    <row r="118" spans="2:8" x14ac:dyDescent="0.2">
      <c r="B118" s="196" t="s">
        <v>43</v>
      </c>
      <c r="C118" s="301">
        <f t="shared" si="24"/>
        <v>45322</v>
      </c>
      <c r="D118" s="199"/>
      <c r="E118" s="199"/>
      <c r="F118" s="199">
        <f>VLOOKUP(B118,NAV!$B$9:$E$45,4,0)</f>
        <v>0</v>
      </c>
      <c r="G118" s="558">
        <f t="shared" si="25"/>
        <v>0</v>
      </c>
      <c r="H118" s="197" t="s">
        <v>277</v>
      </c>
    </row>
    <row r="119" spans="2:8" x14ac:dyDescent="0.2">
      <c r="B119" s="196" t="s">
        <v>71</v>
      </c>
      <c r="C119" s="301">
        <f t="shared" si="24"/>
        <v>45322</v>
      </c>
      <c r="D119" s="199"/>
      <c r="E119" s="199"/>
      <c r="F119" s="199">
        <f>VLOOKUP(B119,NAV!$B$9:$E$45,4,0)</f>
        <v>0</v>
      </c>
      <c r="G119" s="558">
        <f t="shared" si="25"/>
        <v>0</v>
      </c>
      <c r="H119" s="197" t="s">
        <v>277</v>
      </c>
    </row>
    <row r="120" spans="2:8" x14ac:dyDescent="0.2">
      <c r="B120" s="196" t="s">
        <v>19</v>
      </c>
      <c r="C120" s="301">
        <f t="shared" si="24"/>
        <v>45322</v>
      </c>
      <c r="D120" s="199"/>
      <c r="E120" s="199"/>
      <c r="F120" s="199">
        <f>VLOOKUP(B120,NAV!$B$9:$E$45,4,0)</f>
        <v>300</v>
      </c>
      <c r="G120" s="199">
        <f t="shared" si="25"/>
        <v>300</v>
      </c>
      <c r="H120" s="197" t="s">
        <v>277</v>
      </c>
    </row>
    <row r="121" spans="2:8" x14ac:dyDescent="0.2">
      <c r="B121" s="196" t="s">
        <v>90</v>
      </c>
      <c r="C121" s="301">
        <f t="shared" si="24"/>
        <v>45322</v>
      </c>
      <c r="D121" s="199"/>
      <c r="E121" s="199"/>
      <c r="F121" s="199">
        <f>VLOOKUP(B121,NAV!$B$9:$E$45,4,0)</f>
        <v>2.1837153699999998</v>
      </c>
      <c r="G121" s="199">
        <f t="shared" si="25"/>
        <v>2.1837153699999998</v>
      </c>
      <c r="H121" s="197" t="s">
        <v>277</v>
      </c>
    </row>
    <row r="122" spans="2:8" x14ac:dyDescent="0.2">
      <c r="B122" s="196" t="s">
        <v>35</v>
      </c>
      <c r="C122" s="301">
        <f t="shared" si="24"/>
        <v>45322</v>
      </c>
      <c r="D122" s="199"/>
      <c r="E122" s="199"/>
      <c r="F122" s="199">
        <f>VLOOKUP(B122,NAV!$B$9:$E$45,4,0)</f>
        <v>0</v>
      </c>
      <c r="G122" s="558">
        <f t="shared" si="25"/>
        <v>0</v>
      </c>
      <c r="H122" s="197" t="s">
        <v>277</v>
      </c>
    </row>
    <row r="123" spans="2:8" x14ac:dyDescent="0.2">
      <c r="B123" s="30" t="s">
        <v>271</v>
      </c>
      <c r="C123" s="301">
        <f t="shared" si="24"/>
        <v>45322</v>
      </c>
      <c r="D123" s="199"/>
      <c r="E123" s="199"/>
      <c r="F123" s="199">
        <f>VLOOKUP(B123,NAV!$B$9:$E$45,4,0)</f>
        <v>11.5</v>
      </c>
      <c r="G123" s="199">
        <f t="shared" si="25"/>
        <v>11.5</v>
      </c>
      <c r="H123" s="197" t="s">
        <v>277</v>
      </c>
    </row>
    <row r="124" spans="2:8" x14ac:dyDescent="0.2">
      <c r="B124" s="30" t="s">
        <v>306</v>
      </c>
      <c r="C124" s="301">
        <f t="shared" si="24"/>
        <v>45322</v>
      </c>
      <c r="D124" s="199"/>
      <c r="E124" s="199"/>
      <c r="F124" s="199">
        <f>VLOOKUP(B124,NAV!$B$9:$E$45,4,0)</f>
        <v>20.888121539999997</v>
      </c>
      <c r="G124" s="199">
        <f t="shared" si="25"/>
        <v>20.888121539999997</v>
      </c>
      <c r="H124" s="197" t="s">
        <v>277</v>
      </c>
    </row>
    <row r="125" spans="2:8" x14ac:dyDescent="0.2">
      <c r="B125" s="30" t="s">
        <v>391</v>
      </c>
      <c r="C125" s="301">
        <f t="shared" si="24"/>
        <v>45322</v>
      </c>
      <c r="D125" s="199"/>
      <c r="E125" s="199"/>
      <c r="F125" s="199">
        <f ca="1">VLOOKUP(B125,NAV!$B$9:$E$45,4,0)</f>
        <v>14.999998939999999</v>
      </c>
      <c r="G125" s="199">
        <f t="shared" ca="1" si="25"/>
        <v>14.999998939999999</v>
      </c>
      <c r="H125" s="197" t="s">
        <v>277</v>
      </c>
    </row>
    <row r="126" spans="2:8" x14ac:dyDescent="0.2">
      <c r="B126" s="30" t="s">
        <v>461</v>
      </c>
      <c r="C126" s="301">
        <f t="shared" si="24"/>
        <v>45322</v>
      </c>
      <c r="D126" s="199"/>
      <c r="E126" s="199"/>
      <c r="F126" s="199">
        <f ca="1">VLOOKUP(B126,NAV!$B$9:$E$45,4,0)</f>
        <v>15</v>
      </c>
      <c r="G126" s="199">
        <f t="shared" ref="G126" ca="1" si="26">SUM(D126:F126)</f>
        <v>15</v>
      </c>
      <c r="H126" s="197" t="s">
        <v>277</v>
      </c>
    </row>
    <row r="127" spans="2:8" x14ac:dyDescent="0.2">
      <c r="B127" s="30" t="s">
        <v>473</v>
      </c>
      <c r="C127" s="301">
        <f t="shared" si="24"/>
        <v>45322</v>
      </c>
      <c r="D127" s="199"/>
      <c r="E127" s="199"/>
      <c r="F127" s="199">
        <f ca="1">VLOOKUP(B127,NAV!$B$9:$E$45,4,0)</f>
        <v>6</v>
      </c>
      <c r="G127" s="199">
        <f t="shared" ref="G127" ca="1" si="27">SUM(D127:F127)</f>
        <v>6</v>
      </c>
      <c r="H127" s="197" t="s">
        <v>277</v>
      </c>
    </row>
    <row r="128" spans="2:8" x14ac:dyDescent="0.2">
      <c r="B128" s="196" t="s">
        <v>49</v>
      </c>
      <c r="C128" s="301">
        <f t="shared" si="24"/>
        <v>45322</v>
      </c>
      <c r="D128" s="199"/>
      <c r="E128" s="199"/>
      <c r="F128" s="199">
        <f>VLOOKUP(B128,NAV!$B$9:$E$45,4,0)</f>
        <v>0</v>
      </c>
      <c r="G128" s="199">
        <f t="shared" ref="G128" si="28">SUM(D128:F128)</f>
        <v>0</v>
      </c>
      <c r="H128" s="197" t="s">
        <v>277</v>
      </c>
    </row>
    <row r="129" spans="2:8" x14ac:dyDescent="0.2">
      <c r="B129" s="196" t="s">
        <v>273</v>
      </c>
      <c r="C129" s="301">
        <f t="shared" si="24"/>
        <v>45322</v>
      </c>
      <c r="D129" s="199"/>
      <c r="E129" s="199"/>
      <c r="F129" s="199">
        <f>VLOOKUP(B129,NAV!$B$9:$E$45,4,0)</f>
        <v>0</v>
      </c>
      <c r="G129" s="199">
        <f t="shared" ref="G129:G137" si="29">SUM(D129:F129)</f>
        <v>0</v>
      </c>
      <c r="H129" s="197" t="s">
        <v>277</v>
      </c>
    </row>
    <row r="130" spans="2:8" x14ac:dyDescent="0.2">
      <c r="B130" s="196" t="s">
        <v>265</v>
      </c>
      <c r="C130" s="301">
        <f t="shared" si="24"/>
        <v>45322</v>
      </c>
      <c r="D130" s="199"/>
      <c r="E130" s="199"/>
      <c r="F130" s="199">
        <f>VLOOKUP(B130,NAV!$B$9:$E$45,4,0)</f>
        <v>0</v>
      </c>
      <c r="G130" s="558">
        <f t="shared" si="29"/>
        <v>0</v>
      </c>
      <c r="H130" s="197" t="s">
        <v>277</v>
      </c>
    </row>
    <row r="131" spans="2:8" x14ac:dyDescent="0.2">
      <c r="B131" s="196" t="s">
        <v>522</v>
      </c>
      <c r="C131" s="301">
        <f t="shared" si="24"/>
        <v>45322</v>
      </c>
      <c r="D131" s="199"/>
      <c r="E131" s="199"/>
      <c r="F131" s="199">
        <f>VLOOKUP(B131,NAV!$B$9:$E$45,4,0)</f>
        <v>2.75</v>
      </c>
      <c r="G131" s="558">
        <f t="shared" ref="G131" si="30">SUM(D131:F131)</f>
        <v>2.75</v>
      </c>
      <c r="H131" s="197" t="s">
        <v>277</v>
      </c>
    </row>
    <row r="132" spans="2:8" x14ac:dyDescent="0.2">
      <c r="B132" s="196"/>
      <c r="C132" s="301"/>
      <c r="D132" s="199"/>
      <c r="E132" s="199"/>
      <c r="F132" s="199"/>
      <c r="G132" s="558"/>
      <c r="H132" s="197"/>
    </row>
    <row r="133" spans="2:8" x14ac:dyDescent="0.2">
      <c r="B133" s="196" t="s">
        <v>125</v>
      </c>
      <c r="C133" s="301">
        <f t="shared" si="24"/>
        <v>45322</v>
      </c>
      <c r="D133" s="199"/>
      <c r="E133" s="199"/>
      <c r="F133" s="199">
        <f>VLOOKUP(B133,NAV!$B$9:$E$45,4,0)</f>
        <v>13.277944663100001</v>
      </c>
      <c r="G133" s="199">
        <f t="shared" si="29"/>
        <v>13.277944663100001</v>
      </c>
      <c r="H133" s="197" t="s">
        <v>277</v>
      </c>
    </row>
    <row r="134" spans="2:8" x14ac:dyDescent="0.2">
      <c r="B134" s="196" t="s">
        <v>390</v>
      </c>
      <c r="C134" s="301">
        <f t="shared" si="24"/>
        <v>45322</v>
      </c>
      <c r="D134" s="199"/>
      <c r="E134" s="199"/>
      <c r="F134" s="199">
        <f ca="1">VLOOKUP(B134,NAV!$B$9:$E$45,4,0)</f>
        <v>2.5684255069948656</v>
      </c>
      <c r="G134" s="199">
        <f t="shared" ca="1" si="29"/>
        <v>2.5684255069948656</v>
      </c>
      <c r="H134" s="197" t="s">
        <v>277</v>
      </c>
    </row>
    <row r="135" spans="2:8" x14ac:dyDescent="0.2">
      <c r="B135" s="196" t="s">
        <v>1</v>
      </c>
      <c r="C135" s="301">
        <f t="shared" si="24"/>
        <v>45322</v>
      </c>
      <c r="D135" s="199"/>
      <c r="E135" s="199"/>
      <c r="F135" s="199">
        <f>VLOOKUP(B135,NAV!$B$9:$E$45,4,0)</f>
        <v>74.725861000000009</v>
      </c>
      <c r="G135" s="199">
        <f t="shared" si="29"/>
        <v>74.725861000000009</v>
      </c>
      <c r="H135" s="197" t="s">
        <v>277</v>
      </c>
    </row>
    <row r="136" spans="2:8" x14ac:dyDescent="0.2">
      <c r="B136" s="196" t="s">
        <v>12</v>
      </c>
      <c r="C136" s="301">
        <f t="shared" si="24"/>
        <v>45322</v>
      </c>
      <c r="D136" s="199"/>
      <c r="E136" s="199"/>
      <c r="F136" s="199">
        <f>VLOOKUP(B136,NAV!$B$9:$E$45,4,0)</f>
        <v>23.670303000000001</v>
      </c>
      <c r="G136" s="558">
        <f t="shared" si="29"/>
        <v>23.670303000000001</v>
      </c>
      <c r="H136" s="197" t="s">
        <v>277</v>
      </c>
    </row>
    <row r="137" spans="2:8" x14ac:dyDescent="0.2">
      <c r="B137" s="196" t="s">
        <v>176</v>
      </c>
      <c r="C137" s="301">
        <f t="shared" si="24"/>
        <v>45322</v>
      </c>
      <c r="D137" s="199"/>
      <c r="E137" s="199"/>
      <c r="F137" s="199">
        <f>VLOOKUP(B137,NAV!$B$9:$E$45,4,0)</f>
        <v>12.310425</v>
      </c>
      <c r="G137" s="199">
        <f t="shared" si="29"/>
        <v>12.310425</v>
      </c>
      <c r="H137" s="197" t="s">
        <v>277</v>
      </c>
    </row>
    <row r="138" spans="2:8" x14ac:dyDescent="0.2">
      <c r="C138" s="302"/>
    </row>
    <row r="139" spans="2:8" x14ac:dyDescent="0.2">
      <c r="C139" s="302"/>
    </row>
    <row r="140" spans="2:8" x14ac:dyDescent="0.2">
      <c r="C140" s="302"/>
    </row>
    <row r="141" spans="2:8" x14ac:dyDescent="0.2">
      <c r="C141" s="302"/>
    </row>
    <row r="142" spans="2:8" x14ac:dyDescent="0.2">
      <c r="C142" s="302"/>
    </row>
    <row r="143" spans="2:8" x14ac:dyDescent="0.2">
      <c r="C143" s="302"/>
    </row>
    <row r="144" spans="2:8" x14ac:dyDescent="0.2">
      <c r="C144" s="302"/>
    </row>
    <row r="145" spans="3:3" x14ac:dyDescent="0.2">
      <c r="C145" s="302"/>
    </row>
    <row r="146" spans="3:3" x14ac:dyDescent="0.2">
      <c r="C146" s="302"/>
    </row>
    <row r="147" spans="3:3" x14ac:dyDescent="0.2">
      <c r="C147" s="302"/>
    </row>
    <row r="148" spans="3:3" x14ac:dyDescent="0.2">
      <c r="C148" s="302"/>
    </row>
    <row r="149" spans="3:3" x14ac:dyDescent="0.2">
      <c r="C149" s="302"/>
    </row>
    <row r="150" spans="3:3" x14ac:dyDescent="0.2">
      <c r="C150" s="302"/>
    </row>
    <row r="151" spans="3:3" x14ac:dyDescent="0.2">
      <c r="C151" s="302"/>
    </row>
    <row r="152" spans="3:3" x14ac:dyDescent="0.2">
      <c r="C152" s="302"/>
    </row>
    <row r="153" spans="3:3" x14ac:dyDescent="0.2">
      <c r="C153" s="302"/>
    </row>
    <row r="154" spans="3:3" x14ac:dyDescent="0.2">
      <c r="C154" s="302"/>
    </row>
    <row r="155" spans="3:3" x14ac:dyDescent="0.2">
      <c r="C155" s="302"/>
    </row>
    <row r="156" spans="3:3" x14ac:dyDescent="0.2">
      <c r="C156" s="302"/>
    </row>
    <row r="157" spans="3:3" x14ac:dyDescent="0.2">
      <c r="C157" s="302"/>
    </row>
    <row r="158" spans="3:3" x14ac:dyDescent="0.2">
      <c r="C158" s="302"/>
    </row>
    <row r="159" spans="3:3" x14ac:dyDescent="0.2">
      <c r="C159" s="302"/>
    </row>
    <row r="160" spans="3:3" x14ac:dyDescent="0.2">
      <c r="C160" s="302"/>
    </row>
    <row r="161" spans="3:3" x14ac:dyDescent="0.2">
      <c r="C161" s="302"/>
    </row>
    <row r="162" spans="3:3" x14ac:dyDescent="0.2">
      <c r="C162" s="302"/>
    </row>
    <row r="163" spans="3:3" x14ac:dyDescent="0.2">
      <c r="C163" s="302"/>
    </row>
    <row r="164" spans="3:3" x14ac:dyDescent="0.2">
      <c r="C164" s="302"/>
    </row>
    <row r="165" spans="3:3" x14ac:dyDescent="0.2">
      <c r="C165" s="302"/>
    </row>
    <row r="166" spans="3:3" x14ac:dyDescent="0.2">
      <c r="C166" s="302"/>
    </row>
    <row r="167" spans="3:3" x14ac:dyDescent="0.2">
      <c r="C167" s="302"/>
    </row>
    <row r="168" spans="3:3" x14ac:dyDescent="0.2">
      <c r="C168" s="302"/>
    </row>
    <row r="169" spans="3:3" x14ac:dyDescent="0.2">
      <c r="C169" s="302"/>
    </row>
    <row r="170" spans="3:3" x14ac:dyDescent="0.2">
      <c r="C170" s="302"/>
    </row>
    <row r="171" spans="3:3" x14ac:dyDescent="0.2">
      <c r="C171" s="302"/>
    </row>
    <row r="172" spans="3:3" x14ac:dyDescent="0.2">
      <c r="C172" s="302"/>
    </row>
    <row r="173" spans="3:3" x14ac:dyDescent="0.2">
      <c r="C173" s="302"/>
    </row>
    <row r="174" spans="3:3" x14ac:dyDescent="0.2">
      <c r="C174" s="302"/>
    </row>
    <row r="175" spans="3:3" x14ac:dyDescent="0.2">
      <c r="C175" s="302"/>
    </row>
    <row r="176" spans="3:3" x14ac:dyDescent="0.2">
      <c r="C176" s="302"/>
    </row>
    <row r="177" spans="3:3" x14ac:dyDescent="0.2">
      <c r="C177" s="302"/>
    </row>
    <row r="178" spans="3:3" x14ac:dyDescent="0.2">
      <c r="C178" s="302"/>
    </row>
    <row r="179" spans="3:3" x14ac:dyDescent="0.2">
      <c r="C179" s="302"/>
    </row>
    <row r="180" spans="3:3" x14ac:dyDescent="0.2">
      <c r="C180" s="302"/>
    </row>
    <row r="181" spans="3:3" x14ac:dyDescent="0.2">
      <c r="C181" s="302"/>
    </row>
    <row r="182" spans="3:3" x14ac:dyDescent="0.2">
      <c r="C182" s="302"/>
    </row>
    <row r="183" spans="3:3" x14ac:dyDescent="0.2">
      <c r="C183" s="302"/>
    </row>
    <row r="184" spans="3:3" x14ac:dyDescent="0.2">
      <c r="C184" s="302"/>
    </row>
    <row r="185" spans="3:3" x14ac:dyDescent="0.2">
      <c r="C185" s="302"/>
    </row>
    <row r="186" spans="3:3" x14ac:dyDescent="0.2">
      <c r="C186" s="302"/>
    </row>
    <row r="187" spans="3:3" x14ac:dyDescent="0.2">
      <c r="C187" s="302"/>
    </row>
    <row r="188" spans="3:3" x14ac:dyDescent="0.2">
      <c r="C188" s="302"/>
    </row>
    <row r="189" spans="3:3" x14ac:dyDescent="0.2">
      <c r="C189" s="302"/>
    </row>
    <row r="190" spans="3:3" x14ac:dyDescent="0.2">
      <c r="C190" s="302"/>
    </row>
    <row r="191" spans="3:3" x14ac:dyDescent="0.2">
      <c r="C191" s="302"/>
    </row>
    <row r="192" spans="3:3" x14ac:dyDescent="0.2">
      <c r="C192" s="302"/>
    </row>
    <row r="193" spans="3:3" x14ac:dyDescent="0.2">
      <c r="C193" s="302"/>
    </row>
    <row r="194" spans="3:3" x14ac:dyDescent="0.2">
      <c r="C194" s="302"/>
    </row>
    <row r="195" spans="3:3" x14ac:dyDescent="0.2">
      <c r="C195" s="30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G8:G34"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27"/>
  <sheetViews>
    <sheetView zoomScale="85" zoomScaleNormal="85" workbookViewId="0">
      <selection activeCell="Q9" sqref="Q9"/>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26" customFormat="1" ht="43.5" customHeight="1" x14ac:dyDescent="0.45">
      <c r="B2" s="221" t="s">
        <v>303</v>
      </c>
      <c r="C2" s="316"/>
      <c r="D2" s="316"/>
      <c r="E2" s="222"/>
      <c r="F2" s="222"/>
      <c r="G2" s="226" t="s">
        <v>360</v>
      </c>
      <c r="H2" s="226" t="b">
        <f>H5=H4</f>
        <v>1</v>
      </c>
      <c r="I2" s="226"/>
      <c r="J2" s="226"/>
      <c r="K2" s="27"/>
      <c r="L2" s="127"/>
      <c r="M2" s="27"/>
    </row>
    <row r="3" spans="2:18" ht="12.75" thickBot="1" x14ac:dyDescent="0.25"/>
    <row r="4" spans="2:18" s="81" customFormat="1" ht="13.5" thickBot="1" x14ac:dyDescent="0.25">
      <c r="B4" s="170" t="s">
        <v>174</v>
      </c>
      <c r="C4" s="317"/>
      <c r="D4" s="317"/>
      <c r="E4" s="184">
        <f>D!D2</f>
        <v>45322</v>
      </c>
      <c r="H4" s="81">
        <f>COUNTIF('CF (Equity, Debt)'!$B$4:$B$66,MID('CF (Equity, Debt)'!$B$4:$B$66,1,4))</f>
        <v>35</v>
      </c>
    </row>
    <row r="5" spans="2:18" ht="12.75" x14ac:dyDescent="0.2">
      <c r="G5" s="81"/>
      <c r="H5" s="81">
        <f>COUNTIFS('CF (Equity, Debt)'!B4:B56,"Mozn")+COUNTIFS('CF (Funds)'!A3:A51,"Mozn")</f>
        <v>35</v>
      </c>
      <c r="K5" s="29" t="b">
        <f ca="1">K9='S | 02'!L31</f>
        <v>1</v>
      </c>
      <c r="M5" s="29" t="b">
        <f ca="1">M9='S | 02'!M31</f>
        <v>1</v>
      </c>
      <c r="N5" s="29" t="b">
        <f ca="1">N9='S | 02'!N31</f>
        <v>1</v>
      </c>
    </row>
    <row r="7" spans="2:18" ht="12.75" x14ac:dyDescent="0.2">
      <c r="J7" s="219"/>
      <c r="K7" s="72" t="s">
        <v>2</v>
      </c>
      <c r="L7" s="72" t="s">
        <v>51</v>
      </c>
      <c r="M7" s="72" t="s">
        <v>33</v>
      </c>
      <c r="N7" s="72" t="s">
        <v>162</v>
      </c>
      <c r="O7" s="72" t="s">
        <v>24</v>
      </c>
      <c r="P7" s="72" t="s">
        <v>34</v>
      </c>
      <c r="Q7" s="72" t="s">
        <v>175</v>
      </c>
      <c r="R7" s="72" t="s">
        <v>98</v>
      </c>
    </row>
    <row r="8" spans="2:18" ht="12.75" x14ac:dyDescent="0.2">
      <c r="J8" s="161"/>
      <c r="K8" s="81"/>
      <c r="L8" s="81"/>
      <c r="M8" s="81"/>
      <c r="N8" s="81"/>
      <c r="O8" s="165"/>
      <c r="P8" s="81"/>
      <c r="Q8" s="81"/>
      <c r="R8" s="81"/>
    </row>
    <row r="9" spans="2:18" ht="15" x14ac:dyDescent="0.25">
      <c r="K9" s="318">
        <f>-SUM(F12:F73)</f>
        <v>1004.5175403728437</v>
      </c>
      <c r="L9" s="318"/>
      <c r="M9" s="44">
        <f>SUM(G12:G73)</f>
        <v>440.91297717999998</v>
      </c>
      <c r="N9" s="318">
        <f ca="1">SUM(H12:H73)</f>
        <v>526.41089017007016</v>
      </c>
      <c r="O9" s="216">
        <f ca="1">XIRR(I12:I73,E12:E73)</f>
        <v>-1.4740654081106183E-2</v>
      </c>
      <c r="P9" s="217">
        <f ca="1">(M9+N9)/K9</f>
        <v>0.96297359525552095</v>
      </c>
      <c r="Q9" s="217">
        <f ca="1">N9/K9</f>
        <v>0.52404350249044318</v>
      </c>
      <c r="R9" s="217">
        <f>M9/K9</f>
        <v>0.43893009276507772</v>
      </c>
    </row>
    <row r="10" spans="2:18" ht="15" x14ac:dyDescent="0.25">
      <c r="B10" s="315" t="s">
        <v>96</v>
      </c>
      <c r="C10" s="42"/>
      <c r="D10" s="42"/>
      <c r="E10" s="42"/>
      <c r="F10" s="42"/>
      <c r="G10" s="42"/>
      <c r="H10" s="42"/>
      <c r="I10" s="42"/>
      <c r="K10" s="44"/>
      <c r="L10" s="34"/>
      <c r="M10" s="44"/>
      <c r="N10" s="44"/>
      <c r="O10" s="216"/>
      <c r="P10" s="217"/>
      <c r="Q10" s="217"/>
      <c r="R10" s="217"/>
    </row>
    <row r="11" spans="2:18" x14ac:dyDescent="0.2">
      <c r="B11" s="312" t="s">
        <v>5</v>
      </c>
      <c r="C11" s="314" t="s">
        <v>160</v>
      </c>
      <c r="D11" s="314" t="s">
        <v>122</v>
      </c>
      <c r="E11" s="313" t="s">
        <v>6</v>
      </c>
      <c r="F11" s="313" t="s">
        <v>97</v>
      </c>
      <c r="G11" s="313" t="s">
        <v>33</v>
      </c>
      <c r="H11" s="314" t="s">
        <v>95</v>
      </c>
      <c r="I11" s="314" t="s">
        <v>164</v>
      </c>
    </row>
    <row r="12" spans="2:18" x14ac:dyDescent="0.2">
      <c r="B12" s="30" t="str">
        <f>'CF (Equity, Debt)'!C4</f>
        <v>Jollychic Holding Limited</v>
      </c>
      <c r="C12" s="35" t="str">
        <f>VLOOKUP(B12,'S | 02'!$C$6:$J$41,2,0)</f>
        <v>Direct Investment</v>
      </c>
      <c r="D12" s="35" t="str">
        <f>VLOOKUP(B12,'S | 02'!$C$6:$J$41,5,0)</f>
        <v>Mozn</v>
      </c>
      <c r="E12" s="31">
        <f>'CF (Equity, Debt)'!D4</f>
        <v>43470</v>
      </c>
      <c r="F12" s="38">
        <f>'CF (Equity, Debt)'!E4</f>
        <v>-30</v>
      </c>
      <c r="G12" s="38"/>
      <c r="H12" s="38"/>
      <c r="I12" s="38">
        <f>SUM(F12:H12)</f>
        <v>-30</v>
      </c>
      <c r="K12" s="29" t="s">
        <v>2</v>
      </c>
      <c r="L12" s="322">
        <f>-SUM(F12:F85)</f>
        <v>1004.5175403728437</v>
      </c>
      <c r="M12" s="29" t="b">
        <f ca="1">'S | 02'!L31=L12</f>
        <v>1</v>
      </c>
    </row>
    <row r="13" spans="2:18" ht="12.75" x14ac:dyDescent="0.2">
      <c r="B13" s="30" t="str">
        <f>'CF (Equity, Debt)'!C5</f>
        <v>Jollychic Holding Limited</v>
      </c>
      <c r="C13" s="35" t="str">
        <f>VLOOKUP(B13,'S | 02'!$C$6:$J$41,2,0)</f>
        <v>Direct Investment</v>
      </c>
      <c r="D13" s="35" t="str">
        <f>VLOOKUP(B13,'S | 02'!$C$6:$J$41,5,0)</f>
        <v>Mozn</v>
      </c>
      <c r="E13" s="31">
        <f>'CF (Equity, Debt)'!D5</f>
        <v>43724</v>
      </c>
      <c r="F13" s="38">
        <f>'CF (Equity, Debt)'!E5</f>
        <v>-20</v>
      </c>
      <c r="G13" s="38"/>
      <c r="H13" s="38"/>
      <c r="I13" s="38">
        <f t="shared" ref="I13:I28" si="0">SUM(F13:H13)</f>
        <v>-20</v>
      </c>
      <c r="K13" s="29" t="s">
        <v>277</v>
      </c>
      <c r="L13" s="322">
        <f ca="1">SUM(H12:H85)</f>
        <v>526.41089017007016</v>
      </c>
      <c r="M13" s="162"/>
      <c r="N13" s="162"/>
      <c r="O13" s="185"/>
      <c r="P13" s="176"/>
      <c r="Q13" s="176"/>
      <c r="R13" s="176"/>
    </row>
    <row r="14" spans="2:18" x14ac:dyDescent="0.2">
      <c r="B14" s="30" t="str">
        <f>'CF (Equity, Debt)'!C6</f>
        <v>Jollychic Holding Limited</v>
      </c>
      <c r="C14" s="35" t="str">
        <f>VLOOKUP(B14,'S | 02'!$C$6:$J$41,2,0)</f>
        <v>Direct Investment</v>
      </c>
      <c r="D14" s="35" t="str">
        <f>VLOOKUP(B14,'S | 02'!$C$6:$J$41,5,0)</f>
        <v>Mozn</v>
      </c>
      <c r="E14" s="31">
        <f>'CF (Equity, Debt)'!D6</f>
        <v>43724</v>
      </c>
      <c r="F14" s="38">
        <f>'CF (Equity, Debt)'!E6</f>
        <v>-15</v>
      </c>
      <c r="G14" s="38"/>
      <c r="H14" s="38"/>
      <c r="I14" s="38">
        <f t="shared" si="0"/>
        <v>-15</v>
      </c>
      <c r="K14" s="29" t="s">
        <v>33</v>
      </c>
      <c r="L14" s="321">
        <f>SUM(G12:G85)</f>
        <v>440.91297717999998</v>
      </c>
    </row>
    <row r="15" spans="2:18" x14ac:dyDescent="0.2">
      <c r="B15" s="32" t="str">
        <f>'CF (Equity, Debt)'!C7</f>
        <v>Mena Mobile Inc</v>
      </c>
      <c r="C15" s="36" t="str">
        <f>VLOOKUP(B15,'S | 02'!$C$6:$J$41,2,0)</f>
        <v>Direct Investment</v>
      </c>
      <c r="D15" s="36" t="str">
        <f>VLOOKUP(B15,'S | 02'!$C$6:$J$41,5,0)</f>
        <v>Mozn</v>
      </c>
      <c r="E15" s="33">
        <f>'CF (Equity, Debt)'!D7</f>
        <v>43563</v>
      </c>
      <c r="F15" s="39">
        <f>'CF (Equity, Debt)'!E7</f>
        <v>-8</v>
      </c>
      <c r="G15" s="39"/>
      <c r="H15" s="39"/>
      <c r="I15" s="39">
        <f t="shared" si="0"/>
        <v>-8</v>
      </c>
      <c r="K15" s="29" t="s">
        <v>278</v>
      </c>
      <c r="L15" s="321">
        <f ca="1">L14+L13-L12</f>
        <v>-37.19367302277351</v>
      </c>
    </row>
    <row r="16" spans="2:18" x14ac:dyDescent="0.2">
      <c r="B16" s="30" t="str">
        <f>'CF (Equity, Debt)'!C8</f>
        <v>Flyr Inc</v>
      </c>
      <c r="C16" s="35" t="str">
        <f>VLOOKUP(B16,'S | 02'!$C$6:$J$41,2,0)</f>
        <v>Direct Investment</v>
      </c>
      <c r="D16" s="35" t="str">
        <f>VLOOKUP(B16,'S | 02'!$C$6:$J$41,5,0)</f>
        <v>Mozn</v>
      </c>
      <c r="E16" s="31">
        <f>'CF (Equity, Debt)'!D8</f>
        <v>43570</v>
      </c>
      <c r="F16" s="38">
        <f>'CF (Equity, Debt)'!E8</f>
        <v>-4.9999980900000001</v>
      </c>
      <c r="G16" s="38"/>
      <c r="H16" s="38"/>
      <c r="I16" s="38">
        <f t="shared" si="0"/>
        <v>-4.9999980900000001</v>
      </c>
      <c r="K16" s="29" t="s">
        <v>24</v>
      </c>
      <c r="L16" s="320">
        <f ca="1">O9</f>
        <v>-1.4740654081106183E-2</v>
      </c>
    </row>
    <row r="17" spans="2:9" x14ac:dyDescent="0.2">
      <c r="B17" s="30" t="str">
        <f>'CF (Equity, Debt)'!C9</f>
        <v>Flyr Inc</v>
      </c>
      <c r="C17" s="35" t="str">
        <f>VLOOKUP(B17,'S | 02'!$C$6:$J$41,2,0)</f>
        <v>Direct Investment</v>
      </c>
      <c r="D17" s="35" t="str">
        <f>VLOOKUP(B17,'S | 02'!$C$6:$J$41,5,0)</f>
        <v>Mozn</v>
      </c>
      <c r="E17" s="31">
        <f>'CF (Equity, Debt)'!D9</f>
        <v>43915</v>
      </c>
      <c r="F17" s="38">
        <f>'CF (Equity, Debt)'!E9</f>
        <v>-5.0000019099999999</v>
      </c>
      <c r="G17" s="38"/>
      <c r="H17" s="38"/>
      <c r="I17" s="38">
        <f t="shared" si="0"/>
        <v>-5.0000019099999999</v>
      </c>
    </row>
    <row r="18" spans="2:9" x14ac:dyDescent="0.2">
      <c r="B18" s="32" t="str">
        <f>'CF (Equity, Debt)'!C10</f>
        <v xml:space="preserve">Esyasoft Holding </v>
      </c>
      <c r="C18" s="36" t="str">
        <f>VLOOKUP(B18,'S | 02'!$C$6:$J$41,2,0)</f>
        <v>Direct Investment</v>
      </c>
      <c r="D18" s="36" t="str">
        <f>VLOOKUP(B18,'S | 02'!$C$6:$J$41,5,0)</f>
        <v>Mozn</v>
      </c>
      <c r="E18" s="33">
        <f>'CF (Equity, Debt)'!D10</f>
        <v>43870</v>
      </c>
      <c r="F18" s="39">
        <f>'CF (Equity, Debt)'!E10</f>
        <v>-2.5</v>
      </c>
      <c r="G18" s="39"/>
      <c r="H18" s="39"/>
      <c r="I18" s="39">
        <f t="shared" si="0"/>
        <v>-2.5</v>
      </c>
    </row>
    <row r="19" spans="2:9" x14ac:dyDescent="0.2">
      <c r="B19" s="30" t="str">
        <f>'CF (Equity, Debt)'!C11</f>
        <v>Beyond Limits</v>
      </c>
      <c r="C19" s="35" t="str">
        <f>VLOOKUP(B19,'S | 02'!$C$6:$J$41,2,0)</f>
        <v>Direct Investment</v>
      </c>
      <c r="D19" s="35" t="str">
        <f>VLOOKUP(B19,'S | 02'!$C$6:$J$41,5,0)</f>
        <v>Mozn</v>
      </c>
      <c r="E19" s="31">
        <f>'CF (Equity, Debt)'!D11</f>
        <v>43879</v>
      </c>
      <c r="F19" s="38">
        <f>'CF (Equity, Debt)'!E11</f>
        <v>-20</v>
      </c>
      <c r="G19" s="38"/>
      <c r="H19" s="38"/>
      <c r="I19" s="38">
        <f t="shared" si="0"/>
        <v>-20</v>
      </c>
    </row>
    <row r="20" spans="2:9" x14ac:dyDescent="0.2">
      <c r="B20" s="30" t="str">
        <f>'CF (Equity, Debt)'!C12</f>
        <v>Beyond Limits</v>
      </c>
      <c r="C20" s="35" t="str">
        <f>VLOOKUP(B20,'S | 02'!$C$6:$J$41,2,0)</f>
        <v>Direct Investment</v>
      </c>
      <c r="D20" s="35" t="str">
        <f>VLOOKUP(B20,'S | 02'!$C$6:$J$41,5,0)</f>
        <v>Mozn</v>
      </c>
      <c r="E20" s="31">
        <f>'CF (Equity, Debt)'!D12</f>
        <v>43921</v>
      </c>
      <c r="F20" s="38">
        <f>'CF (Equity, Debt)'!E12</f>
        <v>-30</v>
      </c>
      <c r="G20" s="38"/>
      <c r="H20" s="38"/>
      <c r="I20" s="38">
        <f t="shared" si="0"/>
        <v>-30</v>
      </c>
    </row>
    <row r="21" spans="2:9" x14ac:dyDescent="0.2">
      <c r="B21" s="30" t="str">
        <f>'CF (Equity, Debt)'!C13</f>
        <v>Beyond Limits</v>
      </c>
      <c r="C21" s="35" t="str">
        <f>VLOOKUP(B21,'S | 02'!$C$6:$J$41,2,0)</f>
        <v>Direct Investment</v>
      </c>
      <c r="D21" s="35" t="str">
        <f>VLOOKUP(B21,'S | 02'!$C$6:$J$41,5,0)</f>
        <v>Mozn</v>
      </c>
      <c r="E21" s="31">
        <f>'CF (Equity, Debt)'!D13</f>
        <v>43989</v>
      </c>
      <c r="F21" s="38">
        <f>'CF (Equity, Debt)'!E13</f>
        <v>-30</v>
      </c>
      <c r="G21" s="38"/>
      <c r="H21" s="38"/>
      <c r="I21" s="38">
        <f t="shared" si="0"/>
        <v>-30</v>
      </c>
    </row>
    <row r="22" spans="2:9" x14ac:dyDescent="0.2">
      <c r="B22" s="30" t="str">
        <f>'CF (Equity, Debt)'!C14</f>
        <v>Beyond Limits</v>
      </c>
      <c r="C22" s="35" t="str">
        <f>VLOOKUP(B22,'S | 02'!$C$6:$J$41,2,0)</f>
        <v>Direct Investment</v>
      </c>
      <c r="D22" s="35" t="str">
        <f>VLOOKUP(B22,'S | 02'!$C$6:$J$41,5,0)</f>
        <v>Mozn</v>
      </c>
      <c r="E22" s="31">
        <f>'CF (Equity, Debt)'!D14</f>
        <v>44103</v>
      </c>
      <c r="F22" s="38">
        <f>'CF (Equity, Debt)'!E14</f>
        <v>-10</v>
      </c>
      <c r="G22" s="38"/>
      <c r="H22" s="38"/>
      <c r="I22" s="38">
        <f t="shared" si="0"/>
        <v>-10</v>
      </c>
    </row>
    <row r="23" spans="2:9" x14ac:dyDescent="0.2">
      <c r="B23" s="32" t="str">
        <f>'CF (Equity, Debt)'!C15</f>
        <v>ONT plc</v>
      </c>
      <c r="C23" s="36" t="str">
        <f>VLOOKUP(B23,'S | 02'!$C$6:$J$41,2,0)</f>
        <v>Direct Investment</v>
      </c>
      <c r="D23" s="36" t="str">
        <f>VLOOKUP(B23,'S | 02'!$C$6:$J$41,5,0)</f>
        <v>Mozn</v>
      </c>
      <c r="E23" s="33">
        <f>'CF (Equity, Debt)'!D15</f>
        <v>43968</v>
      </c>
      <c r="F23" s="39">
        <f>'CF (Equity, Debt)'!E15</f>
        <v>-50</v>
      </c>
      <c r="G23" s="39"/>
      <c r="H23" s="39"/>
      <c r="I23" s="39">
        <f t="shared" si="0"/>
        <v>-50</v>
      </c>
    </row>
    <row r="24" spans="2:9" x14ac:dyDescent="0.2">
      <c r="B24" s="32" t="str">
        <f>'CF (Equity, Debt)'!C16</f>
        <v>ONT plc</v>
      </c>
      <c r="C24" s="36" t="str">
        <f>VLOOKUP(B24,'S | 02'!$C$6:$J$41,2,0)</f>
        <v>Direct Investment</v>
      </c>
      <c r="D24" s="36" t="str">
        <f>VLOOKUP(B24,'S | 02'!$C$6:$J$41,5,0)</f>
        <v>Mozn</v>
      </c>
      <c r="E24" s="33">
        <f>'CF (Equity, Debt)'!D16</f>
        <v>44006</v>
      </c>
      <c r="F24" s="39">
        <f>'CF (Equity, Debt)'!E16</f>
        <v>-27.268350856443721</v>
      </c>
      <c r="G24" s="39"/>
      <c r="H24" s="39"/>
      <c r="I24" s="39">
        <f t="shared" si="0"/>
        <v>-27.268350856443721</v>
      </c>
    </row>
    <row r="25" spans="2:9" x14ac:dyDescent="0.2">
      <c r="B25" s="32" t="str">
        <f>'CF (Equity, Debt)'!C17</f>
        <v>ONT plc</v>
      </c>
      <c r="C25" s="36" t="str">
        <f>VLOOKUP(B25,'S | 02'!$C$6:$J$41,2,0)</f>
        <v>Direct Investment</v>
      </c>
      <c r="D25" s="36" t="str">
        <f>VLOOKUP(B25,'S | 02'!$C$6:$J$41,5,0)</f>
        <v>Mozn</v>
      </c>
      <c r="E25" s="33">
        <f>'CF (Equity, Debt)'!D17</f>
        <v>43837</v>
      </c>
      <c r="F25" s="39">
        <f>'CF (Equity, Debt)'!E17</f>
        <v>-18.109441299619355</v>
      </c>
      <c r="G25" s="39"/>
      <c r="H25" s="39"/>
      <c r="I25" s="39">
        <f t="shared" si="0"/>
        <v>-18.109441299619355</v>
      </c>
    </row>
    <row r="26" spans="2:9" x14ac:dyDescent="0.2">
      <c r="B26" s="32" t="str">
        <f>'CF (Equity, Debt)'!C18</f>
        <v>ONT plc</v>
      </c>
      <c r="C26" s="36" t="str">
        <f>VLOOKUP(B26,'S | 02'!$C$6:$J$41,2,0)</f>
        <v>Direct Investment</v>
      </c>
      <c r="D26" s="36" t="str">
        <f>VLOOKUP(B26,'S | 02'!$C$6:$J$41,5,0)</f>
        <v>Mozn</v>
      </c>
      <c r="E26" s="33">
        <f>'CF (Equity, Debt)'!D18</f>
        <v>43990</v>
      </c>
      <c r="F26" s="39">
        <f>'CF (Equity, Debt)'!E18</f>
        <v>-34.851687094159864</v>
      </c>
      <c r="G26" s="39"/>
      <c r="H26" s="39"/>
      <c r="I26" s="39">
        <f t="shared" si="0"/>
        <v>-34.851687094159864</v>
      </c>
    </row>
    <row r="27" spans="2:9" x14ac:dyDescent="0.2">
      <c r="B27" s="32" t="str">
        <f>'CF (Equity, Debt)'!C19</f>
        <v>ONT plc</v>
      </c>
      <c r="C27" s="36" t="str">
        <f>VLOOKUP(B27,'S | 02'!$C$6:$J$41,2,0)</f>
        <v>Direct Investment</v>
      </c>
      <c r="D27" s="36" t="str">
        <f>VLOOKUP(B27,'S | 02'!$C$6:$J$41,5,0)</f>
        <v>Mozn</v>
      </c>
      <c r="E27" s="33">
        <f>'CF (Equity, Debt)'!D19</f>
        <v>44315</v>
      </c>
      <c r="F27" s="39">
        <f>'CF (Equity, Debt)'!E19</f>
        <v>-11.240780424143557</v>
      </c>
      <c r="G27" s="39"/>
      <c r="H27" s="39"/>
      <c r="I27" s="39">
        <f t="shared" si="0"/>
        <v>-11.240780424143557</v>
      </c>
    </row>
    <row r="28" spans="2:9" x14ac:dyDescent="0.2">
      <c r="B28" s="30" t="str">
        <f>'CF (Equity, Debt)'!C20</f>
        <v>Heygears</v>
      </c>
      <c r="C28" s="35" t="str">
        <f>VLOOKUP(B28,'S | 02'!$C$6:$J$41,2,0)</f>
        <v>Direct Investment</v>
      </c>
      <c r="D28" s="35" t="str">
        <f>VLOOKUP(B28,'S | 02'!$C$6:$J$41,5,0)</f>
        <v>Mozn</v>
      </c>
      <c r="E28" s="31">
        <f>'CF (Equity, Debt)'!D20</f>
        <v>44166</v>
      </c>
      <c r="F28" s="38">
        <f>'CF (Equity, Debt)'!E20</f>
        <v>-60</v>
      </c>
      <c r="G28" s="38"/>
      <c r="H28" s="38"/>
      <c r="I28" s="38">
        <f t="shared" si="0"/>
        <v>-60</v>
      </c>
    </row>
    <row r="29" spans="2:9" x14ac:dyDescent="0.2">
      <c r="B29" s="30" t="str">
        <f>'CF (Equity, Debt)'!C21</f>
        <v>Jysan Technologies</v>
      </c>
      <c r="C29" s="35" t="str">
        <f>VLOOKUP(B29,'S | 02'!$C$6:$J$41,2,0)</f>
        <v>Direct Investment</v>
      </c>
      <c r="D29" s="35" t="str">
        <f>VLOOKUP(B29,'S | 02'!$C$6:$J$41,5,0)</f>
        <v>Mozn 1</v>
      </c>
      <c r="E29" s="31">
        <f>'CF (Equity, Debt)'!D21</f>
        <v>44363</v>
      </c>
      <c r="F29" s="38">
        <f>'CF (Equity, Debt)'!E21</f>
        <v>-20</v>
      </c>
      <c r="G29" s="38"/>
      <c r="H29" s="38"/>
      <c r="I29" s="38">
        <f t="shared" ref="I29" si="1">SUM(F29:H29)</f>
        <v>-20</v>
      </c>
    </row>
    <row r="30" spans="2:9" x14ac:dyDescent="0.2">
      <c r="B30" s="30" t="str">
        <f>'CF (Equity, Debt)'!C22</f>
        <v>Cerebras Systems Inc</v>
      </c>
      <c r="C30" s="35" t="str">
        <f>VLOOKUP(B30,'S | 02'!$C$6:$J$41,2,0)</f>
        <v>Direct Investment</v>
      </c>
      <c r="D30" s="35" t="str">
        <f>VLOOKUP(B30,'S | 02'!$C$6:$J$41,5,0)</f>
        <v>Mozn</v>
      </c>
      <c r="E30" s="31">
        <f>'CF (Equity, Debt)'!D22</f>
        <v>44488</v>
      </c>
      <c r="F30" s="38">
        <f>'CF (Equity, Debt)'!E22</f>
        <v>-39.999983359999995</v>
      </c>
      <c r="G30" s="38"/>
      <c r="H30" s="38"/>
      <c r="I30" s="38">
        <f>SUM(F30:H30)</f>
        <v>-39.999983359999995</v>
      </c>
    </row>
    <row r="31" spans="2:9" x14ac:dyDescent="0.2">
      <c r="B31" s="32" t="str">
        <f>'CF (Equity, Debt)'!C23</f>
        <v>Endless Studios LLC</v>
      </c>
      <c r="C31" s="36" t="str">
        <f>VLOOKUP(B31,'S | 02'!$C$6:$J$41,2,0)</f>
        <v>Direct Investment</v>
      </c>
      <c r="D31" s="36" t="str">
        <f>VLOOKUP(B31,'S | 02'!$C$6:$J$41,5,0)</f>
        <v>Mozn</v>
      </c>
      <c r="E31" s="33">
        <f>'CF (Equity, Debt)'!D23</f>
        <v>44494</v>
      </c>
      <c r="F31" s="39">
        <f>'CF (Equity, Debt)'!E23</f>
        <v>-3</v>
      </c>
      <c r="G31" s="39"/>
      <c r="H31" s="39"/>
      <c r="I31" s="39">
        <f>SUM(F31:H31)</f>
        <v>-3</v>
      </c>
    </row>
    <row r="32" spans="2:9" x14ac:dyDescent="0.2">
      <c r="B32" s="30" t="str">
        <f>'CF (Equity, Debt)'!C24</f>
        <v>Instadeep Limited</v>
      </c>
      <c r="C32" s="35" t="str">
        <f>VLOOKUP(B32,'S | 02'!$C$6:$J$41,2,0)</f>
        <v>Direct Investment</v>
      </c>
      <c r="D32" s="35" t="str">
        <f>VLOOKUP(B32,'S | 02'!$C$6:$J$41,5,0)</f>
        <v>Mozn</v>
      </c>
      <c r="E32" s="31">
        <f>'CF (Equity, Debt)'!D24</f>
        <v>44550</v>
      </c>
      <c r="F32" s="38">
        <f>'CF (Equity, Debt)'!E24</f>
        <v>-5.0237201984774336</v>
      </c>
      <c r="G32" s="38"/>
      <c r="H32" s="38"/>
      <c r="I32" s="38">
        <f>SUM(F32:H32)</f>
        <v>-5.0237201984774336</v>
      </c>
    </row>
    <row r="33" spans="2:9" x14ac:dyDescent="0.2">
      <c r="B33" s="30" t="str">
        <f>'CF (Equity, Debt)'!C25</f>
        <v>X-fusion</v>
      </c>
      <c r="C33" s="35" t="str">
        <f>VLOOKUP(B33,'S | 02'!$C$6:$J$41,2,0)</f>
        <v>Direct Investment</v>
      </c>
      <c r="D33" s="35" t="str">
        <f>VLOOKUP(B33,'S | 02'!$C$6:$J$41,5,0)</f>
        <v>Mozn 2</v>
      </c>
      <c r="E33" s="31">
        <f>'CF (Equity, Debt)'!D25</f>
        <v>44574</v>
      </c>
      <c r="F33" s="38">
        <f>'CF (Equity, Debt)'!E25</f>
        <v>-493.50095619999996</v>
      </c>
      <c r="G33" s="38"/>
      <c r="H33" s="38"/>
      <c r="I33" s="38">
        <f t="shared" ref="I33" si="2">SUM(F33:H33)</f>
        <v>-493.50095619999996</v>
      </c>
    </row>
    <row r="34" spans="2:9" x14ac:dyDescent="0.2">
      <c r="B34" s="32" t="str">
        <f>'CF (Equity, Debt)'!C28</f>
        <v xml:space="preserve">Esyasoft Holding </v>
      </c>
      <c r="C34" s="36" t="str">
        <f>VLOOKUP(B34,'S | 02'!$C$6:$J$41,2,0)</f>
        <v>Direct Investment</v>
      </c>
      <c r="D34" s="36" t="str">
        <f>VLOOKUP(B34,'S | 02'!$C$6:$J$41,5,0)</f>
        <v>Mozn</v>
      </c>
      <c r="E34" s="33">
        <f>'CF (Equity, Debt)'!D28</f>
        <v>44691</v>
      </c>
      <c r="F34" s="39">
        <f>'CF (Equity, Debt)'!E28</f>
        <v>0</v>
      </c>
      <c r="G34" s="39">
        <v>5</v>
      </c>
      <c r="H34" s="39"/>
      <c r="I34" s="39">
        <f>SUM(F34:H34)</f>
        <v>5</v>
      </c>
    </row>
    <row r="35" spans="2:9" x14ac:dyDescent="0.2">
      <c r="B35" s="30" t="str">
        <f>'CF (Equity, Debt)'!C32</f>
        <v>Applied AI Corporation Limited</v>
      </c>
      <c r="C35" s="35" t="str">
        <f>VLOOKUP(B35,'S | 02'!$C$6:$J$41,2,0)</f>
        <v>Direct Investment</v>
      </c>
      <c r="D35" s="35" t="str">
        <f>VLOOKUP(B35,'S | 02'!$C$6:$J$41,5,0)</f>
        <v>Mozn</v>
      </c>
      <c r="E35" s="31">
        <f>'CF (Equity, Debt)'!D32</f>
        <v>44861</v>
      </c>
      <c r="F35" s="38">
        <f>'CF (Equity, Debt)'!E32</f>
        <v>-4.75</v>
      </c>
      <c r="G35" s="38"/>
      <c r="H35" s="38"/>
      <c r="I35" s="38">
        <f t="shared" ref="I35" si="3">SUM(F35:H35)</f>
        <v>-4.75</v>
      </c>
    </row>
    <row r="36" spans="2:9" x14ac:dyDescent="0.2">
      <c r="B36" s="30" t="str">
        <f>'CF (Equity, Debt)'!C33</f>
        <v xml:space="preserve">eSpace </v>
      </c>
      <c r="C36" s="35" t="str">
        <f>VLOOKUP(B36,'S | 02'!$C$6:$J$41,2,0)</f>
        <v>Direct Investment</v>
      </c>
      <c r="D36" s="35" t="str">
        <f>VLOOKUP(B36,'S | 02'!$C$6:$J$41,5,0)</f>
        <v>Mozn 4</v>
      </c>
      <c r="E36" s="31">
        <f>'CF (Equity, Debt)'!D33</f>
        <v>44892</v>
      </c>
      <c r="F36" s="38">
        <f>'CF (Equity, Debt)'!E33</f>
        <v>-15</v>
      </c>
      <c r="G36" s="38"/>
      <c r="H36" s="38"/>
      <c r="I36" s="38">
        <f t="shared" ref="I36" si="4">SUM(F36:H36)</f>
        <v>-15</v>
      </c>
    </row>
    <row r="37" spans="2:9" x14ac:dyDescent="0.2">
      <c r="B37" s="30" t="str">
        <f>'CF (Equity, Debt)'!C35</f>
        <v>Tools for Humanity Corporation</v>
      </c>
      <c r="C37" s="35" t="str">
        <f>VLOOKUP(B37,'S | 02'!$C$6:$J$41,2,0)</f>
        <v>Direct Investment</v>
      </c>
      <c r="D37" s="35" t="str">
        <f>VLOOKUP(B37,'S | 02'!$C$6:$J$41,5,0)</f>
        <v>Mozn</v>
      </c>
      <c r="E37" s="31">
        <f>'CF (Equity, Debt)'!D35</f>
        <v>45075</v>
      </c>
      <c r="F37" s="38">
        <f>'CF (Equity, Debt)'!E35</f>
        <v>-14.999998939999999</v>
      </c>
      <c r="G37" s="38"/>
      <c r="H37" s="38"/>
      <c r="I37" s="38">
        <f t="shared" ref="I37:I40" si="5">SUM(F37:H37)</f>
        <v>-14.999998939999999</v>
      </c>
    </row>
    <row r="38" spans="2:9" x14ac:dyDescent="0.2">
      <c r="B38" s="30" t="str">
        <f>'CF (Equity, Debt)'!C36</f>
        <v>WLD Tokens</v>
      </c>
      <c r="C38" s="35" t="str">
        <f>VLOOKUP(B38,'S | 02'!$C$6:$J$41,2,0)</f>
        <v>Direct Investment</v>
      </c>
      <c r="D38" s="35" t="str">
        <f>VLOOKUP(B38,'S | 02'!$C$6:$J$41,5,0)</f>
        <v>Mozn</v>
      </c>
      <c r="E38" s="31">
        <f>'CF (Equity, Debt)'!D36</f>
        <v>45075</v>
      </c>
      <c r="F38" s="38">
        <f>'CF (Equity, Debt)'!E36</f>
        <v>-5.875E-3</v>
      </c>
      <c r="G38" s="38"/>
      <c r="H38" s="38"/>
      <c r="I38" s="38">
        <f t="shared" si="5"/>
        <v>-5.875E-3</v>
      </c>
    </row>
    <row r="39" spans="2:9" x14ac:dyDescent="0.2">
      <c r="B39" s="30" t="str">
        <f>'CF (Equity, Debt)'!C37</f>
        <v>WLD Tokens</v>
      </c>
      <c r="C39" s="35" t="str">
        <f>VLOOKUP(B39,'S | 02'!$C$6:$J$41,2,0)</f>
        <v>Direct Investment</v>
      </c>
      <c r="D39" s="35" t="str">
        <f>VLOOKUP(B39,'S | 02'!$C$6:$J$41,5,0)</f>
        <v>Mozn</v>
      </c>
      <c r="E39" s="31">
        <f>'CF (Equity, Debt)'!D37</f>
        <v>45114</v>
      </c>
      <c r="F39" s="38">
        <f>'CF (Equity, Debt)'!E37</f>
        <v>-1E-3</v>
      </c>
      <c r="G39" s="38"/>
      <c r="H39" s="38"/>
      <c r="I39" s="38">
        <f t="shared" si="5"/>
        <v>-1E-3</v>
      </c>
    </row>
    <row r="40" spans="2:9" x14ac:dyDescent="0.2">
      <c r="B40" s="30" t="str">
        <f>'CF (Equity, Debt)'!C38</f>
        <v>Applied AI Corporation Limited</v>
      </c>
      <c r="C40" s="35" t="str">
        <f>VLOOKUP(B40,'S | 02'!$C$6:$J$41,2,0)</f>
        <v>Direct Investment</v>
      </c>
      <c r="D40" s="35" t="str">
        <f>VLOOKUP(B40,'S | 02'!$C$6:$J$41,5,0)</f>
        <v>Mozn</v>
      </c>
      <c r="E40" s="31">
        <f>'CF (Equity, Debt)'!D38</f>
        <v>45121</v>
      </c>
      <c r="F40" s="38">
        <f>'CF (Equity, Debt)'!E38</f>
        <v>-2.75</v>
      </c>
      <c r="G40" s="38"/>
      <c r="H40" s="38"/>
      <c r="I40" s="38">
        <f t="shared" si="5"/>
        <v>-2.75</v>
      </c>
    </row>
    <row r="41" spans="2:9" x14ac:dyDescent="0.2">
      <c r="B41" s="30" t="str">
        <f>'CF (Equity, Debt)'!C39</f>
        <v>Instadeep Limited</v>
      </c>
      <c r="C41" s="35" t="str">
        <f>VLOOKUP(B41,'S | 02'!$C$6:$J$41,2,0)</f>
        <v>Direct Investment</v>
      </c>
      <c r="D41" s="35" t="str">
        <f>VLOOKUP(B41,'S | 02'!$C$6:$J$41,5,0)</f>
        <v>Mozn</v>
      </c>
      <c r="E41" s="31">
        <f>'CF (Equity, Debt)'!D39</f>
        <v>45138</v>
      </c>
      <c r="F41" s="38">
        <f>'CF (Equity, Debt)'!E39</f>
        <v>0</v>
      </c>
      <c r="G41" s="38">
        <f>'CF (Equity, Debt)'!F39</f>
        <v>7.8207760999999989</v>
      </c>
      <c r="H41" s="38"/>
      <c r="I41" s="38">
        <f t="shared" ref="I41" si="6">SUM(F41:H41)</f>
        <v>7.8207760999999989</v>
      </c>
    </row>
    <row r="42" spans="2:9" x14ac:dyDescent="0.2">
      <c r="B42" s="30" t="str">
        <f>'CF (Equity, Debt)'!C40</f>
        <v>Jysan Technologies</v>
      </c>
      <c r="C42" s="35" t="str">
        <f>VLOOKUP(B42,'S | 02'!$C$6:$J$41,2,0)</f>
        <v>Direct Investment</v>
      </c>
      <c r="D42" s="35" t="str">
        <f>VLOOKUP(B42,'S | 02'!$C$6:$J$41,5,0)</f>
        <v>Mozn 1</v>
      </c>
      <c r="E42" s="31">
        <f>'CF (Equity, Debt)'!D40</f>
        <v>45149</v>
      </c>
      <c r="F42" s="38">
        <f>'CF (Equity, Debt)'!E40</f>
        <v>0</v>
      </c>
      <c r="G42" s="38">
        <f>'CF (Equity, Debt)'!F40</f>
        <v>24.5</v>
      </c>
      <c r="H42" s="38"/>
      <c r="I42" s="38">
        <f t="shared" ref="I42:I44" si="7">SUM(F42:H42)</f>
        <v>24.5</v>
      </c>
    </row>
    <row r="43" spans="2:9" x14ac:dyDescent="0.2">
      <c r="B43" s="30" t="str">
        <f>'CF (Equity, Debt)'!C41</f>
        <v>Endless Studios LLC</v>
      </c>
      <c r="C43" s="35" t="str">
        <f>VLOOKUP(B43,'S | 02'!$C$6:$J$41,2,0)</f>
        <v>Direct Investment</v>
      </c>
      <c r="D43" s="35" t="str">
        <f>VLOOKUP(B43,'S | 02'!$C$6:$J$41,5,0)</f>
        <v>Mozn</v>
      </c>
      <c r="E43" s="31">
        <f>'CF (Equity, Debt)'!D41</f>
        <v>45167</v>
      </c>
      <c r="F43" s="38">
        <f>'CF (Equity, Debt)'!E41</f>
        <v>-5</v>
      </c>
      <c r="G43" s="38">
        <f>'CF (Equity, Debt)'!F41</f>
        <v>0</v>
      </c>
      <c r="H43" s="38"/>
      <c r="I43" s="38">
        <f t="shared" si="7"/>
        <v>-5</v>
      </c>
    </row>
    <row r="44" spans="2:9" x14ac:dyDescent="0.2">
      <c r="B44" s="30" t="str">
        <f>'CF (Equity, Debt)'!C42</f>
        <v>E-line Ventures LLC</v>
      </c>
      <c r="C44" s="35" t="str">
        <f>VLOOKUP(B44,'S | 02'!$C$6:$J$41,2,0)</f>
        <v>Direct Investment</v>
      </c>
      <c r="D44" s="35" t="str">
        <f>VLOOKUP(B44,'S | 02'!$C$6:$J$41,5,0)</f>
        <v>Mozn</v>
      </c>
      <c r="E44" s="31">
        <f>'CF (Equity, Debt)'!D42</f>
        <v>45167</v>
      </c>
      <c r="F44" s="38">
        <f>'CF (Equity, Debt)'!E42</f>
        <v>-6</v>
      </c>
      <c r="G44" s="38">
        <f>'CF (Equity, Debt)'!F42</f>
        <v>0</v>
      </c>
      <c r="H44" s="38"/>
      <c r="I44" s="38">
        <f t="shared" si="7"/>
        <v>-6</v>
      </c>
    </row>
    <row r="45" spans="2:9" x14ac:dyDescent="0.2">
      <c r="B45" s="30" t="str">
        <f>'CF (Equity, Debt)'!C45</f>
        <v>X-fusion</v>
      </c>
      <c r="C45" s="35" t="str">
        <f>VLOOKUP(B45,'S | 02'!$C$6:$J$41,2,0)</f>
        <v>Direct Investment</v>
      </c>
      <c r="D45" s="35" t="str">
        <f>VLOOKUP(B45,'S | 02'!$C$6:$J$41,5,0)</f>
        <v>Mozn 2</v>
      </c>
      <c r="E45" s="31">
        <f>'CF (Equity, Debt)'!D45</f>
        <v>45224</v>
      </c>
      <c r="F45" s="38">
        <f>'CF (Equity, Debt)'!E45</f>
        <v>0</v>
      </c>
      <c r="G45" s="38">
        <f>'CF (Equity, Debt)'!F45</f>
        <v>403</v>
      </c>
      <c r="H45" s="38"/>
      <c r="I45" s="38">
        <f t="shared" ref="I45:I46" si="8">SUM(F45:H45)</f>
        <v>403</v>
      </c>
    </row>
    <row r="46" spans="2:9" x14ac:dyDescent="0.2">
      <c r="B46" s="30" t="str">
        <f>'CF (Equity, Debt)'!C46</f>
        <v>Instadeep Limited</v>
      </c>
      <c r="C46" s="35" t="str">
        <f>VLOOKUP(B46,'S | 02'!$C$6:$J$41,2,0)</f>
        <v>Direct Investment</v>
      </c>
      <c r="D46" s="35" t="str">
        <f>VLOOKUP(B46,'S | 02'!$C$6:$J$41,5,0)</f>
        <v>Mozn</v>
      </c>
      <c r="E46" s="31">
        <f>'CF (Equity, Debt)'!D46</f>
        <v>45224</v>
      </c>
      <c r="F46" s="38">
        <f>'CF (Equity, Debt)'!E46</f>
        <v>0</v>
      </c>
      <c r="G46" s="38">
        <f>'CF (Equity, Debt)'!F46</f>
        <v>0.12141643000000001</v>
      </c>
      <c r="H46" s="38"/>
      <c r="I46" s="38">
        <f t="shared" si="8"/>
        <v>0.12141643000000001</v>
      </c>
    </row>
    <row r="47" spans="2:9" x14ac:dyDescent="0.2">
      <c r="B47" s="30" t="str">
        <f>'CF (Equity, Debt)'!C47</f>
        <v>Applied AI Corporation Limited</v>
      </c>
      <c r="C47" s="35" t="str">
        <f>VLOOKUP(B47,'S | 02'!$C$6:$J$41,2,0)</f>
        <v>Direct Investment</v>
      </c>
      <c r="D47" s="35" t="str">
        <f>VLOOKUP(B47,'S | 02'!$C$6:$J$41,5,0)</f>
        <v>Mozn</v>
      </c>
      <c r="E47" s="31">
        <f>'CF (Equity, Debt)'!D47</f>
        <v>45295</v>
      </c>
      <c r="F47" s="38">
        <f>'CF (Equity, Debt)'!E47</f>
        <v>-4</v>
      </c>
      <c r="G47" s="38">
        <f>'CF (Equity, Debt)'!F47</f>
        <v>0</v>
      </c>
      <c r="H47" s="38"/>
      <c r="I47" s="38">
        <f t="shared" ref="I47" si="9">SUM(F47:H47)</f>
        <v>-4</v>
      </c>
    </row>
    <row r="48" spans="2:9" x14ac:dyDescent="0.2">
      <c r="B48" s="30" t="str">
        <f>'CF (Equity, Debt)'!C48</f>
        <v>School Hack (AIREV Holding Limited)</v>
      </c>
      <c r="C48" s="35" t="str">
        <f>VLOOKUP(B48,'S | 02'!$C$6:$J$41,2,0)</f>
        <v>Direct Investment</v>
      </c>
      <c r="D48" s="35" t="str">
        <f>VLOOKUP(B48,'S | 02'!$C$6:$J$41,5,0)</f>
        <v>Core42</v>
      </c>
      <c r="E48" s="31">
        <f>'CF (Equity, Debt)'!D48</f>
        <v>45322</v>
      </c>
      <c r="F48" s="38">
        <f>'CF (Equity, Debt)'!E48</f>
        <v>-2.75</v>
      </c>
      <c r="G48" s="38">
        <f>'CF (Equity, Debt)'!F48</f>
        <v>0</v>
      </c>
      <c r="H48" s="38"/>
      <c r="I48" s="38">
        <f t="shared" ref="I48" si="10">SUM(F48:H48)</f>
        <v>-2.75</v>
      </c>
    </row>
    <row r="49" spans="2:9" x14ac:dyDescent="0.2">
      <c r="B49" s="256" t="str">
        <f>'CF (Equity, Debt)'!C53</f>
        <v xml:space="preserve">Glass Earth Holdings LLC </v>
      </c>
      <c r="C49" s="198" t="str">
        <f>VLOOKUP(B49,'S | 02'!$C$6:$J$41,2,0)</f>
        <v>Debt Investment</v>
      </c>
      <c r="D49" s="198" t="str">
        <f>VLOOKUP(B49,'S | 02'!$C$6:$J$41,5,0)</f>
        <v>Mozn</v>
      </c>
      <c r="E49" s="31">
        <f>'CF (Equity, Debt)'!D53</f>
        <v>43635</v>
      </c>
      <c r="F49" s="199">
        <f>'CF (Equity, Debt)'!E53</f>
        <v>-8</v>
      </c>
      <c r="G49" s="199"/>
      <c r="H49" s="199"/>
      <c r="I49" s="199">
        <f>SUM(F49:H49)</f>
        <v>-8</v>
      </c>
    </row>
    <row r="50" spans="2:9" x14ac:dyDescent="0.2">
      <c r="B50" s="196" t="str">
        <f>'CF (Equity, Debt)'!C54</f>
        <v>Mena Mobile Inc (Debt)</v>
      </c>
      <c r="C50" s="197" t="str">
        <f>VLOOKUP(B50,'S | 02'!$C$6:$J$41,2,0)</f>
        <v>Debt Investment</v>
      </c>
      <c r="D50" s="197" t="str">
        <f>VLOOKUP(B50,'S | 02'!$C$6:$J$41,5,0)</f>
        <v>Mozn</v>
      </c>
      <c r="E50" s="31">
        <f>'CF (Equity, Debt)'!D54</f>
        <v>44293</v>
      </c>
      <c r="F50" s="199">
        <f>'CF (Equity, Debt)'!E54</f>
        <v>-2.3539819999999998</v>
      </c>
      <c r="G50" s="199"/>
      <c r="H50" s="199"/>
      <c r="I50" s="199">
        <f>SUM(F50:H50)</f>
        <v>-2.3539819999999998</v>
      </c>
    </row>
    <row r="51" spans="2:9" x14ac:dyDescent="0.2">
      <c r="B51" s="196" t="str">
        <f>'CF (Equity, Debt)'!C55</f>
        <v>Esyasoft Holding (Debt)</v>
      </c>
      <c r="C51" s="197" t="str">
        <f>VLOOKUP(B51,'S | 02'!$C$6:$J$41,2,0)</f>
        <v>Debt Investment</v>
      </c>
      <c r="D51" s="197" t="str">
        <f>VLOOKUP(B51,'S | 02'!$C$6:$J$41,5,0)</f>
        <v>Mozn</v>
      </c>
      <c r="E51" s="31">
        <f>'CF (Equity, Debt)'!D55</f>
        <v>44384</v>
      </c>
      <c r="F51" s="199">
        <f>'CF (Equity, Debt)'!E55</f>
        <v>-0.41176499999999999</v>
      </c>
      <c r="G51" s="199"/>
      <c r="H51" s="199"/>
      <c r="I51" s="199">
        <f>SUM(F51:H51)</f>
        <v>-0.41176499999999999</v>
      </c>
    </row>
    <row r="52" spans="2:9" x14ac:dyDescent="0.2">
      <c r="B52" s="196" t="str">
        <f>'CF (Equity, Debt)'!C56</f>
        <v>Esyasoft Holding (Debt)</v>
      </c>
      <c r="C52" s="197" t="str">
        <f>VLOOKUP(B52,'S | 02'!$C$6:$J$41,2,0)</f>
        <v>Debt Investment</v>
      </c>
      <c r="D52" s="197" t="str">
        <f>VLOOKUP(B52,'S | 02'!$C$6:$J$41,5,0)</f>
        <v>Mozn</v>
      </c>
      <c r="E52" s="31">
        <f>'CF (Equity, Debt)'!D56</f>
        <v>44902</v>
      </c>
      <c r="F52" s="199">
        <f>'CF (Equity, Debt)'!E56</f>
        <v>0</v>
      </c>
      <c r="G52" s="199">
        <f>'CF (Equity, Debt)'!F56</f>
        <v>0.47078465000000003</v>
      </c>
      <c r="H52" s="199"/>
      <c r="I52" s="199">
        <f>SUM(F52:H52)</f>
        <v>0.47078465000000003</v>
      </c>
    </row>
    <row r="54" spans="2:9" x14ac:dyDescent="0.2">
      <c r="B54" s="196" t="s">
        <v>48</v>
      </c>
      <c r="C54" s="197" t="str">
        <f>VLOOKUP(B54,'S | 02'!$C$6:$J$41,2,0)</f>
        <v>Direct Investment</v>
      </c>
      <c r="D54" s="197" t="str">
        <f>VLOOKUP(B54,'S | 02'!$C$6:$J$41,5,0)</f>
        <v>Mozn</v>
      </c>
      <c r="E54" s="301">
        <f t="shared" ref="E54:E73" si="11">$E$4</f>
        <v>45322</v>
      </c>
      <c r="F54" s="199"/>
      <c r="G54" s="199"/>
      <c r="H54" s="558">
        <f>VLOOKUP(B54,NAV!$B$9:$E$45,4,0)</f>
        <v>0</v>
      </c>
      <c r="I54" s="199">
        <f t="shared" ref="I54:I73" si="12">SUM(F54:H54)</f>
        <v>0</v>
      </c>
    </row>
    <row r="55" spans="2:9" x14ac:dyDescent="0.2">
      <c r="B55" s="196" t="s">
        <v>0</v>
      </c>
      <c r="C55" s="197" t="str">
        <f>VLOOKUP(B55,'S | 02'!$C$6:$J$41,2,0)</f>
        <v>Direct Investment</v>
      </c>
      <c r="D55" s="197" t="str">
        <f>VLOOKUP(B55,'S | 02'!$C$6:$J$41,5,0)</f>
        <v>Mozn</v>
      </c>
      <c r="E55" s="301">
        <f t="shared" si="11"/>
        <v>45322</v>
      </c>
      <c r="F55" s="199"/>
      <c r="G55" s="199"/>
      <c r="H55" s="558">
        <f>VLOOKUP(B55,NAV!$B$9:$E$45,4,0)</f>
        <v>0</v>
      </c>
      <c r="I55" s="199">
        <f t="shared" si="12"/>
        <v>0</v>
      </c>
    </row>
    <row r="56" spans="2:9" x14ac:dyDescent="0.2">
      <c r="B56" s="196" t="s">
        <v>39</v>
      </c>
      <c r="C56" s="197" t="str">
        <f>VLOOKUP(B56,'S | 02'!$C$6:$J$41,2,0)</f>
        <v>Direct Investment</v>
      </c>
      <c r="D56" s="197" t="str">
        <f>VLOOKUP(B56,'S | 02'!$C$6:$J$41,5,0)</f>
        <v>Mozn</v>
      </c>
      <c r="E56" s="301">
        <f t="shared" si="11"/>
        <v>45322</v>
      </c>
      <c r="F56" s="199"/>
      <c r="G56" s="199"/>
      <c r="H56" s="199">
        <f>VLOOKUP(B56,NAV!$B$9:$E$45,4,0)</f>
        <v>78.082229999999996</v>
      </c>
      <c r="I56" s="199">
        <f t="shared" si="12"/>
        <v>78.082229999999996</v>
      </c>
    </row>
    <row r="57" spans="2:9" x14ac:dyDescent="0.2">
      <c r="B57" s="196" t="s">
        <v>40</v>
      </c>
      <c r="C57" s="197" t="str">
        <f>VLOOKUP(B57,'S | 02'!$C$6:$J$41,2,0)</f>
        <v>Direct Investment</v>
      </c>
      <c r="D57" s="197" t="str">
        <f>VLOOKUP(B57,'S | 02'!$C$6:$J$41,5,0)</f>
        <v>Mozn</v>
      </c>
      <c r="E57" s="301">
        <f t="shared" si="11"/>
        <v>45322</v>
      </c>
      <c r="F57" s="199"/>
      <c r="G57" s="199"/>
      <c r="H57" s="558">
        <f>VLOOKUP(B57,NAV!$B$9:$E$45,4,0)</f>
        <v>0</v>
      </c>
      <c r="I57" s="199">
        <f t="shared" si="12"/>
        <v>0</v>
      </c>
    </row>
    <row r="58" spans="2:9" x14ac:dyDescent="0.2">
      <c r="B58" s="196" t="s">
        <v>38</v>
      </c>
      <c r="C58" s="197" t="str">
        <f>VLOOKUP(B58,'S | 02'!$C$6:$J$41,2,0)</f>
        <v>Direct Investment</v>
      </c>
      <c r="D58" s="197" t="str">
        <f>VLOOKUP(B58,'S | 02'!$C$6:$J$41,5,0)</f>
        <v>Mozn</v>
      </c>
      <c r="E58" s="301">
        <f t="shared" si="11"/>
        <v>45322</v>
      </c>
      <c r="F58" s="199"/>
      <c r="G58" s="199"/>
      <c r="H58" s="199">
        <f>VLOOKUP(B58,NAV!$B$9:$E$45,4,0)</f>
        <v>91.001540300000002</v>
      </c>
      <c r="I58" s="199">
        <f t="shared" si="12"/>
        <v>91.001540300000002</v>
      </c>
    </row>
    <row r="59" spans="2:9" x14ac:dyDescent="0.2">
      <c r="B59" s="196" t="s">
        <v>89</v>
      </c>
      <c r="C59" s="197" t="str">
        <f>VLOOKUP(B59,'S | 02'!$C$6:$J$41,2,0)</f>
        <v>Direct Investment</v>
      </c>
      <c r="D59" s="197" t="str">
        <f>VLOOKUP(B59,'S | 02'!$C$6:$J$41,5,0)</f>
        <v>Mozn</v>
      </c>
      <c r="E59" s="301">
        <f t="shared" si="11"/>
        <v>45322</v>
      </c>
      <c r="F59" s="199"/>
      <c r="G59" s="199"/>
      <c r="H59" s="199">
        <f>VLOOKUP(B59,NAV!$B$9:$E$45,4,0)</f>
        <v>90.139174751950776</v>
      </c>
      <c r="I59" s="199">
        <f t="shared" si="12"/>
        <v>90.139174751950776</v>
      </c>
    </row>
    <row r="60" spans="2:9" x14ac:dyDescent="0.2">
      <c r="B60" s="196" t="s">
        <v>9</v>
      </c>
      <c r="C60" s="197" t="str">
        <f>VLOOKUP(B60,'S | 02'!$C$6:$J$41,2,0)</f>
        <v>Direct Investment</v>
      </c>
      <c r="D60" s="197" t="str">
        <f>VLOOKUP(B60,'S | 02'!$C$6:$J$41,5,0)</f>
        <v>Mozn</v>
      </c>
      <c r="E60" s="301">
        <f t="shared" si="11"/>
        <v>45322</v>
      </c>
      <c r="F60" s="199"/>
      <c r="G60" s="199"/>
      <c r="H60" s="199">
        <f>VLOOKUP(B60,NAV!$B$9:$E$45,4,0)</f>
        <v>148.0498412781194</v>
      </c>
      <c r="I60" s="199">
        <f t="shared" si="12"/>
        <v>148.0498412781194</v>
      </c>
    </row>
    <row r="61" spans="2:9" x14ac:dyDescent="0.2">
      <c r="B61" s="30" t="s">
        <v>18</v>
      </c>
      <c r="C61" s="35" t="s">
        <v>325</v>
      </c>
      <c r="D61" s="35" t="s">
        <v>310</v>
      </c>
      <c r="E61" s="301">
        <f t="shared" si="11"/>
        <v>45322</v>
      </c>
      <c r="F61" s="199"/>
      <c r="G61" s="199"/>
      <c r="H61" s="558">
        <f>VLOOKUP(B61,NAV!$B$9:$E$45,4,0)</f>
        <v>0</v>
      </c>
      <c r="I61" s="199">
        <f t="shared" si="12"/>
        <v>0</v>
      </c>
    </row>
    <row r="62" spans="2:9" x14ac:dyDescent="0.2">
      <c r="B62" s="196" t="s">
        <v>41</v>
      </c>
      <c r="C62" s="197" t="str">
        <f>VLOOKUP(B62,'S | 02'!$C$6:$J$41,2,0)</f>
        <v>Direct Investment</v>
      </c>
      <c r="D62" s="197" t="str">
        <f>VLOOKUP(B62,'S | 02'!$C$6:$J$41,5,0)</f>
        <v>Mozn</v>
      </c>
      <c r="E62" s="301">
        <f t="shared" si="11"/>
        <v>45322</v>
      </c>
      <c r="F62" s="199"/>
      <c r="G62" s="199"/>
      <c r="H62" s="199">
        <f>VLOOKUP(B62,NAV!$B$9:$E$45,4,0)</f>
        <v>39.999983359999995</v>
      </c>
      <c r="I62" s="199">
        <f t="shared" si="12"/>
        <v>39.999983359999995</v>
      </c>
    </row>
    <row r="63" spans="2:9" x14ac:dyDescent="0.2">
      <c r="B63" s="196" t="s">
        <v>42</v>
      </c>
      <c r="C63" s="197" t="str">
        <f>VLOOKUP(B63,'S | 02'!$C$6:$J$41,2,0)</f>
        <v>Direct Investment</v>
      </c>
      <c r="D63" s="197" t="str">
        <f>VLOOKUP(B63,'S | 02'!$C$6:$J$41,5,0)</f>
        <v>Mozn</v>
      </c>
      <c r="E63" s="301">
        <f t="shared" si="11"/>
        <v>45322</v>
      </c>
      <c r="F63" s="199"/>
      <c r="G63" s="199"/>
      <c r="H63" s="199">
        <f>VLOOKUP(B63,NAV!$B$9:$E$45,4,0)</f>
        <v>8</v>
      </c>
      <c r="I63" s="199">
        <f t="shared" si="12"/>
        <v>8</v>
      </c>
    </row>
    <row r="64" spans="2:9" x14ac:dyDescent="0.2">
      <c r="B64" s="196" t="s">
        <v>43</v>
      </c>
      <c r="C64" s="197" t="str">
        <f>VLOOKUP(B64,'S | 02'!$C$6:$J$41,2,0)</f>
        <v>Direct Investment</v>
      </c>
      <c r="D64" s="197" t="str">
        <f>VLOOKUP(B64,'S | 02'!$C$6:$J$41,5,0)</f>
        <v>Mozn</v>
      </c>
      <c r="E64" s="301">
        <f t="shared" si="11"/>
        <v>45322</v>
      </c>
      <c r="F64" s="199"/>
      <c r="G64" s="199"/>
      <c r="H64" s="558">
        <f>VLOOKUP(B64,NAV!$B$9:$E$45,4,0)</f>
        <v>0</v>
      </c>
      <c r="I64" s="199">
        <f t="shared" si="12"/>
        <v>0</v>
      </c>
    </row>
    <row r="65" spans="2:9" x14ac:dyDescent="0.2">
      <c r="B65" s="30" t="s">
        <v>71</v>
      </c>
      <c r="C65" s="197" t="str">
        <f>VLOOKUP(B65,'S | 02'!$C$6:$J$41,2,0)</f>
        <v>Direct Investment</v>
      </c>
      <c r="D65" s="197" t="str">
        <f>VLOOKUP(B65,'S | 02'!$C$6:$J$41,5,0)</f>
        <v>Mozn 2</v>
      </c>
      <c r="E65" s="301">
        <f t="shared" si="11"/>
        <v>45322</v>
      </c>
      <c r="F65" s="199"/>
      <c r="G65" s="199"/>
      <c r="H65" s="558">
        <f>VLOOKUP(B65,NAV!$B$9:$E$45,4,0)</f>
        <v>0</v>
      </c>
      <c r="I65" s="199">
        <f t="shared" ref="I65" si="13">SUM(F65:H65)</f>
        <v>0</v>
      </c>
    </row>
    <row r="66" spans="2:9" x14ac:dyDescent="0.2">
      <c r="B66" s="30" t="s">
        <v>271</v>
      </c>
      <c r="C66" s="35" t="str">
        <f>VLOOKUP(B66,'S | 02'!$C$6:$J$41,2,0)</f>
        <v>Direct Investment</v>
      </c>
      <c r="D66" s="35" t="str">
        <f>VLOOKUP(B66,'S | 02'!$C$6:$J$41,5,0)</f>
        <v>Mozn</v>
      </c>
      <c r="E66" s="301">
        <f t="shared" si="11"/>
        <v>45322</v>
      </c>
      <c r="F66" s="199"/>
      <c r="G66" s="199"/>
      <c r="H66" s="199">
        <f>VLOOKUP(B66,NAV!$B$9:$E$45,4,0)</f>
        <v>11.5</v>
      </c>
      <c r="I66" s="199">
        <f t="shared" si="12"/>
        <v>11.5</v>
      </c>
    </row>
    <row r="67" spans="2:9" x14ac:dyDescent="0.2">
      <c r="B67" s="30" t="s">
        <v>306</v>
      </c>
      <c r="C67" s="35" t="s">
        <v>325</v>
      </c>
      <c r="D67" s="35" t="str">
        <f>VLOOKUP(B67,'S | 02'!$C$6:$J$41,5,0)</f>
        <v>Mozn 4</v>
      </c>
      <c r="E67" s="301">
        <f t="shared" si="11"/>
        <v>45322</v>
      </c>
      <c r="F67" s="199"/>
      <c r="G67" s="199"/>
      <c r="H67" s="199">
        <f>VLOOKUP(B67,NAV!$B$9:$E$45,4,0)</f>
        <v>20.888121539999997</v>
      </c>
      <c r="I67" s="199">
        <f t="shared" si="12"/>
        <v>20.888121539999997</v>
      </c>
    </row>
    <row r="68" spans="2:9" x14ac:dyDescent="0.2">
      <c r="B68" s="30" t="s">
        <v>391</v>
      </c>
      <c r="C68" s="35" t="s">
        <v>325</v>
      </c>
      <c r="D68" s="197" t="str">
        <f>VLOOKUP(B68,'S | 02'!$C$6:$J$41,5,0)</f>
        <v>Mozn</v>
      </c>
      <c r="E68" s="301">
        <f t="shared" si="11"/>
        <v>45322</v>
      </c>
      <c r="F68" s="199"/>
      <c r="G68" s="199"/>
      <c r="H68" s="199">
        <f ca="1">VLOOKUP(B68,NAV!$B$9:$E$45,4,0)</f>
        <v>14.999998939999999</v>
      </c>
      <c r="I68" s="199">
        <f t="shared" ref="I68" ca="1" si="14">SUM(F68:H68)</f>
        <v>14.999998939999999</v>
      </c>
    </row>
    <row r="69" spans="2:9" x14ac:dyDescent="0.2">
      <c r="B69" s="30" t="s">
        <v>461</v>
      </c>
      <c r="C69" s="35" t="s">
        <v>325</v>
      </c>
      <c r="D69" s="197" t="str">
        <f>VLOOKUP(B69,'S | 02'!$C$6:$J$41,5,0)</f>
        <v>Mozn</v>
      </c>
      <c r="E69" s="301">
        <f t="shared" si="11"/>
        <v>45322</v>
      </c>
      <c r="F69" s="199"/>
      <c r="G69" s="199"/>
      <c r="H69" s="199">
        <f ca="1">VLOOKUP(B69,NAV!$B$9:$E$45,4,0)</f>
        <v>15</v>
      </c>
      <c r="I69" s="199">
        <f t="shared" ref="I69:I70" ca="1" si="15">SUM(F69:H69)</f>
        <v>15</v>
      </c>
    </row>
    <row r="70" spans="2:9" x14ac:dyDescent="0.2">
      <c r="B70" s="30" t="s">
        <v>473</v>
      </c>
      <c r="C70" s="35" t="s">
        <v>325</v>
      </c>
      <c r="D70" s="197" t="str">
        <f>VLOOKUP(B70,'S | 02'!$C$6:$J$41,5,0)</f>
        <v>Mozn</v>
      </c>
      <c r="E70" s="301">
        <f t="shared" si="11"/>
        <v>45322</v>
      </c>
      <c r="F70" s="199"/>
      <c r="G70" s="199"/>
      <c r="H70" s="199">
        <f ca="1">VLOOKUP(B70,NAV!$B$9:$E$45,4,0)</f>
        <v>6</v>
      </c>
      <c r="I70" s="199">
        <f t="shared" ca="1" si="15"/>
        <v>6</v>
      </c>
    </row>
    <row r="71" spans="2:9" x14ac:dyDescent="0.2">
      <c r="B71" s="30" t="s">
        <v>522</v>
      </c>
      <c r="C71" s="35" t="s">
        <v>325</v>
      </c>
      <c r="D71" s="197" t="str">
        <f>VLOOKUP(B71,'S | 02'!$C$6:$J$41,5,0)</f>
        <v>Core42</v>
      </c>
      <c r="E71" s="301">
        <f t="shared" si="11"/>
        <v>45322</v>
      </c>
      <c r="F71" s="199"/>
      <c r="G71" s="199"/>
      <c r="H71" s="199">
        <f>VLOOKUP(B71,NAV!$B$9:$E$45,4,0)</f>
        <v>2.75</v>
      </c>
      <c r="I71" s="199">
        <f t="shared" ref="I71" si="16">SUM(F71:H71)</f>
        <v>2.75</v>
      </c>
    </row>
    <row r="72" spans="2:9" x14ac:dyDescent="0.2">
      <c r="B72" s="196" t="s">
        <v>49</v>
      </c>
      <c r="C72" s="197" t="str">
        <f>VLOOKUP(B72,'S | 02'!$C$6:$J$41,2,0)</f>
        <v>Debt Investment</v>
      </c>
      <c r="D72" s="197" t="str">
        <f>VLOOKUP(B72,'S | 02'!$C$6:$J$41,5,0)</f>
        <v>Mozn</v>
      </c>
      <c r="E72" s="301">
        <f t="shared" si="11"/>
        <v>45322</v>
      </c>
      <c r="F72" s="199"/>
      <c r="G72" s="199"/>
      <c r="H72" s="558">
        <f>VLOOKUP(B72,NAV!$B$9:$E$45,4,0)</f>
        <v>0</v>
      </c>
      <c r="I72" s="199">
        <f t="shared" si="12"/>
        <v>0</v>
      </c>
    </row>
    <row r="73" spans="2:9" x14ac:dyDescent="0.2">
      <c r="B73" s="196" t="s">
        <v>273</v>
      </c>
      <c r="C73" s="197" t="str">
        <f>VLOOKUP(B73,'S | 02'!$C$6:$J$41,2,0)</f>
        <v>Debt Investment</v>
      </c>
      <c r="D73" s="197" t="str">
        <f>VLOOKUP(B73,'S | 02'!$C$6:$J$41,5,0)</f>
        <v>Mozn</v>
      </c>
      <c r="E73" s="301">
        <f t="shared" si="11"/>
        <v>45322</v>
      </c>
      <c r="F73" s="199"/>
      <c r="G73" s="199"/>
      <c r="H73" s="199">
        <f>VLOOKUP(B73,NAV!$B$9:$E$45,4,0)</f>
        <v>0</v>
      </c>
      <c r="I73" s="199">
        <f t="shared" si="12"/>
        <v>0</v>
      </c>
    </row>
    <row r="74" spans="2:9" x14ac:dyDescent="0.2">
      <c r="B74" s="196"/>
      <c r="C74" s="197"/>
      <c r="D74" s="197"/>
      <c r="E74" s="301"/>
      <c r="F74" s="199"/>
      <c r="G74" s="199"/>
      <c r="H74" s="199"/>
      <c r="I74" s="199"/>
    </row>
    <row r="75" spans="2:9" x14ac:dyDescent="0.2">
      <c r="E75" s="302"/>
    </row>
    <row r="76" spans="2:9" x14ac:dyDescent="0.2">
      <c r="E76" s="302"/>
    </row>
    <row r="77" spans="2:9" x14ac:dyDescent="0.2">
      <c r="E77" s="302"/>
    </row>
    <row r="78" spans="2:9" x14ac:dyDescent="0.2">
      <c r="E78" s="302"/>
    </row>
    <row r="79" spans="2:9" x14ac:dyDescent="0.2">
      <c r="E79" s="302"/>
    </row>
    <row r="80" spans="2:9" x14ac:dyDescent="0.2">
      <c r="E80" s="302"/>
    </row>
    <row r="81" spans="3:5" x14ac:dyDescent="0.2">
      <c r="E81" s="302"/>
    </row>
    <row r="82" spans="3:5" x14ac:dyDescent="0.2">
      <c r="E82" s="302"/>
    </row>
    <row r="83" spans="3:5" x14ac:dyDescent="0.2">
      <c r="E83" s="302"/>
    </row>
    <row r="84" spans="3:5" x14ac:dyDescent="0.2">
      <c r="E84" s="302"/>
    </row>
    <row r="85" spans="3:5" x14ac:dyDescent="0.2">
      <c r="C85" s="29"/>
      <c r="D85" s="29"/>
      <c r="E85" s="302"/>
    </row>
    <row r="86" spans="3:5" x14ac:dyDescent="0.2">
      <c r="C86" s="29"/>
      <c r="D86" s="29"/>
      <c r="E86" s="302"/>
    </row>
    <row r="87" spans="3:5" x14ac:dyDescent="0.2">
      <c r="C87" s="29"/>
      <c r="D87" s="29"/>
      <c r="E87" s="302"/>
    </row>
    <row r="88" spans="3:5" x14ac:dyDescent="0.2">
      <c r="C88" s="29"/>
      <c r="D88" s="29"/>
      <c r="E88" s="302"/>
    </row>
    <row r="89" spans="3:5" x14ac:dyDescent="0.2">
      <c r="C89" s="29"/>
      <c r="D89" s="29"/>
      <c r="E89" s="302"/>
    </row>
    <row r="90" spans="3:5" x14ac:dyDescent="0.2">
      <c r="C90" s="29"/>
      <c r="D90" s="29"/>
      <c r="E90" s="302"/>
    </row>
    <row r="91" spans="3:5" x14ac:dyDescent="0.2">
      <c r="C91" s="29"/>
      <c r="D91" s="29"/>
      <c r="E91" s="302"/>
    </row>
    <row r="92" spans="3:5" x14ac:dyDescent="0.2">
      <c r="C92" s="29"/>
      <c r="D92" s="29"/>
      <c r="E92" s="302"/>
    </row>
    <row r="93" spans="3:5" x14ac:dyDescent="0.2">
      <c r="C93" s="29"/>
      <c r="D93" s="29"/>
      <c r="E93" s="302"/>
    </row>
    <row r="94" spans="3:5" x14ac:dyDescent="0.2">
      <c r="C94" s="29"/>
      <c r="D94" s="29"/>
      <c r="E94" s="302"/>
    </row>
    <row r="95" spans="3:5" x14ac:dyDescent="0.2">
      <c r="C95" s="29"/>
      <c r="D95" s="29"/>
      <c r="E95" s="302"/>
    </row>
    <row r="96" spans="3:5" x14ac:dyDescent="0.2">
      <c r="C96" s="29"/>
      <c r="D96" s="29"/>
      <c r="E96" s="302"/>
    </row>
    <row r="97" spans="3:5" x14ac:dyDescent="0.2">
      <c r="C97" s="29"/>
      <c r="D97" s="29"/>
      <c r="E97" s="302"/>
    </row>
    <row r="98" spans="3:5" x14ac:dyDescent="0.2">
      <c r="C98" s="29"/>
      <c r="D98" s="29"/>
      <c r="E98" s="302"/>
    </row>
    <row r="99" spans="3:5" x14ac:dyDescent="0.2">
      <c r="C99" s="29"/>
      <c r="D99" s="29"/>
      <c r="E99" s="302"/>
    </row>
    <row r="100" spans="3:5" x14ac:dyDescent="0.2">
      <c r="C100" s="29"/>
      <c r="D100" s="29"/>
      <c r="E100" s="302"/>
    </row>
    <row r="101" spans="3:5" x14ac:dyDescent="0.2">
      <c r="C101" s="29"/>
      <c r="D101" s="29"/>
      <c r="E101" s="302"/>
    </row>
    <row r="102" spans="3:5" x14ac:dyDescent="0.2">
      <c r="C102" s="29"/>
      <c r="D102" s="29"/>
      <c r="E102" s="302"/>
    </row>
    <row r="103" spans="3:5" x14ac:dyDescent="0.2">
      <c r="C103" s="29"/>
      <c r="D103" s="29"/>
      <c r="E103" s="302"/>
    </row>
    <row r="104" spans="3:5" x14ac:dyDescent="0.2">
      <c r="C104" s="29"/>
      <c r="D104" s="29"/>
      <c r="E104" s="302"/>
    </row>
    <row r="105" spans="3:5" x14ac:dyDescent="0.2">
      <c r="C105" s="29"/>
      <c r="D105" s="29"/>
      <c r="E105" s="302"/>
    </row>
    <row r="106" spans="3:5" x14ac:dyDescent="0.2">
      <c r="C106" s="29"/>
      <c r="D106" s="29"/>
      <c r="E106" s="302"/>
    </row>
    <row r="107" spans="3:5" x14ac:dyDescent="0.2">
      <c r="C107" s="29"/>
      <c r="D107" s="29"/>
      <c r="E107" s="302"/>
    </row>
    <row r="108" spans="3:5" x14ac:dyDescent="0.2">
      <c r="C108" s="29"/>
      <c r="D108" s="29"/>
      <c r="E108" s="302"/>
    </row>
    <row r="109" spans="3:5" x14ac:dyDescent="0.2">
      <c r="C109" s="29"/>
      <c r="D109" s="29"/>
      <c r="E109" s="302"/>
    </row>
    <row r="110" spans="3:5" x14ac:dyDescent="0.2">
      <c r="C110" s="29"/>
      <c r="D110" s="29"/>
      <c r="E110" s="302"/>
    </row>
    <row r="111" spans="3:5" x14ac:dyDescent="0.2">
      <c r="C111" s="29"/>
      <c r="D111" s="29"/>
      <c r="E111" s="302"/>
    </row>
    <row r="112" spans="3:5" x14ac:dyDescent="0.2">
      <c r="C112" s="29"/>
      <c r="D112" s="29"/>
      <c r="E112" s="302"/>
    </row>
    <row r="113" spans="3:5" x14ac:dyDescent="0.2">
      <c r="C113" s="29"/>
      <c r="D113" s="29"/>
      <c r="E113" s="302"/>
    </row>
    <row r="114" spans="3:5" x14ac:dyDescent="0.2">
      <c r="C114" s="29"/>
      <c r="D114" s="29"/>
      <c r="E114" s="302"/>
    </row>
    <row r="115" spans="3:5" x14ac:dyDescent="0.2">
      <c r="C115" s="29"/>
      <c r="D115" s="29"/>
      <c r="E115" s="302"/>
    </row>
    <row r="116" spans="3:5" x14ac:dyDescent="0.2">
      <c r="C116" s="29"/>
      <c r="D116" s="29"/>
      <c r="E116" s="302"/>
    </row>
    <row r="117" spans="3:5" x14ac:dyDescent="0.2">
      <c r="C117" s="29"/>
      <c r="D117" s="29"/>
      <c r="E117" s="302"/>
    </row>
    <row r="118" spans="3:5" x14ac:dyDescent="0.2">
      <c r="C118" s="29"/>
      <c r="D118" s="29"/>
      <c r="E118" s="302"/>
    </row>
    <row r="119" spans="3:5" x14ac:dyDescent="0.2">
      <c r="C119" s="29"/>
      <c r="D119" s="29"/>
      <c r="E119" s="302"/>
    </row>
    <row r="120" spans="3:5" x14ac:dyDescent="0.2">
      <c r="C120" s="29"/>
      <c r="D120" s="29"/>
      <c r="E120" s="302"/>
    </row>
    <row r="121" spans="3:5" x14ac:dyDescent="0.2">
      <c r="C121" s="29"/>
      <c r="D121" s="29"/>
      <c r="E121" s="302"/>
    </row>
    <row r="122" spans="3:5" x14ac:dyDescent="0.2">
      <c r="C122" s="29"/>
      <c r="D122" s="29"/>
      <c r="E122" s="302"/>
    </row>
    <row r="123" spans="3:5" x14ac:dyDescent="0.2">
      <c r="C123" s="29"/>
      <c r="D123" s="29"/>
      <c r="E123" s="302"/>
    </row>
    <row r="124" spans="3:5" x14ac:dyDescent="0.2">
      <c r="C124" s="29"/>
      <c r="D124" s="29"/>
      <c r="E124" s="302"/>
    </row>
    <row r="125" spans="3:5" x14ac:dyDescent="0.2">
      <c r="C125" s="29"/>
      <c r="D125" s="29"/>
      <c r="E125" s="302"/>
    </row>
    <row r="126" spans="3:5" x14ac:dyDescent="0.2">
      <c r="C126" s="29"/>
      <c r="D126" s="29"/>
      <c r="E126" s="302"/>
    </row>
    <row r="127" spans="3:5" x14ac:dyDescent="0.2">
      <c r="C127" s="29"/>
      <c r="D127" s="29"/>
      <c r="E127" s="30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36"/>
  <sheetViews>
    <sheetView zoomScale="85" zoomScaleNormal="85" workbookViewId="0">
      <selection activeCell="J62" sqref="J62"/>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2" width="24.85546875" style="29" customWidth="1"/>
    <col min="13" max="13" width="24.85546875" style="34" customWidth="1"/>
    <col min="14" max="14" width="24.85546875" style="29" customWidth="1"/>
    <col min="15" max="18" width="8.7109375" style="29" customWidth="1"/>
    <col min="19" max="16384" width="9.140625" style="29"/>
  </cols>
  <sheetData>
    <row r="2" spans="2:18" s="26" customFormat="1" ht="43.5" customHeight="1" x14ac:dyDescent="0.45">
      <c r="B2" s="221" t="s">
        <v>302</v>
      </c>
      <c r="C2" s="316"/>
      <c r="D2" s="316"/>
      <c r="E2" s="222"/>
      <c r="F2" s="222"/>
      <c r="G2" s="226"/>
      <c r="H2" s="226">
        <f>COUNTA(B13:B78)</f>
        <v>65</v>
      </c>
      <c r="I2" s="226"/>
      <c r="J2" s="226"/>
      <c r="K2" s="27"/>
      <c r="L2" s="127"/>
      <c r="M2" s="27"/>
    </row>
    <row r="3" spans="2:18" ht="12.75" thickBot="1" x14ac:dyDescent="0.25"/>
    <row r="4" spans="2:18" s="81" customFormat="1" ht="13.5" thickBot="1" x14ac:dyDescent="0.25">
      <c r="B4" s="170" t="s">
        <v>174</v>
      </c>
      <c r="C4" s="317"/>
      <c r="D4" s="317"/>
      <c r="E4" s="184">
        <f>D!D2</f>
        <v>45322</v>
      </c>
      <c r="M4" s="92"/>
    </row>
    <row r="7" spans="2:18" ht="12.75" x14ac:dyDescent="0.2">
      <c r="J7" s="219"/>
      <c r="K7" s="72" t="s">
        <v>2</v>
      </c>
      <c r="L7" s="72" t="s">
        <v>51</v>
      </c>
      <c r="M7" s="72" t="s">
        <v>33</v>
      </c>
      <c r="N7" s="72" t="s">
        <v>162</v>
      </c>
      <c r="O7" s="72" t="s">
        <v>24</v>
      </c>
      <c r="P7" s="72" t="s">
        <v>34</v>
      </c>
      <c r="Q7" s="72" t="s">
        <v>175</v>
      </c>
      <c r="R7" s="72" t="s">
        <v>98</v>
      </c>
    </row>
    <row r="8" spans="2:18" ht="12.75" x14ac:dyDescent="0.2">
      <c r="J8" s="161"/>
      <c r="K8" s="81"/>
      <c r="L8" s="81"/>
      <c r="M8" s="92"/>
      <c r="N8" s="81"/>
      <c r="O8" s="165"/>
      <c r="P8" s="81"/>
      <c r="Q8" s="81"/>
      <c r="R8" s="81"/>
    </row>
    <row r="9" spans="2:18" ht="15" x14ac:dyDescent="0.25">
      <c r="K9" s="44">
        <f>-SUM(F12:F78)</f>
        <v>1263.4151687813253</v>
      </c>
      <c r="L9" s="318"/>
      <c r="M9" s="44">
        <f>SUM(G12:G78)</f>
        <v>814.01547370140815</v>
      </c>
      <c r="N9" s="44">
        <f ca="1">SUM(H12:H78)</f>
        <v>428.7366745400949</v>
      </c>
      <c r="O9" s="216">
        <f ca="1">XIRR(I13:I78,E13:E78)</f>
        <v>-1.7151203751564027E-2</v>
      </c>
      <c r="P9" s="217">
        <f ca="1">(M9+N9)/K9</f>
        <v>0.98364510649357373</v>
      </c>
      <c r="Q9" s="217">
        <f ca="1">N9/K9</f>
        <v>0.33934741732889673</v>
      </c>
      <c r="R9" s="217">
        <f>M9/K9</f>
        <v>0.64429768916467689</v>
      </c>
    </row>
    <row r="10" spans="2:18" ht="15" x14ac:dyDescent="0.25">
      <c r="B10" s="315" t="s">
        <v>96</v>
      </c>
      <c r="C10" s="42"/>
      <c r="D10" s="42"/>
      <c r="E10" s="42"/>
      <c r="F10" s="42"/>
      <c r="G10" s="42"/>
      <c r="H10" s="42"/>
      <c r="I10" s="42"/>
      <c r="K10" s="44"/>
      <c r="L10" s="34"/>
      <c r="M10" s="44"/>
      <c r="N10" s="44"/>
      <c r="O10" s="216"/>
      <c r="P10" s="217"/>
      <c r="Q10" s="217"/>
      <c r="R10" s="217"/>
    </row>
    <row r="11" spans="2:18" x14ac:dyDescent="0.2">
      <c r="B11" s="312" t="s">
        <v>5</v>
      </c>
      <c r="C11" s="314" t="s">
        <v>160</v>
      </c>
      <c r="D11" s="314" t="s">
        <v>122</v>
      </c>
      <c r="E11" s="313" t="s">
        <v>6</v>
      </c>
      <c r="F11" s="313" t="s">
        <v>97</v>
      </c>
      <c r="G11" s="313" t="s">
        <v>33</v>
      </c>
      <c r="H11" s="314" t="s">
        <v>95</v>
      </c>
      <c r="I11" s="314" t="s">
        <v>164</v>
      </c>
      <c r="M11" s="500" t="s">
        <v>350</v>
      </c>
    </row>
    <row r="12" spans="2:18" ht="12.75" x14ac:dyDescent="0.2">
      <c r="B12" s="32"/>
      <c r="C12" s="36"/>
      <c r="D12" s="36"/>
      <c r="E12" s="33"/>
      <c r="F12" s="39"/>
      <c r="G12" s="39"/>
      <c r="H12" s="39"/>
      <c r="I12" s="39"/>
      <c r="K12" s="29" t="s">
        <v>2</v>
      </c>
      <c r="L12" s="321">
        <f>-SUM(F12:F78)</f>
        <v>1263.4151687813253</v>
      </c>
      <c r="M12" s="92" t="b">
        <f ca="1">K9='S | 02'!L42</f>
        <v>1</v>
      </c>
    </row>
    <row r="13" spans="2:18" ht="12.75" x14ac:dyDescent="0.2">
      <c r="B13" s="30" t="str">
        <f>'CF (Equity, Debt)'!C26</f>
        <v>DriveNets</v>
      </c>
      <c r="C13" s="35" t="str">
        <f>VLOOKUP(B13,'S | 02'!$C$6:$J$41,2,0)</f>
        <v>Direct Investment</v>
      </c>
      <c r="D13" s="35" t="str">
        <f>VLOOKUP(B13,'S | 02'!$C$6:$J$41,5,0)</f>
        <v>G42</v>
      </c>
      <c r="E13" s="31">
        <f>'CF (Equity, Debt)'!D26</f>
        <v>44643</v>
      </c>
      <c r="F13" s="38">
        <f>'CF (Equity, Debt)'!E26</f>
        <v>-200</v>
      </c>
      <c r="G13" s="38"/>
      <c r="H13" s="38"/>
      <c r="I13" s="38">
        <f>SUM(F13:H13)</f>
        <v>-200</v>
      </c>
      <c r="K13" s="29" t="s">
        <v>277</v>
      </c>
      <c r="L13" s="321">
        <f ca="1">SUM(H12:H78)</f>
        <v>428.7366745400949</v>
      </c>
      <c r="M13" s="92" t="b">
        <f ca="1">M9='S | 02'!M42</f>
        <v>1</v>
      </c>
    </row>
    <row r="14" spans="2:18" ht="12.75" x14ac:dyDescent="0.2">
      <c r="B14" s="30" t="str">
        <f>'CF (Equity, Debt)'!C27</f>
        <v>DriveNets</v>
      </c>
      <c r="C14" s="35" t="str">
        <f>VLOOKUP(B14,'S | 02'!$C$6:$J$41,2,0)</f>
        <v>Direct Investment</v>
      </c>
      <c r="D14" s="35" t="str">
        <f>VLOOKUP(B14,'S | 02'!$C$6:$J$41,5,0)</f>
        <v>G42</v>
      </c>
      <c r="E14" s="31">
        <f>'CF (Equity, Debt)'!D27</f>
        <v>44680</v>
      </c>
      <c r="F14" s="38">
        <f>'CF (Equity, Debt)'!E27</f>
        <v>-100</v>
      </c>
      <c r="G14" s="38"/>
      <c r="H14" s="38"/>
      <c r="I14" s="38">
        <f>SUM(F14:H14)</f>
        <v>-100</v>
      </c>
      <c r="K14" s="29" t="s">
        <v>33</v>
      </c>
      <c r="L14" s="321">
        <f>SUM(G12:G78)</f>
        <v>814.01547370140815</v>
      </c>
      <c r="M14" s="92" t="b">
        <f ca="1">ROUND(N9,3)=ROUND('S | 02'!N42,3)</f>
        <v>1</v>
      </c>
    </row>
    <row r="15" spans="2:18" x14ac:dyDescent="0.2">
      <c r="B15" s="32" t="str">
        <f>'CF (Equity, Debt)'!C29</f>
        <v>vTv Therapeutics Inc.</v>
      </c>
      <c r="C15" s="36" t="str">
        <f>VLOOKUP(B15,'S | 02'!$C$6:$J$41,2,0)</f>
        <v>Direct Investment</v>
      </c>
      <c r="D15" s="36" t="str">
        <f>VLOOKUP(B15,'S | 02'!$C$6:$J$41,5,0)</f>
        <v>G42</v>
      </c>
      <c r="E15" s="33">
        <f>'CF (Equity, Debt)'!D29</f>
        <v>44712</v>
      </c>
      <c r="F15" s="39">
        <f>'CF (Equity, Debt)'!E29</f>
        <v>-12.5</v>
      </c>
      <c r="G15" s="39"/>
      <c r="H15" s="39"/>
      <c r="I15" s="39">
        <f>SUM(F15:H15)</f>
        <v>-12.5</v>
      </c>
      <c r="K15" s="29" t="s">
        <v>278</v>
      </c>
      <c r="L15" s="321">
        <f ca="1">L14+L13-L12</f>
        <v>-20.663020539822128</v>
      </c>
    </row>
    <row r="16" spans="2:18" x14ac:dyDescent="0.2">
      <c r="B16" s="32" t="str">
        <f>'CF (Equity, Debt)'!C34</f>
        <v>vTv Therapeutics Inc.</v>
      </c>
      <c r="C16" s="36" t="str">
        <f>VLOOKUP(B16,'S | 02'!$C$6:$J$41,2,0)</f>
        <v>Direct Investment</v>
      </c>
      <c r="D16" s="36" t="str">
        <f>VLOOKUP(B16,'S | 02'!$C$6:$J$41,5,0)</f>
        <v>G42</v>
      </c>
      <c r="E16" s="33">
        <f>'CF (Equity, Debt)'!D34</f>
        <v>44985</v>
      </c>
      <c r="F16" s="39">
        <f>'CF (Equity, Debt)'!E34</f>
        <v>-12.03125</v>
      </c>
      <c r="G16" s="39"/>
      <c r="H16" s="39"/>
      <c r="I16" s="39">
        <f>SUM(F16:H16)</f>
        <v>-12.03125</v>
      </c>
      <c r="K16" s="29" t="s">
        <v>24</v>
      </c>
      <c r="L16" s="320">
        <f ca="1">O9</f>
        <v>-1.7151203751564027E-2</v>
      </c>
    </row>
    <row r="17" spans="2:12" x14ac:dyDescent="0.2">
      <c r="B17" s="200" t="str">
        <f>'CF (Equity, Debt)'!C30</f>
        <v>Honor Device Co Ltd</v>
      </c>
      <c r="C17" s="201" t="str">
        <f>VLOOKUP(B17,'S | 02'!$C$6:$J$41,2,0)</f>
        <v>Direct Investment</v>
      </c>
      <c r="D17" s="201" t="str">
        <f>VLOOKUP(B17,'S | 02'!$C$6:$J$41,5,0)</f>
        <v>G42 3</v>
      </c>
      <c r="E17" s="300">
        <f>'CF (Equity, Debt)'!D30</f>
        <v>44769</v>
      </c>
      <c r="F17" s="203">
        <f>'CF (Equity, Debt)'!E30</f>
        <v>-600</v>
      </c>
      <c r="G17" s="203"/>
      <c r="H17" s="203"/>
      <c r="I17" s="203">
        <f>SUM(F17:H17)</f>
        <v>-600</v>
      </c>
    </row>
    <row r="18" spans="2:12" x14ac:dyDescent="0.2">
      <c r="B18" s="200" t="str">
        <f>'CF (Equity, Debt)'!C31</f>
        <v>Honor Device Co Ltd</v>
      </c>
      <c r="C18" s="201" t="str">
        <f>VLOOKUP(B18,'S | 02'!$C$6:$J$41,2,0)</f>
        <v>Direct Investment</v>
      </c>
      <c r="D18" s="201" t="str">
        <f>VLOOKUP(B18,'S | 02'!$C$6:$J$41,5,0)</f>
        <v>G42 3</v>
      </c>
      <c r="E18" s="300">
        <f>'CF (Equity, Debt)'!D31</f>
        <v>44849</v>
      </c>
      <c r="F18" s="203">
        <f>'CF (Equity, Debt)'!E31</f>
        <v>-200</v>
      </c>
      <c r="G18" s="203"/>
      <c r="H18" s="203"/>
      <c r="I18" s="203">
        <f t="shared" ref="I18" si="0">SUM(F18:H18)</f>
        <v>-200</v>
      </c>
    </row>
    <row r="19" spans="2:12" x14ac:dyDescent="0.2">
      <c r="B19" s="560" t="str">
        <f>'CF (Equity, Debt)'!C43</f>
        <v>Honor Device Co Ltd</v>
      </c>
      <c r="C19" s="201" t="str">
        <f>VLOOKUP(B19,'S | 02'!$C$6:$J$41,2,0)</f>
        <v>Direct Investment</v>
      </c>
      <c r="D19" s="201" t="str">
        <f>VLOOKUP(B19,'S | 02'!$C$6:$J$41,5,0)</f>
        <v>G42 3</v>
      </c>
      <c r="E19" s="300">
        <f>'CF (Equity, Debt)'!D32</f>
        <v>44861</v>
      </c>
      <c r="F19" s="203">
        <f>'CF (Equity, Debt)'!E43</f>
        <v>0</v>
      </c>
      <c r="G19" s="203">
        <f>'CF (Equity, Debt)'!F43</f>
        <v>2.8</v>
      </c>
      <c r="H19" s="203"/>
      <c r="I19" s="203">
        <f t="shared" ref="I19:I20" si="1">SUM(F19:H19)</f>
        <v>2.8</v>
      </c>
    </row>
    <row r="20" spans="2:12" x14ac:dyDescent="0.2">
      <c r="B20" s="560" t="str">
        <f>'CF (Equity, Debt)'!C44</f>
        <v>Honor Device Co Ltd</v>
      </c>
      <c r="C20" s="201" t="str">
        <f>VLOOKUP(B20,'S | 02'!$C$6:$J$41,2,0)</f>
        <v>Direct Investment</v>
      </c>
      <c r="D20" s="201" t="str">
        <f>VLOOKUP(B20,'S | 02'!$C$6:$J$41,5,0)</f>
        <v>G42 3</v>
      </c>
      <c r="E20" s="300">
        <f>'CF (Equity, Debt)'!D33</f>
        <v>44892</v>
      </c>
      <c r="F20" s="203">
        <f>'CF (Equity, Debt)'!E44</f>
        <v>0</v>
      </c>
      <c r="G20" s="203">
        <f>'CF (Equity, Debt)'!F44</f>
        <v>800</v>
      </c>
      <c r="H20" s="203"/>
      <c r="I20" s="203">
        <f t="shared" si="1"/>
        <v>800</v>
      </c>
    </row>
    <row r="21" spans="2:12" x14ac:dyDescent="0.2">
      <c r="B21" s="196" t="str">
        <f>'CF (Funds)'!B3</f>
        <v>Sinovation Disrupt Fund, L.P.</v>
      </c>
      <c r="C21" s="197" t="str">
        <f>VLOOKUP(B21,'S | 02'!$C$6:$J$41,2,0)</f>
        <v>Fund Investment</v>
      </c>
      <c r="D21" s="197" t="str">
        <f>VLOOKUP(B21,'S | 02'!$C$6:$J$41,5,0)</f>
        <v>G42</v>
      </c>
      <c r="E21" s="31">
        <f>'CF (Funds)'!C3</f>
        <v>44153</v>
      </c>
      <c r="F21" s="199">
        <f>'CF (Funds)'!D3</f>
        <v>-10.5</v>
      </c>
      <c r="G21" s="199">
        <f>'CF (Funds)'!E3</f>
        <v>0</v>
      </c>
      <c r="H21" s="199"/>
      <c r="I21" s="199">
        <f t="shared" ref="I21:I68" si="2">SUM(F21:H21)</f>
        <v>-10.5</v>
      </c>
      <c r="L21" s="400">
        <f ca="1">L15/L12</f>
        <v>-1.6354893506426254E-2</v>
      </c>
    </row>
    <row r="22" spans="2:12" x14ac:dyDescent="0.2">
      <c r="B22" s="196" t="str">
        <f>'CF (Funds)'!B4</f>
        <v>Sinovation Disrupt Fund, L.P.</v>
      </c>
      <c r="C22" s="197" t="str">
        <f>VLOOKUP(B22,'S | 02'!$C$6:$J$41,2,0)</f>
        <v>Fund Investment</v>
      </c>
      <c r="D22" s="197" t="str">
        <f>VLOOKUP(B22,'S | 02'!$C$6:$J$41,5,0)</f>
        <v>G42</v>
      </c>
      <c r="E22" s="31">
        <f>'CF (Funds)'!C4</f>
        <v>44238</v>
      </c>
      <c r="F22" s="199">
        <f>'CF (Funds)'!D4</f>
        <v>4.2140269999999997</v>
      </c>
      <c r="G22" s="199">
        <f>'CF (Funds)'!E4</f>
        <v>0</v>
      </c>
      <c r="H22" s="199"/>
      <c r="I22" s="199">
        <f t="shared" si="2"/>
        <v>4.2140269999999997</v>
      </c>
    </row>
    <row r="23" spans="2:12" x14ac:dyDescent="0.2">
      <c r="B23" s="196" t="str">
        <f>'CF (Funds)'!B5</f>
        <v>Sinovation Disrupt Fund, L.P.</v>
      </c>
      <c r="C23" s="197" t="str">
        <f>VLOOKUP(B23,'S | 02'!$C$6:$J$41,2,0)</f>
        <v>Fund Investment</v>
      </c>
      <c r="D23" s="197" t="str">
        <f>VLOOKUP(B23,'S | 02'!$C$6:$J$41,5,0)</f>
        <v>G42</v>
      </c>
      <c r="E23" s="31">
        <f>'CF (Funds)'!C5</f>
        <v>44238</v>
      </c>
      <c r="F23" s="199">
        <f>'CF (Funds)'!D5</f>
        <v>0</v>
      </c>
      <c r="G23" s="199">
        <f>'CF (Funds)'!E5</f>
        <v>5.0448349999999996E-2</v>
      </c>
      <c r="H23" s="199"/>
      <c r="I23" s="199">
        <f t="shared" si="2"/>
        <v>5.0448349999999996E-2</v>
      </c>
    </row>
    <row r="24" spans="2:12" x14ac:dyDescent="0.2">
      <c r="B24" s="196" t="str">
        <f>'CF (Funds)'!B6</f>
        <v>Sinovation Disrupt Fund, L.P.</v>
      </c>
      <c r="C24" s="197" t="str">
        <f>VLOOKUP(B24,'S | 02'!$C$6:$J$41,2,0)</f>
        <v>Fund Investment</v>
      </c>
      <c r="D24" s="197" t="str">
        <f>VLOOKUP(B24,'S | 02'!$C$6:$J$41,5,0)</f>
        <v>G42</v>
      </c>
      <c r="E24" s="31">
        <f>'CF (Funds)'!C6</f>
        <v>44285</v>
      </c>
      <c r="F24" s="199">
        <f>'CF (Funds)'!D6</f>
        <v>-6.4337459999999993</v>
      </c>
      <c r="G24" s="199">
        <f>'CF (Funds)'!E6</f>
        <v>0</v>
      </c>
      <c r="H24" s="199"/>
      <c r="I24" s="199">
        <f t="shared" si="2"/>
        <v>-6.4337459999999993</v>
      </c>
    </row>
    <row r="25" spans="2:12" x14ac:dyDescent="0.2">
      <c r="B25" s="196" t="str">
        <f>'CF (Funds)'!B7</f>
        <v>Sinovation Disrupt Fund, L.P.</v>
      </c>
      <c r="C25" s="197" t="str">
        <f>VLOOKUP(B25,'S | 02'!$C$6:$J$41,2,0)</f>
        <v>Fund Investment</v>
      </c>
      <c r="D25" s="197" t="str">
        <f>VLOOKUP(B25,'S | 02'!$C$6:$J$41,5,0)</f>
        <v>G42</v>
      </c>
      <c r="E25" s="31">
        <f>'CF (Funds)'!C7</f>
        <v>44269</v>
      </c>
      <c r="F25" s="199">
        <f>'CF (Funds)'!D7</f>
        <v>1.1352073899999999</v>
      </c>
      <c r="G25" s="199">
        <f>'CF (Funds)'!E7</f>
        <v>0</v>
      </c>
      <c r="H25" s="199"/>
      <c r="I25" s="199">
        <f t="shared" si="2"/>
        <v>1.1352073899999999</v>
      </c>
    </row>
    <row r="26" spans="2:12" x14ac:dyDescent="0.2">
      <c r="B26" s="196" t="str">
        <f>'CF (Funds)'!B8</f>
        <v>Sinovation Disrupt Fund, L.P.</v>
      </c>
      <c r="C26" s="197" t="str">
        <f>VLOOKUP(B26,'S | 02'!$C$6:$J$41,2,0)</f>
        <v>Fund Investment</v>
      </c>
      <c r="D26" s="197" t="str">
        <f>VLOOKUP(B26,'S | 02'!$C$6:$J$41,5,0)</f>
        <v>G42</v>
      </c>
      <c r="E26" s="31">
        <f>'CF (Funds)'!C8</f>
        <v>44269</v>
      </c>
      <c r="F26" s="199">
        <f>'CF (Funds)'!D8</f>
        <v>0</v>
      </c>
      <c r="G26" s="199">
        <f>'CF (Funds)'!E8</f>
        <v>2.5899999999999999E-2</v>
      </c>
      <c r="H26" s="199"/>
      <c r="I26" s="199">
        <f t="shared" si="2"/>
        <v>2.5899999999999999E-2</v>
      </c>
    </row>
    <row r="27" spans="2:12" x14ac:dyDescent="0.2">
      <c r="B27" s="196" t="str">
        <f>'CF (Funds)'!B9</f>
        <v>Sinovation Disrupt Fund, L.P.</v>
      </c>
      <c r="C27" s="197" t="str">
        <f>VLOOKUP(B27,'S | 02'!$C$6:$J$41,2,0)</f>
        <v>Fund Investment</v>
      </c>
      <c r="D27" s="197" t="str">
        <f>VLOOKUP(B27,'S | 02'!$C$6:$J$41,5,0)</f>
        <v>G42</v>
      </c>
      <c r="E27" s="31">
        <f>'CF (Funds)'!C9</f>
        <v>44483</v>
      </c>
      <c r="F27" s="199">
        <f>'CF (Funds)'!D9</f>
        <v>-7.5671379999999999</v>
      </c>
      <c r="G27" s="199">
        <f>'CF (Funds)'!E9</f>
        <v>0</v>
      </c>
      <c r="H27" s="199"/>
      <c r="I27" s="199">
        <f t="shared" si="2"/>
        <v>-7.5671379999999999</v>
      </c>
    </row>
    <row r="28" spans="2:12" x14ac:dyDescent="0.2">
      <c r="B28" s="196" t="str">
        <f>'CF (Funds)'!B10</f>
        <v>Sinovation Disrupt Fund, L.P.</v>
      </c>
      <c r="C28" s="197" t="str">
        <f>VLOOKUP(B28,'S | 02'!$C$6:$J$41,2,0)</f>
        <v>Fund Investment</v>
      </c>
      <c r="D28" s="197" t="str">
        <f>VLOOKUP(B28,'S | 02'!$C$6:$J$41,5,0)</f>
        <v>G42</v>
      </c>
      <c r="E28" s="31">
        <f>'CF (Funds)'!C10</f>
        <v>44554</v>
      </c>
      <c r="F28" s="199">
        <f>'CF (Funds)'!D10</f>
        <v>-7.3850159999999994</v>
      </c>
      <c r="G28" s="199">
        <f>'CF (Funds)'!E10</f>
        <v>0</v>
      </c>
      <c r="H28" s="199"/>
      <c r="I28" s="199">
        <f t="shared" si="2"/>
        <v>-7.3850159999999994</v>
      </c>
    </row>
    <row r="29" spans="2:12" x14ac:dyDescent="0.2">
      <c r="B29" s="196" t="str">
        <f>'CF (Funds)'!B11</f>
        <v>Sinovation Disrupt Fund, L.P.</v>
      </c>
      <c r="C29" s="197" t="str">
        <f>VLOOKUP(B29,'S | 02'!$C$6:$J$41,2,0)</f>
        <v>Fund Investment</v>
      </c>
      <c r="D29" s="197" t="str">
        <f>VLOOKUP(B29,'S | 02'!$C$6:$J$41,5,0)</f>
        <v>G42</v>
      </c>
      <c r="E29" s="31">
        <f>'CF (Funds)'!C11</f>
        <v>44554</v>
      </c>
      <c r="F29" s="199">
        <f>'CF (Funds)'!D11</f>
        <v>4.0733456099999996</v>
      </c>
      <c r="G29" s="199">
        <f>'CF (Funds)'!E11</f>
        <v>0</v>
      </c>
      <c r="H29" s="199"/>
      <c r="I29" s="199">
        <f t="shared" si="2"/>
        <v>4.0733456099999996</v>
      </c>
    </row>
    <row r="30" spans="2:12" x14ac:dyDescent="0.2">
      <c r="B30" s="196" t="str">
        <f>'CF (Funds)'!B12</f>
        <v>Sinovation Disrupt Fund, L.P.</v>
      </c>
      <c r="C30" s="197" t="str">
        <f>VLOOKUP(B30,'S | 02'!$C$6:$J$41,2,0)</f>
        <v>Fund Investment</v>
      </c>
      <c r="D30" s="197" t="str">
        <f>VLOOKUP(B30,'S | 02'!$C$6:$J$41,5,0)</f>
        <v>G42</v>
      </c>
      <c r="E30" s="31">
        <f>'CF (Funds)'!C12</f>
        <v>44554</v>
      </c>
      <c r="F30" s="199">
        <f>'CF (Funds)'!D12</f>
        <v>0</v>
      </c>
      <c r="G30" s="199">
        <f>'CF (Funds)'!E12</f>
        <v>0.13969399999999998</v>
      </c>
      <c r="H30" s="199"/>
      <c r="I30" s="199">
        <f t="shared" si="2"/>
        <v>0.13969399999999998</v>
      </c>
    </row>
    <row r="31" spans="2:12" x14ac:dyDescent="0.2">
      <c r="B31" s="196" t="str">
        <f>'CF (Funds)'!B13</f>
        <v>Sinovation Disrupt Fund, L.P.</v>
      </c>
      <c r="C31" s="197" t="str">
        <f>VLOOKUP(B31,'S | 02'!$C$6:$J$41,2,0)</f>
        <v>Fund Investment</v>
      </c>
      <c r="D31" s="197" t="str">
        <f>VLOOKUP(B31,'S | 02'!$C$6:$J$41,5,0)</f>
        <v>G42</v>
      </c>
      <c r="E31" s="31">
        <f>'CF (Funds)'!C13</f>
        <v>44703</v>
      </c>
      <c r="F31" s="199">
        <f>'CF (Funds)'!D13</f>
        <v>5.6730739999999997</v>
      </c>
      <c r="G31" s="199">
        <f>'CF (Funds)'!E13</f>
        <v>0</v>
      </c>
      <c r="H31" s="199"/>
      <c r="I31" s="199">
        <f t="shared" si="2"/>
        <v>5.6730739999999997</v>
      </c>
    </row>
    <row r="32" spans="2:12" x14ac:dyDescent="0.2">
      <c r="B32" s="196" t="str">
        <f>'CF (Funds)'!B14</f>
        <v>Sinovation Disrupt Fund, L.P.</v>
      </c>
      <c r="C32" s="197" t="str">
        <f>VLOOKUP(B32,'S | 02'!$C$6:$J$41,2,0)</f>
        <v>Fund Investment</v>
      </c>
      <c r="D32" s="197" t="str">
        <f>VLOOKUP(B32,'S | 02'!$C$6:$J$41,5,0)</f>
        <v>G42</v>
      </c>
      <c r="E32" s="31">
        <f>'CF (Funds)'!C14</f>
        <v>44703</v>
      </c>
      <c r="F32" s="199">
        <f>'CF (Funds)'!D14</f>
        <v>0</v>
      </c>
      <c r="G32" s="199">
        <f>'CF (Funds)'!E14</f>
        <v>0.22778599999999999</v>
      </c>
      <c r="H32" s="199"/>
      <c r="I32" s="199">
        <f t="shared" si="2"/>
        <v>0.22778599999999999</v>
      </c>
    </row>
    <row r="33" spans="2:9" x14ac:dyDescent="0.2">
      <c r="B33" s="196" t="str">
        <f>'CF (Funds)'!B15</f>
        <v>Sinovation Disrupt Fund, L.P.</v>
      </c>
      <c r="C33" s="197" t="str">
        <f>VLOOKUP(B33,'S | 02'!$C$6:$J$41,2,0)</f>
        <v>Fund Investment</v>
      </c>
      <c r="D33" s="197" t="str">
        <f>VLOOKUP(B33,'S | 02'!$C$6:$J$41,5,0)</f>
        <v>G42</v>
      </c>
      <c r="E33" s="31">
        <f>'CF (Funds)'!C15</f>
        <v>44776</v>
      </c>
      <c r="F33" s="199">
        <f>'CF (Funds)'!D15</f>
        <v>-3.235493</v>
      </c>
      <c r="G33" s="199">
        <f>'CF (Funds)'!E15</f>
        <v>0</v>
      </c>
      <c r="H33" s="199"/>
      <c r="I33" s="199">
        <f t="shared" ref="I33" si="3">SUM(F33:H33)</f>
        <v>-3.235493</v>
      </c>
    </row>
    <row r="34" spans="2:9" x14ac:dyDescent="0.2">
      <c r="B34" s="196" t="str">
        <f>'CF (Funds)'!B16</f>
        <v>Sinovation Disrupt Fund, L.P.</v>
      </c>
      <c r="C34" s="197" t="str">
        <f>VLOOKUP(B34,'S | 02'!$C$6:$J$41,2,0)</f>
        <v>Fund Investment</v>
      </c>
      <c r="D34" s="197" t="str">
        <f>VLOOKUP(B34,'S | 02'!$C$6:$J$41,5,0)</f>
        <v>G42</v>
      </c>
      <c r="E34" s="31">
        <f>'CF (Funds)'!C16</f>
        <v>44960</v>
      </c>
      <c r="F34" s="199">
        <f>'CF (Funds)'!D16</f>
        <v>-2.6315279999999999</v>
      </c>
      <c r="G34" s="199">
        <f>'CF (Funds)'!E16</f>
        <v>0</v>
      </c>
      <c r="H34" s="199"/>
      <c r="I34" s="199">
        <f t="shared" ref="I34" si="4">SUM(F34:H34)</f>
        <v>-2.6315279999999999</v>
      </c>
    </row>
    <row r="35" spans="2:9" x14ac:dyDescent="0.2">
      <c r="B35" s="196" t="str">
        <f>'CF (Funds)'!B17</f>
        <v>Sinovation Disrupt Fund, L.P.</v>
      </c>
      <c r="C35" s="197" t="str">
        <f>VLOOKUP(B35,'S | 02'!$C$6:$J$41,2,0)</f>
        <v>Fund Investment</v>
      </c>
      <c r="D35" s="197" t="str">
        <f>VLOOKUP(B35,'S | 02'!$C$6:$J$41,5,0)</f>
        <v>G42</v>
      </c>
      <c r="E35" s="31">
        <f>'CF (Funds)'!C17</f>
        <v>45085</v>
      </c>
      <c r="F35" s="199">
        <f>'CF (Funds)'!D17</f>
        <v>1.9125570000000001</v>
      </c>
      <c r="G35" s="199">
        <f>'CF (Funds)'!E17</f>
        <v>0</v>
      </c>
      <c r="H35" s="199"/>
      <c r="I35" s="199">
        <f t="shared" ref="I35" si="5">SUM(F35:H35)</f>
        <v>1.9125570000000001</v>
      </c>
    </row>
    <row r="36" spans="2:9" x14ac:dyDescent="0.2">
      <c r="B36" s="196" t="str">
        <f>'CF (Funds)'!B18</f>
        <v>Sinovation Disrupt Fund, L.P.</v>
      </c>
      <c r="C36" s="197" t="str">
        <f>VLOOKUP(B36,'S | 02'!$C$6:$J$41,2,0)</f>
        <v>Fund Investment</v>
      </c>
      <c r="D36" s="197" t="str">
        <f>VLOOKUP(B36,'S | 02'!$C$6:$J$41,5,0)</f>
        <v>G42</v>
      </c>
      <c r="E36" s="31">
        <f>'CF (Funds)'!C18</f>
        <v>45166</v>
      </c>
      <c r="F36" s="199">
        <f>'CF (Funds)'!D18</f>
        <v>-1.7991220000000001</v>
      </c>
      <c r="G36" s="199">
        <f>'CF (Funds)'!E18</f>
        <v>0</v>
      </c>
      <c r="H36" s="199"/>
      <c r="I36" s="199">
        <f t="shared" ref="I36" si="6">SUM(F36:H36)</f>
        <v>-1.7991220000000001</v>
      </c>
    </row>
    <row r="37" spans="2:9" x14ac:dyDescent="0.2">
      <c r="B37" s="196" t="str">
        <f>'CF (Funds)'!B19</f>
        <v>Sinovation Disrupt Fund, L.P.</v>
      </c>
      <c r="C37" s="197" t="str">
        <f>VLOOKUP(B37,'S | 02'!$C$6:$J$41,2,0)</f>
        <v>Fund Investment</v>
      </c>
      <c r="D37" s="197" t="str">
        <f>VLOOKUP(B37,'S | 02'!$C$6:$J$41,5,0)</f>
        <v>G42</v>
      </c>
      <c r="E37" s="31">
        <f>'CF (Funds)'!C19</f>
        <v>45218</v>
      </c>
      <c r="F37" s="199">
        <f>'CF (Funds)'!D19</f>
        <v>-2.415861</v>
      </c>
      <c r="G37" s="199">
        <f>'CF (Funds)'!E19</f>
        <v>0</v>
      </c>
      <c r="H37" s="199"/>
      <c r="I37" s="199">
        <f t="shared" ref="I37" si="7">SUM(F37:H37)</f>
        <v>-2.415861</v>
      </c>
    </row>
    <row r="38" spans="2:9" x14ac:dyDescent="0.2">
      <c r="B38" s="196" t="str">
        <f>'CF (Funds)'!B20</f>
        <v>Sinovation Disrupt Fund, L.P.</v>
      </c>
      <c r="C38" s="197" t="str">
        <f>VLOOKUP(B38,'S | 02'!$C$6:$J$41,2,0)</f>
        <v>Fund Investment</v>
      </c>
      <c r="D38" s="197" t="str">
        <f>VLOOKUP(B38,'S | 02'!$C$6:$J$41,5,0)</f>
        <v>G42</v>
      </c>
      <c r="E38" s="31">
        <f>'CF (Funds)'!C20</f>
        <v>0</v>
      </c>
      <c r="F38" s="199">
        <f>'CF (Funds)'!D20</f>
        <v>0</v>
      </c>
      <c r="G38" s="199">
        <f>'CF (Funds)'!E20</f>
        <v>0</v>
      </c>
      <c r="H38" s="199"/>
      <c r="I38" s="199">
        <f t="shared" ref="I38" si="8">SUM(F38:H38)</f>
        <v>0</v>
      </c>
    </row>
    <row r="39" spans="2:9" x14ac:dyDescent="0.2">
      <c r="B39" s="200" t="str">
        <f>'CF (Funds)'!B21</f>
        <v>North Summit Capital Fund</v>
      </c>
      <c r="C39" s="201" t="str">
        <f>VLOOKUP(B39,'S | 02'!$C$6:$J$41,2,0)</f>
        <v>Fund Investment</v>
      </c>
      <c r="D39" s="201" t="str">
        <f>VLOOKUP(B39,'S | 02'!$C$6:$J$41,5,0)</f>
        <v>G42</v>
      </c>
      <c r="E39" s="300">
        <f>'CF (Funds)'!C21</f>
        <v>43665</v>
      </c>
      <c r="F39" s="203">
        <f>'CF (Funds)'!D21</f>
        <v>-3</v>
      </c>
      <c r="G39" s="203">
        <f>'CF (Funds)'!E21</f>
        <v>0</v>
      </c>
      <c r="H39" s="203"/>
      <c r="I39" s="203">
        <f t="shared" si="2"/>
        <v>-3</v>
      </c>
    </row>
    <row r="40" spans="2:9" x14ac:dyDescent="0.2">
      <c r="B40" s="200" t="str">
        <f>'CF (Funds)'!B22</f>
        <v>North Summit Capital Fund</v>
      </c>
      <c r="C40" s="201" t="str">
        <f>VLOOKUP(B40,'S | 02'!$C$6:$J$41,2,0)</f>
        <v>Fund Investment</v>
      </c>
      <c r="D40" s="201" t="str">
        <f>VLOOKUP(B40,'S | 02'!$C$6:$J$41,5,0)</f>
        <v>G42</v>
      </c>
      <c r="E40" s="300">
        <f>'CF (Funds)'!C22</f>
        <v>43983</v>
      </c>
      <c r="F40" s="203">
        <f>'CF (Funds)'!D22</f>
        <v>-4.4849999999999994</v>
      </c>
      <c r="G40" s="203">
        <f>'CF (Funds)'!E22</f>
        <v>0</v>
      </c>
      <c r="H40" s="203"/>
      <c r="I40" s="203">
        <f t="shared" si="2"/>
        <v>-4.4849999999999994</v>
      </c>
    </row>
    <row r="41" spans="2:9" x14ac:dyDescent="0.2">
      <c r="B41" s="200" t="str">
        <f>'CF (Funds)'!B23</f>
        <v>North Summit Capital Fund</v>
      </c>
      <c r="C41" s="201" t="str">
        <f>VLOOKUP(B41,'S | 02'!$C$6:$J$41,2,0)</f>
        <v>Fund Investment</v>
      </c>
      <c r="D41" s="201" t="str">
        <f>VLOOKUP(B41,'S | 02'!$C$6:$J$41,5,0)</f>
        <v>G42</v>
      </c>
      <c r="E41" s="300">
        <f>'CF (Funds)'!C23</f>
        <v>43879</v>
      </c>
      <c r="F41" s="203">
        <f>'CF (Funds)'!D23</f>
        <v>-9.5097500000000004</v>
      </c>
      <c r="G41" s="203">
        <f>'CF (Funds)'!E23</f>
        <v>0</v>
      </c>
      <c r="H41" s="203"/>
      <c r="I41" s="203">
        <f t="shared" si="2"/>
        <v>-9.5097500000000004</v>
      </c>
    </row>
    <row r="42" spans="2:9" x14ac:dyDescent="0.2">
      <c r="B42" s="200" t="str">
        <f>'CF (Funds)'!B24</f>
        <v>North Summit Capital Fund</v>
      </c>
      <c r="C42" s="201" t="str">
        <f>VLOOKUP(B42,'S | 02'!$C$6:$J$41,2,0)</f>
        <v>Fund Investment</v>
      </c>
      <c r="D42" s="201" t="str">
        <f>VLOOKUP(B42,'S | 02'!$C$6:$J$41,5,0)</f>
        <v>G42</v>
      </c>
      <c r="E42" s="300">
        <f>'CF (Funds)'!C24</f>
        <v>43934</v>
      </c>
      <c r="F42" s="203">
        <f>'CF (Funds)'!D24</f>
        <v>-41.3</v>
      </c>
      <c r="G42" s="203">
        <f>'CF (Funds)'!E24</f>
        <v>0</v>
      </c>
      <c r="H42" s="203"/>
      <c r="I42" s="203">
        <f t="shared" si="2"/>
        <v>-41.3</v>
      </c>
    </row>
    <row r="43" spans="2:9" x14ac:dyDescent="0.2">
      <c r="B43" s="200" t="str">
        <f>'CF (Funds)'!B25</f>
        <v>North Summit Capital Fund</v>
      </c>
      <c r="C43" s="201" t="str">
        <f>VLOOKUP(B43,'S | 02'!$C$6:$J$41,2,0)</f>
        <v>Fund Investment</v>
      </c>
      <c r="D43" s="201" t="str">
        <f>VLOOKUP(B43,'S | 02'!$C$6:$J$41,5,0)</f>
        <v>G42</v>
      </c>
      <c r="E43" s="300">
        <f>'CF (Funds)'!C25</f>
        <v>44151</v>
      </c>
      <c r="F43" s="203">
        <f>'CF (Funds)'!D25</f>
        <v>9.9499999999999993</v>
      </c>
      <c r="G43" s="203">
        <f>'CF (Funds)'!E25</f>
        <v>0</v>
      </c>
      <c r="H43" s="203"/>
      <c r="I43" s="203">
        <f t="shared" si="2"/>
        <v>9.9499999999999993</v>
      </c>
    </row>
    <row r="44" spans="2:9" x14ac:dyDescent="0.2">
      <c r="B44" s="200" t="str">
        <f>'CF (Funds)'!B26</f>
        <v>North Summit Capital Fund</v>
      </c>
      <c r="C44" s="201" t="str">
        <f>VLOOKUP(B44,'S | 02'!$C$6:$J$41,2,0)</f>
        <v>Fund Investment</v>
      </c>
      <c r="D44" s="201" t="str">
        <f>VLOOKUP(B44,'S | 02'!$C$6:$J$41,5,0)</f>
        <v>G42</v>
      </c>
      <c r="E44" s="300">
        <f>'CF (Funds)'!C26</f>
        <v>44151</v>
      </c>
      <c r="F44" s="203">
        <f>'CF (Funds)'!D26</f>
        <v>-10.455</v>
      </c>
      <c r="G44" s="203">
        <f>'CF (Funds)'!E26</f>
        <v>0</v>
      </c>
      <c r="H44" s="203"/>
      <c r="I44" s="203">
        <f t="shared" si="2"/>
        <v>-10.455</v>
      </c>
    </row>
    <row r="45" spans="2:9" x14ac:dyDescent="0.2">
      <c r="B45" s="200" t="str">
        <f>'CF (Funds)'!B27</f>
        <v>North Summit Capital Fund</v>
      </c>
      <c r="C45" s="201" t="str">
        <f>VLOOKUP(B45,'S | 02'!$C$6:$J$41,2,0)</f>
        <v>Fund Investment</v>
      </c>
      <c r="D45" s="201" t="str">
        <f>VLOOKUP(B45,'S | 02'!$C$6:$J$41,5,0)</f>
        <v>G42</v>
      </c>
      <c r="E45" s="300">
        <f>'CF (Funds)'!C27</f>
        <v>44196</v>
      </c>
      <c r="F45" s="203">
        <f>'CF (Funds)'!D27</f>
        <v>4.9749999999999996</v>
      </c>
      <c r="G45" s="203">
        <f>'CF (Funds)'!E27</f>
        <v>0</v>
      </c>
      <c r="H45" s="203"/>
      <c r="I45" s="203">
        <f t="shared" si="2"/>
        <v>4.9749999999999996</v>
      </c>
    </row>
    <row r="46" spans="2:9" x14ac:dyDescent="0.2">
      <c r="B46" s="200" t="str">
        <f>'CF (Funds)'!B28</f>
        <v>North Summit Capital Fund</v>
      </c>
      <c r="C46" s="201" t="str">
        <f>VLOOKUP(B46,'S | 02'!$C$6:$J$41,2,0)</f>
        <v>Fund Investment</v>
      </c>
      <c r="D46" s="201" t="str">
        <f>VLOOKUP(B46,'S | 02'!$C$6:$J$41,5,0)</f>
        <v>G42</v>
      </c>
      <c r="E46" s="300">
        <f>'CF (Funds)'!C28</f>
        <v>44196</v>
      </c>
      <c r="F46" s="203">
        <f>'CF (Funds)'!D28</f>
        <v>-3.4522930000000001</v>
      </c>
      <c r="G46" s="203">
        <f>'CF (Funds)'!E28</f>
        <v>0</v>
      </c>
      <c r="H46" s="203"/>
      <c r="I46" s="203">
        <f t="shared" si="2"/>
        <v>-3.4522930000000001</v>
      </c>
    </row>
    <row r="47" spans="2:9" x14ac:dyDescent="0.2">
      <c r="B47" s="200" t="str">
        <f>'CF (Funds)'!B29</f>
        <v>North Summit Capital Fund</v>
      </c>
      <c r="C47" s="201" t="str">
        <f>VLOOKUP(B47,'S | 02'!$C$6:$J$41,2,0)</f>
        <v>Fund Investment</v>
      </c>
      <c r="D47" s="201" t="str">
        <f>VLOOKUP(B47,'S | 02'!$C$6:$J$41,5,0)</f>
        <v>G42</v>
      </c>
      <c r="E47" s="300">
        <f>'CF (Funds)'!C29</f>
        <v>44196</v>
      </c>
      <c r="F47" s="203">
        <f>'CF (Funds)'!D29</f>
        <v>0</v>
      </c>
      <c r="G47" s="203">
        <f>'CF (Funds)'!E29</f>
        <v>0.58290199999999992</v>
      </c>
      <c r="H47" s="203"/>
      <c r="I47" s="203">
        <f t="shared" si="2"/>
        <v>0.58290199999999992</v>
      </c>
    </row>
    <row r="48" spans="2:9" x14ac:dyDescent="0.2">
      <c r="B48" s="200" t="str">
        <f>'CF (Funds)'!B30</f>
        <v>North Summit Capital Fund</v>
      </c>
      <c r="C48" s="201" t="str">
        <f>VLOOKUP(B48,'S | 02'!$C$6:$J$41,2,0)</f>
        <v>Fund Investment</v>
      </c>
      <c r="D48" s="201" t="str">
        <f>VLOOKUP(B48,'S | 02'!$C$6:$J$41,5,0)</f>
        <v>G42</v>
      </c>
      <c r="E48" s="300">
        <f>'CF (Funds)'!C30</f>
        <v>44370</v>
      </c>
      <c r="F48" s="203">
        <f>'CF (Funds)'!D30</f>
        <v>-5.97</v>
      </c>
      <c r="G48" s="203">
        <f>'CF (Funds)'!E30</f>
        <v>0</v>
      </c>
      <c r="H48" s="203"/>
      <c r="I48" s="203">
        <f t="shared" si="2"/>
        <v>-5.97</v>
      </c>
    </row>
    <row r="49" spans="2:9" x14ac:dyDescent="0.2">
      <c r="B49" s="200" t="str">
        <f>'CF (Funds)'!B31</f>
        <v>North Summit Capital Fund</v>
      </c>
      <c r="C49" s="201" t="str">
        <f>VLOOKUP(B49,'S | 02'!$C$6:$J$41,2,0)</f>
        <v>Fund Investment</v>
      </c>
      <c r="D49" s="201" t="str">
        <f>VLOOKUP(B49,'S | 02'!$C$6:$J$41,5,0)</f>
        <v>G42</v>
      </c>
      <c r="E49" s="300">
        <f>'CF (Funds)'!C31</f>
        <v>44400</v>
      </c>
      <c r="F49" s="203">
        <f>'CF (Funds)'!D31</f>
        <v>-0.75</v>
      </c>
      <c r="G49" s="203">
        <f>'CF (Funds)'!E31</f>
        <v>0</v>
      </c>
      <c r="H49" s="203"/>
      <c r="I49" s="203">
        <f t="shared" si="2"/>
        <v>-0.75</v>
      </c>
    </row>
    <row r="50" spans="2:9" x14ac:dyDescent="0.2">
      <c r="B50" s="200" t="str">
        <f>'CF (Funds)'!B32</f>
        <v>North Summit Capital Fund</v>
      </c>
      <c r="C50" s="201" t="str">
        <f>VLOOKUP(B50,'S | 02'!$C$6:$J$41,2,0)</f>
        <v>Fund Investment</v>
      </c>
      <c r="D50" s="201" t="str">
        <f>VLOOKUP(B50,'S | 02'!$C$6:$J$41,5,0)</f>
        <v>G42</v>
      </c>
      <c r="E50" s="300">
        <f>'CF (Funds)'!C32</f>
        <v>44400</v>
      </c>
      <c r="F50" s="203">
        <f>'CF (Funds)'!D32</f>
        <v>0</v>
      </c>
      <c r="G50" s="203">
        <f>'CF (Funds)'!E32</f>
        <v>0.44505899999999998</v>
      </c>
      <c r="H50" s="203"/>
      <c r="I50" s="203">
        <f t="shared" si="2"/>
        <v>0.44505899999999998</v>
      </c>
    </row>
    <row r="51" spans="2:9" x14ac:dyDescent="0.2">
      <c r="B51" s="200" t="str">
        <f>'CF (Funds)'!B33</f>
        <v>North Summit Capital Fund</v>
      </c>
      <c r="C51" s="201" t="str">
        <f>VLOOKUP(B51,'S | 02'!$C$6:$J$41,2,0)</f>
        <v>Fund Investment</v>
      </c>
      <c r="D51" s="201" t="str">
        <f>VLOOKUP(B51,'S | 02'!$C$6:$J$41,5,0)</f>
        <v>G42</v>
      </c>
      <c r="E51" s="300">
        <f>'CF (Funds)'!C33</f>
        <v>44554</v>
      </c>
      <c r="F51" s="203">
        <f>'CF (Funds)'!D33</f>
        <v>1.7823899999999999</v>
      </c>
      <c r="G51" s="203">
        <f>'CF (Funds)'!E33</f>
        <v>0</v>
      </c>
      <c r="H51" s="203"/>
      <c r="I51" s="203">
        <f t="shared" si="2"/>
        <v>1.7823899999999999</v>
      </c>
    </row>
    <row r="52" spans="2:9" x14ac:dyDescent="0.2">
      <c r="B52" s="200" t="str">
        <f>'CF (Funds)'!B34</f>
        <v>North Summit Capital Fund</v>
      </c>
      <c r="C52" s="201" t="str">
        <f>VLOOKUP(B52,'S | 02'!$C$6:$J$41,2,0)</f>
        <v>Fund Investment</v>
      </c>
      <c r="D52" s="201" t="str">
        <f>VLOOKUP(B52,'S | 02'!$C$6:$J$41,5,0)</f>
        <v>G42</v>
      </c>
      <c r="E52" s="300">
        <f>'CF (Funds)'!C34</f>
        <v>44676</v>
      </c>
      <c r="F52" s="203">
        <f>'CF (Funds)'!D34</f>
        <v>-21</v>
      </c>
      <c r="G52" s="203">
        <f>'CF (Funds)'!E34</f>
        <v>0</v>
      </c>
      <c r="H52" s="203"/>
      <c r="I52" s="203">
        <f t="shared" si="2"/>
        <v>-21</v>
      </c>
    </row>
    <row r="53" spans="2:9" x14ac:dyDescent="0.2">
      <c r="B53" s="200" t="str">
        <f>'CF (Funds)'!B35</f>
        <v>North Summit Capital Fund</v>
      </c>
      <c r="C53" s="201" t="str">
        <f>VLOOKUP(B53,'S | 02'!$C$6:$J$41,2,0)</f>
        <v>Fund Investment</v>
      </c>
      <c r="D53" s="201" t="str">
        <f>VLOOKUP(B53,'S | 02'!$C$6:$J$41,5,0)</f>
        <v>G42</v>
      </c>
      <c r="E53" s="300">
        <f>'CF (Funds)'!C35</f>
        <v>45243</v>
      </c>
      <c r="F53" s="203">
        <f>'CF (Funds)'!D35</f>
        <v>0</v>
      </c>
      <c r="G53" s="203">
        <f>'CF (Funds)'!E35</f>
        <v>6.7879100000000001</v>
      </c>
      <c r="H53" s="203"/>
      <c r="I53" s="203">
        <f t="shared" ref="I53" si="9">SUM(F53:H53)</f>
        <v>6.7879100000000001</v>
      </c>
    </row>
    <row r="54" spans="2:9" x14ac:dyDescent="0.2">
      <c r="B54" s="200"/>
      <c r="C54" s="201"/>
      <c r="D54" s="201"/>
      <c r="E54" s="300"/>
      <c r="F54" s="203"/>
      <c r="G54" s="203"/>
      <c r="H54" s="203"/>
      <c r="I54" s="203"/>
    </row>
    <row r="55" spans="2:9" x14ac:dyDescent="0.2">
      <c r="B55" s="196" t="str">
        <f>'CF (Funds)'!B36</f>
        <v>New Space Capital Fund I</v>
      </c>
      <c r="C55" s="197" t="str">
        <f>VLOOKUP(B55,'S | 02'!$C$6:$J$41,2,0)</f>
        <v>Fund Investment</v>
      </c>
      <c r="D55" s="197" t="str">
        <f>VLOOKUP(B55,'S | 02'!$C$6:$J$41,5,0)</f>
        <v>G42</v>
      </c>
      <c r="E55" s="301">
        <f>'CF (Funds)'!C36</f>
        <v>44087</v>
      </c>
      <c r="F55" s="199">
        <f>'CF (Funds)'!D36</f>
        <v>-20.917552997000001</v>
      </c>
      <c r="G55" s="199">
        <f>'CF (Funds)'!E36</f>
        <v>0</v>
      </c>
      <c r="H55" s="199"/>
      <c r="I55" s="199">
        <f t="shared" si="2"/>
        <v>-20.917552997000001</v>
      </c>
    </row>
    <row r="56" spans="2:9" x14ac:dyDescent="0.2">
      <c r="B56" s="196" t="str">
        <f>'CF (Funds)'!B37</f>
        <v>New Space Capital Fund I</v>
      </c>
      <c r="C56" s="197" t="str">
        <f>VLOOKUP(B56,'S | 02'!$C$6:$J$41,2,0)</f>
        <v>Fund Investment</v>
      </c>
      <c r="D56" s="197" t="str">
        <f>VLOOKUP(B56,'S | 02'!$C$6:$J$41,5,0)</f>
        <v>G42</v>
      </c>
      <c r="E56" s="301">
        <f>'CF (Funds)'!C37</f>
        <v>44287</v>
      </c>
      <c r="F56" s="199">
        <f>'CF (Funds)'!D37</f>
        <v>-0.21103182000000001</v>
      </c>
      <c r="G56" s="199">
        <f>'CF (Funds)'!E37</f>
        <v>0</v>
      </c>
      <c r="H56" s="199"/>
      <c r="I56" s="199">
        <f t="shared" si="2"/>
        <v>-0.21103182000000001</v>
      </c>
    </row>
    <row r="57" spans="2:9" x14ac:dyDescent="0.2">
      <c r="B57" s="196" t="str">
        <f>'CF (Funds)'!B38</f>
        <v>New Space Capital Fund I</v>
      </c>
      <c r="C57" s="197" t="str">
        <f>VLOOKUP(B57,'S | 02'!$C$6:$J$41,2,0)</f>
        <v>Fund Investment</v>
      </c>
      <c r="D57" s="197" t="str">
        <f>VLOOKUP(B57,'S | 02'!$C$6:$J$41,5,0)</f>
        <v>G42</v>
      </c>
      <c r="E57" s="301">
        <f>'CF (Funds)'!C38</f>
        <v>44442</v>
      </c>
      <c r="F57" s="199">
        <f>'CF (Funds)'!D38</f>
        <v>-0.23965473139999999</v>
      </c>
      <c r="G57" s="199">
        <f>'CF (Funds)'!E38</f>
        <v>0</v>
      </c>
      <c r="H57" s="199"/>
      <c r="I57" s="199">
        <f t="shared" si="2"/>
        <v>-0.23965473139999999</v>
      </c>
    </row>
    <row r="58" spans="2:9" x14ac:dyDescent="0.2">
      <c r="B58" s="196" t="str">
        <f>'CF (Funds)'!B39</f>
        <v>New Space Capital Fund I</v>
      </c>
      <c r="C58" s="197" t="str">
        <f>VLOOKUP(B58,'S | 02'!$C$6:$J$41,2,0)</f>
        <v>Fund Investment</v>
      </c>
      <c r="D58" s="197" t="str">
        <f>VLOOKUP(B58,'S | 02'!$C$6:$J$41,5,0)</f>
        <v>G42</v>
      </c>
      <c r="E58" s="301">
        <f>'CF (Funds)'!C39</f>
        <v>44623</v>
      </c>
      <c r="F58" s="199">
        <f>'CF (Funds)'!D39</f>
        <v>-0.25893584940000003</v>
      </c>
      <c r="G58" s="199">
        <f>'CF (Funds)'!E39</f>
        <v>0</v>
      </c>
      <c r="H58" s="199"/>
      <c r="I58" s="199">
        <f t="shared" si="2"/>
        <v>-0.25893584940000003</v>
      </c>
    </row>
    <row r="59" spans="2:9" x14ac:dyDescent="0.2">
      <c r="B59" s="196" t="str">
        <f>'CF (Funds)'!B40</f>
        <v>New Space Capital Fund I</v>
      </c>
      <c r="C59" s="197" t="str">
        <f>VLOOKUP(B59,'S | 02'!$C$6:$J$41,2,0)</f>
        <v>Fund Investment</v>
      </c>
      <c r="D59" s="197" t="str">
        <f>VLOOKUP(B59,'S | 02'!$C$6:$J$41,5,0)</f>
        <v>G42</v>
      </c>
      <c r="E59" s="301">
        <f>'CF (Funds)'!C40</f>
        <v>44784</v>
      </c>
      <c r="F59" s="199">
        <f>'CF (Funds)'!D40</f>
        <v>1.5224656599999999E-2</v>
      </c>
      <c r="G59" s="199">
        <f>'CF (Funds)'!E40</f>
        <v>0</v>
      </c>
      <c r="H59" s="199"/>
      <c r="I59" s="199">
        <f t="shared" si="2"/>
        <v>1.5224656599999999E-2</v>
      </c>
    </row>
    <row r="60" spans="2:9" x14ac:dyDescent="0.2">
      <c r="B60" s="196" t="str">
        <f>'CF (Funds)'!B41</f>
        <v>New Space Capital Fund I</v>
      </c>
      <c r="C60" s="197" t="str">
        <f>VLOOKUP(B60,'S | 02'!$C$6:$J$41,2,0)</f>
        <v>Fund Investment</v>
      </c>
      <c r="D60" s="197" t="str">
        <f>VLOOKUP(B60,'S | 02'!$C$6:$J$41,5,0)</f>
        <v>G42</v>
      </c>
      <c r="E60" s="301">
        <f>'CF (Funds)'!C41</f>
        <v>44956</v>
      </c>
      <c r="F60" s="199">
        <f>'CF (Funds)'!D41</f>
        <v>10.553916089669999</v>
      </c>
      <c r="G60" s="199">
        <f>'CF (Funds)'!E41</f>
        <v>0</v>
      </c>
      <c r="H60" s="199"/>
      <c r="I60" s="199">
        <f t="shared" ref="I60:I61" si="10">SUM(F60:H60)</f>
        <v>10.553916089669999</v>
      </c>
    </row>
    <row r="61" spans="2:9" x14ac:dyDescent="0.2">
      <c r="B61" s="196" t="str">
        <f>'CF (Funds)'!B42</f>
        <v>New Space Capital Fund I</v>
      </c>
      <c r="C61" s="197" t="str">
        <f>VLOOKUP(B61,'S | 02'!$C$6:$J$41,2,0)</f>
        <v>Fund Investment</v>
      </c>
      <c r="D61" s="197" t="str">
        <f>VLOOKUP(B61,'S | 02'!$C$6:$J$41,5,0)</f>
        <v>G42</v>
      </c>
      <c r="E61" s="301">
        <f>'CF (Funds)'!C42</f>
        <v>44956</v>
      </c>
      <c r="F61" s="199">
        <f>'CF (Funds)'!D42</f>
        <v>0</v>
      </c>
      <c r="G61" s="199">
        <f>'CF (Funds)'!E42</f>
        <v>2.9557743514081998</v>
      </c>
      <c r="H61" s="199"/>
      <c r="I61" s="199">
        <f t="shared" si="10"/>
        <v>2.9557743514081998</v>
      </c>
    </row>
    <row r="62" spans="2:9" x14ac:dyDescent="0.2">
      <c r="B62" s="196" t="str">
        <f>'CF (Funds)'!B43</f>
        <v>New Space Capital Fund I</v>
      </c>
      <c r="C62" s="197" t="str">
        <f>VLOOKUP(B62,'S | 02'!$C$6:$J$41,2,0)</f>
        <v>Fund Investment</v>
      </c>
      <c r="D62" s="197" t="str">
        <f>VLOOKUP(B62,'S | 02'!$C$6:$J$41,5,0)</f>
        <v>G42</v>
      </c>
      <c r="E62" s="301">
        <f>'CF (Funds)'!C43</f>
        <v>45170</v>
      </c>
      <c r="F62" s="199">
        <f>'CF (Funds)'!D43</f>
        <v>-0.22532724156300002</v>
      </c>
      <c r="G62" s="199">
        <f>'CF (Funds)'!E43</f>
        <v>0</v>
      </c>
      <c r="H62" s="199"/>
      <c r="I62" s="199">
        <f t="shared" ref="I62:I64" si="11">SUM(F62:H62)</f>
        <v>-0.22532724156300002</v>
      </c>
    </row>
    <row r="63" spans="2:9" x14ac:dyDescent="0.2">
      <c r="B63" s="196" t="str">
        <f>'CF (Funds)'!B44</f>
        <v>New Space Capital Fund I</v>
      </c>
      <c r="C63" s="197" t="str">
        <f>VLOOKUP(B63,'S | 02'!$C$6:$J$41,2,0)</f>
        <v>Fund Investment</v>
      </c>
      <c r="D63" s="197" t="str">
        <f>VLOOKUP(B63,'S | 02'!$C$6:$J$41,5,0)</f>
        <v>G42</v>
      </c>
      <c r="E63" s="301">
        <f>'CF (Funds)'!C44</f>
        <v>45260</v>
      </c>
      <c r="F63" s="199">
        <f>'CF (Funds)'!D44</f>
        <v>-0.28531251529200002</v>
      </c>
      <c r="G63" s="199">
        <f>'CF (Funds)'!E44</f>
        <v>0</v>
      </c>
      <c r="H63" s="199"/>
      <c r="I63" s="199">
        <f t="shared" si="11"/>
        <v>-0.28531251529200002</v>
      </c>
    </row>
    <row r="64" spans="2:9" x14ac:dyDescent="0.2">
      <c r="B64" s="196" t="str">
        <f>'CF (Funds)'!B45</f>
        <v>New Space Capital Fund I</v>
      </c>
      <c r="C64" s="197" t="str">
        <f>VLOOKUP(B64,'S | 02'!$C$6:$J$41,2,0)</f>
        <v>Fund Investment</v>
      </c>
      <c r="D64" s="197" t="str">
        <f>VLOOKUP(B64,'S | 02'!$C$6:$J$41,5,0)</f>
        <v>G42</v>
      </c>
      <c r="E64" s="301">
        <f>'CF (Funds)'!C45</f>
        <v>45321</v>
      </c>
      <c r="F64" s="199">
        <f>'CF (Funds)'!D45</f>
        <v>-2.4198785200000001</v>
      </c>
      <c r="G64" s="199">
        <f>'CF (Funds)'!E45</f>
        <v>0</v>
      </c>
      <c r="H64" s="199"/>
      <c r="I64" s="199">
        <f t="shared" si="11"/>
        <v>-2.4198785200000001</v>
      </c>
    </row>
    <row r="65" spans="2:9" x14ac:dyDescent="0.2">
      <c r="B65" s="196" t="str">
        <f>'CF (Funds)'!B46</f>
        <v>New Space Capital GP Com SCSp</v>
      </c>
      <c r="C65" s="197" t="str">
        <f>VLOOKUP(B65,'S | 02'!$C$6:$J$41,2,0)</f>
        <v>Fund Investment</v>
      </c>
      <c r="D65" s="197" t="str">
        <f>VLOOKUP(B65,'S | 02'!$C$6:$J$41,5,0)</f>
        <v>G42</v>
      </c>
      <c r="E65" s="301">
        <f>'CF (Funds)'!C46</f>
        <v>44087</v>
      </c>
      <c r="F65" s="199">
        <f>'CF (Funds)'!D46</f>
        <v>-2.7058823529411762</v>
      </c>
      <c r="G65" s="199">
        <f>'CF (Funds)'!E46</f>
        <v>0</v>
      </c>
      <c r="H65" s="199"/>
      <c r="I65" s="199">
        <f t="shared" si="2"/>
        <v>-2.7058823529411762</v>
      </c>
    </row>
    <row r="66" spans="2:9" x14ac:dyDescent="0.2">
      <c r="B66" s="200" t="str">
        <f>'CF (Funds)'!B47</f>
        <v>Acies Investments Fund I, L.P.</v>
      </c>
      <c r="C66" s="201" t="str">
        <f>VLOOKUP(B66,'S | 02'!$C$6:$J$41,2,0)</f>
        <v>Fund Investment</v>
      </c>
      <c r="D66" s="201" t="str">
        <f>VLOOKUP(B66,'S | 02'!$C$6:$J$41,5,0)</f>
        <v>G42</v>
      </c>
      <c r="E66" s="300">
        <f>'CF (Funds)'!C47</f>
        <v>44540</v>
      </c>
      <c r="F66" s="203">
        <f>'CF (Funds)'!D47</f>
        <v>-2.8053124999999999</v>
      </c>
      <c r="G66" s="203">
        <f>'CF (Funds)'!E47</f>
        <v>0</v>
      </c>
      <c r="H66" s="203"/>
      <c r="I66" s="203">
        <f t="shared" si="2"/>
        <v>-2.8053124999999999</v>
      </c>
    </row>
    <row r="67" spans="2:9" x14ac:dyDescent="0.2">
      <c r="B67" s="200" t="str">
        <f>'CF (Funds)'!B48</f>
        <v>Acies Investments Fund I, L.P.</v>
      </c>
      <c r="C67" s="201" t="str">
        <f>VLOOKUP(B67,'S | 02'!$C$6:$J$41,2,0)</f>
        <v>Fund Investment</v>
      </c>
      <c r="D67" s="201" t="str">
        <f>VLOOKUP(B67,'S | 02'!$C$6:$J$41,5,0)</f>
        <v>G42</v>
      </c>
      <c r="E67" s="300">
        <f>'CF (Funds)'!C48</f>
        <v>44602</v>
      </c>
      <c r="F67" s="203">
        <f>'CF (Funds)'!D48</f>
        <v>-3.4074999999999998</v>
      </c>
      <c r="G67" s="203">
        <f>'CF (Funds)'!E48</f>
        <v>0</v>
      </c>
      <c r="H67" s="203"/>
      <c r="I67" s="203">
        <f t="shared" si="2"/>
        <v>-3.4074999999999998</v>
      </c>
    </row>
    <row r="68" spans="2:9" x14ac:dyDescent="0.2">
      <c r="B68" s="200" t="str">
        <f>'CF (Funds)'!B49</f>
        <v>Acies Investments Fund I, L.P.</v>
      </c>
      <c r="C68" s="201" t="str">
        <f>VLOOKUP(B68,'S | 02'!$C$6:$J$41,2,0)</f>
        <v>Fund Investment</v>
      </c>
      <c r="D68" s="201" t="str">
        <f>VLOOKUP(B68,'S | 02'!$C$6:$J$41,5,0)</f>
        <v>G42</v>
      </c>
      <c r="E68" s="300">
        <f>'CF (Funds)'!C49</f>
        <v>44683</v>
      </c>
      <c r="F68" s="203">
        <f>'CF (Funds)'!D49</f>
        <v>-1.0257749999999999</v>
      </c>
      <c r="G68" s="203">
        <f>'CF (Funds)'!E49</f>
        <v>0</v>
      </c>
      <c r="H68" s="203"/>
      <c r="I68" s="203">
        <f t="shared" si="2"/>
        <v>-1.0257749999999999</v>
      </c>
    </row>
    <row r="69" spans="2:9" x14ac:dyDescent="0.2">
      <c r="B69" s="200" t="str">
        <f>'CF (Funds)'!B50</f>
        <v>Acies Investments Fund I, L.P.</v>
      </c>
      <c r="C69" s="201" t="str">
        <f>VLOOKUP(B69,'S | 02'!$C$6:$J$41,2,0)</f>
        <v>Fund Investment</v>
      </c>
      <c r="D69" s="201" t="str">
        <f>VLOOKUP(B69,'S | 02'!$C$6:$J$41,5,0)</f>
        <v>G42</v>
      </c>
      <c r="E69" s="300">
        <f>'CF (Funds)'!C50</f>
        <v>44707</v>
      </c>
      <c r="F69" s="203">
        <f>'CF (Funds)'!D50</f>
        <v>-3.3882749999999997</v>
      </c>
      <c r="G69" s="203">
        <f>'CF (Funds)'!E50</f>
        <v>0</v>
      </c>
      <c r="H69" s="203"/>
      <c r="I69" s="203">
        <f t="shared" ref="I69:I78" si="12">SUM(F69:H69)</f>
        <v>-3.3882749999999997</v>
      </c>
    </row>
    <row r="70" spans="2:9" x14ac:dyDescent="0.2">
      <c r="B70" s="200" t="str">
        <f>'CF (Funds)'!B51</f>
        <v>Acies Investments Fund I, L.P.</v>
      </c>
      <c r="C70" s="201" t="str">
        <f>VLOOKUP(B70,'S | 02'!$C$6:$J$41,2,0)</f>
        <v>Fund Investment</v>
      </c>
      <c r="D70" s="201" t="str">
        <f>VLOOKUP(B70,'S | 02'!$C$6:$J$41,5,0)</f>
        <v>G42</v>
      </c>
      <c r="E70" s="300">
        <f>'CF (Funds)'!C51</f>
        <v>44875</v>
      </c>
      <c r="F70" s="203">
        <f>'CF (Funds)'!D51</f>
        <v>-3.3882749999999997</v>
      </c>
      <c r="G70" s="203">
        <f>'CF (Funds)'!E51</f>
        <v>0</v>
      </c>
      <c r="H70" s="203"/>
      <c r="I70" s="203">
        <f t="shared" si="12"/>
        <v>-3.3882749999999997</v>
      </c>
    </row>
    <row r="71" spans="2:9" x14ac:dyDescent="0.2">
      <c r="B71" s="196" t="s">
        <v>19</v>
      </c>
      <c r="C71" s="197" t="str">
        <f>VLOOKUP(B71,'S | 02'!$C$6:$J$41,2,0)</f>
        <v>Direct Investment</v>
      </c>
      <c r="D71" s="197" t="str">
        <f>VLOOKUP(B71,'S | 02'!$C$6:$J$41,5,0)</f>
        <v>G42</v>
      </c>
      <c r="E71" s="301">
        <f t="shared" ref="E71:E78" si="13">$E$4</f>
        <v>45322</v>
      </c>
      <c r="F71" s="199"/>
      <c r="G71" s="199"/>
      <c r="H71" s="199">
        <f>VLOOKUP(B71,NAV!$B$9:$E$45,4,0)</f>
        <v>300</v>
      </c>
      <c r="I71" s="199">
        <f t="shared" si="12"/>
        <v>300</v>
      </c>
    </row>
    <row r="72" spans="2:9" x14ac:dyDescent="0.2">
      <c r="B72" s="196" t="s">
        <v>90</v>
      </c>
      <c r="C72" s="197" t="str">
        <f>VLOOKUP(B72,'S | 02'!$C$6:$J$41,2,0)</f>
        <v>Direct Investment</v>
      </c>
      <c r="D72" s="197" t="str">
        <f>VLOOKUP(B72,'S | 02'!$C$6:$J$41,5,0)</f>
        <v>G42</v>
      </c>
      <c r="E72" s="301">
        <f t="shared" si="13"/>
        <v>45322</v>
      </c>
      <c r="F72" s="199"/>
      <c r="G72" s="199"/>
      <c r="H72" s="199">
        <f>VLOOKUP(B72,NAV!$B$9:$E$45,4,0)</f>
        <v>2.1837153699999998</v>
      </c>
      <c r="I72" s="199">
        <f t="shared" si="12"/>
        <v>2.1837153699999998</v>
      </c>
    </row>
    <row r="73" spans="2:9" x14ac:dyDescent="0.2">
      <c r="B73" s="196" t="s">
        <v>35</v>
      </c>
      <c r="C73" s="197" t="str">
        <f>VLOOKUP(B73,'S | 02'!$C$6:$J$41,2,0)</f>
        <v>Direct Investment</v>
      </c>
      <c r="D73" s="197" t="str">
        <f>VLOOKUP(B73,'S | 02'!$C$6:$J$41,5,0)</f>
        <v>G42 3</v>
      </c>
      <c r="E73" s="301">
        <f t="shared" si="13"/>
        <v>45322</v>
      </c>
      <c r="F73" s="199"/>
      <c r="G73" s="199"/>
      <c r="H73" s="199">
        <f>VLOOKUP(B73,NAV!$B$9:$E$45,4,0)</f>
        <v>0</v>
      </c>
      <c r="I73" s="558">
        <f t="shared" si="12"/>
        <v>0</v>
      </c>
    </row>
    <row r="74" spans="2:9" x14ac:dyDescent="0.2">
      <c r="B74" s="196" t="s">
        <v>125</v>
      </c>
      <c r="C74" s="197" t="str">
        <f>VLOOKUP(B74,'S | 02'!$C$6:$J$41,2,0)</f>
        <v>Fund Investment</v>
      </c>
      <c r="D74" s="197" t="str">
        <f>VLOOKUP(B74,'S | 02'!$C$6:$J$41,5,0)</f>
        <v>G42</v>
      </c>
      <c r="E74" s="301">
        <f t="shared" si="13"/>
        <v>45322</v>
      </c>
      <c r="F74" s="199"/>
      <c r="G74" s="199"/>
      <c r="H74" s="199">
        <f>VLOOKUP(B74,NAV!$B$9:$E$45,4,0)</f>
        <v>13.277944663100001</v>
      </c>
      <c r="I74" s="199">
        <f t="shared" si="12"/>
        <v>13.277944663100001</v>
      </c>
    </row>
    <row r="75" spans="2:9" x14ac:dyDescent="0.2">
      <c r="B75" s="196" t="s">
        <v>390</v>
      </c>
      <c r="C75" s="197" t="str">
        <f>VLOOKUP(B75,'S | 02'!$C$6:$J$41,2,0)</f>
        <v>Fund Investment</v>
      </c>
      <c r="D75" s="197" t="str">
        <f>VLOOKUP(B75,'S | 02'!$C$6:$J$41,5,0)</f>
        <v>G42</v>
      </c>
      <c r="E75" s="301">
        <f t="shared" si="13"/>
        <v>45322</v>
      </c>
      <c r="F75" s="199"/>
      <c r="G75" s="199"/>
      <c r="H75" s="199">
        <f ca="1">VLOOKUP(B75,NAV!$B$9:$E$45,4,0)</f>
        <v>2.5684255069948656</v>
      </c>
      <c r="I75" s="199">
        <f t="shared" ca="1" si="12"/>
        <v>2.5684255069948656</v>
      </c>
    </row>
    <row r="76" spans="2:9" x14ac:dyDescent="0.2">
      <c r="B76" s="196" t="s">
        <v>1</v>
      </c>
      <c r="C76" s="197" t="str">
        <f>VLOOKUP(B76,'S | 02'!$C$6:$J$41,2,0)</f>
        <v>Fund Investment</v>
      </c>
      <c r="D76" s="197" t="str">
        <f>VLOOKUP(B76,'S | 02'!$C$6:$J$41,5,0)</f>
        <v>G42</v>
      </c>
      <c r="E76" s="301">
        <f t="shared" si="13"/>
        <v>45322</v>
      </c>
      <c r="F76" s="199"/>
      <c r="G76" s="199"/>
      <c r="H76" s="199">
        <f>VLOOKUP(B76,NAV!$B$9:$E$45,4,0)</f>
        <v>74.725861000000009</v>
      </c>
      <c r="I76" s="199">
        <f t="shared" si="12"/>
        <v>74.725861000000009</v>
      </c>
    </row>
    <row r="77" spans="2:9" x14ac:dyDescent="0.2">
      <c r="B77" s="196" t="s">
        <v>12</v>
      </c>
      <c r="C77" s="197" t="str">
        <f>VLOOKUP(B77,'S | 02'!$C$6:$J$41,2,0)</f>
        <v>Fund Investment</v>
      </c>
      <c r="D77" s="197" t="str">
        <f>VLOOKUP(B77,'S | 02'!$C$6:$J$41,5,0)</f>
        <v>G42</v>
      </c>
      <c r="E77" s="301">
        <f t="shared" si="13"/>
        <v>45322</v>
      </c>
      <c r="F77" s="199"/>
      <c r="G77" s="199"/>
      <c r="H77" s="199">
        <f>VLOOKUP(B77,NAV!$B$9:$E$45,4,0)</f>
        <v>23.670303000000001</v>
      </c>
      <c r="I77" s="558">
        <f t="shared" si="12"/>
        <v>23.670303000000001</v>
      </c>
    </row>
    <row r="78" spans="2:9" x14ac:dyDescent="0.2">
      <c r="B78" s="196" t="s">
        <v>176</v>
      </c>
      <c r="C78" s="197" t="str">
        <f>VLOOKUP(B78,'S | 02'!$C$6:$J$41,2,0)</f>
        <v>Fund Investment</v>
      </c>
      <c r="D78" s="197" t="str">
        <f>VLOOKUP(B78,'S | 02'!$C$6:$J$41,5,0)</f>
        <v>G42</v>
      </c>
      <c r="E78" s="301">
        <f t="shared" si="13"/>
        <v>45322</v>
      </c>
      <c r="F78" s="199"/>
      <c r="G78" s="199"/>
      <c r="H78" s="199">
        <f>VLOOKUP(B78,NAV!$B$9:$E$45,4,0)</f>
        <v>12.310425</v>
      </c>
      <c r="I78" s="199">
        <f t="shared" si="12"/>
        <v>12.310425</v>
      </c>
    </row>
    <row r="80" spans="2:9" x14ac:dyDescent="0.2">
      <c r="E80" s="302"/>
    </row>
    <row r="81" spans="3:5" x14ac:dyDescent="0.2">
      <c r="E81" s="302"/>
    </row>
    <row r="82" spans="3:5" x14ac:dyDescent="0.2">
      <c r="E82" s="302"/>
    </row>
    <row r="83" spans="3:5" x14ac:dyDescent="0.2">
      <c r="E83" s="302"/>
    </row>
    <row r="84" spans="3:5" x14ac:dyDescent="0.2">
      <c r="E84" s="302"/>
    </row>
    <row r="85" spans="3:5" x14ac:dyDescent="0.2">
      <c r="E85" s="302"/>
    </row>
    <row r="86" spans="3:5" x14ac:dyDescent="0.2">
      <c r="E86" s="302"/>
    </row>
    <row r="87" spans="3:5" x14ac:dyDescent="0.2">
      <c r="E87" s="302"/>
    </row>
    <row r="88" spans="3:5" x14ac:dyDescent="0.2">
      <c r="E88" s="302"/>
    </row>
    <row r="89" spans="3:5" x14ac:dyDescent="0.2">
      <c r="E89" s="302"/>
    </row>
    <row r="90" spans="3:5" x14ac:dyDescent="0.2">
      <c r="E90" s="302"/>
    </row>
    <row r="91" spans="3:5" x14ac:dyDescent="0.2">
      <c r="E91" s="302"/>
    </row>
    <row r="92" spans="3:5" x14ac:dyDescent="0.2">
      <c r="E92" s="302"/>
    </row>
    <row r="93" spans="3:5" x14ac:dyDescent="0.2">
      <c r="E93" s="302"/>
    </row>
    <row r="94" spans="3:5" x14ac:dyDescent="0.2">
      <c r="C94" s="29"/>
      <c r="D94" s="29"/>
      <c r="E94" s="302"/>
    </row>
    <row r="95" spans="3:5" x14ac:dyDescent="0.2">
      <c r="C95" s="29"/>
      <c r="D95" s="29"/>
      <c r="E95" s="302"/>
    </row>
    <row r="96" spans="3:5" x14ac:dyDescent="0.2">
      <c r="C96" s="29"/>
      <c r="D96" s="29"/>
      <c r="E96" s="302"/>
    </row>
    <row r="97" spans="3:5" x14ac:dyDescent="0.2">
      <c r="C97" s="29"/>
      <c r="D97" s="29"/>
      <c r="E97" s="302"/>
    </row>
    <row r="98" spans="3:5" x14ac:dyDescent="0.2">
      <c r="C98" s="29"/>
      <c r="D98" s="29"/>
      <c r="E98" s="302"/>
    </row>
    <row r="99" spans="3:5" x14ac:dyDescent="0.2">
      <c r="C99" s="29"/>
      <c r="D99" s="29"/>
      <c r="E99" s="302"/>
    </row>
    <row r="100" spans="3:5" x14ac:dyDescent="0.2">
      <c r="C100" s="29"/>
      <c r="D100" s="29"/>
      <c r="E100" s="302"/>
    </row>
    <row r="101" spans="3:5" x14ac:dyDescent="0.2">
      <c r="C101" s="29"/>
      <c r="D101" s="29"/>
      <c r="E101" s="302"/>
    </row>
    <row r="102" spans="3:5" x14ac:dyDescent="0.2">
      <c r="C102" s="29"/>
      <c r="D102" s="29"/>
      <c r="E102" s="302"/>
    </row>
    <row r="103" spans="3:5" x14ac:dyDescent="0.2">
      <c r="C103" s="29"/>
      <c r="D103" s="29"/>
      <c r="E103" s="302"/>
    </row>
    <row r="104" spans="3:5" x14ac:dyDescent="0.2">
      <c r="C104" s="29"/>
      <c r="D104" s="29"/>
      <c r="E104" s="302"/>
    </row>
    <row r="105" spans="3:5" x14ac:dyDescent="0.2">
      <c r="C105" s="29"/>
      <c r="D105" s="29"/>
      <c r="E105" s="302"/>
    </row>
    <row r="106" spans="3:5" x14ac:dyDescent="0.2">
      <c r="C106" s="29"/>
      <c r="D106" s="29"/>
      <c r="E106" s="302"/>
    </row>
    <row r="107" spans="3:5" x14ac:dyDescent="0.2">
      <c r="C107" s="29"/>
      <c r="D107" s="29"/>
      <c r="E107" s="302"/>
    </row>
    <row r="108" spans="3:5" x14ac:dyDescent="0.2">
      <c r="C108" s="29"/>
      <c r="D108" s="29"/>
      <c r="E108" s="302"/>
    </row>
    <row r="109" spans="3:5" x14ac:dyDescent="0.2">
      <c r="C109" s="29"/>
      <c r="D109" s="29"/>
      <c r="E109" s="302"/>
    </row>
    <row r="110" spans="3:5" x14ac:dyDescent="0.2">
      <c r="C110" s="29"/>
      <c r="D110" s="29"/>
      <c r="E110" s="302"/>
    </row>
    <row r="111" spans="3:5" x14ac:dyDescent="0.2">
      <c r="C111" s="29"/>
      <c r="D111" s="29"/>
      <c r="E111" s="302"/>
    </row>
    <row r="112" spans="3:5" x14ac:dyDescent="0.2">
      <c r="C112" s="29"/>
      <c r="D112" s="29"/>
      <c r="E112" s="302"/>
    </row>
    <row r="113" spans="3:5" x14ac:dyDescent="0.2">
      <c r="C113" s="29"/>
      <c r="D113" s="29"/>
      <c r="E113" s="302"/>
    </row>
    <row r="114" spans="3:5" x14ac:dyDescent="0.2">
      <c r="C114" s="29"/>
      <c r="D114" s="29"/>
      <c r="E114" s="302"/>
    </row>
    <row r="115" spans="3:5" x14ac:dyDescent="0.2">
      <c r="C115" s="29"/>
      <c r="D115" s="29"/>
      <c r="E115" s="302"/>
    </row>
    <row r="116" spans="3:5" x14ac:dyDescent="0.2">
      <c r="C116" s="29"/>
      <c r="D116" s="29"/>
      <c r="E116" s="302"/>
    </row>
    <row r="117" spans="3:5" x14ac:dyDescent="0.2">
      <c r="C117" s="29"/>
      <c r="D117" s="29"/>
      <c r="E117" s="302"/>
    </row>
    <row r="118" spans="3:5" x14ac:dyDescent="0.2">
      <c r="C118" s="29"/>
      <c r="D118" s="29"/>
      <c r="E118" s="302"/>
    </row>
    <row r="119" spans="3:5" x14ac:dyDescent="0.2">
      <c r="C119" s="29"/>
      <c r="D119" s="29"/>
      <c r="E119" s="302"/>
    </row>
    <row r="120" spans="3:5" x14ac:dyDescent="0.2">
      <c r="C120" s="29"/>
      <c r="D120" s="29"/>
      <c r="E120" s="302"/>
    </row>
    <row r="121" spans="3:5" x14ac:dyDescent="0.2">
      <c r="C121" s="29"/>
      <c r="D121" s="29"/>
      <c r="E121" s="302"/>
    </row>
    <row r="122" spans="3:5" x14ac:dyDescent="0.2">
      <c r="C122" s="29"/>
      <c r="D122" s="29"/>
      <c r="E122" s="302"/>
    </row>
    <row r="123" spans="3:5" x14ac:dyDescent="0.2">
      <c r="C123" s="29"/>
      <c r="D123" s="29"/>
      <c r="E123" s="302"/>
    </row>
    <row r="124" spans="3:5" x14ac:dyDescent="0.2">
      <c r="C124" s="29"/>
      <c r="D124" s="29"/>
      <c r="E124" s="302"/>
    </row>
    <row r="125" spans="3:5" x14ac:dyDescent="0.2">
      <c r="C125" s="29"/>
      <c r="D125" s="29"/>
      <c r="E125" s="302"/>
    </row>
    <row r="126" spans="3:5" x14ac:dyDescent="0.2">
      <c r="C126" s="29"/>
      <c r="D126" s="29"/>
      <c r="E126" s="302"/>
    </row>
    <row r="127" spans="3:5" x14ac:dyDescent="0.2">
      <c r="C127" s="29"/>
      <c r="D127" s="29"/>
      <c r="E127" s="302"/>
    </row>
    <row r="128" spans="3:5" x14ac:dyDescent="0.2">
      <c r="C128" s="29"/>
      <c r="D128" s="29"/>
      <c r="E128" s="302"/>
    </row>
    <row r="129" spans="3:5" x14ac:dyDescent="0.2">
      <c r="C129" s="29"/>
      <c r="D129" s="29"/>
      <c r="E129" s="302"/>
    </row>
    <row r="130" spans="3:5" x14ac:dyDescent="0.2">
      <c r="C130" s="29"/>
      <c r="D130" s="29"/>
      <c r="E130" s="302"/>
    </row>
    <row r="131" spans="3:5" x14ac:dyDescent="0.2">
      <c r="C131" s="29"/>
      <c r="D131" s="29"/>
      <c r="E131" s="302"/>
    </row>
    <row r="132" spans="3:5" x14ac:dyDescent="0.2">
      <c r="C132" s="29"/>
      <c r="D132" s="29"/>
      <c r="E132" s="302"/>
    </row>
    <row r="133" spans="3:5" x14ac:dyDescent="0.2">
      <c r="C133" s="29"/>
      <c r="D133" s="29"/>
      <c r="E133" s="302"/>
    </row>
    <row r="134" spans="3:5" x14ac:dyDescent="0.2">
      <c r="C134" s="29"/>
      <c r="D134" s="29"/>
      <c r="E134" s="302"/>
    </row>
    <row r="135" spans="3:5" x14ac:dyDescent="0.2">
      <c r="C135" s="29"/>
      <c r="D135" s="29"/>
      <c r="E135" s="302"/>
    </row>
    <row r="136" spans="3:5" x14ac:dyDescent="0.2">
      <c r="C136" s="29"/>
      <c r="D136" s="29"/>
      <c r="E136" s="30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1" sqref="C11"/>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593" t="s">
        <v>626</v>
      </c>
      <c r="C2" s="593" t="s">
        <v>627</v>
      </c>
    </row>
    <row r="3" spans="2:3" ht="15.75" thickBot="1" x14ac:dyDescent="0.3">
      <c r="B3" s="594" t="s">
        <v>628</v>
      </c>
      <c r="C3" s="595" t="s">
        <v>629</v>
      </c>
    </row>
    <row r="4" spans="2:3" ht="15.75" thickBot="1" x14ac:dyDescent="0.3">
      <c r="B4" s="596" t="s">
        <v>78</v>
      </c>
      <c r="C4" s="597" t="s">
        <v>630</v>
      </c>
    </row>
    <row r="5" spans="2:3" ht="15.75" thickBot="1" x14ac:dyDescent="0.3">
      <c r="B5" s="594" t="s">
        <v>206</v>
      </c>
      <c r="C5" s="595" t="s">
        <v>631</v>
      </c>
    </row>
    <row r="6" spans="2:3" ht="15.75" thickBot="1" x14ac:dyDescent="0.3">
      <c r="B6" s="596" t="s">
        <v>11</v>
      </c>
      <c r="C6" s="597" t="s">
        <v>632</v>
      </c>
    </row>
    <row r="7" spans="2:3" ht="15.75" thickBot="1" x14ac:dyDescent="0.3">
      <c r="B7" s="594" t="s">
        <v>633</v>
      </c>
      <c r="C7" s="595" t="s">
        <v>634</v>
      </c>
    </row>
    <row r="8" spans="2:3" ht="15.75" thickBot="1" x14ac:dyDescent="0.3">
      <c r="B8" s="596" t="s">
        <v>24</v>
      </c>
      <c r="C8" s="597" t="s">
        <v>635</v>
      </c>
    </row>
    <row r="9" spans="2:3" ht="15.75" thickBot="1" x14ac:dyDescent="0.3">
      <c r="B9" s="594" t="s">
        <v>636</v>
      </c>
      <c r="C9" s="595" t="s">
        <v>637</v>
      </c>
    </row>
    <row r="10" spans="2:3" ht="15.75" thickBot="1" x14ac:dyDescent="0.3">
      <c r="B10" s="596" t="s">
        <v>638</v>
      </c>
      <c r="C10" s="597" t="s">
        <v>639</v>
      </c>
    </row>
    <row r="11" spans="2:3" ht="15.75" thickBot="1" x14ac:dyDescent="0.3">
      <c r="B11" s="594" t="s">
        <v>8</v>
      </c>
      <c r="C11" s="595" t="s">
        <v>640</v>
      </c>
    </row>
    <row r="12" spans="2:3" ht="15.75" thickBot="1" x14ac:dyDescent="0.3">
      <c r="B12" s="596" t="s">
        <v>641</v>
      </c>
      <c r="C12" s="597" t="s">
        <v>642</v>
      </c>
    </row>
    <row r="13" spans="2:3" ht="15.75" thickBot="1" x14ac:dyDescent="0.3">
      <c r="B13" s="594" t="s">
        <v>131</v>
      </c>
      <c r="C13" s="595" t="s">
        <v>643</v>
      </c>
    </row>
    <row r="14" spans="2:3" ht="15.75" thickBot="1" x14ac:dyDescent="0.3">
      <c r="B14" s="596" t="s">
        <v>394</v>
      </c>
      <c r="C14" s="597" t="s">
        <v>644</v>
      </c>
    </row>
    <row r="15" spans="2:3" ht="15.75" thickBot="1" x14ac:dyDescent="0.3">
      <c r="B15" s="594" t="s">
        <v>645</v>
      </c>
      <c r="C15" s="595" t="s">
        <v>646</v>
      </c>
    </row>
    <row r="16" spans="2:3" ht="15.75" thickBot="1" x14ac:dyDescent="0.3">
      <c r="B16" s="596" t="s">
        <v>647</v>
      </c>
      <c r="C16" s="597" t="s">
        <v>648</v>
      </c>
    </row>
    <row r="17" spans="2:3" ht="15.75" thickBot="1" x14ac:dyDescent="0.3">
      <c r="B17" s="594" t="s">
        <v>649</v>
      </c>
      <c r="C17" s="595" t="s">
        <v>650</v>
      </c>
    </row>
    <row r="18" spans="2:3" ht="15.75" thickBot="1" x14ac:dyDescent="0.3">
      <c r="B18" s="596" t="s">
        <v>47</v>
      </c>
      <c r="C18" s="597" t="s">
        <v>651</v>
      </c>
    </row>
    <row r="20" spans="2:3" ht="15.75" thickBot="1" x14ac:dyDescent="0.3"/>
    <row r="21" spans="2:3" ht="15.75" thickBot="1" x14ac:dyDescent="0.3">
      <c r="B21" s="593" t="s">
        <v>626</v>
      </c>
      <c r="C21" s="593" t="s">
        <v>627</v>
      </c>
    </row>
    <row r="22" spans="2:3" ht="15.75" thickBot="1" x14ac:dyDescent="0.3">
      <c r="B22" s="594" t="s">
        <v>652</v>
      </c>
      <c r="C22" s="595" t="s">
        <v>665</v>
      </c>
    </row>
    <row r="23" spans="2:3" ht="15.75" thickBot="1" x14ac:dyDescent="0.3">
      <c r="B23" s="596" t="s">
        <v>653</v>
      </c>
      <c r="C23" s="597" t="s">
        <v>664</v>
      </c>
    </row>
    <row r="24" spans="2:3" ht="15.75" thickBot="1" x14ac:dyDescent="0.3">
      <c r="B24" s="594" t="s">
        <v>654</v>
      </c>
      <c r="C24" s="595" t="s">
        <v>660</v>
      </c>
    </row>
    <row r="25" spans="2:3" ht="15.75" thickBot="1" x14ac:dyDescent="0.3">
      <c r="B25" s="596" t="s">
        <v>656</v>
      </c>
      <c r="C25" s="597" t="s">
        <v>655</v>
      </c>
    </row>
    <row r="26" spans="2:3" ht="15.75" thickBot="1" x14ac:dyDescent="0.3">
      <c r="B26" s="594" t="s">
        <v>657</v>
      </c>
      <c r="C26" s="595" t="s">
        <v>661</v>
      </c>
    </row>
    <row r="27" spans="2:3" ht="15.75" thickBot="1" x14ac:dyDescent="0.3">
      <c r="B27" s="596" t="s">
        <v>658</v>
      </c>
      <c r="C27" s="597" t="s">
        <v>662</v>
      </c>
    </row>
    <row r="28" spans="2:3" ht="15.75" thickBot="1" x14ac:dyDescent="0.3">
      <c r="B28" s="594" t="s">
        <v>659</v>
      </c>
      <c r="C28" s="595" t="s">
        <v>663</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2"/>
  <sheetViews>
    <sheetView showGridLines="0" topLeftCell="A3" zoomScale="90" zoomScaleNormal="90" workbookViewId="0">
      <selection activeCell="G45" sqref="G45"/>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54" customWidth="1"/>
    <col min="8" max="9" width="27.85546875" style="154" customWidth="1"/>
    <col min="10" max="11" width="9.140625" style="26"/>
    <col min="12" max="12" width="12.28515625" style="26" bestFit="1" customWidth="1"/>
    <col min="13" max="13" width="11.28515625" style="26" bestFit="1" customWidth="1"/>
    <col min="14" max="15" width="9.140625" style="26"/>
    <col min="16" max="17" width="12" style="26" bestFit="1" customWidth="1"/>
    <col min="18" max="16384" width="9.140625" style="26"/>
  </cols>
  <sheetData>
    <row r="1" spans="1:17" x14ac:dyDescent="0.25">
      <c r="B1" s="215"/>
      <c r="C1" s="95"/>
      <c r="D1" s="144"/>
      <c r="E1" s="144"/>
      <c r="F1" s="95"/>
    </row>
    <row r="2" spans="1:17" ht="43.5" customHeight="1" thickBot="1" x14ac:dyDescent="0.5">
      <c r="B2" s="215"/>
      <c r="C2" s="221" t="s">
        <v>213</v>
      </c>
      <c r="D2" s="222"/>
      <c r="E2" s="26"/>
      <c r="F2" s="27"/>
      <c r="G2" s="27"/>
      <c r="H2" s="27"/>
      <c r="I2" s="27"/>
      <c r="J2" s="27"/>
      <c r="K2" s="27"/>
      <c r="L2" s="27"/>
      <c r="M2" s="127"/>
      <c r="N2" s="27"/>
    </row>
    <row r="3" spans="1:17" s="81" customFormat="1" ht="15.75" thickBot="1" x14ac:dyDescent="0.3">
      <c r="B3" s="190"/>
      <c r="C3" s="170" t="s">
        <v>188</v>
      </c>
      <c r="D3" s="184">
        <f>'S | 01 '!D2</f>
        <v>45322</v>
      </c>
      <c r="E3" s="26"/>
      <c r="F3" s="26"/>
      <c r="G3" s="26"/>
      <c r="H3" s="26"/>
      <c r="I3" s="26"/>
      <c r="J3" s="26"/>
      <c r="K3" s="26"/>
      <c r="L3" s="26"/>
      <c r="M3" s="26"/>
      <c r="N3" s="26"/>
      <c r="O3" s="26"/>
      <c r="P3" s="26"/>
      <c r="Q3" s="26"/>
    </row>
    <row r="4" spans="1:17" ht="15.75" thickBot="1" x14ac:dyDescent="0.3">
      <c r="B4" s="215"/>
      <c r="C4" s="95"/>
      <c r="D4" s="144"/>
      <c r="E4" s="144"/>
      <c r="F4" s="95"/>
    </row>
    <row r="5" spans="1:17" x14ac:dyDescent="0.25">
      <c r="B5" s="535"/>
      <c r="C5" s="98"/>
      <c r="D5" s="145"/>
      <c r="E5" s="145"/>
      <c r="F5" s="98"/>
      <c r="G5" s="155"/>
      <c r="H5" s="155"/>
      <c r="I5" s="155"/>
      <c r="J5" s="101"/>
    </row>
    <row r="6" spans="1:17" ht="39" customHeight="1" x14ac:dyDescent="0.25">
      <c r="A6" s="104"/>
      <c r="B6" s="536"/>
      <c r="C6" s="1" t="s">
        <v>52</v>
      </c>
      <c r="D6" s="1" t="s">
        <v>474</v>
      </c>
      <c r="E6" s="1" t="s">
        <v>57</v>
      </c>
      <c r="F6" s="1" t="s">
        <v>400</v>
      </c>
      <c r="G6" s="1" t="s">
        <v>435</v>
      </c>
      <c r="H6" s="1" t="s">
        <v>436</v>
      </c>
      <c r="I6" s="1" t="s">
        <v>429</v>
      </c>
      <c r="J6" s="103"/>
      <c r="K6" s="104"/>
    </row>
    <row r="7" spans="1:17" x14ac:dyDescent="0.25">
      <c r="B7" s="537"/>
      <c r="C7" s="128"/>
      <c r="D7" s="146"/>
      <c r="E7" s="146"/>
      <c r="F7" s="128"/>
      <c r="G7" s="128"/>
      <c r="H7" s="450"/>
      <c r="I7" s="450"/>
      <c r="J7" s="106"/>
    </row>
    <row r="8" spans="1:17" x14ac:dyDescent="0.25">
      <c r="B8" s="537"/>
      <c r="C8" s="454" t="s">
        <v>28</v>
      </c>
      <c r="D8" s="455"/>
      <c r="E8" s="455"/>
      <c r="F8" s="454"/>
      <c r="G8" s="456"/>
      <c r="H8" s="457"/>
      <c r="I8" s="457"/>
      <c r="J8" s="106"/>
    </row>
    <row r="9" spans="1:17" x14ac:dyDescent="0.25">
      <c r="B9" s="537" t="s">
        <v>499</v>
      </c>
      <c r="C9" s="4" t="str">
        <f>'S | 01 '!C10</f>
        <v>Jollychic Holding Limited</v>
      </c>
      <c r="D9" s="148">
        <v>13458655</v>
      </c>
      <c r="E9" s="148">
        <v>236116762</v>
      </c>
      <c r="F9" s="94">
        <f>D9/E9</f>
        <v>5.6999998161926343E-2</v>
      </c>
      <c r="G9" s="156" t="s">
        <v>155</v>
      </c>
      <c r="H9" s="156" t="s">
        <v>425</v>
      </c>
      <c r="I9" s="156" t="s">
        <v>425</v>
      </c>
      <c r="J9" s="106"/>
    </row>
    <row r="10" spans="1:17" x14ac:dyDescent="0.25">
      <c r="B10" s="537" t="s">
        <v>499</v>
      </c>
      <c r="C10" s="4" t="str">
        <f>'S | 01 '!C11</f>
        <v>Mena Mobile Inc</v>
      </c>
      <c r="D10" s="148">
        <v>21419829</v>
      </c>
      <c r="E10" s="148">
        <v>152998776</v>
      </c>
      <c r="F10" s="94">
        <f>D10/E10</f>
        <v>0.14000000235296001</v>
      </c>
      <c r="G10" s="156" t="s">
        <v>155</v>
      </c>
      <c r="H10" s="156" t="s">
        <v>425</v>
      </c>
      <c r="I10" s="156" t="s">
        <v>425</v>
      </c>
      <c r="J10" s="106"/>
    </row>
    <row r="11" spans="1:17" x14ac:dyDescent="0.25">
      <c r="B11" s="537"/>
      <c r="C11" s="4" t="str">
        <f>'S | 01 '!C12</f>
        <v>Flyr Inc</v>
      </c>
      <c r="D11" s="148">
        <v>5205482</v>
      </c>
      <c r="E11" s="148">
        <v>61222609</v>
      </c>
      <c r="F11" s="94">
        <f>D11/E11</f>
        <v>8.5025484621212399E-2</v>
      </c>
      <c r="G11" s="156" t="s">
        <v>402</v>
      </c>
      <c r="H11" s="156" t="s">
        <v>426</v>
      </c>
      <c r="I11" s="156" t="s">
        <v>214</v>
      </c>
      <c r="J11" s="106"/>
    </row>
    <row r="12" spans="1:17" x14ac:dyDescent="0.25">
      <c r="B12" s="537" t="s">
        <v>26</v>
      </c>
      <c r="C12" s="4" t="str">
        <f>'S | 01 '!C13</f>
        <v xml:space="preserve">Esyasoft Holding </v>
      </c>
      <c r="D12" s="148" t="s">
        <v>131</v>
      </c>
      <c r="E12" s="148" t="s">
        <v>131</v>
      </c>
      <c r="F12" s="148" t="s">
        <v>131</v>
      </c>
      <c r="G12" s="156" t="s">
        <v>410</v>
      </c>
      <c r="H12" s="156" t="s">
        <v>428</v>
      </c>
      <c r="I12" s="156" t="s">
        <v>427</v>
      </c>
      <c r="J12" s="106"/>
    </row>
    <row r="13" spans="1:17" x14ac:dyDescent="0.25">
      <c r="B13" s="537"/>
      <c r="C13" s="4" t="str">
        <f>'S | 01 '!C14</f>
        <v>Beyond Limits</v>
      </c>
      <c r="D13" s="148">
        <v>17670202</v>
      </c>
      <c r="E13" s="148">
        <v>180372405</v>
      </c>
      <c r="F13" s="94">
        <f>D13/E13</f>
        <v>9.7965107245756355E-2</v>
      </c>
      <c r="G13" s="156" t="s">
        <v>157</v>
      </c>
      <c r="H13" s="156" t="s">
        <v>426</v>
      </c>
      <c r="I13" s="156" t="s">
        <v>214</v>
      </c>
      <c r="J13" s="106"/>
    </row>
    <row r="14" spans="1:17" x14ac:dyDescent="0.25">
      <c r="B14" s="537"/>
      <c r="C14" s="4" t="str">
        <f>'S | 01 '!C15</f>
        <v>ONT plc</v>
      </c>
      <c r="D14" s="148">
        <v>44328120</v>
      </c>
      <c r="E14" s="148">
        <f>829189128+29025326</f>
        <v>858214454</v>
      </c>
      <c r="F14" s="94">
        <f>D14/E14</f>
        <v>5.1651565402323088E-2</v>
      </c>
      <c r="G14" s="156" t="s">
        <v>158</v>
      </c>
      <c r="H14" s="156" t="s">
        <v>398</v>
      </c>
      <c r="I14" s="156" t="s">
        <v>398</v>
      </c>
      <c r="J14" s="106"/>
    </row>
    <row r="15" spans="1:17" x14ac:dyDescent="0.25">
      <c r="B15" s="537"/>
      <c r="C15" s="4" t="str">
        <f>'S | 01 '!C16</f>
        <v>Heygears</v>
      </c>
      <c r="D15" s="148">
        <v>3565017.22</v>
      </c>
      <c r="E15" s="148">
        <f>D15/F15</f>
        <v>24791496.662030596</v>
      </c>
      <c r="F15" s="94">
        <v>0.14380000000000001</v>
      </c>
      <c r="G15" s="156" t="s">
        <v>155</v>
      </c>
      <c r="H15" s="156" t="s">
        <v>397</v>
      </c>
      <c r="I15" s="156" t="s">
        <v>430</v>
      </c>
      <c r="J15" s="106"/>
    </row>
    <row r="16" spans="1:17" x14ac:dyDescent="0.25">
      <c r="B16" s="537" t="s">
        <v>26</v>
      </c>
      <c r="C16" s="4" t="str">
        <f>'S | 01 '!C17</f>
        <v>Jysan Technologies</v>
      </c>
      <c r="D16" s="148">
        <v>7959497</v>
      </c>
      <c r="E16" s="148">
        <v>265316566.66666669</v>
      </c>
      <c r="F16" s="94">
        <v>0.03</v>
      </c>
      <c r="G16" s="156" t="s">
        <v>156</v>
      </c>
      <c r="H16" s="156" t="s">
        <v>398</v>
      </c>
      <c r="I16" s="156" t="s">
        <v>398</v>
      </c>
      <c r="J16" s="106"/>
    </row>
    <row r="17" spans="1:14" x14ac:dyDescent="0.25">
      <c r="B17" s="509"/>
      <c r="C17" s="4" t="str">
        <f>'S | 01 '!C18</f>
        <v>Cerebras Systems Inc</v>
      </c>
      <c r="D17" s="148">
        <v>1441711</v>
      </c>
      <c r="E17" s="148">
        <v>158130778</v>
      </c>
      <c r="F17" s="433">
        <f>D17/E17</f>
        <v>9.117206771726628E-3</v>
      </c>
      <c r="G17" s="156" t="s">
        <v>401</v>
      </c>
      <c r="H17" s="156" t="s">
        <v>426</v>
      </c>
      <c r="I17" s="156" t="s">
        <v>214</v>
      </c>
      <c r="J17" s="106"/>
    </row>
    <row r="18" spans="1:14" x14ac:dyDescent="0.25">
      <c r="B18" s="509"/>
      <c r="C18" s="4" t="str">
        <f>'S | 01 '!C19</f>
        <v>Endless Studios LLC</v>
      </c>
      <c r="D18" s="148">
        <v>8000000</v>
      </c>
      <c r="E18" s="148">
        <f>38750000+11000000</f>
        <v>49750000</v>
      </c>
      <c r="F18" s="433">
        <f>D18/E18</f>
        <v>0.16080402010050251</v>
      </c>
      <c r="G18" s="156" t="s">
        <v>401</v>
      </c>
      <c r="H18" s="156" t="s">
        <v>426</v>
      </c>
      <c r="I18" s="156" t="s">
        <v>214</v>
      </c>
      <c r="J18" s="106"/>
    </row>
    <row r="19" spans="1:14" x14ac:dyDescent="0.25">
      <c r="B19" s="537" t="s">
        <v>26</v>
      </c>
      <c r="C19" s="4" t="str">
        <f>'S | 01 '!C20</f>
        <v>Instadeep Limited</v>
      </c>
      <c r="D19" s="148">
        <v>33267</v>
      </c>
      <c r="E19" s="148">
        <v>2895450</v>
      </c>
      <c r="F19" s="94">
        <f>D19/E19</f>
        <v>1.1489405791845828E-2</v>
      </c>
      <c r="G19" s="156" t="s">
        <v>411</v>
      </c>
      <c r="H19" s="156" t="s">
        <v>398</v>
      </c>
      <c r="I19" s="156" t="s">
        <v>398</v>
      </c>
      <c r="J19" s="106"/>
    </row>
    <row r="20" spans="1:14" x14ac:dyDescent="0.25">
      <c r="B20" s="537" t="s">
        <v>26</v>
      </c>
      <c r="C20" s="4" t="str">
        <f>'S | 01 '!C21</f>
        <v>X-fusion</v>
      </c>
      <c r="D20" s="152"/>
      <c r="E20" s="152"/>
      <c r="F20" s="94">
        <f>10% * 51%</f>
        <v>5.1000000000000004E-2</v>
      </c>
      <c r="G20" s="156" t="s">
        <v>155</v>
      </c>
      <c r="H20" s="156" t="s">
        <v>397</v>
      </c>
      <c r="I20" s="156" t="s">
        <v>430</v>
      </c>
      <c r="J20" s="106"/>
      <c r="L20" s="151"/>
    </row>
    <row r="21" spans="1:14" x14ac:dyDescent="0.25">
      <c r="B21" s="509"/>
      <c r="C21" s="4" t="str">
        <f>'S | 01 '!C22</f>
        <v>DriveNets</v>
      </c>
      <c r="D21" s="148">
        <v>86882669</v>
      </c>
      <c r="E21" s="148">
        <v>779782293</v>
      </c>
      <c r="F21" s="433">
        <f>D21/E21</f>
        <v>0.11141913554582343</v>
      </c>
      <c r="G21" s="156" t="s">
        <v>403</v>
      </c>
      <c r="H21" s="471" t="s">
        <v>432</v>
      </c>
      <c r="I21" s="471" t="s">
        <v>431</v>
      </c>
      <c r="J21" s="106"/>
    </row>
    <row r="22" spans="1:14" x14ac:dyDescent="0.25">
      <c r="B22" s="509"/>
      <c r="C22" s="4" t="str">
        <f>'S | 01 '!C23</f>
        <v>vTv Therapeutics Inc.</v>
      </c>
      <c r="D22" s="568">
        <f>ROUNDUP(10386274/40,0)</f>
        <v>259657</v>
      </c>
      <c r="E22" s="148">
        <f>ROUNDUP(81483600+23093860+9545439+3214503,0)</f>
        <v>117337402</v>
      </c>
      <c r="F22" s="94">
        <f>D22/E22</f>
        <v>2.2129090603182095E-3</v>
      </c>
      <c r="G22" s="156" t="s">
        <v>495</v>
      </c>
      <c r="H22" s="156" t="s">
        <v>426</v>
      </c>
      <c r="I22" s="156" t="s">
        <v>214</v>
      </c>
      <c r="J22" s="106"/>
      <c r="L22" s="151"/>
    </row>
    <row r="23" spans="1:14" x14ac:dyDescent="0.25">
      <c r="B23" s="537" t="s">
        <v>26</v>
      </c>
      <c r="C23" s="4" t="str">
        <f>'S | 01 '!C24</f>
        <v>Honor Device Co Ltd</v>
      </c>
      <c r="D23" s="152">
        <f>1517126944.34*0.8/2</f>
        <v>606850777.73599994</v>
      </c>
      <c r="E23" s="152">
        <v>32238947567.490002</v>
      </c>
      <c r="F23" s="94">
        <f>4.705882%* 0.8/2</f>
        <v>1.8823528000000003E-2</v>
      </c>
      <c r="G23" s="156" t="s">
        <v>155</v>
      </c>
      <c r="H23" s="156" t="s">
        <v>397</v>
      </c>
      <c r="I23" s="156" t="s">
        <v>430</v>
      </c>
      <c r="J23" s="106"/>
      <c r="L23" s="216"/>
      <c r="M23" s="150"/>
    </row>
    <row r="24" spans="1:14" x14ac:dyDescent="0.25">
      <c r="B24" s="509"/>
      <c r="C24" s="4" t="str">
        <f>'S | 01 '!C25</f>
        <v>Applied AI Corporation Limited</v>
      </c>
      <c r="D24" s="148" t="s">
        <v>131</v>
      </c>
      <c r="E24" s="148" t="s">
        <v>131</v>
      </c>
      <c r="F24" s="94" t="s">
        <v>131</v>
      </c>
      <c r="G24" s="156" t="s">
        <v>399</v>
      </c>
      <c r="H24" s="156" t="s">
        <v>433</v>
      </c>
      <c r="I24" s="156" t="s">
        <v>434</v>
      </c>
      <c r="J24" s="106"/>
      <c r="L24" s="540" t="s">
        <v>481</v>
      </c>
      <c r="M24" s="541"/>
      <c r="N24" s="542"/>
    </row>
    <row r="25" spans="1:14" x14ac:dyDescent="0.25">
      <c r="B25" s="509"/>
      <c r="C25" s="4" t="str">
        <f>'S | 01 '!C26</f>
        <v xml:space="preserve">eSpace </v>
      </c>
      <c r="D25" s="148">
        <v>417846</v>
      </c>
      <c r="E25" s="148">
        <v>14995394</v>
      </c>
      <c r="F25" s="433">
        <f>D25/E25</f>
        <v>2.7864956399278339E-2</v>
      </c>
      <c r="G25" s="156" t="s">
        <v>511</v>
      </c>
      <c r="H25" s="156" t="s">
        <v>426</v>
      </c>
      <c r="I25" s="156" t="s">
        <v>214</v>
      </c>
      <c r="J25" s="106"/>
      <c r="L25" s="150">
        <v>5400972</v>
      </c>
      <c r="M25" s="150" t="s">
        <v>475</v>
      </c>
    </row>
    <row r="26" spans="1:14" x14ac:dyDescent="0.25">
      <c r="B26" s="509"/>
      <c r="C26" s="4" t="str">
        <f>'S | 01 '!C27</f>
        <v>Tools for Humanity Corporation</v>
      </c>
      <c r="D26" s="148">
        <v>65413</v>
      </c>
      <c r="E26" s="148">
        <v>10445692.929292928</v>
      </c>
      <c r="F26" s="433">
        <f>D26/E26</f>
        <v>6.2621982517370271E-3</v>
      </c>
      <c r="G26" s="156" t="s">
        <v>465</v>
      </c>
      <c r="H26" s="156" t="s">
        <v>426</v>
      </c>
      <c r="I26" s="156" t="s">
        <v>214</v>
      </c>
      <c r="J26" s="106"/>
      <c r="L26" s="150">
        <v>4857352</v>
      </c>
      <c r="M26" s="150" t="s">
        <v>476</v>
      </c>
    </row>
    <row r="27" spans="1:14" x14ac:dyDescent="0.25">
      <c r="B27" s="509"/>
      <c r="C27" s="4" t="str">
        <f>'S | 01 '!C28</f>
        <v>WLD Tokens</v>
      </c>
      <c r="D27" s="148">
        <v>62500000</v>
      </c>
      <c r="E27" s="148">
        <v>10000000000</v>
      </c>
      <c r="F27" s="433">
        <f>D27/E27</f>
        <v>6.2500000000000003E-3</v>
      </c>
      <c r="G27" s="156" t="s">
        <v>465</v>
      </c>
      <c r="H27" s="156" t="s">
        <v>466</v>
      </c>
      <c r="I27" s="156" t="s">
        <v>425</v>
      </c>
      <c r="J27" s="106"/>
      <c r="L27" s="150">
        <v>16791835</v>
      </c>
      <c r="M27" s="150" t="s">
        <v>477</v>
      </c>
    </row>
    <row r="28" spans="1:14" x14ac:dyDescent="0.25">
      <c r="B28" s="509"/>
      <c r="C28" s="4" t="str">
        <f>'S | 01 '!C29</f>
        <v>E-line Ventures LLC</v>
      </c>
      <c r="D28" s="148">
        <v>4477612</v>
      </c>
      <c r="E28" s="148">
        <f>L33</f>
        <v>38990900</v>
      </c>
      <c r="F28" s="433">
        <f>D28/E28</f>
        <v>0.11483735948644427</v>
      </c>
      <c r="G28" s="156" t="s">
        <v>484</v>
      </c>
      <c r="H28" s="156" t="s">
        <v>482</v>
      </c>
      <c r="I28" s="156" t="s">
        <v>482</v>
      </c>
      <c r="J28" s="106"/>
      <c r="L28" s="150">
        <v>1465517</v>
      </c>
      <c r="M28" s="150" t="s">
        <v>478</v>
      </c>
    </row>
    <row r="29" spans="1:14" x14ac:dyDescent="0.25">
      <c r="B29" s="509"/>
      <c r="C29" s="4" t="str">
        <f>'S | 01 '!C30</f>
        <v>School Hack (AIREV Holding Limited)</v>
      </c>
      <c r="D29" s="148">
        <v>25000</v>
      </c>
      <c r="E29" s="148">
        <v>100000</v>
      </c>
      <c r="F29" s="433">
        <f t="shared" ref="F29" si="0">D29/E29</f>
        <v>0.25</v>
      </c>
      <c r="G29" s="156" t="s">
        <v>526</v>
      </c>
      <c r="H29" s="156" t="s">
        <v>433</v>
      </c>
      <c r="I29" s="156" t="s">
        <v>527</v>
      </c>
      <c r="J29" s="106"/>
      <c r="L29" s="150"/>
      <c r="M29" s="150"/>
    </row>
    <row r="30" spans="1:14" x14ac:dyDescent="0.25">
      <c r="B30" s="509"/>
      <c r="C30" s="5"/>
      <c r="D30" s="28"/>
      <c r="E30" s="28"/>
      <c r="F30" s="522"/>
      <c r="G30" s="523"/>
      <c r="H30" s="523"/>
      <c r="I30" s="523"/>
      <c r="J30" s="106"/>
      <c r="L30" s="150"/>
      <c r="M30" s="150"/>
    </row>
    <row r="31" spans="1:14" x14ac:dyDescent="0.25">
      <c r="B31" s="509"/>
      <c r="C31" s="5"/>
      <c r="D31" s="28"/>
      <c r="E31" s="28"/>
      <c r="F31" s="522"/>
      <c r="G31" s="523"/>
      <c r="H31" s="523"/>
      <c r="I31" s="523"/>
      <c r="J31" s="106"/>
      <c r="L31" s="150">
        <f>D28*2</f>
        <v>8955224</v>
      </c>
      <c r="M31" s="150" t="s">
        <v>479</v>
      </c>
    </row>
    <row r="32" spans="1:14" x14ac:dyDescent="0.25">
      <c r="A32" s="109"/>
      <c r="B32" s="538"/>
      <c r="C32" s="460"/>
      <c r="D32" s="461"/>
      <c r="E32" s="461"/>
      <c r="F32" s="462"/>
      <c r="G32" s="463"/>
      <c r="H32" s="463"/>
      <c r="I32" s="463"/>
      <c r="J32" s="108"/>
      <c r="K32" s="109"/>
      <c r="L32" s="150">
        <v>1520000</v>
      </c>
      <c r="M32" s="150" t="s">
        <v>480</v>
      </c>
    </row>
    <row r="33" spans="2:18" x14ac:dyDescent="0.25">
      <c r="B33" s="509"/>
      <c r="C33" s="5"/>
      <c r="D33" s="28"/>
      <c r="E33" s="28"/>
      <c r="F33" s="149"/>
      <c r="G33" s="157"/>
      <c r="H33" s="157"/>
      <c r="I33" s="157"/>
      <c r="J33" s="106"/>
      <c r="L33" s="529">
        <f>SUM(L25:L32)</f>
        <v>38990900</v>
      </c>
      <c r="M33" s="529"/>
      <c r="N33" s="530"/>
    </row>
    <row r="34" spans="2:18" x14ac:dyDescent="0.25">
      <c r="B34" s="509"/>
      <c r="C34" s="454" t="s">
        <v>30</v>
      </c>
      <c r="D34" s="458" t="s">
        <v>437</v>
      </c>
      <c r="E34" s="458" t="s">
        <v>438</v>
      </c>
      <c r="F34" s="459"/>
      <c r="G34" s="457"/>
      <c r="H34" s="457"/>
      <c r="I34" s="457"/>
      <c r="J34" s="106"/>
    </row>
    <row r="35" spans="2:18" x14ac:dyDescent="0.25">
      <c r="B35" s="509"/>
      <c r="C35" s="4" t="s">
        <v>125</v>
      </c>
      <c r="D35" s="148">
        <v>23234462</v>
      </c>
      <c r="E35" s="148" t="s">
        <v>455</v>
      </c>
      <c r="F35" s="94">
        <f>'5. NewSpace'!J57</f>
        <v>0.22044081593927894</v>
      </c>
      <c r="G35" s="156" t="s">
        <v>456</v>
      </c>
      <c r="H35" s="156" t="s">
        <v>442</v>
      </c>
      <c r="I35" s="156" t="s">
        <v>442</v>
      </c>
      <c r="J35" s="106"/>
    </row>
    <row r="36" spans="2:18" x14ac:dyDescent="0.25">
      <c r="B36" s="509"/>
      <c r="C36" s="4" t="s">
        <v>390</v>
      </c>
      <c r="D36" s="148">
        <f>-'CF (Funds)'!G46*10^6</f>
        <v>2125000</v>
      </c>
      <c r="E36" s="148" t="s">
        <v>455</v>
      </c>
      <c r="F36" s="94">
        <f>'5. NewSpace'!J58</f>
        <v>2.0161290322580645E-2</v>
      </c>
      <c r="G36" s="156"/>
      <c r="H36" s="156" t="s">
        <v>442</v>
      </c>
      <c r="I36" s="156" t="s">
        <v>442</v>
      </c>
      <c r="J36" s="106"/>
      <c r="P36" s="381"/>
      <c r="Q36" s="381"/>
    </row>
    <row r="37" spans="2:18" x14ac:dyDescent="0.25">
      <c r="B37" s="509"/>
      <c r="C37" s="4" t="s">
        <v>1</v>
      </c>
      <c r="D37" s="148">
        <v>300000000</v>
      </c>
      <c r="E37" s="148">
        <v>301507538</v>
      </c>
      <c r="F37" s="94">
        <f>D37/E37</f>
        <v>0.99499999897183333</v>
      </c>
      <c r="G37" s="156" t="s">
        <v>441</v>
      </c>
      <c r="H37" s="156" t="s">
        <v>425</v>
      </c>
      <c r="I37" s="156" t="s">
        <v>425</v>
      </c>
      <c r="J37" s="106"/>
      <c r="P37" s="497"/>
      <c r="Q37" s="497"/>
    </row>
    <row r="38" spans="2:18" x14ac:dyDescent="0.25">
      <c r="B38" s="537" t="s">
        <v>26</v>
      </c>
      <c r="C38" s="4" t="s">
        <v>12</v>
      </c>
      <c r="D38" s="148">
        <v>50000000</v>
      </c>
      <c r="E38" s="148">
        <v>496717172</v>
      </c>
      <c r="F38" s="94">
        <f>D38/E38</f>
        <v>0.10066090487405174</v>
      </c>
      <c r="G38" s="156" t="s">
        <v>485</v>
      </c>
      <c r="H38" s="156" t="s">
        <v>425</v>
      </c>
      <c r="I38" s="156" t="s">
        <v>425</v>
      </c>
      <c r="J38" s="106"/>
      <c r="P38" s="381"/>
      <c r="Q38" s="381"/>
      <c r="R38" s="216"/>
    </row>
    <row r="39" spans="2:18" x14ac:dyDescent="0.25">
      <c r="B39" s="509"/>
      <c r="C39" s="4" t="s">
        <v>176</v>
      </c>
      <c r="D39" s="148">
        <v>17112500</v>
      </c>
      <c r="E39" s="148">
        <v>51337500</v>
      </c>
      <c r="F39" s="94">
        <f>D39/E39</f>
        <v>0.33333333333333331</v>
      </c>
      <c r="G39" s="156" t="s">
        <v>439</v>
      </c>
      <c r="H39" s="156" t="s">
        <v>440</v>
      </c>
      <c r="I39" s="156" t="s">
        <v>214</v>
      </c>
      <c r="J39" s="106"/>
    </row>
    <row r="40" spans="2:18" x14ac:dyDescent="0.25">
      <c r="B40" s="509"/>
      <c r="C40" s="5"/>
      <c r="D40" s="28"/>
      <c r="E40" s="28"/>
      <c r="F40" s="149"/>
      <c r="G40" s="157"/>
      <c r="H40" s="157"/>
      <c r="I40" s="157"/>
      <c r="J40" s="106"/>
    </row>
    <row r="41" spans="2:18" ht="15.75" thickBot="1" x14ac:dyDescent="0.3">
      <c r="B41" s="539"/>
      <c r="C41" s="111"/>
      <c r="D41" s="147"/>
      <c r="E41" s="147"/>
      <c r="F41" s="111"/>
      <c r="G41" s="158"/>
      <c r="H41" s="158"/>
      <c r="I41" s="158"/>
      <c r="J41" s="114"/>
    </row>
    <row r="42" spans="2:18" x14ac:dyDescent="0.25">
      <c r="C42" s="95"/>
      <c r="D42" s="144"/>
      <c r="E42" s="144"/>
      <c r="F42" s="95"/>
    </row>
    <row r="44" spans="2:18" x14ac:dyDescent="0.25">
      <c r="F44" s="27"/>
      <c r="G44" s="27"/>
      <c r="H44" s="27"/>
      <c r="I44" s="27"/>
      <c r="J44" s="27"/>
    </row>
    <row r="45" spans="2:18" x14ac:dyDescent="0.25">
      <c r="F45" s="27"/>
      <c r="G45" s="27"/>
      <c r="H45" s="27"/>
      <c r="I45" s="27"/>
      <c r="J45" s="27"/>
    </row>
    <row r="46" spans="2:18" x14ac:dyDescent="0.25">
      <c r="F46" s="27"/>
      <c r="G46" s="27"/>
      <c r="H46" s="27"/>
      <c r="I46" s="27"/>
      <c r="J46" s="27"/>
    </row>
    <row r="47" spans="2:18" x14ac:dyDescent="0.25">
      <c r="F47" s="27"/>
      <c r="G47" s="27"/>
      <c r="H47" s="27"/>
      <c r="I47" s="27"/>
      <c r="J47" s="27"/>
    </row>
    <row r="48" spans="2:18" x14ac:dyDescent="0.25">
      <c r="F48" s="27"/>
      <c r="G48" s="27"/>
      <c r="H48" s="27"/>
      <c r="I48" s="27"/>
      <c r="J48" s="27"/>
    </row>
    <row r="49" spans="3:10" x14ac:dyDescent="0.25">
      <c r="F49" s="27"/>
      <c r="G49" s="27"/>
      <c r="H49" s="27"/>
      <c r="I49" s="27"/>
      <c r="J49" s="27"/>
    </row>
    <row r="52" spans="3:10" x14ac:dyDescent="0.25">
      <c r="C52" s="21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L54"/>
  <sheetViews>
    <sheetView showGridLines="0" zoomScale="85" zoomScaleNormal="85" workbookViewId="0">
      <selection activeCell="G37" sqref="G37"/>
    </sheetView>
  </sheetViews>
  <sheetFormatPr defaultColWidth="9.140625" defaultRowHeight="15" x14ac:dyDescent="0.25"/>
  <cols>
    <col min="1" max="1" width="5.42578125" style="26" customWidth="1"/>
    <col min="2" max="2" width="2.42578125" style="26" customWidth="1"/>
    <col min="3" max="3" width="35.42578125" style="95" customWidth="1"/>
    <col min="4" max="4" width="35.28515625" style="27" customWidth="1"/>
    <col min="5" max="5" width="43.28515625" style="96" customWidth="1"/>
    <col min="6" max="6" width="8.85546875" style="27" customWidth="1"/>
    <col min="7" max="7" width="15.85546875" style="27" customWidth="1"/>
    <col min="8" max="8" width="35.85546875" style="27" customWidth="1"/>
    <col min="9" max="9" width="2.28515625" style="26" customWidth="1"/>
    <col min="10" max="10" width="2.42578125" style="26" customWidth="1"/>
    <col min="11" max="16384" width="9.140625" style="26"/>
  </cols>
  <sheetData>
    <row r="1" spans="2:9" ht="15.75" thickBot="1" x14ac:dyDescent="0.3"/>
    <row r="2" spans="2:9" x14ac:dyDescent="0.25">
      <c r="B2" s="97"/>
      <c r="C2" s="98"/>
      <c r="D2" s="99"/>
      <c r="E2" s="100"/>
      <c r="F2" s="99"/>
      <c r="G2" s="99"/>
      <c r="H2" s="99"/>
      <c r="I2" s="101"/>
    </row>
    <row r="3" spans="2:9" s="104" customFormat="1" ht="30" customHeight="1" x14ac:dyDescent="0.25">
      <c r="B3" s="102"/>
      <c r="C3" s="3" t="s">
        <v>52</v>
      </c>
      <c r="D3" s="1" t="s">
        <v>149</v>
      </c>
      <c r="E3" s="3" t="s">
        <v>82</v>
      </c>
      <c r="F3" s="1" t="s">
        <v>94</v>
      </c>
      <c r="G3" s="1" t="s">
        <v>25</v>
      </c>
      <c r="H3" s="129" t="s">
        <v>3</v>
      </c>
      <c r="I3" s="103"/>
    </row>
    <row r="4" spans="2:9" x14ac:dyDescent="0.25">
      <c r="B4" s="105"/>
      <c r="C4" s="5"/>
      <c r="D4" s="8"/>
      <c r="E4" s="49"/>
      <c r="F4" s="8"/>
      <c r="G4" s="8"/>
      <c r="H4" s="8"/>
      <c r="I4" s="106"/>
    </row>
    <row r="5" spans="2:9" x14ac:dyDescent="0.25">
      <c r="B5" s="105"/>
      <c r="C5" s="16" t="s">
        <v>28</v>
      </c>
      <c r="D5" s="2"/>
      <c r="E5" s="50"/>
      <c r="F5" s="2"/>
      <c r="G5" s="2"/>
      <c r="H5" s="2"/>
      <c r="I5" s="106"/>
    </row>
    <row r="6" spans="2:9" x14ac:dyDescent="0.25">
      <c r="B6" s="105"/>
      <c r="C6" s="4" t="s">
        <v>0</v>
      </c>
      <c r="D6" s="47" t="s">
        <v>106</v>
      </c>
      <c r="E6" s="51" t="s">
        <v>101</v>
      </c>
      <c r="F6" s="323"/>
      <c r="G6" s="323" t="s">
        <v>83</v>
      </c>
      <c r="H6" s="56" t="s">
        <v>503</v>
      </c>
      <c r="I6" s="106"/>
    </row>
    <row r="7" spans="2:9" x14ac:dyDescent="0.25">
      <c r="B7" s="105"/>
      <c r="C7" s="4" t="s">
        <v>39</v>
      </c>
      <c r="D7" s="47" t="s">
        <v>106</v>
      </c>
      <c r="E7" s="51" t="s">
        <v>363</v>
      </c>
      <c r="F7" s="323"/>
      <c r="G7" s="323"/>
      <c r="H7" s="56"/>
      <c r="I7" s="106"/>
    </row>
    <row r="8" spans="2:9" x14ac:dyDescent="0.25">
      <c r="B8" s="105"/>
      <c r="C8" s="4" t="s">
        <v>40</v>
      </c>
      <c r="D8" s="47" t="s">
        <v>145</v>
      </c>
      <c r="E8" s="51" t="s">
        <v>131</v>
      </c>
      <c r="F8" s="323" t="s">
        <v>128</v>
      </c>
      <c r="G8" s="323" t="s">
        <v>26</v>
      </c>
      <c r="H8" s="47" t="s">
        <v>132</v>
      </c>
      <c r="I8" s="106"/>
    </row>
    <row r="9" spans="2:9" x14ac:dyDescent="0.25">
      <c r="B9" s="105"/>
      <c r="C9" s="4" t="s">
        <v>48</v>
      </c>
      <c r="D9" s="47" t="s">
        <v>106</v>
      </c>
      <c r="E9" s="51" t="s">
        <v>362</v>
      </c>
      <c r="F9" s="323" t="s">
        <v>127</v>
      </c>
      <c r="G9" s="323" t="s">
        <v>83</v>
      </c>
      <c r="H9" s="47"/>
      <c r="I9" s="106"/>
    </row>
    <row r="10" spans="2:9" x14ac:dyDescent="0.25">
      <c r="B10" s="105"/>
      <c r="C10" s="4" t="s">
        <v>38</v>
      </c>
      <c r="D10" s="47" t="s">
        <v>106</v>
      </c>
      <c r="E10" s="51" t="s">
        <v>363</v>
      </c>
      <c r="F10" s="323" t="s">
        <v>129</v>
      </c>
      <c r="G10" s="323"/>
      <c r="H10" s="56"/>
      <c r="I10" s="106"/>
    </row>
    <row r="11" spans="2:9" x14ac:dyDescent="0.25">
      <c r="B11" s="105"/>
      <c r="C11" s="4" t="s">
        <v>89</v>
      </c>
      <c r="D11" s="47" t="s">
        <v>106</v>
      </c>
      <c r="E11" s="51" t="s">
        <v>100</v>
      </c>
      <c r="F11" s="323"/>
      <c r="G11" s="323"/>
      <c r="H11" s="56"/>
      <c r="I11" s="106"/>
    </row>
    <row r="12" spans="2:9" x14ac:dyDescent="0.25">
      <c r="B12" s="105"/>
      <c r="C12" s="4" t="s">
        <v>9</v>
      </c>
      <c r="D12" s="47" t="s">
        <v>107</v>
      </c>
      <c r="E12" s="51" t="s">
        <v>64</v>
      </c>
      <c r="F12" s="323"/>
      <c r="G12" s="323" t="s">
        <v>622</v>
      </c>
      <c r="H12" s="56" t="s">
        <v>504</v>
      </c>
      <c r="I12" s="106"/>
    </row>
    <row r="13" spans="2:9" x14ac:dyDescent="0.25">
      <c r="B13" s="105"/>
      <c r="C13" s="4" t="s">
        <v>18</v>
      </c>
      <c r="D13" s="47" t="s">
        <v>106</v>
      </c>
      <c r="E13" s="51" t="s">
        <v>103</v>
      </c>
      <c r="F13" s="323"/>
      <c r="G13" s="323" t="s">
        <v>26</v>
      </c>
      <c r="H13" s="56" t="s">
        <v>26</v>
      </c>
      <c r="I13" s="106"/>
    </row>
    <row r="14" spans="2:9" x14ac:dyDescent="0.25">
      <c r="B14" s="105"/>
      <c r="C14" s="4" t="s">
        <v>41</v>
      </c>
      <c r="D14" s="47" t="s">
        <v>105</v>
      </c>
      <c r="E14" s="51" t="s">
        <v>102</v>
      </c>
      <c r="F14" s="323" t="s">
        <v>130</v>
      </c>
      <c r="G14" s="323"/>
      <c r="H14" s="56"/>
      <c r="I14" s="106"/>
    </row>
    <row r="15" spans="2:9" x14ac:dyDescent="0.25">
      <c r="B15" s="105"/>
      <c r="C15" s="4" t="s">
        <v>42</v>
      </c>
      <c r="D15" s="47" t="s">
        <v>505</v>
      </c>
      <c r="E15" s="51" t="s">
        <v>512</v>
      </c>
      <c r="F15" s="323"/>
      <c r="G15" s="323"/>
      <c r="H15" s="56"/>
      <c r="I15" s="106"/>
    </row>
    <row r="16" spans="2:9" x14ac:dyDescent="0.25">
      <c r="B16" s="105"/>
      <c r="C16" s="4" t="s">
        <v>43</v>
      </c>
      <c r="D16" s="47" t="s">
        <v>105</v>
      </c>
      <c r="E16" s="51"/>
      <c r="F16" s="323"/>
      <c r="G16" s="323" t="s">
        <v>26</v>
      </c>
      <c r="H16" s="56" t="s">
        <v>26</v>
      </c>
      <c r="I16" s="106"/>
    </row>
    <row r="17" spans="2:12" x14ac:dyDescent="0.25">
      <c r="B17" s="105"/>
      <c r="C17" s="4" t="s">
        <v>71</v>
      </c>
      <c r="D17" s="47" t="s">
        <v>145</v>
      </c>
      <c r="E17" s="51" t="s">
        <v>131</v>
      </c>
      <c r="F17" s="324"/>
      <c r="G17" s="323" t="s">
        <v>26</v>
      </c>
      <c r="H17" s="56"/>
      <c r="I17" s="106"/>
    </row>
    <row r="18" spans="2:12" x14ac:dyDescent="0.25">
      <c r="B18" s="105"/>
      <c r="C18" s="4" t="s">
        <v>19</v>
      </c>
      <c r="D18" s="47" t="s">
        <v>105</v>
      </c>
      <c r="E18" s="51" t="s">
        <v>104</v>
      </c>
      <c r="F18" s="324"/>
      <c r="G18" s="324"/>
      <c r="H18" s="56"/>
      <c r="I18" s="106"/>
    </row>
    <row r="19" spans="2:12" x14ac:dyDescent="0.25">
      <c r="B19" s="105"/>
      <c r="C19" s="4" t="s">
        <v>90</v>
      </c>
      <c r="D19" s="47" t="s">
        <v>294</v>
      </c>
      <c r="E19" s="51" t="s">
        <v>296</v>
      </c>
      <c r="F19" s="324"/>
      <c r="G19" s="324"/>
      <c r="H19" s="56"/>
      <c r="I19" s="106"/>
    </row>
    <row r="20" spans="2:12" x14ac:dyDescent="0.25">
      <c r="B20" s="105"/>
      <c r="C20" s="4" t="s">
        <v>35</v>
      </c>
      <c r="D20" s="47" t="s">
        <v>145</v>
      </c>
      <c r="E20" s="51" t="s">
        <v>131</v>
      </c>
      <c r="F20" s="323" t="s">
        <v>295</v>
      </c>
      <c r="G20" s="323" t="s">
        <v>26</v>
      </c>
      <c r="H20" s="56"/>
      <c r="I20" s="106"/>
      <c r="L20" s="4" t="s">
        <v>473</v>
      </c>
    </row>
    <row r="21" spans="2:12" x14ac:dyDescent="0.25">
      <c r="B21" s="105"/>
      <c r="C21" s="4" t="s">
        <v>271</v>
      </c>
      <c r="D21" s="47" t="s">
        <v>145</v>
      </c>
      <c r="E21" s="51" t="s">
        <v>131</v>
      </c>
      <c r="F21" s="323"/>
      <c r="G21" s="323"/>
      <c r="H21" s="56"/>
      <c r="I21" s="106"/>
      <c r="L21" s="4" t="s">
        <v>522</v>
      </c>
    </row>
    <row r="22" spans="2:12" x14ac:dyDescent="0.25">
      <c r="B22" s="105"/>
      <c r="C22" s="4" t="s">
        <v>306</v>
      </c>
      <c r="D22" s="47" t="s">
        <v>145</v>
      </c>
      <c r="E22" s="51" t="s">
        <v>131</v>
      </c>
      <c r="F22" s="323"/>
      <c r="G22" s="323"/>
      <c r="H22" s="56"/>
      <c r="I22" s="106"/>
    </row>
    <row r="23" spans="2:12" x14ac:dyDescent="0.25">
      <c r="B23" s="105"/>
      <c r="C23" s="4" t="s">
        <v>391</v>
      </c>
      <c r="D23" s="47" t="s">
        <v>145</v>
      </c>
      <c r="E23" s="51" t="s">
        <v>131</v>
      </c>
      <c r="F23" s="323"/>
      <c r="G23" s="323"/>
      <c r="H23" s="56"/>
      <c r="I23" s="106"/>
    </row>
    <row r="24" spans="2:12" x14ac:dyDescent="0.25">
      <c r="B24" s="105"/>
      <c r="C24" s="4" t="s">
        <v>473</v>
      </c>
      <c r="D24" s="47"/>
      <c r="E24" s="51"/>
      <c r="F24" s="323"/>
      <c r="G24" s="323"/>
      <c r="H24" s="56"/>
      <c r="I24" s="106"/>
    </row>
    <row r="25" spans="2:12" x14ac:dyDescent="0.25">
      <c r="B25" s="105"/>
      <c r="C25" s="5" t="s">
        <v>522</v>
      </c>
      <c r="D25" s="511" t="s">
        <v>107</v>
      </c>
      <c r="E25" s="51" t="s">
        <v>131</v>
      </c>
      <c r="F25" s="512"/>
      <c r="G25" s="512"/>
      <c r="H25" s="513"/>
      <c r="I25" s="106"/>
    </row>
    <row r="26" spans="2:12" s="109" customFormat="1" x14ac:dyDescent="0.25">
      <c r="B26" s="107"/>
      <c r="C26" s="9"/>
      <c r="D26" s="48"/>
      <c r="E26" s="52"/>
      <c r="F26" s="325"/>
      <c r="G26" s="325"/>
      <c r="H26" s="229"/>
      <c r="I26" s="108"/>
    </row>
    <row r="27" spans="2:12" x14ac:dyDescent="0.25">
      <c r="B27" s="105"/>
      <c r="C27" s="5"/>
      <c r="D27" s="22"/>
      <c r="E27" s="53"/>
      <c r="F27" s="22"/>
      <c r="G27" s="22"/>
      <c r="H27" s="230"/>
      <c r="I27" s="106"/>
    </row>
    <row r="28" spans="2:12" x14ac:dyDescent="0.25">
      <c r="B28" s="105"/>
      <c r="C28" s="16" t="s">
        <v>29</v>
      </c>
      <c r="D28" s="20"/>
      <c r="E28" s="54"/>
      <c r="F28" s="20"/>
      <c r="G28" s="20"/>
      <c r="H28" s="231"/>
      <c r="I28" s="106"/>
    </row>
    <row r="29" spans="2:12" x14ac:dyDescent="0.25">
      <c r="B29" s="105"/>
      <c r="C29" s="4" t="s">
        <v>49</v>
      </c>
      <c r="D29" s="20" t="s">
        <v>145</v>
      </c>
      <c r="E29" s="54"/>
      <c r="F29" s="20"/>
      <c r="G29" s="20"/>
      <c r="H29" s="231"/>
      <c r="I29" s="106"/>
    </row>
    <row r="30" spans="2:12" x14ac:dyDescent="0.25">
      <c r="B30" s="105"/>
      <c r="C30" s="4" t="s">
        <v>0</v>
      </c>
      <c r="D30" s="47" t="s">
        <v>106</v>
      </c>
      <c r="E30" s="51" t="s">
        <v>101</v>
      </c>
      <c r="F30" s="47"/>
      <c r="G30" s="323" t="s">
        <v>83</v>
      </c>
      <c r="H30" s="56"/>
      <c r="I30" s="106"/>
    </row>
    <row r="31" spans="2:12" x14ac:dyDescent="0.25">
      <c r="B31" s="105"/>
      <c r="C31" s="4" t="s">
        <v>40</v>
      </c>
      <c r="D31" s="47" t="s">
        <v>145</v>
      </c>
      <c r="E31" s="51"/>
      <c r="F31" s="47"/>
      <c r="G31" s="47"/>
      <c r="H31" s="56"/>
      <c r="I31" s="106"/>
    </row>
    <row r="32" spans="2:12" s="109" customFormat="1" x14ac:dyDescent="0.25">
      <c r="B32" s="107"/>
      <c r="C32" s="9"/>
      <c r="D32" s="21"/>
      <c r="E32" s="55"/>
      <c r="F32" s="21"/>
      <c r="G32" s="21"/>
      <c r="H32" s="232"/>
      <c r="I32" s="108"/>
    </row>
    <row r="33" spans="2:9" x14ac:dyDescent="0.25">
      <c r="B33" s="105"/>
      <c r="C33" s="5"/>
      <c r="D33" s="22"/>
      <c r="E33" s="53"/>
      <c r="F33" s="22"/>
      <c r="G33" s="22"/>
      <c r="H33" s="230"/>
      <c r="I33" s="106"/>
    </row>
    <row r="34" spans="2:9" x14ac:dyDescent="0.25">
      <c r="B34" s="105"/>
      <c r="C34" s="16" t="s">
        <v>30</v>
      </c>
      <c r="D34" s="20"/>
      <c r="E34" s="93"/>
      <c r="F34" s="94"/>
      <c r="G34" s="94"/>
      <c r="H34" s="233"/>
      <c r="I34" s="106"/>
    </row>
    <row r="35" spans="2:9" x14ac:dyDescent="0.25">
      <c r="B35" s="105"/>
      <c r="C35" s="4" t="s">
        <v>125</v>
      </c>
      <c r="D35" s="20" t="s">
        <v>145</v>
      </c>
      <c r="E35" s="54"/>
      <c r="F35" s="20"/>
      <c r="G35" s="20"/>
      <c r="H35" s="231"/>
      <c r="I35" s="106"/>
    </row>
    <row r="36" spans="2:9" x14ac:dyDescent="0.25">
      <c r="B36" s="105"/>
      <c r="C36" s="4" t="s">
        <v>390</v>
      </c>
      <c r="D36" s="20"/>
      <c r="E36" s="54" t="s">
        <v>109</v>
      </c>
      <c r="F36" s="20"/>
      <c r="G36" s="20"/>
      <c r="H36" s="231"/>
      <c r="I36" s="106"/>
    </row>
    <row r="37" spans="2:9" x14ac:dyDescent="0.25">
      <c r="B37" s="105"/>
      <c r="C37" s="4" t="s">
        <v>1</v>
      </c>
      <c r="D37" s="20" t="s">
        <v>145</v>
      </c>
      <c r="E37" s="54"/>
      <c r="F37" s="20"/>
      <c r="G37" s="20"/>
      <c r="H37" s="231"/>
      <c r="I37" s="106"/>
    </row>
    <row r="38" spans="2:9" x14ac:dyDescent="0.25">
      <c r="B38" s="105"/>
      <c r="C38" s="4" t="s">
        <v>12</v>
      </c>
      <c r="D38" s="20" t="s">
        <v>145</v>
      </c>
      <c r="E38" s="54"/>
      <c r="F38" s="20"/>
      <c r="G38" s="323" t="s">
        <v>26</v>
      </c>
      <c r="H38" s="231"/>
      <c r="I38" s="106"/>
    </row>
    <row r="39" spans="2:9" x14ac:dyDescent="0.25">
      <c r="B39" s="105"/>
      <c r="C39" s="4" t="s">
        <v>176</v>
      </c>
      <c r="D39" s="20" t="s">
        <v>308</v>
      </c>
      <c r="E39" s="54" t="s">
        <v>307</v>
      </c>
      <c r="F39" s="20"/>
      <c r="G39" s="20"/>
      <c r="H39" s="228" t="s">
        <v>146</v>
      </c>
      <c r="I39" s="106"/>
    </row>
    <row r="40" spans="2:9" s="109" customFormat="1" x14ac:dyDescent="0.25">
      <c r="B40" s="107"/>
      <c r="C40" s="9"/>
      <c r="D40" s="21"/>
      <c r="E40" s="55"/>
      <c r="F40" s="21"/>
      <c r="G40" s="21"/>
      <c r="H40" s="21"/>
      <c r="I40" s="108"/>
    </row>
    <row r="41" spans="2:9" ht="15.75" thickBot="1" x14ac:dyDescent="0.3">
      <c r="B41" s="110"/>
      <c r="C41" s="111"/>
      <c r="D41" s="112"/>
      <c r="E41" s="113"/>
      <c r="F41" s="112"/>
      <c r="G41" s="112"/>
      <c r="H41" s="112"/>
      <c r="I41" s="114"/>
    </row>
    <row r="42" spans="2:9" x14ac:dyDescent="0.25">
      <c r="D42" s="115"/>
      <c r="E42" s="116"/>
      <c r="F42" s="115"/>
      <c r="G42" s="115"/>
      <c r="H42" s="115"/>
    </row>
    <row r="43" spans="2:9" x14ac:dyDescent="0.25">
      <c r="C43" s="95" t="s">
        <v>136</v>
      </c>
    </row>
    <row r="44" spans="2:9" x14ac:dyDescent="0.25">
      <c r="C44" s="95" t="s">
        <v>458</v>
      </c>
    </row>
    <row r="45" spans="2:9" x14ac:dyDescent="0.25">
      <c r="C45" s="95" t="s">
        <v>459</v>
      </c>
    </row>
    <row r="46" spans="2:9" x14ac:dyDescent="0.25">
      <c r="B46" s="195"/>
      <c r="C46" s="95" t="s">
        <v>150</v>
      </c>
    </row>
    <row r="47" spans="2:9" x14ac:dyDescent="0.25">
      <c r="B47" s="326">
        <v>1</v>
      </c>
      <c r="C47" s="95" t="s">
        <v>290</v>
      </c>
      <c r="D47" s="96"/>
    </row>
    <row r="48" spans="2:9" x14ac:dyDescent="0.25">
      <c r="B48" s="326">
        <v>2</v>
      </c>
      <c r="C48" s="96" t="s">
        <v>291</v>
      </c>
      <c r="D48" s="96"/>
      <c r="E48" s="26"/>
      <c r="F48" s="26"/>
      <c r="G48" s="26"/>
      <c r="H48" s="26"/>
    </row>
    <row r="49" spans="2:8" x14ac:dyDescent="0.25">
      <c r="B49" s="326">
        <v>3</v>
      </c>
      <c r="C49" s="95" t="s">
        <v>292</v>
      </c>
      <c r="D49" s="96"/>
      <c r="E49" s="26"/>
      <c r="F49" s="26"/>
      <c r="G49" s="26"/>
      <c r="H49" s="26"/>
    </row>
    <row r="50" spans="2:8" x14ac:dyDescent="0.25">
      <c r="B50" s="326">
        <v>4</v>
      </c>
      <c r="C50" s="95" t="s">
        <v>293</v>
      </c>
      <c r="D50" s="96"/>
      <c r="E50" s="26"/>
      <c r="F50" s="26"/>
      <c r="G50" s="26"/>
      <c r="H50" s="26"/>
    </row>
    <row r="51" spans="2:8" x14ac:dyDescent="0.25">
      <c r="B51" s="326">
        <v>5</v>
      </c>
      <c r="C51" s="95" t="s">
        <v>297</v>
      </c>
      <c r="D51" s="96"/>
      <c r="E51" s="26"/>
      <c r="F51" s="26"/>
      <c r="G51" s="26"/>
      <c r="H51" s="26"/>
    </row>
    <row r="52" spans="2:8" x14ac:dyDescent="0.25">
      <c r="B52" s="326"/>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3:S53"/>
  <sheetViews>
    <sheetView showGridLines="0" zoomScale="85" zoomScaleNormal="85" workbookViewId="0">
      <selection activeCell="C9" sqref="C9"/>
    </sheetView>
  </sheetViews>
  <sheetFormatPr defaultColWidth="9.140625" defaultRowHeight="15" x14ac:dyDescent="0.3"/>
  <cols>
    <col min="1" max="1" width="9.140625" style="327"/>
    <col min="2" max="2" width="12.42578125" style="327" bestFit="1" customWidth="1"/>
    <col min="3" max="3" width="3.7109375" style="582" customWidth="1"/>
    <col min="4" max="19" width="9.140625" style="582"/>
    <col min="20" max="16384" width="9.140625" style="327"/>
  </cols>
  <sheetData>
    <row r="3" spans="2:19" x14ac:dyDescent="0.3">
      <c r="B3" s="453" t="s">
        <v>299</v>
      </c>
      <c r="C3" s="578"/>
      <c r="D3" s="453" t="s">
        <v>300</v>
      </c>
      <c r="E3" s="578"/>
      <c r="F3" s="578"/>
      <c r="G3" s="578"/>
      <c r="H3" s="578"/>
      <c r="I3" s="578"/>
      <c r="J3" s="578"/>
      <c r="K3" s="578"/>
      <c r="L3" s="578"/>
      <c r="M3" s="578"/>
      <c r="N3" s="578"/>
      <c r="O3" s="578"/>
      <c r="P3" s="578"/>
      <c r="Q3" s="578"/>
      <c r="R3" s="578"/>
      <c r="S3" s="578"/>
    </row>
    <row r="5" spans="2:19" x14ac:dyDescent="0.3">
      <c r="B5" s="583" t="s">
        <v>621</v>
      </c>
      <c r="C5" s="579"/>
      <c r="D5" s="580"/>
      <c r="E5" s="581"/>
      <c r="F5" s="581"/>
      <c r="G5" s="581"/>
      <c r="H5" s="581"/>
      <c r="I5" s="581"/>
      <c r="J5" s="581"/>
      <c r="K5" s="581"/>
      <c r="L5" s="581"/>
      <c r="M5" s="581"/>
      <c r="N5" s="581"/>
      <c r="O5" s="581"/>
      <c r="P5" s="581"/>
      <c r="Q5" s="581"/>
      <c r="R5" s="581"/>
      <c r="S5" s="581"/>
    </row>
    <row r="6" spans="2:19" x14ac:dyDescent="0.3">
      <c r="C6" s="327" t="s">
        <v>625</v>
      </c>
    </row>
    <row r="7" spans="2:19" x14ac:dyDescent="0.3">
      <c r="C7" s="327" t="s">
        <v>624</v>
      </c>
    </row>
    <row r="8" spans="2:19" x14ac:dyDescent="0.3">
      <c r="C8" s="327" t="s">
        <v>623</v>
      </c>
    </row>
    <row r="9" spans="2:19" x14ac:dyDescent="0.3">
      <c r="C9" s="327" t="s">
        <v>666</v>
      </c>
    </row>
    <row r="10" spans="2:19" x14ac:dyDescent="0.3">
      <c r="B10" s="583" t="s">
        <v>559</v>
      </c>
      <c r="C10" s="579"/>
      <c r="D10" s="580"/>
      <c r="E10" s="581"/>
      <c r="F10" s="581"/>
      <c r="G10" s="581"/>
      <c r="H10" s="581"/>
      <c r="I10" s="581"/>
      <c r="J10" s="581"/>
      <c r="K10" s="581"/>
      <c r="L10" s="581"/>
      <c r="M10" s="581"/>
      <c r="N10" s="581"/>
      <c r="O10" s="581"/>
      <c r="P10" s="581"/>
      <c r="Q10" s="581"/>
      <c r="R10" s="581"/>
      <c r="S10" s="581"/>
    </row>
    <row r="11" spans="2:19" x14ac:dyDescent="0.3">
      <c r="B11" s="584"/>
      <c r="C11" s="582" t="s">
        <v>560</v>
      </c>
    </row>
    <row r="12" spans="2:19" x14ac:dyDescent="0.3">
      <c r="B12" s="584"/>
      <c r="C12" s="582" t="s">
        <v>561</v>
      </c>
    </row>
    <row r="13" spans="2:19" x14ac:dyDescent="0.3">
      <c r="B13" s="583" t="s">
        <v>562</v>
      </c>
      <c r="C13" s="579"/>
      <c r="D13" s="580"/>
      <c r="E13" s="581"/>
      <c r="F13" s="581"/>
      <c r="G13" s="581"/>
      <c r="H13" s="581"/>
      <c r="I13" s="581"/>
      <c r="J13" s="581"/>
      <c r="K13" s="581"/>
      <c r="L13" s="581"/>
      <c r="M13" s="581"/>
      <c r="N13" s="581"/>
      <c r="O13" s="581"/>
      <c r="P13" s="581"/>
      <c r="Q13" s="581"/>
      <c r="R13" s="581"/>
      <c r="S13" s="581"/>
    </row>
    <row r="14" spans="2:19" x14ac:dyDescent="0.3">
      <c r="B14" s="584"/>
      <c r="C14" s="582" t="s">
        <v>563</v>
      </c>
    </row>
    <row r="15" spans="2:19" x14ac:dyDescent="0.3">
      <c r="B15" s="583" t="s">
        <v>564</v>
      </c>
      <c r="C15" s="579"/>
      <c r="D15" s="580"/>
      <c r="E15" s="581"/>
      <c r="F15" s="581"/>
      <c r="G15" s="581"/>
      <c r="H15" s="581"/>
      <c r="I15" s="581"/>
      <c r="J15" s="581"/>
      <c r="K15" s="581"/>
      <c r="L15" s="581"/>
      <c r="M15" s="581"/>
      <c r="N15" s="581"/>
      <c r="O15" s="581"/>
      <c r="P15" s="581"/>
      <c r="Q15" s="581"/>
      <c r="R15" s="581"/>
      <c r="S15" s="581"/>
    </row>
    <row r="16" spans="2:19" x14ac:dyDescent="0.3">
      <c r="B16" s="584"/>
      <c r="C16" s="582" t="s">
        <v>565</v>
      </c>
    </row>
    <row r="17" spans="2:19" x14ac:dyDescent="0.3">
      <c r="B17" s="584"/>
      <c r="C17" s="582" t="s">
        <v>566</v>
      </c>
    </row>
    <row r="18" spans="2:19" x14ac:dyDescent="0.3">
      <c r="B18" s="584"/>
      <c r="C18" s="582" t="s">
        <v>567</v>
      </c>
    </row>
    <row r="19" spans="2:19" x14ac:dyDescent="0.3">
      <c r="B19" s="583" t="s">
        <v>568</v>
      </c>
      <c r="C19" s="579"/>
      <c r="D19" s="580"/>
      <c r="E19" s="581"/>
      <c r="F19" s="581"/>
      <c r="G19" s="581"/>
      <c r="H19" s="581"/>
      <c r="I19" s="581"/>
      <c r="J19" s="581"/>
      <c r="K19" s="581"/>
      <c r="L19" s="581"/>
      <c r="M19" s="581"/>
      <c r="N19" s="581"/>
      <c r="O19" s="581"/>
      <c r="P19" s="581"/>
      <c r="Q19" s="581"/>
      <c r="R19" s="581"/>
      <c r="S19" s="581"/>
    </row>
    <row r="20" spans="2:19" x14ac:dyDescent="0.3">
      <c r="B20" s="584"/>
      <c r="C20" s="582" t="s">
        <v>569</v>
      </c>
    </row>
    <row r="21" spans="2:19" x14ac:dyDescent="0.3">
      <c r="B21" s="583" t="s">
        <v>570</v>
      </c>
      <c r="C21" s="579"/>
      <c r="D21" s="580"/>
      <c r="E21" s="581"/>
      <c r="F21" s="581"/>
      <c r="G21" s="581"/>
      <c r="H21" s="581"/>
      <c r="I21" s="581"/>
      <c r="J21" s="581"/>
      <c r="K21" s="581"/>
      <c r="L21" s="581"/>
      <c r="M21" s="581"/>
      <c r="N21" s="581"/>
      <c r="O21" s="581"/>
      <c r="P21" s="581"/>
      <c r="Q21" s="581"/>
      <c r="R21" s="581"/>
      <c r="S21" s="581"/>
    </row>
    <row r="22" spans="2:19" x14ac:dyDescent="0.3">
      <c r="B22" s="584"/>
      <c r="C22" s="582" t="s">
        <v>571</v>
      </c>
    </row>
    <row r="23" spans="2:19" x14ac:dyDescent="0.3">
      <c r="B23" s="584"/>
      <c r="C23" s="582" t="s">
        <v>572</v>
      </c>
    </row>
    <row r="24" spans="2:19" x14ac:dyDescent="0.3">
      <c r="B24" s="584"/>
      <c r="C24" s="582" t="s">
        <v>573</v>
      </c>
    </row>
    <row r="25" spans="2:19" x14ac:dyDescent="0.3">
      <c r="B25" s="583" t="s">
        <v>574</v>
      </c>
      <c r="C25" s="579"/>
      <c r="D25" s="580"/>
      <c r="E25" s="581"/>
      <c r="F25" s="581"/>
      <c r="G25" s="581"/>
      <c r="H25" s="581"/>
      <c r="I25" s="581"/>
      <c r="J25" s="581"/>
      <c r="K25" s="581"/>
      <c r="L25" s="581"/>
      <c r="M25" s="581"/>
      <c r="N25" s="581"/>
      <c r="O25" s="581"/>
      <c r="P25" s="581"/>
      <c r="Q25" s="581"/>
      <c r="R25" s="581"/>
      <c r="S25" s="581"/>
    </row>
    <row r="26" spans="2:19" x14ac:dyDescent="0.3">
      <c r="B26" s="584"/>
      <c r="C26" s="582" t="s">
        <v>575</v>
      </c>
    </row>
    <row r="27" spans="2:19" x14ac:dyDescent="0.3">
      <c r="B27" s="584"/>
      <c r="C27" s="582" t="s">
        <v>576</v>
      </c>
    </row>
    <row r="28" spans="2:19" x14ac:dyDescent="0.3">
      <c r="B28" s="584"/>
      <c r="C28" s="582" t="s">
        <v>577</v>
      </c>
    </row>
    <row r="29" spans="2:19" x14ac:dyDescent="0.3">
      <c r="B29" s="583" t="s">
        <v>578</v>
      </c>
      <c r="C29" s="579"/>
      <c r="D29" s="580"/>
      <c r="E29" s="581"/>
      <c r="F29" s="581"/>
      <c r="G29" s="581"/>
      <c r="H29" s="581"/>
      <c r="I29" s="581"/>
      <c r="J29" s="581"/>
      <c r="K29" s="581"/>
      <c r="L29" s="581"/>
      <c r="M29" s="581"/>
      <c r="N29" s="581"/>
      <c r="O29" s="581"/>
      <c r="P29" s="581"/>
      <c r="Q29" s="581"/>
      <c r="R29" s="581"/>
      <c r="S29" s="581"/>
    </row>
    <row r="30" spans="2:19" x14ac:dyDescent="0.3">
      <c r="B30" s="584"/>
      <c r="C30" s="582" t="s">
        <v>579</v>
      </c>
    </row>
    <row r="31" spans="2:19" x14ac:dyDescent="0.3">
      <c r="B31" s="583" t="s">
        <v>580</v>
      </c>
      <c r="C31" s="579"/>
      <c r="D31" s="580"/>
      <c r="E31" s="581"/>
      <c r="F31" s="581"/>
      <c r="G31" s="581"/>
      <c r="H31" s="581"/>
      <c r="I31" s="581"/>
      <c r="J31" s="581"/>
      <c r="K31" s="581"/>
      <c r="L31" s="581"/>
      <c r="M31" s="581"/>
      <c r="N31" s="581"/>
      <c r="O31" s="581"/>
      <c r="P31" s="581"/>
      <c r="Q31" s="581"/>
      <c r="R31" s="581"/>
      <c r="S31" s="581"/>
    </row>
    <row r="32" spans="2:19" x14ac:dyDescent="0.3">
      <c r="B32" s="584"/>
      <c r="C32" s="582" t="s">
        <v>457</v>
      </c>
    </row>
    <row r="33" spans="2:19" x14ac:dyDescent="0.3">
      <c r="B33" s="583" t="s">
        <v>581</v>
      </c>
      <c r="C33" s="579"/>
      <c r="D33" s="580"/>
      <c r="E33" s="581"/>
      <c r="F33" s="581"/>
      <c r="G33" s="581"/>
      <c r="H33" s="581"/>
      <c r="I33" s="581"/>
      <c r="J33" s="581"/>
      <c r="K33" s="581"/>
      <c r="L33" s="581"/>
      <c r="M33" s="581"/>
      <c r="N33" s="581"/>
      <c r="O33" s="581"/>
      <c r="P33" s="581"/>
      <c r="Q33" s="581"/>
      <c r="R33" s="581"/>
      <c r="S33" s="581"/>
    </row>
    <row r="34" spans="2:19" x14ac:dyDescent="0.3">
      <c r="B34" s="584"/>
      <c r="C34" s="582" t="s">
        <v>408</v>
      </c>
    </row>
    <row r="35" spans="2:19" x14ac:dyDescent="0.3">
      <c r="B35" s="584"/>
      <c r="C35" s="582" t="s">
        <v>409</v>
      </c>
    </row>
    <row r="36" spans="2:19" x14ac:dyDescent="0.3">
      <c r="B36" s="583" t="s">
        <v>582</v>
      </c>
      <c r="C36" s="579"/>
      <c r="D36" s="580"/>
      <c r="E36" s="581"/>
      <c r="F36" s="581"/>
      <c r="G36" s="581"/>
      <c r="H36" s="581"/>
      <c r="I36" s="581"/>
      <c r="J36" s="581"/>
      <c r="K36" s="581"/>
      <c r="L36" s="581"/>
      <c r="M36" s="581"/>
      <c r="N36" s="581"/>
      <c r="O36" s="581"/>
      <c r="P36" s="581"/>
      <c r="Q36" s="581"/>
      <c r="R36" s="581"/>
      <c r="S36" s="581"/>
    </row>
    <row r="37" spans="2:19" x14ac:dyDescent="0.3">
      <c r="B37" s="584"/>
      <c r="C37" s="582" t="s">
        <v>598</v>
      </c>
    </row>
    <row r="38" spans="2:19" x14ac:dyDescent="0.3">
      <c r="B38" s="583" t="s">
        <v>583</v>
      </c>
      <c r="C38" s="579"/>
      <c r="D38" s="580"/>
      <c r="E38" s="581"/>
      <c r="F38" s="581"/>
      <c r="G38" s="581"/>
      <c r="H38" s="581"/>
      <c r="I38" s="581"/>
      <c r="J38" s="581"/>
      <c r="K38" s="581"/>
      <c r="L38" s="581"/>
      <c r="M38" s="581"/>
      <c r="N38" s="581"/>
      <c r="O38" s="581"/>
      <c r="P38" s="581"/>
      <c r="Q38" s="581"/>
      <c r="R38" s="581"/>
      <c r="S38" s="581"/>
    </row>
    <row r="39" spans="2:19" ht="16.5" x14ac:dyDescent="0.3">
      <c r="B39" s="584"/>
      <c r="C39" s="582" t="s">
        <v>599</v>
      </c>
    </row>
    <row r="40" spans="2:19" ht="16.5" x14ac:dyDescent="0.3">
      <c r="B40" s="584"/>
      <c r="C40" s="582" t="s">
        <v>600</v>
      </c>
    </row>
    <row r="41" spans="2:19" x14ac:dyDescent="0.3">
      <c r="B41" s="583" t="s">
        <v>584</v>
      </c>
      <c r="C41" s="579"/>
      <c r="D41" s="580"/>
      <c r="E41" s="581"/>
      <c r="F41" s="581"/>
      <c r="G41" s="581"/>
      <c r="H41" s="581"/>
      <c r="I41" s="581"/>
      <c r="J41" s="581"/>
      <c r="K41" s="581"/>
      <c r="L41" s="581"/>
      <c r="M41" s="581"/>
      <c r="N41" s="581"/>
      <c r="O41" s="581"/>
      <c r="P41" s="581"/>
      <c r="Q41" s="581"/>
      <c r="R41" s="581"/>
      <c r="S41" s="581"/>
    </row>
    <row r="42" spans="2:19" x14ac:dyDescent="0.3">
      <c r="B42" s="584"/>
      <c r="C42" s="582" t="s">
        <v>585</v>
      </c>
    </row>
    <row r="43" spans="2:19" x14ac:dyDescent="0.3">
      <c r="B43" s="584"/>
      <c r="C43" s="582" t="s">
        <v>586</v>
      </c>
    </row>
    <row r="44" spans="2:19" x14ac:dyDescent="0.3">
      <c r="B44" s="583" t="s">
        <v>587</v>
      </c>
      <c r="C44" s="579"/>
      <c r="D44" s="580"/>
      <c r="E44" s="581"/>
      <c r="F44" s="581"/>
      <c r="G44" s="581"/>
      <c r="H44" s="581"/>
      <c r="I44" s="581"/>
      <c r="J44" s="581"/>
      <c r="K44" s="581"/>
      <c r="L44" s="581"/>
      <c r="M44" s="581"/>
      <c r="N44" s="581"/>
      <c r="O44" s="581"/>
      <c r="P44" s="581"/>
      <c r="Q44" s="581"/>
      <c r="R44" s="581"/>
      <c r="S44" s="581"/>
    </row>
    <row r="45" spans="2:19" x14ac:dyDescent="0.3">
      <c r="B45" s="584"/>
      <c r="C45" s="582" t="s">
        <v>588</v>
      </c>
    </row>
    <row r="46" spans="2:19" x14ac:dyDescent="0.3">
      <c r="B46" s="583" t="s">
        <v>589</v>
      </c>
      <c r="C46" s="579"/>
      <c r="D46" s="580"/>
      <c r="E46" s="581"/>
      <c r="F46" s="581"/>
      <c r="G46" s="581"/>
      <c r="H46" s="581"/>
      <c r="I46" s="581"/>
      <c r="J46" s="581"/>
      <c r="K46" s="581"/>
      <c r="L46" s="581"/>
      <c r="M46" s="581"/>
      <c r="N46" s="581"/>
      <c r="O46" s="581"/>
      <c r="P46" s="581"/>
      <c r="Q46" s="581"/>
      <c r="R46" s="581"/>
      <c r="S46" s="581"/>
    </row>
    <row r="47" spans="2:19" x14ac:dyDescent="0.3">
      <c r="B47" s="584"/>
      <c r="C47" s="582" t="s">
        <v>590</v>
      </c>
    </row>
    <row r="48" spans="2:19" x14ac:dyDescent="0.3">
      <c r="B48" s="584"/>
      <c r="C48" s="582" t="s">
        <v>591</v>
      </c>
    </row>
    <row r="49" spans="2:19" x14ac:dyDescent="0.3">
      <c r="B49" s="583" t="s">
        <v>354</v>
      </c>
      <c r="C49" s="579"/>
      <c r="D49" s="581"/>
      <c r="E49" s="581"/>
      <c r="F49" s="581"/>
      <c r="G49" s="581"/>
      <c r="H49" s="581"/>
      <c r="I49" s="581"/>
      <c r="J49" s="581"/>
      <c r="K49" s="581"/>
      <c r="L49" s="581"/>
      <c r="M49" s="581"/>
      <c r="N49" s="581"/>
      <c r="O49" s="581"/>
      <c r="P49" s="581"/>
      <c r="Q49" s="581"/>
      <c r="R49" s="581"/>
      <c r="S49" s="581"/>
    </row>
    <row r="50" spans="2:19" x14ac:dyDescent="0.3">
      <c r="D50" s="582" t="s">
        <v>269</v>
      </c>
    </row>
    <row r="51" spans="2:19" x14ac:dyDescent="0.3">
      <c r="D51" s="582" t="s">
        <v>275</v>
      </c>
    </row>
    <row r="52" spans="2:19" x14ac:dyDescent="0.3">
      <c r="D52" s="582" t="s">
        <v>298</v>
      </c>
    </row>
    <row r="53" spans="2:19" x14ac:dyDescent="0.3">
      <c r="D53" s="582" t="s">
        <v>288</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4"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221" t="s">
        <v>208</v>
      </c>
      <c r="D2" s="222"/>
      <c r="E2" s="222"/>
      <c r="F2" s="222"/>
      <c r="G2" s="226"/>
      <c r="H2" s="226"/>
      <c r="I2" s="226"/>
      <c r="J2" s="226"/>
      <c r="K2" s="27"/>
      <c r="L2" s="127"/>
      <c r="M2" s="27"/>
    </row>
    <row r="5" spans="2:20" x14ac:dyDescent="0.2">
      <c r="C5" s="40" t="s">
        <v>5</v>
      </c>
      <c r="D5" s="42" t="s">
        <v>160</v>
      </c>
      <c r="E5" s="41" t="s">
        <v>6</v>
      </c>
      <c r="F5" s="41" t="s">
        <v>190</v>
      </c>
      <c r="G5" s="41" t="s">
        <v>97</v>
      </c>
      <c r="H5" s="41" t="s">
        <v>173</v>
      </c>
      <c r="J5" s="204" t="s">
        <v>97</v>
      </c>
      <c r="K5" s="205" t="s">
        <v>159</v>
      </c>
      <c r="L5" s="205" t="s">
        <v>44</v>
      </c>
      <c r="M5" s="205" t="s">
        <v>53</v>
      </c>
      <c r="N5" s="205" t="s">
        <v>57</v>
      </c>
      <c r="P5" s="204" t="s">
        <v>173</v>
      </c>
      <c r="Q5" s="205" t="s">
        <v>159</v>
      </c>
      <c r="R5" s="205" t="s">
        <v>44</v>
      </c>
      <c r="S5" s="205" t="s">
        <v>53</v>
      </c>
      <c r="T5" s="205" t="s">
        <v>57</v>
      </c>
    </row>
    <row r="6" spans="2:20" x14ac:dyDescent="0.2">
      <c r="B6" s="396" t="s">
        <v>159</v>
      </c>
      <c r="C6" s="328" t="str">
        <f>'CF (Equity, Debt)'!C4</f>
        <v>Jollychic Holding Limited</v>
      </c>
      <c r="D6" s="35" t="s">
        <v>159</v>
      </c>
      <c r="E6" s="31">
        <f>'CF (Equity, Debt)'!D4</f>
        <v>43470</v>
      </c>
      <c r="F6" s="31" t="str">
        <f>"Q"&amp;ROUNDUP(MONTH(E6)/3,0)&amp;" "&amp;YEAR(E6)</f>
        <v>Q1 2019</v>
      </c>
      <c r="G6" s="38">
        <f>'CF (Equity, Debt)'!E4</f>
        <v>-30</v>
      </c>
      <c r="H6" s="38">
        <f>'CF (Equity, Debt)'!F4</f>
        <v>0</v>
      </c>
      <c r="K6" s="34"/>
      <c r="L6" s="34"/>
      <c r="M6" s="34"/>
      <c r="N6" s="34"/>
      <c r="Q6" s="34"/>
      <c r="R6" s="34"/>
      <c r="S6" s="34"/>
    </row>
    <row r="7" spans="2:20" x14ac:dyDescent="0.2">
      <c r="C7" s="328" t="str">
        <f>'CF (Equity, Debt)'!C5</f>
        <v>Jollychic Holding Limited</v>
      </c>
      <c r="D7" s="35" t="s">
        <v>159</v>
      </c>
      <c r="E7" s="31">
        <f>'CF (Equity, Debt)'!D5</f>
        <v>43724</v>
      </c>
      <c r="F7" s="31" t="str">
        <f t="shared" ref="F7:F34" si="0">"Q"&amp;ROUNDUP(MONTH(E7)/3,0)&amp;" "&amp;YEAR(E7)</f>
        <v>Q3 2019</v>
      </c>
      <c r="G7" s="38">
        <f>'CF (Equity, Debt)'!E5</f>
        <v>-20</v>
      </c>
      <c r="H7" s="38">
        <f>'CF (Equity, Debt)'!F5</f>
        <v>0</v>
      </c>
      <c r="J7" s="29" t="s">
        <v>189</v>
      </c>
      <c r="K7" s="199">
        <f t="shared" ref="K7:K21" si="1">-SUMIFS($G$5:$G$125,$D$5:$D$125,$K$5,$F$5:$F$125,J7)</f>
        <v>30</v>
      </c>
      <c r="L7" s="199">
        <f t="shared" ref="L7:L21" si="2">-SUMIFS($G$5:$G$125,$D$5:$D$125,$L$5,$F$5:$F$125,J7)</f>
        <v>0</v>
      </c>
      <c r="M7" s="199">
        <f t="shared" ref="M7:M21" si="3">-SUMIFS($G$5:$G$125,$D$5:$D$125,"Fund",$F$5:$F$125,J7)</f>
        <v>0</v>
      </c>
      <c r="N7" s="199">
        <f t="shared" ref="N7:N26" ca="1" si="4">-SUMIF($F$5:$H$125,$J7,$G$5:$G$125)</f>
        <v>30</v>
      </c>
      <c r="P7" s="29" t="s">
        <v>189</v>
      </c>
      <c r="Q7" s="199">
        <f t="shared" ref="Q7:Q21" si="5">SUMIFS($H$5:$H$125,$D$5:$D$125,$Q$5,$F$5:$F$125,J7)</f>
        <v>0</v>
      </c>
      <c r="R7" s="199">
        <f t="shared" ref="R7:R21" si="6">SUMIFS($H$5:$H$125,$D$5:$D$125,$R$5,$F$5:$F$125,J7)</f>
        <v>0</v>
      </c>
      <c r="S7" s="199">
        <f t="shared" ref="S7:S21" si="7">SUMIFS($H$5:$H$125,$D$5:$D$125,$S$5,$F$5:$F$125,J7)</f>
        <v>0</v>
      </c>
      <c r="T7" s="199">
        <f t="shared" ref="T7:T26" ca="1" si="8">SUMIF($F$5:$H$125,$J7,$H$5:$H$125)</f>
        <v>0</v>
      </c>
    </row>
    <row r="8" spans="2:20" x14ac:dyDescent="0.2">
      <c r="C8" s="328" t="str">
        <f>'CF (Equity, Debt)'!C6</f>
        <v>Jollychic Holding Limited</v>
      </c>
      <c r="D8" s="35" t="s">
        <v>159</v>
      </c>
      <c r="E8" s="31">
        <f>'CF (Equity, Debt)'!D6</f>
        <v>43724</v>
      </c>
      <c r="F8" s="31" t="str">
        <f t="shared" si="0"/>
        <v>Q3 2019</v>
      </c>
      <c r="G8" s="38">
        <f>'CF (Equity, Debt)'!E6</f>
        <v>-15</v>
      </c>
      <c r="H8" s="38">
        <f>'CF (Equity, Debt)'!F6</f>
        <v>0</v>
      </c>
      <c r="J8" s="29" t="s">
        <v>191</v>
      </c>
      <c r="K8" s="199">
        <f t="shared" si="1"/>
        <v>12.99999809</v>
      </c>
      <c r="L8" s="199">
        <f t="shared" si="2"/>
        <v>8</v>
      </c>
      <c r="M8" s="199">
        <f t="shared" si="3"/>
        <v>0</v>
      </c>
      <c r="N8" s="199">
        <f t="shared" ca="1" si="4"/>
        <v>20.999998089999998</v>
      </c>
      <c r="P8" s="29" t="s">
        <v>191</v>
      </c>
      <c r="Q8" s="199">
        <f t="shared" si="5"/>
        <v>0</v>
      </c>
      <c r="R8" s="199">
        <f t="shared" si="6"/>
        <v>0</v>
      </c>
      <c r="S8" s="199">
        <f t="shared" si="7"/>
        <v>0</v>
      </c>
      <c r="T8" s="199">
        <f t="shared" ca="1" si="8"/>
        <v>0</v>
      </c>
    </row>
    <row r="9" spans="2:20" x14ac:dyDescent="0.2">
      <c r="C9" s="329" t="str">
        <f>'CF (Equity, Debt)'!C7</f>
        <v>Mena Mobile Inc</v>
      </c>
      <c r="D9" s="36" t="s">
        <v>159</v>
      </c>
      <c r="E9" s="33">
        <f>'CF (Equity, Debt)'!D7</f>
        <v>43563</v>
      </c>
      <c r="F9" s="33" t="str">
        <f t="shared" si="0"/>
        <v>Q2 2019</v>
      </c>
      <c r="G9" s="39">
        <f>'CF (Equity, Debt)'!E7</f>
        <v>-8</v>
      </c>
      <c r="H9" s="39">
        <f>'CF (Equity, Debt)'!F7</f>
        <v>0</v>
      </c>
      <c r="J9" s="29" t="s">
        <v>192</v>
      </c>
      <c r="K9" s="199">
        <f t="shared" si="1"/>
        <v>35</v>
      </c>
      <c r="L9" s="199">
        <f t="shared" si="2"/>
        <v>0</v>
      </c>
      <c r="M9" s="199">
        <f t="shared" si="3"/>
        <v>3</v>
      </c>
      <c r="N9" s="199">
        <f t="shared" ca="1" si="4"/>
        <v>38</v>
      </c>
      <c r="P9" s="29" t="s">
        <v>192</v>
      </c>
      <c r="Q9" s="199">
        <f t="shared" si="5"/>
        <v>0</v>
      </c>
      <c r="R9" s="199">
        <f t="shared" si="6"/>
        <v>0</v>
      </c>
      <c r="S9" s="199">
        <f t="shared" si="7"/>
        <v>0</v>
      </c>
      <c r="T9" s="199">
        <f t="shared" ca="1" si="8"/>
        <v>0</v>
      </c>
    </row>
    <row r="10" spans="2:20" x14ac:dyDescent="0.2">
      <c r="C10" s="328" t="str">
        <f>'CF (Equity, Debt)'!C8</f>
        <v>Flyr Inc</v>
      </c>
      <c r="D10" s="35" t="s">
        <v>159</v>
      </c>
      <c r="E10" s="31">
        <f>'CF (Equity, Debt)'!D8</f>
        <v>43570</v>
      </c>
      <c r="F10" s="31" t="str">
        <f t="shared" si="0"/>
        <v>Q2 2019</v>
      </c>
      <c r="G10" s="38">
        <f>'CF (Equity, Debt)'!E8</f>
        <v>-4.9999980900000001</v>
      </c>
      <c r="H10" s="38">
        <f>'CF (Equity, Debt)'!F8</f>
        <v>0</v>
      </c>
      <c r="J10" s="29" t="s">
        <v>193</v>
      </c>
      <c r="K10" s="199">
        <f t="shared" si="1"/>
        <v>0</v>
      </c>
      <c r="L10" s="199">
        <f t="shared" si="2"/>
        <v>0</v>
      </c>
      <c r="M10" s="199">
        <f t="shared" si="3"/>
        <v>0</v>
      </c>
      <c r="N10" s="199">
        <f t="shared" ca="1" si="4"/>
        <v>0</v>
      </c>
      <c r="P10" s="29" t="s">
        <v>193</v>
      </c>
      <c r="Q10" s="199">
        <f t="shared" si="5"/>
        <v>0</v>
      </c>
      <c r="R10" s="199">
        <f t="shared" si="6"/>
        <v>0</v>
      </c>
      <c r="S10" s="199">
        <f t="shared" si="7"/>
        <v>0</v>
      </c>
      <c r="T10" s="199">
        <f t="shared" ca="1" si="8"/>
        <v>0</v>
      </c>
    </row>
    <row r="11" spans="2:20" x14ac:dyDescent="0.2">
      <c r="C11" s="328" t="str">
        <f>'CF (Equity, Debt)'!C9</f>
        <v>Flyr Inc</v>
      </c>
      <c r="D11" s="35" t="s">
        <v>159</v>
      </c>
      <c r="E11" s="31">
        <f>'CF (Equity, Debt)'!D9</f>
        <v>43915</v>
      </c>
      <c r="F11" s="31" t="str">
        <f t="shared" si="0"/>
        <v>Q1 2020</v>
      </c>
      <c r="G11" s="38">
        <f>'CF (Equity, Debt)'!E9</f>
        <v>-5.0000019099999999</v>
      </c>
      <c r="H11" s="38">
        <f>'CF (Equity, Debt)'!F9</f>
        <v>0</v>
      </c>
      <c r="J11" s="29" t="s">
        <v>194</v>
      </c>
      <c r="K11" s="199">
        <f t="shared" si="1"/>
        <v>75.609443209619357</v>
      </c>
      <c r="L11" s="199">
        <f t="shared" si="2"/>
        <v>0</v>
      </c>
      <c r="M11" s="199">
        <f t="shared" si="3"/>
        <v>9.5097500000000004</v>
      </c>
      <c r="N11" s="199">
        <f t="shared" ca="1" si="4"/>
        <v>85.119193209619354</v>
      </c>
      <c r="P11" s="29" t="s">
        <v>194</v>
      </c>
      <c r="Q11" s="199">
        <f t="shared" si="5"/>
        <v>0</v>
      </c>
      <c r="R11" s="199">
        <f t="shared" si="6"/>
        <v>0</v>
      </c>
      <c r="S11" s="199">
        <f t="shared" si="7"/>
        <v>0</v>
      </c>
      <c r="T11" s="199">
        <f t="shared" ca="1" si="8"/>
        <v>0</v>
      </c>
    </row>
    <row r="12" spans="2:20" x14ac:dyDescent="0.2">
      <c r="C12" s="329" t="str">
        <f>'CF (Equity, Debt)'!C10</f>
        <v xml:space="preserve">Esyasoft Holding </v>
      </c>
      <c r="D12" s="36" t="s">
        <v>159</v>
      </c>
      <c r="E12" s="33">
        <f>'CF (Equity, Debt)'!D10</f>
        <v>43870</v>
      </c>
      <c r="F12" s="33" t="str">
        <f t="shared" si="0"/>
        <v>Q1 2020</v>
      </c>
      <c r="G12" s="39">
        <f>'CF (Equity, Debt)'!E10</f>
        <v>-2.5</v>
      </c>
      <c r="H12" s="39">
        <f>'CF (Equity, Debt)'!F10</f>
        <v>0</v>
      </c>
      <c r="J12" s="29" t="s">
        <v>195</v>
      </c>
      <c r="K12" s="199">
        <f t="shared" si="1"/>
        <v>142.12003795060357</v>
      </c>
      <c r="L12" s="199">
        <f t="shared" si="2"/>
        <v>0</v>
      </c>
      <c r="M12" s="199">
        <f t="shared" si="3"/>
        <v>45.784999999999997</v>
      </c>
      <c r="N12" s="199">
        <f t="shared" ca="1" si="4"/>
        <v>187.90503795060357</v>
      </c>
      <c r="P12" s="29" t="s">
        <v>195</v>
      </c>
      <c r="Q12" s="199">
        <f t="shared" si="5"/>
        <v>0</v>
      </c>
      <c r="R12" s="199">
        <f t="shared" si="6"/>
        <v>0</v>
      </c>
      <c r="S12" s="199">
        <f t="shared" si="7"/>
        <v>0</v>
      </c>
      <c r="T12" s="199">
        <f t="shared" ca="1" si="8"/>
        <v>0</v>
      </c>
    </row>
    <row r="13" spans="2:20" x14ac:dyDescent="0.2">
      <c r="C13" s="328" t="str">
        <f>'CF (Equity, Debt)'!C11</f>
        <v>Beyond Limits</v>
      </c>
      <c r="D13" s="35" t="s">
        <v>159</v>
      </c>
      <c r="E13" s="31">
        <f>'CF (Equity, Debt)'!D11</f>
        <v>43879</v>
      </c>
      <c r="F13" s="31" t="str">
        <f t="shared" si="0"/>
        <v>Q1 2020</v>
      </c>
      <c r="G13" s="38">
        <f>'CF (Equity, Debt)'!E11</f>
        <v>-20</v>
      </c>
      <c r="H13" s="38">
        <f>'CF (Equity, Debt)'!F11</f>
        <v>0</v>
      </c>
      <c r="J13" s="29" t="s">
        <v>196</v>
      </c>
      <c r="K13" s="199">
        <f t="shared" si="1"/>
        <v>10</v>
      </c>
      <c r="L13" s="199">
        <f t="shared" si="2"/>
        <v>0</v>
      </c>
      <c r="M13" s="199">
        <f t="shared" si="3"/>
        <v>23.623435349941179</v>
      </c>
      <c r="N13" s="199">
        <f t="shared" ca="1" si="4"/>
        <v>33.623435349941175</v>
      </c>
      <c r="P13" s="29" t="s">
        <v>196</v>
      </c>
      <c r="Q13" s="199">
        <f t="shared" si="5"/>
        <v>0</v>
      </c>
      <c r="R13" s="199">
        <f t="shared" si="6"/>
        <v>0</v>
      </c>
      <c r="S13" s="199">
        <f t="shared" si="7"/>
        <v>0</v>
      </c>
      <c r="T13" s="199">
        <f t="shared" ca="1" si="8"/>
        <v>0</v>
      </c>
    </row>
    <row r="14" spans="2:20" x14ac:dyDescent="0.2">
      <c r="C14" s="328" t="str">
        <f>'CF (Equity, Debt)'!C12</f>
        <v>Beyond Limits</v>
      </c>
      <c r="D14" s="35" t="s">
        <v>159</v>
      </c>
      <c r="E14" s="31">
        <f>'CF (Equity, Debt)'!D12</f>
        <v>43921</v>
      </c>
      <c r="F14" s="31" t="str">
        <f t="shared" si="0"/>
        <v>Q1 2020</v>
      </c>
      <c r="G14" s="38">
        <f>'CF (Equity, Debt)'!E12</f>
        <v>-30</v>
      </c>
      <c r="H14" s="38">
        <f>'CF (Equity, Debt)'!F12</f>
        <v>0</v>
      </c>
      <c r="J14" s="29" t="s">
        <v>197</v>
      </c>
      <c r="K14" s="199">
        <f t="shared" si="1"/>
        <v>60</v>
      </c>
      <c r="L14" s="199">
        <f t="shared" si="2"/>
        <v>0</v>
      </c>
      <c r="M14" s="199">
        <f t="shared" si="3"/>
        <v>9.4822930000000021</v>
      </c>
      <c r="N14" s="199">
        <f t="shared" ca="1" si="4"/>
        <v>69.482292999999999</v>
      </c>
      <c r="P14" s="29" t="s">
        <v>197</v>
      </c>
      <c r="Q14" s="199">
        <f t="shared" si="5"/>
        <v>0</v>
      </c>
      <c r="R14" s="199">
        <f t="shared" si="6"/>
        <v>0</v>
      </c>
      <c r="S14" s="199">
        <f t="shared" si="7"/>
        <v>0.58290199999999992</v>
      </c>
      <c r="T14" s="199">
        <f t="shared" ca="1" si="8"/>
        <v>0.58290199999999992</v>
      </c>
    </row>
    <row r="15" spans="2:20" x14ac:dyDescent="0.2">
      <c r="C15" s="328" t="str">
        <f>'CF (Equity, Debt)'!C13</f>
        <v>Beyond Limits</v>
      </c>
      <c r="D15" s="35" t="s">
        <v>159</v>
      </c>
      <c r="E15" s="31">
        <f>'CF (Equity, Debt)'!D13</f>
        <v>43989</v>
      </c>
      <c r="F15" s="31" t="str">
        <f t="shared" si="0"/>
        <v>Q2 2020</v>
      </c>
      <c r="G15" s="38">
        <f>'CF (Equity, Debt)'!E13</f>
        <v>-30</v>
      </c>
      <c r="H15" s="38">
        <f>'CF (Equity, Debt)'!F13</f>
        <v>0</v>
      </c>
      <c r="J15" s="29" t="s">
        <v>198</v>
      </c>
      <c r="K15" s="199">
        <f t="shared" si="1"/>
        <v>0</v>
      </c>
      <c r="L15" s="199">
        <f t="shared" si="2"/>
        <v>0</v>
      </c>
      <c r="M15" s="199">
        <f t="shared" si="3"/>
        <v>1.0845116099999996</v>
      </c>
      <c r="N15" s="199">
        <f t="shared" ca="1" si="4"/>
        <v>1.0845116099999996</v>
      </c>
      <c r="P15" s="29" t="s">
        <v>198</v>
      </c>
      <c r="Q15" s="199">
        <f t="shared" si="5"/>
        <v>0</v>
      </c>
      <c r="R15" s="199">
        <f t="shared" si="6"/>
        <v>0</v>
      </c>
      <c r="S15" s="199">
        <f t="shared" si="7"/>
        <v>7.6348349999999995E-2</v>
      </c>
      <c r="T15" s="199">
        <f t="shared" ca="1" si="8"/>
        <v>7.6348349999999995E-2</v>
      </c>
    </row>
    <row r="16" spans="2:20" x14ac:dyDescent="0.2">
      <c r="C16" s="328" t="str">
        <f>'CF (Equity, Debt)'!C14</f>
        <v>Beyond Limits</v>
      </c>
      <c r="D16" s="35" t="s">
        <v>159</v>
      </c>
      <c r="E16" s="31">
        <f>'CF (Equity, Debt)'!D14</f>
        <v>44103</v>
      </c>
      <c r="F16" s="31" t="str">
        <f t="shared" si="0"/>
        <v>Q3 2020</v>
      </c>
      <c r="G16" s="38">
        <f>'CF (Equity, Debt)'!E14</f>
        <v>-10</v>
      </c>
      <c r="H16" s="38">
        <f>'CF (Equity, Debt)'!F14</f>
        <v>0</v>
      </c>
      <c r="J16" s="29" t="s">
        <v>199</v>
      </c>
      <c r="K16" s="199">
        <f t="shared" si="1"/>
        <v>31.240780424143558</v>
      </c>
      <c r="L16" s="199">
        <f t="shared" si="2"/>
        <v>2.3539819999999998</v>
      </c>
      <c r="M16" s="199">
        <f t="shared" si="3"/>
        <v>6.1810318199999994</v>
      </c>
      <c r="N16" s="199">
        <f t="shared" ca="1" si="4"/>
        <v>39.775794244143562</v>
      </c>
      <c r="P16" s="29" t="s">
        <v>199</v>
      </c>
      <c r="Q16" s="199">
        <f t="shared" si="5"/>
        <v>0</v>
      </c>
      <c r="R16" s="199">
        <f t="shared" si="6"/>
        <v>0</v>
      </c>
      <c r="S16" s="199">
        <f t="shared" si="7"/>
        <v>0</v>
      </c>
      <c r="T16" s="199">
        <f t="shared" ca="1" si="8"/>
        <v>0</v>
      </c>
    </row>
    <row r="17" spans="3:20" x14ac:dyDescent="0.2">
      <c r="C17" s="329" t="str">
        <f>'CF (Equity, Debt)'!C15</f>
        <v>ONT plc</v>
      </c>
      <c r="D17" s="36" t="s">
        <v>159</v>
      </c>
      <c r="E17" s="33">
        <f>'CF (Equity, Debt)'!D15</f>
        <v>43968</v>
      </c>
      <c r="F17" s="33" t="str">
        <f t="shared" si="0"/>
        <v>Q2 2020</v>
      </c>
      <c r="G17" s="39">
        <f>'CF (Equity, Debt)'!E15</f>
        <v>-50</v>
      </c>
      <c r="H17" s="39">
        <f>'CF (Equity, Debt)'!F15</f>
        <v>0</v>
      </c>
      <c r="J17" s="29" t="s">
        <v>200</v>
      </c>
      <c r="K17" s="199">
        <f t="shared" si="1"/>
        <v>0</v>
      </c>
      <c r="L17" s="199">
        <f t="shared" si="2"/>
        <v>0.41176499999999999</v>
      </c>
      <c r="M17" s="199">
        <f t="shared" si="3"/>
        <v>0.98965473139999993</v>
      </c>
      <c r="N17" s="199">
        <f t="shared" ca="1" si="4"/>
        <v>1.4014197313999999</v>
      </c>
      <c r="P17" s="29" t="s">
        <v>200</v>
      </c>
      <c r="Q17" s="199">
        <f t="shared" si="5"/>
        <v>0</v>
      </c>
      <c r="R17" s="199">
        <f t="shared" si="6"/>
        <v>0</v>
      </c>
      <c r="S17" s="199">
        <f t="shared" si="7"/>
        <v>0.44505899999999998</v>
      </c>
      <c r="T17" s="199">
        <f t="shared" ca="1" si="8"/>
        <v>0.44505899999999998</v>
      </c>
    </row>
    <row r="18" spans="3:20" x14ac:dyDescent="0.2">
      <c r="C18" s="329" t="str">
        <f>'CF (Equity, Debt)'!C16</f>
        <v>ONT plc</v>
      </c>
      <c r="D18" s="36" t="s">
        <v>159</v>
      </c>
      <c r="E18" s="33">
        <f>'CF (Equity, Debt)'!D16</f>
        <v>44006</v>
      </c>
      <c r="F18" s="33" t="str">
        <f t="shared" si="0"/>
        <v>Q2 2020</v>
      </c>
      <c r="G18" s="39">
        <f>'CF (Equity, Debt)'!E16</f>
        <v>-27.268350856443721</v>
      </c>
      <c r="H18" s="39">
        <f>'CF (Equity, Debt)'!F16</f>
        <v>0</v>
      </c>
      <c r="J18" s="29" t="s">
        <v>201</v>
      </c>
      <c r="K18" s="199">
        <f t="shared" si="1"/>
        <v>48.023703558477429</v>
      </c>
      <c r="L18" s="199">
        <f t="shared" si="2"/>
        <v>0</v>
      </c>
      <c r="M18" s="199">
        <f t="shared" si="3"/>
        <v>11.90173089</v>
      </c>
      <c r="N18" s="199">
        <f t="shared" ca="1" si="4"/>
        <v>59.925434448477432</v>
      </c>
      <c r="P18" s="29" t="s">
        <v>201</v>
      </c>
      <c r="Q18" s="199">
        <f t="shared" si="5"/>
        <v>0</v>
      </c>
      <c r="R18" s="199">
        <f t="shared" si="6"/>
        <v>0</v>
      </c>
      <c r="S18" s="199">
        <f t="shared" si="7"/>
        <v>0.13969399999999998</v>
      </c>
      <c r="T18" s="199">
        <f t="shared" ca="1" si="8"/>
        <v>0.13969399999999998</v>
      </c>
    </row>
    <row r="19" spans="3:20" x14ac:dyDescent="0.2">
      <c r="C19" s="329" t="str">
        <f>'CF (Equity, Debt)'!C17</f>
        <v>ONT plc</v>
      </c>
      <c r="D19" s="36" t="s">
        <v>159</v>
      </c>
      <c r="E19" s="33">
        <f>'CF (Equity, Debt)'!D17</f>
        <v>43837</v>
      </c>
      <c r="F19" s="33" t="str">
        <f t="shared" si="0"/>
        <v>Q1 2020</v>
      </c>
      <c r="G19" s="39">
        <f>'CF (Equity, Debt)'!E17</f>
        <v>-18.109441299619355</v>
      </c>
      <c r="H19" s="39">
        <f>'CF (Equity, Debt)'!F17</f>
        <v>0</v>
      </c>
      <c r="J19" s="29" t="s">
        <v>202</v>
      </c>
      <c r="K19" s="199">
        <f t="shared" si="1"/>
        <v>693.50095620000002</v>
      </c>
      <c r="L19" s="199">
        <f t="shared" si="2"/>
        <v>0</v>
      </c>
      <c r="M19" s="199">
        <f t="shared" si="3"/>
        <v>3.6664358494</v>
      </c>
      <c r="N19" s="199">
        <f t="shared" ca="1" si="4"/>
        <v>697.16739204940006</v>
      </c>
      <c r="P19" s="29" t="s">
        <v>202</v>
      </c>
      <c r="Q19" s="199">
        <f t="shared" si="5"/>
        <v>0</v>
      </c>
      <c r="R19" s="199">
        <f t="shared" si="6"/>
        <v>0</v>
      </c>
      <c r="S19" s="199">
        <f t="shared" si="7"/>
        <v>0</v>
      </c>
      <c r="T19" s="199">
        <f t="shared" ca="1" si="8"/>
        <v>0</v>
      </c>
    </row>
    <row r="20" spans="3:20" x14ac:dyDescent="0.2">
      <c r="C20" s="329" t="str">
        <f>'CF (Equity, Debt)'!C18</f>
        <v>ONT plc</v>
      </c>
      <c r="D20" s="36" t="s">
        <v>159</v>
      </c>
      <c r="E20" s="33">
        <f>'CF (Equity, Debt)'!D18</f>
        <v>43990</v>
      </c>
      <c r="F20" s="33" t="str">
        <f t="shared" si="0"/>
        <v>Q2 2020</v>
      </c>
      <c r="G20" s="39">
        <f>'CF (Equity, Debt)'!E18</f>
        <v>-34.851687094159864</v>
      </c>
      <c r="H20" s="39">
        <f>'CF (Equity, Debt)'!F18</f>
        <v>0</v>
      </c>
      <c r="J20" s="29" t="s">
        <v>203</v>
      </c>
      <c r="K20" s="199">
        <f t="shared" si="1"/>
        <v>112.5</v>
      </c>
      <c r="L20" s="199">
        <f t="shared" si="2"/>
        <v>0</v>
      </c>
      <c r="M20" s="199">
        <f t="shared" si="3"/>
        <v>19.740976</v>
      </c>
      <c r="N20" s="199">
        <f t="shared" ca="1" si="4"/>
        <v>132.24097599999999</v>
      </c>
      <c r="P20" s="29" t="s">
        <v>203</v>
      </c>
      <c r="Q20" s="199">
        <f t="shared" si="5"/>
        <v>5</v>
      </c>
      <c r="R20" s="199">
        <f t="shared" si="6"/>
        <v>0</v>
      </c>
      <c r="S20" s="199">
        <f t="shared" si="7"/>
        <v>0.22778599999999999</v>
      </c>
      <c r="T20" s="199">
        <f t="shared" ca="1" si="8"/>
        <v>5.227786</v>
      </c>
    </row>
    <row r="21" spans="3:20" x14ac:dyDescent="0.2">
      <c r="C21" s="329" t="str">
        <f>'CF (Equity, Debt)'!C19</f>
        <v>ONT plc</v>
      </c>
      <c r="D21" s="36" t="s">
        <v>159</v>
      </c>
      <c r="E21" s="33">
        <f>'CF (Equity, Debt)'!D19</f>
        <v>44315</v>
      </c>
      <c r="F21" s="33" t="str">
        <f t="shared" si="0"/>
        <v>Q2 2021</v>
      </c>
      <c r="G21" s="39">
        <f>'CF (Equity, Debt)'!E19</f>
        <v>-11.240780424143557</v>
      </c>
      <c r="H21" s="39">
        <f>'CF (Equity, Debt)'!F19</f>
        <v>0</v>
      </c>
      <c r="J21" s="29" t="s">
        <v>204</v>
      </c>
      <c r="K21" s="199">
        <f t="shared" si="1"/>
        <v>600</v>
      </c>
      <c r="L21" s="199">
        <f t="shared" si="2"/>
        <v>0</v>
      </c>
      <c r="M21" s="199">
        <f t="shared" si="3"/>
        <v>3.2202683433999999</v>
      </c>
      <c r="N21" s="199">
        <f t="shared" ca="1" si="4"/>
        <v>603.22026834339999</v>
      </c>
      <c r="P21" s="29" t="s">
        <v>204</v>
      </c>
      <c r="Q21" s="199">
        <f t="shared" si="5"/>
        <v>0</v>
      </c>
      <c r="R21" s="199">
        <f t="shared" si="6"/>
        <v>0</v>
      </c>
      <c r="S21" s="199">
        <f t="shared" si="7"/>
        <v>0</v>
      </c>
      <c r="T21" s="199">
        <f t="shared" ca="1" si="8"/>
        <v>0</v>
      </c>
    </row>
    <row r="22" spans="3:20" x14ac:dyDescent="0.2">
      <c r="C22" s="328" t="str">
        <f>'CF (Equity, Debt)'!C20</f>
        <v>Heygears</v>
      </c>
      <c r="D22" s="35" t="s">
        <v>159</v>
      </c>
      <c r="E22" s="31">
        <f>'CF (Equity, Debt)'!D20</f>
        <v>44166</v>
      </c>
      <c r="F22" s="31" t="str">
        <f t="shared" si="0"/>
        <v>Q4 2020</v>
      </c>
      <c r="G22" s="38">
        <f>'CF (Equity, Debt)'!E20</f>
        <v>-60</v>
      </c>
      <c r="H22" s="38">
        <f>'CF (Equity, Debt)'!F20</f>
        <v>0</v>
      </c>
      <c r="J22" s="29" t="s">
        <v>274</v>
      </c>
      <c r="K22" s="199">
        <f t="shared" ref="K22" si="9">-SUMIFS($G$5:$G$125,$D$5:$D$125,$K$5,$F$5:$F$125,J22)</f>
        <v>219.75</v>
      </c>
      <c r="L22" s="199">
        <f t="shared" ref="L22" si="10">-SUMIFS($G$5:$G$125,$D$5:$D$125,$L$5,$F$5:$F$125,J22)</f>
        <v>0</v>
      </c>
      <c r="M22" s="199">
        <f t="shared" ref="M22" si="11">-SUMIFS($G$5:$G$125,$D$5:$D$125,"Fund",$F$5:$F$125,J22)</f>
        <v>3.3882749999999997</v>
      </c>
      <c r="N22" s="199">
        <f t="shared" ca="1" si="4"/>
        <v>223.13827499999999</v>
      </c>
      <c r="P22" s="29" t="s">
        <v>274</v>
      </c>
      <c r="Q22" s="199">
        <f t="shared" ref="Q22" si="12">SUMIFS($H$5:$H$125,$D$5:$D$125,$Q$5,$F$5:$F$125,J22)</f>
        <v>0</v>
      </c>
      <c r="R22" s="199">
        <f t="shared" ref="R22" si="13">SUMIFS($H$5:$H$125,$D$5:$D$125,$R$5,$F$5:$F$125,J22)</f>
        <v>0.47078465000000003</v>
      </c>
      <c r="S22" s="199">
        <f t="shared" ref="S22" si="14">SUMIFS($H$5:$H$125,$D$5:$D$125,$S$5,$F$5:$F$125,J22)</f>
        <v>0</v>
      </c>
      <c r="T22" s="199">
        <f t="shared" ca="1" si="8"/>
        <v>0.47078465000000003</v>
      </c>
    </row>
    <row r="23" spans="3:20" x14ac:dyDescent="0.2">
      <c r="C23" s="329" t="str">
        <f>'CF (Equity, Debt)'!C21</f>
        <v>Jysan Technologies</v>
      </c>
      <c r="D23" s="36" t="s">
        <v>159</v>
      </c>
      <c r="E23" s="33">
        <f>'CF (Equity, Debt)'!D21</f>
        <v>44363</v>
      </c>
      <c r="F23" s="33" t="str">
        <f t="shared" si="0"/>
        <v>Q2 2021</v>
      </c>
      <c r="G23" s="39">
        <f>'CF (Equity, Debt)'!E21</f>
        <v>-20</v>
      </c>
      <c r="H23" s="39">
        <f>'CF (Equity, Debt)'!F21</f>
        <v>0</v>
      </c>
      <c r="J23" s="29" t="s">
        <v>361</v>
      </c>
      <c r="K23" s="199">
        <f t="shared" ref="K23" si="15">-SUMIFS($G$5:$G$125,$D$5:$D$125,$K$5,$F$5:$F$125,J23)</f>
        <v>12.03125</v>
      </c>
      <c r="L23" s="199">
        <f t="shared" ref="L23" si="16">-SUMIFS($G$5:$G$125,$D$5:$D$125,$L$5,$F$5:$F$125,J23)</f>
        <v>0</v>
      </c>
      <c r="M23" s="199">
        <f t="shared" ref="M23" si="17">-SUMIFS($G$5:$G$125,$D$5:$D$125,"Fund",$F$5:$F$125,J23)</f>
        <v>-7.9223880896699992</v>
      </c>
      <c r="N23" s="199">
        <f t="shared" ca="1" si="4"/>
        <v>4.1088619103300008</v>
      </c>
      <c r="P23" s="29" t="s">
        <v>361</v>
      </c>
      <c r="Q23" s="199">
        <f t="shared" ref="Q23" si="18">SUMIFS($H$5:$H$125,$D$5:$D$125,$Q$5,$F$5:$F$125,J23)</f>
        <v>0</v>
      </c>
      <c r="R23" s="199">
        <f t="shared" ref="R23" si="19">SUMIFS($H$5:$H$125,$D$5:$D$125,$R$5,$F$5:$F$125,J23)</f>
        <v>0</v>
      </c>
      <c r="S23" s="199">
        <f t="shared" ref="S23" si="20">SUMIFS($H$5:$H$125,$D$5:$D$125,$S$5,$F$5:$F$125,J23)</f>
        <v>2.9557743514081998</v>
      </c>
      <c r="T23" s="199">
        <f t="shared" ca="1" si="8"/>
        <v>2.9557743514081998</v>
      </c>
    </row>
    <row r="24" spans="3:20" x14ac:dyDescent="0.2">
      <c r="C24" s="328" t="str">
        <f>'CF (Equity, Debt)'!C22</f>
        <v>Cerebras Systems Inc</v>
      </c>
      <c r="D24" s="35" t="s">
        <v>159</v>
      </c>
      <c r="E24" s="31">
        <f>'CF (Equity, Debt)'!D22</f>
        <v>44488</v>
      </c>
      <c r="F24" s="31" t="str">
        <f t="shared" si="0"/>
        <v>Q4 2021</v>
      </c>
      <c r="G24" s="38">
        <f>'CF (Equity, Debt)'!E22</f>
        <v>-39.999983359999995</v>
      </c>
      <c r="H24" s="38">
        <f>'CF (Equity, Debt)'!F22</f>
        <v>0</v>
      </c>
      <c r="J24" s="29" t="s">
        <v>404</v>
      </c>
      <c r="K24" s="199">
        <f t="shared" ref="K24" si="21">-SUMIFS($G$5:$G$125,$D$5:$D$125,$K$5,$F$5:$F$125,J24)</f>
        <v>15.005873939999999</v>
      </c>
      <c r="L24" s="199">
        <f t="shared" ref="L24" si="22">-SUMIFS($G$5:$G$125,$D$5:$D$125,$L$5,$F$5:$F$125,J24)</f>
        <v>0</v>
      </c>
      <c r="M24" s="199">
        <f t="shared" ref="M24" si="23">-SUMIFS($G$5:$G$125,$D$5:$D$125,"Fund",$F$5:$F$125,J24)</f>
        <v>-1.9125570000000001</v>
      </c>
      <c r="N24" s="199">
        <f t="shared" ca="1" si="4"/>
        <v>13.093316939999999</v>
      </c>
      <c r="P24" s="29" t="s">
        <v>404</v>
      </c>
      <c r="Q24" s="199">
        <f t="shared" ref="Q24" si="24">SUMIFS($H$5:$H$125,$D$5:$D$125,$Q$5,$F$5:$F$125,J24)</f>
        <v>0</v>
      </c>
      <c r="R24" s="199">
        <f t="shared" ref="R24" si="25">SUMIFS($H$5:$H$125,$D$5:$D$125,$R$5,$F$5:$F$125,J24)</f>
        <v>0</v>
      </c>
      <c r="S24" s="199">
        <f t="shared" ref="S24" si="26">SUMIFS($H$5:$H$125,$D$5:$D$125,$S$5,$F$5:$F$125,J24)</f>
        <v>0</v>
      </c>
      <c r="T24" s="199">
        <f t="shared" ca="1" si="8"/>
        <v>0</v>
      </c>
    </row>
    <row r="25" spans="3:20" x14ac:dyDescent="0.2">
      <c r="C25" s="329" t="str">
        <f>'CF (Equity, Debt)'!C23</f>
        <v>Endless Studios LLC</v>
      </c>
      <c r="D25" s="36" t="s">
        <v>159</v>
      </c>
      <c r="E25" s="33">
        <f>'CF (Equity, Debt)'!D23</f>
        <v>44494</v>
      </c>
      <c r="F25" s="33" t="str">
        <f t="shared" si="0"/>
        <v>Q4 2021</v>
      </c>
      <c r="G25" s="39">
        <f>'CF (Equity, Debt)'!E23</f>
        <v>-3</v>
      </c>
      <c r="H25" s="39">
        <f>'CF (Equity, Debt)'!F23</f>
        <v>0</v>
      </c>
      <c r="J25" s="29" t="s">
        <v>471</v>
      </c>
      <c r="K25" s="199">
        <f t="shared" ref="K25" si="27">-SUMIFS($G$5:$G$125,$D$5:$D$125,$K$5,$F$5:$F$125,J25)</f>
        <v>13.750999999999999</v>
      </c>
      <c r="L25" s="199">
        <f t="shared" ref="L25" si="28">-SUMIFS($G$5:$G$125,$D$5:$D$125,$L$5,$F$5:$F$125,J25)</f>
        <v>0</v>
      </c>
      <c r="M25" s="199">
        <f t="shared" ref="M25" si="29">-SUMIFS($G$5:$G$125,$D$5:$D$125,"Fund",$F$5:$F$125,J25)</f>
        <v>1.7991220000000001</v>
      </c>
      <c r="N25" s="199">
        <f t="shared" ca="1" si="4"/>
        <v>15.550122</v>
      </c>
      <c r="P25" s="29" t="s">
        <v>404</v>
      </c>
      <c r="Q25" s="199">
        <f t="shared" ref="Q25" si="30">SUMIFS($H$5:$H$125,$D$5:$D$125,$Q$5,$F$5:$F$125,J25)</f>
        <v>32.320776099999996</v>
      </c>
      <c r="R25" s="199">
        <f t="shared" ref="R25" si="31">SUMIFS($H$5:$H$125,$D$5:$D$125,$R$5,$F$5:$F$125,J25)</f>
        <v>0</v>
      </c>
      <c r="S25" s="199">
        <f t="shared" ref="S25" si="32">SUMIFS($H$5:$H$125,$D$5:$D$125,$S$5,$F$5:$F$125,J25)</f>
        <v>0</v>
      </c>
      <c r="T25" s="199">
        <f t="shared" ca="1" si="8"/>
        <v>32.320776099999996</v>
      </c>
    </row>
    <row r="26" spans="3:20" x14ac:dyDescent="0.2">
      <c r="C26" s="328" t="str">
        <f>'CF (Equity, Debt)'!C24</f>
        <v>Instadeep Limited</v>
      </c>
      <c r="D26" s="35" t="s">
        <v>159</v>
      </c>
      <c r="E26" s="31">
        <f>'CF (Equity, Debt)'!D24</f>
        <v>44550</v>
      </c>
      <c r="F26" s="31" t="str">
        <f t="shared" si="0"/>
        <v>Q4 2021</v>
      </c>
      <c r="G26" s="38">
        <f>'CF (Equity, Debt)'!E24</f>
        <v>-5.0237201984774336</v>
      </c>
      <c r="H26" s="38">
        <f>'CF (Equity, Debt)'!F24</f>
        <v>0</v>
      </c>
      <c r="J26" s="29" t="s">
        <v>502</v>
      </c>
      <c r="K26" s="199">
        <f t="shared" ref="K26" si="33">-SUMIFS($G$5:$G$125,$D$5:$D$125,$K$5,$F$5:$F$125,J26)</f>
        <v>0</v>
      </c>
      <c r="L26" s="199">
        <f t="shared" ref="L26" si="34">-SUMIFS($G$5:$G$125,$D$5:$D$125,$L$5,$F$5:$F$125,J26)</f>
        <v>0</v>
      </c>
      <c r="M26" s="199">
        <f t="shared" ref="M26" si="35">-SUMIFS($G$5:$G$125,$D$5:$D$125,"Fund",$F$5:$F$125,J26)</f>
        <v>2.415861</v>
      </c>
      <c r="N26" s="199">
        <f t="shared" ca="1" si="4"/>
        <v>2.415861</v>
      </c>
      <c r="P26" s="29" t="s">
        <v>502</v>
      </c>
      <c r="Q26" s="199">
        <f t="shared" ref="Q26" si="36">SUMIFS($H$5:$H$125,$D$5:$D$125,$Q$5,$F$5:$F$125,J26)</f>
        <v>1205.9214164299999</v>
      </c>
      <c r="R26" s="199">
        <f t="shared" ref="R26" si="37">SUMIFS($H$5:$H$125,$D$5:$D$125,$R$5,$F$5:$F$125,J26)</f>
        <v>0</v>
      </c>
      <c r="S26" s="199">
        <f t="shared" ref="S26" si="38">SUMIFS($H$5:$H$125,$D$5:$D$125,$S$5,$F$5:$F$125,J26)</f>
        <v>0</v>
      </c>
      <c r="T26" s="199">
        <f t="shared" ca="1" si="8"/>
        <v>1205.9214164299999</v>
      </c>
    </row>
    <row r="27" spans="3:20" x14ac:dyDescent="0.2">
      <c r="C27" s="329" t="str">
        <f>'CF (Equity, Debt)'!C25</f>
        <v>X-fusion</v>
      </c>
      <c r="D27" s="36" t="s">
        <v>159</v>
      </c>
      <c r="E27" s="33">
        <f>'CF (Equity, Debt)'!D25</f>
        <v>44574</v>
      </c>
      <c r="F27" s="33" t="str">
        <f t="shared" si="0"/>
        <v>Q1 2022</v>
      </c>
      <c r="G27" s="39">
        <f>'CF (Equity, Debt)'!E25</f>
        <v>-493.50095619999996</v>
      </c>
      <c r="H27" s="39">
        <f>'CF (Equity, Debt)'!F25</f>
        <v>0</v>
      </c>
      <c r="J27" s="206" t="s">
        <v>57</v>
      </c>
      <c r="K27" s="207">
        <f>SUM(K7:K26)</f>
        <v>2111.5330433728441</v>
      </c>
      <c r="L27" s="207">
        <f t="shared" ref="L27:N27" si="39">SUM(L7:L26)</f>
        <v>10.765747000000001</v>
      </c>
      <c r="M27" s="207">
        <f t="shared" si="39"/>
        <v>135.95340050447118</v>
      </c>
      <c r="N27" s="207">
        <f t="shared" ca="1" si="39"/>
        <v>2258.2521908773151</v>
      </c>
      <c r="P27" s="206" t="s">
        <v>57</v>
      </c>
      <c r="Q27" s="207">
        <f>SUM(Q7:Q26)</f>
        <v>1243.24219253</v>
      </c>
      <c r="R27" s="207">
        <f t="shared" ref="R27:T27" si="40">SUM(R7:R26)</f>
        <v>0.47078465000000003</v>
      </c>
      <c r="S27" s="207">
        <f t="shared" si="40"/>
        <v>4.4275637014082001</v>
      </c>
      <c r="T27" s="207">
        <f t="shared" ca="1" si="40"/>
        <v>1248.140540881408</v>
      </c>
    </row>
    <row r="28" spans="3:20" x14ac:dyDescent="0.2">
      <c r="C28" s="328" t="str">
        <f>'CF (Equity, Debt)'!C26</f>
        <v>DriveNets</v>
      </c>
      <c r="D28" s="35" t="s">
        <v>159</v>
      </c>
      <c r="E28" s="31">
        <f>'CF (Equity, Debt)'!D26</f>
        <v>44643</v>
      </c>
      <c r="F28" s="31" t="str">
        <f t="shared" si="0"/>
        <v>Q1 2022</v>
      </c>
      <c r="G28" s="38">
        <f>'CF (Equity, Debt)'!E26</f>
        <v>-200</v>
      </c>
      <c r="H28" s="38">
        <f>'CF (Equity, Debt)'!F26</f>
        <v>0</v>
      </c>
      <c r="J28" s="34"/>
      <c r="K28" s="34" t="b">
        <f ca="1">K27='S | 01 '!K32</f>
        <v>0</v>
      </c>
      <c r="L28" s="34" t="b">
        <f>L27='S | 01 '!K38</f>
        <v>1</v>
      </c>
      <c r="M28" s="29" t="b">
        <f ca="1">M27='S | 01 '!K46</f>
        <v>0</v>
      </c>
      <c r="N28" s="29" t="b">
        <f ca="1">ROUND(N27,2)=ROUND('S | 01 '!K48,2)</f>
        <v>0</v>
      </c>
      <c r="Q28" s="34" t="b">
        <f ca="1">Q27='S | 01 '!M32</f>
        <v>1</v>
      </c>
      <c r="R28" s="34" t="b">
        <f>R27='S | 01 '!M38</f>
        <v>1</v>
      </c>
      <c r="S28" s="34" t="b">
        <f>S27='S | 01 '!M46</f>
        <v>0</v>
      </c>
      <c r="T28" s="29" t="b">
        <f ca="1">T27='S | 01 '!M48</f>
        <v>0</v>
      </c>
    </row>
    <row r="29" spans="3:20" x14ac:dyDescent="0.2">
      <c r="C29" s="328" t="str">
        <f>'CF (Equity, Debt)'!C27</f>
        <v>DriveNets</v>
      </c>
      <c r="D29" s="35" t="s">
        <v>159</v>
      </c>
      <c r="E29" s="31">
        <f>'CF (Equity, Debt)'!D27</f>
        <v>44680</v>
      </c>
      <c r="F29" s="31" t="str">
        <f t="shared" si="0"/>
        <v>Q2 2022</v>
      </c>
      <c r="G29" s="38">
        <f>'CF (Equity, Debt)'!E27</f>
        <v>-100</v>
      </c>
      <c r="H29" s="38">
        <f>'CF (Equity, Debt)'!F27</f>
        <v>0</v>
      </c>
    </row>
    <row r="30" spans="3:20" x14ac:dyDescent="0.2">
      <c r="C30" s="329" t="str">
        <f>'CF (Equity, Debt)'!C28</f>
        <v xml:space="preserve">Esyasoft Holding </v>
      </c>
      <c r="D30" s="36" t="s">
        <v>159</v>
      </c>
      <c r="E30" s="33">
        <f>'CF (Equity, Debt)'!D28</f>
        <v>44691</v>
      </c>
      <c r="F30" s="33" t="str">
        <f t="shared" si="0"/>
        <v>Q2 2022</v>
      </c>
      <c r="G30" s="39">
        <f>'CF (Equity, Debt)'!E28</f>
        <v>0</v>
      </c>
      <c r="H30" s="39">
        <f>'CF (Equity, Debt)'!F28</f>
        <v>5</v>
      </c>
      <c r="K30" s="451"/>
    </row>
    <row r="31" spans="3:20" x14ac:dyDescent="0.2">
      <c r="C31" s="329" t="str">
        <f>'CF (Equity, Debt)'!C29</f>
        <v>vTv Therapeutics Inc.</v>
      </c>
      <c r="D31" s="36" t="s">
        <v>159</v>
      </c>
      <c r="E31" s="33">
        <f>'CF (Equity, Debt)'!D29</f>
        <v>44712</v>
      </c>
      <c r="F31" s="33" t="str">
        <f t="shared" si="0"/>
        <v>Q2 2022</v>
      </c>
      <c r="G31" s="39">
        <f>'CF (Equity, Debt)'!E29</f>
        <v>-12.5</v>
      </c>
      <c r="H31" s="39">
        <f>'CF (Equity, Debt)'!F29</f>
        <v>0</v>
      </c>
    </row>
    <row r="32" spans="3:20" x14ac:dyDescent="0.2">
      <c r="C32" s="328" t="str">
        <f>'CF (Equity, Debt)'!C30</f>
        <v>Honor Device Co Ltd</v>
      </c>
      <c r="D32" s="35" t="s">
        <v>159</v>
      </c>
      <c r="E32" s="31">
        <f>'CF (Equity, Debt)'!D30</f>
        <v>44769</v>
      </c>
      <c r="F32" s="31" t="str">
        <f t="shared" si="0"/>
        <v>Q3 2022</v>
      </c>
      <c r="G32" s="38">
        <f>'CF (Equity, Debt)'!E30</f>
        <v>-600</v>
      </c>
      <c r="H32" s="38">
        <f>'CF (Equity, Debt)'!F30</f>
        <v>0</v>
      </c>
    </row>
    <row r="33" spans="3:8" x14ac:dyDescent="0.2">
      <c r="C33" s="328" t="str">
        <f>'CF (Equity, Debt)'!C31</f>
        <v>Honor Device Co Ltd</v>
      </c>
      <c r="D33" s="35" t="s">
        <v>159</v>
      </c>
      <c r="E33" s="31">
        <f>'CF (Equity, Debt)'!D31</f>
        <v>44849</v>
      </c>
      <c r="F33" s="31" t="str">
        <f t="shared" ref="F33" si="41">"Q"&amp;ROUNDUP(MONTH(E33)/3,0)&amp;" "&amp;YEAR(E33)</f>
        <v>Q4 2022</v>
      </c>
      <c r="G33" s="38">
        <f>'CF (Equity, Debt)'!E31</f>
        <v>-200</v>
      </c>
      <c r="H33" s="38">
        <f>'CF (Equity, Debt)'!F31</f>
        <v>0</v>
      </c>
    </row>
    <row r="34" spans="3:8" x14ac:dyDescent="0.2">
      <c r="C34" s="329" t="str">
        <f>'CF (Equity, Debt)'!C32</f>
        <v>Applied AI Corporation Limited</v>
      </c>
      <c r="D34" s="36" t="s">
        <v>159</v>
      </c>
      <c r="E34" s="33">
        <f>'CF (Equity, Debt)'!D32</f>
        <v>44861</v>
      </c>
      <c r="F34" s="33" t="str">
        <f t="shared" si="0"/>
        <v>Q4 2022</v>
      </c>
      <c r="G34" s="39">
        <f>'CF (Equity, Debt)'!E32</f>
        <v>-4.75</v>
      </c>
      <c r="H34" s="39">
        <f>'CF (Equity, Debt)'!F32</f>
        <v>0</v>
      </c>
    </row>
    <row r="35" spans="3:8" x14ac:dyDescent="0.2">
      <c r="C35" s="328" t="str">
        <f>'CF (Equity, Debt)'!C33</f>
        <v xml:space="preserve">eSpace </v>
      </c>
      <c r="D35" s="35" t="s">
        <v>159</v>
      </c>
      <c r="E35" s="31">
        <f>'CF (Equity, Debt)'!D33</f>
        <v>44892</v>
      </c>
      <c r="F35" s="31" t="str">
        <f t="shared" ref="F35" si="42">"Q"&amp;ROUNDUP(MONTH(E35)/3,0)&amp;" "&amp;YEAR(E35)</f>
        <v>Q4 2022</v>
      </c>
      <c r="G35" s="38">
        <f>'CF (Equity, Debt)'!E33</f>
        <v>-15</v>
      </c>
      <c r="H35" s="38">
        <f>'CF (Equity, Debt)'!F33</f>
        <v>0</v>
      </c>
    </row>
    <row r="36" spans="3:8" x14ac:dyDescent="0.2">
      <c r="C36" s="328" t="str">
        <f>'CF (Equity, Debt)'!C34</f>
        <v>vTv Therapeutics Inc.</v>
      </c>
      <c r="D36" s="35" t="s">
        <v>159</v>
      </c>
      <c r="E36" s="31">
        <f>'CF (Equity, Debt)'!D34</f>
        <v>44985</v>
      </c>
      <c r="F36" s="31" t="str">
        <f t="shared" ref="F36" si="43">"Q"&amp;ROUNDUP(MONTH(E36)/3,0)&amp;" "&amp;YEAR(E36)</f>
        <v>Q1 2023</v>
      </c>
      <c r="G36" s="38">
        <f>'CF (Equity, Debt)'!E34</f>
        <v>-12.03125</v>
      </c>
      <c r="H36" s="38">
        <f>'CF (Equity, Debt)'!F34</f>
        <v>0</v>
      </c>
    </row>
    <row r="37" spans="3:8" x14ac:dyDescent="0.2">
      <c r="C37" s="328" t="str">
        <f>'CF (Equity, Debt)'!C35</f>
        <v>Tools for Humanity Corporation</v>
      </c>
      <c r="D37" s="35" t="s">
        <v>159</v>
      </c>
      <c r="E37" s="31">
        <f>'CF (Equity, Debt)'!D35</f>
        <v>45075</v>
      </c>
      <c r="F37" s="31" t="str">
        <f t="shared" ref="F37" si="44">"Q"&amp;ROUNDUP(MONTH(E37)/3,0)&amp;" "&amp;YEAR(E37)</f>
        <v>Q2 2023</v>
      </c>
      <c r="G37" s="38">
        <f>'CF (Equity, Debt)'!E35</f>
        <v>-14.999998939999999</v>
      </c>
      <c r="H37" s="38">
        <f>'CF (Equity, Debt)'!F35</f>
        <v>0</v>
      </c>
    </row>
    <row r="38" spans="3:8" x14ac:dyDescent="0.2">
      <c r="C38" s="328" t="str">
        <f>'CF (Equity, Debt)'!C36</f>
        <v>WLD Tokens</v>
      </c>
      <c r="D38" s="35" t="s">
        <v>159</v>
      </c>
      <c r="E38" s="31">
        <f>'CF (Equity, Debt)'!D36</f>
        <v>45075</v>
      </c>
      <c r="F38" s="31" t="str">
        <f t="shared" ref="F38:F41" si="45">"Q"&amp;ROUNDUP(MONTH(E38)/3,0)&amp;" "&amp;YEAR(E38)</f>
        <v>Q2 2023</v>
      </c>
      <c r="G38" s="38">
        <f>'CF (Equity, Debt)'!E36</f>
        <v>-5.875E-3</v>
      </c>
      <c r="H38" s="38">
        <f>'CF (Equity, Debt)'!F36</f>
        <v>0</v>
      </c>
    </row>
    <row r="39" spans="3:8" x14ac:dyDescent="0.2">
      <c r="C39" s="328" t="str">
        <f>'CF (Equity, Debt)'!C37</f>
        <v>WLD Tokens</v>
      </c>
      <c r="D39" s="35" t="s">
        <v>159</v>
      </c>
      <c r="E39" s="31">
        <f>'CF (Equity, Debt)'!D37</f>
        <v>45114</v>
      </c>
      <c r="F39" s="31" t="str">
        <f t="shared" si="45"/>
        <v>Q3 2023</v>
      </c>
      <c r="G39" s="38">
        <f>'CF (Equity, Debt)'!E37</f>
        <v>-1E-3</v>
      </c>
      <c r="H39" s="38">
        <f>'CF (Equity, Debt)'!F37</f>
        <v>0</v>
      </c>
    </row>
    <row r="40" spans="3:8" x14ac:dyDescent="0.2">
      <c r="C40" s="328" t="str">
        <f>'CF (Equity, Debt)'!C38</f>
        <v>Applied AI Corporation Limited</v>
      </c>
      <c r="D40" s="35" t="s">
        <v>159</v>
      </c>
      <c r="E40" s="31">
        <f>'CF (Equity, Debt)'!D38</f>
        <v>45121</v>
      </c>
      <c r="F40" s="31" t="str">
        <f t="shared" si="45"/>
        <v>Q3 2023</v>
      </c>
      <c r="G40" s="38">
        <f>'CF (Equity, Debt)'!E38</f>
        <v>-2.75</v>
      </c>
      <c r="H40" s="38">
        <f>'CF (Equity, Debt)'!F38</f>
        <v>0</v>
      </c>
    </row>
    <row r="41" spans="3:8" x14ac:dyDescent="0.2">
      <c r="C41" s="328" t="str">
        <f>'CF (Equity, Debt)'!C39</f>
        <v>Instadeep Limited</v>
      </c>
      <c r="D41" s="35" t="s">
        <v>159</v>
      </c>
      <c r="E41" s="31">
        <f>'CF (Equity, Debt)'!D39</f>
        <v>45138</v>
      </c>
      <c r="F41" s="31" t="str">
        <f t="shared" si="45"/>
        <v>Q3 2023</v>
      </c>
      <c r="G41" s="38">
        <f>'CF (Equity, Debt)'!E39</f>
        <v>0</v>
      </c>
      <c r="H41" s="38">
        <f>'CF (Equity, Debt)'!F39</f>
        <v>7.8207760999999989</v>
      </c>
    </row>
    <row r="42" spans="3:8" x14ac:dyDescent="0.2">
      <c r="C42" s="328" t="str">
        <f>'CF (Equity, Debt)'!C40</f>
        <v>Jysan Technologies</v>
      </c>
      <c r="D42" s="35" t="s">
        <v>159</v>
      </c>
      <c r="E42" s="31">
        <f>'CF (Equity, Debt)'!D40</f>
        <v>45149</v>
      </c>
      <c r="F42" s="31" t="str">
        <f t="shared" ref="F42:F44" si="46">"Q"&amp;ROUNDUP(MONTH(E42)/3,0)&amp;" "&amp;YEAR(E42)</f>
        <v>Q3 2023</v>
      </c>
      <c r="G42" s="38">
        <f>'CF (Equity, Debt)'!E40</f>
        <v>0</v>
      </c>
      <c r="H42" s="38">
        <f>'CF (Equity, Debt)'!F40</f>
        <v>24.5</v>
      </c>
    </row>
    <row r="43" spans="3:8" x14ac:dyDescent="0.2">
      <c r="C43" s="328" t="str">
        <f>'CF (Equity, Debt)'!C41</f>
        <v>Endless Studios LLC</v>
      </c>
      <c r="D43" s="35" t="s">
        <v>159</v>
      </c>
      <c r="E43" s="31">
        <f>'CF (Equity, Debt)'!D41</f>
        <v>45167</v>
      </c>
      <c r="F43" s="31" t="str">
        <f t="shared" si="46"/>
        <v>Q3 2023</v>
      </c>
      <c r="G43" s="38">
        <f>'CF (Equity, Debt)'!E41</f>
        <v>-5</v>
      </c>
      <c r="H43" s="38">
        <f>'CF (Equity, Debt)'!F41</f>
        <v>0</v>
      </c>
    </row>
    <row r="44" spans="3:8" x14ac:dyDescent="0.2">
      <c r="C44" s="328" t="str">
        <f>'CF (Equity, Debt)'!C42</f>
        <v>E-line Ventures LLC</v>
      </c>
      <c r="D44" s="35" t="s">
        <v>159</v>
      </c>
      <c r="E44" s="31">
        <f>'CF (Equity, Debt)'!D42</f>
        <v>45167</v>
      </c>
      <c r="F44" s="31" t="str">
        <f t="shared" si="46"/>
        <v>Q3 2023</v>
      </c>
      <c r="G44" s="38">
        <f>'CF (Equity, Debt)'!E42</f>
        <v>-6</v>
      </c>
      <c r="H44" s="38">
        <f>'CF (Equity, Debt)'!F42</f>
        <v>0</v>
      </c>
    </row>
    <row r="45" spans="3:8" x14ac:dyDescent="0.2">
      <c r="C45" s="328" t="str">
        <f>'CF (Equity, Debt)'!C43</f>
        <v>Honor Device Co Ltd</v>
      </c>
      <c r="D45" s="35" t="s">
        <v>159</v>
      </c>
      <c r="E45" s="31">
        <f>'CF (Equity, Debt)'!D43</f>
        <v>45224</v>
      </c>
      <c r="F45" s="31" t="str">
        <f t="shared" ref="F45:F48" si="47">"Q"&amp;ROUNDUP(MONTH(E45)/3,0)&amp;" "&amp;YEAR(E45)</f>
        <v>Q4 2023</v>
      </c>
      <c r="G45" s="38">
        <f>'CF (Equity, Debt)'!E43</f>
        <v>0</v>
      </c>
      <c r="H45" s="38">
        <f>'CF (Equity, Debt)'!F43</f>
        <v>2.8</v>
      </c>
    </row>
    <row r="46" spans="3:8" x14ac:dyDescent="0.2">
      <c r="C46" s="328" t="str">
        <f>'CF (Equity, Debt)'!C44</f>
        <v>Honor Device Co Ltd</v>
      </c>
      <c r="D46" s="35" t="s">
        <v>159</v>
      </c>
      <c r="E46" s="31">
        <f>'CF (Equity, Debt)'!D44</f>
        <v>45224</v>
      </c>
      <c r="F46" s="31" t="str">
        <f t="shared" si="47"/>
        <v>Q4 2023</v>
      </c>
      <c r="G46" s="38">
        <f>'CF (Equity, Debt)'!E44</f>
        <v>0</v>
      </c>
      <c r="H46" s="38">
        <f>'CF (Equity, Debt)'!F44</f>
        <v>800</v>
      </c>
    </row>
    <row r="47" spans="3:8" x14ac:dyDescent="0.2">
      <c r="C47" s="328" t="str">
        <f>'CF (Equity, Debt)'!C45</f>
        <v>X-fusion</v>
      </c>
      <c r="D47" s="35" t="s">
        <v>159</v>
      </c>
      <c r="E47" s="31">
        <f>'CF (Equity, Debt)'!D45</f>
        <v>45224</v>
      </c>
      <c r="F47" s="31" t="str">
        <f t="shared" si="47"/>
        <v>Q4 2023</v>
      </c>
      <c r="G47" s="38">
        <f>'CF (Equity, Debt)'!E45</f>
        <v>0</v>
      </c>
      <c r="H47" s="38">
        <f>'CF (Equity, Debt)'!F45</f>
        <v>403</v>
      </c>
    </row>
    <row r="48" spans="3:8" x14ac:dyDescent="0.2">
      <c r="C48" s="328" t="str">
        <f>'CF (Equity, Debt)'!C46</f>
        <v>Instadeep Limited</v>
      </c>
      <c r="D48" s="35" t="s">
        <v>159</v>
      </c>
      <c r="E48" s="31">
        <f>'CF (Equity, Debt)'!D46</f>
        <v>45224</v>
      </c>
      <c r="F48" s="31" t="str">
        <f t="shared" si="47"/>
        <v>Q4 2023</v>
      </c>
      <c r="G48" s="38">
        <f>'CF (Equity, Debt)'!E46</f>
        <v>0</v>
      </c>
      <c r="H48" s="38">
        <f>'CF (Equity, Debt)'!F46</f>
        <v>0.12141643000000001</v>
      </c>
    </row>
    <row r="49" spans="2:8" x14ac:dyDescent="0.2">
      <c r="C49" s="328"/>
      <c r="D49" s="35"/>
      <c r="E49" s="31"/>
      <c r="F49" s="31"/>
      <c r="G49" s="38"/>
      <c r="H49" s="38"/>
    </row>
    <row r="50" spans="2:8" x14ac:dyDescent="0.2">
      <c r="B50" s="395" t="s">
        <v>44</v>
      </c>
      <c r="C50" s="391"/>
      <c r="D50" s="392"/>
      <c r="E50" s="393"/>
      <c r="F50" s="393"/>
      <c r="G50" s="394"/>
      <c r="H50" s="394"/>
    </row>
    <row r="51" spans="2:8" x14ac:dyDescent="0.2">
      <c r="C51" s="330" t="str">
        <f>'CF (Equity, Debt)'!C53</f>
        <v xml:space="preserve">Glass Earth Holdings LLC </v>
      </c>
      <c r="D51" s="197" t="s">
        <v>44</v>
      </c>
      <c r="E51" s="301">
        <f>'CF (Equity, Debt)'!D53</f>
        <v>43635</v>
      </c>
      <c r="F51" s="198" t="str">
        <f t="shared" ref="F51:F67" si="48">"Q"&amp;ROUNDUP(MONTH(E51)/3,0)&amp;" "&amp;YEAR(E51)</f>
        <v>Q2 2019</v>
      </c>
      <c r="G51" s="199">
        <f>'CF (Equity, Debt)'!E53</f>
        <v>-8</v>
      </c>
      <c r="H51" s="199">
        <f>'CF (Equity, Debt)'!F53</f>
        <v>0</v>
      </c>
    </row>
    <row r="52" spans="2:8" x14ac:dyDescent="0.2">
      <c r="C52" s="330" t="str">
        <f>'CF (Equity, Debt)'!C54</f>
        <v>Mena Mobile Inc (Debt)</v>
      </c>
      <c r="D52" s="197" t="s">
        <v>44</v>
      </c>
      <c r="E52" s="301">
        <f>'CF (Equity, Debt)'!D54</f>
        <v>44293</v>
      </c>
      <c r="F52" s="198" t="str">
        <f t="shared" si="48"/>
        <v>Q2 2021</v>
      </c>
      <c r="G52" s="199">
        <f>'CF (Equity, Debt)'!E54</f>
        <v>-2.3539819999999998</v>
      </c>
      <c r="H52" s="199">
        <f>'CF (Equity, Debt)'!F54</f>
        <v>0</v>
      </c>
    </row>
    <row r="53" spans="2:8" x14ac:dyDescent="0.2">
      <c r="C53" s="330" t="str">
        <f>'CF (Equity, Debt)'!C55</f>
        <v>Esyasoft Holding (Debt)</v>
      </c>
      <c r="D53" s="197" t="s">
        <v>44</v>
      </c>
      <c r="E53" s="301">
        <f>'CF (Equity, Debt)'!D55</f>
        <v>44384</v>
      </c>
      <c r="F53" s="198" t="str">
        <f t="shared" si="48"/>
        <v>Q3 2021</v>
      </c>
      <c r="G53" s="199">
        <f>'CF (Equity, Debt)'!E55</f>
        <v>-0.41176499999999999</v>
      </c>
      <c r="H53" s="199">
        <f>'CF (Equity, Debt)'!F55</f>
        <v>0</v>
      </c>
    </row>
    <row r="54" spans="2:8" x14ac:dyDescent="0.2">
      <c r="C54" s="330" t="str">
        <f>'CF (Equity, Debt)'!C56</f>
        <v>Esyasoft Holding (Debt)</v>
      </c>
      <c r="D54" s="197" t="s">
        <v>44</v>
      </c>
      <c r="E54" s="301">
        <f>'CF (Equity, Debt)'!D56</f>
        <v>44902</v>
      </c>
      <c r="F54" s="198" t="str">
        <f t="shared" ref="F54" si="49">"Q"&amp;ROUNDUP(MONTH(E54)/3,0)&amp;" "&amp;YEAR(E54)</f>
        <v>Q4 2022</v>
      </c>
      <c r="G54" s="199">
        <f>'CF (Equity, Debt)'!E56</f>
        <v>0</v>
      </c>
      <c r="H54" s="199">
        <f>'CF (Equity, Debt)'!F56</f>
        <v>0.47078465000000003</v>
      </c>
    </row>
    <row r="55" spans="2:8" x14ac:dyDescent="0.2">
      <c r="B55" s="395" t="s">
        <v>301</v>
      </c>
      <c r="C55" s="391"/>
      <c r="D55" s="392"/>
      <c r="E55" s="393"/>
      <c r="F55" s="393"/>
      <c r="G55" s="394"/>
      <c r="H55" s="394"/>
    </row>
    <row r="56" spans="2:8" x14ac:dyDescent="0.2">
      <c r="C56" s="330" t="str">
        <f>'CF (Funds)'!B3</f>
        <v>Sinovation Disrupt Fund, L.P.</v>
      </c>
      <c r="D56" s="197" t="s">
        <v>53</v>
      </c>
      <c r="E56" s="301">
        <f>'CF (Funds)'!C3</f>
        <v>44153</v>
      </c>
      <c r="F56" s="197" t="str">
        <f t="shared" si="48"/>
        <v>Q4 2020</v>
      </c>
      <c r="G56" s="199">
        <f>'CF (Funds)'!D3</f>
        <v>-10.5</v>
      </c>
      <c r="H56" s="199">
        <f>'CF (Funds)'!E3</f>
        <v>0</v>
      </c>
    </row>
    <row r="57" spans="2:8" x14ac:dyDescent="0.2">
      <c r="C57" s="330" t="str">
        <f>'CF (Funds)'!B4</f>
        <v>Sinovation Disrupt Fund, L.P.</v>
      </c>
      <c r="D57" s="197" t="s">
        <v>53</v>
      </c>
      <c r="E57" s="301">
        <f>'CF (Funds)'!C4</f>
        <v>44238</v>
      </c>
      <c r="F57" s="198" t="str">
        <f t="shared" si="48"/>
        <v>Q1 2021</v>
      </c>
      <c r="G57" s="199">
        <f>'CF (Funds)'!D4</f>
        <v>4.2140269999999997</v>
      </c>
      <c r="H57" s="199">
        <f>'CF (Funds)'!E4</f>
        <v>0</v>
      </c>
    </row>
    <row r="58" spans="2:8" x14ac:dyDescent="0.2">
      <c r="C58" s="330" t="str">
        <f>'CF (Funds)'!B5</f>
        <v>Sinovation Disrupt Fund, L.P.</v>
      </c>
      <c r="D58" s="197" t="s">
        <v>53</v>
      </c>
      <c r="E58" s="301">
        <f>'CF (Funds)'!C5</f>
        <v>44238</v>
      </c>
      <c r="F58" s="198" t="str">
        <f t="shared" si="48"/>
        <v>Q1 2021</v>
      </c>
      <c r="G58" s="199">
        <f>'CF (Funds)'!D5</f>
        <v>0</v>
      </c>
      <c r="H58" s="199">
        <f>'CF (Funds)'!E5</f>
        <v>5.0448349999999996E-2</v>
      </c>
    </row>
    <row r="59" spans="2:8" x14ac:dyDescent="0.2">
      <c r="C59" s="330" t="str">
        <f>'CF (Funds)'!B6</f>
        <v>Sinovation Disrupt Fund, L.P.</v>
      </c>
      <c r="D59" s="197" t="s">
        <v>53</v>
      </c>
      <c r="E59" s="301">
        <f>'CF (Funds)'!C6</f>
        <v>44285</v>
      </c>
      <c r="F59" s="198" t="str">
        <f t="shared" si="48"/>
        <v>Q1 2021</v>
      </c>
      <c r="G59" s="199">
        <f>'CF (Funds)'!D6</f>
        <v>-6.4337459999999993</v>
      </c>
      <c r="H59" s="199">
        <f>'CF (Funds)'!E6</f>
        <v>0</v>
      </c>
    </row>
    <row r="60" spans="2:8" x14ac:dyDescent="0.2">
      <c r="C60" s="330" t="str">
        <f>'CF (Funds)'!B7</f>
        <v>Sinovation Disrupt Fund, L.P.</v>
      </c>
      <c r="D60" s="197" t="s">
        <v>53</v>
      </c>
      <c r="E60" s="301">
        <f>'CF (Funds)'!C7</f>
        <v>44269</v>
      </c>
      <c r="F60" s="198" t="str">
        <f t="shared" si="48"/>
        <v>Q1 2021</v>
      </c>
      <c r="G60" s="199">
        <f>'CF (Funds)'!D7</f>
        <v>1.1352073899999999</v>
      </c>
      <c r="H60" s="199">
        <f>'CF (Funds)'!E7</f>
        <v>0</v>
      </c>
    </row>
    <row r="61" spans="2:8" x14ac:dyDescent="0.2">
      <c r="C61" s="330" t="str">
        <f>'CF (Funds)'!B8</f>
        <v>Sinovation Disrupt Fund, L.P.</v>
      </c>
      <c r="D61" s="197" t="s">
        <v>53</v>
      </c>
      <c r="E61" s="301">
        <f>'CF (Funds)'!C8</f>
        <v>44269</v>
      </c>
      <c r="F61" s="198" t="str">
        <f t="shared" si="48"/>
        <v>Q1 2021</v>
      </c>
      <c r="G61" s="199">
        <f>'CF (Funds)'!D8</f>
        <v>0</v>
      </c>
      <c r="H61" s="199">
        <f>'CF (Funds)'!E8</f>
        <v>2.5899999999999999E-2</v>
      </c>
    </row>
    <row r="62" spans="2:8" x14ac:dyDescent="0.2">
      <c r="C62" s="330" t="str">
        <f>'CF (Funds)'!B9</f>
        <v>Sinovation Disrupt Fund, L.P.</v>
      </c>
      <c r="D62" s="197" t="s">
        <v>53</v>
      </c>
      <c r="E62" s="301">
        <f>'CF (Funds)'!C9</f>
        <v>44483</v>
      </c>
      <c r="F62" s="198" t="str">
        <f t="shared" si="48"/>
        <v>Q4 2021</v>
      </c>
      <c r="G62" s="199">
        <f>'CF (Funds)'!D9</f>
        <v>-7.5671379999999999</v>
      </c>
      <c r="H62" s="199">
        <f>'CF (Funds)'!E9</f>
        <v>0</v>
      </c>
    </row>
    <row r="63" spans="2:8" x14ac:dyDescent="0.2">
      <c r="C63" s="330" t="str">
        <f>'CF (Funds)'!B10</f>
        <v>Sinovation Disrupt Fund, L.P.</v>
      </c>
      <c r="D63" s="197" t="s">
        <v>53</v>
      </c>
      <c r="E63" s="301">
        <f>'CF (Funds)'!C10</f>
        <v>44554</v>
      </c>
      <c r="F63" s="198" t="str">
        <f t="shared" si="48"/>
        <v>Q4 2021</v>
      </c>
      <c r="G63" s="199">
        <f>'CF (Funds)'!D10</f>
        <v>-7.3850159999999994</v>
      </c>
      <c r="H63" s="199">
        <f>'CF (Funds)'!E10</f>
        <v>0</v>
      </c>
    </row>
    <row r="64" spans="2:8" x14ac:dyDescent="0.2">
      <c r="C64" s="330" t="str">
        <f>'CF (Funds)'!B11</f>
        <v>Sinovation Disrupt Fund, L.P.</v>
      </c>
      <c r="D64" s="197" t="s">
        <v>53</v>
      </c>
      <c r="E64" s="301">
        <f>'CF (Funds)'!C11</f>
        <v>44554</v>
      </c>
      <c r="F64" s="198" t="str">
        <f t="shared" si="48"/>
        <v>Q4 2021</v>
      </c>
      <c r="G64" s="199">
        <f>'CF (Funds)'!D11</f>
        <v>4.0733456099999996</v>
      </c>
      <c r="H64" s="199">
        <f>'CF (Funds)'!E11</f>
        <v>0</v>
      </c>
    </row>
    <row r="65" spans="3:8" x14ac:dyDescent="0.2">
      <c r="C65" s="330" t="str">
        <f>'CF (Funds)'!B12</f>
        <v>Sinovation Disrupt Fund, L.P.</v>
      </c>
      <c r="D65" s="197" t="s">
        <v>53</v>
      </c>
      <c r="E65" s="301">
        <f>'CF (Funds)'!C12</f>
        <v>44554</v>
      </c>
      <c r="F65" s="198" t="str">
        <f t="shared" si="48"/>
        <v>Q4 2021</v>
      </c>
      <c r="G65" s="199">
        <f>'CF (Funds)'!D12</f>
        <v>0</v>
      </c>
      <c r="H65" s="199">
        <f>'CF (Funds)'!E12</f>
        <v>0.13969399999999998</v>
      </c>
    </row>
    <row r="66" spans="3:8" x14ac:dyDescent="0.2">
      <c r="C66" s="330" t="str">
        <f>'CF (Funds)'!B13</f>
        <v>Sinovation Disrupt Fund, L.P.</v>
      </c>
      <c r="D66" s="197" t="s">
        <v>53</v>
      </c>
      <c r="E66" s="301">
        <f>'CF (Funds)'!C13</f>
        <v>44703</v>
      </c>
      <c r="F66" s="198" t="str">
        <f t="shared" si="48"/>
        <v>Q2 2022</v>
      </c>
      <c r="G66" s="199">
        <f>'CF (Funds)'!D13</f>
        <v>5.6730739999999997</v>
      </c>
      <c r="H66" s="199">
        <f>'CF (Funds)'!E13</f>
        <v>0</v>
      </c>
    </row>
    <row r="67" spans="3:8" x14ac:dyDescent="0.2">
      <c r="C67" s="330" t="str">
        <f>'CF (Funds)'!B14</f>
        <v>Sinovation Disrupt Fund, L.P.</v>
      </c>
      <c r="D67" s="197" t="s">
        <v>53</v>
      </c>
      <c r="E67" s="301">
        <f>'CF (Funds)'!C14</f>
        <v>44703</v>
      </c>
      <c r="F67" s="198" t="str">
        <f t="shared" si="48"/>
        <v>Q2 2022</v>
      </c>
      <c r="G67" s="199">
        <f>'CF (Funds)'!D14</f>
        <v>0</v>
      </c>
      <c r="H67" s="199">
        <f>'CF (Funds)'!E14</f>
        <v>0.22778599999999999</v>
      </c>
    </row>
    <row r="68" spans="3:8" x14ac:dyDescent="0.2">
      <c r="C68" s="330" t="str">
        <f>'CF (Funds)'!B15</f>
        <v>Sinovation Disrupt Fund, L.P.</v>
      </c>
      <c r="D68" s="197" t="s">
        <v>53</v>
      </c>
      <c r="E68" s="301">
        <f>'CF (Funds)'!C15</f>
        <v>44776</v>
      </c>
      <c r="F68" s="198" t="str">
        <f t="shared" ref="F68" si="50">"Q"&amp;ROUNDUP(MONTH(E68)/3,0)&amp;" "&amp;YEAR(E68)</f>
        <v>Q3 2022</v>
      </c>
      <c r="G68" s="199">
        <f>'CF (Funds)'!D15</f>
        <v>-3.235493</v>
      </c>
      <c r="H68" s="199">
        <f>'CF (Funds)'!E15</f>
        <v>0</v>
      </c>
    </row>
    <row r="69" spans="3:8" x14ac:dyDescent="0.2">
      <c r="C69" s="330" t="str">
        <f>'CF (Funds)'!B16</f>
        <v>Sinovation Disrupt Fund, L.P.</v>
      </c>
      <c r="D69" s="197" t="s">
        <v>53</v>
      </c>
      <c r="E69" s="301">
        <f>'CF (Funds)'!C16</f>
        <v>44960</v>
      </c>
      <c r="F69" s="198" t="str">
        <f t="shared" ref="F69" si="51">"Q"&amp;ROUNDUP(MONTH(E69)/3,0)&amp;" "&amp;YEAR(E69)</f>
        <v>Q1 2023</v>
      </c>
      <c r="G69" s="199">
        <f>'CF (Funds)'!D16</f>
        <v>-2.6315279999999999</v>
      </c>
      <c r="H69" s="199">
        <f>'CF (Funds)'!E16</f>
        <v>0</v>
      </c>
    </row>
    <row r="70" spans="3:8" x14ac:dyDescent="0.2">
      <c r="C70" s="330" t="str">
        <f>'CF (Funds)'!B17</f>
        <v>Sinovation Disrupt Fund, L.P.</v>
      </c>
      <c r="D70" s="197" t="s">
        <v>53</v>
      </c>
      <c r="E70" s="301">
        <f>'CF (Funds)'!C17</f>
        <v>45085</v>
      </c>
      <c r="F70" s="198" t="str">
        <f t="shared" ref="F70" si="52">"Q"&amp;ROUNDUP(MONTH(E70)/3,0)&amp;" "&amp;YEAR(E70)</f>
        <v>Q2 2023</v>
      </c>
      <c r="G70" s="199">
        <f>'CF (Funds)'!D17</f>
        <v>1.9125570000000001</v>
      </c>
      <c r="H70" s="199">
        <f>'CF (Funds)'!E17</f>
        <v>0</v>
      </c>
    </row>
    <row r="71" spans="3:8" x14ac:dyDescent="0.2">
      <c r="C71" s="330" t="str">
        <f>'CF (Funds)'!B18</f>
        <v>Sinovation Disrupt Fund, L.P.</v>
      </c>
      <c r="D71" s="197" t="s">
        <v>53</v>
      </c>
      <c r="E71" s="301">
        <f>'CF (Funds)'!C18</f>
        <v>45166</v>
      </c>
      <c r="F71" s="198" t="str">
        <f t="shared" ref="F71" si="53">"Q"&amp;ROUNDUP(MONTH(E71)/3,0)&amp;" "&amp;YEAR(E71)</f>
        <v>Q3 2023</v>
      </c>
      <c r="G71" s="199">
        <f>'CF (Funds)'!D18</f>
        <v>-1.7991220000000001</v>
      </c>
      <c r="H71" s="199">
        <f>'CF (Funds)'!E18</f>
        <v>0</v>
      </c>
    </row>
    <row r="72" spans="3:8" x14ac:dyDescent="0.2">
      <c r="C72" s="330" t="str">
        <f>'CF (Funds)'!B19</f>
        <v>Sinovation Disrupt Fund, L.P.</v>
      </c>
      <c r="D72" s="197" t="s">
        <v>53</v>
      </c>
      <c r="E72" s="301">
        <f>'CF (Funds)'!C19</f>
        <v>45218</v>
      </c>
      <c r="F72" s="198" t="str">
        <f t="shared" ref="F72" si="54">"Q"&amp;ROUNDUP(MONTH(E72)/3,0)&amp;" "&amp;YEAR(E72)</f>
        <v>Q4 2023</v>
      </c>
      <c r="G72" s="199">
        <f>'CF (Funds)'!D19</f>
        <v>-2.415861</v>
      </c>
      <c r="H72" s="199">
        <f>'CF (Funds)'!E19</f>
        <v>0</v>
      </c>
    </row>
    <row r="73" spans="3:8" x14ac:dyDescent="0.2">
      <c r="C73" s="330" t="str">
        <f>'CF (Funds)'!B20</f>
        <v>Sinovation Disrupt Fund, L.P.</v>
      </c>
      <c r="D73" s="197" t="s">
        <v>53</v>
      </c>
      <c r="E73" s="301">
        <f>'CF (Funds)'!C20</f>
        <v>0</v>
      </c>
      <c r="F73" s="198" t="str">
        <f t="shared" ref="F73" si="55">"Q"&amp;ROUNDUP(MONTH(E73)/3,0)&amp;" "&amp;YEAR(E73)</f>
        <v>Q1 1900</v>
      </c>
      <c r="G73" s="199">
        <f>'CF (Funds)'!D20</f>
        <v>0</v>
      </c>
      <c r="H73" s="199">
        <f>'CF (Funds)'!E20</f>
        <v>0</v>
      </c>
    </row>
    <row r="74" spans="3:8" x14ac:dyDescent="0.2">
      <c r="C74" s="200" t="str">
        <f>'CF (Funds)'!B21</f>
        <v>North Summit Capital Fund</v>
      </c>
      <c r="D74" s="201" t="s">
        <v>53</v>
      </c>
      <c r="E74" s="300">
        <f>'CF (Funds)'!C21</f>
        <v>43665</v>
      </c>
      <c r="F74" s="202" t="str">
        <f t="shared" ref="F74:F92" si="56">"Q"&amp;ROUNDUP(MONTH(E74)/3,0)&amp;" "&amp;YEAR(E74)</f>
        <v>Q3 2019</v>
      </c>
      <c r="G74" s="203">
        <f>'CF (Funds)'!D21</f>
        <v>-3</v>
      </c>
      <c r="H74" s="203">
        <f>'CF (Funds)'!E21</f>
        <v>0</v>
      </c>
    </row>
    <row r="75" spans="3:8" x14ac:dyDescent="0.2">
      <c r="C75" s="200" t="str">
        <f>'CF (Funds)'!B22</f>
        <v>North Summit Capital Fund</v>
      </c>
      <c r="D75" s="201" t="s">
        <v>53</v>
      </c>
      <c r="E75" s="300">
        <f>'CF (Funds)'!C22</f>
        <v>43983</v>
      </c>
      <c r="F75" s="202" t="str">
        <f t="shared" si="56"/>
        <v>Q2 2020</v>
      </c>
      <c r="G75" s="203">
        <f>'CF (Funds)'!D22</f>
        <v>-4.4849999999999994</v>
      </c>
      <c r="H75" s="203">
        <f>'CF (Funds)'!E22</f>
        <v>0</v>
      </c>
    </row>
    <row r="76" spans="3:8" x14ac:dyDescent="0.2">
      <c r="C76" s="200" t="str">
        <f>'CF (Funds)'!B23</f>
        <v>North Summit Capital Fund</v>
      </c>
      <c r="D76" s="201" t="s">
        <v>53</v>
      </c>
      <c r="E76" s="300">
        <f>'CF (Funds)'!C23</f>
        <v>43879</v>
      </c>
      <c r="F76" s="202" t="str">
        <f t="shared" si="56"/>
        <v>Q1 2020</v>
      </c>
      <c r="G76" s="203">
        <f>'CF (Funds)'!D23</f>
        <v>-9.5097500000000004</v>
      </c>
      <c r="H76" s="203">
        <f>'CF (Funds)'!E23</f>
        <v>0</v>
      </c>
    </row>
    <row r="77" spans="3:8" x14ac:dyDescent="0.2">
      <c r="C77" s="200" t="str">
        <f>'CF (Funds)'!B24</f>
        <v>North Summit Capital Fund</v>
      </c>
      <c r="D77" s="201" t="s">
        <v>53</v>
      </c>
      <c r="E77" s="300">
        <f>'CF (Funds)'!C24</f>
        <v>43934</v>
      </c>
      <c r="F77" s="202" t="str">
        <f t="shared" si="56"/>
        <v>Q2 2020</v>
      </c>
      <c r="G77" s="203">
        <f>'CF (Funds)'!D24</f>
        <v>-41.3</v>
      </c>
      <c r="H77" s="203">
        <f>'CF (Funds)'!E24</f>
        <v>0</v>
      </c>
    </row>
    <row r="78" spans="3:8" x14ac:dyDescent="0.2">
      <c r="C78" s="200" t="str">
        <f>'CF (Funds)'!B25</f>
        <v>North Summit Capital Fund</v>
      </c>
      <c r="D78" s="201" t="s">
        <v>53</v>
      </c>
      <c r="E78" s="300">
        <f>'CF (Funds)'!C25</f>
        <v>44151</v>
      </c>
      <c r="F78" s="202" t="str">
        <f t="shared" si="56"/>
        <v>Q4 2020</v>
      </c>
      <c r="G78" s="203">
        <f>'CF (Funds)'!D25</f>
        <v>9.9499999999999993</v>
      </c>
      <c r="H78" s="203">
        <f>'CF (Funds)'!E25</f>
        <v>0</v>
      </c>
    </row>
    <row r="79" spans="3:8" x14ac:dyDescent="0.2">
      <c r="C79" s="200" t="str">
        <f>'CF (Funds)'!B26</f>
        <v>North Summit Capital Fund</v>
      </c>
      <c r="D79" s="201" t="s">
        <v>53</v>
      </c>
      <c r="E79" s="300">
        <f>'CF (Funds)'!C26</f>
        <v>44151</v>
      </c>
      <c r="F79" s="202" t="str">
        <f t="shared" si="56"/>
        <v>Q4 2020</v>
      </c>
      <c r="G79" s="203">
        <f>'CF (Funds)'!D26</f>
        <v>-10.455</v>
      </c>
      <c r="H79" s="203">
        <f>'CF (Funds)'!E26</f>
        <v>0</v>
      </c>
    </row>
    <row r="80" spans="3:8" x14ac:dyDescent="0.2">
      <c r="C80" s="200" t="str">
        <f>'CF (Funds)'!B27</f>
        <v>North Summit Capital Fund</v>
      </c>
      <c r="D80" s="201" t="s">
        <v>53</v>
      </c>
      <c r="E80" s="300">
        <f>'CF (Funds)'!C27</f>
        <v>44196</v>
      </c>
      <c r="F80" s="202" t="str">
        <f t="shared" si="56"/>
        <v>Q4 2020</v>
      </c>
      <c r="G80" s="203">
        <f>'CF (Funds)'!D27</f>
        <v>4.9749999999999996</v>
      </c>
      <c r="H80" s="203">
        <f>'CF (Funds)'!E27</f>
        <v>0</v>
      </c>
    </row>
    <row r="81" spans="3:8" x14ac:dyDescent="0.2">
      <c r="C81" s="200" t="str">
        <f>'CF (Funds)'!B28</f>
        <v>North Summit Capital Fund</v>
      </c>
      <c r="D81" s="201" t="s">
        <v>53</v>
      </c>
      <c r="E81" s="300">
        <f>'CF (Funds)'!C28</f>
        <v>44196</v>
      </c>
      <c r="F81" s="202" t="str">
        <f t="shared" si="56"/>
        <v>Q4 2020</v>
      </c>
      <c r="G81" s="203">
        <f>'CF (Funds)'!D28</f>
        <v>-3.4522930000000001</v>
      </c>
      <c r="H81" s="203">
        <f>'CF (Funds)'!E28</f>
        <v>0</v>
      </c>
    </row>
    <row r="82" spans="3:8" x14ac:dyDescent="0.2">
      <c r="C82" s="200" t="str">
        <f>'CF (Funds)'!B29</f>
        <v>North Summit Capital Fund</v>
      </c>
      <c r="D82" s="201" t="s">
        <v>53</v>
      </c>
      <c r="E82" s="300">
        <f>'CF (Funds)'!C29</f>
        <v>44196</v>
      </c>
      <c r="F82" s="202" t="str">
        <f t="shared" si="56"/>
        <v>Q4 2020</v>
      </c>
      <c r="G82" s="203">
        <f>'CF (Funds)'!D29</f>
        <v>0</v>
      </c>
      <c r="H82" s="203">
        <f>'CF (Funds)'!E29</f>
        <v>0.58290199999999992</v>
      </c>
    </row>
    <row r="83" spans="3:8" x14ac:dyDescent="0.2">
      <c r="C83" s="200" t="str">
        <f>'CF (Funds)'!B30</f>
        <v>North Summit Capital Fund</v>
      </c>
      <c r="D83" s="201" t="s">
        <v>53</v>
      </c>
      <c r="E83" s="300">
        <f>'CF (Funds)'!C30</f>
        <v>44370</v>
      </c>
      <c r="F83" s="202" t="str">
        <f t="shared" si="56"/>
        <v>Q2 2021</v>
      </c>
      <c r="G83" s="203">
        <f>'CF (Funds)'!D30</f>
        <v>-5.97</v>
      </c>
      <c r="H83" s="203">
        <f>'CF (Funds)'!E30</f>
        <v>0</v>
      </c>
    </row>
    <row r="84" spans="3:8" x14ac:dyDescent="0.2">
      <c r="C84" s="200" t="str">
        <f>'CF (Funds)'!B31</f>
        <v>North Summit Capital Fund</v>
      </c>
      <c r="D84" s="201" t="s">
        <v>53</v>
      </c>
      <c r="E84" s="300">
        <f>'CF (Funds)'!C31</f>
        <v>44400</v>
      </c>
      <c r="F84" s="202" t="str">
        <f t="shared" si="56"/>
        <v>Q3 2021</v>
      </c>
      <c r="G84" s="203">
        <f>'CF (Funds)'!D31</f>
        <v>-0.75</v>
      </c>
      <c r="H84" s="203">
        <f>'CF (Funds)'!E31</f>
        <v>0</v>
      </c>
    </row>
    <row r="85" spans="3:8" x14ac:dyDescent="0.2">
      <c r="C85" s="200" t="str">
        <f>'CF (Funds)'!B32</f>
        <v>North Summit Capital Fund</v>
      </c>
      <c r="D85" s="201" t="s">
        <v>53</v>
      </c>
      <c r="E85" s="300">
        <f>'CF (Funds)'!C32</f>
        <v>44400</v>
      </c>
      <c r="F85" s="202" t="str">
        <f t="shared" si="56"/>
        <v>Q3 2021</v>
      </c>
      <c r="G85" s="203">
        <f>'CF (Funds)'!D32</f>
        <v>0</v>
      </c>
      <c r="H85" s="203">
        <f>'CF (Funds)'!E32</f>
        <v>0.44505899999999998</v>
      </c>
    </row>
    <row r="86" spans="3:8" x14ac:dyDescent="0.2">
      <c r="C86" s="200" t="str">
        <f>'CF (Funds)'!B33</f>
        <v>North Summit Capital Fund</v>
      </c>
      <c r="D86" s="201" t="s">
        <v>53</v>
      </c>
      <c r="E86" s="300">
        <f>'CF (Funds)'!C33</f>
        <v>44554</v>
      </c>
      <c r="F86" s="202" t="str">
        <f t="shared" si="56"/>
        <v>Q4 2021</v>
      </c>
      <c r="G86" s="203">
        <f>'CF (Funds)'!D33</f>
        <v>1.7823899999999999</v>
      </c>
      <c r="H86" s="203">
        <f>'CF (Funds)'!E33</f>
        <v>0</v>
      </c>
    </row>
    <row r="87" spans="3:8" x14ac:dyDescent="0.2">
      <c r="C87" s="200" t="str">
        <f>'CF (Funds)'!B34</f>
        <v>North Summit Capital Fund</v>
      </c>
      <c r="D87" s="201" t="s">
        <v>53</v>
      </c>
      <c r="E87" s="300">
        <f>'CF (Funds)'!C34</f>
        <v>44676</v>
      </c>
      <c r="F87" s="202" t="str">
        <f t="shared" si="56"/>
        <v>Q2 2022</v>
      </c>
      <c r="G87" s="203">
        <f>'CF (Funds)'!D34</f>
        <v>-21</v>
      </c>
      <c r="H87" s="203">
        <f>'CF (Funds)'!E34</f>
        <v>0</v>
      </c>
    </row>
    <row r="88" spans="3:8" x14ac:dyDescent="0.2">
      <c r="C88" s="196" t="str">
        <f>'CF (Funds)'!B36</f>
        <v>New Space Capital Fund I</v>
      </c>
      <c r="D88" s="197" t="s">
        <v>53</v>
      </c>
      <c r="E88" s="301">
        <f>'CF (Funds)'!C36</f>
        <v>44087</v>
      </c>
      <c r="F88" s="198" t="str">
        <f t="shared" si="56"/>
        <v>Q3 2020</v>
      </c>
      <c r="G88" s="199">
        <f>'CF (Funds)'!D36</f>
        <v>-20.917552997000001</v>
      </c>
      <c r="H88" s="199">
        <f>'CF (Funds)'!E36</f>
        <v>0</v>
      </c>
    </row>
    <row r="89" spans="3:8" x14ac:dyDescent="0.2">
      <c r="C89" s="196" t="str">
        <f>'CF (Funds)'!B37</f>
        <v>New Space Capital Fund I</v>
      </c>
      <c r="D89" s="197" t="s">
        <v>53</v>
      </c>
      <c r="E89" s="301">
        <f>'CF (Funds)'!C37</f>
        <v>44287</v>
      </c>
      <c r="F89" s="198" t="str">
        <f t="shared" si="56"/>
        <v>Q2 2021</v>
      </c>
      <c r="G89" s="199">
        <f>'CF (Funds)'!D37</f>
        <v>-0.21103182000000001</v>
      </c>
      <c r="H89" s="199">
        <f>'CF (Funds)'!E37</f>
        <v>0</v>
      </c>
    </row>
    <row r="90" spans="3:8" x14ac:dyDescent="0.2">
      <c r="C90" s="196" t="str">
        <f>'CF (Funds)'!B38</f>
        <v>New Space Capital Fund I</v>
      </c>
      <c r="D90" s="197" t="s">
        <v>53</v>
      </c>
      <c r="E90" s="301">
        <f>'CF (Funds)'!C38</f>
        <v>44442</v>
      </c>
      <c r="F90" s="198" t="str">
        <f t="shared" si="56"/>
        <v>Q3 2021</v>
      </c>
      <c r="G90" s="199">
        <f>'CF (Funds)'!D38</f>
        <v>-0.23965473139999999</v>
      </c>
      <c r="H90" s="199">
        <f>'CF (Funds)'!E38</f>
        <v>0</v>
      </c>
    </row>
    <row r="91" spans="3:8" x14ac:dyDescent="0.2">
      <c r="C91" s="196" t="str">
        <f>'CF (Funds)'!B39</f>
        <v>New Space Capital Fund I</v>
      </c>
      <c r="D91" s="197" t="s">
        <v>53</v>
      </c>
      <c r="E91" s="301">
        <f>'CF (Funds)'!C39</f>
        <v>44623</v>
      </c>
      <c r="F91" s="198" t="str">
        <f t="shared" si="56"/>
        <v>Q1 2022</v>
      </c>
      <c r="G91" s="199">
        <f>'CF (Funds)'!D39</f>
        <v>-0.25893584940000003</v>
      </c>
      <c r="H91" s="199">
        <f>'CF (Funds)'!E39</f>
        <v>0</v>
      </c>
    </row>
    <row r="92" spans="3:8" x14ac:dyDescent="0.2">
      <c r="C92" s="196" t="str">
        <f>'CF (Funds)'!B40</f>
        <v>New Space Capital Fund I</v>
      </c>
      <c r="D92" s="197" t="s">
        <v>53</v>
      </c>
      <c r="E92" s="301">
        <f>'CF (Funds)'!C40</f>
        <v>44784</v>
      </c>
      <c r="F92" s="198" t="str">
        <f t="shared" si="56"/>
        <v>Q3 2022</v>
      </c>
      <c r="G92" s="199">
        <f>'CF (Funds)'!D40</f>
        <v>1.5224656599999999E-2</v>
      </c>
      <c r="H92" s="199">
        <f>'CF (Funds)'!E40</f>
        <v>0</v>
      </c>
    </row>
    <row r="93" spans="3:8" x14ac:dyDescent="0.2">
      <c r="C93" s="196" t="str">
        <f>'CF (Funds)'!B41</f>
        <v>New Space Capital Fund I</v>
      </c>
      <c r="D93" s="197" t="s">
        <v>53</v>
      </c>
      <c r="E93" s="301">
        <f>'CF (Funds)'!C41</f>
        <v>44956</v>
      </c>
      <c r="F93" s="198" t="str">
        <f t="shared" ref="F93" si="57">"Q"&amp;ROUNDUP(MONTH(E93)/3,0)&amp;" "&amp;YEAR(E93)</f>
        <v>Q1 2023</v>
      </c>
      <c r="G93" s="199">
        <f>'CF (Funds)'!D41</f>
        <v>10.553916089669999</v>
      </c>
      <c r="H93" s="199">
        <f>'CF (Funds)'!E41</f>
        <v>0</v>
      </c>
    </row>
    <row r="94" spans="3:8" x14ac:dyDescent="0.2">
      <c r="C94" s="196" t="str">
        <f>'CF (Funds)'!B42</f>
        <v>New Space Capital Fund I</v>
      </c>
      <c r="D94" s="197" t="s">
        <v>53</v>
      </c>
      <c r="E94" s="301">
        <f>'CF (Funds)'!C42</f>
        <v>44956</v>
      </c>
      <c r="F94" s="198" t="str">
        <f t="shared" ref="F94" si="58">"Q"&amp;ROUNDUP(MONTH(E94)/3,0)&amp;" "&amp;YEAR(E94)</f>
        <v>Q1 2023</v>
      </c>
      <c r="G94" s="199">
        <f>'CF (Funds)'!D42</f>
        <v>0</v>
      </c>
      <c r="H94" s="199">
        <f>'CF (Funds)'!E42</f>
        <v>2.9557743514081998</v>
      </c>
    </row>
    <row r="95" spans="3:8" x14ac:dyDescent="0.2">
      <c r="C95" s="196" t="str">
        <f>'CF (Funds)'!B46</f>
        <v>New Space Capital GP Com SCSp</v>
      </c>
      <c r="D95" s="197" t="s">
        <v>53</v>
      </c>
      <c r="E95" s="301">
        <f>'CF (Funds)'!C46</f>
        <v>44087</v>
      </c>
      <c r="F95" s="198" t="str">
        <f>"Q"&amp;ROUNDUP(MONTH(E95)/3,0)&amp;" "&amp;YEAR(E95)</f>
        <v>Q3 2020</v>
      </c>
      <c r="G95" s="199">
        <f>'CF (Funds)'!D46</f>
        <v>-2.7058823529411762</v>
      </c>
      <c r="H95" s="199">
        <f>'CF (Funds)'!E46</f>
        <v>0</v>
      </c>
    </row>
    <row r="96" spans="3:8" x14ac:dyDescent="0.2">
      <c r="C96" s="200" t="str">
        <f>'CF (Funds)'!B47</f>
        <v>Acies Investments Fund I, L.P.</v>
      </c>
      <c r="D96" s="201" t="s">
        <v>53</v>
      </c>
      <c r="E96" s="300">
        <f>'CF (Funds)'!C47</f>
        <v>44540</v>
      </c>
      <c r="F96" s="202" t="str">
        <f>"Q"&amp;ROUNDUP(MONTH(E96)/3,0)&amp;" "&amp;YEAR(E96)</f>
        <v>Q4 2021</v>
      </c>
      <c r="G96" s="203">
        <f>'CF (Funds)'!D47</f>
        <v>-2.8053124999999999</v>
      </c>
      <c r="H96" s="203">
        <f>'CF (Funds)'!E47</f>
        <v>0</v>
      </c>
    </row>
    <row r="97" spans="3:8" x14ac:dyDescent="0.2">
      <c r="C97" s="200" t="str">
        <f>'CF (Funds)'!B48</f>
        <v>Acies Investments Fund I, L.P.</v>
      </c>
      <c r="D97" s="201" t="s">
        <v>53</v>
      </c>
      <c r="E97" s="300">
        <f>'CF (Funds)'!C48</f>
        <v>44602</v>
      </c>
      <c r="F97" s="202" t="str">
        <f>"Q"&amp;ROUNDUP(MONTH(E97)/3,0)&amp;" "&amp;YEAR(E97)</f>
        <v>Q1 2022</v>
      </c>
      <c r="G97" s="203">
        <f>'CF (Funds)'!D48</f>
        <v>-3.4074999999999998</v>
      </c>
      <c r="H97" s="203">
        <f>'CF (Funds)'!E48</f>
        <v>0</v>
      </c>
    </row>
    <row r="98" spans="3:8" x14ac:dyDescent="0.2">
      <c r="C98" s="200" t="str">
        <f>'CF (Funds)'!B49</f>
        <v>Acies Investments Fund I, L.P.</v>
      </c>
      <c r="D98" s="201" t="s">
        <v>53</v>
      </c>
      <c r="E98" s="300">
        <f>'CF (Funds)'!C49</f>
        <v>44683</v>
      </c>
      <c r="F98" s="202" t="str">
        <f>"Q"&amp;ROUNDUP(MONTH(E98)/3,0)&amp;" "&amp;YEAR(E98)</f>
        <v>Q2 2022</v>
      </c>
      <c r="G98" s="203">
        <f>'CF (Funds)'!D49</f>
        <v>-1.0257749999999999</v>
      </c>
      <c r="H98" s="203">
        <f>'CF (Funds)'!E49</f>
        <v>0</v>
      </c>
    </row>
    <row r="99" spans="3:8" x14ac:dyDescent="0.2">
      <c r="C99" s="200" t="str">
        <f>'CF (Funds)'!B50</f>
        <v>Acies Investments Fund I, L.P.</v>
      </c>
      <c r="D99" s="201" t="s">
        <v>53</v>
      </c>
      <c r="E99" s="300">
        <f>'CF (Funds)'!C50</f>
        <v>44707</v>
      </c>
      <c r="F99" s="202" t="str">
        <f t="shared" ref="F99" si="59">"Q"&amp;ROUNDUP(MONTH(E99)/3,0)&amp;" "&amp;YEAR(E99)</f>
        <v>Q2 2022</v>
      </c>
      <c r="G99" s="203">
        <f>'CF (Funds)'!D50</f>
        <v>-3.3882749999999997</v>
      </c>
      <c r="H99" s="203">
        <f>'CF (Funds)'!E50</f>
        <v>0</v>
      </c>
    </row>
    <row r="100" spans="3:8" x14ac:dyDescent="0.2">
      <c r="C100" s="200" t="str">
        <f>'CF (Funds)'!B51</f>
        <v>Acies Investments Fund I, L.P.</v>
      </c>
      <c r="D100" s="201" t="s">
        <v>53</v>
      </c>
      <c r="E100" s="300">
        <f>'CF (Funds)'!C51</f>
        <v>44875</v>
      </c>
      <c r="F100" s="202" t="str">
        <f t="shared" ref="F100" si="60">"Q"&amp;ROUNDUP(MONTH(E100)/3,0)&amp;" "&amp;YEAR(E100)</f>
        <v>Q4 2022</v>
      </c>
      <c r="G100" s="203">
        <f>'CF (Funds)'!D51</f>
        <v>-3.3882749999999997</v>
      </c>
      <c r="H100" s="203">
        <f>'CF (Funds)'!E51</f>
        <v>0</v>
      </c>
    </row>
    <row r="101" spans="3:8" x14ac:dyDescent="0.2">
      <c r="E101" s="302"/>
    </row>
    <row r="102" spans="3:8" x14ac:dyDescent="0.2">
      <c r="E102" s="302"/>
    </row>
    <row r="103" spans="3:8" x14ac:dyDescent="0.2">
      <c r="E103" s="302"/>
    </row>
    <row r="104" spans="3:8" x14ac:dyDescent="0.2">
      <c r="E104" s="302"/>
    </row>
    <row r="105" spans="3:8" x14ac:dyDescent="0.2">
      <c r="E105" s="302"/>
    </row>
    <row r="106" spans="3:8" x14ac:dyDescent="0.2">
      <c r="E106" s="302"/>
    </row>
    <row r="107" spans="3:8" x14ac:dyDescent="0.2">
      <c r="E107" s="302"/>
    </row>
    <row r="108" spans="3:8" x14ac:dyDescent="0.2">
      <c r="E108" s="302"/>
    </row>
    <row r="109" spans="3:8" x14ac:dyDescent="0.2">
      <c r="E109" s="302"/>
    </row>
    <row r="110" spans="3:8" x14ac:dyDescent="0.2">
      <c r="E110" s="302"/>
    </row>
    <row r="111" spans="3:8" x14ac:dyDescent="0.2">
      <c r="E111" s="302"/>
    </row>
    <row r="112" spans="3:8" x14ac:dyDescent="0.2">
      <c r="E112" s="302"/>
    </row>
    <row r="113" spans="5:5" x14ac:dyDescent="0.2">
      <c r="E113" s="302"/>
    </row>
    <row r="114" spans="5:5" x14ac:dyDescent="0.2">
      <c r="E114" s="302"/>
    </row>
    <row r="115" spans="5:5" x14ac:dyDescent="0.2">
      <c r="E115" s="302"/>
    </row>
    <row r="116" spans="5:5" x14ac:dyDescent="0.2">
      <c r="E116" s="302"/>
    </row>
    <row r="117" spans="5:5" x14ac:dyDescent="0.2">
      <c r="E117" s="302"/>
    </row>
    <row r="118" spans="5:5" x14ac:dyDescent="0.2">
      <c r="E118" s="302"/>
    </row>
    <row r="119" spans="5:5" x14ac:dyDescent="0.2">
      <c r="E119" s="302"/>
    </row>
    <row r="120" spans="5:5" x14ac:dyDescent="0.2">
      <c r="E120" s="302"/>
    </row>
    <row r="121" spans="5:5" x14ac:dyDescent="0.2">
      <c r="E121" s="302"/>
    </row>
    <row r="122" spans="5:5" x14ac:dyDescent="0.2">
      <c r="E122" s="302"/>
    </row>
    <row r="123" spans="5:5" x14ac:dyDescent="0.2">
      <c r="E123" s="302"/>
    </row>
    <row r="124" spans="5:5" x14ac:dyDescent="0.2">
      <c r="E124" s="302"/>
    </row>
    <row r="125" spans="5:5" x14ac:dyDescent="0.2">
      <c r="E125" s="302"/>
    </row>
    <row r="126" spans="5:5" x14ac:dyDescent="0.2">
      <c r="E126" s="302"/>
    </row>
    <row r="127" spans="5:5" x14ac:dyDescent="0.2">
      <c r="E127" s="302"/>
    </row>
    <row r="128" spans="5:5" x14ac:dyDescent="0.2">
      <c r="E128" s="302"/>
    </row>
    <row r="129" spans="5:5" x14ac:dyDescent="0.2">
      <c r="E129" s="302"/>
    </row>
    <row r="130" spans="5:5" x14ac:dyDescent="0.2">
      <c r="E130" s="302"/>
    </row>
    <row r="131" spans="5:5" x14ac:dyDescent="0.2">
      <c r="E131" s="302"/>
    </row>
    <row r="132" spans="5:5" x14ac:dyDescent="0.2">
      <c r="E132" s="302"/>
    </row>
    <row r="133" spans="5:5" x14ac:dyDescent="0.2">
      <c r="E133" s="302"/>
    </row>
    <row r="134" spans="5:5" x14ac:dyDescent="0.2">
      <c r="E134" s="302"/>
    </row>
    <row r="135" spans="5:5" x14ac:dyDescent="0.2">
      <c r="E135" s="302"/>
    </row>
    <row r="136" spans="5:5" x14ac:dyDescent="0.2">
      <c r="E136" s="302"/>
    </row>
    <row r="137" spans="5:5" x14ac:dyDescent="0.2">
      <c r="E137" s="302"/>
    </row>
    <row r="138" spans="5:5" x14ac:dyDescent="0.2">
      <c r="E138" s="302"/>
    </row>
    <row r="139" spans="5:5" x14ac:dyDescent="0.2">
      <c r="E139" s="302"/>
    </row>
    <row r="140" spans="5:5" x14ac:dyDescent="0.2">
      <c r="E140" s="302"/>
    </row>
    <row r="141" spans="5:5" x14ac:dyDescent="0.2">
      <c r="E141" s="302"/>
    </row>
    <row r="142" spans="5:5" x14ac:dyDescent="0.2">
      <c r="E142" s="302"/>
    </row>
    <row r="143" spans="5:5" x14ac:dyDescent="0.2">
      <c r="E143" s="302"/>
    </row>
    <row r="144" spans="5:5" x14ac:dyDescent="0.2">
      <c r="E144" s="302"/>
    </row>
    <row r="145" spans="5:5" x14ac:dyDescent="0.2">
      <c r="E145" s="302"/>
    </row>
    <row r="146" spans="5:5" x14ac:dyDescent="0.2">
      <c r="E146" s="302"/>
    </row>
    <row r="147" spans="5:5" x14ac:dyDescent="0.2">
      <c r="E147" s="302"/>
    </row>
    <row r="148" spans="5:5" x14ac:dyDescent="0.2">
      <c r="E148" s="302"/>
    </row>
    <row r="149" spans="5:5" x14ac:dyDescent="0.2">
      <c r="E149" s="302"/>
    </row>
  </sheetData>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B2:R67"/>
  <sheetViews>
    <sheetView zoomScale="85" zoomScaleNormal="85" workbookViewId="0">
      <selection activeCell="P29" sqref="P29"/>
    </sheetView>
  </sheetViews>
  <sheetFormatPr defaultColWidth="9.140625" defaultRowHeight="15" x14ac:dyDescent="0.25"/>
  <cols>
    <col min="1" max="1" width="9.140625" style="26"/>
    <col min="2" max="2" width="2.42578125" style="26" customWidth="1"/>
    <col min="3" max="3" width="29.85546875" style="26" customWidth="1"/>
    <col min="4" max="4" width="26.5703125" style="27" customWidth="1"/>
    <col min="5" max="5" width="32.140625" style="27" bestFit="1" customWidth="1"/>
    <col min="6" max="7" width="12.7109375" style="26" bestFit="1" customWidth="1"/>
    <col min="8" max="8" width="65.28515625" style="26" bestFit="1" customWidth="1"/>
    <col min="9" max="11" width="13.140625" style="26" bestFit="1" customWidth="1"/>
    <col min="12" max="12" width="12.7109375" style="26" bestFit="1" customWidth="1"/>
    <col min="13" max="13" width="10.28515625" style="26" bestFit="1" customWidth="1"/>
    <col min="14" max="14" width="13.5703125" style="26" bestFit="1" customWidth="1"/>
    <col min="15" max="15" width="12.7109375" style="26" bestFit="1" customWidth="1"/>
    <col min="16" max="18" width="13.140625" style="26" bestFit="1" customWidth="1"/>
    <col min="19" max="16384" width="9.140625" style="26"/>
  </cols>
  <sheetData>
    <row r="2" spans="2:18" x14ac:dyDescent="0.25">
      <c r="C2" s="26" t="s">
        <v>449</v>
      </c>
    </row>
    <row r="5" spans="2:18" x14ac:dyDescent="0.25">
      <c r="F5" s="473"/>
    </row>
    <row r="6" spans="2:18" x14ac:dyDescent="0.25">
      <c r="H6" s="37" t="s">
        <v>539</v>
      </c>
      <c r="J6" s="27"/>
      <c r="O6" s="27"/>
      <c r="P6" s="27"/>
      <c r="Q6" s="27"/>
      <c r="R6" s="27"/>
    </row>
    <row r="7" spans="2:18" x14ac:dyDescent="0.25">
      <c r="J7" s="27"/>
      <c r="K7" s="27"/>
      <c r="L7" s="27"/>
      <c r="M7" s="27"/>
      <c r="N7" s="27"/>
      <c r="O7" s="27"/>
      <c r="P7" s="27"/>
      <c r="Q7" s="27"/>
      <c r="R7" s="27"/>
    </row>
    <row r="8" spans="2:18" x14ac:dyDescent="0.25">
      <c r="J8" s="265">
        <v>44442</v>
      </c>
      <c r="L8" s="265">
        <v>44623</v>
      </c>
      <c r="M8" s="265">
        <v>44784</v>
      </c>
      <c r="N8" s="265">
        <v>44956</v>
      </c>
      <c r="O8" s="27"/>
      <c r="P8" s="27"/>
      <c r="Q8" s="27"/>
      <c r="R8" s="27"/>
    </row>
    <row r="9" spans="2:18" ht="15.75" thickBot="1" x14ac:dyDescent="0.3">
      <c r="J9" s="27"/>
      <c r="K9" s="27"/>
      <c r="L9" s="27"/>
      <c r="M9" s="27"/>
      <c r="N9" s="27"/>
      <c r="O9" s="27"/>
      <c r="P9" s="27"/>
      <c r="Q9" s="27"/>
      <c r="R9" s="27"/>
    </row>
    <row r="10" spans="2:18" x14ac:dyDescent="0.25">
      <c r="B10" s="474"/>
      <c r="C10" s="475"/>
      <c r="D10" s="476"/>
      <c r="E10" s="476"/>
      <c r="F10" s="477"/>
      <c r="H10" s="585" t="s">
        <v>140</v>
      </c>
      <c r="I10" s="585"/>
      <c r="J10" s="586" t="s">
        <v>541</v>
      </c>
      <c r="K10" s="586" t="s">
        <v>542</v>
      </c>
      <c r="L10" s="586" t="s">
        <v>543</v>
      </c>
      <c r="M10" s="586"/>
      <c r="N10" s="586" t="s">
        <v>544</v>
      </c>
      <c r="O10" s="586" t="s">
        <v>529</v>
      </c>
      <c r="P10" s="586" t="s">
        <v>531</v>
      </c>
      <c r="Q10" s="586" t="s">
        <v>532</v>
      </c>
      <c r="R10" s="586" t="s">
        <v>533</v>
      </c>
    </row>
    <row r="11" spans="2:18" x14ac:dyDescent="0.25">
      <c r="B11" s="478"/>
      <c r="C11" s="479" t="s">
        <v>385</v>
      </c>
      <c r="D11" s="480"/>
      <c r="E11" s="480"/>
      <c r="F11" s="481"/>
      <c r="H11" s="26" t="s">
        <v>538</v>
      </c>
      <c r="J11" s="494">
        <v>44442</v>
      </c>
      <c r="K11" s="587">
        <v>44512</v>
      </c>
      <c r="L11" s="494">
        <v>44623</v>
      </c>
      <c r="M11" s="494"/>
      <c r="N11" s="494">
        <v>44950</v>
      </c>
      <c r="O11" s="494">
        <v>45007</v>
      </c>
      <c r="P11" s="494">
        <v>45170</v>
      </c>
      <c r="Q11" s="494">
        <v>45260</v>
      </c>
      <c r="R11" s="494">
        <v>45306</v>
      </c>
    </row>
    <row r="12" spans="2:18" x14ac:dyDescent="0.25">
      <c r="B12" s="478"/>
      <c r="C12" s="479" t="s">
        <v>52</v>
      </c>
      <c r="D12" s="482" t="s">
        <v>125</v>
      </c>
      <c r="E12" s="482" t="s">
        <v>383</v>
      </c>
      <c r="F12" s="481"/>
      <c r="H12" s="37" t="s">
        <v>530</v>
      </c>
      <c r="J12" s="418">
        <v>19015957.27</v>
      </c>
      <c r="K12" s="418">
        <v>23513942</v>
      </c>
      <c r="L12" s="418">
        <v>23513942</v>
      </c>
      <c r="M12" s="418"/>
      <c r="N12" s="418">
        <v>23234461.870000001</v>
      </c>
      <c r="O12" s="418">
        <v>23234461.870000001</v>
      </c>
      <c r="P12" s="418">
        <v>23234461.870000001</v>
      </c>
      <c r="Q12" s="418">
        <v>23234461.870000001</v>
      </c>
      <c r="R12" s="418">
        <v>23234461.870000001</v>
      </c>
    </row>
    <row r="13" spans="2:18" x14ac:dyDescent="0.25">
      <c r="B13" s="478"/>
      <c r="C13" s="483" t="s">
        <v>25</v>
      </c>
      <c r="D13" s="484" t="s">
        <v>79</v>
      </c>
      <c r="E13" s="484" t="s">
        <v>79</v>
      </c>
      <c r="F13" s="481"/>
      <c r="H13" s="26" t="s">
        <v>540</v>
      </c>
      <c r="J13" s="418">
        <v>19226989.09</v>
      </c>
      <c r="K13" s="418">
        <v>19415305.100000001</v>
      </c>
      <c r="L13" s="418">
        <v>19365157.890000001</v>
      </c>
      <c r="M13" s="418"/>
      <c r="N13" s="418"/>
      <c r="O13" s="27"/>
      <c r="P13" s="418">
        <v>9566817.3300000001</v>
      </c>
      <c r="Q13" s="418">
        <v>9834193.4100000001</v>
      </c>
      <c r="R13" s="418">
        <v>10093474.140000001</v>
      </c>
    </row>
    <row r="14" spans="2:18" x14ac:dyDescent="0.25">
      <c r="B14" s="478"/>
      <c r="C14" s="473" t="s">
        <v>31</v>
      </c>
      <c r="D14" s="480" t="s">
        <v>11</v>
      </c>
      <c r="E14" s="485" t="s">
        <v>11</v>
      </c>
      <c r="F14" s="481"/>
      <c r="H14" s="26" t="s">
        <v>545</v>
      </c>
      <c r="J14" s="418"/>
      <c r="K14" s="418">
        <v>4098636.9</v>
      </c>
      <c r="L14" s="418">
        <v>4148784.11</v>
      </c>
      <c r="M14" s="418"/>
      <c r="N14" s="418">
        <v>15865093.23</v>
      </c>
      <c r="O14" s="418">
        <v>15675627.199999999</v>
      </c>
      <c r="P14" s="418">
        <v>13667644.539999999</v>
      </c>
      <c r="Q14" s="418">
        <v>13400268.460000001</v>
      </c>
      <c r="R14" s="418">
        <v>13140987.73</v>
      </c>
    </row>
    <row r="15" spans="2:18" x14ac:dyDescent="0.25">
      <c r="B15" s="478"/>
      <c r="C15" s="473" t="s">
        <v>381</v>
      </c>
      <c r="D15" s="480">
        <v>2020</v>
      </c>
      <c r="E15" s="485">
        <v>2020</v>
      </c>
      <c r="F15" s="481"/>
      <c r="H15" s="26" t="s">
        <v>534</v>
      </c>
      <c r="J15" s="418"/>
      <c r="K15" s="418"/>
      <c r="L15" s="418"/>
      <c r="M15" s="418"/>
      <c r="N15" s="418">
        <v>-12659067.07</v>
      </c>
      <c r="O15" s="27"/>
      <c r="P15" s="418"/>
      <c r="Q15" s="418"/>
      <c r="R15" s="418"/>
    </row>
    <row r="16" spans="2:18" x14ac:dyDescent="0.25">
      <c r="B16" s="478"/>
      <c r="C16" s="473" t="s">
        <v>36</v>
      </c>
      <c r="D16" s="480" t="s">
        <v>55</v>
      </c>
      <c r="E16" s="485" t="s">
        <v>382</v>
      </c>
      <c r="F16" s="481"/>
      <c r="H16" s="26" t="s">
        <v>169</v>
      </c>
      <c r="J16" s="418"/>
      <c r="K16" s="418"/>
      <c r="L16" s="418"/>
      <c r="M16" s="418"/>
      <c r="N16" s="418"/>
      <c r="O16" s="418">
        <v>-2067567.04</v>
      </c>
      <c r="P16" s="418"/>
      <c r="Q16" s="418"/>
      <c r="R16" s="418"/>
    </row>
    <row r="17" spans="2:18" x14ac:dyDescent="0.25">
      <c r="B17" s="478"/>
      <c r="C17" s="473" t="s">
        <v>54</v>
      </c>
      <c r="D17" s="480" t="s">
        <v>131</v>
      </c>
      <c r="E17" s="485" t="s">
        <v>131</v>
      </c>
      <c r="F17" s="481"/>
      <c r="H17" s="26" t="s">
        <v>535</v>
      </c>
      <c r="J17" s="418"/>
      <c r="K17" s="418"/>
      <c r="L17" s="418"/>
      <c r="M17" s="418"/>
      <c r="N17" s="418"/>
      <c r="O17" s="418">
        <v>13608060.16</v>
      </c>
      <c r="P17" s="27"/>
      <c r="Q17" s="27"/>
      <c r="R17" s="27"/>
    </row>
    <row r="18" spans="2:18" x14ac:dyDescent="0.25">
      <c r="B18" s="478"/>
      <c r="C18" s="473" t="s">
        <v>32</v>
      </c>
      <c r="D18" s="486">
        <v>27.691912952877303</v>
      </c>
      <c r="E18" s="487">
        <v>2.7058823529411762</v>
      </c>
      <c r="F18" s="481"/>
      <c r="J18" s="418"/>
      <c r="K18" s="418"/>
      <c r="L18" s="418"/>
      <c r="M18" s="418"/>
      <c r="N18" s="418"/>
      <c r="O18" s="418"/>
      <c r="P18" s="27"/>
      <c r="Q18" s="27"/>
      <c r="R18" s="27"/>
    </row>
    <row r="19" spans="2:18" x14ac:dyDescent="0.25">
      <c r="B19" s="478"/>
      <c r="C19" s="473" t="s">
        <v>2</v>
      </c>
      <c r="D19" s="486">
        <v>11.058034651530003</v>
      </c>
      <c r="E19" s="487">
        <v>2.7058823529411762</v>
      </c>
      <c r="F19" s="481"/>
      <c r="J19" s="418"/>
      <c r="K19" s="418"/>
      <c r="L19" s="418"/>
      <c r="M19" s="418"/>
      <c r="N19" s="418"/>
      <c r="O19" s="418"/>
      <c r="P19" s="27"/>
      <c r="Q19" s="27"/>
      <c r="R19" s="27"/>
    </row>
    <row r="20" spans="2:18" x14ac:dyDescent="0.25">
      <c r="B20" s="478"/>
      <c r="C20" s="473" t="s">
        <v>51</v>
      </c>
      <c r="D20" s="486">
        <v>16.633878301347298</v>
      </c>
      <c r="E20" s="487">
        <v>0</v>
      </c>
      <c r="F20" s="481"/>
      <c r="H20" s="26" t="s">
        <v>97</v>
      </c>
      <c r="J20" s="27"/>
      <c r="K20" s="27"/>
      <c r="L20" s="27"/>
      <c r="M20" s="27"/>
      <c r="N20" s="418">
        <f>N14-N24</f>
        <v>189466.01999999955</v>
      </c>
      <c r="O20" s="418">
        <f>O17-O24</f>
        <v>-59584.379999998957</v>
      </c>
      <c r="P20" s="418">
        <f>P14-P24</f>
        <v>267376.07999999821</v>
      </c>
      <c r="Q20" s="418">
        <f>Q14-Q24</f>
        <v>259280.73000000045</v>
      </c>
      <c r="R20" s="418">
        <f>R14-R24</f>
        <v>2203896.6500000004</v>
      </c>
    </row>
    <row r="21" spans="2:18" x14ac:dyDescent="0.25">
      <c r="B21" s="478"/>
      <c r="C21" s="473" t="s">
        <v>33</v>
      </c>
      <c r="D21" s="486">
        <v>2.9557743514082002</v>
      </c>
      <c r="E21" s="487">
        <v>0</v>
      </c>
      <c r="F21" s="481"/>
      <c r="H21" s="26" t="s">
        <v>173</v>
      </c>
      <c r="J21" s="27"/>
      <c r="K21" s="27"/>
      <c r="L21" s="27"/>
      <c r="M21" s="27"/>
      <c r="N21" s="418">
        <f>-N22+N20</f>
        <v>12659067.039999999</v>
      </c>
      <c r="O21" s="418">
        <f>-O22+O20</f>
        <v>1.0404619388282299E-9</v>
      </c>
      <c r="P21" s="418">
        <f>-P22+P20</f>
        <v>59584.3799999982</v>
      </c>
      <c r="Q21" s="418">
        <f>-Q22+Q20</f>
        <v>4.3655745685100555E-10</v>
      </c>
      <c r="R21" s="418">
        <f>-R22+R20</f>
        <v>0</v>
      </c>
    </row>
    <row r="22" spans="2:18" x14ac:dyDescent="0.25">
      <c r="B22" s="478"/>
      <c r="C22" s="473" t="s">
        <v>27</v>
      </c>
      <c r="D22" s="486">
        <f>NAV!E41</f>
        <v>13.277944663100001</v>
      </c>
      <c r="E22" s="487">
        <f>E19*D22/D19</f>
        <v>3.2490905734538145</v>
      </c>
      <c r="F22" s="481"/>
      <c r="H22" s="588" t="s">
        <v>616</v>
      </c>
      <c r="I22" s="588"/>
      <c r="J22" s="589">
        <v>203097.23</v>
      </c>
      <c r="K22" s="589">
        <v>-444437.06</v>
      </c>
      <c r="L22" s="589">
        <v>233275.54</v>
      </c>
      <c r="M22" s="589"/>
      <c r="N22" s="589">
        <v>-12469601.02</v>
      </c>
      <c r="O22" s="589">
        <v>-59584.38</v>
      </c>
      <c r="P22" s="589">
        <v>207791.7</v>
      </c>
      <c r="Q22" s="589">
        <v>259280.73</v>
      </c>
      <c r="R22" s="589">
        <v>2203896.65</v>
      </c>
    </row>
    <row r="23" spans="2:18" x14ac:dyDescent="0.25">
      <c r="B23" s="478"/>
      <c r="C23" s="473" t="s">
        <v>206</v>
      </c>
      <c r="D23" s="486">
        <f>D22+D21-D19</f>
        <v>5.1756843629782008</v>
      </c>
      <c r="E23" s="487">
        <f>E22+E21-E19</f>
        <v>0.54320822051263828</v>
      </c>
      <c r="F23" s="481"/>
      <c r="J23" s="27"/>
      <c r="O23" s="27"/>
      <c r="P23" s="27"/>
      <c r="Q23" s="27"/>
      <c r="R23" s="27"/>
    </row>
    <row r="24" spans="2:18" x14ac:dyDescent="0.25">
      <c r="B24" s="478"/>
      <c r="C24" s="473" t="s">
        <v>56</v>
      </c>
      <c r="D24" s="488">
        <f>(D21+D22)/D19</f>
        <v>1.4680473995677059</v>
      </c>
      <c r="E24" s="488">
        <f>(E21+E22)/E19</f>
        <v>1.2007508641024969</v>
      </c>
      <c r="F24" s="481"/>
      <c r="H24" s="26" t="s">
        <v>536</v>
      </c>
      <c r="J24" s="418">
        <v>0</v>
      </c>
      <c r="K24" s="418">
        <v>4163565.33</v>
      </c>
      <c r="L24" s="418">
        <v>3915508.57</v>
      </c>
      <c r="M24" s="418"/>
      <c r="N24" s="418">
        <v>15675627.210000001</v>
      </c>
      <c r="O24" s="418">
        <v>13667644.539999999</v>
      </c>
      <c r="P24" s="418">
        <v>13400268.460000001</v>
      </c>
      <c r="Q24" s="418">
        <v>13140987.73</v>
      </c>
      <c r="R24" s="418">
        <v>10937091.08</v>
      </c>
    </row>
    <row r="25" spans="2:18" x14ac:dyDescent="0.25">
      <c r="B25" s="105"/>
      <c r="C25" s="479"/>
      <c r="D25" s="480"/>
      <c r="E25" s="480"/>
      <c r="F25" s="106"/>
      <c r="H25" s="26" t="s">
        <v>537</v>
      </c>
      <c r="J25" s="528">
        <v>0</v>
      </c>
      <c r="K25" s="528">
        <v>0.17710000000000001</v>
      </c>
      <c r="L25" s="528">
        <v>0.16650000000000001</v>
      </c>
      <c r="M25" s="528"/>
      <c r="N25" s="528">
        <v>0.67469999999999997</v>
      </c>
      <c r="O25" s="528">
        <v>0.58819999999999995</v>
      </c>
      <c r="P25" s="528">
        <v>0.57669999999999999</v>
      </c>
      <c r="Q25" s="528">
        <v>0.56559999999999999</v>
      </c>
      <c r="R25" s="528">
        <v>0.47070000000000001</v>
      </c>
    </row>
    <row r="26" spans="2:18" x14ac:dyDescent="0.25">
      <c r="B26" s="478"/>
      <c r="C26" s="479" t="s">
        <v>384</v>
      </c>
      <c r="D26" s="480"/>
      <c r="E26" s="480"/>
      <c r="F26" s="481"/>
      <c r="J26" s="27"/>
      <c r="K26" s="27" t="b">
        <f>ROUND(K24/K12,4)=K25</f>
        <v>1</v>
      </c>
      <c r="L26" s="27" t="b">
        <f>ROUND(L24/L12,4)=L25</f>
        <v>1</v>
      </c>
      <c r="M26" s="27"/>
      <c r="N26" s="27" t="b">
        <f>ROUND(N24/N12,4)=N25</f>
        <v>1</v>
      </c>
      <c r="O26" s="27" t="b">
        <f>ROUND(O24/O12,4)=O25</f>
        <v>1</v>
      </c>
      <c r="P26" s="27" t="b">
        <f>ROUND(P24/P12,4)=P25</f>
        <v>1</v>
      </c>
      <c r="Q26" s="27" t="b">
        <f>ROUND(Q24/Q12,4)=Q25</f>
        <v>1</v>
      </c>
      <c r="R26" s="27" t="b">
        <f>ROUND(R24/R12,4)=R25</f>
        <v>1</v>
      </c>
    </row>
    <row r="27" spans="2:18" x14ac:dyDescent="0.25">
      <c r="B27" s="478"/>
      <c r="C27" s="473" t="s">
        <v>387</v>
      </c>
      <c r="D27" s="480"/>
      <c r="E27" s="480"/>
      <c r="F27" s="481"/>
      <c r="J27" s="27"/>
      <c r="K27" s="27"/>
      <c r="L27" s="27"/>
      <c r="M27" s="27"/>
      <c r="O27" s="27"/>
      <c r="P27" s="27"/>
      <c r="Q27" s="27"/>
      <c r="R27" s="27"/>
    </row>
    <row r="28" spans="2:18" x14ac:dyDescent="0.25">
      <c r="B28" s="478"/>
      <c r="C28" s="473" t="s">
        <v>388</v>
      </c>
      <c r="D28" s="480"/>
      <c r="E28" s="480"/>
      <c r="F28" s="481"/>
      <c r="H28" s="26" t="s">
        <v>615</v>
      </c>
      <c r="J28" s="27"/>
      <c r="N28" s="26">
        <v>1.0871999999999999</v>
      </c>
      <c r="O28" s="27">
        <v>1.0772999999999999</v>
      </c>
      <c r="P28" s="27">
        <v>1.08439</v>
      </c>
      <c r="Q28" s="27">
        <v>1.1004</v>
      </c>
      <c r="R28" s="27">
        <v>1.0950599999999999</v>
      </c>
    </row>
    <row r="29" spans="2:18" ht="15.75" thickBot="1" x14ac:dyDescent="0.3">
      <c r="B29" s="489"/>
      <c r="C29" s="490"/>
      <c r="D29" s="491"/>
      <c r="E29" s="491"/>
      <c r="F29" s="492"/>
      <c r="H29" s="37"/>
      <c r="J29" s="27"/>
      <c r="N29" s="418">
        <f>-N28*N22/1000000</f>
        <v>13.556950228943998</v>
      </c>
      <c r="O29" s="418">
        <f t="shared" ref="O29:R29" si="0">-O28*O22/1000000</f>
        <v>6.419025257399999E-2</v>
      </c>
      <c r="P29" s="418">
        <f t="shared" si="0"/>
        <v>-0.22532724156300002</v>
      </c>
      <c r="Q29" s="418">
        <f t="shared" si="0"/>
        <v>-0.28531251529200002</v>
      </c>
      <c r="R29" s="418">
        <f t="shared" si="0"/>
        <v>-2.4133990655489996</v>
      </c>
    </row>
    <row r="33" spans="3:14" x14ac:dyDescent="0.25">
      <c r="C33" s="381"/>
    </row>
    <row r="34" spans="3:14" x14ac:dyDescent="0.25">
      <c r="C34" s="516"/>
    </row>
    <row r="35" spans="3:14" ht="15.75" thickBot="1" x14ac:dyDescent="0.3">
      <c r="C35" s="381"/>
      <c r="H35" s="26" t="s">
        <v>609</v>
      </c>
    </row>
    <row r="36" spans="3:14" x14ac:dyDescent="0.25">
      <c r="H36" s="410" t="s">
        <v>23</v>
      </c>
      <c r="I36" s="421"/>
      <c r="J36" s="411"/>
      <c r="K36" s="411"/>
      <c r="L36" s="411"/>
      <c r="M36" s="411"/>
      <c r="N36" s="419"/>
    </row>
    <row r="37" spans="3:14" x14ac:dyDescent="0.25">
      <c r="H37" s="105"/>
      <c r="I37" s="27"/>
      <c r="J37" s="27"/>
      <c r="K37" s="27"/>
      <c r="L37" s="27"/>
      <c r="M37" s="27"/>
      <c r="N37" s="106"/>
    </row>
    <row r="38" spans="3:14" x14ac:dyDescent="0.25">
      <c r="H38" s="504" t="s">
        <v>140</v>
      </c>
      <c r="I38" s="493" t="s">
        <v>365</v>
      </c>
      <c r="J38" s="493" t="s">
        <v>366</v>
      </c>
      <c r="K38" s="493" t="s">
        <v>450</v>
      </c>
      <c r="L38" s="493" t="s">
        <v>492</v>
      </c>
      <c r="M38" s="493" t="s">
        <v>508</v>
      </c>
      <c r="N38" s="501"/>
    </row>
    <row r="39" spans="3:14" x14ac:dyDescent="0.25">
      <c r="D39" s="26"/>
      <c r="E39" s="26"/>
      <c r="F39" s="27"/>
      <c r="H39" s="105" t="s">
        <v>367</v>
      </c>
      <c r="I39" s="550">
        <v>23234462</v>
      </c>
      <c r="J39" s="550">
        <v>23234462</v>
      </c>
      <c r="K39" s="550">
        <v>23234462</v>
      </c>
      <c r="L39" s="550"/>
      <c r="M39" s="550"/>
      <c r="N39" s="501" t="s">
        <v>380</v>
      </c>
    </row>
    <row r="40" spans="3:14" x14ac:dyDescent="0.25">
      <c r="H40" s="105" t="s">
        <v>368</v>
      </c>
      <c r="I40" s="550">
        <v>19178323</v>
      </c>
      <c r="J40" s="550">
        <v>9436936</v>
      </c>
      <c r="K40" s="550">
        <v>9626402</v>
      </c>
      <c r="L40" s="550">
        <v>9595097</v>
      </c>
      <c r="M40" s="550">
        <v>9834193</v>
      </c>
      <c r="N40" s="501"/>
    </row>
    <row r="41" spans="3:14" x14ac:dyDescent="0.25">
      <c r="H41" s="105" t="s">
        <v>369</v>
      </c>
      <c r="I41" s="551">
        <f>I39-I40</f>
        <v>4056139</v>
      </c>
      <c r="J41" s="551">
        <f>J39-J40</f>
        <v>13797526</v>
      </c>
      <c r="K41" s="551">
        <f>K39-K40</f>
        <v>13608060</v>
      </c>
      <c r="L41" s="551">
        <f>L39-L40</f>
        <v>-9595097</v>
      </c>
      <c r="N41" s="501"/>
    </row>
    <row r="42" spans="3:14" x14ac:dyDescent="0.25">
      <c r="H42" s="105" t="s">
        <v>370</v>
      </c>
      <c r="I42" s="551">
        <v>13103567</v>
      </c>
      <c r="J42" s="551">
        <v>3803379</v>
      </c>
      <c r="K42" s="551"/>
      <c r="L42" s="551"/>
      <c r="M42" s="551">
        <f>M43-M40</f>
        <v>2548651</v>
      </c>
      <c r="N42" s="501"/>
    </row>
    <row r="43" spans="3:14" x14ac:dyDescent="0.25">
      <c r="H43" s="505" t="s">
        <v>277</v>
      </c>
      <c r="I43" s="552">
        <v>32325017</v>
      </c>
      <c r="J43" s="552">
        <v>12031777</v>
      </c>
      <c r="K43" s="552">
        <v>12148021</v>
      </c>
      <c r="L43" s="552">
        <v>12218930</v>
      </c>
      <c r="M43" s="552">
        <v>12382844</v>
      </c>
      <c r="N43" s="501" t="s">
        <v>380</v>
      </c>
    </row>
    <row r="44" spans="3:14" x14ac:dyDescent="0.25">
      <c r="H44" s="105" t="s">
        <v>371</v>
      </c>
      <c r="I44" s="27"/>
      <c r="J44" s="551">
        <f>I40-J40</f>
        <v>9741387</v>
      </c>
      <c r="K44" s="551"/>
      <c r="L44" s="551"/>
      <c r="M44" s="551"/>
      <c r="N44" s="501" t="s">
        <v>374</v>
      </c>
    </row>
    <row r="45" spans="3:14" x14ac:dyDescent="0.25">
      <c r="H45" s="105" t="s">
        <v>372</v>
      </c>
      <c r="I45" s="27"/>
      <c r="J45" s="551">
        <f>J47-J44</f>
        <v>2728214.0199999996</v>
      </c>
      <c r="K45" s="551"/>
      <c r="L45" s="551"/>
      <c r="M45" s="551"/>
      <c r="N45" s="501" t="s">
        <v>374</v>
      </c>
    </row>
    <row r="46" spans="3:14" x14ac:dyDescent="0.25">
      <c r="H46" s="105"/>
      <c r="I46" s="27"/>
      <c r="J46" s="551"/>
      <c r="K46" s="551"/>
      <c r="L46" s="551"/>
      <c r="M46" s="551"/>
      <c r="N46" s="501"/>
    </row>
    <row r="47" spans="3:14" x14ac:dyDescent="0.25">
      <c r="H47" s="506" t="s">
        <v>373</v>
      </c>
      <c r="I47" s="552"/>
      <c r="J47" s="553">
        <v>12469601.02</v>
      </c>
      <c r="K47" s="550"/>
      <c r="L47" s="550"/>
      <c r="M47" s="550"/>
      <c r="N47" s="501" t="s">
        <v>375</v>
      </c>
    </row>
    <row r="48" spans="3:14" x14ac:dyDescent="0.25">
      <c r="H48" s="505" t="s">
        <v>51</v>
      </c>
      <c r="I48" s="552"/>
      <c r="J48" s="552">
        <f>15675627.21</f>
        <v>15675627.210000001</v>
      </c>
      <c r="K48" s="551"/>
      <c r="L48" s="551"/>
      <c r="M48" s="551"/>
      <c r="N48" s="501" t="s">
        <v>380</v>
      </c>
    </row>
    <row r="49" spans="3:14" x14ac:dyDescent="0.25">
      <c r="H49" s="105"/>
      <c r="I49" s="27"/>
      <c r="J49" s="27"/>
      <c r="K49" s="27"/>
      <c r="L49" s="27"/>
      <c r="M49" s="27"/>
      <c r="N49" s="502"/>
    </row>
    <row r="50" spans="3:14" x14ac:dyDescent="0.25">
      <c r="H50" s="105"/>
      <c r="I50" s="494"/>
      <c r="J50" s="27"/>
      <c r="K50" s="27"/>
      <c r="L50" s="27"/>
      <c r="M50" s="27"/>
      <c r="N50" s="106"/>
    </row>
    <row r="51" spans="3:14" x14ac:dyDescent="0.25">
      <c r="H51" s="507" t="s">
        <v>377</v>
      </c>
      <c r="I51" s="27"/>
      <c r="J51" s="27"/>
      <c r="K51" s="27"/>
      <c r="L51" s="27"/>
      <c r="M51" s="27"/>
      <c r="N51" s="106"/>
    </row>
    <row r="52" spans="3:14" x14ac:dyDescent="0.25">
      <c r="H52" s="105" t="s">
        <v>376</v>
      </c>
      <c r="I52" s="418">
        <f>I53+I54</f>
        <v>28.092268471820702</v>
      </c>
      <c r="J52" s="27"/>
      <c r="K52" s="27"/>
      <c r="L52" s="27"/>
      <c r="M52" s="551">
        <v>3953435</v>
      </c>
      <c r="N52" s="106"/>
    </row>
    <row r="53" spans="3:14" x14ac:dyDescent="0.25">
      <c r="H53" s="105" t="s">
        <v>378</v>
      </c>
      <c r="I53" s="418">
        <f>-SUM('CF (Funds)'!D36:D40)-J44*1.08341*10^-6</f>
        <v>11.058034651530001</v>
      </c>
      <c r="J53" s="418">
        <f>J40*10^-6*NAV!K11</f>
        <v>10.254835243119999</v>
      </c>
      <c r="K53" s="418"/>
      <c r="L53" s="418"/>
      <c r="M53" s="418">
        <v>-992628</v>
      </c>
      <c r="N53" s="106"/>
    </row>
    <row r="54" spans="3:14" x14ac:dyDescent="0.25">
      <c r="H54" s="105" t="s">
        <v>379</v>
      </c>
      <c r="I54" s="418">
        <f>J48*10^-6*NAV!K11</f>
        <v>17.034233820290702</v>
      </c>
      <c r="J54" s="27"/>
      <c r="K54" s="27"/>
      <c r="L54" s="27"/>
      <c r="M54" s="551">
        <v>-637162</v>
      </c>
      <c r="N54" s="106"/>
    </row>
    <row r="55" spans="3:14" x14ac:dyDescent="0.25">
      <c r="H55" s="105" t="s">
        <v>277</v>
      </c>
      <c r="I55" s="418">
        <f>J43*10^-6*NAV!K11</f>
        <v>13.07457111259</v>
      </c>
      <c r="J55" s="27"/>
      <c r="K55" s="27"/>
      <c r="L55" s="27"/>
      <c r="M55" s="551">
        <f>SUM(M52:M54)</f>
        <v>2323645</v>
      </c>
      <c r="N55" s="106"/>
    </row>
    <row r="56" spans="3:14" x14ac:dyDescent="0.25">
      <c r="C56" s="215"/>
      <c r="H56" s="105" t="s">
        <v>453</v>
      </c>
      <c r="I56" s="27">
        <v>105.4</v>
      </c>
      <c r="J56" s="27"/>
      <c r="K56" s="27"/>
      <c r="L56" s="27"/>
      <c r="M56" s="551">
        <v>225006</v>
      </c>
      <c r="N56" s="106"/>
    </row>
    <row r="57" spans="3:14" x14ac:dyDescent="0.25">
      <c r="H57" s="105" t="s">
        <v>452</v>
      </c>
      <c r="I57" s="418">
        <f>K39*10^-6</f>
        <v>23.234462000000001</v>
      </c>
      <c r="J57" s="503">
        <f>I57/I56</f>
        <v>0.22044081593927894</v>
      </c>
      <c r="K57" s="27"/>
      <c r="L57" s="27"/>
      <c r="M57" s="551">
        <f>M55+M56</f>
        <v>2548651</v>
      </c>
      <c r="N57" s="106"/>
    </row>
    <row r="58" spans="3:14" x14ac:dyDescent="0.25">
      <c r="H58" s="105" t="s">
        <v>454</v>
      </c>
      <c r="I58" s="418">
        <v>2.125</v>
      </c>
      <c r="J58" s="503">
        <f>I58/I56</f>
        <v>2.0161290322580645E-2</v>
      </c>
      <c r="K58" s="27"/>
      <c r="L58" s="27"/>
      <c r="M58" s="27"/>
      <c r="N58" s="106"/>
    </row>
    <row r="59" spans="3:14" ht="15.75" thickBot="1" x14ac:dyDescent="0.3">
      <c r="H59" s="110"/>
      <c r="I59" s="495"/>
      <c r="J59" s="496"/>
      <c r="K59" s="496"/>
      <c r="L59" s="496"/>
      <c r="M59" s="496"/>
      <c r="N59" s="114"/>
    </row>
    <row r="64" spans="3:14" x14ac:dyDescent="0.25">
      <c r="D64" s="26"/>
      <c r="E64" s="26"/>
      <c r="F64" s="27"/>
      <c r="G64" s="27"/>
    </row>
    <row r="65" spans="4:11" x14ac:dyDescent="0.25">
      <c r="D65" s="26"/>
      <c r="E65" s="26"/>
      <c r="F65" s="27"/>
      <c r="H65" s="27"/>
      <c r="I65" s="27"/>
      <c r="J65" s="27"/>
      <c r="K65" s="27"/>
    </row>
    <row r="66" spans="4:11" x14ac:dyDescent="0.25">
      <c r="D66" s="26"/>
      <c r="E66" s="26"/>
      <c r="F66" s="27"/>
      <c r="H66" s="27"/>
      <c r="I66" s="27"/>
      <c r="J66" s="27"/>
      <c r="K66" s="27"/>
    </row>
    <row r="67" spans="4:11" x14ac:dyDescent="0.25">
      <c r="D67" s="26"/>
      <c r="E67" s="26"/>
      <c r="F67" s="27"/>
      <c r="H67" s="27"/>
      <c r="I67" s="27"/>
      <c r="J67" s="27"/>
      <c r="K67" s="2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O43" sqref="O43"/>
    </sheetView>
  </sheetViews>
  <sheetFormatPr defaultColWidth="9.140625" defaultRowHeight="12.75" x14ac:dyDescent="0.2"/>
  <cols>
    <col min="1" max="1" width="9.140625" style="81"/>
    <col min="2" max="2" width="22.28515625" style="81" bestFit="1" customWidth="1"/>
    <col min="3" max="3" width="9" style="92" customWidth="1"/>
    <col min="4" max="4" width="9.5703125" style="92" customWidth="1"/>
    <col min="5" max="5" width="22.7109375" style="92" customWidth="1"/>
    <col min="6" max="6" width="21.42578125" style="92" customWidth="1"/>
    <col min="7" max="8" width="16.42578125" style="81" customWidth="1"/>
    <col min="9" max="10" width="14" style="81" customWidth="1"/>
    <col min="11" max="12" width="9.140625" style="81"/>
    <col min="13" max="13" width="19" style="239" customWidth="1"/>
    <col min="14" max="17" width="16.140625" style="81" customWidth="1"/>
    <col min="18" max="16384" width="9.140625" style="81"/>
  </cols>
  <sheetData>
    <row r="2" spans="2:18" ht="15" x14ac:dyDescent="0.25">
      <c r="M2" s="25"/>
    </row>
    <row r="3" spans="2:18" s="234" customFormat="1" ht="29.25" customHeight="1" x14ac:dyDescent="0.25">
      <c r="B3" s="237" t="s">
        <v>5</v>
      </c>
      <c r="C3" s="238" t="s">
        <v>47</v>
      </c>
      <c r="D3" s="238" t="s">
        <v>160</v>
      </c>
      <c r="E3" s="238" t="s">
        <v>148</v>
      </c>
      <c r="F3" s="238" t="s">
        <v>81</v>
      </c>
      <c r="G3" s="238" t="s">
        <v>32</v>
      </c>
      <c r="H3" s="238" t="s">
        <v>2</v>
      </c>
      <c r="I3" s="238" t="s">
        <v>51</v>
      </c>
      <c r="J3" s="238" t="s">
        <v>33</v>
      </c>
      <c r="K3" s="238" t="s">
        <v>27</v>
      </c>
      <c r="M3" s="25"/>
      <c r="N3" s="81"/>
      <c r="O3" s="81"/>
      <c r="P3" s="81"/>
      <c r="Q3" s="81"/>
      <c r="R3" s="81"/>
    </row>
    <row r="4" spans="2:18" ht="15" x14ac:dyDescent="0.25">
      <c r="B4" s="61" t="s">
        <v>48</v>
      </c>
      <c r="C4" s="60">
        <v>2019</v>
      </c>
      <c r="D4" s="60" t="s">
        <v>159</v>
      </c>
      <c r="E4" s="60" t="s">
        <v>226</v>
      </c>
      <c r="F4" s="60" t="s">
        <v>216</v>
      </c>
      <c r="G4" s="236">
        <v>65</v>
      </c>
      <c r="H4" s="236">
        <v>65</v>
      </c>
      <c r="I4" s="236">
        <v>0</v>
      </c>
      <c r="J4" s="236">
        <v>0</v>
      </c>
      <c r="K4" s="236">
        <v>0</v>
      </c>
      <c r="M4" s="25"/>
    </row>
    <row r="5" spans="2:18" x14ac:dyDescent="0.2">
      <c r="B5" s="61" t="s">
        <v>0</v>
      </c>
      <c r="C5" s="60">
        <v>2019</v>
      </c>
      <c r="D5" s="60" t="s">
        <v>159</v>
      </c>
      <c r="E5" s="60" t="s">
        <v>220</v>
      </c>
      <c r="F5" s="60" t="s">
        <v>216</v>
      </c>
      <c r="G5" s="236">
        <v>8</v>
      </c>
      <c r="H5" s="236">
        <v>8</v>
      </c>
      <c r="I5" s="236">
        <v>0</v>
      </c>
      <c r="J5" s="236">
        <v>0</v>
      </c>
      <c r="K5" s="236">
        <v>3.1</v>
      </c>
      <c r="M5" s="60" t="s">
        <v>216</v>
      </c>
      <c r="N5" s="81">
        <f ca="1">SUMIF(F3:K26,$M$5,G3:G26)</f>
        <v>2578.8539820000001</v>
      </c>
    </row>
    <row r="6" spans="2:18" ht="15" x14ac:dyDescent="0.25">
      <c r="B6" s="61" t="s">
        <v>39</v>
      </c>
      <c r="C6" s="60">
        <v>2019</v>
      </c>
      <c r="D6" s="60" t="s">
        <v>159</v>
      </c>
      <c r="E6" s="60" t="s">
        <v>232</v>
      </c>
      <c r="F6" s="60" t="s">
        <v>214</v>
      </c>
      <c r="G6" s="236">
        <v>10</v>
      </c>
      <c r="H6" s="236">
        <v>10</v>
      </c>
      <c r="I6" s="236">
        <v>0</v>
      </c>
      <c r="J6" s="236">
        <v>0</v>
      </c>
      <c r="K6" s="236">
        <v>78.082229999999996</v>
      </c>
      <c r="M6" s="25"/>
    </row>
    <row r="7" spans="2:18" ht="15" x14ac:dyDescent="0.25">
      <c r="B7" s="61" t="s">
        <v>40</v>
      </c>
      <c r="C7" s="60">
        <v>2020</v>
      </c>
      <c r="D7" s="60" t="s">
        <v>159</v>
      </c>
      <c r="E7" s="60" t="s">
        <v>221</v>
      </c>
      <c r="F7" s="60" t="s">
        <v>218</v>
      </c>
      <c r="G7" s="236">
        <v>2.5</v>
      </c>
      <c r="H7" s="236">
        <v>2.5</v>
      </c>
      <c r="I7" s="236">
        <v>0</v>
      </c>
      <c r="J7" s="236">
        <v>5</v>
      </c>
      <c r="K7" s="236">
        <v>0</v>
      </c>
      <c r="M7" s="25"/>
    </row>
    <row r="8" spans="2:18" ht="15" x14ac:dyDescent="0.25">
      <c r="B8" s="61" t="s">
        <v>38</v>
      </c>
      <c r="C8" s="60">
        <v>2020</v>
      </c>
      <c r="D8" s="60" t="s">
        <v>159</v>
      </c>
      <c r="E8" s="60" t="s">
        <v>227</v>
      </c>
      <c r="F8" s="60" t="s">
        <v>214</v>
      </c>
      <c r="G8" s="236">
        <v>90</v>
      </c>
      <c r="H8" s="236">
        <v>90</v>
      </c>
      <c r="I8" s="236">
        <v>0</v>
      </c>
      <c r="J8" s="236">
        <v>0</v>
      </c>
      <c r="K8" s="236">
        <v>91.001540300000002</v>
      </c>
      <c r="M8" s="25"/>
    </row>
    <row r="9" spans="2:18" ht="15" x14ac:dyDescent="0.25">
      <c r="B9" s="61" t="s">
        <v>89</v>
      </c>
      <c r="C9" s="60">
        <v>2020</v>
      </c>
      <c r="D9" s="60" t="s">
        <v>159</v>
      </c>
      <c r="E9" s="60" t="s">
        <v>230</v>
      </c>
      <c r="F9" s="60" t="s">
        <v>219</v>
      </c>
      <c r="G9" s="236">
        <v>141.4702596743665</v>
      </c>
      <c r="H9" s="236">
        <v>141.4702596743665</v>
      </c>
      <c r="I9" s="236">
        <v>0</v>
      </c>
      <c r="J9" s="236">
        <v>0</v>
      </c>
      <c r="K9" s="236">
        <v>149.58080812799997</v>
      </c>
      <c r="M9" s="25"/>
    </row>
    <row r="10" spans="2:18" ht="15" x14ac:dyDescent="0.25">
      <c r="B10" s="61" t="s">
        <v>9</v>
      </c>
      <c r="C10" s="60">
        <v>2020</v>
      </c>
      <c r="D10" s="60" t="s">
        <v>159</v>
      </c>
      <c r="E10" s="60" t="s">
        <v>222</v>
      </c>
      <c r="F10" s="60" t="s">
        <v>216</v>
      </c>
      <c r="G10" s="236">
        <v>60</v>
      </c>
      <c r="H10" s="236">
        <v>60</v>
      </c>
      <c r="I10" s="236">
        <v>0</v>
      </c>
      <c r="J10" s="236">
        <v>0</v>
      </c>
      <c r="K10" s="236">
        <v>136.63999999999999</v>
      </c>
      <c r="M10" s="25"/>
    </row>
    <row r="11" spans="2:18" ht="15" x14ac:dyDescent="0.25">
      <c r="B11" s="61" t="s">
        <v>18</v>
      </c>
      <c r="C11" s="60">
        <v>2021</v>
      </c>
      <c r="D11" s="60" t="s">
        <v>159</v>
      </c>
      <c r="E11" s="60" t="s">
        <v>223</v>
      </c>
      <c r="F11" s="60" t="s">
        <v>218</v>
      </c>
      <c r="G11" s="236">
        <v>20</v>
      </c>
      <c r="H11" s="236">
        <v>20</v>
      </c>
      <c r="I11" s="236">
        <v>0</v>
      </c>
      <c r="J11" s="236">
        <v>0</v>
      </c>
      <c r="K11" s="236">
        <v>20</v>
      </c>
      <c r="M11" s="25"/>
    </row>
    <row r="12" spans="2:18" ht="15" x14ac:dyDescent="0.25">
      <c r="B12" s="61" t="s">
        <v>41</v>
      </c>
      <c r="C12" s="60">
        <v>2021</v>
      </c>
      <c r="D12" s="60" t="s">
        <v>159</v>
      </c>
      <c r="E12" s="60" t="s">
        <v>224</v>
      </c>
      <c r="F12" s="60" t="s">
        <v>214</v>
      </c>
      <c r="G12" s="236">
        <v>40</v>
      </c>
      <c r="H12" s="236">
        <v>40</v>
      </c>
      <c r="I12" s="236">
        <v>0</v>
      </c>
      <c r="J12" s="236">
        <v>0</v>
      </c>
      <c r="K12" s="236">
        <v>39.999983359999995</v>
      </c>
      <c r="M12" s="25"/>
    </row>
    <row r="13" spans="2:18" ht="15" x14ac:dyDescent="0.25">
      <c r="B13" s="61" t="s">
        <v>42</v>
      </c>
      <c r="C13" s="60">
        <v>2021</v>
      </c>
      <c r="D13" s="60" t="s">
        <v>159</v>
      </c>
      <c r="E13" s="60" t="s">
        <v>231</v>
      </c>
      <c r="F13" s="60" t="s">
        <v>214</v>
      </c>
      <c r="G13" s="236">
        <v>3</v>
      </c>
      <c r="H13" s="236">
        <v>3</v>
      </c>
      <c r="I13" s="236">
        <v>0</v>
      </c>
      <c r="J13" s="236">
        <v>0</v>
      </c>
      <c r="K13" s="236">
        <v>3</v>
      </c>
      <c r="M13" s="25"/>
    </row>
    <row r="14" spans="2:18" ht="15" x14ac:dyDescent="0.25">
      <c r="B14" s="61" t="s">
        <v>43</v>
      </c>
      <c r="C14" s="60">
        <v>2021</v>
      </c>
      <c r="D14" s="60" t="s">
        <v>159</v>
      </c>
      <c r="E14" s="60" t="s">
        <v>232</v>
      </c>
      <c r="F14" s="60" t="s">
        <v>219</v>
      </c>
      <c r="G14" s="236">
        <v>5.0278211945578235</v>
      </c>
      <c r="H14" s="236">
        <v>5.0278211945578235</v>
      </c>
      <c r="I14" s="236">
        <v>0</v>
      </c>
      <c r="J14" s="236">
        <v>0</v>
      </c>
      <c r="K14" s="236">
        <v>5.0237201984774336</v>
      </c>
      <c r="M14" s="25"/>
    </row>
    <row r="15" spans="2:18" ht="15" x14ac:dyDescent="0.25">
      <c r="B15" s="61" t="s">
        <v>71</v>
      </c>
      <c r="C15" s="60">
        <v>2022</v>
      </c>
      <c r="D15" s="60" t="s">
        <v>159</v>
      </c>
      <c r="E15" s="60" t="s">
        <v>228</v>
      </c>
      <c r="F15" s="60" t="s">
        <v>216</v>
      </c>
      <c r="G15" s="236">
        <v>493.5</v>
      </c>
      <c r="H15" s="236">
        <v>493.5</v>
      </c>
      <c r="I15" s="236">
        <v>0</v>
      </c>
      <c r="J15" s="236">
        <v>0</v>
      </c>
      <c r="K15" s="236">
        <v>493.5</v>
      </c>
      <c r="M15" s="25"/>
    </row>
    <row r="16" spans="2:18" ht="15" x14ac:dyDescent="0.25">
      <c r="B16" s="61" t="s">
        <v>19</v>
      </c>
      <c r="C16" s="60">
        <v>2022</v>
      </c>
      <c r="D16" s="60" t="s">
        <v>159</v>
      </c>
      <c r="E16" s="60" t="s">
        <v>229</v>
      </c>
      <c r="F16" s="60" t="s">
        <v>217</v>
      </c>
      <c r="G16" s="236">
        <v>300</v>
      </c>
      <c r="H16" s="236">
        <v>300</v>
      </c>
      <c r="I16" s="236">
        <v>0</v>
      </c>
      <c r="J16" s="236">
        <v>0</v>
      </c>
      <c r="K16" s="236">
        <v>300</v>
      </c>
      <c r="M16" s="25"/>
    </row>
    <row r="17" spans="2:13" ht="15" x14ac:dyDescent="0.25">
      <c r="B17" s="61" t="s">
        <v>90</v>
      </c>
      <c r="C17" s="60">
        <v>2022</v>
      </c>
      <c r="D17" s="60" t="s">
        <v>159</v>
      </c>
      <c r="E17" s="60" t="s">
        <v>230</v>
      </c>
      <c r="F17" s="60" t="s">
        <v>214</v>
      </c>
      <c r="G17" s="236">
        <v>25</v>
      </c>
      <c r="H17" s="236">
        <v>12.5</v>
      </c>
      <c r="I17" s="236">
        <v>12.5</v>
      </c>
      <c r="J17" s="236">
        <v>0</v>
      </c>
      <c r="K17" s="236">
        <v>-0.5557849000000008</v>
      </c>
      <c r="M17" s="25"/>
    </row>
    <row r="18" spans="2:13" ht="15" x14ac:dyDescent="0.25">
      <c r="B18" s="61" t="s">
        <v>35</v>
      </c>
      <c r="C18" s="60">
        <v>2022</v>
      </c>
      <c r="D18" s="60" t="s">
        <v>159</v>
      </c>
      <c r="E18" s="60" t="s">
        <v>225</v>
      </c>
      <c r="F18" s="60" t="s">
        <v>216</v>
      </c>
      <c r="G18" s="236">
        <v>1600</v>
      </c>
      <c r="H18" s="236">
        <v>800</v>
      </c>
      <c r="I18" s="236">
        <v>800</v>
      </c>
      <c r="J18" s="236">
        <v>0</v>
      </c>
      <c r="K18" s="236">
        <f>1075.57839098788*0.8</f>
        <v>860.46271279030407</v>
      </c>
      <c r="M18" s="25"/>
    </row>
    <row r="19" spans="2:13" ht="15" x14ac:dyDescent="0.25">
      <c r="B19" s="61" t="s">
        <v>49</v>
      </c>
      <c r="C19" s="60">
        <v>2019</v>
      </c>
      <c r="D19" s="60" t="s">
        <v>44</v>
      </c>
      <c r="E19" s="60" t="s">
        <v>233</v>
      </c>
      <c r="F19" s="60" t="s">
        <v>214</v>
      </c>
      <c r="G19" s="236">
        <v>8</v>
      </c>
      <c r="H19" s="236">
        <v>8</v>
      </c>
      <c r="I19" s="236">
        <v>0</v>
      </c>
      <c r="J19" s="236">
        <v>0</v>
      </c>
      <c r="K19" s="236">
        <v>0</v>
      </c>
      <c r="M19" s="25"/>
    </row>
    <row r="20" spans="2:13" ht="15" x14ac:dyDescent="0.25">
      <c r="B20" s="61" t="s">
        <v>0</v>
      </c>
      <c r="C20" s="60">
        <v>2021</v>
      </c>
      <c r="D20" s="60" t="s">
        <v>44</v>
      </c>
      <c r="E20" s="60" t="s">
        <v>220</v>
      </c>
      <c r="F20" s="60" t="s">
        <v>216</v>
      </c>
      <c r="G20" s="236">
        <v>2.3539819999999998</v>
      </c>
      <c r="H20" s="236">
        <v>2.3539819999999998</v>
      </c>
      <c r="I20" s="236">
        <v>0</v>
      </c>
      <c r="J20" s="236">
        <v>0</v>
      </c>
      <c r="K20" s="236">
        <v>2.3539819999999998</v>
      </c>
      <c r="M20" s="25"/>
    </row>
    <row r="21" spans="2:13" ht="15" x14ac:dyDescent="0.25">
      <c r="B21" s="61" t="s">
        <v>40</v>
      </c>
      <c r="C21" s="60">
        <v>2021</v>
      </c>
      <c r="D21" s="60" t="s">
        <v>44</v>
      </c>
      <c r="E21" s="60" t="s">
        <v>221</v>
      </c>
      <c r="F21" s="60" t="s">
        <v>218</v>
      </c>
      <c r="G21" s="236">
        <v>0.41176499999999999</v>
      </c>
      <c r="H21" s="236">
        <v>0.41176499999999999</v>
      </c>
      <c r="I21" s="236">
        <v>0</v>
      </c>
      <c r="J21" s="236">
        <v>0</v>
      </c>
      <c r="K21" s="236">
        <v>0.45643868219178102</v>
      </c>
      <c r="M21" s="25"/>
    </row>
    <row r="22" spans="2:13" ht="15" x14ac:dyDescent="0.25">
      <c r="B22" s="61" t="s">
        <v>125</v>
      </c>
      <c r="C22" s="60">
        <v>2020</v>
      </c>
      <c r="D22" s="60" t="s">
        <v>53</v>
      </c>
      <c r="E22" s="60" t="s">
        <v>53</v>
      </c>
      <c r="F22" s="60" t="s">
        <v>219</v>
      </c>
      <c r="G22" s="236">
        <v>25.557908058353444</v>
      </c>
      <c r="H22" s="236">
        <v>21.611950741200001</v>
      </c>
      <c r="I22" s="236">
        <v>3.945957317153443</v>
      </c>
      <c r="J22" s="236">
        <v>0</v>
      </c>
      <c r="K22" s="236">
        <v>31.952799285000001</v>
      </c>
      <c r="M22" s="25"/>
    </row>
    <row r="23" spans="2:13" ht="15" x14ac:dyDescent="0.25">
      <c r="B23" s="61" t="s">
        <v>108</v>
      </c>
      <c r="C23" s="60">
        <v>2020</v>
      </c>
      <c r="D23" s="60" t="s">
        <v>53</v>
      </c>
      <c r="E23" s="60" t="s">
        <v>53</v>
      </c>
      <c r="F23" s="60" t="s">
        <v>219</v>
      </c>
      <c r="G23" s="236">
        <v>2.7058823529411762</v>
      </c>
      <c r="H23" s="236">
        <v>2.7058823529411762</v>
      </c>
      <c r="I23" s="236">
        <v>0</v>
      </c>
      <c r="J23" s="236">
        <v>0</v>
      </c>
      <c r="K23" s="236">
        <v>2.7058823529411762</v>
      </c>
      <c r="M23" s="25"/>
    </row>
    <row r="24" spans="2:13" ht="15" x14ac:dyDescent="0.25">
      <c r="B24" s="61" t="s">
        <v>1</v>
      </c>
      <c r="C24" s="60">
        <v>2020</v>
      </c>
      <c r="D24" s="60" t="s">
        <v>53</v>
      </c>
      <c r="E24" s="60" t="s">
        <v>53</v>
      </c>
      <c r="F24" s="60" t="s">
        <v>216</v>
      </c>
      <c r="G24" s="236">
        <v>300</v>
      </c>
      <c r="H24" s="236">
        <v>83.214652999999984</v>
      </c>
      <c r="I24" s="236">
        <v>217.81330800000001</v>
      </c>
      <c r="J24" s="236">
        <v>1.0279609999999999</v>
      </c>
      <c r="K24" s="236">
        <v>79.319999999999993</v>
      </c>
      <c r="M24" s="25"/>
    </row>
    <row r="25" spans="2:13" ht="15" x14ac:dyDescent="0.25">
      <c r="B25" s="61" t="s">
        <v>12</v>
      </c>
      <c r="C25" s="60">
        <v>2020</v>
      </c>
      <c r="D25" s="60" t="s">
        <v>53</v>
      </c>
      <c r="E25" s="60" t="s">
        <v>53</v>
      </c>
      <c r="F25" s="60" t="s">
        <v>216</v>
      </c>
      <c r="G25" s="236">
        <v>50</v>
      </c>
      <c r="H25" s="236">
        <v>16.790246</v>
      </c>
      <c r="I25" s="236">
        <v>33.209754000000004</v>
      </c>
      <c r="J25" s="236">
        <v>0.44382834999999998</v>
      </c>
      <c r="K25" s="236">
        <v>15.875237</v>
      </c>
      <c r="M25" s="25"/>
    </row>
    <row r="26" spans="2:13" ht="15" x14ac:dyDescent="0.25">
      <c r="B26" s="61" t="s">
        <v>176</v>
      </c>
      <c r="C26" s="60">
        <v>2021</v>
      </c>
      <c r="D26" s="60" t="s">
        <v>53</v>
      </c>
      <c r="E26" s="60" t="s">
        <v>53</v>
      </c>
      <c r="F26" s="60" t="s">
        <v>214</v>
      </c>
      <c r="G26" s="236">
        <v>17.112500000000001</v>
      </c>
      <c r="H26" s="236">
        <v>10.6268625</v>
      </c>
      <c r="I26" s="236">
        <v>6.4856375000000011</v>
      </c>
      <c r="J26" s="236">
        <v>0</v>
      </c>
      <c r="K26" s="236">
        <v>10.343446999999999</v>
      </c>
      <c r="M26" s="25"/>
    </row>
    <row r="27" spans="2:13" ht="15" x14ac:dyDescent="0.25">
      <c r="G27" s="235"/>
      <c r="H27" s="235"/>
      <c r="I27" s="235"/>
      <c r="J27" s="235"/>
      <c r="M27" s="25"/>
    </row>
    <row r="28" spans="2:13" ht="15" x14ac:dyDescent="0.25">
      <c r="G28" s="240">
        <f>SUM(G4:G26)</f>
        <v>3269.6401182802188</v>
      </c>
      <c r="H28" s="240">
        <f>SUM(H4:H26)</f>
        <v>2196.7134224630649</v>
      </c>
      <c r="I28" s="240">
        <f>SUM(I4:I26)</f>
        <v>1073.9546568171534</v>
      </c>
      <c r="J28" s="240">
        <f t="shared" ref="J28:K28" si="0">SUM(J4:J26)</f>
        <v>6.4717893499999999</v>
      </c>
      <c r="K28" s="240">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95"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221" t="s">
        <v>207</v>
      </c>
      <c r="D2" s="222"/>
      <c r="E2" s="222"/>
      <c r="F2" s="226"/>
      <c r="G2" s="226"/>
      <c r="H2" s="226"/>
    </row>
    <row r="3" spans="2:16" s="81" customFormat="1" ht="15.75" thickBot="1" x14ac:dyDescent="0.3">
      <c r="C3" s="368"/>
      <c r="D3" s="170" t="s">
        <v>188</v>
      </c>
      <c r="E3" s="369">
        <f>D!D2</f>
        <v>45322</v>
      </c>
      <c r="F3" s="368"/>
      <c r="G3" s="368"/>
      <c r="H3" s="222"/>
      <c r="I3" s="26"/>
      <c r="J3" s="26"/>
    </row>
    <row r="4" spans="2:16" x14ac:dyDescent="0.25">
      <c r="C4" s="223"/>
      <c r="D4" s="224"/>
    </row>
    <row r="5" spans="2:16" ht="15.75" thickBot="1" x14ac:dyDescent="0.3">
      <c r="C5" s="96"/>
    </row>
    <row r="6" spans="2:16" s="104" customFormat="1" x14ac:dyDescent="0.25">
      <c r="B6" s="26"/>
      <c r="C6" s="361"/>
      <c r="D6" s="362"/>
      <c r="E6" s="362"/>
      <c r="F6" s="99"/>
      <c r="G6" s="99"/>
      <c r="H6" s="363"/>
      <c r="I6" s="27"/>
      <c r="J6" s="397"/>
      <c r="K6" s="362"/>
      <c r="L6" s="362"/>
      <c r="M6" s="362"/>
      <c r="N6" s="362"/>
      <c r="O6" s="362"/>
      <c r="P6" s="398"/>
    </row>
    <row r="7" spans="2:16" ht="30" customHeight="1" x14ac:dyDescent="0.25">
      <c r="C7" s="364"/>
      <c r="D7" s="3" t="s">
        <v>52</v>
      </c>
      <c r="E7" s="1" t="s">
        <v>160</v>
      </c>
      <c r="F7" s="1" t="s">
        <v>206</v>
      </c>
      <c r="G7" s="1" t="s">
        <v>339</v>
      </c>
      <c r="H7" s="338"/>
      <c r="J7" s="365"/>
      <c r="K7" s="600" t="s">
        <v>340</v>
      </c>
      <c r="L7" s="600"/>
      <c r="N7" s="600" t="s">
        <v>341</v>
      </c>
      <c r="O7" s="600"/>
      <c r="P7" s="106"/>
    </row>
    <row r="8" spans="2:16" x14ac:dyDescent="0.25">
      <c r="C8" s="364"/>
      <c r="D8" s="4" t="s">
        <v>71</v>
      </c>
      <c r="E8" s="264" t="s">
        <v>159</v>
      </c>
      <c r="F8" s="17">
        <f ca="1">VLOOKUP(D8,'S | 01 '!$C$6:$R$48,13,0)</f>
        <v>-90.500956199999962</v>
      </c>
      <c r="G8" s="370">
        <v>0</v>
      </c>
      <c r="H8" s="338"/>
      <c r="J8" s="365"/>
      <c r="K8" s="4" t="s">
        <v>48</v>
      </c>
      <c r="L8" s="17">
        <f t="shared" ref="L8:L25" si="0">VLOOKUP(K8,$D$7:$G$33,4,0)</f>
        <v>-65</v>
      </c>
      <c r="N8" s="4" t="s">
        <v>35</v>
      </c>
      <c r="O8" s="17">
        <f t="shared" ref="O8:O15" si="1">VLOOKUP(N8,$D$7:$G$33,4,0)</f>
        <v>0</v>
      </c>
      <c r="P8" s="106"/>
    </row>
    <row r="9" spans="2:16" x14ac:dyDescent="0.25">
      <c r="C9" s="364"/>
      <c r="D9" s="4" t="s">
        <v>48</v>
      </c>
      <c r="E9" s="264" t="s">
        <v>159</v>
      </c>
      <c r="F9" s="17">
        <f ca="1">VLOOKUP(D9,'S | 01 '!$C$6:$R$48,13,0)</f>
        <v>-65</v>
      </c>
      <c r="G9" s="17">
        <v>-65</v>
      </c>
      <c r="H9" s="338"/>
      <c r="J9" s="365"/>
      <c r="K9" s="4" t="s">
        <v>9</v>
      </c>
      <c r="L9" s="17">
        <f t="shared" si="0"/>
        <v>-39.700000000000003</v>
      </c>
      <c r="N9" s="4" t="s">
        <v>19</v>
      </c>
      <c r="O9" s="17">
        <f t="shared" si="1"/>
        <v>0</v>
      </c>
      <c r="P9" s="106"/>
    </row>
    <row r="10" spans="2:16" x14ac:dyDescent="0.25">
      <c r="C10" s="364"/>
      <c r="D10" s="4" t="s">
        <v>90</v>
      </c>
      <c r="E10" s="264" t="s">
        <v>159</v>
      </c>
      <c r="F10" s="17">
        <f ca="1">VLOOKUP(D10,'S | 01 '!$C$6:$R$48,13,0)</f>
        <v>-22.347534629999998</v>
      </c>
      <c r="G10" s="370">
        <v>0</v>
      </c>
      <c r="H10" s="338"/>
      <c r="J10" s="365"/>
      <c r="K10" s="4" t="s">
        <v>49</v>
      </c>
      <c r="L10" s="17">
        <f t="shared" si="0"/>
        <v>-8</v>
      </c>
      <c r="N10" s="4" t="s">
        <v>90</v>
      </c>
      <c r="O10" s="17">
        <f t="shared" si="1"/>
        <v>0</v>
      </c>
      <c r="P10" s="106"/>
    </row>
    <row r="11" spans="2:16" x14ac:dyDescent="0.25">
      <c r="C11" s="364"/>
      <c r="D11" s="4" t="s">
        <v>49</v>
      </c>
      <c r="E11" s="264" t="s">
        <v>44</v>
      </c>
      <c r="F11" s="17">
        <f>VLOOKUP(D11,'S | 01 '!$C$6:$R$48,13,0)</f>
        <v>-8</v>
      </c>
      <c r="G11" s="17">
        <v>-8</v>
      </c>
      <c r="H11" s="338"/>
      <c r="J11" s="365"/>
      <c r="K11" s="4" t="s">
        <v>0</v>
      </c>
      <c r="L11" s="17">
        <f t="shared" si="0"/>
        <v>-6.3</v>
      </c>
      <c r="N11" s="4" t="s">
        <v>390</v>
      </c>
      <c r="O11" s="17">
        <f t="shared" si="1"/>
        <v>0</v>
      </c>
      <c r="P11" s="106"/>
    </row>
    <row r="12" spans="2:16" x14ac:dyDescent="0.25">
      <c r="C12" s="364"/>
      <c r="D12" s="4" t="s">
        <v>0</v>
      </c>
      <c r="E12" s="264" t="s">
        <v>159</v>
      </c>
      <c r="F12" s="17">
        <f ca="1">VLOOKUP(D12,'S | 01 '!$C$6:$R$48,13,0)</f>
        <v>-8</v>
      </c>
      <c r="G12" s="371">
        <v>-6.3</v>
      </c>
      <c r="H12" s="338"/>
      <c r="J12" s="365"/>
      <c r="K12" s="4" t="s">
        <v>38</v>
      </c>
      <c r="L12" s="17">
        <f t="shared" si="0"/>
        <v>0</v>
      </c>
      <c r="N12" s="4" t="s">
        <v>176</v>
      </c>
      <c r="O12" s="17">
        <f t="shared" si="1"/>
        <v>0</v>
      </c>
      <c r="P12" s="106"/>
    </row>
    <row r="13" spans="2:16" x14ac:dyDescent="0.25">
      <c r="C13" s="364"/>
      <c r="D13" s="4" t="s">
        <v>12</v>
      </c>
      <c r="E13" s="264" t="s">
        <v>53</v>
      </c>
      <c r="F13" s="17">
        <f ca="1">VLOOKUP(D13,'S | 01 '!$C$6:$R$48,13,0)</f>
        <v>-0.8455616500000005</v>
      </c>
      <c r="G13" s="17">
        <v>3.5</v>
      </c>
      <c r="H13" s="338"/>
      <c r="J13" s="365"/>
      <c r="K13" s="4" t="s">
        <v>42</v>
      </c>
      <c r="L13" s="17">
        <f t="shared" si="0"/>
        <v>0</v>
      </c>
      <c r="N13" s="4" t="s">
        <v>125</v>
      </c>
      <c r="O13" s="17">
        <f t="shared" si="1"/>
        <v>1</v>
      </c>
      <c r="P13" s="106"/>
    </row>
    <row r="14" spans="2:16" x14ac:dyDescent="0.25">
      <c r="C14" s="364"/>
      <c r="D14" s="4" t="s">
        <v>176</v>
      </c>
      <c r="E14" s="264" t="s">
        <v>53</v>
      </c>
      <c r="F14" s="17">
        <f ca="1">VLOOKUP(D14,'S | 01 '!$C$6:$R$48,13,0)</f>
        <v>-1.7047124999999994</v>
      </c>
      <c r="G14" s="17">
        <v>0</v>
      </c>
      <c r="H14" s="338"/>
      <c r="J14" s="365"/>
      <c r="K14" s="4" t="s">
        <v>71</v>
      </c>
      <c r="L14" s="17">
        <f t="shared" si="0"/>
        <v>0</v>
      </c>
      <c r="N14" s="4" t="s">
        <v>12</v>
      </c>
      <c r="O14" s="17">
        <f t="shared" si="1"/>
        <v>3.5</v>
      </c>
      <c r="P14" s="106"/>
    </row>
    <row r="15" spans="2:16" x14ac:dyDescent="0.25">
      <c r="C15" s="364"/>
      <c r="D15" s="4" t="s">
        <v>1</v>
      </c>
      <c r="E15" s="264" t="s">
        <v>53</v>
      </c>
      <c r="F15" s="17">
        <f ca="1">VLOOKUP(D15,'S | 01 '!$C$6:$R$48,13,0)</f>
        <v>-0.6729209999999739</v>
      </c>
      <c r="G15" s="17">
        <v>6.6</v>
      </c>
      <c r="H15" s="338"/>
      <c r="J15" s="365"/>
      <c r="K15" s="4" t="s">
        <v>271</v>
      </c>
      <c r="L15" s="17">
        <f t="shared" si="0"/>
        <v>0</v>
      </c>
      <c r="N15" s="4" t="s">
        <v>1</v>
      </c>
      <c r="O15" s="17">
        <f t="shared" si="1"/>
        <v>6.6</v>
      </c>
      <c r="P15" s="106"/>
    </row>
    <row r="16" spans="2:16" x14ac:dyDescent="0.25">
      <c r="C16" s="364"/>
      <c r="D16" s="4" t="s">
        <v>273</v>
      </c>
      <c r="E16" s="264" t="s">
        <v>44</v>
      </c>
      <c r="F16" s="17">
        <f>VLOOKUP(D16,'S | 01 '!$C$6:$R$48,13,0)</f>
        <v>-2.3539819999999998</v>
      </c>
      <c r="G16" s="17">
        <v>0</v>
      </c>
      <c r="H16" s="338"/>
      <c r="J16" s="365"/>
      <c r="K16" s="4" t="s">
        <v>306</v>
      </c>
      <c r="L16" s="17">
        <f t="shared" si="0"/>
        <v>0</v>
      </c>
      <c r="M16" s="24"/>
      <c r="P16" s="106"/>
    </row>
    <row r="17" spans="2:16" x14ac:dyDescent="0.25">
      <c r="C17" s="364"/>
      <c r="D17" s="4" t="s">
        <v>18</v>
      </c>
      <c r="E17" s="264" t="s">
        <v>159</v>
      </c>
      <c r="F17" s="17">
        <f ca="1">VLOOKUP(D17,'S | 01 '!$C$6:$R$48,13,0)</f>
        <v>4.5</v>
      </c>
      <c r="G17" s="17">
        <v>0</v>
      </c>
      <c r="H17" s="338"/>
      <c r="J17" s="365"/>
      <c r="K17" s="4" t="s">
        <v>41</v>
      </c>
      <c r="L17" s="17">
        <f t="shared" si="0"/>
        <v>0</v>
      </c>
      <c r="M17" s="24"/>
      <c r="P17" s="106"/>
    </row>
    <row r="18" spans="2:16" x14ac:dyDescent="0.25">
      <c r="C18" s="364"/>
      <c r="D18" s="4" t="s">
        <v>271</v>
      </c>
      <c r="E18" s="264" t="s">
        <v>159</v>
      </c>
      <c r="F18" s="17">
        <f ca="1">VLOOKUP(D18,'S | 01 '!$C$6:$R$48,13,0)</f>
        <v>0</v>
      </c>
      <c r="G18" s="370">
        <v>0</v>
      </c>
      <c r="H18" s="338"/>
      <c r="J18" s="365"/>
      <c r="K18" s="4" t="s">
        <v>43</v>
      </c>
      <c r="L18" s="17">
        <f t="shared" si="0"/>
        <v>0</v>
      </c>
      <c r="P18" s="106"/>
    </row>
    <row r="19" spans="2:16" x14ac:dyDescent="0.25">
      <c r="C19" s="364"/>
      <c r="D19" s="4" t="s">
        <v>306</v>
      </c>
      <c r="E19" s="264" t="s">
        <v>159</v>
      </c>
      <c r="F19" s="17">
        <f ca="1">VLOOKUP(D19,'S | 01 '!$C$6:$R$48,13,0)</f>
        <v>5.8881215399999967</v>
      </c>
      <c r="G19" s="370">
        <v>0</v>
      </c>
      <c r="H19" s="338"/>
      <c r="J19" s="365"/>
      <c r="K19" s="4" t="s">
        <v>18</v>
      </c>
      <c r="L19" s="17">
        <f t="shared" si="0"/>
        <v>0</v>
      </c>
      <c r="M19" s="24"/>
      <c r="P19" s="106"/>
    </row>
    <row r="20" spans="2:16" x14ac:dyDescent="0.25">
      <c r="C20" s="364"/>
      <c r="D20" s="4" t="s">
        <v>41</v>
      </c>
      <c r="E20" s="264" t="s">
        <v>159</v>
      </c>
      <c r="F20" s="17">
        <f ca="1">VLOOKUP(D20,'S | 01 '!$C$6:$R$48,13,0)</f>
        <v>0</v>
      </c>
      <c r="G20" s="17">
        <v>0</v>
      </c>
      <c r="H20" s="338"/>
      <c r="J20" s="365"/>
      <c r="K20" s="4" t="s">
        <v>265</v>
      </c>
      <c r="L20" s="17">
        <f t="shared" si="0"/>
        <v>0</v>
      </c>
      <c r="M20" s="24"/>
      <c r="P20" s="106"/>
    </row>
    <row r="21" spans="2:16" x14ac:dyDescent="0.25">
      <c r="C21" s="364"/>
      <c r="D21" s="4" t="s">
        <v>42</v>
      </c>
      <c r="E21" s="264" t="s">
        <v>159</v>
      </c>
      <c r="F21" s="17">
        <f ca="1">VLOOKUP(D21,'S | 01 '!$C$6:$R$48,13,0)</f>
        <v>0</v>
      </c>
      <c r="G21" s="17">
        <v>0</v>
      </c>
      <c r="H21" s="338"/>
      <c r="J21" s="365"/>
      <c r="K21" s="4" t="s">
        <v>273</v>
      </c>
      <c r="L21" s="17">
        <f t="shared" si="0"/>
        <v>0</v>
      </c>
      <c r="M21" s="24"/>
      <c r="P21" s="106"/>
    </row>
    <row r="22" spans="2:16" x14ac:dyDescent="0.25">
      <c r="C22" s="364"/>
      <c r="D22" s="4" t="s">
        <v>19</v>
      </c>
      <c r="E22" s="264" t="s">
        <v>159</v>
      </c>
      <c r="F22" s="17">
        <f ca="1">VLOOKUP(D22,'S | 01 '!$C$6:$R$48,13,0)</f>
        <v>0</v>
      </c>
      <c r="G22" s="370">
        <v>0</v>
      </c>
      <c r="H22" s="338"/>
      <c r="J22" s="365"/>
      <c r="K22" s="4" t="s">
        <v>40</v>
      </c>
      <c r="L22" s="17">
        <f t="shared" si="0"/>
        <v>2.5</v>
      </c>
      <c r="M22" s="24"/>
      <c r="P22" s="106"/>
    </row>
    <row r="23" spans="2:16" x14ac:dyDescent="0.25">
      <c r="C23" s="364"/>
      <c r="D23" s="4" t="s">
        <v>391</v>
      </c>
      <c r="E23" s="264" t="s">
        <v>159</v>
      </c>
      <c r="F23" s="17">
        <f ca="1">VLOOKUP(D23,'S | 01 '!$C$6:$R$48,13,0)</f>
        <v>0</v>
      </c>
      <c r="G23" s="17">
        <v>69.099999999999994</v>
      </c>
      <c r="H23" s="338"/>
      <c r="J23" s="365"/>
      <c r="K23" s="4" t="s">
        <v>39</v>
      </c>
      <c r="L23" s="17">
        <f t="shared" si="0"/>
        <v>68.099999999999994</v>
      </c>
      <c r="M23" s="24"/>
      <c r="P23" s="106"/>
    </row>
    <row r="24" spans="2:16" x14ac:dyDescent="0.25">
      <c r="C24" s="364"/>
      <c r="D24" s="4" t="s">
        <v>265</v>
      </c>
      <c r="E24" s="264" t="s">
        <v>44</v>
      </c>
      <c r="F24" s="17">
        <f>VLOOKUP(D24,'S | 01 '!$C$6:$R$48,13,0)</f>
        <v>5.9019650000000035E-2</v>
      </c>
      <c r="G24" s="17">
        <v>0</v>
      </c>
      <c r="H24" s="338"/>
      <c r="J24" s="365"/>
      <c r="K24" s="4" t="s">
        <v>391</v>
      </c>
      <c r="L24" s="17">
        <f t="shared" si="0"/>
        <v>69.099999999999994</v>
      </c>
      <c r="M24" s="24"/>
      <c r="P24" s="106"/>
    </row>
    <row r="25" spans="2:16" x14ac:dyDescent="0.25">
      <c r="C25" s="364"/>
      <c r="D25" s="4" t="s">
        <v>390</v>
      </c>
      <c r="E25" s="264" t="s">
        <v>53</v>
      </c>
      <c r="F25" s="17">
        <f ca="1">VLOOKUP(D25,'S | 01 '!$C$6:$R$48,13,0)</f>
        <v>-0.13745684594631058</v>
      </c>
      <c r="G25" s="17">
        <v>0</v>
      </c>
      <c r="H25" s="338"/>
      <c r="J25" s="365"/>
      <c r="K25" s="4" t="s">
        <v>89</v>
      </c>
      <c r="L25" s="17">
        <f t="shared" si="0"/>
        <v>275.8</v>
      </c>
      <c r="P25" s="106"/>
    </row>
    <row r="26" spans="2:16" x14ac:dyDescent="0.25">
      <c r="C26" s="364"/>
      <c r="D26" s="4" t="s">
        <v>38</v>
      </c>
      <c r="E26" s="264" t="s">
        <v>159</v>
      </c>
      <c r="F26" s="17">
        <f ca="1">VLOOKUP(D26,'S | 01 '!$C$6:$R$48,13,0)</f>
        <v>1.001540300000002</v>
      </c>
      <c r="G26" s="17">
        <v>0</v>
      </c>
      <c r="H26" s="338"/>
      <c r="J26" s="365"/>
      <c r="P26" s="106"/>
    </row>
    <row r="27" spans="2:16" x14ac:dyDescent="0.25">
      <c r="C27" s="364"/>
      <c r="D27" s="4" t="s">
        <v>43</v>
      </c>
      <c r="E27" s="264" t="s">
        <v>159</v>
      </c>
      <c r="F27" s="17">
        <f ca="1">VLOOKUP(D27,'S | 01 '!$C$6:$R$48,13,0)</f>
        <v>2.9184723315225654</v>
      </c>
      <c r="G27" s="17">
        <v>0</v>
      </c>
      <c r="H27" s="338"/>
      <c r="J27" s="365"/>
      <c r="P27" s="106"/>
    </row>
    <row r="28" spans="2:16" x14ac:dyDescent="0.25">
      <c r="C28" s="364"/>
      <c r="D28" s="4" t="s">
        <v>89</v>
      </c>
      <c r="E28" s="264" t="s">
        <v>159</v>
      </c>
      <c r="F28" s="17">
        <f ca="1">VLOOKUP(D28,'S | 01 '!$C$6:$R$48,13,0)</f>
        <v>-51.331084922415727</v>
      </c>
      <c r="G28" s="17">
        <v>275.8</v>
      </c>
      <c r="H28" s="338"/>
      <c r="J28" s="365"/>
      <c r="P28" s="106"/>
    </row>
    <row r="29" spans="2:16" x14ac:dyDescent="0.25">
      <c r="C29" s="105"/>
      <c r="D29" s="4" t="s">
        <v>40</v>
      </c>
      <c r="E29" s="264" t="s">
        <v>159</v>
      </c>
      <c r="F29" s="17">
        <f ca="1">VLOOKUP(D29,'S | 01 '!$C$6:$R$48,13,0)</f>
        <v>2.5</v>
      </c>
      <c r="G29" s="17">
        <v>2.5</v>
      </c>
      <c r="H29" s="338"/>
      <c r="J29" s="365"/>
      <c r="P29" s="106"/>
    </row>
    <row r="30" spans="2:16" s="27" customFormat="1" x14ac:dyDescent="0.25">
      <c r="B30" s="26"/>
      <c r="C30" s="365"/>
      <c r="D30" s="4" t="s">
        <v>125</v>
      </c>
      <c r="E30" s="264" t="s">
        <v>53</v>
      </c>
      <c r="F30" s="17">
        <f ca="1">VLOOKUP(D30,'S | 01 '!$C$6:$R$48,13,0)</f>
        <v>2.245166086123195</v>
      </c>
      <c r="G30" s="17">
        <v>1</v>
      </c>
      <c r="H30" s="338"/>
      <c r="J30" s="365"/>
      <c r="P30" s="338"/>
    </row>
    <row r="31" spans="2:16" s="27" customFormat="1" x14ac:dyDescent="0.25">
      <c r="B31" s="26"/>
      <c r="C31" s="365"/>
      <c r="D31" s="4" t="s">
        <v>35</v>
      </c>
      <c r="E31" s="264" t="s">
        <v>159</v>
      </c>
      <c r="F31" s="17">
        <f ca="1">VLOOKUP(D31,'S | 01 '!$C$6:$R$48,13,0)</f>
        <v>2.7999999999999545</v>
      </c>
      <c r="G31" s="370">
        <v>0</v>
      </c>
      <c r="H31" s="338"/>
      <c r="J31" s="365"/>
      <c r="K31" s="372" t="s">
        <v>206</v>
      </c>
      <c r="L31" s="373">
        <f>SUM(L8:L25)</f>
        <v>296.5</v>
      </c>
      <c r="N31" s="378" t="s">
        <v>57</v>
      </c>
      <c r="O31" s="379">
        <f>SUM(O8:O16)</f>
        <v>11.1</v>
      </c>
      <c r="P31" s="338"/>
    </row>
    <row r="32" spans="2:16" s="27" customFormat="1" x14ac:dyDescent="0.25">
      <c r="B32" s="26"/>
      <c r="C32" s="365"/>
      <c r="D32" s="4" t="s">
        <v>39</v>
      </c>
      <c r="E32" s="264" t="s">
        <v>159</v>
      </c>
      <c r="F32" s="17">
        <f ca="1">VLOOKUP(D32,'S | 01 '!$C$6:$R$48,13,0)</f>
        <v>68.082229999999996</v>
      </c>
      <c r="G32" s="17">
        <v>68.099999999999994</v>
      </c>
      <c r="H32" s="338"/>
      <c r="J32" s="365"/>
      <c r="K32" s="374" t="s">
        <v>342</v>
      </c>
      <c r="L32" s="375">
        <f ca="1">'S | 02'!O31</f>
        <v>-37.193673022773737</v>
      </c>
      <c r="P32" s="338"/>
    </row>
    <row r="33" spans="2:16" s="27" customFormat="1" x14ac:dyDescent="0.25">
      <c r="B33" s="26"/>
      <c r="C33" s="365"/>
      <c r="D33" s="4" t="s">
        <v>9</v>
      </c>
      <c r="E33" s="264" t="s">
        <v>159</v>
      </c>
      <c r="F33" s="17">
        <f ca="1">VLOOKUP(D33,'S | 01 '!$C$6:$R$48,13,0)</f>
        <v>88.049841278119402</v>
      </c>
      <c r="G33" s="17">
        <v>-39.700000000000003</v>
      </c>
      <c r="H33" s="338"/>
      <c r="J33" s="365"/>
      <c r="K33" s="376" t="s">
        <v>343</v>
      </c>
      <c r="L33" s="377">
        <f ca="1">L32-L31</f>
        <v>-333.69367302277374</v>
      </c>
      <c r="P33" s="338"/>
    </row>
    <row r="34" spans="2:16" s="27" customFormat="1" ht="15.75" thickBot="1" x14ac:dyDescent="0.3">
      <c r="B34" s="26"/>
      <c r="C34" s="366"/>
      <c r="D34" s="111"/>
      <c r="E34" s="153"/>
      <c r="F34" s="153"/>
      <c r="G34" s="153"/>
      <c r="H34" s="367"/>
      <c r="J34" s="399"/>
      <c r="K34" s="153"/>
      <c r="L34" s="153"/>
      <c r="M34" s="153"/>
      <c r="N34" s="153"/>
      <c r="O34" s="153"/>
      <c r="P34" s="367"/>
    </row>
    <row r="35" spans="2:16" s="27" customFormat="1" x14ac:dyDescent="0.25">
      <c r="B35" s="26"/>
      <c r="C35" s="96"/>
    </row>
    <row r="36" spans="2:16" s="27" customFormat="1" x14ac:dyDescent="0.25">
      <c r="B36" s="26"/>
      <c r="C36" s="96"/>
    </row>
    <row r="37" spans="2:16" s="27" customFormat="1" x14ac:dyDescent="0.25">
      <c r="B37" s="26"/>
      <c r="C37" s="96"/>
    </row>
    <row r="38" spans="2:16" s="27" customFormat="1" x14ac:dyDescent="0.25">
      <c r="B38" s="26"/>
      <c r="C38" s="95"/>
      <c r="D38" s="559"/>
    </row>
    <row r="39" spans="2:16" x14ac:dyDescent="0.25">
      <c r="D39" s="559"/>
    </row>
    <row r="40" spans="2:16" x14ac:dyDescent="0.25">
      <c r="D40" s="559"/>
    </row>
    <row r="41" spans="2:16" x14ac:dyDescent="0.25">
      <c r="D41" s="559"/>
    </row>
    <row r="42" spans="2:16" s="27" customFormat="1" x14ac:dyDescent="0.25">
      <c r="B42" s="26"/>
      <c r="C42" s="96"/>
      <c r="D42" s="559"/>
    </row>
    <row r="43" spans="2:16" s="27" customFormat="1" x14ac:dyDescent="0.25">
      <c r="B43" s="26"/>
      <c r="D43" s="559"/>
    </row>
    <row r="44" spans="2:16" s="27" customFormat="1" x14ac:dyDescent="0.25">
      <c r="B44" s="26"/>
      <c r="D44" s="559"/>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vt:i4>
      </vt:variant>
    </vt:vector>
  </HeadingPairs>
  <TitlesOfParts>
    <vt:vector size="26" baseType="lpstr">
      <vt:lpstr>D</vt:lpstr>
      <vt:lpstr>S | 01 </vt:lpstr>
      <vt:lpstr>S | 02</vt:lpstr>
      <vt:lpstr>S | 03</vt:lpstr>
      <vt:lpstr>NAV</vt:lpstr>
      <vt:lpstr>CF (Equity, Debt)</vt:lpstr>
      <vt:lpstr>CF (Funds)</vt:lpstr>
      <vt:lpstr>1. IRR Equity</vt:lpstr>
      <vt:lpstr>2. IRR Debt</vt:lpstr>
      <vt:lpstr>3. IRR Funds</vt:lpstr>
      <vt:lpstr>4.All</vt:lpstr>
      <vt:lpstr>4. Mozn-IRR</vt:lpstr>
      <vt:lpstr>4. G42-IRR</vt:lpstr>
      <vt:lpstr>5. Glossary</vt:lpstr>
      <vt:lpstr>6. %</vt:lpstr>
      <vt:lpstr>7. Board</vt:lpstr>
      <vt:lpstr>8. Log</vt:lpstr>
      <vt:lpstr>5. CF Profile</vt:lpstr>
      <vt:lpstr>5. NewSpace</vt:lpstr>
      <vt:lpstr>1.1 Geo</vt:lpstr>
      <vt:lpstr>1.2 Attribution</vt:lpstr>
      <vt:lpstr>'5. Glossary'!Print_Area</vt:lpstr>
      <vt:lpstr>D!Print_Area</vt:lpstr>
      <vt:lpstr>NAV!Print_Area</vt:lpstr>
      <vt:lpstr>'S | 02'!Print_Area</vt:lpstr>
      <vt:lpstr>'S | 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2025-06-11T09:12:35Z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MSIP_Label_09ea7407-5844-49ec-aa4f-9b4135bf0609_Enabled">
    <vt:lpwstr>true</vt:lpwstr>
  </property>
  <property fmtid="{D5CDD505-2E9C-101B-9397-08002B2CF9AE}" pid="8" name="MSIP_Label_09ea7407-5844-49ec-aa4f-9b4135bf0609_SetDate">
    <vt:lpwstr>2025-06-11T09:10:33Z</vt:lpwstr>
  </property>
  <property fmtid="{D5CDD505-2E9C-101B-9397-08002B2CF9AE}" pid="9" name="MSIP_Label_09ea7407-5844-49ec-aa4f-9b4135bf0609_Method">
    <vt:lpwstr>Standard</vt:lpwstr>
  </property>
  <property fmtid="{D5CDD505-2E9C-101B-9397-08002B2CF9AE}" pid="10" name="MSIP_Label_09ea7407-5844-49ec-aa4f-9b4135bf0609_Name">
    <vt:lpwstr>Restricted-Core42</vt:lpwstr>
  </property>
  <property fmtid="{D5CDD505-2E9C-101B-9397-08002B2CF9AE}" pid="11" name="MSIP_Label_09ea7407-5844-49ec-aa4f-9b4135bf0609_SiteId">
    <vt:lpwstr>62974d97-13b6-40c9-8576-f1ab2905b6cf</vt:lpwstr>
  </property>
  <property fmtid="{D5CDD505-2E9C-101B-9397-08002B2CF9AE}" pid="12" name="MSIP_Label_09ea7407-5844-49ec-aa4f-9b4135bf0609_ActionId">
    <vt:lpwstr>155bfeee-a153-44ae-aa57-d006e7c4d074</vt:lpwstr>
  </property>
  <property fmtid="{D5CDD505-2E9C-101B-9397-08002B2CF9AE}" pid="13" name="MSIP_Label_09ea7407-5844-49ec-aa4f-9b4135bf0609_ContentBits">
    <vt:lpwstr>3</vt:lpwstr>
  </property>
  <property fmtid="{D5CDD505-2E9C-101B-9397-08002B2CF9AE}" pid="14" name="MSIP_Label_09ea7407-5844-49ec-aa4f-9b4135bf0609_Tag">
    <vt:lpwstr>10, 1, 2, 1</vt:lpwstr>
  </property>
</Properties>
</file>